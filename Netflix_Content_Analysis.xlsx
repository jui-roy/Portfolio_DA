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lysis" sheetId="2" state="visible" r:id="rId4"/>
    <sheet name="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<sst xmlns="http://schemas.openxmlformats.org/spreadsheetml/2006/main" count="47489" uniqueCount="12269">
  <si>
    <t xml:space="preserve">Netflix catalogue dashboard (public Netflix titles dataset)</t>
  </si>
  <si>
    <t xml:space="preserve">Titles</t>
  </si>
  <si>
    <t xml:space="preserve">Movie share</t>
  </si>
  <si>
    <t xml:space="preserve">Avg movie (min)</t>
  </si>
  <si>
    <t xml:space="preserve">Key findings (live formulas)</t>
  </si>
  <si>
    <t xml:space="preserve">Netflix catalogue analysis (cleaning done with formulas on the Data sheet)</t>
  </si>
  <si>
    <t xml:space="preserve">Cleaning log: missing values</t>
  </si>
  <si>
    <t xml:space="preserve">Column</t>
  </si>
  <si>
    <t xml:space="preserve">Blank cells</t>
  </si>
  <si>
    <t xml:space="preserve">% of titles</t>
  </si>
  <si>
    <t xml:space="preserve">Movies</t>
  </si>
  <si>
    <t xml:space="preserve">director</t>
  </si>
  <si>
    <t xml:space="preserve">TV shows</t>
  </si>
  <si>
    <t xml:space="preserve">country</t>
  </si>
  <si>
    <t xml:space="preserve">date_added</t>
  </si>
  <si>
    <t xml:space="preserve">Avg movie length (min)</t>
  </si>
  <si>
    <t xml:space="preserve">rating</t>
  </si>
  <si>
    <t xml:space="preserve">Avg TV seasons</t>
  </si>
  <si>
    <t xml:space="preserve">Avg years from release to added</t>
  </si>
  <si>
    <t xml:space="preserve">Blank countries are labelled "Unknown"; rows with no date_added are left out of the year trend.</t>
  </si>
  <si>
    <t xml:space="preserve">Titles added per year</t>
  </si>
  <si>
    <t xml:space="preserve">Year</t>
  </si>
  <si>
    <t xml:space="preserve">Total</t>
  </si>
  <si>
    <t xml:space="preserve">Top 10 primary countries</t>
  </si>
  <si>
    <t xml:space="preserve">Category</t>
  </si>
  <si>
    <t xml:space="preserve">Share of titles</t>
  </si>
  <si>
    <t xml:space="preserve">United States</t>
  </si>
  <si>
    <t xml:space="preserve">India</t>
  </si>
  <si>
    <t xml:space="preserve">United Kingdom</t>
  </si>
  <si>
    <t xml:space="preserve">Canada</t>
  </si>
  <si>
    <t xml:space="preserve">Japan</t>
  </si>
  <si>
    <t xml:space="preserve">France</t>
  </si>
  <si>
    <t xml:space="preserve">South Korea</t>
  </si>
  <si>
    <t xml:space="preserve">Spain</t>
  </si>
  <si>
    <t xml:space="preserve">Mexico</t>
  </si>
  <si>
    <t xml:space="preserve">Australia</t>
  </si>
  <si>
    <t xml:space="preserve">Top 10 primary genres</t>
  </si>
  <si>
    <t xml:space="preserve">Dramas</t>
  </si>
  <si>
    <t xml:space="preserve">Comedies</t>
  </si>
  <si>
    <t xml:space="preserve">Documentaries</t>
  </si>
  <si>
    <t xml:space="preserve">Action &amp; Adventure</t>
  </si>
  <si>
    <t xml:space="preserve">International TV Shows</t>
  </si>
  <si>
    <t xml:space="preserve">Children &amp; Family Movies</t>
  </si>
  <si>
    <t xml:space="preserve">Crime TV Shows</t>
  </si>
  <si>
    <t xml:space="preserve">Kids' TV</t>
  </si>
  <si>
    <t xml:space="preserve">Stand-Up Comedy</t>
  </si>
  <si>
    <t xml:space="preserve">British TV Shows</t>
  </si>
  <si>
    <t xml:space="preserve">Content ratings</t>
  </si>
  <si>
    <t xml:space="preserve">TV-MA</t>
  </si>
  <si>
    <t xml:space="preserve">TV-14</t>
  </si>
  <si>
    <t xml:space="preserve">TV-PG</t>
  </si>
  <si>
    <t xml:space="preserve">R</t>
  </si>
  <si>
    <t xml:space="preserve">PG-13</t>
  </si>
  <si>
    <t xml:space="preserve">NR</t>
  </si>
  <si>
    <t xml:space="preserve">PG</t>
  </si>
  <si>
    <t xml:space="preserve">TV-Y7</t>
  </si>
  <si>
    <t xml:space="preserve">show_id</t>
  </si>
  <si>
    <t xml:space="preserve">type</t>
  </si>
  <si>
    <t xml:space="preserve">title</t>
  </si>
  <si>
    <t xml:space="preserve">release_year</t>
  </si>
  <si>
    <t xml:space="preserve">duration</t>
  </si>
  <si>
    <t xml:space="preserve">listed_in</t>
  </si>
  <si>
    <t xml:space="preserve">Year added</t>
  </si>
  <si>
    <t xml:space="preserve">Primary country</t>
  </si>
  <si>
    <t xml:space="preserve">Primary genre</t>
  </si>
  <si>
    <t xml:space="preserve">Movie minutes</t>
  </si>
  <si>
    <t xml:space="preserve">TV seasons</t>
  </si>
  <si>
    <t xml:space="preserve">Years to add</t>
  </si>
  <si>
    <t xml:space="preserve">Movie</t>
  </si>
  <si>
    <t xml:space="preserve">Norm of the North: King Sized Adventure</t>
  </si>
  <si>
    <t xml:space="preserve">Richard Finn, Tim Maltby</t>
  </si>
  <si>
    <t xml:space="preserve">United States, India, South Korea, China</t>
  </si>
  <si>
    <t xml:space="preserve">September 9, 2019</t>
  </si>
  <si>
    <t xml:space="preserve">90 min</t>
  </si>
  <si>
    <t xml:space="preserve">Children &amp; Family Movies, Comedies</t>
  </si>
  <si>
    <t xml:space="preserve">Jandino: Whatever it Takes</t>
  </si>
  <si>
    <t xml:space="preserve">September 9, 2016</t>
  </si>
  <si>
    <t xml:space="preserve">94 min</t>
  </si>
  <si>
    <t xml:space="preserve">TV Show</t>
  </si>
  <si>
    <t xml:space="preserve">Transformers Prime</t>
  </si>
  <si>
    <t xml:space="preserve">September 8, 2018</t>
  </si>
  <si>
    <t xml:space="preserve">TV-Y7-FV</t>
  </si>
  <si>
    <t xml:space="preserve">1 Season</t>
  </si>
  <si>
    <t xml:space="preserve">Transformers: Robots in Disguise</t>
  </si>
  <si>
    <t xml:space="preserve">#realityhigh</t>
  </si>
  <si>
    <t xml:space="preserve">Fernando Lebrija</t>
  </si>
  <si>
    <t xml:space="preserve">September 8, 2017</t>
  </si>
  <si>
    <t xml:space="preserve">99 min</t>
  </si>
  <si>
    <t xml:space="preserve">Apaches</t>
  </si>
  <si>
    <t xml:space="preserve">Crime TV Shows, International TV Shows, Spanish-Language TV Shows</t>
  </si>
  <si>
    <t xml:space="preserve">Automata</t>
  </si>
  <si>
    <t xml:space="preserve">Gabe Ibáñez</t>
  </si>
  <si>
    <t xml:space="preserve">Bulgaria, United States, Spain, Canada</t>
  </si>
  <si>
    <t xml:space="preserve">110 min</t>
  </si>
  <si>
    <t xml:space="preserve">International Movies, Sci-Fi &amp; Fantasy, Thrillers</t>
  </si>
  <si>
    <t xml:space="preserve">Fabrizio Copano: Solo pienso en mi</t>
  </si>
  <si>
    <t xml:space="preserve">Rodrigo Toro, Francisco Schultz</t>
  </si>
  <si>
    <t xml:space="preserve">Chile</t>
  </si>
  <si>
    <t xml:space="preserve">60 min</t>
  </si>
  <si>
    <t xml:space="preserve">Fire Chasers</t>
  </si>
  <si>
    <t xml:space="preserve">Docuseries, Science &amp; Nature TV</t>
  </si>
  <si>
    <t xml:space="preserve">Good People</t>
  </si>
  <si>
    <t xml:space="preserve">Henrik Ruben Genz</t>
  </si>
  <si>
    <t xml:space="preserve">United States, United Kingdom, Denmark, Sweden</t>
  </si>
  <si>
    <t xml:space="preserve">Action &amp; Adventure, Thrillers</t>
  </si>
  <si>
    <t xml:space="preserve">Joaquín Reyes: Una y no más</t>
  </si>
  <si>
    <t xml:space="preserve">José Miguel Contreras</t>
  </si>
  <si>
    <t xml:space="preserve">78 min</t>
  </si>
  <si>
    <t xml:space="preserve">Kidnapping Mr. Heineken</t>
  </si>
  <si>
    <t xml:space="preserve">Daniel Alfredson</t>
  </si>
  <si>
    <t xml:space="preserve">Netherlands, Belgium, United Kingdom, United States</t>
  </si>
  <si>
    <t xml:space="preserve">95 min</t>
  </si>
  <si>
    <t xml:space="preserve">Action &amp; Adventure, Dramas, International Movies</t>
  </si>
  <si>
    <t xml:space="preserve">Krish Trish and Baltiboy</t>
  </si>
  <si>
    <t xml:space="preserve">58 min</t>
  </si>
  <si>
    <t xml:space="preserve">Krish Trish and Baltiboy: Battle of Wits</t>
  </si>
  <si>
    <t xml:space="preserve">Munjal Shroff, Tilak Shetty</t>
  </si>
  <si>
    <t xml:space="preserve">62 min</t>
  </si>
  <si>
    <t xml:space="preserve">Krish Trish and Baltiboy: Best Friends Forever</t>
  </si>
  <si>
    <t xml:space="preserve">TV-Y</t>
  </si>
  <si>
    <t xml:space="preserve">65 min</t>
  </si>
  <si>
    <t xml:space="preserve">Krish Trish and Baltiboy: Comics of India</t>
  </si>
  <si>
    <t xml:space="preserve">Tilak Shetty</t>
  </si>
  <si>
    <t xml:space="preserve">61 min</t>
  </si>
  <si>
    <t xml:space="preserve">Krish Trish and Baltiboy: Oversmartness Never Pays</t>
  </si>
  <si>
    <t xml:space="preserve">Krish Trish and Baltiboy: Part II</t>
  </si>
  <si>
    <t xml:space="preserve">Krish Trish and Baltiboy: The Greatest Trick</t>
  </si>
  <si>
    <t xml:space="preserve">Love</t>
  </si>
  <si>
    <t xml:space="preserve">Gaspar Noé</t>
  </si>
  <si>
    <t xml:space="preserve">France, Belgium</t>
  </si>
  <si>
    <t xml:space="preserve">135 min</t>
  </si>
  <si>
    <t xml:space="preserve">Cult Movies, Dramas, Independent Movies</t>
  </si>
  <si>
    <t xml:space="preserve">Manhattan Romance</t>
  </si>
  <si>
    <t xml:space="preserve">Tom O'Brien</t>
  </si>
  <si>
    <t xml:space="preserve">98 min</t>
  </si>
  <si>
    <t xml:space="preserve">Comedies, Independent Movies, Romantic Movies</t>
  </si>
  <si>
    <t xml:space="preserve">Moonwalkers</t>
  </si>
  <si>
    <t xml:space="preserve">Antoine Bardou-Jacquet</t>
  </si>
  <si>
    <t xml:space="preserve">96 min</t>
  </si>
  <si>
    <t xml:space="preserve">Action &amp; Adventure, Comedies, International Movies</t>
  </si>
  <si>
    <t xml:space="preserve">Rolling Papers</t>
  </si>
  <si>
    <t xml:space="preserve">Mitch Dickman</t>
  </si>
  <si>
    <t xml:space="preserve">United States, Uruguay</t>
  </si>
  <si>
    <t xml:space="preserve">79 min</t>
  </si>
  <si>
    <t xml:space="preserve">Stonehearst Asylum</t>
  </si>
  <si>
    <t xml:space="preserve">Brad Anderson</t>
  </si>
  <si>
    <t xml:space="preserve">113 min</t>
  </si>
  <si>
    <t xml:space="preserve">Horror Movies, Thrillers</t>
  </si>
  <si>
    <t xml:space="preserve">The Runner</t>
  </si>
  <si>
    <t xml:space="preserve">Austin Stark</t>
  </si>
  <si>
    <t xml:space="preserve">Dramas, Independent Movies</t>
  </si>
  <si>
    <t xml:space="preserve">6 Years</t>
  </si>
  <si>
    <t xml:space="preserve">Hannah Fidell</t>
  </si>
  <si>
    <t xml:space="preserve">September 8, 2015</t>
  </si>
  <si>
    <t xml:space="preserve">80 min</t>
  </si>
  <si>
    <t xml:space="preserve">Dramas, Independent Movies, Romantic Movies</t>
  </si>
  <si>
    <t xml:space="preserve">Castle of Stars</t>
  </si>
  <si>
    <t xml:space="preserve">September 7, 2018</t>
  </si>
  <si>
    <t xml:space="preserve">International TV Shows, Romantic TV Shows, TV Comedies</t>
  </si>
  <si>
    <t xml:space="preserve">City of Joy</t>
  </si>
  <si>
    <t xml:space="preserve">Madeleine Gavin</t>
  </si>
  <si>
    <t xml:space="preserve">United States,</t>
  </si>
  <si>
    <t xml:space="preserve">77 min</t>
  </si>
  <si>
    <t xml:space="preserve">First and Last</t>
  </si>
  <si>
    <t xml:space="preserve">Docuseries</t>
  </si>
  <si>
    <t xml:space="preserve">Laddaland</t>
  </si>
  <si>
    <t xml:space="preserve">Sopon Sukdapisit</t>
  </si>
  <si>
    <t xml:space="preserve">Thailand</t>
  </si>
  <si>
    <t xml:space="preserve">112 min</t>
  </si>
  <si>
    <t xml:space="preserve">Horror Movies, International Movies</t>
  </si>
  <si>
    <t xml:space="preserve">Next Gen</t>
  </si>
  <si>
    <t xml:space="preserve">Kevin R. Adams, Joe Ksander</t>
  </si>
  <si>
    <t xml:space="preserve">China, Canada, United States</t>
  </si>
  <si>
    <t xml:space="preserve">106 min</t>
  </si>
  <si>
    <t xml:space="preserve">Children &amp; Family Movies, Comedies, Sci-Fi &amp; Fantasy</t>
  </si>
  <si>
    <t xml:space="preserve">Sierra Burgess Is A Loser</t>
  </si>
  <si>
    <t xml:space="preserve">Ian Samuels</t>
  </si>
  <si>
    <t xml:space="preserve">Comedies, Romantic Movies</t>
  </si>
  <si>
    <t xml:space="preserve">The Most Assassinated Woman in the World</t>
  </si>
  <si>
    <t xml:space="preserve">Franck Ribière</t>
  </si>
  <si>
    <t xml:space="preserve">Belgium, United Kingdom, United States</t>
  </si>
  <si>
    <t xml:space="preserve">102 min</t>
  </si>
  <si>
    <t xml:space="preserve">Dramas, International Movies, Thrillers</t>
  </si>
  <si>
    <t xml:space="preserve">Cézanne et moi</t>
  </si>
  <si>
    <t xml:space="preserve">Daniele Thompson</t>
  </si>
  <si>
    <t xml:space="preserve">Belgium, France</t>
  </si>
  <si>
    <t xml:space="preserve">September 7, 2017</t>
  </si>
  <si>
    <t xml:space="preserve">114 min</t>
  </si>
  <si>
    <t xml:space="preserve">Dramas, Independent Movies, International Movies</t>
  </si>
  <si>
    <t xml:space="preserve">Archibald's Next Big Thing</t>
  </si>
  <si>
    <t xml:space="preserve">September 6, 2019</t>
  </si>
  <si>
    <t xml:space="preserve">Kids' TV, TV Comedies</t>
  </si>
  <si>
    <t xml:space="preserve">Article 15</t>
  </si>
  <si>
    <t xml:space="preserve">Anubhav Sinha</t>
  </si>
  <si>
    <t xml:space="preserve">125 min</t>
  </si>
  <si>
    <t xml:space="preserve">Care of Kancharapalem</t>
  </si>
  <si>
    <t xml:space="preserve">Maha Venkatesh</t>
  </si>
  <si>
    <t xml:space="preserve">142 min</t>
  </si>
  <si>
    <t xml:space="preserve">Comedies, Dramas, Independent Movies</t>
  </si>
  <si>
    <t xml:space="preserve">Ee Nagaraniki Emaindi</t>
  </si>
  <si>
    <t xml:space="preserve">Tharun Bhascker</t>
  </si>
  <si>
    <t xml:space="preserve">133 min</t>
  </si>
  <si>
    <t xml:space="preserve">Comedies, International Movies</t>
  </si>
  <si>
    <t xml:space="preserve">Kill Me If You Dare</t>
  </si>
  <si>
    <t xml:space="preserve">Şenol Sönmez</t>
  </si>
  <si>
    <t xml:space="preserve">100 min</t>
  </si>
  <si>
    <t xml:space="preserve">Comedies, International Movies, Romantic Movies</t>
  </si>
  <si>
    <t xml:space="preserve">The Spy</t>
  </si>
  <si>
    <t xml:space="preserve">International TV Shows, TV Dramas, TV Thrillers</t>
  </si>
  <si>
    <t xml:space="preserve">Hell and Back</t>
  </si>
  <si>
    <t xml:space="preserve">Tom Gianas, Ross R. Shuman</t>
  </si>
  <si>
    <t xml:space="preserve">September 6, 2018</t>
  </si>
  <si>
    <t xml:space="preserve">86 min</t>
  </si>
  <si>
    <t xml:space="preserve">Action &amp; Adventure, Comedies, Independent Movies</t>
  </si>
  <si>
    <t xml:space="preserve">PK</t>
  </si>
  <si>
    <t xml:space="preserve">Rajkumar Hirani</t>
  </si>
  <si>
    <t xml:space="preserve">146 min</t>
  </si>
  <si>
    <t xml:space="preserve">Comedies, Dramas, International Movies</t>
  </si>
  <si>
    <t xml:space="preserve">Hard Tide</t>
  </si>
  <si>
    <t xml:space="preserve">Robert Osman, Nathanael Wiseman</t>
  </si>
  <si>
    <t xml:space="preserve">September 6, 2017</t>
  </si>
  <si>
    <t xml:space="preserve">Elstree 1976</t>
  </si>
  <si>
    <t xml:space="preserve">Jon Spira</t>
  </si>
  <si>
    <t xml:space="preserve">September 6, 2016</t>
  </si>
  <si>
    <t xml:space="preserve">American Factory: A Conversation with the Obamas</t>
  </si>
  <si>
    <t xml:space="preserve">September 5, 2019</t>
  </si>
  <si>
    <t xml:space="preserve">TV-G</t>
  </si>
  <si>
    <t xml:space="preserve">10 min</t>
  </si>
  <si>
    <t xml:space="preserve">ATM</t>
  </si>
  <si>
    <t xml:space="preserve">Mez Tharatorn</t>
  </si>
  <si>
    <t xml:space="preserve">United States, Canada</t>
  </si>
  <si>
    <t xml:space="preserve">September 5, 2018</t>
  </si>
  <si>
    <t xml:space="preserve">122 min</t>
  </si>
  <si>
    <t xml:space="preserve">Bangkok Traffic (Love) Story</t>
  </si>
  <si>
    <t xml:space="preserve">Adisorn Tresirikasem</t>
  </si>
  <si>
    <t xml:space="preserve">126 min</t>
  </si>
  <si>
    <t xml:space="preserve">I Fine... Thank You... Love You</t>
  </si>
  <si>
    <t xml:space="preserve">116 min</t>
  </si>
  <si>
    <t xml:space="preserve">One Day</t>
  </si>
  <si>
    <t xml:space="preserve">Banjong Pisanthanakun</t>
  </si>
  <si>
    <t xml:space="preserve">Dramas, International Movies, Romantic Movies</t>
  </si>
  <si>
    <t xml:space="preserve">Phobia 2</t>
  </si>
  <si>
    <t xml:space="preserve">Banjong Pisanthanakun, Paween Purikitpanya, Songyos Sugmakanan, Parkpoom Wongpoom, Visute Poolvoralaks</t>
  </si>
  <si>
    <t xml:space="preserve">Shutter</t>
  </si>
  <si>
    <t xml:space="preserve">Banjong Pisanthanakun, Parkpoom Wongpoom</t>
  </si>
  <si>
    <t xml:space="preserve">Suckseed</t>
  </si>
  <si>
    <t xml:space="preserve">Chayanop Boonprakob</t>
  </si>
  <si>
    <t xml:space="preserve">130 min</t>
  </si>
  <si>
    <t xml:space="preserve">Carrie Pilby</t>
  </si>
  <si>
    <t xml:space="preserve">Susan Johnson</t>
  </si>
  <si>
    <t xml:space="preserve">September 5, 2017</t>
  </si>
  <si>
    <t xml:space="preserve">Comedies, Dramas</t>
  </si>
  <si>
    <t xml:space="preserve">Marc Maron: Too Real</t>
  </si>
  <si>
    <t xml:space="preserve">Lynn Shelton</t>
  </si>
  <si>
    <t xml:space="preserve">70 min</t>
  </si>
  <si>
    <t xml:space="preserve">No Tomorrow</t>
  </si>
  <si>
    <t xml:space="preserve">Romantic TV Shows, TV Comedies, TV Dramas</t>
  </si>
  <si>
    <t xml:space="preserve">Saawan</t>
  </si>
  <si>
    <t xml:space="preserve">Farhan Alam</t>
  </si>
  <si>
    <t xml:space="preserve">Pakistan</t>
  </si>
  <si>
    <t xml:space="preserve">September 4, 2019</t>
  </si>
  <si>
    <t xml:space="preserve">128 min</t>
  </si>
  <si>
    <t xml:space="preserve">The Heretics</t>
  </si>
  <si>
    <t xml:space="preserve">Chad Archibald</t>
  </si>
  <si>
    <t xml:space="preserve">88 min</t>
  </si>
  <si>
    <t xml:space="preserve">Horror Movies</t>
  </si>
  <si>
    <t xml:space="preserve">The World We Make</t>
  </si>
  <si>
    <t xml:space="preserve">Brian Baugh</t>
  </si>
  <si>
    <t xml:space="preserve">108 min</t>
  </si>
  <si>
    <t xml:space="preserve">Dramas, Romantic Movies</t>
  </si>
  <si>
    <t xml:space="preserve">Watchman</t>
  </si>
  <si>
    <t xml:space="preserve">A. L. Vijay</t>
  </si>
  <si>
    <t xml:space="preserve">93 min</t>
  </si>
  <si>
    <t xml:space="preserve">Black Panther</t>
  </si>
  <si>
    <t xml:space="preserve">Ryan Coogler</t>
  </si>
  <si>
    <t xml:space="preserve">September 4, 2018</t>
  </si>
  <si>
    <t xml:space="preserve">Action &amp; Adventure, Sci-Fi &amp; Fantasy</t>
  </si>
  <si>
    <t xml:space="preserve">Man Up</t>
  </si>
  <si>
    <t xml:space="preserve">Ben Palmer</t>
  </si>
  <si>
    <t xml:space="preserve">United Kingdom, France</t>
  </si>
  <si>
    <t xml:space="preserve">Frequency</t>
  </si>
  <si>
    <t xml:space="preserve">September 4, 2017</t>
  </si>
  <si>
    <t xml:space="preserve">Crime TV Shows, TV Dramas, TV Mysteries</t>
  </si>
  <si>
    <t xml:space="preserve">Mo Gilligan: Momentum</t>
  </si>
  <si>
    <t xml:space="preserve">Chris Howe</t>
  </si>
  <si>
    <t xml:space="preserve">September 30, 2019</t>
  </si>
  <si>
    <t xml:space="preserve">64 min</t>
  </si>
  <si>
    <t xml:space="preserve">Adam Ruins Everything</t>
  </si>
  <si>
    <t xml:space="preserve">September 30, 2018</t>
  </si>
  <si>
    <t xml:space="preserve">TV Comedies</t>
  </si>
  <si>
    <t xml:space="preserve">Ben 10</t>
  </si>
  <si>
    <t xml:space="preserve">Big Miracle</t>
  </si>
  <si>
    <t xml:space="preserve">Ken Kwapis</t>
  </si>
  <si>
    <t xml:space="preserve">United States, United Kingdom</t>
  </si>
  <si>
    <t xml:space="preserve">107 min</t>
  </si>
  <si>
    <t xml:space="preserve">Children &amp; Family Movies, Dramas</t>
  </si>
  <si>
    <t xml:space="preserve">Christiane Amanpour: Sex &amp; Love Around the World</t>
  </si>
  <si>
    <t xml:space="preserve">The Eighties</t>
  </si>
  <si>
    <t xml:space="preserve">The Nineties</t>
  </si>
  <si>
    <t xml:space="preserve">The Seventies</t>
  </si>
  <si>
    <t xml:space="preserve">We Bare Bears</t>
  </si>
  <si>
    <t xml:space="preserve">The Mayor</t>
  </si>
  <si>
    <t xml:space="preserve">Park In-je</t>
  </si>
  <si>
    <t xml:space="preserve">September 30, 2017</t>
  </si>
  <si>
    <t xml:space="preserve">Dramas, International Movies</t>
  </si>
  <si>
    <t xml:space="preserve">The Royal House of Windsor</t>
  </si>
  <si>
    <t xml:space="preserve">British TV Shows, Docuseries, International TV Shows</t>
  </si>
  <si>
    <t xml:space="preserve">Amanda Knox</t>
  </si>
  <si>
    <t xml:space="preserve">Rod Blackhurst, Brian McGinn</t>
  </si>
  <si>
    <t xml:space="preserve">Denmark, United States</t>
  </si>
  <si>
    <t xml:space="preserve">September 30, 2016</t>
  </si>
  <si>
    <t xml:space="preserve">92 min</t>
  </si>
  <si>
    <t xml:space="preserve">Lovesick</t>
  </si>
  <si>
    <t xml:space="preserve">September 3, 2018</t>
  </si>
  <si>
    <t xml:space="preserve">International TV Shows, Romantic TV Shows, TV Dramas</t>
  </si>
  <si>
    <t xml:space="preserve">The Debt Collector</t>
  </si>
  <si>
    <t xml:space="preserve">Jesse V. Johnson</t>
  </si>
  <si>
    <t xml:space="preserve">United Kingdom, United States</t>
  </si>
  <si>
    <t xml:space="preserve">Act of Vengeance</t>
  </si>
  <si>
    <t xml:space="preserve">Mahsun Kırmızıgül</t>
  </si>
  <si>
    <t xml:space="preserve">Turkey, United States</t>
  </si>
  <si>
    <t xml:space="preserve">September 29, 2018</t>
  </si>
  <si>
    <t xml:space="preserve">Action &amp; Adventure, International Movies</t>
  </si>
  <si>
    <t xml:space="preserve">Paradise Lost</t>
  </si>
  <si>
    <t xml:space="preserve">Monique Gardenberg</t>
  </si>
  <si>
    <t xml:space="preserve">Brazil</t>
  </si>
  <si>
    <t xml:space="preserve">111 min</t>
  </si>
  <si>
    <t xml:space="preserve">Gerald's Game</t>
  </si>
  <si>
    <t xml:space="preserve">Mike Flanagan</t>
  </si>
  <si>
    <t xml:space="preserve">September 29, 2017</t>
  </si>
  <si>
    <t xml:space="preserve">103 min</t>
  </si>
  <si>
    <t xml:space="preserve">Long Shot</t>
  </si>
  <si>
    <t xml:space="preserve">Jacob LaMendola</t>
  </si>
  <si>
    <t xml:space="preserve">40 min</t>
  </si>
  <si>
    <t xml:space="preserve">Mak Cun</t>
  </si>
  <si>
    <t xml:space="preserve">International TV Shows, TV Comedies, TV Dramas</t>
  </si>
  <si>
    <t xml:space="preserve">Our Souls at Night</t>
  </si>
  <si>
    <t xml:space="preserve">Ritesh Batra</t>
  </si>
  <si>
    <t xml:space="preserve">Out of Thin Air</t>
  </si>
  <si>
    <t xml:space="preserve">Dylan Howitt</t>
  </si>
  <si>
    <t xml:space="preserve">85 min</t>
  </si>
  <si>
    <t xml:space="preserve">Documentaries, International Movies</t>
  </si>
  <si>
    <t xml:space="preserve">Paul Hollywood's Big Continental Road Trip</t>
  </si>
  <si>
    <t xml:space="preserve">Satu Hari</t>
  </si>
  <si>
    <t xml:space="preserve">International TV Shows, TV Dramas</t>
  </si>
  <si>
    <t xml:space="preserve">Monster High: Boo York, Boo York</t>
  </si>
  <si>
    <t xml:space="preserve">William Lau</t>
  </si>
  <si>
    <t xml:space="preserve">September 29, 2015</t>
  </si>
  <si>
    <t xml:space="preserve">72 min</t>
  </si>
  <si>
    <t xml:space="preserve">Children &amp; Family Movies, Music &amp; Musicals</t>
  </si>
  <si>
    <t xml:space="preserve">Cultivating the Seas: History and Future of the Full-Cycle Cultured Kindai Tuna</t>
  </si>
  <si>
    <t xml:space="preserve">Mana Yasuda</t>
  </si>
  <si>
    <t xml:space="preserve">September 28, 2019</t>
  </si>
  <si>
    <t xml:space="preserve">45 min</t>
  </si>
  <si>
    <t xml:space="preserve">Domino</t>
  </si>
  <si>
    <t xml:space="preserve">Brian De Palma</t>
  </si>
  <si>
    <t xml:space="preserve">Denmark, France, Italy, Belgium, Netherlands</t>
  </si>
  <si>
    <t xml:space="preserve">89 min</t>
  </si>
  <si>
    <t xml:space="preserve">International Movies, Thrillers</t>
  </si>
  <si>
    <t xml:space="preserve">TUNA GIRL</t>
  </si>
  <si>
    <t xml:space="preserve">5CM</t>
  </si>
  <si>
    <t xml:space="preserve">Rizal Mantovani</t>
  </si>
  <si>
    <t xml:space="preserve">Indonesia</t>
  </si>
  <si>
    <t xml:space="preserve">September 28, 2018</t>
  </si>
  <si>
    <t xml:space="preserve">Animal World</t>
  </si>
  <si>
    <t xml:space="preserve">Han Yan</t>
  </si>
  <si>
    <t xml:space="preserve">China</t>
  </si>
  <si>
    <t xml:space="preserve">Action &amp; Adventure, International Movies, Sci-Fi &amp; Fantasy</t>
  </si>
  <si>
    <t xml:space="preserve">Hold the Dark</t>
  </si>
  <si>
    <t xml:space="preserve">Jeremy Saulnier</t>
  </si>
  <si>
    <t xml:space="preserve">Action &amp; Adventure, Dramas</t>
  </si>
  <si>
    <t xml:space="preserve">Lessons from a School Shooting: Notes from Dunblane</t>
  </si>
  <si>
    <t xml:space="preserve">Kim A. Snyder</t>
  </si>
  <si>
    <t xml:space="preserve">24 min</t>
  </si>
  <si>
    <t xml:space="preserve">Made in Mexico</t>
  </si>
  <si>
    <t xml:space="preserve">International TV Shows, Reality TV, Spanish-Language TV Shows</t>
  </si>
  <si>
    <t xml:space="preserve">Single</t>
  </si>
  <si>
    <t xml:space="preserve">Raditya Dika</t>
  </si>
  <si>
    <t xml:space="preserve">127 min</t>
  </si>
  <si>
    <t xml:space="preserve">The 3rd Eye</t>
  </si>
  <si>
    <t xml:space="preserve">Rocky Soraya</t>
  </si>
  <si>
    <t xml:space="preserve">The Sinking Of Van Der Wijck</t>
  </si>
  <si>
    <t xml:space="preserve">Sunil Soraya</t>
  </si>
  <si>
    <t xml:space="preserve">163 min</t>
  </si>
  <si>
    <t xml:space="preserve">Two Catalonias</t>
  </si>
  <si>
    <t xml:space="preserve">Álvaro Longoria, Gerardo Olivares</t>
  </si>
  <si>
    <t xml:space="preserve">117 min</t>
  </si>
  <si>
    <t xml:space="preserve">Bobby Sands: 66 Days</t>
  </si>
  <si>
    <t xml:space="preserve">Brendan Byrne</t>
  </si>
  <si>
    <t xml:space="preserve">Ireland, United Kingdom</t>
  </si>
  <si>
    <t xml:space="preserve">September 28, 2017</t>
  </si>
  <si>
    <t xml:space="preserve">Bard of Blood</t>
  </si>
  <si>
    <t xml:space="preserve">September 27, 2019</t>
  </si>
  <si>
    <t xml:space="preserve">International TV Shows, TV Action &amp; Adventure, TV Dramas</t>
  </si>
  <si>
    <t xml:space="preserve">Deliha 2</t>
  </si>
  <si>
    <t xml:space="preserve">Gupse Özay</t>
  </si>
  <si>
    <t xml:space="preserve">Turkey</t>
  </si>
  <si>
    <t xml:space="preserve">Dragons: Rescue Riders</t>
  </si>
  <si>
    <t xml:space="preserve">In the Shadow of the Moon</t>
  </si>
  <si>
    <t xml:space="preserve">Jim Mickle</t>
  </si>
  <si>
    <t xml:space="preserve">Dramas, Sci-Fi &amp; Fantasy, Thrillers</t>
  </si>
  <si>
    <t xml:space="preserve">Skylines</t>
  </si>
  <si>
    <t xml:space="preserve">Crime TV Shows, International TV Shows, TV Dramas</t>
  </si>
  <si>
    <t xml:space="preserve">Sturgill Simpson Presents Sound &amp; Fury</t>
  </si>
  <si>
    <t xml:space="preserve">Jumpei Mizusaki, Koji Morimoto, Michael Arias, Masaru Matsumoto, Arthell Isom, Henry Thurlow, Takanobu Mizuno, Elsa Nakamichi, Hajime Sasaki, Shinji Takagi</t>
  </si>
  <si>
    <t xml:space="preserve">42 min</t>
  </si>
  <si>
    <t xml:space="preserve">Anime Features, Music &amp; Musicals, Sci-Fi &amp; Fantasy</t>
  </si>
  <si>
    <t xml:space="preserve">The Politician</t>
  </si>
  <si>
    <t xml:space="preserve">TV Comedies, TV Dramas, Teen TV Shows</t>
  </si>
  <si>
    <t xml:space="preserve">Weeds on Fire</t>
  </si>
  <si>
    <t xml:space="preserve">Chi Fat Chan</t>
  </si>
  <si>
    <t xml:space="preserve">Hong Kong</t>
  </si>
  <si>
    <t xml:space="preserve">September 27, 2018</t>
  </si>
  <si>
    <t xml:space="preserve">Much Loved</t>
  </si>
  <si>
    <t xml:space="preserve">Nabil Ayouch</t>
  </si>
  <si>
    <t xml:space="preserve">France, Morocco</t>
  </si>
  <si>
    <t xml:space="preserve">September 27, 2017</t>
  </si>
  <si>
    <t xml:space="preserve">104 min</t>
  </si>
  <si>
    <t xml:space="preserve">Joseph: King of Dreams</t>
  </si>
  <si>
    <t xml:space="preserve">Rob LaDuca, Robert C. Ramirez</t>
  </si>
  <si>
    <t xml:space="preserve">September 27, 2011</t>
  </si>
  <si>
    <t xml:space="preserve">75 min</t>
  </si>
  <si>
    <t xml:space="preserve">Children &amp; Family Movies, Dramas, Faith &amp; Spirituality</t>
  </si>
  <si>
    <t xml:space="preserve">Malaal</t>
  </si>
  <si>
    <t xml:space="preserve">Mangesh Hadawale</t>
  </si>
  <si>
    <t xml:space="preserve">September 26, 2019</t>
  </si>
  <si>
    <t xml:space="preserve">International Movies, Romantic Movies</t>
  </si>
  <si>
    <t xml:space="preserve">The Grandmaster</t>
  </si>
  <si>
    <t xml:space="preserve">Wong Kar Wai</t>
  </si>
  <si>
    <t xml:space="preserve">Hong Kong, China</t>
  </si>
  <si>
    <t xml:space="preserve">The Inmate</t>
  </si>
  <si>
    <t xml:space="preserve">The Hurricane Heist</t>
  </si>
  <si>
    <t xml:space="preserve">Rob Cohen</t>
  </si>
  <si>
    <t xml:space="preserve">September 26, 2018</t>
  </si>
  <si>
    <t xml:space="preserve">Def Comedy Jam 25</t>
  </si>
  <si>
    <t xml:space="preserve">Louis J. Horvitz</t>
  </si>
  <si>
    <t xml:space="preserve">September 26, 2017</t>
  </si>
  <si>
    <t xml:space="preserve">82 min</t>
  </si>
  <si>
    <t xml:space="preserve">Restless Creature: Wendy Whelan</t>
  </si>
  <si>
    <t xml:space="preserve">Linda Saffire, Adam Schlesinger</t>
  </si>
  <si>
    <t xml:space="preserve">Print the Legend</t>
  </si>
  <si>
    <t xml:space="preserve">Luis Lopez, Clay Tweel</t>
  </si>
  <si>
    <t xml:space="preserve">September 26, 2014</t>
  </si>
  <si>
    <t xml:space="preserve">Birders</t>
  </si>
  <si>
    <t xml:space="preserve">Otilia Portillo Padua</t>
  </si>
  <si>
    <t xml:space="preserve">United States, Mexico</t>
  </si>
  <si>
    <t xml:space="preserve">September 25, 2019</t>
  </si>
  <si>
    <t xml:space="preserve">38 min</t>
  </si>
  <si>
    <t xml:space="preserve">Furie</t>
  </si>
  <si>
    <t xml:space="preserve">Le Van Kiet</t>
  </si>
  <si>
    <t xml:space="preserve">Vietnam</t>
  </si>
  <si>
    <t xml:space="preserve">97 min</t>
  </si>
  <si>
    <t xml:space="preserve">Leap!</t>
  </si>
  <si>
    <t xml:space="preserve">Eric Summer, Éric Warin</t>
  </si>
  <si>
    <t xml:space="preserve">France, Canada</t>
  </si>
  <si>
    <t xml:space="preserve">Oh! Baby (Malayalam)</t>
  </si>
  <si>
    <t xml:space="preserve">B. V. Nandini Reddy</t>
  </si>
  <si>
    <t xml:space="preserve">Comedies, International Movies, Music &amp; Musicals</t>
  </si>
  <si>
    <t xml:space="preserve">Oh! Baby (Tamil)</t>
  </si>
  <si>
    <t xml:space="preserve">USS Indianapolis: Men of Courage</t>
  </si>
  <si>
    <t xml:space="preserve">Mario Van Peebles</t>
  </si>
  <si>
    <t xml:space="preserve">A Wrinkle in Time</t>
  </si>
  <si>
    <t xml:space="preserve">Ava DuVernay</t>
  </si>
  <si>
    <t xml:space="preserve">September 25, 2018</t>
  </si>
  <si>
    <t xml:space="preserve">Teach Us All</t>
  </si>
  <si>
    <t xml:space="preserve">Sonia Lowman</t>
  </si>
  <si>
    <t xml:space="preserve">September 25, 2017</t>
  </si>
  <si>
    <t xml:space="preserve">81 min</t>
  </si>
  <si>
    <t xml:space="preserve">White Island</t>
  </si>
  <si>
    <t xml:space="preserve">Benjamin Turner</t>
  </si>
  <si>
    <t xml:space="preserve">91 min</t>
  </si>
  <si>
    <t xml:space="preserve">Comedies, Independent Movies, Thrillers</t>
  </si>
  <si>
    <t xml:space="preserve">Inside Man: Most Wanted</t>
  </si>
  <si>
    <t xml:space="preserve">Michael J. Bassett</t>
  </si>
  <si>
    <t xml:space="preserve">September 24, 2019</t>
  </si>
  <si>
    <t xml:space="preserve">Jeff Dunham: Beside Himself</t>
  </si>
  <si>
    <t xml:space="preserve">Troy Miller</t>
  </si>
  <si>
    <t xml:space="preserve">China Salesman</t>
  </si>
  <si>
    <t xml:space="preserve">Tan Bing</t>
  </si>
  <si>
    <t xml:space="preserve">September 24, 2018</t>
  </si>
  <si>
    <t xml:space="preserve">Swearnet: The Movie</t>
  </si>
  <si>
    <t xml:space="preserve">Warren P. Sonoda</t>
  </si>
  <si>
    <t xml:space="preserve">September 24, 2017</t>
  </si>
  <si>
    <t xml:space="preserve">The Bar</t>
  </si>
  <si>
    <t xml:space="preserve">Álex de la Iglesia</t>
  </si>
  <si>
    <t xml:space="preserve">Spain, Argentina</t>
  </si>
  <si>
    <t xml:space="preserve">Comedies, Horror Movies, International Movies</t>
  </si>
  <si>
    <t xml:space="preserve">Manmadhudu 2</t>
  </si>
  <si>
    <t xml:space="preserve">Rahul Ravindran</t>
  </si>
  <si>
    <t xml:space="preserve">September 23, 2019</t>
  </si>
  <si>
    <t xml:space="preserve">152 min</t>
  </si>
  <si>
    <t xml:space="preserve">Team Kaylie</t>
  </si>
  <si>
    <t xml:space="preserve">Under the Eiffel Tower</t>
  </si>
  <si>
    <t xml:space="preserve">Archie Borders</t>
  </si>
  <si>
    <t xml:space="preserve">87 min</t>
  </si>
  <si>
    <t xml:space="preserve">Audrie &amp; Daisy</t>
  </si>
  <si>
    <t xml:space="preserve">Bonni Cohen, Jon Shenk</t>
  </si>
  <si>
    <t xml:space="preserve">September 23, 2016</t>
  </si>
  <si>
    <t xml:space="preserve">Iliza Shlesinger: Confirmed Kills</t>
  </si>
  <si>
    <t xml:space="preserve">Bobcat Goldthwait</t>
  </si>
  <si>
    <t xml:space="preserve">BONDING</t>
  </si>
  <si>
    <t xml:space="preserve">September 22, 2019</t>
  </si>
  <si>
    <t xml:space="preserve">TV Comedies, TV Dramas</t>
  </si>
  <si>
    <t xml:space="preserve">Do Paise Ki Dhoop Chaar Aane Ki Baarish</t>
  </si>
  <si>
    <t xml:space="preserve">Deepti Naval</t>
  </si>
  <si>
    <t xml:space="preserve">121 min</t>
  </si>
  <si>
    <t xml:space="preserve">20 Feet From Stardom</t>
  </si>
  <si>
    <t xml:space="preserve">Morgan Neville</t>
  </si>
  <si>
    <t xml:space="preserve">September 22, 2018</t>
  </si>
  <si>
    <t xml:space="preserve">Documentaries, Music &amp; Musicals</t>
  </si>
  <si>
    <t xml:space="preserve">In Darkness</t>
  </si>
  <si>
    <t xml:space="preserve">Anthony Byrne</t>
  </si>
  <si>
    <t xml:space="preserve">101 min</t>
  </si>
  <si>
    <t xml:space="preserve">Independent Movies, International Movies, Thrillers</t>
  </si>
  <si>
    <t xml:space="preserve">Gaga: Five Foot Two</t>
  </si>
  <si>
    <t xml:space="preserve">Chris Moukarbel</t>
  </si>
  <si>
    <t xml:space="preserve">September 22, 2017</t>
  </si>
  <si>
    <t xml:space="preserve">The Bad Batch</t>
  </si>
  <si>
    <t xml:space="preserve">Ana Lily Amirpour</t>
  </si>
  <si>
    <t xml:space="preserve">119 min</t>
  </si>
  <si>
    <t xml:space="preserve">Dramas, Independent Movies, Thrillers</t>
  </si>
  <si>
    <t xml:space="preserve">SMOSH: The Movie</t>
  </si>
  <si>
    <t xml:space="preserve">Alex Winter</t>
  </si>
  <si>
    <t xml:space="preserve">September 22, 2015</t>
  </si>
  <si>
    <t xml:space="preserve">83 min</t>
  </si>
  <si>
    <t xml:space="preserve">King of Boys</t>
  </si>
  <si>
    <t xml:space="preserve">Kemi Adetiba</t>
  </si>
  <si>
    <t xml:space="preserve">Nigeria</t>
  </si>
  <si>
    <t xml:space="preserve">September 21, 2019</t>
  </si>
  <si>
    <t xml:space="preserve">182 min</t>
  </si>
  <si>
    <t xml:space="preserve">Merry Men: The Real Yoruba Demons</t>
  </si>
  <si>
    <t xml:space="preserve">Toka McBaror</t>
  </si>
  <si>
    <t xml:space="preserve">Sarah's Key</t>
  </si>
  <si>
    <t xml:space="preserve">Gilles Paquet-Brenner</t>
  </si>
  <si>
    <t xml:space="preserve">The Wedding Party 2: Destination Dubai</t>
  </si>
  <si>
    <t xml:space="preserve">Niyi Akinmolayan</t>
  </si>
  <si>
    <t xml:space="preserve">Vagabond</t>
  </si>
  <si>
    <t xml:space="preserve">International TV Shows, Korean TV Shows, TV Action &amp; Adventure</t>
  </si>
  <si>
    <t xml:space="preserve">Battlefish</t>
  </si>
  <si>
    <t xml:space="preserve">September 21, 2018</t>
  </si>
  <si>
    <t xml:space="preserve">Reality TV, Science &amp; Nature TV, TV Action &amp; Adventure</t>
  </si>
  <si>
    <t xml:space="preserve">DRAGON PILOT: Hisone &amp; Masotan</t>
  </si>
  <si>
    <t xml:space="preserve">Anime Series, International TV Shows</t>
  </si>
  <si>
    <t xml:space="preserve">Hilda</t>
  </si>
  <si>
    <t xml:space="preserve">United Kingdom, Canada, United States</t>
  </si>
  <si>
    <t xml:space="preserve">Maniac</t>
  </si>
  <si>
    <t xml:space="preserve">TV Comedies, TV Dramas, TV Mysteries</t>
  </si>
  <si>
    <t xml:space="preserve">Quincy</t>
  </si>
  <si>
    <t xml:space="preserve">Rashida Jones, Alan Hicks</t>
  </si>
  <si>
    <t xml:space="preserve">124 min</t>
  </si>
  <si>
    <t xml:space="preserve">Rafinha Bastos: Ultimatum</t>
  </si>
  <si>
    <t xml:space="preserve">63 min</t>
  </si>
  <si>
    <t xml:space="preserve">The Good Cop</t>
  </si>
  <si>
    <t xml:space="preserve">Crime TV Shows, TV Comedies, TV Dramas</t>
  </si>
  <si>
    <t xml:space="preserve">Between Two Ferns: The Movie</t>
  </si>
  <si>
    <t xml:space="preserve">Scott Aukerman</t>
  </si>
  <si>
    <t xml:space="preserve">September 20, 2019</t>
  </si>
  <si>
    <t xml:space="preserve">Criminal: France</t>
  </si>
  <si>
    <t xml:space="preserve">Criminal: Germany</t>
  </si>
  <si>
    <t xml:space="preserve">Criminal: Spain</t>
  </si>
  <si>
    <t xml:space="preserve">Mariano Barroso</t>
  </si>
  <si>
    <t xml:space="preserve">Criminal: UK</t>
  </si>
  <si>
    <t xml:space="preserve">United Kingdom, France, Germany, Spain</t>
  </si>
  <si>
    <t xml:space="preserve">British TV Shows, Crime TV Shows, International TV Shows</t>
  </si>
  <si>
    <t xml:space="preserve">Daddy Issues</t>
  </si>
  <si>
    <t xml:space="preserve">Amara Cash</t>
  </si>
  <si>
    <t xml:space="preserve">Dramas, Independent Movies, LGBTQ Movies</t>
  </si>
  <si>
    <t xml:space="preserve">Inside Bill's Brain: Decoding Bill Gates</t>
  </si>
  <si>
    <t xml:space="preserve">The Hockey Girls</t>
  </si>
  <si>
    <t xml:space="preserve">Kiko Cruz Claverol, Patricia Font</t>
  </si>
  <si>
    <t xml:space="preserve">Travel Mates 2</t>
  </si>
  <si>
    <t xml:space="preserve">Bedran Güzel</t>
  </si>
  <si>
    <t xml:space="preserve">True: Tricky Treat Day</t>
  </si>
  <si>
    <t xml:space="preserve">Two Sentence Horror Stories</t>
  </si>
  <si>
    <t xml:space="preserve">TV Horror, Teen TV Shows</t>
  </si>
  <si>
    <t xml:space="preserve">Mad World</t>
  </si>
  <si>
    <t xml:space="preserve">Chun Wong</t>
  </si>
  <si>
    <t xml:space="preserve">September 20, 2018</t>
  </si>
  <si>
    <t xml:space="preserve">Mobile Suit Gundam UC</t>
  </si>
  <si>
    <t xml:space="preserve">The Bund</t>
  </si>
  <si>
    <t xml:space="preserve">The First Line</t>
  </si>
  <si>
    <t xml:space="preserve">Coerte Voorhees, John Voorhees</t>
  </si>
  <si>
    <t xml:space="preserve">United States, Greece, United Kingdom</t>
  </si>
  <si>
    <t xml:space="preserve">September 20, 2016</t>
  </si>
  <si>
    <t xml:space="preserve">Maynard</t>
  </si>
  <si>
    <t xml:space="preserve">Samuel D. Pollard</t>
  </si>
  <si>
    <t xml:space="preserve">September 2, 2018</t>
  </si>
  <si>
    <t xml:space="preserve">Monkey Twins</t>
  </si>
  <si>
    <t xml:space="preserve">Crime TV Shows, International TV Shows, TV Action &amp; Adventure</t>
  </si>
  <si>
    <t xml:space="preserve">Bitcoin Heist</t>
  </si>
  <si>
    <t xml:space="preserve">Ham Tran</t>
  </si>
  <si>
    <t xml:space="preserve">September 2, 2017</t>
  </si>
  <si>
    <t xml:space="preserve">I Am Not Madame Bovary</t>
  </si>
  <si>
    <t xml:space="preserve">Feng Xiaogang</t>
  </si>
  <si>
    <t xml:space="preserve">139 min</t>
  </si>
  <si>
    <t xml:space="preserve">Vincent N Roxxy</t>
  </si>
  <si>
    <t xml:space="preserve">Gary Michael Schultz</t>
  </si>
  <si>
    <t xml:space="preserve">Dramas, Thrillers</t>
  </si>
  <si>
    <t xml:space="preserve">Chef's Table: France</t>
  </si>
  <si>
    <t xml:space="preserve">September 2, 2016</t>
  </si>
  <si>
    <t xml:space="preserve">Kulipari: An Army of Frogs</t>
  </si>
  <si>
    <t xml:space="preserve">Miss Julie</t>
  </si>
  <si>
    <t xml:space="preserve">Liv Ullmann</t>
  </si>
  <si>
    <t xml:space="preserve">Norway, United Kingdom, France, Ireland</t>
  </si>
  <si>
    <t xml:space="preserve">September 2, 2015</t>
  </si>
  <si>
    <t xml:space="preserve">Kabir Singh</t>
  </si>
  <si>
    <t xml:space="preserve">Sandeep Reddy Vanga</t>
  </si>
  <si>
    <t xml:space="preserve">September 19, 2019</t>
  </si>
  <si>
    <t xml:space="preserve">171 min</t>
  </si>
  <si>
    <t xml:space="preserve">Océans</t>
  </si>
  <si>
    <t xml:space="preserve">Jacques Perrin, Jacques Cluzaud</t>
  </si>
  <si>
    <t xml:space="preserve">France, Switzerland, Spain, United States, United Arab Emirates</t>
  </si>
  <si>
    <t xml:space="preserve">G</t>
  </si>
  <si>
    <t xml:space="preserve">84 min</t>
  </si>
  <si>
    <t xml:space="preserve">The Endless</t>
  </si>
  <si>
    <t xml:space="preserve">Justin Benson, Aaron Moorhead</t>
  </si>
  <si>
    <t xml:space="preserve">September 19, 2018</t>
  </si>
  <si>
    <t xml:space="preserve">Independent Movies, Sci-Fi &amp; Fantasy, Thrillers</t>
  </si>
  <si>
    <t xml:space="preserve">Transformers: Rescue Bots</t>
  </si>
  <si>
    <t xml:space="preserve">Canada, United States</t>
  </si>
  <si>
    <t xml:space="preserve">Jerry Before Seinfeld</t>
  </si>
  <si>
    <t xml:space="preserve">Michael Bonfiglio</t>
  </si>
  <si>
    <t xml:space="preserve">September 19, 2017</t>
  </si>
  <si>
    <t xml:space="preserve">Manhunt</t>
  </si>
  <si>
    <t xml:space="preserve">Karol Modzelewski, Łukasz „Lotek” Lodkowski No Offense</t>
  </si>
  <si>
    <t xml:space="preserve">September 19, 2016</t>
  </si>
  <si>
    <t xml:space="preserve">Katarzyna Piasecka, Rafał Pacześ Seriously Funny</t>
  </si>
  <si>
    <t xml:space="preserve">Mariusz Kałamaga, Karol Kopiec, Wiolka Walaszczyk Hilarious Trio</t>
  </si>
  <si>
    <t xml:space="preserve">69 min</t>
  </si>
  <si>
    <t xml:space="preserve">Rafał Banaś, Michał Leja Laugh out Loud</t>
  </si>
  <si>
    <t xml:space="preserve">The Best of Rafał Rutkowski Olka Szczęśniak</t>
  </si>
  <si>
    <t xml:space="preserve">Tomasz Jachimek, Jacek Stramik Laugh at Live</t>
  </si>
  <si>
    <t xml:space="preserve">Come and Find Me</t>
  </si>
  <si>
    <t xml:space="preserve">Zack Whedon</t>
  </si>
  <si>
    <t xml:space="preserve">Canada, United States, United Kingdom</t>
  </si>
  <si>
    <t xml:space="preserve">September 18, 2019</t>
  </si>
  <si>
    <t xml:space="preserve">When the Camellia Blooms</t>
  </si>
  <si>
    <t xml:space="preserve">International TV Shows, Korean TV Shows, Romantic TV Shows</t>
  </si>
  <si>
    <t xml:space="preserve">Class Rank</t>
  </si>
  <si>
    <t xml:space="preserve">Eric Stoltz</t>
  </si>
  <si>
    <t xml:space="preserve">September 18, 2018</t>
  </si>
  <si>
    <t xml:space="preserve">Barbie Dolphin Magic</t>
  </si>
  <si>
    <t xml:space="preserve">Conrad Helten</t>
  </si>
  <si>
    <t xml:space="preserve">September 18, 2017</t>
  </si>
  <si>
    <t xml:space="preserve">Forget Me Not</t>
  </si>
  <si>
    <t xml:space="preserve">The Beat</t>
  </si>
  <si>
    <t xml:space="preserve">Timeless Season</t>
  </si>
  <si>
    <t xml:space="preserve">Keith Richards: Under the Influence</t>
  </si>
  <si>
    <t xml:space="preserve">September 18, 2015</t>
  </si>
  <si>
    <t xml:space="preserve">A Haunting at Silver Falls: The Return</t>
  </si>
  <si>
    <t xml:space="preserve">Teo Konuralp</t>
  </si>
  <si>
    <t xml:space="preserve">September 17, 2019</t>
  </si>
  <si>
    <t xml:space="preserve">Horror Movies, Independent Movies</t>
  </si>
  <si>
    <t xml:space="preserve">Ancient Aliens</t>
  </si>
  <si>
    <t xml:space="preserve">Avengement</t>
  </si>
  <si>
    <t xml:space="preserve">Clive Davis: The Soundtrack of Our Lives</t>
  </si>
  <si>
    <t xml:space="preserve">Chris Perkel</t>
  </si>
  <si>
    <t xml:space="preserve">Five Elements Ninjas</t>
  </si>
  <si>
    <t xml:space="preserve">Cheh Chang</t>
  </si>
  <si>
    <t xml:space="preserve">Sebastian Maniscalco: What's Wrong with People?</t>
  </si>
  <si>
    <t xml:space="preserve">Manny Rodriguez</t>
  </si>
  <si>
    <t xml:space="preserve">76 min</t>
  </si>
  <si>
    <t xml:space="preserve">The Last Kids on Earth</t>
  </si>
  <si>
    <t xml:space="preserve">The Witch</t>
  </si>
  <si>
    <t xml:space="preserve">Robert Eggers</t>
  </si>
  <si>
    <t xml:space="preserve">September 17, 2018</t>
  </si>
  <si>
    <t xml:space="preserve">Click for Murder</t>
  </si>
  <si>
    <t xml:space="preserve">September 17, 2017</t>
  </si>
  <si>
    <t xml:space="preserve">British TV Shows, Crime TV Shows, Docuseries</t>
  </si>
  <si>
    <t xml:space="preserve">I Am Wrath</t>
  </si>
  <si>
    <t xml:space="preserve">Chuck Russell</t>
  </si>
  <si>
    <t xml:space="preserve">September 16, 2019</t>
  </si>
  <si>
    <t xml:space="preserve">As Above, So Below</t>
  </si>
  <si>
    <t xml:space="preserve">John Erick Dowdle</t>
  </si>
  <si>
    <t xml:space="preserve">September 16, 2018</t>
  </si>
  <si>
    <t xml:space="preserve">Scott Pilgrim vs. the World</t>
  </si>
  <si>
    <t xml:space="preserve">Edgar Wright</t>
  </si>
  <si>
    <t xml:space="preserve">United States, United Kingdom, Canada, Japan</t>
  </si>
  <si>
    <t xml:space="preserve">Action &amp; Adventure, Comedies, Cult Movies</t>
  </si>
  <si>
    <t xml:space="preserve">ARQ</t>
  </si>
  <si>
    <t xml:space="preserve">Tony Elliott</t>
  </si>
  <si>
    <t xml:space="preserve">September 16, 2016</t>
  </si>
  <si>
    <t xml:space="preserve">Cedric the Entertainer: Live from the Ville</t>
  </si>
  <si>
    <t xml:space="preserve">Louis C.K.: Hilarious</t>
  </si>
  <si>
    <t xml:space="preserve">Louis C.K.</t>
  </si>
  <si>
    <t xml:space="preserve">Raiders!: The Story of the Greatest Fan Film Ever Made</t>
  </si>
  <si>
    <t xml:space="preserve">Jeremy Coon, Tim Skousen</t>
  </si>
  <si>
    <t xml:space="preserve">The White Helmets</t>
  </si>
  <si>
    <t xml:space="preserve">Orlando von Einsiedel</t>
  </si>
  <si>
    <t xml:space="preserve">41 min</t>
  </si>
  <si>
    <t xml:space="preserve">America's Book of Secrets</t>
  </si>
  <si>
    <t xml:space="preserve">September 15, 2019</t>
  </si>
  <si>
    <t xml:space="preserve">Bakugan: Battle Planet</t>
  </si>
  <si>
    <t xml:space="preserve">Japan, Canada, South Korea</t>
  </si>
  <si>
    <t xml:space="preserve">Anime Series, Kids' TV</t>
  </si>
  <si>
    <t xml:space="preserve">Cold Case Files</t>
  </si>
  <si>
    <t xml:space="preserve">Crime TV Shows, Docuseries</t>
  </si>
  <si>
    <t xml:space="preserve">Los Tigres del Norte at Folsom Prison</t>
  </si>
  <si>
    <t xml:space="preserve">Tom Donahue</t>
  </si>
  <si>
    <t xml:space="preserve">Documentaries, International Movies, Music &amp; Musicals</t>
  </si>
  <si>
    <t xml:space="preserve">Pawn Stars</t>
  </si>
  <si>
    <t xml:space="preserve">Reality TV</t>
  </si>
  <si>
    <t xml:space="preserve">Steal a Pencil for Me</t>
  </si>
  <si>
    <t xml:space="preserve">Michèle Ohayon</t>
  </si>
  <si>
    <t xml:space="preserve">Surviving R. Kelly</t>
  </si>
  <si>
    <t xml:space="preserve">The Curse of Oak Island</t>
  </si>
  <si>
    <t xml:space="preserve">The Outsider</t>
  </si>
  <si>
    <t xml:space="preserve">Timothy Woodward Jr.</t>
  </si>
  <si>
    <t xml:space="preserve">The Rap Game</t>
  </si>
  <si>
    <t xml:space="preserve">The Universe</t>
  </si>
  <si>
    <t xml:space="preserve">Al Hayba</t>
  </si>
  <si>
    <t xml:space="preserve">Lebanon</t>
  </si>
  <si>
    <t xml:space="preserve">September 15, 2018</t>
  </si>
  <si>
    <t xml:space="preserve">Arisan 2</t>
  </si>
  <si>
    <t xml:space="preserve">Nia Dinata</t>
  </si>
  <si>
    <t xml:space="preserve">Cabins in the Wild with Dick Strawbridge</t>
  </si>
  <si>
    <t xml:space="preserve">British TV Shows, International TV Shows, Reality TV</t>
  </si>
  <si>
    <t xml:space="preserve">Cardboard Gangsters</t>
  </si>
  <si>
    <t xml:space="preserve">Mark O'Connor</t>
  </si>
  <si>
    <t xml:space="preserve">Ireland</t>
  </si>
  <si>
    <t xml:space="preserve">Eeda</t>
  </si>
  <si>
    <t xml:space="preserve">Ajithkumar</t>
  </si>
  <si>
    <t xml:space="preserve">153 min</t>
  </si>
  <si>
    <t xml:space="preserve">Galih dan Ratna</t>
  </si>
  <si>
    <t xml:space="preserve">Lucky Kuswandi</t>
  </si>
  <si>
    <t xml:space="preserve">Gie</t>
  </si>
  <si>
    <t xml:space="preserve">Riri Riza</t>
  </si>
  <si>
    <t xml:space="preserve">141 min</t>
  </si>
  <si>
    <t xml:space="preserve">​Goli Soda 2</t>
  </si>
  <si>
    <t xml:space="preserve">Vijay Milton</t>
  </si>
  <si>
    <t xml:space="preserve">How to Live Mortgage Free with Sarah Beeny</t>
  </si>
  <si>
    <t xml:space="preserve">Inside The Freemasons</t>
  </si>
  <si>
    <t xml:space="preserve">Jugaad</t>
  </si>
  <si>
    <t xml:space="preserve">Susannah Heath-Eves</t>
  </si>
  <si>
    <t xml:space="preserve">52 min</t>
  </si>
  <si>
    <t xml:space="preserve">​Maj Rati ​​Keteki</t>
  </si>
  <si>
    <t xml:space="preserve">Santwana Bardoloi</t>
  </si>
  <si>
    <t xml:space="preserve">​Mayurakshi</t>
  </si>
  <si>
    <t xml:space="preserve">Atanu Ghosh</t>
  </si>
  <si>
    <t xml:space="preserve">Red Oleanders Raktokarobi</t>
  </si>
  <si>
    <t xml:space="preserve">Amitava Bhattacharya</t>
  </si>
  <si>
    <t xml:space="preserve">Samantaral</t>
  </si>
  <si>
    <t xml:space="preserve">Partha Chakraborty</t>
  </si>
  <si>
    <t xml:space="preserve">The Secret</t>
  </si>
  <si>
    <t xml:space="preserve">Raffi Ahmad, Arie Azis</t>
  </si>
  <si>
    <t xml:space="preserve">First They Killed My Father</t>
  </si>
  <si>
    <t xml:space="preserve">Angelina Jolie</t>
  </si>
  <si>
    <t xml:space="preserve">Cambodia, United States</t>
  </si>
  <si>
    <t xml:space="preserve">September 15, 2017</t>
  </si>
  <si>
    <t xml:space="preserve">137 min</t>
  </si>
  <si>
    <t xml:space="preserve">Gagarin: First in Space</t>
  </si>
  <si>
    <t xml:space="preserve">Pavel Parkhomenko</t>
  </si>
  <si>
    <t xml:space="preserve">Russia</t>
  </si>
  <si>
    <t xml:space="preserve">Janaan</t>
  </si>
  <si>
    <t xml:space="preserve">Azfar Jafri</t>
  </si>
  <si>
    <t xml:space="preserve">132 min</t>
  </si>
  <si>
    <t xml:space="preserve">Larceny</t>
  </si>
  <si>
    <t xml:space="preserve">R. Ellis Frazier</t>
  </si>
  <si>
    <t xml:space="preserve">Rumble</t>
  </si>
  <si>
    <t xml:space="preserve">Action &amp; Adventure, Independent Movies</t>
  </si>
  <si>
    <t xml:space="preserve">Strong Island</t>
  </si>
  <si>
    <t xml:space="preserve">Yance Ford</t>
  </si>
  <si>
    <t xml:space="preserve">United States, Denmark</t>
  </si>
  <si>
    <t xml:space="preserve">The Five</t>
  </si>
  <si>
    <t xml:space="preserve">Mark Tonderai</t>
  </si>
  <si>
    <t xml:space="preserve">British TV Shows, Crime TV Shows, TV Dramas</t>
  </si>
  <si>
    <t xml:space="preserve">Natural Born Pranksters</t>
  </si>
  <si>
    <t xml:space="preserve">Roman Atwood, Ben Pluimer</t>
  </si>
  <si>
    <t xml:space="preserve">September 15, 2016</t>
  </si>
  <si>
    <t xml:space="preserve">Sample This</t>
  </si>
  <si>
    <t xml:space="preserve">Dan Forrer</t>
  </si>
  <si>
    <t xml:space="preserve">Wartime Portraits</t>
  </si>
  <si>
    <t xml:space="preserve">Poland</t>
  </si>
  <si>
    <t xml:space="preserve">Docuseries, International TV Shows</t>
  </si>
  <si>
    <t xml:space="preserve">Cowspiracy: The Sustainability Secret</t>
  </si>
  <si>
    <t xml:space="preserve">Kip Andersen, Keegan Kuhn</t>
  </si>
  <si>
    <t xml:space="preserve">September 15, 2015</t>
  </si>
  <si>
    <t xml:space="preserve">Oh! Baby</t>
  </si>
  <si>
    <t xml:space="preserve">September 14, 2019</t>
  </si>
  <si>
    <t xml:space="preserve">157 min</t>
  </si>
  <si>
    <t xml:space="preserve">The Crystal Calls Making the Dark Crystal: Age of Resistance</t>
  </si>
  <si>
    <t xml:space="preserve">Randall Lobb</t>
  </si>
  <si>
    <t xml:space="preserve">We Have Always Lived in the Castle</t>
  </si>
  <si>
    <t xml:space="preserve">Stacie Passon</t>
  </si>
  <si>
    <t xml:space="preserve">Bangkok Hell</t>
  </si>
  <si>
    <t xml:space="preserve">Manop Janjarasskul</t>
  </si>
  <si>
    <t xml:space="preserve">September 14, 2018</t>
  </si>
  <si>
    <t xml:space="preserve">Behind the Newsroom</t>
  </si>
  <si>
    <t xml:space="preserve">Bleach</t>
  </si>
  <si>
    <t xml:space="preserve">Shinsuke Sato</t>
  </si>
  <si>
    <t xml:space="preserve">109 min</t>
  </si>
  <si>
    <t xml:space="preserve">Boca Juniors Confidential</t>
  </si>
  <si>
    <t xml:space="preserve">Docuseries, International TV Shows, Spanish-Language TV Shows</t>
  </si>
  <si>
    <t xml:space="preserve">Car Masters: Rust to Riches</t>
  </si>
  <si>
    <t xml:space="preserve">Norm Macdonald Has a Show</t>
  </si>
  <si>
    <t xml:space="preserve">Stand-Up Comedy &amp; Talk Shows, TV Comedies</t>
  </si>
  <si>
    <t xml:space="preserve">Still</t>
  </si>
  <si>
    <t xml:space="preserve">Chatchai Katenut, Manussa Vorasingha, Tanwarin Sukkhapisit, Poj Arnon</t>
  </si>
  <si>
    <t xml:space="preserve">Super Monsters Monster Party</t>
  </si>
  <si>
    <t xml:space="preserve">The Angel</t>
  </si>
  <si>
    <t xml:space="preserve">Ariel Vromen</t>
  </si>
  <si>
    <t xml:space="preserve">Israel, United States</t>
  </si>
  <si>
    <t xml:space="preserve">The Land of Steady Habits</t>
  </si>
  <si>
    <t xml:space="preserve">Nicole Holofcener</t>
  </si>
  <si>
    <t xml:space="preserve">The Rise of Phoenixes</t>
  </si>
  <si>
    <t xml:space="preserve">International TV Shows, Romantic TV Shows, TV Action &amp; Adventure</t>
  </si>
  <si>
    <t xml:space="preserve">American Warfighter</t>
  </si>
  <si>
    <t xml:space="preserve">Jerry G. Angelo</t>
  </si>
  <si>
    <t xml:space="preserve">September 13, 2019</t>
  </si>
  <si>
    <t xml:space="preserve">Deviant Love</t>
  </si>
  <si>
    <t xml:space="preserve">Michael Feifer</t>
  </si>
  <si>
    <t xml:space="preserve">Thrillers</t>
  </si>
  <si>
    <t xml:space="preserve">Head Count</t>
  </si>
  <si>
    <t xml:space="preserve">Elle Callahan</t>
  </si>
  <si>
    <t xml:space="preserve">Hello, Privilege. It's Me, Chelsea</t>
  </si>
  <si>
    <t xml:space="preserve">Alex Stapleton</t>
  </si>
  <si>
    <t xml:space="preserve">Kabaneri of the Iron Fortress: The Battle of Unato</t>
  </si>
  <si>
    <t xml:space="preserve">Anime Series, International TV Shows, TV Horror</t>
  </si>
  <si>
    <t xml:space="preserve">Locked on You</t>
  </si>
  <si>
    <t xml:space="preserve">Kıvanç Baruönü</t>
  </si>
  <si>
    <t xml:space="preserve">105 min</t>
  </si>
  <si>
    <t xml:space="preserve">Marianne</t>
  </si>
  <si>
    <t xml:space="preserve">International TV Shows, TV Dramas, TV Horror</t>
  </si>
  <si>
    <t xml:space="preserve">Monarca</t>
  </si>
  <si>
    <t xml:space="preserve">International TV Shows, Spanish-Language TV Shows, TV Dramas</t>
  </si>
  <si>
    <t xml:space="preserve">Shanghai Fortress</t>
  </si>
  <si>
    <t xml:space="preserve">Teng Huatao</t>
  </si>
  <si>
    <t xml:space="preserve">Tall Girl</t>
  </si>
  <si>
    <t xml:space="preserve">Nzingha Stewart</t>
  </si>
  <si>
    <t xml:space="preserve">Children &amp; Family Movies, Comedies, Romantic Movies</t>
  </si>
  <si>
    <t xml:space="preserve">Time Trap</t>
  </si>
  <si>
    <t xml:space="preserve">Mark Dennis, Ben Foster</t>
  </si>
  <si>
    <t xml:space="preserve">Top Boy</t>
  </si>
  <si>
    <t xml:space="preserve">Unbelievable</t>
  </si>
  <si>
    <t xml:space="preserve">Crime TV Shows, TV Dramas</t>
  </si>
  <si>
    <t xml:space="preserve">Reversing Roe</t>
  </si>
  <si>
    <t xml:space="preserve">September 13, 2018</t>
  </si>
  <si>
    <t xml:space="preserve">Ghost of the Mountains</t>
  </si>
  <si>
    <t xml:space="preserve">Ben Wallis</t>
  </si>
  <si>
    <t xml:space="preserve">September 13, 2017</t>
  </si>
  <si>
    <t xml:space="preserve">Extremis</t>
  </si>
  <si>
    <t xml:space="preserve">Dan Krauss</t>
  </si>
  <si>
    <t xml:space="preserve">September 13, 2016</t>
  </si>
  <si>
    <t xml:space="preserve">25 min</t>
  </si>
  <si>
    <t xml:space="preserve">The I-Land</t>
  </si>
  <si>
    <t xml:space="preserve">September 12, 2019</t>
  </si>
  <si>
    <t xml:space="preserve">TV Action &amp; Adventure, TV Dramas, TV Sci-Fi &amp; Fantasy</t>
  </si>
  <si>
    <t xml:space="preserve">The Mind, Explained</t>
  </si>
  <si>
    <t xml:space="preserve">Turbo</t>
  </si>
  <si>
    <t xml:space="preserve">David Soren</t>
  </si>
  <si>
    <t xml:space="preserve">Life</t>
  </si>
  <si>
    <t xml:space="preserve">September 12, 2018</t>
  </si>
  <si>
    <t xml:space="preserve">International TV Shows, Korean TV Shows, TV Dramas</t>
  </si>
  <si>
    <t xml:space="preserve">On My Skin</t>
  </si>
  <si>
    <t xml:space="preserve">Alessio Cremonini</t>
  </si>
  <si>
    <t xml:space="preserve">Italy</t>
  </si>
  <si>
    <t xml:space="preserve">Heroin(e)</t>
  </si>
  <si>
    <t xml:space="preserve">Elaine McMillion Sheldon</t>
  </si>
  <si>
    <t xml:space="preserve">September 12, 2017</t>
  </si>
  <si>
    <t xml:space="preserve">Jeff Dunham: Relative Disaster</t>
  </si>
  <si>
    <t xml:space="preserve">Michael Simon</t>
  </si>
  <si>
    <t xml:space="preserve">71 min</t>
  </si>
  <si>
    <t xml:space="preserve">Daniel Sloss: Live Shows</t>
  </si>
  <si>
    <t xml:space="preserve">September 11, 2018</t>
  </si>
  <si>
    <t xml:space="preserve">If I were an Animal</t>
  </si>
  <si>
    <t xml:space="preserve">Docuseries, Kids' TV, Science &amp; Nature TV</t>
  </si>
  <si>
    <t xml:space="preserve">The Resistance Banker</t>
  </si>
  <si>
    <t xml:space="preserve">Joram Lürsen</t>
  </si>
  <si>
    <t xml:space="preserve">Netherlands</t>
  </si>
  <si>
    <t xml:space="preserve">123 min</t>
  </si>
  <si>
    <t xml:space="preserve">The Forgotten</t>
  </si>
  <si>
    <t xml:space="preserve">Oliver Frampton</t>
  </si>
  <si>
    <t xml:space="preserve">September 11, 2017</t>
  </si>
  <si>
    <t xml:space="preserve">Bill Burr: Paper Tiger</t>
  </si>
  <si>
    <t xml:space="preserve">Mike Binder</t>
  </si>
  <si>
    <t xml:space="preserve">September 10, 2019</t>
  </si>
  <si>
    <t xml:space="preserve">67 min</t>
  </si>
  <si>
    <t xml:space="preserve">Eat Pray Love</t>
  </si>
  <si>
    <t xml:space="preserve">Ryan Murphy</t>
  </si>
  <si>
    <t xml:space="preserve">140 min</t>
  </si>
  <si>
    <t xml:space="preserve">Evelyn</t>
  </si>
  <si>
    <t xml:space="preserve">Our Godfather</t>
  </si>
  <si>
    <t xml:space="preserve">Mark Franchetti, Andrew Meier</t>
  </si>
  <si>
    <t xml:space="preserve">Terrace House: Tokyo 2019-2020</t>
  </si>
  <si>
    <t xml:space="preserve">International TV Shows, Reality TV</t>
  </si>
  <si>
    <t xml:space="preserve">My Teacher, My Obsession</t>
  </si>
  <si>
    <t xml:space="preserve">Damián Romay</t>
  </si>
  <si>
    <t xml:space="preserve">September 10, 2018</t>
  </si>
  <si>
    <t xml:space="preserve">68 Kill</t>
  </si>
  <si>
    <t xml:space="preserve">Trent Haaga</t>
  </si>
  <si>
    <t xml:space="preserve">September 1, 2019</t>
  </si>
  <si>
    <t xml:space="preserve">American Psycho</t>
  </si>
  <si>
    <t xml:space="preserve">Mary Harron</t>
  </si>
  <si>
    <t xml:space="preserve">Comedies, Cult Movies, Dramas</t>
  </si>
  <si>
    <t xml:space="preserve">Dante's Peak</t>
  </si>
  <si>
    <t xml:space="preserve">Roger Donaldson</t>
  </si>
  <si>
    <t xml:space="preserve">Elena</t>
  </si>
  <si>
    <t xml:space="preserve">Petra Costa</t>
  </si>
  <si>
    <t xml:space="preserve">Brazil, United States</t>
  </si>
  <si>
    <t xml:space="preserve">First Kill</t>
  </si>
  <si>
    <t xml:space="preserve">Steven C. Miller</t>
  </si>
  <si>
    <t xml:space="preserve">For the Birds</t>
  </si>
  <si>
    <t xml:space="preserve">Richard Miron</t>
  </si>
  <si>
    <t xml:space="preserve">Igor</t>
  </si>
  <si>
    <t xml:space="preserve">Tony Leondis</t>
  </si>
  <si>
    <t xml:space="preserve">United States, France</t>
  </si>
  <si>
    <t xml:space="preserve">Just Friends</t>
  </si>
  <si>
    <t xml:space="preserve">Roger Kumble</t>
  </si>
  <si>
    <t xml:space="preserve">Germany, United States, Canada</t>
  </si>
  <si>
    <t xml:space="preserve">Loo Loo Kids: Johny &amp; Friends Musical Adventures</t>
  </si>
  <si>
    <t xml:space="preserve">Mokalik (Mechanic)</t>
  </si>
  <si>
    <t xml:space="preserve">Kunle Afolayan</t>
  </si>
  <si>
    <t xml:space="preserve">Mr. Woodcock</t>
  </si>
  <si>
    <t xml:space="preserve">Craig Gillespie</t>
  </si>
  <si>
    <t xml:space="preserve">My Sister's Keeper</t>
  </si>
  <si>
    <t xml:space="preserve">Nick Cassavetes</t>
  </si>
  <si>
    <t xml:space="preserve">Mystic River</t>
  </si>
  <si>
    <t xml:space="preserve">Clint Eastwood</t>
  </si>
  <si>
    <t xml:space="preserve">United States, Australia</t>
  </si>
  <si>
    <t xml:space="preserve">138 min</t>
  </si>
  <si>
    <t xml:space="preserve">Oct-01</t>
  </si>
  <si>
    <t xml:space="preserve">149 min</t>
  </si>
  <si>
    <t xml:space="preserve">Olmo &amp; the Seagull</t>
  </si>
  <si>
    <t xml:space="preserve">Petra Costa, Lea Glob</t>
  </si>
  <si>
    <t xml:space="preserve">Denmark, Brazil, France, Portugal, Sweden</t>
  </si>
  <si>
    <t xml:space="preserve">Open Season</t>
  </si>
  <si>
    <t xml:space="preserve">Roger Allers, Jill Culton</t>
  </si>
  <si>
    <t xml:space="preserve">Phone Swap</t>
  </si>
  <si>
    <t xml:space="preserve">Poseidon</t>
  </si>
  <si>
    <t xml:space="preserve">Wolfgang Petersen</t>
  </si>
  <si>
    <t xml:space="preserve">Rachel Getting Married</t>
  </si>
  <si>
    <t xml:space="preserve">Jonathan Demme</t>
  </si>
  <si>
    <t xml:space="preserve">Serial Killer with Piers Morgan</t>
  </si>
  <si>
    <t xml:space="preserve">Spookley the Square Pumpkin</t>
  </si>
  <si>
    <t xml:space="preserve">Bernie Denk</t>
  </si>
  <si>
    <t xml:space="preserve">47 min</t>
  </si>
  <si>
    <t xml:space="preserve">Stripes</t>
  </si>
  <si>
    <t xml:space="preserve">Ivan Reitman</t>
  </si>
  <si>
    <t xml:space="preserve">Classic Movies, Comedies, Cult Movies</t>
  </si>
  <si>
    <t xml:space="preserve">Superbad</t>
  </si>
  <si>
    <t xml:space="preserve">Greg Mottola</t>
  </si>
  <si>
    <t xml:space="preserve">Comedies, Cult Movies</t>
  </si>
  <si>
    <t xml:space="preserve">The Bridge</t>
  </si>
  <si>
    <t xml:space="preserve">The CEO</t>
  </si>
  <si>
    <t xml:space="preserve">The Lake House</t>
  </si>
  <si>
    <t xml:space="preserve">Alejandro Agresti</t>
  </si>
  <si>
    <t xml:space="preserve">Dramas, Romantic Movies, Sci-Fi &amp; Fantasy</t>
  </si>
  <si>
    <t xml:space="preserve">The Last Exorcism</t>
  </si>
  <si>
    <t xml:space="preserve">Daniel Stamm</t>
  </si>
  <si>
    <t xml:space="preserve">France, United States</t>
  </si>
  <si>
    <t xml:space="preserve">Horror Movies, Independent Movies, Thrillers</t>
  </si>
  <si>
    <t xml:space="preserve">The Saint</t>
  </si>
  <si>
    <t xml:space="preserve">Phillip Noyce</t>
  </si>
  <si>
    <t xml:space="preserve">Action &amp; Adventure, Romantic Movies</t>
  </si>
  <si>
    <t xml:space="preserve">The Taking of Pelham 123</t>
  </si>
  <si>
    <t xml:space="preserve">Tony Scott</t>
  </si>
  <si>
    <t xml:space="preserve">Transformers Rescue Bots Academy</t>
  </si>
  <si>
    <t xml:space="preserve">Transformers: Cyberverse</t>
  </si>
  <si>
    <t xml:space="preserve">Uncle Naji in UAE</t>
  </si>
  <si>
    <t xml:space="preserve">Ahmed Zain</t>
  </si>
  <si>
    <t xml:space="preserve">United Arab Emirates</t>
  </si>
  <si>
    <t xml:space="preserve">Used Goods</t>
  </si>
  <si>
    <t xml:space="preserve">Mohamed Hamdy</t>
  </si>
  <si>
    <t xml:space="preserve">Egypt</t>
  </si>
  <si>
    <t xml:space="preserve">You Don't Mess with the Zohan</t>
  </si>
  <si>
    <t xml:space="preserve">Dennis Dugan</t>
  </si>
  <si>
    <t xml:space="preserve">UR</t>
  </si>
  <si>
    <t xml:space="preserve">Action &amp; Adventure, Comedies</t>
  </si>
  <si>
    <t xml:space="preserve">Age of Rebellion</t>
  </si>
  <si>
    <t xml:space="preserve">Peter Ho</t>
  </si>
  <si>
    <t xml:space="preserve">Taiwan</t>
  </si>
  <si>
    <t xml:space="preserve">September 1, 2018</t>
  </si>
  <si>
    <t xml:space="preserve">Barça Dreams</t>
  </si>
  <si>
    <t xml:space="preserve">Jordi Llompart</t>
  </si>
  <si>
    <t xml:space="preserve">Documentaries, International Movies, Sports Movies</t>
  </si>
  <si>
    <t xml:space="preserve">Brick</t>
  </si>
  <si>
    <t xml:space="preserve">Rian Johnson</t>
  </si>
  <si>
    <t xml:space="preserve">Independent Movies, Thrillers</t>
  </si>
  <si>
    <t xml:space="preserve">Carbon</t>
  </si>
  <si>
    <t xml:space="preserve">Olivier Marchal</t>
  </si>
  <si>
    <t xml:space="preserve">Delirium</t>
  </si>
  <si>
    <t xml:space="preserve">Dennis Iliadis</t>
  </si>
  <si>
    <t xml:space="preserve">Garbage</t>
  </si>
  <si>
    <t xml:space="preserve">Qaushiq Mukherjee</t>
  </si>
  <si>
    <t xml:space="preserve">Hope Aur Hum</t>
  </si>
  <si>
    <t xml:space="preserve">Sudip Bandyopadhyay</t>
  </si>
  <si>
    <t xml:space="preserve">Children &amp; Family Movies, Comedies, Dramas</t>
  </si>
  <si>
    <t xml:space="preserve">​​Kuch Bheege Alfaaz</t>
  </si>
  <si>
    <t xml:space="preserve">Onir</t>
  </si>
  <si>
    <t xml:space="preserve">Love and Shukla</t>
  </si>
  <si>
    <t xml:space="preserve">Jatla Siddartha</t>
  </si>
  <si>
    <t xml:space="preserve">Murder Party</t>
  </si>
  <si>
    <t xml:space="preserve">Comedies, Cult Movies, Horror Movies</t>
  </si>
  <si>
    <t xml:space="preserve">Once Again</t>
  </si>
  <si>
    <t xml:space="preserve">Kanwal Sethi</t>
  </si>
  <si>
    <t xml:space="preserve">India, Germany, Austria</t>
  </si>
  <si>
    <t xml:space="preserve">Pee Mak</t>
  </si>
  <si>
    <t xml:space="preserve">Sisters</t>
  </si>
  <si>
    <t xml:space="preserve">Solo Con Tu Pareja</t>
  </si>
  <si>
    <t xml:space="preserve">Alfonso Cuarón</t>
  </si>
  <si>
    <t xml:space="preserve">Comedies, Independent Movies, International Movies</t>
  </si>
  <si>
    <t xml:space="preserve">Sparring</t>
  </si>
  <si>
    <t xml:space="preserve">Samuel Jouy</t>
  </si>
  <si>
    <t xml:space="preserve">Dramas, International Movies, Sports Movies</t>
  </si>
  <si>
    <t xml:space="preserve">Stephanie</t>
  </si>
  <si>
    <t xml:space="preserve">Akiva Goldsman</t>
  </si>
  <si>
    <t xml:space="preserve">Terrifier</t>
  </si>
  <si>
    <t xml:space="preserve">Damien Leone</t>
  </si>
  <si>
    <t xml:space="preserve">The Keeping Hours</t>
  </si>
  <si>
    <t xml:space="preserve">Karen Moncrieff</t>
  </si>
  <si>
    <t xml:space="preserve">The Perfect Day</t>
  </si>
  <si>
    <t xml:space="preserve">Jean-Pierre Devillers</t>
  </si>
  <si>
    <t xml:space="preserve">The Promise</t>
  </si>
  <si>
    <t xml:space="preserve">Sophon Sakdaphisit</t>
  </si>
  <si>
    <t xml:space="preserve">Horror Movies, International Movies, Thrillers</t>
  </si>
  <si>
    <t xml:space="preserve">The River Wild</t>
  </si>
  <si>
    <t xml:space="preserve">Curtis Hanson</t>
  </si>
  <si>
    <t xml:space="preserve">The Road to Calvary</t>
  </si>
  <si>
    <r>
      <rPr>
        <sz val="10"/>
        <rFont val="Noto Sans CJK SC"/>
        <family val="2"/>
      </rPr>
      <t xml:space="preserve">최강전사 미니특공대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영웅의 탄생</t>
    </r>
  </si>
  <si>
    <t xml:space="preserve">Young Jun Lee</t>
  </si>
  <si>
    <t xml:space="preserve">68 min</t>
  </si>
  <si>
    <t xml:space="preserve">A Boy Name Flora A</t>
  </si>
  <si>
    <t xml:space="preserve">September 1, 2017</t>
  </si>
  <si>
    <t xml:space="preserve">A House of Blocks</t>
  </si>
  <si>
    <t xml:space="preserve">Aakhri Adaalat</t>
  </si>
  <si>
    <t xml:space="preserve">Rajiv Mehra</t>
  </si>
  <si>
    <t xml:space="preserve">148 min</t>
  </si>
  <si>
    <t xml:space="preserve">Alias JJ, la celebridad del mal</t>
  </si>
  <si>
    <t xml:space="preserve">54 min</t>
  </si>
  <si>
    <t xml:space="preserve">All About Love</t>
  </si>
  <si>
    <t xml:space="preserve">Berserk: The Golden Age Arc II - The Battle for Doldrey</t>
  </si>
  <si>
    <t xml:space="preserve">Toshiyuki Kubooka</t>
  </si>
  <si>
    <t xml:space="preserve">Action &amp; Adventure, Anime Features, International Movies</t>
  </si>
  <si>
    <t xml:space="preserve">Berserk: The Golden Age Arc III - The Advent</t>
  </si>
  <si>
    <t xml:space="preserve">Brother's Shadow</t>
  </si>
  <si>
    <t xml:space="preserve">Todd S. Yellin</t>
  </si>
  <si>
    <t xml:space="preserve">Chadi Jawani Budhe Nu</t>
  </si>
  <si>
    <t xml:space="preserve">Concrete Football</t>
  </si>
  <si>
    <t xml:space="preserve">Jesse Adang, Syrine Boulanouar</t>
  </si>
  <si>
    <t xml:space="preserve">Czech Republic, France</t>
  </si>
  <si>
    <t xml:space="preserve">Ek Jaan Hain Hum</t>
  </si>
  <si>
    <t xml:space="preserve">151 min</t>
  </si>
  <si>
    <t xml:space="preserve">Dramas, International Movies, Music &amp; Musicals</t>
  </si>
  <si>
    <t xml:space="preserve">FINAL FANTASY XIV Dad of Light</t>
  </si>
  <si>
    <t xml:space="preserve">Gurren Lagann</t>
  </si>
  <si>
    <t xml:space="preserve">High Risk</t>
  </si>
  <si>
    <t xml:space="preserve">Docuseries, Reality TV</t>
  </si>
  <si>
    <t xml:space="preserve">Incorruptible</t>
  </si>
  <si>
    <t xml:space="preserve">Elizabeth Chai Vasarhelyi</t>
  </si>
  <si>
    <t xml:space="preserve">United States, Senegal</t>
  </si>
  <si>
    <t xml:space="preserve">Inuyasha the Movie - L'isola del fuoco scarlatto</t>
  </si>
  <si>
    <t xml:space="preserve">Toshiya Shinohara</t>
  </si>
  <si>
    <t xml:space="preserve">Inuyasha the Movie - La spada del dominatore del mondo</t>
  </si>
  <si>
    <t xml:space="preserve">InuYasha: The Movie 2: The Castle Beyond the Looking Glass</t>
  </si>
  <si>
    <t xml:space="preserve">Khoon Khoon</t>
  </si>
  <si>
    <t xml:space="preserve">Mohammed Hussain</t>
  </si>
  <si>
    <t xml:space="preserve">LEGO Elves: Secrets of Elvendale</t>
  </si>
  <si>
    <t xml:space="preserve">Little Evil</t>
  </si>
  <si>
    <t xml:space="preserve">Eli Craig</t>
  </si>
  <si>
    <t xml:space="preserve">Comedies, Horror Movies</t>
  </si>
  <si>
    <t xml:space="preserve">Lorai: Play to Live</t>
  </si>
  <si>
    <t xml:space="preserve">Parambrata Chatterjee</t>
  </si>
  <si>
    <t xml:space="preserve">155 min</t>
  </si>
  <si>
    <t xml:space="preserve">Norway</t>
  </si>
  <si>
    <t xml:space="preserve">Manoranjan</t>
  </si>
  <si>
    <t xml:space="preserve">Shammi Kapoor</t>
  </si>
  <si>
    <t xml:space="preserve">162 min</t>
  </si>
  <si>
    <t xml:space="preserve">Mujrim</t>
  </si>
  <si>
    <t xml:space="preserve">Umesh Mehra</t>
  </si>
  <si>
    <t xml:space="preserve">Naruto Shippuden : Blood Prison</t>
  </si>
  <si>
    <t xml:space="preserve">Masahiko Murata</t>
  </si>
  <si>
    <t xml:space="preserve">Naruto Shippûden the Movie: The Will of Fire</t>
  </si>
  <si>
    <t xml:space="preserve">Naruto Shippuden: The Movie: The Lost Tower</t>
  </si>
  <si>
    <t xml:space="preserve">Naruto the Movie 2: Legend of the Stone of Gelel</t>
  </si>
  <si>
    <t xml:space="preserve">Hirotsugu Kawasaki</t>
  </si>
  <si>
    <t xml:space="preserve">Naruto the Movie 3: Guardians of the Crescent Moon Kingdom</t>
  </si>
  <si>
    <t xml:space="preserve">Toshiyuki Tsuru</t>
  </si>
  <si>
    <t xml:space="preserve">Naruto the Movie: Ninja Clash in the Land of Snow</t>
  </si>
  <si>
    <t xml:space="preserve">Tensai Okamura</t>
  </si>
  <si>
    <t xml:space="preserve">Offline - Das leben ist kein bonuslevel</t>
  </si>
  <si>
    <t xml:space="preserve">Florian Schnell</t>
  </si>
  <si>
    <t xml:space="preserve">Germany</t>
  </si>
  <si>
    <t xml:space="preserve">Resurface</t>
  </si>
  <si>
    <t xml:space="preserve">Josh Izenberg, Wynn Padula</t>
  </si>
  <si>
    <t xml:space="preserve">28 min</t>
  </si>
  <si>
    <t xml:space="preserve">Documentaries, Sports Movies</t>
  </si>
  <si>
    <t xml:space="preserve">Rocco</t>
  </si>
  <si>
    <t xml:space="preserve">Thierry Demaizière, Alban Teurlai</t>
  </si>
  <si>
    <t xml:space="preserve">She's Gotta Have It</t>
  </si>
  <si>
    <t xml:space="preserve">Spike Lee</t>
  </si>
  <si>
    <t xml:space="preserve">Classic Movies, Comedies, Independent Movies</t>
  </si>
  <si>
    <t xml:space="preserve">Sohni Mahiwal</t>
  </si>
  <si>
    <t xml:space="preserve">Latif Faiziyev, Umesh Mehra</t>
  </si>
  <si>
    <t xml:space="preserve">India, Soviet Union</t>
  </si>
  <si>
    <t xml:space="preserve">160 min</t>
  </si>
  <si>
    <t xml:space="preserve">The Distinguished Citizen</t>
  </si>
  <si>
    <t xml:space="preserve">Gastón Duprat, Mariano Cohn</t>
  </si>
  <si>
    <t xml:space="preserve">Argentina, Spain</t>
  </si>
  <si>
    <t xml:space="preserve">The Drowning</t>
  </si>
  <si>
    <t xml:space="preserve">Bette Gordon</t>
  </si>
  <si>
    <t xml:space="preserve">United States, Hong Kong</t>
  </si>
  <si>
    <t xml:space="preserve">The Guardian Brothers</t>
  </si>
  <si>
    <t xml:space="preserve">Gary Wang</t>
  </si>
  <si>
    <t xml:space="preserve">The Last Shaman</t>
  </si>
  <si>
    <t xml:space="preserve">Raz Degan</t>
  </si>
  <si>
    <t xml:space="preserve">United Kingdom, Italy, Israel, Peru, United States</t>
  </si>
  <si>
    <t xml:space="preserve">The Lost Brother</t>
  </si>
  <si>
    <t xml:space="preserve">Israel Adrián Caetano</t>
  </si>
  <si>
    <t xml:space="preserve">Argentina, Uruguay, Spain, France</t>
  </si>
  <si>
    <t xml:space="preserve">Tip the Mouse</t>
  </si>
  <si>
    <t xml:space="preserve">Germany, United States, Italy</t>
  </si>
  <si>
    <t xml:space="preserve">Todo Sobre El Asado</t>
  </si>
  <si>
    <t xml:space="preserve">Mariano Cohn, Gastón Duprat</t>
  </si>
  <si>
    <t xml:space="preserve">Argentina</t>
  </si>
  <si>
    <t xml:space="preserve">Who the F**k Is That Guy?</t>
  </si>
  <si>
    <t xml:space="preserve">Drew Stone</t>
  </si>
  <si>
    <t xml:space="preserve">Documentaries, LGBTQ Movies, Music &amp; Musicals</t>
  </si>
  <si>
    <t xml:space="preserve">A Noble Intention</t>
  </si>
  <si>
    <t xml:space="preserve">September 1, 2016</t>
  </si>
  <si>
    <t xml:space="preserve">Bon Bini Holland</t>
  </si>
  <si>
    <t xml:space="preserve">Jelle de Jonge</t>
  </si>
  <si>
    <t xml:space="preserve">Conspiracy</t>
  </si>
  <si>
    <t xml:space="preserve">British TV Shows, Docuseries</t>
  </si>
  <si>
    <t xml:space="preserve">Dead Set</t>
  </si>
  <si>
    <t xml:space="preserve">British TV Shows, TV Horror, TV Thrillers</t>
  </si>
  <si>
    <t xml:space="preserve">Dukhtar</t>
  </si>
  <si>
    <t xml:space="preserve">Afia Nathaniel</t>
  </si>
  <si>
    <t xml:space="preserve">Pakistan, Norway, United States</t>
  </si>
  <si>
    <t xml:space="preserve">Easy Fortune Happy Life</t>
  </si>
  <si>
    <t xml:space="preserve">Figaro Pho</t>
  </si>
  <si>
    <t xml:space="preserve">Luke Jurevicius</t>
  </si>
  <si>
    <t xml:space="preserve">29 min</t>
  </si>
  <si>
    <t xml:space="preserve">Full Out</t>
  </si>
  <si>
    <t xml:space="preserve">Sean Cisterna</t>
  </si>
  <si>
    <t xml:space="preserve">Children &amp; Family Movies, Dramas, Sports Movies</t>
  </si>
  <si>
    <t xml:space="preserve">Game Winning Hit</t>
  </si>
  <si>
    <t xml:space="preserve">Holy Hell</t>
  </si>
  <si>
    <t xml:space="preserve">Will Allen</t>
  </si>
  <si>
    <t xml:space="preserve">Lucky Days</t>
  </si>
  <si>
    <t xml:space="preserve">Off Course</t>
  </si>
  <si>
    <t xml:space="preserve">Nacho G. Velilla</t>
  </si>
  <si>
    <t xml:space="preserve">Saudi Arabia Uncovered</t>
  </si>
  <si>
    <t xml:space="preserve">Station Horizon</t>
  </si>
  <si>
    <t xml:space="preserve">Switzerland</t>
  </si>
  <si>
    <t xml:space="preserve">The Fierce Wife</t>
  </si>
  <si>
    <t xml:space="preserve">The Womanizer</t>
  </si>
  <si>
    <t xml:space="preserve">The Year of Happiness and Love</t>
  </si>
  <si>
    <t xml:space="preserve">We Need to Talk</t>
  </si>
  <si>
    <t xml:space="preserve">David Serrano</t>
  </si>
  <si>
    <t xml:space="preserve">Witches: A Century of Murder</t>
  </si>
  <si>
    <t xml:space="preserve">Iliza Shlesinger: War Paint</t>
  </si>
  <si>
    <t xml:space="preserve">Jay Chapman</t>
  </si>
  <si>
    <t xml:space="preserve">September 1, 2013</t>
  </si>
  <si>
    <t xml:space="preserve">After</t>
  </si>
  <si>
    <t xml:space="preserve">Jenny Gage</t>
  </si>
  <si>
    <t xml:space="preserve">October 9, 2019</t>
  </si>
  <si>
    <t xml:space="preserve">Home Is Where the Killer Is</t>
  </si>
  <si>
    <t xml:space="preserve">Kaila York</t>
  </si>
  <si>
    <t xml:space="preserve">Rhythm + Flow</t>
  </si>
  <si>
    <t xml:space="preserve">Garuda Di Dadaku</t>
  </si>
  <si>
    <t xml:space="preserve">Ifa Isfansyah</t>
  </si>
  <si>
    <t xml:space="preserve">October 9, 2018</t>
  </si>
  <si>
    <t xml:space="preserve">Mo Amer: The Vagabond</t>
  </si>
  <si>
    <t xml:space="preserve">Stan Lathan</t>
  </si>
  <si>
    <t xml:space="preserve">57 min</t>
  </si>
  <si>
    <t xml:space="preserve">Surat Dari Praha</t>
  </si>
  <si>
    <t xml:space="preserve">Angga Dwimas Sasongko</t>
  </si>
  <si>
    <t xml:space="preserve">Winter on Fire: Ukraine's Fight for Freedom</t>
  </si>
  <si>
    <t xml:space="preserve">Evgeny Afineevsky</t>
  </si>
  <si>
    <t xml:space="preserve">United Kingdom, Ukraine, United States</t>
  </si>
  <si>
    <t xml:space="preserve">October 9, 2015</t>
  </si>
  <si>
    <t xml:space="preserve">Deon Cole: Cole Hearted</t>
  </si>
  <si>
    <t xml:space="preserve">Ryan Polito</t>
  </si>
  <si>
    <t xml:space="preserve">October 8, 2019</t>
  </si>
  <si>
    <t xml:space="preserve">The Spooky Tale of Captain Underpants Hack-a-ween</t>
  </si>
  <si>
    <t xml:space="preserve">46 min</t>
  </si>
  <si>
    <t xml:space="preserve">Pulang</t>
  </si>
  <si>
    <t xml:space="preserve">Kabir Bhatia</t>
  </si>
  <si>
    <t xml:space="preserve">Malaysia</t>
  </si>
  <si>
    <t xml:space="preserve">October 8, 2018</t>
  </si>
  <si>
    <t xml:space="preserve">The Water Diviner</t>
  </si>
  <si>
    <t xml:space="preserve">Russell Crowe</t>
  </si>
  <si>
    <t xml:space="preserve">Australia, United States</t>
  </si>
  <si>
    <t xml:space="preserve">October 7, 2019</t>
  </si>
  <si>
    <t xml:space="preserve">Chris Brown: Welcome to My Life</t>
  </si>
  <si>
    <t xml:space="preserve">Andrew Sandler</t>
  </si>
  <si>
    <t xml:space="preserve">October 7, 2017</t>
  </si>
  <si>
    <t xml:space="preserve">13TH</t>
  </si>
  <si>
    <t xml:space="preserve">October 7, 2016</t>
  </si>
  <si>
    <t xml:space="preserve">Russell Peters: Almost Famous</t>
  </si>
  <si>
    <t xml:space="preserve">Dave Higby</t>
  </si>
  <si>
    <t xml:space="preserve">73 min</t>
  </si>
  <si>
    <t xml:space="preserve">StoryBots Super Songs</t>
  </si>
  <si>
    <t xml:space="preserve">The Siege of Jadotville</t>
  </si>
  <si>
    <t xml:space="preserve">Richie Smyth</t>
  </si>
  <si>
    <t xml:space="preserve">Ireland, South Africa</t>
  </si>
  <si>
    <t xml:space="preserve">Love for Sale</t>
  </si>
  <si>
    <t xml:space="preserve">Andibachtiar Yusuf</t>
  </si>
  <si>
    <t xml:space="preserve">October 6, 2019</t>
  </si>
  <si>
    <t xml:space="preserve">Jackpot</t>
  </si>
  <si>
    <t xml:space="preserve">Dustin Nguyen</t>
  </si>
  <si>
    <t xml:space="preserve">October 6, 2018</t>
  </si>
  <si>
    <t xml:space="preserve">Seven in Heaven</t>
  </si>
  <si>
    <t xml:space="preserve">Chris Eigeman</t>
  </si>
  <si>
    <t xml:space="preserve">ID-0</t>
  </si>
  <si>
    <t xml:space="preserve">October 6, 2017</t>
  </si>
  <si>
    <t xml:space="preserve">Kung Fu Yoga</t>
  </si>
  <si>
    <t xml:space="preserve">Stanley Tong</t>
  </si>
  <si>
    <t xml:space="preserve">China, India, Nepal</t>
  </si>
  <si>
    <t xml:space="preserve">The Death and Life of Marsha P. Johnson</t>
  </si>
  <si>
    <t xml:space="preserve">David France</t>
  </si>
  <si>
    <t xml:space="preserve">Documentaries, LGBTQ Movies</t>
  </si>
  <si>
    <t xml:space="preserve">Legend Quest: Masters of Myth</t>
  </si>
  <si>
    <t xml:space="preserve">October 5, 2019</t>
  </si>
  <si>
    <t xml:space="preserve">My Country: The New Age</t>
  </si>
  <si>
    <t xml:space="preserve">Noblemen</t>
  </si>
  <si>
    <t xml:space="preserve">Vandana Kataria</t>
  </si>
  <si>
    <t xml:space="preserve">Cahaya Dari Timur Beta Maluku</t>
  </si>
  <si>
    <t xml:space="preserve">October 5, 2018</t>
  </si>
  <si>
    <t xml:space="preserve">Dancing Queen</t>
  </si>
  <si>
    <t xml:space="preserve">Emma' (Mother)</t>
  </si>
  <si>
    <t xml:space="preserve">74 min</t>
  </si>
  <si>
    <t xml:space="preserve">Empire Games</t>
  </si>
  <si>
    <t xml:space="preserve">Czech Republic, United States</t>
  </si>
  <si>
    <t xml:space="preserve">LOST SONG</t>
  </si>
  <si>
    <t xml:space="preserve">Malevolent</t>
  </si>
  <si>
    <t xml:space="preserve">Olaf de Fleur</t>
  </si>
  <si>
    <t xml:space="preserve">Private Life</t>
  </si>
  <si>
    <t xml:space="preserve">Tamara Jenkins</t>
  </si>
  <si>
    <t xml:space="preserve">Super Monsters Save Halloween</t>
  </si>
  <si>
    <t xml:space="preserve">YG Future Strategy Office</t>
  </si>
  <si>
    <t xml:space="preserve">International TV Shows, Korean TV Shows, TV Comedies</t>
  </si>
  <si>
    <t xml:space="preserve">A Plastic Ocean</t>
  </si>
  <si>
    <t xml:space="preserve">United Kingdom, Hong Kong</t>
  </si>
  <si>
    <t xml:space="preserve">October 4, 2019</t>
  </si>
  <si>
    <t xml:space="preserve">Brother in Love</t>
  </si>
  <si>
    <t xml:space="preserve">Onur Bilgetay</t>
  </si>
  <si>
    <t xml:space="preserve">In the Tall Grass</t>
  </si>
  <si>
    <t xml:space="preserve">Vincenzo Natali</t>
  </si>
  <si>
    <t xml:space="preserve">Kids on the Block</t>
  </si>
  <si>
    <t xml:space="preserve">Tugçe Soysop</t>
  </si>
  <si>
    <t xml:space="preserve">Raising Dion</t>
  </si>
  <si>
    <t xml:space="preserve">Kids' TV, TV Action &amp; Adventure, TV Dramas</t>
  </si>
  <si>
    <t xml:space="preserve">Super Monsters: Vida's First Halloween</t>
  </si>
  <si>
    <t xml:space="preserve">Jacob Joice, Steve Ball</t>
  </si>
  <si>
    <t xml:space="preserve">Compulsion</t>
  </si>
  <si>
    <t xml:space="preserve">Craig Goodwill</t>
  </si>
  <si>
    <t xml:space="preserve">United Kingdom, Canada, Italy</t>
  </si>
  <si>
    <t xml:space="preserve">October 4, 2018</t>
  </si>
  <si>
    <t xml:space="preserve">The Dreamer</t>
  </si>
  <si>
    <t xml:space="preserve">The Haunting of Molly Hartley</t>
  </si>
  <si>
    <t xml:space="preserve">Mickey Liddell</t>
  </si>
  <si>
    <t xml:space="preserve">Violet Evergarden: Special</t>
  </si>
  <si>
    <t xml:space="preserve">Anime Series, International TV Shows, Romantic TV Shows</t>
  </si>
  <si>
    <t xml:space="preserve">LEGO Jurassic World: The Indominus Escape</t>
  </si>
  <si>
    <t xml:space="preserve">Michael D. Black</t>
  </si>
  <si>
    <t xml:space="preserve">October 4, 2016</t>
  </si>
  <si>
    <t xml:space="preserve">Grego Rossello: Disculpe las molestias</t>
  </si>
  <si>
    <t xml:space="preserve">Juani Libonatti</t>
  </si>
  <si>
    <t xml:space="preserve">October 31, 2019</t>
  </si>
  <si>
    <t xml:space="preserve">Nowhere Man</t>
  </si>
  <si>
    <t xml:space="preserve">DJ Chen</t>
  </si>
  <si>
    <t xml:space="preserve">Sleepless Society: Bedtime Wishes</t>
  </si>
  <si>
    <t xml:space="preserve">Gun City</t>
  </si>
  <si>
    <t xml:space="preserve">Dani de la Torre</t>
  </si>
  <si>
    <t xml:space="preserve">Spain, France</t>
  </si>
  <si>
    <t xml:space="preserve">October 31, 2018</t>
  </si>
  <si>
    <t xml:space="preserve">Heneral Luna</t>
  </si>
  <si>
    <t xml:space="preserve">Jerrold Tarog</t>
  </si>
  <si>
    <t xml:space="preserve">Philippines</t>
  </si>
  <si>
    <t xml:space="preserve">118 min</t>
  </si>
  <si>
    <t xml:space="preserve">Judah Friedlander: America Is the Greatest Country in the United States</t>
  </si>
  <si>
    <t xml:space="preserve">Judah Friedlander</t>
  </si>
  <si>
    <t xml:space="preserve">October 31, 2017</t>
  </si>
  <si>
    <t xml:space="preserve">The B-Side: Elsa Dorfman's Portrait Photography</t>
  </si>
  <si>
    <t xml:space="preserve">Errol Morris</t>
  </si>
  <si>
    <t xml:space="preserve">Zumbo's Just Desserts</t>
  </si>
  <si>
    <t xml:space="preserve">Kristy</t>
  </si>
  <si>
    <t xml:space="preserve">Oliver Blackburn</t>
  </si>
  <si>
    <t xml:space="preserve">October 31, 2015</t>
  </si>
  <si>
    <t xml:space="preserve">Bring It On, Ghost</t>
  </si>
  <si>
    <t xml:space="preserve">Park Joon-hwa</t>
  </si>
  <si>
    <t xml:space="preserve">October 30, 2019</t>
  </si>
  <si>
    <t xml:space="preserve">Mehandi Circus</t>
  </si>
  <si>
    <t xml:space="preserve">Saravana Rajendran</t>
  </si>
  <si>
    <t xml:space="preserve">Tomorrow with You</t>
  </si>
  <si>
    <t xml:space="preserve">Tunnel</t>
  </si>
  <si>
    <t xml:space="preserve">My Brother ... Nikhil</t>
  </si>
  <si>
    <t xml:space="preserve">October 30, 2018</t>
  </si>
  <si>
    <t xml:space="preserve">Shorgul</t>
  </si>
  <si>
    <t xml:space="preserve">Jitendra Tiwari, Pranav Singh</t>
  </si>
  <si>
    <t xml:space="preserve">Siddhant</t>
  </si>
  <si>
    <t xml:space="preserve">Vivek Wagh</t>
  </si>
  <si>
    <t xml:space="preserve">The Degenerates</t>
  </si>
  <si>
    <t xml:space="preserve">The Jungle School</t>
  </si>
  <si>
    <t xml:space="preserve">SPF-18</t>
  </si>
  <si>
    <t xml:space="preserve">Alex Israel</t>
  </si>
  <si>
    <t xml:space="preserve">October 30, 2017</t>
  </si>
  <si>
    <t xml:space="preserve">Dramas, Romantic Movies, Sports Movies</t>
  </si>
  <si>
    <t xml:space="preserve">Forks Over Knives</t>
  </si>
  <si>
    <t xml:space="preserve">Lee Fulkerson</t>
  </si>
  <si>
    <t xml:space="preserve">October 3, 2019</t>
  </si>
  <si>
    <t xml:space="preserve">Seis Manos</t>
  </si>
  <si>
    <t xml:space="preserve">Anime Series, Crime TV Shows</t>
  </si>
  <si>
    <t xml:space="preserve">Benji's Very Own Christmas Story</t>
  </si>
  <si>
    <t xml:space="preserve">Joe Camp</t>
  </si>
  <si>
    <t xml:space="preserve">October 3, 2018</t>
  </si>
  <si>
    <t xml:space="preserve">The Black Prince</t>
  </si>
  <si>
    <t xml:space="preserve">Kavi Raz</t>
  </si>
  <si>
    <t xml:space="preserve">United Kingdom, India, United States</t>
  </si>
  <si>
    <t xml:space="preserve">Truth or Dare</t>
  </si>
  <si>
    <t xml:space="preserve">Nick Simon</t>
  </si>
  <si>
    <t xml:space="preserve">Cult of Chucky</t>
  </si>
  <si>
    <t xml:space="preserve">Don Mancini</t>
  </si>
  <si>
    <t xml:space="preserve">October 3, 2017</t>
  </si>
  <si>
    <t xml:space="preserve">Rodney Carrington: Here Comes the Truth</t>
  </si>
  <si>
    <t xml:space="preserve">Brandon Jones</t>
  </si>
  <si>
    <t xml:space="preserve">66 min</t>
  </si>
  <si>
    <t xml:space="preserve">Security</t>
  </si>
  <si>
    <t xml:space="preserve">Alain Desrochers</t>
  </si>
  <si>
    <t xml:space="preserve">Arsenio Hall: Smart &amp; Classy</t>
  </si>
  <si>
    <t xml:space="preserve">Brian Volk-Weiss</t>
  </si>
  <si>
    <t xml:space="preserve">October 29, 2019</t>
  </si>
  <si>
    <t xml:space="preserve">Shine On with Reese</t>
  </si>
  <si>
    <t xml:space="preserve">The Road to El Camino: Behind the Scenes of El Camino: A Breaking Bad Movie</t>
  </si>
  <si>
    <t xml:space="preserve">14 min</t>
  </si>
  <si>
    <t xml:space="preserve">Kings</t>
  </si>
  <si>
    <t xml:space="preserve">Deniz Gamze Ergüven</t>
  </si>
  <si>
    <t xml:space="preserve">France, Belgium, China, United States</t>
  </si>
  <si>
    <t xml:space="preserve">October 29, 2018</t>
  </si>
  <si>
    <t xml:space="preserve">Pup Star</t>
  </si>
  <si>
    <t xml:space="preserve">Robert Vince</t>
  </si>
  <si>
    <t xml:space="preserve">October 29, 2016</t>
  </si>
  <si>
    <t xml:space="preserve">A 3 Minute Hug</t>
  </si>
  <si>
    <t xml:space="preserve">Everardo González</t>
  </si>
  <si>
    <t xml:space="preserve">Mexico, United States</t>
  </si>
  <si>
    <t xml:space="preserve">October 28, 2019</t>
  </si>
  <si>
    <t xml:space="preserve">Little Miss Sumo</t>
  </si>
  <si>
    <t xml:space="preserve">Matt Kay</t>
  </si>
  <si>
    <t xml:space="preserve">20 min</t>
  </si>
  <si>
    <t xml:space="preserve">Equals</t>
  </si>
  <si>
    <t xml:space="preserve">Drake Doremus</t>
  </si>
  <si>
    <t xml:space="preserve">United States, Indonesia</t>
  </si>
  <si>
    <t xml:space="preserve">October 28, 2018</t>
  </si>
  <si>
    <t xml:space="preserve">Pup Star: Better 2Gether</t>
  </si>
  <si>
    <t xml:space="preserve">October 28, 2017</t>
  </si>
  <si>
    <t xml:space="preserve">I Am the Pretty Thing That Lives in the House</t>
  </si>
  <si>
    <t xml:space="preserve">Osgood Perkins</t>
  </si>
  <si>
    <t xml:space="preserve">October 28, 2016</t>
  </si>
  <si>
    <t xml:space="preserve">Into the Inferno</t>
  </si>
  <si>
    <t xml:space="preserve">Werner Herzog</t>
  </si>
  <si>
    <t xml:space="preserve">United Kingdom, Germany, Canada</t>
  </si>
  <si>
    <t xml:space="preserve">The African Doctor</t>
  </si>
  <si>
    <t xml:space="preserve">Julien Rambaldi</t>
  </si>
  <si>
    <t xml:space="preserve">They Are Everywhere</t>
  </si>
  <si>
    <t xml:space="preserve">Yvan Attal</t>
  </si>
  <si>
    <t xml:space="preserve">Trailer Park Boys: Out of the Park: Europe</t>
  </si>
  <si>
    <t xml:space="preserve">International TV Shows, TV Comedies</t>
  </si>
  <si>
    <t xml:space="preserve">West Coast</t>
  </si>
  <si>
    <t xml:space="preserve">Benjamin Weill</t>
  </si>
  <si>
    <t xml:space="preserve">Wait, My Youth</t>
  </si>
  <si>
    <t xml:space="preserve">October 27, 2019</t>
  </si>
  <si>
    <t xml:space="preserve">International TV Shows, Romantic TV Shows, Teen TV Shows</t>
  </si>
  <si>
    <t xml:space="preserve">14 Cameras</t>
  </si>
  <si>
    <t xml:space="preserve">Scott Hussion, Seth Fuller</t>
  </si>
  <si>
    <t xml:space="preserve">October 27, 2018</t>
  </si>
  <si>
    <t xml:space="preserve">Dragon Tiger Gate</t>
  </si>
  <si>
    <t xml:space="preserve">Wilson Yip</t>
  </si>
  <si>
    <t xml:space="preserve">Beyond Stranger Things</t>
  </si>
  <si>
    <t xml:space="preserve">October 27, 2017</t>
  </si>
  <si>
    <t xml:space="preserve">Stand-Up Comedy &amp; Talk Shows, TV Mysteries, TV Sci-Fi &amp; Fantasy</t>
  </si>
  <si>
    <t xml:space="preserve">Joan Didion: The Center Will Not Hold</t>
  </si>
  <si>
    <t xml:space="preserve">Griffin Dunne</t>
  </si>
  <si>
    <t xml:space="preserve">7 años</t>
  </si>
  <si>
    <t xml:space="preserve">Roger Gual</t>
  </si>
  <si>
    <t xml:space="preserve">October 27, 2016</t>
  </si>
  <si>
    <t xml:space="preserve">Manson Family Vacation</t>
  </si>
  <si>
    <t xml:space="preserve">J. Davis</t>
  </si>
  <si>
    <t xml:space="preserve">October 27, 2015</t>
  </si>
  <si>
    <t xml:space="preserve">A Little Thing Called First Love</t>
  </si>
  <si>
    <t xml:space="preserve">October 26, 2019</t>
  </si>
  <si>
    <t xml:space="preserve">The Last Whistle</t>
  </si>
  <si>
    <t xml:space="preserve">Rob Smat</t>
  </si>
  <si>
    <t xml:space="preserve">Dramas, Sports Movies</t>
  </si>
  <si>
    <t xml:space="preserve">Been So Long</t>
  </si>
  <si>
    <t xml:space="preserve">Tinge Krishnan</t>
  </si>
  <si>
    <t xml:space="preserve">October 26, 2018</t>
  </si>
  <si>
    <t xml:space="preserve">Dovlatov</t>
  </si>
  <si>
    <t xml:space="preserve">Aleksey German</t>
  </si>
  <si>
    <t xml:space="preserve">Russia, Poland, Serbia</t>
  </si>
  <si>
    <t xml:space="preserve">Incoming</t>
  </si>
  <si>
    <t xml:space="preserve">Eric Zaragosa</t>
  </si>
  <si>
    <t xml:space="preserve">Serbia, United States</t>
  </si>
  <si>
    <t xml:space="preserve">Jefe</t>
  </si>
  <si>
    <t xml:space="preserve">Sergio Barrejón</t>
  </si>
  <si>
    <t xml:space="preserve">Spain, Portugal</t>
  </si>
  <si>
    <t xml:space="preserve">Santo Cachón</t>
  </si>
  <si>
    <t xml:space="preserve">Colombia</t>
  </si>
  <si>
    <t xml:space="preserve">Shirkers</t>
  </si>
  <si>
    <t xml:space="preserve">Sandi Tan</t>
  </si>
  <si>
    <t xml:space="preserve">Terrorism Close Calls</t>
  </si>
  <si>
    <t xml:space="preserve">United States, Czech Republic</t>
  </si>
  <si>
    <t xml:space="preserve">Crime TV Shows, Docuseries, International TV Shows</t>
  </si>
  <si>
    <t xml:space="preserve">W/O Ram</t>
  </si>
  <si>
    <t xml:space="preserve">Vijay Yelakanti</t>
  </si>
  <si>
    <t xml:space="preserve">115 min</t>
  </si>
  <si>
    <t xml:space="preserve">Strange Weather</t>
  </si>
  <si>
    <t xml:space="preserve">Katherine Dieckmann</t>
  </si>
  <si>
    <t xml:space="preserve">October 26, 2017</t>
  </si>
  <si>
    <t xml:space="preserve">A Tale of Love and Darkness</t>
  </si>
  <si>
    <t xml:space="preserve">Natalie Portman</t>
  </si>
  <si>
    <t xml:space="preserve">October 25, 2019</t>
  </si>
  <si>
    <t xml:space="preserve">Assimilate</t>
  </si>
  <si>
    <t xml:space="preserve">John Murlowski</t>
  </si>
  <si>
    <t xml:space="preserve">Horror Movies, Sci-Fi &amp; Fantasy, Thrillers</t>
  </si>
  <si>
    <t xml:space="preserve">Brotherhood</t>
  </si>
  <si>
    <t xml:space="preserve">Consequences </t>
  </si>
  <si>
    <t xml:space="preserve">Ozan Açıktan</t>
  </si>
  <si>
    <t xml:space="preserve">Dolemite Is My Name</t>
  </si>
  <si>
    <t xml:space="preserve">Craig Brewer</t>
  </si>
  <si>
    <t xml:space="preserve">Drug Squad: Costa del Sol</t>
  </si>
  <si>
    <t xml:space="preserve">It Takes a Lunatic</t>
  </si>
  <si>
    <t xml:space="preserve">Billy Lyons</t>
  </si>
  <si>
    <t xml:space="preserve">United States, United Kingdom, Germany</t>
  </si>
  <si>
    <t xml:space="preserve">Monzón: A Knockout Blow</t>
  </si>
  <si>
    <t xml:space="preserve">My Next Guest with David Letterman and Shah Rukh Khan</t>
  </si>
  <si>
    <t xml:space="preserve">Michael Steed</t>
  </si>
  <si>
    <t xml:space="preserve">International Movies</t>
  </si>
  <si>
    <t xml:space="preserve">Nailed It! France</t>
  </si>
  <si>
    <t xml:space="preserve">Nailed It! Spain</t>
  </si>
  <si>
    <t xml:space="preserve">Prank Encounters</t>
  </si>
  <si>
    <t xml:space="preserve">Reality TV, TV Comedies, TV Horror</t>
  </si>
  <si>
    <t xml:space="preserve">Rattlesnake</t>
  </si>
  <si>
    <t xml:space="preserve">Zak Hilditch</t>
  </si>
  <si>
    <t xml:space="preserve">The Awakening of Motti Wolkenbruch</t>
  </si>
  <si>
    <t xml:space="preserve">Michael Steiner</t>
  </si>
  <si>
    <t xml:space="preserve">The Untamed</t>
  </si>
  <si>
    <t xml:space="preserve">International TV Shows, TV Action &amp; Adventure, TV Mysteries</t>
  </si>
  <si>
    <t xml:space="preserve">DreamWorks Spooky Stories</t>
  </si>
  <si>
    <t xml:space="preserve">October 25, 2018</t>
  </si>
  <si>
    <t xml:space="preserve">Queens vs. Kings</t>
  </si>
  <si>
    <t xml:space="preserve">Ronnie Coleman: The King</t>
  </si>
  <si>
    <t xml:space="preserve">Vlad Yudin</t>
  </si>
  <si>
    <t xml:space="preserve">Meet the Trumps: From Immigrant to President</t>
  </si>
  <si>
    <t xml:space="preserve">Paul Berczeller, Mark Radice</t>
  </si>
  <si>
    <t xml:space="preserve">October 25, 2017</t>
  </si>
  <si>
    <t xml:space="preserve">48 min</t>
  </si>
  <si>
    <t xml:space="preserve">The Hateful Eight</t>
  </si>
  <si>
    <t xml:space="preserve">Quentin Tarantino</t>
  </si>
  <si>
    <t xml:space="preserve">168 min</t>
  </si>
  <si>
    <t xml:space="preserve">Walt Disney Animation Studios Short Films Collection</t>
  </si>
  <si>
    <t xml:space="preserve">Chris Buck, Jennifer Lee, Patrick Osborne, Lauren MacMullan, John Kahrs, Nathan Greno, Byron Howard, Stevie Wermers, Dean Wellins, Kevin Deters, Roger Allers, Mike Gabriel, Mark Henn</t>
  </si>
  <si>
    <t xml:space="preserve">October 25, 2015</t>
  </si>
  <si>
    <t xml:space="preserve">Daybreak</t>
  </si>
  <si>
    <t xml:space="preserve">October 24, 2019</t>
  </si>
  <si>
    <t xml:space="preserve">TV Action &amp; Adventure, TV Comedies, TV Horror</t>
  </si>
  <si>
    <t xml:space="preserve">Echo in the Canyon</t>
  </si>
  <si>
    <t xml:space="preserve">Andrew Slater</t>
  </si>
  <si>
    <t xml:space="preserve">Revenge of the Pontianak</t>
  </si>
  <si>
    <t xml:space="preserve">Glen Goei, Gavin Yap</t>
  </si>
  <si>
    <t xml:space="preserve">Singapore, Malaysia</t>
  </si>
  <si>
    <t xml:space="preserve">Baahubali: The Beginning (English Version)</t>
  </si>
  <si>
    <t xml:space="preserve">S.S. Rajamouli</t>
  </si>
  <si>
    <t xml:space="preserve">October 24, 2018</t>
  </si>
  <si>
    <t xml:space="preserve">Bodyguard</t>
  </si>
  <si>
    <t xml:space="preserve">Jack Whitehall: At Large</t>
  </si>
  <si>
    <t xml:space="preserve">Brian Klein</t>
  </si>
  <si>
    <t xml:space="preserve">October 24, 2017</t>
  </si>
  <si>
    <t xml:space="preserve">The Mist</t>
  </si>
  <si>
    <t xml:space="preserve">TV Dramas, TV Horror, TV Mysteries</t>
  </si>
  <si>
    <t xml:space="preserve">E-Team</t>
  </si>
  <si>
    <t xml:space="preserve">Katy Chevigny, Ross Kauffman</t>
  </si>
  <si>
    <t xml:space="preserve">October 24, 2014</t>
  </si>
  <si>
    <t xml:space="preserve">DreamWorks Spooky Stories: Volume 2</t>
  </si>
  <si>
    <t xml:space="preserve">October 24, 2012</t>
  </si>
  <si>
    <t xml:space="preserve">American Heist</t>
  </si>
  <si>
    <t xml:space="preserve">Sarik Andreasyan</t>
  </si>
  <si>
    <t xml:space="preserve">Canada, Luxembourg</t>
  </si>
  <si>
    <t xml:space="preserve">October 23, 2019</t>
  </si>
  <si>
    <t xml:space="preserve">Breakfast, Lunch &amp; Dinner</t>
  </si>
  <si>
    <t xml:space="preserve">Dancing with the Birds</t>
  </si>
  <si>
    <t xml:space="preserve">Huw Cordey</t>
  </si>
  <si>
    <t xml:space="preserve">Master Z: The Ip Man Legacy</t>
  </si>
  <si>
    <t xml:space="preserve">Yuen Woo-ping</t>
  </si>
  <si>
    <t xml:space="preserve">ADAM SANDLER 100% FRESH</t>
  </si>
  <si>
    <t xml:space="preserve">Steve Brill</t>
  </si>
  <si>
    <t xml:space="preserve">October 23, 2018</t>
  </si>
  <si>
    <t xml:space="preserve">Here to Heart</t>
  </si>
  <si>
    <t xml:space="preserve">Scorpion King 5: Book of Souls</t>
  </si>
  <si>
    <t xml:space="preserve">Don Michael Paul</t>
  </si>
  <si>
    <t xml:space="preserve">While We're Young</t>
  </si>
  <si>
    <t xml:space="preserve">Noah Baumbach</t>
  </si>
  <si>
    <t xml:space="preserve">October 23, 2017</t>
  </si>
  <si>
    <t xml:space="preserve">Hunter's Prayer</t>
  </si>
  <si>
    <t xml:space="preserve">Jonathan Mostow</t>
  </si>
  <si>
    <t xml:space="preserve">United States, Spain, Germany</t>
  </si>
  <si>
    <t xml:space="preserve">October 22, 2019</t>
  </si>
  <si>
    <t xml:space="preserve">I'll See You in My Dreams</t>
  </si>
  <si>
    <t xml:space="preserve">Brett Haley</t>
  </si>
  <si>
    <t xml:space="preserve">Jenny Slate: Stage Fright</t>
  </si>
  <si>
    <t xml:space="preserve">Gillian Robespierre</t>
  </si>
  <si>
    <t xml:space="preserve">Documentaries, Stand-Up Comedy</t>
  </si>
  <si>
    <t xml:space="preserve">The Texas Chainsaw Massacre</t>
  </si>
  <si>
    <t xml:space="preserve">Tobe Hooper</t>
  </si>
  <si>
    <t xml:space="preserve">Cult Movies, Horror Movies, Independent Movies</t>
  </si>
  <si>
    <t xml:space="preserve">Tracers</t>
  </si>
  <si>
    <t xml:space="preserve">Daniel Benmayor</t>
  </si>
  <si>
    <t xml:space="preserve">يوم الدين</t>
  </si>
  <si>
    <t xml:space="preserve">Abu Bakr Shawky</t>
  </si>
  <si>
    <t xml:space="preserve">Egypt, Austria, United States</t>
  </si>
  <si>
    <t xml:space="preserve">God Knows Where I Am</t>
  </si>
  <si>
    <t xml:space="preserve">Jedd Wider, Todd Wider</t>
  </si>
  <si>
    <t xml:space="preserve">October 22, 2018</t>
  </si>
  <si>
    <t xml:space="preserve">Aashayein</t>
  </si>
  <si>
    <t xml:space="preserve">Nagesh Kukunoor</t>
  </si>
  <si>
    <t xml:space="preserve">October 22, 2017</t>
  </si>
  <si>
    <t xml:space="preserve">Bhool Bhulaiyaa</t>
  </si>
  <si>
    <t xml:space="preserve">Priyadarshan</t>
  </si>
  <si>
    <t xml:space="preserve">Humko Deewana Kar Gaye</t>
  </si>
  <si>
    <t xml:space="preserve">Raj Kanwar</t>
  </si>
  <si>
    <t xml:space="preserve">International Movies, Music &amp; Musicals, Romantic Movies</t>
  </si>
  <si>
    <t xml:space="preserve">Kajraare</t>
  </si>
  <si>
    <t xml:space="preserve">Pooja Bhatt</t>
  </si>
  <si>
    <t xml:space="preserve">Karzzzz</t>
  </si>
  <si>
    <t xml:space="preserve">Satish Kaushik</t>
  </si>
  <si>
    <t xml:space="preserve">Patiala House</t>
  </si>
  <si>
    <t xml:space="preserve">Nikhil Advani</t>
  </si>
  <si>
    <t xml:space="preserve">Ready</t>
  </si>
  <si>
    <t xml:space="preserve">Anees Bazmee</t>
  </si>
  <si>
    <t xml:space="preserve">144 min</t>
  </si>
  <si>
    <t xml:space="preserve">Results</t>
  </si>
  <si>
    <t xml:space="preserve">Andrew Bujalski</t>
  </si>
  <si>
    <t xml:space="preserve">October 22, 2015</t>
  </si>
  <si>
    <t xml:space="preserve">Comedies, Independent Movies</t>
  </si>
  <si>
    <t xml:space="preserve">Free Fire</t>
  </si>
  <si>
    <t xml:space="preserve">Ben Wheatley</t>
  </si>
  <si>
    <t xml:space="preserve">October 21, 2019</t>
  </si>
  <si>
    <t xml:space="preserve">The Rainbow Troops</t>
  </si>
  <si>
    <t xml:space="preserve">October 21, 2018</t>
  </si>
  <si>
    <t xml:space="preserve">Children &amp; Family Movies, Dramas, International Movies</t>
  </si>
  <si>
    <t xml:space="preserve">The Liar</t>
  </si>
  <si>
    <t xml:space="preserve">October 21, 2017</t>
  </si>
  <si>
    <t xml:space="preserve">Containment</t>
  </si>
  <si>
    <t xml:space="preserve">October 21, 2016</t>
  </si>
  <si>
    <t xml:space="preserve">TV Dramas, TV Thrillers</t>
  </si>
  <si>
    <t xml:space="preserve">Joe Rogan: Triggered</t>
  </si>
  <si>
    <t xml:space="preserve">Anthony Giordano</t>
  </si>
  <si>
    <t xml:space="preserve">Wyatt Cenac: Brooklyn</t>
  </si>
  <si>
    <t xml:space="preserve">Wyatt Cenac</t>
  </si>
  <si>
    <t xml:space="preserve">October 21, 2014</t>
  </si>
  <si>
    <t xml:space="preserve">How to Get Over a Breakup</t>
  </si>
  <si>
    <t xml:space="preserve">Joanna Lombardi, Bruno Ascenzo</t>
  </si>
  <si>
    <t xml:space="preserve">Peru</t>
  </si>
  <si>
    <t xml:space="preserve">October 20, 2018</t>
  </si>
  <si>
    <t xml:space="preserve">The Gospel of John</t>
  </si>
  <si>
    <t xml:space="preserve">David Batty</t>
  </si>
  <si>
    <t xml:space="preserve">United Kingdom, United States, Morocco</t>
  </si>
  <si>
    <t xml:space="preserve">161 min</t>
  </si>
  <si>
    <t xml:space="preserve">Dramas, Faith &amp; Spirituality</t>
  </si>
  <si>
    <t xml:space="preserve">1922</t>
  </si>
  <si>
    <t xml:space="preserve">October 20, 2017</t>
  </si>
  <si>
    <t xml:space="preserve">Miss Representation</t>
  </si>
  <si>
    <t xml:space="preserve">Jennifer Siebel Newsom</t>
  </si>
  <si>
    <t xml:space="preserve">One of Us</t>
  </si>
  <si>
    <t xml:space="preserve">Heidi Ewing, Rachel Grady</t>
  </si>
  <si>
    <t xml:space="preserve">The Day I Met El Chapo</t>
  </si>
  <si>
    <t xml:space="preserve">Wheelman</t>
  </si>
  <si>
    <t xml:space="preserve">Jeremy Rush</t>
  </si>
  <si>
    <t xml:space="preserve">Border Patrol</t>
  </si>
  <si>
    <t xml:space="preserve">October 2, 2019</t>
  </si>
  <si>
    <t xml:space="preserve">Botched Up Bodies</t>
  </si>
  <si>
    <t xml:space="preserve">Bringing Sexy Back</t>
  </si>
  <si>
    <t xml:space="preserve">Court Justice</t>
  </si>
  <si>
    <t xml:space="preserve">Diva Brides</t>
  </si>
  <si>
    <t xml:space="preserve">British TV Shows, Reality TV</t>
  </si>
  <si>
    <t xml:space="preserve">Ghost Town Gold</t>
  </si>
  <si>
    <t xml:space="preserve">Horror Homes</t>
  </si>
  <si>
    <t xml:space="preserve">Kitten Rescuers</t>
  </si>
  <si>
    <t xml:space="preserve">License to Drill: Louisiana</t>
  </si>
  <si>
    <t xml:space="preserve">Living Undocumented</t>
  </si>
  <si>
    <t xml:space="preserve">Ready to Mingle</t>
  </si>
  <si>
    <t xml:space="preserve">Luis Javier Henaine</t>
  </si>
  <si>
    <t xml:space="preserve">Salam - The First ****** Nobel Laureate</t>
  </si>
  <si>
    <t xml:space="preserve">Anand Kamalakar</t>
  </si>
  <si>
    <t xml:space="preserve">Death Race: Beyond Anarchy</t>
  </si>
  <si>
    <t xml:space="preserve">United States, Bulgaria</t>
  </si>
  <si>
    <t xml:space="preserve">October 2, 2018</t>
  </si>
  <si>
    <t xml:space="preserve">Eric ldle's What About Dick?</t>
  </si>
  <si>
    <t xml:space="preserve">Eric Idle, Aubrey Powell</t>
  </si>
  <si>
    <t xml:space="preserve">Comedies, Music &amp; Musicals</t>
  </si>
  <si>
    <t xml:space="preserve">Joe Rogan: Strange Times</t>
  </si>
  <si>
    <t xml:space="preserve">Monty Python Best Bits (mostly)</t>
  </si>
  <si>
    <t xml:space="preserve">British TV Shows, Docuseries, TV Comedies</t>
  </si>
  <si>
    <t xml:space="preserve">Monty Python Conquers America</t>
  </si>
  <si>
    <t xml:space="preserve">Will Yapp</t>
  </si>
  <si>
    <t xml:space="preserve">55 min</t>
  </si>
  <si>
    <t xml:space="preserve">Monty Python Live (Mostly): One Down, Five to Go</t>
  </si>
  <si>
    <t xml:space="preserve">Eric Idle</t>
  </si>
  <si>
    <t xml:space="preserve">Monty Python: Before the Flying Circus</t>
  </si>
  <si>
    <t xml:space="preserve">56 min</t>
  </si>
  <si>
    <t xml:space="preserve">Comedies, Documentaries</t>
  </si>
  <si>
    <t xml:space="preserve">Monty Python: Live at Aspen</t>
  </si>
  <si>
    <t xml:space="preserve">Monty Python: Live at The Hollywood Bowl</t>
  </si>
  <si>
    <t xml:space="preserve">Terry Hughes, Ian MacNaughton</t>
  </si>
  <si>
    <t xml:space="preserve">Monty Python: The Meaning of Live</t>
  </si>
  <si>
    <t xml:space="preserve">Roger Graef, James Rogan</t>
  </si>
  <si>
    <t xml:space="preserve">Monty Python's Almost the Truth</t>
  </si>
  <si>
    <t xml:space="preserve">Monty Python's Fliegender Zirkus</t>
  </si>
  <si>
    <t xml:space="preserve">United Kingdom, West Germany</t>
  </si>
  <si>
    <t xml:space="preserve">Monty Python's Life of Brian</t>
  </si>
  <si>
    <t xml:space="preserve">Terry Jones</t>
  </si>
  <si>
    <t xml:space="preserve">Monty Python's Personal Best</t>
  </si>
  <si>
    <t xml:space="preserve">British TV Shows, TV Comedies</t>
  </si>
  <si>
    <t xml:space="preserve">Parrot Sketch Not Included: Twenty Years of Monty Python</t>
  </si>
  <si>
    <t xml:space="preserve">Ian MacNaughton</t>
  </si>
  <si>
    <t xml:space="preserve">The Meaning of Monty Python</t>
  </si>
  <si>
    <t xml:space="preserve">Albert Sharpe</t>
  </si>
  <si>
    <t xml:space="preserve">Sleeping with Other People</t>
  </si>
  <si>
    <t xml:space="preserve">Leslye Headland</t>
  </si>
  <si>
    <t xml:space="preserve">October 2, 2017</t>
  </si>
  <si>
    <t xml:space="preserve">Anjelah Johnson: Not Fancy</t>
  </si>
  <si>
    <t xml:space="preserve">Jay Karas</t>
  </si>
  <si>
    <t xml:space="preserve">October 2, 2015</t>
  </si>
  <si>
    <t xml:space="preserve">Little Singham: Kaal Ki Tabaahi</t>
  </si>
  <si>
    <t xml:space="preserve">Prakash Satam</t>
  </si>
  <si>
    <t xml:space="preserve">October 19, 2019</t>
  </si>
  <si>
    <t xml:space="preserve">Men in Black</t>
  </si>
  <si>
    <t xml:space="preserve">Barry Sonnenfeld</t>
  </si>
  <si>
    <t xml:space="preserve">Action &amp; Adventure, Comedies, Sci-Fi &amp; Fantasy</t>
  </si>
  <si>
    <t xml:space="preserve">Moms at War</t>
  </si>
  <si>
    <t xml:space="preserve">Omoni Oboli</t>
  </si>
  <si>
    <t xml:space="preserve">The Command</t>
  </si>
  <si>
    <t xml:space="preserve">Thomas Vinterberg</t>
  </si>
  <si>
    <t xml:space="preserve">Belgium, Luxembourg, France</t>
  </si>
  <si>
    <t xml:space="preserve">Accidentally in Love</t>
  </si>
  <si>
    <t xml:space="preserve">October 19, 2018</t>
  </si>
  <si>
    <t xml:space="preserve">Ask the Doctor</t>
  </si>
  <si>
    <t xml:space="preserve">Docuseries, International TV Shows, Science &amp; Nature TV</t>
  </si>
  <si>
    <t xml:space="preserve">Best.Worst.Weekend.Ever.</t>
  </si>
  <si>
    <t xml:space="preserve">Club de Cuervos Presents: I, Potro</t>
  </si>
  <si>
    <t xml:space="preserve">Marcos Bucay</t>
  </si>
  <si>
    <t xml:space="preserve">Mexico, Argentina</t>
  </si>
  <si>
    <t xml:space="preserve">51 min</t>
  </si>
  <si>
    <t xml:space="preserve">Derren Brown: Sacrifice</t>
  </si>
  <si>
    <t xml:space="preserve">50 min</t>
  </si>
  <si>
    <t xml:space="preserve">Gnome Alone</t>
  </si>
  <si>
    <t xml:space="preserve">Peter Lepeniotis</t>
  </si>
  <si>
    <t xml:space="preserve">United Kingdom, Canada, United States, Cayman Islands</t>
  </si>
  <si>
    <t xml:space="preserve">Illang: The Wolf Brigade</t>
  </si>
  <si>
    <t xml:space="preserve">Kim Jee-woon</t>
  </si>
  <si>
    <t xml:space="preserve">Naa Bangaaru Talli</t>
  </si>
  <si>
    <t xml:space="preserve">Rajesh Touchriver</t>
  </si>
  <si>
    <t xml:space="preserve">Oddbods: Party Monsters</t>
  </si>
  <si>
    <t xml:space="preserve">23 min</t>
  </si>
  <si>
    <t xml:space="preserve">S Storm</t>
  </si>
  <si>
    <t xml:space="preserve">David Lam</t>
  </si>
  <si>
    <t xml:space="preserve">The Gospel of Luke</t>
  </si>
  <si>
    <t xml:space="preserve">United States, United Kingdom, Morocco</t>
  </si>
  <si>
    <t xml:space="preserve">205 min</t>
  </si>
  <si>
    <t xml:space="preserve">The Gospel of Mark</t>
  </si>
  <si>
    <t xml:space="preserve">The Gospel of Matthew</t>
  </si>
  <si>
    <t xml:space="preserve">190 min</t>
  </si>
  <si>
    <t xml:space="preserve">The Night Comes for Us</t>
  </si>
  <si>
    <t xml:space="preserve">Timo Tjahjanto</t>
  </si>
  <si>
    <t xml:space="preserve">Indonesia, United States</t>
  </si>
  <si>
    <t xml:space="preserve">Wanderlust</t>
  </si>
  <si>
    <t xml:space="preserve">British TV Shows, International TV Shows, Romantic TV Shows</t>
  </si>
  <si>
    <t xml:space="preserve">Wedding Unplanned</t>
  </si>
  <si>
    <t xml:space="preserve">Reem Kherici</t>
  </si>
  <si>
    <t xml:space="preserve">October 19, 2017</t>
  </si>
  <si>
    <t xml:space="preserve">10 Days in Sun City</t>
  </si>
  <si>
    <t xml:space="preserve">Adze Ugah</t>
  </si>
  <si>
    <t xml:space="preserve">South Africa</t>
  </si>
  <si>
    <t xml:space="preserve">October 18, 2019</t>
  </si>
  <si>
    <t xml:space="preserve">93 Days</t>
  </si>
  <si>
    <t xml:space="preserve">Steve Gukas</t>
  </si>
  <si>
    <t xml:space="preserve">Eli</t>
  </si>
  <si>
    <t xml:space="preserve">Ciarán Foy</t>
  </si>
  <si>
    <t xml:space="preserve">In My Country</t>
  </si>
  <si>
    <t xml:space="preserve">Frank Rajah Arase</t>
  </si>
  <si>
    <t xml:space="preserve">Interior Design Masters</t>
  </si>
  <si>
    <t xml:space="preserve">Living with Yourself</t>
  </si>
  <si>
    <t xml:space="preserve">Love, Surreal and Odd</t>
  </si>
  <si>
    <t xml:space="preserve">Yılmaz Erdoğan</t>
  </si>
  <si>
    <t xml:space="preserve">Mighty Little Bheem: Diwali</t>
  </si>
  <si>
    <t xml:space="preserve">MONKART</t>
  </si>
  <si>
    <t xml:space="preserve">Kids' TV, Korean TV Shows</t>
  </si>
  <si>
    <t xml:space="preserve">New Money</t>
  </si>
  <si>
    <t xml:space="preserve">Tope Oshin</t>
  </si>
  <si>
    <t xml:space="preserve">Seventeen</t>
  </si>
  <si>
    <t xml:space="preserve">Daniel Sánchez Arévalo</t>
  </si>
  <si>
    <t xml:space="preserve">Tatu</t>
  </si>
  <si>
    <t xml:space="preserve">Don Omope</t>
  </si>
  <si>
    <t xml:space="preserve">Tell Me Who I Am</t>
  </si>
  <si>
    <t xml:space="preserve">Ed Perkins</t>
  </si>
  <si>
    <t xml:space="preserve">The Laundromat</t>
  </si>
  <si>
    <t xml:space="preserve">Steven Soderbergh</t>
  </si>
  <si>
    <t xml:space="preserve">Unnatural Selection</t>
  </si>
  <si>
    <t xml:space="preserve">Up North</t>
  </si>
  <si>
    <t xml:space="preserve">Upstarts</t>
  </si>
  <si>
    <t xml:space="preserve">Udai Singh Pawar</t>
  </si>
  <si>
    <t xml:space="preserve">Verses of Love 2</t>
  </si>
  <si>
    <t xml:space="preserve">Guntur Soeharjanto</t>
  </si>
  <si>
    <t xml:space="preserve">Dramas, Faith &amp; Spirituality, International Movies</t>
  </si>
  <si>
    <t xml:space="preserve">Mr. Chandramouli</t>
  </si>
  <si>
    <t xml:space="preserve">Thiru</t>
  </si>
  <si>
    <t xml:space="preserve">October 18, 2018</t>
  </si>
  <si>
    <t xml:space="preserve">131 min</t>
  </si>
  <si>
    <t xml:space="preserve">El Viaje: Márama y Rombai</t>
  </si>
  <si>
    <t xml:space="preserve">Federico Lemos</t>
  </si>
  <si>
    <t xml:space="preserve">October 18, 2017</t>
  </si>
  <si>
    <t xml:space="preserve">Children &amp; Family Movies, Documentaries, International Movies</t>
  </si>
  <si>
    <t xml:space="preserve">The Karate Kid</t>
  </si>
  <si>
    <t xml:space="preserve">Harald Zwart</t>
  </si>
  <si>
    <t xml:space="preserve">United States, China</t>
  </si>
  <si>
    <t xml:space="preserve">October 17, 2019</t>
  </si>
  <si>
    <t xml:space="preserve">THE UNLISTED</t>
  </si>
  <si>
    <t xml:space="preserve">Kids' TV, TV Thrillers</t>
  </si>
  <si>
    <t xml:space="preserve">My Babysitter's a Vampire: The Movie</t>
  </si>
  <si>
    <t xml:space="preserve">Bruce McDonald</t>
  </si>
  <si>
    <t xml:space="preserve">October 17, 2018</t>
  </si>
  <si>
    <t xml:space="preserve">Patton Oswalt: Annihilation</t>
  </si>
  <si>
    <t xml:space="preserve">October 17, 2017</t>
  </si>
  <si>
    <t xml:space="preserve">Another Miss Oh</t>
  </si>
  <si>
    <t xml:space="preserve">October 16, 2019</t>
  </si>
  <si>
    <t xml:space="preserve">Ghosts of Sugar Land</t>
  </si>
  <si>
    <t xml:space="preserve">Bassam Tariq</t>
  </si>
  <si>
    <t xml:space="preserve">22 min</t>
  </si>
  <si>
    <t xml:space="preserve">League of Legends Origins</t>
  </si>
  <si>
    <t xml:space="preserve">Leslie Iwerks</t>
  </si>
  <si>
    <t xml:space="preserve">Park Na-rae: Glamour Warning</t>
  </si>
  <si>
    <t xml:space="preserve">Kim Joo-hyung</t>
  </si>
  <si>
    <t xml:space="preserve">Second 20s</t>
  </si>
  <si>
    <t xml:space="preserve">Sinister 2</t>
  </si>
  <si>
    <t xml:space="preserve">The Game Changers</t>
  </si>
  <si>
    <t xml:space="preserve">Louie Psihoyos</t>
  </si>
  <si>
    <t xml:space="preserve">Ron White: If You Quit Listening, I'll Shut Up</t>
  </si>
  <si>
    <t xml:space="preserve">Tom Forrest</t>
  </si>
  <si>
    <t xml:space="preserve">October 16, 2018</t>
  </si>
  <si>
    <t xml:space="preserve">Baadshaho</t>
  </si>
  <si>
    <t xml:space="preserve">Milan Luthria</t>
  </si>
  <si>
    <t xml:space="preserve">October 16, 2017</t>
  </si>
  <si>
    <t xml:space="preserve">Closed Circuit</t>
  </si>
  <si>
    <t xml:space="preserve">John Crowley</t>
  </si>
  <si>
    <t xml:space="preserve">Footprints in the Sand</t>
  </si>
  <si>
    <t xml:space="preserve">In Laws</t>
  </si>
  <si>
    <t xml:space="preserve">La Femme</t>
  </si>
  <si>
    <t xml:space="preserve">Laws of Attraction</t>
  </si>
  <si>
    <t xml:space="preserve">Lucknow Central</t>
  </si>
  <si>
    <t xml:space="preserve">Ranjit Tiwari</t>
  </si>
  <si>
    <t xml:space="preserve">A Family Affair</t>
  </si>
  <si>
    <t xml:space="preserve">Tom Fassaert</t>
  </si>
  <si>
    <t xml:space="preserve">Netherlands, Denmark, South Africa</t>
  </si>
  <si>
    <t xml:space="preserve">October 16, 2016</t>
  </si>
  <si>
    <t xml:space="preserve">Anthony Jeselnik: Thoughts and Prayers</t>
  </si>
  <si>
    <t xml:space="preserve">Adam Dubin</t>
  </si>
  <si>
    <t xml:space="preserve">October 16, 2015</t>
  </si>
  <si>
    <t xml:space="preserve">59 min</t>
  </si>
  <si>
    <t xml:space="preserve">Beasts of No Nation</t>
  </si>
  <si>
    <t xml:space="preserve">Cary Joji Fukunaga</t>
  </si>
  <si>
    <t xml:space="preserve">Circle</t>
  </si>
  <si>
    <t xml:space="preserve">Aaron Hann, Mario Miscione</t>
  </si>
  <si>
    <t xml:space="preserve">Dramas, Independent Movies, Sci-Fi &amp; Fantasy</t>
  </si>
  <si>
    <t xml:space="preserve">Black Money Love</t>
  </si>
  <si>
    <t xml:space="preserve">Ahmet Katıksız</t>
  </si>
  <si>
    <t xml:space="preserve">October 15, 2019</t>
  </si>
  <si>
    <t xml:space="preserve">Dark Crimes</t>
  </si>
  <si>
    <t xml:space="preserve">Alexandros Avranas</t>
  </si>
  <si>
    <t xml:space="preserve">United Kingdom, Poland, United States</t>
  </si>
  <si>
    <t xml:space="preserve">Homeland</t>
  </si>
  <si>
    <t xml:space="preserve">Anindya Chatterjee</t>
  </si>
  <si>
    <t xml:space="preserve">Magical Andes</t>
  </si>
  <si>
    <t xml:space="preserve">Power Rangers Beast Morphers</t>
  </si>
  <si>
    <t xml:space="preserve">Devlok with Devdutt Pattanaik</t>
  </si>
  <si>
    <t xml:space="preserve">October 15, 2018</t>
  </si>
  <si>
    <t xml:space="preserve">Meghnadbodh Rohoshyo</t>
  </si>
  <si>
    <t xml:space="preserve">Anik Datta</t>
  </si>
  <si>
    <t xml:space="preserve">150 min</t>
  </si>
  <si>
    <t xml:space="preserve">Sanju</t>
  </si>
  <si>
    <t xml:space="preserve">159 min</t>
  </si>
  <si>
    <t xml:space="preserve">Stunt Science</t>
  </si>
  <si>
    <t xml:space="preserve">A Scandall</t>
  </si>
  <si>
    <t xml:space="preserve">Ishaan Trivedi</t>
  </si>
  <si>
    <t xml:space="preserve">October 15, 2017</t>
  </si>
  <si>
    <t xml:space="preserve">Aisa Yeh Jahaan</t>
  </si>
  <si>
    <t xml:space="preserve">Biswajeet Bora</t>
  </si>
  <si>
    <t xml:space="preserve">Ankur Arora Murder Case</t>
  </si>
  <si>
    <t xml:space="preserve">Sohail Tatari</t>
  </si>
  <si>
    <t xml:space="preserve">Belief: The Possession of Janet Moses</t>
  </si>
  <si>
    <t xml:space="preserve">David Stubbs</t>
  </si>
  <si>
    <t xml:space="preserve">New Zealand</t>
  </si>
  <si>
    <t xml:space="preserve">Calendar Girls</t>
  </si>
  <si>
    <t xml:space="preserve">Madhur Bhandarkar</t>
  </si>
  <si>
    <t xml:space="preserve">Darra</t>
  </si>
  <si>
    <t xml:space="preserve">Parveen Kumar</t>
  </si>
  <si>
    <t xml:space="preserve">El Che</t>
  </si>
  <si>
    <t xml:space="preserve">Matías Gueilburt</t>
  </si>
  <si>
    <t xml:space="preserve">Venezuela</t>
  </si>
  <si>
    <t xml:space="preserve">Gour Hari Dastaan: The Freedom File</t>
  </si>
  <si>
    <t xml:space="preserve">Ananth Narayan Mahadevan</t>
  </si>
  <si>
    <t xml:space="preserve">Harry &amp; Bunnie</t>
  </si>
  <si>
    <t xml:space="preserve">Ah Loong</t>
  </si>
  <si>
    <t xml:space="preserve">Jal</t>
  </si>
  <si>
    <t xml:space="preserve">Girish Malik</t>
  </si>
  <si>
    <t xml:space="preserve">Macchli Jal Ki Rani Hai</t>
  </si>
  <si>
    <t xml:space="preserve">Debaloy Dey</t>
  </si>
  <si>
    <t xml:space="preserve">Money</t>
  </si>
  <si>
    <t xml:space="preserve">Martin Rosete</t>
  </si>
  <si>
    <t xml:space="preserve">United States, Spain</t>
  </si>
  <si>
    <t xml:space="preserve">One Night Stand</t>
  </si>
  <si>
    <t xml:space="preserve">Jasmine D'Souza</t>
  </si>
  <si>
    <t xml:space="preserve">OtherLife</t>
  </si>
  <si>
    <t xml:space="preserve">Ben C. Lucas</t>
  </si>
  <si>
    <t xml:space="preserve">Australia, United Arab Emirates</t>
  </si>
  <si>
    <t xml:space="preserve">Sardaarji 2</t>
  </si>
  <si>
    <t xml:space="preserve">Rohit Jugraj</t>
  </si>
  <si>
    <t xml:space="preserve">Australia, India</t>
  </si>
  <si>
    <t xml:space="preserve">145 min</t>
  </si>
  <si>
    <t xml:space="preserve">Seven and Me</t>
  </si>
  <si>
    <t xml:space="preserve">Singapore</t>
  </si>
  <si>
    <t xml:space="preserve">Shakti Samanta</t>
  </si>
  <si>
    <t xml:space="preserve">India, Malaysia</t>
  </si>
  <si>
    <t xml:space="preserve">158 min</t>
  </si>
  <si>
    <t xml:space="preserve">Story of an Egg</t>
  </si>
  <si>
    <t xml:space="preserve">Raj B. Shetty</t>
  </si>
  <si>
    <t xml:space="preserve">Tamanchey</t>
  </si>
  <si>
    <t xml:space="preserve">Navneet Behal</t>
  </si>
  <si>
    <t xml:space="preserve">Action &amp; Adventure, International Movies, Romantic Movies</t>
  </si>
  <si>
    <t xml:space="preserve">Teshan</t>
  </si>
  <si>
    <t xml:space="preserve">Sukhbir Singh</t>
  </si>
  <si>
    <t xml:space="preserve">Ujala</t>
  </si>
  <si>
    <t xml:space="preserve">Naresh Saigal</t>
  </si>
  <si>
    <t xml:space="preserve">143 min</t>
  </si>
  <si>
    <t xml:space="preserve">Veerappan</t>
  </si>
  <si>
    <t xml:space="preserve">Ram Gopal Varma</t>
  </si>
  <si>
    <t xml:space="preserve">Why Knot</t>
  </si>
  <si>
    <t xml:space="preserve">Dhruv Dhawan</t>
  </si>
  <si>
    <t xml:space="preserve">Canada, India, Thailand, United States, United Arab Emirates</t>
  </si>
  <si>
    <t xml:space="preserve">A Mighty Team</t>
  </si>
  <si>
    <t xml:space="preserve">Thomas Sorriaux</t>
  </si>
  <si>
    <t xml:space="preserve">October 15, 2016</t>
  </si>
  <si>
    <t xml:space="preserve">Comedies, International Movies, Sports Movies</t>
  </si>
  <si>
    <t xml:space="preserve">Berserk: The Golden Age Arc I - The Egg of the King</t>
  </si>
  <si>
    <t xml:space="preserve">Bleach The Movie: Fade to Black</t>
  </si>
  <si>
    <t xml:space="preserve">Noriyuki Abe</t>
  </si>
  <si>
    <t xml:space="preserve">Action &amp; Adventure, Anime Features, Sci-Fi &amp; Fantasy</t>
  </si>
  <si>
    <t xml:space="preserve">Bleach the Movie: Hell Verse</t>
  </si>
  <si>
    <t xml:space="preserve">Blind Date</t>
  </si>
  <si>
    <t xml:space="preserve">Clovis Cornillac</t>
  </si>
  <si>
    <t xml:space="preserve">DEATH NOTE</t>
  </si>
  <si>
    <t xml:space="preserve">Anime Series, Crime TV Shows, International TV Shows</t>
  </si>
  <si>
    <t xml:space="preserve">Naruto Shippûden the Movie: Bonds</t>
  </si>
  <si>
    <t xml:space="preserve">Hajime Kamegaki</t>
  </si>
  <si>
    <t xml:space="preserve">Naruto Shippuden: The Movie</t>
  </si>
  <si>
    <t xml:space="preserve">Power Rangers Dino Super Charge</t>
  </si>
  <si>
    <t xml:space="preserve">Spotless</t>
  </si>
  <si>
    <t xml:space="preserve">Martin Matte: La vie, la mort...eh la la..!</t>
  </si>
  <si>
    <t xml:space="preserve">Jean-François Blais</t>
  </si>
  <si>
    <t xml:space="preserve">October 14, 2019</t>
  </si>
  <si>
    <t xml:space="preserve">This Is Not What I Expected</t>
  </si>
  <si>
    <t xml:space="preserve">Derek Hui</t>
  </si>
  <si>
    <t xml:space="preserve">October 14, 2017</t>
  </si>
  <si>
    <t xml:space="preserve">Sky Ladder: The Art of Cai Guo-Qiang</t>
  </si>
  <si>
    <t xml:space="preserve">Kevin MacDonald</t>
  </si>
  <si>
    <t xml:space="preserve">October 14, 2016</t>
  </si>
  <si>
    <t xml:space="preserve">Suburra</t>
  </si>
  <si>
    <t xml:space="preserve">Stefano Sollima</t>
  </si>
  <si>
    <t xml:space="preserve">Italy, France</t>
  </si>
  <si>
    <t xml:space="preserve">October 14, 2015</t>
  </si>
  <si>
    <t xml:space="preserve">Russell Peters vs. the World</t>
  </si>
  <si>
    <t xml:space="preserve">October 14, 2013</t>
  </si>
  <si>
    <t xml:space="preserve">Docuseries, Stand-Up Comedy &amp; Talk Shows</t>
  </si>
  <si>
    <t xml:space="preserve">Russell Peters: Notorious</t>
  </si>
  <si>
    <t xml:space="preserve">Street Flow</t>
  </si>
  <si>
    <t xml:space="preserve">Leïla Sy, Kery James</t>
  </si>
  <si>
    <t xml:space="preserve">October 13, 2019</t>
  </si>
  <si>
    <t xml:space="preserve">The Lies Within</t>
  </si>
  <si>
    <t xml:space="preserve">Crime TV Shows, International TV Shows, Korean TV Shows</t>
  </si>
  <si>
    <t xml:space="preserve">Soorma</t>
  </si>
  <si>
    <t xml:space="preserve">Shaad Ali</t>
  </si>
  <si>
    <t xml:space="preserve">October 13, 2018</t>
  </si>
  <si>
    <t xml:space="preserve">Ajaibnya Cinta</t>
  </si>
  <si>
    <t xml:space="preserve">October 13, 2017</t>
  </si>
  <si>
    <t xml:space="preserve">Blessed Benefit</t>
  </si>
  <si>
    <t xml:space="preserve">Mahmoud al Massad</t>
  </si>
  <si>
    <t xml:space="preserve">Germany, Jordan, Netherlands</t>
  </si>
  <si>
    <t xml:space="preserve">Clair Obscur</t>
  </si>
  <si>
    <t xml:space="preserve">Yesim Ustaoglu</t>
  </si>
  <si>
    <t xml:space="preserve">Turkey, France, Germany, Poland</t>
  </si>
  <si>
    <t xml:space="preserve">El Especial de Alex Fernández, el Especial</t>
  </si>
  <si>
    <t xml:space="preserve">Jan Suter</t>
  </si>
  <si>
    <t xml:space="preserve">Kingdom of Us</t>
  </si>
  <si>
    <t xml:space="preserve">Lucy Cohen</t>
  </si>
  <si>
    <t xml:space="preserve">The Babysitter</t>
  </si>
  <si>
    <t xml:space="preserve">McG</t>
  </si>
  <si>
    <t xml:space="preserve">The Meyerowitz Stories (New and Selected)</t>
  </si>
  <si>
    <t xml:space="preserve">Mascots</t>
  </si>
  <si>
    <t xml:space="preserve">Christopher Guest</t>
  </si>
  <si>
    <t xml:space="preserve">October 13, 2016</t>
  </si>
  <si>
    <t xml:space="preserve">Apostle</t>
  </si>
  <si>
    <t xml:space="preserve">Gareth Evans</t>
  </si>
  <si>
    <t xml:space="preserve">October 12, 2018</t>
  </si>
  <si>
    <t xml:space="preserve">Black Heart</t>
  </si>
  <si>
    <t xml:space="preserve">Errementari: The Blacksmith and the Devil</t>
  </si>
  <si>
    <t xml:space="preserve">Paul Urkijo Alijo</t>
  </si>
  <si>
    <t xml:space="preserve">Horror Movies, International Movies, Sci-Fi &amp; Fantasy</t>
  </si>
  <si>
    <t xml:space="preserve">Feminists: What Were They Thinking?</t>
  </si>
  <si>
    <t xml:space="preserve">Johanna Demetrakas</t>
  </si>
  <si>
    <t xml:space="preserve">FIGHTWORLD</t>
  </si>
  <si>
    <t xml:space="preserve">Padraic McKinley</t>
  </si>
  <si>
    <t xml:space="preserve">Kuntilanak</t>
  </si>
  <si>
    <t xml:space="preserve">ReMastered: Who Shot the Sheriff</t>
  </si>
  <si>
    <t xml:space="preserve">Kief Davidson</t>
  </si>
  <si>
    <t xml:space="preserve">The Curious Creations of Christine McConnell</t>
  </si>
  <si>
    <t xml:space="preserve">TV Comedies, TV Mysteries</t>
  </si>
  <si>
    <t xml:space="preserve">The Haunting of Hill House</t>
  </si>
  <si>
    <t xml:space="preserve">The Kindergarten Teacher</t>
  </si>
  <si>
    <t xml:space="preserve">Sara Colangelo</t>
  </si>
  <si>
    <t xml:space="preserve">United States, Israel, United Kingdom, Canada</t>
  </si>
  <si>
    <t xml:space="preserve">Barakah Meets Barakah</t>
  </si>
  <si>
    <t xml:space="preserve">Mahmoud Sabbagh</t>
  </si>
  <si>
    <t xml:space="preserve">Saudi Arabia</t>
  </si>
  <si>
    <t xml:space="preserve">October 12, 2017</t>
  </si>
  <si>
    <t xml:space="preserve">Bomb Scared</t>
  </si>
  <si>
    <t xml:space="preserve">Borja Cobeaga</t>
  </si>
  <si>
    <t xml:space="preserve">Justin Timberlake + the Tennessee Kids</t>
  </si>
  <si>
    <t xml:space="preserve">October 12, 2016</t>
  </si>
  <si>
    <t xml:space="preserve">Music &amp; Musicals</t>
  </si>
  <si>
    <t xml:space="preserve">Iron Man &amp; Captain America: Heroes United</t>
  </si>
  <si>
    <t xml:space="preserve">Leo Riley</t>
  </si>
  <si>
    <t xml:space="preserve">October 12, 2014</t>
  </si>
  <si>
    <t xml:space="preserve">Children &amp; Family Movies, Sci-Fi &amp; Fantasy</t>
  </si>
  <si>
    <t xml:space="preserve">Bygones Be Bygones</t>
  </si>
  <si>
    <t xml:space="preserve">Hakan Algül</t>
  </si>
  <si>
    <t xml:space="preserve">October 11, 2019</t>
  </si>
  <si>
    <t xml:space="preserve">El Camino: A Breaking Bad Movie</t>
  </si>
  <si>
    <t xml:space="preserve">Vince Gilligan</t>
  </si>
  <si>
    <t xml:space="preserve">Fractured</t>
  </si>
  <si>
    <t xml:space="preserve">The Bling Lagosians</t>
  </si>
  <si>
    <t xml:space="preserve">Bolanle Austen-Peters</t>
  </si>
  <si>
    <t xml:space="preserve">The Forest of Love</t>
  </si>
  <si>
    <t xml:space="preserve">Sion Sono</t>
  </si>
  <si>
    <t xml:space="preserve">The Influence</t>
  </si>
  <si>
    <t xml:space="preserve">Dennis Rovira van Boekholt</t>
  </si>
  <si>
    <t xml:space="preserve">Filosofi Kopi The Movie</t>
  </si>
  <si>
    <t xml:space="preserve">October 11, 2018</t>
  </si>
  <si>
    <t xml:space="preserve">Ordinary Heroes</t>
  </si>
  <si>
    <t xml:space="preserve">Salt Fat Acid Heat</t>
  </si>
  <si>
    <t xml:space="preserve">اشتباك</t>
  </si>
  <si>
    <t xml:space="preserve">Mohamed Diab</t>
  </si>
  <si>
    <t xml:space="preserve">Egypt, France</t>
  </si>
  <si>
    <t xml:space="preserve">Beyblade Burst Turbo</t>
  </si>
  <si>
    <t xml:space="preserve">October 10, 2019</t>
  </si>
  <si>
    <t xml:space="preserve">GEN HOSHINO STADIUM TOUR “POP VIRUS”</t>
  </si>
  <si>
    <t xml:space="preserve">Naoto Amazutsumi</t>
  </si>
  <si>
    <t xml:space="preserve">154 min</t>
  </si>
  <si>
    <t xml:space="preserve">International Movies, Music &amp; Musicals</t>
  </si>
  <si>
    <t xml:space="preserve">Ultramarine Magmell</t>
  </si>
  <si>
    <t xml:space="preserve">22-Jul</t>
  </si>
  <si>
    <t xml:space="preserve">Paul Greengrass</t>
  </si>
  <si>
    <t xml:space="preserve">Norway, Iceland, United States</t>
  </si>
  <si>
    <t xml:space="preserve">October 10, 2018</t>
  </si>
  <si>
    <t xml:space="preserve">Blood Pact</t>
  </si>
  <si>
    <t xml:space="preserve">Tales From the Hood 2</t>
  </si>
  <si>
    <t xml:space="preserve">Rusty Cundieff, Darin Scott</t>
  </si>
  <si>
    <t xml:space="preserve">Christina P: Mother Inferior</t>
  </si>
  <si>
    <t xml:space="preserve">October 10, 2017</t>
  </si>
  <si>
    <t xml:space="preserve">Nature's Great Events (2009)</t>
  </si>
  <si>
    <t xml:space="preserve">October 10, 2015</t>
  </si>
  <si>
    <t xml:space="preserve">British TV Shows, Docuseries, Science &amp; Nature TV</t>
  </si>
  <si>
    <t xml:space="preserve">The Blue Planet: A Natural History of the Oceans</t>
  </si>
  <si>
    <t xml:space="preserve">Alastair Fothergill</t>
  </si>
  <si>
    <t xml:space="preserve">Chelsea Handler: Uganda Be Kidding Me Live</t>
  </si>
  <si>
    <t xml:space="preserve">James Yukich</t>
  </si>
  <si>
    <t xml:space="preserve">October 10, 2014</t>
  </si>
  <si>
    <t xml:space="preserve">300 Miles to Heaven</t>
  </si>
  <si>
    <t xml:space="preserve">Maciej Dejczer</t>
  </si>
  <si>
    <t xml:space="preserve">Denmark, France, Poland</t>
  </si>
  <si>
    <t xml:space="preserve">October 1, 2019</t>
  </si>
  <si>
    <t xml:space="preserve">A.M.I.</t>
  </si>
  <si>
    <t xml:space="preserve">Rusty Nixon</t>
  </si>
  <si>
    <t xml:space="preserve">Along Came a Spider</t>
  </si>
  <si>
    <t xml:space="preserve">Lee Tamahori</t>
  </si>
  <si>
    <t xml:space="preserve">United States, Germany, Canada</t>
  </si>
  <si>
    <t xml:space="preserve">Alpha and Omega 2: A Howl-iday Adventure</t>
  </si>
  <si>
    <t xml:space="preserve">Richard Rich</t>
  </si>
  <si>
    <t xml:space="preserve">Bad Boys</t>
  </si>
  <si>
    <t xml:space="preserve">Michael Bay</t>
  </si>
  <si>
    <t xml:space="preserve">Bad Boys II</t>
  </si>
  <si>
    <t xml:space="preserve">147 min</t>
  </si>
  <si>
    <t xml:space="preserve">Blow</t>
  </si>
  <si>
    <t xml:space="preserve">Ted Demme</t>
  </si>
  <si>
    <t xml:space="preserve">Candyman</t>
  </si>
  <si>
    <t xml:space="preserve">Bernard Rose</t>
  </si>
  <si>
    <t xml:space="preserve">Cult Movies, Horror Movies</t>
  </si>
  <si>
    <t xml:space="preserve">Charlie's Angels</t>
  </si>
  <si>
    <t xml:space="preserve">United States, Germany</t>
  </si>
  <si>
    <t xml:space="preserve">Charlie's Angels: Full Throttle</t>
  </si>
  <si>
    <t xml:space="preserve">Cheese in the Trap</t>
  </si>
  <si>
    <t xml:space="preserve">Lee Yoon-jung</t>
  </si>
  <si>
    <t xml:space="preserve">Chicago Typewriter</t>
  </si>
  <si>
    <t xml:space="preserve">College Romance</t>
  </si>
  <si>
    <t xml:space="preserve">Crash</t>
  </si>
  <si>
    <t xml:space="preserve">Paul Haggis</t>
  </si>
  <si>
    <t xml:space="preserve">Dumb and Dumberer: When Harry Met Lloyd</t>
  </si>
  <si>
    <t xml:space="preserve">Earth to Echo</t>
  </si>
  <si>
    <t xml:space="preserve">Dave Green</t>
  </si>
  <si>
    <t xml:space="preserve">Engineering Girls</t>
  </si>
  <si>
    <t xml:space="preserve">Escape from the "Liberty" Cinema</t>
  </si>
  <si>
    <t xml:space="preserve">Wojciech Marczewski</t>
  </si>
  <si>
    <t xml:space="preserve">Exit Wounds</t>
  </si>
  <si>
    <t xml:space="preserve">Andrzej Bartkowiak</t>
  </si>
  <si>
    <t xml:space="preserve">First Kiss</t>
  </si>
  <si>
    <t xml:space="preserve">Roy Poortmans</t>
  </si>
  <si>
    <t xml:space="preserve">Girls Hostel</t>
  </si>
  <si>
    <t xml:space="preserve">Good Burger</t>
  </si>
  <si>
    <t xml:space="preserve">Brian Robbins</t>
  </si>
  <si>
    <t xml:space="preserve">Good Luck Chuck</t>
  </si>
  <si>
    <t xml:space="preserve">Mark Helfrich</t>
  </si>
  <si>
    <t xml:space="preserve">Harold &amp; Kumar Escape from Guantanamo Bay</t>
  </si>
  <si>
    <t xml:space="preserve">Jon Hurwitz, Hayden Schlossberg</t>
  </si>
  <si>
    <t xml:space="preserve">Honey 2</t>
  </si>
  <si>
    <t xml:space="preserve">Bille Woodruff</t>
  </si>
  <si>
    <t xml:space="preserve">Hotel Pacific</t>
  </si>
  <si>
    <t xml:space="preserve">Janusz Majewski</t>
  </si>
  <si>
    <t xml:space="preserve">Poland,</t>
  </si>
  <si>
    <t xml:space="preserve">Classic Movies, Dramas, International Movies</t>
  </si>
  <si>
    <t xml:space="preserve">House of the Witch</t>
  </si>
  <si>
    <t xml:space="preserve">Alex Merkin</t>
  </si>
  <si>
    <t xml:space="preserve">Inmates</t>
  </si>
  <si>
    <t xml:space="preserve">Jealousy and medicine</t>
  </si>
  <si>
    <t xml:space="preserve">Knowing</t>
  </si>
  <si>
    <t xml:space="preserve">Alex Proyas</t>
  </si>
  <si>
    <t xml:space="preserve">United States, United Kingdom, Australia</t>
  </si>
  <si>
    <t xml:space="preserve">Sci-Fi &amp; Fantasy, Thrillers</t>
  </si>
  <si>
    <t xml:space="preserve">Limitless</t>
  </si>
  <si>
    <t xml:space="preserve">Vrinda Samartha</t>
  </si>
  <si>
    <t xml:space="preserve">Little Baby Bum: Go Buster</t>
  </si>
  <si>
    <t xml:space="preserve">Medium</t>
  </si>
  <si>
    <t xml:space="preserve">Jacek Koprowicz</t>
  </si>
  <si>
    <t xml:space="preserve">Poland, West Germany</t>
  </si>
  <si>
    <t xml:space="preserve">Men in Black II</t>
  </si>
  <si>
    <t xml:space="preserve">Miniforce X</t>
  </si>
  <si>
    <t xml:space="preserve">Nikki Glaser: Bangin’</t>
  </si>
  <si>
    <t xml:space="preserve">Nicholaus Goossen</t>
  </si>
  <si>
    <t xml:space="preserve">No Reservations</t>
  </si>
  <si>
    <t xml:space="preserve">Scott Hicks</t>
  </si>
  <si>
    <t xml:space="preserve">Ocean's Thirteen</t>
  </si>
  <si>
    <t xml:space="preserve">Ocean's Twelve</t>
  </si>
  <si>
    <t xml:space="preserve">One Direction: This Is Us</t>
  </si>
  <si>
    <t xml:space="preserve">Morgan Spurlock</t>
  </si>
  <si>
    <t xml:space="preserve">Raging Bull</t>
  </si>
  <si>
    <t xml:space="preserve">Martin Scorsese</t>
  </si>
  <si>
    <t xml:space="preserve">129 min</t>
  </si>
  <si>
    <t xml:space="preserve">Classic Movies, Dramas, Sports Movies</t>
  </si>
  <si>
    <t xml:space="preserve">Rugrats in Paris: The Movie</t>
  </si>
  <si>
    <t xml:space="preserve">Stig Bergqvist, Paul Demeyer</t>
  </si>
  <si>
    <t xml:space="preserve">Germany, United States</t>
  </si>
  <si>
    <t xml:space="preserve">Scream 2</t>
  </si>
  <si>
    <t xml:space="preserve">Wes Craven</t>
  </si>
  <si>
    <t xml:space="preserve">Senna</t>
  </si>
  <si>
    <t xml:space="preserve">Asif Kapadia</t>
  </si>
  <si>
    <t xml:space="preserve">United Kingdom, France, United States</t>
  </si>
  <si>
    <t xml:space="preserve">Signal</t>
  </si>
  <si>
    <t xml:space="preserve">Sin City</t>
  </si>
  <si>
    <t xml:space="preserve">Robert Rodriguez, Frank Miller</t>
  </si>
  <si>
    <t xml:space="preserve">Sinister Circle</t>
  </si>
  <si>
    <t xml:space="preserve">Dorian Fernández-Moris</t>
  </si>
  <si>
    <t xml:space="preserve">Supergirl</t>
  </si>
  <si>
    <t xml:space="preserve">Jeannot Szwarc</t>
  </si>
  <si>
    <t xml:space="preserve">Superman Returns</t>
  </si>
  <si>
    <t xml:space="preserve">Bryan Singer</t>
  </si>
  <si>
    <t xml:space="preserve">Surf's Up</t>
  </si>
  <si>
    <t xml:space="preserve">Ash Brannon, Chris Buck</t>
  </si>
  <si>
    <t xml:space="preserve">Children &amp; Family Movies, Comedies, Sports Movies</t>
  </si>
  <si>
    <t xml:space="preserve">The Bounty Hunter</t>
  </si>
  <si>
    <t xml:space="preserve">Andy Tennant</t>
  </si>
  <si>
    <t xml:space="preserve">Action &amp; Adventure, Comedies, Romantic Movies</t>
  </si>
  <si>
    <t xml:space="preserve">The Bucket List</t>
  </si>
  <si>
    <t xml:space="preserve">Rob Reiner</t>
  </si>
  <si>
    <t xml:space="preserve">The Cruise</t>
  </si>
  <si>
    <t xml:space="preserve">Marek Piwowski</t>
  </si>
  <si>
    <t xml:space="preserve">Comedies, Cult Movies, International Movies</t>
  </si>
  <si>
    <t xml:space="preserve">The Figurine (Araromire)</t>
  </si>
  <si>
    <t xml:space="preserve">The Flintstones</t>
  </si>
  <si>
    <t xml:space="preserve">Brian Levant</t>
  </si>
  <si>
    <t xml:space="preserve">The Flintstones in Viva Rock Vegas</t>
  </si>
  <si>
    <t xml:space="preserve">The K2</t>
  </si>
  <si>
    <t xml:space="preserve">The Liar and His Lover</t>
  </si>
  <si>
    <t xml:space="preserve">The lynx</t>
  </si>
  <si>
    <t xml:space="preserve">Stanisław Różewicz</t>
  </si>
  <si>
    <t xml:space="preserve">The Pursuit of Happyness</t>
  </si>
  <si>
    <t xml:space="preserve">Gabriele Muccino</t>
  </si>
  <si>
    <t xml:space="preserve">The Rugrats Movie</t>
  </si>
  <si>
    <t xml:space="preserve">Igor Kovalyov, Norton Virgien</t>
  </si>
  <si>
    <t xml:space="preserve">The spiral</t>
  </si>
  <si>
    <t xml:space="preserve">Krzysztof Zanussi</t>
  </si>
  <si>
    <t xml:space="preserve">The Squid and the Whale</t>
  </si>
  <si>
    <t xml:space="preserve">The Time Traveler's Wife</t>
  </si>
  <si>
    <t xml:space="preserve">Robert Schwentke</t>
  </si>
  <si>
    <t xml:space="preserve">Trainspotting</t>
  </si>
  <si>
    <t xml:space="preserve">Danny Boyle</t>
  </si>
  <si>
    <t xml:space="preserve">Troy</t>
  </si>
  <si>
    <t xml:space="preserve">United States, Malta, United Kingdom</t>
  </si>
  <si>
    <t xml:space="preserve">Unaccompanied Minors</t>
  </si>
  <si>
    <t xml:space="preserve">Paul Feig</t>
  </si>
  <si>
    <t xml:space="preserve">Walking Out</t>
  </si>
  <si>
    <t xml:space="preserve">Alex Smith, Andrew J. Smith</t>
  </si>
  <si>
    <t xml:space="preserve">Weather forecast</t>
  </si>
  <si>
    <t xml:space="preserve">Antoni Krauze</t>
  </si>
  <si>
    <t xml:space="preserve">Westerplatte Resists</t>
  </si>
  <si>
    <t xml:space="preserve">25 Kille</t>
  </si>
  <si>
    <t xml:space="preserve">Simranjit Singh Hundal</t>
  </si>
  <si>
    <t xml:space="preserve">October 1, 2018</t>
  </si>
  <si>
    <t xml:space="preserve">A Witches' Ball</t>
  </si>
  <si>
    <t xml:space="preserve">Justin G. Dyck</t>
  </si>
  <si>
    <t xml:space="preserve">Agyaat</t>
  </si>
  <si>
    <t xml:space="preserve">Anjaan</t>
  </si>
  <si>
    <t xml:space="preserve">N. Linguswamy</t>
  </si>
  <si>
    <t xml:space="preserve">Bathinda Express</t>
  </si>
  <si>
    <t xml:space="preserve">Deep Joshi</t>
  </si>
  <si>
    <t xml:space="preserve">Brooklyn's Finest</t>
  </si>
  <si>
    <t xml:space="preserve">Antoine Fuqua</t>
  </si>
  <si>
    <t xml:space="preserve">Chappaquiddick</t>
  </si>
  <si>
    <t xml:space="preserve">John Curran</t>
  </si>
  <si>
    <t xml:space="preserve">United States, Sweden</t>
  </si>
  <si>
    <t xml:space="preserve">Civilizations</t>
  </si>
  <si>
    <t xml:space="preserve">Delhi 6</t>
  </si>
  <si>
    <t xml:space="preserve">Rakeysh Omprakash Mehra</t>
  </si>
  <si>
    <t xml:space="preserve">Dev.D</t>
  </si>
  <si>
    <t xml:space="preserve">Anurag Kashyap</t>
  </si>
  <si>
    <t xml:space="preserve">Dil Vil Pyaar Vyaar</t>
  </si>
  <si>
    <t xml:space="preserve">Manjeet Maan</t>
  </si>
  <si>
    <t xml:space="preserve">Dushman</t>
  </si>
  <si>
    <t xml:space="preserve">Shagufta Rafique</t>
  </si>
  <si>
    <t xml:space="preserve">Earth's Natural Wonders: Life at the Extremes</t>
  </si>
  <si>
    <t xml:space="preserve">Ek Main Aur Ekk Tu</t>
  </si>
  <si>
    <t xml:space="preserve">Shakun Batra</t>
  </si>
  <si>
    <t xml:space="preserve">Fishtail</t>
  </si>
  <si>
    <t xml:space="preserve">Andrew Renzi</t>
  </si>
  <si>
    <t xml:space="preserve">Freedom at Midnight</t>
  </si>
  <si>
    <t xml:space="preserve">Tinu Pappachan</t>
  </si>
  <si>
    <t xml:space="preserve">Haani</t>
  </si>
  <si>
    <t xml:space="preserve">Amitoj Mann</t>
  </si>
  <si>
    <t xml:space="preserve">Happy Go Lucky</t>
  </si>
  <si>
    <t xml:space="preserve">Amarpreet G S Chabbra</t>
  </si>
  <si>
    <t xml:space="preserve">Harishchandrachi Factory</t>
  </si>
  <si>
    <t xml:space="preserve">Paresh Mokashi</t>
  </si>
  <si>
    <t xml:space="preserve">Hot Date</t>
  </si>
  <si>
    <t xml:space="preserve">Romantic TV Shows, TV Comedies</t>
  </si>
  <si>
    <t xml:space="preserve">Jagga Jasoos</t>
  </si>
  <si>
    <t xml:space="preserve">Anurag Basu</t>
  </si>
  <si>
    <t xml:space="preserve">Jatt James Bond</t>
  </si>
  <si>
    <t xml:space="preserve">Jodhaa Akbar</t>
  </si>
  <si>
    <t xml:space="preserve">Ashutosh Gowariker</t>
  </si>
  <si>
    <t xml:space="preserve">214 min</t>
  </si>
  <si>
    <t xml:space="preserve">Judge Singh LLB</t>
  </si>
  <si>
    <t xml:space="preserve">Atharv Baluja</t>
  </si>
  <si>
    <t xml:space="preserve">Kaminey</t>
  </si>
  <si>
    <t xml:space="preserve">Vishal Bhardwaj</t>
  </si>
  <si>
    <t xml:space="preserve">Kevin Hart: Laugh at My Pain</t>
  </si>
  <si>
    <t xml:space="preserve">Leslie Small, Tim Story</t>
  </si>
  <si>
    <t xml:space="preserve">Kevin Hart: Seriously Funny</t>
  </si>
  <si>
    <t xml:space="preserve">Shannon Hartman</t>
  </si>
  <si>
    <t xml:space="preserve">Khido Khundi</t>
  </si>
  <si>
    <t xml:space="preserve">Khoobsurat</t>
  </si>
  <si>
    <t xml:space="preserve">Shashanka Ghosh</t>
  </si>
  <si>
    <t xml:space="preserve">Kingdoms of the Sky</t>
  </si>
  <si>
    <t xml:space="preserve">Steve Greenwood</t>
  </si>
  <si>
    <t xml:space="preserve">Kisaan</t>
  </si>
  <si>
    <t xml:space="preserve">Puneet Sira</t>
  </si>
  <si>
    <t xml:space="preserve">Kismat Konnection</t>
  </si>
  <si>
    <t xml:space="preserve">Aziz Mirza</t>
  </si>
  <si>
    <t xml:space="preserve">Kurbaan</t>
  </si>
  <si>
    <t xml:space="preserve">Renzil D'Silva</t>
  </si>
  <si>
    <t xml:space="preserve">Lock</t>
  </si>
  <si>
    <t xml:space="preserve">Smeep Kang</t>
  </si>
  <si>
    <t xml:space="preserve">Luv Shuv Tey Chicken Khurana</t>
  </si>
  <si>
    <t xml:space="preserve">Sameer Sharma</t>
  </si>
  <si>
    <t xml:space="preserve">Main, Meri Patni Aur Woh</t>
  </si>
  <si>
    <t xml:space="preserve">Chandan Arora</t>
  </si>
  <si>
    <t xml:space="preserve">Manje Bistre</t>
  </si>
  <si>
    <t xml:space="preserve">Baljit Singh Deo</t>
  </si>
  <si>
    <t xml:space="preserve">136 min</t>
  </si>
  <si>
    <t xml:space="preserve">Motor Mitraan Di</t>
  </si>
  <si>
    <t xml:space="preserve">Mountain</t>
  </si>
  <si>
    <t xml:space="preserve">Jennifer Peedom</t>
  </si>
  <si>
    <t xml:space="preserve">Action &amp; Adventure, Documentaries, International Movies</t>
  </si>
  <si>
    <t xml:space="preserve">Mugamoodi</t>
  </si>
  <si>
    <t xml:space="preserve">Mysskin</t>
  </si>
  <si>
    <t xml:space="preserve">Muran</t>
  </si>
  <si>
    <t xml:space="preserve">Rajan Madhav</t>
  </si>
  <si>
    <t xml:space="preserve">134 min</t>
  </si>
  <si>
    <t xml:space="preserve">My Friend Pinto</t>
  </si>
  <si>
    <t xml:space="preserve">Raaghav Dar</t>
  </si>
  <si>
    <t xml:space="preserve">Comedies, International Movies, Sci-Fi &amp; Fantasy</t>
  </si>
  <si>
    <t xml:space="preserve">My Little Pony Equestria Girls: Forgotten Friendship</t>
  </si>
  <si>
    <t xml:space="preserve">Ishi Rudell</t>
  </si>
  <si>
    <t xml:space="preserve">44 min</t>
  </si>
  <si>
    <t xml:space="preserve">My Little Pony Equestria Girls: Rollercoaster of Friendship</t>
  </si>
  <si>
    <t xml:space="preserve">My Suicide</t>
  </si>
  <si>
    <t xml:space="preserve">David Lee Miller</t>
  </si>
  <si>
    <t xml:space="preserve">Naan Sigappu Manithan</t>
  </si>
  <si>
    <t xml:space="preserve">Nasha</t>
  </si>
  <si>
    <t xml:space="preserve">Amit Saxena</t>
  </si>
  <si>
    <t xml:space="preserve">Nature: Animals With Cameras</t>
  </si>
  <si>
    <t xml:space="preserve">Naughty Jatts</t>
  </si>
  <si>
    <t xml:space="preserve">Pankaj Batra</t>
  </si>
  <si>
    <t xml:space="preserve">Needhi Singh</t>
  </si>
  <si>
    <t xml:space="preserve">Jaivi Dhanda</t>
  </si>
  <si>
    <t xml:space="preserve">Peace Haven</t>
  </si>
  <si>
    <t xml:space="preserve">Suman Ghosh</t>
  </si>
  <si>
    <t xml:space="preserve">India, United States</t>
  </si>
  <si>
    <t xml:space="preserve">Phantom</t>
  </si>
  <si>
    <t xml:space="preserve">Kabir Khan</t>
  </si>
  <si>
    <t xml:space="preserve">Pizza</t>
  </si>
  <si>
    <t xml:space="preserve">Akshay Akkineni</t>
  </si>
  <si>
    <t xml:space="preserve">Pooja Kiven Aa</t>
  </si>
  <si>
    <t xml:space="preserve">Nidhi Sharma</t>
  </si>
  <si>
    <t xml:space="preserve">Race</t>
  </si>
  <si>
    <t xml:space="preserve">Mastan Alibhai Burmawalla, Abbas Alibhai Burmawalla</t>
  </si>
  <si>
    <t xml:space="preserve">Action &amp; Adventure, International Movies, Music &amp; Musicals</t>
  </si>
  <si>
    <t xml:space="preserve">Race 2</t>
  </si>
  <si>
    <t xml:space="preserve">Abbas Alibhai Burmawalla, Mastan Alibhai Burmawalla</t>
  </si>
  <si>
    <t xml:space="preserve">Saadey CM Saab</t>
  </si>
  <si>
    <t xml:space="preserve">Vipin Parashar</t>
  </si>
  <si>
    <t xml:space="preserve">Sat Shri Akaal England</t>
  </si>
  <si>
    <t xml:space="preserve">Vikram Pradhan</t>
  </si>
  <si>
    <t xml:space="preserve">Strong</t>
  </si>
  <si>
    <t xml:space="preserve">Thaandavam</t>
  </si>
  <si>
    <t xml:space="preserve">Vijay</t>
  </si>
  <si>
    <t xml:space="preserve">156 min</t>
  </si>
  <si>
    <t xml:space="preserve">The Birth Reborn</t>
  </si>
  <si>
    <t xml:space="preserve">Eduardo Chauvet</t>
  </si>
  <si>
    <t xml:space="preserve">Theeya Velai Seyyanum Kumaru</t>
  </si>
  <si>
    <t xml:space="preserve">Sundar C.</t>
  </si>
  <si>
    <t xml:space="preserve">Three Wives One Husband</t>
  </si>
  <si>
    <t xml:space="preserve">Tiger</t>
  </si>
  <si>
    <t xml:space="preserve">Sartaj Singh Pannu</t>
  </si>
  <si>
    <t xml:space="preserve">Udaan</t>
  </si>
  <si>
    <t xml:space="preserve">Vikramaditya Motwane</t>
  </si>
  <si>
    <t xml:space="preserve">V for Vendetta</t>
  </si>
  <si>
    <t xml:space="preserve">James McTeigue</t>
  </si>
  <si>
    <t xml:space="preserve">Action &amp; Adventure, Dramas, Sci-Fi &amp; Fantasy</t>
  </si>
  <si>
    <t xml:space="preserve">Vettai</t>
  </si>
  <si>
    <t xml:space="preserve">Wake Up Sid</t>
  </si>
  <si>
    <t xml:space="preserve">Ayaan Mukherji</t>
  </si>
  <si>
    <t xml:space="preserve">We Are Family</t>
  </si>
  <si>
    <t xml:space="preserve">Sidharth Malhotra</t>
  </si>
  <si>
    <t xml:space="preserve">India, Australia</t>
  </si>
  <si>
    <t xml:space="preserve">What the Jatt!!</t>
  </si>
  <si>
    <t xml:space="preserve">Saket Behl</t>
  </si>
  <si>
    <t xml:space="preserve">Zack and Miri Make a Porno</t>
  </si>
  <si>
    <t xml:space="preserve">Kevin Smith</t>
  </si>
  <si>
    <t xml:space="preserve">Zindagi Kitni Haseen Hay</t>
  </si>
  <si>
    <t xml:space="preserve">Anjum Shahzad</t>
  </si>
  <si>
    <t xml:space="preserve">26 Years</t>
  </si>
  <si>
    <t xml:space="preserve">Geun-hyun Cho</t>
  </si>
  <si>
    <t xml:space="preserve">October 1, 2017</t>
  </si>
  <si>
    <t xml:space="preserve">April and the Extraordinary World</t>
  </si>
  <si>
    <t xml:space="preserve">Christian Desmares, Franck Ekinci</t>
  </si>
  <si>
    <t xml:space="preserve">France, Canada, Belgium</t>
  </si>
  <si>
    <t xml:space="preserve">Barbie &amp; Her Sisters in a Pony Tale</t>
  </si>
  <si>
    <t xml:space="preserve">Kyran Kelly</t>
  </si>
  <si>
    <t xml:space="preserve">Barbie in A Mermaid Tale</t>
  </si>
  <si>
    <t xml:space="preserve">Adam Wood</t>
  </si>
  <si>
    <t xml:space="preserve">Barbie in Princess Power</t>
  </si>
  <si>
    <t xml:space="preserve">Zeke Norton</t>
  </si>
  <si>
    <t xml:space="preserve">Barbie in Rock 'N Royals</t>
  </si>
  <si>
    <t xml:space="preserve">Karen J. Lloyd</t>
  </si>
  <si>
    <t xml:space="preserve">Barbie Star Light Adventure</t>
  </si>
  <si>
    <t xml:space="preserve">Andrew Tan, Michael Goguen</t>
  </si>
  <si>
    <t xml:space="preserve">Barbie: A Fairy Secret</t>
  </si>
  <si>
    <t xml:space="preserve">Barbie: Princess Charm School</t>
  </si>
  <si>
    <t xml:space="preserve">Ezekiel Norton</t>
  </si>
  <si>
    <t xml:space="preserve">Barbie: Spy Squad</t>
  </si>
  <si>
    <t xml:space="preserve">Barbie: The Princess &amp; the Popstar</t>
  </si>
  <si>
    <t xml:space="preserve">Barbie: Video Game Hero</t>
  </si>
  <si>
    <t xml:space="preserve">Conrad Helten, Ezekiel Norton, Michael Goguen</t>
  </si>
  <si>
    <t xml:space="preserve">Beyblade Burst</t>
  </si>
  <si>
    <t xml:space="preserve">Boy and the World</t>
  </si>
  <si>
    <t xml:space="preserve">Alê Abreu</t>
  </si>
  <si>
    <t xml:space="preserve">City in the Sky</t>
  </si>
  <si>
    <t xml:space="preserve">Equestria Girls: Tales of Canterlot High</t>
  </si>
  <si>
    <t xml:space="preserve">Food: Delicious Science</t>
  </si>
  <si>
    <t xml:space="preserve">For Your Own Good</t>
  </si>
  <si>
    <t xml:space="preserve">Carlos Therón</t>
  </si>
  <si>
    <t xml:space="preserve">Franca: Chaos and Creation</t>
  </si>
  <si>
    <t xml:space="preserve">Francesco Carrozzini</t>
  </si>
  <si>
    <t xml:space="preserve">United States, Italy</t>
  </si>
  <si>
    <t xml:space="preserve">Frances Ha</t>
  </si>
  <si>
    <t xml:space="preserve">United States, Brazil</t>
  </si>
  <si>
    <t xml:space="preserve">Generation Iron 2</t>
  </si>
  <si>
    <t xml:space="preserve">Ghost Patrol</t>
  </si>
  <si>
    <t xml:space="preserve">Great Yellowstone Thaw</t>
  </si>
  <si>
    <t xml:space="preserve">I Am Bolt</t>
  </si>
  <si>
    <t xml:space="preserve">Benjamin Turner, Gabe Turner</t>
  </si>
  <si>
    <t xml:space="preserve">I'm in Love with a Church Girl</t>
  </si>
  <si>
    <t xml:space="preserve">Steve Race</t>
  </si>
  <si>
    <t xml:space="preserve">Dramas, Faith &amp; Spirituality, Romantic Movies</t>
  </si>
  <si>
    <t xml:space="preserve">Ice Guardians</t>
  </si>
  <si>
    <t xml:space="preserve">Brett Harvey</t>
  </si>
  <si>
    <t xml:space="preserve">Canada, Ireland, United States</t>
  </si>
  <si>
    <t xml:space="preserve">Justice in the City</t>
  </si>
  <si>
    <t xml:space="preserve">Kahlil Gibran's The Prophet</t>
  </si>
  <si>
    <t xml:space="preserve">Roger Allers, Gaëtan Brizzi, Paul Brizzi, Joan C. Gratz, Mohammed Saeed Harib, Tomm Moore, Nina Paley, Bill Plympton, Joann Sfar, Michael Socha</t>
  </si>
  <si>
    <t xml:space="preserve">United States, France, Canada, Lebanon, Qatar</t>
  </si>
  <si>
    <t xml:space="preserve">Miss Hokusai</t>
  </si>
  <si>
    <t xml:space="preserve">Keiichi Hara</t>
  </si>
  <si>
    <t xml:space="preserve">Anime Features</t>
  </si>
  <si>
    <t xml:space="preserve">Monster High: Great Scarrier Reef</t>
  </si>
  <si>
    <t xml:space="preserve">Monster High: New Ghoul at School</t>
  </si>
  <si>
    <t xml:space="preserve">Audu Paden, Eric Radomski</t>
  </si>
  <si>
    <t xml:space="preserve">My Life as a Zucchini</t>
  </si>
  <si>
    <t xml:space="preserve">Claude Barras</t>
  </si>
  <si>
    <t xml:space="preserve">Switzerland, France</t>
  </si>
  <si>
    <t xml:space="preserve">Nature's Great Race</t>
  </si>
  <si>
    <t xml:space="preserve">Phantom Boy</t>
  </si>
  <si>
    <t xml:space="preserve">Jean-Loup Felicioli, Alain Gagnol</t>
  </si>
  <si>
    <t xml:space="preserve">PJ Masks</t>
  </si>
  <si>
    <t xml:space="preserve">France, United Kingdom</t>
  </si>
  <si>
    <t xml:space="preserve">Sudden</t>
  </si>
  <si>
    <t xml:space="preserve">The Code</t>
  </si>
  <si>
    <t xml:space="preserve">The Dream Catchers</t>
  </si>
  <si>
    <t xml:space="preserve">The Free Man</t>
  </si>
  <si>
    <t xml:space="preserve">Toa Fraser</t>
  </si>
  <si>
    <t xml:space="preserve">The Lion Woman</t>
  </si>
  <si>
    <t xml:space="preserve">Vibeke Idsøe</t>
  </si>
  <si>
    <t xml:space="preserve">Norway, Germany</t>
  </si>
  <si>
    <t xml:space="preserve">The President's Barber</t>
  </si>
  <si>
    <t xml:space="preserve">Chan-sang Lim</t>
  </si>
  <si>
    <t xml:space="preserve">Tokyo Idols</t>
  </si>
  <si>
    <t xml:space="preserve">Kyoko Miyake</t>
  </si>
  <si>
    <t xml:space="preserve">United Kingdom, Canada, Japan</t>
  </si>
  <si>
    <t xml:space="preserve">Verónica</t>
  </si>
  <si>
    <t xml:space="preserve">Carlos Algara, Alejandro Martinez-Beltran</t>
  </si>
  <si>
    <t xml:space="preserve">Welcome to Monster High: The Origin Story</t>
  </si>
  <si>
    <t xml:space="preserve">Stephen Donnelly, Olly Reid, Jun Falkenstein</t>
  </si>
  <si>
    <t xml:space="preserve">What She Put on the Table</t>
  </si>
  <si>
    <t xml:space="preserve">Wrong Side Raju</t>
  </si>
  <si>
    <t xml:space="preserve">Mikhil Musale</t>
  </si>
  <si>
    <t xml:space="preserve">Be with Me</t>
  </si>
  <si>
    <t xml:space="preserve">October 1, 2016</t>
  </si>
  <si>
    <t xml:space="preserve">Be with You</t>
  </si>
  <si>
    <t xml:space="preserve">Bombshell</t>
  </si>
  <si>
    <t xml:space="preserve">Riccardo Pilizzeri</t>
  </si>
  <si>
    <t xml:space="preserve">Chatô: The King of Brazil</t>
  </si>
  <si>
    <t xml:space="preserve">Guilherme Fontes</t>
  </si>
  <si>
    <t xml:space="preserve">Chewin' the Fat</t>
  </si>
  <si>
    <t xml:space="preserve">Fall in Love with Me</t>
  </si>
  <si>
    <t xml:space="preserve">Harud</t>
  </si>
  <si>
    <t xml:space="preserve">Aamir Bashir</t>
  </si>
  <si>
    <t xml:space="preserve">Love Cheque Charge</t>
  </si>
  <si>
    <t xml:space="preserve">Masha's Spooky Stories</t>
  </si>
  <si>
    <t xml:space="preserve">United States, Russia</t>
  </si>
  <si>
    <t xml:space="preserve">Much Ado About Nothing</t>
  </si>
  <si>
    <t xml:space="preserve">Alejandro Fernández Almendras</t>
  </si>
  <si>
    <t xml:space="preserve">Chile, United States, France</t>
  </si>
  <si>
    <t xml:space="preserve">Murphy's Law of Love</t>
  </si>
  <si>
    <t xml:space="preserve">My Big Night</t>
  </si>
  <si>
    <t xml:space="preserve">My Little Pony Equestria Girls: Legend of Everfree</t>
  </si>
  <si>
    <t xml:space="preserve">Old Money</t>
  </si>
  <si>
    <t xml:space="preserve">David Schalko</t>
  </si>
  <si>
    <t xml:space="preserve">Pac's Scary Halloween</t>
  </si>
  <si>
    <t xml:space="preserve">Riphagen - The Untouchable</t>
  </si>
  <si>
    <t xml:space="preserve">Pieter Kuijpers</t>
  </si>
  <si>
    <t xml:space="preserve">Robotech</t>
  </si>
  <si>
    <t xml:space="preserve">United States, Japan</t>
  </si>
  <si>
    <t xml:space="preserve">Anime Series</t>
  </si>
  <si>
    <t xml:space="preserve">Someone Like You</t>
  </si>
  <si>
    <t xml:space="preserve">Umrika</t>
  </si>
  <si>
    <t xml:space="preserve">Prashant Nair</t>
  </si>
  <si>
    <t xml:space="preserve">Unchained: The Untold Story of Freestyle Motocross</t>
  </si>
  <si>
    <t xml:space="preserve">Paul Taublieb, Jon Freeman</t>
  </si>
  <si>
    <t xml:space="preserve">Welcome Mr. President</t>
  </si>
  <si>
    <t xml:space="preserve">Riccardo Milani</t>
  </si>
  <si>
    <t xml:space="preserve">When I See You Again</t>
  </si>
  <si>
    <t xml:space="preserve">Wakfu: The Quest for the Six Eliatrope Dofus</t>
  </si>
  <si>
    <t xml:space="preserve">October 1, 2015</t>
  </si>
  <si>
    <t xml:space="preserve">A Stoning in Fulham County</t>
  </si>
  <si>
    <t xml:space="preserve">Larry Elikann</t>
  </si>
  <si>
    <t xml:space="preserve">October 1, 2011</t>
  </si>
  <si>
    <t xml:space="preserve">Adam: His Song Continues</t>
  </si>
  <si>
    <t xml:space="preserve">Robert Markowitz</t>
  </si>
  <si>
    <t xml:space="preserve">Hard Lessons</t>
  </si>
  <si>
    <t xml:space="preserve">Eric Laneuville</t>
  </si>
  <si>
    <t xml:space="preserve">In Defense of a Married Man</t>
  </si>
  <si>
    <t xml:space="preserve">Joel Oliansky</t>
  </si>
  <si>
    <t xml:space="preserve">Quiet Victory: The Charlie Wedemeyer Story</t>
  </si>
  <si>
    <t xml:space="preserve">Roy Campanella II</t>
  </si>
  <si>
    <t xml:space="preserve">Strange Voices</t>
  </si>
  <si>
    <t xml:space="preserve">Arthur Allan Seidelman</t>
  </si>
  <si>
    <t xml:space="preserve">The Ryan White Story</t>
  </si>
  <si>
    <t xml:space="preserve">John Herzfeld</t>
  </si>
  <si>
    <t xml:space="preserve">Too Young the Hero</t>
  </si>
  <si>
    <t xml:space="preserve">Buzz Kulik</t>
  </si>
  <si>
    <t xml:space="preserve">Triumph of the Heart</t>
  </si>
  <si>
    <t xml:space="preserve">Richard Michaels</t>
  </si>
  <si>
    <t xml:space="preserve">Unspeakable Acts</t>
  </si>
  <si>
    <t xml:space="preserve">Linda Otto</t>
  </si>
  <si>
    <t xml:space="preserve">Victim of Beauty</t>
  </si>
  <si>
    <t xml:space="preserve">Roger Young</t>
  </si>
  <si>
    <t xml:space="preserve">All's Well, End's Well (2009)</t>
  </si>
  <si>
    <t xml:space="preserve">Vincent Kok</t>
  </si>
  <si>
    <t xml:space="preserve">November 9, 2018</t>
  </si>
  <si>
    <t xml:space="preserve">Gabriel and the Mountain</t>
  </si>
  <si>
    <t xml:space="preserve">Fellipe Barbosa</t>
  </si>
  <si>
    <t xml:space="preserve">Brazil, France</t>
  </si>
  <si>
    <t xml:space="preserve">Lommbock</t>
  </si>
  <si>
    <t xml:space="preserve">Christian Zübert</t>
  </si>
  <si>
    <t xml:space="preserve">Love O2O</t>
  </si>
  <si>
    <t xml:space="preserve">Medal of Honor</t>
  </si>
  <si>
    <t xml:space="preserve">Docuseries, TV Dramas</t>
  </si>
  <si>
    <t xml:space="preserve">Outlaw King</t>
  </si>
  <si>
    <t xml:space="preserve">David Mackenzie</t>
  </si>
  <si>
    <t xml:space="preserve">Super Drags</t>
  </si>
  <si>
    <t xml:space="preserve">The Queen of Flow</t>
  </si>
  <si>
    <t xml:space="preserve">Westside</t>
  </si>
  <si>
    <t xml:space="preserve">Case</t>
  </si>
  <si>
    <t xml:space="preserve">Iceland</t>
  </si>
  <si>
    <t xml:space="preserve">November 9, 2016</t>
  </si>
  <si>
    <t xml:space="preserve">Greatest Events of WWII in Colour</t>
  </si>
  <si>
    <t xml:space="preserve">November 8, 2019</t>
  </si>
  <si>
    <t xml:space="preserve">Green Eggs and Ham</t>
  </si>
  <si>
    <t xml:space="preserve">United States, United Kingdom, Canada</t>
  </si>
  <si>
    <t xml:space="preserve">Kids' TV, TV Action &amp; Adventure, TV Comedies</t>
  </si>
  <si>
    <t xml:space="preserve">Hit &amp; Run</t>
  </si>
  <si>
    <t xml:space="preserve">David Palmer, Dax Shepard</t>
  </si>
  <si>
    <t xml:space="preserve">Let It Snow</t>
  </si>
  <si>
    <t xml:space="preserve">Luke Snellin</t>
  </si>
  <si>
    <t xml:space="preserve">Comedies, Dramas, LGBTQ Movies</t>
  </si>
  <si>
    <t xml:space="preserve">Paradise Beach</t>
  </si>
  <si>
    <t xml:space="preserve">Xavier Durringer</t>
  </si>
  <si>
    <t xml:space="preserve">Hope Springs Eternal</t>
  </si>
  <si>
    <t xml:space="preserve">Jack C. Newell</t>
  </si>
  <si>
    <t xml:space="preserve">November 8, 2018</t>
  </si>
  <si>
    <t xml:space="preserve">The Desert Bride</t>
  </si>
  <si>
    <t xml:space="preserve">Cecilia Atán, Valeria Pivato</t>
  </si>
  <si>
    <t xml:space="preserve">Argentina, Chile</t>
  </si>
  <si>
    <t xml:space="preserve">The Sea of Trees</t>
  </si>
  <si>
    <t xml:space="preserve">Gus Van Sant</t>
  </si>
  <si>
    <t xml:space="preserve">Transfers</t>
  </si>
  <si>
    <t xml:space="preserve">Crime TV Shows, International TV Shows, TV Sci-Fi &amp; Fantasy</t>
  </si>
  <si>
    <t xml:space="preserve">Yes or No 2</t>
  </si>
  <si>
    <t xml:space="preserve">Saratswadee Wongsomphet</t>
  </si>
  <si>
    <t xml:space="preserve">International Movies, LGBTQ Movies, Romantic Movies</t>
  </si>
  <si>
    <t xml:space="preserve">Yes or No 2.5</t>
  </si>
  <si>
    <t xml:space="preserve">Kirati Nakintanon</t>
  </si>
  <si>
    <t xml:space="preserve">My Way</t>
  </si>
  <si>
    <t xml:space="preserve">Antongiulio Panizzi</t>
  </si>
  <si>
    <t xml:space="preserve">November 8, 2016</t>
  </si>
  <si>
    <t xml:space="preserve">U Turn</t>
  </si>
  <si>
    <t xml:space="preserve">Pawan Kumar</t>
  </si>
  <si>
    <t xml:space="preserve">November 7, 2019</t>
  </si>
  <si>
    <t xml:space="preserve">Damnation</t>
  </si>
  <si>
    <t xml:space="preserve">November 7, 2018</t>
  </si>
  <si>
    <t xml:space="preserve">Into the Forest</t>
  </si>
  <si>
    <t xml:space="preserve">Patricia Rozema</t>
  </si>
  <si>
    <t xml:space="preserve">Dramas, International Movies, Sci-Fi &amp; Fantasy</t>
  </si>
  <si>
    <t xml:space="preserve">Krisha</t>
  </si>
  <si>
    <t xml:space="preserve">Trey Edward Shults</t>
  </si>
  <si>
    <t xml:space="preserve">Jerry Seinfeld: Comedian</t>
  </si>
  <si>
    <t xml:space="preserve">Christian Charles</t>
  </si>
  <si>
    <t xml:space="preserve">November 7, 2017</t>
  </si>
  <si>
    <t xml:space="preserve">P. King Duckling</t>
  </si>
  <si>
    <t xml:space="preserve">The Journey Is the Destination</t>
  </si>
  <si>
    <t xml:space="preserve">Bronwen Hughes</t>
  </si>
  <si>
    <t xml:space="preserve">Virunga</t>
  </si>
  <si>
    <t xml:space="preserve">United Kingdom,</t>
  </si>
  <si>
    <t xml:space="preserve">November 7, 2014</t>
  </si>
  <si>
    <t xml:space="preserve">Burning Cane</t>
  </si>
  <si>
    <t xml:space="preserve">Phillip Youmans</t>
  </si>
  <si>
    <t xml:space="preserve">November 6, 2019</t>
  </si>
  <si>
    <t xml:space="preserve">SCAMS</t>
  </si>
  <si>
    <t xml:space="preserve">Shadow</t>
  </si>
  <si>
    <t xml:space="preserve">Zhang Yimou</t>
  </si>
  <si>
    <t xml:space="preserve">China, Hong Kong</t>
  </si>
  <si>
    <t xml:space="preserve">Let It Fall: Los Angeles 1982-1992</t>
  </si>
  <si>
    <t xml:space="preserve">John Ridley</t>
  </si>
  <si>
    <t xml:space="preserve">November 6, 2017</t>
  </si>
  <si>
    <t xml:space="preserve">Luccas Neto in: Summer Camp</t>
  </si>
  <si>
    <t xml:space="preserve">Lucas Margutti</t>
  </si>
  <si>
    <t xml:space="preserve">November 5, 2019</t>
  </si>
  <si>
    <t xml:space="preserve">Seth Meyers: Lobby Baby</t>
  </si>
  <si>
    <t xml:space="preserve">Neal Brennan</t>
  </si>
  <si>
    <t xml:space="preserve">The Lovers</t>
  </si>
  <si>
    <t xml:space="preserve">Azazel Jacobs</t>
  </si>
  <si>
    <t xml:space="preserve">Tune in for Love</t>
  </si>
  <si>
    <t xml:space="preserve">Jung Ji-woo</t>
  </si>
  <si>
    <t xml:space="preserve">Undercover Brother 2</t>
  </si>
  <si>
    <t xml:space="preserve">Leslie Small</t>
  </si>
  <si>
    <t xml:space="preserve">Voice</t>
  </si>
  <si>
    <t xml:space="preserve">Bucket List</t>
  </si>
  <si>
    <t xml:space="preserve">Tejas Prabha Vijay Deoskar</t>
  </si>
  <si>
    <t xml:space="preserve">November 5, 2018</t>
  </si>
  <si>
    <t xml:space="preserve">John Leguizamo's Latin History for Morons</t>
  </si>
  <si>
    <t xml:space="preserve">Mubarakan</t>
  </si>
  <si>
    <t xml:space="preserve">November 5, 2017</t>
  </si>
  <si>
    <t xml:space="preserve">A Holiday Engagement</t>
  </si>
  <si>
    <t xml:space="preserve">Jim Fall</t>
  </si>
  <si>
    <t xml:space="preserve">November 4, 2019</t>
  </si>
  <si>
    <t xml:space="preserve">Christmas Crush</t>
  </si>
  <si>
    <t xml:space="preserve">Marita Grabiak</t>
  </si>
  <si>
    <t xml:space="preserve">Dear Santa</t>
  </si>
  <si>
    <t xml:space="preserve">Jason Priestley</t>
  </si>
  <si>
    <t xml:space="preserve">District 9</t>
  </si>
  <si>
    <t xml:space="preserve">Neill Blomkamp</t>
  </si>
  <si>
    <t xml:space="preserve">South Africa, United States, New Zealand, Canada</t>
  </si>
  <si>
    <t xml:space="preserve">Kicking and Screaming</t>
  </si>
  <si>
    <t xml:space="preserve">Minimalism: A Documentary About the Important Things</t>
  </si>
  <si>
    <t xml:space="preserve">Matt D'Avella</t>
  </si>
  <si>
    <t xml:space="preserve">Oththa Seruppu Size 7</t>
  </si>
  <si>
    <t xml:space="preserve">Parthiban</t>
  </si>
  <si>
    <t xml:space="preserve">The Devil Next Door</t>
  </si>
  <si>
    <t xml:space="preserve">Williams</t>
  </si>
  <si>
    <t xml:space="preserve">Morgan Matthews</t>
  </si>
  <si>
    <t xml:space="preserve">November 4, 2017</t>
  </si>
  <si>
    <t xml:space="preserve">Dana Carvey: Straight White Male, 60</t>
  </si>
  <si>
    <t xml:space="preserve">Marcus Raboy</t>
  </si>
  <si>
    <t xml:space="preserve">November 4, 2016</t>
  </si>
  <si>
    <t xml:space="preserve">Qué pena tu serie</t>
  </si>
  <si>
    <t xml:space="preserve">International TV Shows, Romantic TV Shows, Spanish-Language TV Shows</t>
  </si>
  <si>
    <t xml:space="preserve">The Ivory Game</t>
  </si>
  <si>
    <t xml:space="preserve">Kief Davidson, Richard Ladkani</t>
  </si>
  <si>
    <t xml:space="preserve">Austria</t>
  </si>
  <si>
    <t xml:space="preserve">Chocolate</t>
  </si>
  <si>
    <t xml:space="preserve">November 30, 2019</t>
  </si>
  <si>
    <t xml:space="preserve">Guatemala: Heart of the Mayan World</t>
  </si>
  <si>
    <t xml:space="preserve">Luis Ara, Ignacio Jaunsolo</t>
  </si>
  <si>
    <t xml:space="preserve">The Zoya Factor</t>
  </si>
  <si>
    <t xml:space="preserve">Abhishek Sharma</t>
  </si>
  <si>
    <t xml:space="preserve">1983</t>
  </si>
  <si>
    <t xml:space="preserve">Poland, United States</t>
  </si>
  <si>
    <t xml:space="preserve">November 30, 2018</t>
  </si>
  <si>
    <t xml:space="preserve">A Christmas Prince: The Royal Wedding</t>
  </si>
  <si>
    <t xml:space="preserve">John Schultz</t>
  </si>
  <si>
    <t xml:space="preserve">Children &amp; Family Movies, Dramas, Romantic Movies</t>
  </si>
  <si>
    <t xml:space="preserve">Angela's Christmas</t>
  </si>
  <si>
    <t xml:space="preserve">Damien O’Connor</t>
  </si>
  <si>
    <t xml:space="preserve">Ireland, Canada</t>
  </si>
  <si>
    <t xml:space="preserve">30 min</t>
  </si>
  <si>
    <t xml:space="preserve">Cloudy with a Chance of Meatballs</t>
  </si>
  <si>
    <t xml:space="preserve">Death by Magic</t>
  </si>
  <si>
    <t xml:space="preserve">El club de los insomnes</t>
  </si>
  <si>
    <t xml:space="preserve">Joseduardo Giordano, Sergio Goyri Jr.</t>
  </si>
  <si>
    <t xml:space="preserve">Garuda in My Heart 2</t>
  </si>
  <si>
    <t xml:space="preserve">Rudy Soedjarwo</t>
  </si>
  <si>
    <t xml:space="preserve">Happy as Lazzaro</t>
  </si>
  <si>
    <t xml:space="preserve">Alice Rohrwacher</t>
  </si>
  <si>
    <t xml:space="preserve">Italy, Switzerland, France, Germany</t>
  </si>
  <si>
    <t xml:space="preserve">Kabir Bhatia, Titien Wattimena</t>
  </si>
  <si>
    <t xml:space="preserve">120 min</t>
  </si>
  <si>
    <t xml:space="preserve">Love and Fortune</t>
  </si>
  <si>
    <t xml:space="preserve">Manto</t>
  </si>
  <si>
    <t xml:space="preserve">Nandita Das</t>
  </si>
  <si>
    <t xml:space="preserve">Rajma Chawal</t>
  </si>
  <si>
    <t xml:space="preserve">Leena Yadav</t>
  </si>
  <si>
    <t xml:space="preserve">The World Is Yours</t>
  </si>
  <si>
    <t xml:space="preserve">Romain Gavras</t>
  </si>
  <si>
    <t xml:space="preserve">Time Share</t>
  </si>
  <si>
    <t xml:space="preserve">Sebastián Hofmann</t>
  </si>
  <si>
    <t xml:space="preserve">Mexico, Netherlands</t>
  </si>
  <si>
    <t xml:space="preserve">When Two Worlds Collide</t>
  </si>
  <si>
    <t xml:space="preserve">Heidi Brandenburg, Mathew Orzel</t>
  </si>
  <si>
    <t xml:space="preserve">Peru, United States, United Kingdom</t>
  </si>
  <si>
    <t xml:space="preserve">November 30, 2016</t>
  </si>
  <si>
    <t xml:space="preserve">Takers</t>
  </si>
  <si>
    <t xml:space="preserve">John Luessenhop</t>
  </si>
  <si>
    <t xml:space="preserve">November 3, 2019</t>
  </si>
  <si>
    <t xml:space="preserve">Hoodwinked Too! Hood vs. Evil</t>
  </si>
  <si>
    <t xml:space="preserve">Mike Disa</t>
  </si>
  <si>
    <t xml:space="preserve">November 3, 2018</t>
  </si>
  <si>
    <t xml:space="preserve">Akulah Balqis</t>
  </si>
  <si>
    <t xml:space="preserve">Pali Yahya</t>
  </si>
  <si>
    <t xml:space="preserve">November 3, 2017</t>
  </si>
  <si>
    <t xml:space="preserve">Alias Grace</t>
  </si>
  <si>
    <t xml:space="preserve">Atlantics</t>
  </si>
  <si>
    <t xml:space="preserve">Mati Diop</t>
  </si>
  <si>
    <t xml:space="preserve">France, Senegal, Belgium</t>
  </si>
  <si>
    <t xml:space="preserve">November 29, 2019</t>
  </si>
  <si>
    <t xml:space="preserve">Crazy people</t>
  </si>
  <si>
    <t xml:space="preserve">Moses Inwang</t>
  </si>
  <si>
    <t xml:space="preserve">Comedies, International Movies, Thrillers</t>
  </si>
  <si>
    <t xml:space="preserve">I Lost My Body</t>
  </si>
  <si>
    <t xml:space="preserve">Jérémy Clapin</t>
  </si>
  <si>
    <t xml:space="preserve">Kalushi: The Story of Solomon Mahlangu</t>
  </si>
  <si>
    <t xml:space="preserve">Mandla Dube</t>
  </si>
  <si>
    <t xml:space="preserve">Lagos Real Fake Life</t>
  </si>
  <si>
    <t xml:space="preserve">Mike Ezuruonye</t>
  </si>
  <si>
    <t xml:space="preserve">Payday</t>
  </si>
  <si>
    <t xml:space="preserve">Cheta Chukwu</t>
  </si>
  <si>
    <t xml:space="preserve">Sugar Rush Christmas</t>
  </si>
  <si>
    <t xml:space="preserve">The Accidental Spy</t>
  </si>
  <si>
    <t xml:space="preserve">Roger Russell</t>
  </si>
  <si>
    <t xml:space="preserve">The Charming Stepmom</t>
  </si>
  <si>
    <t xml:space="preserve">The Island</t>
  </si>
  <si>
    <t xml:space="preserve">The Movies That Made Us</t>
  </si>
  <si>
    <t xml:space="preserve">Holiday Rush</t>
  </si>
  <si>
    <t xml:space="preserve">November 28, 2019</t>
  </si>
  <si>
    <t xml:space="preserve">Levius</t>
  </si>
  <si>
    <t xml:space="preserve">Lugar de Mulher</t>
  </si>
  <si>
    <t xml:space="preserve">International TV Shows, Stand-Up Comedy &amp; Talk Shows, TV Comedies</t>
  </si>
  <si>
    <t xml:space="preserve">Merry Happy Whatever</t>
  </si>
  <si>
    <t xml:space="preserve">Mythomaniac</t>
  </si>
  <si>
    <t xml:space="preserve">The Score</t>
  </si>
  <si>
    <t xml:space="preserve">Frank Oz</t>
  </si>
  <si>
    <t xml:space="preserve">Germany, Canada, United States</t>
  </si>
  <si>
    <t xml:space="preserve">Brotherhood of Blades II: The Infernal Battlefield</t>
  </si>
  <si>
    <t xml:space="preserve">Lu Yang</t>
  </si>
  <si>
    <t xml:space="preserve">November 28, 2018</t>
  </si>
  <si>
    <t xml:space="preserve">Broken</t>
  </si>
  <si>
    <t xml:space="preserve">November 27, 2019</t>
  </si>
  <si>
    <t xml:space="preserve">Defiance</t>
  </si>
  <si>
    <t xml:space="preserve">Edward Zwick</t>
  </si>
  <si>
    <t xml:space="preserve">Evvarikee Cheppoddu</t>
  </si>
  <si>
    <t xml:space="preserve">Basava Shankar Eeday</t>
  </si>
  <si>
    <t xml:space="preserve">Little Singham: Mahabali</t>
  </si>
  <si>
    <t xml:space="preserve">The Body Remembers When the World Broke Open</t>
  </si>
  <si>
    <t xml:space="preserve">Elle-Máijá Tailfeathers, Kathleen Hepburn</t>
  </si>
  <si>
    <t xml:space="preserve">Canada, Norway</t>
  </si>
  <si>
    <t xml:space="preserve">The Irishman</t>
  </si>
  <si>
    <t xml:space="preserve">209 min</t>
  </si>
  <si>
    <t xml:space="preserve">Bumping Mics with Jeff Ross &amp; Dave Attell</t>
  </si>
  <si>
    <t xml:space="preserve">November 27, 2018</t>
  </si>
  <si>
    <t xml:space="preserve">Minecraft: Story Mode</t>
  </si>
  <si>
    <t xml:space="preserve">Operation Red Sea</t>
  </si>
  <si>
    <t xml:space="preserve">Dante Lam</t>
  </si>
  <si>
    <t xml:space="preserve">China, Morocco, Hong Kong</t>
  </si>
  <si>
    <t xml:space="preserve">Poster Boys</t>
  </si>
  <si>
    <t xml:space="preserve">Shreyas Talpade</t>
  </si>
  <si>
    <t xml:space="preserve">November 27, 2017</t>
  </si>
  <si>
    <t xml:space="preserve">Mike Birbiglia: The New One</t>
  </si>
  <si>
    <t xml:space="preserve">Seth Barrish</t>
  </si>
  <si>
    <t xml:space="preserve">November 26, 2019</t>
  </si>
  <si>
    <t xml:space="preserve">Super Monsters Save Christmas</t>
  </si>
  <si>
    <t xml:space="preserve">Steve Ball</t>
  </si>
  <si>
    <t xml:space="preserve">True: Winter Wishes</t>
  </si>
  <si>
    <t xml:space="preserve">Zona Rosa</t>
  </si>
  <si>
    <t xml:space="preserve">International TV Shows, Spanish-Language TV Shows, Stand-Up Comedy &amp; Talk Shows</t>
  </si>
  <si>
    <t xml:space="preserve">Dirty John</t>
  </si>
  <si>
    <t xml:space="preserve">November 25, 2019</t>
  </si>
  <si>
    <t xml:space="preserve">Pranaam</t>
  </si>
  <si>
    <t xml:space="preserve">Sanjiv Jaiswal</t>
  </si>
  <si>
    <t xml:space="preserve">What the F* Is Going On?</t>
  </si>
  <si>
    <t xml:space="preserve">Marta Jaenes, Rosa Márquez</t>
  </si>
  <si>
    <t xml:space="preserve">Harold and Lillian: A Hollywood Love Story</t>
  </si>
  <si>
    <t xml:space="preserve">Daniel Raim</t>
  </si>
  <si>
    <t xml:space="preserve">November 25, 2018</t>
  </si>
  <si>
    <t xml:space="preserve">My Little Pony Friendship Is Magic: Best Gift Ever</t>
  </si>
  <si>
    <t xml:space="preserve">Denny Lu, Mike Myhre</t>
  </si>
  <si>
    <t xml:space="preserve">Perú: Tesoro escondido</t>
  </si>
  <si>
    <t xml:space="preserve">Luis Ara</t>
  </si>
  <si>
    <t xml:space="preserve">Uruguay</t>
  </si>
  <si>
    <t xml:space="preserve">November 25, 2017</t>
  </si>
  <si>
    <t xml:space="preserve">Beauties of the Night</t>
  </si>
  <si>
    <t xml:space="preserve">María Jose Cuevas</t>
  </si>
  <si>
    <t xml:space="preserve">November 25, 2016</t>
  </si>
  <si>
    <t xml:space="preserve">Gilmore Girls: A Year in the Life</t>
  </si>
  <si>
    <t xml:space="preserve">Michael Che Matters</t>
  </si>
  <si>
    <t xml:space="preserve">Oz Rodriguez</t>
  </si>
  <si>
    <t xml:space="preserve">Awake</t>
  </si>
  <si>
    <t xml:space="preserve">Aleksandr Chernyaev, Fedor Lyass</t>
  </si>
  <si>
    <t xml:space="preserve">November 24, 2019</t>
  </si>
  <si>
    <t xml:space="preserve">Popeye</t>
  </si>
  <si>
    <t xml:space="preserve">Robert Altman</t>
  </si>
  <si>
    <t xml:space="preserve">Action &amp; Adventure, Children &amp; Family Movies, Comedies</t>
  </si>
  <si>
    <t xml:space="preserve">Shot Caller</t>
  </si>
  <si>
    <t xml:space="preserve">Ric Roman Waugh</t>
  </si>
  <si>
    <t xml:space="preserve">Strong Girl Bong-soon</t>
  </si>
  <si>
    <t xml:space="preserve">Bushwick</t>
  </si>
  <si>
    <t xml:space="preserve">Cary Murnion, Jonathan Milott</t>
  </si>
  <si>
    <t xml:space="preserve">November 24, 2017</t>
  </si>
  <si>
    <t xml:space="preserve">Cuba and the Cameraman</t>
  </si>
  <si>
    <t xml:space="preserve">Jon Alpert</t>
  </si>
  <si>
    <t xml:space="preserve">The Girl from the Song</t>
  </si>
  <si>
    <t xml:space="preserve">Ibai Abad</t>
  </si>
  <si>
    <t xml:space="preserve">The Many Faces of Ito</t>
  </si>
  <si>
    <t xml:space="preserve">Trailer Park Boys: Out of the Park: USA</t>
  </si>
  <si>
    <t xml:space="preserve">Charlotte's Web</t>
  </si>
  <si>
    <t xml:space="preserve">Charles A. Nichols, Iwao Takamoto</t>
  </si>
  <si>
    <t xml:space="preserve">November 23, 2019</t>
  </si>
  <si>
    <t xml:space="preserve">Children &amp; Family Movies, Classic Movies</t>
  </si>
  <si>
    <t xml:space="preserve">End of Watch</t>
  </si>
  <si>
    <t xml:space="preserve">David Ayer</t>
  </si>
  <si>
    <t xml:space="preserve">Hamburger Hill</t>
  </si>
  <si>
    <t xml:space="preserve">John Irvin</t>
  </si>
  <si>
    <t xml:space="preserve">Once Upon A Time In Lingjian Mountain</t>
  </si>
  <si>
    <t xml:space="preserve">International TV Shows, TV Comedies, TV Sci-Fi &amp; Fantasy</t>
  </si>
  <si>
    <t xml:space="preserve">The Time Machine</t>
  </si>
  <si>
    <t xml:space="preserve">Simon Wells</t>
  </si>
  <si>
    <t xml:space="preserve">United States, United Arab Emirates</t>
  </si>
  <si>
    <t xml:space="preserve">Fugitiva</t>
  </si>
  <si>
    <t xml:space="preserve">November 23, 2018</t>
  </si>
  <si>
    <t xml:space="preserve">Bright: The Music Videos</t>
  </si>
  <si>
    <t xml:space="preserve">November 23, 2017</t>
  </si>
  <si>
    <t xml:space="preserve">TV Shows</t>
  </si>
  <si>
    <t xml:space="preserve">Deep</t>
  </si>
  <si>
    <t xml:space="preserve">Julio Soto Gurpide</t>
  </si>
  <si>
    <t xml:space="preserve">Spain, Belgium, Switzerland, United States, China, United Kingdom</t>
  </si>
  <si>
    <t xml:space="preserve">Brother</t>
  </si>
  <si>
    <t xml:space="preserve">Julien Abraham</t>
  </si>
  <si>
    <t xml:space="preserve">November 22, 2019</t>
  </si>
  <si>
    <t xml:space="preserve">Dino Girl Gauko</t>
  </si>
  <si>
    <t xml:space="preserve">Dolly Parton's Heartstrings</t>
  </si>
  <si>
    <t xml:space="preserve">TV Dramas</t>
  </si>
  <si>
    <t xml:space="preserve">Girls und Panzer der Film</t>
  </si>
  <si>
    <t xml:space="preserve">Tsutomu Mizushima</t>
  </si>
  <si>
    <t xml:space="preserve">Mike Birbiglia: What I Should Have Said Was Nothing: Tales from My Secret Public Journal</t>
  </si>
  <si>
    <t xml:space="preserve">Narcoworld: Dope Stories</t>
  </si>
  <si>
    <t xml:space="preserve">Nobody's Looking</t>
  </si>
  <si>
    <t xml:space="preserve">Shelby American</t>
  </si>
  <si>
    <t xml:space="preserve">Nate Adams, Adam Carolla</t>
  </si>
  <si>
    <t xml:space="preserve">Singapore Social</t>
  </si>
  <si>
    <t xml:space="preserve">Singapore, United States</t>
  </si>
  <si>
    <t xml:space="preserve">The Christmas Chronicles</t>
  </si>
  <si>
    <t xml:space="preserve">Clay Kaytis</t>
  </si>
  <si>
    <t xml:space="preserve">November 22, 2018</t>
  </si>
  <si>
    <t xml:space="preserve">Argon</t>
  </si>
  <si>
    <t xml:space="preserve">November 22, 2017</t>
  </si>
  <si>
    <t xml:space="preserve">Barbra: The Music ... The Mem'ries ... The Magic!</t>
  </si>
  <si>
    <t xml:space="preserve">Barbra Streisand, Jim Gable</t>
  </si>
  <si>
    <t xml:space="preserve">Godless</t>
  </si>
  <si>
    <t xml:space="preserve">Ludo</t>
  </si>
  <si>
    <t xml:space="preserve">Qaushiq Mukherjee, Nikon</t>
  </si>
  <si>
    <t xml:space="preserve">November 22, 2016</t>
  </si>
  <si>
    <t xml:space="preserve">Horror Movies, Independent Movies, International Movies</t>
  </si>
  <si>
    <t xml:space="preserve">Mercy</t>
  </si>
  <si>
    <t xml:space="preserve">Chris Sparling</t>
  </si>
  <si>
    <t xml:space="preserve">The Land of Cards</t>
  </si>
  <si>
    <t xml:space="preserve">K-19: The Widowmaker</t>
  </si>
  <si>
    <t xml:space="preserve">Kathryn Bigelow</t>
  </si>
  <si>
    <t xml:space="preserve">United Kingdom, Germany, Canada, United States</t>
  </si>
  <si>
    <t xml:space="preserve">November 21, 2019</t>
  </si>
  <si>
    <t xml:space="preserve">Mortel</t>
  </si>
  <si>
    <t xml:space="preserve">The Knight Before Christmas</t>
  </si>
  <si>
    <t xml:space="preserve">Monika Mitchell</t>
  </si>
  <si>
    <t xml:space="preserve">De Palma</t>
  </si>
  <si>
    <t xml:space="preserve">Noah Baumbach, Jake Paltrow</t>
  </si>
  <si>
    <t xml:space="preserve">November 21, 2018</t>
  </si>
  <si>
    <t xml:space="preserve">Oh My Ghost</t>
  </si>
  <si>
    <t xml:space="preserve">The Tribe</t>
  </si>
  <si>
    <t xml:space="preserve">Fernando Colomo</t>
  </si>
  <si>
    <t xml:space="preserve">Beat Bugs: All Together Now</t>
  </si>
  <si>
    <t xml:space="preserve">Josh Wakely</t>
  </si>
  <si>
    <t xml:space="preserve">Australia, Canada</t>
  </si>
  <si>
    <t xml:space="preserve">November 21, 2017</t>
  </si>
  <si>
    <t xml:space="preserve">Brian Regan: Nunchucks and Flamethrowers</t>
  </si>
  <si>
    <t xml:space="preserve">Saving Capitalism</t>
  </si>
  <si>
    <t xml:space="preserve">Jacob Kornbluth</t>
  </si>
  <si>
    <t xml:space="preserve">The Case for Christ</t>
  </si>
  <si>
    <t xml:space="preserve">Jon Gunn</t>
  </si>
  <si>
    <t xml:space="preserve">Carlos Ballarta: El amor es de putos</t>
  </si>
  <si>
    <t xml:space="preserve">Jan Suter, Raúl Campos Delgado</t>
  </si>
  <si>
    <t xml:space="preserve">November 21, 2016</t>
  </si>
  <si>
    <t xml:space="preserve">Adore</t>
  </si>
  <si>
    <t xml:space="preserve">Anne Fontaine</t>
  </si>
  <si>
    <t xml:space="preserve">Australia, France</t>
  </si>
  <si>
    <t xml:space="preserve">November 20, 2019</t>
  </si>
  <si>
    <t xml:space="preserve">Bangkok Buddies</t>
  </si>
  <si>
    <t xml:space="preserve">Be Somebody</t>
  </si>
  <si>
    <t xml:space="preserve">Joshua Caldwell</t>
  </si>
  <si>
    <t xml:space="preserve">Comedies, Dramas, Romantic Movies</t>
  </si>
  <si>
    <t xml:space="preserve">Beavis and Butt-head Do America</t>
  </si>
  <si>
    <t xml:space="preserve">Mike Judge</t>
  </si>
  <si>
    <t xml:space="preserve">Bebe's Kids</t>
  </si>
  <si>
    <t xml:space="preserve">Bruce W. Smith</t>
  </si>
  <si>
    <t xml:space="preserve">Bikram: Yogi, Guru, Predator</t>
  </si>
  <si>
    <t xml:space="preserve">Eva Orner</t>
  </si>
  <si>
    <t xml:space="preserve">Black Snake Moan</t>
  </si>
  <si>
    <t xml:space="preserve">Carriers</t>
  </si>
  <si>
    <t xml:space="preserve">Àlex Pastor, David Pastor</t>
  </si>
  <si>
    <t xml:space="preserve">Dorasaani</t>
  </si>
  <si>
    <t xml:space="preserve">KVR Mahendra</t>
  </si>
  <si>
    <t xml:space="preserve">Dream/Killer</t>
  </si>
  <si>
    <t xml:space="preserve">Andrew Jenks</t>
  </si>
  <si>
    <t xml:space="preserve">Evolution</t>
  </si>
  <si>
    <t xml:space="preserve">Comedies, Sci-Fi &amp; Fantasy</t>
  </si>
  <si>
    <t xml:space="preserve">Eye for an Eye</t>
  </si>
  <si>
    <t xml:space="preserve">John Schlesinger</t>
  </si>
  <si>
    <t xml:space="preserve">Holiday Secrets</t>
  </si>
  <si>
    <t xml:space="preserve">Hot Rod</t>
  </si>
  <si>
    <t xml:space="preserve">Akiva Schaffer</t>
  </si>
  <si>
    <t xml:space="preserve">Comedies, Sports Movies</t>
  </si>
  <si>
    <t xml:space="preserve">It Takes Two</t>
  </si>
  <si>
    <t xml:space="preserve">Lorena, Light-Footed Woman</t>
  </si>
  <si>
    <t xml:space="preserve">Juan Carlos Rulfo</t>
  </si>
  <si>
    <t xml:space="preserve">Love, Rosie</t>
  </si>
  <si>
    <t xml:space="preserve">Christian Ditter</t>
  </si>
  <si>
    <t xml:space="preserve">Germany, United Kingdom</t>
  </si>
  <si>
    <t xml:space="preserve">Mallesham</t>
  </si>
  <si>
    <t xml:space="preserve">Raj R</t>
  </si>
  <si>
    <t xml:space="preserve">Once Upon a Time in the West</t>
  </si>
  <si>
    <t xml:space="preserve">Sergio Leone</t>
  </si>
  <si>
    <t xml:space="preserve">Italy, United States</t>
  </si>
  <si>
    <t xml:space="preserve">166 min</t>
  </si>
  <si>
    <t xml:space="preserve">Action &amp; Adventure, Classic Movies, International Movies</t>
  </si>
  <si>
    <t xml:space="preserve">She's Out of My League</t>
  </si>
  <si>
    <t xml:space="preserve">Jim Field Smith</t>
  </si>
  <si>
    <t xml:space="preserve">Superstar</t>
  </si>
  <si>
    <t xml:space="preserve">Bruce McCulloch</t>
  </si>
  <si>
    <t xml:space="preserve">The Adventures of Tintin</t>
  </si>
  <si>
    <t xml:space="preserve">Steven Spielberg</t>
  </si>
  <si>
    <t xml:space="preserve">United States, New Zealand, United Kingdom</t>
  </si>
  <si>
    <t xml:space="preserve">The Devil Inside</t>
  </si>
  <si>
    <t xml:space="preserve">William Brent Bell</t>
  </si>
  <si>
    <t xml:space="preserve">The First Wives Club</t>
  </si>
  <si>
    <t xml:space="preserve">Hugh WIlson</t>
  </si>
  <si>
    <t xml:space="preserve">The Gift</t>
  </si>
  <si>
    <t xml:space="preserve">Sam Raimi</t>
  </si>
  <si>
    <t xml:space="preserve">The Goods: Live Hard, Sell Hard</t>
  </si>
  <si>
    <t xml:space="preserve">The Longest Yard</t>
  </si>
  <si>
    <t xml:space="preserve">Robert Aldrich</t>
  </si>
  <si>
    <t xml:space="preserve">Classic Movies, Comedies, Sports Movies</t>
  </si>
  <si>
    <t xml:space="preserve">The Love Guru</t>
  </si>
  <si>
    <t xml:space="preserve">Marco Schnabel</t>
  </si>
  <si>
    <t xml:space="preserve">United Kingdom, Germany, United States</t>
  </si>
  <si>
    <t xml:space="preserve">The Rainmaker</t>
  </si>
  <si>
    <t xml:space="preserve">Francis Ford Coppola</t>
  </si>
  <si>
    <t xml:space="preserve">What's Eating Gilbert Grape</t>
  </si>
  <si>
    <t xml:space="preserve">Lasse Hallström</t>
  </si>
  <si>
    <t xml:space="preserve">Classic Movies, Dramas, Independent Movies</t>
  </si>
  <si>
    <t xml:space="preserve">Who Killed Little Gregory?</t>
  </si>
  <si>
    <t xml:space="preserve">World Trade Center</t>
  </si>
  <si>
    <t xml:space="preserve">Oliver Stone</t>
  </si>
  <si>
    <t xml:space="preserve">Young Adult</t>
  </si>
  <si>
    <t xml:space="preserve">Jason Reitman</t>
  </si>
  <si>
    <t xml:space="preserve">Yours, Mine and Ours</t>
  </si>
  <si>
    <t xml:space="preserve">Raja Gosnell</t>
  </si>
  <si>
    <t xml:space="preserve">Zodiac</t>
  </si>
  <si>
    <t xml:space="preserve">David Fincher</t>
  </si>
  <si>
    <t xml:space="preserve">Cult Movies, Dramas, Thrillers</t>
  </si>
  <si>
    <t xml:space="preserve">Kulipari: Dream Walker</t>
  </si>
  <si>
    <t xml:space="preserve">November 20, 2018</t>
  </si>
  <si>
    <t xml:space="preserve">Paap-O-Meter</t>
  </si>
  <si>
    <t xml:space="preserve">Puppy Star Christmas</t>
  </si>
  <si>
    <t xml:space="preserve">Sabrina</t>
  </si>
  <si>
    <t xml:space="preserve">Target</t>
  </si>
  <si>
    <t xml:space="preserve">The Final Table</t>
  </si>
  <si>
    <t xml:space="preserve">Trevor Noah: Son of Patricia</t>
  </si>
  <si>
    <t xml:space="preserve">David Paul Meyer</t>
  </si>
  <si>
    <t xml:space="preserve">100 Things to do Before High School</t>
  </si>
  <si>
    <t xml:space="preserve">November 2, 2019</t>
  </si>
  <si>
    <t xml:space="preserve">A Fairly Odd Summer</t>
  </si>
  <si>
    <t xml:space="preserve">Savage Steve Holland</t>
  </si>
  <si>
    <t xml:space="preserve">Bella and the Bulldogs</t>
  </si>
  <si>
    <t xml:space="preserve">Big Time Movie</t>
  </si>
  <si>
    <t xml:space="preserve">Don't Be Afraid of the Dark</t>
  </si>
  <si>
    <t xml:space="preserve">Troy Nixey</t>
  </si>
  <si>
    <t xml:space="preserve">United States, Australia, Mexico</t>
  </si>
  <si>
    <t xml:space="preserve">Escape from Mr. Lemoncello’s Library</t>
  </si>
  <si>
    <t xml:space="preserve">Scott McAboy</t>
  </si>
  <si>
    <t xml:space="preserve">Hey Arnold! The Jungle Movie</t>
  </si>
  <si>
    <t xml:space="preserve">Raymie Muzquiz, Stu Livingston</t>
  </si>
  <si>
    <t xml:space="preserve">United States, South Korea, Japan</t>
  </si>
  <si>
    <t xml:space="preserve">Jinxed</t>
  </si>
  <si>
    <t xml:space="preserve">Stephen Herek</t>
  </si>
  <si>
    <t xml:space="preserve">LEGENDS OF THE HIDDEN TEMPLE</t>
  </si>
  <si>
    <t xml:space="preserve">Joe Menendez</t>
  </si>
  <si>
    <t xml:space="preserve">Liar, Liar, Vampire</t>
  </si>
  <si>
    <t xml:space="preserve">Vince Marcello</t>
  </si>
  <si>
    <t xml:space="preserve">Shark Night</t>
  </si>
  <si>
    <t xml:space="preserve">David R. Ellis</t>
  </si>
  <si>
    <t xml:space="preserve">The Boy Who Cried Werewolf</t>
  </si>
  <si>
    <t xml:space="preserve">Eric Bross</t>
  </si>
  <si>
    <t xml:space="preserve">The Massively Mixed-Up Middle School Mystery</t>
  </si>
  <si>
    <t xml:space="preserve">Will Eisenberg</t>
  </si>
  <si>
    <t xml:space="preserve">Ana e Vitória</t>
  </si>
  <si>
    <t xml:space="preserve">Matheus Souza</t>
  </si>
  <si>
    <t xml:space="preserve">November 2, 2018</t>
  </si>
  <si>
    <t xml:space="preserve">Comedies, International Movies, LGBTQ Movies</t>
  </si>
  <si>
    <t xml:space="preserve">Brainchild</t>
  </si>
  <si>
    <t xml:space="preserve">ReMastered: Tricky Dick &amp; The Man in Black</t>
  </si>
  <si>
    <t xml:space="preserve">Sara Dosa</t>
  </si>
  <si>
    <t xml:space="preserve">The Holiday Calendar</t>
  </si>
  <si>
    <t xml:space="preserve">Bradley Walsh</t>
  </si>
  <si>
    <t xml:space="preserve">The Judgement</t>
  </si>
  <si>
    <t xml:space="preserve">The Other Side of the Wind</t>
  </si>
  <si>
    <t xml:space="preserve">Orson Welles</t>
  </si>
  <si>
    <t xml:space="preserve">France, Iran, United States</t>
  </si>
  <si>
    <t xml:space="preserve">They’ll Love Me When I’m Dead</t>
  </si>
  <si>
    <t xml:space="preserve">Thorne: Scaredy Cat</t>
  </si>
  <si>
    <t xml:space="preserve">Benjamin Ross</t>
  </si>
  <si>
    <t xml:space="preserve">November 2, 2016</t>
  </si>
  <si>
    <t xml:space="preserve">Thorne: Sleepyhead</t>
  </si>
  <si>
    <t xml:space="preserve">Stephen Hopkins</t>
  </si>
  <si>
    <t xml:space="preserve">United Kingdom, Australia, Canada, United States</t>
  </si>
  <si>
    <t xml:space="preserve">Iliza Shlesinger: Unveiled</t>
  </si>
  <si>
    <t xml:space="preserve">Steve Paley</t>
  </si>
  <si>
    <t xml:space="preserve">November 19, 2019</t>
  </si>
  <si>
    <t xml:space="preserve">Miss Culinary</t>
  </si>
  <si>
    <t xml:space="preserve">No Time for Shame</t>
  </si>
  <si>
    <t xml:space="preserve">Donald Glover: Weirdo</t>
  </si>
  <si>
    <t xml:space="preserve">Shannon Hartman, Michelle Caputo</t>
  </si>
  <si>
    <t xml:space="preserve">November 19, 2016</t>
  </si>
  <si>
    <t xml:space="preserve">The Pixar Story</t>
  </si>
  <si>
    <t xml:space="preserve">November 18, 2018</t>
  </si>
  <si>
    <t xml:space="preserve">The Prison</t>
  </si>
  <si>
    <t xml:space="preserve">Na Hyeon</t>
  </si>
  <si>
    <t xml:space="preserve">November 18, 2017</t>
  </si>
  <si>
    <t xml:space="preserve">Colin Quinn: The New York Story</t>
  </si>
  <si>
    <t xml:space="preserve">Jerry Seinfeld</t>
  </si>
  <si>
    <t xml:space="preserve">November 18, 2016</t>
  </si>
  <si>
    <t xml:space="preserve">Divines</t>
  </si>
  <si>
    <t xml:space="preserve">Houda Benyamina</t>
  </si>
  <si>
    <t xml:space="preserve">France, Qatar</t>
  </si>
  <si>
    <t xml:space="preserve">La Niña</t>
  </si>
  <si>
    <t xml:space="preserve">Sour Grapes</t>
  </si>
  <si>
    <t xml:space="preserve">Jerry Rothwell, Reuben Atlas</t>
  </si>
  <si>
    <t xml:space="preserve">Naomi and Ely's No Kiss List</t>
  </si>
  <si>
    <t xml:space="preserve">Kristin Hanggi</t>
  </si>
  <si>
    <t xml:space="preserve">November 18, 2015</t>
  </si>
  <si>
    <t xml:space="preserve">Splatter</t>
  </si>
  <si>
    <t xml:space="preserve">Joe Dante</t>
  </si>
  <si>
    <t xml:space="preserve">November 18, 2009</t>
  </si>
  <si>
    <t xml:space="preserve">Candy Online</t>
  </si>
  <si>
    <t xml:space="preserve">November 17, 2019</t>
  </si>
  <si>
    <t xml:space="preserve">International TV Shows, TV Dramas, Teen TV Shows</t>
  </si>
  <si>
    <t xml:space="preserve">Eternal Love</t>
  </si>
  <si>
    <t xml:space="preserve">November 17, 2018</t>
  </si>
  <si>
    <t xml:space="preserve">La Doña</t>
  </si>
  <si>
    <t xml:space="preserve">Spanish-Language TV Shows, TV Dramas</t>
  </si>
  <si>
    <t xml:space="preserve">Silvana Sin Lana</t>
  </si>
  <si>
    <t xml:space="preserve">Romantic TV Shows, Spanish-Language TV Shows, TV Comedies</t>
  </si>
  <si>
    <t xml:space="preserve">A Christmas Prince</t>
  </si>
  <si>
    <t xml:space="preserve">Alex Zamm</t>
  </si>
  <si>
    <t xml:space="preserve">November 17, 2017</t>
  </si>
  <si>
    <t xml:space="preserve">Jim &amp; Andy: The Great Beyond - Featuring a Very Special, Contractually Obligated Mention of Tony Clifton</t>
  </si>
  <si>
    <t xml:space="preserve">Chris Smith</t>
  </si>
  <si>
    <t xml:space="preserve">Krish Trish and Baltiboy: Face Your Fears</t>
  </si>
  <si>
    <t xml:space="preserve">Mudbound</t>
  </si>
  <si>
    <t xml:space="preserve">Dee Rees</t>
  </si>
  <si>
    <t xml:space="preserve">Santa Claws</t>
  </si>
  <si>
    <t xml:space="preserve">Glenn Miller</t>
  </si>
  <si>
    <t xml:space="preserve">Shot in the Dark</t>
  </si>
  <si>
    <t xml:space="preserve">Paranoid</t>
  </si>
  <si>
    <t xml:space="preserve">November 17, 2016</t>
  </si>
  <si>
    <t xml:space="preserve">Drive</t>
  </si>
  <si>
    <t xml:space="preserve">Nicolas Winding Refn</t>
  </si>
  <si>
    <t xml:space="preserve">November 16, 2019</t>
  </si>
  <si>
    <t xml:space="preserve">Action &amp; Adventure, Dramas, Independent Movies</t>
  </si>
  <si>
    <t xml:space="preserve">Iron Sky: The Coming Race</t>
  </si>
  <si>
    <t xml:space="preserve">Timo Vuorensola</t>
  </si>
  <si>
    <t xml:space="preserve">Finland, Germany, Belgium</t>
  </si>
  <si>
    <t xml:space="preserve">Jeff Dunham: All Over the Map</t>
  </si>
  <si>
    <t xml:space="preserve">Robb Dipple</t>
  </si>
  <si>
    <t xml:space="preserve">Suffragette</t>
  </si>
  <si>
    <t xml:space="preserve">Sarah Gavron</t>
  </si>
  <si>
    <t xml:space="preserve">The Green Inferno</t>
  </si>
  <si>
    <t xml:space="preserve">Eli Roth</t>
  </si>
  <si>
    <t xml:space="preserve">United States, Spain, Chile, Peru</t>
  </si>
  <si>
    <t xml:space="preserve">Cam</t>
  </si>
  <si>
    <t xml:space="preserve">Daniel Goldhaber</t>
  </si>
  <si>
    <t xml:space="preserve">November 16, 2018</t>
  </si>
  <si>
    <t xml:space="preserve">Dogs</t>
  </si>
  <si>
    <t xml:space="preserve">Follow Me</t>
  </si>
  <si>
    <t xml:space="preserve">Asri Bendacha</t>
  </si>
  <si>
    <t xml:space="preserve">United Arab Emirates, United States, United Kingdom</t>
  </si>
  <si>
    <t xml:space="preserve">Narcos: Mexico</t>
  </si>
  <si>
    <t xml:space="preserve">Crime TV Shows, TV Action &amp; Adventure, TV Dramas</t>
  </si>
  <si>
    <t xml:space="preserve">Nothing to Hide</t>
  </si>
  <si>
    <t xml:space="preserve">Fred Cavayé</t>
  </si>
  <si>
    <t xml:space="preserve">The Ballad of Buster Scruggs</t>
  </si>
  <si>
    <t xml:space="preserve">Joel Coen, Ethan Coen</t>
  </si>
  <si>
    <t xml:space="preserve">The Princess Switch</t>
  </si>
  <si>
    <t xml:space="preserve">Vai Anitta</t>
  </si>
  <si>
    <t xml:space="preserve">Docuseries, International TV Shows, Reality TV</t>
  </si>
  <si>
    <t xml:space="preserve">9</t>
  </si>
  <si>
    <t xml:space="preserve">Shane Acker</t>
  </si>
  <si>
    <t xml:space="preserve">November 16, 2017</t>
  </si>
  <si>
    <t xml:space="preserve">Action &amp; Adventure, Independent Movies, Sci-Fi &amp; Fantasy</t>
  </si>
  <si>
    <t xml:space="preserve">At the Dolphin Bay</t>
  </si>
  <si>
    <t xml:space="preserve">November 15, 2019</t>
  </si>
  <si>
    <t xml:space="preserve">International TV Shows, Romantic TV Shows</t>
  </si>
  <si>
    <t xml:space="preserve">Earthquake Bird</t>
  </si>
  <si>
    <t xml:space="preserve">Wash Westmoreland</t>
  </si>
  <si>
    <t xml:space="preserve">El sendero de la anaconda</t>
  </si>
  <si>
    <t xml:space="preserve">Alessandro Angulo</t>
  </si>
  <si>
    <t xml:space="preserve">GO! The Unforgettable Party</t>
  </si>
  <si>
    <t xml:space="preserve">Mauro Scandolari</t>
  </si>
  <si>
    <t xml:space="preserve">Guna 369</t>
  </si>
  <si>
    <t xml:space="preserve">Arjun Jandyala</t>
  </si>
  <si>
    <t xml:space="preserve">House Arrest</t>
  </si>
  <si>
    <t xml:space="preserve">Shashanka Ghosh, Samit Basu</t>
  </si>
  <si>
    <t xml:space="preserve">I'm with the Band: Nasty Cherry</t>
  </si>
  <si>
    <t xml:space="preserve">Inheritors</t>
  </si>
  <si>
    <t xml:space="preserve">K-on! the movie</t>
  </si>
  <si>
    <t xml:space="preserve">Naoko Yamada</t>
  </si>
  <si>
    <t xml:space="preserve">Klaus</t>
  </si>
  <si>
    <t xml:space="preserve">Sergio Pablos</t>
  </si>
  <si>
    <t xml:space="preserve">La Robe De Mariee Des Cieux</t>
  </si>
  <si>
    <t xml:space="preserve">Leap Year</t>
  </si>
  <si>
    <t xml:space="preserve">Anand Tucker</t>
  </si>
  <si>
    <t xml:space="preserve">United States, Ireland</t>
  </si>
  <si>
    <t xml:space="preserve">My MVP Valentine</t>
  </si>
  <si>
    <t xml:space="preserve">My Sassy Girl</t>
  </si>
  <si>
    <t xml:space="preserve">SunGanges</t>
  </si>
  <si>
    <t xml:space="preserve">Valli Bindana</t>
  </si>
  <si>
    <t xml:space="preserve">The 24 Hour War</t>
  </si>
  <si>
    <t xml:space="preserve">The Club</t>
  </si>
  <si>
    <t xml:space="preserve">The Garden of Words</t>
  </si>
  <si>
    <t xml:space="preserve">Makoto Shinkai</t>
  </si>
  <si>
    <t xml:space="preserve">Anime Features, International Movies, Romantic Movies</t>
  </si>
  <si>
    <t xml:space="preserve">The Stranded</t>
  </si>
  <si>
    <t xml:space="preserve">Westside Story</t>
  </si>
  <si>
    <t xml:space="preserve">Aalorukkam</t>
  </si>
  <si>
    <t xml:space="preserve">V C Abhilash</t>
  </si>
  <si>
    <t xml:space="preserve">November 15, 2018</t>
  </si>
  <si>
    <t xml:space="preserve">Beyblade Burst Evolution</t>
  </si>
  <si>
    <t xml:space="preserve">Christmas Wedding Planner</t>
  </si>
  <si>
    <t xml:space="preserve">Halkaa</t>
  </si>
  <si>
    <t xml:space="preserve">Nila Madhab Panda</t>
  </si>
  <si>
    <t xml:space="preserve">Mala Kahich Problem Nahi</t>
  </si>
  <si>
    <t xml:space="preserve">Sameer Vidwans</t>
  </si>
  <si>
    <t xml:space="preserve">May the Devil Take You</t>
  </si>
  <si>
    <t xml:space="preserve">Muzaffarnagar Baaqi Hai</t>
  </si>
  <si>
    <t xml:space="preserve">Nakul Singh Sawhney</t>
  </si>
  <si>
    <t xml:space="preserve">Odu Raja Odu</t>
  </si>
  <si>
    <t xml:space="preserve">Nishanth Ravindaran, Jathin Sanker Raj</t>
  </si>
  <si>
    <t xml:space="preserve">Only the Dead</t>
  </si>
  <si>
    <t xml:space="preserve">Bill Guttentag, Michael Ware</t>
  </si>
  <si>
    <t xml:space="preserve">Australia, Iraq</t>
  </si>
  <si>
    <t xml:space="preserve">Pimpal</t>
  </si>
  <si>
    <t xml:space="preserve">Gajendra Ahire</t>
  </si>
  <si>
    <t xml:space="preserve">Savita Damodar Paranjpe</t>
  </si>
  <si>
    <t xml:space="preserve">Swapna Waghmare Joshi</t>
  </si>
  <si>
    <t xml:space="preserve">Shopkins: Chef Club</t>
  </si>
  <si>
    <t xml:space="preserve">Raymond McGrath</t>
  </si>
  <si>
    <t xml:space="preserve">Shopkins: Wild</t>
  </si>
  <si>
    <t xml:space="preserve">Adele K. Thomas, Richard Bailey</t>
  </si>
  <si>
    <t xml:space="preserve">Shopkins: World Vacation</t>
  </si>
  <si>
    <t xml:space="preserve">Richard Bailey</t>
  </si>
  <si>
    <t xml:space="preserve">The Crew</t>
  </si>
  <si>
    <t xml:space="preserve">Julien Leclercq</t>
  </si>
  <si>
    <t xml:space="preserve">The Giant</t>
  </si>
  <si>
    <t xml:space="preserve">Aitor Arregi, Jon Garaño</t>
  </si>
  <si>
    <t xml:space="preserve">A Flying Jatt</t>
  </si>
  <si>
    <t xml:space="preserve">Remo D'Souza</t>
  </si>
  <si>
    <t xml:space="preserve">November 15, 2017</t>
  </si>
  <si>
    <t xml:space="preserve">Chuck Chicken</t>
  </si>
  <si>
    <t xml:space="preserve">Lucky: No Time for Love</t>
  </si>
  <si>
    <t xml:space="preserve">Radhika Rao, Vinay Sapru</t>
  </si>
  <si>
    <t xml:space="preserve">The Irregular at Magic High School</t>
  </si>
  <si>
    <t xml:space="preserve">Anime Series, International TV Shows, Teen TV Shows</t>
  </si>
  <si>
    <t xml:space="preserve">The Method</t>
  </si>
  <si>
    <t xml:space="preserve">Brown Nation</t>
  </si>
  <si>
    <t xml:space="preserve">November 15, 2016</t>
  </si>
  <si>
    <t xml:space="preserve">Dieter Nuhr: Nuhr in Berlin</t>
  </si>
  <si>
    <t xml:space="preserve">Volker Weicker</t>
  </si>
  <si>
    <t xml:space="preserve">Mumbai Cha Raja</t>
  </si>
  <si>
    <t xml:space="preserve">Manjeet Singh</t>
  </si>
  <si>
    <t xml:space="preserve">Oliver Stone's Untold History of the United States</t>
  </si>
  <si>
    <t xml:space="preserve">Clarence Clemons: Who Do I Think I Am?</t>
  </si>
  <si>
    <t xml:space="preserve">Nick Mead</t>
  </si>
  <si>
    <t xml:space="preserve">November 14, 2019</t>
  </si>
  <si>
    <t xml:space="preserve">Fadily Camara : La plus drôle de tes copines</t>
  </si>
  <si>
    <t xml:space="preserve">Gautier &amp; Leduc</t>
  </si>
  <si>
    <t xml:space="preserve">My Dear Warrior</t>
  </si>
  <si>
    <t xml:space="preserve">DeRay Davis: How to Act Black</t>
  </si>
  <si>
    <t xml:space="preserve">November 14, 2017</t>
  </si>
  <si>
    <t xml:space="preserve">Hickok</t>
  </si>
  <si>
    <t xml:space="preserve">Chelsea Peretti: One of the Greats</t>
  </si>
  <si>
    <t xml:space="preserve">Lance Bangs</t>
  </si>
  <si>
    <t xml:space="preserve">November 14, 2014</t>
  </si>
  <si>
    <t xml:space="preserve">Casa de mi Padre</t>
  </si>
  <si>
    <t xml:space="preserve">Matt Piedmont</t>
  </si>
  <si>
    <t xml:space="preserve">November 14, 2012</t>
  </si>
  <si>
    <t xml:space="preserve">Maradona in Mexico</t>
  </si>
  <si>
    <t xml:space="preserve">Argentina, United States, Mexico</t>
  </si>
  <si>
    <t xml:space="preserve">November 13, 2019</t>
  </si>
  <si>
    <t xml:space="preserve">Docuseries, Spanish-Language TV Shows</t>
  </si>
  <si>
    <t xml:space="preserve">BuyBust</t>
  </si>
  <si>
    <t xml:space="preserve">Erik Matti</t>
  </si>
  <si>
    <t xml:space="preserve">November 13, 2018</t>
  </si>
  <si>
    <t xml:space="preserve">Loudon Wainwright III: Surviving Twin</t>
  </si>
  <si>
    <t xml:space="preserve">Warrior</t>
  </si>
  <si>
    <t xml:space="preserve">Denmark</t>
  </si>
  <si>
    <t xml:space="preserve">Chasing Trane</t>
  </si>
  <si>
    <t xml:space="preserve">John Scheinfeld</t>
  </si>
  <si>
    <t xml:space="preserve">November 13, 2017</t>
  </si>
  <si>
    <t xml:space="preserve">John Mulaney: The Comeback Kid</t>
  </si>
  <si>
    <t xml:space="preserve">Rhys Thomas</t>
  </si>
  <si>
    <t xml:space="preserve">November 13, 2015</t>
  </si>
  <si>
    <t xml:space="preserve">W/ Bob &amp; David</t>
  </si>
  <si>
    <t xml:space="preserve">Jeff Garlin: Our Man In Chicago</t>
  </si>
  <si>
    <t xml:space="preserve">Christopher Storer</t>
  </si>
  <si>
    <t xml:space="preserve">November 12, 2019</t>
  </si>
  <si>
    <t xml:space="preserve">Green Room</t>
  </si>
  <si>
    <t xml:space="preserve">November 12, 2018</t>
  </si>
  <si>
    <t xml:space="preserve">Long Time Running</t>
  </si>
  <si>
    <t xml:space="preserve">Jennifer Baichwal, Nicholas de Pencier</t>
  </si>
  <si>
    <t xml:space="preserve">November 12, 2017</t>
  </si>
  <si>
    <t xml:space="preserve">A Single Man</t>
  </si>
  <si>
    <t xml:space="preserve">Tom Ford</t>
  </si>
  <si>
    <t xml:space="preserve">November 11, 2019</t>
  </si>
  <si>
    <t xml:space="preserve">Put Your Head on My Shoulder</t>
  </si>
  <si>
    <t xml:space="preserve">Submission</t>
  </si>
  <si>
    <t xml:space="preserve">J.M. Berrios</t>
  </si>
  <si>
    <t xml:space="preserve">To Be of Service</t>
  </si>
  <si>
    <t xml:space="preserve">Josh Aronson</t>
  </si>
  <si>
    <t xml:space="preserve">Bon Cop Bad Cop 2</t>
  </si>
  <si>
    <t xml:space="preserve">November 11, 2017</t>
  </si>
  <si>
    <t xml:space="preserve">The Beginning of Life: The Series</t>
  </si>
  <si>
    <t xml:space="preserve">Estela Renner</t>
  </si>
  <si>
    <t xml:space="preserve">November 11, 2016</t>
  </si>
  <si>
    <t xml:space="preserve">True Memoirs of an International Assassin</t>
  </si>
  <si>
    <t xml:space="preserve">Jeff Wadlow</t>
  </si>
  <si>
    <t xml:space="preserve">Age of Tanks</t>
  </si>
  <si>
    <t xml:space="preserve">Germany, France, Russia</t>
  </si>
  <si>
    <t xml:space="preserve">November 10, 2018</t>
  </si>
  <si>
    <t xml:space="preserve">Helix</t>
  </si>
  <si>
    <t xml:space="preserve">TV Horror, TV Mysteries, TV Sci-Fi &amp; Fantasy</t>
  </si>
  <si>
    <t xml:space="preserve">The Workshop</t>
  </si>
  <si>
    <t xml:space="preserve">Laurent Cantet</t>
  </si>
  <si>
    <t xml:space="preserve">Bill Burr: Let It Go</t>
  </si>
  <si>
    <t xml:space="preserve">November 10, 2017</t>
  </si>
  <si>
    <t xml:space="preserve">Blazing Transfer Students</t>
  </si>
  <si>
    <t xml:space="preserve">International TV Shows, TV Action &amp; Adventure, TV Comedies</t>
  </si>
  <si>
    <t xml:space="preserve">Mea Culpa</t>
  </si>
  <si>
    <t xml:space="preserve">Raúl Campos, Jan Suter</t>
  </si>
  <si>
    <t xml:space="preserve">Natalia Valdebenito: Gritona</t>
  </si>
  <si>
    <t xml:space="preserve">Natalia Valdebenito</t>
  </si>
  <si>
    <t xml:space="preserve">The Killer</t>
  </si>
  <si>
    <t xml:space="preserve">Marcelo Galvão</t>
  </si>
  <si>
    <t xml:space="preserve">Einsatzgruppen: The Nazi Death Squads</t>
  </si>
  <si>
    <t xml:space="preserve">November 10, 2016</t>
  </si>
  <si>
    <t xml:space="preserve">Kathleen Madigan: Bothering Jesus</t>
  </si>
  <si>
    <t xml:space="preserve">Lorene Machado</t>
  </si>
  <si>
    <t xml:space="preserve">100% Hotter</t>
  </si>
  <si>
    <t xml:space="preserve">November 1, 2019</t>
  </si>
  <si>
    <t xml:space="preserve">16 Blocks</t>
  </si>
  <si>
    <t xml:space="preserve">Richard Donner</t>
  </si>
  <si>
    <t xml:space="preserve">187</t>
  </si>
  <si>
    <t xml:space="preserve">Kevin Reynolds</t>
  </si>
  <si>
    <t xml:space="preserve">A Remarkable Tale</t>
  </si>
  <si>
    <t xml:space="preserve">Marina Seresesky</t>
  </si>
  <si>
    <t xml:space="preserve">A Year In Space</t>
  </si>
  <si>
    <t xml:space="preserve">Ad Vitam</t>
  </si>
  <si>
    <t xml:space="preserve">American History X</t>
  </si>
  <si>
    <t xml:space="preserve">Tony Kaye</t>
  </si>
  <si>
    <t xml:space="preserve">American Son</t>
  </si>
  <si>
    <t xml:space="preserve">Kenny Leon</t>
  </si>
  <si>
    <t xml:space="preserve">Anger Management</t>
  </si>
  <si>
    <t xml:space="preserve">Peter Segal</t>
  </si>
  <si>
    <t xml:space="preserve">Apache Warrior</t>
  </si>
  <si>
    <t xml:space="preserve">David Salzberg, Christian Tureaud</t>
  </si>
  <si>
    <t xml:space="preserve">Barbie Dreamhouse Adventures: Go Team Roberts</t>
  </si>
  <si>
    <t xml:space="preserve">Butterfield 8</t>
  </si>
  <si>
    <t xml:space="preserve">Daniel Mann</t>
  </si>
  <si>
    <t xml:space="preserve">Classic Movies, Dramas, Romantic Movies</t>
  </si>
  <si>
    <t xml:space="preserve">Cat on a Hot Tin Roof</t>
  </si>
  <si>
    <t xml:space="preserve">Richard Brooks</t>
  </si>
  <si>
    <t xml:space="preserve">Classic Movies, Dramas</t>
  </si>
  <si>
    <t xml:space="preserve">Christmas Break-In</t>
  </si>
  <si>
    <t xml:space="preserve">Michael Kampa</t>
  </si>
  <si>
    <t xml:space="preserve">Christmas in the Heartland</t>
  </si>
  <si>
    <t xml:space="preserve">Harvey Lowry</t>
  </si>
  <si>
    <t xml:space="preserve">Christmas Survival</t>
  </si>
  <si>
    <t xml:space="preserve">James Dearden</t>
  </si>
  <si>
    <t xml:space="preserve">Cleopatra Jones</t>
  </si>
  <si>
    <t xml:space="preserve">Jack Starrett</t>
  </si>
  <si>
    <t xml:space="preserve">Action &amp; Adventure, Classic Movies</t>
  </si>
  <si>
    <t xml:space="preserve">Code Name: The Cleaner</t>
  </si>
  <si>
    <t xml:space="preserve">Les Mayfield</t>
  </si>
  <si>
    <t xml:space="preserve">Doctor Zhivago</t>
  </si>
  <si>
    <t xml:space="preserve">David Lean</t>
  </si>
  <si>
    <t xml:space="preserve">United States, Italy, United Kingdom, Liechtenstein</t>
  </si>
  <si>
    <t xml:space="preserve">200 min</t>
  </si>
  <si>
    <t xml:space="preserve">Tarun Mansukhani</t>
  </si>
  <si>
    <t xml:space="preserve">Elliot the Littlest Reindeer</t>
  </si>
  <si>
    <t xml:space="preserve">Jennifer Westcott</t>
  </si>
  <si>
    <t xml:space="preserve">Enter the Dragon</t>
  </si>
  <si>
    <t xml:space="preserve">Robert Clouse</t>
  </si>
  <si>
    <t xml:space="preserve">Hong Kong, United States</t>
  </si>
  <si>
    <t xml:space="preserve">Euphoria</t>
  </si>
  <si>
    <t xml:space="preserve">Valeria Golino</t>
  </si>
  <si>
    <t xml:space="preserve">Dramas, International Movies, LGBTQ Movies</t>
  </si>
  <si>
    <t xml:space="preserve">Executive Decision</t>
  </si>
  <si>
    <t xml:space="preserve">Stuart Baird</t>
  </si>
  <si>
    <t xml:space="preserve">Fallen</t>
  </si>
  <si>
    <t xml:space="preserve">Gregory Hoblit</t>
  </si>
  <si>
    <t xml:space="preserve">Fear and Loathing in Las Vegas</t>
  </si>
  <si>
    <t xml:space="preserve">Terry Gilliam</t>
  </si>
  <si>
    <t xml:space="preserve">Fire in Paradise</t>
  </si>
  <si>
    <t xml:space="preserve">Drea Cooper, Zackary Canepari</t>
  </si>
  <si>
    <t xml:space="preserve">Forbidden Planet</t>
  </si>
  <si>
    <t xml:space="preserve">Fred M. Wilcox</t>
  </si>
  <si>
    <t xml:space="preserve">Action &amp; Adventure, Classic Movies, Sci-Fi &amp; Fantasy</t>
  </si>
  <si>
    <t xml:space="preserve">Getting Played</t>
  </si>
  <si>
    <t xml:space="preserve">David Silberg</t>
  </si>
  <si>
    <t xml:space="preserve">Gigi</t>
  </si>
  <si>
    <t xml:space="preserve">Vincente Minnelli, Charles Walters</t>
  </si>
  <si>
    <t xml:space="preserve">Classic Movies, Comedies, Music &amp; Musicals</t>
  </si>
  <si>
    <t xml:space="preserve">Gosford Park</t>
  </si>
  <si>
    <t xml:space="preserve">United States, United Kingdom, Italy</t>
  </si>
  <si>
    <t xml:space="preserve">Gothika</t>
  </si>
  <si>
    <t xml:space="preserve">Mathieu Kassovitz</t>
  </si>
  <si>
    <t xml:space="preserve">United States, France, Canada, Spain</t>
  </si>
  <si>
    <t xml:space="preserve">Grease</t>
  </si>
  <si>
    <t xml:space="preserve">Randal Kleiser</t>
  </si>
  <si>
    <t xml:space="preserve">Hache</t>
  </si>
  <si>
    <t xml:space="preserve">Harlem Globetrotters: The Team That Changed the World</t>
  </si>
  <si>
    <t xml:space="preserve">Hello Ninja</t>
  </si>
  <si>
    <t xml:space="preserve">Holiday in the Wild</t>
  </si>
  <si>
    <t xml:space="preserve">Ernie Barbarash</t>
  </si>
  <si>
    <t xml:space="preserve">Holly Star</t>
  </si>
  <si>
    <t xml:space="preserve">Michael A. Nickles</t>
  </si>
  <si>
    <t xml:space="preserve">How to Be a Latin Lover</t>
  </si>
  <si>
    <t xml:space="preserve">Ken Marino</t>
  </si>
  <si>
    <t xml:space="preserve">How to Be a Player</t>
  </si>
  <si>
    <t xml:space="preserve">Lionel C. Martin</t>
  </si>
  <si>
    <t xml:space="preserve">Invictus</t>
  </si>
  <si>
    <t xml:space="preserve">Jimi Hendrix</t>
  </si>
  <si>
    <t xml:space="preserve">Joe Boyd</t>
  </si>
  <si>
    <t xml:space="preserve">King's Ransom</t>
  </si>
  <si>
    <t xml:space="preserve">Jeffrey W. Byrd</t>
  </si>
  <si>
    <t xml:space="preserve">Legion</t>
  </si>
  <si>
    <t xml:space="preserve">Scott Stewart</t>
  </si>
  <si>
    <t xml:space="preserve">Action &amp; Adventure, Horror Movies, Sci-Fi &amp; Fantasy</t>
  </si>
  <si>
    <t xml:space="preserve">Like Water for Chocolate</t>
  </si>
  <si>
    <t xml:space="preserve">Alfonso Arau</t>
  </si>
  <si>
    <t xml:space="preserve">Listen Up! The Lives of Quincy Jones</t>
  </si>
  <si>
    <t xml:space="preserve">Ellen Weissbrod</t>
  </si>
  <si>
    <t xml:space="preserve">Logan's Run</t>
  </si>
  <si>
    <t xml:space="preserve">Michael Anderson</t>
  </si>
  <si>
    <t xml:space="preserve">Action &amp; Adventure, Classic Movies, Cult Movies</t>
  </si>
  <si>
    <t xml:space="preserve">Lolita</t>
  </si>
  <si>
    <t xml:space="preserve">Stanley Kubrick</t>
  </si>
  <si>
    <t xml:space="preserve">Love Jones</t>
  </si>
  <si>
    <t xml:space="preserve">Theodore Witcher</t>
  </si>
  <si>
    <t xml:space="preserve">Mad Money</t>
  </si>
  <si>
    <t xml:space="preserve">Callie Khouri, Jesse V. Johnson</t>
  </si>
  <si>
    <t xml:space="preserve">Maid-Sama!</t>
  </si>
  <si>
    <t xml:space="preserve">Anime Series, Romantic TV Shows</t>
  </si>
  <si>
    <t xml:space="preserve">Money Talks</t>
  </si>
  <si>
    <t xml:space="preserve">Brett Ratner</t>
  </si>
  <si>
    <t xml:space="preserve">Monster House</t>
  </si>
  <si>
    <t xml:space="preserve">Gil Kenan</t>
  </si>
  <si>
    <t xml:space="preserve">Mutiny on the Bounty</t>
  </si>
  <si>
    <t xml:space="preserve">Lewis Milestone, Carol Reed</t>
  </si>
  <si>
    <t xml:space="preserve">185 min</t>
  </si>
  <si>
    <t xml:space="preserve">Action &amp; Adventure, Classic Movies, Dramas</t>
  </si>
  <si>
    <t xml:space="preserve">Nacho Libre</t>
  </si>
  <si>
    <t xml:space="preserve">Jared Hess</t>
  </si>
  <si>
    <t xml:space="preserve">National Lampoon's Loaded Weapon 1</t>
  </si>
  <si>
    <t xml:space="preserve">Gene Quintano</t>
  </si>
  <si>
    <t xml:space="preserve">Ocean's Eleven</t>
  </si>
  <si>
    <t xml:space="preserve">Lewis Milestone</t>
  </si>
  <si>
    <t xml:space="preserve">Action &amp; Adventure, Classic Movies, Comedies</t>
  </si>
  <si>
    <t xml:space="preserve">Paid in Full</t>
  </si>
  <si>
    <t xml:space="preserve">Charles Stone III</t>
  </si>
  <si>
    <t xml:space="preserve">Queer Eye: We're in Japan!</t>
  </si>
  <si>
    <t xml:space="preserve">Rebel Without a Cause</t>
  </si>
  <si>
    <t xml:space="preserve">Nicholas Ray</t>
  </si>
  <si>
    <t xml:space="preserve">Revolutionary Road</t>
  </si>
  <si>
    <t xml:space="preserve">Sam Mendes</t>
  </si>
  <si>
    <t xml:space="preserve">Rosemary's Baby</t>
  </si>
  <si>
    <t xml:space="preserve">Roman Polanski</t>
  </si>
  <si>
    <t xml:space="preserve">Classic Movies, Horror Movies, Thrillers</t>
  </si>
  <si>
    <t xml:space="preserve">Rounders</t>
  </si>
  <si>
    <t xml:space="preserve">John Dahl</t>
  </si>
  <si>
    <t xml:space="preserve">Rumble in the Bronx</t>
  </si>
  <si>
    <t xml:space="preserve">Santa Girl</t>
  </si>
  <si>
    <t xml:space="preserve">Blayne Weaver</t>
  </si>
  <si>
    <t xml:space="preserve">Sling Blade</t>
  </si>
  <si>
    <t xml:space="preserve">Billy Bob Thornton</t>
  </si>
  <si>
    <t xml:space="preserve">Sparkle</t>
  </si>
  <si>
    <t xml:space="preserve">Sam O'Steen</t>
  </si>
  <si>
    <t xml:space="preserve">Dramas, Music &amp; Musicals</t>
  </si>
  <si>
    <t xml:space="preserve">Spider-Man 3</t>
  </si>
  <si>
    <t xml:space="preserve">Spitfire: The Plane that Saved the World</t>
  </si>
  <si>
    <t xml:space="preserve">David Fairhead, Anthony Palmer</t>
  </si>
  <si>
    <t xml:space="preserve">Step Brothers</t>
  </si>
  <si>
    <t xml:space="preserve">Adam McKay</t>
  </si>
  <si>
    <t xml:space="preserve">Superfly</t>
  </si>
  <si>
    <t xml:space="preserve">Gordon Parks</t>
  </si>
  <si>
    <t xml:space="preserve">The Brave One</t>
  </si>
  <si>
    <t xml:space="preserve">Neil Jordan</t>
  </si>
  <si>
    <t xml:space="preserve">The Christmas Candle</t>
  </si>
  <si>
    <t xml:space="preserve">John Stephenson</t>
  </si>
  <si>
    <t xml:space="preserve">The Cincinnati Kid</t>
  </si>
  <si>
    <t xml:space="preserve">Norman Jewison</t>
  </si>
  <si>
    <t xml:space="preserve">The Game</t>
  </si>
  <si>
    <t xml:space="preserve">The Great Raid</t>
  </si>
  <si>
    <t xml:space="preserve">The House of Flowers Presents: The Funeral</t>
  </si>
  <si>
    <t xml:space="preserve">Manolo Caro</t>
  </si>
  <si>
    <t xml:space="preserve">36 min</t>
  </si>
  <si>
    <t xml:space="preserve">The King</t>
  </si>
  <si>
    <t xml:space="preserve">David Michôd</t>
  </si>
  <si>
    <t xml:space="preserve">The Last Boy Scout</t>
  </si>
  <si>
    <t xml:space="preserve">The Man Without Gravity</t>
  </si>
  <si>
    <t xml:space="preserve">Marco Bonfanti</t>
  </si>
  <si>
    <t xml:space="preserve">Italy, Belgium, France</t>
  </si>
  <si>
    <t xml:space="preserve">The Matrix</t>
  </si>
  <si>
    <t xml:space="preserve">Lilly Wachowski, Lana Wachowski</t>
  </si>
  <si>
    <t xml:space="preserve">The Matrix Reloaded</t>
  </si>
  <si>
    <t xml:space="preserve">The Matrix Revolutions</t>
  </si>
  <si>
    <t xml:space="preserve">The Old Thieves: The Legend of Artegios</t>
  </si>
  <si>
    <t xml:space="preserve">The Pelican Brief</t>
  </si>
  <si>
    <t xml:space="preserve">Alan J. Pakula</t>
  </si>
  <si>
    <t xml:space="preserve">The Tuxedo</t>
  </si>
  <si>
    <t xml:space="preserve">Kevin Donovan</t>
  </si>
  <si>
    <t xml:space="preserve">Thelonious Monk: Straight, No Chaser</t>
  </si>
  <si>
    <t xml:space="preserve">Charlotte Zwerin</t>
  </si>
  <si>
    <t xml:space="preserve">True: Grabbleapple Harvest</t>
  </si>
  <si>
    <t xml:space="preserve">Vantage Point</t>
  </si>
  <si>
    <t xml:space="preserve">Pete Travis</t>
  </si>
  <si>
    <t xml:space="preserve">Vientos de agua</t>
  </si>
  <si>
    <t xml:space="preserve">We Are the Wave</t>
  </si>
  <si>
    <t xml:space="preserve">International TV Shows, TV Dramas, TV Mysteries</t>
  </si>
  <si>
    <t xml:space="preserve">Wild Child</t>
  </si>
  <si>
    <t xml:space="preserve">Nick Moore</t>
  </si>
  <si>
    <t xml:space="preserve">United States, United Kingdom, France</t>
  </si>
  <si>
    <t xml:space="preserve">Zoé: Panoramas</t>
  </si>
  <si>
    <t xml:space="preserve">Rodrigo Guardiola, Gabriel Cruz Rivas</t>
  </si>
  <si>
    <t xml:space="preserve">Zombieland</t>
  </si>
  <si>
    <t xml:space="preserve">Ruben Fleischer</t>
  </si>
  <si>
    <t xml:space="preserve">A Wednesday</t>
  </si>
  <si>
    <t xml:space="preserve">Neeraj Pandey</t>
  </si>
  <si>
    <t xml:space="preserve">November 1, 2018</t>
  </si>
  <si>
    <t xml:space="preserve">Aagey Se Right</t>
  </si>
  <si>
    <t xml:space="preserve">Indrajit Nattoji</t>
  </si>
  <si>
    <t xml:space="preserve">Aamir</t>
  </si>
  <si>
    <t xml:space="preserve">Raj Kumar Gupta</t>
  </si>
  <si>
    <t xml:space="preserve">ABCD 2</t>
  </si>
  <si>
    <t xml:space="preserve">ABCD: Any Body Can Dance</t>
  </si>
  <si>
    <t xml:space="preserve">Arjun: The Warrior Prince</t>
  </si>
  <si>
    <t xml:space="preserve">Arnab Chaudhuri</t>
  </si>
  <si>
    <t xml:space="preserve">Asees</t>
  </si>
  <si>
    <t xml:space="preserve">Rana Ranbir</t>
  </si>
  <si>
    <t xml:space="preserve">Barfi!</t>
  </si>
  <si>
    <t xml:space="preserve">BASEketball</t>
  </si>
  <si>
    <t xml:space="preserve">David Zucker</t>
  </si>
  <si>
    <t xml:space="preserve">Calico Critters</t>
  </si>
  <si>
    <t xml:space="preserve">Calico Critters: A Town of Dreams</t>
  </si>
  <si>
    <t xml:space="preserve">Momoko Kamiya</t>
  </si>
  <si>
    <t xml:space="preserve">11 min</t>
  </si>
  <si>
    <t xml:space="preserve">Calico Critters: The Treasure of Calico Village</t>
  </si>
  <si>
    <t xml:space="preserve">Chaar Sahibzaade</t>
  </si>
  <si>
    <t xml:space="preserve">Harry Baweja</t>
  </si>
  <si>
    <t xml:space="preserve">Chance Pe Dance</t>
  </si>
  <si>
    <t xml:space="preserve">Ken Ghosh</t>
  </si>
  <si>
    <t xml:space="preserve">Christmas With A View</t>
  </si>
  <si>
    <t xml:space="preserve">Chup Chup Ke</t>
  </si>
  <si>
    <t xml:space="preserve">Priyadarshan, Kookie V. Gulati</t>
  </si>
  <si>
    <t xml:space="preserve">Dhan Dhana Dhan Goal</t>
  </si>
  <si>
    <t xml:space="preserve">Vivek Agnihotri</t>
  </si>
  <si>
    <t xml:space="preserve">United Kingdom, India</t>
  </si>
  <si>
    <t xml:space="preserve">Dramas, Music &amp; Musicals, Sports Movies</t>
  </si>
  <si>
    <t xml:space="preserve">Dhoondte Reh Jaoge</t>
  </si>
  <si>
    <t xml:space="preserve">Umesh Shukla</t>
  </si>
  <si>
    <t xml:space="preserve">Do Dooni Chaar</t>
  </si>
  <si>
    <t xml:space="preserve">Habib Faisal</t>
  </si>
  <si>
    <t xml:space="preserve">Edge of Fear</t>
  </si>
  <si>
    <t xml:space="preserve">Bobby Roth</t>
  </si>
  <si>
    <t xml:space="preserve">Edmilson Filho: Notas, Comedy about Relationships</t>
  </si>
  <si>
    <t xml:space="preserve">Halder Gomes</t>
  </si>
  <si>
    <t xml:space="preserve">Filmworker</t>
  </si>
  <si>
    <t xml:space="preserve">Tony Zierra</t>
  </si>
  <si>
    <t xml:space="preserve">Gaddar: the Traitor</t>
  </si>
  <si>
    <t xml:space="preserve">Get Shorty</t>
  </si>
  <si>
    <t xml:space="preserve">Ghanchakkar</t>
  </si>
  <si>
    <t xml:space="preserve">Girl from Nowhere</t>
  </si>
  <si>
    <t xml:space="preserve">Grandmaster</t>
  </si>
  <si>
    <t xml:space="preserve">B. Unnikrishnan</t>
  </si>
  <si>
    <t xml:space="preserve">Hattrick</t>
  </si>
  <si>
    <t xml:space="preserve">Heroine</t>
  </si>
  <si>
    <t xml:space="preserve">Himmatwala</t>
  </si>
  <si>
    <t xml:space="preserve">Sajid Khan</t>
  </si>
  <si>
    <t xml:space="preserve">Husbands in Goa</t>
  </si>
  <si>
    <t xml:space="preserve">Saji Surendran</t>
  </si>
  <si>
    <t xml:space="preserve">Jatts in Golmaal</t>
  </si>
  <si>
    <t xml:space="preserve">Ksshitij Chaudhary</t>
  </si>
  <si>
    <t xml:space="preserve">Kai Po Che!</t>
  </si>
  <si>
    <t xml:space="preserve">Abhishek Kapoor</t>
  </si>
  <si>
    <t xml:space="preserve">Kalakalappu</t>
  </si>
  <si>
    <t xml:space="preserve">Katt Williams: The Pimp Chronicles: Pt. 1</t>
  </si>
  <si>
    <t xml:space="preserve">Gary Binkow</t>
  </si>
  <si>
    <t xml:space="preserve">Katti Batti</t>
  </si>
  <si>
    <t xml:space="preserve">Life in a ... Metro</t>
  </si>
  <si>
    <t xml:space="preserve">Marc Maron: Thinky Pain</t>
  </si>
  <si>
    <t xml:space="preserve">Morris from America</t>
  </si>
  <si>
    <t xml:space="preserve">Chad Hartigan</t>
  </si>
  <si>
    <t xml:space="preserve">Mumbai Meri Jaan</t>
  </si>
  <si>
    <t xml:space="preserve">Nishikant Kamat</t>
  </si>
  <si>
    <t xml:space="preserve">Mundeyan Ton Bachke Rahin</t>
  </si>
  <si>
    <t xml:space="preserve">Navinder Pal Singh</t>
  </si>
  <si>
    <t xml:space="preserve">No One Killed Jessica</t>
  </si>
  <si>
    <t xml:space="preserve">Oye Lucky! Lucky Oye!</t>
  </si>
  <si>
    <t xml:space="preserve">Dibakar Banerjee</t>
  </si>
  <si>
    <t xml:space="preserve">Paan Singh Tomar</t>
  </si>
  <si>
    <t xml:space="preserve">Tigmanshu Dhulia</t>
  </si>
  <si>
    <t xml:space="preserve">Raja Natwarlal</t>
  </si>
  <si>
    <t xml:space="preserve">Kunal Deshmukh</t>
  </si>
  <si>
    <t xml:space="preserve">Satyagraha</t>
  </si>
  <si>
    <t xml:space="preserve">Prakash Jha</t>
  </si>
  <si>
    <t xml:space="preserve">Settai</t>
  </si>
  <si>
    <t xml:space="preserve">R. Kannan</t>
  </si>
  <si>
    <t xml:space="preserve">Sigaram Thodu</t>
  </si>
  <si>
    <t xml:space="preserve">Gaurav Narayanan</t>
  </si>
  <si>
    <t xml:space="preserve">Sommore: The Reign Continues</t>
  </si>
  <si>
    <t xml:space="preserve">Kevin Layne</t>
  </si>
  <si>
    <t xml:space="preserve">Stink!</t>
  </si>
  <si>
    <t xml:space="preserve">Jon J. Whelan</t>
  </si>
  <si>
    <t xml:space="preserve">The Great British Baking Show: The Beginnings</t>
  </si>
  <si>
    <t xml:space="preserve">The Tigers of Scotland</t>
  </si>
  <si>
    <t xml:space="preserve">Leanne Gater</t>
  </si>
  <si>
    <t xml:space="preserve">The Untold Tales of Armistead Maupin</t>
  </si>
  <si>
    <t xml:space="preserve">Jennifer M. Kroot</t>
  </si>
  <si>
    <t xml:space="preserve">The Water Horse: Legend of the Deep</t>
  </si>
  <si>
    <t xml:space="preserve">Jay Russell</t>
  </si>
  <si>
    <t xml:space="preserve">New Zealand, United Kingdom, Australia</t>
  </si>
  <si>
    <t xml:space="preserve">Transcendence</t>
  </si>
  <si>
    <t xml:space="preserve">Wally Pfister</t>
  </si>
  <si>
    <t xml:space="preserve">United Kingdom, China, United States</t>
  </si>
  <si>
    <t xml:space="preserve">Vaya</t>
  </si>
  <si>
    <t xml:space="preserve">Akin Omotoso</t>
  </si>
  <si>
    <t xml:space="preserve">Welcome to Sajjanpur</t>
  </si>
  <si>
    <t xml:space="preserve">Shyam Benegal</t>
  </si>
  <si>
    <t xml:space="preserve">Yeh Hai Bakrapur</t>
  </si>
  <si>
    <t xml:space="preserve">Zokkomon</t>
  </si>
  <si>
    <t xml:space="preserve">Satyajit Bhatkal</t>
  </si>
  <si>
    <t xml:space="preserve">6-5=2</t>
  </si>
  <si>
    <t xml:space="preserve">Bharat Jain</t>
  </si>
  <si>
    <t xml:space="preserve">November 1, 2017</t>
  </si>
  <si>
    <t xml:space="preserve">Bandie</t>
  </si>
  <si>
    <t xml:space="preserve">Alo Sarkar</t>
  </si>
  <si>
    <t xml:space="preserve">Beiimaan Love</t>
  </si>
  <si>
    <t xml:space="preserve">Rajeev Chaudhari</t>
  </si>
  <si>
    <t xml:space="preserve">Coffee with D</t>
  </si>
  <si>
    <t xml:space="preserve">Vishal Mishra</t>
  </si>
  <si>
    <t xml:space="preserve">Getaway Plan</t>
  </si>
  <si>
    <t xml:space="preserve">Iñaki Dorronsoro</t>
  </si>
  <si>
    <t xml:space="preserve">Golden Time</t>
  </si>
  <si>
    <t xml:space="preserve">Takuya Inaba</t>
  </si>
  <si>
    <t xml:space="preserve">International Movies, Sci-Fi &amp; Fantasy</t>
  </si>
  <si>
    <t xml:space="preserve">Hajwala: The Missing Engine</t>
  </si>
  <si>
    <t xml:space="preserve">Ali Bin Matar, Ibrahim Bin Mohamed</t>
  </si>
  <si>
    <t xml:space="preserve">Hitler's Steel Beast</t>
  </si>
  <si>
    <t xml:space="preserve">Daniel Ablin</t>
  </si>
  <si>
    <t xml:space="preserve">Kacche Dhaagey</t>
  </si>
  <si>
    <t xml:space="preserve">Buta Singh</t>
  </si>
  <si>
    <t xml:space="preserve">Kis Kisko Pyaar Karoon</t>
  </si>
  <si>
    <t xml:space="preserve">Moor</t>
  </si>
  <si>
    <t xml:space="preserve">Jami</t>
  </si>
  <si>
    <t xml:space="preserve">Pakistan, United States</t>
  </si>
  <si>
    <t xml:space="preserve">My Life My Story</t>
  </si>
  <si>
    <t xml:space="preserve">International TV Shows, Stand-Up Comedy &amp; Talk Shows</t>
  </si>
  <si>
    <t xml:space="preserve">One Heart: The A.R. Rahman Concert Film</t>
  </si>
  <si>
    <t xml:space="preserve">Pettersson and Findus 2</t>
  </si>
  <si>
    <t xml:space="preserve">Ali Samadi Ahadi</t>
  </si>
  <si>
    <t xml:space="preserve">Punjab 1984</t>
  </si>
  <si>
    <t xml:space="preserve">Anurag Singh</t>
  </si>
  <si>
    <t xml:space="preserve">Canada, India</t>
  </si>
  <si>
    <t xml:space="preserve">Rivaaz</t>
  </si>
  <si>
    <t xml:space="preserve">Ashok Nanda</t>
  </si>
  <si>
    <t xml:space="preserve">Romeo Ranjha</t>
  </si>
  <si>
    <t xml:space="preserve">Navaniat Singh</t>
  </si>
  <si>
    <t xml:space="preserve">India, Canada</t>
  </si>
  <si>
    <t xml:space="preserve">Action &amp; Adventure, Comedies, Music &amp; Musicals</t>
  </si>
  <si>
    <t xml:space="preserve">Roots</t>
  </si>
  <si>
    <t xml:space="preserve">Shweta Basu Prasad</t>
  </si>
  <si>
    <t xml:space="preserve">Savage Dog</t>
  </si>
  <si>
    <t xml:space="preserve">Stranger</t>
  </si>
  <si>
    <t xml:space="preserve">The Bittersweet</t>
  </si>
  <si>
    <t xml:space="preserve">D Ho</t>
  </si>
  <si>
    <t xml:space="preserve">The Family Court</t>
  </si>
  <si>
    <t xml:space="preserve">The Golden Path</t>
  </si>
  <si>
    <t xml:space="preserve">The Little Nyonya</t>
  </si>
  <si>
    <t xml:space="preserve">The Truth</t>
  </si>
  <si>
    <t xml:space="preserve">Together</t>
  </si>
  <si>
    <t xml:space="preserve">Trip to Bhangarh: Asia's Most Haunted Place</t>
  </si>
  <si>
    <t xml:space="preserve">Jitender Pawar</t>
  </si>
  <si>
    <t xml:space="preserve">Undercover Grandpa</t>
  </si>
  <si>
    <t xml:space="preserve">Erik Canuel</t>
  </si>
  <si>
    <t xml:space="preserve">Waarrior Savitri</t>
  </si>
  <si>
    <t xml:space="preserve">Param Gill</t>
  </si>
  <si>
    <t xml:space="preserve">Warehoused</t>
  </si>
  <si>
    <t xml:space="preserve">Jack Zagha Kababie</t>
  </si>
  <si>
    <t xml:space="preserve">Yaara O Dildaara</t>
  </si>
  <si>
    <t xml:space="preserve">A Grand Night In: The Story of Aardman</t>
  </si>
  <si>
    <t xml:space="preserve">Richard Mears</t>
  </si>
  <si>
    <t xml:space="preserve">November 1, 2016</t>
  </si>
  <si>
    <t xml:space="preserve">Inborn Pair</t>
  </si>
  <si>
    <t xml:space="preserve">Just You</t>
  </si>
  <si>
    <t xml:space="preserve">Love Around</t>
  </si>
  <si>
    <t xml:space="preserve">Love Family</t>
  </si>
  <si>
    <t xml:space="preserve">Love Me or Leave Me</t>
  </si>
  <si>
    <t xml:space="preserve">Love Now</t>
  </si>
  <si>
    <t xml:space="preserve">Norman Lear: Just Another Version of You</t>
  </si>
  <si>
    <t xml:space="preserve">Santa Pac's Merry Berry Day</t>
  </si>
  <si>
    <t xml:space="preserve">Moto Sakakibara</t>
  </si>
  <si>
    <t xml:space="preserve">Spanish Affair 2</t>
  </si>
  <si>
    <t xml:space="preserve">Emilio Martínez Lázaro</t>
  </si>
  <si>
    <t xml:space="preserve">The Interview</t>
  </si>
  <si>
    <t xml:space="preserve">Craig Monahan</t>
  </si>
  <si>
    <t xml:space="preserve">The Last Days of Chez Nous</t>
  </si>
  <si>
    <t xml:space="preserve">Gillian Armstrong</t>
  </si>
  <si>
    <t xml:space="preserve">Tree Man</t>
  </si>
  <si>
    <t xml:space="preserve">Jon Reiner, Brad Rothschild</t>
  </si>
  <si>
    <t xml:space="preserve">Winter of Our Dreams</t>
  </si>
  <si>
    <t xml:space="preserve">John Duigan</t>
  </si>
  <si>
    <t xml:space="preserve">Young Tiger</t>
  </si>
  <si>
    <t xml:space="preserve">Mu Chu</t>
  </si>
  <si>
    <t xml:space="preserve">A Russell Peters Christmas</t>
  </si>
  <si>
    <t xml:space="preserve">Henry Sarwer-Foner</t>
  </si>
  <si>
    <t xml:space="preserve">November 1, 2013</t>
  </si>
  <si>
    <t xml:space="preserve">Aziz Ansari: Buried Alive</t>
  </si>
  <si>
    <t xml:space="preserve">Will Lovelace, Dylan Southern</t>
  </si>
  <si>
    <t xml:space="preserve">Mad Ron's Prevues from Hell</t>
  </si>
  <si>
    <t xml:space="preserve">Jim Monaco</t>
  </si>
  <si>
    <t xml:space="preserve">November 1, 2010</t>
  </si>
  <si>
    <t xml:space="preserve">Antar: Son of Shadad</t>
  </si>
  <si>
    <t xml:space="preserve">Sherif Ismail</t>
  </si>
  <si>
    <t xml:space="preserve">May 9, 2019</t>
  </si>
  <si>
    <t xml:space="preserve">Bathtubs Over Broadway</t>
  </si>
  <si>
    <t xml:space="preserve">Dava Whisenant</t>
  </si>
  <si>
    <t xml:space="preserve">Gatao 2: Rise of the King</t>
  </si>
  <si>
    <t xml:space="preserve">Yen Cheng-kuo</t>
  </si>
  <si>
    <t xml:space="preserve">Insidious</t>
  </si>
  <si>
    <t xml:space="preserve">James Wan</t>
  </si>
  <si>
    <t xml:space="preserve">United States, Canada, United Kingdom</t>
  </si>
  <si>
    <t xml:space="preserve">Lion's Heart</t>
  </si>
  <si>
    <t xml:space="preserve">Karim El Sobky</t>
  </si>
  <si>
    <t xml:space="preserve">Regatta</t>
  </si>
  <si>
    <t xml:space="preserve">Mohamed Samy</t>
  </si>
  <si>
    <t xml:space="preserve">Tattah</t>
  </si>
  <si>
    <t xml:space="preserve">Sameh Abdulaziz</t>
  </si>
  <si>
    <t xml:space="preserve">The Bulbul's Nest</t>
  </si>
  <si>
    <t xml:space="preserve">Husam El-Gohari</t>
  </si>
  <si>
    <t xml:space="preserve">Norm Macdonald: Hitler's Dog, Gossip &amp; Trickery</t>
  </si>
  <si>
    <t xml:space="preserve">Liz Plonka</t>
  </si>
  <si>
    <t xml:space="preserve">May 9, 2017</t>
  </si>
  <si>
    <t xml:space="preserve">Away From Home</t>
  </si>
  <si>
    <t xml:space="preserve">May 8, 2019</t>
  </si>
  <si>
    <t xml:space="preserve">Bibik-Bibikku</t>
  </si>
  <si>
    <t xml:space="preserve">Cinta 100KG</t>
  </si>
  <si>
    <t xml:space="preserve">Cinta Iris</t>
  </si>
  <si>
    <t xml:space="preserve">Cinta Si Wedding Planner</t>
  </si>
  <si>
    <t xml:space="preserve">Cinta Teruna Kimchi</t>
  </si>
  <si>
    <t xml:space="preserve">Secret of Success</t>
  </si>
  <si>
    <t xml:space="preserve">The Missing Menu</t>
  </si>
  <si>
    <t xml:space="preserve">Unchained Fate</t>
  </si>
  <si>
    <t xml:space="preserve">International TV Shows, TV Dramas, TV Sci-Fi &amp; Fantasy</t>
  </si>
  <si>
    <t xml:space="preserve">Desolation</t>
  </si>
  <si>
    <t xml:space="preserve">Sam Patton</t>
  </si>
  <si>
    <t xml:space="preserve">May 8, 2018</t>
  </si>
  <si>
    <t xml:space="preserve">Hari Kondabolu: Warn Your Relatives</t>
  </si>
  <si>
    <t xml:space="preserve">Kaleidoscope</t>
  </si>
  <si>
    <t xml:space="preserve">Rupert Jones</t>
  </si>
  <si>
    <t xml:space="preserve">National Bird</t>
  </si>
  <si>
    <t xml:space="preserve">Sonia Kennebeck</t>
  </si>
  <si>
    <t xml:space="preserve">May 8, 2017</t>
  </si>
  <si>
    <t xml:space="preserve">The Chosen Ones</t>
  </si>
  <si>
    <t xml:space="preserve">David Pablos</t>
  </si>
  <si>
    <t xml:space="preserve">Mexico, France</t>
  </si>
  <si>
    <t xml:space="preserve">May 8, 2016</t>
  </si>
  <si>
    <t xml:space="preserve">Abyss</t>
  </si>
  <si>
    <t xml:space="preserve">May 7, 2019</t>
  </si>
  <si>
    <t xml:space="preserve">I Have a Script</t>
  </si>
  <si>
    <t xml:space="preserve">In the Bosom of a Thorn</t>
  </si>
  <si>
    <t xml:space="preserve">The Heat: A Kitchen (R)evolution</t>
  </si>
  <si>
    <t xml:space="preserve">Maya Gallus</t>
  </si>
  <si>
    <t xml:space="preserve">The Writer</t>
  </si>
  <si>
    <t xml:space="preserve">What If?</t>
  </si>
  <si>
    <t xml:space="preserve">City of God: 10 Years Later</t>
  </si>
  <si>
    <t xml:space="preserve">Cavi Borges, Luciano Vidigal</t>
  </si>
  <si>
    <t xml:space="preserve">May 7, 2018</t>
  </si>
  <si>
    <t xml:space="preserve">My Fuhrer</t>
  </si>
  <si>
    <t xml:space="preserve">Dani Levy</t>
  </si>
  <si>
    <t xml:space="preserve">LoveTrue</t>
  </si>
  <si>
    <t xml:space="preserve">Alma Har'el</t>
  </si>
  <si>
    <t xml:space="preserve">May 7, 2017</t>
  </si>
  <si>
    <t xml:space="preserve">Last Breath</t>
  </si>
  <si>
    <t xml:space="preserve">Alex Parkinson, Richard da Costa</t>
  </si>
  <si>
    <t xml:space="preserve">United Kingdom, Belgium, Sweden</t>
  </si>
  <si>
    <t xml:space="preserve">May 6, 2019</t>
  </si>
  <si>
    <t xml:space="preserve">Like Arrows</t>
  </si>
  <si>
    <t xml:space="preserve">Kevin Peeples</t>
  </si>
  <si>
    <t xml:space="preserve">The Wandering Earth</t>
  </si>
  <si>
    <t xml:space="preserve">Frant Gwo</t>
  </si>
  <si>
    <t xml:space="preserve">War Horse</t>
  </si>
  <si>
    <t xml:space="preserve">United States, India</t>
  </si>
  <si>
    <t xml:space="preserve">Ali Wong: Baby Cobra</t>
  </si>
  <si>
    <t xml:space="preserve">May 6, 2016</t>
  </si>
  <si>
    <t xml:space="preserve">Death House</t>
  </si>
  <si>
    <t xml:space="preserve">Harrison Smith</t>
  </si>
  <si>
    <t xml:space="preserve">May 5, 2019</t>
  </si>
  <si>
    <t xml:space="preserve">Family Blood</t>
  </si>
  <si>
    <t xml:space="preserve">Sonny Mallhi</t>
  </si>
  <si>
    <t xml:space="preserve">May 5, 2018</t>
  </si>
  <si>
    <t xml:space="preserve">Miss Dynamite</t>
  </si>
  <si>
    <t xml:space="preserve">Pup Star: World Tour</t>
  </si>
  <si>
    <t xml:space="preserve">Canada, Japan, United States</t>
  </si>
  <si>
    <t xml:space="preserve">Children &amp; Family Movies, Comedies, Music &amp; Musicals</t>
  </si>
  <si>
    <t xml:space="preserve">Handsome: A Netflix Mystery Movie</t>
  </si>
  <si>
    <t xml:space="preserve">Jeff Garlin</t>
  </si>
  <si>
    <t xml:space="preserve">May 5, 2017</t>
  </si>
  <si>
    <t xml:space="preserve">Simplemente Manu NNa</t>
  </si>
  <si>
    <t xml:space="preserve">Jan Suter, Raúl Campos</t>
  </si>
  <si>
    <t xml:space="preserve">The Mars Generation</t>
  </si>
  <si>
    <t xml:space="preserve">Michael Barnett</t>
  </si>
  <si>
    <t xml:space="preserve">Children &amp; Family Movies, Documentaries</t>
  </si>
  <si>
    <t xml:space="preserve">What Happens to My Family</t>
  </si>
  <si>
    <t xml:space="preserve">4th Man Out</t>
  </si>
  <si>
    <t xml:space="preserve">Andrew Nackman</t>
  </si>
  <si>
    <t xml:space="preserve">May 5, 2016</t>
  </si>
  <si>
    <t xml:space="preserve">Comedies, LGBTQ Movies</t>
  </si>
  <si>
    <t xml:space="preserve">Just Another Love Story</t>
  </si>
  <si>
    <t xml:space="preserve">Ole Bornedal</t>
  </si>
  <si>
    <t xml:space="preserve">May 5, 2009</t>
  </si>
  <si>
    <t xml:space="preserve">A Little Help with Carol Burnett</t>
  </si>
  <si>
    <t xml:space="preserve">May 4, 2018</t>
  </si>
  <si>
    <t xml:space="preserve">Anon</t>
  </si>
  <si>
    <t xml:space="preserve">Andrew Niccol</t>
  </si>
  <si>
    <t xml:space="preserve">Dany Boon: Des Hauts De France</t>
  </si>
  <si>
    <t xml:space="preserve">Isabelle Nanty</t>
  </si>
  <si>
    <t xml:space="preserve">End Game</t>
  </si>
  <si>
    <t xml:space="preserve">Rob Epstein, Jeffrey Friedman</t>
  </si>
  <si>
    <t xml:space="preserve">Forgive Us Our Debts</t>
  </si>
  <si>
    <t xml:space="preserve">Antonio Morabito</t>
  </si>
  <si>
    <t xml:space="preserve">Italy, Switzerland, Albania, Poland</t>
  </si>
  <si>
    <t xml:space="preserve">Lo más sencillo es complicarlo todo</t>
  </si>
  <si>
    <t xml:space="preserve">Rene Bueno</t>
  </si>
  <si>
    <t xml:space="preserve">John Woo</t>
  </si>
  <si>
    <t xml:space="preserve">No Estoy Loca</t>
  </si>
  <si>
    <t xml:space="preserve">Nicolás López</t>
  </si>
  <si>
    <t xml:space="preserve">Thi Mai</t>
  </si>
  <si>
    <t xml:space="preserve">Patricia Ferreira</t>
  </si>
  <si>
    <t xml:space="preserve">Pasión de Gavilanes</t>
  </si>
  <si>
    <t xml:space="preserve">Colombia, United States</t>
  </si>
  <si>
    <t xml:space="preserve">May 4, 2017</t>
  </si>
  <si>
    <t xml:space="preserve">Always Be My Maybe</t>
  </si>
  <si>
    <t xml:space="preserve">Nahnatchka Khan</t>
  </si>
  <si>
    <t xml:space="preserve">May 31, 2019</t>
  </si>
  <si>
    <t xml:space="preserve">C Kkompany</t>
  </si>
  <si>
    <t xml:space="preserve">Sachin Yardi</t>
  </si>
  <si>
    <t xml:space="preserve">Chopsticks</t>
  </si>
  <si>
    <t xml:space="preserve">How to Sell Drugs Online (Fast)</t>
  </si>
  <si>
    <t xml:space="preserve">Crime TV Shows, International TV Shows, TV Comedies</t>
  </si>
  <si>
    <t xml:space="preserve">Killer Ratings</t>
  </si>
  <si>
    <t xml:space="preserve">Koi Aap Sa</t>
  </si>
  <si>
    <t xml:space="preserve">Partho Mitra</t>
  </si>
  <si>
    <t xml:space="preserve">Krishna Cottage</t>
  </si>
  <si>
    <t xml:space="preserve">Santram Varma</t>
  </si>
  <si>
    <t xml:space="preserve">Action &amp; Adventure, Horror Movies, International Movies</t>
  </si>
  <si>
    <t xml:space="preserve">Mere Pyare Prime Minister</t>
  </si>
  <si>
    <t xml:space="preserve">P</t>
  </si>
  <si>
    <t xml:space="preserve">Paul Spurrier</t>
  </si>
  <si>
    <t xml:space="preserve">United Kingdom, Thailand</t>
  </si>
  <si>
    <t xml:space="preserve">Pegasus</t>
  </si>
  <si>
    <t xml:space="preserve">Han Han</t>
  </si>
  <si>
    <t xml:space="preserve">Ragini MMS</t>
  </si>
  <si>
    <t xml:space="preserve">Pawan Kripalani</t>
  </si>
  <si>
    <t xml:space="preserve">Ragini MMS 2</t>
  </si>
  <si>
    <t xml:space="preserve">Bhushan Patel</t>
  </si>
  <si>
    <t xml:space="preserve">Shor In the City</t>
  </si>
  <si>
    <t xml:space="preserve">Raj Nidimoru, Krishna D.K.</t>
  </si>
  <si>
    <t xml:space="preserve">When They See Us</t>
  </si>
  <si>
    <t xml:space="preserve">Bombshell: The Hedy Lamarr Story</t>
  </si>
  <si>
    <t xml:space="preserve">Alexandra Dean</t>
  </si>
  <si>
    <t xml:space="preserve">May 31, 2018</t>
  </si>
  <si>
    <t xml:space="preserve">Without Gorky</t>
  </si>
  <si>
    <t xml:space="preserve">Cosima Spender</t>
  </si>
  <si>
    <t xml:space="preserve">May 31, 2017</t>
  </si>
  <si>
    <t xml:space="preserve">My Week with Marilyn</t>
  </si>
  <si>
    <t xml:space="preserve">Simon Curtis</t>
  </si>
  <si>
    <t xml:space="preserve">May 30, 2019</t>
  </si>
  <si>
    <t xml:space="preserve">Svaha: The Sixth Finger</t>
  </si>
  <si>
    <t xml:space="preserve">Jang Jae-hyun</t>
  </si>
  <si>
    <t xml:space="preserve">The One I Love</t>
  </si>
  <si>
    <t xml:space="preserve">Charlie McDowell</t>
  </si>
  <si>
    <t xml:space="preserve">Sarah Silverman A Speck of Dust</t>
  </si>
  <si>
    <t xml:space="preserve">Liam Lynch</t>
  </si>
  <si>
    <t xml:space="preserve">May 30, 2017</t>
  </si>
  <si>
    <t xml:space="preserve">All In My Family</t>
  </si>
  <si>
    <t xml:space="preserve">Hao Wu</t>
  </si>
  <si>
    <t xml:space="preserve">May 3, 2019</t>
  </si>
  <si>
    <t xml:space="preserve">Crime Diaries: Night Out</t>
  </si>
  <si>
    <t xml:space="preserve">Felipe Cano</t>
  </si>
  <si>
    <t xml:space="preserve">Dead to Me</t>
  </si>
  <si>
    <t xml:space="preserve">Despite Everything</t>
  </si>
  <si>
    <t xml:space="preserve">Gabriela Tagliavini</t>
  </si>
  <si>
    <t xml:space="preserve">Extremely Wicked, Shockingly Evil and Vile</t>
  </si>
  <si>
    <t xml:space="preserve">Joe Berlinger</t>
  </si>
  <si>
    <t xml:space="preserve">Flinch</t>
  </si>
  <si>
    <t xml:space="preserve">It's Fine</t>
  </si>
  <si>
    <t xml:space="preserve">Ismail Farouk</t>
  </si>
  <si>
    <t xml:space="preserve">Jo Pil-ho: The Dawning Rage</t>
  </si>
  <si>
    <t xml:space="preserve">Lee Jeong-beom</t>
  </si>
  <si>
    <t xml:space="preserve">The Last Summer</t>
  </si>
  <si>
    <t xml:space="preserve">William Bindley</t>
  </si>
  <si>
    <t xml:space="preserve">Tuca &amp; Bertie</t>
  </si>
  <si>
    <t xml:space="preserve">Undercover</t>
  </si>
  <si>
    <t xml:space="preserve">Belgium, Netherlands</t>
  </si>
  <si>
    <t xml:space="preserve">Si saben cómo me pongo ¿pá qué me invitan?</t>
  </si>
  <si>
    <t xml:space="preserve">Fernando Ayllón</t>
  </si>
  <si>
    <t xml:space="preserve">May 3, 2018</t>
  </si>
  <si>
    <t xml:space="preserve">Forever Pure</t>
  </si>
  <si>
    <t xml:space="preserve">Maya Zinshtein</t>
  </si>
  <si>
    <t xml:space="preserve">United Kingdom, Israel, Russia</t>
  </si>
  <si>
    <t xml:space="preserve">May 29, 2017</t>
  </si>
  <si>
    <t xml:space="preserve">Rangoon</t>
  </si>
  <si>
    <t xml:space="preserve">Hot Girls Wanted</t>
  </si>
  <si>
    <t xml:space="preserve">Jill Bauer, Ronna Gradus</t>
  </si>
  <si>
    <t xml:space="preserve">May 29, 2015</t>
  </si>
  <si>
    <t xml:space="preserve">Lifechanger</t>
  </si>
  <si>
    <t xml:space="preserve">Justin McConnell</t>
  </si>
  <si>
    <t xml:space="preserve">May 28, 2019</t>
  </si>
  <si>
    <t xml:space="preserve">The Nutcracker and the Four Realms</t>
  </si>
  <si>
    <t xml:space="preserve">Lasse Hallström, Joe Johnston</t>
  </si>
  <si>
    <t xml:space="preserve">After Porn Ends</t>
  </si>
  <si>
    <t xml:space="preserve">Bryce Wagoner</t>
  </si>
  <si>
    <t xml:space="preserve">May 27, 2019</t>
  </si>
  <si>
    <t xml:space="preserve">Charmed</t>
  </si>
  <si>
    <t xml:space="preserve">TV Dramas, TV Sci-Fi &amp; Fantasy</t>
  </si>
  <si>
    <t xml:space="preserve">Historical Roasts</t>
  </si>
  <si>
    <t xml:space="preserve">The Break with Michelle Wolf</t>
  </si>
  <si>
    <t xml:space="preserve">May 27, 2018</t>
  </si>
  <si>
    <t xml:space="preserve">The Do-Over</t>
  </si>
  <si>
    <t xml:space="preserve">Steven Brill</t>
  </si>
  <si>
    <t xml:space="preserve">May 27, 2016</t>
  </si>
  <si>
    <t xml:space="preserve">Kiss The Series</t>
  </si>
  <si>
    <t xml:space="preserve">May 26, 2019</t>
  </si>
  <si>
    <t xml:space="preserve">Rampant</t>
  </si>
  <si>
    <t xml:space="preserve">Kim Sung-hoon</t>
  </si>
  <si>
    <t xml:space="preserve">Sara's Notebook</t>
  </si>
  <si>
    <t xml:space="preserve">Norberto López Amado</t>
  </si>
  <si>
    <t xml:space="preserve">May 26, 2018</t>
  </si>
  <si>
    <t xml:space="preserve">Something in the Rain</t>
  </si>
  <si>
    <t xml:space="preserve">I Am Jane Doe</t>
  </si>
  <si>
    <t xml:space="preserve">Mary Mazzio</t>
  </si>
  <si>
    <t xml:space="preserve">May 26, 2017</t>
  </si>
  <si>
    <t xml:space="preserve">Joshua: Teenager vs. Superpower</t>
  </si>
  <si>
    <t xml:space="preserve">Joe Piscatella</t>
  </si>
  <si>
    <t xml:space="preserve">Raees</t>
  </si>
  <si>
    <t xml:space="preserve">Rahul Dholakia</t>
  </si>
  <si>
    <t xml:space="preserve">War Machine</t>
  </si>
  <si>
    <t xml:space="preserve">The Last Man on the Moon</t>
  </si>
  <si>
    <t xml:space="preserve">Mark Craig</t>
  </si>
  <si>
    <t xml:space="preserve">May 26, 2016</t>
  </si>
  <si>
    <t xml:space="preserve">Sotus The Series</t>
  </si>
  <si>
    <t xml:space="preserve">May 25, 2019</t>
  </si>
  <si>
    <t xml:space="preserve">Thackeray</t>
  </si>
  <si>
    <t xml:space="preserve">Colours of Passion</t>
  </si>
  <si>
    <t xml:space="preserve">Ketan Mehta</t>
  </si>
  <si>
    <t xml:space="preserve">May 25, 2018</t>
  </si>
  <si>
    <t xml:space="preserve">Fernando Sanjiao: Hombre</t>
  </si>
  <si>
    <t xml:space="preserve">Ibiza</t>
  </si>
  <si>
    <t xml:space="preserve">Alex Richanbach</t>
  </si>
  <si>
    <t xml:space="preserve">Steve Martin and Martin Short: An Evening You Will Forget for the Rest of Your Life</t>
  </si>
  <si>
    <t xml:space="preserve">Detour</t>
  </si>
  <si>
    <t xml:space="preserve">Christopher Smith</t>
  </si>
  <si>
    <t xml:space="preserve">United Kingdom, South Africa</t>
  </si>
  <si>
    <t xml:space="preserve">May 25, 2017</t>
  </si>
  <si>
    <t xml:space="preserve">After Maria</t>
  </si>
  <si>
    <t xml:space="preserve">Nadia Hallgren</t>
  </si>
  <si>
    <t xml:space="preserve">May 24, 2019</t>
  </si>
  <si>
    <t xml:space="preserve">Hyper HardBoiled Gourmet Report</t>
  </si>
  <si>
    <t xml:space="preserve">Joy</t>
  </si>
  <si>
    <t xml:space="preserve">Sudabeh Mortezai</t>
  </si>
  <si>
    <t xml:space="preserve">Rim of the World</t>
  </si>
  <si>
    <t xml:space="preserve">The Perfection</t>
  </si>
  <si>
    <t xml:space="preserve">Richard Shepard</t>
  </si>
  <si>
    <t xml:space="preserve">Horror Movies, LGBTQ Movies, Thrillers</t>
  </si>
  <si>
    <t xml:space="preserve">WHAT / IF</t>
  </si>
  <si>
    <t xml:space="preserve">Survivors Guide to Prison</t>
  </si>
  <si>
    <t xml:space="preserve">Matthew Cooke</t>
  </si>
  <si>
    <t xml:space="preserve">May 24, 2018</t>
  </si>
  <si>
    <t xml:space="preserve">The Lonely Island Presents: The Unauthorized Bash Brothers Experience</t>
  </si>
  <si>
    <t xml:space="preserve">Mike Diva, Akiva Schaffer</t>
  </si>
  <si>
    <t xml:space="preserve">May 23, 2019</t>
  </si>
  <si>
    <t xml:space="preserve">Comedies, Music &amp; Musicals, Sports Movies</t>
  </si>
  <si>
    <t xml:space="preserve">Arès</t>
  </si>
  <si>
    <t xml:space="preserve">Jean-Patrick Benes</t>
  </si>
  <si>
    <t xml:space="preserve">May 23, 2017</t>
  </si>
  <si>
    <t xml:space="preserve">Hasan Minhaj: Homecoming King</t>
  </si>
  <si>
    <t xml:space="preserve">Dramaworld</t>
  </si>
  <si>
    <t xml:space="preserve">United States, South Korea, China</t>
  </si>
  <si>
    <t xml:space="preserve">May 23, 2016</t>
  </si>
  <si>
    <t xml:space="preserve">A Tale of Two Kitchens</t>
  </si>
  <si>
    <t xml:space="preserve">Trisha Ziff</t>
  </si>
  <si>
    <t xml:space="preserve">May 22, 2019</t>
  </si>
  <si>
    <t xml:space="preserve">The Man Who Feels No Pain</t>
  </si>
  <si>
    <t xml:space="preserve">Vasan Bala</t>
  </si>
  <si>
    <t xml:space="preserve">Mob Psycho 100</t>
  </si>
  <si>
    <t xml:space="preserve">May 22, 2018</t>
  </si>
  <si>
    <t xml:space="preserve">Tig Notaro Happy To Be Here</t>
  </si>
  <si>
    <t xml:space="preserve">Tig Notaro</t>
  </si>
  <si>
    <t xml:space="preserve">12 Years Promise</t>
  </si>
  <si>
    <t xml:space="preserve">May 22, 2017</t>
  </si>
  <si>
    <t xml:space="preserve">Beating Again</t>
  </si>
  <si>
    <t xml:space="preserve">Can We Get Married?</t>
  </si>
  <si>
    <t xml:space="preserve">Elizabeth at 90: A Family Tribute</t>
  </si>
  <si>
    <t xml:space="preserve">John Bridcut</t>
  </si>
  <si>
    <t xml:space="preserve">Last</t>
  </si>
  <si>
    <t xml:space="preserve">Secret Affair</t>
  </si>
  <si>
    <t xml:space="preserve">This Is My Love</t>
  </si>
  <si>
    <t xml:space="preserve">The Super Mario Bros. Super Show!</t>
  </si>
  <si>
    <t xml:space="preserve">May 22, 2016</t>
  </si>
  <si>
    <t xml:space="preserve">Jen Kirkman: I'm Gonna Die Alone (And I Feel Fine)</t>
  </si>
  <si>
    <t xml:space="preserve">May 22, 2015</t>
  </si>
  <si>
    <t xml:space="preserve">The Other One: The Long Strange Trip of Bob Weir</t>
  </si>
  <si>
    <t xml:space="preserve">Mike Fleiss</t>
  </si>
  <si>
    <t xml:space="preserve">Moonlight</t>
  </si>
  <si>
    <t xml:space="preserve">Barry Jenkins</t>
  </si>
  <si>
    <t xml:space="preserve">May 21, 2019</t>
  </si>
  <si>
    <t xml:space="preserve">Wanda Sykes: Not Normal</t>
  </si>
  <si>
    <t xml:space="preserve">Linda Mendoza</t>
  </si>
  <si>
    <t xml:space="preserve">Zero</t>
  </si>
  <si>
    <t xml:space="preserve">Aanand Rai</t>
  </si>
  <si>
    <t xml:space="preserve">American Experience: The Circus</t>
  </si>
  <si>
    <t xml:space="preserve">Sharon Grimberg</t>
  </si>
  <si>
    <t xml:space="preserve">May 2, 2019</t>
  </si>
  <si>
    <t xml:space="preserve">Hamza's Suitcase</t>
  </si>
  <si>
    <t xml:space="preserve">Akram Farouk</t>
  </si>
  <si>
    <t xml:space="preserve">Her Only Choice</t>
  </si>
  <si>
    <t xml:space="preserve">Christel Gibson</t>
  </si>
  <si>
    <t xml:space="preserve">John Carter</t>
  </si>
  <si>
    <t xml:space="preserve">Andrew Stanton</t>
  </si>
  <si>
    <t xml:space="preserve">Laatu</t>
  </si>
  <si>
    <t xml:space="preserve">Manav Shah</t>
  </si>
  <si>
    <t xml:space="preserve">Olympus Has Fallen</t>
  </si>
  <si>
    <t xml:space="preserve">Revenge</t>
  </si>
  <si>
    <t xml:space="preserve">Jailbreak</t>
  </si>
  <si>
    <t xml:space="preserve">Jimmy Henderson</t>
  </si>
  <si>
    <t xml:space="preserve">Cambodia</t>
  </si>
  <si>
    <t xml:space="preserve">May 2, 2018</t>
  </si>
  <si>
    <t xml:space="preserve">Maria Bamford: Old Baby</t>
  </si>
  <si>
    <t xml:space="preserve">Jessica Yu</t>
  </si>
  <si>
    <t xml:space="preserve">May 2, 2017</t>
  </si>
  <si>
    <t xml:space="preserve">Two Lovers and a Bear</t>
  </si>
  <si>
    <t xml:space="preserve">Kim Nguyen</t>
  </si>
  <si>
    <t xml:space="preserve">SGT. Will Gardner</t>
  </si>
  <si>
    <t xml:space="preserve">Max Martini</t>
  </si>
  <si>
    <t xml:space="preserve">May 19, 2019</t>
  </si>
  <si>
    <t xml:space="preserve">Jalpari: The Desert Mermaid</t>
  </si>
  <si>
    <t xml:space="preserve">May 19, 2018</t>
  </si>
  <si>
    <t xml:space="preserve">Small Town Crime</t>
  </si>
  <si>
    <t xml:space="preserve">Ian Nelms, Eshom Nelms</t>
  </si>
  <si>
    <t xml:space="preserve">Behzat Ç.</t>
  </si>
  <si>
    <t xml:space="preserve">May 19, 2017</t>
  </si>
  <si>
    <t xml:space="preserve">BLAME!</t>
  </si>
  <si>
    <t xml:space="preserve">Hiroyuki Seshita</t>
  </si>
  <si>
    <t xml:space="preserve">Hidden Singer</t>
  </si>
  <si>
    <t xml:space="preserve">International TV Shows, Korean TV Shows, Reality TV</t>
  </si>
  <si>
    <t xml:space="preserve">Highland: Thailand's Marijuana Awakening</t>
  </si>
  <si>
    <t xml:space="preserve">Laerte-se</t>
  </si>
  <si>
    <t xml:space="preserve">Lygia Barbosa da Silva, Eliane Brum</t>
  </si>
  <si>
    <t xml:space="preserve">Documentaries, International Movies, LGBTQ Movies</t>
  </si>
  <si>
    <t xml:space="preserve">The Keepers</t>
  </si>
  <si>
    <t xml:space="preserve">Crime TV Shows, Docuseries, TV Mysteries</t>
  </si>
  <si>
    <t xml:space="preserve">The Blackcoat's Daughter</t>
  </si>
  <si>
    <t xml:space="preserve">May 18, 2019</t>
  </si>
  <si>
    <t xml:space="preserve">The Brawler</t>
  </si>
  <si>
    <t xml:space="preserve">Ken Kushner</t>
  </si>
  <si>
    <t xml:space="preserve">Dramas, Independent Movies, Sports Movies</t>
  </si>
  <si>
    <t xml:space="preserve">Cargo</t>
  </si>
  <si>
    <t xml:space="preserve">Yolanda Ramke, Ben Howling</t>
  </si>
  <si>
    <t xml:space="preserve">May 18, 2018</t>
  </si>
  <si>
    <t xml:space="preserve">Catching Feelings</t>
  </si>
  <si>
    <t xml:space="preserve">Kagiso Lediga</t>
  </si>
  <si>
    <t xml:space="preserve">Dance &amp; Sing with True</t>
  </si>
  <si>
    <t xml:space="preserve">El Clon</t>
  </si>
  <si>
    <t xml:space="preserve">May 18, 2017</t>
  </si>
  <si>
    <t xml:space="preserve">Romantic TV Shows, Spanish-Language TV Shows, TV Dramas</t>
  </si>
  <si>
    <t xml:space="preserve">1994</t>
  </si>
  <si>
    <t xml:space="preserve">Diego Enrique Osorno</t>
  </si>
  <si>
    <t xml:space="preserve">May 17, 2019</t>
  </si>
  <si>
    <t xml:space="preserve">Born in Gaza</t>
  </si>
  <si>
    <t xml:space="preserve">Hernán Zin</t>
  </si>
  <si>
    <t xml:space="preserve">Born in Syria</t>
  </si>
  <si>
    <t xml:space="preserve">Denmark, Spain</t>
  </si>
  <si>
    <t xml:space="preserve">Dying to Tell</t>
  </si>
  <si>
    <t xml:space="preserve">First Impression</t>
  </si>
  <si>
    <t xml:space="preserve">Arthur Muhammad</t>
  </si>
  <si>
    <t xml:space="preserve">It's Bruno!</t>
  </si>
  <si>
    <t xml:space="preserve">Maria</t>
  </si>
  <si>
    <t xml:space="preserve">Pedring A. Lopez</t>
  </si>
  <si>
    <t xml:space="preserve">ReMastered: The Lion's Share</t>
  </si>
  <si>
    <t xml:space="preserve">Sam Cullman</t>
  </si>
  <si>
    <t xml:space="preserve">Saverio Raimondo: Il Satiro Parlante</t>
  </si>
  <si>
    <t xml:space="preserve">Francesco Imperato</t>
  </si>
  <si>
    <t xml:space="preserve">53 min</t>
  </si>
  <si>
    <t xml:space="preserve">See You Yesterday</t>
  </si>
  <si>
    <t xml:space="preserve">Stefon Bristol</t>
  </si>
  <si>
    <t xml:space="preserve">Well-Intended Love</t>
  </si>
  <si>
    <t xml:space="preserve">Katt Williams: American Hustle (The Movie)</t>
  </si>
  <si>
    <t xml:space="preserve">Brit McAdams</t>
  </si>
  <si>
    <t xml:space="preserve">May 17, 2018</t>
  </si>
  <si>
    <t xml:space="preserve">Tinker Bell and the Legend of the NeverBeast</t>
  </si>
  <si>
    <t xml:space="preserve">Steve Loter</t>
  </si>
  <si>
    <t xml:space="preserve">May 17, 2015</t>
  </si>
  <si>
    <t xml:space="preserve">Even the Rain</t>
  </si>
  <si>
    <t xml:space="preserve">Icíar Bollaín</t>
  </si>
  <si>
    <t xml:space="preserve">Spain, Mexico, France</t>
  </si>
  <si>
    <t xml:space="preserve">May 17, 2011</t>
  </si>
  <si>
    <t xml:space="preserve">Good Sam</t>
  </si>
  <si>
    <t xml:space="preserve">Kate Melville</t>
  </si>
  <si>
    <t xml:space="preserve">May 16, 2019</t>
  </si>
  <si>
    <t xml:space="preserve">Jonaki</t>
  </si>
  <si>
    <t xml:space="preserve">Aditya Vikram Sengupta</t>
  </si>
  <si>
    <t xml:space="preserve">Kyo Kii... Main Jhuth Nahin Bolta</t>
  </si>
  <si>
    <t xml:space="preserve">David Dhawan</t>
  </si>
  <si>
    <t xml:space="preserve">Neil Burger</t>
  </si>
  <si>
    <t xml:space="preserve">Action &amp; Adventure, Sci-Fi &amp; Fantasy, Thrillers</t>
  </si>
  <si>
    <t xml:space="preserve">LSD: Love, Sex Aur Dhokha</t>
  </si>
  <si>
    <t xml:space="preserve">Mission Istaanbul: Darr Ke Aagey Jeet Hai</t>
  </si>
  <si>
    <t xml:space="preserve">Apoorva Lakhia</t>
  </si>
  <si>
    <t xml:space="preserve">Once Upon a Time in Mumbai Dobaara!</t>
  </si>
  <si>
    <t xml:space="preserve">PATRICK (2019)</t>
  </si>
  <si>
    <t xml:space="preserve">Mandie Fletcher</t>
  </si>
  <si>
    <t xml:space="preserve">Take Me Home Tonight</t>
  </si>
  <si>
    <t xml:space="preserve">Michael Dowse</t>
  </si>
  <si>
    <t xml:space="preserve">'89</t>
  </si>
  <si>
    <t xml:space="preserve">May 16, 2018</t>
  </si>
  <si>
    <t xml:space="preserve">Sports Movies</t>
  </si>
  <si>
    <t xml:space="preserve">Action Replayy</t>
  </si>
  <si>
    <t xml:space="preserve">Vipul Amrutlal Shah</t>
  </si>
  <si>
    <t xml:space="preserve">Children &amp; Family Movies, Comedies, International Movies</t>
  </si>
  <si>
    <t xml:space="preserve">Andaz Apna Apna</t>
  </si>
  <si>
    <t xml:space="preserve">Rajkumar Santoshi</t>
  </si>
  <si>
    <t xml:space="preserve">Food on the Go</t>
  </si>
  <si>
    <t xml:space="preserve">Mercedes Cordova</t>
  </si>
  <si>
    <t xml:space="preserve">Argentina, Italy</t>
  </si>
  <si>
    <t xml:space="preserve">Christine</t>
  </si>
  <si>
    <t xml:space="preserve">Antonio Campos</t>
  </si>
  <si>
    <t xml:space="preserve">May 16, 2017</t>
  </si>
  <si>
    <t xml:space="preserve">The Place Beyond the Pines</t>
  </si>
  <si>
    <t xml:space="preserve">Derek Cianfrance</t>
  </si>
  <si>
    <t xml:space="preserve">Tracy Morgan: Staying Alive</t>
  </si>
  <si>
    <t xml:space="preserve">7 Din Mohabbat In</t>
  </si>
  <si>
    <t xml:space="preserve">Meenu Gaur, Farjad Nabi</t>
  </si>
  <si>
    <t xml:space="preserve">May 15, 2019</t>
  </si>
  <si>
    <t xml:space="preserve">All the Devil's Men</t>
  </si>
  <si>
    <t xml:space="preserve">Matthew Hope</t>
  </si>
  <si>
    <t xml:space="preserve">Cake</t>
  </si>
  <si>
    <t xml:space="preserve">Asim Abbasi</t>
  </si>
  <si>
    <t xml:space="preserve">United Kingdom, Pakistan</t>
  </si>
  <si>
    <t xml:space="preserve">Dennis and Gnasher Unleashed</t>
  </si>
  <si>
    <t xml:space="preserve">British TV Shows, Kids' TV, TV Comedies</t>
  </si>
  <si>
    <t xml:space="preserve">EMI: Liya Hai To Chukana Padega</t>
  </si>
  <si>
    <t xml:space="preserve">Saurabh Kabra</t>
  </si>
  <si>
    <t xml:space="preserve">Hamid</t>
  </si>
  <si>
    <t xml:space="preserve">Aijaz Khan</t>
  </si>
  <si>
    <t xml:space="preserve">Heidi, bienvenida a casa</t>
  </si>
  <si>
    <t xml:space="preserve">Kids' TV, Spanish-Language TV Shows</t>
  </si>
  <si>
    <t xml:space="preserve">I Hear You</t>
  </si>
  <si>
    <t xml:space="preserve">Kucch To Hai</t>
  </si>
  <si>
    <t xml:space="preserve">Anil V. Kumar</t>
  </si>
  <si>
    <t xml:space="preserve">Kyaa Kool Hai Hum</t>
  </si>
  <si>
    <t xml:space="preserve">Sangeeth Sivan</t>
  </si>
  <si>
    <t xml:space="preserve">165 min</t>
  </si>
  <si>
    <t xml:space="preserve">Kyaa Kool Hain Hum 3</t>
  </si>
  <si>
    <t xml:space="preserve">Umesh Ghadge</t>
  </si>
  <si>
    <t xml:space="preserve">Once Upon a Time in Mumbaai</t>
  </si>
  <si>
    <t xml:space="preserve">Shootout at Lokhandwala</t>
  </si>
  <si>
    <t xml:space="preserve">Aadu 2</t>
  </si>
  <si>
    <t xml:space="preserve">Midhun Manuel Thomas</t>
  </si>
  <si>
    <t xml:space="preserve">May 15, 2018</t>
  </si>
  <si>
    <t xml:space="preserve">Aiyaary</t>
  </si>
  <si>
    <t xml:space="preserve">Chalay Thay Saath</t>
  </si>
  <si>
    <t xml:space="preserve">Umer Adil</t>
  </si>
  <si>
    <t xml:space="preserve">Lupin the 3rd: The Castle of Cagliostro: Special Edition</t>
  </si>
  <si>
    <t xml:space="preserve">Hayao Miyazaki</t>
  </si>
  <si>
    <t xml:space="preserve">Action &amp; Adventure, Anime Features, Classic Movies</t>
  </si>
  <si>
    <t xml:space="preserve">Only God Forgives</t>
  </si>
  <si>
    <t xml:space="preserve">Denmark, France, United States, Sweden</t>
  </si>
  <si>
    <t xml:space="preserve">Cult Movies, Independent Movies, Thrillers</t>
  </si>
  <si>
    <t xml:space="preserve">Saint Seiya: The Lost Canvas</t>
  </si>
  <si>
    <t xml:space="preserve">Chamatkar</t>
  </si>
  <si>
    <t xml:space="preserve">May 15, 2017</t>
  </si>
  <si>
    <t xml:space="preserve">164 min</t>
  </si>
  <si>
    <t xml:space="preserve">Classic Legends</t>
  </si>
  <si>
    <t xml:space="preserve">Command and Control</t>
  </si>
  <si>
    <t xml:space="preserve">Robert Kenner</t>
  </si>
  <si>
    <t xml:space="preserve">Kabhi Haan Kabhi Naa</t>
  </si>
  <si>
    <t xml:space="preserve">Kundan Shah</t>
  </si>
  <si>
    <t xml:space="preserve">Lovesong</t>
  </si>
  <si>
    <t xml:space="preserve">So Yong Kim</t>
  </si>
  <si>
    <t xml:space="preserve">Natascha Kampusch: The Whole Story</t>
  </si>
  <si>
    <t xml:space="preserve">Alina Teodorescu</t>
  </si>
  <si>
    <t xml:space="preserve">Ram Jaane</t>
  </si>
  <si>
    <t xml:space="preserve">Sin senos no hay paraíso</t>
  </si>
  <si>
    <t xml:space="preserve">Colombia, Mexico, United States</t>
  </si>
  <si>
    <t xml:space="preserve">Smash: Motorized Mayhem</t>
  </si>
  <si>
    <t xml:space="preserve">The Devil's Mistress</t>
  </si>
  <si>
    <t xml:space="preserve">Filip Renc</t>
  </si>
  <si>
    <t xml:space="preserve">Czech Republic, Slovakia</t>
  </si>
  <si>
    <t xml:space="preserve">The Intent</t>
  </si>
  <si>
    <t xml:space="preserve">Femi Oyeniran, Kalvadour Peterson</t>
  </si>
  <si>
    <t xml:space="preserve">Attacking the Devil: Harold Evans and the Last Nazi War Crime</t>
  </si>
  <si>
    <t xml:space="preserve">David Morris, Jacqui Morris</t>
  </si>
  <si>
    <t xml:space="preserve">May 15, 2016</t>
  </si>
  <si>
    <t xml:space="preserve">Backdraft 2</t>
  </si>
  <si>
    <t xml:space="preserve">Gonzalo López-Gallego</t>
  </si>
  <si>
    <t xml:space="preserve">May 14, 2019</t>
  </si>
  <si>
    <t xml:space="preserve">Killer Cove</t>
  </si>
  <si>
    <t xml:space="preserve">Revisions</t>
  </si>
  <si>
    <t xml:space="preserve">Still LAUGH-IN: The Stars Celebrate</t>
  </si>
  <si>
    <t xml:space="preserve">Weed the People</t>
  </si>
  <si>
    <t xml:space="preserve">Abby Epstein</t>
  </si>
  <si>
    <t xml:space="preserve">The Hunt</t>
  </si>
  <si>
    <t xml:space="preserve">May 14, 2017</t>
  </si>
  <si>
    <t xml:space="preserve">Malibu Rescue</t>
  </si>
  <si>
    <t xml:space="preserve">May 13, 2019</t>
  </si>
  <si>
    <t xml:space="preserve">Norm of the North: Keys to the Kingdom</t>
  </si>
  <si>
    <t xml:space="preserve">Tim Maltby</t>
  </si>
  <si>
    <t xml:space="preserve">Ali Wong: Hard Knock Wife</t>
  </si>
  <si>
    <t xml:space="preserve">May 13, 2018</t>
  </si>
  <si>
    <t xml:space="preserve">Wild Oats</t>
  </si>
  <si>
    <t xml:space="preserve">May 13, 2017</t>
  </si>
  <si>
    <t xml:space="preserve">Merata: How Mum Decolonised the Screen</t>
  </si>
  <si>
    <t xml:space="preserve">Hepi Mita</t>
  </si>
  <si>
    <t xml:space="preserve">May 12, 2019</t>
  </si>
  <si>
    <t xml:space="preserve">The Defected</t>
  </si>
  <si>
    <t xml:space="preserve">Spivak</t>
  </si>
  <si>
    <t xml:space="preserve">Anthony Abrams, Adam Larson Broder</t>
  </si>
  <si>
    <t xml:space="preserve">May 12, 2018</t>
  </si>
  <si>
    <t xml:space="preserve">All Hail King Julien: Exiled</t>
  </si>
  <si>
    <t xml:space="preserve">May 12, 2017</t>
  </si>
  <si>
    <t xml:space="preserve">Get Me Roger Stone</t>
  </si>
  <si>
    <t xml:space="preserve">Dylan Bank, Daniel DiMauro, Morgan Pehme</t>
  </si>
  <si>
    <t xml:space="preserve">Mindhorn</t>
  </si>
  <si>
    <t xml:space="preserve">Sean Foley</t>
  </si>
  <si>
    <t xml:space="preserve">Comedies, Cult Movies, Independent Movies</t>
  </si>
  <si>
    <t xml:space="preserve">Sahara</t>
  </si>
  <si>
    <t xml:space="preserve">Pierre Coré</t>
  </si>
  <si>
    <t xml:space="preserve">Dry Martina</t>
  </si>
  <si>
    <t xml:space="preserve">Che Sandoval</t>
  </si>
  <si>
    <t xml:space="preserve">Chile, Argentina</t>
  </si>
  <si>
    <t xml:space="preserve">May 11, 2019</t>
  </si>
  <si>
    <t xml:space="preserve">Shéhérazade</t>
  </si>
  <si>
    <t xml:space="preserve">Jean-Bernard Marlin</t>
  </si>
  <si>
    <t xml:space="preserve">The Great Magician</t>
  </si>
  <si>
    <t xml:space="preserve">Yee Tung-Shing</t>
  </si>
  <si>
    <t xml:space="preserve">Action &amp; Adventure, Comedies, Dramas</t>
  </si>
  <si>
    <t xml:space="preserve">The Jungle Book</t>
  </si>
  <si>
    <t xml:space="preserve">India, Germany, France</t>
  </si>
  <si>
    <t xml:space="preserve">Carlos Ballarta: Furia Ñera</t>
  </si>
  <si>
    <t xml:space="preserve">May 11, 2018</t>
  </si>
  <si>
    <t xml:space="preserve">Evil Genius</t>
  </si>
  <si>
    <t xml:space="preserve">Trey Borzillieri, Barbara Schroeder</t>
  </si>
  <si>
    <t xml:space="preserve">The Kissing Booth</t>
  </si>
  <si>
    <t xml:space="preserve">The Who Was? Show</t>
  </si>
  <si>
    <t xml:space="preserve">Bheemayan</t>
  </si>
  <si>
    <t xml:space="preserve">Rajiv Chilaka</t>
  </si>
  <si>
    <t xml:space="preserve">May 10, 2019</t>
  </si>
  <si>
    <t xml:space="preserve">Chhota Bheem Aur Kaala Yodha</t>
  </si>
  <si>
    <t xml:space="preserve">Sidheswar Shukla, Asit Mohapatra</t>
  </si>
  <si>
    <t xml:space="preserve">Chhota Bheem Ka Romani Adventure</t>
  </si>
  <si>
    <t xml:space="preserve">Asit Mohapatra, Shyamal Chaulia</t>
  </si>
  <si>
    <t xml:space="preserve">Chhota Bheem Ka Troll Se Takkar</t>
  </si>
  <si>
    <t xml:space="preserve">Shyamal Chaulia, Asit Mohapatra</t>
  </si>
  <si>
    <t xml:space="preserve">In Family I Trust</t>
  </si>
  <si>
    <t xml:space="preserve">Patricia Font</t>
  </si>
  <si>
    <t xml:space="preserve">Jailbirds</t>
  </si>
  <si>
    <t xml:space="preserve">Pose</t>
  </si>
  <si>
    <t xml:space="preserve">The Princess Weiyoung</t>
  </si>
  <si>
    <t xml:space="preserve">The Society</t>
  </si>
  <si>
    <t xml:space="preserve">TV Dramas, Teen TV Shows</t>
  </si>
  <si>
    <t xml:space="preserve">Wine Country</t>
  </si>
  <si>
    <t xml:space="preserve">Amy Poehler</t>
  </si>
  <si>
    <t xml:space="preserve">Aiyyaa</t>
  </si>
  <si>
    <t xml:space="preserve">Sachin Kundalkar</t>
  </si>
  <si>
    <t xml:space="preserve">May 10, 2017</t>
  </si>
  <si>
    <t xml:space="preserve">Bbuddah Hoga Terra Baap</t>
  </si>
  <si>
    <t xml:space="preserve">Puri Jagannadh</t>
  </si>
  <si>
    <t xml:space="preserve">Gabbar Is Back</t>
  </si>
  <si>
    <t xml:space="preserve">Krish</t>
  </si>
  <si>
    <t xml:space="preserve">Madras Café</t>
  </si>
  <si>
    <t xml:space="preserve">Shoojit Sircar</t>
  </si>
  <si>
    <t xml:space="preserve">Michael</t>
  </si>
  <si>
    <t xml:space="preserve">Ribhu Dasgupta</t>
  </si>
  <si>
    <t xml:space="preserve">The Adventure Club</t>
  </si>
  <si>
    <t xml:space="preserve">Geoff Anderson</t>
  </si>
  <si>
    <t xml:space="preserve">The Apostate</t>
  </si>
  <si>
    <t xml:space="preserve">Federico Veiroj</t>
  </si>
  <si>
    <t xml:space="preserve">Spain, France, Uruguay</t>
  </si>
  <si>
    <t xml:space="preserve">Russell Madness</t>
  </si>
  <si>
    <t xml:space="preserve">May 10, 2015</t>
  </si>
  <si>
    <t xml:space="preserve">American Experience: The Island Murder</t>
  </si>
  <si>
    <t xml:space="preserve">Mark Zwonitzer</t>
  </si>
  <si>
    <t xml:space="preserve">May 1, 2019</t>
  </si>
  <si>
    <t xml:space="preserve">Dr. Seuss' The Cat in the Hat</t>
  </si>
  <si>
    <t xml:space="preserve">Bo Welch</t>
  </si>
  <si>
    <t xml:space="preserve">Familiye</t>
  </si>
  <si>
    <t xml:space="preserve">Sedat Kirtan, Kubilay Sarikaya</t>
  </si>
  <si>
    <t xml:space="preserve">Hidden in Plain Sight</t>
  </si>
  <si>
    <t xml:space="preserve">Stacia Crawford</t>
  </si>
  <si>
    <t xml:space="preserve">John &amp; Yoko: Above Us Only Sky</t>
  </si>
  <si>
    <t xml:space="preserve">Michael Epstein</t>
  </si>
  <si>
    <t xml:space="preserve">Kia and Cosmos</t>
  </si>
  <si>
    <t xml:space="preserve">Sudipto Roy</t>
  </si>
  <si>
    <t xml:space="preserve">Kill Hitler! The Luck of the Devil</t>
  </si>
  <si>
    <t xml:space="preserve">Frédéric Tonolli</t>
  </si>
  <si>
    <t xml:space="preserve">Knock Down The House</t>
  </si>
  <si>
    <t xml:space="preserve">Rachel Lears</t>
  </si>
  <si>
    <t xml:space="preserve">Le serment des Hitler</t>
  </si>
  <si>
    <t xml:space="preserve">Emmanuel Amara</t>
  </si>
  <si>
    <t xml:space="preserve">Munafik 2</t>
  </si>
  <si>
    <t xml:space="preserve">Syamsul Yusof</t>
  </si>
  <si>
    <t xml:space="preserve">Robin Hood: The Rebellion</t>
  </si>
  <si>
    <t xml:space="preserve">Nicholas Winter</t>
  </si>
  <si>
    <t xml:space="preserve">Action &amp; Adventure, Independent Movies, International Movies</t>
  </si>
  <si>
    <t xml:space="preserve">Roswell, New Mexico</t>
  </si>
  <si>
    <t xml:space="preserve">Classic &amp; Cult TV, TV Dramas, TV Sci-Fi &amp; Fantasy</t>
  </si>
  <si>
    <t xml:space="preserve">Snowpiercer</t>
  </si>
  <si>
    <t xml:space="preserve">Bong Joon Ho</t>
  </si>
  <si>
    <t xml:space="preserve">South Korea, Czech Republic</t>
  </si>
  <si>
    <t xml:space="preserve">Action &amp; Adventure, Cult Movies, International Movies</t>
  </si>
  <si>
    <t xml:space="preserve">Sur Sapata</t>
  </si>
  <si>
    <t xml:space="preserve">Mangesh Kanthale</t>
  </si>
  <si>
    <t xml:space="preserve">Teenage Mutant Ninja Turtles</t>
  </si>
  <si>
    <t xml:space="preserve">Kevin Munroe</t>
  </si>
  <si>
    <t xml:space="preserve">The Dark Crystal</t>
  </si>
  <si>
    <t xml:space="preserve">Frank Oz, Jim Henson</t>
  </si>
  <si>
    <t xml:space="preserve">The Kindness Diaries</t>
  </si>
  <si>
    <t xml:space="preserve">Two Graves</t>
  </si>
  <si>
    <t xml:space="preserve">Gary Young</t>
  </si>
  <si>
    <t xml:space="preserve">27, el club de los malditos</t>
  </si>
  <si>
    <t xml:space="preserve">Nicanor Loreti</t>
  </si>
  <si>
    <t xml:space="preserve">May 1, 2018</t>
  </si>
  <si>
    <t xml:space="preserve">27: Gone Too Soon</t>
  </si>
  <si>
    <t xml:space="preserve">Simon Napier-Bell</t>
  </si>
  <si>
    <t xml:space="preserve">Abhinetri</t>
  </si>
  <si>
    <t xml:space="preserve">Ajji</t>
  </si>
  <si>
    <t xml:space="preserve">Devashish Makhija</t>
  </si>
  <si>
    <t xml:space="preserve">Anjaan: Special Crimes Unit</t>
  </si>
  <si>
    <t xml:space="preserve">International TV Shows, TV Horror, TV Mysteries</t>
  </si>
  <si>
    <t xml:space="preserve">Boys Over Flowers</t>
  </si>
  <si>
    <t xml:space="preserve">CIA: Comrade in America</t>
  </si>
  <si>
    <t xml:space="preserve">Amal Neerad</t>
  </si>
  <si>
    <t xml:space="preserve">Coffee for All</t>
  </si>
  <si>
    <t xml:space="preserve">Fluvio Iannuci, Roly Santos</t>
  </si>
  <si>
    <t xml:space="preserve">Italy, United States, Argentina</t>
  </si>
  <si>
    <t xml:space="preserve">Darc</t>
  </si>
  <si>
    <t xml:space="preserve">Julius R. Nasso</t>
  </si>
  <si>
    <t xml:space="preserve">Despido Procedente</t>
  </si>
  <si>
    <t xml:space="preserve">Lucas Figueroa</t>
  </si>
  <si>
    <t xml:space="preserve">God's Own Country</t>
  </si>
  <si>
    <t xml:space="preserve">Francis Lee</t>
  </si>
  <si>
    <t xml:space="preserve">Gurgaon</t>
  </si>
  <si>
    <t xml:space="preserve">Shanker Raman</t>
  </si>
  <si>
    <t xml:space="preserve">Hombanna</t>
  </si>
  <si>
    <t xml:space="preserve">Rakshith Thirthahalli</t>
  </si>
  <si>
    <t xml:space="preserve">Iris</t>
  </si>
  <si>
    <t xml:space="preserve">Jewel's Catch One</t>
  </si>
  <si>
    <t xml:space="preserve">C. Fitz</t>
  </si>
  <si>
    <t xml:space="preserve">John Mulaney: Kid Gorgeous at Radio City</t>
  </si>
  <si>
    <t xml:space="preserve">Alex Timbers</t>
  </si>
  <si>
    <t xml:space="preserve">Khan: No. 1 Crime Hunter</t>
  </si>
  <si>
    <t xml:space="preserve">Le K Benzema</t>
  </si>
  <si>
    <t xml:space="preserve">Damien Piscarel, Florent Bodin</t>
  </si>
  <si>
    <t xml:space="preserve">Love Ni Bhavai</t>
  </si>
  <si>
    <t xml:space="preserve">Saandeep Patel</t>
  </si>
  <si>
    <t xml:space="preserve">Love Rain</t>
  </si>
  <si>
    <t xml:space="preserve">Mere Papa Hero Hiralal</t>
  </si>
  <si>
    <t xml:space="preserve">My Perfect Romance</t>
  </si>
  <si>
    <t xml:space="preserve">Nibunan</t>
  </si>
  <si>
    <t xml:space="preserve">Arun Vaidyanathan</t>
  </si>
  <si>
    <t xml:space="preserve">Onaatah</t>
  </si>
  <si>
    <t xml:space="preserve">Pradip Kurbah</t>
  </si>
  <si>
    <t xml:space="preserve">Pocoyo &amp; Cars</t>
  </si>
  <si>
    <t xml:space="preserve">19 min</t>
  </si>
  <si>
    <t xml:space="preserve">Pocoyo &amp; The Space Circus</t>
  </si>
  <si>
    <t xml:space="preserve">Alfonso Rodríguez</t>
  </si>
  <si>
    <t xml:space="preserve">Pocoyo Carnival</t>
  </si>
  <si>
    <t xml:space="preserve">Pocoyo Halloween: Space Halloween</t>
  </si>
  <si>
    <t xml:space="preserve">Pocoyo Halloween: Spooky Movies</t>
  </si>
  <si>
    <t xml:space="preserve">Pocoyo Special Sports</t>
  </si>
  <si>
    <t xml:space="preserve">Guillermo Garcia, David Cantolla</t>
  </si>
  <si>
    <t xml:space="preserve">Queens of Comedy</t>
  </si>
  <si>
    <t xml:space="preserve">Ringan</t>
  </si>
  <si>
    <t xml:space="preserve">Makarand Mane</t>
  </si>
  <si>
    <t xml:space="preserve">Roberto Saviano: Writing Under Police Protection</t>
  </si>
  <si>
    <t xml:space="preserve">Pierfrancesco Diliberto</t>
  </si>
  <si>
    <t xml:space="preserve">Simon</t>
  </si>
  <si>
    <t xml:space="preserve">Sometimes</t>
  </si>
  <si>
    <t xml:space="preserve">Spiritual House</t>
  </si>
  <si>
    <t xml:space="preserve">Swami Baba Ramdev: The Untold Story</t>
  </si>
  <si>
    <t xml:space="preserve">The Carter Effect</t>
  </si>
  <si>
    <t xml:space="preserve">Sean Menard</t>
  </si>
  <si>
    <t xml:space="preserve">The Clapper</t>
  </si>
  <si>
    <t xml:space="preserve">Dito Montiel</t>
  </si>
  <si>
    <t xml:space="preserve">Toc Toc</t>
  </si>
  <si>
    <t xml:space="preserve">Vicente Villanueva</t>
  </si>
  <si>
    <t xml:space="preserve">Tremors 6: A Cold Day in Hell</t>
  </si>
  <si>
    <t xml:space="preserve">United States, South Africa</t>
  </si>
  <si>
    <t xml:space="preserve">Action &amp; Adventure, Comedies, Horror Movies</t>
  </si>
  <si>
    <t xml:space="preserve">Waiting</t>
  </si>
  <si>
    <t xml:space="preserve">Anu Menon</t>
  </si>
  <si>
    <t xml:space="preserve">Withdrawn</t>
  </si>
  <si>
    <t xml:space="preserve">Adrian Murray</t>
  </si>
  <si>
    <t xml:space="preserve">A Kind of Murder</t>
  </si>
  <si>
    <t xml:space="preserve">Andy Goddard</t>
  </si>
  <si>
    <t xml:space="preserve">May 1, 2017</t>
  </si>
  <si>
    <t xml:space="preserve">A Yellow Bird</t>
  </si>
  <si>
    <t xml:space="preserve">K. Rajagopal</t>
  </si>
  <si>
    <t xml:space="preserve">Singapore, France</t>
  </si>
  <si>
    <t xml:space="preserve">Abby Sen</t>
  </si>
  <si>
    <t xml:space="preserve">Bittoo Boss</t>
  </si>
  <si>
    <t xml:space="preserve">Supavitra Babul</t>
  </si>
  <si>
    <t xml:space="preserve">Bombay Talkies</t>
  </si>
  <si>
    <t xml:space="preserve">Zoya Akhtar, Dibakar Banerjee, Karan Johar, Anurag Kashyap</t>
  </si>
  <si>
    <t xml:space="preserve">Boss</t>
  </si>
  <si>
    <t xml:space="preserve">Anthony D'Souza</t>
  </si>
  <si>
    <t xml:space="preserve">Budhia Singh: Born to Run</t>
  </si>
  <si>
    <t xml:space="preserve">Soumendra Padhi</t>
  </si>
  <si>
    <t xml:space="preserve">Chaahat</t>
  </si>
  <si>
    <t xml:space="preserve">Mahesh Bhatt</t>
  </si>
  <si>
    <t xml:space="preserve">Chashme Buddoor</t>
  </si>
  <si>
    <t xml:space="preserve">Defying the Nazis: The Sharps' War</t>
  </si>
  <si>
    <t xml:space="preserve">Ken Burns, Artemis Joukowsky</t>
  </si>
  <si>
    <t xml:space="preserve">Dharam Sankat Mein</t>
  </si>
  <si>
    <t xml:space="preserve">Fuwad Khan</t>
  </si>
  <si>
    <t xml:space="preserve">Don't Think Twice</t>
  </si>
  <si>
    <t xml:space="preserve">Mike Birbiglia</t>
  </si>
  <si>
    <t xml:space="preserve">Drishyam</t>
  </si>
  <si>
    <t xml:space="preserve">English Babu Desi Mem</t>
  </si>
  <si>
    <t xml:space="preserve">Praveen Nischol</t>
  </si>
  <si>
    <t xml:space="preserve">Fire in the Blood</t>
  </si>
  <si>
    <t xml:space="preserve">Dylan Mohan Gray</t>
  </si>
  <si>
    <t xml:space="preserve">Gollu Aur Pappu</t>
  </si>
  <si>
    <t xml:space="preserve">Kabir Sadanand</t>
  </si>
  <si>
    <t xml:space="preserve">HALO Legends</t>
  </si>
  <si>
    <t xml:space="preserve">Shinji Aramaki, Mamoru Oshii, Hideki Futamura, Toshiyuki Kanno, Tomoki Kyoda, Koichi Mashimo, Yasushi Muraki, Daisuke Nishio, Frank O'Connor, Koji Sawai, Joseph Chou, Hiroshi Yamazaki</t>
  </si>
  <si>
    <t xml:space="preserve">Harry Benson: Shoot First</t>
  </si>
  <si>
    <t xml:space="preserve">Justin Bare, Matthew Miele</t>
  </si>
  <si>
    <t xml:space="preserve">He Even Has Your Eyes</t>
  </si>
  <si>
    <t xml:space="preserve">Lucien Jean-Baptiste</t>
  </si>
  <si>
    <t xml:space="preserve">In the Shadow of Iris</t>
  </si>
  <si>
    <t xml:space="preserve">Jalil Lespert</t>
  </si>
  <si>
    <t xml:space="preserve">Inkaar</t>
  </si>
  <si>
    <t xml:space="preserve">Sudhir Mishra</t>
  </si>
  <si>
    <t xml:space="preserve">Japanese Style Originator</t>
  </si>
  <si>
    <t xml:space="preserve">JFK: The Making of a President</t>
  </si>
  <si>
    <t xml:space="preserve">Edward Cotterill</t>
  </si>
  <si>
    <t xml:space="preserve">Kiss &amp; Cry</t>
  </si>
  <si>
    <t xml:space="preserve">Loev</t>
  </si>
  <si>
    <t xml:space="preserve">Sudhanshu Saria</t>
  </si>
  <si>
    <t xml:space="preserve">Losing Sight of Shore</t>
  </si>
  <si>
    <t xml:space="preserve">Sarah Moshman</t>
  </si>
  <si>
    <t xml:space="preserve">United States, Australia, Samoa, United Kingdom</t>
  </si>
  <si>
    <t xml:space="preserve">Mary Kom</t>
  </si>
  <si>
    <t xml:space="preserve">Omung Kumar</t>
  </si>
  <si>
    <t xml:space="preserve">Maya Angelou: And Still I Rise</t>
  </si>
  <si>
    <t xml:space="preserve">Bob Hercules, Rita Coburn Whack</t>
  </si>
  <si>
    <t xml:space="preserve">Moh Maya Money</t>
  </si>
  <si>
    <t xml:space="preserve">Munish Bhardwaj</t>
  </si>
  <si>
    <t xml:space="preserve">Mostly Sunny</t>
  </si>
  <si>
    <t xml:space="preserve">Dilip Mehta</t>
  </si>
  <si>
    <t xml:space="preserve">Mumbai Delhi Mumbai</t>
  </si>
  <si>
    <t xml:space="preserve">Satish Rajwade</t>
  </si>
  <si>
    <t xml:space="preserve">Oh My God</t>
  </si>
  <si>
    <t xml:space="preserve">One by Two</t>
  </si>
  <si>
    <t xml:space="preserve">Devika Bhagat</t>
  </si>
  <si>
    <t xml:space="preserve">Pyaar Ka Punchnama</t>
  </si>
  <si>
    <t xml:space="preserve">Luv Ranjan</t>
  </si>
  <si>
    <t xml:space="preserve">Pyaar Ka Punchnama 2</t>
  </si>
  <si>
    <t xml:space="preserve">Queen</t>
  </si>
  <si>
    <t xml:space="preserve">Vikas Bahl</t>
  </si>
  <si>
    <t xml:space="preserve">Raja Hindustani</t>
  </si>
  <si>
    <t xml:space="preserve">Dharmesh Darshan</t>
  </si>
  <si>
    <t xml:space="preserve">177 min</t>
  </si>
  <si>
    <t xml:space="preserve">Saeed Mirza: The Leftist Sufi</t>
  </si>
  <si>
    <t xml:space="preserve">Kireet Khurana, Padmakumar Narasimhamurthy</t>
  </si>
  <si>
    <t xml:space="preserve">Shaitan</t>
  </si>
  <si>
    <t xml:space="preserve">Bejoy Nambiar</t>
  </si>
  <si>
    <t xml:space="preserve">Special 26</t>
  </si>
  <si>
    <t xml:space="preserve">Tanu Weds Manu</t>
  </si>
  <si>
    <t xml:space="preserve">The Next Skin</t>
  </si>
  <si>
    <t xml:space="preserve">Isaki Lacuesta, Isa Campo</t>
  </si>
  <si>
    <t xml:space="preserve">Spain, Switzerland</t>
  </si>
  <si>
    <t xml:space="preserve">What the Fish</t>
  </si>
  <si>
    <t xml:space="preserve">Gurmmeet Singh</t>
  </si>
  <si>
    <t xml:space="preserve">Yamla Pagla Deewana 2</t>
  </si>
  <si>
    <t xml:space="preserve">Mark Gatiss: A Study in Sherlock</t>
  </si>
  <si>
    <t xml:space="preserve">Nathan Landeg</t>
  </si>
  <si>
    <t xml:space="preserve">May 1, 2016</t>
  </si>
  <si>
    <t xml:space="preserve">Palm Trees in the Snow</t>
  </si>
  <si>
    <t xml:space="preserve">Fernando González Molina</t>
  </si>
  <si>
    <t xml:space="preserve">Terra</t>
  </si>
  <si>
    <t xml:space="preserve">Yann Arthus-Bertrand, Michael Pitiot</t>
  </si>
  <si>
    <t xml:space="preserve">Apollo 18</t>
  </si>
  <si>
    <t xml:space="preserve">March 9, 2019</t>
  </si>
  <si>
    <t xml:space="preserve">A.I.C.O.</t>
  </si>
  <si>
    <t xml:space="preserve">Kazuya Murata</t>
  </si>
  <si>
    <t xml:space="preserve">March 9, 2018</t>
  </si>
  <si>
    <t xml:space="preserve">Collateral</t>
  </si>
  <si>
    <t xml:space="preserve">Meditation Park</t>
  </si>
  <si>
    <t xml:space="preserve">Mina Shum</t>
  </si>
  <si>
    <t xml:space="preserve">Martin Zandvliet</t>
  </si>
  <si>
    <t xml:space="preserve">Match</t>
  </si>
  <si>
    <t xml:space="preserve">Stephen Belber</t>
  </si>
  <si>
    <t xml:space="preserve">March 9, 2017</t>
  </si>
  <si>
    <t xml:space="preserve">Peter and the Farm</t>
  </si>
  <si>
    <t xml:space="preserve">Tony Stone</t>
  </si>
  <si>
    <t xml:space="preserve">The Sunshine Makers</t>
  </si>
  <si>
    <t xml:space="preserve">Cosmo Feilding-Mellen</t>
  </si>
  <si>
    <t xml:space="preserve">The Young Offenders</t>
  </si>
  <si>
    <t xml:space="preserve">Peter Foott</t>
  </si>
  <si>
    <t xml:space="preserve">Thithi</t>
  </si>
  <si>
    <t xml:space="preserve">Raam Reddy</t>
  </si>
  <si>
    <t xml:space="preserve">Zinzana</t>
  </si>
  <si>
    <t xml:space="preserve">Majid Al Ansari</t>
  </si>
  <si>
    <t xml:space="preserve">United Arab Emirates, Jordan</t>
  </si>
  <si>
    <t xml:space="preserve">March 9, 2016</t>
  </si>
  <si>
    <t xml:space="preserve">After Life</t>
  </si>
  <si>
    <t xml:space="preserve">March 8, 2019</t>
  </si>
  <si>
    <t xml:space="preserve">British TV Shows, International TV Shows, TV Comedies</t>
  </si>
  <si>
    <t xml:space="preserve">Bangkok Love Stories: Hey You!</t>
  </si>
  <si>
    <t xml:space="preserve">Blue Jasmine</t>
  </si>
  <si>
    <t xml:space="preserve">Woody Allen</t>
  </si>
  <si>
    <t xml:space="preserve">Champions</t>
  </si>
  <si>
    <t xml:space="preserve">Disappearance</t>
  </si>
  <si>
    <t xml:space="preserve">Formula 1: Drive to Survive</t>
  </si>
  <si>
    <t xml:space="preserve">Hajwala 2: Mysterious Mission</t>
  </si>
  <si>
    <t xml:space="preserve">Ibrahim Bin Mohamed, Hasan Aljaberi</t>
  </si>
  <si>
    <t xml:space="preserve">Immortals</t>
  </si>
  <si>
    <t xml:space="preserve">JoJo's Bizarre Adventure</t>
  </si>
  <si>
    <t xml:space="preserve">Juanita</t>
  </si>
  <si>
    <t xml:space="preserve">Clark Johnson</t>
  </si>
  <si>
    <t xml:space="preserve">Lady J</t>
  </si>
  <si>
    <t xml:space="preserve">Emmanuel Mouret</t>
  </si>
  <si>
    <t xml:space="preserve">Spy Kids 2: The Island of Lost Dreams</t>
  </si>
  <si>
    <t xml:space="preserve">Robert Rodriguez</t>
  </si>
  <si>
    <t xml:space="preserve">The Confrontation</t>
  </si>
  <si>
    <t xml:space="preserve">The Imaginarium of Doctor Parnassus</t>
  </si>
  <si>
    <t xml:space="preserve">United Kingdom, Canada, France, United States</t>
  </si>
  <si>
    <t xml:space="preserve">The Jane Austen Book Club</t>
  </si>
  <si>
    <t xml:space="preserve">Robin Swicord</t>
  </si>
  <si>
    <t xml:space="preserve">Walk. Ride. Rodeo.</t>
  </si>
  <si>
    <t xml:space="preserve">Conor Allyn</t>
  </si>
  <si>
    <t xml:space="preserve">Bad Guys: Vile City</t>
  </si>
  <si>
    <t xml:space="preserve">March 8, 2018</t>
  </si>
  <si>
    <t xml:space="preserve">Ladies First</t>
  </si>
  <si>
    <t xml:space="preserve">Uraaz Bahl</t>
  </si>
  <si>
    <t xml:space="preserve">The Waterboy</t>
  </si>
  <si>
    <t xml:space="preserve">Frank Coraci</t>
  </si>
  <si>
    <t xml:space="preserve">March 8, 2017</t>
  </si>
  <si>
    <t xml:space="preserve">Doubt</t>
  </si>
  <si>
    <t xml:space="preserve">John Patrick Shanley</t>
  </si>
  <si>
    <t xml:space="preserve">March 7, 2019</t>
  </si>
  <si>
    <t xml:space="preserve">Nappily Ever After</t>
  </si>
  <si>
    <t xml:space="preserve">Haifaa Al-Mansour</t>
  </si>
  <si>
    <t xml:space="preserve">Sisterakas</t>
  </si>
  <si>
    <t xml:space="preserve">Wenn V. Deramas</t>
  </si>
  <si>
    <t xml:space="preserve">Starting Over Again</t>
  </si>
  <si>
    <t xml:space="preserve">Olivia M. Lamasan</t>
  </si>
  <si>
    <t xml:space="preserve">That Thing Called Tadhana</t>
  </si>
  <si>
    <t xml:space="preserve">Antoinette Jadaone</t>
  </si>
  <si>
    <t xml:space="preserve">The Love Affair</t>
  </si>
  <si>
    <t xml:space="preserve">Nuel Naval</t>
  </si>
  <si>
    <t xml:space="preserve">The Order</t>
  </si>
  <si>
    <t xml:space="preserve">Aftershock</t>
  </si>
  <si>
    <t xml:space="preserve">United States, Chile</t>
  </si>
  <si>
    <t xml:space="preserve">March 7, 2018</t>
  </si>
  <si>
    <t xml:space="preserve">Action &amp; Adventure, Horror Movies</t>
  </si>
  <si>
    <t xml:space="preserve">Bullet Head</t>
  </si>
  <si>
    <t xml:space="preserve">Paul Solet, Rick Benattar</t>
  </si>
  <si>
    <t xml:space="preserve">Bulgaria, United States</t>
  </si>
  <si>
    <t xml:space="preserve">Amy Schumer: The Leather Special</t>
  </si>
  <si>
    <t xml:space="preserve">Amy Schumer</t>
  </si>
  <si>
    <t xml:space="preserve">March 7, 2017</t>
  </si>
  <si>
    <t xml:space="preserve">Halo: The Fall of Reach</t>
  </si>
  <si>
    <t xml:space="preserve">Ian Kirby</t>
  </si>
  <si>
    <t xml:space="preserve">March 7, 2016</t>
  </si>
  <si>
    <t xml:space="preserve">American Crime Story: The People v. O.J. Simpson</t>
  </si>
  <si>
    <t xml:space="preserve">March 6, 2019</t>
  </si>
  <si>
    <t xml:space="preserve">The Assassination of Gianni Versace</t>
  </si>
  <si>
    <t xml:space="preserve">Crime TV Shows, TV Dramas, TV Thrillers</t>
  </si>
  <si>
    <t xml:space="preserve">Aliens Ate My Homework</t>
  </si>
  <si>
    <t xml:space="preserve">Sean McNamara</t>
  </si>
  <si>
    <t xml:space="preserve">March 6, 2018</t>
  </si>
  <si>
    <t xml:space="preserve">Benji</t>
  </si>
  <si>
    <t xml:space="preserve">Benji: Off the Leash</t>
  </si>
  <si>
    <t xml:space="preserve">Borderliner</t>
  </si>
  <si>
    <t xml:space="preserve">Norway, Germany, Sweden</t>
  </si>
  <si>
    <t xml:space="preserve">For the Love of Benji</t>
  </si>
  <si>
    <t xml:space="preserve">Gad Elmaleh: American Dream</t>
  </si>
  <si>
    <t xml:space="preserve">Gook</t>
  </si>
  <si>
    <t xml:space="preserve">Justin Chon</t>
  </si>
  <si>
    <t xml:space="preserve">Aziz Ansari Live at Madison Square Garden</t>
  </si>
  <si>
    <t xml:space="preserve">Aziz Ansari</t>
  </si>
  <si>
    <t xml:space="preserve">March 6, 2015</t>
  </si>
  <si>
    <t xml:space="preserve">My Own Man</t>
  </si>
  <si>
    <t xml:space="preserve">David Sampliner</t>
  </si>
  <si>
    <t xml:space="preserve">A Korean Odyssey</t>
  </si>
  <si>
    <t xml:space="preserve">March 5, 2019</t>
  </si>
  <si>
    <t xml:space="preserve">Bedtime Stories</t>
  </si>
  <si>
    <t xml:space="preserve">Adam Shankman</t>
  </si>
  <si>
    <t xml:space="preserve">Caregiver</t>
  </si>
  <si>
    <t xml:space="preserve">Chito S. Roño</t>
  </si>
  <si>
    <t xml:space="preserve">Christopher Robin</t>
  </si>
  <si>
    <t xml:space="preserve">Marc Forster</t>
  </si>
  <si>
    <t xml:space="preserve">The Hard Way</t>
  </si>
  <si>
    <t xml:space="preserve">Keoni Waxman</t>
  </si>
  <si>
    <t xml:space="preserve">F the Prom</t>
  </si>
  <si>
    <t xml:space="preserve">Benny Fine</t>
  </si>
  <si>
    <t xml:space="preserve">March 5, 2018</t>
  </si>
  <si>
    <t xml:space="preserve">Everyday I Love You</t>
  </si>
  <si>
    <t xml:space="preserve">Mae Czarina Cruz</t>
  </si>
  <si>
    <t xml:space="preserve">March 4, 2019</t>
  </si>
  <si>
    <t xml:space="preserve">I Am</t>
  </si>
  <si>
    <t xml:space="preserve">India, Japan</t>
  </si>
  <si>
    <t xml:space="preserve">Kid Kulafu</t>
  </si>
  <si>
    <t xml:space="preserve">Paul Soriano</t>
  </si>
  <si>
    <t xml:space="preserve">My Only Mother</t>
  </si>
  <si>
    <t xml:space="preserve">No Other Woman</t>
  </si>
  <si>
    <t xml:space="preserve">Ruel S. Bayani</t>
  </si>
  <si>
    <t xml:space="preserve">The Dawn Wall</t>
  </si>
  <si>
    <t xml:space="preserve">Peter Mortimer, Josh Lowell</t>
  </si>
  <si>
    <t xml:space="preserve">Austria, United States</t>
  </si>
  <si>
    <t xml:space="preserve">Expedition China</t>
  </si>
  <si>
    <t xml:space="preserve">March 4, 2018</t>
  </si>
  <si>
    <t xml:space="preserve">Employee of the Month</t>
  </si>
  <si>
    <t xml:space="preserve">Greg Coolidge</t>
  </si>
  <si>
    <t xml:space="preserve">March 31, 2019</t>
  </si>
  <si>
    <t xml:space="preserve">Maggie &amp; Bianca: Fashion Friends</t>
  </si>
  <si>
    <t xml:space="preserve">Iginio Straffi</t>
  </si>
  <si>
    <t xml:space="preserve">Mercy Black</t>
  </si>
  <si>
    <t xml:space="preserve">Owen Egerton</t>
  </si>
  <si>
    <t xml:space="preserve">The Burial of Kojo</t>
  </si>
  <si>
    <t xml:space="preserve">Sam "Blitz" Bazawule</t>
  </si>
  <si>
    <t xml:space="preserve">Ghana, United States</t>
  </si>
  <si>
    <t xml:space="preserve">Trailer Park Boys: The Animated Series</t>
  </si>
  <si>
    <t xml:space="preserve">Norm Hiscock, Gary Howsam, Mike Smith, John Paul Tremblay, Robb Wells</t>
  </si>
  <si>
    <t xml:space="preserve">Bure Kaam Bura Natija, Kyun Bhai Chacha Haan Bhatija</t>
  </si>
  <si>
    <t xml:space="preserve">March 31, 2018</t>
  </si>
  <si>
    <t xml:space="preserve">Dandy</t>
  </si>
  <si>
    <t xml:space="preserve">Revolt</t>
  </si>
  <si>
    <t xml:space="preserve">Joe Miale</t>
  </si>
  <si>
    <t xml:space="preserve">Th Eena Meena Deeka Chase Comedy Show</t>
  </si>
  <si>
    <t xml:space="preserve">Dheeraj Berry</t>
  </si>
  <si>
    <t xml:space="preserve">Bottom of the World</t>
  </si>
  <si>
    <t xml:space="preserve">Richard Sears</t>
  </si>
  <si>
    <t xml:space="preserve">March 31, 2017</t>
  </si>
  <si>
    <t xml:space="preserve">Bridget Christie: Stand Up for Her</t>
  </si>
  <si>
    <t xml:space="preserve">FirstBorn</t>
  </si>
  <si>
    <t xml:space="preserve">Nirpal Bhogal</t>
  </si>
  <si>
    <t xml:space="preserve">Five Came Back</t>
  </si>
  <si>
    <t xml:space="preserve">Laurent Bouzereau</t>
  </si>
  <si>
    <t xml:space="preserve">GLOW: The Story of the Gorgeous Ladies of Wrestling</t>
  </si>
  <si>
    <t xml:space="preserve">Brett Whitcomb</t>
  </si>
  <si>
    <t xml:space="preserve">Hiroshima: The Real History</t>
  </si>
  <si>
    <t xml:space="preserve">Lucy van Beek</t>
  </si>
  <si>
    <t xml:space="preserve">Know Your Enemy - Japan</t>
  </si>
  <si>
    <t xml:space="preserve">Frank Capra, Joris Ivens</t>
  </si>
  <si>
    <t xml:space="preserve">Classic Movies, Documentaries</t>
  </si>
  <si>
    <t xml:space="preserve">Let There Be Light</t>
  </si>
  <si>
    <t xml:space="preserve">John Huston</t>
  </si>
  <si>
    <t xml:space="preserve">London Spy</t>
  </si>
  <si>
    <t xml:space="preserve">Jakob Verbruggen</t>
  </si>
  <si>
    <t xml:space="preserve">Monkey Planet</t>
  </si>
  <si>
    <t xml:space="preserve">Nazi Concentration Camps</t>
  </si>
  <si>
    <t xml:space="preserve">George Stevens</t>
  </si>
  <si>
    <t xml:space="preserve">North &amp; South</t>
  </si>
  <si>
    <t xml:space="preserve">British TV Shows, Romantic TV Shows, TV Dramas</t>
  </si>
  <si>
    <t xml:space="preserve">Prelude to War</t>
  </si>
  <si>
    <t xml:space="preserve">Frank Capra</t>
  </si>
  <si>
    <t xml:space="preserve">San Pietro</t>
  </si>
  <si>
    <t xml:space="preserve">32 min</t>
  </si>
  <si>
    <t xml:space="preserve">The Battle of Midway</t>
  </si>
  <si>
    <t xml:space="preserve">John Ford</t>
  </si>
  <si>
    <t xml:space="preserve">18 min</t>
  </si>
  <si>
    <t xml:space="preserve">The Discovery</t>
  </si>
  <si>
    <t xml:space="preserve">The Fear</t>
  </si>
  <si>
    <t xml:space="preserve">Michael Samuels</t>
  </si>
  <si>
    <t xml:space="preserve">The Great Train Robbery</t>
  </si>
  <si>
    <t xml:space="preserve">The Memphis Belle: A Story of a
Flying Fortress</t>
  </si>
  <si>
    <t xml:space="preserve">William Wyler</t>
  </si>
  <si>
    <t xml:space="preserve">The Murder Detectives</t>
  </si>
  <si>
    <t xml:space="preserve">The Negro Soldier</t>
  </si>
  <si>
    <t xml:space="preserve">Stuart Heisler</t>
  </si>
  <si>
    <t xml:space="preserve">Thunderbolt</t>
  </si>
  <si>
    <t xml:space="preserve">William Wyler, John Sturges</t>
  </si>
  <si>
    <t xml:space="preserve">Tunisian Victory</t>
  </si>
  <si>
    <t xml:space="preserve">Frank Capra, John Huston, Hugh Stewart, Roy Boulting, Anthony Veiller</t>
  </si>
  <si>
    <t xml:space="preserve">Undercover: How to Operate Behind Enemy Lines</t>
  </si>
  <si>
    <t xml:space="preserve">Why We Fight: The Battle of Russia</t>
  </si>
  <si>
    <t xml:space="preserve">Frank Capra, Anatole Litvak</t>
  </si>
  <si>
    <t xml:space="preserve">Wild Alaska</t>
  </si>
  <si>
    <t xml:space="preserve">Wild Arabia</t>
  </si>
  <si>
    <t xml:space="preserve">WWII: Report from the Aleutians</t>
  </si>
  <si>
    <t xml:space="preserve">Covered: Alive in Asia</t>
  </si>
  <si>
    <t xml:space="preserve">Micah Bickham, Galley Molina</t>
  </si>
  <si>
    <t xml:space="preserve">March 31, 2016</t>
  </si>
  <si>
    <t xml:space="preserve">Documentaries, Faith &amp; Spirituality, Music &amp; Musicals</t>
  </si>
  <si>
    <t xml:space="preserve">Jack Taylor</t>
  </si>
  <si>
    <t xml:space="preserve">Stuart Orme</t>
  </si>
  <si>
    <t xml:space="preserve">March 31, 2013</t>
  </si>
  <si>
    <t xml:space="preserve">Pablo</t>
  </si>
  <si>
    <t xml:space="preserve">March 30, 2019</t>
  </si>
  <si>
    <t xml:space="preserve">British TV Shows, Kids' TV</t>
  </si>
  <si>
    <t xml:space="preserve">แผนร้ายนายเจ้าเล่ห์</t>
  </si>
  <si>
    <t xml:space="preserve">First Match</t>
  </si>
  <si>
    <t xml:space="preserve">Olivia Newman</t>
  </si>
  <si>
    <t xml:space="preserve">March 30, 2018</t>
  </si>
  <si>
    <t xml:space="preserve">Happy Anniversary</t>
  </si>
  <si>
    <t xml:space="preserve">Jared Stern</t>
  </si>
  <si>
    <t xml:space="preserve">Legend of the Naga Pearls</t>
  </si>
  <si>
    <t xml:space="preserve">Yang Lei</t>
  </si>
  <si>
    <t xml:space="preserve">Rapture</t>
  </si>
  <si>
    <t xml:space="preserve">Sofía Niño de Rivera: Selección Natural</t>
  </si>
  <si>
    <t xml:space="preserve">The Titan</t>
  </si>
  <si>
    <t xml:space="preserve">Lennart Ruff</t>
  </si>
  <si>
    <t xml:space="preserve">United Kingdom, Spain, United States, Germany</t>
  </si>
  <si>
    <t xml:space="preserve">Trailer Park Boys: Countdown to Liquor Day</t>
  </si>
  <si>
    <t xml:space="preserve">Mike Clattenburg</t>
  </si>
  <si>
    <t xml:space="preserve">Trailer Park Boys: The Movie</t>
  </si>
  <si>
    <t xml:space="preserve">Trump: An American Dream</t>
  </si>
  <si>
    <t xml:space="preserve">Backcountry</t>
  </si>
  <si>
    <t xml:space="preserve">Adam MacDonald</t>
  </si>
  <si>
    <t xml:space="preserve">March 30, 2017</t>
  </si>
  <si>
    <t xml:space="preserve">Colkatay Columbus</t>
  </si>
  <si>
    <t xml:space="preserve">Saurav Palodhi</t>
  </si>
  <si>
    <t xml:space="preserve">Officer Downe</t>
  </si>
  <si>
    <t xml:space="preserve">Shawn Crahan</t>
  </si>
  <si>
    <t xml:space="preserve">Exit Strategy</t>
  </si>
  <si>
    <t xml:space="preserve">Michael Whitton</t>
  </si>
  <si>
    <t xml:space="preserve">March 3, 2019</t>
  </si>
  <si>
    <t xml:space="preserve">Middle School: The Worst Years of My Life</t>
  </si>
  <si>
    <t xml:space="preserve">Steve Carr</t>
  </si>
  <si>
    <t xml:space="preserve">United States, Cambodia</t>
  </si>
  <si>
    <t xml:space="preserve">I Am Me!</t>
  </si>
  <si>
    <t xml:space="preserve">March 3, 2017</t>
  </si>
  <si>
    <t xml:space="preserve">International TV Shows, Spanish-Language TV Shows, TV Comedies</t>
  </si>
  <si>
    <t xml:space="preserve">15-Aug</t>
  </si>
  <si>
    <t xml:space="preserve">Swapnaneel Jayakar</t>
  </si>
  <si>
    <t xml:space="preserve">March 29, 2019</t>
  </si>
  <si>
    <t xml:space="preserve">Bayonet</t>
  </si>
  <si>
    <t xml:space="preserve">Kyzza Terrazas</t>
  </si>
  <si>
    <t xml:space="preserve">Mexico, Finland</t>
  </si>
  <si>
    <t xml:space="preserve">Bitter Daisies</t>
  </si>
  <si>
    <t xml:space="preserve">Miguel Conde</t>
  </si>
  <si>
    <t xml:space="preserve">Osmosis</t>
  </si>
  <si>
    <t xml:space="preserve">The Bleeder</t>
  </si>
  <si>
    <t xml:space="preserve">Philippe Falardeau</t>
  </si>
  <si>
    <t xml:space="preserve">The Highwaymen</t>
  </si>
  <si>
    <t xml:space="preserve">John Lee Hancock</t>
  </si>
  <si>
    <t xml:space="preserve">The Legend of Cocaine Island</t>
  </si>
  <si>
    <t xml:space="preserve">Theo Love</t>
  </si>
  <si>
    <t xml:space="preserve">The Terminal</t>
  </si>
  <si>
    <t xml:space="preserve">Traitors</t>
  </si>
  <si>
    <t xml:space="preserve">British TV Shows, International TV Shows, TV Dramas</t>
  </si>
  <si>
    <t xml:space="preserve">Tucker and Dale vs. Evil</t>
  </si>
  <si>
    <t xml:space="preserve">Canada, United States, India, United Kingdom</t>
  </si>
  <si>
    <t xml:space="preserve">Comedies, Horror Movies, Independent Movies</t>
  </si>
  <si>
    <t xml:space="preserve">Wolves</t>
  </si>
  <si>
    <t xml:space="preserve">Bart Freundlich</t>
  </si>
  <si>
    <t xml:space="preserve">All American</t>
  </si>
  <si>
    <t xml:space="preserve">March 28, 2019</t>
  </si>
  <si>
    <t xml:space="preserve">Ollie &amp; Moon</t>
  </si>
  <si>
    <t xml:space="preserve">March 28, 2018</t>
  </si>
  <si>
    <t xml:space="preserve">Jo Koy: Live from Seattle</t>
  </si>
  <si>
    <t xml:space="preserve">March 28, 2017</t>
  </si>
  <si>
    <t xml:space="preserve">Danur: I Can See Ghosts</t>
  </si>
  <si>
    <t xml:space="preserve">Awi Suryadi</t>
  </si>
  <si>
    <t xml:space="preserve">March 27, 2019</t>
  </si>
  <si>
    <t xml:space="preserve">Verses of Love</t>
  </si>
  <si>
    <t xml:space="preserve">Hanung Bramantyo</t>
  </si>
  <si>
    <t xml:space="preserve">Ég man þig</t>
  </si>
  <si>
    <t xml:space="preserve">Óskar Thór Axelsson</t>
  </si>
  <si>
    <t xml:space="preserve">March 27, 2018</t>
  </si>
  <si>
    <t xml:space="preserve">James Acaster: Repertoire</t>
  </si>
  <si>
    <t xml:space="preserve">Dan Lucchesi</t>
  </si>
  <si>
    <t xml:space="preserve">British TV Shows, International TV Shows, Stand-Up Comedy &amp; Talk Shows</t>
  </si>
  <si>
    <t xml:space="preserve">Blood Money</t>
  </si>
  <si>
    <t xml:space="preserve">Vishal Mahadkar</t>
  </si>
  <si>
    <t xml:space="preserve">March 27, 2017</t>
  </si>
  <si>
    <t xml:space="preserve">Nate Bargatze: The Tennessee Kid</t>
  </si>
  <si>
    <t xml:space="preserve">March 26, 2019</t>
  </si>
  <si>
    <t xml:space="preserve">Birdshot</t>
  </si>
  <si>
    <t xml:space="preserve">Mikhail Red</t>
  </si>
  <si>
    <t xml:space="preserve">Philippines, Qatar</t>
  </si>
  <si>
    <t xml:space="preserve">March 26, 2018</t>
  </si>
  <si>
    <t xml:space="preserve">Sei</t>
  </si>
  <si>
    <t xml:space="preserve">Raj Babu</t>
  </si>
  <si>
    <t xml:space="preserve">March 25, 2019</t>
  </si>
  <si>
    <t xml:space="preserve">The Eagle of El-Se'eed</t>
  </si>
  <si>
    <t xml:space="preserve">Kung Fu Panda: Secrets of the Scroll</t>
  </si>
  <si>
    <t xml:space="preserve">Rodolphe Guenoden</t>
  </si>
  <si>
    <t xml:space="preserve">March 25, 2016</t>
  </si>
  <si>
    <t xml:space="preserve">Superlopez</t>
  </si>
  <si>
    <t xml:space="preserve">Javier Ruiz Caldera</t>
  </si>
  <si>
    <t xml:space="preserve">March 24, 2019</t>
  </si>
  <si>
    <t xml:space="preserve">Monster High: Haunted</t>
  </si>
  <si>
    <t xml:space="preserve">Dan Fraga, William Lau</t>
  </si>
  <si>
    <t xml:space="preserve">March 24, 2018</t>
  </si>
  <si>
    <t xml:space="preserve">Red Trees</t>
  </si>
  <si>
    <t xml:space="preserve">Marina Willer</t>
  </si>
  <si>
    <t xml:space="preserve">Felipe Neto: My Life Makes No Sense</t>
  </si>
  <si>
    <t xml:space="preserve">Diego Pignataro</t>
  </si>
  <si>
    <t xml:space="preserve">March 24, 2017</t>
  </si>
  <si>
    <t xml:space="preserve">The C Word</t>
  </si>
  <si>
    <t xml:space="preserve">Meghan O'Hara</t>
  </si>
  <si>
    <t xml:space="preserve">The Most Hated Woman in America</t>
  </si>
  <si>
    <t xml:space="preserve">Tommy O'Haver</t>
  </si>
  <si>
    <t xml:space="preserve">Drugs, Inc.</t>
  </si>
  <si>
    <t xml:space="preserve">March 23, 2019</t>
  </si>
  <si>
    <t xml:space="preserve">I Don't Know How She Does It</t>
  </si>
  <si>
    <t xml:space="preserve">Douglas McGrath</t>
  </si>
  <si>
    <t xml:space="preserve">Oversize Cops</t>
  </si>
  <si>
    <t xml:space="preserve">Chanon Yingyong, Phuwanit Pholdee</t>
  </si>
  <si>
    <t xml:space="preserve">Day and Night</t>
  </si>
  <si>
    <t xml:space="preserve">March 23, 2018</t>
  </si>
  <si>
    <t xml:space="preserve">Game Over, Man!</t>
  </si>
  <si>
    <t xml:space="preserve">Kyle Newacheck</t>
  </si>
  <si>
    <t xml:space="preserve">Layla M.</t>
  </si>
  <si>
    <t xml:space="preserve">Mijke de Jong</t>
  </si>
  <si>
    <t xml:space="preserve">Netherlands, Belgium, Germany, Jordan</t>
  </si>
  <si>
    <t xml:space="preserve">Pablo Escobar: Angel or Demon?</t>
  </si>
  <si>
    <t xml:space="preserve">Jorge Granier</t>
  </si>
  <si>
    <t xml:space="preserve">Venezuela, Colombia</t>
  </si>
  <si>
    <t xml:space="preserve">Paradox</t>
  </si>
  <si>
    <t xml:space="preserve">Daryl Hannah</t>
  </si>
  <si>
    <t xml:space="preserve">Requiem</t>
  </si>
  <si>
    <t xml:space="preserve">Roxanne Roxanne</t>
  </si>
  <si>
    <t xml:space="preserve">Michael Larnell</t>
  </si>
  <si>
    <t xml:space="preserve">Secret Superstar</t>
  </si>
  <si>
    <t xml:space="preserve">Advait Chandan</t>
  </si>
  <si>
    <t xml:space="preserve">Welcome to New York</t>
  </si>
  <si>
    <t xml:space="preserve">Abel Ferrara</t>
  </si>
  <si>
    <t xml:space="preserve">March 23, 2017</t>
  </si>
  <si>
    <t xml:space="preserve">Charlie's Colorforms City</t>
  </si>
  <si>
    <t xml:space="preserve">March 22, 2019</t>
  </si>
  <si>
    <t xml:space="preserve">Crime Diaries: The Candidate</t>
  </si>
  <si>
    <t xml:space="preserve">Delhi Crime</t>
  </si>
  <si>
    <t xml:space="preserve">Mirage</t>
  </si>
  <si>
    <t xml:space="preserve">Oriol Paulo</t>
  </si>
  <si>
    <t xml:space="preserve">Most Beautiful Thing</t>
  </si>
  <si>
    <t xml:space="preserve">ReMastered: The Miami Showband Massacre</t>
  </si>
  <si>
    <t xml:space="preserve">Stuart Sender</t>
  </si>
  <si>
    <t xml:space="preserve">Selling Sunset</t>
  </si>
  <si>
    <t xml:space="preserve">The 10 Sins</t>
  </si>
  <si>
    <t xml:space="preserve">The Dirt</t>
  </si>
  <si>
    <t xml:space="preserve">Jeff Tremaine</t>
  </si>
  <si>
    <t xml:space="preserve">Comedies, Dramas, Music &amp; Musicals</t>
  </si>
  <si>
    <t xml:space="preserve">The Rolling Stones: Olé Olé Olé! A Trip Across Latin America</t>
  </si>
  <si>
    <t xml:space="preserve">Paul Dugdale</t>
  </si>
  <si>
    <t xml:space="preserve">Antoine Griezmann: The Making of a Legend</t>
  </si>
  <si>
    <t xml:space="preserve">March 21, 2019</t>
  </si>
  <si>
    <t xml:space="preserve">Bo on the Go!</t>
  </si>
  <si>
    <t xml:space="preserve">Stay Tuned!</t>
  </si>
  <si>
    <t xml:space="preserve">The Amazing Praybeyt Benjamin</t>
  </si>
  <si>
    <t xml:space="preserve">The Super Parental Guardians</t>
  </si>
  <si>
    <t xml:space="preserve">Joyce Bernal</t>
  </si>
  <si>
    <t xml:space="preserve">The Third Party</t>
  </si>
  <si>
    <t xml:space="preserve">Jason Paul Laxamana</t>
  </si>
  <si>
    <t xml:space="preserve">The Unmarried Wife</t>
  </si>
  <si>
    <t xml:space="preserve">Maryo J. De los Reyes</t>
  </si>
  <si>
    <t xml:space="preserve">The Wedding Curse</t>
  </si>
  <si>
    <t xml:space="preserve">Vince and Kath and James</t>
  </si>
  <si>
    <t xml:space="preserve">Theodore Boborol</t>
  </si>
  <si>
    <t xml:space="preserve">Conor McGregor: Notorious</t>
  </si>
  <si>
    <t xml:space="preserve">Gavin Fitzgerald</t>
  </si>
  <si>
    <t xml:space="preserve">March 21, 2018</t>
  </si>
  <si>
    <t xml:space="preserve">Another Forever</t>
  </si>
  <si>
    <t xml:space="preserve">Juan Zapata</t>
  </si>
  <si>
    <t xml:space="preserve">Brazil, Netherlands, United States, Colombia, Austria, Germany</t>
  </si>
  <si>
    <t xml:space="preserve">March 21, 2017</t>
  </si>
  <si>
    <t xml:space="preserve">Dave Chappelle</t>
  </si>
  <si>
    <t xml:space="preserve">Fire at Sea</t>
  </si>
  <si>
    <t xml:space="preserve">Gianfranco Rosi</t>
  </si>
  <si>
    <t xml:space="preserve">Sacro GRA</t>
  </si>
  <si>
    <t xml:space="preserve">A.X.L.</t>
  </si>
  <si>
    <t xml:space="preserve">Oliver Daly</t>
  </si>
  <si>
    <t xml:space="preserve">March 20, 2019</t>
  </si>
  <si>
    <t xml:space="preserve">Action &amp; Adventure, Children &amp; Family Movies, Independent Movies</t>
  </si>
  <si>
    <t xml:space="preserve">Alexis Viera: A Story of Surviving</t>
  </si>
  <si>
    <t xml:space="preserve">Feb-09</t>
  </si>
  <si>
    <t xml:space="preserve">Imago</t>
  </si>
  <si>
    <t xml:space="preserve">Karan Shivajirao Chavan, Vikram Tanajirao Patil</t>
  </si>
  <si>
    <t xml:space="preserve">My Husband Won't Fit</t>
  </si>
  <si>
    <t xml:space="preserve">100 Years: One Woman's Fight for Justice</t>
  </si>
  <si>
    <t xml:space="preserve">Melinda Janko</t>
  </si>
  <si>
    <t xml:space="preserve">March 20, 2018</t>
  </si>
  <si>
    <t xml:space="preserve">Juana Brava</t>
  </si>
  <si>
    <t xml:space="preserve">March 20, 2017</t>
  </si>
  <si>
    <t xml:space="preserve">One-Punch Man</t>
  </si>
  <si>
    <t xml:space="preserve">Contract</t>
  </si>
  <si>
    <t xml:space="preserve">March 2, 2019</t>
  </si>
  <si>
    <t xml:space="preserve">Dear Dad</t>
  </si>
  <si>
    <t xml:space="preserve">Tanuj Bhramar</t>
  </si>
  <si>
    <t xml:space="preserve">River's Edge</t>
  </si>
  <si>
    <t xml:space="preserve">Isao Yukisada</t>
  </si>
  <si>
    <t xml:space="preserve">Sarkar</t>
  </si>
  <si>
    <t xml:space="preserve">A.R. Murugadoss</t>
  </si>
  <si>
    <t xml:space="preserve">Saving Mr. Banks</t>
  </si>
  <si>
    <t xml:space="preserve">The Guild</t>
  </si>
  <si>
    <t xml:space="preserve">Wakefield</t>
  </si>
  <si>
    <t xml:space="preserve">War Chhod Na Yaar</t>
  </si>
  <si>
    <t xml:space="preserve">Faraz Haider</t>
  </si>
  <si>
    <t xml:space="preserve">Weapon of Choice</t>
  </si>
  <si>
    <t xml:space="preserve">Fritz Ofner</t>
  </si>
  <si>
    <t xml:space="preserve">Austria, Iraq, United States</t>
  </si>
  <si>
    <t xml:space="preserve">Zubaan</t>
  </si>
  <si>
    <t xml:space="preserve">Mozez Singh</t>
  </si>
  <si>
    <t xml:space="preserve">B: The Beginning</t>
  </si>
  <si>
    <t xml:space="preserve">March 2, 2018</t>
  </si>
  <si>
    <t xml:space="preserve">Flint Town</t>
  </si>
  <si>
    <t xml:space="preserve">Malena Pichot: Estupidez compleja</t>
  </si>
  <si>
    <t xml:space="preserve">Natalia Valdebenito: El especial</t>
  </si>
  <si>
    <t xml:space="preserve">Ravenous</t>
  </si>
  <si>
    <t xml:space="preserve">Robin Aubert</t>
  </si>
  <si>
    <t xml:space="preserve">Danny Says</t>
  </si>
  <si>
    <t xml:space="preserve">Brendan Toller</t>
  </si>
  <si>
    <t xml:space="preserve">March 2, 2017</t>
  </si>
  <si>
    <t xml:space="preserve">The Salvation</t>
  </si>
  <si>
    <t xml:space="preserve">Kristian Levring</t>
  </si>
  <si>
    <t xml:space="preserve">Denmark, United Kingdom, South Africa, Sweden, Belgium</t>
  </si>
  <si>
    <t xml:space="preserve">For Grace</t>
  </si>
  <si>
    <t xml:space="preserve">Mark Helenowski, Kevin Pang</t>
  </si>
  <si>
    <t xml:space="preserve">March 2, 2016</t>
  </si>
  <si>
    <t xml:space="preserve">Amy Schumer Growing</t>
  </si>
  <si>
    <t xml:space="preserve">March 19, 2019</t>
  </si>
  <si>
    <t xml:space="preserve">Social Animals</t>
  </si>
  <si>
    <t xml:space="preserve">Jonathan Ignatius Green</t>
  </si>
  <si>
    <t xml:space="preserve">Tinker'</t>
  </si>
  <si>
    <t xml:space="preserve">Sonny Marler</t>
  </si>
  <si>
    <t xml:space="preserve">In Search of Fellini</t>
  </si>
  <si>
    <t xml:space="preserve">Taron Lexton</t>
  </si>
  <si>
    <t xml:space="preserve">March 19, 2018</t>
  </si>
  <si>
    <t xml:space="preserve">Monkey Up</t>
  </si>
  <si>
    <t xml:space="preserve">March 19, 2016</t>
  </si>
  <si>
    <t xml:space="preserve">All About Nina</t>
  </si>
  <si>
    <t xml:space="preserve">Eva Vives</t>
  </si>
  <si>
    <t xml:space="preserve">March 18, 2019</t>
  </si>
  <si>
    <t xml:space="preserve">Best Worst Thing That Ever Could Have Happened</t>
  </si>
  <si>
    <t xml:space="preserve">Lonny Price</t>
  </si>
  <si>
    <t xml:space="preserve">March 18, 2017</t>
  </si>
  <si>
    <t xml:space="preserve">Train to Busan</t>
  </si>
  <si>
    <t xml:space="preserve">Sang-ho Yeon</t>
  </si>
  <si>
    <t xml:space="preserve">He Never Died</t>
  </si>
  <si>
    <t xml:space="preserve">Jason Krawczyk</t>
  </si>
  <si>
    <t xml:space="preserve">March 18, 2016</t>
  </si>
  <si>
    <t xml:space="preserve">Jimmy Carr: Funny Business</t>
  </si>
  <si>
    <t xml:space="preserve">Sam Wrench</t>
  </si>
  <si>
    <t xml:space="preserve">My Beautiful Broken Brain</t>
  </si>
  <si>
    <t xml:space="preserve">Sophie Robinson, Lotje Sodderland</t>
  </si>
  <si>
    <t xml:space="preserve">Pee-wee's Big Holiday</t>
  </si>
  <si>
    <t xml:space="preserve">John Lee</t>
  </si>
  <si>
    <t xml:space="preserve">Children &amp; Family Movies, Comedies, Cult Movies</t>
  </si>
  <si>
    <t xml:space="preserve">5 Flights Up</t>
  </si>
  <si>
    <t xml:space="preserve">Richard Loncraine</t>
  </si>
  <si>
    <t xml:space="preserve">March 17, 2019</t>
  </si>
  <si>
    <t xml:space="preserve">Green Door</t>
  </si>
  <si>
    <t xml:space="preserve">Deidra &amp; Laney Rob a Train</t>
  </si>
  <si>
    <t xml:space="preserve">Sydney Freeland</t>
  </si>
  <si>
    <t xml:space="preserve">March 17, 2017</t>
  </si>
  <si>
    <t xml:space="preserve">Julie's Greenroom</t>
  </si>
  <si>
    <t xml:space="preserve">Naledi: A Baby Elephant's Tale</t>
  </si>
  <si>
    <t xml:space="preserve">Ben Bowie, Geoff Luck</t>
  </si>
  <si>
    <t xml:space="preserve">United States, Botswana</t>
  </si>
  <si>
    <t xml:space="preserve">Pandora</t>
  </si>
  <si>
    <t xml:space="preserve">Jung-woo Park</t>
  </si>
  <si>
    <t xml:space="preserve">Samurai Gourmet</t>
  </si>
  <si>
    <t xml:space="preserve">A Separation</t>
  </si>
  <si>
    <t xml:space="preserve">Asghar Farhadi</t>
  </si>
  <si>
    <t xml:space="preserve">Iran, France</t>
  </si>
  <si>
    <t xml:space="preserve">March 16, 2019</t>
  </si>
  <si>
    <t xml:space="preserve">Brandon Camp</t>
  </si>
  <si>
    <t xml:space="preserve">United Arab Emirates, United States</t>
  </si>
  <si>
    <t xml:space="preserve">March 16, 2018</t>
  </si>
  <si>
    <t xml:space="preserve">Edha</t>
  </si>
  <si>
    <t xml:space="preserve">Take Your Pills</t>
  </si>
  <si>
    <t xml:space="preserve">Alison Klayman</t>
  </si>
  <si>
    <t xml:space="preserve">Wild Wild Country</t>
  </si>
  <si>
    <t xml:space="preserve">Yoo Byung Jae: Too Much Information</t>
  </si>
  <si>
    <t xml:space="preserve">Yoo Byung-jae</t>
  </si>
  <si>
    <t xml:space="preserve">5 to 7</t>
  </si>
  <si>
    <t xml:space="preserve">Victor Levin</t>
  </si>
  <si>
    <t xml:space="preserve">March 16, 2017</t>
  </si>
  <si>
    <t xml:space="preserve">Coraline</t>
  </si>
  <si>
    <t xml:space="preserve">Henry Selick</t>
  </si>
  <si>
    <t xml:space="preserve">Hotel Beau Séjour</t>
  </si>
  <si>
    <t xml:space="preserve">Belgium</t>
  </si>
  <si>
    <t xml:space="preserve">Howards End</t>
  </si>
  <si>
    <t xml:space="preserve">James Ivory</t>
  </si>
  <si>
    <t xml:space="preserve">United Kingdom, Japan, United States</t>
  </si>
  <si>
    <t xml:space="preserve">The Hollow Point</t>
  </si>
  <si>
    <t xml:space="preserve">The Riot Club</t>
  </si>
  <si>
    <t xml:space="preserve">Lone Scherfig</t>
  </si>
  <si>
    <t xml:space="preserve">Chicken Little</t>
  </si>
  <si>
    <t xml:space="preserve">Mark Dindal</t>
  </si>
  <si>
    <t xml:space="preserve">March 16, 2016</t>
  </si>
  <si>
    <t xml:space="preserve">Bombairiya</t>
  </si>
  <si>
    <t xml:space="preserve">Pia Sukanya</t>
  </si>
  <si>
    <t xml:space="preserve">United Arab Emirates, United Kingdom, India</t>
  </si>
  <si>
    <t xml:space="preserve">March 15, 2019</t>
  </si>
  <si>
    <t xml:space="preserve">Burn Out</t>
  </si>
  <si>
    <t xml:space="preserve">Yann Gozlan</t>
  </si>
  <si>
    <t xml:space="preserve">Chief Daddy</t>
  </si>
  <si>
    <t xml:space="preserve">Edoardo Ferrario: Temi Caldi</t>
  </si>
  <si>
    <t xml:space="preserve">G-Force</t>
  </si>
  <si>
    <t xml:space="preserve">Hoyt Yeatman</t>
  </si>
  <si>
    <t xml:space="preserve">Girl</t>
  </si>
  <si>
    <t xml:space="preserve">Lukas Dhont</t>
  </si>
  <si>
    <t xml:space="preserve">If I Hadn't Met You</t>
  </si>
  <si>
    <t xml:space="preserve">Jeff Dunham: Arguing with Myself</t>
  </si>
  <si>
    <t xml:space="preserve">Jeff Dunham: Controlled Chaos</t>
  </si>
  <si>
    <t xml:space="preserve">Michael Simon, Matthew McNeil</t>
  </si>
  <si>
    <t xml:space="preserve">Jeff Dunham: Minding the Monsters</t>
  </si>
  <si>
    <t xml:space="preserve">Jeff Dunham's Very Special Christmas Special</t>
  </si>
  <si>
    <t xml:space="preserve">Kung Fu Hustle</t>
  </si>
  <si>
    <t xml:space="preserve">Stephen Chow</t>
  </si>
  <si>
    <t xml:space="preserve">Late Life: The Chien-Ming Wang Story</t>
  </si>
  <si>
    <t xml:space="preserve">Frank W Chen</t>
  </si>
  <si>
    <t xml:space="preserve">United States, Taiwan</t>
  </si>
  <si>
    <t xml:space="preserve">Love, Death &amp; Robots</t>
  </si>
  <si>
    <t xml:space="preserve">TV Action &amp; Adventure, TV Horror, TV Sci-Fi &amp; Fantasy</t>
  </si>
  <si>
    <t xml:space="preserve">My Pride</t>
  </si>
  <si>
    <t xml:space="preserve">Paskal</t>
  </si>
  <si>
    <t xml:space="preserve">Adrian Teh</t>
  </si>
  <si>
    <t xml:space="preserve">The Disappearance of Madeleine McCann</t>
  </si>
  <si>
    <t xml:space="preserve">The Lives of Others</t>
  </si>
  <si>
    <t xml:space="preserve">Florian Henckel von Donnersmarck</t>
  </si>
  <si>
    <t xml:space="preserve">The Student</t>
  </si>
  <si>
    <t xml:space="preserve">Steven R. Monroe</t>
  </si>
  <si>
    <t xml:space="preserve">Top 10 Secrets and Mysteries</t>
  </si>
  <si>
    <t xml:space="preserve">United Kingdom, United States, Czech Republic</t>
  </si>
  <si>
    <t xml:space="preserve">Turn Up Charlie</t>
  </si>
  <si>
    <t xml:space="preserve">Twinsanity</t>
  </si>
  <si>
    <t xml:space="preserve">Buz Wallick</t>
  </si>
  <si>
    <t xml:space="preserve">Bilu Rakkhosh</t>
  </si>
  <si>
    <t xml:space="preserve">Indrasis Acharya</t>
  </si>
  <si>
    <t xml:space="preserve">March 15, 2018</t>
  </si>
  <si>
    <t xml:space="preserve">Chal Dhar Pakad</t>
  </si>
  <si>
    <t xml:space="preserve">Aatmaram Dharne</t>
  </si>
  <si>
    <t xml:space="preserve">Ek Cup Chya</t>
  </si>
  <si>
    <t xml:space="preserve">Sumitra Bhave, Sunil Sukthankar</t>
  </si>
  <si>
    <t xml:space="preserve">Haapus</t>
  </si>
  <si>
    <t xml:space="preserve">In This Corner of the World</t>
  </si>
  <si>
    <t xml:space="preserve">Sunao Katabuchi</t>
  </si>
  <si>
    <t xml:space="preserve">Anime Features, Children &amp; Family Movies, International Movies</t>
  </si>
  <si>
    <t xml:space="preserve">Irada Pakka</t>
  </si>
  <si>
    <t xml:space="preserve">Kedar Shinde</t>
  </si>
  <si>
    <t xml:space="preserve">Jag älskar dig: En skilsmässokomedi</t>
  </si>
  <si>
    <t xml:space="preserve">Johan Brisinger</t>
  </si>
  <si>
    <t xml:space="preserve">Sweden</t>
  </si>
  <si>
    <t xml:space="preserve">Khotey Sikkey</t>
  </si>
  <si>
    <t xml:space="preserve">Kills on Wheels</t>
  </si>
  <si>
    <t xml:space="preserve">Attila Till</t>
  </si>
  <si>
    <t xml:space="preserve">Hungary</t>
  </si>
  <si>
    <t xml:space="preserve">Lalbaug Parel: Zali Mumbai Sonyachi</t>
  </si>
  <si>
    <t xml:space="preserve">Mahesh Manjrekar</t>
  </si>
  <si>
    <t xml:space="preserve">Little Lunch: The Halloween Horror Story</t>
  </si>
  <si>
    <t xml:space="preserve">Tim Bartley</t>
  </si>
  <si>
    <t xml:space="preserve">Little Lunch: The Nightmare Before Graduation</t>
  </si>
  <si>
    <t xml:space="preserve">Robyn Butler</t>
  </si>
  <si>
    <t xml:space="preserve">Mango Dreams</t>
  </si>
  <si>
    <t xml:space="preserve">John Upchurch</t>
  </si>
  <si>
    <t xml:space="preserve">Martyrs of Marriage</t>
  </si>
  <si>
    <t xml:space="preserve">Deepika Narayan Bhardwaj</t>
  </si>
  <si>
    <t xml:space="preserve">Mystery Science Theater 3000</t>
  </si>
  <si>
    <t xml:space="preserve">TV Comedies, TV Sci-Fi &amp; Fantasy</t>
  </si>
  <si>
    <t xml:space="preserve">Pizza, birra, faso</t>
  </si>
  <si>
    <t xml:space="preserve">Israel Adrián Caetano, Bruno Stagnaro</t>
  </si>
  <si>
    <t xml:space="preserve">Ranbhool</t>
  </si>
  <si>
    <t xml:space="preserve">Girish Joshi</t>
  </si>
  <si>
    <t xml:space="preserve">Rishta.com</t>
  </si>
  <si>
    <t xml:space="preserve">Satrangi Re</t>
  </si>
  <si>
    <t xml:space="preserve">Aditya Sarpotdar</t>
  </si>
  <si>
    <t xml:space="preserve">Secret of the Nile</t>
  </si>
  <si>
    <t xml:space="preserve">Sthaniya Sambaad</t>
  </si>
  <si>
    <t xml:space="preserve">Arjun Gourisaria, Moinak Biswas</t>
  </si>
  <si>
    <t xml:space="preserve">Tabula Rasa</t>
  </si>
  <si>
    <t xml:space="preserve">The Art of Loving</t>
  </si>
  <si>
    <t xml:space="preserve">Maria Sadowska</t>
  </si>
  <si>
    <t xml:space="preserve">Asoka</t>
  </si>
  <si>
    <t xml:space="preserve">Santosh Sivan</t>
  </si>
  <si>
    <t xml:space="preserve">March 15, 2017</t>
  </si>
  <si>
    <t xml:space="preserve">Bon Cop, Bad Cop</t>
  </si>
  <si>
    <t xml:space="preserve">Les Bleus - Une autre histoire de France, 1996-2016</t>
  </si>
  <si>
    <t xml:space="preserve">Pascal Blanchard, Sonia Dauger, David Dietz</t>
  </si>
  <si>
    <t xml:space="preserve">Namour</t>
  </si>
  <si>
    <t xml:space="preserve">Heidi Saman</t>
  </si>
  <si>
    <t xml:space="preserve">Notes on Blindness</t>
  </si>
  <si>
    <t xml:space="preserve">Peter Middleton, James Spinney</t>
  </si>
  <si>
    <t xml:space="preserve">Documentaries, Dramas, International Movies</t>
  </si>
  <si>
    <t xml:space="preserve">One 2 Ka 4</t>
  </si>
  <si>
    <t xml:space="preserve">Shashilal K. Nair</t>
  </si>
  <si>
    <t xml:space="preserve">Ottaal</t>
  </si>
  <si>
    <t xml:space="preserve">Jayaraj Rajasekharan Nair</t>
  </si>
  <si>
    <t xml:space="preserve">Sunrise</t>
  </si>
  <si>
    <t xml:space="preserve">Partho Sen-Gupta</t>
  </si>
  <si>
    <t xml:space="preserve">India, France</t>
  </si>
  <si>
    <t xml:space="preserve">Marvel &amp; ESPN Films Present: 1 of 1: Genesis</t>
  </si>
  <si>
    <t xml:space="preserve">Eric Drath</t>
  </si>
  <si>
    <t xml:space="preserve">March 15, 2015</t>
  </si>
  <si>
    <t xml:space="preserve">Oscar's Oasis</t>
  </si>
  <si>
    <t xml:space="preserve">12 ROUND GUN</t>
  </si>
  <si>
    <t xml:space="preserve">Sam Upton</t>
  </si>
  <si>
    <t xml:space="preserve">March 14, 2019</t>
  </si>
  <si>
    <t xml:space="preserve">A Love Story</t>
  </si>
  <si>
    <t xml:space="preserve">Barcelona: A Love Untold</t>
  </si>
  <si>
    <t xml:space="preserve">Everything About Her</t>
  </si>
  <si>
    <t xml:space="preserve">Finally Found Someone</t>
  </si>
  <si>
    <t xml:space="preserve">Seven Sundays</t>
  </si>
  <si>
    <t xml:space="preserve">Cathy Garcia-Molina</t>
  </si>
  <si>
    <t xml:space="preserve">Steel Rain</t>
  </si>
  <si>
    <t xml:space="preserve">Yang Woo-seok</t>
  </si>
  <si>
    <t xml:space="preserve">March 14, 2018</t>
  </si>
  <si>
    <t xml:space="preserve">Angry Indian Goddesses</t>
  </si>
  <si>
    <t xml:space="preserve">Pan Nalin</t>
  </si>
  <si>
    <t xml:space="preserve">India, Germany</t>
  </si>
  <si>
    <t xml:space="preserve">March 14, 2017</t>
  </si>
  <si>
    <t xml:space="preserve">Cheer Squad</t>
  </si>
  <si>
    <t xml:space="preserve">Reality TV, Teen TV Shows</t>
  </si>
  <si>
    <t xml:space="preserve">Jim Norton: Mouthful of Shame</t>
  </si>
  <si>
    <t xml:space="preserve">Ken Burns: The West</t>
  </si>
  <si>
    <t xml:space="preserve">More to Say</t>
  </si>
  <si>
    <t xml:space="preserve">March 13, 2019</t>
  </si>
  <si>
    <t xml:space="preserve">The Land of Hypocrisy</t>
  </si>
  <si>
    <t xml:space="preserve">Triple Frontier</t>
  </si>
  <si>
    <t xml:space="preserve">J.C. Chandor</t>
  </si>
  <si>
    <t xml:space="preserve">Children of the Whales</t>
  </si>
  <si>
    <t xml:space="preserve">March 13, 2018</t>
  </si>
  <si>
    <t xml:space="preserve">Ricky Gervais: Humanity</t>
  </si>
  <si>
    <t xml:space="preserve">John L. Spencer</t>
  </si>
  <si>
    <t xml:space="preserve">Stretch Armstrong: The Breakout</t>
  </si>
  <si>
    <t xml:space="preserve">Victor Cook</t>
  </si>
  <si>
    <t xml:space="preserve">A Man Called God</t>
  </si>
  <si>
    <t xml:space="preserve">March 12, 2019</t>
  </si>
  <si>
    <t xml:space="preserve">Cain and Abel</t>
  </si>
  <si>
    <t xml:space="preserve">Jimmy Carr: The Best of Ultimate Gold Greatest Hits</t>
  </si>
  <si>
    <t xml:space="preserve">Kygo: Live at the Hollywood Bowl</t>
  </si>
  <si>
    <t xml:space="preserve">Devin Chanda</t>
  </si>
  <si>
    <t xml:space="preserve">March 12, 2018</t>
  </si>
  <si>
    <t xml:space="preserve">Troy: The Odyssey</t>
  </si>
  <si>
    <t xml:space="preserve">Tekin Girgin</t>
  </si>
  <si>
    <t xml:space="preserve">Eugenie Nights</t>
  </si>
  <si>
    <t xml:space="preserve">March 11, 2019</t>
  </si>
  <si>
    <t xml:space="preserve">This Evening</t>
  </si>
  <si>
    <t xml:space="preserve">Bad Match</t>
  </si>
  <si>
    <t xml:space="preserve">David Chirchirillo</t>
  </si>
  <si>
    <t xml:space="preserve">March 11, 2018</t>
  </si>
  <si>
    <t xml:space="preserve">Bitch</t>
  </si>
  <si>
    <t xml:space="preserve">Marianna Palka</t>
  </si>
  <si>
    <t xml:space="preserve">Netflix Presents: The Characters</t>
  </si>
  <si>
    <t xml:space="preserve">March 11, 2016</t>
  </si>
  <si>
    <t xml:space="preserve">Nails</t>
  </si>
  <si>
    <t xml:space="preserve">Dennis Bartok</t>
  </si>
  <si>
    <t xml:space="preserve">March 10, 2018</t>
  </si>
  <si>
    <t xml:space="preserve">Septiembre, un llanto en silencio</t>
  </si>
  <si>
    <t xml:space="preserve">Kenneth Müller</t>
  </si>
  <si>
    <t xml:space="preserve">Guatemala</t>
  </si>
  <si>
    <t xml:space="preserve">100 Meters</t>
  </si>
  <si>
    <t xml:space="preserve">Marcel Barrena</t>
  </si>
  <si>
    <t xml:space="preserve">Portugal, Spain</t>
  </si>
  <si>
    <t xml:space="preserve">March 10, 2017</t>
  </si>
  <si>
    <t xml:space="preserve">Bana Masal Anlatma</t>
  </si>
  <si>
    <t xml:space="preserve">Burak Aksak</t>
  </si>
  <si>
    <t xml:space="preserve">Berlin Kaplani</t>
  </si>
  <si>
    <t xml:space="preserve">Buddy Thunderstruck</t>
  </si>
  <si>
    <t xml:space="preserve">Burning Sands</t>
  </si>
  <si>
    <t xml:space="preserve">Gerard McMurray</t>
  </si>
  <si>
    <t xml:space="preserve">Çarsi Pazar</t>
  </si>
  <si>
    <t xml:space="preserve">Muharrem Gülmez</t>
  </si>
  <si>
    <t xml:space="preserve">Çok Filim Hareketler Bunlar</t>
  </si>
  <si>
    <t xml:space="preserve">Dedemin Fisi</t>
  </si>
  <si>
    <t xml:space="preserve">Meltem Bozoflu</t>
  </si>
  <si>
    <t xml:space="preserve">Deliha</t>
  </si>
  <si>
    <t xml:space="preserve">Düğün Dernek</t>
  </si>
  <si>
    <t xml:space="preserve">Selçuk Aydemir, Birkan Pusa</t>
  </si>
  <si>
    <t xml:space="preserve">Dügün Dernek 2: Sünnet</t>
  </si>
  <si>
    <t xml:space="preserve">Selçuk Aydemir</t>
  </si>
  <si>
    <t xml:space="preserve">Eyyvah Eyyvah</t>
  </si>
  <si>
    <t xml:space="preserve">Eyyvah Eyyvah 2</t>
  </si>
  <si>
    <t xml:space="preserve">Eyyvah Eyyvah 3</t>
  </si>
  <si>
    <t xml:space="preserve">G.O.R.A</t>
  </si>
  <si>
    <t xml:space="preserve">Ömer Faruk Sorak</t>
  </si>
  <si>
    <t xml:space="preserve">Hayat Öpücügü</t>
  </si>
  <si>
    <t xml:space="preserve">Hokkabaz</t>
  </si>
  <si>
    <t xml:space="preserve">Ali Taner Baltacı, Cem Yılmaz</t>
  </si>
  <si>
    <t xml:space="preserve">Hükümet Kadin</t>
  </si>
  <si>
    <t xml:space="preserve">Sermiyan Midyat</t>
  </si>
  <si>
    <t xml:space="preserve">Hükümet Kadin 2</t>
  </si>
  <si>
    <t xml:space="preserve">Incir Receli 2</t>
  </si>
  <si>
    <t xml:space="preserve">Aytaç Ağırlar</t>
  </si>
  <si>
    <t xml:space="preserve">Kara Bela</t>
  </si>
  <si>
    <t xml:space="preserve">Kocan Kadar Konus</t>
  </si>
  <si>
    <t xml:space="preserve">Kocan Kadar Konus 2: Dirilis</t>
  </si>
  <si>
    <t xml:space="preserve">Kurtulus Son Durak</t>
  </si>
  <si>
    <t xml:space="preserve">Yusuf Pirhasan</t>
  </si>
  <si>
    <t xml:space="preserve">Mucize</t>
  </si>
  <si>
    <t xml:space="preserve">Niyazi Gül Dörtnala</t>
  </si>
  <si>
    <t xml:space="preserve">One More Time</t>
  </si>
  <si>
    <t xml:space="preserve">Patron Mutlu Son Istiyor</t>
  </si>
  <si>
    <t xml:space="preserve">Refugee</t>
  </si>
  <si>
    <t xml:space="preserve">Clementine Malpas, Leslie Knott</t>
  </si>
  <si>
    <t xml:space="preserve">Romantik Komedi</t>
  </si>
  <si>
    <t xml:space="preserve">Ketche</t>
  </si>
  <si>
    <t xml:space="preserve">Romantik Komedi 2: Bekarlığa Veda</t>
  </si>
  <si>
    <t xml:space="preserve">Erol Özlevi</t>
  </si>
  <si>
    <t xml:space="preserve">Sadece Sen</t>
  </si>
  <si>
    <t xml:space="preserve">Hakan Yonat</t>
  </si>
  <si>
    <t xml:space="preserve">Sen Kimsin?</t>
  </si>
  <si>
    <t xml:space="preserve">The Boss's Daughter</t>
  </si>
  <si>
    <t xml:space="preserve">Olivier Loustau</t>
  </si>
  <si>
    <t xml:space="preserve">The Butterfly's Dream</t>
  </si>
  <si>
    <t xml:space="preserve">Vizontele</t>
  </si>
  <si>
    <t xml:space="preserve">Yılmaz Erdoğan, Ömer Faruk Sorak</t>
  </si>
  <si>
    <t xml:space="preserve">Vizontele Tuuba</t>
  </si>
  <si>
    <t xml:space="preserve">2,215</t>
  </si>
  <si>
    <t xml:space="preserve">Nottapon Boonprakob</t>
  </si>
  <si>
    <t xml:space="preserve">March 1, 2019</t>
  </si>
  <si>
    <t xml:space="preserve">An Interview with God</t>
  </si>
  <si>
    <t xml:space="preserve">Perry Lang</t>
  </si>
  <si>
    <t xml:space="preserve">BNK48: Girls Don't Cry</t>
  </si>
  <si>
    <t xml:space="preserve">Nawapol Thamrongrattanarit</t>
  </si>
  <si>
    <t xml:space="preserve">Budapest</t>
  </si>
  <si>
    <t xml:space="preserve">Xavier Gens</t>
  </si>
  <si>
    <t xml:space="preserve">Christmas in the Smokies</t>
  </si>
  <si>
    <t xml:space="preserve">Gary Wheeler</t>
  </si>
  <si>
    <t xml:space="preserve">Cricket Fever: Mumbai Indians</t>
  </si>
  <si>
    <t xml:space="preserve">Crouching Tiger, Hidden Dragon</t>
  </si>
  <si>
    <t xml:space="preserve">Ang Lee</t>
  </si>
  <si>
    <t xml:space="preserve">Taiwan, Hong Kong, United States, China</t>
  </si>
  <si>
    <t xml:space="preserve">Dead in a Week (Or Your Money Back)</t>
  </si>
  <si>
    <t xml:space="preserve">Tom Edmunds</t>
  </si>
  <si>
    <t xml:space="preserve">Doomsday Preppers</t>
  </si>
  <si>
    <t xml:space="preserve">Reality TV, Science &amp; Nature TV</t>
  </si>
  <si>
    <t xml:space="preserve">Haunting on Fraternity Row</t>
  </si>
  <si>
    <t xml:space="preserve">Brant Sersen</t>
  </si>
  <si>
    <t xml:space="preserve">Hulk Vs.</t>
  </si>
  <si>
    <t xml:space="preserve">Sam Liu, Frank Paur</t>
  </si>
  <si>
    <t xml:space="preserve">Junebug</t>
  </si>
  <si>
    <t xml:space="preserve">Phil Morrison</t>
  </si>
  <si>
    <t xml:space="preserve">Kilo Two Bravo</t>
  </si>
  <si>
    <t xml:space="preserve">Paul Katis</t>
  </si>
  <si>
    <t xml:space="preserve">Layer Cake</t>
  </si>
  <si>
    <t xml:space="preserve">Matthew Vaughn</t>
  </si>
  <si>
    <t xml:space="preserve">Losers</t>
  </si>
  <si>
    <t xml:space="preserve">Northern Rescue</t>
  </si>
  <si>
    <t xml:space="preserve">Pants on Fire</t>
  </si>
  <si>
    <t xml:space="preserve">Jonathan A. Rosenbaum</t>
  </si>
  <si>
    <t xml:space="preserve">Paranormal Investigation</t>
  </si>
  <si>
    <t xml:space="preserve">Franck Phelizon</t>
  </si>
  <si>
    <t xml:space="preserve">Radio Rebel</t>
  </si>
  <si>
    <t xml:space="preserve">Peter Howitt</t>
  </si>
  <si>
    <t xml:space="preserve">Room for Rent</t>
  </si>
  <si>
    <t xml:space="preserve">Matthew Atkinson</t>
  </si>
  <si>
    <t xml:space="preserve">Sarvam Thaala Mayam (Tamil Version)</t>
  </si>
  <si>
    <t xml:space="preserve">Rajiv Menon</t>
  </si>
  <si>
    <t xml:space="preserve">The Boy Who Harnessed the Wind</t>
  </si>
  <si>
    <t xml:space="preserve">Chiwetel Ejiofor</t>
  </si>
  <si>
    <t xml:space="preserve">United Kingdom, Malawi</t>
  </si>
  <si>
    <t xml:space="preserve">Children &amp; Family Movies, Dramas, Independent Movies</t>
  </si>
  <si>
    <t xml:space="preserve">The Christmas Project</t>
  </si>
  <si>
    <t xml:space="preserve">Michael Buster</t>
  </si>
  <si>
    <t xml:space="preserve">The Incredible Story of the Giant Pear</t>
  </si>
  <si>
    <t xml:space="preserve">Philip Einstein Lipski, Jørgen Lerdam, Amalie Næsby Fick</t>
  </si>
  <si>
    <t xml:space="preserve">The Last Runway</t>
  </si>
  <si>
    <t xml:space="preserve">Rodrigo Salomón, Pietro Scappini</t>
  </si>
  <si>
    <t xml:space="preserve">Paraguay, Argentina</t>
  </si>
  <si>
    <t xml:space="preserve">The Spiderwick Chronicles</t>
  </si>
  <si>
    <t xml:space="preserve">Mark Waters</t>
  </si>
  <si>
    <t xml:space="preserve">ThirTEEN Terrors</t>
  </si>
  <si>
    <t xml:space="preserve">Tyson</t>
  </si>
  <si>
    <t xml:space="preserve">James Toback</t>
  </si>
  <si>
    <t xml:space="preserve">Wet Hot American Summer</t>
  </si>
  <si>
    <t xml:space="preserve">David Wain</t>
  </si>
  <si>
    <t xml:space="preserve">Winter's Bone</t>
  </si>
  <si>
    <t xml:space="preserve">Debra Granik</t>
  </si>
  <si>
    <t xml:space="preserve">Your Son</t>
  </si>
  <si>
    <t xml:space="preserve">Miguel Ángel Vivas</t>
  </si>
  <si>
    <t xml:space="preserve">21 Thunder</t>
  </si>
  <si>
    <t xml:space="preserve">March 1, 2018</t>
  </si>
  <si>
    <t xml:space="preserve">2307: Winter's Dream</t>
  </si>
  <si>
    <t xml:space="preserve">Joey Curtis</t>
  </si>
  <si>
    <t xml:space="preserve">Adel Karam: Live from Beirut</t>
  </si>
  <si>
    <t xml:space="preserve">Ai Weiwei: Never Sorry</t>
  </si>
  <si>
    <t xml:space="preserve">Aitraaz</t>
  </si>
  <si>
    <t xml:space="preserve">Bachelor Girls</t>
  </si>
  <si>
    <t xml:space="preserve">Shikha Makan</t>
  </si>
  <si>
    <t xml:space="preserve">Balu Mahi</t>
  </si>
  <si>
    <t xml:space="preserve">Haissam Hussain</t>
  </si>
  <si>
    <t xml:space="preserve">Battle Drone</t>
  </si>
  <si>
    <t xml:space="preserve">Mitch Gould</t>
  </si>
  <si>
    <t xml:space="preserve">Boom</t>
  </si>
  <si>
    <t xml:space="preserve">Kaizad Gustad</t>
  </si>
  <si>
    <t xml:space="preserve">Company</t>
  </si>
  <si>
    <t xml:space="preserve">Darr Sabko Lagta Hai</t>
  </si>
  <si>
    <t xml:space="preserve">International TV Shows, TV Horror, TV Thrillers</t>
  </si>
  <si>
    <t xml:space="preserve">Deathgrip</t>
  </si>
  <si>
    <t xml:space="preserve">Clay Porter</t>
  </si>
  <si>
    <t xml:space="preserve">International Movies, Sports Movies</t>
  </si>
  <si>
    <t xml:space="preserve">Dil Se</t>
  </si>
  <si>
    <t xml:space="preserve">Mani Ratnam</t>
  </si>
  <si>
    <t xml:space="preserve">Dum</t>
  </si>
  <si>
    <t xml:space="preserve">Eeshwar Nivas</t>
  </si>
  <si>
    <t xml:space="preserve">Elles étaient en guerre 1939-1945</t>
  </si>
  <si>
    <t xml:space="preserve">Hugues Nancy, Fabien Beziat</t>
  </si>
  <si>
    <t xml:space="preserve">Grand Masti</t>
  </si>
  <si>
    <t xml:space="preserve">Indra Kumar</t>
  </si>
  <si>
    <t xml:space="preserve">Guru</t>
  </si>
  <si>
    <t xml:space="preserve">Hamara Dil Aapke Paas Hai</t>
  </si>
  <si>
    <t xml:space="preserve">Hans Zimmer: Live in Prague</t>
  </si>
  <si>
    <t xml:space="preserve">Tim Van Someren</t>
  </si>
  <si>
    <t xml:space="preserve">Haseena Maan Jaayegi</t>
  </si>
  <si>
    <t xml:space="preserve">Hide &amp; Seek</t>
  </si>
  <si>
    <t xml:space="preserve">Shawn Arranha</t>
  </si>
  <si>
    <t xml:space="preserve">Inconceivable</t>
  </si>
  <si>
    <t xml:space="preserve">Jonathan Baker</t>
  </si>
  <si>
    <t xml:space="preserve">Insan</t>
  </si>
  <si>
    <t xml:space="preserve">K. Subhash</t>
  </si>
  <si>
    <t xml:space="preserve">Iqbal</t>
  </si>
  <si>
    <t xml:space="preserve">Ishqedarriyaan</t>
  </si>
  <si>
    <t xml:space="preserve">V. K. Prakash</t>
  </si>
  <si>
    <t xml:space="preserve">Issaq</t>
  </si>
  <si>
    <t xml:space="preserve">Manish Tiwary</t>
  </si>
  <si>
    <t xml:space="preserve">Judwaa 2</t>
  </si>
  <si>
    <t xml:space="preserve">Kaakan</t>
  </si>
  <si>
    <t xml:space="preserve">Kranti Redkar</t>
  </si>
  <si>
    <t xml:space="preserve">Kalki</t>
  </si>
  <si>
    <t xml:space="preserve">Dhilip Kumar</t>
  </si>
  <si>
    <t xml:space="preserve">Kanika</t>
  </si>
  <si>
    <t xml:space="preserve">Khalnayak</t>
  </si>
  <si>
    <t xml:space="preserve">Subhash Ghai</t>
  </si>
  <si>
    <t xml:space="preserve">170 min</t>
  </si>
  <si>
    <t xml:space="preserve">Khushi</t>
  </si>
  <si>
    <t xml:space="preserve">Surya S.J., Sunil Kumar Agrawal</t>
  </si>
  <si>
    <t xml:space="preserve">Kyun! Ho Gaya Na</t>
  </si>
  <si>
    <t xml:space="preserve">Samir Karnik</t>
  </si>
  <si>
    <t xml:space="preserve">LA 92</t>
  </si>
  <si>
    <t xml:space="preserve">Daniel Lindsay, T.J. Martin</t>
  </si>
  <si>
    <t xml:space="preserve">Laal Rang</t>
  </si>
  <si>
    <t xml:space="preserve">Syed Ahmad Afzal</t>
  </si>
  <si>
    <t xml:space="preserve">Love Beats Rhymes</t>
  </si>
  <si>
    <t xml:space="preserve">RZA</t>
  </si>
  <si>
    <t xml:space="preserve">Mahi Way</t>
  </si>
  <si>
    <t xml:space="preserve">Monster High 13 Wishes</t>
  </si>
  <si>
    <t xml:space="preserve">Steve Sacks</t>
  </si>
  <si>
    <t xml:space="preserve">Monster High: Ghouls Rule</t>
  </si>
  <si>
    <t xml:space="preserve">Mike Fetterly, Steve Sacks</t>
  </si>
  <si>
    <t xml:space="preserve">No Entry</t>
  </si>
  <si>
    <t xml:space="preserve">Pardes</t>
  </si>
  <si>
    <t xml:space="preserve">187 min</t>
  </si>
  <si>
    <t xml:space="preserve">Pitaah</t>
  </si>
  <si>
    <t xml:space="preserve">Pukar</t>
  </si>
  <si>
    <t xml:space="preserve">Rahasya</t>
  </si>
  <si>
    <t xml:space="preserve">Manish Gupta</t>
  </si>
  <si>
    <t xml:space="preserve">Run</t>
  </si>
  <si>
    <t xml:space="preserve">Jeeva</t>
  </si>
  <si>
    <t xml:space="preserve">Samarppanam</t>
  </si>
  <si>
    <t xml:space="preserve">K. Gopinathan</t>
  </si>
  <si>
    <t xml:space="preserve">Schubert In Love</t>
  </si>
  <si>
    <t xml:space="preserve">Lars Büchel</t>
  </si>
  <si>
    <t xml:space="preserve">Shakti: The Power</t>
  </si>
  <si>
    <t xml:space="preserve">Krishna Vamshi</t>
  </si>
  <si>
    <t xml:space="preserve">Shanghai</t>
  </si>
  <si>
    <t xml:space="preserve">Shararat</t>
  </si>
  <si>
    <t xml:space="preserve">Gurudev Bhalla</t>
  </si>
  <si>
    <t xml:space="preserve">Shaurya: It Takes Courage to Make Right... Right</t>
  </si>
  <si>
    <t xml:space="preserve">Samar Khan</t>
  </si>
  <si>
    <t xml:space="preserve">Shubh Aarambh</t>
  </si>
  <si>
    <t xml:space="preserve">Amit Barot</t>
  </si>
  <si>
    <t xml:space="preserve">Shuddhi</t>
  </si>
  <si>
    <t xml:space="preserve">Adarsh Eshwarappa</t>
  </si>
  <si>
    <t xml:space="preserve">Solo</t>
  </si>
  <si>
    <t xml:space="preserve">Something Huge</t>
  </si>
  <si>
    <t xml:space="preserve">Carlo Padial</t>
  </si>
  <si>
    <t xml:space="preserve">Super Nani</t>
  </si>
  <si>
    <t xml:space="preserve">Swades</t>
  </si>
  <si>
    <t xml:space="preserve">Swearnet Live</t>
  </si>
  <si>
    <t xml:space="preserve">Mike Smith, John Paul Tremblay, Robb Wells</t>
  </si>
  <si>
    <t xml:space="preserve">Taal</t>
  </si>
  <si>
    <t xml:space="preserve">Tarif de nuit</t>
  </si>
  <si>
    <t xml:space="preserve">Julien Seri</t>
  </si>
  <si>
    <t xml:space="preserve">Teen Patti</t>
  </si>
  <si>
    <t xml:space="preserve">The Pirates of Somalia</t>
  </si>
  <si>
    <t xml:space="preserve">Bryan Buckley</t>
  </si>
  <si>
    <t xml:space="preserve">Somalia, Kenya, Sudan, South Africa, United States</t>
  </si>
  <si>
    <t xml:space="preserve">The Plan</t>
  </si>
  <si>
    <t xml:space="preserve">Keerthi</t>
  </si>
  <si>
    <t xml:space="preserve">The Shaukeens</t>
  </si>
  <si>
    <t xml:space="preserve">The Silence</t>
  </si>
  <si>
    <t xml:space="preserve">Tope: The Bait</t>
  </si>
  <si>
    <t xml:space="preserve">Buddhadev Dasgupta</t>
  </si>
  <si>
    <t xml:space="preserve">Trailer Park Boys Live at the North Pole</t>
  </si>
  <si>
    <t xml:space="preserve">Trailer Park Boys Live In F**kin' Dublin</t>
  </si>
  <si>
    <t xml:space="preserve">Trailer Park Boys: Say Goodnight to the Bad Guys</t>
  </si>
  <si>
    <t xml:space="preserve">Trailer Park Boys: Xmas Special</t>
  </si>
  <si>
    <t xml:space="preserve">Trimurti</t>
  </si>
  <si>
    <t xml:space="preserve">Mukul Anand</t>
  </si>
  <si>
    <t xml:space="preserve">173 min</t>
  </si>
  <si>
    <t xml:space="preserve">True to the Game</t>
  </si>
  <si>
    <t xml:space="preserve">Preston A. Whitmore II</t>
  </si>
  <si>
    <t xml:space="preserve">Tu Hai Mera Sunday</t>
  </si>
  <si>
    <t xml:space="preserve">Milind Dhaimade</t>
  </si>
  <si>
    <t xml:space="preserve">Welcome 2 Karachi</t>
  </si>
  <si>
    <t xml:space="preserve">Ashish R. Mohan</t>
  </si>
  <si>
    <t xml:space="preserve">Y.M.I.: Yeh Mera India</t>
  </si>
  <si>
    <t xml:space="preserve">N. Chandra</t>
  </si>
  <si>
    <t xml:space="preserve">Yaadein</t>
  </si>
  <si>
    <t xml:space="preserve">Yuva</t>
  </si>
  <si>
    <t xml:space="preserve">9 Months That Made You</t>
  </si>
  <si>
    <t xml:space="preserve">March 1, 2017</t>
  </si>
  <si>
    <t xml:space="preserve">Beak &amp; Brain: Genius Birds From Down Under</t>
  </si>
  <si>
    <t xml:space="preserve">Volker Arzt, Angelika Sigl</t>
  </si>
  <si>
    <t xml:space="preserve">Beary Tales</t>
  </si>
  <si>
    <t xml:space="preserve">Chandani: The Daughter of the Elephant Whisperer</t>
  </si>
  <si>
    <t xml:space="preserve">Arne Birkenstock</t>
  </si>
  <si>
    <t xml:space="preserve">Germany, Sri Lanka</t>
  </si>
  <si>
    <t xml:space="preserve">Earth's Natural Wonders</t>
  </si>
  <si>
    <t xml:space="preserve">Forces of Nature</t>
  </si>
  <si>
    <t xml:space="preserve">India: Nature's Wonderland</t>
  </si>
  <si>
    <t xml:space="preserve">Islands of the Future</t>
  </si>
  <si>
    <t xml:space="preserve">Koko: The Gorilla Who Talks</t>
  </si>
  <si>
    <t xml:space="preserve">Jonathan Taylor</t>
  </si>
  <si>
    <t xml:space="preserve">Love Is in the Air</t>
  </si>
  <si>
    <t xml:space="preserve">My Honor Was Loyalty</t>
  </si>
  <si>
    <t xml:space="preserve">Alessandro Pepe</t>
  </si>
  <si>
    <t xml:space="preserve">NATURE: Natural Born Hustlers</t>
  </si>
  <si>
    <t xml:space="preserve">Nature: Raising the Dinosaur Giant</t>
  </si>
  <si>
    <t xml:space="preserve">Nila</t>
  </si>
  <si>
    <t xml:space="preserve">Selvamani Selvaraj</t>
  </si>
  <si>
    <t xml:space="preserve">Revelations</t>
  </si>
  <si>
    <t xml:space="preserve">Vijay Jayapal</t>
  </si>
  <si>
    <t xml:space="preserve">Servant of the People</t>
  </si>
  <si>
    <t xml:space="preserve">Ukraine</t>
  </si>
  <si>
    <t xml:space="preserve">SuperNature: Wild Flyers</t>
  </si>
  <si>
    <t xml:space="preserve">Sustainable</t>
  </si>
  <si>
    <t xml:space="preserve">Matt Wechsler</t>
  </si>
  <si>
    <t xml:space="preserve">Hernán Belón</t>
  </si>
  <si>
    <t xml:space="preserve">Tong: Memories</t>
  </si>
  <si>
    <t xml:space="preserve">Ugly</t>
  </si>
  <si>
    <t xml:space="preserve">Vikings Unearthed</t>
  </si>
  <si>
    <t xml:space="preserve">Harvey Lilley</t>
  </si>
  <si>
    <t xml:space="preserve">Blue Mountain State: The Rise of Thadland</t>
  </si>
  <si>
    <t xml:space="preserve">Lev L. Spiro</t>
  </si>
  <si>
    <t xml:space="preserve">March 1, 2016</t>
  </si>
  <si>
    <t xml:space="preserve">Hot Bot</t>
  </si>
  <si>
    <t xml:space="preserve">Michael Polish</t>
  </si>
  <si>
    <t xml:space="preserve">It's Now or Never</t>
  </si>
  <si>
    <t xml:space="preserve">Maria Ripoll</t>
  </si>
  <si>
    <t xml:space="preserve">Retribution</t>
  </si>
  <si>
    <t xml:space="preserve">Your lie in April</t>
  </si>
  <si>
    <t xml:space="preserve">My Only Love Song</t>
  </si>
  <si>
    <t xml:space="preserve">June 9, 2017</t>
  </si>
  <si>
    <t xml:space="preserve">Shimmer Lake</t>
  </si>
  <si>
    <t xml:space="preserve">Oren Uziel</t>
  </si>
  <si>
    <t xml:space="preserve">Beneath the Leaves</t>
  </si>
  <si>
    <t xml:space="preserve">Adam Marino</t>
  </si>
  <si>
    <t xml:space="preserve">June 8, 2019</t>
  </si>
  <si>
    <t xml:space="preserve">Berlin, I Love You</t>
  </si>
  <si>
    <t xml:space="preserve">Equilibrium</t>
  </si>
  <si>
    <t xml:space="preserve">Kurt Wimmer</t>
  </si>
  <si>
    <t xml:space="preserve">Alex Strangelove</t>
  </si>
  <si>
    <t xml:space="preserve">Craig Johnson</t>
  </si>
  <si>
    <t xml:space="preserve">June 8, 2018</t>
  </si>
  <si>
    <t xml:space="preserve">Ali's Wedding</t>
  </si>
  <si>
    <t xml:space="preserve">Jeffrey Walker</t>
  </si>
  <si>
    <t xml:space="preserve">Franco Escamilla: Por la anécdota</t>
  </si>
  <si>
    <t xml:space="preserve">Ulises Valencia</t>
  </si>
  <si>
    <t xml:space="preserve">The Hollow</t>
  </si>
  <si>
    <t xml:space="preserve">The Staircase</t>
  </si>
  <si>
    <t xml:space="preserve">Hypersomnia</t>
  </si>
  <si>
    <t xml:space="preserve">Gabriel Grieco</t>
  </si>
  <si>
    <t xml:space="preserve">June 8, 2017</t>
  </si>
  <si>
    <t xml:space="preserve">Belmonte</t>
  </si>
  <si>
    <t xml:space="preserve">Uruguay, Spain, Mexico</t>
  </si>
  <si>
    <t xml:space="preserve">June 7, 2019</t>
  </si>
  <si>
    <t xml:space="preserve">Elisa &amp; Marcela</t>
  </si>
  <si>
    <t xml:space="preserve">Isabel Coixet</t>
  </si>
  <si>
    <t xml:space="preserve">I Am Mother</t>
  </si>
  <si>
    <t xml:space="preserve">Grant Sputore</t>
  </si>
  <si>
    <t xml:space="preserve">Luka Chuppi</t>
  </si>
  <si>
    <t xml:space="preserve">Laxman Utekar</t>
  </si>
  <si>
    <t xml:space="preserve">Pachamama</t>
  </si>
  <si>
    <t xml:space="preserve">Juan Antin</t>
  </si>
  <si>
    <t xml:space="preserve">France, Luxembourg, Canada</t>
  </si>
  <si>
    <t xml:space="preserve">Rock My Heart</t>
  </si>
  <si>
    <t xml:space="preserve">Hanno Olderdissen</t>
  </si>
  <si>
    <t xml:space="preserve">Stree</t>
  </si>
  <si>
    <t xml:space="preserve">Amar Kaushik</t>
  </si>
  <si>
    <t xml:space="preserve">Super Monsters Monster Pets</t>
  </si>
  <si>
    <t xml:space="preserve">Tales of the City</t>
  </si>
  <si>
    <t xml:space="preserve">The Black Godfather</t>
  </si>
  <si>
    <t xml:space="preserve">Reginald Hudlin</t>
  </si>
  <si>
    <t xml:space="preserve">The Push</t>
  </si>
  <si>
    <t xml:space="preserve">Grant Korgan, Brian Niles</t>
  </si>
  <si>
    <t xml:space="preserve">B.A. Pass</t>
  </si>
  <si>
    <t xml:space="preserve">Ajay Bahl</t>
  </si>
  <si>
    <t xml:space="preserve">June 7, 2018</t>
  </si>
  <si>
    <t xml:space="preserve">YOM</t>
  </si>
  <si>
    <t xml:space="preserve">A Perfect Man</t>
  </si>
  <si>
    <t xml:space="preserve">Kees Van Oostrum</t>
  </si>
  <si>
    <t xml:space="preserve">June 6, 2019</t>
  </si>
  <si>
    <t xml:space="preserve">Alles ist gut</t>
  </si>
  <si>
    <t xml:space="preserve">Eva Trobisch</t>
  </si>
  <si>
    <t xml:space="preserve">Best Neighbors</t>
  </si>
  <si>
    <t xml:space="preserve">Tamer Bassiouni</t>
  </si>
  <si>
    <t xml:space="preserve">Cabin Fever</t>
  </si>
  <si>
    <t xml:space="preserve">Travis Zariwny</t>
  </si>
  <si>
    <t xml:space="preserve">Christian Mingle</t>
  </si>
  <si>
    <t xml:space="preserve">Corbin Bernsen</t>
  </si>
  <si>
    <t xml:space="preserve">Comedies, Faith &amp; Spirituality, Romantic Movies</t>
  </si>
  <si>
    <t xml:space="preserve">Everybody Knows</t>
  </si>
  <si>
    <t xml:space="preserve">Spain, France, Italy</t>
  </si>
  <si>
    <t xml:space="preserve">Farce</t>
  </si>
  <si>
    <t xml:space="preserve">Shadi Ali</t>
  </si>
  <si>
    <t xml:space="preserve">Freezer's Campaign</t>
  </si>
  <si>
    <t xml:space="preserve">From Japan to Egypt</t>
  </si>
  <si>
    <t xml:space="preserve">Mahmoud Karim</t>
  </si>
  <si>
    <t xml:space="preserve">Immoral Tales</t>
  </si>
  <si>
    <t xml:space="preserve">Walerian Borowczyk</t>
  </si>
  <si>
    <t xml:space="preserve">It's Okay, Buddy</t>
  </si>
  <si>
    <t xml:space="preserve">Hani Hamdi</t>
  </si>
  <si>
    <t xml:space="preserve">Ms. Mammy</t>
  </si>
  <si>
    <t xml:space="preserve">Wael Ihsan</t>
  </si>
  <si>
    <t xml:space="preserve">Sameer Abu Alneel</t>
  </si>
  <si>
    <t xml:space="preserve">Amr Arafa</t>
  </si>
  <si>
    <t xml:space="preserve">Step Outside</t>
  </si>
  <si>
    <t xml:space="preserve">The Republic of Imbaba</t>
  </si>
  <si>
    <t xml:space="preserve">Ahmed Al-Badry</t>
  </si>
  <si>
    <t xml:space="preserve">The Thief and the Imbecile</t>
  </si>
  <si>
    <t xml:space="preserve">Mohammed El-Tahawy, Mohamed Mostafa</t>
  </si>
  <si>
    <t xml:space="preserve">A Silent Voice</t>
  </si>
  <si>
    <t xml:space="preserve">June 5, 2019</t>
  </si>
  <si>
    <t xml:space="preserve">Anime Features, International Movies</t>
  </si>
  <si>
    <t xml:space="preserve">Dolphin Kick</t>
  </si>
  <si>
    <t xml:space="preserve">Philip Marlatt</t>
  </si>
  <si>
    <t xml:space="preserve">Dr. Seuss' The Grinch</t>
  </si>
  <si>
    <t xml:space="preserve">Scott Mosier, Yarrow Cheney</t>
  </si>
  <si>
    <t xml:space="preserve">France, China, Japan, United States</t>
  </si>
  <si>
    <t xml:space="preserve">Jiro Dreams of Sushi</t>
  </si>
  <si>
    <t xml:space="preserve">David Gelb</t>
  </si>
  <si>
    <t xml:space="preserve">Would You Rather</t>
  </si>
  <si>
    <t xml:space="preserve">David Guy Levy</t>
  </si>
  <si>
    <t xml:space="preserve">Thor: Ragnarok</t>
  </si>
  <si>
    <t xml:space="preserve">Taika Waititi</t>
  </si>
  <si>
    <t xml:space="preserve">June 5, 2018</t>
  </si>
  <si>
    <t xml:space="preserve">Suite Française</t>
  </si>
  <si>
    <t xml:space="preserve">Saul Dibb</t>
  </si>
  <si>
    <t xml:space="preserve">United Kingdom, France, Canada, Belgium, United States</t>
  </si>
  <si>
    <t xml:space="preserve">June 5, 2017</t>
  </si>
  <si>
    <t xml:space="preserve">The Wishing Tree</t>
  </si>
  <si>
    <t xml:space="preserve">Manika Sharma</t>
  </si>
  <si>
    <t xml:space="preserve">Children &amp; Family Movies, Dramas, Music &amp; Musicals</t>
  </si>
  <si>
    <t xml:space="preserve">Cosmos Laundromat: First Cycle</t>
  </si>
  <si>
    <t xml:space="preserve">Mathieu Auvray</t>
  </si>
  <si>
    <t xml:space="preserve">June 4, 2019</t>
  </si>
  <si>
    <t xml:space="preserve">12 min</t>
  </si>
  <si>
    <t xml:space="preserve">Miranda Sings Live…Your Welcome</t>
  </si>
  <si>
    <t xml:space="preserve">Silent</t>
  </si>
  <si>
    <t xml:space="preserve">Limbert Fabian, Brandon Oldenburg</t>
  </si>
  <si>
    <t xml:space="preserve">3 min</t>
  </si>
  <si>
    <t xml:space="preserve">The Men Who Stare at Goats</t>
  </si>
  <si>
    <t xml:space="preserve">Grant Heslov</t>
  </si>
  <si>
    <t xml:space="preserve">Bangkok Bachelors</t>
  </si>
  <si>
    <t xml:space="preserve">June 4, 2018</t>
  </si>
  <si>
    <t xml:space="preserve">The Lamb</t>
  </si>
  <si>
    <t xml:space="preserve">Timothy Reckart</t>
  </si>
  <si>
    <t xml:space="preserve">Children &amp; Family Movies, Faith &amp; Spirituality</t>
  </si>
  <si>
    <t xml:space="preserve">Inhuman Kiss</t>
  </si>
  <si>
    <t xml:space="preserve">Sittisiri Mongkolsiri</t>
  </si>
  <si>
    <t xml:space="preserve">June 30, 2019</t>
  </si>
  <si>
    <t xml:space="preserve">Horror Movies, International Movies, Romantic Movies</t>
  </si>
  <si>
    <t xml:space="preserve">Night Moves</t>
  </si>
  <si>
    <t xml:space="preserve">Kelly Reichardt</t>
  </si>
  <si>
    <t xml:space="preserve">Romeo Akbar Walter</t>
  </si>
  <si>
    <t xml:space="preserve">Robbie Grewal</t>
  </si>
  <si>
    <t xml:space="preserve">Bill Burr: You People Are All the Same</t>
  </si>
  <si>
    <t xml:space="preserve">June 30, 2018</t>
  </si>
  <si>
    <t xml:space="preserve">Mohawk</t>
  </si>
  <si>
    <t xml:space="preserve">Ted Geoghegan</t>
  </si>
  <si>
    <t xml:space="preserve">Action &amp; Adventure, Horror Movies, Independent Movies</t>
  </si>
  <si>
    <t xml:space="preserve">Somewhere Between</t>
  </si>
  <si>
    <t xml:space="preserve">The Maus</t>
  </si>
  <si>
    <t xml:space="preserve">Yayo Herrero</t>
  </si>
  <si>
    <t xml:space="preserve">Footprints: The Path of Your Life</t>
  </si>
  <si>
    <t xml:space="preserve">Juan Manuel Cotelo</t>
  </si>
  <si>
    <t xml:space="preserve">June 30, 2017</t>
  </si>
  <si>
    <t xml:space="preserve">Documentaries, Faith &amp; Spirituality, International Movies</t>
  </si>
  <si>
    <t xml:space="preserve">Gypsy</t>
  </si>
  <si>
    <t xml:space="preserve">The House on Coco Road</t>
  </si>
  <si>
    <t xml:space="preserve">Damani Baker</t>
  </si>
  <si>
    <t xml:space="preserve">(T)ERROR</t>
  </si>
  <si>
    <t xml:space="preserve">Lyric R. Cabral, David Felix Sutcliffe</t>
  </si>
  <si>
    <t xml:space="preserve">June 30, 2016</t>
  </si>
  <si>
    <t xml:space="preserve">Palio</t>
  </si>
  <si>
    <t xml:space="preserve">Malibu Rescue: The Series</t>
  </si>
  <si>
    <t xml:space="preserve">June 3, 2019</t>
  </si>
  <si>
    <t xml:space="preserve">Acapulco La vida va</t>
  </si>
  <si>
    <t xml:space="preserve">Alfonso Serrano Maturino</t>
  </si>
  <si>
    <t xml:space="preserve">June 3, 2017</t>
  </si>
  <si>
    <t xml:space="preserve">Headshot</t>
  </si>
  <si>
    <t xml:space="preserve">Timo Tjahjanto, Kimo Stamboel</t>
  </si>
  <si>
    <t xml:space="preserve">Three</t>
  </si>
  <si>
    <t xml:space="preserve">Johnnie To</t>
  </si>
  <si>
    <t xml:space="preserve">Seong-hun Kim</t>
  </si>
  <si>
    <t xml:space="preserve">Bo Burnham: Make Happy</t>
  </si>
  <si>
    <t xml:space="preserve">Bo Burnham, Christopher Storer</t>
  </si>
  <si>
    <t xml:space="preserve">June 3, 2016</t>
  </si>
  <si>
    <t xml:space="preserve">Music &amp; Musicals, Stand-Up Comedy</t>
  </si>
  <si>
    <t xml:space="preserve">Pierre Jackson</t>
  </si>
  <si>
    <t xml:space="preserve">Christopher Nolen</t>
  </si>
  <si>
    <t xml:space="preserve">June 29, 2019</t>
  </si>
  <si>
    <t xml:space="preserve">Romantic Movies</t>
  </si>
  <si>
    <t xml:space="preserve">Super Deluxe</t>
  </si>
  <si>
    <t xml:space="preserve">Thiagarajan Kumararaja</t>
  </si>
  <si>
    <t xml:space="preserve">176 min</t>
  </si>
  <si>
    <t xml:space="preserve">Calibre</t>
  </si>
  <si>
    <t xml:space="preserve">Matt Palmer</t>
  </si>
  <si>
    <t xml:space="preserve">June 29, 2018</t>
  </si>
  <si>
    <t xml:space="preserve">Churchill’s Secret Agents: The New Recruits</t>
  </si>
  <si>
    <t xml:space="preserve">Jani Dueñas: Grandes fracasos de ayer y hoy</t>
  </si>
  <si>
    <t xml:space="preserve">Kiss Me First</t>
  </si>
  <si>
    <t xml:space="preserve">Los 10 años de Peter Capusotto</t>
  </si>
  <si>
    <t xml:space="preserve">Penalty Kick</t>
  </si>
  <si>
    <t xml:space="preserve">Rodrigo Triana</t>
  </si>
  <si>
    <t xml:space="preserve">Colombia, Mexico</t>
  </si>
  <si>
    <t xml:space="preserve">Recovery Boys</t>
  </si>
  <si>
    <t xml:space="preserve">TAU</t>
  </si>
  <si>
    <t xml:space="preserve">Federico D'Alessandro</t>
  </si>
  <si>
    <t xml:space="preserve">The Forest</t>
  </si>
  <si>
    <t xml:space="preserve">Ralphie May: Imperfectly Yours</t>
  </si>
  <si>
    <t xml:space="preserve">Anthony Pierce</t>
  </si>
  <si>
    <t xml:space="preserve">June 29, 2015</t>
  </si>
  <si>
    <t xml:space="preserve">20th Century Women</t>
  </si>
  <si>
    <t xml:space="preserve">Mike Mills</t>
  </si>
  <si>
    <t xml:space="preserve">June 28, 2019</t>
  </si>
  <si>
    <t xml:space="preserve">7SEEDS</t>
  </si>
  <si>
    <t xml:space="preserve">El testigo</t>
  </si>
  <si>
    <t xml:space="preserve">Kate Horne</t>
  </si>
  <si>
    <t xml:space="preserve">Dominican Republic</t>
  </si>
  <si>
    <t xml:space="preserve">Exhibit A</t>
  </si>
  <si>
    <t xml:space="preserve">Crime TV Shows, Docuseries, Science &amp; Nature TV</t>
  </si>
  <si>
    <t xml:space="preserve">Family Business</t>
  </si>
  <si>
    <t xml:space="preserve">La Leyenda del Diamante</t>
  </si>
  <si>
    <t xml:space="preserve">Roberto Girault Facha</t>
  </si>
  <si>
    <t xml:space="preserve">Staged Killer</t>
  </si>
  <si>
    <t xml:space="preserve">Christopher Ray</t>
  </si>
  <si>
    <t xml:space="preserve">Super Bheem</t>
  </si>
  <si>
    <t xml:space="preserve">Tales of the City (1993)</t>
  </si>
  <si>
    <t xml:space="preserve">The Chosen One</t>
  </si>
  <si>
    <t xml:space="preserve">Michel Tikhomiroff</t>
  </si>
  <si>
    <t xml:space="preserve">Birthmarked</t>
  </si>
  <si>
    <t xml:space="preserve">Emanuel Hoss-Desmarais</t>
  </si>
  <si>
    <t xml:space="preserve">June 28, 2018</t>
  </si>
  <si>
    <t xml:space="preserve">Okja</t>
  </si>
  <si>
    <t xml:space="preserve">South Korea, United States</t>
  </si>
  <si>
    <t xml:space="preserve">June 28, 2017</t>
  </si>
  <si>
    <t xml:space="preserve">ANIMA</t>
  </si>
  <si>
    <t xml:space="preserve">Paul Thomas Anderson</t>
  </si>
  <si>
    <t xml:space="preserve">June 27, 2019</t>
  </si>
  <si>
    <t xml:space="preserve">15 min</t>
  </si>
  <si>
    <t xml:space="preserve">Dramas, Independent Movies, Music &amp; Musicals</t>
  </si>
  <si>
    <t xml:space="preserve">Answer for Heaven</t>
  </si>
  <si>
    <t xml:space="preserve">Daniel Sosa: Maleducado</t>
  </si>
  <si>
    <t xml:space="preserve">Alex Díaz, Marcos Bucay</t>
  </si>
  <si>
    <t xml:space="preserve">Skydancers</t>
  </si>
  <si>
    <t xml:space="preserve">Fredric Lean</t>
  </si>
  <si>
    <t xml:space="preserve">June 27, 2018</t>
  </si>
  <si>
    <t xml:space="preserve">49 min</t>
  </si>
  <si>
    <t xml:space="preserve">Chris D'Elia: Man on Fire</t>
  </si>
  <si>
    <t xml:space="preserve">Bill D'Elia</t>
  </si>
  <si>
    <t xml:space="preserve">June 27, 2017</t>
  </si>
  <si>
    <t xml:space="preserve">Hikaru Utada Laughter in the Dark Tour 2018</t>
  </si>
  <si>
    <t xml:space="preserve">June 26, 2019</t>
  </si>
  <si>
    <t xml:space="preserve">Kahaani</t>
  </si>
  <si>
    <t xml:space="preserve">Sujoy Ghosh</t>
  </si>
  <si>
    <t xml:space="preserve">International Movies, Music &amp; Musicals, Thrillers</t>
  </si>
  <si>
    <t xml:space="preserve">Spider-Man: Into the Spider-Verse</t>
  </si>
  <si>
    <t xml:space="preserve">Peter Ramsey, Rodney Rothman, Bob Persichetti</t>
  </si>
  <si>
    <t xml:space="preserve">The Golem</t>
  </si>
  <si>
    <t xml:space="preserve">Doron Paz, Yoav Paz</t>
  </si>
  <si>
    <t xml:space="preserve">Israel</t>
  </si>
  <si>
    <t xml:space="preserve">Unbroken</t>
  </si>
  <si>
    <t xml:space="preserve">Svati Chakravarty Bhatkal</t>
  </si>
  <si>
    <t xml:space="preserve">Hotel Transylvania</t>
  </si>
  <si>
    <t xml:space="preserve">June 26, 2018</t>
  </si>
  <si>
    <t xml:space="preserve">Star Wars: Episode VIII: The Last Jedi</t>
  </si>
  <si>
    <t xml:space="preserve">Action &amp; Adventure, Children &amp; Family Movies, Sci-Fi &amp; Fantasy</t>
  </si>
  <si>
    <t xml:space="preserve">W. Kamau Bell: Private School Negro</t>
  </si>
  <si>
    <t xml:space="preserve">I Am Michael</t>
  </si>
  <si>
    <t xml:space="preserve">Justin Kelly</t>
  </si>
  <si>
    <t xml:space="preserve">June 26, 2017</t>
  </si>
  <si>
    <t xml:space="preserve">Dramas, LGBTQ Movies</t>
  </si>
  <si>
    <t xml:space="preserve">Neruda</t>
  </si>
  <si>
    <t xml:space="preserve">Pablo Larraín</t>
  </si>
  <si>
    <t xml:space="preserve">Chile, Argentina, France, Spain, United States</t>
  </si>
  <si>
    <t xml:space="preserve">What Happened, Miss Simone?</t>
  </si>
  <si>
    <t xml:space="preserve">Liz Garbus</t>
  </si>
  <si>
    <t xml:space="preserve">June 26, 2015</t>
  </si>
  <si>
    <t xml:space="preserve">Mike Epps: Only One Mike</t>
  </si>
  <si>
    <t xml:space="preserve">Kevin Bray</t>
  </si>
  <si>
    <t xml:space="preserve">June 25, 2019</t>
  </si>
  <si>
    <t xml:space="preserve">Recall</t>
  </si>
  <si>
    <t xml:space="preserve">Michael James Regan</t>
  </si>
  <si>
    <t xml:space="preserve">Tottaa Pataaka Item Maal</t>
  </si>
  <si>
    <t xml:space="preserve">Aditya Kripalani</t>
  </si>
  <si>
    <t xml:space="preserve">Borges</t>
  </si>
  <si>
    <t xml:space="preserve">June 25, 2018</t>
  </si>
  <si>
    <t xml:space="preserve">Expelled from Paradise</t>
  </si>
  <si>
    <t xml:space="preserve">Seiji Mizushima</t>
  </si>
  <si>
    <t xml:space="preserve">Kaabil</t>
  </si>
  <si>
    <t xml:space="preserve">Sanjay Gupta</t>
  </si>
  <si>
    <t xml:space="preserve">June 25, 2017</t>
  </si>
  <si>
    <t xml:space="preserve">To Each, Her Own</t>
  </si>
  <si>
    <t xml:space="preserve">Myriam Aziza</t>
  </si>
  <si>
    <t xml:space="preserve">June 24, 2018</t>
  </si>
  <si>
    <t xml:space="preserve">Bruno and Boots: Go Jump in the Pool</t>
  </si>
  <si>
    <t xml:space="preserve">Vivieno Caldinelli</t>
  </si>
  <si>
    <t xml:space="preserve">June 24, 2017</t>
  </si>
  <si>
    <t xml:space="preserve">Bruno and Boots: This Can't Be Happening at Macdonald Hall</t>
  </si>
  <si>
    <t xml:space="preserve">Justin Time GO!</t>
  </si>
  <si>
    <t xml:space="preserve">June 24, 2016</t>
  </si>
  <si>
    <t xml:space="preserve">Sofía Niño de Rivera: Exposed</t>
  </si>
  <si>
    <t xml:space="preserve">The Fundamentals of Caring</t>
  </si>
  <si>
    <t xml:space="preserve">Rob Burnett</t>
  </si>
  <si>
    <t xml:space="preserve">The Long Goodbye: The Kara Tippetts Story</t>
  </si>
  <si>
    <t xml:space="preserve">Jay Lyons</t>
  </si>
  <si>
    <t xml:space="preserve">June 23, 2019</t>
  </si>
  <si>
    <t xml:space="preserve">Documentaries, Faith &amp; Spirituality</t>
  </si>
  <si>
    <t xml:space="preserve">Hungerford</t>
  </si>
  <si>
    <t xml:space="preserve">Drew Casson</t>
  </si>
  <si>
    <t xml:space="preserve">June 23, 2018</t>
  </si>
  <si>
    <t xml:space="preserve">Life Sentence</t>
  </si>
  <si>
    <t xml:space="preserve">Tarzan</t>
  </si>
  <si>
    <t xml:space="preserve">Chris Buck, Kevin Lima</t>
  </si>
  <si>
    <t xml:space="preserve">The Darkest Dawn</t>
  </si>
  <si>
    <t xml:space="preserve">Yoko</t>
  </si>
  <si>
    <t xml:space="preserve">Yoko and His Friends</t>
  </si>
  <si>
    <t xml:space="preserve">Russia, Spain</t>
  </si>
  <si>
    <t xml:space="preserve">American Anarchist</t>
  </si>
  <si>
    <t xml:space="preserve">Charlie Siskel</t>
  </si>
  <si>
    <t xml:space="preserve">June 23, 2017</t>
  </si>
  <si>
    <t xml:space="preserve">Nobody Speak: Trials of the Free Press</t>
  </si>
  <si>
    <t xml:space="preserve">Brian Knappenberger</t>
  </si>
  <si>
    <t xml:space="preserve">Netherlands, United States</t>
  </si>
  <si>
    <t xml:space="preserve">Tarzan 2</t>
  </si>
  <si>
    <t xml:space="preserve">Brian Smith</t>
  </si>
  <si>
    <t xml:space="preserve">You Get Me</t>
  </si>
  <si>
    <t xml:space="preserve">Brent Bonacorso</t>
  </si>
  <si>
    <t xml:space="preserve">Advantageous</t>
  </si>
  <si>
    <t xml:space="preserve">Jennifer Phang</t>
  </si>
  <si>
    <t xml:space="preserve">June 23, 2015</t>
  </si>
  <si>
    <t xml:space="preserve">Salem: His Sister's Father</t>
  </si>
  <si>
    <t xml:space="preserve">June 22, 2019</t>
  </si>
  <si>
    <t xml:space="preserve">Triple Threat</t>
  </si>
  <si>
    <t xml:space="preserve">Jesse V. Johnson, Jesse Johnson</t>
  </si>
  <si>
    <t xml:space="preserve">Thailand, China, United States</t>
  </si>
  <si>
    <t xml:space="preserve">Brain on Fire</t>
  </si>
  <si>
    <t xml:space="preserve">Gerard Barrett</t>
  </si>
  <si>
    <t xml:space="preserve">United States, Canada, Ireland</t>
  </si>
  <si>
    <t xml:space="preserve">June 22, 2018</t>
  </si>
  <si>
    <t xml:space="preserve">Cooking on High</t>
  </si>
  <si>
    <t xml:space="preserve">Derren Brown: Miracle</t>
  </si>
  <si>
    <t xml:space="preserve">Us and Them</t>
  </si>
  <si>
    <t xml:space="preserve">Rene Liu</t>
  </si>
  <si>
    <t xml:space="preserve">Bokeh</t>
  </si>
  <si>
    <t xml:space="preserve">Geoffrey Orthwein, Andrew Sullivan</t>
  </si>
  <si>
    <t xml:space="preserve">United States, Iceland</t>
  </si>
  <si>
    <t xml:space="preserve">June 22, 2017</t>
  </si>
  <si>
    <t xml:space="preserve">XX</t>
  </si>
  <si>
    <t xml:space="preserve">Jovanka Vuckovic, Annie Clark, Roxanne Benjamin, Karyn Kusama</t>
  </si>
  <si>
    <t xml:space="preserve">Blood Will Tell</t>
  </si>
  <si>
    <t xml:space="preserve">Miguel Cohan, Miguel Cohan</t>
  </si>
  <si>
    <t xml:space="preserve">Argentina, United States</t>
  </si>
  <si>
    <t xml:space="preserve">June 21, 2019</t>
  </si>
  <si>
    <t xml:space="preserve">Bolívar</t>
  </si>
  <si>
    <t xml:space="preserve">Luis Alberto Restrepo, Andrés Beltrán, Jaime Rayo</t>
  </si>
  <si>
    <t xml:space="preserve">EVANGELION: DEATH (TRUE)²</t>
  </si>
  <si>
    <t xml:space="preserve">Hideaki Anno</t>
  </si>
  <si>
    <t xml:space="preserve">Good Luck</t>
  </si>
  <si>
    <t xml:space="preserve">Tarek Abdel Moaty</t>
  </si>
  <si>
    <t xml:space="preserve">Melodies of Life - Born This Way</t>
  </si>
  <si>
    <t xml:space="preserve">Mr. Iglesias</t>
  </si>
  <si>
    <t xml:space="preserve">Neon Genesis Evangelion</t>
  </si>
  <si>
    <t xml:space="preserve">The End of Evangelion</t>
  </si>
  <si>
    <t xml:space="preserve">Hideaki Anno, Kazuya Tsurumaki</t>
  </si>
  <si>
    <t xml:space="preserve">Dangal</t>
  </si>
  <si>
    <t xml:space="preserve">Nitesh Tiwari</t>
  </si>
  <si>
    <t xml:space="preserve">June 21, 2017</t>
  </si>
  <si>
    <t xml:space="preserve">An Upper Egyptian</t>
  </si>
  <si>
    <t xml:space="preserve">Ismail Farouk, Hazem Fouda</t>
  </si>
  <si>
    <t xml:space="preserve">June 20, 2019</t>
  </si>
  <si>
    <t xml:space="preserve">Bewildered Bolbol</t>
  </si>
  <si>
    <t xml:space="preserve">Khaled Marei</t>
  </si>
  <si>
    <t xml:space="preserve">Rakkhosh</t>
  </si>
  <si>
    <t xml:space="preserve">Abhijit Kokate, Srivinay Salian</t>
  </si>
  <si>
    <t xml:space="preserve">Reaction</t>
  </si>
  <si>
    <t xml:space="preserve">The Chord</t>
  </si>
  <si>
    <t xml:space="preserve">Magdy Al-Hawwary</t>
  </si>
  <si>
    <t xml:space="preserve">The Player</t>
  </si>
  <si>
    <t xml:space="preserve">Ahmad El-Badri</t>
  </si>
  <si>
    <t xml:space="preserve">The Wolf's Call</t>
  </si>
  <si>
    <t xml:space="preserve">Antonin Baudry</t>
  </si>
  <si>
    <t xml:space="preserve">Three-Quarters Decent</t>
  </si>
  <si>
    <t xml:space="preserve">Unruly Friends</t>
  </si>
  <si>
    <t xml:space="preserve">Sherif Mandour</t>
  </si>
  <si>
    <t xml:space="preserve">The Vietnam War: A Film by Ken Burns and Lynn Novick</t>
  </si>
  <si>
    <t xml:space="preserve">Ken Burns, Lynn Novick</t>
  </si>
  <si>
    <t xml:space="preserve">June 20, 2018</t>
  </si>
  <si>
    <t xml:space="preserve">Amar Akbar &amp; Tony</t>
  </si>
  <si>
    <t xml:space="preserve">Atul Malhotra</t>
  </si>
  <si>
    <t xml:space="preserve">June 20, 2017</t>
  </si>
  <si>
    <t xml:space="preserve">Puss in Book: Trapped in an Epic Tale</t>
  </si>
  <si>
    <t xml:space="preserve">Roy Burdine, Johnny Castuciano</t>
  </si>
  <si>
    <t xml:space="preserve">Rory Scovel Tries Stand-Up for the First Time</t>
  </si>
  <si>
    <t xml:space="preserve">Scott Moran</t>
  </si>
  <si>
    <t xml:space="preserve">Life Story</t>
  </si>
  <si>
    <t xml:space="preserve">June 20, 2016</t>
  </si>
  <si>
    <t xml:space="preserve">Arthdal Chronicles</t>
  </si>
  <si>
    <t xml:space="preserve">June 2, 2019</t>
  </si>
  <si>
    <t xml:space="preserve">Good Night, and Good Luck</t>
  </si>
  <si>
    <t xml:space="preserve">George Clooney</t>
  </si>
  <si>
    <t xml:space="preserve">United States, France, United Kingdom, Japan</t>
  </si>
  <si>
    <t xml:space="preserve">Krutant</t>
  </si>
  <si>
    <t xml:space="preserve">Datta Mohan Bhandare</t>
  </si>
  <si>
    <t xml:space="preserve">The Duel</t>
  </si>
  <si>
    <t xml:space="preserve">Kieran Darcy-Smith</t>
  </si>
  <si>
    <t xml:space="preserve">The King's Speech</t>
  </si>
  <si>
    <t xml:space="preserve">Tom Hooper</t>
  </si>
  <si>
    <t xml:space="preserve">United Kingdom, United States, Australia</t>
  </si>
  <si>
    <t xml:space="preserve">June 2, 2018</t>
  </si>
  <si>
    <t xml:space="preserve">1898: Our Last Men in the Philippines</t>
  </si>
  <si>
    <t xml:space="preserve">Salvador Calvo</t>
  </si>
  <si>
    <t xml:space="preserve">June 2, 2017</t>
  </si>
  <si>
    <t xml:space="preserve">Crashing</t>
  </si>
  <si>
    <t xml:space="preserve">Lucid Dream</t>
  </si>
  <si>
    <t xml:space="preserve">Jun-seong Kim</t>
  </si>
  <si>
    <t xml:space="preserve">The Homecoming</t>
  </si>
  <si>
    <t xml:space="preserve">Hibana: Spark</t>
  </si>
  <si>
    <t xml:space="preserve">June 2, 2016</t>
  </si>
  <si>
    <t xml:space="preserve">Beats</t>
  </si>
  <si>
    <t xml:space="preserve">Chris Robinson</t>
  </si>
  <si>
    <t xml:space="preserve">June 19, 2019</t>
  </si>
  <si>
    <t xml:space="preserve">Memory Games</t>
  </si>
  <si>
    <t xml:space="preserve">Janet Tobias, Claus Wehlisch</t>
  </si>
  <si>
    <t xml:space="preserve">Germany, United States, Sweden</t>
  </si>
  <si>
    <t xml:space="preserve">Running for Grace</t>
  </si>
  <si>
    <t xml:space="preserve">David L. Cunningham</t>
  </si>
  <si>
    <t xml:space="preserve">The Edge of Democracy</t>
  </si>
  <si>
    <t xml:space="preserve">VS.</t>
  </si>
  <si>
    <t xml:space="preserve">Ed Lilly</t>
  </si>
  <si>
    <t xml:space="preserve">Hannah Gadsby: Nanette</t>
  </si>
  <si>
    <t xml:space="preserve">Madeleine Parry, Jon Olb</t>
  </si>
  <si>
    <t xml:space="preserve">June 19, 2018</t>
  </si>
  <si>
    <t xml:space="preserve">The Underwear</t>
  </si>
  <si>
    <t xml:space="preserve">The Incident</t>
  </si>
  <si>
    <t xml:space="preserve">Isaac Ezban</t>
  </si>
  <si>
    <t xml:space="preserve">June 19, 2017</t>
  </si>
  <si>
    <t xml:space="preserve">Adam Devine: Best Time of Our Lives</t>
  </si>
  <si>
    <t xml:space="preserve">June 18, 2019</t>
  </si>
  <si>
    <t xml:space="preserve">Antariksha Ke Rakhwale</t>
  </si>
  <si>
    <t xml:space="preserve">Anirban Majumder</t>
  </si>
  <si>
    <t xml:space="preserve">Big Kill</t>
  </si>
  <si>
    <t xml:space="preserve">Scott Martin</t>
  </si>
  <si>
    <t xml:space="preserve">Bob Lazar: Area 51 &amp; Flying Saucers</t>
  </si>
  <si>
    <t xml:space="preserve">Jeremy Kenyon Lockyer Corbell</t>
  </si>
  <si>
    <t xml:space="preserve">Dragonkala Ka Rahasya</t>
  </si>
  <si>
    <t xml:space="preserve">Samudri Lootere</t>
  </si>
  <si>
    <t xml:space="preserve">Super Bheem Bana Vajraveer</t>
  </si>
  <si>
    <t xml:space="preserve">Sumit Das</t>
  </si>
  <si>
    <t xml:space="preserve">The Wrong Babysitter</t>
  </si>
  <si>
    <t xml:space="preserve">George Mendeluk</t>
  </si>
  <si>
    <t xml:space="preserve">Club de Cuervos Presents: The Ballad of Hugo Sánchez</t>
  </si>
  <si>
    <t xml:space="preserve">June 18, 2018</t>
  </si>
  <si>
    <t xml:space="preserve">Encerrados</t>
  </si>
  <si>
    <t xml:space="preserve">Love Rhythms - Accidental Daddy</t>
  </si>
  <si>
    <t xml:space="preserve">Ip Man 3</t>
  </si>
  <si>
    <t xml:space="preserve">June 18, 2016</t>
  </si>
  <si>
    <t xml:space="preserve">The Stanford Prison Experiment</t>
  </si>
  <si>
    <t xml:space="preserve">Kyle Patrick Alvarez</t>
  </si>
  <si>
    <t xml:space="preserve">June 17, 2017</t>
  </si>
  <si>
    <t xml:space="preserve">Cop Car</t>
  </si>
  <si>
    <t xml:space="preserve">Jon Watts</t>
  </si>
  <si>
    <t xml:space="preserve">June 16, 2019</t>
  </si>
  <si>
    <t xml:space="preserve">Right Here Right Now</t>
  </si>
  <si>
    <t xml:space="preserve">Jakob Lass</t>
  </si>
  <si>
    <t xml:space="preserve">Counterpunch</t>
  </si>
  <si>
    <t xml:space="preserve">Jay Bulger</t>
  </si>
  <si>
    <t xml:space="preserve">June 16, 2017</t>
  </si>
  <si>
    <t xml:space="preserve">The Real Miyagi</t>
  </si>
  <si>
    <t xml:space="preserve">Kevin Derek</t>
  </si>
  <si>
    <t xml:space="preserve">United States, Canada, Japan, Panama</t>
  </si>
  <si>
    <t xml:space="preserve">What the Health</t>
  </si>
  <si>
    <t xml:space="preserve">3 Seconds Divorce</t>
  </si>
  <si>
    <t xml:space="preserve">Shazia Javed</t>
  </si>
  <si>
    <t xml:space="preserve">June 15, 2019</t>
  </si>
  <si>
    <t xml:space="preserve">Charité at War</t>
  </si>
  <si>
    <t xml:space="preserve">Kill la Kill</t>
  </si>
  <si>
    <t xml:space="preserve">Life Overtakes Me</t>
  </si>
  <si>
    <t xml:space="preserve">John Haptas, Kristine Samuelson</t>
  </si>
  <si>
    <t xml:space="preserve">Sweden, United States</t>
  </si>
  <si>
    <t xml:space="preserve">Luckee</t>
  </si>
  <si>
    <t xml:space="preserve">Sanjay Jadhav</t>
  </si>
  <si>
    <t xml:space="preserve">Monopoly (The Bank Of Luck)</t>
  </si>
  <si>
    <t xml:space="preserve">Ahmed El Gendy</t>
  </si>
  <si>
    <t xml:space="preserve">Pihu</t>
  </si>
  <si>
    <t xml:space="preserve">Vinod Kapri</t>
  </si>
  <si>
    <t xml:space="preserve">Puella Magi Madoka Magica</t>
  </si>
  <si>
    <t xml:space="preserve">Somewhere Only We Know</t>
  </si>
  <si>
    <t xml:space="preserve">The Alcàsser Murders</t>
  </si>
  <si>
    <t xml:space="preserve">Elías León</t>
  </si>
  <si>
    <t xml:space="preserve">Unit 42</t>
  </si>
  <si>
    <t xml:space="preserve">Chronicle of an Escape</t>
  </si>
  <si>
    <t xml:space="preserve">June 15, 2018</t>
  </si>
  <si>
    <t xml:space="preserve">LEGO House - Home of the Brick</t>
  </si>
  <si>
    <t xml:space="preserve">Anders Falck, Stinus Morell Vithner</t>
  </si>
  <si>
    <t xml:space="preserve">Lust Stories</t>
  </si>
  <si>
    <t xml:space="preserve">Zoya Akhtar, Karan Johar, Anurag Kashyap, Dibakar Banerjee</t>
  </si>
  <si>
    <t xml:space="preserve">Maktub</t>
  </si>
  <si>
    <t xml:space="preserve">Oded Raz</t>
  </si>
  <si>
    <t xml:space="preserve">Pacificum: Return to the Ocean</t>
  </si>
  <si>
    <t xml:space="preserve">Mariana Tschudi, Héctor Gálvez</t>
  </si>
  <si>
    <t xml:space="preserve">Set It Up</t>
  </si>
  <si>
    <t xml:space="preserve">Claire Scanlon</t>
  </si>
  <si>
    <t xml:space="preserve">Sunday's Illness</t>
  </si>
  <si>
    <t xml:space="preserve">Ramón Salazar</t>
  </si>
  <si>
    <t xml:space="preserve">The last hour</t>
  </si>
  <si>
    <t xml:space="preserve">Eduardo Mendoza de Echave</t>
  </si>
  <si>
    <t xml:space="preserve">Chile, Peru</t>
  </si>
  <si>
    <t xml:space="preserve">True: Magical Friends</t>
  </si>
  <si>
    <t xml:space="preserve">True: Wonderful Wishes</t>
  </si>
  <si>
    <t xml:space="preserve">Cave</t>
  </si>
  <si>
    <t xml:space="preserve">Henrik Martin Dahlsbakken</t>
  </si>
  <si>
    <t xml:space="preserve">June 15, 2017</t>
  </si>
  <si>
    <t xml:space="preserve">Action &amp; Adventure, International Movies, Thrillers</t>
  </si>
  <si>
    <t xml:space="preserve">Kanavu Variyam</t>
  </si>
  <si>
    <t xml:space="preserve">Arun Chidambaram</t>
  </si>
  <si>
    <t xml:space="preserve">Marco Luque: Tamo Junto</t>
  </si>
  <si>
    <t xml:space="preserve">Caio Cobra</t>
  </si>
  <si>
    <t xml:space="preserve">Mr. Gaga: A True Story of Love and Dance</t>
  </si>
  <si>
    <t xml:space="preserve">Tomer Heymann</t>
  </si>
  <si>
    <t xml:space="preserve">Israel, Sweden, Germany, Netherlands</t>
  </si>
  <si>
    <t xml:space="preserve">S Is for Stanley</t>
  </si>
  <si>
    <t xml:space="preserve">Alex Infascelli</t>
  </si>
  <si>
    <t xml:space="preserve">The Russian Revolution</t>
  </si>
  <si>
    <t xml:space="preserve">Cal Seville</t>
  </si>
  <si>
    <t xml:space="preserve">The Pirate Fairy</t>
  </si>
  <si>
    <t xml:space="preserve">Peggy Holmes</t>
  </si>
  <si>
    <t xml:space="preserve">June 15, 2014</t>
  </si>
  <si>
    <t xml:space="preserve">Awake: The Million Dollar Game</t>
  </si>
  <si>
    <t xml:space="preserve">June 14, 2019</t>
  </si>
  <si>
    <t xml:space="preserve">DJ Cinderella</t>
  </si>
  <si>
    <t xml:space="preserve">Bruno Garotti</t>
  </si>
  <si>
    <t xml:space="preserve">Leila</t>
  </si>
  <si>
    <t xml:space="preserve">Murder Mystery</t>
  </si>
  <si>
    <t xml:space="preserve">Trinkets</t>
  </si>
  <si>
    <t xml:space="preserve">Yankee</t>
  </si>
  <si>
    <t xml:space="preserve">Cutie and the Boxer</t>
  </si>
  <si>
    <t xml:space="preserve">Zachary Heinzerling</t>
  </si>
  <si>
    <t xml:space="preserve">June 14, 2018</t>
  </si>
  <si>
    <t xml:space="preserve">Convict</t>
  </si>
  <si>
    <t xml:space="preserve">Abdul Aziz Hashad</t>
  </si>
  <si>
    <t xml:space="preserve">June 13, 2019</t>
  </si>
  <si>
    <t xml:space="preserve">Flimflam</t>
  </si>
  <si>
    <t xml:space="preserve">Jinn</t>
  </si>
  <si>
    <t xml:space="preserve">Lebanon, Jordan</t>
  </si>
  <si>
    <t xml:space="preserve">Oprah Presents When They See Us Now</t>
  </si>
  <si>
    <t xml:space="preserve">Mark Ritchie</t>
  </si>
  <si>
    <t xml:space="preserve">Savage Raghda</t>
  </si>
  <si>
    <t xml:space="preserve">The 3rd Eye 2</t>
  </si>
  <si>
    <t xml:space="preserve">The Ant's Scream</t>
  </si>
  <si>
    <t xml:space="preserve">The Cell</t>
  </si>
  <si>
    <t xml:space="preserve">Tarek Al Eryan</t>
  </si>
  <si>
    <t xml:space="preserve">The Right One</t>
  </si>
  <si>
    <t xml:space="preserve">Hadi El Bagoury</t>
  </si>
  <si>
    <t xml:space="preserve">Dragonheart: Battle for the Heartfire</t>
  </si>
  <si>
    <t xml:space="preserve">Patrik Syversen</t>
  </si>
  <si>
    <t xml:space="preserve">June 13, 2017</t>
  </si>
  <si>
    <t xml:space="preserve">Oh, Hello On Broadway</t>
  </si>
  <si>
    <t xml:space="preserve">Michael John Warren</t>
  </si>
  <si>
    <t xml:space="preserve">Reincarnated</t>
  </si>
  <si>
    <t xml:space="preserve">Andy Capper</t>
  </si>
  <si>
    <t xml:space="preserve">June 13, 2016</t>
  </si>
  <si>
    <t xml:space="preserve">Jo Koy: Comin' In Hot</t>
  </si>
  <si>
    <t xml:space="preserve">June 12, 2019</t>
  </si>
  <si>
    <t xml:space="preserve">Rolling Thunder Revue: A Bob Dylan Story by Martin Scorsese</t>
  </si>
  <si>
    <t xml:space="preserve">A new Capitalism</t>
  </si>
  <si>
    <t xml:space="preserve">June 12, 2018</t>
  </si>
  <si>
    <t xml:space="preserve">My Daddy is in Heaven</t>
  </si>
  <si>
    <t xml:space="preserve">Waymon Boone</t>
  </si>
  <si>
    <t xml:space="preserve">Ralph Breaks the Internet: Wreck-It Ralph 2</t>
  </si>
  <si>
    <t xml:space="preserve">Phil Johnston, Rich Moore</t>
  </si>
  <si>
    <t xml:space="preserve">June 11, 2019</t>
  </si>
  <si>
    <t xml:space="preserve">Upin &amp; Ipin</t>
  </si>
  <si>
    <t xml:space="preserve">June 10, 2019</t>
  </si>
  <si>
    <t xml:space="preserve">28 Moons</t>
  </si>
  <si>
    <t xml:space="preserve">June 10, 2017</t>
  </si>
  <si>
    <t xml:space="preserve">Daughters of the Dust</t>
  </si>
  <si>
    <t xml:space="preserve">Julie Dash</t>
  </si>
  <si>
    <t xml:space="preserve">Havenhurst</t>
  </si>
  <si>
    <t xml:space="preserve">Andrew C. Erin</t>
  </si>
  <si>
    <t xml:space="preserve">Magic Phone</t>
  </si>
  <si>
    <t xml:space="preserve">Man to Man</t>
  </si>
  <si>
    <t xml:space="preserve">Chang-Min Lee</t>
  </si>
  <si>
    <t xml:space="preserve">My Little Baby</t>
  </si>
  <si>
    <t xml:space="preserve">Singles Villa</t>
  </si>
  <si>
    <t xml:space="preserve">Sword Master</t>
  </si>
  <si>
    <t xml:space="preserve">Derek Yee</t>
  </si>
  <si>
    <t xml:space="preserve">Under the Black Moonlight</t>
  </si>
  <si>
    <t xml:space="preserve">#Selfie</t>
  </si>
  <si>
    <t xml:space="preserve">Cristina Jacob</t>
  </si>
  <si>
    <t xml:space="preserve">Romania</t>
  </si>
  <si>
    <t xml:space="preserve">June 1, 2019</t>
  </si>
  <si>
    <t xml:space="preserve">#Selfie 69</t>
  </si>
  <si>
    <t xml:space="preserve">10,000 B.C.</t>
  </si>
  <si>
    <t xml:space="preserve">Roland Emmerich</t>
  </si>
  <si>
    <t xml:space="preserve">50/50</t>
  </si>
  <si>
    <t xml:space="preserve">Jonathan Levine</t>
  </si>
  <si>
    <t xml:space="preserve">A Thousand Goodnights</t>
  </si>
  <si>
    <t xml:space="preserve">Bullitt County</t>
  </si>
  <si>
    <t xml:space="preserve">David McCracken</t>
  </si>
  <si>
    <t xml:space="preserve">Carrie</t>
  </si>
  <si>
    <t xml:space="preserve">Classic Movies, Cult Movies, Horror Movies</t>
  </si>
  <si>
    <t xml:space="preserve">Falsa identidad</t>
  </si>
  <si>
    <t xml:space="preserve">Crime TV Shows, Spanish-Language TV Shows, TV Dramas</t>
  </si>
  <si>
    <t xml:space="preserve">III Smoking Barrels</t>
  </si>
  <si>
    <t xml:space="preserve">Sanjib Dey</t>
  </si>
  <si>
    <t xml:space="preserve">Life in the Doghouse</t>
  </si>
  <si>
    <t xml:space="preserve">Ron Davis</t>
  </si>
  <si>
    <t xml:space="preserve">Love Is a Story</t>
  </si>
  <si>
    <t xml:space="preserve">Oh, Ramona!</t>
  </si>
  <si>
    <t xml:space="preserve">Prosecuting Evil: The Extraordinary World of Ben Ferencz</t>
  </si>
  <si>
    <t xml:space="preserve">Barry Avrich</t>
  </si>
  <si>
    <t xml:space="preserve">Righteous Kill</t>
  </si>
  <si>
    <t xml:space="preserve">Jon Avnet</t>
  </si>
  <si>
    <t xml:space="preserve">Satan &amp; Adam</t>
  </si>
  <si>
    <t xml:space="preserve">V. Scott Balcerek</t>
  </si>
  <si>
    <t xml:space="preserve">Small Soldiers</t>
  </si>
  <si>
    <t xml:space="preserve">The Box</t>
  </si>
  <si>
    <t xml:space="preserve">Richard Kelly</t>
  </si>
  <si>
    <t xml:space="preserve">The Phantom of the Opera</t>
  </si>
  <si>
    <t xml:space="preserve">Joel Schumacher</t>
  </si>
  <si>
    <t xml:space="preserve">Dramas, Music &amp; Musicals, Romantic Movies</t>
  </si>
  <si>
    <t xml:space="preserve">The Space Between Us</t>
  </si>
  <si>
    <t xml:space="preserve">Peter Chelsom</t>
  </si>
  <si>
    <t xml:space="preserve">Action &amp; Adventure, Romantic Movies, Sci-Fi &amp; Fantasy</t>
  </si>
  <si>
    <t xml:space="preserve">Then Came You</t>
  </si>
  <si>
    <t xml:space="preserve">Peter Hutchings</t>
  </si>
  <si>
    <t xml:space="preserve">We Are Legends</t>
  </si>
  <si>
    <t xml:space="preserve">Daniel Yee Heng Chan</t>
  </si>
  <si>
    <t xml:space="preserve">Action &amp; Adventure, International Movies, Sports Movies</t>
  </si>
  <si>
    <t xml:space="preserve">What a Girl Wants</t>
  </si>
  <si>
    <t xml:space="preserve">Dennie Gordon</t>
  </si>
  <si>
    <t xml:space="preserve">B.A. Pass 2</t>
  </si>
  <si>
    <t xml:space="preserve">Shadab Khan</t>
  </si>
  <si>
    <t xml:space="preserve">June 1, 2018</t>
  </si>
  <si>
    <t xml:space="preserve">Bad Genius</t>
  </si>
  <si>
    <t xml:space="preserve">Nattawut Poonpiriya</t>
  </si>
  <si>
    <t xml:space="preserve">Bobbi Jene</t>
  </si>
  <si>
    <t xml:space="preserve">Elvira Lind</t>
  </si>
  <si>
    <t xml:space="preserve">Denmark, Sweden, Israel, United States</t>
  </si>
  <si>
    <t xml:space="preserve">Gabru: Hip Hop Revolution</t>
  </si>
  <si>
    <t xml:space="preserve">He Named Me Malala</t>
  </si>
  <si>
    <t xml:space="preserve">Davis Guggenheim</t>
  </si>
  <si>
    <t xml:space="preserve">Miracle</t>
  </si>
  <si>
    <t xml:space="preserve">Gavin O'Connor</t>
  </si>
  <si>
    <t xml:space="preserve">National Treasure</t>
  </si>
  <si>
    <t xml:space="preserve">Jon Turteltaub</t>
  </si>
  <si>
    <t xml:space="preserve">Action &amp; Adventure, Children &amp; Family Movies</t>
  </si>
  <si>
    <t xml:space="preserve">Natsamrat - Asa Nat Hone Nahi</t>
  </si>
  <si>
    <t xml:space="preserve">November 13: Attack on Paris</t>
  </si>
  <si>
    <t xml:space="preserve">Outside In</t>
  </si>
  <si>
    <t xml:space="preserve">Pedal the World</t>
  </si>
  <si>
    <t xml:space="preserve">Felix Starck</t>
  </si>
  <si>
    <t xml:space="preserve">Singularity</t>
  </si>
  <si>
    <t xml:space="preserve">Robert Kouba</t>
  </si>
  <si>
    <t xml:space="preserve">Switzerland, United States</t>
  </si>
  <si>
    <t xml:space="preserve">Aashik Awara</t>
  </si>
  <si>
    <t xml:space="preserve">June 1, 2017</t>
  </si>
  <si>
    <t xml:space="preserve">Amelia: A Tale of Two Sisters</t>
  </si>
  <si>
    <t xml:space="preserve">Betting on Zero</t>
  </si>
  <si>
    <t xml:space="preserve">Ted Braun</t>
  </si>
  <si>
    <t xml:space="preserve">Burlesque: Heart of the Glitter Tribe</t>
  </si>
  <si>
    <t xml:space="preserve">Jon Manning</t>
  </si>
  <si>
    <t xml:space="preserve">Catfight</t>
  </si>
  <si>
    <t xml:space="preserve">Onur Tukel</t>
  </si>
  <si>
    <t xml:space="preserve">Chingo Bling: They Can't Deport Us All</t>
  </si>
  <si>
    <t xml:space="preserve">Luis Lopez</t>
  </si>
  <si>
    <t xml:space="preserve">Devil's Bride</t>
  </si>
  <si>
    <t xml:space="preserve">Saara Cantell</t>
  </si>
  <si>
    <t xml:space="preserve">Finland, Sweden, Norway, Latvia, Germany</t>
  </si>
  <si>
    <t xml:space="preserve">Fear Files... Har Mod Pe Darr</t>
  </si>
  <si>
    <t xml:space="preserve">How the Grinch Stole Christmas</t>
  </si>
  <si>
    <t xml:space="preserve">Ron Howard</t>
  </si>
  <si>
    <t xml:space="preserve">How to Stage a Coup</t>
  </si>
  <si>
    <t xml:space="preserve">Jackie: A Tale of Two Sisters</t>
  </si>
  <si>
    <t xml:space="preserve">Jhansi Ki Rani</t>
  </si>
  <si>
    <t xml:space="preserve">Lens</t>
  </si>
  <si>
    <t xml:space="preserve">Jayaprakash Radhakrishnan</t>
  </si>
  <si>
    <t xml:space="preserve">Little Boxes</t>
  </si>
  <si>
    <t xml:space="preserve">Rob Meyer</t>
  </si>
  <si>
    <t xml:space="preserve">Love.com</t>
  </si>
  <si>
    <t xml:space="preserve">Anita Barbosa</t>
  </si>
  <si>
    <t xml:space="preserve">Maya Memsaab</t>
  </si>
  <si>
    <t xml:space="preserve">France, United Kingdom, India</t>
  </si>
  <si>
    <t xml:space="preserve">Michael Lost and Found</t>
  </si>
  <si>
    <t xml:space="preserve">Daniel Wilner</t>
  </si>
  <si>
    <t xml:space="preserve">Mind Game</t>
  </si>
  <si>
    <t xml:space="preserve">Miniforce</t>
  </si>
  <si>
    <t xml:space="preserve">Oh Darling Yeh Hai India</t>
  </si>
  <si>
    <t xml:space="preserve">Pablo Escobar, el patrón del mal</t>
  </si>
  <si>
    <t xml:space="preserve">Power Battle Watch Car</t>
  </si>
  <si>
    <t xml:space="preserve">Prince</t>
  </si>
  <si>
    <t xml:space="preserve">Lekh Tandon</t>
  </si>
  <si>
    <t xml:space="preserve">Qila</t>
  </si>
  <si>
    <t xml:space="preserve">Rab Se Sohna Isshq</t>
  </si>
  <si>
    <t xml:space="preserve">Smoke &amp; Mirrors</t>
  </si>
  <si>
    <t xml:space="preserve">Alberto Rodríguez</t>
  </si>
  <si>
    <t xml:space="preserve">The Day Will Come</t>
  </si>
  <si>
    <t xml:space="preserve">The Dream Job</t>
  </si>
  <si>
    <t xml:space="preserve">The Golden Years with Javed Akhtar</t>
  </si>
  <si>
    <t xml:space="preserve">The Mitfords: A Tale of Two Sisters</t>
  </si>
  <si>
    <t xml:space="preserve">Y Tu Mamá También</t>
  </si>
  <si>
    <t xml:space="preserve">72 Cutest Animals</t>
  </si>
  <si>
    <t xml:space="preserve">June 1, 2016</t>
  </si>
  <si>
    <t xml:space="preserve">72 Dangerous Places to Live</t>
  </si>
  <si>
    <t xml:space="preserve">Black Man White Skin</t>
  </si>
  <si>
    <t xml:space="preserve">Jose Manuel Colón</t>
  </si>
  <si>
    <t xml:space="preserve">Bob Ross: Beauty Is Everywhere</t>
  </si>
  <si>
    <t xml:space="preserve">Gentlemen and Gangsters</t>
  </si>
  <si>
    <t xml:space="preserve">Crime TV Shows, International TV Shows, Romantic TV Shows</t>
  </si>
  <si>
    <t xml:space="preserve">Spy Time</t>
  </si>
  <si>
    <t xml:space="preserve">The Fear of 13</t>
  </si>
  <si>
    <t xml:space="preserve">David Sington</t>
  </si>
  <si>
    <t xml:space="preserve">The Heroes of Evil</t>
  </si>
  <si>
    <t xml:space="preserve">Zoe Berriatúa</t>
  </si>
  <si>
    <t xml:space="preserve">The Perfect Dictatorship</t>
  </si>
  <si>
    <t xml:space="preserve">Luis Estrada</t>
  </si>
  <si>
    <t xml:space="preserve">June 1, 2015</t>
  </si>
  <si>
    <t xml:space="preserve">Aziz Ansari: RIGHT NOW</t>
  </si>
  <si>
    <t xml:space="preserve">Spike Jonze</t>
  </si>
  <si>
    <t xml:space="preserve">July 9, 2019</t>
  </si>
  <si>
    <t xml:space="preserve">Mary Poppins Returns</t>
  </si>
  <si>
    <t xml:space="preserve">Rob Marshall</t>
  </si>
  <si>
    <t xml:space="preserve">Krishna Balram</t>
  </si>
  <si>
    <t xml:space="preserve">July 8, 2019</t>
  </si>
  <si>
    <t xml:space="preserve">Mr. Sunshine</t>
  </si>
  <si>
    <t xml:space="preserve">Lee Eung-bok</t>
  </si>
  <si>
    <t xml:space="preserve">July 8, 2018</t>
  </si>
  <si>
    <t xml:space="preserve">The Invitation</t>
  </si>
  <si>
    <t xml:space="preserve">Karyn Kusama</t>
  </si>
  <si>
    <t xml:space="preserve">July 8, 2016</t>
  </si>
  <si>
    <t xml:space="preserve">The Iron Lady</t>
  </si>
  <si>
    <t xml:space="preserve">Phyllida Lloyd</t>
  </si>
  <si>
    <t xml:space="preserve">July 7, 2019</t>
  </si>
  <si>
    <t xml:space="preserve">1 Mile to You</t>
  </si>
  <si>
    <t xml:space="preserve">Leif Tilden</t>
  </si>
  <si>
    <t xml:space="preserve">July 7, 2017</t>
  </si>
  <si>
    <t xml:space="preserve">Diamond Lover</t>
  </si>
  <si>
    <t xml:space="preserve">King’s War</t>
  </si>
  <si>
    <t xml:space="preserve">Qin Empire: Alliance</t>
  </si>
  <si>
    <t xml:space="preserve">Take Me</t>
  </si>
  <si>
    <t xml:space="preserve">Pat Healy</t>
  </si>
  <si>
    <t xml:space="preserve">The Legend of Bruce Lee</t>
  </si>
  <si>
    <t xml:space="preserve">NSU German History X</t>
  </si>
  <si>
    <t xml:space="preserve">July 7, 2016</t>
  </si>
  <si>
    <t xml:space="preserve">Monster High: Scaris, City of Frights</t>
  </si>
  <si>
    <t xml:space="preserve">Dustin McKenzie, Andrew Duncan, Audu Paden</t>
  </si>
  <si>
    <t xml:space="preserve">July 7, 2015</t>
  </si>
  <si>
    <t xml:space="preserve">Sicilian Ghost Story</t>
  </si>
  <si>
    <t xml:space="preserve">Fabio Grassadonia, Antonio Piazza</t>
  </si>
  <si>
    <t xml:space="preserve">Italy, France, Switzerland</t>
  </si>
  <si>
    <t xml:space="preserve">July 6, 2019</t>
  </si>
  <si>
    <t xml:space="preserve">100 Days Of Solitude</t>
  </si>
  <si>
    <t xml:space="preserve">July 6, 2018</t>
  </si>
  <si>
    <t xml:space="preserve">Luciano Mellera: Infantiloide</t>
  </si>
  <si>
    <t xml:space="preserve">The Legacy of a Whitetail Deer Hunter</t>
  </si>
  <si>
    <t xml:space="preserve">Jody Hill</t>
  </si>
  <si>
    <t xml:space="preserve">The Skin of the Wolf</t>
  </si>
  <si>
    <t xml:space="preserve">Samu Fuentes</t>
  </si>
  <si>
    <t xml:space="preserve">White Fang</t>
  </si>
  <si>
    <t xml:space="preserve">Alexandre Espigares</t>
  </si>
  <si>
    <t xml:space="preserve">France, Luxembourg, United States</t>
  </si>
  <si>
    <t xml:space="preserve">Motu Patlu: King of Kings</t>
  </si>
  <si>
    <t xml:space="preserve">Suhas Kadav</t>
  </si>
  <si>
    <t xml:space="preserve">July 6, 2017</t>
  </si>
  <si>
    <t xml:space="preserve">Speech &amp; Debate</t>
  </si>
  <si>
    <t xml:space="preserve">Dan Harris</t>
  </si>
  <si>
    <t xml:space="preserve">Brahman Naman</t>
  </si>
  <si>
    <t xml:space="preserve">India, United Kingdom</t>
  </si>
  <si>
    <t xml:space="preserve">July 6, 2016</t>
  </si>
  <si>
    <t xml:space="preserve">In The Dark</t>
  </si>
  <si>
    <t xml:space="preserve">July 5, 2019</t>
  </si>
  <si>
    <t xml:space="preserve">River, el más grande siempre</t>
  </si>
  <si>
    <t xml:space="preserve">Marcelo Altmark, Mariano Mucci, Luis A. Scalella</t>
  </si>
  <si>
    <t xml:space="preserve">The Legend of White Snake</t>
  </si>
  <si>
    <t xml:space="preserve">Blue Valentine</t>
  </si>
  <si>
    <t xml:space="preserve">July 5, 2018</t>
  </si>
  <si>
    <t xml:space="preserve">Dharmakshetra</t>
  </si>
  <si>
    <t xml:space="preserve">Raja Rasoi Aur Anya Kahaniyan</t>
  </si>
  <si>
    <t xml:space="preserve">Stories by Rabindranath Tagore</t>
  </si>
  <si>
    <t xml:space="preserve">Cristina</t>
  </si>
  <si>
    <t xml:space="preserve">July 4, 2019</t>
  </si>
  <si>
    <t xml:space="preserve">Skiptrace</t>
  </si>
  <si>
    <t xml:space="preserve">Renny Harlin</t>
  </si>
  <si>
    <t xml:space="preserve">China, Hong Kong, United States</t>
  </si>
  <si>
    <t xml:space="preserve">Sommore: Chandelier Status</t>
  </si>
  <si>
    <t xml:space="preserve">July 4, 2018</t>
  </si>
  <si>
    <t xml:space="preserve">Vegas Baby</t>
  </si>
  <si>
    <t xml:space="preserve">Amanda Micheli</t>
  </si>
  <si>
    <t xml:space="preserve">July 4, 2017</t>
  </si>
  <si>
    <t xml:space="preserve">Bangkok Love Stories: Innocence</t>
  </si>
  <si>
    <t xml:space="preserve">July 31, 2019</t>
  </si>
  <si>
    <t xml:space="preserve">Ramen Shop</t>
  </si>
  <si>
    <t xml:space="preserve">Eric Khoo</t>
  </si>
  <si>
    <t xml:space="preserve">Singapore, Japan, France</t>
  </si>
  <si>
    <t xml:space="preserve">The Red Sea Diving Resort</t>
  </si>
  <si>
    <t xml:space="preserve">Gideon Raff</t>
  </si>
  <si>
    <t xml:space="preserve">Flying Guillotine 2</t>
  </si>
  <si>
    <t xml:space="preserve">Kang Cheng, Shan Hua</t>
  </si>
  <si>
    <t xml:space="preserve">July 31, 2018</t>
  </si>
  <si>
    <t xml:space="preserve">Reality of Dream</t>
  </si>
  <si>
    <t xml:space="preserve">The Five Venoms</t>
  </si>
  <si>
    <t xml:space="preserve">July 31, 2015</t>
  </si>
  <si>
    <t xml:space="preserve">7 (Seven)</t>
  </si>
  <si>
    <t xml:space="preserve">Nizar Shafi</t>
  </si>
  <si>
    <t xml:space="preserve">July 30, 2019</t>
  </si>
  <si>
    <t xml:space="preserve">All Good Ones Get Away</t>
  </si>
  <si>
    <t xml:space="preserve">Víctor García</t>
  </si>
  <si>
    <t xml:space="preserve">American Hangman</t>
  </si>
  <si>
    <t xml:space="preserve">Wilson Coneybeare</t>
  </si>
  <si>
    <t xml:space="preserve">Whitney Cummings: Can I Touch It?</t>
  </si>
  <si>
    <t xml:space="preserve">Holy Man 2</t>
  </si>
  <si>
    <t xml:space="preserve">Note Chern-Yim</t>
  </si>
  <si>
    <t xml:space="preserve">July 30, 2018</t>
  </si>
  <si>
    <t xml:space="preserve">Comedies, Faith &amp; Spirituality, International Movies</t>
  </si>
  <si>
    <t xml:space="preserve">Holy Man 3</t>
  </si>
  <si>
    <t xml:space="preserve">The Unborn Child</t>
  </si>
  <si>
    <t xml:space="preserve">Poj Arnon</t>
  </si>
  <si>
    <t xml:space="preserve">Loco Love</t>
  </si>
  <si>
    <t xml:space="preserve">Fernando Sariñana, José Luis Gutiérrez</t>
  </si>
  <si>
    <t xml:space="preserve">July 30, 2017</t>
  </si>
  <si>
    <t xml:space="preserve">The Last Czars</t>
  </si>
  <si>
    <t xml:space="preserve">July 3, 2019</t>
  </si>
  <si>
    <t xml:space="preserve">All the Boys Love Mandy Lane</t>
  </si>
  <si>
    <t xml:space="preserve">July 3, 2018</t>
  </si>
  <si>
    <t xml:space="preserve">Felipe Esparza: They're Not Going to Laugh at You</t>
  </si>
  <si>
    <t xml:space="preserve">Scott L. Montoya</t>
  </si>
  <si>
    <t xml:space="preserve">Joan Rivers: Don't Start with Me</t>
  </si>
  <si>
    <t xml:space="preserve">Katt Williams: Kattpacalypse</t>
  </si>
  <si>
    <t xml:space="preserve">Mission of Honor</t>
  </si>
  <si>
    <t xml:space="preserve">David Blair</t>
  </si>
  <si>
    <t xml:space="preserve">United Kingdom, Poland</t>
  </si>
  <si>
    <t xml:space="preserve">July 29, 2019</t>
  </si>
  <si>
    <t xml:space="preserve">The Croods</t>
  </si>
  <si>
    <t xml:space="preserve">Kirk De Micco, Chris Sanders</t>
  </si>
  <si>
    <t xml:space="preserve">Twelve Forever</t>
  </si>
  <si>
    <t xml:space="preserve">Her</t>
  </si>
  <si>
    <t xml:space="preserve">July 29, 2018</t>
  </si>
  <si>
    <t xml:space="preserve">Tallulah</t>
  </si>
  <si>
    <t xml:space="preserve">Sian Heder</t>
  </si>
  <si>
    <t xml:space="preserve">July 29, 2016</t>
  </si>
  <si>
    <t xml:space="preserve">Da Kath &amp; Kim Code</t>
  </si>
  <si>
    <t xml:space="preserve">Ted Emery</t>
  </si>
  <si>
    <t xml:space="preserve">July 28, 2018</t>
  </si>
  <si>
    <t xml:space="preserve">Kath &amp; Kimderella</t>
  </si>
  <si>
    <t xml:space="preserve">The Company Men</t>
  </si>
  <si>
    <t xml:space="preserve">John Wells</t>
  </si>
  <si>
    <t xml:space="preserve">The Flying Guillotine</t>
  </si>
  <si>
    <t xml:space="preserve">Meng Hua Ho</t>
  </si>
  <si>
    <t xml:space="preserve">The Mansion</t>
  </si>
  <si>
    <t xml:space="preserve">Tony Datis</t>
  </si>
  <si>
    <t xml:space="preserve">Daughters of Destiny</t>
  </si>
  <si>
    <t xml:space="preserve">Vanessa Roth</t>
  </si>
  <si>
    <t xml:space="preserve">July 28, 2017</t>
  </si>
  <si>
    <t xml:space="preserve">Diana: 7 Days That Shook the World</t>
  </si>
  <si>
    <t xml:space="preserve">Ben Ryder</t>
  </si>
  <si>
    <t xml:space="preserve">The Incredible Jessica James</t>
  </si>
  <si>
    <t xml:space="preserve">Jim Strouse</t>
  </si>
  <si>
    <t xml:space="preserve">Coco y Raulito: Carrusel de ternura</t>
  </si>
  <si>
    <t xml:space="preserve">July 27, 2018</t>
  </si>
  <si>
    <t xml:space="preserve">Extinction</t>
  </si>
  <si>
    <t xml:space="preserve">Ben Young</t>
  </si>
  <si>
    <t xml:space="preserve">Smoking</t>
  </si>
  <si>
    <t xml:space="preserve">The Bleeding Edge</t>
  </si>
  <si>
    <t xml:space="preserve">Kirby Dick</t>
  </si>
  <si>
    <t xml:space="preserve">Welcome to the Family</t>
  </si>
  <si>
    <t xml:space="preserve">1st Summoning</t>
  </si>
  <si>
    <t xml:space="preserve">Raymond Wood</t>
  </si>
  <si>
    <t xml:space="preserve">July 26, 2019</t>
  </si>
  <si>
    <t xml:space="preserve">Boi</t>
  </si>
  <si>
    <t xml:space="preserve">Jorge M. Fontana</t>
  </si>
  <si>
    <t xml:space="preserve">Eerie</t>
  </si>
  <si>
    <t xml:space="preserve">Philippines, Singapore</t>
  </si>
  <si>
    <t xml:space="preserve">Fake or Fortune?</t>
  </si>
  <si>
    <t xml:space="preserve">Girls With Balls</t>
  </si>
  <si>
    <t xml:space="preserve">Olivier Afonso</t>
  </si>
  <si>
    <t xml:space="preserve">Guy Martin: Last Flight of the Vulcan Bomber</t>
  </si>
  <si>
    <t xml:space="preserve">James Woodroffe</t>
  </si>
  <si>
    <t xml:space="preserve">Love Your Garden</t>
  </si>
  <si>
    <t xml:space="preserve">Mary Portas: Secret Shopper</t>
  </si>
  <si>
    <t xml:space="preserve">Monty Don's French Gardens</t>
  </si>
  <si>
    <t xml:space="preserve">Rachel Bell</t>
  </si>
  <si>
    <t xml:space="preserve">Monty Don's Italian Gardens</t>
  </si>
  <si>
    <t xml:space="preserve">The Exception</t>
  </si>
  <si>
    <t xml:space="preserve">David Leveaux</t>
  </si>
  <si>
    <t xml:space="preserve">The Son</t>
  </si>
  <si>
    <t xml:space="preserve">Sebastián Schindel</t>
  </si>
  <si>
    <t xml:space="preserve">Amy</t>
  </si>
  <si>
    <t xml:space="preserve">July 26, 2018</t>
  </si>
  <si>
    <t xml:space="preserve">Barely Lethal</t>
  </si>
  <si>
    <t xml:space="preserve">Kyle Newman</t>
  </si>
  <si>
    <t xml:space="preserve">Dark Places</t>
  </si>
  <si>
    <t xml:space="preserve">Ex Machina</t>
  </si>
  <si>
    <t xml:space="preserve">Alex Garland</t>
  </si>
  <si>
    <t xml:space="preserve">Man of Tai Chi</t>
  </si>
  <si>
    <t xml:space="preserve">Keanu Reeves</t>
  </si>
  <si>
    <t xml:space="preserve">United States, China, Hong Kong</t>
  </si>
  <si>
    <t xml:space="preserve">Mississippi Grind</t>
  </si>
  <si>
    <t xml:space="preserve">Anna Boden, Ryan Fleck</t>
  </si>
  <si>
    <t xml:space="preserve">Mojave</t>
  </si>
  <si>
    <t xml:space="preserve">William Monahan</t>
  </si>
  <si>
    <t xml:space="preserve">Pahuyut Fighting Beat</t>
  </si>
  <si>
    <t xml:space="preserve">Piti Jaturaphat</t>
  </si>
  <si>
    <t xml:space="preserve">Remember</t>
  </si>
  <si>
    <t xml:space="preserve">Atom Egoyan</t>
  </si>
  <si>
    <t xml:space="preserve">Canada, Mexico, Germany, South Africa</t>
  </si>
  <si>
    <t xml:space="preserve">Slow West</t>
  </si>
  <si>
    <t xml:space="preserve">John Maclean</t>
  </si>
  <si>
    <t xml:space="preserve">United Kingdom, New Zealand</t>
  </si>
  <si>
    <t xml:space="preserve">The End of the Tour</t>
  </si>
  <si>
    <t xml:space="preserve">James Ponsoldt</t>
  </si>
  <si>
    <t xml:space="preserve">Another Life</t>
  </si>
  <si>
    <t xml:space="preserve">July 25, 2019</t>
  </si>
  <si>
    <t xml:space="preserve">TV Action &amp; Adventure, TV Dramas, TV Mysteries</t>
  </si>
  <si>
    <t xml:space="preserve">Bang Rajan 2</t>
  </si>
  <si>
    <t xml:space="preserve">Tanit Jitnukul</t>
  </si>
  <si>
    <t xml:space="preserve">July 25, 2018</t>
  </si>
  <si>
    <t xml:space="preserve">My True Friend</t>
  </si>
  <si>
    <t xml:space="preserve">Atsajun Sattakovit</t>
  </si>
  <si>
    <t xml:space="preserve">Oh My Ghost 2</t>
  </si>
  <si>
    <t xml:space="preserve">Oh My Ghost 4</t>
  </si>
  <si>
    <t xml:space="preserve">Parmanu: The Story of Pokhran</t>
  </si>
  <si>
    <t xml:space="preserve">The Holy Man</t>
  </si>
  <si>
    <t xml:space="preserve">Train of the Dead</t>
  </si>
  <si>
    <t xml:space="preserve">Sukum Maetawanitch</t>
  </si>
  <si>
    <t xml:space="preserve">Waterschool</t>
  </si>
  <si>
    <t xml:space="preserve">Tiffanie Hsu</t>
  </si>
  <si>
    <t xml:space="preserve">United States, Brazil, India, Uganda, China</t>
  </si>
  <si>
    <t xml:space="preserve">Joe Mande’s Award-Winning Comedy Special</t>
  </si>
  <si>
    <t xml:space="preserve">Daniel Gray Longino</t>
  </si>
  <si>
    <t xml:space="preserve">July 25, 2017</t>
  </si>
  <si>
    <t xml:space="preserve">Lizzie Borden Took an Ax</t>
  </si>
  <si>
    <t xml:space="preserve">Nick Gomez</t>
  </si>
  <si>
    <t xml:space="preserve">July 25, 2016</t>
  </si>
  <si>
    <t xml:space="preserve">The Great Hack</t>
  </si>
  <si>
    <t xml:space="preserve">Karim Amer, Jehane Noujaim</t>
  </si>
  <si>
    <t xml:space="preserve">July 24, 2019</t>
  </si>
  <si>
    <t xml:space="preserve">Iliza Shlesinger: Elder Millennial</t>
  </si>
  <si>
    <t xml:space="preserve">July 24, 2018</t>
  </si>
  <si>
    <t xml:space="preserve">The Warning</t>
  </si>
  <si>
    <t xml:space="preserve">Daniel Calparsoro</t>
  </si>
  <si>
    <t xml:space="preserve">Tusk</t>
  </si>
  <si>
    <t xml:space="preserve">I Called Him Morgan</t>
  </si>
  <si>
    <t xml:space="preserve">Kasper Collin</t>
  </si>
  <si>
    <t xml:space="preserve">July 24, 2017</t>
  </si>
  <si>
    <t xml:space="preserve">Victor</t>
  </si>
  <si>
    <t xml:space="preserve">Brandon Dickerson</t>
  </si>
  <si>
    <t xml:space="preserve">Eurovision Song Contest</t>
  </si>
  <si>
    <t xml:space="preserve">July 23, 2019</t>
  </si>
  <si>
    <t xml:space="preserve">The Competition</t>
  </si>
  <si>
    <t xml:space="preserve">The Devil and Father Amorth</t>
  </si>
  <si>
    <t xml:space="preserve">William Friedkin</t>
  </si>
  <si>
    <t xml:space="preserve">July 23, 2018</t>
  </si>
  <si>
    <t xml:space="preserve">Documentaries, Horror Movies</t>
  </si>
  <si>
    <t xml:space="preserve">Inglourious Basterds</t>
  </si>
  <si>
    <t xml:space="preserve">July 22, 2019</t>
  </si>
  <si>
    <t xml:space="preserve">My Hotter Half</t>
  </si>
  <si>
    <t xml:space="preserve">Storage Wars: Northern Treasures</t>
  </si>
  <si>
    <t xml:space="preserve">Unfinished Song</t>
  </si>
  <si>
    <t xml:space="preserve">Paul Andrew Williams</t>
  </si>
  <si>
    <t xml:space="preserve">United Kingdom, Germany</t>
  </si>
  <si>
    <t xml:space="preserve">A Most Violent Year</t>
  </si>
  <si>
    <t xml:space="preserve">July 22, 2018</t>
  </si>
  <si>
    <t xml:space="preserve">Bolt</t>
  </si>
  <si>
    <t xml:space="preserve">Byron Howard, Chris Williams</t>
  </si>
  <si>
    <t xml:space="preserve">Bewafaa</t>
  </si>
  <si>
    <t xml:space="preserve">July 21, 2019</t>
  </si>
  <si>
    <t xml:space="preserve">Connected</t>
  </si>
  <si>
    <t xml:space="preserve">Benny Chan</t>
  </si>
  <si>
    <t xml:space="preserve">D.L. Hughley: Contrarian</t>
  </si>
  <si>
    <t xml:space="preserve">Demetri Martin: The Overthinker</t>
  </si>
  <si>
    <t xml:space="preserve">Jay Karas, Demetri Martin</t>
  </si>
  <si>
    <t xml:space="preserve">The Beast Stalker</t>
  </si>
  <si>
    <t xml:space="preserve">The Midas Touch</t>
  </si>
  <si>
    <t xml:space="preserve">Chi Keung Fung</t>
  </si>
  <si>
    <t xml:space="preserve">The Twins Effect II</t>
  </si>
  <si>
    <t xml:space="preserve">Corey Yuen, Patrick Leung</t>
  </si>
  <si>
    <t xml:space="preserve">Twins Mission</t>
  </si>
  <si>
    <t xml:space="preserve">To-hoi Kong</t>
  </si>
  <si>
    <t xml:space="preserve">Life After Beth</t>
  </si>
  <si>
    <t xml:space="preserve">Jeff Baena</t>
  </si>
  <si>
    <t xml:space="preserve">July 21, 2018</t>
  </si>
  <si>
    <t xml:space="preserve">Revenge of the Green Dragons</t>
  </si>
  <si>
    <t xml:space="preserve">Andrew Lau Wai-Keung, Andrew Loo</t>
  </si>
  <si>
    <t xml:space="preserve">City of Tiny Lights</t>
  </si>
  <si>
    <t xml:space="preserve">July 21, 2017</t>
  </si>
  <si>
    <t xml:space="preserve">Internet Famous</t>
  </si>
  <si>
    <t xml:space="preserve">Michael Gallagher</t>
  </si>
  <si>
    <t xml:space="preserve">July 21, 2016</t>
  </si>
  <si>
    <t xml:space="preserve">May You Prosper</t>
  </si>
  <si>
    <t xml:space="preserve">Hassan Hegazy, Shady Ali</t>
  </si>
  <si>
    <t xml:space="preserve">July 20, 2019</t>
  </si>
  <si>
    <t xml:space="preserve">Sexy Central</t>
  </si>
  <si>
    <t xml:space="preserve">Amazing Interiors</t>
  </si>
  <si>
    <t xml:space="preserve">July 20, 2018</t>
  </si>
  <si>
    <t xml:space="preserve">Dark Tourist</t>
  </si>
  <si>
    <t xml:space="preserve">Duck Duck Goose</t>
  </si>
  <si>
    <t xml:space="preserve">Chris Jenkins</t>
  </si>
  <si>
    <t xml:space="preserve">China, United States, United Kingdom</t>
  </si>
  <si>
    <t xml:space="preserve">Father of the Year</t>
  </si>
  <si>
    <t xml:space="preserve">Jimmy: The True Story of a True Idiot</t>
  </si>
  <si>
    <t xml:space="preserve">Nothing to Lose</t>
  </si>
  <si>
    <t xml:space="preserve">Alexandre Avancini</t>
  </si>
  <si>
    <t xml:space="preserve">The Captive</t>
  </si>
  <si>
    <t xml:space="preserve">Houston, We Have a Problem!</t>
  </si>
  <si>
    <t xml:space="preserve">Ziga Virc</t>
  </si>
  <si>
    <t xml:space="preserve">Slovenia, Croatia, Germany, Czech Republic, Qatar</t>
  </si>
  <si>
    <t xml:space="preserve">July 20, 2017</t>
  </si>
  <si>
    <t xml:space="preserve">The Most Beautiful Hands of Delhi</t>
  </si>
  <si>
    <t xml:space="preserve">DreamWorks How to Train Your Dragon Legends</t>
  </si>
  <si>
    <t xml:space="preserve">July 20, 2012</t>
  </si>
  <si>
    <t xml:space="preserve">Kids' TV, TV Action &amp; Adventure, TV Sci-Fi &amp; Fantasy</t>
  </si>
  <si>
    <t xml:space="preserve">Bangkok Love Stories: Objects of Affection</t>
  </si>
  <si>
    <t xml:space="preserve">July 2, 2019</t>
  </si>
  <si>
    <t xml:space="preserve">Bangkok Love Stories: Plead</t>
  </si>
  <si>
    <t xml:space="preserve">Designated Survivor: 60 Days</t>
  </si>
  <si>
    <t xml:space="preserve">Dance Academy: The Comeback</t>
  </si>
  <si>
    <t xml:space="preserve">Germany, Australia</t>
  </si>
  <si>
    <t xml:space="preserve">July 2, 2018</t>
  </si>
  <si>
    <t xml:space="preserve">King of Peking</t>
  </si>
  <si>
    <t xml:space="preserve">Sam Voutas</t>
  </si>
  <si>
    <t xml:space="preserve">China, United States, Australia</t>
  </si>
  <si>
    <t xml:space="preserve">Black Rose</t>
  </si>
  <si>
    <t xml:space="preserve">Alexander Nevsky</t>
  </si>
  <si>
    <t xml:space="preserve">Russia, United States</t>
  </si>
  <si>
    <t xml:space="preserve">July 2, 2017</t>
  </si>
  <si>
    <t xml:space="preserve">¡Ay, mi madre!</t>
  </si>
  <si>
    <t xml:space="preserve">Frank Ariza</t>
  </si>
  <si>
    <t xml:space="preserve">July 19, 2019</t>
  </si>
  <si>
    <t xml:space="preserve">Iron Cowboy: The Story of the 50.50.50</t>
  </si>
  <si>
    <t xml:space="preserve">Jacob Schwab</t>
  </si>
  <si>
    <t xml:space="preserve">​SAINT SEIYA: Knights of the Zodiac</t>
  </si>
  <si>
    <t xml:space="preserve">Typewriter</t>
  </si>
  <si>
    <t xml:space="preserve">El club de los buenos infieles</t>
  </si>
  <si>
    <t xml:space="preserve">July 19, 2018</t>
  </si>
  <si>
    <t xml:space="preserve">Katt Williams: Live</t>
  </si>
  <si>
    <t xml:space="preserve">Alphonso J. Wesson</t>
  </si>
  <si>
    <t xml:space="preserve">Obvious Child</t>
  </si>
  <si>
    <t xml:space="preserve">Room</t>
  </si>
  <si>
    <t xml:space="preserve">Lenny Abrahamson</t>
  </si>
  <si>
    <t xml:space="preserve">Ireland, Canada, United Kingdom, United States</t>
  </si>
  <si>
    <t xml:space="preserve">Say When</t>
  </si>
  <si>
    <t xml:space="preserve">Son of a Gun</t>
  </si>
  <si>
    <t xml:space="preserve">Julius Avery</t>
  </si>
  <si>
    <t xml:space="preserve">Australia, United Kingdom, Canada</t>
  </si>
  <si>
    <t xml:space="preserve">The Rover</t>
  </si>
  <si>
    <t xml:space="preserve">The Stranger</t>
  </si>
  <si>
    <t xml:space="preserve">Classic Movies, Dramas, Thrillers</t>
  </si>
  <si>
    <t xml:space="preserve">Rookie Historian Goo Hae-Ryung</t>
  </si>
  <si>
    <t xml:space="preserve">July 18, 2019</t>
  </si>
  <si>
    <t xml:space="preserve">Secret Obsession</t>
  </si>
  <si>
    <t xml:space="preserve">Peter Sullivan</t>
  </si>
  <si>
    <t xml:space="preserve">Short Term 12</t>
  </si>
  <si>
    <t xml:space="preserve">Destin Daniel Cretton</t>
  </si>
  <si>
    <t xml:space="preserve">Camarón Revolution</t>
  </si>
  <si>
    <t xml:space="preserve">July 18, 2018</t>
  </si>
  <si>
    <t xml:space="preserve">Camarón: The Film</t>
  </si>
  <si>
    <t xml:space="preserve">Alexis Morante</t>
  </si>
  <si>
    <t xml:space="preserve">GODZILLA City on the Edge of Battle</t>
  </si>
  <si>
    <t xml:space="preserve">Kobun Shizuno, Hiroyuki Seshita</t>
  </si>
  <si>
    <t xml:space="preserve">Aditi Mittal: Things They Wouldn't Let Me Say</t>
  </si>
  <si>
    <t xml:space="preserve">Fazila Allana</t>
  </si>
  <si>
    <t xml:space="preserve">July 18, 2017</t>
  </si>
  <si>
    <t xml:space="preserve">Ari Shaffir: Double Negative</t>
  </si>
  <si>
    <t xml:space="preserve">Eric Abrams</t>
  </si>
  <si>
    <t xml:space="preserve">Stand-Up Comedy &amp; Talk Shows</t>
  </si>
  <si>
    <t xml:space="preserve">Theater of Life</t>
  </si>
  <si>
    <t xml:space="preserve">Peter Svatek</t>
  </si>
  <si>
    <t xml:space="preserve">Mauli</t>
  </si>
  <si>
    <t xml:space="preserve">July 17, 2019</t>
  </si>
  <si>
    <t xml:space="preserve">Unrequited Love</t>
  </si>
  <si>
    <t xml:space="preserve">Mary and the Witch's Flower</t>
  </si>
  <si>
    <t xml:space="preserve">Hiromasa Yonebayashi</t>
  </si>
  <si>
    <t xml:space="preserve">July 17, 2018</t>
  </si>
  <si>
    <t xml:space="preserve">Anime Features, Children &amp; Family Movies</t>
  </si>
  <si>
    <t xml:space="preserve">Uncertain Glory</t>
  </si>
  <si>
    <t xml:space="preserve">Agustí Villaronga</t>
  </si>
  <si>
    <t xml:space="preserve">July 17, 2017</t>
  </si>
  <si>
    <t xml:space="preserve">Tig</t>
  </si>
  <si>
    <t xml:space="preserve">Kristina Goolsby, Ashley York</t>
  </si>
  <si>
    <t xml:space="preserve">July 17, 2015</t>
  </si>
  <si>
    <t xml:space="preserve">Bogda</t>
  </si>
  <si>
    <t xml:space="preserve">Nisheeta Keni</t>
  </si>
  <si>
    <t xml:space="preserve">July 16, 2019</t>
  </si>
  <si>
    <t xml:space="preserve">Frankenstein’s Monster’s Monster, Frankenstein</t>
  </si>
  <si>
    <t xml:space="preserve">Jack of all Trades</t>
  </si>
  <si>
    <t xml:space="preserve">Harvey Glazer, Stuart Stone</t>
  </si>
  <si>
    <t xml:space="preserve">The Break-Up</t>
  </si>
  <si>
    <t xml:space="preserve">Peyton Reed</t>
  </si>
  <si>
    <t xml:space="preserve">The Princess and the Frog</t>
  </si>
  <si>
    <t xml:space="preserve">Ron Clements, John Musker</t>
  </si>
  <si>
    <t xml:space="preserve">We Belong Together</t>
  </si>
  <si>
    <t xml:space="preserve">Chris Stokes</t>
  </si>
  <si>
    <t xml:space="preserve">Angel Beats!</t>
  </si>
  <si>
    <t xml:space="preserve">July 15, 2019</t>
  </si>
  <si>
    <t xml:space="preserve">Anohana: The Flower We Saw That Day</t>
  </si>
  <si>
    <t xml:space="preserve">God Eater</t>
  </si>
  <si>
    <t xml:space="preserve">GRANBLUE FANTASY the Animation</t>
  </si>
  <si>
    <t xml:space="preserve">Grizzy et les Lemmings</t>
  </si>
  <si>
    <t xml:space="preserve">Love Shot</t>
  </si>
  <si>
    <t xml:space="preserve">Steven Fine</t>
  </si>
  <si>
    <t xml:space="preserve">A Glimpse Inside the Mind of Charles Swan III</t>
  </si>
  <si>
    <t xml:space="preserve">Roman Coppola</t>
  </si>
  <si>
    <t xml:space="preserve">July 15, 2018</t>
  </si>
  <si>
    <t xml:space="preserve">Enemy</t>
  </si>
  <si>
    <t xml:space="preserve">Denis Villeneuve</t>
  </si>
  <si>
    <t xml:space="preserve">Canada, Spain, France</t>
  </si>
  <si>
    <t xml:space="preserve">Esperando La Carroza</t>
  </si>
  <si>
    <t xml:space="preserve">Alejandro Doria</t>
  </si>
  <si>
    <t xml:space="preserve">Froning: The Fittest Man in History</t>
  </si>
  <si>
    <t xml:space="preserve">Heber Cannon</t>
  </si>
  <si>
    <t xml:space="preserve">Ginger &amp; Rosa</t>
  </si>
  <si>
    <t xml:space="preserve">Sally Potter</t>
  </si>
  <si>
    <t xml:space="preserve">United Kingdom, Denmark, Canada, Croatia</t>
  </si>
  <si>
    <t xml:space="preserve">Going for Gold</t>
  </si>
  <si>
    <t xml:space="preserve">Clay Glen</t>
  </si>
  <si>
    <t xml:space="preserve">Locke</t>
  </si>
  <si>
    <t xml:space="preserve">Steven Knight</t>
  </si>
  <si>
    <t xml:space="preserve">Lucha: Playing the Impossible</t>
  </si>
  <si>
    <t xml:space="preserve">Ana Quiroga</t>
  </si>
  <si>
    <t xml:space="preserve">Spring Breakers</t>
  </si>
  <si>
    <t xml:space="preserve">Harmony Korine</t>
  </si>
  <si>
    <t xml:space="preserve">Stray Bullet</t>
  </si>
  <si>
    <t xml:space="preserve">Jean-Cosme Delaloye</t>
  </si>
  <si>
    <t xml:space="preserve">Tahaan</t>
  </si>
  <si>
    <t xml:space="preserve">Tango Feroz</t>
  </si>
  <si>
    <t xml:space="preserve">Temporada de Caza</t>
  </si>
  <si>
    <t xml:space="preserve">Natalia Garagiola</t>
  </si>
  <si>
    <t xml:space="preserve">Argentina, France, Germany</t>
  </si>
  <si>
    <t xml:space="preserve">The Adderall Diaries</t>
  </si>
  <si>
    <t xml:space="preserve">Pamela Romanowsky</t>
  </si>
  <si>
    <t xml:space="preserve">The Spectacular Now</t>
  </si>
  <si>
    <t xml:space="preserve">Under The Skin</t>
  </si>
  <si>
    <t xml:space="preserve">Jonathan Glazer</t>
  </si>
  <si>
    <t xml:space="preserve">Switzerland, United Kingdom, United States</t>
  </si>
  <si>
    <t xml:space="preserve">Amar</t>
  </si>
  <si>
    <t xml:space="preserve">Esteban Crespo</t>
  </si>
  <si>
    <t xml:space="preserve">July 15, 2017</t>
  </si>
  <si>
    <t xml:space="preserve">Singh Saab the Great</t>
  </si>
  <si>
    <t xml:space="preserve">Anil Sharma</t>
  </si>
  <si>
    <t xml:space="preserve">Vitti Dandu</t>
  </si>
  <si>
    <t xml:space="preserve">Ganesh Kadam</t>
  </si>
  <si>
    <t xml:space="preserve">Holidays</t>
  </si>
  <si>
    <t xml:space="preserve">Anthony Scott Burns, Nicholas McCarthy, Adam Egypt Mortimer, Gary Shore, Kevin Smith, Sarah Adina Smith, Scott Stewart, Kevin Kolsch, Dennis Widmyer</t>
  </si>
  <si>
    <t xml:space="preserve">July 15, 2016</t>
  </si>
  <si>
    <t xml:space="preserve">Lusers</t>
  </si>
  <si>
    <t xml:space="preserve">Ticoy Rodriguez</t>
  </si>
  <si>
    <t xml:space="preserve">Argentina, Chile, Peru</t>
  </si>
  <si>
    <t xml:space="preserve">Rebirth</t>
  </si>
  <si>
    <t xml:space="preserve">Karl Mueller</t>
  </si>
  <si>
    <t xml:space="preserve">Tony Robbins: I Am Not Your Guru</t>
  </si>
  <si>
    <t xml:space="preserve">The Physician</t>
  </si>
  <si>
    <t xml:space="preserve">Philipp Stölzl</t>
  </si>
  <si>
    <t xml:space="preserve">July 15, 2015</t>
  </si>
  <si>
    <t xml:space="preserve">White Christmas</t>
  </si>
  <si>
    <t xml:space="preserve">Michael Curtiz</t>
  </si>
  <si>
    <t xml:space="preserve">July 15, 2012</t>
  </si>
  <si>
    <t xml:space="preserve">Children &amp; Family Movies, Classic Movies, Comedies</t>
  </si>
  <si>
    <t xml:space="preserve">Blood &amp; Treasures</t>
  </si>
  <si>
    <t xml:space="preserve">July 14, 2018</t>
  </si>
  <si>
    <t xml:space="preserve">Colonia</t>
  </si>
  <si>
    <t xml:space="preserve">Florian Gallenberger</t>
  </si>
  <si>
    <t xml:space="preserve">Germany, France, Luxembourg, United Kingdom, United States</t>
  </si>
  <si>
    <t xml:space="preserve">Meteor Garden</t>
  </si>
  <si>
    <t xml:space="preserve">Buddy Thunderstruck: The Maybe Pile</t>
  </si>
  <si>
    <t xml:space="preserve">Harry Chaskin</t>
  </si>
  <si>
    <t xml:space="preserve">July 14, 2017</t>
  </si>
  <si>
    <t xml:space="preserve">Chasing Coral</t>
  </si>
  <si>
    <t xml:space="preserve">Jeff Orlowski</t>
  </si>
  <si>
    <t xml:space="preserve">To the Bone</t>
  </si>
  <si>
    <t xml:space="preserve">Marti Noxon</t>
  </si>
  <si>
    <t xml:space="preserve">Gridlocked</t>
  </si>
  <si>
    <t xml:space="preserve">Allan Ungar</t>
  </si>
  <si>
    <t xml:space="preserve">July 14, 2016</t>
  </si>
  <si>
    <t xml:space="preserve">Magi: Adventure of Sinbad</t>
  </si>
  <si>
    <t xml:space="preserve">Creep</t>
  </si>
  <si>
    <t xml:space="preserve">Patrick Brice</t>
  </si>
  <si>
    <t xml:space="preserve">July 14, 2015</t>
  </si>
  <si>
    <t xml:space="preserve">Plaire, aimer et courir vite</t>
  </si>
  <si>
    <t xml:space="preserve">Christophe Honoré</t>
  </si>
  <si>
    <t xml:space="preserve">July 13, 2019</t>
  </si>
  <si>
    <t xml:space="preserve">Fatal Destiny</t>
  </si>
  <si>
    <t xml:space="preserve">July 13, 2018</t>
  </si>
  <si>
    <t xml:space="preserve">How It Ends</t>
  </si>
  <si>
    <t xml:space="preserve">David M. Rosenthal</t>
  </si>
  <si>
    <t xml:space="preserve">Jim Jefferies: This Is Me Now</t>
  </si>
  <si>
    <t xml:space="preserve">Scott Zabielski</t>
  </si>
  <si>
    <t xml:space="preserve">Kevin Hart: Let Me Explain</t>
  </si>
  <si>
    <t xml:space="preserve">Romina</t>
  </si>
  <si>
    <t xml:space="preserve">Diego Cohen</t>
  </si>
  <si>
    <t xml:space="preserve">The Signal</t>
  </si>
  <si>
    <t xml:space="preserve">William Eubank, Will Eubank</t>
  </si>
  <si>
    <t xml:space="preserve">D.L. Hughley: Clear</t>
  </si>
  <si>
    <t xml:space="preserve">July 13, 2017</t>
  </si>
  <si>
    <t xml:space="preserve">My Scientology Movie</t>
  </si>
  <si>
    <t xml:space="preserve">John Dower</t>
  </si>
  <si>
    <t xml:space="preserve">Tom Segura: Completely Normal</t>
  </si>
  <si>
    <t xml:space="preserve">4L</t>
  </si>
  <si>
    <t xml:space="preserve">Gerardo Olivares</t>
  </si>
  <si>
    <t xml:space="preserve">July 12, 2019</t>
  </si>
  <si>
    <t xml:space="preserve">Age Gap Love</t>
  </si>
  <si>
    <t xml:space="preserve">British TV Shows, Reality TV, Romantic TV Shows</t>
  </si>
  <si>
    <t xml:space="preserve">Ainsley Eats the Streets</t>
  </si>
  <si>
    <t xml:space="preserve">Black &amp; Privileged: Volume 1</t>
  </si>
  <si>
    <t xml:space="preserve">Mark Harris</t>
  </si>
  <si>
    <t xml:space="preserve">Blown Away</t>
  </si>
  <si>
    <t xml:space="preserve">Cities of Last Things</t>
  </si>
  <si>
    <t xml:space="preserve">Wi Ding Ho</t>
  </si>
  <si>
    <t xml:space="preserve">Taiwan, China, France, United States</t>
  </si>
  <si>
    <t xml:space="preserve">Encounters with Evil</t>
  </si>
  <si>
    <t xml:space="preserve">Extreme Engagement</t>
  </si>
  <si>
    <t xml:space="preserve">History's Greatest Hoaxes</t>
  </si>
  <si>
    <t xml:space="preserve">Kidnapping Stella</t>
  </si>
  <si>
    <t xml:space="preserve">Thomas Sieben</t>
  </si>
  <si>
    <t xml:space="preserve">Luis Miguel - The Series</t>
  </si>
  <si>
    <t xml:space="preserve">Mega Food</t>
  </si>
  <si>
    <t xml:space="preserve">MegaTruckers</t>
  </si>
  <si>
    <t xml:space="preserve">Money for Nothing</t>
  </si>
  <si>
    <t xml:space="preserve">One Spring Night</t>
  </si>
  <si>
    <t xml:space="preserve">PILI Fantasy: War of Dragons</t>
  </si>
  <si>
    <t xml:space="preserve">International TV Shows, TV Action &amp; Adventure, TV Sci-Fi &amp; Fantasy</t>
  </si>
  <si>
    <t xml:space="preserve">Point Blank</t>
  </si>
  <si>
    <t xml:space="preserve">Joe Lynch</t>
  </si>
  <si>
    <t xml:space="preserve">Smart People</t>
  </si>
  <si>
    <t xml:space="preserve">Noam Murro</t>
  </si>
  <si>
    <t xml:space="preserve">Taco Chronicles</t>
  </si>
  <si>
    <t xml:space="preserve">The Milk System</t>
  </si>
  <si>
    <t xml:space="preserve">Andreas Pichler</t>
  </si>
  <si>
    <t xml:space="preserve">Germany, Italy</t>
  </si>
  <si>
    <t xml:space="preserve">True Tunes</t>
  </si>
  <si>
    <t xml:space="preserve">Gonul</t>
  </si>
  <si>
    <t xml:space="preserve">Neslihan Yesilyurt</t>
  </si>
  <si>
    <t xml:space="preserve">July 12, 2017</t>
  </si>
  <si>
    <t xml:space="preserve">Chhota Bheem</t>
  </si>
  <si>
    <t xml:space="preserve">July 11, 2019</t>
  </si>
  <si>
    <t xml:space="preserve">Family Reunion</t>
  </si>
  <si>
    <t xml:space="preserve">Little Singham Bandarpur Mein Hu Ha Hu</t>
  </si>
  <si>
    <t xml:space="preserve">Parchís: the Documentary</t>
  </si>
  <si>
    <t xml:space="preserve">Daniel Arasanz</t>
  </si>
  <si>
    <t xml:space="preserve">Joseph Martin</t>
  </si>
  <si>
    <t xml:space="preserve">July 11, 2018</t>
  </si>
  <si>
    <t xml:space="preserve">The Battered Bastards of Baseball</t>
  </si>
  <si>
    <t xml:space="preserve">Chapman Way, Maclain Way</t>
  </si>
  <si>
    <t xml:space="preserve">July 11, 2014</t>
  </si>
  <si>
    <t xml:space="preserve">Sex Doll</t>
  </si>
  <si>
    <t xml:space="preserve">Sylvie Verheyde</t>
  </si>
  <si>
    <t xml:space="preserve">July 10, 2017</t>
  </si>
  <si>
    <t xml:space="preserve">Summer of '92</t>
  </si>
  <si>
    <t xml:space="preserve">Kasper Barfoed</t>
  </si>
  <si>
    <t xml:space="preserve">Denmark, United Kingdom</t>
  </si>
  <si>
    <t xml:space="preserve">July 10, 2016</t>
  </si>
  <si>
    <t xml:space="preserve">Chris Tucker Live</t>
  </si>
  <si>
    <t xml:space="preserve">Phil Joanou</t>
  </si>
  <si>
    <t xml:space="preserve">July 10, 2015</t>
  </si>
  <si>
    <t xml:space="preserve">Alice Doesn't Live Here Anymore</t>
  </si>
  <si>
    <t xml:space="preserve">July 1, 2019</t>
  </si>
  <si>
    <t xml:space="preserve">Classic Movies, Comedies, Dramas</t>
  </si>
  <si>
    <t xml:space="preserve">DreamWorks Kung Fu Panda Awesome Secrets</t>
  </si>
  <si>
    <t xml:space="preserve">Flowering Heart</t>
  </si>
  <si>
    <t xml:space="preserve">Frozen River</t>
  </si>
  <si>
    <t xml:space="preserve">Courtney Hunt</t>
  </si>
  <si>
    <t xml:space="preserve">Inkheart</t>
  </si>
  <si>
    <t xml:space="preserve">Iain Softley</t>
  </si>
  <si>
    <t xml:space="preserve">Germany, United Kingdom, United States</t>
  </si>
  <si>
    <t xml:space="preserve">Inside the Mind of a Serial Killer</t>
  </si>
  <si>
    <t xml:space="preserve">Katherine Ryan: Glitter Room</t>
  </si>
  <si>
    <t xml:space="preserve">Kill the Irishman</t>
  </si>
  <si>
    <t xml:space="preserve">Jonathan Hensleigh</t>
  </si>
  <si>
    <t xml:space="preserve">Lady in the Water</t>
  </si>
  <si>
    <t xml:space="preserve">M. Night Shyamalan</t>
  </si>
  <si>
    <t xml:space="preserve">Little Monsters</t>
  </si>
  <si>
    <t xml:space="preserve">Richard Greenberg</t>
  </si>
  <si>
    <t xml:space="preserve">Mean Dreams</t>
  </si>
  <si>
    <t xml:space="preserve">Nathan Morlando</t>
  </si>
  <si>
    <t xml:space="preserve">Mean Streets</t>
  </si>
  <si>
    <t xml:space="preserve">Molang</t>
  </si>
  <si>
    <t xml:space="preserve">Next</t>
  </si>
  <si>
    <t xml:space="preserve">Nights in Rodanthe</t>
  </si>
  <si>
    <t xml:space="preserve">George C. Wolfe</t>
  </si>
  <si>
    <t xml:space="preserve">NOVA: Bird Brain</t>
  </si>
  <si>
    <t xml:space="preserve">NOVA: Black Hole Apocalypse</t>
  </si>
  <si>
    <t xml:space="preserve">Rushmore DeNooyer</t>
  </si>
  <si>
    <t xml:space="preserve">NOVA: Building Chernobyl's MegaTomb</t>
  </si>
  <si>
    <t xml:space="preserve">Martin Gorst</t>
  </si>
  <si>
    <t xml:space="preserve">NOVA: Chinese Chariot Revealed</t>
  </si>
  <si>
    <t xml:space="preserve">Giulia Clark</t>
  </si>
  <si>
    <t xml:space="preserve">NOVA: Day the Dinosaurs Died</t>
  </si>
  <si>
    <t xml:space="preserve">Sarah Holt</t>
  </si>
  <si>
    <t xml:space="preserve">NOVA: Death Dive to Saturn</t>
  </si>
  <si>
    <t xml:space="preserve">Terri Randall</t>
  </si>
  <si>
    <t xml:space="preserve">NOVA: Decoding the Weather Machine</t>
  </si>
  <si>
    <t xml:space="preserve">Doug Hamilton</t>
  </si>
  <si>
    <t xml:space="preserve">NOVA: Eclipse Over America</t>
  </si>
  <si>
    <t xml:space="preserve">NOVA: Extreme Animal Weapons</t>
  </si>
  <si>
    <t xml:space="preserve">Peter Fison</t>
  </si>
  <si>
    <t xml:space="preserve">NOVA: First Face of America</t>
  </si>
  <si>
    <t xml:space="preserve">Graham Townsley</t>
  </si>
  <si>
    <t xml:space="preserve">NOVA: Holocaust Escape Tunnel</t>
  </si>
  <si>
    <t xml:space="preserve">Paula Apsell, Kirk Wolfinger</t>
  </si>
  <si>
    <t xml:space="preserve">NOVA: Killer Floods</t>
  </si>
  <si>
    <t xml:space="preserve">NOVA: Killer Hurricanes</t>
  </si>
  <si>
    <t xml:space="preserve">Oliver Twinch</t>
  </si>
  <si>
    <t xml:space="preserve">NOVA: Killer Volcanoes</t>
  </si>
  <si>
    <t xml:space="preserve">NOVA: Poisoned Water</t>
  </si>
  <si>
    <t xml:space="preserve">Llewellyn M. Smith</t>
  </si>
  <si>
    <t xml:space="preserve">NOVA: Prediction by the Numbers</t>
  </si>
  <si>
    <t xml:space="preserve">Daniel McCabe</t>
  </si>
  <si>
    <t xml:space="preserve">NOVA: Secrets of the Shining Knight</t>
  </si>
  <si>
    <t xml:space="preserve">Peter Yost</t>
  </si>
  <si>
    <t xml:space="preserve">NOVA: Thai Cave Rescue</t>
  </si>
  <si>
    <t xml:space="preserve">Tom Stubberfield</t>
  </si>
  <si>
    <t xml:space="preserve">NOVA: The Impossible Flight</t>
  </si>
  <si>
    <t xml:space="preserve">Noel Dockstader, Quinn Kanaly</t>
  </si>
  <si>
    <t xml:space="preserve">Nova: Ultimate Mars Challenge</t>
  </si>
  <si>
    <t xml:space="preserve">Gail Willumsen</t>
  </si>
  <si>
    <t xml:space="preserve">Paul Blart: Mall Cop</t>
  </si>
  <si>
    <t xml:space="preserve">Philadelphia</t>
  </si>
  <si>
    <t xml:space="preserve">Classic Movies, Dramas, LGBTQ Movies</t>
  </si>
  <si>
    <t xml:space="preserve">Rabbids Invasion</t>
  </si>
  <si>
    <t xml:space="preserve">Race to Witch Mountain</t>
  </si>
  <si>
    <t xml:space="preserve">Andy Fickman</t>
  </si>
  <si>
    <t xml:space="preserve">Rain Man</t>
  </si>
  <si>
    <t xml:space="preserve">Barry Levinson</t>
  </si>
  <si>
    <t xml:space="preserve">Record of Grancrest War</t>
  </si>
  <si>
    <t xml:space="preserve">Room on the Broom</t>
  </si>
  <si>
    <t xml:space="preserve">Max Lang, Jani Lachauer</t>
  </si>
  <si>
    <t xml:space="preserve">26 min</t>
  </si>
  <si>
    <t xml:space="preserve">Children &amp; Family Movies, Independent Movies</t>
  </si>
  <si>
    <t xml:space="preserve">Scream 3</t>
  </si>
  <si>
    <t xml:space="preserve">Shorts</t>
  </si>
  <si>
    <t xml:space="preserve">Soul to Keep</t>
  </si>
  <si>
    <t xml:space="preserve">David Allensworth, Monière</t>
  </si>
  <si>
    <t xml:space="preserve">Starsky &amp; Hutch</t>
  </si>
  <si>
    <t xml:space="preserve">Todd Phillips</t>
  </si>
  <si>
    <t xml:space="preserve">Stone Age</t>
  </si>
  <si>
    <t xml:space="preserve">Swiped</t>
  </si>
  <si>
    <t xml:space="preserve">Ann Deborah Fishman</t>
  </si>
  <si>
    <t xml:space="preserve">Swordfish</t>
  </si>
  <si>
    <t xml:space="preserve">Dominic Sena</t>
  </si>
  <si>
    <t xml:space="preserve">Taxi Driver</t>
  </si>
  <si>
    <t xml:space="preserve">Tayo the Little Bus Movie: Mission Ace</t>
  </si>
  <si>
    <t xml:space="preserve">Ryu Jung-woo</t>
  </si>
  <si>
    <t xml:space="preserve">The Accountant of Auschwitz</t>
  </si>
  <si>
    <t xml:space="preserve">Matthew Shoychet</t>
  </si>
  <si>
    <t xml:space="preserve">The Book of Eli</t>
  </si>
  <si>
    <t xml:space="preserve">Albert Hughes, Allen Hughes</t>
  </si>
  <si>
    <t xml:space="preserve">The Brothers Grimm</t>
  </si>
  <si>
    <t xml:space="preserve">United States, Czech Republic, United Kingdom</t>
  </si>
  <si>
    <t xml:space="preserve">The Forbidden Kingdom</t>
  </si>
  <si>
    <t xml:space="preserve">Rob Minkoff</t>
  </si>
  <si>
    <t xml:space="preserve">The In-Laws</t>
  </si>
  <si>
    <t xml:space="preserve">Andrew Fleming</t>
  </si>
  <si>
    <t xml:space="preserve">The Pink Panther</t>
  </si>
  <si>
    <t xml:space="preserve">Shawn Levy</t>
  </si>
  <si>
    <t xml:space="preserve">Titipo Titipo</t>
  </si>
  <si>
    <t xml:space="preserve">War Against Women</t>
  </si>
  <si>
    <t xml:space="preserve">Who's That Knocking at My Door?</t>
  </si>
  <si>
    <t xml:space="preserve">Angamaly Diaries</t>
  </si>
  <si>
    <t xml:space="preserve">Lijo Jose Pellissery</t>
  </si>
  <si>
    <t xml:space="preserve">July 1, 2018</t>
  </si>
  <si>
    <t xml:space="preserve">Anthony Kaun Hai?</t>
  </si>
  <si>
    <t xml:space="preserve">Raj Kaushal</t>
  </si>
  <si>
    <t xml:space="preserve">Bo Burnham: what.</t>
  </si>
  <si>
    <t xml:space="preserve">Cappuccino</t>
  </si>
  <si>
    <t xml:space="preserve">Noushad</t>
  </si>
  <si>
    <t xml:space="preserve">Chalte Chalte</t>
  </si>
  <si>
    <t xml:space="preserve">Chicken Kokkachi</t>
  </si>
  <si>
    <t xml:space="preserve">Anuranjan Premji</t>
  </si>
  <si>
    <t xml:space="preserve">Comedy High School</t>
  </si>
  <si>
    <t xml:space="preserve">Counterfeiting in Suburbia</t>
  </si>
  <si>
    <t xml:space="preserve">Jason Bourque</t>
  </si>
  <si>
    <t xml:space="preserve">Daffedar</t>
  </si>
  <si>
    <t xml:space="preserve">Johnson Esthappan</t>
  </si>
  <si>
    <t xml:space="preserve">Deewana Main Deewana</t>
  </si>
  <si>
    <t xml:space="preserve">K.C. Bokadia</t>
  </si>
  <si>
    <t xml:space="preserve">Dream Big: Engineering Our World</t>
  </si>
  <si>
    <t xml:space="preserve">Greg MacGillivray</t>
  </si>
  <si>
    <t xml:space="preserve">Duck Butter</t>
  </si>
  <si>
    <t xml:space="preserve">Miguel Arteta</t>
  </si>
  <si>
    <t xml:space="preserve">Gemini</t>
  </si>
  <si>
    <t xml:space="preserve">P.K. Baaburaaj</t>
  </si>
  <si>
    <t xml:space="preserve">I Am Kalam</t>
  </si>
  <si>
    <t xml:space="preserve">Kaviyude Osyath</t>
  </si>
  <si>
    <t xml:space="preserve">Vineeth Anil</t>
  </si>
  <si>
    <t xml:space="preserve">Loving Annabelle</t>
  </si>
  <si>
    <t xml:space="preserve">Katherine Brooks</t>
  </si>
  <si>
    <t xml:space="preserve">Ma Chu Ka</t>
  </si>
  <si>
    <t xml:space="preserve">Jayan Vannery</t>
  </si>
  <si>
    <t xml:space="preserve">Melvin Goes to Dinner</t>
  </si>
  <si>
    <t xml:space="preserve">Bob Odenkirk</t>
  </si>
  <si>
    <t xml:space="preserve">My Birthday Song</t>
  </si>
  <si>
    <t xml:space="preserve">Samir Soni</t>
  </si>
  <si>
    <t xml:space="preserve">Namastey London</t>
  </si>
  <si>
    <t xml:space="preserve">Our Shining Days</t>
  </si>
  <si>
    <t xml:space="preserve">Paathi</t>
  </si>
  <si>
    <t xml:space="preserve">Chandran Narikode</t>
  </si>
  <si>
    <t xml:space="preserve">Pareeth Pandaari</t>
  </si>
  <si>
    <t xml:space="preserve">Gafoor Y. Elliyaas</t>
  </si>
  <si>
    <t xml:space="preserve">Paulettante Veedu</t>
  </si>
  <si>
    <t xml:space="preserve">Dileep Narayanan</t>
  </si>
  <si>
    <t xml:space="preserve">Paying Guests</t>
  </si>
  <si>
    <t xml:space="preserve">Paritosh Painter</t>
  </si>
  <si>
    <t xml:space="preserve">Sarvopari Palakkaran</t>
  </si>
  <si>
    <t xml:space="preserve">Venugopan</t>
  </si>
  <si>
    <t xml:space="preserve">Secret</t>
  </si>
  <si>
    <t xml:space="preserve">Jay Chou</t>
  </si>
  <si>
    <t xml:space="preserve">Hong Kong, Taiwan</t>
  </si>
  <si>
    <t xml:space="preserve">Socha Na Tha</t>
  </si>
  <si>
    <t xml:space="preserve">Imtiaz Ali</t>
  </si>
  <si>
    <t xml:space="preserve">Soul Robbers</t>
  </si>
  <si>
    <t xml:space="preserve">Juan Antonio de la Riva</t>
  </si>
  <si>
    <t xml:space="preserve">The Feels</t>
  </si>
  <si>
    <t xml:space="preserve">Jenée LaMarque</t>
  </si>
  <si>
    <t xml:space="preserve">Comedies, Independent Movies, LGBTQ Movies</t>
  </si>
  <si>
    <t xml:space="preserve">The Music of Silence</t>
  </si>
  <si>
    <t xml:space="preserve">Michael Radford</t>
  </si>
  <si>
    <t xml:space="preserve">The Redeemed and the Dominant: Fittest on Earth</t>
  </si>
  <si>
    <t xml:space="preserve">Heber Cannon, Mariah Moore, Marston Sawyers</t>
  </si>
  <si>
    <t xml:space="preserve">Theeram</t>
  </si>
  <si>
    <t xml:space="preserve">Saheed Arafath</t>
  </si>
  <si>
    <t xml:space="preserve">Traitor</t>
  </si>
  <si>
    <t xml:space="preserve">Jeffrey Nachmanoff</t>
  </si>
  <si>
    <t xml:space="preserve">Tum Milo Toh Sahi</t>
  </si>
  <si>
    <t xml:space="preserve">Viswasapoorvam Mansoor</t>
  </si>
  <si>
    <t xml:space="preserve">P.T. Kunju Muhammad</t>
  </si>
  <si>
    <t xml:space="preserve">We, the Marines</t>
  </si>
  <si>
    <t xml:space="preserve">What a Wonderful Family!</t>
  </si>
  <si>
    <t xml:space="preserve">Huang Lei</t>
  </si>
  <si>
    <t xml:space="preserve">What We Started</t>
  </si>
  <si>
    <t xml:space="preserve">Bert Marcus, Cyrus Saidi</t>
  </si>
  <si>
    <t xml:space="preserve">Zoo</t>
  </si>
  <si>
    <t xml:space="preserve">Shlok Sharma</t>
  </si>
  <si>
    <t xml:space="preserve">1 Chance 2 Dance</t>
  </si>
  <si>
    <t xml:space="preserve">Adam Deyoe</t>
  </si>
  <si>
    <t xml:space="preserve">July 1, 2017</t>
  </si>
  <si>
    <t xml:space="preserve">10 jours en or</t>
  </si>
  <si>
    <t xml:space="preserve">Nicolas Brossette</t>
  </si>
  <si>
    <t xml:space="preserve">46</t>
  </si>
  <si>
    <t xml:space="preserve">Serdar Akar</t>
  </si>
  <si>
    <t xml:space="preserve">A 2nd Chance</t>
  </si>
  <si>
    <t xml:space="preserve">Against the Tide</t>
  </si>
  <si>
    <t xml:space="preserve">Albion: The Enchanted Stallion</t>
  </si>
  <si>
    <t xml:space="preserve">Castille Landon</t>
  </si>
  <si>
    <t xml:space="preserve">Amrapali</t>
  </si>
  <si>
    <t xml:space="preserve">Barbie Life in the Dreamhouse</t>
  </si>
  <si>
    <t xml:space="preserve">Black Snow</t>
  </si>
  <si>
    <t xml:space="preserve">Martin Hodara</t>
  </si>
  <si>
    <t xml:space="preserve">Breakout</t>
  </si>
  <si>
    <t xml:space="preserve">Bruno and Boots: The Wizzle War</t>
  </si>
  <si>
    <t xml:space="preserve">Deep Water</t>
  </si>
  <si>
    <t xml:space="preserve">Hans Teeuwen: Real Rancour</t>
  </si>
  <si>
    <t xml:space="preserve">Doesjka van Hoogdalem</t>
  </si>
  <si>
    <t xml:space="preserve">Here Alone</t>
  </si>
  <si>
    <t xml:space="preserve">Rod Blackhurst</t>
  </si>
  <si>
    <t xml:space="preserve">Ho Mann Jahaan</t>
  </si>
  <si>
    <t xml:space="preserve">Asim Raza</t>
  </si>
  <si>
    <t xml:space="preserve">Lal Patthar</t>
  </si>
  <si>
    <t xml:space="preserve">Sushil Majumdar</t>
  </si>
  <si>
    <t xml:space="preserve">Learning Songs by Little Baby Bum: Nursery Rhyme Friends</t>
  </si>
  <si>
    <t xml:space="preserve">Liar's Dice</t>
  </si>
  <si>
    <t xml:space="preserve">Geetu Mohandas</t>
  </si>
  <si>
    <t xml:space="preserve">Momo Salon</t>
  </si>
  <si>
    <t xml:space="preserve">Mystic Whispers</t>
  </si>
  <si>
    <t xml:space="preserve">Players</t>
  </si>
  <si>
    <t xml:space="preserve">Professor</t>
  </si>
  <si>
    <t xml:space="preserve">Spice Up</t>
  </si>
  <si>
    <t xml:space="preserve">The Invisible Guest</t>
  </si>
  <si>
    <t xml:space="preserve">Paulo Oriol</t>
  </si>
  <si>
    <t xml:space="preserve">The Oath</t>
  </si>
  <si>
    <t xml:space="preserve">The Truth Seekers</t>
  </si>
  <si>
    <t xml:space="preserve">The Ultimatum</t>
  </si>
  <si>
    <t xml:space="preserve">Tik Tok</t>
  </si>
  <si>
    <t xml:space="preserve">Li Jun</t>
  </si>
  <si>
    <t xml:space="preserve">Waar</t>
  </si>
  <si>
    <t xml:space="preserve">Bilal Lashari</t>
  </si>
  <si>
    <t xml:space="preserve">World at Your Feet</t>
  </si>
  <si>
    <t xml:space="preserve">Wrong No.</t>
  </si>
  <si>
    <t xml:space="preserve">Yasir Nawaz</t>
  </si>
  <si>
    <t xml:space="preserve">Yaar Gaddar</t>
  </si>
  <si>
    <t xml:space="preserve">Yes We Can!</t>
  </si>
  <si>
    <t xml:space="preserve">Yours Fatefully</t>
  </si>
  <si>
    <t xml:space="preserve">Zipi &amp; Zape y la Isla del Capitan</t>
  </si>
  <si>
    <t xml:space="preserve">Oskar Santos</t>
  </si>
  <si>
    <t xml:space="preserve">July 1, 2016</t>
  </si>
  <si>
    <t xml:space="preserve">Exit Afghanistan</t>
  </si>
  <si>
    <t xml:space="preserve">Anders Sømme Hammer, Marius Arnesen, Klaus Erik Okstad, Olav Njaastad</t>
  </si>
  <si>
    <t xml:space="preserve">Happyish</t>
  </si>
  <si>
    <t xml:space="preserve">Jim Jefferies: Freedumb</t>
  </si>
  <si>
    <t xml:space="preserve">King Jack</t>
  </si>
  <si>
    <t xml:space="preserve">Felix Thompson</t>
  </si>
  <si>
    <t xml:space="preserve">Crime TV Shows, TV Dramas, TV Sci-Fi &amp; Fantasy</t>
  </si>
  <si>
    <t xml:space="preserve">Operation Proposal</t>
  </si>
  <si>
    <t xml:space="preserve">Road to Yesterday</t>
  </si>
  <si>
    <t xml:space="preserve">Ishaya Bako</t>
  </si>
  <si>
    <t xml:space="preserve">Stealing History</t>
  </si>
  <si>
    <t xml:space="preserve">Ola Flyum, David Hebditch</t>
  </si>
  <si>
    <t xml:space="preserve">Suicide (Hitabdut)</t>
  </si>
  <si>
    <t xml:space="preserve">Benny Fredman</t>
  </si>
  <si>
    <t xml:space="preserve">The Future of Water</t>
  </si>
  <si>
    <t xml:space="preserve">X: Past Is Present</t>
  </si>
  <si>
    <t xml:space="preserve">Hemant Gaba, Pratim D. Gupta, Sudhish Kamath, Nalan Kumarasamy, Anu Menon, Sandeep Mohan, Qaushiq Mukherjee, Rajshree Ojha, Raja Sen, Abhinav Shiv Tiwari, Suparn Verma</t>
  </si>
  <si>
    <t xml:space="preserve">You Carry Me</t>
  </si>
  <si>
    <t xml:space="preserve">Ivona Juka</t>
  </si>
  <si>
    <t xml:space="preserve">Croatia, Slovenia, Serbia, Montenegro</t>
  </si>
  <si>
    <t xml:space="preserve">Bulletproof 2</t>
  </si>
  <si>
    <t xml:space="preserve">January 9, 2020</t>
  </si>
  <si>
    <t xml:space="preserve">Speed Is My Need</t>
  </si>
  <si>
    <t xml:space="preserve">Mark Sloper</t>
  </si>
  <si>
    <t xml:space="preserve">GODZILLA The Planet Eater</t>
  </si>
  <si>
    <t xml:space="preserve">January 9, 2019</t>
  </si>
  <si>
    <t xml:space="preserve">Next Enti?</t>
  </si>
  <si>
    <t xml:space="preserve">Kunal Kohli</t>
  </si>
  <si>
    <t xml:space="preserve">Solo: A Star Wars Story</t>
  </si>
  <si>
    <t xml:space="preserve">Solo: A Star Wars Story (Spanish Version)</t>
  </si>
  <si>
    <t xml:space="preserve">The Monster</t>
  </si>
  <si>
    <t xml:space="preserve">Bryan Bertino</t>
  </si>
  <si>
    <t xml:space="preserve">Alien Contact: Outer Space</t>
  </si>
  <si>
    <t xml:space="preserve">J. Michael Long</t>
  </si>
  <si>
    <t xml:space="preserve">January 9, 2018</t>
  </si>
  <si>
    <t xml:space="preserve">The House Next Door</t>
  </si>
  <si>
    <t xml:space="preserve">Milind Rau</t>
  </si>
  <si>
    <t xml:space="preserve">Cheer</t>
  </si>
  <si>
    <t xml:space="preserve">January 8, 2020</t>
  </si>
  <si>
    <t xml:space="preserve">Docuseries, Reality TV, Teen TV Shows</t>
  </si>
  <si>
    <t xml:space="preserve">Kurt &amp; Courtney</t>
  </si>
  <si>
    <t xml:space="preserve">Nick Broomfield</t>
  </si>
  <si>
    <t xml:space="preserve">January 8, 2019</t>
  </si>
  <si>
    <t xml:space="preserve">The Conjuring</t>
  </si>
  <si>
    <t xml:space="preserve">January 8, 2018</t>
  </si>
  <si>
    <t xml:space="preserve">Tundukkan Playboy Itu</t>
  </si>
  <si>
    <t xml:space="preserve">Tom Segura: Mostly Stories</t>
  </si>
  <si>
    <t xml:space="preserve">January 8, 2016</t>
  </si>
  <si>
    <t xml:space="preserve">A Ghost Story</t>
  </si>
  <si>
    <t xml:space="preserve">David Lowery</t>
  </si>
  <si>
    <t xml:space="preserve">January 7, 2020</t>
  </si>
  <si>
    <t xml:space="preserve">Live Twice, Love Once</t>
  </si>
  <si>
    <t xml:space="preserve">The Tourist</t>
  </si>
  <si>
    <t xml:space="preserve">United States, France, Italy, United Kingdom</t>
  </si>
  <si>
    <t xml:space="preserve">Catwalk: Tales from the Cat Show Circuit</t>
  </si>
  <si>
    <t xml:space="preserve">Aaron Hancox, Michael McNamara</t>
  </si>
  <si>
    <t xml:space="preserve">January 7, 2019</t>
  </si>
  <si>
    <t xml:space="preserve">Komola Rocket</t>
  </si>
  <si>
    <t xml:space="preserve">Noor Imran Mithu</t>
  </si>
  <si>
    <t xml:space="preserve">Bangladesh</t>
  </si>
  <si>
    <t xml:space="preserve">Pahuna</t>
  </si>
  <si>
    <t xml:space="preserve">Paakhi Tyrewala</t>
  </si>
  <si>
    <t xml:space="preserve">India, Nepal</t>
  </si>
  <si>
    <t xml:space="preserve">Miss Sharon Jones!</t>
  </si>
  <si>
    <t xml:space="preserve">Barbara Kopple</t>
  </si>
  <si>
    <t xml:space="preserve">January 7, 2017</t>
  </si>
  <si>
    <t xml:space="preserve">Under the Shadow</t>
  </si>
  <si>
    <t xml:space="preserve">Babak Anvari</t>
  </si>
  <si>
    <t xml:space="preserve">United Kingdom, Jordan, Qatar, Iran</t>
  </si>
  <si>
    <t xml:space="preserve">House of Z</t>
  </si>
  <si>
    <t xml:space="preserve">Sandy Chronopoulos</t>
  </si>
  <si>
    <t xml:space="preserve">January 6, 2018</t>
  </si>
  <si>
    <t xml:space="preserve">Coin Heist</t>
  </si>
  <si>
    <t xml:space="preserve">Emily Hagins</t>
  </si>
  <si>
    <t xml:space="preserve">January 6, 2017</t>
  </si>
  <si>
    <t xml:space="preserve">Growing Up Coy</t>
  </si>
  <si>
    <t xml:space="preserve">Eric Juhola</t>
  </si>
  <si>
    <t xml:space="preserve">LEGO: Marvel Super Heroes: Maximum Overload</t>
  </si>
  <si>
    <t xml:space="preserve">Greg Richardson</t>
  </si>
  <si>
    <t xml:space="preserve">Rustom</t>
  </si>
  <si>
    <t xml:space="preserve">Dharmendra Suresh Desai</t>
  </si>
  <si>
    <t xml:space="preserve">3 Heroines</t>
  </si>
  <si>
    <t xml:space="preserve">Iman Brotoseno</t>
  </si>
  <si>
    <t xml:space="preserve">January 5, 2019</t>
  </si>
  <si>
    <t xml:space="preserve">5 Cowok Jagoan</t>
  </si>
  <si>
    <t xml:space="preserve">Anggy Umbara</t>
  </si>
  <si>
    <t xml:space="preserve">Chaotic Love Poems</t>
  </si>
  <si>
    <t xml:space="preserve">Garin Nugroho</t>
  </si>
  <si>
    <t xml:space="preserve">Love You... Love You Not</t>
  </si>
  <si>
    <t xml:space="preserve">Sridhar Jetty</t>
  </si>
  <si>
    <t xml:space="preserve">Mara</t>
  </si>
  <si>
    <t xml:space="preserve">Clive Tonge</t>
  </si>
  <si>
    <t xml:space="preserve">Nang Nak</t>
  </si>
  <si>
    <t xml:space="preserve">Nonzee Nimibutr</t>
  </si>
  <si>
    <t xml:space="preserve">Soekarno</t>
  </si>
  <si>
    <t xml:space="preserve">Before I Wake</t>
  </si>
  <si>
    <t xml:space="preserve">January 5, 2018</t>
  </si>
  <si>
    <t xml:space="preserve">Devilman Crybaby</t>
  </si>
  <si>
    <t xml:space="preserve">Masaaki Yuasa</t>
  </si>
  <si>
    <t xml:space="preserve">Don Quixote: The Ingenious Gentleman of La Mancha</t>
  </si>
  <si>
    <t xml:space="preserve">Mahin Ibrahim, Austin Kolodney, Will Lowell, David Beier, Dave Dorsey, Xu Zhang, Alana Waksman, Jon YonKondy, Drue Metz, Brandon Somerhalder</t>
  </si>
  <si>
    <t xml:space="preserve">Back and Forth</t>
  </si>
  <si>
    <t xml:space="preserve">José Eduardo Belmonte</t>
  </si>
  <si>
    <t xml:space="preserve">January 5, 2017</t>
  </si>
  <si>
    <t xml:space="preserve">Kraftidioten</t>
  </si>
  <si>
    <t xml:space="preserve">Hans Petter Moland</t>
  </si>
  <si>
    <t xml:space="preserve">Norway, Denmark, Sweden</t>
  </si>
  <si>
    <t xml:space="preserve">Rampage: President Down</t>
  </si>
  <si>
    <t xml:space="preserve">Uwe Boll</t>
  </si>
  <si>
    <t xml:space="preserve">Dracula</t>
  </si>
  <si>
    <t xml:space="preserve">January 4, 2020</t>
  </si>
  <si>
    <t xml:space="preserve">Go! Go! Cory Carson</t>
  </si>
  <si>
    <t xml:space="preserve">And Breathe Normally</t>
  </si>
  <si>
    <t xml:space="preserve">Ísold Uggadóttir</t>
  </si>
  <si>
    <t xml:space="preserve">Iceland, Sweden, Belgium</t>
  </si>
  <si>
    <t xml:space="preserve">January 4, 2019</t>
  </si>
  <si>
    <t xml:space="preserve">Case Closed</t>
  </si>
  <si>
    <t xml:space="preserve">Anime Series, Crime TV Shows, TV Thrillers</t>
  </si>
  <si>
    <t xml:space="preserve">El Potro: Unstoppable</t>
  </si>
  <si>
    <t xml:space="preserve">Lorena Munoz</t>
  </si>
  <si>
    <t xml:space="preserve">Lionheart</t>
  </si>
  <si>
    <t xml:space="preserve">Genevieve Nnaji</t>
  </si>
  <si>
    <t xml:space="preserve">See You in Time</t>
  </si>
  <si>
    <t xml:space="preserve">Marvel's Hulk: Where Monsters Dwell</t>
  </si>
  <si>
    <t xml:space="preserve">Mitch Schauer</t>
  </si>
  <si>
    <t xml:space="preserve">January 4, 2017</t>
  </si>
  <si>
    <t xml:space="preserve">Agatha and the Truth of Murder</t>
  </si>
  <si>
    <t xml:space="preserve">Terry Loane</t>
  </si>
  <si>
    <t xml:space="preserve">January 31, 2019</t>
  </si>
  <si>
    <t xml:space="preserve">Crime Time</t>
  </si>
  <si>
    <t xml:space="preserve">Hantu Kak Limah</t>
  </si>
  <si>
    <t xml:space="preserve">Mamat Khalid</t>
  </si>
  <si>
    <t xml:space="preserve">I Dream Of Dance</t>
  </si>
  <si>
    <t xml:space="preserve">Maria Demeshkina Peek</t>
  </si>
  <si>
    <t xml:space="preserve">Love Off the Cuff</t>
  </si>
  <si>
    <t xml:space="preserve">Pang Ho-cheung</t>
  </si>
  <si>
    <t xml:space="preserve">Paprika</t>
  </si>
  <si>
    <t xml:space="preserve">The Gentleman Driver</t>
  </si>
  <si>
    <t xml:space="preserve">Mario Mattei</t>
  </si>
  <si>
    <t xml:space="preserve">The Hundred-Foot Journey</t>
  </si>
  <si>
    <t xml:space="preserve">United States, India, United Arab Emirates</t>
  </si>
  <si>
    <t xml:space="preserve">Expedition Happiness</t>
  </si>
  <si>
    <t xml:space="preserve">Selima Taibi</t>
  </si>
  <si>
    <t xml:space="preserve">January 31, 2018</t>
  </si>
  <si>
    <t xml:space="preserve">Bill Burr: Walk Your Way Out</t>
  </si>
  <si>
    <t xml:space="preserve">January 31, 2017</t>
  </si>
  <si>
    <t xml:space="preserve">Semana Santa</t>
  </si>
  <si>
    <t xml:space="preserve">Alejandra Márquez Abella</t>
  </si>
  <si>
    <t xml:space="preserve">Maharaja: The Story of Ranjit Singh</t>
  </si>
  <si>
    <t xml:space="preserve">Amarjit Virdi</t>
  </si>
  <si>
    <t xml:space="preserve">January 30, 2019</t>
  </si>
  <si>
    <t xml:space="preserve">Sat Sri Akal</t>
  </si>
  <si>
    <t xml:space="preserve">Kamal Sahani</t>
  </si>
  <si>
    <t xml:space="preserve">Swiss Army Man</t>
  </si>
  <si>
    <t xml:space="preserve">Dan Kwan, Daniel Scheinert</t>
  </si>
  <si>
    <t xml:space="preserve">The Incredibles 2</t>
  </si>
  <si>
    <t xml:space="preserve">Brad Bird</t>
  </si>
  <si>
    <t xml:space="preserve">The Longshots</t>
  </si>
  <si>
    <t xml:space="preserve">Fred Durst</t>
  </si>
  <si>
    <t xml:space="preserve">Comedies, Dramas, Sports Movies</t>
  </si>
  <si>
    <t xml:space="preserve">Virsa</t>
  </si>
  <si>
    <t xml:space="preserve">India, Pakistan</t>
  </si>
  <si>
    <t xml:space="preserve">Jerry Seinfeld: I'm Telling You for the Last Time</t>
  </si>
  <si>
    <t xml:space="preserve">Marty Callner</t>
  </si>
  <si>
    <t xml:space="preserve">January 30, 2018</t>
  </si>
  <si>
    <t xml:space="preserve">Monster High: Freaky Fusion</t>
  </si>
  <si>
    <t xml:space="preserve">William Lau, Sylvain Blais</t>
  </si>
  <si>
    <t xml:space="preserve">The Lady in Dignity</t>
  </si>
  <si>
    <t xml:space="preserve">All the Freckles in the World</t>
  </si>
  <si>
    <t xml:space="preserve">Yibrán Asuad</t>
  </si>
  <si>
    <t xml:space="preserve">January 3, 2020</t>
  </si>
  <si>
    <t xml:space="preserve">Deewangee</t>
  </si>
  <si>
    <t xml:space="preserve">Ferris Bueller's Day Off</t>
  </si>
  <si>
    <t xml:space="preserve">John Hughes</t>
  </si>
  <si>
    <t xml:space="preserve">Occupation</t>
  </si>
  <si>
    <t xml:space="preserve">Luke Sparke</t>
  </si>
  <si>
    <t xml:space="preserve">January 3, 2019</t>
  </si>
  <si>
    <t xml:space="preserve">Pope Francis: A Man of His Word</t>
  </si>
  <si>
    <t xml:space="preserve">Wim Wenders</t>
  </si>
  <si>
    <t xml:space="preserve">Switzerland, Vatican City, Italy, Germany, France</t>
  </si>
  <si>
    <t xml:space="preserve">Jen Kirkman: Just Keep Livin’?</t>
  </si>
  <si>
    <t xml:space="preserve">January 3, 2017</t>
  </si>
  <si>
    <t xml:space="preserve">Ant-Man and the Wasp</t>
  </si>
  <si>
    <t xml:space="preserve">January 29, 2019</t>
  </si>
  <si>
    <t xml:space="preserve">Bhasmasur</t>
  </si>
  <si>
    <t xml:space="preserve">Nishil Sheth</t>
  </si>
  <si>
    <t xml:space="preserve">Gabriel "Fluffy" Iglesias: One Show Fits All</t>
  </si>
  <si>
    <t xml:space="preserve">High Society</t>
  </si>
  <si>
    <t xml:space="preserve">Byun Hyuk</t>
  </si>
  <si>
    <t xml:space="preserve">Inside the Mossad</t>
  </si>
  <si>
    <t xml:space="preserve">Up Among  The Stars</t>
  </si>
  <si>
    <t xml:space="preserve">Holy Camp!</t>
  </si>
  <si>
    <t xml:space="preserve">Javier Ambrossi, Javier Calvo</t>
  </si>
  <si>
    <t xml:space="preserve">January 29, 2018</t>
  </si>
  <si>
    <t xml:space="preserve">Comedies, Dramas, Faith &amp; Spirituality</t>
  </si>
  <si>
    <t xml:space="preserve">Hostages</t>
  </si>
  <si>
    <t xml:space="preserve">Patient Seventeen</t>
  </si>
  <si>
    <t xml:space="preserve">The Force</t>
  </si>
  <si>
    <t xml:space="preserve">Peter Nicks</t>
  </si>
  <si>
    <t xml:space="preserve">Journey to Greenland</t>
  </si>
  <si>
    <t xml:space="preserve">Sébastien Betbeder</t>
  </si>
  <si>
    <t xml:space="preserve">January 29, 2017</t>
  </si>
  <si>
    <t xml:space="preserve">Alt-Right: Age of Rage</t>
  </si>
  <si>
    <t xml:space="preserve">Adam Bhala Lough</t>
  </si>
  <si>
    <t xml:space="preserve">January 28, 2019</t>
  </si>
  <si>
    <t xml:space="preserve">Habibie &amp; Ainun</t>
  </si>
  <si>
    <t xml:space="preserve">Faozan Rizal</t>
  </si>
  <si>
    <t xml:space="preserve">Indonesia, Singapore</t>
  </si>
  <si>
    <t xml:space="preserve">Nathicharami</t>
  </si>
  <si>
    <t xml:space="preserve">Mansore</t>
  </si>
  <si>
    <t xml:space="preserve">Rudy Habibie</t>
  </si>
  <si>
    <t xml:space="preserve">Surga Yang Tak Dirindukan</t>
  </si>
  <si>
    <t xml:space="preserve">Kuntz Agus</t>
  </si>
  <si>
    <t xml:space="preserve">Surga Yang Tak Dirindukan 2</t>
  </si>
  <si>
    <t xml:space="preserve">Hanung Bramantyo, Meisa Felaroze</t>
  </si>
  <si>
    <t xml:space="preserve">Frozen Planet</t>
  </si>
  <si>
    <t xml:space="preserve">United Kingdom, United States, Spain, Germany, Greece, Canada</t>
  </si>
  <si>
    <t xml:space="preserve">January 28, 2016</t>
  </si>
  <si>
    <t xml:space="preserve">Frozen Planet: On Thin Ice</t>
  </si>
  <si>
    <t xml:space="preserve">Frozen Planet: The Epic Journey</t>
  </si>
  <si>
    <t xml:space="preserve">The Making of Frozen Planet</t>
  </si>
  <si>
    <t xml:space="preserve">A Taiwanese Tale of Two Cities</t>
  </si>
  <si>
    <t xml:space="preserve">January 27, 2019</t>
  </si>
  <si>
    <t xml:space="preserve">IBOY</t>
  </si>
  <si>
    <t xml:space="preserve">Adam Randall</t>
  </si>
  <si>
    <t xml:space="preserve">January 27, 2017</t>
  </si>
  <si>
    <t xml:space="preserve">Juana Inés</t>
  </si>
  <si>
    <t xml:space="preserve">Shadow of Truth</t>
  </si>
  <si>
    <t xml:space="preserve">Biggie &amp; Tupac</t>
  </si>
  <si>
    <t xml:space="preserve">January 26, 2019</t>
  </si>
  <si>
    <t xml:space="preserve">Goyo: The Boy General</t>
  </si>
  <si>
    <t xml:space="preserve">A Futile and Stupid Gesture</t>
  </si>
  <si>
    <t xml:space="preserve">January 26, 2018</t>
  </si>
  <si>
    <t xml:space="preserve">Dirty Money</t>
  </si>
  <si>
    <t xml:space="preserve">Fakkah Fuzz: Almost Banned</t>
  </si>
  <si>
    <t xml:space="preserve">Michael McKay</t>
  </si>
  <si>
    <t xml:space="preserve">Mau Nieto: Viviendo sobrio… desde el bar</t>
  </si>
  <si>
    <t xml:space="preserve">Mune: Guardian of the Moon</t>
  </si>
  <si>
    <t xml:space="preserve">Alexandre Heboyan, Benoît Philippon</t>
  </si>
  <si>
    <t xml:space="preserve">Sebastián Marcelo Wainraich</t>
  </si>
  <si>
    <t xml:space="preserve">13TH: A Conversation with Oprah Winfrey &amp; Ava DuVernay</t>
  </si>
  <si>
    <t xml:space="preserve">January 26, 2017</t>
  </si>
  <si>
    <t xml:space="preserve">37 min</t>
  </si>
  <si>
    <t xml:space="preserve">Animas</t>
  </si>
  <si>
    <t xml:space="preserve">Laura Alvea, José Ortuño</t>
  </si>
  <si>
    <t xml:space="preserve">Spain, Belgium</t>
  </si>
  <si>
    <t xml:space="preserve">January 25, 2019</t>
  </si>
  <si>
    <t xml:space="preserve">Black Earth Rising</t>
  </si>
  <si>
    <t xml:space="preserve">Examination of Conscience</t>
  </si>
  <si>
    <t xml:space="preserve">Kingdom</t>
  </si>
  <si>
    <t xml:space="preserve">Kim Seong-hun</t>
  </si>
  <si>
    <t xml:space="preserve">Mi Obra Maestra</t>
  </si>
  <si>
    <t xml:space="preserve">Gastón Duprat</t>
  </si>
  <si>
    <t xml:space="preserve">Polar</t>
  </si>
  <si>
    <t xml:space="preserve">The Perfect Match</t>
  </si>
  <si>
    <t xml:space="preserve">Acts of Vengeance</t>
  </si>
  <si>
    <t xml:space="preserve">Isaac Florentine</t>
  </si>
  <si>
    <t xml:space="preserve">January 25, 2018</t>
  </si>
  <si>
    <t xml:space="preserve">O Silêncio do Céu</t>
  </si>
  <si>
    <t xml:space="preserve">Marco Dutra</t>
  </si>
  <si>
    <t xml:space="preserve">January 25, 2017</t>
  </si>
  <si>
    <t xml:space="preserve">Conversations with a Killer: The Ted Bundy Tapes</t>
  </si>
  <si>
    <t xml:space="preserve">January 24, 2019</t>
  </si>
  <si>
    <t xml:space="preserve">Hotel Transylvania 3: Summer Vacation</t>
  </si>
  <si>
    <t xml:space="preserve">Genndy Tartakovsky</t>
  </si>
  <si>
    <t xml:space="preserve">Just Love</t>
  </si>
  <si>
    <t xml:space="preserve">Andy Caballero, Diego Corsini</t>
  </si>
  <si>
    <t xml:space="preserve">Blockbuster</t>
  </si>
  <si>
    <t xml:space="preserve">July Hygreck</t>
  </si>
  <si>
    <t xml:space="preserve">January 24, 2018</t>
  </si>
  <si>
    <t xml:space="preserve">Prison Playbook</t>
  </si>
  <si>
    <t xml:space="preserve">Ricardo Quevedo: Hay gente así</t>
  </si>
  <si>
    <t xml:space="preserve">The Good Catholic</t>
  </si>
  <si>
    <t xml:space="preserve">Paul Shoulberg</t>
  </si>
  <si>
    <t xml:space="preserve">Cristela Alonzo: Lower Classy</t>
  </si>
  <si>
    <t xml:space="preserve">January 24, 2017</t>
  </si>
  <si>
    <t xml:space="preserve">Mitt</t>
  </si>
  <si>
    <t xml:space="preserve">Greg Whiteley</t>
  </si>
  <si>
    <t xml:space="preserve">January 24, 2014</t>
  </si>
  <si>
    <t xml:space="preserve">Innocent</t>
  </si>
  <si>
    <t xml:space="preserve">Seren Yüce</t>
  </si>
  <si>
    <t xml:space="preserve">January 23, 2019</t>
  </si>
  <si>
    <t xml:space="preserve">Planet 51</t>
  </si>
  <si>
    <t xml:space="preserve">Jorge Blanco</t>
  </si>
  <si>
    <t xml:space="preserve">Spain, United Kingdom, United States</t>
  </si>
  <si>
    <t xml:space="preserve">Iceman</t>
  </si>
  <si>
    <t xml:space="preserve">Law Wing-cheong</t>
  </si>
  <si>
    <t xml:space="preserve">January 23, 2018</t>
  </si>
  <si>
    <t xml:space="preserve">My Entire High School Sinking Into the Sea</t>
  </si>
  <si>
    <t xml:space="preserve">Dash Shaw</t>
  </si>
  <si>
    <t xml:space="preserve">Todd Glass: Act Happy</t>
  </si>
  <si>
    <t xml:space="preserve">Gad Gone Wild</t>
  </si>
  <si>
    <t xml:space="preserve">Mario Rouleau</t>
  </si>
  <si>
    <t xml:space="preserve">January 23, 2017</t>
  </si>
  <si>
    <t xml:space="preserve">Chelsea Does</t>
  </si>
  <si>
    <t xml:space="preserve">January 23, 2016</t>
  </si>
  <si>
    <t xml:space="preserve">Iliza Shlesinger: Freezing Hot</t>
  </si>
  <si>
    <t xml:space="preserve">January 23, 2015</t>
  </si>
  <si>
    <t xml:space="preserve">Countdown to Death: Pablo Escobar</t>
  </si>
  <si>
    <t xml:space="preserve">Santiago Diaz, Pablo Martin Farina</t>
  </si>
  <si>
    <t xml:space="preserve">January 22, 2018</t>
  </si>
  <si>
    <t xml:space="preserve">The Traffickers</t>
  </si>
  <si>
    <t xml:space="preserve">Where's the Money</t>
  </si>
  <si>
    <t xml:space="preserve">Ricardo O'Farrill Abrazo Genial</t>
  </si>
  <si>
    <t xml:space="preserve">January 22, 2016</t>
  </si>
  <si>
    <t xml:space="preserve">Justice</t>
  </si>
  <si>
    <t xml:space="preserve">Ahmed Khaled Moussa</t>
  </si>
  <si>
    <t xml:space="preserve">January 21, 2019</t>
  </si>
  <si>
    <t xml:space="preserve">Love and Hong Kong</t>
  </si>
  <si>
    <t xml:space="preserve">January 20, 2018</t>
  </si>
  <si>
    <t xml:space="preserve">Caida del Cielo</t>
  </si>
  <si>
    <t xml:space="preserve">Néstor Sánchez Sotelo</t>
  </si>
  <si>
    <t xml:space="preserve">January 20, 2017</t>
  </si>
  <si>
    <t xml:space="preserve">Pink</t>
  </si>
  <si>
    <t xml:space="preserve">Aniruddha Roy Chowdhury</t>
  </si>
  <si>
    <t xml:space="preserve">Take the 10</t>
  </si>
  <si>
    <t xml:space="preserve">Chester Tam</t>
  </si>
  <si>
    <t xml:space="preserve">Half Girlfriend</t>
  </si>
  <si>
    <t xml:space="preserve">Mohit Suri</t>
  </si>
  <si>
    <t xml:space="preserve">January 2, 2020</t>
  </si>
  <si>
    <t xml:space="preserve">Sex, Explained</t>
  </si>
  <si>
    <t xml:space="preserve">Thieves of the Wood</t>
  </si>
  <si>
    <t xml:space="preserve">Déjà Vu</t>
  </si>
  <si>
    <t xml:space="preserve">January 2, 2019</t>
  </si>
  <si>
    <t xml:space="preserve">Monty Python and the Holy Grail</t>
  </si>
  <si>
    <t xml:space="preserve">Terry Gilliam, Terry Jones</t>
  </si>
  <si>
    <t xml:space="preserve">Haunters: The Art of the Scare</t>
  </si>
  <si>
    <t xml:space="preserve">Jon Schnitzer</t>
  </si>
  <si>
    <t xml:space="preserve">January 2, 2018</t>
  </si>
  <si>
    <t xml:space="preserve">Mustang Island</t>
  </si>
  <si>
    <t xml:space="preserve">Craig Elrod</t>
  </si>
  <si>
    <t xml:space="preserve">The Jack King Affair</t>
  </si>
  <si>
    <t xml:space="preserve">Benjamin Cohen, Nicolas Cotto</t>
  </si>
  <si>
    <t xml:space="preserve">Auschwitz: Blueprints of Genocide</t>
  </si>
  <si>
    <t xml:space="preserve">Mike Rossiter</t>
  </si>
  <si>
    <t xml:space="preserve">January 19, 2019</t>
  </si>
  <si>
    <t xml:space="preserve">Harith Iskander: I Told You So</t>
  </si>
  <si>
    <t xml:space="preserve">January 19, 2018</t>
  </si>
  <si>
    <t xml:space="preserve">Step Sisters</t>
  </si>
  <si>
    <t xml:space="preserve">The Open House</t>
  </si>
  <si>
    <t xml:space="preserve">Matt Angel, Suzanne Coote</t>
  </si>
  <si>
    <t xml:space="preserve">Good Kids</t>
  </si>
  <si>
    <t xml:space="preserve">Chris McCoy</t>
  </si>
  <si>
    <t xml:space="preserve">January 19, 2017</t>
  </si>
  <si>
    <t xml:space="preserve">The Bling Ring</t>
  </si>
  <si>
    <t xml:space="preserve">Sofia Coppola</t>
  </si>
  <si>
    <t xml:space="preserve">United States, United Kingdom, France, Germany, Japan</t>
  </si>
  <si>
    <t xml:space="preserve">January 18, 2020</t>
  </si>
  <si>
    <t xml:space="preserve">Close</t>
  </si>
  <si>
    <t xml:space="preserve">January 18, 2019</t>
  </si>
  <si>
    <t xml:space="preserve">FYRE: The Greatest Party That Never Happened</t>
  </si>
  <si>
    <t xml:space="preserve">IO</t>
  </si>
  <si>
    <t xml:space="preserve">Jonathan Helpert</t>
  </si>
  <si>
    <t xml:space="preserve">Dramas, Sci-Fi &amp; Fantasy</t>
  </si>
  <si>
    <t xml:space="preserve">Lady-Like</t>
  </si>
  <si>
    <t xml:space="preserve">NC-17</t>
  </si>
  <si>
    <t xml:space="preserve">Legends of Strength</t>
  </si>
  <si>
    <t xml:space="preserve">Memory Love</t>
  </si>
  <si>
    <t xml:space="preserve">Old Lord Savanna</t>
  </si>
  <si>
    <t xml:space="preserve">André D'Elia</t>
  </si>
  <si>
    <t xml:space="preserve">Patria</t>
  </si>
  <si>
    <t xml:space="preserve">Soni</t>
  </si>
  <si>
    <t xml:space="preserve">Ivan Ayr</t>
  </si>
  <si>
    <t xml:space="preserve">Strongland</t>
  </si>
  <si>
    <t xml:space="preserve">Trigger Warning with Killer Mike</t>
  </si>
  <si>
    <t xml:space="preserve">Bad Day for the Cut</t>
  </si>
  <si>
    <t xml:space="preserve">Chris Baugh</t>
  </si>
  <si>
    <t xml:space="preserve">January 18, 2018</t>
  </si>
  <si>
    <t xml:space="preserve">Tiempos de guerra</t>
  </si>
  <si>
    <t xml:space="preserve">Enlighten Us</t>
  </si>
  <si>
    <t xml:space="preserve">Jenny Carchman</t>
  </si>
  <si>
    <t xml:space="preserve">January 18, 2017</t>
  </si>
  <si>
    <t xml:space="preserve">A Fall from Grace</t>
  </si>
  <si>
    <t xml:space="preserve">Tyler Perry</t>
  </si>
  <si>
    <t xml:space="preserve">January 17, 2020</t>
  </si>
  <si>
    <t xml:space="preserve">Ares</t>
  </si>
  <si>
    <t xml:space="preserve">Nailed It! Germany</t>
  </si>
  <si>
    <t xml:space="preserve">Arango y Sanint: Ríase el show</t>
  </si>
  <si>
    <t xml:space="preserve">January 17, 2018</t>
  </si>
  <si>
    <t xml:space="preserve">Godzilla</t>
  </si>
  <si>
    <t xml:space="preserve">Neal Brennan: 3 Mics</t>
  </si>
  <si>
    <t xml:space="preserve">January 17, 2017</t>
  </si>
  <si>
    <t xml:space="preserve">Roger Corman's Death Race 2050</t>
  </si>
  <si>
    <t xml:space="preserve">G.J. Echternkamp</t>
  </si>
  <si>
    <t xml:space="preserve">Şubat</t>
  </si>
  <si>
    <t xml:space="preserve">The Square</t>
  </si>
  <si>
    <t xml:space="preserve">Jehane Noujaim</t>
  </si>
  <si>
    <t xml:space="preserve">United Kingdom, Egypt, United States</t>
  </si>
  <si>
    <t xml:space="preserve">January 17, 2014</t>
  </si>
  <si>
    <t xml:space="preserve">Deadcon</t>
  </si>
  <si>
    <t xml:space="preserve">Caryn Waechter</t>
  </si>
  <si>
    <t xml:space="preserve">January 16, 2020</t>
  </si>
  <si>
    <t xml:space="preserve">Get Him to the Greek</t>
  </si>
  <si>
    <t xml:space="preserve">Nicholas Stoller</t>
  </si>
  <si>
    <t xml:space="preserve">Handsome Siblings</t>
  </si>
  <si>
    <t xml:space="preserve">Hop</t>
  </si>
  <si>
    <t xml:space="preserve">Tim Hill</t>
  </si>
  <si>
    <t xml:space="preserve">United States, India, Malaysia, Taiwan, Canada, United Kingdom</t>
  </si>
  <si>
    <t xml:space="preserve">Jezebel</t>
  </si>
  <si>
    <t xml:space="preserve">Numa Perrier</t>
  </si>
  <si>
    <t xml:space="preserve">Legend</t>
  </si>
  <si>
    <t xml:space="preserve">Brian Helgeland</t>
  </si>
  <si>
    <t xml:space="preserve">NiNoKuni</t>
  </si>
  <si>
    <t xml:space="preserve">Yoshiyuki Momose</t>
  </si>
  <si>
    <t xml:space="preserve">Action &amp; Adventure, Anime Features, Children &amp; Family Movies</t>
  </si>
  <si>
    <t xml:space="preserve">Steve Jobs</t>
  </si>
  <si>
    <t xml:space="preserve">Driven to Dance</t>
  </si>
  <si>
    <t xml:space="preserve">January 16, 2019</t>
  </si>
  <si>
    <t xml:space="preserve">Skyline</t>
  </si>
  <si>
    <t xml:space="preserve">Colin Strause, Greg Strause</t>
  </si>
  <si>
    <t xml:space="preserve">A Serious Man</t>
  </si>
  <si>
    <t xml:space="preserve">Ethan Coen, Joel Coen</t>
  </si>
  <si>
    <t xml:space="preserve">January 16, 2018</t>
  </si>
  <si>
    <t xml:space="preserve">Dallas Buyers Club</t>
  </si>
  <si>
    <t xml:space="preserve">Jean-Marc Vallée</t>
  </si>
  <si>
    <t xml:space="preserve">Katt Williams: Great America</t>
  </si>
  <si>
    <t xml:space="preserve">Flash of Genius</t>
  </si>
  <si>
    <t xml:space="preserve">Marc Abraham</t>
  </si>
  <si>
    <t xml:space="preserve">January 16, 2017</t>
  </si>
  <si>
    <t xml:space="preserve">The Rezort</t>
  </si>
  <si>
    <t xml:space="preserve">Steve Barker</t>
  </si>
  <si>
    <t xml:space="preserve">United Kingdom, Spain, Belgium</t>
  </si>
  <si>
    <t xml:space="preserve">Big Fat Liar</t>
  </si>
  <si>
    <t xml:space="preserve">January 15, 2020</t>
  </si>
  <si>
    <t xml:space="preserve">Bulbul Can Sing</t>
  </si>
  <si>
    <t xml:space="preserve">Rima Das</t>
  </si>
  <si>
    <t xml:space="preserve">Eye For An Eye</t>
  </si>
  <si>
    <t xml:space="preserve">Paco Plaza</t>
  </si>
  <si>
    <t xml:space="preserve">Killer Inside: The Mind of Aaron Hernandez</t>
  </si>
  <si>
    <t xml:space="preserve">MindGamers</t>
  </si>
  <si>
    <t xml:space="preserve">Andrew Goth</t>
  </si>
  <si>
    <t xml:space="preserve">Saving Zoë</t>
  </si>
  <si>
    <t xml:space="preserve">Jeffrey G. Hunt</t>
  </si>
  <si>
    <t xml:space="preserve">The Brave</t>
  </si>
  <si>
    <t xml:space="preserve">William Kaufman</t>
  </si>
  <si>
    <t xml:space="preserve">Where the Money Is</t>
  </si>
  <si>
    <t xml:space="preserve">Marek Kanievska</t>
  </si>
  <si>
    <t xml:space="preserve">Germany, United States, United Kingdom, Canada</t>
  </si>
  <si>
    <t xml:space="preserve">Abducted in Plain Sight</t>
  </si>
  <si>
    <t xml:space="preserve">Skye Borgman</t>
  </si>
  <si>
    <t xml:space="preserve">January 15, 2019</t>
  </si>
  <si>
    <t xml:space="preserve">Abdullah, The Final Witness</t>
  </si>
  <si>
    <t xml:space="preserve">Hashim Nadeem Khan</t>
  </si>
  <si>
    <t xml:space="preserve">Adhugo</t>
  </si>
  <si>
    <t xml:space="preserve">Chupan Chupai</t>
  </si>
  <si>
    <t xml:space="preserve">Mohsin Ali</t>
  </si>
  <si>
    <t xml:space="preserve">Deadly Switch</t>
  </si>
  <si>
    <t xml:space="preserve">Svetlana Cvetko</t>
  </si>
  <si>
    <t xml:space="preserve">Echcharikkai</t>
  </si>
  <si>
    <t xml:space="preserve">Sarjun</t>
  </si>
  <si>
    <t xml:space="preserve">La Rosa de Guadalupe</t>
  </si>
  <si>
    <t xml:space="preserve">Classic &amp; Cult TV, Crime TV Shows, International TV Shows</t>
  </si>
  <si>
    <t xml:space="preserve">La Viuda Negra</t>
  </si>
  <si>
    <t xml:space="preserve">Alejandro Lozano</t>
  </si>
  <si>
    <t xml:space="preserve">Lavender</t>
  </si>
  <si>
    <t xml:space="preserve">Only Mine</t>
  </si>
  <si>
    <t xml:space="preserve">Michael Civille</t>
  </si>
  <si>
    <t xml:space="preserve">Pandigai</t>
  </si>
  <si>
    <t xml:space="preserve">Feroz</t>
  </si>
  <si>
    <t xml:space="preserve">Pari</t>
  </si>
  <si>
    <t xml:space="preserve">Syed Atif Ali</t>
  </si>
  <si>
    <t xml:space="preserve">Revenger</t>
  </si>
  <si>
    <t xml:space="preserve">Lee Seung-won</t>
  </si>
  <si>
    <t xml:space="preserve">Sebastian Maniscalco: Stay Hungry</t>
  </si>
  <si>
    <t xml:space="preserve">Rik Reinholdtsen</t>
  </si>
  <si>
    <t xml:space="preserve">The Devil We Know</t>
  </si>
  <si>
    <t xml:space="preserve">Stephanie Soechtig, Jeremy Seifert</t>
  </si>
  <si>
    <t xml:space="preserve">The Doll</t>
  </si>
  <si>
    <t xml:space="preserve">The Doll 2</t>
  </si>
  <si>
    <t xml:space="preserve">A Boy Called Po</t>
  </si>
  <si>
    <t xml:space="preserve">John Asher</t>
  </si>
  <si>
    <t xml:space="preserve">January 15, 2018</t>
  </si>
  <si>
    <t xml:space="preserve">Alibaba Aur 40 Chor</t>
  </si>
  <si>
    <t xml:space="preserve">Soviet Union, India</t>
  </si>
  <si>
    <t xml:space="preserve">Down The Fence</t>
  </si>
  <si>
    <t xml:space="preserve">M.J. Isakson</t>
  </si>
  <si>
    <t xml:space="preserve">Face 2 Face</t>
  </si>
  <si>
    <t xml:space="preserve">Matt Toronto</t>
  </si>
  <si>
    <t xml:space="preserve">Manolo: The Boy Who Made Shoes for Lizards</t>
  </si>
  <si>
    <t xml:space="preserve">Michael Roberts</t>
  </si>
  <si>
    <t xml:space="preserve">One More Shot</t>
  </si>
  <si>
    <t xml:space="preserve">Noah Moskin</t>
  </si>
  <si>
    <t xml:space="preserve">Operation Chromite</t>
  </si>
  <si>
    <t xml:space="preserve">John H. Lee</t>
  </si>
  <si>
    <t xml:space="preserve">Phir Se</t>
  </si>
  <si>
    <t xml:space="preserve">Ajay Bhuyan, Kunal Kohli</t>
  </si>
  <si>
    <t xml:space="preserve">Pyar Ke Do Pal</t>
  </si>
  <si>
    <t xml:space="preserve">Rip Tide</t>
  </si>
  <si>
    <t xml:space="preserve">Rhiannon Bannenberg</t>
  </si>
  <si>
    <t xml:space="preserve">Thong Dee Fun Khao</t>
  </si>
  <si>
    <t xml:space="preserve">Bin Bunluerit</t>
  </si>
  <si>
    <t xml:space="preserve">Unrest</t>
  </si>
  <si>
    <t xml:space="preserve">Jennifer Brea</t>
  </si>
  <si>
    <t xml:space="preserve">Urvi</t>
  </si>
  <si>
    <t xml:space="preserve">Pradeep Verma</t>
  </si>
  <si>
    <t xml:space="preserve">Berlin Calling</t>
  </si>
  <si>
    <t xml:space="preserve">Hannes Stöhr</t>
  </si>
  <si>
    <t xml:space="preserve">January 15, 2017</t>
  </si>
  <si>
    <t xml:space="preserve">Harry and Snowman</t>
  </si>
  <si>
    <t xml:space="preserve">Hostage to the Devil</t>
  </si>
  <si>
    <t xml:space="preserve">Marty Stalker</t>
  </si>
  <si>
    <t xml:space="preserve">Ireland, United Kingdom, Italy, United States</t>
  </si>
  <si>
    <t xml:space="preserve">Max Rose</t>
  </si>
  <si>
    <t xml:space="preserve">Daniel Noah</t>
  </si>
  <si>
    <t xml:space="preserve">Sarajevo</t>
  </si>
  <si>
    <t xml:space="preserve">Andreas Prochaska</t>
  </si>
  <si>
    <t xml:space="preserve">Austria, Czech Republic</t>
  </si>
  <si>
    <t xml:space="preserve">Stereo</t>
  </si>
  <si>
    <t xml:space="preserve">Maximilian Erlenwein</t>
  </si>
  <si>
    <t xml:space="preserve">Teenage Cocktail</t>
  </si>
  <si>
    <t xml:space="preserve">John Carchietta</t>
  </si>
  <si>
    <t xml:space="preserve">The Similars</t>
  </si>
  <si>
    <t xml:space="preserve">Twisted Trunk, Big Fat Body</t>
  </si>
  <si>
    <t xml:space="preserve">We Are Young. We Are Strong.</t>
  </si>
  <si>
    <t xml:space="preserve">Burhan Qurbani</t>
  </si>
  <si>
    <t xml:space="preserve">Ip Man</t>
  </si>
  <si>
    <t xml:space="preserve">January 15, 2016</t>
  </si>
  <si>
    <t xml:space="preserve">Ip Man 2</t>
  </si>
  <si>
    <t xml:space="preserve">Kipo and the Age of Wonderbeasts</t>
  </si>
  <si>
    <t xml:space="preserve">January 14, 2020</t>
  </si>
  <si>
    <t xml:space="preserve">Leslie Jones: Time Machine</t>
  </si>
  <si>
    <t xml:space="preserve">David Benioff, D.B. Weiss</t>
  </si>
  <si>
    <t xml:space="preserve">The Master</t>
  </si>
  <si>
    <t xml:space="preserve">Women of Mafia 2</t>
  </si>
  <si>
    <t xml:space="preserve">Patryk Vega</t>
  </si>
  <si>
    <t xml:space="preserve">Invisible Essence: The Little Prince</t>
  </si>
  <si>
    <t xml:space="preserve">Charles Officer</t>
  </si>
  <si>
    <t xml:space="preserve">January 14, 2019</t>
  </si>
  <si>
    <t xml:space="preserve">La Grande Chaumière Violette</t>
  </si>
  <si>
    <t xml:space="preserve">Camp X-Ray</t>
  </si>
  <si>
    <t xml:space="preserve">Peter Sattler</t>
  </si>
  <si>
    <t xml:space="preserve">January 14, 2017</t>
  </si>
  <si>
    <t xml:space="preserve">Estar o no estar</t>
  </si>
  <si>
    <t xml:space="preserve">Marcelo González</t>
  </si>
  <si>
    <t xml:space="preserve">Little Sister</t>
  </si>
  <si>
    <t xml:space="preserve">Zach Clark</t>
  </si>
  <si>
    <t xml:space="preserve">The River Thief</t>
  </si>
  <si>
    <t xml:space="preserve">N.D. Wilson</t>
  </si>
  <si>
    <t xml:space="preserve">The Healing Powers of Dude</t>
  </si>
  <si>
    <t xml:space="preserve">January 13, 2020</t>
  </si>
  <si>
    <t xml:space="preserve">Kids' TV, TV Comedies, TV Dramas</t>
  </si>
  <si>
    <t xml:space="preserve">The Last Face</t>
  </si>
  <si>
    <t xml:space="preserve">Sean Penn</t>
  </si>
  <si>
    <t xml:space="preserve">13 Sins</t>
  </si>
  <si>
    <t xml:space="preserve">January 13, 2019</t>
  </si>
  <si>
    <t xml:space="preserve">Baazaar</t>
  </si>
  <si>
    <t xml:space="preserve">Gauravv K Chawla</t>
  </si>
  <si>
    <t xml:space="preserve">The Fighter</t>
  </si>
  <si>
    <t xml:space="preserve">David O. Russell</t>
  </si>
  <si>
    <t xml:space="preserve">Aquarius</t>
  </si>
  <si>
    <t xml:space="preserve">Kleber Mendonça Filho</t>
  </si>
  <si>
    <t xml:space="preserve">January 13, 2017</t>
  </si>
  <si>
    <t xml:space="preserve">Casablancas: The Man Who Loved Women</t>
  </si>
  <si>
    <t xml:space="preserve">Hubert Woroniecki</t>
  </si>
  <si>
    <t xml:space="preserve">Clinical</t>
  </si>
  <si>
    <t xml:space="preserve">Alistair Legrand</t>
  </si>
  <si>
    <t xml:space="preserve">Historia de un clan</t>
  </si>
  <si>
    <t xml:space="preserve">Betty White: First Lady of Television</t>
  </si>
  <si>
    <t xml:space="preserve">Steve Boettcher</t>
  </si>
  <si>
    <t xml:space="preserve">January 12, 2020</t>
  </si>
  <si>
    <t xml:space="preserve">Made in China</t>
  </si>
  <si>
    <t xml:space="preserve">Becoming Jane</t>
  </si>
  <si>
    <t xml:space="preserve">Julian Jarrold</t>
  </si>
  <si>
    <t xml:space="preserve">United Kingdom, Ireland</t>
  </si>
  <si>
    <t xml:space="preserve">January 12, 2019</t>
  </si>
  <si>
    <t xml:space="preserve">He's Out There</t>
  </si>
  <si>
    <t xml:space="preserve">Quinn Lasher</t>
  </si>
  <si>
    <t xml:space="preserve">Milada</t>
  </si>
  <si>
    <t xml:space="preserve">David Mrnka</t>
  </si>
  <si>
    <t xml:space="preserve">January 12, 2018</t>
  </si>
  <si>
    <t xml:space="preserve">The Man Who Would Be Polka King</t>
  </si>
  <si>
    <t xml:space="preserve">John Mikulak, Joshua Brown</t>
  </si>
  <si>
    <t xml:space="preserve">The Polka King</t>
  </si>
  <si>
    <t xml:space="preserve">Maya Forbes</t>
  </si>
  <si>
    <t xml:space="preserve">The Reservoir Game</t>
  </si>
  <si>
    <t xml:space="preserve">Choi Jin-seong</t>
  </si>
  <si>
    <t xml:space="preserve">Tom Segura: Disgraceful</t>
  </si>
  <si>
    <t xml:space="preserve">Little Men</t>
  </si>
  <si>
    <t xml:space="preserve">Ira Sachs</t>
  </si>
  <si>
    <t xml:space="preserve">United States, Greece, Brazil</t>
  </si>
  <si>
    <t xml:space="preserve">January 12, 2017</t>
  </si>
  <si>
    <t xml:space="preserve">Very Big Shot</t>
  </si>
  <si>
    <t xml:space="preserve">Mir-Jean Bou Chaaya</t>
  </si>
  <si>
    <t xml:space="preserve">Lebanon, Qatar</t>
  </si>
  <si>
    <t xml:space="preserve">Zoom</t>
  </si>
  <si>
    <t xml:space="preserve">Peter Hewitt</t>
  </si>
  <si>
    <t xml:space="preserve">January 11, 2020</t>
  </si>
  <si>
    <t xml:space="preserve">All of You</t>
  </si>
  <si>
    <t xml:space="preserve">Dan Villegas</t>
  </si>
  <si>
    <t xml:space="preserve">January 11, 2019</t>
  </si>
  <si>
    <t xml:space="preserve">Back with the Ex</t>
  </si>
  <si>
    <t xml:space="preserve">International TV Shows, Reality TV, Romantic TV Shows</t>
  </si>
  <si>
    <t xml:space="preserve">ReMastered: Massacre at the Stadium</t>
  </si>
  <si>
    <t xml:space="preserve">Bent-Jorgen Perlmutt</t>
  </si>
  <si>
    <t xml:space="preserve">Sex Education</t>
  </si>
  <si>
    <t xml:space="preserve">Hugo Stuven</t>
  </si>
  <si>
    <t xml:space="preserve">The Last Laugh</t>
  </si>
  <si>
    <t xml:space="preserve">Greg Pritikin</t>
  </si>
  <si>
    <t xml:space="preserve">Dayveon</t>
  </si>
  <si>
    <t xml:space="preserve">Amman Abbasi</t>
  </si>
  <si>
    <t xml:space="preserve">January 11, 2018</t>
  </si>
  <si>
    <t xml:space="preserve">AJ and the Queen</t>
  </si>
  <si>
    <t xml:space="preserve">January 10, 2020</t>
  </si>
  <si>
    <t xml:space="preserve">Giri / Haji</t>
  </si>
  <si>
    <t xml:space="preserve">Jamtara - Sabka Number Ayega</t>
  </si>
  <si>
    <t xml:space="preserve">Medical Police</t>
  </si>
  <si>
    <t xml:space="preserve">Crime TV Shows, TV Action &amp; Adventure, TV Comedies</t>
  </si>
  <si>
    <t xml:space="preserve">Monsters: Dark Continent</t>
  </si>
  <si>
    <t xml:space="preserve">Tom Green</t>
  </si>
  <si>
    <t xml:space="preserve">Set Up</t>
  </si>
  <si>
    <t xml:space="preserve">Mike Gunther</t>
  </si>
  <si>
    <t xml:space="preserve">Sniper: Special Ops</t>
  </si>
  <si>
    <t xml:space="preserve">Fred Olen Ray</t>
  </si>
  <si>
    <t xml:space="preserve">The Evil Dead</t>
  </si>
  <si>
    <t xml:space="preserve">Until Dawn</t>
  </si>
  <si>
    <t xml:space="preserve">International TV Shows, Reality TV, TV Comedies</t>
  </si>
  <si>
    <t xml:space="preserve">Shaka Zulu</t>
  </si>
  <si>
    <t xml:space="preserve">Italy, South Africa, West Germany, Australia, United States</t>
  </si>
  <si>
    <t xml:space="preserve">January 10, 2019</t>
  </si>
  <si>
    <t xml:space="preserve">When Heroes Fly</t>
  </si>
  <si>
    <t xml:space="preserve">Alejandro Riaño: Especial de stand up</t>
  </si>
  <si>
    <t xml:space="preserve">January 10, 2018</t>
  </si>
  <si>
    <t xml:space="preserve">In The Deep</t>
  </si>
  <si>
    <t xml:space="preserve">Johannes Roberts</t>
  </si>
  <si>
    <t xml:space="preserve">United Kingdom, United States, Dominican Republic</t>
  </si>
  <si>
    <t xml:space="preserve">On Yoga The Architecture of Peace</t>
  </si>
  <si>
    <t xml:space="preserve">Heitor Dhalia</t>
  </si>
  <si>
    <t xml:space="preserve">Brazil, India, China, United States</t>
  </si>
  <si>
    <t xml:space="preserve">Jim Gaffigan: Cinco</t>
  </si>
  <si>
    <t xml:space="preserve">Jeannie Gaffigan</t>
  </si>
  <si>
    <t xml:space="preserve">January 10, 2017</t>
  </si>
  <si>
    <t xml:space="preserve">We're Lalaloopsy</t>
  </si>
  <si>
    <t xml:space="preserve">21</t>
  </si>
  <si>
    <t xml:space="preserve">Robert Luketic</t>
  </si>
  <si>
    <t xml:space="preserve">January 1, 2020</t>
  </si>
  <si>
    <t xml:space="preserve">A Cinderella Story</t>
  </si>
  <si>
    <t xml:space="preserve">Mark Rosman</t>
  </si>
  <si>
    <t xml:space="preserve">Alpha and Omega: The Legend of the Saw Tooth Cave</t>
  </si>
  <si>
    <t xml:space="preserve">American Beauty</t>
  </si>
  <si>
    <t xml:space="preserve">Arthur Christmas</t>
  </si>
  <si>
    <t xml:space="preserve">Sarah Smith</t>
  </si>
  <si>
    <t xml:space="preserve">Aruna &amp; Her Palate</t>
  </si>
  <si>
    <t xml:space="preserve">Edwin</t>
  </si>
  <si>
    <t xml:space="preserve">Indonesia, South Korea, Singapore</t>
  </si>
  <si>
    <t xml:space="preserve">As Good as It Gets</t>
  </si>
  <si>
    <t xml:space="preserve">James L. Brooks</t>
  </si>
  <si>
    <t xml:space="preserve">Bad Grandpa .5</t>
  </si>
  <si>
    <t xml:space="preserve">Because This Is My First Life</t>
  </si>
  <si>
    <t xml:space="preserve">Breaking the Bank</t>
  </si>
  <si>
    <t xml:space="preserve">Vadim Jean</t>
  </si>
  <si>
    <t xml:space="preserve">Catch Me If You Can</t>
  </si>
  <si>
    <t xml:space="preserve">Cells at Work!</t>
  </si>
  <si>
    <t xml:space="preserve">Anime Series, Teen TV Shows</t>
  </si>
  <si>
    <t xml:space="preserve">Center Stage</t>
  </si>
  <si>
    <t xml:space="preserve">Nicholas Hytner</t>
  </si>
  <si>
    <t xml:space="preserve">Charlie and the Chocolate Factory</t>
  </si>
  <si>
    <t xml:space="preserve">Tim Burton</t>
  </si>
  <si>
    <t xml:space="preserve">Chasing Amy</t>
  </si>
  <si>
    <t xml:space="preserve">Chhota Bheem Kung Fu Dhamaka Series</t>
  </si>
  <si>
    <t xml:space="preserve">Chitty Chitty Bang Bang</t>
  </si>
  <si>
    <t xml:space="preserve">Ken Hughes</t>
  </si>
  <si>
    <t xml:space="preserve">Chloe</t>
  </si>
  <si>
    <t xml:space="preserve">United States, Canada, France</t>
  </si>
  <si>
    <t xml:space="preserve">City of God</t>
  </si>
  <si>
    <t xml:space="preserve">Fernando Meirelles, Katia Lund</t>
  </si>
  <si>
    <t xml:space="preserve">Brazil, France, Germany</t>
  </si>
  <si>
    <t xml:space="preserve">Click</t>
  </si>
  <si>
    <t xml:space="preserve">Cloverfield</t>
  </si>
  <si>
    <t xml:space="preserve">Matt Reeves</t>
  </si>
  <si>
    <t xml:space="preserve">Coach Carter</t>
  </si>
  <si>
    <t xml:space="preserve">Thomas Carter</t>
  </si>
  <si>
    <t xml:space="preserve">Dinner for Schmucks</t>
  </si>
  <si>
    <t xml:space="preserve">Jay Roach</t>
  </si>
  <si>
    <t xml:space="preserve">Donnie Brasco</t>
  </si>
  <si>
    <t xml:space="preserve">Mike Newell</t>
  </si>
  <si>
    <t xml:space="preserve">Dragonheart</t>
  </si>
  <si>
    <t xml:space="preserve">Dragonheart 3: The Sorcerer</t>
  </si>
  <si>
    <t xml:space="preserve">Colin Teague</t>
  </si>
  <si>
    <t xml:space="preserve">Dragonheart: A New Beginning</t>
  </si>
  <si>
    <t xml:space="preserve">Doug Lefler</t>
  </si>
  <si>
    <t xml:space="preserve">Event Horizon</t>
  </si>
  <si>
    <t xml:space="preserve">Paul W.S. Anderson</t>
  </si>
  <si>
    <t xml:space="preserve">Horror Movies, Sci-Fi &amp; Fantasy</t>
  </si>
  <si>
    <t xml:space="preserve">Fall Girls</t>
  </si>
  <si>
    <t xml:space="preserve">Final Destination</t>
  </si>
  <si>
    <t xml:space="preserve">James Wong</t>
  </si>
  <si>
    <t xml:space="preserve">Cult Movies, Horror Movies, Thrillers</t>
  </si>
  <si>
    <t xml:space="preserve">Final Destination 2</t>
  </si>
  <si>
    <t xml:space="preserve">Final Destination 3</t>
  </si>
  <si>
    <t xml:space="preserve">Free Willy</t>
  </si>
  <si>
    <t xml:space="preserve">Simon Wincer</t>
  </si>
  <si>
    <t xml:space="preserve">United States, France, Mexico</t>
  </si>
  <si>
    <t xml:space="preserve">Friday the 13th</t>
  </si>
  <si>
    <t xml:space="preserve">Marcus Nispel</t>
  </si>
  <si>
    <t xml:space="preserve">Garfield Gets Real</t>
  </si>
  <si>
    <t xml:space="preserve">Mark A.Z. Dippé, Kyung Ho Lee</t>
  </si>
  <si>
    <t xml:space="preserve">Garfield's Fun Fest</t>
  </si>
  <si>
    <t xml:space="preserve">Mark A.Z. Dippé, Eondeok Han</t>
  </si>
  <si>
    <t xml:space="preserve">United States, South Korea</t>
  </si>
  <si>
    <t xml:space="preserve">Garfield's Pet Force</t>
  </si>
  <si>
    <t xml:space="preserve">Mark A.Z. Dippé</t>
  </si>
  <si>
    <t xml:space="preserve">Ghost Rider</t>
  </si>
  <si>
    <t xml:space="preserve">Mark Steven Johnson</t>
  </si>
  <si>
    <t xml:space="preserve">Ghost Stories</t>
  </si>
  <si>
    <t xml:space="preserve">Anurag Kashyap, Dibakar Banerjee, Karan Johar, Zoya Akhtar</t>
  </si>
  <si>
    <t xml:space="preserve">Hairspray</t>
  </si>
  <si>
    <t xml:space="preserve">Harold &amp; Kumar Go to White Castle</t>
  </si>
  <si>
    <t xml:space="preserve">Danny Leiner</t>
  </si>
  <si>
    <t xml:space="preserve">United States, Canada, Germany</t>
  </si>
  <si>
    <t xml:space="preserve">Hitch</t>
  </si>
  <si>
    <t xml:space="preserve">Hunt to Kill</t>
  </si>
  <si>
    <t xml:space="preserve">Inception</t>
  </si>
  <si>
    <t xml:space="preserve">Christopher Nolan</t>
  </si>
  <si>
    <t xml:space="preserve">Instructions Not Included</t>
  </si>
  <si>
    <t xml:space="preserve">Eugenio Derbez</t>
  </si>
  <si>
    <t xml:space="preserve">Jeff Dunham: Unhinged in Hollywood</t>
  </si>
  <si>
    <t xml:space="preserve">Jimmy Neutron: Boy Genius</t>
  </si>
  <si>
    <t xml:space="preserve">John A. Davis</t>
  </si>
  <si>
    <t xml:space="preserve">Julie &amp; Julia</t>
  </si>
  <si>
    <t xml:space="preserve">Nora Ephron</t>
  </si>
  <si>
    <t xml:space="preserve">Kate &amp; Leopold</t>
  </si>
  <si>
    <t xml:space="preserve">James Mangold</t>
  </si>
  <si>
    <t xml:space="preserve">Kill Bill: Vol. 1</t>
  </si>
  <si>
    <t xml:space="preserve">Kill Bill: Vol. 2</t>
  </si>
  <si>
    <t xml:space="preserve">Kingpin</t>
  </si>
  <si>
    <t xml:space="preserve">Peter Farrelly, Bobby Farrelly</t>
  </si>
  <si>
    <t xml:space="preserve">Comedies, Cult Movies, Sports Movies</t>
  </si>
  <si>
    <t xml:space="preserve">Kiss the Girls</t>
  </si>
  <si>
    <t xml:space="preserve">Gary Fleder</t>
  </si>
  <si>
    <t xml:space="preserve">La Bamba</t>
  </si>
  <si>
    <t xml:space="preserve">Luis Valdez</t>
  </si>
  <si>
    <t xml:space="preserve">Classic Movies, Dramas, Music &amp; Musicals</t>
  </si>
  <si>
    <t xml:space="preserve">Legend of the Guardians: The Owls of Ga'Hoole</t>
  </si>
  <si>
    <t xml:space="preserve">Zack Snyder</t>
  </si>
  <si>
    <t xml:space="preserve">Live Up To Your Name</t>
  </si>
  <si>
    <t xml:space="preserve">Luccas Neto in: Children's Day</t>
  </si>
  <si>
    <t xml:space="preserve">Magnolia</t>
  </si>
  <si>
    <t xml:space="preserve">189 min</t>
  </si>
  <si>
    <t xml:space="preserve">Mandi</t>
  </si>
  <si>
    <t xml:space="preserve">Mansfield Park</t>
  </si>
  <si>
    <t xml:space="preserve">Messiah</t>
  </si>
  <si>
    <t xml:space="preserve">Monster-in-Law</t>
  </si>
  <si>
    <t xml:space="preserve">Moon</t>
  </si>
  <si>
    <t xml:space="preserve">Duncan Jones</t>
  </si>
  <si>
    <t xml:space="preserve">My Girl</t>
  </si>
  <si>
    <t xml:space="preserve">Howard Zieff</t>
  </si>
  <si>
    <t xml:space="preserve">New York Minute</t>
  </si>
  <si>
    <t xml:space="preserve">Nisman: The Prosecutor, the President, and the Spy</t>
  </si>
  <si>
    <t xml:space="preserve">Justin Webster</t>
  </si>
  <si>
    <t xml:space="preserve">Pan's Labyrinth</t>
  </si>
  <si>
    <t xml:space="preserve">Guillermo del Toro</t>
  </si>
  <si>
    <t xml:space="preserve">Mexico, Spain</t>
  </si>
  <si>
    <t xml:space="preserve">Paranormal Activity</t>
  </si>
  <si>
    <t xml:space="preserve">Oren Peli</t>
  </si>
  <si>
    <t xml:space="preserve">Patriot Games</t>
  </si>
  <si>
    <t xml:space="preserve">Pokémon the Movie: Power of Us</t>
  </si>
  <si>
    <t xml:space="preserve">Tetsuo Yajima</t>
  </si>
  <si>
    <t xml:space="preserve">Posesif</t>
  </si>
  <si>
    <t xml:space="preserve">Reply 1988</t>
  </si>
  <si>
    <t xml:space="preserve">Resident Evil: Afterlife</t>
  </si>
  <si>
    <t xml:space="preserve">Germany, France, United States, Canada, United Kingdom</t>
  </si>
  <si>
    <t xml:space="preserve">Riot</t>
  </si>
  <si>
    <t xml:space="preserve">John Lyde</t>
  </si>
  <si>
    <t xml:space="preserve">Road Trip: Beer Pong</t>
  </si>
  <si>
    <t xml:space="preserve">Steve Rash</t>
  </si>
  <si>
    <t xml:space="preserve">Save Me</t>
  </si>
  <si>
    <t xml:space="preserve">Scary Movie</t>
  </si>
  <si>
    <t xml:space="preserve">Keenen Ivory Wayans</t>
  </si>
  <si>
    <t xml:space="preserve">Seal Team Six: The Raid on Osama Bin Laden</t>
  </si>
  <si>
    <t xml:space="preserve">John Stockwell</t>
  </si>
  <si>
    <t xml:space="preserve">Siren</t>
  </si>
  <si>
    <t xml:space="preserve">Gregg Bishop</t>
  </si>
  <si>
    <t xml:space="preserve">Sliver</t>
  </si>
  <si>
    <t xml:space="preserve">Snow Day</t>
  </si>
  <si>
    <t xml:space="preserve">Chris Koch</t>
  </si>
  <si>
    <t xml:space="preserve">Spinning Out</t>
  </si>
  <si>
    <t xml:space="preserve">Strictly Ballroom</t>
  </si>
  <si>
    <t xml:space="preserve">Baz Luhrmann</t>
  </si>
  <si>
    <t xml:space="preserve">Australia, United Kingdom</t>
  </si>
  <si>
    <t xml:space="preserve">Classic Movies, Comedies, Romantic Movies</t>
  </si>
  <si>
    <t xml:space="preserve">Stuart Little</t>
  </si>
  <si>
    <t xml:space="preserve">Stuart Little 2</t>
  </si>
  <si>
    <t xml:space="preserve">Sweeney Todd: The Demon Barber of Fleet Street</t>
  </si>
  <si>
    <t xml:space="preserve">Dramas, Horror Movies, Music &amp; Musicals</t>
  </si>
  <si>
    <t xml:space="preserve">Teenage Mutant Ninja Turtles II: The Secret of the Ooze</t>
  </si>
  <si>
    <t xml:space="preserve">Michael Pressman</t>
  </si>
  <si>
    <t xml:space="preserve">Teenage Mutant Ninja Turtles: The Movie</t>
  </si>
  <si>
    <t xml:space="preserve">Steve Barron</t>
  </si>
  <si>
    <t xml:space="preserve">Terminator 3: Rise of the Machines</t>
  </si>
  <si>
    <t xml:space="preserve">United States, Germany, United Kingdom</t>
  </si>
  <si>
    <t xml:space="preserve">Terminator Salvation</t>
  </si>
  <si>
    <t xml:space="preserve">United States, Germany, United Kingdom, Italy</t>
  </si>
  <si>
    <t xml:space="preserve">The Amityville Horror</t>
  </si>
  <si>
    <t xml:space="preserve">Andrew Douglas</t>
  </si>
  <si>
    <t xml:space="preserve">The Bride of Habaek</t>
  </si>
  <si>
    <t xml:space="preserve">The Circle</t>
  </si>
  <si>
    <t xml:space="preserve">The Craft</t>
  </si>
  <si>
    <t xml:space="preserve">The Crying Game</t>
  </si>
  <si>
    <t xml:space="preserve">Classic Movies, Independent Movies, Thrillers</t>
  </si>
  <si>
    <t xml:space="preserve">The Dukes of Hazzard</t>
  </si>
  <si>
    <t xml:space="preserve">Jay Chandrasekhar</t>
  </si>
  <si>
    <t xml:space="preserve">The Dukes of Hazzard: The Beginning</t>
  </si>
  <si>
    <t xml:space="preserve">Robert Berlinger</t>
  </si>
  <si>
    <t xml:space="preserve">The Final Destination</t>
  </si>
  <si>
    <t xml:space="preserve">The Invention of Lying</t>
  </si>
  <si>
    <t xml:space="preserve">Ricky Gervais, Matthew Robinson</t>
  </si>
  <si>
    <t xml:space="preserve">The Lord of the Rings: The Return of the King</t>
  </si>
  <si>
    <t xml:space="preserve">Peter Jackson</t>
  </si>
  <si>
    <t xml:space="preserve">New Zealand, United States</t>
  </si>
  <si>
    <t xml:space="preserve">201 min</t>
  </si>
  <si>
    <t xml:space="preserve">The Lord of the Rings: The Two Towers</t>
  </si>
  <si>
    <t xml:space="preserve">179 min</t>
  </si>
  <si>
    <t xml:space="preserve">The Mask of Zorro</t>
  </si>
  <si>
    <t xml:space="preserve">Martin Campbell</t>
  </si>
  <si>
    <t xml:space="preserve">United States, Germany, Mexico</t>
  </si>
  <si>
    <t xml:space="preserve">The Naked Gun 2 1/2: The Smell of Fear</t>
  </si>
  <si>
    <t xml:space="preserve">The Naked Gun: From the Files of Police Squad!</t>
  </si>
  <si>
    <t xml:space="preserve">The Natural</t>
  </si>
  <si>
    <t xml:space="preserve">The Original Kings of Comedy</t>
  </si>
  <si>
    <t xml:space="preserve">The Peacemaker</t>
  </si>
  <si>
    <t xml:space="preserve">Mimi Leder</t>
  </si>
  <si>
    <t xml:space="preserve">The Ring</t>
  </si>
  <si>
    <t xml:space="preserve">Gore Verbinski</t>
  </si>
  <si>
    <t xml:space="preserve">The Talented Mr. Ripley</t>
  </si>
  <si>
    <t xml:space="preserve">Anthony Minghella</t>
  </si>
  <si>
    <t xml:space="preserve">Tremors</t>
  </si>
  <si>
    <t xml:space="preserve">Ron Underwood</t>
  </si>
  <si>
    <t xml:space="preserve">Tremors 2: Aftershocks</t>
  </si>
  <si>
    <t xml:space="preserve">S.S. Wilson</t>
  </si>
  <si>
    <t xml:space="preserve">Comedies, Horror Movies, Sci-Fi &amp; Fantasy</t>
  </si>
  <si>
    <t xml:space="preserve">Tremors 3: Back to Perfection</t>
  </si>
  <si>
    <t xml:space="preserve">Brent Maddock</t>
  </si>
  <si>
    <t xml:space="preserve">Tremors 4: The Legend Begins</t>
  </si>
  <si>
    <t xml:space="preserve">Tremors 5:  Bloodline</t>
  </si>
  <si>
    <t xml:space="preserve">South Africa, United States</t>
  </si>
  <si>
    <t xml:space="preserve">True Grit</t>
  </si>
  <si>
    <t xml:space="preserve">Henry Hathaway</t>
  </si>
  <si>
    <t xml:space="preserve">Up in the Air</t>
  </si>
  <si>
    <t xml:space="preserve">What Lies Beneath</t>
  </si>
  <si>
    <t xml:space="preserve">Robert Zemeckis</t>
  </si>
  <si>
    <t xml:space="preserve">Wild Wild West</t>
  </si>
  <si>
    <t xml:space="preserve">Willy Wonka &amp; the Chocolate Factory</t>
  </si>
  <si>
    <t xml:space="preserve">Mel Stuart</t>
  </si>
  <si>
    <t xml:space="preserve">United States, East Germany, West Germany</t>
  </si>
  <si>
    <t xml:space="preserve">Wyatt Earp</t>
  </si>
  <si>
    <t xml:space="preserve">Lawrence Kasdan</t>
  </si>
  <si>
    <t xml:space="preserve">191 min</t>
  </si>
  <si>
    <t xml:space="preserve">Yes Man</t>
  </si>
  <si>
    <t xml:space="preserve">A Perfect Ending</t>
  </si>
  <si>
    <t xml:space="preserve">Nicole Conn</t>
  </si>
  <si>
    <t xml:space="preserve">January 1, 2019</t>
  </si>
  <si>
    <t xml:space="preserve">Across the Universe</t>
  </si>
  <si>
    <t xml:space="preserve">Julie Taymor</t>
  </si>
  <si>
    <t xml:space="preserve">Babel</t>
  </si>
  <si>
    <t xml:space="preserve">Alejandro G. Iñárritu</t>
  </si>
  <si>
    <t xml:space="preserve">France, United States, Mexico</t>
  </si>
  <si>
    <t xml:space="preserve">Back to the 90s</t>
  </si>
  <si>
    <t xml:space="preserve">Yanyong Kuruaungkoul</t>
  </si>
  <si>
    <t xml:space="preserve">Black Hawk Down</t>
  </si>
  <si>
    <t xml:space="preserve">Ridley Scott</t>
  </si>
  <si>
    <t xml:space="preserve">Chappie</t>
  </si>
  <si>
    <t xml:space="preserve">Christmas with the Kranks</t>
  </si>
  <si>
    <t xml:space="preserve">Joe Roth</t>
  </si>
  <si>
    <t xml:space="preserve">Daddy Day Care</t>
  </si>
  <si>
    <t xml:space="preserve">Gone are the Days</t>
  </si>
  <si>
    <t xml:space="preserve">Mark Landre Gould</t>
  </si>
  <si>
    <t xml:space="preserve">Independent Movies</t>
  </si>
  <si>
    <t xml:space="preserve">Good Girls</t>
  </si>
  <si>
    <t xml:space="preserve">Hell or High Water</t>
  </si>
  <si>
    <t xml:space="preserve">Indiana Jones and the Kingdom of the Crystal Skull</t>
  </si>
  <si>
    <t xml:space="preserve">Indiana Jones and the Last Crusade</t>
  </si>
  <si>
    <t xml:space="preserve">Action &amp; Adventure, Children &amp; Family Movies, Classic Movies</t>
  </si>
  <si>
    <t xml:space="preserve">Indiana Jones and the Raiders of the Lost Ark</t>
  </si>
  <si>
    <t xml:space="preserve">Indiana Jones and the Temple of Doom</t>
  </si>
  <si>
    <t xml:space="preserve">Jay and Silent Bob Strike Back</t>
  </si>
  <si>
    <t xml:space="preserve">Jersey Boys</t>
  </si>
  <si>
    <t xml:space="preserve">Kevyn Aucoin: Beauty &amp; the Beast in Me</t>
  </si>
  <si>
    <t xml:space="preserve">Lori Kaye</t>
  </si>
  <si>
    <t xml:space="preserve">Krystal</t>
  </si>
  <si>
    <t xml:space="preserve">William H. Macy</t>
  </si>
  <si>
    <t xml:space="preserve">Last Night</t>
  </si>
  <si>
    <t xml:space="preserve">Massy Tadjedin</t>
  </si>
  <si>
    <t xml:space="preserve">Lock, Stock and Two Smoking Barrels</t>
  </si>
  <si>
    <t xml:space="preserve">Guy Ritchie</t>
  </si>
  <si>
    <t xml:space="preserve">Merku Thodarchi Malai</t>
  </si>
  <si>
    <t xml:space="preserve">Lenin Bharathi</t>
  </si>
  <si>
    <t xml:space="preserve">Mona Lisa Smile</t>
  </si>
  <si>
    <t xml:space="preserve">Moshe Kasher: Live in Oakland</t>
  </si>
  <si>
    <t xml:space="preserve">Perfect Stranger</t>
  </si>
  <si>
    <t xml:space="preserve">James Foley</t>
  </si>
  <si>
    <t xml:space="preserve">Pokémon the Movie: I Choose You!</t>
  </si>
  <si>
    <t xml:space="preserve">Kunihiko Yuyama</t>
  </si>
  <si>
    <t xml:space="preserve">Pulp Fiction</t>
  </si>
  <si>
    <t xml:space="preserve">Classic Movies, Cult Movies, Dramas</t>
  </si>
  <si>
    <t xml:space="preserve">Puriyatha Puthir</t>
  </si>
  <si>
    <t xml:space="preserve">Ranjit Jeyakodi</t>
  </si>
  <si>
    <t xml:space="preserve">Taramani</t>
  </si>
  <si>
    <t xml:space="preserve">Ram</t>
  </si>
  <si>
    <t xml:space="preserve">Tears of the Sun</t>
  </si>
  <si>
    <t xml:space="preserve">The Boy in the Striped Pajamas</t>
  </si>
  <si>
    <t xml:space="preserve">Mark Herman</t>
  </si>
  <si>
    <t xml:space="preserve">The Crow</t>
  </si>
  <si>
    <t xml:space="preserve">Action &amp; Adventure, Cult Movies, Sci-Fi &amp; Fantasy</t>
  </si>
  <si>
    <t xml:space="preserve">The Pass</t>
  </si>
  <si>
    <t xml:space="preserve">Ben A. Williams</t>
  </si>
  <si>
    <t xml:space="preserve">Tidying Up with Marie Kondo</t>
  </si>
  <si>
    <t xml:space="preserve">Trash</t>
  </si>
  <si>
    <t xml:space="preserve">Stephen Daldry</t>
  </si>
  <si>
    <t xml:space="preserve">United Kingdom, Brazil, Germany</t>
  </si>
  <si>
    <t xml:space="preserve">Whitney Cummings: Money Shot</t>
  </si>
  <si>
    <t xml:space="preserve">John Fortenberry</t>
  </si>
  <si>
    <t xml:space="preserve">XXx</t>
  </si>
  <si>
    <t xml:space="preserve">Action &amp; Adventure, Sports Movies</t>
  </si>
  <si>
    <t xml:space="preserve">XXX: State of the Union</t>
  </si>
  <si>
    <t xml:space="preserve">Aajcha Divas Majha</t>
  </si>
  <si>
    <t xml:space="preserve">Chandrakant Kulkarni</t>
  </si>
  <si>
    <t xml:space="preserve">January 1, 2018</t>
  </si>
  <si>
    <t xml:space="preserve">Aata Pita</t>
  </si>
  <si>
    <t xml:space="preserve">Uttung Shelar</t>
  </si>
  <si>
    <t xml:space="preserve">AlphaGo</t>
  </si>
  <si>
    <t xml:space="preserve">Greg Kohs</t>
  </si>
  <si>
    <t xml:space="preserve">Badha</t>
  </si>
  <si>
    <t xml:space="preserve">Camp Cool Kids</t>
  </si>
  <si>
    <t xml:space="preserve">Lisa Arnold</t>
  </si>
  <si>
    <t xml:space="preserve">Chittagong</t>
  </si>
  <si>
    <t xml:space="preserve">Bedabrata Pain</t>
  </si>
  <si>
    <t xml:space="preserve">United States, India, Bangladesh</t>
  </si>
  <si>
    <t xml:space="preserve">Devrai</t>
  </si>
  <si>
    <t xml:space="preserve">Dries</t>
  </si>
  <si>
    <t xml:space="preserve">Reiner Holzemer</t>
  </si>
  <si>
    <t xml:space="preserve">Germany, Belgium</t>
  </si>
  <si>
    <t xml:space="preserve">Empire of Scents</t>
  </si>
  <si>
    <t xml:space="preserve">Canada, France, Italy, Morocco, United States</t>
  </si>
  <si>
    <t xml:space="preserve">Eve's Apple</t>
  </si>
  <si>
    <t xml:space="preserve">Fandry</t>
  </si>
  <si>
    <t xml:space="preserve">Nagraj Manjule</t>
  </si>
  <si>
    <t xml:space="preserve">Fullmetal Alchemist</t>
  </si>
  <si>
    <t xml:space="preserve">Functional Fitness</t>
  </si>
  <si>
    <t xml:space="preserve">Bob Rose</t>
  </si>
  <si>
    <t xml:space="preserve">Green White Green (And All the Beautiful Colours in My Mosaic of Madness)</t>
  </si>
  <si>
    <t xml:space="preserve">Abba T. Makama</t>
  </si>
  <si>
    <t xml:space="preserve">Happy Hunting</t>
  </si>
  <si>
    <t xml:space="preserve">Joe Dietsch, Louie Gibson</t>
  </si>
  <si>
    <t xml:space="preserve">Heartthrob</t>
  </si>
  <si>
    <t xml:space="preserve">Chris Sivertson</t>
  </si>
  <si>
    <t xml:space="preserve">Hridaynath</t>
  </si>
  <si>
    <t xml:space="preserve">Amar Gupte</t>
  </si>
  <si>
    <t xml:space="preserve">Hum Aapke Hain Koun</t>
  </si>
  <si>
    <t xml:space="preserve">Sooraj R. Barjatya</t>
  </si>
  <si>
    <t xml:space="preserve">193 min</t>
  </si>
  <si>
    <t xml:space="preserve">Hum Saath-Saath Hain</t>
  </si>
  <si>
    <t xml:space="preserve">Ideachi Kalpana</t>
  </si>
  <si>
    <t xml:space="preserve">Sachin</t>
  </si>
  <si>
    <t xml:space="preserve">Jora 10 Numbaria</t>
  </si>
  <si>
    <t xml:space="preserve">Amardeep Singh Gill</t>
  </si>
  <si>
    <t xml:space="preserve">Justin Bieber: Never Say Never</t>
  </si>
  <si>
    <t xml:space="preserve">Jon M. Chu</t>
  </si>
  <si>
    <t xml:space="preserve">Kay Dyache Bola</t>
  </si>
  <si>
    <t xml:space="preserve">Maacher Jhol</t>
  </si>
  <si>
    <t xml:space="preserve">Pratim D. Gupta</t>
  </si>
  <si>
    <t xml:space="preserve">Maddman: The Steve Madden Story</t>
  </si>
  <si>
    <t xml:space="preserve">Ben Patterson</t>
  </si>
  <si>
    <t xml:space="preserve">Maine Pyar Kiya</t>
  </si>
  <si>
    <t xml:space="preserve">192 min</t>
  </si>
  <si>
    <t xml:space="preserve">Martin Luther: The Idea that Changed the World</t>
  </si>
  <si>
    <t xml:space="preserve">Maza Pati Karodpati</t>
  </si>
  <si>
    <t xml:space="preserve">Mi Shivajiraje Bhosale Boltoy</t>
  </si>
  <si>
    <t xml:space="preserve">Santosh Manjrekar</t>
  </si>
  <si>
    <t xml:space="preserve">Monster High: Escape from Skull Shores</t>
  </si>
  <si>
    <t xml:space="preserve">Steve Ball, Andrew Duncan</t>
  </si>
  <si>
    <t xml:space="preserve">Monster High: Friday Night Frights</t>
  </si>
  <si>
    <t xml:space="preserve">Dustin McKenzie</t>
  </si>
  <si>
    <t xml:space="preserve">Monster High: Fright On!</t>
  </si>
  <si>
    <t xml:space="preserve">Victor Dal Chele, Alfred Gimeno</t>
  </si>
  <si>
    <t xml:space="preserve">Monster High: Frights, Camera, Action!</t>
  </si>
  <si>
    <t xml:space="preserve">Monster High: Why Do Ghouls Fall in Love?</t>
  </si>
  <si>
    <t xml:space="preserve">Dustin McKenzie, Steve Sacks</t>
  </si>
  <si>
    <t xml:space="preserve">Not Alone</t>
  </si>
  <si>
    <t xml:space="preserve">Kiki Goshay, Jacqueline Monetta</t>
  </si>
  <si>
    <t xml:space="preserve">Now More Than Ever: The History of Chicago</t>
  </si>
  <si>
    <t xml:space="preserve">Peter Pardini</t>
  </si>
  <si>
    <t xml:space="preserve">Nymphomaniac: Volume 1</t>
  </si>
  <si>
    <t xml:space="preserve">Lars von Trier</t>
  </si>
  <si>
    <t xml:space="preserve">Denmark, Germany, Belgium, United Kingdom, France</t>
  </si>
  <si>
    <t xml:space="preserve">Planetarium</t>
  </si>
  <si>
    <t xml:space="preserve">Rebecca Zlotowski</t>
  </si>
  <si>
    <t xml:space="preserve">Pokémon: Indigo League</t>
  </si>
  <si>
    <t xml:space="preserve">Residente</t>
  </si>
  <si>
    <t xml:space="preserve">René Pérez Joglar</t>
  </si>
  <si>
    <t xml:space="preserve">Sanai Choughade</t>
  </si>
  <si>
    <t xml:space="preserve">Rajeev Patil</t>
  </si>
  <si>
    <t xml:space="preserve">Shahanpan Dega Deva</t>
  </si>
  <si>
    <t xml:space="preserve">Sudesh Manjrekar</t>
  </si>
  <si>
    <t xml:space="preserve">Super Dark Times</t>
  </si>
  <si>
    <t xml:space="preserve">Kevin Phillips</t>
  </si>
  <si>
    <t xml:space="preserve">The Age of Shadows</t>
  </si>
  <si>
    <t xml:space="preserve">Jee-woon Kim</t>
  </si>
  <si>
    <t xml:space="preserve">The Arbitration</t>
  </si>
  <si>
    <t xml:space="preserve">The Damned Rain</t>
  </si>
  <si>
    <t xml:space="preserve">Satish Manwar</t>
  </si>
  <si>
    <t xml:space="preserve">The Frozen Dead</t>
  </si>
  <si>
    <t xml:space="preserve">The Rehearsal</t>
  </si>
  <si>
    <t xml:space="preserve">Alison MacLean</t>
  </si>
  <si>
    <t xml:space="preserve">The Trigger Effect</t>
  </si>
  <si>
    <t xml:space="preserve">David Koepp</t>
  </si>
  <si>
    <t xml:space="preserve">The Vault</t>
  </si>
  <si>
    <t xml:space="preserve">Dan Bush</t>
  </si>
  <si>
    <t xml:space="preserve">Time Please</t>
  </si>
  <si>
    <t xml:space="preserve">Treasures from the Wreck of the Unbelievable</t>
  </si>
  <si>
    <t xml:space="preserve">Sam Hobkinson</t>
  </si>
  <si>
    <t xml:space="preserve">We Speak Dance</t>
  </si>
  <si>
    <t xml:space="preserve">Yanda Kartavya Aahe</t>
  </si>
  <si>
    <t xml:space="preserve">A Good Wife</t>
  </si>
  <si>
    <t xml:space="preserve">January 1, 2017</t>
  </si>
  <si>
    <t xml:space="preserve">An American in Madras</t>
  </si>
  <si>
    <t xml:space="preserve">Karan Bali</t>
  </si>
  <si>
    <t xml:space="preserve">An Innocent Mistake</t>
  </si>
  <si>
    <t xml:space="preserve">Autohead</t>
  </si>
  <si>
    <t xml:space="preserve">Rohit Mittal</t>
  </si>
  <si>
    <t xml:space="preserve">Bee Movie</t>
  </si>
  <si>
    <t xml:space="preserve">Steve Hickner, Simon J. Smith</t>
  </si>
  <si>
    <t xml:space="preserve">Ex-Boyfriend</t>
  </si>
  <si>
    <t xml:space="preserve">Happy 300 Days</t>
  </si>
  <si>
    <t xml:space="preserve">Headwinds</t>
  </si>
  <si>
    <t xml:space="preserve">Hurricane Bianca</t>
  </si>
  <si>
    <t xml:space="preserve">Matt Kugelman</t>
  </si>
  <si>
    <t xml:space="preserve">In Between</t>
  </si>
  <si>
    <t xml:space="preserve">Radiopetti</t>
  </si>
  <si>
    <t xml:space="preserve">Hari Viswanath</t>
  </si>
  <si>
    <t xml:space="preserve">Saheb Bibi Golaam</t>
  </si>
  <si>
    <t xml:space="preserve">The Land of the Enlightened</t>
  </si>
  <si>
    <t xml:space="preserve">Pieter-Jan De Pue</t>
  </si>
  <si>
    <t xml:space="preserve">Belgium, Ireland, Netherlands, Germany, Afghanistan</t>
  </si>
  <si>
    <t xml:space="preserve">The Rat Race</t>
  </si>
  <si>
    <t xml:space="preserve">Miriam Chandy Menacherry</t>
  </si>
  <si>
    <t xml:space="preserve">To Be a Miss</t>
  </si>
  <si>
    <t xml:space="preserve">Edward Ellis, Flor Salcedo, Aaron Woolf</t>
  </si>
  <si>
    <t xml:space="preserve">United States, Venezuela</t>
  </si>
  <si>
    <t xml:space="preserve">Udta Punjab</t>
  </si>
  <si>
    <t xml:space="preserve">Abhishek Chaubey</t>
  </si>
  <si>
    <t xml:space="preserve">What Is Love?</t>
  </si>
  <si>
    <t xml:space="preserve">Who's the One</t>
  </si>
  <si>
    <t xml:space="preserve">How to Change the World</t>
  </si>
  <si>
    <t xml:space="preserve">Jerry Rothwell</t>
  </si>
  <si>
    <t xml:space="preserve">Canada, United Kingdom, Netherlands</t>
  </si>
  <si>
    <t xml:space="preserve">January 1, 2016</t>
  </si>
  <si>
    <t xml:space="preserve">Mighty Morphin Alien Rangers</t>
  </si>
  <si>
    <t xml:space="preserve">Ninja Turtles: The Next Mutation</t>
  </si>
  <si>
    <t xml:space="preserve">Power Rangers Dino Thunder</t>
  </si>
  <si>
    <t xml:space="preserve">Power Rangers in Space</t>
  </si>
  <si>
    <t xml:space="preserve">United States, France, Japan</t>
  </si>
  <si>
    <t xml:space="preserve">Power Rangers Jungle Fury</t>
  </si>
  <si>
    <t xml:space="preserve">Power Rangers Lightspeed Rescue</t>
  </si>
  <si>
    <t xml:space="preserve">Power Rangers Lost Galaxy</t>
  </si>
  <si>
    <t xml:space="preserve">Power Rangers Mystic Force</t>
  </si>
  <si>
    <t xml:space="preserve">Power Rangers Ninja Storm</t>
  </si>
  <si>
    <t xml:space="preserve">United States, New Zealand</t>
  </si>
  <si>
    <t xml:space="preserve">Power Rangers Operation Overdrive</t>
  </si>
  <si>
    <t xml:space="preserve">United States, New Zealand, Japan</t>
  </si>
  <si>
    <t xml:space="preserve">Power Rangers RPM</t>
  </si>
  <si>
    <t xml:space="preserve">Power Rangers S.P.D.</t>
  </si>
  <si>
    <t xml:space="preserve">Power Rangers Samurai</t>
  </si>
  <si>
    <t xml:space="preserve">Power Rangers Samurai: Christmas Together, Friends Forever (Christmas Special)</t>
  </si>
  <si>
    <t xml:space="preserve">Power Rangers Samurai: Clash of the Red Rangers</t>
  </si>
  <si>
    <t xml:space="preserve">Power Rangers Samurai: Party Monsters (Halloween Special)</t>
  </si>
  <si>
    <t xml:space="preserve">Power Rangers Super Megaforce</t>
  </si>
  <si>
    <t xml:space="preserve">Power Rangers Super Megaforce: The Legendary Battle (Extended)</t>
  </si>
  <si>
    <t xml:space="preserve">Charlie Haskell, Koichi Sakamoto</t>
  </si>
  <si>
    <t xml:space="preserve">Power Rangers Super Samurai</t>
  </si>
  <si>
    <t xml:space="preserve">Power Rangers Super Samurai: Stuck on Christmas</t>
  </si>
  <si>
    <t xml:space="preserve">Power Rangers Super Samurai: Trickster Treat</t>
  </si>
  <si>
    <t xml:space="preserve">Power Rangers Time Force</t>
  </si>
  <si>
    <t xml:space="preserve">Power Rangers Turbo</t>
  </si>
  <si>
    <t xml:space="preserve">Power Rangers Wild Force</t>
  </si>
  <si>
    <t xml:space="preserve">United States, Netherlands, Japan, France</t>
  </si>
  <si>
    <t xml:space="preserve">Power Rangers Zeo</t>
  </si>
  <si>
    <t xml:space="preserve">Power Rangers: Megaforce</t>
  </si>
  <si>
    <t xml:space="preserve">Power Rangers: Megaforce: Raising Spirits</t>
  </si>
  <si>
    <t xml:space="preserve">Power Rangers: Megaforce: The Robo Knight Before Christmas</t>
  </si>
  <si>
    <t xml:space="preserve">James Barr</t>
  </si>
  <si>
    <t xml:space="preserve">Strawberry Shortcake: Berry Bitty Adventures</t>
  </si>
  <si>
    <t xml:space="preserve">France, United States, Canada</t>
  </si>
  <si>
    <t xml:space="preserve">To and From New York</t>
  </si>
  <si>
    <t xml:space="preserve">Sorin Dan Mihalcescu</t>
  </si>
  <si>
    <t xml:space="preserve">January 1, 2008</t>
  </si>
  <si>
    <t xml:space="preserve">God Bless the Broken Road</t>
  </si>
  <si>
    <t xml:space="preserve">Harold Cronk</t>
  </si>
  <si>
    <t xml:space="preserve">February 9, 2019</t>
  </si>
  <si>
    <t xml:space="preserve">Iron Ladies</t>
  </si>
  <si>
    <t xml:space="preserve">Seeing Allred</t>
  </si>
  <si>
    <t xml:space="preserve">Roberta Grossman, Sophie Sartain</t>
  </si>
  <si>
    <t xml:space="preserve">February 9, 2018</t>
  </si>
  <si>
    <t xml:space="preserve">The Ritual</t>
  </si>
  <si>
    <t xml:space="preserve">David Bruckner</t>
  </si>
  <si>
    <t xml:space="preserve">United Kingdom, Canada</t>
  </si>
  <si>
    <t xml:space="preserve">The Trader (Sovdagari)</t>
  </si>
  <si>
    <t xml:space="preserve">Tamta Gabrichidze</t>
  </si>
  <si>
    <t xml:space="preserve">Georgia</t>
  </si>
  <si>
    <t xml:space="preserve">Tientsin Mystic</t>
  </si>
  <si>
    <t xml:space="preserve">When We First Met</t>
  </si>
  <si>
    <t xml:space="preserve">Ari Sandel</t>
  </si>
  <si>
    <t xml:space="preserve">Don't Knock Twice</t>
  </si>
  <si>
    <t xml:space="preserve">Caradog W. James</t>
  </si>
  <si>
    <t xml:space="preserve">February 8, 2019</t>
  </si>
  <si>
    <t xml:space="preserve">High Flying Bird</t>
  </si>
  <si>
    <t xml:space="preserve">Incredibles 2 (Spanish Version)</t>
  </si>
  <si>
    <t xml:space="preserve">Kevin Hart's Guide to Black History</t>
  </si>
  <si>
    <t xml:space="preserve">Tom Stern</t>
  </si>
  <si>
    <t xml:space="preserve">Nailed It! Mexico</t>
  </si>
  <si>
    <t xml:space="preserve">ReMastered: The Two Killings of Sam Cooke</t>
  </si>
  <si>
    <t xml:space="preserve">Kelly Duane de la Vega</t>
  </si>
  <si>
    <t xml:space="preserve">The Tree of Blood</t>
  </si>
  <si>
    <t xml:space="preserve">Julio Medem</t>
  </si>
  <si>
    <t xml:space="preserve">Unauthorized Living</t>
  </si>
  <si>
    <t xml:space="preserve">6 Days</t>
  </si>
  <si>
    <t xml:space="preserve">New Zealand, United Kingdom</t>
  </si>
  <si>
    <t xml:space="preserve">February 8, 2018</t>
  </si>
  <si>
    <t xml:space="preserve">Blinky Bill: The Movie</t>
  </si>
  <si>
    <t xml:space="preserve">Deane Taylor</t>
  </si>
  <si>
    <t xml:space="preserve">February 8, 2017</t>
  </si>
  <si>
    <t xml:space="preserve">Happy Times</t>
  </si>
  <si>
    <t xml:space="preserve">Luis Javier M. Henaine</t>
  </si>
  <si>
    <t xml:space="preserve">Jack and the Cuckoo-Clock Heart</t>
  </si>
  <si>
    <t xml:space="preserve">Mathias Malzieu, Stéphane Berla</t>
  </si>
  <si>
    <t xml:space="preserve">The Pyramid Code</t>
  </si>
  <si>
    <t xml:space="preserve">February 8, 2016</t>
  </si>
  <si>
    <t xml:space="preserve">Lez Bomb</t>
  </si>
  <si>
    <t xml:space="preserve">Jenna Laurenzo</t>
  </si>
  <si>
    <t xml:space="preserve">February 7, 2019</t>
  </si>
  <si>
    <t xml:space="preserve">The Last of the Schmucks</t>
  </si>
  <si>
    <t xml:space="preserve">Michael Bolton's Big, Sexy Valentine's Day Special</t>
  </si>
  <si>
    <t xml:space="preserve">Scott Aukerman, Akiva Schaffer</t>
  </si>
  <si>
    <t xml:space="preserve">February 7, 2017</t>
  </si>
  <si>
    <t xml:space="preserve">Comedies, Music &amp; Musicals, Romantic Movies</t>
  </si>
  <si>
    <t xml:space="preserve">Di Renjie zhi Sidatianwang</t>
  </si>
  <si>
    <t xml:space="preserve">Hark Tsui</t>
  </si>
  <si>
    <t xml:space="preserve">February 6, 2019</t>
  </si>
  <si>
    <t xml:space="preserve">The Confirmation</t>
  </si>
  <si>
    <t xml:space="preserve">Bob Nelson</t>
  </si>
  <si>
    <t xml:space="preserve">Fred Armisen: Standup For Drummers</t>
  </si>
  <si>
    <t xml:space="preserve">February 6, 2018</t>
  </si>
  <si>
    <t xml:space="preserve">Valor</t>
  </si>
  <si>
    <t xml:space="preserve">TV Action &amp; Adventure, TV Dramas</t>
  </si>
  <si>
    <t xml:space="preserve">Welcome to Willits</t>
  </si>
  <si>
    <t xml:space="preserve">Trevor Ryan</t>
  </si>
  <si>
    <t xml:space="preserve">Woody Woodpecker</t>
  </si>
  <si>
    <t xml:space="preserve">Lila &amp; Eve</t>
  </si>
  <si>
    <t xml:space="preserve">February 6, 2016</t>
  </si>
  <si>
    <t xml:space="preserve">Hidden Worlds</t>
  </si>
  <si>
    <t xml:space="preserve">February 5, 2019</t>
  </si>
  <si>
    <t xml:space="preserve">Live</t>
  </si>
  <si>
    <t xml:space="preserve">Ray Romano: Right Here, Around the Corner</t>
  </si>
  <si>
    <t xml:space="preserve">Michael Showalter</t>
  </si>
  <si>
    <t xml:space="preserve">Safe</t>
  </si>
  <si>
    <t xml:space="preserve">Tayee</t>
  </si>
  <si>
    <t xml:space="preserve">Violet Evergarden</t>
  </si>
  <si>
    <t xml:space="preserve">OCTB</t>
  </si>
  <si>
    <t xml:space="preserve">February 5, 2018</t>
  </si>
  <si>
    <t xml:space="preserve">Princess Cyd</t>
  </si>
  <si>
    <t xml:space="preserve">Stephen Cone</t>
  </si>
  <si>
    <t xml:space="preserve">The Cloverfield Paradox</t>
  </si>
  <si>
    <t xml:space="preserve">Julius Onah</t>
  </si>
  <si>
    <t xml:space="preserve">Thumper</t>
  </si>
  <si>
    <t xml:space="preserve">Jordan Ross</t>
  </si>
  <si>
    <t xml:space="preserve">Naga The Eternal Yogi</t>
  </si>
  <si>
    <t xml:space="preserve">Krishna Agazzi, Filippo Gastaldi</t>
  </si>
  <si>
    <t xml:space="preserve">Italy, India</t>
  </si>
  <si>
    <t xml:space="preserve">February 5, 2017</t>
  </si>
  <si>
    <t xml:space="preserve">Star Men</t>
  </si>
  <si>
    <t xml:space="preserve">Alison E. Rose</t>
  </si>
  <si>
    <t xml:space="preserve">Roland Joffé</t>
  </si>
  <si>
    <t xml:space="preserve">Belgium, India, Australia</t>
  </si>
  <si>
    <t xml:space="preserve">Hannibal Buress: Comedy Camisado</t>
  </si>
  <si>
    <t xml:space="preserve">February 5, 2016</t>
  </si>
  <si>
    <t xml:space="preserve">El último testigo</t>
  </si>
  <si>
    <t xml:space="preserve">United States, Canada, Belgium, United Kingdom</t>
  </si>
  <si>
    <t xml:space="preserve">February 4, 2018</t>
  </si>
  <si>
    <t xml:space="preserve">The Charnel House</t>
  </si>
  <si>
    <t xml:space="preserve">Craig Moss</t>
  </si>
  <si>
    <t xml:space="preserve">February 4, 2017</t>
  </si>
  <si>
    <t xml:space="preserve">French Dirty</t>
  </si>
  <si>
    <t xml:space="preserve">Wade Allain-Marcus, Jesse Allain-Marcus</t>
  </si>
  <si>
    <t xml:space="preserve">February 4, 2016</t>
  </si>
  <si>
    <t xml:space="preserve">Dinner for Five</t>
  </si>
  <si>
    <t xml:space="preserve">February 4, 2008</t>
  </si>
  <si>
    <t xml:space="preserve">Romance is a bonus book</t>
  </si>
  <si>
    <t xml:space="preserve">February 3, 2019</t>
  </si>
  <si>
    <t xml:space="preserve">Daniel Sosa: Sosafado</t>
  </si>
  <si>
    <t xml:space="preserve">February 3, 2017</t>
  </si>
  <si>
    <t xml:space="preserve">Imperial Dreams</t>
  </si>
  <si>
    <t xml:space="preserve">Malik Vitthal</t>
  </si>
  <si>
    <t xml:space="preserve">Billy Graham: An Extraordinary Journey</t>
  </si>
  <si>
    <t xml:space="preserve">Vonda Harrell, Daniel Camenisch</t>
  </si>
  <si>
    <t xml:space="preserve">February 28, 2019</t>
  </si>
  <si>
    <t xml:space="preserve">Mine</t>
  </si>
  <si>
    <t xml:space="preserve">Fabio Guaglione, Fabio Resinaro</t>
  </si>
  <si>
    <t xml:space="preserve">United States, Spain, Italy</t>
  </si>
  <si>
    <t xml:space="preserve">Quién te cantará</t>
  </si>
  <si>
    <t xml:space="preserve">Carlos Vermut</t>
  </si>
  <si>
    <t xml:space="preserve">The Rebound</t>
  </si>
  <si>
    <t xml:space="preserve">Shaina Allen</t>
  </si>
  <si>
    <t xml:space="preserve">Big Bear</t>
  </si>
  <si>
    <t xml:space="preserve">Joey Kern</t>
  </si>
  <si>
    <t xml:space="preserve">February 28, 2018</t>
  </si>
  <si>
    <t xml:space="preserve">반드시 잡는다</t>
  </si>
  <si>
    <t xml:space="preserve">Hong-seon Kim</t>
  </si>
  <si>
    <t xml:space="preserve">Be Here Now</t>
  </si>
  <si>
    <t xml:space="preserve">Lilibet Foster</t>
  </si>
  <si>
    <t xml:space="preserve">February 28, 2017</t>
  </si>
  <si>
    <t xml:space="preserve">Mike Birbiglia: Thank God for Jokes</t>
  </si>
  <si>
    <t xml:space="preserve">Seth Barrish, Mike Birbiglia</t>
  </si>
  <si>
    <t xml:space="preserve">People You May Know</t>
  </si>
  <si>
    <t xml:space="preserve">J.C. Falcón</t>
  </si>
  <si>
    <t xml:space="preserve">A Second Chance</t>
  </si>
  <si>
    <t xml:space="preserve">February 27, 2019</t>
  </si>
  <si>
    <t xml:space="preserve">Beauty and the Bestie</t>
  </si>
  <si>
    <t xml:space="preserve">Bride For Rent</t>
  </si>
  <si>
    <t xml:space="preserve">Can't Help Falling in Love</t>
  </si>
  <si>
    <t xml:space="preserve">Evening Shadows</t>
  </si>
  <si>
    <t xml:space="preserve">Sridhar Rangayan</t>
  </si>
  <si>
    <t xml:space="preserve">Four Sisters and a Wedding</t>
  </si>
  <si>
    <t xml:space="preserve">Girl, Boy, Bakla, Tomboy</t>
  </si>
  <si>
    <t xml:space="preserve">It Takes a Man and a Woman</t>
  </si>
  <si>
    <t xml:space="preserve">My Ex &amp; Whys</t>
  </si>
  <si>
    <t xml:space="preserve">Rise: Ini Kalilah</t>
  </si>
  <si>
    <t xml:space="preserve">Saw Teong Hin, Nik Amir Mustapha, M.S. Prem Nath</t>
  </si>
  <si>
    <t xml:space="preserve">She's Dating the Gangster</t>
  </si>
  <si>
    <t xml:space="preserve">The Breakup Playlist</t>
  </si>
  <si>
    <t xml:space="preserve">The Mistress</t>
  </si>
  <si>
    <t xml:space="preserve">The Only Mother To You All</t>
  </si>
  <si>
    <t xml:space="preserve">Unsolved</t>
  </si>
  <si>
    <t xml:space="preserve">You Changed My Life</t>
  </si>
  <si>
    <t xml:space="preserve">You're My Boss</t>
  </si>
  <si>
    <t xml:space="preserve">Derren Brown: The Push</t>
  </si>
  <si>
    <t xml:space="preserve">February 27, 2018</t>
  </si>
  <si>
    <t xml:space="preserve">Marlon Wayans: Woke-ish</t>
  </si>
  <si>
    <t xml:space="preserve">Force 2</t>
  </si>
  <si>
    <t xml:space="preserve">Abhinay Deo</t>
  </si>
  <si>
    <t xml:space="preserve">February 27, 2017</t>
  </si>
  <si>
    <t xml:space="preserve">Ralphie May: Unruly</t>
  </si>
  <si>
    <t xml:space="preserve">February 27, 2015</t>
  </si>
  <si>
    <t xml:space="preserve">Our Idiot Brother</t>
  </si>
  <si>
    <t xml:space="preserve">Jesse Peretz</t>
  </si>
  <si>
    <t xml:space="preserve">February 26, 2019</t>
  </si>
  <si>
    <t xml:space="preserve">Zach Galifianakis: Live at the Purple Onion</t>
  </si>
  <si>
    <t xml:space="preserve">Michael Blieden</t>
  </si>
  <si>
    <t xml:space="preserve">Sherwin Shilati</t>
  </si>
  <si>
    <t xml:space="preserve">February 26, 2018</t>
  </si>
  <si>
    <t xml:space="preserve">The Heyday of the Insensitive Bastards</t>
  </si>
  <si>
    <t xml:space="preserve">Mark Columbus, Lauren Hoekstra, Sarah Kruchowski, Ryan Moody, Simon Savelyev, Vanita Shastry, Shadae Lamar Smith, Jeremy David White</t>
  </si>
  <si>
    <t xml:space="preserve">The Rift: The Dark Side of the Moon</t>
  </si>
  <si>
    <t xml:space="preserve">Dejan Zečević</t>
  </si>
  <si>
    <t xml:space="preserve">Serbia, South Korea, Slovenia</t>
  </si>
  <si>
    <t xml:space="preserve">Horror Movies, Independent Movies, Sci-Fi &amp; Fantasy</t>
  </si>
  <si>
    <t xml:space="preserve">Winnie</t>
  </si>
  <si>
    <t xml:space="preserve">Pascale Lamche</t>
  </si>
  <si>
    <t xml:space="preserve">France, Netherlands, South Africa, Finland</t>
  </si>
  <si>
    <t xml:space="preserve">Jonas</t>
  </si>
  <si>
    <t xml:space="preserve">Lô Politi</t>
  </si>
  <si>
    <t xml:space="preserve">February 26, 2017</t>
  </si>
  <si>
    <t xml:space="preserve">Crouching Tiger, Hidden Dragon: Sword of Destiny</t>
  </si>
  <si>
    <t xml:space="preserve">Yuen Wo-Ping</t>
  </si>
  <si>
    <t xml:space="preserve">China, United States</t>
  </si>
  <si>
    <t xml:space="preserve">February 26, 2016</t>
  </si>
  <si>
    <t xml:space="preserve">The Look of Silence</t>
  </si>
  <si>
    <t xml:space="preserve">Joshua Oppenheimer</t>
  </si>
  <si>
    <t xml:space="preserve">Denmark, Indonesia, Finland, Norway, United Kingdom, Israel, France, United States, Germany, Netherlands</t>
  </si>
  <si>
    <t xml:space="preserve">Blue Ruin</t>
  </si>
  <si>
    <t xml:space="preserve">February 25, 2019</t>
  </si>
  <si>
    <t xml:space="preserve">Dolphin Tale 2</t>
  </si>
  <si>
    <t xml:space="preserve">Charles Martin Smith</t>
  </si>
  <si>
    <t xml:space="preserve">Life of An Outcast</t>
  </si>
  <si>
    <t xml:space="preserve">Pawan K Shrivastava</t>
  </si>
  <si>
    <t xml:space="preserve">Veronica</t>
  </si>
  <si>
    <t xml:space="preserve">February 25, 2018</t>
  </si>
  <si>
    <t xml:space="preserve">Dueños del paraíso</t>
  </si>
  <si>
    <t xml:space="preserve">February 25, 2017</t>
  </si>
  <si>
    <t xml:space="preserve">Operações Especiais</t>
  </si>
  <si>
    <t xml:space="preserve">Tomas Portella</t>
  </si>
  <si>
    <t xml:space="preserve">Attack on Titan</t>
  </si>
  <si>
    <t xml:space="preserve">February 24, 2019</t>
  </si>
  <si>
    <t xml:space="preserve">Ghost Pain</t>
  </si>
  <si>
    <t xml:space="preserve">Kazuchika Kise, Masahiko Murata</t>
  </si>
  <si>
    <t xml:space="preserve">Ghost Tears</t>
  </si>
  <si>
    <t xml:space="preserve">Kazuchika Kise</t>
  </si>
  <si>
    <t xml:space="preserve">Ghost Whispers</t>
  </si>
  <si>
    <t xml:space="preserve">I Don't Feel at Home in This World Anymore</t>
  </si>
  <si>
    <t xml:space="preserve">Macon Blair</t>
  </si>
  <si>
    <t xml:space="preserve">February 24, 2017</t>
  </si>
  <si>
    <t xml:space="preserve">Legend Quest</t>
  </si>
  <si>
    <t xml:space="preserve">The Sound of Your Heart</t>
  </si>
  <si>
    <t xml:space="preserve">Marvel Super Hero Adventures: Frost Fight!</t>
  </si>
  <si>
    <t xml:space="preserve">February 24, 2016</t>
  </si>
  <si>
    <t xml:space="preserve">The Photographer Of Mauthausen</t>
  </si>
  <si>
    <t xml:space="preserve">Mar Targarona</t>
  </si>
  <si>
    <t xml:space="preserve">February 23, 2019</t>
  </si>
  <si>
    <t xml:space="preserve">Best Lover</t>
  </si>
  <si>
    <t xml:space="preserve">February 23, 2018</t>
  </si>
  <si>
    <t xml:space="preserve">Mute</t>
  </si>
  <si>
    <t xml:space="preserve">Seven Seconds</t>
  </si>
  <si>
    <t xml:space="preserve">Timeline</t>
  </si>
  <si>
    <t xml:space="preserve">Ugly Delicious</t>
  </si>
  <si>
    <t xml:space="preserve">Kill Command</t>
  </si>
  <si>
    <t xml:space="preserve">Steven Gomez</t>
  </si>
  <si>
    <t xml:space="preserve">February 23, 2017</t>
  </si>
  <si>
    <t xml:space="preserve">The Lovers and the Despot</t>
  </si>
  <si>
    <t xml:space="preserve">Robert Cannan, Ross Adam</t>
  </si>
  <si>
    <t xml:space="preserve">Bert Kreischer: The Machine</t>
  </si>
  <si>
    <t xml:space="preserve">February 22, 2019</t>
  </si>
  <si>
    <t xml:space="preserve">Firebrand</t>
  </si>
  <si>
    <t xml:space="preserve">Aruna Raje</t>
  </si>
  <si>
    <t xml:space="preserve">Paddleton</t>
  </si>
  <si>
    <t xml:space="preserve">Alex Lehmann</t>
  </si>
  <si>
    <t xml:space="preserve">Paris Is Us</t>
  </si>
  <si>
    <t xml:space="preserve">Elisabeth Vogler</t>
  </si>
  <si>
    <t xml:space="preserve">Shonar Pahar</t>
  </si>
  <si>
    <t xml:space="preserve">The Prince</t>
  </si>
  <si>
    <t xml:space="preserve">Brian A. Miller</t>
  </si>
  <si>
    <t xml:space="preserve">The Unknown Known</t>
  </si>
  <si>
    <t xml:space="preserve">Trespass Against Us</t>
  </si>
  <si>
    <t xml:space="preserve">Adam Smith</t>
  </si>
  <si>
    <t xml:space="preserve">Hitler's Circle of Evil</t>
  </si>
  <si>
    <t xml:space="preserve">February 22, 2018</t>
  </si>
  <si>
    <t xml:space="preserve">Ken Burns: The Civil War</t>
  </si>
  <si>
    <t xml:space="preserve">Ken Burns</t>
  </si>
  <si>
    <t xml:space="preserve">February 22, 2017</t>
  </si>
  <si>
    <t xml:space="preserve">Ken Burns: The Roosevelts: An Intimate History</t>
  </si>
  <si>
    <t xml:space="preserve">Magnus</t>
  </si>
  <si>
    <t xml:space="preserve">Benjamin Ree</t>
  </si>
  <si>
    <t xml:space="preserve">Prohibition: A Film by Ken Burns and Lynn Novick</t>
  </si>
  <si>
    <t xml:space="preserve">Secrets of Chatsworth</t>
  </si>
  <si>
    <t xml:space="preserve">Susannah Ward</t>
  </si>
  <si>
    <t xml:space="preserve">Secrets of Henry VIII's Palace: Hampton Court</t>
  </si>
  <si>
    <t xml:space="preserve">Sam Taplin</t>
  </si>
  <si>
    <t xml:space="preserve">Secrets of Her Majesty's Secret Service</t>
  </si>
  <si>
    <t xml:space="preserve">Kasia Uscinska</t>
  </si>
  <si>
    <t xml:space="preserve">Secrets of Highclere Castle</t>
  </si>
  <si>
    <t xml:space="preserve">Vicky Matthews</t>
  </si>
  <si>
    <t xml:space="preserve">Secrets of the Tower of London</t>
  </si>
  <si>
    <t xml:space="preserve">The War: A Film by Ken Burns and Lynn Novick</t>
  </si>
  <si>
    <t xml:space="preserve">The Drug King</t>
  </si>
  <si>
    <t xml:space="preserve">Woo Min-ho</t>
  </si>
  <si>
    <t xml:space="preserve">February 21, 2019</t>
  </si>
  <si>
    <t xml:space="preserve">The Intent 2: The Come Up</t>
  </si>
  <si>
    <t xml:space="preserve">Femi Oyeniran, Nicky Slimting Walker</t>
  </si>
  <si>
    <t xml:space="preserve">Forgotten</t>
  </si>
  <si>
    <t xml:space="preserve">Hang-Jun Jang</t>
  </si>
  <si>
    <t xml:space="preserve">February 21, 2018</t>
  </si>
  <si>
    <t xml:space="preserve">Lincoln</t>
  </si>
  <si>
    <t xml:space="preserve">The Bachelors</t>
  </si>
  <si>
    <t xml:space="preserve">Kurt Voelker</t>
  </si>
  <si>
    <t xml:space="preserve">Trevor Noah: Afraid of the Dark</t>
  </si>
  <si>
    <t xml:space="preserve">February 21, 2017</t>
  </si>
  <si>
    <t xml:space="preserve">Being Elmo: A Puppeteer's Journey</t>
  </si>
  <si>
    <t xml:space="preserve">Constance Marks</t>
  </si>
  <si>
    <t xml:space="preserve">February 21, 2012</t>
  </si>
  <si>
    <t xml:space="preserve">Kevin James: Sweat the Small Stuff</t>
  </si>
  <si>
    <t xml:space="preserve">Paul Miller</t>
  </si>
  <si>
    <t xml:space="preserve">February 20, 2019</t>
  </si>
  <si>
    <t xml:space="preserve">Transformer</t>
  </si>
  <si>
    <t xml:space="preserve">Michael Del Monte</t>
  </si>
  <si>
    <t xml:space="preserve">Bugs</t>
  </si>
  <si>
    <t xml:space="preserve">Andreas Johnsen</t>
  </si>
  <si>
    <t xml:space="preserve">Netherlands, Denmark, France, Germany</t>
  </si>
  <si>
    <t xml:space="preserve">February 20, 2018</t>
  </si>
  <si>
    <t xml:space="preserve">The Breadwinner</t>
  </si>
  <si>
    <t xml:space="preserve">Nora Twomey</t>
  </si>
  <si>
    <t xml:space="preserve">Ireland, Canada, Luxembourg, United States</t>
  </si>
  <si>
    <t xml:space="preserve">Mirzya</t>
  </si>
  <si>
    <t xml:space="preserve">February 20, 2017</t>
  </si>
  <si>
    <t xml:space="preserve">All Light Will End</t>
  </si>
  <si>
    <t xml:space="preserve">Chris Blake</t>
  </si>
  <si>
    <t xml:space="preserve">February 2, 2019</t>
  </si>
  <si>
    <t xml:space="preserve">Await Further Instructions</t>
  </si>
  <si>
    <t xml:space="preserve">Johnny Kevorkian</t>
  </si>
  <si>
    <t xml:space="preserve">Manusangada</t>
  </si>
  <si>
    <t xml:space="preserve">Amshan Kumar</t>
  </si>
  <si>
    <t xml:space="preserve">One Strange Rock</t>
  </si>
  <si>
    <t xml:space="preserve">Viking Destiny</t>
  </si>
  <si>
    <t xml:space="preserve">David L.G. Hughes</t>
  </si>
  <si>
    <t xml:space="preserve">Altered Carbon</t>
  </si>
  <si>
    <t xml:space="preserve">February 2, 2018</t>
  </si>
  <si>
    <t xml:space="preserve">Coach Snoop</t>
  </si>
  <si>
    <t xml:space="preserve">Kavin Jay: Everybody Calm Down!</t>
  </si>
  <si>
    <t xml:space="preserve">On Body and Soul</t>
  </si>
  <si>
    <t xml:space="preserve">Ildiko Enyedi</t>
  </si>
  <si>
    <t xml:space="preserve">The Bros</t>
  </si>
  <si>
    <t xml:space="preserve">You-Jeong Chang</t>
  </si>
  <si>
    <t xml:space="preserve">Trash Fire</t>
  </si>
  <si>
    <t xml:space="preserve">Richard Bates Jr.</t>
  </si>
  <si>
    <t xml:space="preserve">February 2, 2017</t>
  </si>
  <si>
    <t xml:space="preserve">Postcards from London</t>
  </si>
  <si>
    <t xml:space="preserve">Steve McLean</t>
  </si>
  <si>
    <t xml:space="preserve">February 19, 2019</t>
  </si>
  <si>
    <t xml:space="preserve">Spy Kids: All the Time in the World</t>
  </si>
  <si>
    <t xml:space="preserve">The 2000s</t>
  </si>
  <si>
    <t xml:space="preserve">A Week in Watts</t>
  </si>
  <si>
    <t xml:space="preserve">Gregory Caruso</t>
  </si>
  <si>
    <t xml:space="preserve">February 19, 2018</t>
  </si>
  <si>
    <t xml:space="preserve">Dismissed</t>
  </si>
  <si>
    <t xml:space="preserve">Benjamin Arfmann</t>
  </si>
  <si>
    <t xml:space="preserve">FullMetal Alchemist</t>
  </si>
  <si>
    <t xml:space="preserve">Fumihiko Sori</t>
  </si>
  <si>
    <t xml:space="preserve">Memoir of a Murderer</t>
  </si>
  <si>
    <t xml:space="preserve">Shin-yeon Won</t>
  </si>
  <si>
    <t xml:space="preserve">마녀사냥</t>
  </si>
  <si>
    <t xml:space="preserve">International TV Shows, Korean TV Shows, Stand-Up Comedy &amp; Talk Shows</t>
  </si>
  <si>
    <t xml:space="preserve">Boy Missing</t>
  </si>
  <si>
    <t xml:space="preserve">February 19, 2017</t>
  </si>
  <si>
    <t xml:space="preserve">Growing Up Wild</t>
  </si>
  <si>
    <t xml:space="preserve">Keith Scholey</t>
  </si>
  <si>
    <t xml:space="preserve">Tini: The New Life of Violetta</t>
  </si>
  <si>
    <t xml:space="preserve">Juan Pablo Buscarini</t>
  </si>
  <si>
    <t xml:space="preserve">Spain, Italy, Argentina</t>
  </si>
  <si>
    <t xml:space="preserve">Cooked</t>
  </si>
  <si>
    <t xml:space="preserve">February 19, 2016</t>
  </si>
  <si>
    <t xml:space="preserve">GANTZ:O</t>
  </si>
  <si>
    <t xml:space="preserve">Keiichi Sato, Yasushi Kawamura</t>
  </si>
  <si>
    <t xml:space="preserve">February 18, 2017</t>
  </si>
  <si>
    <t xml:space="preserve">Action &amp; Adventure, Anime Features, Horror Movies</t>
  </si>
  <si>
    <t xml:space="preserve">Abominable Christmas</t>
  </si>
  <si>
    <t xml:space="preserve">Chad Van De Keere</t>
  </si>
  <si>
    <t xml:space="preserve">February 18, 2016</t>
  </si>
  <si>
    <t xml:space="preserve">Dear Dracula</t>
  </si>
  <si>
    <t xml:space="preserve">43 min</t>
  </si>
  <si>
    <t xml:space="preserve">Genius</t>
  </si>
  <si>
    <t xml:space="preserve">Suseenthiran</t>
  </si>
  <si>
    <t xml:space="preserve">February 17, 2019</t>
  </si>
  <si>
    <t xml:space="preserve">The Returned</t>
  </si>
  <si>
    <t xml:space="preserve">Lucky McKee</t>
  </si>
  <si>
    <t xml:space="preserve">February 17, 2018</t>
  </si>
  <si>
    <t xml:space="preserve">Brave Miss World</t>
  </si>
  <si>
    <t xml:space="preserve">Cecilia Peck</t>
  </si>
  <si>
    <t xml:space="preserve">United States, Israel, Italy, South Africa</t>
  </si>
  <si>
    <t xml:space="preserve">INDIA</t>
  </si>
  <si>
    <t xml:space="preserve">Sanjeev Gupta</t>
  </si>
  <si>
    <t xml:space="preserve">February 17, 2017</t>
  </si>
  <si>
    <t xml:space="preserve">Kill Ratio</t>
  </si>
  <si>
    <t xml:space="preserve">Paul Tanter</t>
  </si>
  <si>
    <t xml:space="preserve">Love for Ten: Generation of Youth</t>
  </si>
  <si>
    <t xml:space="preserve">Madaari</t>
  </si>
  <si>
    <t xml:space="preserve">Rocky Handsome</t>
  </si>
  <si>
    <t xml:space="preserve">TE3N</t>
  </si>
  <si>
    <t xml:space="preserve">Black Sea</t>
  </si>
  <si>
    <t xml:space="preserve">United Kingdom, United States, Russia</t>
  </si>
  <si>
    <t xml:space="preserve">February 16, 2019</t>
  </si>
  <si>
    <t xml:space="preserve">Studio 54</t>
  </si>
  <si>
    <t xml:space="preserve">Matt Tyrnauer</t>
  </si>
  <si>
    <t xml:space="preserve">The Super</t>
  </si>
  <si>
    <t xml:space="preserve">Stephan Rick</t>
  </si>
  <si>
    <t xml:space="preserve">Agustín Aristarán: Soy Rada</t>
  </si>
  <si>
    <t xml:space="preserve">Mariano Baez</t>
  </si>
  <si>
    <t xml:space="preserve">February 16, 2018</t>
  </si>
  <si>
    <t xml:space="preserve">Everything Sucks!</t>
  </si>
  <si>
    <t xml:space="preserve">Irreplaceable You</t>
  </si>
  <si>
    <t xml:space="preserve">Stephanie Laing</t>
  </si>
  <si>
    <t xml:space="preserve">Kon Kon Kon</t>
  </si>
  <si>
    <t xml:space="preserve">Milk</t>
  </si>
  <si>
    <t xml:space="preserve">February 16, 2017</t>
  </si>
  <si>
    <t xml:space="preserve">Operator</t>
  </si>
  <si>
    <t xml:space="preserve">Logan Kibens</t>
  </si>
  <si>
    <t xml:space="preserve">Marvel's Iron Man &amp; Hulk: Heroes United</t>
  </si>
  <si>
    <t xml:space="preserve">Leo Riley, Eric Radomski</t>
  </si>
  <si>
    <t xml:space="preserve">February 16, 2014</t>
  </si>
  <si>
    <t xml:space="preserve">Alone in Berlin</t>
  </si>
  <si>
    <t xml:space="preserve">Vincent Perez</t>
  </si>
  <si>
    <t xml:space="preserve">United Kingdom, France, Germany</t>
  </si>
  <si>
    <t xml:space="preserve">February 15, 2019</t>
  </si>
  <si>
    <t xml:space="preserve">Among Family</t>
  </si>
  <si>
    <t xml:space="preserve">Anchor and Hope</t>
  </si>
  <si>
    <t xml:space="preserve">Carlos Marques-Marcet</t>
  </si>
  <si>
    <t xml:space="preserve">Awe</t>
  </si>
  <si>
    <t xml:space="preserve">Prasanth Varma</t>
  </si>
  <si>
    <t xml:space="preserve">Ayana</t>
  </si>
  <si>
    <t xml:space="preserve">Gangadhar Salimath</t>
  </si>
  <si>
    <t xml:space="preserve">Behind the Curve</t>
  </si>
  <si>
    <t xml:space="preserve">Daniel J. Clark</t>
  </si>
  <si>
    <t xml:space="preserve">Buddies</t>
  </si>
  <si>
    <t xml:space="preserve">Candyflip</t>
  </si>
  <si>
    <t xml:space="preserve">Shanawaz Nellikunnil</t>
  </si>
  <si>
    <t xml:space="preserve">Chameli</t>
  </si>
  <si>
    <t xml:space="preserve">Deadly Scholars</t>
  </si>
  <si>
    <t xml:space="preserve">Danny J. Boyle</t>
  </si>
  <si>
    <t xml:space="preserve">Fatso</t>
  </si>
  <si>
    <t xml:space="preserve">Rajat Kapoor</t>
  </si>
  <si>
    <t xml:space="preserve">Hjørdis</t>
  </si>
  <si>
    <t xml:space="preserve">Lars Kaalund</t>
  </si>
  <si>
    <t xml:space="preserve">Larry Charles' Dangerous World of Comedy</t>
  </si>
  <si>
    <t xml:space="preserve">Docuseries, TV Comedies</t>
  </si>
  <si>
    <t xml:space="preserve">My Travel Buddy</t>
  </si>
  <si>
    <t xml:space="preserve">Neevevaro</t>
  </si>
  <si>
    <t xml:space="preserve">Hari Nath</t>
  </si>
  <si>
    <t xml:space="preserve">Never Heard</t>
  </si>
  <si>
    <t xml:space="preserve">Josh Webber</t>
  </si>
  <si>
    <t xml:space="preserve">Outlawed</t>
  </si>
  <si>
    <t xml:space="preserve">Adam Collins, Luke Radford</t>
  </si>
  <si>
    <t xml:space="preserve">Pyaar Ke Side Effects</t>
  </si>
  <si>
    <t xml:space="preserve">Saket Chaudhary</t>
  </si>
  <si>
    <t xml:space="preserve">Sur: The Melody of Life</t>
  </si>
  <si>
    <t xml:space="preserve">Tanuja Chandra</t>
  </si>
  <si>
    <t xml:space="preserve">The 43</t>
  </si>
  <si>
    <t xml:space="preserve">The Breaker Upperers</t>
  </si>
  <si>
    <t xml:space="preserve">Jackie van Beek, Madeleine Sami</t>
  </si>
  <si>
    <t xml:space="preserve">The Detained</t>
  </si>
  <si>
    <t xml:space="preserve">Blair Hayes</t>
  </si>
  <si>
    <t xml:space="preserve">The Kirlian Frequency</t>
  </si>
  <si>
    <t xml:space="preserve">International TV Shows, Spanish-Language TV Shows, TV Horror</t>
  </si>
  <si>
    <t xml:space="preserve">The Umbrella Academy</t>
  </si>
  <si>
    <t xml:space="preserve">TV Action &amp; Adventure, TV Mysteries, TV Sci-Fi &amp; Fantasy</t>
  </si>
  <si>
    <t xml:space="preserve">Ugly Aur Pagli</t>
  </si>
  <si>
    <t xml:space="preserve">Sachin Kamlakar Khot</t>
  </si>
  <si>
    <t xml:space="preserve">You're Everything To Me</t>
  </si>
  <si>
    <t xml:space="preserve">Tolga Örnek</t>
  </si>
  <si>
    <t xml:space="preserve">Yucatán</t>
  </si>
  <si>
    <t xml:space="preserve">Daniel Monzón</t>
  </si>
  <si>
    <t xml:space="preserve">Asura: The City of Madness</t>
  </si>
  <si>
    <t xml:space="preserve">Sung-soo Kim</t>
  </si>
  <si>
    <t xml:space="preserve">February 15, 2018</t>
  </si>
  <si>
    <t xml:space="preserve">Daagdi Chaawl</t>
  </si>
  <si>
    <t xml:space="preserve">Chandrakant Kanse</t>
  </si>
  <si>
    <t xml:space="preserve">Fakta Ladh Mhana</t>
  </si>
  <si>
    <t xml:space="preserve">Matichya Chuli</t>
  </si>
  <si>
    <t xml:space="preserve">Sudesh Manjrekar, Atul Kale</t>
  </si>
  <si>
    <t xml:space="preserve">Morya</t>
  </si>
  <si>
    <t xml:space="preserve">Avadhoot Gupte</t>
  </si>
  <si>
    <t xml:space="preserve">Powder</t>
  </si>
  <si>
    <t xml:space="preserve">Premachi Goshta</t>
  </si>
  <si>
    <t xml:space="preserve">Re:Mind</t>
  </si>
  <si>
    <t xml:space="preserve">Sakhi</t>
  </si>
  <si>
    <t xml:space="preserve">Sanjay Soorkar</t>
  </si>
  <si>
    <t xml:space="preserve">Sarivar Sari</t>
  </si>
  <si>
    <t xml:space="preserve">Solomon Kane</t>
  </si>
  <si>
    <t xml:space="preserve">Czech Republic, United Kingdom, France</t>
  </si>
  <si>
    <t xml:space="preserve">Tukaram</t>
  </si>
  <si>
    <t xml:space="preserve">Zenda</t>
  </si>
  <si>
    <t xml:space="preserve">A Heavy Heart</t>
  </si>
  <si>
    <t xml:space="preserve">Thomas Stuber</t>
  </si>
  <si>
    <t xml:space="preserve">February 15, 2017</t>
  </si>
  <si>
    <t xml:space="preserve">Aram, Aram</t>
  </si>
  <si>
    <t xml:space="preserve">Christopher Chambers</t>
  </si>
  <si>
    <t xml:space="preserve">La Coppia dei Campioni</t>
  </si>
  <si>
    <t xml:space="preserve">Giulio Base</t>
  </si>
  <si>
    <t xml:space="preserve">Nightmare High</t>
  </si>
  <si>
    <t xml:space="preserve">Rush: Beyond the Lighted Stage</t>
  </si>
  <si>
    <t xml:space="preserve">Sam Dunn, Scot McFadyen</t>
  </si>
  <si>
    <t xml:space="preserve">Spark</t>
  </si>
  <si>
    <t xml:space="preserve">The Fury of a Patient Man</t>
  </si>
  <si>
    <t xml:space="preserve">Raúl Arévalo</t>
  </si>
  <si>
    <t xml:space="preserve">The Memory of Water</t>
  </si>
  <si>
    <t xml:space="preserve">Matías Bize</t>
  </si>
  <si>
    <t xml:space="preserve">Chile, Spain, Argentina, Germany</t>
  </si>
  <si>
    <t xml:space="preserve">Stop at Nothing: The Lance Armstrong Story</t>
  </si>
  <si>
    <t xml:space="preserve">Alex Holmes</t>
  </si>
  <si>
    <t xml:space="preserve">Australia, United Kingdom, United States, New Zealand, Italy, France</t>
  </si>
  <si>
    <t xml:space="preserve">February 15, 2015</t>
  </si>
  <si>
    <t xml:space="preserve">Dating Around</t>
  </si>
  <si>
    <t xml:space="preserve">February 14, 2019</t>
  </si>
  <si>
    <t xml:space="preserve">Reality TV, Romantic TV Shows</t>
  </si>
  <si>
    <t xml:space="preserve">Grass</t>
  </si>
  <si>
    <t xml:space="preserve">Tanuj Chopra</t>
  </si>
  <si>
    <t xml:space="preserve">Ken Jeong: You Complete Me, Ho</t>
  </si>
  <si>
    <t xml:space="preserve">Chris Rock: Tamborine</t>
  </si>
  <si>
    <t xml:space="preserve">Bo Burnham</t>
  </si>
  <si>
    <t xml:space="preserve">February 14, 2018</t>
  </si>
  <si>
    <t xml:space="preserve">Love Per Square Foot</t>
  </si>
  <si>
    <t xml:space="preserve">Anand Tiwari</t>
  </si>
  <si>
    <t xml:space="preserve">The Mortified Guide</t>
  </si>
  <si>
    <t xml:space="preserve">Girlfriend's Day</t>
  </si>
  <si>
    <t xml:space="preserve">Michael Paul Stephenson</t>
  </si>
  <si>
    <t xml:space="preserve">February 14, 2017</t>
  </si>
  <si>
    <t xml:space="preserve">Katherine Ryan: In Trouble</t>
  </si>
  <si>
    <t xml:space="preserve">Colin Dench</t>
  </si>
  <si>
    <t xml:space="preserve">Me and the Alien</t>
  </si>
  <si>
    <t xml:space="preserve">Jesús Magaña Vázquez</t>
  </si>
  <si>
    <t xml:space="preserve">White Nights</t>
  </si>
  <si>
    <t xml:space="preserve">Sister Code</t>
  </si>
  <si>
    <t xml:space="preserve">Corey Grant</t>
  </si>
  <si>
    <t xml:space="preserve">February 14, 2016</t>
  </si>
  <si>
    <t xml:space="preserve">Merantau</t>
  </si>
  <si>
    <t xml:space="preserve">February 13, 2019</t>
  </si>
  <si>
    <t xml:space="preserve">Trophy</t>
  </si>
  <si>
    <t xml:space="preserve">Shaul Schwarz, Christina Clusiau</t>
  </si>
  <si>
    <t xml:space="preserve">United Kingdom, Namibia, South Africa, Zimbabwe, United States</t>
  </si>
  <si>
    <t xml:space="preserve">February 13, 2018</t>
  </si>
  <si>
    <t xml:space="preserve">Virunga: Gorillas in Peril</t>
  </si>
  <si>
    <t xml:space="preserve">February 13, 2015</t>
  </si>
  <si>
    <t xml:space="preserve">Period. End of Sentence.</t>
  </si>
  <si>
    <t xml:space="preserve">Rayka Zehtabchi</t>
  </si>
  <si>
    <t xml:space="preserve">February 12, 2019</t>
  </si>
  <si>
    <t xml:space="preserve">Ten Years</t>
  </si>
  <si>
    <t xml:space="preserve">Jevons Au, Zune Kwok, Chow Kwun-wai, Ng Ka-Leung, Wong Fei-Pang</t>
  </si>
  <si>
    <t xml:space="preserve">Clouds of Sils Maria</t>
  </si>
  <si>
    <t xml:space="preserve">Olivier Assayas</t>
  </si>
  <si>
    <t xml:space="preserve">France, Germany, Switzerland</t>
  </si>
  <si>
    <t xml:space="preserve">February 12, 2017</t>
  </si>
  <si>
    <t xml:space="preserve">We the Animals</t>
  </si>
  <si>
    <t xml:space="preserve">Jeremiah Zagar</t>
  </si>
  <si>
    <t xml:space="preserve">February 11, 2019</t>
  </si>
  <si>
    <t xml:space="preserve">Stronger Than the World</t>
  </si>
  <si>
    <t xml:space="preserve">Afonso Poyart</t>
  </si>
  <si>
    <t xml:space="preserve">February 11, 2017</t>
  </si>
  <si>
    <t xml:space="preserve">Cyborg 009: Call of Justice</t>
  </si>
  <si>
    <t xml:space="preserve">February 10, 2017</t>
  </si>
  <si>
    <t xml:space="preserve">David Brent: Life on the Road</t>
  </si>
  <si>
    <t xml:space="preserve">Ricky Gervais</t>
  </si>
  <si>
    <t xml:space="preserve">Grillo vs Grillo</t>
  </si>
  <si>
    <t xml:space="preserve">Hitler - A Career</t>
  </si>
  <si>
    <t xml:space="preserve">Joachim Fest, Christian Herrendoerfer</t>
  </si>
  <si>
    <t xml:space="preserve">West Germany</t>
  </si>
  <si>
    <t xml:space="preserve">Metallica: Some Kind of Monster</t>
  </si>
  <si>
    <t xml:space="preserve">Joe Berlinger, Bruce Sinofsky</t>
  </si>
  <si>
    <t xml:space="preserve">14 Minutes from Earth</t>
  </si>
  <si>
    <t xml:space="preserve">Adam Davis, Jerry Kolber, Trey Nelson, Erich Sturm</t>
  </si>
  <si>
    <t xml:space="preserve">February 1, 2019</t>
  </si>
  <si>
    <t xml:space="preserve">About a Boy</t>
  </si>
  <si>
    <t xml:space="preserve">Chris Weitz, Paul Weitz</t>
  </si>
  <si>
    <t xml:space="preserve">United Kingdom, United States, France, Germany</t>
  </si>
  <si>
    <t xml:space="preserve">Always a Witch</t>
  </si>
  <si>
    <t xml:space="preserve">Beast Legends</t>
  </si>
  <si>
    <t xml:space="preserve">Billy Elliot</t>
  </si>
  <si>
    <t xml:space="preserve">Camp X</t>
  </si>
  <si>
    <t xml:space="preserve">Cats &amp; Dogs: The Revenge of Kitty Galore</t>
  </si>
  <si>
    <t xml:space="preserve">Brad Peyton</t>
  </si>
  <si>
    <t xml:space="preserve">Dear Ex</t>
  </si>
  <si>
    <t xml:space="preserve">Hsu Chih-yen, Mag Hsu</t>
  </si>
  <si>
    <t xml:space="preserve">E-Cigarettes: Miracle or Menace?</t>
  </si>
  <si>
    <t xml:space="preserve">Emma Hatherley</t>
  </si>
  <si>
    <t xml:space="preserve">Free Rein: Valentine's Day</t>
  </si>
  <si>
    <t xml:space="preserve">Guilty</t>
  </si>
  <si>
    <t xml:space="preserve">Meghna Gulzar</t>
  </si>
  <si>
    <t xml:space="preserve">Harold Shipman - Driven to Kill</t>
  </si>
  <si>
    <t xml:space="preserve">Have You Seen the Listers?</t>
  </si>
  <si>
    <t xml:space="preserve">Eddie Martin</t>
  </si>
  <si>
    <t xml:space="preserve">Heal</t>
  </si>
  <si>
    <t xml:space="preserve">Kelly Noonan</t>
  </si>
  <si>
    <t xml:space="preserve">Hunters of the South Seas</t>
  </si>
  <si>
    <t xml:space="preserve">Lego DC Comics: Batman Be-Leaguered</t>
  </si>
  <si>
    <t xml:space="preserve">Rick Morales</t>
  </si>
  <si>
    <t xml:space="preserve">Lego Friends: Girls on a Mission</t>
  </si>
  <si>
    <t xml:space="preserve">Andrew Tan, Stephen Murray</t>
  </si>
  <si>
    <t xml:space="preserve">LEGO Marvel Super Heroes: Black Panther</t>
  </si>
  <si>
    <t xml:space="preserve">LEGO Marvel Super Heroes: Guardians of the Galaxy</t>
  </si>
  <si>
    <t xml:space="preserve">LEGO Ninjago: Masters of Spinjitzu: Day of the Departed</t>
  </si>
  <si>
    <t xml:space="preserve">Denmark, China</t>
  </si>
  <si>
    <t xml:space="preserve">Lo que la verdad esconde: El caso Asunta (Operacion Nenúfar)</t>
  </si>
  <si>
    <t xml:space="preserve">Malicious</t>
  </si>
  <si>
    <t xml:space="preserve">Michael Winnick</t>
  </si>
  <si>
    <t xml:space="preserve">My Tattoo Addiction</t>
  </si>
  <si>
    <t xml:space="preserve">Ninja Assassin</t>
  </si>
  <si>
    <t xml:space="preserve">Operation Gold Rush</t>
  </si>
  <si>
    <t xml:space="preserve">Personal Shopper</t>
  </si>
  <si>
    <t xml:space="preserve">France, Germany, Czech Republic, Belgium</t>
  </si>
  <si>
    <t xml:space="preserve">Russian Doll</t>
  </si>
  <si>
    <t xml:space="preserve">Sparta</t>
  </si>
  <si>
    <t xml:space="preserve">Sword Art Online Alternative: Gun Gale Online</t>
  </si>
  <si>
    <t xml:space="preserve">The Bible's Buried Secrets</t>
  </si>
  <si>
    <t xml:space="preserve">The Big Catch</t>
  </si>
  <si>
    <t xml:space="preserve">The Bomb Squad</t>
  </si>
  <si>
    <t xml:space="preserve">The Edge of Seventeen</t>
  </si>
  <si>
    <t xml:space="preserve">Kelly Fremon Craig</t>
  </si>
  <si>
    <t xml:space="preserve">The Story of Us with Morgan Freeman</t>
  </si>
  <si>
    <t xml:space="preserve">The Witch Files</t>
  </si>
  <si>
    <t xml:space="preserve">Kyle Rankin</t>
  </si>
  <si>
    <t xml:space="preserve">Truckbhar Swapna</t>
  </si>
  <si>
    <t xml:space="preserve">Pramod Pawar</t>
  </si>
  <si>
    <t xml:space="preserve">True: Happy Hearts Day</t>
  </si>
  <si>
    <t xml:space="preserve">Velvet Buzzsaw</t>
  </si>
  <si>
    <t xml:space="preserve">Dan Gilroy</t>
  </si>
  <si>
    <t xml:space="preserve">What Makes a Psychopath?</t>
  </si>
  <si>
    <t xml:space="preserve">Rebecca Harrison</t>
  </si>
  <si>
    <t xml:space="preserve">Why Are We Getting So Fat?</t>
  </si>
  <si>
    <t xml:space="preserve">Milla Harrison-Hansley, Alicky Sussman</t>
  </si>
  <si>
    <t xml:space="preserve">World's Busiest Cities</t>
  </si>
  <si>
    <t xml:space="preserve">World's Weirdest Homes</t>
  </si>
  <si>
    <t xml:space="preserve">Storm Theunissen</t>
  </si>
  <si>
    <t xml:space="preserve">42 Grams</t>
  </si>
  <si>
    <t xml:space="preserve">February 1, 2018</t>
  </si>
  <si>
    <t xml:space="preserve">Æon Flux</t>
  </si>
  <si>
    <t xml:space="preserve">Before the Flood</t>
  </si>
  <si>
    <t xml:space="preserve">Fisher Stevens</t>
  </si>
  <si>
    <t xml:space="preserve">Emo the Musical</t>
  </si>
  <si>
    <t xml:space="preserve">Neil Triffett</t>
  </si>
  <si>
    <t xml:space="preserve">Gender Revolution: A Journey with Katie Couric</t>
  </si>
  <si>
    <t xml:space="preserve">How the Beatles Changed the World</t>
  </si>
  <si>
    <t xml:space="preserve">Tom O'Dell</t>
  </si>
  <si>
    <t xml:space="preserve">Inxeba</t>
  </si>
  <si>
    <t xml:space="preserve">John Trengove</t>
  </si>
  <si>
    <t xml:space="preserve">South Africa, Germany, Netherlands, France</t>
  </si>
  <si>
    <t xml:space="preserve">John Mellencamp: Plain Spoken</t>
  </si>
  <si>
    <t xml:space="preserve">Liberated: The New Sexual Revolution</t>
  </si>
  <si>
    <t xml:space="preserve">Little Lunch</t>
  </si>
  <si>
    <t xml:space="preserve">Master</t>
  </si>
  <si>
    <t xml:space="preserve">Ui-seok Jo</t>
  </si>
  <si>
    <t xml:space="preserve">Mortified Nation</t>
  </si>
  <si>
    <t xml:space="preserve">Michael Mayer</t>
  </si>
  <si>
    <t xml:space="preserve">National Parks Adventure</t>
  </si>
  <si>
    <t xml:space="preserve">Newness</t>
  </si>
  <si>
    <t xml:space="preserve">Paint It Black</t>
  </si>
  <si>
    <t xml:space="preserve">Amber Tamblyn</t>
  </si>
  <si>
    <t xml:space="preserve">Revolting Rhymes</t>
  </si>
  <si>
    <t xml:space="preserve">Jani Lachauer, Jakob Schuh</t>
  </si>
  <si>
    <t xml:space="preserve">Water &amp; Power: A California Heist</t>
  </si>
  <si>
    <t xml:space="preserve">Marina Zenovich</t>
  </si>
  <si>
    <t xml:space="preserve">Camelia la Texana</t>
  </si>
  <si>
    <t xml:space="preserve">Carlos Bolado</t>
  </si>
  <si>
    <t xml:space="preserve">February 1, 2017</t>
  </si>
  <si>
    <t xml:space="preserve">Crime TV Shows, Romantic TV Shows, Spanish-Language TV Shows</t>
  </si>
  <si>
    <t xml:space="preserve">Chauthi Koot</t>
  </si>
  <si>
    <t xml:space="preserve">Gurvinder Singh</t>
  </si>
  <si>
    <t xml:space="preserve">Dilwale</t>
  </si>
  <si>
    <t xml:space="preserve">Rohit Shetty</t>
  </si>
  <si>
    <t xml:space="preserve">Gun Runners</t>
  </si>
  <si>
    <t xml:space="preserve">Anjali Nayar</t>
  </si>
  <si>
    <t xml:space="preserve">Happy New Year</t>
  </si>
  <si>
    <t xml:space="preserve">Farah Khan</t>
  </si>
  <si>
    <t xml:space="preserve">Haraamkhor</t>
  </si>
  <si>
    <t xml:space="preserve">Heroes Wanted</t>
  </si>
  <si>
    <t xml:space="preserve">Joaquín Mazón</t>
  </si>
  <si>
    <t xml:space="preserve">Highly Strung</t>
  </si>
  <si>
    <t xml:space="preserve">I Am Sun Mu</t>
  </si>
  <si>
    <t xml:space="preserve">Adam Sjöberg</t>
  </si>
  <si>
    <t xml:space="preserve">China, South Korea, United States</t>
  </si>
  <si>
    <t xml:space="preserve">Indiscretion</t>
  </si>
  <si>
    <t xml:space="preserve">John Stewart Muller</t>
  </si>
  <si>
    <t xml:space="preserve">La Última Fiesta</t>
  </si>
  <si>
    <t xml:space="preserve">Leandro Mark, Nicolás Silbert</t>
  </si>
  <si>
    <t xml:space="preserve">Maroon</t>
  </si>
  <si>
    <t xml:space="preserve">Pulkit</t>
  </si>
  <si>
    <t xml:space="preserve">Mexico Diseña</t>
  </si>
  <si>
    <t xml:space="preserve">Paris Is Burning</t>
  </si>
  <si>
    <t xml:space="preserve">Jennie Livingston</t>
  </si>
  <si>
    <t xml:space="preserve">Classic Movies, Cult Movies, Documentaries</t>
  </si>
  <si>
    <t xml:space="preserve">Pioneers of African-American Cinema</t>
  </si>
  <si>
    <t xml:space="preserve">Oscar Micheaux, Spencer Williams, Richard E. Norman, Richard Maurice</t>
  </si>
  <si>
    <t xml:space="preserve">The Hurt Business</t>
  </si>
  <si>
    <t xml:space="preserve">The Reconquest</t>
  </si>
  <si>
    <t xml:space="preserve">Jonás Trueba</t>
  </si>
  <si>
    <t xml:space="preserve">Zapped</t>
  </si>
  <si>
    <t xml:space="preserve">Peter DeLuise</t>
  </si>
  <si>
    <t xml:space="preserve">Masha's Tales</t>
  </si>
  <si>
    <t xml:space="preserve">February 1, 2016</t>
  </si>
  <si>
    <t xml:space="preserve">The Lizzie Borden Chronicles</t>
  </si>
  <si>
    <t xml:space="preserve">A Family Reunion Christmas</t>
  </si>
  <si>
    <t xml:space="preserve">Robbie Countryman</t>
  </si>
  <si>
    <t xml:space="preserve">December 9, 2019</t>
  </si>
  <si>
    <t xml:space="preserve">It Comes at Night</t>
  </si>
  <si>
    <t xml:space="preserve">Entanglement</t>
  </si>
  <si>
    <t xml:space="preserve">Jason James</t>
  </si>
  <si>
    <t xml:space="preserve">December 9, 2018</t>
  </si>
  <si>
    <t xml:space="preserve">Captive</t>
  </si>
  <si>
    <t xml:space="preserve">December 9, 2016</t>
  </si>
  <si>
    <t xml:space="preserve">Four Seasons in Havana</t>
  </si>
  <si>
    <t xml:space="preserve">Spain, Cuba</t>
  </si>
  <si>
    <t xml:space="preserve">Mariah Carey's Merriest Christmas</t>
  </si>
  <si>
    <t xml:space="preserve">Spectral</t>
  </si>
  <si>
    <t xml:space="preserve">Nic Mathieu</t>
  </si>
  <si>
    <t xml:space="preserve">United States, Hungary</t>
  </si>
  <si>
    <t xml:space="preserve">White Rabbit Project</t>
  </si>
  <si>
    <t xml:space="preserve">Trailer Park Boys: Drunk, High and Unemployed: Live in Austin</t>
  </si>
  <si>
    <t xml:space="preserve">Gary Howsam, Mike Smith, John Paul Tremblay, Robb Wells</t>
  </si>
  <si>
    <t xml:space="preserve">December 9, 2015</t>
  </si>
  <si>
    <t xml:space="preserve">From Paris with Love</t>
  </si>
  <si>
    <t xml:space="preserve">Pierre Morel</t>
  </si>
  <si>
    <t xml:space="preserve">December 8, 2019</t>
  </si>
  <si>
    <t xml:space="preserve">Saaho</t>
  </si>
  <si>
    <t xml:space="preserve">Sujeeth</t>
  </si>
  <si>
    <t xml:space="preserve">172 min</t>
  </si>
  <si>
    <t xml:space="preserve">Because of Soccer</t>
  </si>
  <si>
    <t xml:space="preserve">Agasyah Karim, Khalid Kashogi</t>
  </si>
  <si>
    <t xml:space="preserve">December 8, 2018</t>
  </si>
  <si>
    <t xml:space="preserve">The Art of the Steal</t>
  </si>
  <si>
    <t xml:space="preserve">Jonathan Sobol</t>
  </si>
  <si>
    <t xml:space="preserve">The Dancer</t>
  </si>
  <si>
    <t xml:space="preserve">The Gathering</t>
  </si>
  <si>
    <t xml:space="preserve">What's Up With Love?</t>
  </si>
  <si>
    <t xml:space="preserve">Rudy Soedjarwo, Riri Riza</t>
  </si>
  <si>
    <t xml:space="preserve">Delhi Belly</t>
  </si>
  <si>
    <t xml:space="preserve">December 8, 2017</t>
  </si>
  <si>
    <t xml:space="preserve">Dhobi Ghat (Mumbai Diaries)</t>
  </si>
  <si>
    <t xml:space="preserve">Kiran Rao</t>
  </si>
  <si>
    <t xml:space="preserve">El Camino Christmas</t>
  </si>
  <si>
    <t xml:space="preserve">David E. Talbert</t>
  </si>
  <si>
    <t xml:space="preserve">Jaal</t>
  </si>
  <si>
    <t xml:space="preserve">Jaane Tu... Ya Jaane Na</t>
  </si>
  <si>
    <t xml:space="preserve">Abbas Tyrewala</t>
  </si>
  <si>
    <t xml:space="preserve">Lagaan</t>
  </si>
  <si>
    <t xml:space="preserve">224 min</t>
  </si>
  <si>
    <t xml:space="preserve">Papa the Great</t>
  </si>
  <si>
    <t xml:space="preserve">Bhagyaraj</t>
  </si>
  <si>
    <t xml:space="preserve">Peepli Live</t>
  </si>
  <si>
    <t xml:space="preserve">Anusha Rizvi, Mahmood Farooqui</t>
  </si>
  <si>
    <t xml:space="preserve">Shikari</t>
  </si>
  <si>
    <t xml:space="preserve">Taare Zameen Par</t>
  </si>
  <si>
    <t xml:space="preserve">Aamir Khan</t>
  </si>
  <si>
    <t xml:space="preserve">Baltasar Kormákur</t>
  </si>
  <si>
    <t xml:space="preserve">Kickboxer: Vengeance</t>
  </si>
  <si>
    <t xml:space="preserve">December 8, 2016</t>
  </si>
  <si>
    <t xml:space="preserve">Miss in Kiss</t>
  </si>
  <si>
    <t xml:space="preserve">Other People</t>
  </si>
  <si>
    <t xml:space="preserve">Chris Kelly</t>
  </si>
  <si>
    <t xml:space="preserve">The Cuba Libre Story</t>
  </si>
  <si>
    <t xml:space="preserve">France, Germany</t>
  </si>
  <si>
    <t xml:space="preserve">Imagine That</t>
  </si>
  <si>
    <t xml:space="preserve">Karey Kirkpatrick</t>
  </si>
  <si>
    <t xml:space="preserve">December 7, 2019</t>
  </si>
  <si>
    <t xml:space="preserve">Nothing to Lose 2</t>
  </si>
  <si>
    <t xml:space="preserve">5 Star Christmas</t>
  </si>
  <si>
    <t xml:space="preserve">Marco Risi</t>
  </si>
  <si>
    <t xml:space="preserve">December 7, 2018</t>
  </si>
  <si>
    <t xml:space="preserve">Dogs of Berlin</t>
  </si>
  <si>
    <t xml:space="preserve">Dumplin'</t>
  </si>
  <si>
    <t xml:space="preserve">Anne Fletcher</t>
  </si>
  <si>
    <t xml:space="preserve">Free Rein: The Twelve Neighs of Christmas</t>
  </si>
  <si>
    <t xml:space="preserve">Marek Losey</t>
  </si>
  <si>
    <t xml:space="preserve">Mowgli: Legend of the Jungle</t>
  </si>
  <si>
    <t xml:space="preserve">Andy Serkis</t>
  </si>
  <si>
    <t xml:space="preserve">Action &amp; Adventure, Children &amp; Family Movies, Dramas</t>
  </si>
  <si>
    <t xml:space="preserve">Pine Gap</t>
  </si>
  <si>
    <t xml:space="preserve">Mat King</t>
  </si>
  <si>
    <t xml:space="preserve">ReMastered: Who Killed Jam Master Jay?</t>
  </si>
  <si>
    <t xml:space="preserve">Brian Oakes</t>
  </si>
  <si>
    <t xml:space="preserve">Super Monsters and the Wish Star</t>
  </si>
  <si>
    <t xml:space="preserve">Jacob Joice</t>
  </si>
  <si>
    <t xml:space="preserve">The American Meme</t>
  </si>
  <si>
    <t xml:space="preserve">Bert Marcus</t>
  </si>
  <si>
    <t xml:space="preserve">Drew Heriot</t>
  </si>
  <si>
    <t xml:space="preserve">December 7, 2017</t>
  </si>
  <si>
    <t xml:space="preserve">Astronomy Club: The Sketch Show</t>
  </si>
  <si>
    <t xml:space="preserve">December 6, 2019</t>
  </si>
  <si>
    <t xml:space="preserve">Banana Island Ghost</t>
  </si>
  <si>
    <t xml:space="preserve">BB Sasore</t>
  </si>
  <si>
    <t xml:space="preserve">Celebrity Marriage</t>
  </si>
  <si>
    <t xml:space="preserve">Pascal Amanfo</t>
  </si>
  <si>
    <t xml:space="preserve">Glow Up</t>
  </si>
  <si>
    <t xml:space="preserve">Marriage Story</t>
  </si>
  <si>
    <t xml:space="preserve">No Game No Life: Zero</t>
  </si>
  <si>
    <t xml:space="preserve">Atsuko Ishizuka</t>
  </si>
  <si>
    <t xml:space="preserve">Slow Country</t>
  </si>
  <si>
    <t xml:space="preserve">Eric Aghimien</t>
  </si>
  <si>
    <t xml:space="preserve">Spirit Riding Free: Spirit of Christmas</t>
  </si>
  <si>
    <t xml:space="preserve">Teasing Master Takagi-san</t>
  </si>
  <si>
    <t xml:space="preserve">The Confession Killer</t>
  </si>
  <si>
    <t xml:space="preserve">Robert Kenner, Taki Oldham</t>
  </si>
  <si>
    <t xml:space="preserve">THE RUM DIARY</t>
  </si>
  <si>
    <t xml:space="preserve">Bruce Robinson</t>
  </si>
  <si>
    <t xml:space="preserve">Three Days of Christmas</t>
  </si>
  <si>
    <t xml:space="preserve">Triad Princess</t>
  </si>
  <si>
    <t xml:space="preserve">Virgin River</t>
  </si>
  <si>
    <t xml:space="preserve">Romantic TV Shows, TV Dramas</t>
  </si>
  <si>
    <t xml:space="preserve">Wives on Strike</t>
  </si>
  <si>
    <t xml:space="preserve">Wives on Strike: The Revolution</t>
  </si>
  <si>
    <t xml:space="preserve">Happy!</t>
  </si>
  <si>
    <t xml:space="preserve">December 6, 2018</t>
  </si>
  <si>
    <t xml:space="preserve">Yes or No</t>
  </si>
  <si>
    <t xml:space="preserve">Trolls Holiday Special</t>
  </si>
  <si>
    <t xml:space="preserve">Joel Crawford</t>
  </si>
  <si>
    <t xml:space="preserve">December 6, 2017</t>
  </si>
  <si>
    <t xml:space="preserve">27 min</t>
  </si>
  <si>
    <t xml:space="preserve">Blue Jay</t>
  </si>
  <si>
    <t xml:space="preserve">December 6, 2016</t>
  </si>
  <si>
    <t xml:space="preserve">One in a Billion</t>
  </si>
  <si>
    <t xml:space="preserve">Roman Gackowski</t>
  </si>
  <si>
    <t xml:space="preserve">Reggie Watts: Spatial</t>
  </si>
  <si>
    <t xml:space="preserve">Benjamin Dickinson</t>
  </si>
  <si>
    <t xml:space="preserve">The Model</t>
  </si>
  <si>
    <t xml:space="preserve">Mads Matthiesen</t>
  </si>
  <si>
    <t xml:space="preserve">A Christmas Prince: The Royal Baby</t>
  </si>
  <si>
    <t xml:space="preserve">December 5, 2019</t>
  </si>
  <si>
    <t xml:space="preserve">Home for Christmas</t>
  </si>
  <si>
    <t xml:space="preserve">The Irishman: In Conversation</t>
  </si>
  <si>
    <t xml:space="preserve">V Wars</t>
  </si>
  <si>
    <t xml:space="preserve">TV Action &amp; Adventure, TV Dramas, TV Horror</t>
  </si>
  <si>
    <t xml:space="preserve">Breath</t>
  </si>
  <si>
    <t xml:space="preserve">Simon Baker</t>
  </si>
  <si>
    <t xml:space="preserve">December 5, 2018</t>
  </si>
  <si>
    <t xml:space="preserve">Cleo &amp; Cuquin</t>
  </si>
  <si>
    <t xml:space="preserve">Fernando Moro</t>
  </si>
  <si>
    <t xml:space="preserve">The Last O.G.</t>
  </si>
  <si>
    <t xml:space="preserve">Craig Ferguson: Tickle Fight</t>
  </si>
  <si>
    <t xml:space="preserve">December 5, 2017</t>
  </si>
  <si>
    <t xml:space="preserve">The Good Neighbor</t>
  </si>
  <si>
    <t xml:space="preserve">Kasra Farahani</t>
  </si>
  <si>
    <t xml:space="preserve">December 5, 2016</t>
  </si>
  <si>
    <t xml:space="preserve">Bill Burr: I'm Sorry You Feel That Way</t>
  </si>
  <si>
    <t xml:space="preserve">December 5, 2014</t>
  </si>
  <si>
    <t xml:space="preserve">Let's Dance</t>
  </si>
  <si>
    <t xml:space="preserve">Ladislas Chollat</t>
  </si>
  <si>
    <t xml:space="preserve">December 4, 2019</t>
  </si>
  <si>
    <t xml:space="preserve">The Prince of Tennis ~ Match! Tennis Juniors ~</t>
  </si>
  <si>
    <t xml:space="preserve">The Road to Love</t>
  </si>
  <si>
    <t xml:space="preserve">God's Not Dead: A Light in Darkness</t>
  </si>
  <si>
    <t xml:space="preserve">Michael Mason</t>
  </si>
  <si>
    <t xml:space="preserve">December 4, 2018</t>
  </si>
  <si>
    <t xml:space="preserve">RUSSELL BRAND: RE:BIRTH</t>
  </si>
  <si>
    <t xml:space="preserve">The Cakemaker</t>
  </si>
  <si>
    <t xml:space="preserve">Ofir Raul Graizer</t>
  </si>
  <si>
    <t xml:space="preserve">Israel, Germany</t>
  </si>
  <si>
    <t xml:space="preserve">Mercenary</t>
  </si>
  <si>
    <t xml:space="preserve">Sacha Wolff</t>
  </si>
  <si>
    <t xml:space="preserve">December 4, 2016</t>
  </si>
  <si>
    <t xml:space="preserve">A Very Murray Christmas</t>
  </si>
  <si>
    <t xml:space="preserve">December 4, 2015</t>
  </si>
  <si>
    <t xml:space="preserve">3 Deewarein</t>
  </si>
  <si>
    <t xml:space="preserve">December 31, 2019</t>
  </si>
  <si>
    <t xml:space="preserve">Aarakshan</t>
  </si>
  <si>
    <t xml:space="preserve">Aaviri</t>
  </si>
  <si>
    <t xml:space="preserve">Ravi Babu</t>
  </si>
  <si>
    <t xml:space="preserve">Adrishya</t>
  </si>
  <si>
    <t xml:space="preserve">Sandeep Chatterjee</t>
  </si>
  <si>
    <t xml:space="preserve">Ahista Ahista</t>
  </si>
  <si>
    <t xml:space="preserve">Shivam Nair</t>
  </si>
  <si>
    <t xml:space="preserve">Albert Pinto Ko Gussa Kyun Aata Hai?</t>
  </si>
  <si>
    <t xml:space="preserve">Soumitra Ranade</t>
  </si>
  <si>
    <t xml:space="preserve">Amar Akbar Anthony</t>
  </si>
  <si>
    <t xml:space="preserve">Manmohan Desai</t>
  </si>
  <si>
    <t xml:space="preserve">Anwar</t>
  </si>
  <si>
    <t xml:space="preserve">Manish Jha</t>
  </si>
  <si>
    <t xml:space="preserve">ARASHI's Diary -Voyage-</t>
  </si>
  <si>
    <t xml:space="preserve">Barah Aana</t>
  </si>
  <si>
    <t xml:space="preserve">Raja Menon</t>
  </si>
  <si>
    <t xml:space="preserve">Bawarchi</t>
  </si>
  <si>
    <t xml:space="preserve">Hrishikesh Mukherjee</t>
  </si>
  <si>
    <t xml:space="preserve">Bazaar</t>
  </si>
  <si>
    <t xml:space="preserve">Sagar Sarhadi</t>
  </si>
  <si>
    <t xml:space="preserve">Benchwarmers 2: Breaking Balls</t>
  </si>
  <si>
    <t xml:space="preserve">Jon Rosenbaum</t>
  </si>
  <si>
    <t xml:space="preserve">Bhagam Bhag</t>
  </si>
  <si>
    <t xml:space="preserve">Bhoot</t>
  </si>
  <si>
    <t xml:space="preserve">Bobby</t>
  </si>
  <si>
    <t xml:space="preserve">Raj Kapoor</t>
  </si>
  <si>
    <t xml:space="preserve">David Carson</t>
  </si>
  <si>
    <t xml:space="preserve">Chal Mere Bhai</t>
  </si>
  <si>
    <t xml:space="preserve">Child's Play</t>
  </si>
  <si>
    <t xml:space="preserve">Tom Holland</t>
  </si>
  <si>
    <t xml:space="preserve">Chupke Chupke</t>
  </si>
  <si>
    <t xml:space="preserve">Classic Movies, Comedies, International Movies</t>
  </si>
  <si>
    <t xml:space="preserve">Deadline: Sirf 24 Ghante</t>
  </si>
  <si>
    <t xml:space="preserve">Tanveer Khan</t>
  </si>
  <si>
    <t xml:space="preserve">Dhamaal</t>
  </si>
  <si>
    <t xml:space="preserve">Die Another Day</t>
  </si>
  <si>
    <t xml:space="preserve">Don</t>
  </si>
  <si>
    <t xml:space="preserve">Chandra Barot</t>
  </si>
  <si>
    <t xml:space="preserve">Encounter: The Killing</t>
  </si>
  <si>
    <t xml:space="preserve">Ajay Phansekar</t>
  </si>
  <si>
    <t xml:space="preserve">Ghayal</t>
  </si>
  <si>
    <t xml:space="preserve">Ghulam-E-Musthafa</t>
  </si>
  <si>
    <t xml:space="preserve">Partho Ghosh</t>
  </si>
  <si>
    <t xml:space="preserve">Gol Maal</t>
  </si>
  <si>
    <t xml:space="preserve">GoldenEye</t>
  </si>
  <si>
    <t xml:space="preserve">Golmaal: Fun Unlimited</t>
  </si>
  <si>
    <t xml:space="preserve">Heartbreakers</t>
  </si>
  <si>
    <t xml:space="preserve">David Mirkin</t>
  </si>
  <si>
    <t xml:space="preserve">Hera Pheri</t>
  </si>
  <si>
    <t xml:space="preserve">Prakash Mehra</t>
  </si>
  <si>
    <t xml:space="preserve">How High 2</t>
  </si>
  <si>
    <t xml:space="preserve">Bruce Leddy</t>
  </si>
  <si>
    <t xml:space="preserve">Jaan-E-Mann: Let's Fall in Love... Again</t>
  </si>
  <si>
    <t xml:space="preserve">Shirish Kunder</t>
  </si>
  <si>
    <t xml:space="preserve">Jail</t>
  </si>
  <si>
    <t xml:space="preserve">Jis Desh Men Ganga Behti Hai</t>
  </si>
  <si>
    <t xml:space="preserve">Radhu Karmakar</t>
  </si>
  <si>
    <t xml:space="preserve">181 min</t>
  </si>
  <si>
    <t xml:space="preserve">John Day</t>
  </si>
  <si>
    <t xml:space="preserve">Ahishor Solomon</t>
  </si>
  <si>
    <t xml:space="preserve">Judwaa</t>
  </si>
  <si>
    <t xml:space="preserve">Kaalia</t>
  </si>
  <si>
    <t xml:space="preserve">Tinnu Anand</t>
  </si>
  <si>
    <t xml:space="preserve">Katha</t>
  </si>
  <si>
    <t xml:space="preserve">Sai Paranjape</t>
  </si>
  <si>
    <t xml:space="preserve">Khubsoorat</t>
  </si>
  <si>
    <t xml:space="preserve">Koshish</t>
  </si>
  <si>
    <t xml:space="preserve">Gulzar</t>
  </si>
  <si>
    <t xml:space="preserve">Kuldip Patwal: I Didn't Do It!</t>
  </si>
  <si>
    <t xml:space="preserve">Remy Kohli</t>
  </si>
  <si>
    <t xml:space="preserve">Maine Pyaar Kyun Kiya</t>
  </si>
  <si>
    <t xml:space="preserve">Masoom</t>
  </si>
  <si>
    <t xml:space="preserve">Shekhar Kapur</t>
  </si>
  <si>
    <t xml:space="preserve">Mujhse Shaadi Karogi</t>
  </si>
  <si>
    <t xml:space="preserve">Namak Halaal</t>
  </si>
  <si>
    <t xml:space="preserve">Phamous</t>
  </si>
  <si>
    <t xml:space="preserve">Karan Lalit Butani</t>
  </si>
  <si>
    <t xml:space="preserve">Phullu</t>
  </si>
  <si>
    <t xml:space="preserve">Abhishek Saxena</t>
  </si>
  <si>
    <t xml:space="preserve">Pucca: Love Recipe</t>
  </si>
  <si>
    <t xml:space="preserve">Rainbow Ruby</t>
  </si>
  <si>
    <t xml:space="preserve">South Korea, Canada, United States, China</t>
  </si>
  <si>
    <t xml:space="preserve">Rajnigandha</t>
  </si>
  <si>
    <t xml:space="preserve">Basu Chatterjee</t>
  </si>
  <si>
    <t xml:space="preserve">Ram Teri Ganga Maili</t>
  </si>
  <si>
    <t xml:space="preserve">178 min</t>
  </si>
  <si>
    <t xml:space="preserve">Ramji Londonwaley</t>
  </si>
  <si>
    <t xml:space="preserve">Sanjay Dayma</t>
  </si>
  <si>
    <t xml:space="preserve">Red Dawn</t>
  </si>
  <si>
    <t xml:space="preserve">John Milius</t>
  </si>
  <si>
    <t xml:space="preserve">Action &amp; Adventure, Cult Movies</t>
  </si>
  <si>
    <t xml:space="preserve">Road to Sangam</t>
  </si>
  <si>
    <t xml:space="preserve">Amit Rai</t>
  </si>
  <si>
    <t xml:space="preserve">Saath Saath</t>
  </si>
  <si>
    <t xml:space="preserve">Raman Kumar</t>
  </si>
  <si>
    <t xml:space="preserve">Sadma</t>
  </si>
  <si>
    <t xml:space="preserve">Balu Mahendra</t>
  </si>
  <si>
    <t xml:space="preserve">Sangam</t>
  </si>
  <si>
    <t xml:space="preserve">228 min</t>
  </si>
  <si>
    <t xml:space="preserve">Satte Pe Satta</t>
  </si>
  <si>
    <t xml:space="preserve">Raj N. Sippy</t>
  </si>
  <si>
    <t xml:space="preserve">Shiva</t>
  </si>
  <si>
    <t xml:space="preserve">Swami</t>
  </si>
  <si>
    <t xml:space="preserve">The Dark Side of Life: Mumbai City</t>
  </si>
  <si>
    <t xml:space="preserve">Tariq Khan</t>
  </si>
  <si>
    <t xml:space="preserve">The Great Gambler</t>
  </si>
  <si>
    <t xml:space="preserve">The Neighbor</t>
  </si>
  <si>
    <t xml:space="preserve">The World Is Not Enough</t>
  </si>
  <si>
    <t xml:space="preserve">Michael Apted</t>
  </si>
  <si>
    <t xml:space="preserve">Tomorrow Never Dies</t>
  </si>
  <si>
    <t xml:space="preserve">Roger Spottiswoode</t>
  </si>
  <si>
    <t xml:space="preserve">Traffic Signal</t>
  </si>
  <si>
    <t xml:space="preserve">Trikal (Past, Present, Future)</t>
  </si>
  <si>
    <t xml:space="preserve">Union Leader</t>
  </si>
  <si>
    <t xml:space="preserve">Sanjay Patel</t>
  </si>
  <si>
    <t xml:space="preserve">Veerey Ki Wedding</t>
  </si>
  <si>
    <t xml:space="preserve">Ashu Trikha</t>
  </si>
  <si>
    <t xml:space="preserve">Vodka Diaries</t>
  </si>
  <si>
    <t xml:space="preserve">Kushal Srivastava</t>
  </si>
  <si>
    <t xml:space="preserve">Yanxi Palace: Princess Adventures</t>
  </si>
  <si>
    <t xml:space="preserve">Zed Plus</t>
  </si>
  <si>
    <t xml:space="preserve">Chandra Prakash Dwivedi</t>
  </si>
  <si>
    <t xml:space="preserve">Bill Hicks: One Night Stand</t>
  </si>
  <si>
    <t xml:space="preserve">December 31, 2018</t>
  </si>
  <si>
    <t xml:space="preserve">Bill Hicks: Reflections</t>
  </si>
  <si>
    <t xml:space="preserve">34 min</t>
  </si>
  <si>
    <t xml:space="preserve">Bill Hicks: Relentless</t>
  </si>
  <si>
    <t xml:space="preserve">Chris Bould</t>
  </si>
  <si>
    <t xml:space="preserve">Bill Hicks: Revelations</t>
  </si>
  <si>
    <t xml:space="preserve">Bill Hicks: Sane Man</t>
  </si>
  <si>
    <t xml:space="preserve">Kevin Booth, David Johndrow</t>
  </si>
  <si>
    <t xml:space="preserve">Conan Without Borders</t>
  </si>
  <si>
    <t xml:space="preserve">For the Win</t>
  </si>
  <si>
    <t xml:space="preserve">Gina Yashere: Laughing to America</t>
  </si>
  <si>
    <t xml:space="preserve">Paul M. Green</t>
  </si>
  <si>
    <t xml:space="preserve">Gina Yashere: Skinny B*tch</t>
  </si>
  <si>
    <t xml:space="preserve">Inst@famous</t>
  </si>
  <si>
    <t xml:space="preserve">Mexicanos de Bronce</t>
  </si>
  <si>
    <t xml:space="preserve">Julio Fernández Talamantes</t>
  </si>
  <si>
    <t xml:space="preserve">Sam Kinison: Breaking the Rules</t>
  </si>
  <si>
    <t xml:space="preserve">Walter C. Miller</t>
  </si>
  <si>
    <t xml:space="preserve">Sam Kinison: Family Entertainment Hour</t>
  </si>
  <si>
    <t xml:space="preserve">Sam Kinison: Live in Vegas</t>
  </si>
  <si>
    <t xml:space="preserve">Sam Kinison: The Scream Continues</t>
  </si>
  <si>
    <t xml:space="preserve">Secrets in the Hot Spring</t>
  </si>
  <si>
    <t xml:space="preserve">Slobby's World</t>
  </si>
  <si>
    <t xml:space="preserve">Taylor Swift reputation Stadium Tour</t>
  </si>
  <si>
    <t xml:space="preserve">The Bill Murray Stories: Life Lessons Learned From a Mythical Man</t>
  </si>
  <si>
    <t xml:space="preserve">Tommy Avallone</t>
  </si>
  <si>
    <t xml:space="preserve">The Seven Deadly Sins the Movie: Prisoners of the Sky</t>
  </si>
  <si>
    <t xml:space="preserve">Tim Allen: Men Are Pigs</t>
  </si>
  <si>
    <t xml:space="preserve">Ellen Brown</t>
  </si>
  <si>
    <t xml:space="preserve">Tim Allen: ReWires America</t>
  </si>
  <si>
    <t xml:space="preserve">Tim Minchin And The Heritage Orchestra Live</t>
  </si>
  <si>
    <t xml:space="preserve">Matt Askem</t>
  </si>
  <si>
    <t xml:space="preserve">Tim Minchin: So F**king Rock</t>
  </si>
  <si>
    <t xml:space="preserve">Todd Glass: Stand-Up Special</t>
  </si>
  <si>
    <t xml:space="preserve">Tom Papa Live in New York City</t>
  </si>
  <si>
    <t xml:space="preserve">Rob Zombie</t>
  </si>
  <si>
    <t xml:space="preserve">Bat Pat</t>
  </si>
  <si>
    <t xml:space="preserve">December 31, 2017</t>
  </si>
  <si>
    <t xml:space="preserve">Blurred Lines: Inside the Art World</t>
  </si>
  <si>
    <t xml:space="preserve">Born Strong</t>
  </si>
  <si>
    <t xml:space="preserve">Gary Cohen, Ross Hockrow</t>
  </si>
  <si>
    <t xml:space="preserve">Dave Chappelle: Equanimity &amp; The Bird Revelation</t>
  </si>
  <si>
    <t xml:space="preserve">El Chavo</t>
  </si>
  <si>
    <t xml:space="preserve">Classic &amp; Cult TV, Kids' TV, Spanish-Language TV Shows</t>
  </si>
  <si>
    <t xml:space="preserve">Elles étaient en guerre (1914-1918)</t>
  </si>
  <si>
    <t xml:space="preserve">Fabien Beziat, Hugues Nancy</t>
  </si>
  <si>
    <t xml:space="preserve">Elles ont toutes une histoire</t>
  </si>
  <si>
    <t xml:space="preserve">Nils Tavernier</t>
  </si>
  <si>
    <t xml:space="preserve">Fun Mom Dinner</t>
  </si>
  <si>
    <t xml:space="preserve">Alethea Jones</t>
  </si>
  <si>
    <t xml:space="preserve">Geronimo Stilton</t>
  </si>
  <si>
    <t xml:space="preserve">Guy Vasilovich</t>
  </si>
  <si>
    <t xml:space="preserve">Italy, Canada, France</t>
  </si>
  <si>
    <t xml:space="preserve">Ghost House</t>
  </si>
  <si>
    <t xml:space="preserve">Rich Ragsdale</t>
  </si>
  <si>
    <t xml:space="preserve">Thailand, United States</t>
  </si>
  <si>
    <t xml:space="preserve">Lo que la vida me robó</t>
  </si>
  <si>
    <t xml:space="preserve">Numbered</t>
  </si>
  <si>
    <t xml:space="preserve">Dana Doron, Uriel Sinai</t>
  </si>
  <si>
    <t xml:space="preserve">Rebelde</t>
  </si>
  <si>
    <t xml:space="preserve">Rubi</t>
  </si>
  <si>
    <t xml:space="preserve">Teresa</t>
  </si>
  <si>
    <t xml:space="preserve">Twice</t>
  </si>
  <si>
    <t xml:space="preserve">Hidetaka Inazuka</t>
  </si>
  <si>
    <t xml:space="preserve">Japan, United States</t>
  </si>
  <si>
    <t xml:space="preserve">You Can Tutu</t>
  </si>
  <si>
    <t xml:space="preserve">James Brown</t>
  </si>
  <si>
    <t xml:space="preserve">Dog Eat Dog</t>
  </si>
  <si>
    <t xml:space="preserve">Paul Schrader</t>
  </si>
  <si>
    <t xml:space="preserve">December 31, 2016</t>
  </si>
  <si>
    <t xml:space="preserve">Mr. Pig</t>
  </si>
  <si>
    <t xml:space="preserve">Diego Luna</t>
  </si>
  <si>
    <t xml:space="preserve">Battle Creek</t>
  </si>
  <si>
    <t xml:space="preserve">December 31, 2015</t>
  </si>
  <si>
    <t xml:space="preserve">The Disastrous Life of Saiki K.: Reawakened</t>
  </si>
  <si>
    <t xml:space="preserve">December 30, 2019</t>
  </si>
  <si>
    <t xml:space="preserve">After Porn Ends 3</t>
  </si>
  <si>
    <t xml:space="preserve">Brittany Andrews</t>
  </si>
  <si>
    <t xml:space="preserve">December 30, 2018</t>
  </si>
  <si>
    <t xml:space="preserve">Anesthesia</t>
  </si>
  <si>
    <t xml:space="preserve">Tim Blake Nelson</t>
  </si>
  <si>
    <t xml:space="preserve">Pioneers: First Women Filmmakers*</t>
  </si>
  <si>
    <t xml:space="preserve">The Autopsy of Jane Doe</t>
  </si>
  <si>
    <t xml:space="preserve">André Øvredal</t>
  </si>
  <si>
    <t xml:space="preserve">Goon: Last of the Enforcers</t>
  </si>
  <si>
    <t xml:space="preserve">Jay Baruchel</t>
  </si>
  <si>
    <t xml:space="preserve">December 30, 2017</t>
  </si>
  <si>
    <t xml:space="preserve">My Runway</t>
  </si>
  <si>
    <t xml:space="preserve">December 30, 2016</t>
  </si>
  <si>
    <t xml:space="preserve">The First Temptation of Christ</t>
  </si>
  <si>
    <t xml:space="preserve">Rodrigo Van Der Put</t>
  </si>
  <si>
    <t xml:space="preserve">December 3, 2019</t>
  </si>
  <si>
    <t xml:space="preserve">Tiffany Haddish: Black Mitzvah</t>
  </si>
  <si>
    <t xml:space="preserve">War on Everyone</t>
  </si>
  <si>
    <t xml:space="preserve">John Michael McDonagh</t>
  </si>
  <si>
    <t xml:space="preserve">Wish Man</t>
  </si>
  <si>
    <t xml:space="preserve">Theo Davies</t>
  </si>
  <si>
    <t xml:space="preserve">Blue Planet II</t>
  </si>
  <si>
    <t xml:space="preserve">December 3, 2018</t>
  </si>
  <si>
    <t xml:space="preserve">Silencer</t>
  </si>
  <si>
    <t xml:space="preserve">Diary of a Chambermaid</t>
  </si>
  <si>
    <t xml:space="preserve">Benoît Jacquot</t>
  </si>
  <si>
    <t xml:space="preserve">December 3, 2016</t>
  </si>
  <si>
    <t xml:space="preserve">Rezeta</t>
  </si>
  <si>
    <t xml:space="preserve">Fernando Frías De La Parra</t>
  </si>
  <si>
    <t xml:space="preserve">Lawless</t>
  </si>
  <si>
    <t xml:space="preserve">John Hillcoat</t>
  </si>
  <si>
    <t xml:space="preserve">December 29, 2019</t>
  </si>
  <si>
    <t xml:space="preserve">In Family We Trust</t>
  </si>
  <si>
    <t xml:space="preserve">December 29, 2018</t>
  </si>
  <si>
    <t xml:space="preserve">La Mante</t>
  </si>
  <si>
    <t xml:space="preserve">December 29, 2017</t>
  </si>
  <si>
    <t xml:space="preserve">Shelter</t>
  </si>
  <si>
    <t xml:space="preserve">Måns Mårlind, Björn Stein</t>
  </si>
  <si>
    <t xml:space="preserve">The Climb</t>
  </si>
  <si>
    <t xml:space="preserve">Ludovic Bernard</t>
  </si>
  <si>
    <t xml:space="preserve">The Real Football Factories</t>
  </si>
  <si>
    <t xml:space="preserve">Wadi</t>
  </si>
  <si>
    <t xml:space="preserve">Shrek the Musical</t>
  </si>
  <si>
    <t xml:space="preserve">Jason Moore</t>
  </si>
  <si>
    <t xml:space="preserve">December 29, 2013</t>
  </si>
  <si>
    <t xml:space="preserve">Hot Gimmick: Girl Meets Boy</t>
  </si>
  <si>
    <t xml:space="preserve">Yuki Yamato</t>
  </si>
  <si>
    <t xml:space="preserve">December 28, 2019</t>
  </si>
  <si>
    <t xml:space="preserve">A Twelve Year Night</t>
  </si>
  <si>
    <t xml:space="preserve">Álvaro Brechner</t>
  </si>
  <si>
    <t xml:space="preserve">Uruguay, Argentina, Spain</t>
  </si>
  <si>
    <t xml:space="preserve">December 28, 2018</t>
  </si>
  <si>
    <t xml:space="preserve">Avicii: True Stories</t>
  </si>
  <si>
    <t xml:space="preserve">Levan Tsikurishvili</t>
  </si>
  <si>
    <t xml:space="preserve">Sweden, Netherlands</t>
  </si>
  <si>
    <t xml:space="preserve">Black Mirror: Bandersnatch</t>
  </si>
  <si>
    <t xml:space="preserve">312 min</t>
  </si>
  <si>
    <t xml:space="preserve">Hashoter Hatov</t>
  </si>
  <si>
    <t xml:space="preserve">Life Ki Toh Lag Gayi</t>
  </si>
  <si>
    <t xml:space="preserve">Rakesh Mehta</t>
  </si>
  <si>
    <t xml:space="preserve">Murder Mountain</t>
  </si>
  <si>
    <t xml:space="preserve">Oasis: Supersonic</t>
  </si>
  <si>
    <t xml:space="preserve">Mat Whitecross</t>
  </si>
  <si>
    <t xml:space="preserve">Rehmataan</t>
  </si>
  <si>
    <t xml:space="preserve">Selection Day</t>
  </si>
  <si>
    <t xml:space="preserve">The Birth Reborn 3</t>
  </si>
  <si>
    <t xml:space="preserve">When Angels Sleep</t>
  </si>
  <si>
    <t xml:space="preserve">Gonzalo Bendala</t>
  </si>
  <si>
    <t xml:space="preserve">The NSU-Complex</t>
  </si>
  <si>
    <t xml:space="preserve">Stefan Aust, Dirk Laabs</t>
  </si>
  <si>
    <t xml:space="preserve">December 28, 2016</t>
  </si>
  <si>
    <t xml:space="preserve">Fifty</t>
  </si>
  <si>
    <t xml:space="preserve">Biyi Bandele</t>
  </si>
  <si>
    <t xml:space="preserve">December 28, 2015</t>
  </si>
  <si>
    <t xml:space="preserve">Blitz Patrollie</t>
  </si>
  <si>
    <t xml:space="preserve">Andrew Wessels</t>
  </si>
  <si>
    <t xml:space="preserve">December 27, 2019</t>
  </si>
  <si>
    <t xml:space="preserve">El Pepe, a Supreme Life</t>
  </si>
  <si>
    <t xml:space="preserve">Emir Kusturica</t>
  </si>
  <si>
    <t xml:space="preserve">Argentina, Uruguay, Serbia</t>
  </si>
  <si>
    <t xml:space="preserve">Kevin Hart: Don’t F**k This Up</t>
  </si>
  <si>
    <t xml:space="preserve">The Secret Life of Pets 2</t>
  </si>
  <si>
    <t xml:space="preserve">Chris Renaud</t>
  </si>
  <si>
    <t xml:space="preserve">The Vendor</t>
  </si>
  <si>
    <t xml:space="preserve">Odunlade Adekola</t>
  </si>
  <si>
    <t xml:space="preserve">At First Light</t>
  </si>
  <si>
    <t xml:space="preserve">Jason Stone</t>
  </si>
  <si>
    <t xml:space="preserve">December 27, 2018</t>
  </si>
  <si>
    <t xml:space="preserve">Bibi &amp; Tina: Tohuwabohu Total</t>
  </si>
  <si>
    <t xml:space="preserve">Detlev Buck</t>
  </si>
  <si>
    <t xml:space="preserve">December 27, 2017</t>
  </si>
  <si>
    <t xml:space="preserve">Pusher</t>
  </si>
  <si>
    <t xml:space="preserve">Luis Prieto</t>
  </si>
  <si>
    <t xml:space="preserve">Towies</t>
  </si>
  <si>
    <t xml:space="preserve">Chasing Cameron</t>
  </si>
  <si>
    <t xml:space="preserve">December 27, 2016</t>
  </si>
  <si>
    <t xml:space="preserve">Fast &amp; Furious Spy Racers</t>
  </si>
  <si>
    <t xml:space="preserve">December 26, 2019</t>
  </si>
  <si>
    <t xml:space="preserve">The App</t>
  </si>
  <si>
    <t xml:space="preserve">Elisa Fuksas</t>
  </si>
  <si>
    <t xml:space="preserve">The Bonfire of Destiny</t>
  </si>
  <si>
    <t xml:space="preserve">Left Behind</t>
  </si>
  <si>
    <t xml:space="preserve">Vic Armstrong</t>
  </si>
  <si>
    <t xml:space="preserve">December 26, 2018</t>
  </si>
  <si>
    <t xml:space="preserve">Action &amp; Adventure, Faith &amp; Spirituality, Sci-Fi &amp; Fantasy</t>
  </si>
  <si>
    <t xml:space="preserve">The Innocents</t>
  </si>
  <si>
    <t xml:space="preserve">France, Poland</t>
  </si>
  <si>
    <t xml:space="preserve">You</t>
  </si>
  <si>
    <t xml:space="preserve">Lee Toland Krieger</t>
  </si>
  <si>
    <t xml:space="preserve">Crime TV Shows, Romantic TV Shows, TV Dramas</t>
  </si>
  <si>
    <t xml:space="preserve">Mr. Roosevelt</t>
  </si>
  <si>
    <t xml:space="preserve">Noël Wells</t>
  </si>
  <si>
    <t xml:space="preserve">December 26, 2017</t>
  </si>
  <si>
    <t xml:space="preserve">Todd Barry: Spicy Honey</t>
  </si>
  <si>
    <t xml:space="preserve">Walk with Me</t>
  </si>
  <si>
    <t xml:space="preserve">Marc Francis, Max Pugh</t>
  </si>
  <si>
    <t xml:space="preserve">Ezel</t>
  </si>
  <si>
    <t xml:space="preserve">December 26, 2016</t>
  </si>
  <si>
    <t xml:space="preserve">Kaçak</t>
  </si>
  <si>
    <t xml:space="preserve">Kurt Seyit &amp; Sura</t>
  </si>
  <si>
    <t xml:space="preserve">Mahmut &amp; Meryem</t>
  </si>
  <si>
    <t xml:space="preserve">Turkey, Azerbaijan</t>
  </si>
  <si>
    <t xml:space="preserve">Marco Polo: One Hundred Eyes</t>
  </si>
  <si>
    <t xml:space="preserve">Alik Sakharov</t>
  </si>
  <si>
    <t xml:space="preserve">December 26, 2015</t>
  </si>
  <si>
    <t xml:space="preserve">Doom: Annihilation</t>
  </si>
  <si>
    <t xml:space="preserve">Tony Giglio</t>
  </si>
  <si>
    <t xml:space="preserve">December 25, 2019</t>
  </si>
  <si>
    <t xml:space="preserve">Fireworks</t>
  </si>
  <si>
    <t xml:space="preserve">Akiyuki Shinbo, Nobuyuki Takeuchi</t>
  </si>
  <si>
    <t xml:space="preserve">Anime Features, Romantic Movies</t>
  </si>
  <si>
    <t xml:space="preserve">Grand-Daddy Day Care</t>
  </si>
  <si>
    <t xml:space="preserve">Ron Oliver</t>
  </si>
  <si>
    <t xml:space="preserve">Jarhead: Law of Return</t>
  </si>
  <si>
    <t xml:space="preserve">MFKZ</t>
  </si>
  <si>
    <t xml:space="preserve">Shojiro Nishimi, Guillaume Renard</t>
  </si>
  <si>
    <t xml:space="preserve">France, Japan</t>
  </si>
  <si>
    <t xml:space="preserve">Sweetheart</t>
  </si>
  <si>
    <t xml:space="preserve">J.D. Dillard</t>
  </si>
  <si>
    <t xml:space="preserve">Avengers: Infinity War</t>
  </si>
  <si>
    <t xml:space="preserve">Anthony Russo, Joe Russo</t>
  </si>
  <si>
    <t xml:space="preserve">December 25, 2018</t>
  </si>
  <si>
    <t xml:space="preserve">Backtrack</t>
  </si>
  <si>
    <t xml:space="preserve">Michael Petroni</t>
  </si>
  <si>
    <t xml:space="preserve">Australia, United Kingdom, United Arab Emirates, Canada</t>
  </si>
  <si>
    <t xml:space="preserve">A Gray State</t>
  </si>
  <si>
    <t xml:space="preserve">Erik Nelson</t>
  </si>
  <si>
    <t xml:space="preserve">December 25, 2017</t>
  </si>
  <si>
    <t xml:space="preserve">Part-Time Idol</t>
  </si>
  <si>
    <t xml:space="preserve">Planet Earth II</t>
  </si>
  <si>
    <t xml:space="preserve">When Hari Got Married</t>
  </si>
  <si>
    <t xml:space="preserve">Ritu Sarin, Tenzing Sonam</t>
  </si>
  <si>
    <t xml:space="preserve">December 25, 2016</t>
  </si>
  <si>
    <t xml:space="preserve">Sammy &amp; Co</t>
  </si>
  <si>
    <t xml:space="preserve">December 25, 2015</t>
  </si>
  <si>
    <t xml:space="preserve">Como caído del cielo</t>
  </si>
  <si>
    <t xml:space="preserve">Pepe Bojórquez</t>
  </si>
  <si>
    <t xml:space="preserve">December 24, 2019</t>
  </si>
  <si>
    <t xml:space="preserve">John Mulaney &amp; The Sack Lunch Bunch</t>
  </si>
  <si>
    <t xml:space="preserve">Hi Score Girl</t>
  </si>
  <si>
    <t xml:space="preserve">December 24, 2018</t>
  </si>
  <si>
    <t xml:space="preserve">Stand Up and Away! with Brian Regan</t>
  </si>
  <si>
    <t xml:space="preserve">Way Back into Love</t>
  </si>
  <si>
    <t xml:space="preserve">Ninja Hattori</t>
  </si>
  <si>
    <t xml:space="preserve">December 23, 2018</t>
  </si>
  <si>
    <t xml:space="preserve">The Little Hours</t>
  </si>
  <si>
    <t xml:space="preserve">Watership Down</t>
  </si>
  <si>
    <t xml:space="preserve">Ireland, United Kingdom, United States</t>
  </si>
  <si>
    <t xml:space="preserve">British TV Shows, International TV Shows, TV Action &amp; Adventure</t>
  </si>
  <si>
    <t xml:space="preserve">Creep 2</t>
  </si>
  <si>
    <t xml:space="preserve">December 23, 2017</t>
  </si>
  <si>
    <t xml:space="preserve">Myths &amp; Monsters</t>
  </si>
  <si>
    <t xml:space="preserve">Daniel Kontur</t>
  </si>
  <si>
    <t xml:space="preserve">7:19</t>
  </si>
  <si>
    <t xml:space="preserve">Jorge Michel Grau</t>
  </si>
  <si>
    <t xml:space="preserve">December 23, 2016</t>
  </si>
  <si>
    <t xml:space="preserve">Garfunkel and Oates: Trying to be Special</t>
  </si>
  <si>
    <t xml:space="preserve">Riki Lindhome, Jeremy Konner</t>
  </si>
  <si>
    <t xml:space="preserve">Lo and Behold: Reveries of the Connected World</t>
  </si>
  <si>
    <t xml:space="preserve">Jacob's Ladder</t>
  </si>
  <si>
    <t xml:space="preserve">December 22, 2019</t>
  </si>
  <si>
    <t xml:space="preserve">Demon's Path</t>
  </si>
  <si>
    <t xml:space="preserve">December 22, 2018</t>
  </si>
  <si>
    <t xml:space="preserve">I Am Vengeance</t>
  </si>
  <si>
    <t xml:space="preserve">Ross Boyask</t>
  </si>
  <si>
    <t xml:space="preserve">Mr. Church</t>
  </si>
  <si>
    <t xml:space="preserve">Bruce Beresford</t>
  </si>
  <si>
    <t xml:space="preserve">Single Ladies Senior</t>
  </si>
  <si>
    <t xml:space="preserve">72 Dangerous Animals: Latin America</t>
  </si>
  <si>
    <t xml:space="preserve">December 22, 2017</t>
  </si>
  <si>
    <t xml:space="preserve">Bright</t>
  </si>
  <si>
    <t xml:space="preserve">Madness in the Desert</t>
  </si>
  <si>
    <t xml:space="preserve">Back of the Net</t>
  </si>
  <si>
    <t xml:space="preserve">Louise Alston</t>
  </si>
  <si>
    <t xml:space="preserve">December 21, 2019</t>
  </si>
  <si>
    <t xml:space="preserve">Children &amp; Family Movies, Sports Movies</t>
  </si>
  <si>
    <t xml:space="preserve">Lost in London</t>
  </si>
  <si>
    <t xml:space="preserve">Sunkanmi Adebayo</t>
  </si>
  <si>
    <t xml:space="preserve">7 Days Out</t>
  </si>
  <si>
    <t xml:space="preserve">December 21, 2018</t>
  </si>
  <si>
    <t xml:space="preserve">Bad Seeds</t>
  </si>
  <si>
    <t xml:space="preserve">Kheiron</t>
  </si>
  <si>
    <t xml:space="preserve">Bird Box</t>
  </si>
  <si>
    <t xml:space="preserve">Susanne Bier</t>
  </si>
  <si>
    <t xml:space="preserve">Diablero</t>
  </si>
  <si>
    <t xml:space="preserve">International TV Shows, Spanish-Language TV Shows, TV Action &amp; Adventure</t>
  </si>
  <si>
    <t xml:space="preserve">Jojo's World</t>
  </si>
  <si>
    <t xml:space="preserve">Lion Pride</t>
  </si>
  <si>
    <t xml:space="preserve">Love @ Seventeen</t>
  </si>
  <si>
    <t xml:space="preserve">Perfume</t>
  </si>
  <si>
    <t xml:space="preserve">Sirius the Jaeger</t>
  </si>
  <si>
    <t xml:space="preserve">Anime Series, International TV Shows, TV Thrillers</t>
  </si>
  <si>
    <t xml:space="preserve">Struggle: The Life and Lost Art of Szukalski</t>
  </si>
  <si>
    <t xml:space="preserve">Irek Dobrowolski</t>
  </si>
  <si>
    <t xml:space="preserve">The Last Hangover</t>
  </si>
  <si>
    <t xml:space="preserve">What Still Remains</t>
  </si>
  <si>
    <t xml:space="preserve">Josh Mendoza</t>
  </si>
  <si>
    <t xml:space="preserve">Wolf</t>
  </si>
  <si>
    <t xml:space="preserve">Desire</t>
  </si>
  <si>
    <t xml:space="preserve">Diego Kaplan</t>
  </si>
  <si>
    <t xml:space="preserve">December 21, 2017</t>
  </si>
  <si>
    <t xml:space="preserve">Figures of Speech</t>
  </si>
  <si>
    <t xml:space="preserve">Ari Levinson</t>
  </si>
  <si>
    <t xml:space="preserve">December 21, 2016</t>
  </si>
  <si>
    <t xml:space="preserve">Fireplace 4K: Classic Crackling Fireplace from Fireplace for Your Home</t>
  </si>
  <si>
    <t xml:space="preserve">George Ford</t>
  </si>
  <si>
    <t xml:space="preserve">December 21, 2015</t>
  </si>
  <si>
    <t xml:space="preserve">Fireplace 4K: Crackling Birchwood from Fireplace for Your Home</t>
  </si>
  <si>
    <t xml:space="preserve">Agent</t>
  </si>
  <si>
    <t xml:space="preserve">Mauritius, South Africa</t>
  </si>
  <si>
    <t xml:space="preserve">December 20, 2019</t>
  </si>
  <si>
    <t xml:space="preserve">Being Mrs Elliot</t>
  </si>
  <si>
    <t xml:space="preserve">Falz Experience</t>
  </si>
  <si>
    <t xml:space="preserve">Falz</t>
  </si>
  <si>
    <t xml:space="preserve">Iyore</t>
  </si>
  <si>
    <t xml:space="preserve">The First Lady</t>
  </si>
  <si>
    <t xml:space="preserve">The Two Popes</t>
  </si>
  <si>
    <t xml:space="preserve">Fernando Meirelles</t>
  </si>
  <si>
    <t xml:space="preserve">United Kingdom, Italy, Argentina, United States</t>
  </si>
  <si>
    <t xml:space="preserve">The Witcher</t>
  </si>
  <si>
    <t xml:space="preserve">2036 Origin Unknown</t>
  </si>
  <si>
    <t xml:space="preserve">Hasraf Dulull</t>
  </si>
  <si>
    <t xml:space="preserve">December 20, 2018</t>
  </si>
  <si>
    <t xml:space="preserve">Sci-Fi &amp; Fantasy</t>
  </si>
  <si>
    <t xml:space="preserve">23:59</t>
  </si>
  <si>
    <t xml:space="preserve">Gilbert Chan</t>
  </si>
  <si>
    <t xml:space="preserve">Aggretsuko: We Wish You a Metal Christmas</t>
  </si>
  <si>
    <t xml:space="preserve">Rarecho</t>
  </si>
  <si>
    <t xml:space="preserve">Durarara!!</t>
  </si>
  <si>
    <t xml:space="preserve">Imperfect</t>
  </si>
  <si>
    <t xml:space="preserve">Steve Cheng</t>
  </si>
  <si>
    <t xml:space="preserve">Lang Tong</t>
  </si>
  <si>
    <t xml:space="preserve">Sam Loh</t>
  </si>
  <si>
    <t xml:space="preserve">Miss J Contemplates Her Choice</t>
  </si>
  <si>
    <t xml:space="preserve">Jason Lai</t>
  </si>
  <si>
    <t xml:space="preserve">48 Christmas Wishes</t>
  </si>
  <si>
    <t xml:space="preserve">Marco Deufemia, Justin G. Dyck</t>
  </si>
  <si>
    <t xml:space="preserve">December 20, 2017</t>
  </si>
  <si>
    <t xml:space="preserve">Dance Academy</t>
  </si>
  <si>
    <t xml:space="preserve">Jeremiah Tower: The Last Magnificent</t>
  </si>
  <si>
    <t xml:space="preserve">Lydia Tenaglia</t>
  </si>
  <si>
    <t xml:space="preserve">A Christmas Special: Miraculous: Tales of Ladybug &amp; Cat Noir</t>
  </si>
  <si>
    <t xml:space="preserve">Thomas Astruc</t>
  </si>
  <si>
    <t xml:space="preserve">France, South Korea, Japan</t>
  </si>
  <si>
    <t xml:space="preserve">December 20, 2016</t>
  </si>
  <si>
    <t xml:space="preserve">Daemonium</t>
  </si>
  <si>
    <t xml:space="preserve">Pablo Parés</t>
  </si>
  <si>
    <t xml:space="preserve">Gabriel lglesias: I’m Sorry For What I Said When I Was Hungry</t>
  </si>
  <si>
    <t xml:space="preserve">George of the Jungle 2</t>
  </si>
  <si>
    <t xml:space="preserve">David Grossman</t>
  </si>
  <si>
    <t xml:space="preserve">Leo the Lion</t>
  </si>
  <si>
    <t xml:space="preserve">Mario Cambi</t>
  </si>
  <si>
    <t xml:space="preserve">December 20, 2015</t>
  </si>
  <si>
    <t xml:space="preserve">Magic Snowflake</t>
  </si>
  <si>
    <t xml:space="preserve">Luc Vinciguerra</t>
  </si>
  <si>
    <t xml:space="preserve">Santa's Apprentice</t>
  </si>
  <si>
    <t xml:space="preserve">Australia, France, Ireland</t>
  </si>
  <si>
    <t xml:space="preserve">Nightflyers</t>
  </si>
  <si>
    <t xml:space="preserve">December 2, 2019</t>
  </si>
  <si>
    <t xml:space="preserve">Memories of the Alhambra</t>
  </si>
  <si>
    <t xml:space="preserve">December 2, 2018</t>
  </si>
  <si>
    <t xml:space="preserve">Teefa in Trouble</t>
  </si>
  <si>
    <t xml:space="preserve">Ahsan Rahim</t>
  </si>
  <si>
    <t xml:space="preserve">The Lobster</t>
  </si>
  <si>
    <t xml:space="preserve">Yorgos Lanthimos</t>
  </si>
  <si>
    <t xml:space="preserve">Ireland, United Kingdom, Greece, France, Netherlands</t>
  </si>
  <si>
    <t xml:space="preserve">Jab Harry Met Sejal</t>
  </si>
  <si>
    <t xml:space="preserve">December 2, 2017</t>
  </si>
  <si>
    <t xml:space="preserve">Temple</t>
  </si>
  <si>
    <t xml:space="preserve">Michael Barrett</t>
  </si>
  <si>
    <t xml:space="preserve">For the Love of Spock</t>
  </si>
  <si>
    <t xml:space="preserve">Adam Nimoy</t>
  </si>
  <si>
    <t xml:space="preserve">December 2, 2016</t>
  </si>
  <si>
    <t xml:space="preserve">Pacific Heat</t>
  </si>
  <si>
    <t xml:space="preserve">Crime TV Shows, TV Comedies</t>
  </si>
  <si>
    <t xml:space="preserve">White Girl</t>
  </si>
  <si>
    <t xml:space="preserve">Elizabeth Wood</t>
  </si>
  <si>
    <t xml:space="preserve">Yoga Hosers</t>
  </si>
  <si>
    <t xml:space="preserve">Power Rangers Dino Charge</t>
  </si>
  <si>
    <t xml:space="preserve">December 2, 2015</t>
  </si>
  <si>
    <t xml:space="preserve">After the Raid</t>
  </si>
  <si>
    <t xml:space="preserve">Rodrigo Reyes</t>
  </si>
  <si>
    <t xml:space="preserve">December 19, 2019</t>
  </si>
  <si>
    <t xml:space="preserve">Twice Upon A Time</t>
  </si>
  <si>
    <t xml:space="preserve">Ascharyachakit!</t>
  </si>
  <si>
    <t xml:space="preserve">Samit Kakkad</t>
  </si>
  <si>
    <t xml:space="preserve">December 19, 2018</t>
  </si>
  <si>
    <t xml:space="preserve">Miss Me This Christmas</t>
  </si>
  <si>
    <t xml:space="preserve">Kenny Young</t>
  </si>
  <si>
    <t xml:space="preserve">December 19, 2017</t>
  </si>
  <si>
    <t xml:space="preserve">Russell Howard: Recalibrate</t>
  </si>
  <si>
    <t xml:space="preserve">Peter Orton</t>
  </si>
  <si>
    <t xml:space="preserve">The Indian Detective</t>
  </si>
  <si>
    <t xml:space="preserve">Canada, Germany, South Africa</t>
  </si>
  <si>
    <t xml:space="preserve">The Women's Balcony</t>
  </si>
  <si>
    <t xml:space="preserve">Emil Ben-Shimon</t>
  </si>
  <si>
    <t xml:space="preserve">You Can’t Fight Christmas</t>
  </si>
  <si>
    <t xml:space="preserve">Miss Stevens</t>
  </si>
  <si>
    <t xml:space="preserve">Julia Hart</t>
  </si>
  <si>
    <t xml:space="preserve">December 19, 2016</t>
  </si>
  <si>
    <t xml:space="preserve">Total Frat Movie</t>
  </si>
  <si>
    <t xml:space="preserve">BoJack Horseman Christmas Special: Sabrina's Christmas Wish</t>
  </si>
  <si>
    <t xml:space="preserve">December 19, 2014</t>
  </si>
  <si>
    <t xml:space="preserve">Don't F**k with Cats: Hunting an Internet Killer</t>
  </si>
  <si>
    <t xml:space="preserve">Mark Lewis</t>
  </si>
  <si>
    <t xml:space="preserve">December 18, 2019</t>
  </si>
  <si>
    <t xml:space="preserve">Soundtrack</t>
  </si>
  <si>
    <t xml:space="preserve">Ellen DeGeneres: Relatable</t>
  </si>
  <si>
    <t xml:space="preserve">Joel Gallen, Tig Notaro</t>
  </si>
  <si>
    <t xml:space="preserve">December 18, 2018</t>
  </si>
  <si>
    <t xml:space="preserve">The Humanity Bureau</t>
  </si>
  <si>
    <t xml:space="preserve">Rob W. King</t>
  </si>
  <si>
    <t xml:space="preserve">Some Freaks</t>
  </si>
  <si>
    <t xml:space="preserve">Ian MacAllister-McDonald</t>
  </si>
  <si>
    <t xml:space="preserve">December 18, 2017</t>
  </si>
  <si>
    <t xml:space="preserve">Mike Epps: Don't Take It Personal</t>
  </si>
  <si>
    <t xml:space="preserve">L. Frazier</t>
  </si>
  <si>
    <t xml:space="preserve">December 18, 2015</t>
  </si>
  <si>
    <t xml:space="preserve">Pee-wee's Playhouse: Christmas Special</t>
  </si>
  <si>
    <t xml:space="preserve">Paul Reubens, Wayne Orr</t>
  </si>
  <si>
    <t xml:space="preserve">December 18, 2014</t>
  </si>
  <si>
    <t xml:space="preserve">Ronny Chieng: Asian Comedian Destroys America!</t>
  </si>
  <si>
    <t xml:space="preserve">Sebastian DiNatale</t>
  </si>
  <si>
    <t xml:space="preserve">December 17, 2019</t>
  </si>
  <si>
    <t xml:space="preserve">Lilli</t>
  </si>
  <si>
    <t xml:space="preserve">Prasobh Vijayan</t>
  </si>
  <si>
    <t xml:space="preserve">December 17, 2018</t>
  </si>
  <si>
    <t xml:space="preserve">Prince of Peoria: A Christmas Moose Miracle</t>
  </si>
  <si>
    <t xml:space="preserve">Skin Trade</t>
  </si>
  <si>
    <t xml:space="preserve">Ekachai Uekrongtham</t>
  </si>
  <si>
    <t xml:space="preserve">Thailand, Canada, United States</t>
  </si>
  <si>
    <t xml:space="preserve">Bob's Broken Sleigh</t>
  </si>
  <si>
    <t xml:space="preserve">Jay Surridge</t>
  </si>
  <si>
    <t xml:space="preserve">December 17, 2015</t>
  </si>
  <si>
    <t xml:space="preserve">My Little Pony Equestria Girls: Rainbow Rocks</t>
  </si>
  <si>
    <t xml:space="preserve">Jayson Thiessen, Ishi Rudell</t>
  </si>
  <si>
    <t xml:space="preserve">December 17, 2014</t>
  </si>
  <si>
    <t xml:space="preserve">Burlesque</t>
  </si>
  <si>
    <t xml:space="preserve">Steve Antin</t>
  </si>
  <si>
    <t xml:space="preserve">December 16, 2019</t>
  </si>
  <si>
    <t xml:space="preserve">Sincerely Yours, Dhaka</t>
  </si>
  <si>
    <t xml:space="preserve">Nuhash Humayun, Syed Ahmed Shawki, Rahat Rahman, Robiul Alam Robi, Golam Kibria Farooki, Mir Mukarram Hossain, Tanvir Ahsan, Mahmudul Islam, Abdullah Al Noor, Krishnendu Chattopadhyay, Syed Saleh Ahmed Sobhan</t>
  </si>
  <si>
    <t xml:space="preserve">The Danish Girl</t>
  </si>
  <si>
    <t xml:space="preserve">United Kingdom, United States, Germany, Denmark, Belgium, Japan</t>
  </si>
  <si>
    <t xml:space="preserve">American Circumcision</t>
  </si>
  <si>
    <t xml:space="preserve">Brendon Marotta</t>
  </si>
  <si>
    <t xml:space="preserve">December 16, 2018</t>
  </si>
  <si>
    <t xml:space="preserve">Andhadhun</t>
  </si>
  <si>
    <t xml:space="preserve">Sriram Raghavan</t>
  </si>
  <si>
    <t xml:space="preserve">Ashes of Love</t>
  </si>
  <si>
    <t xml:space="preserve">Dragons: Dawn of the Dragon Racers</t>
  </si>
  <si>
    <t xml:space="preserve">Elaine Bogan, John Sanford</t>
  </si>
  <si>
    <t xml:space="preserve">DreamWorks Holiday Classics</t>
  </si>
  <si>
    <t xml:space="preserve">Kill the Messenger</t>
  </si>
  <si>
    <t xml:space="preserve">Michael Cuesta</t>
  </si>
  <si>
    <t xml:space="preserve">Maps to the Stars</t>
  </si>
  <si>
    <t xml:space="preserve">David Cronenberg</t>
  </si>
  <si>
    <t xml:space="preserve">Canada, Germany, France, United States</t>
  </si>
  <si>
    <t xml:space="preserve">Springsteen on Broadway</t>
  </si>
  <si>
    <t xml:space="preserve">Thom Zimny</t>
  </si>
  <si>
    <t xml:space="preserve">The Theory of Everything</t>
  </si>
  <si>
    <t xml:space="preserve">James Marsh</t>
  </si>
  <si>
    <t xml:space="preserve">God of War</t>
  </si>
  <si>
    <t xml:space="preserve">Gordon Chan</t>
  </si>
  <si>
    <t xml:space="preserve">December 16, 2017</t>
  </si>
  <si>
    <t xml:space="preserve">Stoked</t>
  </si>
  <si>
    <t xml:space="preserve">Barry</t>
  </si>
  <si>
    <t xml:space="preserve">Vikram Gandhi</t>
  </si>
  <si>
    <t xml:space="preserve">December 16, 2016</t>
  </si>
  <si>
    <t xml:space="preserve">Call Me Francis</t>
  </si>
  <si>
    <t xml:space="preserve">Crazyhead</t>
  </si>
  <si>
    <t xml:space="preserve">Rats</t>
  </si>
  <si>
    <t xml:space="preserve">Sister Cities</t>
  </si>
  <si>
    <t xml:space="preserve">Sean Hanish</t>
  </si>
  <si>
    <t xml:space="preserve">Theo Who Lived</t>
  </si>
  <si>
    <t xml:space="preserve">David Shisgall</t>
  </si>
  <si>
    <t xml:space="preserve">A Family Man</t>
  </si>
  <si>
    <t xml:space="preserve">Mark Williams</t>
  </si>
  <si>
    <t xml:space="preserve">December 15, 2019</t>
  </si>
  <si>
    <t xml:space="preserve">Bangistan</t>
  </si>
  <si>
    <t xml:space="preserve">Karan Anshuman</t>
  </si>
  <si>
    <t xml:space="preserve">Cinderella and the Four Knights</t>
  </si>
  <si>
    <t xml:space="preserve">Crash Landing on You</t>
  </si>
  <si>
    <t xml:space="preserve">Crazy, Lovely, Cool</t>
  </si>
  <si>
    <t xml:space="preserve">Obi Emelonye</t>
  </si>
  <si>
    <t xml:space="preserve">Dil Chahta Hai</t>
  </si>
  <si>
    <t xml:space="preserve">Farhan Akhtar</t>
  </si>
  <si>
    <t xml:space="preserve">Dil Dhadakne Do</t>
  </si>
  <si>
    <t xml:space="preserve">Zoya Akhtar</t>
  </si>
  <si>
    <t xml:space="preserve">174 min</t>
  </si>
  <si>
    <t xml:space="preserve">169 min</t>
  </si>
  <si>
    <t xml:space="preserve">Don 2</t>
  </si>
  <si>
    <t xml:space="preserve">Fukrey</t>
  </si>
  <si>
    <t xml:space="preserve">Mrighdeep Singh Lamba</t>
  </si>
  <si>
    <t xml:space="preserve">Game</t>
  </si>
  <si>
    <t xml:space="preserve">Girls und Panzer</t>
  </si>
  <si>
    <t xml:space="preserve">Holy Expectations</t>
  </si>
  <si>
    <t xml:space="preserve">Honeymoon Travels Pvt. Ltd.</t>
  </si>
  <si>
    <t xml:space="preserve">Reema Kagti</t>
  </si>
  <si>
    <t xml:space="preserve">Hope: One in a Billion</t>
  </si>
  <si>
    <t xml:space="preserve">Brodje Wemboendja</t>
  </si>
  <si>
    <t xml:space="preserve">Isoken</t>
  </si>
  <si>
    <t xml:space="preserve">Jadesola Osiberu</t>
  </si>
  <si>
    <t xml:space="preserve">Karthik Calling Karthik</t>
  </si>
  <si>
    <t xml:space="preserve">Vijay Lalwani</t>
  </si>
  <si>
    <t xml:space="preserve">Lakshya</t>
  </si>
  <si>
    <t xml:space="preserve">Luck by Chance</t>
  </si>
  <si>
    <t xml:space="preserve">Potato Potahto</t>
  </si>
  <si>
    <t xml:space="preserve">Shirley Frimpong-Manso</t>
  </si>
  <si>
    <t xml:space="preserve">Ghana</t>
  </si>
  <si>
    <t xml:space="preserve">Rock On!!</t>
  </si>
  <si>
    <t xml:space="preserve">Scooby-Doo on Zombie Island</t>
  </si>
  <si>
    <t xml:space="preserve">Hiroshi Aoyama, Kazumi Fukushima, Jim Stenstrum</t>
  </si>
  <si>
    <t xml:space="preserve">Sym-Bionic Titan</t>
  </si>
  <si>
    <t xml:space="preserve">Talaash</t>
  </si>
  <si>
    <t xml:space="preserve">Tom and Jerry: The Magic Ring</t>
  </si>
  <si>
    <t xml:space="preserve">Phil Roman</t>
  </si>
  <si>
    <t xml:space="preserve">Underdogs</t>
  </si>
  <si>
    <t xml:space="preserve">Téo Frank</t>
  </si>
  <si>
    <t xml:space="preserve">Zindagi Na Milegi Dobara</t>
  </si>
  <si>
    <t xml:space="preserve">Anjaan: Rural Myths</t>
  </si>
  <si>
    <t xml:space="preserve">December 15, 2018</t>
  </si>
  <si>
    <t xml:space="preserve">Emogenius</t>
  </si>
  <si>
    <t xml:space="preserve">F.R.E.D.I.</t>
  </si>
  <si>
    <t xml:space="preserve">Sean Olson</t>
  </si>
  <si>
    <t xml:space="preserve">Idiotest</t>
  </si>
  <si>
    <t xml:space="preserve">Reality TV, TV Comedies</t>
  </si>
  <si>
    <t xml:space="preserve">Kita Kita</t>
  </si>
  <si>
    <t xml:space="preserve">Sigrid Andrea Bernardo</t>
  </si>
  <si>
    <t xml:space="preserve">Minute to Win It</t>
  </si>
  <si>
    <t xml:space="preserve">Once in a Lifetime Sessions with George Ezra</t>
  </si>
  <si>
    <t xml:space="preserve">Once in a Lifetime Sessions with Kasabian</t>
  </si>
  <si>
    <t xml:space="preserve">Once in a Lifetime Sessions with OneRepublic</t>
  </si>
  <si>
    <t xml:space="preserve">Once in a Lifetime Sessions with Snow Patrol</t>
  </si>
  <si>
    <t xml:space="preserve">Sad Hill Unearthed</t>
  </si>
  <si>
    <t xml:space="preserve">Guillermo de Oliveira</t>
  </si>
  <si>
    <t xml:space="preserve">Skin Wars: Fresh Paint</t>
  </si>
  <si>
    <t xml:space="preserve">The Bad Education Movie</t>
  </si>
  <si>
    <t xml:space="preserve">Elliot Hegarty</t>
  </si>
  <si>
    <t xml:space="preserve">Vanjagar Ulagam</t>
  </si>
  <si>
    <t xml:space="preserve">Manoj Beedha</t>
  </si>
  <si>
    <t xml:space="preserve">Winsanity</t>
  </si>
  <si>
    <t xml:space="preserve">1920</t>
  </si>
  <si>
    <t xml:space="preserve">Vikram Bhatt</t>
  </si>
  <si>
    <t xml:space="preserve">December 15, 2017</t>
  </si>
  <si>
    <t xml:space="preserve">A.D. Kingdom and Empire</t>
  </si>
  <si>
    <t xml:space="preserve">Beyblade: Metal Fusion</t>
  </si>
  <si>
    <t xml:space="preserve">Black</t>
  </si>
  <si>
    <t xml:space="preserve">Blackway</t>
  </si>
  <si>
    <t xml:space="preserve">Brave New Jersey</t>
  </si>
  <si>
    <t xml:space="preserve">Jody Lambert</t>
  </si>
  <si>
    <t xml:space="preserve">Breaking Free</t>
  </si>
  <si>
    <t xml:space="preserve">Cheuk Wan-Chi: Two Night Stand</t>
  </si>
  <si>
    <t xml:space="preserve">Christmas Inheritance</t>
  </si>
  <si>
    <t xml:space="preserve">Dark Chocolate (Bengali Version)</t>
  </si>
  <si>
    <t xml:space="preserve">Agnidev Chatterjee</t>
  </si>
  <si>
    <t xml:space="preserve">Discovering Bigfoot</t>
  </si>
  <si>
    <t xml:space="preserve">Todd Standing</t>
  </si>
  <si>
    <t xml:space="preserve">Erased</t>
  </si>
  <si>
    <t xml:space="preserve">Freeway: Crack in the System</t>
  </si>
  <si>
    <t xml:space="preserve">Marc Levin</t>
  </si>
  <si>
    <t xml:space="preserve">United States, Nicaragua</t>
  </si>
  <si>
    <t xml:space="preserve">Gelo</t>
  </si>
  <si>
    <t xml:space="preserve">Manbhavan Singh</t>
  </si>
  <si>
    <t xml:space="preserve">Kabali (Hindi Version)</t>
  </si>
  <si>
    <t xml:space="preserve">Pa. Ranjith</t>
  </si>
  <si>
    <t xml:space="preserve">Los Niños Héroes de Chapultepec</t>
  </si>
  <si>
    <t xml:space="preserve">Ignacio López Escrivá</t>
  </si>
  <si>
    <t xml:space="preserve">Mantostaan</t>
  </si>
  <si>
    <t xml:space="preserve">Rahat Kazmi</t>
  </si>
  <si>
    <t xml:space="preserve">Mantra</t>
  </si>
  <si>
    <t xml:space="preserve">Nicholas Kharkongor</t>
  </si>
  <si>
    <t xml:space="preserve">Muramba</t>
  </si>
  <si>
    <t xml:space="preserve">Varun Narvekar</t>
  </si>
  <si>
    <t xml:space="preserve">Pottersville</t>
  </si>
  <si>
    <t xml:space="preserve">Seth Henrikson</t>
  </si>
  <si>
    <t xml:space="preserve">Rise of the Zombie</t>
  </si>
  <si>
    <t xml:space="preserve">Devaki Singh, Luke Kenny</t>
  </si>
  <si>
    <t xml:space="preserve">Seoul Searching</t>
  </si>
  <si>
    <t xml:space="preserve">Benson Lee</t>
  </si>
  <si>
    <t xml:space="preserve">South Korea, China, United States</t>
  </si>
  <si>
    <t xml:space="preserve">Sexo, Pudor y Lagrimas</t>
  </si>
  <si>
    <t xml:space="preserve">Antonio Serrano</t>
  </si>
  <si>
    <t xml:space="preserve">Under an Arctic Sky</t>
  </si>
  <si>
    <t xml:space="preserve">Chris Burkard</t>
  </si>
  <si>
    <t xml:space="preserve">Action &amp; Adventure, Documentaries, Sports Movies</t>
  </si>
  <si>
    <t xml:space="preserve">Wormwood</t>
  </si>
  <si>
    <t xml:space="preserve">3 Türken &amp; ein Baby</t>
  </si>
  <si>
    <t xml:space="preserve">Sinan Akkuş</t>
  </si>
  <si>
    <t xml:space="preserve">December 15, 2016</t>
  </si>
  <si>
    <t xml:space="preserve">Cannabis</t>
  </si>
  <si>
    <t xml:space="preserve">Color of Woman</t>
  </si>
  <si>
    <t xml:space="preserve">Eddie - Strongman</t>
  </si>
  <si>
    <t xml:space="preserve">Matt Bell</t>
  </si>
  <si>
    <t xml:space="preserve">Famous in Ahmedabad</t>
  </si>
  <si>
    <t xml:space="preserve">Hardik Mehta</t>
  </si>
  <si>
    <t xml:space="preserve">Goodbye My Wife</t>
  </si>
  <si>
    <t xml:space="preserve">Happy And</t>
  </si>
  <si>
    <t xml:space="preserve">Heaven's Garden</t>
  </si>
  <si>
    <t xml:space="preserve">Humsafar</t>
  </si>
  <si>
    <t xml:space="preserve">Ice Fantasy</t>
  </si>
  <si>
    <t xml:space="preserve">Immortal Classic</t>
  </si>
  <si>
    <t xml:space="preserve">K-POP Extreme Survival</t>
  </si>
  <si>
    <t xml:space="preserve">Miss Panda &amp; Mr. Hedgehog</t>
  </si>
  <si>
    <t xml:space="preserve">Sadqay Tumhare</t>
  </si>
  <si>
    <t xml:space="preserve">Ehtesham Uddin</t>
  </si>
  <si>
    <t xml:space="preserve">Sand Storm</t>
  </si>
  <si>
    <t xml:space="preserve">Elite Zexer</t>
  </si>
  <si>
    <t xml:space="preserve">Israel, Germany, France</t>
  </si>
  <si>
    <t xml:space="preserve">Zindagi Gulzar Hai</t>
  </si>
  <si>
    <t xml:space="preserve">Pedro Morelli</t>
  </si>
  <si>
    <t xml:space="preserve">Brazil, Canada</t>
  </si>
  <si>
    <t xml:space="preserve">The Monster of Mangatiti</t>
  </si>
  <si>
    <t xml:space="preserve">John Banas</t>
  </si>
  <si>
    <t xml:space="preserve">December 15, 2015</t>
  </si>
  <si>
    <t xml:space="preserve">This Was Tomorrow</t>
  </si>
  <si>
    <t xml:space="preserve">Wim Bonte</t>
  </si>
  <si>
    <t xml:space="preserve">Hymn of Death</t>
  </si>
  <si>
    <t xml:space="preserve">December 14, 2018</t>
  </si>
  <si>
    <t xml:space="preserve">Inside the Real Narcos</t>
  </si>
  <si>
    <t xml:space="preserve">ROMA</t>
  </si>
  <si>
    <t xml:space="preserve">Samson</t>
  </si>
  <si>
    <t xml:space="preserve">Bruce MacDonald, Gabriel Sabloff</t>
  </si>
  <si>
    <t xml:space="preserve">Action &amp; Adventure, Dramas, Faith &amp; Spirituality</t>
  </si>
  <si>
    <t xml:space="preserve">Sunderland 'Til I Die</t>
  </si>
  <si>
    <t xml:space="preserve">The Fix</t>
  </si>
  <si>
    <t xml:space="preserve">The Innocent Man</t>
  </si>
  <si>
    <t xml:space="preserve">Tidelands</t>
  </si>
  <si>
    <t xml:space="preserve">At All Costs</t>
  </si>
  <si>
    <t xml:space="preserve">Mike Nicoll</t>
  </si>
  <si>
    <t xml:space="preserve">December 14, 2016</t>
  </si>
  <si>
    <t xml:space="preserve">6 Underground</t>
  </si>
  <si>
    <t xml:space="preserve">December 13, 2019</t>
  </si>
  <si>
    <t xml:space="preserve">A Trip to Jamaica</t>
  </si>
  <si>
    <t xml:space="preserve">Robert O. Peters</t>
  </si>
  <si>
    <t xml:space="preserve">My Wife and I</t>
  </si>
  <si>
    <t xml:space="preserve">Bunmi Ajakaiye</t>
  </si>
  <si>
    <t xml:space="preserve">Okafor's Law</t>
  </si>
  <si>
    <t xml:space="preserve">Seven and a half dates</t>
  </si>
  <si>
    <t xml:space="preserve">Biodun Stephen</t>
  </si>
  <si>
    <t xml:space="preserve">Silent Hill: Revelation</t>
  </si>
  <si>
    <t xml:space="preserve">M.J. Bassett</t>
  </si>
  <si>
    <t xml:space="preserve">Canada, France, United States</t>
  </si>
  <si>
    <t xml:space="preserve">The 9th Precinct</t>
  </si>
  <si>
    <t xml:space="preserve">Ding-Lin Wang</t>
  </si>
  <si>
    <t xml:space="preserve">Zero Hour</t>
  </si>
  <si>
    <t xml:space="preserve">Tokyo Trial</t>
  </si>
  <si>
    <t xml:space="preserve">Canada, Japan, Netherlands</t>
  </si>
  <si>
    <t xml:space="preserve">December 13, 2016</t>
  </si>
  <si>
    <t xml:space="preserve">Jack Whitehall: Christmas with My Father</t>
  </si>
  <si>
    <t xml:space="preserve">Richard van't Riet</t>
  </si>
  <si>
    <t xml:space="preserve">December 12, 2019</t>
  </si>
  <si>
    <t xml:space="preserve">Back Street Girls -GOKUDOLS-</t>
  </si>
  <si>
    <t xml:space="preserve">December 12, 2018</t>
  </si>
  <si>
    <t xml:space="preserve">Out of Many, One</t>
  </si>
  <si>
    <t xml:space="preserve">John Hoffman, Nanfu Wang</t>
  </si>
  <si>
    <t xml:space="preserve">35 min</t>
  </si>
  <si>
    <t xml:space="preserve">Judd Apatow: The Return</t>
  </si>
  <si>
    <t xml:space="preserve">December 12, 2017</t>
  </si>
  <si>
    <t xml:space="preserve">The Trip to Spain</t>
  </si>
  <si>
    <t xml:space="preserve">Michael Winterbottom</t>
  </si>
  <si>
    <t xml:space="preserve">The Unknown Girl</t>
  </si>
  <si>
    <t xml:space="preserve">Jean-Pierre Dardenne, Luc Dardenne</t>
  </si>
  <si>
    <t xml:space="preserve">Viceroy's House</t>
  </si>
  <si>
    <t xml:space="preserve">Gurinder Chadha</t>
  </si>
  <si>
    <t xml:space="preserve">United Kingdom, India, Sweden</t>
  </si>
  <si>
    <t xml:space="preserve">Blackfish</t>
  </si>
  <si>
    <t xml:space="preserve">Gabriela Cowperthwaite</t>
  </si>
  <si>
    <t xml:space="preserve">December 12, 2016</t>
  </si>
  <si>
    <t xml:space="preserve">Ricardo O'Farrill: Abrazo navideño</t>
  </si>
  <si>
    <t xml:space="preserve">31 min</t>
  </si>
  <si>
    <t xml:space="preserve">Get Santa</t>
  </si>
  <si>
    <t xml:space="preserve">December 12, 2014</t>
  </si>
  <si>
    <t xml:space="preserve">The Short Game</t>
  </si>
  <si>
    <t xml:space="preserve">Josh Greenbaum</t>
  </si>
  <si>
    <t xml:space="preserve">December 12, 2013</t>
  </si>
  <si>
    <t xml:space="preserve">Children &amp; Family Movies, Documentaries, Sports Movies</t>
  </si>
  <si>
    <t xml:space="preserve">The Sky Is Pink</t>
  </si>
  <si>
    <t xml:space="preserve">Shonali Bose</t>
  </si>
  <si>
    <t xml:space="preserve">India, United Kingdom, Canada, United States</t>
  </si>
  <si>
    <t xml:space="preserve">December 11, 2019</t>
  </si>
  <si>
    <t xml:space="preserve">Standoff</t>
  </si>
  <si>
    <t xml:space="preserve">Adam Alleca</t>
  </si>
  <si>
    <t xml:space="preserve">December 11, 2018</t>
  </si>
  <si>
    <t xml:space="preserve">Vir Das: Losing It</t>
  </si>
  <si>
    <t xml:space="preserve">Dawai Asmara</t>
  </si>
  <si>
    <t xml:space="preserve">December 11, 2017</t>
  </si>
  <si>
    <t xml:space="preserve">Red Christmas</t>
  </si>
  <si>
    <t xml:space="preserve">Craig Anderson</t>
  </si>
  <si>
    <t xml:space="preserve">The Hatred</t>
  </si>
  <si>
    <t xml:space="preserve">Michael G. Kehoe</t>
  </si>
  <si>
    <t xml:space="preserve">Asperger's Are Us</t>
  </si>
  <si>
    <t xml:space="preserve">December 11, 2016</t>
  </si>
  <si>
    <t xml:space="preserve">The Ridiculous 6</t>
  </si>
  <si>
    <t xml:space="preserve">December 11, 2015</t>
  </si>
  <si>
    <t xml:space="preserve">Good and Prosperous</t>
  </si>
  <si>
    <t xml:space="preserve">December 10, 2019</t>
  </si>
  <si>
    <t xml:space="preserve">Michelle Wolf: Joke Show</t>
  </si>
  <si>
    <t xml:space="preserve">Gehenna: Where Death Lives</t>
  </si>
  <si>
    <t xml:space="preserve">Hiroshi Katagiri</t>
  </si>
  <si>
    <t xml:space="preserve">December 10, 2018</t>
  </si>
  <si>
    <t xml:space="preserve">Goldstone</t>
  </si>
  <si>
    <t xml:space="preserve">Ivan Sen</t>
  </si>
  <si>
    <t xml:space="preserve">Susanne Bartsch: On Top</t>
  </si>
  <si>
    <t xml:space="preserve">Anthony Caronna, Alexander Smith</t>
  </si>
  <si>
    <t xml:space="preserve">Trotsky</t>
  </si>
  <si>
    <t xml:space="preserve">Nobel</t>
  </si>
  <si>
    <t xml:space="preserve">December 10, 2016</t>
  </si>
  <si>
    <t xml:space="preserve">Sons of Ben</t>
  </si>
  <si>
    <t xml:space="preserve">Jeffrey C. Bell</t>
  </si>
  <si>
    <t xml:space="preserve">A Cinderella Story: Christmas Wish</t>
  </si>
  <si>
    <t xml:space="preserve">Michelle Johnston</t>
  </si>
  <si>
    <t xml:space="preserve">December 1, 2019</t>
  </si>
  <si>
    <t xml:space="preserve">A Night at the Roxbury</t>
  </si>
  <si>
    <t xml:space="preserve">Austin Powers in Goldmember</t>
  </si>
  <si>
    <t xml:space="preserve">Austin Powers: International Man of Mystery</t>
  </si>
  <si>
    <t xml:space="preserve">Austin Powers: The Spy Who Shagged Me</t>
  </si>
  <si>
    <t xml:space="preserve">Baby Dolls</t>
  </si>
  <si>
    <t xml:space="preserve">Vijay Kumar Arora</t>
  </si>
  <si>
    <t xml:space="preserve">Cut Bank</t>
  </si>
  <si>
    <t xml:space="preserve">Matt Shakman</t>
  </si>
  <si>
    <t xml:space="preserve">Dead Kids</t>
  </si>
  <si>
    <t xml:space="preserve">High End Yaariyan</t>
  </si>
  <si>
    <t xml:space="preserve">Hustle &amp; Flow</t>
  </si>
  <si>
    <t xml:space="preserve">Iron Fists and Kung-Fu Kicks</t>
  </si>
  <si>
    <t xml:space="preserve">Serge Ou</t>
  </si>
  <si>
    <t xml:space="preserve">Jindua</t>
  </si>
  <si>
    <t xml:space="preserve">Lakeeran</t>
  </si>
  <si>
    <t xml:space="preserve">Mahi NRI</t>
  </si>
  <si>
    <t xml:space="preserve">Gaurav Bavdankar</t>
  </si>
  <si>
    <t xml:space="preserve">Martin Lawrence Live: Runteldat</t>
  </si>
  <si>
    <t xml:space="preserve">David Raynr</t>
  </si>
  <si>
    <t xml:space="preserve">Morphle</t>
  </si>
  <si>
    <t xml:space="preserve">Primal Fear</t>
  </si>
  <si>
    <t xml:space="preserve">Qismat</t>
  </si>
  <si>
    <t xml:space="preserve">Jagdeep Sidhu</t>
  </si>
  <si>
    <t xml:space="preserve">Searching for Sugar Man</t>
  </si>
  <si>
    <t xml:space="preserve">Malik Bendjelloul</t>
  </si>
  <si>
    <t xml:space="preserve">Sweden, United Kingdom, Finland</t>
  </si>
  <si>
    <t xml:space="preserve">Suits</t>
  </si>
  <si>
    <t xml:space="preserve">Sweet Virginia</t>
  </si>
  <si>
    <t xml:space="preserve">Jamie M. Dagg</t>
  </si>
  <si>
    <t xml:space="preserve">Tee Shot: Ariya Jutanugarn</t>
  </si>
  <si>
    <t xml:space="preserve">Tanawat Aiemjinda</t>
  </si>
  <si>
    <t xml:space="preserve">The Adventures of Sharkboy and Lavagirl</t>
  </si>
  <si>
    <t xml:space="preserve">The Bachelor</t>
  </si>
  <si>
    <t xml:space="preserve">The Departed</t>
  </si>
  <si>
    <t xml:space="preserve">The Tribes of Palos Verdes</t>
  </si>
  <si>
    <t xml:space="preserve">Brendan Malloy, Emmett Malloy</t>
  </si>
  <si>
    <t xml:space="preserve">Thug Life</t>
  </si>
  <si>
    <t xml:space="preserve">Mukesh Vohra</t>
  </si>
  <si>
    <t xml:space="preserve">Wandering Stars</t>
  </si>
  <si>
    <t xml:space="preserve">Syrine Boulanouar, Nekfeu</t>
  </si>
  <si>
    <t xml:space="preserve">Why Me?</t>
  </si>
  <si>
    <t xml:space="preserve">Tudor Giurgiu</t>
  </si>
  <si>
    <t xml:space="preserve">Romania, Bulgaria, Hungary</t>
  </si>
  <si>
    <t xml:space="preserve">21 Sarfarosh: Saragarhi 1897</t>
  </si>
  <si>
    <t xml:space="preserve">December 1, 2018</t>
  </si>
  <si>
    <t xml:space="preserve">A Beautiful Life</t>
  </si>
  <si>
    <t xml:space="preserve">Andrew Lau Wai-Keung</t>
  </si>
  <si>
    <t xml:space="preserve">Accident</t>
  </si>
  <si>
    <t xml:space="preserve">Cheang Pou Soi</t>
  </si>
  <si>
    <t xml:space="preserve">Ayotzinapa, el paso de la tortuga</t>
  </si>
  <si>
    <t xml:space="preserve">Enrique García Meza</t>
  </si>
  <si>
    <t xml:space="preserve">Battle</t>
  </si>
  <si>
    <t xml:space="preserve">Katarina Launing</t>
  </si>
  <si>
    <t xml:space="preserve">Norway, Denmark, Netherlands, Sweden</t>
  </si>
  <si>
    <t xml:space="preserve">Black Butler</t>
  </si>
  <si>
    <t xml:space="preserve">Blind Detective</t>
  </si>
  <si>
    <t xml:space="preserve">Bobby Robson: More Than a Manager</t>
  </si>
  <si>
    <t xml:space="preserve">Gabriel Clarke, Torquil Jones</t>
  </si>
  <si>
    <t xml:space="preserve">Break Up 100</t>
  </si>
  <si>
    <t xml:space="preserve">Lawrence Cheng</t>
  </si>
  <si>
    <t xml:space="preserve">Chal Bhaag</t>
  </si>
  <si>
    <t xml:space="preserve">Prakash Balwant Saini</t>
  </si>
  <si>
    <t xml:space="preserve">Crossroads: One Two Jaga</t>
  </si>
  <si>
    <t xml:space="preserve">Nam Ron</t>
  </si>
  <si>
    <t xml:space="preserve">Don't Go Breaking My Heart</t>
  </si>
  <si>
    <t xml:space="preserve">Don't Go Breaking My Heart 2</t>
  </si>
  <si>
    <t xml:space="preserve">Faraar</t>
  </si>
  <si>
    <t xml:space="preserve">Haunted House</t>
  </si>
  <si>
    <t xml:space="preserve">Helios</t>
  </si>
  <si>
    <t xml:space="preserve">Leung Lok Man, Luk Kim-ching</t>
  </si>
  <si>
    <t xml:space="preserve">Hong Kong, China, United States</t>
  </si>
  <si>
    <t xml:space="preserve">Hellboy</t>
  </si>
  <si>
    <t xml:space="preserve">Line Walker</t>
  </si>
  <si>
    <t xml:space="preserve">Jazz Boon</t>
  </si>
  <si>
    <t xml:space="preserve">Little Singham</t>
  </si>
  <si>
    <t xml:space="preserve">Little Singham aur Kaal ka Mahajaal</t>
  </si>
  <si>
    <t xml:space="preserve">Look for a Star</t>
  </si>
  <si>
    <t xml:space="preserve">Man vs Wild with Sunny Leone</t>
  </si>
  <si>
    <t xml:space="preserve">International TV Shows, Reality TV, TV Action &amp; Adventure</t>
  </si>
  <si>
    <t xml:space="preserve">Oddbods: The Festive Menace</t>
  </si>
  <si>
    <t xml:space="preserve">Once a Gangster</t>
  </si>
  <si>
    <t xml:space="preserve">Felix Chong</t>
  </si>
  <si>
    <t xml:space="preserve">Power Paandi</t>
  </si>
  <si>
    <t xml:space="preserve">Dhanush</t>
  </si>
  <si>
    <t xml:space="preserve">Roll With Me</t>
  </si>
  <si>
    <t xml:space="preserve">SDU: Sex Duties Unit</t>
  </si>
  <si>
    <t xml:space="preserve">Gary Mak</t>
  </si>
  <si>
    <t xml:space="preserve">Set Off</t>
  </si>
  <si>
    <t xml:space="preserve">Liu Jiang</t>
  </si>
  <si>
    <t xml:space="preserve">Seven Pounds</t>
  </si>
  <si>
    <t xml:space="preserve">The Little Mermaid</t>
  </si>
  <si>
    <t xml:space="preserve">Blake Harris, Chris Bouchard</t>
  </si>
  <si>
    <t xml:space="preserve">A StoryBots Christmas</t>
  </si>
  <si>
    <t xml:space="preserve">Evan Spiridellis, Jeff Gill</t>
  </si>
  <si>
    <t xml:space="preserve">December 1, 2017</t>
  </si>
  <si>
    <t xml:space="preserve">Atomic Puppet</t>
  </si>
  <si>
    <t xml:space="preserve">Canada, France</t>
  </si>
  <si>
    <t xml:space="preserve">Crime TV Shows, Kids' TV, TV Comedies</t>
  </si>
  <si>
    <t xml:space="preserve">Bhouri</t>
  </si>
  <si>
    <t xml:space="preserve">Jasbir Bijendra Bhati</t>
  </si>
  <si>
    <t xml:space="preserve">Cheapest Weddings</t>
  </si>
  <si>
    <t xml:space="preserve">Dhia Sofea</t>
  </si>
  <si>
    <t xml:space="preserve">Diana: In Her Own Words</t>
  </si>
  <si>
    <t xml:space="preserve">Dream Boat</t>
  </si>
  <si>
    <t xml:space="preserve">Tristan Ferland Milewski</t>
  </si>
  <si>
    <t xml:space="preserve">DreamWorks Home: For the Holidays</t>
  </si>
  <si>
    <t xml:space="preserve">Eh Janam Tumhare Lekhe</t>
  </si>
  <si>
    <t xml:space="preserve">Harjit Singh</t>
  </si>
  <si>
    <t xml:space="preserve">Forbidden Games: The Justin Fashanu Story</t>
  </si>
  <si>
    <t xml:space="preserve">Jon Carey, Adam Darke</t>
  </si>
  <si>
    <t xml:space="preserve">Hisss</t>
  </si>
  <si>
    <t xml:space="preserve">Jennifer Lynch</t>
  </si>
  <si>
    <t xml:space="preserve">Kantaro: The Sweet Tooth Salaryman</t>
  </si>
  <si>
    <t xml:space="preserve">Monster Island</t>
  </si>
  <si>
    <t xml:space="preserve">Leopoldo Aguilar</t>
  </si>
  <si>
    <t xml:space="preserve">India, Mexico</t>
  </si>
  <si>
    <t xml:space="preserve">My Happy Family</t>
  </si>
  <si>
    <t xml:space="preserve">Nana Ekvtimishvili, Simon Gross</t>
  </si>
  <si>
    <t xml:space="preserve">Georgia, Germany, France</t>
  </si>
  <si>
    <t xml:space="preserve">Oggy and the Cockroaches</t>
  </si>
  <si>
    <t xml:space="preserve">Olivier Jean-Marie</t>
  </si>
  <si>
    <t xml:space="preserve">Padamu Aku Bersujud</t>
  </si>
  <si>
    <t xml:space="preserve">Playing for Time</t>
  </si>
  <si>
    <t xml:space="preserve">Daniel Mann, Joseph Sargent</t>
  </si>
  <si>
    <t xml:space="preserve">Prague</t>
  </si>
  <si>
    <t xml:space="preserve">Ashish R. Shukla</t>
  </si>
  <si>
    <t xml:space="preserve">India, Switzerland</t>
  </si>
  <si>
    <t xml:space="preserve">Sardaar ji</t>
  </si>
  <si>
    <t xml:space="preserve">Tezz</t>
  </si>
  <si>
    <t xml:space="preserve">The Jaime Maussan Show</t>
  </si>
  <si>
    <t xml:space="preserve">The Legend of 420</t>
  </si>
  <si>
    <t xml:space="preserve">Peter Spirer</t>
  </si>
  <si>
    <t xml:space="preserve">The Worthy</t>
  </si>
  <si>
    <t xml:space="preserve">Ali F. Mostafa</t>
  </si>
  <si>
    <t xml:space="preserve">United Arab Emirates, Romania</t>
  </si>
  <si>
    <t xml:space="preserve">Voyeur</t>
  </si>
  <si>
    <t xml:space="preserve">Myles Kane, Josh Koury</t>
  </si>
  <si>
    <t xml:space="preserve">Zig &amp; Sharko</t>
  </si>
  <si>
    <t xml:space="preserve">#Rucker50</t>
  </si>
  <si>
    <t xml:space="preserve">Robert McCullough Jr.</t>
  </si>
  <si>
    <t xml:space="preserve">December 1, 2016</t>
  </si>
  <si>
    <t xml:space="preserve">1000 Rupee Note</t>
  </si>
  <si>
    <t xml:space="preserve">Shrihari Sathe</t>
  </si>
  <si>
    <t xml:space="preserve">Across Grace Alley</t>
  </si>
  <si>
    <t xml:space="preserve">Ralph Macchio</t>
  </si>
  <si>
    <t xml:space="preserve">Asu Mare 2</t>
  </si>
  <si>
    <t xml:space="preserve">Ricardo Maldonado</t>
  </si>
  <si>
    <t xml:space="preserve">Back to 1989</t>
  </si>
  <si>
    <t xml:space="preserve">Bromance</t>
  </si>
  <si>
    <t xml:space="preserve">Chill with Bob Ross</t>
  </si>
  <si>
    <t xml:space="preserve">Gargantia on the Verdurous Planet</t>
  </si>
  <si>
    <t xml:space="preserve">Interrogation</t>
  </si>
  <si>
    <t xml:space="preserve">Vetrimaaran</t>
  </si>
  <si>
    <t xml:space="preserve">K</t>
  </si>
  <si>
    <t xml:space="preserve">Merlí</t>
  </si>
  <si>
    <t xml:space="preserve">Natural Selection</t>
  </si>
  <si>
    <t xml:space="preserve">Chad L. Scheifele</t>
  </si>
  <si>
    <t xml:space="preserve">Nura: Rise of the Yokai Clan: Demon Capital</t>
  </si>
  <si>
    <t xml:space="preserve">Rainbow Time</t>
  </si>
  <si>
    <t xml:space="preserve">Linas Phillips</t>
  </si>
  <si>
    <t xml:space="preserve">Refresh Man</t>
  </si>
  <si>
    <t xml:space="preserve">Richard Pryor: Live in Concert</t>
  </si>
  <si>
    <t xml:space="preserve">Jeff Margolis</t>
  </si>
  <si>
    <t xml:space="preserve">Tellur Aliens</t>
  </si>
  <si>
    <t xml:space="preserve">Einar Gabbassov</t>
  </si>
  <si>
    <t xml:space="preserve">United States, Kazakhstan</t>
  </si>
  <si>
    <t xml:space="preserve">The Irish Mob</t>
  </si>
  <si>
    <t xml:space="preserve">The Violin Player</t>
  </si>
  <si>
    <t xml:space="preserve">Bauddhayan Mukherji</t>
  </si>
  <si>
    <t xml:space="preserve">Yo-Kai Watch: The Movie</t>
  </si>
  <si>
    <t xml:space="preserve">Mark Risley</t>
  </si>
  <si>
    <t xml:space="preserve">Atelier</t>
  </si>
  <si>
    <t xml:space="preserve">December 1, 2015</t>
  </si>
  <si>
    <t xml:space="preserve">My Little Pony Equestria Girls: Friendship Games</t>
  </si>
  <si>
    <t xml:space="preserve">Ishi Rudell, Jayson Thiessen</t>
  </si>
  <si>
    <t xml:space="preserve">Tyke Elephant Outlaw</t>
  </si>
  <si>
    <t xml:space="preserve">Susan Lambert, Stefan Moore</t>
  </si>
  <si>
    <t xml:space="preserve">Kung Fu Panda: Holiday</t>
  </si>
  <si>
    <t xml:space="preserve">Tim Johnson</t>
  </si>
  <si>
    <t xml:space="preserve">December 1, 2012</t>
  </si>
  <si>
    <t xml:space="preserve">Colin Quinn: Red State Blue State</t>
  </si>
  <si>
    <t xml:space="preserve">Robert Moresco</t>
  </si>
  <si>
    <t xml:space="preserve">August 9, 2019</t>
  </si>
  <si>
    <t xml:space="preserve">Jaoon Kahan Bata Ae Dil</t>
  </si>
  <si>
    <t xml:space="preserve">Aadish Keluskar</t>
  </si>
  <si>
    <t xml:space="preserve">Rocko's Modern Life: Static Cling</t>
  </si>
  <si>
    <t xml:space="preserve">Joe Murray, Cosmo Segurson</t>
  </si>
  <si>
    <t xml:space="preserve">Children &amp; Family Movies, Comedies, LGBTQ Movies</t>
  </si>
  <si>
    <t xml:space="preserve">Sintonia</t>
  </si>
  <si>
    <t xml:space="preserve">The Family</t>
  </si>
  <si>
    <t xml:space="preserve">Jesse Moss</t>
  </si>
  <si>
    <t xml:space="preserve">The InBESTigators</t>
  </si>
  <si>
    <t xml:space="preserve">Tiny House Nation</t>
  </si>
  <si>
    <t xml:space="preserve">Westside vs. the World</t>
  </si>
  <si>
    <t xml:space="preserve">Michael Fahey</t>
  </si>
  <si>
    <t xml:space="preserve">Perdida</t>
  </si>
  <si>
    <t xml:space="preserve">Alejandro Montiel</t>
  </si>
  <si>
    <t xml:space="preserve">August 9, 2018</t>
  </si>
  <si>
    <t xml:space="preserve">The Most Unknown</t>
  </si>
  <si>
    <t xml:space="preserve">Ian Cheney</t>
  </si>
  <si>
    <t xml:space="preserve">Black Site Delta</t>
  </si>
  <si>
    <t xml:space="preserve">Jesse Gustafson</t>
  </si>
  <si>
    <t xml:space="preserve">August 9, 2017</t>
  </si>
  <si>
    <t xml:space="preserve">Bad Guys</t>
  </si>
  <si>
    <t xml:space="preserve">August 8, 2019</t>
  </si>
  <si>
    <t xml:space="preserve">Dollar</t>
  </si>
  <si>
    <t xml:space="preserve">Judy Moody and the Not Bummer Summer</t>
  </si>
  <si>
    <t xml:space="preserve">Let's Eat 2</t>
  </si>
  <si>
    <t xml:space="preserve">Malaysia, Singapore, Hong Kong</t>
  </si>
  <si>
    <t xml:space="preserve">Let’s Eat</t>
  </si>
  <si>
    <t xml:space="preserve">Misaeng</t>
  </si>
  <si>
    <t xml:space="preserve">Reply 1994</t>
  </si>
  <si>
    <t xml:space="preserve">Shin Won-ho</t>
  </si>
  <si>
    <t xml:space="preserve">Reply 1997</t>
  </si>
  <si>
    <t xml:space="preserve">Roll Red Roll</t>
  </si>
  <si>
    <t xml:space="preserve">Nancy Schwartzman</t>
  </si>
  <si>
    <t xml:space="preserve">St. Agatha</t>
  </si>
  <si>
    <t xml:space="preserve">Darren Lynn Bousman</t>
  </si>
  <si>
    <t xml:space="preserve">The Naked Director</t>
  </si>
  <si>
    <t xml:space="preserve">Wu Assassins</t>
  </si>
  <si>
    <t xml:space="preserve">TV Action &amp; Adventure, TV Sci-Fi &amp; Fantasy</t>
  </si>
  <si>
    <t xml:space="preserve">Enemigo íntimo</t>
  </si>
  <si>
    <t xml:space="preserve">August 8, 2018</t>
  </si>
  <si>
    <t xml:space="preserve">Pretty Man</t>
  </si>
  <si>
    <t xml:space="preserve">Denis Leary: No Cure For Cancer</t>
  </si>
  <si>
    <t xml:space="preserve">August 8, 2017</t>
  </si>
  <si>
    <t xml:space="preserve">Badla</t>
  </si>
  <si>
    <t xml:space="preserve">August 7, 2019</t>
  </si>
  <si>
    <t xml:space="preserve">The Pursuit</t>
  </si>
  <si>
    <t xml:space="preserve">John Papola</t>
  </si>
  <si>
    <t xml:space="preserve">Theo Von: No Offense</t>
  </si>
  <si>
    <t xml:space="preserve">Baahubali 2: The Conclusion (Hindi Version)</t>
  </si>
  <si>
    <t xml:space="preserve">August 7, 2017</t>
  </si>
  <si>
    <t xml:space="preserve">Baahubali 2: The Conclusion (Malayalam Version)</t>
  </si>
  <si>
    <t xml:space="preserve">Baahubali 2: The Conclusion (Tamil Version)</t>
  </si>
  <si>
    <t xml:space="preserve">Baahubali: The Beginning (Hindi Version)</t>
  </si>
  <si>
    <t xml:space="preserve">Baahubali: The Beginning (Malayalam Version)</t>
  </si>
  <si>
    <t xml:space="preserve">Baahubali: The Beginning (Tamil Version)</t>
  </si>
  <si>
    <t xml:space="preserve">Mission: Destroy Love</t>
  </si>
  <si>
    <t xml:space="preserve">Osman Ali</t>
  </si>
  <si>
    <t xml:space="preserve">The Black Room</t>
  </si>
  <si>
    <t xml:space="preserve">Rolfe Kanefsky</t>
  </si>
  <si>
    <t xml:space="preserve">Crazy Beautiful You</t>
  </si>
  <si>
    <t xml:space="preserve">August 6, 2019</t>
  </si>
  <si>
    <t xml:space="preserve">I'm Brent Morin</t>
  </si>
  <si>
    <t xml:space="preserve">Jim Jefferies : BARE</t>
  </si>
  <si>
    <t xml:space="preserve">Professor Mack</t>
  </si>
  <si>
    <t xml:space="preserve">Screwball</t>
  </si>
  <si>
    <t xml:space="preserve">Billy Corben</t>
  </si>
  <si>
    <t xml:space="preserve">Sebastian Maniscalco: Why Would You Do That</t>
  </si>
  <si>
    <t xml:space="preserve">Joe DeMaio</t>
  </si>
  <si>
    <t xml:space="preserve">Jake's Buccaneer Blast</t>
  </si>
  <si>
    <t xml:space="preserve">August 6, 2017</t>
  </si>
  <si>
    <t xml:space="preserve">LEGO Marvel Super Heroes: Avengers Reassembled!</t>
  </si>
  <si>
    <t xml:space="preserve">Rob Silvestri</t>
  </si>
  <si>
    <t xml:space="preserve">Alarmoty in the Land of Fire</t>
  </si>
  <si>
    <t xml:space="preserve">August 5, 2019</t>
  </si>
  <si>
    <t xml:space="preserve">Detention Letter</t>
  </si>
  <si>
    <t xml:space="preserve">Enter the Anime</t>
  </si>
  <si>
    <t xml:space="preserve">Alex Burunova</t>
  </si>
  <si>
    <t xml:space="preserve">No One Will Ever Know</t>
  </si>
  <si>
    <t xml:space="preserve">Jesús Torres Torres</t>
  </si>
  <si>
    <t xml:space="preserve">On Children</t>
  </si>
  <si>
    <t xml:space="preserve">August 5, 2018</t>
  </si>
  <si>
    <t xml:space="preserve">Enter the Warriors Gate</t>
  </si>
  <si>
    <t xml:space="preserve">Matthias Hoene</t>
  </si>
  <si>
    <t xml:space="preserve">France, China, Canada</t>
  </si>
  <si>
    <t xml:space="preserve">August 5, 2017</t>
  </si>
  <si>
    <t xml:space="preserve">Lady Bloodfight</t>
  </si>
  <si>
    <t xml:space="preserve">Chris Nahon</t>
  </si>
  <si>
    <t xml:space="preserve">Operation Mekong</t>
  </si>
  <si>
    <t xml:space="preserve">Sky on Fire</t>
  </si>
  <si>
    <t xml:space="preserve">Ringo Lam</t>
  </si>
  <si>
    <t xml:space="preserve">David Cross: Making America Great Again!</t>
  </si>
  <si>
    <t xml:space="preserve">Alex Coletti</t>
  </si>
  <si>
    <t xml:space="preserve">August 5, 2016</t>
  </si>
  <si>
    <t xml:space="preserve">The Little Prince</t>
  </si>
  <si>
    <t xml:space="preserve">Mark Osborne</t>
  </si>
  <si>
    <t xml:space="preserve">Yellowbird</t>
  </si>
  <si>
    <t xml:space="preserve">Christian De Vita</t>
  </si>
  <si>
    <t xml:space="preserve">August 5, 2015</t>
  </si>
  <si>
    <t xml:space="preserve">2 States</t>
  </si>
  <si>
    <t xml:space="preserve">Abhishek Varman</t>
  </si>
  <si>
    <t xml:space="preserve">August 4, 2018</t>
  </si>
  <si>
    <t xml:space="preserve">Baaghi</t>
  </si>
  <si>
    <t xml:space="preserve">Sabir Khan</t>
  </si>
  <si>
    <t xml:space="preserve">Brij Mohan Amar Rahe</t>
  </si>
  <si>
    <t xml:space="preserve">Nikhil Nagesh Bhat</t>
  </si>
  <si>
    <t xml:space="preserve">Flavors of Youth: International Version</t>
  </si>
  <si>
    <t xml:space="preserve">Xiaoxing Yi, Yoshitaka Takeuchi, Haoling Li</t>
  </si>
  <si>
    <t xml:space="preserve">China, Japan</t>
  </si>
  <si>
    <t xml:space="preserve">Alan Saldaña: Mi vida de pobre</t>
  </si>
  <si>
    <t xml:space="preserve">August 4, 2017</t>
  </si>
  <si>
    <t xml:space="preserve">Dino Hunt</t>
  </si>
  <si>
    <t xml:space="preserve">Icarus</t>
  </si>
  <si>
    <t xml:space="preserve">Bryan Fogel</t>
  </si>
  <si>
    <t xml:space="preserve">Message from the King</t>
  </si>
  <si>
    <t xml:space="preserve">Fabrice Du Welz</t>
  </si>
  <si>
    <t xml:space="preserve">United Kingdom, France, Belgium, United States</t>
  </si>
  <si>
    <t xml:space="preserve">Wet Hot American Summer: Ten Years Later</t>
  </si>
  <si>
    <t xml:space="preserve">Luo Bao Bei</t>
  </si>
  <si>
    <t xml:space="preserve">China, United Kingdom</t>
  </si>
  <si>
    <t xml:space="preserve">August 31, 2019</t>
  </si>
  <si>
    <t xml:space="preserve">Cathedral of the Sea</t>
  </si>
  <si>
    <t xml:space="preserve">August 31, 2018</t>
  </si>
  <si>
    <t xml:space="preserve">Chennai Express</t>
  </si>
  <si>
    <t xml:space="preserve">Inside the Criminal Mind</t>
  </si>
  <si>
    <t xml:space="preserve">Justice, My Foot!</t>
  </si>
  <si>
    <t xml:space="preserve">Paradise PD</t>
  </si>
  <si>
    <t xml:space="preserve">Prince Charming</t>
  </si>
  <si>
    <t xml:space="preserve">Wong Jing</t>
  </si>
  <si>
    <t xml:space="preserve">The Laws of Thermodynamics</t>
  </si>
  <si>
    <t xml:space="preserve">Mateo Gil</t>
  </si>
  <si>
    <t xml:space="preserve">Undercover Law</t>
  </si>
  <si>
    <t xml:space="preserve">Yeh Meri Family</t>
  </si>
  <si>
    <t xml:space="preserve">The Eichmann Show</t>
  </si>
  <si>
    <t xml:space="preserve">August 31, 2017</t>
  </si>
  <si>
    <t xml:space="preserve">Back to School</t>
  </si>
  <si>
    <t xml:space="preserve">Rémy Four, Julien War</t>
  </si>
  <si>
    <t xml:space="preserve">August 30, 2019</t>
  </si>
  <si>
    <t xml:space="preserve">CAROLE &amp; TUESDAY</t>
  </si>
  <si>
    <t xml:space="preserve">Feo pero sabroso</t>
  </si>
  <si>
    <t xml:space="preserve">Mi amigo Alexis</t>
  </si>
  <si>
    <t xml:space="preserve">Styling Hollywood</t>
  </si>
  <si>
    <t xml:space="preserve">The A List</t>
  </si>
  <si>
    <t xml:space="preserve">The Dark Crystal: Age of Resistance</t>
  </si>
  <si>
    <t xml:space="preserve">The Good Bandit</t>
  </si>
  <si>
    <t xml:space="preserve">Unbridled</t>
  </si>
  <si>
    <t xml:space="preserve">Jota Linares</t>
  </si>
  <si>
    <t xml:space="preserve">The Surrounding Game</t>
  </si>
  <si>
    <t xml:space="preserve">Will Lockhart, Cole D. Pruitt</t>
  </si>
  <si>
    <t xml:space="preserve">August 30, 2018</t>
  </si>
  <si>
    <t xml:space="preserve">Misfit</t>
  </si>
  <si>
    <t xml:space="preserve">Erwin van den Eshof</t>
  </si>
  <si>
    <t xml:space="preserve">August 3, 2019</t>
  </si>
  <si>
    <t xml:space="preserve">Cocaine Coast</t>
  </si>
  <si>
    <t xml:space="preserve">August 3, 2018</t>
  </si>
  <si>
    <t xml:space="preserve">I AM A KILLER</t>
  </si>
  <si>
    <t xml:space="preserve">Like Father</t>
  </si>
  <si>
    <t xml:space="preserve">Lauren Miller Rogen</t>
  </si>
  <si>
    <t xml:space="preserve">Marching Orders</t>
  </si>
  <si>
    <t xml:space="preserve">The Invisible Guardian</t>
  </si>
  <si>
    <t xml:space="preserve">Spain, Germany</t>
  </si>
  <si>
    <t xml:space="preserve">August 3, 2017</t>
  </si>
  <si>
    <t xml:space="preserve">Expo</t>
  </si>
  <si>
    <t xml:space="preserve">Joseph Mbah</t>
  </si>
  <si>
    <t xml:space="preserve">August 29, 2019</t>
  </si>
  <si>
    <t xml:space="preserve">Falling Inn Love</t>
  </si>
  <si>
    <t xml:space="preserve">Kardec</t>
  </si>
  <si>
    <t xml:space="preserve">Wagner de Assis</t>
  </si>
  <si>
    <t xml:space="preserve">Starred Up</t>
  </si>
  <si>
    <t xml:space="preserve">Be-Be-Bears</t>
  </si>
  <si>
    <t xml:space="preserve">August 29, 2018</t>
  </si>
  <si>
    <t xml:space="preserve">Inequality for All</t>
  </si>
  <si>
    <t xml:space="preserve">Bring It On: Worldwide Showdown</t>
  </si>
  <si>
    <t xml:space="preserve">Robert Adetuyi</t>
  </si>
  <si>
    <t xml:space="preserve">August 29, 2017</t>
  </si>
  <si>
    <t xml:space="preserve">Ryan Hamilton: Happy Face</t>
  </si>
  <si>
    <t xml:space="preserve">Travis Scott: Look Mom I Can Fly</t>
  </si>
  <si>
    <t xml:space="preserve">White Trash Tyler</t>
  </si>
  <si>
    <t xml:space="preserve">August 28, 2019</t>
  </si>
  <si>
    <t xml:space="preserve">Conjuring Spirit</t>
  </si>
  <si>
    <t xml:space="preserve">Van M. Pham</t>
  </si>
  <si>
    <t xml:space="preserve">August 28, 2018</t>
  </si>
  <si>
    <t xml:space="preserve">Naam Shabana</t>
  </si>
  <si>
    <t xml:space="preserve">Qarib Qarib Singlle</t>
  </si>
  <si>
    <t xml:space="preserve">Spyder</t>
  </si>
  <si>
    <t xml:space="preserve">3 Generations</t>
  </si>
  <si>
    <t xml:space="preserve">Gaby Dellal</t>
  </si>
  <si>
    <t xml:space="preserve">August 28, 2017</t>
  </si>
  <si>
    <t xml:space="preserve">A Leaf of Faith</t>
  </si>
  <si>
    <t xml:space="preserve">Chris Bell</t>
  </si>
  <si>
    <t xml:space="preserve">August 27, 2018</t>
  </si>
  <si>
    <t xml:space="preserve">Chicken Soup for the Soul's Being Dad</t>
  </si>
  <si>
    <t xml:space="preserve">Menorca</t>
  </si>
  <si>
    <t xml:space="preserve">John Barnard</t>
  </si>
  <si>
    <t xml:space="preserve">Canada, Spain</t>
  </si>
  <si>
    <t xml:space="preserve">August 27, 2017</t>
  </si>
  <si>
    <t xml:space="preserve">Dave Chappelle: Sticks &amp; Stones</t>
  </si>
  <si>
    <t xml:space="preserve">August 26, 2019</t>
  </si>
  <si>
    <t xml:space="preserve">May We Chat</t>
  </si>
  <si>
    <t xml:space="preserve">Philip Yung</t>
  </si>
  <si>
    <t xml:space="preserve">August 26, 2018</t>
  </si>
  <si>
    <t xml:space="preserve">Buster's Mal Heart</t>
  </si>
  <si>
    <t xml:space="preserve">Sarah Adina Smith</t>
  </si>
  <si>
    <t xml:space="preserve">August 26, 2017</t>
  </si>
  <si>
    <t xml:space="preserve">Madre</t>
  </si>
  <si>
    <t xml:space="preserve">Aaron Burns</t>
  </si>
  <si>
    <t xml:space="preserve">Blue Is the Warmest Color</t>
  </si>
  <si>
    <t xml:space="preserve">Abdellatif Kechiche</t>
  </si>
  <si>
    <t xml:space="preserve">France, Belgium, Spain</t>
  </si>
  <si>
    <t xml:space="preserve">August 26, 2016</t>
  </si>
  <si>
    <t xml:space="preserve">180 min</t>
  </si>
  <si>
    <t xml:space="preserve">Jeff Foxworthy and Larry the Cable Guy: We’ve Been Thinking...</t>
  </si>
  <si>
    <t xml:space="preserve">XOXO</t>
  </si>
  <si>
    <t xml:space="preserve">Christopher Louie</t>
  </si>
  <si>
    <t xml:space="preserve">One Last Thing</t>
  </si>
  <si>
    <t xml:space="preserve">Tim Rouhana</t>
  </si>
  <si>
    <t xml:space="preserve">August 25, 2019</t>
  </si>
  <si>
    <t xml:space="preserve">Hank: Five Years from the Brink</t>
  </si>
  <si>
    <t xml:space="preserve">August 25, 2018</t>
  </si>
  <si>
    <t xml:space="preserve">Head On</t>
  </si>
  <si>
    <t xml:space="preserve">Ana Kokkinos</t>
  </si>
  <si>
    <t xml:space="preserve">InuYasha the Movie: Affections Touching Across Time</t>
  </si>
  <si>
    <t xml:space="preserve">Maria Bamford: The Special Special Special</t>
  </si>
  <si>
    <t xml:space="preserve">Jordan Brady</t>
  </si>
  <si>
    <t xml:space="preserve">Nymphomaniac: Volume II</t>
  </si>
  <si>
    <t xml:space="preserve">Denmark, Germany, Belgium, United Kingdom, France, Sweden</t>
  </si>
  <si>
    <t xml:space="preserve">Behind "The Cove": The Quiet Japanese Speak Out</t>
  </si>
  <si>
    <t xml:space="preserve">Keiko Yagi</t>
  </si>
  <si>
    <t xml:space="preserve">August 25, 2017</t>
  </si>
  <si>
    <t xml:space="preserve">Berlin Syndrome</t>
  </si>
  <si>
    <t xml:space="preserve">Cate Shortland</t>
  </si>
  <si>
    <t xml:space="preserve">Death Note</t>
  </si>
  <si>
    <t xml:space="preserve">Adam Wingard</t>
  </si>
  <si>
    <t xml:space="preserve">Pekak</t>
  </si>
  <si>
    <t xml:space="preserve">Mohd Khairul Azri Bin Md Noor</t>
  </si>
  <si>
    <t xml:space="preserve">Abzurdah</t>
  </si>
  <si>
    <t xml:space="preserve">Daniela Goggi</t>
  </si>
  <si>
    <t xml:space="preserve">August 25, 2016</t>
  </si>
  <si>
    <t xml:space="preserve">Jonathan Strange &amp; Mr Norrell</t>
  </si>
  <si>
    <t xml:space="preserve">Toby Haynes</t>
  </si>
  <si>
    <t xml:space="preserve">British TV Shows, TV Dramas, TV Sci-Fi &amp; Fantasy</t>
  </si>
  <si>
    <t xml:space="preserve">Drink Drank Drunk</t>
  </si>
  <si>
    <t xml:space="preserve">Yeung Yat-Tak</t>
  </si>
  <si>
    <t xml:space="preserve">August 24, 2019</t>
  </si>
  <si>
    <t xml:space="preserve">Fanatic</t>
  </si>
  <si>
    <t xml:space="preserve">Keith L. Smith</t>
  </si>
  <si>
    <t xml:space="preserve">Bert Kreischer: Secret Time</t>
  </si>
  <si>
    <t xml:space="preserve">Todd Biermann</t>
  </si>
  <si>
    <t xml:space="preserve">August 24, 2018</t>
  </si>
  <si>
    <t xml:space="preserve">El Cartel</t>
  </si>
  <si>
    <t xml:space="preserve">El Cartel 2</t>
  </si>
  <si>
    <t xml:space="preserve">GHOUL</t>
  </si>
  <si>
    <t xml:space="preserve">Patrick Graham</t>
  </si>
  <si>
    <t xml:space="preserve">One Last Shot</t>
  </si>
  <si>
    <t xml:space="preserve">Take My Brother Away</t>
  </si>
  <si>
    <t xml:space="preserve">Han Qing</t>
  </si>
  <si>
    <t xml:space="preserve">The After Party</t>
  </si>
  <si>
    <t xml:space="preserve">Ian Edelman</t>
  </si>
  <si>
    <t xml:space="preserve">The Drunk and on Drugs Happy Funtime Hour</t>
  </si>
  <si>
    <t xml:space="preserve">The Power of Grayskull: The Definitive History of He-Man and the Masters of the Universe</t>
  </si>
  <si>
    <t xml:space="preserve">Randall Lobb, Robert McCallum</t>
  </si>
  <si>
    <t xml:space="preserve">Kaake Da Viyah</t>
  </si>
  <si>
    <t xml:space="preserve">Rai Yuvraj Bains</t>
  </si>
  <si>
    <t xml:space="preserve">August 23, 2019</t>
  </si>
  <si>
    <t xml:space="preserve">Marriage Palace</t>
  </si>
  <si>
    <t xml:space="preserve">Sunil Thakur</t>
  </si>
  <si>
    <t xml:space="preserve">Mayday Life</t>
  </si>
  <si>
    <t xml:space="preserve">Muh Chen</t>
  </si>
  <si>
    <t xml:space="preserve">China, Taiwan</t>
  </si>
  <si>
    <t xml:space="preserve">Rust Valley Restorers</t>
  </si>
  <si>
    <t xml:space="preserve">Saavat</t>
  </si>
  <si>
    <t xml:space="preserve">Saurabh Sinha</t>
  </si>
  <si>
    <t xml:space="preserve">The Congress</t>
  </si>
  <si>
    <t xml:space="preserve">Ari Folman</t>
  </si>
  <si>
    <t xml:space="preserve">Israel, Germany, Poland, Luxembourg, Belgium, France, United States</t>
  </si>
  <si>
    <t xml:space="preserve">Deadwind</t>
  </si>
  <si>
    <t xml:space="preserve">Finland, Germany</t>
  </si>
  <si>
    <t xml:space="preserve">August 23, 2018</t>
  </si>
  <si>
    <t xml:space="preserve">Elephants Dream 4 Hour</t>
  </si>
  <si>
    <t xml:space="preserve">Bassam Kurdali</t>
  </si>
  <si>
    <t xml:space="preserve">196 min</t>
  </si>
  <si>
    <t xml:space="preserve">The Lodgers</t>
  </si>
  <si>
    <t xml:space="preserve">Brian O'Malley</t>
  </si>
  <si>
    <t xml:space="preserve">Feel Rich</t>
  </si>
  <si>
    <t xml:space="preserve">August 23, 2017</t>
  </si>
  <si>
    <t xml:space="preserve">Love Alarm</t>
  </si>
  <si>
    <t xml:space="preserve">August 22, 2019</t>
  </si>
  <si>
    <t xml:space="preserve">Lynne Koplitz: Hormonal Beast</t>
  </si>
  <si>
    <t xml:space="preserve">August 22, 2017</t>
  </si>
  <si>
    <t xml:space="preserve">Sadie's Last Days on Earth</t>
  </si>
  <si>
    <t xml:space="preserve">Michael Seater</t>
  </si>
  <si>
    <t xml:space="preserve">American Factory</t>
  </si>
  <si>
    <t xml:space="preserve">Steven Bognar, Julia Reichert</t>
  </si>
  <si>
    <t xml:space="preserve">August 21, 2019</t>
  </si>
  <si>
    <t xml:space="preserve">Game Over (Hindi Version)</t>
  </si>
  <si>
    <t xml:space="preserve">Ashwin Saravanan</t>
  </si>
  <si>
    <t xml:space="preserve">India, Turkey</t>
  </si>
  <si>
    <t xml:space="preserve">Game Over (Tamil Version)</t>
  </si>
  <si>
    <t xml:space="preserve">Game Over (Telugu Version)</t>
  </si>
  <si>
    <t xml:space="preserve">Hyperdrive</t>
  </si>
  <si>
    <t xml:space="preserve">The Girl Allergic to Wi-Fi</t>
  </si>
  <si>
    <t xml:space="preserve">Jun Lana</t>
  </si>
  <si>
    <t xml:space="preserve">Bareilly Ki Barfi</t>
  </si>
  <si>
    <t xml:space="preserve">Ashwiny Iyer Tiwari</t>
  </si>
  <si>
    <t xml:space="preserve">August 21, 2018</t>
  </si>
  <si>
    <t xml:space="preserve">Mersal</t>
  </si>
  <si>
    <t xml:space="preserve">Atlee Kumar</t>
  </si>
  <si>
    <t xml:space="preserve">Mom</t>
  </si>
  <si>
    <t xml:space="preserve">Ravi Udyawar</t>
  </si>
  <si>
    <t xml:space="preserve">Pad Man</t>
  </si>
  <si>
    <t xml:space="preserve">R. Balki</t>
  </si>
  <si>
    <t xml:space="preserve">Toilet: Ek Prem Katha</t>
  </si>
  <si>
    <t xml:space="preserve">Shree Narayan Singh</t>
  </si>
  <si>
    <t xml:space="preserve">Bad Rap</t>
  </si>
  <si>
    <t xml:space="preserve">Salima Koroma</t>
  </si>
  <si>
    <t xml:space="preserve">August 21, 2017</t>
  </si>
  <si>
    <t xml:space="preserve">Hati Perempuan</t>
  </si>
  <si>
    <t xml:space="preserve">KL Zombi</t>
  </si>
  <si>
    <t xml:space="preserve">Woo Ming Jin</t>
  </si>
  <si>
    <t xml:space="preserve">Rembat</t>
  </si>
  <si>
    <t xml:space="preserve">Shamyl Othman</t>
  </si>
  <si>
    <t xml:space="preserve">Unacknowledged</t>
  </si>
  <si>
    <t xml:space="preserve">Michael Mazzola</t>
  </si>
  <si>
    <t xml:space="preserve">Gangs of New York</t>
  </si>
  <si>
    <t xml:space="preserve">August 20, 2019</t>
  </si>
  <si>
    <t xml:space="preserve">167 min</t>
  </si>
  <si>
    <t xml:space="preserve">Our Planet - Behind The Scenes</t>
  </si>
  <si>
    <t xml:space="preserve">Simon Amstell: Set Free</t>
  </si>
  <si>
    <t xml:space="preserve">Julia Knowles</t>
  </si>
  <si>
    <t xml:space="preserve">Leo &amp; Tig</t>
  </si>
  <si>
    <t xml:space="preserve">August 20, 2018</t>
  </si>
  <si>
    <t xml:space="preserve">Camera Store</t>
  </si>
  <si>
    <t xml:space="preserve">Scott Marshall Smith</t>
  </si>
  <si>
    <t xml:space="preserve">August 20, 2017</t>
  </si>
  <si>
    <t xml:space="preserve">Dhanak</t>
  </si>
  <si>
    <t xml:space="preserve">August 20, 2016</t>
  </si>
  <si>
    <t xml:space="preserve">Basketball or Nothing</t>
  </si>
  <si>
    <t xml:space="preserve">August 2, 2019</t>
  </si>
  <si>
    <t xml:space="preserve">Care Bears: Welcome to Care-a-Lot</t>
  </si>
  <si>
    <t xml:space="preserve">For Greater Glory</t>
  </si>
  <si>
    <t xml:space="preserve">Dean Wright</t>
  </si>
  <si>
    <t xml:space="preserve">Léa &amp; I</t>
  </si>
  <si>
    <t xml:space="preserve">Camille Shooshani</t>
  </si>
  <si>
    <t xml:space="preserve">Now and Then</t>
  </si>
  <si>
    <t xml:space="preserve">Lesli Linka Glatter</t>
  </si>
  <si>
    <t xml:space="preserve">Otherhood</t>
  </si>
  <si>
    <t xml:space="preserve">Uriyadi 2</t>
  </si>
  <si>
    <t xml:space="preserve">Vijay Kumar</t>
  </si>
  <si>
    <t xml:space="preserve">7 Khoon Maaf</t>
  </si>
  <si>
    <t xml:space="preserve">August 2, 2018</t>
  </si>
  <si>
    <t xml:space="preserve">Chillar Party</t>
  </si>
  <si>
    <t xml:space="preserve">Vikas Bahl, Nitesh Tiwari</t>
  </si>
  <si>
    <t xml:space="preserve">Concussion</t>
  </si>
  <si>
    <t xml:space="preserve">Emelie</t>
  </si>
  <si>
    <t xml:space="preserve">Michael Thelin</t>
  </si>
  <si>
    <t xml:space="preserve">Fashion</t>
  </si>
  <si>
    <t xml:space="preserve">Fitoor</t>
  </si>
  <si>
    <t xml:space="preserve">Fiza</t>
  </si>
  <si>
    <t xml:space="preserve">Khalid Mohamed</t>
  </si>
  <si>
    <t xml:space="preserve">Forever Chape</t>
  </si>
  <si>
    <t xml:space="preserve">Guzaarish</t>
  </si>
  <si>
    <t xml:space="preserve">Sanjay Leela Bhansali</t>
  </si>
  <si>
    <t xml:space="preserve">Haider</t>
  </si>
  <si>
    <t xml:space="preserve">Highway</t>
  </si>
  <si>
    <t xml:space="preserve">I Hate Luv Storys</t>
  </si>
  <si>
    <t xml:space="preserve">Punit Malhotra</t>
  </si>
  <si>
    <t xml:space="preserve">Joker</t>
  </si>
  <si>
    <t xml:space="preserve">Khosla Ka Ghosla</t>
  </si>
  <si>
    <t xml:space="preserve">Main aurr Mrs. Khanna</t>
  </si>
  <si>
    <t xml:space="preserve">Prem Soni</t>
  </si>
  <si>
    <t xml:space="preserve">Mohenjo Daro</t>
  </si>
  <si>
    <t xml:space="preserve">On the Wrong Track</t>
  </si>
  <si>
    <t xml:space="preserve">Clarence Yiu-leung Fok</t>
  </si>
  <si>
    <t xml:space="preserve">Raajneeti</t>
  </si>
  <si>
    <t xml:space="preserve">Rang De Basanti</t>
  </si>
  <si>
    <t xml:space="preserve">Rowdy Rathore</t>
  </si>
  <si>
    <t xml:space="preserve">Prabhu Deva</t>
  </si>
  <si>
    <t xml:space="preserve">Tamasha</t>
  </si>
  <si>
    <t xml:space="preserve">Tees Maar Khan</t>
  </si>
  <si>
    <t xml:space="preserve">Tere Naal Love Ho Gaya</t>
  </si>
  <si>
    <t xml:space="preserve">Mandeep Kumar</t>
  </si>
  <si>
    <t xml:space="preserve">Thank You</t>
  </si>
  <si>
    <t xml:space="preserve">The Blue Umbrella</t>
  </si>
  <si>
    <t xml:space="preserve">Lavell Crawford: Can a Brother Get Some Love?</t>
  </si>
  <si>
    <t xml:space="preserve">Michael Drumm</t>
  </si>
  <si>
    <t xml:space="preserve">August 2, 2016</t>
  </si>
  <si>
    <t xml:space="preserve">Attitude Test</t>
  </si>
  <si>
    <t xml:space="preserve">Fabrizio Copano, Augusto Matte</t>
  </si>
  <si>
    <t xml:space="preserve">August 19, 2018</t>
  </si>
  <si>
    <t xml:space="preserve">Barrio Universitario</t>
  </si>
  <si>
    <t xml:space="preserve">Esteban Vidal</t>
  </si>
  <si>
    <t xml:space="preserve">Héroes</t>
  </si>
  <si>
    <t xml:space="preserve">Hide and Seek</t>
  </si>
  <si>
    <t xml:space="preserve">Liu Jie</t>
  </si>
  <si>
    <t xml:space="preserve">August 19, 2017</t>
  </si>
  <si>
    <t xml:space="preserve">Railroad Tigers</t>
  </si>
  <si>
    <t xml:space="preserve">Ding Sheng</t>
  </si>
  <si>
    <t xml:space="preserve">Fearless</t>
  </si>
  <si>
    <t xml:space="preserve">August 19, 2016</t>
  </si>
  <si>
    <t xml:space="preserve">I'll Sleep When I'm Dead</t>
  </si>
  <si>
    <t xml:space="preserve">Justin Krook</t>
  </si>
  <si>
    <t xml:space="preserve">Alejandro Sanz: What I Was Is What I Am</t>
  </si>
  <si>
    <t xml:space="preserve">Gervasio Iglesias, Alexis Morante</t>
  </si>
  <si>
    <t xml:space="preserve">August 18, 2018</t>
  </si>
  <si>
    <t xml:space="preserve">Peter Rabbit</t>
  </si>
  <si>
    <t xml:space="preserve">Will Gluck</t>
  </si>
  <si>
    <t xml:space="preserve">Save Our Shelter</t>
  </si>
  <si>
    <t xml:space="preserve">Marvel's The Defenders</t>
  </si>
  <si>
    <t xml:space="preserve">August 18, 2017</t>
  </si>
  <si>
    <t xml:space="preserve">Undefeated</t>
  </si>
  <si>
    <t xml:space="preserve">What Happened to Monday</t>
  </si>
  <si>
    <t xml:space="preserve">Tommy Wirkola</t>
  </si>
  <si>
    <t xml:space="preserve">United Kingdom, France, Belgium</t>
  </si>
  <si>
    <t xml:space="preserve">Magic for Humans</t>
  </si>
  <si>
    <t xml:space="preserve">August 17, 2018</t>
  </si>
  <si>
    <t xml:space="preserve">Party Monster: Scratching the Surface</t>
  </si>
  <si>
    <t xml:space="preserve">33 min</t>
  </si>
  <si>
    <t xml:space="preserve">Same Kind of Different as Me</t>
  </si>
  <si>
    <t xml:space="preserve">Michael Carney</t>
  </si>
  <si>
    <t xml:space="preserve">Stay Here</t>
  </si>
  <si>
    <t xml:space="preserve">The Motive</t>
  </si>
  <si>
    <t xml:space="preserve">Manuel Martín Cuenca</t>
  </si>
  <si>
    <t xml:space="preserve">Spain, Mexico</t>
  </si>
  <si>
    <t xml:space="preserve">To All the Boys I’ve Loved Before</t>
  </si>
  <si>
    <t xml:space="preserve">Ultraviolet</t>
  </si>
  <si>
    <t xml:space="preserve">Yoo Byung Jae: Discomfort Zone</t>
  </si>
  <si>
    <t xml:space="preserve">Y. Joon Chung</t>
  </si>
  <si>
    <t xml:space="preserve">Cop and a Half: New Recruit</t>
  </si>
  <si>
    <t xml:space="preserve">August 17, 2017</t>
  </si>
  <si>
    <t xml:space="preserve">DreamWorks Shrek's Swamp Stories</t>
  </si>
  <si>
    <t xml:space="preserve">August 17, 2012</t>
  </si>
  <si>
    <t xml:space="preserve">45 rpm</t>
  </si>
  <si>
    <t xml:space="preserve">August 16, 2019</t>
  </si>
  <si>
    <t xml:space="preserve">Apache: The Life of Carlos Tevez</t>
  </si>
  <si>
    <t xml:space="preserve">Better Than Us</t>
  </si>
  <si>
    <t xml:space="preserve">Blue Exorcist</t>
  </si>
  <si>
    <t xml:space="preserve">Diagnosis</t>
  </si>
  <si>
    <t xml:space="preserve">For Love or Money</t>
  </si>
  <si>
    <t xml:space="preserve">Mark Murphy</t>
  </si>
  <si>
    <t xml:space="preserve">Green Frontier</t>
  </si>
  <si>
    <t xml:space="preserve">Invader Zim: Enter the Florpus</t>
  </si>
  <si>
    <t xml:space="preserve">Selfless</t>
  </si>
  <si>
    <t xml:space="preserve">Tarsem Singh</t>
  </si>
  <si>
    <t xml:space="preserve">Sextuplets</t>
  </si>
  <si>
    <t xml:space="preserve">Michael Tiddes</t>
  </si>
  <si>
    <t xml:space="preserve">Super Monsters Back to School</t>
  </si>
  <si>
    <t xml:space="preserve">The King's Avatar</t>
  </si>
  <si>
    <t xml:space="preserve">The Little Switzerland</t>
  </si>
  <si>
    <t xml:space="preserve">Kepa Sojo</t>
  </si>
  <si>
    <t xml:space="preserve">Victim Number 8</t>
  </si>
  <si>
    <t xml:space="preserve">Bhavesh Joshi Superhero</t>
  </si>
  <si>
    <t xml:space="preserve">August 16, 2018</t>
  </si>
  <si>
    <t xml:space="preserve">Casino Tycoon 2</t>
  </si>
  <si>
    <t xml:space="preserve">Disciples Of The 36th Chamber</t>
  </si>
  <si>
    <t xml:space="preserve">Chia-Liang Liu</t>
  </si>
  <si>
    <t xml:space="preserve">Legendary Weapons of China</t>
  </si>
  <si>
    <t xml:space="preserve">Lifeline</t>
  </si>
  <si>
    <t xml:space="preserve">Look Out, Officer</t>
  </si>
  <si>
    <t xml:space="preserve">Sze Yu Lau</t>
  </si>
  <si>
    <t xml:space="preserve">Love on Delivery</t>
  </si>
  <si>
    <t xml:space="preserve">Loving You</t>
  </si>
  <si>
    <t xml:space="preserve">Mahjong Heroes</t>
  </si>
  <si>
    <t xml:space="preserve">Li Pei-Chuan</t>
  </si>
  <si>
    <t xml:space="preserve">Martial Arts of Shaolin</t>
  </si>
  <si>
    <t xml:space="preserve">Mr. Virgin</t>
  </si>
  <si>
    <t xml:space="preserve">Anthony Chan</t>
  </si>
  <si>
    <t xml:space="preserve">My Schoolmate, the Barbarian</t>
  </si>
  <si>
    <t xml:space="preserve">Siu-hung Chung, Wong Jing</t>
  </si>
  <si>
    <t xml:space="preserve">Oh My Ghost 3</t>
  </si>
  <si>
    <t xml:space="preserve">Opium and the Kung Fu Master</t>
  </si>
  <si>
    <t xml:space="preserve">Chia Tang</t>
  </si>
  <si>
    <t xml:space="preserve">Painted Faces</t>
  </si>
  <si>
    <t xml:space="preserve">Alex Law</t>
  </si>
  <si>
    <t xml:space="preserve">Return To The 36th Chamber</t>
  </si>
  <si>
    <t xml:space="preserve">Shark Busters</t>
  </si>
  <si>
    <t xml:space="preserve">Herman Yau</t>
  </si>
  <si>
    <t xml:space="preserve">Sword Masters: Two Champions of Shaolin</t>
  </si>
  <si>
    <t xml:space="preserve">The Bare-Footed Kid</t>
  </si>
  <si>
    <t xml:space="preserve">The Mad Monk</t>
  </si>
  <si>
    <t xml:space="preserve">Johnny To</t>
  </si>
  <si>
    <t xml:space="preserve">The Young Vagabond</t>
  </si>
  <si>
    <t xml:space="preserve">Wish I Was Here</t>
  </si>
  <si>
    <t xml:space="preserve">Zach Braff</t>
  </si>
  <si>
    <t xml:space="preserve">Cannon Busters</t>
  </si>
  <si>
    <t xml:space="preserve">August 15, 2019</t>
  </si>
  <si>
    <t xml:space="preserve">Chhota Bheem Kungfu Dhamaka</t>
  </si>
  <si>
    <t xml:space="preserve">Rajiv Chilaka, Binayak Das</t>
  </si>
  <si>
    <t xml:space="preserve">Til Death Do Us Part</t>
  </si>
  <si>
    <t xml:space="preserve">Cho Li, Chen Hung-yi, Weica Wang, Liu Bang-yao, Lin Guan-fu, Shen Chi, YC Tom Lee</t>
  </si>
  <si>
    <t xml:space="preserve">Whindersson Nunes: Adult</t>
  </si>
  <si>
    <t xml:space="preserve">Adventures in Public School</t>
  </si>
  <si>
    <t xml:space="preserve">Kyle Rideout</t>
  </si>
  <si>
    <t xml:space="preserve">August 15, 2018</t>
  </si>
  <si>
    <t xml:space="preserve">Bioscope</t>
  </si>
  <si>
    <t xml:space="preserve">Gajendra Ahire, Viju Mane, Girish Mohite, Ravi Jadhav</t>
  </si>
  <si>
    <t xml:space="preserve">For Here or to Go?</t>
  </si>
  <si>
    <t xml:space="preserve">Rucha Humnabadkar</t>
  </si>
  <si>
    <t xml:space="preserve">Hostiles</t>
  </si>
  <si>
    <t xml:space="preserve">Scott Cooper</t>
  </si>
  <si>
    <t xml:space="preserve">Hurricane Bianca: From Russia With Hate</t>
  </si>
  <si>
    <t xml:space="preserve">Nuestra Lucha Libre</t>
  </si>
  <si>
    <t xml:space="preserve">The Creative Indians</t>
  </si>
  <si>
    <t xml:space="preserve">What's Your Raashee?</t>
  </si>
  <si>
    <t xml:space="preserve">203 min</t>
  </si>
  <si>
    <t xml:space="preserve">20 Minutes</t>
  </si>
  <si>
    <t xml:space="preserve">August 15, 2017</t>
  </si>
  <si>
    <t xml:space="preserve">Barbecue</t>
  </si>
  <si>
    <t xml:space="preserve">Matthew Salleh</t>
  </si>
  <si>
    <t xml:space="preserve">Australia, Armenia, Japan, Jordan, Mexico, Mongolia, New Zealand, Philippines, South Africa, Sweden, United States, Uruguay</t>
  </si>
  <si>
    <t xml:space="preserve">Brad Paisley's Comedy Rodeo</t>
  </si>
  <si>
    <t xml:space="preserve">Colin Quinn: Unconstitutional</t>
  </si>
  <si>
    <t xml:space="preserve">Goon</t>
  </si>
  <si>
    <t xml:space="preserve">Million Yen Women</t>
  </si>
  <si>
    <t xml:space="preserve">My Ex-Ex</t>
  </si>
  <si>
    <t xml:space="preserve">Nathaniel Warsh</t>
  </si>
  <si>
    <t xml:space="preserve">We're No Animals</t>
  </si>
  <si>
    <t xml:space="preserve">United States, Argentina</t>
  </si>
  <si>
    <t xml:space="preserve">Behind Enemy Lines</t>
  </si>
  <si>
    <t xml:space="preserve">August 15, 2016</t>
  </si>
  <si>
    <t xml:space="preserve">Being AP</t>
  </si>
  <si>
    <t xml:space="preserve">Anthony Wonke</t>
  </si>
  <si>
    <t xml:space="preserve">John &amp; Jane</t>
  </si>
  <si>
    <t xml:space="preserve">Ashim Ahluwalia</t>
  </si>
  <si>
    <t xml:space="preserve">Louis C.K.: Live at the Comedy Store</t>
  </si>
  <si>
    <t xml:space="preserve">Real Crime: Supermarket Heist (Tesco Bomber)</t>
  </si>
  <si>
    <t xml:space="preserve">Mission Blue</t>
  </si>
  <si>
    <t xml:space="preserve">Robert Nixon, Fisher Stevens</t>
  </si>
  <si>
    <t xml:space="preserve">United States, Bermuda, Ecuador</t>
  </si>
  <si>
    <t xml:space="preserve">August 15, 2014</t>
  </si>
  <si>
    <t xml:space="preserve">Happy Jail</t>
  </si>
  <si>
    <t xml:space="preserve">August 14, 2019</t>
  </si>
  <si>
    <t xml:space="preserve">Uyare</t>
  </si>
  <si>
    <t xml:space="preserve">Manu Ashokan</t>
  </si>
  <si>
    <t xml:space="preserve">Exclusive Edition</t>
  </si>
  <si>
    <t xml:space="preserve">James Lee</t>
  </si>
  <si>
    <t xml:space="preserve">August 14, 2017</t>
  </si>
  <si>
    <t xml:space="preserve">Glowing Embers</t>
  </si>
  <si>
    <t xml:space="preserve">Persona</t>
  </si>
  <si>
    <t xml:space="preserve">The Outcasts</t>
  </si>
  <si>
    <t xml:space="preserve">Demetri Martin: Live (At the Time)</t>
  </si>
  <si>
    <t xml:space="preserve">August 14, 2015</t>
  </si>
  <si>
    <t xml:space="preserve">90 ML</t>
  </si>
  <si>
    <t xml:space="preserve">Anita Udeep</t>
  </si>
  <si>
    <t xml:space="preserve">August 13, 2019</t>
  </si>
  <si>
    <t xml:space="preserve">Calum von Moger: Unbroken</t>
  </si>
  <si>
    <t xml:space="preserve">Hasta los dientes</t>
  </si>
  <si>
    <t xml:space="preserve">Alberto Arnaut Estrada</t>
  </si>
  <si>
    <t xml:space="preserve">Tiffany Haddish Presents: They Ready</t>
  </si>
  <si>
    <t xml:space="preserve">Woodstock</t>
  </si>
  <si>
    <t xml:space="preserve">Barak Goodman</t>
  </si>
  <si>
    <t xml:space="preserve">Hot Property</t>
  </si>
  <si>
    <t xml:space="preserve">Max McGill</t>
  </si>
  <si>
    <t xml:space="preserve">August 13, 2017</t>
  </si>
  <si>
    <t xml:space="preserve">Mission Control: The Unsung Heroes of Apollo</t>
  </si>
  <si>
    <t xml:space="preserve">David Fairhead</t>
  </si>
  <si>
    <t xml:space="preserve">13 Cameras</t>
  </si>
  <si>
    <t xml:space="preserve">Victor Zarcoff</t>
  </si>
  <si>
    <t xml:space="preserve">August 13, 2016</t>
  </si>
  <si>
    <t xml:space="preserve">DC Super Hero Girls</t>
  </si>
  <si>
    <t xml:space="preserve">August 12, 2019</t>
  </si>
  <si>
    <t xml:space="preserve">Chocolate City: Vegas Strip</t>
  </si>
  <si>
    <t xml:space="preserve">Jean-Claude La Marre</t>
  </si>
  <si>
    <t xml:space="preserve">August 12, 2017</t>
  </si>
  <si>
    <t xml:space="preserve">Los Herederos</t>
  </si>
  <si>
    <t xml:space="preserve">Jorge Hernandez Aldana</t>
  </si>
  <si>
    <t xml:space="preserve">Naked</t>
  </si>
  <si>
    <t xml:space="preserve">August 11, 2017</t>
  </si>
  <si>
    <t xml:space="preserve">Jim Gaffigan: Beyond the Pale</t>
  </si>
  <si>
    <t xml:space="preserve">August 11, 2016</t>
  </si>
  <si>
    <t xml:space="preserve">Jim Gaffigan: King Baby</t>
  </si>
  <si>
    <t xml:space="preserve">Jim Gaffigan: Mr. Universe</t>
  </si>
  <si>
    <t xml:space="preserve">Jim Gaffigan: Obsessed</t>
  </si>
  <si>
    <t xml:space="preserve">72 Dangerous Animals: Asia</t>
  </si>
  <si>
    <t xml:space="preserve">August 10, 2018</t>
  </si>
  <si>
    <t xml:space="preserve">Afflicted</t>
  </si>
  <si>
    <t xml:space="preserve">All About the Washingtons</t>
  </si>
  <si>
    <t xml:space="preserve">Beyond the Clouds</t>
  </si>
  <si>
    <t xml:space="preserve">Majid Majidi</t>
  </si>
  <si>
    <t xml:space="preserve">India, Iran</t>
  </si>
  <si>
    <t xml:space="preserve">The Guernsey Literary and Potato Peel Pie Society</t>
  </si>
  <si>
    <t xml:space="preserve">The Package</t>
  </si>
  <si>
    <t xml:space="preserve">Jake Szymanski</t>
  </si>
  <si>
    <t xml:space="preserve">Zion</t>
  </si>
  <si>
    <t xml:space="preserve">Floyd Russ</t>
  </si>
  <si>
    <t xml:space="preserve">Alive and Kicking</t>
  </si>
  <si>
    <t xml:space="preserve">Susan Glatzer</t>
  </si>
  <si>
    <t xml:space="preserve">August 10, 2017</t>
  </si>
  <si>
    <t xml:space="preserve">Demonic</t>
  </si>
  <si>
    <t xml:space="preserve">Will Canon</t>
  </si>
  <si>
    <t xml:space="preserve">SHOT! The Psycho-Spiritual Mantra of Rock</t>
  </si>
  <si>
    <t xml:space="preserve">Barney Clay</t>
  </si>
  <si>
    <t xml:space="preserve">3 Idiots</t>
  </si>
  <si>
    <t xml:space="preserve">August 1, 2019</t>
  </si>
  <si>
    <t xml:space="preserve">Are We Done Yet?</t>
  </si>
  <si>
    <t xml:space="preserve">Khaled El Halafawy</t>
  </si>
  <si>
    <t xml:space="preserve">Boyka: Undisputed</t>
  </si>
  <si>
    <t xml:space="preserve">Todor Chapkanov</t>
  </si>
  <si>
    <t xml:space="preserve">Clash of the Titans</t>
  </si>
  <si>
    <t xml:space="preserve">Louis Leterrier</t>
  </si>
  <si>
    <t xml:space="preserve">Darna Mana Hai</t>
  </si>
  <si>
    <t xml:space="preserve">Prawal Raman</t>
  </si>
  <si>
    <t xml:space="preserve">Ek Hasina Thi</t>
  </si>
  <si>
    <t xml:space="preserve">Ferrari Ki Sawaari</t>
  </si>
  <si>
    <t xml:space="preserve">Rajesh Mapuskar</t>
  </si>
  <si>
    <t xml:space="preserve">Four Weddings and a Funeral</t>
  </si>
  <si>
    <t xml:space="preserve">Horns</t>
  </si>
  <si>
    <t xml:space="preserve">Alexandre Aja</t>
  </si>
  <si>
    <t xml:space="preserve">Dramas, Horror Movies, Sci-Fi &amp; Fantasy</t>
  </si>
  <si>
    <t xml:space="preserve">Jackie Brown</t>
  </si>
  <si>
    <t xml:space="preserve">Jupiter Ascending</t>
  </si>
  <si>
    <t xml:space="preserve">Lana Wachowski, Lilly Wachowski</t>
  </si>
  <si>
    <t xml:space="preserve">Khaani</t>
  </si>
  <si>
    <t xml:space="preserve">Last Knights</t>
  </si>
  <si>
    <t xml:space="preserve">Kazuaki Kiriya</t>
  </si>
  <si>
    <t xml:space="preserve">United Kingdom, South Korea</t>
  </si>
  <si>
    <t xml:space="preserve">Manu</t>
  </si>
  <si>
    <t xml:space="preserve">Phanindra Narsetti</t>
  </si>
  <si>
    <t xml:space="preserve">MI-5</t>
  </si>
  <si>
    <t xml:space="preserve">Bharat Nalluri</t>
  </si>
  <si>
    <t xml:space="preserve">Panic Room</t>
  </si>
  <si>
    <t xml:space="preserve">Regiment Diaries</t>
  </si>
  <si>
    <t xml:space="preserve">Rocky</t>
  </si>
  <si>
    <t xml:space="preserve">John G. Avildsen</t>
  </si>
  <si>
    <t xml:space="preserve">Rocky II</t>
  </si>
  <si>
    <t xml:space="preserve">Sylvester Stallone</t>
  </si>
  <si>
    <t xml:space="preserve">Rocky III</t>
  </si>
  <si>
    <t xml:space="preserve">Rocky IV</t>
  </si>
  <si>
    <t xml:space="preserve">Rocky V</t>
  </si>
  <si>
    <t xml:space="preserve">Rumor Has It</t>
  </si>
  <si>
    <t xml:space="preserve">United States, Germany, Australia</t>
  </si>
  <si>
    <t xml:space="preserve">Running Out Of Time</t>
  </si>
  <si>
    <t xml:space="preserve">Sleepless Society: Nyctophobia</t>
  </si>
  <si>
    <t xml:space="preserve">International TV Shows, TV Mysteries, TV Thrillers</t>
  </si>
  <si>
    <t xml:space="preserve">Something's Gotta Give</t>
  </si>
  <si>
    <t xml:space="preserve">Nancy Meyers</t>
  </si>
  <si>
    <t xml:space="preserve">Space Cowboys</t>
  </si>
  <si>
    <t xml:space="preserve">The Chefs' Line</t>
  </si>
  <si>
    <t xml:space="preserve">To Wong Foo, Thanks for Everything! Julie Newmar</t>
  </si>
  <si>
    <t xml:space="preserve">Beeban Kidron</t>
  </si>
  <si>
    <t xml:space="preserve">Comedies, Cult Movies, LGBTQ Movies</t>
  </si>
  <si>
    <t xml:space="preserve">Wazir</t>
  </si>
  <si>
    <t xml:space="preserve">White Chamber</t>
  </si>
  <si>
    <t xml:space="preserve">Paul Raschid</t>
  </si>
  <si>
    <t xml:space="preserve">Bean: The Ultimate Disaster Movie</t>
  </si>
  <si>
    <t xml:space="preserve">Mel Smith</t>
  </si>
  <si>
    <t xml:space="preserve">August 1, 2018</t>
  </si>
  <si>
    <t xml:space="preserve">Becoming Champions</t>
  </si>
  <si>
    <t xml:space="preserve">Being Napoleon</t>
  </si>
  <si>
    <t xml:space="preserve">Jesse Handsher, Olivier Roland</t>
  </si>
  <si>
    <t xml:space="preserve">Casino Tycoon</t>
  </si>
  <si>
    <t xml:space="preserve">Chernobyl Diaries</t>
  </si>
  <si>
    <t xml:space="preserve">Bradley Parker</t>
  </si>
  <si>
    <t xml:space="preserve">Doubles Cause Troubles</t>
  </si>
  <si>
    <t xml:space="preserve">Flock of Four</t>
  </si>
  <si>
    <t xml:space="preserve">Hero</t>
  </si>
  <si>
    <t xml:space="preserve">Corey Yuen</t>
  </si>
  <si>
    <t xml:space="preserve">History of Joy</t>
  </si>
  <si>
    <t xml:space="preserve">Vishnu Govindhan</t>
  </si>
  <si>
    <t xml:space="preserve">Initial D</t>
  </si>
  <si>
    <t xml:space="preserve">Andrew Lau Wai-Keung, Alan Mak</t>
  </si>
  <si>
    <t xml:space="preserve">Invisible</t>
  </si>
  <si>
    <t xml:space="preserve">Pablo Giorgelli</t>
  </si>
  <si>
    <t xml:space="preserve">Argentina, France</t>
  </si>
  <si>
    <t xml:space="preserve">Kaaliyan</t>
  </si>
  <si>
    <t xml:space="preserve">Jijo Pancode</t>
  </si>
  <si>
    <t xml:space="preserve">Kung Fu Magoo</t>
  </si>
  <si>
    <t xml:space="preserve">Andrés Couturier</t>
  </si>
  <si>
    <t xml:space="preserve">Kuppivala</t>
  </si>
  <si>
    <t xml:space="preserve">Suresh Pillai</t>
  </si>
  <si>
    <t xml:space="preserve">Lechmi</t>
  </si>
  <si>
    <t xml:space="preserve">B.N. Shajeer Sha</t>
  </si>
  <si>
    <t xml:space="preserve">Little Dragon Maiden</t>
  </si>
  <si>
    <t xml:space="preserve">Hua Shan</t>
  </si>
  <si>
    <t xml:space="preserve">Los tiempos de Pablo Escobar</t>
  </si>
  <si>
    <t xml:space="preserve">Love In A Puff</t>
  </si>
  <si>
    <t xml:space="preserve">Mahabharat</t>
  </si>
  <si>
    <t xml:space="preserve">Amaan Khan</t>
  </si>
  <si>
    <t xml:space="preserve">Mater</t>
  </si>
  <si>
    <t xml:space="preserve">Pablo D'Alo Abba</t>
  </si>
  <si>
    <t xml:space="preserve">Melle</t>
  </si>
  <si>
    <t xml:space="preserve">Binu Ulahhannan</t>
  </si>
  <si>
    <t xml:space="preserve">Minnaminugu the FireFly</t>
  </si>
  <si>
    <t xml:space="preserve">Anil Thomas</t>
  </si>
  <si>
    <t xml:space="preserve">Mythily Veendum Varunnu</t>
  </si>
  <si>
    <t xml:space="preserve">Sabu Varghese</t>
  </si>
  <si>
    <t xml:space="preserve">Once In A Lifetime Sessions with Moby</t>
  </si>
  <si>
    <t xml:space="preserve">Once In A Lifetime Sessions with Nile Rodgers</t>
  </si>
  <si>
    <t xml:space="preserve">Charlie Lightening</t>
  </si>
  <si>
    <t xml:space="preserve">Once In A Lifetime Sessions with Noel Gallagher</t>
  </si>
  <si>
    <t xml:space="preserve">Once In A Lifetime Sessions with TLC</t>
  </si>
  <si>
    <t xml:space="preserve">Oru Vishsheshapetta Biryani Kissa</t>
  </si>
  <si>
    <t xml:space="preserve">Kiran Narayanan</t>
  </si>
  <si>
    <t xml:space="preserve">P Se PM Tak</t>
  </si>
  <si>
    <t xml:space="preserve">R.L. Stine's Mostly Ghostly</t>
  </si>
  <si>
    <t xml:space="preserve">Richard Correll</t>
  </si>
  <si>
    <t xml:space="preserve">Rangreza</t>
  </si>
  <si>
    <t xml:space="preserve">Amir Mohiuddin</t>
  </si>
  <si>
    <t xml:space="preserve">Sudani from Nigeria</t>
  </si>
  <si>
    <t xml:space="preserve">Zakariya</t>
  </si>
  <si>
    <t xml:space="preserve">Switched</t>
  </si>
  <si>
    <t xml:space="preserve">The Could’ve-Gone-All-the-Way Committee</t>
  </si>
  <si>
    <t xml:space="preserve">The Diabolical</t>
  </si>
  <si>
    <t xml:space="preserve">The Informant!</t>
  </si>
  <si>
    <t xml:space="preserve">The Parole Officer</t>
  </si>
  <si>
    <t xml:space="preserve">Tikli and Laxmi Bomb</t>
  </si>
  <si>
    <t xml:space="preserve">A Sort of Homecoming</t>
  </si>
  <si>
    <t xml:space="preserve">Maria Burton</t>
  </si>
  <si>
    <t xml:space="preserve">August 1, 2017</t>
  </si>
  <si>
    <t xml:space="preserve">All Hallows' Eve</t>
  </si>
  <si>
    <t xml:space="preserve">Charlie Vaughn</t>
  </si>
  <si>
    <t xml:space="preserve">Anarkali of Aarah</t>
  </si>
  <si>
    <t xml:space="preserve">Avinash Das</t>
  </si>
  <si>
    <t xml:space="preserve">Annabelle Hooper and the Ghosts of Nantucket</t>
  </si>
  <si>
    <t xml:space="preserve">Paul Serafini</t>
  </si>
  <si>
    <t xml:space="preserve">Aussie Gold Hunters</t>
  </si>
  <si>
    <t xml:space="preserve">Below Her Mouth</t>
  </si>
  <si>
    <t xml:space="preserve">April Mullen</t>
  </si>
  <si>
    <t xml:space="preserve">Bountiful Blessings</t>
  </si>
  <si>
    <t xml:space="preserve">Close Your Eyes Before It’s Dark</t>
  </si>
  <si>
    <t xml:space="preserve">Cloud Atlas</t>
  </si>
  <si>
    <t xml:space="preserve">Lilly Wachowski, Lana Wachowski, Tom Tykwer</t>
  </si>
  <si>
    <t xml:space="preserve">Germany, United States, Hong Kong, Singapore</t>
  </si>
  <si>
    <t xml:space="preserve">Action &amp; Adventure, Cult Movies, Dramas</t>
  </si>
  <si>
    <t xml:space="preserve">Cop Watchers</t>
  </si>
  <si>
    <t xml:space="preserve">Ben Steele</t>
  </si>
  <si>
    <t xml:space="preserve">Entangled</t>
  </si>
  <si>
    <t xml:space="preserve">Everyday Miracles</t>
  </si>
  <si>
    <t xml:space="preserve">Fartsa</t>
  </si>
  <si>
    <t xml:space="preserve">Genius of the Ancient World</t>
  </si>
  <si>
    <t xml:space="preserve">Genius of the Modern World</t>
  </si>
  <si>
    <t xml:space="preserve">Handsome Devil</t>
  </si>
  <si>
    <t xml:space="preserve">John Butler</t>
  </si>
  <si>
    <t xml:space="preserve">Have You Ever Fallen in Love, Miss Jiang?</t>
  </si>
  <si>
    <t xml:space="preserve">Hogie the Globehopper</t>
  </si>
  <si>
    <t xml:space="preserve">Jessica Darling's It List</t>
  </si>
  <si>
    <t xml:space="preserve">Ali Scher</t>
  </si>
  <si>
    <t xml:space="preserve">Life Plan A and B</t>
  </si>
  <si>
    <t xml:space="preserve">Locust</t>
  </si>
  <si>
    <t xml:space="preserve">Love Storm</t>
  </si>
  <si>
    <t xml:space="preserve">Maz Jobrani: Immigrant</t>
  </si>
  <si>
    <t xml:space="preserve">Maz Jobrani</t>
  </si>
  <si>
    <t xml:space="preserve">Nurses Who Kill</t>
  </si>
  <si>
    <t xml:space="preserve">Opening Night</t>
  </si>
  <si>
    <t xml:space="preserve">Isaac Rentz</t>
  </si>
  <si>
    <t xml:space="preserve">Comedies, Independent Movies, Music &amp; Musicals</t>
  </si>
  <si>
    <t xml:space="preserve">Raising the Bar</t>
  </si>
  <si>
    <t xml:space="preserve">Surviving Escobar - Alias JJ</t>
  </si>
  <si>
    <t xml:space="preserve">The Blind Christ</t>
  </si>
  <si>
    <t xml:space="preserve">Christopher Murray</t>
  </si>
  <si>
    <t xml:space="preserve">Chile, France</t>
  </si>
  <si>
    <t xml:space="preserve">The Bomb</t>
  </si>
  <si>
    <t xml:space="preserve">Kevin Ford, Smriti Keshari, Eric Schlosser</t>
  </si>
  <si>
    <t xml:space="preserve">The Truth About Alcohol</t>
  </si>
  <si>
    <t xml:space="preserve">David Briggs</t>
  </si>
  <si>
    <t xml:space="preserve">The Women Who Kill Lions</t>
  </si>
  <si>
    <t xml:space="preserve">Neil Rawles</t>
  </si>
  <si>
    <t xml:space="preserve">Un plus une</t>
  </si>
  <si>
    <t xml:space="preserve">Claude Lelouch</t>
  </si>
  <si>
    <t xml:space="preserve">Winter Sun</t>
  </si>
  <si>
    <t xml:space="preserve">World War II in Colour</t>
  </si>
  <si>
    <t xml:space="preserve">APEX: The Story of the Hypercar</t>
  </si>
  <si>
    <t xml:space="preserve">J.F. Musial, Josh Vietze</t>
  </si>
  <si>
    <t xml:space="preserve">August 1, 2016</t>
  </si>
  <si>
    <t xml:space="preserve">Autumn's Concerto</t>
  </si>
  <si>
    <t xml:space="preserve">Battlefield Recovery</t>
  </si>
  <si>
    <t xml:space="preserve">British TV Shows, Docuseries, Reality TV</t>
  </si>
  <si>
    <t xml:space="preserve">Children of God</t>
  </si>
  <si>
    <t xml:space="preserve">John Smithson</t>
  </si>
  <si>
    <t xml:space="preserve">Cocaine</t>
  </si>
  <si>
    <t xml:space="preserve">Edge of the Universe</t>
  </si>
  <si>
    <t xml:space="preserve">Hitler's Olympics</t>
  </si>
  <si>
    <t xml:space="preserve">Holding the Man</t>
  </si>
  <si>
    <t xml:space="preserve">Neil Armfield</t>
  </si>
  <si>
    <t xml:space="preserve">How to Win the US Presidency</t>
  </si>
  <si>
    <t xml:space="preserve">Cal Saville</t>
  </si>
  <si>
    <t xml:space="preserve">Interview with a Serial Killer</t>
  </si>
  <si>
    <t xml:space="preserve">Christopher Martin</t>
  </si>
  <si>
    <t xml:space="preserve">La Esclava Blanca</t>
  </si>
  <si>
    <t xml:space="preserve">Love Cuisine</t>
  </si>
  <si>
    <t xml:space="preserve">Miss Rose</t>
  </si>
  <si>
    <t xml:space="preserve">Office Girls</t>
  </si>
  <si>
    <t xml:space="preserve">Queen of No Marriage</t>
  </si>
  <si>
    <t xml:space="preserve">Real Crime: Diamond Geezers</t>
  </si>
  <si>
    <t xml:space="preserve">Tom Whitter</t>
  </si>
  <si>
    <t xml:space="preserve">The Prince Who Turns into a Frog</t>
  </si>
  <si>
    <t xml:space="preserve">Two Fathers</t>
  </si>
  <si>
    <t xml:space="preserve">You're My Destiny</t>
  </si>
  <si>
    <t xml:space="preserve">Movie 43</t>
  </si>
  <si>
    <t xml:space="preserve">Peter Farrelly, Will Graham, Steve Carr, Griffin Dunne, Steve Brill, James Duffy, Jonathan van Tulleken, Elizabeth Banks, Patrik Forsberg, Brett Ratner, Rusty Cundieff, James Gunn</t>
  </si>
  <si>
    <t xml:space="preserve">April 9, 2019</t>
  </si>
  <si>
    <t xml:space="preserve">The Basement</t>
  </si>
  <si>
    <t xml:space="preserve">Brian M. Conley, Nathan Ives</t>
  </si>
  <si>
    <t xml:space="preserve">AMO</t>
  </si>
  <si>
    <t xml:space="preserve">April 9, 2018</t>
  </si>
  <si>
    <t xml:space="preserve">The Tiger Hunter</t>
  </si>
  <si>
    <t xml:space="preserve">Lena Khan</t>
  </si>
  <si>
    <t xml:space="preserve">Look Who's Back</t>
  </si>
  <si>
    <t xml:space="preserve">David Wnendt</t>
  </si>
  <si>
    <t xml:space="preserve">April 9, 2016</t>
  </si>
  <si>
    <t xml:space="preserve">Sarvam Thaala Mayam (Telugu Version)</t>
  </si>
  <si>
    <t xml:space="preserve">April 8, 2019</t>
  </si>
  <si>
    <t xml:space="preserve">The Great Battle</t>
  </si>
  <si>
    <t xml:space="preserve">El fin de ETA</t>
  </si>
  <si>
    <t xml:space="preserve">April 8, 2017</t>
  </si>
  <si>
    <t xml:space="preserve">Incomplete</t>
  </si>
  <si>
    <t xml:space="preserve">Suman Mukhopadhyay</t>
  </si>
  <si>
    <t xml:space="preserve">Hush</t>
  </si>
  <si>
    <t xml:space="preserve">April 8, 2016</t>
  </si>
  <si>
    <t xml:space="preserve">Residue</t>
  </si>
  <si>
    <t xml:space="preserve">April 8, 2015</t>
  </si>
  <si>
    <t xml:space="preserve">British TV Shows, International TV Shows, TV Horror</t>
  </si>
  <si>
    <t xml:space="preserve">Petta (Telugu Version)</t>
  </si>
  <si>
    <t xml:space="preserve">Karthik Subbaraj</t>
  </si>
  <si>
    <t xml:space="preserve">April 7, 2019</t>
  </si>
  <si>
    <t xml:space="preserve">Time: The Kalief Browder Story</t>
  </si>
  <si>
    <t xml:space="preserve">24 Hours to Live</t>
  </si>
  <si>
    <t xml:space="preserve">Brian Smrz</t>
  </si>
  <si>
    <t xml:space="preserve">South Africa, China, United States</t>
  </si>
  <si>
    <t xml:space="preserve">April 7, 2018</t>
  </si>
  <si>
    <t xml:space="preserve">Newtown</t>
  </si>
  <si>
    <t xml:space="preserve">April 7, 2017</t>
  </si>
  <si>
    <t xml:space="preserve">Strike a Pose</t>
  </si>
  <si>
    <t xml:space="preserve">Ester Gould, Reijer Zwaan</t>
  </si>
  <si>
    <t xml:space="preserve">Netherlands, Belgium</t>
  </si>
  <si>
    <t xml:space="preserve">The Lighthouse of the Orcas</t>
  </si>
  <si>
    <t xml:space="preserve">Win It All</t>
  </si>
  <si>
    <t xml:space="preserve">Joe Swanberg</t>
  </si>
  <si>
    <t xml:space="preserve">Between Worlds</t>
  </si>
  <si>
    <t xml:space="preserve">Maria Pulera</t>
  </si>
  <si>
    <t xml:space="preserve">April 6, 2019</t>
  </si>
  <si>
    <t xml:space="preserve">Queen of the Desert</t>
  </si>
  <si>
    <t xml:space="preserve">United States, Morocco</t>
  </si>
  <si>
    <t xml:space="preserve">6 Balloons</t>
  </si>
  <si>
    <t xml:space="preserve">Marja Lewis Ryan</t>
  </si>
  <si>
    <t xml:space="preserve">April 6, 2018</t>
  </si>
  <si>
    <t xml:space="preserve">Amateur</t>
  </si>
  <si>
    <t xml:space="preserve">Ryan Koo</t>
  </si>
  <si>
    <t xml:space="preserve">Orbiter 9</t>
  </si>
  <si>
    <t xml:space="preserve">Hatem Khraiche</t>
  </si>
  <si>
    <t xml:space="preserve">Spain, Colombia</t>
  </si>
  <si>
    <t xml:space="preserve">Ram Dass, Going Home</t>
  </si>
  <si>
    <t xml:space="preserve">Derek Peck</t>
  </si>
  <si>
    <t xml:space="preserve">Seth Rogen's Hilarity for Charity</t>
  </si>
  <si>
    <t xml:space="preserve">Sun Dogs</t>
  </si>
  <si>
    <t xml:space="preserve">Jennifer Morrison</t>
  </si>
  <si>
    <t xml:space="preserve">The 4th Company</t>
  </si>
  <si>
    <t xml:space="preserve">Mitzi Vanessa Arreola, Amir Galvan Cervera</t>
  </si>
  <si>
    <t xml:space="preserve">Todo lo que sería Lucas Lauriente</t>
  </si>
  <si>
    <t xml:space="preserve">United Kingdom, South Africa, Australia, United States</t>
  </si>
  <si>
    <t xml:space="preserve">The Eyes of My Mother</t>
  </si>
  <si>
    <t xml:space="preserve">Nicolas Pesce</t>
  </si>
  <si>
    <t xml:space="preserve">April 6, 2017</t>
  </si>
  <si>
    <t xml:space="preserve">Alien Warfare</t>
  </si>
  <si>
    <t xml:space="preserve">Jeremiah Jones</t>
  </si>
  <si>
    <t xml:space="preserve">April 5, 2019</t>
  </si>
  <si>
    <t xml:space="preserve">Backfire</t>
  </si>
  <si>
    <t xml:space="preserve">Dave Patten</t>
  </si>
  <si>
    <t xml:space="preserve">Legacies</t>
  </si>
  <si>
    <t xml:space="preserve">TV Dramas, TV Sci-Fi &amp; Fantasy, Teen TV Shows</t>
  </si>
  <si>
    <t xml:space="preserve">Lupt</t>
  </si>
  <si>
    <t xml:space="preserve">Prabhuraj</t>
  </si>
  <si>
    <t xml:space="preserve">Our Planet</t>
  </si>
  <si>
    <t xml:space="preserve">Petta</t>
  </si>
  <si>
    <t xml:space="preserve">Playing Hard</t>
  </si>
  <si>
    <t xml:space="preserve">Jean-Simon Chartier</t>
  </si>
  <si>
    <t xml:space="preserve">Quicksand</t>
  </si>
  <si>
    <t xml:space="preserve">Rimba Racer</t>
  </si>
  <si>
    <t xml:space="preserve">The Spy Who Fell to Earth</t>
  </si>
  <si>
    <t xml:space="preserve">Thomas Meadmore</t>
  </si>
  <si>
    <t xml:space="preserve">Tijuana</t>
  </si>
  <si>
    <t xml:space="preserve">Unicorn Store</t>
  </si>
  <si>
    <t xml:space="preserve">Brie Larson</t>
  </si>
  <si>
    <t xml:space="preserve">Behind the Curtain: Todrick Hall</t>
  </si>
  <si>
    <t xml:space="preserve">Katherine Fairfax Wright</t>
  </si>
  <si>
    <t xml:space="preserve">April 5, 2018</t>
  </si>
  <si>
    <t xml:space="preserve">Day of the Dead: Bloodline</t>
  </si>
  <si>
    <t xml:space="preserve">Hèctor Hernández Vicens</t>
  </si>
  <si>
    <t xml:space="preserve">Bulgaria</t>
  </si>
  <si>
    <t xml:space="preserve">American Odyssey</t>
  </si>
  <si>
    <t xml:space="preserve">April 5, 2016</t>
  </si>
  <si>
    <t xml:space="preserve">Possessed</t>
  </si>
  <si>
    <t xml:space="preserve">April 4, 2019</t>
  </si>
  <si>
    <t xml:space="preserve">Ali Baba ve 7 Cüceler</t>
  </si>
  <si>
    <t xml:space="preserve">Cem Yılmaz</t>
  </si>
  <si>
    <t xml:space="preserve">April 4, 2018</t>
  </si>
  <si>
    <t xml:space="preserve">Aşk Tesadüfleri Sever</t>
  </si>
  <si>
    <t xml:space="preserve">Bir Baba Hindu</t>
  </si>
  <si>
    <t xml:space="preserve">Turkey, India</t>
  </si>
  <si>
    <t xml:space="preserve">Ekşi Elmalar</t>
  </si>
  <si>
    <t xml:space="preserve">Görümce</t>
  </si>
  <si>
    <t xml:space="preserve">Hadi İnşallah</t>
  </si>
  <si>
    <t xml:space="preserve">Ali Taner Baltacı</t>
  </si>
  <si>
    <t xml:space="preserve">İstanbul Kırmızısı</t>
  </si>
  <si>
    <t xml:space="preserve">Italy, Turkey</t>
  </si>
  <si>
    <t xml:space="preserve">Küçük Esnaf</t>
  </si>
  <si>
    <t xml:space="preserve">Monster Family</t>
  </si>
  <si>
    <t xml:space="preserve">Holger Tappe</t>
  </si>
  <si>
    <t xml:space="preserve">Organize Isler</t>
  </si>
  <si>
    <t xml:space="preserve">Pek Yakında</t>
  </si>
  <si>
    <t xml:space="preserve">Louis C.K. 2017</t>
  </si>
  <si>
    <t xml:space="preserve">April 4, 2017</t>
  </si>
  <si>
    <t xml:space="preserve">A Home with A View</t>
  </si>
  <si>
    <t xml:space="preserve">April 30, 2019</t>
  </si>
  <si>
    <t xml:space="preserve">Angel 'N' Devil</t>
  </si>
  <si>
    <t xml:space="preserve">Anthony Jeselnik: Fire in the Maternity Ward</t>
  </si>
  <si>
    <t xml:space="preserve">Hong Kong West Side Stories</t>
  </si>
  <si>
    <t xml:space="preserve">Ingress: The Animation</t>
  </si>
  <si>
    <t xml:space="preserve">K.O. One Re-act</t>
  </si>
  <si>
    <t xml:space="preserve">K.O.3an Guo</t>
  </si>
  <si>
    <t xml:space="preserve">KO One Return</t>
  </si>
  <si>
    <t xml:space="preserve">Perfect Bid: The Contestant Who Knew Too Much</t>
  </si>
  <si>
    <t xml:space="preserve">C.J. Wallis</t>
  </si>
  <si>
    <t xml:space="preserve">The Outsiders</t>
  </si>
  <si>
    <t xml:space="preserve">Babam ve Oğlum</t>
  </si>
  <si>
    <t xml:space="preserve">Çagan Irmak</t>
  </si>
  <si>
    <t xml:space="preserve">April 30, 2018</t>
  </si>
  <si>
    <t xml:space="preserve">Black Crows</t>
  </si>
  <si>
    <t xml:space="preserve">Saudi Arabia, Syria, Egypt, Lebanon, Kuwait</t>
  </si>
  <si>
    <t xml:space="preserve">Running Shaadi</t>
  </si>
  <si>
    <t xml:space="preserve">Amit Roy</t>
  </si>
  <si>
    <t xml:space="preserve">The Price of Success</t>
  </si>
  <si>
    <t xml:space="preserve">Teddy Lussi-Modeste</t>
  </si>
  <si>
    <t xml:space="preserve">14 Blades</t>
  </si>
  <si>
    <t xml:space="preserve">Daniel Lee</t>
  </si>
  <si>
    <t xml:space="preserve">Hong Kong, China, Singapore</t>
  </si>
  <si>
    <t xml:space="preserve">April 3, 2019</t>
  </si>
  <si>
    <t xml:space="preserve">Ricardo Quevedo: Los amargados somos más</t>
  </si>
  <si>
    <t xml:space="preserve">Suzzanna: Buried Alive</t>
  </si>
  <si>
    <t xml:space="preserve">Rocky Soraya, Anggy Umbara</t>
  </si>
  <si>
    <t xml:space="preserve">Tango</t>
  </si>
  <si>
    <t xml:space="preserve">Fary Is the New Black</t>
  </si>
  <si>
    <t xml:space="preserve">Kader Aoun</t>
  </si>
  <si>
    <t xml:space="preserve">April 3, 2018</t>
  </si>
  <si>
    <t xml:space="preserve">Honey: Rise Up and Dance</t>
  </si>
  <si>
    <t xml:space="preserve">Ittefaq</t>
  </si>
  <si>
    <t xml:space="preserve">Abhay Chopra</t>
  </si>
  <si>
    <t xml:space="preserve">Burning</t>
  </si>
  <si>
    <t xml:space="preserve">Lee Chang-dong</t>
  </si>
  <si>
    <t xml:space="preserve">April 29, 2019</t>
  </si>
  <si>
    <t xml:space="preserve">CRD</t>
  </si>
  <si>
    <t xml:space="preserve">Kranti Kanade</t>
  </si>
  <si>
    <t xml:space="preserve">Teen Aur Aadha</t>
  </si>
  <si>
    <t xml:space="preserve">Dar Gai</t>
  </si>
  <si>
    <t xml:space="preserve">Special Correspondents</t>
  </si>
  <si>
    <t xml:space="preserve">Canada, United Kingdom, United States</t>
  </si>
  <si>
    <t xml:space="preserve">April 29, 2016</t>
  </si>
  <si>
    <t xml:space="preserve">Team Foxcatcher</t>
  </si>
  <si>
    <t xml:space="preserve">Jon Greenhalgh</t>
  </si>
  <si>
    <t xml:space="preserve">2015 Dream Concert</t>
  </si>
  <si>
    <t xml:space="preserve">April 28, 2017</t>
  </si>
  <si>
    <t xml:space="preserve">A Murder in the Park</t>
  </si>
  <si>
    <t xml:space="preserve">Christopher S. Rech, Brandon Kimber</t>
  </si>
  <si>
    <t xml:space="preserve">Casting JonBenet</t>
  </si>
  <si>
    <t xml:space="preserve">Kitty Green</t>
  </si>
  <si>
    <t xml:space="preserve">United States, Australia, China</t>
  </si>
  <si>
    <t xml:space="preserve">Jumping Girl</t>
  </si>
  <si>
    <t xml:space="preserve">President</t>
  </si>
  <si>
    <t xml:space="preserve">Rodney King</t>
  </si>
  <si>
    <t xml:space="preserve">Small Crimes</t>
  </si>
  <si>
    <t xml:space="preserve">Evan Katz</t>
  </si>
  <si>
    <t xml:space="preserve">What in the World Happened?</t>
  </si>
  <si>
    <t xml:space="preserve">Africa</t>
  </si>
  <si>
    <t xml:space="preserve">April 28, 2016</t>
  </si>
  <si>
    <t xml:space="preserve">American Honey</t>
  </si>
  <si>
    <t xml:space="preserve">Andrea Arnold</t>
  </si>
  <si>
    <t xml:space="preserve">April 27, 2019</t>
  </si>
  <si>
    <t xml:space="preserve">Bobby Kennedy for President</t>
  </si>
  <si>
    <t xml:space="preserve">Dawn Porter</t>
  </si>
  <si>
    <t xml:space="preserve">April 27, 2018</t>
  </si>
  <si>
    <t xml:space="preserve">Candy Jar</t>
  </si>
  <si>
    <t xml:space="preserve">Ben Shelton</t>
  </si>
  <si>
    <t xml:space="preserve">Dancing Angels</t>
  </si>
  <si>
    <t xml:space="preserve">Holy Goalie</t>
  </si>
  <si>
    <t xml:space="preserve">Curro Velázquez</t>
  </si>
  <si>
    <t xml:space="preserve">Moving On</t>
  </si>
  <si>
    <t xml:space="preserve">REA(L)OVE</t>
  </si>
  <si>
    <t xml:space="preserve">The New Legends of Monkey</t>
  </si>
  <si>
    <t xml:space="preserve">Australia, New Zealand</t>
  </si>
  <si>
    <t xml:space="preserve">The Rachel Divide</t>
  </si>
  <si>
    <t xml:space="preserve">Laura Brownson</t>
  </si>
  <si>
    <t xml:space="preserve">The Week Of</t>
  </si>
  <si>
    <t xml:space="preserve">Robert Smigel</t>
  </si>
  <si>
    <t xml:space="preserve">Trio and a Bed</t>
  </si>
  <si>
    <t xml:space="preserve">海的儿子</t>
  </si>
  <si>
    <t xml:space="preserve">Amar's Hands</t>
  </si>
  <si>
    <t xml:space="preserve">Khaled Youssef</t>
  </si>
  <si>
    <t xml:space="preserve">April 26, 2019</t>
  </si>
  <si>
    <t xml:space="preserve">An Hour and a Half</t>
  </si>
  <si>
    <t xml:space="preserve">Wael Ehsan</t>
  </si>
  <si>
    <t xml:space="preserve">Chambers</t>
  </si>
  <si>
    <t xml:space="preserve">TV Horror, TV Mysteries, Teen TV Shows</t>
  </si>
  <si>
    <t xml:space="preserve">Kon-Tiki</t>
  </si>
  <si>
    <t xml:space="preserve">Joachim Rønning, Espen Sandberg</t>
  </si>
  <si>
    <t xml:space="preserve">United Kingdom, Norway, Denmark, Germany, Sweden</t>
  </si>
  <si>
    <t xml:space="preserve">Loving is Losing</t>
  </si>
  <si>
    <t xml:space="preserve">Money Trap</t>
  </si>
  <si>
    <t xml:space="preserve">Njan Prakashan</t>
  </si>
  <si>
    <t xml:space="preserve">Sathyan Anthikad</t>
  </si>
  <si>
    <t xml:space="preserve">ReMastered: Devil at the Crossroads</t>
  </si>
  <si>
    <t xml:space="preserve">Season of the Witch</t>
  </si>
  <si>
    <t xml:space="preserve">Street Food</t>
  </si>
  <si>
    <t xml:space="preserve">The Sapphires</t>
  </si>
  <si>
    <t xml:space="preserve">Wayne Blair</t>
  </si>
  <si>
    <t xml:space="preserve">Enissa Amani: Ehrenwort</t>
  </si>
  <si>
    <t xml:space="preserve">Max Amini</t>
  </si>
  <si>
    <t xml:space="preserve">April 26, 2018</t>
  </si>
  <si>
    <t xml:space="preserve">Kickboxer: Retaliation</t>
  </si>
  <si>
    <t xml:space="preserve">Dimitri Logothetis</t>
  </si>
  <si>
    <t xml:space="preserve">The Daughter</t>
  </si>
  <si>
    <t xml:space="preserve">Simon Stone</t>
  </si>
  <si>
    <t xml:space="preserve">April 26, 2017</t>
  </si>
  <si>
    <t xml:space="preserve">A Mission in an Old Movie</t>
  </si>
  <si>
    <t xml:space="preserve">April 25, 2019</t>
  </si>
  <si>
    <t xml:space="preserve">Aurora</t>
  </si>
  <si>
    <t xml:space="preserve">Yam Laranas</t>
  </si>
  <si>
    <t xml:space="preserve">Goosebumps 2: Haunted Halloween</t>
  </si>
  <si>
    <t xml:space="preserve">Love Station</t>
  </si>
  <si>
    <t xml:space="preserve">Ahmad Samir Farag</t>
  </si>
  <si>
    <t xml:space="preserve">Omar and Salma 3</t>
  </si>
  <si>
    <t xml:space="preserve">Shattered Memories</t>
  </si>
  <si>
    <t xml:space="preserve">The Consul's Son</t>
  </si>
  <si>
    <t xml:space="preserve">The Hateful Eight: Extended Version</t>
  </si>
  <si>
    <t xml:space="preserve">The Ugly Truth</t>
  </si>
  <si>
    <t xml:space="preserve">Bill Nye: Science Guy</t>
  </si>
  <si>
    <t xml:space="preserve">Jason Sussberg, David Alvarado</t>
  </si>
  <si>
    <t xml:space="preserve">April 25, 2018</t>
  </si>
  <si>
    <t xml:space="preserve">Fishtronaut: The Movie</t>
  </si>
  <si>
    <t xml:space="preserve">Célia Catunda, Kiko Mistrorigo, Rodrigo Eba</t>
  </si>
  <si>
    <t xml:space="preserve">Psychokinesis</t>
  </si>
  <si>
    <t xml:space="preserve">Dear Zindagi</t>
  </si>
  <si>
    <t xml:space="preserve">Gauri Shinde</t>
  </si>
  <si>
    <t xml:space="preserve">April 25, 2017</t>
  </si>
  <si>
    <t xml:space="preserve">Shepherds and Butchers</t>
  </si>
  <si>
    <t xml:space="preserve">Oliver Schmitz</t>
  </si>
  <si>
    <t xml:space="preserve">South Africa, United States, Germany</t>
  </si>
  <si>
    <t xml:space="preserve">The 101-Year-Old Man Who Skipped Out on the Bill and Disappeared</t>
  </si>
  <si>
    <t xml:space="preserve">Felix Herngren, Måns Herngren</t>
  </si>
  <si>
    <t xml:space="preserve">Vir Das: Abroad Understanding</t>
  </si>
  <si>
    <t xml:space="preserve">Democrats</t>
  </si>
  <si>
    <t xml:space="preserve">Camilla Nielsson</t>
  </si>
  <si>
    <t xml:space="preserve">Denmark, Zimbabwe</t>
  </si>
  <si>
    <t xml:space="preserve">April 25, 2016</t>
  </si>
  <si>
    <t xml:space="preserve">Fireflies</t>
  </si>
  <si>
    <t xml:space="preserve">Sabal Singh Shekawat</t>
  </si>
  <si>
    <t xml:space="preserve">April 24, 2019</t>
  </si>
  <si>
    <t xml:space="preserve">Furthest Witness</t>
  </si>
  <si>
    <t xml:space="preserve">Adam Del Giudice</t>
  </si>
  <si>
    <t xml:space="preserve">Kevin James: Never Don't Give Up</t>
  </si>
  <si>
    <t xml:space="preserve">April 24, 2018</t>
  </si>
  <si>
    <t xml:space="preserve">The Magic Pill</t>
  </si>
  <si>
    <t xml:space="preserve">Robert Tate</t>
  </si>
  <si>
    <t xml:space="preserve">United States, Australia, South Africa, United Kingdom</t>
  </si>
  <si>
    <t xml:space="preserve">I Think You Should Leave with Tim Robinson</t>
  </si>
  <si>
    <t xml:space="preserve">April 23, 2019</t>
  </si>
  <si>
    <t xml:space="preserve">Little Singham in London</t>
  </si>
  <si>
    <t xml:space="preserve">April 22, 2019</t>
  </si>
  <si>
    <t xml:space="preserve">Fangbone</t>
  </si>
  <si>
    <t xml:space="preserve">April 22, 2017</t>
  </si>
  <si>
    <t xml:space="preserve">Secrets of Althorp - The Spencers</t>
  </si>
  <si>
    <t xml:space="preserve">Secrets of Scotland Yard</t>
  </si>
  <si>
    <t xml:space="preserve">Secrets of Selfridges</t>
  </si>
  <si>
    <t xml:space="preserve">Secrets of Underground London</t>
  </si>
  <si>
    <t xml:space="preserve">Vicky Matthews, Gareth Sacala</t>
  </si>
  <si>
    <t xml:space="preserve">Secrets of Westminster</t>
  </si>
  <si>
    <t xml:space="preserve">Louise Wardle</t>
  </si>
  <si>
    <t xml:space="preserve">Catching the Sun</t>
  </si>
  <si>
    <t xml:space="preserve">Shalini Kantayya</t>
  </si>
  <si>
    <t xml:space="preserve">China, Germany, India, United States</t>
  </si>
  <si>
    <t xml:space="preserve">April 22, 2016</t>
  </si>
  <si>
    <t xml:space="preserve">Patton Oswalt: Talking for Clapping</t>
  </si>
  <si>
    <t xml:space="preserve">United Kingdom, United States, Greece, Italy, Germany</t>
  </si>
  <si>
    <t xml:space="preserve">April 22, 2015</t>
  </si>
  <si>
    <t xml:space="preserve">Life on Location</t>
  </si>
  <si>
    <t xml:space="preserve">Nature's Great Events: Diaries</t>
  </si>
  <si>
    <t xml:space="preserve">Planet Earth: The Complete Collection</t>
  </si>
  <si>
    <t xml:space="preserve">The Last Resort</t>
  </si>
  <si>
    <t xml:space="preserve">Dennis Scholl, Kareem Tabsch</t>
  </si>
  <si>
    <t xml:space="preserve">April 21, 2019</t>
  </si>
  <si>
    <t xml:space="preserve">Girlboss</t>
  </si>
  <si>
    <t xml:space="preserve">April 21, 2017</t>
  </si>
  <si>
    <t xml:space="preserve">Hot Girls Wanted: Turned On</t>
  </si>
  <si>
    <t xml:space="preserve">Jill Bauer, Ronna Gradus, Rashida Jones</t>
  </si>
  <si>
    <t xml:space="preserve">Sand Castle</t>
  </si>
  <si>
    <t xml:space="preserve">Fernando Coimbra</t>
  </si>
  <si>
    <t xml:space="preserve">Tramps</t>
  </si>
  <si>
    <t xml:space="preserve">Adam Leon</t>
  </si>
  <si>
    <t xml:space="preserve">Independent Movies, Romantic Movies</t>
  </si>
  <si>
    <t xml:space="preserve">A Fortunate Man</t>
  </si>
  <si>
    <t xml:space="preserve">Bille August</t>
  </si>
  <si>
    <t xml:space="preserve">April 20, 2019</t>
  </si>
  <si>
    <t xml:space="preserve">Grass Is Greener</t>
  </si>
  <si>
    <t xml:space="preserve">Fab Five Freddie</t>
  </si>
  <si>
    <t xml:space="preserve">Paper Year</t>
  </si>
  <si>
    <t xml:space="preserve">Rebecca Addelman</t>
  </si>
  <si>
    <t xml:space="preserve">A Love So Beautiful</t>
  </si>
  <si>
    <t xml:space="preserve">April 20, 2018</t>
  </si>
  <si>
    <t xml:space="preserve">Club Friday To Be Continued - Friend &amp; Enemy</t>
  </si>
  <si>
    <t xml:space="preserve">Club Friday To Be Continued - The Promise</t>
  </si>
  <si>
    <t xml:space="preserve">Dude</t>
  </si>
  <si>
    <t xml:space="preserve">Olivia Milch</t>
  </si>
  <si>
    <t xml:space="preserve">Kodachrome</t>
  </si>
  <si>
    <t xml:space="preserve">Mark Raso</t>
  </si>
  <si>
    <t xml:space="preserve">Mercury 13</t>
  </si>
  <si>
    <t xml:space="preserve">David Sington, Heather Walsh</t>
  </si>
  <si>
    <t xml:space="preserve">Mac &amp; Devin Go to High School</t>
  </si>
  <si>
    <t xml:space="preserve">Dylan C. Brown</t>
  </si>
  <si>
    <t xml:space="preserve">April 20, 2016</t>
  </si>
  <si>
    <t xml:space="preserve">Boy Bye</t>
  </si>
  <si>
    <t xml:space="preserve">April 2, 2019</t>
  </si>
  <si>
    <t xml:space="preserve">Ek Ladki Ko Dekha Toh Aisa Laga</t>
  </si>
  <si>
    <t xml:space="preserve">Shelly Chopra Dhar</t>
  </si>
  <si>
    <t xml:space="preserve">Jagat</t>
  </si>
  <si>
    <t xml:space="preserve">Shanjey Kumar Perumal</t>
  </si>
  <si>
    <t xml:space="preserve">Kevin Hart: Irresponsible</t>
  </si>
  <si>
    <t xml:space="preserve">La Piloto</t>
  </si>
  <si>
    <t xml:space="preserve">April 2, 2018</t>
  </si>
  <si>
    <t xml:space="preserve">Good Kill</t>
  </si>
  <si>
    <t xml:space="preserve">April 2, 2017</t>
  </si>
  <si>
    <t xml:space="preserve">The D Train</t>
  </si>
  <si>
    <t xml:space="preserve">Jarrad Paul, Andrew Mogel</t>
  </si>
  <si>
    <t xml:space="preserve">Abdo Mota</t>
  </si>
  <si>
    <t xml:space="preserve">April 19, 2019</t>
  </si>
  <si>
    <t xml:space="preserve">Brampton's Own</t>
  </si>
  <si>
    <t xml:space="preserve">Michael Doneger</t>
  </si>
  <si>
    <t xml:space="preserve">Brené Brown: The Call to Courage</t>
  </si>
  <si>
    <t xml:space="preserve">Sandra Restrepo</t>
  </si>
  <si>
    <t xml:space="preserve">I, Daniel Blake</t>
  </si>
  <si>
    <t xml:space="preserve">Ken Loach</t>
  </si>
  <si>
    <t xml:space="preserve">KO One</t>
  </si>
  <si>
    <t xml:space="preserve">Lunatics</t>
  </si>
  <si>
    <t xml:space="preserve">Music Teacher</t>
  </si>
  <si>
    <t xml:space="preserve">Sarthak Dasgupta</t>
  </si>
  <si>
    <t xml:space="preserve">My Dear Boy</t>
  </si>
  <si>
    <t xml:space="preserve">Rilakkuma and Kaoru</t>
  </si>
  <si>
    <t xml:space="preserve">Roh's Beauty</t>
  </si>
  <si>
    <t xml:space="preserve">Someone Great</t>
  </si>
  <si>
    <t xml:space="preserve">Jennifer Kaytin Robinson</t>
  </si>
  <si>
    <t xml:space="preserve">The Mayo Clinic</t>
  </si>
  <si>
    <t xml:space="preserve">Ken Burns, Christopher Loren Ewers, Erik Ewers</t>
  </si>
  <si>
    <t xml:space="preserve">The Ruthless</t>
  </si>
  <si>
    <t xml:space="preserve">Renato De Maria</t>
  </si>
  <si>
    <t xml:space="preserve">All The Reasons To Forget</t>
  </si>
  <si>
    <t xml:space="preserve">Pedro Coutinho</t>
  </si>
  <si>
    <t xml:space="preserve">April 19, 2018</t>
  </si>
  <si>
    <t xml:space="preserve">Charité</t>
  </si>
  <si>
    <t xml:space="preserve">Chasing the Dragon</t>
  </si>
  <si>
    <t xml:space="preserve">Wong Jing, Jason Kwan</t>
  </si>
  <si>
    <t xml:space="preserve">American Experience: Ruby Ridge</t>
  </si>
  <si>
    <t xml:space="preserve">April 19, 2017</t>
  </si>
  <si>
    <t xml:space="preserve">Oklahoma City</t>
  </si>
  <si>
    <t xml:space="preserve">30 Days of Luxury</t>
  </si>
  <si>
    <t xml:space="preserve">April 18, 2019</t>
  </si>
  <si>
    <t xml:space="preserve">Because We're Heading Out</t>
  </si>
  <si>
    <t xml:space="preserve">My Dog is My Guide</t>
  </si>
  <si>
    <t xml:space="preserve">My Wife and My Wifey</t>
  </si>
  <si>
    <t xml:space="preserve">Moataz El Tony</t>
  </si>
  <si>
    <t xml:space="preserve">The Walls of the Moon</t>
  </si>
  <si>
    <t xml:space="preserve">Ossama Abu El Atta, Tarek Al Eryan</t>
  </si>
  <si>
    <t xml:space="preserve">Warda</t>
  </si>
  <si>
    <t xml:space="preserve">Friend Request</t>
  </si>
  <si>
    <t xml:space="preserve">Simon Verhoeven</t>
  </si>
  <si>
    <t xml:space="preserve">April 18, 2018</t>
  </si>
  <si>
    <t xml:space="preserve">The Adventures of Sonic the Hedgehog</t>
  </si>
  <si>
    <t xml:space="preserve">Bigger Fatter Liar</t>
  </si>
  <si>
    <t xml:space="preserve">April 18, 2017</t>
  </si>
  <si>
    <t xml:space="preserve">Lucas Brothers: On Drugs</t>
  </si>
  <si>
    <t xml:space="preserve">A Little Chaos</t>
  </si>
  <si>
    <t xml:space="preserve">Alan Rickman</t>
  </si>
  <si>
    <t xml:space="preserve">April 17, 2019</t>
  </si>
  <si>
    <t xml:space="preserve">Dabbe 6: The Return</t>
  </si>
  <si>
    <t xml:space="preserve">Hasan Karacadağ</t>
  </si>
  <si>
    <t xml:space="preserve">De Film van Dylan Haegens</t>
  </si>
  <si>
    <t xml:space="preserve">Dylan Haegens, Bas van Teylingen</t>
  </si>
  <si>
    <t xml:space="preserve">Franco Escamilla: Bienvenido al mundo</t>
  </si>
  <si>
    <t xml:space="preserve">HOMECOMING: A film by Beyoncé</t>
  </si>
  <si>
    <t xml:space="preserve">Beyoncé Knowles-Carter</t>
  </si>
  <si>
    <t xml:space="preserve">The Chalet</t>
  </si>
  <si>
    <t xml:space="preserve">April 17, 2018</t>
  </si>
  <si>
    <t xml:space="preserve">The Honeymoon Stand Up Special</t>
  </si>
  <si>
    <t xml:space="preserve">The Messengers</t>
  </si>
  <si>
    <t xml:space="preserve">April 17, 2016</t>
  </si>
  <si>
    <t xml:space="preserve">TV Dramas, TV Mysteries, TV Sci-Fi &amp; Fantasy</t>
  </si>
  <si>
    <t xml:space="preserve">Chris D'Elia: Incorrigible</t>
  </si>
  <si>
    <t xml:space="preserve">April 17, 2015</t>
  </si>
  <si>
    <t xml:space="preserve">21 &amp; Over</t>
  </si>
  <si>
    <t xml:space="preserve">Jon Lucas, Scott Moore</t>
  </si>
  <si>
    <t xml:space="preserve">April 16, 2019</t>
  </si>
  <si>
    <t xml:space="preserve">About Time</t>
  </si>
  <si>
    <t xml:space="preserve">Richard Curtis</t>
  </si>
  <si>
    <t xml:space="preserve">Evan Almighty</t>
  </si>
  <si>
    <t xml:space="preserve">Tom Shadyac</t>
  </si>
  <si>
    <t xml:space="preserve">Children &amp; Family Movies, Comedies, Faith &amp; Spirituality</t>
  </si>
  <si>
    <t xml:space="preserve">Jonathan</t>
  </si>
  <si>
    <t xml:space="preserve">Bill Oliver</t>
  </si>
  <si>
    <t xml:space="preserve">Super Monsters Furever Friends</t>
  </si>
  <si>
    <t xml:space="preserve">The Creative Brain</t>
  </si>
  <si>
    <t xml:space="preserve">Jennifer Beamish, Toby Trackman</t>
  </si>
  <si>
    <t xml:space="preserve">Cirque du Freak: The Vampire's Assistant</t>
  </si>
  <si>
    <t xml:space="preserve">Paul Weitz</t>
  </si>
  <si>
    <t xml:space="preserve">April 16, 2018</t>
  </si>
  <si>
    <t xml:space="preserve">Porto</t>
  </si>
  <si>
    <t xml:space="preserve">Gabe Klinger</t>
  </si>
  <si>
    <t xml:space="preserve">Portugal, France, Poland, United States</t>
  </si>
  <si>
    <t xml:space="preserve">Manglehorn</t>
  </si>
  <si>
    <t xml:space="preserve">David Gordon Green</t>
  </si>
  <si>
    <t xml:space="preserve">April 16, 2017</t>
  </si>
  <si>
    <t xml:space="preserve">Star-Crossed</t>
  </si>
  <si>
    <t xml:space="preserve">April 16, 2015</t>
  </si>
  <si>
    <t xml:space="preserve">Romantic TV Shows, TV Dramas, TV Sci-Fi &amp; Fantasy</t>
  </si>
  <si>
    <t xml:space="preserve">Bollywood Calling</t>
  </si>
  <si>
    <t xml:space="preserve">April 15, 2019</t>
  </si>
  <si>
    <t xml:space="preserve">Ek Khiladi Ek Haseena</t>
  </si>
  <si>
    <t xml:space="preserve">Suparn Verma</t>
  </si>
  <si>
    <t xml:space="preserve">Generation Iron 3</t>
  </si>
  <si>
    <t xml:space="preserve">Hazaaron Khwaishein Aisi</t>
  </si>
  <si>
    <t xml:space="preserve">Jhankaar Beats</t>
  </si>
  <si>
    <t xml:space="preserve">Mumbai Matinee</t>
  </si>
  <si>
    <t xml:space="preserve">Anant Balani</t>
  </si>
  <si>
    <t xml:space="preserve">Rainbow Jelly</t>
  </si>
  <si>
    <t xml:space="preserve">Soukarya Ghosal</t>
  </si>
  <si>
    <t xml:space="preserve">Shabd</t>
  </si>
  <si>
    <t xml:space="preserve">Shortcut Safari</t>
  </si>
  <si>
    <t xml:space="preserve">Amitabha Singh</t>
  </si>
  <si>
    <t xml:space="preserve">The New Romantic</t>
  </si>
  <si>
    <t xml:space="preserve">Carly Stone</t>
  </si>
  <si>
    <t xml:space="preserve">Beyond Skyline</t>
  </si>
  <si>
    <t xml:space="preserve">Liam O'Donnell</t>
  </si>
  <si>
    <t xml:space="preserve">United Kingdom, China, Canada, Indonesia, Singapore, United States</t>
  </si>
  <si>
    <t xml:space="preserve">April 15, 2018</t>
  </si>
  <si>
    <t xml:space="preserve">Eddie Murphy: Delirious</t>
  </si>
  <si>
    <t xml:space="preserve">Bruce Gowers</t>
  </si>
  <si>
    <t xml:space="preserve">Harriet the Spy: Blog Wars</t>
  </si>
  <si>
    <t xml:space="preserve">Numero Zero. The Roots of Italian Rap</t>
  </si>
  <si>
    <t xml:space="preserve">Enrico Bisi</t>
  </si>
  <si>
    <t xml:space="preserve">A Patch of Fog</t>
  </si>
  <si>
    <t xml:space="preserve">Michael Lennox</t>
  </si>
  <si>
    <t xml:space="preserve">April 15, 2017</t>
  </si>
  <si>
    <t xml:space="preserve">Agent Raghav</t>
  </si>
  <si>
    <t xml:space="preserve">Bhaage Re Mann</t>
  </si>
  <si>
    <t xml:space="preserve">Bibi &amp; Tina</t>
  </si>
  <si>
    <t xml:space="preserve">Bibi &amp; Tina II</t>
  </si>
  <si>
    <t xml:space="preserve">Bibi &amp; Tina: Girls Versus Boys</t>
  </si>
  <si>
    <t xml:space="preserve">Gangs of Hassepur</t>
  </si>
  <si>
    <t xml:space="preserve">Maharakshak Devi</t>
  </si>
  <si>
    <t xml:space="preserve">Oddbods</t>
  </si>
  <si>
    <t xml:space="preserve">United Kingdom, Singapore</t>
  </si>
  <si>
    <t xml:space="preserve">Rosario Tijeras</t>
  </si>
  <si>
    <t xml:space="preserve">Slam</t>
  </si>
  <si>
    <t xml:space="preserve">Andrea Molaioli</t>
  </si>
  <si>
    <t xml:space="preserve">The Wedding Party</t>
  </si>
  <si>
    <t xml:space="preserve">Band of Robbers</t>
  </si>
  <si>
    <t xml:space="preserve">Aaron Nee, Adam Nee</t>
  </si>
  <si>
    <t xml:space="preserve">April 15, 2016</t>
  </si>
  <si>
    <t xml:space="preserve">Belgica</t>
  </si>
  <si>
    <t xml:space="preserve">Felix Van Groeningen, Felix van Groeningen</t>
  </si>
  <si>
    <t xml:space="preserve">Prescription Thugs</t>
  </si>
  <si>
    <t xml:space="preserve">Chris Bell, Josh Alexander, Greg Young</t>
  </si>
  <si>
    <t xml:space="preserve">From One Second to the Next</t>
  </si>
  <si>
    <t xml:space="preserve">April 15, 2014</t>
  </si>
  <si>
    <t xml:space="preserve">Antidote</t>
  </si>
  <si>
    <t xml:space="preserve">Ken Barbet</t>
  </si>
  <si>
    <t xml:space="preserve">April 14, 2019</t>
  </si>
  <si>
    <t xml:space="preserve">Thriller</t>
  </si>
  <si>
    <t xml:space="preserve">Dallas Jackson</t>
  </si>
  <si>
    <t xml:space="preserve">Nowhere Boy</t>
  </si>
  <si>
    <t xml:space="preserve">Sam Taylor-Johnson</t>
  </si>
  <si>
    <t xml:space="preserve">April 14, 2018</t>
  </si>
  <si>
    <t xml:space="preserve">Arctic Heart</t>
  </si>
  <si>
    <t xml:space="preserve">Marie Madinier</t>
  </si>
  <si>
    <t xml:space="preserve">April 14, 2017</t>
  </si>
  <si>
    <t xml:space="preserve">Our Lovers</t>
  </si>
  <si>
    <t xml:space="preserve">Miguel Ángel Lamata</t>
  </si>
  <si>
    <t xml:space="preserve">Sandy Wexler</t>
  </si>
  <si>
    <t xml:space="preserve">The Chosen</t>
  </si>
  <si>
    <t xml:space="preserve">Antonio Chavarrías</t>
  </si>
  <si>
    <t xml:space="preserve">The Seven Five</t>
  </si>
  <si>
    <t xml:space="preserve">Tiller Russell</t>
  </si>
  <si>
    <t xml:space="preserve">Gabriel Julien-Laferrière</t>
  </si>
  <si>
    <t xml:space="preserve">A Land Imagined</t>
  </si>
  <si>
    <t xml:space="preserve">Yeo Siew Hua</t>
  </si>
  <si>
    <t xml:space="preserve">France, Netherlands, Singapore</t>
  </si>
  <si>
    <t xml:space="preserve">April 13, 2019</t>
  </si>
  <si>
    <t xml:space="preserve">Who Would You Take to a Deserted Island?</t>
  </si>
  <si>
    <t xml:space="preserve">Club Friday To Be Continued - My Beautiful Tomboy</t>
  </si>
  <si>
    <t xml:space="preserve">April 13, 2018</t>
  </si>
  <si>
    <t xml:space="preserve">Come Sunday</t>
  </si>
  <si>
    <t xml:space="preserve">Joshua Marston</t>
  </si>
  <si>
    <t xml:space="preserve">Dramas, Faith &amp; Spirituality, Independent Movies</t>
  </si>
  <si>
    <t xml:space="preserve">I Am not an Easy Man</t>
  </si>
  <si>
    <t xml:space="preserve">Eleonore Pourriat</t>
  </si>
  <si>
    <t xml:space="preserve">Lost in Space</t>
  </si>
  <si>
    <t xml:space="preserve">O-Negative, Love Can’t Be Designed</t>
  </si>
  <si>
    <t xml:space="preserve">Azhar</t>
  </si>
  <si>
    <t xml:space="preserve">April 12, 2019</t>
  </si>
  <si>
    <t xml:space="preserve">Band Aid</t>
  </si>
  <si>
    <t xml:space="preserve">Zoe Lister-Jones</t>
  </si>
  <si>
    <t xml:space="preserve">Buffalo Boys</t>
  </si>
  <si>
    <t xml:space="preserve">Mike Wiluan</t>
  </si>
  <si>
    <t xml:space="preserve">Dabbe 5: Zehr-i Cin</t>
  </si>
  <si>
    <t xml:space="preserve">Dabbe: The Possession</t>
  </si>
  <si>
    <t xml:space="preserve">Francesco De Carlo: Cose di Questo Mondo</t>
  </si>
  <si>
    <t xml:space="preserve">Horror Story</t>
  </si>
  <si>
    <t xml:space="preserve">Ayush Raina</t>
  </si>
  <si>
    <t xml:space="preserve">Huge in France</t>
  </si>
  <si>
    <t xml:space="preserve">Special</t>
  </si>
  <si>
    <t xml:space="preserve">The Perfect Date</t>
  </si>
  <si>
    <t xml:space="preserve">Chris Nelson</t>
  </si>
  <si>
    <t xml:space="preserve">Pickpockets</t>
  </si>
  <si>
    <t xml:space="preserve">Peter Webber</t>
  </si>
  <si>
    <t xml:space="preserve">April 12, 2018</t>
  </si>
  <si>
    <t xml:space="preserve">Macho</t>
  </si>
  <si>
    <t xml:space="preserve">April 12, 2017</t>
  </si>
  <si>
    <t xml:space="preserve">Radical: the Controversial Saga of Dada Figueiredo</t>
  </si>
  <si>
    <t xml:space="preserve">Raphael Erichsen</t>
  </si>
  <si>
    <t xml:space="preserve">Black Summer</t>
  </si>
  <si>
    <t xml:space="preserve">April 11, 2019</t>
  </si>
  <si>
    <t xml:space="preserve">Lee Kyoungmi, Yim Pilsung, Jeon Go-woon, Kim Jong-kwan</t>
  </si>
  <si>
    <t xml:space="preserve">Kevin Hart: What Now?</t>
  </si>
  <si>
    <t xml:space="preserve">April 11, 2017</t>
  </si>
  <si>
    <t xml:space="preserve">#Roxy</t>
  </si>
  <si>
    <t xml:space="preserve">Michael Kennedy</t>
  </si>
  <si>
    <t xml:space="preserve">April 10, 2019</t>
  </si>
  <si>
    <t xml:space="preserve">Liss Pereira: Reteniendo líquidos</t>
  </si>
  <si>
    <t xml:space="preserve">John R. Leonetti</t>
  </si>
  <si>
    <t xml:space="preserve">You vs. Wild</t>
  </si>
  <si>
    <t xml:space="preserve">Kids' TV, Reality TV, Science &amp; Nature TV</t>
  </si>
  <si>
    <t xml:space="preserve">Greg Davies: You Magnificent Beast</t>
  </si>
  <si>
    <t xml:space="preserve">April 10, 2018</t>
  </si>
  <si>
    <t xml:space="preserve">Frat Star</t>
  </si>
  <si>
    <t xml:space="preserve">Grant S. Johnson, Ippsie Jones</t>
  </si>
  <si>
    <t xml:space="preserve">April 10, 2017</t>
  </si>
  <si>
    <t xml:space="preserve">The Miracle</t>
  </si>
  <si>
    <t xml:space="preserve">706</t>
  </si>
  <si>
    <t xml:space="preserve">Shravan Kumar</t>
  </si>
  <si>
    <t xml:space="preserve">April 1, 2019</t>
  </si>
  <si>
    <t xml:space="preserve">Across The Line</t>
  </si>
  <si>
    <t xml:space="preserve">Julien Christian Lutz</t>
  </si>
  <si>
    <t xml:space="preserve">American Masters: Ted Williams</t>
  </si>
  <si>
    <t xml:space="preserve">Nick Davis</t>
  </si>
  <si>
    <t xml:space="preserve">Arthur</t>
  </si>
  <si>
    <t xml:space="preserve">Jason Winer</t>
  </si>
  <si>
    <t xml:space="preserve">Fracture</t>
  </si>
  <si>
    <t xml:space="preserve">Get Smart</t>
  </si>
  <si>
    <t xml:space="preserve">Hedgehogs</t>
  </si>
  <si>
    <t xml:space="preserve">Huang Jianming</t>
  </si>
  <si>
    <t xml:space="preserve">I Am Maris</t>
  </si>
  <si>
    <t xml:space="preserve">Laura VanZee Taylor</t>
  </si>
  <si>
    <t xml:space="preserve">Jesus: Countdown to Calvary</t>
  </si>
  <si>
    <t xml:space="preserve">Gerry Hoban</t>
  </si>
  <si>
    <t xml:space="preserve">Ireland, United States, France</t>
  </si>
  <si>
    <t xml:space="preserve">JingleKids</t>
  </si>
  <si>
    <t xml:space="preserve">Kicko &amp; Super Speedo</t>
  </si>
  <si>
    <t xml:space="preserve">Tianyu Zhao</t>
  </si>
  <si>
    <t xml:space="preserve">International Movies, Romantic Movies, Sci-Fi &amp; Fantasy</t>
  </si>
  <si>
    <t xml:space="preserve">Midnight Misadventures With Mallika Dua</t>
  </si>
  <si>
    <t xml:space="preserve">P.S. I Love You</t>
  </si>
  <si>
    <t xml:space="preserve">Richard LaGravenese</t>
  </si>
  <si>
    <t xml:space="preserve">Peasants Rebellion</t>
  </si>
  <si>
    <t xml:space="preserve">Penelope</t>
  </si>
  <si>
    <t xml:space="preserve">Mark Palansky</t>
  </si>
  <si>
    <t xml:space="preserve">Pinky Memsaab</t>
  </si>
  <si>
    <t xml:space="preserve">Shazia Ali Khan</t>
  </si>
  <si>
    <t xml:space="preserve">Pakistan, United Arab Emirates</t>
  </si>
  <si>
    <t xml:space="preserve">Secrets of Great British Castles</t>
  </si>
  <si>
    <t xml:space="preserve">Sherlock Holmes</t>
  </si>
  <si>
    <t xml:space="preserve">Spy Kids</t>
  </si>
  <si>
    <t xml:space="preserve">Spy Kids 3: Game Over</t>
  </si>
  <si>
    <t xml:space="preserve">That Winter, the Wind Blows</t>
  </si>
  <si>
    <t xml:space="preserve">The Bye Bye Man</t>
  </si>
  <si>
    <t xml:space="preserve">Stacy Title</t>
  </si>
  <si>
    <t xml:space="preserve">The Calling</t>
  </si>
  <si>
    <t xml:space="preserve">Bumpy</t>
  </si>
  <si>
    <t xml:space="preserve">The Devil Is a Part-Timer!</t>
  </si>
  <si>
    <t xml:space="preserve">The Legend of Michael Mishra</t>
  </si>
  <si>
    <t xml:space="preserve">The Trap</t>
  </si>
  <si>
    <t xml:space="preserve">Erik White</t>
  </si>
  <si>
    <t xml:space="preserve">The Trust</t>
  </si>
  <si>
    <t xml:space="preserve">Ben Brewer, Alex Brewer</t>
  </si>
  <si>
    <t xml:space="preserve">The World's Most Wanted Animal</t>
  </si>
  <si>
    <t xml:space="preserve">Victoria Bromley</t>
  </si>
  <si>
    <t xml:space="preserve">Ultraman</t>
  </si>
  <si>
    <t xml:space="preserve">War</t>
  </si>
  <si>
    <t xml:space="preserve">Philip G. Atwell</t>
  </si>
  <si>
    <t xml:space="preserve">A Billion Colour Story</t>
  </si>
  <si>
    <t xml:space="preserve">Padmakumar Narasimhamurthy</t>
  </si>
  <si>
    <t xml:space="preserve">April 1, 2018</t>
  </si>
  <si>
    <t xml:space="preserve">A Dangerous Woman</t>
  </si>
  <si>
    <t xml:space="preserve">Stephen Gyllenhaal</t>
  </si>
  <si>
    <t xml:space="preserve">A Sort of Family</t>
  </si>
  <si>
    <t xml:space="preserve">Diego Lerman</t>
  </si>
  <si>
    <t xml:space="preserve">Argentina, Brazil, France, Poland, Germany, Denmark</t>
  </si>
  <si>
    <t xml:space="preserve">An American Tail</t>
  </si>
  <si>
    <t xml:space="preserve">Don Bluth</t>
  </si>
  <si>
    <t xml:space="preserve">An American Tail: Fievel Goes West</t>
  </si>
  <si>
    <t xml:space="preserve">Phil Nibbelink, Simon Wells</t>
  </si>
  <si>
    <t xml:space="preserve">An American Tail: The Mystery of the Night Monster</t>
  </si>
  <si>
    <t xml:space="preserve">Larry Latham</t>
  </si>
  <si>
    <t xml:space="preserve">An American Tail: The Treasures of Manhattan Island</t>
  </si>
  <si>
    <t xml:space="preserve">Balto</t>
  </si>
  <si>
    <t xml:space="preserve">Balto 2: Wolf Quest</t>
  </si>
  <si>
    <t xml:space="preserve">Phil Weinstein</t>
  </si>
  <si>
    <t xml:space="preserve">Balto 3: Wings of Change</t>
  </si>
  <si>
    <t xml:space="preserve">Barsaat</t>
  </si>
  <si>
    <t xml:space="preserve">Bh Se Bhade</t>
  </si>
  <si>
    <t xml:space="preserve">Big Time</t>
  </si>
  <si>
    <t xml:space="preserve">Kaspar Astrup Schröder</t>
  </si>
  <si>
    <t xml:space="preserve">Billu</t>
  </si>
  <si>
    <t xml:space="preserve">Buddha</t>
  </si>
  <si>
    <t xml:space="preserve">Class of '61</t>
  </si>
  <si>
    <t xml:space="preserve">Dad</t>
  </si>
  <si>
    <t xml:space="preserve">Gary David Goldberg</t>
  </si>
  <si>
    <t xml:space="preserve">Dagh Ujala</t>
  </si>
  <si>
    <t xml:space="preserve">Raj Amit Kumar</t>
  </si>
  <si>
    <t xml:space="preserve">Dare to Be Wild</t>
  </si>
  <si>
    <t xml:space="preserve">Dil Hai Tumhaara</t>
  </si>
  <si>
    <t xml:space="preserve">Ethirmarai</t>
  </si>
  <si>
    <t xml:space="preserve">Fallet</t>
  </si>
  <si>
    <t xml:space="preserve">Fishpeople</t>
  </si>
  <si>
    <t xml:space="preserve">Keith Malloy</t>
  </si>
  <si>
    <t xml:space="preserve">Gringo: The Dangerous Life of John McAfee</t>
  </si>
  <si>
    <t xml:space="preserve">Nanette Burstein</t>
  </si>
  <si>
    <t xml:space="preserve">How to Make an American Quilt</t>
  </si>
  <si>
    <t xml:space="preserve">Jocelyn Moorhouse</t>
  </si>
  <si>
    <t xml:space="preserve">Influx</t>
  </si>
  <si>
    <t xml:space="preserve">Luca Vullo</t>
  </si>
  <si>
    <t xml:space="preserve">John Mulaney: New in Town</t>
  </si>
  <si>
    <t xml:space="preserve">Kya Kehna</t>
  </si>
  <si>
    <t xml:space="preserve">Lady, la vendedora de rosas</t>
  </si>
  <si>
    <t xml:space="preserve">Loaded</t>
  </si>
  <si>
    <t xml:space="preserve">Locked Up</t>
  </si>
  <si>
    <t xml:space="preserve">Jared Cohn</t>
  </si>
  <si>
    <t xml:space="preserve">Main Hoon Na</t>
  </si>
  <si>
    <t xml:space="preserve">Mandobasar Galpo</t>
  </si>
  <si>
    <t xml:space="preserve">Tathagata Banerjee</t>
  </si>
  <si>
    <t xml:space="preserve">Metro</t>
  </si>
  <si>
    <t xml:space="preserve">Ananda Krishnan</t>
  </si>
  <si>
    <t xml:space="preserve">Om Shanti Om</t>
  </si>
  <si>
    <t xml:space="preserve">Paheli</t>
  </si>
  <si>
    <t xml:space="preserve">Amol Palekar</t>
  </si>
  <si>
    <t xml:space="preserve">Phir Bhi Dil Hai Hindustani</t>
  </si>
  <si>
    <t xml:space="preserve">Kookie V. Gulati</t>
  </si>
  <si>
    <t xml:space="preserve">Ramayan</t>
  </si>
  <si>
    <t xml:space="preserve">Rukh</t>
  </si>
  <si>
    <t xml:space="preserve">Atanu Mukherjee</t>
  </si>
  <si>
    <t xml:space="preserve">Sairat</t>
  </si>
  <si>
    <t xml:space="preserve">Schindler's List</t>
  </si>
  <si>
    <t xml:space="preserve">195 min</t>
  </si>
  <si>
    <t xml:space="preserve">Secret in Their Eyes</t>
  </si>
  <si>
    <t xml:space="preserve">Billy Ray</t>
  </si>
  <si>
    <t xml:space="preserve">United States, United Kingdom, Spain, South Korea</t>
  </si>
  <si>
    <t xml:space="preserve">The Aerial</t>
  </si>
  <si>
    <t xml:space="preserve">Esteban Sapir</t>
  </si>
  <si>
    <t xml:space="preserve">The Duchess</t>
  </si>
  <si>
    <t xml:space="preserve">United Kingdom, Italy, France, United States</t>
  </si>
  <si>
    <t xml:space="preserve">The Search for Life in Space</t>
  </si>
  <si>
    <t xml:space="preserve">Stephen Amezdroz</t>
  </si>
  <si>
    <t xml:space="preserve">Una</t>
  </si>
  <si>
    <t xml:space="preserve">Benedict Andrews</t>
  </si>
  <si>
    <t xml:space="preserve">Badalte Rishton Ki Dastaan</t>
  </si>
  <si>
    <t xml:space="preserve">April 1, 2017</t>
  </si>
  <si>
    <t xml:space="preserve">Bala Loca</t>
  </si>
  <si>
    <t xml:space="preserve">Beyond All Boundaries</t>
  </si>
  <si>
    <t xml:space="preserve">Sushrut Jain</t>
  </si>
  <si>
    <t xml:space="preserve">Born to Be Free</t>
  </si>
  <si>
    <t xml:space="preserve">Gayane Petrosyan</t>
  </si>
  <si>
    <t xml:space="preserve">United Kingdom, Russia</t>
  </si>
  <si>
    <t xml:space="preserve">Burned Cocoon</t>
  </si>
  <si>
    <t xml:space="preserve">Celluloid Man</t>
  </si>
  <si>
    <t xml:space="preserve">Shivendra Singh Dungarpur</t>
  </si>
  <si>
    <t xml:space="preserve">Couples Counseling</t>
  </si>
  <si>
    <t xml:space="preserve">Alexandre Reinecke</t>
  </si>
  <si>
    <t xml:space="preserve">Dancing Quietly</t>
  </si>
  <si>
    <t xml:space="preserve">Philipp Eichholtz</t>
  </si>
  <si>
    <t xml:space="preserve">Deuces</t>
  </si>
  <si>
    <t xml:space="preserve">Jamal Hill</t>
  </si>
  <si>
    <t xml:space="preserve">Don't Look Down</t>
  </si>
  <si>
    <t xml:space="preserve">Daniel Gordon</t>
  </si>
  <si>
    <t xml:space="preserve">Elaan</t>
  </si>
  <si>
    <t xml:space="preserve">K. Ramanlal</t>
  </si>
  <si>
    <t xml:space="preserve">Fairy Tail</t>
  </si>
  <si>
    <t xml:space="preserve">Five Nights in Maine</t>
  </si>
  <si>
    <t xml:space="preserve">Maris Curran</t>
  </si>
  <si>
    <t xml:space="preserve">Joe Cocker: Mad Dog with Soul</t>
  </si>
  <si>
    <t xml:space="preserve">John Edginton</t>
  </si>
  <si>
    <t xml:space="preserve">Khelti Hai Zindagi Aankh Micholi</t>
  </si>
  <si>
    <t xml:space="preserve">Killa</t>
  </si>
  <si>
    <t xml:space="preserve">Avinash Arun</t>
  </si>
  <si>
    <t xml:space="preserve">Ed Gass-Donnelly</t>
  </si>
  <si>
    <t xml:space="preserve">Life 2.0</t>
  </si>
  <si>
    <t xml:space="preserve">Jason Spingarn-Koff</t>
  </si>
  <si>
    <t xml:space="preserve">Maharakshak: Aryan</t>
  </si>
  <si>
    <t xml:space="preserve">Ouran High School Host Club</t>
  </si>
  <si>
    <t xml:space="preserve">Takuya Igarashi</t>
  </si>
  <si>
    <t xml:space="preserve">Anime Series, Romantic TV Shows, Teen TV Shows</t>
  </si>
  <si>
    <t xml:space="preserve">Razia Sultan</t>
  </si>
  <si>
    <t xml:space="preserve">Salaakhen</t>
  </si>
  <si>
    <t xml:space="preserve">A. Salaam</t>
  </si>
  <si>
    <t xml:space="preserve">Satrangi</t>
  </si>
  <si>
    <t xml:space="preserve">Silicon Cowboys</t>
  </si>
  <si>
    <t xml:space="preserve">Jason Cohen</t>
  </si>
  <si>
    <t xml:space="preserve">Skins</t>
  </si>
  <si>
    <t xml:space="preserve">Eduardo Casanova</t>
  </si>
  <si>
    <t xml:space="preserve">The Bad Kids</t>
  </si>
  <si>
    <t xml:space="preserve">Keith Fulton, Louis Pepe</t>
  </si>
  <si>
    <t xml:space="preserve">The Human Factor: The Untold Story of the Bombay Film Orchestras</t>
  </si>
  <si>
    <t xml:space="preserve">Rudradeep Bhattacharjee</t>
  </si>
  <si>
    <t xml:space="preserve">The Tenth Man</t>
  </si>
  <si>
    <t xml:space="preserve">Daniel Burman</t>
  </si>
  <si>
    <t xml:space="preserve">Toro</t>
  </si>
  <si>
    <t xml:space="preserve">Kike Maíllo</t>
  </si>
  <si>
    <t xml:space="preserve">Cyborg 009 VS Devilman</t>
  </si>
  <si>
    <t xml:space="preserve">April 1, 2016</t>
  </si>
  <si>
    <t xml:space="preserve">Frank and Cindy</t>
  </si>
  <si>
    <t xml:space="preserve">Iverson</t>
  </si>
  <si>
    <t xml:space="preserve">Zatella Beatty</t>
  </si>
  <si>
    <t xml:space="preserve">Jeremy Scott: The People's Designer</t>
  </si>
  <si>
    <t xml:space="preserve">Yo-Kai Watch</t>
  </si>
  <si>
    <t xml:space="preserve">DreamWorks Happy Holidays from Madagascar</t>
  </si>
  <si>
    <t xml:space="preserve">April 1, 2013</t>
  </si>
  <si>
    <t xml:space="preserve">Show Me the Money</t>
  </si>
  <si>
    <t xml:space="preserve"> September 9, 2018</t>
  </si>
  <si>
    <t xml:space="preserve">2 Seasons</t>
  </si>
  <si>
    <t xml:space="preserve">Ripper Street</t>
  </si>
  <si>
    <t xml:space="preserve"> September 8, 2017</t>
  </si>
  <si>
    <t xml:space="preserve">5 Seasons</t>
  </si>
  <si>
    <t xml:space="preserve">Haven</t>
  </si>
  <si>
    <t xml:space="preserve"> September 8, 2015</t>
  </si>
  <si>
    <t xml:space="preserve">Classic &amp; Cult TV, TV Horror, TV Mysteries</t>
  </si>
  <si>
    <t xml:space="preserve">Marvel's Iron Fist</t>
  </si>
  <si>
    <t xml:space="preserve"> September 7, 2018</t>
  </si>
  <si>
    <t xml:space="preserve">Stretch Armstrong &amp; the Flex Fighters</t>
  </si>
  <si>
    <t xml:space="preserve">Galavant</t>
  </si>
  <si>
    <t xml:space="preserve"> September 7, 2016</t>
  </si>
  <si>
    <t xml:space="preserve">TV Action &amp; Adventure, TV Comedies</t>
  </si>
  <si>
    <t xml:space="preserve">Elite</t>
  </si>
  <si>
    <t xml:space="preserve"> September 6, 2019</t>
  </si>
  <si>
    <t xml:space="preserve">Jack Whitehall: Travels with My Father</t>
  </si>
  <si>
    <t xml:space="preserve">3 Seasons</t>
  </si>
  <si>
    <t xml:space="preserve">Once Upon a Time</t>
  </si>
  <si>
    <t xml:space="preserve">Mario Van Peebles, Ralph Hemecker, Gwyneth Horder-Payton, Milan Cheylov, Dean White, Michael Waxman, Bryan Spicer</t>
  </si>
  <si>
    <t xml:space="preserve"> September 6, 2018</t>
  </si>
  <si>
    <t xml:space="preserve">7 Seasons</t>
  </si>
  <si>
    <t xml:space="preserve">Reign</t>
  </si>
  <si>
    <t xml:space="preserve"> September 5, 2017</t>
  </si>
  <si>
    <t xml:space="preserve">4 Seasons</t>
  </si>
  <si>
    <t xml:space="preserve">The Vampire Diaries</t>
  </si>
  <si>
    <t xml:space="preserve"> September 4, 2017</t>
  </si>
  <si>
    <t xml:space="preserve">8 Seasons</t>
  </si>
  <si>
    <t xml:space="preserve">Gotham</t>
  </si>
  <si>
    <t xml:space="preserve">Danny Cannon</t>
  </si>
  <si>
    <t xml:space="preserve"> September 30, 2019</t>
  </si>
  <si>
    <t xml:space="preserve">Real Rob</t>
  </si>
  <si>
    <t xml:space="preserve"> September 29, 2017</t>
  </si>
  <si>
    <t xml:space="preserve">Reboot: The Guardian Code</t>
  </si>
  <si>
    <t xml:space="preserve"> September 28, 2018</t>
  </si>
  <si>
    <t xml:space="preserve">Skylanders Academy</t>
  </si>
  <si>
    <t xml:space="preserve">El Marginal</t>
  </si>
  <si>
    <t xml:space="preserve"> September 27, 2019</t>
  </si>
  <si>
    <t xml:space="preserve">Explained</t>
  </si>
  <si>
    <t xml:space="preserve"> September 26, 2019</t>
  </si>
  <si>
    <t xml:space="preserve">Norsemen</t>
  </si>
  <si>
    <t xml:space="preserve"> September 26, 2018</t>
  </si>
  <si>
    <t xml:space="preserve">Terrace House: Aloha State</t>
  </si>
  <si>
    <t xml:space="preserve"> September 26, 2017</t>
  </si>
  <si>
    <t xml:space="preserve">Abstract: The Art of Design</t>
  </si>
  <si>
    <t xml:space="preserve"> September 25, 2019</t>
  </si>
  <si>
    <t xml:space="preserve">Glitch</t>
  </si>
  <si>
    <t xml:space="preserve">Portlandia</t>
  </si>
  <si>
    <t xml:space="preserve">Dark Matter</t>
  </si>
  <si>
    <t xml:space="preserve"> September 25, 2017</t>
  </si>
  <si>
    <t xml:space="preserve">TV Sci-Fi &amp; Fantasy, TV Thrillers</t>
  </si>
  <si>
    <t xml:space="preserve">American Horror Story</t>
  </si>
  <si>
    <t xml:space="preserve"> September 24, 2019</t>
  </si>
  <si>
    <t xml:space="preserve">TV Horror, TV Mysteries, TV Thrillers</t>
  </si>
  <si>
    <t xml:space="preserve">Resurrection: Ertugrul</t>
  </si>
  <si>
    <t xml:space="preserve">VeggieTales in the House</t>
  </si>
  <si>
    <t xml:space="preserve"> September 23, 2016</t>
  </si>
  <si>
    <t xml:space="preserve">Person of Interest</t>
  </si>
  <si>
    <t xml:space="preserve"> September 22, 2016</t>
  </si>
  <si>
    <t xml:space="preserve">Disenchantment</t>
  </si>
  <si>
    <t xml:space="preserve"> September 20, 2019</t>
  </si>
  <si>
    <t xml:space="preserve">TV Action &amp; Adventure, TV Comedies, TV Sci-Fi &amp; Fantasy</t>
  </si>
  <si>
    <t xml:space="preserve">Fastest Car</t>
  </si>
  <si>
    <t xml:space="preserve">Quantico</t>
  </si>
  <si>
    <t xml:space="preserve"> September 2, 2018</t>
  </si>
  <si>
    <t xml:space="preserve">The Blacklist</t>
  </si>
  <si>
    <t xml:space="preserve"> September 19, 2019</t>
  </si>
  <si>
    <t xml:space="preserve">6 Seasons</t>
  </si>
  <si>
    <t xml:space="preserve">Beauty &amp; the Beast</t>
  </si>
  <si>
    <t xml:space="preserve"> September 19, 2016</t>
  </si>
  <si>
    <t xml:space="preserve">The Adjusters</t>
  </si>
  <si>
    <t xml:space="preserve"> September 18, 2017</t>
  </si>
  <si>
    <t xml:space="preserve">Penny Dreadful</t>
  </si>
  <si>
    <t xml:space="preserve"> September 17, 2016</t>
  </si>
  <si>
    <t xml:space="preserve">Mini Wolf</t>
  </si>
  <si>
    <t xml:space="preserve"> September 16, 2018</t>
  </si>
  <si>
    <t xml:space="preserve">Silver Spoon</t>
  </si>
  <si>
    <t xml:space="preserve"> September 15, 2017</t>
  </si>
  <si>
    <t xml:space="preserve">VeggieTales in the City</t>
  </si>
  <si>
    <t xml:space="preserve">American Vandal</t>
  </si>
  <si>
    <t xml:space="preserve"> September 14, 2018</t>
  </si>
  <si>
    <t xml:space="preserve">Crime TV Shows, TV Comedies, Teen TV Shows</t>
  </si>
  <si>
    <t xml:space="preserve">Ingobernable</t>
  </si>
  <si>
    <t xml:space="preserve">I'm Sorry</t>
  </si>
  <si>
    <t xml:space="preserve"> September 13, 2019</t>
  </si>
  <si>
    <t xml:space="preserve">The Chef Show</t>
  </si>
  <si>
    <t xml:space="preserve">The Ranch</t>
  </si>
  <si>
    <t xml:space="preserve">Zak Storm</t>
  </si>
  <si>
    <t xml:space="preserve">United States, France, South Korea, Indonesia</t>
  </si>
  <si>
    <t xml:space="preserve"> September 13, 2018</t>
  </si>
  <si>
    <t xml:space="preserve">Offspring</t>
  </si>
  <si>
    <t xml:space="preserve"> September 13, 2017</t>
  </si>
  <si>
    <t xml:space="preserve">Tobot</t>
  </si>
  <si>
    <t xml:space="preserve"> September 11, 2019</t>
  </si>
  <si>
    <t xml:space="preserve">Shameless (U.S.)</t>
  </si>
  <si>
    <t xml:space="preserve"> September 10, 2019</t>
  </si>
  <si>
    <t xml:space="preserve">9 Seasons</t>
  </si>
  <si>
    <t xml:space="preserve">Sword Art Online</t>
  </si>
  <si>
    <t xml:space="preserve">Marvel's Agents of S.H.I.E.L.D.</t>
  </si>
  <si>
    <t xml:space="preserve"> September 1, 2019</t>
  </si>
  <si>
    <t xml:space="preserve">Moving Art</t>
  </si>
  <si>
    <t xml:space="preserve">Naruto</t>
  </si>
  <si>
    <t xml:space="preserve">Hayato Date</t>
  </si>
  <si>
    <t xml:space="preserve">Nature's Weirdest Events</t>
  </si>
  <si>
    <t xml:space="preserve">Scream</t>
  </si>
  <si>
    <t xml:space="preserve">Crime TV Shows, TV Horror, TV Mysteries</t>
  </si>
  <si>
    <t xml:space="preserve">The Walking Dead</t>
  </si>
  <si>
    <t xml:space="preserve">Classic &amp; Cult TV, TV Action &amp; Adventure, TV Dramas</t>
  </si>
  <si>
    <t xml:space="preserve">Narcos</t>
  </si>
  <si>
    <t xml:space="preserve">United States, Colombia, Mexico</t>
  </si>
  <si>
    <t xml:space="preserve"> September 1, 2017</t>
  </si>
  <si>
    <t xml:space="preserve">Robocar Poli</t>
  </si>
  <si>
    <t xml:space="preserve">Toast of London</t>
  </si>
  <si>
    <t xml:space="preserve">Michael Cumming</t>
  </si>
  <si>
    <t xml:space="preserve">British TV Shows, Classic &amp; Cult TV, TV Comedies</t>
  </si>
  <si>
    <t xml:space="preserve">Forensic Files</t>
  </si>
  <si>
    <t xml:space="preserve"> September 1, 2016</t>
  </si>
  <si>
    <t xml:space="preserve">The 4400</t>
  </si>
  <si>
    <t xml:space="preserve"> September 1, 2013</t>
  </si>
  <si>
    <t xml:space="preserve">Sofia the First</t>
  </si>
  <si>
    <t xml:space="preserve"> October 8, 2018</t>
  </si>
  <si>
    <t xml:space="preserve">Gossip Girl</t>
  </si>
  <si>
    <t xml:space="preserve"> October 8, 2013</t>
  </si>
  <si>
    <t xml:space="preserve">Kibaoh Klashers</t>
  </si>
  <si>
    <t xml:space="preserve"> October 6, 2017</t>
  </si>
  <si>
    <t xml:space="preserve">Word Party</t>
  </si>
  <si>
    <t xml:space="preserve">The Fosters</t>
  </si>
  <si>
    <t xml:space="preserve"> October 5, 2017</t>
  </si>
  <si>
    <t xml:space="preserve">Creeped Out</t>
  </si>
  <si>
    <t xml:space="preserve"> October 4, 2019</t>
  </si>
  <si>
    <t xml:space="preserve">British TV Shows, Kids' TV, TV Thrillers</t>
  </si>
  <si>
    <t xml:space="preserve">Peaky Blinders</t>
  </si>
  <si>
    <t xml:space="preserve">Rotten</t>
  </si>
  <si>
    <t xml:space="preserve">Super Monsters</t>
  </si>
  <si>
    <t xml:space="preserve">KENGAN ASHURA</t>
  </si>
  <si>
    <t xml:space="preserve"> October 31, 2019</t>
  </si>
  <si>
    <t xml:space="preserve">Midnight Diner: Tokyo Stories</t>
  </si>
  <si>
    <t xml:space="preserve">Goldie &amp; Bear</t>
  </si>
  <si>
    <t xml:space="preserve"> October 31, 2018</t>
  </si>
  <si>
    <t xml:space="preserve">Flavorful Origins</t>
  </si>
  <si>
    <t xml:space="preserve"> October 30, 2019</t>
  </si>
  <si>
    <t xml:space="preserve">Fate/EXTRA Last Encore</t>
  </si>
  <si>
    <t xml:space="preserve"> October 30, 2018</t>
  </si>
  <si>
    <t xml:space="preserve"> October 3, 2017</t>
  </si>
  <si>
    <t xml:space="preserve">Jeopardy!</t>
  </si>
  <si>
    <t xml:space="preserve"> October 28, 2019</t>
  </si>
  <si>
    <t xml:space="preserve">Castlevania</t>
  </si>
  <si>
    <t xml:space="preserve"> October 26, 2018</t>
  </si>
  <si>
    <t xml:space="preserve">Anime Series, TV Horror, TV Thrillers</t>
  </si>
  <si>
    <t xml:space="preserve">BoJack Horseman</t>
  </si>
  <si>
    <t xml:space="preserve"> October 25, 2019</t>
  </si>
  <si>
    <t xml:space="preserve">ChuChu TV Kids Songs, Learning Videos &amp; Bedtime Stories</t>
  </si>
  <si>
    <t xml:space="preserve">Greenhouse Academy</t>
  </si>
  <si>
    <t xml:space="preserve">Kids' TV, TV Dramas, Teen TV Shows</t>
  </si>
  <si>
    <t xml:space="preserve">The Kominsky Method</t>
  </si>
  <si>
    <t xml:space="preserve">Great News</t>
  </si>
  <si>
    <t xml:space="preserve"> October 25, 2018</t>
  </si>
  <si>
    <t xml:space="preserve">W1A</t>
  </si>
  <si>
    <t xml:space="preserve"> October 24, 2017</t>
  </si>
  <si>
    <t xml:space="preserve">The Hollywood Masters</t>
  </si>
  <si>
    <t xml:space="preserve"> October 23, 2018</t>
  </si>
  <si>
    <t xml:space="preserve">Hemlock Grove</t>
  </si>
  <si>
    <t xml:space="preserve"> October 23, 2015</t>
  </si>
  <si>
    <t xml:space="preserve">Bunk'd</t>
  </si>
  <si>
    <t xml:space="preserve"> October 21, 2018</t>
  </si>
  <si>
    <t xml:space="preserve">Haters Back Off</t>
  </si>
  <si>
    <t xml:space="preserve"> October 20, 2017</t>
  </si>
  <si>
    <t xml:space="preserve">TV Comedies, Teen TV Shows</t>
  </si>
  <si>
    <t xml:space="preserve">Monty Python's Flying Circus</t>
  </si>
  <si>
    <t xml:space="preserve"> October 2, 2018</t>
  </si>
  <si>
    <t xml:space="preserve">British TV Shows, Classic &amp; Cult TV, International TV Shows</t>
  </si>
  <si>
    <t xml:space="preserve">Making a Murderer</t>
  </si>
  <si>
    <t xml:space="preserve"> October 19, 2018</t>
  </si>
  <si>
    <t xml:space="preserve">Marvel's Daredevil</t>
  </si>
  <si>
    <t xml:space="preserve">Crime TV Shows, TV Action &amp; Adventure</t>
  </si>
  <si>
    <t xml:space="preserve">Project S The Series</t>
  </si>
  <si>
    <t xml:space="preserve">Baby</t>
  </si>
  <si>
    <t xml:space="preserve"> October 18, 2019</t>
  </si>
  <si>
    <t xml:space="preserve">Little Baby Bum: Nursery Rhyme Friends</t>
  </si>
  <si>
    <t xml:space="preserve">MeatEater</t>
  </si>
  <si>
    <t xml:space="preserve">Docuseries, Reality TV, Science &amp; Nature TV</t>
  </si>
  <si>
    <t xml:space="preserve">Spirit Riding Free: Pony Tales</t>
  </si>
  <si>
    <t xml:space="preserve">The House of Flowers</t>
  </si>
  <si>
    <t xml:space="preserve">Toon</t>
  </si>
  <si>
    <t xml:space="preserve">Chosen</t>
  </si>
  <si>
    <t xml:space="preserve"> October 17, 2019</t>
  </si>
  <si>
    <t xml:space="preserve">My Babysitter's a Vampire</t>
  </si>
  <si>
    <t xml:space="preserve"> October 17, 2018</t>
  </si>
  <si>
    <t xml:space="preserve">Rake</t>
  </si>
  <si>
    <t xml:space="preserve"> October 16, 2018</t>
  </si>
  <si>
    <t xml:space="preserve">Some Assembly Required</t>
  </si>
  <si>
    <t xml:space="preserve"> October 16, 2015</t>
  </si>
  <si>
    <t xml:space="preserve">Octonauts</t>
  </si>
  <si>
    <t xml:space="preserve">United States, Ireland, United Kingdom</t>
  </si>
  <si>
    <t xml:space="preserve"> October 15, 2018</t>
  </si>
  <si>
    <t xml:space="preserve">Power Rangers Ninja Steel</t>
  </si>
  <si>
    <t xml:space="preserve">The Seven Deadly Sins</t>
  </si>
  <si>
    <t xml:space="preserve">West Coast Customs</t>
  </si>
  <si>
    <t xml:space="preserve"> October 15, 2017</t>
  </si>
  <si>
    <t xml:space="preserve">Vampire Knight</t>
  </si>
  <si>
    <t xml:space="preserve"> October 15, 2016</t>
  </si>
  <si>
    <t xml:space="preserve">Edgar Rice Burroughs' Tarzan and Jane</t>
  </si>
  <si>
    <t xml:space="preserve"> October 12, 2018</t>
  </si>
  <si>
    <t xml:space="preserve">Crime TV Shows, Kids' TV</t>
  </si>
  <si>
    <t xml:space="preserve">The Boss Baby: Back in Business</t>
  </si>
  <si>
    <t xml:space="preserve">Haunted</t>
  </si>
  <si>
    <t xml:space="preserve"> October 11, 2019</t>
  </si>
  <si>
    <t xml:space="preserve">Reality TV, TV Horror, TV Thrillers</t>
  </si>
  <si>
    <t xml:space="preserve">Insatiable</t>
  </si>
  <si>
    <t xml:space="preserve">The Hook Up Plan</t>
  </si>
  <si>
    <t xml:space="preserve">YooHoo to the Rescue</t>
  </si>
  <si>
    <t xml:space="preserve">Schitt's Creek</t>
  </si>
  <si>
    <t xml:space="preserve"> October 10, 2019</t>
  </si>
  <si>
    <t xml:space="preserve">Burnistoun</t>
  </si>
  <si>
    <t xml:space="preserve"> October 1, 2019</t>
  </si>
  <si>
    <t xml:space="preserve">Carmen Sandiego</t>
  </si>
  <si>
    <t xml:space="preserve">Limmy's Show!</t>
  </si>
  <si>
    <t xml:space="preserve">Killer Women with Piers Morgan</t>
  </si>
  <si>
    <t xml:space="preserve"> October 1, 2018</t>
  </si>
  <si>
    <t xml:space="preserve">Still Game</t>
  </si>
  <si>
    <t xml:space="preserve"> October 1, 2017</t>
  </si>
  <si>
    <t xml:space="preserve">Cleverman</t>
  </si>
  <si>
    <t xml:space="preserve">Australia, New Zealand, United States</t>
  </si>
  <si>
    <t xml:space="preserve">TV Dramas, TV Sci-Fi &amp; Fantasy, TV Thrillers</t>
  </si>
  <si>
    <t xml:space="preserve">Gilmore Girls</t>
  </si>
  <si>
    <t xml:space="preserve">Noddy Toyland Detective</t>
  </si>
  <si>
    <t xml:space="preserve">France, United Kingdom, United States</t>
  </si>
  <si>
    <t xml:space="preserve">Star Trek</t>
  </si>
  <si>
    <t xml:space="preserve">Classic &amp; Cult TV, TV Action &amp; Adventure, TV Sci-Fi &amp; Fantasy</t>
  </si>
  <si>
    <t xml:space="preserve">Star Trek: Enterprise</t>
  </si>
  <si>
    <t xml:space="preserve">Star Trek: Voyager</t>
  </si>
  <si>
    <t xml:space="preserve">Skin Wars</t>
  </si>
  <si>
    <t xml:space="preserve"> October 1, 2016</t>
  </si>
  <si>
    <t xml:space="preserve">Little Things</t>
  </si>
  <si>
    <t xml:space="preserve"> November 9, 2019</t>
  </si>
  <si>
    <t xml:space="preserve">Treehouse Detectives</t>
  </si>
  <si>
    <t xml:space="preserve"> November 9, 2018</t>
  </si>
  <si>
    <t xml:space="preserve">Danger Mouse</t>
  </si>
  <si>
    <t xml:space="preserve"> November 9, 2016</t>
  </si>
  <si>
    <t xml:space="preserve">Busted!</t>
  </si>
  <si>
    <t xml:space="preserve"> November 8, 2019</t>
  </si>
  <si>
    <t xml:space="preserve">The Great British Baking Show: Holidays</t>
  </si>
  <si>
    <t xml:space="preserve">Wild District</t>
  </si>
  <si>
    <t xml:space="preserve">Fate/Apocrypha</t>
  </si>
  <si>
    <t xml:space="preserve"> November 7, 2017</t>
  </si>
  <si>
    <t xml:space="preserve">Project Mc²</t>
  </si>
  <si>
    <t xml:space="preserve">Millennials</t>
  </si>
  <si>
    <t xml:space="preserve"> November 5, 2019</t>
  </si>
  <si>
    <t xml:space="preserve">Sam &amp; Cat</t>
  </si>
  <si>
    <t xml:space="preserve">She-Ra and the Princesses of Power</t>
  </si>
  <si>
    <t xml:space="preserve">The End of the F***ing World</t>
  </si>
  <si>
    <t xml:space="preserve">Meet the Adebanjos</t>
  </si>
  <si>
    <t xml:space="preserve"> November 4, 2019</t>
  </si>
  <si>
    <t xml:space="preserve">F is for Family</t>
  </si>
  <si>
    <t xml:space="preserve">United States, France, Canada</t>
  </si>
  <si>
    <t xml:space="preserve"> November 30, 2018</t>
  </si>
  <si>
    <t xml:space="preserve">Spy Kids: Mission Critical</t>
  </si>
  <si>
    <t xml:space="preserve">Man Down</t>
  </si>
  <si>
    <t xml:space="preserve"> November 30, 2017</t>
  </si>
  <si>
    <t xml:space="preserve"> November 3, 2018</t>
  </si>
  <si>
    <t xml:space="preserve">Kopitiam</t>
  </si>
  <si>
    <t xml:space="preserve">Julius Jr.</t>
  </si>
  <si>
    <t xml:space="preserve"> November 3, 2015</t>
  </si>
  <si>
    <t xml:space="preserve">Chip and Potato</t>
  </si>
  <si>
    <t xml:space="preserve">Canada, United Kingdom</t>
  </si>
  <si>
    <t xml:space="preserve"> November 29, 2019</t>
  </si>
  <si>
    <t xml:space="preserve">La Reina del Sur</t>
  </si>
  <si>
    <t xml:space="preserve">United States, Spain, Colombia, Mexico</t>
  </si>
  <si>
    <t xml:space="preserve">Good Morning Call</t>
  </si>
  <si>
    <t xml:space="preserve"> November 28, 2017</t>
  </si>
  <si>
    <t xml:space="preserve">Broadchurch</t>
  </si>
  <si>
    <t xml:space="preserve"> November 27, 2017</t>
  </si>
  <si>
    <t xml:space="preserve">The Crime</t>
  </si>
  <si>
    <t xml:space="preserve"> November 26, 2019</t>
  </si>
  <si>
    <t xml:space="preserve">Frontier</t>
  </si>
  <si>
    <t xml:space="preserve"> November 23, 2018</t>
  </si>
  <si>
    <t xml:space="preserve">Sick Note</t>
  </si>
  <si>
    <t xml:space="preserve">High Seas</t>
  </si>
  <si>
    <t xml:space="preserve"> November 22, 2019</t>
  </si>
  <si>
    <t xml:space="preserve">Nailed It! Holiday!</t>
  </si>
  <si>
    <t xml:space="preserve">The Dragon Prince</t>
  </si>
  <si>
    <t xml:space="preserve">Trolls: The Beat Goes On!</t>
  </si>
  <si>
    <t xml:space="preserve">Mystery Science Theater 3000: The Return</t>
  </si>
  <si>
    <t xml:space="preserve"> November 22, 2018</t>
  </si>
  <si>
    <t xml:space="preserve">Lilyhammer</t>
  </si>
  <si>
    <t xml:space="preserve">Norway, United States</t>
  </si>
  <si>
    <t xml:space="preserve"> November 21, 2014</t>
  </si>
  <si>
    <t xml:space="preserve">Victorious</t>
  </si>
  <si>
    <t xml:space="preserve"> November 2, 2019</t>
  </si>
  <si>
    <t xml:space="preserve">House of Cards</t>
  </si>
  <si>
    <t xml:space="preserve"> November 2, 2018</t>
  </si>
  <si>
    <t xml:space="preserve">The Last Kingdom</t>
  </si>
  <si>
    <t xml:space="preserve"> November 19, 2018</t>
  </si>
  <si>
    <t xml:space="preserve">Goosebumps</t>
  </si>
  <si>
    <t xml:space="preserve"> November 19, 2014</t>
  </si>
  <si>
    <t xml:space="preserve">The Magic School Bus</t>
  </si>
  <si>
    <t xml:space="preserve">The Crown</t>
  </si>
  <si>
    <t xml:space="preserve"> November 17, 2019</t>
  </si>
  <si>
    <t xml:space="preserve">Longmire</t>
  </si>
  <si>
    <t xml:space="preserve"> November 17, 2017</t>
  </si>
  <si>
    <t xml:space="preserve">Luna Petunia</t>
  </si>
  <si>
    <t xml:space="preserve">Ponysitters Club</t>
  </si>
  <si>
    <t xml:space="preserve"> November 16, 2018</t>
  </si>
  <si>
    <t xml:space="preserve">Kids' TV, TV Dramas</t>
  </si>
  <si>
    <t xml:space="preserve">K-On!</t>
  </si>
  <si>
    <t xml:space="preserve"> November 15, 2019</t>
  </si>
  <si>
    <t xml:space="preserve">Llama Llama</t>
  </si>
  <si>
    <t xml:space="preserve">The Toys That Made Us</t>
  </si>
  <si>
    <t xml:space="preserve">The Yard</t>
  </si>
  <si>
    <t xml:space="preserve">Chief of Staff</t>
  </si>
  <si>
    <t xml:space="preserve"> November 12, 2019</t>
  </si>
  <si>
    <t xml:space="preserve">My Little Pony: Friendship Is Magic</t>
  </si>
  <si>
    <t xml:space="preserve"> November 12, 2018</t>
  </si>
  <si>
    <t xml:space="preserve">Patriot Act with Hasan Minhaj</t>
  </si>
  <si>
    <t xml:space="preserve"> November 10, 2019</t>
  </si>
  <si>
    <t xml:space="preserve">Glitter Force Doki Doki</t>
  </si>
  <si>
    <t xml:space="preserve">Go Koga</t>
  </si>
  <si>
    <t xml:space="preserve"> November 10, 2017</t>
  </si>
  <si>
    <t xml:space="preserve">Lady Dynamite</t>
  </si>
  <si>
    <t xml:space="preserve">Atypical</t>
  </si>
  <si>
    <t xml:space="preserve"> November 1, 2019</t>
  </si>
  <si>
    <t xml:space="preserve">Billy on the Street</t>
  </si>
  <si>
    <t xml:space="preserve">Bondi Rescue</t>
  </si>
  <si>
    <t xml:space="preserve">CLANNAD</t>
  </si>
  <si>
    <t xml:space="preserve">Haikyu!!</t>
  </si>
  <si>
    <t xml:space="preserve">Love, Chunibyo &amp; Other Delusions!</t>
  </si>
  <si>
    <t xml:space="preserve">Mars</t>
  </si>
  <si>
    <t xml:space="preserve">Everardo Gout</t>
  </si>
  <si>
    <t xml:space="preserve">Docuseries, Science &amp; Nature TV, TV Dramas</t>
  </si>
  <si>
    <t xml:space="preserve">Mobile Suit Gundam: Iron-Blooded Orphans</t>
  </si>
  <si>
    <t xml:space="preserve">The Boulet Brothers Dragula</t>
  </si>
  <si>
    <t xml:space="preserve">The Deep</t>
  </si>
  <si>
    <t xml:space="preserve">Canada, Australia</t>
  </si>
  <si>
    <t xml:space="preserve">Creators</t>
  </si>
  <si>
    <t xml:space="preserve"> November 1, 2018</t>
  </si>
  <si>
    <t xml:space="preserve">Follow This</t>
  </si>
  <si>
    <t xml:space="preserve">Grand Hotel</t>
  </si>
  <si>
    <t xml:space="preserve"> November 1, 2017</t>
  </si>
  <si>
    <t xml:space="preserve">That '70s Show</t>
  </si>
  <si>
    <t xml:space="preserve">The Mind of a Chef</t>
  </si>
  <si>
    <t xml:space="preserve">Highway to Heaven</t>
  </si>
  <si>
    <t xml:space="preserve"> November 1, 2016</t>
  </si>
  <si>
    <t xml:space="preserve">Women Behind Bars</t>
  </si>
  <si>
    <t xml:space="preserve">Lucifer</t>
  </si>
  <si>
    <t xml:space="preserve"> May 8, 2019</t>
  </si>
  <si>
    <t xml:space="preserve">Queen of the South</t>
  </si>
  <si>
    <t xml:space="preserve">United States, Mexico, Spain, Malta</t>
  </si>
  <si>
    <t xml:space="preserve"> May 7, 2019</t>
  </si>
  <si>
    <t xml:space="preserve">Prince Jai Aur Dumdaar Viru</t>
  </si>
  <si>
    <t xml:space="preserve">Bhavik Thakore</t>
  </si>
  <si>
    <t xml:space="preserve"> May 7, 2018</t>
  </si>
  <si>
    <t xml:space="preserve">Kazoops!</t>
  </si>
  <si>
    <t xml:space="preserve"> May 5, 2017</t>
  </si>
  <si>
    <t xml:space="preserve">Kong: King of the Apes</t>
  </si>
  <si>
    <t xml:space="preserve">United States, Japan, Canada</t>
  </si>
  <si>
    <t xml:space="preserve"> May 4, 2018</t>
  </si>
  <si>
    <t xml:space="preserve">Bad Blood</t>
  </si>
  <si>
    <t xml:space="preserve"> May 31, 2019</t>
  </si>
  <si>
    <t xml:space="preserve">My Next Guest Needs No Introduction With David Letterman</t>
  </si>
  <si>
    <t xml:space="preserve">Oh No! It's an Alien Invasion</t>
  </si>
  <si>
    <t xml:space="preserve"> May 31, 2015</t>
  </si>
  <si>
    <t xml:space="preserve">Unbreakable Kimmy Schmidt</t>
  </si>
  <si>
    <t xml:space="preserve"> May 30, 2018</t>
  </si>
  <si>
    <t xml:space="preserve">American Crime</t>
  </si>
  <si>
    <t xml:space="preserve"> May 30, 2017</t>
  </si>
  <si>
    <t xml:space="preserve">Cupcake &amp; Dino - General Services</t>
  </si>
  <si>
    <t xml:space="preserve">Canada, Brazil</t>
  </si>
  <si>
    <t xml:space="preserve"> May 3, 2019</t>
  </si>
  <si>
    <t xml:space="preserve">Supernatural</t>
  </si>
  <si>
    <t xml:space="preserve">Phil Sgriccia</t>
  </si>
  <si>
    <t xml:space="preserve">14 Seasons</t>
  </si>
  <si>
    <t xml:space="preserve">Classic &amp; Cult TV, TV Action &amp; Adventure, TV Horror</t>
  </si>
  <si>
    <t xml:space="preserve">Total Drama</t>
  </si>
  <si>
    <t xml:space="preserve">Canada, United States, France</t>
  </si>
  <si>
    <t xml:space="preserve"> May 3, 2018</t>
  </si>
  <si>
    <t xml:space="preserve">Arrested Development</t>
  </si>
  <si>
    <t xml:space="preserve"> May 29, 2018</t>
  </si>
  <si>
    <t xml:space="preserve">DC's Legends of Tomorrow</t>
  </si>
  <si>
    <t xml:space="preserve">Rob Seidenglanz</t>
  </si>
  <si>
    <t xml:space="preserve"> May 28, 2019</t>
  </si>
  <si>
    <t xml:space="preserve">Hell on Wheels</t>
  </si>
  <si>
    <t xml:space="preserve"> May 28, 2016</t>
  </si>
  <si>
    <t xml:space="preserve">Jesse Warn</t>
  </si>
  <si>
    <t xml:space="preserve"> May 27, 2019</t>
  </si>
  <si>
    <t xml:space="preserve">Mako Mermaids: An H2O Adventure</t>
  </si>
  <si>
    <t xml:space="preserve"> May 27, 2016</t>
  </si>
  <si>
    <t xml:space="preserve">Bloodline</t>
  </si>
  <si>
    <t xml:space="preserve"> May 26, 2017</t>
  </si>
  <si>
    <t xml:space="preserve">TV Dramas, TV Mysteries, TV Thrillers</t>
  </si>
  <si>
    <t xml:space="preserve">Bitten</t>
  </si>
  <si>
    <t xml:space="preserve"> May 26, 2016</t>
  </si>
  <si>
    <t xml:space="preserve">Trollhunters</t>
  </si>
  <si>
    <t xml:space="preserve"> May 25, 2018</t>
  </si>
  <si>
    <t xml:space="preserve"> May 24, 2019</t>
  </si>
  <si>
    <t xml:space="preserve">Fauda</t>
  </si>
  <si>
    <t xml:space="preserve"> May 24, 2018</t>
  </si>
  <si>
    <t xml:space="preserve">Riverdale</t>
  </si>
  <si>
    <t xml:space="preserve"> May 23, 2019</t>
  </si>
  <si>
    <t xml:space="preserve">The Flash</t>
  </si>
  <si>
    <t xml:space="preserve">Glen Winter</t>
  </si>
  <si>
    <t xml:space="preserve"> May 22, 2019</t>
  </si>
  <si>
    <t xml:space="preserve">Crime TV Shows, TV Action &amp; Adventure, TV Sci-Fi &amp; Fantasy</t>
  </si>
  <si>
    <t xml:space="preserve">Velvet</t>
  </si>
  <si>
    <t xml:space="preserve">Carlos Sedes</t>
  </si>
  <si>
    <t xml:space="preserve"> May 22, 2017</t>
  </si>
  <si>
    <t xml:space="preserve">Richie Rich</t>
  </si>
  <si>
    <t xml:space="preserve"> May 22, 2015</t>
  </si>
  <si>
    <t xml:space="preserve">Arrow</t>
  </si>
  <si>
    <t xml:space="preserve">James Bamford</t>
  </si>
  <si>
    <t xml:space="preserve"> May 21, 2019</t>
  </si>
  <si>
    <t xml:space="preserve">Prince of Peoria</t>
  </si>
  <si>
    <t xml:space="preserve"> May 20, 2019</t>
  </si>
  <si>
    <t xml:space="preserve">Colony</t>
  </si>
  <si>
    <t xml:space="preserve"> May 2, 2019</t>
  </si>
  <si>
    <t xml:space="preserve">Scandal</t>
  </si>
  <si>
    <t xml:space="preserve"> May 19, 2018</t>
  </si>
  <si>
    <t xml:space="preserve">Mother Goose Club</t>
  </si>
  <si>
    <t xml:space="preserve"> May 19, 2017</t>
  </si>
  <si>
    <t xml:space="preserve">Inspector Gadget</t>
  </si>
  <si>
    <t xml:space="preserve"> May 18, 2018</t>
  </si>
  <si>
    <t xml:space="preserve">Royal Pains</t>
  </si>
  <si>
    <t xml:space="preserve"> May 18, 2017</t>
  </si>
  <si>
    <t xml:space="preserve">Nailed It</t>
  </si>
  <si>
    <t xml:space="preserve"> May 17, 2019</t>
  </si>
  <si>
    <t xml:space="preserve">The Rain</t>
  </si>
  <si>
    <t xml:space="preserve">White Gold</t>
  </si>
  <si>
    <t xml:space="preserve">Call the Midwife</t>
  </si>
  <si>
    <t xml:space="preserve">Philippa Lowthorpe</t>
  </si>
  <si>
    <t xml:space="preserve"> May 15, 2019</t>
  </si>
  <si>
    <t xml:space="preserve">Sherlock</t>
  </si>
  <si>
    <t xml:space="preserve"> May 15, 2017</t>
  </si>
  <si>
    <t xml:space="preserve">Master of None</t>
  </si>
  <si>
    <t xml:space="preserve"> May 12, 2017</t>
  </si>
  <si>
    <t xml:space="preserve">Bill Nye Saves the World</t>
  </si>
  <si>
    <t xml:space="preserve"> May 11, 2018</t>
  </si>
  <si>
    <t xml:space="preserve">Ha Unlimited</t>
  </si>
  <si>
    <t xml:space="preserve">Easy</t>
  </si>
  <si>
    <t xml:space="preserve"> May 10, 2019</t>
  </si>
  <si>
    <t xml:space="preserve">The Mechanism</t>
  </si>
  <si>
    <t xml:space="preserve">Code Geass: Lelouch of the Rebellion</t>
  </si>
  <si>
    <t xml:space="preserve"> May 1, 2019</t>
  </si>
  <si>
    <t xml:space="preserve">LoliRock</t>
  </si>
  <si>
    <t xml:space="preserve">South Korea, France</t>
  </si>
  <si>
    <t xml:space="preserve"> May 1, 2018</t>
  </si>
  <si>
    <t xml:space="preserve">Yu-Gi-Oh! Arc-V</t>
  </si>
  <si>
    <t xml:space="preserve">Japan, Canada</t>
  </si>
  <si>
    <t xml:space="preserve">Club Friday The Series 6</t>
  </si>
  <si>
    <t xml:space="preserve"> March 9, 2019</t>
  </si>
  <si>
    <t xml:space="preserve"> March 9, 2018</t>
  </si>
  <si>
    <t xml:space="preserve">Hunter X Hunter (2011)</t>
  </si>
  <si>
    <t xml:space="preserve"> March 8, 2019</t>
  </si>
  <si>
    <t xml:space="preserve">Hap and Leonard</t>
  </si>
  <si>
    <t xml:space="preserve"> March 6, 2019</t>
  </si>
  <si>
    <t xml:space="preserve">Secret City</t>
  </si>
  <si>
    <t xml:space="preserve">Rectify</t>
  </si>
  <si>
    <t xml:space="preserve"> March 4, 2017</t>
  </si>
  <si>
    <t xml:space="preserve">Dad's Army</t>
  </si>
  <si>
    <t xml:space="preserve"> March 31, 2018</t>
  </si>
  <si>
    <t xml:space="preserve">10 Seasons</t>
  </si>
  <si>
    <t xml:space="preserve">Days We Stared at the Sun</t>
  </si>
  <si>
    <t xml:space="preserve">Doctor Foster</t>
  </si>
  <si>
    <t xml:space="preserve">Father Brown</t>
  </si>
  <si>
    <t xml:space="preserve">Ian Barber</t>
  </si>
  <si>
    <t xml:space="preserve">ViR: The Robot Boy</t>
  </si>
  <si>
    <t xml:space="preserve">Wake Up</t>
  </si>
  <si>
    <t xml:space="preserve">Yu-Gi-Oh!</t>
  </si>
  <si>
    <t xml:space="preserve">Extras</t>
  </si>
  <si>
    <t xml:space="preserve"> March 31, 2017</t>
  </si>
  <si>
    <t xml:space="preserve">Hoff the Record</t>
  </si>
  <si>
    <t xml:space="preserve">Gordon Anderson</t>
  </si>
  <si>
    <t xml:space="preserve">The House That Made Me</t>
  </si>
  <si>
    <t xml:space="preserve">Weird Wonders of the World</t>
  </si>
  <si>
    <t xml:space="preserve">Republic of Doyle</t>
  </si>
  <si>
    <t xml:space="preserve"> March 31, 2016</t>
  </si>
  <si>
    <t xml:space="preserve">How to Get Away with Murder</t>
  </si>
  <si>
    <t xml:space="preserve"> March 30, 2019</t>
  </si>
  <si>
    <t xml:space="preserve">Trailer Park Boys</t>
  </si>
  <si>
    <t xml:space="preserve"> March 30, 2018</t>
  </si>
  <si>
    <t xml:space="preserve">12 Seasons</t>
  </si>
  <si>
    <t xml:space="preserve">On My Block</t>
  </si>
  <si>
    <t xml:space="preserve"> March 29, 2019</t>
  </si>
  <si>
    <t xml:space="preserve">Santa Clarita Diet</t>
  </si>
  <si>
    <t xml:space="preserve">TV Comedies, TV Horror, TV Thrillers</t>
  </si>
  <si>
    <t xml:space="preserve">Versailles</t>
  </si>
  <si>
    <t xml:space="preserve">Hyori's Bed &amp; Breakfast</t>
  </si>
  <si>
    <t xml:space="preserve"> March 29, 2018</t>
  </si>
  <si>
    <t xml:space="preserve">Ainori Love Wagon: Asian Journey</t>
  </si>
  <si>
    <t xml:space="preserve"> March 28, 2019</t>
  </si>
  <si>
    <t xml:space="preserve">Black Lightning</t>
  </si>
  <si>
    <t xml:space="preserve"> March 26, 2019</t>
  </si>
  <si>
    <t xml:space="preserve">Better Call Saul</t>
  </si>
  <si>
    <t xml:space="preserve"> March 26, 2018</t>
  </si>
  <si>
    <t xml:space="preserve">Bottersnikes &amp; Gumbles</t>
  </si>
  <si>
    <t xml:space="preserve"> March 24, 2017</t>
  </si>
  <si>
    <t xml:space="preserve">The OA</t>
  </si>
  <si>
    <t xml:space="preserve"> March 22, 2019</t>
  </si>
  <si>
    <t xml:space="preserve">Mad Men</t>
  </si>
  <si>
    <t xml:space="preserve"> March 22, 2015</t>
  </si>
  <si>
    <t xml:space="preserve">The L Word</t>
  </si>
  <si>
    <t xml:space="preserve"> March 20, 2018</t>
  </si>
  <si>
    <t xml:space="preserve">The Standups</t>
  </si>
  <si>
    <t xml:space="preserve">El Reemplazante</t>
  </si>
  <si>
    <t xml:space="preserve"> March 20, 2017</t>
  </si>
  <si>
    <t xml:space="preserve">Outback Truckers</t>
  </si>
  <si>
    <t xml:space="preserve"> March 17, 2017</t>
  </si>
  <si>
    <t xml:space="preserve">Angry Birds</t>
  </si>
  <si>
    <t xml:space="preserve">Finland</t>
  </si>
  <si>
    <t xml:space="preserve"> March 16, 2019</t>
  </si>
  <si>
    <t xml:space="preserve">Happy Valley</t>
  </si>
  <si>
    <t xml:space="preserve"> March 16, 2016</t>
  </si>
  <si>
    <t xml:space="preserve">Brain Games</t>
  </si>
  <si>
    <t xml:space="preserve"> March 15, 2019</t>
  </si>
  <si>
    <t xml:space="preserve">Las muñecas de la mafia</t>
  </si>
  <si>
    <t xml:space="preserve">Robozuna</t>
  </si>
  <si>
    <t xml:space="preserve">Terrace House: Opening New Doors</t>
  </si>
  <si>
    <t xml:space="preserve"> March 12, 2019</t>
  </si>
  <si>
    <t xml:space="preserve">Into the Badlands</t>
  </si>
  <si>
    <t xml:space="preserve"> March 10, 2019</t>
  </si>
  <si>
    <t xml:space="preserve">TV Action &amp; Adventure</t>
  </si>
  <si>
    <t xml:space="preserve">Guru Aur Bhole</t>
  </si>
  <si>
    <t xml:space="preserve"> March 1, 2019</t>
  </si>
  <si>
    <t xml:space="preserve">Larva Island</t>
  </si>
  <si>
    <t xml:space="preserve">Kids' TV, Korean TV Shows, TV Comedies</t>
  </si>
  <si>
    <t xml:space="preserve">Sab Jholmaal Hai</t>
  </si>
  <si>
    <t xml:space="preserve">Vijay Roche</t>
  </si>
  <si>
    <t xml:space="preserve">The Disastrous Life of Saiki K.</t>
  </si>
  <si>
    <t xml:space="preserve">Murder Maps</t>
  </si>
  <si>
    <t xml:space="preserve"> March 1, 2018</t>
  </si>
  <si>
    <t xml:space="preserve">Nazi Mega Weapons</t>
  </si>
  <si>
    <t xml:space="preserve"> March 1, 2017</t>
  </si>
  <si>
    <t xml:space="preserve">Marcella</t>
  </si>
  <si>
    <t xml:space="preserve"> June 8, 2018</t>
  </si>
  <si>
    <t xml:space="preserve">3%</t>
  </si>
  <si>
    <t xml:space="preserve"> June 7, 2019</t>
  </si>
  <si>
    <t xml:space="preserve">Designated Survivor</t>
  </si>
  <si>
    <t xml:space="preserve">The Night Shift</t>
  </si>
  <si>
    <t xml:space="preserve"> June 7, 2018</t>
  </si>
  <si>
    <t xml:space="preserve">Black Mirror</t>
  </si>
  <si>
    <t xml:space="preserve"> June 5, 2019</t>
  </si>
  <si>
    <t xml:space="preserve">Madam Secretary</t>
  </si>
  <si>
    <t xml:space="preserve"> June 30, 2019</t>
  </si>
  <si>
    <t xml:space="preserve">Scare Tactics</t>
  </si>
  <si>
    <t xml:space="preserve">Hormones</t>
  </si>
  <si>
    <t xml:space="preserve"> June 30, 2018</t>
  </si>
  <si>
    <t xml:space="preserve">Criminal Minds</t>
  </si>
  <si>
    <t xml:space="preserve"> June 30, 2017</t>
  </si>
  <si>
    <t xml:space="preserve">Little Witch Academia</t>
  </si>
  <si>
    <t xml:space="preserve">The Day My Butt Went Psycho!</t>
  </si>
  <si>
    <t xml:space="preserve"> June 30, 2015</t>
  </si>
  <si>
    <t xml:space="preserve">Documentary Now!</t>
  </si>
  <si>
    <t xml:space="preserve"> June 3, 2019</t>
  </si>
  <si>
    <t xml:space="preserve">Dynasty</t>
  </si>
  <si>
    <t xml:space="preserve">Dope</t>
  </si>
  <si>
    <t xml:space="preserve"> June 28, 2019</t>
  </si>
  <si>
    <t xml:space="preserve">Instant Hotel</t>
  </si>
  <si>
    <t xml:space="preserve">Motown Magic</t>
  </si>
  <si>
    <t xml:space="preserve">Paquita Salas</t>
  </si>
  <si>
    <t xml:space="preserve">Slasher</t>
  </si>
  <si>
    <t xml:space="preserve"> June 27, 2019</t>
  </si>
  <si>
    <t xml:space="preserve">Forest of Piano</t>
  </si>
  <si>
    <t xml:space="preserve"> June 24, 2019</t>
  </si>
  <si>
    <t xml:space="preserve">Heavy Rescue: 401</t>
  </si>
  <si>
    <t xml:space="preserve"> June 22, 2018</t>
  </si>
  <si>
    <t xml:space="preserve">Marvel's Luke Cage</t>
  </si>
  <si>
    <t xml:space="preserve">Dark</t>
  </si>
  <si>
    <t xml:space="preserve"> June 21, 2019</t>
  </si>
  <si>
    <t xml:space="preserve">Girls Incarcerated</t>
  </si>
  <si>
    <t xml:space="preserve">Go! Live Your Way</t>
  </si>
  <si>
    <t xml:space="preserve">Kids' TV, Spanish-Language TV Shows, Teen TV Shows</t>
  </si>
  <si>
    <t xml:space="preserve">Magi: The Labyrinth of Magic</t>
  </si>
  <si>
    <t xml:space="preserve">Roonpi Secret Love</t>
  </si>
  <si>
    <t xml:space="preserve">Shooter</t>
  </si>
  <si>
    <t xml:space="preserve">The Casketeers</t>
  </si>
  <si>
    <t xml:space="preserve">The Confession Tapes</t>
  </si>
  <si>
    <t xml:space="preserve">Young &amp; Hungry</t>
  </si>
  <si>
    <t xml:space="preserve"> June 21, 2017</t>
  </si>
  <si>
    <t xml:space="preserve">Pac-Man and the Ghostly Adventures</t>
  </si>
  <si>
    <t xml:space="preserve"> June 20, 2017</t>
  </si>
  <si>
    <t xml:space="preserve">Dinosaur King</t>
  </si>
  <si>
    <t xml:space="preserve"> June 2, 2018</t>
  </si>
  <si>
    <t xml:space="preserve">Flaked</t>
  </si>
  <si>
    <t xml:space="preserve"> June 2, 2017</t>
  </si>
  <si>
    <t xml:space="preserve">Club Friday The Series 7</t>
  </si>
  <si>
    <t xml:space="preserve"> June 18, 2018</t>
  </si>
  <si>
    <t xml:space="preserve"> June 16, 2017</t>
  </si>
  <si>
    <t xml:space="preserve">World of Winx</t>
  </si>
  <si>
    <t xml:space="preserve">Fate/Zero</t>
  </si>
  <si>
    <t xml:space="preserve"> June 15, 2019</t>
  </si>
  <si>
    <t xml:space="preserve">Grey's Anatomy</t>
  </si>
  <si>
    <t xml:space="preserve">15 Seasons</t>
  </si>
  <si>
    <t xml:space="preserve">Danger Mouse: Classic Collection</t>
  </si>
  <si>
    <t xml:space="preserve"> June 15, 2015</t>
  </si>
  <si>
    <t xml:space="preserve">Aggretsuko</t>
  </si>
  <si>
    <t xml:space="preserve"> June 14, 2019</t>
  </si>
  <si>
    <t xml:space="preserve">Black Spot</t>
  </si>
  <si>
    <t xml:space="preserve">El desconocido</t>
  </si>
  <si>
    <t xml:space="preserve">Girlfriends' Guide to Divorce</t>
  </si>
  <si>
    <t xml:space="preserve">Marlon</t>
  </si>
  <si>
    <t xml:space="preserve">Marvel's Jessica Jones</t>
  </si>
  <si>
    <t xml:space="preserve">Kakegurui</t>
  </si>
  <si>
    <t xml:space="preserve"> June 13, 2019</t>
  </si>
  <si>
    <t xml:space="preserve">LEGO Friends: The Power of Friendship</t>
  </si>
  <si>
    <t xml:space="preserve"> June 10, 2016</t>
  </si>
  <si>
    <t xml:space="preserve">Herrens veje</t>
  </si>
  <si>
    <t xml:space="preserve"> June 1, 2019</t>
  </si>
  <si>
    <t xml:space="preserve">March Comes in Like a Lion</t>
  </si>
  <si>
    <t xml:space="preserve">The Sniffer</t>
  </si>
  <si>
    <t xml:space="preserve"> June 1, 2018</t>
  </si>
  <si>
    <t xml:space="preserve">Mutant Busters</t>
  </si>
  <si>
    <t xml:space="preserve"> June 1, 2017</t>
  </si>
  <si>
    <t xml:space="preserve">Off Camera</t>
  </si>
  <si>
    <t xml:space="preserve">Pyaar Tune Kya Kiya</t>
  </si>
  <si>
    <t xml:space="preserve">Johnny Test</t>
  </si>
  <si>
    <t xml:space="preserve"> June 1, 2015</t>
  </si>
  <si>
    <t xml:space="preserve">Dawn of the Croods</t>
  </si>
  <si>
    <t xml:space="preserve"> July 7, 2017</t>
  </si>
  <si>
    <t xml:space="preserve">Degrassi: Next Class</t>
  </si>
  <si>
    <t xml:space="preserve">Stefan Brogren</t>
  </si>
  <si>
    <t xml:space="preserve">Free Rein</t>
  </si>
  <si>
    <t xml:space="preserve"> July 6, 2019</t>
  </si>
  <si>
    <t xml:space="preserve">British TV Shows, Kids' TV, TV Dramas</t>
  </si>
  <si>
    <t xml:space="preserve">First Team: Juventus</t>
  </si>
  <si>
    <t xml:space="preserve"> July 6, 2018</t>
  </si>
  <si>
    <t xml:space="preserve">Somebody Feed Phil</t>
  </si>
  <si>
    <t xml:space="preserve"> July 4, 2019</t>
  </si>
  <si>
    <t xml:space="preserve">Stranger Things</t>
  </si>
  <si>
    <t xml:space="preserve">Kuromukuro</t>
  </si>
  <si>
    <t xml:space="preserve"> July 4, 2016</t>
  </si>
  <si>
    <t xml:space="preserve">The Letdown</t>
  </si>
  <si>
    <t xml:space="preserve"> July 31, 2019</t>
  </si>
  <si>
    <t xml:space="preserve">A Very Secret Service</t>
  </si>
  <si>
    <t xml:space="preserve"> July 30, 2018</t>
  </si>
  <si>
    <t xml:space="preserve">SWORDGAI The Animation</t>
  </si>
  <si>
    <t xml:space="preserve">Yummy Mummies</t>
  </si>
  <si>
    <t xml:space="preserve"> July 3, 2019</t>
  </si>
  <si>
    <t xml:space="preserve">LEGO Bionicle: The Journey to One</t>
  </si>
  <si>
    <t xml:space="preserve"> July 29, 2016</t>
  </si>
  <si>
    <t xml:space="preserve">Kath and Kim</t>
  </si>
  <si>
    <t xml:space="preserve"> July 28, 2018</t>
  </si>
  <si>
    <t xml:space="preserve">El Chapo</t>
  </si>
  <si>
    <t xml:space="preserve"> July 27, 2018</t>
  </si>
  <si>
    <t xml:space="preserve">Crime TV Shows, Spanish-Language TV Shows, TV Action &amp; Adventure</t>
  </si>
  <si>
    <t xml:space="preserve">Big Dreams, Small Spaces</t>
  </si>
  <si>
    <t xml:space="preserve"> July 26, 2019</t>
  </si>
  <si>
    <t xml:space="preserve">My First First Love</t>
  </si>
  <si>
    <t xml:space="preserve">Orange Is the New Black</t>
  </si>
  <si>
    <t xml:space="preserve">Sugar Rush</t>
  </si>
  <si>
    <t xml:space="preserve">The Worst Witch</t>
  </si>
  <si>
    <t xml:space="preserve">Popples</t>
  </si>
  <si>
    <t xml:space="preserve"> July 24, 2016</t>
  </si>
  <si>
    <t xml:space="preserve">Beat Bugs</t>
  </si>
  <si>
    <t xml:space="preserve"> July 21, 2019</t>
  </si>
  <si>
    <t xml:space="preserve">Deep Undercover Collection</t>
  </si>
  <si>
    <t xml:space="preserve"> July 20, 2018</t>
  </si>
  <si>
    <t xml:space="preserve">Fix It and Finish It</t>
  </si>
  <si>
    <t xml:space="preserve">Home: Adventures with Tip &amp; Oh</t>
  </si>
  <si>
    <t xml:space="preserve">Luna Petunia: Return to Amazia</t>
  </si>
  <si>
    <t xml:space="preserve">Origins Collection</t>
  </si>
  <si>
    <t xml:space="preserve">Peter McDonnell</t>
  </si>
  <si>
    <t xml:space="preserve">Good Witch</t>
  </si>
  <si>
    <t xml:space="preserve"> July 2, 2019</t>
  </si>
  <si>
    <t xml:space="preserve">Comedians in Cars Getting Coffee</t>
  </si>
  <si>
    <t xml:space="preserve"> July 19, 2019</t>
  </si>
  <si>
    <t xml:space="preserve">La casa de papel</t>
  </si>
  <si>
    <t xml:space="preserve">Last Chance U</t>
  </si>
  <si>
    <t xml:space="preserve">Queer Eye</t>
  </si>
  <si>
    <t xml:space="preserve">The Epic Tales of Captain Underpants</t>
  </si>
  <si>
    <t xml:space="preserve">Can't Cope, Won't Cope</t>
  </si>
  <si>
    <t xml:space="preserve"> July 19, 2018</t>
  </si>
  <si>
    <t xml:space="preserve">Intelligence</t>
  </si>
  <si>
    <t xml:space="preserve"> July 19, 2017</t>
  </si>
  <si>
    <t xml:space="preserve">Glee</t>
  </si>
  <si>
    <t xml:space="preserve"> July 18, 2015</t>
  </si>
  <si>
    <t xml:space="preserve">Pinky Malinky</t>
  </si>
  <si>
    <t xml:space="preserve"> July 17, 2019</t>
  </si>
  <si>
    <t xml:space="preserve">Wynonna Earp</t>
  </si>
  <si>
    <t xml:space="preserve"> July 16, 2019</t>
  </si>
  <si>
    <t xml:space="preserve">The Joel McHale Show with Joel McHale</t>
  </si>
  <si>
    <t xml:space="preserve"> July 15, 2018</t>
  </si>
  <si>
    <t xml:space="preserve">H2O: Mermaid Adventures</t>
  </si>
  <si>
    <t xml:space="preserve"> July 15, 2015</t>
  </si>
  <si>
    <t xml:space="preserve">3Below: Tales of Arcadia</t>
  </si>
  <si>
    <t xml:space="preserve"> July 12, 2019</t>
  </si>
  <si>
    <t xml:space="preserve">Bonus Family</t>
  </si>
  <si>
    <t xml:space="preserve">Nightmare Tenants, Slum Landlords</t>
  </si>
  <si>
    <t xml:space="preserve">Mossad 101</t>
  </si>
  <si>
    <t xml:space="preserve"> July 11, 2018</t>
  </si>
  <si>
    <t xml:space="preserve">Baby Ballroom</t>
  </si>
  <si>
    <t xml:space="preserve"> July 10, 2018</t>
  </si>
  <si>
    <t xml:space="preserve">Drug Lords</t>
  </si>
  <si>
    <t xml:space="preserve">Hatchimals | Adventures in Hatchtopia</t>
  </si>
  <si>
    <t xml:space="preserve"> July 1, 2019</t>
  </si>
  <si>
    <t xml:space="preserve">Tayo the Little Bus</t>
  </si>
  <si>
    <t xml:space="preserve">Zombie Dumb</t>
  </si>
  <si>
    <t xml:space="preserve">NCIS</t>
  </si>
  <si>
    <t xml:space="preserve"> July 1, 2018</t>
  </si>
  <si>
    <t xml:space="preserve">Being Mary Jane: The Series</t>
  </si>
  <si>
    <t xml:space="preserve"> July 1, 2017</t>
  </si>
  <si>
    <t xml:space="preserve">Cheers</t>
  </si>
  <si>
    <t xml:space="preserve">11 Seasons</t>
  </si>
  <si>
    <t xml:space="preserve">Classic &amp; Cult TV, TV Comedies</t>
  </si>
  <si>
    <t xml:space="preserve">El Barco</t>
  </si>
  <si>
    <t xml:space="preserve">Intersection</t>
  </si>
  <si>
    <t xml:space="preserve">The Andy Griffith Show</t>
  </si>
  <si>
    <t xml:space="preserve">The Twilight Zone (Original Series)</t>
  </si>
  <si>
    <t xml:space="preserve">Classic &amp; Cult TV, TV Sci-Fi &amp; Fantasy</t>
  </si>
  <si>
    <t xml:space="preserve">Twin Peaks</t>
  </si>
  <si>
    <t xml:space="preserve">Classic &amp; Cult TV, Crime TV Shows, TV Dramas</t>
  </si>
  <si>
    <t xml:space="preserve">Unriddle</t>
  </si>
  <si>
    <t xml:space="preserve">Between</t>
  </si>
  <si>
    <t xml:space="preserve"> July 1, 2016</t>
  </si>
  <si>
    <t xml:space="preserve">Marco Polo</t>
  </si>
  <si>
    <t xml:space="preserve">The Tudors</t>
  </si>
  <si>
    <t xml:space="preserve">Ireland, Canada, United States, United Kingdom</t>
  </si>
  <si>
    <t xml:space="preserve"> January 8, 2018</t>
  </si>
  <si>
    <t xml:space="preserve">Episodes</t>
  </si>
  <si>
    <t xml:space="preserve"> January 6, 2018</t>
  </si>
  <si>
    <t xml:space="preserve">Tales by Light</t>
  </si>
  <si>
    <t xml:space="preserve"> January 5, 2019</t>
  </si>
  <si>
    <t xml:space="preserve">Call My Agent!</t>
  </si>
  <si>
    <t xml:space="preserve"> January 4, 2019</t>
  </si>
  <si>
    <t xml:space="preserve">Anne with an E</t>
  </si>
  <si>
    <t xml:space="preserve"> January 3, 2020</t>
  </si>
  <si>
    <t xml:space="preserve">The Ministry of Time</t>
  </si>
  <si>
    <t xml:space="preserve"> January 28, 2018</t>
  </si>
  <si>
    <t xml:space="preserve">Z Nation</t>
  </si>
  <si>
    <t xml:space="preserve"> January 27, 2019</t>
  </si>
  <si>
    <t xml:space="preserve">The Adventures of Puss in Boots</t>
  </si>
  <si>
    <t xml:space="preserve"> January 26, 2018</t>
  </si>
  <si>
    <t xml:space="preserve">Club of Crows</t>
  </si>
  <si>
    <t xml:space="preserve"> January 25, 2019</t>
  </si>
  <si>
    <t xml:space="preserve">Medici: Masters of Florence</t>
  </si>
  <si>
    <t xml:space="preserve">Italy, United Kingdom, France</t>
  </si>
  <si>
    <t xml:space="preserve">The Shannara Chronicles</t>
  </si>
  <si>
    <t xml:space="preserve"> January 22, 2018</t>
  </si>
  <si>
    <t xml:space="preserve">Marvel's The Punisher</t>
  </si>
  <si>
    <t xml:space="preserve"> January 18, 2019</t>
  </si>
  <si>
    <t xml:space="preserve">Crime TV Shows, TV Action &amp; Adventure, TV Thrillers</t>
  </si>
  <si>
    <t xml:space="preserve">The World's Most Extraordinary Homes</t>
  </si>
  <si>
    <t xml:space="preserve">Hip-Hop Evolution</t>
  </si>
  <si>
    <t xml:space="preserve"> January 17, 2020</t>
  </si>
  <si>
    <t xml:space="preserve">Friday Night Tykes</t>
  </si>
  <si>
    <t xml:space="preserve"> January 17, 2018</t>
  </si>
  <si>
    <t xml:space="preserve">Yunus Emre</t>
  </si>
  <si>
    <t xml:space="preserve"> January 17, 2017</t>
  </si>
  <si>
    <t xml:space="preserve">Booba</t>
  </si>
  <si>
    <t xml:space="preserve"> January 16, 2020</t>
  </si>
  <si>
    <t xml:space="preserve">Soul Eater</t>
  </si>
  <si>
    <t xml:space="preserve">Rita</t>
  </si>
  <si>
    <t xml:space="preserve"> January 16, 2018</t>
  </si>
  <si>
    <t xml:space="preserve">Grace and Frankie</t>
  </si>
  <si>
    <t xml:space="preserve"> January 15, 2020</t>
  </si>
  <si>
    <t xml:space="preserve">The Cat in the Hat Knows a Lot About That!</t>
  </si>
  <si>
    <t xml:space="preserve">Tony Collingwood</t>
  </si>
  <si>
    <t xml:space="preserve"> January 15, 2017</t>
  </si>
  <si>
    <t xml:space="preserve">Parks and Recreation</t>
  </si>
  <si>
    <t xml:space="preserve"> January 13, 2016</t>
  </si>
  <si>
    <t xml:space="preserve">Taken</t>
  </si>
  <si>
    <t xml:space="preserve"> January 12, 2019</t>
  </si>
  <si>
    <t xml:space="preserve">Disjointed</t>
  </si>
  <si>
    <t xml:space="preserve"> January 12, 2018</t>
  </si>
  <si>
    <t xml:space="preserve">Friends from College</t>
  </si>
  <si>
    <t xml:space="preserve"> January 11, 2019</t>
  </si>
  <si>
    <t xml:space="preserve">Hardy Bucks</t>
  </si>
  <si>
    <t xml:space="preserve">Horrid Henry</t>
  </si>
  <si>
    <t xml:space="preserve">Sin Senos sí Hay Paraíso</t>
  </si>
  <si>
    <t xml:space="preserve">United States, Colombia</t>
  </si>
  <si>
    <t xml:space="preserve">Harvey Street Kids</t>
  </si>
  <si>
    <t xml:space="preserve"> January 10, 2020</t>
  </si>
  <si>
    <t xml:space="preserve">Pocoyo</t>
  </si>
  <si>
    <t xml:space="preserve">Spain, United Kingdom</t>
  </si>
  <si>
    <t xml:space="preserve"> January 10, 2019</t>
  </si>
  <si>
    <t xml:space="preserve">Saint Seiya</t>
  </si>
  <si>
    <t xml:space="preserve"> January 1, 2020</t>
  </si>
  <si>
    <t xml:space="preserve">Border Security: America's Front Line</t>
  </si>
  <si>
    <t xml:space="preserve">Crime TV Shows, International TV Shows, Reality TV</t>
  </si>
  <si>
    <t xml:space="preserve">Mia and Me</t>
  </si>
  <si>
    <t xml:space="preserve">Netherlands, Germany, Italy, Canada</t>
  </si>
  <si>
    <t xml:space="preserve">Rurouni Kenshin</t>
  </si>
  <si>
    <t xml:space="preserve">A Series of Unfortunate Events</t>
  </si>
  <si>
    <t xml:space="preserve"> January 1, 2019</t>
  </si>
  <si>
    <t xml:space="preserve">COMEDIANS of the world</t>
  </si>
  <si>
    <t xml:space="preserve">13 Seasons</t>
  </si>
  <si>
    <t xml:space="preserve">The Paper</t>
  </si>
  <si>
    <t xml:space="preserve">Croatia</t>
  </si>
  <si>
    <t xml:space="preserve">Dexter</t>
  </si>
  <si>
    <t xml:space="preserve"> January 1, 2018</t>
  </si>
  <si>
    <t xml:space="preserve">Fullmetal Alchemist: Brotherhood</t>
  </si>
  <si>
    <t xml:space="preserve">Yasuhiro Irie</t>
  </si>
  <si>
    <t xml:space="preserve">Huntik: Secrets and Seekers</t>
  </si>
  <si>
    <t xml:space="preserve">The Inbetweeners</t>
  </si>
  <si>
    <t xml:space="preserve">Star Trek: Deep Space Nine</t>
  </si>
  <si>
    <t xml:space="preserve"> January 1, 2017</t>
  </si>
  <si>
    <t xml:space="preserve">Big Bad Beetleborgs</t>
  </si>
  <si>
    <t xml:space="preserve"> January 1, 2016</t>
  </si>
  <si>
    <t xml:space="preserve">Mighty Morphin Power Rangers</t>
  </si>
  <si>
    <t xml:space="preserve">The Office (U.S.)</t>
  </si>
  <si>
    <t xml:space="preserve">V.R. Troopers</t>
  </si>
  <si>
    <t xml:space="preserve">The Break</t>
  </si>
  <si>
    <t xml:space="preserve"> February 9, 2019</t>
  </si>
  <si>
    <t xml:space="preserve">Big Mouth</t>
  </si>
  <si>
    <t xml:space="preserve"> February 8, 2019</t>
  </si>
  <si>
    <t xml:space="preserve">Man Like Mobeen</t>
  </si>
  <si>
    <t xml:space="preserve">One Day at a Time</t>
  </si>
  <si>
    <t xml:space="preserve">H2O: Just Add Water</t>
  </si>
  <si>
    <t xml:space="preserve"> February 8, 2017</t>
  </si>
  <si>
    <t xml:space="preserve">Care Bears &amp; Cousins</t>
  </si>
  <si>
    <t xml:space="preserve"> February 5, 2016</t>
  </si>
  <si>
    <t xml:space="preserve">Turbo FAST</t>
  </si>
  <si>
    <t xml:space="preserve">El Vato</t>
  </si>
  <si>
    <t xml:space="preserve"> February 24, 2018</t>
  </si>
  <si>
    <t xml:space="preserve">Babylon Berlin</t>
  </si>
  <si>
    <t xml:space="preserve"> February 23, 2019</t>
  </si>
  <si>
    <t xml:space="preserve">Marseille</t>
  </si>
  <si>
    <t xml:space="preserve"> February 23, 2018</t>
  </si>
  <si>
    <t xml:space="preserve">Chef's Table</t>
  </si>
  <si>
    <t xml:space="preserve"> February 22, 2019</t>
  </si>
  <si>
    <t xml:space="preserve">Rebellion</t>
  </si>
  <si>
    <t xml:space="preserve">Suburra: Blood on Rome</t>
  </si>
  <si>
    <t xml:space="preserve">The Big Family Cooking Showdown</t>
  </si>
  <si>
    <t xml:space="preserve">Z4</t>
  </si>
  <si>
    <t xml:space="preserve">Love Me As I Am</t>
  </si>
  <si>
    <t xml:space="preserve"> February 22, 2017</t>
  </si>
  <si>
    <t xml:space="preserve">Bates Motel</t>
  </si>
  <si>
    <t xml:space="preserve"> February 20, 2018</t>
  </si>
  <si>
    <t xml:space="preserve">Crime TV Shows, TV Dramas, TV Horror</t>
  </si>
  <si>
    <t xml:space="preserve">The Frankenstein Chronicles</t>
  </si>
  <si>
    <t xml:space="preserve">Bordertown</t>
  </si>
  <si>
    <t xml:space="preserve">Finland, France</t>
  </si>
  <si>
    <t xml:space="preserve"> February 2, 2019</t>
  </si>
  <si>
    <t xml:space="preserve">Club Friday The Series 8</t>
  </si>
  <si>
    <t xml:space="preserve">Dragons: Race to the Edge</t>
  </si>
  <si>
    <t xml:space="preserve"> February 16, 2018</t>
  </si>
  <si>
    <t xml:space="preserve">Kids' TV, TV Action &amp; Adventure</t>
  </si>
  <si>
    <t xml:space="preserve">Ugly Duckling</t>
  </si>
  <si>
    <t xml:space="preserve"> February 15, 2019</t>
  </si>
  <si>
    <t xml:space="preserve">Barbie Dreamhouse Adventures</t>
  </si>
  <si>
    <t xml:space="preserve"> February 14, 2019</t>
  </si>
  <si>
    <t xml:space="preserve">Velvet Colección</t>
  </si>
  <si>
    <t xml:space="preserve">Dangerous Roads</t>
  </si>
  <si>
    <t xml:space="preserve"> February 1, 2019</t>
  </si>
  <si>
    <t xml:space="preserve">Lego Friends</t>
  </si>
  <si>
    <t xml:space="preserve">LEGO Ninjago: Masters of Spinjitzu</t>
  </si>
  <si>
    <t xml:space="preserve">Denmark, Singapore, Canada, United States</t>
  </si>
  <si>
    <t xml:space="preserve">Littlest Pet Shop: A World of Our Own</t>
  </si>
  <si>
    <t xml:space="preserve">The Garfield Show</t>
  </si>
  <si>
    <t xml:space="preserve">The Story of God with Morgan Freeman</t>
  </si>
  <si>
    <t xml:space="preserve">Masha and the Bear</t>
  </si>
  <si>
    <t xml:space="preserve"> February 1, 2018</t>
  </si>
  <si>
    <t xml:space="preserve">Under Arrest</t>
  </si>
  <si>
    <t xml:space="preserve">The Furchester Hotel</t>
  </si>
  <si>
    <t xml:space="preserve"> February 1, 2017</t>
  </si>
  <si>
    <t xml:space="preserve">Larva</t>
  </si>
  <si>
    <t xml:space="preserve"> February 1, 2016</t>
  </si>
  <si>
    <t xml:space="preserve">Spartacus</t>
  </si>
  <si>
    <t xml:space="preserve"> February 1, 2015</t>
  </si>
  <si>
    <t xml:space="preserve">The Borgias</t>
  </si>
  <si>
    <t xml:space="preserve">United States, Hungary, Ireland, Canada</t>
  </si>
  <si>
    <t xml:space="preserve"> February 1, 2014</t>
  </si>
  <si>
    <t xml:space="preserve">Neo Yokio</t>
  </si>
  <si>
    <t xml:space="preserve"> December 7, 2018</t>
  </si>
  <si>
    <t xml:space="preserve">TV Comedies, TV Sci-Fi &amp; Fantasy, Teen TV Shows</t>
  </si>
  <si>
    <t xml:space="preserve">Fuller House</t>
  </si>
  <si>
    <t xml:space="preserve"> December 6, 2019</t>
  </si>
  <si>
    <t xml:space="preserve">Greenleaf</t>
  </si>
  <si>
    <t xml:space="preserve"> December 5, 2019</t>
  </si>
  <si>
    <t xml:space="preserve">From Dusk Till Dawn</t>
  </si>
  <si>
    <t xml:space="preserve"> December 5, 2016</t>
  </si>
  <si>
    <t xml:space="preserve">Robot Trains</t>
  </si>
  <si>
    <t xml:space="preserve"> December 31, 2019</t>
  </si>
  <si>
    <t xml:space="preserve">Occupied</t>
  </si>
  <si>
    <t xml:space="preserve">Norway, Sweden</t>
  </si>
  <si>
    <t xml:space="preserve">Top Grier</t>
  </si>
  <si>
    <t xml:space="preserve"> December 31, 2018</t>
  </si>
  <si>
    <t xml:space="preserve">Nurse Jackie</t>
  </si>
  <si>
    <t xml:space="preserve"> December 31, 2015</t>
  </si>
  <si>
    <t xml:space="preserve">Alexa &amp; Katie</t>
  </si>
  <si>
    <t xml:space="preserve"> December 30, 2019</t>
  </si>
  <si>
    <t xml:space="preserve">Highway Thru Hell</t>
  </si>
  <si>
    <t xml:space="preserve"> December 3, 2019</t>
  </si>
  <si>
    <t xml:space="preserve">The Sound of Your Heart: Reboot</t>
  </si>
  <si>
    <t xml:space="preserve"> December 3, 2018</t>
  </si>
  <si>
    <t xml:space="preserve">Lost &amp; Found Music Studios</t>
  </si>
  <si>
    <t xml:space="preserve"> December 3, 2016</t>
  </si>
  <si>
    <t xml:space="preserve">When Calls the Heart</t>
  </si>
  <si>
    <t xml:space="preserve"> December 29, 2018</t>
  </si>
  <si>
    <t xml:space="preserve">Comedy Bang! Bang!</t>
  </si>
  <si>
    <t xml:space="preserve"> December 28, 2016</t>
  </si>
  <si>
    <t xml:space="preserve">AJIN: Demi-Human</t>
  </si>
  <si>
    <t xml:space="preserve"> December 27, 2016</t>
  </si>
  <si>
    <t xml:space="preserve">The West Wing</t>
  </si>
  <si>
    <t xml:space="preserve"> December 25, 2015</t>
  </si>
  <si>
    <t xml:space="preserve">El señor de los Cielos</t>
  </si>
  <si>
    <t xml:space="preserve">United States, Mexico, Colombia</t>
  </si>
  <si>
    <t xml:space="preserve"> December 23, 2018</t>
  </si>
  <si>
    <t xml:space="preserve">忍者ハットリくん</t>
  </si>
  <si>
    <t xml:space="preserve">Sense8</t>
  </si>
  <si>
    <t xml:space="preserve"> December 23, 2016</t>
  </si>
  <si>
    <t xml:space="preserve">Private Practice</t>
  </si>
  <si>
    <t xml:space="preserve"> December 22, 2019</t>
  </si>
  <si>
    <t xml:space="preserve">People Just Do Nothing</t>
  </si>
  <si>
    <t xml:space="preserve"> December 22, 2018</t>
  </si>
  <si>
    <t xml:space="preserve">LAST HOPE</t>
  </si>
  <si>
    <t xml:space="preserve"> December 21, 2018</t>
  </si>
  <si>
    <t xml:space="preserve">Fate/stay night: Unlimited Blade Works</t>
  </si>
  <si>
    <t xml:space="preserve"> December 20, 2018</t>
  </si>
  <si>
    <t xml:space="preserve">Borderline</t>
  </si>
  <si>
    <t xml:space="preserve"> December 2, 2017</t>
  </si>
  <si>
    <t xml:space="preserve">Hello, My Twenties!</t>
  </si>
  <si>
    <t xml:space="preserve"> December 18, 2017</t>
  </si>
  <si>
    <t xml:space="preserve">Pee-wee's Playhouse</t>
  </si>
  <si>
    <t xml:space="preserve"> December 18, 2014</t>
  </si>
  <si>
    <t xml:space="preserve">Classic &amp; Cult TV, Kids' TV, TV Comedies</t>
  </si>
  <si>
    <t xml:space="preserve">The Magicians</t>
  </si>
  <si>
    <t xml:space="preserve"> December 16, 2019</t>
  </si>
  <si>
    <t xml:space="preserve">Cocomong</t>
  </si>
  <si>
    <t xml:space="preserve"> December 15, 2019</t>
  </si>
  <si>
    <t xml:space="preserve">Scooby-Doo!: Mystery Incorporated</t>
  </si>
  <si>
    <t xml:space="preserve">What's New Scooby-Doo?</t>
  </si>
  <si>
    <t xml:space="preserve">Bad Education</t>
  </si>
  <si>
    <t xml:space="preserve"> December 15, 2018</t>
  </si>
  <si>
    <t xml:space="preserve">Flowers</t>
  </si>
  <si>
    <t xml:space="preserve">British TV Shows, TV Comedies, TV Dramas</t>
  </si>
  <si>
    <t xml:space="preserve">Shtisel</t>
  </si>
  <si>
    <t xml:space="preserve">Chasing Monsters</t>
  </si>
  <si>
    <t xml:space="preserve"> December 15, 2017</t>
  </si>
  <si>
    <t xml:space="preserve">Reggie Yates Outside Man</t>
  </si>
  <si>
    <t xml:space="preserve">The Windsors</t>
  </si>
  <si>
    <t xml:space="preserve">InuYasha</t>
  </si>
  <si>
    <t xml:space="preserve"> December 15, 2016</t>
  </si>
  <si>
    <t xml:space="preserve">Merlin</t>
  </si>
  <si>
    <t xml:space="preserve">James Hawes</t>
  </si>
  <si>
    <t xml:space="preserve">Hart of Dixie</t>
  </si>
  <si>
    <t xml:space="preserve"> December 15, 2015</t>
  </si>
  <si>
    <t xml:space="preserve">Fit for Fashion</t>
  </si>
  <si>
    <t xml:space="preserve"> December 14, 2018</t>
  </si>
  <si>
    <t xml:space="preserve">Inside the World’s Toughest Prisons</t>
  </si>
  <si>
    <t xml:space="preserve">The Apartment</t>
  </si>
  <si>
    <t xml:space="preserve">Travelers</t>
  </si>
  <si>
    <t xml:space="preserve">Voltron: Legendary Defender</t>
  </si>
  <si>
    <t xml:space="preserve">Halt and Catch Fire</t>
  </si>
  <si>
    <t xml:space="preserve"> December 14, 2017</t>
  </si>
  <si>
    <t xml:space="preserve">Wanted</t>
  </si>
  <si>
    <t xml:space="preserve"> December 13, 2018</t>
  </si>
  <si>
    <t xml:space="preserve">Outlander</t>
  </si>
  <si>
    <t xml:space="preserve"> December 10, 2019</t>
  </si>
  <si>
    <t xml:space="preserve">Romantic TV Shows, TV Action &amp; Adventure, TV Dramas</t>
  </si>
  <si>
    <t xml:space="preserve">Knights of Sidonia</t>
  </si>
  <si>
    <t xml:space="preserve"> December 1, 2019</t>
  </si>
  <si>
    <t xml:space="preserve">Sonic X</t>
  </si>
  <si>
    <t xml:space="preserve">Space Jungle</t>
  </si>
  <si>
    <t xml:space="preserve">The Repair Shop</t>
  </si>
  <si>
    <t xml:space="preserve">Eastsiders</t>
  </si>
  <si>
    <t xml:space="preserve">Sensitive Skin</t>
  </si>
  <si>
    <t xml:space="preserve">Great Interior Design Challenge</t>
  </si>
  <si>
    <t xml:space="preserve"> December 1, 2018</t>
  </si>
  <si>
    <t xml:space="preserve">The Great British Baking Show: Masterclass</t>
  </si>
  <si>
    <t xml:space="preserve">All Hail King Julien</t>
  </si>
  <si>
    <t xml:space="preserve"> December 1, 2017</t>
  </si>
  <si>
    <t xml:space="preserve">Super Wings</t>
  </si>
  <si>
    <t xml:space="preserve">TURN: Washington's Spies</t>
  </si>
  <si>
    <t xml:space="preserve">Cable Girls</t>
  </si>
  <si>
    <t xml:space="preserve"> August 9, 2019</t>
  </si>
  <si>
    <t xml:space="preserve">GLOW</t>
  </si>
  <si>
    <t xml:space="preserve">IZombie</t>
  </si>
  <si>
    <t xml:space="preserve">TV Comedies, TV Dramas, TV Horror</t>
  </si>
  <si>
    <t xml:space="preserve">The Originals</t>
  </si>
  <si>
    <t xml:space="preserve"> August 9, 2018</t>
  </si>
  <si>
    <t xml:space="preserve">Jane The Virgin</t>
  </si>
  <si>
    <t xml:space="preserve"> August 8, 2019</t>
  </si>
  <si>
    <t xml:space="preserve">No Good Nick</t>
  </si>
  <si>
    <t xml:space="preserve"> August 5, 2019</t>
  </si>
  <si>
    <t xml:space="preserve">Ever After High</t>
  </si>
  <si>
    <t xml:space="preserve"> August 5, 2016</t>
  </si>
  <si>
    <t xml:space="preserve">Abnormal Summit</t>
  </si>
  <si>
    <t xml:space="preserve">Jung-ah Im, Seung-uk Jo</t>
  </si>
  <si>
    <t xml:space="preserve"> August 4, 2017</t>
  </si>
  <si>
    <t xml:space="preserve">Chef &amp; My Fridge</t>
  </si>
  <si>
    <t xml:space="preserve">Paranormal Survivor</t>
  </si>
  <si>
    <t xml:space="preserve">Ozark</t>
  </si>
  <si>
    <t xml:space="preserve"> August 31, 2018</t>
  </si>
  <si>
    <t xml:space="preserve">The Comedy Lineup</t>
  </si>
  <si>
    <t xml:space="preserve">Ultimate Beastmaster</t>
  </si>
  <si>
    <t xml:space="preserve">United States, Brazil, South Korea, Mexico, Japan, Germany</t>
  </si>
  <si>
    <t xml:space="preserve">Ultimate Beastmaster México</t>
  </si>
  <si>
    <t xml:space="preserve">Reality TV, Spanish-Language TV Shows</t>
  </si>
  <si>
    <t xml:space="preserve">Mighty Little Bheem</t>
  </si>
  <si>
    <t xml:space="preserve"> August 30, 2019</t>
  </si>
  <si>
    <t xml:space="preserve">The Great British Baking Show</t>
  </si>
  <si>
    <t xml:space="preserve">Andy Devonshire</t>
  </si>
  <si>
    <t xml:space="preserve">True and the Rainbow Kingdom</t>
  </si>
  <si>
    <t xml:space="preserve">Dinotrux Supercharged</t>
  </si>
  <si>
    <t xml:space="preserve"> August 3, 2018</t>
  </si>
  <si>
    <t xml:space="preserve">Workin' Moms</t>
  </si>
  <si>
    <t xml:space="preserve"> August 29, 2019</t>
  </si>
  <si>
    <t xml:space="preserve">Droppin' Cash: Los Angeles</t>
  </si>
  <si>
    <t xml:space="preserve"> August 28, 2019</t>
  </si>
  <si>
    <t xml:space="preserve">Van Helsing</t>
  </si>
  <si>
    <t xml:space="preserve">Million Pound Menu</t>
  </si>
  <si>
    <t xml:space="preserve"> August 27, 2019</t>
  </si>
  <si>
    <t xml:space="preserve">The Good Place</t>
  </si>
  <si>
    <t xml:space="preserve">Glitter Force</t>
  </si>
  <si>
    <t xml:space="preserve"> August 26, 2016</t>
  </si>
  <si>
    <t xml:space="preserve">13 Reasons Why</t>
  </si>
  <si>
    <t xml:space="preserve"> August 23, 2019</t>
  </si>
  <si>
    <t xml:space="preserve">13 Reasons Why: Beyond the Reasons</t>
  </si>
  <si>
    <t xml:space="preserve">HERO MASK</t>
  </si>
  <si>
    <t xml:space="preserve">Gomorrah</t>
  </si>
  <si>
    <t xml:space="preserve">Italy, Germany</t>
  </si>
  <si>
    <t xml:space="preserve"> August 21, 2017</t>
  </si>
  <si>
    <t xml:space="preserve">Ask the StoryBots</t>
  </si>
  <si>
    <t xml:space="preserve"> August 2, 2019</t>
  </si>
  <si>
    <t xml:space="preserve">Dear White People</t>
  </si>
  <si>
    <t xml:space="preserve">Derry Girls</t>
  </si>
  <si>
    <t xml:space="preserve">Miraculous: Tales of Ladybug &amp; Cat Noir</t>
  </si>
  <si>
    <t xml:space="preserve"> August 2, 2017</t>
  </si>
  <si>
    <t xml:space="preserve">Breaking Bad</t>
  </si>
  <si>
    <t xml:space="preserve"> August 2, 2013</t>
  </si>
  <si>
    <t xml:space="preserve">The Investigator: A British Crime Story</t>
  </si>
  <si>
    <t xml:space="preserve"> August 19, 2018</t>
  </si>
  <si>
    <t xml:space="preserve">Dinotrux</t>
  </si>
  <si>
    <t xml:space="preserve"> August 18, 2017</t>
  </si>
  <si>
    <t xml:space="preserve">Puffin Rock</t>
  </si>
  <si>
    <t xml:space="preserve"> August 17, 2016</t>
  </si>
  <si>
    <t xml:space="preserve">MINDHUNTER</t>
  </si>
  <si>
    <t xml:space="preserve"> August 16, 2019</t>
  </si>
  <si>
    <t xml:space="preserve">QB1: Beyond the Lights</t>
  </si>
  <si>
    <t xml:space="preserve">Jericho</t>
  </si>
  <si>
    <t xml:space="preserve"> August 16, 2017</t>
  </si>
  <si>
    <t xml:space="preserve">Sacred Games</t>
  </si>
  <si>
    <t xml:space="preserve">Vikramaditya Motwane, Anurag Kashyap</t>
  </si>
  <si>
    <t xml:space="preserve"> August 15, 2019</t>
  </si>
  <si>
    <t xml:space="preserve">Caught on Camera</t>
  </si>
  <si>
    <t xml:space="preserve"> August 15, 2016</t>
  </si>
  <si>
    <t xml:space="preserve">The 100</t>
  </si>
  <si>
    <t xml:space="preserve"> August 14, 2019</t>
  </si>
  <si>
    <t xml:space="preserve">Age of Glory</t>
  </si>
  <si>
    <t xml:space="preserve"> August 14, 2017</t>
  </si>
  <si>
    <t xml:space="preserve">Knightfall</t>
  </si>
  <si>
    <t xml:space="preserve"> August 13, 2019</t>
  </si>
  <si>
    <t xml:space="preserve">Splash and Bubbles</t>
  </si>
  <si>
    <t xml:space="preserve"> August 13, 2018</t>
  </si>
  <si>
    <t xml:space="preserve">Grand Designs</t>
  </si>
  <si>
    <t xml:space="preserve"> August 1, 2019</t>
  </si>
  <si>
    <t xml:space="preserve">Heartland</t>
  </si>
  <si>
    <t xml:space="preserve">The Sinner</t>
  </si>
  <si>
    <t xml:space="preserve">Wentworth</t>
  </si>
  <si>
    <t xml:space="preserve">Hinterland</t>
  </si>
  <si>
    <t xml:space="preserve"> August 1, 2017</t>
  </si>
  <si>
    <t xml:space="preserve">Land Girls</t>
  </si>
  <si>
    <t xml:space="preserve">The IT Crowd</t>
  </si>
  <si>
    <t xml:space="preserve">Vexed</t>
  </si>
  <si>
    <t xml:space="preserve">Vroomiz</t>
  </si>
  <si>
    <t xml:space="preserve">Men on a Mission</t>
  </si>
  <si>
    <t xml:space="preserve">Jung-ah Im</t>
  </si>
  <si>
    <t xml:space="preserve"> April 9, 2019</t>
  </si>
  <si>
    <t xml:space="preserve">The Get Down</t>
  </si>
  <si>
    <t xml:space="preserve"> April 7, 2017</t>
  </si>
  <si>
    <t xml:space="preserve">Wakfu</t>
  </si>
  <si>
    <t xml:space="preserve"> April 6, 2018</t>
  </si>
  <si>
    <t xml:space="preserve">Chilling Adventures of Sabrina</t>
  </si>
  <si>
    <t xml:space="preserve"> April 5, 2019</t>
  </si>
  <si>
    <t xml:space="preserve">Derek</t>
  </si>
  <si>
    <t xml:space="preserve">Imposters</t>
  </si>
  <si>
    <t xml:space="preserve">Roman Empire: Reign of Blood</t>
  </si>
  <si>
    <t xml:space="preserve">Spirit: Riding Free</t>
  </si>
  <si>
    <t xml:space="preserve">Chewing Gum</t>
  </si>
  <si>
    <t xml:space="preserve"> April 4, 2017</t>
  </si>
  <si>
    <t xml:space="preserve">BAKI</t>
  </si>
  <si>
    <t xml:space="preserve"> April 30, 2019</t>
  </si>
  <si>
    <t xml:space="preserve">Kim's Convenience</t>
  </si>
  <si>
    <t xml:space="preserve"> April 3, 2019</t>
  </si>
  <si>
    <t xml:space="preserve">Ash vs. Evil Dead</t>
  </si>
  <si>
    <t xml:space="preserve"> April 29, 2019</t>
  </si>
  <si>
    <t xml:space="preserve">Señora Acero</t>
  </si>
  <si>
    <t xml:space="preserve"> April 28, 2019</t>
  </si>
  <si>
    <t xml:space="preserve">Goodnight DJ 1</t>
  </si>
  <si>
    <t xml:space="preserve"> April 27, 2018</t>
  </si>
  <si>
    <t xml:space="preserve">Mar de Plástico</t>
  </si>
  <si>
    <t xml:space="preserve"> April 27, 2017</t>
  </si>
  <si>
    <t xml:space="preserve">Rica, Famosa, Latina</t>
  </si>
  <si>
    <t xml:space="preserve"> April 26, 2019</t>
  </si>
  <si>
    <t xml:space="preserve">The Protector</t>
  </si>
  <si>
    <t xml:space="preserve">Beauty and the Bitches</t>
  </si>
  <si>
    <t xml:space="preserve"> April 23, 2019</t>
  </si>
  <si>
    <t xml:space="preserve">Liv and Maddie</t>
  </si>
  <si>
    <t xml:space="preserve"> April 23, 2017</t>
  </si>
  <si>
    <t xml:space="preserve">The Mr. Peabody and Sherman Show</t>
  </si>
  <si>
    <t xml:space="preserve"> April 21, 2017</t>
  </si>
  <si>
    <t xml:space="preserve">The Cravings</t>
  </si>
  <si>
    <t xml:space="preserve"> April 20, 2017</t>
  </si>
  <si>
    <t xml:space="preserve">Star Trek: The Next Generation</t>
  </si>
  <si>
    <t xml:space="preserve"> April 2, 2018</t>
  </si>
  <si>
    <t xml:space="preserve">Cuckoo</t>
  </si>
  <si>
    <t xml:space="preserve"> April 19, 2019</t>
  </si>
  <si>
    <t xml:space="preserve">Pororo - The Little Penguin</t>
  </si>
  <si>
    <t xml:space="preserve">Samantha!</t>
  </si>
  <si>
    <t xml:space="preserve">Murderous Affairs</t>
  </si>
  <si>
    <t xml:space="preserve"> April 17, 2018</t>
  </si>
  <si>
    <t xml:space="preserve">Lost Girl</t>
  </si>
  <si>
    <t xml:space="preserve"> April 17, 2016</t>
  </si>
  <si>
    <t xml:space="preserve">Mr. Young</t>
  </si>
  <si>
    <t xml:space="preserve"> April 16, 2019</t>
  </si>
  <si>
    <t xml:space="preserve">Psiconautas</t>
  </si>
  <si>
    <t xml:space="preserve"> April 15, 2018</t>
  </si>
  <si>
    <t xml:space="preserve">The Minimighty Kids</t>
  </si>
  <si>
    <t xml:space="preserve">Filinta</t>
  </si>
  <si>
    <t xml:space="preserve"> April 15, 2017</t>
  </si>
  <si>
    <t xml:space="preserve">Leyla and Mecnun</t>
  </si>
  <si>
    <t xml:space="preserve">Onur Ünlü</t>
  </si>
  <si>
    <t xml:space="preserve">Chelsea</t>
  </si>
  <si>
    <t xml:space="preserve"> April 14, 2017</t>
  </si>
  <si>
    <t xml:space="preserve">Crazy Ex-Girlfriend</t>
  </si>
  <si>
    <t xml:space="preserve"> April 13, 2019</t>
  </si>
  <si>
    <t xml:space="preserve">The Magic School Bus Rides Again</t>
  </si>
  <si>
    <t xml:space="preserve"> April 13, 2018</t>
  </si>
  <si>
    <t xml:space="preserve">New Girl</t>
  </si>
  <si>
    <t xml:space="preserve"> April 11, 2019</t>
  </si>
  <si>
    <t xml:space="preserve">Talking Tom and Friends</t>
  </si>
  <si>
    <t xml:space="preserve">Cyprus, Austria, Thailand</t>
  </si>
  <si>
    <t xml:space="preserve"> April 10, 2019</t>
  </si>
  <si>
    <t xml:space="preserve">Pokémon the Series</t>
  </si>
  <si>
    <t xml:space="preserve"> April 1, 2019</t>
  </si>
  <si>
    <t xml:space="preserve">Justin Time</t>
  </si>
  <si>
    <t xml:space="preserve"> April 1, 2016</t>
  </si>
  <si>
    <t xml:space="preserve">Terrace House: Boys &amp; Girls in the City</t>
  </si>
  <si>
    <t xml:space="preserve">Weeds</t>
  </si>
  <si>
    <t xml:space="preserve"> April 1, 2014</t>
  </si>
  <si>
    <t xml:space="preserve">Gunslinger Girl</t>
  </si>
  <si>
    <t xml:space="preserve">Anthony Bourdain: Parts Unknown</t>
  </si>
  <si>
    <t xml:space="preserve">Frasier</t>
  </si>
  <si>
    <t xml:space="preserve">La Familia P. Luche</t>
  </si>
  <si>
    <t xml:space="preserve">The Adventures of Figaro Pho</t>
  </si>
  <si>
    <t xml:space="preserve">Kikoriki</t>
  </si>
  <si>
    <t xml:space="preserve">Red vs. Blue</t>
  </si>
  <si>
    <t xml:space="preserve">Maron</t>
  </si>
  <si>
    <t xml:space="preserve">A Young Doctor's Notebook and Other Stories</t>
  </si>
  <si>
    <t xml:space="preserve">Friends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</si>
</sst>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7"/>
      <name val="Arial"/>
      <family val="0"/>
      <charset val="1"/>
    </font>
    <font>
      <b val="true"/>
      <sz val="10"/>
      <color rgb="FF566677"/>
      <name val="Arial"/>
      <family val="0"/>
      <charset val="1"/>
    </font>
    <font>
      <b val="true"/>
      <sz val="18"/>
      <color rgb="FF008000"/>
      <name val="Arial"/>
      <family val="0"/>
      <charset val="1"/>
    </font>
    <font>
      <b val="true"/>
      <sz val="11"/>
      <color rgb="FF1B3A57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B3A5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66677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B3A57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8C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66677"/>
      <rgbColor rgb="FF969696"/>
      <rgbColor rgb="FF1B3A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Titles added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Analysis!B13</c:f>
              <c:strCache>
                <c:ptCount val="1"/>
                <c:pt idx="0">
                  <c:v>Movies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Analysis!$A$14:$A$26</c:f>
              <c:strCach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strCache>
            </c:strRef>
          </c:cat>
          <c:val>
            <c:numRef>
              <c:f>Analysis!$B$14:$B$26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4</c:v>
                </c:pt>
                <c:pt idx="5">
                  <c:v>6</c:v>
                </c:pt>
                <c:pt idx="6">
                  <c:v>19</c:v>
                </c:pt>
                <c:pt idx="7">
                  <c:v>58</c:v>
                </c:pt>
                <c:pt idx="8">
                  <c:v>264</c:v>
                </c:pt>
                <c:pt idx="9">
                  <c:v>913</c:v>
                </c:pt>
                <c:pt idx="10">
                  <c:v>1290</c:v>
                </c:pt>
                <c:pt idx="11">
                  <c:v>1546</c:v>
                </c:pt>
                <c:pt idx="12">
                  <c:v>147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Analysis!C13</c:f>
              <c:strCache>
                <c:ptCount val="1"/>
                <c:pt idx="0">
                  <c:v>TV shows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Analysis!$A$14:$A$26</c:f>
              <c:strCache>
                <c:ptCount val="1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</c:strCache>
            </c:strRef>
          </c:cat>
          <c:val>
            <c:numRef>
              <c:f>Analysis!$C$14:$C$26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6</c:v>
                </c:pt>
                <c:pt idx="6">
                  <c:v>6</c:v>
                </c:pt>
                <c:pt idx="7">
                  <c:v>32</c:v>
                </c:pt>
                <c:pt idx="8">
                  <c:v>192</c:v>
                </c:pt>
                <c:pt idx="9">
                  <c:v>387</c:v>
                </c:pt>
                <c:pt idx="10">
                  <c:v>492</c:v>
                </c:pt>
                <c:pt idx="11">
                  <c:v>803</c:v>
                </c:pt>
                <c:pt idx="12">
                  <c:v>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540812"/>
        <c:axId val="82324153"/>
      </c:lineChart>
      <c:catAx>
        <c:axId val="345408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24153"/>
        <c:crosses val="autoZero"/>
        <c:auto val="1"/>
        <c:lblAlgn val="ctr"/>
        <c:lblOffset val="100"/>
        <c:noMultiLvlLbl val="0"/>
      </c:catAx>
      <c:valAx>
        <c:axId val="823241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408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countries (titles)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Analysis!B30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0e6b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Analysis!$A$31:$A$40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Canada</c:v>
                </c:pt>
                <c:pt idx="4">
                  <c:v>Japan</c:v>
                </c:pt>
                <c:pt idx="5">
                  <c:v>France</c:v>
                </c:pt>
                <c:pt idx="6">
                  <c:v>South Korea</c:v>
                </c:pt>
                <c:pt idx="7">
                  <c:v>Spain</c:v>
                </c:pt>
                <c:pt idx="8">
                  <c:v>Mexico</c:v>
                </c:pt>
                <c:pt idx="9">
                  <c:v>Australia</c:v>
                </c:pt>
              </c:strCache>
            </c:strRef>
          </c:cat>
          <c:val>
            <c:numRef>
              <c:f>Analysis!$B$31:$B$40</c:f>
              <c:numCache>
                <c:formatCode>General</c:formatCode>
                <c:ptCount val="10"/>
                <c:pt idx="0">
                  <c:v>2302</c:v>
                </c:pt>
                <c:pt idx="1">
                  <c:v>808</c:v>
                </c:pt>
                <c:pt idx="2">
                  <c:v>483</c:v>
                </c:pt>
                <c:pt idx="3">
                  <c:v>206</c:v>
                </c:pt>
                <c:pt idx="4">
                  <c:v>184</c:v>
                </c:pt>
                <c:pt idx="5">
                  <c:v>147</c:v>
                </c:pt>
                <c:pt idx="6">
                  <c:v>146</c:v>
                </c:pt>
                <c:pt idx="7">
                  <c:v>139</c:v>
                </c:pt>
                <c:pt idx="8">
                  <c:v>99</c:v>
                </c:pt>
                <c:pt idx="9">
                  <c:v>94</c:v>
                </c:pt>
              </c:numCache>
            </c:numRef>
          </c:val>
        </c:ser>
        <c:gapWidth val="150"/>
        <c:overlap val="0"/>
        <c:axId val="71093136"/>
        <c:axId val="43785938"/>
      </c:barChart>
      <c:catAx>
        <c:axId val="7109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85938"/>
        <c:crosses val="autoZero"/>
        <c:auto val="1"/>
        <c:lblAlgn val="ctr"/>
        <c:lblOffset val="100"/>
        <c:noMultiLvlLbl val="0"/>
      </c:catAx>
      <c:valAx>
        <c:axId val="43785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931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genres (titles)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Analysis!B44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0e6b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Analysis!$A$45:$A$54</c:f>
              <c:strCache>
                <c:ptCount val="10"/>
                <c:pt idx="0">
                  <c:v>Dramas</c:v>
                </c:pt>
                <c:pt idx="1">
                  <c:v>Comedies</c:v>
                </c:pt>
                <c:pt idx="2">
                  <c:v>Documentaries</c:v>
                </c:pt>
                <c:pt idx="3">
                  <c:v>Action &amp; Adventure</c:v>
                </c:pt>
                <c:pt idx="4">
                  <c:v>International TV Shows</c:v>
                </c:pt>
                <c:pt idx="5">
                  <c:v>Children &amp; Family Movies</c:v>
                </c:pt>
                <c:pt idx="6">
                  <c:v>Crime TV Shows</c:v>
                </c:pt>
                <c:pt idx="7">
                  <c:v>Kids' TV</c:v>
                </c:pt>
                <c:pt idx="8">
                  <c:v>Stand-Up Comedy</c:v>
                </c:pt>
                <c:pt idx="9">
                  <c:v>British TV Shows</c:v>
                </c:pt>
              </c:strCache>
            </c:strRef>
          </c:cat>
          <c:val>
            <c:numRef>
              <c:f>Analysis!$B$45:$B$54</c:f>
              <c:numCache>
                <c:formatCode>General</c:formatCode>
                <c:ptCount val="10"/>
                <c:pt idx="0">
                  <c:v>1077</c:v>
                </c:pt>
                <c:pt idx="1">
                  <c:v>803</c:v>
                </c:pt>
                <c:pt idx="2">
                  <c:v>644</c:v>
                </c:pt>
                <c:pt idx="3">
                  <c:v>597</c:v>
                </c:pt>
                <c:pt idx="4">
                  <c:v>570</c:v>
                </c:pt>
                <c:pt idx="5">
                  <c:v>358</c:v>
                </c:pt>
                <c:pt idx="6">
                  <c:v>309</c:v>
                </c:pt>
                <c:pt idx="7">
                  <c:v>288</c:v>
                </c:pt>
                <c:pt idx="8">
                  <c:v>273</c:v>
                </c:pt>
                <c:pt idx="9">
                  <c:v>210</c:v>
                </c:pt>
              </c:numCache>
            </c:numRef>
          </c:val>
        </c:ser>
        <c:gapWidth val="150"/>
        <c:overlap val="0"/>
        <c:axId val="27419400"/>
        <c:axId val="5174903"/>
      </c:barChart>
      <c:catAx>
        <c:axId val="2741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4903"/>
        <c:crosses val="autoZero"/>
        <c:auto val="1"/>
        <c:lblAlgn val="ctr"/>
        <c:lblOffset val="100"/>
        <c:noMultiLvlLbl val="0"/>
      </c:catAx>
      <c:valAx>
        <c:axId val="5174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19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Content ratings (titles)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Analysis!B58</c:f>
              <c:strCache>
                <c:ptCount val="1"/>
                <c:pt idx="0">
                  <c:v>Titles</c:v>
                </c:pt>
              </c:strCache>
            </c:strRef>
          </c:tx>
          <c:spPr>
            <a:solidFill>
              <a:srgbClr val="0e6b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Analysis!$A$59:$A$66</c:f>
              <c:strCache>
                <c:ptCount val="8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NR</c:v>
                </c:pt>
                <c:pt idx="6">
                  <c:v>PG</c:v>
                </c:pt>
                <c:pt idx="7">
                  <c:v>TV-Y7</c:v>
                </c:pt>
              </c:strCache>
            </c:strRef>
          </c:cat>
          <c:val>
            <c:numRef>
              <c:f>Analysis!$B$59:$B$66</c:f>
              <c:numCache>
                <c:formatCode>General</c:formatCode>
                <c:ptCount val="8"/>
                <c:pt idx="0">
                  <c:v>2027</c:v>
                </c:pt>
                <c:pt idx="1">
                  <c:v>1698</c:v>
                </c:pt>
                <c:pt idx="2">
                  <c:v>701</c:v>
                </c:pt>
                <c:pt idx="3">
                  <c:v>508</c:v>
                </c:pt>
                <c:pt idx="4">
                  <c:v>286</c:v>
                </c:pt>
                <c:pt idx="5">
                  <c:v>218</c:v>
                </c:pt>
                <c:pt idx="6">
                  <c:v>184</c:v>
                </c:pt>
                <c:pt idx="7">
                  <c:v>169</c:v>
                </c:pt>
              </c:numCache>
            </c:numRef>
          </c:val>
        </c:ser>
        <c:gapWidth val="150"/>
        <c:overlap val="0"/>
        <c:axId val="14434565"/>
        <c:axId val="40335784"/>
      </c:barChart>
      <c:catAx>
        <c:axId val="14434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35784"/>
        <c:crosses val="autoZero"/>
        <c:auto val="1"/>
        <c:lblAlgn val="ctr"/>
        <c:lblOffset val="100"/>
        <c:noMultiLvlLbl val="0"/>
      </c:catAx>
      <c:valAx>
        <c:axId val="40335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345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41400</xdr:rowOff>
    </xdr:from>
    <xdr:to>
      <xdr:col>7</xdr:col>
      <xdr:colOff>10440</xdr:colOff>
      <xdr:row>27</xdr:row>
      <xdr:rowOff>42480</xdr:rowOff>
    </xdr:to>
    <xdr:graphicFrame>
      <xdr:nvGraphicFramePr>
        <xdr:cNvPr id="0" name="Chart 1"/>
        <xdr:cNvGraphicFramePr/>
      </xdr:nvGraphicFramePr>
      <xdr:xfrm>
        <a:off x="0" y="2095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41400</xdr:rowOff>
    </xdr:from>
    <xdr:to>
      <xdr:col>18</xdr:col>
      <xdr:colOff>507600</xdr:colOff>
      <xdr:row>27</xdr:row>
      <xdr:rowOff>42480</xdr:rowOff>
    </xdr:to>
    <xdr:graphicFrame>
      <xdr:nvGraphicFramePr>
        <xdr:cNvPr id="1" name="Chart 2"/>
        <xdr:cNvGraphicFramePr/>
      </xdr:nvGraphicFramePr>
      <xdr:xfrm>
        <a:off x="7943760" y="2095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41040</xdr:rowOff>
    </xdr:from>
    <xdr:to>
      <xdr:col>7</xdr:col>
      <xdr:colOff>10440</xdr:colOff>
      <xdr:row>47</xdr:row>
      <xdr:rowOff>42480</xdr:rowOff>
    </xdr:to>
    <xdr:graphicFrame>
      <xdr:nvGraphicFramePr>
        <xdr:cNvPr id="2" name="Chart 3"/>
        <xdr:cNvGraphicFramePr/>
      </xdr:nvGraphicFramePr>
      <xdr:xfrm>
        <a:off x="0" y="5905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30</xdr:row>
      <xdr:rowOff>41040</xdr:rowOff>
    </xdr:from>
    <xdr:to>
      <xdr:col>18</xdr:col>
      <xdr:colOff>507600</xdr:colOff>
      <xdr:row>47</xdr:row>
      <xdr:rowOff>42480</xdr:rowOff>
    </xdr:to>
    <xdr:graphicFrame>
      <xdr:nvGraphicFramePr>
        <xdr:cNvPr id="3" name="Chart 4"/>
        <xdr:cNvGraphicFramePr/>
      </xdr:nvGraphicFramePr>
      <xdr:xfrm>
        <a:off x="7943760" y="5905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6" min="6" style="0" width="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2" t="s">
        <v>2</v>
      </c>
      <c r="E3" s="2" t="s">
        <v>3</v>
      </c>
    </row>
    <row r="4" customFormat="false" ht="22.05" hidden="false" customHeight="false" outlineLevel="0" collapsed="false">
      <c r="A4" s="3" t="n">
        <f aca="false">Analysis!B3</f>
        <v>6234</v>
      </c>
      <c r="C4" s="4" t="n">
        <f aca="false">Analysis!B6</f>
        <v>0.684151427654796</v>
      </c>
      <c r="E4" s="5" t="n">
        <f aca="false">Analysis!B7</f>
        <v>99.1008206330598</v>
      </c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7" t="str">
        <f aca="false">"Peak year: "&amp;INDEX(Analysis!A14:A26,MATCH(MAX(Analysis!D14:D26),Analysis!D14:D26,0))&amp;" saw the most additions ("&amp;TEXT(MAX(Analysis!D14:D26),"#,##0")&amp;" titles)."</f>
        <v>Peak year: 2019 saw the most additions (2,349 titles).</v>
      </c>
    </row>
    <row r="8" customFormat="false" ht="15" hidden="false" customHeight="false" outlineLevel="0" collapsed="false">
      <c r="A8" s="7" t="str">
        <f aca="false">"Mix: "&amp;TEXT(Analysis!B6,"0%")&amp;" of the catalogue is movies; the average movie runs "&amp;TEXT(Analysis!B7,"0")&amp;" minutes."</f>
        <v>Mix: 68% of the catalogue is movies; the average movie runs 99 minutes.</v>
      </c>
    </row>
    <row r="9" customFormat="false" ht="15" hidden="false" customHeight="false" outlineLevel="0" collapsed="false">
      <c r="A9" s="7" t="str">
        <f aca="false">"Top country: "&amp;Analysis!A31&amp;" with "&amp;TEXT(Analysis!C31,"0.0%")&amp;" of all titles."</f>
        <v>Top country: United States with 36.9% of all titles.</v>
      </c>
    </row>
    <row r="10" customFormat="false" ht="15" hidden="false" customHeight="false" outlineLevel="0" collapsed="false">
      <c r="A10" s="7" t="str">
        <f aca="false">"Top genre: "&amp;Analysis!A45&amp;" ("&amp;TEXT(Analysis!C45,"0.0%")&amp;")."</f>
        <v>Top genre: Dramas (17.3%).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8" t="s">
        <v>5</v>
      </c>
    </row>
    <row r="2" customFormat="false" ht="15" hidden="false" customHeight="false" outlineLevel="0" collapsed="false">
      <c r="D2" s="6" t="s">
        <v>6</v>
      </c>
    </row>
    <row r="3" customFormat="false" ht="15" hidden="false" customHeight="false" outlineLevel="0" collapsed="false">
      <c r="A3" s="9" t="s">
        <v>1</v>
      </c>
      <c r="B3" s="10" t="n">
        <f aca="false">COUNTA(Data!$A$2:$A$6235)</f>
        <v>6234</v>
      </c>
      <c r="D3" s="11" t="s">
        <v>7</v>
      </c>
      <c r="E3" s="11" t="s">
        <v>8</v>
      </c>
      <c r="F3" s="11" t="s">
        <v>9</v>
      </c>
    </row>
    <row r="4" customFormat="false" ht="15" hidden="false" customHeight="false" outlineLevel="0" collapsed="false">
      <c r="A4" s="9" t="s">
        <v>10</v>
      </c>
      <c r="B4" s="10" t="n">
        <f aca="false">COUNTIF(Data!$B$2:$B$6235,"Movie")</f>
        <v>4265</v>
      </c>
      <c r="D4" s="7" t="s">
        <v>11</v>
      </c>
      <c r="E4" s="7" t="n">
        <f aca="false">COUNTBLANK(Data!$D$2:$D$6235)</f>
        <v>1969</v>
      </c>
      <c r="F4" s="12" t="n">
        <f aca="false">IFERROR(E4/$B$3,0)</f>
        <v>0.315848572345204</v>
      </c>
    </row>
    <row r="5" customFormat="false" ht="15" hidden="false" customHeight="false" outlineLevel="0" collapsed="false">
      <c r="A5" s="9" t="s">
        <v>12</v>
      </c>
      <c r="B5" s="10" t="n">
        <f aca="false">COUNTIF(Data!$B$2:$B$6235,"TV Show")</f>
        <v>1969</v>
      </c>
      <c r="D5" s="7" t="s">
        <v>13</v>
      </c>
      <c r="E5" s="7" t="n">
        <f aca="false">COUNTBLANK(Data!$E$2:$E$6235)</f>
        <v>476</v>
      </c>
      <c r="F5" s="12" t="n">
        <f aca="false">IFERROR(E5/$B$3,0)</f>
        <v>0.0763554700032082</v>
      </c>
    </row>
    <row r="6" customFormat="false" ht="15" hidden="false" customHeight="false" outlineLevel="0" collapsed="false">
      <c r="A6" s="9" t="s">
        <v>2</v>
      </c>
      <c r="B6" s="12" t="n">
        <f aca="false">IFERROR(B4/B3,0)</f>
        <v>0.684151427654796</v>
      </c>
      <c r="D6" s="7" t="s">
        <v>14</v>
      </c>
      <c r="E6" s="7" t="n">
        <f aca="false">COUNTBLANK(Data!$F$2:$F$6235)</f>
        <v>11</v>
      </c>
      <c r="F6" s="12" t="n">
        <f aca="false">IFERROR(E6/$B$3,0)</f>
        <v>0.00176451716393969</v>
      </c>
    </row>
    <row r="7" customFormat="false" ht="15" hidden="false" customHeight="false" outlineLevel="0" collapsed="false">
      <c r="A7" s="9" t="s">
        <v>15</v>
      </c>
      <c r="B7" s="13" t="n">
        <f aca="false">AVERAGE(Data!$N$2:$N$6235)</f>
        <v>99.1008206330598</v>
      </c>
      <c r="D7" s="7" t="s">
        <v>16</v>
      </c>
      <c r="E7" s="7" t="n">
        <f aca="false">COUNTBLANK(Data!$H$2:$H$6235)</f>
        <v>10</v>
      </c>
      <c r="F7" s="12" t="n">
        <f aca="false">IFERROR(E7/$B$3,0)</f>
        <v>0.00160410651267244</v>
      </c>
    </row>
    <row r="8" customFormat="false" ht="15" hidden="false" customHeight="false" outlineLevel="0" collapsed="false">
      <c r="A8" s="9" t="s">
        <v>17</v>
      </c>
      <c r="B8" s="14" t="n">
        <f aca="false">AVERAGE(Data!$O$2:$O$6235)</f>
        <v>1.77958354494667</v>
      </c>
    </row>
    <row r="9" customFormat="false" ht="15" hidden="false" customHeight="false" outlineLevel="0" collapsed="false">
      <c r="A9" s="9" t="s">
        <v>18</v>
      </c>
      <c r="B9" s="14" t="n">
        <f aca="false">AVERAGE(Data!$P$2:$P$6235)</f>
        <v>4.62108307890085</v>
      </c>
      <c r="D9" s="15" t="s">
        <v>19</v>
      </c>
    </row>
    <row r="12" customFormat="false" ht="15" hidden="false" customHeight="false" outlineLevel="0" collapsed="false">
      <c r="A12" s="6" t="s">
        <v>20</v>
      </c>
    </row>
    <row r="13" customFormat="false" ht="15" hidden="false" customHeight="false" outlineLevel="0" collapsed="false">
      <c r="A13" s="11" t="s">
        <v>21</v>
      </c>
      <c r="B13" s="11" t="s">
        <v>10</v>
      </c>
      <c r="C13" s="11" t="s">
        <v>12</v>
      </c>
      <c r="D13" s="11" t="s">
        <v>22</v>
      </c>
    </row>
    <row r="14" customFormat="false" ht="15" hidden="false" customHeight="false" outlineLevel="0" collapsed="false">
      <c r="A14" s="7" t="n">
        <v>2008</v>
      </c>
      <c r="B14" s="7" t="n">
        <f aca="false">COUNTIFS(Data!$K$2:$K$6235,$A14,Data!$B$2:$B$6235,"Movie")</f>
        <v>1</v>
      </c>
      <c r="C14" s="7" t="n">
        <f aca="false">COUNTIFS(Data!$K$2:$K$6235,$A14,Data!$B$2:$B$6235,"TV Show")</f>
        <v>1</v>
      </c>
      <c r="D14" s="7" t="n">
        <f aca="false">B14+C14</f>
        <v>2</v>
      </c>
    </row>
    <row r="15" customFormat="false" ht="15" hidden="false" customHeight="false" outlineLevel="0" collapsed="false">
      <c r="A15" s="7" t="n">
        <v>2009</v>
      </c>
      <c r="B15" s="7" t="n">
        <f aca="false">COUNTIFS(Data!$K$2:$K$6235,$A15,Data!$B$2:$B$6235,"Movie")</f>
        <v>2</v>
      </c>
      <c r="C15" s="7" t="n">
        <f aca="false">COUNTIFS(Data!$K$2:$K$6235,$A15,Data!$B$2:$B$6235,"TV Show")</f>
        <v>0</v>
      </c>
      <c r="D15" s="7" t="n">
        <f aca="false">B15+C15</f>
        <v>2</v>
      </c>
    </row>
    <row r="16" customFormat="false" ht="15" hidden="false" customHeight="false" outlineLevel="0" collapsed="false">
      <c r="A16" s="7" t="n">
        <v>2010</v>
      </c>
      <c r="B16" s="7" t="n">
        <f aca="false">COUNTIFS(Data!$K$2:$K$6235,$A16,Data!$B$2:$B$6235,"Movie")</f>
        <v>1</v>
      </c>
      <c r="C16" s="7" t="n">
        <f aca="false">COUNTIFS(Data!$K$2:$K$6235,$A16,Data!$B$2:$B$6235,"TV Show")</f>
        <v>0</v>
      </c>
      <c r="D16" s="7" t="n">
        <f aca="false">B16+C16</f>
        <v>1</v>
      </c>
    </row>
    <row r="17" customFormat="false" ht="15" hidden="false" customHeight="false" outlineLevel="0" collapsed="false">
      <c r="A17" s="7" t="n">
        <v>2011</v>
      </c>
      <c r="B17" s="7" t="n">
        <f aca="false">COUNTIFS(Data!$K$2:$K$6235,$A17,Data!$B$2:$B$6235,"Movie")</f>
        <v>13</v>
      </c>
      <c r="C17" s="7" t="n">
        <f aca="false">COUNTIFS(Data!$K$2:$K$6235,$A17,Data!$B$2:$B$6235,"TV Show")</f>
        <v>0</v>
      </c>
      <c r="D17" s="7" t="n">
        <f aca="false">B17+C17</f>
        <v>13</v>
      </c>
    </row>
    <row r="18" customFormat="false" ht="15" hidden="false" customHeight="false" outlineLevel="0" collapsed="false">
      <c r="A18" s="7" t="n">
        <v>2012</v>
      </c>
      <c r="B18" s="7" t="n">
        <f aca="false">COUNTIFS(Data!$K$2:$K$6235,$A18,Data!$B$2:$B$6235,"Movie")</f>
        <v>4</v>
      </c>
      <c r="C18" s="7" t="n">
        <f aca="false">COUNTIFS(Data!$K$2:$K$6235,$A18,Data!$B$2:$B$6235,"TV Show")</f>
        <v>3</v>
      </c>
      <c r="D18" s="7" t="n">
        <f aca="false">B18+C18</f>
        <v>7</v>
      </c>
    </row>
    <row r="19" customFormat="false" ht="15" hidden="false" customHeight="false" outlineLevel="0" collapsed="false">
      <c r="A19" s="7" t="n">
        <v>2013</v>
      </c>
      <c r="B19" s="7" t="n">
        <f aca="false">COUNTIFS(Data!$K$2:$K$6235,$A19,Data!$B$2:$B$6235,"Movie")</f>
        <v>6</v>
      </c>
      <c r="C19" s="7" t="n">
        <f aca="false">COUNTIFS(Data!$K$2:$K$6235,$A19,Data!$B$2:$B$6235,"TV Show")</f>
        <v>6</v>
      </c>
      <c r="D19" s="7" t="n">
        <f aca="false">B19+C19</f>
        <v>12</v>
      </c>
    </row>
    <row r="20" customFormat="false" ht="15" hidden="false" customHeight="false" outlineLevel="0" collapsed="false">
      <c r="A20" s="7" t="n">
        <v>2014</v>
      </c>
      <c r="B20" s="7" t="n">
        <f aca="false">COUNTIFS(Data!$K$2:$K$6235,$A20,Data!$B$2:$B$6235,"Movie")</f>
        <v>19</v>
      </c>
      <c r="C20" s="7" t="n">
        <f aca="false">COUNTIFS(Data!$K$2:$K$6235,$A20,Data!$B$2:$B$6235,"TV Show")</f>
        <v>6</v>
      </c>
      <c r="D20" s="7" t="n">
        <f aca="false">B20+C20</f>
        <v>25</v>
      </c>
    </row>
    <row r="21" customFormat="false" ht="15" hidden="false" customHeight="false" outlineLevel="0" collapsed="false">
      <c r="A21" s="7" t="n">
        <v>2015</v>
      </c>
      <c r="B21" s="7" t="n">
        <f aca="false">COUNTIFS(Data!$K$2:$K$6235,$A21,Data!$B$2:$B$6235,"Movie")</f>
        <v>58</v>
      </c>
      <c r="C21" s="7" t="n">
        <f aca="false">COUNTIFS(Data!$K$2:$K$6235,$A21,Data!$B$2:$B$6235,"TV Show")</f>
        <v>32</v>
      </c>
      <c r="D21" s="7" t="n">
        <f aca="false">B21+C21</f>
        <v>90</v>
      </c>
    </row>
    <row r="22" customFormat="false" ht="15" hidden="false" customHeight="false" outlineLevel="0" collapsed="false">
      <c r="A22" s="7" t="n">
        <v>2016</v>
      </c>
      <c r="B22" s="7" t="n">
        <f aca="false">COUNTIFS(Data!$K$2:$K$6235,$A22,Data!$B$2:$B$6235,"Movie")</f>
        <v>264</v>
      </c>
      <c r="C22" s="7" t="n">
        <f aca="false">COUNTIFS(Data!$K$2:$K$6235,$A22,Data!$B$2:$B$6235,"TV Show")</f>
        <v>192</v>
      </c>
      <c r="D22" s="7" t="n">
        <f aca="false">B22+C22</f>
        <v>456</v>
      </c>
    </row>
    <row r="23" customFormat="false" ht="15" hidden="false" customHeight="false" outlineLevel="0" collapsed="false">
      <c r="A23" s="7" t="n">
        <v>2017</v>
      </c>
      <c r="B23" s="7" t="n">
        <f aca="false">COUNTIFS(Data!$K$2:$K$6235,$A23,Data!$B$2:$B$6235,"Movie")</f>
        <v>913</v>
      </c>
      <c r="C23" s="7" t="n">
        <f aca="false">COUNTIFS(Data!$K$2:$K$6235,$A23,Data!$B$2:$B$6235,"TV Show")</f>
        <v>387</v>
      </c>
      <c r="D23" s="7" t="n">
        <f aca="false">B23+C23</f>
        <v>1300</v>
      </c>
    </row>
    <row r="24" customFormat="false" ht="15" hidden="false" customHeight="false" outlineLevel="0" collapsed="false">
      <c r="A24" s="7" t="n">
        <v>2018</v>
      </c>
      <c r="B24" s="7" t="n">
        <f aca="false">COUNTIFS(Data!$K$2:$K$6235,$A24,Data!$B$2:$B$6235,"Movie")</f>
        <v>1290</v>
      </c>
      <c r="C24" s="7" t="n">
        <f aca="false">COUNTIFS(Data!$K$2:$K$6235,$A24,Data!$B$2:$B$6235,"TV Show")</f>
        <v>492</v>
      </c>
      <c r="D24" s="7" t="n">
        <f aca="false">B24+C24</f>
        <v>1782</v>
      </c>
    </row>
    <row r="25" customFormat="false" ht="15" hidden="false" customHeight="false" outlineLevel="0" collapsed="false">
      <c r="A25" s="7" t="n">
        <v>2019</v>
      </c>
      <c r="B25" s="7" t="n">
        <f aca="false">COUNTIFS(Data!$K$2:$K$6235,$A25,Data!$B$2:$B$6235,"Movie")</f>
        <v>1546</v>
      </c>
      <c r="C25" s="7" t="n">
        <f aca="false">COUNTIFS(Data!$K$2:$K$6235,$A25,Data!$B$2:$B$6235,"TV Show")</f>
        <v>803</v>
      </c>
      <c r="D25" s="7" t="n">
        <f aca="false">B25+C25</f>
        <v>2349</v>
      </c>
    </row>
    <row r="26" customFormat="false" ht="15" hidden="false" customHeight="false" outlineLevel="0" collapsed="false">
      <c r="A26" s="7" t="n">
        <v>2020</v>
      </c>
      <c r="B26" s="7" t="n">
        <f aca="false">COUNTIFS(Data!$K$2:$K$6235,$A26,Data!$B$2:$B$6235,"Movie")</f>
        <v>147</v>
      </c>
      <c r="C26" s="7" t="n">
        <f aca="false">COUNTIFS(Data!$K$2:$K$6235,$A26,Data!$B$2:$B$6235,"TV Show")</f>
        <v>37</v>
      </c>
      <c r="D26" s="7" t="n">
        <f aca="false">B26+C26</f>
        <v>184</v>
      </c>
    </row>
    <row r="29" customFormat="false" ht="15" hidden="false" customHeight="false" outlineLevel="0" collapsed="false">
      <c r="A29" s="6" t="s">
        <v>23</v>
      </c>
    </row>
    <row r="30" customFormat="false" ht="15" hidden="false" customHeight="false" outlineLevel="0" collapsed="false">
      <c r="A30" s="11" t="s">
        <v>24</v>
      </c>
      <c r="B30" s="11" t="s">
        <v>1</v>
      </c>
      <c r="C30" s="11" t="s">
        <v>25</v>
      </c>
    </row>
    <row r="31" customFormat="false" ht="15" hidden="false" customHeight="false" outlineLevel="0" collapsed="false">
      <c r="A31" s="7" t="s">
        <v>26</v>
      </c>
      <c r="B31" s="7" t="n">
        <f aca="false">COUNTIF(Data!$L$2:$L$6235,$A31)</f>
        <v>2302</v>
      </c>
      <c r="C31" s="12" t="n">
        <f aca="false">IFERROR(B31/$B$3,0)</f>
        <v>0.369265319217196</v>
      </c>
    </row>
    <row r="32" customFormat="false" ht="15" hidden="false" customHeight="false" outlineLevel="0" collapsed="false">
      <c r="A32" s="7" t="s">
        <v>27</v>
      </c>
      <c r="B32" s="7" t="n">
        <f aca="false">COUNTIF(Data!$L$2:$L$6235,$A32)</f>
        <v>808</v>
      </c>
      <c r="C32" s="12" t="n">
        <f aca="false">IFERROR(B32/$B$3,0)</f>
        <v>0.129611806223933</v>
      </c>
    </row>
    <row r="33" customFormat="false" ht="15" hidden="false" customHeight="false" outlineLevel="0" collapsed="false">
      <c r="A33" s="7" t="s">
        <v>28</v>
      </c>
      <c r="B33" s="7" t="n">
        <f aca="false">COUNTIF(Data!$L$2:$L$6235,$A33)</f>
        <v>483</v>
      </c>
      <c r="C33" s="12" t="n">
        <f aca="false">IFERROR(B33/$B$3,0)</f>
        <v>0.0774783445620789</v>
      </c>
    </row>
    <row r="34" customFormat="false" ht="15" hidden="false" customHeight="false" outlineLevel="0" collapsed="false">
      <c r="A34" s="7" t="s">
        <v>29</v>
      </c>
      <c r="B34" s="7" t="n">
        <f aca="false">COUNTIF(Data!$L$2:$L$6235,$A34)</f>
        <v>206</v>
      </c>
      <c r="C34" s="12" t="n">
        <f aca="false">IFERROR(B34/$B$3,0)</f>
        <v>0.0330445941610523</v>
      </c>
    </row>
    <row r="35" customFormat="false" ht="15" hidden="false" customHeight="false" outlineLevel="0" collapsed="false">
      <c r="A35" s="7" t="s">
        <v>30</v>
      </c>
      <c r="B35" s="7" t="n">
        <f aca="false">COUNTIF(Data!$L$2:$L$6235,$A35)</f>
        <v>184</v>
      </c>
      <c r="C35" s="12" t="n">
        <f aca="false">IFERROR(B35/$B$3,0)</f>
        <v>0.0295155598331729</v>
      </c>
    </row>
    <row r="36" customFormat="false" ht="15" hidden="false" customHeight="false" outlineLevel="0" collapsed="false">
      <c r="A36" s="7" t="s">
        <v>31</v>
      </c>
      <c r="B36" s="7" t="n">
        <f aca="false">COUNTIF(Data!$L$2:$L$6235,$A36)</f>
        <v>147</v>
      </c>
      <c r="C36" s="12" t="n">
        <f aca="false">IFERROR(B36/$B$3,0)</f>
        <v>0.0235803657362849</v>
      </c>
    </row>
    <row r="37" customFormat="false" ht="15" hidden="false" customHeight="false" outlineLevel="0" collapsed="false">
      <c r="A37" s="7" t="s">
        <v>32</v>
      </c>
      <c r="B37" s="7" t="n">
        <f aca="false">COUNTIF(Data!$L$2:$L$6235,$A37)</f>
        <v>146</v>
      </c>
      <c r="C37" s="12" t="n">
        <f aca="false">IFERROR(B37/$B$3,0)</f>
        <v>0.0234199550850176</v>
      </c>
    </row>
    <row r="38" customFormat="false" ht="15" hidden="false" customHeight="false" outlineLevel="0" collapsed="false">
      <c r="A38" s="7" t="s">
        <v>33</v>
      </c>
      <c r="B38" s="7" t="n">
        <f aca="false">COUNTIF(Data!$L$2:$L$6235,$A38)</f>
        <v>139</v>
      </c>
      <c r="C38" s="12" t="n">
        <f aca="false">IFERROR(B38/$B$3,0)</f>
        <v>0.0222970805261469</v>
      </c>
    </row>
    <row r="39" customFormat="false" ht="15" hidden="false" customHeight="false" outlineLevel="0" collapsed="false">
      <c r="A39" s="7" t="s">
        <v>34</v>
      </c>
      <c r="B39" s="7" t="n">
        <f aca="false">COUNTIF(Data!$L$2:$L$6235,$A39)</f>
        <v>99</v>
      </c>
      <c r="C39" s="12" t="n">
        <f aca="false">IFERROR(B39/$B$3,0)</f>
        <v>0.0158806544754572</v>
      </c>
    </row>
    <row r="40" customFormat="false" ht="15" hidden="false" customHeight="false" outlineLevel="0" collapsed="false">
      <c r="A40" s="7" t="s">
        <v>35</v>
      </c>
      <c r="B40" s="7" t="n">
        <f aca="false">COUNTIF(Data!$L$2:$L$6235,$A40)</f>
        <v>94</v>
      </c>
      <c r="C40" s="12" t="n">
        <f aca="false">IFERROR(B40/$B$3,0)</f>
        <v>0.015078601219121</v>
      </c>
    </row>
    <row r="43" customFormat="false" ht="15" hidden="false" customHeight="false" outlineLevel="0" collapsed="false">
      <c r="A43" s="6" t="s">
        <v>36</v>
      </c>
    </row>
    <row r="44" customFormat="false" ht="15" hidden="false" customHeight="false" outlineLevel="0" collapsed="false">
      <c r="A44" s="11" t="s">
        <v>24</v>
      </c>
      <c r="B44" s="11" t="s">
        <v>1</v>
      </c>
      <c r="C44" s="11" t="s">
        <v>25</v>
      </c>
    </row>
    <row r="45" customFormat="false" ht="15" hidden="false" customHeight="false" outlineLevel="0" collapsed="false">
      <c r="A45" s="7" t="s">
        <v>37</v>
      </c>
      <c r="B45" s="7" t="n">
        <f aca="false">COUNTIF(Data!$M$2:$M$6235,$A45)</f>
        <v>1077</v>
      </c>
      <c r="C45" s="12" t="n">
        <f aca="false">IFERROR(B45/$B$3,0)</f>
        <v>0.172762271414822</v>
      </c>
    </row>
    <row r="46" customFormat="false" ht="15" hidden="false" customHeight="false" outlineLevel="0" collapsed="false">
      <c r="A46" s="7" t="s">
        <v>38</v>
      </c>
      <c r="B46" s="7" t="n">
        <f aca="false">COUNTIF(Data!$M$2:$M$6235,$A46)</f>
        <v>803</v>
      </c>
      <c r="C46" s="12" t="n">
        <f aca="false">IFERROR(B46/$B$3,0)</f>
        <v>0.128809752967597</v>
      </c>
    </row>
    <row r="47" customFormat="false" ht="15" hidden="false" customHeight="false" outlineLevel="0" collapsed="false">
      <c r="A47" s="7" t="s">
        <v>39</v>
      </c>
      <c r="B47" s="7" t="n">
        <f aca="false">COUNTIF(Data!$M$2:$M$6235,$A47)</f>
        <v>644</v>
      </c>
      <c r="C47" s="12" t="n">
        <f aca="false">IFERROR(B47/$B$3,0)</f>
        <v>0.103304459416105</v>
      </c>
    </row>
    <row r="48" customFormat="false" ht="15" hidden="false" customHeight="false" outlineLevel="0" collapsed="false">
      <c r="A48" s="7" t="s">
        <v>40</v>
      </c>
      <c r="B48" s="7" t="n">
        <f aca="false">COUNTIF(Data!$M$2:$M$6235,$A48)</f>
        <v>597</v>
      </c>
      <c r="C48" s="12" t="n">
        <f aca="false">IFERROR(B48/$B$3,0)</f>
        <v>0.0957651588065448</v>
      </c>
    </row>
    <row r="49" customFormat="false" ht="15" hidden="false" customHeight="false" outlineLevel="0" collapsed="false">
      <c r="A49" s="7" t="s">
        <v>41</v>
      </c>
      <c r="B49" s="7" t="n">
        <f aca="false">COUNTIF(Data!$M$2:$M$6235,$A49)</f>
        <v>570</v>
      </c>
      <c r="C49" s="12" t="n">
        <f aca="false">IFERROR(B49/$B$3,0)</f>
        <v>0.0914340712223292</v>
      </c>
    </row>
    <row r="50" customFormat="false" ht="15" hidden="false" customHeight="false" outlineLevel="0" collapsed="false">
      <c r="A50" s="7" t="s">
        <v>42</v>
      </c>
      <c r="B50" s="7" t="n">
        <f aca="false">COUNTIF(Data!$M$2:$M$6235,$A50)</f>
        <v>358</v>
      </c>
      <c r="C50" s="12" t="n">
        <f aca="false">IFERROR(B50/$B$3,0)</f>
        <v>0.0574270131536734</v>
      </c>
    </row>
    <row r="51" customFormat="false" ht="15" hidden="false" customHeight="false" outlineLevel="0" collapsed="false">
      <c r="A51" s="7" t="s">
        <v>43</v>
      </c>
      <c r="B51" s="7" t="n">
        <f aca="false">COUNTIF(Data!$M$2:$M$6235,$A51)</f>
        <v>309</v>
      </c>
      <c r="C51" s="12" t="n">
        <f aca="false">IFERROR(B51/$B$3,0)</f>
        <v>0.0495668912415784</v>
      </c>
    </row>
    <row r="52" customFormat="false" ht="15" hidden="false" customHeight="false" outlineLevel="0" collapsed="false">
      <c r="A52" s="7" t="s">
        <v>44</v>
      </c>
      <c r="B52" s="7" t="n">
        <f aca="false">COUNTIF(Data!$M$2:$M$6235,$A52)</f>
        <v>288</v>
      </c>
      <c r="C52" s="12" t="n">
        <f aca="false">IFERROR(B52/$B$3,0)</f>
        <v>0.0461982675649663</v>
      </c>
    </row>
    <row r="53" customFormat="false" ht="15" hidden="false" customHeight="false" outlineLevel="0" collapsed="false">
      <c r="A53" s="7" t="s">
        <v>45</v>
      </c>
      <c r="B53" s="7" t="n">
        <f aca="false">COUNTIF(Data!$M$2:$M$6235,$A53)</f>
        <v>273</v>
      </c>
      <c r="C53" s="12" t="n">
        <f aca="false">IFERROR(B53/$B$3,0)</f>
        <v>0.0437921077959577</v>
      </c>
    </row>
    <row r="54" customFormat="false" ht="15" hidden="false" customHeight="false" outlineLevel="0" collapsed="false">
      <c r="A54" s="7" t="s">
        <v>46</v>
      </c>
      <c r="B54" s="7" t="n">
        <f aca="false">COUNTIF(Data!$M$2:$M$6235,$A54)</f>
        <v>210</v>
      </c>
      <c r="C54" s="12" t="n">
        <f aca="false">IFERROR(B54/$B$3,0)</f>
        <v>0.0336862367661213</v>
      </c>
    </row>
    <row r="57" customFormat="false" ht="15" hidden="false" customHeight="false" outlineLevel="0" collapsed="false">
      <c r="A57" s="6" t="s">
        <v>47</v>
      </c>
    </row>
    <row r="58" customFormat="false" ht="15" hidden="false" customHeight="false" outlineLevel="0" collapsed="false">
      <c r="A58" s="11" t="s">
        <v>24</v>
      </c>
      <c r="B58" s="11" t="s">
        <v>1</v>
      </c>
      <c r="C58" s="11" t="s">
        <v>25</v>
      </c>
    </row>
    <row r="59" customFormat="false" ht="15" hidden="false" customHeight="false" outlineLevel="0" collapsed="false">
      <c r="A59" s="7" t="s">
        <v>48</v>
      </c>
      <c r="B59" s="7" t="n">
        <f aca="false">COUNTIF(Data!$H$2:$H$6235,$A59)</f>
        <v>2027</v>
      </c>
      <c r="C59" s="12" t="n">
        <f aca="false">IFERROR(B59/$B$3,0)</f>
        <v>0.325152390118704</v>
      </c>
    </row>
    <row r="60" customFormat="false" ht="15" hidden="false" customHeight="false" outlineLevel="0" collapsed="false">
      <c r="A60" s="7" t="s">
        <v>49</v>
      </c>
      <c r="B60" s="7" t="n">
        <f aca="false">COUNTIF(Data!$H$2:$H$6235,$A60)</f>
        <v>1698</v>
      </c>
      <c r="C60" s="12" t="n">
        <f aca="false">IFERROR(B60/$B$3,0)</f>
        <v>0.272377285851781</v>
      </c>
    </row>
    <row r="61" customFormat="false" ht="15" hidden="false" customHeight="false" outlineLevel="0" collapsed="false">
      <c r="A61" s="7" t="s">
        <v>50</v>
      </c>
      <c r="B61" s="7" t="n">
        <f aca="false">COUNTIF(Data!$H$2:$H$6235,$A61)</f>
        <v>701</v>
      </c>
      <c r="C61" s="12" t="n">
        <f aca="false">IFERROR(B61/$B$3,0)</f>
        <v>0.112447866538338</v>
      </c>
    </row>
    <row r="62" customFormat="false" ht="15" hidden="false" customHeight="false" outlineLevel="0" collapsed="false">
      <c r="A62" s="7" t="s">
        <v>51</v>
      </c>
      <c r="B62" s="7" t="n">
        <f aca="false">COUNTIF(Data!$H$2:$H$6235,$A62)</f>
        <v>508</v>
      </c>
      <c r="C62" s="12" t="n">
        <f aca="false">IFERROR(B62/$B$3,0)</f>
        <v>0.08148861084376</v>
      </c>
    </row>
    <row r="63" customFormat="false" ht="15" hidden="false" customHeight="false" outlineLevel="0" collapsed="false">
      <c r="A63" s="7" t="s">
        <v>52</v>
      </c>
      <c r="B63" s="7" t="n">
        <f aca="false">COUNTIF(Data!$H$2:$H$6235,$A63)</f>
        <v>286</v>
      </c>
      <c r="C63" s="12" t="n">
        <f aca="false">IFERROR(B63/$B$3,0)</f>
        <v>0.0458774462624318</v>
      </c>
    </row>
    <row r="64" customFormat="false" ht="15" hidden="false" customHeight="false" outlineLevel="0" collapsed="false">
      <c r="A64" s="7" t="s">
        <v>53</v>
      </c>
      <c r="B64" s="7" t="n">
        <f aca="false">COUNTIF(Data!$H$2:$H$6235,$A64)</f>
        <v>218</v>
      </c>
      <c r="C64" s="12" t="n">
        <f aca="false">IFERROR(B64/$B$3,0)</f>
        <v>0.0349695219762592</v>
      </c>
    </row>
    <row r="65" customFormat="false" ht="15" hidden="false" customHeight="false" outlineLevel="0" collapsed="false">
      <c r="A65" s="7" t="s">
        <v>54</v>
      </c>
      <c r="B65" s="7" t="n">
        <f aca="false">COUNTIF(Data!$H$2:$H$6235,$A65)</f>
        <v>184</v>
      </c>
      <c r="C65" s="12" t="n">
        <f aca="false">IFERROR(B65/$B$3,0)</f>
        <v>0.0295155598331729</v>
      </c>
    </row>
    <row r="66" customFormat="false" ht="15" hidden="false" customHeight="false" outlineLevel="0" collapsed="false">
      <c r="A66" s="7" t="s">
        <v>55</v>
      </c>
      <c r="B66" s="7" t="n">
        <f aca="false">COUNTIF(Data!$H$2:$H$6235,$A66)</f>
        <v>169</v>
      </c>
      <c r="C66" s="12" t="n">
        <f aca="false">IFERROR(B66/$B$3,0)</f>
        <v>0.0271094000641643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3" min="12" style="0" width="18"/>
    <col collapsed="false" customWidth="true" hidden="false" outlineLevel="0" max="14" min="14" style="0" width="12"/>
    <col collapsed="false" customWidth="true" hidden="false" outlineLevel="0" max="16" min="15" style="0" width="11"/>
  </cols>
  <sheetData>
    <row r="1" customFormat="false" ht="23.85" hidden="false" customHeight="false" outlineLevel="0" collapsed="false">
      <c r="A1" s="11" t="s">
        <v>56</v>
      </c>
      <c r="B1" s="11" t="s">
        <v>57</v>
      </c>
      <c r="C1" s="11" t="s">
        <v>58</v>
      </c>
      <c r="D1" s="11" t="s">
        <v>11</v>
      </c>
      <c r="E1" s="11" t="s">
        <v>13</v>
      </c>
      <c r="F1" s="11" t="s">
        <v>14</v>
      </c>
      <c r="G1" s="11" t="s">
        <v>59</v>
      </c>
      <c r="H1" s="11" t="s">
        <v>16</v>
      </c>
      <c r="I1" s="11" t="s">
        <v>60</v>
      </c>
      <c r="J1" s="11" t="s">
        <v>61</v>
      </c>
      <c r="K1" s="11" t="s">
        <v>62</v>
      </c>
      <c r="L1" s="11" t="s">
        <v>63</v>
      </c>
      <c r="M1" s="11" t="s">
        <v>64</v>
      </c>
      <c r="N1" s="11" t="s">
        <v>65</v>
      </c>
      <c r="O1" s="11" t="s">
        <v>66</v>
      </c>
      <c r="P1" s="11" t="s">
        <v>67</v>
      </c>
    </row>
    <row r="2" customFormat="false" ht="15" hidden="false" customHeight="false" outlineLevel="0" collapsed="false">
      <c r="A2" s="7" t="n">
        <v>81145628</v>
      </c>
      <c r="B2" s="7" t="s">
        <v>68</v>
      </c>
      <c r="C2" s="7" t="s">
        <v>69</v>
      </c>
      <c r="D2" s="7" t="s">
        <v>70</v>
      </c>
      <c r="E2" s="7" t="s">
        <v>71</v>
      </c>
      <c r="F2" s="7" t="s">
        <v>72</v>
      </c>
      <c r="G2" s="7" t="n">
        <v>2019</v>
      </c>
      <c r="H2" s="7" t="s">
        <v>50</v>
      </c>
      <c r="I2" s="7" t="s">
        <v>73</v>
      </c>
      <c r="J2" s="7" t="s">
        <v>74</v>
      </c>
      <c r="K2" s="7" t="n">
        <f aca="false">IFERROR(VALUE(RIGHT(TRIM(F2),4)),"")</f>
        <v>2019</v>
      </c>
      <c r="L2" s="7" t="str">
        <f aca="false">IF(TRIM(E2)="","Unknown",IFERROR(LEFT(TRIM(E2),FIND(",",TRIM(E2))-1),TRIM(E2)))</f>
        <v>United States</v>
      </c>
      <c r="M2" s="7" t="str">
        <f aca="false">IFERROR(LEFT(J2,FIND(",",J2)-1),J2)</f>
        <v>Children &amp; Family Movies</v>
      </c>
      <c r="N2" s="7" t="n">
        <f aca="false">IF(B2="Movie",IFERROR(VALUE(LEFT(I2,FIND(" ",I2)-1)),""),"")</f>
        <v>90</v>
      </c>
      <c r="O2" s="7" t="str">
        <f aca="false">IF(B2="TV Show",IFERROR(VALUE(LEFT(I2,FIND(" ",I2)-1)),""),"")</f>
        <v/>
      </c>
      <c r="P2" s="7" t="n">
        <f aca="false">IF(K2="","",K2-G2)</f>
        <v>0</v>
      </c>
    </row>
    <row r="3" customFormat="false" ht="15" hidden="false" customHeight="false" outlineLevel="0" collapsed="false">
      <c r="A3" s="7" t="n">
        <v>80117401</v>
      </c>
      <c r="B3" s="7" t="s">
        <v>68</v>
      </c>
      <c r="C3" s="7" t="s">
        <v>75</v>
      </c>
      <c r="E3" s="7" t="s">
        <v>28</v>
      </c>
      <c r="F3" s="7" t="s">
        <v>76</v>
      </c>
      <c r="G3" s="7" t="n">
        <v>2016</v>
      </c>
      <c r="H3" s="7" t="s">
        <v>48</v>
      </c>
      <c r="I3" s="7" t="s">
        <v>77</v>
      </c>
      <c r="J3" s="7" t="s">
        <v>45</v>
      </c>
      <c r="K3" s="7" t="n">
        <f aca="false">IFERROR(VALUE(RIGHT(TRIM(F3),4)),"")</f>
        <v>2016</v>
      </c>
      <c r="L3" s="7" t="str">
        <f aca="false">IF(TRIM(E3)="","Unknown",IFERROR(LEFT(TRIM(E3),FIND(",",TRIM(E3))-1),TRIM(E3)))</f>
        <v>United Kingdom</v>
      </c>
      <c r="M3" s="7" t="str">
        <f aca="false">IFERROR(LEFT(J3,FIND(",",J3)-1),J3)</f>
        <v>Stand-Up Comedy</v>
      </c>
      <c r="N3" s="7" t="n">
        <f aca="false">IF(B3="Movie",IFERROR(VALUE(LEFT(I3,FIND(" ",I3)-1)),""),"")</f>
        <v>94</v>
      </c>
      <c r="O3" s="7" t="str">
        <f aca="false">IF(B3="TV Show",IFERROR(VALUE(LEFT(I3,FIND(" ",I3)-1)),""),"")</f>
        <v/>
      </c>
      <c r="P3" s="7" t="n">
        <f aca="false">IF(K3="","",K3-G3)</f>
        <v>0</v>
      </c>
    </row>
    <row r="4" customFormat="false" ht="15" hidden="false" customHeight="false" outlineLevel="0" collapsed="false">
      <c r="A4" s="7" t="n">
        <v>70234439</v>
      </c>
      <c r="B4" s="7" t="s">
        <v>78</v>
      </c>
      <c r="C4" s="7" t="s">
        <v>79</v>
      </c>
      <c r="E4" s="7" t="s">
        <v>26</v>
      </c>
      <c r="F4" s="7" t="s">
        <v>80</v>
      </c>
      <c r="G4" s="7" t="n">
        <v>2013</v>
      </c>
      <c r="H4" s="7" t="s">
        <v>81</v>
      </c>
      <c r="I4" s="7" t="s">
        <v>82</v>
      </c>
      <c r="J4" s="7" t="s">
        <v>44</v>
      </c>
      <c r="K4" s="7" t="n">
        <f aca="false">IFERROR(VALUE(RIGHT(TRIM(F4),4)),"")</f>
        <v>2018</v>
      </c>
      <c r="L4" s="7" t="str">
        <f aca="false">IF(TRIM(E4)="","Unknown",IFERROR(LEFT(TRIM(E4),FIND(",",TRIM(E4))-1),TRIM(E4)))</f>
        <v>United States</v>
      </c>
      <c r="M4" s="7" t="str">
        <f aca="false">IFERROR(LEFT(J4,FIND(",",J4)-1),J4)</f>
        <v>Kids' TV</v>
      </c>
      <c r="N4" s="7" t="str">
        <f aca="false">IF(B4="Movie",IFERROR(VALUE(LEFT(I4,FIND(" ",I4)-1)),""),"")</f>
        <v/>
      </c>
      <c r="O4" s="7" t="n">
        <f aca="false">IF(B4="TV Show",IFERROR(VALUE(LEFT(I4,FIND(" ",I4)-1)),""),"")</f>
        <v>1</v>
      </c>
      <c r="P4" s="7" t="n">
        <f aca="false">IF(K4="","",K4-G4)</f>
        <v>5</v>
      </c>
    </row>
    <row r="5" customFormat="false" ht="15" hidden="false" customHeight="false" outlineLevel="0" collapsed="false">
      <c r="A5" s="7" t="n">
        <v>80058654</v>
      </c>
      <c r="B5" s="7" t="s">
        <v>78</v>
      </c>
      <c r="C5" s="7" t="s">
        <v>83</v>
      </c>
      <c r="E5" s="7" t="s">
        <v>26</v>
      </c>
      <c r="F5" s="7" t="s">
        <v>80</v>
      </c>
      <c r="G5" s="7" t="n">
        <v>2016</v>
      </c>
      <c r="H5" s="7" t="s">
        <v>55</v>
      </c>
      <c r="I5" s="7" t="s">
        <v>82</v>
      </c>
      <c r="J5" s="7" t="s">
        <v>44</v>
      </c>
      <c r="K5" s="7" t="n">
        <f aca="false">IFERROR(VALUE(RIGHT(TRIM(F5),4)),"")</f>
        <v>2018</v>
      </c>
      <c r="L5" s="7" t="str">
        <f aca="false">IF(TRIM(E5)="","Unknown",IFERROR(LEFT(TRIM(E5),FIND(",",TRIM(E5))-1),TRIM(E5)))</f>
        <v>United States</v>
      </c>
      <c r="M5" s="7" t="str">
        <f aca="false">IFERROR(LEFT(J5,FIND(",",J5)-1),J5)</f>
        <v>Kids' TV</v>
      </c>
      <c r="N5" s="7" t="str">
        <f aca="false">IF(B5="Movie",IFERROR(VALUE(LEFT(I5,FIND(" ",I5)-1)),""),"")</f>
        <v/>
      </c>
      <c r="O5" s="7" t="n">
        <f aca="false">IF(B5="TV Show",IFERROR(VALUE(LEFT(I5,FIND(" ",I5)-1)),""),"")</f>
        <v>1</v>
      </c>
      <c r="P5" s="7" t="n">
        <f aca="false">IF(K5="","",K5-G5)</f>
        <v>2</v>
      </c>
    </row>
    <row r="6" customFormat="false" ht="15" hidden="false" customHeight="false" outlineLevel="0" collapsed="false">
      <c r="A6" s="7" t="n">
        <v>80125979</v>
      </c>
      <c r="B6" s="7" t="s">
        <v>68</v>
      </c>
      <c r="C6" s="7" t="s">
        <v>84</v>
      </c>
      <c r="D6" s="7" t="s">
        <v>85</v>
      </c>
      <c r="E6" s="7" t="s">
        <v>26</v>
      </c>
      <c r="F6" s="7" t="s">
        <v>86</v>
      </c>
      <c r="G6" s="7" t="n">
        <v>2017</v>
      </c>
      <c r="H6" s="7" t="s">
        <v>49</v>
      </c>
      <c r="I6" s="7" t="s">
        <v>87</v>
      </c>
      <c r="J6" s="7" t="s">
        <v>38</v>
      </c>
      <c r="K6" s="7" t="n">
        <f aca="false">IFERROR(VALUE(RIGHT(TRIM(F6),4)),"")</f>
        <v>2017</v>
      </c>
      <c r="L6" s="7" t="str">
        <f aca="false">IF(TRIM(E6)="","Unknown",IFERROR(LEFT(TRIM(E6),FIND(",",TRIM(E6))-1),TRIM(E6)))</f>
        <v>United States</v>
      </c>
      <c r="M6" s="7" t="str">
        <f aca="false">IFERROR(LEFT(J6,FIND(",",J6)-1),J6)</f>
        <v>Comedies</v>
      </c>
      <c r="N6" s="7" t="n">
        <f aca="false">IF(B6="Movie",IFERROR(VALUE(LEFT(I6,FIND(" ",I6)-1)),""),"")</f>
        <v>99</v>
      </c>
      <c r="O6" s="7" t="str">
        <f aca="false">IF(B6="TV Show",IFERROR(VALUE(LEFT(I6,FIND(" ",I6)-1)),""),"")</f>
        <v/>
      </c>
      <c r="P6" s="7" t="n">
        <f aca="false">IF(K6="","",K6-G6)</f>
        <v>0</v>
      </c>
    </row>
    <row r="7" customFormat="false" ht="15" hidden="false" customHeight="false" outlineLevel="0" collapsed="false">
      <c r="A7" s="7" t="n">
        <v>80163890</v>
      </c>
      <c r="B7" s="7" t="s">
        <v>78</v>
      </c>
      <c r="C7" s="7" t="s">
        <v>88</v>
      </c>
      <c r="E7" s="7" t="s">
        <v>33</v>
      </c>
      <c r="F7" s="7" t="s">
        <v>86</v>
      </c>
      <c r="G7" s="7" t="n">
        <v>2016</v>
      </c>
      <c r="H7" s="7" t="s">
        <v>48</v>
      </c>
      <c r="I7" s="7" t="s">
        <v>82</v>
      </c>
      <c r="J7" s="7" t="s">
        <v>89</v>
      </c>
      <c r="K7" s="7" t="n">
        <f aca="false">IFERROR(VALUE(RIGHT(TRIM(F7),4)),"")</f>
        <v>2017</v>
      </c>
      <c r="L7" s="7" t="str">
        <f aca="false">IF(TRIM(E7)="","Unknown",IFERROR(LEFT(TRIM(E7),FIND(",",TRIM(E7))-1),TRIM(E7)))</f>
        <v>Spain</v>
      </c>
      <c r="M7" s="7" t="str">
        <f aca="false">IFERROR(LEFT(J7,FIND(",",J7)-1),J7)</f>
        <v>Crime TV Shows</v>
      </c>
      <c r="N7" s="7" t="str">
        <f aca="false">IF(B7="Movie",IFERROR(VALUE(LEFT(I7,FIND(" ",I7)-1)),""),"")</f>
        <v/>
      </c>
      <c r="O7" s="7" t="n">
        <f aca="false">IF(B7="TV Show",IFERROR(VALUE(LEFT(I7,FIND(" ",I7)-1)),""),"")</f>
        <v>1</v>
      </c>
      <c r="P7" s="7" t="n">
        <f aca="false">IF(K7="","",K7-G7)</f>
        <v>1</v>
      </c>
    </row>
    <row r="8" customFormat="false" ht="15" hidden="false" customHeight="false" outlineLevel="0" collapsed="false">
      <c r="A8" s="7" t="n">
        <v>70304989</v>
      </c>
      <c r="B8" s="7" t="s">
        <v>68</v>
      </c>
      <c r="C8" s="7" t="s">
        <v>90</v>
      </c>
      <c r="D8" s="7" t="s">
        <v>91</v>
      </c>
      <c r="E8" s="7" t="s">
        <v>92</v>
      </c>
      <c r="F8" s="7" t="s">
        <v>86</v>
      </c>
      <c r="G8" s="7" t="n">
        <v>2014</v>
      </c>
      <c r="H8" s="7" t="s">
        <v>51</v>
      </c>
      <c r="I8" s="7" t="s">
        <v>93</v>
      </c>
      <c r="J8" s="7" t="s">
        <v>94</v>
      </c>
      <c r="K8" s="7" t="n">
        <f aca="false">IFERROR(VALUE(RIGHT(TRIM(F8),4)),"")</f>
        <v>2017</v>
      </c>
      <c r="L8" s="7" t="str">
        <f aca="false">IF(TRIM(E8)="","Unknown",IFERROR(LEFT(TRIM(E8),FIND(",",TRIM(E8))-1),TRIM(E8)))</f>
        <v>Bulgaria</v>
      </c>
      <c r="M8" s="7" t="str">
        <f aca="false">IFERROR(LEFT(J8,FIND(",",J8)-1),J8)</f>
        <v>International Movies</v>
      </c>
      <c r="N8" s="7" t="n">
        <f aca="false">IF(B8="Movie",IFERROR(VALUE(LEFT(I8,FIND(" ",I8)-1)),""),"")</f>
        <v>110</v>
      </c>
      <c r="O8" s="7" t="str">
        <f aca="false">IF(B8="TV Show",IFERROR(VALUE(LEFT(I8,FIND(" ",I8)-1)),""),"")</f>
        <v/>
      </c>
      <c r="P8" s="7" t="n">
        <f aca="false">IF(K8="","",K8-G8)</f>
        <v>3</v>
      </c>
    </row>
    <row r="9" customFormat="false" ht="15" hidden="false" customHeight="false" outlineLevel="0" collapsed="false">
      <c r="A9" s="7" t="n">
        <v>80164077</v>
      </c>
      <c r="B9" s="7" t="s">
        <v>68</v>
      </c>
      <c r="C9" s="7" t="s">
        <v>95</v>
      </c>
      <c r="D9" s="7" t="s">
        <v>96</v>
      </c>
      <c r="E9" s="7" t="s">
        <v>97</v>
      </c>
      <c r="F9" s="7" t="s">
        <v>86</v>
      </c>
      <c r="G9" s="7" t="n">
        <v>2017</v>
      </c>
      <c r="H9" s="7" t="s">
        <v>48</v>
      </c>
      <c r="I9" s="7" t="s">
        <v>98</v>
      </c>
      <c r="J9" s="7" t="s">
        <v>45</v>
      </c>
      <c r="K9" s="7" t="n">
        <f aca="false">IFERROR(VALUE(RIGHT(TRIM(F9),4)),"")</f>
        <v>2017</v>
      </c>
      <c r="L9" s="7" t="str">
        <f aca="false">IF(TRIM(E9)="","Unknown",IFERROR(LEFT(TRIM(E9),FIND(",",TRIM(E9))-1),TRIM(E9)))</f>
        <v>Chile</v>
      </c>
      <c r="M9" s="7" t="str">
        <f aca="false">IFERROR(LEFT(J9,FIND(",",J9)-1),J9)</f>
        <v>Stand-Up Comedy</v>
      </c>
      <c r="N9" s="7" t="n">
        <f aca="false">IF(B9="Movie",IFERROR(VALUE(LEFT(I9,FIND(" ",I9)-1)),""),"")</f>
        <v>60</v>
      </c>
      <c r="O9" s="7" t="str">
        <f aca="false">IF(B9="TV Show",IFERROR(VALUE(LEFT(I9,FIND(" ",I9)-1)),""),"")</f>
        <v/>
      </c>
      <c r="P9" s="7" t="n">
        <f aca="false">IF(K9="","",K9-G9)</f>
        <v>0</v>
      </c>
    </row>
    <row r="10" customFormat="false" ht="15" hidden="false" customHeight="false" outlineLevel="0" collapsed="false">
      <c r="A10" s="7" t="n">
        <v>80117902</v>
      </c>
      <c r="B10" s="7" t="s">
        <v>78</v>
      </c>
      <c r="C10" s="7" t="s">
        <v>99</v>
      </c>
      <c r="E10" s="7" t="s">
        <v>26</v>
      </c>
      <c r="F10" s="7" t="s">
        <v>86</v>
      </c>
      <c r="G10" s="7" t="n">
        <v>2017</v>
      </c>
      <c r="H10" s="7" t="s">
        <v>48</v>
      </c>
      <c r="I10" s="7" t="s">
        <v>82</v>
      </c>
      <c r="J10" s="7" t="s">
        <v>100</v>
      </c>
      <c r="K10" s="7" t="n">
        <f aca="false">IFERROR(VALUE(RIGHT(TRIM(F10),4)),"")</f>
        <v>2017</v>
      </c>
      <c r="L10" s="7" t="str">
        <f aca="false">IF(TRIM(E10)="","Unknown",IFERROR(LEFT(TRIM(E10),FIND(",",TRIM(E10))-1),TRIM(E10)))</f>
        <v>United States</v>
      </c>
      <c r="M10" s="7" t="str">
        <f aca="false">IFERROR(LEFT(J10,FIND(",",J10)-1),J10)</f>
        <v>Docuseries</v>
      </c>
      <c r="N10" s="7" t="str">
        <f aca="false">IF(B10="Movie",IFERROR(VALUE(LEFT(I10,FIND(" ",I10)-1)),""),"")</f>
        <v/>
      </c>
      <c r="O10" s="7" t="n">
        <f aca="false">IF(B10="TV Show",IFERROR(VALUE(LEFT(I10,FIND(" ",I10)-1)),""),"")</f>
        <v>1</v>
      </c>
      <c r="P10" s="7" t="n">
        <f aca="false">IF(K10="","",K10-G10)</f>
        <v>0</v>
      </c>
    </row>
    <row r="11" customFormat="false" ht="15" hidden="false" customHeight="false" outlineLevel="0" collapsed="false">
      <c r="A11" s="7" t="n">
        <v>70304990</v>
      </c>
      <c r="B11" s="7" t="s">
        <v>68</v>
      </c>
      <c r="C11" s="7" t="s">
        <v>101</v>
      </c>
      <c r="D11" s="7" t="s">
        <v>102</v>
      </c>
      <c r="E11" s="7" t="s">
        <v>103</v>
      </c>
      <c r="F11" s="7" t="s">
        <v>86</v>
      </c>
      <c r="G11" s="7" t="n">
        <v>2014</v>
      </c>
      <c r="H11" s="7" t="s">
        <v>51</v>
      </c>
      <c r="I11" s="7" t="s">
        <v>73</v>
      </c>
      <c r="J11" s="7" t="s">
        <v>104</v>
      </c>
      <c r="K11" s="7" t="n">
        <f aca="false">IFERROR(VALUE(RIGHT(TRIM(F11),4)),"")</f>
        <v>2017</v>
      </c>
      <c r="L11" s="7" t="str">
        <f aca="false">IF(TRIM(E11)="","Unknown",IFERROR(LEFT(TRIM(E11),FIND(",",TRIM(E11))-1),TRIM(E11)))</f>
        <v>United States</v>
      </c>
      <c r="M11" s="7" t="str">
        <f aca="false">IFERROR(LEFT(J11,FIND(",",J11)-1),J11)</f>
        <v>Action &amp; Adventure</v>
      </c>
      <c r="N11" s="7" t="n">
        <f aca="false">IF(B11="Movie",IFERROR(VALUE(LEFT(I11,FIND(" ",I11)-1)),""),"")</f>
        <v>90</v>
      </c>
      <c r="O11" s="7" t="str">
        <f aca="false">IF(B11="TV Show",IFERROR(VALUE(LEFT(I11,FIND(" ",I11)-1)),""),"")</f>
        <v/>
      </c>
      <c r="P11" s="7" t="n">
        <f aca="false">IF(K11="","",K11-G11)</f>
        <v>3</v>
      </c>
    </row>
    <row r="12" customFormat="false" ht="15" hidden="false" customHeight="false" outlineLevel="0" collapsed="false">
      <c r="A12" s="7" t="n">
        <v>80169755</v>
      </c>
      <c r="B12" s="7" t="s">
        <v>68</v>
      </c>
      <c r="C12" s="7" t="s">
        <v>105</v>
      </c>
      <c r="D12" s="7" t="s">
        <v>106</v>
      </c>
      <c r="F12" s="7" t="s">
        <v>86</v>
      </c>
      <c r="G12" s="7" t="n">
        <v>2017</v>
      </c>
      <c r="H12" s="7" t="s">
        <v>48</v>
      </c>
      <c r="I12" s="7" t="s">
        <v>107</v>
      </c>
      <c r="J12" s="7" t="s">
        <v>45</v>
      </c>
      <c r="K12" s="7" t="n">
        <f aca="false">IFERROR(VALUE(RIGHT(TRIM(F12),4)),"")</f>
        <v>2017</v>
      </c>
      <c r="L12" s="7" t="str">
        <f aca="false">IF(TRIM(E12)="","Unknown",IFERROR(LEFT(TRIM(E12),FIND(",",TRIM(E12))-1),TRIM(E12)))</f>
        <v>Unknown</v>
      </c>
      <c r="M12" s="7" t="str">
        <f aca="false">IFERROR(LEFT(J12,FIND(",",J12)-1),J12)</f>
        <v>Stand-Up Comedy</v>
      </c>
      <c r="N12" s="7" t="n">
        <f aca="false">IF(B12="Movie",IFERROR(VALUE(LEFT(I12,FIND(" ",I12)-1)),""),"")</f>
        <v>78</v>
      </c>
      <c r="O12" s="7" t="str">
        <f aca="false">IF(B12="TV Show",IFERROR(VALUE(LEFT(I12,FIND(" ",I12)-1)),""),"")</f>
        <v/>
      </c>
      <c r="P12" s="7" t="n">
        <f aca="false">IF(K12="","",K12-G12)</f>
        <v>0</v>
      </c>
    </row>
    <row r="13" customFormat="false" ht="15" hidden="false" customHeight="false" outlineLevel="0" collapsed="false">
      <c r="A13" s="7" t="n">
        <v>70299204</v>
      </c>
      <c r="B13" s="7" t="s">
        <v>68</v>
      </c>
      <c r="C13" s="7" t="s">
        <v>108</v>
      </c>
      <c r="D13" s="7" t="s">
        <v>109</v>
      </c>
      <c r="E13" s="7" t="s">
        <v>110</v>
      </c>
      <c r="F13" s="7" t="s">
        <v>86</v>
      </c>
      <c r="G13" s="7" t="n">
        <v>2015</v>
      </c>
      <c r="H13" s="7" t="s">
        <v>51</v>
      </c>
      <c r="I13" s="7" t="s">
        <v>111</v>
      </c>
      <c r="J13" s="7" t="s">
        <v>112</v>
      </c>
      <c r="K13" s="7" t="n">
        <f aca="false">IFERROR(VALUE(RIGHT(TRIM(F13),4)),"")</f>
        <v>2017</v>
      </c>
      <c r="L13" s="7" t="str">
        <f aca="false">IF(TRIM(E13)="","Unknown",IFERROR(LEFT(TRIM(E13),FIND(",",TRIM(E13))-1),TRIM(E13)))</f>
        <v>Netherlands</v>
      </c>
      <c r="M13" s="7" t="str">
        <f aca="false">IFERROR(LEFT(J13,FIND(",",J13)-1),J13)</f>
        <v>Action &amp; Adventure</v>
      </c>
      <c r="N13" s="7" t="n">
        <f aca="false">IF(B13="Movie",IFERROR(VALUE(LEFT(I13,FIND(" ",I13)-1)),""),"")</f>
        <v>95</v>
      </c>
      <c r="O13" s="7" t="str">
        <f aca="false">IF(B13="TV Show",IFERROR(VALUE(LEFT(I13,FIND(" ",I13)-1)),""),"")</f>
        <v/>
      </c>
      <c r="P13" s="7" t="n">
        <f aca="false">IF(K13="","",K13-G13)</f>
        <v>2</v>
      </c>
    </row>
    <row r="14" customFormat="false" ht="15" hidden="false" customHeight="false" outlineLevel="0" collapsed="false">
      <c r="A14" s="7" t="n">
        <v>80182480</v>
      </c>
      <c r="B14" s="7" t="s">
        <v>68</v>
      </c>
      <c r="C14" s="7" t="s">
        <v>113</v>
      </c>
      <c r="F14" s="7" t="s">
        <v>86</v>
      </c>
      <c r="G14" s="7" t="n">
        <v>2009</v>
      </c>
      <c r="H14" s="7" t="s">
        <v>55</v>
      </c>
      <c r="I14" s="7" t="s">
        <v>114</v>
      </c>
      <c r="J14" s="7" t="s">
        <v>42</v>
      </c>
      <c r="K14" s="7" t="n">
        <f aca="false">IFERROR(VALUE(RIGHT(TRIM(F14),4)),"")</f>
        <v>2017</v>
      </c>
      <c r="L14" s="7" t="str">
        <f aca="false">IF(TRIM(E14)="","Unknown",IFERROR(LEFT(TRIM(E14),FIND(",",TRIM(E14))-1),TRIM(E14)))</f>
        <v>Unknown</v>
      </c>
      <c r="M14" s="7" t="str">
        <f aca="false">IFERROR(LEFT(J14,FIND(",",J14)-1),J14)</f>
        <v>Children &amp; Family Movies</v>
      </c>
      <c r="N14" s="7" t="n">
        <f aca="false">IF(B14="Movie",IFERROR(VALUE(LEFT(I14,FIND(" ",I14)-1)),""),"")</f>
        <v>58</v>
      </c>
      <c r="O14" s="7" t="str">
        <f aca="false">IF(B14="TV Show",IFERROR(VALUE(LEFT(I14,FIND(" ",I14)-1)),""),"")</f>
        <v/>
      </c>
      <c r="P14" s="7" t="n">
        <f aca="false">IF(K14="","",K14-G14)</f>
        <v>8</v>
      </c>
    </row>
    <row r="15" customFormat="false" ht="15" hidden="false" customHeight="false" outlineLevel="0" collapsed="false">
      <c r="A15" s="7" t="n">
        <v>80182483</v>
      </c>
      <c r="B15" s="7" t="s">
        <v>68</v>
      </c>
      <c r="C15" s="7" t="s">
        <v>115</v>
      </c>
      <c r="D15" s="7" t="s">
        <v>116</v>
      </c>
      <c r="F15" s="7" t="s">
        <v>86</v>
      </c>
      <c r="G15" s="7" t="n">
        <v>2013</v>
      </c>
      <c r="H15" s="7" t="s">
        <v>55</v>
      </c>
      <c r="I15" s="7" t="s">
        <v>117</v>
      </c>
      <c r="J15" s="7" t="s">
        <v>42</v>
      </c>
      <c r="K15" s="7" t="n">
        <f aca="false">IFERROR(VALUE(RIGHT(TRIM(F15),4)),"")</f>
        <v>2017</v>
      </c>
      <c r="L15" s="7" t="str">
        <f aca="false">IF(TRIM(E15)="","Unknown",IFERROR(LEFT(TRIM(E15),FIND(",",TRIM(E15))-1),TRIM(E15)))</f>
        <v>Unknown</v>
      </c>
      <c r="M15" s="7" t="str">
        <f aca="false">IFERROR(LEFT(J15,FIND(",",J15)-1),J15)</f>
        <v>Children &amp; Family Movies</v>
      </c>
      <c r="N15" s="7" t="n">
        <f aca="false">IF(B15="Movie",IFERROR(VALUE(LEFT(I15,FIND(" ",I15)-1)),""),"")</f>
        <v>62</v>
      </c>
      <c r="O15" s="7" t="str">
        <f aca="false">IF(B15="TV Show",IFERROR(VALUE(LEFT(I15,FIND(" ",I15)-1)),""),"")</f>
        <v/>
      </c>
      <c r="P15" s="7" t="n">
        <f aca="false">IF(K15="","",K15-G15)</f>
        <v>4</v>
      </c>
    </row>
    <row r="16" customFormat="false" ht="15" hidden="false" customHeight="false" outlineLevel="0" collapsed="false">
      <c r="A16" s="7" t="n">
        <v>80182596</v>
      </c>
      <c r="B16" s="7" t="s">
        <v>68</v>
      </c>
      <c r="C16" s="7" t="s">
        <v>118</v>
      </c>
      <c r="D16" s="7" t="s">
        <v>116</v>
      </c>
      <c r="F16" s="7" t="s">
        <v>86</v>
      </c>
      <c r="G16" s="7" t="n">
        <v>2016</v>
      </c>
      <c r="H16" s="7" t="s">
        <v>119</v>
      </c>
      <c r="I16" s="7" t="s">
        <v>120</v>
      </c>
      <c r="J16" s="7" t="s">
        <v>42</v>
      </c>
      <c r="K16" s="7" t="n">
        <f aca="false">IFERROR(VALUE(RIGHT(TRIM(F16),4)),"")</f>
        <v>2017</v>
      </c>
      <c r="L16" s="7" t="str">
        <f aca="false">IF(TRIM(E16)="","Unknown",IFERROR(LEFT(TRIM(E16),FIND(",",TRIM(E16))-1),TRIM(E16)))</f>
        <v>Unknown</v>
      </c>
      <c r="M16" s="7" t="str">
        <f aca="false">IFERROR(LEFT(J16,FIND(",",J16)-1),J16)</f>
        <v>Children &amp; Family Movies</v>
      </c>
      <c r="N16" s="7" t="n">
        <f aca="false">IF(B16="Movie",IFERROR(VALUE(LEFT(I16,FIND(" ",I16)-1)),""),"")</f>
        <v>65</v>
      </c>
      <c r="O16" s="7" t="str">
        <f aca="false">IF(B16="TV Show",IFERROR(VALUE(LEFT(I16,FIND(" ",I16)-1)),""),"")</f>
        <v/>
      </c>
      <c r="P16" s="7" t="n">
        <f aca="false">IF(K16="","",K16-G16)</f>
        <v>1</v>
      </c>
    </row>
    <row r="17" customFormat="false" ht="15" hidden="false" customHeight="false" outlineLevel="0" collapsed="false">
      <c r="A17" s="7" t="n">
        <v>80182482</v>
      </c>
      <c r="B17" s="7" t="s">
        <v>68</v>
      </c>
      <c r="C17" s="7" t="s">
        <v>121</v>
      </c>
      <c r="D17" s="7" t="s">
        <v>122</v>
      </c>
      <c r="F17" s="7" t="s">
        <v>86</v>
      </c>
      <c r="G17" s="7" t="n">
        <v>2012</v>
      </c>
      <c r="H17" s="7" t="s">
        <v>55</v>
      </c>
      <c r="I17" s="7" t="s">
        <v>123</v>
      </c>
      <c r="J17" s="7" t="s">
        <v>42</v>
      </c>
      <c r="K17" s="7" t="n">
        <f aca="false">IFERROR(VALUE(RIGHT(TRIM(F17),4)),"")</f>
        <v>2017</v>
      </c>
      <c r="L17" s="7" t="str">
        <f aca="false">IF(TRIM(E17)="","Unknown",IFERROR(LEFT(TRIM(E17),FIND(",",TRIM(E17))-1),TRIM(E17)))</f>
        <v>Unknown</v>
      </c>
      <c r="M17" s="7" t="str">
        <f aca="false">IFERROR(LEFT(J17,FIND(",",J17)-1),J17)</f>
        <v>Children &amp; Family Movies</v>
      </c>
      <c r="N17" s="7" t="n">
        <f aca="false">IF(B17="Movie",IFERROR(VALUE(LEFT(I17,FIND(" ",I17)-1)),""),"")</f>
        <v>61</v>
      </c>
      <c r="O17" s="7" t="str">
        <f aca="false">IF(B17="TV Show",IFERROR(VALUE(LEFT(I17,FIND(" ",I17)-1)),""),"")</f>
        <v/>
      </c>
      <c r="P17" s="7" t="n">
        <f aca="false">IF(K17="","",K17-G17)</f>
        <v>5</v>
      </c>
    </row>
    <row r="18" customFormat="false" ht="15" hidden="false" customHeight="false" outlineLevel="0" collapsed="false">
      <c r="A18" s="7" t="n">
        <v>80182597</v>
      </c>
      <c r="B18" s="7" t="s">
        <v>68</v>
      </c>
      <c r="C18" s="7" t="s">
        <v>124</v>
      </c>
      <c r="D18" s="7" t="s">
        <v>122</v>
      </c>
      <c r="F18" s="7" t="s">
        <v>86</v>
      </c>
      <c r="G18" s="7" t="n">
        <v>2017</v>
      </c>
      <c r="H18" s="7" t="s">
        <v>55</v>
      </c>
      <c r="I18" s="7" t="s">
        <v>120</v>
      </c>
      <c r="J18" s="7" t="s">
        <v>42</v>
      </c>
      <c r="K18" s="7" t="n">
        <f aca="false">IFERROR(VALUE(RIGHT(TRIM(F18),4)),"")</f>
        <v>2017</v>
      </c>
      <c r="L18" s="7" t="str">
        <f aca="false">IF(TRIM(E18)="","Unknown",IFERROR(LEFT(TRIM(E18),FIND(",",TRIM(E18))-1),TRIM(E18)))</f>
        <v>Unknown</v>
      </c>
      <c r="M18" s="7" t="str">
        <f aca="false">IFERROR(LEFT(J18,FIND(",",J18)-1),J18)</f>
        <v>Children &amp; Family Movies</v>
      </c>
      <c r="N18" s="7" t="n">
        <f aca="false">IF(B18="Movie",IFERROR(VALUE(LEFT(I18,FIND(" ",I18)-1)),""),"")</f>
        <v>65</v>
      </c>
      <c r="O18" s="7" t="str">
        <f aca="false">IF(B18="TV Show",IFERROR(VALUE(LEFT(I18,FIND(" ",I18)-1)),""),"")</f>
        <v/>
      </c>
      <c r="P18" s="7" t="n">
        <f aca="false">IF(K18="","",K18-G18)</f>
        <v>0</v>
      </c>
    </row>
    <row r="19" customFormat="false" ht="15" hidden="false" customHeight="false" outlineLevel="0" collapsed="false">
      <c r="A19" s="7" t="n">
        <v>80182481</v>
      </c>
      <c r="B19" s="7" t="s">
        <v>68</v>
      </c>
      <c r="C19" s="7" t="s">
        <v>125</v>
      </c>
      <c r="F19" s="7" t="s">
        <v>86</v>
      </c>
      <c r="G19" s="7" t="n">
        <v>2010</v>
      </c>
      <c r="H19" s="7" t="s">
        <v>55</v>
      </c>
      <c r="I19" s="7" t="s">
        <v>114</v>
      </c>
      <c r="J19" s="7" t="s">
        <v>42</v>
      </c>
      <c r="K19" s="7" t="n">
        <f aca="false">IFERROR(VALUE(RIGHT(TRIM(F19),4)),"")</f>
        <v>2017</v>
      </c>
      <c r="L19" s="7" t="str">
        <f aca="false">IF(TRIM(E19)="","Unknown",IFERROR(LEFT(TRIM(E19),FIND(",",TRIM(E19))-1),TRIM(E19)))</f>
        <v>Unknown</v>
      </c>
      <c r="M19" s="7" t="str">
        <f aca="false">IFERROR(LEFT(J19,FIND(",",J19)-1),J19)</f>
        <v>Children &amp; Family Movies</v>
      </c>
      <c r="N19" s="7" t="n">
        <f aca="false">IF(B19="Movie",IFERROR(VALUE(LEFT(I19,FIND(" ",I19)-1)),""),"")</f>
        <v>58</v>
      </c>
      <c r="O19" s="7" t="str">
        <f aca="false">IF(B19="TV Show",IFERROR(VALUE(LEFT(I19,FIND(" ",I19)-1)),""),"")</f>
        <v/>
      </c>
      <c r="P19" s="7" t="n">
        <f aca="false">IF(K19="","",K19-G19)</f>
        <v>7</v>
      </c>
    </row>
    <row r="20" customFormat="false" ht="15" hidden="false" customHeight="false" outlineLevel="0" collapsed="false">
      <c r="A20" s="7" t="n">
        <v>80182621</v>
      </c>
      <c r="B20" s="7" t="s">
        <v>68</v>
      </c>
      <c r="C20" s="7" t="s">
        <v>126</v>
      </c>
      <c r="D20" s="7" t="s">
        <v>116</v>
      </c>
      <c r="F20" s="7" t="s">
        <v>86</v>
      </c>
      <c r="G20" s="7" t="n">
        <v>2013</v>
      </c>
      <c r="H20" s="7" t="s">
        <v>55</v>
      </c>
      <c r="I20" s="7" t="s">
        <v>98</v>
      </c>
      <c r="J20" s="7" t="s">
        <v>42</v>
      </c>
      <c r="K20" s="7" t="n">
        <f aca="false">IFERROR(VALUE(RIGHT(TRIM(F20),4)),"")</f>
        <v>2017</v>
      </c>
      <c r="L20" s="7" t="str">
        <f aca="false">IF(TRIM(E20)="","Unknown",IFERROR(LEFT(TRIM(E20),FIND(",",TRIM(E20))-1),TRIM(E20)))</f>
        <v>Unknown</v>
      </c>
      <c r="M20" s="7" t="str">
        <f aca="false">IFERROR(LEFT(J20,FIND(",",J20)-1),J20)</f>
        <v>Children &amp; Family Movies</v>
      </c>
      <c r="N20" s="7" t="n">
        <f aca="false">IF(B20="Movie",IFERROR(VALUE(LEFT(I20,FIND(" ",I20)-1)),""),"")</f>
        <v>60</v>
      </c>
      <c r="O20" s="7" t="str">
        <f aca="false">IF(B20="TV Show",IFERROR(VALUE(LEFT(I20,FIND(" ",I20)-1)),""),"")</f>
        <v/>
      </c>
      <c r="P20" s="7" t="n">
        <f aca="false">IF(K20="","",K20-G20)</f>
        <v>4</v>
      </c>
    </row>
    <row r="21" customFormat="false" ht="15" hidden="false" customHeight="false" outlineLevel="0" collapsed="false">
      <c r="A21" s="7" t="n">
        <v>80057969</v>
      </c>
      <c r="B21" s="7" t="s">
        <v>68</v>
      </c>
      <c r="C21" s="7" t="s">
        <v>127</v>
      </c>
      <c r="D21" s="7" t="s">
        <v>128</v>
      </c>
      <c r="E21" s="7" t="s">
        <v>129</v>
      </c>
      <c r="F21" s="7" t="s">
        <v>86</v>
      </c>
      <c r="G21" s="7" t="n">
        <v>2015</v>
      </c>
      <c r="H21" s="7" t="s">
        <v>53</v>
      </c>
      <c r="I21" s="7" t="s">
        <v>130</v>
      </c>
      <c r="J21" s="7" t="s">
        <v>131</v>
      </c>
      <c r="K21" s="7" t="n">
        <f aca="false">IFERROR(VALUE(RIGHT(TRIM(F21),4)),"")</f>
        <v>2017</v>
      </c>
      <c r="L21" s="7" t="str">
        <f aca="false">IF(TRIM(E21)="","Unknown",IFERROR(LEFT(TRIM(E21),FIND(",",TRIM(E21))-1),TRIM(E21)))</f>
        <v>France</v>
      </c>
      <c r="M21" s="7" t="str">
        <f aca="false">IFERROR(LEFT(J21,FIND(",",J21)-1),J21)</f>
        <v>Cult Movies</v>
      </c>
      <c r="N21" s="7" t="n">
        <f aca="false">IF(B21="Movie",IFERROR(VALUE(LEFT(I21,FIND(" ",I21)-1)),""),"")</f>
        <v>135</v>
      </c>
      <c r="O21" s="7" t="str">
        <f aca="false">IF(B21="TV Show",IFERROR(VALUE(LEFT(I21,FIND(" ",I21)-1)),""),"")</f>
        <v/>
      </c>
      <c r="P21" s="7" t="n">
        <f aca="false">IF(K21="","",K21-G21)</f>
        <v>2</v>
      </c>
    </row>
    <row r="22" customFormat="false" ht="15" hidden="false" customHeight="false" outlineLevel="0" collapsed="false">
      <c r="A22" s="7" t="n">
        <v>80060297</v>
      </c>
      <c r="B22" s="7" t="s">
        <v>68</v>
      </c>
      <c r="C22" s="7" t="s">
        <v>132</v>
      </c>
      <c r="D22" s="7" t="s">
        <v>133</v>
      </c>
      <c r="E22" s="7" t="s">
        <v>26</v>
      </c>
      <c r="F22" s="7" t="s">
        <v>86</v>
      </c>
      <c r="G22" s="7" t="n">
        <v>2014</v>
      </c>
      <c r="H22" s="7" t="s">
        <v>49</v>
      </c>
      <c r="I22" s="7" t="s">
        <v>134</v>
      </c>
      <c r="J22" s="7" t="s">
        <v>135</v>
      </c>
      <c r="K22" s="7" t="n">
        <f aca="false">IFERROR(VALUE(RIGHT(TRIM(F22),4)),"")</f>
        <v>2017</v>
      </c>
      <c r="L22" s="7" t="str">
        <f aca="false">IF(TRIM(E22)="","Unknown",IFERROR(LEFT(TRIM(E22),FIND(",",TRIM(E22))-1),TRIM(E22)))</f>
        <v>United States</v>
      </c>
      <c r="M22" s="7" t="str">
        <f aca="false">IFERROR(LEFT(J22,FIND(",",J22)-1),J22)</f>
        <v>Comedies</v>
      </c>
      <c r="N22" s="7" t="n">
        <f aca="false">IF(B22="Movie",IFERROR(VALUE(LEFT(I22,FIND(" ",I22)-1)),""),"")</f>
        <v>98</v>
      </c>
      <c r="O22" s="7" t="str">
        <f aca="false">IF(B22="TV Show",IFERROR(VALUE(LEFT(I22,FIND(" ",I22)-1)),""),"")</f>
        <v/>
      </c>
      <c r="P22" s="7" t="n">
        <f aca="false">IF(K22="","",K22-G22)</f>
        <v>3</v>
      </c>
    </row>
    <row r="23" customFormat="false" ht="15" hidden="false" customHeight="false" outlineLevel="0" collapsed="false">
      <c r="A23" s="7" t="n">
        <v>80046728</v>
      </c>
      <c r="B23" s="7" t="s">
        <v>68</v>
      </c>
      <c r="C23" s="7" t="s">
        <v>136</v>
      </c>
      <c r="D23" s="7" t="s">
        <v>137</v>
      </c>
      <c r="E23" s="7" t="s">
        <v>129</v>
      </c>
      <c r="F23" s="7" t="s">
        <v>86</v>
      </c>
      <c r="G23" s="7" t="n">
        <v>2015</v>
      </c>
      <c r="H23" s="7" t="s">
        <v>51</v>
      </c>
      <c r="I23" s="7" t="s">
        <v>138</v>
      </c>
      <c r="J23" s="7" t="s">
        <v>139</v>
      </c>
      <c r="K23" s="7" t="n">
        <f aca="false">IFERROR(VALUE(RIGHT(TRIM(F23),4)),"")</f>
        <v>2017</v>
      </c>
      <c r="L23" s="7" t="str">
        <f aca="false">IF(TRIM(E23)="","Unknown",IFERROR(LEFT(TRIM(E23),FIND(",",TRIM(E23))-1),TRIM(E23)))</f>
        <v>France</v>
      </c>
      <c r="M23" s="7" t="str">
        <f aca="false">IFERROR(LEFT(J23,FIND(",",J23)-1),J23)</f>
        <v>Action &amp; Adventure</v>
      </c>
      <c r="N23" s="7" t="n">
        <f aca="false">IF(B23="Movie",IFERROR(VALUE(LEFT(I23,FIND(" ",I23)-1)),""),"")</f>
        <v>96</v>
      </c>
      <c r="O23" s="7" t="str">
        <f aca="false">IF(B23="TV Show",IFERROR(VALUE(LEFT(I23,FIND(" ",I23)-1)),""),"")</f>
        <v/>
      </c>
      <c r="P23" s="7" t="n">
        <f aca="false">IF(K23="","",K23-G23)</f>
        <v>2</v>
      </c>
    </row>
    <row r="24" customFormat="false" ht="15" hidden="false" customHeight="false" outlineLevel="0" collapsed="false">
      <c r="A24" s="7" t="n">
        <v>80046727</v>
      </c>
      <c r="B24" s="7" t="s">
        <v>68</v>
      </c>
      <c r="C24" s="7" t="s">
        <v>140</v>
      </c>
      <c r="D24" s="7" t="s">
        <v>141</v>
      </c>
      <c r="E24" s="7" t="s">
        <v>142</v>
      </c>
      <c r="F24" s="7" t="s">
        <v>86</v>
      </c>
      <c r="G24" s="7" t="n">
        <v>2015</v>
      </c>
      <c r="H24" s="7" t="s">
        <v>48</v>
      </c>
      <c r="I24" s="7" t="s">
        <v>143</v>
      </c>
      <c r="J24" s="7" t="s">
        <v>39</v>
      </c>
      <c r="K24" s="7" t="n">
        <f aca="false">IFERROR(VALUE(RIGHT(TRIM(F24),4)),"")</f>
        <v>2017</v>
      </c>
      <c r="L24" s="7" t="str">
        <f aca="false">IF(TRIM(E24)="","Unknown",IFERROR(LEFT(TRIM(E24),FIND(",",TRIM(E24))-1),TRIM(E24)))</f>
        <v>United States</v>
      </c>
      <c r="M24" s="7" t="str">
        <f aca="false">IFERROR(LEFT(J24,FIND(",",J24)-1),J24)</f>
        <v>Documentaries</v>
      </c>
      <c r="N24" s="7" t="n">
        <f aca="false">IF(B24="Movie",IFERROR(VALUE(LEFT(I24,FIND(" ",I24)-1)),""),"")</f>
        <v>79</v>
      </c>
      <c r="O24" s="7" t="str">
        <f aca="false">IF(B24="TV Show",IFERROR(VALUE(LEFT(I24,FIND(" ",I24)-1)),""),"")</f>
        <v/>
      </c>
      <c r="P24" s="7" t="n">
        <f aca="false">IF(K24="","",K24-G24)</f>
        <v>2</v>
      </c>
    </row>
    <row r="25" customFormat="false" ht="15" hidden="false" customHeight="false" outlineLevel="0" collapsed="false">
      <c r="A25" s="7" t="n">
        <v>70304988</v>
      </c>
      <c r="B25" s="7" t="s">
        <v>68</v>
      </c>
      <c r="C25" s="7" t="s">
        <v>144</v>
      </c>
      <c r="D25" s="7" t="s">
        <v>145</v>
      </c>
      <c r="E25" s="7" t="s">
        <v>26</v>
      </c>
      <c r="F25" s="7" t="s">
        <v>86</v>
      </c>
      <c r="G25" s="7" t="n">
        <v>2014</v>
      </c>
      <c r="H25" s="7" t="s">
        <v>52</v>
      </c>
      <c r="I25" s="7" t="s">
        <v>146</v>
      </c>
      <c r="J25" s="7" t="s">
        <v>147</v>
      </c>
      <c r="K25" s="7" t="n">
        <f aca="false">IFERROR(VALUE(RIGHT(TRIM(F25),4)),"")</f>
        <v>2017</v>
      </c>
      <c r="L25" s="7" t="str">
        <f aca="false">IF(TRIM(E25)="","Unknown",IFERROR(LEFT(TRIM(E25),FIND(",",TRIM(E25))-1),TRIM(E25)))</f>
        <v>United States</v>
      </c>
      <c r="M25" s="7" t="str">
        <f aca="false">IFERROR(LEFT(J25,FIND(",",J25)-1),J25)</f>
        <v>Horror Movies</v>
      </c>
      <c r="N25" s="7" t="n">
        <f aca="false">IF(B25="Movie",IFERROR(VALUE(LEFT(I25,FIND(" ",I25)-1)),""),"")</f>
        <v>113</v>
      </c>
      <c r="O25" s="7" t="str">
        <f aca="false">IF(B25="TV Show",IFERROR(VALUE(LEFT(I25,FIND(" ",I25)-1)),""),"")</f>
        <v/>
      </c>
      <c r="P25" s="7" t="n">
        <f aca="false">IF(K25="","",K25-G25)</f>
        <v>3</v>
      </c>
    </row>
    <row r="26" customFormat="false" ht="15" hidden="false" customHeight="false" outlineLevel="0" collapsed="false">
      <c r="A26" s="7" t="n">
        <v>80057700</v>
      </c>
      <c r="B26" s="7" t="s">
        <v>68</v>
      </c>
      <c r="C26" s="7" t="s">
        <v>148</v>
      </c>
      <c r="D26" s="7" t="s">
        <v>149</v>
      </c>
      <c r="E26" s="7" t="s">
        <v>26</v>
      </c>
      <c r="F26" s="7" t="s">
        <v>86</v>
      </c>
      <c r="G26" s="7" t="n">
        <v>2015</v>
      </c>
      <c r="H26" s="7" t="s">
        <v>51</v>
      </c>
      <c r="I26" s="7" t="s">
        <v>73</v>
      </c>
      <c r="J26" s="7" t="s">
        <v>150</v>
      </c>
      <c r="K26" s="7" t="n">
        <f aca="false">IFERROR(VALUE(RIGHT(TRIM(F26),4)),"")</f>
        <v>2017</v>
      </c>
      <c r="L26" s="7" t="str">
        <f aca="false">IF(TRIM(E26)="","Unknown",IFERROR(LEFT(TRIM(E26),FIND(",",TRIM(E26))-1),TRIM(E26)))</f>
        <v>United States</v>
      </c>
      <c r="M26" s="7" t="str">
        <f aca="false">IFERROR(LEFT(J26,FIND(",",J26)-1),J26)</f>
        <v>Dramas</v>
      </c>
      <c r="N26" s="7" t="n">
        <f aca="false">IF(B26="Movie",IFERROR(VALUE(LEFT(I26,FIND(" ",I26)-1)),""),"")</f>
        <v>90</v>
      </c>
      <c r="O26" s="7" t="str">
        <f aca="false">IF(B26="TV Show",IFERROR(VALUE(LEFT(I26,FIND(" ",I26)-1)),""),"")</f>
        <v/>
      </c>
      <c r="P26" s="7" t="n">
        <f aca="false">IF(K26="","",K26-G26)</f>
        <v>2</v>
      </c>
    </row>
    <row r="27" customFormat="false" ht="15" hidden="false" customHeight="false" outlineLevel="0" collapsed="false">
      <c r="A27" s="7" t="n">
        <v>80045922</v>
      </c>
      <c r="B27" s="7" t="s">
        <v>68</v>
      </c>
      <c r="C27" s="7" t="s">
        <v>151</v>
      </c>
      <c r="D27" s="7" t="s">
        <v>152</v>
      </c>
      <c r="E27" s="7" t="s">
        <v>26</v>
      </c>
      <c r="F27" s="7" t="s">
        <v>153</v>
      </c>
      <c r="G27" s="7" t="n">
        <v>2015</v>
      </c>
      <c r="H27" s="7" t="s">
        <v>53</v>
      </c>
      <c r="I27" s="7" t="s">
        <v>154</v>
      </c>
      <c r="J27" s="7" t="s">
        <v>155</v>
      </c>
      <c r="K27" s="7" t="n">
        <f aca="false">IFERROR(VALUE(RIGHT(TRIM(F27),4)),"")</f>
        <v>2015</v>
      </c>
      <c r="L27" s="7" t="str">
        <f aca="false">IF(TRIM(E27)="","Unknown",IFERROR(LEFT(TRIM(E27),FIND(",",TRIM(E27))-1),TRIM(E27)))</f>
        <v>United States</v>
      </c>
      <c r="M27" s="7" t="str">
        <f aca="false">IFERROR(LEFT(J27,FIND(",",J27)-1),J27)</f>
        <v>Dramas</v>
      </c>
      <c r="N27" s="7" t="n">
        <f aca="false">IF(B27="Movie",IFERROR(VALUE(LEFT(I27,FIND(" ",I27)-1)),""),"")</f>
        <v>80</v>
      </c>
      <c r="O27" s="7" t="str">
        <f aca="false">IF(B27="TV Show",IFERROR(VALUE(LEFT(I27,FIND(" ",I27)-1)),""),"")</f>
        <v/>
      </c>
      <c r="P27" s="7" t="n">
        <f aca="false">IF(K27="","",K27-G27)</f>
        <v>0</v>
      </c>
    </row>
    <row r="28" customFormat="false" ht="15" hidden="false" customHeight="false" outlineLevel="0" collapsed="false">
      <c r="A28" s="7" t="n">
        <v>80244601</v>
      </c>
      <c r="B28" s="7" t="s">
        <v>78</v>
      </c>
      <c r="C28" s="7" t="s">
        <v>156</v>
      </c>
      <c r="F28" s="7" t="s">
        <v>157</v>
      </c>
      <c r="G28" s="7" t="n">
        <v>2015</v>
      </c>
      <c r="H28" s="7" t="s">
        <v>49</v>
      </c>
      <c r="I28" s="7" t="s">
        <v>82</v>
      </c>
      <c r="J28" s="7" t="s">
        <v>158</v>
      </c>
      <c r="K28" s="7" t="n">
        <f aca="false">IFERROR(VALUE(RIGHT(TRIM(F28),4)),"")</f>
        <v>2018</v>
      </c>
      <c r="L28" s="7" t="str">
        <f aca="false">IF(TRIM(E28)="","Unknown",IFERROR(LEFT(TRIM(E28),FIND(",",TRIM(E28))-1),TRIM(E28)))</f>
        <v>Unknown</v>
      </c>
      <c r="M28" s="7" t="str">
        <f aca="false">IFERROR(LEFT(J28,FIND(",",J28)-1),J28)</f>
        <v>International TV Shows</v>
      </c>
      <c r="N28" s="7" t="str">
        <f aca="false">IF(B28="Movie",IFERROR(VALUE(LEFT(I28,FIND(" ",I28)-1)),""),"")</f>
        <v/>
      </c>
      <c r="O28" s="7" t="n">
        <f aca="false">IF(B28="TV Show",IFERROR(VALUE(LEFT(I28,FIND(" ",I28)-1)),""),"")</f>
        <v>1</v>
      </c>
      <c r="P28" s="7" t="n">
        <f aca="false">IF(K28="","",K28-G28)</f>
        <v>3</v>
      </c>
    </row>
    <row r="29" customFormat="false" ht="15" hidden="false" customHeight="false" outlineLevel="0" collapsed="false">
      <c r="A29" s="7" t="n">
        <v>80203094</v>
      </c>
      <c r="B29" s="7" t="s">
        <v>68</v>
      </c>
      <c r="C29" s="7" t="s">
        <v>159</v>
      </c>
      <c r="D29" s="7" t="s">
        <v>160</v>
      </c>
      <c r="E29" s="7" t="s">
        <v>161</v>
      </c>
      <c r="F29" s="7" t="s">
        <v>157</v>
      </c>
      <c r="G29" s="7" t="n">
        <v>2018</v>
      </c>
      <c r="H29" s="7" t="s">
        <v>48</v>
      </c>
      <c r="I29" s="7" t="s">
        <v>162</v>
      </c>
      <c r="J29" s="7" t="s">
        <v>39</v>
      </c>
      <c r="K29" s="7" t="n">
        <f aca="false">IFERROR(VALUE(RIGHT(TRIM(F29),4)),"")</f>
        <v>2018</v>
      </c>
      <c r="L29" s="7" t="str">
        <f aca="false">IF(TRIM(E29)="","Unknown",IFERROR(LEFT(TRIM(E29),FIND(",",TRIM(E29))-1),TRIM(E29)))</f>
        <v>United States</v>
      </c>
      <c r="M29" s="7" t="str">
        <f aca="false">IFERROR(LEFT(J29,FIND(",",J29)-1),J29)</f>
        <v>Documentaries</v>
      </c>
      <c r="N29" s="7" t="n">
        <f aca="false">IF(B29="Movie",IFERROR(VALUE(LEFT(I29,FIND(" ",I29)-1)),""),"")</f>
        <v>77</v>
      </c>
      <c r="O29" s="7" t="str">
        <f aca="false">IF(B29="TV Show",IFERROR(VALUE(LEFT(I29,FIND(" ",I29)-1)),""),"")</f>
        <v/>
      </c>
      <c r="P29" s="7" t="n">
        <f aca="false">IF(K29="","",K29-G29)</f>
        <v>0</v>
      </c>
    </row>
    <row r="30" customFormat="false" ht="15" hidden="false" customHeight="false" outlineLevel="0" collapsed="false">
      <c r="A30" s="7" t="n">
        <v>80190843</v>
      </c>
      <c r="B30" s="7" t="s">
        <v>78</v>
      </c>
      <c r="C30" s="7" t="s">
        <v>163</v>
      </c>
      <c r="F30" s="7" t="s">
        <v>157</v>
      </c>
      <c r="G30" s="7" t="n">
        <v>2018</v>
      </c>
      <c r="H30" s="7" t="s">
        <v>48</v>
      </c>
      <c r="I30" s="7" t="s">
        <v>82</v>
      </c>
      <c r="J30" s="7" t="s">
        <v>164</v>
      </c>
      <c r="K30" s="7" t="n">
        <f aca="false">IFERROR(VALUE(RIGHT(TRIM(F30),4)),"")</f>
        <v>2018</v>
      </c>
      <c r="L30" s="7" t="str">
        <f aca="false">IF(TRIM(E30)="","Unknown",IFERROR(LEFT(TRIM(E30),FIND(",",TRIM(E30))-1),TRIM(E30)))</f>
        <v>Unknown</v>
      </c>
      <c r="M30" s="7" t="str">
        <f aca="false">IFERROR(LEFT(J30,FIND(",",J30)-1),J30)</f>
        <v>Docuseries</v>
      </c>
      <c r="N30" s="7" t="str">
        <f aca="false">IF(B30="Movie",IFERROR(VALUE(LEFT(I30,FIND(" ",I30)-1)),""),"")</f>
        <v/>
      </c>
      <c r="O30" s="7" t="n">
        <f aca="false">IF(B30="TV Show",IFERROR(VALUE(LEFT(I30,FIND(" ",I30)-1)),""),"")</f>
        <v>1</v>
      </c>
      <c r="P30" s="7" t="n">
        <f aca="false">IF(K30="","",K30-G30)</f>
        <v>0</v>
      </c>
    </row>
    <row r="31" customFormat="false" ht="15" hidden="false" customHeight="false" outlineLevel="0" collapsed="false">
      <c r="A31" s="7" t="n">
        <v>70241607</v>
      </c>
      <c r="B31" s="7" t="s">
        <v>68</v>
      </c>
      <c r="C31" s="7" t="s">
        <v>165</v>
      </c>
      <c r="D31" s="7" t="s">
        <v>166</v>
      </c>
      <c r="E31" s="7" t="s">
        <v>167</v>
      </c>
      <c r="F31" s="7" t="s">
        <v>157</v>
      </c>
      <c r="G31" s="7" t="n">
        <v>2011</v>
      </c>
      <c r="H31" s="7" t="s">
        <v>48</v>
      </c>
      <c r="I31" s="7" t="s">
        <v>168</v>
      </c>
      <c r="J31" s="7" t="s">
        <v>169</v>
      </c>
      <c r="K31" s="7" t="n">
        <f aca="false">IFERROR(VALUE(RIGHT(TRIM(F31),4)),"")</f>
        <v>2018</v>
      </c>
      <c r="L31" s="7" t="str">
        <f aca="false">IF(TRIM(E31)="","Unknown",IFERROR(LEFT(TRIM(E31),FIND(",",TRIM(E31))-1),TRIM(E31)))</f>
        <v>Thailand</v>
      </c>
      <c r="M31" s="7" t="str">
        <f aca="false">IFERROR(LEFT(J31,FIND(",",J31)-1),J31)</f>
        <v>Horror Movies</v>
      </c>
      <c r="N31" s="7" t="n">
        <f aca="false">IF(B31="Movie",IFERROR(VALUE(LEFT(I31,FIND(" ",I31)-1)),""),"")</f>
        <v>112</v>
      </c>
      <c r="O31" s="7" t="str">
        <f aca="false">IF(B31="TV Show",IFERROR(VALUE(LEFT(I31,FIND(" ",I31)-1)),""),"")</f>
        <v/>
      </c>
      <c r="P31" s="7" t="n">
        <f aca="false">IF(K31="","",K31-G31)</f>
        <v>7</v>
      </c>
    </row>
    <row r="32" customFormat="false" ht="15" hidden="false" customHeight="false" outlineLevel="0" collapsed="false">
      <c r="A32" s="7" t="n">
        <v>80988892</v>
      </c>
      <c r="B32" s="7" t="s">
        <v>68</v>
      </c>
      <c r="C32" s="7" t="s">
        <v>170</v>
      </c>
      <c r="D32" s="7" t="s">
        <v>171</v>
      </c>
      <c r="E32" s="7" t="s">
        <v>172</v>
      </c>
      <c r="F32" s="7" t="s">
        <v>157</v>
      </c>
      <c r="G32" s="7" t="n">
        <v>2018</v>
      </c>
      <c r="H32" s="7" t="s">
        <v>50</v>
      </c>
      <c r="I32" s="7" t="s">
        <v>173</v>
      </c>
      <c r="J32" s="7" t="s">
        <v>174</v>
      </c>
      <c r="K32" s="7" t="n">
        <f aca="false">IFERROR(VALUE(RIGHT(TRIM(F32),4)),"")</f>
        <v>2018</v>
      </c>
      <c r="L32" s="7" t="str">
        <f aca="false">IF(TRIM(E32)="","Unknown",IFERROR(LEFT(TRIM(E32),FIND(",",TRIM(E32))-1),TRIM(E32)))</f>
        <v>China</v>
      </c>
      <c r="M32" s="7" t="str">
        <f aca="false">IFERROR(LEFT(J32,FIND(",",J32)-1),J32)</f>
        <v>Children &amp; Family Movies</v>
      </c>
      <c r="N32" s="7" t="n">
        <f aca="false">IF(B32="Movie",IFERROR(VALUE(LEFT(I32,FIND(" ",I32)-1)),""),"")</f>
        <v>106</v>
      </c>
      <c r="O32" s="7" t="str">
        <f aca="false">IF(B32="TV Show",IFERROR(VALUE(LEFT(I32,FIND(" ",I32)-1)),""),"")</f>
        <v/>
      </c>
      <c r="P32" s="7" t="n">
        <f aca="false">IF(K32="","",K32-G32)</f>
        <v>0</v>
      </c>
    </row>
    <row r="33" customFormat="false" ht="15" hidden="false" customHeight="false" outlineLevel="0" collapsed="false">
      <c r="A33" s="7" t="n">
        <v>80239639</v>
      </c>
      <c r="B33" s="7" t="s">
        <v>68</v>
      </c>
      <c r="C33" s="7" t="s">
        <v>175</v>
      </c>
      <c r="D33" s="7" t="s">
        <v>176</v>
      </c>
      <c r="E33" s="7" t="s">
        <v>26</v>
      </c>
      <c r="F33" s="7" t="s">
        <v>157</v>
      </c>
      <c r="G33" s="7" t="n">
        <v>2018</v>
      </c>
      <c r="H33" s="7" t="s">
        <v>52</v>
      </c>
      <c r="I33" s="7" t="s">
        <v>173</v>
      </c>
      <c r="J33" s="7" t="s">
        <v>177</v>
      </c>
      <c r="K33" s="7" t="n">
        <f aca="false">IFERROR(VALUE(RIGHT(TRIM(F33),4)),"")</f>
        <v>2018</v>
      </c>
      <c r="L33" s="7" t="str">
        <f aca="false">IF(TRIM(E33)="","Unknown",IFERROR(LEFT(TRIM(E33),FIND(",",TRIM(E33))-1),TRIM(E33)))</f>
        <v>United States</v>
      </c>
      <c r="M33" s="7" t="str">
        <f aca="false">IFERROR(LEFT(J33,FIND(",",J33)-1),J33)</f>
        <v>Comedies</v>
      </c>
      <c r="N33" s="7" t="n">
        <f aca="false">IF(B33="Movie",IFERROR(VALUE(LEFT(I33,FIND(" ",I33)-1)),""),"")</f>
        <v>106</v>
      </c>
      <c r="O33" s="7" t="str">
        <f aca="false">IF(B33="TV Show",IFERROR(VALUE(LEFT(I33,FIND(" ",I33)-1)),""),"")</f>
        <v/>
      </c>
      <c r="P33" s="7" t="n">
        <f aca="false">IF(K33="","",K33-G33)</f>
        <v>0</v>
      </c>
    </row>
    <row r="34" customFormat="false" ht="15" hidden="false" customHeight="false" outlineLevel="0" collapsed="false">
      <c r="A34" s="7" t="n">
        <v>80159586</v>
      </c>
      <c r="B34" s="7" t="s">
        <v>68</v>
      </c>
      <c r="C34" s="7" t="s">
        <v>178</v>
      </c>
      <c r="D34" s="7" t="s">
        <v>179</v>
      </c>
      <c r="E34" s="7" t="s">
        <v>180</v>
      </c>
      <c r="F34" s="7" t="s">
        <v>157</v>
      </c>
      <c r="G34" s="7" t="n">
        <v>2018</v>
      </c>
      <c r="H34" s="7" t="s">
        <v>48</v>
      </c>
      <c r="I34" s="7" t="s">
        <v>181</v>
      </c>
      <c r="J34" s="7" t="s">
        <v>182</v>
      </c>
      <c r="K34" s="7" t="n">
        <f aca="false">IFERROR(VALUE(RIGHT(TRIM(F34),4)),"")</f>
        <v>2018</v>
      </c>
      <c r="L34" s="7" t="str">
        <f aca="false">IF(TRIM(E34)="","Unknown",IFERROR(LEFT(TRIM(E34),FIND(",",TRIM(E34))-1),TRIM(E34)))</f>
        <v>Belgium</v>
      </c>
      <c r="M34" s="7" t="str">
        <f aca="false">IFERROR(LEFT(J34,FIND(",",J34)-1),J34)</f>
        <v>Dramas</v>
      </c>
      <c r="N34" s="7" t="n">
        <f aca="false">IF(B34="Movie",IFERROR(VALUE(LEFT(I34,FIND(" ",I34)-1)),""),"")</f>
        <v>102</v>
      </c>
      <c r="O34" s="7" t="str">
        <f aca="false">IF(B34="TV Show",IFERROR(VALUE(LEFT(I34,FIND(" ",I34)-1)),""),"")</f>
        <v/>
      </c>
      <c r="P34" s="7" t="n">
        <f aca="false">IF(K34="","",K34-G34)</f>
        <v>0</v>
      </c>
    </row>
    <row r="35" customFormat="false" ht="15" hidden="false" customHeight="false" outlineLevel="0" collapsed="false">
      <c r="A35" s="7" t="n">
        <v>80152447</v>
      </c>
      <c r="B35" s="7" t="s">
        <v>68</v>
      </c>
      <c r="C35" s="7" t="s">
        <v>183</v>
      </c>
      <c r="D35" s="7" t="s">
        <v>184</v>
      </c>
      <c r="E35" s="7" t="s">
        <v>185</v>
      </c>
      <c r="F35" s="7" t="s">
        <v>186</v>
      </c>
      <c r="G35" s="7" t="n">
        <v>2016</v>
      </c>
      <c r="H35" s="7" t="s">
        <v>51</v>
      </c>
      <c r="I35" s="7" t="s">
        <v>187</v>
      </c>
      <c r="J35" s="7" t="s">
        <v>188</v>
      </c>
      <c r="K35" s="7" t="n">
        <f aca="false">IFERROR(VALUE(RIGHT(TRIM(F35),4)),"")</f>
        <v>2017</v>
      </c>
      <c r="L35" s="7" t="str">
        <f aca="false">IF(TRIM(E35)="","Unknown",IFERROR(LEFT(TRIM(E35),FIND(",",TRIM(E35))-1),TRIM(E35)))</f>
        <v>Belgium</v>
      </c>
      <c r="M35" s="7" t="str">
        <f aca="false">IFERROR(LEFT(J35,FIND(",",J35)-1),J35)</f>
        <v>Dramas</v>
      </c>
      <c r="N35" s="7" t="n">
        <f aca="false">IF(B35="Movie",IFERROR(VALUE(LEFT(I35,FIND(" ",I35)-1)),""),"")</f>
        <v>114</v>
      </c>
      <c r="O35" s="7" t="str">
        <f aca="false">IF(B35="TV Show",IFERROR(VALUE(LEFT(I35,FIND(" ",I35)-1)),""),"")</f>
        <v/>
      </c>
      <c r="P35" s="7" t="n">
        <f aca="false">IF(K35="","",K35-G35)</f>
        <v>1</v>
      </c>
    </row>
    <row r="36" customFormat="false" ht="15" hidden="false" customHeight="false" outlineLevel="0" collapsed="false">
      <c r="A36" s="7" t="n">
        <v>80221550</v>
      </c>
      <c r="B36" s="7" t="s">
        <v>78</v>
      </c>
      <c r="C36" s="7" t="s">
        <v>189</v>
      </c>
      <c r="F36" s="7" t="s">
        <v>190</v>
      </c>
      <c r="G36" s="7" t="n">
        <v>2019</v>
      </c>
      <c r="H36" s="7" t="s">
        <v>55</v>
      </c>
      <c r="I36" s="7" t="s">
        <v>82</v>
      </c>
      <c r="J36" s="7" t="s">
        <v>191</v>
      </c>
      <c r="K36" s="7" t="n">
        <f aca="false">IFERROR(VALUE(RIGHT(TRIM(F36),4)),"")</f>
        <v>2019</v>
      </c>
      <c r="L36" s="7" t="str">
        <f aca="false">IF(TRIM(E36)="","Unknown",IFERROR(LEFT(TRIM(E36),FIND(",",TRIM(E36))-1),TRIM(E36)))</f>
        <v>Unknown</v>
      </c>
      <c r="M36" s="7" t="str">
        <f aca="false">IFERROR(LEFT(J36,FIND(",",J36)-1),J36)</f>
        <v>Kids' TV</v>
      </c>
      <c r="N36" s="7" t="str">
        <f aca="false">IF(B36="Movie",IFERROR(VALUE(LEFT(I36,FIND(" ",I36)-1)),""),"")</f>
        <v/>
      </c>
      <c r="O36" s="7" t="n">
        <f aca="false">IF(B36="TV Show",IFERROR(VALUE(LEFT(I36,FIND(" ",I36)-1)),""),"")</f>
        <v>1</v>
      </c>
      <c r="P36" s="7" t="n">
        <f aca="false">IF(K36="","",K36-G36)</f>
        <v>0</v>
      </c>
    </row>
    <row r="37" customFormat="false" ht="15" hidden="false" customHeight="false" outlineLevel="0" collapsed="false">
      <c r="A37" s="7" t="n">
        <v>81154455</v>
      </c>
      <c r="B37" s="7" t="s">
        <v>68</v>
      </c>
      <c r="C37" s="7" t="s">
        <v>192</v>
      </c>
      <c r="D37" s="7" t="s">
        <v>193</v>
      </c>
      <c r="E37" s="7" t="s">
        <v>27</v>
      </c>
      <c r="F37" s="7" t="s">
        <v>190</v>
      </c>
      <c r="G37" s="7" t="n">
        <v>2019</v>
      </c>
      <c r="H37" s="7" t="s">
        <v>48</v>
      </c>
      <c r="I37" s="7" t="s">
        <v>194</v>
      </c>
      <c r="J37" s="7" t="s">
        <v>182</v>
      </c>
      <c r="K37" s="7" t="n">
        <f aca="false">IFERROR(VALUE(RIGHT(TRIM(F37),4)),"")</f>
        <v>2019</v>
      </c>
      <c r="L37" s="7" t="str">
        <f aca="false">IF(TRIM(E37)="","Unknown",IFERROR(LEFT(TRIM(E37),FIND(",",TRIM(E37))-1),TRIM(E37)))</f>
        <v>India</v>
      </c>
      <c r="M37" s="7" t="str">
        <f aca="false">IFERROR(LEFT(J37,FIND(",",J37)-1),J37)</f>
        <v>Dramas</v>
      </c>
      <c r="N37" s="7" t="n">
        <f aca="false">IF(B37="Movie",IFERROR(VALUE(LEFT(I37,FIND(" ",I37)-1)),""),"")</f>
        <v>125</v>
      </c>
      <c r="O37" s="7" t="str">
        <f aca="false">IF(B37="TV Show",IFERROR(VALUE(LEFT(I37,FIND(" ",I37)-1)),""),"")</f>
        <v/>
      </c>
      <c r="P37" s="7" t="n">
        <f aca="false">IF(K37="","",K37-G37)</f>
        <v>0</v>
      </c>
    </row>
    <row r="38" customFormat="false" ht="15" hidden="false" customHeight="false" outlineLevel="0" collapsed="false">
      <c r="A38" s="7" t="n">
        <v>81113928</v>
      </c>
      <c r="B38" s="7" t="s">
        <v>68</v>
      </c>
      <c r="C38" s="7" t="s">
        <v>195</v>
      </c>
      <c r="D38" s="7" t="s">
        <v>196</v>
      </c>
      <c r="F38" s="7" t="s">
        <v>190</v>
      </c>
      <c r="G38" s="7" t="n">
        <v>2018</v>
      </c>
      <c r="H38" s="7" t="s">
        <v>49</v>
      </c>
      <c r="I38" s="7" t="s">
        <v>197</v>
      </c>
      <c r="J38" s="7" t="s">
        <v>198</v>
      </c>
      <c r="K38" s="7" t="n">
        <f aca="false">IFERROR(VALUE(RIGHT(TRIM(F38),4)),"")</f>
        <v>2019</v>
      </c>
      <c r="L38" s="7" t="str">
        <f aca="false">IF(TRIM(E38)="","Unknown",IFERROR(LEFT(TRIM(E38),FIND(",",TRIM(E38))-1),TRIM(E38)))</f>
        <v>Unknown</v>
      </c>
      <c r="M38" s="7" t="str">
        <f aca="false">IFERROR(LEFT(J38,FIND(",",J38)-1),J38)</f>
        <v>Comedies</v>
      </c>
      <c r="N38" s="7" t="n">
        <f aca="false">IF(B38="Movie",IFERROR(VALUE(LEFT(I38,FIND(" ",I38)-1)),""),"")</f>
        <v>142</v>
      </c>
      <c r="O38" s="7" t="str">
        <f aca="false">IF(B38="TV Show",IFERROR(VALUE(LEFT(I38,FIND(" ",I38)-1)),""),"")</f>
        <v/>
      </c>
      <c r="P38" s="7" t="n">
        <f aca="false">IF(K38="","",K38-G38)</f>
        <v>1</v>
      </c>
    </row>
    <row r="39" customFormat="false" ht="15" hidden="false" customHeight="false" outlineLevel="0" collapsed="false">
      <c r="A39" s="7" t="n">
        <v>81052275</v>
      </c>
      <c r="B39" s="7" t="s">
        <v>68</v>
      </c>
      <c r="C39" s="7" t="s">
        <v>199</v>
      </c>
      <c r="D39" s="7" t="s">
        <v>200</v>
      </c>
      <c r="E39" s="7" t="s">
        <v>27</v>
      </c>
      <c r="F39" s="7" t="s">
        <v>190</v>
      </c>
      <c r="G39" s="7" t="n">
        <v>2018</v>
      </c>
      <c r="H39" s="7" t="s">
        <v>49</v>
      </c>
      <c r="I39" s="7" t="s">
        <v>201</v>
      </c>
      <c r="J39" s="7" t="s">
        <v>202</v>
      </c>
      <c r="K39" s="7" t="n">
        <f aca="false">IFERROR(VALUE(RIGHT(TRIM(F39),4)),"")</f>
        <v>2019</v>
      </c>
      <c r="L39" s="7" t="str">
        <f aca="false">IF(TRIM(E39)="","Unknown",IFERROR(LEFT(TRIM(E39),FIND(",",TRIM(E39))-1),TRIM(E39)))</f>
        <v>India</v>
      </c>
      <c r="M39" s="7" t="str">
        <f aca="false">IFERROR(LEFT(J39,FIND(",",J39)-1),J39)</f>
        <v>Comedies</v>
      </c>
      <c r="N39" s="7" t="n">
        <f aca="false">IF(B39="Movie",IFERROR(VALUE(LEFT(I39,FIND(" ",I39)-1)),""),"")</f>
        <v>133</v>
      </c>
      <c r="O39" s="7" t="str">
        <f aca="false">IF(B39="TV Show",IFERROR(VALUE(LEFT(I39,FIND(" ",I39)-1)),""),"")</f>
        <v/>
      </c>
      <c r="P39" s="7" t="n">
        <f aca="false">IF(K39="","",K39-G39)</f>
        <v>1</v>
      </c>
    </row>
    <row r="40" customFormat="false" ht="15" hidden="false" customHeight="false" outlineLevel="0" collapsed="false">
      <c r="A40" s="7" t="n">
        <v>81132437</v>
      </c>
      <c r="B40" s="7" t="s">
        <v>68</v>
      </c>
      <c r="C40" s="7" t="s">
        <v>203</v>
      </c>
      <c r="D40" s="7" t="s">
        <v>204</v>
      </c>
      <c r="F40" s="7" t="s">
        <v>190</v>
      </c>
      <c r="G40" s="7" t="n">
        <v>2019</v>
      </c>
      <c r="H40" s="7" t="s">
        <v>49</v>
      </c>
      <c r="I40" s="7" t="s">
        <v>205</v>
      </c>
      <c r="J40" s="7" t="s">
        <v>206</v>
      </c>
      <c r="K40" s="7" t="n">
        <f aca="false">IFERROR(VALUE(RIGHT(TRIM(F40),4)),"")</f>
        <v>2019</v>
      </c>
      <c r="L40" s="7" t="str">
        <f aca="false">IF(TRIM(E40)="","Unknown",IFERROR(LEFT(TRIM(E40),FIND(",",TRIM(E40))-1),TRIM(E40)))</f>
        <v>Unknown</v>
      </c>
      <c r="M40" s="7" t="str">
        <f aca="false">IFERROR(LEFT(J40,FIND(",",J40)-1),J40)</f>
        <v>Comedies</v>
      </c>
      <c r="N40" s="7" t="n">
        <f aca="false">IF(B40="Movie",IFERROR(VALUE(LEFT(I40,FIND(" ",I40)-1)),""),"")</f>
        <v>100</v>
      </c>
      <c r="O40" s="7" t="str">
        <f aca="false">IF(B40="TV Show",IFERROR(VALUE(LEFT(I40,FIND(" ",I40)-1)),""),"")</f>
        <v/>
      </c>
      <c r="P40" s="7" t="n">
        <f aca="false">IF(K40="","",K40-G40)</f>
        <v>0</v>
      </c>
    </row>
    <row r="41" customFormat="false" ht="15" hidden="false" customHeight="false" outlineLevel="0" collapsed="false">
      <c r="A41" s="7" t="n">
        <v>80178151</v>
      </c>
      <c r="B41" s="7" t="s">
        <v>78</v>
      </c>
      <c r="C41" s="7" t="s">
        <v>207</v>
      </c>
      <c r="E41" s="7" t="s">
        <v>31</v>
      </c>
      <c r="F41" s="7" t="s">
        <v>190</v>
      </c>
      <c r="G41" s="7" t="n">
        <v>2019</v>
      </c>
      <c r="H41" s="7" t="s">
        <v>48</v>
      </c>
      <c r="I41" s="7" t="s">
        <v>82</v>
      </c>
      <c r="J41" s="7" t="s">
        <v>208</v>
      </c>
      <c r="K41" s="7" t="n">
        <f aca="false">IFERROR(VALUE(RIGHT(TRIM(F41),4)),"")</f>
        <v>2019</v>
      </c>
      <c r="L41" s="7" t="str">
        <f aca="false">IF(TRIM(E41)="","Unknown",IFERROR(LEFT(TRIM(E41),FIND(",",TRIM(E41))-1),TRIM(E41)))</f>
        <v>France</v>
      </c>
      <c r="M41" s="7" t="str">
        <f aca="false">IFERROR(LEFT(J41,FIND(",",J41)-1),J41)</f>
        <v>International TV Shows</v>
      </c>
      <c r="N41" s="7" t="str">
        <f aca="false">IF(B41="Movie",IFERROR(VALUE(LEFT(I41,FIND(" ",I41)-1)),""),"")</f>
        <v/>
      </c>
      <c r="O41" s="7" t="n">
        <f aca="false">IF(B41="TV Show",IFERROR(VALUE(LEFT(I41,FIND(" ",I41)-1)),""),"")</f>
        <v>1</v>
      </c>
      <c r="P41" s="7" t="n">
        <f aca="false">IF(K41="","",K41-G41)</f>
        <v>0</v>
      </c>
    </row>
    <row r="42" customFormat="false" ht="15" hidden="false" customHeight="false" outlineLevel="0" collapsed="false">
      <c r="A42" s="7" t="n">
        <v>80058026</v>
      </c>
      <c r="B42" s="7" t="s">
        <v>68</v>
      </c>
      <c r="C42" s="7" t="s">
        <v>209</v>
      </c>
      <c r="D42" s="7" t="s">
        <v>210</v>
      </c>
      <c r="E42" s="7" t="s">
        <v>26</v>
      </c>
      <c r="F42" s="7" t="s">
        <v>211</v>
      </c>
      <c r="G42" s="7" t="n">
        <v>2015</v>
      </c>
      <c r="H42" s="7" t="s">
        <v>51</v>
      </c>
      <c r="I42" s="7" t="s">
        <v>212</v>
      </c>
      <c r="J42" s="7" t="s">
        <v>213</v>
      </c>
      <c r="K42" s="7" t="n">
        <f aca="false">IFERROR(VALUE(RIGHT(TRIM(F42),4)),"")</f>
        <v>2018</v>
      </c>
      <c r="L42" s="7" t="str">
        <f aca="false">IF(TRIM(E42)="","Unknown",IFERROR(LEFT(TRIM(E42),FIND(",",TRIM(E42))-1),TRIM(E42)))</f>
        <v>United States</v>
      </c>
      <c r="M42" s="7" t="str">
        <f aca="false">IFERROR(LEFT(J42,FIND(",",J42)-1),J42)</f>
        <v>Action &amp; Adventure</v>
      </c>
      <c r="N42" s="7" t="n">
        <f aca="false">IF(B42="Movie",IFERROR(VALUE(LEFT(I42,FIND(" ",I42)-1)),""),"")</f>
        <v>86</v>
      </c>
      <c r="O42" s="7" t="str">
        <f aca="false">IF(B42="TV Show",IFERROR(VALUE(LEFT(I42,FIND(" ",I42)-1)),""),"")</f>
        <v/>
      </c>
      <c r="P42" s="7" t="n">
        <f aca="false">IF(K42="","",K42-G42)</f>
        <v>3</v>
      </c>
    </row>
    <row r="43" customFormat="false" ht="15" hidden="false" customHeight="false" outlineLevel="0" collapsed="false">
      <c r="A43" s="7" t="n">
        <v>70303496</v>
      </c>
      <c r="B43" s="7" t="s">
        <v>68</v>
      </c>
      <c r="C43" s="7" t="s">
        <v>214</v>
      </c>
      <c r="D43" s="7" t="s">
        <v>215</v>
      </c>
      <c r="E43" s="7" t="s">
        <v>27</v>
      </c>
      <c r="F43" s="7" t="s">
        <v>211</v>
      </c>
      <c r="G43" s="7" t="n">
        <v>2014</v>
      </c>
      <c r="H43" s="7" t="s">
        <v>49</v>
      </c>
      <c r="I43" s="7" t="s">
        <v>216</v>
      </c>
      <c r="J43" s="7" t="s">
        <v>217</v>
      </c>
      <c r="K43" s="7" t="n">
        <f aca="false">IFERROR(VALUE(RIGHT(TRIM(F43),4)),"")</f>
        <v>2018</v>
      </c>
      <c r="L43" s="7" t="str">
        <f aca="false">IF(TRIM(E43)="","Unknown",IFERROR(LEFT(TRIM(E43),FIND(",",TRIM(E43))-1),TRIM(E43)))</f>
        <v>India</v>
      </c>
      <c r="M43" s="7" t="str">
        <f aca="false">IFERROR(LEFT(J43,FIND(",",J43)-1),J43)</f>
        <v>Comedies</v>
      </c>
      <c r="N43" s="7" t="n">
        <f aca="false">IF(B43="Movie",IFERROR(VALUE(LEFT(I43,FIND(" ",I43)-1)),""),"")</f>
        <v>146</v>
      </c>
      <c r="O43" s="7" t="str">
        <f aca="false">IF(B43="TV Show",IFERROR(VALUE(LEFT(I43,FIND(" ",I43)-1)),""),"")</f>
        <v/>
      </c>
      <c r="P43" s="7" t="n">
        <f aca="false">IF(K43="","",K43-G43)</f>
        <v>4</v>
      </c>
    </row>
    <row r="44" customFormat="false" ht="15" hidden="false" customHeight="false" outlineLevel="0" collapsed="false">
      <c r="A44" s="7" t="n">
        <v>80162141</v>
      </c>
      <c r="B44" s="7" t="s">
        <v>68</v>
      </c>
      <c r="C44" s="7" t="s">
        <v>218</v>
      </c>
      <c r="D44" s="7" t="s">
        <v>219</v>
      </c>
      <c r="E44" s="7" t="s">
        <v>28</v>
      </c>
      <c r="F44" s="7" t="s">
        <v>220</v>
      </c>
      <c r="G44" s="7" t="n">
        <v>2015</v>
      </c>
      <c r="H44" s="7" t="s">
        <v>48</v>
      </c>
      <c r="I44" s="7" t="s">
        <v>143</v>
      </c>
      <c r="J44" s="7" t="s">
        <v>150</v>
      </c>
      <c r="K44" s="7" t="n">
        <f aca="false">IFERROR(VALUE(RIGHT(TRIM(F44),4)),"")</f>
        <v>2017</v>
      </c>
      <c r="L44" s="7" t="str">
        <f aca="false">IF(TRIM(E44)="","Unknown",IFERROR(LEFT(TRIM(E44),FIND(",",TRIM(E44))-1),TRIM(E44)))</f>
        <v>United Kingdom</v>
      </c>
      <c r="M44" s="7" t="str">
        <f aca="false">IFERROR(LEFT(J44,FIND(",",J44)-1),J44)</f>
        <v>Dramas</v>
      </c>
      <c r="N44" s="7" t="n">
        <f aca="false">IF(B44="Movie",IFERROR(VALUE(LEFT(I44,FIND(" ",I44)-1)),""),"")</f>
        <v>79</v>
      </c>
      <c r="O44" s="7" t="str">
        <f aca="false">IF(B44="TV Show",IFERROR(VALUE(LEFT(I44,FIND(" ",I44)-1)),""),"")</f>
        <v/>
      </c>
      <c r="P44" s="7" t="n">
        <f aca="false">IF(K44="","",K44-G44)</f>
        <v>2</v>
      </c>
    </row>
    <row r="45" customFormat="false" ht="15" hidden="false" customHeight="false" outlineLevel="0" collapsed="false">
      <c r="A45" s="7" t="n">
        <v>80095641</v>
      </c>
      <c r="B45" s="7" t="s">
        <v>68</v>
      </c>
      <c r="C45" s="7" t="s">
        <v>221</v>
      </c>
      <c r="D45" s="7" t="s">
        <v>222</v>
      </c>
      <c r="E45" s="7" t="s">
        <v>28</v>
      </c>
      <c r="F45" s="7" t="s">
        <v>223</v>
      </c>
      <c r="G45" s="7" t="n">
        <v>2015</v>
      </c>
      <c r="H45" s="7" t="s">
        <v>50</v>
      </c>
      <c r="I45" s="7" t="s">
        <v>181</v>
      </c>
      <c r="J45" s="7" t="s">
        <v>39</v>
      </c>
      <c r="K45" s="7" t="n">
        <f aca="false">IFERROR(VALUE(RIGHT(TRIM(F45),4)),"")</f>
        <v>2016</v>
      </c>
      <c r="L45" s="7" t="str">
        <f aca="false">IF(TRIM(E45)="","Unknown",IFERROR(LEFT(TRIM(E45),FIND(",",TRIM(E45))-1),TRIM(E45)))</f>
        <v>United Kingdom</v>
      </c>
      <c r="M45" s="7" t="str">
        <f aca="false">IFERROR(LEFT(J45,FIND(",",J45)-1),J45)</f>
        <v>Documentaries</v>
      </c>
      <c r="N45" s="7" t="n">
        <f aca="false">IF(B45="Movie",IFERROR(VALUE(LEFT(I45,FIND(" ",I45)-1)),""),"")</f>
        <v>102</v>
      </c>
      <c r="O45" s="7" t="str">
        <f aca="false">IF(B45="TV Show",IFERROR(VALUE(LEFT(I45,FIND(" ",I45)-1)),""),"")</f>
        <v/>
      </c>
      <c r="P45" s="7" t="n">
        <f aca="false">IF(K45="","",K45-G45)</f>
        <v>1</v>
      </c>
    </row>
    <row r="46" customFormat="false" ht="15" hidden="false" customHeight="false" outlineLevel="0" collapsed="false">
      <c r="A46" s="7" t="n">
        <v>81176188</v>
      </c>
      <c r="B46" s="7" t="s">
        <v>68</v>
      </c>
      <c r="C46" s="7" t="s">
        <v>224</v>
      </c>
      <c r="F46" s="7" t="s">
        <v>225</v>
      </c>
      <c r="G46" s="7" t="n">
        <v>2019</v>
      </c>
      <c r="H46" s="7" t="s">
        <v>226</v>
      </c>
      <c r="I46" s="7" t="s">
        <v>227</v>
      </c>
      <c r="J46" s="7" t="s">
        <v>39</v>
      </c>
      <c r="K46" s="7" t="n">
        <f aca="false">IFERROR(VALUE(RIGHT(TRIM(F46),4)),"")</f>
        <v>2019</v>
      </c>
      <c r="L46" s="7" t="str">
        <f aca="false">IF(TRIM(E46)="","Unknown",IFERROR(LEFT(TRIM(E46),FIND(",",TRIM(E46))-1),TRIM(E46)))</f>
        <v>Unknown</v>
      </c>
      <c r="M46" s="7" t="str">
        <f aca="false">IFERROR(LEFT(J46,FIND(",",J46)-1),J46)</f>
        <v>Documentaries</v>
      </c>
      <c r="N46" s="7" t="n">
        <f aca="false">IF(B46="Movie",IFERROR(VALUE(LEFT(I46,FIND(" ",I46)-1)),""),"")</f>
        <v>10</v>
      </c>
      <c r="O46" s="7" t="str">
        <f aca="false">IF(B46="TV Show",IFERROR(VALUE(LEFT(I46,FIND(" ",I46)-1)),""),"")</f>
        <v/>
      </c>
      <c r="P46" s="7" t="n">
        <f aca="false">IF(K46="","",K46-G46)</f>
        <v>0</v>
      </c>
    </row>
    <row r="47" customFormat="false" ht="15" hidden="false" customHeight="false" outlineLevel="0" collapsed="false">
      <c r="A47" s="7" t="n">
        <v>80159880</v>
      </c>
      <c r="B47" s="7" t="s">
        <v>68</v>
      </c>
      <c r="C47" s="7" t="s">
        <v>228</v>
      </c>
      <c r="D47" s="7" t="s">
        <v>229</v>
      </c>
      <c r="E47" s="7" t="s">
        <v>230</v>
      </c>
      <c r="F47" s="7" t="s">
        <v>231</v>
      </c>
      <c r="G47" s="7" t="n">
        <v>2012</v>
      </c>
      <c r="H47" s="7" t="s">
        <v>49</v>
      </c>
      <c r="I47" s="7" t="s">
        <v>232</v>
      </c>
      <c r="J47" s="7" t="s">
        <v>206</v>
      </c>
      <c r="K47" s="7" t="n">
        <f aca="false">IFERROR(VALUE(RIGHT(TRIM(F47),4)),"")</f>
        <v>2018</v>
      </c>
      <c r="L47" s="7" t="str">
        <f aca="false">IF(TRIM(E47)="","Unknown",IFERROR(LEFT(TRIM(E47),FIND(",",TRIM(E47))-1),TRIM(E47)))</f>
        <v>United States</v>
      </c>
      <c r="M47" s="7" t="str">
        <f aca="false">IFERROR(LEFT(J47,FIND(",",J47)-1),J47)</f>
        <v>Comedies</v>
      </c>
      <c r="N47" s="7" t="n">
        <f aca="false">IF(B47="Movie",IFERROR(VALUE(LEFT(I47,FIND(" ",I47)-1)),""),"")</f>
        <v>122</v>
      </c>
      <c r="O47" s="7" t="str">
        <f aca="false">IF(B47="TV Show",IFERROR(VALUE(LEFT(I47,FIND(" ",I47)-1)),""),"")</f>
        <v/>
      </c>
      <c r="P47" s="7" t="n">
        <f aca="false">IF(K47="","",K47-G47)</f>
        <v>6</v>
      </c>
    </row>
    <row r="48" customFormat="false" ht="15" hidden="false" customHeight="false" outlineLevel="0" collapsed="false">
      <c r="A48" s="7" t="n">
        <v>81016044</v>
      </c>
      <c r="B48" s="7" t="s">
        <v>68</v>
      </c>
      <c r="C48" s="7" t="s">
        <v>233</v>
      </c>
      <c r="D48" s="7" t="s">
        <v>234</v>
      </c>
      <c r="E48" s="7" t="s">
        <v>167</v>
      </c>
      <c r="F48" s="7" t="s">
        <v>231</v>
      </c>
      <c r="G48" s="7" t="n">
        <v>2009</v>
      </c>
      <c r="H48" s="7" t="s">
        <v>49</v>
      </c>
      <c r="I48" s="7" t="s">
        <v>235</v>
      </c>
      <c r="J48" s="7" t="s">
        <v>206</v>
      </c>
      <c r="K48" s="7" t="n">
        <f aca="false">IFERROR(VALUE(RIGHT(TRIM(F48),4)),"")</f>
        <v>2018</v>
      </c>
      <c r="L48" s="7" t="str">
        <f aca="false">IF(TRIM(E48)="","Unknown",IFERROR(LEFT(TRIM(E48),FIND(",",TRIM(E48))-1),TRIM(E48)))</f>
        <v>Thailand</v>
      </c>
      <c r="M48" s="7" t="str">
        <f aca="false">IFERROR(LEFT(J48,FIND(",",J48)-1),J48)</f>
        <v>Comedies</v>
      </c>
      <c r="N48" s="7" t="n">
        <f aca="false">IF(B48="Movie",IFERROR(VALUE(LEFT(I48,FIND(" ",I48)-1)),""),"")</f>
        <v>126</v>
      </c>
      <c r="O48" s="7" t="str">
        <f aca="false">IF(B48="TV Show",IFERROR(VALUE(LEFT(I48,FIND(" ",I48)-1)),""),"")</f>
        <v/>
      </c>
      <c r="P48" s="7" t="n">
        <f aca="false">IF(K48="","",K48-G48)</f>
        <v>9</v>
      </c>
    </row>
    <row r="49" customFormat="false" ht="15" hidden="false" customHeight="false" outlineLevel="0" collapsed="false">
      <c r="A49" s="7" t="n">
        <v>80158838</v>
      </c>
      <c r="B49" s="7" t="s">
        <v>68</v>
      </c>
      <c r="C49" s="7" t="s">
        <v>236</v>
      </c>
      <c r="D49" s="7" t="s">
        <v>229</v>
      </c>
      <c r="E49" s="7" t="s">
        <v>167</v>
      </c>
      <c r="F49" s="7" t="s">
        <v>231</v>
      </c>
      <c r="G49" s="7" t="n">
        <v>2014</v>
      </c>
      <c r="H49" s="7" t="s">
        <v>49</v>
      </c>
      <c r="I49" s="7" t="s">
        <v>237</v>
      </c>
      <c r="J49" s="7" t="s">
        <v>206</v>
      </c>
      <c r="K49" s="7" t="n">
        <f aca="false">IFERROR(VALUE(RIGHT(TRIM(F49),4)),"")</f>
        <v>2018</v>
      </c>
      <c r="L49" s="7" t="str">
        <f aca="false">IF(TRIM(E49)="","Unknown",IFERROR(LEFT(TRIM(E49),FIND(",",TRIM(E49))-1),TRIM(E49)))</f>
        <v>Thailand</v>
      </c>
      <c r="M49" s="7" t="str">
        <f aca="false">IFERROR(LEFT(J49,FIND(",",J49)-1),J49)</f>
        <v>Comedies</v>
      </c>
      <c r="N49" s="7" t="n">
        <f aca="false">IF(B49="Movie",IFERROR(VALUE(LEFT(I49,FIND(" ",I49)-1)),""),"")</f>
        <v>116</v>
      </c>
      <c r="O49" s="7" t="str">
        <f aca="false">IF(B49="TV Show",IFERROR(VALUE(LEFT(I49,FIND(" ",I49)-1)),""),"")</f>
        <v/>
      </c>
      <c r="P49" s="7" t="n">
        <f aca="false">IF(K49="","",K49-G49)</f>
        <v>4</v>
      </c>
    </row>
    <row r="50" customFormat="false" ht="15" hidden="false" customHeight="false" outlineLevel="0" collapsed="false">
      <c r="A50" s="7" t="n">
        <v>81016045</v>
      </c>
      <c r="B50" s="7" t="s">
        <v>68</v>
      </c>
      <c r="C50" s="7" t="s">
        <v>238</v>
      </c>
      <c r="D50" s="7" t="s">
        <v>239</v>
      </c>
      <c r="E50" s="7" t="s">
        <v>167</v>
      </c>
      <c r="F50" s="7" t="s">
        <v>231</v>
      </c>
      <c r="G50" s="7" t="n">
        <v>2016</v>
      </c>
      <c r="H50" s="7" t="s">
        <v>50</v>
      </c>
      <c r="I50" s="7" t="s">
        <v>130</v>
      </c>
      <c r="J50" s="7" t="s">
        <v>240</v>
      </c>
      <c r="K50" s="7" t="n">
        <f aca="false">IFERROR(VALUE(RIGHT(TRIM(F50),4)),"")</f>
        <v>2018</v>
      </c>
      <c r="L50" s="7" t="str">
        <f aca="false">IF(TRIM(E50)="","Unknown",IFERROR(LEFT(TRIM(E50),FIND(",",TRIM(E50))-1),TRIM(E50)))</f>
        <v>Thailand</v>
      </c>
      <c r="M50" s="7" t="str">
        <f aca="false">IFERROR(LEFT(J50,FIND(",",J50)-1),J50)</f>
        <v>Dramas</v>
      </c>
      <c r="N50" s="7" t="n">
        <f aca="false">IF(B50="Movie",IFERROR(VALUE(LEFT(I50,FIND(" ",I50)-1)),""),"")</f>
        <v>135</v>
      </c>
      <c r="O50" s="7" t="str">
        <f aca="false">IF(B50="TV Show",IFERROR(VALUE(LEFT(I50,FIND(" ",I50)-1)),""),"")</f>
        <v/>
      </c>
      <c r="P50" s="7" t="n">
        <f aca="false">IF(K50="","",K50-G50)</f>
        <v>2</v>
      </c>
    </row>
    <row r="51" customFormat="false" ht="15" hidden="false" customHeight="false" outlineLevel="0" collapsed="false">
      <c r="A51" s="7" t="n">
        <v>70142798</v>
      </c>
      <c r="B51" s="7" t="s">
        <v>68</v>
      </c>
      <c r="C51" s="7" t="s">
        <v>241</v>
      </c>
      <c r="D51" s="7" t="s">
        <v>242</v>
      </c>
      <c r="E51" s="7" t="s">
        <v>167</v>
      </c>
      <c r="F51" s="7" t="s">
        <v>231</v>
      </c>
      <c r="G51" s="7" t="n">
        <v>2009</v>
      </c>
      <c r="H51" s="7" t="s">
        <v>48</v>
      </c>
      <c r="I51" s="7" t="s">
        <v>194</v>
      </c>
      <c r="J51" s="7" t="s">
        <v>169</v>
      </c>
      <c r="K51" s="7" t="n">
        <f aca="false">IFERROR(VALUE(RIGHT(TRIM(F51),4)),"")</f>
        <v>2018</v>
      </c>
      <c r="L51" s="7" t="str">
        <f aca="false">IF(TRIM(E51)="","Unknown",IFERROR(LEFT(TRIM(E51),FIND(",",TRIM(E51))-1),TRIM(E51)))</f>
        <v>Thailand</v>
      </c>
      <c r="M51" s="7" t="str">
        <f aca="false">IFERROR(LEFT(J51,FIND(",",J51)-1),J51)</f>
        <v>Horror Movies</v>
      </c>
      <c r="N51" s="7" t="n">
        <f aca="false">IF(B51="Movie",IFERROR(VALUE(LEFT(I51,FIND(" ",I51)-1)),""),"")</f>
        <v>125</v>
      </c>
      <c r="O51" s="7" t="str">
        <f aca="false">IF(B51="TV Show",IFERROR(VALUE(LEFT(I51,FIND(" ",I51)-1)),""),"")</f>
        <v/>
      </c>
      <c r="P51" s="7" t="n">
        <f aca="false">IF(K51="","",K51-G51)</f>
        <v>9</v>
      </c>
    </row>
    <row r="52" customFormat="false" ht="15" hidden="false" customHeight="false" outlineLevel="0" collapsed="false">
      <c r="A52" s="7" t="n">
        <v>70062814</v>
      </c>
      <c r="B52" s="7" t="s">
        <v>68</v>
      </c>
      <c r="C52" s="7" t="s">
        <v>243</v>
      </c>
      <c r="D52" s="7" t="s">
        <v>244</v>
      </c>
      <c r="E52" s="7" t="s">
        <v>167</v>
      </c>
      <c r="F52" s="7" t="s">
        <v>231</v>
      </c>
      <c r="G52" s="7" t="n">
        <v>2004</v>
      </c>
      <c r="H52" s="7" t="s">
        <v>48</v>
      </c>
      <c r="I52" s="7" t="s">
        <v>138</v>
      </c>
      <c r="J52" s="7" t="s">
        <v>169</v>
      </c>
      <c r="K52" s="7" t="n">
        <f aca="false">IFERROR(VALUE(RIGHT(TRIM(F52),4)),"")</f>
        <v>2018</v>
      </c>
      <c r="L52" s="7" t="str">
        <f aca="false">IF(TRIM(E52)="","Unknown",IFERROR(LEFT(TRIM(E52),FIND(",",TRIM(E52))-1),TRIM(E52)))</f>
        <v>Thailand</v>
      </c>
      <c r="M52" s="7" t="str">
        <f aca="false">IFERROR(LEFT(J52,FIND(",",J52)-1),J52)</f>
        <v>Horror Movies</v>
      </c>
      <c r="N52" s="7" t="n">
        <f aca="false">IF(B52="Movie",IFERROR(VALUE(LEFT(I52,FIND(" ",I52)-1)),""),"")</f>
        <v>96</v>
      </c>
      <c r="O52" s="7" t="str">
        <f aca="false">IF(B52="TV Show",IFERROR(VALUE(LEFT(I52,FIND(" ",I52)-1)),""),"")</f>
        <v/>
      </c>
      <c r="P52" s="7" t="n">
        <f aca="false">IF(K52="","",K52-G52)</f>
        <v>14</v>
      </c>
    </row>
    <row r="53" customFormat="false" ht="15" hidden="false" customHeight="false" outlineLevel="0" collapsed="false">
      <c r="A53" s="7" t="n">
        <v>80158839</v>
      </c>
      <c r="B53" s="7" t="s">
        <v>68</v>
      </c>
      <c r="C53" s="7" t="s">
        <v>245</v>
      </c>
      <c r="D53" s="7" t="s">
        <v>246</v>
      </c>
      <c r="E53" s="7" t="s">
        <v>167</v>
      </c>
      <c r="F53" s="7" t="s">
        <v>231</v>
      </c>
      <c r="G53" s="7" t="n">
        <v>2011</v>
      </c>
      <c r="H53" s="7" t="s">
        <v>48</v>
      </c>
      <c r="I53" s="7" t="s">
        <v>247</v>
      </c>
      <c r="J53" s="7" t="s">
        <v>202</v>
      </c>
      <c r="K53" s="7" t="n">
        <f aca="false">IFERROR(VALUE(RIGHT(TRIM(F53),4)),"")</f>
        <v>2018</v>
      </c>
      <c r="L53" s="7" t="str">
        <f aca="false">IF(TRIM(E53)="","Unknown",IFERROR(LEFT(TRIM(E53),FIND(",",TRIM(E53))-1),TRIM(E53)))</f>
        <v>Thailand</v>
      </c>
      <c r="M53" s="7" t="str">
        <f aca="false">IFERROR(LEFT(J53,FIND(",",J53)-1),J53)</f>
        <v>Comedies</v>
      </c>
      <c r="N53" s="7" t="n">
        <f aca="false">IF(B53="Movie",IFERROR(VALUE(LEFT(I53,FIND(" ",I53)-1)),""),"")</f>
        <v>130</v>
      </c>
      <c r="O53" s="7" t="str">
        <f aca="false">IF(B53="TV Show",IFERROR(VALUE(LEFT(I53,FIND(" ",I53)-1)),""),"")</f>
        <v/>
      </c>
      <c r="P53" s="7" t="n">
        <f aca="false">IF(K53="","",K53-G53)</f>
        <v>7</v>
      </c>
    </row>
    <row r="54" customFormat="false" ht="15" hidden="false" customHeight="false" outlineLevel="0" collapsed="false">
      <c r="A54" s="7" t="n">
        <v>80147760</v>
      </c>
      <c r="B54" s="7" t="s">
        <v>68</v>
      </c>
      <c r="C54" s="7" t="s">
        <v>248</v>
      </c>
      <c r="D54" s="7" t="s">
        <v>249</v>
      </c>
      <c r="E54" s="7" t="s">
        <v>26</v>
      </c>
      <c r="F54" s="7" t="s">
        <v>250</v>
      </c>
      <c r="G54" s="7" t="n">
        <v>2016</v>
      </c>
      <c r="H54" s="7" t="s">
        <v>49</v>
      </c>
      <c r="I54" s="7" t="s">
        <v>134</v>
      </c>
      <c r="J54" s="7" t="s">
        <v>251</v>
      </c>
      <c r="K54" s="7" t="n">
        <f aca="false">IFERROR(VALUE(RIGHT(TRIM(F54),4)),"")</f>
        <v>2017</v>
      </c>
      <c r="L54" s="7" t="str">
        <f aca="false">IF(TRIM(E54)="","Unknown",IFERROR(LEFT(TRIM(E54),FIND(",",TRIM(E54))-1),TRIM(E54)))</f>
        <v>United States</v>
      </c>
      <c r="M54" s="7" t="str">
        <f aca="false">IFERROR(LEFT(J54,FIND(",",J54)-1),J54)</f>
        <v>Comedies</v>
      </c>
      <c r="N54" s="7" t="n">
        <f aca="false">IF(B54="Movie",IFERROR(VALUE(LEFT(I54,FIND(" ",I54)-1)),""),"")</f>
        <v>98</v>
      </c>
      <c r="O54" s="7" t="str">
        <f aca="false">IF(B54="TV Show",IFERROR(VALUE(LEFT(I54,FIND(" ",I54)-1)),""),"")</f>
        <v/>
      </c>
      <c r="P54" s="7" t="n">
        <f aca="false">IF(K54="","",K54-G54)</f>
        <v>1</v>
      </c>
    </row>
    <row r="55" customFormat="false" ht="15" hidden="false" customHeight="false" outlineLevel="0" collapsed="false">
      <c r="A55" s="7" t="n">
        <v>80177405</v>
      </c>
      <c r="B55" s="7" t="s">
        <v>68</v>
      </c>
      <c r="C55" s="7" t="s">
        <v>252</v>
      </c>
      <c r="D55" s="7" t="s">
        <v>253</v>
      </c>
      <c r="E55" s="7" t="s">
        <v>26</v>
      </c>
      <c r="F55" s="7" t="s">
        <v>250</v>
      </c>
      <c r="G55" s="7" t="n">
        <v>2017</v>
      </c>
      <c r="H55" s="7" t="s">
        <v>48</v>
      </c>
      <c r="I55" s="7" t="s">
        <v>254</v>
      </c>
      <c r="J55" s="7" t="s">
        <v>45</v>
      </c>
      <c r="K55" s="7" t="n">
        <f aca="false">IFERROR(VALUE(RIGHT(TRIM(F55),4)),"")</f>
        <v>2017</v>
      </c>
      <c r="L55" s="7" t="str">
        <f aca="false">IF(TRIM(E55)="","Unknown",IFERROR(LEFT(TRIM(E55),FIND(",",TRIM(E55))-1),TRIM(E55)))</f>
        <v>United States</v>
      </c>
      <c r="M55" s="7" t="str">
        <f aca="false">IFERROR(LEFT(J55,FIND(",",J55)-1),J55)</f>
        <v>Stand-Up Comedy</v>
      </c>
      <c r="N55" s="7" t="n">
        <f aca="false">IF(B55="Movie",IFERROR(VALUE(LEFT(I55,FIND(" ",I55)-1)),""),"")</f>
        <v>70</v>
      </c>
      <c r="O55" s="7" t="str">
        <f aca="false">IF(B55="TV Show",IFERROR(VALUE(LEFT(I55,FIND(" ",I55)-1)),""),"")</f>
        <v/>
      </c>
      <c r="P55" s="7" t="n">
        <f aca="false">IF(K55="","",K55-G55)</f>
        <v>0</v>
      </c>
    </row>
    <row r="56" customFormat="false" ht="15" hidden="false" customHeight="false" outlineLevel="0" collapsed="false">
      <c r="A56" s="7" t="n">
        <v>80113482</v>
      </c>
      <c r="B56" s="7" t="s">
        <v>78</v>
      </c>
      <c r="C56" s="7" t="s">
        <v>255</v>
      </c>
      <c r="E56" s="7" t="s">
        <v>26</v>
      </c>
      <c r="F56" s="7" t="s">
        <v>250</v>
      </c>
      <c r="G56" s="7" t="n">
        <v>2016</v>
      </c>
      <c r="H56" s="7" t="s">
        <v>49</v>
      </c>
      <c r="I56" s="7" t="s">
        <v>82</v>
      </c>
      <c r="J56" s="7" t="s">
        <v>256</v>
      </c>
      <c r="K56" s="7" t="n">
        <f aca="false">IFERROR(VALUE(RIGHT(TRIM(F56),4)),"")</f>
        <v>2017</v>
      </c>
      <c r="L56" s="7" t="str">
        <f aca="false">IF(TRIM(E56)="","Unknown",IFERROR(LEFT(TRIM(E56),FIND(",",TRIM(E56))-1),TRIM(E56)))</f>
        <v>United States</v>
      </c>
      <c r="M56" s="7" t="str">
        <f aca="false">IFERROR(LEFT(J56,FIND(",",J56)-1),J56)</f>
        <v>Romantic TV Shows</v>
      </c>
      <c r="N56" s="7" t="str">
        <f aca="false">IF(B56="Movie",IFERROR(VALUE(LEFT(I56,FIND(" ",I56)-1)),""),"")</f>
        <v/>
      </c>
      <c r="O56" s="7" t="n">
        <f aca="false">IF(B56="TV Show",IFERROR(VALUE(LEFT(I56,FIND(" ",I56)-1)),""),"")</f>
        <v>1</v>
      </c>
      <c r="P56" s="7" t="n">
        <f aca="false">IF(K56="","",K56-G56)</f>
        <v>1</v>
      </c>
    </row>
    <row r="57" customFormat="false" ht="15" hidden="false" customHeight="false" outlineLevel="0" collapsed="false">
      <c r="A57" s="7" t="n">
        <v>81160036</v>
      </c>
      <c r="B57" s="7" t="s">
        <v>68</v>
      </c>
      <c r="C57" s="7" t="s">
        <v>257</v>
      </c>
      <c r="D57" s="7" t="s">
        <v>258</v>
      </c>
      <c r="E57" s="7" t="s">
        <v>259</v>
      </c>
      <c r="F57" s="7" t="s">
        <v>260</v>
      </c>
      <c r="G57" s="7" t="n">
        <v>2016</v>
      </c>
      <c r="H57" s="7" t="s">
        <v>49</v>
      </c>
      <c r="I57" s="7" t="s">
        <v>261</v>
      </c>
      <c r="J57" s="7" t="s">
        <v>188</v>
      </c>
      <c r="K57" s="7" t="n">
        <f aca="false">IFERROR(VALUE(RIGHT(TRIM(F57),4)),"")</f>
        <v>2019</v>
      </c>
      <c r="L57" s="7" t="str">
        <f aca="false">IF(TRIM(E57)="","Unknown",IFERROR(LEFT(TRIM(E57),FIND(",",TRIM(E57))-1),TRIM(E57)))</f>
        <v>Pakistan</v>
      </c>
      <c r="M57" s="7" t="str">
        <f aca="false">IFERROR(LEFT(J57,FIND(",",J57)-1),J57)</f>
        <v>Dramas</v>
      </c>
      <c r="N57" s="7" t="n">
        <f aca="false">IF(B57="Movie",IFERROR(VALUE(LEFT(I57,FIND(" ",I57)-1)),""),"")</f>
        <v>128</v>
      </c>
      <c r="O57" s="7" t="str">
        <f aca="false">IF(B57="TV Show",IFERROR(VALUE(LEFT(I57,FIND(" ",I57)-1)),""),"")</f>
        <v/>
      </c>
      <c r="P57" s="7" t="n">
        <f aca="false">IF(K57="","",K57-G57)</f>
        <v>3</v>
      </c>
    </row>
    <row r="58" customFormat="false" ht="15" hidden="false" customHeight="false" outlineLevel="0" collapsed="false">
      <c r="A58" s="7" t="n">
        <v>81173255</v>
      </c>
      <c r="B58" s="7" t="s">
        <v>68</v>
      </c>
      <c r="C58" s="7" t="s">
        <v>262</v>
      </c>
      <c r="D58" s="7" t="s">
        <v>263</v>
      </c>
      <c r="E58" s="7" t="s">
        <v>29</v>
      </c>
      <c r="F58" s="7" t="s">
        <v>260</v>
      </c>
      <c r="G58" s="7" t="n">
        <v>2017</v>
      </c>
      <c r="H58" s="7" t="s">
        <v>48</v>
      </c>
      <c r="I58" s="7" t="s">
        <v>264</v>
      </c>
      <c r="J58" s="7" t="s">
        <v>265</v>
      </c>
      <c r="K58" s="7" t="n">
        <f aca="false">IFERROR(VALUE(RIGHT(TRIM(F58),4)),"")</f>
        <v>2019</v>
      </c>
      <c r="L58" s="7" t="str">
        <f aca="false">IF(TRIM(E58)="","Unknown",IFERROR(LEFT(TRIM(E58),FIND(",",TRIM(E58))-1),TRIM(E58)))</f>
        <v>Canada</v>
      </c>
      <c r="M58" s="7" t="str">
        <f aca="false">IFERROR(LEFT(J58,FIND(",",J58)-1),J58)</f>
        <v>Horror Movies</v>
      </c>
      <c r="N58" s="7" t="n">
        <f aca="false">IF(B58="Movie",IFERROR(VALUE(LEFT(I58,FIND(" ",I58)-1)),""),"")</f>
        <v>88</v>
      </c>
      <c r="O58" s="7" t="str">
        <f aca="false">IF(B58="TV Show",IFERROR(VALUE(LEFT(I58,FIND(" ",I58)-1)),""),"")</f>
        <v/>
      </c>
      <c r="P58" s="7" t="n">
        <f aca="false">IF(K58="","",K58-G58)</f>
        <v>2</v>
      </c>
    </row>
    <row r="59" customFormat="false" ht="15" hidden="false" customHeight="false" outlineLevel="0" collapsed="false">
      <c r="A59" s="7" t="n">
        <v>81078908</v>
      </c>
      <c r="B59" s="7" t="s">
        <v>68</v>
      </c>
      <c r="C59" s="7" t="s">
        <v>266</v>
      </c>
      <c r="D59" s="7" t="s">
        <v>267</v>
      </c>
      <c r="E59" s="7" t="s">
        <v>26</v>
      </c>
      <c r="F59" s="7" t="s">
        <v>260</v>
      </c>
      <c r="G59" s="7" t="n">
        <v>2019</v>
      </c>
      <c r="H59" s="7" t="s">
        <v>54</v>
      </c>
      <c r="I59" s="7" t="s">
        <v>268</v>
      </c>
      <c r="J59" s="7" t="s">
        <v>269</v>
      </c>
      <c r="K59" s="7" t="n">
        <f aca="false">IFERROR(VALUE(RIGHT(TRIM(F59),4)),"")</f>
        <v>2019</v>
      </c>
      <c r="L59" s="7" t="str">
        <f aca="false">IF(TRIM(E59)="","Unknown",IFERROR(LEFT(TRIM(E59),FIND(",",TRIM(E59))-1),TRIM(E59)))</f>
        <v>United States</v>
      </c>
      <c r="M59" s="7" t="str">
        <f aca="false">IFERROR(LEFT(J59,FIND(",",J59)-1),J59)</f>
        <v>Dramas</v>
      </c>
      <c r="N59" s="7" t="n">
        <f aca="false">IF(B59="Movie",IFERROR(VALUE(LEFT(I59,FIND(" ",I59)-1)),""),"")</f>
        <v>108</v>
      </c>
      <c r="O59" s="7" t="str">
        <f aca="false">IF(B59="TV Show",IFERROR(VALUE(LEFT(I59,FIND(" ",I59)-1)),""),"")</f>
        <v/>
      </c>
      <c r="P59" s="7" t="n">
        <f aca="false">IF(K59="","",K59-G59)</f>
        <v>0</v>
      </c>
    </row>
    <row r="60" customFormat="false" ht="15" hidden="false" customHeight="false" outlineLevel="0" collapsed="false">
      <c r="A60" s="7" t="n">
        <v>81155784</v>
      </c>
      <c r="B60" s="7" t="s">
        <v>68</v>
      </c>
      <c r="C60" s="7" t="s">
        <v>270</v>
      </c>
      <c r="D60" s="7" t="s">
        <v>271</v>
      </c>
      <c r="E60" s="7" t="s">
        <v>27</v>
      </c>
      <c r="F60" s="7" t="s">
        <v>260</v>
      </c>
      <c r="G60" s="7" t="n">
        <v>2019</v>
      </c>
      <c r="H60" s="7" t="s">
        <v>49</v>
      </c>
      <c r="I60" s="7" t="s">
        <v>272</v>
      </c>
      <c r="J60" s="7" t="s">
        <v>217</v>
      </c>
      <c r="K60" s="7" t="n">
        <f aca="false">IFERROR(VALUE(RIGHT(TRIM(F60),4)),"")</f>
        <v>2019</v>
      </c>
      <c r="L60" s="7" t="str">
        <f aca="false">IF(TRIM(E60)="","Unknown",IFERROR(LEFT(TRIM(E60),FIND(",",TRIM(E60))-1),TRIM(E60)))</f>
        <v>India</v>
      </c>
      <c r="M60" s="7" t="str">
        <f aca="false">IFERROR(LEFT(J60,FIND(",",J60)-1),J60)</f>
        <v>Comedies</v>
      </c>
      <c r="N60" s="7" t="n">
        <f aca="false">IF(B60="Movie",IFERROR(VALUE(LEFT(I60,FIND(" ",I60)-1)),""),"")</f>
        <v>93</v>
      </c>
      <c r="O60" s="7" t="str">
        <f aca="false">IF(B60="TV Show",IFERROR(VALUE(LEFT(I60,FIND(" ",I60)-1)),""),"")</f>
        <v/>
      </c>
      <c r="P60" s="7" t="n">
        <f aca="false">IF(K60="","",K60-G60)</f>
        <v>0</v>
      </c>
    </row>
    <row r="61" customFormat="false" ht="15" hidden="false" customHeight="false" outlineLevel="0" collapsed="false">
      <c r="A61" s="7" t="n">
        <v>80201906</v>
      </c>
      <c r="B61" s="7" t="s">
        <v>68</v>
      </c>
      <c r="C61" s="7" t="s">
        <v>273</v>
      </c>
      <c r="D61" s="7" t="s">
        <v>274</v>
      </c>
      <c r="E61" s="7" t="s">
        <v>26</v>
      </c>
      <c r="F61" s="7" t="s">
        <v>275</v>
      </c>
      <c r="G61" s="7" t="n">
        <v>2018</v>
      </c>
      <c r="H61" s="7" t="s">
        <v>52</v>
      </c>
      <c r="I61" s="7" t="s">
        <v>130</v>
      </c>
      <c r="J61" s="7" t="s">
        <v>276</v>
      </c>
      <c r="K61" s="7" t="n">
        <f aca="false">IFERROR(VALUE(RIGHT(TRIM(F61),4)),"")</f>
        <v>2018</v>
      </c>
      <c r="L61" s="7" t="str">
        <f aca="false">IF(TRIM(E61)="","Unknown",IFERROR(LEFT(TRIM(E61),FIND(",",TRIM(E61))-1),TRIM(E61)))</f>
        <v>United States</v>
      </c>
      <c r="M61" s="7" t="str">
        <f aca="false">IFERROR(LEFT(J61,FIND(",",J61)-1),J61)</f>
        <v>Action &amp; Adventure</v>
      </c>
      <c r="N61" s="7" t="n">
        <f aca="false">IF(B61="Movie",IFERROR(VALUE(LEFT(I61,FIND(" ",I61)-1)),""),"")</f>
        <v>135</v>
      </c>
      <c r="O61" s="7" t="str">
        <f aca="false">IF(B61="TV Show",IFERROR(VALUE(LEFT(I61,FIND(" ",I61)-1)),""),"")</f>
        <v/>
      </c>
      <c r="P61" s="7" t="n">
        <f aca="false">IF(K61="","",K61-G61)</f>
        <v>0</v>
      </c>
    </row>
    <row r="62" customFormat="false" ht="15" hidden="false" customHeight="false" outlineLevel="0" collapsed="false">
      <c r="A62" s="7" t="n">
        <v>80052612</v>
      </c>
      <c r="B62" s="7" t="s">
        <v>68</v>
      </c>
      <c r="C62" s="7" t="s">
        <v>277</v>
      </c>
      <c r="D62" s="7" t="s">
        <v>278</v>
      </c>
      <c r="E62" s="7" t="s">
        <v>279</v>
      </c>
      <c r="F62" s="7" t="s">
        <v>275</v>
      </c>
      <c r="G62" s="7" t="n">
        <v>2015</v>
      </c>
      <c r="H62" s="7" t="s">
        <v>51</v>
      </c>
      <c r="I62" s="7" t="s">
        <v>264</v>
      </c>
      <c r="J62" s="7" t="s">
        <v>206</v>
      </c>
      <c r="K62" s="7" t="n">
        <f aca="false">IFERROR(VALUE(RIGHT(TRIM(F62),4)),"")</f>
        <v>2018</v>
      </c>
      <c r="L62" s="7" t="str">
        <f aca="false">IF(TRIM(E62)="","Unknown",IFERROR(LEFT(TRIM(E62),FIND(",",TRIM(E62))-1),TRIM(E62)))</f>
        <v>United Kingdom</v>
      </c>
      <c r="M62" s="7" t="str">
        <f aca="false">IFERROR(LEFT(J62,FIND(",",J62)-1),J62)</f>
        <v>Comedies</v>
      </c>
      <c r="N62" s="7" t="n">
        <f aca="false">IF(B62="Movie",IFERROR(VALUE(LEFT(I62,FIND(" ",I62)-1)),""),"")</f>
        <v>88</v>
      </c>
      <c r="O62" s="7" t="str">
        <f aca="false">IF(B62="TV Show",IFERROR(VALUE(LEFT(I62,FIND(" ",I62)-1)),""),"")</f>
        <v/>
      </c>
      <c r="P62" s="7" t="n">
        <f aca="false">IF(K62="","",K62-G62)</f>
        <v>3</v>
      </c>
    </row>
    <row r="63" customFormat="false" ht="15" hidden="false" customHeight="false" outlineLevel="0" collapsed="false">
      <c r="A63" s="7" t="n">
        <v>80113641</v>
      </c>
      <c r="B63" s="7" t="s">
        <v>78</v>
      </c>
      <c r="C63" s="7" t="s">
        <v>280</v>
      </c>
      <c r="E63" s="7" t="s">
        <v>26</v>
      </c>
      <c r="F63" s="7" t="s">
        <v>281</v>
      </c>
      <c r="G63" s="7" t="n">
        <v>2016</v>
      </c>
      <c r="H63" s="7" t="s">
        <v>49</v>
      </c>
      <c r="I63" s="7" t="s">
        <v>82</v>
      </c>
      <c r="J63" s="7" t="s">
        <v>282</v>
      </c>
      <c r="K63" s="7" t="n">
        <f aca="false">IFERROR(VALUE(RIGHT(TRIM(F63),4)),"")</f>
        <v>2017</v>
      </c>
      <c r="L63" s="7" t="str">
        <f aca="false">IF(TRIM(E63)="","Unknown",IFERROR(LEFT(TRIM(E63),FIND(",",TRIM(E63))-1),TRIM(E63)))</f>
        <v>United States</v>
      </c>
      <c r="M63" s="7" t="str">
        <f aca="false">IFERROR(LEFT(J63,FIND(",",J63)-1),J63)</f>
        <v>Crime TV Shows</v>
      </c>
      <c r="N63" s="7" t="str">
        <f aca="false">IF(B63="Movie",IFERROR(VALUE(LEFT(I63,FIND(" ",I63)-1)),""),"")</f>
        <v/>
      </c>
      <c r="O63" s="7" t="n">
        <f aca="false">IF(B63="TV Show",IFERROR(VALUE(LEFT(I63,FIND(" ",I63)-1)),""),"")</f>
        <v>1</v>
      </c>
      <c r="P63" s="7" t="n">
        <f aca="false">IF(K63="","",K63-G63)</f>
        <v>1</v>
      </c>
    </row>
    <row r="64" customFormat="false" ht="15" hidden="false" customHeight="false" outlineLevel="0" collapsed="false">
      <c r="A64" s="7" t="n">
        <v>81054495</v>
      </c>
      <c r="B64" s="7" t="s">
        <v>68</v>
      </c>
      <c r="C64" s="7" t="s">
        <v>283</v>
      </c>
      <c r="D64" s="7" t="s">
        <v>284</v>
      </c>
      <c r="E64" s="7" t="s">
        <v>28</v>
      </c>
      <c r="F64" s="7" t="s">
        <v>285</v>
      </c>
      <c r="G64" s="7" t="n">
        <v>2019</v>
      </c>
      <c r="H64" s="7" t="s">
        <v>48</v>
      </c>
      <c r="I64" s="7" t="s">
        <v>286</v>
      </c>
      <c r="J64" s="7" t="s">
        <v>45</v>
      </c>
      <c r="K64" s="7" t="n">
        <f aca="false">IFERROR(VALUE(RIGHT(TRIM(F64),4)),"")</f>
        <v>2019</v>
      </c>
      <c r="L64" s="7" t="str">
        <f aca="false">IF(TRIM(E64)="","Unknown",IFERROR(LEFT(TRIM(E64),FIND(",",TRIM(E64))-1),TRIM(E64)))</f>
        <v>United Kingdom</v>
      </c>
      <c r="M64" s="7" t="str">
        <f aca="false">IFERROR(LEFT(J64,FIND(",",J64)-1),J64)</f>
        <v>Stand-Up Comedy</v>
      </c>
      <c r="N64" s="7" t="n">
        <f aca="false">IF(B64="Movie",IFERROR(VALUE(LEFT(I64,FIND(" ",I64)-1)),""),"")</f>
        <v>64</v>
      </c>
      <c r="O64" s="7" t="str">
        <f aca="false">IF(B64="TV Show",IFERROR(VALUE(LEFT(I64,FIND(" ",I64)-1)),""),"")</f>
        <v/>
      </c>
      <c r="P64" s="7" t="n">
        <f aca="false">IF(K64="","",K64-G64)</f>
        <v>0</v>
      </c>
    </row>
    <row r="65" customFormat="false" ht="15" hidden="false" customHeight="false" outlineLevel="0" collapsed="false">
      <c r="A65" s="7" t="n">
        <v>80996949</v>
      </c>
      <c r="B65" s="7" t="s">
        <v>78</v>
      </c>
      <c r="C65" s="7" t="s">
        <v>287</v>
      </c>
      <c r="E65" s="7" t="s">
        <v>26</v>
      </c>
      <c r="F65" s="7" t="s">
        <v>288</v>
      </c>
      <c r="G65" s="7" t="n">
        <v>2018</v>
      </c>
      <c r="H65" s="7" t="s">
        <v>49</v>
      </c>
      <c r="I65" s="7" t="s">
        <v>82</v>
      </c>
      <c r="J65" s="7" t="s">
        <v>289</v>
      </c>
      <c r="K65" s="7" t="n">
        <f aca="false">IFERROR(VALUE(RIGHT(TRIM(F65),4)),"")</f>
        <v>2018</v>
      </c>
      <c r="L65" s="7" t="str">
        <f aca="false">IF(TRIM(E65)="","Unknown",IFERROR(LEFT(TRIM(E65),FIND(",",TRIM(E65))-1),TRIM(E65)))</f>
        <v>United States</v>
      </c>
      <c r="M65" s="7" t="str">
        <f aca="false">IFERROR(LEFT(J65,FIND(",",J65)-1),J65)</f>
        <v>TV Comedies</v>
      </c>
      <c r="N65" s="7" t="str">
        <f aca="false">IF(B65="Movie",IFERROR(VALUE(LEFT(I65,FIND(" ",I65)-1)),""),"")</f>
        <v/>
      </c>
      <c r="O65" s="7" t="n">
        <f aca="false">IF(B65="TV Show",IFERROR(VALUE(LEFT(I65,FIND(" ",I65)-1)),""),"")</f>
        <v>1</v>
      </c>
      <c r="P65" s="7" t="n">
        <f aca="false">IF(K65="","",K65-G65)</f>
        <v>0</v>
      </c>
    </row>
    <row r="66" customFormat="false" ht="15" hidden="false" customHeight="false" outlineLevel="0" collapsed="false">
      <c r="A66" s="7" t="n">
        <v>80239337</v>
      </c>
      <c r="B66" s="7" t="s">
        <v>78</v>
      </c>
      <c r="C66" s="7" t="s">
        <v>290</v>
      </c>
      <c r="E66" s="7" t="s">
        <v>26</v>
      </c>
      <c r="F66" s="7" t="s">
        <v>288</v>
      </c>
      <c r="G66" s="7" t="n">
        <v>2016</v>
      </c>
      <c r="H66" s="7" t="s">
        <v>55</v>
      </c>
      <c r="I66" s="7" t="s">
        <v>82</v>
      </c>
      <c r="J66" s="7" t="s">
        <v>44</v>
      </c>
      <c r="K66" s="7" t="n">
        <f aca="false">IFERROR(VALUE(RIGHT(TRIM(F66),4)),"")</f>
        <v>2018</v>
      </c>
      <c r="L66" s="7" t="str">
        <f aca="false">IF(TRIM(E66)="","Unknown",IFERROR(LEFT(TRIM(E66),FIND(",",TRIM(E66))-1),TRIM(E66)))</f>
        <v>United States</v>
      </c>
      <c r="M66" s="7" t="str">
        <f aca="false">IFERROR(LEFT(J66,FIND(",",J66)-1),J66)</f>
        <v>Kids' TV</v>
      </c>
      <c r="N66" s="7" t="str">
        <f aca="false">IF(B66="Movie",IFERROR(VALUE(LEFT(I66,FIND(" ",I66)-1)),""),"")</f>
        <v/>
      </c>
      <c r="O66" s="7" t="n">
        <f aca="false">IF(B66="TV Show",IFERROR(VALUE(LEFT(I66,FIND(" ",I66)-1)),""),"")</f>
        <v>1</v>
      </c>
      <c r="P66" s="7" t="n">
        <f aca="false">IF(K66="","",K66-G66)</f>
        <v>2</v>
      </c>
    </row>
    <row r="67" customFormat="false" ht="15" hidden="false" customHeight="false" outlineLevel="0" collapsed="false">
      <c r="A67" s="7" t="n">
        <v>70212504</v>
      </c>
      <c r="B67" s="7" t="s">
        <v>68</v>
      </c>
      <c r="C67" s="7" t="s">
        <v>291</v>
      </c>
      <c r="D67" s="7" t="s">
        <v>292</v>
      </c>
      <c r="E67" s="7" t="s">
        <v>293</v>
      </c>
      <c r="F67" s="7" t="s">
        <v>288</v>
      </c>
      <c r="G67" s="7" t="n">
        <v>2012</v>
      </c>
      <c r="H67" s="7" t="s">
        <v>54</v>
      </c>
      <c r="I67" s="7" t="s">
        <v>294</v>
      </c>
      <c r="J67" s="7" t="s">
        <v>295</v>
      </c>
      <c r="K67" s="7" t="n">
        <f aca="false">IFERROR(VALUE(RIGHT(TRIM(F67),4)),"")</f>
        <v>2018</v>
      </c>
      <c r="L67" s="7" t="str">
        <f aca="false">IF(TRIM(E67)="","Unknown",IFERROR(LEFT(TRIM(E67),FIND(",",TRIM(E67))-1),TRIM(E67)))</f>
        <v>United States</v>
      </c>
      <c r="M67" s="7" t="str">
        <f aca="false">IFERROR(LEFT(J67,FIND(",",J67)-1),J67)</f>
        <v>Children &amp; Family Movies</v>
      </c>
      <c r="N67" s="7" t="n">
        <f aca="false">IF(B67="Movie",IFERROR(VALUE(LEFT(I67,FIND(" ",I67)-1)),""),"")</f>
        <v>107</v>
      </c>
      <c r="O67" s="7" t="str">
        <f aca="false">IF(B67="TV Show",IFERROR(VALUE(LEFT(I67,FIND(" ",I67)-1)),""),"")</f>
        <v/>
      </c>
      <c r="P67" s="7" t="n">
        <f aca="false">IF(K67="","",K67-G67)</f>
        <v>6</v>
      </c>
    </row>
    <row r="68" customFormat="false" ht="15" hidden="false" customHeight="false" outlineLevel="0" collapsed="false">
      <c r="A68" s="7" t="n">
        <v>81011682</v>
      </c>
      <c r="B68" s="7" t="s">
        <v>78</v>
      </c>
      <c r="C68" s="7" t="s">
        <v>296</v>
      </c>
      <c r="E68" s="7" t="s">
        <v>26</v>
      </c>
      <c r="F68" s="7" t="s">
        <v>288</v>
      </c>
      <c r="G68" s="7" t="n">
        <v>2018</v>
      </c>
      <c r="H68" s="7" t="s">
        <v>48</v>
      </c>
      <c r="I68" s="7" t="s">
        <v>82</v>
      </c>
      <c r="J68" s="7" t="s">
        <v>164</v>
      </c>
      <c r="K68" s="7" t="n">
        <f aca="false">IFERROR(VALUE(RIGHT(TRIM(F68),4)),"")</f>
        <v>2018</v>
      </c>
      <c r="L68" s="7" t="str">
        <f aca="false">IF(TRIM(E68)="","Unknown",IFERROR(LEFT(TRIM(E68),FIND(",",TRIM(E68))-1),TRIM(E68)))</f>
        <v>United States</v>
      </c>
      <c r="M68" s="7" t="str">
        <f aca="false">IFERROR(LEFT(J68,FIND(",",J68)-1),J68)</f>
        <v>Docuseries</v>
      </c>
      <c r="N68" s="7" t="str">
        <f aca="false">IF(B68="Movie",IFERROR(VALUE(LEFT(I68,FIND(" ",I68)-1)),""),"")</f>
        <v/>
      </c>
      <c r="O68" s="7" t="n">
        <f aca="false">IF(B68="TV Show",IFERROR(VALUE(LEFT(I68,FIND(" ",I68)-1)),""),"")</f>
        <v>1</v>
      </c>
      <c r="P68" s="7" t="n">
        <f aca="false">IF(K68="","",K68-G68)</f>
        <v>0</v>
      </c>
    </row>
    <row r="69" customFormat="false" ht="15" hidden="false" customHeight="false" outlineLevel="0" collapsed="false">
      <c r="A69" s="7" t="n">
        <v>80128317</v>
      </c>
      <c r="B69" s="7" t="s">
        <v>78</v>
      </c>
      <c r="C69" s="7" t="s">
        <v>297</v>
      </c>
      <c r="E69" s="7" t="s">
        <v>26</v>
      </c>
      <c r="F69" s="7" t="s">
        <v>288</v>
      </c>
      <c r="G69" s="7" t="n">
        <v>2016</v>
      </c>
      <c r="H69" s="7" t="s">
        <v>50</v>
      </c>
      <c r="I69" s="7" t="s">
        <v>82</v>
      </c>
      <c r="J69" s="7" t="s">
        <v>164</v>
      </c>
      <c r="K69" s="7" t="n">
        <f aca="false">IFERROR(VALUE(RIGHT(TRIM(F69),4)),"")</f>
        <v>2018</v>
      </c>
      <c r="L69" s="7" t="str">
        <f aca="false">IF(TRIM(E69)="","Unknown",IFERROR(LEFT(TRIM(E69),FIND(",",TRIM(E69))-1),TRIM(E69)))</f>
        <v>United States</v>
      </c>
      <c r="M69" s="7" t="str">
        <f aca="false">IFERROR(LEFT(J69,FIND(",",J69)-1),J69)</f>
        <v>Docuseries</v>
      </c>
      <c r="N69" s="7" t="str">
        <f aca="false">IF(B69="Movie",IFERROR(VALUE(LEFT(I69,FIND(" ",I69)-1)),""),"")</f>
        <v/>
      </c>
      <c r="O69" s="7" t="n">
        <f aca="false">IF(B69="TV Show",IFERROR(VALUE(LEFT(I69,FIND(" ",I69)-1)),""),"")</f>
        <v>1</v>
      </c>
      <c r="P69" s="7" t="n">
        <f aca="false">IF(K69="","",K69-G69)</f>
        <v>2</v>
      </c>
    </row>
    <row r="70" customFormat="false" ht="15" hidden="false" customHeight="false" outlineLevel="0" collapsed="false">
      <c r="A70" s="7" t="n">
        <v>81027384</v>
      </c>
      <c r="B70" s="7" t="s">
        <v>78</v>
      </c>
      <c r="C70" s="7" t="s">
        <v>298</v>
      </c>
      <c r="E70" s="7" t="s">
        <v>26</v>
      </c>
      <c r="F70" s="7" t="s">
        <v>288</v>
      </c>
      <c r="G70" s="7" t="n">
        <v>2017</v>
      </c>
      <c r="H70" s="7" t="s">
        <v>49</v>
      </c>
      <c r="I70" s="7" t="s">
        <v>82</v>
      </c>
      <c r="J70" s="7" t="s">
        <v>164</v>
      </c>
      <c r="K70" s="7" t="n">
        <f aca="false">IFERROR(VALUE(RIGHT(TRIM(F70),4)),"")</f>
        <v>2018</v>
      </c>
      <c r="L70" s="7" t="str">
        <f aca="false">IF(TRIM(E70)="","Unknown",IFERROR(LEFT(TRIM(E70),FIND(",",TRIM(E70))-1),TRIM(E70)))</f>
        <v>United States</v>
      </c>
      <c r="M70" s="7" t="str">
        <f aca="false">IFERROR(LEFT(J70,FIND(",",J70)-1),J70)</f>
        <v>Docuseries</v>
      </c>
      <c r="N70" s="7" t="str">
        <f aca="false">IF(B70="Movie",IFERROR(VALUE(LEFT(I70,FIND(" ",I70)-1)),""),"")</f>
        <v/>
      </c>
      <c r="O70" s="7" t="n">
        <f aca="false">IF(B70="TV Show",IFERROR(VALUE(LEFT(I70,FIND(" ",I70)-1)),""),"")</f>
        <v>1</v>
      </c>
      <c r="P70" s="7" t="n">
        <f aca="false">IF(K70="","",K70-G70)</f>
        <v>1</v>
      </c>
    </row>
    <row r="71" customFormat="false" ht="15" hidden="false" customHeight="false" outlineLevel="0" collapsed="false">
      <c r="A71" s="7" t="n">
        <v>80030186</v>
      </c>
      <c r="B71" s="7" t="s">
        <v>78</v>
      </c>
      <c r="C71" s="7" t="s">
        <v>299</v>
      </c>
      <c r="E71" s="7" t="s">
        <v>26</v>
      </c>
      <c r="F71" s="7" t="s">
        <v>288</v>
      </c>
      <c r="G71" s="7" t="n">
        <v>2015</v>
      </c>
      <c r="H71" s="7" t="s">
        <v>50</v>
      </c>
      <c r="I71" s="7" t="s">
        <v>82</v>
      </c>
      <c r="J71" s="7" t="s">
        <v>164</v>
      </c>
      <c r="K71" s="7" t="n">
        <f aca="false">IFERROR(VALUE(RIGHT(TRIM(F71),4)),"")</f>
        <v>2018</v>
      </c>
      <c r="L71" s="7" t="str">
        <f aca="false">IF(TRIM(E71)="","Unknown",IFERROR(LEFT(TRIM(E71),FIND(",",TRIM(E71))-1),TRIM(E71)))</f>
        <v>United States</v>
      </c>
      <c r="M71" s="7" t="str">
        <f aca="false">IFERROR(LEFT(J71,FIND(",",J71)-1),J71)</f>
        <v>Docuseries</v>
      </c>
      <c r="N71" s="7" t="str">
        <f aca="false">IF(B71="Movie",IFERROR(VALUE(LEFT(I71,FIND(" ",I71)-1)),""),"")</f>
        <v/>
      </c>
      <c r="O71" s="7" t="n">
        <f aca="false">IF(B71="TV Show",IFERROR(VALUE(LEFT(I71,FIND(" ",I71)-1)),""),"")</f>
        <v>1</v>
      </c>
      <c r="P71" s="7" t="n">
        <f aca="false">IF(K71="","",K71-G71)</f>
        <v>3</v>
      </c>
    </row>
    <row r="72" customFormat="false" ht="15" hidden="false" customHeight="false" outlineLevel="0" collapsed="false">
      <c r="A72" s="7" t="n">
        <v>80116921</v>
      </c>
      <c r="B72" s="7" t="s">
        <v>78</v>
      </c>
      <c r="C72" s="7" t="s">
        <v>300</v>
      </c>
      <c r="E72" s="7" t="s">
        <v>26</v>
      </c>
      <c r="F72" s="7" t="s">
        <v>288</v>
      </c>
      <c r="G72" s="7" t="n">
        <v>2017</v>
      </c>
      <c r="H72" s="7" t="s">
        <v>55</v>
      </c>
      <c r="I72" s="7" t="s">
        <v>82</v>
      </c>
      <c r="J72" s="7" t="s">
        <v>191</v>
      </c>
      <c r="K72" s="7" t="n">
        <f aca="false">IFERROR(VALUE(RIGHT(TRIM(F72),4)),"")</f>
        <v>2018</v>
      </c>
      <c r="L72" s="7" t="str">
        <f aca="false">IF(TRIM(E72)="","Unknown",IFERROR(LEFT(TRIM(E72),FIND(",",TRIM(E72))-1),TRIM(E72)))</f>
        <v>United States</v>
      </c>
      <c r="M72" s="7" t="str">
        <f aca="false">IFERROR(LEFT(J72,FIND(",",J72)-1),J72)</f>
        <v>Kids' TV</v>
      </c>
      <c r="N72" s="7" t="str">
        <f aca="false">IF(B72="Movie",IFERROR(VALUE(LEFT(I72,FIND(" ",I72)-1)),""),"")</f>
        <v/>
      </c>
      <c r="O72" s="7" t="n">
        <f aca="false">IF(B72="TV Show",IFERROR(VALUE(LEFT(I72,FIND(" ",I72)-1)),""),"")</f>
        <v>1</v>
      </c>
      <c r="P72" s="7" t="n">
        <f aca="false">IF(K72="","",K72-G72)</f>
        <v>1</v>
      </c>
    </row>
    <row r="73" customFormat="false" ht="15" hidden="false" customHeight="false" outlineLevel="0" collapsed="false">
      <c r="A73" s="7" t="n">
        <v>80187061</v>
      </c>
      <c r="B73" s="7" t="s">
        <v>68</v>
      </c>
      <c r="C73" s="7" t="s">
        <v>301</v>
      </c>
      <c r="D73" s="7" t="s">
        <v>302</v>
      </c>
      <c r="E73" s="7" t="s">
        <v>32</v>
      </c>
      <c r="F73" s="7" t="s">
        <v>303</v>
      </c>
      <c r="G73" s="7" t="n">
        <v>2017</v>
      </c>
      <c r="H73" s="7" t="s">
        <v>48</v>
      </c>
      <c r="I73" s="7" t="s">
        <v>247</v>
      </c>
      <c r="J73" s="7" t="s">
        <v>304</v>
      </c>
      <c r="K73" s="7" t="n">
        <f aca="false">IFERROR(VALUE(RIGHT(TRIM(F73),4)),"")</f>
        <v>2017</v>
      </c>
      <c r="L73" s="7" t="str">
        <f aca="false">IF(TRIM(E73)="","Unknown",IFERROR(LEFT(TRIM(E73),FIND(",",TRIM(E73))-1),TRIM(E73)))</f>
        <v>South Korea</v>
      </c>
      <c r="M73" s="7" t="str">
        <f aca="false">IFERROR(LEFT(J73,FIND(",",J73)-1),J73)</f>
        <v>Dramas</v>
      </c>
      <c r="N73" s="7" t="n">
        <f aca="false">IF(B73="Movie",IFERROR(VALUE(LEFT(I73,FIND(" ",I73)-1)),""),"")</f>
        <v>130</v>
      </c>
      <c r="O73" s="7" t="str">
        <f aca="false">IF(B73="TV Show",IFERROR(VALUE(LEFT(I73,FIND(" ",I73)-1)),""),"")</f>
        <v/>
      </c>
      <c r="P73" s="7" t="n">
        <f aca="false">IF(K73="","",K73-G73)</f>
        <v>0</v>
      </c>
    </row>
    <row r="74" customFormat="false" ht="15" hidden="false" customHeight="false" outlineLevel="0" collapsed="false">
      <c r="A74" s="7" t="n">
        <v>80181555</v>
      </c>
      <c r="B74" s="7" t="s">
        <v>78</v>
      </c>
      <c r="C74" s="7" t="s">
        <v>305</v>
      </c>
      <c r="E74" s="7" t="s">
        <v>28</v>
      </c>
      <c r="F74" s="7" t="s">
        <v>303</v>
      </c>
      <c r="G74" s="7" t="n">
        <v>2017</v>
      </c>
      <c r="H74" s="7" t="s">
        <v>49</v>
      </c>
      <c r="I74" s="7" t="s">
        <v>82</v>
      </c>
      <c r="J74" s="7" t="s">
        <v>306</v>
      </c>
      <c r="K74" s="7" t="n">
        <f aca="false">IFERROR(VALUE(RIGHT(TRIM(F74),4)),"")</f>
        <v>2017</v>
      </c>
      <c r="L74" s="7" t="str">
        <f aca="false">IF(TRIM(E74)="","Unknown",IFERROR(LEFT(TRIM(E74),FIND(",",TRIM(E74))-1),TRIM(E74)))</f>
        <v>United Kingdom</v>
      </c>
      <c r="M74" s="7" t="str">
        <f aca="false">IFERROR(LEFT(J74,FIND(",",J74)-1),J74)</f>
        <v>British TV Shows</v>
      </c>
      <c r="N74" s="7" t="str">
        <f aca="false">IF(B74="Movie",IFERROR(VALUE(LEFT(I74,FIND(" ",I74)-1)),""),"")</f>
        <v/>
      </c>
      <c r="O74" s="7" t="n">
        <f aca="false">IF(B74="TV Show",IFERROR(VALUE(LEFT(I74,FIND(" ",I74)-1)),""),"")</f>
        <v>1</v>
      </c>
      <c r="P74" s="7" t="n">
        <f aca="false">IF(K74="","",K74-G74)</f>
        <v>0</v>
      </c>
    </row>
    <row r="75" customFormat="false" ht="15" hidden="false" customHeight="false" outlineLevel="0" collapsed="false">
      <c r="A75" s="7" t="n">
        <v>80081155</v>
      </c>
      <c r="B75" s="7" t="s">
        <v>68</v>
      </c>
      <c r="C75" s="7" t="s">
        <v>307</v>
      </c>
      <c r="D75" s="7" t="s">
        <v>308</v>
      </c>
      <c r="E75" s="7" t="s">
        <v>309</v>
      </c>
      <c r="F75" s="7" t="s">
        <v>310</v>
      </c>
      <c r="G75" s="7" t="n">
        <v>2016</v>
      </c>
      <c r="H75" s="7" t="s">
        <v>48</v>
      </c>
      <c r="I75" s="7" t="s">
        <v>311</v>
      </c>
      <c r="J75" s="7" t="s">
        <v>39</v>
      </c>
      <c r="K75" s="7" t="n">
        <f aca="false">IFERROR(VALUE(RIGHT(TRIM(F75),4)),"")</f>
        <v>2016</v>
      </c>
      <c r="L75" s="7" t="str">
        <f aca="false">IF(TRIM(E75)="","Unknown",IFERROR(LEFT(TRIM(E75),FIND(",",TRIM(E75))-1),TRIM(E75)))</f>
        <v>Denmark</v>
      </c>
      <c r="M75" s="7" t="str">
        <f aca="false">IFERROR(LEFT(J75,FIND(",",J75)-1),J75)</f>
        <v>Documentaries</v>
      </c>
      <c r="N75" s="7" t="n">
        <f aca="false">IF(B75="Movie",IFERROR(VALUE(LEFT(I75,FIND(" ",I75)-1)),""),"")</f>
        <v>92</v>
      </c>
      <c r="O75" s="7" t="str">
        <f aca="false">IF(B75="TV Show",IFERROR(VALUE(LEFT(I75,FIND(" ",I75)-1)),""),"")</f>
        <v/>
      </c>
      <c r="P75" s="7" t="n">
        <f aca="false">IF(K75="","",K75-G75)</f>
        <v>0</v>
      </c>
    </row>
    <row r="76" customFormat="false" ht="15" hidden="false" customHeight="false" outlineLevel="0" collapsed="false">
      <c r="A76" s="7" t="n">
        <v>80184358</v>
      </c>
      <c r="B76" s="7" t="s">
        <v>78</v>
      </c>
      <c r="C76" s="7" t="s">
        <v>312</v>
      </c>
      <c r="F76" s="7" t="s">
        <v>313</v>
      </c>
      <c r="G76" s="7" t="n">
        <v>2014</v>
      </c>
      <c r="H76" s="7" t="s">
        <v>49</v>
      </c>
      <c r="I76" s="7" t="s">
        <v>82</v>
      </c>
      <c r="J76" s="7" t="s">
        <v>314</v>
      </c>
      <c r="K76" s="7" t="n">
        <f aca="false">IFERROR(VALUE(RIGHT(TRIM(F76),4)),"")</f>
        <v>2018</v>
      </c>
      <c r="L76" s="7" t="str">
        <f aca="false">IF(TRIM(E76)="","Unknown",IFERROR(LEFT(TRIM(E76),FIND(",",TRIM(E76))-1),TRIM(E76)))</f>
        <v>Unknown</v>
      </c>
      <c r="M76" s="7" t="str">
        <f aca="false">IFERROR(LEFT(J76,FIND(",",J76)-1),J76)</f>
        <v>International TV Shows</v>
      </c>
      <c r="N76" s="7" t="str">
        <f aca="false">IF(B76="Movie",IFERROR(VALUE(LEFT(I76,FIND(" ",I76)-1)),""),"")</f>
        <v/>
      </c>
      <c r="O76" s="7" t="n">
        <f aca="false">IF(B76="TV Show",IFERROR(VALUE(LEFT(I76,FIND(" ",I76)-1)),""),"")</f>
        <v>1</v>
      </c>
      <c r="P76" s="7" t="n">
        <f aca="false">IF(K76="","",K76-G76)</f>
        <v>4</v>
      </c>
    </row>
    <row r="77" customFormat="false" ht="15" hidden="false" customHeight="false" outlineLevel="0" collapsed="false">
      <c r="A77" s="7" t="n">
        <v>80198585</v>
      </c>
      <c r="B77" s="7" t="s">
        <v>68</v>
      </c>
      <c r="C77" s="7" t="s">
        <v>315</v>
      </c>
      <c r="D77" s="7" t="s">
        <v>316</v>
      </c>
      <c r="E77" s="7" t="s">
        <v>317</v>
      </c>
      <c r="F77" s="7" t="s">
        <v>313</v>
      </c>
      <c r="G77" s="7" t="n">
        <v>2018</v>
      </c>
      <c r="H77" s="7" t="s">
        <v>48</v>
      </c>
      <c r="I77" s="7" t="s">
        <v>138</v>
      </c>
      <c r="J77" s="7" t="s">
        <v>40</v>
      </c>
      <c r="K77" s="7" t="n">
        <f aca="false">IFERROR(VALUE(RIGHT(TRIM(F77),4)),"")</f>
        <v>2018</v>
      </c>
      <c r="L77" s="7" t="str">
        <f aca="false">IF(TRIM(E77)="","Unknown",IFERROR(LEFT(TRIM(E77),FIND(",",TRIM(E77))-1),TRIM(E77)))</f>
        <v>United Kingdom</v>
      </c>
      <c r="M77" s="7" t="str">
        <f aca="false">IFERROR(LEFT(J77,FIND(",",J77)-1),J77)</f>
        <v>Action &amp; Adventure</v>
      </c>
      <c r="N77" s="7" t="n">
        <f aca="false">IF(B77="Movie",IFERROR(VALUE(LEFT(I77,FIND(" ",I77)-1)),""),"")</f>
        <v>96</v>
      </c>
      <c r="O77" s="7" t="str">
        <f aca="false">IF(B77="TV Show",IFERROR(VALUE(LEFT(I77,FIND(" ",I77)-1)),""),"")</f>
        <v/>
      </c>
      <c r="P77" s="7" t="n">
        <f aca="false">IF(K77="","",K77-G77)</f>
        <v>0</v>
      </c>
    </row>
    <row r="78" customFormat="false" ht="15" hidden="false" customHeight="false" outlineLevel="0" collapsed="false">
      <c r="A78" s="7" t="n">
        <v>70233894</v>
      </c>
      <c r="B78" s="7" t="s">
        <v>68</v>
      </c>
      <c r="C78" s="7" t="s">
        <v>318</v>
      </c>
      <c r="D78" s="7" t="s">
        <v>319</v>
      </c>
      <c r="E78" s="7" t="s">
        <v>320</v>
      </c>
      <c r="F78" s="7" t="s">
        <v>321</v>
      </c>
      <c r="G78" s="7" t="n">
        <v>2010</v>
      </c>
      <c r="H78" s="7" t="s">
        <v>53</v>
      </c>
      <c r="I78" s="7" t="s">
        <v>168</v>
      </c>
      <c r="J78" s="7" t="s">
        <v>322</v>
      </c>
      <c r="K78" s="7" t="n">
        <f aca="false">IFERROR(VALUE(RIGHT(TRIM(F78),4)),"")</f>
        <v>2018</v>
      </c>
      <c r="L78" s="7" t="str">
        <f aca="false">IF(TRIM(E78)="","Unknown",IFERROR(LEFT(TRIM(E78),FIND(",",TRIM(E78))-1),TRIM(E78)))</f>
        <v>Turkey</v>
      </c>
      <c r="M78" s="7" t="str">
        <f aca="false">IFERROR(LEFT(J78,FIND(",",J78)-1),J78)</f>
        <v>Action &amp; Adventure</v>
      </c>
      <c r="N78" s="7" t="n">
        <f aca="false">IF(B78="Movie",IFERROR(VALUE(LEFT(I78,FIND(" ",I78)-1)),""),"")</f>
        <v>112</v>
      </c>
      <c r="O78" s="7" t="str">
        <f aca="false">IF(B78="TV Show",IFERROR(VALUE(LEFT(I78,FIND(" ",I78)-1)),""),"")</f>
        <v/>
      </c>
      <c r="P78" s="7" t="n">
        <f aca="false">IF(K78="","",K78-G78)</f>
        <v>8</v>
      </c>
    </row>
    <row r="79" customFormat="false" ht="15" hidden="false" customHeight="false" outlineLevel="0" collapsed="false">
      <c r="A79" s="7" t="n">
        <v>81011955</v>
      </c>
      <c r="B79" s="7" t="s">
        <v>68</v>
      </c>
      <c r="C79" s="7" t="s">
        <v>323</v>
      </c>
      <c r="D79" s="7" t="s">
        <v>324</v>
      </c>
      <c r="E79" s="7" t="s">
        <v>325</v>
      </c>
      <c r="F79" s="7" t="s">
        <v>321</v>
      </c>
      <c r="G79" s="7" t="n">
        <v>2018</v>
      </c>
      <c r="H79" s="7" t="s">
        <v>48</v>
      </c>
      <c r="I79" s="7" t="s">
        <v>326</v>
      </c>
      <c r="J79" s="7" t="s">
        <v>188</v>
      </c>
      <c r="K79" s="7" t="n">
        <f aca="false">IFERROR(VALUE(RIGHT(TRIM(F79),4)),"")</f>
        <v>2018</v>
      </c>
      <c r="L79" s="7" t="str">
        <f aca="false">IF(TRIM(E79)="","Unknown",IFERROR(LEFT(TRIM(E79),FIND(",",TRIM(E79))-1),TRIM(E79)))</f>
        <v>Brazil</v>
      </c>
      <c r="M79" s="7" t="str">
        <f aca="false">IFERROR(LEFT(J79,FIND(",",J79)-1),J79)</f>
        <v>Dramas</v>
      </c>
      <c r="N79" s="7" t="n">
        <f aca="false">IF(B79="Movie",IFERROR(VALUE(LEFT(I79,FIND(" ",I79)-1)),""),"")</f>
        <v>111</v>
      </c>
      <c r="O79" s="7" t="str">
        <f aca="false">IF(B79="TV Show",IFERROR(VALUE(LEFT(I79,FIND(" ",I79)-1)),""),"")</f>
        <v/>
      </c>
      <c r="P79" s="7" t="n">
        <f aca="false">IF(K79="","",K79-G79)</f>
        <v>0</v>
      </c>
    </row>
    <row r="80" customFormat="false" ht="15" hidden="false" customHeight="false" outlineLevel="0" collapsed="false">
      <c r="A80" s="7" t="n">
        <v>80128722</v>
      </c>
      <c r="B80" s="7" t="s">
        <v>68</v>
      </c>
      <c r="C80" s="7" t="s">
        <v>327</v>
      </c>
      <c r="D80" s="7" t="s">
        <v>328</v>
      </c>
      <c r="E80" s="7" t="s">
        <v>26</v>
      </c>
      <c r="F80" s="7" t="s">
        <v>329</v>
      </c>
      <c r="G80" s="7" t="n">
        <v>2017</v>
      </c>
      <c r="H80" s="7" t="s">
        <v>48</v>
      </c>
      <c r="I80" s="7" t="s">
        <v>330</v>
      </c>
      <c r="J80" s="7" t="s">
        <v>147</v>
      </c>
      <c r="K80" s="7" t="n">
        <f aca="false">IFERROR(VALUE(RIGHT(TRIM(F80),4)),"")</f>
        <v>2017</v>
      </c>
      <c r="L80" s="7" t="str">
        <f aca="false">IF(TRIM(E80)="","Unknown",IFERROR(LEFT(TRIM(E80),FIND(",",TRIM(E80))-1),TRIM(E80)))</f>
        <v>United States</v>
      </c>
      <c r="M80" s="7" t="str">
        <f aca="false">IFERROR(LEFT(J80,FIND(",",J80)-1),J80)</f>
        <v>Horror Movies</v>
      </c>
      <c r="N80" s="7" t="n">
        <f aca="false">IF(B80="Movie",IFERROR(VALUE(LEFT(I80,FIND(" ",I80)-1)),""),"")</f>
        <v>103</v>
      </c>
      <c r="O80" s="7" t="str">
        <f aca="false">IF(B80="TV Show",IFERROR(VALUE(LEFT(I80,FIND(" ",I80)-1)),""),"")</f>
        <v/>
      </c>
      <c r="P80" s="7" t="n">
        <f aca="false">IF(K80="","",K80-G80)</f>
        <v>0</v>
      </c>
    </row>
    <row r="81" customFormat="false" ht="15" hidden="false" customHeight="false" outlineLevel="0" collapsed="false">
      <c r="A81" s="7" t="n">
        <v>80182115</v>
      </c>
      <c r="B81" s="7" t="s">
        <v>68</v>
      </c>
      <c r="C81" s="7" t="s">
        <v>331</v>
      </c>
      <c r="D81" s="7" t="s">
        <v>332</v>
      </c>
      <c r="E81" s="7" t="s">
        <v>26</v>
      </c>
      <c r="F81" s="7" t="s">
        <v>329</v>
      </c>
      <c r="G81" s="7" t="n">
        <v>2017</v>
      </c>
      <c r="H81" s="7" t="s">
        <v>49</v>
      </c>
      <c r="I81" s="7" t="s">
        <v>333</v>
      </c>
      <c r="J81" s="7" t="s">
        <v>39</v>
      </c>
      <c r="K81" s="7" t="n">
        <f aca="false">IFERROR(VALUE(RIGHT(TRIM(F81),4)),"")</f>
        <v>2017</v>
      </c>
      <c r="L81" s="7" t="str">
        <f aca="false">IF(TRIM(E81)="","Unknown",IFERROR(LEFT(TRIM(E81),FIND(",",TRIM(E81))-1),TRIM(E81)))</f>
        <v>United States</v>
      </c>
      <c r="M81" s="7" t="str">
        <f aca="false">IFERROR(LEFT(J81,FIND(",",J81)-1),J81)</f>
        <v>Documentaries</v>
      </c>
      <c r="N81" s="7" t="n">
        <f aca="false">IF(B81="Movie",IFERROR(VALUE(LEFT(I81,FIND(" ",I81)-1)),""),"")</f>
        <v>40</v>
      </c>
      <c r="O81" s="7" t="str">
        <f aca="false">IF(B81="TV Show",IFERROR(VALUE(LEFT(I81,FIND(" ",I81)-1)),""),"")</f>
        <v/>
      </c>
      <c r="P81" s="7" t="n">
        <f aca="false">IF(K81="","",K81-G81)</f>
        <v>0</v>
      </c>
    </row>
    <row r="82" customFormat="false" ht="15" hidden="false" customHeight="false" outlineLevel="0" collapsed="false">
      <c r="A82" s="7" t="n">
        <v>80163293</v>
      </c>
      <c r="B82" s="7" t="s">
        <v>78</v>
      </c>
      <c r="C82" s="7" t="s">
        <v>334</v>
      </c>
      <c r="F82" s="7" t="s">
        <v>329</v>
      </c>
      <c r="G82" s="7" t="n">
        <v>2015</v>
      </c>
      <c r="H82" s="7" t="s">
        <v>50</v>
      </c>
      <c r="I82" s="7" t="s">
        <v>82</v>
      </c>
      <c r="J82" s="7" t="s">
        <v>335</v>
      </c>
      <c r="K82" s="7" t="n">
        <f aca="false">IFERROR(VALUE(RIGHT(TRIM(F82),4)),"")</f>
        <v>2017</v>
      </c>
      <c r="L82" s="7" t="str">
        <f aca="false">IF(TRIM(E82)="","Unknown",IFERROR(LEFT(TRIM(E82),FIND(",",TRIM(E82))-1),TRIM(E82)))</f>
        <v>Unknown</v>
      </c>
      <c r="M82" s="7" t="str">
        <f aca="false">IFERROR(LEFT(J82,FIND(",",J82)-1),J82)</f>
        <v>International TV Shows</v>
      </c>
      <c r="N82" s="7" t="str">
        <f aca="false">IF(B82="Movie",IFERROR(VALUE(LEFT(I82,FIND(" ",I82)-1)),""),"")</f>
        <v/>
      </c>
      <c r="O82" s="7" t="n">
        <f aca="false">IF(B82="TV Show",IFERROR(VALUE(LEFT(I82,FIND(" ",I82)-1)),""),"")</f>
        <v>1</v>
      </c>
      <c r="P82" s="7" t="n">
        <f aca="false">IF(K82="","",K82-G82)</f>
        <v>2</v>
      </c>
    </row>
    <row r="83" customFormat="false" ht="15" hidden="false" customHeight="false" outlineLevel="0" collapsed="false">
      <c r="A83" s="7" t="n">
        <v>80104068</v>
      </c>
      <c r="B83" s="7" t="s">
        <v>68</v>
      </c>
      <c r="C83" s="7" t="s">
        <v>336</v>
      </c>
      <c r="D83" s="7" t="s">
        <v>337</v>
      </c>
      <c r="E83" s="7" t="s">
        <v>26</v>
      </c>
      <c r="F83" s="7" t="s">
        <v>329</v>
      </c>
      <c r="G83" s="7" t="n">
        <v>2017</v>
      </c>
      <c r="H83" s="7" t="s">
        <v>49</v>
      </c>
      <c r="I83" s="7" t="s">
        <v>330</v>
      </c>
      <c r="J83" s="7" t="s">
        <v>269</v>
      </c>
      <c r="K83" s="7" t="n">
        <f aca="false">IFERROR(VALUE(RIGHT(TRIM(F83),4)),"")</f>
        <v>2017</v>
      </c>
      <c r="L83" s="7" t="str">
        <f aca="false">IF(TRIM(E83)="","Unknown",IFERROR(LEFT(TRIM(E83),FIND(",",TRIM(E83))-1),TRIM(E83)))</f>
        <v>United States</v>
      </c>
      <c r="M83" s="7" t="str">
        <f aca="false">IFERROR(LEFT(J83,FIND(",",J83)-1),J83)</f>
        <v>Dramas</v>
      </c>
      <c r="N83" s="7" t="n">
        <f aca="false">IF(B83="Movie",IFERROR(VALUE(LEFT(I83,FIND(" ",I83)-1)),""),"")</f>
        <v>103</v>
      </c>
      <c r="O83" s="7" t="str">
        <f aca="false">IF(B83="TV Show",IFERROR(VALUE(LEFT(I83,FIND(" ",I83)-1)),""),"")</f>
        <v/>
      </c>
      <c r="P83" s="7" t="n">
        <f aca="false">IF(K83="","",K83-G83)</f>
        <v>0</v>
      </c>
    </row>
    <row r="84" customFormat="false" ht="15" hidden="false" customHeight="false" outlineLevel="0" collapsed="false">
      <c r="A84" s="7" t="n">
        <v>80119349</v>
      </c>
      <c r="B84" s="7" t="s">
        <v>68</v>
      </c>
      <c r="C84" s="7" t="s">
        <v>338</v>
      </c>
      <c r="D84" s="7" t="s">
        <v>339</v>
      </c>
      <c r="F84" s="7" t="s">
        <v>329</v>
      </c>
      <c r="G84" s="7" t="n">
        <v>2017</v>
      </c>
      <c r="H84" s="7" t="s">
        <v>49</v>
      </c>
      <c r="I84" s="7" t="s">
        <v>340</v>
      </c>
      <c r="J84" s="7" t="s">
        <v>341</v>
      </c>
      <c r="K84" s="7" t="n">
        <f aca="false">IFERROR(VALUE(RIGHT(TRIM(F84),4)),"")</f>
        <v>2017</v>
      </c>
      <c r="L84" s="7" t="str">
        <f aca="false">IF(TRIM(E84)="","Unknown",IFERROR(LEFT(TRIM(E84),FIND(",",TRIM(E84))-1),TRIM(E84)))</f>
        <v>Unknown</v>
      </c>
      <c r="M84" s="7" t="str">
        <f aca="false">IFERROR(LEFT(J84,FIND(",",J84)-1),J84)</f>
        <v>Documentaries</v>
      </c>
      <c r="N84" s="7" t="n">
        <f aca="false">IF(B84="Movie",IFERROR(VALUE(LEFT(I84,FIND(" ",I84)-1)),""),"")</f>
        <v>85</v>
      </c>
      <c r="O84" s="7" t="str">
        <f aca="false">IF(B84="TV Show",IFERROR(VALUE(LEFT(I84,FIND(" ",I84)-1)),""),"")</f>
        <v/>
      </c>
      <c r="P84" s="7" t="n">
        <f aca="false">IF(K84="","",K84-G84)</f>
        <v>0</v>
      </c>
    </row>
    <row r="85" customFormat="false" ht="15" hidden="false" customHeight="false" outlineLevel="0" collapsed="false">
      <c r="A85" s="7" t="n">
        <v>80199032</v>
      </c>
      <c r="B85" s="7" t="s">
        <v>78</v>
      </c>
      <c r="C85" s="7" t="s">
        <v>342</v>
      </c>
      <c r="E85" s="7" t="s">
        <v>28</v>
      </c>
      <c r="F85" s="7" t="s">
        <v>329</v>
      </c>
      <c r="G85" s="7" t="n">
        <v>2017</v>
      </c>
      <c r="H85" s="7" t="s">
        <v>49</v>
      </c>
      <c r="I85" s="7" t="s">
        <v>82</v>
      </c>
      <c r="J85" s="7" t="s">
        <v>306</v>
      </c>
      <c r="K85" s="7" t="n">
        <f aca="false">IFERROR(VALUE(RIGHT(TRIM(F85),4)),"")</f>
        <v>2017</v>
      </c>
      <c r="L85" s="7" t="str">
        <f aca="false">IF(TRIM(E85)="","Unknown",IFERROR(LEFT(TRIM(E85),FIND(",",TRIM(E85))-1),TRIM(E85)))</f>
        <v>United Kingdom</v>
      </c>
      <c r="M85" s="7" t="str">
        <f aca="false">IFERROR(LEFT(J85,FIND(",",J85)-1),J85)</f>
        <v>British TV Shows</v>
      </c>
      <c r="N85" s="7" t="str">
        <f aca="false">IF(B85="Movie",IFERROR(VALUE(LEFT(I85,FIND(" ",I85)-1)),""),"")</f>
        <v/>
      </c>
      <c r="O85" s="7" t="n">
        <f aca="false">IF(B85="TV Show",IFERROR(VALUE(LEFT(I85,FIND(" ",I85)-1)),""),"")</f>
        <v>1</v>
      </c>
      <c r="P85" s="7" t="n">
        <f aca="false">IF(K85="","",K85-G85)</f>
        <v>0</v>
      </c>
    </row>
    <row r="86" customFormat="false" ht="15" hidden="false" customHeight="false" outlineLevel="0" collapsed="false">
      <c r="A86" s="7" t="n">
        <v>80180449</v>
      </c>
      <c r="B86" s="7" t="s">
        <v>78</v>
      </c>
      <c r="C86" s="7" t="s">
        <v>343</v>
      </c>
      <c r="F86" s="7" t="s">
        <v>329</v>
      </c>
      <c r="G86" s="7" t="n">
        <v>2014</v>
      </c>
      <c r="H86" s="7" t="s">
        <v>49</v>
      </c>
      <c r="I86" s="7" t="s">
        <v>82</v>
      </c>
      <c r="J86" s="7" t="s">
        <v>344</v>
      </c>
      <c r="K86" s="7" t="n">
        <f aca="false">IFERROR(VALUE(RIGHT(TRIM(F86),4)),"")</f>
        <v>2017</v>
      </c>
      <c r="L86" s="7" t="str">
        <f aca="false">IF(TRIM(E86)="","Unknown",IFERROR(LEFT(TRIM(E86),FIND(",",TRIM(E86))-1),TRIM(E86)))</f>
        <v>Unknown</v>
      </c>
      <c r="M86" s="7" t="str">
        <f aca="false">IFERROR(LEFT(J86,FIND(",",J86)-1),J86)</f>
        <v>International TV Shows</v>
      </c>
      <c r="N86" s="7" t="str">
        <f aca="false">IF(B86="Movie",IFERROR(VALUE(LEFT(I86,FIND(" ",I86)-1)),""),"")</f>
        <v/>
      </c>
      <c r="O86" s="7" t="n">
        <f aca="false">IF(B86="TV Show",IFERROR(VALUE(LEFT(I86,FIND(" ",I86)-1)),""),"")</f>
        <v>1</v>
      </c>
      <c r="P86" s="7" t="n">
        <f aca="false">IF(K86="","",K86-G86)</f>
        <v>3</v>
      </c>
    </row>
    <row r="87" customFormat="false" ht="15" hidden="false" customHeight="false" outlineLevel="0" collapsed="false">
      <c r="A87" s="7" t="n">
        <v>80019931</v>
      </c>
      <c r="B87" s="7" t="s">
        <v>68</v>
      </c>
      <c r="C87" s="7" t="s">
        <v>345</v>
      </c>
      <c r="D87" s="7" t="s">
        <v>346</v>
      </c>
      <c r="E87" s="7" t="s">
        <v>26</v>
      </c>
      <c r="F87" s="7" t="s">
        <v>347</v>
      </c>
      <c r="G87" s="7" t="n">
        <v>2015</v>
      </c>
      <c r="H87" s="7" t="s">
        <v>55</v>
      </c>
      <c r="I87" s="7" t="s">
        <v>348</v>
      </c>
      <c r="J87" s="7" t="s">
        <v>349</v>
      </c>
      <c r="K87" s="7" t="n">
        <f aca="false">IFERROR(VALUE(RIGHT(TRIM(F87),4)),"")</f>
        <v>2015</v>
      </c>
      <c r="L87" s="7" t="str">
        <f aca="false">IF(TRIM(E87)="","Unknown",IFERROR(LEFT(TRIM(E87),FIND(",",TRIM(E87))-1),TRIM(E87)))</f>
        <v>United States</v>
      </c>
      <c r="M87" s="7" t="str">
        <f aca="false">IFERROR(LEFT(J87,FIND(",",J87)-1),J87)</f>
        <v>Children &amp; Family Movies</v>
      </c>
      <c r="N87" s="7" t="n">
        <f aca="false">IF(B87="Movie",IFERROR(VALUE(LEFT(I87,FIND(" ",I87)-1)),""),"")</f>
        <v>72</v>
      </c>
      <c r="O87" s="7" t="str">
        <f aca="false">IF(B87="TV Show",IFERROR(VALUE(LEFT(I87,FIND(" ",I87)-1)),""),"")</f>
        <v/>
      </c>
      <c r="P87" s="7" t="n">
        <f aca="false">IF(K87="","",K87-G87)</f>
        <v>0</v>
      </c>
    </row>
    <row r="88" customFormat="false" ht="15" hidden="false" customHeight="false" outlineLevel="0" collapsed="false">
      <c r="A88" s="7" t="n">
        <v>81053893</v>
      </c>
      <c r="B88" s="7" t="s">
        <v>68</v>
      </c>
      <c r="C88" s="7" t="s">
        <v>350</v>
      </c>
      <c r="D88" s="7" t="s">
        <v>351</v>
      </c>
      <c r="F88" s="7" t="s">
        <v>352</v>
      </c>
      <c r="G88" s="7" t="n">
        <v>2019</v>
      </c>
      <c r="H88" s="7" t="s">
        <v>226</v>
      </c>
      <c r="I88" s="7" t="s">
        <v>353</v>
      </c>
      <c r="J88" s="7" t="s">
        <v>341</v>
      </c>
      <c r="K88" s="7" t="n">
        <f aca="false">IFERROR(VALUE(RIGHT(TRIM(F88),4)),"")</f>
        <v>2019</v>
      </c>
      <c r="L88" s="7" t="str">
        <f aca="false">IF(TRIM(E88)="","Unknown",IFERROR(LEFT(TRIM(E88),FIND(",",TRIM(E88))-1),TRIM(E88)))</f>
        <v>Unknown</v>
      </c>
      <c r="M88" s="7" t="str">
        <f aca="false">IFERROR(LEFT(J88,FIND(",",J88)-1),J88)</f>
        <v>Documentaries</v>
      </c>
      <c r="N88" s="7" t="n">
        <f aca="false">IF(B88="Movie",IFERROR(VALUE(LEFT(I88,FIND(" ",I88)-1)),""),"")</f>
        <v>45</v>
      </c>
      <c r="O88" s="7" t="str">
        <f aca="false">IF(B88="TV Show",IFERROR(VALUE(LEFT(I88,FIND(" ",I88)-1)),""),"")</f>
        <v/>
      </c>
      <c r="P88" s="7" t="n">
        <f aca="false">IF(K88="","",K88-G88)</f>
        <v>0</v>
      </c>
    </row>
    <row r="89" customFormat="false" ht="15" hidden="false" customHeight="false" outlineLevel="0" collapsed="false">
      <c r="A89" s="7" t="n">
        <v>80200087</v>
      </c>
      <c r="B89" s="7" t="s">
        <v>68</v>
      </c>
      <c r="C89" s="7" t="s">
        <v>354</v>
      </c>
      <c r="D89" s="7" t="s">
        <v>355</v>
      </c>
      <c r="E89" s="7" t="s">
        <v>356</v>
      </c>
      <c r="F89" s="7" t="s">
        <v>352</v>
      </c>
      <c r="G89" s="7" t="n">
        <v>2019</v>
      </c>
      <c r="H89" s="7" t="s">
        <v>51</v>
      </c>
      <c r="I89" s="7" t="s">
        <v>357</v>
      </c>
      <c r="J89" s="7" t="s">
        <v>358</v>
      </c>
      <c r="K89" s="7" t="n">
        <f aca="false">IFERROR(VALUE(RIGHT(TRIM(F89),4)),"")</f>
        <v>2019</v>
      </c>
      <c r="L89" s="7" t="str">
        <f aca="false">IF(TRIM(E89)="","Unknown",IFERROR(LEFT(TRIM(E89),FIND(",",TRIM(E89))-1),TRIM(E89)))</f>
        <v>Denmark</v>
      </c>
      <c r="M89" s="7" t="str">
        <f aca="false">IFERROR(LEFT(J89,FIND(",",J89)-1),J89)</f>
        <v>International Movies</v>
      </c>
      <c r="N89" s="7" t="n">
        <f aca="false">IF(B89="Movie",IFERROR(VALUE(LEFT(I89,FIND(" ",I89)-1)),""),"")</f>
        <v>89</v>
      </c>
      <c r="O89" s="7" t="str">
        <f aca="false">IF(B89="TV Show",IFERROR(VALUE(LEFT(I89,FIND(" ",I89)-1)),""),"")</f>
        <v/>
      </c>
      <c r="P89" s="7" t="n">
        <f aca="false">IF(K89="","",K89-G89)</f>
        <v>0</v>
      </c>
    </row>
    <row r="90" customFormat="false" ht="15" hidden="false" customHeight="false" outlineLevel="0" collapsed="false">
      <c r="A90" s="7" t="n">
        <v>81053892</v>
      </c>
      <c r="B90" s="7" t="s">
        <v>68</v>
      </c>
      <c r="C90" s="7" t="s">
        <v>359</v>
      </c>
      <c r="D90" s="7" t="s">
        <v>351</v>
      </c>
      <c r="F90" s="7" t="s">
        <v>352</v>
      </c>
      <c r="G90" s="7" t="n">
        <v>2019</v>
      </c>
      <c r="H90" s="7" t="s">
        <v>50</v>
      </c>
      <c r="I90" s="7" t="s">
        <v>73</v>
      </c>
      <c r="J90" s="7" t="s">
        <v>304</v>
      </c>
      <c r="K90" s="7" t="n">
        <f aca="false">IFERROR(VALUE(RIGHT(TRIM(F90),4)),"")</f>
        <v>2019</v>
      </c>
      <c r="L90" s="7" t="str">
        <f aca="false">IF(TRIM(E90)="","Unknown",IFERROR(LEFT(TRIM(E90),FIND(",",TRIM(E90))-1),TRIM(E90)))</f>
        <v>Unknown</v>
      </c>
      <c r="M90" s="7" t="str">
        <f aca="false">IFERROR(LEFT(J90,FIND(",",J90)-1),J90)</f>
        <v>Dramas</v>
      </c>
      <c r="N90" s="7" t="n">
        <f aca="false">IF(B90="Movie",IFERROR(VALUE(LEFT(I90,FIND(" ",I90)-1)),""),"")</f>
        <v>90</v>
      </c>
      <c r="O90" s="7" t="str">
        <f aca="false">IF(B90="TV Show",IFERROR(VALUE(LEFT(I90,FIND(" ",I90)-1)),""),"")</f>
        <v/>
      </c>
      <c r="P90" s="7" t="n">
        <f aca="false">IF(K90="","",K90-G90)</f>
        <v>0</v>
      </c>
    </row>
    <row r="91" customFormat="false" ht="15" hidden="false" customHeight="false" outlineLevel="0" collapsed="false">
      <c r="A91" s="7" t="n">
        <v>81002850</v>
      </c>
      <c r="B91" s="7" t="s">
        <v>68</v>
      </c>
      <c r="C91" s="7" t="s">
        <v>360</v>
      </c>
      <c r="D91" s="7" t="s">
        <v>361</v>
      </c>
      <c r="E91" s="7" t="s">
        <v>362</v>
      </c>
      <c r="F91" s="7" t="s">
        <v>363</v>
      </c>
      <c r="G91" s="7" t="n">
        <v>2012</v>
      </c>
      <c r="H91" s="7" t="s">
        <v>49</v>
      </c>
      <c r="I91" s="7" t="s">
        <v>235</v>
      </c>
      <c r="J91" s="7" t="s">
        <v>304</v>
      </c>
      <c r="K91" s="7" t="n">
        <f aca="false">IFERROR(VALUE(RIGHT(TRIM(F91),4)),"")</f>
        <v>2018</v>
      </c>
      <c r="L91" s="7" t="str">
        <f aca="false">IF(TRIM(E91)="","Unknown",IFERROR(LEFT(TRIM(E91),FIND(",",TRIM(E91))-1),TRIM(E91)))</f>
        <v>Indonesia</v>
      </c>
      <c r="M91" s="7" t="str">
        <f aca="false">IFERROR(LEFT(J91,FIND(",",J91)-1),J91)</f>
        <v>Dramas</v>
      </c>
      <c r="N91" s="7" t="n">
        <f aca="false">IF(B91="Movie",IFERROR(VALUE(LEFT(I91,FIND(" ",I91)-1)),""),"")</f>
        <v>126</v>
      </c>
      <c r="O91" s="7" t="str">
        <f aca="false">IF(B91="TV Show",IFERROR(VALUE(LEFT(I91,FIND(" ",I91)-1)),""),"")</f>
        <v/>
      </c>
      <c r="P91" s="7" t="n">
        <f aca="false">IF(K91="","",K91-G91)</f>
        <v>6</v>
      </c>
    </row>
    <row r="92" customFormat="false" ht="15" hidden="false" customHeight="false" outlineLevel="0" collapsed="false">
      <c r="A92" s="7" t="n">
        <v>81004470</v>
      </c>
      <c r="B92" s="7" t="s">
        <v>68</v>
      </c>
      <c r="C92" s="7" t="s">
        <v>364</v>
      </c>
      <c r="D92" s="7" t="s">
        <v>365</v>
      </c>
      <c r="E92" s="7" t="s">
        <v>366</v>
      </c>
      <c r="F92" s="7" t="s">
        <v>363</v>
      </c>
      <c r="G92" s="7" t="n">
        <v>2018</v>
      </c>
      <c r="H92" s="7" t="s">
        <v>48</v>
      </c>
      <c r="I92" s="7" t="s">
        <v>247</v>
      </c>
      <c r="J92" s="7" t="s">
        <v>367</v>
      </c>
      <c r="K92" s="7" t="n">
        <f aca="false">IFERROR(VALUE(RIGHT(TRIM(F92),4)),"")</f>
        <v>2018</v>
      </c>
      <c r="L92" s="7" t="str">
        <f aca="false">IF(TRIM(E92)="","Unknown",IFERROR(LEFT(TRIM(E92),FIND(",",TRIM(E92))-1),TRIM(E92)))</f>
        <v>China</v>
      </c>
      <c r="M92" s="7" t="str">
        <f aca="false">IFERROR(LEFT(J92,FIND(",",J92)-1),J92)</f>
        <v>Action &amp; Adventure</v>
      </c>
      <c r="N92" s="7" t="n">
        <f aca="false">IF(B92="Movie",IFERROR(VALUE(LEFT(I92,FIND(" ",I92)-1)),""),"")</f>
        <v>130</v>
      </c>
      <c r="O92" s="7" t="str">
        <f aca="false">IF(B92="TV Show",IFERROR(VALUE(LEFT(I92,FIND(" ",I92)-1)),""),"")</f>
        <v/>
      </c>
      <c r="P92" s="7" t="n">
        <f aca="false">IF(K92="","",K92-G92)</f>
        <v>0</v>
      </c>
    </row>
    <row r="93" customFormat="false" ht="15" hidden="false" customHeight="false" outlineLevel="0" collapsed="false">
      <c r="A93" s="7" t="n">
        <v>80157072</v>
      </c>
      <c r="B93" s="7" t="s">
        <v>68</v>
      </c>
      <c r="C93" s="7" t="s">
        <v>368</v>
      </c>
      <c r="D93" s="7" t="s">
        <v>369</v>
      </c>
      <c r="E93" s="7" t="s">
        <v>26</v>
      </c>
      <c r="F93" s="7" t="s">
        <v>363</v>
      </c>
      <c r="G93" s="7" t="n">
        <v>2018</v>
      </c>
      <c r="H93" s="7" t="s">
        <v>48</v>
      </c>
      <c r="I93" s="7" t="s">
        <v>235</v>
      </c>
      <c r="J93" s="7" t="s">
        <v>370</v>
      </c>
      <c r="K93" s="7" t="n">
        <f aca="false">IFERROR(VALUE(RIGHT(TRIM(F93),4)),"")</f>
        <v>2018</v>
      </c>
      <c r="L93" s="7" t="str">
        <f aca="false">IF(TRIM(E93)="","Unknown",IFERROR(LEFT(TRIM(E93),FIND(",",TRIM(E93))-1),TRIM(E93)))</f>
        <v>United States</v>
      </c>
      <c r="M93" s="7" t="str">
        <f aca="false">IFERROR(LEFT(J93,FIND(",",J93)-1),J93)</f>
        <v>Action &amp; Adventure</v>
      </c>
      <c r="N93" s="7" t="n">
        <f aca="false">IF(B93="Movie",IFERROR(VALUE(LEFT(I93,FIND(" ",I93)-1)),""),"")</f>
        <v>126</v>
      </c>
      <c r="O93" s="7" t="str">
        <f aca="false">IF(B93="TV Show",IFERROR(VALUE(LEFT(I93,FIND(" ",I93)-1)),""),"")</f>
        <v/>
      </c>
      <c r="P93" s="7" t="n">
        <f aca="false">IF(K93="","",K93-G93)</f>
        <v>0</v>
      </c>
    </row>
    <row r="94" customFormat="false" ht="15" hidden="false" customHeight="false" outlineLevel="0" collapsed="false">
      <c r="A94" s="7" t="n">
        <v>81001809</v>
      </c>
      <c r="B94" s="7" t="s">
        <v>68</v>
      </c>
      <c r="C94" s="7" t="s">
        <v>371</v>
      </c>
      <c r="D94" s="7" t="s">
        <v>372</v>
      </c>
      <c r="E94" s="7" t="s">
        <v>26</v>
      </c>
      <c r="F94" s="7" t="s">
        <v>363</v>
      </c>
      <c r="G94" s="7" t="n">
        <v>2018</v>
      </c>
      <c r="H94" s="7" t="s">
        <v>50</v>
      </c>
      <c r="I94" s="7" t="s">
        <v>373</v>
      </c>
      <c r="J94" s="7" t="s">
        <v>39</v>
      </c>
      <c r="K94" s="7" t="n">
        <f aca="false">IFERROR(VALUE(RIGHT(TRIM(F94),4)),"")</f>
        <v>2018</v>
      </c>
      <c r="L94" s="7" t="str">
        <f aca="false">IF(TRIM(E94)="","Unknown",IFERROR(LEFT(TRIM(E94),FIND(",",TRIM(E94))-1),TRIM(E94)))</f>
        <v>United States</v>
      </c>
      <c r="M94" s="7" t="str">
        <f aca="false">IFERROR(LEFT(J94,FIND(",",J94)-1),J94)</f>
        <v>Documentaries</v>
      </c>
      <c r="N94" s="7" t="n">
        <f aca="false">IF(B94="Movie",IFERROR(VALUE(LEFT(I94,FIND(" ",I94)-1)),""),"")</f>
        <v>24</v>
      </c>
      <c r="O94" s="7" t="str">
        <f aca="false">IF(B94="TV Show",IFERROR(VALUE(LEFT(I94,FIND(" ",I94)-1)),""),"")</f>
        <v/>
      </c>
      <c r="P94" s="7" t="n">
        <f aca="false">IF(K94="","",K94-G94)</f>
        <v>0</v>
      </c>
    </row>
    <row r="95" customFormat="false" ht="15" hidden="false" customHeight="false" outlineLevel="0" collapsed="false">
      <c r="A95" s="7" t="n">
        <v>80201933</v>
      </c>
      <c r="B95" s="7" t="s">
        <v>78</v>
      </c>
      <c r="C95" s="7" t="s">
        <v>374</v>
      </c>
      <c r="E95" s="7" t="s">
        <v>26</v>
      </c>
      <c r="F95" s="7" t="s">
        <v>363</v>
      </c>
      <c r="G95" s="7" t="n">
        <v>2018</v>
      </c>
      <c r="H95" s="7" t="s">
        <v>48</v>
      </c>
      <c r="I95" s="7" t="s">
        <v>82</v>
      </c>
      <c r="J95" s="7" t="s">
        <v>375</v>
      </c>
      <c r="K95" s="7" t="n">
        <f aca="false">IFERROR(VALUE(RIGHT(TRIM(F95),4)),"")</f>
        <v>2018</v>
      </c>
      <c r="L95" s="7" t="str">
        <f aca="false">IF(TRIM(E95)="","Unknown",IFERROR(LEFT(TRIM(E95),FIND(",",TRIM(E95))-1),TRIM(E95)))</f>
        <v>United States</v>
      </c>
      <c r="M95" s="7" t="str">
        <f aca="false">IFERROR(LEFT(J95,FIND(",",J95)-1),J95)</f>
        <v>International TV Shows</v>
      </c>
      <c r="N95" s="7" t="str">
        <f aca="false">IF(B95="Movie",IFERROR(VALUE(LEFT(I95,FIND(" ",I95)-1)),""),"")</f>
        <v/>
      </c>
      <c r="O95" s="7" t="n">
        <f aca="false">IF(B95="TV Show",IFERROR(VALUE(LEFT(I95,FIND(" ",I95)-1)),""),"")</f>
        <v>1</v>
      </c>
      <c r="P95" s="7" t="n">
        <f aca="false">IF(K95="","",K95-G95)</f>
        <v>0</v>
      </c>
    </row>
    <row r="96" customFormat="false" ht="15" hidden="false" customHeight="false" outlineLevel="0" collapsed="false">
      <c r="A96" s="7" t="n">
        <v>81002864</v>
      </c>
      <c r="B96" s="7" t="s">
        <v>68</v>
      </c>
      <c r="C96" s="7" t="s">
        <v>376</v>
      </c>
      <c r="D96" s="7" t="s">
        <v>377</v>
      </c>
      <c r="E96" s="7" t="s">
        <v>362</v>
      </c>
      <c r="F96" s="7" t="s">
        <v>363</v>
      </c>
      <c r="G96" s="7" t="n">
        <v>2015</v>
      </c>
      <c r="H96" s="7" t="s">
        <v>50</v>
      </c>
      <c r="I96" s="7" t="s">
        <v>378</v>
      </c>
      <c r="J96" s="7" t="s">
        <v>206</v>
      </c>
      <c r="K96" s="7" t="n">
        <f aca="false">IFERROR(VALUE(RIGHT(TRIM(F96),4)),"")</f>
        <v>2018</v>
      </c>
      <c r="L96" s="7" t="str">
        <f aca="false">IF(TRIM(E96)="","Unknown",IFERROR(LEFT(TRIM(E96),FIND(",",TRIM(E96))-1),TRIM(E96)))</f>
        <v>Indonesia</v>
      </c>
      <c r="M96" s="7" t="str">
        <f aca="false">IFERROR(LEFT(J96,FIND(",",J96)-1),J96)</f>
        <v>Comedies</v>
      </c>
      <c r="N96" s="7" t="n">
        <f aca="false">IF(B96="Movie",IFERROR(VALUE(LEFT(I96,FIND(" ",I96)-1)),""),"")</f>
        <v>127</v>
      </c>
      <c r="O96" s="7" t="str">
        <f aca="false">IF(B96="TV Show",IFERROR(VALUE(LEFT(I96,FIND(" ",I96)-1)),""),"")</f>
        <v/>
      </c>
      <c r="P96" s="7" t="n">
        <f aca="false">IF(K96="","",K96-G96)</f>
        <v>3</v>
      </c>
    </row>
    <row r="97" customFormat="false" ht="15" hidden="false" customHeight="false" outlineLevel="0" collapsed="false">
      <c r="A97" s="7" t="n">
        <v>81016750</v>
      </c>
      <c r="B97" s="7" t="s">
        <v>68</v>
      </c>
      <c r="C97" s="7" t="s">
        <v>379</v>
      </c>
      <c r="D97" s="7" t="s">
        <v>380</v>
      </c>
      <c r="E97" s="7" t="s">
        <v>362</v>
      </c>
      <c r="F97" s="7" t="s">
        <v>363</v>
      </c>
      <c r="G97" s="7" t="n">
        <v>2018</v>
      </c>
      <c r="H97" s="7" t="s">
        <v>48</v>
      </c>
      <c r="I97" s="7" t="s">
        <v>268</v>
      </c>
      <c r="J97" s="7" t="s">
        <v>169</v>
      </c>
      <c r="K97" s="7" t="n">
        <f aca="false">IFERROR(VALUE(RIGHT(TRIM(F97),4)),"")</f>
        <v>2018</v>
      </c>
      <c r="L97" s="7" t="str">
        <f aca="false">IF(TRIM(E97)="","Unknown",IFERROR(LEFT(TRIM(E97),FIND(",",TRIM(E97))-1),TRIM(E97)))</f>
        <v>Indonesia</v>
      </c>
      <c r="M97" s="7" t="str">
        <f aca="false">IFERROR(LEFT(J97,FIND(",",J97)-1),J97)</f>
        <v>Horror Movies</v>
      </c>
      <c r="N97" s="7" t="n">
        <f aca="false">IF(B97="Movie",IFERROR(VALUE(LEFT(I97,FIND(" ",I97)-1)),""),"")</f>
        <v>108</v>
      </c>
      <c r="O97" s="7" t="str">
        <f aca="false">IF(B97="TV Show",IFERROR(VALUE(LEFT(I97,FIND(" ",I97)-1)),""),"")</f>
        <v/>
      </c>
      <c r="P97" s="7" t="n">
        <f aca="false">IF(K97="","",K97-G97)</f>
        <v>0</v>
      </c>
    </row>
    <row r="98" customFormat="false" ht="15" hidden="false" customHeight="false" outlineLevel="0" collapsed="false">
      <c r="A98" s="7" t="n">
        <v>81002866</v>
      </c>
      <c r="B98" s="7" t="s">
        <v>68</v>
      </c>
      <c r="C98" s="7" t="s">
        <v>381</v>
      </c>
      <c r="D98" s="7" t="s">
        <v>382</v>
      </c>
      <c r="E98" s="7" t="s">
        <v>362</v>
      </c>
      <c r="F98" s="7" t="s">
        <v>363</v>
      </c>
      <c r="G98" s="7" t="n">
        <v>2013</v>
      </c>
      <c r="H98" s="7" t="s">
        <v>49</v>
      </c>
      <c r="I98" s="7" t="s">
        <v>383</v>
      </c>
      <c r="J98" s="7" t="s">
        <v>240</v>
      </c>
      <c r="K98" s="7" t="n">
        <f aca="false">IFERROR(VALUE(RIGHT(TRIM(F98),4)),"")</f>
        <v>2018</v>
      </c>
      <c r="L98" s="7" t="str">
        <f aca="false">IF(TRIM(E98)="","Unknown",IFERROR(LEFT(TRIM(E98),FIND(",",TRIM(E98))-1),TRIM(E98)))</f>
        <v>Indonesia</v>
      </c>
      <c r="M98" s="7" t="str">
        <f aca="false">IFERROR(LEFT(J98,FIND(",",J98)-1),J98)</f>
        <v>Dramas</v>
      </c>
      <c r="N98" s="7" t="n">
        <f aca="false">IF(B98="Movie",IFERROR(VALUE(LEFT(I98,FIND(" ",I98)-1)),""),"")</f>
        <v>163</v>
      </c>
      <c r="O98" s="7" t="str">
        <f aca="false">IF(B98="TV Show",IFERROR(VALUE(LEFT(I98,FIND(" ",I98)-1)),""),"")</f>
        <v/>
      </c>
      <c r="P98" s="7" t="n">
        <f aca="false">IF(K98="","",K98-G98)</f>
        <v>5</v>
      </c>
    </row>
    <row r="99" customFormat="false" ht="15" hidden="false" customHeight="false" outlineLevel="0" collapsed="false">
      <c r="A99" s="7" t="n">
        <v>80992039</v>
      </c>
      <c r="B99" s="7" t="s">
        <v>68</v>
      </c>
      <c r="C99" s="7" t="s">
        <v>384</v>
      </c>
      <c r="D99" s="7" t="s">
        <v>385</v>
      </c>
      <c r="E99" s="7" t="s">
        <v>33</v>
      </c>
      <c r="F99" s="7" t="s">
        <v>363</v>
      </c>
      <c r="G99" s="7" t="n">
        <v>2018</v>
      </c>
      <c r="H99" s="7" t="s">
        <v>48</v>
      </c>
      <c r="I99" s="7" t="s">
        <v>386</v>
      </c>
      <c r="J99" s="7" t="s">
        <v>341</v>
      </c>
      <c r="K99" s="7" t="n">
        <f aca="false">IFERROR(VALUE(RIGHT(TRIM(F99),4)),"")</f>
        <v>2018</v>
      </c>
      <c r="L99" s="7" t="str">
        <f aca="false">IF(TRIM(E99)="","Unknown",IFERROR(LEFT(TRIM(E99),FIND(",",TRIM(E99))-1),TRIM(E99)))</f>
        <v>Spain</v>
      </c>
      <c r="M99" s="7" t="str">
        <f aca="false">IFERROR(LEFT(J99,FIND(",",J99)-1),J99)</f>
        <v>Documentaries</v>
      </c>
      <c r="N99" s="7" t="n">
        <f aca="false">IF(B99="Movie",IFERROR(VALUE(LEFT(I99,FIND(" ",I99)-1)),""),"")</f>
        <v>117</v>
      </c>
      <c r="O99" s="7" t="str">
        <f aca="false">IF(B99="TV Show",IFERROR(VALUE(LEFT(I99,FIND(" ",I99)-1)),""),"")</f>
        <v/>
      </c>
      <c r="P99" s="7" t="n">
        <f aca="false">IF(K99="","",K99-G99)</f>
        <v>0</v>
      </c>
    </row>
    <row r="100" customFormat="false" ht="15" hidden="false" customHeight="false" outlineLevel="0" collapsed="false">
      <c r="A100" s="7" t="n">
        <v>80126507</v>
      </c>
      <c r="B100" s="7" t="s">
        <v>68</v>
      </c>
      <c r="C100" s="7" t="s">
        <v>387</v>
      </c>
      <c r="D100" s="7" t="s">
        <v>388</v>
      </c>
      <c r="E100" s="7" t="s">
        <v>389</v>
      </c>
      <c r="F100" s="7" t="s">
        <v>390</v>
      </c>
      <c r="G100" s="7" t="n">
        <v>2016</v>
      </c>
      <c r="H100" s="7" t="s">
        <v>49</v>
      </c>
      <c r="I100" s="7" t="s">
        <v>173</v>
      </c>
      <c r="J100" s="7" t="s">
        <v>39</v>
      </c>
      <c r="K100" s="7" t="n">
        <f aca="false">IFERROR(VALUE(RIGHT(TRIM(F100),4)),"")</f>
        <v>2017</v>
      </c>
      <c r="L100" s="7" t="str">
        <f aca="false">IF(TRIM(E100)="","Unknown",IFERROR(LEFT(TRIM(E100),FIND(",",TRIM(E100))-1),TRIM(E100)))</f>
        <v>Ireland</v>
      </c>
      <c r="M100" s="7" t="str">
        <f aca="false">IFERROR(LEFT(J100,FIND(",",J100)-1),J100)</f>
        <v>Documentaries</v>
      </c>
      <c r="N100" s="7" t="n">
        <f aca="false">IF(B100="Movie",IFERROR(VALUE(LEFT(I100,FIND(" ",I100)-1)),""),"")</f>
        <v>106</v>
      </c>
      <c r="O100" s="7" t="str">
        <f aca="false">IF(B100="TV Show",IFERROR(VALUE(LEFT(I100,FIND(" ",I100)-1)),""),"")</f>
        <v/>
      </c>
      <c r="P100" s="7" t="n">
        <f aca="false">IF(K100="","",K100-G100)</f>
        <v>1</v>
      </c>
    </row>
    <row r="101" customFormat="false" ht="15" hidden="false" customHeight="false" outlineLevel="0" collapsed="false">
      <c r="A101" s="7" t="n">
        <v>80225885</v>
      </c>
      <c r="B101" s="7" t="s">
        <v>78</v>
      </c>
      <c r="C101" s="7" t="s">
        <v>391</v>
      </c>
      <c r="E101" s="7" t="s">
        <v>27</v>
      </c>
      <c r="F101" s="7" t="s">
        <v>392</v>
      </c>
      <c r="G101" s="7" t="n">
        <v>2019</v>
      </c>
      <c r="H101" s="7" t="s">
        <v>48</v>
      </c>
      <c r="I101" s="7" t="s">
        <v>82</v>
      </c>
      <c r="J101" s="7" t="s">
        <v>393</v>
      </c>
      <c r="K101" s="7" t="n">
        <f aca="false">IFERROR(VALUE(RIGHT(TRIM(F101),4)),"")</f>
        <v>2019</v>
      </c>
      <c r="L101" s="7" t="str">
        <f aca="false">IF(TRIM(E101)="","Unknown",IFERROR(LEFT(TRIM(E101),FIND(",",TRIM(E101))-1),TRIM(E101)))</f>
        <v>India</v>
      </c>
      <c r="M101" s="7" t="str">
        <f aca="false">IFERROR(LEFT(J101,FIND(",",J101)-1),J101)</f>
        <v>International TV Shows</v>
      </c>
      <c r="N101" s="7" t="str">
        <f aca="false">IF(B101="Movie",IFERROR(VALUE(LEFT(I101,FIND(" ",I101)-1)),""),"")</f>
        <v/>
      </c>
      <c r="O101" s="7" t="n">
        <f aca="false">IF(B101="TV Show",IFERROR(VALUE(LEFT(I101,FIND(" ",I101)-1)),""),"")</f>
        <v>1</v>
      </c>
      <c r="P101" s="7" t="n">
        <f aca="false">IF(K101="","",K101-G101)</f>
        <v>0</v>
      </c>
    </row>
    <row r="102" customFormat="false" ht="15" hidden="false" customHeight="false" outlineLevel="0" collapsed="false">
      <c r="A102" s="7" t="n">
        <v>81132443</v>
      </c>
      <c r="B102" s="7" t="s">
        <v>68</v>
      </c>
      <c r="C102" s="7" t="s">
        <v>394</v>
      </c>
      <c r="D102" s="7" t="s">
        <v>395</v>
      </c>
      <c r="E102" s="7" t="s">
        <v>396</v>
      </c>
      <c r="F102" s="7" t="s">
        <v>392</v>
      </c>
      <c r="G102" s="7" t="n">
        <v>2018</v>
      </c>
      <c r="H102" s="7" t="s">
        <v>50</v>
      </c>
      <c r="I102" s="7" t="s">
        <v>181</v>
      </c>
      <c r="J102" s="7" t="s">
        <v>202</v>
      </c>
      <c r="K102" s="7" t="n">
        <f aca="false">IFERROR(VALUE(RIGHT(TRIM(F102),4)),"")</f>
        <v>2019</v>
      </c>
      <c r="L102" s="7" t="str">
        <f aca="false">IF(TRIM(E102)="","Unknown",IFERROR(LEFT(TRIM(E102),FIND(",",TRIM(E102))-1),TRIM(E102)))</f>
        <v>Turkey</v>
      </c>
      <c r="M102" s="7" t="str">
        <f aca="false">IFERROR(LEFT(J102,FIND(",",J102)-1),J102)</f>
        <v>Comedies</v>
      </c>
      <c r="N102" s="7" t="n">
        <f aca="false">IF(B102="Movie",IFERROR(VALUE(LEFT(I102,FIND(" ",I102)-1)),""),"")</f>
        <v>102</v>
      </c>
      <c r="O102" s="7" t="str">
        <f aca="false">IF(B102="TV Show",IFERROR(VALUE(LEFT(I102,FIND(" ",I102)-1)),""),"")</f>
        <v/>
      </c>
      <c r="P102" s="7" t="n">
        <f aca="false">IF(K102="","",K102-G102)</f>
        <v>1</v>
      </c>
    </row>
    <row r="103" customFormat="false" ht="15" hidden="false" customHeight="false" outlineLevel="0" collapsed="false">
      <c r="A103" s="7" t="n">
        <v>80218107</v>
      </c>
      <c r="B103" s="7" t="s">
        <v>78</v>
      </c>
      <c r="C103" s="7" t="s">
        <v>397</v>
      </c>
      <c r="F103" s="7" t="s">
        <v>392</v>
      </c>
      <c r="G103" s="7" t="n">
        <v>2019</v>
      </c>
      <c r="H103" s="7" t="s">
        <v>119</v>
      </c>
      <c r="I103" s="7" t="s">
        <v>82</v>
      </c>
      <c r="J103" s="7" t="s">
        <v>191</v>
      </c>
      <c r="K103" s="7" t="n">
        <f aca="false">IFERROR(VALUE(RIGHT(TRIM(F103),4)),"")</f>
        <v>2019</v>
      </c>
      <c r="L103" s="7" t="str">
        <f aca="false">IF(TRIM(E103)="","Unknown",IFERROR(LEFT(TRIM(E103),FIND(",",TRIM(E103))-1),TRIM(E103)))</f>
        <v>Unknown</v>
      </c>
      <c r="M103" s="7" t="str">
        <f aca="false">IFERROR(LEFT(J103,FIND(",",J103)-1),J103)</f>
        <v>Kids' TV</v>
      </c>
      <c r="N103" s="7" t="str">
        <f aca="false">IF(B103="Movie",IFERROR(VALUE(LEFT(I103,FIND(" ",I103)-1)),""),"")</f>
        <v/>
      </c>
      <c r="O103" s="7" t="n">
        <f aca="false">IF(B103="TV Show",IFERROR(VALUE(LEFT(I103,FIND(" ",I103)-1)),""),"")</f>
        <v>1</v>
      </c>
      <c r="P103" s="7" t="n">
        <f aca="false">IF(K103="","",K103-G103)</f>
        <v>0</v>
      </c>
    </row>
    <row r="104" customFormat="false" ht="15" hidden="false" customHeight="false" outlineLevel="0" collapsed="false">
      <c r="A104" s="7" t="n">
        <v>80231903</v>
      </c>
      <c r="B104" s="7" t="s">
        <v>68</v>
      </c>
      <c r="C104" s="7" t="s">
        <v>398</v>
      </c>
      <c r="D104" s="7" t="s">
        <v>399</v>
      </c>
      <c r="E104" s="7" t="s">
        <v>26</v>
      </c>
      <c r="F104" s="7" t="s">
        <v>392</v>
      </c>
      <c r="G104" s="7" t="n">
        <v>2019</v>
      </c>
      <c r="H104" s="7" t="s">
        <v>48</v>
      </c>
      <c r="I104" s="7" t="s">
        <v>237</v>
      </c>
      <c r="J104" s="7" t="s">
        <v>400</v>
      </c>
      <c r="K104" s="7" t="n">
        <f aca="false">IFERROR(VALUE(RIGHT(TRIM(F104),4)),"")</f>
        <v>2019</v>
      </c>
      <c r="L104" s="7" t="str">
        <f aca="false">IF(TRIM(E104)="","Unknown",IFERROR(LEFT(TRIM(E104),FIND(",",TRIM(E104))-1),TRIM(E104)))</f>
        <v>United States</v>
      </c>
      <c r="M104" s="7" t="str">
        <f aca="false">IFERROR(LEFT(J104,FIND(",",J104)-1),J104)</f>
        <v>Dramas</v>
      </c>
      <c r="N104" s="7" t="n">
        <f aca="false">IF(B104="Movie",IFERROR(VALUE(LEFT(I104,FIND(" ",I104)-1)),""),"")</f>
        <v>116</v>
      </c>
      <c r="O104" s="7" t="str">
        <f aca="false">IF(B104="TV Show",IFERROR(VALUE(LEFT(I104,FIND(" ",I104)-1)),""),"")</f>
        <v/>
      </c>
      <c r="P104" s="7" t="n">
        <f aca="false">IF(K104="","",K104-G104)</f>
        <v>0</v>
      </c>
    </row>
    <row r="105" customFormat="false" ht="15" hidden="false" customHeight="false" outlineLevel="0" collapsed="false">
      <c r="A105" s="7" t="n">
        <v>80220715</v>
      </c>
      <c r="B105" s="7" t="s">
        <v>78</v>
      </c>
      <c r="C105" s="7" t="s">
        <v>401</v>
      </c>
      <c r="F105" s="7" t="s">
        <v>392</v>
      </c>
      <c r="G105" s="7" t="n">
        <v>2019</v>
      </c>
      <c r="H105" s="7" t="s">
        <v>48</v>
      </c>
      <c r="I105" s="7" t="s">
        <v>82</v>
      </c>
      <c r="J105" s="7" t="s">
        <v>402</v>
      </c>
      <c r="K105" s="7" t="n">
        <f aca="false">IFERROR(VALUE(RIGHT(TRIM(F105),4)),"")</f>
        <v>2019</v>
      </c>
      <c r="L105" s="7" t="str">
        <f aca="false">IF(TRIM(E105)="","Unknown",IFERROR(LEFT(TRIM(E105),FIND(",",TRIM(E105))-1),TRIM(E105)))</f>
        <v>Unknown</v>
      </c>
      <c r="M105" s="7" t="str">
        <f aca="false">IFERROR(LEFT(J105,FIND(",",J105)-1),J105)</f>
        <v>Crime TV Shows</v>
      </c>
      <c r="N105" s="7" t="str">
        <f aca="false">IF(B105="Movie",IFERROR(VALUE(LEFT(I105,FIND(" ",I105)-1)),""),"")</f>
        <v/>
      </c>
      <c r="O105" s="7" t="n">
        <f aca="false">IF(B105="TV Show",IFERROR(VALUE(LEFT(I105,FIND(" ",I105)-1)),""),"")</f>
        <v>1</v>
      </c>
      <c r="P105" s="7" t="n">
        <f aca="false">IF(K105="","",K105-G105)</f>
        <v>0</v>
      </c>
    </row>
    <row r="106" customFormat="false" ht="15" hidden="false" customHeight="false" outlineLevel="0" collapsed="false">
      <c r="A106" s="7" t="n">
        <v>81171121</v>
      </c>
      <c r="B106" s="7" t="s">
        <v>68</v>
      </c>
      <c r="C106" s="7" t="s">
        <v>403</v>
      </c>
      <c r="D106" s="7" t="s">
        <v>404</v>
      </c>
      <c r="E106" s="7" t="s">
        <v>26</v>
      </c>
      <c r="F106" s="7" t="s">
        <v>392</v>
      </c>
      <c r="G106" s="7" t="n">
        <v>2019</v>
      </c>
      <c r="H106" s="7" t="s">
        <v>48</v>
      </c>
      <c r="I106" s="7" t="s">
        <v>405</v>
      </c>
      <c r="J106" s="7" t="s">
        <v>406</v>
      </c>
      <c r="K106" s="7" t="n">
        <f aca="false">IFERROR(VALUE(RIGHT(TRIM(F106),4)),"")</f>
        <v>2019</v>
      </c>
      <c r="L106" s="7" t="str">
        <f aca="false">IF(TRIM(E106)="","Unknown",IFERROR(LEFT(TRIM(E106),FIND(",",TRIM(E106))-1),TRIM(E106)))</f>
        <v>United States</v>
      </c>
      <c r="M106" s="7" t="str">
        <f aca="false">IFERROR(LEFT(J106,FIND(",",J106)-1),J106)</f>
        <v>Anime Features</v>
      </c>
      <c r="N106" s="7" t="n">
        <f aca="false">IF(B106="Movie",IFERROR(VALUE(LEFT(I106,FIND(" ",I106)-1)),""),"")</f>
        <v>42</v>
      </c>
      <c r="O106" s="7" t="str">
        <f aca="false">IF(B106="TV Show",IFERROR(VALUE(LEFT(I106,FIND(" ",I106)-1)),""),"")</f>
        <v/>
      </c>
      <c r="P106" s="7" t="n">
        <f aca="false">IF(K106="","",K106-G106)</f>
        <v>0</v>
      </c>
    </row>
    <row r="107" customFormat="false" ht="15" hidden="false" customHeight="false" outlineLevel="0" collapsed="false">
      <c r="A107" s="7" t="n">
        <v>80241248</v>
      </c>
      <c r="B107" s="7" t="s">
        <v>78</v>
      </c>
      <c r="C107" s="7" t="s">
        <v>407</v>
      </c>
      <c r="E107" s="7" t="s">
        <v>26</v>
      </c>
      <c r="F107" s="7" t="s">
        <v>392</v>
      </c>
      <c r="G107" s="7" t="n">
        <v>2019</v>
      </c>
      <c r="H107" s="7" t="s">
        <v>49</v>
      </c>
      <c r="I107" s="7" t="s">
        <v>82</v>
      </c>
      <c r="J107" s="7" t="s">
        <v>408</v>
      </c>
      <c r="K107" s="7" t="n">
        <f aca="false">IFERROR(VALUE(RIGHT(TRIM(F107),4)),"")</f>
        <v>2019</v>
      </c>
      <c r="L107" s="7" t="str">
        <f aca="false">IF(TRIM(E107)="","Unknown",IFERROR(LEFT(TRIM(E107),FIND(",",TRIM(E107))-1),TRIM(E107)))</f>
        <v>United States</v>
      </c>
      <c r="M107" s="7" t="str">
        <f aca="false">IFERROR(LEFT(J107,FIND(",",J107)-1),J107)</f>
        <v>TV Comedies</v>
      </c>
      <c r="N107" s="7" t="str">
        <f aca="false">IF(B107="Movie",IFERROR(VALUE(LEFT(I107,FIND(" ",I107)-1)),""),"")</f>
        <v/>
      </c>
      <c r="O107" s="7" t="n">
        <f aca="false">IF(B107="TV Show",IFERROR(VALUE(LEFT(I107,FIND(" ",I107)-1)),""),"")</f>
        <v>1</v>
      </c>
      <c r="P107" s="7" t="n">
        <f aca="false">IF(K107="","",K107-G107)</f>
        <v>0</v>
      </c>
    </row>
    <row r="108" customFormat="false" ht="15" hidden="false" customHeight="false" outlineLevel="0" collapsed="false">
      <c r="A108" s="7" t="n">
        <v>81012295</v>
      </c>
      <c r="B108" s="7" t="s">
        <v>68</v>
      </c>
      <c r="C108" s="7" t="s">
        <v>409</v>
      </c>
      <c r="D108" s="7" t="s">
        <v>410</v>
      </c>
      <c r="E108" s="7" t="s">
        <v>411</v>
      </c>
      <c r="F108" s="7" t="s">
        <v>412</v>
      </c>
      <c r="G108" s="7" t="n">
        <v>2016</v>
      </c>
      <c r="H108" s="7" t="s">
        <v>49</v>
      </c>
      <c r="I108" s="7" t="s">
        <v>111</v>
      </c>
      <c r="J108" s="7" t="s">
        <v>188</v>
      </c>
      <c r="K108" s="7" t="n">
        <f aca="false">IFERROR(VALUE(RIGHT(TRIM(F108),4)),"")</f>
        <v>2018</v>
      </c>
      <c r="L108" s="7" t="str">
        <f aca="false">IF(TRIM(E108)="","Unknown",IFERROR(LEFT(TRIM(E108),FIND(",",TRIM(E108))-1),TRIM(E108)))</f>
        <v>Hong Kong</v>
      </c>
      <c r="M108" s="7" t="str">
        <f aca="false">IFERROR(LEFT(J108,FIND(",",J108)-1),J108)</f>
        <v>Dramas</v>
      </c>
      <c r="N108" s="7" t="n">
        <f aca="false">IF(B108="Movie",IFERROR(VALUE(LEFT(I108,FIND(" ",I108)-1)),""),"")</f>
        <v>95</v>
      </c>
      <c r="O108" s="7" t="str">
        <f aca="false">IF(B108="TV Show",IFERROR(VALUE(LEFT(I108,FIND(" ",I108)-1)),""),"")</f>
        <v/>
      </c>
      <c r="P108" s="7" t="n">
        <f aca="false">IF(K108="","",K108-G108)</f>
        <v>2</v>
      </c>
    </row>
    <row r="109" customFormat="false" ht="15" hidden="false" customHeight="false" outlineLevel="0" collapsed="false">
      <c r="A109" s="7" t="n">
        <v>80060037</v>
      </c>
      <c r="B109" s="7" t="s">
        <v>68</v>
      </c>
      <c r="C109" s="7" t="s">
        <v>413</v>
      </c>
      <c r="D109" s="7" t="s">
        <v>414</v>
      </c>
      <c r="E109" s="7" t="s">
        <v>415</v>
      </c>
      <c r="F109" s="7" t="s">
        <v>416</v>
      </c>
      <c r="G109" s="7" t="n">
        <v>2015</v>
      </c>
      <c r="H109" s="7" t="s">
        <v>48</v>
      </c>
      <c r="I109" s="7" t="s">
        <v>417</v>
      </c>
      <c r="J109" s="7" t="s">
        <v>188</v>
      </c>
      <c r="K109" s="7" t="n">
        <f aca="false">IFERROR(VALUE(RIGHT(TRIM(F109),4)),"")</f>
        <v>2017</v>
      </c>
      <c r="L109" s="7" t="str">
        <f aca="false">IF(TRIM(E109)="","Unknown",IFERROR(LEFT(TRIM(E109),FIND(",",TRIM(E109))-1),TRIM(E109)))</f>
        <v>France</v>
      </c>
      <c r="M109" s="7" t="str">
        <f aca="false">IFERROR(LEFT(J109,FIND(",",J109)-1),J109)</f>
        <v>Dramas</v>
      </c>
      <c r="N109" s="7" t="n">
        <f aca="false">IF(B109="Movie",IFERROR(VALUE(LEFT(I109,FIND(" ",I109)-1)),""),"")</f>
        <v>104</v>
      </c>
      <c r="O109" s="7" t="str">
        <f aca="false">IF(B109="TV Show",IFERROR(VALUE(LEFT(I109,FIND(" ",I109)-1)),""),"")</f>
        <v/>
      </c>
      <c r="P109" s="7" t="n">
        <f aca="false">IF(K109="","",K109-G109)</f>
        <v>2</v>
      </c>
    </row>
    <row r="110" customFormat="false" ht="15" hidden="false" customHeight="false" outlineLevel="0" collapsed="false">
      <c r="A110" s="7" t="n">
        <v>60003155</v>
      </c>
      <c r="B110" s="7" t="s">
        <v>68</v>
      </c>
      <c r="C110" s="7" t="s">
        <v>418</v>
      </c>
      <c r="D110" s="7" t="s">
        <v>419</v>
      </c>
      <c r="E110" s="7" t="s">
        <v>26</v>
      </c>
      <c r="F110" s="7" t="s">
        <v>420</v>
      </c>
      <c r="G110" s="7" t="n">
        <v>2000</v>
      </c>
      <c r="H110" s="7" t="s">
        <v>50</v>
      </c>
      <c r="I110" s="7" t="s">
        <v>421</v>
      </c>
      <c r="J110" s="7" t="s">
        <v>422</v>
      </c>
      <c r="K110" s="7" t="n">
        <f aca="false">IFERROR(VALUE(RIGHT(TRIM(F110),4)),"")</f>
        <v>2011</v>
      </c>
      <c r="L110" s="7" t="str">
        <f aca="false">IF(TRIM(E110)="","Unknown",IFERROR(LEFT(TRIM(E110),FIND(",",TRIM(E110))-1),TRIM(E110)))</f>
        <v>United States</v>
      </c>
      <c r="M110" s="7" t="str">
        <f aca="false">IFERROR(LEFT(J110,FIND(",",J110)-1),J110)</f>
        <v>Children &amp; Family Movies</v>
      </c>
      <c r="N110" s="7" t="n">
        <f aca="false">IF(B110="Movie",IFERROR(VALUE(LEFT(I110,FIND(" ",I110)-1)),""),"")</f>
        <v>75</v>
      </c>
      <c r="O110" s="7" t="str">
        <f aca="false">IF(B110="TV Show",IFERROR(VALUE(LEFT(I110,FIND(" ",I110)-1)),""),"")</f>
        <v/>
      </c>
      <c r="P110" s="7" t="n">
        <f aca="false">IF(K110="","",K110-G110)</f>
        <v>11</v>
      </c>
    </row>
    <row r="111" customFormat="false" ht="15" hidden="false" customHeight="false" outlineLevel="0" collapsed="false">
      <c r="A111" s="7" t="n">
        <v>81177238</v>
      </c>
      <c r="B111" s="7" t="s">
        <v>68</v>
      </c>
      <c r="C111" s="7" t="s">
        <v>423</v>
      </c>
      <c r="D111" s="7" t="s">
        <v>424</v>
      </c>
      <c r="E111" s="7" t="s">
        <v>27</v>
      </c>
      <c r="F111" s="7" t="s">
        <v>425</v>
      </c>
      <c r="G111" s="7" t="n">
        <v>2019</v>
      </c>
      <c r="H111" s="7" t="s">
        <v>49</v>
      </c>
      <c r="I111" s="7" t="s">
        <v>201</v>
      </c>
      <c r="J111" s="7" t="s">
        <v>426</v>
      </c>
      <c r="K111" s="7" t="n">
        <f aca="false">IFERROR(VALUE(RIGHT(TRIM(F111),4)),"")</f>
        <v>2019</v>
      </c>
      <c r="L111" s="7" t="str">
        <f aca="false">IF(TRIM(E111)="","Unknown",IFERROR(LEFT(TRIM(E111),FIND(",",TRIM(E111))-1),TRIM(E111)))</f>
        <v>India</v>
      </c>
      <c r="M111" s="7" t="str">
        <f aca="false">IFERROR(LEFT(J111,FIND(",",J111)-1),J111)</f>
        <v>International Movies</v>
      </c>
      <c r="N111" s="7" t="n">
        <f aca="false">IF(B111="Movie",IFERROR(VALUE(LEFT(I111,FIND(" ",I111)-1)),""),"")</f>
        <v>133</v>
      </c>
      <c r="O111" s="7" t="str">
        <f aca="false">IF(B111="TV Show",IFERROR(VALUE(LEFT(I111,FIND(" ",I111)-1)),""),"")</f>
        <v/>
      </c>
      <c r="P111" s="7" t="n">
        <f aca="false">IF(K111="","",K111-G111)</f>
        <v>0</v>
      </c>
    </row>
    <row r="112" customFormat="false" ht="15" hidden="false" customHeight="false" outlineLevel="0" collapsed="false">
      <c r="A112" s="7" t="n">
        <v>70270775</v>
      </c>
      <c r="B112" s="7" t="s">
        <v>68</v>
      </c>
      <c r="C112" s="7" t="s">
        <v>427</v>
      </c>
      <c r="D112" s="7" t="s">
        <v>428</v>
      </c>
      <c r="E112" s="7" t="s">
        <v>429</v>
      </c>
      <c r="F112" s="7" t="s">
        <v>425</v>
      </c>
      <c r="G112" s="7" t="n">
        <v>2013</v>
      </c>
      <c r="H112" s="7" t="s">
        <v>52</v>
      </c>
      <c r="I112" s="7" t="s">
        <v>268</v>
      </c>
      <c r="J112" s="7" t="s">
        <v>112</v>
      </c>
      <c r="K112" s="7" t="n">
        <f aca="false">IFERROR(VALUE(RIGHT(TRIM(F112),4)),"")</f>
        <v>2019</v>
      </c>
      <c r="L112" s="7" t="str">
        <f aca="false">IF(TRIM(E112)="","Unknown",IFERROR(LEFT(TRIM(E112),FIND(",",TRIM(E112))-1),TRIM(E112)))</f>
        <v>Hong Kong</v>
      </c>
      <c r="M112" s="7" t="str">
        <f aca="false">IFERROR(LEFT(J112,FIND(",",J112)-1),J112)</f>
        <v>Action &amp; Adventure</v>
      </c>
      <c r="N112" s="7" t="n">
        <f aca="false">IF(B112="Movie",IFERROR(VALUE(LEFT(I112,FIND(" ",I112)-1)),""),"")</f>
        <v>108</v>
      </c>
      <c r="O112" s="7" t="str">
        <f aca="false">IF(B112="TV Show",IFERROR(VALUE(LEFT(I112,FIND(" ",I112)-1)),""),"")</f>
        <v/>
      </c>
      <c r="P112" s="7" t="n">
        <f aca="false">IF(K112="","",K112-G112)</f>
        <v>6</v>
      </c>
    </row>
    <row r="113" customFormat="false" ht="15" hidden="false" customHeight="false" outlineLevel="0" collapsed="false">
      <c r="A113" s="7" t="n">
        <v>81025403</v>
      </c>
      <c r="B113" s="7" t="s">
        <v>78</v>
      </c>
      <c r="C113" s="7" t="s">
        <v>430</v>
      </c>
      <c r="E113" s="7" t="s">
        <v>34</v>
      </c>
      <c r="F113" s="7" t="s">
        <v>425</v>
      </c>
      <c r="G113" s="7" t="n">
        <v>2018</v>
      </c>
      <c r="H113" s="7" t="s">
        <v>48</v>
      </c>
      <c r="I113" s="7" t="s">
        <v>82</v>
      </c>
      <c r="J113" s="7" t="s">
        <v>89</v>
      </c>
      <c r="K113" s="7" t="n">
        <f aca="false">IFERROR(VALUE(RIGHT(TRIM(F113),4)),"")</f>
        <v>2019</v>
      </c>
      <c r="L113" s="7" t="str">
        <f aca="false">IF(TRIM(E113)="","Unknown",IFERROR(LEFT(TRIM(E113),FIND(",",TRIM(E113))-1),TRIM(E113)))</f>
        <v>Mexico</v>
      </c>
      <c r="M113" s="7" t="str">
        <f aca="false">IFERROR(LEFT(J113,FIND(",",J113)-1),J113)</f>
        <v>Crime TV Shows</v>
      </c>
      <c r="N113" s="7" t="str">
        <f aca="false">IF(B113="Movie",IFERROR(VALUE(LEFT(I113,FIND(" ",I113)-1)),""),"")</f>
        <v/>
      </c>
      <c r="O113" s="7" t="n">
        <f aca="false">IF(B113="TV Show",IFERROR(VALUE(LEFT(I113,FIND(" ",I113)-1)),""),"")</f>
        <v>1</v>
      </c>
      <c r="P113" s="7" t="n">
        <f aca="false">IF(K113="","",K113-G113)</f>
        <v>1</v>
      </c>
    </row>
    <row r="114" customFormat="false" ht="15" hidden="false" customHeight="false" outlineLevel="0" collapsed="false">
      <c r="A114" s="7" t="n">
        <v>80215923</v>
      </c>
      <c r="B114" s="7" t="s">
        <v>68</v>
      </c>
      <c r="C114" s="7" t="s">
        <v>431</v>
      </c>
      <c r="D114" s="7" t="s">
        <v>432</v>
      </c>
      <c r="E114" s="7" t="s">
        <v>26</v>
      </c>
      <c r="F114" s="7" t="s">
        <v>433</v>
      </c>
      <c r="G114" s="7" t="n">
        <v>2018</v>
      </c>
      <c r="H114" s="7" t="s">
        <v>52</v>
      </c>
      <c r="I114" s="7" t="s">
        <v>330</v>
      </c>
      <c r="J114" s="7" t="s">
        <v>40</v>
      </c>
      <c r="K114" s="7" t="n">
        <f aca="false">IFERROR(VALUE(RIGHT(TRIM(F114),4)),"")</f>
        <v>2018</v>
      </c>
      <c r="L114" s="7" t="str">
        <f aca="false">IF(TRIM(E114)="","Unknown",IFERROR(LEFT(TRIM(E114),FIND(",",TRIM(E114))-1),TRIM(E114)))</f>
        <v>United States</v>
      </c>
      <c r="M114" s="7" t="str">
        <f aca="false">IFERROR(LEFT(J114,FIND(",",J114)-1),J114)</f>
        <v>Action &amp; Adventure</v>
      </c>
      <c r="N114" s="7" t="n">
        <f aca="false">IF(B114="Movie",IFERROR(VALUE(LEFT(I114,FIND(" ",I114)-1)),""),"")</f>
        <v>103</v>
      </c>
      <c r="O114" s="7" t="str">
        <f aca="false">IF(B114="TV Show",IFERROR(VALUE(LEFT(I114,FIND(" ",I114)-1)),""),"")</f>
        <v/>
      </c>
      <c r="P114" s="7" t="n">
        <f aca="false">IF(K114="","",K114-G114)</f>
        <v>0</v>
      </c>
    </row>
    <row r="115" customFormat="false" ht="15" hidden="false" customHeight="false" outlineLevel="0" collapsed="false">
      <c r="A115" s="7" t="n">
        <v>80151483</v>
      </c>
      <c r="B115" s="7" t="s">
        <v>68</v>
      </c>
      <c r="C115" s="7" t="s">
        <v>434</v>
      </c>
      <c r="D115" s="7" t="s">
        <v>435</v>
      </c>
      <c r="E115" s="7" t="s">
        <v>26</v>
      </c>
      <c r="F115" s="7" t="s">
        <v>436</v>
      </c>
      <c r="G115" s="7" t="n">
        <v>2017</v>
      </c>
      <c r="H115" s="7" t="s">
        <v>48</v>
      </c>
      <c r="I115" s="7" t="s">
        <v>437</v>
      </c>
      <c r="J115" s="7" t="s">
        <v>45</v>
      </c>
      <c r="K115" s="7" t="n">
        <f aca="false">IFERROR(VALUE(RIGHT(TRIM(F115),4)),"")</f>
        <v>2017</v>
      </c>
      <c r="L115" s="7" t="str">
        <f aca="false">IF(TRIM(E115)="","Unknown",IFERROR(LEFT(TRIM(E115),FIND(",",TRIM(E115))-1),TRIM(E115)))</f>
        <v>United States</v>
      </c>
      <c r="M115" s="7" t="str">
        <f aca="false">IFERROR(LEFT(J115,FIND(",",J115)-1),J115)</f>
        <v>Stand-Up Comedy</v>
      </c>
      <c r="N115" s="7" t="n">
        <f aca="false">IF(B115="Movie",IFERROR(VALUE(LEFT(I115,FIND(" ",I115)-1)),""),"")</f>
        <v>82</v>
      </c>
      <c r="O115" s="7" t="str">
        <f aca="false">IF(B115="TV Show",IFERROR(VALUE(LEFT(I115,FIND(" ",I115)-1)),""),"")</f>
        <v/>
      </c>
      <c r="P115" s="7" t="n">
        <f aca="false">IF(K115="","",K115-G115)</f>
        <v>0</v>
      </c>
    </row>
    <row r="116" customFormat="false" ht="15" hidden="false" customHeight="false" outlineLevel="0" collapsed="false">
      <c r="A116" s="7" t="n">
        <v>80173625</v>
      </c>
      <c r="B116" s="7" t="s">
        <v>68</v>
      </c>
      <c r="C116" s="7" t="s">
        <v>438</v>
      </c>
      <c r="D116" s="7" t="s">
        <v>439</v>
      </c>
      <c r="E116" s="7" t="s">
        <v>26</v>
      </c>
      <c r="F116" s="7" t="s">
        <v>436</v>
      </c>
      <c r="G116" s="7" t="n">
        <v>2016</v>
      </c>
      <c r="H116" s="7" t="s">
        <v>48</v>
      </c>
      <c r="I116" s="7" t="s">
        <v>77</v>
      </c>
      <c r="J116" s="7" t="s">
        <v>39</v>
      </c>
      <c r="K116" s="7" t="n">
        <f aca="false">IFERROR(VALUE(RIGHT(TRIM(F116),4)),"")</f>
        <v>2017</v>
      </c>
      <c r="L116" s="7" t="str">
        <f aca="false">IF(TRIM(E116)="","Unknown",IFERROR(LEFT(TRIM(E116),FIND(",",TRIM(E116))-1),TRIM(E116)))</f>
        <v>United States</v>
      </c>
      <c r="M116" s="7" t="str">
        <f aca="false">IFERROR(LEFT(J116,FIND(",",J116)-1),J116)</f>
        <v>Documentaries</v>
      </c>
      <c r="N116" s="7" t="n">
        <f aca="false">IF(B116="Movie",IFERROR(VALUE(LEFT(I116,FIND(" ",I116)-1)),""),"")</f>
        <v>94</v>
      </c>
      <c r="O116" s="7" t="str">
        <f aca="false">IF(B116="TV Show",IFERROR(VALUE(LEFT(I116,FIND(" ",I116)-1)),""),"")</f>
        <v/>
      </c>
      <c r="P116" s="7" t="n">
        <f aca="false">IF(K116="","",K116-G116)</f>
        <v>1</v>
      </c>
    </row>
    <row r="117" customFormat="false" ht="15" hidden="false" customHeight="false" outlineLevel="0" collapsed="false">
      <c r="A117" s="7" t="n">
        <v>80005444</v>
      </c>
      <c r="B117" s="7" t="s">
        <v>68</v>
      </c>
      <c r="C117" s="7" t="s">
        <v>440</v>
      </c>
      <c r="D117" s="7" t="s">
        <v>441</v>
      </c>
      <c r="E117" s="7" t="s">
        <v>26</v>
      </c>
      <c r="F117" s="7" t="s">
        <v>442</v>
      </c>
      <c r="G117" s="7" t="n">
        <v>2014</v>
      </c>
      <c r="H117" s="7" t="s">
        <v>49</v>
      </c>
      <c r="I117" s="7" t="s">
        <v>205</v>
      </c>
      <c r="J117" s="7" t="s">
        <v>39</v>
      </c>
      <c r="K117" s="7" t="n">
        <f aca="false">IFERROR(VALUE(RIGHT(TRIM(F117),4)),"")</f>
        <v>2014</v>
      </c>
      <c r="L117" s="7" t="str">
        <f aca="false">IF(TRIM(E117)="","Unknown",IFERROR(LEFT(TRIM(E117),FIND(",",TRIM(E117))-1),TRIM(E117)))</f>
        <v>United States</v>
      </c>
      <c r="M117" s="7" t="str">
        <f aca="false">IFERROR(LEFT(J117,FIND(",",J117)-1),J117)</f>
        <v>Documentaries</v>
      </c>
      <c r="N117" s="7" t="n">
        <f aca="false">IF(B117="Movie",IFERROR(VALUE(LEFT(I117,FIND(" ",I117)-1)),""),"")</f>
        <v>100</v>
      </c>
      <c r="O117" s="7" t="str">
        <f aca="false">IF(B117="TV Show",IFERROR(VALUE(LEFT(I117,FIND(" ",I117)-1)),""),"")</f>
        <v/>
      </c>
      <c r="P117" s="7" t="n">
        <f aca="false">IF(K117="","",K117-G117)</f>
        <v>0</v>
      </c>
    </row>
    <row r="118" customFormat="false" ht="15" hidden="false" customHeight="false" outlineLevel="0" collapsed="false">
      <c r="A118" s="7" t="n">
        <v>80244682</v>
      </c>
      <c r="B118" s="7" t="s">
        <v>68</v>
      </c>
      <c r="C118" s="7" t="s">
        <v>443</v>
      </c>
      <c r="D118" s="7" t="s">
        <v>444</v>
      </c>
      <c r="E118" s="7" t="s">
        <v>445</v>
      </c>
      <c r="F118" s="7" t="s">
        <v>446</v>
      </c>
      <c r="G118" s="7" t="n">
        <v>2019</v>
      </c>
      <c r="H118" s="7" t="s">
        <v>226</v>
      </c>
      <c r="I118" s="7" t="s">
        <v>447</v>
      </c>
      <c r="J118" s="7" t="s">
        <v>341</v>
      </c>
      <c r="K118" s="7" t="n">
        <f aca="false">IFERROR(VALUE(RIGHT(TRIM(F118),4)),"")</f>
        <v>2019</v>
      </c>
      <c r="L118" s="7" t="str">
        <f aca="false">IF(TRIM(E118)="","Unknown",IFERROR(LEFT(TRIM(E118),FIND(",",TRIM(E118))-1),TRIM(E118)))</f>
        <v>United States</v>
      </c>
      <c r="M118" s="7" t="str">
        <f aca="false">IFERROR(LEFT(J118,FIND(",",J118)-1),J118)</f>
        <v>Documentaries</v>
      </c>
      <c r="N118" s="7" t="n">
        <f aca="false">IF(B118="Movie",IFERROR(VALUE(LEFT(I118,FIND(" ",I118)-1)),""),"")</f>
        <v>38</v>
      </c>
      <c r="O118" s="7" t="str">
        <f aca="false">IF(B118="TV Show",IFERROR(VALUE(LEFT(I118,FIND(" ",I118)-1)),""),"")</f>
        <v/>
      </c>
      <c r="P118" s="7" t="n">
        <f aca="false">IF(K118="","",K118-G118)</f>
        <v>0</v>
      </c>
    </row>
    <row r="119" customFormat="false" ht="15" hidden="false" customHeight="false" outlineLevel="0" collapsed="false">
      <c r="A119" s="7" t="n">
        <v>81075519</v>
      </c>
      <c r="B119" s="7" t="s">
        <v>68</v>
      </c>
      <c r="C119" s="7" t="s">
        <v>448</v>
      </c>
      <c r="D119" s="7" t="s">
        <v>449</v>
      </c>
      <c r="E119" s="7" t="s">
        <v>450</v>
      </c>
      <c r="F119" s="7" t="s">
        <v>446</v>
      </c>
      <c r="G119" s="7" t="n">
        <v>2019</v>
      </c>
      <c r="H119" s="7" t="s">
        <v>48</v>
      </c>
      <c r="I119" s="7" t="s">
        <v>451</v>
      </c>
      <c r="J119" s="7" t="s">
        <v>112</v>
      </c>
      <c r="K119" s="7" t="n">
        <f aca="false">IFERROR(VALUE(RIGHT(TRIM(F119),4)),"")</f>
        <v>2019</v>
      </c>
      <c r="L119" s="7" t="str">
        <f aca="false">IF(TRIM(E119)="","Unknown",IFERROR(LEFT(TRIM(E119),FIND(",",TRIM(E119))-1),TRIM(E119)))</f>
        <v>Vietnam</v>
      </c>
      <c r="M119" s="7" t="str">
        <f aca="false">IFERROR(LEFT(J119,FIND(",",J119)-1),J119)</f>
        <v>Action &amp; Adventure</v>
      </c>
      <c r="N119" s="7" t="n">
        <f aca="false">IF(B119="Movie",IFERROR(VALUE(LEFT(I119,FIND(" ",I119)-1)),""),"")</f>
        <v>97</v>
      </c>
      <c r="O119" s="7" t="str">
        <f aca="false">IF(B119="TV Show",IFERROR(VALUE(LEFT(I119,FIND(" ",I119)-1)),""),"")</f>
        <v/>
      </c>
      <c r="P119" s="7" t="n">
        <f aca="false">IF(K119="","",K119-G119)</f>
        <v>0</v>
      </c>
    </row>
    <row r="120" customFormat="false" ht="15" hidden="false" customHeight="false" outlineLevel="0" collapsed="false">
      <c r="A120" s="7" t="n">
        <v>80166318</v>
      </c>
      <c r="B120" s="7" t="s">
        <v>68</v>
      </c>
      <c r="C120" s="7" t="s">
        <v>452</v>
      </c>
      <c r="D120" s="7" t="s">
        <v>453</v>
      </c>
      <c r="E120" s="7" t="s">
        <v>454</v>
      </c>
      <c r="F120" s="7" t="s">
        <v>446</v>
      </c>
      <c r="G120" s="7" t="n">
        <v>2016</v>
      </c>
      <c r="H120" s="7" t="s">
        <v>54</v>
      </c>
      <c r="I120" s="7" t="s">
        <v>357</v>
      </c>
      <c r="J120" s="7" t="s">
        <v>74</v>
      </c>
      <c r="K120" s="7" t="n">
        <f aca="false">IFERROR(VALUE(RIGHT(TRIM(F120),4)),"")</f>
        <v>2019</v>
      </c>
      <c r="L120" s="7" t="str">
        <f aca="false">IF(TRIM(E120)="","Unknown",IFERROR(LEFT(TRIM(E120),FIND(",",TRIM(E120))-1),TRIM(E120)))</f>
        <v>France</v>
      </c>
      <c r="M120" s="7" t="str">
        <f aca="false">IFERROR(LEFT(J120,FIND(",",J120)-1),J120)</f>
        <v>Children &amp; Family Movies</v>
      </c>
      <c r="N120" s="7" t="n">
        <f aca="false">IF(B120="Movie",IFERROR(VALUE(LEFT(I120,FIND(" ",I120)-1)),""),"")</f>
        <v>89</v>
      </c>
      <c r="O120" s="7" t="str">
        <f aca="false">IF(B120="TV Show",IFERROR(VALUE(LEFT(I120,FIND(" ",I120)-1)),""),"")</f>
        <v/>
      </c>
      <c r="P120" s="7" t="n">
        <f aca="false">IF(K120="","",K120-G120)</f>
        <v>3</v>
      </c>
    </row>
    <row r="121" customFormat="false" ht="15" hidden="false" customHeight="false" outlineLevel="0" collapsed="false">
      <c r="A121" s="7" t="n">
        <v>81186758</v>
      </c>
      <c r="B121" s="7" t="s">
        <v>68</v>
      </c>
      <c r="C121" s="7" t="s">
        <v>455</v>
      </c>
      <c r="D121" s="7" t="s">
        <v>456</v>
      </c>
      <c r="E121" s="7" t="s">
        <v>27</v>
      </c>
      <c r="F121" s="7" t="s">
        <v>446</v>
      </c>
      <c r="G121" s="7" t="n">
        <v>2019</v>
      </c>
      <c r="H121" s="7" t="s">
        <v>49</v>
      </c>
      <c r="I121" s="7" t="s">
        <v>216</v>
      </c>
      <c r="J121" s="7" t="s">
        <v>457</v>
      </c>
      <c r="K121" s="7" t="n">
        <f aca="false">IFERROR(VALUE(RIGHT(TRIM(F121),4)),"")</f>
        <v>2019</v>
      </c>
      <c r="L121" s="7" t="str">
        <f aca="false">IF(TRIM(E121)="","Unknown",IFERROR(LEFT(TRIM(E121),FIND(",",TRIM(E121))-1),TRIM(E121)))</f>
        <v>India</v>
      </c>
      <c r="M121" s="7" t="str">
        <f aca="false">IFERROR(LEFT(J121,FIND(",",J121)-1),J121)</f>
        <v>Comedies</v>
      </c>
      <c r="N121" s="7" t="n">
        <f aca="false">IF(B121="Movie",IFERROR(VALUE(LEFT(I121,FIND(" ",I121)-1)),""),"")</f>
        <v>146</v>
      </c>
      <c r="O121" s="7" t="str">
        <f aca="false">IF(B121="TV Show",IFERROR(VALUE(LEFT(I121,FIND(" ",I121)-1)),""),"")</f>
        <v/>
      </c>
      <c r="P121" s="7" t="n">
        <f aca="false">IF(K121="","",K121-G121)</f>
        <v>0</v>
      </c>
    </row>
    <row r="122" customFormat="false" ht="15" hidden="false" customHeight="false" outlineLevel="0" collapsed="false">
      <c r="A122" s="7" t="n">
        <v>81186757</v>
      </c>
      <c r="B122" s="7" t="s">
        <v>68</v>
      </c>
      <c r="C122" s="7" t="s">
        <v>458</v>
      </c>
      <c r="D122" s="7" t="s">
        <v>456</v>
      </c>
      <c r="E122" s="7" t="s">
        <v>27</v>
      </c>
      <c r="F122" s="7" t="s">
        <v>446</v>
      </c>
      <c r="G122" s="7" t="n">
        <v>2019</v>
      </c>
      <c r="H122" s="7" t="s">
        <v>49</v>
      </c>
      <c r="I122" s="7" t="s">
        <v>216</v>
      </c>
      <c r="J122" s="7" t="s">
        <v>457</v>
      </c>
      <c r="K122" s="7" t="n">
        <f aca="false">IFERROR(VALUE(RIGHT(TRIM(F122),4)),"")</f>
        <v>2019</v>
      </c>
      <c r="L122" s="7" t="str">
        <f aca="false">IF(TRIM(E122)="","Unknown",IFERROR(LEFT(TRIM(E122),FIND(",",TRIM(E122))-1),TRIM(E122)))</f>
        <v>India</v>
      </c>
      <c r="M122" s="7" t="str">
        <f aca="false">IFERROR(LEFT(J122,FIND(",",J122)-1),J122)</f>
        <v>Comedies</v>
      </c>
      <c r="N122" s="7" t="n">
        <f aca="false">IF(B122="Movie",IFERROR(VALUE(LEFT(I122,FIND(" ",I122)-1)),""),"")</f>
        <v>146</v>
      </c>
      <c r="O122" s="7" t="str">
        <f aca="false">IF(B122="TV Show",IFERROR(VALUE(LEFT(I122,FIND(" ",I122)-1)),""),"")</f>
        <v/>
      </c>
      <c r="P122" s="7" t="n">
        <f aca="false">IF(K122="","",K122-G122)</f>
        <v>0</v>
      </c>
    </row>
    <row r="123" customFormat="false" ht="15" hidden="false" customHeight="false" outlineLevel="0" collapsed="false">
      <c r="A123" s="7" t="n">
        <v>80108976</v>
      </c>
      <c r="B123" s="7" t="s">
        <v>68</v>
      </c>
      <c r="C123" s="7" t="s">
        <v>459</v>
      </c>
      <c r="D123" s="7" t="s">
        <v>460</v>
      </c>
      <c r="E123" s="7" t="s">
        <v>26</v>
      </c>
      <c r="F123" s="7" t="s">
        <v>446</v>
      </c>
      <c r="G123" s="7" t="n">
        <v>2016</v>
      </c>
      <c r="H123" s="7" t="s">
        <v>51</v>
      </c>
      <c r="I123" s="7" t="s">
        <v>247</v>
      </c>
      <c r="J123" s="7" t="s">
        <v>40</v>
      </c>
      <c r="K123" s="7" t="n">
        <f aca="false">IFERROR(VALUE(RIGHT(TRIM(F123),4)),"")</f>
        <v>2019</v>
      </c>
      <c r="L123" s="7" t="str">
        <f aca="false">IF(TRIM(E123)="","Unknown",IFERROR(LEFT(TRIM(E123),FIND(",",TRIM(E123))-1),TRIM(E123)))</f>
        <v>United States</v>
      </c>
      <c r="M123" s="7" t="str">
        <f aca="false">IFERROR(LEFT(J123,FIND(",",J123)-1),J123)</f>
        <v>Action &amp; Adventure</v>
      </c>
      <c r="N123" s="7" t="n">
        <f aca="false">IF(B123="Movie",IFERROR(VALUE(LEFT(I123,FIND(" ",I123)-1)),""),"")</f>
        <v>130</v>
      </c>
      <c r="O123" s="7" t="str">
        <f aca="false">IF(B123="TV Show",IFERROR(VALUE(LEFT(I123,FIND(" ",I123)-1)),""),"")</f>
        <v/>
      </c>
      <c r="P123" s="7" t="n">
        <f aca="false">IF(K123="","",K123-G123)</f>
        <v>3</v>
      </c>
    </row>
    <row r="124" customFormat="false" ht="15" hidden="false" customHeight="false" outlineLevel="0" collapsed="false">
      <c r="A124" s="7" t="n">
        <v>80208155</v>
      </c>
      <c r="B124" s="7" t="s">
        <v>68</v>
      </c>
      <c r="C124" s="7" t="s">
        <v>461</v>
      </c>
      <c r="D124" s="7" t="s">
        <v>462</v>
      </c>
      <c r="E124" s="7" t="s">
        <v>26</v>
      </c>
      <c r="F124" s="7" t="s">
        <v>463</v>
      </c>
      <c r="G124" s="7" t="n">
        <v>2018</v>
      </c>
      <c r="H124" s="7" t="s">
        <v>54</v>
      </c>
      <c r="I124" s="7" t="s">
        <v>93</v>
      </c>
      <c r="J124" s="7" t="s">
        <v>42</v>
      </c>
      <c r="K124" s="7" t="n">
        <f aca="false">IFERROR(VALUE(RIGHT(TRIM(F124),4)),"")</f>
        <v>2018</v>
      </c>
      <c r="L124" s="7" t="str">
        <f aca="false">IF(TRIM(E124)="","Unknown",IFERROR(LEFT(TRIM(E124),FIND(",",TRIM(E124))-1),TRIM(E124)))</f>
        <v>United States</v>
      </c>
      <c r="M124" s="7" t="str">
        <f aca="false">IFERROR(LEFT(J124,FIND(",",J124)-1),J124)</f>
        <v>Children &amp; Family Movies</v>
      </c>
      <c r="N124" s="7" t="n">
        <f aca="false">IF(B124="Movie",IFERROR(VALUE(LEFT(I124,FIND(" ",I124)-1)),""),"")</f>
        <v>110</v>
      </c>
      <c r="O124" s="7" t="str">
        <f aca="false">IF(B124="TV Show",IFERROR(VALUE(LEFT(I124,FIND(" ",I124)-1)),""),"")</f>
        <v/>
      </c>
      <c r="P124" s="7" t="n">
        <f aca="false">IF(K124="","",K124-G124)</f>
        <v>0</v>
      </c>
    </row>
    <row r="125" customFormat="false" ht="15" hidden="false" customHeight="false" outlineLevel="0" collapsed="false">
      <c r="A125" s="7" t="n">
        <v>80198423</v>
      </c>
      <c r="B125" s="7" t="s">
        <v>68</v>
      </c>
      <c r="C125" s="7" t="s">
        <v>464</v>
      </c>
      <c r="D125" s="7" t="s">
        <v>465</v>
      </c>
      <c r="E125" s="7" t="s">
        <v>26</v>
      </c>
      <c r="F125" s="7" t="s">
        <v>466</v>
      </c>
      <c r="G125" s="7" t="n">
        <v>2017</v>
      </c>
      <c r="H125" s="7" t="s">
        <v>49</v>
      </c>
      <c r="I125" s="7" t="s">
        <v>467</v>
      </c>
      <c r="J125" s="7" t="s">
        <v>39</v>
      </c>
      <c r="K125" s="7" t="n">
        <f aca="false">IFERROR(VALUE(RIGHT(TRIM(F125),4)),"")</f>
        <v>2017</v>
      </c>
      <c r="L125" s="7" t="str">
        <f aca="false">IF(TRIM(E125)="","Unknown",IFERROR(LEFT(TRIM(E125),FIND(",",TRIM(E125))-1),TRIM(E125)))</f>
        <v>United States</v>
      </c>
      <c r="M125" s="7" t="str">
        <f aca="false">IFERROR(LEFT(J125,FIND(",",J125)-1),J125)</f>
        <v>Documentaries</v>
      </c>
      <c r="N125" s="7" t="n">
        <f aca="false">IF(B125="Movie",IFERROR(VALUE(LEFT(I125,FIND(" ",I125)-1)),""),"")</f>
        <v>81</v>
      </c>
      <c r="O125" s="7" t="str">
        <f aca="false">IF(B125="TV Show",IFERROR(VALUE(LEFT(I125,FIND(" ",I125)-1)),""),"")</f>
        <v/>
      </c>
      <c r="P125" s="7" t="n">
        <f aca="false">IF(K125="","",K125-G125)</f>
        <v>0</v>
      </c>
    </row>
    <row r="126" customFormat="false" ht="15" hidden="false" customHeight="false" outlineLevel="0" collapsed="false">
      <c r="A126" s="7" t="n">
        <v>80162144</v>
      </c>
      <c r="B126" s="7" t="s">
        <v>68</v>
      </c>
      <c r="C126" s="7" t="s">
        <v>468</v>
      </c>
      <c r="D126" s="7" t="s">
        <v>469</v>
      </c>
      <c r="E126" s="7" t="s">
        <v>28</v>
      </c>
      <c r="F126" s="7" t="s">
        <v>466</v>
      </c>
      <c r="G126" s="7" t="n">
        <v>2016</v>
      </c>
      <c r="H126" s="7" t="s">
        <v>48</v>
      </c>
      <c r="I126" s="7" t="s">
        <v>470</v>
      </c>
      <c r="J126" s="7" t="s">
        <v>471</v>
      </c>
      <c r="K126" s="7" t="n">
        <f aca="false">IFERROR(VALUE(RIGHT(TRIM(F126),4)),"")</f>
        <v>2017</v>
      </c>
      <c r="L126" s="7" t="str">
        <f aca="false">IF(TRIM(E126)="","Unknown",IFERROR(LEFT(TRIM(E126),FIND(",",TRIM(E126))-1),TRIM(E126)))</f>
        <v>United Kingdom</v>
      </c>
      <c r="M126" s="7" t="str">
        <f aca="false">IFERROR(LEFT(J126,FIND(",",J126)-1),J126)</f>
        <v>Comedies</v>
      </c>
      <c r="N126" s="7" t="n">
        <f aca="false">IF(B126="Movie",IFERROR(VALUE(LEFT(I126,FIND(" ",I126)-1)),""),"")</f>
        <v>91</v>
      </c>
      <c r="O126" s="7" t="str">
        <f aca="false">IF(B126="TV Show",IFERROR(VALUE(LEFT(I126,FIND(" ",I126)-1)),""),"")</f>
        <v/>
      </c>
      <c r="P126" s="7" t="n">
        <f aca="false">IF(K126="","",K126-G126)</f>
        <v>1</v>
      </c>
    </row>
    <row r="127" customFormat="false" ht="15" hidden="false" customHeight="false" outlineLevel="0" collapsed="false">
      <c r="A127" s="7" t="n">
        <v>81053953</v>
      </c>
      <c r="B127" s="7" t="s">
        <v>68</v>
      </c>
      <c r="C127" s="7" t="s">
        <v>472</v>
      </c>
      <c r="D127" s="7" t="s">
        <v>473</v>
      </c>
      <c r="E127" s="7" t="s">
        <v>26</v>
      </c>
      <c r="F127" s="7" t="s">
        <v>474</v>
      </c>
      <c r="G127" s="7" t="n">
        <v>2019</v>
      </c>
      <c r="H127" s="7" t="s">
        <v>51</v>
      </c>
      <c r="I127" s="7" t="s">
        <v>173</v>
      </c>
      <c r="J127" s="7" t="s">
        <v>40</v>
      </c>
      <c r="K127" s="7" t="n">
        <f aca="false">IFERROR(VALUE(RIGHT(TRIM(F127),4)),"")</f>
        <v>2019</v>
      </c>
      <c r="L127" s="7" t="str">
        <f aca="false">IF(TRIM(E127)="","Unknown",IFERROR(LEFT(TRIM(E127),FIND(",",TRIM(E127))-1),TRIM(E127)))</f>
        <v>United States</v>
      </c>
      <c r="M127" s="7" t="str">
        <f aca="false">IFERROR(LEFT(J127,FIND(",",J127)-1),J127)</f>
        <v>Action &amp; Adventure</v>
      </c>
      <c r="N127" s="7" t="n">
        <f aca="false">IF(B127="Movie",IFERROR(VALUE(LEFT(I127,FIND(" ",I127)-1)),""),"")</f>
        <v>106</v>
      </c>
      <c r="O127" s="7" t="str">
        <f aca="false">IF(B127="TV Show",IFERROR(VALUE(LEFT(I127,FIND(" ",I127)-1)),""),"")</f>
        <v/>
      </c>
      <c r="P127" s="7" t="n">
        <f aca="false">IF(K127="","",K127-G127)</f>
        <v>0</v>
      </c>
    </row>
    <row r="128" customFormat="false" ht="15" hidden="false" customHeight="false" outlineLevel="0" collapsed="false">
      <c r="A128" s="7" t="n">
        <v>81074113</v>
      </c>
      <c r="B128" s="7" t="s">
        <v>68</v>
      </c>
      <c r="C128" s="7" t="s">
        <v>475</v>
      </c>
      <c r="D128" s="7" t="s">
        <v>476</v>
      </c>
      <c r="E128" s="7" t="s">
        <v>26</v>
      </c>
      <c r="F128" s="7" t="s">
        <v>474</v>
      </c>
      <c r="G128" s="7" t="n">
        <v>2019</v>
      </c>
      <c r="H128" s="7" t="s">
        <v>48</v>
      </c>
      <c r="I128" s="7" t="s">
        <v>114</v>
      </c>
      <c r="J128" s="7" t="s">
        <v>45</v>
      </c>
      <c r="K128" s="7" t="n">
        <f aca="false">IFERROR(VALUE(RIGHT(TRIM(F128),4)),"")</f>
        <v>2019</v>
      </c>
      <c r="L128" s="7" t="str">
        <f aca="false">IF(TRIM(E128)="","Unknown",IFERROR(LEFT(TRIM(E128),FIND(",",TRIM(E128))-1),TRIM(E128)))</f>
        <v>United States</v>
      </c>
      <c r="M128" s="7" t="str">
        <f aca="false">IFERROR(LEFT(J128,FIND(",",J128)-1),J128)</f>
        <v>Stand-Up Comedy</v>
      </c>
      <c r="N128" s="7" t="n">
        <f aca="false">IF(B128="Movie",IFERROR(VALUE(LEFT(I128,FIND(" ",I128)-1)),""),"")</f>
        <v>58</v>
      </c>
      <c r="O128" s="7" t="str">
        <f aca="false">IF(B128="TV Show",IFERROR(VALUE(LEFT(I128,FIND(" ",I128)-1)),""),"")</f>
        <v/>
      </c>
      <c r="P128" s="7" t="n">
        <f aca="false">IF(K128="","",K128-G128)</f>
        <v>0</v>
      </c>
    </row>
    <row r="129" customFormat="false" ht="15" hidden="false" customHeight="false" outlineLevel="0" collapsed="false">
      <c r="A129" s="7" t="n">
        <v>80992496</v>
      </c>
      <c r="B129" s="7" t="s">
        <v>68</v>
      </c>
      <c r="C129" s="7" t="s">
        <v>477</v>
      </c>
      <c r="D129" s="7" t="s">
        <v>478</v>
      </c>
      <c r="E129" s="7" t="s">
        <v>366</v>
      </c>
      <c r="F129" s="7" t="s">
        <v>479</v>
      </c>
      <c r="G129" s="7" t="n">
        <v>2017</v>
      </c>
      <c r="H129" s="7" t="s">
        <v>48</v>
      </c>
      <c r="I129" s="7" t="s">
        <v>326</v>
      </c>
      <c r="J129" s="7" t="s">
        <v>322</v>
      </c>
      <c r="K129" s="7" t="n">
        <f aca="false">IFERROR(VALUE(RIGHT(TRIM(F129),4)),"")</f>
        <v>2018</v>
      </c>
      <c r="L129" s="7" t="str">
        <f aca="false">IF(TRIM(E129)="","Unknown",IFERROR(LEFT(TRIM(E129),FIND(",",TRIM(E129))-1),TRIM(E129)))</f>
        <v>China</v>
      </c>
      <c r="M129" s="7" t="str">
        <f aca="false">IFERROR(LEFT(J129,FIND(",",J129)-1),J129)</f>
        <v>Action &amp; Adventure</v>
      </c>
      <c r="N129" s="7" t="n">
        <f aca="false">IF(B129="Movie",IFERROR(VALUE(LEFT(I129,FIND(" ",I129)-1)),""),"")</f>
        <v>111</v>
      </c>
      <c r="O129" s="7" t="str">
        <f aca="false">IF(B129="TV Show",IFERROR(VALUE(LEFT(I129,FIND(" ",I129)-1)),""),"")</f>
        <v/>
      </c>
      <c r="P129" s="7" t="n">
        <f aca="false">IF(K129="","",K129-G129)</f>
        <v>1</v>
      </c>
    </row>
    <row r="130" customFormat="false" ht="15" hidden="false" customHeight="false" outlineLevel="0" collapsed="false">
      <c r="A130" s="7" t="n">
        <v>70304191</v>
      </c>
      <c r="B130" s="7" t="s">
        <v>68</v>
      </c>
      <c r="C130" s="7" t="s">
        <v>480</v>
      </c>
      <c r="D130" s="7" t="s">
        <v>481</v>
      </c>
      <c r="E130" s="7" t="s">
        <v>29</v>
      </c>
      <c r="F130" s="7" t="s">
        <v>482</v>
      </c>
      <c r="G130" s="7" t="n">
        <v>2014</v>
      </c>
      <c r="H130" s="7" t="s">
        <v>53</v>
      </c>
      <c r="I130" s="7" t="s">
        <v>168</v>
      </c>
      <c r="J130" s="7" t="s">
        <v>202</v>
      </c>
      <c r="K130" s="7" t="n">
        <f aca="false">IFERROR(VALUE(RIGHT(TRIM(F130),4)),"")</f>
        <v>2017</v>
      </c>
      <c r="L130" s="7" t="str">
        <f aca="false">IF(TRIM(E130)="","Unknown",IFERROR(LEFT(TRIM(E130),FIND(",",TRIM(E130))-1),TRIM(E130)))</f>
        <v>Canada</v>
      </c>
      <c r="M130" s="7" t="str">
        <f aca="false">IFERROR(LEFT(J130,FIND(",",J130)-1),J130)</f>
        <v>Comedies</v>
      </c>
      <c r="N130" s="7" t="n">
        <f aca="false">IF(B130="Movie",IFERROR(VALUE(LEFT(I130,FIND(" ",I130)-1)),""),"")</f>
        <v>112</v>
      </c>
      <c r="O130" s="7" t="str">
        <f aca="false">IF(B130="TV Show",IFERROR(VALUE(LEFT(I130,FIND(" ",I130)-1)),""),"")</f>
        <v/>
      </c>
      <c r="P130" s="7" t="n">
        <f aca="false">IF(K130="","",K130-G130)</f>
        <v>3</v>
      </c>
    </row>
    <row r="131" customFormat="false" ht="15" hidden="false" customHeight="false" outlineLevel="0" collapsed="false">
      <c r="A131" s="7" t="n">
        <v>80103311</v>
      </c>
      <c r="B131" s="7" t="s">
        <v>68</v>
      </c>
      <c r="C131" s="7" t="s">
        <v>483</v>
      </c>
      <c r="D131" s="7" t="s">
        <v>484</v>
      </c>
      <c r="E131" s="7" t="s">
        <v>485</v>
      </c>
      <c r="F131" s="7" t="s">
        <v>482</v>
      </c>
      <c r="G131" s="7" t="n">
        <v>2017</v>
      </c>
      <c r="H131" s="7" t="s">
        <v>48</v>
      </c>
      <c r="I131" s="7" t="s">
        <v>181</v>
      </c>
      <c r="J131" s="7" t="s">
        <v>486</v>
      </c>
      <c r="K131" s="7" t="n">
        <f aca="false">IFERROR(VALUE(RIGHT(TRIM(F131),4)),"")</f>
        <v>2017</v>
      </c>
      <c r="L131" s="7" t="str">
        <f aca="false">IF(TRIM(E131)="","Unknown",IFERROR(LEFT(TRIM(E131),FIND(",",TRIM(E131))-1),TRIM(E131)))</f>
        <v>Spain</v>
      </c>
      <c r="M131" s="7" t="str">
        <f aca="false">IFERROR(LEFT(J131,FIND(",",J131)-1),J131)</f>
        <v>Comedies</v>
      </c>
      <c r="N131" s="7" t="n">
        <f aca="false">IF(B131="Movie",IFERROR(VALUE(LEFT(I131,FIND(" ",I131)-1)),""),"")</f>
        <v>102</v>
      </c>
      <c r="O131" s="7" t="str">
        <f aca="false">IF(B131="TV Show",IFERROR(VALUE(LEFT(I131,FIND(" ",I131)-1)),""),"")</f>
        <v/>
      </c>
      <c r="P131" s="7" t="n">
        <f aca="false">IF(K131="","",K131-G131)</f>
        <v>0</v>
      </c>
    </row>
    <row r="132" customFormat="false" ht="15" hidden="false" customHeight="false" outlineLevel="0" collapsed="false">
      <c r="A132" s="7" t="n">
        <v>81176200</v>
      </c>
      <c r="B132" s="7" t="s">
        <v>68</v>
      </c>
      <c r="C132" s="7" t="s">
        <v>487</v>
      </c>
      <c r="D132" s="7" t="s">
        <v>488</v>
      </c>
      <c r="E132" s="7" t="s">
        <v>27</v>
      </c>
      <c r="F132" s="7" t="s">
        <v>489</v>
      </c>
      <c r="G132" s="7" t="n">
        <v>2019</v>
      </c>
      <c r="H132" s="7" t="s">
        <v>48</v>
      </c>
      <c r="I132" s="7" t="s">
        <v>490</v>
      </c>
      <c r="J132" s="7" t="s">
        <v>217</v>
      </c>
      <c r="K132" s="7" t="n">
        <f aca="false">IFERROR(VALUE(RIGHT(TRIM(F132),4)),"")</f>
        <v>2019</v>
      </c>
      <c r="L132" s="7" t="str">
        <f aca="false">IF(TRIM(E132)="","Unknown",IFERROR(LEFT(TRIM(E132),FIND(",",TRIM(E132))-1),TRIM(E132)))</f>
        <v>India</v>
      </c>
      <c r="M132" s="7" t="str">
        <f aca="false">IFERROR(LEFT(J132,FIND(",",J132)-1),J132)</f>
        <v>Comedies</v>
      </c>
      <c r="N132" s="7" t="n">
        <f aca="false">IF(B132="Movie",IFERROR(VALUE(LEFT(I132,FIND(" ",I132)-1)),""),"")</f>
        <v>152</v>
      </c>
      <c r="O132" s="7" t="str">
        <f aca="false">IF(B132="TV Show",IFERROR(VALUE(LEFT(I132,FIND(" ",I132)-1)),""),"")</f>
        <v/>
      </c>
      <c r="P132" s="7" t="n">
        <f aca="false">IF(K132="","",K132-G132)</f>
        <v>0</v>
      </c>
    </row>
    <row r="133" customFormat="false" ht="15" hidden="false" customHeight="false" outlineLevel="0" collapsed="false">
      <c r="A133" s="7" t="n">
        <v>80238106</v>
      </c>
      <c r="B133" s="7" t="s">
        <v>78</v>
      </c>
      <c r="C133" s="7" t="s">
        <v>491</v>
      </c>
      <c r="F133" s="7" t="s">
        <v>489</v>
      </c>
      <c r="G133" s="7" t="n">
        <v>2019</v>
      </c>
      <c r="H133" s="7" t="s">
        <v>50</v>
      </c>
      <c r="I133" s="7" t="s">
        <v>82</v>
      </c>
      <c r="J133" s="7" t="s">
        <v>191</v>
      </c>
      <c r="K133" s="7" t="n">
        <f aca="false">IFERROR(VALUE(RIGHT(TRIM(F133),4)),"")</f>
        <v>2019</v>
      </c>
      <c r="L133" s="7" t="str">
        <f aca="false">IF(TRIM(E133)="","Unknown",IFERROR(LEFT(TRIM(E133),FIND(",",TRIM(E133))-1),TRIM(E133)))</f>
        <v>Unknown</v>
      </c>
      <c r="M133" s="7" t="str">
        <f aca="false">IFERROR(LEFT(J133,FIND(",",J133)-1),J133)</f>
        <v>Kids' TV</v>
      </c>
      <c r="N133" s="7" t="str">
        <f aca="false">IF(B133="Movie",IFERROR(VALUE(LEFT(I133,FIND(" ",I133)-1)),""),"")</f>
        <v/>
      </c>
      <c r="O133" s="7" t="n">
        <f aca="false">IF(B133="TV Show",IFERROR(VALUE(LEFT(I133,FIND(" ",I133)-1)),""),"")</f>
        <v>1</v>
      </c>
      <c r="P133" s="7" t="n">
        <f aca="false">IF(K133="","",K133-G133)</f>
        <v>0</v>
      </c>
    </row>
    <row r="134" customFormat="false" ht="15" hidden="false" customHeight="false" outlineLevel="0" collapsed="false">
      <c r="A134" s="7" t="n">
        <v>80208906</v>
      </c>
      <c r="B134" s="7" t="s">
        <v>68</v>
      </c>
      <c r="C134" s="7" t="s">
        <v>492</v>
      </c>
      <c r="D134" s="7" t="s">
        <v>493</v>
      </c>
      <c r="E134" s="7" t="s">
        <v>26</v>
      </c>
      <c r="F134" s="7" t="s">
        <v>489</v>
      </c>
      <c r="G134" s="7" t="n">
        <v>2018</v>
      </c>
      <c r="H134" s="7" t="s">
        <v>48</v>
      </c>
      <c r="I134" s="7" t="s">
        <v>494</v>
      </c>
      <c r="J134" s="7" t="s">
        <v>135</v>
      </c>
      <c r="K134" s="7" t="n">
        <f aca="false">IFERROR(VALUE(RIGHT(TRIM(F134),4)),"")</f>
        <v>2019</v>
      </c>
      <c r="L134" s="7" t="str">
        <f aca="false">IF(TRIM(E134)="","Unknown",IFERROR(LEFT(TRIM(E134),FIND(",",TRIM(E134))-1),TRIM(E134)))</f>
        <v>United States</v>
      </c>
      <c r="M134" s="7" t="str">
        <f aca="false">IFERROR(LEFT(J134,FIND(",",J134)-1),J134)</f>
        <v>Comedies</v>
      </c>
      <c r="N134" s="7" t="n">
        <f aca="false">IF(B134="Movie",IFERROR(VALUE(LEFT(I134,FIND(" ",I134)-1)),""),"")</f>
        <v>87</v>
      </c>
      <c r="O134" s="7" t="str">
        <f aca="false">IF(B134="TV Show",IFERROR(VALUE(LEFT(I134,FIND(" ",I134)-1)),""),"")</f>
        <v/>
      </c>
      <c r="P134" s="7" t="n">
        <f aca="false">IF(K134="","",K134-G134)</f>
        <v>1</v>
      </c>
    </row>
    <row r="135" customFormat="false" ht="15" hidden="false" customHeight="false" outlineLevel="0" collapsed="false">
      <c r="A135" s="7" t="n">
        <v>80097321</v>
      </c>
      <c r="B135" s="7" t="s">
        <v>68</v>
      </c>
      <c r="C135" s="7" t="s">
        <v>495</v>
      </c>
      <c r="D135" s="7" t="s">
        <v>496</v>
      </c>
      <c r="E135" s="7" t="s">
        <v>26</v>
      </c>
      <c r="F135" s="7" t="s">
        <v>497</v>
      </c>
      <c r="G135" s="7" t="n">
        <v>2016</v>
      </c>
      <c r="H135" s="7" t="s">
        <v>49</v>
      </c>
      <c r="I135" s="7" t="s">
        <v>87</v>
      </c>
      <c r="J135" s="7" t="s">
        <v>39</v>
      </c>
      <c r="K135" s="7" t="n">
        <f aca="false">IFERROR(VALUE(RIGHT(TRIM(F135),4)),"")</f>
        <v>2016</v>
      </c>
      <c r="L135" s="7" t="str">
        <f aca="false">IF(TRIM(E135)="","Unknown",IFERROR(LEFT(TRIM(E135),FIND(",",TRIM(E135))-1),TRIM(E135)))</f>
        <v>United States</v>
      </c>
      <c r="M135" s="7" t="str">
        <f aca="false">IFERROR(LEFT(J135,FIND(",",J135)-1),J135)</f>
        <v>Documentaries</v>
      </c>
      <c r="N135" s="7" t="n">
        <f aca="false">IF(B135="Movie",IFERROR(VALUE(LEFT(I135,FIND(" ",I135)-1)),""),"")</f>
        <v>99</v>
      </c>
      <c r="O135" s="7" t="str">
        <f aca="false">IF(B135="TV Show",IFERROR(VALUE(LEFT(I135,FIND(" ",I135)-1)),""),"")</f>
        <v/>
      </c>
      <c r="P135" s="7" t="n">
        <f aca="false">IF(K135="","",K135-G135)</f>
        <v>0</v>
      </c>
    </row>
    <row r="136" customFormat="false" ht="15" hidden="false" customHeight="false" outlineLevel="0" collapsed="false">
      <c r="A136" s="7" t="n">
        <v>80106966</v>
      </c>
      <c r="B136" s="7" t="s">
        <v>68</v>
      </c>
      <c r="C136" s="7" t="s">
        <v>498</v>
      </c>
      <c r="D136" s="7" t="s">
        <v>499</v>
      </c>
      <c r="E136" s="7" t="s">
        <v>26</v>
      </c>
      <c r="F136" s="7" t="s">
        <v>497</v>
      </c>
      <c r="G136" s="7" t="n">
        <v>2016</v>
      </c>
      <c r="H136" s="7" t="s">
        <v>48</v>
      </c>
      <c r="I136" s="7" t="s">
        <v>107</v>
      </c>
      <c r="J136" s="7" t="s">
        <v>45</v>
      </c>
      <c r="K136" s="7" t="n">
        <f aca="false">IFERROR(VALUE(RIGHT(TRIM(F136),4)),"")</f>
        <v>2016</v>
      </c>
      <c r="L136" s="7" t="str">
        <f aca="false">IF(TRIM(E136)="","Unknown",IFERROR(LEFT(TRIM(E136),FIND(",",TRIM(E136))-1),TRIM(E136)))</f>
        <v>United States</v>
      </c>
      <c r="M136" s="7" t="str">
        <f aca="false">IFERROR(LEFT(J136,FIND(",",J136)-1),J136)</f>
        <v>Stand-Up Comedy</v>
      </c>
      <c r="N136" s="7" t="n">
        <f aca="false">IF(B136="Movie",IFERROR(VALUE(LEFT(I136,FIND(" ",I136)-1)),""),"")</f>
        <v>78</v>
      </c>
      <c r="O136" s="7" t="str">
        <f aca="false">IF(B136="TV Show",IFERROR(VALUE(LEFT(I136,FIND(" ",I136)-1)),""),"")</f>
        <v/>
      </c>
      <c r="P136" s="7" t="n">
        <f aca="false">IF(K136="","",K136-G136)</f>
        <v>0</v>
      </c>
    </row>
    <row r="137" customFormat="false" ht="15" hidden="false" customHeight="false" outlineLevel="0" collapsed="false">
      <c r="A137" s="7" t="n">
        <v>81004814</v>
      </c>
      <c r="B137" s="7" t="s">
        <v>78</v>
      </c>
      <c r="C137" s="7" t="s">
        <v>500</v>
      </c>
      <c r="E137" s="7" t="s">
        <v>26</v>
      </c>
      <c r="F137" s="7" t="s">
        <v>501</v>
      </c>
      <c r="G137" s="7" t="n">
        <v>2019</v>
      </c>
      <c r="H137" s="7" t="s">
        <v>48</v>
      </c>
      <c r="I137" s="7" t="s">
        <v>82</v>
      </c>
      <c r="J137" s="7" t="s">
        <v>502</v>
      </c>
      <c r="K137" s="7" t="n">
        <f aca="false">IFERROR(VALUE(RIGHT(TRIM(F137),4)),"")</f>
        <v>2019</v>
      </c>
      <c r="L137" s="7" t="str">
        <f aca="false">IF(TRIM(E137)="","Unknown",IFERROR(LEFT(TRIM(E137),FIND(",",TRIM(E137))-1),TRIM(E137)))</f>
        <v>United States</v>
      </c>
      <c r="M137" s="7" t="str">
        <f aca="false">IFERROR(LEFT(J137,FIND(",",J137)-1),J137)</f>
        <v>TV Comedies</v>
      </c>
      <c r="N137" s="7" t="str">
        <f aca="false">IF(B137="Movie",IFERROR(VALUE(LEFT(I137,FIND(" ",I137)-1)),""),"")</f>
        <v/>
      </c>
      <c r="O137" s="7" t="n">
        <f aca="false">IF(B137="TV Show",IFERROR(VALUE(LEFT(I137,FIND(" ",I137)-1)),""),"")</f>
        <v>1</v>
      </c>
      <c r="P137" s="7" t="n">
        <f aca="false">IF(K137="","",K137-G137)</f>
        <v>0</v>
      </c>
    </row>
    <row r="138" customFormat="false" ht="15" hidden="false" customHeight="false" outlineLevel="0" collapsed="false">
      <c r="A138" s="7" t="n">
        <v>81080769</v>
      </c>
      <c r="B138" s="7" t="s">
        <v>68</v>
      </c>
      <c r="C138" s="7" t="s">
        <v>503</v>
      </c>
      <c r="D138" s="7" t="s">
        <v>504</v>
      </c>
      <c r="E138" s="7" t="s">
        <v>27</v>
      </c>
      <c r="F138" s="7" t="s">
        <v>501</v>
      </c>
      <c r="G138" s="7" t="n">
        <v>2009</v>
      </c>
      <c r="H138" s="7" t="s">
        <v>49</v>
      </c>
      <c r="I138" s="7" t="s">
        <v>505</v>
      </c>
      <c r="J138" s="7" t="s">
        <v>188</v>
      </c>
      <c r="K138" s="7" t="n">
        <f aca="false">IFERROR(VALUE(RIGHT(TRIM(F138),4)),"")</f>
        <v>2019</v>
      </c>
      <c r="L138" s="7" t="str">
        <f aca="false">IF(TRIM(E138)="","Unknown",IFERROR(LEFT(TRIM(E138),FIND(",",TRIM(E138))-1),TRIM(E138)))</f>
        <v>India</v>
      </c>
      <c r="M138" s="7" t="str">
        <f aca="false">IFERROR(LEFT(J138,FIND(",",J138)-1),J138)</f>
        <v>Dramas</v>
      </c>
      <c r="N138" s="7" t="n">
        <f aca="false">IF(B138="Movie",IFERROR(VALUE(LEFT(I138,FIND(" ",I138)-1)),""),"")</f>
        <v>121</v>
      </c>
      <c r="O138" s="7" t="str">
        <f aca="false">IF(B138="TV Show",IFERROR(VALUE(LEFT(I138,FIND(" ",I138)-1)),""),"")</f>
        <v/>
      </c>
      <c r="P138" s="7" t="n">
        <f aca="false">IF(K138="","",K138-G138)</f>
        <v>10</v>
      </c>
    </row>
    <row r="139" customFormat="false" ht="15" hidden="false" customHeight="false" outlineLevel="0" collapsed="false">
      <c r="A139" s="7" t="n">
        <v>70267838</v>
      </c>
      <c r="B139" s="7" t="s">
        <v>68</v>
      </c>
      <c r="C139" s="7" t="s">
        <v>506</v>
      </c>
      <c r="D139" s="7" t="s">
        <v>507</v>
      </c>
      <c r="E139" s="7" t="s">
        <v>26</v>
      </c>
      <c r="F139" s="7" t="s">
        <v>508</v>
      </c>
      <c r="G139" s="7" t="n">
        <v>2013</v>
      </c>
      <c r="H139" s="7" t="s">
        <v>52</v>
      </c>
      <c r="I139" s="7" t="s">
        <v>470</v>
      </c>
      <c r="J139" s="7" t="s">
        <v>509</v>
      </c>
      <c r="K139" s="7" t="n">
        <f aca="false">IFERROR(VALUE(RIGHT(TRIM(F139),4)),"")</f>
        <v>2018</v>
      </c>
      <c r="L139" s="7" t="str">
        <f aca="false">IF(TRIM(E139)="","Unknown",IFERROR(LEFT(TRIM(E139),FIND(",",TRIM(E139))-1),TRIM(E139)))</f>
        <v>United States</v>
      </c>
      <c r="M139" s="7" t="str">
        <f aca="false">IFERROR(LEFT(J139,FIND(",",J139)-1),J139)</f>
        <v>Documentaries</v>
      </c>
      <c r="N139" s="7" t="n">
        <f aca="false">IF(B139="Movie",IFERROR(VALUE(LEFT(I139,FIND(" ",I139)-1)),""),"")</f>
        <v>91</v>
      </c>
      <c r="O139" s="7" t="str">
        <f aca="false">IF(B139="TV Show",IFERROR(VALUE(LEFT(I139,FIND(" ",I139)-1)),""),"")</f>
        <v/>
      </c>
      <c r="P139" s="7" t="n">
        <f aca="false">IF(K139="","",K139-G139)</f>
        <v>5</v>
      </c>
    </row>
    <row r="140" customFormat="false" ht="15" hidden="false" customHeight="false" outlineLevel="0" collapsed="false">
      <c r="A140" s="7" t="n">
        <v>80211380</v>
      </c>
      <c r="B140" s="7" t="s">
        <v>68</v>
      </c>
      <c r="C140" s="7" t="s">
        <v>510</v>
      </c>
      <c r="D140" s="7" t="s">
        <v>511</v>
      </c>
      <c r="E140" s="7" t="s">
        <v>317</v>
      </c>
      <c r="F140" s="7" t="s">
        <v>508</v>
      </c>
      <c r="G140" s="7" t="n">
        <v>2018</v>
      </c>
      <c r="H140" s="7" t="s">
        <v>48</v>
      </c>
      <c r="I140" s="7" t="s">
        <v>512</v>
      </c>
      <c r="J140" s="7" t="s">
        <v>513</v>
      </c>
      <c r="K140" s="7" t="n">
        <f aca="false">IFERROR(VALUE(RIGHT(TRIM(F140),4)),"")</f>
        <v>2018</v>
      </c>
      <c r="L140" s="7" t="str">
        <f aca="false">IF(TRIM(E140)="","Unknown",IFERROR(LEFT(TRIM(E140),FIND(",",TRIM(E140))-1),TRIM(E140)))</f>
        <v>United Kingdom</v>
      </c>
      <c r="M140" s="7" t="str">
        <f aca="false">IFERROR(LEFT(J140,FIND(",",J140)-1),J140)</f>
        <v>Independent Movies</v>
      </c>
      <c r="N140" s="7" t="n">
        <f aca="false">IF(B140="Movie",IFERROR(VALUE(LEFT(I140,FIND(" ",I140)-1)),""),"")</f>
        <v>101</v>
      </c>
      <c r="O140" s="7" t="str">
        <f aca="false">IF(B140="TV Show",IFERROR(VALUE(LEFT(I140,FIND(" ",I140)-1)),""),"")</f>
        <v/>
      </c>
      <c r="P140" s="7" t="n">
        <f aca="false">IF(K140="","",K140-G140)</f>
        <v>0</v>
      </c>
    </row>
    <row r="141" customFormat="false" ht="15" hidden="false" customHeight="false" outlineLevel="0" collapsed="false">
      <c r="A141" s="7" t="n">
        <v>80196586</v>
      </c>
      <c r="B141" s="7" t="s">
        <v>68</v>
      </c>
      <c r="C141" s="7" t="s">
        <v>514</v>
      </c>
      <c r="D141" s="7" t="s">
        <v>515</v>
      </c>
      <c r="E141" s="7" t="s">
        <v>26</v>
      </c>
      <c r="F141" s="7" t="s">
        <v>516</v>
      </c>
      <c r="G141" s="7" t="n">
        <v>2017</v>
      </c>
      <c r="H141" s="7" t="s">
        <v>48</v>
      </c>
      <c r="I141" s="7" t="s">
        <v>512</v>
      </c>
      <c r="J141" s="7" t="s">
        <v>509</v>
      </c>
      <c r="K141" s="7" t="n">
        <f aca="false">IFERROR(VALUE(RIGHT(TRIM(F141),4)),"")</f>
        <v>2017</v>
      </c>
      <c r="L141" s="7" t="str">
        <f aca="false">IF(TRIM(E141)="","Unknown",IFERROR(LEFT(TRIM(E141),FIND(",",TRIM(E141))-1),TRIM(E141)))</f>
        <v>United States</v>
      </c>
      <c r="M141" s="7" t="str">
        <f aca="false">IFERROR(LEFT(J141,FIND(",",J141)-1),J141)</f>
        <v>Documentaries</v>
      </c>
      <c r="N141" s="7" t="n">
        <f aca="false">IF(B141="Movie",IFERROR(VALUE(LEFT(I141,FIND(" ",I141)-1)),""),"")</f>
        <v>101</v>
      </c>
      <c r="O141" s="7" t="str">
        <f aca="false">IF(B141="TV Show",IFERROR(VALUE(LEFT(I141,FIND(" ",I141)-1)),""),"")</f>
        <v/>
      </c>
      <c r="P141" s="7" t="n">
        <f aca="false">IF(K141="","",K141-G141)</f>
        <v>0</v>
      </c>
    </row>
    <row r="142" customFormat="false" ht="15" hidden="false" customHeight="false" outlineLevel="0" collapsed="false">
      <c r="A142" s="7" t="n">
        <v>80099204</v>
      </c>
      <c r="B142" s="7" t="s">
        <v>68</v>
      </c>
      <c r="C142" s="7" t="s">
        <v>517</v>
      </c>
      <c r="D142" s="7" t="s">
        <v>518</v>
      </c>
      <c r="E142" s="7" t="s">
        <v>26</v>
      </c>
      <c r="F142" s="7" t="s">
        <v>516</v>
      </c>
      <c r="G142" s="7" t="n">
        <v>2016</v>
      </c>
      <c r="H142" s="7" t="s">
        <v>51</v>
      </c>
      <c r="I142" s="7" t="s">
        <v>519</v>
      </c>
      <c r="J142" s="7" t="s">
        <v>520</v>
      </c>
      <c r="K142" s="7" t="n">
        <f aca="false">IFERROR(VALUE(RIGHT(TRIM(F142),4)),"")</f>
        <v>2017</v>
      </c>
      <c r="L142" s="7" t="str">
        <f aca="false">IF(TRIM(E142)="","Unknown",IFERROR(LEFT(TRIM(E142),FIND(",",TRIM(E142))-1),TRIM(E142)))</f>
        <v>United States</v>
      </c>
      <c r="M142" s="7" t="str">
        <f aca="false">IFERROR(LEFT(J142,FIND(",",J142)-1),J142)</f>
        <v>Dramas</v>
      </c>
      <c r="N142" s="7" t="n">
        <f aca="false">IF(B142="Movie",IFERROR(VALUE(LEFT(I142,FIND(" ",I142)-1)),""),"")</f>
        <v>119</v>
      </c>
      <c r="O142" s="7" t="str">
        <f aca="false">IF(B142="TV Show",IFERROR(VALUE(LEFT(I142,FIND(" ",I142)-1)),""),"")</f>
        <v/>
      </c>
      <c r="P142" s="7" t="n">
        <f aca="false">IF(K142="","",K142-G142)</f>
        <v>1</v>
      </c>
    </row>
    <row r="143" customFormat="false" ht="15" hidden="false" customHeight="false" outlineLevel="0" collapsed="false">
      <c r="A143" s="7" t="n">
        <v>80059432</v>
      </c>
      <c r="B143" s="7" t="s">
        <v>68</v>
      </c>
      <c r="C143" s="7" t="s">
        <v>521</v>
      </c>
      <c r="D143" s="7" t="s">
        <v>522</v>
      </c>
      <c r="E143" s="7" t="s">
        <v>26</v>
      </c>
      <c r="F143" s="7" t="s">
        <v>523</v>
      </c>
      <c r="G143" s="7" t="n">
        <v>2015</v>
      </c>
      <c r="H143" s="7" t="s">
        <v>52</v>
      </c>
      <c r="I143" s="7" t="s">
        <v>524</v>
      </c>
      <c r="J143" s="7" t="s">
        <v>38</v>
      </c>
      <c r="K143" s="7" t="n">
        <f aca="false">IFERROR(VALUE(RIGHT(TRIM(F143),4)),"")</f>
        <v>2015</v>
      </c>
      <c r="L143" s="7" t="str">
        <f aca="false">IF(TRIM(E143)="","Unknown",IFERROR(LEFT(TRIM(E143),FIND(",",TRIM(E143))-1),TRIM(E143)))</f>
        <v>United States</v>
      </c>
      <c r="M143" s="7" t="str">
        <f aca="false">IFERROR(LEFT(J143,FIND(",",J143)-1),J143)</f>
        <v>Comedies</v>
      </c>
      <c r="N143" s="7" t="n">
        <f aca="false">IF(B143="Movie",IFERROR(VALUE(LEFT(I143,FIND(" ",I143)-1)),""),"")</f>
        <v>83</v>
      </c>
      <c r="O143" s="7" t="str">
        <f aca="false">IF(B143="TV Show",IFERROR(VALUE(LEFT(I143,FIND(" ",I143)-1)),""),"")</f>
        <v/>
      </c>
      <c r="P143" s="7" t="n">
        <f aca="false">IF(K143="","",K143-G143)</f>
        <v>0</v>
      </c>
    </row>
    <row r="144" customFormat="false" ht="15" hidden="false" customHeight="false" outlineLevel="0" collapsed="false">
      <c r="A144" s="7" t="n">
        <v>81172721</v>
      </c>
      <c r="B144" s="7" t="s">
        <v>68</v>
      </c>
      <c r="C144" s="7" t="s">
        <v>525</v>
      </c>
      <c r="D144" s="7" t="s">
        <v>526</v>
      </c>
      <c r="E144" s="7" t="s">
        <v>527</v>
      </c>
      <c r="F144" s="7" t="s">
        <v>528</v>
      </c>
      <c r="G144" s="7" t="n">
        <v>2018</v>
      </c>
      <c r="H144" s="7" t="s">
        <v>48</v>
      </c>
      <c r="I144" s="7" t="s">
        <v>529</v>
      </c>
      <c r="J144" s="7" t="s">
        <v>304</v>
      </c>
      <c r="K144" s="7" t="n">
        <f aca="false">IFERROR(VALUE(RIGHT(TRIM(F144),4)),"")</f>
        <v>2019</v>
      </c>
      <c r="L144" s="7" t="str">
        <f aca="false">IF(TRIM(E144)="","Unknown",IFERROR(LEFT(TRIM(E144),FIND(",",TRIM(E144))-1),TRIM(E144)))</f>
        <v>Nigeria</v>
      </c>
      <c r="M144" s="7" t="str">
        <f aca="false">IFERROR(LEFT(J144,FIND(",",J144)-1),J144)</f>
        <v>Dramas</v>
      </c>
      <c r="N144" s="7" t="n">
        <f aca="false">IF(B144="Movie",IFERROR(VALUE(LEFT(I144,FIND(" ",I144)-1)),""),"")</f>
        <v>182</v>
      </c>
      <c r="O144" s="7" t="str">
        <f aca="false">IF(B144="TV Show",IFERROR(VALUE(LEFT(I144,FIND(" ",I144)-1)),""),"")</f>
        <v/>
      </c>
      <c r="P144" s="7" t="n">
        <f aca="false">IF(K144="","",K144-G144)</f>
        <v>1</v>
      </c>
    </row>
    <row r="145" customFormat="false" ht="15" hidden="false" customHeight="false" outlineLevel="0" collapsed="false">
      <c r="A145" s="7" t="n">
        <v>81172727</v>
      </c>
      <c r="B145" s="7" t="s">
        <v>68</v>
      </c>
      <c r="C145" s="7" t="s">
        <v>530</v>
      </c>
      <c r="D145" s="7" t="s">
        <v>531</v>
      </c>
      <c r="E145" s="7" t="s">
        <v>527</v>
      </c>
      <c r="F145" s="7" t="s">
        <v>528</v>
      </c>
      <c r="G145" s="7" t="n">
        <v>2018</v>
      </c>
      <c r="H145" s="7" t="s">
        <v>48</v>
      </c>
      <c r="I145" s="7" t="s">
        <v>173</v>
      </c>
      <c r="J145" s="7" t="s">
        <v>202</v>
      </c>
      <c r="K145" s="7" t="n">
        <f aca="false">IFERROR(VALUE(RIGHT(TRIM(F145),4)),"")</f>
        <v>2019</v>
      </c>
      <c r="L145" s="7" t="str">
        <f aca="false">IF(TRIM(E145)="","Unknown",IFERROR(LEFT(TRIM(E145),FIND(",",TRIM(E145))-1),TRIM(E145)))</f>
        <v>Nigeria</v>
      </c>
      <c r="M145" s="7" t="str">
        <f aca="false">IFERROR(LEFT(J145,FIND(",",J145)-1),J145)</f>
        <v>Comedies</v>
      </c>
      <c r="N145" s="7" t="n">
        <f aca="false">IF(B145="Movie",IFERROR(VALUE(LEFT(I145,FIND(" ",I145)-1)),""),"")</f>
        <v>106</v>
      </c>
      <c r="O145" s="7" t="str">
        <f aca="false">IF(B145="TV Show",IFERROR(VALUE(LEFT(I145,FIND(" ",I145)-1)),""),"")</f>
        <v/>
      </c>
      <c r="P145" s="7" t="n">
        <f aca="false">IF(K145="","",K145-G145)</f>
        <v>1</v>
      </c>
    </row>
    <row r="146" customFormat="false" ht="15" hidden="false" customHeight="false" outlineLevel="0" collapsed="false">
      <c r="A146" s="7" t="n">
        <v>70153543</v>
      </c>
      <c r="B146" s="7" t="s">
        <v>68</v>
      </c>
      <c r="C146" s="7" t="s">
        <v>532</v>
      </c>
      <c r="D146" s="7" t="s">
        <v>533</v>
      </c>
      <c r="E146" s="7" t="s">
        <v>31</v>
      </c>
      <c r="F146" s="7" t="s">
        <v>528</v>
      </c>
      <c r="G146" s="7" t="n">
        <v>2010</v>
      </c>
      <c r="H146" s="7" t="s">
        <v>52</v>
      </c>
      <c r="I146" s="7" t="s">
        <v>181</v>
      </c>
      <c r="J146" s="7" t="s">
        <v>304</v>
      </c>
      <c r="K146" s="7" t="n">
        <f aca="false">IFERROR(VALUE(RIGHT(TRIM(F146),4)),"")</f>
        <v>2019</v>
      </c>
      <c r="L146" s="7" t="str">
        <f aca="false">IF(TRIM(E146)="","Unknown",IFERROR(LEFT(TRIM(E146),FIND(",",TRIM(E146))-1),TRIM(E146)))</f>
        <v>France</v>
      </c>
      <c r="M146" s="7" t="str">
        <f aca="false">IFERROR(LEFT(J146,FIND(",",J146)-1),J146)</f>
        <v>Dramas</v>
      </c>
      <c r="N146" s="7" t="n">
        <f aca="false">IF(B146="Movie",IFERROR(VALUE(LEFT(I146,FIND(" ",I146)-1)),""),"")</f>
        <v>102</v>
      </c>
      <c r="O146" s="7" t="str">
        <f aca="false">IF(B146="TV Show",IFERROR(VALUE(LEFT(I146,FIND(" ",I146)-1)),""),"")</f>
        <v/>
      </c>
      <c r="P146" s="7" t="n">
        <f aca="false">IF(K146="","",K146-G146)</f>
        <v>9</v>
      </c>
    </row>
    <row r="147" customFormat="false" ht="15" hidden="false" customHeight="false" outlineLevel="0" collapsed="false">
      <c r="A147" s="7" t="n">
        <v>81172728</v>
      </c>
      <c r="B147" s="7" t="s">
        <v>68</v>
      </c>
      <c r="C147" s="7" t="s">
        <v>534</v>
      </c>
      <c r="D147" s="7" t="s">
        <v>535</v>
      </c>
      <c r="E147" s="7" t="s">
        <v>527</v>
      </c>
      <c r="F147" s="7" t="s">
        <v>528</v>
      </c>
      <c r="G147" s="7" t="n">
        <v>2017</v>
      </c>
      <c r="H147" s="7" t="s">
        <v>49</v>
      </c>
      <c r="I147" s="7" t="s">
        <v>134</v>
      </c>
      <c r="J147" s="7" t="s">
        <v>206</v>
      </c>
      <c r="K147" s="7" t="n">
        <f aca="false">IFERROR(VALUE(RIGHT(TRIM(F147),4)),"")</f>
        <v>2019</v>
      </c>
      <c r="L147" s="7" t="str">
        <f aca="false">IF(TRIM(E147)="","Unknown",IFERROR(LEFT(TRIM(E147),FIND(",",TRIM(E147))-1),TRIM(E147)))</f>
        <v>Nigeria</v>
      </c>
      <c r="M147" s="7" t="str">
        <f aca="false">IFERROR(LEFT(J147,FIND(",",J147)-1),J147)</f>
        <v>Comedies</v>
      </c>
      <c r="N147" s="7" t="n">
        <f aca="false">IF(B147="Movie",IFERROR(VALUE(LEFT(I147,FIND(" ",I147)-1)),""),"")</f>
        <v>98</v>
      </c>
      <c r="O147" s="7" t="str">
        <f aca="false">IF(B147="TV Show",IFERROR(VALUE(LEFT(I147,FIND(" ",I147)-1)),""),"")</f>
        <v/>
      </c>
      <c r="P147" s="7" t="n">
        <f aca="false">IF(K147="","",K147-G147)</f>
        <v>2</v>
      </c>
    </row>
    <row r="148" customFormat="false" ht="15" hidden="false" customHeight="false" outlineLevel="0" collapsed="false">
      <c r="A148" s="7" t="n">
        <v>81095101</v>
      </c>
      <c r="B148" s="7" t="s">
        <v>78</v>
      </c>
      <c r="C148" s="7" t="s">
        <v>536</v>
      </c>
      <c r="E148" s="7" t="s">
        <v>32</v>
      </c>
      <c r="F148" s="7" t="s">
        <v>528</v>
      </c>
      <c r="G148" s="7" t="n">
        <v>2019</v>
      </c>
      <c r="H148" s="7" t="s">
        <v>48</v>
      </c>
      <c r="I148" s="7" t="s">
        <v>82</v>
      </c>
      <c r="J148" s="7" t="s">
        <v>537</v>
      </c>
      <c r="K148" s="7" t="n">
        <f aca="false">IFERROR(VALUE(RIGHT(TRIM(F148),4)),"")</f>
        <v>2019</v>
      </c>
      <c r="L148" s="7" t="str">
        <f aca="false">IF(TRIM(E148)="","Unknown",IFERROR(LEFT(TRIM(E148),FIND(",",TRIM(E148))-1),TRIM(E148)))</f>
        <v>South Korea</v>
      </c>
      <c r="M148" s="7" t="str">
        <f aca="false">IFERROR(LEFT(J148,FIND(",",J148)-1),J148)</f>
        <v>International TV Shows</v>
      </c>
      <c r="N148" s="7" t="str">
        <f aca="false">IF(B148="Movie",IFERROR(VALUE(LEFT(I148,FIND(" ",I148)-1)),""),"")</f>
        <v/>
      </c>
      <c r="O148" s="7" t="n">
        <f aca="false">IF(B148="TV Show",IFERROR(VALUE(LEFT(I148,FIND(" ",I148)-1)),""),"")</f>
        <v>1</v>
      </c>
      <c r="P148" s="7" t="n">
        <f aca="false">IF(K148="","",K148-G148)</f>
        <v>0</v>
      </c>
    </row>
    <row r="149" customFormat="false" ht="15" hidden="false" customHeight="false" outlineLevel="0" collapsed="false">
      <c r="A149" s="7" t="n">
        <v>80195173</v>
      </c>
      <c r="B149" s="7" t="s">
        <v>78</v>
      </c>
      <c r="C149" s="7" t="s">
        <v>538</v>
      </c>
      <c r="F149" s="7" t="s">
        <v>539</v>
      </c>
      <c r="G149" s="7" t="n">
        <v>2018</v>
      </c>
      <c r="H149" s="7" t="s">
        <v>48</v>
      </c>
      <c r="I149" s="7" t="s">
        <v>82</v>
      </c>
      <c r="J149" s="7" t="s">
        <v>540</v>
      </c>
      <c r="K149" s="7" t="n">
        <f aca="false">IFERROR(VALUE(RIGHT(TRIM(F149),4)),"")</f>
        <v>2018</v>
      </c>
      <c r="L149" s="7" t="str">
        <f aca="false">IF(TRIM(E149)="","Unknown",IFERROR(LEFT(TRIM(E149),FIND(",",TRIM(E149))-1),TRIM(E149)))</f>
        <v>Unknown</v>
      </c>
      <c r="M149" s="7" t="str">
        <f aca="false">IFERROR(LEFT(J149,FIND(",",J149)-1),J149)</f>
        <v>Reality TV</v>
      </c>
      <c r="N149" s="7" t="str">
        <f aca="false">IF(B149="Movie",IFERROR(VALUE(LEFT(I149,FIND(" ",I149)-1)),""),"")</f>
        <v/>
      </c>
      <c r="O149" s="7" t="n">
        <f aca="false">IF(B149="TV Show",IFERROR(VALUE(LEFT(I149,FIND(" ",I149)-1)),""),"")</f>
        <v>1</v>
      </c>
      <c r="P149" s="7" t="n">
        <f aca="false">IF(K149="","",K149-G149)</f>
        <v>0</v>
      </c>
    </row>
    <row r="150" customFormat="false" ht="15" hidden="false" customHeight="false" outlineLevel="0" collapsed="false">
      <c r="A150" s="7" t="n">
        <v>80241960</v>
      </c>
      <c r="B150" s="7" t="s">
        <v>78</v>
      </c>
      <c r="C150" s="7" t="s">
        <v>541</v>
      </c>
      <c r="E150" s="7" t="s">
        <v>30</v>
      </c>
      <c r="F150" s="7" t="s">
        <v>539</v>
      </c>
      <c r="G150" s="7" t="n">
        <v>2018</v>
      </c>
      <c r="H150" s="7" t="s">
        <v>49</v>
      </c>
      <c r="I150" s="7" t="s">
        <v>82</v>
      </c>
      <c r="J150" s="7" t="s">
        <v>542</v>
      </c>
      <c r="K150" s="7" t="n">
        <f aca="false">IFERROR(VALUE(RIGHT(TRIM(F150),4)),"")</f>
        <v>2018</v>
      </c>
      <c r="L150" s="7" t="str">
        <f aca="false">IF(TRIM(E150)="","Unknown",IFERROR(LEFT(TRIM(E150),FIND(",",TRIM(E150))-1),TRIM(E150)))</f>
        <v>Japan</v>
      </c>
      <c r="M150" s="7" t="str">
        <f aca="false">IFERROR(LEFT(J150,FIND(",",J150)-1),J150)</f>
        <v>Anime Series</v>
      </c>
      <c r="N150" s="7" t="str">
        <f aca="false">IF(B150="Movie",IFERROR(VALUE(LEFT(I150,FIND(" ",I150)-1)),""),"")</f>
        <v/>
      </c>
      <c r="O150" s="7" t="n">
        <f aca="false">IF(B150="TV Show",IFERROR(VALUE(LEFT(I150,FIND(" ",I150)-1)),""),"")</f>
        <v>1</v>
      </c>
      <c r="P150" s="7" t="n">
        <f aca="false">IF(K150="","",K150-G150)</f>
        <v>0</v>
      </c>
    </row>
    <row r="151" customFormat="false" ht="15" hidden="false" customHeight="false" outlineLevel="0" collapsed="false">
      <c r="A151" s="7" t="n">
        <v>80115346</v>
      </c>
      <c r="B151" s="7" t="s">
        <v>78</v>
      </c>
      <c r="C151" s="7" t="s">
        <v>543</v>
      </c>
      <c r="E151" s="7" t="s">
        <v>544</v>
      </c>
      <c r="F151" s="7" t="s">
        <v>539</v>
      </c>
      <c r="G151" s="7" t="n">
        <v>2018</v>
      </c>
      <c r="H151" s="7" t="s">
        <v>55</v>
      </c>
      <c r="I151" s="7" t="s">
        <v>82</v>
      </c>
      <c r="J151" s="7" t="s">
        <v>44</v>
      </c>
      <c r="K151" s="7" t="n">
        <f aca="false">IFERROR(VALUE(RIGHT(TRIM(F151),4)),"")</f>
        <v>2018</v>
      </c>
      <c r="L151" s="7" t="str">
        <f aca="false">IF(TRIM(E151)="","Unknown",IFERROR(LEFT(TRIM(E151),FIND(",",TRIM(E151))-1),TRIM(E151)))</f>
        <v>United Kingdom</v>
      </c>
      <c r="M151" s="7" t="str">
        <f aca="false">IFERROR(LEFT(J151,FIND(",",J151)-1),J151)</f>
        <v>Kids' TV</v>
      </c>
      <c r="N151" s="7" t="str">
        <f aca="false">IF(B151="Movie",IFERROR(VALUE(LEFT(I151,FIND(" ",I151)-1)),""),"")</f>
        <v/>
      </c>
      <c r="O151" s="7" t="n">
        <f aca="false">IF(B151="TV Show",IFERROR(VALUE(LEFT(I151,FIND(" ",I151)-1)),""),"")</f>
        <v>1</v>
      </c>
      <c r="P151" s="7" t="n">
        <f aca="false">IF(K151="","",K151-G151)</f>
        <v>0</v>
      </c>
    </row>
    <row r="152" customFormat="false" ht="15" hidden="false" customHeight="false" outlineLevel="0" collapsed="false">
      <c r="A152" s="7" t="n">
        <v>80124522</v>
      </c>
      <c r="B152" s="7" t="s">
        <v>78</v>
      </c>
      <c r="C152" s="7" t="s">
        <v>545</v>
      </c>
      <c r="E152" s="7" t="s">
        <v>26</v>
      </c>
      <c r="F152" s="7" t="s">
        <v>539</v>
      </c>
      <c r="G152" s="7" t="n">
        <v>2018</v>
      </c>
      <c r="H152" s="7" t="s">
        <v>48</v>
      </c>
      <c r="I152" s="7" t="s">
        <v>82</v>
      </c>
      <c r="J152" s="7" t="s">
        <v>546</v>
      </c>
      <c r="K152" s="7" t="n">
        <f aca="false">IFERROR(VALUE(RIGHT(TRIM(F152),4)),"")</f>
        <v>2018</v>
      </c>
      <c r="L152" s="7" t="str">
        <f aca="false">IF(TRIM(E152)="","Unknown",IFERROR(LEFT(TRIM(E152),FIND(",",TRIM(E152))-1),TRIM(E152)))</f>
        <v>United States</v>
      </c>
      <c r="M152" s="7" t="str">
        <f aca="false">IFERROR(LEFT(J152,FIND(",",J152)-1),J152)</f>
        <v>TV Comedies</v>
      </c>
      <c r="N152" s="7" t="str">
        <f aca="false">IF(B152="Movie",IFERROR(VALUE(LEFT(I152,FIND(" ",I152)-1)),""),"")</f>
        <v/>
      </c>
      <c r="O152" s="7" t="n">
        <f aca="false">IF(B152="TV Show",IFERROR(VALUE(LEFT(I152,FIND(" ",I152)-1)),""),"")</f>
        <v>1</v>
      </c>
      <c r="P152" s="7" t="n">
        <f aca="false">IF(K152="","",K152-G152)</f>
        <v>0</v>
      </c>
    </row>
    <row r="153" customFormat="false" ht="15" hidden="false" customHeight="false" outlineLevel="0" collapsed="false">
      <c r="A153" s="7" t="n">
        <v>80102952</v>
      </c>
      <c r="B153" s="7" t="s">
        <v>68</v>
      </c>
      <c r="C153" s="7" t="s">
        <v>547</v>
      </c>
      <c r="D153" s="7" t="s">
        <v>548</v>
      </c>
      <c r="E153" s="7" t="s">
        <v>26</v>
      </c>
      <c r="F153" s="7" t="s">
        <v>539</v>
      </c>
      <c r="G153" s="7" t="n">
        <v>2018</v>
      </c>
      <c r="H153" s="7" t="s">
        <v>48</v>
      </c>
      <c r="I153" s="7" t="s">
        <v>549</v>
      </c>
      <c r="J153" s="7" t="s">
        <v>509</v>
      </c>
      <c r="K153" s="7" t="n">
        <f aca="false">IFERROR(VALUE(RIGHT(TRIM(F153),4)),"")</f>
        <v>2018</v>
      </c>
      <c r="L153" s="7" t="str">
        <f aca="false">IF(TRIM(E153)="","Unknown",IFERROR(LEFT(TRIM(E153),FIND(",",TRIM(E153))-1),TRIM(E153)))</f>
        <v>United States</v>
      </c>
      <c r="M153" s="7" t="str">
        <f aca="false">IFERROR(LEFT(J153,FIND(",",J153)-1),J153)</f>
        <v>Documentaries</v>
      </c>
      <c r="N153" s="7" t="n">
        <f aca="false">IF(B153="Movie",IFERROR(VALUE(LEFT(I153,FIND(" ",I153)-1)),""),"")</f>
        <v>124</v>
      </c>
      <c r="O153" s="7" t="str">
        <f aca="false">IF(B153="TV Show",IFERROR(VALUE(LEFT(I153,FIND(" ",I153)-1)),""),"")</f>
        <v/>
      </c>
      <c r="P153" s="7" t="n">
        <f aca="false">IF(K153="","",K153-G153)</f>
        <v>0</v>
      </c>
    </row>
    <row r="154" customFormat="false" ht="15" hidden="false" customHeight="false" outlineLevel="0" collapsed="false">
      <c r="A154" s="7" t="n">
        <v>80214464</v>
      </c>
      <c r="B154" s="7" t="s">
        <v>68</v>
      </c>
      <c r="C154" s="7" t="s">
        <v>550</v>
      </c>
      <c r="E154" s="7" t="s">
        <v>325</v>
      </c>
      <c r="F154" s="7" t="s">
        <v>539</v>
      </c>
      <c r="G154" s="7" t="n">
        <v>2018</v>
      </c>
      <c r="H154" s="7" t="s">
        <v>48</v>
      </c>
      <c r="I154" s="7" t="s">
        <v>551</v>
      </c>
      <c r="J154" s="7" t="s">
        <v>45</v>
      </c>
      <c r="K154" s="7" t="n">
        <f aca="false">IFERROR(VALUE(RIGHT(TRIM(F154),4)),"")</f>
        <v>2018</v>
      </c>
      <c r="L154" s="7" t="str">
        <f aca="false">IF(TRIM(E154)="","Unknown",IFERROR(LEFT(TRIM(E154),FIND(",",TRIM(E154))-1),TRIM(E154)))</f>
        <v>Brazil</v>
      </c>
      <c r="M154" s="7" t="str">
        <f aca="false">IFERROR(LEFT(J154,FIND(",",J154)-1),J154)</f>
        <v>Stand-Up Comedy</v>
      </c>
      <c r="N154" s="7" t="n">
        <f aca="false">IF(B154="Movie",IFERROR(VALUE(LEFT(I154,FIND(" ",I154)-1)),""),"")</f>
        <v>63</v>
      </c>
      <c r="O154" s="7" t="str">
        <f aca="false">IF(B154="TV Show",IFERROR(VALUE(LEFT(I154,FIND(" ",I154)-1)),""),"")</f>
        <v/>
      </c>
      <c r="P154" s="7" t="n">
        <f aca="false">IF(K154="","",K154-G154)</f>
        <v>0</v>
      </c>
    </row>
    <row r="155" customFormat="false" ht="15" hidden="false" customHeight="false" outlineLevel="0" collapsed="false">
      <c r="A155" s="7" t="n">
        <v>80157073</v>
      </c>
      <c r="B155" s="7" t="s">
        <v>78</v>
      </c>
      <c r="C155" s="7" t="s">
        <v>552</v>
      </c>
      <c r="E155" s="7" t="s">
        <v>26</v>
      </c>
      <c r="F155" s="7" t="s">
        <v>539</v>
      </c>
      <c r="G155" s="7" t="n">
        <v>2018</v>
      </c>
      <c r="H155" s="7" t="s">
        <v>50</v>
      </c>
      <c r="I155" s="7" t="s">
        <v>82</v>
      </c>
      <c r="J155" s="7" t="s">
        <v>553</v>
      </c>
      <c r="K155" s="7" t="n">
        <f aca="false">IFERROR(VALUE(RIGHT(TRIM(F155),4)),"")</f>
        <v>2018</v>
      </c>
      <c r="L155" s="7" t="str">
        <f aca="false">IF(TRIM(E155)="","Unknown",IFERROR(LEFT(TRIM(E155),FIND(",",TRIM(E155))-1),TRIM(E155)))</f>
        <v>United States</v>
      </c>
      <c r="M155" s="7" t="str">
        <f aca="false">IFERROR(LEFT(J155,FIND(",",J155)-1),J155)</f>
        <v>Crime TV Shows</v>
      </c>
      <c r="N155" s="7" t="str">
        <f aca="false">IF(B155="Movie",IFERROR(VALUE(LEFT(I155,FIND(" ",I155)-1)),""),"")</f>
        <v/>
      </c>
      <c r="O155" s="7" t="n">
        <f aca="false">IF(B155="TV Show",IFERROR(VALUE(LEFT(I155,FIND(" ",I155)-1)),""),"")</f>
        <v>1</v>
      </c>
      <c r="P155" s="7" t="n">
        <f aca="false">IF(K155="","",K155-G155)</f>
        <v>0</v>
      </c>
    </row>
    <row r="156" customFormat="false" ht="15" hidden="false" customHeight="false" outlineLevel="0" collapsed="false">
      <c r="A156" s="7" t="n">
        <v>80243600</v>
      </c>
      <c r="B156" s="7" t="s">
        <v>68</v>
      </c>
      <c r="C156" s="7" t="s">
        <v>554</v>
      </c>
      <c r="D156" s="7" t="s">
        <v>555</v>
      </c>
      <c r="E156" s="7" t="s">
        <v>26</v>
      </c>
      <c r="F156" s="7" t="s">
        <v>556</v>
      </c>
      <c r="G156" s="7" t="n">
        <v>2019</v>
      </c>
      <c r="H156" s="7" t="s">
        <v>48</v>
      </c>
      <c r="I156" s="7" t="s">
        <v>524</v>
      </c>
      <c r="J156" s="7" t="s">
        <v>38</v>
      </c>
      <c r="K156" s="7" t="n">
        <f aca="false">IFERROR(VALUE(RIGHT(TRIM(F156),4)),"")</f>
        <v>2019</v>
      </c>
      <c r="L156" s="7" t="str">
        <f aca="false">IF(TRIM(E156)="","Unknown",IFERROR(LEFT(TRIM(E156),FIND(",",TRIM(E156))-1),TRIM(E156)))</f>
        <v>United States</v>
      </c>
      <c r="M156" s="7" t="str">
        <f aca="false">IFERROR(LEFT(J156,FIND(",",J156)-1),J156)</f>
        <v>Comedies</v>
      </c>
      <c r="N156" s="7" t="n">
        <f aca="false">IF(B156="Movie",IFERROR(VALUE(LEFT(I156,FIND(" ",I156)-1)),""),"")</f>
        <v>83</v>
      </c>
      <c r="O156" s="7" t="str">
        <f aca="false">IF(B156="TV Show",IFERROR(VALUE(LEFT(I156,FIND(" ",I156)-1)),""),"")</f>
        <v/>
      </c>
      <c r="P156" s="7" t="n">
        <f aca="false">IF(K156="","",K156-G156)</f>
        <v>0</v>
      </c>
    </row>
    <row r="157" customFormat="false" ht="15" hidden="false" customHeight="false" outlineLevel="0" collapsed="false">
      <c r="A157" s="7" t="n">
        <v>81020513</v>
      </c>
      <c r="B157" s="7" t="s">
        <v>78</v>
      </c>
      <c r="C157" s="7" t="s">
        <v>557</v>
      </c>
      <c r="F157" s="7" t="s">
        <v>556</v>
      </c>
      <c r="G157" s="7" t="n">
        <v>2019</v>
      </c>
      <c r="H157" s="7" t="s">
        <v>48</v>
      </c>
      <c r="I157" s="7" t="s">
        <v>82</v>
      </c>
      <c r="J157" s="7" t="s">
        <v>402</v>
      </c>
      <c r="K157" s="7" t="n">
        <f aca="false">IFERROR(VALUE(RIGHT(TRIM(F157),4)),"")</f>
        <v>2019</v>
      </c>
      <c r="L157" s="7" t="str">
        <f aca="false">IF(TRIM(E157)="","Unknown",IFERROR(LEFT(TRIM(E157),FIND(",",TRIM(E157))-1),TRIM(E157)))</f>
        <v>Unknown</v>
      </c>
      <c r="M157" s="7" t="str">
        <f aca="false">IFERROR(LEFT(J157,FIND(",",J157)-1),J157)</f>
        <v>Crime TV Shows</v>
      </c>
      <c r="N157" s="7" t="str">
        <f aca="false">IF(B157="Movie",IFERROR(VALUE(LEFT(I157,FIND(" ",I157)-1)),""),"")</f>
        <v/>
      </c>
      <c r="O157" s="7" t="n">
        <f aca="false">IF(B157="TV Show",IFERROR(VALUE(LEFT(I157,FIND(" ",I157)-1)),""),"")</f>
        <v>1</v>
      </c>
      <c r="P157" s="7" t="n">
        <f aca="false">IF(K157="","",K157-G157)</f>
        <v>0</v>
      </c>
    </row>
    <row r="158" customFormat="false" ht="15" hidden="false" customHeight="false" outlineLevel="0" collapsed="false">
      <c r="A158" s="7" t="n">
        <v>81020518</v>
      </c>
      <c r="B158" s="7" t="s">
        <v>78</v>
      </c>
      <c r="C158" s="7" t="s">
        <v>558</v>
      </c>
      <c r="F158" s="7" t="s">
        <v>556</v>
      </c>
      <c r="G158" s="7" t="n">
        <v>2019</v>
      </c>
      <c r="H158" s="7" t="s">
        <v>48</v>
      </c>
      <c r="I158" s="7" t="s">
        <v>82</v>
      </c>
      <c r="J158" s="7" t="s">
        <v>402</v>
      </c>
      <c r="K158" s="7" t="n">
        <f aca="false">IFERROR(VALUE(RIGHT(TRIM(F158),4)),"")</f>
        <v>2019</v>
      </c>
      <c r="L158" s="7" t="str">
        <f aca="false">IF(TRIM(E158)="","Unknown",IFERROR(LEFT(TRIM(E158),FIND(",",TRIM(E158))-1),TRIM(E158)))</f>
        <v>Unknown</v>
      </c>
      <c r="M158" s="7" t="str">
        <f aca="false">IFERROR(LEFT(J158,FIND(",",J158)-1),J158)</f>
        <v>Crime TV Shows</v>
      </c>
      <c r="N158" s="7" t="str">
        <f aca="false">IF(B158="Movie",IFERROR(VALUE(LEFT(I158,FIND(" ",I158)-1)),""),"")</f>
        <v/>
      </c>
      <c r="O158" s="7" t="n">
        <f aca="false">IF(B158="TV Show",IFERROR(VALUE(LEFT(I158,FIND(" ",I158)-1)),""),"")</f>
        <v>1</v>
      </c>
      <c r="P158" s="7" t="n">
        <f aca="false">IF(K158="","",K158-G158)</f>
        <v>0</v>
      </c>
    </row>
    <row r="159" customFormat="false" ht="15" hidden="false" customHeight="false" outlineLevel="0" collapsed="false">
      <c r="A159" s="7" t="n">
        <v>81020523</v>
      </c>
      <c r="B159" s="7" t="s">
        <v>78</v>
      </c>
      <c r="C159" s="7" t="s">
        <v>559</v>
      </c>
      <c r="D159" s="7" t="s">
        <v>560</v>
      </c>
      <c r="F159" s="7" t="s">
        <v>556</v>
      </c>
      <c r="G159" s="7" t="n">
        <v>2019</v>
      </c>
      <c r="H159" s="7" t="s">
        <v>48</v>
      </c>
      <c r="I159" s="7" t="s">
        <v>82</v>
      </c>
      <c r="J159" s="7" t="s">
        <v>89</v>
      </c>
      <c r="K159" s="7" t="n">
        <f aca="false">IFERROR(VALUE(RIGHT(TRIM(F159),4)),"")</f>
        <v>2019</v>
      </c>
      <c r="L159" s="7" t="str">
        <f aca="false">IF(TRIM(E159)="","Unknown",IFERROR(LEFT(TRIM(E159),FIND(",",TRIM(E159))-1),TRIM(E159)))</f>
        <v>Unknown</v>
      </c>
      <c r="M159" s="7" t="str">
        <f aca="false">IFERROR(LEFT(J159,FIND(",",J159)-1),J159)</f>
        <v>Crime TV Shows</v>
      </c>
      <c r="N159" s="7" t="str">
        <f aca="false">IF(B159="Movie",IFERROR(VALUE(LEFT(I159,FIND(" ",I159)-1)),""),"")</f>
        <v/>
      </c>
      <c r="O159" s="7" t="n">
        <f aca="false">IF(B159="TV Show",IFERROR(VALUE(LEFT(I159,FIND(" ",I159)-1)),""),"")</f>
        <v>1</v>
      </c>
      <c r="P159" s="7" t="n">
        <f aca="false">IF(K159="","",K159-G159)</f>
        <v>0</v>
      </c>
    </row>
    <row r="160" customFormat="false" ht="15" hidden="false" customHeight="false" outlineLevel="0" collapsed="false">
      <c r="A160" s="7" t="n">
        <v>80216172</v>
      </c>
      <c r="B160" s="7" t="s">
        <v>78</v>
      </c>
      <c r="C160" s="7" t="s">
        <v>561</v>
      </c>
      <c r="E160" s="7" t="s">
        <v>562</v>
      </c>
      <c r="F160" s="7" t="s">
        <v>556</v>
      </c>
      <c r="G160" s="7" t="n">
        <v>2019</v>
      </c>
      <c r="H160" s="7" t="s">
        <v>48</v>
      </c>
      <c r="I160" s="7" t="s">
        <v>82</v>
      </c>
      <c r="J160" s="7" t="s">
        <v>563</v>
      </c>
      <c r="K160" s="7" t="n">
        <f aca="false">IFERROR(VALUE(RIGHT(TRIM(F160),4)),"")</f>
        <v>2019</v>
      </c>
      <c r="L160" s="7" t="str">
        <f aca="false">IF(TRIM(E160)="","Unknown",IFERROR(LEFT(TRIM(E160),FIND(",",TRIM(E160))-1),TRIM(E160)))</f>
        <v>United Kingdom</v>
      </c>
      <c r="M160" s="7" t="str">
        <f aca="false">IFERROR(LEFT(J160,FIND(",",J160)-1),J160)</f>
        <v>British TV Shows</v>
      </c>
      <c r="N160" s="7" t="str">
        <f aca="false">IF(B160="Movie",IFERROR(VALUE(LEFT(I160,FIND(" ",I160)-1)),""),"")</f>
        <v/>
      </c>
      <c r="O160" s="7" t="n">
        <f aca="false">IF(B160="TV Show",IFERROR(VALUE(LEFT(I160,FIND(" ",I160)-1)),""),"")</f>
        <v>1</v>
      </c>
      <c r="P160" s="7" t="n">
        <f aca="false">IF(K160="","",K160-G160)</f>
        <v>0</v>
      </c>
    </row>
    <row r="161" customFormat="false" ht="15" hidden="false" customHeight="false" outlineLevel="0" collapsed="false">
      <c r="A161" s="7" t="n">
        <v>81122669</v>
      </c>
      <c r="B161" s="7" t="s">
        <v>68</v>
      </c>
      <c r="C161" s="7" t="s">
        <v>564</v>
      </c>
      <c r="D161" s="7" t="s">
        <v>565</v>
      </c>
      <c r="E161" s="7" t="s">
        <v>26</v>
      </c>
      <c r="F161" s="7" t="s">
        <v>556</v>
      </c>
      <c r="G161" s="7" t="n">
        <v>2019</v>
      </c>
      <c r="H161" s="7" t="s">
        <v>48</v>
      </c>
      <c r="I161" s="7" t="s">
        <v>437</v>
      </c>
      <c r="J161" s="7" t="s">
        <v>566</v>
      </c>
      <c r="K161" s="7" t="n">
        <f aca="false">IFERROR(VALUE(RIGHT(TRIM(F161),4)),"")</f>
        <v>2019</v>
      </c>
      <c r="L161" s="7" t="str">
        <f aca="false">IF(TRIM(E161)="","Unknown",IFERROR(LEFT(TRIM(E161),FIND(",",TRIM(E161))-1),TRIM(E161)))</f>
        <v>United States</v>
      </c>
      <c r="M161" s="7" t="str">
        <f aca="false">IFERROR(LEFT(J161,FIND(",",J161)-1),J161)</f>
        <v>Dramas</v>
      </c>
      <c r="N161" s="7" t="n">
        <f aca="false">IF(B161="Movie",IFERROR(VALUE(LEFT(I161,FIND(" ",I161)-1)),""),"")</f>
        <v>82</v>
      </c>
      <c r="O161" s="7" t="str">
        <f aca="false">IF(B161="TV Show",IFERROR(VALUE(LEFT(I161,FIND(" ",I161)-1)),""),"")</f>
        <v/>
      </c>
      <c r="P161" s="7" t="n">
        <f aca="false">IF(K161="","",K161-G161)</f>
        <v>0</v>
      </c>
    </row>
    <row r="162" customFormat="false" ht="15" hidden="false" customHeight="false" outlineLevel="0" collapsed="false">
      <c r="A162" s="7" t="n">
        <v>80184771</v>
      </c>
      <c r="B162" s="7" t="s">
        <v>78</v>
      </c>
      <c r="C162" s="7" t="s">
        <v>567</v>
      </c>
      <c r="E162" s="7" t="s">
        <v>26</v>
      </c>
      <c r="F162" s="7" t="s">
        <v>556</v>
      </c>
      <c r="G162" s="7" t="n">
        <v>2019</v>
      </c>
      <c r="H162" s="7" t="s">
        <v>49</v>
      </c>
      <c r="I162" s="7" t="s">
        <v>82</v>
      </c>
      <c r="J162" s="7" t="s">
        <v>100</v>
      </c>
      <c r="K162" s="7" t="n">
        <f aca="false">IFERROR(VALUE(RIGHT(TRIM(F162),4)),"")</f>
        <v>2019</v>
      </c>
      <c r="L162" s="7" t="str">
        <f aca="false">IF(TRIM(E162)="","Unknown",IFERROR(LEFT(TRIM(E162),FIND(",",TRIM(E162))-1),TRIM(E162)))</f>
        <v>United States</v>
      </c>
      <c r="M162" s="7" t="str">
        <f aca="false">IFERROR(LEFT(J162,FIND(",",J162)-1),J162)</f>
        <v>Docuseries</v>
      </c>
      <c r="N162" s="7" t="str">
        <f aca="false">IF(B162="Movie",IFERROR(VALUE(LEFT(I162,FIND(" ",I162)-1)),""),"")</f>
        <v/>
      </c>
      <c r="O162" s="7" t="n">
        <f aca="false">IF(B162="TV Show",IFERROR(VALUE(LEFT(I162,FIND(" ",I162)-1)),""),"")</f>
        <v>1</v>
      </c>
      <c r="P162" s="7" t="n">
        <f aca="false">IF(K162="","",K162-G162)</f>
        <v>0</v>
      </c>
    </row>
    <row r="163" customFormat="false" ht="15" hidden="false" customHeight="false" outlineLevel="0" collapsed="false">
      <c r="A163" s="7" t="n">
        <v>81000389</v>
      </c>
      <c r="B163" s="7" t="s">
        <v>78</v>
      </c>
      <c r="C163" s="7" t="s">
        <v>568</v>
      </c>
      <c r="D163" s="7" t="s">
        <v>569</v>
      </c>
      <c r="E163" s="7" t="s">
        <v>33</v>
      </c>
      <c r="F163" s="7" t="s">
        <v>556</v>
      </c>
      <c r="G163" s="7" t="n">
        <v>2019</v>
      </c>
      <c r="H163" s="7" t="s">
        <v>48</v>
      </c>
      <c r="I163" s="7" t="s">
        <v>82</v>
      </c>
      <c r="J163" s="7" t="s">
        <v>335</v>
      </c>
      <c r="K163" s="7" t="n">
        <f aca="false">IFERROR(VALUE(RIGHT(TRIM(F163),4)),"")</f>
        <v>2019</v>
      </c>
      <c r="L163" s="7" t="str">
        <f aca="false">IF(TRIM(E163)="","Unknown",IFERROR(LEFT(TRIM(E163),FIND(",",TRIM(E163))-1),TRIM(E163)))</f>
        <v>Spain</v>
      </c>
      <c r="M163" s="7" t="str">
        <f aca="false">IFERROR(LEFT(J163,FIND(",",J163)-1),J163)</f>
        <v>International TV Shows</v>
      </c>
      <c r="N163" s="7" t="str">
        <f aca="false">IF(B163="Movie",IFERROR(VALUE(LEFT(I163,FIND(" ",I163)-1)),""),"")</f>
        <v/>
      </c>
      <c r="O163" s="7" t="n">
        <f aca="false">IF(B163="TV Show",IFERROR(VALUE(LEFT(I163,FIND(" ",I163)-1)),""),"")</f>
        <v>1</v>
      </c>
      <c r="P163" s="7" t="n">
        <f aca="false">IF(K163="","",K163-G163)</f>
        <v>0</v>
      </c>
    </row>
    <row r="164" customFormat="false" ht="15" hidden="false" customHeight="false" outlineLevel="0" collapsed="false">
      <c r="A164" s="7" t="n">
        <v>81132439</v>
      </c>
      <c r="B164" s="7" t="s">
        <v>68</v>
      </c>
      <c r="C164" s="7" t="s">
        <v>570</v>
      </c>
      <c r="D164" s="7" t="s">
        <v>571</v>
      </c>
      <c r="E164" s="7" t="s">
        <v>396</v>
      </c>
      <c r="F164" s="7" t="s">
        <v>556</v>
      </c>
      <c r="G164" s="7" t="n">
        <v>2018</v>
      </c>
      <c r="H164" s="7" t="s">
        <v>49</v>
      </c>
      <c r="I164" s="7" t="s">
        <v>326</v>
      </c>
      <c r="J164" s="7" t="s">
        <v>202</v>
      </c>
      <c r="K164" s="7" t="n">
        <f aca="false">IFERROR(VALUE(RIGHT(TRIM(F164),4)),"")</f>
        <v>2019</v>
      </c>
      <c r="L164" s="7" t="str">
        <f aca="false">IF(TRIM(E164)="","Unknown",IFERROR(LEFT(TRIM(E164),FIND(",",TRIM(E164))-1),TRIM(E164)))</f>
        <v>Turkey</v>
      </c>
      <c r="M164" s="7" t="str">
        <f aca="false">IFERROR(LEFT(J164,FIND(",",J164)-1),J164)</f>
        <v>Comedies</v>
      </c>
      <c r="N164" s="7" t="n">
        <f aca="false">IF(B164="Movie",IFERROR(VALUE(LEFT(I164,FIND(" ",I164)-1)),""),"")</f>
        <v>111</v>
      </c>
      <c r="O164" s="7" t="str">
        <f aca="false">IF(B164="TV Show",IFERROR(VALUE(LEFT(I164,FIND(" ",I164)-1)),""),"")</f>
        <v/>
      </c>
      <c r="P164" s="7" t="n">
        <f aca="false">IF(K164="","",K164-G164)</f>
        <v>1</v>
      </c>
    </row>
    <row r="165" customFormat="false" ht="15" hidden="false" customHeight="false" outlineLevel="0" collapsed="false">
      <c r="A165" s="7" t="n">
        <v>81035117</v>
      </c>
      <c r="B165" s="7" t="s">
        <v>68</v>
      </c>
      <c r="C165" s="7" t="s">
        <v>572</v>
      </c>
      <c r="E165" s="7" t="s">
        <v>29</v>
      </c>
      <c r="F165" s="7" t="s">
        <v>556</v>
      </c>
      <c r="G165" s="7" t="n">
        <v>2019</v>
      </c>
      <c r="H165" s="7" t="s">
        <v>119</v>
      </c>
      <c r="I165" s="7" t="s">
        <v>373</v>
      </c>
      <c r="J165" s="7" t="s">
        <v>42</v>
      </c>
      <c r="K165" s="7" t="n">
        <f aca="false">IFERROR(VALUE(RIGHT(TRIM(F165),4)),"")</f>
        <v>2019</v>
      </c>
      <c r="L165" s="7" t="str">
        <f aca="false">IF(TRIM(E165)="","Unknown",IFERROR(LEFT(TRIM(E165),FIND(",",TRIM(E165))-1),TRIM(E165)))</f>
        <v>Canada</v>
      </c>
      <c r="M165" s="7" t="str">
        <f aca="false">IFERROR(LEFT(J165,FIND(",",J165)-1),J165)</f>
        <v>Children &amp; Family Movies</v>
      </c>
      <c r="N165" s="7" t="n">
        <f aca="false">IF(B165="Movie",IFERROR(VALUE(LEFT(I165,FIND(" ",I165)-1)),""),"")</f>
        <v>24</v>
      </c>
      <c r="O165" s="7" t="str">
        <f aca="false">IF(B165="TV Show",IFERROR(VALUE(LEFT(I165,FIND(" ",I165)-1)),""),"")</f>
        <v/>
      </c>
      <c r="P165" s="7" t="n">
        <f aca="false">IF(K165="","",K165-G165)</f>
        <v>0</v>
      </c>
    </row>
    <row r="166" customFormat="false" ht="15" hidden="false" customHeight="false" outlineLevel="0" collapsed="false">
      <c r="A166" s="7" t="n">
        <v>80244627</v>
      </c>
      <c r="B166" s="7" t="s">
        <v>78</v>
      </c>
      <c r="C166" s="7" t="s">
        <v>573</v>
      </c>
      <c r="E166" s="7" t="s">
        <v>26</v>
      </c>
      <c r="F166" s="7" t="s">
        <v>556</v>
      </c>
      <c r="G166" s="7" t="n">
        <v>2019</v>
      </c>
      <c r="H166" s="7" t="s">
        <v>49</v>
      </c>
      <c r="I166" s="7" t="s">
        <v>82</v>
      </c>
      <c r="J166" s="7" t="s">
        <v>574</v>
      </c>
      <c r="K166" s="7" t="n">
        <f aca="false">IFERROR(VALUE(RIGHT(TRIM(F166),4)),"")</f>
        <v>2019</v>
      </c>
      <c r="L166" s="7" t="str">
        <f aca="false">IF(TRIM(E166)="","Unknown",IFERROR(LEFT(TRIM(E166),FIND(",",TRIM(E166))-1),TRIM(E166)))</f>
        <v>United States</v>
      </c>
      <c r="M166" s="7" t="str">
        <f aca="false">IFERROR(LEFT(J166,FIND(",",J166)-1),J166)</f>
        <v>TV Horror</v>
      </c>
      <c r="N166" s="7" t="str">
        <f aca="false">IF(B166="Movie",IFERROR(VALUE(LEFT(I166,FIND(" ",I166)-1)),""),"")</f>
        <v/>
      </c>
      <c r="O166" s="7" t="n">
        <f aca="false">IF(B166="TV Show",IFERROR(VALUE(LEFT(I166,FIND(" ",I166)-1)),""),"")</f>
        <v>1</v>
      </c>
      <c r="P166" s="7" t="n">
        <f aca="false">IF(K166="","",K166-G166)</f>
        <v>0</v>
      </c>
    </row>
    <row r="167" customFormat="false" ht="15" hidden="false" customHeight="false" outlineLevel="0" collapsed="false">
      <c r="A167" s="7" t="n">
        <v>80150502</v>
      </c>
      <c r="B167" s="7" t="s">
        <v>68</v>
      </c>
      <c r="C167" s="7" t="s">
        <v>575</v>
      </c>
      <c r="D167" s="7" t="s">
        <v>576</v>
      </c>
      <c r="E167" s="7" t="s">
        <v>411</v>
      </c>
      <c r="F167" s="7" t="s">
        <v>577</v>
      </c>
      <c r="G167" s="7" t="n">
        <v>2016</v>
      </c>
      <c r="H167" s="7" t="s">
        <v>48</v>
      </c>
      <c r="I167" s="7" t="s">
        <v>181</v>
      </c>
      <c r="J167" s="7" t="s">
        <v>304</v>
      </c>
      <c r="K167" s="7" t="n">
        <f aca="false">IFERROR(VALUE(RIGHT(TRIM(F167),4)),"")</f>
        <v>2018</v>
      </c>
      <c r="L167" s="7" t="str">
        <f aca="false">IF(TRIM(E167)="","Unknown",IFERROR(LEFT(TRIM(E167),FIND(",",TRIM(E167))-1),TRIM(E167)))</f>
        <v>Hong Kong</v>
      </c>
      <c r="M167" s="7" t="str">
        <f aca="false">IFERROR(LEFT(J167,FIND(",",J167)-1),J167)</f>
        <v>Dramas</v>
      </c>
      <c r="N167" s="7" t="n">
        <f aca="false">IF(B167="Movie",IFERROR(VALUE(LEFT(I167,FIND(" ",I167)-1)),""),"")</f>
        <v>102</v>
      </c>
      <c r="O167" s="7" t="str">
        <f aca="false">IF(B167="TV Show",IFERROR(VALUE(LEFT(I167,FIND(" ",I167)-1)),""),"")</f>
        <v/>
      </c>
      <c r="P167" s="7" t="n">
        <f aca="false">IF(K167="","",K167-G167)</f>
        <v>2</v>
      </c>
    </row>
    <row r="168" customFormat="false" ht="15" hidden="false" customHeight="false" outlineLevel="0" collapsed="false">
      <c r="A168" s="7" t="n">
        <v>80189183</v>
      </c>
      <c r="B168" s="7" t="s">
        <v>78</v>
      </c>
      <c r="C168" s="7" t="s">
        <v>578</v>
      </c>
      <c r="E168" s="7" t="s">
        <v>30</v>
      </c>
      <c r="F168" s="7" t="s">
        <v>577</v>
      </c>
      <c r="G168" s="7" t="n">
        <v>2014</v>
      </c>
      <c r="H168" s="7" t="s">
        <v>49</v>
      </c>
      <c r="I168" s="7" t="s">
        <v>82</v>
      </c>
      <c r="J168" s="7" t="s">
        <v>542</v>
      </c>
      <c r="K168" s="7" t="n">
        <f aca="false">IFERROR(VALUE(RIGHT(TRIM(F168),4)),"")</f>
        <v>2018</v>
      </c>
      <c r="L168" s="7" t="str">
        <f aca="false">IF(TRIM(E168)="","Unknown",IFERROR(LEFT(TRIM(E168),FIND(",",TRIM(E168))-1),TRIM(E168)))</f>
        <v>Japan</v>
      </c>
      <c r="M168" s="7" t="str">
        <f aca="false">IFERROR(LEFT(J168,FIND(",",J168)-1),J168)</f>
        <v>Anime Series</v>
      </c>
      <c r="N168" s="7" t="str">
        <f aca="false">IF(B168="Movie",IFERROR(VALUE(LEFT(I168,FIND(" ",I168)-1)),""),"")</f>
        <v/>
      </c>
      <c r="O168" s="7" t="n">
        <f aca="false">IF(B168="TV Show",IFERROR(VALUE(LEFT(I168,FIND(" ",I168)-1)),""),"")</f>
        <v>1</v>
      </c>
      <c r="P168" s="7" t="n">
        <f aca="false">IF(K168="","",K168-G168)</f>
        <v>4</v>
      </c>
    </row>
    <row r="169" customFormat="false" ht="15" hidden="false" customHeight="false" outlineLevel="0" collapsed="false">
      <c r="A169" s="7" t="n">
        <v>80997866</v>
      </c>
      <c r="B169" s="7" t="s">
        <v>68</v>
      </c>
      <c r="C169" s="7" t="s">
        <v>579</v>
      </c>
      <c r="E169" s="7" t="s">
        <v>411</v>
      </c>
      <c r="F169" s="7" t="s">
        <v>577</v>
      </c>
      <c r="G169" s="7" t="n">
        <v>1983</v>
      </c>
      <c r="H169" s="7" t="s">
        <v>49</v>
      </c>
      <c r="I169" s="7" t="s">
        <v>330</v>
      </c>
      <c r="J169" s="7" t="s">
        <v>112</v>
      </c>
      <c r="K169" s="7" t="n">
        <f aca="false">IFERROR(VALUE(RIGHT(TRIM(F169),4)),"")</f>
        <v>2018</v>
      </c>
      <c r="L169" s="7" t="str">
        <f aca="false">IF(TRIM(E169)="","Unknown",IFERROR(LEFT(TRIM(E169),FIND(",",TRIM(E169))-1),TRIM(E169)))</f>
        <v>Hong Kong</v>
      </c>
      <c r="M169" s="7" t="str">
        <f aca="false">IFERROR(LEFT(J169,FIND(",",J169)-1),J169)</f>
        <v>Action &amp; Adventure</v>
      </c>
      <c r="N169" s="7" t="n">
        <f aca="false">IF(B169="Movie",IFERROR(VALUE(LEFT(I169,FIND(" ",I169)-1)),""),"")</f>
        <v>103</v>
      </c>
      <c r="O169" s="7" t="str">
        <f aca="false">IF(B169="TV Show",IFERROR(VALUE(LEFT(I169,FIND(" ",I169)-1)),""),"")</f>
        <v/>
      </c>
      <c r="P169" s="7" t="n">
        <f aca="false">IF(K169="","",K169-G169)</f>
        <v>35</v>
      </c>
    </row>
    <row r="170" customFormat="false" ht="15" hidden="false" customHeight="false" outlineLevel="0" collapsed="false">
      <c r="A170" s="7" t="n">
        <v>80119815</v>
      </c>
      <c r="B170" s="7" t="s">
        <v>68</v>
      </c>
      <c r="C170" s="7" t="s">
        <v>580</v>
      </c>
      <c r="D170" s="7" t="s">
        <v>581</v>
      </c>
      <c r="E170" s="7" t="s">
        <v>582</v>
      </c>
      <c r="F170" s="7" t="s">
        <v>583</v>
      </c>
      <c r="G170" s="7" t="n">
        <v>2014</v>
      </c>
      <c r="H170" s="7" t="s">
        <v>49</v>
      </c>
      <c r="I170" s="7" t="s">
        <v>494</v>
      </c>
      <c r="J170" s="7" t="s">
        <v>150</v>
      </c>
      <c r="K170" s="7" t="n">
        <f aca="false">IFERROR(VALUE(RIGHT(TRIM(F170),4)),"")</f>
        <v>2016</v>
      </c>
      <c r="L170" s="7" t="str">
        <f aca="false">IF(TRIM(E170)="","Unknown",IFERROR(LEFT(TRIM(E170),FIND(",",TRIM(E170))-1),TRIM(E170)))</f>
        <v>United States</v>
      </c>
      <c r="M170" s="7" t="str">
        <f aca="false">IFERROR(LEFT(J170,FIND(",",J170)-1),J170)</f>
        <v>Dramas</v>
      </c>
      <c r="N170" s="7" t="n">
        <f aca="false">IF(B170="Movie",IFERROR(VALUE(LEFT(I170,FIND(" ",I170)-1)),""),"")</f>
        <v>87</v>
      </c>
      <c r="O170" s="7" t="str">
        <f aca="false">IF(B170="TV Show",IFERROR(VALUE(LEFT(I170,FIND(" ",I170)-1)),""),"")</f>
        <v/>
      </c>
      <c r="P170" s="7" t="n">
        <f aca="false">IF(K170="","",K170-G170)</f>
        <v>2</v>
      </c>
    </row>
    <row r="171" customFormat="false" ht="15" hidden="false" customHeight="false" outlineLevel="0" collapsed="false">
      <c r="A171" s="7" t="n">
        <v>80993149</v>
      </c>
      <c r="B171" s="7" t="s">
        <v>68</v>
      </c>
      <c r="C171" s="7" t="s">
        <v>584</v>
      </c>
      <c r="D171" s="7" t="s">
        <v>585</v>
      </c>
      <c r="E171" s="7" t="s">
        <v>26</v>
      </c>
      <c r="F171" s="7" t="s">
        <v>586</v>
      </c>
      <c r="G171" s="7" t="n">
        <v>2017</v>
      </c>
      <c r="H171" s="7" t="s">
        <v>50</v>
      </c>
      <c r="I171" s="7" t="s">
        <v>205</v>
      </c>
      <c r="J171" s="7" t="s">
        <v>39</v>
      </c>
      <c r="K171" s="7" t="n">
        <f aca="false">IFERROR(VALUE(RIGHT(TRIM(F171),4)),"")</f>
        <v>2018</v>
      </c>
      <c r="L171" s="7" t="str">
        <f aca="false">IF(TRIM(E171)="","Unknown",IFERROR(LEFT(TRIM(E171),FIND(",",TRIM(E171))-1),TRIM(E171)))</f>
        <v>United States</v>
      </c>
      <c r="M171" s="7" t="str">
        <f aca="false">IFERROR(LEFT(J171,FIND(",",J171)-1),J171)</f>
        <v>Documentaries</v>
      </c>
      <c r="N171" s="7" t="n">
        <f aca="false">IF(B171="Movie",IFERROR(VALUE(LEFT(I171,FIND(" ",I171)-1)),""),"")</f>
        <v>100</v>
      </c>
      <c r="O171" s="7" t="str">
        <f aca="false">IF(B171="TV Show",IFERROR(VALUE(LEFT(I171,FIND(" ",I171)-1)),""),"")</f>
        <v/>
      </c>
      <c r="P171" s="7" t="n">
        <f aca="false">IF(K171="","",K171-G171)</f>
        <v>1</v>
      </c>
    </row>
    <row r="172" customFormat="false" ht="15" hidden="false" customHeight="false" outlineLevel="0" collapsed="false">
      <c r="A172" s="7" t="n">
        <v>80224294</v>
      </c>
      <c r="B172" s="7" t="s">
        <v>78</v>
      </c>
      <c r="C172" s="7" t="s">
        <v>587</v>
      </c>
      <c r="E172" s="7" t="s">
        <v>167</v>
      </c>
      <c r="F172" s="7" t="s">
        <v>586</v>
      </c>
      <c r="G172" s="7" t="n">
        <v>2018</v>
      </c>
      <c r="H172" s="7" t="s">
        <v>48</v>
      </c>
      <c r="I172" s="7" t="s">
        <v>82</v>
      </c>
      <c r="J172" s="7" t="s">
        <v>588</v>
      </c>
      <c r="K172" s="7" t="n">
        <f aca="false">IFERROR(VALUE(RIGHT(TRIM(F172),4)),"")</f>
        <v>2018</v>
      </c>
      <c r="L172" s="7" t="str">
        <f aca="false">IF(TRIM(E172)="","Unknown",IFERROR(LEFT(TRIM(E172),FIND(",",TRIM(E172))-1),TRIM(E172)))</f>
        <v>Thailand</v>
      </c>
      <c r="M172" s="7" t="str">
        <f aca="false">IFERROR(LEFT(J172,FIND(",",J172)-1),J172)</f>
        <v>Crime TV Shows</v>
      </c>
      <c r="N172" s="7" t="str">
        <f aca="false">IF(B172="Movie",IFERROR(VALUE(LEFT(I172,FIND(" ",I172)-1)),""),"")</f>
        <v/>
      </c>
      <c r="O172" s="7" t="n">
        <f aca="false">IF(B172="TV Show",IFERROR(VALUE(LEFT(I172,FIND(" ",I172)-1)),""),"")</f>
        <v>1</v>
      </c>
      <c r="P172" s="7" t="n">
        <f aca="false">IF(K172="","",K172-G172)</f>
        <v>0</v>
      </c>
    </row>
    <row r="173" customFormat="false" ht="15" hidden="false" customHeight="false" outlineLevel="0" collapsed="false">
      <c r="A173" s="7" t="n">
        <v>80203776</v>
      </c>
      <c r="B173" s="7" t="s">
        <v>68</v>
      </c>
      <c r="C173" s="7" t="s">
        <v>589</v>
      </c>
      <c r="D173" s="7" t="s">
        <v>590</v>
      </c>
      <c r="E173" s="7" t="s">
        <v>450</v>
      </c>
      <c r="F173" s="7" t="s">
        <v>591</v>
      </c>
      <c r="G173" s="7" t="n">
        <v>2016</v>
      </c>
      <c r="H173" s="7" t="s">
        <v>49</v>
      </c>
      <c r="I173" s="7" t="s">
        <v>237</v>
      </c>
      <c r="J173" s="7" t="s">
        <v>139</v>
      </c>
      <c r="K173" s="7" t="n">
        <f aca="false">IFERROR(VALUE(RIGHT(TRIM(F173),4)),"")</f>
        <v>2017</v>
      </c>
      <c r="L173" s="7" t="str">
        <f aca="false">IF(TRIM(E173)="","Unknown",IFERROR(LEFT(TRIM(E173),FIND(",",TRIM(E173))-1),TRIM(E173)))</f>
        <v>Vietnam</v>
      </c>
      <c r="M173" s="7" t="str">
        <f aca="false">IFERROR(LEFT(J173,FIND(",",J173)-1),J173)</f>
        <v>Action &amp; Adventure</v>
      </c>
      <c r="N173" s="7" t="n">
        <f aca="false">IF(B173="Movie",IFERROR(VALUE(LEFT(I173,FIND(" ",I173)-1)),""),"")</f>
        <v>116</v>
      </c>
      <c r="O173" s="7" t="str">
        <f aca="false">IF(B173="TV Show",IFERROR(VALUE(LEFT(I173,FIND(" ",I173)-1)),""),"")</f>
        <v/>
      </c>
      <c r="P173" s="7" t="n">
        <f aca="false">IF(K173="","",K173-G173)</f>
        <v>1</v>
      </c>
    </row>
    <row r="174" customFormat="false" ht="15" hidden="false" customHeight="false" outlineLevel="0" collapsed="false">
      <c r="A174" s="7" t="n">
        <v>80143797</v>
      </c>
      <c r="B174" s="7" t="s">
        <v>68</v>
      </c>
      <c r="C174" s="7" t="s">
        <v>592</v>
      </c>
      <c r="D174" s="7" t="s">
        <v>593</v>
      </c>
      <c r="E174" s="7" t="s">
        <v>366</v>
      </c>
      <c r="F174" s="7" t="s">
        <v>591</v>
      </c>
      <c r="G174" s="7" t="n">
        <v>2016</v>
      </c>
      <c r="H174" s="7" t="s">
        <v>49</v>
      </c>
      <c r="I174" s="7" t="s">
        <v>594</v>
      </c>
      <c r="J174" s="7" t="s">
        <v>217</v>
      </c>
      <c r="K174" s="7" t="n">
        <f aca="false">IFERROR(VALUE(RIGHT(TRIM(F174),4)),"")</f>
        <v>2017</v>
      </c>
      <c r="L174" s="7" t="str">
        <f aca="false">IF(TRIM(E174)="","Unknown",IFERROR(LEFT(TRIM(E174),FIND(",",TRIM(E174))-1),TRIM(E174)))</f>
        <v>China</v>
      </c>
      <c r="M174" s="7" t="str">
        <f aca="false">IFERROR(LEFT(J174,FIND(",",J174)-1),J174)</f>
        <v>Comedies</v>
      </c>
      <c r="N174" s="7" t="n">
        <f aca="false">IF(B174="Movie",IFERROR(VALUE(LEFT(I174,FIND(" ",I174)-1)),""),"")</f>
        <v>139</v>
      </c>
      <c r="O174" s="7" t="str">
        <f aca="false">IF(B174="TV Show",IFERROR(VALUE(LEFT(I174,FIND(" ",I174)-1)),""),"")</f>
        <v/>
      </c>
      <c r="P174" s="7" t="n">
        <f aca="false">IF(K174="","",K174-G174)</f>
        <v>1</v>
      </c>
    </row>
    <row r="175" customFormat="false" ht="15" hidden="false" customHeight="false" outlineLevel="0" collapsed="false">
      <c r="A175" s="7" t="n">
        <v>80161931</v>
      </c>
      <c r="B175" s="7" t="s">
        <v>68</v>
      </c>
      <c r="C175" s="7" t="s">
        <v>595</v>
      </c>
      <c r="D175" s="7" t="s">
        <v>596</v>
      </c>
      <c r="E175" s="7" t="s">
        <v>26</v>
      </c>
      <c r="F175" s="7" t="s">
        <v>591</v>
      </c>
      <c r="G175" s="7" t="n">
        <v>2016</v>
      </c>
      <c r="H175" s="7" t="s">
        <v>51</v>
      </c>
      <c r="I175" s="7" t="s">
        <v>512</v>
      </c>
      <c r="J175" s="7" t="s">
        <v>597</v>
      </c>
      <c r="K175" s="7" t="n">
        <f aca="false">IFERROR(VALUE(RIGHT(TRIM(F175),4)),"")</f>
        <v>2017</v>
      </c>
      <c r="L175" s="7" t="str">
        <f aca="false">IF(TRIM(E175)="","Unknown",IFERROR(LEFT(TRIM(E175),FIND(",",TRIM(E175))-1),TRIM(E175)))</f>
        <v>United States</v>
      </c>
      <c r="M175" s="7" t="str">
        <f aca="false">IFERROR(LEFT(J175,FIND(",",J175)-1),J175)</f>
        <v>Dramas</v>
      </c>
      <c r="N175" s="7" t="n">
        <f aca="false">IF(B175="Movie",IFERROR(VALUE(LEFT(I175,FIND(" ",I175)-1)),""),"")</f>
        <v>101</v>
      </c>
      <c r="O175" s="7" t="str">
        <f aca="false">IF(B175="TV Show",IFERROR(VALUE(LEFT(I175,FIND(" ",I175)-1)),""),"")</f>
        <v/>
      </c>
      <c r="P175" s="7" t="n">
        <f aca="false">IF(K175="","",K175-G175)</f>
        <v>1</v>
      </c>
    </row>
    <row r="176" customFormat="false" ht="15" hidden="false" customHeight="false" outlineLevel="0" collapsed="false">
      <c r="A176" s="7" t="n">
        <v>80128096</v>
      </c>
      <c r="B176" s="7" t="s">
        <v>78</v>
      </c>
      <c r="C176" s="7" t="s">
        <v>598</v>
      </c>
      <c r="F176" s="7" t="s">
        <v>599</v>
      </c>
      <c r="G176" s="7" t="n">
        <v>2016</v>
      </c>
      <c r="H176" s="7" t="s">
        <v>49</v>
      </c>
      <c r="I176" s="7" t="s">
        <v>82</v>
      </c>
      <c r="J176" s="7" t="s">
        <v>164</v>
      </c>
      <c r="K176" s="7" t="n">
        <f aca="false">IFERROR(VALUE(RIGHT(TRIM(F176),4)),"")</f>
        <v>2016</v>
      </c>
      <c r="L176" s="7" t="str">
        <f aca="false">IF(TRIM(E176)="","Unknown",IFERROR(LEFT(TRIM(E176),FIND(",",TRIM(E176))-1),TRIM(E176)))</f>
        <v>Unknown</v>
      </c>
      <c r="M176" s="7" t="str">
        <f aca="false">IFERROR(LEFT(J176,FIND(",",J176)-1),J176)</f>
        <v>Docuseries</v>
      </c>
      <c r="N176" s="7" t="str">
        <f aca="false">IF(B176="Movie",IFERROR(VALUE(LEFT(I176,FIND(" ",I176)-1)),""),"")</f>
        <v/>
      </c>
      <c r="O176" s="7" t="n">
        <f aca="false">IF(B176="TV Show",IFERROR(VALUE(LEFT(I176,FIND(" ",I176)-1)),""),"")</f>
        <v>1</v>
      </c>
      <c r="P176" s="7" t="n">
        <f aca="false">IF(K176="","",K176-G176)</f>
        <v>0</v>
      </c>
    </row>
    <row r="177" customFormat="false" ht="15" hidden="false" customHeight="false" outlineLevel="0" collapsed="false">
      <c r="A177" s="7" t="n">
        <v>80057610</v>
      </c>
      <c r="B177" s="7" t="s">
        <v>78</v>
      </c>
      <c r="C177" s="7" t="s">
        <v>600</v>
      </c>
      <c r="E177" s="7" t="s">
        <v>26</v>
      </c>
      <c r="F177" s="7" t="s">
        <v>599</v>
      </c>
      <c r="G177" s="7" t="n">
        <v>2016</v>
      </c>
      <c r="H177" s="7" t="s">
        <v>81</v>
      </c>
      <c r="I177" s="7" t="s">
        <v>82</v>
      </c>
      <c r="J177" s="7" t="s">
        <v>44</v>
      </c>
      <c r="K177" s="7" t="n">
        <f aca="false">IFERROR(VALUE(RIGHT(TRIM(F177),4)),"")</f>
        <v>2016</v>
      </c>
      <c r="L177" s="7" t="str">
        <f aca="false">IF(TRIM(E177)="","Unknown",IFERROR(LEFT(TRIM(E177),FIND(",",TRIM(E177))-1),TRIM(E177)))</f>
        <v>United States</v>
      </c>
      <c r="M177" s="7" t="str">
        <f aca="false">IFERROR(LEFT(J177,FIND(",",J177)-1),J177)</f>
        <v>Kids' TV</v>
      </c>
      <c r="N177" s="7" t="str">
        <f aca="false">IF(B177="Movie",IFERROR(VALUE(LEFT(I177,FIND(" ",I177)-1)),""),"")</f>
        <v/>
      </c>
      <c r="O177" s="7" t="n">
        <f aca="false">IF(B177="TV Show",IFERROR(VALUE(LEFT(I177,FIND(" ",I177)-1)),""),"")</f>
        <v>1</v>
      </c>
      <c r="P177" s="7" t="n">
        <f aca="false">IF(K177="","",K177-G177)</f>
        <v>0</v>
      </c>
    </row>
    <row r="178" customFormat="false" ht="15" hidden="false" customHeight="false" outlineLevel="0" collapsed="false">
      <c r="A178" s="7" t="n">
        <v>80017275</v>
      </c>
      <c r="B178" s="7" t="s">
        <v>68</v>
      </c>
      <c r="C178" s="7" t="s">
        <v>601</v>
      </c>
      <c r="D178" s="7" t="s">
        <v>602</v>
      </c>
      <c r="E178" s="7" t="s">
        <v>603</v>
      </c>
      <c r="F178" s="7" t="s">
        <v>604</v>
      </c>
      <c r="G178" s="7" t="n">
        <v>2014</v>
      </c>
      <c r="H178" s="7" t="s">
        <v>52</v>
      </c>
      <c r="I178" s="7" t="s">
        <v>247</v>
      </c>
      <c r="J178" s="7" t="s">
        <v>304</v>
      </c>
      <c r="K178" s="7" t="n">
        <f aca="false">IFERROR(VALUE(RIGHT(TRIM(F178),4)),"")</f>
        <v>2015</v>
      </c>
      <c r="L178" s="7" t="str">
        <f aca="false">IF(TRIM(E178)="","Unknown",IFERROR(LEFT(TRIM(E178),FIND(",",TRIM(E178))-1),TRIM(E178)))</f>
        <v>Norway</v>
      </c>
      <c r="M178" s="7" t="str">
        <f aca="false">IFERROR(LEFT(J178,FIND(",",J178)-1),J178)</f>
        <v>Dramas</v>
      </c>
      <c r="N178" s="7" t="n">
        <f aca="false">IF(B178="Movie",IFERROR(VALUE(LEFT(I178,FIND(" ",I178)-1)),""),"")</f>
        <v>130</v>
      </c>
      <c r="O178" s="7" t="str">
        <f aca="false">IF(B178="TV Show",IFERROR(VALUE(LEFT(I178,FIND(" ",I178)-1)),""),"")</f>
        <v/>
      </c>
      <c r="P178" s="7" t="n">
        <f aca="false">IF(K178="","",K178-G178)</f>
        <v>1</v>
      </c>
    </row>
    <row r="179" customFormat="false" ht="15" hidden="false" customHeight="false" outlineLevel="0" collapsed="false">
      <c r="A179" s="7" t="n">
        <v>81107545</v>
      </c>
      <c r="B179" s="7" t="s">
        <v>68</v>
      </c>
      <c r="C179" s="7" t="s">
        <v>605</v>
      </c>
      <c r="D179" s="7" t="s">
        <v>606</v>
      </c>
      <c r="E179" s="7" t="s">
        <v>27</v>
      </c>
      <c r="F179" s="7" t="s">
        <v>607</v>
      </c>
      <c r="G179" s="7" t="n">
        <v>2019</v>
      </c>
      <c r="H179" s="7" t="s">
        <v>48</v>
      </c>
      <c r="I179" s="7" t="s">
        <v>608</v>
      </c>
      <c r="J179" s="7" t="s">
        <v>240</v>
      </c>
      <c r="K179" s="7" t="n">
        <f aca="false">IFERROR(VALUE(RIGHT(TRIM(F179),4)),"")</f>
        <v>2019</v>
      </c>
      <c r="L179" s="7" t="str">
        <f aca="false">IF(TRIM(E179)="","Unknown",IFERROR(LEFT(TRIM(E179),FIND(",",TRIM(E179))-1),TRIM(E179)))</f>
        <v>India</v>
      </c>
      <c r="M179" s="7" t="str">
        <f aca="false">IFERROR(LEFT(J179,FIND(",",J179)-1),J179)</f>
        <v>Dramas</v>
      </c>
      <c r="N179" s="7" t="n">
        <f aca="false">IF(B179="Movie",IFERROR(VALUE(LEFT(I179,FIND(" ",I179)-1)),""),"")</f>
        <v>171</v>
      </c>
      <c r="O179" s="7" t="str">
        <f aca="false">IF(B179="TV Show",IFERROR(VALUE(LEFT(I179,FIND(" ",I179)-1)),""),"")</f>
        <v/>
      </c>
      <c r="P179" s="7" t="n">
        <f aca="false">IF(K179="","",K179-G179)</f>
        <v>0</v>
      </c>
    </row>
    <row r="180" customFormat="false" ht="15" hidden="false" customHeight="false" outlineLevel="0" collapsed="false">
      <c r="A180" s="7" t="n">
        <v>70118953</v>
      </c>
      <c r="B180" s="7" t="s">
        <v>68</v>
      </c>
      <c r="C180" s="7" t="s">
        <v>609</v>
      </c>
      <c r="D180" s="7" t="s">
        <v>610</v>
      </c>
      <c r="E180" s="7" t="s">
        <v>611</v>
      </c>
      <c r="F180" s="7" t="s">
        <v>607</v>
      </c>
      <c r="G180" s="7" t="n">
        <v>2009</v>
      </c>
      <c r="H180" s="7" t="s">
        <v>612</v>
      </c>
      <c r="I180" s="7" t="s">
        <v>613</v>
      </c>
      <c r="J180" s="7" t="s">
        <v>341</v>
      </c>
      <c r="K180" s="7" t="n">
        <f aca="false">IFERROR(VALUE(RIGHT(TRIM(F180),4)),"")</f>
        <v>2019</v>
      </c>
      <c r="L180" s="7" t="str">
        <f aca="false">IF(TRIM(E180)="","Unknown",IFERROR(LEFT(TRIM(E180),FIND(",",TRIM(E180))-1),TRIM(E180)))</f>
        <v>France</v>
      </c>
      <c r="M180" s="7" t="str">
        <f aca="false">IFERROR(LEFT(J180,FIND(",",J180)-1),J180)</f>
        <v>Documentaries</v>
      </c>
      <c r="N180" s="7" t="n">
        <f aca="false">IF(B180="Movie",IFERROR(VALUE(LEFT(I180,FIND(" ",I180)-1)),""),"")</f>
        <v>84</v>
      </c>
      <c r="O180" s="7" t="str">
        <f aca="false">IF(B180="TV Show",IFERROR(VALUE(LEFT(I180,FIND(" ",I180)-1)),""),"")</f>
        <v/>
      </c>
      <c r="P180" s="7" t="n">
        <f aca="false">IF(K180="","",K180-G180)</f>
        <v>10</v>
      </c>
    </row>
    <row r="181" customFormat="false" ht="15" hidden="false" customHeight="false" outlineLevel="0" collapsed="false">
      <c r="A181" s="7" t="n">
        <v>80190449</v>
      </c>
      <c r="B181" s="7" t="s">
        <v>68</v>
      </c>
      <c r="C181" s="7" t="s">
        <v>614</v>
      </c>
      <c r="D181" s="7" t="s">
        <v>615</v>
      </c>
      <c r="E181" s="7" t="s">
        <v>26</v>
      </c>
      <c r="F181" s="7" t="s">
        <v>616</v>
      </c>
      <c r="G181" s="7" t="n">
        <v>2017</v>
      </c>
      <c r="H181" s="7" t="s">
        <v>48</v>
      </c>
      <c r="I181" s="7" t="s">
        <v>168</v>
      </c>
      <c r="J181" s="7" t="s">
        <v>617</v>
      </c>
      <c r="K181" s="7" t="n">
        <f aca="false">IFERROR(VALUE(RIGHT(TRIM(F181),4)),"")</f>
        <v>2018</v>
      </c>
      <c r="L181" s="7" t="str">
        <f aca="false">IF(TRIM(E181)="","Unknown",IFERROR(LEFT(TRIM(E181),FIND(",",TRIM(E181))-1),TRIM(E181)))</f>
        <v>United States</v>
      </c>
      <c r="M181" s="7" t="str">
        <f aca="false">IFERROR(LEFT(J181,FIND(",",J181)-1),J181)</f>
        <v>Independent Movies</v>
      </c>
      <c r="N181" s="7" t="n">
        <f aca="false">IF(B181="Movie",IFERROR(VALUE(LEFT(I181,FIND(" ",I181)-1)),""),"")</f>
        <v>112</v>
      </c>
      <c r="O181" s="7" t="str">
        <f aca="false">IF(B181="TV Show",IFERROR(VALUE(LEFT(I181,FIND(" ",I181)-1)),""),"")</f>
        <v/>
      </c>
      <c r="P181" s="7" t="n">
        <f aca="false">IF(K181="","",K181-G181)</f>
        <v>1</v>
      </c>
    </row>
    <row r="182" customFormat="false" ht="15" hidden="false" customHeight="false" outlineLevel="0" collapsed="false">
      <c r="A182" s="7" t="n">
        <v>70259208</v>
      </c>
      <c r="B182" s="7" t="s">
        <v>78</v>
      </c>
      <c r="C182" s="7" t="s">
        <v>618</v>
      </c>
      <c r="E182" s="7" t="s">
        <v>619</v>
      </c>
      <c r="F182" s="7" t="s">
        <v>616</v>
      </c>
      <c r="G182" s="7" t="n">
        <v>2016</v>
      </c>
      <c r="H182" s="7" t="s">
        <v>55</v>
      </c>
      <c r="I182" s="7" t="s">
        <v>82</v>
      </c>
      <c r="J182" s="7" t="s">
        <v>44</v>
      </c>
      <c r="K182" s="7" t="n">
        <f aca="false">IFERROR(VALUE(RIGHT(TRIM(F182),4)),"")</f>
        <v>2018</v>
      </c>
      <c r="L182" s="7" t="str">
        <f aca="false">IF(TRIM(E182)="","Unknown",IFERROR(LEFT(TRIM(E182),FIND(",",TRIM(E182))-1),TRIM(E182)))</f>
        <v>Canada</v>
      </c>
      <c r="M182" s="7" t="str">
        <f aca="false">IFERROR(LEFT(J182,FIND(",",J182)-1),J182)</f>
        <v>Kids' TV</v>
      </c>
      <c r="N182" s="7" t="str">
        <f aca="false">IF(B182="Movie",IFERROR(VALUE(LEFT(I182,FIND(" ",I182)-1)),""),"")</f>
        <v/>
      </c>
      <c r="O182" s="7" t="n">
        <f aca="false">IF(B182="TV Show",IFERROR(VALUE(LEFT(I182,FIND(" ",I182)-1)),""),"")</f>
        <v>1</v>
      </c>
      <c r="P182" s="7" t="n">
        <f aca="false">IF(K182="","",K182-G182)</f>
        <v>2</v>
      </c>
    </row>
    <row r="183" customFormat="false" ht="15" hidden="false" customHeight="false" outlineLevel="0" collapsed="false">
      <c r="A183" s="7" t="n">
        <v>80163156</v>
      </c>
      <c r="B183" s="7" t="s">
        <v>68</v>
      </c>
      <c r="C183" s="7" t="s">
        <v>620</v>
      </c>
      <c r="D183" s="7" t="s">
        <v>621</v>
      </c>
      <c r="E183" s="7" t="s">
        <v>26</v>
      </c>
      <c r="F183" s="7" t="s">
        <v>622</v>
      </c>
      <c r="G183" s="7" t="n">
        <v>2017</v>
      </c>
      <c r="H183" s="7" t="s">
        <v>49</v>
      </c>
      <c r="I183" s="7" t="s">
        <v>117</v>
      </c>
      <c r="J183" s="7" t="s">
        <v>45</v>
      </c>
      <c r="K183" s="7" t="n">
        <f aca="false">IFERROR(VALUE(RIGHT(TRIM(F183),4)),"")</f>
        <v>2017</v>
      </c>
      <c r="L183" s="7" t="str">
        <f aca="false">IF(TRIM(E183)="","Unknown",IFERROR(LEFT(TRIM(E183),FIND(",",TRIM(E183))-1),TRIM(E183)))</f>
        <v>United States</v>
      </c>
      <c r="M183" s="7" t="str">
        <f aca="false">IFERROR(LEFT(J183,FIND(",",J183)-1),J183)</f>
        <v>Stand-Up Comedy</v>
      </c>
      <c r="N183" s="7" t="n">
        <f aca="false">IF(B183="Movie",IFERROR(VALUE(LEFT(I183,FIND(" ",I183)-1)),""),"")</f>
        <v>62</v>
      </c>
      <c r="O183" s="7" t="str">
        <f aca="false">IF(B183="TV Show",IFERROR(VALUE(LEFT(I183,FIND(" ",I183)-1)),""),"")</f>
        <v/>
      </c>
      <c r="P183" s="7" t="n">
        <f aca="false">IF(K183="","",K183-G183)</f>
        <v>0</v>
      </c>
    </row>
    <row r="184" customFormat="false" ht="15" hidden="false" customHeight="false" outlineLevel="0" collapsed="false">
      <c r="A184" s="7" t="n">
        <v>80176878</v>
      </c>
      <c r="B184" s="7" t="s">
        <v>78</v>
      </c>
      <c r="C184" s="7" t="s">
        <v>623</v>
      </c>
      <c r="E184" s="7" t="s">
        <v>26</v>
      </c>
      <c r="F184" s="7" t="s">
        <v>622</v>
      </c>
      <c r="G184" s="7" t="n">
        <v>2017</v>
      </c>
      <c r="H184" s="7" t="s">
        <v>49</v>
      </c>
      <c r="I184" s="7" t="s">
        <v>82</v>
      </c>
      <c r="J184" s="7" t="s">
        <v>282</v>
      </c>
      <c r="K184" s="7" t="n">
        <f aca="false">IFERROR(VALUE(RIGHT(TRIM(F184),4)),"")</f>
        <v>2017</v>
      </c>
      <c r="L184" s="7" t="str">
        <f aca="false">IF(TRIM(E184)="","Unknown",IFERROR(LEFT(TRIM(E184),FIND(",",TRIM(E184))-1),TRIM(E184)))</f>
        <v>United States</v>
      </c>
      <c r="M184" s="7" t="str">
        <f aca="false">IFERROR(LEFT(J184,FIND(",",J184)-1),J184)</f>
        <v>Crime TV Shows</v>
      </c>
      <c r="N184" s="7" t="str">
        <f aca="false">IF(B184="Movie",IFERROR(VALUE(LEFT(I184,FIND(" ",I184)-1)),""),"")</f>
        <v/>
      </c>
      <c r="O184" s="7" t="n">
        <f aca="false">IF(B184="TV Show",IFERROR(VALUE(LEFT(I184,FIND(" ",I184)-1)),""),"")</f>
        <v>1</v>
      </c>
      <c r="P184" s="7" t="n">
        <f aca="false">IF(K184="","",K184-G184)</f>
        <v>0</v>
      </c>
    </row>
    <row r="185" customFormat="false" ht="15" hidden="false" customHeight="false" outlineLevel="0" collapsed="false">
      <c r="A185" s="7" t="n">
        <v>80131281</v>
      </c>
      <c r="B185" s="7" t="s">
        <v>68</v>
      </c>
      <c r="C185" s="7" t="s">
        <v>624</v>
      </c>
      <c r="F185" s="7" t="s">
        <v>625</v>
      </c>
      <c r="G185" s="7" t="n">
        <v>2016</v>
      </c>
      <c r="H185" s="7" t="s">
        <v>48</v>
      </c>
      <c r="I185" s="7" t="s">
        <v>120</v>
      </c>
      <c r="J185" s="7" t="s">
        <v>45</v>
      </c>
      <c r="K185" s="7" t="n">
        <f aca="false">IFERROR(VALUE(RIGHT(TRIM(F185),4)),"")</f>
        <v>2016</v>
      </c>
      <c r="L185" s="7" t="str">
        <f aca="false">IF(TRIM(E185)="","Unknown",IFERROR(LEFT(TRIM(E185),FIND(",",TRIM(E185))-1),TRIM(E185)))</f>
        <v>Unknown</v>
      </c>
      <c r="M185" s="7" t="str">
        <f aca="false">IFERROR(LEFT(J185,FIND(",",J185)-1),J185)</f>
        <v>Stand-Up Comedy</v>
      </c>
      <c r="N185" s="7" t="n">
        <f aca="false">IF(B185="Movie",IFERROR(VALUE(LEFT(I185,FIND(" ",I185)-1)),""),"")</f>
        <v>65</v>
      </c>
      <c r="O185" s="7" t="str">
        <f aca="false">IF(B185="TV Show",IFERROR(VALUE(LEFT(I185,FIND(" ",I185)-1)),""),"")</f>
        <v/>
      </c>
      <c r="P185" s="7" t="n">
        <f aca="false">IF(K185="","",K185-G185)</f>
        <v>0</v>
      </c>
    </row>
    <row r="186" customFormat="false" ht="15" hidden="false" customHeight="false" outlineLevel="0" collapsed="false">
      <c r="A186" s="7" t="n">
        <v>80131374</v>
      </c>
      <c r="B186" s="7" t="s">
        <v>68</v>
      </c>
      <c r="C186" s="7" t="s">
        <v>626</v>
      </c>
      <c r="F186" s="7" t="s">
        <v>625</v>
      </c>
      <c r="G186" s="7" t="n">
        <v>2016</v>
      </c>
      <c r="H186" s="7" t="s">
        <v>48</v>
      </c>
      <c r="I186" s="7" t="s">
        <v>120</v>
      </c>
      <c r="J186" s="7" t="s">
        <v>45</v>
      </c>
      <c r="K186" s="7" t="n">
        <f aca="false">IFERROR(VALUE(RIGHT(TRIM(F186),4)),"")</f>
        <v>2016</v>
      </c>
      <c r="L186" s="7" t="str">
        <f aca="false">IF(TRIM(E186)="","Unknown",IFERROR(LEFT(TRIM(E186),FIND(",",TRIM(E186))-1),TRIM(E186)))</f>
        <v>Unknown</v>
      </c>
      <c r="M186" s="7" t="str">
        <f aca="false">IFERROR(LEFT(J186,FIND(",",J186)-1),J186)</f>
        <v>Stand-Up Comedy</v>
      </c>
      <c r="N186" s="7" t="n">
        <f aca="false">IF(B186="Movie",IFERROR(VALUE(LEFT(I186,FIND(" ",I186)-1)),""),"")</f>
        <v>65</v>
      </c>
      <c r="O186" s="7" t="str">
        <f aca="false">IF(B186="TV Show",IFERROR(VALUE(LEFT(I186,FIND(" ",I186)-1)),""),"")</f>
        <v/>
      </c>
      <c r="P186" s="7" t="n">
        <f aca="false">IF(K186="","",K186-G186)</f>
        <v>0</v>
      </c>
    </row>
    <row r="187" customFormat="false" ht="15" hidden="false" customHeight="false" outlineLevel="0" collapsed="false">
      <c r="A187" s="7" t="n">
        <v>80131436</v>
      </c>
      <c r="B187" s="7" t="s">
        <v>68</v>
      </c>
      <c r="C187" s="7" t="s">
        <v>627</v>
      </c>
      <c r="F187" s="7" t="s">
        <v>625</v>
      </c>
      <c r="G187" s="7" t="n">
        <v>2016</v>
      </c>
      <c r="H187" s="7" t="s">
        <v>48</v>
      </c>
      <c r="I187" s="7" t="s">
        <v>628</v>
      </c>
      <c r="J187" s="7" t="s">
        <v>45</v>
      </c>
      <c r="K187" s="7" t="n">
        <f aca="false">IFERROR(VALUE(RIGHT(TRIM(F187),4)),"")</f>
        <v>2016</v>
      </c>
      <c r="L187" s="7" t="str">
        <f aca="false">IF(TRIM(E187)="","Unknown",IFERROR(LEFT(TRIM(E187),FIND(",",TRIM(E187))-1),TRIM(E187)))</f>
        <v>Unknown</v>
      </c>
      <c r="M187" s="7" t="str">
        <f aca="false">IFERROR(LEFT(J187,FIND(",",J187)-1),J187)</f>
        <v>Stand-Up Comedy</v>
      </c>
      <c r="N187" s="7" t="n">
        <f aca="false">IF(B187="Movie",IFERROR(VALUE(LEFT(I187,FIND(" ",I187)-1)),""),"")</f>
        <v>69</v>
      </c>
      <c r="O187" s="7" t="str">
        <f aca="false">IF(B187="TV Show",IFERROR(VALUE(LEFT(I187,FIND(" ",I187)-1)),""),"")</f>
        <v/>
      </c>
      <c r="P187" s="7" t="n">
        <f aca="false">IF(K187="","",K187-G187)</f>
        <v>0</v>
      </c>
    </row>
    <row r="188" customFormat="false" ht="15" hidden="false" customHeight="false" outlineLevel="0" collapsed="false">
      <c r="A188" s="7" t="n">
        <v>80131376</v>
      </c>
      <c r="B188" s="7" t="s">
        <v>68</v>
      </c>
      <c r="C188" s="7" t="s">
        <v>629</v>
      </c>
      <c r="F188" s="7" t="s">
        <v>625</v>
      </c>
      <c r="G188" s="7" t="n">
        <v>2016</v>
      </c>
      <c r="H188" s="7" t="s">
        <v>48</v>
      </c>
      <c r="I188" s="7" t="s">
        <v>286</v>
      </c>
      <c r="J188" s="7" t="s">
        <v>45</v>
      </c>
      <c r="K188" s="7" t="n">
        <f aca="false">IFERROR(VALUE(RIGHT(TRIM(F188),4)),"")</f>
        <v>2016</v>
      </c>
      <c r="L188" s="7" t="str">
        <f aca="false">IF(TRIM(E188)="","Unknown",IFERROR(LEFT(TRIM(E188),FIND(",",TRIM(E188))-1),TRIM(E188)))</f>
        <v>Unknown</v>
      </c>
      <c r="M188" s="7" t="str">
        <f aca="false">IFERROR(LEFT(J188,FIND(",",J188)-1),J188)</f>
        <v>Stand-Up Comedy</v>
      </c>
      <c r="N188" s="7" t="n">
        <f aca="false">IF(B188="Movie",IFERROR(VALUE(LEFT(I188,FIND(" ",I188)-1)),""),"")</f>
        <v>64</v>
      </c>
      <c r="O188" s="7" t="str">
        <f aca="false">IF(B188="TV Show",IFERROR(VALUE(LEFT(I188,FIND(" ",I188)-1)),""),"")</f>
        <v/>
      </c>
      <c r="P188" s="7" t="n">
        <f aca="false">IF(K188="","",K188-G188)</f>
        <v>0</v>
      </c>
    </row>
    <row r="189" customFormat="false" ht="15" hidden="false" customHeight="false" outlineLevel="0" collapsed="false">
      <c r="A189" s="7" t="n">
        <v>80131435</v>
      </c>
      <c r="B189" s="7" t="s">
        <v>68</v>
      </c>
      <c r="C189" s="7" t="s">
        <v>630</v>
      </c>
      <c r="F189" s="7" t="s">
        <v>625</v>
      </c>
      <c r="G189" s="7" t="n">
        <v>2016</v>
      </c>
      <c r="H189" s="7" t="s">
        <v>48</v>
      </c>
      <c r="I189" s="7" t="s">
        <v>551</v>
      </c>
      <c r="J189" s="7" t="s">
        <v>45</v>
      </c>
      <c r="K189" s="7" t="n">
        <f aca="false">IFERROR(VALUE(RIGHT(TRIM(F189),4)),"")</f>
        <v>2016</v>
      </c>
      <c r="L189" s="7" t="str">
        <f aca="false">IF(TRIM(E189)="","Unknown",IFERROR(LEFT(TRIM(E189),FIND(",",TRIM(E189))-1),TRIM(E189)))</f>
        <v>Unknown</v>
      </c>
      <c r="M189" s="7" t="str">
        <f aca="false">IFERROR(LEFT(J189,FIND(",",J189)-1),J189)</f>
        <v>Stand-Up Comedy</v>
      </c>
      <c r="N189" s="7" t="n">
        <f aca="false">IF(B189="Movie",IFERROR(VALUE(LEFT(I189,FIND(" ",I189)-1)),""),"")</f>
        <v>63</v>
      </c>
      <c r="O189" s="7" t="str">
        <f aca="false">IF(B189="TV Show",IFERROR(VALUE(LEFT(I189,FIND(" ",I189)-1)),""),"")</f>
        <v/>
      </c>
      <c r="P189" s="7" t="n">
        <f aca="false">IF(K189="","",K189-G189)</f>
        <v>0</v>
      </c>
    </row>
    <row r="190" customFormat="false" ht="15" hidden="false" customHeight="false" outlineLevel="0" collapsed="false">
      <c r="A190" s="7" t="n">
        <v>80131375</v>
      </c>
      <c r="B190" s="7" t="s">
        <v>68</v>
      </c>
      <c r="C190" s="7" t="s">
        <v>631</v>
      </c>
      <c r="F190" s="7" t="s">
        <v>625</v>
      </c>
      <c r="G190" s="7" t="n">
        <v>2016</v>
      </c>
      <c r="H190" s="7" t="s">
        <v>48</v>
      </c>
      <c r="I190" s="7" t="s">
        <v>551</v>
      </c>
      <c r="J190" s="7" t="s">
        <v>45</v>
      </c>
      <c r="K190" s="7" t="n">
        <f aca="false">IFERROR(VALUE(RIGHT(TRIM(F190),4)),"")</f>
        <v>2016</v>
      </c>
      <c r="L190" s="7" t="str">
        <f aca="false">IF(TRIM(E190)="","Unknown",IFERROR(LEFT(TRIM(E190),FIND(",",TRIM(E190))-1),TRIM(E190)))</f>
        <v>Unknown</v>
      </c>
      <c r="M190" s="7" t="str">
        <f aca="false">IFERROR(LEFT(J190,FIND(",",J190)-1),J190)</f>
        <v>Stand-Up Comedy</v>
      </c>
      <c r="N190" s="7" t="n">
        <f aca="false">IF(B190="Movie",IFERROR(VALUE(LEFT(I190,FIND(" ",I190)-1)),""),"")</f>
        <v>63</v>
      </c>
      <c r="O190" s="7" t="str">
        <f aca="false">IF(B190="TV Show",IFERROR(VALUE(LEFT(I190,FIND(" ",I190)-1)),""),"")</f>
        <v/>
      </c>
      <c r="P190" s="7" t="n">
        <f aca="false">IF(K190="","",K190-G190)</f>
        <v>0</v>
      </c>
    </row>
    <row r="191" customFormat="false" ht="15" hidden="false" customHeight="false" outlineLevel="0" collapsed="false">
      <c r="A191" s="7" t="n">
        <v>80149143</v>
      </c>
      <c r="B191" s="7" t="s">
        <v>68</v>
      </c>
      <c r="C191" s="7" t="s">
        <v>632</v>
      </c>
      <c r="D191" s="7" t="s">
        <v>633</v>
      </c>
      <c r="E191" s="7" t="s">
        <v>634</v>
      </c>
      <c r="F191" s="7" t="s">
        <v>635</v>
      </c>
      <c r="G191" s="7" t="n">
        <v>2016</v>
      </c>
      <c r="H191" s="7" t="s">
        <v>51</v>
      </c>
      <c r="I191" s="7" t="s">
        <v>168</v>
      </c>
      <c r="J191" s="7" t="s">
        <v>597</v>
      </c>
      <c r="K191" s="7" t="n">
        <f aca="false">IFERROR(VALUE(RIGHT(TRIM(F191),4)),"")</f>
        <v>2019</v>
      </c>
      <c r="L191" s="7" t="str">
        <f aca="false">IF(TRIM(E191)="","Unknown",IFERROR(LEFT(TRIM(E191),FIND(",",TRIM(E191))-1),TRIM(E191)))</f>
        <v>Canada</v>
      </c>
      <c r="M191" s="7" t="str">
        <f aca="false">IFERROR(LEFT(J191,FIND(",",J191)-1),J191)</f>
        <v>Dramas</v>
      </c>
      <c r="N191" s="7" t="n">
        <f aca="false">IF(B191="Movie",IFERROR(VALUE(LEFT(I191,FIND(" ",I191)-1)),""),"")</f>
        <v>112</v>
      </c>
      <c r="O191" s="7" t="str">
        <f aca="false">IF(B191="TV Show",IFERROR(VALUE(LEFT(I191,FIND(" ",I191)-1)),""),"")</f>
        <v/>
      </c>
      <c r="P191" s="7" t="n">
        <f aca="false">IF(K191="","",K191-G191)</f>
        <v>3</v>
      </c>
    </row>
    <row r="192" customFormat="false" ht="15" hidden="false" customHeight="false" outlineLevel="0" collapsed="false">
      <c r="A192" s="7" t="n">
        <v>81144925</v>
      </c>
      <c r="B192" s="7" t="s">
        <v>78</v>
      </c>
      <c r="C192" s="7" t="s">
        <v>636</v>
      </c>
      <c r="E192" s="7" t="s">
        <v>32</v>
      </c>
      <c r="F192" s="7" t="s">
        <v>635</v>
      </c>
      <c r="G192" s="7" t="n">
        <v>2019</v>
      </c>
      <c r="H192" s="7" t="s">
        <v>49</v>
      </c>
      <c r="I192" s="7" t="s">
        <v>82</v>
      </c>
      <c r="J192" s="7" t="s">
        <v>637</v>
      </c>
      <c r="K192" s="7" t="n">
        <f aca="false">IFERROR(VALUE(RIGHT(TRIM(F192),4)),"")</f>
        <v>2019</v>
      </c>
      <c r="L192" s="7" t="str">
        <f aca="false">IF(TRIM(E192)="","Unknown",IFERROR(LEFT(TRIM(E192),FIND(",",TRIM(E192))-1),TRIM(E192)))</f>
        <v>South Korea</v>
      </c>
      <c r="M192" s="7" t="str">
        <f aca="false">IFERROR(LEFT(J192,FIND(",",J192)-1),J192)</f>
        <v>International TV Shows</v>
      </c>
      <c r="N192" s="7" t="str">
        <f aca="false">IF(B192="Movie",IFERROR(VALUE(LEFT(I192,FIND(" ",I192)-1)),""),"")</f>
        <v/>
      </c>
      <c r="O192" s="7" t="n">
        <f aca="false">IF(B192="TV Show",IFERROR(VALUE(LEFT(I192,FIND(" ",I192)-1)),""),"")</f>
        <v>1</v>
      </c>
      <c r="P192" s="7" t="n">
        <f aca="false">IF(K192="","",K192-G192)</f>
        <v>0</v>
      </c>
    </row>
    <row r="193" customFormat="false" ht="15" hidden="false" customHeight="false" outlineLevel="0" collapsed="false">
      <c r="A193" s="7" t="n">
        <v>80987075</v>
      </c>
      <c r="B193" s="7" t="s">
        <v>68</v>
      </c>
      <c r="C193" s="7" t="s">
        <v>638</v>
      </c>
      <c r="D193" s="7" t="s">
        <v>639</v>
      </c>
      <c r="E193" s="7" t="s">
        <v>26</v>
      </c>
      <c r="F193" s="7" t="s">
        <v>640</v>
      </c>
      <c r="G193" s="7" t="n">
        <v>2018</v>
      </c>
      <c r="H193" s="7" t="s">
        <v>49</v>
      </c>
      <c r="I193" s="7" t="s">
        <v>330</v>
      </c>
      <c r="J193" s="7" t="s">
        <v>38</v>
      </c>
      <c r="K193" s="7" t="n">
        <f aca="false">IFERROR(VALUE(RIGHT(TRIM(F193),4)),"")</f>
        <v>2018</v>
      </c>
      <c r="L193" s="7" t="str">
        <f aca="false">IF(TRIM(E193)="","Unknown",IFERROR(LEFT(TRIM(E193),FIND(",",TRIM(E193))-1),TRIM(E193)))</f>
        <v>United States</v>
      </c>
      <c r="M193" s="7" t="str">
        <f aca="false">IFERROR(LEFT(J193,FIND(",",J193)-1),J193)</f>
        <v>Comedies</v>
      </c>
      <c r="N193" s="7" t="n">
        <f aca="false">IF(B193="Movie",IFERROR(VALUE(LEFT(I193,FIND(" ",I193)-1)),""),"")</f>
        <v>103</v>
      </c>
      <c r="O193" s="7" t="str">
        <f aca="false">IF(B193="TV Show",IFERROR(VALUE(LEFT(I193,FIND(" ",I193)-1)),""),"")</f>
        <v/>
      </c>
      <c r="P193" s="7" t="n">
        <f aca="false">IF(K193="","",K193-G193)</f>
        <v>0</v>
      </c>
    </row>
    <row r="194" customFormat="false" ht="15" hidden="false" customHeight="false" outlineLevel="0" collapsed="false">
      <c r="A194" s="7" t="n">
        <v>80192815</v>
      </c>
      <c r="B194" s="7" t="s">
        <v>68</v>
      </c>
      <c r="C194" s="7" t="s">
        <v>641</v>
      </c>
      <c r="D194" s="7" t="s">
        <v>642</v>
      </c>
      <c r="E194" s="7" t="s">
        <v>26</v>
      </c>
      <c r="F194" s="7" t="s">
        <v>643</v>
      </c>
      <c r="G194" s="7" t="n">
        <v>2017</v>
      </c>
      <c r="H194" s="7" t="s">
        <v>226</v>
      </c>
      <c r="I194" s="7" t="s">
        <v>286</v>
      </c>
      <c r="J194" s="7" t="s">
        <v>42</v>
      </c>
      <c r="K194" s="7" t="n">
        <f aca="false">IFERROR(VALUE(RIGHT(TRIM(F194),4)),"")</f>
        <v>2017</v>
      </c>
      <c r="L194" s="7" t="str">
        <f aca="false">IF(TRIM(E194)="","Unknown",IFERROR(LEFT(TRIM(E194),FIND(",",TRIM(E194))-1),TRIM(E194)))</f>
        <v>United States</v>
      </c>
      <c r="M194" s="7" t="str">
        <f aca="false">IFERROR(LEFT(J194,FIND(",",J194)-1),J194)</f>
        <v>Children &amp; Family Movies</v>
      </c>
      <c r="N194" s="7" t="n">
        <f aca="false">IF(B194="Movie",IFERROR(VALUE(LEFT(I194,FIND(" ",I194)-1)),""),"")</f>
        <v>64</v>
      </c>
      <c r="O194" s="7" t="str">
        <f aca="false">IF(B194="TV Show",IFERROR(VALUE(LEFT(I194,FIND(" ",I194)-1)),""),"")</f>
        <v/>
      </c>
      <c r="P194" s="7" t="n">
        <f aca="false">IF(K194="","",K194-G194)</f>
        <v>0</v>
      </c>
    </row>
    <row r="195" customFormat="false" ht="15" hidden="false" customHeight="false" outlineLevel="0" collapsed="false">
      <c r="A195" s="7" t="n">
        <v>80136785</v>
      </c>
      <c r="B195" s="7" t="s">
        <v>78</v>
      </c>
      <c r="C195" s="7" t="s">
        <v>644</v>
      </c>
      <c r="E195" s="7" t="s">
        <v>28</v>
      </c>
      <c r="F195" s="7" t="s">
        <v>643</v>
      </c>
      <c r="G195" s="7" t="n">
        <v>2011</v>
      </c>
      <c r="H195" s="7" t="s">
        <v>48</v>
      </c>
      <c r="I195" s="7" t="s">
        <v>82</v>
      </c>
      <c r="J195" s="7" t="s">
        <v>344</v>
      </c>
      <c r="K195" s="7" t="n">
        <f aca="false">IFERROR(VALUE(RIGHT(TRIM(F195),4)),"")</f>
        <v>2017</v>
      </c>
      <c r="L195" s="7" t="str">
        <f aca="false">IF(TRIM(E195)="","Unknown",IFERROR(LEFT(TRIM(E195),FIND(",",TRIM(E195))-1),TRIM(E195)))</f>
        <v>United Kingdom</v>
      </c>
      <c r="M195" s="7" t="str">
        <f aca="false">IFERROR(LEFT(J195,FIND(",",J195)-1),J195)</f>
        <v>International TV Shows</v>
      </c>
      <c r="N195" s="7" t="str">
        <f aca="false">IF(B195="Movie",IFERROR(VALUE(LEFT(I195,FIND(" ",I195)-1)),""),"")</f>
        <v/>
      </c>
      <c r="O195" s="7" t="n">
        <f aca="false">IF(B195="TV Show",IFERROR(VALUE(LEFT(I195,FIND(" ",I195)-1)),""),"")</f>
        <v>1</v>
      </c>
      <c r="P195" s="7" t="n">
        <f aca="false">IF(K195="","",K195-G195)</f>
        <v>6</v>
      </c>
    </row>
    <row r="196" customFormat="false" ht="15" hidden="false" customHeight="false" outlineLevel="0" collapsed="false">
      <c r="A196" s="7" t="n">
        <v>80135278</v>
      </c>
      <c r="B196" s="7" t="s">
        <v>78</v>
      </c>
      <c r="C196" s="7" t="s">
        <v>645</v>
      </c>
      <c r="F196" s="7" t="s">
        <v>643</v>
      </c>
      <c r="G196" s="7" t="n">
        <v>2012</v>
      </c>
      <c r="H196" s="7" t="s">
        <v>50</v>
      </c>
      <c r="I196" s="7" t="s">
        <v>82</v>
      </c>
      <c r="J196" s="7" t="s">
        <v>344</v>
      </c>
      <c r="K196" s="7" t="n">
        <f aca="false">IFERROR(VALUE(RIGHT(TRIM(F196),4)),"")</f>
        <v>2017</v>
      </c>
      <c r="L196" s="7" t="str">
        <f aca="false">IF(TRIM(E196)="","Unknown",IFERROR(LEFT(TRIM(E196),FIND(",",TRIM(E196))-1),TRIM(E196)))</f>
        <v>Unknown</v>
      </c>
      <c r="M196" s="7" t="str">
        <f aca="false">IFERROR(LEFT(J196,FIND(",",J196)-1),J196)</f>
        <v>International TV Shows</v>
      </c>
      <c r="N196" s="7" t="str">
        <f aca="false">IF(B196="Movie",IFERROR(VALUE(LEFT(I196,FIND(" ",I196)-1)),""),"")</f>
        <v/>
      </c>
      <c r="O196" s="7" t="n">
        <f aca="false">IF(B196="TV Show",IFERROR(VALUE(LEFT(I196,FIND(" ",I196)-1)),""),"")</f>
        <v>1</v>
      </c>
      <c r="P196" s="7" t="n">
        <f aca="false">IF(K196="","",K196-G196)</f>
        <v>5</v>
      </c>
    </row>
    <row r="197" customFormat="false" ht="15" hidden="false" customHeight="false" outlineLevel="0" collapsed="false">
      <c r="A197" s="7" t="n">
        <v>80136452</v>
      </c>
      <c r="B197" s="7" t="s">
        <v>78</v>
      </c>
      <c r="C197" s="7" t="s">
        <v>646</v>
      </c>
      <c r="F197" s="7" t="s">
        <v>643</v>
      </c>
      <c r="G197" s="7" t="n">
        <v>2009</v>
      </c>
      <c r="H197" s="7" t="s">
        <v>49</v>
      </c>
      <c r="I197" s="7" t="s">
        <v>82</v>
      </c>
      <c r="J197" s="7" t="s">
        <v>344</v>
      </c>
      <c r="K197" s="7" t="n">
        <f aca="false">IFERROR(VALUE(RIGHT(TRIM(F197),4)),"")</f>
        <v>2017</v>
      </c>
      <c r="L197" s="7" t="str">
        <f aca="false">IF(TRIM(E197)="","Unknown",IFERROR(LEFT(TRIM(E197),FIND(",",TRIM(E197))-1),TRIM(E197)))</f>
        <v>Unknown</v>
      </c>
      <c r="M197" s="7" t="str">
        <f aca="false">IFERROR(LEFT(J197,FIND(",",J197)-1),J197)</f>
        <v>International TV Shows</v>
      </c>
      <c r="N197" s="7" t="str">
        <f aca="false">IF(B197="Movie",IFERROR(VALUE(LEFT(I197,FIND(" ",I197)-1)),""),"")</f>
        <v/>
      </c>
      <c r="O197" s="7" t="n">
        <f aca="false">IF(B197="TV Show",IFERROR(VALUE(LEFT(I197,FIND(" ",I197)-1)),""),"")</f>
        <v>1</v>
      </c>
      <c r="P197" s="7" t="n">
        <f aca="false">IF(K197="","",K197-G197)</f>
        <v>8</v>
      </c>
    </row>
    <row r="198" customFormat="false" ht="15" hidden="false" customHeight="false" outlineLevel="0" collapsed="false">
      <c r="A198" s="7" t="n">
        <v>80066798</v>
      </c>
      <c r="B198" s="7" t="s">
        <v>68</v>
      </c>
      <c r="C198" s="7" t="s">
        <v>647</v>
      </c>
      <c r="D198" s="7" t="s">
        <v>507</v>
      </c>
      <c r="E198" s="7" t="s">
        <v>26</v>
      </c>
      <c r="F198" s="7" t="s">
        <v>648</v>
      </c>
      <c r="G198" s="7" t="n">
        <v>2015</v>
      </c>
      <c r="H198" s="7" t="s">
        <v>50</v>
      </c>
      <c r="I198" s="7" t="s">
        <v>437</v>
      </c>
      <c r="J198" s="7" t="s">
        <v>509</v>
      </c>
      <c r="K198" s="7" t="n">
        <f aca="false">IFERROR(VALUE(RIGHT(TRIM(F198),4)),"")</f>
        <v>2015</v>
      </c>
      <c r="L198" s="7" t="str">
        <f aca="false">IF(TRIM(E198)="","Unknown",IFERROR(LEFT(TRIM(E198),FIND(",",TRIM(E198))-1),TRIM(E198)))</f>
        <v>United States</v>
      </c>
      <c r="M198" s="7" t="str">
        <f aca="false">IFERROR(LEFT(J198,FIND(",",J198)-1),J198)</f>
        <v>Documentaries</v>
      </c>
      <c r="N198" s="7" t="n">
        <f aca="false">IF(B198="Movie",IFERROR(VALUE(LEFT(I198,FIND(" ",I198)-1)),""),"")</f>
        <v>82</v>
      </c>
      <c r="O198" s="7" t="str">
        <f aca="false">IF(B198="TV Show",IFERROR(VALUE(LEFT(I198,FIND(" ",I198)-1)),""),"")</f>
        <v/>
      </c>
      <c r="P198" s="7" t="n">
        <f aca="false">IF(K198="","",K198-G198)</f>
        <v>0</v>
      </c>
    </row>
    <row r="199" customFormat="false" ht="15" hidden="false" customHeight="false" outlineLevel="0" collapsed="false">
      <c r="A199" s="7" t="n">
        <v>81147293</v>
      </c>
      <c r="B199" s="7" t="s">
        <v>68</v>
      </c>
      <c r="C199" s="7" t="s">
        <v>649</v>
      </c>
      <c r="D199" s="7" t="s">
        <v>650</v>
      </c>
      <c r="E199" s="7" t="s">
        <v>26</v>
      </c>
      <c r="F199" s="7" t="s">
        <v>651</v>
      </c>
      <c r="G199" s="7" t="n">
        <v>2019</v>
      </c>
      <c r="H199" s="7" t="s">
        <v>49</v>
      </c>
      <c r="I199" s="7" t="s">
        <v>154</v>
      </c>
      <c r="J199" s="7" t="s">
        <v>652</v>
      </c>
      <c r="K199" s="7" t="n">
        <f aca="false">IFERROR(VALUE(RIGHT(TRIM(F199),4)),"")</f>
        <v>2019</v>
      </c>
      <c r="L199" s="7" t="str">
        <f aca="false">IF(TRIM(E199)="","Unknown",IFERROR(LEFT(TRIM(E199),FIND(",",TRIM(E199))-1),TRIM(E199)))</f>
        <v>United States</v>
      </c>
      <c r="M199" s="7" t="str">
        <f aca="false">IFERROR(LEFT(J199,FIND(",",J199)-1),J199)</f>
        <v>Horror Movies</v>
      </c>
      <c r="N199" s="7" t="n">
        <f aca="false">IF(B199="Movie",IFERROR(VALUE(LEFT(I199,FIND(" ",I199)-1)),""),"")</f>
        <v>80</v>
      </c>
      <c r="O199" s="7" t="str">
        <f aca="false">IF(B199="TV Show",IFERROR(VALUE(LEFT(I199,FIND(" ",I199)-1)),""),"")</f>
        <v/>
      </c>
      <c r="P199" s="7" t="n">
        <f aca="false">IF(K199="","",K199-G199)</f>
        <v>0</v>
      </c>
    </row>
    <row r="200" customFormat="false" ht="15" hidden="false" customHeight="false" outlineLevel="0" collapsed="false">
      <c r="A200" s="7" t="n">
        <v>70178604</v>
      </c>
      <c r="B200" s="7" t="s">
        <v>78</v>
      </c>
      <c r="C200" s="7" t="s">
        <v>653</v>
      </c>
      <c r="E200" s="7" t="s">
        <v>26</v>
      </c>
      <c r="F200" s="7" t="s">
        <v>651</v>
      </c>
      <c r="G200" s="7" t="n">
        <v>2010</v>
      </c>
      <c r="H200" s="7" t="s">
        <v>50</v>
      </c>
      <c r="I200" s="7" t="s">
        <v>82</v>
      </c>
      <c r="J200" s="7" t="s">
        <v>100</v>
      </c>
      <c r="K200" s="7" t="n">
        <f aca="false">IFERROR(VALUE(RIGHT(TRIM(F200),4)),"")</f>
        <v>2019</v>
      </c>
      <c r="L200" s="7" t="str">
        <f aca="false">IF(TRIM(E200)="","Unknown",IFERROR(LEFT(TRIM(E200),FIND(",",TRIM(E200))-1),TRIM(E200)))</f>
        <v>United States</v>
      </c>
      <c r="M200" s="7" t="str">
        <f aca="false">IFERROR(LEFT(J200,FIND(",",J200)-1),J200)</f>
        <v>Docuseries</v>
      </c>
      <c r="N200" s="7" t="str">
        <f aca="false">IF(B200="Movie",IFERROR(VALUE(LEFT(I200,FIND(" ",I200)-1)),""),"")</f>
        <v/>
      </c>
      <c r="O200" s="7" t="n">
        <f aca="false">IF(B200="TV Show",IFERROR(VALUE(LEFT(I200,FIND(" ",I200)-1)),""),"")</f>
        <v>1</v>
      </c>
      <c r="P200" s="7" t="n">
        <f aca="false">IF(K200="","",K200-G200)</f>
        <v>9</v>
      </c>
    </row>
    <row r="201" customFormat="false" ht="15" hidden="false" customHeight="false" outlineLevel="0" collapsed="false">
      <c r="A201" s="7" t="n">
        <v>80991316</v>
      </c>
      <c r="B201" s="7" t="s">
        <v>68</v>
      </c>
      <c r="C201" s="7" t="s">
        <v>654</v>
      </c>
      <c r="D201" s="7" t="s">
        <v>316</v>
      </c>
      <c r="E201" s="7" t="s">
        <v>28</v>
      </c>
      <c r="F201" s="7" t="s">
        <v>651</v>
      </c>
      <c r="G201" s="7" t="n">
        <v>2019</v>
      </c>
      <c r="H201" s="7" t="s">
        <v>48</v>
      </c>
      <c r="I201" s="7" t="s">
        <v>264</v>
      </c>
      <c r="J201" s="7" t="s">
        <v>40</v>
      </c>
      <c r="K201" s="7" t="n">
        <f aca="false">IFERROR(VALUE(RIGHT(TRIM(F201),4)),"")</f>
        <v>2019</v>
      </c>
      <c r="L201" s="7" t="str">
        <f aca="false">IF(TRIM(E201)="","Unknown",IFERROR(LEFT(TRIM(E201),FIND(",",TRIM(E201))-1),TRIM(E201)))</f>
        <v>United Kingdom</v>
      </c>
      <c r="M201" s="7" t="str">
        <f aca="false">IFERROR(LEFT(J201,FIND(",",J201)-1),J201)</f>
        <v>Action &amp; Adventure</v>
      </c>
      <c r="N201" s="7" t="n">
        <f aca="false">IF(B201="Movie",IFERROR(VALUE(LEFT(I201,FIND(" ",I201)-1)),""),"")</f>
        <v>88</v>
      </c>
      <c r="O201" s="7" t="str">
        <f aca="false">IF(B201="TV Show",IFERROR(VALUE(LEFT(I201,FIND(" ",I201)-1)),""),"")</f>
        <v/>
      </c>
      <c r="P201" s="7" t="n">
        <f aca="false">IF(K201="","",K201-G201)</f>
        <v>0</v>
      </c>
    </row>
    <row r="202" customFormat="false" ht="15" hidden="false" customHeight="false" outlineLevel="0" collapsed="false">
      <c r="A202" s="7" t="n">
        <v>80190588</v>
      </c>
      <c r="B202" s="7" t="s">
        <v>68</v>
      </c>
      <c r="C202" s="7" t="s">
        <v>655</v>
      </c>
      <c r="D202" s="7" t="s">
        <v>656</v>
      </c>
      <c r="E202" s="7" t="s">
        <v>26</v>
      </c>
      <c r="F202" s="7" t="s">
        <v>651</v>
      </c>
      <c r="G202" s="7" t="n">
        <v>2017</v>
      </c>
      <c r="H202" s="7" t="s">
        <v>49</v>
      </c>
      <c r="I202" s="7" t="s">
        <v>549</v>
      </c>
      <c r="J202" s="7" t="s">
        <v>509</v>
      </c>
      <c r="K202" s="7" t="n">
        <f aca="false">IFERROR(VALUE(RIGHT(TRIM(F202),4)),"")</f>
        <v>2019</v>
      </c>
      <c r="L202" s="7" t="str">
        <f aca="false">IF(TRIM(E202)="","Unknown",IFERROR(LEFT(TRIM(E202),FIND(",",TRIM(E202))-1),TRIM(E202)))</f>
        <v>United States</v>
      </c>
      <c r="M202" s="7" t="str">
        <f aca="false">IFERROR(LEFT(J202,FIND(",",J202)-1),J202)</f>
        <v>Documentaries</v>
      </c>
      <c r="N202" s="7" t="n">
        <f aca="false">IF(B202="Movie",IFERROR(VALUE(LEFT(I202,FIND(" ",I202)-1)),""),"")</f>
        <v>124</v>
      </c>
      <c r="O202" s="7" t="str">
        <f aca="false">IF(B202="TV Show",IFERROR(VALUE(LEFT(I202,FIND(" ",I202)-1)),""),"")</f>
        <v/>
      </c>
      <c r="P202" s="7" t="n">
        <f aca="false">IF(K202="","",K202-G202)</f>
        <v>2</v>
      </c>
    </row>
    <row r="203" customFormat="false" ht="15" hidden="false" customHeight="false" outlineLevel="0" collapsed="false">
      <c r="A203" s="7" t="n">
        <v>70124316</v>
      </c>
      <c r="B203" s="7" t="s">
        <v>68</v>
      </c>
      <c r="C203" s="7" t="s">
        <v>657</v>
      </c>
      <c r="D203" s="7" t="s">
        <v>658</v>
      </c>
      <c r="E203" s="7" t="s">
        <v>411</v>
      </c>
      <c r="F203" s="7" t="s">
        <v>651</v>
      </c>
      <c r="G203" s="7" t="n">
        <v>1982</v>
      </c>
      <c r="H203" s="7" t="s">
        <v>51</v>
      </c>
      <c r="I203" s="7" t="s">
        <v>417</v>
      </c>
      <c r="J203" s="7" t="s">
        <v>322</v>
      </c>
      <c r="K203" s="7" t="n">
        <f aca="false">IFERROR(VALUE(RIGHT(TRIM(F203),4)),"")</f>
        <v>2019</v>
      </c>
      <c r="L203" s="7" t="str">
        <f aca="false">IF(TRIM(E203)="","Unknown",IFERROR(LEFT(TRIM(E203),FIND(",",TRIM(E203))-1),TRIM(E203)))</f>
        <v>Hong Kong</v>
      </c>
      <c r="M203" s="7" t="str">
        <f aca="false">IFERROR(LEFT(J203,FIND(",",J203)-1),J203)</f>
        <v>Action &amp; Adventure</v>
      </c>
      <c r="N203" s="7" t="n">
        <f aca="false">IF(B203="Movie",IFERROR(VALUE(LEFT(I203,FIND(" ",I203)-1)),""),"")</f>
        <v>104</v>
      </c>
      <c r="O203" s="7" t="str">
        <f aca="false">IF(B203="TV Show",IFERROR(VALUE(LEFT(I203,FIND(" ",I203)-1)),""),"")</f>
        <v/>
      </c>
      <c r="P203" s="7" t="n">
        <f aca="false">IF(K203="","",K203-G203)</f>
        <v>37</v>
      </c>
    </row>
    <row r="204" customFormat="false" ht="15" hidden="false" customHeight="false" outlineLevel="0" collapsed="false">
      <c r="A204" s="7" t="n">
        <v>70229037</v>
      </c>
      <c r="B204" s="7" t="s">
        <v>68</v>
      </c>
      <c r="C204" s="7" t="s">
        <v>659</v>
      </c>
      <c r="D204" s="7" t="s">
        <v>660</v>
      </c>
      <c r="E204" s="7" t="s">
        <v>26</v>
      </c>
      <c r="F204" s="7" t="s">
        <v>651</v>
      </c>
      <c r="G204" s="7" t="n">
        <v>2012</v>
      </c>
      <c r="H204" s="7" t="s">
        <v>49</v>
      </c>
      <c r="I204" s="7" t="s">
        <v>661</v>
      </c>
      <c r="J204" s="7" t="s">
        <v>45</v>
      </c>
      <c r="K204" s="7" t="n">
        <f aca="false">IFERROR(VALUE(RIGHT(TRIM(F204),4)),"")</f>
        <v>2019</v>
      </c>
      <c r="L204" s="7" t="str">
        <f aca="false">IF(TRIM(E204)="","Unknown",IFERROR(LEFT(TRIM(E204),FIND(",",TRIM(E204))-1),TRIM(E204)))</f>
        <v>United States</v>
      </c>
      <c r="M204" s="7" t="str">
        <f aca="false">IFERROR(LEFT(J204,FIND(",",J204)-1),J204)</f>
        <v>Stand-Up Comedy</v>
      </c>
      <c r="N204" s="7" t="n">
        <f aca="false">IF(B204="Movie",IFERROR(VALUE(LEFT(I204,FIND(" ",I204)-1)),""),"")</f>
        <v>76</v>
      </c>
      <c r="O204" s="7" t="str">
        <f aca="false">IF(B204="TV Show",IFERROR(VALUE(LEFT(I204,FIND(" ",I204)-1)),""),"")</f>
        <v/>
      </c>
      <c r="P204" s="7" t="n">
        <f aca="false">IF(K204="","",K204-G204)</f>
        <v>7</v>
      </c>
    </row>
    <row r="205" customFormat="false" ht="15" hidden="false" customHeight="false" outlineLevel="0" collapsed="false">
      <c r="A205" s="7" t="n">
        <v>80219119</v>
      </c>
      <c r="B205" s="7" t="s">
        <v>78</v>
      </c>
      <c r="C205" s="7" t="s">
        <v>662</v>
      </c>
      <c r="E205" s="7" t="s">
        <v>26</v>
      </c>
      <c r="F205" s="7" t="s">
        <v>651</v>
      </c>
      <c r="G205" s="7" t="n">
        <v>2019</v>
      </c>
      <c r="H205" s="7" t="s">
        <v>81</v>
      </c>
      <c r="I205" s="7" t="s">
        <v>82</v>
      </c>
      <c r="J205" s="7" t="s">
        <v>191</v>
      </c>
      <c r="K205" s="7" t="n">
        <f aca="false">IFERROR(VALUE(RIGHT(TRIM(F205),4)),"")</f>
        <v>2019</v>
      </c>
      <c r="L205" s="7" t="str">
        <f aca="false">IF(TRIM(E205)="","Unknown",IFERROR(LEFT(TRIM(E205),FIND(",",TRIM(E205))-1),TRIM(E205)))</f>
        <v>United States</v>
      </c>
      <c r="M205" s="7" t="str">
        <f aca="false">IFERROR(LEFT(J205,FIND(",",J205)-1),J205)</f>
        <v>Kids' TV</v>
      </c>
      <c r="N205" s="7" t="str">
        <f aca="false">IF(B205="Movie",IFERROR(VALUE(LEFT(I205,FIND(" ",I205)-1)),""),"")</f>
        <v/>
      </c>
      <c r="O205" s="7" t="n">
        <f aca="false">IF(B205="TV Show",IFERROR(VALUE(LEFT(I205,FIND(" ",I205)-1)),""),"")</f>
        <v>1</v>
      </c>
      <c r="P205" s="7" t="n">
        <f aca="false">IF(K205="","",K205-G205)</f>
        <v>0</v>
      </c>
    </row>
    <row r="206" customFormat="false" ht="15" hidden="false" customHeight="false" outlineLevel="0" collapsed="false">
      <c r="A206" s="7" t="n">
        <v>80037280</v>
      </c>
      <c r="B206" s="7" t="s">
        <v>68</v>
      </c>
      <c r="C206" s="7" t="s">
        <v>663</v>
      </c>
      <c r="D206" s="7" t="s">
        <v>664</v>
      </c>
      <c r="E206" s="7" t="s">
        <v>544</v>
      </c>
      <c r="F206" s="7" t="s">
        <v>665</v>
      </c>
      <c r="G206" s="7" t="n">
        <v>2015</v>
      </c>
      <c r="H206" s="7" t="s">
        <v>51</v>
      </c>
      <c r="I206" s="7" t="s">
        <v>311</v>
      </c>
      <c r="J206" s="7" t="s">
        <v>652</v>
      </c>
      <c r="K206" s="7" t="n">
        <f aca="false">IFERROR(VALUE(RIGHT(TRIM(F206),4)),"")</f>
        <v>2018</v>
      </c>
      <c r="L206" s="7" t="str">
        <f aca="false">IF(TRIM(E206)="","Unknown",IFERROR(LEFT(TRIM(E206),FIND(",",TRIM(E206))-1),TRIM(E206)))</f>
        <v>United Kingdom</v>
      </c>
      <c r="M206" s="7" t="str">
        <f aca="false">IFERROR(LEFT(J206,FIND(",",J206)-1),J206)</f>
        <v>Horror Movies</v>
      </c>
      <c r="N206" s="7" t="n">
        <f aca="false">IF(B206="Movie",IFERROR(VALUE(LEFT(I206,FIND(" ",I206)-1)),""),"")</f>
        <v>92</v>
      </c>
      <c r="O206" s="7" t="str">
        <f aca="false">IF(B206="TV Show",IFERROR(VALUE(LEFT(I206,FIND(" ",I206)-1)),""),"")</f>
        <v/>
      </c>
      <c r="P206" s="7" t="n">
        <f aca="false">IF(K206="","",K206-G206)</f>
        <v>3</v>
      </c>
    </row>
    <row r="207" customFormat="false" ht="15" hidden="false" customHeight="false" outlineLevel="0" collapsed="false">
      <c r="A207" s="7" t="n">
        <v>80165072</v>
      </c>
      <c r="B207" s="7" t="s">
        <v>78</v>
      </c>
      <c r="C207" s="7" t="s">
        <v>666</v>
      </c>
      <c r="E207" s="7" t="s">
        <v>28</v>
      </c>
      <c r="F207" s="7" t="s">
        <v>667</v>
      </c>
      <c r="G207" s="7" t="n">
        <v>2017</v>
      </c>
      <c r="H207" s="7" t="s">
        <v>49</v>
      </c>
      <c r="I207" s="7" t="s">
        <v>82</v>
      </c>
      <c r="J207" s="7" t="s">
        <v>668</v>
      </c>
      <c r="K207" s="7" t="n">
        <f aca="false">IFERROR(VALUE(RIGHT(TRIM(F207),4)),"")</f>
        <v>2017</v>
      </c>
      <c r="L207" s="7" t="str">
        <f aca="false">IF(TRIM(E207)="","Unknown",IFERROR(LEFT(TRIM(E207),FIND(",",TRIM(E207))-1),TRIM(E207)))</f>
        <v>United Kingdom</v>
      </c>
      <c r="M207" s="7" t="str">
        <f aca="false">IFERROR(LEFT(J207,FIND(",",J207)-1),J207)</f>
        <v>British TV Shows</v>
      </c>
      <c r="N207" s="7" t="str">
        <f aca="false">IF(B207="Movie",IFERROR(VALUE(LEFT(I207,FIND(" ",I207)-1)),""),"")</f>
        <v/>
      </c>
      <c r="O207" s="7" t="n">
        <f aca="false">IF(B207="TV Show",IFERROR(VALUE(LEFT(I207,FIND(" ",I207)-1)),""),"")</f>
        <v>1</v>
      </c>
      <c r="P207" s="7" t="n">
        <f aca="false">IF(K207="","",K207-G207)</f>
        <v>0</v>
      </c>
    </row>
    <row r="208" customFormat="false" ht="15" hidden="false" customHeight="false" outlineLevel="0" collapsed="false">
      <c r="A208" s="7" t="n">
        <v>80058248</v>
      </c>
      <c r="B208" s="7" t="s">
        <v>68</v>
      </c>
      <c r="C208" s="7" t="s">
        <v>669</v>
      </c>
      <c r="D208" s="7" t="s">
        <v>670</v>
      </c>
      <c r="E208" s="7" t="s">
        <v>26</v>
      </c>
      <c r="F208" s="7" t="s">
        <v>671</v>
      </c>
      <c r="G208" s="7" t="n">
        <v>2016</v>
      </c>
      <c r="H208" s="7" t="s">
        <v>51</v>
      </c>
      <c r="I208" s="7" t="s">
        <v>470</v>
      </c>
      <c r="J208" s="7" t="s">
        <v>370</v>
      </c>
      <c r="K208" s="7" t="n">
        <f aca="false">IFERROR(VALUE(RIGHT(TRIM(F208),4)),"")</f>
        <v>2019</v>
      </c>
      <c r="L208" s="7" t="str">
        <f aca="false">IF(TRIM(E208)="","Unknown",IFERROR(LEFT(TRIM(E208),FIND(",",TRIM(E208))-1),TRIM(E208)))</f>
        <v>United States</v>
      </c>
      <c r="M208" s="7" t="str">
        <f aca="false">IFERROR(LEFT(J208,FIND(",",J208)-1),J208)</f>
        <v>Action &amp; Adventure</v>
      </c>
      <c r="N208" s="7" t="n">
        <f aca="false">IF(B208="Movie",IFERROR(VALUE(LEFT(I208,FIND(" ",I208)-1)),""),"")</f>
        <v>91</v>
      </c>
      <c r="O208" s="7" t="str">
        <f aca="false">IF(B208="TV Show",IFERROR(VALUE(LEFT(I208,FIND(" ",I208)-1)),""),"")</f>
        <v/>
      </c>
      <c r="P208" s="7" t="n">
        <f aca="false">IF(K208="","",K208-G208)</f>
        <v>3</v>
      </c>
    </row>
    <row r="209" customFormat="false" ht="15" hidden="false" customHeight="false" outlineLevel="0" collapsed="false">
      <c r="A209" s="7" t="n">
        <v>70307661</v>
      </c>
      <c r="B209" s="7" t="s">
        <v>68</v>
      </c>
      <c r="C209" s="7" t="s">
        <v>672</v>
      </c>
      <c r="D209" s="7" t="s">
        <v>673</v>
      </c>
      <c r="E209" s="7" t="s">
        <v>26</v>
      </c>
      <c r="F209" s="7" t="s">
        <v>674</v>
      </c>
      <c r="G209" s="7" t="n">
        <v>2014</v>
      </c>
      <c r="H209" s="7" t="s">
        <v>51</v>
      </c>
      <c r="I209" s="7" t="s">
        <v>272</v>
      </c>
      <c r="J209" s="7" t="s">
        <v>147</v>
      </c>
      <c r="K209" s="7" t="n">
        <f aca="false">IFERROR(VALUE(RIGHT(TRIM(F209),4)),"")</f>
        <v>2018</v>
      </c>
      <c r="L209" s="7" t="str">
        <f aca="false">IF(TRIM(E209)="","Unknown",IFERROR(LEFT(TRIM(E209),FIND(",",TRIM(E209))-1),TRIM(E209)))</f>
        <v>United States</v>
      </c>
      <c r="M209" s="7" t="str">
        <f aca="false">IFERROR(LEFT(J209,FIND(",",J209)-1),J209)</f>
        <v>Horror Movies</v>
      </c>
      <c r="N209" s="7" t="n">
        <f aca="false">IF(B209="Movie",IFERROR(VALUE(LEFT(I209,FIND(" ",I209)-1)),""),"")</f>
        <v>93</v>
      </c>
      <c r="O209" s="7" t="str">
        <f aca="false">IF(B209="TV Show",IFERROR(VALUE(LEFT(I209,FIND(" ",I209)-1)),""),"")</f>
        <v/>
      </c>
      <c r="P209" s="7" t="n">
        <f aca="false">IF(K209="","",K209-G209)</f>
        <v>4</v>
      </c>
    </row>
    <row r="210" customFormat="false" ht="15" hidden="false" customHeight="false" outlineLevel="0" collapsed="false">
      <c r="A210" s="7" t="n">
        <v>70117312</v>
      </c>
      <c r="B210" s="7" t="s">
        <v>68</v>
      </c>
      <c r="C210" s="7" t="s">
        <v>675</v>
      </c>
      <c r="D210" s="7" t="s">
        <v>676</v>
      </c>
      <c r="E210" s="7" t="s">
        <v>677</v>
      </c>
      <c r="F210" s="7" t="s">
        <v>674</v>
      </c>
      <c r="G210" s="7" t="n">
        <v>2010</v>
      </c>
      <c r="H210" s="7" t="s">
        <v>52</v>
      </c>
      <c r="I210" s="7" t="s">
        <v>168</v>
      </c>
      <c r="J210" s="7" t="s">
        <v>678</v>
      </c>
      <c r="K210" s="7" t="n">
        <f aca="false">IFERROR(VALUE(RIGHT(TRIM(F210),4)),"")</f>
        <v>2018</v>
      </c>
      <c r="L210" s="7" t="str">
        <f aca="false">IF(TRIM(E210)="","Unknown",IFERROR(LEFT(TRIM(E210),FIND(",",TRIM(E210))-1),TRIM(E210)))</f>
        <v>United States</v>
      </c>
      <c r="M210" s="7" t="str">
        <f aca="false">IFERROR(LEFT(J210,FIND(",",J210)-1),J210)</f>
        <v>Action &amp; Adventure</v>
      </c>
      <c r="N210" s="7" t="n">
        <f aca="false">IF(B210="Movie",IFERROR(VALUE(LEFT(I210,FIND(" ",I210)-1)),""),"")</f>
        <v>112</v>
      </c>
      <c r="O210" s="7" t="str">
        <f aca="false">IF(B210="TV Show",IFERROR(VALUE(LEFT(I210,FIND(" ",I210)-1)),""),"")</f>
        <v/>
      </c>
      <c r="P210" s="7" t="n">
        <f aca="false">IF(K210="","",K210-G210)</f>
        <v>8</v>
      </c>
    </row>
    <row r="211" customFormat="false" ht="15" hidden="false" customHeight="false" outlineLevel="0" collapsed="false">
      <c r="A211" s="7" t="n">
        <v>80092885</v>
      </c>
      <c r="B211" s="7" t="s">
        <v>68</v>
      </c>
      <c r="C211" s="7" t="s">
        <v>679</v>
      </c>
      <c r="D211" s="7" t="s">
        <v>680</v>
      </c>
      <c r="E211" s="7" t="s">
        <v>619</v>
      </c>
      <c r="F211" s="7" t="s">
        <v>681</v>
      </c>
      <c r="G211" s="7" t="n">
        <v>2016</v>
      </c>
      <c r="H211" s="7" t="s">
        <v>48</v>
      </c>
      <c r="I211" s="7" t="s">
        <v>357</v>
      </c>
      <c r="J211" s="7" t="s">
        <v>94</v>
      </c>
      <c r="K211" s="7" t="n">
        <f aca="false">IFERROR(VALUE(RIGHT(TRIM(F211),4)),"")</f>
        <v>2016</v>
      </c>
      <c r="L211" s="7" t="str">
        <f aca="false">IF(TRIM(E211)="","Unknown",IFERROR(LEFT(TRIM(E211),FIND(",",TRIM(E211))-1),TRIM(E211)))</f>
        <v>Canada</v>
      </c>
      <c r="M211" s="7" t="str">
        <f aca="false">IFERROR(LEFT(J211,FIND(",",J211)-1),J211)</f>
        <v>International Movies</v>
      </c>
      <c r="N211" s="7" t="n">
        <f aca="false">IF(B211="Movie",IFERROR(VALUE(LEFT(I211,FIND(" ",I211)-1)),""),"")</f>
        <v>89</v>
      </c>
      <c r="O211" s="7" t="str">
        <f aca="false">IF(B211="TV Show",IFERROR(VALUE(LEFT(I211,FIND(" ",I211)-1)),""),"")</f>
        <v/>
      </c>
      <c r="P211" s="7" t="n">
        <f aca="false">IF(K211="","",K211-G211)</f>
        <v>0</v>
      </c>
    </row>
    <row r="212" customFormat="false" ht="15" hidden="false" customHeight="false" outlineLevel="0" collapsed="false">
      <c r="A212" s="7" t="n">
        <v>80108371</v>
      </c>
      <c r="B212" s="7" t="s">
        <v>68</v>
      </c>
      <c r="C212" s="7" t="s">
        <v>682</v>
      </c>
      <c r="D212" s="7" t="s">
        <v>476</v>
      </c>
      <c r="E212" s="7" t="s">
        <v>26</v>
      </c>
      <c r="F212" s="7" t="s">
        <v>681</v>
      </c>
      <c r="G212" s="7" t="n">
        <v>2016</v>
      </c>
      <c r="H212" s="7" t="s">
        <v>48</v>
      </c>
      <c r="I212" s="7" t="s">
        <v>98</v>
      </c>
      <c r="J212" s="7" t="s">
        <v>45</v>
      </c>
      <c r="K212" s="7" t="n">
        <f aca="false">IFERROR(VALUE(RIGHT(TRIM(F212),4)),"")</f>
        <v>2016</v>
      </c>
      <c r="L212" s="7" t="str">
        <f aca="false">IF(TRIM(E212)="","Unknown",IFERROR(LEFT(TRIM(E212),FIND(",",TRIM(E212))-1),TRIM(E212)))</f>
        <v>United States</v>
      </c>
      <c r="M212" s="7" t="str">
        <f aca="false">IFERROR(LEFT(J212,FIND(",",J212)-1),J212)</f>
        <v>Stand-Up Comedy</v>
      </c>
      <c r="N212" s="7" t="n">
        <f aca="false">IF(B212="Movie",IFERROR(VALUE(LEFT(I212,FIND(" ",I212)-1)),""),"")</f>
        <v>60</v>
      </c>
      <c r="O212" s="7" t="str">
        <f aca="false">IF(B212="TV Show",IFERROR(VALUE(LEFT(I212,FIND(" ",I212)-1)),""),"")</f>
        <v/>
      </c>
      <c r="P212" s="7" t="n">
        <f aca="false">IF(K212="","",K212-G212)</f>
        <v>0</v>
      </c>
    </row>
    <row r="213" customFormat="false" ht="15" hidden="false" customHeight="false" outlineLevel="0" collapsed="false">
      <c r="A213" s="7" t="n">
        <v>70129452</v>
      </c>
      <c r="B213" s="7" t="s">
        <v>68</v>
      </c>
      <c r="C213" s="7" t="s">
        <v>683</v>
      </c>
      <c r="D213" s="7" t="s">
        <v>684</v>
      </c>
      <c r="E213" s="7" t="s">
        <v>26</v>
      </c>
      <c r="F213" s="7" t="s">
        <v>681</v>
      </c>
      <c r="G213" s="7" t="n">
        <v>2010</v>
      </c>
      <c r="I213" s="7" t="s">
        <v>613</v>
      </c>
      <c r="J213" s="7" t="s">
        <v>10</v>
      </c>
      <c r="K213" s="7" t="n">
        <f aca="false">IFERROR(VALUE(RIGHT(TRIM(F213),4)),"")</f>
        <v>2016</v>
      </c>
      <c r="L213" s="7" t="str">
        <f aca="false">IF(TRIM(E213)="","Unknown",IFERROR(LEFT(TRIM(E213),FIND(",",TRIM(E213))-1),TRIM(E213)))</f>
        <v>United States</v>
      </c>
      <c r="M213" s="7" t="str">
        <f aca="false">IFERROR(LEFT(J213,FIND(",",J213)-1),J213)</f>
        <v>Movies</v>
      </c>
      <c r="N213" s="7" t="n">
        <f aca="false">IF(B213="Movie",IFERROR(VALUE(LEFT(I213,FIND(" ",I213)-1)),""),"")</f>
        <v>84</v>
      </c>
      <c r="O213" s="7" t="str">
        <f aca="false">IF(B213="TV Show",IFERROR(VALUE(LEFT(I213,FIND(" ",I213)-1)),""),"")</f>
        <v/>
      </c>
      <c r="P213" s="7" t="n">
        <f aca="false">IF(K213="","",K213-G213)</f>
        <v>6</v>
      </c>
    </row>
    <row r="214" customFormat="false" ht="15" hidden="false" customHeight="false" outlineLevel="0" collapsed="false">
      <c r="A214" s="7" t="n">
        <v>80045805</v>
      </c>
      <c r="B214" s="7" t="s">
        <v>68</v>
      </c>
      <c r="C214" s="7" t="s">
        <v>685</v>
      </c>
      <c r="D214" s="7" t="s">
        <v>686</v>
      </c>
      <c r="E214" s="7" t="s">
        <v>26</v>
      </c>
      <c r="F214" s="7" t="s">
        <v>681</v>
      </c>
      <c r="G214" s="7" t="n">
        <v>2015</v>
      </c>
      <c r="H214" s="7" t="s">
        <v>53</v>
      </c>
      <c r="I214" s="7" t="s">
        <v>272</v>
      </c>
      <c r="J214" s="7" t="s">
        <v>39</v>
      </c>
      <c r="K214" s="7" t="n">
        <f aca="false">IFERROR(VALUE(RIGHT(TRIM(F214),4)),"")</f>
        <v>2016</v>
      </c>
      <c r="L214" s="7" t="str">
        <f aca="false">IF(TRIM(E214)="","Unknown",IFERROR(LEFT(TRIM(E214),FIND(",",TRIM(E214))-1),TRIM(E214)))</f>
        <v>United States</v>
      </c>
      <c r="M214" s="7" t="str">
        <f aca="false">IFERROR(LEFT(J214,FIND(",",J214)-1),J214)</f>
        <v>Documentaries</v>
      </c>
      <c r="N214" s="7" t="n">
        <f aca="false">IF(B214="Movie",IFERROR(VALUE(LEFT(I214,FIND(" ",I214)-1)),""),"")</f>
        <v>93</v>
      </c>
      <c r="O214" s="7" t="str">
        <f aca="false">IF(B214="TV Show",IFERROR(VALUE(LEFT(I214,FIND(" ",I214)-1)),""),"")</f>
        <v/>
      </c>
      <c r="P214" s="7" t="n">
        <f aca="false">IF(K214="","",K214-G214)</f>
        <v>1</v>
      </c>
    </row>
    <row r="215" customFormat="false" ht="15" hidden="false" customHeight="false" outlineLevel="0" collapsed="false">
      <c r="A215" s="7" t="n">
        <v>80101827</v>
      </c>
      <c r="B215" s="7" t="s">
        <v>68</v>
      </c>
      <c r="C215" s="7" t="s">
        <v>687</v>
      </c>
      <c r="D215" s="7" t="s">
        <v>688</v>
      </c>
      <c r="E215" s="7" t="s">
        <v>28</v>
      </c>
      <c r="F215" s="7" t="s">
        <v>681</v>
      </c>
      <c r="G215" s="7" t="n">
        <v>2016</v>
      </c>
      <c r="H215" s="7" t="s">
        <v>49</v>
      </c>
      <c r="I215" s="7" t="s">
        <v>689</v>
      </c>
      <c r="J215" s="7" t="s">
        <v>39</v>
      </c>
      <c r="K215" s="7" t="n">
        <f aca="false">IFERROR(VALUE(RIGHT(TRIM(F215),4)),"")</f>
        <v>2016</v>
      </c>
      <c r="L215" s="7" t="str">
        <f aca="false">IF(TRIM(E215)="","Unknown",IFERROR(LEFT(TRIM(E215),FIND(",",TRIM(E215))-1),TRIM(E215)))</f>
        <v>United Kingdom</v>
      </c>
      <c r="M215" s="7" t="str">
        <f aca="false">IFERROR(LEFT(J215,FIND(",",J215)-1),J215)</f>
        <v>Documentaries</v>
      </c>
      <c r="N215" s="7" t="n">
        <f aca="false">IF(B215="Movie",IFERROR(VALUE(LEFT(I215,FIND(" ",I215)-1)),""),"")</f>
        <v>41</v>
      </c>
      <c r="O215" s="7" t="str">
        <f aca="false">IF(B215="TV Show",IFERROR(VALUE(LEFT(I215,FIND(" ",I215)-1)),""),"")</f>
        <v/>
      </c>
      <c r="P215" s="7" t="n">
        <f aca="false">IF(K215="","",K215-G215)</f>
        <v>0</v>
      </c>
    </row>
    <row r="216" customFormat="false" ht="15" hidden="false" customHeight="false" outlineLevel="0" collapsed="false">
      <c r="A216" s="7" t="n">
        <v>70251519</v>
      </c>
      <c r="B216" s="7" t="s">
        <v>78</v>
      </c>
      <c r="C216" s="7" t="s">
        <v>690</v>
      </c>
      <c r="E216" s="7" t="s">
        <v>26</v>
      </c>
      <c r="F216" s="7" t="s">
        <v>691</v>
      </c>
      <c r="G216" s="7" t="n">
        <v>2014</v>
      </c>
      <c r="H216" s="7" t="s">
        <v>49</v>
      </c>
      <c r="I216" s="7" t="s">
        <v>82</v>
      </c>
      <c r="J216" s="7" t="s">
        <v>164</v>
      </c>
      <c r="K216" s="7" t="n">
        <f aca="false">IFERROR(VALUE(RIGHT(TRIM(F216),4)),"")</f>
        <v>2019</v>
      </c>
      <c r="L216" s="7" t="str">
        <f aca="false">IF(TRIM(E216)="","Unknown",IFERROR(LEFT(TRIM(E216),FIND(",",TRIM(E216))-1),TRIM(E216)))</f>
        <v>United States</v>
      </c>
      <c r="M216" s="7" t="str">
        <f aca="false">IFERROR(LEFT(J216,FIND(",",J216)-1),J216)</f>
        <v>Docuseries</v>
      </c>
      <c r="N216" s="7" t="str">
        <f aca="false">IF(B216="Movie",IFERROR(VALUE(LEFT(I216,FIND(" ",I216)-1)),""),"")</f>
        <v/>
      </c>
      <c r="O216" s="7" t="n">
        <f aca="false">IF(B216="TV Show",IFERROR(VALUE(LEFT(I216,FIND(" ",I216)-1)),""),"")</f>
        <v>1</v>
      </c>
      <c r="P216" s="7" t="n">
        <f aca="false">IF(K216="","",K216-G216)</f>
        <v>5</v>
      </c>
    </row>
    <row r="217" customFormat="false" ht="15" hidden="false" customHeight="false" outlineLevel="0" collapsed="false">
      <c r="A217" s="7" t="n">
        <v>81174992</v>
      </c>
      <c r="B217" s="7" t="s">
        <v>78</v>
      </c>
      <c r="C217" s="7" t="s">
        <v>692</v>
      </c>
      <c r="E217" s="7" t="s">
        <v>693</v>
      </c>
      <c r="F217" s="7" t="s">
        <v>691</v>
      </c>
      <c r="G217" s="7" t="n">
        <v>2018</v>
      </c>
      <c r="H217" s="7" t="s">
        <v>50</v>
      </c>
      <c r="I217" s="7" t="s">
        <v>82</v>
      </c>
      <c r="J217" s="7" t="s">
        <v>694</v>
      </c>
      <c r="K217" s="7" t="n">
        <f aca="false">IFERROR(VALUE(RIGHT(TRIM(F217),4)),"")</f>
        <v>2019</v>
      </c>
      <c r="L217" s="7" t="str">
        <f aca="false">IF(TRIM(E217)="","Unknown",IFERROR(LEFT(TRIM(E217),FIND(",",TRIM(E217))-1),TRIM(E217)))</f>
        <v>Japan</v>
      </c>
      <c r="M217" s="7" t="str">
        <f aca="false">IFERROR(LEFT(J217,FIND(",",J217)-1),J217)</f>
        <v>Anime Series</v>
      </c>
      <c r="N217" s="7" t="str">
        <f aca="false">IF(B217="Movie",IFERROR(VALUE(LEFT(I217,FIND(" ",I217)-1)),""),"")</f>
        <v/>
      </c>
      <c r="O217" s="7" t="n">
        <f aca="false">IF(B217="TV Show",IFERROR(VALUE(LEFT(I217,FIND(" ",I217)-1)),""),"")</f>
        <v>1</v>
      </c>
      <c r="P217" s="7" t="n">
        <f aca="false">IF(K217="","",K217-G217)</f>
        <v>1</v>
      </c>
    </row>
    <row r="218" customFormat="false" ht="15" hidden="false" customHeight="false" outlineLevel="0" collapsed="false">
      <c r="A218" s="7" t="n">
        <v>81044365</v>
      </c>
      <c r="B218" s="7" t="s">
        <v>78</v>
      </c>
      <c r="C218" s="7" t="s">
        <v>695</v>
      </c>
      <c r="E218" s="7" t="s">
        <v>26</v>
      </c>
      <c r="F218" s="7" t="s">
        <v>691</v>
      </c>
      <c r="G218" s="7" t="n">
        <v>2017</v>
      </c>
      <c r="H218" s="7" t="s">
        <v>49</v>
      </c>
      <c r="I218" s="7" t="s">
        <v>82</v>
      </c>
      <c r="J218" s="7" t="s">
        <v>696</v>
      </c>
      <c r="K218" s="7" t="n">
        <f aca="false">IFERROR(VALUE(RIGHT(TRIM(F218),4)),"")</f>
        <v>2019</v>
      </c>
      <c r="L218" s="7" t="str">
        <f aca="false">IF(TRIM(E218)="","Unknown",IFERROR(LEFT(TRIM(E218),FIND(",",TRIM(E218))-1),TRIM(E218)))</f>
        <v>United States</v>
      </c>
      <c r="M218" s="7" t="str">
        <f aca="false">IFERROR(LEFT(J218,FIND(",",J218)-1),J218)</f>
        <v>Crime TV Shows</v>
      </c>
      <c r="N218" s="7" t="str">
        <f aca="false">IF(B218="Movie",IFERROR(VALUE(LEFT(I218,FIND(" ",I218)-1)),""),"")</f>
        <v/>
      </c>
      <c r="O218" s="7" t="n">
        <f aca="false">IF(B218="TV Show",IFERROR(VALUE(LEFT(I218,FIND(" ",I218)-1)),""),"")</f>
        <v>1</v>
      </c>
      <c r="P218" s="7" t="n">
        <f aca="false">IF(K218="","",K218-G218)</f>
        <v>2</v>
      </c>
    </row>
    <row r="219" customFormat="false" ht="15" hidden="false" customHeight="false" outlineLevel="0" collapsed="false">
      <c r="A219" s="7" t="n">
        <v>81030342</v>
      </c>
      <c r="B219" s="7" t="s">
        <v>68</v>
      </c>
      <c r="C219" s="7" t="s">
        <v>697</v>
      </c>
      <c r="D219" s="7" t="s">
        <v>698</v>
      </c>
      <c r="E219" s="7" t="s">
        <v>26</v>
      </c>
      <c r="F219" s="7" t="s">
        <v>691</v>
      </c>
      <c r="G219" s="7" t="n">
        <v>2019</v>
      </c>
      <c r="H219" s="7" t="s">
        <v>50</v>
      </c>
      <c r="I219" s="7" t="s">
        <v>286</v>
      </c>
      <c r="J219" s="7" t="s">
        <v>699</v>
      </c>
      <c r="K219" s="7" t="n">
        <f aca="false">IFERROR(VALUE(RIGHT(TRIM(F219),4)),"")</f>
        <v>2019</v>
      </c>
      <c r="L219" s="7" t="str">
        <f aca="false">IF(TRIM(E219)="","Unknown",IFERROR(LEFT(TRIM(E219),FIND(",",TRIM(E219))-1),TRIM(E219)))</f>
        <v>United States</v>
      </c>
      <c r="M219" s="7" t="str">
        <f aca="false">IFERROR(LEFT(J219,FIND(",",J219)-1),J219)</f>
        <v>Documentaries</v>
      </c>
      <c r="N219" s="7" t="n">
        <f aca="false">IF(B219="Movie",IFERROR(VALUE(LEFT(I219,FIND(" ",I219)-1)),""),"")</f>
        <v>64</v>
      </c>
      <c r="O219" s="7" t="str">
        <f aca="false">IF(B219="TV Show",IFERROR(VALUE(LEFT(I219,FIND(" ",I219)-1)),""),"")</f>
        <v/>
      </c>
      <c r="P219" s="7" t="n">
        <f aca="false">IF(K219="","",K219-G219)</f>
        <v>0</v>
      </c>
    </row>
    <row r="220" customFormat="false" ht="15" hidden="false" customHeight="false" outlineLevel="0" collapsed="false">
      <c r="A220" s="7" t="n">
        <v>70143865</v>
      </c>
      <c r="B220" s="7" t="s">
        <v>78</v>
      </c>
      <c r="C220" s="7" t="s">
        <v>700</v>
      </c>
      <c r="E220" s="7" t="s">
        <v>26</v>
      </c>
      <c r="F220" s="7" t="s">
        <v>691</v>
      </c>
      <c r="G220" s="7" t="n">
        <v>2010</v>
      </c>
      <c r="H220" s="7" t="s">
        <v>50</v>
      </c>
      <c r="I220" s="7" t="s">
        <v>82</v>
      </c>
      <c r="J220" s="7" t="s">
        <v>701</v>
      </c>
      <c r="K220" s="7" t="n">
        <f aca="false">IFERROR(VALUE(RIGHT(TRIM(F220),4)),"")</f>
        <v>2019</v>
      </c>
      <c r="L220" s="7" t="str">
        <f aca="false">IF(TRIM(E220)="","Unknown",IFERROR(LEFT(TRIM(E220),FIND(",",TRIM(E220))-1),TRIM(E220)))</f>
        <v>United States</v>
      </c>
      <c r="M220" s="7" t="str">
        <f aca="false">IFERROR(LEFT(J220,FIND(",",J220)-1),J220)</f>
        <v>Reality TV</v>
      </c>
      <c r="N220" s="7" t="str">
        <f aca="false">IF(B220="Movie",IFERROR(VALUE(LEFT(I220,FIND(" ",I220)-1)),""),"")</f>
        <v/>
      </c>
      <c r="O220" s="7" t="n">
        <f aca="false">IF(B220="TV Show",IFERROR(VALUE(LEFT(I220,FIND(" ",I220)-1)),""),"")</f>
        <v>1</v>
      </c>
      <c r="P220" s="7" t="n">
        <f aca="false">IF(K220="","",K220-G220)</f>
        <v>9</v>
      </c>
    </row>
    <row r="221" customFormat="false" ht="15" hidden="false" customHeight="false" outlineLevel="0" collapsed="false">
      <c r="A221" s="7" t="n">
        <v>70054723</v>
      </c>
      <c r="B221" s="7" t="s">
        <v>68</v>
      </c>
      <c r="C221" s="7" t="s">
        <v>702</v>
      </c>
      <c r="D221" s="7" t="s">
        <v>703</v>
      </c>
      <c r="E221" s="7" t="s">
        <v>26</v>
      </c>
      <c r="F221" s="7" t="s">
        <v>691</v>
      </c>
      <c r="G221" s="7" t="n">
        <v>2006</v>
      </c>
      <c r="H221" s="7" t="s">
        <v>49</v>
      </c>
      <c r="I221" s="7" t="s">
        <v>77</v>
      </c>
      <c r="J221" s="7" t="s">
        <v>39</v>
      </c>
      <c r="K221" s="7" t="n">
        <f aca="false">IFERROR(VALUE(RIGHT(TRIM(F221),4)),"")</f>
        <v>2019</v>
      </c>
      <c r="L221" s="7" t="str">
        <f aca="false">IF(TRIM(E221)="","Unknown",IFERROR(LEFT(TRIM(E221),FIND(",",TRIM(E221))-1),TRIM(E221)))</f>
        <v>United States</v>
      </c>
      <c r="M221" s="7" t="str">
        <f aca="false">IFERROR(LEFT(J221,FIND(",",J221)-1),J221)</f>
        <v>Documentaries</v>
      </c>
      <c r="N221" s="7" t="n">
        <f aca="false">IF(B221="Movie",IFERROR(VALUE(LEFT(I221,FIND(" ",I221)-1)),""),"")</f>
        <v>94</v>
      </c>
      <c r="O221" s="7" t="str">
        <f aca="false">IF(B221="TV Show",IFERROR(VALUE(LEFT(I221,FIND(" ",I221)-1)),""),"")</f>
        <v/>
      </c>
      <c r="P221" s="7" t="n">
        <f aca="false">IF(K221="","",K221-G221)</f>
        <v>13</v>
      </c>
    </row>
    <row r="222" customFormat="false" ht="15" hidden="false" customHeight="false" outlineLevel="0" collapsed="false">
      <c r="A222" s="7" t="n">
        <v>81069393</v>
      </c>
      <c r="B222" s="7" t="s">
        <v>78</v>
      </c>
      <c r="C222" s="7" t="s">
        <v>704</v>
      </c>
      <c r="E222" s="7" t="s">
        <v>26</v>
      </c>
      <c r="F222" s="7" t="s">
        <v>691</v>
      </c>
      <c r="G222" s="7" t="n">
        <v>2019</v>
      </c>
      <c r="H222" s="7" t="s">
        <v>48</v>
      </c>
      <c r="I222" s="7" t="s">
        <v>82</v>
      </c>
      <c r="J222" s="7" t="s">
        <v>164</v>
      </c>
      <c r="K222" s="7" t="n">
        <f aca="false">IFERROR(VALUE(RIGHT(TRIM(F222),4)),"")</f>
        <v>2019</v>
      </c>
      <c r="L222" s="7" t="str">
        <f aca="false">IF(TRIM(E222)="","Unknown",IFERROR(LEFT(TRIM(E222),FIND(",",TRIM(E222))-1),TRIM(E222)))</f>
        <v>United States</v>
      </c>
      <c r="M222" s="7" t="str">
        <f aca="false">IFERROR(LEFT(J222,FIND(",",J222)-1),J222)</f>
        <v>Docuseries</v>
      </c>
      <c r="N222" s="7" t="str">
        <f aca="false">IF(B222="Movie",IFERROR(VALUE(LEFT(I222,FIND(" ",I222)-1)),""),"")</f>
        <v/>
      </c>
      <c r="O222" s="7" t="n">
        <f aca="false">IF(B222="TV Show",IFERROR(VALUE(LEFT(I222,FIND(" ",I222)-1)),""),"")</f>
        <v>1</v>
      </c>
      <c r="P222" s="7" t="n">
        <f aca="false">IF(K222="","",K222-G222)</f>
        <v>0</v>
      </c>
    </row>
    <row r="223" customFormat="false" ht="15" hidden="false" customHeight="false" outlineLevel="0" collapsed="false">
      <c r="A223" s="7" t="n">
        <v>80012550</v>
      </c>
      <c r="B223" s="7" t="s">
        <v>78</v>
      </c>
      <c r="C223" s="7" t="s">
        <v>705</v>
      </c>
      <c r="E223" s="7" t="s">
        <v>26</v>
      </c>
      <c r="F223" s="7" t="s">
        <v>691</v>
      </c>
      <c r="G223" s="7" t="n">
        <v>2014</v>
      </c>
      <c r="H223" s="7" t="s">
        <v>50</v>
      </c>
      <c r="I223" s="7" t="s">
        <v>82</v>
      </c>
      <c r="J223" s="7" t="s">
        <v>164</v>
      </c>
      <c r="K223" s="7" t="n">
        <f aca="false">IFERROR(VALUE(RIGHT(TRIM(F223),4)),"")</f>
        <v>2019</v>
      </c>
      <c r="L223" s="7" t="str">
        <f aca="false">IF(TRIM(E223)="","Unknown",IFERROR(LEFT(TRIM(E223),FIND(",",TRIM(E223))-1),TRIM(E223)))</f>
        <v>United States</v>
      </c>
      <c r="M223" s="7" t="str">
        <f aca="false">IFERROR(LEFT(J223,FIND(",",J223)-1),J223)</f>
        <v>Docuseries</v>
      </c>
      <c r="N223" s="7" t="str">
        <f aca="false">IF(B223="Movie",IFERROR(VALUE(LEFT(I223,FIND(" ",I223)-1)),""),"")</f>
        <v/>
      </c>
      <c r="O223" s="7" t="n">
        <f aca="false">IF(B223="TV Show",IFERROR(VALUE(LEFT(I223,FIND(" ",I223)-1)),""),"")</f>
        <v>1</v>
      </c>
      <c r="P223" s="7" t="n">
        <f aca="false">IF(K223="","",K223-G223)</f>
        <v>5</v>
      </c>
    </row>
    <row r="224" customFormat="false" ht="15" hidden="false" customHeight="false" outlineLevel="0" collapsed="false">
      <c r="A224" s="7" t="n">
        <v>81131761</v>
      </c>
      <c r="B224" s="7" t="s">
        <v>68</v>
      </c>
      <c r="C224" s="7" t="s">
        <v>706</v>
      </c>
      <c r="D224" s="7" t="s">
        <v>707</v>
      </c>
      <c r="E224" s="7" t="s">
        <v>26</v>
      </c>
      <c r="F224" s="7" t="s">
        <v>691</v>
      </c>
      <c r="G224" s="7" t="n">
        <v>2019</v>
      </c>
      <c r="H224" s="7" t="s">
        <v>48</v>
      </c>
      <c r="I224" s="7" t="s">
        <v>212</v>
      </c>
      <c r="J224" s="7" t="s">
        <v>10</v>
      </c>
      <c r="K224" s="7" t="n">
        <f aca="false">IFERROR(VALUE(RIGHT(TRIM(F224),4)),"")</f>
        <v>2019</v>
      </c>
      <c r="L224" s="7" t="str">
        <f aca="false">IF(TRIM(E224)="","Unknown",IFERROR(LEFT(TRIM(E224),FIND(",",TRIM(E224))-1),TRIM(E224)))</f>
        <v>United States</v>
      </c>
      <c r="M224" s="7" t="str">
        <f aca="false">IFERROR(LEFT(J224,FIND(",",J224)-1),J224)</f>
        <v>Movies</v>
      </c>
      <c r="N224" s="7" t="n">
        <f aca="false">IF(B224="Movie",IFERROR(VALUE(LEFT(I224,FIND(" ",I224)-1)),""),"")</f>
        <v>86</v>
      </c>
      <c r="O224" s="7" t="str">
        <f aca="false">IF(B224="TV Show",IFERROR(VALUE(LEFT(I224,FIND(" ",I224)-1)),""),"")</f>
        <v/>
      </c>
      <c r="P224" s="7" t="n">
        <f aca="false">IF(K224="","",K224-G224)</f>
        <v>0</v>
      </c>
    </row>
    <row r="225" customFormat="false" ht="15" hidden="false" customHeight="false" outlineLevel="0" collapsed="false">
      <c r="A225" s="7" t="n">
        <v>81176196</v>
      </c>
      <c r="B225" s="7" t="s">
        <v>78</v>
      </c>
      <c r="C225" s="7" t="s">
        <v>708</v>
      </c>
      <c r="E225" s="7" t="s">
        <v>26</v>
      </c>
      <c r="F225" s="7" t="s">
        <v>691</v>
      </c>
      <c r="G225" s="7" t="n">
        <v>2016</v>
      </c>
      <c r="H225" s="7" t="s">
        <v>49</v>
      </c>
      <c r="I225" s="7" t="s">
        <v>82</v>
      </c>
      <c r="J225" s="7" t="s">
        <v>701</v>
      </c>
      <c r="K225" s="7" t="n">
        <f aca="false">IFERROR(VALUE(RIGHT(TRIM(F225),4)),"")</f>
        <v>2019</v>
      </c>
      <c r="L225" s="7" t="str">
        <f aca="false">IF(TRIM(E225)="","Unknown",IFERROR(LEFT(TRIM(E225),FIND(",",TRIM(E225))-1),TRIM(E225)))</f>
        <v>United States</v>
      </c>
      <c r="M225" s="7" t="str">
        <f aca="false">IFERROR(LEFT(J225,FIND(",",J225)-1),J225)</f>
        <v>Reality TV</v>
      </c>
      <c r="N225" s="7" t="str">
        <f aca="false">IF(B225="Movie",IFERROR(VALUE(LEFT(I225,FIND(" ",I225)-1)),""),"")</f>
        <v/>
      </c>
      <c r="O225" s="7" t="n">
        <f aca="false">IF(B225="TV Show",IFERROR(VALUE(LEFT(I225,FIND(" ",I225)-1)),""),"")</f>
        <v>1</v>
      </c>
      <c r="P225" s="7" t="n">
        <f aca="false">IF(K225="","",K225-G225)</f>
        <v>3</v>
      </c>
    </row>
    <row r="226" customFormat="false" ht="15" hidden="false" customHeight="false" outlineLevel="0" collapsed="false">
      <c r="A226" s="7" t="n">
        <v>70143831</v>
      </c>
      <c r="B226" s="7" t="s">
        <v>78</v>
      </c>
      <c r="C226" s="7" t="s">
        <v>709</v>
      </c>
      <c r="E226" s="7" t="s">
        <v>26</v>
      </c>
      <c r="F226" s="7" t="s">
        <v>691</v>
      </c>
      <c r="G226" s="7" t="n">
        <v>2009</v>
      </c>
      <c r="H226" s="7" t="s">
        <v>50</v>
      </c>
      <c r="I226" s="7" t="s">
        <v>82</v>
      </c>
      <c r="J226" s="7" t="s">
        <v>100</v>
      </c>
      <c r="K226" s="7" t="n">
        <f aca="false">IFERROR(VALUE(RIGHT(TRIM(F226),4)),"")</f>
        <v>2019</v>
      </c>
      <c r="L226" s="7" t="str">
        <f aca="false">IF(TRIM(E226)="","Unknown",IFERROR(LEFT(TRIM(E226),FIND(",",TRIM(E226))-1),TRIM(E226)))</f>
        <v>United States</v>
      </c>
      <c r="M226" s="7" t="str">
        <f aca="false">IFERROR(LEFT(J226,FIND(",",J226)-1),J226)</f>
        <v>Docuseries</v>
      </c>
      <c r="N226" s="7" t="str">
        <f aca="false">IF(B226="Movie",IFERROR(VALUE(LEFT(I226,FIND(" ",I226)-1)),""),"")</f>
        <v/>
      </c>
      <c r="O226" s="7" t="n">
        <f aca="false">IF(B226="TV Show",IFERROR(VALUE(LEFT(I226,FIND(" ",I226)-1)),""),"")</f>
        <v>1</v>
      </c>
      <c r="P226" s="7" t="n">
        <f aca="false">IF(K226="","",K226-G226)</f>
        <v>10</v>
      </c>
    </row>
    <row r="227" customFormat="false" ht="15" hidden="false" customHeight="false" outlineLevel="0" collapsed="false">
      <c r="A227" s="7" t="n">
        <v>81003648</v>
      </c>
      <c r="B227" s="7" t="s">
        <v>78</v>
      </c>
      <c r="C227" s="7" t="s">
        <v>710</v>
      </c>
      <c r="E227" s="7" t="s">
        <v>711</v>
      </c>
      <c r="F227" s="7" t="s">
        <v>712</v>
      </c>
      <c r="G227" s="7" t="n">
        <v>2017</v>
      </c>
      <c r="H227" s="7" t="s">
        <v>49</v>
      </c>
      <c r="I227" s="7" t="s">
        <v>82</v>
      </c>
      <c r="J227" s="7" t="s">
        <v>402</v>
      </c>
      <c r="K227" s="7" t="n">
        <f aca="false">IFERROR(VALUE(RIGHT(TRIM(F227),4)),"")</f>
        <v>2018</v>
      </c>
      <c r="L227" s="7" t="str">
        <f aca="false">IF(TRIM(E227)="","Unknown",IFERROR(LEFT(TRIM(E227),FIND(",",TRIM(E227))-1),TRIM(E227)))</f>
        <v>Lebanon</v>
      </c>
      <c r="M227" s="7" t="str">
        <f aca="false">IFERROR(LEFT(J227,FIND(",",J227)-1),J227)</f>
        <v>Crime TV Shows</v>
      </c>
      <c r="N227" s="7" t="str">
        <f aca="false">IF(B227="Movie",IFERROR(VALUE(LEFT(I227,FIND(" ",I227)-1)),""),"")</f>
        <v/>
      </c>
      <c r="O227" s="7" t="n">
        <f aca="false">IF(B227="TV Show",IFERROR(VALUE(LEFT(I227,FIND(" ",I227)-1)),""),"")</f>
        <v>1</v>
      </c>
      <c r="P227" s="7" t="n">
        <f aca="false">IF(K227="","",K227-G227)</f>
        <v>1</v>
      </c>
    </row>
    <row r="228" customFormat="false" ht="15" hidden="false" customHeight="false" outlineLevel="0" collapsed="false">
      <c r="A228" s="7" t="n">
        <v>81016326</v>
      </c>
      <c r="B228" s="7" t="s">
        <v>68</v>
      </c>
      <c r="C228" s="7" t="s">
        <v>713</v>
      </c>
      <c r="D228" s="7" t="s">
        <v>714</v>
      </c>
      <c r="E228" s="7" t="s">
        <v>362</v>
      </c>
      <c r="F228" s="7" t="s">
        <v>712</v>
      </c>
      <c r="G228" s="7" t="n">
        <v>2011</v>
      </c>
      <c r="H228" s="7" t="s">
        <v>49</v>
      </c>
      <c r="I228" s="7" t="s">
        <v>146</v>
      </c>
      <c r="J228" s="7" t="s">
        <v>217</v>
      </c>
      <c r="K228" s="7" t="n">
        <f aca="false">IFERROR(VALUE(RIGHT(TRIM(F228),4)),"")</f>
        <v>2018</v>
      </c>
      <c r="L228" s="7" t="str">
        <f aca="false">IF(TRIM(E228)="","Unknown",IFERROR(LEFT(TRIM(E228),FIND(",",TRIM(E228))-1),TRIM(E228)))</f>
        <v>Indonesia</v>
      </c>
      <c r="M228" s="7" t="str">
        <f aca="false">IFERROR(LEFT(J228,FIND(",",J228)-1),J228)</f>
        <v>Comedies</v>
      </c>
      <c r="N228" s="7" t="n">
        <f aca="false">IF(B228="Movie",IFERROR(VALUE(LEFT(I228,FIND(" ",I228)-1)),""),"")</f>
        <v>113</v>
      </c>
      <c r="O228" s="7" t="str">
        <f aca="false">IF(B228="TV Show",IFERROR(VALUE(LEFT(I228,FIND(" ",I228)-1)),""),"")</f>
        <v/>
      </c>
      <c r="P228" s="7" t="n">
        <f aca="false">IF(K228="","",K228-G228)</f>
        <v>7</v>
      </c>
    </row>
    <row r="229" customFormat="false" ht="15" hidden="false" customHeight="false" outlineLevel="0" collapsed="false">
      <c r="A229" s="7" t="n">
        <v>80241102</v>
      </c>
      <c r="B229" s="7" t="s">
        <v>78</v>
      </c>
      <c r="C229" s="7" t="s">
        <v>715</v>
      </c>
      <c r="E229" s="7" t="s">
        <v>28</v>
      </c>
      <c r="F229" s="7" t="s">
        <v>712</v>
      </c>
      <c r="G229" s="7" t="n">
        <v>2017</v>
      </c>
      <c r="H229" s="7" t="s">
        <v>50</v>
      </c>
      <c r="I229" s="7" t="s">
        <v>82</v>
      </c>
      <c r="J229" s="7" t="s">
        <v>716</v>
      </c>
      <c r="K229" s="7" t="n">
        <f aca="false">IFERROR(VALUE(RIGHT(TRIM(F229),4)),"")</f>
        <v>2018</v>
      </c>
      <c r="L229" s="7" t="str">
        <f aca="false">IF(TRIM(E229)="","Unknown",IFERROR(LEFT(TRIM(E229),FIND(",",TRIM(E229))-1),TRIM(E229)))</f>
        <v>United Kingdom</v>
      </c>
      <c r="M229" s="7" t="str">
        <f aca="false">IFERROR(LEFT(J229,FIND(",",J229)-1),J229)</f>
        <v>British TV Shows</v>
      </c>
      <c r="N229" s="7" t="str">
        <f aca="false">IF(B229="Movie",IFERROR(VALUE(LEFT(I229,FIND(" ",I229)-1)),""),"")</f>
        <v/>
      </c>
      <c r="O229" s="7" t="n">
        <f aca="false">IF(B229="TV Show",IFERROR(VALUE(LEFT(I229,FIND(" ",I229)-1)),""),"")</f>
        <v>1</v>
      </c>
      <c r="P229" s="7" t="n">
        <f aca="false">IF(K229="","",K229-G229)</f>
        <v>1</v>
      </c>
    </row>
    <row r="230" customFormat="false" ht="15" hidden="false" customHeight="false" outlineLevel="0" collapsed="false">
      <c r="A230" s="7" t="n">
        <v>80227777</v>
      </c>
      <c r="B230" s="7" t="s">
        <v>68</v>
      </c>
      <c r="C230" s="7" t="s">
        <v>717</v>
      </c>
      <c r="D230" s="7" t="s">
        <v>718</v>
      </c>
      <c r="E230" s="7" t="s">
        <v>719</v>
      </c>
      <c r="F230" s="7" t="s">
        <v>712</v>
      </c>
      <c r="G230" s="7" t="n">
        <v>2016</v>
      </c>
      <c r="H230" s="7" t="s">
        <v>48</v>
      </c>
      <c r="I230" s="7" t="s">
        <v>311</v>
      </c>
      <c r="J230" s="7" t="s">
        <v>304</v>
      </c>
      <c r="K230" s="7" t="n">
        <f aca="false">IFERROR(VALUE(RIGHT(TRIM(F230),4)),"")</f>
        <v>2018</v>
      </c>
      <c r="L230" s="7" t="str">
        <f aca="false">IF(TRIM(E230)="","Unknown",IFERROR(LEFT(TRIM(E230),FIND(",",TRIM(E230))-1),TRIM(E230)))</f>
        <v>Ireland</v>
      </c>
      <c r="M230" s="7" t="str">
        <f aca="false">IFERROR(LEFT(J230,FIND(",",J230)-1),J230)</f>
        <v>Dramas</v>
      </c>
      <c r="N230" s="7" t="n">
        <f aca="false">IF(B230="Movie",IFERROR(VALUE(LEFT(I230,FIND(" ",I230)-1)),""),"")</f>
        <v>92</v>
      </c>
      <c r="O230" s="7" t="str">
        <f aca="false">IF(B230="TV Show",IFERROR(VALUE(LEFT(I230,FIND(" ",I230)-1)),""),"")</f>
        <v/>
      </c>
      <c r="P230" s="7" t="n">
        <f aca="false">IF(K230="","",K230-G230)</f>
        <v>2</v>
      </c>
    </row>
    <row r="231" customFormat="false" ht="15" hidden="false" customHeight="false" outlineLevel="0" collapsed="false">
      <c r="A231" s="7" t="n">
        <v>81018233</v>
      </c>
      <c r="B231" s="7" t="s">
        <v>68</v>
      </c>
      <c r="C231" s="7" t="s">
        <v>720</v>
      </c>
      <c r="D231" s="7" t="s">
        <v>721</v>
      </c>
      <c r="E231" s="7" t="s">
        <v>27</v>
      </c>
      <c r="F231" s="7" t="s">
        <v>712</v>
      </c>
      <c r="G231" s="7" t="n">
        <v>2018</v>
      </c>
      <c r="H231" s="7" t="s">
        <v>49</v>
      </c>
      <c r="I231" s="7" t="s">
        <v>722</v>
      </c>
      <c r="J231" s="7" t="s">
        <v>240</v>
      </c>
      <c r="K231" s="7" t="n">
        <f aca="false">IFERROR(VALUE(RIGHT(TRIM(F231),4)),"")</f>
        <v>2018</v>
      </c>
      <c r="L231" s="7" t="str">
        <f aca="false">IF(TRIM(E231)="","Unknown",IFERROR(LEFT(TRIM(E231),FIND(",",TRIM(E231))-1),TRIM(E231)))</f>
        <v>India</v>
      </c>
      <c r="M231" s="7" t="str">
        <f aca="false">IFERROR(LEFT(J231,FIND(",",J231)-1),J231)</f>
        <v>Dramas</v>
      </c>
      <c r="N231" s="7" t="n">
        <f aca="false">IF(B231="Movie",IFERROR(VALUE(LEFT(I231,FIND(" ",I231)-1)),""),"")</f>
        <v>153</v>
      </c>
      <c r="O231" s="7" t="str">
        <f aca="false">IF(B231="TV Show",IFERROR(VALUE(LEFT(I231,FIND(" ",I231)-1)),""),"")</f>
        <v/>
      </c>
      <c r="P231" s="7" t="n">
        <f aca="false">IF(K231="","",K231-G231)</f>
        <v>0</v>
      </c>
    </row>
    <row r="232" customFormat="false" ht="15" hidden="false" customHeight="false" outlineLevel="0" collapsed="false">
      <c r="A232" s="7" t="n">
        <v>81016317</v>
      </c>
      <c r="B232" s="7" t="s">
        <v>68</v>
      </c>
      <c r="C232" s="7" t="s">
        <v>723</v>
      </c>
      <c r="D232" s="7" t="s">
        <v>724</v>
      </c>
      <c r="E232" s="7" t="s">
        <v>362</v>
      </c>
      <c r="F232" s="7" t="s">
        <v>712</v>
      </c>
      <c r="G232" s="7" t="n">
        <v>2017</v>
      </c>
      <c r="H232" s="7" t="s">
        <v>50</v>
      </c>
      <c r="I232" s="7" t="s">
        <v>326</v>
      </c>
      <c r="J232" s="7" t="s">
        <v>240</v>
      </c>
      <c r="K232" s="7" t="n">
        <f aca="false">IFERROR(VALUE(RIGHT(TRIM(F232),4)),"")</f>
        <v>2018</v>
      </c>
      <c r="L232" s="7" t="str">
        <f aca="false">IF(TRIM(E232)="","Unknown",IFERROR(LEFT(TRIM(E232),FIND(",",TRIM(E232))-1),TRIM(E232)))</f>
        <v>Indonesia</v>
      </c>
      <c r="M232" s="7" t="str">
        <f aca="false">IFERROR(LEFT(J232,FIND(",",J232)-1),J232)</f>
        <v>Dramas</v>
      </c>
      <c r="N232" s="7" t="n">
        <f aca="false">IF(B232="Movie",IFERROR(VALUE(LEFT(I232,FIND(" ",I232)-1)),""),"")</f>
        <v>111</v>
      </c>
      <c r="O232" s="7" t="str">
        <f aca="false">IF(B232="TV Show",IFERROR(VALUE(LEFT(I232,FIND(" ",I232)-1)),""),"")</f>
        <v/>
      </c>
      <c r="P232" s="7" t="n">
        <f aca="false">IF(K232="","",K232-G232)</f>
        <v>1</v>
      </c>
    </row>
    <row r="233" customFormat="false" ht="15" hidden="false" customHeight="false" outlineLevel="0" collapsed="false">
      <c r="A233" s="7" t="n">
        <v>81016337</v>
      </c>
      <c r="B233" s="7" t="s">
        <v>68</v>
      </c>
      <c r="C233" s="7" t="s">
        <v>725</v>
      </c>
      <c r="D233" s="7" t="s">
        <v>726</v>
      </c>
      <c r="E233" s="7" t="s">
        <v>362</v>
      </c>
      <c r="F233" s="7" t="s">
        <v>712</v>
      </c>
      <c r="G233" s="7" t="n">
        <v>2005</v>
      </c>
      <c r="H233" s="7" t="s">
        <v>49</v>
      </c>
      <c r="I233" s="7" t="s">
        <v>727</v>
      </c>
      <c r="J233" s="7" t="s">
        <v>304</v>
      </c>
      <c r="K233" s="7" t="n">
        <f aca="false">IFERROR(VALUE(RIGHT(TRIM(F233),4)),"")</f>
        <v>2018</v>
      </c>
      <c r="L233" s="7" t="str">
        <f aca="false">IF(TRIM(E233)="","Unknown",IFERROR(LEFT(TRIM(E233),FIND(",",TRIM(E233))-1),TRIM(E233)))</f>
        <v>Indonesia</v>
      </c>
      <c r="M233" s="7" t="str">
        <f aca="false">IFERROR(LEFT(J233,FIND(",",J233)-1),J233)</f>
        <v>Dramas</v>
      </c>
      <c r="N233" s="7" t="n">
        <f aca="false">IF(B233="Movie",IFERROR(VALUE(LEFT(I233,FIND(" ",I233)-1)),""),"")</f>
        <v>141</v>
      </c>
      <c r="O233" s="7" t="str">
        <f aca="false">IF(B233="TV Show",IFERROR(VALUE(LEFT(I233,FIND(" ",I233)-1)),""),"")</f>
        <v/>
      </c>
      <c r="P233" s="7" t="n">
        <f aca="false">IF(K233="","",K233-G233)</f>
        <v>13</v>
      </c>
    </row>
    <row r="234" customFormat="false" ht="15" hidden="false" customHeight="false" outlineLevel="0" collapsed="false">
      <c r="A234" s="7" t="n">
        <v>81018234</v>
      </c>
      <c r="B234" s="7" t="s">
        <v>68</v>
      </c>
      <c r="C234" s="7" t="s">
        <v>728</v>
      </c>
      <c r="D234" s="7" t="s">
        <v>729</v>
      </c>
      <c r="E234" s="7" t="s">
        <v>27</v>
      </c>
      <c r="F234" s="7" t="s">
        <v>712</v>
      </c>
      <c r="G234" s="7" t="n">
        <v>2018</v>
      </c>
      <c r="H234" s="7" t="s">
        <v>48</v>
      </c>
      <c r="I234" s="7" t="s">
        <v>261</v>
      </c>
      <c r="J234" s="7" t="s">
        <v>112</v>
      </c>
      <c r="K234" s="7" t="n">
        <f aca="false">IFERROR(VALUE(RIGHT(TRIM(F234),4)),"")</f>
        <v>2018</v>
      </c>
      <c r="L234" s="7" t="str">
        <f aca="false">IF(TRIM(E234)="","Unknown",IFERROR(LEFT(TRIM(E234),FIND(",",TRIM(E234))-1),TRIM(E234)))</f>
        <v>India</v>
      </c>
      <c r="M234" s="7" t="str">
        <f aca="false">IFERROR(LEFT(J234,FIND(",",J234)-1),J234)</f>
        <v>Action &amp; Adventure</v>
      </c>
      <c r="N234" s="7" t="n">
        <f aca="false">IF(B234="Movie",IFERROR(VALUE(LEFT(I234,FIND(" ",I234)-1)),""),"")</f>
        <v>128</v>
      </c>
      <c r="O234" s="7" t="str">
        <f aca="false">IF(B234="TV Show",IFERROR(VALUE(LEFT(I234,FIND(" ",I234)-1)),""),"")</f>
        <v/>
      </c>
      <c r="P234" s="7" t="n">
        <f aca="false">IF(K234="","",K234-G234)</f>
        <v>0</v>
      </c>
    </row>
    <row r="235" customFormat="false" ht="15" hidden="false" customHeight="false" outlineLevel="0" collapsed="false">
      <c r="A235" s="7" t="n">
        <v>80241103</v>
      </c>
      <c r="B235" s="7" t="s">
        <v>78</v>
      </c>
      <c r="C235" s="7" t="s">
        <v>730</v>
      </c>
      <c r="F235" s="7" t="s">
        <v>712</v>
      </c>
      <c r="G235" s="7" t="n">
        <v>2018</v>
      </c>
      <c r="H235" s="7" t="s">
        <v>49</v>
      </c>
      <c r="I235" s="7" t="s">
        <v>82</v>
      </c>
      <c r="J235" s="7" t="s">
        <v>716</v>
      </c>
      <c r="K235" s="7" t="n">
        <f aca="false">IFERROR(VALUE(RIGHT(TRIM(F235),4)),"")</f>
        <v>2018</v>
      </c>
      <c r="L235" s="7" t="str">
        <f aca="false">IF(TRIM(E235)="","Unknown",IFERROR(LEFT(TRIM(E235),FIND(",",TRIM(E235))-1),TRIM(E235)))</f>
        <v>Unknown</v>
      </c>
      <c r="M235" s="7" t="str">
        <f aca="false">IFERROR(LEFT(J235,FIND(",",J235)-1),J235)</f>
        <v>British TV Shows</v>
      </c>
      <c r="N235" s="7" t="str">
        <f aca="false">IF(B235="Movie",IFERROR(VALUE(LEFT(I235,FIND(" ",I235)-1)),""),"")</f>
        <v/>
      </c>
      <c r="O235" s="7" t="n">
        <f aca="false">IF(B235="TV Show",IFERROR(VALUE(LEFT(I235,FIND(" ",I235)-1)),""),"")</f>
        <v>1</v>
      </c>
      <c r="P235" s="7" t="n">
        <f aca="false">IF(K235="","",K235-G235)</f>
        <v>0</v>
      </c>
    </row>
    <row r="236" customFormat="false" ht="15" hidden="false" customHeight="false" outlineLevel="0" collapsed="false">
      <c r="A236" s="7" t="n">
        <v>80240816</v>
      </c>
      <c r="B236" s="7" t="s">
        <v>78</v>
      </c>
      <c r="C236" s="7" t="s">
        <v>731</v>
      </c>
      <c r="E236" s="7" t="s">
        <v>28</v>
      </c>
      <c r="F236" s="7" t="s">
        <v>712</v>
      </c>
      <c r="G236" s="7" t="n">
        <v>2017</v>
      </c>
      <c r="H236" s="7" t="s">
        <v>49</v>
      </c>
      <c r="I236" s="7" t="s">
        <v>82</v>
      </c>
      <c r="J236" s="7" t="s">
        <v>306</v>
      </c>
      <c r="K236" s="7" t="n">
        <f aca="false">IFERROR(VALUE(RIGHT(TRIM(F236),4)),"")</f>
        <v>2018</v>
      </c>
      <c r="L236" s="7" t="str">
        <f aca="false">IF(TRIM(E236)="","Unknown",IFERROR(LEFT(TRIM(E236),FIND(",",TRIM(E236))-1),TRIM(E236)))</f>
        <v>United Kingdom</v>
      </c>
      <c r="M236" s="7" t="str">
        <f aca="false">IFERROR(LEFT(J236,FIND(",",J236)-1),J236)</f>
        <v>British TV Shows</v>
      </c>
      <c r="N236" s="7" t="str">
        <f aca="false">IF(B236="Movie",IFERROR(VALUE(LEFT(I236,FIND(" ",I236)-1)),""),"")</f>
        <v/>
      </c>
      <c r="O236" s="7" t="n">
        <f aca="false">IF(B236="TV Show",IFERROR(VALUE(LEFT(I236,FIND(" ",I236)-1)),""),"")</f>
        <v>1</v>
      </c>
      <c r="P236" s="7" t="n">
        <f aca="false">IF(K236="","",K236-G236)</f>
        <v>1</v>
      </c>
    </row>
    <row r="237" customFormat="false" ht="15" hidden="false" customHeight="false" outlineLevel="0" collapsed="false">
      <c r="A237" s="7" t="n">
        <v>81018241</v>
      </c>
      <c r="B237" s="7" t="s">
        <v>68</v>
      </c>
      <c r="C237" s="7" t="s">
        <v>732</v>
      </c>
      <c r="D237" s="7" t="s">
        <v>733</v>
      </c>
      <c r="F237" s="7" t="s">
        <v>712</v>
      </c>
      <c r="G237" s="7" t="n">
        <v>2017</v>
      </c>
      <c r="H237" s="7" t="s">
        <v>49</v>
      </c>
      <c r="I237" s="7" t="s">
        <v>734</v>
      </c>
      <c r="J237" s="7" t="s">
        <v>39</v>
      </c>
      <c r="K237" s="7" t="n">
        <f aca="false">IFERROR(VALUE(RIGHT(TRIM(F237),4)),"")</f>
        <v>2018</v>
      </c>
      <c r="L237" s="7" t="str">
        <f aca="false">IF(TRIM(E237)="","Unknown",IFERROR(LEFT(TRIM(E237),FIND(",",TRIM(E237))-1),TRIM(E237)))</f>
        <v>Unknown</v>
      </c>
      <c r="M237" s="7" t="str">
        <f aca="false">IFERROR(LEFT(J237,FIND(",",J237)-1),J237)</f>
        <v>Documentaries</v>
      </c>
      <c r="N237" s="7" t="n">
        <f aca="false">IF(B237="Movie",IFERROR(VALUE(LEFT(I237,FIND(" ",I237)-1)),""),"")</f>
        <v>52</v>
      </c>
      <c r="O237" s="7" t="str">
        <f aca="false">IF(B237="TV Show",IFERROR(VALUE(LEFT(I237,FIND(" ",I237)-1)),""),"")</f>
        <v/>
      </c>
      <c r="P237" s="7" t="n">
        <f aca="false">IF(K237="","",K237-G237)</f>
        <v>1</v>
      </c>
    </row>
    <row r="238" customFormat="false" ht="15" hidden="false" customHeight="false" outlineLevel="0" collapsed="false">
      <c r="A238" s="7" t="n">
        <v>81018235</v>
      </c>
      <c r="B238" s="7" t="s">
        <v>68</v>
      </c>
      <c r="C238" s="7" t="s">
        <v>735</v>
      </c>
      <c r="D238" s="7" t="s">
        <v>736</v>
      </c>
      <c r="E238" s="7" t="s">
        <v>27</v>
      </c>
      <c r="F238" s="7" t="s">
        <v>712</v>
      </c>
      <c r="G238" s="7" t="n">
        <v>2017</v>
      </c>
      <c r="H238" s="7" t="s">
        <v>49</v>
      </c>
      <c r="I238" s="7" t="s">
        <v>386</v>
      </c>
      <c r="J238" s="7" t="s">
        <v>304</v>
      </c>
      <c r="K238" s="7" t="n">
        <f aca="false">IFERROR(VALUE(RIGHT(TRIM(F238),4)),"")</f>
        <v>2018</v>
      </c>
      <c r="L238" s="7" t="str">
        <f aca="false">IF(TRIM(E238)="","Unknown",IFERROR(LEFT(TRIM(E238),FIND(",",TRIM(E238))-1),TRIM(E238)))</f>
        <v>India</v>
      </c>
      <c r="M238" s="7" t="str">
        <f aca="false">IFERROR(LEFT(J238,FIND(",",J238)-1),J238)</f>
        <v>Dramas</v>
      </c>
      <c r="N238" s="7" t="n">
        <f aca="false">IF(B238="Movie",IFERROR(VALUE(LEFT(I238,FIND(" ",I238)-1)),""),"")</f>
        <v>117</v>
      </c>
      <c r="O238" s="7" t="str">
        <f aca="false">IF(B238="TV Show",IFERROR(VALUE(LEFT(I238,FIND(" ",I238)-1)),""),"")</f>
        <v/>
      </c>
      <c r="P238" s="7" t="n">
        <f aca="false">IF(K238="","",K238-G238)</f>
        <v>1</v>
      </c>
    </row>
    <row r="239" customFormat="false" ht="15" hidden="false" customHeight="false" outlineLevel="0" collapsed="false">
      <c r="A239" s="7" t="n">
        <v>81018236</v>
      </c>
      <c r="B239" s="7" t="s">
        <v>68</v>
      </c>
      <c r="C239" s="7" t="s">
        <v>737</v>
      </c>
      <c r="D239" s="7" t="s">
        <v>738</v>
      </c>
      <c r="E239" s="7" t="s">
        <v>27</v>
      </c>
      <c r="F239" s="7" t="s">
        <v>712</v>
      </c>
      <c r="G239" s="7" t="n">
        <v>2017</v>
      </c>
      <c r="H239" s="7" t="s">
        <v>49</v>
      </c>
      <c r="I239" s="7" t="s">
        <v>205</v>
      </c>
      <c r="J239" s="7" t="s">
        <v>304</v>
      </c>
      <c r="K239" s="7" t="n">
        <f aca="false">IFERROR(VALUE(RIGHT(TRIM(F239),4)),"")</f>
        <v>2018</v>
      </c>
      <c r="L239" s="7" t="str">
        <f aca="false">IF(TRIM(E239)="","Unknown",IFERROR(LEFT(TRIM(E239),FIND(",",TRIM(E239))-1),TRIM(E239)))</f>
        <v>India</v>
      </c>
      <c r="M239" s="7" t="str">
        <f aca="false">IFERROR(LEFT(J239,FIND(",",J239)-1),J239)</f>
        <v>Dramas</v>
      </c>
      <c r="N239" s="7" t="n">
        <f aca="false">IF(B239="Movie",IFERROR(VALUE(LEFT(I239,FIND(" ",I239)-1)),""),"")</f>
        <v>100</v>
      </c>
      <c r="O239" s="7" t="str">
        <f aca="false">IF(B239="TV Show",IFERROR(VALUE(LEFT(I239,FIND(" ",I239)-1)),""),"")</f>
        <v/>
      </c>
      <c r="P239" s="7" t="n">
        <f aca="false">IF(K239="","",K239-G239)</f>
        <v>1</v>
      </c>
    </row>
    <row r="240" customFormat="false" ht="15" hidden="false" customHeight="false" outlineLevel="0" collapsed="false">
      <c r="A240" s="7" t="n">
        <v>81018237</v>
      </c>
      <c r="B240" s="7" t="s">
        <v>68</v>
      </c>
      <c r="C240" s="7" t="s">
        <v>739</v>
      </c>
      <c r="D240" s="7" t="s">
        <v>740</v>
      </c>
      <c r="E240" s="7" t="s">
        <v>27</v>
      </c>
      <c r="F240" s="7" t="s">
        <v>712</v>
      </c>
      <c r="G240" s="7" t="n">
        <v>2017</v>
      </c>
      <c r="H240" s="7" t="s">
        <v>49</v>
      </c>
      <c r="I240" s="7" t="s">
        <v>168</v>
      </c>
      <c r="J240" s="7" t="s">
        <v>304</v>
      </c>
      <c r="K240" s="7" t="n">
        <f aca="false">IFERROR(VALUE(RIGHT(TRIM(F240),4)),"")</f>
        <v>2018</v>
      </c>
      <c r="L240" s="7" t="str">
        <f aca="false">IF(TRIM(E240)="","Unknown",IFERROR(LEFT(TRIM(E240),FIND(",",TRIM(E240))-1),TRIM(E240)))</f>
        <v>India</v>
      </c>
      <c r="M240" s="7" t="str">
        <f aca="false">IFERROR(LEFT(J240,FIND(",",J240)-1),J240)</f>
        <v>Dramas</v>
      </c>
      <c r="N240" s="7" t="n">
        <f aca="false">IF(B240="Movie",IFERROR(VALUE(LEFT(I240,FIND(" ",I240)-1)),""),"")</f>
        <v>112</v>
      </c>
      <c r="O240" s="7" t="str">
        <f aca="false">IF(B240="TV Show",IFERROR(VALUE(LEFT(I240,FIND(" ",I240)-1)),""),"")</f>
        <v/>
      </c>
      <c r="P240" s="7" t="n">
        <f aca="false">IF(K240="","",K240-G240)</f>
        <v>1</v>
      </c>
    </row>
    <row r="241" customFormat="false" ht="15" hidden="false" customHeight="false" outlineLevel="0" collapsed="false">
      <c r="A241" s="7" t="n">
        <v>81018238</v>
      </c>
      <c r="B241" s="7" t="s">
        <v>68</v>
      </c>
      <c r="C241" s="7" t="s">
        <v>741</v>
      </c>
      <c r="D241" s="7" t="s">
        <v>742</v>
      </c>
      <c r="E241" s="7" t="s">
        <v>27</v>
      </c>
      <c r="F241" s="7" t="s">
        <v>712</v>
      </c>
      <c r="G241" s="7" t="n">
        <v>2017</v>
      </c>
      <c r="H241" s="7" t="s">
        <v>48</v>
      </c>
      <c r="I241" s="7" t="s">
        <v>93</v>
      </c>
      <c r="J241" s="7" t="s">
        <v>304</v>
      </c>
      <c r="K241" s="7" t="n">
        <f aca="false">IFERROR(VALUE(RIGHT(TRIM(F241),4)),"")</f>
        <v>2018</v>
      </c>
      <c r="L241" s="7" t="str">
        <f aca="false">IF(TRIM(E241)="","Unknown",IFERROR(LEFT(TRIM(E241),FIND(",",TRIM(E241))-1),TRIM(E241)))</f>
        <v>India</v>
      </c>
      <c r="M241" s="7" t="str">
        <f aca="false">IFERROR(LEFT(J241,FIND(",",J241)-1),J241)</f>
        <v>Dramas</v>
      </c>
      <c r="N241" s="7" t="n">
        <f aca="false">IF(B241="Movie",IFERROR(VALUE(LEFT(I241,FIND(" ",I241)-1)),""),"")</f>
        <v>110</v>
      </c>
      <c r="O241" s="7" t="str">
        <f aca="false">IF(B241="TV Show",IFERROR(VALUE(LEFT(I241,FIND(" ",I241)-1)),""),"")</f>
        <v/>
      </c>
      <c r="P241" s="7" t="n">
        <f aca="false">IF(K241="","",K241-G241)</f>
        <v>1</v>
      </c>
    </row>
    <row r="242" customFormat="false" ht="15" hidden="false" customHeight="false" outlineLevel="0" collapsed="false">
      <c r="A242" s="7" t="n">
        <v>81016339</v>
      </c>
      <c r="B242" s="7" t="s">
        <v>68</v>
      </c>
      <c r="C242" s="7" t="s">
        <v>743</v>
      </c>
      <c r="D242" s="7" t="s">
        <v>744</v>
      </c>
      <c r="F242" s="7" t="s">
        <v>712</v>
      </c>
      <c r="G242" s="7" t="n">
        <v>2018</v>
      </c>
      <c r="H242" s="7" t="s">
        <v>48</v>
      </c>
      <c r="I242" s="7" t="s">
        <v>134</v>
      </c>
      <c r="J242" s="7" t="s">
        <v>169</v>
      </c>
      <c r="K242" s="7" t="n">
        <f aca="false">IFERROR(VALUE(RIGHT(TRIM(F242),4)),"")</f>
        <v>2018</v>
      </c>
      <c r="L242" s="7" t="str">
        <f aca="false">IF(TRIM(E242)="","Unknown",IFERROR(LEFT(TRIM(E242),FIND(",",TRIM(E242))-1),TRIM(E242)))</f>
        <v>Unknown</v>
      </c>
      <c r="M242" s="7" t="str">
        <f aca="false">IFERROR(LEFT(J242,FIND(",",J242)-1),J242)</f>
        <v>Horror Movies</v>
      </c>
      <c r="N242" s="7" t="n">
        <f aca="false">IF(B242="Movie",IFERROR(VALUE(LEFT(I242,FIND(" ",I242)-1)),""),"")</f>
        <v>98</v>
      </c>
      <c r="O242" s="7" t="str">
        <f aca="false">IF(B242="TV Show",IFERROR(VALUE(LEFT(I242,FIND(" ",I242)-1)),""),"")</f>
        <v/>
      </c>
      <c r="P242" s="7" t="n">
        <f aca="false">IF(K242="","",K242-G242)</f>
        <v>0</v>
      </c>
    </row>
    <row r="243" customFormat="false" ht="15" hidden="false" customHeight="false" outlineLevel="0" collapsed="false">
      <c r="A243" s="7" t="n">
        <v>80067522</v>
      </c>
      <c r="B243" s="7" t="s">
        <v>68</v>
      </c>
      <c r="C243" s="7" t="s">
        <v>745</v>
      </c>
      <c r="D243" s="7" t="s">
        <v>746</v>
      </c>
      <c r="E243" s="7" t="s">
        <v>747</v>
      </c>
      <c r="F243" s="7" t="s">
        <v>748</v>
      </c>
      <c r="G243" s="7" t="n">
        <v>2017</v>
      </c>
      <c r="H243" s="7" t="s">
        <v>48</v>
      </c>
      <c r="I243" s="7" t="s">
        <v>749</v>
      </c>
      <c r="J243" s="7" t="s">
        <v>37</v>
      </c>
      <c r="K243" s="7" t="n">
        <f aca="false">IFERROR(VALUE(RIGHT(TRIM(F243),4)),"")</f>
        <v>2017</v>
      </c>
      <c r="L243" s="7" t="str">
        <f aca="false">IF(TRIM(E243)="","Unknown",IFERROR(LEFT(TRIM(E243),FIND(",",TRIM(E243))-1),TRIM(E243)))</f>
        <v>Cambodia</v>
      </c>
      <c r="M243" s="7" t="str">
        <f aca="false">IFERROR(LEFT(J243,FIND(",",J243)-1),J243)</f>
        <v>Dramas</v>
      </c>
      <c r="N243" s="7" t="n">
        <f aca="false">IF(B243="Movie",IFERROR(VALUE(LEFT(I243,FIND(" ",I243)-1)),""),"")</f>
        <v>137</v>
      </c>
      <c r="O243" s="7" t="str">
        <f aca="false">IF(B243="TV Show",IFERROR(VALUE(LEFT(I243,FIND(" ",I243)-1)),""),"")</f>
        <v/>
      </c>
      <c r="P243" s="7" t="n">
        <f aca="false">IF(K243="","",K243-G243)</f>
        <v>0</v>
      </c>
    </row>
    <row r="244" customFormat="false" ht="15" hidden="false" customHeight="false" outlineLevel="0" collapsed="false">
      <c r="A244" s="7" t="n">
        <v>80192149</v>
      </c>
      <c r="B244" s="7" t="s">
        <v>68</v>
      </c>
      <c r="C244" s="7" t="s">
        <v>750</v>
      </c>
      <c r="D244" s="7" t="s">
        <v>751</v>
      </c>
      <c r="E244" s="7" t="s">
        <v>752</v>
      </c>
      <c r="F244" s="7" t="s">
        <v>748</v>
      </c>
      <c r="G244" s="7" t="n">
        <v>2013</v>
      </c>
      <c r="H244" s="7" t="s">
        <v>49</v>
      </c>
      <c r="I244" s="7" t="s">
        <v>268</v>
      </c>
      <c r="J244" s="7" t="s">
        <v>304</v>
      </c>
      <c r="K244" s="7" t="n">
        <f aca="false">IFERROR(VALUE(RIGHT(TRIM(F244),4)),"")</f>
        <v>2017</v>
      </c>
      <c r="L244" s="7" t="str">
        <f aca="false">IF(TRIM(E244)="","Unknown",IFERROR(LEFT(TRIM(E244),FIND(",",TRIM(E244))-1),TRIM(E244)))</f>
        <v>Russia</v>
      </c>
      <c r="M244" s="7" t="str">
        <f aca="false">IFERROR(LEFT(J244,FIND(",",J244)-1),J244)</f>
        <v>Dramas</v>
      </c>
      <c r="N244" s="7" t="n">
        <f aca="false">IF(B244="Movie",IFERROR(VALUE(LEFT(I244,FIND(" ",I244)-1)),""),"")</f>
        <v>108</v>
      </c>
      <c r="O244" s="7" t="str">
        <f aca="false">IF(B244="TV Show",IFERROR(VALUE(LEFT(I244,FIND(" ",I244)-1)),""),"")</f>
        <v/>
      </c>
      <c r="P244" s="7" t="n">
        <f aca="false">IF(K244="","",K244-G244)</f>
        <v>4</v>
      </c>
    </row>
    <row r="245" customFormat="false" ht="15" hidden="false" customHeight="false" outlineLevel="0" collapsed="false">
      <c r="A245" s="7" t="n">
        <v>80142637</v>
      </c>
      <c r="B245" s="7" t="s">
        <v>68</v>
      </c>
      <c r="C245" s="7" t="s">
        <v>753</v>
      </c>
      <c r="D245" s="7" t="s">
        <v>754</v>
      </c>
      <c r="E245" s="7" t="s">
        <v>259</v>
      </c>
      <c r="F245" s="7" t="s">
        <v>748</v>
      </c>
      <c r="G245" s="7" t="n">
        <v>2016</v>
      </c>
      <c r="H245" s="7" t="s">
        <v>49</v>
      </c>
      <c r="I245" s="7" t="s">
        <v>755</v>
      </c>
      <c r="J245" s="7" t="s">
        <v>217</v>
      </c>
      <c r="K245" s="7" t="n">
        <f aca="false">IFERROR(VALUE(RIGHT(TRIM(F245),4)),"")</f>
        <v>2017</v>
      </c>
      <c r="L245" s="7" t="str">
        <f aca="false">IF(TRIM(E245)="","Unknown",IFERROR(LEFT(TRIM(E245),FIND(",",TRIM(E245))-1),TRIM(E245)))</f>
        <v>Pakistan</v>
      </c>
      <c r="M245" s="7" t="str">
        <f aca="false">IFERROR(LEFT(J245,FIND(",",J245)-1),J245)</f>
        <v>Comedies</v>
      </c>
      <c r="N245" s="7" t="n">
        <f aca="false">IF(B245="Movie",IFERROR(VALUE(LEFT(I245,FIND(" ",I245)-1)),""),"")</f>
        <v>132</v>
      </c>
      <c r="O245" s="7" t="str">
        <f aca="false">IF(B245="TV Show",IFERROR(VALUE(LEFT(I245,FIND(" ",I245)-1)),""),"")</f>
        <v/>
      </c>
      <c r="P245" s="7" t="n">
        <f aca="false">IF(K245="","",K245-G245)</f>
        <v>1</v>
      </c>
    </row>
    <row r="246" customFormat="false" ht="15" hidden="false" customHeight="false" outlineLevel="0" collapsed="false">
      <c r="A246" s="7" t="n">
        <v>80192014</v>
      </c>
      <c r="B246" s="7" t="s">
        <v>68</v>
      </c>
      <c r="C246" s="7" t="s">
        <v>756</v>
      </c>
      <c r="D246" s="7" t="s">
        <v>757</v>
      </c>
      <c r="E246" s="7" t="s">
        <v>445</v>
      </c>
      <c r="F246" s="7" t="s">
        <v>748</v>
      </c>
      <c r="G246" s="7" t="n">
        <v>2017</v>
      </c>
      <c r="H246" s="7" t="s">
        <v>49</v>
      </c>
      <c r="I246" s="7" t="s">
        <v>494</v>
      </c>
      <c r="J246" s="7" t="s">
        <v>40</v>
      </c>
      <c r="K246" s="7" t="n">
        <f aca="false">IFERROR(VALUE(RIGHT(TRIM(F246),4)),"")</f>
        <v>2017</v>
      </c>
      <c r="L246" s="7" t="str">
        <f aca="false">IF(TRIM(E246)="","Unknown",IFERROR(LEFT(TRIM(E246),FIND(",",TRIM(E246))-1),TRIM(E246)))</f>
        <v>United States</v>
      </c>
      <c r="M246" s="7" t="str">
        <f aca="false">IFERROR(LEFT(J246,FIND(",",J246)-1),J246)</f>
        <v>Action &amp; Adventure</v>
      </c>
      <c r="N246" s="7" t="n">
        <f aca="false">IF(B246="Movie",IFERROR(VALUE(LEFT(I246,FIND(" ",I246)-1)),""),"")</f>
        <v>87</v>
      </c>
      <c r="O246" s="7" t="str">
        <f aca="false">IF(B246="TV Show",IFERROR(VALUE(LEFT(I246,FIND(" ",I246)-1)),""),"")</f>
        <v/>
      </c>
      <c r="P246" s="7" t="n">
        <f aca="false">IF(K246="","",K246-G246)</f>
        <v>0</v>
      </c>
    </row>
    <row r="247" customFormat="false" ht="15" hidden="false" customHeight="false" outlineLevel="0" collapsed="false">
      <c r="A247" s="7" t="n">
        <v>80192015</v>
      </c>
      <c r="B247" s="7" t="s">
        <v>68</v>
      </c>
      <c r="C247" s="7" t="s">
        <v>758</v>
      </c>
      <c r="D247" s="7" t="s">
        <v>757</v>
      </c>
      <c r="E247" s="7" t="s">
        <v>34</v>
      </c>
      <c r="F247" s="7" t="s">
        <v>748</v>
      </c>
      <c r="G247" s="7" t="n">
        <v>2016</v>
      </c>
      <c r="H247" s="7" t="s">
        <v>48</v>
      </c>
      <c r="I247" s="7" t="s">
        <v>311</v>
      </c>
      <c r="J247" s="7" t="s">
        <v>759</v>
      </c>
      <c r="K247" s="7" t="n">
        <f aca="false">IFERROR(VALUE(RIGHT(TRIM(F247),4)),"")</f>
        <v>2017</v>
      </c>
      <c r="L247" s="7" t="str">
        <f aca="false">IF(TRIM(E247)="","Unknown",IFERROR(LEFT(TRIM(E247),FIND(",",TRIM(E247))-1),TRIM(E247)))</f>
        <v>Mexico</v>
      </c>
      <c r="M247" s="7" t="str">
        <f aca="false">IFERROR(LEFT(J247,FIND(",",J247)-1),J247)</f>
        <v>Action &amp; Adventure</v>
      </c>
      <c r="N247" s="7" t="n">
        <f aca="false">IF(B247="Movie",IFERROR(VALUE(LEFT(I247,FIND(" ",I247)-1)),""),"")</f>
        <v>92</v>
      </c>
      <c r="O247" s="7" t="str">
        <f aca="false">IF(B247="TV Show",IFERROR(VALUE(LEFT(I247,FIND(" ",I247)-1)),""),"")</f>
        <v/>
      </c>
      <c r="P247" s="7" t="n">
        <f aca="false">IF(K247="","",K247-G247)</f>
        <v>1</v>
      </c>
    </row>
    <row r="248" customFormat="false" ht="15" hidden="false" customHeight="false" outlineLevel="0" collapsed="false">
      <c r="A248" s="7" t="n">
        <v>80168230</v>
      </c>
      <c r="B248" s="7" t="s">
        <v>68</v>
      </c>
      <c r="C248" s="7" t="s">
        <v>760</v>
      </c>
      <c r="D248" s="7" t="s">
        <v>761</v>
      </c>
      <c r="E248" s="7" t="s">
        <v>762</v>
      </c>
      <c r="F248" s="7" t="s">
        <v>748</v>
      </c>
      <c r="G248" s="7" t="n">
        <v>2017</v>
      </c>
      <c r="H248" s="7" t="s">
        <v>48</v>
      </c>
      <c r="I248" s="7" t="s">
        <v>268</v>
      </c>
      <c r="J248" s="7" t="s">
        <v>39</v>
      </c>
      <c r="K248" s="7" t="n">
        <f aca="false">IFERROR(VALUE(RIGHT(TRIM(F248),4)),"")</f>
        <v>2017</v>
      </c>
      <c r="L248" s="7" t="str">
        <f aca="false">IF(TRIM(E248)="","Unknown",IFERROR(LEFT(TRIM(E248),FIND(",",TRIM(E248))-1),TRIM(E248)))</f>
        <v>United States</v>
      </c>
      <c r="M248" s="7" t="str">
        <f aca="false">IFERROR(LEFT(J248,FIND(",",J248)-1),J248)</f>
        <v>Documentaries</v>
      </c>
      <c r="N248" s="7" t="n">
        <f aca="false">IF(B248="Movie",IFERROR(VALUE(LEFT(I248,FIND(" ",I248)-1)),""),"")</f>
        <v>108</v>
      </c>
      <c r="O248" s="7" t="str">
        <f aca="false">IF(B248="TV Show",IFERROR(VALUE(LEFT(I248,FIND(" ",I248)-1)),""),"")</f>
        <v/>
      </c>
      <c r="P248" s="7" t="n">
        <f aca="false">IF(K248="","",K248-G248)</f>
        <v>0</v>
      </c>
    </row>
    <row r="249" customFormat="false" ht="15" hidden="false" customHeight="false" outlineLevel="0" collapsed="false">
      <c r="A249" s="7" t="n">
        <v>80202129</v>
      </c>
      <c r="B249" s="7" t="s">
        <v>78</v>
      </c>
      <c r="C249" s="7" t="s">
        <v>763</v>
      </c>
      <c r="D249" s="7" t="s">
        <v>764</v>
      </c>
      <c r="E249" s="7" t="s">
        <v>28</v>
      </c>
      <c r="F249" s="7" t="s">
        <v>748</v>
      </c>
      <c r="G249" s="7" t="n">
        <v>2016</v>
      </c>
      <c r="H249" s="7" t="s">
        <v>48</v>
      </c>
      <c r="I249" s="7" t="s">
        <v>82</v>
      </c>
      <c r="J249" s="7" t="s">
        <v>765</v>
      </c>
      <c r="K249" s="7" t="n">
        <f aca="false">IFERROR(VALUE(RIGHT(TRIM(F249),4)),"")</f>
        <v>2017</v>
      </c>
      <c r="L249" s="7" t="str">
        <f aca="false">IF(TRIM(E249)="","Unknown",IFERROR(LEFT(TRIM(E249),FIND(",",TRIM(E249))-1),TRIM(E249)))</f>
        <v>United Kingdom</v>
      </c>
      <c r="M249" s="7" t="str">
        <f aca="false">IFERROR(LEFT(J249,FIND(",",J249)-1),J249)</f>
        <v>British TV Shows</v>
      </c>
      <c r="N249" s="7" t="str">
        <f aca="false">IF(B249="Movie",IFERROR(VALUE(LEFT(I249,FIND(" ",I249)-1)),""),"")</f>
        <v/>
      </c>
      <c r="O249" s="7" t="n">
        <f aca="false">IF(B249="TV Show",IFERROR(VALUE(LEFT(I249,FIND(" ",I249)-1)),""),"")</f>
        <v>1</v>
      </c>
      <c r="P249" s="7" t="n">
        <f aca="false">IF(K249="","",K249-G249)</f>
        <v>1</v>
      </c>
    </row>
    <row r="250" customFormat="false" ht="15" hidden="false" customHeight="false" outlineLevel="0" collapsed="false">
      <c r="A250" s="7" t="n">
        <v>80088910</v>
      </c>
      <c r="B250" s="7" t="s">
        <v>68</v>
      </c>
      <c r="C250" s="7" t="s">
        <v>766</v>
      </c>
      <c r="D250" s="7" t="s">
        <v>767</v>
      </c>
      <c r="E250" s="7" t="s">
        <v>26</v>
      </c>
      <c r="F250" s="7" t="s">
        <v>768</v>
      </c>
      <c r="G250" s="7" t="n">
        <v>2016</v>
      </c>
      <c r="H250" s="7" t="s">
        <v>51</v>
      </c>
      <c r="I250" s="7" t="s">
        <v>470</v>
      </c>
      <c r="J250" s="7" t="s">
        <v>38</v>
      </c>
      <c r="K250" s="7" t="n">
        <f aca="false">IFERROR(VALUE(RIGHT(TRIM(F250),4)),"")</f>
        <v>2016</v>
      </c>
      <c r="L250" s="7" t="str">
        <f aca="false">IF(TRIM(E250)="","Unknown",IFERROR(LEFT(TRIM(E250),FIND(",",TRIM(E250))-1),TRIM(E250)))</f>
        <v>United States</v>
      </c>
      <c r="M250" s="7" t="str">
        <f aca="false">IFERROR(LEFT(J250,FIND(",",J250)-1),J250)</f>
        <v>Comedies</v>
      </c>
      <c r="N250" s="7" t="n">
        <f aca="false">IF(B250="Movie",IFERROR(VALUE(LEFT(I250,FIND(" ",I250)-1)),""),"")</f>
        <v>91</v>
      </c>
      <c r="O250" s="7" t="str">
        <f aca="false">IF(B250="TV Show",IFERROR(VALUE(LEFT(I250,FIND(" ",I250)-1)),""),"")</f>
        <v/>
      </c>
      <c r="P250" s="7" t="n">
        <f aca="false">IF(K250="","",K250-G250)</f>
        <v>0</v>
      </c>
    </row>
    <row r="251" customFormat="false" ht="15" hidden="false" customHeight="false" outlineLevel="0" collapsed="false">
      <c r="A251" s="7" t="n">
        <v>70290909</v>
      </c>
      <c r="B251" s="7" t="s">
        <v>68</v>
      </c>
      <c r="C251" s="7" t="s">
        <v>769</v>
      </c>
      <c r="D251" s="7" t="s">
        <v>770</v>
      </c>
      <c r="E251" s="7" t="s">
        <v>26</v>
      </c>
      <c r="F251" s="7" t="s">
        <v>768</v>
      </c>
      <c r="G251" s="7" t="n">
        <v>2012</v>
      </c>
      <c r="H251" s="7" t="s">
        <v>49</v>
      </c>
      <c r="I251" s="7" t="s">
        <v>524</v>
      </c>
      <c r="J251" s="7" t="s">
        <v>509</v>
      </c>
      <c r="K251" s="7" t="n">
        <f aca="false">IFERROR(VALUE(RIGHT(TRIM(F251),4)),"")</f>
        <v>2016</v>
      </c>
      <c r="L251" s="7" t="str">
        <f aca="false">IF(TRIM(E251)="","Unknown",IFERROR(LEFT(TRIM(E251),FIND(",",TRIM(E251))-1),TRIM(E251)))</f>
        <v>United States</v>
      </c>
      <c r="M251" s="7" t="str">
        <f aca="false">IFERROR(LEFT(J251,FIND(",",J251)-1),J251)</f>
        <v>Documentaries</v>
      </c>
      <c r="N251" s="7" t="n">
        <f aca="false">IF(B251="Movie",IFERROR(VALUE(LEFT(I251,FIND(" ",I251)-1)),""),"")</f>
        <v>83</v>
      </c>
      <c r="O251" s="7" t="str">
        <f aca="false">IF(B251="TV Show",IFERROR(VALUE(LEFT(I251,FIND(" ",I251)-1)),""),"")</f>
        <v/>
      </c>
      <c r="P251" s="7" t="n">
        <f aca="false">IF(K251="","",K251-G251)</f>
        <v>4</v>
      </c>
    </row>
    <row r="252" customFormat="false" ht="15" hidden="false" customHeight="false" outlineLevel="0" collapsed="false">
      <c r="A252" s="7" t="n">
        <v>80126566</v>
      </c>
      <c r="B252" s="7" t="s">
        <v>78</v>
      </c>
      <c r="C252" s="7" t="s">
        <v>771</v>
      </c>
      <c r="E252" s="7" t="s">
        <v>772</v>
      </c>
      <c r="F252" s="7" t="s">
        <v>768</v>
      </c>
      <c r="G252" s="7" t="n">
        <v>2014</v>
      </c>
      <c r="H252" s="7" t="s">
        <v>48</v>
      </c>
      <c r="I252" s="7" t="s">
        <v>82</v>
      </c>
      <c r="J252" s="7" t="s">
        <v>773</v>
      </c>
      <c r="K252" s="7" t="n">
        <f aca="false">IFERROR(VALUE(RIGHT(TRIM(F252),4)),"")</f>
        <v>2016</v>
      </c>
      <c r="L252" s="7" t="str">
        <f aca="false">IF(TRIM(E252)="","Unknown",IFERROR(LEFT(TRIM(E252),FIND(",",TRIM(E252))-1),TRIM(E252)))</f>
        <v>Poland</v>
      </c>
      <c r="M252" s="7" t="str">
        <f aca="false">IFERROR(LEFT(J252,FIND(",",J252)-1),J252)</f>
        <v>Docuseries</v>
      </c>
      <c r="N252" s="7" t="str">
        <f aca="false">IF(B252="Movie",IFERROR(VALUE(LEFT(I252,FIND(" ",I252)-1)),""),"")</f>
        <v/>
      </c>
      <c r="O252" s="7" t="n">
        <f aca="false">IF(B252="TV Show",IFERROR(VALUE(LEFT(I252,FIND(" ",I252)-1)),""),"")</f>
        <v>1</v>
      </c>
      <c r="P252" s="7" t="n">
        <f aca="false">IF(K252="","",K252-G252)</f>
        <v>2</v>
      </c>
    </row>
    <row r="253" customFormat="false" ht="15" hidden="false" customHeight="false" outlineLevel="0" collapsed="false">
      <c r="A253" s="7" t="n">
        <v>80033772</v>
      </c>
      <c r="B253" s="7" t="s">
        <v>68</v>
      </c>
      <c r="C253" s="7" t="s">
        <v>774</v>
      </c>
      <c r="D253" s="7" t="s">
        <v>775</v>
      </c>
      <c r="E253" s="7" t="s">
        <v>26</v>
      </c>
      <c r="F253" s="7" t="s">
        <v>776</v>
      </c>
      <c r="G253" s="7" t="n">
        <v>2014</v>
      </c>
      <c r="H253" s="7" t="s">
        <v>53</v>
      </c>
      <c r="I253" s="7" t="s">
        <v>73</v>
      </c>
      <c r="J253" s="7" t="s">
        <v>39</v>
      </c>
      <c r="K253" s="7" t="n">
        <f aca="false">IFERROR(VALUE(RIGHT(TRIM(F253),4)),"")</f>
        <v>2015</v>
      </c>
      <c r="L253" s="7" t="str">
        <f aca="false">IF(TRIM(E253)="","Unknown",IFERROR(LEFT(TRIM(E253),FIND(",",TRIM(E253))-1),TRIM(E253)))</f>
        <v>United States</v>
      </c>
      <c r="M253" s="7" t="str">
        <f aca="false">IFERROR(LEFT(J253,FIND(",",J253)-1),J253)</f>
        <v>Documentaries</v>
      </c>
      <c r="N253" s="7" t="n">
        <f aca="false">IF(B253="Movie",IFERROR(VALUE(LEFT(I253,FIND(" ",I253)-1)),""),"")</f>
        <v>90</v>
      </c>
      <c r="O253" s="7" t="str">
        <f aca="false">IF(B253="TV Show",IFERROR(VALUE(LEFT(I253,FIND(" ",I253)-1)),""),"")</f>
        <v/>
      </c>
      <c r="P253" s="7" t="n">
        <f aca="false">IF(K253="","",K253-G253)</f>
        <v>1</v>
      </c>
    </row>
    <row r="254" customFormat="false" ht="15" hidden="false" customHeight="false" outlineLevel="0" collapsed="false">
      <c r="A254" s="7" t="n">
        <v>81093951</v>
      </c>
      <c r="B254" s="7" t="s">
        <v>68</v>
      </c>
      <c r="C254" s="7" t="s">
        <v>777</v>
      </c>
      <c r="D254" s="7" t="s">
        <v>456</v>
      </c>
      <c r="E254" s="7" t="s">
        <v>27</v>
      </c>
      <c r="F254" s="7" t="s">
        <v>778</v>
      </c>
      <c r="G254" s="7" t="n">
        <v>2019</v>
      </c>
      <c r="H254" s="7" t="s">
        <v>49</v>
      </c>
      <c r="I254" s="7" t="s">
        <v>779</v>
      </c>
      <c r="J254" s="7" t="s">
        <v>457</v>
      </c>
      <c r="K254" s="7" t="n">
        <f aca="false">IFERROR(VALUE(RIGHT(TRIM(F254),4)),"")</f>
        <v>2019</v>
      </c>
      <c r="L254" s="7" t="str">
        <f aca="false">IF(TRIM(E254)="","Unknown",IFERROR(LEFT(TRIM(E254),FIND(",",TRIM(E254))-1),TRIM(E254)))</f>
        <v>India</v>
      </c>
      <c r="M254" s="7" t="str">
        <f aca="false">IFERROR(LEFT(J254,FIND(",",J254)-1),J254)</f>
        <v>Comedies</v>
      </c>
      <c r="N254" s="7" t="n">
        <f aca="false">IF(B254="Movie",IFERROR(VALUE(LEFT(I254,FIND(" ",I254)-1)),""),"")</f>
        <v>157</v>
      </c>
      <c r="O254" s="7" t="str">
        <f aca="false">IF(B254="TV Show",IFERROR(VALUE(LEFT(I254,FIND(" ",I254)-1)),""),"")</f>
        <v/>
      </c>
      <c r="P254" s="7" t="n">
        <f aca="false">IF(K254="","",K254-G254)</f>
        <v>0</v>
      </c>
    </row>
    <row r="255" customFormat="false" ht="15" hidden="false" customHeight="false" outlineLevel="0" collapsed="false">
      <c r="A255" s="7" t="n">
        <v>80238013</v>
      </c>
      <c r="B255" s="7" t="s">
        <v>68</v>
      </c>
      <c r="C255" s="7" t="s">
        <v>780</v>
      </c>
      <c r="D255" s="7" t="s">
        <v>781</v>
      </c>
      <c r="E255" s="7" t="s">
        <v>26</v>
      </c>
      <c r="F255" s="7" t="s">
        <v>778</v>
      </c>
      <c r="G255" s="7" t="n">
        <v>2019</v>
      </c>
      <c r="H255" s="7" t="s">
        <v>50</v>
      </c>
      <c r="I255" s="7" t="s">
        <v>524</v>
      </c>
      <c r="J255" s="7" t="s">
        <v>341</v>
      </c>
      <c r="K255" s="7" t="n">
        <f aca="false">IFERROR(VALUE(RIGHT(TRIM(F255),4)),"")</f>
        <v>2019</v>
      </c>
      <c r="L255" s="7" t="str">
        <f aca="false">IF(TRIM(E255)="","Unknown",IFERROR(LEFT(TRIM(E255),FIND(",",TRIM(E255))-1),TRIM(E255)))</f>
        <v>United States</v>
      </c>
      <c r="M255" s="7" t="str">
        <f aca="false">IFERROR(LEFT(J255,FIND(",",J255)-1),J255)</f>
        <v>Documentaries</v>
      </c>
      <c r="N255" s="7" t="n">
        <f aca="false">IF(B255="Movie",IFERROR(VALUE(LEFT(I255,FIND(" ",I255)-1)),""),"")</f>
        <v>83</v>
      </c>
      <c r="O255" s="7" t="str">
        <f aca="false">IF(B255="TV Show",IFERROR(VALUE(LEFT(I255,FIND(" ",I255)-1)),""),"")</f>
        <v/>
      </c>
      <c r="P255" s="7" t="n">
        <f aca="false">IF(K255="","",K255-G255)</f>
        <v>0</v>
      </c>
    </row>
    <row r="256" customFormat="false" ht="15" hidden="false" customHeight="false" outlineLevel="0" collapsed="false">
      <c r="A256" s="7" t="n">
        <v>81089941</v>
      </c>
      <c r="B256" s="7" t="s">
        <v>68</v>
      </c>
      <c r="C256" s="7" t="s">
        <v>782</v>
      </c>
      <c r="D256" s="7" t="s">
        <v>783</v>
      </c>
      <c r="E256" s="7" t="s">
        <v>26</v>
      </c>
      <c r="F256" s="7" t="s">
        <v>778</v>
      </c>
      <c r="G256" s="7" t="n">
        <v>2018</v>
      </c>
      <c r="H256" s="7" t="s">
        <v>49</v>
      </c>
      <c r="I256" s="7" t="s">
        <v>111</v>
      </c>
      <c r="J256" s="7" t="s">
        <v>597</v>
      </c>
      <c r="K256" s="7" t="n">
        <f aca="false">IFERROR(VALUE(RIGHT(TRIM(F256),4)),"")</f>
        <v>2019</v>
      </c>
      <c r="L256" s="7" t="str">
        <f aca="false">IF(TRIM(E256)="","Unknown",IFERROR(LEFT(TRIM(E256),FIND(",",TRIM(E256))-1),TRIM(E256)))</f>
        <v>United States</v>
      </c>
      <c r="M256" s="7" t="str">
        <f aca="false">IFERROR(LEFT(J256,FIND(",",J256)-1),J256)</f>
        <v>Dramas</v>
      </c>
      <c r="N256" s="7" t="n">
        <f aca="false">IF(B256="Movie",IFERROR(VALUE(LEFT(I256,FIND(" ",I256)-1)),""),"")</f>
        <v>95</v>
      </c>
      <c r="O256" s="7" t="str">
        <f aca="false">IF(B256="TV Show",IFERROR(VALUE(LEFT(I256,FIND(" ",I256)-1)),""),"")</f>
        <v/>
      </c>
      <c r="P256" s="7" t="n">
        <f aca="false">IF(K256="","",K256-G256)</f>
        <v>1</v>
      </c>
    </row>
    <row r="257" customFormat="false" ht="15" hidden="false" customHeight="false" outlineLevel="0" collapsed="false">
      <c r="A257" s="7" t="n">
        <v>81000011</v>
      </c>
      <c r="B257" s="7" t="s">
        <v>68</v>
      </c>
      <c r="C257" s="7" t="s">
        <v>784</v>
      </c>
      <c r="D257" s="7" t="s">
        <v>785</v>
      </c>
      <c r="E257" s="7" t="s">
        <v>167</v>
      </c>
      <c r="F257" s="7" t="s">
        <v>786</v>
      </c>
      <c r="G257" s="7" t="n">
        <v>2002</v>
      </c>
      <c r="H257" s="7" t="s">
        <v>48</v>
      </c>
      <c r="I257" s="7" t="s">
        <v>294</v>
      </c>
      <c r="J257" s="7" t="s">
        <v>304</v>
      </c>
      <c r="K257" s="7" t="n">
        <f aca="false">IFERROR(VALUE(RIGHT(TRIM(F257),4)),"")</f>
        <v>2018</v>
      </c>
      <c r="L257" s="7" t="str">
        <f aca="false">IF(TRIM(E257)="","Unknown",IFERROR(LEFT(TRIM(E257),FIND(",",TRIM(E257))-1),TRIM(E257)))</f>
        <v>Thailand</v>
      </c>
      <c r="M257" s="7" t="str">
        <f aca="false">IFERROR(LEFT(J257,FIND(",",J257)-1),J257)</f>
        <v>Dramas</v>
      </c>
      <c r="N257" s="7" t="n">
        <f aca="false">IF(B257="Movie",IFERROR(VALUE(LEFT(I257,FIND(" ",I257)-1)),""),"")</f>
        <v>107</v>
      </c>
      <c r="O257" s="7" t="str">
        <f aca="false">IF(B257="TV Show",IFERROR(VALUE(LEFT(I257,FIND(" ",I257)-1)),""),"")</f>
        <v/>
      </c>
      <c r="P257" s="7" t="n">
        <f aca="false">IF(K257="","",K257-G257)</f>
        <v>16</v>
      </c>
    </row>
    <row r="258" customFormat="false" ht="15" hidden="false" customHeight="false" outlineLevel="0" collapsed="false">
      <c r="A258" s="7" t="n">
        <v>80243899</v>
      </c>
      <c r="B258" s="7" t="s">
        <v>78</v>
      </c>
      <c r="C258" s="7" t="s">
        <v>787</v>
      </c>
      <c r="F258" s="7" t="s">
        <v>786</v>
      </c>
      <c r="G258" s="7" t="n">
        <v>2015</v>
      </c>
      <c r="H258" s="7" t="s">
        <v>49</v>
      </c>
      <c r="I258" s="7" t="s">
        <v>82</v>
      </c>
      <c r="J258" s="7" t="s">
        <v>314</v>
      </c>
      <c r="K258" s="7" t="n">
        <f aca="false">IFERROR(VALUE(RIGHT(TRIM(F258),4)),"")</f>
        <v>2018</v>
      </c>
      <c r="L258" s="7" t="str">
        <f aca="false">IF(TRIM(E258)="","Unknown",IFERROR(LEFT(TRIM(E258),FIND(",",TRIM(E258))-1),TRIM(E258)))</f>
        <v>Unknown</v>
      </c>
      <c r="M258" s="7" t="str">
        <f aca="false">IFERROR(LEFT(J258,FIND(",",J258)-1),J258)</f>
        <v>International TV Shows</v>
      </c>
      <c r="N258" s="7" t="str">
        <f aca="false">IF(B258="Movie",IFERROR(VALUE(LEFT(I258,FIND(" ",I258)-1)),""),"")</f>
        <v/>
      </c>
      <c r="O258" s="7" t="n">
        <f aca="false">IF(B258="TV Show",IFERROR(VALUE(LEFT(I258,FIND(" ",I258)-1)),""),"")</f>
        <v>1</v>
      </c>
      <c r="P258" s="7" t="n">
        <f aca="false">IF(K258="","",K258-G258)</f>
        <v>3</v>
      </c>
    </row>
    <row r="259" customFormat="false" ht="15" hidden="false" customHeight="false" outlineLevel="0" collapsed="false">
      <c r="A259" s="7" t="n">
        <v>80217733</v>
      </c>
      <c r="B259" s="7" t="s">
        <v>68</v>
      </c>
      <c r="C259" s="7" t="s">
        <v>788</v>
      </c>
      <c r="D259" s="7" t="s">
        <v>789</v>
      </c>
      <c r="E259" s="7" t="s">
        <v>30</v>
      </c>
      <c r="F259" s="7" t="s">
        <v>786</v>
      </c>
      <c r="G259" s="7" t="n">
        <v>2018</v>
      </c>
      <c r="H259" s="7" t="s">
        <v>49</v>
      </c>
      <c r="I259" s="7" t="s">
        <v>790</v>
      </c>
      <c r="J259" s="7" t="s">
        <v>367</v>
      </c>
      <c r="K259" s="7" t="n">
        <f aca="false">IFERROR(VALUE(RIGHT(TRIM(F259),4)),"")</f>
        <v>2018</v>
      </c>
      <c r="L259" s="7" t="str">
        <f aca="false">IF(TRIM(E259)="","Unknown",IFERROR(LEFT(TRIM(E259),FIND(",",TRIM(E259))-1),TRIM(E259)))</f>
        <v>Japan</v>
      </c>
      <c r="M259" s="7" t="str">
        <f aca="false">IFERROR(LEFT(J259,FIND(",",J259)-1),J259)</f>
        <v>Action &amp; Adventure</v>
      </c>
      <c r="N259" s="7" t="n">
        <f aca="false">IF(B259="Movie",IFERROR(VALUE(LEFT(I259,FIND(" ",I259)-1)),""),"")</f>
        <v>109</v>
      </c>
      <c r="O259" s="7" t="str">
        <f aca="false">IF(B259="TV Show",IFERROR(VALUE(LEFT(I259,FIND(" ",I259)-1)),""),"")</f>
        <v/>
      </c>
      <c r="P259" s="7" t="n">
        <f aca="false">IF(K259="","",K259-G259)</f>
        <v>0</v>
      </c>
    </row>
    <row r="260" customFormat="false" ht="15" hidden="false" customHeight="false" outlineLevel="0" collapsed="false">
      <c r="A260" s="7" t="n">
        <v>80220035</v>
      </c>
      <c r="B260" s="7" t="s">
        <v>78</v>
      </c>
      <c r="C260" s="7" t="s">
        <v>791</v>
      </c>
      <c r="F260" s="7" t="s">
        <v>786</v>
      </c>
      <c r="G260" s="7" t="n">
        <v>2018</v>
      </c>
      <c r="H260" s="7" t="s">
        <v>50</v>
      </c>
      <c r="I260" s="7" t="s">
        <v>82</v>
      </c>
      <c r="J260" s="7" t="s">
        <v>792</v>
      </c>
      <c r="K260" s="7" t="n">
        <f aca="false">IFERROR(VALUE(RIGHT(TRIM(F260),4)),"")</f>
        <v>2018</v>
      </c>
      <c r="L260" s="7" t="str">
        <f aca="false">IF(TRIM(E260)="","Unknown",IFERROR(LEFT(TRIM(E260),FIND(",",TRIM(E260))-1),TRIM(E260)))</f>
        <v>Unknown</v>
      </c>
      <c r="M260" s="7" t="str">
        <f aca="false">IFERROR(LEFT(J260,FIND(",",J260)-1),J260)</f>
        <v>Docuseries</v>
      </c>
      <c r="N260" s="7" t="str">
        <f aca="false">IF(B260="Movie",IFERROR(VALUE(LEFT(I260,FIND(" ",I260)-1)),""),"")</f>
        <v/>
      </c>
      <c r="O260" s="7" t="n">
        <f aca="false">IF(B260="TV Show",IFERROR(VALUE(LEFT(I260,FIND(" ",I260)-1)),""),"")</f>
        <v>1</v>
      </c>
      <c r="P260" s="7" t="n">
        <f aca="false">IF(K260="","",K260-G260)</f>
        <v>0</v>
      </c>
    </row>
    <row r="261" customFormat="false" ht="15" hidden="false" customHeight="false" outlineLevel="0" collapsed="false">
      <c r="A261" s="7" t="n">
        <v>80194704</v>
      </c>
      <c r="B261" s="7" t="s">
        <v>78</v>
      </c>
      <c r="C261" s="7" t="s">
        <v>793</v>
      </c>
      <c r="F261" s="7" t="s">
        <v>786</v>
      </c>
      <c r="G261" s="7" t="n">
        <v>2018</v>
      </c>
      <c r="H261" s="7" t="s">
        <v>50</v>
      </c>
      <c r="I261" s="7" t="s">
        <v>82</v>
      </c>
      <c r="J261" s="7" t="s">
        <v>701</v>
      </c>
      <c r="K261" s="7" t="n">
        <f aca="false">IFERROR(VALUE(RIGHT(TRIM(F261),4)),"")</f>
        <v>2018</v>
      </c>
      <c r="L261" s="7" t="str">
        <f aca="false">IF(TRIM(E261)="","Unknown",IFERROR(LEFT(TRIM(E261),FIND(",",TRIM(E261))-1),TRIM(E261)))</f>
        <v>Unknown</v>
      </c>
      <c r="M261" s="7" t="str">
        <f aca="false">IFERROR(LEFT(J261,FIND(",",J261)-1),J261)</f>
        <v>Reality TV</v>
      </c>
      <c r="N261" s="7" t="str">
        <f aca="false">IF(B261="Movie",IFERROR(VALUE(LEFT(I261,FIND(" ",I261)-1)),""),"")</f>
        <v/>
      </c>
      <c r="O261" s="7" t="n">
        <f aca="false">IF(B261="TV Show",IFERROR(VALUE(LEFT(I261,FIND(" ",I261)-1)),""),"")</f>
        <v>1</v>
      </c>
      <c r="P261" s="7" t="n">
        <f aca="false">IF(K261="","",K261-G261)</f>
        <v>0</v>
      </c>
    </row>
    <row r="262" customFormat="false" ht="15" hidden="false" customHeight="false" outlineLevel="0" collapsed="false">
      <c r="A262" s="7" t="n">
        <v>80225949</v>
      </c>
      <c r="B262" s="7" t="s">
        <v>78</v>
      </c>
      <c r="C262" s="7" t="s">
        <v>794</v>
      </c>
      <c r="E262" s="7" t="s">
        <v>26</v>
      </c>
      <c r="F262" s="7" t="s">
        <v>786</v>
      </c>
      <c r="G262" s="7" t="n">
        <v>2018</v>
      </c>
      <c r="H262" s="7" t="s">
        <v>48</v>
      </c>
      <c r="I262" s="7" t="s">
        <v>82</v>
      </c>
      <c r="J262" s="7" t="s">
        <v>795</v>
      </c>
      <c r="K262" s="7" t="n">
        <f aca="false">IFERROR(VALUE(RIGHT(TRIM(F262),4)),"")</f>
        <v>2018</v>
      </c>
      <c r="L262" s="7" t="str">
        <f aca="false">IF(TRIM(E262)="","Unknown",IFERROR(LEFT(TRIM(E262),FIND(",",TRIM(E262))-1),TRIM(E262)))</f>
        <v>United States</v>
      </c>
      <c r="M262" s="7" t="str">
        <f aca="false">IFERROR(LEFT(J262,FIND(",",J262)-1),J262)</f>
        <v>Stand-Up Comedy &amp; Talk Shows</v>
      </c>
      <c r="N262" s="7" t="str">
        <f aca="false">IF(B262="Movie",IFERROR(VALUE(LEFT(I262,FIND(" ",I262)-1)),""),"")</f>
        <v/>
      </c>
      <c r="O262" s="7" t="n">
        <f aca="false">IF(B262="TV Show",IFERROR(VALUE(LEFT(I262,FIND(" ",I262)-1)),""),"")</f>
        <v>1</v>
      </c>
      <c r="P262" s="7" t="n">
        <f aca="false">IF(K262="","",K262-G262)</f>
        <v>0</v>
      </c>
    </row>
    <row r="263" customFormat="false" ht="15" hidden="false" customHeight="false" outlineLevel="0" collapsed="false">
      <c r="A263" s="7" t="n">
        <v>80999985</v>
      </c>
      <c r="B263" s="7" t="s">
        <v>68</v>
      </c>
      <c r="C263" s="7" t="s">
        <v>796</v>
      </c>
      <c r="D263" s="7" t="s">
        <v>797</v>
      </c>
      <c r="E263" s="7" t="s">
        <v>167</v>
      </c>
      <c r="F263" s="7" t="s">
        <v>786</v>
      </c>
      <c r="G263" s="7" t="n">
        <v>2010</v>
      </c>
      <c r="H263" s="7" t="s">
        <v>48</v>
      </c>
      <c r="I263" s="7" t="s">
        <v>205</v>
      </c>
      <c r="J263" s="7" t="s">
        <v>169</v>
      </c>
      <c r="K263" s="7" t="n">
        <f aca="false">IFERROR(VALUE(RIGHT(TRIM(F263),4)),"")</f>
        <v>2018</v>
      </c>
      <c r="L263" s="7" t="str">
        <f aca="false">IF(TRIM(E263)="","Unknown",IFERROR(LEFT(TRIM(E263),FIND(",",TRIM(E263))-1),TRIM(E263)))</f>
        <v>Thailand</v>
      </c>
      <c r="M263" s="7" t="str">
        <f aca="false">IFERROR(LEFT(J263,FIND(",",J263)-1),J263)</f>
        <v>Horror Movies</v>
      </c>
      <c r="N263" s="7" t="n">
        <f aca="false">IF(B263="Movie",IFERROR(VALUE(LEFT(I263,FIND(" ",I263)-1)),""),"")</f>
        <v>100</v>
      </c>
      <c r="O263" s="7" t="str">
        <f aca="false">IF(B263="TV Show",IFERROR(VALUE(LEFT(I263,FIND(" ",I263)-1)),""),"")</f>
        <v/>
      </c>
      <c r="P263" s="7" t="n">
        <f aca="false">IF(K263="","",K263-G263)</f>
        <v>8</v>
      </c>
    </row>
    <row r="264" customFormat="false" ht="15" hidden="false" customHeight="false" outlineLevel="0" collapsed="false">
      <c r="A264" s="7" t="n">
        <v>81002336</v>
      </c>
      <c r="B264" s="7" t="s">
        <v>78</v>
      </c>
      <c r="C264" s="7" t="s">
        <v>798</v>
      </c>
      <c r="F264" s="7" t="s">
        <v>786</v>
      </c>
      <c r="G264" s="7" t="n">
        <v>2018</v>
      </c>
      <c r="H264" s="7" t="s">
        <v>119</v>
      </c>
      <c r="I264" s="7" t="s">
        <v>82</v>
      </c>
      <c r="J264" s="7" t="s">
        <v>44</v>
      </c>
      <c r="K264" s="7" t="n">
        <f aca="false">IFERROR(VALUE(RIGHT(TRIM(F264),4)),"")</f>
        <v>2018</v>
      </c>
      <c r="L264" s="7" t="str">
        <f aca="false">IF(TRIM(E264)="","Unknown",IFERROR(LEFT(TRIM(E264),FIND(",",TRIM(E264))-1),TRIM(E264)))</f>
        <v>Unknown</v>
      </c>
      <c r="M264" s="7" t="str">
        <f aca="false">IFERROR(LEFT(J264,FIND(",",J264)-1),J264)</f>
        <v>Kids' TV</v>
      </c>
      <c r="N264" s="7" t="str">
        <f aca="false">IF(B264="Movie",IFERROR(VALUE(LEFT(I264,FIND(" ",I264)-1)),""),"")</f>
        <v/>
      </c>
      <c r="O264" s="7" t="n">
        <f aca="false">IF(B264="TV Show",IFERROR(VALUE(LEFT(I264,FIND(" ",I264)-1)),""),"")</f>
        <v>1</v>
      </c>
      <c r="P264" s="7" t="n">
        <f aca="false">IF(K264="","",K264-G264)</f>
        <v>0</v>
      </c>
    </row>
    <row r="265" customFormat="false" ht="15" hidden="false" customHeight="false" outlineLevel="0" collapsed="false">
      <c r="A265" s="7" t="n">
        <v>80188120</v>
      </c>
      <c r="B265" s="7" t="s">
        <v>68</v>
      </c>
      <c r="C265" s="7" t="s">
        <v>799</v>
      </c>
      <c r="D265" s="7" t="s">
        <v>800</v>
      </c>
      <c r="E265" s="7" t="s">
        <v>801</v>
      </c>
      <c r="F265" s="7" t="s">
        <v>786</v>
      </c>
      <c r="G265" s="7" t="n">
        <v>2018</v>
      </c>
      <c r="H265" s="7" t="s">
        <v>48</v>
      </c>
      <c r="I265" s="7" t="s">
        <v>187</v>
      </c>
      <c r="J265" s="7" t="s">
        <v>182</v>
      </c>
      <c r="K265" s="7" t="n">
        <f aca="false">IFERROR(VALUE(RIGHT(TRIM(F265),4)),"")</f>
        <v>2018</v>
      </c>
      <c r="L265" s="7" t="str">
        <f aca="false">IF(TRIM(E265)="","Unknown",IFERROR(LEFT(TRIM(E265),FIND(",",TRIM(E265))-1),TRIM(E265)))</f>
        <v>Israel</v>
      </c>
      <c r="M265" s="7" t="str">
        <f aca="false">IFERROR(LEFT(J265,FIND(",",J265)-1),J265)</f>
        <v>Dramas</v>
      </c>
      <c r="N265" s="7" t="n">
        <f aca="false">IF(B265="Movie",IFERROR(VALUE(LEFT(I265,FIND(" ",I265)-1)),""),"")</f>
        <v>114</v>
      </c>
      <c r="O265" s="7" t="str">
        <f aca="false">IF(B265="TV Show",IFERROR(VALUE(LEFT(I265,FIND(" ",I265)-1)),""),"")</f>
        <v/>
      </c>
      <c r="P265" s="7" t="n">
        <f aca="false">IF(K265="","",K265-G265)</f>
        <v>0</v>
      </c>
    </row>
    <row r="266" customFormat="false" ht="15" hidden="false" customHeight="false" outlineLevel="0" collapsed="false">
      <c r="A266" s="7" t="n">
        <v>80164779</v>
      </c>
      <c r="B266" s="7" t="s">
        <v>68</v>
      </c>
      <c r="C266" s="7" t="s">
        <v>802</v>
      </c>
      <c r="D266" s="7" t="s">
        <v>803</v>
      </c>
      <c r="E266" s="7" t="s">
        <v>26</v>
      </c>
      <c r="F266" s="7" t="s">
        <v>786</v>
      </c>
      <c r="G266" s="7" t="n">
        <v>2018</v>
      </c>
      <c r="H266" s="7" t="s">
        <v>48</v>
      </c>
      <c r="I266" s="7" t="s">
        <v>134</v>
      </c>
      <c r="J266" s="7" t="s">
        <v>198</v>
      </c>
      <c r="K266" s="7" t="n">
        <f aca="false">IFERROR(VALUE(RIGHT(TRIM(F266),4)),"")</f>
        <v>2018</v>
      </c>
      <c r="L266" s="7" t="str">
        <f aca="false">IF(TRIM(E266)="","Unknown",IFERROR(LEFT(TRIM(E266),FIND(",",TRIM(E266))-1),TRIM(E266)))</f>
        <v>United States</v>
      </c>
      <c r="M266" s="7" t="str">
        <f aca="false">IFERROR(LEFT(J266,FIND(",",J266)-1),J266)</f>
        <v>Comedies</v>
      </c>
      <c r="N266" s="7" t="n">
        <f aca="false">IF(B266="Movie",IFERROR(VALUE(LEFT(I266,FIND(" ",I266)-1)),""),"")</f>
        <v>98</v>
      </c>
      <c r="O266" s="7" t="str">
        <f aca="false">IF(B266="TV Show",IFERROR(VALUE(LEFT(I266,FIND(" ",I266)-1)),""),"")</f>
        <v/>
      </c>
      <c r="P266" s="7" t="n">
        <f aca="false">IF(K266="","",K266-G266)</f>
        <v>0</v>
      </c>
    </row>
    <row r="267" customFormat="false" ht="15" hidden="false" customHeight="false" outlineLevel="0" collapsed="false">
      <c r="A267" s="7" t="n">
        <v>80993613</v>
      </c>
      <c r="B267" s="7" t="s">
        <v>78</v>
      </c>
      <c r="C267" s="7" t="s">
        <v>804</v>
      </c>
      <c r="E267" s="7" t="s">
        <v>366</v>
      </c>
      <c r="F267" s="7" t="s">
        <v>786</v>
      </c>
      <c r="G267" s="7" t="n">
        <v>2018</v>
      </c>
      <c r="H267" s="7" t="s">
        <v>49</v>
      </c>
      <c r="I267" s="7" t="s">
        <v>82</v>
      </c>
      <c r="J267" s="7" t="s">
        <v>805</v>
      </c>
      <c r="K267" s="7" t="n">
        <f aca="false">IFERROR(VALUE(RIGHT(TRIM(F267),4)),"")</f>
        <v>2018</v>
      </c>
      <c r="L267" s="7" t="str">
        <f aca="false">IF(TRIM(E267)="","Unknown",IFERROR(LEFT(TRIM(E267),FIND(",",TRIM(E267))-1),TRIM(E267)))</f>
        <v>China</v>
      </c>
      <c r="M267" s="7" t="str">
        <f aca="false">IFERROR(LEFT(J267,FIND(",",J267)-1),J267)</f>
        <v>International TV Shows</v>
      </c>
      <c r="N267" s="7" t="str">
        <f aca="false">IF(B267="Movie",IFERROR(VALUE(LEFT(I267,FIND(" ",I267)-1)),""),"")</f>
        <v/>
      </c>
      <c r="O267" s="7" t="n">
        <f aca="false">IF(B267="TV Show",IFERROR(VALUE(LEFT(I267,FIND(" ",I267)-1)),""),"")</f>
        <v>1</v>
      </c>
      <c r="P267" s="7" t="n">
        <f aca="false">IF(K267="","",K267-G267)</f>
        <v>0</v>
      </c>
    </row>
    <row r="268" customFormat="false" ht="15" hidden="false" customHeight="false" outlineLevel="0" collapsed="false">
      <c r="A268" s="7" t="n">
        <v>81092328</v>
      </c>
      <c r="B268" s="7" t="s">
        <v>68</v>
      </c>
      <c r="C268" s="7" t="s">
        <v>806</v>
      </c>
      <c r="D268" s="7" t="s">
        <v>807</v>
      </c>
      <c r="E268" s="7" t="s">
        <v>26</v>
      </c>
      <c r="F268" s="7" t="s">
        <v>808</v>
      </c>
      <c r="G268" s="7" t="n">
        <v>2019</v>
      </c>
      <c r="H268" s="7" t="s">
        <v>48</v>
      </c>
      <c r="I268" s="7" t="s">
        <v>173</v>
      </c>
      <c r="J268" s="7" t="s">
        <v>37</v>
      </c>
      <c r="K268" s="7" t="n">
        <f aca="false">IFERROR(VALUE(RIGHT(TRIM(F268),4)),"")</f>
        <v>2019</v>
      </c>
      <c r="L268" s="7" t="str">
        <f aca="false">IF(TRIM(E268)="","Unknown",IFERROR(LEFT(TRIM(E268),FIND(",",TRIM(E268))-1),TRIM(E268)))</f>
        <v>United States</v>
      </c>
      <c r="M268" s="7" t="str">
        <f aca="false">IFERROR(LEFT(J268,FIND(",",J268)-1),J268)</f>
        <v>Dramas</v>
      </c>
      <c r="N268" s="7" t="n">
        <f aca="false">IF(B268="Movie",IFERROR(VALUE(LEFT(I268,FIND(" ",I268)-1)),""),"")</f>
        <v>106</v>
      </c>
      <c r="O268" s="7" t="str">
        <f aca="false">IF(B268="TV Show",IFERROR(VALUE(LEFT(I268,FIND(" ",I268)-1)),""),"")</f>
        <v/>
      </c>
      <c r="P268" s="7" t="n">
        <f aca="false">IF(K268="","",K268-G268)</f>
        <v>0</v>
      </c>
    </row>
    <row r="269" customFormat="false" ht="15" hidden="false" customHeight="false" outlineLevel="0" collapsed="false">
      <c r="A269" s="7" t="n">
        <v>81183572</v>
      </c>
      <c r="B269" s="7" t="s">
        <v>68</v>
      </c>
      <c r="C269" s="7" t="s">
        <v>809</v>
      </c>
      <c r="D269" s="7" t="s">
        <v>810</v>
      </c>
      <c r="E269" s="7" t="s">
        <v>26</v>
      </c>
      <c r="F269" s="7" t="s">
        <v>808</v>
      </c>
      <c r="G269" s="7" t="n">
        <v>2019</v>
      </c>
      <c r="H269" s="7" t="s">
        <v>49</v>
      </c>
      <c r="I269" s="7" t="s">
        <v>494</v>
      </c>
      <c r="J269" s="7" t="s">
        <v>811</v>
      </c>
      <c r="K269" s="7" t="n">
        <f aca="false">IFERROR(VALUE(RIGHT(TRIM(F269),4)),"")</f>
        <v>2019</v>
      </c>
      <c r="L269" s="7" t="str">
        <f aca="false">IF(TRIM(E269)="","Unknown",IFERROR(LEFT(TRIM(E269),FIND(",",TRIM(E269))-1),TRIM(E269)))</f>
        <v>United States</v>
      </c>
      <c r="M269" s="7" t="str">
        <f aca="false">IFERROR(LEFT(J269,FIND(",",J269)-1),J269)</f>
        <v>Thrillers</v>
      </c>
      <c r="N269" s="7" t="n">
        <f aca="false">IF(B269="Movie",IFERROR(VALUE(LEFT(I269,FIND(" ",I269)-1)),""),"")</f>
        <v>87</v>
      </c>
      <c r="O269" s="7" t="str">
        <f aca="false">IF(B269="TV Show",IFERROR(VALUE(LEFT(I269,FIND(" ",I269)-1)),""),"")</f>
        <v/>
      </c>
      <c r="P269" s="7" t="n">
        <f aca="false">IF(K269="","",K269-G269)</f>
        <v>0</v>
      </c>
    </row>
    <row r="270" customFormat="false" ht="15" hidden="false" customHeight="false" outlineLevel="0" collapsed="false">
      <c r="A270" s="7" t="n">
        <v>81037283</v>
      </c>
      <c r="B270" s="7" t="s">
        <v>68</v>
      </c>
      <c r="C270" s="7" t="s">
        <v>812</v>
      </c>
      <c r="D270" s="7" t="s">
        <v>813</v>
      </c>
      <c r="E270" s="7" t="s">
        <v>26</v>
      </c>
      <c r="F270" s="7" t="s">
        <v>808</v>
      </c>
      <c r="G270" s="7" t="n">
        <v>2018</v>
      </c>
      <c r="H270" s="7" t="s">
        <v>48</v>
      </c>
      <c r="I270" s="7" t="s">
        <v>73</v>
      </c>
      <c r="J270" s="7" t="s">
        <v>652</v>
      </c>
      <c r="K270" s="7" t="n">
        <f aca="false">IFERROR(VALUE(RIGHT(TRIM(F270),4)),"")</f>
        <v>2019</v>
      </c>
      <c r="L270" s="7" t="str">
        <f aca="false">IF(TRIM(E270)="","Unknown",IFERROR(LEFT(TRIM(E270),FIND(",",TRIM(E270))-1),TRIM(E270)))</f>
        <v>United States</v>
      </c>
      <c r="M270" s="7" t="str">
        <f aca="false">IFERROR(LEFT(J270,FIND(",",J270)-1),J270)</f>
        <v>Horror Movies</v>
      </c>
      <c r="N270" s="7" t="n">
        <f aca="false">IF(B270="Movie",IFERROR(VALUE(LEFT(I270,FIND(" ",I270)-1)),""),"")</f>
        <v>90</v>
      </c>
      <c r="O270" s="7" t="str">
        <f aca="false">IF(B270="TV Show",IFERROR(VALUE(LEFT(I270,FIND(" ",I270)-1)),""),"")</f>
        <v/>
      </c>
      <c r="P270" s="7" t="n">
        <f aca="false">IF(K270="","",K270-G270)</f>
        <v>1</v>
      </c>
    </row>
    <row r="271" customFormat="false" ht="15" hidden="false" customHeight="false" outlineLevel="0" collapsed="false">
      <c r="A271" s="7" t="n">
        <v>80244973</v>
      </c>
      <c r="B271" s="7" t="s">
        <v>68</v>
      </c>
      <c r="C271" s="7" t="s">
        <v>814</v>
      </c>
      <c r="D271" s="7" t="s">
        <v>815</v>
      </c>
      <c r="E271" s="7" t="s">
        <v>26</v>
      </c>
      <c r="F271" s="7" t="s">
        <v>808</v>
      </c>
      <c r="G271" s="7" t="n">
        <v>2019</v>
      </c>
      <c r="H271" s="7" t="s">
        <v>48</v>
      </c>
      <c r="I271" s="7" t="s">
        <v>120</v>
      </c>
      <c r="J271" s="7" t="s">
        <v>39</v>
      </c>
      <c r="K271" s="7" t="n">
        <f aca="false">IFERROR(VALUE(RIGHT(TRIM(F271),4)),"")</f>
        <v>2019</v>
      </c>
      <c r="L271" s="7" t="str">
        <f aca="false">IF(TRIM(E271)="","Unknown",IFERROR(LEFT(TRIM(E271),FIND(",",TRIM(E271))-1),TRIM(E271)))</f>
        <v>United States</v>
      </c>
      <c r="M271" s="7" t="str">
        <f aca="false">IFERROR(LEFT(J271,FIND(",",J271)-1),J271)</f>
        <v>Documentaries</v>
      </c>
      <c r="N271" s="7" t="n">
        <f aca="false">IF(B271="Movie",IFERROR(VALUE(LEFT(I271,FIND(" ",I271)-1)),""),"")</f>
        <v>65</v>
      </c>
      <c r="O271" s="7" t="str">
        <f aca="false">IF(B271="TV Show",IFERROR(VALUE(LEFT(I271,FIND(" ",I271)-1)),""),"")</f>
        <v/>
      </c>
      <c r="P271" s="7" t="n">
        <f aca="false">IF(K271="","",K271-G271)</f>
        <v>0</v>
      </c>
    </row>
    <row r="272" customFormat="false" ht="15" hidden="false" customHeight="false" outlineLevel="0" collapsed="false">
      <c r="A272" s="7" t="n">
        <v>81095103</v>
      </c>
      <c r="B272" s="7" t="s">
        <v>78</v>
      </c>
      <c r="C272" s="7" t="s">
        <v>816</v>
      </c>
      <c r="F272" s="7" t="s">
        <v>808</v>
      </c>
      <c r="G272" s="7" t="n">
        <v>2019</v>
      </c>
      <c r="H272" s="7" t="s">
        <v>48</v>
      </c>
      <c r="I272" s="7" t="s">
        <v>82</v>
      </c>
      <c r="J272" s="7" t="s">
        <v>817</v>
      </c>
      <c r="K272" s="7" t="n">
        <f aca="false">IFERROR(VALUE(RIGHT(TRIM(F272),4)),"")</f>
        <v>2019</v>
      </c>
      <c r="L272" s="7" t="str">
        <f aca="false">IF(TRIM(E272)="","Unknown",IFERROR(LEFT(TRIM(E272),FIND(",",TRIM(E272))-1),TRIM(E272)))</f>
        <v>Unknown</v>
      </c>
      <c r="M272" s="7" t="str">
        <f aca="false">IFERROR(LEFT(J272,FIND(",",J272)-1),J272)</f>
        <v>Anime Series</v>
      </c>
      <c r="N272" s="7" t="str">
        <f aca="false">IF(B272="Movie",IFERROR(VALUE(LEFT(I272,FIND(" ",I272)-1)),""),"")</f>
        <v/>
      </c>
      <c r="O272" s="7" t="n">
        <f aca="false">IF(B272="TV Show",IFERROR(VALUE(LEFT(I272,FIND(" ",I272)-1)),""),"")</f>
        <v>1</v>
      </c>
      <c r="P272" s="7" t="n">
        <f aca="false">IF(K272="","",K272-G272)</f>
        <v>0</v>
      </c>
    </row>
    <row r="273" customFormat="false" ht="15" hidden="false" customHeight="false" outlineLevel="0" collapsed="false">
      <c r="A273" s="7" t="n">
        <v>81132438</v>
      </c>
      <c r="B273" s="7" t="s">
        <v>68</v>
      </c>
      <c r="C273" s="7" t="s">
        <v>818</v>
      </c>
      <c r="D273" s="7" t="s">
        <v>819</v>
      </c>
      <c r="E273" s="7" t="s">
        <v>396</v>
      </c>
      <c r="F273" s="7" t="s">
        <v>808</v>
      </c>
      <c r="G273" s="7" t="n">
        <v>2018</v>
      </c>
      <c r="H273" s="7" t="s">
        <v>49</v>
      </c>
      <c r="I273" s="7" t="s">
        <v>820</v>
      </c>
      <c r="J273" s="7" t="s">
        <v>202</v>
      </c>
      <c r="K273" s="7" t="n">
        <f aca="false">IFERROR(VALUE(RIGHT(TRIM(F273),4)),"")</f>
        <v>2019</v>
      </c>
      <c r="L273" s="7" t="str">
        <f aca="false">IF(TRIM(E273)="","Unknown",IFERROR(LEFT(TRIM(E273),FIND(",",TRIM(E273))-1),TRIM(E273)))</f>
        <v>Turkey</v>
      </c>
      <c r="M273" s="7" t="str">
        <f aca="false">IFERROR(LEFT(J273,FIND(",",J273)-1),J273)</f>
        <v>Comedies</v>
      </c>
      <c r="N273" s="7" t="n">
        <f aca="false">IF(B273="Movie",IFERROR(VALUE(LEFT(I273,FIND(" ",I273)-1)),""),"")</f>
        <v>105</v>
      </c>
      <c r="O273" s="7" t="str">
        <f aca="false">IF(B273="TV Show",IFERROR(VALUE(LEFT(I273,FIND(" ",I273)-1)),""),"")</f>
        <v/>
      </c>
      <c r="P273" s="7" t="n">
        <f aca="false">IF(K273="","",K273-G273)</f>
        <v>1</v>
      </c>
    </row>
    <row r="274" customFormat="false" ht="15" hidden="false" customHeight="false" outlineLevel="0" collapsed="false">
      <c r="A274" s="7" t="n">
        <v>80217779</v>
      </c>
      <c r="B274" s="7" t="s">
        <v>78</v>
      </c>
      <c r="C274" s="7" t="s">
        <v>821</v>
      </c>
      <c r="E274" s="7" t="s">
        <v>31</v>
      </c>
      <c r="F274" s="7" t="s">
        <v>808</v>
      </c>
      <c r="G274" s="7" t="n">
        <v>2019</v>
      </c>
      <c r="H274" s="7" t="s">
        <v>48</v>
      </c>
      <c r="I274" s="7" t="s">
        <v>82</v>
      </c>
      <c r="J274" s="7" t="s">
        <v>822</v>
      </c>
      <c r="K274" s="7" t="n">
        <f aca="false">IFERROR(VALUE(RIGHT(TRIM(F274),4)),"")</f>
        <v>2019</v>
      </c>
      <c r="L274" s="7" t="str">
        <f aca="false">IF(TRIM(E274)="","Unknown",IFERROR(LEFT(TRIM(E274),FIND(",",TRIM(E274))-1),TRIM(E274)))</f>
        <v>France</v>
      </c>
      <c r="M274" s="7" t="str">
        <f aca="false">IFERROR(LEFT(J274,FIND(",",J274)-1),J274)</f>
        <v>International TV Shows</v>
      </c>
      <c r="N274" s="7" t="str">
        <f aca="false">IF(B274="Movie",IFERROR(VALUE(LEFT(I274,FIND(" ",I274)-1)),""),"")</f>
        <v/>
      </c>
      <c r="O274" s="7" t="n">
        <f aca="false">IF(B274="TV Show",IFERROR(VALUE(LEFT(I274,FIND(" ",I274)-1)),""),"")</f>
        <v>1</v>
      </c>
      <c r="P274" s="7" t="n">
        <f aca="false">IF(K274="","",K274-G274)</f>
        <v>0</v>
      </c>
    </row>
    <row r="275" customFormat="false" ht="15" hidden="false" customHeight="false" outlineLevel="0" collapsed="false">
      <c r="A275" s="7" t="n">
        <v>80211572</v>
      </c>
      <c r="B275" s="7" t="s">
        <v>78</v>
      </c>
      <c r="C275" s="7" t="s">
        <v>823</v>
      </c>
      <c r="E275" s="7" t="s">
        <v>34</v>
      </c>
      <c r="F275" s="7" t="s">
        <v>808</v>
      </c>
      <c r="G275" s="7" t="n">
        <v>2019</v>
      </c>
      <c r="H275" s="7" t="s">
        <v>48</v>
      </c>
      <c r="I275" s="7" t="s">
        <v>82</v>
      </c>
      <c r="J275" s="7" t="s">
        <v>824</v>
      </c>
      <c r="K275" s="7" t="n">
        <f aca="false">IFERROR(VALUE(RIGHT(TRIM(F275),4)),"")</f>
        <v>2019</v>
      </c>
      <c r="L275" s="7" t="str">
        <f aca="false">IF(TRIM(E275)="","Unknown",IFERROR(LEFT(TRIM(E275),FIND(",",TRIM(E275))-1),TRIM(E275)))</f>
        <v>Mexico</v>
      </c>
      <c r="M275" s="7" t="str">
        <f aca="false">IFERROR(LEFT(J275,FIND(",",J275)-1),J275)</f>
        <v>International TV Shows</v>
      </c>
      <c r="N275" s="7" t="str">
        <f aca="false">IF(B275="Movie",IFERROR(VALUE(LEFT(I275,FIND(" ",I275)-1)),""),"")</f>
        <v/>
      </c>
      <c r="O275" s="7" t="n">
        <f aca="false">IF(B275="TV Show",IFERROR(VALUE(LEFT(I275,FIND(" ",I275)-1)),""),"")</f>
        <v>1</v>
      </c>
      <c r="P275" s="7" t="n">
        <f aca="false">IF(K275="","",K275-G275)</f>
        <v>0</v>
      </c>
    </row>
    <row r="276" customFormat="false" ht="15" hidden="false" customHeight="false" outlineLevel="0" collapsed="false">
      <c r="A276" s="7" t="n">
        <v>81161230</v>
      </c>
      <c r="B276" s="7" t="s">
        <v>68</v>
      </c>
      <c r="C276" s="7" t="s">
        <v>825</v>
      </c>
      <c r="D276" s="7" t="s">
        <v>826</v>
      </c>
      <c r="E276" s="7" t="s">
        <v>366</v>
      </c>
      <c r="F276" s="7" t="s">
        <v>808</v>
      </c>
      <c r="G276" s="7" t="n">
        <v>2019</v>
      </c>
      <c r="H276" s="7" t="s">
        <v>49</v>
      </c>
      <c r="I276" s="7" t="s">
        <v>294</v>
      </c>
      <c r="J276" s="7" t="s">
        <v>240</v>
      </c>
      <c r="K276" s="7" t="n">
        <f aca="false">IFERROR(VALUE(RIGHT(TRIM(F276),4)),"")</f>
        <v>2019</v>
      </c>
      <c r="L276" s="7" t="str">
        <f aca="false">IF(TRIM(E276)="","Unknown",IFERROR(LEFT(TRIM(E276),FIND(",",TRIM(E276))-1),TRIM(E276)))</f>
        <v>China</v>
      </c>
      <c r="M276" s="7" t="str">
        <f aca="false">IFERROR(LEFT(J276,FIND(",",J276)-1),J276)</f>
        <v>Dramas</v>
      </c>
      <c r="N276" s="7" t="n">
        <f aca="false">IF(B276="Movie",IFERROR(VALUE(LEFT(I276,FIND(" ",I276)-1)),""),"")</f>
        <v>107</v>
      </c>
      <c r="O276" s="7" t="str">
        <f aca="false">IF(B276="TV Show",IFERROR(VALUE(LEFT(I276,FIND(" ",I276)-1)),""),"")</f>
        <v/>
      </c>
      <c r="P276" s="7" t="n">
        <f aca="false">IF(K276="","",K276-G276)</f>
        <v>0</v>
      </c>
    </row>
    <row r="277" customFormat="false" ht="15" hidden="false" customHeight="false" outlineLevel="0" collapsed="false">
      <c r="A277" s="7" t="n">
        <v>81002412</v>
      </c>
      <c r="B277" s="7" t="s">
        <v>68</v>
      </c>
      <c r="C277" s="7" t="s">
        <v>827</v>
      </c>
      <c r="D277" s="7" t="s">
        <v>828</v>
      </c>
      <c r="E277" s="7" t="s">
        <v>26</v>
      </c>
      <c r="F277" s="7" t="s">
        <v>808</v>
      </c>
      <c r="G277" s="7" t="n">
        <v>2019</v>
      </c>
      <c r="H277" s="7" t="s">
        <v>50</v>
      </c>
      <c r="I277" s="7" t="s">
        <v>330</v>
      </c>
      <c r="J277" s="7" t="s">
        <v>829</v>
      </c>
      <c r="K277" s="7" t="n">
        <f aca="false">IFERROR(VALUE(RIGHT(TRIM(F277),4)),"")</f>
        <v>2019</v>
      </c>
      <c r="L277" s="7" t="str">
        <f aca="false">IF(TRIM(E277)="","Unknown",IFERROR(LEFT(TRIM(E277),FIND(",",TRIM(E277))-1),TRIM(E277)))</f>
        <v>United States</v>
      </c>
      <c r="M277" s="7" t="str">
        <f aca="false">IFERROR(LEFT(J277,FIND(",",J277)-1),J277)</f>
        <v>Children &amp; Family Movies</v>
      </c>
      <c r="N277" s="7" t="n">
        <f aca="false">IF(B277="Movie",IFERROR(VALUE(LEFT(I277,FIND(" ",I277)-1)),""),"")</f>
        <v>103</v>
      </c>
      <c r="O277" s="7" t="str">
        <f aca="false">IF(B277="TV Show",IFERROR(VALUE(LEFT(I277,FIND(" ",I277)-1)),""),"")</f>
        <v/>
      </c>
      <c r="P277" s="7" t="n">
        <f aca="false">IF(K277="","",K277-G277)</f>
        <v>0</v>
      </c>
    </row>
    <row r="278" customFormat="false" ht="15" hidden="false" customHeight="false" outlineLevel="0" collapsed="false">
      <c r="A278" s="7" t="n">
        <v>81023636</v>
      </c>
      <c r="B278" s="7" t="s">
        <v>68</v>
      </c>
      <c r="C278" s="7" t="s">
        <v>830</v>
      </c>
      <c r="D278" s="7" t="s">
        <v>831</v>
      </c>
      <c r="E278" s="7" t="s">
        <v>26</v>
      </c>
      <c r="F278" s="7" t="s">
        <v>808</v>
      </c>
      <c r="G278" s="7" t="n">
        <v>2018</v>
      </c>
      <c r="H278" s="7" t="s">
        <v>49</v>
      </c>
      <c r="I278" s="7" t="s">
        <v>264</v>
      </c>
      <c r="J278" s="7" t="s">
        <v>276</v>
      </c>
      <c r="K278" s="7" t="n">
        <f aca="false">IFERROR(VALUE(RIGHT(TRIM(F278),4)),"")</f>
        <v>2019</v>
      </c>
      <c r="L278" s="7" t="str">
        <f aca="false">IF(TRIM(E278)="","Unknown",IFERROR(LEFT(TRIM(E278),FIND(",",TRIM(E278))-1),TRIM(E278)))</f>
        <v>United States</v>
      </c>
      <c r="M278" s="7" t="str">
        <f aca="false">IFERROR(LEFT(J278,FIND(",",J278)-1),J278)</f>
        <v>Action &amp; Adventure</v>
      </c>
      <c r="N278" s="7" t="n">
        <f aca="false">IF(B278="Movie",IFERROR(VALUE(LEFT(I278,FIND(" ",I278)-1)),""),"")</f>
        <v>88</v>
      </c>
      <c r="O278" s="7" t="str">
        <f aca="false">IF(B278="TV Show",IFERROR(VALUE(LEFT(I278,FIND(" ",I278)-1)),""),"")</f>
        <v/>
      </c>
      <c r="P278" s="7" t="n">
        <f aca="false">IF(K278="","",K278-G278)</f>
        <v>1</v>
      </c>
    </row>
    <row r="279" customFormat="false" ht="15" hidden="false" customHeight="false" outlineLevel="0" collapsed="false">
      <c r="A279" s="7" t="n">
        <v>80217669</v>
      </c>
      <c r="B279" s="7" t="s">
        <v>78</v>
      </c>
      <c r="C279" s="7" t="s">
        <v>832</v>
      </c>
      <c r="E279" s="7" t="s">
        <v>28</v>
      </c>
      <c r="F279" s="7" t="s">
        <v>808</v>
      </c>
      <c r="G279" s="7" t="n">
        <v>2019</v>
      </c>
      <c r="H279" s="7" t="s">
        <v>48</v>
      </c>
      <c r="I279" s="7" t="s">
        <v>82</v>
      </c>
      <c r="J279" s="7" t="s">
        <v>563</v>
      </c>
      <c r="K279" s="7" t="n">
        <f aca="false">IFERROR(VALUE(RIGHT(TRIM(F279),4)),"")</f>
        <v>2019</v>
      </c>
      <c r="L279" s="7" t="str">
        <f aca="false">IF(TRIM(E279)="","Unknown",IFERROR(LEFT(TRIM(E279),FIND(",",TRIM(E279))-1),TRIM(E279)))</f>
        <v>United Kingdom</v>
      </c>
      <c r="M279" s="7" t="str">
        <f aca="false">IFERROR(LEFT(J279,FIND(",",J279)-1),J279)</f>
        <v>British TV Shows</v>
      </c>
      <c r="N279" s="7" t="str">
        <f aca="false">IF(B279="Movie",IFERROR(VALUE(LEFT(I279,FIND(" ",I279)-1)),""),"")</f>
        <v/>
      </c>
      <c r="O279" s="7" t="n">
        <f aca="false">IF(B279="TV Show",IFERROR(VALUE(LEFT(I279,FIND(" ",I279)-1)),""),"")</f>
        <v>1</v>
      </c>
      <c r="P279" s="7" t="n">
        <f aca="false">IF(K279="","",K279-G279)</f>
        <v>0</v>
      </c>
    </row>
    <row r="280" customFormat="false" ht="15" hidden="false" customHeight="false" outlineLevel="0" collapsed="false">
      <c r="A280" s="7" t="n">
        <v>80153467</v>
      </c>
      <c r="B280" s="7" t="s">
        <v>78</v>
      </c>
      <c r="C280" s="7" t="s">
        <v>833</v>
      </c>
      <c r="E280" s="7" t="s">
        <v>26</v>
      </c>
      <c r="F280" s="7" t="s">
        <v>808</v>
      </c>
      <c r="G280" s="7" t="n">
        <v>2019</v>
      </c>
      <c r="H280" s="7" t="s">
        <v>48</v>
      </c>
      <c r="I280" s="7" t="s">
        <v>82</v>
      </c>
      <c r="J280" s="7" t="s">
        <v>834</v>
      </c>
      <c r="K280" s="7" t="n">
        <f aca="false">IFERROR(VALUE(RIGHT(TRIM(F280),4)),"")</f>
        <v>2019</v>
      </c>
      <c r="L280" s="7" t="str">
        <f aca="false">IF(TRIM(E280)="","Unknown",IFERROR(LEFT(TRIM(E280),FIND(",",TRIM(E280))-1),TRIM(E280)))</f>
        <v>United States</v>
      </c>
      <c r="M280" s="7" t="str">
        <f aca="false">IFERROR(LEFT(J280,FIND(",",J280)-1),J280)</f>
        <v>Crime TV Shows</v>
      </c>
      <c r="N280" s="7" t="str">
        <f aca="false">IF(B280="Movie",IFERROR(VALUE(LEFT(I280,FIND(" ",I280)-1)),""),"")</f>
        <v/>
      </c>
      <c r="O280" s="7" t="n">
        <f aca="false">IF(B280="TV Show",IFERROR(VALUE(LEFT(I280,FIND(" ",I280)-1)),""),"")</f>
        <v>1</v>
      </c>
      <c r="P280" s="7" t="n">
        <f aca="false">IF(K280="","",K280-G280)</f>
        <v>0</v>
      </c>
    </row>
    <row r="281" customFormat="false" ht="15" hidden="false" customHeight="false" outlineLevel="0" collapsed="false">
      <c r="A281" s="7" t="n">
        <v>80192834</v>
      </c>
      <c r="B281" s="7" t="s">
        <v>68</v>
      </c>
      <c r="C281" s="7" t="s">
        <v>835</v>
      </c>
      <c r="E281" s="7" t="s">
        <v>26</v>
      </c>
      <c r="F281" s="7" t="s">
        <v>836</v>
      </c>
      <c r="G281" s="7" t="n">
        <v>2018</v>
      </c>
      <c r="H281" s="7" t="s">
        <v>49</v>
      </c>
      <c r="I281" s="7" t="s">
        <v>205</v>
      </c>
      <c r="J281" s="7" t="s">
        <v>39</v>
      </c>
      <c r="K281" s="7" t="n">
        <f aca="false">IFERROR(VALUE(RIGHT(TRIM(F281),4)),"")</f>
        <v>2018</v>
      </c>
      <c r="L281" s="7" t="str">
        <f aca="false">IF(TRIM(E281)="","Unknown",IFERROR(LEFT(TRIM(E281),FIND(",",TRIM(E281))-1),TRIM(E281)))</f>
        <v>United States</v>
      </c>
      <c r="M281" s="7" t="str">
        <f aca="false">IFERROR(LEFT(J281,FIND(",",J281)-1),J281)</f>
        <v>Documentaries</v>
      </c>
      <c r="N281" s="7" t="n">
        <f aca="false">IF(B281="Movie",IFERROR(VALUE(LEFT(I281,FIND(" ",I281)-1)),""),"")</f>
        <v>100</v>
      </c>
      <c r="O281" s="7" t="str">
        <f aca="false">IF(B281="TV Show",IFERROR(VALUE(LEFT(I281,FIND(" ",I281)-1)),""),"")</f>
        <v/>
      </c>
      <c r="P281" s="7" t="n">
        <f aca="false">IF(K281="","",K281-G281)</f>
        <v>0</v>
      </c>
    </row>
    <row r="282" customFormat="false" ht="15" hidden="false" customHeight="false" outlineLevel="0" collapsed="false">
      <c r="A282" s="7" t="n">
        <v>80198046</v>
      </c>
      <c r="B282" s="7" t="s">
        <v>68</v>
      </c>
      <c r="C282" s="7" t="s">
        <v>837</v>
      </c>
      <c r="D282" s="7" t="s">
        <v>838</v>
      </c>
      <c r="E282" s="7" t="s">
        <v>26</v>
      </c>
      <c r="F282" s="7" t="s">
        <v>839</v>
      </c>
      <c r="G282" s="7" t="n">
        <v>2017</v>
      </c>
      <c r="H282" s="7" t="s">
        <v>612</v>
      </c>
      <c r="I282" s="7" t="s">
        <v>107</v>
      </c>
      <c r="J282" s="7" t="s">
        <v>39</v>
      </c>
      <c r="K282" s="7" t="n">
        <f aca="false">IFERROR(VALUE(RIGHT(TRIM(F282),4)),"")</f>
        <v>2017</v>
      </c>
      <c r="L282" s="7" t="str">
        <f aca="false">IF(TRIM(E282)="","Unknown",IFERROR(LEFT(TRIM(E282),FIND(",",TRIM(E282))-1),TRIM(E282)))</f>
        <v>United States</v>
      </c>
      <c r="M282" s="7" t="str">
        <f aca="false">IFERROR(LEFT(J282,FIND(",",J282)-1),J282)</f>
        <v>Documentaries</v>
      </c>
      <c r="N282" s="7" t="n">
        <f aca="false">IF(B282="Movie",IFERROR(VALUE(LEFT(I282,FIND(" ",I282)-1)),""),"")</f>
        <v>78</v>
      </c>
      <c r="O282" s="7" t="str">
        <f aca="false">IF(B282="TV Show",IFERROR(VALUE(LEFT(I282,FIND(" ",I282)-1)),""),"")</f>
        <v/>
      </c>
      <c r="P282" s="7" t="n">
        <f aca="false">IF(K282="","",K282-G282)</f>
        <v>0</v>
      </c>
    </row>
    <row r="283" customFormat="false" ht="15" hidden="false" customHeight="false" outlineLevel="0" collapsed="false">
      <c r="A283" s="7" t="n">
        <v>80106307</v>
      </c>
      <c r="B283" s="7" t="s">
        <v>68</v>
      </c>
      <c r="C283" s="7" t="s">
        <v>840</v>
      </c>
      <c r="D283" s="7" t="s">
        <v>841</v>
      </c>
      <c r="E283" s="7" t="s">
        <v>26</v>
      </c>
      <c r="F283" s="7" t="s">
        <v>842</v>
      </c>
      <c r="G283" s="7" t="n">
        <v>2016</v>
      </c>
      <c r="H283" s="7" t="s">
        <v>50</v>
      </c>
      <c r="I283" s="7" t="s">
        <v>843</v>
      </c>
      <c r="J283" s="7" t="s">
        <v>39</v>
      </c>
      <c r="K283" s="7" t="n">
        <f aca="false">IFERROR(VALUE(RIGHT(TRIM(F283),4)),"")</f>
        <v>2016</v>
      </c>
      <c r="L283" s="7" t="str">
        <f aca="false">IF(TRIM(E283)="","Unknown",IFERROR(LEFT(TRIM(E283),FIND(",",TRIM(E283))-1),TRIM(E283)))</f>
        <v>United States</v>
      </c>
      <c r="M283" s="7" t="str">
        <f aca="false">IFERROR(LEFT(J283,FIND(",",J283)-1),J283)</f>
        <v>Documentaries</v>
      </c>
      <c r="N283" s="7" t="n">
        <f aca="false">IF(B283="Movie",IFERROR(VALUE(LEFT(I283,FIND(" ",I283)-1)),""),"")</f>
        <v>25</v>
      </c>
      <c r="O283" s="7" t="str">
        <f aca="false">IF(B283="TV Show",IFERROR(VALUE(LEFT(I283,FIND(" ",I283)-1)),""),"")</f>
        <v/>
      </c>
      <c r="P283" s="7" t="n">
        <f aca="false">IF(K283="","",K283-G283)</f>
        <v>0</v>
      </c>
    </row>
    <row r="284" customFormat="false" ht="15" hidden="false" customHeight="false" outlineLevel="0" collapsed="false">
      <c r="A284" s="7" t="n">
        <v>80993062</v>
      </c>
      <c r="B284" s="7" t="s">
        <v>78</v>
      </c>
      <c r="C284" s="7" t="s">
        <v>844</v>
      </c>
      <c r="E284" s="7" t="s">
        <v>26</v>
      </c>
      <c r="F284" s="7" t="s">
        <v>845</v>
      </c>
      <c r="G284" s="7" t="n">
        <v>2019</v>
      </c>
      <c r="H284" s="7" t="s">
        <v>48</v>
      </c>
      <c r="I284" s="7" t="s">
        <v>82</v>
      </c>
      <c r="J284" s="7" t="s">
        <v>846</v>
      </c>
      <c r="K284" s="7" t="n">
        <f aca="false">IFERROR(VALUE(RIGHT(TRIM(F284),4)),"")</f>
        <v>2019</v>
      </c>
      <c r="L284" s="7" t="str">
        <f aca="false">IF(TRIM(E284)="","Unknown",IFERROR(LEFT(TRIM(E284),FIND(",",TRIM(E284))-1),TRIM(E284)))</f>
        <v>United States</v>
      </c>
      <c r="M284" s="7" t="str">
        <f aca="false">IFERROR(LEFT(J284,FIND(",",J284)-1),J284)</f>
        <v>TV Action &amp; Adventure</v>
      </c>
      <c r="N284" s="7" t="str">
        <f aca="false">IF(B284="Movie",IFERROR(VALUE(LEFT(I284,FIND(" ",I284)-1)),""),"")</f>
        <v/>
      </c>
      <c r="O284" s="7" t="n">
        <f aca="false">IF(B284="TV Show",IFERROR(VALUE(LEFT(I284,FIND(" ",I284)-1)),""),"")</f>
        <v>1</v>
      </c>
      <c r="P284" s="7" t="n">
        <f aca="false">IF(K284="","",K284-G284)</f>
        <v>0</v>
      </c>
    </row>
    <row r="285" customFormat="false" ht="15" hidden="false" customHeight="false" outlineLevel="0" collapsed="false">
      <c r="A285" s="7" t="n">
        <v>81098586</v>
      </c>
      <c r="B285" s="7" t="s">
        <v>78</v>
      </c>
      <c r="C285" s="7" t="s">
        <v>847</v>
      </c>
      <c r="E285" s="7" t="s">
        <v>26</v>
      </c>
      <c r="F285" s="7" t="s">
        <v>845</v>
      </c>
      <c r="G285" s="7" t="n">
        <v>2019</v>
      </c>
      <c r="H285" s="7" t="s">
        <v>49</v>
      </c>
      <c r="I285" s="7" t="s">
        <v>82</v>
      </c>
      <c r="J285" s="7" t="s">
        <v>100</v>
      </c>
      <c r="K285" s="7" t="n">
        <f aca="false">IFERROR(VALUE(RIGHT(TRIM(F285),4)),"")</f>
        <v>2019</v>
      </c>
      <c r="L285" s="7" t="str">
        <f aca="false">IF(TRIM(E285)="","Unknown",IFERROR(LEFT(TRIM(E285),FIND(",",TRIM(E285))-1),TRIM(E285)))</f>
        <v>United States</v>
      </c>
      <c r="M285" s="7" t="str">
        <f aca="false">IFERROR(LEFT(J285,FIND(",",J285)-1),J285)</f>
        <v>Docuseries</v>
      </c>
      <c r="N285" s="7" t="str">
        <f aca="false">IF(B285="Movie",IFERROR(VALUE(LEFT(I285,FIND(" ",I285)-1)),""),"")</f>
        <v/>
      </c>
      <c r="O285" s="7" t="n">
        <f aca="false">IF(B285="TV Show",IFERROR(VALUE(LEFT(I285,FIND(" ",I285)-1)),""),"")</f>
        <v>1</v>
      </c>
      <c r="P285" s="7" t="n">
        <f aca="false">IF(K285="","",K285-G285)</f>
        <v>0</v>
      </c>
    </row>
    <row r="286" customFormat="false" ht="15" hidden="false" customHeight="false" outlineLevel="0" collapsed="false">
      <c r="A286" s="7" t="n">
        <v>70267728</v>
      </c>
      <c r="B286" s="7" t="s">
        <v>68</v>
      </c>
      <c r="C286" s="7" t="s">
        <v>848</v>
      </c>
      <c r="D286" s="7" t="s">
        <v>849</v>
      </c>
      <c r="E286" s="7" t="s">
        <v>26</v>
      </c>
      <c r="F286" s="7" t="s">
        <v>845</v>
      </c>
      <c r="G286" s="7" t="n">
        <v>2013</v>
      </c>
      <c r="H286" s="7" t="s">
        <v>54</v>
      </c>
      <c r="I286" s="7" t="s">
        <v>138</v>
      </c>
      <c r="J286" s="7" t="s">
        <v>74</v>
      </c>
      <c r="K286" s="7" t="n">
        <f aca="false">IFERROR(VALUE(RIGHT(TRIM(F286),4)),"")</f>
        <v>2019</v>
      </c>
      <c r="L286" s="7" t="str">
        <f aca="false">IF(TRIM(E286)="","Unknown",IFERROR(LEFT(TRIM(E286),FIND(",",TRIM(E286))-1),TRIM(E286)))</f>
        <v>United States</v>
      </c>
      <c r="M286" s="7" t="str">
        <f aca="false">IFERROR(LEFT(J286,FIND(",",J286)-1),J286)</f>
        <v>Children &amp; Family Movies</v>
      </c>
      <c r="N286" s="7" t="n">
        <f aca="false">IF(B286="Movie",IFERROR(VALUE(LEFT(I286,FIND(" ",I286)-1)),""),"")</f>
        <v>96</v>
      </c>
      <c r="O286" s="7" t="str">
        <f aca="false">IF(B286="TV Show",IFERROR(VALUE(LEFT(I286,FIND(" ",I286)-1)),""),"")</f>
        <v/>
      </c>
      <c r="P286" s="7" t="n">
        <f aca="false">IF(K286="","",K286-G286)</f>
        <v>6</v>
      </c>
    </row>
    <row r="287" customFormat="false" ht="15" hidden="false" customHeight="false" outlineLevel="0" collapsed="false">
      <c r="A287" s="7" t="n">
        <v>81011508</v>
      </c>
      <c r="B287" s="7" t="s">
        <v>78</v>
      </c>
      <c r="C287" s="7" t="s">
        <v>850</v>
      </c>
      <c r="E287" s="7" t="s">
        <v>32</v>
      </c>
      <c r="F287" s="7" t="s">
        <v>851</v>
      </c>
      <c r="G287" s="7" t="n">
        <v>2018</v>
      </c>
      <c r="H287" s="7" t="s">
        <v>48</v>
      </c>
      <c r="I287" s="7" t="s">
        <v>82</v>
      </c>
      <c r="J287" s="7" t="s">
        <v>852</v>
      </c>
      <c r="K287" s="7" t="n">
        <f aca="false">IFERROR(VALUE(RIGHT(TRIM(F287),4)),"")</f>
        <v>2018</v>
      </c>
      <c r="L287" s="7" t="str">
        <f aca="false">IF(TRIM(E287)="","Unknown",IFERROR(LEFT(TRIM(E287),FIND(",",TRIM(E287))-1),TRIM(E287)))</f>
        <v>South Korea</v>
      </c>
      <c r="M287" s="7" t="str">
        <f aca="false">IFERROR(LEFT(J287,FIND(",",J287)-1),J287)</f>
        <v>International TV Shows</v>
      </c>
      <c r="N287" s="7" t="str">
        <f aca="false">IF(B287="Movie",IFERROR(VALUE(LEFT(I287,FIND(" ",I287)-1)),""),"")</f>
        <v/>
      </c>
      <c r="O287" s="7" t="n">
        <f aca="false">IF(B287="TV Show",IFERROR(VALUE(LEFT(I287,FIND(" ",I287)-1)),""),"")</f>
        <v>1</v>
      </c>
      <c r="P287" s="7" t="n">
        <f aca="false">IF(K287="","",K287-G287)</f>
        <v>0</v>
      </c>
    </row>
    <row r="288" customFormat="false" ht="15" hidden="false" customHeight="false" outlineLevel="0" collapsed="false">
      <c r="A288" s="7" t="n">
        <v>81001000</v>
      </c>
      <c r="B288" s="7" t="s">
        <v>68</v>
      </c>
      <c r="C288" s="7" t="s">
        <v>853</v>
      </c>
      <c r="D288" s="7" t="s">
        <v>854</v>
      </c>
      <c r="E288" s="7" t="s">
        <v>855</v>
      </c>
      <c r="F288" s="7" t="s">
        <v>851</v>
      </c>
      <c r="G288" s="7" t="n">
        <v>2018</v>
      </c>
      <c r="H288" s="7" t="s">
        <v>48</v>
      </c>
      <c r="I288" s="7" t="s">
        <v>205</v>
      </c>
      <c r="J288" s="7" t="s">
        <v>304</v>
      </c>
      <c r="K288" s="7" t="n">
        <f aca="false">IFERROR(VALUE(RIGHT(TRIM(F288),4)),"")</f>
        <v>2018</v>
      </c>
      <c r="L288" s="7" t="str">
        <f aca="false">IF(TRIM(E288)="","Unknown",IFERROR(LEFT(TRIM(E288),FIND(",",TRIM(E288))-1),TRIM(E288)))</f>
        <v>Italy</v>
      </c>
      <c r="M288" s="7" t="str">
        <f aca="false">IFERROR(LEFT(J288,FIND(",",J288)-1),J288)</f>
        <v>Dramas</v>
      </c>
      <c r="N288" s="7" t="n">
        <f aca="false">IF(B288="Movie",IFERROR(VALUE(LEFT(I288,FIND(" ",I288)-1)),""),"")</f>
        <v>100</v>
      </c>
      <c r="O288" s="7" t="str">
        <f aca="false">IF(B288="TV Show",IFERROR(VALUE(LEFT(I288,FIND(" ",I288)-1)),""),"")</f>
        <v/>
      </c>
      <c r="P288" s="7" t="n">
        <f aca="false">IF(K288="","",K288-G288)</f>
        <v>0</v>
      </c>
    </row>
    <row r="289" customFormat="false" ht="15" hidden="false" customHeight="false" outlineLevel="0" collapsed="false">
      <c r="A289" s="7" t="n">
        <v>80192445</v>
      </c>
      <c r="B289" s="7" t="s">
        <v>68</v>
      </c>
      <c r="C289" s="7" t="s">
        <v>856</v>
      </c>
      <c r="D289" s="7" t="s">
        <v>857</v>
      </c>
      <c r="E289" s="7" t="s">
        <v>26</v>
      </c>
      <c r="F289" s="7" t="s">
        <v>858</v>
      </c>
      <c r="G289" s="7" t="n">
        <v>2017</v>
      </c>
      <c r="H289" s="7" t="s">
        <v>49</v>
      </c>
      <c r="I289" s="7" t="s">
        <v>333</v>
      </c>
      <c r="J289" s="7" t="s">
        <v>39</v>
      </c>
      <c r="K289" s="7" t="n">
        <f aca="false">IFERROR(VALUE(RIGHT(TRIM(F289),4)),"")</f>
        <v>2017</v>
      </c>
      <c r="L289" s="7" t="str">
        <f aca="false">IF(TRIM(E289)="","Unknown",IFERROR(LEFT(TRIM(E289),FIND(",",TRIM(E289))-1),TRIM(E289)))</f>
        <v>United States</v>
      </c>
      <c r="M289" s="7" t="str">
        <f aca="false">IFERROR(LEFT(J289,FIND(",",J289)-1),J289)</f>
        <v>Documentaries</v>
      </c>
      <c r="N289" s="7" t="n">
        <f aca="false">IF(B289="Movie",IFERROR(VALUE(LEFT(I289,FIND(" ",I289)-1)),""),"")</f>
        <v>40</v>
      </c>
      <c r="O289" s="7" t="str">
        <f aca="false">IF(B289="TV Show",IFERROR(VALUE(LEFT(I289,FIND(" ",I289)-1)),""),"")</f>
        <v/>
      </c>
      <c r="P289" s="7" t="n">
        <f aca="false">IF(K289="","",K289-G289)</f>
        <v>0</v>
      </c>
    </row>
    <row r="290" customFormat="false" ht="15" hidden="false" customHeight="false" outlineLevel="0" collapsed="false">
      <c r="A290" s="7" t="n">
        <v>80158670</v>
      </c>
      <c r="B290" s="7" t="s">
        <v>68</v>
      </c>
      <c r="C290" s="7" t="s">
        <v>859</v>
      </c>
      <c r="D290" s="7" t="s">
        <v>860</v>
      </c>
      <c r="E290" s="7" t="s">
        <v>26</v>
      </c>
      <c r="F290" s="7" t="s">
        <v>858</v>
      </c>
      <c r="G290" s="7" t="n">
        <v>2017</v>
      </c>
      <c r="H290" s="7" t="s">
        <v>48</v>
      </c>
      <c r="I290" s="7" t="s">
        <v>861</v>
      </c>
      <c r="J290" s="7" t="s">
        <v>45</v>
      </c>
      <c r="K290" s="7" t="n">
        <f aca="false">IFERROR(VALUE(RIGHT(TRIM(F290),4)),"")</f>
        <v>2017</v>
      </c>
      <c r="L290" s="7" t="str">
        <f aca="false">IF(TRIM(E290)="","Unknown",IFERROR(LEFT(TRIM(E290),FIND(",",TRIM(E290))-1),TRIM(E290)))</f>
        <v>United States</v>
      </c>
      <c r="M290" s="7" t="str">
        <f aca="false">IFERROR(LEFT(J290,FIND(",",J290)-1),J290)</f>
        <v>Stand-Up Comedy</v>
      </c>
      <c r="N290" s="7" t="n">
        <f aca="false">IF(B290="Movie",IFERROR(VALUE(LEFT(I290,FIND(" ",I290)-1)),""),"")</f>
        <v>71</v>
      </c>
      <c r="O290" s="7" t="str">
        <f aca="false">IF(B290="TV Show",IFERROR(VALUE(LEFT(I290,FIND(" ",I290)-1)),""),"")</f>
        <v/>
      </c>
      <c r="P290" s="7" t="n">
        <f aca="false">IF(K290="","",K290-G290)</f>
        <v>0</v>
      </c>
    </row>
    <row r="291" customFormat="false" ht="15" hidden="false" customHeight="false" outlineLevel="0" collapsed="false">
      <c r="A291" s="7" t="n">
        <v>80223685</v>
      </c>
      <c r="B291" s="7" t="s">
        <v>78</v>
      </c>
      <c r="C291" s="7" t="s">
        <v>862</v>
      </c>
      <c r="E291" s="7" t="s">
        <v>26</v>
      </c>
      <c r="F291" s="7" t="s">
        <v>863</v>
      </c>
      <c r="G291" s="7" t="n">
        <v>2018</v>
      </c>
      <c r="H291" s="7" t="s">
        <v>48</v>
      </c>
      <c r="I291" s="7" t="s">
        <v>82</v>
      </c>
      <c r="J291" s="7" t="s">
        <v>795</v>
      </c>
      <c r="K291" s="7" t="n">
        <f aca="false">IFERROR(VALUE(RIGHT(TRIM(F291),4)),"")</f>
        <v>2018</v>
      </c>
      <c r="L291" s="7" t="str">
        <f aca="false">IF(TRIM(E291)="","Unknown",IFERROR(LEFT(TRIM(E291),FIND(",",TRIM(E291))-1),TRIM(E291)))</f>
        <v>United States</v>
      </c>
      <c r="M291" s="7" t="str">
        <f aca="false">IFERROR(LEFT(J291,FIND(",",J291)-1),J291)</f>
        <v>Stand-Up Comedy &amp; Talk Shows</v>
      </c>
      <c r="N291" s="7" t="str">
        <f aca="false">IF(B291="Movie",IFERROR(VALUE(LEFT(I291,FIND(" ",I291)-1)),""),"")</f>
        <v/>
      </c>
      <c r="O291" s="7" t="n">
        <f aca="false">IF(B291="TV Show",IFERROR(VALUE(LEFT(I291,FIND(" ",I291)-1)),""),"")</f>
        <v>1</v>
      </c>
      <c r="P291" s="7" t="n">
        <f aca="false">IF(K291="","",K291-G291)</f>
        <v>0</v>
      </c>
    </row>
    <row r="292" customFormat="false" ht="15" hidden="false" customHeight="false" outlineLevel="0" collapsed="false">
      <c r="A292" s="7" t="n">
        <v>80189586</v>
      </c>
      <c r="B292" s="7" t="s">
        <v>78</v>
      </c>
      <c r="C292" s="7" t="s">
        <v>864</v>
      </c>
      <c r="F292" s="7" t="s">
        <v>863</v>
      </c>
      <c r="G292" s="7" t="n">
        <v>2018</v>
      </c>
      <c r="H292" s="7" t="s">
        <v>119</v>
      </c>
      <c r="I292" s="7" t="s">
        <v>82</v>
      </c>
      <c r="J292" s="7" t="s">
        <v>865</v>
      </c>
      <c r="K292" s="7" t="n">
        <f aca="false">IFERROR(VALUE(RIGHT(TRIM(F292),4)),"")</f>
        <v>2018</v>
      </c>
      <c r="L292" s="7" t="str">
        <f aca="false">IF(TRIM(E292)="","Unknown",IFERROR(LEFT(TRIM(E292),FIND(",",TRIM(E292))-1),TRIM(E292)))</f>
        <v>Unknown</v>
      </c>
      <c r="M292" s="7" t="str">
        <f aca="false">IFERROR(LEFT(J292,FIND(",",J292)-1),J292)</f>
        <v>Docuseries</v>
      </c>
      <c r="N292" s="7" t="str">
        <f aca="false">IF(B292="Movie",IFERROR(VALUE(LEFT(I292,FIND(" ",I292)-1)),""),"")</f>
        <v/>
      </c>
      <c r="O292" s="7" t="n">
        <f aca="false">IF(B292="TV Show",IFERROR(VALUE(LEFT(I292,FIND(" ",I292)-1)),""),"")</f>
        <v>1</v>
      </c>
      <c r="P292" s="7" t="n">
        <f aca="false">IF(K292="","",K292-G292)</f>
        <v>0</v>
      </c>
    </row>
    <row r="293" customFormat="false" ht="15" hidden="false" customHeight="false" outlineLevel="0" collapsed="false">
      <c r="A293" s="7" t="n">
        <v>80244019</v>
      </c>
      <c r="B293" s="7" t="s">
        <v>68</v>
      </c>
      <c r="C293" s="7" t="s">
        <v>866</v>
      </c>
      <c r="D293" s="7" t="s">
        <v>867</v>
      </c>
      <c r="E293" s="7" t="s">
        <v>868</v>
      </c>
      <c r="F293" s="7" t="s">
        <v>863</v>
      </c>
      <c r="G293" s="7" t="n">
        <v>2018</v>
      </c>
      <c r="H293" s="7" t="s">
        <v>48</v>
      </c>
      <c r="I293" s="7" t="s">
        <v>869</v>
      </c>
      <c r="J293" s="7" t="s">
        <v>304</v>
      </c>
      <c r="K293" s="7" t="n">
        <f aca="false">IFERROR(VALUE(RIGHT(TRIM(F293),4)),"")</f>
        <v>2018</v>
      </c>
      <c r="L293" s="7" t="str">
        <f aca="false">IF(TRIM(E293)="","Unknown",IFERROR(LEFT(TRIM(E293),FIND(",",TRIM(E293))-1),TRIM(E293)))</f>
        <v>Netherlands</v>
      </c>
      <c r="M293" s="7" t="str">
        <f aca="false">IFERROR(LEFT(J293,FIND(",",J293)-1),J293)</f>
        <v>Dramas</v>
      </c>
      <c r="N293" s="7" t="n">
        <f aca="false">IF(B293="Movie",IFERROR(VALUE(LEFT(I293,FIND(" ",I293)-1)),""),"")</f>
        <v>123</v>
      </c>
      <c r="O293" s="7" t="str">
        <f aca="false">IF(B293="TV Show",IFERROR(VALUE(LEFT(I293,FIND(" ",I293)-1)),""),"")</f>
        <v/>
      </c>
      <c r="P293" s="7" t="n">
        <f aca="false">IF(K293="","",K293-G293)</f>
        <v>0</v>
      </c>
    </row>
    <row r="294" customFormat="false" ht="15" hidden="false" customHeight="false" outlineLevel="0" collapsed="false">
      <c r="A294" s="7" t="n">
        <v>80162143</v>
      </c>
      <c r="B294" s="7" t="s">
        <v>68</v>
      </c>
      <c r="C294" s="7" t="s">
        <v>870</v>
      </c>
      <c r="D294" s="7" t="s">
        <v>871</v>
      </c>
      <c r="E294" s="7" t="s">
        <v>28</v>
      </c>
      <c r="F294" s="7" t="s">
        <v>872</v>
      </c>
      <c r="G294" s="7" t="n">
        <v>2014</v>
      </c>
      <c r="H294" s="7" t="s">
        <v>48</v>
      </c>
      <c r="I294" s="7" t="s">
        <v>357</v>
      </c>
      <c r="J294" s="7" t="s">
        <v>265</v>
      </c>
      <c r="K294" s="7" t="n">
        <f aca="false">IFERROR(VALUE(RIGHT(TRIM(F294),4)),"")</f>
        <v>2017</v>
      </c>
      <c r="L294" s="7" t="str">
        <f aca="false">IF(TRIM(E294)="","Unknown",IFERROR(LEFT(TRIM(E294),FIND(",",TRIM(E294))-1),TRIM(E294)))</f>
        <v>United Kingdom</v>
      </c>
      <c r="M294" s="7" t="str">
        <f aca="false">IFERROR(LEFT(J294,FIND(",",J294)-1),J294)</f>
        <v>Horror Movies</v>
      </c>
      <c r="N294" s="7" t="n">
        <f aca="false">IF(B294="Movie",IFERROR(VALUE(LEFT(I294,FIND(" ",I294)-1)),""),"")</f>
        <v>89</v>
      </c>
      <c r="O294" s="7" t="str">
        <f aca="false">IF(B294="TV Show",IFERROR(VALUE(LEFT(I294,FIND(" ",I294)-1)),""),"")</f>
        <v/>
      </c>
      <c r="P294" s="7" t="n">
        <f aca="false">IF(K294="","",K294-G294)</f>
        <v>3</v>
      </c>
    </row>
    <row r="295" customFormat="false" ht="15" hidden="false" customHeight="false" outlineLevel="0" collapsed="false">
      <c r="A295" s="7" t="n">
        <v>81060174</v>
      </c>
      <c r="B295" s="7" t="s">
        <v>68</v>
      </c>
      <c r="C295" s="7" t="s">
        <v>873</v>
      </c>
      <c r="D295" s="7" t="s">
        <v>874</v>
      </c>
      <c r="E295" s="7" t="s">
        <v>293</v>
      </c>
      <c r="F295" s="7" t="s">
        <v>875</v>
      </c>
      <c r="G295" s="7" t="n">
        <v>2019</v>
      </c>
      <c r="H295" s="7" t="s">
        <v>48</v>
      </c>
      <c r="I295" s="7" t="s">
        <v>876</v>
      </c>
      <c r="J295" s="7" t="s">
        <v>45</v>
      </c>
      <c r="K295" s="7" t="n">
        <f aca="false">IFERROR(VALUE(RIGHT(TRIM(F295),4)),"")</f>
        <v>2019</v>
      </c>
      <c r="L295" s="7" t="str">
        <f aca="false">IF(TRIM(E295)="","Unknown",IFERROR(LEFT(TRIM(E295),FIND(",",TRIM(E295))-1),TRIM(E295)))</f>
        <v>United States</v>
      </c>
      <c r="M295" s="7" t="str">
        <f aca="false">IFERROR(LEFT(J295,FIND(",",J295)-1),J295)</f>
        <v>Stand-Up Comedy</v>
      </c>
      <c r="N295" s="7" t="n">
        <f aca="false">IF(B295="Movie",IFERROR(VALUE(LEFT(I295,FIND(" ",I295)-1)),""),"")</f>
        <v>67</v>
      </c>
      <c r="O295" s="7" t="str">
        <f aca="false">IF(B295="TV Show",IFERROR(VALUE(LEFT(I295,FIND(" ",I295)-1)),""),"")</f>
        <v/>
      </c>
      <c r="P295" s="7" t="n">
        <f aca="false">IF(K295="","",K295-G295)</f>
        <v>0</v>
      </c>
    </row>
    <row r="296" customFormat="false" ht="15" hidden="false" customHeight="false" outlineLevel="0" collapsed="false">
      <c r="A296" s="7" t="n">
        <v>70130445</v>
      </c>
      <c r="B296" s="7" t="s">
        <v>68</v>
      </c>
      <c r="C296" s="7" t="s">
        <v>877</v>
      </c>
      <c r="D296" s="7" t="s">
        <v>878</v>
      </c>
      <c r="E296" s="7" t="s">
        <v>26</v>
      </c>
      <c r="F296" s="7" t="s">
        <v>875</v>
      </c>
      <c r="G296" s="7" t="n">
        <v>2010</v>
      </c>
      <c r="H296" s="7" t="s">
        <v>52</v>
      </c>
      <c r="I296" s="7" t="s">
        <v>879</v>
      </c>
      <c r="J296" s="7" t="s">
        <v>269</v>
      </c>
      <c r="K296" s="7" t="n">
        <f aca="false">IFERROR(VALUE(RIGHT(TRIM(F296),4)),"")</f>
        <v>2019</v>
      </c>
      <c r="L296" s="7" t="str">
        <f aca="false">IF(TRIM(E296)="","Unknown",IFERROR(LEFT(TRIM(E296),FIND(",",TRIM(E296))-1),TRIM(E296)))</f>
        <v>United States</v>
      </c>
      <c r="M296" s="7" t="str">
        <f aca="false">IFERROR(LEFT(J296,FIND(",",J296)-1),J296)</f>
        <v>Dramas</v>
      </c>
      <c r="N296" s="7" t="n">
        <f aca="false">IF(B296="Movie",IFERROR(VALUE(LEFT(I296,FIND(" ",I296)-1)),""),"")</f>
        <v>140</v>
      </c>
      <c r="O296" s="7" t="str">
        <f aca="false">IF(B296="TV Show",IFERROR(VALUE(LEFT(I296,FIND(" ",I296)-1)),""),"")</f>
        <v/>
      </c>
      <c r="P296" s="7" t="n">
        <f aca="false">IF(K296="","",K296-G296)</f>
        <v>9</v>
      </c>
    </row>
    <row r="297" customFormat="false" ht="15" hidden="false" customHeight="false" outlineLevel="0" collapsed="false">
      <c r="A297" s="7" t="n">
        <v>80216928</v>
      </c>
      <c r="B297" s="7" t="s">
        <v>68</v>
      </c>
      <c r="C297" s="7" t="s">
        <v>880</v>
      </c>
      <c r="D297" s="7" t="s">
        <v>688</v>
      </c>
      <c r="F297" s="7" t="s">
        <v>875</v>
      </c>
      <c r="G297" s="7" t="n">
        <v>2019</v>
      </c>
      <c r="H297" s="7" t="s">
        <v>48</v>
      </c>
      <c r="I297" s="7" t="s">
        <v>138</v>
      </c>
      <c r="J297" s="7" t="s">
        <v>341</v>
      </c>
      <c r="K297" s="7" t="n">
        <f aca="false">IFERROR(VALUE(RIGHT(TRIM(F297),4)),"")</f>
        <v>2019</v>
      </c>
      <c r="L297" s="7" t="str">
        <f aca="false">IF(TRIM(E297)="","Unknown",IFERROR(LEFT(TRIM(E297),FIND(",",TRIM(E297))-1),TRIM(E297)))</f>
        <v>Unknown</v>
      </c>
      <c r="M297" s="7" t="str">
        <f aca="false">IFERROR(LEFT(J297,FIND(",",J297)-1),J297)</f>
        <v>Documentaries</v>
      </c>
      <c r="N297" s="7" t="n">
        <f aca="false">IF(B297="Movie",IFERROR(VALUE(LEFT(I297,FIND(" ",I297)-1)),""),"")</f>
        <v>96</v>
      </c>
      <c r="O297" s="7" t="str">
        <f aca="false">IF(B297="TV Show",IFERROR(VALUE(LEFT(I297,FIND(" ",I297)-1)),""),"")</f>
        <v/>
      </c>
      <c r="P297" s="7" t="n">
        <f aca="false">IF(K297="","",K297-G297)</f>
        <v>0</v>
      </c>
    </row>
    <row r="298" customFormat="false" ht="15" hidden="false" customHeight="false" outlineLevel="0" collapsed="false">
      <c r="A298" s="7" t="n">
        <v>81001494</v>
      </c>
      <c r="B298" s="7" t="s">
        <v>68</v>
      </c>
      <c r="C298" s="7" t="s">
        <v>881</v>
      </c>
      <c r="D298" s="7" t="s">
        <v>882</v>
      </c>
      <c r="E298" s="7" t="s">
        <v>28</v>
      </c>
      <c r="F298" s="7" t="s">
        <v>875</v>
      </c>
      <c r="G298" s="7" t="n">
        <v>2019</v>
      </c>
      <c r="H298" s="7" t="s">
        <v>48</v>
      </c>
      <c r="I298" s="7" t="s">
        <v>272</v>
      </c>
      <c r="J298" s="7" t="s">
        <v>341</v>
      </c>
      <c r="K298" s="7" t="n">
        <f aca="false">IFERROR(VALUE(RIGHT(TRIM(F298),4)),"")</f>
        <v>2019</v>
      </c>
      <c r="L298" s="7" t="str">
        <f aca="false">IF(TRIM(E298)="","Unknown",IFERROR(LEFT(TRIM(E298),FIND(",",TRIM(E298))-1),TRIM(E298)))</f>
        <v>United Kingdom</v>
      </c>
      <c r="M298" s="7" t="str">
        <f aca="false">IFERROR(LEFT(J298,FIND(",",J298)-1),J298)</f>
        <v>Documentaries</v>
      </c>
      <c r="N298" s="7" t="n">
        <f aca="false">IF(B298="Movie",IFERROR(VALUE(LEFT(I298,FIND(" ",I298)-1)),""),"")</f>
        <v>93</v>
      </c>
      <c r="O298" s="7" t="str">
        <f aca="false">IF(B298="TV Show",IFERROR(VALUE(LEFT(I298,FIND(" ",I298)-1)),""),"")</f>
        <v/>
      </c>
      <c r="P298" s="7" t="n">
        <f aca="false">IF(K298="","",K298-G298)</f>
        <v>0</v>
      </c>
    </row>
    <row r="299" customFormat="false" ht="15" hidden="false" customHeight="false" outlineLevel="0" collapsed="false">
      <c r="A299" s="7" t="n">
        <v>81077065</v>
      </c>
      <c r="B299" s="7" t="s">
        <v>78</v>
      </c>
      <c r="C299" s="7" t="s">
        <v>883</v>
      </c>
      <c r="F299" s="7" t="s">
        <v>875</v>
      </c>
      <c r="G299" s="7" t="n">
        <v>2019</v>
      </c>
      <c r="H299" s="7" t="s">
        <v>48</v>
      </c>
      <c r="I299" s="7" t="s">
        <v>82</v>
      </c>
      <c r="J299" s="7" t="s">
        <v>884</v>
      </c>
      <c r="K299" s="7" t="n">
        <f aca="false">IFERROR(VALUE(RIGHT(TRIM(F299),4)),"")</f>
        <v>2019</v>
      </c>
      <c r="L299" s="7" t="str">
        <f aca="false">IF(TRIM(E299)="","Unknown",IFERROR(LEFT(TRIM(E299),FIND(",",TRIM(E299))-1),TRIM(E299)))</f>
        <v>Unknown</v>
      </c>
      <c r="M299" s="7" t="str">
        <f aca="false">IFERROR(LEFT(J299,FIND(",",J299)-1),J299)</f>
        <v>International TV Shows</v>
      </c>
      <c r="N299" s="7" t="str">
        <f aca="false">IF(B299="Movie",IFERROR(VALUE(LEFT(I299,FIND(" ",I299)-1)),""),"")</f>
        <v/>
      </c>
      <c r="O299" s="7" t="n">
        <f aca="false">IF(B299="TV Show",IFERROR(VALUE(LEFT(I299,FIND(" ",I299)-1)),""),"")</f>
        <v>1</v>
      </c>
      <c r="P299" s="7" t="n">
        <f aca="false">IF(K299="","",K299-G299)</f>
        <v>0</v>
      </c>
    </row>
    <row r="300" customFormat="false" ht="15" hidden="false" customHeight="false" outlineLevel="0" collapsed="false">
      <c r="A300" s="7" t="n">
        <v>80991570</v>
      </c>
      <c r="B300" s="7" t="s">
        <v>68</v>
      </c>
      <c r="C300" s="7" t="s">
        <v>885</v>
      </c>
      <c r="D300" s="7" t="s">
        <v>886</v>
      </c>
      <c r="E300" s="7" t="s">
        <v>26</v>
      </c>
      <c r="F300" s="7" t="s">
        <v>887</v>
      </c>
      <c r="G300" s="7" t="n">
        <v>2018</v>
      </c>
      <c r="H300" s="7" t="s">
        <v>49</v>
      </c>
      <c r="I300" s="7" t="s">
        <v>212</v>
      </c>
      <c r="J300" s="7" t="s">
        <v>811</v>
      </c>
      <c r="K300" s="7" t="n">
        <f aca="false">IFERROR(VALUE(RIGHT(TRIM(F300),4)),"")</f>
        <v>2018</v>
      </c>
      <c r="L300" s="7" t="str">
        <f aca="false">IF(TRIM(E300)="","Unknown",IFERROR(LEFT(TRIM(E300),FIND(",",TRIM(E300))-1),TRIM(E300)))</f>
        <v>United States</v>
      </c>
      <c r="M300" s="7" t="str">
        <f aca="false">IFERROR(LEFT(J300,FIND(",",J300)-1),J300)</f>
        <v>Thrillers</v>
      </c>
      <c r="N300" s="7" t="n">
        <f aca="false">IF(B300="Movie",IFERROR(VALUE(LEFT(I300,FIND(" ",I300)-1)),""),"")</f>
        <v>86</v>
      </c>
      <c r="O300" s="7" t="str">
        <f aca="false">IF(B300="TV Show",IFERROR(VALUE(LEFT(I300,FIND(" ",I300)-1)),""),"")</f>
        <v/>
      </c>
      <c r="P300" s="7" t="n">
        <f aca="false">IF(K300="","",K300-G300)</f>
        <v>0</v>
      </c>
    </row>
    <row r="301" customFormat="false" ht="15" hidden="false" customHeight="false" outlineLevel="0" collapsed="false">
      <c r="A301" s="7" t="n">
        <v>80184129</v>
      </c>
      <c r="B301" s="7" t="s">
        <v>68</v>
      </c>
      <c r="C301" s="7" t="s">
        <v>888</v>
      </c>
      <c r="D301" s="7" t="s">
        <v>889</v>
      </c>
      <c r="E301" s="7" t="s">
        <v>26</v>
      </c>
      <c r="F301" s="7" t="s">
        <v>890</v>
      </c>
      <c r="G301" s="7" t="n">
        <v>2017</v>
      </c>
      <c r="H301" s="7" t="s">
        <v>51</v>
      </c>
      <c r="I301" s="7" t="s">
        <v>138</v>
      </c>
      <c r="J301" s="7" t="s">
        <v>471</v>
      </c>
      <c r="K301" s="7" t="n">
        <f aca="false">IFERROR(VALUE(RIGHT(TRIM(F301),4)),"")</f>
        <v>2019</v>
      </c>
      <c r="L301" s="7" t="str">
        <f aca="false">IF(TRIM(E301)="","Unknown",IFERROR(LEFT(TRIM(E301),FIND(",",TRIM(E301))-1),TRIM(E301)))</f>
        <v>United States</v>
      </c>
      <c r="M301" s="7" t="str">
        <f aca="false">IFERROR(LEFT(J301,FIND(",",J301)-1),J301)</f>
        <v>Comedies</v>
      </c>
      <c r="N301" s="7" t="n">
        <f aca="false">IF(B301="Movie",IFERROR(VALUE(LEFT(I301,FIND(" ",I301)-1)),""),"")</f>
        <v>96</v>
      </c>
      <c r="O301" s="7" t="str">
        <f aca="false">IF(B301="TV Show",IFERROR(VALUE(LEFT(I301,FIND(" ",I301)-1)),""),"")</f>
        <v/>
      </c>
      <c r="P301" s="7" t="n">
        <f aca="false">IF(K301="","",K301-G301)</f>
        <v>2</v>
      </c>
    </row>
    <row r="302" customFormat="false" ht="15" hidden="false" customHeight="false" outlineLevel="0" collapsed="false">
      <c r="A302" s="7" t="n">
        <v>60000861</v>
      </c>
      <c r="B302" s="7" t="s">
        <v>68</v>
      </c>
      <c r="C302" s="7" t="s">
        <v>891</v>
      </c>
      <c r="D302" s="7" t="s">
        <v>892</v>
      </c>
      <c r="E302" s="7" t="s">
        <v>230</v>
      </c>
      <c r="F302" s="7" t="s">
        <v>890</v>
      </c>
      <c r="G302" s="7" t="n">
        <v>2000</v>
      </c>
      <c r="H302" s="7" t="s">
        <v>51</v>
      </c>
      <c r="I302" s="7" t="s">
        <v>181</v>
      </c>
      <c r="J302" s="7" t="s">
        <v>893</v>
      </c>
      <c r="K302" s="7" t="n">
        <f aca="false">IFERROR(VALUE(RIGHT(TRIM(F302),4)),"")</f>
        <v>2019</v>
      </c>
      <c r="L302" s="7" t="str">
        <f aca="false">IF(TRIM(E302)="","Unknown",IFERROR(LEFT(TRIM(E302),FIND(",",TRIM(E302))-1),TRIM(E302)))</f>
        <v>United States</v>
      </c>
      <c r="M302" s="7" t="str">
        <f aca="false">IFERROR(LEFT(J302,FIND(",",J302)-1),J302)</f>
        <v>Comedies</v>
      </c>
      <c r="N302" s="7" t="n">
        <f aca="false">IF(B302="Movie",IFERROR(VALUE(LEFT(I302,FIND(" ",I302)-1)),""),"")</f>
        <v>102</v>
      </c>
      <c r="O302" s="7" t="str">
        <f aca="false">IF(B302="TV Show",IFERROR(VALUE(LEFT(I302,FIND(" ",I302)-1)),""),"")</f>
        <v/>
      </c>
      <c r="P302" s="7" t="n">
        <f aca="false">IF(K302="","",K302-G302)</f>
        <v>19</v>
      </c>
    </row>
    <row r="303" customFormat="false" ht="15" hidden="false" customHeight="false" outlineLevel="0" collapsed="false">
      <c r="A303" s="7" t="n">
        <v>1151375</v>
      </c>
      <c r="B303" s="7" t="s">
        <v>68</v>
      </c>
      <c r="C303" s="7" t="s">
        <v>894</v>
      </c>
      <c r="D303" s="7" t="s">
        <v>895</v>
      </c>
      <c r="E303" s="7" t="s">
        <v>26</v>
      </c>
      <c r="F303" s="7" t="s">
        <v>890</v>
      </c>
      <c r="G303" s="7" t="n">
        <v>1997</v>
      </c>
      <c r="H303" s="7" t="s">
        <v>52</v>
      </c>
      <c r="I303" s="7" t="s">
        <v>268</v>
      </c>
      <c r="J303" s="7" t="s">
        <v>40</v>
      </c>
      <c r="K303" s="7" t="n">
        <f aca="false">IFERROR(VALUE(RIGHT(TRIM(F303),4)),"")</f>
        <v>2019</v>
      </c>
      <c r="L303" s="7" t="str">
        <f aca="false">IF(TRIM(E303)="","Unknown",IFERROR(LEFT(TRIM(E303),FIND(",",TRIM(E303))-1),TRIM(E303)))</f>
        <v>United States</v>
      </c>
      <c r="M303" s="7" t="str">
        <f aca="false">IFERROR(LEFT(J303,FIND(",",J303)-1),J303)</f>
        <v>Action &amp; Adventure</v>
      </c>
      <c r="N303" s="7" t="n">
        <f aca="false">IF(B303="Movie",IFERROR(VALUE(LEFT(I303,FIND(" ",I303)-1)),""),"")</f>
        <v>108</v>
      </c>
      <c r="O303" s="7" t="str">
        <f aca="false">IF(B303="TV Show",IFERROR(VALUE(LEFT(I303,FIND(" ",I303)-1)),""),"")</f>
        <v/>
      </c>
      <c r="P303" s="7" t="n">
        <f aca="false">IF(K303="","",K303-G303)</f>
        <v>22</v>
      </c>
    </row>
    <row r="304" customFormat="false" ht="15" hidden="false" customHeight="false" outlineLevel="0" collapsed="false">
      <c r="A304" s="7" t="n">
        <v>81137484</v>
      </c>
      <c r="B304" s="7" t="s">
        <v>68</v>
      </c>
      <c r="C304" s="7" t="s">
        <v>896</v>
      </c>
      <c r="D304" s="7" t="s">
        <v>897</v>
      </c>
      <c r="E304" s="7" t="s">
        <v>898</v>
      </c>
      <c r="F304" s="7" t="s">
        <v>890</v>
      </c>
      <c r="G304" s="7" t="n">
        <v>2012</v>
      </c>
      <c r="H304" s="7" t="s">
        <v>49</v>
      </c>
      <c r="I304" s="7" t="s">
        <v>467</v>
      </c>
      <c r="J304" s="7" t="s">
        <v>341</v>
      </c>
      <c r="K304" s="7" t="n">
        <f aca="false">IFERROR(VALUE(RIGHT(TRIM(F304),4)),"")</f>
        <v>2019</v>
      </c>
      <c r="L304" s="7" t="str">
        <f aca="false">IF(TRIM(E304)="","Unknown",IFERROR(LEFT(TRIM(E304),FIND(",",TRIM(E304))-1),TRIM(E304)))</f>
        <v>Brazil</v>
      </c>
      <c r="M304" s="7" t="str">
        <f aca="false">IFERROR(LEFT(J304,FIND(",",J304)-1),J304)</f>
        <v>Documentaries</v>
      </c>
      <c r="N304" s="7" t="n">
        <f aca="false">IF(B304="Movie",IFERROR(VALUE(LEFT(I304,FIND(" ",I304)-1)),""),"")</f>
        <v>81</v>
      </c>
      <c r="O304" s="7" t="str">
        <f aca="false">IF(B304="TV Show",IFERROR(VALUE(LEFT(I304,FIND(" ",I304)-1)),""),"")</f>
        <v/>
      </c>
      <c r="P304" s="7" t="n">
        <f aca="false">IF(K304="","",K304-G304)</f>
        <v>7</v>
      </c>
    </row>
    <row r="305" customFormat="false" ht="15" hidden="false" customHeight="false" outlineLevel="0" collapsed="false">
      <c r="A305" s="7" t="n">
        <v>80187228</v>
      </c>
      <c r="B305" s="7" t="s">
        <v>68</v>
      </c>
      <c r="C305" s="7" t="s">
        <v>899</v>
      </c>
      <c r="D305" s="7" t="s">
        <v>900</v>
      </c>
      <c r="E305" s="7" t="s">
        <v>544</v>
      </c>
      <c r="F305" s="7" t="s">
        <v>890</v>
      </c>
      <c r="G305" s="7" t="n">
        <v>2017</v>
      </c>
      <c r="H305" s="7" t="s">
        <v>51</v>
      </c>
      <c r="I305" s="7" t="s">
        <v>181</v>
      </c>
      <c r="J305" s="7" t="s">
        <v>40</v>
      </c>
      <c r="K305" s="7" t="n">
        <f aca="false">IFERROR(VALUE(RIGHT(TRIM(F305),4)),"")</f>
        <v>2019</v>
      </c>
      <c r="L305" s="7" t="str">
        <f aca="false">IF(TRIM(E305)="","Unknown",IFERROR(LEFT(TRIM(E305),FIND(",",TRIM(E305))-1),TRIM(E305)))</f>
        <v>United Kingdom</v>
      </c>
      <c r="M305" s="7" t="str">
        <f aca="false">IFERROR(LEFT(J305,FIND(",",J305)-1),J305)</f>
        <v>Action &amp; Adventure</v>
      </c>
      <c r="N305" s="7" t="n">
        <f aca="false">IF(B305="Movie",IFERROR(VALUE(LEFT(I305,FIND(" ",I305)-1)),""),"")</f>
        <v>102</v>
      </c>
      <c r="O305" s="7" t="str">
        <f aca="false">IF(B305="TV Show",IFERROR(VALUE(LEFT(I305,FIND(" ",I305)-1)),""),"")</f>
        <v/>
      </c>
      <c r="P305" s="7" t="n">
        <f aca="false">IF(K305="","",K305-G305)</f>
        <v>2</v>
      </c>
    </row>
    <row r="306" customFormat="false" ht="15" hidden="false" customHeight="false" outlineLevel="0" collapsed="false">
      <c r="A306" s="7" t="n">
        <v>81031008</v>
      </c>
      <c r="B306" s="7" t="s">
        <v>68</v>
      </c>
      <c r="C306" s="7" t="s">
        <v>901</v>
      </c>
      <c r="D306" s="7" t="s">
        <v>902</v>
      </c>
      <c r="E306" s="7" t="s">
        <v>26</v>
      </c>
      <c r="F306" s="7" t="s">
        <v>890</v>
      </c>
      <c r="G306" s="7" t="n">
        <v>2018</v>
      </c>
      <c r="H306" s="7" t="s">
        <v>48</v>
      </c>
      <c r="I306" s="7" t="s">
        <v>272</v>
      </c>
      <c r="J306" s="7" t="s">
        <v>39</v>
      </c>
      <c r="K306" s="7" t="n">
        <f aca="false">IFERROR(VALUE(RIGHT(TRIM(F306),4)),"")</f>
        <v>2019</v>
      </c>
      <c r="L306" s="7" t="str">
        <f aca="false">IF(TRIM(E306)="","Unknown",IFERROR(LEFT(TRIM(E306),FIND(",",TRIM(E306))-1),TRIM(E306)))</f>
        <v>United States</v>
      </c>
      <c r="M306" s="7" t="str">
        <f aca="false">IFERROR(LEFT(J306,FIND(",",J306)-1),J306)</f>
        <v>Documentaries</v>
      </c>
      <c r="N306" s="7" t="n">
        <f aca="false">IF(B306="Movie",IFERROR(VALUE(LEFT(I306,FIND(" ",I306)-1)),""),"")</f>
        <v>93</v>
      </c>
      <c r="O306" s="7" t="str">
        <f aca="false">IF(B306="TV Show",IFERROR(VALUE(LEFT(I306,FIND(" ",I306)-1)),""),"")</f>
        <v/>
      </c>
      <c r="P306" s="7" t="n">
        <f aca="false">IF(K306="","",K306-G306)</f>
        <v>1</v>
      </c>
    </row>
    <row r="307" customFormat="false" ht="15" hidden="false" customHeight="false" outlineLevel="0" collapsed="false">
      <c r="A307" s="7" t="n">
        <v>70099119</v>
      </c>
      <c r="B307" s="7" t="s">
        <v>68</v>
      </c>
      <c r="C307" s="7" t="s">
        <v>903</v>
      </c>
      <c r="D307" s="7" t="s">
        <v>904</v>
      </c>
      <c r="E307" s="7" t="s">
        <v>905</v>
      </c>
      <c r="F307" s="7" t="s">
        <v>890</v>
      </c>
      <c r="G307" s="7" t="n">
        <v>2008</v>
      </c>
      <c r="H307" s="7" t="s">
        <v>54</v>
      </c>
      <c r="I307" s="7" t="s">
        <v>494</v>
      </c>
      <c r="J307" s="7" t="s">
        <v>42</v>
      </c>
      <c r="K307" s="7" t="n">
        <f aca="false">IFERROR(VALUE(RIGHT(TRIM(F307),4)),"")</f>
        <v>2019</v>
      </c>
      <c r="L307" s="7" t="str">
        <f aca="false">IF(TRIM(E307)="","Unknown",IFERROR(LEFT(TRIM(E307),FIND(",",TRIM(E307))-1),TRIM(E307)))</f>
        <v>United States</v>
      </c>
      <c r="M307" s="7" t="str">
        <f aca="false">IFERROR(LEFT(J307,FIND(",",J307)-1),J307)</f>
        <v>Children &amp; Family Movies</v>
      </c>
      <c r="N307" s="7" t="n">
        <f aca="false">IF(B307="Movie",IFERROR(VALUE(LEFT(I307,FIND(" ",I307)-1)),""),"")</f>
        <v>87</v>
      </c>
      <c r="O307" s="7" t="str">
        <f aca="false">IF(B307="TV Show",IFERROR(VALUE(LEFT(I307,FIND(" ",I307)-1)),""),"")</f>
        <v/>
      </c>
      <c r="P307" s="7" t="n">
        <f aca="false">IF(K307="","",K307-G307)</f>
        <v>11</v>
      </c>
    </row>
    <row r="308" customFormat="false" ht="15" hidden="false" customHeight="false" outlineLevel="0" collapsed="false">
      <c r="A308" s="7" t="n">
        <v>70039185</v>
      </c>
      <c r="B308" s="7" t="s">
        <v>68</v>
      </c>
      <c r="C308" s="7" t="s">
        <v>906</v>
      </c>
      <c r="D308" s="7" t="s">
        <v>907</v>
      </c>
      <c r="E308" s="7" t="s">
        <v>908</v>
      </c>
      <c r="F308" s="7" t="s">
        <v>890</v>
      </c>
      <c r="G308" s="7" t="n">
        <v>2005</v>
      </c>
      <c r="H308" s="7" t="s">
        <v>52</v>
      </c>
      <c r="I308" s="7" t="s">
        <v>77</v>
      </c>
      <c r="J308" s="7" t="s">
        <v>177</v>
      </c>
      <c r="K308" s="7" t="n">
        <f aca="false">IFERROR(VALUE(RIGHT(TRIM(F308),4)),"")</f>
        <v>2019</v>
      </c>
      <c r="L308" s="7" t="str">
        <f aca="false">IF(TRIM(E308)="","Unknown",IFERROR(LEFT(TRIM(E308),FIND(",",TRIM(E308))-1),TRIM(E308)))</f>
        <v>Germany</v>
      </c>
      <c r="M308" s="7" t="str">
        <f aca="false">IFERROR(LEFT(J308,FIND(",",J308)-1),J308)</f>
        <v>Comedies</v>
      </c>
      <c r="N308" s="7" t="n">
        <f aca="false">IF(B308="Movie",IFERROR(VALUE(LEFT(I308,FIND(" ",I308)-1)),""),"")</f>
        <v>94</v>
      </c>
      <c r="O308" s="7" t="str">
        <f aca="false">IF(B308="TV Show",IFERROR(VALUE(LEFT(I308,FIND(" ",I308)-1)),""),"")</f>
        <v/>
      </c>
      <c r="P308" s="7" t="n">
        <f aca="false">IF(K308="","",K308-G308)</f>
        <v>14</v>
      </c>
    </row>
    <row r="309" customFormat="false" ht="15" hidden="false" customHeight="false" outlineLevel="0" collapsed="false">
      <c r="A309" s="7" t="n">
        <v>81073764</v>
      </c>
      <c r="B309" s="7" t="s">
        <v>78</v>
      </c>
      <c r="C309" s="7" t="s">
        <v>909</v>
      </c>
      <c r="F309" s="7" t="s">
        <v>890</v>
      </c>
      <c r="G309" s="7" t="n">
        <v>2016</v>
      </c>
      <c r="H309" s="7" t="s">
        <v>119</v>
      </c>
      <c r="I309" s="7" t="s">
        <v>82</v>
      </c>
      <c r="J309" s="7" t="s">
        <v>44</v>
      </c>
      <c r="K309" s="7" t="n">
        <f aca="false">IFERROR(VALUE(RIGHT(TRIM(F309),4)),"")</f>
        <v>2019</v>
      </c>
      <c r="L309" s="7" t="str">
        <f aca="false">IF(TRIM(E309)="","Unknown",IFERROR(LEFT(TRIM(E309),FIND(",",TRIM(E309))-1),TRIM(E309)))</f>
        <v>Unknown</v>
      </c>
      <c r="M309" s="7" t="str">
        <f aca="false">IFERROR(LEFT(J309,FIND(",",J309)-1),J309)</f>
        <v>Kids' TV</v>
      </c>
      <c r="N309" s="7" t="str">
        <f aca="false">IF(B309="Movie",IFERROR(VALUE(LEFT(I309,FIND(" ",I309)-1)),""),"")</f>
        <v/>
      </c>
      <c r="O309" s="7" t="n">
        <f aca="false">IF(B309="TV Show",IFERROR(VALUE(LEFT(I309,FIND(" ",I309)-1)),""),"")</f>
        <v>1</v>
      </c>
      <c r="P309" s="7" t="n">
        <f aca="false">IF(K309="","",K309-G309)</f>
        <v>3</v>
      </c>
    </row>
    <row r="310" customFormat="false" ht="15" hidden="false" customHeight="false" outlineLevel="0" collapsed="false">
      <c r="A310" s="7" t="n">
        <v>81165769</v>
      </c>
      <c r="B310" s="7" t="s">
        <v>68</v>
      </c>
      <c r="C310" s="7" t="s">
        <v>910</v>
      </c>
      <c r="D310" s="7" t="s">
        <v>911</v>
      </c>
      <c r="E310" s="7" t="s">
        <v>527</v>
      </c>
      <c r="F310" s="7" t="s">
        <v>890</v>
      </c>
      <c r="G310" s="7" t="n">
        <v>2019</v>
      </c>
      <c r="H310" s="7" t="s">
        <v>49</v>
      </c>
      <c r="I310" s="7" t="s">
        <v>205</v>
      </c>
      <c r="J310" s="7" t="s">
        <v>304</v>
      </c>
      <c r="K310" s="7" t="n">
        <f aca="false">IFERROR(VALUE(RIGHT(TRIM(F310),4)),"")</f>
        <v>2019</v>
      </c>
      <c r="L310" s="7" t="str">
        <f aca="false">IF(TRIM(E310)="","Unknown",IFERROR(LEFT(TRIM(E310),FIND(",",TRIM(E310))-1),TRIM(E310)))</f>
        <v>Nigeria</v>
      </c>
      <c r="M310" s="7" t="str">
        <f aca="false">IFERROR(LEFT(J310,FIND(",",J310)-1),J310)</f>
        <v>Dramas</v>
      </c>
      <c r="N310" s="7" t="n">
        <f aca="false">IF(B310="Movie",IFERROR(VALUE(LEFT(I310,FIND(" ",I310)-1)),""),"")</f>
        <v>100</v>
      </c>
      <c r="O310" s="7" t="str">
        <f aca="false">IF(B310="TV Show",IFERROR(VALUE(LEFT(I310,FIND(" ",I310)-1)),""),"")</f>
        <v/>
      </c>
      <c r="P310" s="7" t="n">
        <f aca="false">IF(K310="","",K310-G310)</f>
        <v>0</v>
      </c>
    </row>
    <row r="311" customFormat="false" ht="15" hidden="false" customHeight="false" outlineLevel="0" collapsed="false">
      <c r="A311" s="7" t="n">
        <v>70056433</v>
      </c>
      <c r="B311" s="7" t="s">
        <v>68</v>
      </c>
      <c r="C311" s="7" t="s">
        <v>912</v>
      </c>
      <c r="D311" s="7" t="s">
        <v>913</v>
      </c>
      <c r="E311" s="7" t="s">
        <v>26</v>
      </c>
      <c r="F311" s="7" t="s">
        <v>890</v>
      </c>
      <c r="G311" s="7" t="n">
        <v>2007</v>
      </c>
      <c r="H311" s="7" t="s">
        <v>52</v>
      </c>
      <c r="I311" s="7" t="s">
        <v>264</v>
      </c>
      <c r="J311" s="7" t="s">
        <v>38</v>
      </c>
      <c r="K311" s="7" t="n">
        <f aca="false">IFERROR(VALUE(RIGHT(TRIM(F311),4)),"")</f>
        <v>2019</v>
      </c>
      <c r="L311" s="7" t="str">
        <f aca="false">IF(TRIM(E311)="","Unknown",IFERROR(LEFT(TRIM(E311),FIND(",",TRIM(E311))-1),TRIM(E311)))</f>
        <v>United States</v>
      </c>
      <c r="M311" s="7" t="str">
        <f aca="false">IFERROR(LEFT(J311,FIND(",",J311)-1),J311)</f>
        <v>Comedies</v>
      </c>
      <c r="N311" s="7" t="n">
        <f aca="false">IF(B311="Movie",IFERROR(VALUE(LEFT(I311,FIND(" ",I311)-1)),""),"")</f>
        <v>88</v>
      </c>
      <c r="O311" s="7" t="str">
        <f aca="false">IF(B311="TV Show",IFERROR(VALUE(LEFT(I311,FIND(" ",I311)-1)),""),"")</f>
        <v/>
      </c>
      <c r="P311" s="7" t="n">
        <f aca="false">IF(K311="","",K311-G311)</f>
        <v>12</v>
      </c>
    </row>
    <row r="312" customFormat="false" ht="15" hidden="false" customHeight="false" outlineLevel="0" collapsed="false">
      <c r="A312" s="7" t="n">
        <v>70113003</v>
      </c>
      <c r="B312" s="7" t="s">
        <v>68</v>
      </c>
      <c r="C312" s="7" t="s">
        <v>914</v>
      </c>
      <c r="D312" s="7" t="s">
        <v>915</v>
      </c>
      <c r="E312" s="7" t="s">
        <v>26</v>
      </c>
      <c r="F312" s="7" t="s">
        <v>890</v>
      </c>
      <c r="G312" s="7" t="n">
        <v>2009</v>
      </c>
      <c r="H312" s="7" t="s">
        <v>52</v>
      </c>
      <c r="I312" s="7" t="s">
        <v>790</v>
      </c>
      <c r="J312" s="7" t="s">
        <v>37</v>
      </c>
      <c r="K312" s="7" t="n">
        <f aca="false">IFERROR(VALUE(RIGHT(TRIM(F312),4)),"")</f>
        <v>2019</v>
      </c>
      <c r="L312" s="7" t="str">
        <f aca="false">IF(TRIM(E312)="","Unknown",IFERROR(LEFT(TRIM(E312),FIND(",",TRIM(E312))-1),TRIM(E312)))</f>
        <v>United States</v>
      </c>
      <c r="M312" s="7" t="str">
        <f aca="false">IFERROR(LEFT(J312,FIND(",",J312)-1),J312)</f>
        <v>Dramas</v>
      </c>
      <c r="N312" s="7" t="n">
        <f aca="false">IF(B312="Movie",IFERROR(VALUE(LEFT(I312,FIND(" ",I312)-1)),""),"")</f>
        <v>109</v>
      </c>
      <c r="O312" s="7" t="str">
        <f aca="false">IF(B312="TV Show",IFERROR(VALUE(LEFT(I312,FIND(" ",I312)-1)),""),"")</f>
        <v/>
      </c>
      <c r="P312" s="7" t="n">
        <f aca="false">IF(K312="","",K312-G312)</f>
        <v>10</v>
      </c>
    </row>
    <row r="313" customFormat="false" ht="15" hidden="false" customHeight="false" outlineLevel="0" collapsed="false">
      <c r="A313" s="7" t="n">
        <v>60031232</v>
      </c>
      <c r="B313" s="7" t="s">
        <v>68</v>
      </c>
      <c r="C313" s="7" t="s">
        <v>916</v>
      </c>
      <c r="D313" s="7" t="s">
        <v>917</v>
      </c>
      <c r="E313" s="7" t="s">
        <v>918</v>
      </c>
      <c r="F313" s="7" t="s">
        <v>890</v>
      </c>
      <c r="G313" s="7" t="n">
        <v>2003</v>
      </c>
      <c r="H313" s="7" t="s">
        <v>51</v>
      </c>
      <c r="I313" s="7" t="s">
        <v>919</v>
      </c>
      <c r="J313" s="7" t="s">
        <v>597</v>
      </c>
      <c r="K313" s="7" t="n">
        <f aca="false">IFERROR(VALUE(RIGHT(TRIM(F313),4)),"")</f>
        <v>2019</v>
      </c>
      <c r="L313" s="7" t="str">
        <f aca="false">IF(TRIM(E313)="","Unknown",IFERROR(LEFT(TRIM(E313),FIND(",",TRIM(E313))-1),TRIM(E313)))</f>
        <v>United States</v>
      </c>
      <c r="M313" s="7" t="str">
        <f aca="false">IFERROR(LEFT(J313,FIND(",",J313)-1),J313)</f>
        <v>Dramas</v>
      </c>
      <c r="N313" s="7" t="n">
        <f aca="false">IF(B313="Movie",IFERROR(VALUE(LEFT(I313,FIND(" ",I313)-1)),""),"")</f>
        <v>138</v>
      </c>
      <c r="O313" s="7" t="str">
        <f aca="false">IF(B313="TV Show",IFERROR(VALUE(LEFT(I313,FIND(" ",I313)-1)),""),"")</f>
        <v/>
      </c>
      <c r="P313" s="7" t="n">
        <f aca="false">IF(K313="","",K313-G313)</f>
        <v>16</v>
      </c>
    </row>
    <row r="314" customFormat="false" ht="15" hidden="false" customHeight="false" outlineLevel="0" collapsed="false">
      <c r="A314" s="7" t="n">
        <v>80032842</v>
      </c>
      <c r="B314" s="7" t="s">
        <v>68</v>
      </c>
      <c r="C314" s="7" t="s">
        <v>920</v>
      </c>
      <c r="D314" s="7" t="s">
        <v>911</v>
      </c>
      <c r="E314" s="7" t="s">
        <v>527</v>
      </c>
      <c r="F314" s="7" t="s">
        <v>890</v>
      </c>
      <c r="G314" s="7" t="n">
        <v>2014</v>
      </c>
      <c r="H314" s="7" t="s">
        <v>48</v>
      </c>
      <c r="I314" s="7" t="s">
        <v>921</v>
      </c>
      <c r="J314" s="7" t="s">
        <v>182</v>
      </c>
      <c r="K314" s="7" t="n">
        <f aca="false">IFERROR(VALUE(RIGHT(TRIM(F314),4)),"")</f>
        <v>2019</v>
      </c>
      <c r="L314" s="7" t="str">
        <f aca="false">IF(TRIM(E314)="","Unknown",IFERROR(LEFT(TRIM(E314),FIND(",",TRIM(E314))-1),TRIM(E314)))</f>
        <v>Nigeria</v>
      </c>
      <c r="M314" s="7" t="str">
        <f aca="false">IFERROR(LEFT(J314,FIND(",",J314)-1),J314)</f>
        <v>Dramas</v>
      </c>
      <c r="N314" s="7" t="n">
        <f aca="false">IF(B314="Movie",IFERROR(VALUE(LEFT(I314,FIND(" ",I314)-1)),""),"")</f>
        <v>149</v>
      </c>
      <c r="O314" s="7" t="str">
        <f aca="false">IF(B314="TV Show",IFERROR(VALUE(LEFT(I314,FIND(" ",I314)-1)),""),"")</f>
        <v/>
      </c>
      <c r="P314" s="7" t="n">
        <f aca="false">IF(K314="","",K314-G314)</f>
        <v>5</v>
      </c>
    </row>
    <row r="315" customFormat="false" ht="15" hidden="false" customHeight="false" outlineLevel="0" collapsed="false">
      <c r="A315" s="7" t="n">
        <v>81137482</v>
      </c>
      <c r="B315" s="7" t="s">
        <v>68</v>
      </c>
      <c r="C315" s="7" t="s">
        <v>922</v>
      </c>
      <c r="D315" s="7" t="s">
        <v>923</v>
      </c>
      <c r="E315" s="7" t="s">
        <v>924</v>
      </c>
      <c r="F315" s="7" t="s">
        <v>890</v>
      </c>
      <c r="G315" s="7" t="n">
        <v>2014</v>
      </c>
      <c r="H315" s="7" t="s">
        <v>48</v>
      </c>
      <c r="I315" s="7" t="s">
        <v>437</v>
      </c>
      <c r="J315" s="7" t="s">
        <v>188</v>
      </c>
      <c r="K315" s="7" t="n">
        <f aca="false">IFERROR(VALUE(RIGHT(TRIM(F315),4)),"")</f>
        <v>2019</v>
      </c>
      <c r="L315" s="7" t="str">
        <f aca="false">IF(TRIM(E315)="","Unknown",IFERROR(LEFT(TRIM(E315),FIND(",",TRIM(E315))-1),TRIM(E315)))</f>
        <v>Denmark</v>
      </c>
      <c r="M315" s="7" t="str">
        <f aca="false">IFERROR(LEFT(J315,FIND(",",J315)-1),J315)</f>
        <v>Dramas</v>
      </c>
      <c r="N315" s="7" t="n">
        <f aca="false">IF(B315="Movie",IFERROR(VALUE(LEFT(I315,FIND(" ",I315)-1)),""),"")</f>
        <v>82</v>
      </c>
      <c r="O315" s="7" t="str">
        <f aca="false">IF(B315="TV Show",IFERROR(VALUE(LEFT(I315,FIND(" ",I315)-1)),""),"")</f>
        <v/>
      </c>
      <c r="P315" s="7" t="n">
        <f aca="false">IF(K315="","",K315-G315)</f>
        <v>5</v>
      </c>
    </row>
    <row r="316" customFormat="false" ht="15" hidden="false" customHeight="false" outlineLevel="0" collapsed="false">
      <c r="A316" s="7" t="n">
        <v>70043308</v>
      </c>
      <c r="B316" s="7" t="s">
        <v>68</v>
      </c>
      <c r="C316" s="7" t="s">
        <v>925</v>
      </c>
      <c r="D316" s="7" t="s">
        <v>926</v>
      </c>
      <c r="E316" s="7" t="s">
        <v>26</v>
      </c>
      <c r="F316" s="7" t="s">
        <v>890</v>
      </c>
      <c r="G316" s="7" t="n">
        <v>2006</v>
      </c>
      <c r="H316" s="7" t="s">
        <v>54</v>
      </c>
      <c r="I316" s="7" t="s">
        <v>212</v>
      </c>
      <c r="J316" s="7" t="s">
        <v>74</v>
      </c>
      <c r="K316" s="7" t="n">
        <f aca="false">IFERROR(VALUE(RIGHT(TRIM(F316),4)),"")</f>
        <v>2019</v>
      </c>
      <c r="L316" s="7" t="str">
        <f aca="false">IF(TRIM(E316)="","Unknown",IFERROR(LEFT(TRIM(E316),FIND(",",TRIM(E316))-1),TRIM(E316)))</f>
        <v>United States</v>
      </c>
      <c r="M316" s="7" t="str">
        <f aca="false">IFERROR(LEFT(J316,FIND(",",J316)-1),J316)</f>
        <v>Children &amp; Family Movies</v>
      </c>
      <c r="N316" s="7" t="n">
        <f aca="false">IF(B316="Movie",IFERROR(VALUE(LEFT(I316,FIND(" ",I316)-1)),""),"")</f>
        <v>86</v>
      </c>
      <c r="O316" s="7" t="str">
        <f aca="false">IF(B316="TV Show",IFERROR(VALUE(LEFT(I316,FIND(" ",I316)-1)),""),"")</f>
        <v/>
      </c>
      <c r="P316" s="7" t="n">
        <f aca="false">IF(K316="","",K316-G316)</f>
        <v>13</v>
      </c>
    </row>
    <row r="317" customFormat="false" ht="15" hidden="false" customHeight="false" outlineLevel="0" collapsed="false">
      <c r="A317" s="7" t="n">
        <v>81165771</v>
      </c>
      <c r="B317" s="7" t="s">
        <v>68</v>
      </c>
      <c r="C317" s="7" t="s">
        <v>927</v>
      </c>
      <c r="D317" s="7" t="s">
        <v>911</v>
      </c>
      <c r="E317" s="7" t="s">
        <v>527</v>
      </c>
      <c r="F317" s="7" t="s">
        <v>890</v>
      </c>
      <c r="G317" s="7" t="n">
        <v>2012</v>
      </c>
      <c r="H317" s="7" t="s">
        <v>49</v>
      </c>
      <c r="I317" s="7" t="s">
        <v>168</v>
      </c>
      <c r="J317" s="7" t="s">
        <v>206</v>
      </c>
      <c r="K317" s="7" t="n">
        <f aca="false">IFERROR(VALUE(RIGHT(TRIM(F317),4)),"")</f>
        <v>2019</v>
      </c>
      <c r="L317" s="7" t="str">
        <f aca="false">IF(TRIM(E317)="","Unknown",IFERROR(LEFT(TRIM(E317),FIND(",",TRIM(E317))-1),TRIM(E317)))</f>
        <v>Nigeria</v>
      </c>
      <c r="M317" s="7" t="str">
        <f aca="false">IFERROR(LEFT(J317,FIND(",",J317)-1),J317)</f>
        <v>Comedies</v>
      </c>
      <c r="N317" s="7" t="n">
        <f aca="false">IF(B317="Movie",IFERROR(VALUE(LEFT(I317,FIND(" ",I317)-1)),""),"")</f>
        <v>112</v>
      </c>
      <c r="O317" s="7" t="str">
        <f aca="false">IF(B317="TV Show",IFERROR(VALUE(LEFT(I317,FIND(" ",I317)-1)),""),"")</f>
        <v/>
      </c>
      <c r="P317" s="7" t="n">
        <f aca="false">IF(K317="","",K317-G317)</f>
        <v>7</v>
      </c>
    </row>
    <row r="318" customFormat="false" ht="15" hidden="false" customHeight="false" outlineLevel="0" collapsed="false">
      <c r="A318" s="7" t="n">
        <v>70044697</v>
      </c>
      <c r="B318" s="7" t="s">
        <v>68</v>
      </c>
      <c r="C318" s="7" t="s">
        <v>928</v>
      </c>
      <c r="D318" s="7" t="s">
        <v>929</v>
      </c>
      <c r="E318" s="7" t="s">
        <v>26</v>
      </c>
      <c r="F318" s="7" t="s">
        <v>890</v>
      </c>
      <c r="G318" s="7" t="n">
        <v>2006</v>
      </c>
      <c r="H318" s="7" t="s">
        <v>52</v>
      </c>
      <c r="I318" s="7" t="s">
        <v>134</v>
      </c>
      <c r="J318" s="7" t="s">
        <v>370</v>
      </c>
      <c r="K318" s="7" t="n">
        <f aca="false">IFERROR(VALUE(RIGHT(TRIM(F318),4)),"")</f>
        <v>2019</v>
      </c>
      <c r="L318" s="7" t="str">
        <f aca="false">IF(TRIM(E318)="","Unknown",IFERROR(LEFT(TRIM(E318),FIND(",",TRIM(E318))-1),TRIM(E318)))</f>
        <v>United States</v>
      </c>
      <c r="M318" s="7" t="str">
        <f aca="false">IFERROR(LEFT(J318,FIND(",",J318)-1),J318)</f>
        <v>Action &amp; Adventure</v>
      </c>
      <c r="N318" s="7" t="n">
        <f aca="false">IF(B318="Movie",IFERROR(VALUE(LEFT(I318,FIND(" ",I318)-1)),""),"")</f>
        <v>98</v>
      </c>
      <c r="O318" s="7" t="str">
        <f aca="false">IF(B318="TV Show",IFERROR(VALUE(LEFT(I318,FIND(" ",I318)-1)),""),"")</f>
        <v/>
      </c>
      <c r="P318" s="7" t="n">
        <f aca="false">IF(K318="","",K318-G318)</f>
        <v>13</v>
      </c>
    </row>
    <row r="319" customFormat="false" ht="15" hidden="false" customHeight="false" outlineLevel="0" collapsed="false">
      <c r="A319" s="7" t="n">
        <v>70105368</v>
      </c>
      <c r="B319" s="7" t="s">
        <v>68</v>
      </c>
      <c r="C319" s="7" t="s">
        <v>930</v>
      </c>
      <c r="D319" s="7" t="s">
        <v>931</v>
      </c>
      <c r="E319" s="7" t="s">
        <v>26</v>
      </c>
      <c r="F319" s="7" t="s">
        <v>890</v>
      </c>
      <c r="G319" s="7" t="n">
        <v>2008</v>
      </c>
      <c r="H319" s="7" t="s">
        <v>51</v>
      </c>
      <c r="I319" s="7" t="s">
        <v>146</v>
      </c>
      <c r="J319" s="7" t="s">
        <v>150</v>
      </c>
      <c r="K319" s="7" t="n">
        <f aca="false">IFERROR(VALUE(RIGHT(TRIM(F319),4)),"")</f>
        <v>2019</v>
      </c>
      <c r="L319" s="7" t="str">
        <f aca="false">IF(TRIM(E319)="","Unknown",IFERROR(LEFT(TRIM(E319),FIND(",",TRIM(E319))-1),TRIM(E319)))</f>
        <v>United States</v>
      </c>
      <c r="M319" s="7" t="str">
        <f aca="false">IFERROR(LEFT(J319,FIND(",",J319)-1),J319)</f>
        <v>Dramas</v>
      </c>
      <c r="N319" s="7" t="n">
        <f aca="false">IF(B319="Movie",IFERROR(VALUE(LEFT(I319,FIND(" ",I319)-1)),""),"")</f>
        <v>113</v>
      </c>
      <c r="O319" s="7" t="str">
        <f aca="false">IF(B319="TV Show",IFERROR(VALUE(LEFT(I319,FIND(" ",I319)-1)),""),"")</f>
        <v/>
      </c>
      <c r="P319" s="7" t="n">
        <f aca="false">IF(K319="","",K319-G319)</f>
        <v>11</v>
      </c>
    </row>
    <row r="320" customFormat="false" ht="15" hidden="false" customHeight="false" outlineLevel="0" collapsed="false">
      <c r="A320" s="7" t="n">
        <v>80241003</v>
      </c>
      <c r="B320" s="7" t="s">
        <v>78</v>
      </c>
      <c r="C320" s="7" t="s">
        <v>932</v>
      </c>
      <c r="E320" s="7" t="s">
        <v>28</v>
      </c>
      <c r="F320" s="7" t="s">
        <v>890</v>
      </c>
      <c r="G320" s="7" t="n">
        <v>2018</v>
      </c>
      <c r="H320" s="7" t="s">
        <v>49</v>
      </c>
      <c r="I320" s="7" t="s">
        <v>82</v>
      </c>
      <c r="J320" s="7" t="s">
        <v>668</v>
      </c>
      <c r="K320" s="7" t="n">
        <f aca="false">IFERROR(VALUE(RIGHT(TRIM(F320),4)),"")</f>
        <v>2019</v>
      </c>
      <c r="L320" s="7" t="str">
        <f aca="false">IF(TRIM(E320)="","Unknown",IFERROR(LEFT(TRIM(E320),FIND(",",TRIM(E320))-1),TRIM(E320)))</f>
        <v>United Kingdom</v>
      </c>
      <c r="M320" s="7" t="str">
        <f aca="false">IFERROR(LEFT(J320,FIND(",",J320)-1),J320)</f>
        <v>British TV Shows</v>
      </c>
      <c r="N320" s="7" t="str">
        <f aca="false">IF(B320="Movie",IFERROR(VALUE(LEFT(I320,FIND(" ",I320)-1)),""),"")</f>
        <v/>
      </c>
      <c r="O320" s="7" t="n">
        <f aca="false">IF(B320="TV Show",IFERROR(VALUE(LEFT(I320,FIND(" ",I320)-1)),""),"")</f>
        <v>1</v>
      </c>
      <c r="P320" s="7" t="n">
        <f aca="false">IF(K320="","",K320-G320)</f>
        <v>1</v>
      </c>
    </row>
    <row r="321" customFormat="false" ht="15" hidden="false" customHeight="false" outlineLevel="0" collapsed="false">
      <c r="A321" s="7" t="n">
        <v>81141689</v>
      </c>
      <c r="B321" s="7" t="s">
        <v>68</v>
      </c>
      <c r="C321" s="7" t="s">
        <v>933</v>
      </c>
      <c r="D321" s="7" t="s">
        <v>934</v>
      </c>
      <c r="E321" s="7" t="s">
        <v>26</v>
      </c>
      <c r="F321" s="7" t="s">
        <v>890</v>
      </c>
      <c r="G321" s="7" t="n">
        <v>2004</v>
      </c>
      <c r="H321" s="7" t="s">
        <v>612</v>
      </c>
      <c r="I321" s="7" t="s">
        <v>935</v>
      </c>
      <c r="J321" s="7" t="s">
        <v>42</v>
      </c>
      <c r="K321" s="7" t="n">
        <f aca="false">IFERROR(VALUE(RIGHT(TRIM(F321),4)),"")</f>
        <v>2019</v>
      </c>
      <c r="L321" s="7" t="str">
        <f aca="false">IF(TRIM(E321)="","Unknown",IFERROR(LEFT(TRIM(E321),FIND(",",TRIM(E321))-1),TRIM(E321)))</f>
        <v>United States</v>
      </c>
      <c r="M321" s="7" t="str">
        <f aca="false">IFERROR(LEFT(J321,FIND(",",J321)-1),J321)</f>
        <v>Children &amp; Family Movies</v>
      </c>
      <c r="N321" s="7" t="n">
        <f aca="false">IF(B321="Movie",IFERROR(VALUE(LEFT(I321,FIND(" ",I321)-1)),""),"")</f>
        <v>47</v>
      </c>
      <c r="O321" s="7" t="str">
        <f aca="false">IF(B321="TV Show",IFERROR(VALUE(LEFT(I321,FIND(" ",I321)-1)),""),"")</f>
        <v/>
      </c>
      <c r="P321" s="7" t="n">
        <f aca="false">IF(K321="","",K321-G321)</f>
        <v>15</v>
      </c>
    </row>
    <row r="322" customFormat="false" ht="15" hidden="false" customHeight="false" outlineLevel="0" collapsed="false">
      <c r="A322" s="7" t="n">
        <v>1008581</v>
      </c>
      <c r="B322" s="7" t="s">
        <v>68</v>
      </c>
      <c r="C322" s="7" t="s">
        <v>936</v>
      </c>
      <c r="D322" s="7" t="s">
        <v>937</v>
      </c>
      <c r="E322" s="7" t="s">
        <v>26</v>
      </c>
      <c r="F322" s="7" t="s">
        <v>890</v>
      </c>
      <c r="G322" s="7" t="n">
        <v>1981</v>
      </c>
      <c r="H322" s="7" t="s">
        <v>51</v>
      </c>
      <c r="I322" s="7" t="s">
        <v>173</v>
      </c>
      <c r="J322" s="7" t="s">
        <v>938</v>
      </c>
      <c r="K322" s="7" t="n">
        <f aca="false">IFERROR(VALUE(RIGHT(TRIM(F322),4)),"")</f>
        <v>2019</v>
      </c>
      <c r="L322" s="7" t="str">
        <f aca="false">IF(TRIM(E322)="","Unknown",IFERROR(LEFT(TRIM(E322),FIND(",",TRIM(E322))-1),TRIM(E322)))</f>
        <v>United States</v>
      </c>
      <c r="M322" s="7" t="str">
        <f aca="false">IFERROR(LEFT(J322,FIND(",",J322)-1),J322)</f>
        <v>Classic Movies</v>
      </c>
      <c r="N322" s="7" t="n">
        <f aca="false">IF(B322="Movie",IFERROR(VALUE(LEFT(I322,FIND(" ",I322)-1)),""),"")</f>
        <v>106</v>
      </c>
      <c r="O322" s="7" t="str">
        <f aca="false">IF(B322="TV Show",IFERROR(VALUE(LEFT(I322,FIND(" ",I322)-1)),""),"")</f>
        <v/>
      </c>
      <c r="P322" s="7" t="n">
        <f aca="false">IF(K322="","",K322-G322)</f>
        <v>38</v>
      </c>
    </row>
    <row r="323" customFormat="false" ht="15" hidden="false" customHeight="false" outlineLevel="0" collapsed="false">
      <c r="A323" s="7" t="n">
        <v>70058023</v>
      </c>
      <c r="B323" s="7" t="s">
        <v>68</v>
      </c>
      <c r="C323" s="7" t="s">
        <v>939</v>
      </c>
      <c r="D323" s="7" t="s">
        <v>940</v>
      </c>
      <c r="E323" s="7" t="s">
        <v>26</v>
      </c>
      <c r="F323" s="7" t="s">
        <v>890</v>
      </c>
      <c r="G323" s="7" t="n">
        <v>2007</v>
      </c>
      <c r="H323" s="7" t="s">
        <v>51</v>
      </c>
      <c r="I323" s="7" t="s">
        <v>146</v>
      </c>
      <c r="J323" s="7" t="s">
        <v>941</v>
      </c>
      <c r="K323" s="7" t="n">
        <f aca="false">IFERROR(VALUE(RIGHT(TRIM(F323),4)),"")</f>
        <v>2019</v>
      </c>
      <c r="L323" s="7" t="str">
        <f aca="false">IF(TRIM(E323)="","Unknown",IFERROR(LEFT(TRIM(E323),FIND(",",TRIM(E323))-1),TRIM(E323)))</f>
        <v>United States</v>
      </c>
      <c r="M323" s="7" t="str">
        <f aca="false">IFERROR(LEFT(J323,FIND(",",J323)-1),J323)</f>
        <v>Comedies</v>
      </c>
      <c r="N323" s="7" t="n">
        <f aca="false">IF(B323="Movie",IFERROR(VALUE(LEFT(I323,FIND(" ",I323)-1)),""),"")</f>
        <v>113</v>
      </c>
      <c r="O323" s="7" t="str">
        <f aca="false">IF(B323="TV Show",IFERROR(VALUE(LEFT(I323,FIND(" ",I323)-1)),""),"")</f>
        <v/>
      </c>
      <c r="P323" s="7" t="n">
        <f aca="false">IF(K323="","",K323-G323)</f>
        <v>12</v>
      </c>
    </row>
    <row r="324" customFormat="false" ht="15" hidden="false" customHeight="false" outlineLevel="0" collapsed="false">
      <c r="A324" s="7" t="n">
        <v>81165786</v>
      </c>
      <c r="B324" s="7" t="s">
        <v>68</v>
      </c>
      <c r="C324" s="7" t="s">
        <v>942</v>
      </c>
      <c r="D324" s="7" t="s">
        <v>911</v>
      </c>
      <c r="E324" s="7" t="s">
        <v>527</v>
      </c>
      <c r="F324" s="7" t="s">
        <v>890</v>
      </c>
      <c r="G324" s="7" t="n">
        <v>2017</v>
      </c>
      <c r="H324" s="7" t="s">
        <v>49</v>
      </c>
      <c r="I324" s="7" t="s">
        <v>519</v>
      </c>
      <c r="J324" s="7" t="s">
        <v>240</v>
      </c>
      <c r="K324" s="7" t="n">
        <f aca="false">IFERROR(VALUE(RIGHT(TRIM(F324),4)),"")</f>
        <v>2019</v>
      </c>
      <c r="L324" s="7" t="str">
        <f aca="false">IF(TRIM(E324)="","Unknown",IFERROR(LEFT(TRIM(E324),FIND(",",TRIM(E324))-1),TRIM(E324)))</f>
        <v>Nigeria</v>
      </c>
      <c r="M324" s="7" t="str">
        <f aca="false">IFERROR(LEFT(J324,FIND(",",J324)-1),J324)</f>
        <v>Dramas</v>
      </c>
      <c r="N324" s="7" t="n">
        <f aca="false">IF(B324="Movie",IFERROR(VALUE(LEFT(I324,FIND(" ",I324)-1)),""),"")</f>
        <v>119</v>
      </c>
      <c r="O324" s="7" t="str">
        <f aca="false">IF(B324="TV Show",IFERROR(VALUE(LEFT(I324,FIND(" ",I324)-1)),""),"")</f>
        <v/>
      </c>
      <c r="P324" s="7" t="n">
        <f aca="false">IF(K324="","",K324-G324)</f>
        <v>2</v>
      </c>
    </row>
    <row r="325" customFormat="false" ht="15" hidden="false" customHeight="false" outlineLevel="0" collapsed="false">
      <c r="A325" s="7" t="n">
        <v>81165770</v>
      </c>
      <c r="B325" s="7" t="s">
        <v>68</v>
      </c>
      <c r="C325" s="7" t="s">
        <v>943</v>
      </c>
      <c r="D325" s="7" t="s">
        <v>911</v>
      </c>
      <c r="E325" s="7" t="s">
        <v>527</v>
      </c>
      <c r="F325" s="7" t="s">
        <v>890</v>
      </c>
      <c r="G325" s="7" t="n">
        <v>2016</v>
      </c>
      <c r="H325" s="7" t="s">
        <v>49</v>
      </c>
      <c r="I325" s="7" t="s">
        <v>790</v>
      </c>
      <c r="J325" s="7" t="s">
        <v>182</v>
      </c>
      <c r="K325" s="7" t="n">
        <f aca="false">IFERROR(VALUE(RIGHT(TRIM(F325),4)),"")</f>
        <v>2019</v>
      </c>
      <c r="L325" s="7" t="str">
        <f aca="false">IF(TRIM(E325)="","Unknown",IFERROR(LEFT(TRIM(E325),FIND(",",TRIM(E325))-1),TRIM(E325)))</f>
        <v>Nigeria</v>
      </c>
      <c r="M325" s="7" t="str">
        <f aca="false">IFERROR(LEFT(J325,FIND(",",J325)-1),J325)</f>
        <v>Dramas</v>
      </c>
      <c r="N325" s="7" t="n">
        <f aca="false">IF(B325="Movie",IFERROR(VALUE(LEFT(I325,FIND(" ",I325)-1)),""),"")</f>
        <v>109</v>
      </c>
      <c r="O325" s="7" t="str">
        <f aca="false">IF(B325="TV Show",IFERROR(VALUE(LEFT(I325,FIND(" ",I325)-1)),""),"")</f>
        <v/>
      </c>
      <c r="P325" s="7" t="n">
        <f aca="false">IF(K325="","",K325-G325)</f>
        <v>3</v>
      </c>
    </row>
    <row r="326" customFormat="false" ht="15" hidden="false" customHeight="false" outlineLevel="0" collapsed="false">
      <c r="A326" s="7" t="n">
        <v>70043303</v>
      </c>
      <c r="B326" s="7" t="s">
        <v>68</v>
      </c>
      <c r="C326" s="7" t="s">
        <v>944</v>
      </c>
      <c r="D326" s="7" t="s">
        <v>945</v>
      </c>
      <c r="E326" s="7" t="s">
        <v>26</v>
      </c>
      <c r="F326" s="7" t="s">
        <v>890</v>
      </c>
      <c r="G326" s="7" t="n">
        <v>2006</v>
      </c>
      <c r="H326" s="7" t="s">
        <v>54</v>
      </c>
      <c r="I326" s="7" t="s">
        <v>134</v>
      </c>
      <c r="J326" s="7" t="s">
        <v>946</v>
      </c>
      <c r="K326" s="7" t="n">
        <f aca="false">IFERROR(VALUE(RIGHT(TRIM(F326),4)),"")</f>
        <v>2019</v>
      </c>
      <c r="L326" s="7" t="str">
        <f aca="false">IF(TRIM(E326)="","Unknown",IFERROR(LEFT(TRIM(E326),FIND(",",TRIM(E326))-1),TRIM(E326)))</f>
        <v>United States</v>
      </c>
      <c r="M326" s="7" t="str">
        <f aca="false">IFERROR(LEFT(J326,FIND(",",J326)-1),J326)</f>
        <v>Dramas</v>
      </c>
      <c r="N326" s="7" t="n">
        <f aca="false">IF(B326="Movie",IFERROR(VALUE(LEFT(I326,FIND(" ",I326)-1)),""),"")</f>
        <v>98</v>
      </c>
      <c r="O326" s="7" t="str">
        <f aca="false">IF(B326="TV Show",IFERROR(VALUE(LEFT(I326,FIND(" ",I326)-1)),""),"")</f>
        <v/>
      </c>
      <c r="P326" s="7" t="n">
        <f aca="false">IF(K326="","",K326-G326)</f>
        <v>13</v>
      </c>
    </row>
    <row r="327" customFormat="false" ht="15" hidden="false" customHeight="false" outlineLevel="0" collapsed="false">
      <c r="A327" s="7" t="n">
        <v>70136074</v>
      </c>
      <c r="B327" s="7" t="s">
        <v>68</v>
      </c>
      <c r="C327" s="7" t="s">
        <v>947</v>
      </c>
      <c r="D327" s="7" t="s">
        <v>948</v>
      </c>
      <c r="E327" s="7" t="s">
        <v>949</v>
      </c>
      <c r="F327" s="7" t="s">
        <v>890</v>
      </c>
      <c r="G327" s="7" t="n">
        <v>2010</v>
      </c>
      <c r="H327" s="7" t="s">
        <v>52</v>
      </c>
      <c r="I327" s="7" t="s">
        <v>264</v>
      </c>
      <c r="J327" s="7" t="s">
        <v>950</v>
      </c>
      <c r="K327" s="7" t="n">
        <f aca="false">IFERROR(VALUE(RIGHT(TRIM(F327),4)),"")</f>
        <v>2019</v>
      </c>
      <c r="L327" s="7" t="str">
        <f aca="false">IF(TRIM(E327)="","Unknown",IFERROR(LEFT(TRIM(E327),FIND(",",TRIM(E327))-1),TRIM(E327)))</f>
        <v>France</v>
      </c>
      <c r="M327" s="7" t="str">
        <f aca="false">IFERROR(LEFT(J327,FIND(",",J327)-1),J327)</f>
        <v>Horror Movies</v>
      </c>
      <c r="N327" s="7" t="n">
        <f aca="false">IF(B327="Movie",IFERROR(VALUE(LEFT(I327,FIND(" ",I327)-1)),""),"")</f>
        <v>88</v>
      </c>
      <c r="O327" s="7" t="str">
        <f aca="false">IF(B327="TV Show",IFERROR(VALUE(LEFT(I327,FIND(" ",I327)-1)),""),"")</f>
        <v/>
      </c>
      <c r="P327" s="7" t="n">
        <f aca="false">IF(K327="","",K327-G327)</f>
        <v>9</v>
      </c>
    </row>
    <row r="328" customFormat="false" ht="15" hidden="false" customHeight="false" outlineLevel="0" collapsed="false">
      <c r="A328" s="7" t="n">
        <v>1153194</v>
      </c>
      <c r="B328" s="7" t="s">
        <v>68</v>
      </c>
      <c r="C328" s="7" t="s">
        <v>951</v>
      </c>
      <c r="D328" s="7" t="s">
        <v>952</v>
      </c>
      <c r="E328" s="7" t="s">
        <v>26</v>
      </c>
      <c r="F328" s="7" t="s">
        <v>890</v>
      </c>
      <c r="G328" s="7" t="n">
        <v>1997</v>
      </c>
      <c r="H328" s="7" t="s">
        <v>52</v>
      </c>
      <c r="I328" s="7" t="s">
        <v>237</v>
      </c>
      <c r="J328" s="7" t="s">
        <v>953</v>
      </c>
      <c r="K328" s="7" t="n">
        <f aca="false">IFERROR(VALUE(RIGHT(TRIM(F328),4)),"")</f>
        <v>2019</v>
      </c>
      <c r="L328" s="7" t="str">
        <f aca="false">IF(TRIM(E328)="","Unknown",IFERROR(LEFT(TRIM(E328),FIND(",",TRIM(E328))-1),TRIM(E328)))</f>
        <v>United States</v>
      </c>
      <c r="M328" s="7" t="str">
        <f aca="false">IFERROR(LEFT(J328,FIND(",",J328)-1),J328)</f>
        <v>Action &amp; Adventure</v>
      </c>
      <c r="N328" s="7" t="n">
        <f aca="false">IF(B328="Movie",IFERROR(VALUE(LEFT(I328,FIND(" ",I328)-1)),""),"")</f>
        <v>116</v>
      </c>
      <c r="O328" s="7" t="str">
        <f aca="false">IF(B328="TV Show",IFERROR(VALUE(LEFT(I328,FIND(" ",I328)-1)),""),"")</f>
        <v/>
      </c>
      <c r="P328" s="7" t="n">
        <f aca="false">IF(K328="","",K328-G328)</f>
        <v>22</v>
      </c>
    </row>
    <row r="329" customFormat="false" ht="15" hidden="false" customHeight="false" outlineLevel="0" collapsed="false">
      <c r="A329" s="7" t="n">
        <v>70112730</v>
      </c>
      <c r="B329" s="7" t="s">
        <v>68</v>
      </c>
      <c r="C329" s="7" t="s">
        <v>954</v>
      </c>
      <c r="D329" s="7" t="s">
        <v>955</v>
      </c>
      <c r="E329" s="7" t="s">
        <v>293</v>
      </c>
      <c r="F329" s="7" t="s">
        <v>890</v>
      </c>
      <c r="G329" s="7" t="n">
        <v>2009</v>
      </c>
      <c r="H329" s="7" t="s">
        <v>51</v>
      </c>
      <c r="I329" s="7" t="s">
        <v>173</v>
      </c>
      <c r="J329" s="7" t="s">
        <v>40</v>
      </c>
      <c r="K329" s="7" t="n">
        <f aca="false">IFERROR(VALUE(RIGHT(TRIM(F329),4)),"")</f>
        <v>2019</v>
      </c>
      <c r="L329" s="7" t="str">
        <f aca="false">IF(TRIM(E329)="","Unknown",IFERROR(LEFT(TRIM(E329),FIND(",",TRIM(E329))-1),TRIM(E329)))</f>
        <v>United States</v>
      </c>
      <c r="M329" s="7" t="str">
        <f aca="false">IFERROR(LEFT(J329,FIND(",",J329)-1),J329)</f>
        <v>Action &amp; Adventure</v>
      </c>
      <c r="N329" s="7" t="n">
        <f aca="false">IF(B329="Movie",IFERROR(VALUE(LEFT(I329,FIND(" ",I329)-1)),""),"")</f>
        <v>106</v>
      </c>
      <c r="O329" s="7" t="str">
        <f aca="false">IF(B329="TV Show",IFERROR(VALUE(LEFT(I329,FIND(" ",I329)-1)),""),"")</f>
        <v/>
      </c>
      <c r="P329" s="7" t="n">
        <f aca="false">IF(K329="","",K329-G329)</f>
        <v>10</v>
      </c>
    </row>
    <row r="330" customFormat="false" ht="15" hidden="false" customHeight="false" outlineLevel="0" collapsed="false">
      <c r="A330" s="7" t="n">
        <v>81154900</v>
      </c>
      <c r="B330" s="7" t="s">
        <v>78</v>
      </c>
      <c r="C330" s="7" t="s">
        <v>956</v>
      </c>
      <c r="E330" s="7" t="s">
        <v>26</v>
      </c>
      <c r="F330" s="7" t="s">
        <v>890</v>
      </c>
      <c r="G330" s="7" t="n">
        <v>2019</v>
      </c>
      <c r="H330" s="7" t="s">
        <v>119</v>
      </c>
      <c r="I330" s="7" t="s">
        <v>82</v>
      </c>
      <c r="J330" s="7" t="s">
        <v>44</v>
      </c>
      <c r="K330" s="7" t="n">
        <f aca="false">IFERROR(VALUE(RIGHT(TRIM(F330),4)),"")</f>
        <v>2019</v>
      </c>
      <c r="L330" s="7" t="str">
        <f aca="false">IF(TRIM(E330)="","Unknown",IFERROR(LEFT(TRIM(E330),FIND(",",TRIM(E330))-1),TRIM(E330)))</f>
        <v>United States</v>
      </c>
      <c r="M330" s="7" t="str">
        <f aca="false">IFERROR(LEFT(J330,FIND(",",J330)-1),J330)</f>
        <v>Kids' TV</v>
      </c>
      <c r="N330" s="7" t="str">
        <f aca="false">IF(B330="Movie",IFERROR(VALUE(LEFT(I330,FIND(" ",I330)-1)),""),"")</f>
        <v/>
      </c>
      <c r="O330" s="7" t="n">
        <f aca="false">IF(B330="TV Show",IFERROR(VALUE(LEFT(I330,FIND(" ",I330)-1)),""),"")</f>
        <v>1</v>
      </c>
      <c r="P330" s="7" t="n">
        <f aca="false">IF(K330="","",K330-G330)</f>
        <v>0</v>
      </c>
    </row>
    <row r="331" customFormat="false" ht="15" hidden="false" customHeight="false" outlineLevel="0" collapsed="false">
      <c r="A331" s="7" t="n">
        <v>81154956</v>
      </c>
      <c r="B331" s="7" t="s">
        <v>78</v>
      </c>
      <c r="C331" s="7" t="s">
        <v>957</v>
      </c>
      <c r="F331" s="7" t="s">
        <v>890</v>
      </c>
      <c r="G331" s="7" t="n">
        <v>2018</v>
      </c>
      <c r="H331" s="7" t="s">
        <v>55</v>
      </c>
      <c r="I331" s="7" t="s">
        <v>82</v>
      </c>
      <c r="J331" s="7" t="s">
        <v>44</v>
      </c>
      <c r="K331" s="7" t="n">
        <f aca="false">IFERROR(VALUE(RIGHT(TRIM(F331),4)),"")</f>
        <v>2019</v>
      </c>
      <c r="L331" s="7" t="str">
        <f aca="false">IF(TRIM(E331)="","Unknown",IFERROR(LEFT(TRIM(E331),FIND(",",TRIM(E331))-1),TRIM(E331)))</f>
        <v>Unknown</v>
      </c>
      <c r="M331" s="7" t="str">
        <f aca="false">IFERROR(LEFT(J331,FIND(",",J331)-1),J331)</f>
        <v>Kids' TV</v>
      </c>
      <c r="N331" s="7" t="str">
        <f aca="false">IF(B331="Movie",IFERROR(VALUE(LEFT(I331,FIND(" ",I331)-1)),""),"")</f>
        <v/>
      </c>
      <c r="O331" s="7" t="n">
        <f aca="false">IF(B331="TV Show",IFERROR(VALUE(LEFT(I331,FIND(" ",I331)-1)),""),"")</f>
        <v>1</v>
      </c>
      <c r="P331" s="7" t="n">
        <f aca="false">IF(K331="","",K331-G331)</f>
        <v>1</v>
      </c>
    </row>
    <row r="332" customFormat="false" ht="15" hidden="false" customHeight="false" outlineLevel="0" collapsed="false">
      <c r="A332" s="7" t="n">
        <v>81158575</v>
      </c>
      <c r="B332" s="7" t="s">
        <v>68</v>
      </c>
      <c r="C332" s="7" t="s">
        <v>958</v>
      </c>
      <c r="D332" s="7" t="s">
        <v>959</v>
      </c>
      <c r="E332" s="7" t="s">
        <v>960</v>
      </c>
      <c r="F332" s="7" t="s">
        <v>890</v>
      </c>
      <c r="G332" s="7" t="n">
        <v>2019</v>
      </c>
      <c r="H332" s="7" t="s">
        <v>49</v>
      </c>
      <c r="I332" s="7" t="s">
        <v>111</v>
      </c>
      <c r="J332" s="7" t="s">
        <v>202</v>
      </c>
      <c r="K332" s="7" t="n">
        <f aca="false">IFERROR(VALUE(RIGHT(TRIM(F332),4)),"")</f>
        <v>2019</v>
      </c>
      <c r="L332" s="7" t="str">
        <f aca="false">IF(TRIM(E332)="","Unknown",IFERROR(LEFT(TRIM(E332),FIND(",",TRIM(E332))-1),TRIM(E332)))</f>
        <v>United Arab Emirates</v>
      </c>
      <c r="M332" s="7" t="str">
        <f aca="false">IFERROR(LEFT(J332,FIND(",",J332)-1),J332)</f>
        <v>Comedies</v>
      </c>
      <c r="N332" s="7" t="n">
        <f aca="false">IF(B332="Movie",IFERROR(VALUE(LEFT(I332,FIND(" ",I332)-1)),""),"")</f>
        <v>95</v>
      </c>
      <c r="O332" s="7" t="str">
        <f aca="false">IF(B332="TV Show",IFERROR(VALUE(LEFT(I332,FIND(" ",I332)-1)),""),"")</f>
        <v/>
      </c>
      <c r="P332" s="7" t="n">
        <f aca="false">IF(K332="","",K332-G332)</f>
        <v>0</v>
      </c>
    </row>
    <row r="333" customFormat="false" ht="15" hidden="false" customHeight="false" outlineLevel="0" collapsed="false">
      <c r="A333" s="7" t="n">
        <v>81065786</v>
      </c>
      <c r="B333" s="7" t="s">
        <v>68</v>
      </c>
      <c r="C333" s="7" t="s">
        <v>961</v>
      </c>
      <c r="D333" s="7" t="s">
        <v>962</v>
      </c>
      <c r="E333" s="7" t="s">
        <v>963</v>
      </c>
      <c r="F333" s="7" t="s">
        <v>890</v>
      </c>
      <c r="G333" s="7" t="n">
        <v>2018</v>
      </c>
      <c r="H333" s="7" t="s">
        <v>48</v>
      </c>
      <c r="I333" s="7" t="s">
        <v>111</v>
      </c>
      <c r="J333" s="7" t="s">
        <v>139</v>
      </c>
      <c r="K333" s="7" t="n">
        <f aca="false">IFERROR(VALUE(RIGHT(TRIM(F333),4)),"")</f>
        <v>2019</v>
      </c>
      <c r="L333" s="7" t="str">
        <f aca="false">IF(TRIM(E333)="","Unknown",IFERROR(LEFT(TRIM(E333),FIND(",",TRIM(E333))-1),TRIM(E333)))</f>
        <v>Egypt</v>
      </c>
      <c r="M333" s="7" t="str">
        <f aca="false">IFERROR(LEFT(J333,FIND(",",J333)-1),J333)</f>
        <v>Action &amp; Adventure</v>
      </c>
      <c r="N333" s="7" t="n">
        <f aca="false">IF(B333="Movie",IFERROR(VALUE(LEFT(I333,FIND(" ",I333)-1)),""),"")</f>
        <v>95</v>
      </c>
      <c r="O333" s="7" t="str">
        <f aca="false">IF(B333="TV Show",IFERROR(VALUE(LEFT(I333,FIND(" ",I333)-1)),""),"")</f>
        <v/>
      </c>
      <c r="P333" s="7" t="n">
        <f aca="false">IF(K333="","",K333-G333)</f>
        <v>1</v>
      </c>
    </row>
    <row r="334" customFormat="false" ht="15" hidden="false" customHeight="false" outlineLevel="0" collapsed="false">
      <c r="A334" s="7" t="n">
        <v>70087541</v>
      </c>
      <c r="B334" s="7" t="s">
        <v>68</v>
      </c>
      <c r="C334" s="7" t="s">
        <v>964</v>
      </c>
      <c r="D334" s="7" t="s">
        <v>965</v>
      </c>
      <c r="E334" s="7" t="s">
        <v>26</v>
      </c>
      <c r="F334" s="7" t="s">
        <v>890</v>
      </c>
      <c r="G334" s="7" t="n">
        <v>2008</v>
      </c>
      <c r="H334" s="7" t="s">
        <v>966</v>
      </c>
      <c r="I334" s="7" t="s">
        <v>146</v>
      </c>
      <c r="J334" s="7" t="s">
        <v>967</v>
      </c>
      <c r="K334" s="7" t="n">
        <f aca="false">IFERROR(VALUE(RIGHT(TRIM(F334),4)),"")</f>
        <v>2019</v>
      </c>
      <c r="L334" s="7" t="str">
        <f aca="false">IF(TRIM(E334)="","Unknown",IFERROR(LEFT(TRIM(E334),FIND(",",TRIM(E334))-1),TRIM(E334)))</f>
        <v>United States</v>
      </c>
      <c r="M334" s="7" t="str">
        <f aca="false">IFERROR(LEFT(J334,FIND(",",J334)-1),J334)</f>
        <v>Action &amp; Adventure</v>
      </c>
      <c r="N334" s="7" t="n">
        <f aca="false">IF(B334="Movie",IFERROR(VALUE(LEFT(I334,FIND(" ",I334)-1)),""),"")</f>
        <v>113</v>
      </c>
      <c r="O334" s="7" t="str">
        <f aca="false">IF(B334="TV Show",IFERROR(VALUE(LEFT(I334,FIND(" ",I334)-1)),""),"")</f>
        <v/>
      </c>
      <c r="P334" s="7" t="n">
        <f aca="false">IF(K334="","",K334-G334)</f>
        <v>11</v>
      </c>
    </row>
    <row r="335" customFormat="false" ht="15" hidden="false" customHeight="false" outlineLevel="0" collapsed="false">
      <c r="A335" s="7" t="n">
        <v>81004113</v>
      </c>
      <c r="B335" s="7" t="s">
        <v>78</v>
      </c>
      <c r="C335" s="7" t="s">
        <v>968</v>
      </c>
      <c r="D335" s="7" t="s">
        <v>969</v>
      </c>
      <c r="E335" s="7" t="s">
        <v>970</v>
      </c>
      <c r="F335" s="7" t="s">
        <v>971</v>
      </c>
      <c r="G335" s="7" t="n">
        <v>2018</v>
      </c>
      <c r="H335" s="7" t="s">
        <v>48</v>
      </c>
      <c r="I335" s="7" t="s">
        <v>82</v>
      </c>
      <c r="J335" s="7" t="s">
        <v>402</v>
      </c>
      <c r="K335" s="7" t="n">
        <f aca="false">IFERROR(VALUE(RIGHT(TRIM(F335),4)),"")</f>
        <v>2018</v>
      </c>
      <c r="L335" s="7" t="str">
        <f aca="false">IF(TRIM(E335)="","Unknown",IFERROR(LEFT(TRIM(E335),FIND(",",TRIM(E335))-1),TRIM(E335)))</f>
        <v>Taiwan</v>
      </c>
      <c r="M335" s="7" t="str">
        <f aca="false">IFERROR(LEFT(J335,FIND(",",J335)-1),J335)</f>
        <v>Crime TV Shows</v>
      </c>
      <c r="N335" s="7" t="str">
        <f aca="false">IF(B335="Movie",IFERROR(VALUE(LEFT(I335,FIND(" ",I335)-1)),""),"")</f>
        <v/>
      </c>
      <c r="O335" s="7" t="n">
        <f aca="false">IF(B335="TV Show",IFERROR(VALUE(LEFT(I335,FIND(" ",I335)-1)),""),"")</f>
        <v>1</v>
      </c>
      <c r="P335" s="7" t="n">
        <f aca="false">IF(K335="","",K335-G335)</f>
        <v>0</v>
      </c>
    </row>
    <row r="336" customFormat="false" ht="15" hidden="false" customHeight="false" outlineLevel="0" collapsed="false">
      <c r="A336" s="7" t="n">
        <v>81003984</v>
      </c>
      <c r="B336" s="7" t="s">
        <v>68</v>
      </c>
      <c r="C336" s="7" t="s">
        <v>972</v>
      </c>
      <c r="D336" s="7" t="s">
        <v>973</v>
      </c>
      <c r="E336" s="7" t="s">
        <v>33</v>
      </c>
      <c r="F336" s="7" t="s">
        <v>971</v>
      </c>
      <c r="G336" s="7" t="n">
        <v>2015</v>
      </c>
      <c r="H336" s="7" t="s">
        <v>49</v>
      </c>
      <c r="I336" s="7" t="s">
        <v>232</v>
      </c>
      <c r="J336" s="7" t="s">
        <v>974</v>
      </c>
      <c r="K336" s="7" t="n">
        <f aca="false">IFERROR(VALUE(RIGHT(TRIM(F336),4)),"")</f>
        <v>2018</v>
      </c>
      <c r="L336" s="7" t="str">
        <f aca="false">IF(TRIM(E336)="","Unknown",IFERROR(LEFT(TRIM(E336),FIND(",",TRIM(E336))-1),TRIM(E336)))</f>
        <v>Spain</v>
      </c>
      <c r="M336" s="7" t="str">
        <f aca="false">IFERROR(LEFT(J336,FIND(",",J336)-1),J336)</f>
        <v>Documentaries</v>
      </c>
      <c r="N336" s="7" t="n">
        <f aca="false">IF(B336="Movie",IFERROR(VALUE(LEFT(I336,FIND(" ",I336)-1)),""),"")</f>
        <v>122</v>
      </c>
      <c r="O336" s="7" t="str">
        <f aca="false">IF(B336="TV Show",IFERROR(VALUE(LEFT(I336,FIND(" ",I336)-1)),""),"")</f>
        <v/>
      </c>
      <c r="P336" s="7" t="n">
        <f aca="false">IF(K336="","",K336-G336)</f>
        <v>3</v>
      </c>
    </row>
    <row r="337" customFormat="false" ht="15" hidden="false" customHeight="false" outlineLevel="0" collapsed="false">
      <c r="A337" s="7" t="n">
        <v>70024088</v>
      </c>
      <c r="B337" s="7" t="s">
        <v>68</v>
      </c>
      <c r="C337" s="7" t="s">
        <v>975</v>
      </c>
      <c r="D337" s="7" t="s">
        <v>976</v>
      </c>
      <c r="E337" s="7" t="s">
        <v>26</v>
      </c>
      <c r="F337" s="7" t="s">
        <v>971</v>
      </c>
      <c r="G337" s="7" t="n">
        <v>2005</v>
      </c>
      <c r="H337" s="7" t="s">
        <v>51</v>
      </c>
      <c r="I337" s="7" t="s">
        <v>93</v>
      </c>
      <c r="J337" s="7" t="s">
        <v>977</v>
      </c>
      <c r="K337" s="7" t="n">
        <f aca="false">IFERROR(VALUE(RIGHT(TRIM(F337),4)),"")</f>
        <v>2018</v>
      </c>
      <c r="L337" s="7" t="str">
        <f aca="false">IF(TRIM(E337)="","Unknown",IFERROR(LEFT(TRIM(E337),FIND(",",TRIM(E337))-1),TRIM(E337)))</f>
        <v>United States</v>
      </c>
      <c r="M337" s="7" t="str">
        <f aca="false">IFERROR(LEFT(J337,FIND(",",J337)-1),J337)</f>
        <v>Independent Movies</v>
      </c>
      <c r="N337" s="7" t="n">
        <f aca="false">IF(B337="Movie",IFERROR(VALUE(LEFT(I337,FIND(" ",I337)-1)),""),"")</f>
        <v>110</v>
      </c>
      <c r="O337" s="7" t="str">
        <f aca="false">IF(B337="TV Show",IFERROR(VALUE(LEFT(I337,FIND(" ",I337)-1)),""),"")</f>
        <v/>
      </c>
      <c r="P337" s="7" t="n">
        <f aca="false">IF(K337="","",K337-G337)</f>
        <v>13</v>
      </c>
    </row>
    <row r="338" customFormat="false" ht="15" hidden="false" customHeight="false" outlineLevel="0" collapsed="false">
      <c r="A338" s="7" t="n">
        <v>81005312</v>
      </c>
      <c r="B338" s="7" t="s">
        <v>68</v>
      </c>
      <c r="C338" s="7" t="s">
        <v>978</v>
      </c>
      <c r="D338" s="7" t="s">
        <v>979</v>
      </c>
      <c r="E338" s="7" t="s">
        <v>129</v>
      </c>
      <c r="F338" s="7" t="s">
        <v>971</v>
      </c>
      <c r="G338" s="7" t="n">
        <v>2017</v>
      </c>
      <c r="H338" s="7" t="s">
        <v>48</v>
      </c>
      <c r="I338" s="7" t="s">
        <v>417</v>
      </c>
      <c r="J338" s="7" t="s">
        <v>182</v>
      </c>
      <c r="K338" s="7" t="n">
        <f aca="false">IFERROR(VALUE(RIGHT(TRIM(F338),4)),"")</f>
        <v>2018</v>
      </c>
      <c r="L338" s="7" t="str">
        <f aca="false">IF(TRIM(E338)="","Unknown",IFERROR(LEFT(TRIM(E338),FIND(",",TRIM(E338))-1),TRIM(E338)))</f>
        <v>France</v>
      </c>
      <c r="M338" s="7" t="str">
        <f aca="false">IFERROR(LEFT(J338,FIND(",",J338)-1),J338)</f>
        <v>Dramas</v>
      </c>
      <c r="N338" s="7" t="n">
        <f aca="false">IF(B338="Movie",IFERROR(VALUE(LEFT(I338,FIND(" ",I338)-1)),""),"")</f>
        <v>104</v>
      </c>
      <c r="O338" s="7" t="str">
        <f aca="false">IF(B338="TV Show",IFERROR(VALUE(LEFT(I338,FIND(" ",I338)-1)),""),"")</f>
        <v/>
      </c>
      <c r="P338" s="7" t="n">
        <f aca="false">IF(K338="","",K338-G338)</f>
        <v>1</v>
      </c>
    </row>
    <row r="339" customFormat="false" ht="15" hidden="false" customHeight="false" outlineLevel="0" collapsed="false">
      <c r="A339" s="7" t="n">
        <v>80082969</v>
      </c>
      <c r="B339" s="7" t="s">
        <v>68</v>
      </c>
      <c r="C339" s="7" t="s">
        <v>980</v>
      </c>
      <c r="D339" s="7" t="s">
        <v>981</v>
      </c>
      <c r="E339" s="7" t="s">
        <v>26</v>
      </c>
      <c r="F339" s="7" t="s">
        <v>971</v>
      </c>
      <c r="G339" s="7" t="n">
        <v>2018</v>
      </c>
      <c r="H339" s="7" t="s">
        <v>51</v>
      </c>
      <c r="I339" s="7" t="s">
        <v>138</v>
      </c>
      <c r="J339" s="7" t="s">
        <v>147</v>
      </c>
      <c r="K339" s="7" t="n">
        <f aca="false">IFERROR(VALUE(RIGHT(TRIM(F339),4)),"")</f>
        <v>2018</v>
      </c>
      <c r="L339" s="7" t="str">
        <f aca="false">IF(TRIM(E339)="","Unknown",IFERROR(LEFT(TRIM(E339),FIND(",",TRIM(E339))-1),TRIM(E339)))</f>
        <v>United States</v>
      </c>
      <c r="M339" s="7" t="str">
        <f aca="false">IFERROR(LEFT(J339,FIND(",",J339)-1),J339)</f>
        <v>Horror Movies</v>
      </c>
      <c r="N339" s="7" t="n">
        <f aca="false">IF(B339="Movie",IFERROR(VALUE(LEFT(I339,FIND(" ",I339)-1)),""),"")</f>
        <v>96</v>
      </c>
      <c r="O339" s="7" t="str">
        <f aca="false">IF(B339="TV Show",IFERROR(VALUE(LEFT(I339,FIND(" ",I339)-1)),""),"")</f>
        <v/>
      </c>
      <c r="P339" s="7" t="n">
        <f aca="false">IF(K339="","",K339-G339)</f>
        <v>0</v>
      </c>
    </row>
    <row r="340" customFormat="false" ht="15" hidden="false" customHeight="false" outlineLevel="0" collapsed="false">
      <c r="A340" s="7" t="n">
        <v>80994130</v>
      </c>
      <c r="B340" s="7" t="s">
        <v>68</v>
      </c>
      <c r="C340" s="7" t="s">
        <v>982</v>
      </c>
      <c r="D340" s="7" t="s">
        <v>983</v>
      </c>
      <c r="E340" s="7" t="s">
        <v>27</v>
      </c>
      <c r="F340" s="7" t="s">
        <v>971</v>
      </c>
      <c r="G340" s="7" t="n">
        <v>2018</v>
      </c>
      <c r="H340" s="7" t="s">
        <v>48</v>
      </c>
      <c r="I340" s="7" t="s">
        <v>790</v>
      </c>
      <c r="J340" s="7" t="s">
        <v>188</v>
      </c>
      <c r="K340" s="7" t="n">
        <f aca="false">IFERROR(VALUE(RIGHT(TRIM(F340),4)),"")</f>
        <v>2018</v>
      </c>
      <c r="L340" s="7" t="str">
        <f aca="false">IF(TRIM(E340)="","Unknown",IFERROR(LEFT(TRIM(E340),FIND(",",TRIM(E340))-1),TRIM(E340)))</f>
        <v>India</v>
      </c>
      <c r="M340" s="7" t="str">
        <f aca="false">IFERROR(LEFT(J340,FIND(",",J340)-1),J340)</f>
        <v>Dramas</v>
      </c>
      <c r="N340" s="7" t="n">
        <f aca="false">IF(B340="Movie",IFERROR(VALUE(LEFT(I340,FIND(" ",I340)-1)),""),"")</f>
        <v>109</v>
      </c>
      <c r="O340" s="7" t="str">
        <f aca="false">IF(B340="TV Show",IFERROR(VALUE(LEFT(I340,FIND(" ",I340)-1)),""),"")</f>
        <v/>
      </c>
      <c r="P340" s="7" t="n">
        <f aca="false">IF(K340="","",K340-G340)</f>
        <v>0</v>
      </c>
    </row>
    <row r="341" customFormat="false" ht="15" hidden="false" customHeight="false" outlineLevel="0" collapsed="false">
      <c r="A341" s="7" t="n">
        <v>81019924</v>
      </c>
      <c r="B341" s="7" t="s">
        <v>68</v>
      </c>
      <c r="C341" s="7" t="s">
        <v>984</v>
      </c>
      <c r="D341" s="7" t="s">
        <v>985</v>
      </c>
      <c r="E341" s="7" t="s">
        <v>27</v>
      </c>
      <c r="F341" s="7" t="s">
        <v>971</v>
      </c>
      <c r="G341" s="7" t="n">
        <v>2018</v>
      </c>
      <c r="H341" s="7" t="s">
        <v>49</v>
      </c>
      <c r="I341" s="7" t="s">
        <v>111</v>
      </c>
      <c r="J341" s="7" t="s">
        <v>986</v>
      </c>
      <c r="K341" s="7" t="n">
        <f aca="false">IFERROR(VALUE(RIGHT(TRIM(F341),4)),"")</f>
        <v>2018</v>
      </c>
      <c r="L341" s="7" t="str">
        <f aca="false">IF(TRIM(E341)="","Unknown",IFERROR(LEFT(TRIM(E341),FIND(",",TRIM(E341))-1),TRIM(E341)))</f>
        <v>India</v>
      </c>
      <c r="M341" s="7" t="str">
        <f aca="false">IFERROR(LEFT(J341,FIND(",",J341)-1),J341)</f>
        <v>Children &amp; Family Movies</v>
      </c>
      <c r="N341" s="7" t="n">
        <f aca="false">IF(B341="Movie",IFERROR(VALUE(LEFT(I341,FIND(" ",I341)-1)),""),"")</f>
        <v>95</v>
      </c>
      <c r="O341" s="7" t="str">
        <f aca="false">IF(B341="TV Show",IFERROR(VALUE(LEFT(I341,FIND(" ",I341)-1)),""),"")</f>
        <v/>
      </c>
      <c r="P341" s="7" t="n">
        <f aca="false">IF(K341="","",K341-G341)</f>
        <v>0</v>
      </c>
    </row>
    <row r="342" customFormat="false" ht="15" hidden="false" customHeight="false" outlineLevel="0" collapsed="false">
      <c r="A342" s="7" t="n">
        <v>81018240</v>
      </c>
      <c r="B342" s="7" t="s">
        <v>68</v>
      </c>
      <c r="C342" s="7" t="s">
        <v>987</v>
      </c>
      <c r="D342" s="7" t="s">
        <v>988</v>
      </c>
      <c r="E342" s="7" t="s">
        <v>27</v>
      </c>
      <c r="F342" s="7" t="s">
        <v>971</v>
      </c>
      <c r="G342" s="7" t="n">
        <v>2018</v>
      </c>
      <c r="H342" s="7" t="s">
        <v>49</v>
      </c>
      <c r="I342" s="7" t="s">
        <v>93</v>
      </c>
      <c r="J342" s="7" t="s">
        <v>188</v>
      </c>
      <c r="K342" s="7" t="n">
        <f aca="false">IFERROR(VALUE(RIGHT(TRIM(F342),4)),"")</f>
        <v>2018</v>
      </c>
      <c r="L342" s="7" t="str">
        <f aca="false">IF(TRIM(E342)="","Unknown",IFERROR(LEFT(TRIM(E342),FIND(",",TRIM(E342))-1),TRIM(E342)))</f>
        <v>India</v>
      </c>
      <c r="M342" s="7" t="str">
        <f aca="false">IFERROR(LEFT(J342,FIND(",",J342)-1),J342)</f>
        <v>Dramas</v>
      </c>
      <c r="N342" s="7" t="n">
        <f aca="false">IF(B342="Movie",IFERROR(VALUE(LEFT(I342,FIND(" ",I342)-1)),""),"")</f>
        <v>110</v>
      </c>
      <c r="O342" s="7" t="str">
        <f aca="false">IF(B342="TV Show",IFERROR(VALUE(LEFT(I342,FIND(" ",I342)-1)),""),"")</f>
        <v/>
      </c>
      <c r="P342" s="7" t="n">
        <f aca="false">IF(K342="","",K342-G342)</f>
        <v>0</v>
      </c>
    </row>
    <row r="343" customFormat="false" ht="15" hidden="false" customHeight="false" outlineLevel="0" collapsed="false">
      <c r="A343" s="7" t="n">
        <v>81013710</v>
      </c>
      <c r="B343" s="7" t="s">
        <v>68</v>
      </c>
      <c r="C343" s="7" t="s">
        <v>989</v>
      </c>
      <c r="D343" s="7" t="s">
        <v>990</v>
      </c>
      <c r="E343" s="7" t="s">
        <v>27</v>
      </c>
      <c r="F343" s="7" t="s">
        <v>971</v>
      </c>
      <c r="G343" s="7" t="n">
        <v>2017</v>
      </c>
      <c r="H343" s="7" t="s">
        <v>48</v>
      </c>
      <c r="I343" s="7" t="s">
        <v>93</v>
      </c>
      <c r="J343" s="7" t="s">
        <v>188</v>
      </c>
      <c r="K343" s="7" t="n">
        <f aca="false">IFERROR(VALUE(RIGHT(TRIM(F343),4)),"")</f>
        <v>2018</v>
      </c>
      <c r="L343" s="7" t="str">
        <f aca="false">IF(TRIM(E343)="","Unknown",IFERROR(LEFT(TRIM(E343),FIND(",",TRIM(E343))-1),TRIM(E343)))</f>
        <v>India</v>
      </c>
      <c r="M343" s="7" t="str">
        <f aca="false">IFERROR(LEFT(J343,FIND(",",J343)-1),J343)</f>
        <v>Dramas</v>
      </c>
      <c r="N343" s="7" t="n">
        <f aca="false">IF(B343="Movie",IFERROR(VALUE(LEFT(I343,FIND(" ",I343)-1)),""),"")</f>
        <v>110</v>
      </c>
      <c r="O343" s="7" t="str">
        <f aca="false">IF(B343="TV Show",IFERROR(VALUE(LEFT(I343,FIND(" ",I343)-1)),""),"")</f>
        <v/>
      </c>
      <c r="P343" s="7" t="n">
        <f aca="false">IF(K343="","",K343-G343)</f>
        <v>1</v>
      </c>
    </row>
    <row r="344" customFormat="false" ht="15" hidden="false" customHeight="false" outlineLevel="0" collapsed="false">
      <c r="A344" s="7" t="n">
        <v>70077076</v>
      </c>
      <c r="B344" s="7" t="s">
        <v>68</v>
      </c>
      <c r="C344" s="7" t="s">
        <v>991</v>
      </c>
      <c r="D344" s="7" t="s">
        <v>369</v>
      </c>
      <c r="E344" s="7" t="s">
        <v>26</v>
      </c>
      <c r="F344" s="7" t="s">
        <v>971</v>
      </c>
      <c r="G344" s="7" t="n">
        <v>2007</v>
      </c>
      <c r="H344" s="7" t="s">
        <v>53</v>
      </c>
      <c r="I344" s="7" t="s">
        <v>143</v>
      </c>
      <c r="J344" s="7" t="s">
        <v>992</v>
      </c>
      <c r="K344" s="7" t="n">
        <f aca="false">IFERROR(VALUE(RIGHT(TRIM(F344),4)),"")</f>
        <v>2018</v>
      </c>
      <c r="L344" s="7" t="str">
        <f aca="false">IF(TRIM(E344)="","Unknown",IFERROR(LEFT(TRIM(E344),FIND(",",TRIM(E344))-1),TRIM(E344)))</f>
        <v>United States</v>
      </c>
      <c r="M344" s="7" t="str">
        <f aca="false">IFERROR(LEFT(J344,FIND(",",J344)-1),J344)</f>
        <v>Comedies</v>
      </c>
      <c r="N344" s="7" t="n">
        <f aca="false">IF(B344="Movie",IFERROR(VALUE(LEFT(I344,FIND(" ",I344)-1)),""),"")</f>
        <v>79</v>
      </c>
      <c r="O344" s="7" t="str">
        <f aca="false">IF(B344="TV Show",IFERROR(VALUE(LEFT(I344,FIND(" ",I344)-1)),""),"")</f>
        <v/>
      </c>
      <c r="P344" s="7" t="n">
        <f aca="false">IF(K344="","",K344-G344)</f>
        <v>11</v>
      </c>
    </row>
    <row r="345" customFormat="false" ht="15" hidden="false" customHeight="false" outlineLevel="0" collapsed="false">
      <c r="A345" s="7" t="n">
        <v>81014988</v>
      </c>
      <c r="B345" s="7" t="s">
        <v>68</v>
      </c>
      <c r="C345" s="7" t="s">
        <v>993</v>
      </c>
      <c r="D345" s="7" t="s">
        <v>994</v>
      </c>
      <c r="E345" s="7" t="s">
        <v>995</v>
      </c>
      <c r="F345" s="7" t="s">
        <v>971</v>
      </c>
      <c r="G345" s="7" t="n">
        <v>2018</v>
      </c>
      <c r="H345" s="7" t="s">
        <v>50</v>
      </c>
      <c r="I345" s="7" t="s">
        <v>512</v>
      </c>
      <c r="J345" s="7" t="s">
        <v>188</v>
      </c>
      <c r="K345" s="7" t="n">
        <f aca="false">IFERROR(VALUE(RIGHT(TRIM(F345),4)),"")</f>
        <v>2018</v>
      </c>
      <c r="L345" s="7" t="str">
        <f aca="false">IF(TRIM(E345)="","Unknown",IFERROR(LEFT(TRIM(E345),FIND(",",TRIM(E345))-1),TRIM(E345)))</f>
        <v>India</v>
      </c>
      <c r="M345" s="7" t="str">
        <f aca="false">IFERROR(LEFT(J345,FIND(",",J345)-1),J345)</f>
        <v>Dramas</v>
      </c>
      <c r="N345" s="7" t="n">
        <f aca="false">IF(B345="Movie",IFERROR(VALUE(LEFT(I345,FIND(" ",I345)-1)),""),"")</f>
        <v>101</v>
      </c>
      <c r="O345" s="7" t="str">
        <f aca="false">IF(B345="TV Show",IFERROR(VALUE(LEFT(I345,FIND(" ",I345)-1)),""),"")</f>
        <v/>
      </c>
      <c r="P345" s="7" t="n">
        <f aca="false">IF(K345="","",K345-G345)</f>
        <v>0</v>
      </c>
    </row>
    <row r="346" customFormat="false" ht="15" hidden="false" customHeight="false" outlineLevel="0" collapsed="false">
      <c r="A346" s="7" t="n">
        <v>80102950</v>
      </c>
      <c r="B346" s="7" t="s">
        <v>68</v>
      </c>
      <c r="C346" s="7" t="s">
        <v>996</v>
      </c>
      <c r="D346" s="7" t="s">
        <v>239</v>
      </c>
      <c r="E346" s="7" t="s">
        <v>167</v>
      </c>
      <c r="F346" s="7" t="s">
        <v>971</v>
      </c>
      <c r="G346" s="7" t="n">
        <v>2013</v>
      </c>
      <c r="H346" s="7" t="s">
        <v>48</v>
      </c>
      <c r="I346" s="7" t="s">
        <v>168</v>
      </c>
      <c r="J346" s="7" t="s">
        <v>486</v>
      </c>
      <c r="K346" s="7" t="n">
        <f aca="false">IFERROR(VALUE(RIGHT(TRIM(F346),4)),"")</f>
        <v>2018</v>
      </c>
      <c r="L346" s="7" t="str">
        <f aca="false">IF(TRIM(E346)="","Unknown",IFERROR(LEFT(TRIM(E346),FIND(",",TRIM(E346))-1),TRIM(E346)))</f>
        <v>Thailand</v>
      </c>
      <c r="M346" s="7" t="str">
        <f aca="false">IFERROR(LEFT(J346,FIND(",",J346)-1),J346)</f>
        <v>Comedies</v>
      </c>
      <c r="N346" s="7" t="n">
        <f aca="false">IF(B346="Movie",IFERROR(VALUE(LEFT(I346,FIND(" ",I346)-1)),""),"")</f>
        <v>112</v>
      </c>
      <c r="O346" s="7" t="str">
        <f aca="false">IF(B346="TV Show",IFERROR(VALUE(LEFT(I346,FIND(" ",I346)-1)),""),"")</f>
        <v/>
      </c>
      <c r="P346" s="7" t="n">
        <f aca="false">IF(K346="","",K346-G346)</f>
        <v>5</v>
      </c>
    </row>
    <row r="347" customFormat="false" ht="15" hidden="false" customHeight="false" outlineLevel="0" collapsed="false">
      <c r="A347" s="7" t="n">
        <v>80994108</v>
      </c>
      <c r="B347" s="7" t="s">
        <v>78</v>
      </c>
      <c r="C347" s="7" t="s">
        <v>997</v>
      </c>
      <c r="E347" s="7" t="s">
        <v>35</v>
      </c>
      <c r="F347" s="7" t="s">
        <v>971</v>
      </c>
      <c r="G347" s="7" t="n">
        <v>2018</v>
      </c>
      <c r="H347" s="7" t="s">
        <v>48</v>
      </c>
      <c r="I347" s="7" t="s">
        <v>82</v>
      </c>
      <c r="J347" s="7" t="s">
        <v>335</v>
      </c>
      <c r="K347" s="7" t="n">
        <f aca="false">IFERROR(VALUE(RIGHT(TRIM(F347),4)),"")</f>
        <v>2018</v>
      </c>
      <c r="L347" s="7" t="str">
        <f aca="false">IF(TRIM(E347)="","Unknown",IFERROR(LEFT(TRIM(E347),FIND(",",TRIM(E347))-1),TRIM(E347)))</f>
        <v>Australia</v>
      </c>
      <c r="M347" s="7" t="str">
        <f aca="false">IFERROR(LEFT(J347,FIND(",",J347)-1),J347)</f>
        <v>International TV Shows</v>
      </c>
      <c r="N347" s="7" t="str">
        <f aca="false">IF(B347="Movie",IFERROR(VALUE(LEFT(I347,FIND(" ",I347)-1)),""),"")</f>
        <v/>
      </c>
      <c r="O347" s="7" t="n">
        <f aca="false">IF(B347="TV Show",IFERROR(VALUE(LEFT(I347,FIND(" ",I347)-1)),""),"")</f>
        <v>1</v>
      </c>
      <c r="P347" s="7" t="n">
        <f aca="false">IF(K347="","",K347-G347)</f>
        <v>0</v>
      </c>
    </row>
    <row r="348" customFormat="false" ht="15" hidden="false" customHeight="false" outlineLevel="0" collapsed="false">
      <c r="A348" s="7" t="n">
        <v>70055221</v>
      </c>
      <c r="B348" s="7" t="s">
        <v>68</v>
      </c>
      <c r="C348" s="7" t="s">
        <v>998</v>
      </c>
      <c r="D348" s="7" t="s">
        <v>999</v>
      </c>
      <c r="E348" s="7" t="s">
        <v>34</v>
      </c>
      <c r="F348" s="7" t="s">
        <v>971</v>
      </c>
      <c r="G348" s="7" t="n">
        <v>1991</v>
      </c>
      <c r="H348" s="7" t="s">
        <v>53</v>
      </c>
      <c r="I348" s="7" t="s">
        <v>77</v>
      </c>
      <c r="J348" s="7" t="s">
        <v>1000</v>
      </c>
      <c r="K348" s="7" t="n">
        <f aca="false">IFERROR(VALUE(RIGHT(TRIM(F348),4)),"")</f>
        <v>2018</v>
      </c>
      <c r="L348" s="7" t="str">
        <f aca="false">IF(TRIM(E348)="","Unknown",IFERROR(LEFT(TRIM(E348),FIND(",",TRIM(E348))-1),TRIM(E348)))</f>
        <v>Mexico</v>
      </c>
      <c r="M348" s="7" t="str">
        <f aca="false">IFERROR(LEFT(J348,FIND(",",J348)-1),J348)</f>
        <v>Comedies</v>
      </c>
      <c r="N348" s="7" t="n">
        <f aca="false">IF(B348="Movie",IFERROR(VALUE(LEFT(I348,FIND(" ",I348)-1)),""),"")</f>
        <v>94</v>
      </c>
      <c r="O348" s="7" t="str">
        <f aca="false">IF(B348="TV Show",IFERROR(VALUE(LEFT(I348,FIND(" ",I348)-1)),""),"")</f>
        <v/>
      </c>
      <c r="P348" s="7" t="n">
        <f aca="false">IF(K348="","",K348-G348)</f>
        <v>27</v>
      </c>
    </row>
    <row r="349" customFormat="false" ht="15" hidden="false" customHeight="false" outlineLevel="0" collapsed="false">
      <c r="A349" s="7" t="n">
        <v>81005314</v>
      </c>
      <c r="B349" s="7" t="s">
        <v>68</v>
      </c>
      <c r="C349" s="7" t="s">
        <v>1001</v>
      </c>
      <c r="D349" s="7" t="s">
        <v>1002</v>
      </c>
      <c r="E349" s="7" t="s">
        <v>31</v>
      </c>
      <c r="F349" s="7" t="s">
        <v>971</v>
      </c>
      <c r="G349" s="7" t="n">
        <v>2017</v>
      </c>
      <c r="H349" s="7" t="s">
        <v>49</v>
      </c>
      <c r="I349" s="7" t="s">
        <v>77</v>
      </c>
      <c r="J349" s="7" t="s">
        <v>1003</v>
      </c>
      <c r="K349" s="7" t="n">
        <f aca="false">IFERROR(VALUE(RIGHT(TRIM(F349),4)),"")</f>
        <v>2018</v>
      </c>
      <c r="L349" s="7" t="str">
        <f aca="false">IF(TRIM(E349)="","Unknown",IFERROR(LEFT(TRIM(E349),FIND(",",TRIM(E349))-1),TRIM(E349)))</f>
        <v>France</v>
      </c>
      <c r="M349" s="7" t="str">
        <f aca="false">IFERROR(LEFT(J349,FIND(",",J349)-1),J349)</f>
        <v>Dramas</v>
      </c>
      <c r="N349" s="7" t="n">
        <f aca="false">IF(B349="Movie",IFERROR(VALUE(LEFT(I349,FIND(" ",I349)-1)),""),"")</f>
        <v>94</v>
      </c>
      <c r="O349" s="7" t="str">
        <f aca="false">IF(B349="TV Show",IFERROR(VALUE(LEFT(I349,FIND(" ",I349)-1)),""),"")</f>
        <v/>
      </c>
      <c r="P349" s="7" t="n">
        <f aca="false">IF(K349="","",K349-G349)</f>
        <v>1</v>
      </c>
    </row>
    <row r="350" customFormat="false" ht="15" hidden="false" customHeight="false" outlineLevel="0" collapsed="false">
      <c r="A350" s="7" t="n">
        <v>80242828</v>
      </c>
      <c r="B350" s="7" t="s">
        <v>68</v>
      </c>
      <c r="C350" s="7" t="s">
        <v>1004</v>
      </c>
      <c r="D350" s="7" t="s">
        <v>1005</v>
      </c>
      <c r="E350" s="7" t="s">
        <v>26</v>
      </c>
      <c r="F350" s="7" t="s">
        <v>971</v>
      </c>
      <c r="G350" s="7" t="n">
        <v>2017</v>
      </c>
      <c r="H350" s="7" t="s">
        <v>51</v>
      </c>
      <c r="I350" s="7" t="s">
        <v>212</v>
      </c>
      <c r="J350" s="7" t="s">
        <v>265</v>
      </c>
      <c r="K350" s="7" t="n">
        <f aca="false">IFERROR(VALUE(RIGHT(TRIM(F350),4)),"")</f>
        <v>2018</v>
      </c>
      <c r="L350" s="7" t="str">
        <f aca="false">IF(TRIM(E350)="","Unknown",IFERROR(LEFT(TRIM(E350),FIND(",",TRIM(E350))-1),TRIM(E350)))</f>
        <v>United States</v>
      </c>
      <c r="M350" s="7" t="str">
        <f aca="false">IFERROR(LEFT(J350,FIND(",",J350)-1),J350)</f>
        <v>Horror Movies</v>
      </c>
      <c r="N350" s="7" t="n">
        <f aca="false">IF(B350="Movie",IFERROR(VALUE(LEFT(I350,FIND(" ",I350)-1)),""),"")</f>
        <v>86</v>
      </c>
      <c r="O350" s="7" t="str">
        <f aca="false">IF(B350="TV Show",IFERROR(VALUE(LEFT(I350,FIND(" ",I350)-1)),""),"")</f>
        <v/>
      </c>
      <c r="P350" s="7" t="n">
        <f aca="false">IF(K350="","",K350-G350)</f>
        <v>1</v>
      </c>
    </row>
    <row r="351" customFormat="false" ht="15" hidden="false" customHeight="false" outlineLevel="0" collapsed="false">
      <c r="A351" s="7" t="n">
        <v>81004223</v>
      </c>
      <c r="B351" s="7" t="s">
        <v>68</v>
      </c>
      <c r="C351" s="7" t="s">
        <v>1006</v>
      </c>
      <c r="D351" s="7" t="s">
        <v>1007</v>
      </c>
      <c r="E351" s="7" t="s">
        <v>26</v>
      </c>
      <c r="F351" s="7" t="s">
        <v>971</v>
      </c>
      <c r="G351" s="7" t="n">
        <v>2017</v>
      </c>
      <c r="H351" s="7" t="s">
        <v>48</v>
      </c>
      <c r="I351" s="7" t="s">
        <v>613</v>
      </c>
      <c r="J351" s="7" t="s">
        <v>950</v>
      </c>
      <c r="K351" s="7" t="n">
        <f aca="false">IFERROR(VALUE(RIGHT(TRIM(F351),4)),"")</f>
        <v>2018</v>
      </c>
      <c r="L351" s="7" t="str">
        <f aca="false">IF(TRIM(E351)="","Unknown",IFERROR(LEFT(TRIM(E351),FIND(",",TRIM(E351))-1),TRIM(E351)))</f>
        <v>United States</v>
      </c>
      <c r="M351" s="7" t="str">
        <f aca="false">IFERROR(LEFT(J351,FIND(",",J351)-1),J351)</f>
        <v>Horror Movies</v>
      </c>
      <c r="N351" s="7" t="n">
        <f aca="false">IF(B351="Movie",IFERROR(VALUE(LEFT(I351,FIND(" ",I351)-1)),""),"")</f>
        <v>84</v>
      </c>
      <c r="O351" s="7" t="str">
        <f aca="false">IF(B351="TV Show",IFERROR(VALUE(LEFT(I351,FIND(" ",I351)-1)),""),"")</f>
        <v/>
      </c>
      <c r="P351" s="7" t="n">
        <f aca="false">IF(K351="","",K351-G351)</f>
        <v>1</v>
      </c>
    </row>
    <row r="352" customFormat="false" ht="15" hidden="false" customHeight="false" outlineLevel="0" collapsed="false">
      <c r="A352" s="7" t="n">
        <v>80198730</v>
      </c>
      <c r="B352" s="7" t="s">
        <v>68</v>
      </c>
      <c r="C352" s="7" t="s">
        <v>1008</v>
      </c>
      <c r="D352" s="7" t="s">
        <v>1009</v>
      </c>
      <c r="E352" s="7" t="s">
        <v>26</v>
      </c>
      <c r="F352" s="7" t="s">
        <v>971</v>
      </c>
      <c r="G352" s="7" t="n">
        <v>2017</v>
      </c>
      <c r="H352" s="7" t="s">
        <v>52</v>
      </c>
      <c r="I352" s="7" t="s">
        <v>111</v>
      </c>
      <c r="J352" s="7" t="s">
        <v>597</v>
      </c>
      <c r="K352" s="7" t="n">
        <f aca="false">IFERROR(VALUE(RIGHT(TRIM(F352),4)),"")</f>
        <v>2018</v>
      </c>
      <c r="L352" s="7" t="str">
        <f aca="false">IF(TRIM(E352)="","Unknown",IFERROR(LEFT(TRIM(E352),FIND(",",TRIM(E352))-1),TRIM(E352)))</f>
        <v>United States</v>
      </c>
      <c r="M352" s="7" t="str">
        <f aca="false">IFERROR(LEFT(J352,FIND(",",J352)-1),J352)</f>
        <v>Dramas</v>
      </c>
      <c r="N352" s="7" t="n">
        <f aca="false">IF(B352="Movie",IFERROR(VALUE(LEFT(I352,FIND(" ",I352)-1)),""),"")</f>
        <v>95</v>
      </c>
      <c r="O352" s="7" t="str">
        <f aca="false">IF(B352="TV Show",IFERROR(VALUE(LEFT(I352,FIND(" ",I352)-1)),""),"")</f>
        <v/>
      </c>
      <c r="P352" s="7" t="n">
        <f aca="false">IF(K352="","",K352-G352)</f>
        <v>1</v>
      </c>
    </row>
    <row r="353" customFormat="false" ht="15" hidden="false" customHeight="false" outlineLevel="0" collapsed="false">
      <c r="A353" s="7" t="n">
        <v>80999945</v>
      </c>
      <c r="B353" s="7" t="s">
        <v>68</v>
      </c>
      <c r="C353" s="7" t="s">
        <v>1010</v>
      </c>
      <c r="D353" s="7" t="s">
        <v>1011</v>
      </c>
      <c r="F353" s="7" t="s">
        <v>971</v>
      </c>
      <c r="G353" s="7" t="n">
        <v>2018</v>
      </c>
      <c r="H353" s="7" t="s">
        <v>49</v>
      </c>
      <c r="I353" s="7" t="s">
        <v>272</v>
      </c>
      <c r="J353" s="7" t="s">
        <v>974</v>
      </c>
      <c r="K353" s="7" t="n">
        <f aca="false">IFERROR(VALUE(RIGHT(TRIM(F353),4)),"")</f>
        <v>2018</v>
      </c>
      <c r="L353" s="7" t="str">
        <f aca="false">IF(TRIM(E353)="","Unknown",IFERROR(LEFT(TRIM(E353),FIND(",",TRIM(E353))-1),TRIM(E353)))</f>
        <v>Unknown</v>
      </c>
      <c r="M353" s="7" t="str">
        <f aca="false">IFERROR(LEFT(J353,FIND(",",J353)-1),J353)</f>
        <v>Documentaries</v>
      </c>
      <c r="N353" s="7" t="n">
        <f aca="false">IF(B353="Movie",IFERROR(VALUE(LEFT(I353,FIND(" ",I353)-1)),""),"")</f>
        <v>93</v>
      </c>
      <c r="O353" s="7" t="str">
        <f aca="false">IF(B353="TV Show",IFERROR(VALUE(LEFT(I353,FIND(" ",I353)-1)),""),"")</f>
        <v/>
      </c>
      <c r="P353" s="7" t="n">
        <f aca="false">IF(K353="","",K353-G353)</f>
        <v>0</v>
      </c>
    </row>
    <row r="354" customFormat="false" ht="15" hidden="false" customHeight="false" outlineLevel="0" collapsed="false">
      <c r="A354" s="7" t="n">
        <v>81016043</v>
      </c>
      <c r="B354" s="7" t="s">
        <v>68</v>
      </c>
      <c r="C354" s="7" t="s">
        <v>1012</v>
      </c>
      <c r="D354" s="7" t="s">
        <v>1013</v>
      </c>
      <c r="E354" s="7" t="s">
        <v>167</v>
      </c>
      <c r="F354" s="7" t="s">
        <v>971</v>
      </c>
      <c r="G354" s="7" t="n">
        <v>2017</v>
      </c>
      <c r="H354" s="7" t="s">
        <v>48</v>
      </c>
      <c r="I354" s="7" t="s">
        <v>146</v>
      </c>
      <c r="J354" s="7" t="s">
        <v>1014</v>
      </c>
      <c r="K354" s="7" t="n">
        <f aca="false">IFERROR(VALUE(RIGHT(TRIM(F354),4)),"")</f>
        <v>2018</v>
      </c>
      <c r="L354" s="7" t="str">
        <f aca="false">IF(TRIM(E354)="","Unknown",IFERROR(LEFT(TRIM(E354),FIND(",",TRIM(E354))-1),TRIM(E354)))</f>
        <v>Thailand</v>
      </c>
      <c r="M354" s="7" t="str">
        <f aca="false">IFERROR(LEFT(J354,FIND(",",J354)-1),J354)</f>
        <v>Horror Movies</v>
      </c>
      <c r="N354" s="7" t="n">
        <f aca="false">IF(B354="Movie",IFERROR(VALUE(LEFT(I354,FIND(" ",I354)-1)),""),"")</f>
        <v>113</v>
      </c>
      <c r="O354" s="7" t="str">
        <f aca="false">IF(B354="TV Show",IFERROR(VALUE(LEFT(I354,FIND(" ",I354)-1)),""),"")</f>
        <v/>
      </c>
      <c r="P354" s="7" t="n">
        <f aca="false">IF(K354="","",K354-G354)</f>
        <v>1</v>
      </c>
    </row>
    <row r="355" customFormat="false" ht="15" hidden="false" customHeight="false" outlineLevel="0" collapsed="false">
      <c r="A355" s="7" t="n">
        <v>17672040</v>
      </c>
      <c r="B355" s="7" t="s">
        <v>68</v>
      </c>
      <c r="C355" s="7" t="s">
        <v>1015</v>
      </c>
      <c r="D355" s="7" t="s">
        <v>1016</v>
      </c>
      <c r="E355" s="7" t="s">
        <v>26</v>
      </c>
      <c r="F355" s="7" t="s">
        <v>971</v>
      </c>
      <c r="G355" s="7" t="n">
        <v>1994</v>
      </c>
      <c r="H355" s="7" t="s">
        <v>52</v>
      </c>
      <c r="I355" s="7" t="s">
        <v>326</v>
      </c>
      <c r="J355" s="7" t="s">
        <v>40</v>
      </c>
      <c r="K355" s="7" t="n">
        <f aca="false">IFERROR(VALUE(RIGHT(TRIM(F355),4)),"")</f>
        <v>2018</v>
      </c>
      <c r="L355" s="7" t="str">
        <f aca="false">IF(TRIM(E355)="","Unknown",IFERROR(LEFT(TRIM(E355),FIND(",",TRIM(E355))-1),TRIM(E355)))</f>
        <v>United States</v>
      </c>
      <c r="M355" s="7" t="str">
        <f aca="false">IFERROR(LEFT(J355,FIND(",",J355)-1),J355)</f>
        <v>Action &amp; Adventure</v>
      </c>
      <c r="N355" s="7" t="n">
        <f aca="false">IF(B355="Movie",IFERROR(VALUE(LEFT(I355,FIND(" ",I355)-1)),""),"")</f>
        <v>111</v>
      </c>
      <c r="O355" s="7" t="str">
        <f aca="false">IF(B355="TV Show",IFERROR(VALUE(LEFT(I355,FIND(" ",I355)-1)),""),"")</f>
        <v/>
      </c>
      <c r="P355" s="7" t="n">
        <f aca="false">IF(K355="","",K355-G355)</f>
        <v>24</v>
      </c>
    </row>
    <row r="356" customFormat="false" ht="15" hidden="false" customHeight="false" outlineLevel="0" collapsed="false">
      <c r="A356" s="7" t="n">
        <v>81004162</v>
      </c>
      <c r="B356" s="7" t="s">
        <v>78</v>
      </c>
      <c r="C356" s="7" t="s">
        <v>1017</v>
      </c>
      <c r="E356" s="7" t="s">
        <v>752</v>
      </c>
      <c r="F356" s="7" t="s">
        <v>971</v>
      </c>
      <c r="G356" s="7" t="n">
        <v>2017</v>
      </c>
      <c r="H356" s="7" t="s">
        <v>49</v>
      </c>
      <c r="I356" s="7" t="s">
        <v>82</v>
      </c>
      <c r="J356" s="7" t="s">
        <v>344</v>
      </c>
      <c r="K356" s="7" t="n">
        <f aca="false">IFERROR(VALUE(RIGHT(TRIM(F356),4)),"")</f>
        <v>2018</v>
      </c>
      <c r="L356" s="7" t="str">
        <f aca="false">IF(TRIM(E356)="","Unknown",IFERROR(LEFT(TRIM(E356),FIND(",",TRIM(E356))-1),TRIM(E356)))</f>
        <v>Russia</v>
      </c>
      <c r="M356" s="7" t="str">
        <f aca="false">IFERROR(LEFT(J356,FIND(",",J356)-1),J356)</f>
        <v>International TV Shows</v>
      </c>
      <c r="N356" s="7" t="str">
        <f aca="false">IF(B356="Movie",IFERROR(VALUE(LEFT(I356,FIND(" ",I356)-1)),""),"")</f>
        <v/>
      </c>
      <c r="O356" s="7" t="n">
        <f aca="false">IF(B356="TV Show",IFERROR(VALUE(LEFT(I356,FIND(" ",I356)-1)),""),"")</f>
        <v>1</v>
      </c>
      <c r="P356" s="7" t="n">
        <f aca="false">IF(K356="","",K356-G356)</f>
        <v>1</v>
      </c>
    </row>
    <row r="357" customFormat="false" ht="15" hidden="false" customHeight="false" outlineLevel="0" collapsed="false">
      <c r="A357" s="7" t="n">
        <v>81011096</v>
      </c>
      <c r="B357" s="7" t="s">
        <v>68</v>
      </c>
      <c r="C357" s="16" t="s">
        <v>1018</v>
      </c>
      <c r="D357" s="7" t="s">
        <v>1019</v>
      </c>
      <c r="F357" s="7" t="s">
        <v>971</v>
      </c>
      <c r="G357" s="7" t="n">
        <v>2018</v>
      </c>
      <c r="H357" s="7" t="s">
        <v>81</v>
      </c>
      <c r="I357" s="7" t="s">
        <v>1020</v>
      </c>
      <c r="J357" s="7" t="s">
        <v>42</v>
      </c>
      <c r="K357" s="7" t="n">
        <f aca="false">IFERROR(VALUE(RIGHT(TRIM(F357),4)),"")</f>
        <v>2018</v>
      </c>
      <c r="L357" s="7" t="str">
        <f aca="false">IF(TRIM(E357)="","Unknown",IFERROR(LEFT(TRIM(E357),FIND(",",TRIM(E357))-1),TRIM(E357)))</f>
        <v>Unknown</v>
      </c>
      <c r="M357" s="7" t="str">
        <f aca="false">IFERROR(LEFT(J357,FIND(",",J357)-1),J357)</f>
        <v>Children &amp; Family Movies</v>
      </c>
      <c r="N357" s="7" t="n">
        <f aca="false">IF(B357="Movie",IFERROR(VALUE(LEFT(I357,FIND(" ",I357)-1)),""),"")</f>
        <v>68</v>
      </c>
      <c r="O357" s="7" t="str">
        <f aca="false">IF(B357="TV Show",IFERROR(VALUE(LEFT(I357,FIND(" ",I357)-1)),""),"")</f>
        <v/>
      </c>
      <c r="P357" s="7" t="n">
        <f aca="false">IF(K357="","",K357-G357)</f>
        <v>0</v>
      </c>
    </row>
    <row r="358" customFormat="false" ht="15" hidden="false" customHeight="false" outlineLevel="0" collapsed="false">
      <c r="A358" s="7" t="n">
        <v>80188969</v>
      </c>
      <c r="B358" s="7" t="s">
        <v>78</v>
      </c>
      <c r="C358" s="7" t="s">
        <v>1021</v>
      </c>
      <c r="E358" s="7" t="s">
        <v>970</v>
      </c>
      <c r="F358" s="7" t="s">
        <v>1022</v>
      </c>
      <c r="G358" s="7" t="n">
        <v>2017</v>
      </c>
      <c r="H358" s="7" t="s">
        <v>48</v>
      </c>
      <c r="I358" s="7" t="s">
        <v>82</v>
      </c>
      <c r="J358" s="7" t="s">
        <v>335</v>
      </c>
      <c r="K358" s="7" t="n">
        <f aca="false">IFERROR(VALUE(RIGHT(TRIM(F358),4)),"")</f>
        <v>2017</v>
      </c>
      <c r="L358" s="7" t="str">
        <f aca="false">IF(TRIM(E358)="","Unknown",IFERROR(LEFT(TRIM(E358),FIND(",",TRIM(E358))-1),TRIM(E358)))</f>
        <v>Taiwan</v>
      </c>
      <c r="M358" s="7" t="str">
        <f aca="false">IFERROR(LEFT(J358,FIND(",",J358)-1),J358)</f>
        <v>International TV Shows</v>
      </c>
      <c r="N358" s="7" t="str">
        <f aca="false">IF(B358="Movie",IFERROR(VALUE(LEFT(I358,FIND(" ",I358)-1)),""),"")</f>
        <v/>
      </c>
      <c r="O358" s="7" t="n">
        <f aca="false">IF(B358="TV Show",IFERROR(VALUE(LEFT(I358,FIND(" ",I358)-1)),""),"")</f>
        <v>1</v>
      </c>
      <c r="P358" s="7" t="n">
        <f aca="false">IF(K358="","",K358-G358)</f>
        <v>0</v>
      </c>
    </row>
    <row r="359" customFormat="false" ht="15" hidden="false" customHeight="false" outlineLevel="0" collapsed="false">
      <c r="A359" s="7" t="n">
        <v>80189155</v>
      </c>
      <c r="B359" s="7" t="s">
        <v>78</v>
      </c>
      <c r="C359" s="7" t="s">
        <v>1023</v>
      </c>
      <c r="F359" s="7" t="s">
        <v>1022</v>
      </c>
      <c r="G359" s="7" t="n">
        <v>2017</v>
      </c>
      <c r="H359" s="7" t="s">
        <v>48</v>
      </c>
      <c r="I359" s="7" t="s">
        <v>82</v>
      </c>
      <c r="J359" s="7" t="s">
        <v>822</v>
      </c>
      <c r="K359" s="7" t="n">
        <f aca="false">IFERROR(VALUE(RIGHT(TRIM(F359),4)),"")</f>
        <v>2017</v>
      </c>
      <c r="L359" s="7" t="str">
        <f aca="false">IF(TRIM(E359)="","Unknown",IFERROR(LEFT(TRIM(E359),FIND(",",TRIM(E359))-1),TRIM(E359)))</f>
        <v>Unknown</v>
      </c>
      <c r="M359" s="7" t="str">
        <f aca="false">IFERROR(LEFT(J359,FIND(",",J359)-1),J359)</f>
        <v>International TV Shows</v>
      </c>
      <c r="N359" s="7" t="str">
        <f aca="false">IF(B359="Movie",IFERROR(VALUE(LEFT(I359,FIND(" ",I359)-1)),""),"")</f>
        <v/>
      </c>
      <c r="O359" s="7" t="n">
        <f aca="false">IF(B359="TV Show",IFERROR(VALUE(LEFT(I359,FIND(" ",I359)-1)),""),"")</f>
        <v>1</v>
      </c>
      <c r="P359" s="7" t="n">
        <f aca="false">IF(K359="","",K359-G359)</f>
        <v>0</v>
      </c>
    </row>
    <row r="360" customFormat="false" ht="15" hidden="false" customHeight="false" outlineLevel="0" collapsed="false">
      <c r="A360" s="7" t="n">
        <v>20254278</v>
      </c>
      <c r="B360" s="7" t="s">
        <v>68</v>
      </c>
      <c r="C360" s="7" t="s">
        <v>1024</v>
      </c>
      <c r="D360" s="7" t="s">
        <v>1025</v>
      </c>
      <c r="E360" s="7" t="s">
        <v>27</v>
      </c>
      <c r="F360" s="7" t="s">
        <v>1022</v>
      </c>
      <c r="G360" s="7" t="n">
        <v>1988</v>
      </c>
      <c r="H360" s="7" t="s">
        <v>49</v>
      </c>
      <c r="I360" s="7" t="s">
        <v>1026</v>
      </c>
      <c r="J360" s="7" t="s">
        <v>322</v>
      </c>
      <c r="K360" s="7" t="n">
        <f aca="false">IFERROR(VALUE(RIGHT(TRIM(F360),4)),"")</f>
        <v>2017</v>
      </c>
      <c r="L360" s="7" t="str">
        <f aca="false">IF(TRIM(E360)="","Unknown",IFERROR(LEFT(TRIM(E360),FIND(",",TRIM(E360))-1),TRIM(E360)))</f>
        <v>India</v>
      </c>
      <c r="M360" s="7" t="str">
        <f aca="false">IFERROR(LEFT(J360,FIND(",",J360)-1),J360)</f>
        <v>Action &amp; Adventure</v>
      </c>
      <c r="N360" s="7" t="n">
        <f aca="false">IF(B360="Movie",IFERROR(VALUE(LEFT(I360,FIND(" ",I360)-1)),""),"")</f>
        <v>148</v>
      </c>
      <c r="O360" s="7" t="str">
        <f aca="false">IF(B360="TV Show",IFERROR(VALUE(LEFT(I360,FIND(" ",I360)-1)),""),"")</f>
        <v/>
      </c>
      <c r="P360" s="7" t="n">
        <f aca="false">IF(K360="","",K360-G360)</f>
        <v>29</v>
      </c>
    </row>
    <row r="361" customFormat="false" ht="15" hidden="false" customHeight="false" outlineLevel="0" collapsed="false">
      <c r="A361" s="7" t="n">
        <v>80203742</v>
      </c>
      <c r="B361" s="7" t="s">
        <v>68</v>
      </c>
      <c r="C361" s="7" t="s">
        <v>1027</v>
      </c>
      <c r="F361" s="7" t="s">
        <v>1022</v>
      </c>
      <c r="G361" s="7" t="n">
        <v>2017</v>
      </c>
      <c r="H361" s="7" t="s">
        <v>49</v>
      </c>
      <c r="I361" s="7" t="s">
        <v>1028</v>
      </c>
      <c r="J361" s="7" t="s">
        <v>341</v>
      </c>
      <c r="K361" s="7" t="n">
        <f aca="false">IFERROR(VALUE(RIGHT(TRIM(F361),4)),"")</f>
        <v>2017</v>
      </c>
      <c r="L361" s="7" t="str">
        <f aca="false">IF(TRIM(E361)="","Unknown",IFERROR(LEFT(TRIM(E361),FIND(",",TRIM(E361))-1),TRIM(E361)))</f>
        <v>Unknown</v>
      </c>
      <c r="M361" s="7" t="str">
        <f aca="false">IFERROR(LEFT(J361,FIND(",",J361)-1),J361)</f>
        <v>Documentaries</v>
      </c>
      <c r="N361" s="7" t="n">
        <f aca="false">IF(B361="Movie",IFERROR(VALUE(LEFT(I361,FIND(" ",I361)-1)),""),"")</f>
        <v>54</v>
      </c>
      <c r="O361" s="7" t="str">
        <f aca="false">IF(B361="TV Show",IFERROR(VALUE(LEFT(I361,FIND(" ",I361)-1)),""),"")</f>
        <v/>
      </c>
      <c r="P361" s="7" t="n">
        <f aca="false">IF(K361="","",K361-G361)</f>
        <v>0</v>
      </c>
    </row>
    <row r="362" customFormat="false" ht="15" hidden="false" customHeight="false" outlineLevel="0" collapsed="false">
      <c r="A362" s="7" t="n">
        <v>80189208</v>
      </c>
      <c r="B362" s="7" t="s">
        <v>78</v>
      </c>
      <c r="C362" s="7" t="s">
        <v>1029</v>
      </c>
      <c r="E362" s="7" t="s">
        <v>970</v>
      </c>
      <c r="F362" s="7" t="s">
        <v>1022</v>
      </c>
      <c r="G362" s="7" t="n">
        <v>2017</v>
      </c>
      <c r="H362" s="7" t="s">
        <v>49</v>
      </c>
      <c r="I362" s="7" t="s">
        <v>82</v>
      </c>
      <c r="J362" s="7" t="s">
        <v>822</v>
      </c>
      <c r="K362" s="7" t="n">
        <f aca="false">IFERROR(VALUE(RIGHT(TRIM(F362),4)),"")</f>
        <v>2017</v>
      </c>
      <c r="L362" s="7" t="str">
        <f aca="false">IF(TRIM(E362)="","Unknown",IFERROR(LEFT(TRIM(E362),FIND(",",TRIM(E362))-1),TRIM(E362)))</f>
        <v>Taiwan</v>
      </c>
      <c r="M362" s="7" t="str">
        <f aca="false">IFERROR(LEFT(J362,FIND(",",J362)-1),J362)</f>
        <v>International TV Shows</v>
      </c>
      <c r="N362" s="7" t="str">
        <f aca="false">IF(B362="Movie",IFERROR(VALUE(LEFT(I362,FIND(" ",I362)-1)),""),"")</f>
        <v/>
      </c>
      <c r="O362" s="7" t="n">
        <f aca="false">IF(B362="TV Show",IFERROR(VALUE(LEFT(I362,FIND(" ",I362)-1)),""),"")</f>
        <v>1</v>
      </c>
      <c r="P362" s="7" t="n">
        <f aca="false">IF(K362="","",K362-G362)</f>
        <v>0</v>
      </c>
    </row>
    <row r="363" customFormat="false" ht="15" hidden="false" customHeight="false" outlineLevel="0" collapsed="false">
      <c r="A363" s="7" t="n">
        <v>70276596</v>
      </c>
      <c r="B363" s="7" t="s">
        <v>68</v>
      </c>
      <c r="C363" s="7" t="s">
        <v>1030</v>
      </c>
      <c r="D363" s="7" t="s">
        <v>1031</v>
      </c>
      <c r="E363" s="7" t="s">
        <v>30</v>
      </c>
      <c r="F363" s="7" t="s">
        <v>1022</v>
      </c>
      <c r="G363" s="7" t="n">
        <v>2012</v>
      </c>
      <c r="H363" s="7" t="s">
        <v>48</v>
      </c>
      <c r="I363" s="7" t="s">
        <v>311</v>
      </c>
      <c r="J363" s="7" t="s">
        <v>1032</v>
      </c>
      <c r="K363" s="7" t="n">
        <f aca="false">IFERROR(VALUE(RIGHT(TRIM(F363),4)),"")</f>
        <v>2017</v>
      </c>
      <c r="L363" s="7" t="str">
        <f aca="false">IF(TRIM(E363)="","Unknown",IFERROR(LEFT(TRIM(E363),FIND(",",TRIM(E363))-1),TRIM(E363)))</f>
        <v>Japan</v>
      </c>
      <c r="M363" s="7" t="str">
        <f aca="false">IFERROR(LEFT(J363,FIND(",",J363)-1),J363)</f>
        <v>Action &amp; Adventure</v>
      </c>
      <c r="N363" s="7" t="n">
        <f aca="false">IF(B363="Movie",IFERROR(VALUE(LEFT(I363,FIND(" ",I363)-1)),""),"")</f>
        <v>92</v>
      </c>
      <c r="O363" s="7" t="str">
        <f aca="false">IF(B363="TV Show",IFERROR(VALUE(LEFT(I363,FIND(" ",I363)-1)),""),"")</f>
        <v/>
      </c>
      <c r="P363" s="7" t="n">
        <f aca="false">IF(K363="","",K363-G363)</f>
        <v>5</v>
      </c>
    </row>
    <row r="364" customFormat="false" ht="15" hidden="false" customHeight="false" outlineLevel="0" collapsed="false">
      <c r="A364" s="7" t="n">
        <v>80063025</v>
      </c>
      <c r="B364" s="7" t="s">
        <v>68</v>
      </c>
      <c r="C364" s="7" t="s">
        <v>1033</v>
      </c>
      <c r="D364" s="7" t="s">
        <v>1031</v>
      </c>
      <c r="E364" s="7" t="s">
        <v>30</v>
      </c>
      <c r="F364" s="7" t="s">
        <v>1022</v>
      </c>
      <c r="G364" s="7" t="n">
        <v>2013</v>
      </c>
      <c r="H364" s="7" t="s">
        <v>48</v>
      </c>
      <c r="I364" s="7" t="s">
        <v>294</v>
      </c>
      <c r="J364" s="7" t="s">
        <v>1032</v>
      </c>
      <c r="K364" s="7" t="n">
        <f aca="false">IFERROR(VALUE(RIGHT(TRIM(F364),4)),"")</f>
        <v>2017</v>
      </c>
      <c r="L364" s="7" t="str">
        <f aca="false">IF(TRIM(E364)="","Unknown",IFERROR(LEFT(TRIM(E364),FIND(",",TRIM(E364))-1),TRIM(E364)))</f>
        <v>Japan</v>
      </c>
      <c r="M364" s="7" t="str">
        <f aca="false">IFERROR(LEFT(J364,FIND(",",J364)-1),J364)</f>
        <v>Action &amp; Adventure</v>
      </c>
      <c r="N364" s="7" t="n">
        <f aca="false">IF(B364="Movie",IFERROR(VALUE(LEFT(I364,FIND(" ",I364)-1)),""),"")</f>
        <v>107</v>
      </c>
      <c r="O364" s="7" t="str">
        <f aca="false">IF(B364="TV Show",IFERROR(VALUE(LEFT(I364,FIND(" ",I364)-1)),""),"")</f>
        <v/>
      </c>
      <c r="P364" s="7" t="n">
        <f aca="false">IF(K364="","",K364-G364)</f>
        <v>4</v>
      </c>
    </row>
    <row r="365" customFormat="false" ht="15" hidden="false" customHeight="false" outlineLevel="0" collapsed="false">
      <c r="A365" s="7" t="n">
        <v>70068739</v>
      </c>
      <c r="B365" s="7" t="s">
        <v>68</v>
      </c>
      <c r="C365" s="7" t="s">
        <v>1034</v>
      </c>
      <c r="D365" s="7" t="s">
        <v>1035</v>
      </c>
      <c r="E365" s="7" t="s">
        <v>26</v>
      </c>
      <c r="F365" s="7" t="s">
        <v>1022</v>
      </c>
      <c r="G365" s="7" t="n">
        <v>2006</v>
      </c>
      <c r="H365" s="7" t="s">
        <v>49</v>
      </c>
      <c r="I365" s="7" t="s">
        <v>73</v>
      </c>
      <c r="J365" s="7" t="s">
        <v>150</v>
      </c>
      <c r="K365" s="7" t="n">
        <f aca="false">IFERROR(VALUE(RIGHT(TRIM(F365),4)),"")</f>
        <v>2017</v>
      </c>
      <c r="L365" s="7" t="str">
        <f aca="false">IF(TRIM(E365)="","Unknown",IFERROR(LEFT(TRIM(E365),FIND(",",TRIM(E365))-1),TRIM(E365)))</f>
        <v>United States</v>
      </c>
      <c r="M365" s="7" t="str">
        <f aca="false">IFERROR(LEFT(J365,FIND(",",J365)-1),J365)</f>
        <v>Dramas</v>
      </c>
      <c r="N365" s="7" t="n">
        <f aca="false">IF(B365="Movie",IFERROR(VALUE(LEFT(I365,FIND(" ",I365)-1)),""),"")</f>
        <v>90</v>
      </c>
      <c r="O365" s="7" t="str">
        <f aca="false">IF(B365="TV Show",IFERROR(VALUE(LEFT(I365,FIND(" ",I365)-1)),""),"")</f>
        <v/>
      </c>
      <c r="P365" s="7" t="n">
        <f aca="false">IF(K365="","",K365-G365)</f>
        <v>11</v>
      </c>
    </row>
    <row r="366" customFormat="false" ht="15" hidden="false" customHeight="false" outlineLevel="0" collapsed="false">
      <c r="A366" s="7" t="n">
        <v>80158389</v>
      </c>
      <c r="B366" s="7" t="s">
        <v>68</v>
      </c>
      <c r="C366" s="7" t="s">
        <v>1036</v>
      </c>
      <c r="E366" s="7" t="s">
        <v>27</v>
      </c>
      <c r="F366" s="7" t="s">
        <v>1022</v>
      </c>
      <c r="G366" s="7" t="n">
        <v>1976</v>
      </c>
      <c r="H366" s="7" t="s">
        <v>50</v>
      </c>
      <c r="I366" s="7" t="s">
        <v>130</v>
      </c>
      <c r="J366" s="7" t="s">
        <v>206</v>
      </c>
      <c r="K366" s="7" t="n">
        <f aca="false">IFERROR(VALUE(RIGHT(TRIM(F366),4)),"")</f>
        <v>2017</v>
      </c>
      <c r="L366" s="7" t="str">
        <f aca="false">IF(TRIM(E366)="","Unknown",IFERROR(LEFT(TRIM(E366),FIND(",",TRIM(E366))-1),TRIM(E366)))</f>
        <v>India</v>
      </c>
      <c r="M366" s="7" t="str">
        <f aca="false">IFERROR(LEFT(J366,FIND(",",J366)-1),J366)</f>
        <v>Comedies</v>
      </c>
      <c r="N366" s="7" t="n">
        <f aca="false">IF(B366="Movie",IFERROR(VALUE(LEFT(I366,FIND(" ",I366)-1)),""),"")</f>
        <v>135</v>
      </c>
      <c r="O366" s="7" t="str">
        <f aca="false">IF(B366="TV Show",IFERROR(VALUE(LEFT(I366,FIND(" ",I366)-1)),""),"")</f>
        <v/>
      </c>
      <c r="P366" s="7" t="n">
        <f aca="false">IF(K366="","",K366-G366)</f>
        <v>41</v>
      </c>
    </row>
    <row r="367" customFormat="false" ht="15" hidden="false" customHeight="false" outlineLevel="0" collapsed="false">
      <c r="A367" s="7" t="n">
        <v>80184974</v>
      </c>
      <c r="B367" s="7" t="s">
        <v>68</v>
      </c>
      <c r="C367" s="7" t="s">
        <v>1037</v>
      </c>
      <c r="D367" s="7" t="s">
        <v>1038</v>
      </c>
      <c r="E367" s="7" t="s">
        <v>1039</v>
      </c>
      <c r="F367" s="7" t="s">
        <v>1022</v>
      </c>
      <c r="G367" s="7" t="n">
        <v>2016</v>
      </c>
      <c r="H367" s="7" t="s">
        <v>48</v>
      </c>
      <c r="I367" s="7" t="s">
        <v>734</v>
      </c>
      <c r="J367" s="7" t="s">
        <v>974</v>
      </c>
      <c r="K367" s="7" t="n">
        <f aca="false">IFERROR(VALUE(RIGHT(TRIM(F367),4)),"")</f>
        <v>2017</v>
      </c>
      <c r="L367" s="7" t="str">
        <f aca="false">IF(TRIM(E367)="","Unknown",IFERROR(LEFT(TRIM(E367),FIND(",",TRIM(E367))-1),TRIM(E367)))</f>
        <v>Czech Republic</v>
      </c>
      <c r="M367" s="7" t="str">
        <f aca="false">IFERROR(LEFT(J367,FIND(",",J367)-1),J367)</f>
        <v>Documentaries</v>
      </c>
      <c r="N367" s="7" t="n">
        <f aca="false">IF(B367="Movie",IFERROR(VALUE(LEFT(I367,FIND(" ",I367)-1)),""),"")</f>
        <v>52</v>
      </c>
      <c r="O367" s="7" t="str">
        <f aca="false">IF(B367="TV Show",IFERROR(VALUE(LEFT(I367,FIND(" ",I367)-1)),""),"")</f>
        <v/>
      </c>
      <c r="P367" s="7" t="n">
        <f aca="false">IF(K367="","",K367-G367)</f>
        <v>1</v>
      </c>
    </row>
    <row r="368" customFormat="false" ht="15" hidden="false" customHeight="false" outlineLevel="0" collapsed="false">
      <c r="A368" s="7" t="n">
        <v>80156941</v>
      </c>
      <c r="B368" s="7" t="s">
        <v>68</v>
      </c>
      <c r="C368" s="7" t="s">
        <v>1040</v>
      </c>
      <c r="D368" s="7" t="s">
        <v>1025</v>
      </c>
      <c r="E368" s="7" t="s">
        <v>27</v>
      </c>
      <c r="F368" s="7" t="s">
        <v>1022</v>
      </c>
      <c r="G368" s="7" t="n">
        <v>1983</v>
      </c>
      <c r="H368" s="7" t="s">
        <v>49</v>
      </c>
      <c r="I368" s="7" t="s">
        <v>1041</v>
      </c>
      <c r="J368" s="7" t="s">
        <v>1042</v>
      </c>
      <c r="K368" s="7" t="n">
        <f aca="false">IFERROR(VALUE(RIGHT(TRIM(F368),4)),"")</f>
        <v>2017</v>
      </c>
      <c r="L368" s="7" t="str">
        <f aca="false">IF(TRIM(E368)="","Unknown",IFERROR(LEFT(TRIM(E368),FIND(",",TRIM(E368))-1),TRIM(E368)))</f>
        <v>India</v>
      </c>
      <c r="M368" s="7" t="str">
        <f aca="false">IFERROR(LEFT(J368,FIND(",",J368)-1),J368)</f>
        <v>Dramas</v>
      </c>
      <c r="N368" s="7" t="n">
        <f aca="false">IF(B368="Movie",IFERROR(VALUE(LEFT(I368,FIND(" ",I368)-1)),""),"")</f>
        <v>151</v>
      </c>
      <c r="O368" s="7" t="str">
        <f aca="false">IF(B368="TV Show",IFERROR(VALUE(LEFT(I368,FIND(" ",I368)-1)),""),"")</f>
        <v/>
      </c>
      <c r="P368" s="7" t="n">
        <f aca="false">IF(K368="","",K368-G368)</f>
        <v>34</v>
      </c>
    </row>
    <row r="369" customFormat="false" ht="15" hidden="false" customHeight="false" outlineLevel="0" collapsed="false">
      <c r="A369" s="7" t="n">
        <v>80178543</v>
      </c>
      <c r="B369" s="7" t="s">
        <v>78</v>
      </c>
      <c r="C369" s="7" t="s">
        <v>1043</v>
      </c>
      <c r="E369" s="7" t="s">
        <v>30</v>
      </c>
      <c r="F369" s="7" t="s">
        <v>1022</v>
      </c>
      <c r="G369" s="7" t="n">
        <v>2017</v>
      </c>
      <c r="H369" s="7" t="s">
        <v>50</v>
      </c>
      <c r="I369" s="7" t="s">
        <v>82</v>
      </c>
      <c r="J369" s="7" t="s">
        <v>344</v>
      </c>
      <c r="K369" s="7" t="n">
        <f aca="false">IFERROR(VALUE(RIGHT(TRIM(F369),4)),"")</f>
        <v>2017</v>
      </c>
      <c r="L369" s="7" t="str">
        <f aca="false">IF(TRIM(E369)="","Unknown",IFERROR(LEFT(TRIM(E369),FIND(",",TRIM(E369))-1),TRIM(E369)))</f>
        <v>Japan</v>
      </c>
      <c r="M369" s="7" t="str">
        <f aca="false">IFERROR(LEFT(J369,FIND(",",J369)-1),J369)</f>
        <v>International TV Shows</v>
      </c>
      <c r="N369" s="7" t="str">
        <f aca="false">IF(B369="Movie",IFERROR(VALUE(LEFT(I369,FIND(" ",I369)-1)),""),"")</f>
        <v/>
      </c>
      <c r="O369" s="7" t="n">
        <f aca="false">IF(B369="TV Show",IFERROR(VALUE(LEFT(I369,FIND(" ",I369)-1)),""),"")</f>
        <v>1</v>
      </c>
      <c r="P369" s="7" t="n">
        <f aca="false">IF(K369="","",K369-G369)</f>
        <v>0</v>
      </c>
    </row>
    <row r="370" customFormat="false" ht="15" hidden="false" customHeight="false" outlineLevel="0" collapsed="false">
      <c r="A370" s="7" t="n">
        <v>70213196</v>
      </c>
      <c r="B370" s="7" t="s">
        <v>78</v>
      </c>
      <c r="C370" s="7" t="s">
        <v>1044</v>
      </c>
      <c r="E370" s="7" t="s">
        <v>30</v>
      </c>
      <c r="F370" s="7" t="s">
        <v>1022</v>
      </c>
      <c r="G370" s="7" t="n">
        <v>2007</v>
      </c>
      <c r="H370" s="7" t="s">
        <v>49</v>
      </c>
      <c r="I370" s="7" t="s">
        <v>82</v>
      </c>
      <c r="J370" s="7" t="s">
        <v>542</v>
      </c>
      <c r="K370" s="7" t="n">
        <f aca="false">IFERROR(VALUE(RIGHT(TRIM(F370),4)),"")</f>
        <v>2017</v>
      </c>
      <c r="L370" s="7" t="str">
        <f aca="false">IF(TRIM(E370)="","Unknown",IFERROR(LEFT(TRIM(E370),FIND(",",TRIM(E370))-1),TRIM(E370)))</f>
        <v>Japan</v>
      </c>
      <c r="M370" s="7" t="str">
        <f aca="false">IFERROR(LEFT(J370,FIND(",",J370)-1),J370)</f>
        <v>Anime Series</v>
      </c>
      <c r="N370" s="7" t="str">
        <f aca="false">IF(B370="Movie",IFERROR(VALUE(LEFT(I370,FIND(" ",I370)-1)),""),"")</f>
        <v/>
      </c>
      <c r="O370" s="7" t="n">
        <f aca="false">IF(B370="TV Show",IFERROR(VALUE(LEFT(I370,FIND(" ",I370)-1)),""),"")</f>
        <v>1</v>
      </c>
      <c r="P370" s="7" t="n">
        <f aca="false">IF(K370="","",K370-G370)</f>
        <v>10</v>
      </c>
    </row>
    <row r="371" customFormat="false" ht="15" hidden="false" customHeight="false" outlineLevel="0" collapsed="false">
      <c r="A371" s="7" t="n">
        <v>70208520</v>
      </c>
      <c r="B371" s="7" t="s">
        <v>78</v>
      </c>
      <c r="C371" s="7" t="s">
        <v>1045</v>
      </c>
      <c r="E371" s="7" t="s">
        <v>26</v>
      </c>
      <c r="F371" s="7" t="s">
        <v>1022</v>
      </c>
      <c r="G371" s="7" t="n">
        <v>1988</v>
      </c>
      <c r="H371" s="7" t="s">
        <v>226</v>
      </c>
      <c r="I371" s="7" t="s">
        <v>82</v>
      </c>
      <c r="J371" s="7" t="s">
        <v>1046</v>
      </c>
      <c r="K371" s="7" t="n">
        <f aca="false">IFERROR(VALUE(RIGHT(TRIM(F371),4)),"")</f>
        <v>2017</v>
      </c>
      <c r="L371" s="7" t="str">
        <f aca="false">IF(TRIM(E371)="","Unknown",IFERROR(LEFT(TRIM(E371),FIND(",",TRIM(E371))-1),TRIM(E371)))</f>
        <v>United States</v>
      </c>
      <c r="M371" s="7" t="str">
        <f aca="false">IFERROR(LEFT(J371,FIND(",",J371)-1),J371)</f>
        <v>Docuseries</v>
      </c>
      <c r="N371" s="7" t="str">
        <f aca="false">IF(B371="Movie",IFERROR(VALUE(LEFT(I371,FIND(" ",I371)-1)),""),"")</f>
        <v/>
      </c>
      <c r="O371" s="7" t="n">
        <f aca="false">IF(B371="TV Show",IFERROR(VALUE(LEFT(I371,FIND(" ",I371)-1)),""),"")</f>
        <v>1</v>
      </c>
      <c r="P371" s="7" t="n">
        <f aca="false">IF(K371="","",K371-G371)</f>
        <v>29</v>
      </c>
    </row>
    <row r="372" customFormat="false" ht="15" hidden="false" customHeight="false" outlineLevel="0" collapsed="false">
      <c r="A372" s="7" t="n">
        <v>80061314</v>
      </c>
      <c r="B372" s="7" t="s">
        <v>68</v>
      </c>
      <c r="C372" s="7" t="s">
        <v>1047</v>
      </c>
      <c r="D372" s="7" t="s">
        <v>1048</v>
      </c>
      <c r="E372" s="7" t="s">
        <v>1049</v>
      </c>
      <c r="F372" s="7" t="s">
        <v>1022</v>
      </c>
      <c r="G372" s="7" t="n">
        <v>2015</v>
      </c>
      <c r="H372" s="7" t="s">
        <v>48</v>
      </c>
      <c r="I372" s="7" t="s">
        <v>73</v>
      </c>
      <c r="J372" s="7" t="s">
        <v>39</v>
      </c>
      <c r="K372" s="7" t="n">
        <f aca="false">IFERROR(VALUE(RIGHT(TRIM(F372),4)),"")</f>
        <v>2017</v>
      </c>
      <c r="L372" s="7" t="str">
        <f aca="false">IF(TRIM(E372)="","Unknown",IFERROR(LEFT(TRIM(E372),FIND(",",TRIM(E372))-1),TRIM(E372)))</f>
        <v>United States</v>
      </c>
      <c r="M372" s="7" t="str">
        <f aca="false">IFERROR(LEFT(J372,FIND(",",J372)-1),J372)</f>
        <v>Documentaries</v>
      </c>
      <c r="N372" s="7" t="n">
        <f aca="false">IF(B372="Movie",IFERROR(VALUE(LEFT(I372,FIND(" ",I372)-1)),""),"")</f>
        <v>90</v>
      </c>
      <c r="O372" s="7" t="str">
        <f aca="false">IF(B372="TV Show",IFERROR(VALUE(LEFT(I372,FIND(" ",I372)-1)),""),"")</f>
        <v/>
      </c>
      <c r="P372" s="7" t="n">
        <f aca="false">IF(K372="","",K372-G372)</f>
        <v>2</v>
      </c>
    </row>
    <row r="373" customFormat="false" ht="15" hidden="false" customHeight="false" outlineLevel="0" collapsed="false">
      <c r="A373" s="7" t="n">
        <v>70052492</v>
      </c>
      <c r="B373" s="7" t="s">
        <v>68</v>
      </c>
      <c r="C373" s="7" t="s">
        <v>1050</v>
      </c>
      <c r="D373" s="7" t="s">
        <v>1051</v>
      </c>
      <c r="E373" s="7" t="s">
        <v>30</v>
      </c>
      <c r="F373" s="7" t="s">
        <v>1022</v>
      </c>
      <c r="G373" s="7" t="n">
        <v>2004</v>
      </c>
      <c r="H373" s="7" t="s">
        <v>53</v>
      </c>
      <c r="I373" s="7" t="s">
        <v>264</v>
      </c>
      <c r="J373" s="7" t="s">
        <v>1032</v>
      </c>
      <c r="K373" s="7" t="n">
        <f aca="false">IFERROR(VALUE(RIGHT(TRIM(F373),4)),"")</f>
        <v>2017</v>
      </c>
      <c r="L373" s="7" t="str">
        <f aca="false">IF(TRIM(E373)="","Unknown",IFERROR(LEFT(TRIM(E373),FIND(",",TRIM(E373))-1),TRIM(E373)))</f>
        <v>Japan</v>
      </c>
      <c r="M373" s="7" t="str">
        <f aca="false">IFERROR(LEFT(J373,FIND(",",J373)-1),J373)</f>
        <v>Action &amp; Adventure</v>
      </c>
      <c r="N373" s="7" t="n">
        <f aca="false">IF(B373="Movie",IFERROR(VALUE(LEFT(I373,FIND(" ",I373)-1)),""),"")</f>
        <v>88</v>
      </c>
      <c r="O373" s="7" t="str">
        <f aca="false">IF(B373="TV Show",IFERROR(VALUE(LEFT(I373,FIND(" ",I373)-1)),""),"")</f>
        <v/>
      </c>
      <c r="P373" s="7" t="n">
        <f aca="false">IF(K373="","",K373-G373)</f>
        <v>13</v>
      </c>
    </row>
    <row r="374" customFormat="false" ht="15" hidden="false" customHeight="false" outlineLevel="0" collapsed="false">
      <c r="A374" s="7" t="n">
        <v>70036200</v>
      </c>
      <c r="B374" s="7" t="s">
        <v>68</v>
      </c>
      <c r="C374" s="7" t="s">
        <v>1052</v>
      </c>
      <c r="D374" s="7" t="s">
        <v>1051</v>
      </c>
      <c r="E374" s="7" t="s">
        <v>30</v>
      </c>
      <c r="F374" s="7" t="s">
        <v>1022</v>
      </c>
      <c r="G374" s="7" t="n">
        <v>2003</v>
      </c>
      <c r="H374" s="7" t="s">
        <v>53</v>
      </c>
      <c r="I374" s="7" t="s">
        <v>87</v>
      </c>
      <c r="J374" s="7" t="s">
        <v>1032</v>
      </c>
      <c r="K374" s="7" t="n">
        <f aca="false">IFERROR(VALUE(RIGHT(TRIM(F374),4)),"")</f>
        <v>2017</v>
      </c>
      <c r="L374" s="7" t="str">
        <f aca="false">IF(TRIM(E374)="","Unknown",IFERROR(LEFT(TRIM(E374),FIND(",",TRIM(E374))-1),TRIM(E374)))</f>
        <v>Japan</v>
      </c>
      <c r="M374" s="7" t="str">
        <f aca="false">IFERROR(LEFT(J374,FIND(",",J374)-1),J374)</f>
        <v>Action &amp; Adventure</v>
      </c>
      <c r="N374" s="7" t="n">
        <f aca="false">IF(B374="Movie",IFERROR(VALUE(LEFT(I374,FIND(" ",I374)-1)),""),"")</f>
        <v>99</v>
      </c>
      <c r="O374" s="7" t="str">
        <f aca="false">IF(B374="TV Show",IFERROR(VALUE(LEFT(I374,FIND(" ",I374)-1)),""),"")</f>
        <v/>
      </c>
      <c r="P374" s="7" t="n">
        <f aca="false">IF(K374="","",K374-G374)</f>
        <v>14</v>
      </c>
    </row>
    <row r="375" customFormat="false" ht="15" hidden="false" customHeight="false" outlineLevel="0" collapsed="false">
      <c r="A375" s="7" t="n">
        <v>70018513</v>
      </c>
      <c r="B375" s="7" t="s">
        <v>68</v>
      </c>
      <c r="C375" s="7" t="s">
        <v>1053</v>
      </c>
      <c r="D375" s="7" t="s">
        <v>1051</v>
      </c>
      <c r="E375" s="7" t="s">
        <v>30</v>
      </c>
      <c r="F375" s="7" t="s">
        <v>1022</v>
      </c>
      <c r="G375" s="7" t="n">
        <v>2002</v>
      </c>
      <c r="H375" s="7" t="s">
        <v>53</v>
      </c>
      <c r="I375" s="7" t="s">
        <v>87</v>
      </c>
      <c r="J375" s="7" t="s">
        <v>1032</v>
      </c>
      <c r="K375" s="7" t="n">
        <f aca="false">IFERROR(VALUE(RIGHT(TRIM(F375),4)),"")</f>
        <v>2017</v>
      </c>
      <c r="L375" s="7" t="str">
        <f aca="false">IF(TRIM(E375)="","Unknown",IFERROR(LEFT(TRIM(E375),FIND(",",TRIM(E375))-1),TRIM(E375)))</f>
        <v>Japan</v>
      </c>
      <c r="M375" s="7" t="str">
        <f aca="false">IFERROR(LEFT(J375,FIND(",",J375)-1),J375)</f>
        <v>Action &amp; Adventure</v>
      </c>
      <c r="N375" s="7" t="n">
        <f aca="false">IF(B375="Movie",IFERROR(VALUE(LEFT(I375,FIND(" ",I375)-1)),""),"")</f>
        <v>99</v>
      </c>
      <c r="O375" s="7" t="str">
        <f aca="false">IF(B375="TV Show",IFERROR(VALUE(LEFT(I375,FIND(" ",I375)-1)),""),"")</f>
        <v/>
      </c>
      <c r="P375" s="7" t="n">
        <f aca="false">IF(K375="","",K375-G375)</f>
        <v>15</v>
      </c>
    </row>
    <row r="376" customFormat="false" ht="15" hidden="false" customHeight="false" outlineLevel="0" collapsed="false">
      <c r="A376" s="7" t="n">
        <v>80158480</v>
      </c>
      <c r="B376" s="7" t="s">
        <v>68</v>
      </c>
      <c r="C376" s="7" t="s">
        <v>1054</v>
      </c>
      <c r="D376" s="7" t="s">
        <v>1055</v>
      </c>
      <c r="E376" s="7" t="s">
        <v>27</v>
      </c>
      <c r="F376" s="7" t="s">
        <v>1022</v>
      </c>
      <c r="G376" s="7" t="n">
        <v>1973</v>
      </c>
      <c r="H376" s="7" t="s">
        <v>49</v>
      </c>
      <c r="I376" s="7" t="s">
        <v>755</v>
      </c>
      <c r="J376" s="7" t="s">
        <v>322</v>
      </c>
      <c r="K376" s="7" t="n">
        <f aca="false">IFERROR(VALUE(RIGHT(TRIM(F376),4)),"")</f>
        <v>2017</v>
      </c>
      <c r="L376" s="7" t="str">
        <f aca="false">IF(TRIM(E376)="","Unknown",IFERROR(LEFT(TRIM(E376),FIND(",",TRIM(E376))-1),TRIM(E376)))</f>
        <v>India</v>
      </c>
      <c r="M376" s="7" t="str">
        <f aca="false">IFERROR(LEFT(J376,FIND(",",J376)-1),J376)</f>
        <v>Action &amp; Adventure</v>
      </c>
      <c r="N376" s="7" t="n">
        <f aca="false">IF(B376="Movie",IFERROR(VALUE(LEFT(I376,FIND(" ",I376)-1)),""),"")</f>
        <v>132</v>
      </c>
      <c r="O376" s="7" t="str">
        <f aca="false">IF(B376="TV Show",IFERROR(VALUE(LEFT(I376,FIND(" ",I376)-1)),""),"")</f>
        <v/>
      </c>
      <c r="P376" s="7" t="n">
        <f aca="false">IF(K376="","",K376-G376)</f>
        <v>44</v>
      </c>
    </row>
    <row r="377" customFormat="false" ht="15" hidden="false" customHeight="false" outlineLevel="0" collapsed="false">
      <c r="A377" s="7" t="n">
        <v>80105933</v>
      </c>
      <c r="B377" s="7" t="s">
        <v>78</v>
      </c>
      <c r="C377" s="7" t="s">
        <v>1056</v>
      </c>
      <c r="E377" s="7" t="s">
        <v>26</v>
      </c>
      <c r="F377" s="7" t="s">
        <v>1022</v>
      </c>
      <c r="G377" s="7" t="n">
        <v>2017</v>
      </c>
      <c r="H377" s="7" t="s">
        <v>55</v>
      </c>
      <c r="I377" s="7" t="s">
        <v>82</v>
      </c>
      <c r="J377" s="7" t="s">
        <v>44</v>
      </c>
      <c r="K377" s="7" t="n">
        <f aca="false">IFERROR(VALUE(RIGHT(TRIM(F377),4)),"")</f>
        <v>2017</v>
      </c>
      <c r="L377" s="7" t="str">
        <f aca="false">IF(TRIM(E377)="","Unknown",IFERROR(LEFT(TRIM(E377),FIND(",",TRIM(E377))-1),TRIM(E377)))</f>
        <v>United States</v>
      </c>
      <c r="M377" s="7" t="str">
        <f aca="false">IFERROR(LEFT(J377,FIND(",",J377)-1),J377)</f>
        <v>Kids' TV</v>
      </c>
      <c r="N377" s="7" t="str">
        <f aca="false">IF(B377="Movie",IFERROR(VALUE(LEFT(I377,FIND(" ",I377)-1)),""),"")</f>
        <v/>
      </c>
      <c r="O377" s="7" t="n">
        <f aca="false">IF(B377="TV Show",IFERROR(VALUE(LEFT(I377,FIND(" ",I377)-1)),""),"")</f>
        <v>1</v>
      </c>
      <c r="P377" s="7" t="n">
        <f aca="false">IF(K377="","",K377-G377)</f>
        <v>0</v>
      </c>
    </row>
    <row r="378" customFormat="false" ht="15" hidden="false" customHeight="false" outlineLevel="0" collapsed="false">
      <c r="A378" s="7" t="n">
        <v>80139506</v>
      </c>
      <c r="B378" s="7" t="s">
        <v>68</v>
      </c>
      <c r="C378" s="7" t="s">
        <v>1057</v>
      </c>
      <c r="D378" s="7" t="s">
        <v>1058</v>
      </c>
      <c r="E378" s="7" t="s">
        <v>26</v>
      </c>
      <c r="F378" s="7" t="s">
        <v>1022</v>
      </c>
      <c r="G378" s="7" t="n">
        <v>2017</v>
      </c>
      <c r="H378" s="7" t="s">
        <v>48</v>
      </c>
      <c r="I378" s="7" t="s">
        <v>111</v>
      </c>
      <c r="J378" s="7" t="s">
        <v>1059</v>
      </c>
      <c r="K378" s="7" t="n">
        <f aca="false">IFERROR(VALUE(RIGHT(TRIM(F378),4)),"")</f>
        <v>2017</v>
      </c>
      <c r="L378" s="7" t="str">
        <f aca="false">IF(TRIM(E378)="","Unknown",IFERROR(LEFT(TRIM(E378),FIND(",",TRIM(E378))-1),TRIM(E378)))</f>
        <v>United States</v>
      </c>
      <c r="M378" s="7" t="str">
        <f aca="false">IFERROR(LEFT(J378,FIND(",",J378)-1),J378)</f>
        <v>Comedies</v>
      </c>
      <c r="N378" s="7" t="n">
        <f aca="false">IF(B378="Movie",IFERROR(VALUE(LEFT(I378,FIND(" ",I378)-1)),""),"")</f>
        <v>95</v>
      </c>
      <c r="O378" s="7" t="str">
        <f aca="false">IF(B378="TV Show",IFERROR(VALUE(LEFT(I378,FIND(" ",I378)-1)),""),"")</f>
        <v/>
      </c>
      <c r="P378" s="7" t="n">
        <f aca="false">IF(K378="","",K378-G378)</f>
        <v>0</v>
      </c>
    </row>
    <row r="379" customFormat="false" ht="15" hidden="false" customHeight="false" outlineLevel="0" collapsed="false">
      <c r="A379" s="7" t="n">
        <v>80205314</v>
      </c>
      <c r="B379" s="7" t="s">
        <v>68</v>
      </c>
      <c r="C379" s="7" t="s">
        <v>1060</v>
      </c>
      <c r="D379" s="7" t="s">
        <v>1061</v>
      </c>
      <c r="E379" s="7" t="s">
        <v>27</v>
      </c>
      <c r="F379" s="7" t="s">
        <v>1022</v>
      </c>
      <c r="G379" s="7" t="n">
        <v>2015</v>
      </c>
      <c r="H379" s="7" t="s">
        <v>49</v>
      </c>
      <c r="I379" s="7" t="s">
        <v>1062</v>
      </c>
      <c r="J379" s="7" t="s">
        <v>1003</v>
      </c>
      <c r="K379" s="7" t="n">
        <f aca="false">IFERROR(VALUE(RIGHT(TRIM(F379),4)),"")</f>
        <v>2017</v>
      </c>
      <c r="L379" s="7" t="str">
        <f aca="false">IF(TRIM(E379)="","Unknown",IFERROR(LEFT(TRIM(E379),FIND(",",TRIM(E379))-1),TRIM(E379)))</f>
        <v>India</v>
      </c>
      <c r="M379" s="7" t="str">
        <f aca="false">IFERROR(LEFT(J379,FIND(",",J379)-1),J379)</f>
        <v>Dramas</v>
      </c>
      <c r="N379" s="7" t="n">
        <f aca="false">IF(B379="Movie",IFERROR(VALUE(LEFT(I379,FIND(" ",I379)-1)),""),"")</f>
        <v>155</v>
      </c>
      <c r="O379" s="7" t="str">
        <f aca="false">IF(B379="TV Show",IFERROR(VALUE(LEFT(I379,FIND(" ",I379)-1)),""),"")</f>
        <v/>
      </c>
      <c r="P379" s="7" t="n">
        <f aca="false">IF(K379="","",K379-G379)</f>
        <v>2</v>
      </c>
    </row>
    <row r="380" customFormat="false" ht="15" hidden="false" customHeight="false" outlineLevel="0" collapsed="false">
      <c r="A380" s="7" t="n">
        <v>80133200</v>
      </c>
      <c r="B380" s="7" t="s">
        <v>78</v>
      </c>
      <c r="C380" s="7" t="s">
        <v>545</v>
      </c>
      <c r="E380" s="7" t="s">
        <v>1063</v>
      </c>
      <c r="F380" s="7" t="s">
        <v>1022</v>
      </c>
      <c r="G380" s="7" t="n">
        <v>2015</v>
      </c>
      <c r="H380" s="7" t="s">
        <v>48</v>
      </c>
      <c r="I380" s="7" t="s">
        <v>82</v>
      </c>
      <c r="J380" s="7" t="s">
        <v>335</v>
      </c>
      <c r="K380" s="7" t="n">
        <f aca="false">IFERROR(VALUE(RIGHT(TRIM(F380),4)),"")</f>
        <v>2017</v>
      </c>
      <c r="L380" s="7" t="str">
        <f aca="false">IF(TRIM(E380)="","Unknown",IFERROR(LEFT(TRIM(E380),FIND(",",TRIM(E380))-1),TRIM(E380)))</f>
        <v>Norway</v>
      </c>
      <c r="M380" s="7" t="str">
        <f aca="false">IFERROR(LEFT(J380,FIND(",",J380)-1),J380)</f>
        <v>International TV Shows</v>
      </c>
      <c r="N380" s="7" t="str">
        <f aca="false">IF(B380="Movie",IFERROR(VALUE(LEFT(I380,FIND(" ",I380)-1)),""),"")</f>
        <v/>
      </c>
      <c r="O380" s="7" t="n">
        <f aca="false">IF(B380="TV Show",IFERROR(VALUE(LEFT(I380,FIND(" ",I380)-1)),""),"")</f>
        <v>1</v>
      </c>
      <c r="P380" s="7" t="n">
        <f aca="false">IF(K380="","",K380-G380)</f>
        <v>2</v>
      </c>
    </row>
    <row r="381" customFormat="false" ht="15" hidden="false" customHeight="false" outlineLevel="0" collapsed="false">
      <c r="A381" s="7" t="n">
        <v>80158545</v>
      </c>
      <c r="B381" s="7" t="s">
        <v>68</v>
      </c>
      <c r="C381" s="7" t="s">
        <v>1064</v>
      </c>
      <c r="D381" s="7" t="s">
        <v>1065</v>
      </c>
      <c r="E381" s="7" t="s">
        <v>27</v>
      </c>
      <c r="F381" s="7" t="s">
        <v>1022</v>
      </c>
      <c r="G381" s="7" t="n">
        <v>1974</v>
      </c>
      <c r="H381" s="7" t="s">
        <v>49</v>
      </c>
      <c r="I381" s="7" t="s">
        <v>1066</v>
      </c>
      <c r="J381" s="7" t="s">
        <v>457</v>
      </c>
      <c r="K381" s="7" t="n">
        <f aca="false">IFERROR(VALUE(RIGHT(TRIM(F381),4)),"")</f>
        <v>2017</v>
      </c>
      <c r="L381" s="7" t="str">
        <f aca="false">IF(TRIM(E381)="","Unknown",IFERROR(LEFT(TRIM(E381),FIND(",",TRIM(E381))-1),TRIM(E381)))</f>
        <v>India</v>
      </c>
      <c r="M381" s="7" t="str">
        <f aca="false">IFERROR(LEFT(J381,FIND(",",J381)-1),J381)</f>
        <v>Comedies</v>
      </c>
      <c r="N381" s="7" t="n">
        <f aca="false">IF(B381="Movie",IFERROR(VALUE(LEFT(I381,FIND(" ",I381)-1)),""),"")</f>
        <v>162</v>
      </c>
      <c r="O381" s="7" t="str">
        <f aca="false">IF(B381="TV Show",IFERROR(VALUE(LEFT(I381,FIND(" ",I381)-1)),""),"")</f>
        <v/>
      </c>
      <c r="P381" s="7" t="n">
        <f aca="false">IF(K381="","",K381-G381)</f>
        <v>43</v>
      </c>
    </row>
    <row r="382" customFormat="false" ht="15" hidden="false" customHeight="false" outlineLevel="0" collapsed="false">
      <c r="A382" s="7" t="n">
        <v>80156939</v>
      </c>
      <c r="B382" s="7" t="s">
        <v>68</v>
      </c>
      <c r="C382" s="7" t="s">
        <v>1067</v>
      </c>
      <c r="D382" s="7" t="s">
        <v>1068</v>
      </c>
      <c r="E382" s="7" t="s">
        <v>27</v>
      </c>
      <c r="F382" s="7" t="s">
        <v>1022</v>
      </c>
      <c r="G382" s="7" t="n">
        <v>1989</v>
      </c>
      <c r="H382" s="7" t="s">
        <v>49</v>
      </c>
      <c r="I382" s="7" t="s">
        <v>383</v>
      </c>
      <c r="J382" s="7" t="s">
        <v>112</v>
      </c>
      <c r="K382" s="7" t="n">
        <f aca="false">IFERROR(VALUE(RIGHT(TRIM(F382),4)),"")</f>
        <v>2017</v>
      </c>
      <c r="L382" s="7" t="str">
        <f aca="false">IF(TRIM(E382)="","Unknown",IFERROR(LEFT(TRIM(E382),FIND(",",TRIM(E382))-1),TRIM(E382)))</f>
        <v>India</v>
      </c>
      <c r="M382" s="7" t="str">
        <f aca="false">IFERROR(LEFT(J382,FIND(",",J382)-1),J382)</f>
        <v>Action &amp; Adventure</v>
      </c>
      <c r="N382" s="7" t="n">
        <f aca="false">IF(B382="Movie",IFERROR(VALUE(LEFT(I382,FIND(" ",I382)-1)),""),"")</f>
        <v>163</v>
      </c>
      <c r="O382" s="7" t="str">
        <f aca="false">IF(B382="TV Show",IFERROR(VALUE(LEFT(I382,FIND(" ",I382)-1)),""),"")</f>
        <v/>
      </c>
      <c r="P382" s="7" t="n">
        <f aca="false">IF(K382="","",K382-G382)</f>
        <v>28</v>
      </c>
    </row>
    <row r="383" customFormat="false" ht="15" hidden="false" customHeight="false" outlineLevel="0" collapsed="false">
      <c r="A383" s="7" t="n">
        <v>80152537</v>
      </c>
      <c r="B383" s="7" t="s">
        <v>68</v>
      </c>
      <c r="C383" s="7" t="s">
        <v>1069</v>
      </c>
      <c r="D383" s="7" t="s">
        <v>1070</v>
      </c>
      <c r="E383" s="7" t="s">
        <v>30</v>
      </c>
      <c r="F383" s="7" t="s">
        <v>1022</v>
      </c>
      <c r="G383" s="7" t="n">
        <v>2011</v>
      </c>
      <c r="H383" s="7" t="s">
        <v>49</v>
      </c>
      <c r="I383" s="7" t="s">
        <v>181</v>
      </c>
      <c r="J383" s="7" t="s">
        <v>1032</v>
      </c>
      <c r="K383" s="7" t="n">
        <f aca="false">IFERROR(VALUE(RIGHT(TRIM(F383),4)),"")</f>
        <v>2017</v>
      </c>
      <c r="L383" s="7" t="str">
        <f aca="false">IF(TRIM(E383)="","Unknown",IFERROR(LEFT(TRIM(E383),FIND(",",TRIM(E383))-1),TRIM(E383)))</f>
        <v>Japan</v>
      </c>
      <c r="M383" s="7" t="str">
        <f aca="false">IFERROR(LEFT(J383,FIND(",",J383)-1),J383)</f>
        <v>Action &amp; Adventure</v>
      </c>
      <c r="N383" s="7" t="n">
        <f aca="false">IF(B383="Movie",IFERROR(VALUE(LEFT(I383,FIND(" ",I383)-1)),""),"")</f>
        <v>102</v>
      </c>
      <c r="O383" s="7" t="str">
        <f aca="false">IF(B383="TV Show",IFERROR(VALUE(LEFT(I383,FIND(" ",I383)-1)),""),"")</f>
        <v/>
      </c>
      <c r="P383" s="7" t="n">
        <f aca="false">IF(K383="","",K383-G383)</f>
        <v>6</v>
      </c>
    </row>
    <row r="384" customFormat="false" ht="15" hidden="false" customHeight="false" outlineLevel="0" collapsed="false">
      <c r="A384" s="7" t="n">
        <v>80045673</v>
      </c>
      <c r="B384" s="7" t="s">
        <v>68</v>
      </c>
      <c r="C384" s="7" t="s">
        <v>1071</v>
      </c>
      <c r="D384" s="7" t="s">
        <v>1070</v>
      </c>
      <c r="E384" s="7" t="s">
        <v>30</v>
      </c>
      <c r="F384" s="7" t="s">
        <v>1022</v>
      </c>
      <c r="G384" s="7" t="n">
        <v>2009</v>
      </c>
      <c r="H384" s="7" t="s">
        <v>49</v>
      </c>
      <c r="I384" s="7" t="s">
        <v>138</v>
      </c>
      <c r="J384" s="7" t="s">
        <v>1032</v>
      </c>
      <c r="K384" s="7" t="n">
        <f aca="false">IFERROR(VALUE(RIGHT(TRIM(F384),4)),"")</f>
        <v>2017</v>
      </c>
      <c r="L384" s="7" t="str">
        <f aca="false">IF(TRIM(E384)="","Unknown",IFERROR(LEFT(TRIM(E384),FIND(",",TRIM(E384))-1),TRIM(E384)))</f>
        <v>Japan</v>
      </c>
      <c r="M384" s="7" t="str">
        <f aca="false">IFERROR(LEFT(J384,FIND(",",J384)-1),J384)</f>
        <v>Action &amp; Adventure</v>
      </c>
      <c r="N384" s="7" t="n">
        <f aca="false">IF(B384="Movie",IFERROR(VALUE(LEFT(I384,FIND(" ",I384)-1)),""),"")</f>
        <v>96</v>
      </c>
      <c r="O384" s="7" t="str">
        <f aca="false">IF(B384="TV Show",IFERROR(VALUE(LEFT(I384,FIND(" ",I384)-1)),""),"")</f>
        <v/>
      </c>
      <c r="P384" s="7" t="n">
        <f aca="false">IF(K384="","",K384-G384)</f>
        <v>8</v>
      </c>
    </row>
    <row r="385" customFormat="false" ht="15" hidden="false" customHeight="false" outlineLevel="0" collapsed="false">
      <c r="A385" s="7" t="n">
        <v>70275937</v>
      </c>
      <c r="B385" s="7" t="s">
        <v>68</v>
      </c>
      <c r="C385" s="7" t="s">
        <v>1072</v>
      </c>
      <c r="D385" s="7" t="s">
        <v>1070</v>
      </c>
      <c r="E385" s="7" t="s">
        <v>30</v>
      </c>
      <c r="F385" s="7" t="s">
        <v>1022</v>
      </c>
      <c r="G385" s="7" t="n">
        <v>2010</v>
      </c>
      <c r="H385" s="7" t="s">
        <v>49</v>
      </c>
      <c r="I385" s="7" t="s">
        <v>340</v>
      </c>
      <c r="J385" s="7" t="s">
        <v>1032</v>
      </c>
      <c r="K385" s="7" t="n">
        <f aca="false">IFERROR(VALUE(RIGHT(TRIM(F385),4)),"")</f>
        <v>2017</v>
      </c>
      <c r="L385" s="7" t="str">
        <f aca="false">IF(TRIM(E385)="","Unknown",IFERROR(LEFT(TRIM(E385),FIND(",",TRIM(E385))-1),TRIM(E385)))</f>
        <v>Japan</v>
      </c>
      <c r="M385" s="7" t="str">
        <f aca="false">IFERROR(LEFT(J385,FIND(",",J385)-1),J385)</f>
        <v>Action &amp; Adventure</v>
      </c>
      <c r="N385" s="7" t="n">
        <f aca="false">IF(B385="Movie",IFERROR(VALUE(LEFT(I385,FIND(" ",I385)-1)),""),"")</f>
        <v>85</v>
      </c>
      <c r="O385" s="7" t="str">
        <f aca="false">IF(B385="TV Show",IFERROR(VALUE(LEFT(I385,FIND(" ",I385)-1)),""),"")</f>
        <v/>
      </c>
      <c r="P385" s="7" t="n">
        <f aca="false">IF(K385="","",K385-G385)</f>
        <v>7</v>
      </c>
    </row>
    <row r="386" customFormat="false" ht="15" hidden="false" customHeight="false" outlineLevel="0" collapsed="false">
      <c r="A386" s="7" t="n">
        <v>70101321</v>
      </c>
      <c r="B386" s="7" t="s">
        <v>68</v>
      </c>
      <c r="C386" s="7" t="s">
        <v>1073</v>
      </c>
      <c r="D386" s="7" t="s">
        <v>1074</v>
      </c>
      <c r="E386" s="7" t="s">
        <v>30</v>
      </c>
      <c r="F386" s="7" t="s">
        <v>1022</v>
      </c>
      <c r="G386" s="7" t="n">
        <v>2005</v>
      </c>
      <c r="H386" s="7" t="s">
        <v>53</v>
      </c>
      <c r="I386" s="7" t="s">
        <v>451</v>
      </c>
      <c r="J386" s="7" t="s">
        <v>1032</v>
      </c>
      <c r="K386" s="7" t="n">
        <f aca="false">IFERROR(VALUE(RIGHT(TRIM(F386),4)),"")</f>
        <v>2017</v>
      </c>
      <c r="L386" s="7" t="str">
        <f aca="false">IF(TRIM(E386)="","Unknown",IFERROR(LEFT(TRIM(E386),FIND(",",TRIM(E386))-1),TRIM(E386)))</f>
        <v>Japan</v>
      </c>
      <c r="M386" s="7" t="str">
        <f aca="false">IFERROR(LEFT(J386,FIND(",",J386)-1),J386)</f>
        <v>Action &amp; Adventure</v>
      </c>
      <c r="N386" s="7" t="n">
        <f aca="false">IF(B386="Movie",IFERROR(VALUE(LEFT(I386,FIND(" ",I386)-1)),""),"")</f>
        <v>97</v>
      </c>
      <c r="O386" s="7" t="str">
        <f aca="false">IF(B386="TV Show",IFERROR(VALUE(LEFT(I386,FIND(" ",I386)-1)),""),"")</f>
        <v/>
      </c>
      <c r="P386" s="7" t="n">
        <f aca="false">IF(K386="","",K386-G386)</f>
        <v>12</v>
      </c>
    </row>
    <row r="387" customFormat="false" ht="15" hidden="false" customHeight="false" outlineLevel="0" collapsed="false">
      <c r="A387" s="7" t="n">
        <v>70108386</v>
      </c>
      <c r="B387" s="7" t="s">
        <v>68</v>
      </c>
      <c r="C387" s="7" t="s">
        <v>1075</v>
      </c>
      <c r="D387" s="7" t="s">
        <v>1076</v>
      </c>
      <c r="E387" s="7" t="s">
        <v>30</v>
      </c>
      <c r="F387" s="7" t="s">
        <v>1022</v>
      </c>
      <c r="G387" s="7" t="n">
        <v>2006</v>
      </c>
      <c r="H387" s="7" t="s">
        <v>53</v>
      </c>
      <c r="I387" s="7" t="s">
        <v>111</v>
      </c>
      <c r="J387" s="7" t="s">
        <v>1032</v>
      </c>
      <c r="K387" s="7" t="n">
        <f aca="false">IFERROR(VALUE(RIGHT(TRIM(F387),4)),"")</f>
        <v>2017</v>
      </c>
      <c r="L387" s="7" t="str">
        <f aca="false">IF(TRIM(E387)="","Unknown",IFERROR(LEFT(TRIM(E387),FIND(",",TRIM(E387))-1),TRIM(E387)))</f>
        <v>Japan</v>
      </c>
      <c r="M387" s="7" t="str">
        <f aca="false">IFERROR(LEFT(J387,FIND(",",J387)-1),J387)</f>
        <v>Action &amp; Adventure</v>
      </c>
      <c r="N387" s="7" t="n">
        <f aca="false">IF(B387="Movie",IFERROR(VALUE(LEFT(I387,FIND(" ",I387)-1)),""),"")</f>
        <v>95</v>
      </c>
      <c r="O387" s="7" t="str">
        <f aca="false">IF(B387="TV Show",IFERROR(VALUE(LEFT(I387,FIND(" ",I387)-1)),""),"")</f>
        <v/>
      </c>
      <c r="P387" s="7" t="n">
        <f aca="false">IF(K387="","",K387-G387)</f>
        <v>11</v>
      </c>
    </row>
    <row r="388" customFormat="false" ht="15" hidden="false" customHeight="false" outlineLevel="0" collapsed="false">
      <c r="A388" s="7" t="n">
        <v>70074559</v>
      </c>
      <c r="B388" s="7" t="s">
        <v>68</v>
      </c>
      <c r="C388" s="7" t="s">
        <v>1077</v>
      </c>
      <c r="D388" s="7" t="s">
        <v>1078</v>
      </c>
      <c r="E388" s="7" t="s">
        <v>30</v>
      </c>
      <c r="F388" s="7" t="s">
        <v>1022</v>
      </c>
      <c r="G388" s="7" t="n">
        <v>2004</v>
      </c>
      <c r="H388" s="7" t="s">
        <v>53</v>
      </c>
      <c r="I388" s="7" t="s">
        <v>524</v>
      </c>
      <c r="J388" s="7" t="s">
        <v>1032</v>
      </c>
      <c r="K388" s="7" t="n">
        <f aca="false">IFERROR(VALUE(RIGHT(TRIM(F388),4)),"")</f>
        <v>2017</v>
      </c>
      <c r="L388" s="7" t="str">
        <f aca="false">IF(TRIM(E388)="","Unknown",IFERROR(LEFT(TRIM(E388),FIND(",",TRIM(E388))-1),TRIM(E388)))</f>
        <v>Japan</v>
      </c>
      <c r="M388" s="7" t="str">
        <f aca="false">IFERROR(LEFT(J388,FIND(",",J388)-1),J388)</f>
        <v>Action &amp; Adventure</v>
      </c>
      <c r="N388" s="7" t="n">
        <f aca="false">IF(B388="Movie",IFERROR(VALUE(LEFT(I388,FIND(" ",I388)-1)),""),"")</f>
        <v>83</v>
      </c>
      <c r="O388" s="7" t="str">
        <f aca="false">IF(B388="TV Show",IFERROR(VALUE(LEFT(I388,FIND(" ",I388)-1)),""),"")</f>
        <v/>
      </c>
      <c r="P388" s="7" t="n">
        <f aca="false">IF(K388="","",K388-G388)</f>
        <v>13</v>
      </c>
    </row>
    <row r="389" customFormat="false" ht="15" hidden="false" customHeight="false" outlineLevel="0" collapsed="false">
      <c r="A389" s="7" t="n">
        <v>80162197</v>
      </c>
      <c r="B389" s="7" t="s">
        <v>68</v>
      </c>
      <c r="C389" s="7" t="s">
        <v>1079</v>
      </c>
      <c r="D389" s="7" t="s">
        <v>1080</v>
      </c>
      <c r="E389" s="7" t="s">
        <v>1081</v>
      </c>
      <c r="F389" s="7" t="s">
        <v>1022</v>
      </c>
      <c r="G389" s="7" t="n">
        <v>2016</v>
      </c>
      <c r="H389" s="7" t="s">
        <v>48</v>
      </c>
      <c r="I389" s="7" t="s">
        <v>357</v>
      </c>
      <c r="J389" s="7" t="s">
        <v>139</v>
      </c>
      <c r="K389" s="7" t="n">
        <f aca="false">IFERROR(VALUE(RIGHT(TRIM(F389),4)),"")</f>
        <v>2017</v>
      </c>
      <c r="L389" s="7" t="str">
        <f aca="false">IF(TRIM(E389)="","Unknown",IFERROR(LEFT(TRIM(E389),FIND(",",TRIM(E389))-1),TRIM(E389)))</f>
        <v>Germany</v>
      </c>
      <c r="M389" s="7" t="str">
        <f aca="false">IFERROR(LEFT(J389,FIND(",",J389)-1),J389)</f>
        <v>Action &amp; Adventure</v>
      </c>
      <c r="N389" s="7" t="n">
        <f aca="false">IF(B389="Movie",IFERROR(VALUE(LEFT(I389,FIND(" ",I389)-1)),""),"")</f>
        <v>89</v>
      </c>
      <c r="O389" s="7" t="str">
        <f aca="false">IF(B389="TV Show",IFERROR(VALUE(LEFT(I389,FIND(" ",I389)-1)),""),"")</f>
        <v/>
      </c>
      <c r="P389" s="7" t="n">
        <f aca="false">IF(K389="","",K389-G389)</f>
        <v>1</v>
      </c>
    </row>
    <row r="390" customFormat="false" ht="15" hidden="false" customHeight="false" outlineLevel="0" collapsed="false">
      <c r="A390" s="7" t="n">
        <v>80184055</v>
      </c>
      <c r="B390" s="7" t="s">
        <v>68</v>
      </c>
      <c r="C390" s="7" t="s">
        <v>1082</v>
      </c>
      <c r="D390" s="7" t="s">
        <v>1083</v>
      </c>
      <c r="E390" s="7" t="s">
        <v>26</v>
      </c>
      <c r="F390" s="7" t="s">
        <v>1022</v>
      </c>
      <c r="G390" s="7" t="n">
        <v>2017</v>
      </c>
      <c r="H390" s="7" t="s">
        <v>48</v>
      </c>
      <c r="I390" s="7" t="s">
        <v>1084</v>
      </c>
      <c r="J390" s="7" t="s">
        <v>1085</v>
      </c>
      <c r="K390" s="7" t="n">
        <f aca="false">IFERROR(VALUE(RIGHT(TRIM(F390),4)),"")</f>
        <v>2017</v>
      </c>
      <c r="L390" s="7" t="str">
        <f aca="false">IF(TRIM(E390)="","Unknown",IFERROR(LEFT(TRIM(E390),FIND(",",TRIM(E390))-1),TRIM(E390)))</f>
        <v>United States</v>
      </c>
      <c r="M390" s="7" t="str">
        <f aca="false">IFERROR(LEFT(J390,FIND(",",J390)-1),J390)</f>
        <v>Documentaries</v>
      </c>
      <c r="N390" s="7" t="n">
        <f aca="false">IF(B390="Movie",IFERROR(VALUE(LEFT(I390,FIND(" ",I390)-1)),""),"")</f>
        <v>28</v>
      </c>
      <c r="O390" s="7" t="str">
        <f aca="false">IF(B390="TV Show",IFERROR(VALUE(LEFT(I390,FIND(" ",I390)-1)),""),"")</f>
        <v/>
      </c>
      <c r="P390" s="7" t="n">
        <f aca="false">IF(K390="","",K390-G390)</f>
        <v>0</v>
      </c>
    </row>
    <row r="391" customFormat="false" ht="15" hidden="false" customHeight="false" outlineLevel="0" collapsed="false">
      <c r="A391" s="7" t="n">
        <v>80160358</v>
      </c>
      <c r="B391" s="7" t="s">
        <v>68</v>
      </c>
      <c r="C391" s="7" t="s">
        <v>1086</v>
      </c>
      <c r="D391" s="7" t="s">
        <v>1087</v>
      </c>
      <c r="E391" s="7" t="s">
        <v>31</v>
      </c>
      <c r="F391" s="7" t="s">
        <v>1022</v>
      </c>
      <c r="G391" s="7" t="n">
        <v>2016</v>
      </c>
      <c r="H391" s="7" t="s">
        <v>48</v>
      </c>
      <c r="I391" s="7" t="s">
        <v>330</v>
      </c>
      <c r="J391" s="7" t="s">
        <v>341</v>
      </c>
      <c r="K391" s="7" t="n">
        <f aca="false">IFERROR(VALUE(RIGHT(TRIM(F391),4)),"")</f>
        <v>2017</v>
      </c>
      <c r="L391" s="7" t="str">
        <f aca="false">IF(TRIM(E391)="","Unknown",IFERROR(LEFT(TRIM(E391),FIND(",",TRIM(E391))-1),TRIM(E391)))</f>
        <v>France</v>
      </c>
      <c r="M391" s="7" t="str">
        <f aca="false">IFERROR(LEFT(J391,FIND(",",J391)-1),J391)</f>
        <v>Documentaries</v>
      </c>
      <c r="N391" s="7" t="n">
        <f aca="false">IF(B391="Movie",IFERROR(VALUE(LEFT(I391,FIND(" ",I391)-1)),""),"")</f>
        <v>103</v>
      </c>
      <c r="O391" s="7" t="str">
        <f aca="false">IF(B391="TV Show",IFERROR(VALUE(LEFT(I391,FIND(" ",I391)-1)),""),"")</f>
        <v/>
      </c>
      <c r="P391" s="7" t="n">
        <f aca="false">IF(K391="","",K391-G391)</f>
        <v>1</v>
      </c>
    </row>
    <row r="392" customFormat="false" ht="15" hidden="false" customHeight="false" outlineLevel="0" collapsed="false">
      <c r="A392" s="7" t="n">
        <v>60034929</v>
      </c>
      <c r="B392" s="7" t="s">
        <v>68</v>
      </c>
      <c r="C392" s="7" t="s">
        <v>1088</v>
      </c>
      <c r="D392" s="7" t="s">
        <v>1089</v>
      </c>
      <c r="E392" s="7" t="s">
        <v>26</v>
      </c>
      <c r="F392" s="7" t="s">
        <v>1022</v>
      </c>
      <c r="G392" s="7" t="n">
        <v>1986</v>
      </c>
      <c r="H392" s="7" t="s">
        <v>51</v>
      </c>
      <c r="I392" s="7" t="s">
        <v>613</v>
      </c>
      <c r="J392" s="7" t="s">
        <v>1090</v>
      </c>
      <c r="K392" s="7" t="n">
        <f aca="false">IFERROR(VALUE(RIGHT(TRIM(F392),4)),"")</f>
        <v>2017</v>
      </c>
      <c r="L392" s="7" t="str">
        <f aca="false">IF(TRIM(E392)="","Unknown",IFERROR(LEFT(TRIM(E392),FIND(",",TRIM(E392))-1),TRIM(E392)))</f>
        <v>United States</v>
      </c>
      <c r="M392" s="7" t="str">
        <f aca="false">IFERROR(LEFT(J392,FIND(",",J392)-1),J392)</f>
        <v>Classic Movies</v>
      </c>
      <c r="N392" s="7" t="n">
        <f aca="false">IF(B392="Movie",IFERROR(VALUE(LEFT(I392,FIND(" ",I392)-1)),""),"")</f>
        <v>84</v>
      </c>
      <c r="O392" s="7" t="str">
        <f aca="false">IF(B392="TV Show",IFERROR(VALUE(LEFT(I392,FIND(" ",I392)-1)),""),"")</f>
        <v/>
      </c>
      <c r="P392" s="7" t="n">
        <f aca="false">IF(K392="","",K392-G392)</f>
        <v>31</v>
      </c>
    </row>
    <row r="393" customFormat="false" ht="15" hidden="false" customHeight="false" outlineLevel="0" collapsed="false">
      <c r="A393" s="7" t="n">
        <v>80157134</v>
      </c>
      <c r="B393" s="7" t="s">
        <v>68</v>
      </c>
      <c r="C393" s="7" t="s">
        <v>1091</v>
      </c>
      <c r="D393" s="7" t="s">
        <v>1092</v>
      </c>
      <c r="E393" s="7" t="s">
        <v>1093</v>
      </c>
      <c r="F393" s="7" t="s">
        <v>1022</v>
      </c>
      <c r="G393" s="7" t="n">
        <v>1984</v>
      </c>
      <c r="H393" s="7" t="s">
        <v>50</v>
      </c>
      <c r="I393" s="7" t="s">
        <v>1094</v>
      </c>
      <c r="J393" s="7" t="s">
        <v>240</v>
      </c>
      <c r="K393" s="7" t="n">
        <f aca="false">IFERROR(VALUE(RIGHT(TRIM(F393),4)),"")</f>
        <v>2017</v>
      </c>
      <c r="L393" s="7" t="str">
        <f aca="false">IF(TRIM(E393)="","Unknown",IFERROR(LEFT(TRIM(E393),FIND(",",TRIM(E393))-1),TRIM(E393)))</f>
        <v>India</v>
      </c>
      <c r="M393" s="7" t="str">
        <f aca="false">IFERROR(LEFT(J393,FIND(",",J393)-1),J393)</f>
        <v>Dramas</v>
      </c>
      <c r="N393" s="7" t="n">
        <f aca="false">IF(B393="Movie",IFERROR(VALUE(LEFT(I393,FIND(" ",I393)-1)),""),"")</f>
        <v>160</v>
      </c>
      <c r="O393" s="7" t="str">
        <f aca="false">IF(B393="TV Show",IFERROR(VALUE(LEFT(I393,FIND(" ",I393)-1)),""),"")</f>
        <v/>
      </c>
      <c r="P393" s="7" t="n">
        <f aca="false">IF(K393="","",K393-G393)</f>
        <v>33</v>
      </c>
    </row>
    <row r="394" customFormat="false" ht="15" hidden="false" customHeight="false" outlineLevel="0" collapsed="false">
      <c r="A394" s="7" t="n">
        <v>80141891</v>
      </c>
      <c r="B394" s="7" t="s">
        <v>68</v>
      </c>
      <c r="C394" s="7" t="s">
        <v>1095</v>
      </c>
      <c r="D394" s="7" t="s">
        <v>1096</v>
      </c>
      <c r="E394" s="7" t="s">
        <v>1097</v>
      </c>
      <c r="F394" s="7" t="s">
        <v>1022</v>
      </c>
      <c r="G394" s="7" t="n">
        <v>2016</v>
      </c>
      <c r="H394" s="7" t="s">
        <v>48</v>
      </c>
      <c r="I394" s="7" t="s">
        <v>146</v>
      </c>
      <c r="J394" s="7" t="s">
        <v>217</v>
      </c>
      <c r="K394" s="7" t="n">
        <f aca="false">IFERROR(VALUE(RIGHT(TRIM(F394),4)),"")</f>
        <v>2017</v>
      </c>
      <c r="L394" s="7" t="str">
        <f aca="false">IF(TRIM(E394)="","Unknown",IFERROR(LEFT(TRIM(E394),FIND(",",TRIM(E394))-1),TRIM(E394)))</f>
        <v>Argentina</v>
      </c>
      <c r="M394" s="7" t="str">
        <f aca="false">IFERROR(LEFT(J394,FIND(",",J394)-1),J394)</f>
        <v>Comedies</v>
      </c>
      <c r="N394" s="7" t="n">
        <f aca="false">IF(B394="Movie",IFERROR(VALUE(LEFT(I394,FIND(" ",I394)-1)),""),"")</f>
        <v>113</v>
      </c>
      <c r="O394" s="7" t="str">
        <f aca="false">IF(B394="TV Show",IFERROR(VALUE(LEFT(I394,FIND(" ",I394)-1)),""),"")</f>
        <v/>
      </c>
      <c r="P394" s="7" t="n">
        <f aca="false">IF(K394="","",K394-G394)</f>
        <v>1</v>
      </c>
    </row>
    <row r="395" customFormat="false" ht="15" hidden="false" customHeight="false" outlineLevel="0" collapsed="false">
      <c r="A395" s="7" t="n">
        <v>80183897</v>
      </c>
      <c r="B395" s="7" t="s">
        <v>68</v>
      </c>
      <c r="C395" s="7" t="s">
        <v>1098</v>
      </c>
      <c r="D395" s="7" t="s">
        <v>1099</v>
      </c>
      <c r="E395" s="7" t="s">
        <v>1100</v>
      </c>
      <c r="F395" s="7" t="s">
        <v>1022</v>
      </c>
      <c r="G395" s="7" t="n">
        <v>2016</v>
      </c>
      <c r="H395" s="7" t="s">
        <v>48</v>
      </c>
      <c r="I395" s="7" t="s">
        <v>87</v>
      </c>
      <c r="J395" s="7" t="s">
        <v>811</v>
      </c>
      <c r="K395" s="7" t="n">
        <f aca="false">IFERROR(VALUE(RIGHT(TRIM(F395),4)),"")</f>
        <v>2017</v>
      </c>
      <c r="L395" s="7" t="str">
        <f aca="false">IF(TRIM(E395)="","Unknown",IFERROR(LEFT(TRIM(E395),FIND(",",TRIM(E395))-1),TRIM(E395)))</f>
        <v>United States</v>
      </c>
      <c r="M395" s="7" t="str">
        <f aca="false">IFERROR(LEFT(J395,FIND(",",J395)-1),J395)</f>
        <v>Thrillers</v>
      </c>
      <c r="N395" s="7" t="n">
        <f aca="false">IF(B395="Movie",IFERROR(VALUE(LEFT(I395,FIND(" ",I395)-1)),""),"")</f>
        <v>99</v>
      </c>
      <c r="O395" s="7" t="str">
        <f aca="false">IF(B395="TV Show",IFERROR(VALUE(LEFT(I395,FIND(" ",I395)-1)),""),"")</f>
        <v/>
      </c>
      <c r="P395" s="7" t="n">
        <f aca="false">IF(K395="","",K395-G395)</f>
        <v>1</v>
      </c>
    </row>
    <row r="396" customFormat="false" ht="15" hidden="false" customHeight="false" outlineLevel="0" collapsed="false">
      <c r="A396" s="7" t="n">
        <v>80177834</v>
      </c>
      <c r="B396" s="7" t="s">
        <v>68</v>
      </c>
      <c r="C396" s="7" t="s">
        <v>1101</v>
      </c>
      <c r="D396" s="7" t="s">
        <v>1102</v>
      </c>
      <c r="E396" s="7" t="s">
        <v>366</v>
      </c>
      <c r="F396" s="7" t="s">
        <v>1022</v>
      </c>
      <c r="G396" s="7" t="n">
        <v>2016</v>
      </c>
      <c r="H396" s="7" t="s">
        <v>81</v>
      </c>
      <c r="I396" s="7" t="s">
        <v>212</v>
      </c>
      <c r="J396" s="7" t="s">
        <v>74</v>
      </c>
      <c r="K396" s="7" t="n">
        <f aca="false">IFERROR(VALUE(RIGHT(TRIM(F396),4)),"")</f>
        <v>2017</v>
      </c>
      <c r="L396" s="7" t="str">
        <f aca="false">IF(TRIM(E396)="","Unknown",IFERROR(LEFT(TRIM(E396),FIND(",",TRIM(E396))-1),TRIM(E396)))</f>
        <v>China</v>
      </c>
      <c r="M396" s="7" t="str">
        <f aca="false">IFERROR(LEFT(J396,FIND(",",J396)-1),J396)</f>
        <v>Children &amp; Family Movies</v>
      </c>
      <c r="N396" s="7" t="n">
        <f aca="false">IF(B396="Movie",IFERROR(VALUE(LEFT(I396,FIND(" ",I396)-1)),""),"")</f>
        <v>86</v>
      </c>
      <c r="O396" s="7" t="str">
        <f aca="false">IF(B396="TV Show",IFERROR(VALUE(LEFT(I396,FIND(" ",I396)-1)),""),"")</f>
        <v/>
      </c>
      <c r="P396" s="7" t="n">
        <f aca="false">IF(K396="","",K396-G396)</f>
        <v>1</v>
      </c>
    </row>
    <row r="397" customFormat="false" ht="15" hidden="false" customHeight="false" outlineLevel="0" collapsed="false">
      <c r="A397" s="7" t="n">
        <v>80121855</v>
      </c>
      <c r="B397" s="7" t="s">
        <v>68</v>
      </c>
      <c r="C397" s="7" t="s">
        <v>1103</v>
      </c>
      <c r="D397" s="7" t="s">
        <v>1104</v>
      </c>
      <c r="E397" s="7" t="s">
        <v>1105</v>
      </c>
      <c r="F397" s="7" t="s">
        <v>1022</v>
      </c>
      <c r="G397" s="7" t="n">
        <v>2016</v>
      </c>
      <c r="H397" s="7" t="s">
        <v>48</v>
      </c>
      <c r="I397" s="7" t="s">
        <v>524</v>
      </c>
      <c r="J397" s="7" t="s">
        <v>341</v>
      </c>
      <c r="K397" s="7" t="n">
        <f aca="false">IFERROR(VALUE(RIGHT(TRIM(F397),4)),"")</f>
        <v>2017</v>
      </c>
      <c r="L397" s="7" t="str">
        <f aca="false">IF(TRIM(E397)="","Unknown",IFERROR(LEFT(TRIM(E397),FIND(",",TRIM(E397))-1),TRIM(E397)))</f>
        <v>United Kingdom</v>
      </c>
      <c r="M397" s="7" t="str">
        <f aca="false">IFERROR(LEFT(J397,FIND(",",J397)-1),J397)</f>
        <v>Documentaries</v>
      </c>
      <c r="N397" s="7" t="n">
        <f aca="false">IF(B397="Movie",IFERROR(VALUE(LEFT(I397,FIND(" ",I397)-1)),""),"")</f>
        <v>83</v>
      </c>
      <c r="O397" s="7" t="str">
        <f aca="false">IF(B397="TV Show",IFERROR(VALUE(LEFT(I397,FIND(" ",I397)-1)),""),"")</f>
        <v/>
      </c>
      <c r="P397" s="7" t="n">
        <f aca="false">IF(K397="","",K397-G397)</f>
        <v>1</v>
      </c>
    </row>
    <row r="398" customFormat="false" ht="15" hidden="false" customHeight="false" outlineLevel="0" collapsed="false">
      <c r="A398" s="7" t="n">
        <v>80168028</v>
      </c>
      <c r="B398" s="7" t="s">
        <v>68</v>
      </c>
      <c r="C398" s="7" t="s">
        <v>1106</v>
      </c>
      <c r="D398" s="7" t="s">
        <v>1107</v>
      </c>
      <c r="E398" s="7" t="s">
        <v>1108</v>
      </c>
      <c r="F398" s="7" t="s">
        <v>1022</v>
      </c>
      <c r="G398" s="7" t="n">
        <v>2017</v>
      </c>
      <c r="H398" s="7" t="s">
        <v>48</v>
      </c>
      <c r="I398" s="7" t="s">
        <v>146</v>
      </c>
      <c r="J398" s="7" t="s">
        <v>304</v>
      </c>
      <c r="K398" s="7" t="n">
        <f aca="false">IFERROR(VALUE(RIGHT(TRIM(F398),4)),"")</f>
        <v>2017</v>
      </c>
      <c r="L398" s="7" t="str">
        <f aca="false">IF(TRIM(E398)="","Unknown",IFERROR(LEFT(TRIM(E398),FIND(",",TRIM(E398))-1),TRIM(E398)))</f>
        <v>Argentina</v>
      </c>
      <c r="M398" s="7" t="str">
        <f aca="false">IFERROR(LEFT(J398,FIND(",",J398)-1),J398)</f>
        <v>Dramas</v>
      </c>
      <c r="N398" s="7" t="n">
        <f aca="false">IF(B398="Movie",IFERROR(VALUE(LEFT(I398,FIND(" ",I398)-1)),""),"")</f>
        <v>113</v>
      </c>
      <c r="O398" s="7" t="str">
        <f aca="false">IF(B398="TV Show",IFERROR(VALUE(LEFT(I398,FIND(" ",I398)-1)),""),"")</f>
        <v/>
      </c>
      <c r="P398" s="7" t="n">
        <f aca="false">IF(K398="","",K398-G398)</f>
        <v>0</v>
      </c>
    </row>
    <row r="399" customFormat="false" ht="15" hidden="false" customHeight="false" outlineLevel="0" collapsed="false">
      <c r="A399" s="7" t="n">
        <v>80200913</v>
      </c>
      <c r="B399" s="7" t="s">
        <v>78</v>
      </c>
      <c r="C399" s="7" t="s">
        <v>1109</v>
      </c>
      <c r="E399" s="7" t="s">
        <v>1110</v>
      </c>
      <c r="F399" s="7" t="s">
        <v>1022</v>
      </c>
      <c r="G399" s="7" t="n">
        <v>2014</v>
      </c>
      <c r="H399" s="7" t="s">
        <v>119</v>
      </c>
      <c r="I399" s="7" t="s">
        <v>82</v>
      </c>
      <c r="J399" s="7" t="s">
        <v>44</v>
      </c>
      <c r="K399" s="7" t="n">
        <f aca="false">IFERROR(VALUE(RIGHT(TRIM(F399),4)),"")</f>
        <v>2017</v>
      </c>
      <c r="L399" s="7" t="str">
        <f aca="false">IF(TRIM(E399)="","Unknown",IFERROR(LEFT(TRIM(E399),FIND(",",TRIM(E399))-1),TRIM(E399)))</f>
        <v>Germany</v>
      </c>
      <c r="M399" s="7" t="str">
        <f aca="false">IFERROR(LEFT(J399,FIND(",",J399)-1),J399)</f>
        <v>Kids' TV</v>
      </c>
      <c r="N399" s="7" t="str">
        <f aca="false">IF(B399="Movie",IFERROR(VALUE(LEFT(I399,FIND(" ",I399)-1)),""),"")</f>
        <v/>
      </c>
      <c r="O399" s="7" t="n">
        <f aca="false">IF(B399="TV Show",IFERROR(VALUE(LEFT(I399,FIND(" ",I399)-1)),""),"")</f>
        <v>1</v>
      </c>
      <c r="P399" s="7" t="n">
        <f aca="false">IF(K399="","",K399-G399)</f>
        <v>3</v>
      </c>
    </row>
    <row r="400" customFormat="false" ht="15" hidden="false" customHeight="false" outlineLevel="0" collapsed="false">
      <c r="A400" s="7" t="n">
        <v>80190990</v>
      </c>
      <c r="B400" s="7" t="s">
        <v>68</v>
      </c>
      <c r="C400" s="7" t="s">
        <v>1111</v>
      </c>
      <c r="D400" s="7" t="s">
        <v>1112</v>
      </c>
      <c r="E400" s="7" t="s">
        <v>1113</v>
      </c>
      <c r="F400" s="7" t="s">
        <v>1022</v>
      </c>
      <c r="G400" s="7" t="n">
        <v>2016</v>
      </c>
      <c r="H400" s="7" t="s">
        <v>49</v>
      </c>
      <c r="I400" s="7" t="s">
        <v>212</v>
      </c>
      <c r="J400" s="7" t="s">
        <v>341</v>
      </c>
      <c r="K400" s="7" t="n">
        <f aca="false">IFERROR(VALUE(RIGHT(TRIM(F400),4)),"")</f>
        <v>2017</v>
      </c>
      <c r="L400" s="7" t="str">
        <f aca="false">IF(TRIM(E400)="","Unknown",IFERROR(LEFT(TRIM(E400),FIND(",",TRIM(E400))-1),TRIM(E400)))</f>
        <v>Argentina</v>
      </c>
      <c r="M400" s="7" t="str">
        <f aca="false">IFERROR(LEFT(J400,FIND(",",J400)-1),J400)</f>
        <v>Documentaries</v>
      </c>
      <c r="N400" s="7" t="n">
        <f aca="false">IF(B400="Movie",IFERROR(VALUE(LEFT(I400,FIND(" ",I400)-1)),""),"")</f>
        <v>86</v>
      </c>
      <c r="O400" s="7" t="str">
        <f aca="false">IF(B400="TV Show",IFERROR(VALUE(LEFT(I400,FIND(" ",I400)-1)),""),"")</f>
        <v/>
      </c>
      <c r="P400" s="7" t="n">
        <f aca="false">IF(K400="","",K400-G400)</f>
        <v>1</v>
      </c>
    </row>
    <row r="401" customFormat="false" ht="15" hidden="false" customHeight="false" outlineLevel="0" collapsed="false">
      <c r="A401" s="7" t="n">
        <v>80173269</v>
      </c>
      <c r="B401" s="7" t="s">
        <v>68</v>
      </c>
      <c r="C401" s="7" t="s">
        <v>1114</v>
      </c>
      <c r="D401" s="7" t="s">
        <v>1115</v>
      </c>
      <c r="E401" s="7" t="s">
        <v>26</v>
      </c>
      <c r="F401" s="7" t="s">
        <v>1022</v>
      </c>
      <c r="G401" s="7" t="n">
        <v>2017</v>
      </c>
      <c r="H401" s="7" t="s">
        <v>48</v>
      </c>
      <c r="I401" s="7" t="s">
        <v>107</v>
      </c>
      <c r="J401" s="7" t="s">
        <v>1116</v>
      </c>
      <c r="K401" s="7" t="n">
        <f aca="false">IFERROR(VALUE(RIGHT(TRIM(F401),4)),"")</f>
        <v>2017</v>
      </c>
      <c r="L401" s="7" t="str">
        <f aca="false">IF(TRIM(E401)="","Unknown",IFERROR(LEFT(TRIM(E401),FIND(",",TRIM(E401))-1),TRIM(E401)))</f>
        <v>United States</v>
      </c>
      <c r="M401" s="7" t="str">
        <f aca="false">IFERROR(LEFT(J401,FIND(",",J401)-1),J401)</f>
        <v>Documentaries</v>
      </c>
      <c r="N401" s="7" t="n">
        <f aca="false">IF(B401="Movie",IFERROR(VALUE(LEFT(I401,FIND(" ",I401)-1)),""),"")</f>
        <v>78</v>
      </c>
      <c r="O401" s="7" t="str">
        <f aca="false">IF(B401="TV Show",IFERROR(VALUE(LEFT(I401,FIND(" ",I401)-1)),""),"")</f>
        <v/>
      </c>
      <c r="P401" s="7" t="n">
        <f aca="false">IF(K401="","",K401-G401)</f>
        <v>0</v>
      </c>
    </row>
    <row r="402" customFormat="false" ht="15" hidden="false" customHeight="false" outlineLevel="0" collapsed="false">
      <c r="A402" s="7" t="n">
        <v>80106140</v>
      </c>
      <c r="B402" s="7" t="s">
        <v>68</v>
      </c>
      <c r="C402" s="7" t="s">
        <v>1117</v>
      </c>
      <c r="D402" s="7" t="s">
        <v>867</v>
      </c>
      <c r="E402" s="7" t="s">
        <v>868</v>
      </c>
      <c r="F402" s="7" t="s">
        <v>1118</v>
      </c>
      <c r="G402" s="7" t="n">
        <v>2015</v>
      </c>
      <c r="H402" s="7" t="s">
        <v>53</v>
      </c>
      <c r="I402" s="7" t="s">
        <v>326</v>
      </c>
      <c r="J402" s="7" t="s">
        <v>304</v>
      </c>
      <c r="K402" s="7" t="n">
        <f aca="false">IFERROR(VALUE(RIGHT(TRIM(F402),4)),"")</f>
        <v>2016</v>
      </c>
      <c r="L402" s="7" t="str">
        <f aca="false">IF(TRIM(E402)="","Unknown",IFERROR(LEFT(TRIM(E402),FIND(",",TRIM(E402))-1),TRIM(E402)))</f>
        <v>Netherlands</v>
      </c>
      <c r="M402" s="7" t="str">
        <f aca="false">IFERROR(LEFT(J402,FIND(",",J402)-1),J402)</f>
        <v>Dramas</v>
      </c>
      <c r="N402" s="7" t="n">
        <f aca="false">IF(B402="Movie",IFERROR(VALUE(LEFT(I402,FIND(" ",I402)-1)),""),"")</f>
        <v>111</v>
      </c>
      <c r="O402" s="7" t="str">
        <f aca="false">IF(B402="TV Show",IFERROR(VALUE(LEFT(I402,FIND(" ",I402)-1)),""),"")</f>
        <v/>
      </c>
      <c r="P402" s="7" t="n">
        <f aca="false">IF(K402="","",K402-G402)</f>
        <v>1</v>
      </c>
    </row>
    <row r="403" customFormat="false" ht="15" hidden="false" customHeight="false" outlineLevel="0" collapsed="false">
      <c r="A403" s="7" t="n">
        <v>80106137</v>
      </c>
      <c r="B403" s="7" t="s">
        <v>68</v>
      </c>
      <c r="C403" s="7" t="s">
        <v>1119</v>
      </c>
      <c r="D403" s="7" t="s">
        <v>1120</v>
      </c>
      <c r="E403" s="7" t="s">
        <v>868</v>
      </c>
      <c r="F403" s="7" t="s">
        <v>1118</v>
      </c>
      <c r="G403" s="7" t="n">
        <v>2015</v>
      </c>
      <c r="H403" s="7" t="s">
        <v>49</v>
      </c>
      <c r="I403" s="7" t="s">
        <v>264</v>
      </c>
      <c r="J403" s="7" t="s">
        <v>202</v>
      </c>
      <c r="K403" s="7" t="n">
        <f aca="false">IFERROR(VALUE(RIGHT(TRIM(F403),4)),"")</f>
        <v>2016</v>
      </c>
      <c r="L403" s="7" t="str">
        <f aca="false">IF(TRIM(E403)="","Unknown",IFERROR(LEFT(TRIM(E403),FIND(",",TRIM(E403))-1),TRIM(E403)))</f>
        <v>Netherlands</v>
      </c>
      <c r="M403" s="7" t="str">
        <f aca="false">IFERROR(LEFT(J403,FIND(",",J403)-1),J403)</f>
        <v>Comedies</v>
      </c>
      <c r="N403" s="7" t="n">
        <f aca="false">IF(B403="Movie",IFERROR(VALUE(LEFT(I403,FIND(" ",I403)-1)),""),"")</f>
        <v>88</v>
      </c>
      <c r="O403" s="7" t="str">
        <f aca="false">IF(B403="TV Show",IFERROR(VALUE(LEFT(I403,FIND(" ",I403)-1)),""),"")</f>
        <v/>
      </c>
      <c r="P403" s="7" t="n">
        <f aca="false">IF(K403="","",K403-G403)</f>
        <v>1</v>
      </c>
    </row>
    <row r="404" customFormat="false" ht="15" hidden="false" customHeight="false" outlineLevel="0" collapsed="false">
      <c r="A404" s="7" t="n">
        <v>80118873</v>
      </c>
      <c r="B404" s="7" t="s">
        <v>78</v>
      </c>
      <c r="C404" s="7" t="s">
        <v>1121</v>
      </c>
      <c r="E404" s="7" t="s">
        <v>28</v>
      </c>
      <c r="F404" s="7" t="s">
        <v>1118</v>
      </c>
      <c r="G404" s="7" t="n">
        <v>2015</v>
      </c>
      <c r="H404" s="7" t="s">
        <v>49</v>
      </c>
      <c r="I404" s="7" t="s">
        <v>82</v>
      </c>
      <c r="J404" s="7" t="s">
        <v>1122</v>
      </c>
      <c r="K404" s="7" t="n">
        <f aca="false">IFERROR(VALUE(RIGHT(TRIM(F404),4)),"")</f>
        <v>2016</v>
      </c>
      <c r="L404" s="7" t="str">
        <f aca="false">IF(TRIM(E404)="","Unknown",IFERROR(LEFT(TRIM(E404),FIND(",",TRIM(E404))-1),TRIM(E404)))</f>
        <v>United Kingdom</v>
      </c>
      <c r="M404" s="7" t="str">
        <f aca="false">IFERROR(LEFT(J404,FIND(",",J404)-1),J404)</f>
        <v>British TV Shows</v>
      </c>
      <c r="N404" s="7" t="str">
        <f aca="false">IF(B404="Movie",IFERROR(VALUE(LEFT(I404,FIND(" ",I404)-1)),""),"")</f>
        <v/>
      </c>
      <c r="O404" s="7" t="n">
        <f aca="false">IF(B404="TV Show",IFERROR(VALUE(LEFT(I404,FIND(" ",I404)-1)),""),"")</f>
        <v>1</v>
      </c>
      <c r="P404" s="7" t="n">
        <f aca="false">IF(K404="","",K404-G404)</f>
        <v>1</v>
      </c>
    </row>
    <row r="405" customFormat="false" ht="15" hidden="false" customHeight="false" outlineLevel="0" collapsed="false">
      <c r="A405" s="7" t="n">
        <v>70229514</v>
      </c>
      <c r="B405" s="7" t="s">
        <v>78</v>
      </c>
      <c r="C405" s="7" t="s">
        <v>1123</v>
      </c>
      <c r="E405" s="7" t="s">
        <v>28</v>
      </c>
      <c r="F405" s="7" t="s">
        <v>1118</v>
      </c>
      <c r="G405" s="7" t="n">
        <v>2008</v>
      </c>
      <c r="H405" s="7" t="s">
        <v>48</v>
      </c>
      <c r="I405" s="7" t="s">
        <v>82</v>
      </c>
      <c r="J405" s="7" t="s">
        <v>1124</v>
      </c>
      <c r="K405" s="7" t="n">
        <f aca="false">IFERROR(VALUE(RIGHT(TRIM(F405),4)),"")</f>
        <v>2016</v>
      </c>
      <c r="L405" s="7" t="str">
        <f aca="false">IF(TRIM(E405)="","Unknown",IFERROR(LEFT(TRIM(E405),FIND(",",TRIM(E405))-1),TRIM(E405)))</f>
        <v>United Kingdom</v>
      </c>
      <c r="M405" s="7" t="str">
        <f aca="false">IFERROR(LEFT(J405,FIND(",",J405)-1),J405)</f>
        <v>British TV Shows</v>
      </c>
      <c r="N405" s="7" t="str">
        <f aca="false">IF(B405="Movie",IFERROR(VALUE(LEFT(I405,FIND(" ",I405)-1)),""),"")</f>
        <v/>
      </c>
      <c r="O405" s="7" t="n">
        <f aca="false">IF(B405="TV Show",IFERROR(VALUE(LEFT(I405,FIND(" ",I405)-1)),""),"")</f>
        <v>1</v>
      </c>
      <c r="P405" s="7" t="n">
        <f aca="false">IF(K405="","",K405-G405)</f>
        <v>8</v>
      </c>
    </row>
    <row r="406" customFormat="false" ht="15" hidden="false" customHeight="false" outlineLevel="0" collapsed="false">
      <c r="A406" s="7" t="n">
        <v>80114155</v>
      </c>
      <c r="B406" s="7" t="s">
        <v>68</v>
      </c>
      <c r="C406" s="7" t="s">
        <v>1125</v>
      </c>
      <c r="D406" s="7" t="s">
        <v>1126</v>
      </c>
      <c r="E406" s="7" t="s">
        <v>1127</v>
      </c>
      <c r="F406" s="7" t="s">
        <v>1118</v>
      </c>
      <c r="G406" s="7" t="n">
        <v>2014</v>
      </c>
      <c r="H406" s="7" t="s">
        <v>49</v>
      </c>
      <c r="I406" s="7" t="s">
        <v>272</v>
      </c>
      <c r="J406" s="7" t="s">
        <v>188</v>
      </c>
      <c r="K406" s="7" t="n">
        <f aca="false">IFERROR(VALUE(RIGHT(TRIM(F406),4)),"")</f>
        <v>2016</v>
      </c>
      <c r="L406" s="7" t="str">
        <f aca="false">IF(TRIM(E406)="","Unknown",IFERROR(LEFT(TRIM(E406),FIND(",",TRIM(E406))-1),TRIM(E406)))</f>
        <v>Pakistan</v>
      </c>
      <c r="M406" s="7" t="str">
        <f aca="false">IFERROR(LEFT(J406,FIND(",",J406)-1),J406)</f>
        <v>Dramas</v>
      </c>
      <c r="N406" s="7" t="n">
        <f aca="false">IF(B406="Movie",IFERROR(VALUE(LEFT(I406,FIND(" ",I406)-1)),""),"")</f>
        <v>93</v>
      </c>
      <c r="O406" s="7" t="str">
        <f aca="false">IF(B406="TV Show",IFERROR(VALUE(LEFT(I406,FIND(" ",I406)-1)),""),"")</f>
        <v/>
      </c>
      <c r="P406" s="7" t="n">
        <f aca="false">IF(K406="","",K406-G406)</f>
        <v>2</v>
      </c>
    </row>
    <row r="407" customFormat="false" ht="15" hidden="false" customHeight="false" outlineLevel="0" collapsed="false">
      <c r="A407" s="7" t="n">
        <v>70303288</v>
      </c>
      <c r="B407" s="7" t="s">
        <v>78</v>
      </c>
      <c r="C407" s="7" t="s">
        <v>1128</v>
      </c>
      <c r="E407" s="7" t="s">
        <v>970</v>
      </c>
      <c r="F407" s="7" t="s">
        <v>1118</v>
      </c>
      <c r="G407" s="7" t="n">
        <v>2009</v>
      </c>
      <c r="H407" s="7" t="s">
        <v>49</v>
      </c>
      <c r="I407" s="7" t="s">
        <v>82</v>
      </c>
      <c r="J407" s="7" t="s">
        <v>158</v>
      </c>
      <c r="K407" s="7" t="n">
        <f aca="false">IFERROR(VALUE(RIGHT(TRIM(F407),4)),"")</f>
        <v>2016</v>
      </c>
      <c r="L407" s="7" t="str">
        <f aca="false">IF(TRIM(E407)="","Unknown",IFERROR(LEFT(TRIM(E407),FIND(",",TRIM(E407))-1),TRIM(E407)))</f>
        <v>Taiwan</v>
      </c>
      <c r="M407" s="7" t="str">
        <f aca="false">IFERROR(LEFT(J407,FIND(",",J407)-1),J407)</f>
        <v>International TV Shows</v>
      </c>
      <c r="N407" s="7" t="str">
        <f aca="false">IF(B407="Movie",IFERROR(VALUE(LEFT(I407,FIND(" ",I407)-1)),""),"")</f>
        <v/>
      </c>
      <c r="O407" s="7" t="n">
        <f aca="false">IF(B407="TV Show",IFERROR(VALUE(LEFT(I407,FIND(" ",I407)-1)),""),"")</f>
        <v>1</v>
      </c>
      <c r="P407" s="7" t="n">
        <f aca="false">IF(K407="","",K407-G407)</f>
        <v>7</v>
      </c>
    </row>
    <row r="408" customFormat="false" ht="15" hidden="false" customHeight="false" outlineLevel="0" collapsed="false">
      <c r="A408" s="7" t="n">
        <v>80118841</v>
      </c>
      <c r="B408" s="7" t="s">
        <v>68</v>
      </c>
      <c r="C408" s="7" t="s">
        <v>1129</v>
      </c>
      <c r="D408" s="7" t="s">
        <v>1130</v>
      </c>
      <c r="E408" s="7" t="s">
        <v>28</v>
      </c>
      <c r="F408" s="7" t="s">
        <v>1118</v>
      </c>
      <c r="G408" s="7" t="n">
        <v>2008</v>
      </c>
      <c r="H408" s="7" t="s">
        <v>55</v>
      </c>
      <c r="I408" s="7" t="s">
        <v>1131</v>
      </c>
      <c r="J408" s="7" t="s">
        <v>74</v>
      </c>
      <c r="K408" s="7" t="n">
        <f aca="false">IFERROR(VALUE(RIGHT(TRIM(F408),4)),"")</f>
        <v>2016</v>
      </c>
      <c r="L408" s="7" t="str">
        <f aca="false">IF(TRIM(E408)="","Unknown",IFERROR(LEFT(TRIM(E408),FIND(",",TRIM(E408))-1),TRIM(E408)))</f>
        <v>United Kingdom</v>
      </c>
      <c r="M408" s="7" t="str">
        <f aca="false">IFERROR(LEFT(J408,FIND(",",J408)-1),J408)</f>
        <v>Children &amp; Family Movies</v>
      </c>
      <c r="N408" s="7" t="n">
        <f aca="false">IF(B408="Movie",IFERROR(VALUE(LEFT(I408,FIND(" ",I408)-1)),""),"")</f>
        <v>29</v>
      </c>
      <c r="O408" s="7" t="str">
        <f aca="false">IF(B408="TV Show",IFERROR(VALUE(LEFT(I408,FIND(" ",I408)-1)),""),"")</f>
        <v/>
      </c>
      <c r="P408" s="7" t="n">
        <f aca="false">IF(K408="","",K408-G408)</f>
        <v>8</v>
      </c>
    </row>
    <row r="409" customFormat="false" ht="15" hidden="false" customHeight="false" outlineLevel="0" collapsed="false">
      <c r="A409" s="7" t="n">
        <v>80102579</v>
      </c>
      <c r="B409" s="7" t="s">
        <v>68</v>
      </c>
      <c r="C409" s="7" t="s">
        <v>1132</v>
      </c>
      <c r="D409" s="7" t="s">
        <v>1133</v>
      </c>
      <c r="E409" s="7" t="s">
        <v>619</v>
      </c>
      <c r="F409" s="7" t="s">
        <v>1118</v>
      </c>
      <c r="G409" s="7" t="n">
        <v>2015</v>
      </c>
      <c r="H409" s="7" t="s">
        <v>50</v>
      </c>
      <c r="I409" s="7" t="s">
        <v>264</v>
      </c>
      <c r="J409" s="7" t="s">
        <v>1134</v>
      </c>
      <c r="K409" s="7" t="n">
        <f aca="false">IFERROR(VALUE(RIGHT(TRIM(F409),4)),"")</f>
        <v>2016</v>
      </c>
      <c r="L409" s="7" t="str">
        <f aca="false">IF(TRIM(E409)="","Unknown",IFERROR(LEFT(TRIM(E409),FIND(",",TRIM(E409))-1),TRIM(E409)))</f>
        <v>Canada</v>
      </c>
      <c r="M409" s="7" t="str">
        <f aca="false">IFERROR(LEFT(J409,FIND(",",J409)-1),J409)</f>
        <v>Children &amp; Family Movies</v>
      </c>
      <c r="N409" s="7" t="n">
        <f aca="false">IF(B409="Movie",IFERROR(VALUE(LEFT(I409,FIND(" ",I409)-1)),""),"")</f>
        <v>88</v>
      </c>
      <c r="O409" s="7" t="str">
        <f aca="false">IF(B409="TV Show",IFERROR(VALUE(LEFT(I409,FIND(" ",I409)-1)),""),"")</f>
        <v/>
      </c>
      <c r="P409" s="7" t="n">
        <f aca="false">IF(K409="","",K409-G409)</f>
        <v>1</v>
      </c>
    </row>
    <row r="410" customFormat="false" ht="15" hidden="false" customHeight="false" outlineLevel="0" collapsed="false">
      <c r="A410" s="7" t="n">
        <v>80111273</v>
      </c>
      <c r="B410" s="7" t="s">
        <v>78</v>
      </c>
      <c r="C410" s="7" t="s">
        <v>1135</v>
      </c>
      <c r="E410" s="7" t="s">
        <v>970</v>
      </c>
      <c r="F410" s="7" t="s">
        <v>1118</v>
      </c>
      <c r="G410" s="7" t="n">
        <v>2009</v>
      </c>
      <c r="H410" s="7" t="s">
        <v>50</v>
      </c>
      <c r="I410" s="7" t="s">
        <v>82</v>
      </c>
      <c r="J410" s="7" t="s">
        <v>335</v>
      </c>
      <c r="K410" s="7" t="n">
        <f aca="false">IFERROR(VALUE(RIGHT(TRIM(F410),4)),"")</f>
        <v>2016</v>
      </c>
      <c r="L410" s="7" t="str">
        <f aca="false">IF(TRIM(E410)="","Unknown",IFERROR(LEFT(TRIM(E410),FIND(",",TRIM(E410))-1),TRIM(E410)))</f>
        <v>Taiwan</v>
      </c>
      <c r="M410" s="7" t="str">
        <f aca="false">IFERROR(LEFT(J410,FIND(",",J410)-1),J410)</f>
        <v>International TV Shows</v>
      </c>
      <c r="N410" s="7" t="str">
        <f aca="false">IF(B410="Movie",IFERROR(VALUE(LEFT(I410,FIND(" ",I410)-1)),""),"")</f>
        <v/>
      </c>
      <c r="O410" s="7" t="n">
        <f aca="false">IF(B410="TV Show",IFERROR(VALUE(LEFT(I410,FIND(" ",I410)-1)),""),"")</f>
        <v>1</v>
      </c>
      <c r="P410" s="7" t="n">
        <f aca="false">IF(K410="","",K410-G410)</f>
        <v>7</v>
      </c>
    </row>
    <row r="411" customFormat="false" ht="15" hidden="false" customHeight="false" outlineLevel="0" collapsed="false">
      <c r="A411" s="7" t="n">
        <v>80097438</v>
      </c>
      <c r="B411" s="7" t="s">
        <v>68</v>
      </c>
      <c r="C411" s="7" t="s">
        <v>1136</v>
      </c>
      <c r="D411" s="7" t="s">
        <v>1137</v>
      </c>
      <c r="E411" s="7" t="s">
        <v>26</v>
      </c>
      <c r="F411" s="7" t="s">
        <v>1118</v>
      </c>
      <c r="G411" s="7" t="n">
        <v>2016</v>
      </c>
      <c r="H411" s="7" t="s">
        <v>53</v>
      </c>
      <c r="I411" s="7" t="s">
        <v>330</v>
      </c>
      <c r="J411" s="7" t="s">
        <v>39</v>
      </c>
      <c r="K411" s="7" t="n">
        <f aca="false">IFERROR(VALUE(RIGHT(TRIM(F411),4)),"")</f>
        <v>2016</v>
      </c>
      <c r="L411" s="7" t="str">
        <f aca="false">IF(TRIM(E411)="","Unknown",IFERROR(LEFT(TRIM(E411),FIND(",",TRIM(E411))-1),TRIM(E411)))</f>
        <v>United States</v>
      </c>
      <c r="M411" s="7" t="str">
        <f aca="false">IFERROR(LEFT(J411,FIND(",",J411)-1),J411)</f>
        <v>Documentaries</v>
      </c>
      <c r="N411" s="7" t="n">
        <f aca="false">IF(B411="Movie",IFERROR(VALUE(LEFT(I411,FIND(" ",I411)-1)),""),"")</f>
        <v>103</v>
      </c>
      <c r="O411" s="7" t="str">
        <f aca="false">IF(B411="TV Show",IFERROR(VALUE(LEFT(I411,FIND(" ",I411)-1)),""),"")</f>
        <v/>
      </c>
      <c r="P411" s="7" t="n">
        <f aca="false">IF(K411="","",K411-G411)</f>
        <v>0</v>
      </c>
    </row>
    <row r="412" customFormat="false" ht="15" hidden="false" customHeight="false" outlineLevel="0" collapsed="false">
      <c r="A412" s="7" t="n">
        <v>80111710</v>
      </c>
      <c r="B412" s="7" t="s">
        <v>78</v>
      </c>
      <c r="C412" s="7" t="s">
        <v>1138</v>
      </c>
      <c r="E412" s="7" t="s">
        <v>366</v>
      </c>
      <c r="F412" s="7" t="s">
        <v>1118</v>
      </c>
      <c r="G412" s="7" t="n">
        <v>2010</v>
      </c>
      <c r="H412" s="7" t="s">
        <v>49</v>
      </c>
      <c r="I412" s="7" t="s">
        <v>82</v>
      </c>
      <c r="J412" s="7" t="s">
        <v>158</v>
      </c>
      <c r="K412" s="7" t="n">
        <f aca="false">IFERROR(VALUE(RIGHT(TRIM(F412),4)),"")</f>
        <v>2016</v>
      </c>
      <c r="L412" s="7" t="str">
        <f aca="false">IF(TRIM(E412)="","Unknown",IFERROR(LEFT(TRIM(E412),FIND(",",TRIM(E412))-1),TRIM(E412)))</f>
        <v>China</v>
      </c>
      <c r="M412" s="7" t="str">
        <f aca="false">IFERROR(LEFT(J412,FIND(",",J412)-1),J412)</f>
        <v>International TV Shows</v>
      </c>
      <c r="N412" s="7" t="str">
        <f aca="false">IF(B412="Movie",IFERROR(VALUE(LEFT(I412,FIND(" ",I412)-1)),""),"")</f>
        <v/>
      </c>
      <c r="O412" s="7" t="n">
        <f aca="false">IF(B412="TV Show",IFERROR(VALUE(LEFT(I412,FIND(" ",I412)-1)),""),"")</f>
        <v>1</v>
      </c>
      <c r="P412" s="7" t="n">
        <f aca="false">IF(K412="","",K412-G412)</f>
        <v>6</v>
      </c>
    </row>
    <row r="413" customFormat="false" ht="15" hidden="false" customHeight="false" outlineLevel="0" collapsed="false">
      <c r="A413" s="7" t="n">
        <v>80114419</v>
      </c>
      <c r="B413" s="7" t="s">
        <v>68</v>
      </c>
      <c r="C413" s="7" t="s">
        <v>1139</v>
      </c>
      <c r="D413" s="7" t="s">
        <v>1140</v>
      </c>
      <c r="E413" s="7" t="s">
        <v>33</v>
      </c>
      <c r="F413" s="7" t="s">
        <v>1118</v>
      </c>
      <c r="G413" s="7" t="n">
        <v>2015</v>
      </c>
      <c r="H413" s="7" t="s">
        <v>48</v>
      </c>
      <c r="I413" s="7" t="s">
        <v>294</v>
      </c>
      <c r="J413" s="7" t="s">
        <v>202</v>
      </c>
      <c r="K413" s="7" t="n">
        <f aca="false">IFERROR(VALUE(RIGHT(TRIM(F413),4)),"")</f>
        <v>2016</v>
      </c>
      <c r="L413" s="7" t="str">
        <f aca="false">IF(TRIM(E413)="","Unknown",IFERROR(LEFT(TRIM(E413),FIND(",",TRIM(E413))-1),TRIM(E413)))</f>
        <v>Spain</v>
      </c>
      <c r="M413" s="7" t="str">
        <f aca="false">IFERROR(LEFT(J413,FIND(",",J413)-1),J413)</f>
        <v>Comedies</v>
      </c>
      <c r="N413" s="7" t="n">
        <f aca="false">IF(B413="Movie",IFERROR(VALUE(LEFT(I413,FIND(" ",I413)-1)),""),"")</f>
        <v>107</v>
      </c>
      <c r="O413" s="7" t="str">
        <f aca="false">IF(B413="TV Show",IFERROR(VALUE(LEFT(I413,FIND(" ",I413)-1)),""),"")</f>
        <v/>
      </c>
      <c r="P413" s="7" t="n">
        <f aca="false">IF(K413="","",K413-G413)</f>
        <v>1</v>
      </c>
    </row>
    <row r="414" customFormat="false" ht="15" hidden="false" customHeight="false" outlineLevel="0" collapsed="false">
      <c r="A414" s="7" t="n">
        <v>80118888</v>
      </c>
      <c r="B414" s="7" t="s">
        <v>68</v>
      </c>
      <c r="C414" s="7" t="s">
        <v>1141</v>
      </c>
      <c r="E414" s="7" t="s">
        <v>28</v>
      </c>
      <c r="F414" s="7" t="s">
        <v>1118</v>
      </c>
      <c r="G414" s="7" t="n">
        <v>2016</v>
      </c>
      <c r="H414" s="7" t="s">
        <v>49</v>
      </c>
      <c r="I414" s="7" t="s">
        <v>734</v>
      </c>
      <c r="J414" s="7" t="s">
        <v>39</v>
      </c>
      <c r="K414" s="7" t="n">
        <f aca="false">IFERROR(VALUE(RIGHT(TRIM(F414),4)),"")</f>
        <v>2016</v>
      </c>
      <c r="L414" s="7" t="str">
        <f aca="false">IF(TRIM(E414)="","Unknown",IFERROR(LEFT(TRIM(E414),FIND(",",TRIM(E414))-1),TRIM(E414)))</f>
        <v>United Kingdom</v>
      </c>
      <c r="M414" s="7" t="str">
        <f aca="false">IFERROR(LEFT(J414,FIND(",",J414)-1),J414)</f>
        <v>Documentaries</v>
      </c>
      <c r="N414" s="7" t="n">
        <f aca="false">IF(B414="Movie",IFERROR(VALUE(LEFT(I414,FIND(" ",I414)-1)),""),"")</f>
        <v>52</v>
      </c>
      <c r="O414" s="7" t="str">
        <f aca="false">IF(B414="TV Show",IFERROR(VALUE(LEFT(I414,FIND(" ",I414)-1)),""),"")</f>
        <v/>
      </c>
      <c r="P414" s="7" t="n">
        <f aca="false">IF(K414="","",K414-G414)</f>
        <v>0</v>
      </c>
    </row>
    <row r="415" customFormat="false" ht="15" hidden="false" customHeight="false" outlineLevel="0" collapsed="false">
      <c r="A415" s="7" t="n">
        <v>80128337</v>
      </c>
      <c r="B415" s="7" t="s">
        <v>78</v>
      </c>
      <c r="C415" s="7" t="s">
        <v>1142</v>
      </c>
      <c r="E415" s="7" t="s">
        <v>1143</v>
      </c>
      <c r="F415" s="7" t="s">
        <v>1118</v>
      </c>
      <c r="G415" s="7" t="n">
        <v>2015</v>
      </c>
      <c r="H415" s="7" t="s">
        <v>48</v>
      </c>
      <c r="I415" s="7" t="s">
        <v>82</v>
      </c>
      <c r="J415" s="7" t="s">
        <v>335</v>
      </c>
      <c r="K415" s="7" t="n">
        <f aca="false">IFERROR(VALUE(RIGHT(TRIM(F415),4)),"")</f>
        <v>2016</v>
      </c>
      <c r="L415" s="7" t="str">
        <f aca="false">IF(TRIM(E415)="","Unknown",IFERROR(LEFT(TRIM(E415),FIND(",",TRIM(E415))-1),TRIM(E415)))</f>
        <v>Switzerland</v>
      </c>
      <c r="M415" s="7" t="str">
        <f aca="false">IFERROR(LEFT(J415,FIND(",",J415)-1),J415)</f>
        <v>International TV Shows</v>
      </c>
      <c r="N415" s="7" t="str">
        <f aca="false">IF(B415="Movie",IFERROR(VALUE(LEFT(I415,FIND(" ",I415)-1)),""),"")</f>
        <v/>
      </c>
      <c r="O415" s="7" t="n">
        <f aca="false">IF(B415="TV Show",IFERROR(VALUE(LEFT(I415,FIND(" ",I415)-1)),""),"")</f>
        <v>1</v>
      </c>
      <c r="P415" s="7" t="n">
        <f aca="false">IF(K415="","",K415-G415)</f>
        <v>1</v>
      </c>
    </row>
    <row r="416" customFormat="false" ht="15" hidden="false" customHeight="false" outlineLevel="0" collapsed="false">
      <c r="A416" s="7" t="n">
        <v>70303289</v>
      </c>
      <c r="B416" s="7" t="s">
        <v>78</v>
      </c>
      <c r="C416" s="7" t="s">
        <v>1144</v>
      </c>
      <c r="E416" s="7" t="s">
        <v>970</v>
      </c>
      <c r="F416" s="7" t="s">
        <v>1118</v>
      </c>
      <c r="G416" s="7" t="n">
        <v>2010</v>
      </c>
      <c r="H416" s="7" t="s">
        <v>49</v>
      </c>
      <c r="I416" s="7" t="s">
        <v>82</v>
      </c>
      <c r="J416" s="7" t="s">
        <v>314</v>
      </c>
      <c r="K416" s="7" t="n">
        <f aca="false">IFERROR(VALUE(RIGHT(TRIM(F416),4)),"")</f>
        <v>2016</v>
      </c>
      <c r="L416" s="7" t="str">
        <f aca="false">IF(TRIM(E416)="","Unknown",IFERROR(LEFT(TRIM(E416),FIND(",",TRIM(E416))-1),TRIM(E416)))</f>
        <v>Taiwan</v>
      </c>
      <c r="M416" s="7" t="str">
        <f aca="false">IFERROR(LEFT(J416,FIND(",",J416)-1),J416)</f>
        <v>International TV Shows</v>
      </c>
      <c r="N416" s="7" t="str">
        <f aca="false">IF(B416="Movie",IFERROR(VALUE(LEFT(I416,FIND(" ",I416)-1)),""),"")</f>
        <v/>
      </c>
      <c r="O416" s="7" t="n">
        <f aca="false">IF(B416="TV Show",IFERROR(VALUE(LEFT(I416,FIND(" ",I416)-1)),""),"")</f>
        <v>1</v>
      </c>
      <c r="P416" s="7" t="n">
        <f aca="false">IF(K416="","",K416-G416)</f>
        <v>6</v>
      </c>
    </row>
    <row r="417" customFormat="false" ht="15" hidden="false" customHeight="false" outlineLevel="0" collapsed="false">
      <c r="A417" s="7" t="n">
        <v>80111614</v>
      </c>
      <c r="B417" s="7" t="s">
        <v>78</v>
      </c>
      <c r="C417" s="7" t="s">
        <v>1145</v>
      </c>
      <c r="E417" s="7" t="s">
        <v>366</v>
      </c>
      <c r="F417" s="7" t="s">
        <v>1118</v>
      </c>
      <c r="G417" s="7" t="n">
        <v>2010</v>
      </c>
      <c r="H417" s="7" t="s">
        <v>50</v>
      </c>
      <c r="I417" s="7" t="s">
        <v>82</v>
      </c>
      <c r="J417" s="7" t="s">
        <v>158</v>
      </c>
      <c r="K417" s="7" t="n">
        <f aca="false">IFERROR(VALUE(RIGHT(TRIM(F417),4)),"")</f>
        <v>2016</v>
      </c>
      <c r="L417" s="7" t="str">
        <f aca="false">IF(TRIM(E417)="","Unknown",IFERROR(LEFT(TRIM(E417),FIND(",",TRIM(E417))-1),TRIM(E417)))</f>
        <v>China</v>
      </c>
      <c r="M417" s="7" t="str">
        <f aca="false">IFERROR(LEFT(J417,FIND(",",J417)-1),J417)</f>
        <v>International TV Shows</v>
      </c>
      <c r="N417" s="7" t="str">
        <f aca="false">IF(B417="Movie",IFERROR(VALUE(LEFT(I417,FIND(" ",I417)-1)),""),"")</f>
        <v/>
      </c>
      <c r="O417" s="7" t="n">
        <f aca="false">IF(B417="TV Show",IFERROR(VALUE(LEFT(I417,FIND(" ",I417)-1)),""),"")</f>
        <v>1</v>
      </c>
      <c r="P417" s="7" t="n">
        <f aca="false">IF(K417="","",K417-G417)</f>
        <v>6</v>
      </c>
    </row>
    <row r="418" customFormat="false" ht="15" hidden="false" customHeight="false" outlineLevel="0" collapsed="false">
      <c r="A418" s="7" t="n">
        <v>80111275</v>
      </c>
      <c r="B418" s="7" t="s">
        <v>78</v>
      </c>
      <c r="C418" s="7" t="s">
        <v>1146</v>
      </c>
      <c r="E418" s="7" t="s">
        <v>970</v>
      </c>
      <c r="F418" s="7" t="s">
        <v>1118</v>
      </c>
      <c r="G418" s="7" t="n">
        <v>2009</v>
      </c>
      <c r="H418" s="7" t="s">
        <v>49</v>
      </c>
      <c r="I418" s="7" t="s">
        <v>82</v>
      </c>
      <c r="J418" s="7" t="s">
        <v>158</v>
      </c>
      <c r="K418" s="7" t="n">
        <f aca="false">IFERROR(VALUE(RIGHT(TRIM(F418),4)),"")</f>
        <v>2016</v>
      </c>
      <c r="L418" s="7" t="str">
        <f aca="false">IF(TRIM(E418)="","Unknown",IFERROR(LEFT(TRIM(E418),FIND(",",TRIM(E418))-1),TRIM(E418)))</f>
        <v>Taiwan</v>
      </c>
      <c r="M418" s="7" t="str">
        <f aca="false">IFERROR(LEFT(J418,FIND(",",J418)-1),J418)</f>
        <v>International TV Shows</v>
      </c>
      <c r="N418" s="7" t="str">
        <f aca="false">IF(B418="Movie",IFERROR(VALUE(LEFT(I418,FIND(" ",I418)-1)),""),"")</f>
        <v/>
      </c>
      <c r="O418" s="7" t="n">
        <f aca="false">IF(B418="TV Show",IFERROR(VALUE(LEFT(I418,FIND(" ",I418)-1)),""),"")</f>
        <v>1</v>
      </c>
      <c r="P418" s="7" t="n">
        <f aca="false">IF(K418="","",K418-G418)</f>
        <v>7</v>
      </c>
    </row>
    <row r="419" customFormat="false" ht="15" hidden="false" customHeight="false" outlineLevel="0" collapsed="false">
      <c r="A419" s="7" t="n">
        <v>80103426</v>
      </c>
      <c r="B419" s="7" t="s">
        <v>68</v>
      </c>
      <c r="C419" s="7" t="s">
        <v>1147</v>
      </c>
      <c r="D419" s="7" t="s">
        <v>1148</v>
      </c>
      <c r="E419" s="7" t="s">
        <v>33</v>
      </c>
      <c r="F419" s="7" t="s">
        <v>1118</v>
      </c>
      <c r="G419" s="7" t="n">
        <v>2016</v>
      </c>
      <c r="H419" s="7" t="s">
        <v>48</v>
      </c>
      <c r="I419" s="7" t="s">
        <v>470</v>
      </c>
      <c r="J419" s="7" t="s">
        <v>206</v>
      </c>
      <c r="K419" s="7" t="n">
        <f aca="false">IFERROR(VALUE(RIGHT(TRIM(F419),4)),"")</f>
        <v>2016</v>
      </c>
      <c r="L419" s="7" t="str">
        <f aca="false">IF(TRIM(E419)="","Unknown",IFERROR(LEFT(TRIM(E419),FIND(",",TRIM(E419))-1),TRIM(E419)))</f>
        <v>Spain</v>
      </c>
      <c r="M419" s="7" t="str">
        <f aca="false">IFERROR(LEFT(J419,FIND(",",J419)-1),J419)</f>
        <v>Comedies</v>
      </c>
      <c r="N419" s="7" t="n">
        <f aca="false">IF(B419="Movie",IFERROR(VALUE(LEFT(I419,FIND(" ",I419)-1)),""),"")</f>
        <v>91</v>
      </c>
      <c r="O419" s="7" t="str">
        <f aca="false">IF(B419="TV Show",IFERROR(VALUE(LEFT(I419,FIND(" ",I419)-1)),""),"")</f>
        <v/>
      </c>
      <c r="P419" s="7" t="n">
        <f aca="false">IF(K419="","",K419-G419)</f>
        <v>0</v>
      </c>
    </row>
    <row r="420" customFormat="false" ht="15" hidden="false" customHeight="false" outlineLevel="0" collapsed="false">
      <c r="A420" s="7" t="n">
        <v>80118889</v>
      </c>
      <c r="B420" s="7" t="s">
        <v>78</v>
      </c>
      <c r="C420" s="7" t="s">
        <v>1149</v>
      </c>
      <c r="E420" s="7" t="s">
        <v>28</v>
      </c>
      <c r="F420" s="7" t="s">
        <v>1118</v>
      </c>
      <c r="G420" s="7" t="n">
        <v>2015</v>
      </c>
      <c r="H420" s="7" t="s">
        <v>49</v>
      </c>
      <c r="I420" s="7" t="s">
        <v>82</v>
      </c>
      <c r="J420" s="7" t="s">
        <v>668</v>
      </c>
      <c r="K420" s="7" t="n">
        <f aca="false">IFERROR(VALUE(RIGHT(TRIM(F420),4)),"")</f>
        <v>2016</v>
      </c>
      <c r="L420" s="7" t="str">
        <f aca="false">IF(TRIM(E420)="","Unknown",IFERROR(LEFT(TRIM(E420),FIND(",",TRIM(E420))-1),TRIM(E420)))</f>
        <v>United Kingdom</v>
      </c>
      <c r="M420" s="7" t="str">
        <f aca="false">IFERROR(LEFT(J420,FIND(",",J420)-1),J420)</f>
        <v>British TV Shows</v>
      </c>
      <c r="N420" s="7" t="str">
        <f aca="false">IF(B420="Movie",IFERROR(VALUE(LEFT(I420,FIND(" ",I420)-1)),""),"")</f>
        <v/>
      </c>
      <c r="O420" s="7" t="n">
        <f aca="false">IF(B420="TV Show",IFERROR(VALUE(LEFT(I420,FIND(" ",I420)-1)),""),"")</f>
        <v>1</v>
      </c>
      <c r="P420" s="7" t="n">
        <f aca="false">IF(K420="","",K420-G420)</f>
        <v>1</v>
      </c>
    </row>
    <row r="421" customFormat="false" ht="15" hidden="false" customHeight="false" outlineLevel="0" collapsed="false">
      <c r="A421" s="7" t="n">
        <v>70278877</v>
      </c>
      <c r="B421" s="7" t="s">
        <v>68</v>
      </c>
      <c r="C421" s="7" t="s">
        <v>1150</v>
      </c>
      <c r="D421" s="7" t="s">
        <v>1151</v>
      </c>
      <c r="E421" s="7" t="s">
        <v>26</v>
      </c>
      <c r="F421" s="7" t="s">
        <v>1152</v>
      </c>
      <c r="G421" s="7" t="n">
        <v>2013</v>
      </c>
      <c r="H421" s="7" t="s">
        <v>53</v>
      </c>
      <c r="I421" s="7" t="s">
        <v>421</v>
      </c>
      <c r="J421" s="7" t="s">
        <v>45</v>
      </c>
      <c r="K421" s="7" t="n">
        <f aca="false">IFERROR(VALUE(RIGHT(TRIM(F421),4)),"")</f>
        <v>2013</v>
      </c>
      <c r="L421" s="7" t="str">
        <f aca="false">IF(TRIM(E421)="","Unknown",IFERROR(LEFT(TRIM(E421),FIND(",",TRIM(E421))-1),TRIM(E421)))</f>
        <v>United States</v>
      </c>
      <c r="M421" s="7" t="str">
        <f aca="false">IFERROR(LEFT(J421,FIND(",",J421)-1),J421)</f>
        <v>Stand-Up Comedy</v>
      </c>
      <c r="N421" s="7" t="n">
        <f aca="false">IF(B421="Movie",IFERROR(VALUE(LEFT(I421,FIND(" ",I421)-1)),""),"")</f>
        <v>75</v>
      </c>
      <c r="O421" s="7" t="str">
        <f aca="false">IF(B421="TV Show",IFERROR(VALUE(LEFT(I421,FIND(" ",I421)-1)),""),"")</f>
        <v/>
      </c>
      <c r="P421" s="7" t="n">
        <f aca="false">IF(K421="","",K421-G421)</f>
        <v>0</v>
      </c>
    </row>
    <row r="422" customFormat="false" ht="15" hidden="false" customHeight="false" outlineLevel="0" collapsed="false">
      <c r="A422" s="7" t="n">
        <v>80244311</v>
      </c>
      <c r="B422" s="7" t="s">
        <v>68</v>
      </c>
      <c r="C422" s="7" t="s">
        <v>1153</v>
      </c>
      <c r="D422" s="7" t="s">
        <v>1154</v>
      </c>
      <c r="E422" s="7" t="s">
        <v>26</v>
      </c>
      <c r="F422" s="7" t="s">
        <v>1155</v>
      </c>
      <c r="G422" s="7" t="n">
        <v>2019</v>
      </c>
      <c r="H422" s="7" t="s">
        <v>52</v>
      </c>
      <c r="I422" s="7" t="s">
        <v>173</v>
      </c>
      <c r="J422" s="7" t="s">
        <v>269</v>
      </c>
      <c r="K422" s="7" t="n">
        <f aca="false">IFERROR(VALUE(RIGHT(TRIM(F422),4)),"")</f>
        <v>2019</v>
      </c>
      <c r="L422" s="7" t="str">
        <f aca="false">IF(TRIM(E422)="","Unknown",IFERROR(LEFT(TRIM(E422),FIND(",",TRIM(E422))-1),TRIM(E422)))</f>
        <v>United States</v>
      </c>
      <c r="M422" s="7" t="str">
        <f aca="false">IFERROR(LEFT(J422,FIND(",",J422)-1),J422)</f>
        <v>Dramas</v>
      </c>
      <c r="N422" s="7" t="n">
        <f aca="false">IF(B422="Movie",IFERROR(VALUE(LEFT(I422,FIND(" ",I422)-1)),""),"")</f>
        <v>106</v>
      </c>
      <c r="O422" s="7" t="str">
        <f aca="false">IF(B422="TV Show",IFERROR(VALUE(LEFT(I422,FIND(" ",I422)-1)),""),"")</f>
        <v/>
      </c>
      <c r="P422" s="7" t="n">
        <f aca="false">IF(K422="","",K422-G422)</f>
        <v>0</v>
      </c>
    </row>
    <row r="423" customFormat="false" ht="15" hidden="false" customHeight="false" outlineLevel="0" collapsed="false">
      <c r="A423" s="7" t="n">
        <v>81183570</v>
      </c>
      <c r="B423" s="7" t="s">
        <v>68</v>
      </c>
      <c r="C423" s="7" t="s">
        <v>1156</v>
      </c>
      <c r="D423" s="7" t="s">
        <v>1157</v>
      </c>
      <c r="E423" s="7" t="s">
        <v>26</v>
      </c>
      <c r="F423" s="7" t="s">
        <v>1155</v>
      </c>
      <c r="G423" s="7" t="n">
        <v>2019</v>
      </c>
      <c r="H423" s="7" t="s">
        <v>49</v>
      </c>
      <c r="I423" s="7" t="s">
        <v>494</v>
      </c>
      <c r="J423" s="7" t="s">
        <v>597</v>
      </c>
      <c r="K423" s="7" t="n">
        <f aca="false">IFERROR(VALUE(RIGHT(TRIM(F423),4)),"")</f>
        <v>2019</v>
      </c>
      <c r="L423" s="7" t="str">
        <f aca="false">IF(TRIM(E423)="","Unknown",IFERROR(LEFT(TRIM(E423),FIND(",",TRIM(E423))-1),TRIM(E423)))</f>
        <v>United States</v>
      </c>
      <c r="M423" s="7" t="str">
        <f aca="false">IFERROR(LEFT(J423,FIND(",",J423)-1),J423)</f>
        <v>Dramas</v>
      </c>
      <c r="N423" s="7" t="n">
        <f aca="false">IF(B423="Movie",IFERROR(VALUE(LEFT(I423,FIND(" ",I423)-1)),""),"")</f>
        <v>87</v>
      </c>
      <c r="O423" s="7" t="str">
        <f aca="false">IF(B423="TV Show",IFERROR(VALUE(LEFT(I423,FIND(" ",I423)-1)),""),"")</f>
        <v/>
      </c>
      <c r="P423" s="7" t="n">
        <f aca="false">IF(K423="","",K423-G423)</f>
        <v>0</v>
      </c>
    </row>
    <row r="424" customFormat="false" ht="15" hidden="false" customHeight="false" outlineLevel="0" collapsed="false">
      <c r="A424" s="7" t="n">
        <v>80216665</v>
      </c>
      <c r="B424" s="7" t="s">
        <v>78</v>
      </c>
      <c r="C424" s="7" t="s">
        <v>1158</v>
      </c>
      <c r="E424" s="7" t="s">
        <v>26</v>
      </c>
      <c r="F424" s="7" t="s">
        <v>1155</v>
      </c>
      <c r="G424" s="7" t="n">
        <v>2019</v>
      </c>
      <c r="H424" s="7" t="s">
        <v>48</v>
      </c>
      <c r="I424" s="7" t="s">
        <v>82</v>
      </c>
      <c r="J424" s="7" t="s">
        <v>701</v>
      </c>
      <c r="K424" s="7" t="n">
        <f aca="false">IFERROR(VALUE(RIGHT(TRIM(F424),4)),"")</f>
        <v>2019</v>
      </c>
      <c r="L424" s="7" t="str">
        <f aca="false">IF(TRIM(E424)="","Unknown",IFERROR(LEFT(TRIM(E424),FIND(",",TRIM(E424))-1),TRIM(E424)))</f>
        <v>United States</v>
      </c>
      <c r="M424" s="7" t="str">
        <f aca="false">IFERROR(LEFT(J424,FIND(",",J424)-1),J424)</f>
        <v>Reality TV</v>
      </c>
      <c r="N424" s="7" t="str">
        <f aca="false">IF(B424="Movie",IFERROR(VALUE(LEFT(I424,FIND(" ",I424)-1)),""),"")</f>
        <v/>
      </c>
      <c r="O424" s="7" t="n">
        <f aca="false">IF(B424="TV Show",IFERROR(VALUE(LEFT(I424,FIND(" ",I424)-1)),""),"")</f>
        <v>1</v>
      </c>
      <c r="P424" s="7" t="n">
        <f aca="false">IF(K424="","",K424-G424)</f>
        <v>0</v>
      </c>
    </row>
    <row r="425" customFormat="false" ht="15" hidden="false" customHeight="false" outlineLevel="0" collapsed="false">
      <c r="A425" s="7" t="n">
        <v>81016328</v>
      </c>
      <c r="B425" s="7" t="s">
        <v>68</v>
      </c>
      <c r="C425" s="7" t="s">
        <v>1159</v>
      </c>
      <c r="D425" s="7" t="s">
        <v>1160</v>
      </c>
      <c r="E425" s="7" t="s">
        <v>362</v>
      </c>
      <c r="F425" s="7" t="s">
        <v>1161</v>
      </c>
      <c r="G425" s="7" t="n">
        <v>2009</v>
      </c>
      <c r="H425" s="7" t="s">
        <v>50</v>
      </c>
      <c r="I425" s="7" t="s">
        <v>138</v>
      </c>
      <c r="J425" s="7" t="s">
        <v>1134</v>
      </c>
      <c r="K425" s="7" t="n">
        <f aca="false">IFERROR(VALUE(RIGHT(TRIM(F425),4)),"")</f>
        <v>2018</v>
      </c>
      <c r="L425" s="7" t="str">
        <f aca="false">IF(TRIM(E425)="","Unknown",IFERROR(LEFT(TRIM(E425),FIND(",",TRIM(E425))-1),TRIM(E425)))</f>
        <v>Indonesia</v>
      </c>
      <c r="M425" s="7" t="str">
        <f aca="false">IFERROR(LEFT(J425,FIND(",",J425)-1),J425)</f>
        <v>Children &amp; Family Movies</v>
      </c>
      <c r="N425" s="7" t="n">
        <f aca="false">IF(B425="Movie",IFERROR(VALUE(LEFT(I425,FIND(" ",I425)-1)),""),"")</f>
        <v>96</v>
      </c>
      <c r="O425" s="7" t="str">
        <f aca="false">IF(B425="TV Show",IFERROR(VALUE(LEFT(I425,FIND(" ",I425)-1)),""),"")</f>
        <v/>
      </c>
      <c r="P425" s="7" t="n">
        <f aca="false">IF(K425="","",K425-G425)</f>
        <v>9</v>
      </c>
    </row>
    <row r="426" customFormat="false" ht="15" hidden="false" customHeight="false" outlineLevel="0" collapsed="false">
      <c r="A426" s="7" t="n">
        <v>80239503</v>
      </c>
      <c r="B426" s="7" t="s">
        <v>68</v>
      </c>
      <c r="C426" s="7" t="s">
        <v>1162</v>
      </c>
      <c r="D426" s="7" t="s">
        <v>1163</v>
      </c>
      <c r="E426" s="7" t="s">
        <v>26</v>
      </c>
      <c r="F426" s="7" t="s">
        <v>1161</v>
      </c>
      <c r="G426" s="7" t="n">
        <v>2018</v>
      </c>
      <c r="H426" s="7" t="s">
        <v>48</v>
      </c>
      <c r="I426" s="7" t="s">
        <v>1164</v>
      </c>
      <c r="J426" s="7" t="s">
        <v>45</v>
      </c>
      <c r="K426" s="7" t="n">
        <f aca="false">IFERROR(VALUE(RIGHT(TRIM(F426),4)),"")</f>
        <v>2018</v>
      </c>
      <c r="L426" s="7" t="str">
        <f aca="false">IF(TRIM(E426)="","Unknown",IFERROR(LEFT(TRIM(E426),FIND(",",TRIM(E426))-1),TRIM(E426)))</f>
        <v>United States</v>
      </c>
      <c r="M426" s="7" t="str">
        <f aca="false">IFERROR(LEFT(J426,FIND(",",J426)-1),J426)</f>
        <v>Stand-Up Comedy</v>
      </c>
      <c r="N426" s="7" t="n">
        <f aca="false">IF(B426="Movie",IFERROR(VALUE(LEFT(I426,FIND(" ",I426)-1)),""),"")</f>
        <v>57</v>
      </c>
      <c r="O426" s="7" t="str">
        <f aca="false">IF(B426="TV Show",IFERROR(VALUE(LEFT(I426,FIND(" ",I426)-1)),""),"")</f>
        <v/>
      </c>
      <c r="P426" s="7" t="n">
        <f aca="false">IF(K426="","",K426-G426)</f>
        <v>0</v>
      </c>
    </row>
    <row r="427" customFormat="false" ht="15" hidden="false" customHeight="false" outlineLevel="0" collapsed="false">
      <c r="A427" s="7" t="n">
        <v>81016321</v>
      </c>
      <c r="B427" s="7" t="s">
        <v>68</v>
      </c>
      <c r="C427" s="7" t="s">
        <v>1165</v>
      </c>
      <c r="D427" s="7" t="s">
        <v>1166</v>
      </c>
      <c r="E427" s="7" t="s">
        <v>362</v>
      </c>
      <c r="F427" s="7" t="s">
        <v>1161</v>
      </c>
      <c r="G427" s="7" t="n">
        <v>2016</v>
      </c>
      <c r="H427" s="7" t="s">
        <v>49</v>
      </c>
      <c r="I427" s="7" t="s">
        <v>134</v>
      </c>
      <c r="J427" s="7" t="s">
        <v>240</v>
      </c>
      <c r="K427" s="7" t="n">
        <f aca="false">IFERROR(VALUE(RIGHT(TRIM(F427),4)),"")</f>
        <v>2018</v>
      </c>
      <c r="L427" s="7" t="str">
        <f aca="false">IF(TRIM(E427)="","Unknown",IFERROR(LEFT(TRIM(E427),FIND(",",TRIM(E427))-1),TRIM(E427)))</f>
        <v>Indonesia</v>
      </c>
      <c r="M427" s="7" t="str">
        <f aca="false">IFERROR(LEFT(J427,FIND(",",J427)-1),J427)</f>
        <v>Dramas</v>
      </c>
      <c r="N427" s="7" t="n">
        <f aca="false">IF(B427="Movie",IFERROR(VALUE(LEFT(I427,FIND(" ",I427)-1)),""),"")</f>
        <v>98</v>
      </c>
      <c r="O427" s="7" t="str">
        <f aca="false">IF(B427="TV Show",IFERROR(VALUE(LEFT(I427,FIND(" ",I427)-1)),""),"")</f>
        <v/>
      </c>
      <c r="P427" s="7" t="n">
        <f aca="false">IF(K427="","",K427-G427)</f>
        <v>2</v>
      </c>
    </row>
    <row r="428" customFormat="false" ht="15" hidden="false" customHeight="false" outlineLevel="0" collapsed="false">
      <c r="A428" s="7" t="n">
        <v>80031666</v>
      </c>
      <c r="B428" s="7" t="s">
        <v>68</v>
      </c>
      <c r="C428" s="7" t="s">
        <v>1167</v>
      </c>
      <c r="D428" s="7" t="s">
        <v>1168</v>
      </c>
      <c r="E428" s="7" t="s">
        <v>1169</v>
      </c>
      <c r="F428" s="7" t="s">
        <v>1170</v>
      </c>
      <c r="G428" s="7" t="n">
        <v>2015</v>
      </c>
      <c r="H428" s="7" t="s">
        <v>53</v>
      </c>
      <c r="I428" s="7" t="s">
        <v>87</v>
      </c>
      <c r="J428" s="7" t="s">
        <v>341</v>
      </c>
      <c r="K428" s="7" t="n">
        <f aca="false">IFERROR(VALUE(RIGHT(TRIM(F428),4)),"")</f>
        <v>2015</v>
      </c>
      <c r="L428" s="7" t="str">
        <f aca="false">IF(TRIM(E428)="","Unknown",IFERROR(LEFT(TRIM(E428),FIND(",",TRIM(E428))-1),TRIM(E428)))</f>
        <v>United Kingdom</v>
      </c>
      <c r="M428" s="7" t="str">
        <f aca="false">IFERROR(LEFT(J428,FIND(",",J428)-1),J428)</f>
        <v>Documentaries</v>
      </c>
      <c r="N428" s="7" t="n">
        <f aca="false">IF(B428="Movie",IFERROR(VALUE(LEFT(I428,FIND(" ",I428)-1)),""),"")</f>
        <v>99</v>
      </c>
      <c r="O428" s="7" t="str">
        <f aca="false">IF(B428="TV Show",IFERROR(VALUE(LEFT(I428,FIND(" ",I428)-1)),""),"")</f>
        <v/>
      </c>
      <c r="P428" s="7" t="n">
        <f aca="false">IF(K428="","",K428-G428)</f>
        <v>0</v>
      </c>
    </row>
    <row r="429" customFormat="false" ht="15" hidden="false" customHeight="false" outlineLevel="0" collapsed="false">
      <c r="A429" s="7" t="n">
        <v>80995737</v>
      </c>
      <c r="B429" s="7" t="s">
        <v>68</v>
      </c>
      <c r="C429" s="7" t="s">
        <v>1171</v>
      </c>
      <c r="D429" s="7" t="s">
        <v>1172</v>
      </c>
      <c r="E429" s="7" t="s">
        <v>26</v>
      </c>
      <c r="F429" s="7" t="s">
        <v>1173</v>
      </c>
      <c r="G429" s="7" t="n">
        <v>2019</v>
      </c>
      <c r="H429" s="7" t="s">
        <v>48</v>
      </c>
      <c r="I429" s="7" t="s">
        <v>254</v>
      </c>
      <c r="J429" s="7" t="s">
        <v>45</v>
      </c>
      <c r="K429" s="7" t="n">
        <f aca="false">IFERROR(VALUE(RIGHT(TRIM(F429),4)),"")</f>
        <v>2019</v>
      </c>
      <c r="L429" s="7" t="str">
        <f aca="false">IF(TRIM(E429)="","Unknown",IFERROR(LEFT(TRIM(E429),FIND(",",TRIM(E429))-1),TRIM(E429)))</f>
        <v>United States</v>
      </c>
      <c r="M429" s="7" t="str">
        <f aca="false">IFERROR(LEFT(J429,FIND(",",J429)-1),J429)</f>
        <v>Stand-Up Comedy</v>
      </c>
      <c r="N429" s="7" t="n">
        <f aca="false">IF(B429="Movie",IFERROR(VALUE(LEFT(I429,FIND(" ",I429)-1)),""),"")</f>
        <v>70</v>
      </c>
      <c r="O429" s="7" t="str">
        <f aca="false">IF(B429="TV Show",IFERROR(VALUE(LEFT(I429,FIND(" ",I429)-1)),""),"")</f>
        <v/>
      </c>
      <c r="P429" s="7" t="n">
        <f aca="false">IF(K429="","",K429-G429)</f>
        <v>0</v>
      </c>
    </row>
    <row r="430" customFormat="false" ht="15" hidden="false" customHeight="false" outlineLevel="0" collapsed="false">
      <c r="A430" s="7" t="n">
        <v>81021976</v>
      </c>
      <c r="B430" s="7" t="s">
        <v>68</v>
      </c>
      <c r="C430" s="7" t="s">
        <v>1174</v>
      </c>
      <c r="E430" s="7" t="s">
        <v>26</v>
      </c>
      <c r="F430" s="7" t="s">
        <v>1173</v>
      </c>
      <c r="G430" s="7" t="n">
        <v>2019</v>
      </c>
      <c r="H430" s="7" t="s">
        <v>55</v>
      </c>
      <c r="I430" s="7" t="s">
        <v>1175</v>
      </c>
      <c r="J430" s="7" t="s">
        <v>74</v>
      </c>
      <c r="K430" s="7" t="n">
        <f aca="false">IFERROR(VALUE(RIGHT(TRIM(F430),4)),"")</f>
        <v>2019</v>
      </c>
      <c r="L430" s="7" t="str">
        <f aca="false">IF(TRIM(E430)="","Unknown",IFERROR(LEFT(TRIM(E430),FIND(",",TRIM(E430))-1),TRIM(E430)))</f>
        <v>United States</v>
      </c>
      <c r="M430" s="7" t="str">
        <f aca="false">IFERROR(LEFT(J430,FIND(",",J430)-1),J430)</f>
        <v>Children &amp; Family Movies</v>
      </c>
      <c r="N430" s="7" t="n">
        <f aca="false">IF(B430="Movie",IFERROR(VALUE(LEFT(I430,FIND(" ",I430)-1)),""),"")</f>
        <v>46</v>
      </c>
      <c r="O430" s="7" t="str">
        <f aca="false">IF(B430="TV Show",IFERROR(VALUE(LEFT(I430,FIND(" ",I430)-1)),""),"")</f>
        <v/>
      </c>
      <c r="P430" s="7" t="n">
        <f aca="false">IF(K430="","",K430-G430)</f>
        <v>0</v>
      </c>
    </row>
    <row r="431" customFormat="false" ht="15" hidden="false" customHeight="false" outlineLevel="0" collapsed="false">
      <c r="A431" s="7" t="n">
        <v>81020161</v>
      </c>
      <c r="B431" s="7" t="s">
        <v>68</v>
      </c>
      <c r="C431" s="7" t="s">
        <v>1176</v>
      </c>
      <c r="D431" s="7" t="s">
        <v>1177</v>
      </c>
      <c r="E431" s="7" t="s">
        <v>1178</v>
      </c>
      <c r="F431" s="7" t="s">
        <v>1179</v>
      </c>
      <c r="G431" s="7" t="n">
        <v>2018</v>
      </c>
      <c r="H431" s="7" t="s">
        <v>49</v>
      </c>
      <c r="I431" s="7" t="s">
        <v>519</v>
      </c>
      <c r="J431" s="7" t="s">
        <v>112</v>
      </c>
      <c r="K431" s="7" t="n">
        <f aca="false">IFERROR(VALUE(RIGHT(TRIM(F431),4)),"")</f>
        <v>2018</v>
      </c>
      <c r="L431" s="7" t="str">
        <f aca="false">IF(TRIM(E431)="","Unknown",IFERROR(LEFT(TRIM(E431),FIND(",",TRIM(E431))-1),TRIM(E431)))</f>
        <v>Malaysia</v>
      </c>
      <c r="M431" s="7" t="str">
        <f aca="false">IFERROR(LEFT(J431,FIND(",",J431)-1),J431)</f>
        <v>Action &amp; Adventure</v>
      </c>
      <c r="N431" s="7" t="n">
        <f aca="false">IF(B431="Movie",IFERROR(VALUE(LEFT(I431,FIND(" ",I431)-1)),""),"")</f>
        <v>119</v>
      </c>
      <c r="O431" s="7" t="str">
        <f aca="false">IF(B431="TV Show",IFERROR(VALUE(LEFT(I431,FIND(" ",I431)-1)),""),"")</f>
        <v/>
      </c>
      <c r="P431" s="7" t="n">
        <f aca="false">IF(K431="","",K431-G431)</f>
        <v>0</v>
      </c>
    </row>
    <row r="432" customFormat="false" ht="15" hidden="false" customHeight="false" outlineLevel="0" collapsed="false">
      <c r="A432" s="7" t="n">
        <v>80025390</v>
      </c>
      <c r="B432" s="7" t="s">
        <v>68</v>
      </c>
      <c r="C432" s="7" t="s">
        <v>1180</v>
      </c>
      <c r="D432" s="7" t="s">
        <v>1181</v>
      </c>
      <c r="E432" s="7" t="s">
        <v>1182</v>
      </c>
      <c r="F432" s="7" t="s">
        <v>1183</v>
      </c>
      <c r="G432" s="7" t="n">
        <v>2014</v>
      </c>
      <c r="H432" s="7" t="s">
        <v>51</v>
      </c>
      <c r="I432" s="7" t="s">
        <v>326</v>
      </c>
      <c r="J432" s="7" t="s">
        <v>304</v>
      </c>
      <c r="K432" s="7" t="n">
        <f aca="false">IFERROR(VALUE(RIGHT(TRIM(F432),4)),"")</f>
        <v>2019</v>
      </c>
      <c r="L432" s="7" t="str">
        <f aca="false">IF(TRIM(E432)="","Unknown",IFERROR(LEFT(TRIM(E432),FIND(",",TRIM(E432))-1),TRIM(E432)))</f>
        <v>Australia</v>
      </c>
      <c r="M432" s="7" t="str">
        <f aca="false">IFERROR(LEFT(J432,FIND(",",J432)-1),J432)</f>
        <v>Dramas</v>
      </c>
      <c r="N432" s="7" t="n">
        <f aca="false">IF(B432="Movie",IFERROR(VALUE(LEFT(I432,FIND(" ",I432)-1)),""),"")</f>
        <v>111</v>
      </c>
      <c r="O432" s="7" t="str">
        <f aca="false">IF(B432="TV Show",IFERROR(VALUE(LEFT(I432,FIND(" ",I432)-1)),""),"")</f>
        <v/>
      </c>
      <c r="P432" s="7" t="n">
        <f aca="false">IF(K432="","",K432-G432)</f>
        <v>5</v>
      </c>
    </row>
    <row r="433" customFormat="false" ht="15" hidden="false" customHeight="false" outlineLevel="0" collapsed="false">
      <c r="A433" s="7" t="n">
        <v>80196216</v>
      </c>
      <c r="B433" s="7" t="s">
        <v>68</v>
      </c>
      <c r="C433" s="7" t="s">
        <v>1184</v>
      </c>
      <c r="D433" s="7" t="s">
        <v>1185</v>
      </c>
      <c r="E433" s="7" t="s">
        <v>26</v>
      </c>
      <c r="F433" s="7" t="s">
        <v>1186</v>
      </c>
      <c r="G433" s="7" t="n">
        <v>2017</v>
      </c>
      <c r="H433" s="7" t="s">
        <v>48</v>
      </c>
      <c r="I433" s="7" t="s">
        <v>154</v>
      </c>
      <c r="J433" s="7" t="s">
        <v>509</v>
      </c>
      <c r="K433" s="7" t="n">
        <f aca="false">IFERROR(VALUE(RIGHT(TRIM(F433),4)),"")</f>
        <v>2017</v>
      </c>
      <c r="L433" s="7" t="str">
        <f aca="false">IF(TRIM(E433)="","Unknown",IFERROR(LEFT(TRIM(E433),FIND(",",TRIM(E433))-1),TRIM(E433)))</f>
        <v>United States</v>
      </c>
      <c r="M433" s="7" t="str">
        <f aca="false">IFERROR(LEFT(J433,FIND(",",J433)-1),J433)</f>
        <v>Documentaries</v>
      </c>
      <c r="N433" s="7" t="n">
        <f aca="false">IF(B433="Movie",IFERROR(VALUE(LEFT(I433,FIND(" ",I433)-1)),""),"")</f>
        <v>80</v>
      </c>
      <c r="O433" s="7" t="str">
        <f aca="false">IF(B433="TV Show",IFERROR(VALUE(LEFT(I433,FIND(" ",I433)-1)),""),"")</f>
        <v/>
      </c>
      <c r="P433" s="7" t="n">
        <f aca="false">IF(K433="","",K433-G433)</f>
        <v>0</v>
      </c>
    </row>
    <row r="434" customFormat="false" ht="15" hidden="false" customHeight="false" outlineLevel="0" collapsed="false">
      <c r="A434" s="7" t="n">
        <v>80091741</v>
      </c>
      <c r="B434" s="7" t="s">
        <v>68</v>
      </c>
      <c r="C434" s="7" t="s">
        <v>1187</v>
      </c>
      <c r="D434" s="7" t="s">
        <v>462</v>
      </c>
      <c r="E434" s="7" t="s">
        <v>26</v>
      </c>
      <c r="F434" s="7" t="s">
        <v>1188</v>
      </c>
      <c r="G434" s="7" t="n">
        <v>2016</v>
      </c>
      <c r="H434" s="7" t="s">
        <v>48</v>
      </c>
      <c r="I434" s="7" t="s">
        <v>512</v>
      </c>
      <c r="J434" s="7" t="s">
        <v>39</v>
      </c>
      <c r="K434" s="7" t="n">
        <f aca="false">IFERROR(VALUE(RIGHT(TRIM(F434),4)),"")</f>
        <v>2016</v>
      </c>
      <c r="L434" s="7" t="str">
        <f aca="false">IF(TRIM(E434)="","Unknown",IFERROR(LEFT(TRIM(E434),FIND(",",TRIM(E434))-1),TRIM(E434)))</f>
        <v>United States</v>
      </c>
      <c r="M434" s="7" t="str">
        <f aca="false">IFERROR(LEFT(J434,FIND(",",J434)-1),J434)</f>
        <v>Documentaries</v>
      </c>
      <c r="N434" s="7" t="n">
        <f aca="false">IF(B434="Movie",IFERROR(VALUE(LEFT(I434,FIND(" ",I434)-1)),""),"")</f>
        <v>101</v>
      </c>
      <c r="O434" s="7" t="str">
        <f aca="false">IF(B434="TV Show",IFERROR(VALUE(LEFT(I434,FIND(" ",I434)-1)),""),"")</f>
        <v/>
      </c>
      <c r="P434" s="7" t="n">
        <f aca="false">IF(K434="","",K434-G434)</f>
        <v>0</v>
      </c>
    </row>
    <row r="435" customFormat="false" ht="15" hidden="false" customHeight="false" outlineLevel="0" collapsed="false">
      <c r="A435" s="7" t="n">
        <v>80115464</v>
      </c>
      <c r="B435" s="7" t="s">
        <v>68</v>
      </c>
      <c r="C435" s="7" t="s">
        <v>1189</v>
      </c>
      <c r="D435" s="7" t="s">
        <v>1190</v>
      </c>
      <c r="E435" s="7" t="s">
        <v>26</v>
      </c>
      <c r="F435" s="7" t="s">
        <v>1188</v>
      </c>
      <c r="G435" s="7" t="n">
        <v>2016</v>
      </c>
      <c r="H435" s="7" t="s">
        <v>48</v>
      </c>
      <c r="I435" s="7" t="s">
        <v>1191</v>
      </c>
      <c r="J435" s="7" t="s">
        <v>45</v>
      </c>
      <c r="K435" s="7" t="n">
        <f aca="false">IFERROR(VALUE(RIGHT(TRIM(F435),4)),"")</f>
        <v>2016</v>
      </c>
      <c r="L435" s="7" t="str">
        <f aca="false">IF(TRIM(E435)="","Unknown",IFERROR(LEFT(TRIM(E435),FIND(",",TRIM(E435))-1),TRIM(E435)))</f>
        <v>United States</v>
      </c>
      <c r="M435" s="7" t="str">
        <f aca="false">IFERROR(LEFT(J435,FIND(",",J435)-1),J435)</f>
        <v>Stand-Up Comedy</v>
      </c>
      <c r="N435" s="7" t="n">
        <f aca="false">IF(B435="Movie",IFERROR(VALUE(LEFT(I435,FIND(" ",I435)-1)),""),"")</f>
        <v>73</v>
      </c>
      <c r="O435" s="7" t="str">
        <f aca="false">IF(B435="TV Show",IFERROR(VALUE(LEFT(I435,FIND(" ",I435)-1)),""),"")</f>
        <v/>
      </c>
      <c r="P435" s="7" t="n">
        <f aca="false">IF(K435="","",K435-G435)</f>
        <v>0</v>
      </c>
    </row>
    <row r="436" customFormat="false" ht="15" hidden="false" customHeight="false" outlineLevel="0" collapsed="false">
      <c r="A436" s="7" t="n">
        <v>80113144</v>
      </c>
      <c r="B436" s="7" t="s">
        <v>78</v>
      </c>
      <c r="C436" s="7" t="s">
        <v>1192</v>
      </c>
      <c r="E436" s="7" t="s">
        <v>26</v>
      </c>
      <c r="F436" s="7" t="s">
        <v>1188</v>
      </c>
      <c r="G436" s="7" t="n">
        <v>2016</v>
      </c>
      <c r="H436" s="7" t="s">
        <v>119</v>
      </c>
      <c r="I436" s="7" t="s">
        <v>82</v>
      </c>
      <c r="J436" s="7" t="s">
        <v>44</v>
      </c>
      <c r="K436" s="7" t="n">
        <f aca="false">IFERROR(VALUE(RIGHT(TRIM(F436),4)),"")</f>
        <v>2016</v>
      </c>
      <c r="L436" s="7" t="str">
        <f aca="false">IF(TRIM(E436)="","Unknown",IFERROR(LEFT(TRIM(E436),FIND(",",TRIM(E436))-1),TRIM(E436)))</f>
        <v>United States</v>
      </c>
      <c r="M436" s="7" t="str">
        <f aca="false">IFERROR(LEFT(J436,FIND(",",J436)-1),J436)</f>
        <v>Kids' TV</v>
      </c>
      <c r="N436" s="7" t="str">
        <f aca="false">IF(B436="Movie",IFERROR(VALUE(LEFT(I436,FIND(" ",I436)-1)),""),"")</f>
        <v/>
      </c>
      <c r="O436" s="7" t="n">
        <f aca="false">IF(B436="TV Show",IFERROR(VALUE(LEFT(I436,FIND(" ",I436)-1)),""),"")</f>
        <v>1</v>
      </c>
      <c r="P436" s="7" t="n">
        <f aca="false">IF(K436="","",K436-G436)</f>
        <v>0</v>
      </c>
    </row>
    <row r="437" customFormat="false" ht="15" hidden="false" customHeight="false" outlineLevel="0" collapsed="false">
      <c r="A437" s="7" t="n">
        <v>80041653</v>
      </c>
      <c r="B437" s="7" t="s">
        <v>68</v>
      </c>
      <c r="C437" s="7" t="s">
        <v>1193</v>
      </c>
      <c r="D437" s="7" t="s">
        <v>1194</v>
      </c>
      <c r="E437" s="7" t="s">
        <v>1195</v>
      </c>
      <c r="F437" s="7" t="s">
        <v>1188</v>
      </c>
      <c r="G437" s="7" t="n">
        <v>2016</v>
      </c>
      <c r="H437" s="7" t="s">
        <v>48</v>
      </c>
      <c r="I437" s="7" t="s">
        <v>268</v>
      </c>
      <c r="J437" s="7" t="s">
        <v>112</v>
      </c>
      <c r="K437" s="7" t="n">
        <f aca="false">IFERROR(VALUE(RIGHT(TRIM(F437),4)),"")</f>
        <v>2016</v>
      </c>
      <c r="L437" s="7" t="str">
        <f aca="false">IF(TRIM(E437)="","Unknown",IFERROR(LEFT(TRIM(E437),FIND(",",TRIM(E437))-1),TRIM(E437)))</f>
        <v>Ireland</v>
      </c>
      <c r="M437" s="7" t="str">
        <f aca="false">IFERROR(LEFT(J437,FIND(",",J437)-1),J437)</f>
        <v>Action &amp; Adventure</v>
      </c>
      <c r="N437" s="7" t="n">
        <f aca="false">IF(B437="Movie",IFERROR(VALUE(LEFT(I437,FIND(" ",I437)-1)),""),"")</f>
        <v>108</v>
      </c>
      <c r="O437" s="7" t="str">
        <f aca="false">IF(B437="TV Show",IFERROR(VALUE(LEFT(I437,FIND(" ",I437)-1)),""),"")</f>
        <v/>
      </c>
      <c r="P437" s="7" t="n">
        <f aca="false">IF(K437="","",K437-G437)</f>
        <v>0</v>
      </c>
    </row>
    <row r="438" customFormat="false" ht="15" hidden="false" customHeight="false" outlineLevel="0" collapsed="false">
      <c r="A438" s="7" t="n">
        <v>81016338</v>
      </c>
      <c r="B438" s="7" t="s">
        <v>68</v>
      </c>
      <c r="C438" s="7" t="s">
        <v>1196</v>
      </c>
      <c r="D438" s="7" t="s">
        <v>1197</v>
      </c>
      <c r="E438" s="7" t="s">
        <v>362</v>
      </c>
      <c r="F438" s="7" t="s">
        <v>1198</v>
      </c>
      <c r="G438" s="7" t="n">
        <v>2018</v>
      </c>
      <c r="H438" s="7" t="s">
        <v>49</v>
      </c>
      <c r="I438" s="7" t="s">
        <v>512</v>
      </c>
      <c r="J438" s="7" t="s">
        <v>240</v>
      </c>
      <c r="K438" s="7" t="n">
        <f aca="false">IFERROR(VALUE(RIGHT(TRIM(F438),4)),"")</f>
        <v>2019</v>
      </c>
      <c r="L438" s="7" t="str">
        <f aca="false">IF(TRIM(E438)="","Unknown",IFERROR(LEFT(TRIM(E438),FIND(",",TRIM(E438))-1),TRIM(E438)))</f>
        <v>Indonesia</v>
      </c>
      <c r="M438" s="7" t="str">
        <f aca="false">IFERROR(LEFT(J438,FIND(",",J438)-1),J438)</f>
        <v>Dramas</v>
      </c>
      <c r="N438" s="7" t="n">
        <f aca="false">IF(B438="Movie",IFERROR(VALUE(LEFT(I438,FIND(" ",I438)-1)),""),"")</f>
        <v>101</v>
      </c>
      <c r="O438" s="7" t="str">
        <f aca="false">IF(B438="TV Show",IFERROR(VALUE(LEFT(I438,FIND(" ",I438)-1)),""),"")</f>
        <v/>
      </c>
      <c r="P438" s="7" t="n">
        <f aca="false">IF(K438="","",K438-G438)</f>
        <v>1</v>
      </c>
    </row>
    <row r="439" customFormat="false" ht="15" hidden="false" customHeight="false" outlineLevel="0" collapsed="false">
      <c r="A439" s="7" t="n">
        <v>81002592</v>
      </c>
      <c r="B439" s="7" t="s">
        <v>68</v>
      </c>
      <c r="C439" s="7" t="s">
        <v>1199</v>
      </c>
      <c r="D439" s="7" t="s">
        <v>1200</v>
      </c>
      <c r="E439" s="7" t="s">
        <v>450</v>
      </c>
      <c r="F439" s="7" t="s">
        <v>1201</v>
      </c>
      <c r="G439" s="7" t="n">
        <v>2015</v>
      </c>
      <c r="H439" s="7" t="s">
        <v>49</v>
      </c>
      <c r="I439" s="7" t="s">
        <v>311</v>
      </c>
      <c r="J439" s="7" t="s">
        <v>217</v>
      </c>
      <c r="K439" s="7" t="n">
        <f aca="false">IFERROR(VALUE(RIGHT(TRIM(F439),4)),"")</f>
        <v>2018</v>
      </c>
      <c r="L439" s="7" t="str">
        <f aca="false">IF(TRIM(E439)="","Unknown",IFERROR(LEFT(TRIM(E439),FIND(",",TRIM(E439))-1),TRIM(E439)))</f>
        <v>Vietnam</v>
      </c>
      <c r="M439" s="7" t="str">
        <f aca="false">IFERROR(LEFT(J439,FIND(",",J439)-1),J439)</f>
        <v>Comedies</v>
      </c>
      <c r="N439" s="7" t="n">
        <f aca="false">IF(B439="Movie",IFERROR(VALUE(LEFT(I439,FIND(" ",I439)-1)),""),"")</f>
        <v>92</v>
      </c>
      <c r="O439" s="7" t="str">
        <f aca="false">IF(B439="TV Show",IFERROR(VALUE(LEFT(I439,FIND(" ",I439)-1)),""),"")</f>
        <v/>
      </c>
      <c r="P439" s="7" t="n">
        <f aca="false">IF(K439="","",K439-G439)</f>
        <v>3</v>
      </c>
    </row>
    <row r="440" customFormat="false" ht="15" hidden="false" customHeight="false" outlineLevel="0" collapsed="false">
      <c r="A440" s="7" t="n">
        <v>81017724</v>
      </c>
      <c r="B440" s="7" t="s">
        <v>68</v>
      </c>
      <c r="C440" s="7" t="s">
        <v>1202</v>
      </c>
      <c r="D440" s="7" t="s">
        <v>1203</v>
      </c>
      <c r="E440" s="7" t="s">
        <v>26</v>
      </c>
      <c r="F440" s="7" t="s">
        <v>1201</v>
      </c>
      <c r="G440" s="7" t="n">
        <v>2018</v>
      </c>
      <c r="H440" s="7" t="s">
        <v>52</v>
      </c>
      <c r="I440" s="7" t="s">
        <v>77</v>
      </c>
      <c r="J440" s="7" t="s">
        <v>265</v>
      </c>
      <c r="K440" s="7" t="n">
        <f aca="false">IFERROR(VALUE(RIGHT(TRIM(F440),4)),"")</f>
        <v>2018</v>
      </c>
      <c r="L440" s="7" t="str">
        <f aca="false">IF(TRIM(E440)="","Unknown",IFERROR(LEFT(TRIM(E440),FIND(",",TRIM(E440))-1),TRIM(E440)))</f>
        <v>United States</v>
      </c>
      <c r="M440" s="7" t="str">
        <f aca="false">IFERROR(LEFT(J440,FIND(",",J440)-1),J440)</f>
        <v>Horror Movies</v>
      </c>
      <c r="N440" s="7" t="n">
        <f aca="false">IF(B440="Movie",IFERROR(VALUE(LEFT(I440,FIND(" ",I440)-1)),""),"")</f>
        <v>94</v>
      </c>
      <c r="O440" s="7" t="str">
        <f aca="false">IF(B440="TV Show",IFERROR(VALUE(LEFT(I440,FIND(" ",I440)-1)),""),"")</f>
        <v/>
      </c>
      <c r="P440" s="7" t="n">
        <f aca="false">IF(K440="","",K440-G440)</f>
        <v>0</v>
      </c>
    </row>
    <row r="441" customFormat="false" ht="15" hidden="false" customHeight="false" outlineLevel="0" collapsed="false">
      <c r="A441" s="7" t="n">
        <v>80174918</v>
      </c>
      <c r="B441" s="7" t="s">
        <v>78</v>
      </c>
      <c r="C441" s="7" t="s">
        <v>1204</v>
      </c>
      <c r="E441" s="7" t="s">
        <v>30</v>
      </c>
      <c r="F441" s="7" t="s">
        <v>1205</v>
      </c>
      <c r="G441" s="7" t="n">
        <v>2017</v>
      </c>
      <c r="H441" s="7" t="s">
        <v>49</v>
      </c>
      <c r="I441" s="7" t="s">
        <v>82</v>
      </c>
      <c r="J441" s="7" t="s">
        <v>542</v>
      </c>
      <c r="K441" s="7" t="n">
        <f aca="false">IFERROR(VALUE(RIGHT(TRIM(F441),4)),"")</f>
        <v>2017</v>
      </c>
      <c r="L441" s="7" t="str">
        <f aca="false">IF(TRIM(E441)="","Unknown",IFERROR(LEFT(TRIM(E441),FIND(",",TRIM(E441))-1),TRIM(E441)))</f>
        <v>Japan</v>
      </c>
      <c r="M441" s="7" t="str">
        <f aca="false">IFERROR(LEFT(J441,FIND(",",J441)-1),J441)</f>
        <v>Anime Series</v>
      </c>
      <c r="N441" s="7" t="str">
        <f aca="false">IF(B441="Movie",IFERROR(VALUE(LEFT(I441,FIND(" ",I441)-1)),""),"")</f>
        <v/>
      </c>
      <c r="O441" s="7" t="n">
        <f aca="false">IF(B441="TV Show",IFERROR(VALUE(LEFT(I441,FIND(" ",I441)-1)),""),"")</f>
        <v>1</v>
      </c>
      <c r="P441" s="7" t="n">
        <f aca="false">IF(K441="","",K441-G441)</f>
        <v>0</v>
      </c>
    </row>
    <row r="442" customFormat="false" ht="15" hidden="false" customHeight="false" outlineLevel="0" collapsed="false">
      <c r="A442" s="7" t="n">
        <v>80170301</v>
      </c>
      <c r="B442" s="7" t="s">
        <v>68</v>
      </c>
      <c r="C442" s="7" t="s">
        <v>1206</v>
      </c>
      <c r="D442" s="7" t="s">
        <v>1207</v>
      </c>
      <c r="E442" s="7" t="s">
        <v>1208</v>
      </c>
      <c r="F442" s="7" t="s">
        <v>1205</v>
      </c>
      <c r="G442" s="7" t="n">
        <v>2017</v>
      </c>
      <c r="H442" s="7" t="s">
        <v>50</v>
      </c>
      <c r="I442" s="7" t="s">
        <v>294</v>
      </c>
      <c r="J442" s="7" t="s">
        <v>139</v>
      </c>
      <c r="K442" s="7" t="n">
        <f aca="false">IFERROR(VALUE(RIGHT(TRIM(F442),4)),"")</f>
        <v>2017</v>
      </c>
      <c r="L442" s="7" t="str">
        <f aca="false">IF(TRIM(E442)="","Unknown",IFERROR(LEFT(TRIM(E442),FIND(",",TRIM(E442))-1),TRIM(E442)))</f>
        <v>China</v>
      </c>
      <c r="M442" s="7" t="str">
        <f aca="false">IFERROR(LEFT(J442,FIND(",",J442)-1),J442)</f>
        <v>Action &amp; Adventure</v>
      </c>
      <c r="N442" s="7" t="n">
        <f aca="false">IF(B442="Movie",IFERROR(VALUE(LEFT(I442,FIND(" ",I442)-1)),""),"")</f>
        <v>107</v>
      </c>
      <c r="O442" s="7" t="str">
        <f aca="false">IF(B442="TV Show",IFERROR(VALUE(LEFT(I442,FIND(" ",I442)-1)),""),"")</f>
        <v/>
      </c>
      <c r="P442" s="7" t="n">
        <f aca="false">IF(K442="","",K442-G442)</f>
        <v>0</v>
      </c>
    </row>
    <row r="443" customFormat="false" ht="15" hidden="false" customHeight="false" outlineLevel="0" collapsed="false">
      <c r="A443" s="7" t="n">
        <v>80189623</v>
      </c>
      <c r="B443" s="7" t="s">
        <v>68</v>
      </c>
      <c r="C443" s="7" t="s">
        <v>1209</v>
      </c>
      <c r="D443" s="7" t="s">
        <v>1210</v>
      </c>
      <c r="E443" s="7" t="s">
        <v>26</v>
      </c>
      <c r="F443" s="7" t="s">
        <v>1205</v>
      </c>
      <c r="G443" s="7" t="n">
        <v>2017</v>
      </c>
      <c r="H443" s="7" t="s">
        <v>48</v>
      </c>
      <c r="I443" s="7" t="s">
        <v>173</v>
      </c>
      <c r="J443" s="7" t="s">
        <v>1211</v>
      </c>
      <c r="K443" s="7" t="n">
        <f aca="false">IFERROR(VALUE(RIGHT(TRIM(F443),4)),"")</f>
        <v>2017</v>
      </c>
      <c r="L443" s="7" t="str">
        <f aca="false">IF(TRIM(E443)="","Unknown",IFERROR(LEFT(TRIM(E443),FIND(",",TRIM(E443))-1),TRIM(E443)))</f>
        <v>United States</v>
      </c>
      <c r="M443" s="7" t="str">
        <f aca="false">IFERROR(LEFT(J443,FIND(",",J443)-1),J443)</f>
        <v>Documentaries</v>
      </c>
      <c r="N443" s="7" t="n">
        <f aca="false">IF(B443="Movie",IFERROR(VALUE(LEFT(I443,FIND(" ",I443)-1)),""),"")</f>
        <v>106</v>
      </c>
      <c r="O443" s="7" t="str">
        <f aca="false">IF(B443="TV Show",IFERROR(VALUE(LEFT(I443,FIND(" ",I443)-1)),""),"")</f>
        <v/>
      </c>
      <c r="P443" s="7" t="n">
        <f aca="false">IF(K443="","",K443-G443)</f>
        <v>0</v>
      </c>
    </row>
    <row r="444" customFormat="false" ht="15" hidden="false" customHeight="false" outlineLevel="0" collapsed="false">
      <c r="A444" s="7" t="n">
        <v>80215730</v>
      </c>
      <c r="B444" s="7" t="s">
        <v>78</v>
      </c>
      <c r="C444" s="7" t="s">
        <v>1212</v>
      </c>
      <c r="E444" s="7" t="s">
        <v>34</v>
      </c>
      <c r="F444" s="7" t="s">
        <v>1213</v>
      </c>
      <c r="G444" s="7" t="n">
        <v>2019</v>
      </c>
      <c r="H444" s="7" t="s">
        <v>55</v>
      </c>
      <c r="I444" s="7" t="s">
        <v>82</v>
      </c>
      <c r="J444" s="7" t="s">
        <v>44</v>
      </c>
      <c r="K444" s="7" t="n">
        <f aca="false">IFERROR(VALUE(RIGHT(TRIM(F444),4)),"")</f>
        <v>2019</v>
      </c>
      <c r="L444" s="7" t="str">
        <f aca="false">IF(TRIM(E444)="","Unknown",IFERROR(LEFT(TRIM(E444),FIND(",",TRIM(E444))-1),TRIM(E444)))</f>
        <v>Mexico</v>
      </c>
      <c r="M444" s="7" t="str">
        <f aca="false">IFERROR(LEFT(J444,FIND(",",J444)-1),J444)</f>
        <v>Kids' TV</v>
      </c>
      <c r="N444" s="7" t="str">
        <f aca="false">IF(B444="Movie",IFERROR(VALUE(LEFT(I444,FIND(" ",I444)-1)),""),"")</f>
        <v/>
      </c>
      <c r="O444" s="7" t="n">
        <f aca="false">IF(B444="TV Show",IFERROR(VALUE(LEFT(I444,FIND(" ",I444)-1)),""),"")</f>
        <v>1</v>
      </c>
      <c r="P444" s="7" t="n">
        <f aca="false">IF(K444="","",K444-G444)</f>
        <v>0</v>
      </c>
    </row>
    <row r="445" customFormat="false" ht="15" hidden="false" customHeight="false" outlineLevel="0" collapsed="false">
      <c r="A445" s="7" t="n">
        <v>81161487</v>
      </c>
      <c r="B445" s="7" t="s">
        <v>78</v>
      </c>
      <c r="C445" s="7" t="s">
        <v>1214</v>
      </c>
      <c r="E445" s="7" t="s">
        <v>32</v>
      </c>
      <c r="F445" s="7" t="s">
        <v>1213</v>
      </c>
      <c r="G445" s="7" t="n">
        <v>2019</v>
      </c>
      <c r="H445" s="7" t="s">
        <v>49</v>
      </c>
      <c r="I445" s="7" t="s">
        <v>82</v>
      </c>
      <c r="J445" s="7" t="s">
        <v>537</v>
      </c>
      <c r="K445" s="7" t="n">
        <f aca="false">IFERROR(VALUE(RIGHT(TRIM(F445),4)),"")</f>
        <v>2019</v>
      </c>
      <c r="L445" s="7" t="str">
        <f aca="false">IF(TRIM(E445)="","Unknown",IFERROR(LEFT(TRIM(E445),FIND(",",TRIM(E445))-1),TRIM(E445)))</f>
        <v>South Korea</v>
      </c>
      <c r="M445" s="7" t="str">
        <f aca="false">IFERROR(LEFT(J445,FIND(",",J445)-1),J445)</f>
        <v>International TV Shows</v>
      </c>
      <c r="N445" s="7" t="str">
        <f aca="false">IF(B445="Movie",IFERROR(VALUE(LEFT(I445,FIND(" ",I445)-1)),""),"")</f>
        <v/>
      </c>
      <c r="O445" s="7" t="n">
        <f aca="false">IF(B445="TV Show",IFERROR(VALUE(LEFT(I445,FIND(" ",I445)-1)),""),"")</f>
        <v>1</v>
      </c>
      <c r="P445" s="7" t="n">
        <f aca="false">IF(K445="","",K445-G445)</f>
        <v>0</v>
      </c>
    </row>
    <row r="446" customFormat="false" ht="15" hidden="false" customHeight="false" outlineLevel="0" collapsed="false">
      <c r="A446" s="7" t="n">
        <v>81177367</v>
      </c>
      <c r="B446" s="7" t="s">
        <v>68</v>
      </c>
      <c r="C446" s="7" t="s">
        <v>1215</v>
      </c>
      <c r="D446" s="7" t="s">
        <v>1216</v>
      </c>
      <c r="E446" s="7" t="s">
        <v>27</v>
      </c>
      <c r="F446" s="7" t="s">
        <v>1213</v>
      </c>
      <c r="G446" s="7" t="n">
        <v>2019</v>
      </c>
      <c r="H446" s="7" t="s">
        <v>48</v>
      </c>
      <c r="I446" s="7" t="s">
        <v>790</v>
      </c>
      <c r="J446" s="7" t="s">
        <v>188</v>
      </c>
      <c r="K446" s="7" t="n">
        <f aca="false">IFERROR(VALUE(RIGHT(TRIM(F446),4)),"")</f>
        <v>2019</v>
      </c>
      <c r="L446" s="7" t="str">
        <f aca="false">IF(TRIM(E446)="","Unknown",IFERROR(LEFT(TRIM(E446),FIND(",",TRIM(E446))-1),TRIM(E446)))</f>
        <v>India</v>
      </c>
      <c r="M446" s="7" t="str">
        <f aca="false">IFERROR(LEFT(J446,FIND(",",J446)-1),J446)</f>
        <v>Dramas</v>
      </c>
      <c r="N446" s="7" t="n">
        <f aca="false">IF(B446="Movie",IFERROR(VALUE(LEFT(I446,FIND(" ",I446)-1)),""),"")</f>
        <v>109</v>
      </c>
      <c r="O446" s="7" t="str">
        <f aca="false">IF(B446="TV Show",IFERROR(VALUE(LEFT(I446,FIND(" ",I446)-1)),""),"")</f>
        <v/>
      </c>
      <c r="P446" s="7" t="n">
        <f aca="false">IF(K446="","",K446-G446)</f>
        <v>0</v>
      </c>
    </row>
    <row r="447" customFormat="false" ht="15" hidden="false" customHeight="false" outlineLevel="0" collapsed="false">
      <c r="A447" s="7" t="n">
        <v>81016323</v>
      </c>
      <c r="B447" s="7" t="s">
        <v>68</v>
      </c>
      <c r="C447" s="7" t="s">
        <v>1217</v>
      </c>
      <c r="D447" s="7" t="s">
        <v>1166</v>
      </c>
      <c r="E447" s="7" t="s">
        <v>362</v>
      </c>
      <c r="F447" s="7" t="s">
        <v>1218</v>
      </c>
      <c r="G447" s="7" t="n">
        <v>2014</v>
      </c>
      <c r="H447" s="7" t="s">
        <v>49</v>
      </c>
      <c r="I447" s="7" t="s">
        <v>1041</v>
      </c>
      <c r="J447" s="7" t="s">
        <v>1003</v>
      </c>
      <c r="K447" s="7" t="n">
        <f aca="false">IFERROR(VALUE(RIGHT(TRIM(F447),4)),"")</f>
        <v>2018</v>
      </c>
      <c r="L447" s="7" t="str">
        <f aca="false">IF(TRIM(E447)="","Unknown",IFERROR(LEFT(TRIM(E447),FIND(",",TRIM(E447))-1),TRIM(E447)))</f>
        <v>Indonesia</v>
      </c>
      <c r="M447" s="7" t="str">
        <f aca="false">IFERROR(LEFT(J447,FIND(",",J447)-1),J447)</f>
        <v>Dramas</v>
      </c>
      <c r="N447" s="7" t="n">
        <f aca="false">IF(B447="Movie",IFERROR(VALUE(LEFT(I447,FIND(" ",I447)-1)),""),"")</f>
        <v>151</v>
      </c>
      <c r="O447" s="7" t="str">
        <f aca="false">IF(B447="TV Show",IFERROR(VALUE(LEFT(I447,FIND(" ",I447)-1)),""),"")</f>
        <v/>
      </c>
      <c r="P447" s="7" t="n">
        <f aca="false">IF(K447="","",K447-G447)</f>
        <v>4</v>
      </c>
    </row>
    <row r="448" customFormat="false" ht="15" hidden="false" customHeight="false" outlineLevel="0" collapsed="false">
      <c r="A448" s="7" t="n">
        <v>80198511</v>
      </c>
      <c r="B448" s="7" t="s">
        <v>78</v>
      </c>
      <c r="C448" s="7" t="s">
        <v>1219</v>
      </c>
      <c r="F448" s="7" t="s">
        <v>1218</v>
      </c>
      <c r="G448" s="7" t="n">
        <v>2018</v>
      </c>
      <c r="H448" s="7" t="s">
        <v>49</v>
      </c>
      <c r="I448" s="7" t="s">
        <v>82</v>
      </c>
      <c r="J448" s="7" t="s">
        <v>701</v>
      </c>
      <c r="K448" s="7" t="n">
        <f aca="false">IFERROR(VALUE(RIGHT(TRIM(F448),4)),"")</f>
        <v>2018</v>
      </c>
      <c r="L448" s="7" t="str">
        <f aca="false">IF(TRIM(E448)="","Unknown",IFERROR(LEFT(TRIM(E448),FIND(",",TRIM(E448))-1),TRIM(E448)))</f>
        <v>Unknown</v>
      </c>
      <c r="M448" s="7" t="str">
        <f aca="false">IFERROR(LEFT(J448,FIND(",",J448)-1),J448)</f>
        <v>Reality TV</v>
      </c>
      <c r="N448" s="7" t="str">
        <f aca="false">IF(B448="Movie",IFERROR(VALUE(LEFT(I448,FIND(" ",I448)-1)),""),"")</f>
        <v/>
      </c>
      <c r="O448" s="7" t="n">
        <f aca="false">IF(B448="TV Show",IFERROR(VALUE(LEFT(I448,FIND(" ",I448)-1)),""),"")</f>
        <v>1</v>
      </c>
      <c r="P448" s="7" t="n">
        <f aca="false">IF(K448="","",K448-G448)</f>
        <v>0</v>
      </c>
    </row>
    <row r="449" customFormat="false" ht="15" hidden="false" customHeight="false" outlineLevel="0" collapsed="false">
      <c r="A449" s="7" t="n">
        <v>81016318</v>
      </c>
      <c r="B449" s="7" t="s">
        <v>68</v>
      </c>
      <c r="C449" s="7" t="s">
        <v>1220</v>
      </c>
      <c r="D449" s="7" t="s">
        <v>726</v>
      </c>
      <c r="E449" s="7" t="s">
        <v>362</v>
      </c>
      <c r="F449" s="7" t="s">
        <v>1218</v>
      </c>
      <c r="G449" s="7" t="n">
        <v>2016</v>
      </c>
      <c r="H449" s="7" t="s">
        <v>50</v>
      </c>
      <c r="I449" s="7" t="s">
        <v>1221</v>
      </c>
      <c r="J449" s="7" t="s">
        <v>304</v>
      </c>
      <c r="K449" s="7" t="n">
        <f aca="false">IFERROR(VALUE(RIGHT(TRIM(F449),4)),"")</f>
        <v>2018</v>
      </c>
      <c r="L449" s="7" t="str">
        <f aca="false">IF(TRIM(E449)="","Unknown",IFERROR(LEFT(TRIM(E449),FIND(",",TRIM(E449))-1),TRIM(E449)))</f>
        <v>Indonesia</v>
      </c>
      <c r="M449" s="7" t="str">
        <f aca="false">IFERROR(LEFT(J449,FIND(",",J449)-1),J449)</f>
        <v>Dramas</v>
      </c>
      <c r="N449" s="7" t="n">
        <f aca="false">IF(B449="Movie",IFERROR(VALUE(LEFT(I449,FIND(" ",I449)-1)),""),"")</f>
        <v>74</v>
      </c>
      <c r="O449" s="7" t="str">
        <f aca="false">IF(B449="TV Show",IFERROR(VALUE(LEFT(I449,FIND(" ",I449)-1)),""),"")</f>
        <v/>
      </c>
      <c r="P449" s="7" t="n">
        <f aca="false">IF(K449="","",K449-G449)</f>
        <v>2</v>
      </c>
    </row>
    <row r="450" customFormat="false" ht="15" hidden="false" customHeight="false" outlineLevel="0" collapsed="false">
      <c r="A450" s="7" t="n">
        <v>80240840</v>
      </c>
      <c r="B450" s="7" t="s">
        <v>78</v>
      </c>
      <c r="C450" s="7" t="s">
        <v>1222</v>
      </c>
      <c r="E450" s="7" t="s">
        <v>1223</v>
      </c>
      <c r="F450" s="7" t="s">
        <v>1218</v>
      </c>
      <c r="G450" s="7" t="n">
        <v>2018</v>
      </c>
      <c r="H450" s="7" t="s">
        <v>49</v>
      </c>
      <c r="I450" s="7" t="s">
        <v>82</v>
      </c>
      <c r="J450" s="7" t="s">
        <v>164</v>
      </c>
      <c r="K450" s="7" t="n">
        <f aca="false">IFERROR(VALUE(RIGHT(TRIM(F450),4)),"")</f>
        <v>2018</v>
      </c>
      <c r="L450" s="7" t="str">
        <f aca="false">IF(TRIM(E450)="","Unknown",IFERROR(LEFT(TRIM(E450),FIND(",",TRIM(E450))-1),TRIM(E450)))</f>
        <v>Czech Republic</v>
      </c>
      <c r="M450" s="7" t="str">
        <f aca="false">IFERROR(LEFT(J450,FIND(",",J450)-1),J450)</f>
        <v>Docuseries</v>
      </c>
      <c r="N450" s="7" t="str">
        <f aca="false">IF(B450="Movie",IFERROR(VALUE(LEFT(I450,FIND(" ",I450)-1)),""),"")</f>
        <v/>
      </c>
      <c r="O450" s="7" t="n">
        <f aca="false">IF(B450="TV Show",IFERROR(VALUE(LEFT(I450,FIND(" ",I450)-1)),""),"")</f>
        <v>1</v>
      </c>
      <c r="P450" s="7" t="n">
        <f aca="false">IF(K450="","",K450-G450)</f>
        <v>0</v>
      </c>
    </row>
    <row r="451" customFormat="false" ht="15" hidden="false" customHeight="false" outlineLevel="0" collapsed="false">
      <c r="A451" s="7" t="n">
        <v>80191369</v>
      </c>
      <c r="B451" s="7" t="s">
        <v>78</v>
      </c>
      <c r="C451" s="7" t="s">
        <v>1224</v>
      </c>
      <c r="E451" s="7" t="s">
        <v>30</v>
      </c>
      <c r="F451" s="7" t="s">
        <v>1218</v>
      </c>
      <c r="G451" s="7" t="n">
        <v>2018</v>
      </c>
      <c r="H451" s="7" t="s">
        <v>49</v>
      </c>
      <c r="I451" s="7" t="s">
        <v>82</v>
      </c>
      <c r="J451" s="7" t="s">
        <v>542</v>
      </c>
      <c r="K451" s="7" t="n">
        <f aca="false">IFERROR(VALUE(RIGHT(TRIM(F451),4)),"")</f>
        <v>2018</v>
      </c>
      <c r="L451" s="7" t="str">
        <f aca="false">IF(TRIM(E451)="","Unknown",IFERROR(LEFT(TRIM(E451),FIND(",",TRIM(E451))-1),TRIM(E451)))</f>
        <v>Japan</v>
      </c>
      <c r="M451" s="7" t="str">
        <f aca="false">IFERROR(LEFT(J451,FIND(",",J451)-1),J451)</f>
        <v>Anime Series</v>
      </c>
      <c r="N451" s="7" t="str">
        <f aca="false">IF(B451="Movie",IFERROR(VALUE(LEFT(I451,FIND(" ",I451)-1)),""),"")</f>
        <v/>
      </c>
      <c r="O451" s="7" t="n">
        <f aca="false">IF(B451="TV Show",IFERROR(VALUE(LEFT(I451,FIND(" ",I451)-1)),""),"")</f>
        <v>1</v>
      </c>
      <c r="P451" s="7" t="n">
        <f aca="false">IF(K451="","",K451-G451)</f>
        <v>0</v>
      </c>
    </row>
    <row r="452" customFormat="false" ht="15" hidden="false" customHeight="false" outlineLevel="0" collapsed="false">
      <c r="A452" s="7" t="n">
        <v>80242081</v>
      </c>
      <c r="B452" s="7" t="s">
        <v>68</v>
      </c>
      <c r="C452" s="7" t="s">
        <v>1225</v>
      </c>
      <c r="D452" s="7" t="s">
        <v>1226</v>
      </c>
      <c r="E452" s="7" t="s">
        <v>28</v>
      </c>
      <c r="F452" s="7" t="s">
        <v>1218</v>
      </c>
      <c r="G452" s="7" t="n">
        <v>2018</v>
      </c>
      <c r="H452" s="7" t="s">
        <v>48</v>
      </c>
      <c r="I452" s="7" t="s">
        <v>357</v>
      </c>
      <c r="J452" s="7" t="s">
        <v>147</v>
      </c>
      <c r="K452" s="7" t="n">
        <f aca="false">IFERROR(VALUE(RIGHT(TRIM(F452),4)),"")</f>
        <v>2018</v>
      </c>
      <c r="L452" s="7" t="str">
        <f aca="false">IF(TRIM(E452)="","Unknown",IFERROR(LEFT(TRIM(E452),FIND(",",TRIM(E452))-1),TRIM(E452)))</f>
        <v>United Kingdom</v>
      </c>
      <c r="M452" s="7" t="str">
        <f aca="false">IFERROR(LEFT(J452,FIND(",",J452)-1),J452)</f>
        <v>Horror Movies</v>
      </c>
      <c r="N452" s="7" t="n">
        <f aca="false">IF(B452="Movie",IFERROR(VALUE(LEFT(I452,FIND(" ",I452)-1)),""),"")</f>
        <v>89</v>
      </c>
      <c r="O452" s="7" t="str">
        <f aca="false">IF(B452="TV Show",IFERROR(VALUE(LEFT(I452,FIND(" ",I452)-1)),""),"")</f>
        <v/>
      </c>
      <c r="P452" s="7" t="n">
        <f aca="false">IF(K452="","",K452-G452)</f>
        <v>0</v>
      </c>
    </row>
    <row r="453" customFormat="false" ht="15" hidden="false" customHeight="false" outlineLevel="0" collapsed="false">
      <c r="A453" s="7" t="n">
        <v>80168222</v>
      </c>
      <c r="B453" s="7" t="s">
        <v>68</v>
      </c>
      <c r="C453" s="7" t="s">
        <v>1227</v>
      </c>
      <c r="D453" s="7" t="s">
        <v>1228</v>
      </c>
      <c r="E453" s="7" t="s">
        <v>26</v>
      </c>
      <c r="F453" s="7" t="s">
        <v>1218</v>
      </c>
      <c r="G453" s="7" t="n">
        <v>2018</v>
      </c>
      <c r="H453" s="7" t="s">
        <v>51</v>
      </c>
      <c r="I453" s="7" t="s">
        <v>549</v>
      </c>
      <c r="J453" s="7" t="s">
        <v>198</v>
      </c>
      <c r="K453" s="7" t="n">
        <f aca="false">IFERROR(VALUE(RIGHT(TRIM(F453),4)),"")</f>
        <v>2018</v>
      </c>
      <c r="L453" s="7" t="str">
        <f aca="false">IF(TRIM(E453)="","Unknown",IFERROR(LEFT(TRIM(E453),FIND(",",TRIM(E453))-1),TRIM(E453)))</f>
        <v>United States</v>
      </c>
      <c r="M453" s="7" t="str">
        <f aca="false">IFERROR(LEFT(J453,FIND(",",J453)-1),J453)</f>
        <v>Comedies</v>
      </c>
      <c r="N453" s="7" t="n">
        <f aca="false">IF(B453="Movie",IFERROR(VALUE(LEFT(I453,FIND(" ",I453)-1)),""),"")</f>
        <v>124</v>
      </c>
      <c r="O453" s="7" t="str">
        <f aca="false">IF(B453="TV Show",IFERROR(VALUE(LEFT(I453,FIND(" ",I453)-1)),""),"")</f>
        <v/>
      </c>
      <c r="P453" s="7" t="n">
        <f aca="false">IF(K453="","",K453-G453)</f>
        <v>0</v>
      </c>
    </row>
    <row r="454" customFormat="false" ht="15" hidden="false" customHeight="false" outlineLevel="0" collapsed="false">
      <c r="A454" s="7" t="n">
        <v>80999063</v>
      </c>
      <c r="B454" s="7" t="s">
        <v>68</v>
      </c>
      <c r="C454" s="7" t="s">
        <v>1229</v>
      </c>
      <c r="F454" s="7" t="s">
        <v>1218</v>
      </c>
      <c r="G454" s="7" t="n">
        <v>2018</v>
      </c>
      <c r="H454" s="7" t="s">
        <v>119</v>
      </c>
      <c r="I454" s="7" t="s">
        <v>843</v>
      </c>
      <c r="J454" s="7" t="s">
        <v>42</v>
      </c>
      <c r="K454" s="7" t="n">
        <f aca="false">IFERROR(VALUE(RIGHT(TRIM(F454),4)),"")</f>
        <v>2018</v>
      </c>
      <c r="L454" s="7" t="str">
        <f aca="false">IF(TRIM(E454)="","Unknown",IFERROR(LEFT(TRIM(E454),FIND(",",TRIM(E454))-1),TRIM(E454)))</f>
        <v>Unknown</v>
      </c>
      <c r="M454" s="7" t="str">
        <f aca="false">IFERROR(LEFT(J454,FIND(",",J454)-1),J454)</f>
        <v>Children &amp; Family Movies</v>
      </c>
      <c r="N454" s="7" t="n">
        <f aca="false">IF(B454="Movie",IFERROR(VALUE(LEFT(I454,FIND(" ",I454)-1)),""),"")</f>
        <v>25</v>
      </c>
      <c r="O454" s="7" t="str">
        <f aca="false">IF(B454="TV Show",IFERROR(VALUE(LEFT(I454,FIND(" ",I454)-1)),""),"")</f>
        <v/>
      </c>
      <c r="P454" s="7" t="n">
        <f aca="false">IF(K454="","",K454-G454)</f>
        <v>0</v>
      </c>
    </row>
    <row r="455" customFormat="false" ht="15" hidden="false" customHeight="false" outlineLevel="0" collapsed="false">
      <c r="A455" s="7" t="n">
        <v>80220650</v>
      </c>
      <c r="B455" s="7" t="s">
        <v>78</v>
      </c>
      <c r="C455" s="7" t="s">
        <v>1230</v>
      </c>
      <c r="E455" s="7" t="s">
        <v>32</v>
      </c>
      <c r="F455" s="7" t="s">
        <v>1218</v>
      </c>
      <c r="G455" s="7" t="n">
        <v>2018</v>
      </c>
      <c r="H455" s="7" t="s">
        <v>48</v>
      </c>
      <c r="I455" s="7" t="s">
        <v>82</v>
      </c>
      <c r="J455" s="7" t="s">
        <v>1231</v>
      </c>
      <c r="K455" s="7" t="n">
        <f aca="false">IFERROR(VALUE(RIGHT(TRIM(F455),4)),"")</f>
        <v>2018</v>
      </c>
      <c r="L455" s="7" t="str">
        <f aca="false">IF(TRIM(E455)="","Unknown",IFERROR(LEFT(TRIM(E455),FIND(",",TRIM(E455))-1),TRIM(E455)))</f>
        <v>South Korea</v>
      </c>
      <c r="M455" s="7" t="str">
        <f aca="false">IFERROR(LEFT(J455,FIND(",",J455)-1),J455)</f>
        <v>International TV Shows</v>
      </c>
      <c r="N455" s="7" t="str">
        <f aca="false">IF(B455="Movie",IFERROR(VALUE(LEFT(I455,FIND(" ",I455)-1)),""),"")</f>
        <v/>
      </c>
      <c r="O455" s="7" t="n">
        <f aca="false">IF(B455="TV Show",IFERROR(VALUE(LEFT(I455,FIND(" ",I455)-1)),""),"")</f>
        <v>1</v>
      </c>
      <c r="P455" s="7" t="n">
        <f aca="false">IF(K455="","",K455-G455)</f>
        <v>0</v>
      </c>
    </row>
    <row r="456" customFormat="false" ht="15" hidden="false" customHeight="false" outlineLevel="0" collapsed="false">
      <c r="A456" s="7" t="n">
        <v>80164032</v>
      </c>
      <c r="B456" s="7" t="s">
        <v>68</v>
      </c>
      <c r="C456" s="7" t="s">
        <v>1232</v>
      </c>
      <c r="E456" s="7" t="s">
        <v>1233</v>
      </c>
      <c r="F456" s="7" t="s">
        <v>1234</v>
      </c>
      <c r="G456" s="7" t="n">
        <v>2016</v>
      </c>
      <c r="H456" s="7" t="s">
        <v>50</v>
      </c>
      <c r="I456" s="7" t="s">
        <v>205</v>
      </c>
      <c r="J456" s="7" t="s">
        <v>39</v>
      </c>
      <c r="K456" s="7" t="n">
        <f aca="false">IFERROR(VALUE(RIGHT(TRIM(F456),4)),"")</f>
        <v>2019</v>
      </c>
      <c r="L456" s="7" t="str">
        <f aca="false">IF(TRIM(E456)="","Unknown",IFERROR(LEFT(TRIM(E456),FIND(",",TRIM(E456))-1),TRIM(E456)))</f>
        <v>United Kingdom</v>
      </c>
      <c r="M456" s="7" t="str">
        <f aca="false">IFERROR(LEFT(J456,FIND(",",J456)-1),J456)</f>
        <v>Documentaries</v>
      </c>
      <c r="N456" s="7" t="n">
        <f aca="false">IF(B456="Movie",IFERROR(VALUE(LEFT(I456,FIND(" ",I456)-1)),""),"")</f>
        <v>100</v>
      </c>
      <c r="O456" s="7" t="str">
        <f aca="false">IF(B456="TV Show",IFERROR(VALUE(LEFT(I456,FIND(" ",I456)-1)),""),"")</f>
        <v/>
      </c>
      <c r="P456" s="7" t="n">
        <f aca="false">IF(K456="","",K456-G456)</f>
        <v>3</v>
      </c>
    </row>
    <row r="457" customFormat="false" ht="15" hidden="false" customHeight="false" outlineLevel="0" collapsed="false">
      <c r="A457" s="7" t="n">
        <v>81158574</v>
      </c>
      <c r="B457" s="7" t="s">
        <v>68</v>
      </c>
      <c r="C457" s="7" t="s">
        <v>1235</v>
      </c>
      <c r="D457" s="7" t="s">
        <v>1236</v>
      </c>
      <c r="E457" s="7" t="s">
        <v>396</v>
      </c>
      <c r="F457" s="7" t="s">
        <v>1234</v>
      </c>
      <c r="G457" s="7" t="n">
        <v>2019</v>
      </c>
      <c r="H457" s="7" t="s">
        <v>49</v>
      </c>
      <c r="I457" s="7" t="s">
        <v>93</v>
      </c>
      <c r="J457" s="7" t="s">
        <v>206</v>
      </c>
      <c r="K457" s="7" t="n">
        <f aca="false">IFERROR(VALUE(RIGHT(TRIM(F457),4)),"")</f>
        <v>2019</v>
      </c>
      <c r="L457" s="7" t="str">
        <f aca="false">IF(TRIM(E457)="","Unknown",IFERROR(LEFT(TRIM(E457),FIND(",",TRIM(E457))-1),TRIM(E457)))</f>
        <v>Turkey</v>
      </c>
      <c r="M457" s="7" t="str">
        <f aca="false">IFERROR(LEFT(J457,FIND(",",J457)-1),J457)</f>
        <v>Comedies</v>
      </c>
      <c r="N457" s="7" t="n">
        <f aca="false">IF(B457="Movie",IFERROR(VALUE(LEFT(I457,FIND(" ",I457)-1)),""),"")</f>
        <v>110</v>
      </c>
      <c r="O457" s="7" t="str">
        <f aca="false">IF(B457="TV Show",IFERROR(VALUE(LEFT(I457,FIND(" ",I457)-1)),""),"")</f>
        <v/>
      </c>
      <c r="P457" s="7" t="n">
        <f aca="false">IF(K457="","",K457-G457)</f>
        <v>0</v>
      </c>
    </row>
    <row r="458" customFormat="false" ht="15" hidden="false" customHeight="false" outlineLevel="0" collapsed="false">
      <c r="A458" s="7" t="n">
        <v>80237905</v>
      </c>
      <c r="B458" s="7" t="s">
        <v>68</v>
      </c>
      <c r="C458" s="7" t="s">
        <v>1237</v>
      </c>
      <c r="D458" s="7" t="s">
        <v>1238</v>
      </c>
      <c r="E458" s="7" t="s">
        <v>29</v>
      </c>
      <c r="F458" s="7" t="s">
        <v>1234</v>
      </c>
      <c r="G458" s="7" t="n">
        <v>2019</v>
      </c>
      <c r="H458" s="7" t="s">
        <v>48</v>
      </c>
      <c r="I458" s="7" t="s">
        <v>181</v>
      </c>
      <c r="J458" s="7" t="s">
        <v>147</v>
      </c>
      <c r="K458" s="7" t="n">
        <f aca="false">IFERROR(VALUE(RIGHT(TRIM(F458),4)),"")</f>
        <v>2019</v>
      </c>
      <c r="L458" s="7" t="str">
        <f aca="false">IF(TRIM(E458)="","Unknown",IFERROR(LEFT(TRIM(E458),FIND(",",TRIM(E458))-1),TRIM(E458)))</f>
        <v>Canada</v>
      </c>
      <c r="M458" s="7" t="str">
        <f aca="false">IFERROR(LEFT(J458,FIND(",",J458)-1),J458)</f>
        <v>Horror Movies</v>
      </c>
      <c r="N458" s="7" t="n">
        <f aca="false">IF(B458="Movie",IFERROR(VALUE(LEFT(I458,FIND(" ",I458)-1)),""),"")</f>
        <v>102</v>
      </c>
      <c r="O458" s="7" t="str">
        <f aca="false">IF(B458="TV Show",IFERROR(VALUE(LEFT(I458,FIND(" ",I458)-1)),""),"")</f>
        <v/>
      </c>
      <c r="P458" s="7" t="n">
        <f aca="false">IF(K458="","",K458-G458)</f>
        <v>0</v>
      </c>
    </row>
    <row r="459" customFormat="false" ht="15" hidden="false" customHeight="false" outlineLevel="0" collapsed="false">
      <c r="A459" s="7" t="n">
        <v>81132440</v>
      </c>
      <c r="B459" s="7" t="s">
        <v>68</v>
      </c>
      <c r="C459" s="7" t="s">
        <v>1239</v>
      </c>
      <c r="D459" s="7" t="s">
        <v>1240</v>
      </c>
      <c r="E459" s="7" t="s">
        <v>396</v>
      </c>
      <c r="F459" s="7" t="s">
        <v>1234</v>
      </c>
      <c r="G459" s="7" t="n">
        <v>2019</v>
      </c>
      <c r="H459" s="7" t="s">
        <v>50</v>
      </c>
      <c r="I459" s="7" t="s">
        <v>181</v>
      </c>
      <c r="J459" s="7" t="s">
        <v>74</v>
      </c>
      <c r="K459" s="7" t="n">
        <f aca="false">IFERROR(VALUE(RIGHT(TRIM(F459),4)),"")</f>
        <v>2019</v>
      </c>
      <c r="L459" s="7" t="str">
        <f aca="false">IF(TRIM(E459)="","Unknown",IFERROR(LEFT(TRIM(E459),FIND(",",TRIM(E459))-1),TRIM(E459)))</f>
        <v>Turkey</v>
      </c>
      <c r="M459" s="7" t="str">
        <f aca="false">IFERROR(LEFT(J459,FIND(",",J459)-1),J459)</f>
        <v>Children &amp; Family Movies</v>
      </c>
      <c r="N459" s="7" t="n">
        <f aca="false">IF(B459="Movie",IFERROR(VALUE(LEFT(I459,FIND(" ",I459)-1)),""),"")</f>
        <v>102</v>
      </c>
      <c r="O459" s="7" t="str">
        <f aca="false">IF(B459="TV Show",IFERROR(VALUE(LEFT(I459,FIND(" ",I459)-1)),""),"")</f>
        <v/>
      </c>
      <c r="P459" s="7" t="n">
        <f aca="false">IF(K459="","",K459-G459)</f>
        <v>0</v>
      </c>
    </row>
    <row r="460" customFormat="false" ht="15" hidden="false" customHeight="false" outlineLevel="0" collapsed="false">
      <c r="A460" s="7" t="n">
        <v>80117803</v>
      </c>
      <c r="B460" s="7" t="s">
        <v>78</v>
      </c>
      <c r="C460" s="7" t="s">
        <v>1241</v>
      </c>
      <c r="E460" s="7" t="s">
        <v>26</v>
      </c>
      <c r="F460" s="7" t="s">
        <v>1234</v>
      </c>
      <c r="G460" s="7" t="n">
        <v>2019</v>
      </c>
      <c r="H460" s="7" t="s">
        <v>50</v>
      </c>
      <c r="I460" s="7" t="s">
        <v>82</v>
      </c>
      <c r="J460" s="7" t="s">
        <v>1242</v>
      </c>
      <c r="K460" s="7" t="n">
        <f aca="false">IFERROR(VALUE(RIGHT(TRIM(F460),4)),"")</f>
        <v>2019</v>
      </c>
      <c r="L460" s="7" t="str">
        <f aca="false">IF(TRIM(E460)="","Unknown",IFERROR(LEFT(TRIM(E460),FIND(",",TRIM(E460))-1),TRIM(E460)))</f>
        <v>United States</v>
      </c>
      <c r="M460" s="7" t="str">
        <f aca="false">IFERROR(LEFT(J460,FIND(",",J460)-1),J460)</f>
        <v>Kids' TV</v>
      </c>
      <c r="N460" s="7" t="str">
        <f aca="false">IF(B460="Movie",IFERROR(VALUE(LEFT(I460,FIND(" ",I460)-1)),""),"")</f>
        <v/>
      </c>
      <c r="O460" s="7" t="n">
        <f aca="false">IF(B460="TV Show",IFERROR(VALUE(LEFT(I460,FIND(" ",I460)-1)),""),"")</f>
        <v>1</v>
      </c>
      <c r="P460" s="7" t="n">
        <f aca="false">IF(K460="","",K460-G460)</f>
        <v>0</v>
      </c>
    </row>
    <row r="461" customFormat="false" ht="15" hidden="false" customHeight="false" outlineLevel="0" collapsed="false">
      <c r="A461" s="7" t="n">
        <v>81021243</v>
      </c>
      <c r="B461" s="7" t="s">
        <v>68</v>
      </c>
      <c r="C461" s="7" t="s">
        <v>1243</v>
      </c>
      <c r="D461" s="7" t="s">
        <v>1244</v>
      </c>
      <c r="E461" s="7" t="s">
        <v>26</v>
      </c>
      <c r="F461" s="7" t="s">
        <v>1234</v>
      </c>
      <c r="G461" s="7" t="n">
        <v>2019</v>
      </c>
      <c r="H461" s="7" t="s">
        <v>119</v>
      </c>
      <c r="I461" s="7" t="s">
        <v>373</v>
      </c>
      <c r="J461" s="7" t="s">
        <v>42</v>
      </c>
      <c r="K461" s="7" t="n">
        <f aca="false">IFERROR(VALUE(RIGHT(TRIM(F461),4)),"")</f>
        <v>2019</v>
      </c>
      <c r="L461" s="7" t="str">
        <f aca="false">IF(TRIM(E461)="","Unknown",IFERROR(LEFT(TRIM(E461),FIND(",",TRIM(E461))-1),TRIM(E461)))</f>
        <v>United States</v>
      </c>
      <c r="M461" s="7" t="str">
        <f aca="false">IFERROR(LEFT(J461,FIND(",",J461)-1),J461)</f>
        <v>Children &amp; Family Movies</v>
      </c>
      <c r="N461" s="7" t="n">
        <f aca="false">IF(B461="Movie",IFERROR(VALUE(LEFT(I461,FIND(" ",I461)-1)),""),"")</f>
        <v>24</v>
      </c>
      <c r="O461" s="7" t="str">
        <f aca="false">IF(B461="TV Show",IFERROR(VALUE(LEFT(I461,FIND(" ",I461)-1)),""),"")</f>
        <v/>
      </c>
      <c r="P461" s="7" t="n">
        <f aca="false">IF(K461="","",K461-G461)</f>
        <v>0</v>
      </c>
    </row>
    <row r="462" customFormat="false" ht="15" hidden="false" customHeight="false" outlineLevel="0" collapsed="false">
      <c r="A462" s="7" t="n">
        <v>81004460</v>
      </c>
      <c r="B462" s="7" t="s">
        <v>68</v>
      </c>
      <c r="C462" s="7" t="s">
        <v>1245</v>
      </c>
      <c r="D462" s="7" t="s">
        <v>1246</v>
      </c>
      <c r="E462" s="7" t="s">
        <v>1247</v>
      </c>
      <c r="F462" s="7" t="s">
        <v>1248</v>
      </c>
      <c r="G462" s="7" t="n">
        <v>2016</v>
      </c>
      <c r="H462" s="7" t="s">
        <v>48</v>
      </c>
      <c r="I462" s="7" t="s">
        <v>613</v>
      </c>
      <c r="J462" s="7" t="s">
        <v>597</v>
      </c>
      <c r="K462" s="7" t="n">
        <f aca="false">IFERROR(VALUE(RIGHT(TRIM(F462),4)),"")</f>
        <v>2018</v>
      </c>
      <c r="L462" s="7" t="str">
        <f aca="false">IF(TRIM(E462)="","Unknown",IFERROR(LEFT(TRIM(E462),FIND(",",TRIM(E462))-1),TRIM(E462)))</f>
        <v>United Kingdom</v>
      </c>
      <c r="M462" s="7" t="str">
        <f aca="false">IFERROR(LEFT(J462,FIND(",",J462)-1),J462)</f>
        <v>Dramas</v>
      </c>
      <c r="N462" s="7" t="n">
        <f aca="false">IF(B462="Movie",IFERROR(VALUE(LEFT(I462,FIND(" ",I462)-1)),""),"")</f>
        <v>84</v>
      </c>
      <c r="O462" s="7" t="str">
        <f aca="false">IF(B462="TV Show",IFERROR(VALUE(LEFT(I462,FIND(" ",I462)-1)),""),"")</f>
        <v/>
      </c>
      <c r="P462" s="7" t="n">
        <f aca="false">IF(K462="","",K462-G462)</f>
        <v>2</v>
      </c>
    </row>
    <row r="463" customFormat="false" ht="15" hidden="false" customHeight="false" outlineLevel="0" collapsed="false">
      <c r="A463" s="7" t="n">
        <v>81016330</v>
      </c>
      <c r="B463" s="7" t="s">
        <v>68</v>
      </c>
      <c r="C463" s="7" t="s">
        <v>1249</v>
      </c>
      <c r="D463" s="7" t="s">
        <v>726</v>
      </c>
      <c r="E463" s="7" t="s">
        <v>362</v>
      </c>
      <c r="F463" s="7" t="s">
        <v>1248</v>
      </c>
      <c r="G463" s="7" t="n">
        <v>2009</v>
      </c>
      <c r="H463" s="7" t="s">
        <v>50</v>
      </c>
      <c r="I463" s="7" t="s">
        <v>505</v>
      </c>
      <c r="J463" s="7" t="s">
        <v>304</v>
      </c>
      <c r="K463" s="7" t="n">
        <f aca="false">IFERROR(VALUE(RIGHT(TRIM(F463),4)),"")</f>
        <v>2018</v>
      </c>
      <c r="L463" s="7" t="str">
        <f aca="false">IF(TRIM(E463)="","Unknown",IFERROR(LEFT(TRIM(E463),FIND(",",TRIM(E463))-1),TRIM(E463)))</f>
        <v>Indonesia</v>
      </c>
      <c r="M463" s="7" t="str">
        <f aca="false">IFERROR(LEFT(J463,FIND(",",J463)-1),J463)</f>
        <v>Dramas</v>
      </c>
      <c r="N463" s="7" t="n">
        <f aca="false">IF(B463="Movie",IFERROR(VALUE(LEFT(I463,FIND(" ",I463)-1)),""),"")</f>
        <v>121</v>
      </c>
      <c r="O463" s="7" t="str">
        <f aca="false">IF(B463="TV Show",IFERROR(VALUE(LEFT(I463,FIND(" ",I463)-1)),""),"")</f>
        <v/>
      </c>
      <c r="P463" s="7" t="n">
        <f aca="false">IF(K463="","",K463-G463)</f>
        <v>9</v>
      </c>
    </row>
    <row r="464" customFormat="false" ht="15" hidden="false" customHeight="false" outlineLevel="0" collapsed="false">
      <c r="A464" s="7" t="n">
        <v>70105130</v>
      </c>
      <c r="B464" s="7" t="s">
        <v>68</v>
      </c>
      <c r="C464" s="7" t="s">
        <v>1250</v>
      </c>
      <c r="D464" s="7" t="s">
        <v>1251</v>
      </c>
      <c r="E464" s="7" t="s">
        <v>26</v>
      </c>
      <c r="F464" s="7" t="s">
        <v>1248</v>
      </c>
      <c r="G464" s="7" t="n">
        <v>2008</v>
      </c>
      <c r="H464" s="7" t="s">
        <v>52</v>
      </c>
      <c r="I464" s="7" t="s">
        <v>340</v>
      </c>
      <c r="J464" s="7" t="s">
        <v>147</v>
      </c>
      <c r="K464" s="7" t="n">
        <f aca="false">IFERROR(VALUE(RIGHT(TRIM(F464),4)),"")</f>
        <v>2018</v>
      </c>
      <c r="L464" s="7" t="str">
        <f aca="false">IF(TRIM(E464)="","Unknown",IFERROR(LEFT(TRIM(E464),FIND(",",TRIM(E464))-1),TRIM(E464)))</f>
        <v>United States</v>
      </c>
      <c r="M464" s="7" t="str">
        <f aca="false">IFERROR(LEFT(J464,FIND(",",J464)-1),J464)</f>
        <v>Horror Movies</v>
      </c>
      <c r="N464" s="7" t="n">
        <f aca="false">IF(B464="Movie",IFERROR(VALUE(LEFT(I464,FIND(" ",I464)-1)),""),"")</f>
        <v>85</v>
      </c>
      <c r="O464" s="7" t="str">
        <f aca="false">IF(B464="TV Show",IFERROR(VALUE(LEFT(I464,FIND(" ",I464)-1)),""),"")</f>
        <v/>
      </c>
      <c r="P464" s="7" t="n">
        <f aca="false">IF(K464="","",K464-G464)</f>
        <v>10</v>
      </c>
    </row>
    <row r="465" customFormat="false" ht="15" hidden="false" customHeight="false" outlineLevel="0" collapsed="false">
      <c r="A465" s="7" t="n">
        <v>81010662</v>
      </c>
      <c r="B465" s="7" t="s">
        <v>78</v>
      </c>
      <c r="C465" s="7" t="s">
        <v>1252</v>
      </c>
      <c r="E465" s="7" t="s">
        <v>30</v>
      </c>
      <c r="F465" s="7" t="s">
        <v>1248</v>
      </c>
      <c r="G465" s="7" t="n">
        <v>2018</v>
      </c>
      <c r="H465" s="7" t="s">
        <v>50</v>
      </c>
      <c r="I465" s="7" t="s">
        <v>82</v>
      </c>
      <c r="J465" s="7" t="s">
        <v>1253</v>
      </c>
      <c r="K465" s="7" t="n">
        <f aca="false">IFERROR(VALUE(RIGHT(TRIM(F465),4)),"")</f>
        <v>2018</v>
      </c>
      <c r="L465" s="7" t="str">
        <f aca="false">IF(TRIM(E465)="","Unknown",IFERROR(LEFT(TRIM(E465),FIND(",",TRIM(E465))-1),TRIM(E465)))</f>
        <v>Japan</v>
      </c>
      <c r="M465" s="7" t="str">
        <f aca="false">IFERROR(LEFT(J465,FIND(",",J465)-1),J465)</f>
        <v>Anime Series</v>
      </c>
      <c r="N465" s="7" t="str">
        <f aca="false">IF(B465="Movie",IFERROR(VALUE(LEFT(I465,FIND(" ",I465)-1)),""),"")</f>
        <v/>
      </c>
      <c r="O465" s="7" t="n">
        <f aca="false">IF(B465="TV Show",IFERROR(VALUE(LEFT(I465,FIND(" ",I465)-1)),""),"")</f>
        <v>1</v>
      </c>
      <c r="P465" s="7" t="n">
        <f aca="false">IF(K465="","",K465-G465)</f>
        <v>0</v>
      </c>
    </row>
    <row r="466" customFormat="false" ht="15" hidden="false" customHeight="false" outlineLevel="0" collapsed="false">
      <c r="A466" s="7" t="n">
        <v>80141858</v>
      </c>
      <c r="B466" s="7" t="s">
        <v>68</v>
      </c>
      <c r="C466" s="7" t="s">
        <v>1254</v>
      </c>
      <c r="D466" s="7" t="s">
        <v>1255</v>
      </c>
      <c r="E466" s="7" t="s">
        <v>26</v>
      </c>
      <c r="F466" s="7" t="s">
        <v>1256</v>
      </c>
      <c r="G466" s="7" t="n">
        <v>2016</v>
      </c>
      <c r="H466" s="7" t="s">
        <v>55</v>
      </c>
      <c r="I466" s="7" t="s">
        <v>843</v>
      </c>
      <c r="J466" s="7" t="s">
        <v>74</v>
      </c>
      <c r="K466" s="7" t="n">
        <f aca="false">IFERROR(VALUE(RIGHT(TRIM(F466),4)),"")</f>
        <v>2016</v>
      </c>
      <c r="L466" s="7" t="str">
        <f aca="false">IF(TRIM(E466)="","Unknown",IFERROR(LEFT(TRIM(E466),FIND(",",TRIM(E466))-1),TRIM(E466)))</f>
        <v>United States</v>
      </c>
      <c r="M466" s="7" t="str">
        <f aca="false">IFERROR(LEFT(J466,FIND(",",J466)-1),J466)</f>
        <v>Children &amp; Family Movies</v>
      </c>
      <c r="N466" s="7" t="n">
        <f aca="false">IF(B466="Movie",IFERROR(VALUE(LEFT(I466,FIND(" ",I466)-1)),""),"")</f>
        <v>25</v>
      </c>
      <c r="O466" s="7" t="str">
        <f aca="false">IF(B466="TV Show",IFERROR(VALUE(LEFT(I466,FIND(" ",I466)-1)),""),"")</f>
        <v/>
      </c>
      <c r="P466" s="7" t="n">
        <f aca="false">IF(K466="","",K466-G466)</f>
        <v>0</v>
      </c>
    </row>
    <row r="467" customFormat="false" ht="15" hidden="false" customHeight="false" outlineLevel="0" collapsed="false">
      <c r="A467" s="7" t="n">
        <v>81084225</v>
      </c>
      <c r="B467" s="7" t="s">
        <v>68</v>
      </c>
      <c r="C467" s="7" t="s">
        <v>1257</v>
      </c>
      <c r="D467" s="7" t="s">
        <v>1258</v>
      </c>
      <c r="E467" s="7" t="s">
        <v>1113</v>
      </c>
      <c r="F467" s="7" t="s">
        <v>1259</v>
      </c>
      <c r="G467" s="7" t="n">
        <v>2019</v>
      </c>
      <c r="H467" s="7" t="s">
        <v>48</v>
      </c>
      <c r="I467" s="7" t="s">
        <v>120</v>
      </c>
      <c r="J467" s="7" t="s">
        <v>45</v>
      </c>
      <c r="K467" s="7" t="n">
        <f aca="false">IFERROR(VALUE(RIGHT(TRIM(F467),4)),"")</f>
        <v>2019</v>
      </c>
      <c r="L467" s="7" t="str">
        <f aca="false">IF(TRIM(E467)="","Unknown",IFERROR(LEFT(TRIM(E467),FIND(",",TRIM(E467))-1),TRIM(E467)))</f>
        <v>Argentina</v>
      </c>
      <c r="M467" s="7" t="str">
        <f aca="false">IFERROR(LEFT(J467,FIND(",",J467)-1),J467)</f>
        <v>Stand-Up Comedy</v>
      </c>
      <c r="N467" s="7" t="n">
        <f aca="false">IF(B467="Movie",IFERROR(VALUE(LEFT(I467,FIND(" ",I467)-1)),""),"")</f>
        <v>65</v>
      </c>
      <c r="O467" s="7" t="str">
        <f aca="false">IF(B467="TV Show",IFERROR(VALUE(LEFT(I467,FIND(" ",I467)-1)),""),"")</f>
        <v/>
      </c>
      <c r="P467" s="7" t="n">
        <f aca="false">IF(K467="","",K467-G467)</f>
        <v>0</v>
      </c>
    </row>
    <row r="468" customFormat="false" ht="15" hidden="false" customHeight="false" outlineLevel="0" collapsed="false">
      <c r="A468" s="7" t="n">
        <v>80203920</v>
      </c>
      <c r="B468" s="7" t="s">
        <v>78</v>
      </c>
      <c r="C468" s="7" t="s">
        <v>1260</v>
      </c>
      <c r="D468" s="7" t="s">
        <v>1261</v>
      </c>
      <c r="E468" s="7" t="s">
        <v>970</v>
      </c>
      <c r="F468" s="7" t="s">
        <v>1259</v>
      </c>
      <c r="G468" s="7" t="n">
        <v>2019</v>
      </c>
      <c r="H468" s="7" t="s">
        <v>48</v>
      </c>
      <c r="I468" s="7" t="s">
        <v>82</v>
      </c>
      <c r="J468" s="7" t="s">
        <v>588</v>
      </c>
      <c r="K468" s="7" t="n">
        <f aca="false">IFERROR(VALUE(RIGHT(TRIM(F468),4)),"")</f>
        <v>2019</v>
      </c>
      <c r="L468" s="7" t="str">
        <f aca="false">IF(TRIM(E468)="","Unknown",IFERROR(LEFT(TRIM(E468),FIND(",",TRIM(E468))-1),TRIM(E468)))</f>
        <v>Taiwan</v>
      </c>
      <c r="M468" s="7" t="str">
        <f aca="false">IFERROR(LEFT(J468,FIND(",",J468)-1),J468)</f>
        <v>Crime TV Shows</v>
      </c>
      <c r="N468" s="7" t="str">
        <f aca="false">IF(B468="Movie",IFERROR(VALUE(LEFT(I468,FIND(" ",I468)-1)),""),"")</f>
        <v/>
      </c>
      <c r="O468" s="7" t="n">
        <f aca="false">IF(B468="TV Show",IFERROR(VALUE(LEFT(I468,FIND(" ",I468)-1)),""),"")</f>
        <v>1</v>
      </c>
      <c r="P468" s="7" t="n">
        <f aca="false">IF(K468="","",K468-G468)</f>
        <v>0</v>
      </c>
    </row>
    <row r="469" customFormat="false" ht="15" hidden="false" customHeight="false" outlineLevel="0" collapsed="false">
      <c r="A469" s="7" t="n">
        <v>80242051</v>
      </c>
      <c r="B469" s="7" t="s">
        <v>78</v>
      </c>
      <c r="C469" s="7" t="s">
        <v>1262</v>
      </c>
      <c r="F469" s="7" t="s">
        <v>1259</v>
      </c>
      <c r="G469" s="7" t="n">
        <v>2019</v>
      </c>
      <c r="H469" s="7" t="s">
        <v>48</v>
      </c>
      <c r="I469" s="7" t="s">
        <v>82</v>
      </c>
      <c r="J469" s="7" t="s">
        <v>402</v>
      </c>
      <c r="K469" s="7" t="n">
        <f aca="false">IFERROR(VALUE(RIGHT(TRIM(F469),4)),"")</f>
        <v>2019</v>
      </c>
      <c r="L469" s="7" t="str">
        <f aca="false">IF(TRIM(E469)="","Unknown",IFERROR(LEFT(TRIM(E469),FIND(",",TRIM(E469))-1),TRIM(E469)))</f>
        <v>Unknown</v>
      </c>
      <c r="M469" s="7" t="str">
        <f aca="false">IFERROR(LEFT(J469,FIND(",",J469)-1),J469)</f>
        <v>Crime TV Shows</v>
      </c>
      <c r="N469" s="7" t="str">
        <f aca="false">IF(B469="Movie",IFERROR(VALUE(LEFT(I469,FIND(" ",I469)-1)),""),"")</f>
        <v/>
      </c>
      <c r="O469" s="7" t="n">
        <f aca="false">IF(B469="TV Show",IFERROR(VALUE(LEFT(I469,FIND(" ",I469)-1)),""),"")</f>
        <v>1</v>
      </c>
      <c r="P469" s="7" t="n">
        <f aca="false">IF(K469="","",K469-G469)</f>
        <v>0</v>
      </c>
    </row>
    <row r="470" customFormat="false" ht="15" hidden="false" customHeight="false" outlineLevel="0" collapsed="false">
      <c r="A470" s="7" t="n">
        <v>80199806</v>
      </c>
      <c r="B470" s="7" t="s">
        <v>68</v>
      </c>
      <c r="C470" s="7" t="s">
        <v>1263</v>
      </c>
      <c r="D470" s="7" t="s">
        <v>1264</v>
      </c>
      <c r="E470" s="7" t="s">
        <v>1265</v>
      </c>
      <c r="F470" s="7" t="s">
        <v>1266</v>
      </c>
      <c r="G470" s="7" t="n">
        <v>2018</v>
      </c>
      <c r="H470" s="7" t="s">
        <v>48</v>
      </c>
      <c r="I470" s="7" t="s">
        <v>235</v>
      </c>
      <c r="J470" s="7" t="s">
        <v>182</v>
      </c>
      <c r="K470" s="7" t="n">
        <f aca="false">IFERROR(VALUE(RIGHT(TRIM(F470),4)),"")</f>
        <v>2018</v>
      </c>
      <c r="L470" s="7" t="str">
        <f aca="false">IF(TRIM(E470)="","Unknown",IFERROR(LEFT(TRIM(E470),FIND(",",TRIM(E470))-1),TRIM(E470)))</f>
        <v>Spain</v>
      </c>
      <c r="M470" s="7" t="str">
        <f aca="false">IFERROR(LEFT(J470,FIND(",",J470)-1),J470)</f>
        <v>Dramas</v>
      </c>
      <c r="N470" s="7" t="n">
        <f aca="false">IF(B470="Movie",IFERROR(VALUE(LEFT(I470,FIND(" ",I470)-1)),""),"")</f>
        <v>126</v>
      </c>
      <c r="O470" s="7" t="str">
        <f aca="false">IF(B470="TV Show",IFERROR(VALUE(LEFT(I470,FIND(" ",I470)-1)),""),"")</f>
        <v/>
      </c>
      <c r="P470" s="7" t="n">
        <f aca="false">IF(K470="","",K470-G470)</f>
        <v>0</v>
      </c>
    </row>
    <row r="471" customFormat="false" ht="15" hidden="false" customHeight="false" outlineLevel="0" collapsed="false">
      <c r="A471" s="7" t="n">
        <v>80084834</v>
      </c>
      <c r="B471" s="7" t="s">
        <v>68</v>
      </c>
      <c r="C471" s="7" t="s">
        <v>1267</v>
      </c>
      <c r="D471" s="7" t="s">
        <v>1268</v>
      </c>
      <c r="E471" s="7" t="s">
        <v>1269</v>
      </c>
      <c r="F471" s="7" t="s">
        <v>1266</v>
      </c>
      <c r="G471" s="7" t="n">
        <v>2015</v>
      </c>
      <c r="H471" s="7" t="s">
        <v>51</v>
      </c>
      <c r="I471" s="7" t="s">
        <v>1270</v>
      </c>
      <c r="J471" s="7" t="s">
        <v>304</v>
      </c>
      <c r="K471" s="7" t="n">
        <f aca="false">IFERROR(VALUE(RIGHT(TRIM(F471),4)),"")</f>
        <v>2018</v>
      </c>
      <c r="L471" s="7" t="str">
        <f aca="false">IF(TRIM(E471)="","Unknown",IFERROR(LEFT(TRIM(E471),FIND(",",TRIM(E471))-1),TRIM(E471)))</f>
        <v>Philippines</v>
      </c>
      <c r="M471" s="7" t="str">
        <f aca="false">IFERROR(LEFT(J471,FIND(",",J471)-1),J471)</f>
        <v>Dramas</v>
      </c>
      <c r="N471" s="7" t="n">
        <f aca="false">IF(B471="Movie",IFERROR(VALUE(LEFT(I471,FIND(" ",I471)-1)),""),"")</f>
        <v>118</v>
      </c>
      <c r="O471" s="7" t="str">
        <f aca="false">IF(B471="TV Show",IFERROR(VALUE(LEFT(I471,FIND(" ",I471)-1)),""),"")</f>
        <v/>
      </c>
      <c r="P471" s="7" t="n">
        <f aca="false">IF(K471="","",K471-G471)</f>
        <v>3</v>
      </c>
    </row>
    <row r="472" customFormat="false" ht="15" hidden="false" customHeight="false" outlineLevel="0" collapsed="false">
      <c r="A472" s="7" t="n">
        <v>80208273</v>
      </c>
      <c r="B472" s="7" t="s">
        <v>68</v>
      </c>
      <c r="C472" s="7" t="s">
        <v>1271</v>
      </c>
      <c r="D472" s="7" t="s">
        <v>1272</v>
      </c>
      <c r="E472" s="7" t="s">
        <v>26</v>
      </c>
      <c r="F472" s="7" t="s">
        <v>1273</v>
      </c>
      <c r="G472" s="7" t="n">
        <v>2017</v>
      </c>
      <c r="H472" s="7" t="s">
        <v>48</v>
      </c>
      <c r="I472" s="7" t="s">
        <v>613</v>
      </c>
      <c r="J472" s="7" t="s">
        <v>45</v>
      </c>
      <c r="K472" s="7" t="n">
        <f aca="false">IFERROR(VALUE(RIGHT(TRIM(F472),4)),"")</f>
        <v>2017</v>
      </c>
      <c r="L472" s="7" t="str">
        <f aca="false">IF(TRIM(E472)="","Unknown",IFERROR(LEFT(TRIM(E472),FIND(",",TRIM(E472))-1),TRIM(E472)))</f>
        <v>United States</v>
      </c>
      <c r="M472" s="7" t="str">
        <f aca="false">IFERROR(LEFT(J472,FIND(",",J472)-1),J472)</f>
        <v>Stand-Up Comedy</v>
      </c>
      <c r="N472" s="7" t="n">
        <f aca="false">IF(B472="Movie",IFERROR(VALUE(LEFT(I472,FIND(" ",I472)-1)),""),"")</f>
        <v>84</v>
      </c>
      <c r="O472" s="7" t="str">
        <f aca="false">IF(B472="TV Show",IFERROR(VALUE(LEFT(I472,FIND(" ",I472)-1)),""),"")</f>
        <v/>
      </c>
      <c r="P472" s="7" t="n">
        <f aca="false">IF(K472="","",K472-G472)</f>
        <v>0</v>
      </c>
    </row>
    <row r="473" customFormat="false" ht="15" hidden="false" customHeight="false" outlineLevel="0" collapsed="false">
      <c r="A473" s="7" t="n">
        <v>80145699</v>
      </c>
      <c r="B473" s="7" t="s">
        <v>68</v>
      </c>
      <c r="C473" s="7" t="s">
        <v>1274</v>
      </c>
      <c r="D473" s="7" t="s">
        <v>1275</v>
      </c>
      <c r="E473" s="7" t="s">
        <v>26</v>
      </c>
      <c r="F473" s="7" t="s">
        <v>1273</v>
      </c>
      <c r="G473" s="7" t="n">
        <v>2016</v>
      </c>
      <c r="H473" s="7" t="s">
        <v>48</v>
      </c>
      <c r="I473" s="7" t="s">
        <v>661</v>
      </c>
      <c r="J473" s="7" t="s">
        <v>39</v>
      </c>
      <c r="K473" s="7" t="n">
        <f aca="false">IFERROR(VALUE(RIGHT(TRIM(F473),4)),"")</f>
        <v>2017</v>
      </c>
      <c r="L473" s="7" t="str">
        <f aca="false">IF(TRIM(E473)="","Unknown",IFERROR(LEFT(TRIM(E473),FIND(",",TRIM(E473))-1),TRIM(E473)))</f>
        <v>United States</v>
      </c>
      <c r="M473" s="7" t="str">
        <f aca="false">IFERROR(LEFT(J473,FIND(",",J473)-1),J473)</f>
        <v>Documentaries</v>
      </c>
      <c r="N473" s="7" t="n">
        <f aca="false">IF(B473="Movie",IFERROR(VALUE(LEFT(I473,FIND(" ",I473)-1)),""),"")</f>
        <v>76</v>
      </c>
      <c r="O473" s="7" t="str">
        <f aca="false">IF(B473="TV Show",IFERROR(VALUE(LEFT(I473,FIND(" ",I473)-1)),""),"")</f>
        <v/>
      </c>
      <c r="P473" s="7" t="n">
        <f aca="false">IF(K473="","",K473-G473)</f>
        <v>1</v>
      </c>
    </row>
    <row r="474" customFormat="false" ht="15" hidden="false" customHeight="false" outlineLevel="0" collapsed="false">
      <c r="A474" s="7" t="n">
        <v>80204927</v>
      </c>
      <c r="B474" s="7" t="s">
        <v>78</v>
      </c>
      <c r="C474" s="7" t="s">
        <v>1276</v>
      </c>
      <c r="E474" s="7" t="s">
        <v>35</v>
      </c>
      <c r="F474" s="7" t="s">
        <v>1273</v>
      </c>
      <c r="G474" s="7" t="n">
        <v>2016</v>
      </c>
      <c r="H474" s="7" t="s">
        <v>49</v>
      </c>
      <c r="I474" s="7" t="s">
        <v>82</v>
      </c>
      <c r="J474" s="7" t="s">
        <v>884</v>
      </c>
      <c r="K474" s="7" t="n">
        <f aca="false">IFERROR(VALUE(RIGHT(TRIM(F474),4)),"")</f>
        <v>2017</v>
      </c>
      <c r="L474" s="7" t="str">
        <f aca="false">IF(TRIM(E474)="","Unknown",IFERROR(LEFT(TRIM(E474),FIND(",",TRIM(E474))-1),TRIM(E474)))</f>
        <v>Australia</v>
      </c>
      <c r="M474" s="7" t="str">
        <f aca="false">IFERROR(LEFT(J474,FIND(",",J474)-1),J474)</f>
        <v>International TV Shows</v>
      </c>
      <c r="N474" s="7" t="str">
        <f aca="false">IF(B474="Movie",IFERROR(VALUE(LEFT(I474,FIND(" ",I474)-1)),""),"")</f>
        <v/>
      </c>
      <c r="O474" s="7" t="n">
        <f aca="false">IF(B474="TV Show",IFERROR(VALUE(LEFT(I474,FIND(" ",I474)-1)),""),"")</f>
        <v>1</v>
      </c>
      <c r="P474" s="7" t="n">
        <f aca="false">IF(K474="","",K474-G474)</f>
        <v>1</v>
      </c>
    </row>
    <row r="475" customFormat="false" ht="15" hidden="false" customHeight="false" outlineLevel="0" collapsed="false">
      <c r="A475" s="7" t="n">
        <v>70266684</v>
      </c>
      <c r="B475" s="7" t="s">
        <v>68</v>
      </c>
      <c r="C475" s="7" t="s">
        <v>1277</v>
      </c>
      <c r="D475" s="7" t="s">
        <v>1278</v>
      </c>
      <c r="E475" s="7" t="s">
        <v>26</v>
      </c>
      <c r="F475" s="7" t="s">
        <v>1279</v>
      </c>
      <c r="G475" s="7" t="n">
        <v>2013</v>
      </c>
      <c r="H475" s="7" t="s">
        <v>53</v>
      </c>
      <c r="I475" s="7" t="s">
        <v>340</v>
      </c>
      <c r="J475" s="7" t="s">
        <v>265</v>
      </c>
      <c r="K475" s="7" t="n">
        <f aca="false">IFERROR(VALUE(RIGHT(TRIM(F475),4)),"")</f>
        <v>2015</v>
      </c>
      <c r="L475" s="7" t="str">
        <f aca="false">IF(TRIM(E475)="","Unknown",IFERROR(LEFT(TRIM(E475),FIND(",",TRIM(E475))-1),TRIM(E475)))</f>
        <v>United States</v>
      </c>
      <c r="M475" s="7" t="str">
        <f aca="false">IFERROR(LEFT(J475,FIND(",",J475)-1),J475)</f>
        <v>Horror Movies</v>
      </c>
      <c r="N475" s="7" t="n">
        <f aca="false">IF(B475="Movie",IFERROR(VALUE(LEFT(I475,FIND(" ",I475)-1)),""),"")</f>
        <v>85</v>
      </c>
      <c r="O475" s="7" t="str">
        <f aca="false">IF(B475="TV Show",IFERROR(VALUE(LEFT(I475,FIND(" ",I475)-1)),""),"")</f>
        <v/>
      </c>
      <c r="P475" s="7" t="n">
        <f aca="false">IF(K475="","",K475-G475)</f>
        <v>2</v>
      </c>
    </row>
    <row r="476" customFormat="false" ht="15" hidden="false" customHeight="false" outlineLevel="0" collapsed="false">
      <c r="A476" s="7" t="n">
        <v>81166978</v>
      </c>
      <c r="B476" s="7" t="s">
        <v>78</v>
      </c>
      <c r="C476" s="7" t="s">
        <v>1280</v>
      </c>
      <c r="D476" s="7" t="s">
        <v>1281</v>
      </c>
      <c r="E476" s="7" t="s">
        <v>32</v>
      </c>
      <c r="F476" s="7" t="s">
        <v>1282</v>
      </c>
      <c r="G476" s="7" t="n">
        <v>2016</v>
      </c>
      <c r="H476" s="7" t="s">
        <v>49</v>
      </c>
      <c r="I476" s="7" t="s">
        <v>82</v>
      </c>
      <c r="J476" s="7" t="s">
        <v>637</v>
      </c>
      <c r="K476" s="7" t="n">
        <f aca="false">IFERROR(VALUE(RIGHT(TRIM(F476),4)),"")</f>
        <v>2019</v>
      </c>
      <c r="L476" s="7" t="str">
        <f aca="false">IF(TRIM(E476)="","Unknown",IFERROR(LEFT(TRIM(E476),FIND(",",TRIM(E476))-1),TRIM(E476)))</f>
        <v>South Korea</v>
      </c>
      <c r="M476" s="7" t="str">
        <f aca="false">IFERROR(LEFT(J476,FIND(",",J476)-1),J476)</f>
        <v>International TV Shows</v>
      </c>
      <c r="N476" s="7" t="str">
        <f aca="false">IF(B476="Movie",IFERROR(VALUE(LEFT(I476,FIND(" ",I476)-1)),""),"")</f>
        <v/>
      </c>
      <c r="O476" s="7" t="n">
        <f aca="false">IF(B476="TV Show",IFERROR(VALUE(LEFT(I476,FIND(" ",I476)-1)),""),"")</f>
        <v>1</v>
      </c>
      <c r="P476" s="7" t="n">
        <f aca="false">IF(K476="","",K476-G476)</f>
        <v>3</v>
      </c>
    </row>
    <row r="477" customFormat="false" ht="15" hidden="false" customHeight="false" outlineLevel="0" collapsed="false">
      <c r="A477" s="7" t="n">
        <v>81177371</v>
      </c>
      <c r="B477" s="7" t="s">
        <v>68</v>
      </c>
      <c r="C477" s="7" t="s">
        <v>1283</v>
      </c>
      <c r="D477" s="7" t="s">
        <v>1284</v>
      </c>
      <c r="E477" s="7" t="s">
        <v>27</v>
      </c>
      <c r="F477" s="7" t="s">
        <v>1282</v>
      </c>
      <c r="G477" s="7" t="n">
        <v>2019</v>
      </c>
      <c r="H477" s="7" t="s">
        <v>49</v>
      </c>
      <c r="I477" s="7" t="s">
        <v>235</v>
      </c>
      <c r="J477" s="7" t="s">
        <v>240</v>
      </c>
      <c r="K477" s="7" t="n">
        <f aca="false">IFERROR(VALUE(RIGHT(TRIM(F477),4)),"")</f>
        <v>2019</v>
      </c>
      <c r="L477" s="7" t="str">
        <f aca="false">IF(TRIM(E477)="","Unknown",IFERROR(LEFT(TRIM(E477),FIND(",",TRIM(E477))-1),TRIM(E477)))</f>
        <v>India</v>
      </c>
      <c r="M477" s="7" t="str">
        <f aca="false">IFERROR(LEFT(J477,FIND(",",J477)-1),J477)</f>
        <v>Dramas</v>
      </c>
      <c r="N477" s="7" t="n">
        <f aca="false">IF(B477="Movie",IFERROR(VALUE(LEFT(I477,FIND(" ",I477)-1)),""),"")</f>
        <v>126</v>
      </c>
      <c r="O477" s="7" t="str">
        <f aca="false">IF(B477="TV Show",IFERROR(VALUE(LEFT(I477,FIND(" ",I477)-1)),""),"")</f>
        <v/>
      </c>
      <c r="P477" s="7" t="n">
        <f aca="false">IF(K477="","",K477-G477)</f>
        <v>0</v>
      </c>
    </row>
    <row r="478" customFormat="false" ht="15" hidden="false" customHeight="false" outlineLevel="0" collapsed="false">
      <c r="A478" s="7" t="n">
        <v>81167029</v>
      </c>
      <c r="B478" s="7" t="s">
        <v>78</v>
      </c>
      <c r="C478" s="7" t="s">
        <v>1285</v>
      </c>
      <c r="E478" s="7" t="s">
        <v>32</v>
      </c>
      <c r="F478" s="7" t="s">
        <v>1282</v>
      </c>
      <c r="G478" s="7" t="n">
        <v>2017</v>
      </c>
      <c r="H478" s="7" t="s">
        <v>49</v>
      </c>
      <c r="I478" s="7" t="s">
        <v>82</v>
      </c>
      <c r="J478" s="7" t="s">
        <v>637</v>
      </c>
      <c r="K478" s="7" t="n">
        <f aca="false">IFERROR(VALUE(RIGHT(TRIM(F478),4)),"")</f>
        <v>2019</v>
      </c>
      <c r="L478" s="7" t="str">
        <f aca="false">IF(TRIM(E478)="","Unknown",IFERROR(LEFT(TRIM(E478),FIND(",",TRIM(E478))-1),TRIM(E478)))</f>
        <v>South Korea</v>
      </c>
      <c r="M478" s="7" t="str">
        <f aca="false">IFERROR(LEFT(J478,FIND(",",J478)-1),J478)</f>
        <v>International TV Shows</v>
      </c>
      <c r="N478" s="7" t="str">
        <f aca="false">IF(B478="Movie",IFERROR(VALUE(LEFT(I478,FIND(" ",I478)-1)),""),"")</f>
        <v/>
      </c>
      <c r="O478" s="7" t="n">
        <f aca="false">IF(B478="TV Show",IFERROR(VALUE(LEFT(I478,FIND(" ",I478)-1)),""),"")</f>
        <v>1</v>
      </c>
      <c r="P478" s="7" t="n">
        <f aca="false">IF(K478="","",K478-G478)</f>
        <v>2</v>
      </c>
    </row>
    <row r="479" customFormat="false" ht="15" hidden="false" customHeight="false" outlineLevel="0" collapsed="false">
      <c r="A479" s="7" t="n">
        <v>81142594</v>
      </c>
      <c r="B479" s="7" t="s">
        <v>78</v>
      </c>
      <c r="C479" s="7" t="s">
        <v>1286</v>
      </c>
      <c r="F479" s="7" t="s">
        <v>1282</v>
      </c>
      <c r="G479" s="7" t="n">
        <v>2019</v>
      </c>
      <c r="H479" s="7" t="s">
        <v>48</v>
      </c>
      <c r="I479" s="7" t="s">
        <v>82</v>
      </c>
      <c r="J479" s="7" t="s">
        <v>402</v>
      </c>
      <c r="K479" s="7" t="n">
        <f aca="false">IFERROR(VALUE(RIGHT(TRIM(F479),4)),"")</f>
        <v>2019</v>
      </c>
      <c r="L479" s="7" t="str">
        <f aca="false">IF(TRIM(E479)="","Unknown",IFERROR(LEFT(TRIM(E479),FIND(",",TRIM(E479))-1),TRIM(E479)))</f>
        <v>Unknown</v>
      </c>
      <c r="M479" s="7" t="str">
        <f aca="false">IFERROR(LEFT(J479,FIND(",",J479)-1),J479)</f>
        <v>Crime TV Shows</v>
      </c>
      <c r="N479" s="7" t="str">
        <f aca="false">IF(B479="Movie",IFERROR(VALUE(LEFT(I479,FIND(" ",I479)-1)),""),"")</f>
        <v/>
      </c>
      <c r="O479" s="7" t="n">
        <f aca="false">IF(B479="TV Show",IFERROR(VALUE(LEFT(I479,FIND(" ",I479)-1)),""),"")</f>
        <v>1</v>
      </c>
      <c r="P479" s="7" t="n">
        <f aca="false">IF(K479="","",K479-G479)</f>
        <v>0</v>
      </c>
    </row>
    <row r="480" customFormat="false" ht="15" hidden="false" customHeight="false" outlineLevel="0" collapsed="false">
      <c r="A480" s="7" t="n">
        <v>70067230</v>
      </c>
      <c r="B480" s="7" t="s">
        <v>68</v>
      </c>
      <c r="C480" s="7" t="s">
        <v>1287</v>
      </c>
      <c r="D480" s="7" t="s">
        <v>988</v>
      </c>
      <c r="E480" s="7" t="s">
        <v>27</v>
      </c>
      <c r="F480" s="7" t="s">
        <v>1288</v>
      </c>
      <c r="G480" s="7" t="n">
        <v>2005</v>
      </c>
      <c r="H480" s="7" t="s">
        <v>50</v>
      </c>
      <c r="I480" s="7" t="s">
        <v>237</v>
      </c>
      <c r="J480" s="7" t="s">
        <v>188</v>
      </c>
      <c r="K480" s="7" t="n">
        <f aca="false">IFERROR(VALUE(RIGHT(TRIM(F480),4)),"")</f>
        <v>2018</v>
      </c>
      <c r="L480" s="7" t="str">
        <f aca="false">IF(TRIM(E480)="","Unknown",IFERROR(LEFT(TRIM(E480),FIND(",",TRIM(E480))-1),TRIM(E480)))</f>
        <v>India</v>
      </c>
      <c r="M480" s="7" t="str">
        <f aca="false">IFERROR(LEFT(J480,FIND(",",J480)-1),J480)</f>
        <v>Dramas</v>
      </c>
      <c r="N480" s="7" t="n">
        <f aca="false">IF(B480="Movie",IFERROR(VALUE(LEFT(I480,FIND(" ",I480)-1)),""),"")</f>
        <v>116</v>
      </c>
      <c r="O480" s="7" t="str">
        <f aca="false">IF(B480="TV Show",IFERROR(VALUE(LEFT(I480,FIND(" ",I480)-1)),""),"")</f>
        <v/>
      </c>
      <c r="P480" s="7" t="n">
        <f aca="false">IF(K480="","",K480-G480)</f>
        <v>13</v>
      </c>
    </row>
    <row r="481" customFormat="false" ht="15" hidden="false" customHeight="false" outlineLevel="0" collapsed="false">
      <c r="A481" s="7" t="n">
        <v>80207446</v>
      </c>
      <c r="B481" s="7" t="s">
        <v>68</v>
      </c>
      <c r="C481" s="7" t="s">
        <v>1289</v>
      </c>
      <c r="D481" s="7" t="s">
        <v>1290</v>
      </c>
      <c r="E481" s="7" t="s">
        <v>27</v>
      </c>
      <c r="F481" s="7" t="s">
        <v>1288</v>
      </c>
      <c r="G481" s="7" t="n">
        <v>2016</v>
      </c>
      <c r="H481" s="7" t="s">
        <v>49</v>
      </c>
      <c r="I481" s="7" t="s">
        <v>232</v>
      </c>
      <c r="J481" s="7" t="s">
        <v>304</v>
      </c>
      <c r="K481" s="7" t="n">
        <f aca="false">IFERROR(VALUE(RIGHT(TRIM(F481),4)),"")</f>
        <v>2018</v>
      </c>
      <c r="L481" s="7" t="str">
        <f aca="false">IF(TRIM(E481)="","Unknown",IFERROR(LEFT(TRIM(E481),FIND(",",TRIM(E481))-1),TRIM(E481)))</f>
        <v>India</v>
      </c>
      <c r="M481" s="7" t="str">
        <f aca="false">IFERROR(LEFT(J481,FIND(",",J481)-1),J481)</f>
        <v>Dramas</v>
      </c>
      <c r="N481" s="7" t="n">
        <f aca="false">IF(B481="Movie",IFERROR(VALUE(LEFT(I481,FIND(" ",I481)-1)),""),"")</f>
        <v>122</v>
      </c>
      <c r="O481" s="7" t="str">
        <f aca="false">IF(B481="TV Show",IFERROR(VALUE(LEFT(I481,FIND(" ",I481)-1)),""),"")</f>
        <v/>
      </c>
      <c r="P481" s="7" t="n">
        <f aca="false">IF(K481="","",K481-G481)</f>
        <v>2</v>
      </c>
    </row>
    <row r="482" customFormat="false" ht="15" hidden="false" customHeight="false" outlineLevel="0" collapsed="false">
      <c r="A482" s="7" t="n">
        <v>80207447</v>
      </c>
      <c r="B482" s="7" t="s">
        <v>68</v>
      </c>
      <c r="C482" s="7" t="s">
        <v>1291</v>
      </c>
      <c r="D482" s="7" t="s">
        <v>1292</v>
      </c>
      <c r="E482" s="7" t="s">
        <v>27</v>
      </c>
      <c r="F482" s="7" t="s">
        <v>1288</v>
      </c>
      <c r="G482" s="7" t="n">
        <v>2014</v>
      </c>
      <c r="H482" s="7" t="s">
        <v>226</v>
      </c>
      <c r="I482" s="7" t="s">
        <v>820</v>
      </c>
      <c r="J482" s="7" t="s">
        <v>188</v>
      </c>
      <c r="K482" s="7" t="n">
        <f aca="false">IFERROR(VALUE(RIGHT(TRIM(F482),4)),"")</f>
        <v>2018</v>
      </c>
      <c r="L482" s="7" t="str">
        <f aca="false">IF(TRIM(E482)="","Unknown",IFERROR(LEFT(TRIM(E482),FIND(",",TRIM(E482))-1),TRIM(E482)))</f>
        <v>India</v>
      </c>
      <c r="M482" s="7" t="str">
        <f aca="false">IFERROR(LEFT(J482,FIND(",",J482)-1),J482)</f>
        <v>Dramas</v>
      </c>
      <c r="N482" s="7" t="n">
        <f aca="false">IF(B482="Movie",IFERROR(VALUE(LEFT(I482,FIND(" ",I482)-1)),""),"")</f>
        <v>105</v>
      </c>
      <c r="O482" s="7" t="str">
        <f aca="false">IF(B482="TV Show",IFERROR(VALUE(LEFT(I482,FIND(" ",I482)-1)),""),"")</f>
        <v/>
      </c>
      <c r="P482" s="7" t="n">
        <f aca="false">IF(K482="","",K482-G482)</f>
        <v>4</v>
      </c>
    </row>
    <row r="483" customFormat="false" ht="15" hidden="false" customHeight="false" outlineLevel="0" collapsed="false">
      <c r="A483" s="7" t="n">
        <v>80987753</v>
      </c>
      <c r="B483" s="7" t="s">
        <v>78</v>
      </c>
      <c r="C483" s="7" t="s">
        <v>1293</v>
      </c>
      <c r="F483" s="7" t="s">
        <v>1288</v>
      </c>
      <c r="G483" s="7" t="n">
        <v>2018</v>
      </c>
      <c r="H483" s="7" t="s">
        <v>48</v>
      </c>
      <c r="I483" s="7" t="s">
        <v>82</v>
      </c>
      <c r="J483" s="7" t="s">
        <v>795</v>
      </c>
      <c r="K483" s="7" t="n">
        <f aca="false">IFERROR(VALUE(RIGHT(TRIM(F483),4)),"")</f>
        <v>2018</v>
      </c>
      <c r="L483" s="7" t="str">
        <f aca="false">IF(TRIM(E483)="","Unknown",IFERROR(LEFT(TRIM(E483),FIND(",",TRIM(E483))-1),TRIM(E483)))</f>
        <v>Unknown</v>
      </c>
      <c r="M483" s="7" t="str">
        <f aca="false">IFERROR(LEFT(J483,FIND(",",J483)-1),J483)</f>
        <v>Stand-Up Comedy &amp; Talk Shows</v>
      </c>
      <c r="N483" s="7" t="str">
        <f aca="false">IF(B483="Movie",IFERROR(VALUE(LEFT(I483,FIND(" ",I483)-1)),""),"")</f>
        <v/>
      </c>
      <c r="O483" s="7" t="n">
        <f aca="false">IF(B483="TV Show",IFERROR(VALUE(LEFT(I483,FIND(" ",I483)-1)),""),"")</f>
        <v>1</v>
      </c>
      <c r="P483" s="7" t="n">
        <f aca="false">IF(K483="","",K483-G483)</f>
        <v>0</v>
      </c>
    </row>
    <row r="484" customFormat="false" ht="15" hidden="false" customHeight="false" outlineLevel="0" collapsed="false">
      <c r="A484" s="7" t="n">
        <v>81016324</v>
      </c>
      <c r="B484" s="7" t="s">
        <v>68</v>
      </c>
      <c r="C484" s="7" t="s">
        <v>1294</v>
      </c>
      <c r="D484" s="7" t="s">
        <v>726</v>
      </c>
      <c r="E484" s="7" t="s">
        <v>362</v>
      </c>
      <c r="F484" s="7" t="s">
        <v>1288</v>
      </c>
      <c r="G484" s="7" t="n">
        <v>2013</v>
      </c>
      <c r="H484" s="7" t="s">
        <v>50</v>
      </c>
      <c r="I484" s="7" t="s">
        <v>73</v>
      </c>
      <c r="J484" s="7" t="s">
        <v>304</v>
      </c>
      <c r="K484" s="7" t="n">
        <f aca="false">IFERROR(VALUE(RIGHT(TRIM(F484),4)),"")</f>
        <v>2018</v>
      </c>
      <c r="L484" s="7" t="str">
        <f aca="false">IF(TRIM(E484)="","Unknown",IFERROR(LEFT(TRIM(E484),FIND(",",TRIM(E484))-1),TRIM(E484)))</f>
        <v>Indonesia</v>
      </c>
      <c r="M484" s="7" t="str">
        <f aca="false">IFERROR(LEFT(J484,FIND(",",J484)-1),J484)</f>
        <v>Dramas</v>
      </c>
      <c r="N484" s="7" t="n">
        <f aca="false">IF(B484="Movie",IFERROR(VALUE(LEFT(I484,FIND(" ",I484)-1)),""),"")</f>
        <v>90</v>
      </c>
      <c r="O484" s="7" t="str">
        <f aca="false">IF(B484="TV Show",IFERROR(VALUE(LEFT(I484,FIND(" ",I484)-1)),""),"")</f>
        <v/>
      </c>
      <c r="P484" s="7" t="n">
        <f aca="false">IF(K484="","",K484-G484)</f>
        <v>5</v>
      </c>
    </row>
    <row r="485" customFormat="false" ht="15" hidden="false" customHeight="false" outlineLevel="0" collapsed="false">
      <c r="A485" s="7" t="n">
        <v>80192097</v>
      </c>
      <c r="B485" s="7" t="s">
        <v>68</v>
      </c>
      <c r="C485" s="7" t="s">
        <v>1295</v>
      </c>
      <c r="D485" s="7" t="s">
        <v>1296</v>
      </c>
      <c r="E485" s="7" t="s">
        <v>26</v>
      </c>
      <c r="F485" s="7" t="s">
        <v>1297</v>
      </c>
      <c r="G485" s="7" t="n">
        <v>2017</v>
      </c>
      <c r="H485" s="7" t="s">
        <v>52</v>
      </c>
      <c r="I485" s="7" t="s">
        <v>421</v>
      </c>
      <c r="J485" s="7" t="s">
        <v>1298</v>
      </c>
      <c r="K485" s="7" t="n">
        <f aca="false">IFERROR(VALUE(RIGHT(TRIM(F485),4)),"")</f>
        <v>2017</v>
      </c>
      <c r="L485" s="7" t="str">
        <f aca="false">IF(TRIM(E485)="","Unknown",IFERROR(LEFT(TRIM(E485),FIND(",",TRIM(E485))-1),TRIM(E485)))</f>
        <v>United States</v>
      </c>
      <c r="M485" s="7" t="str">
        <f aca="false">IFERROR(LEFT(J485,FIND(",",J485)-1),J485)</f>
        <v>Dramas</v>
      </c>
      <c r="N485" s="7" t="n">
        <f aca="false">IF(B485="Movie",IFERROR(VALUE(LEFT(I485,FIND(" ",I485)-1)),""),"")</f>
        <v>75</v>
      </c>
      <c r="O485" s="7" t="str">
        <f aca="false">IF(B485="TV Show",IFERROR(VALUE(LEFT(I485,FIND(" ",I485)-1)),""),"")</f>
        <v/>
      </c>
      <c r="P485" s="7" t="n">
        <f aca="false">IF(K485="","",K485-G485)</f>
        <v>0</v>
      </c>
    </row>
    <row r="486" customFormat="false" ht="15" hidden="false" customHeight="false" outlineLevel="0" collapsed="false">
      <c r="A486" s="7" t="n">
        <v>70185045</v>
      </c>
      <c r="B486" s="7" t="s">
        <v>68</v>
      </c>
      <c r="C486" s="7" t="s">
        <v>1299</v>
      </c>
      <c r="D486" s="7" t="s">
        <v>1300</v>
      </c>
      <c r="E486" s="7" t="s">
        <v>26</v>
      </c>
      <c r="F486" s="7" t="s">
        <v>1301</v>
      </c>
      <c r="G486" s="7" t="n">
        <v>2011</v>
      </c>
      <c r="H486" s="7" t="s">
        <v>54</v>
      </c>
      <c r="I486" s="7" t="s">
        <v>138</v>
      </c>
      <c r="J486" s="7" t="s">
        <v>39</v>
      </c>
      <c r="K486" s="7" t="n">
        <f aca="false">IFERROR(VALUE(RIGHT(TRIM(F486),4)),"")</f>
        <v>2019</v>
      </c>
      <c r="L486" s="7" t="str">
        <f aca="false">IF(TRIM(E486)="","Unknown",IFERROR(LEFT(TRIM(E486),FIND(",",TRIM(E486))-1),TRIM(E486)))</f>
        <v>United States</v>
      </c>
      <c r="M486" s="7" t="str">
        <f aca="false">IFERROR(LEFT(J486,FIND(",",J486)-1),J486)</f>
        <v>Documentaries</v>
      </c>
      <c r="N486" s="7" t="n">
        <f aca="false">IF(B486="Movie",IFERROR(VALUE(LEFT(I486,FIND(" ",I486)-1)),""),"")</f>
        <v>96</v>
      </c>
      <c r="O486" s="7" t="str">
        <f aca="false">IF(B486="TV Show",IFERROR(VALUE(LEFT(I486,FIND(" ",I486)-1)),""),"")</f>
        <v/>
      </c>
      <c r="P486" s="7" t="n">
        <f aca="false">IF(K486="","",K486-G486)</f>
        <v>8</v>
      </c>
    </row>
    <row r="487" customFormat="false" ht="15" hidden="false" customHeight="false" outlineLevel="0" collapsed="false">
      <c r="A487" s="7" t="n">
        <v>80217066</v>
      </c>
      <c r="B487" s="7" t="s">
        <v>78</v>
      </c>
      <c r="C487" s="7" t="s">
        <v>1302</v>
      </c>
      <c r="E487" s="7" t="s">
        <v>26</v>
      </c>
      <c r="F487" s="7" t="s">
        <v>1301</v>
      </c>
      <c r="G487" s="7" t="n">
        <v>2019</v>
      </c>
      <c r="H487" s="7" t="s">
        <v>48</v>
      </c>
      <c r="I487" s="7" t="s">
        <v>82</v>
      </c>
      <c r="J487" s="7" t="s">
        <v>1303</v>
      </c>
      <c r="K487" s="7" t="n">
        <f aca="false">IFERROR(VALUE(RIGHT(TRIM(F487),4)),"")</f>
        <v>2019</v>
      </c>
      <c r="L487" s="7" t="str">
        <f aca="false">IF(TRIM(E487)="","Unknown",IFERROR(LEFT(TRIM(E487),FIND(",",TRIM(E487))-1),TRIM(E487)))</f>
        <v>United States</v>
      </c>
      <c r="M487" s="7" t="str">
        <f aca="false">IFERROR(LEFT(J487,FIND(",",J487)-1),J487)</f>
        <v>Anime Series</v>
      </c>
      <c r="N487" s="7" t="str">
        <f aca="false">IF(B487="Movie",IFERROR(VALUE(LEFT(I487,FIND(" ",I487)-1)),""),"")</f>
        <v/>
      </c>
      <c r="O487" s="7" t="n">
        <f aca="false">IF(B487="TV Show",IFERROR(VALUE(LEFT(I487,FIND(" ",I487)-1)),""),"")</f>
        <v>1</v>
      </c>
      <c r="P487" s="7" t="n">
        <f aca="false">IF(K487="","",K487-G487)</f>
        <v>0</v>
      </c>
    </row>
    <row r="488" customFormat="false" ht="15" hidden="false" customHeight="false" outlineLevel="0" collapsed="false">
      <c r="A488" s="7" t="n">
        <v>70002129</v>
      </c>
      <c r="B488" s="7" t="s">
        <v>68</v>
      </c>
      <c r="C488" s="7" t="s">
        <v>1304</v>
      </c>
      <c r="D488" s="7" t="s">
        <v>1305</v>
      </c>
      <c r="E488" s="7" t="s">
        <v>26</v>
      </c>
      <c r="F488" s="7" t="s">
        <v>1306</v>
      </c>
      <c r="G488" s="7" t="n">
        <v>1978</v>
      </c>
      <c r="H488" s="7" t="s">
        <v>226</v>
      </c>
      <c r="I488" s="7" t="s">
        <v>843</v>
      </c>
      <c r="J488" s="7" t="s">
        <v>42</v>
      </c>
      <c r="K488" s="7" t="n">
        <f aca="false">IFERROR(VALUE(RIGHT(TRIM(F488),4)),"")</f>
        <v>2018</v>
      </c>
      <c r="L488" s="7" t="str">
        <f aca="false">IF(TRIM(E488)="","Unknown",IFERROR(LEFT(TRIM(E488),FIND(",",TRIM(E488))-1),TRIM(E488)))</f>
        <v>United States</v>
      </c>
      <c r="M488" s="7" t="str">
        <f aca="false">IFERROR(LEFT(J488,FIND(",",J488)-1),J488)</f>
        <v>Children &amp; Family Movies</v>
      </c>
      <c r="N488" s="7" t="n">
        <f aca="false">IF(B488="Movie",IFERROR(VALUE(LEFT(I488,FIND(" ",I488)-1)),""),"")</f>
        <v>25</v>
      </c>
      <c r="O488" s="7" t="str">
        <f aca="false">IF(B488="TV Show",IFERROR(VALUE(LEFT(I488,FIND(" ",I488)-1)),""),"")</f>
        <v/>
      </c>
      <c r="P488" s="7" t="n">
        <f aca="false">IF(K488="","",K488-G488)</f>
        <v>40</v>
      </c>
    </row>
    <row r="489" customFormat="false" ht="15" hidden="false" customHeight="false" outlineLevel="0" collapsed="false">
      <c r="A489" s="7" t="n">
        <v>80191963</v>
      </c>
      <c r="B489" s="7" t="s">
        <v>68</v>
      </c>
      <c r="C489" s="7" t="s">
        <v>1307</v>
      </c>
      <c r="D489" s="7" t="s">
        <v>1308</v>
      </c>
      <c r="E489" s="7" t="s">
        <v>1309</v>
      </c>
      <c r="F489" s="7" t="s">
        <v>1306</v>
      </c>
      <c r="G489" s="7" t="n">
        <v>2017</v>
      </c>
      <c r="H489" s="7" t="s">
        <v>52</v>
      </c>
      <c r="I489" s="7" t="s">
        <v>505</v>
      </c>
      <c r="J489" s="7" t="s">
        <v>304</v>
      </c>
      <c r="K489" s="7" t="n">
        <f aca="false">IFERROR(VALUE(RIGHT(TRIM(F489),4)),"")</f>
        <v>2018</v>
      </c>
      <c r="L489" s="7" t="str">
        <f aca="false">IF(TRIM(E489)="","Unknown",IFERROR(LEFT(TRIM(E489),FIND(",",TRIM(E489))-1),TRIM(E489)))</f>
        <v>United Kingdom</v>
      </c>
      <c r="M489" s="7" t="str">
        <f aca="false">IFERROR(LEFT(J489,FIND(",",J489)-1),J489)</f>
        <v>Dramas</v>
      </c>
      <c r="N489" s="7" t="n">
        <f aca="false">IF(B489="Movie",IFERROR(VALUE(LEFT(I489,FIND(" ",I489)-1)),""),"")</f>
        <v>121</v>
      </c>
      <c r="O489" s="7" t="str">
        <f aca="false">IF(B489="TV Show",IFERROR(VALUE(LEFT(I489,FIND(" ",I489)-1)),""),"")</f>
        <v/>
      </c>
      <c r="P489" s="7" t="n">
        <f aca="false">IF(K489="","",K489-G489)</f>
        <v>1</v>
      </c>
    </row>
    <row r="490" customFormat="false" ht="15" hidden="false" customHeight="false" outlineLevel="0" collapsed="false">
      <c r="A490" s="7" t="n">
        <v>80218099</v>
      </c>
      <c r="B490" s="7" t="s">
        <v>68</v>
      </c>
      <c r="C490" s="7" t="s">
        <v>1310</v>
      </c>
      <c r="D490" s="7" t="s">
        <v>1311</v>
      </c>
      <c r="E490" s="7" t="s">
        <v>26</v>
      </c>
      <c r="F490" s="7" t="s">
        <v>1306</v>
      </c>
      <c r="G490" s="7" t="n">
        <v>2017</v>
      </c>
      <c r="H490" s="7" t="s">
        <v>48</v>
      </c>
      <c r="I490" s="7" t="s">
        <v>264</v>
      </c>
      <c r="J490" s="7" t="s">
        <v>265</v>
      </c>
      <c r="K490" s="7" t="n">
        <f aca="false">IFERROR(VALUE(RIGHT(TRIM(F490),4)),"")</f>
        <v>2018</v>
      </c>
      <c r="L490" s="7" t="str">
        <f aca="false">IF(TRIM(E490)="","Unknown",IFERROR(LEFT(TRIM(E490),FIND(",",TRIM(E490))-1),TRIM(E490)))</f>
        <v>United States</v>
      </c>
      <c r="M490" s="7" t="str">
        <f aca="false">IFERROR(LEFT(J490,FIND(",",J490)-1),J490)</f>
        <v>Horror Movies</v>
      </c>
      <c r="N490" s="7" t="n">
        <f aca="false">IF(B490="Movie",IFERROR(VALUE(LEFT(I490,FIND(" ",I490)-1)),""),"")</f>
        <v>88</v>
      </c>
      <c r="O490" s="7" t="str">
        <f aca="false">IF(B490="TV Show",IFERROR(VALUE(LEFT(I490,FIND(" ",I490)-1)),""),"")</f>
        <v/>
      </c>
      <c r="P490" s="7" t="n">
        <f aca="false">IF(K490="","",K490-G490)</f>
        <v>1</v>
      </c>
    </row>
    <row r="491" customFormat="false" ht="15" hidden="false" customHeight="false" outlineLevel="0" collapsed="false">
      <c r="A491" s="7" t="n">
        <v>80199767</v>
      </c>
      <c r="B491" s="7" t="s">
        <v>68</v>
      </c>
      <c r="C491" s="7" t="s">
        <v>1312</v>
      </c>
      <c r="D491" s="7" t="s">
        <v>1313</v>
      </c>
      <c r="E491" s="7" t="s">
        <v>26</v>
      </c>
      <c r="F491" s="7" t="s">
        <v>1314</v>
      </c>
      <c r="G491" s="7" t="n">
        <v>2017</v>
      </c>
      <c r="H491" s="7" t="s">
        <v>51</v>
      </c>
      <c r="I491" s="7" t="s">
        <v>73</v>
      </c>
      <c r="J491" s="7" t="s">
        <v>265</v>
      </c>
      <c r="K491" s="7" t="n">
        <f aca="false">IFERROR(VALUE(RIGHT(TRIM(F491),4)),"")</f>
        <v>2017</v>
      </c>
      <c r="L491" s="7" t="str">
        <f aca="false">IF(TRIM(E491)="","Unknown",IFERROR(LEFT(TRIM(E491),FIND(",",TRIM(E491))-1),TRIM(E491)))</f>
        <v>United States</v>
      </c>
      <c r="M491" s="7" t="str">
        <f aca="false">IFERROR(LEFT(J491,FIND(",",J491)-1),J491)</f>
        <v>Horror Movies</v>
      </c>
      <c r="N491" s="7" t="n">
        <f aca="false">IF(B491="Movie",IFERROR(VALUE(LEFT(I491,FIND(" ",I491)-1)),""),"")</f>
        <v>90</v>
      </c>
      <c r="O491" s="7" t="str">
        <f aca="false">IF(B491="TV Show",IFERROR(VALUE(LEFT(I491,FIND(" ",I491)-1)),""),"")</f>
        <v/>
      </c>
      <c r="P491" s="7" t="n">
        <f aca="false">IF(K491="","",K491-G491)</f>
        <v>0</v>
      </c>
    </row>
    <row r="492" customFormat="false" ht="15" hidden="false" customHeight="false" outlineLevel="0" collapsed="false">
      <c r="A492" s="7" t="n">
        <v>80191665</v>
      </c>
      <c r="B492" s="7" t="s">
        <v>68</v>
      </c>
      <c r="C492" s="7" t="s">
        <v>1315</v>
      </c>
      <c r="D492" s="7" t="s">
        <v>1316</v>
      </c>
      <c r="E492" s="7" t="s">
        <v>26</v>
      </c>
      <c r="F492" s="7" t="s">
        <v>1314</v>
      </c>
      <c r="G492" s="7" t="n">
        <v>2017</v>
      </c>
      <c r="H492" s="7" t="s">
        <v>48</v>
      </c>
      <c r="I492" s="7" t="s">
        <v>1317</v>
      </c>
      <c r="J492" s="7" t="s">
        <v>45</v>
      </c>
      <c r="K492" s="7" t="n">
        <f aca="false">IFERROR(VALUE(RIGHT(TRIM(F492),4)),"")</f>
        <v>2017</v>
      </c>
      <c r="L492" s="7" t="str">
        <f aca="false">IF(TRIM(E492)="","Unknown",IFERROR(LEFT(TRIM(E492),FIND(",",TRIM(E492))-1),TRIM(E492)))</f>
        <v>United States</v>
      </c>
      <c r="M492" s="7" t="str">
        <f aca="false">IFERROR(LEFT(J492,FIND(",",J492)-1),J492)</f>
        <v>Stand-Up Comedy</v>
      </c>
      <c r="N492" s="7" t="n">
        <f aca="false">IF(B492="Movie",IFERROR(VALUE(LEFT(I492,FIND(" ",I492)-1)),""),"")</f>
        <v>66</v>
      </c>
      <c r="O492" s="7" t="str">
        <f aca="false">IF(B492="TV Show",IFERROR(VALUE(LEFT(I492,FIND(" ",I492)-1)),""),"")</f>
        <v/>
      </c>
      <c r="P492" s="7" t="n">
        <f aca="false">IF(K492="","",K492-G492)</f>
        <v>0</v>
      </c>
    </row>
    <row r="493" customFormat="false" ht="15" hidden="false" customHeight="false" outlineLevel="0" collapsed="false">
      <c r="A493" s="7" t="n">
        <v>80161921</v>
      </c>
      <c r="B493" s="7" t="s">
        <v>68</v>
      </c>
      <c r="C493" s="7" t="s">
        <v>1318</v>
      </c>
      <c r="D493" s="7" t="s">
        <v>1319</v>
      </c>
      <c r="E493" s="7" t="s">
        <v>26</v>
      </c>
      <c r="F493" s="7" t="s">
        <v>1314</v>
      </c>
      <c r="G493" s="7" t="n">
        <v>2017</v>
      </c>
      <c r="H493" s="7" t="s">
        <v>51</v>
      </c>
      <c r="I493" s="7" t="s">
        <v>311</v>
      </c>
      <c r="J493" s="7" t="s">
        <v>40</v>
      </c>
      <c r="K493" s="7" t="n">
        <f aca="false">IFERROR(VALUE(RIGHT(TRIM(F493),4)),"")</f>
        <v>2017</v>
      </c>
      <c r="L493" s="7" t="str">
        <f aca="false">IF(TRIM(E493)="","Unknown",IFERROR(LEFT(TRIM(E493),FIND(",",TRIM(E493))-1),TRIM(E493)))</f>
        <v>United States</v>
      </c>
      <c r="M493" s="7" t="str">
        <f aca="false">IFERROR(LEFT(J493,FIND(",",J493)-1),J493)</f>
        <v>Action &amp; Adventure</v>
      </c>
      <c r="N493" s="7" t="n">
        <f aca="false">IF(B493="Movie",IFERROR(VALUE(LEFT(I493,FIND(" ",I493)-1)),""),"")</f>
        <v>92</v>
      </c>
      <c r="O493" s="7" t="str">
        <f aca="false">IF(B493="TV Show",IFERROR(VALUE(LEFT(I493,FIND(" ",I493)-1)),""),"")</f>
        <v/>
      </c>
      <c r="P493" s="7" t="n">
        <f aca="false">IF(K493="","",K493-G493)</f>
        <v>0</v>
      </c>
    </row>
    <row r="494" customFormat="false" ht="15" hidden="false" customHeight="false" outlineLevel="0" collapsed="false">
      <c r="A494" s="7" t="n">
        <v>81148672</v>
      </c>
      <c r="B494" s="7" t="s">
        <v>68</v>
      </c>
      <c r="C494" s="7" t="s">
        <v>1320</v>
      </c>
      <c r="D494" s="7" t="s">
        <v>1321</v>
      </c>
      <c r="E494" s="7" t="s">
        <v>26</v>
      </c>
      <c r="F494" s="7" t="s">
        <v>1322</v>
      </c>
      <c r="G494" s="7" t="n">
        <v>2019</v>
      </c>
      <c r="H494" s="7" t="s">
        <v>48</v>
      </c>
      <c r="I494" s="7" t="s">
        <v>551</v>
      </c>
      <c r="J494" s="7" t="s">
        <v>45</v>
      </c>
      <c r="K494" s="7" t="n">
        <f aca="false">IFERROR(VALUE(RIGHT(TRIM(F494),4)),"")</f>
        <v>2019</v>
      </c>
      <c r="L494" s="7" t="str">
        <f aca="false">IF(TRIM(E494)="","Unknown",IFERROR(LEFT(TRIM(E494),FIND(",",TRIM(E494))-1),TRIM(E494)))</f>
        <v>United States</v>
      </c>
      <c r="M494" s="7" t="str">
        <f aca="false">IFERROR(LEFT(J494,FIND(",",J494)-1),J494)</f>
        <v>Stand-Up Comedy</v>
      </c>
      <c r="N494" s="7" t="n">
        <f aca="false">IF(B494="Movie",IFERROR(VALUE(LEFT(I494,FIND(" ",I494)-1)),""),"")</f>
        <v>63</v>
      </c>
      <c r="O494" s="7" t="str">
        <f aca="false">IF(B494="TV Show",IFERROR(VALUE(LEFT(I494,FIND(" ",I494)-1)),""),"")</f>
        <v/>
      </c>
      <c r="P494" s="7" t="n">
        <f aca="false">IF(K494="","",K494-G494)</f>
        <v>0</v>
      </c>
    </row>
    <row r="495" customFormat="false" ht="15" hidden="false" customHeight="false" outlineLevel="0" collapsed="false">
      <c r="A495" s="7" t="n">
        <v>81169914</v>
      </c>
      <c r="B495" s="7" t="s">
        <v>78</v>
      </c>
      <c r="C495" s="7" t="s">
        <v>1323</v>
      </c>
      <c r="E495" s="7" t="s">
        <v>26</v>
      </c>
      <c r="F495" s="7" t="s">
        <v>1322</v>
      </c>
      <c r="G495" s="7" t="n">
        <v>2018</v>
      </c>
      <c r="H495" s="7" t="s">
        <v>49</v>
      </c>
      <c r="I495" s="7" t="s">
        <v>82</v>
      </c>
      <c r="J495" s="7" t="s">
        <v>164</v>
      </c>
      <c r="K495" s="7" t="n">
        <f aca="false">IFERROR(VALUE(RIGHT(TRIM(F495),4)),"")</f>
        <v>2019</v>
      </c>
      <c r="L495" s="7" t="str">
        <f aca="false">IF(TRIM(E495)="","Unknown",IFERROR(LEFT(TRIM(E495),FIND(",",TRIM(E495))-1),TRIM(E495)))</f>
        <v>United States</v>
      </c>
      <c r="M495" s="7" t="str">
        <f aca="false">IFERROR(LEFT(J495,FIND(",",J495)-1),J495)</f>
        <v>Docuseries</v>
      </c>
      <c r="N495" s="7" t="str">
        <f aca="false">IF(B495="Movie",IFERROR(VALUE(LEFT(I495,FIND(" ",I495)-1)),""),"")</f>
        <v/>
      </c>
      <c r="O495" s="7" t="n">
        <f aca="false">IF(B495="TV Show",IFERROR(VALUE(LEFT(I495,FIND(" ",I495)-1)),""),"")</f>
        <v>1</v>
      </c>
      <c r="P495" s="7" t="n">
        <f aca="false">IF(K495="","",K495-G495)</f>
        <v>1</v>
      </c>
    </row>
    <row r="496" customFormat="false" ht="15" hidden="false" customHeight="false" outlineLevel="0" collapsed="false">
      <c r="A496" s="7" t="n">
        <v>81211714</v>
      </c>
      <c r="B496" s="7" t="s">
        <v>68</v>
      </c>
      <c r="C496" s="7" t="s">
        <v>1324</v>
      </c>
      <c r="E496" s="7" t="s">
        <v>26</v>
      </c>
      <c r="F496" s="7" t="s">
        <v>1322</v>
      </c>
      <c r="G496" s="7" t="n">
        <v>2019</v>
      </c>
      <c r="H496" s="7" t="s">
        <v>49</v>
      </c>
      <c r="I496" s="7" t="s">
        <v>1325</v>
      </c>
      <c r="J496" s="7" t="s">
        <v>341</v>
      </c>
      <c r="K496" s="7" t="n">
        <f aca="false">IFERROR(VALUE(RIGHT(TRIM(F496),4)),"")</f>
        <v>2019</v>
      </c>
      <c r="L496" s="7" t="str">
        <f aca="false">IF(TRIM(E496)="","Unknown",IFERROR(LEFT(TRIM(E496),FIND(",",TRIM(E496))-1),TRIM(E496)))</f>
        <v>United States</v>
      </c>
      <c r="M496" s="7" t="str">
        <f aca="false">IFERROR(LEFT(J496,FIND(",",J496)-1),J496)</f>
        <v>Documentaries</v>
      </c>
      <c r="N496" s="7" t="n">
        <f aca="false">IF(B496="Movie",IFERROR(VALUE(LEFT(I496,FIND(" ",I496)-1)),""),"")</f>
        <v>14</v>
      </c>
      <c r="O496" s="7" t="str">
        <f aca="false">IF(B496="TV Show",IFERROR(VALUE(LEFT(I496,FIND(" ",I496)-1)),""),"")</f>
        <v/>
      </c>
      <c r="P496" s="7" t="n">
        <f aca="false">IF(K496="","",K496-G496)</f>
        <v>0</v>
      </c>
    </row>
    <row r="497" customFormat="false" ht="15" hidden="false" customHeight="false" outlineLevel="0" collapsed="false">
      <c r="A497" s="7" t="n">
        <v>80224362</v>
      </c>
      <c r="B497" s="7" t="s">
        <v>68</v>
      </c>
      <c r="C497" s="7" t="s">
        <v>1326</v>
      </c>
      <c r="D497" s="7" t="s">
        <v>1327</v>
      </c>
      <c r="E497" s="7" t="s">
        <v>1328</v>
      </c>
      <c r="F497" s="7" t="s">
        <v>1329</v>
      </c>
      <c r="G497" s="7" t="n">
        <v>2017</v>
      </c>
      <c r="H497" s="7" t="s">
        <v>51</v>
      </c>
      <c r="I497" s="7" t="s">
        <v>494</v>
      </c>
      <c r="J497" s="7" t="s">
        <v>37</v>
      </c>
      <c r="K497" s="7" t="n">
        <f aca="false">IFERROR(VALUE(RIGHT(TRIM(F497),4)),"")</f>
        <v>2018</v>
      </c>
      <c r="L497" s="7" t="str">
        <f aca="false">IF(TRIM(E497)="","Unknown",IFERROR(LEFT(TRIM(E497),FIND(",",TRIM(E497))-1),TRIM(E497)))</f>
        <v>France</v>
      </c>
      <c r="M497" s="7" t="str">
        <f aca="false">IFERROR(LEFT(J497,FIND(",",J497)-1),J497)</f>
        <v>Dramas</v>
      </c>
      <c r="N497" s="7" t="n">
        <f aca="false">IF(B497="Movie",IFERROR(VALUE(LEFT(I497,FIND(" ",I497)-1)),""),"")</f>
        <v>87</v>
      </c>
      <c r="O497" s="7" t="str">
        <f aca="false">IF(B497="TV Show",IFERROR(VALUE(LEFT(I497,FIND(" ",I497)-1)),""),"")</f>
        <v/>
      </c>
      <c r="P497" s="7" t="n">
        <f aca="false">IF(K497="","",K497-G497)</f>
        <v>1</v>
      </c>
    </row>
    <row r="498" customFormat="false" ht="15" hidden="false" customHeight="false" outlineLevel="0" collapsed="false">
      <c r="A498" s="7" t="n">
        <v>80092857</v>
      </c>
      <c r="B498" s="7" t="s">
        <v>68</v>
      </c>
      <c r="C498" s="7" t="s">
        <v>1330</v>
      </c>
      <c r="D498" s="7" t="s">
        <v>1331</v>
      </c>
      <c r="E498" s="7" t="s">
        <v>29</v>
      </c>
      <c r="F498" s="7" t="s">
        <v>1332</v>
      </c>
      <c r="G498" s="7" t="n">
        <v>2016</v>
      </c>
      <c r="H498" s="7" t="s">
        <v>612</v>
      </c>
      <c r="I498" s="7" t="s">
        <v>311</v>
      </c>
      <c r="J498" s="7" t="s">
        <v>74</v>
      </c>
      <c r="K498" s="7" t="n">
        <f aca="false">IFERROR(VALUE(RIGHT(TRIM(F498),4)),"")</f>
        <v>2016</v>
      </c>
      <c r="L498" s="7" t="str">
        <f aca="false">IF(TRIM(E498)="","Unknown",IFERROR(LEFT(TRIM(E498),FIND(",",TRIM(E498))-1),TRIM(E498)))</f>
        <v>Canada</v>
      </c>
      <c r="M498" s="7" t="str">
        <f aca="false">IFERROR(LEFT(J498,FIND(",",J498)-1),J498)</f>
        <v>Children &amp; Family Movies</v>
      </c>
      <c r="N498" s="7" t="n">
        <f aca="false">IF(B498="Movie",IFERROR(VALUE(LEFT(I498,FIND(" ",I498)-1)),""),"")</f>
        <v>92</v>
      </c>
      <c r="O498" s="7" t="str">
        <f aca="false">IF(B498="TV Show",IFERROR(VALUE(LEFT(I498,FIND(" ",I498)-1)),""),"")</f>
        <v/>
      </c>
      <c r="P498" s="7" t="n">
        <f aca="false">IF(K498="","",K498-G498)</f>
        <v>0</v>
      </c>
    </row>
    <row r="499" customFormat="false" ht="15" hidden="false" customHeight="false" outlineLevel="0" collapsed="false">
      <c r="A499" s="7" t="n">
        <v>80244679</v>
      </c>
      <c r="B499" s="7" t="s">
        <v>68</v>
      </c>
      <c r="C499" s="7" t="s">
        <v>1333</v>
      </c>
      <c r="D499" s="7" t="s">
        <v>1334</v>
      </c>
      <c r="E499" s="7" t="s">
        <v>1335</v>
      </c>
      <c r="F499" s="7" t="s">
        <v>1336</v>
      </c>
      <c r="G499" s="7" t="n">
        <v>2019</v>
      </c>
      <c r="H499" s="7" t="s">
        <v>50</v>
      </c>
      <c r="I499" s="7" t="s">
        <v>1084</v>
      </c>
      <c r="J499" s="7" t="s">
        <v>341</v>
      </c>
      <c r="K499" s="7" t="n">
        <f aca="false">IFERROR(VALUE(RIGHT(TRIM(F499),4)),"")</f>
        <v>2019</v>
      </c>
      <c r="L499" s="7" t="str">
        <f aca="false">IF(TRIM(E499)="","Unknown",IFERROR(LEFT(TRIM(E499),FIND(",",TRIM(E499))-1),TRIM(E499)))</f>
        <v>Mexico</v>
      </c>
      <c r="M499" s="7" t="str">
        <f aca="false">IFERROR(LEFT(J499,FIND(",",J499)-1),J499)</f>
        <v>Documentaries</v>
      </c>
      <c r="N499" s="7" t="n">
        <f aca="false">IF(B499="Movie",IFERROR(VALUE(LEFT(I499,FIND(" ",I499)-1)),""),"")</f>
        <v>28</v>
      </c>
      <c r="O499" s="7" t="str">
        <f aca="false">IF(B499="TV Show",IFERROR(VALUE(LEFT(I499,FIND(" ",I499)-1)),""),"")</f>
        <v/>
      </c>
      <c r="P499" s="7" t="n">
        <f aca="false">IF(K499="","",K499-G499)</f>
        <v>0</v>
      </c>
    </row>
    <row r="500" customFormat="false" ht="15" hidden="false" customHeight="false" outlineLevel="0" collapsed="false">
      <c r="A500" s="7" t="n">
        <v>81110394</v>
      </c>
      <c r="B500" s="7" t="s">
        <v>68</v>
      </c>
      <c r="C500" s="7" t="s">
        <v>1337</v>
      </c>
      <c r="D500" s="7" t="s">
        <v>1338</v>
      </c>
      <c r="E500" s="7" t="s">
        <v>28</v>
      </c>
      <c r="F500" s="7" t="s">
        <v>1336</v>
      </c>
      <c r="G500" s="7" t="n">
        <v>2018</v>
      </c>
      <c r="H500" s="7" t="s">
        <v>226</v>
      </c>
      <c r="I500" s="7" t="s">
        <v>1339</v>
      </c>
      <c r="J500" s="7" t="s">
        <v>974</v>
      </c>
      <c r="K500" s="7" t="n">
        <f aca="false">IFERROR(VALUE(RIGHT(TRIM(F500),4)),"")</f>
        <v>2019</v>
      </c>
      <c r="L500" s="7" t="str">
        <f aca="false">IF(TRIM(E500)="","Unknown",IFERROR(LEFT(TRIM(E500),FIND(",",TRIM(E500))-1),TRIM(E500)))</f>
        <v>United Kingdom</v>
      </c>
      <c r="M500" s="7" t="str">
        <f aca="false">IFERROR(LEFT(J500,FIND(",",J500)-1),J500)</f>
        <v>Documentaries</v>
      </c>
      <c r="N500" s="7" t="n">
        <f aca="false">IF(B500="Movie",IFERROR(VALUE(LEFT(I500,FIND(" ",I500)-1)),""),"")</f>
        <v>20</v>
      </c>
      <c r="O500" s="7" t="str">
        <f aca="false">IF(B500="TV Show",IFERROR(VALUE(LEFT(I500,FIND(" ",I500)-1)),""),"")</f>
        <v/>
      </c>
      <c r="P500" s="7" t="n">
        <f aca="false">IF(K500="","",K500-G500)</f>
        <v>1</v>
      </c>
    </row>
    <row r="501" customFormat="false" ht="15" hidden="false" customHeight="false" outlineLevel="0" collapsed="false">
      <c r="A501" s="7" t="n">
        <v>80067754</v>
      </c>
      <c r="B501" s="7" t="s">
        <v>68</v>
      </c>
      <c r="C501" s="7" t="s">
        <v>1340</v>
      </c>
      <c r="D501" s="7" t="s">
        <v>1341</v>
      </c>
      <c r="E501" s="7" t="s">
        <v>1342</v>
      </c>
      <c r="F501" s="7" t="s">
        <v>1343</v>
      </c>
      <c r="G501" s="7" t="n">
        <v>2015</v>
      </c>
      <c r="H501" s="7" t="s">
        <v>52</v>
      </c>
      <c r="I501" s="7" t="s">
        <v>181</v>
      </c>
      <c r="J501" s="7" t="s">
        <v>946</v>
      </c>
      <c r="K501" s="7" t="n">
        <f aca="false">IFERROR(VALUE(RIGHT(TRIM(F501),4)),"")</f>
        <v>2018</v>
      </c>
      <c r="L501" s="7" t="str">
        <f aca="false">IF(TRIM(E501)="","Unknown",IFERROR(LEFT(TRIM(E501),FIND(",",TRIM(E501))-1),TRIM(E501)))</f>
        <v>United States</v>
      </c>
      <c r="M501" s="7" t="str">
        <f aca="false">IFERROR(LEFT(J501,FIND(",",J501)-1),J501)</f>
        <v>Dramas</v>
      </c>
      <c r="N501" s="7" t="n">
        <f aca="false">IF(B501="Movie",IFERROR(VALUE(LEFT(I501,FIND(" ",I501)-1)),""),"")</f>
        <v>102</v>
      </c>
      <c r="O501" s="7" t="str">
        <f aca="false">IF(B501="TV Show",IFERROR(VALUE(LEFT(I501,FIND(" ",I501)-1)),""),"")</f>
        <v/>
      </c>
      <c r="P501" s="7" t="n">
        <f aca="false">IF(K501="","",K501-G501)</f>
        <v>3</v>
      </c>
    </row>
    <row r="502" customFormat="false" ht="15" hidden="false" customHeight="false" outlineLevel="0" collapsed="false">
      <c r="A502" s="7" t="n">
        <v>80189954</v>
      </c>
      <c r="B502" s="7" t="s">
        <v>68</v>
      </c>
      <c r="C502" s="7" t="s">
        <v>1344</v>
      </c>
      <c r="D502" s="7" t="s">
        <v>1331</v>
      </c>
      <c r="E502" s="7" t="s">
        <v>29</v>
      </c>
      <c r="F502" s="7" t="s">
        <v>1345</v>
      </c>
      <c r="G502" s="7" t="n">
        <v>2017</v>
      </c>
      <c r="H502" s="7" t="s">
        <v>54</v>
      </c>
      <c r="I502" s="7" t="s">
        <v>272</v>
      </c>
      <c r="J502" s="7" t="s">
        <v>74</v>
      </c>
      <c r="K502" s="7" t="n">
        <f aca="false">IFERROR(VALUE(RIGHT(TRIM(F502),4)),"")</f>
        <v>2017</v>
      </c>
      <c r="L502" s="7" t="str">
        <f aca="false">IF(TRIM(E502)="","Unknown",IFERROR(LEFT(TRIM(E502),FIND(",",TRIM(E502))-1),TRIM(E502)))</f>
        <v>Canada</v>
      </c>
      <c r="M502" s="7" t="str">
        <f aca="false">IFERROR(LEFT(J502,FIND(",",J502)-1),J502)</f>
        <v>Children &amp; Family Movies</v>
      </c>
      <c r="N502" s="7" t="n">
        <f aca="false">IF(B502="Movie",IFERROR(VALUE(LEFT(I502,FIND(" ",I502)-1)),""),"")</f>
        <v>93</v>
      </c>
      <c r="O502" s="7" t="str">
        <f aca="false">IF(B502="TV Show",IFERROR(VALUE(LEFT(I502,FIND(" ",I502)-1)),""),"")</f>
        <v/>
      </c>
      <c r="P502" s="7" t="n">
        <f aca="false">IF(K502="","",K502-G502)</f>
        <v>0</v>
      </c>
    </row>
    <row r="503" customFormat="false" ht="15" hidden="false" customHeight="false" outlineLevel="0" collapsed="false">
      <c r="A503" s="7" t="n">
        <v>80094648</v>
      </c>
      <c r="B503" s="7" t="s">
        <v>68</v>
      </c>
      <c r="C503" s="7" t="s">
        <v>1346</v>
      </c>
      <c r="D503" s="7" t="s">
        <v>1347</v>
      </c>
      <c r="E503" s="7" t="s">
        <v>619</v>
      </c>
      <c r="F503" s="7" t="s">
        <v>1348</v>
      </c>
      <c r="G503" s="7" t="n">
        <v>2016</v>
      </c>
      <c r="H503" s="7" t="s">
        <v>49</v>
      </c>
      <c r="I503" s="7" t="s">
        <v>357</v>
      </c>
      <c r="J503" s="7" t="s">
        <v>1014</v>
      </c>
      <c r="K503" s="7" t="n">
        <f aca="false">IFERROR(VALUE(RIGHT(TRIM(F503),4)),"")</f>
        <v>2016</v>
      </c>
      <c r="L503" s="7" t="str">
        <f aca="false">IF(TRIM(E503)="","Unknown",IFERROR(LEFT(TRIM(E503),FIND(",",TRIM(E503))-1),TRIM(E503)))</f>
        <v>Canada</v>
      </c>
      <c r="M503" s="7" t="str">
        <f aca="false">IFERROR(LEFT(J503,FIND(",",J503)-1),J503)</f>
        <v>Horror Movies</v>
      </c>
      <c r="N503" s="7" t="n">
        <f aca="false">IF(B503="Movie",IFERROR(VALUE(LEFT(I503,FIND(" ",I503)-1)),""),"")</f>
        <v>89</v>
      </c>
      <c r="O503" s="7" t="str">
        <f aca="false">IF(B503="TV Show",IFERROR(VALUE(LEFT(I503,FIND(" ",I503)-1)),""),"")</f>
        <v/>
      </c>
      <c r="P503" s="7" t="n">
        <f aca="false">IF(K503="","",K503-G503)</f>
        <v>0</v>
      </c>
    </row>
    <row r="504" customFormat="false" ht="15" hidden="false" customHeight="false" outlineLevel="0" collapsed="false">
      <c r="A504" s="7" t="n">
        <v>80066073</v>
      </c>
      <c r="B504" s="7" t="s">
        <v>68</v>
      </c>
      <c r="C504" s="7" t="s">
        <v>1349</v>
      </c>
      <c r="D504" s="7" t="s">
        <v>1350</v>
      </c>
      <c r="E504" s="7" t="s">
        <v>1351</v>
      </c>
      <c r="F504" s="7" t="s">
        <v>1348</v>
      </c>
      <c r="G504" s="7" t="n">
        <v>2016</v>
      </c>
      <c r="H504" s="7" t="s">
        <v>50</v>
      </c>
      <c r="I504" s="7" t="s">
        <v>294</v>
      </c>
      <c r="J504" s="7" t="s">
        <v>39</v>
      </c>
      <c r="K504" s="7" t="n">
        <f aca="false">IFERROR(VALUE(RIGHT(TRIM(F504),4)),"")</f>
        <v>2016</v>
      </c>
      <c r="L504" s="7" t="str">
        <f aca="false">IF(TRIM(E504)="","Unknown",IFERROR(LEFT(TRIM(E504),FIND(",",TRIM(E504))-1),TRIM(E504)))</f>
        <v>United Kingdom</v>
      </c>
      <c r="M504" s="7" t="str">
        <f aca="false">IFERROR(LEFT(J504,FIND(",",J504)-1),J504)</f>
        <v>Documentaries</v>
      </c>
      <c r="N504" s="7" t="n">
        <f aca="false">IF(B504="Movie",IFERROR(VALUE(LEFT(I504,FIND(" ",I504)-1)),""),"")</f>
        <v>107</v>
      </c>
      <c r="O504" s="7" t="str">
        <f aca="false">IF(B504="TV Show",IFERROR(VALUE(LEFT(I504,FIND(" ",I504)-1)),""),"")</f>
        <v/>
      </c>
      <c r="P504" s="7" t="n">
        <f aca="false">IF(K504="","",K504-G504)</f>
        <v>0</v>
      </c>
    </row>
    <row r="505" customFormat="false" ht="15" hidden="false" customHeight="false" outlineLevel="0" collapsed="false">
      <c r="A505" s="7" t="n">
        <v>80123740</v>
      </c>
      <c r="B505" s="7" t="s">
        <v>68</v>
      </c>
      <c r="C505" s="7" t="s">
        <v>1352</v>
      </c>
      <c r="D505" s="7" t="s">
        <v>1353</v>
      </c>
      <c r="E505" s="7" t="s">
        <v>31</v>
      </c>
      <c r="F505" s="7" t="s">
        <v>1348</v>
      </c>
      <c r="G505" s="7" t="n">
        <v>2016</v>
      </c>
      <c r="H505" s="7" t="s">
        <v>50</v>
      </c>
      <c r="I505" s="7" t="s">
        <v>77</v>
      </c>
      <c r="J505" s="7" t="s">
        <v>217</v>
      </c>
      <c r="K505" s="7" t="n">
        <f aca="false">IFERROR(VALUE(RIGHT(TRIM(F505),4)),"")</f>
        <v>2016</v>
      </c>
      <c r="L505" s="7" t="str">
        <f aca="false">IF(TRIM(E505)="","Unknown",IFERROR(LEFT(TRIM(E505),FIND(",",TRIM(E505))-1),TRIM(E505)))</f>
        <v>France</v>
      </c>
      <c r="M505" s="7" t="str">
        <f aca="false">IFERROR(LEFT(J505,FIND(",",J505)-1),J505)</f>
        <v>Comedies</v>
      </c>
      <c r="N505" s="7" t="n">
        <f aca="false">IF(B505="Movie",IFERROR(VALUE(LEFT(I505,FIND(" ",I505)-1)),""),"")</f>
        <v>94</v>
      </c>
      <c r="O505" s="7" t="str">
        <f aca="false">IF(B505="TV Show",IFERROR(VALUE(LEFT(I505,FIND(" ",I505)-1)),""),"")</f>
        <v/>
      </c>
      <c r="P505" s="7" t="n">
        <f aca="false">IF(K505="","",K505-G505)</f>
        <v>0</v>
      </c>
    </row>
    <row r="506" customFormat="false" ht="15" hidden="false" customHeight="false" outlineLevel="0" collapsed="false">
      <c r="A506" s="7" t="n">
        <v>80123741</v>
      </c>
      <c r="B506" s="7" t="s">
        <v>68</v>
      </c>
      <c r="C506" s="7" t="s">
        <v>1354</v>
      </c>
      <c r="D506" s="7" t="s">
        <v>1355</v>
      </c>
      <c r="E506" s="7" t="s">
        <v>129</v>
      </c>
      <c r="F506" s="7" t="s">
        <v>1348</v>
      </c>
      <c r="G506" s="7" t="n">
        <v>2016</v>
      </c>
      <c r="H506" s="7" t="s">
        <v>48</v>
      </c>
      <c r="I506" s="7" t="s">
        <v>93</v>
      </c>
      <c r="J506" s="7" t="s">
        <v>202</v>
      </c>
      <c r="K506" s="7" t="n">
        <f aca="false">IFERROR(VALUE(RIGHT(TRIM(F506),4)),"")</f>
        <v>2016</v>
      </c>
      <c r="L506" s="7" t="str">
        <f aca="false">IF(TRIM(E506)="","Unknown",IFERROR(LEFT(TRIM(E506),FIND(",",TRIM(E506))-1),TRIM(E506)))</f>
        <v>France</v>
      </c>
      <c r="M506" s="7" t="str">
        <f aca="false">IFERROR(LEFT(J506,FIND(",",J506)-1),J506)</f>
        <v>Comedies</v>
      </c>
      <c r="N506" s="7" t="n">
        <f aca="false">IF(B506="Movie",IFERROR(VALUE(LEFT(I506,FIND(" ",I506)-1)),""),"")</f>
        <v>110</v>
      </c>
      <c r="O506" s="7" t="str">
        <f aca="false">IF(B506="TV Show",IFERROR(VALUE(LEFT(I506,FIND(" ",I506)-1)),""),"")</f>
        <v/>
      </c>
      <c r="P506" s="7" t="n">
        <f aca="false">IF(K506="","",K506-G506)</f>
        <v>0</v>
      </c>
    </row>
    <row r="507" customFormat="false" ht="15" hidden="false" customHeight="false" outlineLevel="0" collapsed="false">
      <c r="A507" s="7" t="n">
        <v>80094260</v>
      </c>
      <c r="B507" s="7" t="s">
        <v>78</v>
      </c>
      <c r="C507" s="7" t="s">
        <v>1356</v>
      </c>
      <c r="E507" s="7" t="s">
        <v>29</v>
      </c>
      <c r="F507" s="7" t="s">
        <v>1348</v>
      </c>
      <c r="G507" s="7" t="n">
        <v>2016</v>
      </c>
      <c r="H507" s="7" t="s">
        <v>48</v>
      </c>
      <c r="I507" s="7" t="s">
        <v>82</v>
      </c>
      <c r="J507" s="7" t="s">
        <v>1357</v>
      </c>
      <c r="K507" s="7" t="n">
        <f aca="false">IFERROR(VALUE(RIGHT(TRIM(F507),4)),"")</f>
        <v>2016</v>
      </c>
      <c r="L507" s="7" t="str">
        <f aca="false">IF(TRIM(E507)="","Unknown",IFERROR(LEFT(TRIM(E507),FIND(",",TRIM(E507))-1),TRIM(E507)))</f>
        <v>Canada</v>
      </c>
      <c r="M507" s="7" t="str">
        <f aca="false">IFERROR(LEFT(J507,FIND(",",J507)-1),J507)</f>
        <v>International TV Shows</v>
      </c>
      <c r="N507" s="7" t="str">
        <f aca="false">IF(B507="Movie",IFERROR(VALUE(LEFT(I507,FIND(" ",I507)-1)),""),"")</f>
        <v/>
      </c>
      <c r="O507" s="7" t="n">
        <f aca="false">IF(B507="TV Show",IFERROR(VALUE(LEFT(I507,FIND(" ",I507)-1)),""),"")</f>
        <v>1</v>
      </c>
      <c r="P507" s="7" t="n">
        <f aca="false">IF(K507="","",K507-G507)</f>
        <v>0</v>
      </c>
    </row>
    <row r="508" customFormat="false" ht="15" hidden="false" customHeight="false" outlineLevel="0" collapsed="false">
      <c r="A508" s="7" t="n">
        <v>80123742</v>
      </c>
      <c r="B508" s="7" t="s">
        <v>68</v>
      </c>
      <c r="C508" s="7" t="s">
        <v>1358</v>
      </c>
      <c r="D508" s="7" t="s">
        <v>1359</v>
      </c>
      <c r="E508" s="7" t="s">
        <v>31</v>
      </c>
      <c r="F508" s="7" t="s">
        <v>1348</v>
      </c>
      <c r="G508" s="7" t="n">
        <v>2016</v>
      </c>
      <c r="H508" s="7" t="s">
        <v>48</v>
      </c>
      <c r="I508" s="7" t="s">
        <v>467</v>
      </c>
      <c r="J508" s="7" t="s">
        <v>217</v>
      </c>
      <c r="K508" s="7" t="n">
        <f aca="false">IFERROR(VALUE(RIGHT(TRIM(F508),4)),"")</f>
        <v>2016</v>
      </c>
      <c r="L508" s="7" t="str">
        <f aca="false">IF(TRIM(E508)="","Unknown",IFERROR(LEFT(TRIM(E508),FIND(",",TRIM(E508))-1),TRIM(E508)))</f>
        <v>France</v>
      </c>
      <c r="M508" s="7" t="str">
        <f aca="false">IFERROR(LEFT(J508,FIND(",",J508)-1),J508)</f>
        <v>Comedies</v>
      </c>
      <c r="N508" s="7" t="n">
        <f aca="false">IF(B508="Movie",IFERROR(VALUE(LEFT(I508,FIND(" ",I508)-1)),""),"")</f>
        <v>81</v>
      </c>
      <c r="O508" s="7" t="str">
        <f aca="false">IF(B508="TV Show",IFERROR(VALUE(LEFT(I508,FIND(" ",I508)-1)),""),"")</f>
        <v/>
      </c>
      <c r="P508" s="7" t="n">
        <f aca="false">IF(K508="","",K508-G508)</f>
        <v>0</v>
      </c>
    </row>
    <row r="509" customFormat="false" ht="15" hidden="false" customHeight="false" outlineLevel="0" collapsed="false">
      <c r="A509" s="7" t="n">
        <v>81197399</v>
      </c>
      <c r="B509" s="7" t="s">
        <v>78</v>
      </c>
      <c r="C509" s="7" t="s">
        <v>1360</v>
      </c>
      <c r="F509" s="7" t="s">
        <v>1361</v>
      </c>
      <c r="G509" s="7" t="n">
        <v>2019</v>
      </c>
      <c r="H509" s="7" t="s">
        <v>50</v>
      </c>
      <c r="I509" s="7" t="s">
        <v>82</v>
      </c>
      <c r="J509" s="7" t="s">
        <v>1362</v>
      </c>
      <c r="K509" s="7" t="n">
        <f aca="false">IFERROR(VALUE(RIGHT(TRIM(F509),4)),"")</f>
        <v>2019</v>
      </c>
      <c r="L509" s="7" t="str">
        <f aca="false">IF(TRIM(E509)="","Unknown",IFERROR(LEFT(TRIM(E509),FIND(",",TRIM(E509))-1),TRIM(E509)))</f>
        <v>Unknown</v>
      </c>
      <c r="M509" s="7" t="str">
        <f aca="false">IFERROR(LEFT(J509,FIND(",",J509)-1),J509)</f>
        <v>International TV Shows</v>
      </c>
      <c r="N509" s="7" t="str">
        <f aca="false">IF(B509="Movie",IFERROR(VALUE(LEFT(I509,FIND(" ",I509)-1)),""),"")</f>
        <v/>
      </c>
      <c r="O509" s="7" t="n">
        <f aca="false">IF(B509="TV Show",IFERROR(VALUE(LEFT(I509,FIND(" ",I509)-1)),""),"")</f>
        <v>1</v>
      </c>
      <c r="P509" s="7" t="n">
        <f aca="false">IF(K509="","",K509-G509)</f>
        <v>0</v>
      </c>
    </row>
    <row r="510" customFormat="false" ht="15" hidden="false" customHeight="false" outlineLevel="0" collapsed="false">
      <c r="A510" s="7" t="n">
        <v>81000863</v>
      </c>
      <c r="B510" s="7" t="s">
        <v>68</v>
      </c>
      <c r="C510" s="7" t="s">
        <v>1363</v>
      </c>
      <c r="D510" s="7" t="s">
        <v>1364</v>
      </c>
      <c r="E510" s="7" t="s">
        <v>26</v>
      </c>
      <c r="F510" s="7" t="s">
        <v>1365</v>
      </c>
      <c r="G510" s="7" t="n">
        <v>2018</v>
      </c>
      <c r="H510" s="7" t="s">
        <v>48</v>
      </c>
      <c r="I510" s="7" t="s">
        <v>357</v>
      </c>
      <c r="J510" s="7" t="s">
        <v>147</v>
      </c>
      <c r="K510" s="7" t="n">
        <f aca="false">IFERROR(VALUE(RIGHT(TRIM(F510),4)),"")</f>
        <v>2018</v>
      </c>
      <c r="L510" s="7" t="str">
        <f aca="false">IF(TRIM(E510)="","Unknown",IFERROR(LEFT(TRIM(E510),FIND(",",TRIM(E510))-1),TRIM(E510)))</f>
        <v>United States</v>
      </c>
      <c r="M510" s="7" t="str">
        <f aca="false">IFERROR(LEFT(J510,FIND(",",J510)-1),J510)</f>
        <v>Horror Movies</v>
      </c>
      <c r="N510" s="7" t="n">
        <f aca="false">IF(B510="Movie",IFERROR(VALUE(LEFT(I510,FIND(" ",I510)-1)),""),"")</f>
        <v>89</v>
      </c>
      <c r="O510" s="7" t="str">
        <f aca="false">IF(B510="TV Show",IFERROR(VALUE(LEFT(I510,FIND(" ",I510)-1)),""),"")</f>
        <v/>
      </c>
      <c r="P510" s="7" t="n">
        <f aca="false">IF(K510="","",K510-G510)</f>
        <v>0</v>
      </c>
    </row>
    <row r="511" customFormat="false" ht="15" hidden="false" customHeight="false" outlineLevel="0" collapsed="false">
      <c r="A511" s="7" t="n">
        <v>70082255</v>
      </c>
      <c r="B511" s="7" t="s">
        <v>68</v>
      </c>
      <c r="C511" s="7" t="s">
        <v>1366</v>
      </c>
      <c r="D511" s="7" t="s">
        <v>1367</v>
      </c>
      <c r="E511" s="7" t="s">
        <v>429</v>
      </c>
      <c r="F511" s="7" t="s">
        <v>1365</v>
      </c>
      <c r="G511" s="7" t="n">
        <v>2006</v>
      </c>
      <c r="H511" s="7" t="s">
        <v>48</v>
      </c>
      <c r="I511" s="7" t="s">
        <v>77</v>
      </c>
      <c r="J511" s="7" t="s">
        <v>322</v>
      </c>
      <c r="K511" s="7" t="n">
        <f aca="false">IFERROR(VALUE(RIGHT(TRIM(F511),4)),"")</f>
        <v>2018</v>
      </c>
      <c r="L511" s="7" t="str">
        <f aca="false">IF(TRIM(E511)="","Unknown",IFERROR(LEFT(TRIM(E511),FIND(",",TRIM(E511))-1),TRIM(E511)))</f>
        <v>Hong Kong</v>
      </c>
      <c r="M511" s="7" t="str">
        <f aca="false">IFERROR(LEFT(J511,FIND(",",J511)-1),J511)</f>
        <v>Action &amp; Adventure</v>
      </c>
      <c r="N511" s="7" t="n">
        <f aca="false">IF(B511="Movie",IFERROR(VALUE(LEFT(I511,FIND(" ",I511)-1)),""),"")</f>
        <v>94</v>
      </c>
      <c r="O511" s="7" t="str">
        <f aca="false">IF(B511="TV Show",IFERROR(VALUE(LEFT(I511,FIND(" ",I511)-1)),""),"")</f>
        <v/>
      </c>
      <c r="P511" s="7" t="n">
        <f aca="false">IF(K511="","",K511-G511)</f>
        <v>12</v>
      </c>
    </row>
    <row r="512" customFormat="false" ht="15" hidden="false" customHeight="false" outlineLevel="0" collapsed="false">
      <c r="A512" s="7" t="n">
        <v>80197912</v>
      </c>
      <c r="B512" s="7" t="s">
        <v>78</v>
      </c>
      <c r="C512" s="7" t="s">
        <v>1368</v>
      </c>
      <c r="E512" s="7" t="s">
        <v>26</v>
      </c>
      <c r="F512" s="7" t="s">
        <v>1369</v>
      </c>
      <c r="G512" s="7" t="n">
        <v>2017</v>
      </c>
      <c r="H512" s="7" t="s">
        <v>49</v>
      </c>
      <c r="I512" s="7" t="s">
        <v>82</v>
      </c>
      <c r="J512" s="7" t="s">
        <v>1370</v>
      </c>
      <c r="K512" s="7" t="n">
        <f aca="false">IFERROR(VALUE(RIGHT(TRIM(F512),4)),"")</f>
        <v>2017</v>
      </c>
      <c r="L512" s="7" t="str">
        <f aca="false">IF(TRIM(E512)="","Unknown",IFERROR(LEFT(TRIM(E512),FIND(",",TRIM(E512))-1),TRIM(E512)))</f>
        <v>United States</v>
      </c>
      <c r="M512" s="7" t="str">
        <f aca="false">IFERROR(LEFT(J512,FIND(",",J512)-1),J512)</f>
        <v>Stand-Up Comedy &amp; Talk Shows</v>
      </c>
      <c r="N512" s="7" t="str">
        <f aca="false">IF(B512="Movie",IFERROR(VALUE(LEFT(I512,FIND(" ",I512)-1)),""),"")</f>
        <v/>
      </c>
      <c r="O512" s="7" t="n">
        <f aca="false">IF(B512="TV Show",IFERROR(VALUE(LEFT(I512,FIND(" ",I512)-1)),""),"")</f>
        <v>1</v>
      </c>
      <c r="P512" s="7" t="n">
        <f aca="false">IF(K512="","",K512-G512)</f>
        <v>0</v>
      </c>
    </row>
    <row r="513" customFormat="false" ht="15" hidden="false" customHeight="false" outlineLevel="0" collapsed="false">
      <c r="A513" s="7" t="n">
        <v>80117454</v>
      </c>
      <c r="B513" s="7" t="s">
        <v>68</v>
      </c>
      <c r="C513" s="7" t="s">
        <v>1371</v>
      </c>
      <c r="D513" s="7" t="s">
        <v>1372</v>
      </c>
      <c r="E513" s="7" t="s">
        <v>26</v>
      </c>
      <c r="F513" s="7" t="s">
        <v>1369</v>
      </c>
      <c r="G513" s="7" t="n">
        <v>2017</v>
      </c>
      <c r="H513" s="7" t="s">
        <v>49</v>
      </c>
      <c r="I513" s="7" t="s">
        <v>134</v>
      </c>
      <c r="J513" s="7" t="s">
        <v>39</v>
      </c>
      <c r="K513" s="7" t="n">
        <f aca="false">IFERROR(VALUE(RIGHT(TRIM(F513),4)),"")</f>
        <v>2017</v>
      </c>
      <c r="L513" s="7" t="str">
        <f aca="false">IF(TRIM(E513)="","Unknown",IFERROR(LEFT(TRIM(E513),FIND(",",TRIM(E513))-1),TRIM(E513)))</f>
        <v>United States</v>
      </c>
      <c r="M513" s="7" t="str">
        <f aca="false">IFERROR(LEFT(J513,FIND(",",J513)-1),J513)</f>
        <v>Documentaries</v>
      </c>
      <c r="N513" s="7" t="n">
        <f aca="false">IF(B513="Movie",IFERROR(VALUE(LEFT(I513,FIND(" ",I513)-1)),""),"")</f>
        <v>98</v>
      </c>
      <c r="O513" s="7" t="str">
        <f aca="false">IF(B513="TV Show",IFERROR(VALUE(LEFT(I513,FIND(" ",I513)-1)),""),"")</f>
        <v/>
      </c>
      <c r="P513" s="7" t="n">
        <f aca="false">IF(K513="","",K513-G513)</f>
        <v>0</v>
      </c>
    </row>
    <row r="514" customFormat="false" ht="15" hidden="false" customHeight="false" outlineLevel="0" collapsed="false">
      <c r="A514" s="7" t="n">
        <v>80095197</v>
      </c>
      <c r="B514" s="7" t="s">
        <v>68</v>
      </c>
      <c r="C514" s="7" t="s">
        <v>1373</v>
      </c>
      <c r="D514" s="7" t="s">
        <v>1374</v>
      </c>
      <c r="E514" s="7" t="s">
        <v>33</v>
      </c>
      <c r="F514" s="7" t="s">
        <v>1375</v>
      </c>
      <c r="G514" s="7" t="n">
        <v>2016</v>
      </c>
      <c r="H514" s="7" t="s">
        <v>48</v>
      </c>
      <c r="I514" s="7" t="s">
        <v>162</v>
      </c>
      <c r="J514" s="7" t="s">
        <v>304</v>
      </c>
      <c r="K514" s="7" t="n">
        <f aca="false">IFERROR(VALUE(RIGHT(TRIM(F514),4)),"")</f>
        <v>2016</v>
      </c>
      <c r="L514" s="7" t="str">
        <f aca="false">IF(TRIM(E514)="","Unknown",IFERROR(LEFT(TRIM(E514),FIND(",",TRIM(E514))-1),TRIM(E514)))</f>
        <v>Spain</v>
      </c>
      <c r="M514" s="7" t="str">
        <f aca="false">IFERROR(LEFT(J514,FIND(",",J514)-1),J514)</f>
        <v>Dramas</v>
      </c>
      <c r="N514" s="7" t="n">
        <f aca="false">IF(B514="Movie",IFERROR(VALUE(LEFT(I514,FIND(" ",I514)-1)),""),"")</f>
        <v>77</v>
      </c>
      <c r="O514" s="7" t="str">
        <f aca="false">IF(B514="TV Show",IFERROR(VALUE(LEFT(I514,FIND(" ",I514)-1)),""),"")</f>
        <v/>
      </c>
      <c r="P514" s="7" t="n">
        <f aca="false">IF(K514="","",K514-G514)</f>
        <v>0</v>
      </c>
    </row>
    <row r="515" customFormat="false" ht="15" hidden="false" customHeight="false" outlineLevel="0" collapsed="false">
      <c r="A515" s="7" t="n">
        <v>80045783</v>
      </c>
      <c r="B515" s="7" t="s">
        <v>68</v>
      </c>
      <c r="C515" s="7" t="s">
        <v>1376</v>
      </c>
      <c r="D515" s="7" t="s">
        <v>1377</v>
      </c>
      <c r="E515" s="7" t="s">
        <v>26</v>
      </c>
      <c r="F515" s="7" t="s">
        <v>1378</v>
      </c>
      <c r="G515" s="7" t="n">
        <v>2015</v>
      </c>
      <c r="H515" s="7" t="s">
        <v>53</v>
      </c>
      <c r="I515" s="7" t="s">
        <v>340</v>
      </c>
      <c r="J515" s="7" t="s">
        <v>198</v>
      </c>
      <c r="K515" s="7" t="n">
        <f aca="false">IFERROR(VALUE(RIGHT(TRIM(F515),4)),"")</f>
        <v>2015</v>
      </c>
      <c r="L515" s="7" t="str">
        <f aca="false">IF(TRIM(E515)="","Unknown",IFERROR(LEFT(TRIM(E515),FIND(",",TRIM(E515))-1),TRIM(E515)))</f>
        <v>United States</v>
      </c>
      <c r="M515" s="7" t="str">
        <f aca="false">IFERROR(LEFT(J515,FIND(",",J515)-1),J515)</f>
        <v>Comedies</v>
      </c>
      <c r="N515" s="7" t="n">
        <f aca="false">IF(B515="Movie",IFERROR(VALUE(LEFT(I515,FIND(" ",I515)-1)),""),"")</f>
        <v>85</v>
      </c>
      <c r="O515" s="7" t="str">
        <f aca="false">IF(B515="TV Show",IFERROR(VALUE(LEFT(I515,FIND(" ",I515)-1)),""),"")</f>
        <v/>
      </c>
      <c r="P515" s="7" t="n">
        <f aca="false">IF(K515="","",K515-G515)</f>
        <v>0</v>
      </c>
    </row>
    <row r="516" customFormat="false" ht="15" hidden="false" customHeight="false" outlineLevel="0" collapsed="false">
      <c r="A516" s="7" t="n">
        <v>81185502</v>
      </c>
      <c r="B516" s="7" t="s">
        <v>78</v>
      </c>
      <c r="C516" s="7" t="s">
        <v>1379</v>
      </c>
      <c r="E516" s="7" t="s">
        <v>366</v>
      </c>
      <c r="F516" s="7" t="s">
        <v>1380</v>
      </c>
      <c r="G516" s="7" t="n">
        <v>2019</v>
      </c>
      <c r="H516" s="7" t="s">
        <v>226</v>
      </c>
      <c r="I516" s="7" t="s">
        <v>82</v>
      </c>
      <c r="J516" s="7" t="s">
        <v>1362</v>
      </c>
      <c r="K516" s="7" t="n">
        <f aca="false">IFERROR(VALUE(RIGHT(TRIM(F516),4)),"")</f>
        <v>2019</v>
      </c>
      <c r="L516" s="7" t="str">
        <f aca="false">IF(TRIM(E516)="","Unknown",IFERROR(LEFT(TRIM(E516),FIND(",",TRIM(E516))-1),TRIM(E516)))</f>
        <v>China</v>
      </c>
      <c r="M516" s="7" t="str">
        <f aca="false">IFERROR(LEFT(J516,FIND(",",J516)-1),J516)</f>
        <v>International TV Shows</v>
      </c>
      <c r="N516" s="7" t="str">
        <f aca="false">IF(B516="Movie",IFERROR(VALUE(LEFT(I516,FIND(" ",I516)-1)),""),"")</f>
        <v/>
      </c>
      <c r="O516" s="7" t="n">
        <f aca="false">IF(B516="TV Show",IFERROR(VALUE(LEFT(I516,FIND(" ",I516)-1)),""),"")</f>
        <v>1</v>
      </c>
      <c r="P516" s="7" t="n">
        <f aca="false">IF(K516="","",K516-G516)</f>
        <v>0</v>
      </c>
    </row>
    <row r="517" customFormat="false" ht="15" hidden="false" customHeight="false" outlineLevel="0" collapsed="false">
      <c r="A517" s="7" t="n">
        <v>81123469</v>
      </c>
      <c r="B517" s="7" t="s">
        <v>68</v>
      </c>
      <c r="C517" s="7" t="s">
        <v>1381</v>
      </c>
      <c r="D517" s="7" t="s">
        <v>1382</v>
      </c>
      <c r="E517" s="7" t="s">
        <v>26</v>
      </c>
      <c r="F517" s="7" t="s">
        <v>1380</v>
      </c>
      <c r="G517" s="7" t="n">
        <v>2019</v>
      </c>
      <c r="H517" s="7" t="s">
        <v>54</v>
      </c>
      <c r="I517" s="7" t="s">
        <v>264</v>
      </c>
      <c r="J517" s="7" t="s">
        <v>1383</v>
      </c>
      <c r="K517" s="7" t="n">
        <f aca="false">IFERROR(VALUE(RIGHT(TRIM(F517),4)),"")</f>
        <v>2019</v>
      </c>
      <c r="L517" s="7" t="str">
        <f aca="false">IF(TRIM(E517)="","Unknown",IFERROR(LEFT(TRIM(E517),FIND(",",TRIM(E517))-1),TRIM(E517)))</f>
        <v>United States</v>
      </c>
      <c r="M517" s="7" t="str">
        <f aca="false">IFERROR(LEFT(J517,FIND(",",J517)-1),J517)</f>
        <v>Dramas</v>
      </c>
      <c r="N517" s="7" t="n">
        <f aca="false">IF(B517="Movie",IFERROR(VALUE(LEFT(I517,FIND(" ",I517)-1)),""),"")</f>
        <v>88</v>
      </c>
      <c r="O517" s="7" t="str">
        <f aca="false">IF(B517="TV Show",IFERROR(VALUE(LEFT(I517,FIND(" ",I517)-1)),""),"")</f>
        <v/>
      </c>
      <c r="P517" s="7" t="n">
        <f aca="false">IF(K517="","",K517-G517)</f>
        <v>0</v>
      </c>
    </row>
    <row r="518" customFormat="false" ht="15" hidden="false" customHeight="false" outlineLevel="0" collapsed="false">
      <c r="A518" s="7" t="n">
        <v>80211622</v>
      </c>
      <c r="B518" s="7" t="s">
        <v>68</v>
      </c>
      <c r="C518" s="7" t="s">
        <v>1384</v>
      </c>
      <c r="D518" s="7" t="s">
        <v>1385</v>
      </c>
      <c r="F518" s="7" t="s">
        <v>1386</v>
      </c>
      <c r="G518" s="7" t="n">
        <v>2018</v>
      </c>
      <c r="H518" s="7" t="s">
        <v>48</v>
      </c>
      <c r="I518" s="7" t="s">
        <v>205</v>
      </c>
      <c r="J518" s="7" t="s">
        <v>1042</v>
      </c>
      <c r="K518" s="7" t="n">
        <f aca="false">IFERROR(VALUE(RIGHT(TRIM(F518),4)),"")</f>
        <v>2018</v>
      </c>
      <c r="L518" s="7" t="str">
        <f aca="false">IF(TRIM(E518)="","Unknown",IFERROR(LEFT(TRIM(E518),FIND(",",TRIM(E518))-1),TRIM(E518)))</f>
        <v>Unknown</v>
      </c>
      <c r="M518" s="7" t="str">
        <f aca="false">IFERROR(LEFT(J518,FIND(",",J518)-1),J518)</f>
        <v>Dramas</v>
      </c>
      <c r="N518" s="7" t="n">
        <f aca="false">IF(B518="Movie",IFERROR(VALUE(LEFT(I518,FIND(" ",I518)-1)),""),"")</f>
        <v>100</v>
      </c>
      <c r="O518" s="7" t="str">
        <f aca="false">IF(B518="TV Show",IFERROR(VALUE(LEFT(I518,FIND(" ",I518)-1)),""),"")</f>
        <v/>
      </c>
      <c r="P518" s="7" t="n">
        <f aca="false">IF(K518="","",K518-G518)</f>
        <v>0</v>
      </c>
    </row>
    <row r="519" customFormat="false" ht="15" hidden="false" customHeight="false" outlineLevel="0" collapsed="false">
      <c r="A519" s="7" t="n">
        <v>80990221</v>
      </c>
      <c r="B519" s="7" t="s">
        <v>68</v>
      </c>
      <c r="C519" s="7" t="s">
        <v>1387</v>
      </c>
      <c r="D519" s="7" t="s">
        <v>1388</v>
      </c>
      <c r="E519" s="7" t="s">
        <v>1389</v>
      </c>
      <c r="F519" s="7" t="s">
        <v>1386</v>
      </c>
      <c r="G519" s="7" t="n">
        <v>2018</v>
      </c>
      <c r="H519" s="7" t="s">
        <v>52</v>
      </c>
      <c r="I519" s="7" t="s">
        <v>235</v>
      </c>
      <c r="J519" s="7" t="s">
        <v>304</v>
      </c>
      <c r="K519" s="7" t="n">
        <f aca="false">IFERROR(VALUE(RIGHT(TRIM(F519),4)),"")</f>
        <v>2018</v>
      </c>
      <c r="L519" s="7" t="str">
        <f aca="false">IF(TRIM(E519)="","Unknown",IFERROR(LEFT(TRIM(E519),FIND(",",TRIM(E519))-1),TRIM(E519)))</f>
        <v>Russia</v>
      </c>
      <c r="M519" s="7" t="str">
        <f aca="false">IFERROR(LEFT(J519,FIND(",",J519)-1),J519)</f>
        <v>Dramas</v>
      </c>
      <c r="N519" s="7" t="n">
        <f aca="false">IF(B519="Movie",IFERROR(VALUE(LEFT(I519,FIND(" ",I519)-1)),""),"")</f>
        <v>126</v>
      </c>
      <c r="O519" s="7" t="str">
        <f aca="false">IF(B519="TV Show",IFERROR(VALUE(LEFT(I519,FIND(" ",I519)-1)),""),"")</f>
        <v/>
      </c>
      <c r="P519" s="7" t="n">
        <f aca="false">IF(K519="","",K519-G519)</f>
        <v>0</v>
      </c>
    </row>
    <row r="520" customFormat="false" ht="15" hidden="false" customHeight="false" outlineLevel="0" collapsed="false">
      <c r="A520" s="7" t="n">
        <v>80202352</v>
      </c>
      <c r="B520" s="7" t="s">
        <v>68</v>
      </c>
      <c r="C520" s="7" t="s">
        <v>1390</v>
      </c>
      <c r="D520" s="7" t="s">
        <v>1391</v>
      </c>
      <c r="E520" s="7" t="s">
        <v>1392</v>
      </c>
      <c r="F520" s="7" t="s">
        <v>1386</v>
      </c>
      <c r="G520" s="7" t="n">
        <v>2019</v>
      </c>
      <c r="H520" s="7" t="s">
        <v>48</v>
      </c>
      <c r="I520" s="7" t="s">
        <v>357</v>
      </c>
      <c r="J520" s="7" t="s">
        <v>276</v>
      </c>
      <c r="K520" s="7" t="n">
        <f aca="false">IFERROR(VALUE(RIGHT(TRIM(F520),4)),"")</f>
        <v>2018</v>
      </c>
      <c r="L520" s="7" t="str">
        <f aca="false">IF(TRIM(E520)="","Unknown",IFERROR(LEFT(TRIM(E520),FIND(",",TRIM(E520))-1),TRIM(E520)))</f>
        <v>Serbia</v>
      </c>
      <c r="M520" s="7" t="str">
        <f aca="false">IFERROR(LEFT(J520,FIND(",",J520)-1),J520)</f>
        <v>Action &amp; Adventure</v>
      </c>
      <c r="N520" s="7" t="n">
        <f aca="false">IF(B520="Movie",IFERROR(VALUE(LEFT(I520,FIND(" ",I520)-1)),""),"")</f>
        <v>89</v>
      </c>
      <c r="O520" s="7" t="str">
        <f aca="false">IF(B520="TV Show",IFERROR(VALUE(LEFT(I520,FIND(" ",I520)-1)),""),"")</f>
        <v/>
      </c>
      <c r="P520" s="7" t="n">
        <f aca="false">IF(K520="","",K520-G520)</f>
        <v>-1</v>
      </c>
    </row>
    <row r="521" customFormat="false" ht="15" hidden="false" customHeight="false" outlineLevel="0" collapsed="false">
      <c r="A521" s="7" t="n">
        <v>80235268</v>
      </c>
      <c r="B521" s="7" t="s">
        <v>68</v>
      </c>
      <c r="C521" s="7" t="s">
        <v>1393</v>
      </c>
      <c r="D521" s="7" t="s">
        <v>1394</v>
      </c>
      <c r="E521" s="7" t="s">
        <v>1395</v>
      </c>
      <c r="F521" s="7" t="s">
        <v>1386</v>
      </c>
      <c r="G521" s="7" t="n">
        <v>2018</v>
      </c>
      <c r="H521" s="7" t="s">
        <v>48</v>
      </c>
      <c r="I521" s="7" t="s">
        <v>73</v>
      </c>
      <c r="J521" s="7" t="s">
        <v>217</v>
      </c>
      <c r="K521" s="7" t="n">
        <f aca="false">IFERROR(VALUE(RIGHT(TRIM(F521),4)),"")</f>
        <v>2018</v>
      </c>
      <c r="L521" s="7" t="str">
        <f aca="false">IF(TRIM(E521)="","Unknown",IFERROR(LEFT(TRIM(E521),FIND(",",TRIM(E521))-1),TRIM(E521)))</f>
        <v>Spain</v>
      </c>
      <c r="M521" s="7" t="str">
        <f aca="false">IFERROR(LEFT(J521,FIND(",",J521)-1),J521)</f>
        <v>Comedies</v>
      </c>
      <c r="N521" s="7" t="n">
        <f aca="false">IF(B521="Movie",IFERROR(VALUE(LEFT(I521,FIND(" ",I521)-1)),""),"")</f>
        <v>90</v>
      </c>
      <c r="O521" s="7" t="str">
        <f aca="false">IF(B521="TV Show",IFERROR(VALUE(LEFT(I521,FIND(" ",I521)-1)),""),"")</f>
        <v/>
      </c>
      <c r="P521" s="7" t="n">
        <f aca="false">IF(K521="","",K521-G521)</f>
        <v>0</v>
      </c>
    </row>
    <row r="522" customFormat="false" ht="15" hidden="false" customHeight="false" outlineLevel="0" collapsed="false">
      <c r="A522" s="7" t="n">
        <v>80992500</v>
      </c>
      <c r="B522" s="7" t="s">
        <v>68</v>
      </c>
      <c r="C522" s="7" t="s">
        <v>1396</v>
      </c>
      <c r="E522" s="7" t="s">
        <v>1397</v>
      </c>
      <c r="F522" s="7" t="s">
        <v>1386</v>
      </c>
      <c r="G522" s="7" t="n">
        <v>2018</v>
      </c>
      <c r="H522" s="7" t="s">
        <v>49</v>
      </c>
      <c r="I522" s="7" t="s">
        <v>494</v>
      </c>
      <c r="J522" s="7" t="s">
        <v>206</v>
      </c>
      <c r="K522" s="7" t="n">
        <f aca="false">IFERROR(VALUE(RIGHT(TRIM(F522),4)),"")</f>
        <v>2018</v>
      </c>
      <c r="L522" s="7" t="str">
        <f aca="false">IF(TRIM(E522)="","Unknown",IFERROR(LEFT(TRIM(E522),FIND(",",TRIM(E522))-1),TRIM(E522)))</f>
        <v>Colombia</v>
      </c>
      <c r="M522" s="7" t="str">
        <f aca="false">IFERROR(LEFT(J522,FIND(",",J522)-1),J522)</f>
        <v>Comedies</v>
      </c>
      <c r="N522" s="7" t="n">
        <f aca="false">IF(B522="Movie",IFERROR(VALUE(LEFT(I522,FIND(" ",I522)-1)),""),"")</f>
        <v>87</v>
      </c>
      <c r="O522" s="7" t="str">
        <f aca="false">IF(B522="TV Show",IFERROR(VALUE(LEFT(I522,FIND(" ",I522)-1)),""),"")</f>
        <v/>
      </c>
      <c r="P522" s="7" t="n">
        <f aca="false">IF(K522="","",K522-G522)</f>
        <v>0</v>
      </c>
    </row>
    <row r="523" customFormat="false" ht="15" hidden="false" customHeight="false" outlineLevel="0" collapsed="false">
      <c r="A523" s="7" t="n">
        <v>80241061</v>
      </c>
      <c r="B523" s="7" t="s">
        <v>68</v>
      </c>
      <c r="C523" s="7" t="s">
        <v>1398</v>
      </c>
      <c r="D523" s="7" t="s">
        <v>1399</v>
      </c>
      <c r="E523" s="7" t="s">
        <v>293</v>
      </c>
      <c r="F523" s="7" t="s">
        <v>1386</v>
      </c>
      <c r="G523" s="7" t="n">
        <v>2018</v>
      </c>
      <c r="H523" s="7" t="s">
        <v>49</v>
      </c>
      <c r="I523" s="7" t="s">
        <v>451</v>
      </c>
      <c r="J523" s="7" t="s">
        <v>39</v>
      </c>
      <c r="K523" s="7" t="n">
        <f aca="false">IFERROR(VALUE(RIGHT(TRIM(F523),4)),"")</f>
        <v>2018</v>
      </c>
      <c r="L523" s="7" t="str">
        <f aca="false">IF(TRIM(E523)="","Unknown",IFERROR(LEFT(TRIM(E523),FIND(",",TRIM(E523))-1),TRIM(E523)))</f>
        <v>United States</v>
      </c>
      <c r="M523" s="7" t="str">
        <f aca="false">IFERROR(LEFT(J523,FIND(",",J523)-1),J523)</f>
        <v>Documentaries</v>
      </c>
      <c r="N523" s="7" t="n">
        <f aca="false">IF(B523="Movie",IFERROR(VALUE(LEFT(I523,FIND(" ",I523)-1)),""),"")</f>
        <v>97</v>
      </c>
      <c r="O523" s="7" t="str">
        <f aca="false">IF(B523="TV Show",IFERROR(VALUE(LEFT(I523,FIND(" ",I523)-1)),""),"")</f>
        <v/>
      </c>
      <c r="P523" s="7" t="n">
        <f aca="false">IF(K523="","",K523-G523)</f>
        <v>0</v>
      </c>
    </row>
    <row r="524" customFormat="false" ht="15" hidden="false" customHeight="false" outlineLevel="0" collapsed="false">
      <c r="A524" s="7" t="n">
        <v>80185048</v>
      </c>
      <c r="B524" s="7" t="s">
        <v>78</v>
      </c>
      <c r="C524" s="7" t="s">
        <v>1400</v>
      </c>
      <c r="E524" s="7" t="s">
        <v>1401</v>
      </c>
      <c r="F524" s="7" t="s">
        <v>1386</v>
      </c>
      <c r="G524" s="7" t="n">
        <v>2018</v>
      </c>
      <c r="H524" s="7" t="s">
        <v>48</v>
      </c>
      <c r="I524" s="7" t="s">
        <v>82</v>
      </c>
      <c r="J524" s="7" t="s">
        <v>1402</v>
      </c>
      <c r="K524" s="7" t="n">
        <f aca="false">IFERROR(VALUE(RIGHT(TRIM(F524),4)),"")</f>
        <v>2018</v>
      </c>
      <c r="L524" s="7" t="str">
        <f aca="false">IF(TRIM(E524)="","Unknown",IFERROR(LEFT(TRIM(E524),FIND(",",TRIM(E524))-1),TRIM(E524)))</f>
        <v>United States</v>
      </c>
      <c r="M524" s="7" t="str">
        <f aca="false">IFERROR(LEFT(J524,FIND(",",J524)-1),J524)</f>
        <v>Crime TV Shows</v>
      </c>
      <c r="N524" s="7" t="str">
        <f aca="false">IF(B524="Movie",IFERROR(VALUE(LEFT(I524,FIND(" ",I524)-1)),""),"")</f>
        <v/>
      </c>
      <c r="O524" s="7" t="n">
        <f aca="false">IF(B524="TV Show",IFERROR(VALUE(LEFT(I524,FIND(" ",I524)-1)),""),"")</f>
        <v>1</v>
      </c>
      <c r="P524" s="7" t="n">
        <f aca="false">IF(K524="","",K524-G524)</f>
        <v>0</v>
      </c>
    </row>
    <row r="525" customFormat="false" ht="15" hidden="false" customHeight="false" outlineLevel="0" collapsed="false">
      <c r="A525" s="7" t="n">
        <v>81025088</v>
      </c>
      <c r="B525" s="7" t="s">
        <v>68</v>
      </c>
      <c r="C525" s="7" t="s">
        <v>1403</v>
      </c>
      <c r="D525" s="7" t="s">
        <v>1404</v>
      </c>
      <c r="E525" s="7" t="s">
        <v>27</v>
      </c>
      <c r="F525" s="7" t="s">
        <v>1386</v>
      </c>
      <c r="G525" s="7" t="n">
        <v>2018</v>
      </c>
      <c r="H525" s="7" t="s">
        <v>48</v>
      </c>
      <c r="I525" s="7" t="s">
        <v>1405</v>
      </c>
      <c r="J525" s="7" t="s">
        <v>182</v>
      </c>
      <c r="K525" s="7" t="n">
        <f aca="false">IFERROR(VALUE(RIGHT(TRIM(F525),4)),"")</f>
        <v>2018</v>
      </c>
      <c r="L525" s="7" t="str">
        <f aca="false">IF(TRIM(E525)="","Unknown",IFERROR(LEFT(TRIM(E525),FIND(",",TRIM(E525))-1),TRIM(E525)))</f>
        <v>India</v>
      </c>
      <c r="M525" s="7" t="str">
        <f aca="false">IFERROR(LEFT(J525,FIND(",",J525)-1),J525)</f>
        <v>Dramas</v>
      </c>
      <c r="N525" s="7" t="n">
        <f aca="false">IF(B525="Movie",IFERROR(VALUE(LEFT(I525,FIND(" ",I525)-1)),""),"")</f>
        <v>115</v>
      </c>
      <c r="O525" s="7" t="str">
        <f aca="false">IF(B525="TV Show",IFERROR(VALUE(LEFT(I525,FIND(" ",I525)-1)),""),"")</f>
        <v/>
      </c>
      <c r="P525" s="7" t="n">
        <f aca="false">IF(K525="","",K525-G525)</f>
        <v>0</v>
      </c>
    </row>
    <row r="526" customFormat="false" ht="15" hidden="false" customHeight="false" outlineLevel="0" collapsed="false">
      <c r="A526" s="7" t="n">
        <v>80173479</v>
      </c>
      <c r="B526" s="7" t="s">
        <v>68</v>
      </c>
      <c r="C526" s="7" t="s">
        <v>1406</v>
      </c>
      <c r="D526" s="7" t="s">
        <v>1407</v>
      </c>
      <c r="E526" s="7" t="s">
        <v>26</v>
      </c>
      <c r="F526" s="7" t="s">
        <v>1408</v>
      </c>
      <c r="G526" s="7" t="n">
        <v>2016</v>
      </c>
      <c r="H526" s="7" t="s">
        <v>51</v>
      </c>
      <c r="I526" s="7" t="s">
        <v>470</v>
      </c>
      <c r="J526" s="7" t="s">
        <v>150</v>
      </c>
      <c r="K526" s="7" t="n">
        <f aca="false">IFERROR(VALUE(RIGHT(TRIM(F526),4)),"")</f>
        <v>2017</v>
      </c>
      <c r="L526" s="7" t="str">
        <f aca="false">IF(TRIM(E526)="","Unknown",IFERROR(LEFT(TRIM(E526),FIND(",",TRIM(E526))-1),TRIM(E526)))</f>
        <v>United States</v>
      </c>
      <c r="M526" s="7" t="str">
        <f aca="false">IFERROR(LEFT(J526,FIND(",",J526)-1),J526)</f>
        <v>Dramas</v>
      </c>
      <c r="N526" s="7" t="n">
        <f aca="false">IF(B526="Movie",IFERROR(VALUE(LEFT(I526,FIND(" ",I526)-1)),""),"")</f>
        <v>91</v>
      </c>
      <c r="O526" s="7" t="str">
        <f aca="false">IF(B526="TV Show",IFERROR(VALUE(LEFT(I526,FIND(" ",I526)-1)),""),"")</f>
        <v/>
      </c>
      <c r="P526" s="7" t="n">
        <f aca="false">IF(K526="","",K526-G526)</f>
        <v>1</v>
      </c>
    </row>
    <row r="527" customFormat="false" ht="15" hidden="false" customHeight="false" outlineLevel="0" collapsed="false">
      <c r="A527" s="7" t="n">
        <v>80081372</v>
      </c>
      <c r="B527" s="7" t="s">
        <v>68</v>
      </c>
      <c r="C527" s="7" t="s">
        <v>1409</v>
      </c>
      <c r="D527" s="7" t="s">
        <v>1410</v>
      </c>
      <c r="E527" s="7" t="s">
        <v>801</v>
      </c>
      <c r="F527" s="7" t="s">
        <v>1411</v>
      </c>
      <c r="G527" s="7" t="n">
        <v>2015</v>
      </c>
      <c r="H527" s="7" t="s">
        <v>52</v>
      </c>
      <c r="I527" s="7" t="s">
        <v>134</v>
      </c>
      <c r="J527" s="7" t="s">
        <v>304</v>
      </c>
      <c r="K527" s="7" t="n">
        <f aca="false">IFERROR(VALUE(RIGHT(TRIM(F527),4)),"")</f>
        <v>2019</v>
      </c>
      <c r="L527" s="7" t="str">
        <f aca="false">IF(TRIM(E527)="","Unknown",IFERROR(LEFT(TRIM(E527),FIND(",",TRIM(E527))-1),TRIM(E527)))</f>
        <v>Israel</v>
      </c>
      <c r="M527" s="7" t="str">
        <f aca="false">IFERROR(LEFT(J527,FIND(",",J527)-1),J527)</f>
        <v>Dramas</v>
      </c>
      <c r="N527" s="7" t="n">
        <f aca="false">IF(B527="Movie",IFERROR(VALUE(LEFT(I527,FIND(" ",I527)-1)),""),"")</f>
        <v>98</v>
      </c>
      <c r="O527" s="7" t="str">
        <f aca="false">IF(B527="TV Show",IFERROR(VALUE(LEFT(I527,FIND(" ",I527)-1)),""),"")</f>
        <v/>
      </c>
      <c r="P527" s="7" t="n">
        <f aca="false">IF(K527="","",K527-G527)</f>
        <v>4</v>
      </c>
    </row>
    <row r="528" customFormat="false" ht="15" hidden="false" customHeight="false" outlineLevel="0" collapsed="false">
      <c r="A528" s="7" t="n">
        <v>81136744</v>
      </c>
      <c r="B528" s="7" t="s">
        <v>68</v>
      </c>
      <c r="C528" s="7" t="s">
        <v>1412</v>
      </c>
      <c r="D528" s="7" t="s">
        <v>1413</v>
      </c>
      <c r="E528" s="7" t="s">
        <v>26</v>
      </c>
      <c r="F528" s="7" t="s">
        <v>1411</v>
      </c>
      <c r="G528" s="7" t="n">
        <v>2019</v>
      </c>
      <c r="H528" s="7" t="s">
        <v>49</v>
      </c>
      <c r="I528" s="7" t="s">
        <v>77</v>
      </c>
      <c r="J528" s="7" t="s">
        <v>1414</v>
      </c>
      <c r="K528" s="7" t="n">
        <f aca="false">IFERROR(VALUE(RIGHT(TRIM(F528),4)),"")</f>
        <v>2019</v>
      </c>
      <c r="L528" s="7" t="str">
        <f aca="false">IF(TRIM(E528)="","Unknown",IFERROR(LEFT(TRIM(E528),FIND(",",TRIM(E528))-1),TRIM(E528)))</f>
        <v>United States</v>
      </c>
      <c r="M528" s="7" t="str">
        <f aca="false">IFERROR(LEFT(J528,FIND(",",J528)-1),J528)</f>
        <v>Horror Movies</v>
      </c>
      <c r="N528" s="7" t="n">
        <f aca="false">IF(B528="Movie",IFERROR(VALUE(LEFT(I528,FIND(" ",I528)-1)),""),"")</f>
        <v>94</v>
      </c>
      <c r="O528" s="7" t="str">
        <f aca="false">IF(B528="TV Show",IFERROR(VALUE(LEFT(I528,FIND(" ",I528)-1)),""),"")</f>
        <v/>
      </c>
      <c r="P528" s="7" t="n">
        <f aca="false">IF(K528="","",K528-G528)</f>
        <v>0</v>
      </c>
    </row>
    <row r="529" customFormat="false" ht="15" hidden="false" customHeight="false" outlineLevel="0" collapsed="false">
      <c r="A529" s="7" t="n">
        <v>80221210</v>
      </c>
      <c r="B529" s="7" t="s">
        <v>78</v>
      </c>
      <c r="C529" s="7" t="s">
        <v>1415</v>
      </c>
      <c r="E529" s="7" t="s">
        <v>325</v>
      </c>
      <c r="F529" s="7" t="s">
        <v>1411</v>
      </c>
      <c r="G529" s="7" t="n">
        <v>2019</v>
      </c>
      <c r="H529" s="7" t="s">
        <v>48</v>
      </c>
      <c r="I529" s="7" t="s">
        <v>82</v>
      </c>
      <c r="J529" s="7" t="s">
        <v>402</v>
      </c>
      <c r="K529" s="7" t="n">
        <f aca="false">IFERROR(VALUE(RIGHT(TRIM(F529),4)),"")</f>
        <v>2019</v>
      </c>
      <c r="L529" s="7" t="str">
        <f aca="false">IF(TRIM(E529)="","Unknown",IFERROR(LEFT(TRIM(E529),FIND(",",TRIM(E529))-1),TRIM(E529)))</f>
        <v>Brazil</v>
      </c>
      <c r="M529" s="7" t="str">
        <f aca="false">IFERROR(LEFT(J529,FIND(",",J529)-1),J529)</f>
        <v>Crime TV Shows</v>
      </c>
      <c r="N529" s="7" t="str">
        <f aca="false">IF(B529="Movie",IFERROR(VALUE(LEFT(I529,FIND(" ",I529)-1)),""),"")</f>
        <v/>
      </c>
      <c r="O529" s="7" t="n">
        <f aca="false">IF(B529="TV Show",IFERROR(VALUE(LEFT(I529,FIND(" ",I529)-1)),""),"")</f>
        <v>1</v>
      </c>
      <c r="P529" s="7" t="n">
        <f aca="false">IF(K529="","",K529-G529)</f>
        <v>0</v>
      </c>
    </row>
    <row r="530" customFormat="false" ht="15" hidden="false" customHeight="false" outlineLevel="0" collapsed="false">
      <c r="A530" s="7" t="n">
        <v>81132444</v>
      </c>
      <c r="B530" s="7" t="s">
        <v>68</v>
      </c>
      <c r="C530" s="7" t="s">
        <v>1416</v>
      </c>
      <c r="D530" s="7" t="s">
        <v>1417</v>
      </c>
      <c r="E530" s="7" t="s">
        <v>396</v>
      </c>
      <c r="F530" s="7" t="s">
        <v>1411</v>
      </c>
      <c r="G530" s="7" t="n">
        <v>2014</v>
      </c>
      <c r="H530" s="7" t="s">
        <v>48</v>
      </c>
      <c r="I530" s="7" t="s">
        <v>173</v>
      </c>
      <c r="J530" s="7" t="s">
        <v>182</v>
      </c>
      <c r="K530" s="7" t="n">
        <f aca="false">IFERROR(VALUE(RIGHT(TRIM(F530),4)),"")</f>
        <v>2019</v>
      </c>
      <c r="L530" s="7" t="str">
        <f aca="false">IF(TRIM(E530)="","Unknown",IFERROR(LEFT(TRIM(E530),FIND(",",TRIM(E530))-1),TRIM(E530)))</f>
        <v>Turkey</v>
      </c>
      <c r="M530" s="7" t="str">
        <f aca="false">IFERROR(LEFT(J530,FIND(",",J530)-1),J530)</f>
        <v>Dramas</v>
      </c>
      <c r="N530" s="7" t="n">
        <f aca="false">IF(B530="Movie",IFERROR(VALUE(LEFT(I530,FIND(" ",I530)-1)),""),"")</f>
        <v>106</v>
      </c>
      <c r="O530" s="7" t="str">
        <f aca="false">IF(B530="TV Show",IFERROR(VALUE(LEFT(I530,FIND(" ",I530)-1)),""),"")</f>
        <v/>
      </c>
      <c r="P530" s="7" t="n">
        <f aca="false">IF(K530="","",K530-G530)</f>
        <v>5</v>
      </c>
    </row>
    <row r="531" customFormat="false" ht="15" hidden="false" customHeight="false" outlineLevel="0" collapsed="false">
      <c r="A531" s="7" t="n">
        <v>80182014</v>
      </c>
      <c r="B531" s="7" t="s">
        <v>68</v>
      </c>
      <c r="C531" s="7" t="s">
        <v>1418</v>
      </c>
      <c r="D531" s="7" t="s">
        <v>1419</v>
      </c>
      <c r="E531" s="7" t="s">
        <v>26</v>
      </c>
      <c r="F531" s="7" t="s">
        <v>1411</v>
      </c>
      <c r="G531" s="7" t="n">
        <v>2019</v>
      </c>
      <c r="H531" s="7" t="s">
        <v>51</v>
      </c>
      <c r="I531" s="7" t="s">
        <v>1270</v>
      </c>
      <c r="J531" s="7" t="s">
        <v>251</v>
      </c>
      <c r="K531" s="7" t="n">
        <f aca="false">IFERROR(VALUE(RIGHT(TRIM(F531),4)),"")</f>
        <v>2019</v>
      </c>
      <c r="L531" s="7" t="str">
        <f aca="false">IF(TRIM(E531)="","Unknown",IFERROR(LEFT(TRIM(E531),FIND(",",TRIM(E531))-1),TRIM(E531)))</f>
        <v>United States</v>
      </c>
      <c r="M531" s="7" t="str">
        <f aca="false">IFERROR(LEFT(J531,FIND(",",J531)-1),J531)</f>
        <v>Comedies</v>
      </c>
      <c r="N531" s="7" t="n">
        <f aca="false">IF(B531="Movie",IFERROR(VALUE(LEFT(I531,FIND(" ",I531)-1)),""),"")</f>
        <v>118</v>
      </c>
      <c r="O531" s="7" t="str">
        <f aca="false">IF(B531="TV Show",IFERROR(VALUE(LEFT(I531,FIND(" ",I531)-1)),""),"")</f>
        <v/>
      </c>
      <c r="P531" s="7" t="n">
        <f aca="false">IF(K531="","",K531-G531)</f>
        <v>0</v>
      </c>
    </row>
    <row r="532" customFormat="false" ht="15" hidden="false" customHeight="false" outlineLevel="0" collapsed="false">
      <c r="A532" s="7" t="n">
        <v>81010786</v>
      </c>
      <c r="B532" s="7" t="s">
        <v>78</v>
      </c>
      <c r="C532" s="7" t="s">
        <v>1420</v>
      </c>
      <c r="E532" s="7" t="s">
        <v>33</v>
      </c>
      <c r="F532" s="7" t="s">
        <v>1411</v>
      </c>
      <c r="G532" s="7" t="n">
        <v>2019</v>
      </c>
      <c r="H532" s="7" t="s">
        <v>48</v>
      </c>
      <c r="I532" s="7" t="s">
        <v>82</v>
      </c>
      <c r="J532" s="7" t="s">
        <v>89</v>
      </c>
      <c r="K532" s="7" t="n">
        <f aca="false">IFERROR(VALUE(RIGHT(TRIM(F532),4)),"")</f>
        <v>2019</v>
      </c>
      <c r="L532" s="7" t="str">
        <f aca="false">IF(TRIM(E532)="","Unknown",IFERROR(LEFT(TRIM(E532),FIND(",",TRIM(E532))-1),TRIM(E532)))</f>
        <v>Spain</v>
      </c>
      <c r="M532" s="7" t="str">
        <f aca="false">IFERROR(LEFT(J532,FIND(",",J532)-1),J532)</f>
        <v>Crime TV Shows</v>
      </c>
      <c r="N532" s="7" t="str">
        <f aca="false">IF(B532="Movie",IFERROR(VALUE(LEFT(I532,FIND(" ",I532)-1)),""),"")</f>
        <v/>
      </c>
      <c r="O532" s="7" t="n">
        <f aca="false">IF(B532="TV Show",IFERROR(VALUE(LEFT(I532,FIND(" ",I532)-1)),""),"")</f>
        <v>1</v>
      </c>
      <c r="P532" s="7" t="n">
        <f aca="false">IF(K532="","",K532-G532)</f>
        <v>0</v>
      </c>
    </row>
    <row r="533" customFormat="false" ht="15" hidden="false" customHeight="false" outlineLevel="0" collapsed="false">
      <c r="A533" s="7" t="n">
        <v>81078456</v>
      </c>
      <c r="B533" s="7" t="s">
        <v>68</v>
      </c>
      <c r="C533" s="7" t="s">
        <v>1421</v>
      </c>
      <c r="D533" s="7" t="s">
        <v>1422</v>
      </c>
      <c r="E533" s="7" t="s">
        <v>1423</v>
      </c>
      <c r="F533" s="7" t="s">
        <v>1411</v>
      </c>
      <c r="G533" s="7" t="n">
        <v>2019</v>
      </c>
      <c r="H533" s="7" t="s">
        <v>48</v>
      </c>
      <c r="I533" s="7" t="s">
        <v>378</v>
      </c>
      <c r="J533" s="7" t="s">
        <v>39</v>
      </c>
      <c r="K533" s="7" t="n">
        <f aca="false">IFERROR(VALUE(RIGHT(TRIM(F533),4)),"")</f>
        <v>2019</v>
      </c>
      <c r="L533" s="7" t="str">
        <f aca="false">IF(TRIM(E533)="","Unknown",IFERROR(LEFT(TRIM(E533),FIND(",",TRIM(E533))-1),TRIM(E533)))</f>
        <v>United States</v>
      </c>
      <c r="M533" s="7" t="str">
        <f aca="false">IFERROR(LEFT(J533,FIND(",",J533)-1),J533)</f>
        <v>Documentaries</v>
      </c>
      <c r="N533" s="7" t="n">
        <f aca="false">IF(B533="Movie",IFERROR(VALUE(LEFT(I533,FIND(" ",I533)-1)),""),"")</f>
        <v>127</v>
      </c>
      <c r="O533" s="7" t="str">
        <f aca="false">IF(B533="TV Show",IFERROR(VALUE(LEFT(I533,FIND(" ",I533)-1)),""),"")</f>
        <v/>
      </c>
      <c r="P533" s="7" t="n">
        <f aca="false">IF(K533="","",K533-G533)</f>
        <v>0</v>
      </c>
    </row>
    <row r="534" customFormat="false" ht="15" hidden="false" customHeight="false" outlineLevel="0" collapsed="false">
      <c r="A534" s="7" t="n">
        <v>81105406</v>
      </c>
      <c r="B534" s="7" t="s">
        <v>78</v>
      </c>
      <c r="C534" s="7" t="s">
        <v>1424</v>
      </c>
      <c r="E534" s="7" t="s">
        <v>1113</v>
      </c>
      <c r="F534" s="7" t="s">
        <v>1411</v>
      </c>
      <c r="G534" s="7" t="n">
        <v>2018</v>
      </c>
      <c r="H534" s="7" t="s">
        <v>48</v>
      </c>
      <c r="I534" s="7" t="s">
        <v>82</v>
      </c>
      <c r="J534" s="7" t="s">
        <v>89</v>
      </c>
      <c r="K534" s="7" t="n">
        <f aca="false">IFERROR(VALUE(RIGHT(TRIM(F534),4)),"")</f>
        <v>2019</v>
      </c>
      <c r="L534" s="7" t="str">
        <f aca="false">IF(TRIM(E534)="","Unknown",IFERROR(LEFT(TRIM(E534),FIND(",",TRIM(E534))-1),TRIM(E534)))</f>
        <v>Argentina</v>
      </c>
      <c r="M534" s="7" t="str">
        <f aca="false">IFERROR(LEFT(J534,FIND(",",J534)-1),J534)</f>
        <v>Crime TV Shows</v>
      </c>
      <c r="N534" s="7" t="str">
        <f aca="false">IF(B534="Movie",IFERROR(VALUE(LEFT(I534,FIND(" ",I534)-1)),""),"")</f>
        <v/>
      </c>
      <c r="O534" s="7" t="n">
        <f aca="false">IF(B534="TV Show",IFERROR(VALUE(LEFT(I534,FIND(" ",I534)-1)),""),"")</f>
        <v>1</v>
      </c>
      <c r="P534" s="7" t="n">
        <f aca="false">IF(K534="","",K534-G534)</f>
        <v>1</v>
      </c>
    </row>
    <row r="535" customFormat="false" ht="15" hidden="false" customHeight="false" outlineLevel="0" collapsed="false">
      <c r="A535" s="7" t="n">
        <v>81121023</v>
      </c>
      <c r="B535" s="7" t="s">
        <v>68</v>
      </c>
      <c r="C535" s="7" t="s">
        <v>1425</v>
      </c>
      <c r="D535" s="7" t="s">
        <v>1426</v>
      </c>
      <c r="F535" s="7" t="s">
        <v>1411</v>
      </c>
      <c r="G535" s="7" t="n">
        <v>2019</v>
      </c>
      <c r="H535" s="7" t="s">
        <v>50</v>
      </c>
      <c r="I535" s="7" t="s">
        <v>123</v>
      </c>
      <c r="J535" s="7" t="s">
        <v>1427</v>
      </c>
      <c r="K535" s="7" t="n">
        <f aca="false">IFERROR(VALUE(RIGHT(TRIM(F535),4)),"")</f>
        <v>2019</v>
      </c>
      <c r="L535" s="7" t="str">
        <f aca="false">IF(TRIM(E535)="","Unknown",IFERROR(LEFT(TRIM(E535),FIND(",",TRIM(E535))-1),TRIM(E535)))</f>
        <v>Unknown</v>
      </c>
      <c r="M535" s="7" t="str">
        <f aca="false">IFERROR(LEFT(J535,FIND(",",J535)-1),J535)</f>
        <v>International Movies</v>
      </c>
      <c r="N535" s="7" t="n">
        <f aca="false">IF(B535="Movie",IFERROR(VALUE(LEFT(I535,FIND(" ",I535)-1)),""),"")</f>
        <v>61</v>
      </c>
      <c r="O535" s="7" t="str">
        <f aca="false">IF(B535="TV Show",IFERROR(VALUE(LEFT(I535,FIND(" ",I535)-1)),""),"")</f>
        <v/>
      </c>
      <c r="P535" s="7" t="n">
        <f aca="false">IF(K535="","",K535-G535)</f>
        <v>0</v>
      </c>
    </row>
    <row r="536" customFormat="false" ht="15" hidden="false" customHeight="false" outlineLevel="0" collapsed="false">
      <c r="A536" s="7" t="n">
        <v>81061828</v>
      </c>
      <c r="B536" s="7" t="s">
        <v>78</v>
      </c>
      <c r="C536" s="7" t="s">
        <v>1428</v>
      </c>
      <c r="E536" s="7" t="s">
        <v>31</v>
      </c>
      <c r="F536" s="7" t="s">
        <v>1411</v>
      </c>
      <c r="G536" s="7" t="n">
        <v>2019</v>
      </c>
      <c r="H536" s="7" t="s">
        <v>49</v>
      </c>
      <c r="I536" s="7" t="s">
        <v>82</v>
      </c>
      <c r="J536" s="7" t="s">
        <v>884</v>
      </c>
      <c r="K536" s="7" t="n">
        <f aca="false">IFERROR(VALUE(RIGHT(TRIM(F536),4)),"")</f>
        <v>2019</v>
      </c>
      <c r="L536" s="7" t="str">
        <f aca="false">IF(TRIM(E536)="","Unknown",IFERROR(LEFT(TRIM(E536),FIND(",",TRIM(E536))-1),TRIM(E536)))</f>
        <v>France</v>
      </c>
      <c r="M536" s="7" t="str">
        <f aca="false">IFERROR(LEFT(J536,FIND(",",J536)-1),J536)</f>
        <v>International TV Shows</v>
      </c>
      <c r="N536" s="7" t="str">
        <f aca="false">IF(B536="Movie",IFERROR(VALUE(LEFT(I536,FIND(" ",I536)-1)),""),"")</f>
        <v/>
      </c>
      <c r="O536" s="7" t="n">
        <f aca="false">IF(B536="TV Show",IFERROR(VALUE(LEFT(I536,FIND(" ",I536)-1)),""),"")</f>
        <v>1</v>
      </c>
      <c r="P536" s="7" t="n">
        <f aca="false">IF(K536="","",K536-G536)</f>
        <v>0</v>
      </c>
    </row>
    <row r="537" customFormat="false" ht="15" hidden="false" customHeight="false" outlineLevel="0" collapsed="false">
      <c r="A537" s="7" t="n">
        <v>81062582</v>
      </c>
      <c r="B537" s="7" t="s">
        <v>78</v>
      </c>
      <c r="C537" s="7" t="s">
        <v>1429</v>
      </c>
      <c r="E537" s="7" t="s">
        <v>33</v>
      </c>
      <c r="F537" s="7" t="s">
        <v>1411</v>
      </c>
      <c r="G537" s="7" t="n">
        <v>2019</v>
      </c>
      <c r="H537" s="7" t="s">
        <v>50</v>
      </c>
      <c r="I537" s="7" t="s">
        <v>82</v>
      </c>
      <c r="J537" s="7" t="s">
        <v>375</v>
      </c>
      <c r="K537" s="7" t="n">
        <f aca="false">IFERROR(VALUE(RIGHT(TRIM(F537),4)),"")</f>
        <v>2019</v>
      </c>
      <c r="L537" s="7" t="str">
        <f aca="false">IF(TRIM(E537)="","Unknown",IFERROR(LEFT(TRIM(E537),FIND(",",TRIM(E537))-1),TRIM(E537)))</f>
        <v>Spain</v>
      </c>
      <c r="M537" s="7" t="str">
        <f aca="false">IFERROR(LEFT(J537,FIND(",",J537)-1),J537)</f>
        <v>International TV Shows</v>
      </c>
      <c r="N537" s="7" t="str">
        <f aca="false">IF(B537="Movie",IFERROR(VALUE(LEFT(I537,FIND(" ",I537)-1)),""),"")</f>
        <v/>
      </c>
      <c r="O537" s="7" t="n">
        <f aca="false">IF(B537="TV Show",IFERROR(VALUE(LEFT(I537,FIND(" ",I537)-1)),""),"")</f>
        <v>1</v>
      </c>
      <c r="P537" s="7" t="n">
        <f aca="false">IF(K537="","",K537-G537)</f>
        <v>0</v>
      </c>
    </row>
    <row r="538" customFormat="false" ht="15" hidden="false" customHeight="false" outlineLevel="0" collapsed="false">
      <c r="A538" s="7" t="n">
        <v>81017316</v>
      </c>
      <c r="B538" s="7" t="s">
        <v>78</v>
      </c>
      <c r="C538" s="7" t="s">
        <v>1430</v>
      </c>
      <c r="E538" s="7" t="s">
        <v>26</v>
      </c>
      <c r="F538" s="7" t="s">
        <v>1411</v>
      </c>
      <c r="G538" s="7" t="n">
        <v>2019</v>
      </c>
      <c r="H538" s="7" t="s">
        <v>48</v>
      </c>
      <c r="I538" s="7" t="s">
        <v>82</v>
      </c>
      <c r="J538" s="7" t="s">
        <v>1431</v>
      </c>
      <c r="K538" s="7" t="n">
        <f aca="false">IFERROR(VALUE(RIGHT(TRIM(F538),4)),"")</f>
        <v>2019</v>
      </c>
      <c r="L538" s="7" t="str">
        <f aca="false">IF(TRIM(E538)="","Unknown",IFERROR(LEFT(TRIM(E538),FIND(",",TRIM(E538))-1),TRIM(E538)))</f>
        <v>United States</v>
      </c>
      <c r="M538" s="7" t="str">
        <f aca="false">IFERROR(LEFT(J538,FIND(",",J538)-1),J538)</f>
        <v>Reality TV</v>
      </c>
      <c r="N538" s="7" t="str">
        <f aca="false">IF(B538="Movie",IFERROR(VALUE(LEFT(I538,FIND(" ",I538)-1)),""),"")</f>
        <v/>
      </c>
      <c r="O538" s="7" t="n">
        <f aca="false">IF(B538="TV Show",IFERROR(VALUE(LEFT(I538,FIND(" ",I538)-1)),""),"")</f>
        <v>1</v>
      </c>
      <c r="P538" s="7" t="n">
        <f aca="false">IF(K538="","",K538-G538)</f>
        <v>0</v>
      </c>
    </row>
    <row r="539" customFormat="false" ht="15" hidden="false" customHeight="false" outlineLevel="0" collapsed="false">
      <c r="A539" s="7" t="n">
        <v>81018455</v>
      </c>
      <c r="B539" s="7" t="s">
        <v>68</v>
      </c>
      <c r="C539" s="7" t="s">
        <v>1432</v>
      </c>
      <c r="D539" s="7" t="s">
        <v>1433</v>
      </c>
      <c r="E539" s="7" t="s">
        <v>26</v>
      </c>
      <c r="F539" s="7" t="s">
        <v>1411</v>
      </c>
      <c r="G539" s="7" t="n">
        <v>2019</v>
      </c>
      <c r="H539" s="7" t="s">
        <v>48</v>
      </c>
      <c r="I539" s="7" t="s">
        <v>212</v>
      </c>
      <c r="J539" s="7" t="s">
        <v>950</v>
      </c>
      <c r="K539" s="7" t="n">
        <f aca="false">IFERROR(VALUE(RIGHT(TRIM(F539),4)),"")</f>
        <v>2019</v>
      </c>
      <c r="L539" s="7" t="str">
        <f aca="false">IF(TRIM(E539)="","Unknown",IFERROR(LEFT(TRIM(E539),FIND(",",TRIM(E539))-1),TRIM(E539)))</f>
        <v>United States</v>
      </c>
      <c r="M539" s="7" t="str">
        <f aca="false">IFERROR(LEFT(J539,FIND(",",J539)-1),J539)</f>
        <v>Horror Movies</v>
      </c>
      <c r="N539" s="7" t="n">
        <f aca="false">IF(B539="Movie",IFERROR(VALUE(LEFT(I539,FIND(" ",I539)-1)),""),"")</f>
        <v>86</v>
      </c>
      <c r="O539" s="7" t="str">
        <f aca="false">IF(B539="TV Show",IFERROR(VALUE(LEFT(I539,FIND(" ",I539)-1)),""),"")</f>
        <v/>
      </c>
      <c r="P539" s="7" t="n">
        <f aca="false">IF(K539="","",K539-G539)</f>
        <v>0</v>
      </c>
    </row>
    <row r="540" customFormat="false" ht="15" hidden="false" customHeight="false" outlineLevel="0" collapsed="false">
      <c r="A540" s="7" t="n">
        <v>81110383</v>
      </c>
      <c r="B540" s="7" t="s">
        <v>68</v>
      </c>
      <c r="C540" s="7" t="s">
        <v>1434</v>
      </c>
      <c r="D540" s="7" t="s">
        <v>1435</v>
      </c>
      <c r="E540" s="7" t="s">
        <v>1143</v>
      </c>
      <c r="F540" s="7" t="s">
        <v>1411</v>
      </c>
      <c r="G540" s="7" t="n">
        <v>2018</v>
      </c>
      <c r="H540" s="7" t="s">
        <v>48</v>
      </c>
      <c r="I540" s="7" t="s">
        <v>77</v>
      </c>
      <c r="J540" s="7" t="s">
        <v>217</v>
      </c>
      <c r="K540" s="7" t="n">
        <f aca="false">IFERROR(VALUE(RIGHT(TRIM(F540),4)),"")</f>
        <v>2019</v>
      </c>
      <c r="L540" s="7" t="str">
        <f aca="false">IF(TRIM(E540)="","Unknown",IFERROR(LEFT(TRIM(E540),FIND(",",TRIM(E540))-1),TRIM(E540)))</f>
        <v>Switzerland</v>
      </c>
      <c r="M540" s="7" t="str">
        <f aca="false">IFERROR(LEFT(J540,FIND(",",J540)-1),J540)</f>
        <v>Comedies</v>
      </c>
      <c r="N540" s="7" t="n">
        <f aca="false">IF(B540="Movie",IFERROR(VALUE(LEFT(I540,FIND(" ",I540)-1)),""),"")</f>
        <v>94</v>
      </c>
      <c r="O540" s="7" t="str">
        <f aca="false">IF(B540="TV Show",IFERROR(VALUE(LEFT(I540,FIND(" ",I540)-1)),""),"")</f>
        <v/>
      </c>
      <c r="P540" s="7" t="n">
        <f aca="false">IF(K540="","",K540-G540)</f>
        <v>1</v>
      </c>
    </row>
    <row r="541" customFormat="false" ht="15" hidden="false" customHeight="false" outlineLevel="0" collapsed="false">
      <c r="A541" s="7" t="n">
        <v>81200228</v>
      </c>
      <c r="B541" s="7" t="s">
        <v>78</v>
      </c>
      <c r="C541" s="7" t="s">
        <v>1436</v>
      </c>
      <c r="E541" s="7" t="s">
        <v>366</v>
      </c>
      <c r="F541" s="7" t="s">
        <v>1411</v>
      </c>
      <c r="G541" s="7" t="n">
        <v>2019</v>
      </c>
      <c r="H541" s="7" t="s">
        <v>49</v>
      </c>
      <c r="I541" s="7" t="s">
        <v>82</v>
      </c>
      <c r="J541" s="7" t="s">
        <v>1437</v>
      </c>
      <c r="K541" s="7" t="n">
        <f aca="false">IFERROR(VALUE(RIGHT(TRIM(F541),4)),"")</f>
        <v>2019</v>
      </c>
      <c r="L541" s="7" t="str">
        <f aca="false">IF(TRIM(E541)="","Unknown",IFERROR(LEFT(TRIM(E541),FIND(",",TRIM(E541))-1),TRIM(E541)))</f>
        <v>China</v>
      </c>
      <c r="M541" s="7" t="str">
        <f aca="false">IFERROR(LEFT(J541,FIND(",",J541)-1),J541)</f>
        <v>International TV Shows</v>
      </c>
      <c r="N541" s="7" t="str">
        <f aca="false">IF(B541="Movie",IFERROR(VALUE(LEFT(I541,FIND(" ",I541)-1)),""),"")</f>
        <v/>
      </c>
      <c r="O541" s="7" t="n">
        <f aca="false">IF(B541="TV Show",IFERROR(VALUE(LEFT(I541,FIND(" ",I541)-1)),""),"")</f>
        <v>1</v>
      </c>
      <c r="P541" s="7" t="n">
        <f aca="false">IF(K541="","",K541-G541)</f>
        <v>0</v>
      </c>
    </row>
    <row r="542" customFormat="false" ht="15" hidden="false" customHeight="false" outlineLevel="0" collapsed="false">
      <c r="A542" s="7" t="n">
        <v>70218316</v>
      </c>
      <c r="B542" s="7" t="s">
        <v>78</v>
      </c>
      <c r="C542" s="7" t="s">
        <v>1438</v>
      </c>
      <c r="E542" s="7" t="s">
        <v>26</v>
      </c>
      <c r="F542" s="7" t="s">
        <v>1439</v>
      </c>
      <c r="G542" s="7" t="n">
        <v>2009</v>
      </c>
      <c r="H542" s="7" t="s">
        <v>50</v>
      </c>
      <c r="I542" s="7" t="s">
        <v>82</v>
      </c>
      <c r="J542" s="7" t="s">
        <v>191</v>
      </c>
      <c r="K542" s="7" t="n">
        <f aca="false">IFERROR(VALUE(RIGHT(TRIM(F542),4)),"")</f>
        <v>2018</v>
      </c>
      <c r="L542" s="7" t="str">
        <f aca="false">IF(TRIM(E542)="","Unknown",IFERROR(LEFT(TRIM(E542),FIND(",",TRIM(E542))-1),TRIM(E542)))</f>
        <v>United States</v>
      </c>
      <c r="M542" s="7" t="str">
        <f aca="false">IFERROR(LEFT(J542,FIND(",",J542)-1),J542)</f>
        <v>Kids' TV</v>
      </c>
      <c r="N542" s="7" t="str">
        <f aca="false">IF(B542="Movie",IFERROR(VALUE(LEFT(I542,FIND(" ",I542)-1)),""),"")</f>
        <v/>
      </c>
      <c r="O542" s="7" t="n">
        <f aca="false">IF(B542="TV Show",IFERROR(VALUE(LEFT(I542,FIND(" ",I542)-1)),""),"")</f>
        <v>1</v>
      </c>
      <c r="P542" s="7" t="n">
        <f aca="false">IF(K542="","",K542-G542)</f>
        <v>9</v>
      </c>
    </row>
    <row r="543" customFormat="false" ht="15" hidden="false" customHeight="false" outlineLevel="0" collapsed="false">
      <c r="A543" s="7" t="n">
        <v>80995073</v>
      </c>
      <c r="B543" s="7" t="s">
        <v>78</v>
      </c>
      <c r="C543" s="7" t="s">
        <v>1440</v>
      </c>
      <c r="F543" s="7" t="s">
        <v>1439</v>
      </c>
      <c r="G543" s="7" t="n">
        <v>2018</v>
      </c>
      <c r="H543" s="7" t="s">
        <v>49</v>
      </c>
      <c r="I543" s="7" t="s">
        <v>82</v>
      </c>
      <c r="J543" s="7" t="s">
        <v>795</v>
      </c>
      <c r="K543" s="7" t="n">
        <f aca="false">IFERROR(VALUE(RIGHT(TRIM(F543),4)),"")</f>
        <v>2018</v>
      </c>
      <c r="L543" s="7" t="str">
        <f aca="false">IF(TRIM(E543)="","Unknown",IFERROR(LEFT(TRIM(E543),FIND(",",TRIM(E543))-1),TRIM(E543)))</f>
        <v>Unknown</v>
      </c>
      <c r="M543" s="7" t="str">
        <f aca="false">IFERROR(LEFT(J543,FIND(",",J543)-1),J543)</f>
        <v>Stand-Up Comedy &amp; Talk Shows</v>
      </c>
      <c r="N543" s="7" t="str">
        <f aca="false">IF(B543="Movie",IFERROR(VALUE(LEFT(I543,FIND(" ",I543)-1)),""),"")</f>
        <v/>
      </c>
      <c r="O543" s="7" t="n">
        <f aca="false">IF(B543="TV Show",IFERROR(VALUE(LEFT(I543,FIND(" ",I543)-1)),""),"")</f>
        <v>1</v>
      </c>
      <c r="P543" s="7" t="n">
        <f aca="false">IF(K543="","",K543-G543)</f>
        <v>0</v>
      </c>
    </row>
    <row r="544" customFormat="false" ht="15" hidden="false" customHeight="false" outlineLevel="0" collapsed="false">
      <c r="A544" s="7" t="n">
        <v>81018183</v>
      </c>
      <c r="B544" s="7" t="s">
        <v>68</v>
      </c>
      <c r="C544" s="7" t="s">
        <v>1441</v>
      </c>
      <c r="D544" s="7" t="s">
        <v>1442</v>
      </c>
      <c r="E544" s="7" t="s">
        <v>26</v>
      </c>
      <c r="F544" s="7" t="s">
        <v>1439</v>
      </c>
      <c r="G544" s="7" t="n">
        <v>2018</v>
      </c>
      <c r="H544" s="7" t="s">
        <v>49</v>
      </c>
      <c r="I544" s="7" t="s">
        <v>272</v>
      </c>
      <c r="J544" s="7" t="s">
        <v>39</v>
      </c>
      <c r="K544" s="7" t="n">
        <f aca="false">IFERROR(VALUE(RIGHT(TRIM(F544),4)),"")</f>
        <v>2018</v>
      </c>
      <c r="L544" s="7" t="str">
        <f aca="false">IF(TRIM(E544)="","Unknown",IFERROR(LEFT(TRIM(E544),FIND(",",TRIM(E544))-1),TRIM(E544)))</f>
        <v>United States</v>
      </c>
      <c r="M544" s="7" t="str">
        <f aca="false">IFERROR(LEFT(J544,FIND(",",J544)-1),J544)</f>
        <v>Documentaries</v>
      </c>
      <c r="N544" s="7" t="n">
        <f aca="false">IF(B544="Movie",IFERROR(VALUE(LEFT(I544,FIND(" ",I544)-1)),""),"")</f>
        <v>93</v>
      </c>
      <c r="O544" s="7" t="str">
        <f aca="false">IF(B544="TV Show",IFERROR(VALUE(LEFT(I544,FIND(" ",I544)-1)),""),"")</f>
        <v/>
      </c>
      <c r="P544" s="7" t="n">
        <f aca="false">IF(K544="","",K544-G544)</f>
        <v>0</v>
      </c>
    </row>
    <row r="545" customFormat="false" ht="15" hidden="false" customHeight="false" outlineLevel="0" collapsed="false">
      <c r="A545" s="7" t="n">
        <v>80219941</v>
      </c>
      <c r="B545" s="7" t="s">
        <v>68</v>
      </c>
      <c r="C545" s="7" t="s">
        <v>1443</v>
      </c>
      <c r="D545" s="7" t="s">
        <v>1444</v>
      </c>
      <c r="E545" s="7" t="s">
        <v>28</v>
      </c>
      <c r="F545" s="7" t="s">
        <v>1445</v>
      </c>
      <c r="G545" s="7" t="n">
        <v>2017</v>
      </c>
      <c r="H545" s="7" t="s">
        <v>49</v>
      </c>
      <c r="I545" s="7" t="s">
        <v>1446</v>
      </c>
      <c r="J545" s="7" t="s">
        <v>39</v>
      </c>
      <c r="K545" s="7" t="n">
        <f aca="false">IFERROR(VALUE(RIGHT(TRIM(F545),4)),"")</f>
        <v>2017</v>
      </c>
      <c r="L545" s="7" t="str">
        <f aca="false">IF(TRIM(E545)="","Unknown",IFERROR(LEFT(TRIM(E545),FIND(",",TRIM(E545))-1),TRIM(E545)))</f>
        <v>United Kingdom</v>
      </c>
      <c r="M545" s="7" t="str">
        <f aca="false">IFERROR(LEFT(J545,FIND(",",J545)-1),J545)</f>
        <v>Documentaries</v>
      </c>
      <c r="N545" s="7" t="n">
        <f aca="false">IF(B545="Movie",IFERROR(VALUE(LEFT(I545,FIND(" ",I545)-1)),""),"")</f>
        <v>48</v>
      </c>
      <c r="O545" s="7" t="str">
        <f aca="false">IF(B545="TV Show",IFERROR(VALUE(LEFT(I545,FIND(" ",I545)-1)),""),"")</f>
        <v/>
      </c>
      <c r="P545" s="7" t="n">
        <f aca="false">IF(K545="","",K545-G545)</f>
        <v>0</v>
      </c>
    </row>
    <row r="546" customFormat="false" ht="15" hidden="false" customHeight="false" outlineLevel="0" collapsed="false">
      <c r="A546" s="7" t="n">
        <v>80064515</v>
      </c>
      <c r="B546" s="7" t="s">
        <v>68</v>
      </c>
      <c r="C546" s="7" t="s">
        <v>1447</v>
      </c>
      <c r="D546" s="7" t="s">
        <v>1448</v>
      </c>
      <c r="E546" s="7" t="s">
        <v>26</v>
      </c>
      <c r="F546" s="7" t="s">
        <v>1445</v>
      </c>
      <c r="G546" s="7" t="n">
        <v>2015</v>
      </c>
      <c r="H546" s="7" t="s">
        <v>51</v>
      </c>
      <c r="I546" s="7" t="s">
        <v>1449</v>
      </c>
      <c r="J546" s="7" t="s">
        <v>104</v>
      </c>
      <c r="K546" s="7" t="n">
        <f aca="false">IFERROR(VALUE(RIGHT(TRIM(F546),4)),"")</f>
        <v>2017</v>
      </c>
      <c r="L546" s="7" t="str">
        <f aca="false">IF(TRIM(E546)="","Unknown",IFERROR(LEFT(TRIM(E546),FIND(",",TRIM(E546))-1),TRIM(E546)))</f>
        <v>United States</v>
      </c>
      <c r="M546" s="7" t="str">
        <f aca="false">IFERROR(LEFT(J546,FIND(",",J546)-1),J546)</f>
        <v>Action &amp; Adventure</v>
      </c>
      <c r="N546" s="7" t="n">
        <f aca="false">IF(B546="Movie",IFERROR(VALUE(LEFT(I546,FIND(" ",I546)-1)),""),"")</f>
        <v>168</v>
      </c>
      <c r="O546" s="7" t="str">
        <f aca="false">IF(B546="TV Show",IFERROR(VALUE(LEFT(I546,FIND(" ",I546)-1)),""),"")</f>
        <v/>
      </c>
      <c r="P546" s="7" t="n">
        <f aca="false">IF(K546="","",K546-G546)</f>
        <v>2</v>
      </c>
    </row>
    <row r="547" customFormat="false" ht="15" hidden="false" customHeight="false" outlineLevel="0" collapsed="false">
      <c r="A547" s="7" t="n">
        <v>80062011</v>
      </c>
      <c r="B547" s="7" t="s">
        <v>68</v>
      </c>
      <c r="C547" s="7" t="s">
        <v>1450</v>
      </c>
      <c r="D547" s="7" t="s">
        <v>1451</v>
      </c>
      <c r="E547" s="7" t="s">
        <v>26</v>
      </c>
      <c r="F547" s="7" t="s">
        <v>1452</v>
      </c>
      <c r="G547" s="7" t="n">
        <v>2015</v>
      </c>
      <c r="H547" s="7" t="s">
        <v>226</v>
      </c>
      <c r="I547" s="7" t="s">
        <v>73</v>
      </c>
      <c r="J547" s="7" t="s">
        <v>42</v>
      </c>
      <c r="K547" s="7" t="n">
        <f aca="false">IFERROR(VALUE(RIGHT(TRIM(F547),4)),"")</f>
        <v>2015</v>
      </c>
      <c r="L547" s="7" t="str">
        <f aca="false">IF(TRIM(E547)="","Unknown",IFERROR(LEFT(TRIM(E547),FIND(",",TRIM(E547))-1),TRIM(E547)))</f>
        <v>United States</v>
      </c>
      <c r="M547" s="7" t="str">
        <f aca="false">IFERROR(LEFT(J547,FIND(",",J547)-1),J547)</f>
        <v>Children &amp; Family Movies</v>
      </c>
      <c r="N547" s="7" t="n">
        <f aca="false">IF(B547="Movie",IFERROR(VALUE(LEFT(I547,FIND(" ",I547)-1)),""),"")</f>
        <v>90</v>
      </c>
      <c r="O547" s="7" t="str">
        <f aca="false">IF(B547="TV Show",IFERROR(VALUE(LEFT(I547,FIND(" ",I547)-1)),""),"")</f>
        <v/>
      </c>
      <c r="P547" s="7" t="n">
        <f aca="false">IF(K547="","",K547-G547)</f>
        <v>0</v>
      </c>
    </row>
    <row r="548" customFormat="false" ht="15" hidden="false" customHeight="false" outlineLevel="0" collapsed="false">
      <c r="A548" s="7" t="n">
        <v>80197462</v>
      </c>
      <c r="B548" s="7" t="s">
        <v>78</v>
      </c>
      <c r="C548" s="7" t="s">
        <v>1453</v>
      </c>
      <c r="E548" s="7" t="s">
        <v>26</v>
      </c>
      <c r="F548" s="7" t="s">
        <v>1454</v>
      </c>
      <c r="G548" s="7" t="n">
        <v>2019</v>
      </c>
      <c r="H548" s="7" t="s">
        <v>48</v>
      </c>
      <c r="I548" s="7" t="s">
        <v>82</v>
      </c>
      <c r="J548" s="7" t="s">
        <v>1455</v>
      </c>
      <c r="K548" s="7" t="n">
        <f aca="false">IFERROR(VALUE(RIGHT(TRIM(F548),4)),"")</f>
        <v>2019</v>
      </c>
      <c r="L548" s="7" t="str">
        <f aca="false">IF(TRIM(E548)="","Unknown",IFERROR(LEFT(TRIM(E548),FIND(",",TRIM(E548))-1),TRIM(E548)))</f>
        <v>United States</v>
      </c>
      <c r="M548" s="7" t="str">
        <f aca="false">IFERROR(LEFT(J548,FIND(",",J548)-1),J548)</f>
        <v>TV Action &amp; Adventure</v>
      </c>
      <c r="N548" s="7" t="str">
        <f aca="false">IF(B548="Movie",IFERROR(VALUE(LEFT(I548,FIND(" ",I548)-1)),""),"")</f>
        <v/>
      </c>
      <c r="O548" s="7" t="n">
        <f aca="false">IF(B548="TV Show",IFERROR(VALUE(LEFT(I548,FIND(" ",I548)-1)),""),"")</f>
        <v>1</v>
      </c>
      <c r="P548" s="7" t="n">
        <f aca="false">IF(K548="","",K548-G548)</f>
        <v>0</v>
      </c>
    </row>
    <row r="549" customFormat="false" ht="15" hidden="false" customHeight="false" outlineLevel="0" collapsed="false">
      <c r="A549" s="7" t="n">
        <v>81034741</v>
      </c>
      <c r="B549" s="7" t="s">
        <v>68</v>
      </c>
      <c r="C549" s="7" t="s">
        <v>1456</v>
      </c>
      <c r="D549" s="7" t="s">
        <v>1457</v>
      </c>
      <c r="E549" s="7" t="s">
        <v>26</v>
      </c>
      <c r="F549" s="7" t="s">
        <v>1454</v>
      </c>
      <c r="G549" s="7" t="n">
        <v>2019</v>
      </c>
      <c r="H549" s="7" t="s">
        <v>52</v>
      </c>
      <c r="I549" s="7" t="s">
        <v>437</v>
      </c>
      <c r="J549" s="7" t="s">
        <v>509</v>
      </c>
      <c r="K549" s="7" t="n">
        <f aca="false">IFERROR(VALUE(RIGHT(TRIM(F549),4)),"")</f>
        <v>2019</v>
      </c>
      <c r="L549" s="7" t="str">
        <f aca="false">IF(TRIM(E549)="","Unknown",IFERROR(LEFT(TRIM(E549),FIND(",",TRIM(E549))-1),TRIM(E549)))</f>
        <v>United States</v>
      </c>
      <c r="M549" s="7" t="str">
        <f aca="false">IFERROR(LEFT(J549,FIND(",",J549)-1),J549)</f>
        <v>Documentaries</v>
      </c>
      <c r="N549" s="7" t="n">
        <f aca="false">IF(B549="Movie",IFERROR(VALUE(LEFT(I549,FIND(" ",I549)-1)),""),"")</f>
        <v>82</v>
      </c>
      <c r="O549" s="7" t="str">
        <f aca="false">IF(B549="TV Show",IFERROR(VALUE(LEFT(I549,FIND(" ",I549)-1)),""),"")</f>
        <v/>
      </c>
      <c r="P549" s="7" t="n">
        <f aca="false">IF(K549="","",K549-G549)</f>
        <v>0</v>
      </c>
    </row>
    <row r="550" customFormat="false" ht="15" hidden="false" customHeight="false" outlineLevel="0" collapsed="false">
      <c r="A550" s="7" t="n">
        <v>81075461</v>
      </c>
      <c r="B550" s="7" t="s">
        <v>68</v>
      </c>
      <c r="C550" s="7" t="s">
        <v>1458</v>
      </c>
      <c r="D550" s="7" t="s">
        <v>1459</v>
      </c>
      <c r="E550" s="7" t="s">
        <v>1460</v>
      </c>
      <c r="F550" s="7" t="s">
        <v>1454</v>
      </c>
      <c r="G550" s="7" t="n">
        <v>2019</v>
      </c>
      <c r="H550" s="7" t="s">
        <v>49</v>
      </c>
      <c r="I550" s="7" t="s">
        <v>311</v>
      </c>
      <c r="J550" s="7" t="s">
        <v>169</v>
      </c>
      <c r="K550" s="7" t="n">
        <f aca="false">IFERROR(VALUE(RIGHT(TRIM(F550),4)),"")</f>
        <v>2019</v>
      </c>
      <c r="L550" s="7" t="str">
        <f aca="false">IF(TRIM(E550)="","Unknown",IFERROR(LEFT(TRIM(E550),FIND(",",TRIM(E550))-1),TRIM(E550)))</f>
        <v>Singapore</v>
      </c>
      <c r="M550" s="7" t="str">
        <f aca="false">IFERROR(LEFT(J550,FIND(",",J550)-1),J550)</f>
        <v>Horror Movies</v>
      </c>
      <c r="N550" s="7" t="n">
        <f aca="false">IF(B550="Movie",IFERROR(VALUE(LEFT(I550,FIND(" ",I550)-1)),""),"")</f>
        <v>92</v>
      </c>
      <c r="O550" s="7" t="str">
        <f aca="false">IF(B550="TV Show",IFERROR(VALUE(LEFT(I550,FIND(" ",I550)-1)),""),"")</f>
        <v/>
      </c>
      <c r="P550" s="7" t="n">
        <f aca="false">IF(K550="","",K550-G550)</f>
        <v>0</v>
      </c>
    </row>
    <row r="551" customFormat="false" ht="15" hidden="false" customHeight="false" outlineLevel="0" collapsed="false">
      <c r="A551" s="7" t="n">
        <v>80205231</v>
      </c>
      <c r="B551" s="7" t="s">
        <v>68</v>
      </c>
      <c r="C551" s="7" t="s">
        <v>1461</v>
      </c>
      <c r="D551" s="7" t="s">
        <v>1462</v>
      </c>
      <c r="E551" s="7" t="s">
        <v>27</v>
      </c>
      <c r="F551" s="7" t="s">
        <v>1463</v>
      </c>
      <c r="G551" s="7" t="n">
        <v>2015</v>
      </c>
      <c r="H551" s="7" t="s">
        <v>49</v>
      </c>
      <c r="I551" s="7" t="s">
        <v>919</v>
      </c>
      <c r="J551" s="7" t="s">
        <v>112</v>
      </c>
      <c r="K551" s="7" t="n">
        <f aca="false">IFERROR(VALUE(RIGHT(TRIM(F551),4)),"")</f>
        <v>2018</v>
      </c>
      <c r="L551" s="7" t="str">
        <f aca="false">IF(TRIM(E551)="","Unknown",IFERROR(LEFT(TRIM(E551),FIND(",",TRIM(E551))-1),TRIM(E551)))</f>
        <v>India</v>
      </c>
      <c r="M551" s="7" t="str">
        <f aca="false">IFERROR(LEFT(J551,FIND(",",J551)-1),J551)</f>
        <v>Action &amp; Adventure</v>
      </c>
      <c r="N551" s="7" t="n">
        <f aca="false">IF(B551="Movie",IFERROR(VALUE(LEFT(I551,FIND(" ",I551)-1)),""),"")</f>
        <v>138</v>
      </c>
      <c r="O551" s="7" t="str">
        <f aca="false">IF(B551="TV Show",IFERROR(VALUE(LEFT(I551,FIND(" ",I551)-1)),""),"")</f>
        <v/>
      </c>
      <c r="P551" s="7" t="n">
        <f aca="false">IF(K551="","",K551-G551)</f>
        <v>3</v>
      </c>
    </row>
    <row r="552" customFormat="false" ht="15" hidden="false" customHeight="false" outlineLevel="0" collapsed="false">
      <c r="A552" s="7" t="n">
        <v>80235864</v>
      </c>
      <c r="B552" s="7" t="s">
        <v>78</v>
      </c>
      <c r="C552" s="7" t="s">
        <v>1464</v>
      </c>
      <c r="E552" s="7" t="s">
        <v>28</v>
      </c>
      <c r="F552" s="7" t="s">
        <v>1463</v>
      </c>
      <c r="G552" s="7" t="n">
        <v>2018</v>
      </c>
      <c r="H552" s="7" t="s">
        <v>48</v>
      </c>
      <c r="I552" s="7" t="s">
        <v>82</v>
      </c>
      <c r="J552" s="7" t="s">
        <v>563</v>
      </c>
      <c r="K552" s="7" t="n">
        <f aca="false">IFERROR(VALUE(RIGHT(TRIM(F552),4)),"")</f>
        <v>2018</v>
      </c>
      <c r="L552" s="7" t="str">
        <f aca="false">IF(TRIM(E552)="","Unknown",IFERROR(LEFT(TRIM(E552),FIND(",",TRIM(E552))-1),TRIM(E552)))</f>
        <v>United Kingdom</v>
      </c>
      <c r="M552" s="7" t="str">
        <f aca="false">IFERROR(LEFT(J552,FIND(",",J552)-1),J552)</f>
        <v>British TV Shows</v>
      </c>
      <c r="N552" s="7" t="str">
        <f aca="false">IF(B552="Movie",IFERROR(VALUE(LEFT(I552,FIND(" ",I552)-1)),""),"")</f>
        <v/>
      </c>
      <c r="O552" s="7" t="n">
        <f aca="false">IF(B552="TV Show",IFERROR(VALUE(LEFT(I552,FIND(" ",I552)-1)),""),"")</f>
        <v>1</v>
      </c>
      <c r="P552" s="7" t="n">
        <f aca="false">IF(K552="","",K552-G552)</f>
        <v>0</v>
      </c>
    </row>
    <row r="553" customFormat="false" ht="15" hidden="false" customHeight="false" outlineLevel="0" collapsed="false">
      <c r="A553" s="7" t="n">
        <v>80158919</v>
      </c>
      <c r="B553" s="7" t="s">
        <v>68</v>
      </c>
      <c r="C553" s="7" t="s">
        <v>1465</v>
      </c>
      <c r="D553" s="7" t="s">
        <v>1466</v>
      </c>
      <c r="E553" s="7" t="s">
        <v>28</v>
      </c>
      <c r="F553" s="7" t="s">
        <v>1467</v>
      </c>
      <c r="G553" s="7" t="n">
        <v>2017</v>
      </c>
      <c r="H553" s="7" t="s">
        <v>48</v>
      </c>
      <c r="I553" s="7" t="s">
        <v>1020</v>
      </c>
      <c r="J553" s="7" t="s">
        <v>45</v>
      </c>
      <c r="K553" s="7" t="n">
        <f aca="false">IFERROR(VALUE(RIGHT(TRIM(F553),4)),"")</f>
        <v>2017</v>
      </c>
      <c r="L553" s="7" t="str">
        <f aca="false">IF(TRIM(E553)="","Unknown",IFERROR(LEFT(TRIM(E553),FIND(",",TRIM(E553))-1),TRIM(E553)))</f>
        <v>United Kingdom</v>
      </c>
      <c r="M553" s="7" t="str">
        <f aca="false">IFERROR(LEFT(J553,FIND(",",J553)-1),J553)</f>
        <v>Stand-Up Comedy</v>
      </c>
      <c r="N553" s="7" t="n">
        <f aca="false">IF(B553="Movie",IFERROR(VALUE(LEFT(I553,FIND(" ",I553)-1)),""),"")</f>
        <v>68</v>
      </c>
      <c r="O553" s="7" t="str">
        <f aca="false">IF(B553="TV Show",IFERROR(VALUE(LEFT(I553,FIND(" ",I553)-1)),""),"")</f>
        <v/>
      </c>
      <c r="P553" s="7" t="n">
        <f aca="false">IF(K553="","",K553-G553)</f>
        <v>0</v>
      </c>
    </row>
    <row r="554" customFormat="false" ht="15" hidden="false" customHeight="false" outlineLevel="0" collapsed="false">
      <c r="A554" s="7" t="n">
        <v>80135414</v>
      </c>
      <c r="B554" s="7" t="s">
        <v>78</v>
      </c>
      <c r="C554" s="7" t="s">
        <v>1468</v>
      </c>
      <c r="E554" s="7" t="s">
        <v>26</v>
      </c>
      <c r="F554" s="7" t="s">
        <v>1467</v>
      </c>
      <c r="G554" s="7" t="n">
        <v>2017</v>
      </c>
      <c r="H554" s="7" t="s">
        <v>48</v>
      </c>
      <c r="I554" s="7" t="s">
        <v>82</v>
      </c>
      <c r="J554" s="7" t="s">
        <v>1469</v>
      </c>
      <c r="K554" s="7" t="n">
        <f aca="false">IFERROR(VALUE(RIGHT(TRIM(F554),4)),"")</f>
        <v>2017</v>
      </c>
      <c r="L554" s="7" t="str">
        <f aca="false">IF(TRIM(E554)="","Unknown",IFERROR(LEFT(TRIM(E554),FIND(",",TRIM(E554))-1),TRIM(E554)))</f>
        <v>United States</v>
      </c>
      <c r="M554" s="7" t="str">
        <f aca="false">IFERROR(LEFT(J554,FIND(",",J554)-1),J554)</f>
        <v>TV Dramas</v>
      </c>
      <c r="N554" s="7" t="str">
        <f aca="false">IF(B554="Movie",IFERROR(VALUE(LEFT(I554,FIND(" ",I554)-1)),""),"")</f>
        <v/>
      </c>
      <c r="O554" s="7" t="n">
        <f aca="false">IF(B554="TV Show",IFERROR(VALUE(LEFT(I554,FIND(" ",I554)-1)),""),"")</f>
        <v>1</v>
      </c>
      <c r="P554" s="7" t="n">
        <f aca="false">IF(K554="","",K554-G554)</f>
        <v>0</v>
      </c>
    </row>
    <row r="555" customFormat="false" ht="15" hidden="false" customHeight="false" outlineLevel="0" collapsed="false">
      <c r="A555" s="7" t="n">
        <v>70299286</v>
      </c>
      <c r="B555" s="7" t="s">
        <v>68</v>
      </c>
      <c r="C555" s="7" t="s">
        <v>1470</v>
      </c>
      <c r="D555" s="7" t="s">
        <v>1471</v>
      </c>
      <c r="E555" s="7" t="s">
        <v>26</v>
      </c>
      <c r="F555" s="7" t="s">
        <v>1472</v>
      </c>
      <c r="G555" s="7" t="n">
        <v>2014</v>
      </c>
      <c r="H555" s="7" t="s">
        <v>53</v>
      </c>
      <c r="I555" s="7" t="s">
        <v>73</v>
      </c>
      <c r="J555" s="7" t="s">
        <v>39</v>
      </c>
      <c r="K555" s="7" t="n">
        <f aca="false">IFERROR(VALUE(RIGHT(TRIM(F555),4)),"")</f>
        <v>2014</v>
      </c>
      <c r="L555" s="7" t="str">
        <f aca="false">IF(TRIM(E555)="","Unknown",IFERROR(LEFT(TRIM(E555),FIND(",",TRIM(E555))-1),TRIM(E555)))</f>
        <v>United States</v>
      </c>
      <c r="M555" s="7" t="str">
        <f aca="false">IFERROR(LEFT(J555,FIND(",",J555)-1),J555)</f>
        <v>Documentaries</v>
      </c>
      <c r="N555" s="7" t="n">
        <f aca="false">IF(B555="Movie",IFERROR(VALUE(LEFT(I555,FIND(" ",I555)-1)),""),"")</f>
        <v>90</v>
      </c>
      <c r="O555" s="7" t="str">
        <f aca="false">IF(B555="TV Show",IFERROR(VALUE(LEFT(I555,FIND(" ",I555)-1)),""),"")</f>
        <v/>
      </c>
      <c r="P555" s="7" t="n">
        <f aca="false">IF(K555="","",K555-G555)</f>
        <v>0</v>
      </c>
    </row>
    <row r="556" customFormat="false" ht="15" hidden="false" customHeight="false" outlineLevel="0" collapsed="false">
      <c r="A556" s="7" t="n">
        <v>70258566</v>
      </c>
      <c r="B556" s="7" t="s">
        <v>78</v>
      </c>
      <c r="C556" s="7" t="s">
        <v>1473</v>
      </c>
      <c r="F556" s="7" t="s">
        <v>1474</v>
      </c>
      <c r="G556" s="7" t="n">
        <v>2011</v>
      </c>
      <c r="H556" s="7" t="s">
        <v>50</v>
      </c>
      <c r="I556" s="7" t="s">
        <v>82</v>
      </c>
      <c r="J556" s="7" t="s">
        <v>191</v>
      </c>
      <c r="K556" s="7" t="n">
        <f aca="false">IFERROR(VALUE(RIGHT(TRIM(F556),4)),"")</f>
        <v>2012</v>
      </c>
      <c r="L556" s="7" t="str">
        <f aca="false">IF(TRIM(E556)="","Unknown",IFERROR(LEFT(TRIM(E556),FIND(",",TRIM(E556))-1),TRIM(E556)))</f>
        <v>Unknown</v>
      </c>
      <c r="M556" s="7" t="str">
        <f aca="false">IFERROR(LEFT(J556,FIND(",",J556)-1),J556)</f>
        <v>Kids' TV</v>
      </c>
      <c r="N556" s="7" t="str">
        <f aca="false">IF(B556="Movie",IFERROR(VALUE(LEFT(I556,FIND(" ",I556)-1)),""),"")</f>
        <v/>
      </c>
      <c r="O556" s="7" t="n">
        <f aca="false">IF(B556="TV Show",IFERROR(VALUE(LEFT(I556,FIND(" ",I556)-1)),""),"")</f>
        <v>1</v>
      </c>
      <c r="P556" s="7" t="n">
        <f aca="false">IF(K556="","",K556-G556)</f>
        <v>1</v>
      </c>
    </row>
    <row r="557" customFormat="false" ht="15" hidden="false" customHeight="false" outlineLevel="0" collapsed="false">
      <c r="A557" s="7" t="n">
        <v>80017261</v>
      </c>
      <c r="B557" s="7" t="s">
        <v>68</v>
      </c>
      <c r="C557" s="7" t="s">
        <v>1475</v>
      </c>
      <c r="D557" s="7" t="s">
        <v>1476</v>
      </c>
      <c r="E557" s="7" t="s">
        <v>1477</v>
      </c>
      <c r="F557" s="7" t="s">
        <v>1478</v>
      </c>
      <c r="G557" s="7" t="n">
        <v>2014</v>
      </c>
      <c r="H557" s="7" t="s">
        <v>51</v>
      </c>
      <c r="I557" s="7" t="s">
        <v>111</v>
      </c>
      <c r="J557" s="7" t="s">
        <v>370</v>
      </c>
      <c r="K557" s="7" t="n">
        <f aca="false">IFERROR(VALUE(RIGHT(TRIM(F557),4)),"")</f>
        <v>2019</v>
      </c>
      <c r="L557" s="7" t="str">
        <f aca="false">IF(TRIM(E557)="","Unknown",IFERROR(LEFT(TRIM(E557),FIND(",",TRIM(E557))-1),TRIM(E557)))</f>
        <v>Canada</v>
      </c>
      <c r="M557" s="7" t="str">
        <f aca="false">IFERROR(LEFT(J557,FIND(",",J557)-1),J557)</f>
        <v>Action &amp; Adventure</v>
      </c>
      <c r="N557" s="7" t="n">
        <f aca="false">IF(B557="Movie",IFERROR(VALUE(LEFT(I557,FIND(" ",I557)-1)),""),"")</f>
        <v>95</v>
      </c>
      <c r="O557" s="7" t="str">
        <f aca="false">IF(B557="TV Show",IFERROR(VALUE(LEFT(I557,FIND(" ",I557)-1)),""),"")</f>
        <v/>
      </c>
      <c r="P557" s="7" t="n">
        <f aca="false">IF(K557="","",K557-G557)</f>
        <v>5</v>
      </c>
    </row>
    <row r="558" customFormat="false" ht="15" hidden="false" customHeight="false" outlineLevel="0" collapsed="false">
      <c r="A558" s="7" t="n">
        <v>81038022</v>
      </c>
      <c r="B558" s="7" t="s">
        <v>78</v>
      </c>
      <c r="C558" s="7" t="s">
        <v>1479</v>
      </c>
      <c r="E558" s="7" t="s">
        <v>26</v>
      </c>
      <c r="F558" s="7" t="s">
        <v>1478</v>
      </c>
      <c r="G558" s="7" t="n">
        <v>2019</v>
      </c>
      <c r="H558" s="7" t="s">
        <v>48</v>
      </c>
      <c r="I558" s="7" t="s">
        <v>82</v>
      </c>
      <c r="J558" s="7" t="s">
        <v>164</v>
      </c>
      <c r="K558" s="7" t="n">
        <f aca="false">IFERROR(VALUE(RIGHT(TRIM(F558),4)),"")</f>
        <v>2019</v>
      </c>
      <c r="L558" s="7" t="str">
        <f aca="false">IF(TRIM(E558)="","Unknown",IFERROR(LEFT(TRIM(E558),FIND(",",TRIM(E558))-1),TRIM(E558)))</f>
        <v>United States</v>
      </c>
      <c r="M558" s="7" t="str">
        <f aca="false">IFERROR(LEFT(J558,FIND(",",J558)-1),J558)</f>
        <v>Docuseries</v>
      </c>
      <c r="N558" s="7" t="str">
        <f aca="false">IF(B558="Movie",IFERROR(VALUE(LEFT(I558,FIND(" ",I558)-1)),""),"")</f>
        <v/>
      </c>
      <c r="O558" s="7" t="n">
        <f aca="false">IF(B558="TV Show",IFERROR(VALUE(LEFT(I558,FIND(" ",I558)-1)),""),"")</f>
        <v>1</v>
      </c>
      <c r="P558" s="7" t="n">
        <f aca="false">IF(K558="","",K558-G558)</f>
        <v>0</v>
      </c>
    </row>
    <row r="559" customFormat="false" ht="15" hidden="false" customHeight="false" outlineLevel="0" collapsed="false">
      <c r="A559" s="7" t="n">
        <v>80186796</v>
      </c>
      <c r="B559" s="7" t="s">
        <v>68</v>
      </c>
      <c r="C559" s="7" t="s">
        <v>1480</v>
      </c>
      <c r="D559" s="7" t="s">
        <v>1481</v>
      </c>
      <c r="E559" s="7" t="s">
        <v>26</v>
      </c>
      <c r="F559" s="7" t="s">
        <v>1478</v>
      </c>
      <c r="G559" s="7" t="n">
        <v>2019</v>
      </c>
      <c r="H559" s="7" t="s">
        <v>50</v>
      </c>
      <c r="I559" s="7" t="s">
        <v>734</v>
      </c>
      <c r="J559" s="7" t="s">
        <v>39</v>
      </c>
      <c r="K559" s="7" t="n">
        <f aca="false">IFERROR(VALUE(RIGHT(TRIM(F559),4)),"")</f>
        <v>2019</v>
      </c>
      <c r="L559" s="7" t="str">
        <f aca="false">IF(TRIM(E559)="","Unknown",IFERROR(LEFT(TRIM(E559),FIND(",",TRIM(E559))-1),TRIM(E559)))</f>
        <v>United States</v>
      </c>
      <c r="M559" s="7" t="str">
        <f aca="false">IFERROR(LEFT(J559,FIND(",",J559)-1),J559)</f>
        <v>Documentaries</v>
      </c>
      <c r="N559" s="7" t="n">
        <f aca="false">IF(B559="Movie",IFERROR(VALUE(LEFT(I559,FIND(" ",I559)-1)),""),"")</f>
        <v>52</v>
      </c>
      <c r="O559" s="7" t="str">
        <f aca="false">IF(B559="TV Show",IFERROR(VALUE(LEFT(I559,FIND(" ",I559)-1)),""),"")</f>
        <v/>
      </c>
      <c r="P559" s="7" t="n">
        <f aca="false">IF(K559="","",K559-G559)</f>
        <v>0</v>
      </c>
    </row>
    <row r="560" customFormat="false" ht="15" hidden="false" customHeight="false" outlineLevel="0" collapsed="false">
      <c r="A560" s="7" t="n">
        <v>81071891</v>
      </c>
      <c r="B560" s="7" t="s">
        <v>68</v>
      </c>
      <c r="C560" s="7" t="s">
        <v>1482</v>
      </c>
      <c r="D560" s="7" t="s">
        <v>1483</v>
      </c>
      <c r="E560" s="7" t="s">
        <v>429</v>
      </c>
      <c r="F560" s="7" t="s">
        <v>1478</v>
      </c>
      <c r="G560" s="7" t="n">
        <v>2018</v>
      </c>
      <c r="H560" s="7" t="s">
        <v>48</v>
      </c>
      <c r="I560" s="7" t="s">
        <v>268</v>
      </c>
      <c r="J560" s="7" t="s">
        <v>322</v>
      </c>
      <c r="K560" s="7" t="n">
        <f aca="false">IFERROR(VALUE(RIGHT(TRIM(F560),4)),"")</f>
        <v>2019</v>
      </c>
      <c r="L560" s="7" t="str">
        <f aca="false">IF(TRIM(E560)="","Unknown",IFERROR(LEFT(TRIM(E560),FIND(",",TRIM(E560))-1),TRIM(E560)))</f>
        <v>Hong Kong</v>
      </c>
      <c r="M560" s="7" t="str">
        <f aca="false">IFERROR(LEFT(J560,FIND(",",J560)-1),J560)</f>
        <v>Action &amp; Adventure</v>
      </c>
      <c r="N560" s="7" t="n">
        <f aca="false">IF(B560="Movie",IFERROR(VALUE(LEFT(I560,FIND(" ",I560)-1)),""),"")</f>
        <v>108</v>
      </c>
      <c r="O560" s="7" t="str">
        <f aca="false">IF(B560="TV Show",IFERROR(VALUE(LEFT(I560,FIND(" ",I560)-1)),""),"")</f>
        <v/>
      </c>
      <c r="P560" s="7" t="n">
        <f aca="false">IF(K560="","",K560-G560)</f>
        <v>1</v>
      </c>
    </row>
    <row r="561" customFormat="false" ht="15" hidden="false" customHeight="false" outlineLevel="0" collapsed="false">
      <c r="A561" s="7" t="n">
        <v>80224536</v>
      </c>
      <c r="B561" s="7" t="s">
        <v>68</v>
      </c>
      <c r="C561" s="7" t="s">
        <v>1484</v>
      </c>
      <c r="D561" s="7" t="s">
        <v>1485</v>
      </c>
      <c r="E561" s="7" t="s">
        <v>26</v>
      </c>
      <c r="F561" s="7" t="s">
        <v>1486</v>
      </c>
      <c r="G561" s="7" t="n">
        <v>2018</v>
      </c>
      <c r="H561" s="7" t="s">
        <v>48</v>
      </c>
      <c r="I561" s="7" t="s">
        <v>1221</v>
      </c>
      <c r="J561" s="7" t="s">
        <v>45</v>
      </c>
      <c r="K561" s="7" t="n">
        <f aca="false">IFERROR(VALUE(RIGHT(TRIM(F561),4)),"")</f>
        <v>2018</v>
      </c>
      <c r="L561" s="7" t="str">
        <f aca="false">IF(TRIM(E561)="","Unknown",IFERROR(LEFT(TRIM(E561),FIND(",",TRIM(E561))-1),TRIM(E561)))</f>
        <v>United States</v>
      </c>
      <c r="M561" s="7" t="str">
        <f aca="false">IFERROR(LEFT(J561,FIND(",",J561)-1),J561)</f>
        <v>Stand-Up Comedy</v>
      </c>
      <c r="N561" s="7" t="n">
        <f aca="false">IF(B561="Movie",IFERROR(VALUE(LEFT(I561,FIND(" ",I561)-1)),""),"")</f>
        <v>74</v>
      </c>
      <c r="O561" s="7" t="str">
        <f aca="false">IF(B561="TV Show",IFERROR(VALUE(LEFT(I561,FIND(" ",I561)-1)),""),"")</f>
        <v/>
      </c>
      <c r="P561" s="7" t="n">
        <f aca="false">IF(K561="","",K561-G561)</f>
        <v>0</v>
      </c>
    </row>
    <row r="562" customFormat="false" ht="15" hidden="false" customHeight="false" outlineLevel="0" collapsed="false">
      <c r="A562" s="7" t="n">
        <v>81017545</v>
      </c>
      <c r="B562" s="7" t="s">
        <v>78</v>
      </c>
      <c r="C562" s="7" t="s">
        <v>1487</v>
      </c>
      <c r="E562" s="7" t="s">
        <v>366</v>
      </c>
      <c r="F562" s="7" t="s">
        <v>1486</v>
      </c>
      <c r="G562" s="7" t="n">
        <v>2018</v>
      </c>
      <c r="H562" s="7" t="s">
        <v>49</v>
      </c>
      <c r="I562" s="7" t="s">
        <v>82</v>
      </c>
      <c r="J562" s="7" t="s">
        <v>314</v>
      </c>
      <c r="K562" s="7" t="n">
        <f aca="false">IFERROR(VALUE(RIGHT(TRIM(F562),4)),"")</f>
        <v>2018</v>
      </c>
      <c r="L562" s="7" t="str">
        <f aca="false">IF(TRIM(E562)="","Unknown",IFERROR(LEFT(TRIM(E562),FIND(",",TRIM(E562))-1),TRIM(E562)))</f>
        <v>China</v>
      </c>
      <c r="M562" s="7" t="str">
        <f aca="false">IFERROR(LEFT(J562,FIND(",",J562)-1),J562)</f>
        <v>International TV Shows</v>
      </c>
      <c r="N562" s="7" t="str">
        <f aca="false">IF(B562="Movie",IFERROR(VALUE(LEFT(I562,FIND(" ",I562)-1)),""),"")</f>
        <v/>
      </c>
      <c r="O562" s="7" t="n">
        <f aca="false">IF(B562="TV Show",IFERROR(VALUE(LEFT(I562,FIND(" ",I562)-1)),""),"")</f>
        <v>1</v>
      </c>
      <c r="P562" s="7" t="n">
        <f aca="false">IF(K562="","",K562-G562)</f>
        <v>0</v>
      </c>
    </row>
    <row r="563" customFormat="false" ht="15" hidden="false" customHeight="false" outlineLevel="0" collapsed="false">
      <c r="A563" s="7" t="n">
        <v>80994444</v>
      </c>
      <c r="B563" s="7" t="s">
        <v>68</v>
      </c>
      <c r="C563" s="7" t="s">
        <v>1488</v>
      </c>
      <c r="D563" s="7" t="s">
        <v>1489</v>
      </c>
      <c r="E563" s="7" t="s">
        <v>26</v>
      </c>
      <c r="F563" s="7" t="s">
        <v>1486</v>
      </c>
      <c r="G563" s="7" t="n">
        <v>2018</v>
      </c>
      <c r="H563" s="7" t="s">
        <v>52</v>
      </c>
      <c r="I563" s="7" t="s">
        <v>181</v>
      </c>
      <c r="J563" s="7" t="s">
        <v>276</v>
      </c>
      <c r="K563" s="7" t="n">
        <f aca="false">IFERROR(VALUE(RIGHT(TRIM(F563),4)),"")</f>
        <v>2018</v>
      </c>
      <c r="L563" s="7" t="str">
        <f aca="false">IF(TRIM(E563)="","Unknown",IFERROR(LEFT(TRIM(E563),FIND(",",TRIM(E563))-1),TRIM(E563)))</f>
        <v>United States</v>
      </c>
      <c r="M563" s="7" t="str">
        <f aca="false">IFERROR(LEFT(J563,FIND(",",J563)-1),J563)</f>
        <v>Action &amp; Adventure</v>
      </c>
      <c r="N563" s="7" t="n">
        <f aca="false">IF(B563="Movie",IFERROR(VALUE(LEFT(I563,FIND(" ",I563)-1)),""),"")</f>
        <v>102</v>
      </c>
      <c r="O563" s="7" t="str">
        <f aca="false">IF(B563="TV Show",IFERROR(VALUE(LEFT(I563,FIND(" ",I563)-1)),""),"")</f>
        <v/>
      </c>
      <c r="P563" s="7" t="n">
        <f aca="false">IF(K563="","",K563-G563)</f>
        <v>0</v>
      </c>
    </row>
    <row r="564" customFormat="false" ht="15" hidden="false" customHeight="false" outlineLevel="0" collapsed="false">
      <c r="A564" s="7" t="n">
        <v>80017286</v>
      </c>
      <c r="B564" s="7" t="s">
        <v>68</v>
      </c>
      <c r="C564" s="7" t="s">
        <v>1490</v>
      </c>
      <c r="D564" s="7" t="s">
        <v>1491</v>
      </c>
      <c r="E564" s="7" t="s">
        <v>26</v>
      </c>
      <c r="F564" s="7" t="s">
        <v>1492</v>
      </c>
      <c r="G564" s="7" t="n">
        <v>2015</v>
      </c>
      <c r="H564" s="7" t="s">
        <v>51</v>
      </c>
      <c r="I564" s="7" t="s">
        <v>451</v>
      </c>
      <c r="J564" s="7" t="s">
        <v>198</v>
      </c>
      <c r="K564" s="7" t="n">
        <f aca="false">IFERROR(VALUE(RIGHT(TRIM(F564),4)),"")</f>
        <v>2017</v>
      </c>
      <c r="L564" s="7" t="str">
        <f aca="false">IF(TRIM(E564)="","Unknown",IFERROR(LEFT(TRIM(E564),FIND(",",TRIM(E564))-1),TRIM(E564)))</f>
        <v>United States</v>
      </c>
      <c r="M564" s="7" t="str">
        <f aca="false">IFERROR(LEFT(J564,FIND(",",J564)-1),J564)</f>
        <v>Comedies</v>
      </c>
      <c r="N564" s="7" t="n">
        <f aca="false">IF(B564="Movie",IFERROR(VALUE(LEFT(I564,FIND(" ",I564)-1)),""),"")</f>
        <v>97</v>
      </c>
      <c r="O564" s="7" t="str">
        <f aca="false">IF(B564="TV Show",IFERROR(VALUE(LEFT(I564,FIND(" ",I564)-1)),""),"")</f>
        <v/>
      </c>
      <c r="P564" s="7" t="n">
        <f aca="false">IF(K564="","",K564-G564)</f>
        <v>2</v>
      </c>
    </row>
    <row r="565" customFormat="false" ht="15" hidden="false" customHeight="false" outlineLevel="0" collapsed="false">
      <c r="A565" s="7" t="n">
        <v>70295169</v>
      </c>
      <c r="B565" s="7" t="s">
        <v>68</v>
      </c>
      <c r="C565" s="7" t="s">
        <v>1493</v>
      </c>
      <c r="D565" s="7" t="s">
        <v>1494</v>
      </c>
      <c r="E565" s="7" t="s">
        <v>1495</v>
      </c>
      <c r="F565" s="7" t="s">
        <v>1496</v>
      </c>
      <c r="G565" s="7" t="n">
        <v>2015</v>
      </c>
      <c r="H565" s="7" t="s">
        <v>51</v>
      </c>
      <c r="I565" s="7" t="s">
        <v>470</v>
      </c>
      <c r="J565" s="7" t="s">
        <v>759</v>
      </c>
      <c r="K565" s="7" t="n">
        <f aca="false">IFERROR(VALUE(RIGHT(TRIM(F565),4)),"")</f>
        <v>2019</v>
      </c>
      <c r="L565" s="7" t="str">
        <f aca="false">IF(TRIM(E565)="","Unknown",IFERROR(LEFT(TRIM(E565),FIND(",",TRIM(E565))-1),TRIM(E565)))</f>
        <v>United States</v>
      </c>
      <c r="M565" s="7" t="str">
        <f aca="false">IFERROR(LEFT(J565,FIND(",",J565)-1),J565)</f>
        <v>Action &amp; Adventure</v>
      </c>
      <c r="N565" s="7" t="n">
        <f aca="false">IF(B565="Movie",IFERROR(VALUE(LEFT(I565,FIND(" ",I565)-1)),""),"")</f>
        <v>91</v>
      </c>
      <c r="O565" s="7" t="str">
        <f aca="false">IF(B565="TV Show",IFERROR(VALUE(LEFT(I565,FIND(" ",I565)-1)),""),"")</f>
        <v/>
      </c>
      <c r="P565" s="7" t="n">
        <f aca="false">IF(K565="","",K565-G565)</f>
        <v>4</v>
      </c>
    </row>
    <row r="566" customFormat="false" ht="15" hidden="false" customHeight="false" outlineLevel="0" collapsed="false">
      <c r="A566" s="7" t="n">
        <v>80039050</v>
      </c>
      <c r="B566" s="7" t="s">
        <v>68</v>
      </c>
      <c r="C566" s="7" t="s">
        <v>1497</v>
      </c>
      <c r="D566" s="7" t="s">
        <v>1498</v>
      </c>
      <c r="E566" s="7" t="s">
        <v>26</v>
      </c>
      <c r="F566" s="7" t="s">
        <v>1496</v>
      </c>
      <c r="G566" s="7" t="n">
        <v>2015</v>
      </c>
      <c r="H566" s="7" t="s">
        <v>52</v>
      </c>
      <c r="I566" s="7" t="s">
        <v>138</v>
      </c>
      <c r="J566" s="7" t="s">
        <v>198</v>
      </c>
      <c r="K566" s="7" t="n">
        <f aca="false">IFERROR(VALUE(RIGHT(TRIM(F566),4)),"")</f>
        <v>2019</v>
      </c>
      <c r="L566" s="7" t="str">
        <f aca="false">IF(TRIM(E566)="","Unknown",IFERROR(LEFT(TRIM(E566),FIND(",",TRIM(E566))-1),TRIM(E566)))</f>
        <v>United States</v>
      </c>
      <c r="M566" s="7" t="str">
        <f aca="false">IFERROR(LEFT(J566,FIND(",",J566)-1),J566)</f>
        <v>Comedies</v>
      </c>
      <c r="N566" s="7" t="n">
        <f aca="false">IF(B566="Movie",IFERROR(VALUE(LEFT(I566,FIND(" ",I566)-1)),""),"")</f>
        <v>96</v>
      </c>
      <c r="O566" s="7" t="str">
        <f aca="false">IF(B566="TV Show",IFERROR(VALUE(LEFT(I566,FIND(" ",I566)-1)),""),"")</f>
        <v/>
      </c>
      <c r="P566" s="7" t="n">
        <f aca="false">IF(K566="","",K566-G566)</f>
        <v>4</v>
      </c>
    </row>
    <row r="567" customFormat="false" ht="15" hidden="false" customHeight="false" outlineLevel="0" collapsed="false">
      <c r="A567" s="7" t="n">
        <v>81027753</v>
      </c>
      <c r="B567" s="7" t="s">
        <v>68</v>
      </c>
      <c r="C567" s="7" t="s">
        <v>1499</v>
      </c>
      <c r="D567" s="7" t="s">
        <v>1500</v>
      </c>
      <c r="E567" s="7" t="s">
        <v>26</v>
      </c>
      <c r="F567" s="7" t="s">
        <v>1496</v>
      </c>
      <c r="G567" s="7" t="n">
        <v>2019</v>
      </c>
      <c r="H567" s="7" t="s">
        <v>48</v>
      </c>
      <c r="I567" s="7" t="s">
        <v>876</v>
      </c>
      <c r="J567" s="7" t="s">
        <v>1501</v>
      </c>
      <c r="K567" s="7" t="n">
        <f aca="false">IFERROR(VALUE(RIGHT(TRIM(F567),4)),"")</f>
        <v>2019</v>
      </c>
      <c r="L567" s="7" t="str">
        <f aca="false">IF(TRIM(E567)="","Unknown",IFERROR(LEFT(TRIM(E567),FIND(",",TRIM(E567))-1),TRIM(E567)))</f>
        <v>United States</v>
      </c>
      <c r="M567" s="7" t="str">
        <f aca="false">IFERROR(LEFT(J567,FIND(",",J567)-1),J567)</f>
        <v>Documentaries</v>
      </c>
      <c r="N567" s="7" t="n">
        <f aca="false">IF(B567="Movie",IFERROR(VALUE(LEFT(I567,FIND(" ",I567)-1)),""),"")</f>
        <v>67</v>
      </c>
      <c r="O567" s="7" t="str">
        <f aca="false">IF(B567="TV Show",IFERROR(VALUE(LEFT(I567,FIND(" ",I567)-1)),""),"")</f>
        <v/>
      </c>
      <c r="P567" s="7" t="n">
        <f aca="false">IF(K567="","",K567-G567)</f>
        <v>0</v>
      </c>
    </row>
    <row r="568" customFormat="false" ht="15" hidden="false" customHeight="false" outlineLevel="0" collapsed="false">
      <c r="A568" s="7" t="n">
        <v>15815343</v>
      </c>
      <c r="B568" s="7" t="s">
        <v>68</v>
      </c>
      <c r="C568" s="7" t="s">
        <v>1502</v>
      </c>
      <c r="D568" s="7" t="s">
        <v>1503</v>
      </c>
      <c r="E568" s="7" t="s">
        <v>26</v>
      </c>
      <c r="F568" s="7" t="s">
        <v>1496</v>
      </c>
      <c r="G568" s="7" t="n">
        <v>1974</v>
      </c>
      <c r="H568" s="7" t="s">
        <v>51</v>
      </c>
      <c r="I568" s="7" t="s">
        <v>524</v>
      </c>
      <c r="J568" s="7" t="s">
        <v>1504</v>
      </c>
      <c r="K568" s="7" t="n">
        <f aca="false">IFERROR(VALUE(RIGHT(TRIM(F568),4)),"")</f>
        <v>2019</v>
      </c>
      <c r="L568" s="7" t="str">
        <f aca="false">IF(TRIM(E568)="","Unknown",IFERROR(LEFT(TRIM(E568),FIND(",",TRIM(E568))-1),TRIM(E568)))</f>
        <v>United States</v>
      </c>
      <c r="M568" s="7" t="str">
        <f aca="false">IFERROR(LEFT(J568,FIND(",",J568)-1),J568)</f>
        <v>Cult Movies</v>
      </c>
      <c r="N568" s="7" t="n">
        <f aca="false">IF(B568="Movie",IFERROR(VALUE(LEFT(I568,FIND(" ",I568)-1)),""),"")</f>
        <v>83</v>
      </c>
      <c r="O568" s="7" t="str">
        <f aca="false">IF(B568="TV Show",IFERROR(VALUE(LEFT(I568,FIND(" ",I568)-1)),""),"")</f>
        <v/>
      </c>
      <c r="P568" s="7" t="n">
        <f aca="false">IF(K568="","",K568-G568)</f>
        <v>45</v>
      </c>
    </row>
    <row r="569" customFormat="false" ht="15" hidden="false" customHeight="false" outlineLevel="0" collapsed="false">
      <c r="A569" s="7" t="n">
        <v>70295176</v>
      </c>
      <c r="B569" s="7" t="s">
        <v>68</v>
      </c>
      <c r="C569" s="7" t="s">
        <v>1505</v>
      </c>
      <c r="D569" s="7" t="s">
        <v>1506</v>
      </c>
      <c r="E569" s="7" t="s">
        <v>26</v>
      </c>
      <c r="F569" s="7" t="s">
        <v>1496</v>
      </c>
      <c r="G569" s="7" t="n">
        <v>2015</v>
      </c>
      <c r="H569" s="7" t="s">
        <v>52</v>
      </c>
      <c r="I569" s="7" t="s">
        <v>77</v>
      </c>
      <c r="J569" s="7" t="s">
        <v>40</v>
      </c>
      <c r="K569" s="7" t="n">
        <f aca="false">IFERROR(VALUE(RIGHT(TRIM(F569),4)),"")</f>
        <v>2019</v>
      </c>
      <c r="L569" s="7" t="str">
        <f aca="false">IF(TRIM(E569)="","Unknown",IFERROR(LEFT(TRIM(E569),FIND(",",TRIM(E569))-1),TRIM(E569)))</f>
        <v>United States</v>
      </c>
      <c r="M569" s="7" t="str">
        <f aca="false">IFERROR(LEFT(J569,FIND(",",J569)-1),J569)</f>
        <v>Action &amp; Adventure</v>
      </c>
      <c r="N569" s="7" t="n">
        <f aca="false">IF(B569="Movie",IFERROR(VALUE(LEFT(I569,FIND(" ",I569)-1)),""),"")</f>
        <v>94</v>
      </c>
      <c r="O569" s="7" t="str">
        <f aca="false">IF(B569="TV Show",IFERROR(VALUE(LEFT(I569,FIND(" ",I569)-1)),""),"")</f>
        <v/>
      </c>
      <c r="P569" s="7" t="n">
        <f aca="false">IF(K569="","",K569-G569)</f>
        <v>4</v>
      </c>
    </row>
    <row r="570" customFormat="false" ht="15" hidden="false" customHeight="false" outlineLevel="0" collapsed="false">
      <c r="A570" s="7" t="n">
        <v>81043190</v>
      </c>
      <c r="B570" s="7" t="s">
        <v>68</v>
      </c>
      <c r="C570" s="7" t="s">
        <v>1507</v>
      </c>
      <c r="D570" s="7" t="s">
        <v>1508</v>
      </c>
      <c r="E570" s="7" t="s">
        <v>1509</v>
      </c>
      <c r="F570" s="7" t="s">
        <v>1496</v>
      </c>
      <c r="G570" s="7" t="n">
        <v>2018</v>
      </c>
      <c r="H570" s="7" t="s">
        <v>49</v>
      </c>
      <c r="I570" s="7" t="s">
        <v>451</v>
      </c>
      <c r="J570" s="7" t="s">
        <v>188</v>
      </c>
      <c r="K570" s="7" t="n">
        <f aca="false">IFERROR(VALUE(RIGHT(TRIM(F570),4)),"")</f>
        <v>2019</v>
      </c>
      <c r="L570" s="7" t="str">
        <f aca="false">IF(TRIM(E570)="","Unknown",IFERROR(LEFT(TRIM(E570),FIND(",",TRIM(E570))-1),TRIM(E570)))</f>
        <v>Egypt</v>
      </c>
      <c r="M570" s="7" t="str">
        <f aca="false">IFERROR(LEFT(J570,FIND(",",J570)-1),J570)</f>
        <v>Dramas</v>
      </c>
      <c r="N570" s="7" t="n">
        <f aca="false">IF(B570="Movie",IFERROR(VALUE(LEFT(I570,FIND(" ",I570)-1)),""),"")</f>
        <v>97</v>
      </c>
      <c r="O570" s="7" t="str">
        <f aca="false">IF(B570="TV Show",IFERROR(VALUE(LEFT(I570,FIND(" ",I570)-1)),""),"")</f>
        <v/>
      </c>
      <c r="P570" s="7" t="n">
        <f aca="false">IF(K570="","",K570-G570)</f>
        <v>1</v>
      </c>
    </row>
    <row r="571" customFormat="false" ht="15" hidden="false" customHeight="false" outlineLevel="0" collapsed="false">
      <c r="A571" s="7" t="n">
        <v>80131240</v>
      </c>
      <c r="B571" s="7" t="s">
        <v>68</v>
      </c>
      <c r="C571" s="7" t="s">
        <v>1510</v>
      </c>
      <c r="D571" s="7" t="s">
        <v>1511</v>
      </c>
      <c r="E571" s="7" t="s">
        <v>26</v>
      </c>
      <c r="F571" s="7" t="s">
        <v>1512</v>
      </c>
      <c r="G571" s="7" t="n">
        <v>2016</v>
      </c>
      <c r="H571" s="7" t="s">
        <v>50</v>
      </c>
      <c r="I571" s="7" t="s">
        <v>330</v>
      </c>
      <c r="J571" s="7" t="s">
        <v>39</v>
      </c>
      <c r="K571" s="7" t="n">
        <f aca="false">IFERROR(VALUE(RIGHT(TRIM(F571),4)),"")</f>
        <v>2018</v>
      </c>
      <c r="L571" s="7" t="str">
        <f aca="false">IF(TRIM(E571)="","Unknown",IFERROR(LEFT(TRIM(E571),FIND(",",TRIM(E571))-1),TRIM(E571)))</f>
        <v>United States</v>
      </c>
      <c r="M571" s="7" t="str">
        <f aca="false">IFERROR(LEFT(J571,FIND(",",J571)-1),J571)</f>
        <v>Documentaries</v>
      </c>
      <c r="N571" s="7" t="n">
        <f aca="false">IF(B571="Movie",IFERROR(VALUE(LEFT(I571,FIND(" ",I571)-1)),""),"")</f>
        <v>103</v>
      </c>
      <c r="O571" s="7" t="str">
        <f aca="false">IF(B571="TV Show",IFERROR(VALUE(LEFT(I571,FIND(" ",I571)-1)),""),"")</f>
        <v/>
      </c>
      <c r="P571" s="7" t="n">
        <f aca="false">IF(K571="","",K571-G571)</f>
        <v>2</v>
      </c>
    </row>
    <row r="572" customFormat="false" ht="15" hidden="false" customHeight="false" outlineLevel="0" collapsed="false">
      <c r="A572" s="7" t="n">
        <v>70170182</v>
      </c>
      <c r="B572" s="7" t="s">
        <v>68</v>
      </c>
      <c r="C572" s="7" t="s">
        <v>1513</v>
      </c>
      <c r="D572" s="7" t="s">
        <v>1514</v>
      </c>
      <c r="E572" s="7" t="s">
        <v>27</v>
      </c>
      <c r="F572" s="7" t="s">
        <v>1515</v>
      </c>
      <c r="G572" s="7" t="n">
        <v>2010</v>
      </c>
      <c r="H572" s="7" t="s">
        <v>49</v>
      </c>
      <c r="I572" s="7" t="s">
        <v>1405</v>
      </c>
      <c r="J572" s="7" t="s">
        <v>304</v>
      </c>
      <c r="K572" s="7" t="n">
        <f aca="false">IFERROR(VALUE(RIGHT(TRIM(F572),4)),"")</f>
        <v>2017</v>
      </c>
      <c r="L572" s="7" t="str">
        <f aca="false">IF(TRIM(E572)="","Unknown",IFERROR(LEFT(TRIM(E572),FIND(",",TRIM(E572))-1),TRIM(E572)))</f>
        <v>India</v>
      </c>
      <c r="M572" s="7" t="str">
        <f aca="false">IFERROR(LEFT(J572,FIND(",",J572)-1),J572)</f>
        <v>Dramas</v>
      </c>
      <c r="N572" s="7" t="n">
        <f aca="false">IF(B572="Movie",IFERROR(VALUE(LEFT(I572,FIND(" ",I572)-1)),""),"")</f>
        <v>115</v>
      </c>
      <c r="O572" s="7" t="str">
        <f aca="false">IF(B572="TV Show",IFERROR(VALUE(LEFT(I572,FIND(" ",I572)-1)),""),"")</f>
        <v/>
      </c>
      <c r="P572" s="7" t="n">
        <f aca="false">IF(K572="","",K572-G572)</f>
        <v>7</v>
      </c>
    </row>
    <row r="573" customFormat="false" ht="15" hidden="false" customHeight="false" outlineLevel="0" collapsed="false">
      <c r="A573" s="7" t="n">
        <v>70082633</v>
      </c>
      <c r="B573" s="7" t="s">
        <v>68</v>
      </c>
      <c r="C573" s="7" t="s">
        <v>1516</v>
      </c>
      <c r="D573" s="7" t="s">
        <v>1517</v>
      </c>
      <c r="E573" s="7" t="s">
        <v>27</v>
      </c>
      <c r="F573" s="7" t="s">
        <v>1515</v>
      </c>
      <c r="G573" s="7" t="n">
        <v>2007</v>
      </c>
      <c r="H573" s="7" t="s">
        <v>49</v>
      </c>
      <c r="I573" s="7" t="s">
        <v>1026</v>
      </c>
      <c r="J573" s="7" t="s">
        <v>182</v>
      </c>
      <c r="K573" s="7" t="n">
        <f aca="false">IFERROR(VALUE(RIGHT(TRIM(F573),4)),"")</f>
        <v>2017</v>
      </c>
      <c r="L573" s="7" t="str">
        <f aca="false">IF(TRIM(E573)="","Unknown",IFERROR(LEFT(TRIM(E573),FIND(",",TRIM(E573))-1),TRIM(E573)))</f>
        <v>India</v>
      </c>
      <c r="M573" s="7" t="str">
        <f aca="false">IFERROR(LEFT(J573,FIND(",",J573)-1),J573)</f>
        <v>Dramas</v>
      </c>
      <c r="N573" s="7" t="n">
        <f aca="false">IF(B573="Movie",IFERROR(VALUE(LEFT(I573,FIND(" ",I573)-1)),""),"")</f>
        <v>148</v>
      </c>
      <c r="O573" s="7" t="str">
        <f aca="false">IF(B573="TV Show",IFERROR(VALUE(LEFT(I573,FIND(" ",I573)-1)),""),"")</f>
        <v/>
      </c>
      <c r="P573" s="7" t="n">
        <f aca="false">IF(K573="","",K573-G573)</f>
        <v>10</v>
      </c>
    </row>
    <row r="574" customFormat="false" ht="15" hidden="false" customHeight="false" outlineLevel="0" collapsed="false">
      <c r="A574" s="7" t="n">
        <v>70049619</v>
      </c>
      <c r="B574" s="7" t="s">
        <v>68</v>
      </c>
      <c r="C574" s="7" t="s">
        <v>1518</v>
      </c>
      <c r="D574" s="7" t="s">
        <v>1519</v>
      </c>
      <c r="E574" s="7" t="s">
        <v>27</v>
      </c>
      <c r="F574" s="7" t="s">
        <v>1515</v>
      </c>
      <c r="G574" s="7" t="n">
        <v>2006</v>
      </c>
      <c r="H574" s="7" t="s">
        <v>50</v>
      </c>
      <c r="I574" s="7" t="s">
        <v>921</v>
      </c>
      <c r="J574" s="7" t="s">
        <v>1520</v>
      </c>
      <c r="K574" s="7" t="n">
        <f aca="false">IFERROR(VALUE(RIGHT(TRIM(F574),4)),"")</f>
        <v>2017</v>
      </c>
      <c r="L574" s="7" t="str">
        <f aca="false">IF(TRIM(E574)="","Unknown",IFERROR(LEFT(TRIM(E574),FIND(",",TRIM(E574))-1),TRIM(E574)))</f>
        <v>India</v>
      </c>
      <c r="M574" s="7" t="str">
        <f aca="false">IFERROR(LEFT(J574,FIND(",",J574)-1),J574)</f>
        <v>International Movies</v>
      </c>
      <c r="N574" s="7" t="n">
        <f aca="false">IF(B574="Movie",IFERROR(VALUE(LEFT(I574,FIND(" ",I574)-1)),""),"")</f>
        <v>149</v>
      </c>
      <c r="O574" s="7" t="str">
        <f aca="false">IF(B574="TV Show",IFERROR(VALUE(LEFT(I574,FIND(" ",I574)-1)),""),"")</f>
        <v/>
      </c>
      <c r="P574" s="7" t="n">
        <f aca="false">IF(K574="","",K574-G574)</f>
        <v>11</v>
      </c>
    </row>
    <row r="575" customFormat="false" ht="15" hidden="false" customHeight="false" outlineLevel="0" collapsed="false">
      <c r="A575" s="7" t="n">
        <v>80211135</v>
      </c>
      <c r="B575" s="7" t="s">
        <v>68</v>
      </c>
      <c r="C575" s="7" t="s">
        <v>1521</v>
      </c>
      <c r="D575" s="7" t="s">
        <v>1522</v>
      </c>
      <c r="E575" s="7" t="s">
        <v>27</v>
      </c>
      <c r="F575" s="7" t="s">
        <v>1515</v>
      </c>
      <c r="G575" s="7" t="n">
        <v>2010</v>
      </c>
      <c r="H575" s="7" t="s">
        <v>49</v>
      </c>
      <c r="I575" s="7" t="s">
        <v>146</v>
      </c>
      <c r="J575" s="7" t="s">
        <v>1042</v>
      </c>
      <c r="K575" s="7" t="n">
        <f aca="false">IFERROR(VALUE(RIGHT(TRIM(F575),4)),"")</f>
        <v>2017</v>
      </c>
      <c r="L575" s="7" t="str">
        <f aca="false">IF(TRIM(E575)="","Unknown",IFERROR(LEFT(TRIM(E575),FIND(",",TRIM(E575))-1),TRIM(E575)))</f>
        <v>India</v>
      </c>
      <c r="M575" s="7" t="str">
        <f aca="false">IFERROR(LEFT(J575,FIND(",",J575)-1),J575)</f>
        <v>Dramas</v>
      </c>
      <c r="N575" s="7" t="n">
        <f aca="false">IF(B575="Movie",IFERROR(VALUE(LEFT(I575,FIND(" ",I575)-1)),""),"")</f>
        <v>113</v>
      </c>
      <c r="O575" s="7" t="str">
        <f aca="false">IF(B575="TV Show",IFERROR(VALUE(LEFT(I575,FIND(" ",I575)-1)),""),"")</f>
        <v/>
      </c>
      <c r="P575" s="7" t="n">
        <f aca="false">IF(K575="","",K575-G575)</f>
        <v>7</v>
      </c>
    </row>
    <row r="576" customFormat="false" ht="15" hidden="false" customHeight="false" outlineLevel="0" collapsed="false">
      <c r="A576" s="7" t="n">
        <v>70109884</v>
      </c>
      <c r="B576" s="7" t="s">
        <v>68</v>
      </c>
      <c r="C576" s="7" t="s">
        <v>1523</v>
      </c>
      <c r="D576" s="7" t="s">
        <v>1524</v>
      </c>
      <c r="E576" s="7" t="s">
        <v>27</v>
      </c>
      <c r="F576" s="7" t="s">
        <v>1515</v>
      </c>
      <c r="G576" s="7" t="n">
        <v>2008</v>
      </c>
      <c r="H576" s="7" t="s">
        <v>49</v>
      </c>
      <c r="I576" s="7" t="s">
        <v>749</v>
      </c>
      <c r="J576" s="7" t="s">
        <v>1520</v>
      </c>
      <c r="K576" s="7" t="n">
        <f aca="false">IFERROR(VALUE(RIGHT(TRIM(F576),4)),"")</f>
        <v>2017</v>
      </c>
      <c r="L576" s="7" t="str">
        <f aca="false">IF(TRIM(E576)="","Unknown",IFERROR(LEFT(TRIM(E576),FIND(",",TRIM(E576))-1),TRIM(E576)))</f>
        <v>India</v>
      </c>
      <c r="M576" s="7" t="str">
        <f aca="false">IFERROR(LEFT(J576,FIND(",",J576)-1),J576)</f>
        <v>International Movies</v>
      </c>
      <c r="N576" s="7" t="n">
        <f aca="false">IF(B576="Movie",IFERROR(VALUE(LEFT(I576,FIND(" ",I576)-1)),""),"")</f>
        <v>137</v>
      </c>
      <c r="O576" s="7" t="str">
        <f aca="false">IF(B576="TV Show",IFERROR(VALUE(LEFT(I576,FIND(" ",I576)-1)),""),"")</f>
        <v/>
      </c>
      <c r="P576" s="7" t="n">
        <f aca="false">IF(K576="","",K576-G576)</f>
        <v>9</v>
      </c>
    </row>
    <row r="577" customFormat="false" ht="15" hidden="false" customHeight="false" outlineLevel="0" collapsed="false">
      <c r="A577" s="7" t="n">
        <v>70176967</v>
      </c>
      <c r="B577" s="7" t="s">
        <v>68</v>
      </c>
      <c r="C577" s="7" t="s">
        <v>1525</v>
      </c>
      <c r="D577" s="7" t="s">
        <v>1526</v>
      </c>
      <c r="E577" s="7" t="s">
        <v>27</v>
      </c>
      <c r="F577" s="7" t="s">
        <v>1515</v>
      </c>
      <c r="G577" s="7" t="n">
        <v>2011</v>
      </c>
      <c r="H577" s="7" t="s">
        <v>50</v>
      </c>
      <c r="I577" s="7" t="s">
        <v>879</v>
      </c>
      <c r="J577" s="7" t="s">
        <v>1003</v>
      </c>
      <c r="K577" s="7" t="n">
        <f aca="false">IFERROR(VALUE(RIGHT(TRIM(F577),4)),"")</f>
        <v>2017</v>
      </c>
      <c r="L577" s="7" t="str">
        <f aca="false">IF(TRIM(E577)="","Unknown",IFERROR(LEFT(TRIM(E577),FIND(",",TRIM(E577))-1),TRIM(E577)))</f>
        <v>India</v>
      </c>
      <c r="M577" s="7" t="str">
        <f aca="false">IFERROR(LEFT(J577,FIND(",",J577)-1),J577)</f>
        <v>Dramas</v>
      </c>
      <c r="N577" s="7" t="n">
        <f aca="false">IF(B577="Movie",IFERROR(VALUE(LEFT(I577,FIND(" ",I577)-1)),""),"")</f>
        <v>140</v>
      </c>
      <c r="O577" s="7" t="str">
        <f aca="false">IF(B577="TV Show",IFERROR(VALUE(LEFT(I577,FIND(" ",I577)-1)),""),"")</f>
        <v/>
      </c>
      <c r="P577" s="7" t="n">
        <f aca="false">IF(K577="","",K577-G577)</f>
        <v>6</v>
      </c>
    </row>
    <row r="578" customFormat="false" ht="15" hidden="false" customHeight="false" outlineLevel="0" collapsed="false">
      <c r="A578" s="7" t="n">
        <v>70198040</v>
      </c>
      <c r="B578" s="7" t="s">
        <v>68</v>
      </c>
      <c r="C578" s="7" t="s">
        <v>1527</v>
      </c>
      <c r="D578" s="7" t="s">
        <v>1528</v>
      </c>
      <c r="E578" s="7" t="s">
        <v>27</v>
      </c>
      <c r="F578" s="7" t="s">
        <v>1515</v>
      </c>
      <c r="G578" s="7" t="n">
        <v>2011</v>
      </c>
      <c r="H578" s="7" t="s">
        <v>50</v>
      </c>
      <c r="I578" s="7" t="s">
        <v>1529</v>
      </c>
      <c r="J578" s="7" t="s">
        <v>206</v>
      </c>
      <c r="K578" s="7" t="n">
        <f aca="false">IFERROR(VALUE(RIGHT(TRIM(F578),4)),"")</f>
        <v>2017</v>
      </c>
      <c r="L578" s="7" t="str">
        <f aca="false">IF(TRIM(E578)="","Unknown",IFERROR(LEFT(TRIM(E578),FIND(",",TRIM(E578))-1),TRIM(E578)))</f>
        <v>India</v>
      </c>
      <c r="M578" s="7" t="str">
        <f aca="false">IFERROR(LEFT(J578,FIND(",",J578)-1),J578)</f>
        <v>Comedies</v>
      </c>
      <c r="N578" s="7" t="n">
        <f aca="false">IF(B578="Movie",IFERROR(VALUE(LEFT(I578,FIND(" ",I578)-1)),""),"")</f>
        <v>144</v>
      </c>
      <c r="O578" s="7" t="str">
        <f aca="false">IF(B578="TV Show",IFERROR(VALUE(LEFT(I578,FIND(" ",I578)-1)),""),"")</f>
        <v/>
      </c>
      <c r="P578" s="7" t="n">
        <f aca="false">IF(K578="","",K578-G578)</f>
        <v>6</v>
      </c>
    </row>
    <row r="579" customFormat="false" ht="15" hidden="false" customHeight="false" outlineLevel="0" collapsed="false">
      <c r="A579" s="7" t="n">
        <v>80038442</v>
      </c>
      <c r="B579" s="7" t="s">
        <v>68</v>
      </c>
      <c r="C579" s="7" t="s">
        <v>1530</v>
      </c>
      <c r="D579" s="7" t="s">
        <v>1531</v>
      </c>
      <c r="E579" s="7" t="s">
        <v>26</v>
      </c>
      <c r="F579" s="7" t="s">
        <v>1532</v>
      </c>
      <c r="G579" s="7" t="n">
        <v>2015</v>
      </c>
      <c r="H579" s="7" t="s">
        <v>51</v>
      </c>
      <c r="I579" s="7" t="s">
        <v>820</v>
      </c>
      <c r="J579" s="7" t="s">
        <v>1533</v>
      </c>
      <c r="K579" s="7" t="n">
        <f aca="false">IFERROR(VALUE(RIGHT(TRIM(F579),4)),"")</f>
        <v>2015</v>
      </c>
      <c r="L579" s="7" t="str">
        <f aca="false">IF(TRIM(E579)="","Unknown",IFERROR(LEFT(TRIM(E579),FIND(",",TRIM(E579))-1),TRIM(E579)))</f>
        <v>United States</v>
      </c>
      <c r="M579" s="7" t="str">
        <f aca="false">IFERROR(LEFT(J579,FIND(",",J579)-1),J579)</f>
        <v>Comedies</v>
      </c>
      <c r="N579" s="7" t="n">
        <f aca="false">IF(B579="Movie",IFERROR(VALUE(LEFT(I579,FIND(" ",I579)-1)),""),"")</f>
        <v>105</v>
      </c>
      <c r="O579" s="7" t="str">
        <f aca="false">IF(B579="TV Show",IFERROR(VALUE(LEFT(I579,FIND(" ",I579)-1)),""),"")</f>
        <v/>
      </c>
      <c r="P579" s="7" t="n">
        <f aca="false">IF(K579="","",K579-G579)</f>
        <v>0</v>
      </c>
    </row>
    <row r="580" customFormat="false" ht="15" hidden="false" customHeight="false" outlineLevel="0" collapsed="false">
      <c r="A580" s="7" t="n">
        <v>80091310</v>
      </c>
      <c r="B580" s="7" t="s">
        <v>68</v>
      </c>
      <c r="C580" s="7" t="s">
        <v>1534</v>
      </c>
      <c r="D580" s="7" t="s">
        <v>1535</v>
      </c>
      <c r="E580" s="7" t="s">
        <v>28</v>
      </c>
      <c r="F580" s="7" t="s">
        <v>1536</v>
      </c>
      <c r="G580" s="7" t="n">
        <v>2016</v>
      </c>
      <c r="H580" s="7" t="s">
        <v>51</v>
      </c>
      <c r="I580" s="7" t="s">
        <v>470</v>
      </c>
      <c r="J580" s="7" t="s">
        <v>213</v>
      </c>
      <c r="K580" s="7" t="n">
        <f aca="false">IFERROR(VALUE(RIGHT(TRIM(F580),4)),"")</f>
        <v>2019</v>
      </c>
      <c r="L580" s="7" t="str">
        <f aca="false">IF(TRIM(E580)="","Unknown",IFERROR(LEFT(TRIM(E580),FIND(",",TRIM(E580))-1),TRIM(E580)))</f>
        <v>United Kingdom</v>
      </c>
      <c r="M580" s="7" t="str">
        <f aca="false">IFERROR(LEFT(J580,FIND(",",J580)-1),J580)</f>
        <v>Action &amp; Adventure</v>
      </c>
      <c r="N580" s="7" t="n">
        <f aca="false">IF(B580="Movie",IFERROR(VALUE(LEFT(I580,FIND(" ",I580)-1)),""),"")</f>
        <v>91</v>
      </c>
      <c r="O580" s="7" t="str">
        <f aca="false">IF(B580="TV Show",IFERROR(VALUE(LEFT(I580,FIND(" ",I580)-1)),""),"")</f>
        <v/>
      </c>
      <c r="P580" s="7" t="n">
        <f aca="false">IF(K580="","",K580-G580)</f>
        <v>3</v>
      </c>
    </row>
    <row r="581" customFormat="false" ht="15" hidden="false" customHeight="false" outlineLevel="0" collapsed="false">
      <c r="A581" s="7" t="n">
        <v>70114484</v>
      </c>
      <c r="B581" s="7" t="s">
        <v>68</v>
      </c>
      <c r="C581" s="7" t="s">
        <v>1537</v>
      </c>
      <c r="D581" s="7" t="s">
        <v>726</v>
      </c>
      <c r="E581" s="7" t="s">
        <v>362</v>
      </c>
      <c r="F581" s="7" t="s">
        <v>1538</v>
      </c>
      <c r="G581" s="7" t="n">
        <v>2008</v>
      </c>
      <c r="H581" s="7" t="s">
        <v>50</v>
      </c>
      <c r="I581" s="7" t="s">
        <v>519</v>
      </c>
      <c r="J581" s="7" t="s">
        <v>1539</v>
      </c>
      <c r="K581" s="7" t="n">
        <f aca="false">IFERROR(VALUE(RIGHT(TRIM(F581),4)),"")</f>
        <v>2018</v>
      </c>
      <c r="L581" s="7" t="str">
        <f aca="false">IF(TRIM(E581)="","Unknown",IFERROR(LEFT(TRIM(E581),FIND(",",TRIM(E581))-1),TRIM(E581)))</f>
        <v>Indonesia</v>
      </c>
      <c r="M581" s="7" t="str">
        <f aca="false">IFERROR(LEFT(J581,FIND(",",J581)-1),J581)</f>
        <v>Children &amp; Family Movies</v>
      </c>
      <c r="N581" s="7" t="n">
        <f aca="false">IF(B581="Movie",IFERROR(VALUE(LEFT(I581,FIND(" ",I581)-1)),""),"")</f>
        <v>119</v>
      </c>
      <c r="O581" s="7" t="str">
        <f aca="false">IF(B581="TV Show",IFERROR(VALUE(LEFT(I581,FIND(" ",I581)-1)),""),"")</f>
        <v/>
      </c>
      <c r="P581" s="7" t="n">
        <f aca="false">IF(K581="","",K581-G581)</f>
        <v>10</v>
      </c>
    </row>
    <row r="582" customFormat="false" ht="15" hidden="false" customHeight="false" outlineLevel="0" collapsed="false">
      <c r="A582" s="7" t="n">
        <v>80169350</v>
      </c>
      <c r="B582" s="7" t="s">
        <v>78</v>
      </c>
      <c r="C582" s="7" t="s">
        <v>1540</v>
      </c>
      <c r="F582" s="7" t="s">
        <v>1541</v>
      </c>
      <c r="G582" s="7" t="n">
        <v>2013</v>
      </c>
      <c r="H582" s="7" t="s">
        <v>49</v>
      </c>
      <c r="I582" s="7" t="s">
        <v>82</v>
      </c>
      <c r="J582" s="7" t="s">
        <v>402</v>
      </c>
      <c r="K582" s="7" t="n">
        <f aca="false">IFERROR(VALUE(RIGHT(TRIM(F582),4)),"")</f>
        <v>2017</v>
      </c>
      <c r="L582" s="7" t="str">
        <f aca="false">IF(TRIM(E582)="","Unknown",IFERROR(LEFT(TRIM(E582),FIND(",",TRIM(E582))-1),TRIM(E582)))</f>
        <v>Unknown</v>
      </c>
      <c r="M582" s="7" t="str">
        <f aca="false">IFERROR(LEFT(J582,FIND(",",J582)-1),J582)</f>
        <v>Crime TV Shows</v>
      </c>
      <c r="N582" s="7" t="str">
        <f aca="false">IF(B582="Movie",IFERROR(VALUE(LEFT(I582,FIND(" ",I582)-1)),""),"")</f>
        <v/>
      </c>
      <c r="O582" s="7" t="n">
        <f aca="false">IF(B582="TV Show",IFERROR(VALUE(LEFT(I582,FIND(" ",I582)-1)),""),"")</f>
        <v>1</v>
      </c>
      <c r="P582" s="7" t="n">
        <f aca="false">IF(K582="","",K582-G582)</f>
        <v>4</v>
      </c>
    </row>
    <row r="583" customFormat="false" ht="15" hidden="false" customHeight="false" outlineLevel="0" collapsed="false">
      <c r="A583" s="7" t="n">
        <v>80066079</v>
      </c>
      <c r="B583" s="7" t="s">
        <v>78</v>
      </c>
      <c r="C583" s="7" t="s">
        <v>1542</v>
      </c>
      <c r="E583" s="7" t="s">
        <v>26</v>
      </c>
      <c r="F583" s="7" t="s">
        <v>1543</v>
      </c>
      <c r="G583" s="7" t="n">
        <v>2016</v>
      </c>
      <c r="H583" s="7" t="s">
        <v>49</v>
      </c>
      <c r="I583" s="7" t="s">
        <v>82</v>
      </c>
      <c r="J583" s="7" t="s">
        <v>1544</v>
      </c>
      <c r="K583" s="7" t="n">
        <f aca="false">IFERROR(VALUE(RIGHT(TRIM(F583),4)),"")</f>
        <v>2016</v>
      </c>
      <c r="L583" s="7" t="str">
        <f aca="false">IF(TRIM(E583)="","Unknown",IFERROR(LEFT(TRIM(E583),FIND(",",TRIM(E583))-1),TRIM(E583)))</f>
        <v>United States</v>
      </c>
      <c r="M583" s="7" t="str">
        <f aca="false">IFERROR(LEFT(J583,FIND(",",J583)-1),J583)</f>
        <v>TV Dramas</v>
      </c>
      <c r="N583" s="7" t="str">
        <f aca="false">IF(B583="Movie",IFERROR(VALUE(LEFT(I583,FIND(" ",I583)-1)),""),"")</f>
        <v/>
      </c>
      <c r="O583" s="7" t="n">
        <f aca="false">IF(B583="TV Show",IFERROR(VALUE(LEFT(I583,FIND(" ",I583)-1)),""),"")</f>
        <v>1</v>
      </c>
      <c r="P583" s="7" t="n">
        <f aca="false">IF(K583="","",K583-G583)</f>
        <v>0</v>
      </c>
    </row>
    <row r="584" customFormat="false" ht="15" hidden="false" customHeight="false" outlineLevel="0" collapsed="false">
      <c r="A584" s="7" t="n">
        <v>80117443</v>
      </c>
      <c r="B584" s="7" t="s">
        <v>68</v>
      </c>
      <c r="C584" s="7" t="s">
        <v>1545</v>
      </c>
      <c r="D584" s="7" t="s">
        <v>1546</v>
      </c>
      <c r="E584" s="7" t="s">
        <v>26</v>
      </c>
      <c r="F584" s="7" t="s">
        <v>1543</v>
      </c>
      <c r="G584" s="7" t="n">
        <v>2016</v>
      </c>
      <c r="H584" s="7" t="s">
        <v>48</v>
      </c>
      <c r="I584" s="7" t="s">
        <v>286</v>
      </c>
      <c r="J584" s="7" t="s">
        <v>45</v>
      </c>
      <c r="K584" s="7" t="n">
        <f aca="false">IFERROR(VALUE(RIGHT(TRIM(F584),4)),"")</f>
        <v>2016</v>
      </c>
      <c r="L584" s="7" t="str">
        <f aca="false">IF(TRIM(E584)="","Unknown",IFERROR(LEFT(TRIM(E584),FIND(",",TRIM(E584))-1),TRIM(E584)))</f>
        <v>United States</v>
      </c>
      <c r="M584" s="7" t="str">
        <f aca="false">IFERROR(LEFT(J584,FIND(",",J584)-1),J584)</f>
        <v>Stand-Up Comedy</v>
      </c>
      <c r="N584" s="7" t="n">
        <f aca="false">IF(B584="Movie",IFERROR(VALUE(LEFT(I584,FIND(" ",I584)-1)),""),"")</f>
        <v>64</v>
      </c>
      <c r="O584" s="7" t="str">
        <f aca="false">IF(B584="TV Show",IFERROR(VALUE(LEFT(I584,FIND(" ",I584)-1)),""),"")</f>
        <v/>
      </c>
      <c r="P584" s="7" t="n">
        <f aca="false">IF(K584="","",K584-G584)</f>
        <v>0</v>
      </c>
    </row>
    <row r="585" customFormat="false" ht="15" hidden="false" customHeight="false" outlineLevel="0" collapsed="false">
      <c r="A585" s="7" t="n">
        <v>80010717</v>
      </c>
      <c r="B585" s="7" t="s">
        <v>68</v>
      </c>
      <c r="C585" s="7" t="s">
        <v>1547</v>
      </c>
      <c r="D585" s="7" t="s">
        <v>1548</v>
      </c>
      <c r="E585" s="7" t="s">
        <v>26</v>
      </c>
      <c r="F585" s="7" t="s">
        <v>1549</v>
      </c>
      <c r="G585" s="7" t="n">
        <v>2014</v>
      </c>
      <c r="H585" s="7" t="s">
        <v>48</v>
      </c>
      <c r="I585" s="7" t="s">
        <v>1020</v>
      </c>
      <c r="J585" s="7" t="s">
        <v>45</v>
      </c>
      <c r="K585" s="7" t="n">
        <f aca="false">IFERROR(VALUE(RIGHT(TRIM(F585),4)),"")</f>
        <v>2014</v>
      </c>
      <c r="L585" s="7" t="str">
        <f aca="false">IF(TRIM(E585)="","Unknown",IFERROR(LEFT(TRIM(E585),FIND(",",TRIM(E585))-1),TRIM(E585)))</f>
        <v>United States</v>
      </c>
      <c r="M585" s="7" t="str">
        <f aca="false">IFERROR(LEFT(J585,FIND(",",J585)-1),J585)</f>
        <v>Stand-Up Comedy</v>
      </c>
      <c r="N585" s="7" t="n">
        <f aca="false">IF(B585="Movie",IFERROR(VALUE(LEFT(I585,FIND(" ",I585)-1)),""),"")</f>
        <v>68</v>
      </c>
      <c r="O585" s="7" t="str">
        <f aca="false">IF(B585="TV Show",IFERROR(VALUE(LEFT(I585,FIND(" ",I585)-1)),""),"")</f>
        <v/>
      </c>
      <c r="P585" s="7" t="n">
        <f aca="false">IF(K585="","",K585-G585)</f>
        <v>0</v>
      </c>
    </row>
    <row r="586" customFormat="false" ht="15" hidden="false" customHeight="false" outlineLevel="0" collapsed="false">
      <c r="A586" s="7" t="n">
        <v>81020005</v>
      </c>
      <c r="B586" s="7" t="s">
        <v>68</v>
      </c>
      <c r="C586" s="7" t="s">
        <v>1550</v>
      </c>
      <c r="D586" s="7" t="s">
        <v>1551</v>
      </c>
      <c r="E586" s="7" t="s">
        <v>1552</v>
      </c>
      <c r="F586" s="7" t="s">
        <v>1553</v>
      </c>
      <c r="G586" s="7" t="n">
        <v>2018</v>
      </c>
      <c r="H586" s="7" t="s">
        <v>48</v>
      </c>
      <c r="I586" s="7" t="s">
        <v>417</v>
      </c>
      <c r="J586" s="7" t="s">
        <v>206</v>
      </c>
      <c r="K586" s="7" t="n">
        <f aca="false">IFERROR(VALUE(RIGHT(TRIM(F586),4)),"")</f>
        <v>2018</v>
      </c>
      <c r="L586" s="7" t="str">
        <f aca="false">IF(TRIM(E586)="","Unknown",IFERROR(LEFT(TRIM(E586),FIND(",",TRIM(E586))-1),TRIM(E586)))</f>
        <v>Peru</v>
      </c>
      <c r="M586" s="7" t="str">
        <f aca="false">IFERROR(LEFT(J586,FIND(",",J586)-1),J586)</f>
        <v>Comedies</v>
      </c>
      <c r="N586" s="7" t="n">
        <f aca="false">IF(B586="Movie",IFERROR(VALUE(LEFT(I586,FIND(" ",I586)-1)),""),"")</f>
        <v>104</v>
      </c>
      <c r="O586" s="7" t="str">
        <f aca="false">IF(B586="TV Show",IFERROR(VALUE(LEFT(I586,FIND(" ",I586)-1)),""),"")</f>
        <v/>
      </c>
      <c r="P586" s="7" t="n">
        <f aca="false">IF(K586="","",K586-G586)</f>
        <v>0</v>
      </c>
    </row>
    <row r="587" customFormat="false" ht="15" hidden="false" customHeight="false" outlineLevel="0" collapsed="false">
      <c r="A587" s="7" t="n">
        <v>81035748</v>
      </c>
      <c r="B587" s="7" t="s">
        <v>68</v>
      </c>
      <c r="C587" s="7" t="s">
        <v>1554</v>
      </c>
      <c r="D587" s="7" t="s">
        <v>1555</v>
      </c>
      <c r="E587" s="7" t="s">
        <v>1556</v>
      </c>
      <c r="F587" s="7" t="s">
        <v>1553</v>
      </c>
      <c r="G587" s="7" t="n">
        <v>2014</v>
      </c>
      <c r="H587" s="7" t="s">
        <v>49</v>
      </c>
      <c r="I587" s="7" t="s">
        <v>1557</v>
      </c>
      <c r="J587" s="7" t="s">
        <v>1558</v>
      </c>
      <c r="K587" s="7" t="n">
        <f aca="false">IFERROR(VALUE(RIGHT(TRIM(F587),4)),"")</f>
        <v>2018</v>
      </c>
      <c r="L587" s="7" t="str">
        <f aca="false">IF(TRIM(E587)="","Unknown",IFERROR(LEFT(TRIM(E587),FIND(",",TRIM(E587))-1),TRIM(E587)))</f>
        <v>United Kingdom</v>
      </c>
      <c r="M587" s="7" t="str">
        <f aca="false">IFERROR(LEFT(J587,FIND(",",J587)-1),J587)</f>
        <v>Dramas</v>
      </c>
      <c r="N587" s="7" t="n">
        <f aca="false">IF(B587="Movie",IFERROR(VALUE(LEFT(I587,FIND(" ",I587)-1)),""),"")</f>
        <v>161</v>
      </c>
      <c r="O587" s="7" t="str">
        <f aca="false">IF(B587="TV Show",IFERROR(VALUE(LEFT(I587,FIND(" ",I587)-1)),""),"")</f>
        <v/>
      </c>
      <c r="P587" s="7" t="n">
        <f aca="false">IF(K587="","",K587-G587)</f>
        <v>4</v>
      </c>
    </row>
    <row r="588" customFormat="false" ht="15" hidden="false" customHeight="false" outlineLevel="0" collapsed="false">
      <c r="A588" s="7" t="n">
        <v>80135164</v>
      </c>
      <c r="B588" s="7" t="s">
        <v>68</v>
      </c>
      <c r="C588" s="7" t="s">
        <v>1559</v>
      </c>
      <c r="D588" s="7" t="s">
        <v>1433</v>
      </c>
      <c r="E588" s="7" t="s">
        <v>26</v>
      </c>
      <c r="F588" s="7" t="s">
        <v>1560</v>
      </c>
      <c r="G588" s="7" t="n">
        <v>2017</v>
      </c>
      <c r="H588" s="7" t="s">
        <v>48</v>
      </c>
      <c r="I588" s="7" t="s">
        <v>330</v>
      </c>
      <c r="J588" s="7" t="s">
        <v>597</v>
      </c>
      <c r="K588" s="7" t="n">
        <f aca="false">IFERROR(VALUE(RIGHT(TRIM(F588),4)),"")</f>
        <v>2017</v>
      </c>
      <c r="L588" s="7" t="str">
        <f aca="false">IF(TRIM(E588)="","Unknown",IFERROR(LEFT(TRIM(E588),FIND(",",TRIM(E588))-1),TRIM(E588)))</f>
        <v>United States</v>
      </c>
      <c r="M588" s="7" t="str">
        <f aca="false">IFERROR(LEFT(J588,FIND(",",J588)-1),J588)</f>
        <v>Dramas</v>
      </c>
      <c r="N588" s="7" t="n">
        <f aca="false">IF(B588="Movie",IFERROR(VALUE(LEFT(I588,FIND(" ",I588)-1)),""),"")</f>
        <v>103</v>
      </c>
      <c r="O588" s="7" t="str">
        <f aca="false">IF(B588="TV Show",IFERROR(VALUE(LEFT(I588,FIND(" ",I588)-1)),""),"")</f>
        <v/>
      </c>
      <c r="P588" s="7" t="n">
        <f aca="false">IF(K588="","",K588-G588)</f>
        <v>0</v>
      </c>
    </row>
    <row r="589" customFormat="false" ht="15" hidden="false" customHeight="false" outlineLevel="0" collapsed="false">
      <c r="A589" s="7" t="n">
        <v>70167128</v>
      </c>
      <c r="B589" s="7" t="s">
        <v>68</v>
      </c>
      <c r="C589" s="7" t="s">
        <v>1561</v>
      </c>
      <c r="D589" s="7" t="s">
        <v>1562</v>
      </c>
      <c r="E589" s="7" t="s">
        <v>26</v>
      </c>
      <c r="F589" s="7" t="s">
        <v>1560</v>
      </c>
      <c r="G589" s="7" t="n">
        <v>2011</v>
      </c>
      <c r="H589" s="7" t="s">
        <v>53</v>
      </c>
      <c r="I589" s="7" t="s">
        <v>73</v>
      </c>
      <c r="J589" s="7" t="s">
        <v>39</v>
      </c>
      <c r="K589" s="7" t="n">
        <f aca="false">IFERROR(VALUE(RIGHT(TRIM(F589),4)),"")</f>
        <v>2017</v>
      </c>
      <c r="L589" s="7" t="str">
        <f aca="false">IF(TRIM(E589)="","Unknown",IFERROR(LEFT(TRIM(E589),FIND(",",TRIM(E589))-1),TRIM(E589)))</f>
        <v>United States</v>
      </c>
      <c r="M589" s="7" t="str">
        <f aca="false">IFERROR(LEFT(J589,FIND(",",J589)-1),J589)</f>
        <v>Documentaries</v>
      </c>
      <c r="N589" s="7" t="n">
        <f aca="false">IF(B589="Movie",IFERROR(VALUE(LEFT(I589,FIND(" ",I589)-1)),""),"")</f>
        <v>90</v>
      </c>
      <c r="O589" s="7" t="str">
        <f aca="false">IF(B589="TV Show",IFERROR(VALUE(LEFT(I589,FIND(" ",I589)-1)),""),"")</f>
        <v/>
      </c>
      <c r="P589" s="7" t="n">
        <f aca="false">IF(K589="","",K589-G589)</f>
        <v>6</v>
      </c>
    </row>
    <row r="590" customFormat="false" ht="15" hidden="false" customHeight="false" outlineLevel="0" collapsed="false">
      <c r="A590" s="7" t="n">
        <v>80118101</v>
      </c>
      <c r="B590" s="7" t="s">
        <v>68</v>
      </c>
      <c r="C590" s="7" t="s">
        <v>1563</v>
      </c>
      <c r="D590" s="7" t="s">
        <v>1564</v>
      </c>
      <c r="E590" s="7" t="s">
        <v>26</v>
      </c>
      <c r="F590" s="7" t="s">
        <v>1560</v>
      </c>
      <c r="G590" s="7" t="n">
        <v>2017</v>
      </c>
      <c r="H590" s="7" t="s">
        <v>49</v>
      </c>
      <c r="I590" s="7" t="s">
        <v>111</v>
      </c>
      <c r="J590" s="7" t="s">
        <v>39</v>
      </c>
      <c r="K590" s="7" t="n">
        <f aca="false">IFERROR(VALUE(RIGHT(TRIM(F590),4)),"")</f>
        <v>2017</v>
      </c>
      <c r="L590" s="7" t="str">
        <f aca="false">IF(TRIM(E590)="","Unknown",IFERROR(LEFT(TRIM(E590),FIND(",",TRIM(E590))-1),TRIM(E590)))</f>
        <v>United States</v>
      </c>
      <c r="M590" s="7" t="str">
        <f aca="false">IFERROR(LEFT(J590,FIND(",",J590)-1),J590)</f>
        <v>Documentaries</v>
      </c>
      <c r="N590" s="7" t="n">
        <f aca="false">IF(B590="Movie",IFERROR(VALUE(LEFT(I590,FIND(" ",I590)-1)),""),"")</f>
        <v>95</v>
      </c>
      <c r="O590" s="7" t="str">
        <f aca="false">IF(B590="TV Show",IFERROR(VALUE(LEFT(I590,FIND(" ",I590)-1)),""),"")</f>
        <v/>
      </c>
      <c r="P590" s="7" t="n">
        <f aca="false">IF(K590="","",K590-G590)</f>
        <v>0</v>
      </c>
    </row>
    <row r="591" customFormat="false" ht="15" hidden="false" customHeight="false" outlineLevel="0" collapsed="false">
      <c r="A591" s="7" t="n">
        <v>80184569</v>
      </c>
      <c r="B591" s="7" t="s">
        <v>78</v>
      </c>
      <c r="C591" s="7" t="s">
        <v>1565</v>
      </c>
      <c r="E591" s="7" t="s">
        <v>26</v>
      </c>
      <c r="F591" s="7" t="s">
        <v>1560</v>
      </c>
      <c r="G591" s="7" t="n">
        <v>2017</v>
      </c>
      <c r="H591" s="7" t="s">
        <v>48</v>
      </c>
      <c r="I591" s="7" t="s">
        <v>82</v>
      </c>
      <c r="J591" s="7" t="s">
        <v>1402</v>
      </c>
      <c r="K591" s="7" t="n">
        <f aca="false">IFERROR(VALUE(RIGHT(TRIM(F591),4)),"")</f>
        <v>2017</v>
      </c>
      <c r="L591" s="7" t="str">
        <f aca="false">IF(TRIM(E591)="","Unknown",IFERROR(LEFT(TRIM(E591),FIND(",",TRIM(E591))-1),TRIM(E591)))</f>
        <v>United States</v>
      </c>
      <c r="M591" s="7" t="str">
        <f aca="false">IFERROR(LEFT(J591,FIND(",",J591)-1),J591)</f>
        <v>Crime TV Shows</v>
      </c>
      <c r="N591" s="7" t="str">
        <f aca="false">IF(B591="Movie",IFERROR(VALUE(LEFT(I591,FIND(" ",I591)-1)),""),"")</f>
        <v/>
      </c>
      <c r="O591" s="7" t="n">
        <f aca="false">IF(B591="TV Show",IFERROR(VALUE(LEFT(I591,FIND(" ",I591)-1)),""),"")</f>
        <v>1</v>
      </c>
      <c r="P591" s="7" t="n">
        <f aca="false">IF(K591="","",K591-G591)</f>
        <v>0</v>
      </c>
    </row>
    <row r="592" customFormat="false" ht="15" hidden="false" customHeight="false" outlineLevel="0" collapsed="false">
      <c r="A592" s="7" t="n">
        <v>80113669</v>
      </c>
      <c r="B592" s="7" t="s">
        <v>68</v>
      </c>
      <c r="C592" s="7" t="s">
        <v>1566</v>
      </c>
      <c r="D592" s="7" t="s">
        <v>1567</v>
      </c>
      <c r="E592" s="7" t="s">
        <v>26</v>
      </c>
      <c r="F592" s="7" t="s">
        <v>1560</v>
      </c>
      <c r="G592" s="7" t="n">
        <v>2017</v>
      </c>
      <c r="H592" s="7" t="s">
        <v>48</v>
      </c>
      <c r="I592" s="7" t="s">
        <v>437</v>
      </c>
      <c r="J592" s="7" t="s">
        <v>40</v>
      </c>
      <c r="K592" s="7" t="n">
        <f aca="false">IFERROR(VALUE(RIGHT(TRIM(F592),4)),"")</f>
        <v>2017</v>
      </c>
      <c r="L592" s="7" t="str">
        <f aca="false">IF(TRIM(E592)="","Unknown",IFERROR(LEFT(TRIM(E592),FIND(",",TRIM(E592))-1),TRIM(E592)))</f>
        <v>United States</v>
      </c>
      <c r="M592" s="7" t="str">
        <f aca="false">IFERROR(LEFT(J592,FIND(",",J592)-1),J592)</f>
        <v>Action &amp; Adventure</v>
      </c>
      <c r="N592" s="7" t="n">
        <f aca="false">IF(B592="Movie",IFERROR(VALUE(LEFT(I592,FIND(" ",I592)-1)),""),"")</f>
        <v>82</v>
      </c>
      <c r="O592" s="7" t="str">
        <f aca="false">IF(B592="TV Show",IFERROR(VALUE(LEFT(I592,FIND(" ",I592)-1)),""),"")</f>
        <v/>
      </c>
      <c r="P592" s="7" t="n">
        <f aca="false">IF(K592="","",K592-G592)</f>
        <v>0</v>
      </c>
    </row>
    <row r="593" customFormat="false" ht="15" hidden="false" customHeight="false" outlineLevel="0" collapsed="false">
      <c r="A593" s="7" t="n">
        <v>80222133</v>
      </c>
      <c r="B593" s="7" t="s">
        <v>78</v>
      </c>
      <c r="C593" s="7" t="s">
        <v>1568</v>
      </c>
      <c r="F593" s="7" t="s">
        <v>1569</v>
      </c>
      <c r="G593" s="7" t="n">
        <v>2016</v>
      </c>
      <c r="H593" s="7" t="s">
        <v>50</v>
      </c>
      <c r="I593" s="7" t="s">
        <v>82</v>
      </c>
      <c r="J593" s="7" t="s">
        <v>701</v>
      </c>
      <c r="K593" s="7" t="n">
        <f aca="false">IFERROR(VALUE(RIGHT(TRIM(F593),4)),"")</f>
        <v>2019</v>
      </c>
      <c r="L593" s="7" t="str">
        <f aca="false">IF(TRIM(E593)="","Unknown",IFERROR(LEFT(TRIM(E593),FIND(",",TRIM(E593))-1),TRIM(E593)))</f>
        <v>Unknown</v>
      </c>
      <c r="M593" s="7" t="str">
        <f aca="false">IFERROR(LEFT(J593,FIND(",",J593)-1),J593)</f>
        <v>Reality TV</v>
      </c>
      <c r="N593" s="7" t="str">
        <f aca="false">IF(B593="Movie",IFERROR(VALUE(LEFT(I593,FIND(" ",I593)-1)),""),"")</f>
        <v/>
      </c>
      <c r="O593" s="7" t="n">
        <f aca="false">IF(B593="TV Show",IFERROR(VALUE(LEFT(I593,FIND(" ",I593)-1)),""),"")</f>
        <v>1</v>
      </c>
      <c r="P593" s="7" t="n">
        <f aca="false">IF(K593="","",K593-G593)</f>
        <v>3</v>
      </c>
    </row>
    <row r="594" customFormat="false" ht="15" hidden="false" customHeight="false" outlineLevel="0" collapsed="false">
      <c r="A594" s="7" t="n">
        <v>81029301</v>
      </c>
      <c r="B594" s="7" t="s">
        <v>78</v>
      </c>
      <c r="C594" s="7" t="s">
        <v>1570</v>
      </c>
      <c r="E594" s="7" t="s">
        <v>28</v>
      </c>
      <c r="F594" s="7" t="s">
        <v>1569</v>
      </c>
      <c r="G594" s="7" t="n">
        <v>2013</v>
      </c>
      <c r="H594" s="7" t="s">
        <v>48</v>
      </c>
      <c r="I594" s="7" t="s">
        <v>82</v>
      </c>
      <c r="J594" s="7" t="s">
        <v>306</v>
      </c>
      <c r="K594" s="7" t="n">
        <f aca="false">IFERROR(VALUE(RIGHT(TRIM(F594),4)),"")</f>
        <v>2019</v>
      </c>
      <c r="L594" s="7" t="str">
        <f aca="false">IF(TRIM(E594)="","Unknown",IFERROR(LEFT(TRIM(E594),FIND(",",TRIM(E594))-1),TRIM(E594)))</f>
        <v>United Kingdom</v>
      </c>
      <c r="M594" s="7" t="str">
        <f aca="false">IFERROR(LEFT(J594,FIND(",",J594)-1),J594)</f>
        <v>British TV Shows</v>
      </c>
      <c r="N594" s="7" t="str">
        <f aca="false">IF(B594="Movie",IFERROR(VALUE(LEFT(I594,FIND(" ",I594)-1)),""),"")</f>
        <v/>
      </c>
      <c r="O594" s="7" t="n">
        <f aca="false">IF(B594="TV Show",IFERROR(VALUE(LEFT(I594,FIND(" ",I594)-1)),""),"")</f>
        <v>1</v>
      </c>
      <c r="P594" s="7" t="n">
        <f aca="false">IF(K594="","",K594-G594)</f>
        <v>6</v>
      </c>
    </row>
    <row r="595" customFormat="false" ht="15" hidden="false" customHeight="false" outlineLevel="0" collapsed="false">
      <c r="A595" s="7" t="n">
        <v>81025218</v>
      </c>
      <c r="B595" s="7" t="s">
        <v>78</v>
      </c>
      <c r="C595" s="7" t="s">
        <v>1571</v>
      </c>
      <c r="F595" s="7" t="s">
        <v>1569</v>
      </c>
      <c r="G595" s="7" t="n">
        <v>2015</v>
      </c>
      <c r="H595" s="7" t="s">
        <v>49</v>
      </c>
      <c r="I595" s="7" t="s">
        <v>82</v>
      </c>
      <c r="J595" s="7" t="s">
        <v>884</v>
      </c>
      <c r="K595" s="7" t="n">
        <f aca="false">IFERROR(VALUE(RIGHT(TRIM(F595),4)),"")</f>
        <v>2019</v>
      </c>
      <c r="L595" s="7" t="str">
        <f aca="false">IF(TRIM(E595)="","Unknown",IFERROR(LEFT(TRIM(E595),FIND(",",TRIM(E595))-1),TRIM(E595)))</f>
        <v>Unknown</v>
      </c>
      <c r="M595" s="7" t="str">
        <f aca="false">IFERROR(LEFT(J595,FIND(",",J595)-1),J595)</f>
        <v>International TV Shows</v>
      </c>
      <c r="N595" s="7" t="str">
        <f aca="false">IF(B595="Movie",IFERROR(VALUE(LEFT(I595,FIND(" ",I595)-1)),""),"")</f>
        <v/>
      </c>
      <c r="O595" s="7" t="n">
        <f aca="false">IF(B595="TV Show",IFERROR(VALUE(LEFT(I595,FIND(" ",I595)-1)),""),"")</f>
        <v>1</v>
      </c>
      <c r="P595" s="7" t="n">
        <f aca="false">IF(K595="","",K595-G595)</f>
        <v>4</v>
      </c>
    </row>
    <row r="596" customFormat="false" ht="15" hidden="false" customHeight="false" outlineLevel="0" collapsed="false">
      <c r="A596" s="7" t="n">
        <v>81025251</v>
      </c>
      <c r="B596" s="7" t="s">
        <v>78</v>
      </c>
      <c r="C596" s="7" t="s">
        <v>1572</v>
      </c>
      <c r="E596" s="7" t="s">
        <v>35</v>
      </c>
      <c r="F596" s="7" t="s">
        <v>1569</v>
      </c>
      <c r="G596" s="7" t="n">
        <v>2017</v>
      </c>
      <c r="H596" s="7" t="s">
        <v>48</v>
      </c>
      <c r="I596" s="7" t="s">
        <v>82</v>
      </c>
      <c r="J596" s="7" t="s">
        <v>1402</v>
      </c>
      <c r="K596" s="7" t="n">
        <f aca="false">IFERROR(VALUE(RIGHT(TRIM(F596),4)),"")</f>
        <v>2019</v>
      </c>
      <c r="L596" s="7" t="str">
        <f aca="false">IF(TRIM(E596)="","Unknown",IFERROR(LEFT(TRIM(E596),FIND(",",TRIM(E596))-1),TRIM(E596)))</f>
        <v>Australia</v>
      </c>
      <c r="M596" s="7" t="str">
        <f aca="false">IFERROR(LEFT(J596,FIND(",",J596)-1),J596)</f>
        <v>Crime TV Shows</v>
      </c>
      <c r="N596" s="7" t="str">
        <f aca="false">IF(B596="Movie",IFERROR(VALUE(LEFT(I596,FIND(" ",I596)-1)),""),"")</f>
        <v/>
      </c>
      <c r="O596" s="7" t="n">
        <f aca="false">IF(B596="TV Show",IFERROR(VALUE(LEFT(I596,FIND(" ",I596)-1)),""),"")</f>
        <v>1</v>
      </c>
      <c r="P596" s="7" t="n">
        <f aca="false">IF(K596="","",K596-G596)</f>
        <v>2</v>
      </c>
    </row>
    <row r="597" customFormat="false" ht="15" hidden="false" customHeight="false" outlineLevel="0" collapsed="false">
      <c r="A597" s="7" t="n">
        <v>80224490</v>
      </c>
      <c r="B597" s="7" t="s">
        <v>78</v>
      </c>
      <c r="C597" s="7" t="s">
        <v>1573</v>
      </c>
      <c r="F597" s="7" t="s">
        <v>1569</v>
      </c>
      <c r="G597" s="7" t="n">
        <v>2017</v>
      </c>
      <c r="H597" s="7" t="s">
        <v>48</v>
      </c>
      <c r="I597" s="7" t="s">
        <v>82</v>
      </c>
      <c r="J597" s="7" t="s">
        <v>1574</v>
      </c>
      <c r="K597" s="7" t="n">
        <f aca="false">IFERROR(VALUE(RIGHT(TRIM(F597),4)),"")</f>
        <v>2019</v>
      </c>
      <c r="L597" s="7" t="str">
        <f aca="false">IF(TRIM(E597)="","Unknown",IFERROR(LEFT(TRIM(E597),FIND(",",TRIM(E597))-1),TRIM(E597)))</f>
        <v>Unknown</v>
      </c>
      <c r="M597" s="7" t="str">
        <f aca="false">IFERROR(LEFT(J597,FIND(",",J597)-1),J597)</f>
        <v>British TV Shows</v>
      </c>
      <c r="N597" s="7" t="str">
        <f aca="false">IF(B597="Movie",IFERROR(VALUE(LEFT(I597,FIND(" ",I597)-1)),""),"")</f>
        <v/>
      </c>
      <c r="O597" s="7" t="n">
        <f aca="false">IF(B597="TV Show",IFERROR(VALUE(LEFT(I597,FIND(" ",I597)-1)),""),"")</f>
        <v>1</v>
      </c>
      <c r="P597" s="7" t="n">
        <f aca="false">IF(K597="","",K597-G597)</f>
        <v>2</v>
      </c>
    </row>
    <row r="598" customFormat="false" ht="15" hidden="false" customHeight="false" outlineLevel="0" collapsed="false">
      <c r="A598" s="7" t="n">
        <v>81025309</v>
      </c>
      <c r="B598" s="7" t="s">
        <v>78</v>
      </c>
      <c r="C598" s="7" t="s">
        <v>1575</v>
      </c>
      <c r="E598" s="7" t="s">
        <v>26</v>
      </c>
      <c r="F598" s="7" t="s">
        <v>1569</v>
      </c>
      <c r="G598" s="7" t="n">
        <v>2012</v>
      </c>
      <c r="H598" s="7" t="s">
        <v>49</v>
      </c>
      <c r="I598" s="7" t="s">
        <v>82</v>
      </c>
      <c r="J598" s="7" t="s">
        <v>701</v>
      </c>
      <c r="K598" s="7" t="n">
        <f aca="false">IFERROR(VALUE(RIGHT(TRIM(F598),4)),"")</f>
        <v>2019</v>
      </c>
      <c r="L598" s="7" t="str">
        <f aca="false">IF(TRIM(E598)="","Unknown",IFERROR(LEFT(TRIM(E598),FIND(",",TRIM(E598))-1),TRIM(E598)))</f>
        <v>United States</v>
      </c>
      <c r="M598" s="7" t="str">
        <f aca="false">IFERROR(LEFT(J598,FIND(",",J598)-1),J598)</f>
        <v>Reality TV</v>
      </c>
      <c r="N598" s="7" t="str">
        <f aca="false">IF(B598="Movie",IFERROR(VALUE(LEFT(I598,FIND(" ",I598)-1)),""),"")</f>
        <v/>
      </c>
      <c r="O598" s="7" t="n">
        <f aca="false">IF(B598="TV Show",IFERROR(VALUE(LEFT(I598,FIND(" ",I598)-1)),""),"")</f>
        <v>1</v>
      </c>
      <c r="P598" s="7" t="n">
        <f aca="false">IF(K598="","",K598-G598)</f>
        <v>7</v>
      </c>
    </row>
    <row r="599" customFormat="false" ht="15" hidden="false" customHeight="false" outlineLevel="0" collapsed="false">
      <c r="A599" s="7" t="n">
        <v>81025263</v>
      </c>
      <c r="B599" s="7" t="s">
        <v>78</v>
      </c>
      <c r="C599" s="7" t="s">
        <v>1576</v>
      </c>
      <c r="E599" s="7" t="s">
        <v>28</v>
      </c>
      <c r="F599" s="7" t="s">
        <v>1569</v>
      </c>
      <c r="G599" s="7" t="n">
        <v>2016</v>
      </c>
      <c r="H599" s="7" t="s">
        <v>49</v>
      </c>
      <c r="I599" s="7" t="s">
        <v>82</v>
      </c>
      <c r="J599" s="7" t="s">
        <v>306</v>
      </c>
      <c r="K599" s="7" t="n">
        <f aca="false">IFERROR(VALUE(RIGHT(TRIM(F599),4)),"")</f>
        <v>2019</v>
      </c>
      <c r="L599" s="7" t="str">
        <f aca="false">IF(TRIM(E599)="","Unknown",IFERROR(LEFT(TRIM(E599),FIND(",",TRIM(E599))-1),TRIM(E599)))</f>
        <v>United Kingdom</v>
      </c>
      <c r="M599" s="7" t="str">
        <f aca="false">IFERROR(LEFT(J599,FIND(",",J599)-1),J599)</f>
        <v>British TV Shows</v>
      </c>
      <c r="N599" s="7" t="str">
        <f aca="false">IF(B599="Movie",IFERROR(VALUE(LEFT(I599,FIND(" ",I599)-1)),""),"")</f>
        <v/>
      </c>
      <c r="O599" s="7" t="n">
        <f aca="false">IF(B599="TV Show",IFERROR(VALUE(LEFT(I599,FIND(" ",I599)-1)),""),"")</f>
        <v>1</v>
      </c>
      <c r="P599" s="7" t="n">
        <f aca="false">IF(K599="","",K599-G599)</f>
        <v>3</v>
      </c>
    </row>
    <row r="600" customFormat="false" ht="15" hidden="false" customHeight="false" outlineLevel="0" collapsed="false">
      <c r="A600" s="7" t="n">
        <v>81025361</v>
      </c>
      <c r="B600" s="7" t="s">
        <v>78</v>
      </c>
      <c r="C600" s="7" t="s">
        <v>1577</v>
      </c>
      <c r="E600" s="7" t="s">
        <v>28</v>
      </c>
      <c r="F600" s="7" t="s">
        <v>1569</v>
      </c>
      <c r="G600" s="7" t="n">
        <v>2017</v>
      </c>
      <c r="H600" s="7" t="s">
        <v>49</v>
      </c>
      <c r="I600" s="7" t="s">
        <v>82</v>
      </c>
      <c r="J600" s="7" t="s">
        <v>716</v>
      </c>
      <c r="K600" s="7" t="n">
        <f aca="false">IFERROR(VALUE(RIGHT(TRIM(F600),4)),"")</f>
        <v>2019</v>
      </c>
      <c r="L600" s="7" t="str">
        <f aca="false">IF(TRIM(E600)="","Unknown",IFERROR(LEFT(TRIM(E600),FIND(",",TRIM(E600))-1),TRIM(E600)))</f>
        <v>United Kingdom</v>
      </c>
      <c r="M600" s="7" t="str">
        <f aca="false">IFERROR(LEFT(J600,FIND(",",J600)-1),J600)</f>
        <v>British TV Shows</v>
      </c>
      <c r="N600" s="7" t="str">
        <f aca="false">IF(B600="Movie",IFERROR(VALUE(LEFT(I600,FIND(" ",I600)-1)),""),"")</f>
        <v/>
      </c>
      <c r="O600" s="7" t="n">
        <f aca="false">IF(B600="TV Show",IFERROR(VALUE(LEFT(I600,FIND(" ",I600)-1)),""),"")</f>
        <v>1</v>
      </c>
      <c r="P600" s="7" t="n">
        <f aca="false">IF(K600="","",K600-G600)</f>
        <v>2</v>
      </c>
    </row>
    <row r="601" customFormat="false" ht="15" hidden="false" customHeight="false" outlineLevel="0" collapsed="false">
      <c r="A601" s="7" t="n">
        <v>81025317</v>
      </c>
      <c r="B601" s="7" t="s">
        <v>78</v>
      </c>
      <c r="C601" s="7" t="s">
        <v>1578</v>
      </c>
      <c r="E601" s="7" t="s">
        <v>29</v>
      </c>
      <c r="F601" s="7" t="s">
        <v>1569</v>
      </c>
      <c r="G601" s="7" t="n">
        <v>2014</v>
      </c>
      <c r="H601" s="7" t="s">
        <v>50</v>
      </c>
      <c r="I601" s="7" t="s">
        <v>82</v>
      </c>
      <c r="J601" s="7" t="s">
        <v>701</v>
      </c>
      <c r="K601" s="7" t="n">
        <f aca="false">IFERROR(VALUE(RIGHT(TRIM(F601),4)),"")</f>
        <v>2019</v>
      </c>
      <c r="L601" s="7" t="str">
        <f aca="false">IF(TRIM(E601)="","Unknown",IFERROR(LEFT(TRIM(E601),FIND(",",TRIM(E601))-1),TRIM(E601)))</f>
        <v>Canada</v>
      </c>
      <c r="M601" s="7" t="str">
        <f aca="false">IFERROR(LEFT(J601,FIND(",",J601)-1),J601)</f>
        <v>Reality TV</v>
      </c>
      <c r="N601" s="7" t="str">
        <f aca="false">IF(B601="Movie",IFERROR(VALUE(LEFT(I601,FIND(" ",I601)-1)),""),"")</f>
        <v/>
      </c>
      <c r="O601" s="7" t="n">
        <f aca="false">IF(B601="TV Show",IFERROR(VALUE(LEFT(I601,FIND(" ",I601)-1)),""),"")</f>
        <v>1</v>
      </c>
      <c r="P601" s="7" t="n">
        <f aca="false">IF(K601="","",K601-G601)</f>
        <v>5</v>
      </c>
    </row>
    <row r="602" customFormat="false" ht="15" hidden="false" customHeight="false" outlineLevel="0" collapsed="false">
      <c r="A602" s="7" t="n">
        <v>80209609</v>
      </c>
      <c r="B602" s="7" t="s">
        <v>78</v>
      </c>
      <c r="C602" s="7" t="s">
        <v>1579</v>
      </c>
      <c r="E602" s="7" t="s">
        <v>26</v>
      </c>
      <c r="F602" s="7" t="s">
        <v>1569</v>
      </c>
      <c r="G602" s="7" t="n">
        <v>2019</v>
      </c>
      <c r="H602" s="7" t="s">
        <v>48</v>
      </c>
      <c r="I602" s="7" t="s">
        <v>82</v>
      </c>
      <c r="J602" s="7" t="s">
        <v>164</v>
      </c>
      <c r="K602" s="7" t="n">
        <f aca="false">IFERROR(VALUE(RIGHT(TRIM(F602),4)),"")</f>
        <v>2019</v>
      </c>
      <c r="L602" s="7" t="str">
        <f aca="false">IF(TRIM(E602)="","Unknown",IFERROR(LEFT(TRIM(E602),FIND(",",TRIM(E602))-1),TRIM(E602)))</f>
        <v>United States</v>
      </c>
      <c r="M602" s="7" t="str">
        <f aca="false">IFERROR(LEFT(J602,FIND(",",J602)-1),J602)</f>
        <v>Docuseries</v>
      </c>
      <c r="N602" s="7" t="str">
        <f aca="false">IF(B602="Movie",IFERROR(VALUE(LEFT(I602,FIND(" ",I602)-1)),""),"")</f>
        <v/>
      </c>
      <c r="O602" s="7" t="n">
        <f aca="false">IF(B602="TV Show",IFERROR(VALUE(LEFT(I602,FIND(" ",I602)-1)),""),"")</f>
        <v>1</v>
      </c>
      <c r="P602" s="7" t="n">
        <f aca="false">IF(K602="","",K602-G602)</f>
        <v>0</v>
      </c>
    </row>
    <row r="603" customFormat="false" ht="15" hidden="false" customHeight="false" outlineLevel="0" collapsed="false">
      <c r="A603" s="7" t="n">
        <v>81094801</v>
      </c>
      <c r="B603" s="7" t="s">
        <v>68</v>
      </c>
      <c r="C603" s="7" t="s">
        <v>1580</v>
      </c>
      <c r="D603" s="7" t="s">
        <v>1581</v>
      </c>
      <c r="E603" s="7" t="s">
        <v>34</v>
      </c>
      <c r="F603" s="7" t="s">
        <v>1569</v>
      </c>
      <c r="G603" s="7" t="n">
        <v>2019</v>
      </c>
      <c r="H603" s="7" t="s">
        <v>48</v>
      </c>
      <c r="I603" s="7" t="s">
        <v>134</v>
      </c>
      <c r="J603" s="7" t="s">
        <v>206</v>
      </c>
      <c r="K603" s="7" t="n">
        <f aca="false">IFERROR(VALUE(RIGHT(TRIM(F603),4)),"")</f>
        <v>2019</v>
      </c>
      <c r="L603" s="7" t="str">
        <f aca="false">IF(TRIM(E603)="","Unknown",IFERROR(LEFT(TRIM(E603),FIND(",",TRIM(E603))-1),TRIM(E603)))</f>
        <v>Mexico</v>
      </c>
      <c r="M603" s="7" t="str">
        <f aca="false">IFERROR(LEFT(J603,FIND(",",J603)-1),J603)</f>
        <v>Comedies</v>
      </c>
      <c r="N603" s="7" t="n">
        <f aca="false">IF(B603="Movie",IFERROR(VALUE(LEFT(I603,FIND(" ",I603)-1)),""),"")</f>
        <v>98</v>
      </c>
      <c r="O603" s="7" t="str">
        <f aca="false">IF(B603="TV Show",IFERROR(VALUE(LEFT(I603,FIND(" ",I603)-1)),""),"")</f>
        <v/>
      </c>
      <c r="P603" s="7" t="n">
        <f aca="false">IF(K603="","",K603-G603)</f>
        <v>0</v>
      </c>
    </row>
    <row r="604" customFormat="false" ht="15" hidden="false" customHeight="false" outlineLevel="0" collapsed="false">
      <c r="A604" s="7" t="n">
        <v>81191195</v>
      </c>
      <c r="B604" s="7" t="s">
        <v>68</v>
      </c>
      <c r="C604" s="7" t="s">
        <v>1582</v>
      </c>
      <c r="D604" s="7" t="s">
        <v>1583</v>
      </c>
      <c r="E604" s="7" t="s">
        <v>26</v>
      </c>
      <c r="F604" s="7" t="s">
        <v>1569</v>
      </c>
      <c r="G604" s="7" t="n">
        <v>2018</v>
      </c>
      <c r="H604" s="7" t="s">
        <v>50</v>
      </c>
      <c r="I604" s="7" t="s">
        <v>661</v>
      </c>
      <c r="J604" s="7" t="s">
        <v>39</v>
      </c>
      <c r="K604" s="7" t="n">
        <f aca="false">IFERROR(VALUE(RIGHT(TRIM(F604),4)),"")</f>
        <v>2019</v>
      </c>
      <c r="L604" s="7" t="str">
        <f aca="false">IF(TRIM(E604)="","Unknown",IFERROR(LEFT(TRIM(E604),FIND(",",TRIM(E604))-1),TRIM(E604)))</f>
        <v>United States</v>
      </c>
      <c r="M604" s="7" t="str">
        <f aca="false">IFERROR(LEFT(J604,FIND(",",J604)-1),J604)</f>
        <v>Documentaries</v>
      </c>
      <c r="N604" s="7" t="n">
        <f aca="false">IF(B604="Movie",IFERROR(VALUE(LEFT(I604,FIND(" ",I604)-1)),""),"")</f>
        <v>76</v>
      </c>
      <c r="O604" s="7" t="str">
        <f aca="false">IF(B604="TV Show",IFERROR(VALUE(LEFT(I604,FIND(" ",I604)-1)),""),"")</f>
        <v/>
      </c>
      <c r="P604" s="7" t="n">
        <f aca="false">IF(K604="","",K604-G604)</f>
        <v>1</v>
      </c>
    </row>
    <row r="605" customFormat="false" ht="15" hidden="false" customHeight="false" outlineLevel="0" collapsed="false">
      <c r="A605" s="7" t="n">
        <v>80218973</v>
      </c>
      <c r="B605" s="7" t="s">
        <v>68</v>
      </c>
      <c r="C605" s="7" t="s">
        <v>1584</v>
      </c>
      <c r="D605" s="7" t="s">
        <v>1489</v>
      </c>
      <c r="E605" s="7" t="s">
        <v>1585</v>
      </c>
      <c r="F605" s="7" t="s">
        <v>1586</v>
      </c>
      <c r="G605" s="7" t="n">
        <v>2017</v>
      </c>
      <c r="H605" s="7" t="s">
        <v>51</v>
      </c>
      <c r="I605" s="7" t="s">
        <v>326</v>
      </c>
      <c r="J605" s="7" t="s">
        <v>40</v>
      </c>
      <c r="K605" s="7" t="n">
        <f aca="false">IFERROR(VALUE(RIGHT(TRIM(F605),4)),"")</f>
        <v>2018</v>
      </c>
      <c r="L605" s="7" t="str">
        <f aca="false">IF(TRIM(E605)="","Unknown",IFERROR(LEFT(TRIM(E605),FIND(",",TRIM(E605))-1),TRIM(E605)))</f>
        <v>United States</v>
      </c>
      <c r="M605" s="7" t="str">
        <f aca="false">IFERROR(LEFT(J605,FIND(",",J605)-1),J605)</f>
        <v>Action &amp; Adventure</v>
      </c>
      <c r="N605" s="7" t="n">
        <f aca="false">IF(B605="Movie",IFERROR(VALUE(LEFT(I605,FIND(" ",I605)-1)),""),"")</f>
        <v>111</v>
      </c>
      <c r="O605" s="7" t="str">
        <f aca="false">IF(B605="TV Show",IFERROR(VALUE(LEFT(I605,FIND(" ",I605)-1)),""),"")</f>
        <v/>
      </c>
      <c r="P605" s="7" t="n">
        <f aca="false">IF(K605="","",K605-G605)</f>
        <v>1</v>
      </c>
    </row>
    <row r="606" customFormat="false" ht="15" hidden="false" customHeight="false" outlineLevel="0" collapsed="false">
      <c r="A606" s="7" t="n">
        <v>80235999</v>
      </c>
      <c r="B606" s="7" t="s">
        <v>68</v>
      </c>
      <c r="C606" s="7" t="s">
        <v>1587</v>
      </c>
      <c r="D606" s="7" t="s">
        <v>1588</v>
      </c>
      <c r="E606" s="7" t="s">
        <v>26</v>
      </c>
      <c r="F606" s="7" t="s">
        <v>1586</v>
      </c>
      <c r="G606" s="7" t="n">
        <v>2012</v>
      </c>
      <c r="H606" s="7" t="s">
        <v>48</v>
      </c>
      <c r="I606" s="7" t="s">
        <v>467</v>
      </c>
      <c r="J606" s="7" t="s">
        <v>1589</v>
      </c>
      <c r="K606" s="7" t="n">
        <f aca="false">IFERROR(VALUE(RIGHT(TRIM(F606),4)),"")</f>
        <v>2018</v>
      </c>
      <c r="L606" s="7" t="str">
        <f aca="false">IF(TRIM(E606)="","Unknown",IFERROR(LEFT(TRIM(E606),FIND(",",TRIM(E606))-1),TRIM(E606)))</f>
        <v>United States</v>
      </c>
      <c r="M606" s="7" t="str">
        <f aca="false">IFERROR(LEFT(J606,FIND(",",J606)-1),J606)</f>
        <v>Comedies</v>
      </c>
      <c r="N606" s="7" t="n">
        <f aca="false">IF(B606="Movie",IFERROR(VALUE(LEFT(I606,FIND(" ",I606)-1)),""),"")</f>
        <v>81</v>
      </c>
      <c r="O606" s="7" t="str">
        <f aca="false">IF(B606="TV Show",IFERROR(VALUE(LEFT(I606,FIND(" ",I606)-1)),""),"")</f>
        <v/>
      </c>
      <c r="P606" s="7" t="n">
        <f aca="false">IF(K606="","",K606-G606)</f>
        <v>6</v>
      </c>
    </row>
    <row r="607" customFormat="false" ht="15" hidden="false" customHeight="false" outlineLevel="0" collapsed="false">
      <c r="A607" s="7" t="n">
        <v>80215419</v>
      </c>
      <c r="B607" s="7" t="s">
        <v>68</v>
      </c>
      <c r="C607" s="7" t="s">
        <v>1590</v>
      </c>
      <c r="D607" s="7" t="s">
        <v>1546</v>
      </c>
      <c r="F607" s="7" t="s">
        <v>1586</v>
      </c>
      <c r="G607" s="7" t="n">
        <v>2018</v>
      </c>
      <c r="H607" s="7" t="s">
        <v>48</v>
      </c>
      <c r="I607" s="7" t="s">
        <v>286</v>
      </c>
      <c r="J607" s="7" t="s">
        <v>45</v>
      </c>
      <c r="K607" s="7" t="n">
        <f aca="false">IFERROR(VALUE(RIGHT(TRIM(F607),4)),"")</f>
        <v>2018</v>
      </c>
      <c r="L607" s="7" t="str">
        <f aca="false">IF(TRIM(E607)="","Unknown",IFERROR(LEFT(TRIM(E607),FIND(",",TRIM(E607))-1),TRIM(E607)))</f>
        <v>Unknown</v>
      </c>
      <c r="M607" s="7" t="str">
        <f aca="false">IFERROR(LEFT(J607,FIND(",",J607)-1),J607)</f>
        <v>Stand-Up Comedy</v>
      </c>
      <c r="N607" s="7" t="n">
        <f aca="false">IF(B607="Movie",IFERROR(VALUE(LEFT(I607,FIND(" ",I607)-1)),""),"")</f>
        <v>64</v>
      </c>
      <c r="O607" s="7" t="str">
        <f aca="false">IF(B607="TV Show",IFERROR(VALUE(LEFT(I607,FIND(" ",I607)-1)),""),"")</f>
        <v/>
      </c>
      <c r="P607" s="7" t="n">
        <f aca="false">IF(K607="","",K607-G607)</f>
        <v>0</v>
      </c>
    </row>
    <row r="608" customFormat="false" ht="15" hidden="false" customHeight="false" outlineLevel="0" collapsed="false">
      <c r="A608" s="7" t="n">
        <v>80236359</v>
      </c>
      <c r="B608" s="7" t="s">
        <v>78</v>
      </c>
      <c r="C608" s="7" t="s">
        <v>1591</v>
      </c>
      <c r="E608" s="7" t="s">
        <v>28</v>
      </c>
      <c r="F608" s="7" t="s">
        <v>1586</v>
      </c>
      <c r="G608" s="7" t="n">
        <v>2014</v>
      </c>
      <c r="H608" s="7" t="s">
        <v>49</v>
      </c>
      <c r="I608" s="7" t="s">
        <v>82</v>
      </c>
      <c r="J608" s="7" t="s">
        <v>1592</v>
      </c>
      <c r="K608" s="7" t="n">
        <f aca="false">IFERROR(VALUE(RIGHT(TRIM(F608),4)),"")</f>
        <v>2018</v>
      </c>
      <c r="L608" s="7" t="str">
        <f aca="false">IF(TRIM(E608)="","Unknown",IFERROR(LEFT(TRIM(E608),FIND(",",TRIM(E608))-1),TRIM(E608)))</f>
        <v>United Kingdom</v>
      </c>
      <c r="M608" s="7" t="str">
        <f aca="false">IFERROR(LEFT(J608,FIND(",",J608)-1),J608)</f>
        <v>British TV Shows</v>
      </c>
      <c r="N608" s="7" t="str">
        <f aca="false">IF(B608="Movie",IFERROR(VALUE(LEFT(I608,FIND(" ",I608)-1)),""),"")</f>
        <v/>
      </c>
      <c r="O608" s="7" t="n">
        <f aca="false">IF(B608="TV Show",IFERROR(VALUE(LEFT(I608,FIND(" ",I608)-1)),""),"")</f>
        <v>1</v>
      </c>
      <c r="P608" s="7" t="n">
        <f aca="false">IF(K608="","",K608-G608)</f>
        <v>4</v>
      </c>
    </row>
    <row r="609" customFormat="false" ht="15" hidden="false" customHeight="false" outlineLevel="0" collapsed="false">
      <c r="A609" s="7" t="n">
        <v>70118860</v>
      </c>
      <c r="B609" s="7" t="s">
        <v>68</v>
      </c>
      <c r="C609" s="7" t="s">
        <v>1593</v>
      </c>
      <c r="D609" s="7" t="s">
        <v>1594</v>
      </c>
      <c r="F609" s="7" t="s">
        <v>1586</v>
      </c>
      <c r="G609" s="7" t="n">
        <v>2008</v>
      </c>
      <c r="H609" s="7" t="s">
        <v>48</v>
      </c>
      <c r="I609" s="7" t="s">
        <v>1595</v>
      </c>
      <c r="J609" s="7" t="s">
        <v>39</v>
      </c>
      <c r="K609" s="7" t="n">
        <f aca="false">IFERROR(VALUE(RIGHT(TRIM(F609),4)),"")</f>
        <v>2018</v>
      </c>
      <c r="L609" s="7" t="str">
        <f aca="false">IF(TRIM(E609)="","Unknown",IFERROR(LEFT(TRIM(E609),FIND(",",TRIM(E609))-1),TRIM(E609)))</f>
        <v>Unknown</v>
      </c>
      <c r="M609" s="7" t="str">
        <f aca="false">IFERROR(LEFT(J609,FIND(",",J609)-1),J609)</f>
        <v>Documentaries</v>
      </c>
      <c r="N609" s="7" t="n">
        <f aca="false">IF(B609="Movie",IFERROR(VALUE(LEFT(I609,FIND(" ",I609)-1)),""),"")</f>
        <v>55</v>
      </c>
      <c r="O609" s="7" t="str">
        <f aca="false">IF(B609="TV Show",IFERROR(VALUE(LEFT(I609,FIND(" ",I609)-1)),""),"")</f>
        <v/>
      </c>
      <c r="P609" s="7" t="n">
        <f aca="false">IF(K609="","",K609-G609)</f>
        <v>10</v>
      </c>
    </row>
    <row r="610" customFormat="false" ht="15" hidden="false" customHeight="false" outlineLevel="0" collapsed="false">
      <c r="A610" s="7" t="n">
        <v>80017240</v>
      </c>
      <c r="B610" s="7" t="s">
        <v>68</v>
      </c>
      <c r="C610" s="7" t="s">
        <v>1596</v>
      </c>
      <c r="D610" s="7" t="s">
        <v>1597</v>
      </c>
      <c r="E610" s="7" t="s">
        <v>28</v>
      </c>
      <c r="F610" s="7" t="s">
        <v>1586</v>
      </c>
      <c r="G610" s="7" t="n">
        <v>2014</v>
      </c>
      <c r="H610" s="7" t="s">
        <v>48</v>
      </c>
      <c r="I610" s="7" t="s">
        <v>749</v>
      </c>
      <c r="J610" s="7" t="s">
        <v>38</v>
      </c>
      <c r="K610" s="7" t="n">
        <f aca="false">IFERROR(VALUE(RIGHT(TRIM(F610),4)),"")</f>
        <v>2018</v>
      </c>
      <c r="L610" s="7" t="str">
        <f aca="false">IF(TRIM(E610)="","Unknown",IFERROR(LEFT(TRIM(E610),FIND(",",TRIM(E610))-1),TRIM(E610)))</f>
        <v>United Kingdom</v>
      </c>
      <c r="M610" s="7" t="str">
        <f aca="false">IFERROR(LEFT(J610,FIND(",",J610)-1),J610)</f>
        <v>Comedies</v>
      </c>
      <c r="N610" s="7" t="n">
        <f aca="false">IF(B610="Movie",IFERROR(VALUE(LEFT(I610,FIND(" ",I610)-1)),""),"")</f>
        <v>137</v>
      </c>
      <c r="O610" s="7" t="str">
        <f aca="false">IF(B610="TV Show",IFERROR(VALUE(LEFT(I610,FIND(" ",I610)-1)),""),"")</f>
        <v/>
      </c>
      <c r="P610" s="7" t="n">
        <f aca="false">IF(K610="","",K610-G610)</f>
        <v>4</v>
      </c>
    </row>
    <row r="611" customFormat="false" ht="15" hidden="false" customHeight="false" outlineLevel="0" collapsed="false">
      <c r="A611" s="7" t="n">
        <v>70118859</v>
      </c>
      <c r="B611" s="7" t="s">
        <v>68</v>
      </c>
      <c r="C611" s="7" t="s">
        <v>1598</v>
      </c>
      <c r="D611" s="7" t="s">
        <v>1594</v>
      </c>
      <c r="E611" s="7" t="s">
        <v>28</v>
      </c>
      <c r="F611" s="7" t="s">
        <v>1586</v>
      </c>
      <c r="G611" s="7" t="n">
        <v>2000</v>
      </c>
      <c r="H611" s="7" t="s">
        <v>49</v>
      </c>
      <c r="I611" s="7" t="s">
        <v>1599</v>
      </c>
      <c r="J611" s="7" t="s">
        <v>1600</v>
      </c>
      <c r="K611" s="7" t="n">
        <f aca="false">IFERROR(VALUE(RIGHT(TRIM(F611),4)),"")</f>
        <v>2018</v>
      </c>
      <c r="L611" s="7" t="str">
        <f aca="false">IF(TRIM(E611)="","Unknown",IFERROR(LEFT(TRIM(E611),FIND(",",TRIM(E611))-1),TRIM(E611)))</f>
        <v>United Kingdom</v>
      </c>
      <c r="M611" s="7" t="str">
        <f aca="false">IFERROR(LEFT(J611,FIND(",",J611)-1),J611)</f>
        <v>Comedies</v>
      </c>
      <c r="N611" s="7" t="n">
        <f aca="false">IF(B611="Movie",IFERROR(VALUE(LEFT(I611,FIND(" ",I611)-1)),""),"")</f>
        <v>56</v>
      </c>
      <c r="O611" s="7" t="str">
        <f aca="false">IF(B611="TV Show",IFERROR(VALUE(LEFT(I611,FIND(" ",I611)-1)),""),"")</f>
        <v/>
      </c>
      <c r="P611" s="7" t="n">
        <f aca="false">IF(K611="","",K611-G611)</f>
        <v>18</v>
      </c>
    </row>
    <row r="612" customFormat="false" ht="15" hidden="false" customHeight="false" outlineLevel="0" collapsed="false">
      <c r="A612" s="7" t="n">
        <v>80236356</v>
      </c>
      <c r="B612" s="7" t="s">
        <v>68</v>
      </c>
      <c r="C612" s="7" t="s">
        <v>1601</v>
      </c>
      <c r="E612" s="7" t="s">
        <v>26</v>
      </c>
      <c r="F612" s="7" t="s">
        <v>1586</v>
      </c>
      <c r="G612" s="7" t="n">
        <v>1998</v>
      </c>
      <c r="H612" s="7" t="s">
        <v>48</v>
      </c>
      <c r="I612" s="7" t="s">
        <v>114</v>
      </c>
      <c r="J612" s="7" t="s">
        <v>1600</v>
      </c>
      <c r="K612" s="7" t="n">
        <f aca="false">IFERROR(VALUE(RIGHT(TRIM(F612),4)),"")</f>
        <v>2018</v>
      </c>
      <c r="L612" s="7" t="str">
        <f aca="false">IF(TRIM(E612)="","Unknown",IFERROR(LEFT(TRIM(E612),FIND(",",TRIM(E612))-1),TRIM(E612)))</f>
        <v>United States</v>
      </c>
      <c r="M612" s="7" t="str">
        <f aca="false">IFERROR(LEFT(J612,FIND(",",J612)-1),J612)</f>
        <v>Comedies</v>
      </c>
      <c r="N612" s="7" t="n">
        <f aca="false">IF(B612="Movie",IFERROR(VALUE(LEFT(I612,FIND(" ",I612)-1)),""),"")</f>
        <v>58</v>
      </c>
      <c r="O612" s="7" t="str">
        <f aca="false">IF(B612="TV Show",IFERROR(VALUE(LEFT(I612,FIND(" ",I612)-1)),""),"")</f>
        <v/>
      </c>
      <c r="P612" s="7" t="n">
        <f aca="false">IF(K612="","",K612-G612)</f>
        <v>20</v>
      </c>
    </row>
    <row r="613" customFormat="false" ht="15" hidden="false" customHeight="false" outlineLevel="0" collapsed="false">
      <c r="A613" s="7" t="n">
        <v>80236778</v>
      </c>
      <c r="B613" s="7" t="s">
        <v>68</v>
      </c>
      <c r="C613" s="7" t="s">
        <v>1602</v>
      </c>
      <c r="D613" s="7" t="s">
        <v>1603</v>
      </c>
      <c r="E613" s="7" t="s">
        <v>317</v>
      </c>
      <c r="F613" s="7" t="s">
        <v>1586</v>
      </c>
      <c r="G613" s="7" t="n">
        <v>1982</v>
      </c>
      <c r="H613" s="7" t="s">
        <v>51</v>
      </c>
      <c r="I613" s="7" t="s">
        <v>154</v>
      </c>
      <c r="J613" s="7" t="s">
        <v>38</v>
      </c>
      <c r="K613" s="7" t="n">
        <f aca="false">IFERROR(VALUE(RIGHT(TRIM(F613),4)),"")</f>
        <v>2018</v>
      </c>
      <c r="L613" s="7" t="str">
        <f aca="false">IF(TRIM(E613)="","Unknown",IFERROR(LEFT(TRIM(E613),FIND(",",TRIM(E613))-1),TRIM(E613)))</f>
        <v>United Kingdom</v>
      </c>
      <c r="M613" s="7" t="str">
        <f aca="false">IFERROR(LEFT(J613,FIND(",",J613)-1),J613)</f>
        <v>Comedies</v>
      </c>
      <c r="N613" s="7" t="n">
        <f aca="false">IF(B613="Movie",IFERROR(VALUE(LEFT(I613,FIND(" ",I613)-1)),""),"")</f>
        <v>80</v>
      </c>
      <c r="O613" s="7" t="str">
        <f aca="false">IF(B613="TV Show",IFERROR(VALUE(LEFT(I613,FIND(" ",I613)-1)),""),"")</f>
        <v/>
      </c>
      <c r="P613" s="7" t="n">
        <f aca="false">IF(K613="","",K613-G613)</f>
        <v>36</v>
      </c>
    </row>
    <row r="614" customFormat="false" ht="15" hidden="false" customHeight="false" outlineLevel="0" collapsed="false">
      <c r="A614" s="7" t="n">
        <v>80236470</v>
      </c>
      <c r="B614" s="7" t="s">
        <v>68</v>
      </c>
      <c r="C614" s="7" t="s">
        <v>1604</v>
      </c>
      <c r="D614" s="7" t="s">
        <v>1605</v>
      </c>
      <c r="E614" s="7" t="s">
        <v>28</v>
      </c>
      <c r="F614" s="7" t="s">
        <v>1586</v>
      </c>
      <c r="G614" s="7" t="n">
        <v>2014</v>
      </c>
      <c r="H614" s="7" t="s">
        <v>48</v>
      </c>
      <c r="I614" s="7" t="s">
        <v>77</v>
      </c>
      <c r="J614" s="7" t="s">
        <v>39</v>
      </c>
      <c r="K614" s="7" t="n">
        <f aca="false">IFERROR(VALUE(RIGHT(TRIM(F614),4)),"")</f>
        <v>2018</v>
      </c>
      <c r="L614" s="7" t="str">
        <f aca="false">IF(TRIM(E614)="","Unknown",IFERROR(LEFT(TRIM(E614),FIND(",",TRIM(E614))-1),TRIM(E614)))</f>
        <v>United Kingdom</v>
      </c>
      <c r="M614" s="7" t="str">
        <f aca="false">IFERROR(LEFT(J614,FIND(",",J614)-1),J614)</f>
        <v>Documentaries</v>
      </c>
      <c r="N614" s="7" t="n">
        <f aca="false">IF(B614="Movie",IFERROR(VALUE(LEFT(I614,FIND(" ",I614)-1)),""),"")</f>
        <v>94</v>
      </c>
      <c r="O614" s="7" t="str">
        <f aca="false">IF(B614="TV Show",IFERROR(VALUE(LEFT(I614,FIND(" ",I614)-1)),""),"")</f>
        <v/>
      </c>
      <c r="P614" s="7" t="n">
        <f aca="false">IF(K614="","",K614-G614)</f>
        <v>4</v>
      </c>
    </row>
    <row r="615" customFormat="false" ht="15" hidden="false" customHeight="false" outlineLevel="0" collapsed="false">
      <c r="A615" s="7" t="n">
        <v>70213237</v>
      </c>
      <c r="B615" s="7" t="s">
        <v>78</v>
      </c>
      <c r="C615" s="7" t="s">
        <v>1606</v>
      </c>
      <c r="E615" s="7" t="s">
        <v>28</v>
      </c>
      <c r="F615" s="7" t="s">
        <v>1586</v>
      </c>
      <c r="G615" s="7" t="n">
        <v>2009</v>
      </c>
      <c r="H615" s="7" t="s">
        <v>53</v>
      </c>
      <c r="I615" s="7" t="s">
        <v>82</v>
      </c>
      <c r="J615" s="7" t="s">
        <v>1122</v>
      </c>
      <c r="K615" s="7" t="n">
        <f aca="false">IFERROR(VALUE(RIGHT(TRIM(F615),4)),"")</f>
        <v>2018</v>
      </c>
      <c r="L615" s="7" t="str">
        <f aca="false">IF(TRIM(E615)="","Unknown",IFERROR(LEFT(TRIM(E615),FIND(",",TRIM(E615))-1),TRIM(E615)))</f>
        <v>United Kingdom</v>
      </c>
      <c r="M615" s="7" t="str">
        <f aca="false">IFERROR(LEFT(J615,FIND(",",J615)-1),J615)</f>
        <v>British TV Shows</v>
      </c>
      <c r="N615" s="7" t="str">
        <f aca="false">IF(B615="Movie",IFERROR(VALUE(LEFT(I615,FIND(" ",I615)-1)),""),"")</f>
        <v/>
      </c>
      <c r="O615" s="7" t="n">
        <f aca="false">IF(B615="TV Show",IFERROR(VALUE(LEFT(I615,FIND(" ",I615)-1)),""),"")</f>
        <v>1</v>
      </c>
      <c r="P615" s="7" t="n">
        <f aca="false">IF(K615="","",K615-G615)</f>
        <v>9</v>
      </c>
    </row>
    <row r="616" customFormat="false" ht="15" hidden="false" customHeight="false" outlineLevel="0" collapsed="false">
      <c r="A616" s="7" t="n">
        <v>80236357</v>
      </c>
      <c r="B616" s="7" t="s">
        <v>78</v>
      </c>
      <c r="C616" s="7" t="s">
        <v>1607</v>
      </c>
      <c r="E616" s="7" t="s">
        <v>1608</v>
      </c>
      <c r="F616" s="7" t="s">
        <v>1586</v>
      </c>
      <c r="G616" s="7" t="n">
        <v>1972</v>
      </c>
      <c r="H616" s="7" t="s">
        <v>49</v>
      </c>
      <c r="I616" s="7" t="s">
        <v>82</v>
      </c>
      <c r="J616" s="7" t="s">
        <v>1357</v>
      </c>
      <c r="K616" s="7" t="n">
        <f aca="false">IFERROR(VALUE(RIGHT(TRIM(F616),4)),"")</f>
        <v>2018</v>
      </c>
      <c r="L616" s="7" t="str">
        <f aca="false">IF(TRIM(E616)="","Unknown",IFERROR(LEFT(TRIM(E616),FIND(",",TRIM(E616))-1),TRIM(E616)))</f>
        <v>United Kingdom</v>
      </c>
      <c r="M616" s="7" t="str">
        <f aca="false">IFERROR(LEFT(J616,FIND(",",J616)-1),J616)</f>
        <v>International TV Shows</v>
      </c>
      <c r="N616" s="7" t="str">
        <f aca="false">IF(B616="Movie",IFERROR(VALUE(LEFT(I616,FIND(" ",I616)-1)),""),"")</f>
        <v/>
      </c>
      <c r="O616" s="7" t="n">
        <f aca="false">IF(B616="TV Show",IFERROR(VALUE(LEFT(I616,FIND(" ",I616)-1)),""),"")</f>
        <v>1</v>
      </c>
      <c r="P616" s="7" t="n">
        <f aca="false">IF(K616="","",K616-G616)</f>
        <v>46</v>
      </c>
    </row>
    <row r="617" customFormat="false" ht="15" hidden="false" customHeight="false" outlineLevel="0" collapsed="false">
      <c r="A617" s="7" t="n">
        <v>699257</v>
      </c>
      <c r="B617" s="7" t="s">
        <v>68</v>
      </c>
      <c r="C617" s="7" t="s">
        <v>1609</v>
      </c>
      <c r="D617" s="7" t="s">
        <v>1610</v>
      </c>
      <c r="E617" s="7" t="s">
        <v>28</v>
      </c>
      <c r="F617" s="7" t="s">
        <v>1586</v>
      </c>
      <c r="G617" s="7" t="n">
        <v>1979</v>
      </c>
      <c r="H617" s="7" t="s">
        <v>51</v>
      </c>
      <c r="I617" s="7" t="s">
        <v>77</v>
      </c>
      <c r="J617" s="7" t="s">
        <v>938</v>
      </c>
      <c r="K617" s="7" t="n">
        <f aca="false">IFERROR(VALUE(RIGHT(TRIM(F617),4)),"")</f>
        <v>2018</v>
      </c>
      <c r="L617" s="7" t="str">
        <f aca="false">IF(TRIM(E617)="","Unknown",IFERROR(LEFT(TRIM(E617),FIND(",",TRIM(E617))-1),TRIM(E617)))</f>
        <v>United Kingdom</v>
      </c>
      <c r="M617" s="7" t="str">
        <f aca="false">IFERROR(LEFT(J617,FIND(",",J617)-1),J617)</f>
        <v>Classic Movies</v>
      </c>
      <c r="N617" s="7" t="n">
        <f aca="false">IF(B617="Movie",IFERROR(VALUE(LEFT(I617,FIND(" ",I617)-1)),""),"")</f>
        <v>94</v>
      </c>
      <c r="O617" s="7" t="str">
        <f aca="false">IF(B617="TV Show",IFERROR(VALUE(LEFT(I617,FIND(" ",I617)-1)),""),"")</f>
        <v/>
      </c>
      <c r="P617" s="7" t="n">
        <f aca="false">IF(K617="","",K617-G617)</f>
        <v>39</v>
      </c>
    </row>
    <row r="618" customFormat="false" ht="15" hidden="false" customHeight="false" outlineLevel="0" collapsed="false">
      <c r="A618" s="7" t="n">
        <v>80237311</v>
      </c>
      <c r="B618" s="7" t="s">
        <v>78</v>
      </c>
      <c r="C618" s="7" t="s">
        <v>1611</v>
      </c>
      <c r="E618" s="7" t="s">
        <v>26</v>
      </c>
      <c r="F618" s="7" t="s">
        <v>1586</v>
      </c>
      <c r="G618" s="7" t="n">
        <v>2005</v>
      </c>
      <c r="H618" s="7" t="s">
        <v>48</v>
      </c>
      <c r="I618" s="7" t="s">
        <v>82</v>
      </c>
      <c r="J618" s="7" t="s">
        <v>1612</v>
      </c>
      <c r="K618" s="7" t="n">
        <f aca="false">IFERROR(VALUE(RIGHT(TRIM(F618),4)),"")</f>
        <v>2018</v>
      </c>
      <c r="L618" s="7" t="str">
        <f aca="false">IF(TRIM(E618)="","Unknown",IFERROR(LEFT(TRIM(E618),FIND(",",TRIM(E618))-1),TRIM(E618)))</f>
        <v>United States</v>
      </c>
      <c r="M618" s="7" t="str">
        <f aca="false">IFERROR(LEFT(J618,FIND(",",J618)-1),J618)</f>
        <v>British TV Shows</v>
      </c>
      <c r="N618" s="7" t="str">
        <f aca="false">IF(B618="Movie",IFERROR(VALUE(LEFT(I618,FIND(" ",I618)-1)),""),"")</f>
        <v/>
      </c>
      <c r="O618" s="7" t="n">
        <f aca="false">IF(B618="TV Show",IFERROR(VALUE(LEFT(I618,FIND(" ",I618)-1)),""),"")</f>
        <v>1</v>
      </c>
      <c r="P618" s="7" t="n">
        <f aca="false">IF(K618="","",K618-G618)</f>
        <v>13</v>
      </c>
    </row>
    <row r="619" customFormat="false" ht="15" hidden="false" customHeight="false" outlineLevel="0" collapsed="false">
      <c r="A619" s="7" t="n">
        <v>80236574</v>
      </c>
      <c r="B619" s="7" t="s">
        <v>68</v>
      </c>
      <c r="C619" s="7" t="s">
        <v>1613</v>
      </c>
      <c r="D619" s="7" t="s">
        <v>1614</v>
      </c>
      <c r="E619" s="7" t="s">
        <v>28</v>
      </c>
      <c r="F619" s="7" t="s">
        <v>1586</v>
      </c>
      <c r="G619" s="7" t="n">
        <v>1989</v>
      </c>
      <c r="H619" s="7" t="s">
        <v>49</v>
      </c>
      <c r="I619" s="7" t="s">
        <v>348</v>
      </c>
      <c r="J619" s="7" t="s">
        <v>38</v>
      </c>
      <c r="K619" s="7" t="n">
        <f aca="false">IFERROR(VALUE(RIGHT(TRIM(F619),4)),"")</f>
        <v>2018</v>
      </c>
      <c r="L619" s="7" t="str">
        <f aca="false">IF(TRIM(E619)="","Unknown",IFERROR(LEFT(TRIM(E619),FIND(",",TRIM(E619))-1),TRIM(E619)))</f>
        <v>United Kingdom</v>
      </c>
      <c r="M619" s="7" t="str">
        <f aca="false">IFERROR(LEFT(J619,FIND(",",J619)-1),J619)</f>
        <v>Comedies</v>
      </c>
      <c r="N619" s="7" t="n">
        <f aca="false">IF(B619="Movie",IFERROR(VALUE(LEFT(I619,FIND(" ",I619)-1)),""),"")</f>
        <v>72</v>
      </c>
      <c r="O619" s="7" t="str">
        <f aca="false">IF(B619="TV Show",IFERROR(VALUE(LEFT(I619,FIND(" ",I619)-1)),""),"")</f>
        <v/>
      </c>
      <c r="P619" s="7" t="n">
        <f aca="false">IF(K619="","",K619-G619)</f>
        <v>29</v>
      </c>
    </row>
    <row r="620" customFormat="false" ht="15" hidden="false" customHeight="false" outlineLevel="0" collapsed="false">
      <c r="A620" s="7" t="n">
        <v>80988048</v>
      </c>
      <c r="B620" s="7" t="s">
        <v>68</v>
      </c>
      <c r="C620" s="7" t="s">
        <v>1615</v>
      </c>
      <c r="D620" s="7" t="s">
        <v>1616</v>
      </c>
      <c r="E620" s="7" t="s">
        <v>26</v>
      </c>
      <c r="F620" s="7" t="s">
        <v>1586</v>
      </c>
      <c r="G620" s="7" t="n">
        <v>2013</v>
      </c>
      <c r="H620" s="7" t="s">
        <v>48</v>
      </c>
      <c r="I620" s="7" t="s">
        <v>98</v>
      </c>
      <c r="J620" s="7" t="s">
        <v>39</v>
      </c>
      <c r="K620" s="7" t="n">
        <f aca="false">IFERROR(VALUE(RIGHT(TRIM(F620),4)),"")</f>
        <v>2018</v>
      </c>
      <c r="L620" s="7" t="str">
        <f aca="false">IF(TRIM(E620)="","Unknown",IFERROR(LEFT(TRIM(E620),FIND(",",TRIM(E620))-1),TRIM(E620)))</f>
        <v>United States</v>
      </c>
      <c r="M620" s="7" t="str">
        <f aca="false">IFERROR(LEFT(J620,FIND(",",J620)-1),J620)</f>
        <v>Documentaries</v>
      </c>
      <c r="N620" s="7" t="n">
        <f aca="false">IF(B620="Movie",IFERROR(VALUE(LEFT(I620,FIND(" ",I620)-1)),""),"")</f>
        <v>60</v>
      </c>
      <c r="O620" s="7" t="str">
        <f aca="false">IF(B620="TV Show",IFERROR(VALUE(LEFT(I620,FIND(" ",I620)-1)),""),"")</f>
        <v/>
      </c>
      <c r="P620" s="7" t="n">
        <f aca="false">IF(K620="","",K620-G620)</f>
        <v>5</v>
      </c>
    </row>
    <row r="621" customFormat="false" ht="15" hidden="false" customHeight="false" outlineLevel="0" collapsed="false">
      <c r="A621" s="7" t="n">
        <v>80039069</v>
      </c>
      <c r="B621" s="7" t="s">
        <v>68</v>
      </c>
      <c r="C621" s="7" t="s">
        <v>1617</v>
      </c>
      <c r="D621" s="7" t="s">
        <v>1618</v>
      </c>
      <c r="E621" s="7" t="s">
        <v>26</v>
      </c>
      <c r="F621" s="7" t="s">
        <v>1619</v>
      </c>
      <c r="G621" s="7" t="n">
        <v>2015</v>
      </c>
      <c r="H621" s="7" t="s">
        <v>51</v>
      </c>
      <c r="I621" s="7" t="s">
        <v>512</v>
      </c>
      <c r="J621" s="7" t="s">
        <v>198</v>
      </c>
      <c r="K621" s="7" t="n">
        <f aca="false">IFERROR(VALUE(RIGHT(TRIM(F621),4)),"")</f>
        <v>2017</v>
      </c>
      <c r="L621" s="7" t="str">
        <f aca="false">IF(TRIM(E621)="","Unknown",IFERROR(LEFT(TRIM(E621),FIND(",",TRIM(E621))-1),TRIM(E621)))</f>
        <v>United States</v>
      </c>
      <c r="M621" s="7" t="str">
        <f aca="false">IFERROR(LEFT(J621,FIND(",",J621)-1),J621)</f>
        <v>Comedies</v>
      </c>
      <c r="N621" s="7" t="n">
        <f aca="false">IF(B621="Movie",IFERROR(VALUE(LEFT(I621,FIND(" ",I621)-1)),""),"")</f>
        <v>101</v>
      </c>
      <c r="O621" s="7" t="str">
        <f aca="false">IF(B621="TV Show",IFERROR(VALUE(LEFT(I621,FIND(" ",I621)-1)),""),"")</f>
        <v/>
      </c>
      <c r="P621" s="7" t="n">
        <f aca="false">IF(K621="","",K621-G621)</f>
        <v>2</v>
      </c>
    </row>
    <row r="622" customFormat="false" ht="15" hidden="false" customHeight="false" outlineLevel="0" collapsed="false">
      <c r="A622" s="7" t="n">
        <v>80046779</v>
      </c>
      <c r="B622" s="7" t="s">
        <v>68</v>
      </c>
      <c r="C622" s="7" t="s">
        <v>1620</v>
      </c>
      <c r="D622" s="7" t="s">
        <v>1621</v>
      </c>
      <c r="E622" s="7" t="s">
        <v>26</v>
      </c>
      <c r="F622" s="7" t="s">
        <v>1622</v>
      </c>
      <c r="G622" s="7" t="n">
        <v>2015</v>
      </c>
      <c r="H622" s="7" t="s">
        <v>49</v>
      </c>
      <c r="I622" s="7" t="s">
        <v>286</v>
      </c>
      <c r="J622" s="7" t="s">
        <v>45</v>
      </c>
      <c r="K622" s="7" t="n">
        <f aca="false">IFERROR(VALUE(RIGHT(TRIM(F622),4)),"")</f>
        <v>2015</v>
      </c>
      <c r="L622" s="7" t="str">
        <f aca="false">IF(TRIM(E622)="","Unknown",IFERROR(LEFT(TRIM(E622),FIND(",",TRIM(E622))-1),TRIM(E622)))</f>
        <v>United States</v>
      </c>
      <c r="M622" s="7" t="str">
        <f aca="false">IFERROR(LEFT(J622,FIND(",",J622)-1),J622)</f>
        <v>Stand-Up Comedy</v>
      </c>
      <c r="N622" s="7" t="n">
        <f aca="false">IF(B622="Movie",IFERROR(VALUE(LEFT(I622,FIND(" ",I622)-1)),""),"")</f>
        <v>64</v>
      </c>
      <c r="O622" s="7" t="str">
        <f aca="false">IF(B622="TV Show",IFERROR(VALUE(LEFT(I622,FIND(" ",I622)-1)),""),"")</f>
        <v/>
      </c>
      <c r="P622" s="7" t="n">
        <f aca="false">IF(K622="","",K622-G622)</f>
        <v>0</v>
      </c>
    </row>
    <row r="623" customFormat="false" ht="15" hidden="false" customHeight="false" outlineLevel="0" collapsed="false">
      <c r="A623" s="7" t="n">
        <v>80995687</v>
      </c>
      <c r="B623" s="7" t="s">
        <v>68</v>
      </c>
      <c r="C623" s="7" t="s">
        <v>1623</v>
      </c>
      <c r="D623" s="7" t="s">
        <v>1624</v>
      </c>
      <c r="F623" s="7" t="s">
        <v>1625</v>
      </c>
      <c r="G623" s="7" t="n">
        <v>2019</v>
      </c>
      <c r="H623" s="7" t="s">
        <v>55</v>
      </c>
      <c r="I623" s="7" t="s">
        <v>1317</v>
      </c>
      <c r="J623" s="7" t="s">
        <v>74</v>
      </c>
      <c r="K623" s="7" t="n">
        <f aca="false">IFERROR(VALUE(RIGHT(TRIM(F623),4)),"")</f>
        <v>2019</v>
      </c>
      <c r="L623" s="7" t="str">
        <f aca="false">IF(TRIM(E623)="","Unknown",IFERROR(LEFT(TRIM(E623),FIND(",",TRIM(E623))-1),TRIM(E623)))</f>
        <v>Unknown</v>
      </c>
      <c r="M623" s="7" t="str">
        <f aca="false">IFERROR(LEFT(J623,FIND(",",J623)-1),J623)</f>
        <v>Children &amp; Family Movies</v>
      </c>
      <c r="N623" s="7" t="n">
        <f aca="false">IF(B623="Movie",IFERROR(VALUE(LEFT(I623,FIND(" ",I623)-1)),""),"")</f>
        <v>66</v>
      </c>
      <c r="O623" s="7" t="str">
        <f aca="false">IF(B623="TV Show",IFERROR(VALUE(LEFT(I623,FIND(" ",I623)-1)),""),"")</f>
        <v/>
      </c>
      <c r="P623" s="7" t="n">
        <f aca="false">IF(K623="","",K623-G623)</f>
        <v>0</v>
      </c>
    </row>
    <row r="624" customFormat="false" ht="15" hidden="false" customHeight="false" outlineLevel="0" collapsed="false">
      <c r="A624" s="7" t="n">
        <v>60001650</v>
      </c>
      <c r="B624" s="7" t="s">
        <v>68</v>
      </c>
      <c r="C624" s="7" t="s">
        <v>1626</v>
      </c>
      <c r="D624" s="7" t="s">
        <v>1627</v>
      </c>
      <c r="E624" s="7" t="s">
        <v>26</v>
      </c>
      <c r="F624" s="7" t="s">
        <v>1625</v>
      </c>
      <c r="G624" s="7" t="n">
        <v>1997</v>
      </c>
      <c r="H624" s="7" t="s">
        <v>52</v>
      </c>
      <c r="I624" s="7" t="s">
        <v>134</v>
      </c>
      <c r="J624" s="7" t="s">
        <v>1628</v>
      </c>
      <c r="K624" s="7" t="n">
        <f aca="false">IFERROR(VALUE(RIGHT(TRIM(F624),4)),"")</f>
        <v>2019</v>
      </c>
      <c r="L624" s="7" t="str">
        <f aca="false">IF(TRIM(E624)="","Unknown",IFERROR(LEFT(TRIM(E624),FIND(",",TRIM(E624))-1),TRIM(E624)))</f>
        <v>United States</v>
      </c>
      <c r="M624" s="7" t="str">
        <f aca="false">IFERROR(LEFT(J624,FIND(",",J624)-1),J624)</f>
        <v>Action &amp; Adventure</v>
      </c>
      <c r="N624" s="7" t="n">
        <f aca="false">IF(B624="Movie",IFERROR(VALUE(LEFT(I624,FIND(" ",I624)-1)),""),"")</f>
        <v>98</v>
      </c>
      <c r="O624" s="7" t="str">
        <f aca="false">IF(B624="TV Show",IFERROR(VALUE(LEFT(I624,FIND(" ",I624)-1)),""),"")</f>
        <v/>
      </c>
      <c r="P624" s="7" t="n">
        <f aca="false">IF(K624="","",K624-G624)</f>
        <v>22</v>
      </c>
    </row>
    <row r="625" customFormat="false" ht="15" hidden="false" customHeight="false" outlineLevel="0" collapsed="false">
      <c r="A625" s="7" t="n">
        <v>81172848</v>
      </c>
      <c r="B625" s="7" t="s">
        <v>68</v>
      </c>
      <c r="C625" s="7" t="s">
        <v>1629</v>
      </c>
      <c r="D625" s="7" t="s">
        <v>1630</v>
      </c>
      <c r="E625" s="7" t="s">
        <v>527</v>
      </c>
      <c r="F625" s="7" t="s">
        <v>1625</v>
      </c>
      <c r="G625" s="7" t="n">
        <v>2018</v>
      </c>
      <c r="H625" s="7" t="s">
        <v>49</v>
      </c>
      <c r="I625" s="7" t="s">
        <v>311</v>
      </c>
      <c r="J625" s="7" t="s">
        <v>217</v>
      </c>
      <c r="K625" s="7" t="n">
        <f aca="false">IFERROR(VALUE(RIGHT(TRIM(F625),4)),"")</f>
        <v>2019</v>
      </c>
      <c r="L625" s="7" t="str">
        <f aca="false">IF(TRIM(E625)="","Unknown",IFERROR(LEFT(TRIM(E625),FIND(",",TRIM(E625))-1),TRIM(E625)))</f>
        <v>Nigeria</v>
      </c>
      <c r="M625" s="7" t="str">
        <f aca="false">IFERROR(LEFT(J625,FIND(",",J625)-1),J625)</f>
        <v>Comedies</v>
      </c>
      <c r="N625" s="7" t="n">
        <f aca="false">IF(B625="Movie",IFERROR(VALUE(LEFT(I625,FIND(" ",I625)-1)),""),"")</f>
        <v>92</v>
      </c>
      <c r="O625" s="7" t="str">
        <f aca="false">IF(B625="TV Show",IFERROR(VALUE(LEFT(I625,FIND(" ",I625)-1)),""),"")</f>
        <v/>
      </c>
      <c r="P625" s="7" t="n">
        <f aca="false">IF(K625="","",K625-G625)</f>
        <v>1</v>
      </c>
    </row>
    <row r="626" customFormat="false" ht="15" hidden="false" customHeight="false" outlineLevel="0" collapsed="false">
      <c r="A626" s="7" t="n">
        <v>81034575</v>
      </c>
      <c r="B626" s="7" t="s">
        <v>68</v>
      </c>
      <c r="C626" s="7" t="s">
        <v>1631</v>
      </c>
      <c r="D626" s="7" t="s">
        <v>1632</v>
      </c>
      <c r="E626" s="7" t="s">
        <v>1633</v>
      </c>
      <c r="F626" s="7" t="s">
        <v>1625</v>
      </c>
      <c r="G626" s="7" t="n">
        <v>2018</v>
      </c>
      <c r="H626" s="7" t="s">
        <v>52</v>
      </c>
      <c r="I626" s="7" t="s">
        <v>1270</v>
      </c>
      <c r="J626" s="7" t="s">
        <v>182</v>
      </c>
      <c r="K626" s="7" t="n">
        <f aca="false">IFERROR(VALUE(RIGHT(TRIM(F626),4)),"")</f>
        <v>2019</v>
      </c>
      <c r="L626" s="7" t="str">
        <f aca="false">IF(TRIM(E626)="","Unknown",IFERROR(LEFT(TRIM(E626),FIND(",",TRIM(E626))-1),TRIM(E626)))</f>
        <v>Belgium</v>
      </c>
      <c r="M626" s="7" t="str">
        <f aca="false">IFERROR(LEFT(J626,FIND(",",J626)-1),J626)</f>
        <v>Dramas</v>
      </c>
      <c r="N626" s="7" t="n">
        <f aca="false">IF(B626="Movie",IFERROR(VALUE(LEFT(I626,FIND(" ",I626)-1)),""),"")</f>
        <v>118</v>
      </c>
      <c r="O626" s="7" t="str">
        <f aca="false">IF(B626="TV Show",IFERROR(VALUE(LEFT(I626,FIND(" ",I626)-1)),""),"")</f>
        <v/>
      </c>
      <c r="P626" s="7" t="n">
        <f aca="false">IF(K626="","",K626-G626)</f>
        <v>1</v>
      </c>
    </row>
    <row r="627" customFormat="false" ht="15" hidden="false" customHeight="false" outlineLevel="0" collapsed="false">
      <c r="A627" s="7" t="n">
        <v>81025800</v>
      </c>
      <c r="B627" s="7" t="s">
        <v>78</v>
      </c>
      <c r="C627" s="7" t="s">
        <v>1634</v>
      </c>
      <c r="E627" s="7" t="s">
        <v>26</v>
      </c>
      <c r="F627" s="7" t="s">
        <v>1635</v>
      </c>
      <c r="G627" s="7" t="n">
        <v>2018</v>
      </c>
      <c r="H627" s="7" t="s">
        <v>49</v>
      </c>
      <c r="I627" s="7" t="s">
        <v>82</v>
      </c>
      <c r="J627" s="7" t="s">
        <v>158</v>
      </c>
      <c r="K627" s="7" t="n">
        <f aca="false">IFERROR(VALUE(RIGHT(TRIM(F627),4)),"")</f>
        <v>2018</v>
      </c>
      <c r="L627" s="7" t="str">
        <f aca="false">IF(TRIM(E627)="","Unknown",IFERROR(LEFT(TRIM(E627),FIND(",",TRIM(E627))-1),TRIM(E627)))</f>
        <v>United States</v>
      </c>
      <c r="M627" s="7" t="str">
        <f aca="false">IFERROR(LEFT(J627,FIND(",",J627)-1),J627)</f>
        <v>International TV Shows</v>
      </c>
      <c r="N627" s="7" t="str">
        <f aca="false">IF(B627="Movie",IFERROR(VALUE(LEFT(I627,FIND(" ",I627)-1)),""),"")</f>
        <v/>
      </c>
      <c r="O627" s="7" t="n">
        <f aca="false">IF(B627="TV Show",IFERROR(VALUE(LEFT(I627,FIND(" ",I627)-1)),""),"")</f>
        <v>1</v>
      </c>
      <c r="P627" s="7" t="n">
        <f aca="false">IF(K627="","",K627-G627)</f>
        <v>0</v>
      </c>
    </row>
    <row r="628" customFormat="false" ht="15" hidden="false" customHeight="false" outlineLevel="0" collapsed="false">
      <c r="A628" s="7" t="n">
        <v>81003997</v>
      </c>
      <c r="B628" s="7" t="s">
        <v>78</v>
      </c>
      <c r="C628" s="7" t="s">
        <v>1636</v>
      </c>
      <c r="E628" s="7" t="s">
        <v>35</v>
      </c>
      <c r="F628" s="7" t="s">
        <v>1635</v>
      </c>
      <c r="G628" s="7" t="n">
        <v>2017</v>
      </c>
      <c r="H628" s="7" t="s">
        <v>50</v>
      </c>
      <c r="I628" s="7" t="s">
        <v>82</v>
      </c>
      <c r="J628" s="7" t="s">
        <v>1637</v>
      </c>
      <c r="K628" s="7" t="n">
        <f aca="false">IFERROR(VALUE(RIGHT(TRIM(F628),4)),"")</f>
        <v>2018</v>
      </c>
      <c r="L628" s="7" t="str">
        <f aca="false">IF(TRIM(E628)="","Unknown",IFERROR(LEFT(TRIM(E628),FIND(",",TRIM(E628))-1),TRIM(E628)))</f>
        <v>Australia</v>
      </c>
      <c r="M628" s="7" t="str">
        <f aca="false">IFERROR(LEFT(J628,FIND(",",J628)-1),J628)</f>
        <v>Docuseries</v>
      </c>
      <c r="N628" s="7" t="str">
        <f aca="false">IF(B628="Movie",IFERROR(VALUE(LEFT(I628,FIND(" ",I628)-1)),""),"")</f>
        <v/>
      </c>
      <c r="O628" s="7" t="n">
        <f aca="false">IF(B628="TV Show",IFERROR(VALUE(LEFT(I628,FIND(" ",I628)-1)),""),"")</f>
        <v>1</v>
      </c>
      <c r="P628" s="7" t="n">
        <f aca="false">IF(K628="","",K628-G628)</f>
        <v>1</v>
      </c>
    </row>
    <row r="629" customFormat="false" ht="15" hidden="false" customHeight="false" outlineLevel="0" collapsed="false">
      <c r="A629" s="7" t="n">
        <v>80207486</v>
      </c>
      <c r="B629" s="7" t="s">
        <v>78</v>
      </c>
      <c r="C629" s="7" t="s">
        <v>1638</v>
      </c>
      <c r="E629" s="7" t="s">
        <v>26</v>
      </c>
      <c r="F629" s="7" t="s">
        <v>1635</v>
      </c>
      <c r="G629" s="7" t="n">
        <v>2018</v>
      </c>
      <c r="H629" s="7" t="s">
        <v>50</v>
      </c>
      <c r="I629" s="7" t="s">
        <v>82</v>
      </c>
      <c r="J629" s="7" t="s">
        <v>191</v>
      </c>
      <c r="K629" s="7" t="n">
        <f aca="false">IFERROR(VALUE(RIGHT(TRIM(F629),4)),"")</f>
        <v>2018</v>
      </c>
      <c r="L629" s="7" t="str">
        <f aca="false">IF(TRIM(E629)="","Unknown",IFERROR(LEFT(TRIM(E629),FIND(",",TRIM(E629))-1),TRIM(E629)))</f>
        <v>United States</v>
      </c>
      <c r="M629" s="7" t="str">
        <f aca="false">IFERROR(LEFT(J629,FIND(",",J629)-1),J629)</f>
        <v>Kids' TV</v>
      </c>
      <c r="N629" s="7" t="str">
        <f aca="false">IF(B629="Movie",IFERROR(VALUE(LEFT(I629,FIND(" ",I629)-1)),""),"")</f>
        <v/>
      </c>
      <c r="O629" s="7" t="n">
        <f aca="false">IF(B629="TV Show",IFERROR(VALUE(LEFT(I629,FIND(" ",I629)-1)),""),"")</f>
        <v>1</v>
      </c>
      <c r="P629" s="7" t="n">
        <f aca="false">IF(K629="","",K629-G629)</f>
        <v>0</v>
      </c>
    </row>
    <row r="630" customFormat="false" ht="15" hidden="false" customHeight="false" outlineLevel="0" collapsed="false">
      <c r="A630" s="7" t="n">
        <v>80226951</v>
      </c>
      <c r="B630" s="7" t="s">
        <v>68</v>
      </c>
      <c r="C630" s="7" t="s">
        <v>1639</v>
      </c>
      <c r="D630" s="7" t="s">
        <v>1640</v>
      </c>
      <c r="E630" s="7" t="s">
        <v>1641</v>
      </c>
      <c r="F630" s="7" t="s">
        <v>1635</v>
      </c>
      <c r="G630" s="7" t="n">
        <v>2018</v>
      </c>
      <c r="H630" s="7" t="s">
        <v>48</v>
      </c>
      <c r="I630" s="7" t="s">
        <v>1642</v>
      </c>
      <c r="J630" s="7" t="s">
        <v>10</v>
      </c>
      <c r="K630" s="7" t="n">
        <f aca="false">IFERROR(VALUE(RIGHT(TRIM(F630),4)),"")</f>
        <v>2018</v>
      </c>
      <c r="L630" s="7" t="str">
        <f aca="false">IF(TRIM(E630)="","Unknown",IFERROR(LEFT(TRIM(E630),FIND(",",TRIM(E630))-1),TRIM(E630)))</f>
        <v>Mexico</v>
      </c>
      <c r="M630" s="7" t="str">
        <f aca="false">IFERROR(LEFT(J630,FIND(",",J630)-1),J630)</f>
        <v>Movies</v>
      </c>
      <c r="N630" s="7" t="n">
        <f aca="false">IF(B630="Movie",IFERROR(VALUE(LEFT(I630,FIND(" ",I630)-1)),""),"")</f>
        <v>51</v>
      </c>
      <c r="O630" s="7" t="str">
        <f aca="false">IF(B630="TV Show",IFERROR(VALUE(LEFT(I630,FIND(" ",I630)-1)),""),"")</f>
        <v/>
      </c>
      <c r="P630" s="7" t="n">
        <f aca="false">IF(K630="","",K630-G630)</f>
        <v>0</v>
      </c>
    </row>
    <row r="631" customFormat="false" ht="15" hidden="false" customHeight="false" outlineLevel="0" collapsed="false">
      <c r="A631" s="7" t="n">
        <v>80216677</v>
      </c>
      <c r="B631" s="7" t="s">
        <v>68</v>
      </c>
      <c r="C631" s="7" t="s">
        <v>1643</v>
      </c>
      <c r="F631" s="7" t="s">
        <v>1635</v>
      </c>
      <c r="G631" s="7" t="n">
        <v>2018</v>
      </c>
      <c r="H631" s="7" t="s">
        <v>48</v>
      </c>
      <c r="I631" s="7" t="s">
        <v>1644</v>
      </c>
      <c r="J631" s="7" t="s">
        <v>10</v>
      </c>
      <c r="K631" s="7" t="n">
        <f aca="false">IFERROR(VALUE(RIGHT(TRIM(F631),4)),"")</f>
        <v>2018</v>
      </c>
      <c r="L631" s="7" t="str">
        <f aca="false">IF(TRIM(E631)="","Unknown",IFERROR(LEFT(TRIM(E631),FIND(",",TRIM(E631))-1),TRIM(E631)))</f>
        <v>Unknown</v>
      </c>
      <c r="M631" s="7" t="str">
        <f aca="false">IFERROR(LEFT(J631,FIND(",",J631)-1),J631)</f>
        <v>Movies</v>
      </c>
      <c r="N631" s="7" t="n">
        <f aca="false">IF(B631="Movie",IFERROR(VALUE(LEFT(I631,FIND(" ",I631)-1)),""),"")</f>
        <v>50</v>
      </c>
      <c r="O631" s="7" t="str">
        <f aca="false">IF(B631="TV Show",IFERROR(VALUE(LEFT(I631,FIND(" ",I631)-1)),""),"")</f>
        <v/>
      </c>
      <c r="P631" s="7" t="n">
        <f aca="false">IF(K631="","",K631-G631)</f>
        <v>0</v>
      </c>
    </row>
    <row r="632" customFormat="false" ht="15" hidden="false" customHeight="false" outlineLevel="0" collapsed="false">
      <c r="A632" s="7" t="n">
        <v>80232279</v>
      </c>
      <c r="B632" s="7" t="s">
        <v>68</v>
      </c>
      <c r="C632" s="7" t="s">
        <v>1645</v>
      </c>
      <c r="D632" s="7" t="s">
        <v>1646</v>
      </c>
      <c r="E632" s="7" t="s">
        <v>1647</v>
      </c>
      <c r="F632" s="7" t="s">
        <v>1635</v>
      </c>
      <c r="G632" s="7" t="n">
        <v>2018</v>
      </c>
      <c r="H632" s="7" t="s">
        <v>54</v>
      </c>
      <c r="I632" s="7" t="s">
        <v>212</v>
      </c>
      <c r="J632" s="7" t="s">
        <v>74</v>
      </c>
      <c r="K632" s="7" t="n">
        <f aca="false">IFERROR(VALUE(RIGHT(TRIM(F632),4)),"")</f>
        <v>2018</v>
      </c>
      <c r="L632" s="7" t="str">
        <f aca="false">IF(TRIM(E632)="","Unknown",IFERROR(LEFT(TRIM(E632),FIND(",",TRIM(E632))-1),TRIM(E632)))</f>
        <v>United Kingdom</v>
      </c>
      <c r="M632" s="7" t="str">
        <f aca="false">IFERROR(LEFT(J632,FIND(",",J632)-1),J632)</f>
        <v>Children &amp; Family Movies</v>
      </c>
      <c r="N632" s="7" t="n">
        <f aca="false">IF(B632="Movie",IFERROR(VALUE(LEFT(I632,FIND(" ",I632)-1)),""),"")</f>
        <v>86</v>
      </c>
      <c r="O632" s="7" t="str">
        <f aca="false">IF(B632="TV Show",IFERROR(VALUE(LEFT(I632,FIND(" ",I632)-1)),""),"")</f>
        <v/>
      </c>
      <c r="P632" s="7" t="n">
        <f aca="false">IF(K632="","",K632-G632)</f>
        <v>0</v>
      </c>
    </row>
    <row r="633" customFormat="false" ht="15" hidden="false" customHeight="false" outlineLevel="0" collapsed="false">
      <c r="A633" s="7" t="n">
        <v>80239666</v>
      </c>
      <c r="B633" s="7" t="s">
        <v>68</v>
      </c>
      <c r="C633" s="7" t="s">
        <v>1648</v>
      </c>
      <c r="D633" s="7" t="s">
        <v>1649</v>
      </c>
      <c r="E633" s="7" t="s">
        <v>32</v>
      </c>
      <c r="F633" s="7" t="s">
        <v>1635</v>
      </c>
      <c r="G633" s="7" t="n">
        <v>2018</v>
      </c>
      <c r="H633" s="7" t="s">
        <v>48</v>
      </c>
      <c r="I633" s="7" t="s">
        <v>879</v>
      </c>
      <c r="J633" s="7" t="s">
        <v>367</v>
      </c>
      <c r="K633" s="7" t="n">
        <f aca="false">IFERROR(VALUE(RIGHT(TRIM(F633),4)),"")</f>
        <v>2018</v>
      </c>
      <c r="L633" s="7" t="str">
        <f aca="false">IF(TRIM(E633)="","Unknown",IFERROR(LEFT(TRIM(E633),FIND(",",TRIM(E633))-1),TRIM(E633)))</f>
        <v>South Korea</v>
      </c>
      <c r="M633" s="7" t="str">
        <f aca="false">IFERROR(LEFT(J633,FIND(",",J633)-1),J633)</f>
        <v>Action &amp; Adventure</v>
      </c>
      <c r="N633" s="7" t="n">
        <f aca="false">IF(B633="Movie",IFERROR(VALUE(LEFT(I633,FIND(" ",I633)-1)),""),"")</f>
        <v>140</v>
      </c>
      <c r="O633" s="7" t="str">
        <f aca="false">IF(B633="TV Show",IFERROR(VALUE(LEFT(I633,FIND(" ",I633)-1)),""),"")</f>
        <v/>
      </c>
      <c r="P633" s="7" t="n">
        <f aca="false">IF(K633="","",K633-G633)</f>
        <v>0</v>
      </c>
    </row>
    <row r="634" customFormat="false" ht="15" hidden="false" customHeight="false" outlineLevel="0" collapsed="false">
      <c r="A634" s="7" t="n">
        <v>81011973</v>
      </c>
      <c r="B634" s="7" t="s">
        <v>68</v>
      </c>
      <c r="C634" s="7" t="s">
        <v>1650</v>
      </c>
      <c r="D634" s="7" t="s">
        <v>1651</v>
      </c>
      <c r="E634" s="7" t="s">
        <v>27</v>
      </c>
      <c r="F634" s="7" t="s">
        <v>1635</v>
      </c>
      <c r="G634" s="7" t="n">
        <v>2013</v>
      </c>
      <c r="H634" s="7" t="s">
        <v>48</v>
      </c>
      <c r="I634" s="7" t="s">
        <v>232</v>
      </c>
      <c r="J634" s="7" t="s">
        <v>304</v>
      </c>
      <c r="K634" s="7" t="n">
        <f aca="false">IFERROR(VALUE(RIGHT(TRIM(F634),4)),"")</f>
        <v>2018</v>
      </c>
      <c r="L634" s="7" t="str">
        <f aca="false">IF(TRIM(E634)="","Unknown",IFERROR(LEFT(TRIM(E634),FIND(",",TRIM(E634))-1),TRIM(E634)))</f>
        <v>India</v>
      </c>
      <c r="M634" s="7" t="str">
        <f aca="false">IFERROR(LEFT(J634,FIND(",",J634)-1),J634)</f>
        <v>Dramas</v>
      </c>
      <c r="N634" s="7" t="n">
        <f aca="false">IF(B634="Movie",IFERROR(VALUE(LEFT(I634,FIND(" ",I634)-1)),""),"")</f>
        <v>122</v>
      </c>
      <c r="O634" s="7" t="str">
        <f aca="false">IF(B634="TV Show",IFERROR(VALUE(LEFT(I634,FIND(" ",I634)-1)),""),"")</f>
        <v/>
      </c>
      <c r="P634" s="7" t="n">
        <f aca="false">IF(K634="","",K634-G634)</f>
        <v>5</v>
      </c>
    </row>
    <row r="635" customFormat="false" ht="15" hidden="false" customHeight="false" outlineLevel="0" collapsed="false">
      <c r="A635" s="7" t="n">
        <v>81031037</v>
      </c>
      <c r="B635" s="7" t="s">
        <v>68</v>
      </c>
      <c r="C635" s="7" t="s">
        <v>1652</v>
      </c>
      <c r="F635" s="7" t="s">
        <v>1635</v>
      </c>
      <c r="G635" s="7" t="n">
        <v>2018</v>
      </c>
      <c r="H635" s="7" t="s">
        <v>119</v>
      </c>
      <c r="I635" s="7" t="s">
        <v>1653</v>
      </c>
      <c r="J635" s="7" t="s">
        <v>10</v>
      </c>
      <c r="K635" s="7" t="n">
        <f aca="false">IFERROR(VALUE(RIGHT(TRIM(F635),4)),"")</f>
        <v>2018</v>
      </c>
      <c r="L635" s="7" t="str">
        <f aca="false">IF(TRIM(E635)="","Unknown",IFERROR(LEFT(TRIM(E635),FIND(",",TRIM(E635))-1),TRIM(E635)))</f>
        <v>Unknown</v>
      </c>
      <c r="M635" s="7" t="str">
        <f aca="false">IFERROR(LEFT(J635,FIND(",",J635)-1),J635)</f>
        <v>Movies</v>
      </c>
      <c r="N635" s="7" t="n">
        <f aca="false">IF(B635="Movie",IFERROR(VALUE(LEFT(I635,FIND(" ",I635)-1)),""),"")</f>
        <v>23</v>
      </c>
      <c r="O635" s="7" t="str">
        <f aca="false">IF(B635="TV Show",IFERROR(VALUE(LEFT(I635,FIND(" ",I635)-1)),""),"")</f>
        <v/>
      </c>
      <c r="P635" s="7" t="n">
        <f aca="false">IF(K635="","",K635-G635)</f>
        <v>0</v>
      </c>
    </row>
    <row r="636" customFormat="false" ht="15" hidden="false" customHeight="false" outlineLevel="0" collapsed="false">
      <c r="A636" s="7" t="n">
        <v>80144152</v>
      </c>
      <c r="B636" s="7" t="s">
        <v>68</v>
      </c>
      <c r="C636" s="7" t="s">
        <v>1654</v>
      </c>
      <c r="D636" s="7" t="s">
        <v>1655</v>
      </c>
      <c r="E636" s="7" t="s">
        <v>429</v>
      </c>
      <c r="F636" s="7" t="s">
        <v>1635</v>
      </c>
      <c r="G636" s="7" t="n">
        <v>2016</v>
      </c>
      <c r="H636" s="7" t="s">
        <v>48</v>
      </c>
      <c r="I636" s="7" t="s">
        <v>111</v>
      </c>
      <c r="J636" s="7" t="s">
        <v>322</v>
      </c>
      <c r="K636" s="7" t="n">
        <f aca="false">IFERROR(VALUE(RIGHT(TRIM(F636),4)),"")</f>
        <v>2018</v>
      </c>
      <c r="L636" s="7" t="str">
        <f aca="false">IF(TRIM(E636)="","Unknown",IFERROR(LEFT(TRIM(E636),FIND(",",TRIM(E636))-1),TRIM(E636)))</f>
        <v>Hong Kong</v>
      </c>
      <c r="M636" s="7" t="str">
        <f aca="false">IFERROR(LEFT(J636,FIND(",",J636)-1),J636)</f>
        <v>Action &amp; Adventure</v>
      </c>
      <c r="N636" s="7" t="n">
        <f aca="false">IF(B636="Movie",IFERROR(VALUE(LEFT(I636,FIND(" ",I636)-1)),""),"")</f>
        <v>95</v>
      </c>
      <c r="O636" s="7" t="str">
        <f aca="false">IF(B636="TV Show",IFERROR(VALUE(LEFT(I636,FIND(" ",I636)-1)),""),"")</f>
        <v/>
      </c>
      <c r="P636" s="7" t="n">
        <f aca="false">IF(K636="","",K636-G636)</f>
        <v>2</v>
      </c>
    </row>
    <row r="637" customFormat="false" ht="15" hidden="false" customHeight="false" outlineLevel="0" collapsed="false">
      <c r="A637" s="7" t="n">
        <v>81035749</v>
      </c>
      <c r="B637" s="7" t="s">
        <v>68</v>
      </c>
      <c r="C637" s="7" t="s">
        <v>1656</v>
      </c>
      <c r="D637" s="7" t="s">
        <v>1555</v>
      </c>
      <c r="E637" s="7" t="s">
        <v>1657</v>
      </c>
      <c r="F637" s="7" t="s">
        <v>1635</v>
      </c>
      <c r="G637" s="7" t="n">
        <v>2015</v>
      </c>
      <c r="H637" s="7" t="s">
        <v>49</v>
      </c>
      <c r="I637" s="7" t="s">
        <v>1658</v>
      </c>
      <c r="J637" s="7" t="s">
        <v>1558</v>
      </c>
      <c r="K637" s="7" t="n">
        <f aca="false">IFERROR(VALUE(RIGHT(TRIM(F637),4)),"")</f>
        <v>2018</v>
      </c>
      <c r="L637" s="7" t="str">
        <f aca="false">IF(TRIM(E637)="","Unknown",IFERROR(LEFT(TRIM(E637),FIND(",",TRIM(E637))-1),TRIM(E637)))</f>
        <v>United States</v>
      </c>
      <c r="M637" s="7" t="str">
        <f aca="false">IFERROR(LEFT(J637,FIND(",",J637)-1),J637)</f>
        <v>Dramas</v>
      </c>
      <c r="N637" s="7" t="n">
        <f aca="false">IF(B637="Movie",IFERROR(VALUE(LEFT(I637,FIND(" ",I637)-1)),""),"")</f>
        <v>205</v>
      </c>
      <c r="O637" s="7" t="str">
        <f aca="false">IF(B637="TV Show",IFERROR(VALUE(LEFT(I637,FIND(" ",I637)-1)),""),"")</f>
        <v/>
      </c>
      <c r="P637" s="7" t="n">
        <f aca="false">IF(K637="","",K637-G637)</f>
        <v>3</v>
      </c>
    </row>
    <row r="638" customFormat="false" ht="15" hidden="false" customHeight="false" outlineLevel="0" collapsed="false">
      <c r="A638" s="7" t="n">
        <v>81035750</v>
      </c>
      <c r="B638" s="7" t="s">
        <v>68</v>
      </c>
      <c r="C638" s="7" t="s">
        <v>1659</v>
      </c>
      <c r="D638" s="7" t="s">
        <v>1555</v>
      </c>
      <c r="F638" s="7" t="s">
        <v>1635</v>
      </c>
      <c r="G638" s="7" t="n">
        <v>2015</v>
      </c>
      <c r="H638" s="7" t="s">
        <v>49</v>
      </c>
      <c r="I638" s="7" t="s">
        <v>869</v>
      </c>
      <c r="J638" s="7" t="s">
        <v>1558</v>
      </c>
      <c r="K638" s="7" t="n">
        <f aca="false">IFERROR(VALUE(RIGHT(TRIM(F638),4)),"")</f>
        <v>2018</v>
      </c>
      <c r="L638" s="7" t="str">
        <f aca="false">IF(TRIM(E638)="","Unknown",IFERROR(LEFT(TRIM(E638),FIND(",",TRIM(E638))-1),TRIM(E638)))</f>
        <v>Unknown</v>
      </c>
      <c r="M638" s="7" t="str">
        <f aca="false">IFERROR(LEFT(J638,FIND(",",J638)-1),J638)</f>
        <v>Dramas</v>
      </c>
      <c r="N638" s="7" t="n">
        <f aca="false">IF(B638="Movie",IFERROR(VALUE(LEFT(I638,FIND(" ",I638)-1)),""),"")</f>
        <v>123</v>
      </c>
      <c r="O638" s="7" t="str">
        <f aca="false">IF(B638="TV Show",IFERROR(VALUE(LEFT(I638,FIND(" ",I638)-1)),""),"")</f>
        <v/>
      </c>
      <c r="P638" s="7" t="n">
        <f aca="false">IF(K638="","",K638-G638)</f>
        <v>3</v>
      </c>
    </row>
    <row r="639" customFormat="false" ht="15" hidden="false" customHeight="false" outlineLevel="0" collapsed="false">
      <c r="A639" s="7" t="n">
        <v>81035751</v>
      </c>
      <c r="B639" s="7" t="s">
        <v>68</v>
      </c>
      <c r="C639" s="7" t="s">
        <v>1660</v>
      </c>
      <c r="D639" s="7" t="s">
        <v>1555</v>
      </c>
      <c r="F639" s="7" t="s">
        <v>1635</v>
      </c>
      <c r="G639" s="7" t="n">
        <v>2014</v>
      </c>
      <c r="H639" s="7" t="s">
        <v>49</v>
      </c>
      <c r="I639" s="7" t="s">
        <v>1661</v>
      </c>
      <c r="J639" s="7" t="s">
        <v>1558</v>
      </c>
      <c r="K639" s="7" t="n">
        <f aca="false">IFERROR(VALUE(RIGHT(TRIM(F639),4)),"")</f>
        <v>2018</v>
      </c>
      <c r="L639" s="7" t="str">
        <f aca="false">IF(TRIM(E639)="","Unknown",IFERROR(LEFT(TRIM(E639),FIND(",",TRIM(E639))-1),TRIM(E639)))</f>
        <v>Unknown</v>
      </c>
      <c r="M639" s="7" t="str">
        <f aca="false">IFERROR(LEFT(J639,FIND(",",J639)-1),J639)</f>
        <v>Dramas</v>
      </c>
      <c r="N639" s="7" t="n">
        <f aca="false">IF(B639="Movie",IFERROR(VALUE(LEFT(I639,FIND(" ",I639)-1)),""),"")</f>
        <v>190</v>
      </c>
      <c r="O639" s="7" t="str">
        <f aca="false">IF(B639="TV Show",IFERROR(VALUE(LEFT(I639,FIND(" ",I639)-1)),""),"")</f>
        <v/>
      </c>
      <c r="P639" s="7" t="n">
        <f aca="false">IF(K639="","",K639-G639)</f>
        <v>4</v>
      </c>
    </row>
    <row r="640" customFormat="false" ht="15" hidden="false" customHeight="false" outlineLevel="0" collapsed="false">
      <c r="A640" s="7" t="n">
        <v>80148162</v>
      </c>
      <c r="B640" s="7" t="s">
        <v>68</v>
      </c>
      <c r="C640" s="7" t="s">
        <v>1662</v>
      </c>
      <c r="D640" s="7" t="s">
        <v>1663</v>
      </c>
      <c r="E640" s="7" t="s">
        <v>1664</v>
      </c>
      <c r="F640" s="7" t="s">
        <v>1635</v>
      </c>
      <c r="G640" s="7" t="n">
        <v>2018</v>
      </c>
      <c r="H640" s="7" t="s">
        <v>48</v>
      </c>
      <c r="I640" s="7" t="s">
        <v>505</v>
      </c>
      <c r="J640" s="7" t="s">
        <v>322</v>
      </c>
      <c r="K640" s="7" t="n">
        <f aca="false">IFERROR(VALUE(RIGHT(TRIM(F640),4)),"")</f>
        <v>2018</v>
      </c>
      <c r="L640" s="7" t="str">
        <f aca="false">IF(TRIM(E640)="","Unknown",IFERROR(LEFT(TRIM(E640),FIND(",",TRIM(E640))-1),TRIM(E640)))</f>
        <v>Indonesia</v>
      </c>
      <c r="M640" s="7" t="str">
        <f aca="false">IFERROR(LEFT(J640,FIND(",",J640)-1),J640)</f>
        <v>Action &amp; Adventure</v>
      </c>
      <c r="N640" s="7" t="n">
        <f aca="false">IF(B640="Movie",IFERROR(VALUE(LEFT(I640,FIND(" ",I640)-1)),""),"")</f>
        <v>121</v>
      </c>
      <c r="O640" s="7" t="str">
        <f aca="false">IF(B640="TV Show",IFERROR(VALUE(LEFT(I640,FIND(" ",I640)-1)),""),"")</f>
        <v/>
      </c>
      <c r="P640" s="7" t="n">
        <f aca="false">IF(K640="","",K640-G640)</f>
        <v>0</v>
      </c>
    </row>
    <row r="641" customFormat="false" ht="15" hidden="false" customHeight="false" outlineLevel="0" collapsed="false">
      <c r="A641" s="7" t="n">
        <v>80211465</v>
      </c>
      <c r="B641" s="7" t="s">
        <v>78</v>
      </c>
      <c r="C641" s="7" t="s">
        <v>1665</v>
      </c>
      <c r="E641" s="7" t="s">
        <v>28</v>
      </c>
      <c r="F641" s="7" t="s">
        <v>1635</v>
      </c>
      <c r="G641" s="7" t="n">
        <v>2018</v>
      </c>
      <c r="H641" s="7" t="s">
        <v>48</v>
      </c>
      <c r="I641" s="7" t="s">
        <v>82</v>
      </c>
      <c r="J641" s="7" t="s">
        <v>1666</v>
      </c>
      <c r="K641" s="7" t="n">
        <f aca="false">IFERROR(VALUE(RIGHT(TRIM(F641),4)),"")</f>
        <v>2018</v>
      </c>
      <c r="L641" s="7" t="str">
        <f aca="false">IF(TRIM(E641)="","Unknown",IFERROR(LEFT(TRIM(E641),FIND(",",TRIM(E641))-1),TRIM(E641)))</f>
        <v>United Kingdom</v>
      </c>
      <c r="M641" s="7" t="str">
        <f aca="false">IFERROR(LEFT(J641,FIND(",",J641)-1),J641)</f>
        <v>British TV Shows</v>
      </c>
      <c r="N641" s="7" t="str">
        <f aca="false">IF(B641="Movie",IFERROR(VALUE(LEFT(I641,FIND(" ",I641)-1)),""),"")</f>
        <v/>
      </c>
      <c r="O641" s="7" t="n">
        <f aca="false">IF(B641="TV Show",IFERROR(VALUE(LEFT(I641,FIND(" ",I641)-1)),""),"")</f>
        <v>1</v>
      </c>
      <c r="P641" s="7" t="n">
        <f aca="false">IF(K641="","",K641-G641)</f>
        <v>0</v>
      </c>
    </row>
    <row r="642" customFormat="false" ht="15" hidden="false" customHeight="false" outlineLevel="0" collapsed="false">
      <c r="A642" s="7" t="n">
        <v>80171705</v>
      </c>
      <c r="B642" s="7" t="s">
        <v>68</v>
      </c>
      <c r="C642" s="7" t="s">
        <v>1667</v>
      </c>
      <c r="D642" s="7" t="s">
        <v>1668</v>
      </c>
      <c r="E642" s="7" t="s">
        <v>31</v>
      </c>
      <c r="F642" s="7" t="s">
        <v>1669</v>
      </c>
      <c r="G642" s="7" t="n">
        <v>2017</v>
      </c>
      <c r="H642" s="7" t="s">
        <v>48</v>
      </c>
      <c r="I642" s="7" t="s">
        <v>77</v>
      </c>
      <c r="J642" s="7" t="s">
        <v>206</v>
      </c>
      <c r="K642" s="7" t="n">
        <f aca="false">IFERROR(VALUE(RIGHT(TRIM(F642),4)),"")</f>
        <v>2017</v>
      </c>
      <c r="L642" s="7" t="str">
        <f aca="false">IF(TRIM(E642)="","Unknown",IFERROR(LEFT(TRIM(E642),FIND(",",TRIM(E642))-1),TRIM(E642)))</f>
        <v>France</v>
      </c>
      <c r="M642" s="7" t="str">
        <f aca="false">IFERROR(LEFT(J642,FIND(",",J642)-1),J642)</f>
        <v>Comedies</v>
      </c>
      <c r="N642" s="7" t="n">
        <f aca="false">IF(B642="Movie",IFERROR(VALUE(LEFT(I642,FIND(" ",I642)-1)),""),"")</f>
        <v>94</v>
      </c>
      <c r="O642" s="7" t="str">
        <f aca="false">IF(B642="TV Show",IFERROR(VALUE(LEFT(I642,FIND(" ",I642)-1)),""),"")</f>
        <v/>
      </c>
      <c r="P642" s="7" t="n">
        <f aca="false">IF(K642="","",K642-G642)</f>
        <v>0</v>
      </c>
    </row>
    <row r="643" customFormat="false" ht="15" hidden="false" customHeight="false" outlineLevel="0" collapsed="false">
      <c r="A643" s="7" t="n">
        <v>81172729</v>
      </c>
      <c r="B643" s="7" t="s">
        <v>68</v>
      </c>
      <c r="C643" s="7" t="s">
        <v>1670</v>
      </c>
      <c r="D643" s="7" t="s">
        <v>1671</v>
      </c>
      <c r="E643" s="7" t="s">
        <v>1672</v>
      </c>
      <c r="F643" s="7" t="s">
        <v>1673</v>
      </c>
      <c r="G643" s="7" t="n">
        <v>2017</v>
      </c>
      <c r="H643" s="7" t="s">
        <v>49</v>
      </c>
      <c r="I643" s="7" t="s">
        <v>494</v>
      </c>
      <c r="J643" s="7" t="s">
        <v>206</v>
      </c>
      <c r="K643" s="7" t="n">
        <f aca="false">IFERROR(VALUE(RIGHT(TRIM(F643),4)),"")</f>
        <v>2019</v>
      </c>
      <c r="L643" s="7" t="str">
        <f aca="false">IF(TRIM(E643)="","Unknown",IFERROR(LEFT(TRIM(E643),FIND(",",TRIM(E643))-1),TRIM(E643)))</f>
        <v>South Africa</v>
      </c>
      <c r="M643" s="7" t="str">
        <f aca="false">IFERROR(LEFT(J643,FIND(",",J643)-1),J643)</f>
        <v>Comedies</v>
      </c>
      <c r="N643" s="7" t="n">
        <f aca="false">IF(B643="Movie",IFERROR(VALUE(LEFT(I643,FIND(" ",I643)-1)),""),"")</f>
        <v>87</v>
      </c>
      <c r="O643" s="7" t="str">
        <f aca="false">IF(B643="TV Show",IFERROR(VALUE(LEFT(I643,FIND(" ",I643)-1)),""),"")</f>
        <v/>
      </c>
      <c r="P643" s="7" t="n">
        <f aca="false">IF(K643="","",K643-G643)</f>
        <v>2</v>
      </c>
    </row>
    <row r="644" customFormat="false" ht="15" hidden="false" customHeight="false" outlineLevel="0" collapsed="false">
      <c r="A644" s="7" t="n">
        <v>81172895</v>
      </c>
      <c r="B644" s="7" t="s">
        <v>68</v>
      </c>
      <c r="C644" s="7" t="s">
        <v>1674</v>
      </c>
      <c r="D644" s="7" t="s">
        <v>1675</v>
      </c>
      <c r="E644" s="7" t="s">
        <v>527</v>
      </c>
      <c r="F644" s="7" t="s">
        <v>1673</v>
      </c>
      <c r="G644" s="7" t="n">
        <v>2016</v>
      </c>
      <c r="H644" s="7" t="s">
        <v>49</v>
      </c>
      <c r="I644" s="7" t="s">
        <v>505</v>
      </c>
      <c r="J644" s="7" t="s">
        <v>182</v>
      </c>
      <c r="K644" s="7" t="n">
        <f aca="false">IFERROR(VALUE(RIGHT(TRIM(F644),4)),"")</f>
        <v>2019</v>
      </c>
      <c r="L644" s="7" t="str">
        <f aca="false">IF(TRIM(E644)="","Unknown",IFERROR(LEFT(TRIM(E644),FIND(",",TRIM(E644))-1),TRIM(E644)))</f>
        <v>Nigeria</v>
      </c>
      <c r="M644" s="7" t="str">
        <f aca="false">IFERROR(LEFT(J644,FIND(",",J644)-1),J644)</f>
        <v>Dramas</v>
      </c>
      <c r="N644" s="7" t="n">
        <f aca="false">IF(B644="Movie",IFERROR(VALUE(LEFT(I644,FIND(" ",I644)-1)),""),"")</f>
        <v>121</v>
      </c>
      <c r="O644" s="7" t="str">
        <f aca="false">IF(B644="TV Show",IFERROR(VALUE(LEFT(I644,FIND(" ",I644)-1)),""),"")</f>
        <v/>
      </c>
      <c r="P644" s="7" t="n">
        <f aca="false">IF(K644="","",K644-G644)</f>
        <v>3</v>
      </c>
    </row>
    <row r="645" customFormat="false" ht="15" hidden="false" customHeight="false" outlineLevel="0" collapsed="false">
      <c r="A645" s="7" t="n">
        <v>80206910</v>
      </c>
      <c r="B645" s="7" t="s">
        <v>68</v>
      </c>
      <c r="C645" s="7" t="s">
        <v>1676</v>
      </c>
      <c r="D645" s="7" t="s">
        <v>1677</v>
      </c>
      <c r="E645" s="7" t="s">
        <v>26</v>
      </c>
      <c r="F645" s="7" t="s">
        <v>1673</v>
      </c>
      <c r="G645" s="7" t="n">
        <v>2019</v>
      </c>
      <c r="H645" s="7" t="s">
        <v>48</v>
      </c>
      <c r="I645" s="7" t="s">
        <v>134</v>
      </c>
      <c r="J645" s="7" t="s">
        <v>265</v>
      </c>
      <c r="K645" s="7" t="n">
        <f aca="false">IFERROR(VALUE(RIGHT(TRIM(F645),4)),"")</f>
        <v>2019</v>
      </c>
      <c r="L645" s="7" t="str">
        <f aca="false">IF(TRIM(E645)="","Unknown",IFERROR(LEFT(TRIM(E645),FIND(",",TRIM(E645))-1),TRIM(E645)))</f>
        <v>United States</v>
      </c>
      <c r="M645" s="7" t="str">
        <f aca="false">IFERROR(LEFT(J645,FIND(",",J645)-1),J645)</f>
        <v>Horror Movies</v>
      </c>
      <c r="N645" s="7" t="n">
        <f aca="false">IF(B645="Movie",IFERROR(VALUE(LEFT(I645,FIND(" ",I645)-1)),""),"")</f>
        <v>98</v>
      </c>
      <c r="O645" s="7" t="str">
        <f aca="false">IF(B645="TV Show",IFERROR(VALUE(LEFT(I645,FIND(" ",I645)-1)),""),"")</f>
        <v/>
      </c>
      <c r="P645" s="7" t="n">
        <f aca="false">IF(K645="","",K645-G645)</f>
        <v>0</v>
      </c>
    </row>
    <row r="646" customFormat="false" ht="15" hidden="false" customHeight="false" outlineLevel="0" collapsed="false">
      <c r="A646" s="7" t="n">
        <v>81172905</v>
      </c>
      <c r="B646" s="7" t="s">
        <v>68</v>
      </c>
      <c r="C646" s="7" t="s">
        <v>1678</v>
      </c>
      <c r="D646" s="7" t="s">
        <v>1679</v>
      </c>
      <c r="F646" s="7" t="s">
        <v>1673</v>
      </c>
      <c r="G646" s="7" t="n">
        <v>2018</v>
      </c>
      <c r="H646" s="7" t="s">
        <v>49</v>
      </c>
      <c r="I646" s="7" t="s">
        <v>87</v>
      </c>
      <c r="J646" s="7" t="s">
        <v>304</v>
      </c>
      <c r="K646" s="7" t="n">
        <f aca="false">IFERROR(VALUE(RIGHT(TRIM(F646),4)),"")</f>
        <v>2019</v>
      </c>
      <c r="L646" s="7" t="str">
        <f aca="false">IF(TRIM(E646)="","Unknown",IFERROR(LEFT(TRIM(E646),FIND(",",TRIM(E646))-1),TRIM(E646)))</f>
        <v>Unknown</v>
      </c>
      <c r="M646" s="7" t="str">
        <f aca="false">IFERROR(LEFT(J646,FIND(",",J646)-1),J646)</f>
        <v>Dramas</v>
      </c>
      <c r="N646" s="7" t="n">
        <f aca="false">IF(B646="Movie",IFERROR(VALUE(LEFT(I646,FIND(" ",I646)-1)),""),"")</f>
        <v>99</v>
      </c>
      <c r="O646" s="7" t="str">
        <f aca="false">IF(B646="TV Show",IFERROR(VALUE(LEFT(I646,FIND(" ",I646)-1)),""),"")</f>
        <v/>
      </c>
      <c r="P646" s="7" t="n">
        <f aca="false">IF(K646="","",K646-G646)</f>
        <v>1</v>
      </c>
    </row>
    <row r="647" customFormat="false" ht="15" hidden="false" customHeight="false" outlineLevel="0" collapsed="false">
      <c r="A647" s="7" t="n">
        <v>80217627</v>
      </c>
      <c r="B647" s="7" t="s">
        <v>78</v>
      </c>
      <c r="C647" s="7" t="s">
        <v>1680</v>
      </c>
      <c r="E647" s="7" t="s">
        <v>28</v>
      </c>
      <c r="F647" s="7" t="s">
        <v>1673</v>
      </c>
      <c r="G647" s="7" t="n">
        <v>2019</v>
      </c>
      <c r="H647" s="7" t="s">
        <v>50</v>
      </c>
      <c r="I647" s="7" t="s">
        <v>82</v>
      </c>
      <c r="J647" s="7" t="s">
        <v>716</v>
      </c>
      <c r="K647" s="7" t="n">
        <f aca="false">IFERROR(VALUE(RIGHT(TRIM(F647),4)),"")</f>
        <v>2019</v>
      </c>
      <c r="L647" s="7" t="str">
        <f aca="false">IF(TRIM(E647)="","Unknown",IFERROR(LEFT(TRIM(E647),FIND(",",TRIM(E647))-1),TRIM(E647)))</f>
        <v>United Kingdom</v>
      </c>
      <c r="M647" s="7" t="str">
        <f aca="false">IFERROR(LEFT(J647,FIND(",",J647)-1),J647)</f>
        <v>British TV Shows</v>
      </c>
      <c r="N647" s="7" t="str">
        <f aca="false">IF(B647="Movie",IFERROR(VALUE(LEFT(I647,FIND(" ",I647)-1)),""),"")</f>
        <v/>
      </c>
      <c r="O647" s="7" t="n">
        <f aca="false">IF(B647="TV Show",IFERROR(VALUE(LEFT(I647,FIND(" ",I647)-1)),""),"")</f>
        <v>1</v>
      </c>
      <c r="P647" s="7" t="n">
        <f aca="false">IF(K647="","",K647-G647)</f>
        <v>0</v>
      </c>
    </row>
    <row r="648" customFormat="false" ht="15" hidden="false" customHeight="false" outlineLevel="0" collapsed="false">
      <c r="A648" s="7" t="n">
        <v>80178724</v>
      </c>
      <c r="B648" s="7" t="s">
        <v>78</v>
      </c>
      <c r="C648" s="7" t="s">
        <v>1681</v>
      </c>
      <c r="E648" s="7" t="s">
        <v>26</v>
      </c>
      <c r="F648" s="7" t="s">
        <v>1673</v>
      </c>
      <c r="G648" s="7" t="n">
        <v>2019</v>
      </c>
      <c r="H648" s="7" t="s">
        <v>48</v>
      </c>
      <c r="I648" s="7" t="s">
        <v>82</v>
      </c>
      <c r="J648" s="7" t="s">
        <v>502</v>
      </c>
      <c r="K648" s="7" t="n">
        <f aca="false">IFERROR(VALUE(RIGHT(TRIM(F648),4)),"")</f>
        <v>2019</v>
      </c>
      <c r="L648" s="7" t="str">
        <f aca="false">IF(TRIM(E648)="","Unknown",IFERROR(LEFT(TRIM(E648),FIND(",",TRIM(E648))-1),TRIM(E648)))</f>
        <v>United States</v>
      </c>
      <c r="M648" s="7" t="str">
        <f aca="false">IFERROR(LEFT(J648,FIND(",",J648)-1),J648)</f>
        <v>TV Comedies</v>
      </c>
      <c r="N648" s="7" t="str">
        <f aca="false">IF(B648="Movie",IFERROR(VALUE(LEFT(I648,FIND(" ",I648)-1)),""),"")</f>
        <v/>
      </c>
      <c r="O648" s="7" t="n">
        <f aca="false">IF(B648="TV Show",IFERROR(VALUE(LEFT(I648,FIND(" ",I648)-1)),""),"")</f>
        <v>1</v>
      </c>
      <c r="P648" s="7" t="n">
        <f aca="false">IF(K648="","",K648-G648)</f>
        <v>0</v>
      </c>
    </row>
    <row r="649" customFormat="false" ht="15" hidden="false" customHeight="false" outlineLevel="0" collapsed="false">
      <c r="A649" s="7" t="n">
        <v>81132442</v>
      </c>
      <c r="B649" s="7" t="s">
        <v>68</v>
      </c>
      <c r="C649" s="7" t="s">
        <v>1682</v>
      </c>
      <c r="D649" s="7" t="s">
        <v>1683</v>
      </c>
      <c r="E649" s="7" t="s">
        <v>396</v>
      </c>
      <c r="F649" s="7" t="s">
        <v>1673</v>
      </c>
      <c r="G649" s="7" t="n">
        <v>2017</v>
      </c>
      <c r="H649" s="7" t="s">
        <v>49</v>
      </c>
      <c r="I649" s="7" t="s">
        <v>111</v>
      </c>
      <c r="J649" s="7" t="s">
        <v>206</v>
      </c>
      <c r="K649" s="7" t="n">
        <f aca="false">IFERROR(VALUE(RIGHT(TRIM(F649),4)),"")</f>
        <v>2019</v>
      </c>
      <c r="L649" s="7" t="str">
        <f aca="false">IF(TRIM(E649)="","Unknown",IFERROR(LEFT(TRIM(E649),FIND(",",TRIM(E649))-1),TRIM(E649)))</f>
        <v>Turkey</v>
      </c>
      <c r="M649" s="7" t="str">
        <f aca="false">IFERROR(LEFT(J649,FIND(",",J649)-1),J649)</f>
        <v>Comedies</v>
      </c>
      <c r="N649" s="7" t="n">
        <f aca="false">IF(B649="Movie",IFERROR(VALUE(LEFT(I649,FIND(" ",I649)-1)),""),"")</f>
        <v>95</v>
      </c>
      <c r="O649" s="7" t="str">
        <f aca="false">IF(B649="TV Show",IFERROR(VALUE(LEFT(I649,FIND(" ",I649)-1)),""),"")</f>
        <v/>
      </c>
      <c r="P649" s="7" t="n">
        <f aca="false">IF(K649="","",K649-G649)</f>
        <v>2</v>
      </c>
    </row>
    <row r="650" customFormat="false" ht="15" hidden="false" customHeight="false" outlineLevel="0" collapsed="false">
      <c r="A650" s="7" t="n">
        <v>81020066</v>
      </c>
      <c r="B650" s="7" t="s">
        <v>78</v>
      </c>
      <c r="C650" s="7" t="s">
        <v>1684</v>
      </c>
      <c r="E650" s="7" t="s">
        <v>27</v>
      </c>
      <c r="F650" s="7" t="s">
        <v>1673</v>
      </c>
      <c r="G650" s="7" t="n">
        <v>2019</v>
      </c>
      <c r="H650" s="7" t="s">
        <v>119</v>
      </c>
      <c r="I650" s="7" t="s">
        <v>82</v>
      </c>
      <c r="J650" s="7" t="s">
        <v>191</v>
      </c>
      <c r="K650" s="7" t="n">
        <f aca="false">IFERROR(VALUE(RIGHT(TRIM(F650),4)),"")</f>
        <v>2019</v>
      </c>
      <c r="L650" s="7" t="str">
        <f aca="false">IF(TRIM(E650)="","Unknown",IFERROR(LEFT(TRIM(E650),FIND(",",TRIM(E650))-1),TRIM(E650)))</f>
        <v>India</v>
      </c>
      <c r="M650" s="7" t="str">
        <f aca="false">IFERROR(LEFT(J650,FIND(",",J650)-1),J650)</f>
        <v>Kids' TV</v>
      </c>
      <c r="N650" s="7" t="str">
        <f aca="false">IF(B650="Movie",IFERROR(VALUE(LEFT(I650,FIND(" ",I650)-1)),""),"")</f>
        <v/>
      </c>
      <c r="O650" s="7" t="n">
        <f aca="false">IF(B650="TV Show",IFERROR(VALUE(LEFT(I650,FIND(" ",I650)-1)),""),"")</f>
        <v>1</v>
      </c>
      <c r="P650" s="7" t="n">
        <f aca="false">IF(K650="","",K650-G650)</f>
        <v>0</v>
      </c>
    </row>
    <row r="651" customFormat="false" ht="15" hidden="false" customHeight="false" outlineLevel="0" collapsed="false">
      <c r="A651" s="7" t="n">
        <v>81193245</v>
      </c>
      <c r="B651" s="7" t="s">
        <v>78</v>
      </c>
      <c r="C651" s="7" t="s">
        <v>1685</v>
      </c>
      <c r="F651" s="7" t="s">
        <v>1673</v>
      </c>
      <c r="G651" s="7" t="n">
        <v>2017</v>
      </c>
      <c r="H651" s="7" t="s">
        <v>55</v>
      </c>
      <c r="I651" s="7" t="s">
        <v>82</v>
      </c>
      <c r="J651" s="7" t="s">
        <v>1686</v>
      </c>
      <c r="K651" s="7" t="n">
        <f aca="false">IFERROR(VALUE(RIGHT(TRIM(F651),4)),"")</f>
        <v>2019</v>
      </c>
      <c r="L651" s="7" t="str">
        <f aca="false">IF(TRIM(E651)="","Unknown",IFERROR(LEFT(TRIM(E651),FIND(",",TRIM(E651))-1),TRIM(E651)))</f>
        <v>Unknown</v>
      </c>
      <c r="M651" s="7" t="str">
        <f aca="false">IFERROR(LEFT(J651,FIND(",",J651)-1),J651)</f>
        <v>Kids' TV</v>
      </c>
      <c r="N651" s="7" t="str">
        <f aca="false">IF(B651="Movie",IFERROR(VALUE(LEFT(I651,FIND(" ",I651)-1)),""),"")</f>
        <v/>
      </c>
      <c r="O651" s="7" t="n">
        <f aca="false">IF(B651="TV Show",IFERROR(VALUE(LEFT(I651,FIND(" ",I651)-1)),""),"")</f>
        <v>1</v>
      </c>
      <c r="P651" s="7" t="n">
        <f aca="false">IF(K651="","",K651-G651)</f>
        <v>2</v>
      </c>
    </row>
    <row r="652" customFormat="false" ht="15" hidden="false" customHeight="false" outlineLevel="0" collapsed="false">
      <c r="A652" s="7" t="n">
        <v>81172723</v>
      </c>
      <c r="B652" s="7" t="s">
        <v>68</v>
      </c>
      <c r="C652" s="7" t="s">
        <v>1687</v>
      </c>
      <c r="D652" s="7" t="s">
        <v>1688</v>
      </c>
      <c r="E652" s="7" t="s">
        <v>527</v>
      </c>
      <c r="F652" s="7" t="s">
        <v>1673</v>
      </c>
      <c r="G652" s="7" t="n">
        <v>2018</v>
      </c>
      <c r="H652" s="7" t="s">
        <v>49</v>
      </c>
      <c r="I652" s="7" t="s">
        <v>294</v>
      </c>
      <c r="J652" s="7" t="s">
        <v>304</v>
      </c>
      <c r="K652" s="7" t="n">
        <f aca="false">IFERROR(VALUE(RIGHT(TRIM(F652),4)),"")</f>
        <v>2019</v>
      </c>
      <c r="L652" s="7" t="str">
        <f aca="false">IF(TRIM(E652)="","Unknown",IFERROR(LEFT(TRIM(E652),FIND(",",TRIM(E652))-1),TRIM(E652)))</f>
        <v>Nigeria</v>
      </c>
      <c r="M652" s="7" t="str">
        <f aca="false">IFERROR(LEFT(J652,FIND(",",J652)-1),J652)</f>
        <v>Dramas</v>
      </c>
      <c r="N652" s="7" t="n">
        <f aca="false">IF(B652="Movie",IFERROR(VALUE(LEFT(I652,FIND(" ",I652)-1)),""),"")</f>
        <v>107</v>
      </c>
      <c r="O652" s="7" t="str">
        <f aca="false">IF(B652="TV Show",IFERROR(VALUE(LEFT(I652,FIND(" ",I652)-1)),""),"")</f>
        <v/>
      </c>
      <c r="P652" s="7" t="n">
        <f aca="false">IF(K652="","",K652-G652)</f>
        <v>1</v>
      </c>
    </row>
    <row r="653" customFormat="false" ht="15" hidden="false" customHeight="false" outlineLevel="0" collapsed="false">
      <c r="A653" s="7" t="n">
        <v>80990336</v>
      </c>
      <c r="B653" s="7" t="s">
        <v>68</v>
      </c>
      <c r="C653" s="7" t="s">
        <v>1689</v>
      </c>
      <c r="D653" s="7" t="s">
        <v>1690</v>
      </c>
      <c r="E653" s="7" t="s">
        <v>33</v>
      </c>
      <c r="F653" s="7" t="s">
        <v>1673</v>
      </c>
      <c r="G653" s="7" t="n">
        <v>2019</v>
      </c>
      <c r="H653" s="7" t="s">
        <v>48</v>
      </c>
      <c r="I653" s="7" t="s">
        <v>205</v>
      </c>
      <c r="J653" s="7" t="s">
        <v>217</v>
      </c>
      <c r="K653" s="7" t="n">
        <f aca="false">IFERROR(VALUE(RIGHT(TRIM(F653),4)),"")</f>
        <v>2019</v>
      </c>
      <c r="L653" s="7" t="str">
        <f aca="false">IF(TRIM(E653)="","Unknown",IFERROR(LEFT(TRIM(E653),FIND(",",TRIM(E653))-1),TRIM(E653)))</f>
        <v>Spain</v>
      </c>
      <c r="M653" s="7" t="str">
        <f aca="false">IFERROR(LEFT(J653,FIND(",",J653)-1),J653)</f>
        <v>Comedies</v>
      </c>
      <c r="N653" s="7" t="n">
        <f aca="false">IF(B653="Movie",IFERROR(VALUE(LEFT(I653,FIND(" ",I653)-1)),""),"")</f>
        <v>100</v>
      </c>
      <c r="O653" s="7" t="str">
        <f aca="false">IF(B653="TV Show",IFERROR(VALUE(LEFT(I653,FIND(" ",I653)-1)),""),"")</f>
        <v/>
      </c>
      <c r="P653" s="7" t="n">
        <f aca="false">IF(K653="","",K653-G653)</f>
        <v>0</v>
      </c>
    </row>
    <row r="654" customFormat="false" ht="15" hidden="false" customHeight="false" outlineLevel="0" collapsed="false">
      <c r="A654" s="7" t="n">
        <v>81172909</v>
      </c>
      <c r="B654" s="7" t="s">
        <v>68</v>
      </c>
      <c r="C654" s="7" t="s">
        <v>1691</v>
      </c>
      <c r="D654" s="7" t="s">
        <v>1692</v>
      </c>
      <c r="E654" s="7" t="s">
        <v>527</v>
      </c>
      <c r="F654" s="7" t="s">
        <v>1673</v>
      </c>
      <c r="G654" s="7" t="n">
        <v>2017</v>
      </c>
      <c r="H654" s="7" t="s">
        <v>48</v>
      </c>
      <c r="I654" s="7" t="s">
        <v>512</v>
      </c>
      <c r="J654" s="7" t="s">
        <v>112</v>
      </c>
      <c r="K654" s="7" t="n">
        <f aca="false">IFERROR(VALUE(RIGHT(TRIM(F654),4)),"")</f>
        <v>2019</v>
      </c>
      <c r="L654" s="7" t="str">
        <f aca="false">IF(TRIM(E654)="","Unknown",IFERROR(LEFT(TRIM(E654),FIND(",",TRIM(E654))-1),TRIM(E654)))</f>
        <v>Nigeria</v>
      </c>
      <c r="M654" s="7" t="str">
        <f aca="false">IFERROR(LEFT(J654,FIND(",",J654)-1),J654)</f>
        <v>Action &amp; Adventure</v>
      </c>
      <c r="N654" s="7" t="n">
        <f aca="false">IF(B654="Movie",IFERROR(VALUE(LEFT(I654,FIND(" ",I654)-1)),""),"")</f>
        <v>101</v>
      </c>
      <c r="O654" s="7" t="str">
        <f aca="false">IF(B654="TV Show",IFERROR(VALUE(LEFT(I654,FIND(" ",I654)-1)),""),"")</f>
        <v/>
      </c>
      <c r="P654" s="7" t="n">
        <f aca="false">IF(K654="","",K654-G654)</f>
        <v>2</v>
      </c>
    </row>
    <row r="655" customFormat="false" ht="15" hidden="false" customHeight="false" outlineLevel="0" collapsed="false">
      <c r="A655" s="7" t="n">
        <v>80214706</v>
      </c>
      <c r="B655" s="7" t="s">
        <v>68</v>
      </c>
      <c r="C655" s="7" t="s">
        <v>1693</v>
      </c>
      <c r="D655" s="7" t="s">
        <v>1694</v>
      </c>
      <c r="E655" s="7" t="s">
        <v>28</v>
      </c>
      <c r="F655" s="7" t="s">
        <v>1673</v>
      </c>
      <c r="G655" s="7" t="n">
        <v>2019</v>
      </c>
      <c r="H655" s="7" t="s">
        <v>48</v>
      </c>
      <c r="I655" s="7" t="s">
        <v>212</v>
      </c>
      <c r="J655" s="7" t="s">
        <v>39</v>
      </c>
      <c r="K655" s="7" t="n">
        <f aca="false">IFERROR(VALUE(RIGHT(TRIM(F655),4)),"")</f>
        <v>2019</v>
      </c>
      <c r="L655" s="7" t="str">
        <f aca="false">IF(TRIM(E655)="","Unknown",IFERROR(LEFT(TRIM(E655),FIND(",",TRIM(E655))-1),TRIM(E655)))</f>
        <v>United Kingdom</v>
      </c>
      <c r="M655" s="7" t="str">
        <f aca="false">IFERROR(LEFT(J655,FIND(",",J655)-1),J655)</f>
        <v>Documentaries</v>
      </c>
      <c r="N655" s="7" t="n">
        <f aca="false">IF(B655="Movie",IFERROR(VALUE(LEFT(I655,FIND(" ",I655)-1)),""),"")</f>
        <v>86</v>
      </c>
      <c r="O655" s="7" t="str">
        <f aca="false">IF(B655="TV Show",IFERROR(VALUE(LEFT(I655,FIND(" ",I655)-1)),""),"")</f>
        <v/>
      </c>
      <c r="P655" s="7" t="n">
        <f aca="false">IF(K655="","",K655-G655)</f>
        <v>0</v>
      </c>
    </row>
    <row r="656" customFormat="false" ht="15" hidden="false" customHeight="false" outlineLevel="0" collapsed="false">
      <c r="A656" s="7" t="n">
        <v>80994011</v>
      </c>
      <c r="B656" s="7" t="s">
        <v>68</v>
      </c>
      <c r="C656" s="7" t="s">
        <v>1695</v>
      </c>
      <c r="D656" s="7" t="s">
        <v>1696</v>
      </c>
      <c r="E656" s="7" t="s">
        <v>26</v>
      </c>
      <c r="F656" s="7" t="s">
        <v>1673</v>
      </c>
      <c r="G656" s="7" t="n">
        <v>2019</v>
      </c>
      <c r="H656" s="7" t="s">
        <v>51</v>
      </c>
      <c r="I656" s="7" t="s">
        <v>138</v>
      </c>
      <c r="J656" s="7" t="s">
        <v>251</v>
      </c>
      <c r="K656" s="7" t="n">
        <f aca="false">IFERROR(VALUE(RIGHT(TRIM(F656),4)),"")</f>
        <v>2019</v>
      </c>
      <c r="L656" s="7" t="str">
        <f aca="false">IF(TRIM(E656)="","Unknown",IFERROR(LEFT(TRIM(E656),FIND(",",TRIM(E656))-1),TRIM(E656)))</f>
        <v>United States</v>
      </c>
      <c r="M656" s="7" t="str">
        <f aca="false">IFERROR(LEFT(J656,FIND(",",J656)-1),J656)</f>
        <v>Comedies</v>
      </c>
      <c r="N656" s="7" t="n">
        <f aca="false">IF(B656="Movie",IFERROR(VALUE(LEFT(I656,FIND(" ",I656)-1)),""),"")</f>
        <v>96</v>
      </c>
      <c r="O656" s="7" t="str">
        <f aca="false">IF(B656="TV Show",IFERROR(VALUE(LEFT(I656,FIND(" ",I656)-1)),""),"")</f>
        <v/>
      </c>
      <c r="P656" s="7" t="n">
        <f aca="false">IF(K656="","",K656-G656)</f>
        <v>0</v>
      </c>
    </row>
    <row r="657" customFormat="false" ht="15" hidden="false" customHeight="false" outlineLevel="0" collapsed="false">
      <c r="A657" s="7" t="n">
        <v>80208910</v>
      </c>
      <c r="B657" s="7" t="s">
        <v>78</v>
      </c>
      <c r="C657" s="7" t="s">
        <v>1697</v>
      </c>
      <c r="E657" s="7" t="s">
        <v>26</v>
      </c>
      <c r="F657" s="7" t="s">
        <v>1673</v>
      </c>
      <c r="G657" s="7" t="n">
        <v>2019</v>
      </c>
      <c r="H657" s="7" t="s">
        <v>48</v>
      </c>
      <c r="I657" s="7" t="s">
        <v>82</v>
      </c>
      <c r="J657" s="7" t="s">
        <v>100</v>
      </c>
      <c r="K657" s="7" t="n">
        <f aca="false">IFERROR(VALUE(RIGHT(TRIM(F657),4)),"")</f>
        <v>2019</v>
      </c>
      <c r="L657" s="7" t="str">
        <f aca="false">IF(TRIM(E657)="","Unknown",IFERROR(LEFT(TRIM(E657),FIND(",",TRIM(E657))-1),TRIM(E657)))</f>
        <v>United States</v>
      </c>
      <c r="M657" s="7" t="str">
        <f aca="false">IFERROR(LEFT(J657,FIND(",",J657)-1),J657)</f>
        <v>Docuseries</v>
      </c>
      <c r="N657" s="7" t="str">
        <f aca="false">IF(B657="Movie",IFERROR(VALUE(LEFT(I657,FIND(" ",I657)-1)),""),"")</f>
        <v/>
      </c>
      <c r="O657" s="7" t="n">
        <f aca="false">IF(B657="TV Show",IFERROR(VALUE(LEFT(I657,FIND(" ",I657)-1)),""),"")</f>
        <v>1</v>
      </c>
      <c r="P657" s="7" t="n">
        <f aca="false">IF(K657="","",K657-G657)</f>
        <v>0</v>
      </c>
    </row>
    <row r="658" customFormat="false" ht="15" hidden="false" customHeight="false" outlineLevel="0" collapsed="false">
      <c r="A658" s="7" t="n">
        <v>81172902</v>
      </c>
      <c r="B658" s="7" t="s">
        <v>68</v>
      </c>
      <c r="C658" s="7" t="s">
        <v>1698</v>
      </c>
      <c r="D658" s="7" t="s">
        <v>1688</v>
      </c>
      <c r="E658" s="7" t="s">
        <v>527</v>
      </c>
      <c r="F658" s="7" t="s">
        <v>1673</v>
      </c>
      <c r="G658" s="7" t="n">
        <v>2018</v>
      </c>
      <c r="H658" s="7" t="s">
        <v>49</v>
      </c>
      <c r="I658" s="7" t="s">
        <v>87</v>
      </c>
      <c r="J658" s="7" t="s">
        <v>304</v>
      </c>
      <c r="K658" s="7" t="n">
        <f aca="false">IFERROR(VALUE(RIGHT(TRIM(F658),4)),"")</f>
        <v>2019</v>
      </c>
      <c r="L658" s="7" t="str">
        <f aca="false">IF(TRIM(E658)="","Unknown",IFERROR(LEFT(TRIM(E658),FIND(",",TRIM(E658))-1),TRIM(E658)))</f>
        <v>Nigeria</v>
      </c>
      <c r="M658" s="7" t="str">
        <f aca="false">IFERROR(LEFT(J658,FIND(",",J658)-1),J658)</f>
        <v>Dramas</v>
      </c>
      <c r="N658" s="7" t="n">
        <f aca="false">IF(B658="Movie",IFERROR(VALUE(LEFT(I658,FIND(" ",I658)-1)),""),"")</f>
        <v>99</v>
      </c>
      <c r="O658" s="7" t="str">
        <f aca="false">IF(B658="TV Show",IFERROR(VALUE(LEFT(I658,FIND(" ",I658)-1)),""),"")</f>
        <v/>
      </c>
      <c r="P658" s="7" t="n">
        <f aca="false">IF(K658="","",K658-G658)</f>
        <v>1</v>
      </c>
    </row>
    <row r="659" customFormat="false" ht="15" hidden="false" customHeight="false" outlineLevel="0" collapsed="false">
      <c r="A659" s="7" t="n">
        <v>80998890</v>
      </c>
      <c r="B659" s="7" t="s">
        <v>68</v>
      </c>
      <c r="C659" s="7" t="s">
        <v>1699</v>
      </c>
      <c r="D659" s="7" t="s">
        <v>1700</v>
      </c>
      <c r="E659" s="7" t="s">
        <v>27</v>
      </c>
      <c r="F659" s="7" t="s">
        <v>1673</v>
      </c>
      <c r="G659" s="7" t="n">
        <v>2019</v>
      </c>
      <c r="H659" s="7" t="s">
        <v>49</v>
      </c>
      <c r="I659" s="7" t="s">
        <v>168</v>
      </c>
      <c r="J659" s="7" t="s">
        <v>217</v>
      </c>
      <c r="K659" s="7" t="n">
        <f aca="false">IFERROR(VALUE(RIGHT(TRIM(F659),4)),"")</f>
        <v>2019</v>
      </c>
      <c r="L659" s="7" t="str">
        <f aca="false">IF(TRIM(E659)="","Unknown",IFERROR(LEFT(TRIM(E659),FIND(",",TRIM(E659))-1),TRIM(E659)))</f>
        <v>India</v>
      </c>
      <c r="M659" s="7" t="str">
        <f aca="false">IFERROR(LEFT(J659,FIND(",",J659)-1),J659)</f>
        <v>Comedies</v>
      </c>
      <c r="N659" s="7" t="n">
        <f aca="false">IF(B659="Movie",IFERROR(VALUE(LEFT(I659,FIND(" ",I659)-1)),""),"")</f>
        <v>112</v>
      </c>
      <c r="O659" s="7" t="str">
        <f aca="false">IF(B659="TV Show",IFERROR(VALUE(LEFT(I659,FIND(" ",I659)-1)),""),"")</f>
        <v/>
      </c>
      <c r="P659" s="7" t="n">
        <f aca="false">IF(K659="","",K659-G659)</f>
        <v>0</v>
      </c>
    </row>
    <row r="660" customFormat="false" ht="15" hidden="false" customHeight="false" outlineLevel="0" collapsed="false">
      <c r="A660" s="7" t="n">
        <v>81047903</v>
      </c>
      <c r="B660" s="7" t="s">
        <v>68</v>
      </c>
      <c r="C660" s="7" t="s">
        <v>1701</v>
      </c>
      <c r="D660" s="7" t="s">
        <v>1702</v>
      </c>
      <c r="E660" s="7" t="s">
        <v>362</v>
      </c>
      <c r="F660" s="7" t="s">
        <v>1673</v>
      </c>
      <c r="G660" s="7" t="n">
        <v>2017</v>
      </c>
      <c r="H660" s="7" t="s">
        <v>49</v>
      </c>
      <c r="I660" s="7" t="s">
        <v>378</v>
      </c>
      <c r="J660" s="7" t="s">
        <v>1703</v>
      </c>
      <c r="K660" s="7" t="n">
        <f aca="false">IFERROR(VALUE(RIGHT(TRIM(F660),4)),"")</f>
        <v>2019</v>
      </c>
      <c r="L660" s="7" t="str">
        <f aca="false">IF(TRIM(E660)="","Unknown",IFERROR(LEFT(TRIM(E660),FIND(",",TRIM(E660))-1),TRIM(E660)))</f>
        <v>Indonesia</v>
      </c>
      <c r="M660" s="7" t="str">
        <f aca="false">IFERROR(LEFT(J660,FIND(",",J660)-1),J660)</f>
        <v>Dramas</v>
      </c>
      <c r="N660" s="7" t="n">
        <f aca="false">IF(B660="Movie",IFERROR(VALUE(LEFT(I660,FIND(" ",I660)-1)),""),"")</f>
        <v>127</v>
      </c>
      <c r="O660" s="7" t="str">
        <f aca="false">IF(B660="TV Show",IFERROR(VALUE(LEFT(I660,FIND(" ",I660)-1)),""),"")</f>
        <v/>
      </c>
      <c r="P660" s="7" t="n">
        <f aca="false">IF(K660="","",K660-G660)</f>
        <v>2</v>
      </c>
    </row>
    <row r="661" customFormat="false" ht="15" hidden="false" customHeight="false" outlineLevel="0" collapsed="false">
      <c r="A661" s="7" t="n">
        <v>81026343</v>
      </c>
      <c r="B661" s="7" t="s">
        <v>68</v>
      </c>
      <c r="C661" s="7" t="s">
        <v>1704</v>
      </c>
      <c r="D661" s="7" t="s">
        <v>1705</v>
      </c>
      <c r="E661" s="7" t="s">
        <v>27</v>
      </c>
      <c r="F661" s="7" t="s">
        <v>1706</v>
      </c>
      <c r="G661" s="7" t="n">
        <v>2018</v>
      </c>
      <c r="H661" s="7" t="s">
        <v>48</v>
      </c>
      <c r="I661" s="7" t="s">
        <v>1707</v>
      </c>
      <c r="J661" s="7" t="s">
        <v>182</v>
      </c>
      <c r="K661" s="7" t="n">
        <f aca="false">IFERROR(VALUE(RIGHT(TRIM(F661),4)),"")</f>
        <v>2018</v>
      </c>
      <c r="L661" s="7" t="str">
        <f aca="false">IF(TRIM(E661)="","Unknown",IFERROR(LEFT(TRIM(E661),FIND(",",TRIM(E661))-1),TRIM(E661)))</f>
        <v>India</v>
      </c>
      <c r="M661" s="7" t="str">
        <f aca="false">IFERROR(LEFT(J661,FIND(",",J661)-1),J661)</f>
        <v>Dramas</v>
      </c>
      <c r="N661" s="7" t="n">
        <f aca="false">IF(B661="Movie",IFERROR(VALUE(LEFT(I661,FIND(" ",I661)-1)),""),"")</f>
        <v>131</v>
      </c>
      <c r="O661" s="7" t="str">
        <f aca="false">IF(B661="TV Show",IFERROR(VALUE(LEFT(I661,FIND(" ",I661)-1)),""),"")</f>
        <v/>
      </c>
      <c r="P661" s="7" t="n">
        <f aca="false">IF(K661="","",K661-G661)</f>
        <v>0</v>
      </c>
    </row>
    <row r="662" customFormat="false" ht="15" hidden="false" customHeight="false" outlineLevel="0" collapsed="false">
      <c r="A662" s="7" t="n">
        <v>80208635</v>
      </c>
      <c r="B662" s="7" t="s">
        <v>68</v>
      </c>
      <c r="C662" s="7" t="s">
        <v>1708</v>
      </c>
      <c r="D662" s="7" t="s">
        <v>1709</v>
      </c>
      <c r="F662" s="7" t="s">
        <v>1710</v>
      </c>
      <c r="G662" s="7" t="n">
        <v>2016</v>
      </c>
      <c r="H662" s="7" t="s">
        <v>50</v>
      </c>
      <c r="I662" s="7" t="s">
        <v>143</v>
      </c>
      <c r="J662" s="7" t="s">
        <v>1711</v>
      </c>
      <c r="K662" s="7" t="n">
        <f aca="false">IFERROR(VALUE(RIGHT(TRIM(F662),4)),"")</f>
        <v>2017</v>
      </c>
      <c r="L662" s="7" t="str">
        <f aca="false">IF(TRIM(E662)="","Unknown",IFERROR(LEFT(TRIM(E662),FIND(",",TRIM(E662))-1),TRIM(E662)))</f>
        <v>Unknown</v>
      </c>
      <c r="M662" s="7" t="str">
        <f aca="false">IFERROR(LEFT(J662,FIND(",",J662)-1),J662)</f>
        <v>Children &amp; Family Movies</v>
      </c>
      <c r="N662" s="7" t="n">
        <f aca="false">IF(B662="Movie",IFERROR(VALUE(LEFT(I662,FIND(" ",I662)-1)),""),"")</f>
        <v>79</v>
      </c>
      <c r="O662" s="7" t="str">
        <f aca="false">IF(B662="TV Show",IFERROR(VALUE(LEFT(I662,FIND(" ",I662)-1)),""),"")</f>
        <v/>
      </c>
      <c r="P662" s="7" t="n">
        <f aca="false">IF(K662="","",K662-G662)</f>
        <v>1</v>
      </c>
    </row>
    <row r="663" customFormat="false" ht="15" hidden="false" customHeight="false" outlineLevel="0" collapsed="false">
      <c r="A663" s="7" t="n">
        <v>70125931</v>
      </c>
      <c r="B663" s="7" t="s">
        <v>68</v>
      </c>
      <c r="C663" s="7" t="s">
        <v>1712</v>
      </c>
      <c r="D663" s="7" t="s">
        <v>1713</v>
      </c>
      <c r="E663" s="7" t="s">
        <v>1714</v>
      </c>
      <c r="F663" s="7" t="s">
        <v>1715</v>
      </c>
      <c r="G663" s="7" t="n">
        <v>2010</v>
      </c>
      <c r="H663" s="7" t="s">
        <v>54</v>
      </c>
      <c r="I663" s="7" t="s">
        <v>879</v>
      </c>
      <c r="J663" s="7" t="s">
        <v>295</v>
      </c>
      <c r="K663" s="7" t="n">
        <f aca="false">IFERROR(VALUE(RIGHT(TRIM(F663),4)),"")</f>
        <v>2019</v>
      </c>
      <c r="L663" s="7" t="str">
        <f aca="false">IF(TRIM(E663)="","Unknown",IFERROR(LEFT(TRIM(E663),FIND(",",TRIM(E663))-1),TRIM(E663)))</f>
        <v>United States</v>
      </c>
      <c r="M663" s="7" t="str">
        <f aca="false">IFERROR(LEFT(J663,FIND(",",J663)-1),J663)</f>
        <v>Children &amp; Family Movies</v>
      </c>
      <c r="N663" s="7" t="n">
        <f aca="false">IF(B663="Movie",IFERROR(VALUE(LEFT(I663,FIND(" ",I663)-1)),""),"")</f>
        <v>140</v>
      </c>
      <c r="O663" s="7" t="str">
        <f aca="false">IF(B663="TV Show",IFERROR(VALUE(LEFT(I663,FIND(" ",I663)-1)),""),"")</f>
        <v/>
      </c>
      <c r="P663" s="7" t="n">
        <f aca="false">IF(K663="","",K663-G663)</f>
        <v>9</v>
      </c>
    </row>
    <row r="664" customFormat="false" ht="15" hidden="false" customHeight="false" outlineLevel="0" collapsed="false">
      <c r="A664" s="7" t="n">
        <v>80222326</v>
      </c>
      <c r="B664" s="7" t="s">
        <v>78</v>
      </c>
      <c r="C664" s="7" t="s">
        <v>1716</v>
      </c>
      <c r="E664" s="7" t="s">
        <v>35</v>
      </c>
      <c r="F664" s="7" t="s">
        <v>1715</v>
      </c>
      <c r="G664" s="7" t="n">
        <v>2019</v>
      </c>
      <c r="H664" s="7" t="s">
        <v>50</v>
      </c>
      <c r="I664" s="7" t="s">
        <v>82</v>
      </c>
      <c r="J664" s="7" t="s">
        <v>1717</v>
      </c>
      <c r="K664" s="7" t="n">
        <f aca="false">IFERROR(VALUE(RIGHT(TRIM(F664),4)),"")</f>
        <v>2019</v>
      </c>
      <c r="L664" s="7" t="str">
        <f aca="false">IF(TRIM(E664)="","Unknown",IFERROR(LEFT(TRIM(E664),FIND(",",TRIM(E664))-1),TRIM(E664)))</f>
        <v>Australia</v>
      </c>
      <c r="M664" s="7" t="str">
        <f aca="false">IFERROR(LEFT(J664,FIND(",",J664)-1),J664)</f>
        <v>Kids' TV</v>
      </c>
      <c r="N664" s="7" t="str">
        <f aca="false">IF(B664="Movie",IFERROR(VALUE(LEFT(I664,FIND(" ",I664)-1)),""),"")</f>
        <v/>
      </c>
      <c r="O664" s="7" t="n">
        <f aca="false">IF(B664="TV Show",IFERROR(VALUE(LEFT(I664,FIND(" ",I664)-1)),""),"")</f>
        <v>1</v>
      </c>
      <c r="P664" s="7" t="n">
        <f aca="false">IF(K664="","",K664-G664)</f>
        <v>0</v>
      </c>
    </row>
    <row r="665" customFormat="false" ht="15" hidden="false" customHeight="false" outlineLevel="0" collapsed="false">
      <c r="A665" s="7" t="n">
        <v>70235768</v>
      </c>
      <c r="B665" s="7" t="s">
        <v>68</v>
      </c>
      <c r="C665" s="7" t="s">
        <v>1718</v>
      </c>
      <c r="D665" s="7" t="s">
        <v>1719</v>
      </c>
      <c r="E665" s="7" t="s">
        <v>29</v>
      </c>
      <c r="F665" s="7" t="s">
        <v>1720</v>
      </c>
      <c r="G665" s="7" t="n">
        <v>2010</v>
      </c>
      <c r="H665" s="7" t="s">
        <v>50</v>
      </c>
      <c r="I665" s="7" t="s">
        <v>154</v>
      </c>
      <c r="J665" s="7" t="s">
        <v>74</v>
      </c>
      <c r="K665" s="7" t="n">
        <f aca="false">IFERROR(VALUE(RIGHT(TRIM(F665),4)),"")</f>
        <v>2018</v>
      </c>
      <c r="L665" s="7" t="str">
        <f aca="false">IF(TRIM(E665)="","Unknown",IFERROR(LEFT(TRIM(E665),FIND(",",TRIM(E665))-1),TRIM(E665)))</f>
        <v>Canada</v>
      </c>
      <c r="M665" s="7" t="str">
        <f aca="false">IFERROR(LEFT(J665,FIND(",",J665)-1),J665)</f>
        <v>Children &amp; Family Movies</v>
      </c>
      <c r="N665" s="7" t="n">
        <f aca="false">IF(B665="Movie",IFERROR(VALUE(LEFT(I665,FIND(" ",I665)-1)),""),"")</f>
        <v>80</v>
      </c>
      <c r="O665" s="7" t="str">
        <f aca="false">IF(B665="TV Show",IFERROR(VALUE(LEFT(I665,FIND(" ",I665)-1)),""),"")</f>
        <v/>
      </c>
      <c r="P665" s="7" t="n">
        <f aca="false">IF(K665="","",K665-G665)</f>
        <v>8</v>
      </c>
    </row>
    <row r="666" customFormat="false" ht="15" hidden="false" customHeight="false" outlineLevel="0" collapsed="false">
      <c r="A666" s="7" t="n">
        <v>80177406</v>
      </c>
      <c r="B666" s="7" t="s">
        <v>68</v>
      </c>
      <c r="C666" s="7" t="s">
        <v>1721</v>
      </c>
      <c r="D666" s="7" t="s">
        <v>499</v>
      </c>
      <c r="E666" s="7" t="s">
        <v>26</v>
      </c>
      <c r="F666" s="7" t="s">
        <v>1722</v>
      </c>
      <c r="G666" s="7" t="n">
        <v>2017</v>
      </c>
      <c r="H666" s="7" t="s">
        <v>48</v>
      </c>
      <c r="I666" s="7" t="s">
        <v>1317</v>
      </c>
      <c r="J666" s="7" t="s">
        <v>45</v>
      </c>
      <c r="K666" s="7" t="n">
        <f aca="false">IFERROR(VALUE(RIGHT(TRIM(F666),4)),"")</f>
        <v>2017</v>
      </c>
      <c r="L666" s="7" t="str">
        <f aca="false">IF(TRIM(E666)="","Unknown",IFERROR(LEFT(TRIM(E666),FIND(",",TRIM(E666))-1),TRIM(E666)))</f>
        <v>United States</v>
      </c>
      <c r="M666" s="7" t="str">
        <f aca="false">IFERROR(LEFT(J666,FIND(",",J666)-1),J666)</f>
        <v>Stand-Up Comedy</v>
      </c>
      <c r="N666" s="7" t="n">
        <f aca="false">IF(B666="Movie",IFERROR(VALUE(LEFT(I666,FIND(" ",I666)-1)),""),"")</f>
        <v>66</v>
      </c>
      <c r="O666" s="7" t="str">
        <f aca="false">IF(B666="TV Show",IFERROR(VALUE(LEFT(I666,FIND(" ",I666)-1)),""),"")</f>
        <v/>
      </c>
      <c r="P666" s="7" t="n">
        <f aca="false">IF(K666="","",K666-G666)</f>
        <v>0</v>
      </c>
    </row>
    <row r="667" customFormat="false" ht="15" hidden="false" customHeight="false" outlineLevel="0" collapsed="false">
      <c r="A667" s="7" t="n">
        <v>81077044</v>
      </c>
      <c r="B667" s="7" t="s">
        <v>78</v>
      </c>
      <c r="C667" s="7" t="s">
        <v>1723</v>
      </c>
      <c r="E667" s="7" t="s">
        <v>32</v>
      </c>
      <c r="F667" s="7" t="s">
        <v>1724</v>
      </c>
      <c r="G667" s="7" t="n">
        <v>2016</v>
      </c>
      <c r="H667" s="7" t="s">
        <v>49</v>
      </c>
      <c r="I667" s="7" t="s">
        <v>82</v>
      </c>
      <c r="J667" s="7" t="s">
        <v>637</v>
      </c>
      <c r="K667" s="7" t="n">
        <f aca="false">IFERROR(VALUE(RIGHT(TRIM(F667),4)),"")</f>
        <v>2019</v>
      </c>
      <c r="L667" s="7" t="str">
        <f aca="false">IF(TRIM(E667)="","Unknown",IFERROR(LEFT(TRIM(E667),FIND(",",TRIM(E667))-1),TRIM(E667)))</f>
        <v>South Korea</v>
      </c>
      <c r="M667" s="7" t="str">
        <f aca="false">IFERROR(LEFT(J667,FIND(",",J667)-1),J667)</f>
        <v>International TV Shows</v>
      </c>
      <c r="N667" s="7" t="str">
        <f aca="false">IF(B667="Movie",IFERROR(VALUE(LEFT(I667,FIND(" ",I667)-1)),""),"")</f>
        <v/>
      </c>
      <c r="O667" s="7" t="n">
        <f aca="false">IF(B667="TV Show",IFERROR(VALUE(LEFT(I667,FIND(" ",I667)-1)),""),"")</f>
        <v>1</v>
      </c>
      <c r="P667" s="7" t="n">
        <f aca="false">IF(K667="","",K667-G667)</f>
        <v>3</v>
      </c>
    </row>
    <row r="668" customFormat="false" ht="15" hidden="false" customHeight="false" outlineLevel="0" collapsed="false">
      <c r="A668" s="7" t="n">
        <v>81081656</v>
      </c>
      <c r="B668" s="7" t="s">
        <v>68</v>
      </c>
      <c r="C668" s="7" t="s">
        <v>1725</v>
      </c>
      <c r="D668" s="7" t="s">
        <v>1726</v>
      </c>
      <c r="E668" s="7" t="s">
        <v>26</v>
      </c>
      <c r="F668" s="7" t="s">
        <v>1724</v>
      </c>
      <c r="G668" s="7" t="n">
        <v>2019</v>
      </c>
      <c r="H668" s="7" t="s">
        <v>48</v>
      </c>
      <c r="I668" s="7" t="s">
        <v>1727</v>
      </c>
      <c r="J668" s="7" t="s">
        <v>39</v>
      </c>
      <c r="K668" s="7" t="n">
        <f aca="false">IFERROR(VALUE(RIGHT(TRIM(F668),4)),"")</f>
        <v>2019</v>
      </c>
      <c r="L668" s="7" t="str">
        <f aca="false">IF(TRIM(E668)="","Unknown",IFERROR(LEFT(TRIM(E668),FIND(",",TRIM(E668))-1),TRIM(E668)))</f>
        <v>United States</v>
      </c>
      <c r="M668" s="7" t="str">
        <f aca="false">IFERROR(LEFT(J668,FIND(",",J668)-1),J668)</f>
        <v>Documentaries</v>
      </c>
      <c r="N668" s="7" t="n">
        <f aca="false">IF(B668="Movie",IFERROR(VALUE(LEFT(I668,FIND(" ",I668)-1)),""),"")</f>
        <v>22</v>
      </c>
      <c r="O668" s="7" t="str">
        <f aca="false">IF(B668="TV Show",IFERROR(VALUE(LEFT(I668,FIND(" ",I668)-1)),""),"")</f>
        <v/>
      </c>
      <c r="P668" s="7" t="n">
        <f aca="false">IF(K668="","",K668-G668)</f>
        <v>0</v>
      </c>
    </row>
    <row r="669" customFormat="false" ht="15" hidden="false" customHeight="false" outlineLevel="0" collapsed="false">
      <c r="A669" s="7" t="n">
        <v>81187847</v>
      </c>
      <c r="B669" s="7" t="s">
        <v>68</v>
      </c>
      <c r="C669" s="7" t="s">
        <v>1728</v>
      </c>
      <c r="D669" s="7" t="s">
        <v>1729</v>
      </c>
      <c r="E669" s="7" t="s">
        <v>26</v>
      </c>
      <c r="F669" s="7" t="s">
        <v>1724</v>
      </c>
      <c r="G669" s="7" t="n">
        <v>2019</v>
      </c>
      <c r="H669" s="7" t="s">
        <v>48</v>
      </c>
      <c r="I669" s="7" t="s">
        <v>107</v>
      </c>
      <c r="J669" s="7" t="s">
        <v>39</v>
      </c>
      <c r="K669" s="7" t="n">
        <f aca="false">IFERROR(VALUE(RIGHT(TRIM(F669),4)),"")</f>
        <v>2019</v>
      </c>
      <c r="L669" s="7" t="str">
        <f aca="false">IF(TRIM(E669)="","Unknown",IFERROR(LEFT(TRIM(E669),FIND(",",TRIM(E669))-1),TRIM(E669)))</f>
        <v>United States</v>
      </c>
      <c r="M669" s="7" t="str">
        <f aca="false">IFERROR(LEFT(J669,FIND(",",J669)-1),J669)</f>
        <v>Documentaries</v>
      </c>
      <c r="N669" s="7" t="n">
        <f aca="false">IF(B669="Movie",IFERROR(VALUE(LEFT(I669,FIND(" ",I669)-1)),""),"")</f>
        <v>78</v>
      </c>
      <c r="O669" s="7" t="str">
        <f aca="false">IF(B669="TV Show",IFERROR(VALUE(LEFT(I669,FIND(" ",I669)-1)),""),"")</f>
        <v/>
      </c>
      <c r="P669" s="7" t="n">
        <f aca="false">IF(K669="","",K669-G669)</f>
        <v>0</v>
      </c>
    </row>
    <row r="670" customFormat="false" ht="15" hidden="false" customHeight="false" outlineLevel="0" collapsed="false">
      <c r="A670" s="7" t="n">
        <v>81053240</v>
      </c>
      <c r="B670" s="7" t="s">
        <v>68</v>
      </c>
      <c r="C670" s="7" t="s">
        <v>1730</v>
      </c>
      <c r="D670" s="7" t="s">
        <v>1731</v>
      </c>
      <c r="E670" s="7" t="s">
        <v>32</v>
      </c>
      <c r="F670" s="7" t="s">
        <v>1724</v>
      </c>
      <c r="G670" s="7" t="n">
        <v>2019</v>
      </c>
      <c r="H670" s="7" t="s">
        <v>48</v>
      </c>
      <c r="I670" s="7" t="s">
        <v>551</v>
      </c>
      <c r="J670" s="7" t="s">
        <v>45</v>
      </c>
      <c r="K670" s="7" t="n">
        <f aca="false">IFERROR(VALUE(RIGHT(TRIM(F670),4)),"")</f>
        <v>2019</v>
      </c>
      <c r="L670" s="7" t="str">
        <f aca="false">IF(TRIM(E670)="","Unknown",IFERROR(LEFT(TRIM(E670),FIND(",",TRIM(E670))-1),TRIM(E670)))</f>
        <v>South Korea</v>
      </c>
      <c r="M670" s="7" t="str">
        <f aca="false">IFERROR(LEFT(J670,FIND(",",J670)-1),J670)</f>
        <v>Stand-Up Comedy</v>
      </c>
      <c r="N670" s="7" t="n">
        <f aca="false">IF(B670="Movie",IFERROR(VALUE(LEFT(I670,FIND(" ",I670)-1)),""),"")</f>
        <v>63</v>
      </c>
      <c r="O670" s="7" t="str">
        <f aca="false">IF(B670="TV Show",IFERROR(VALUE(LEFT(I670,FIND(" ",I670)-1)),""),"")</f>
        <v/>
      </c>
      <c r="P670" s="7" t="n">
        <f aca="false">IF(K670="","",K670-G670)</f>
        <v>0</v>
      </c>
    </row>
    <row r="671" customFormat="false" ht="15" hidden="false" customHeight="false" outlineLevel="0" collapsed="false">
      <c r="A671" s="7" t="n">
        <v>81167011</v>
      </c>
      <c r="B671" s="7" t="s">
        <v>78</v>
      </c>
      <c r="C671" s="7" t="s">
        <v>1732</v>
      </c>
      <c r="E671" s="7" t="s">
        <v>32</v>
      </c>
      <c r="F671" s="7" t="s">
        <v>1724</v>
      </c>
      <c r="G671" s="7" t="n">
        <v>2015</v>
      </c>
      <c r="H671" s="7" t="s">
        <v>49</v>
      </c>
      <c r="I671" s="7" t="s">
        <v>82</v>
      </c>
      <c r="J671" s="7" t="s">
        <v>637</v>
      </c>
      <c r="K671" s="7" t="n">
        <f aca="false">IFERROR(VALUE(RIGHT(TRIM(F671),4)),"")</f>
        <v>2019</v>
      </c>
      <c r="L671" s="7" t="str">
        <f aca="false">IF(TRIM(E671)="","Unknown",IFERROR(LEFT(TRIM(E671),FIND(",",TRIM(E671))-1),TRIM(E671)))</f>
        <v>South Korea</v>
      </c>
      <c r="M671" s="7" t="str">
        <f aca="false">IFERROR(LEFT(J671,FIND(",",J671)-1),J671)</f>
        <v>International TV Shows</v>
      </c>
      <c r="N671" s="7" t="str">
        <f aca="false">IF(B671="Movie",IFERROR(VALUE(LEFT(I671,FIND(" ",I671)-1)),""),"")</f>
        <v/>
      </c>
      <c r="O671" s="7" t="n">
        <f aca="false">IF(B671="TV Show",IFERROR(VALUE(LEFT(I671,FIND(" ",I671)-1)),""),"")</f>
        <v>1</v>
      </c>
      <c r="P671" s="7" t="n">
        <f aca="false">IF(K671="","",K671-G671)</f>
        <v>4</v>
      </c>
    </row>
    <row r="672" customFormat="false" ht="15" hidden="false" customHeight="false" outlineLevel="0" collapsed="false">
      <c r="A672" s="7" t="n">
        <v>80043834</v>
      </c>
      <c r="B672" s="7" t="s">
        <v>68</v>
      </c>
      <c r="C672" s="7" t="s">
        <v>1733</v>
      </c>
      <c r="D672" s="7" t="s">
        <v>1677</v>
      </c>
      <c r="E672" s="7" t="s">
        <v>293</v>
      </c>
      <c r="F672" s="7" t="s">
        <v>1724</v>
      </c>
      <c r="G672" s="7" t="n">
        <v>2015</v>
      </c>
      <c r="H672" s="7" t="s">
        <v>51</v>
      </c>
      <c r="I672" s="7" t="s">
        <v>451</v>
      </c>
      <c r="J672" s="7" t="s">
        <v>265</v>
      </c>
      <c r="K672" s="7" t="n">
        <f aca="false">IFERROR(VALUE(RIGHT(TRIM(F672),4)),"")</f>
        <v>2019</v>
      </c>
      <c r="L672" s="7" t="str">
        <f aca="false">IF(TRIM(E672)="","Unknown",IFERROR(LEFT(TRIM(E672),FIND(",",TRIM(E672))-1),TRIM(E672)))</f>
        <v>United States</v>
      </c>
      <c r="M672" s="7" t="str">
        <f aca="false">IFERROR(LEFT(J672,FIND(",",J672)-1),J672)</f>
        <v>Horror Movies</v>
      </c>
      <c r="N672" s="7" t="n">
        <f aca="false">IF(B672="Movie",IFERROR(VALUE(LEFT(I672,FIND(" ",I672)-1)),""),"")</f>
        <v>97</v>
      </c>
      <c r="O672" s="7" t="str">
        <f aca="false">IF(B672="TV Show",IFERROR(VALUE(LEFT(I672,FIND(" ",I672)-1)),""),"")</f>
        <v/>
      </c>
      <c r="P672" s="7" t="n">
        <f aca="false">IF(K672="","",K672-G672)</f>
        <v>4</v>
      </c>
    </row>
    <row r="673" customFormat="false" ht="15" hidden="false" customHeight="false" outlineLevel="0" collapsed="false">
      <c r="A673" s="7" t="n">
        <v>81157840</v>
      </c>
      <c r="B673" s="7" t="s">
        <v>68</v>
      </c>
      <c r="C673" s="7" t="s">
        <v>1734</v>
      </c>
      <c r="D673" s="7" t="s">
        <v>1735</v>
      </c>
      <c r="E673" s="7" t="s">
        <v>26</v>
      </c>
      <c r="F673" s="7" t="s">
        <v>1724</v>
      </c>
      <c r="G673" s="7" t="n">
        <v>2018</v>
      </c>
      <c r="H673" s="7" t="s">
        <v>48</v>
      </c>
      <c r="I673" s="7" t="s">
        <v>212</v>
      </c>
      <c r="J673" s="7" t="s">
        <v>1085</v>
      </c>
      <c r="K673" s="7" t="n">
        <f aca="false">IFERROR(VALUE(RIGHT(TRIM(F673),4)),"")</f>
        <v>2019</v>
      </c>
      <c r="L673" s="7" t="str">
        <f aca="false">IF(TRIM(E673)="","Unknown",IFERROR(LEFT(TRIM(E673),FIND(",",TRIM(E673))-1),TRIM(E673)))</f>
        <v>United States</v>
      </c>
      <c r="M673" s="7" t="str">
        <f aca="false">IFERROR(LEFT(J673,FIND(",",J673)-1),J673)</f>
        <v>Documentaries</v>
      </c>
      <c r="N673" s="7" t="n">
        <f aca="false">IF(B673="Movie",IFERROR(VALUE(LEFT(I673,FIND(" ",I673)-1)),""),"")</f>
        <v>86</v>
      </c>
      <c r="O673" s="7" t="str">
        <f aca="false">IF(B673="TV Show",IFERROR(VALUE(LEFT(I673,FIND(" ",I673)-1)),""),"")</f>
        <v/>
      </c>
      <c r="P673" s="7" t="n">
        <f aca="false">IF(K673="","",K673-G673)</f>
        <v>1</v>
      </c>
    </row>
    <row r="674" customFormat="false" ht="15" hidden="false" customHeight="false" outlineLevel="0" collapsed="false">
      <c r="A674" s="7" t="n">
        <v>80244900</v>
      </c>
      <c r="B674" s="7" t="s">
        <v>68</v>
      </c>
      <c r="C674" s="7" t="s">
        <v>1736</v>
      </c>
      <c r="D674" s="7" t="s">
        <v>1737</v>
      </c>
      <c r="E674" s="7" t="s">
        <v>26</v>
      </c>
      <c r="F674" s="7" t="s">
        <v>1738</v>
      </c>
      <c r="G674" s="7" t="n">
        <v>2018</v>
      </c>
      <c r="H674" s="7" t="s">
        <v>48</v>
      </c>
      <c r="I674" s="7" t="s">
        <v>551</v>
      </c>
      <c r="J674" s="7" t="s">
        <v>45</v>
      </c>
      <c r="K674" s="7" t="n">
        <f aca="false">IFERROR(VALUE(RIGHT(TRIM(F674),4)),"")</f>
        <v>2018</v>
      </c>
      <c r="L674" s="7" t="str">
        <f aca="false">IF(TRIM(E674)="","Unknown",IFERROR(LEFT(TRIM(E674),FIND(",",TRIM(E674))-1),TRIM(E674)))</f>
        <v>United States</v>
      </c>
      <c r="M674" s="7" t="str">
        <f aca="false">IFERROR(LEFT(J674,FIND(",",J674)-1),J674)</f>
        <v>Stand-Up Comedy</v>
      </c>
      <c r="N674" s="7" t="n">
        <f aca="false">IF(B674="Movie",IFERROR(VALUE(LEFT(I674,FIND(" ",I674)-1)),""),"")</f>
        <v>63</v>
      </c>
      <c r="O674" s="7" t="str">
        <f aca="false">IF(B674="TV Show",IFERROR(VALUE(LEFT(I674,FIND(" ",I674)-1)),""),"")</f>
        <v/>
      </c>
      <c r="P674" s="7" t="n">
        <f aca="false">IF(K674="","",K674-G674)</f>
        <v>0</v>
      </c>
    </row>
    <row r="675" customFormat="false" ht="15" hidden="false" customHeight="false" outlineLevel="0" collapsed="false">
      <c r="A675" s="7" t="n">
        <v>80211134</v>
      </c>
      <c r="B675" s="7" t="s">
        <v>68</v>
      </c>
      <c r="C675" s="7" t="s">
        <v>1739</v>
      </c>
      <c r="D675" s="7" t="s">
        <v>1740</v>
      </c>
      <c r="E675" s="7" t="s">
        <v>27</v>
      </c>
      <c r="F675" s="7" t="s">
        <v>1741</v>
      </c>
      <c r="G675" s="7" t="n">
        <v>2017</v>
      </c>
      <c r="H675" s="7" t="s">
        <v>49</v>
      </c>
      <c r="I675" s="7" t="s">
        <v>130</v>
      </c>
      <c r="J675" s="7" t="s">
        <v>322</v>
      </c>
      <c r="K675" s="7" t="n">
        <f aca="false">IFERROR(VALUE(RIGHT(TRIM(F675),4)),"")</f>
        <v>2017</v>
      </c>
      <c r="L675" s="7" t="str">
        <f aca="false">IF(TRIM(E675)="","Unknown",IFERROR(LEFT(TRIM(E675),FIND(",",TRIM(E675))-1),TRIM(E675)))</f>
        <v>India</v>
      </c>
      <c r="M675" s="7" t="str">
        <f aca="false">IFERROR(LEFT(J675,FIND(",",J675)-1),J675)</f>
        <v>Action &amp; Adventure</v>
      </c>
      <c r="N675" s="7" t="n">
        <f aca="false">IF(B675="Movie",IFERROR(VALUE(LEFT(I675,FIND(" ",I675)-1)),""),"")</f>
        <v>135</v>
      </c>
      <c r="O675" s="7" t="str">
        <f aca="false">IF(B675="TV Show",IFERROR(VALUE(LEFT(I675,FIND(" ",I675)-1)),""),"")</f>
        <v/>
      </c>
      <c r="P675" s="7" t="n">
        <f aca="false">IF(K675="","",K675-G675)</f>
        <v>0</v>
      </c>
    </row>
    <row r="676" customFormat="false" ht="15" hidden="false" customHeight="false" outlineLevel="0" collapsed="false">
      <c r="A676" s="7" t="n">
        <v>70271601</v>
      </c>
      <c r="B676" s="7" t="s">
        <v>68</v>
      </c>
      <c r="C676" s="7" t="s">
        <v>1742</v>
      </c>
      <c r="D676" s="7" t="s">
        <v>1743</v>
      </c>
      <c r="E676" s="7" t="s">
        <v>317</v>
      </c>
      <c r="F676" s="7" t="s">
        <v>1741</v>
      </c>
      <c r="G676" s="7" t="n">
        <v>2013</v>
      </c>
      <c r="H676" s="7" t="s">
        <v>51</v>
      </c>
      <c r="I676" s="7" t="s">
        <v>138</v>
      </c>
      <c r="J676" s="7" t="s">
        <v>597</v>
      </c>
      <c r="K676" s="7" t="n">
        <f aca="false">IFERROR(VALUE(RIGHT(TRIM(F676),4)),"")</f>
        <v>2017</v>
      </c>
      <c r="L676" s="7" t="str">
        <f aca="false">IF(TRIM(E676)="","Unknown",IFERROR(LEFT(TRIM(E676),FIND(",",TRIM(E676))-1),TRIM(E676)))</f>
        <v>United Kingdom</v>
      </c>
      <c r="M676" s="7" t="str">
        <f aca="false">IFERROR(LEFT(J676,FIND(",",J676)-1),J676)</f>
        <v>Dramas</v>
      </c>
      <c r="N676" s="7" t="n">
        <f aca="false">IF(B676="Movie",IFERROR(VALUE(LEFT(I676,FIND(" ",I676)-1)),""),"")</f>
        <v>96</v>
      </c>
      <c r="O676" s="7" t="str">
        <f aca="false">IF(B676="TV Show",IFERROR(VALUE(LEFT(I676,FIND(" ",I676)-1)),""),"")</f>
        <v/>
      </c>
      <c r="P676" s="7" t="n">
        <f aca="false">IF(K676="","",K676-G676)</f>
        <v>4</v>
      </c>
    </row>
    <row r="677" customFormat="false" ht="15" hidden="false" customHeight="false" outlineLevel="0" collapsed="false">
      <c r="A677" s="7" t="n">
        <v>80136786</v>
      </c>
      <c r="B677" s="7" t="s">
        <v>78</v>
      </c>
      <c r="C677" s="7" t="s">
        <v>1744</v>
      </c>
      <c r="E677" s="7" t="s">
        <v>26</v>
      </c>
      <c r="F677" s="7" t="s">
        <v>1741</v>
      </c>
      <c r="G677" s="7" t="n">
        <v>2011</v>
      </c>
      <c r="H677" s="7" t="s">
        <v>49</v>
      </c>
      <c r="I677" s="7" t="s">
        <v>82</v>
      </c>
      <c r="J677" s="7" t="s">
        <v>344</v>
      </c>
      <c r="K677" s="7" t="n">
        <f aca="false">IFERROR(VALUE(RIGHT(TRIM(F677),4)),"")</f>
        <v>2017</v>
      </c>
      <c r="L677" s="7" t="str">
        <f aca="false">IF(TRIM(E677)="","Unknown",IFERROR(LEFT(TRIM(E677),FIND(",",TRIM(E677))-1),TRIM(E677)))</f>
        <v>United States</v>
      </c>
      <c r="M677" s="7" t="str">
        <f aca="false">IFERROR(LEFT(J677,FIND(",",J677)-1),J677)</f>
        <v>International TV Shows</v>
      </c>
      <c r="N677" s="7" t="str">
        <f aca="false">IF(B677="Movie",IFERROR(VALUE(LEFT(I677,FIND(" ",I677)-1)),""),"")</f>
        <v/>
      </c>
      <c r="O677" s="7" t="n">
        <f aca="false">IF(B677="TV Show",IFERROR(VALUE(LEFT(I677,FIND(" ",I677)-1)),""),"")</f>
        <v>1</v>
      </c>
      <c r="P677" s="7" t="n">
        <f aca="false">IF(K677="","",K677-G677)</f>
        <v>6</v>
      </c>
    </row>
    <row r="678" customFormat="false" ht="15" hidden="false" customHeight="false" outlineLevel="0" collapsed="false">
      <c r="A678" s="7" t="n">
        <v>80136788</v>
      </c>
      <c r="B678" s="7" t="s">
        <v>78</v>
      </c>
      <c r="C678" s="7" t="s">
        <v>1745</v>
      </c>
      <c r="F678" s="7" t="s">
        <v>1741</v>
      </c>
      <c r="G678" s="7" t="n">
        <v>2016</v>
      </c>
      <c r="H678" s="7" t="s">
        <v>50</v>
      </c>
      <c r="I678" s="7" t="s">
        <v>82</v>
      </c>
      <c r="J678" s="7" t="s">
        <v>314</v>
      </c>
      <c r="K678" s="7" t="n">
        <f aca="false">IFERROR(VALUE(RIGHT(TRIM(F678),4)),"")</f>
        <v>2017</v>
      </c>
      <c r="L678" s="7" t="str">
        <f aca="false">IF(TRIM(E678)="","Unknown",IFERROR(LEFT(TRIM(E678),FIND(",",TRIM(E678))-1),TRIM(E678)))</f>
        <v>Unknown</v>
      </c>
      <c r="M678" s="7" t="str">
        <f aca="false">IFERROR(LEFT(J678,FIND(",",J678)-1),J678)</f>
        <v>International TV Shows</v>
      </c>
      <c r="N678" s="7" t="str">
        <f aca="false">IF(B678="Movie",IFERROR(VALUE(LEFT(I678,FIND(" ",I678)-1)),""),"")</f>
        <v/>
      </c>
      <c r="O678" s="7" t="n">
        <f aca="false">IF(B678="TV Show",IFERROR(VALUE(LEFT(I678,FIND(" ",I678)-1)),""),"")</f>
        <v>1</v>
      </c>
      <c r="P678" s="7" t="n">
        <f aca="false">IF(K678="","",K678-G678)</f>
        <v>1</v>
      </c>
    </row>
    <row r="679" customFormat="false" ht="15" hidden="false" customHeight="false" outlineLevel="0" collapsed="false">
      <c r="A679" s="7" t="n">
        <v>80136787</v>
      </c>
      <c r="B679" s="7" t="s">
        <v>78</v>
      </c>
      <c r="C679" s="7" t="s">
        <v>1746</v>
      </c>
      <c r="F679" s="7" t="s">
        <v>1741</v>
      </c>
      <c r="G679" s="7" t="n">
        <v>2016</v>
      </c>
      <c r="H679" s="7" t="s">
        <v>49</v>
      </c>
      <c r="I679" s="7" t="s">
        <v>82</v>
      </c>
      <c r="J679" s="7" t="s">
        <v>344</v>
      </c>
      <c r="K679" s="7" t="n">
        <f aca="false">IFERROR(VALUE(RIGHT(TRIM(F679),4)),"")</f>
        <v>2017</v>
      </c>
      <c r="L679" s="7" t="str">
        <f aca="false">IF(TRIM(E679)="","Unknown",IFERROR(LEFT(TRIM(E679),FIND(",",TRIM(E679))-1),TRIM(E679)))</f>
        <v>Unknown</v>
      </c>
      <c r="M679" s="7" t="str">
        <f aca="false">IFERROR(LEFT(J679,FIND(",",J679)-1),J679)</f>
        <v>International TV Shows</v>
      </c>
      <c r="N679" s="7" t="str">
        <f aca="false">IF(B679="Movie",IFERROR(VALUE(LEFT(I679,FIND(" ",I679)-1)),""),"")</f>
        <v/>
      </c>
      <c r="O679" s="7" t="n">
        <f aca="false">IF(B679="TV Show",IFERROR(VALUE(LEFT(I679,FIND(" ",I679)-1)),""),"")</f>
        <v>1</v>
      </c>
      <c r="P679" s="7" t="n">
        <f aca="false">IF(K679="","",K679-G679)</f>
        <v>1</v>
      </c>
    </row>
    <row r="680" customFormat="false" ht="15" hidden="false" customHeight="false" outlineLevel="0" collapsed="false">
      <c r="A680" s="7" t="n">
        <v>80136454</v>
      </c>
      <c r="B680" s="7" t="s">
        <v>78</v>
      </c>
      <c r="C680" s="7" t="s">
        <v>1747</v>
      </c>
      <c r="F680" s="7" t="s">
        <v>1741</v>
      </c>
      <c r="G680" s="7" t="n">
        <v>2012</v>
      </c>
      <c r="H680" s="7" t="s">
        <v>49</v>
      </c>
      <c r="I680" s="7" t="s">
        <v>82</v>
      </c>
      <c r="J680" s="7" t="s">
        <v>158</v>
      </c>
      <c r="K680" s="7" t="n">
        <f aca="false">IFERROR(VALUE(RIGHT(TRIM(F680),4)),"")</f>
        <v>2017</v>
      </c>
      <c r="L680" s="7" t="str">
        <f aca="false">IF(TRIM(E680)="","Unknown",IFERROR(LEFT(TRIM(E680),FIND(",",TRIM(E680))-1),TRIM(E680)))</f>
        <v>Unknown</v>
      </c>
      <c r="M680" s="7" t="str">
        <f aca="false">IFERROR(LEFT(J680,FIND(",",J680)-1),J680)</f>
        <v>International TV Shows</v>
      </c>
      <c r="N680" s="7" t="str">
        <f aca="false">IF(B680="Movie",IFERROR(VALUE(LEFT(I680,FIND(" ",I680)-1)),""),"")</f>
        <v/>
      </c>
      <c r="O680" s="7" t="n">
        <f aca="false">IF(B680="TV Show",IFERROR(VALUE(LEFT(I680,FIND(" ",I680)-1)),""),"")</f>
        <v>1</v>
      </c>
      <c r="P680" s="7" t="n">
        <f aca="false">IF(K680="","",K680-G680)</f>
        <v>5</v>
      </c>
    </row>
    <row r="681" customFormat="false" ht="15" hidden="false" customHeight="false" outlineLevel="0" collapsed="false">
      <c r="A681" s="7" t="n">
        <v>80204433</v>
      </c>
      <c r="B681" s="7" t="s">
        <v>68</v>
      </c>
      <c r="C681" s="7" t="s">
        <v>1748</v>
      </c>
      <c r="D681" s="7" t="s">
        <v>1749</v>
      </c>
      <c r="E681" s="7" t="s">
        <v>27</v>
      </c>
      <c r="F681" s="7" t="s">
        <v>1741</v>
      </c>
      <c r="G681" s="7" t="n">
        <v>2017</v>
      </c>
      <c r="H681" s="7" t="s">
        <v>49</v>
      </c>
      <c r="I681" s="7" t="s">
        <v>1529</v>
      </c>
      <c r="J681" s="7" t="s">
        <v>1042</v>
      </c>
      <c r="K681" s="7" t="n">
        <f aca="false">IFERROR(VALUE(RIGHT(TRIM(F681),4)),"")</f>
        <v>2017</v>
      </c>
      <c r="L681" s="7" t="str">
        <f aca="false">IF(TRIM(E681)="","Unknown",IFERROR(LEFT(TRIM(E681),FIND(",",TRIM(E681))-1),TRIM(E681)))</f>
        <v>India</v>
      </c>
      <c r="M681" s="7" t="str">
        <f aca="false">IFERROR(LEFT(J681,FIND(",",J681)-1),J681)</f>
        <v>Dramas</v>
      </c>
      <c r="N681" s="7" t="n">
        <f aca="false">IF(B681="Movie",IFERROR(VALUE(LEFT(I681,FIND(" ",I681)-1)),""),"")</f>
        <v>144</v>
      </c>
      <c r="O681" s="7" t="str">
        <f aca="false">IF(B681="TV Show",IFERROR(VALUE(LEFT(I681,FIND(" ",I681)-1)),""),"")</f>
        <v/>
      </c>
      <c r="P681" s="7" t="n">
        <f aca="false">IF(K681="","",K681-G681)</f>
        <v>0</v>
      </c>
    </row>
    <row r="682" customFormat="false" ht="15" hidden="false" customHeight="false" outlineLevel="0" collapsed="false">
      <c r="A682" s="7" t="n">
        <v>80089199</v>
      </c>
      <c r="B682" s="7" t="s">
        <v>68</v>
      </c>
      <c r="C682" s="7" t="s">
        <v>1750</v>
      </c>
      <c r="D682" s="7" t="s">
        <v>1751</v>
      </c>
      <c r="E682" s="7" t="s">
        <v>1752</v>
      </c>
      <c r="F682" s="7" t="s">
        <v>1753</v>
      </c>
      <c r="G682" s="7" t="n">
        <v>2015</v>
      </c>
      <c r="H682" s="7" t="s">
        <v>50</v>
      </c>
      <c r="I682" s="7" t="s">
        <v>326</v>
      </c>
      <c r="J682" s="7" t="s">
        <v>341</v>
      </c>
      <c r="K682" s="7" t="n">
        <f aca="false">IFERROR(VALUE(RIGHT(TRIM(F682),4)),"")</f>
        <v>2016</v>
      </c>
      <c r="L682" s="7" t="str">
        <f aca="false">IF(TRIM(E682)="","Unknown",IFERROR(LEFT(TRIM(E682),FIND(",",TRIM(E682))-1),TRIM(E682)))</f>
        <v>Netherlands</v>
      </c>
      <c r="M682" s="7" t="str">
        <f aca="false">IFERROR(LEFT(J682,FIND(",",J682)-1),J682)</f>
        <v>Documentaries</v>
      </c>
      <c r="N682" s="7" t="n">
        <f aca="false">IF(B682="Movie",IFERROR(VALUE(LEFT(I682,FIND(" ",I682)-1)),""),"")</f>
        <v>111</v>
      </c>
      <c r="O682" s="7" t="str">
        <f aca="false">IF(B682="TV Show",IFERROR(VALUE(LEFT(I682,FIND(" ",I682)-1)),""),"")</f>
        <v/>
      </c>
      <c r="P682" s="7" t="n">
        <f aca="false">IF(K682="","",K682-G682)</f>
        <v>1</v>
      </c>
    </row>
    <row r="683" customFormat="false" ht="15" hidden="false" customHeight="false" outlineLevel="0" collapsed="false">
      <c r="A683" s="7" t="n">
        <v>80043049</v>
      </c>
      <c r="B683" s="7" t="s">
        <v>68</v>
      </c>
      <c r="C683" s="7" t="s">
        <v>1754</v>
      </c>
      <c r="D683" s="7" t="s">
        <v>1755</v>
      </c>
      <c r="E683" s="7" t="s">
        <v>26</v>
      </c>
      <c r="F683" s="7" t="s">
        <v>1756</v>
      </c>
      <c r="G683" s="7" t="n">
        <v>2015</v>
      </c>
      <c r="H683" s="7" t="s">
        <v>48</v>
      </c>
      <c r="I683" s="7" t="s">
        <v>1757</v>
      </c>
      <c r="J683" s="7" t="s">
        <v>45</v>
      </c>
      <c r="K683" s="7" t="n">
        <f aca="false">IFERROR(VALUE(RIGHT(TRIM(F683),4)),"")</f>
        <v>2015</v>
      </c>
      <c r="L683" s="7" t="str">
        <f aca="false">IF(TRIM(E683)="","Unknown",IFERROR(LEFT(TRIM(E683),FIND(",",TRIM(E683))-1),TRIM(E683)))</f>
        <v>United States</v>
      </c>
      <c r="M683" s="7" t="str">
        <f aca="false">IFERROR(LEFT(J683,FIND(",",J683)-1),J683)</f>
        <v>Stand-Up Comedy</v>
      </c>
      <c r="N683" s="7" t="n">
        <f aca="false">IF(B683="Movie",IFERROR(VALUE(LEFT(I683,FIND(" ",I683)-1)),""),"")</f>
        <v>59</v>
      </c>
      <c r="O683" s="7" t="str">
        <f aca="false">IF(B683="TV Show",IFERROR(VALUE(LEFT(I683,FIND(" ",I683)-1)),""),"")</f>
        <v/>
      </c>
      <c r="P683" s="7" t="n">
        <f aca="false">IF(K683="","",K683-G683)</f>
        <v>0</v>
      </c>
    </row>
    <row r="684" customFormat="false" ht="15" hidden="false" customHeight="false" outlineLevel="0" collapsed="false">
      <c r="A684" s="7" t="n">
        <v>80044545</v>
      </c>
      <c r="B684" s="7" t="s">
        <v>68</v>
      </c>
      <c r="C684" s="7" t="s">
        <v>1758</v>
      </c>
      <c r="D684" s="7" t="s">
        <v>1759</v>
      </c>
      <c r="E684" s="7" t="s">
        <v>26</v>
      </c>
      <c r="F684" s="7" t="s">
        <v>1756</v>
      </c>
      <c r="G684" s="7" t="n">
        <v>2015</v>
      </c>
      <c r="H684" s="7" t="s">
        <v>53</v>
      </c>
      <c r="I684" s="7" t="s">
        <v>749</v>
      </c>
      <c r="J684" s="7" t="s">
        <v>150</v>
      </c>
      <c r="K684" s="7" t="n">
        <f aca="false">IFERROR(VALUE(RIGHT(TRIM(F684),4)),"")</f>
        <v>2015</v>
      </c>
      <c r="L684" s="7" t="str">
        <f aca="false">IF(TRIM(E684)="","Unknown",IFERROR(LEFT(TRIM(E684),FIND(",",TRIM(E684))-1),TRIM(E684)))</f>
        <v>United States</v>
      </c>
      <c r="M684" s="7" t="str">
        <f aca="false">IFERROR(LEFT(J684,FIND(",",J684)-1),J684)</f>
        <v>Dramas</v>
      </c>
      <c r="N684" s="7" t="n">
        <f aca="false">IF(B684="Movie",IFERROR(VALUE(LEFT(I684,FIND(" ",I684)-1)),""),"")</f>
        <v>137</v>
      </c>
      <c r="O684" s="7" t="str">
        <f aca="false">IF(B684="TV Show",IFERROR(VALUE(LEFT(I684,FIND(" ",I684)-1)),""),"")</f>
        <v/>
      </c>
      <c r="P684" s="7" t="n">
        <f aca="false">IF(K684="","",K684-G684)</f>
        <v>0</v>
      </c>
    </row>
    <row r="685" customFormat="false" ht="15" hidden="false" customHeight="false" outlineLevel="0" collapsed="false">
      <c r="A685" s="7" t="n">
        <v>80070182</v>
      </c>
      <c r="B685" s="7" t="s">
        <v>68</v>
      </c>
      <c r="C685" s="7" t="s">
        <v>1760</v>
      </c>
      <c r="D685" s="7" t="s">
        <v>1761</v>
      </c>
      <c r="E685" s="7" t="s">
        <v>26</v>
      </c>
      <c r="F685" s="7" t="s">
        <v>1756</v>
      </c>
      <c r="G685" s="7" t="n">
        <v>2015</v>
      </c>
      <c r="H685" s="7" t="s">
        <v>53</v>
      </c>
      <c r="I685" s="7" t="s">
        <v>212</v>
      </c>
      <c r="J685" s="7" t="s">
        <v>1762</v>
      </c>
      <c r="K685" s="7" t="n">
        <f aca="false">IFERROR(VALUE(RIGHT(TRIM(F685),4)),"")</f>
        <v>2015</v>
      </c>
      <c r="L685" s="7" t="str">
        <f aca="false">IF(TRIM(E685)="","Unknown",IFERROR(LEFT(TRIM(E685),FIND(",",TRIM(E685))-1),TRIM(E685)))</f>
        <v>United States</v>
      </c>
      <c r="M685" s="7" t="str">
        <f aca="false">IFERROR(LEFT(J685,FIND(",",J685)-1),J685)</f>
        <v>Dramas</v>
      </c>
      <c r="N685" s="7" t="n">
        <f aca="false">IF(B685="Movie",IFERROR(VALUE(LEFT(I685,FIND(" ",I685)-1)),""),"")</f>
        <v>86</v>
      </c>
      <c r="O685" s="7" t="str">
        <f aca="false">IF(B685="TV Show",IFERROR(VALUE(LEFT(I685,FIND(" ",I685)-1)),""),"")</f>
        <v/>
      </c>
      <c r="P685" s="7" t="n">
        <f aca="false">IF(K685="","",K685-G685)</f>
        <v>0</v>
      </c>
    </row>
    <row r="686" customFormat="false" ht="15" hidden="false" customHeight="false" outlineLevel="0" collapsed="false">
      <c r="A686" s="7" t="n">
        <v>80176234</v>
      </c>
      <c r="B686" s="7" t="s">
        <v>78</v>
      </c>
      <c r="C686" s="7" t="s">
        <v>1763</v>
      </c>
      <c r="D686" s="7" t="s">
        <v>1764</v>
      </c>
      <c r="E686" s="7" t="s">
        <v>396</v>
      </c>
      <c r="F686" s="7" t="s">
        <v>1765</v>
      </c>
      <c r="G686" s="7" t="n">
        <v>2014</v>
      </c>
      <c r="H686" s="7" t="s">
        <v>48</v>
      </c>
      <c r="I686" s="7" t="s">
        <v>82</v>
      </c>
      <c r="J686" s="7" t="s">
        <v>402</v>
      </c>
      <c r="K686" s="7" t="n">
        <f aca="false">IFERROR(VALUE(RIGHT(TRIM(F686),4)),"")</f>
        <v>2019</v>
      </c>
      <c r="L686" s="7" t="str">
        <f aca="false">IF(TRIM(E686)="","Unknown",IFERROR(LEFT(TRIM(E686),FIND(",",TRIM(E686))-1),TRIM(E686)))</f>
        <v>Turkey</v>
      </c>
      <c r="M686" s="7" t="str">
        <f aca="false">IFERROR(LEFT(J686,FIND(",",J686)-1),J686)</f>
        <v>Crime TV Shows</v>
      </c>
      <c r="N686" s="7" t="str">
        <f aca="false">IF(B686="Movie",IFERROR(VALUE(LEFT(I686,FIND(" ",I686)-1)),""),"")</f>
        <v/>
      </c>
      <c r="O686" s="7" t="n">
        <f aca="false">IF(B686="TV Show",IFERROR(VALUE(LEFT(I686,FIND(" ",I686)-1)),""),"")</f>
        <v>1</v>
      </c>
      <c r="P686" s="7" t="n">
        <f aca="false">IF(K686="","",K686-G686)</f>
        <v>5</v>
      </c>
    </row>
    <row r="687" customFormat="false" ht="15" hidden="false" customHeight="false" outlineLevel="0" collapsed="false">
      <c r="A687" s="7" t="n">
        <v>80992769</v>
      </c>
      <c r="B687" s="7" t="s">
        <v>68</v>
      </c>
      <c r="C687" s="7" t="s">
        <v>1766</v>
      </c>
      <c r="D687" s="7" t="s">
        <v>1767</v>
      </c>
      <c r="E687" s="7" t="s">
        <v>1768</v>
      </c>
      <c r="F687" s="7" t="s">
        <v>1765</v>
      </c>
      <c r="G687" s="7" t="n">
        <v>2016</v>
      </c>
      <c r="H687" s="7" t="s">
        <v>51</v>
      </c>
      <c r="I687" s="7" t="s">
        <v>272</v>
      </c>
      <c r="J687" s="7" t="s">
        <v>597</v>
      </c>
      <c r="K687" s="7" t="n">
        <f aca="false">IFERROR(VALUE(RIGHT(TRIM(F687),4)),"")</f>
        <v>2019</v>
      </c>
      <c r="L687" s="7" t="str">
        <f aca="false">IF(TRIM(E687)="","Unknown",IFERROR(LEFT(TRIM(E687),FIND(",",TRIM(E687))-1),TRIM(E687)))</f>
        <v>United Kingdom</v>
      </c>
      <c r="M687" s="7" t="str">
        <f aca="false">IFERROR(LEFT(J687,FIND(",",J687)-1),J687)</f>
        <v>Dramas</v>
      </c>
      <c r="N687" s="7" t="n">
        <f aca="false">IF(B687="Movie",IFERROR(VALUE(LEFT(I687,FIND(" ",I687)-1)),""),"")</f>
        <v>93</v>
      </c>
      <c r="O687" s="7" t="str">
        <f aca="false">IF(B687="TV Show",IFERROR(VALUE(LEFT(I687,FIND(" ",I687)-1)),""),"")</f>
        <v/>
      </c>
      <c r="P687" s="7" t="n">
        <f aca="false">IF(K687="","",K687-G687)</f>
        <v>3</v>
      </c>
    </row>
    <row r="688" customFormat="false" ht="15" hidden="false" customHeight="false" outlineLevel="0" collapsed="false">
      <c r="A688" s="7" t="n">
        <v>81191228</v>
      </c>
      <c r="B688" s="7" t="s">
        <v>68</v>
      </c>
      <c r="C688" s="7" t="s">
        <v>1769</v>
      </c>
      <c r="D688" s="7" t="s">
        <v>1770</v>
      </c>
      <c r="F688" s="7" t="s">
        <v>1765</v>
      </c>
      <c r="G688" s="7" t="n">
        <v>2019</v>
      </c>
      <c r="H688" s="7" t="s">
        <v>50</v>
      </c>
      <c r="I688" s="7" t="s">
        <v>1191</v>
      </c>
      <c r="J688" s="7" t="s">
        <v>188</v>
      </c>
      <c r="K688" s="7" t="n">
        <f aca="false">IFERROR(VALUE(RIGHT(TRIM(F688),4)),"")</f>
        <v>2019</v>
      </c>
      <c r="L688" s="7" t="str">
        <f aca="false">IF(TRIM(E688)="","Unknown",IFERROR(LEFT(TRIM(E688),FIND(",",TRIM(E688))-1),TRIM(E688)))</f>
        <v>Unknown</v>
      </c>
      <c r="M688" s="7" t="str">
        <f aca="false">IFERROR(LEFT(J688,FIND(",",J688)-1),J688)</f>
        <v>Dramas</v>
      </c>
      <c r="N688" s="7" t="n">
        <f aca="false">IF(B688="Movie",IFERROR(VALUE(LEFT(I688,FIND(" ",I688)-1)),""),"")</f>
        <v>73</v>
      </c>
      <c r="O688" s="7" t="str">
        <f aca="false">IF(B688="TV Show",IFERROR(VALUE(LEFT(I688,FIND(" ",I688)-1)),""),"")</f>
        <v/>
      </c>
      <c r="P688" s="7" t="n">
        <f aca="false">IF(K688="","",K688-G688)</f>
        <v>0</v>
      </c>
    </row>
    <row r="689" customFormat="false" ht="15" hidden="false" customHeight="false" outlineLevel="0" collapsed="false">
      <c r="A689" s="7" t="n">
        <v>81154549</v>
      </c>
      <c r="B689" s="7" t="s">
        <v>78</v>
      </c>
      <c r="C689" s="7" t="s">
        <v>1771</v>
      </c>
      <c r="F689" s="7" t="s">
        <v>1765</v>
      </c>
      <c r="G689" s="7" t="n">
        <v>2019</v>
      </c>
      <c r="H689" s="7" t="s">
        <v>226</v>
      </c>
      <c r="I689" s="7" t="s">
        <v>82</v>
      </c>
      <c r="J689" s="7" t="s">
        <v>1637</v>
      </c>
      <c r="K689" s="7" t="n">
        <f aca="false">IFERROR(VALUE(RIGHT(TRIM(F689),4)),"")</f>
        <v>2019</v>
      </c>
      <c r="L689" s="7" t="str">
        <f aca="false">IF(TRIM(E689)="","Unknown",IFERROR(LEFT(TRIM(E689),FIND(",",TRIM(E689))-1),TRIM(E689)))</f>
        <v>Unknown</v>
      </c>
      <c r="M689" s="7" t="str">
        <f aca="false">IFERROR(LEFT(J689,FIND(",",J689)-1),J689)</f>
        <v>Docuseries</v>
      </c>
      <c r="N689" s="7" t="str">
        <f aca="false">IF(B689="Movie",IFERROR(VALUE(LEFT(I689,FIND(" ",I689)-1)),""),"")</f>
        <v/>
      </c>
      <c r="O689" s="7" t="n">
        <f aca="false">IF(B689="TV Show",IFERROR(VALUE(LEFT(I689,FIND(" ",I689)-1)),""),"")</f>
        <v>1</v>
      </c>
      <c r="P689" s="7" t="n">
        <f aca="false">IF(K689="","",K689-G689)</f>
        <v>0</v>
      </c>
    </row>
    <row r="690" customFormat="false" ht="15" hidden="false" customHeight="false" outlineLevel="0" collapsed="false">
      <c r="A690" s="7" t="n">
        <v>81192594</v>
      </c>
      <c r="B690" s="7" t="s">
        <v>78</v>
      </c>
      <c r="C690" s="7" t="s">
        <v>1772</v>
      </c>
      <c r="E690" s="7" t="s">
        <v>26</v>
      </c>
      <c r="F690" s="7" t="s">
        <v>1765</v>
      </c>
      <c r="G690" s="7" t="n">
        <v>2019</v>
      </c>
      <c r="H690" s="7" t="s">
        <v>81</v>
      </c>
      <c r="I690" s="7" t="s">
        <v>82</v>
      </c>
      <c r="J690" s="7" t="s">
        <v>44</v>
      </c>
      <c r="K690" s="7" t="n">
        <f aca="false">IFERROR(VALUE(RIGHT(TRIM(F690),4)),"")</f>
        <v>2019</v>
      </c>
      <c r="L690" s="7" t="str">
        <f aca="false">IF(TRIM(E690)="","Unknown",IFERROR(LEFT(TRIM(E690),FIND(",",TRIM(E690))-1),TRIM(E690)))</f>
        <v>United States</v>
      </c>
      <c r="M690" s="7" t="str">
        <f aca="false">IFERROR(LEFT(J690,FIND(",",J690)-1),J690)</f>
        <v>Kids' TV</v>
      </c>
      <c r="N690" s="7" t="str">
        <f aca="false">IF(B690="Movie",IFERROR(VALUE(LEFT(I690,FIND(" ",I690)-1)),""),"")</f>
        <v/>
      </c>
      <c r="O690" s="7" t="n">
        <f aca="false">IF(B690="TV Show",IFERROR(VALUE(LEFT(I690,FIND(" ",I690)-1)),""),"")</f>
        <v>1</v>
      </c>
      <c r="P690" s="7" t="n">
        <f aca="false">IF(K690="","",K690-G690)</f>
        <v>0</v>
      </c>
    </row>
    <row r="691" customFormat="false" ht="15" hidden="false" customHeight="false" outlineLevel="0" collapsed="false">
      <c r="A691" s="7" t="n">
        <v>81006356</v>
      </c>
      <c r="B691" s="7" t="s">
        <v>78</v>
      </c>
      <c r="C691" s="7" t="s">
        <v>1773</v>
      </c>
      <c r="E691" s="7" t="s">
        <v>27</v>
      </c>
      <c r="F691" s="7" t="s">
        <v>1774</v>
      </c>
      <c r="G691" s="7" t="n">
        <v>2017</v>
      </c>
      <c r="H691" s="7" t="s">
        <v>50</v>
      </c>
      <c r="I691" s="7" t="s">
        <v>82</v>
      </c>
      <c r="J691" s="7" t="s">
        <v>41</v>
      </c>
      <c r="K691" s="7" t="n">
        <f aca="false">IFERROR(VALUE(RIGHT(TRIM(F691),4)),"")</f>
        <v>2018</v>
      </c>
      <c r="L691" s="7" t="str">
        <f aca="false">IF(TRIM(E691)="","Unknown",IFERROR(LEFT(TRIM(E691),FIND(",",TRIM(E691))-1),TRIM(E691)))</f>
        <v>India</v>
      </c>
      <c r="M691" s="7" t="str">
        <f aca="false">IFERROR(LEFT(J691,FIND(",",J691)-1),J691)</f>
        <v>International TV Shows</v>
      </c>
      <c r="N691" s="7" t="str">
        <f aca="false">IF(B691="Movie",IFERROR(VALUE(LEFT(I691,FIND(" ",I691)-1)),""),"")</f>
        <v/>
      </c>
      <c r="O691" s="7" t="n">
        <f aca="false">IF(B691="TV Show",IFERROR(VALUE(LEFT(I691,FIND(" ",I691)-1)),""),"")</f>
        <v>1</v>
      </c>
      <c r="P691" s="7" t="n">
        <f aca="false">IF(K691="","",K691-G691)</f>
        <v>1</v>
      </c>
    </row>
    <row r="692" customFormat="false" ht="15" hidden="false" customHeight="false" outlineLevel="0" collapsed="false">
      <c r="A692" s="7" t="n">
        <v>81025935</v>
      </c>
      <c r="B692" s="7" t="s">
        <v>68</v>
      </c>
      <c r="C692" s="7" t="s">
        <v>1775</v>
      </c>
      <c r="D692" s="7" t="s">
        <v>1776</v>
      </c>
      <c r="E692" s="7" t="s">
        <v>27</v>
      </c>
      <c r="F692" s="7" t="s">
        <v>1774</v>
      </c>
      <c r="G692" s="7" t="n">
        <v>2017</v>
      </c>
      <c r="H692" s="7" t="s">
        <v>49</v>
      </c>
      <c r="I692" s="7" t="s">
        <v>1777</v>
      </c>
      <c r="J692" s="7" t="s">
        <v>304</v>
      </c>
      <c r="K692" s="7" t="n">
        <f aca="false">IFERROR(VALUE(RIGHT(TRIM(F692),4)),"")</f>
        <v>2018</v>
      </c>
      <c r="L692" s="7" t="str">
        <f aca="false">IF(TRIM(E692)="","Unknown",IFERROR(LEFT(TRIM(E692),FIND(",",TRIM(E692))-1),TRIM(E692)))</f>
        <v>India</v>
      </c>
      <c r="M692" s="7" t="str">
        <f aca="false">IFERROR(LEFT(J692,FIND(",",J692)-1),J692)</f>
        <v>Dramas</v>
      </c>
      <c r="N692" s="7" t="n">
        <f aca="false">IF(B692="Movie",IFERROR(VALUE(LEFT(I692,FIND(" ",I692)-1)),""),"")</f>
        <v>150</v>
      </c>
      <c r="O692" s="7" t="str">
        <f aca="false">IF(B692="TV Show",IFERROR(VALUE(LEFT(I692,FIND(" ",I692)-1)),""),"")</f>
        <v/>
      </c>
      <c r="P692" s="7" t="n">
        <f aca="false">IF(K692="","",K692-G692)</f>
        <v>1</v>
      </c>
    </row>
    <row r="693" customFormat="false" ht="15" hidden="false" customHeight="false" outlineLevel="0" collapsed="false">
      <c r="A693" s="7" t="n">
        <v>81020508</v>
      </c>
      <c r="B693" s="7" t="s">
        <v>68</v>
      </c>
      <c r="C693" s="7" t="s">
        <v>1778</v>
      </c>
      <c r="D693" s="7" t="s">
        <v>215</v>
      </c>
      <c r="E693" s="7" t="s">
        <v>27</v>
      </c>
      <c r="F693" s="7" t="s">
        <v>1774</v>
      </c>
      <c r="G693" s="7" t="n">
        <v>2018</v>
      </c>
      <c r="H693" s="7" t="s">
        <v>48</v>
      </c>
      <c r="I693" s="7" t="s">
        <v>1779</v>
      </c>
      <c r="J693" s="7" t="s">
        <v>304</v>
      </c>
      <c r="K693" s="7" t="n">
        <f aca="false">IFERROR(VALUE(RIGHT(TRIM(F693),4)),"")</f>
        <v>2018</v>
      </c>
      <c r="L693" s="7" t="str">
        <f aca="false">IF(TRIM(E693)="","Unknown",IFERROR(LEFT(TRIM(E693),FIND(",",TRIM(E693))-1),TRIM(E693)))</f>
        <v>India</v>
      </c>
      <c r="M693" s="7" t="str">
        <f aca="false">IFERROR(LEFT(J693,FIND(",",J693)-1),J693)</f>
        <v>Dramas</v>
      </c>
      <c r="N693" s="7" t="n">
        <f aca="false">IF(B693="Movie",IFERROR(VALUE(LEFT(I693,FIND(" ",I693)-1)),""),"")</f>
        <v>159</v>
      </c>
      <c r="O693" s="7" t="str">
        <f aca="false">IF(B693="TV Show",IFERROR(VALUE(LEFT(I693,FIND(" ",I693)-1)),""),"")</f>
        <v/>
      </c>
      <c r="P693" s="7" t="n">
        <f aca="false">IF(K693="","",K693-G693)</f>
        <v>0</v>
      </c>
    </row>
    <row r="694" customFormat="false" ht="15" hidden="false" customHeight="false" outlineLevel="0" collapsed="false">
      <c r="A694" s="7" t="n">
        <v>80241004</v>
      </c>
      <c r="B694" s="7" t="s">
        <v>78</v>
      </c>
      <c r="C694" s="7" t="s">
        <v>1780</v>
      </c>
      <c r="E694" s="7" t="s">
        <v>28</v>
      </c>
      <c r="F694" s="7" t="s">
        <v>1774</v>
      </c>
      <c r="G694" s="7" t="n">
        <v>2018</v>
      </c>
      <c r="H694" s="7" t="s">
        <v>48</v>
      </c>
      <c r="I694" s="7" t="s">
        <v>82</v>
      </c>
      <c r="J694" s="7" t="s">
        <v>716</v>
      </c>
      <c r="K694" s="7" t="n">
        <f aca="false">IFERROR(VALUE(RIGHT(TRIM(F694),4)),"")</f>
        <v>2018</v>
      </c>
      <c r="L694" s="7" t="str">
        <f aca="false">IF(TRIM(E694)="","Unknown",IFERROR(LEFT(TRIM(E694),FIND(",",TRIM(E694))-1),TRIM(E694)))</f>
        <v>United Kingdom</v>
      </c>
      <c r="M694" s="7" t="str">
        <f aca="false">IFERROR(LEFT(J694,FIND(",",J694)-1),J694)</f>
        <v>British TV Shows</v>
      </c>
      <c r="N694" s="7" t="str">
        <f aca="false">IF(B694="Movie",IFERROR(VALUE(LEFT(I694,FIND(" ",I694)-1)),""),"")</f>
        <v/>
      </c>
      <c r="O694" s="7" t="n">
        <f aca="false">IF(B694="TV Show",IFERROR(VALUE(LEFT(I694,FIND(" ",I694)-1)),""),"")</f>
        <v>1</v>
      </c>
      <c r="P694" s="7" t="n">
        <f aca="false">IF(K694="","",K694-G694)</f>
        <v>0</v>
      </c>
    </row>
    <row r="695" customFormat="false" ht="15" hidden="false" customHeight="false" outlineLevel="0" collapsed="false">
      <c r="A695" s="7" t="n">
        <v>80201824</v>
      </c>
      <c r="B695" s="7" t="s">
        <v>68</v>
      </c>
      <c r="C695" s="7" t="s">
        <v>1781</v>
      </c>
      <c r="D695" s="7" t="s">
        <v>1782</v>
      </c>
      <c r="E695" s="7" t="s">
        <v>27</v>
      </c>
      <c r="F695" s="7" t="s">
        <v>1783</v>
      </c>
      <c r="G695" s="7" t="n">
        <v>2016</v>
      </c>
      <c r="H695" s="7" t="s">
        <v>48</v>
      </c>
      <c r="I695" s="7" t="s">
        <v>268</v>
      </c>
      <c r="J695" s="7" t="s">
        <v>358</v>
      </c>
      <c r="K695" s="7" t="n">
        <f aca="false">IFERROR(VALUE(RIGHT(TRIM(F695),4)),"")</f>
        <v>2017</v>
      </c>
      <c r="L695" s="7" t="str">
        <f aca="false">IF(TRIM(E695)="","Unknown",IFERROR(LEFT(TRIM(E695),FIND(",",TRIM(E695))-1),TRIM(E695)))</f>
        <v>India</v>
      </c>
      <c r="M695" s="7" t="str">
        <f aca="false">IFERROR(LEFT(J695,FIND(",",J695)-1),J695)</f>
        <v>International Movies</v>
      </c>
      <c r="N695" s="7" t="n">
        <f aca="false">IF(B695="Movie",IFERROR(VALUE(LEFT(I695,FIND(" ",I695)-1)),""),"")</f>
        <v>108</v>
      </c>
      <c r="O695" s="7" t="str">
        <f aca="false">IF(B695="TV Show",IFERROR(VALUE(LEFT(I695,FIND(" ",I695)-1)),""),"")</f>
        <v/>
      </c>
      <c r="P695" s="7" t="n">
        <f aca="false">IF(K695="","",K695-G695)</f>
        <v>1</v>
      </c>
    </row>
    <row r="696" customFormat="false" ht="15" hidden="false" customHeight="false" outlineLevel="0" collapsed="false">
      <c r="A696" s="7" t="n">
        <v>80203782</v>
      </c>
      <c r="B696" s="7" t="s">
        <v>68</v>
      </c>
      <c r="C696" s="7" t="s">
        <v>1784</v>
      </c>
      <c r="D696" s="7" t="s">
        <v>1785</v>
      </c>
      <c r="E696" s="7" t="s">
        <v>27</v>
      </c>
      <c r="F696" s="7" t="s">
        <v>1783</v>
      </c>
      <c r="G696" s="7" t="n">
        <v>2015</v>
      </c>
      <c r="H696" s="7" t="s">
        <v>49</v>
      </c>
      <c r="I696" s="7" t="s">
        <v>378</v>
      </c>
      <c r="J696" s="7" t="s">
        <v>188</v>
      </c>
      <c r="K696" s="7" t="n">
        <f aca="false">IFERROR(VALUE(RIGHT(TRIM(F696),4)),"")</f>
        <v>2017</v>
      </c>
      <c r="L696" s="7" t="str">
        <f aca="false">IF(TRIM(E696)="","Unknown",IFERROR(LEFT(TRIM(E696),FIND(",",TRIM(E696))-1),TRIM(E696)))</f>
        <v>India</v>
      </c>
      <c r="M696" s="7" t="str">
        <f aca="false">IFERROR(LEFT(J696,FIND(",",J696)-1),J696)</f>
        <v>Dramas</v>
      </c>
      <c r="N696" s="7" t="n">
        <f aca="false">IF(B696="Movie",IFERROR(VALUE(LEFT(I696,FIND(" ",I696)-1)),""),"")</f>
        <v>127</v>
      </c>
      <c r="O696" s="7" t="str">
        <f aca="false">IF(B696="TV Show",IFERROR(VALUE(LEFT(I696,FIND(" ",I696)-1)),""),"")</f>
        <v/>
      </c>
      <c r="P696" s="7" t="n">
        <f aca="false">IF(K696="","",K696-G696)</f>
        <v>2</v>
      </c>
    </row>
    <row r="697" customFormat="false" ht="15" hidden="false" customHeight="false" outlineLevel="0" collapsed="false">
      <c r="A697" s="7" t="n">
        <v>80201829</v>
      </c>
      <c r="B697" s="7" t="s">
        <v>68</v>
      </c>
      <c r="C697" s="7" t="s">
        <v>1786</v>
      </c>
      <c r="D697" s="7" t="s">
        <v>1787</v>
      </c>
      <c r="E697" s="7" t="s">
        <v>27</v>
      </c>
      <c r="F697" s="7" t="s">
        <v>1783</v>
      </c>
      <c r="G697" s="7" t="n">
        <v>2013</v>
      </c>
      <c r="H697" s="7" t="s">
        <v>49</v>
      </c>
      <c r="I697" s="7" t="s">
        <v>378</v>
      </c>
      <c r="J697" s="7" t="s">
        <v>182</v>
      </c>
      <c r="K697" s="7" t="n">
        <f aca="false">IFERROR(VALUE(RIGHT(TRIM(F697),4)),"")</f>
        <v>2017</v>
      </c>
      <c r="L697" s="7" t="str">
        <f aca="false">IF(TRIM(E697)="","Unknown",IFERROR(LEFT(TRIM(E697),FIND(",",TRIM(E697))-1),TRIM(E697)))</f>
        <v>India</v>
      </c>
      <c r="M697" s="7" t="str">
        <f aca="false">IFERROR(LEFT(J697,FIND(",",J697)-1),J697)</f>
        <v>Dramas</v>
      </c>
      <c r="N697" s="7" t="n">
        <f aca="false">IF(B697="Movie",IFERROR(VALUE(LEFT(I697,FIND(" ",I697)-1)),""),"")</f>
        <v>127</v>
      </c>
      <c r="O697" s="7" t="str">
        <f aca="false">IF(B697="TV Show",IFERROR(VALUE(LEFT(I697,FIND(" ",I697)-1)),""),"")</f>
        <v/>
      </c>
      <c r="P697" s="7" t="n">
        <f aca="false">IF(K697="","",K697-G697)</f>
        <v>4</v>
      </c>
    </row>
    <row r="698" customFormat="false" ht="15" hidden="false" customHeight="false" outlineLevel="0" collapsed="false">
      <c r="A698" s="7" t="n">
        <v>80126016</v>
      </c>
      <c r="B698" s="7" t="s">
        <v>68</v>
      </c>
      <c r="C698" s="7" t="s">
        <v>1788</v>
      </c>
      <c r="D698" s="7" t="s">
        <v>1789</v>
      </c>
      <c r="E698" s="7" t="s">
        <v>1790</v>
      </c>
      <c r="F698" s="7" t="s">
        <v>1783</v>
      </c>
      <c r="G698" s="7" t="n">
        <v>2015</v>
      </c>
      <c r="H698" s="7" t="s">
        <v>48</v>
      </c>
      <c r="I698" s="7" t="s">
        <v>73</v>
      </c>
      <c r="J698" s="7" t="s">
        <v>341</v>
      </c>
      <c r="K698" s="7" t="n">
        <f aca="false">IFERROR(VALUE(RIGHT(TRIM(F698),4)),"")</f>
        <v>2017</v>
      </c>
      <c r="L698" s="7" t="str">
        <f aca="false">IF(TRIM(E698)="","Unknown",IFERROR(LEFT(TRIM(E698),FIND(",",TRIM(E698))-1),TRIM(E698)))</f>
        <v>New Zealand</v>
      </c>
      <c r="M698" s="7" t="str">
        <f aca="false">IFERROR(LEFT(J698,FIND(",",J698)-1),J698)</f>
        <v>Documentaries</v>
      </c>
      <c r="N698" s="7" t="n">
        <f aca="false">IF(B698="Movie",IFERROR(VALUE(LEFT(I698,FIND(" ",I698)-1)),""),"")</f>
        <v>90</v>
      </c>
      <c r="O698" s="7" t="str">
        <f aca="false">IF(B698="TV Show",IFERROR(VALUE(LEFT(I698,FIND(" ",I698)-1)),""),"")</f>
        <v/>
      </c>
      <c r="P698" s="7" t="n">
        <f aca="false">IF(K698="","",K698-G698)</f>
        <v>2</v>
      </c>
    </row>
    <row r="699" customFormat="false" ht="15" hidden="false" customHeight="false" outlineLevel="0" collapsed="false">
      <c r="A699" s="7" t="n">
        <v>80202089</v>
      </c>
      <c r="B699" s="7" t="s">
        <v>68</v>
      </c>
      <c r="C699" s="7" t="s">
        <v>1791</v>
      </c>
      <c r="D699" s="7" t="s">
        <v>1792</v>
      </c>
      <c r="E699" s="7" t="s">
        <v>27</v>
      </c>
      <c r="F699" s="7" t="s">
        <v>1783</v>
      </c>
      <c r="G699" s="7" t="n">
        <v>2015</v>
      </c>
      <c r="H699" s="7" t="s">
        <v>49</v>
      </c>
      <c r="I699" s="7" t="s">
        <v>235</v>
      </c>
      <c r="J699" s="7" t="s">
        <v>304</v>
      </c>
      <c r="K699" s="7" t="n">
        <f aca="false">IFERROR(VALUE(RIGHT(TRIM(F699),4)),"")</f>
        <v>2017</v>
      </c>
      <c r="L699" s="7" t="str">
        <f aca="false">IF(TRIM(E699)="","Unknown",IFERROR(LEFT(TRIM(E699),FIND(",",TRIM(E699))-1),TRIM(E699)))</f>
        <v>India</v>
      </c>
      <c r="M699" s="7" t="str">
        <f aca="false">IFERROR(LEFT(J699,FIND(",",J699)-1),J699)</f>
        <v>Dramas</v>
      </c>
      <c r="N699" s="7" t="n">
        <f aca="false">IF(B699="Movie",IFERROR(VALUE(LEFT(I699,FIND(" ",I699)-1)),""),"")</f>
        <v>126</v>
      </c>
      <c r="O699" s="7" t="str">
        <f aca="false">IF(B699="TV Show",IFERROR(VALUE(LEFT(I699,FIND(" ",I699)-1)),""),"")</f>
        <v/>
      </c>
      <c r="P699" s="7" t="n">
        <f aca="false">IF(K699="","",K699-G699)</f>
        <v>2</v>
      </c>
    </row>
    <row r="700" customFormat="false" ht="15" hidden="false" customHeight="false" outlineLevel="0" collapsed="false">
      <c r="A700" s="7" t="n">
        <v>80203789</v>
      </c>
      <c r="B700" s="7" t="s">
        <v>68</v>
      </c>
      <c r="C700" s="7" t="s">
        <v>1793</v>
      </c>
      <c r="D700" s="7" t="s">
        <v>1794</v>
      </c>
      <c r="E700" s="7" t="s">
        <v>27</v>
      </c>
      <c r="F700" s="7" t="s">
        <v>1783</v>
      </c>
      <c r="G700" s="7" t="n">
        <v>2016</v>
      </c>
      <c r="H700" s="7" t="s">
        <v>49</v>
      </c>
      <c r="I700" s="7" t="s">
        <v>505</v>
      </c>
      <c r="J700" s="7" t="s">
        <v>304</v>
      </c>
      <c r="K700" s="7" t="n">
        <f aca="false">IFERROR(VALUE(RIGHT(TRIM(F700),4)),"")</f>
        <v>2017</v>
      </c>
      <c r="L700" s="7" t="str">
        <f aca="false">IF(TRIM(E700)="","Unknown",IFERROR(LEFT(TRIM(E700),FIND(",",TRIM(E700))-1),TRIM(E700)))</f>
        <v>India</v>
      </c>
      <c r="M700" s="7" t="str">
        <f aca="false">IFERROR(LEFT(J700,FIND(",",J700)-1),J700)</f>
        <v>Dramas</v>
      </c>
      <c r="N700" s="7" t="n">
        <f aca="false">IF(B700="Movie",IFERROR(VALUE(LEFT(I700,FIND(" ",I700)-1)),""),"")</f>
        <v>121</v>
      </c>
      <c r="O700" s="7" t="str">
        <f aca="false">IF(B700="TV Show",IFERROR(VALUE(LEFT(I700,FIND(" ",I700)-1)),""),"")</f>
        <v/>
      </c>
      <c r="P700" s="7" t="n">
        <f aca="false">IF(K700="","",K700-G700)</f>
        <v>1</v>
      </c>
    </row>
    <row r="701" customFormat="false" ht="15" hidden="false" customHeight="false" outlineLevel="0" collapsed="false">
      <c r="A701" s="7" t="n">
        <v>80193423</v>
      </c>
      <c r="B701" s="7" t="s">
        <v>68</v>
      </c>
      <c r="C701" s="7" t="s">
        <v>1795</v>
      </c>
      <c r="D701" s="7" t="s">
        <v>1796</v>
      </c>
      <c r="E701" s="7" t="s">
        <v>1797</v>
      </c>
      <c r="F701" s="7" t="s">
        <v>1783</v>
      </c>
      <c r="G701" s="7" t="n">
        <v>2017</v>
      </c>
      <c r="H701" s="7" t="s">
        <v>49</v>
      </c>
      <c r="I701" s="7" t="s">
        <v>519</v>
      </c>
      <c r="J701" s="7" t="s">
        <v>341</v>
      </c>
      <c r="K701" s="7" t="n">
        <f aca="false">IFERROR(VALUE(RIGHT(TRIM(F701),4)),"")</f>
        <v>2017</v>
      </c>
      <c r="L701" s="7" t="str">
        <f aca="false">IF(TRIM(E701)="","Unknown",IFERROR(LEFT(TRIM(E701),FIND(",",TRIM(E701))-1),TRIM(E701)))</f>
        <v>Venezuela</v>
      </c>
      <c r="M701" s="7" t="str">
        <f aca="false">IFERROR(LEFT(J701,FIND(",",J701)-1),J701)</f>
        <v>Documentaries</v>
      </c>
      <c r="N701" s="7" t="n">
        <f aca="false">IF(B701="Movie",IFERROR(VALUE(LEFT(I701,FIND(" ",I701)-1)),""),"")</f>
        <v>119</v>
      </c>
      <c r="O701" s="7" t="str">
        <f aca="false">IF(B701="TV Show",IFERROR(VALUE(LEFT(I701,FIND(" ",I701)-1)),""),"")</f>
        <v/>
      </c>
      <c r="P701" s="7" t="n">
        <f aca="false">IF(K701="","",K701-G701)</f>
        <v>0</v>
      </c>
    </row>
    <row r="702" customFormat="false" ht="15" hidden="false" customHeight="false" outlineLevel="0" collapsed="false">
      <c r="A702" s="7" t="n">
        <v>80201825</v>
      </c>
      <c r="B702" s="7" t="s">
        <v>68</v>
      </c>
      <c r="C702" s="7" t="s">
        <v>1798</v>
      </c>
      <c r="D702" s="7" t="s">
        <v>1799</v>
      </c>
      <c r="E702" s="7" t="s">
        <v>27</v>
      </c>
      <c r="F702" s="7" t="s">
        <v>1783</v>
      </c>
      <c r="G702" s="7" t="n">
        <v>2015</v>
      </c>
      <c r="H702" s="7" t="s">
        <v>49</v>
      </c>
      <c r="I702" s="7" t="s">
        <v>790</v>
      </c>
      <c r="J702" s="7" t="s">
        <v>188</v>
      </c>
      <c r="K702" s="7" t="n">
        <f aca="false">IFERROR(VALUE(RIGHT(TRIM(F702),4)),"")</f>
        <v>2017</v>
      </c>
      <c r="L702" s="7" t="str">
        <f aca="false">IF(TRIM(E702)="","Unknown",IFERROR(LEFT(TRIM(E702),FIND(",",TRIM(E702))-1),TRIM(E702)))</f>
        <v>India</v>
      </c>
      <c r="M702" s="7" t="str">
        <f aca="false">IFERROR(LEFT(J702,FIND(",",J702)-1),J702)</f>
        <v>Dramas</v>
      </c>
      <c r="N702" s="7" t="n">
        <f aca="false">IF(B702="Movie",IFERROR(VALUE(LEFT(I702,FIND(" ",I702)-1)),""),"")</f>
        <v>109</v>
      </c>
      <c r="O702" s="7" t="str">
        <f aca="false">IF(B702="TV Show",IFERROR(VALUE(LEFT(I702,FIND(" ",I702)-1)),""),"")</f>
        <v/>
      </c>
      <c r="P702" s="7" t="n">
        <f aca="false">IF(K702="","",K702-G702)</f>
        <v>2</v>
      </c>
    </row>
    <row r="703" customFormat="false" ht="15" hidden="false" customHeight="false" outlineLevel="0" collapsed="false">
      <c r="A703" s="7" t="n">
        <v>80202376</v>
      </c>
      <c r="B703" s="7" t="s">
        <v>78</v>
      </c>
      <c r="C703" s="7" t="s">
        <v>1800</v>
      </c>
      <c r="D703" s="7" t="s">
        <v>1801</v>
      </c>
      <c r="E703" s="7" t="s">
        <v>1178</v>
      </c>
      <c r="F703" s="7" t="s">
        <v>1783</v>
      </c>
      <c r="G703" s="7" t="n">
        <v>2017</v>
      </c>
      <c r="H703" s="7" t="s">
        <v>55</v>
      </c>
      <c r="I703" s="7" t="s">
        <v>82</v>
      </c>
      <c r="J703" s="7" t="s">
        <v>191</v>
      </c>
      <c r="K703" s="7" t="n">
        <f aca="false">IFERROR(VALUE(RIGHT(TRIM(F703),4)),"")</f>
        <v>2017</v>
      </c>
      <c r="L703" s="7" t="str">
        <f aca="false">IF(TRIM(E703)="","Unknown",IFERROR(LEFT(TRIM(E703),FIND(",",TRIM(E703))-1),TRIM(E703)))</f>
        <v>Malaysia</v>
      </c>
      <c r="M703" s="7" t="str">
        <f aca="false">IFERROR(LEFT(J703,FIND(",",J703)-1),J703)</f>
        <v>Kids' TV</v>
      </c>
      <c r="N703" s="7" t="str">
        <f aca="false">IF(B703="Movie",IFERROR(VALUE(LEFT(I703,FIND(" ",I703)-1)),""),"")</f>
        <v/>
      </c>
      <c r="O703" s="7" t="n">
        <f aca="false">IF(B703="TV Show",IFERROR(VALUE(LEFT(I703,FIND(" ",I703)-1)),""),"")</f>
        <v>1</v>
      </c>
      <c r="P703" s="7" t="n">
        <f aca="false">IF(K703="","",K703-G703)</f>
        <v>0</v>
      </c>
    </row>
    <row r="704" customFormat="false" ht="15" hidden="false" customHeight="false" outlineLevel="0" collapsed="false">
      <c r="A704" s="7" t="n">
        <v>80028360</v>
      </c>
      <c r="B704" s="7" t="s">
        <v>68</v>
      </c>
      <c r="C704" s="7" t="s">
        <v>1802</v>
      </c>
      <c r="D704" s="7" t="s">
        <v>1803</v>
      </c>
      <c r="E704" s="7" t="s">
        <v>27</v>
      </c>
      <c r="F704" s="7" t="s">
        <v>1783</v>
      </c>
      <c r="G704" s="7" t="n">
        <v>2013</v>
      </c>
      <c r="H704" s="7" t="s">
        <v>49</v>
      </c>
      <c r="I704" s="7" t="s">
        <v>755</v>
      </c>
      <c r="J704" s="7" t="s">
        <v>188</v>
      </c>
      <c r="K704" s="7" t="n">
        <f aca="false">IFERROR(VALUE(RIGHT(TRIM(F704),4)),"")</f>
        <v>2017</v>
      </c>
      <c r="L704" s="7" t="str">
        <f aca="false">IF(TRIM(E704)="","Unknown",IFERROR(LEFT(TRIM(E704),FIND(",",TRIM(E704))-1),TRIM(E704)))</f>
        <v>India</v>
      </c>
      <c r="M704" s="7" t="str">
        <f aca="false">IFERROR(LEFT(J704,FIND(",",J704)-1),J704)</f>
        <v>Dramas</v>
      </c>
      <c r="N704" s="7" t="n">
        <f aca="false">IF(B704="Movie",IFERROR(VALUE(LEFT(I704,FIND(" ",I704)-1)),""),"")</f>
        <v>132</v>
      </c>
      <c r="O704" s="7" t="str">
        <f aca="false">IF(B704="TV Show",IFERROR(VALUE(LEFT(I704,FIND(" ",I704)-1)),""),"")</f>
        <v/>
      </c>
      <c r="P704" s="7" t="n">
        <f aca="false">IF(K704="","",K704-G704)</f>
        <v>4</v>
      </c>
    </row>
    <row r="705" customFormat="false" ht="15" hidden="false" customHeight="false" outlineLevel="0" collapsed="false">
      <c r="A705" s="7" t="n">
        <v>80203783</v>
      </c>
      <c r="B705" s="7" t="s">
        <v>68</v>
      </c>
      <c r="C705" s="7" t="s">
        <v>1804</v>
      </c>
      <c r="D705" s="7" t="s">
        <v>1805</v>
      </c>
      <c r="E705" s="7" t="s">
        <v>27</v>
      </c>
      <c r="F705" s="7" t="s">
        <v>1783</v>
      </c>
      <c r="G705" s="7" t="n">
        <v>2014</v>
      </c>
      <c r="H705" s="7" t="s">
        <v>48</v>
      </c>
      <c r="I705" s="7" t="s">
        <v>1270</v>
      </c>
      <c r="J705" s="7" t="s">
        <v>169</v>
      </c>
      <c r="K705" s="7" t="n">
        <f aca="false">IFERROR(VALUE(RIGHT(TRIM(F705),4)),"")</f>
        <v>2017</v>
      </c>
      <c r="L705" s="7" t="str">
        <f aca="false">IF(TRIM(E705)="","Unknown",IFERROR(LEFT(TRIM(E705),FIND(",",TRIM(E705))-1),TRIM(E705)))</f>
        <v>India</v>
      </c>
      <c r="M705" s="7" t="str">
        <f aca="false">IFERROR(LEFT(J705,FIND(",",J705)-1),J705)</f>
        <v>Horror Movies</v>
      </c>
      <c r="N705" s="7" t="n">
        <f aca="false">IF(B705="Movie",IFERROR(VALUE(LEFT(I705,FIND(" ",I705)-1)),""),"")</f>
        <v>118</v>
      </c>
      <c r="O705" s="7" t="str">
        <f aca="false">IF(B705="TV Show",IFERROR(VALUE(LEFT(I705,FIND(" ",I705)-1)),""),"")</f>
        <v/>
      </c>
      <c r="P705" s="7" t="n">
        <f aca="false">IF(K705="","",K705-G705)</f>
        <v>3</v>
      </c>
    </row>
    <row r="706" customFormat="false" ht="15" hidden="false" customHeight="false" outlineLevel="0" collapsed="false">
      <c r="A706" s="7" t="n">
        <v>80142617</v>
      </c>
      <c r="B706" s="7" t="s">
        <v>68</v>
      </c>
      <c r="C706" s="7" t="s">
        <v>1806</v>
      </c>
      <c r="D706" s="7" t="s">
        <v>1807</v>
      </c>
      <c r="E706" s="7" t="s">
        <v>1808</v>
      </c>
      <c r="F706" s="7" t="s">
        <v>1783</v>
      </c>
      <c r="G706" s="7" t="n">
        <v>2016</v>
      </c>
      <c r="H706" s="7" t="s">
        <v>51</v>
      </c>
      <c r="I706" s="7" t="s">
        <v>613</v>
      </c>
      <c r="J706" s="7" t="s">
        <v>811</v>
      </c>
      <c r="K706" s="7" t="n">
        <f aca="false">IFERROR(VALUE(RIGHT(TRIM(F706),4)),"")</f>
        <v>2017</v>
      </c>
      <c r="L706" s="7" t="str">
        <f aca="false">IF(TRIM(E706)="","Unknown",IFERROR(LEFT(TRIM(E706),FIND(",",TRIM(E706))-1),TRIM(E706)))</f>
        <v>United States</v>
      </c>
      <c r="M706" s="7" t="str">
        <f aca="false">IFERROR(LEFT(J706,FIND(",",J706)-1),J706)</f>
        <v>Thrillers</v>
      </c>
      <c r="N706" s="7" t="n">
        <f aca="false">IF(B706="Movie",IFERROR(VALUE(LEFT(I706,FIND(" ",I706)-1)),""),"")</f>
        <v>84</v>
      </c>
      <c r="O706" s="7" t="str">
        <f aca="false">IF(B706="TV Show",IFERROR(VALUE(LEFT(I706,FIND(" ",I706)-1)),""),"")</f>
        <v/>
      </c>
      <c r="P706" s="7" t="n">
        <f aca="false">IF(K706="","",K706-G706)</f>
        <v>1</v>
      </c>
    </row>
    <row r="707" customFormat="false" ht="15" hidden="false" customHeight="false" outlineLevel="0" collapsed="false">
      <c r="A707" s="7" t="n">
        <v>80201823</v>
      </c>
      <c r="B707" s="7" t="s">
        <v>68</v>
      </c>
      <c r="C707" s="7" t="s">
        <v>1809</v>
      </c>
      <c r="D707" s="7" t="s">
        <v>1810</v>
      </c>
      <c r="E707" s="7" t="s">
        <v>27</v>
      </c>
      <c r="F707" s="7" t="s">
        <v>1783</v>
      </c>
      <c r="G707" s="7" t="n">
        <v>2016</v>
      </c>
      <c r="H707" s="7" t="s">
        <v>48</v>
      </c>
      <c r="I707" s="7" t="s">
        <v>272</v>
      </c>
      <c r="J707" s="7" t="s">
        <v>1042</v>
      </c>
      <c r="K707" s="7" t="n">
        <f aca="false">IFERROR(VALUE(RIGHT(TRIM(F707),4)),"")</f>
        <v>2017</v>
      </c>
      <c r="L707" s="7" t="str">
        <f aca="false">IF(TRIM(E707)="","Unknown",IFERROR(LEFT(TRIM(E707),FIND(",",TRIM(E707))-1),TRIM(E707)))</f>
        <v>India</v>
      </c>
      <c r="M707" s="7" t="str">
        <f aca="false">IFERROR(LEFT(J707,FIND(",",J707)-1),J707)</f>
        <v>Dramas</v>
      </c>
      <c r="N707" s="7" t="n">
        <f aca="false">IF(B707="Movie",IFERROR(VALUE(LEFT(I707,FIND(" ",I707)-1)),""),"")</f>
        <v>93</v>
      </c>
      <c r="O707" s="7" t="str">
        <f aca="false">IF(B707="TV Show",IFERROR(VALUE(LEFT(I707,FIND(" ",I707)-1)),""),"")</f>
        <v/>
      </c>
      <c r="P707" s="7" t="n">
        <f aca="false">IF(K707="","",K707-G707)</f>
        <v>1</v>
      </c>
    </row>
    <row r="708" customFormat="false" ht="15" hidden="false" customHeight="false" outlineLevel="0" collapsed="false">
      <c r="A708" s="7" t="n">
        <v>80190841</v>
      </c>
      <c r="B708" s="7" t="s">
        <v>68</v>
      </c>
      <c r="C708" s="7" t="s">
        <v>1811</v>
      </c>
      <c r="D708" s="7" t="s">
        <v>1812</v>
      </c>
      <c r="E708" s="7" t="s">
        <v>1813</v>
      </c>
      <c r="F708" s="7" t="s">
        <v>1783</v>
      </c>
      <c r="G708" s="7" t="n">
        <v>2017</v>
      </c>
      <c r="H708" s="7" t="s">
        <v>48</v>
      </c>
      <c r="I708" s="7" t="s">
        <v>138</v>
      </c>
      <c r="J708" s="7" t="s">
        <v>188</v>
      </c>
      <c r="K708" s="7" t="n">
        <f aca="false">IFERROR(VALUE(RIGHT(TRIM(F708),4)),"")</f>
        <v>2017</v>
      </c>
      <c r="L708" s="7" t="str">
        <f aca="false">IF(TRIM(E708)="","Unknown",IFERROR(LEFT(TRIM(E708),FIND(",",TRIM(E708))-1),TRIM(E708)))</f>
        <v>Australia</v>
      </c>
      <c r="M708" s="7" t="str">
        <f aca="false">IFERROR(LEFT(J708,FIND(",",J708)-1),J708)</f>
        <v>Dramas</v>
      </c>
      <c r="N708" s="7" t="n">
        <f aca="false">IF(B708="Movie",IFERROR(VALUE(LEFT(I708,FIND(" ",I708)-1)),""),"")</f>
        <v>96</v>
      </c>
      <c r="O708" s="7" t="str">
        <f aca="false">IF(B708="TV Show",IFERROR(VALUE(LEFT(I708,FIND(" ",I708)-1)),""),"")</f>
        <v/>
      </c>
      <c r="P708" s="7" t="n">
        <f aca="false">IF(K708="","",K708-G708)</f>
        <v>0</v>
      </c>
    </row>
    <row r="709" customFormat="false" ht="15" hidden="false" customHeight="false" outlineLevel="0" collapsed="false">
      <c r="A709" s="7" t="n">
        <v>80115858</v>
      </c>
      <c r="B709" s="7" t="s">
        <v>68</v>
      </c>
      <c r="C709" s="7" t="s">
        <v>1814</v>
      </c>
      <c r="D709" s="7" t="s">
        <v>1815</v>
      </c>
      <c r="E709" s="7" t="s">
        <v>1816</v>
      </c>
      <c r="F709" s="7" t="s">
        <v>1783</v>
      </c>
      <c r="G709" s="7" t="n">
        <v>2016</v>
      </c>
      <c r="H709" s="7" t="s">
        <v>50</v>
      </c>
      <c r="I709" s="7" t="s">
        <v>1817</v>
      </c>
      <c r="J709" s="7" t="s">
        <v>139</v>
      </c>
      <c r="K709" s="7" t="n">
        <f aca="false">IFERROR(VALUE(RIGHT(TRIM(F709),4)),"")</f>
        <v>2017</v>
      </c>
      <c r="L709" s="7" t="str">
        <f aca="false">IF(TRIM(E709)="","Unknown",IFERROR(LEFT(TRIM(E709),FIND(",",TRIM(E709))-1),TRIM(E709)))</f>
        <v>Australia</v>
      </c>
      <c r="M709" s="7" t="str">
        <f aca="false">IFERROR(LEFT(J709,FIND(",",J709)-1),J709)</f>
        <v>Action &amp; Adventure</v>
      </c>
      <c r="N709" s="7" t="n">
        <f aca="false">IF(B709="Movie",IFERROR(VALUE(LEFT(I709,FIND(" ",I709)-1)),""),"")</f>
        <v>145</v>
      </c>
      <c r="O709" s="7" t="str">
        <f aca="false">IF(B709="TV Show",IFERROR(VALUE(LEFT(I709,FIND(" ",I709)-1)),""),"")</f>
        <v/>
      </c>
      <c r="P709" s="7" t="n">
        <f aca="false">IF(K709="","",K709-G709)</f>
        <v>1</v>
      </c>
    </row>
    <row r="710" customFormat="false" ht="15" hidden="false" customHeight="false" outlineLevel="0" collapsed="false">
      <c r="A710" s="7" t="n">
        <v>80183199</v>
      </c>
      <c r="B710" s="7" t="s">
        <v>78</v>
      </c>
      <c r="C710" s="7" t="s">
        <v>1818</v>
      </c>
      <c r="E710" s="7" t="s">
        <v>31</v>
      </c>
      <c r="F710" s="7" t="s">
        <v>1783</v>
      </c>
      <c r="G710" s="7" t="n">
        <v>2017</v>
      </c>
      <c r="H710" s="7" t="s">
        <v>226</v>
      </c>
      <c r="I710" s="7" t="s">
        <v>82</v>
      </c>
      <c r="J710" s="7" t="s">
        <v>44</v>
      </c>
      <c r="K710" s="7" t="n">
        <f aca="false">IFERROR(VALUE(RIGHT(TRIM(F710),4)),"")</f>
        <v>2017</v>
      </c>
      <c r="L710" s="7" t="str">
        <f aca="false">IF(TRIM(E710)="","Unknown",IFERROR(LEFT(TRIM(E710),FIND(",",TRIM(E710))-1),TRIM(E710)))</f>
        <v>France</v>
      </c>
      <c r="M710" s="7" t="str">
        <f aca="false">IFERROR(LEFT(J710,FIND(",",J710)-1),J710)</f>
        <v>Kids' TV</v>
      </c>
      <c r="N710" s="7" t="str">
        <f aca="false">IF(B710="Movie",IFERROR(VALUE(LEFT(I710,FIND(" ",I710)-1)),""),"")</f>
        <v/>
      </c>
      <c r="O710" s="7" t="n">
        <f aca="false">IF(B710="TV Show",IFERROR(VALUE(LEFT(I710,FIND(" ",I710)-1)),""),"")</f>
        <v>1</v>
      </c>
      <c r="P710" s="7" t="n">
        <f aca="false">IF(K710="","",K710-G710)</f>
        <v>0</v>
      </c>
    </row>
    <row r="711" customFormat="false" ht="15" hidden="false" customHeight="false" outlineLevel="0" collapsed="false">
      <c r="A711" s="7" t="n">
        <v>80158547</v>
      </c>
      <c r="B711" s="7" t="s">
        <v>68</v>
      </c>
      <c r="C711" s="7" t="s">
        <v>1819</v>
      </c>
      <c r="D711" s="7" t="s">
        <v>1820</v>
      </c>
      <c r="E711" s="7" t="s">
        <v>1821</v>
      </c>
      <c r="F711" s="7" t="s">
        <v>1783</v>
      </c>
      <c r="G711" s="7" t="n">
        <v>1960</v>
      </c>
      <c r="H711" s="7" t="s">
        <v>50</v>
      </c>
      <c r="I711" s="7" t="s">
        <v>1822</v>
      </c>
      <c r="J711" s="7" t="s">
        <v>217</v>
      </c>
      <c r="K711" s="7" t="n">
        <f aca="false">IFERROR(VALUE(RIGHT(TRIM(F711),4)),"")</f>
        <v>2017</v>
      </c>
      <c r="L711" s="7" t="str">
        <f aca="false">IF(TRIM(E711)="","Unknown",IFERROR(LEFT(TRIM(E711),FIND(",",TRIM(E711))-1),TRIM(E711)))</f>
        <v>India</v>
      </c>
      <c r="M711" s="7" t="str">
        <f aca="false">IFERROR(LEFT(J711,FIND(",",J711)-1),J711)</f>
        <v>Comedies</v>
      </c>
      <c r="N711" s="7" t="n">
        <f aca="false">IF(B711="Movie",IFERROR(VALUE(LEFT(I711,FIND(" ",I711)-1)),""),"")</f>
        <v>158</v>
      </c>
      <c r="O711" s="7" t="str">
        <f aca="false">IF(B711="TV Show",IFERROR(VALUE(LEFT(I711,FIND(" ",I711)-1)),""),"")</f>
        <v/>
      </c>
      <c r="P711" s="7" t="n">
        <f aca="false">IF(K711="","",K711-G711)</f>
        <v>57</v>
      </c>
    </row>
    <row r="712" customFormat="false" ht="15" hidden="false" customHeight="false" outlineLevel="0" collapsed="false">
      <c r="A712" s="7" t="n">
        <v>80206827</v>
      </c>
      <c r="B712" s="7" t="s">
        <v>68</v>
      </c>
      <c r="C712" s="7" t="s">
        <v>1823</v>
      </c>
      <c r="D712" s="7" t="s">
        <v>1824</v>
      </c>
      <c r="E712" s="7" t="s">
        <v>27</v>
      </c>
      <c r="F712" s="7" t="s">
        <v>1783</v>
      </c>
      <c r="G712" s="7" t="n">
        <v>2017</v>
      </c>
      <c r="H712" s="7" t="s">
        <v>50</v>
      </c>
      <c r="I712" s="7" t="s">
        <v>755</v>
      </c>
      <c r="J712" s="7" t="s">
        <v>206</v>
      </c>
      <c r="K712" s="7" t="n">
        <f aca="false">IFERROR(VALUE(RIGHT(TRIM(F712),4)),"")</f>
        <v>2017</v>
      </c>
      <c r="L712" s="7" t="str">
        <f aca="false">IF(TRIM(E712)="","Unknown",IFERROR(LEFT(TRIM(E712),FIND(",",TRIM(E712))-1),TRIM(E712)))</f>
        <v>India</v>
      </c>
      <c r="M712" s="7" t="str">
        <f aca="false">IFERROR(LEFT(J712,FIND(",",J712)-1),J712)</f>
        <v>Comedies</v>
      </c>
      <c r="N712" s="7" t="n">
        <f aca="false">IF(B712="Movie",IFERROR(VALUE(LEFT(I712,FIND(" ",I712)-1)),""),"")</f>
        <v>132</v>
      </c>
      <c r="O712" s="7" t="str">
        <f aca="false">IF(B712="TV Show",IFERROR(VALUE(LEFT(I712,FIND(" ",I712)-1)),""),"")</f>
        <v/>
      </c>
      <c r="P712" s="7" t="n">
        <f aca="false">IF(K712="","",K712-G712)</f>
        <v>0</v>
      </c>
    </row>
    <row r="713" customFormat="false" ht="15" hidden="false" customHeight="false" outlineLevel="0" collapsed="false">
      <c r="A713" s="7" t="n">
        <v>80202090</v>
      </c>
      <c r="B713" s="7" t="s">
        <v>68</v>
      </c>
      <c r="C713" s="7" t="s">
        <v>1825</v>
      </c>
      <c r="D713" s="7" t="s">
        <v>1826</v>
      </c>
      <c r="E713" s="7" t="s">
        <v>27</v>
      </c>
      <c r="F713" s="7" t="s">
        <v>1783</v>
      </c>
      <c r="G713" s="7" t="n">
        <v>2014</v>
      </c>
      <c r="H713" s="7" t="s">
        <v>48</v>
      </c>
      <c r="I713" s="7" t="s">
        <v>326</v>
      </c>
      <c r="J713" s="7" t="s">
        <v>1827</v>
      </c>
      <c r="K713" s="7" t="n">
        <f aca="false">IFERROR(VALUE(RIGHT(TRIM(F713),4)),"")</f>
        <v>2017</v>
      </c>
      <c r="L713" s="7" t="str">
        <f aca="false">IF(TRIM(E713)="","Unknown",IFERROR(LEFT(TRIM(E713),FIND(",",TRIM(E713))-1),TRIM(E713)))</f>
        <v>India</v>
      </c>
      <c r="M713" s="7" t="str">
        <f aca="false">IFERROR(LEFT(J713,FIND(",",J713)-1),J713)</f>
        <v>Action &amp; Adventure</v>
      </c>
      <c r="N713" s="7" t="n">
        <f aca="false">IF(B713="Movie",IFERROR(VALUE(LEFT(I713,FIND(" ",I713)-1)),""),"")</f>
        <v>111</v>
      </c>
      <c r="O713" s="7" t="str">
        <f aca="false">IF(B713="TV Show",IFERROR(VALUE(LEFT(I713,FIND(" ",I713)-1)),""),"")</f>
        <v/>
      </c>
      <c r="P713" s="7" t="n">
        <f aca="false">IF(K713="","",K713-G713)</f>
        <v>3</v>
      </c>
    </row>
    <row r="714" customFormat="false" ht="15" hidden="false" customHeight="false" outlineLevel="0" collapsed="false">
      <c r="A714" s="7" t="n">
        <v>80203790</v>
      </c>
      <c r="B714" s="7" t="s">
        <v>68</v>
      </c>
      <c r="C714" s="7" t="s">
        <v>1828</v>
      </c>
      <c r="D714" s="7" t="s">
        <v>1829</v>
      </c>
      <c r="E714" s="7" t="s">
        <v>27</v>
      </c>
      <c r="F714" s="7" t="s">
        <v>1783</v>
      </c>
      <c r="G714" s="7" t="n">
        <v>2016</v>
      </c>
      <c r="H714" s="7" t="s">
        <v>50</v>
      </c>
      <c r="I714" s="7" t="s">
        <v>201</v>
      </c>
      <c r="J714" s="7" t="s">
        <v>206</v>
      </c>
      <c r="K714" s="7" t="n">
        <f aca="false">IFERROR(VALUE(RIGHT(TRIM(F714),4)),"")</f>
        <v>2017</v>
      </c>
      <c r="L714" s="7" t="str">
        <f aca="false">IF(TRIM(E714)="","Unknown",IFERROR(LEFT(TRIM(E714),FIND(",",TRIM(E714))-1),TRIM(E714)))</f>
        <v>India</v>
      </c>
      <c r="M714" s="7" t="str">
        <f aca="false">IFERROR(LEFT(J714,FIND(",",J714)-1),J714)</f>
        <v>Comedies</v>
      </c>
      <c r="N714" s="7" t="n">
        <f aca="false">IF(B714="Movie",IFERROR(VALUE(LEFT(I714,FIND(" ",I714)-1)),""),"")</f>
        <v>133</v>
      </c>
      <c r="O714" s="7" t="str">
        <f aca="false">IF(B714="TV Show",IFERROR(VALUE(LEFT(I714,FIND(" ",I714)-1)),""),"")</f>
        <v/>
      </c>
      <c r="P714" s="7" t="n">
        <f aca="false">IF(K714="","",K714-G714)</f>
        <v>1</v>
      </c>
    </row>
    <row r="715" customFormat="false" ht="15" hidden="false" customHeight="false" outlineLevel="0" collapsed="false">
      <c r="A715" s="7" t="n">
        <v>80158391</v>
      </c>
      <c r="B715" s="7" t="s">
        <v>68</v>
      </c>
      <c r="C715" s="7" t="s">
        <v>1830</v>
      </c>
      <c r="D715" s="7" t="s">
        <v>1831</v>
      </c>
      <c r="E715" s="7" t="s">
        <v>27</v>
      </c>
      <c r="F715" s="7" t="s">
        <v>1783</v>
      </c>
      <c r="G715" s="7" t="n">
        <v>1959</v>
      </c>
      <c r="H715" s="7" t="s">
        <v>50</v>
      </c>
      <c r="I715" s="7" t="s">
        <v>1832</v>
      </c>
      <c r="J715" s="7" t="s">
        <v>304</v>
      </c>
      <c r="K715" s="7" t="n">
        <f aca="false">IFERROR(VALUE(RIGHT(TRIM(F715),4)),"")</f>
        <v>2017</v>
      </c>
      <c r="L715" s="7" t="str">
        <f aca="false">IF(TRIM(E715)="","Unknown",IFERROR(LEFT(TRIM(E715),FIND(",",TRIM(E715))-1),TRIM(E715)))</f>
        <v>India</v>
      </c>
      <c r="M715" s="7" t="str">
        <f aca="false">IFERROR(LEFT(J715,FIND(",",J715)-1),J715)</f>
        <v>Dramas</v>
      </c>
      <c r="N715" s="7" t="n">
        <f aca="false">IF(B715="Movie",IFERROR(VALUE(LEFT(I715,FIND(" ",I715)-1)),""),"")</f>
        <v>143</v>
      </c>
      <c r="O715" s="7" t="str">
        <f aca="false">IF(B715="TV Show",IFERROR(VALUE(LEFT(I715,FIND(" ",I715)-1)),""),"")</f>
        <v/>
      </c>
      <c r="P715" s="7" t="n">
        <f aca="false">IF(K715="","",K715-G715)</f>
        <v>58</v>
      </c>
    </row>
    <row r="716" customFormat="false" ht="15" hidden="false" customHeight="false" outlineLevel="0" collapsed="false">
      <c r="A716" s="7" t="n">
        <v>80201822</v>
      </c>
      <c r="B716" s="7" t="s">
        <v>68</v>
      </c>
      <c r="C716" s="7" t="s">
        <v>1833</v>
      </c>
      <c r="D716" s="7" t="s">
        <v>1834</v>
      </c>
      <c r="E716" s="7" t="s">
        <v>27</v>
      </c>
      <c r="F716" s="7" t="s">
        <v>1783</v>
      </c>
      <c r="G716" s="7" t="n">
        <v>2016</v>
      </c>
      <c r="H716" s="7" t="s">
        <v>49</v>
      </c>
      <c r="I716" s="7" t="s">
        <v>386</v>
      </c>
      <c r="J716" s="7" t="s">
        <v>112</v>
      </c>
      <c r="K716" s="7" t="n">
        <f aca="false">IFERROR(VALUE(RIGHT(TRIM(F716),4)),"")</f>
        <v>2017</v>
      </c>
      <c r="L716" s="7" t="str">
        <f aca="false">IF(TRIM(E716)="","Unknown",IFERROR(LEFT(TRIM(E716),FIND(",",TRIM(E716))-1),TRIM(E716)))</f>
        <v>India</v>
      </c>
      <c r="M716" s="7" t="str">
        <f aca="false">IFERROR(LEFT(J716,FIND(",",J716)-1),J716)</f>
        <v>Action &amp; Adventure</v>
      </c>
      <c r="N716" s="7" t="n">
        <f aca="false">IF(B716="Movie",IFERROR(VALUE(LEFT(I716,FIND(" ",I716)-1)),""),"")</f>
        <v>117</v>
      </c>
      <c r="O716" s="7" t="str">
        <f aca="false">IF(B716="TV Show",IFERROR(VALUE(LEFT(I716,FIND(" ",I716)-1)),""),"")</f>
        <v/>
      </c>
      <c r="P716" s="7" t="n">
        <f aca="false">IF(K716="","",K716-G716)</f>
        <v>1</v>
      </c>
    </row>
    <row r="717" customFormat="false" ht="15" hidden="false" customHeight="false" outlineLevel="0" collapsed="false">
      <c r="A717" s="7" t="n">
        <v>80211540</v>
      </c>
      <c r="B717" s="7" t="s">
        <v>68</v>
      </c>
      <c r="C717" s="7" t="s">
        <v>1835</v>
      </c>
      <c r="D717" s="7" t="s">
        <v>1836</v>
      </c>
      <c r="E717" s="7" t="s">
        <v>1837</v>
      </c>
      <c r="F717" s="7" t="s">
        <v>1783</v>
      </c>
      <c r="G717" s="7" t="n">
        <v>2016</v>
      </c>
      <c r="H717" s="7" t="s">
        <v>48</v>
      </c>
      <c r="I717" s="7" t="s">
        <v>613</v>
      </c>
      <c r="J717" s="7" t="s">
        <v>39</v>
      </c>
      <c r="K717" s="7" t="n">
        <f aca="false">IFERROR(VALUE(RIGHT(TRIM(F717),4)),"")</f>
        <v>2017</v>
      </c>
      <c r="L717" s="7" t="str">
        <f aca="false">IF(TRIM(E717)="","Unknown",IFERROR(LEFT(TRIM(E717),FIND(",",TRIM(E717))-1),TRIM(E717)))</f>
        <v>Canada</v>
      </c>
      <c r="M717" s="7" t="str">
        <f aca="false">IFERROR(LEFT(J717,FIND(",",J717)-1),J717)</f>
        <v>Documentaries</v>
      </c>
      <c r="N717" s="7" t="n">
        <f aca="false">IF(B717="Movie",IFERROR(VALUE(LEFT(I717,FIND(" ",I717)-1)),""),"")</f>
        <v>84</v>
      </c>
      <c r="O717" s="7" t="str">
        <f aca="false">IF(B717="TV Show",IFERROR(VALUE(LEFT(I717,FIND(" ",I717)-1)),""),"")</f>
        <v/>
      </c>
      <c r="P717" s="7" t="n">
        <f aca="false">IF(K717="","",K717-G717)</f>
        <v>1</v>
      </c>
    </row>
    <row r="718" customFormat="false" ht="15" hidden="false" customHeight="false" outlineLevel="0" collapsed="false">
      <c r="A718" s="7" t="n">
        <v>80123743</v>
      </c>
      <c r="B718" s="7" t="s">
        <v>68</v>
      </c>
      <c r="C718" s="7" t="s">
        <v>1838</v>
      </c>
      <c r="D718" s="7" t="s">
        <v>1839</v>
      </c>
      <c r="E718" s="7" t="s">
        <v>31</v>
      </c>
      <c r="F718" s="7" t="s">
        <v>1840</v>
      </c>
      <c r="G718" s="7" t="n">
        <v>2016</v>
      </c>
      <c r="H718" s="7" t="s">
        <v>49</v>
      </c>
      <c r="I718" s="7" t="s">
        <v>451</v>
      </c>
      <c r="J718" s="7" t="s">
        <v>1841</v>
      </c>
      <c r="K718" s="7" t="n">
        <f aca="false">IFERROR(VALUE(RIGHT(TRIM(F718),4)),"")</f>
        <v>2016</v>
      </c>
      <c r="L718" s="7" t="str">
        <f aca="false">IF(TRIM(E718)="","Unknown",IFERROR(LEFT(TRIM(E718),FIND(",",TRIM(E718))-1),TRIM(E718)))</f>
        <v>France</v>
      </c>
      <c r="M718" s="7" t="str">
        <f aca="false">IFERROR(LEFT(J718,FIND(",",J718)-1),J718)</f>
        <v>Comedies</v>
      </c>
      <c r="N718" s="7" t="n">
        <f aca="false">IF(B718="Movie",IFERROR(VALUE(LEFT(I718,FIND(" ",I718)-1)),""),"")</f>
        <v>97</v>
      </c>
      <c r="O718" s="7" t="str">
        <f aca="false">IF(B718="TV Show",IFERROR(VALUE(LEFT(I718,FIND(" ",I718)-1)),""),"")</f>
        <v/>
      </c>
      <c r="P718" s="7" t="n">
        <f aca="false">IF(K718="","",K718-G718)</f>
        <v>0</v>
      </c>
    </row>
    <row r="719" customFormat="false" ht="15" hidden="false" customHeight="false" outlineLevel="0" collapsed="false">
      <c r="A719" s="7" t="n">
        <v>70258995</v>
      </c>
      <c r="B719" s="7" t="s">
        <v>68</v>
      </c>
      <c r="C719" s="7" t="s">
        <v>1842</v>
      </c>
      <c r="D719" s="7" t="s">
        <v>1031</v>
      </c>
      <c r="E719" s="7" t="s">
        <v>30</v>
      </c>
      <c r="F719" s="7" t="s">
        <v>1840</v>
      </c>
      <c r="G719" s="7" t="n">
        <v>2012</v>
      </c>
      <c r="H719" s="7" t="s">
        <v>48</v>
      </c>
      <c r="I719" s="7" t="s">
        <v>162</v>
      </c>
      <c r="J719" s="7" t="s">
        <v>1032</v>
      </c>
      <c r="K719" s="7" t="n">
        <f aca="false">IFERROR(VALUE(RIGHT(TRIM(F719),4)),"")</f>
        <v>2016</v>
      </c>
      <c r="L719" s="7" t="str">
        <f aca="false">IF(TRIM(E719)="","Unknown",IFERROR(LEFT(TRIM(E719),FIND(",",TRIM(E719))-1),TRIM(E719)))</f>
        <v>Japan</v>
      </c>
      <c r="M719" s="7" t="str">
        <f aca="false">IFERROR(LEFT(J719,FIND(",",J719)-1),J719)</f>
        <v>Action &amp; Adventure</v>
      </c>
      <c r="N719" s="7" t="n">
        <f aca="false">IF(B719="Movie",IFERROR(VALUE(LEFT(I719,FIND(" ",I719)-1)),""),"")</f>
        <v>77</v>
      </c>
      <c r="O719" s="7" t="str">
        <f aca="false">IF(B719="TV Show",IFERROR(VALUE(LEFT(I719,FIND(" ",I719)-1)),""),"")</f>
        <v/>
      </c>
      <c r="P719" s="7" t="n">
        <f aca="false">IF(K719="","",K719-G719)</f>
        <v>4</v>
      </c>
    </row>
    <row r="720" customFormat="false" ht="15" hidden="false" customHeight="false" outlineLevel="0" collapsed="false">
      <c r="A720" s="7" t="n">
        <v>70208801</v>
      </c>
      <c r="B720" s="7" t="s">
        <v>68</v>
      </c>
      <c r="C720" s="7" t="s">
        <v>1843</v>
      </c>
      <c r="D720" s="7" t="s">
        <v>1844</v>
      </c>
      <c r="E720" s="7" t="s">
        <v>30</v>
      </c>
      <c r="F720" s="7" t="s">
        <v>1840</v>
      </c>
      <c r="G720" s="7" t="n">
        <v>2008</v>
      </c>
      <c r="H720" s="7" t="s">
        <v>53</v>
      </c>
      <c r="I720" s="7" t="s">
        <v>77</v>
      </c>
      <c r="J720" s="7" t="s">
        <v>1845</v>
      </c>
      <c r="K720" s="7" t="n">
        <f aca="false">IFERROR(VALUE(RIGHT(TRIM(F720),4)),"")</f>
        <v>2016</v>
      </c>
      <c r="L720" s="7" t="str">
        <f aca="false">IF(TRIM(E720)="","Unknown",IFERROR(LEFT(TRIM(E720),FIND(",",TRIM(E720))-1),TRIM(E720)))</f>
        <v>Japan</v>
      </c>
      <c r="M720" s="7" t="str">
        <f aca="false">IFERROR(LEFT(J720,FIND(",",J720)-1),J720)</f>
        <v>Action &amp; Adventure</v>
      </c>
      <c r="N720" s="7" t="n">
        <f aca="false">IF(B720="Movie",IFERROR(VALUE(LEFT(I720,FIND(" ",I720)-1)),""),"")</f>
        <v>94</v>
      </c>
      <c r="O720" s="7" t="str">
        <f aca="false">IF(B720="TV Show",IFERROR(VALUE(LEFT(I720,FIND(" ",I720)-1)),""),"")</f>
        <v/>
      </c>
      <c r="P720" s="7" t="n">
        <f aca="false">IF(K720="","",K720-G720)</f>
        <v>8</v>
      </c>
    </row>
    <row r="721" customFormat="false" ht="15" hidden="false" customHeight="false" outlineLevel="0" collapsed="false">
      <c r="A721" s="7" t="n">
        <v>70260383</v>
      </c>
      <c r="B721" s="7" t="s">
        <v>68</v>
      </c>
      <c r="C721" s="7" t="s">
        <v>1846</v>
      </c>
      <c r="D721" s="7" t="s">
        <v>1844</v>
      </c>
      <c r="E721" s="7" t="s">
        <v>30</v>
      </c>
      <c r="F721" s="7" t="s">
        <v>1840</v>
      </c>
      <c r="G721" s="7" t="n">
        <v>2010</v>
      </c>
      <c r="H721" s="7" t="s">
        <v>53</v>
      </c>
      <c r="I721" s="7" t="s">
        <v>77</v>
      </c>
      <c r="J721" s="7" t="s">
        <v>1845</v>
      </c>
      <c r="K721" s="7" t="n">
        <f aca="false">IFERROR(VALUE(RIGHT(TRIM(F721),4)),"")</f>
        <v>2016</v>
      </c>
      <c r="L721" s="7" t="str">
        <f aca="false">IF(TRIM(E721)="","Unknown",IFERROR(LEFT(TRIM(E721),FIND(",",TRIM(E721))-1),TRIM(E721)))</f>
        <v>Japan</v>
      </c>
      <c r="M721" s="7" t="str">
        <f aca="false">IFERROR(LEFT(J721,FIND(",",J721)-1),J721)</f>
        <v>Action &amp; Adventure</v>
      </c>
      <c r="N721" s="7" t="n">
        <f aca="false">IF(B721="Movie",IFERROR(VALUE(LEFT(I721,FIND(" ",I721)-1)),""),"")</f>
        <v>94</v>
      </c>
      <c r="O721" s="7" t="str">
        <f aca="false">IF(B721="TV Show",IFERROR(VALUE(LEFT(I721,FIND(" ",I721)-1)),""),"")</f>
        <v/>
      </c>
      <c r="P721" s="7" t="n">
        <f aca="false">IF(K721="","",K721-G721)</f>
        <v>6</v>
      </c>
    </row>
    <row r="722" customFormat="false" ht="15" hidden="false" customHeight="false" outlineLevel="0" collapsed="false">
      <c r="A722" s="7" t="n">
        <v>80123744</v>
      </c>
      <c r="B722" s="7" t="s">
        <v>68</v>
      </c>
      <c r="C722" s="7" t="s">
        <v>1847</v>
      </c>
      <c r="D722" s="7" t="s">
        <v>1848</v>
      </c>
      <c r="E722" s="7" t="s">
        <v>31</v>
      </c>
      <c r="F722" s="7" t="s">
        <v>1840</v>
      </c>
      <c r="G722" s="7" t="n">
        <v>2015</v>
      </c>
      <c r="H722" s="7" t="s">
        <v>49</v>
      </c>
      <c r="I722" s="7" t="s">
        <v>470</v>
      </c>
      <c r="J722" s="7" t="s">
        <v>206</v>
      </c>
      <c r="K722" s="7" t="n">
        <f aca="false">IFERROR(VALUE(RIGHT(TRIM(F722),4)),"")</f>
        <v>2016</v>
      </c>
      <c r="L722" s="7" t="str">
        <f aca="false">IF(TRIM(E722)="","Unknown",IFERROR(LEFT(TRIM(E722),FIND(",",TRIM(E722))-1),TRIM(E722)))</f>
        <v>France</v>
      </c>
      <c r="M722" s="7" t="str">
        <f aca="false">IFERROR(LEFT(J722,FIND(",",J722)-1),J722)</f>
        <v>Comedies</v>
      </c>
      <c r="N722" s="7" t="n">
        <f aca="false">IF(B722="Movie",IFERROR(VALUE(LEFT(I722,FIND(" ",I722)-1)),""),"")</f>
        <v>91</v>
      </c>
      <c r="O722" s="7" t="str">
        <f aca="false">IF(B722="TV Show",IFERROR(VALUE(LEFT(I722,FIND(" ",I722)-1)),""),"")</f>
        <v/>
      </c>
      <c r="P722" s="7" t="n">
        <f aca="false">IF(K722="","",K722-G722)</f>
        <v>1</v>
      </c>
    </row>
    <row r="723" customFormat="false" ht="15" hidden="false" customHeight="false" outlineLevel="0" collapsed="false">
      <c r="A723" s="7" t="n">
        <v>70204970</v>
      </c>
      <c r="B723" s="7" t="s">
        <v>78</v>
      </c>
      <c r="C723" s="7" t="s">
        <v>1849</v>
      </c>
      <c r="E723" s="7" t="s">
        <v>30</v>
      </c>
      <c r="F723" s="7" t="s">
        <v>1840</v>
      </c>
      <c r="G723" s="7" t="n">
        <v>2006</v>
      </c>
      <c r="H723" s="7" t="s">
        <v>49</v>
      </c>
      <c r="I723" s="7" t="s">
        <v>82</v>
      </c>
      <c r="J723" s="7" t="s">
        <v>1850</v>
      </c>
      <c r="K723" s="7" t="n">
        <f aca="false">IFERROR(VALUE(RIGHT(TRIM(F723),4)),"")</f>
        <v>2016</v>
      </c>
      <c r="L723" s="7" t="str">
        <f aca="false">IF(TRIM(E723)="","Unknown",IFERROR(LEFT(TRIM(E723),FIND(",",TRIM(E723))-1),TRIM(E723)))</f>
        <v>Japan</v>
      </c>
      <c r="M723" s="7" t="str">
        <f aca="false">IFERROR(LEFT(J723,FIND(",",J723)-1),J723)</f>
        <v>Anime Series</v>
      </c>
      <c r="N723" s="7" t="str">
        <f aca="false">IF(B723="Movie",IFERROR(VALUE(LEFT(I723,FIND(" ",I723)-1)),""),"")</f>
        <v/>
      </c>
      <c r="O723" s="7" t="n">
        <f aca="false">IF(B723="TV Show",IFERROR(VALUE(LEFT(I723,FIND(" ",I723)-1)),""),"")</f>
        <v>1</v>
      </c>
      <c r="P723" s="7" t="n">
        <f aca="false">IF(K723="","",K723-G723)</f>
        <v>10</v>
      </c>
    </row>
    <row r="724" customFormat="false" ht="15" hidden="false" customHeight="false" outlineLevel="0" collapsed="false">
      <c r="A724" s="7" t="n">
        <v>70105699</v>
      </c>
      <c r="B724" s="7" t="s">
        <v>68</v>
      </c>
      <c r="C724" s="7" t="s">
        <v>1851</v>
      </c>
      <c r="D724" s="7" t="s">
        <v>1852</v>
      </c>
      <c r="E724" s="7" t="s">
        <v>30</v>
      </c>
      <c r="F724" s="7" t="s">
        <v>1840</v>
      </c>
      <c r="G724" s="7" t="n">
        <v>2008</v>
      </c>
      <c r="H724" s="7" t="s">
        <v>49</v>
      </c>
      <c r="I724" s="7" t="s">
        <v>272</v>
      </c>
      <c r="J724" s="7" t="s">
        <v>1032</v>
      </c>
      <c r="K724" s="7" t="n">
        <f aca="false">IFERROR(VALUE(RIGHT(TRIM(F724),4)),"")</f>
        <v>2016</v>
      </c>
      <c r="L724" s="7" t="str">
        <f aca="false">IF(TRIM(E724)="","Unknown",IFERROR(LEFT(TRIM(E724),FIND(",",TRIM(E724))-1),TRIM(E724)))</f>
        <v>Japan</v>
      </c>
      <c r="M724" s="7" t="str">
        <f aca="false">IFERROR(LEFT(J724,FIND(",",J724)-1),J724)</f>
        <v>Action &amp; Adventure</v>
      </c>
      <c r="N724" s="7" t="n">
        <f aca="false">IF(B724="Movie",IFERROR(VALUE(LEFT(I724,FIND(" ",I724)-1)),""),"")</f>
        <v>93</v>
      </c>
      <c r="O724" s="7" t="str">
        <f aca="false">IF(B724="TV Show",IFERROR(VALUE(LEFT(I724,FIND(" ",I724)-1)),""),"")</f>
        <v/>
      </c>
      <c r="P724" s="7" t="n">
        <f aca="false">IF(K724="","",K724-G724)</f>
        <v>8</v>
      </c>
    </row>
    <row r="725" customFormat="false" ht="15" hidden="false" customHeight="false" outlineLevel="0" collapsed="false">
      <c r="A725" s="7" t="n">
        <v>70124999</v>
      </c>
      <c r="B725" s="7" t="s">
        <v>68</v>
      </c>
      <c r="C725" s="7" t="s">
        <v>1853</v>
      </c>
      <c r="D725" s="7" t="s">
        <v>1852</v>
      </c>
      <c r="E725" s="7" t="s">
        <v>30</v>
      </c>
      <c r="F725" s="7" t="s">
        <v>1840</v>
      </c>
      <c r="G725" s="7" t="n">
        <v>2007</v>
      </c>
      <c r="H725" s="7" t="s">
        <v>49</v>
      </c>
      <c r="I725" s="7" t="s">
        <v>111</v>
      </c>
      <c r="J725" s="7" t="s">
        <v>1032</v>
      </c>
      <c r="K725" s="7" t="n">
        <f aca="false">IFERROR(VALUE(RIGHT(TRIM(F725),4)),"")</f>
        <v>2016</v>
      </c>
      <c r="L725" s="7" t="str">
        <f aca="false">IF(TRIM(E725)="","Unknown",IFERROR(LEFT(TRIM(E725),FIND(",",TRIM(E725))-1),TRIM(E725)))</f>
        <v>Japan</v>
      </c>
      <c r="M725" s="7" t="str">
        <f aca="false">IFERROR(LEFT(J725,FIND(",",J725)-1),J725)</f>
        <v>Action &amp; Adventure</v>
      </c>
      <c r="N725" s="7" t="n">
        <f aca="false">IF(B725="Movie",IFERROR(VALUE(LEFT(I725,FIND(" ",I725)-1)),""),"")</f>
        <v>95</v>
      </c>
      <c r="O725" s="7" t="str">
        <f aca="false">IF(B725="TV Show",IFERROR(VALUE(LEFT(I725,FIND(" ",I725)-1)),""),"")</f>
        <v/>
      </c>
      <c r="P725" s="7" t="n">
        <f aca="false">IF(K725="","",K725-G725)</f>
        <v>9</v>
      </c>
    </row>
    <row r="726" customFormat="false" ht="15" hidden="false" customHeight="false" outlineLevel="0" collapsed="false">
      <c r="A726" s="7" t="n">
        <v>80088507</v>
      </c>
      <c r="B726" s="7" t="s">
        <v>78</v>
      </c>
      <c r="C726" s="7" t="s">
        <v>1854</v>
      </c>
      <c r="E726" s="7" t="s">
        <v>26</v>
      </c>
      <c r="F726" s="7" t="s">
        <v>1840</v>
      </c>
      <c r="G726" s="7" t="n">
        <v>2016</v>
      </c>
      <c r="H726" s="7" t="s">
        <v>55</v>
      </c>
      <c r="I726" s="7" t="s">
        <v>82</v>
      </c>
      <c r="J726" s="7" t="s">
        <v>44</v>
      </c>
      <c r="K726" s="7" t="n">
        <f aca="false">IFERROR(VALUE(RIGHT(TRIM(F726),4)),"")</f>
        <v>2016</v>
      </c>
      <c r="L726" s="7" t="str">
        <f aca="false">IF(TRIM(E726)="","Unknown",IFERROR(LEFT(TRIM(E726),FIND(",",TRIM(E726))-1),TRIM(E726)))</f>
        <v>United States</v>
      </c>
      <c r="M726" s="7" t="str">
        <f aca="false">IFERROR(LEFT(J726,FIND(",",J726)-1),J726)</f>
        <v>Kids' TV</v>
      </c>
      <c r="N726" s="7" t="str">
        <f aca="false">IF(B726="Movie",IFERROR(VALUE(LEFT(I726,FIND(" ",I726)-1)),""),"")</f>
        <v/>
      </c>
      <c r="O726" s="7" t="n">
        <f aca="false">IF(B726="TV Show",IFERROR(VALUE(LEFT(I726,FIND(" ",I726)-1)),""),"")</f>
        <v>1</v>
      </c>
      <c r="P726" s="7" t="n">
        <f aca="false">IF(K726="","",K726-G726)</f>
        <v>0</v>
      </c>
    </row>
    <row r="727" customFormat="false" ht="15" hidden="false" customHeight="false" outlineLevel="0" collapsed="false">
      <c r="A727" s="7" t="n">
        <v>80080727</v>
      </c>
      <c r="B727" s="7" t="s">
        <v>78</v>
      </c>
      <c r="C727" s="7" t="s">
        <v>1855</v>
      </c>
      <c r="E727" s="7" t="s">
        <v>279</v>
      </c>
      <c r="F727" s="7" t="s">
        <v>1840</v>
      </c>
      <c r="G727" s="7" t="n">
        <v>2015</v>
      </c>
      <c r="H727" s="7" t="s">
        <v>48</v>
      </c>
      <c r="I727" s="7" t="s">
        <v>82</v>
      </c>
      <c r="J727" s="7" t="s">
        <v>402</v>
      </c>
      <c r="K727" s="7" t="n">
        <f aca="false">IFERROR(VALUE(RIGHT(TRIM(F727),4)),"")</f>
        <v>2016</v>
      </c>
      <c r="L727" s="7" t="str">
        <f aca="false">IF(TRIM(E727)="","Unknown",IFERROR(LEFT(TRIM(E727),FIND(",",TRIM(E727))-1),TRIM(E727)))</f>
        <v>United Kingdom</v>
      </c>
      <c r="M727" s="7" t="str">
        <f aca="false">IFERROR(LEFT(J727,FIND(",",J727)-1),J727)</f>
        <v>Crime TV Shows</v>
      </c>
      <c r="N727" s="7" t="str">
        <f aca="false">IF(B727="Movie",IFERROR(VALUE(LEFT(I727,FIND(" ",I727)-1)),""),"")</f>
        <v/>
      </c>
      <c r="O727" s="7" t="n">
        <f aca="false">IF(B727="TV Show",IFERROR(VALUE(LEFT(I727,FIND(" ",I727)-1)),""),"")</f>
        <v>1</v>
      </c>
      <c r="P727" s="7" t="n">
        <f aca="false">IF(K727="","",K727-G727)</f>
        <v>1</v>
      </c>
    </row>
    <row r="728" customFormat="false" ht="15" hidden="false" customHeight="false" outlineLevel="0" collapsed="false">
      <c r="A728" s="7" t="n">
        <v>80990869</v>
      </c>
      <c r="B728" s="7" t="s">
        <v>68</v>
      </c>
      <c r="C728" s="7" t="s">
        <v>1856</v>
      </c>
      <c r="D728" s="7" t="s">
        <v>1857</v>
      </c>
      <c r="E728" s="7" t="s">
        <v>29</v>
      </c>
      <c r="F728" s="7" t="s">
        <v>1858</v>
      </c>
      <c r="G728" s="7" t="n">
        <v>2019</v>
      </c>
      <c r="H728" s="7" t="s">
        <v>49</v>
      </c>
      <c r="I728" s="7" t="s">
        <v>117</v>
      </c>
      <c r="J728" s="7" t="s">
        <v>45</v>
      </c>
      <c r="K728" s="7" t="n">
        <f aca="false">IFERROR(VALUE(RIGHT(TRIM(F728),4)),"")</f>
        <v>2019</v>
      </c>
      <c r="L728" s="7" t="str">
        <f aca="false">IF(TRIM(E728)="","Unknown",IFERROR(LEFT(TRIM(E728),FIND(",",TRIM(E728))-1),TRIM(E728)))</f>
        <v>Canada</v>
      </c>
      <c r="M728" s="7" t="str">
        <f aca="false">IFERROR(LEFT(J728,FIND(",",J728)-1),J728)</f>
        <v>Stand-Up Comedy</v>
      </c>
      <c r="N728" s="7" t="n">
        <f aca="false">IF(B728="Movie",IFERROR(VALUE(LEFT(I728,FIND(" ",I728)-1)),""),"")</f>
        <v>62</v>
      </c>
      <c r="O728" s="7" t="str">
        <f aca="false">IF(B728="TV Show",IFERROR(VALUE(LEFT(I728,FIND(" ",I728)-1)),""),"")</f>
        <v/>
      </c>
      <c r="P728" s="7" t="n">
        <f aca="false">IF(K728="","",K728-G728)</f>
        <v>0</v>
      </c>
    </row>
    <row r="729" customFormat="false" ht="15" hidden="false" customHeight="false" outlineLevel="0" collapsed="false">
      <c r="A729" s="7" t="n">
        <v>80187205</v>
      </c>
      <c r="B729" s="7" t="s">
        <v>68</v>
      </c>
      <c r="C729" s="7" t="s">
        <v>1859</v>
      </c>
      <c r="D729" s="7" t="s">
        <v>1860</v>
      </c>
      <c r="E729" s="7" t="s">
        <v>366</v>
      </c>
      <c r="F729" s="7" t="s">
        <v>1861</v>
      </c>
      <c r="G729" s="7" t="n">
        <v>2017</v>
      </c>
      <c r="H729" s="7" t="s">
        <v>50</v>
      </c>
      <c r="I729" s="7" t="s">
        <v>294</v>
      </c>
      <c r="J729" s="7" t="s">
        <v>206</v>
      </c>
      <c r="K729" s="7" t="n">
        <f aca="false">IFERROR(VALUE(RIGHT(TRIM(F729),4)),"")</f>
        <v>2017</v>
      </c>
      <c r="L729" s="7" t="str">
        <f aca="false">IF(TRIM(E729)="","Unknown",IFERROR(LEFT(TRIM(E729),FIND(",",TRIM(E729))-1),TRIM(E729)))</f>
        <v>China</v>
      </c>
      <c r="M729" s="7" t="str">
        <f aca="false">IFERROR(LEFT(J729,FIND(",",J729)-1),J729)</f>
        <v>Comedies</v>
      </c>
      <c r="N729" s="7" t="n">
        <f aca="false">IF(B729="Movie",IFERROR(VALUE(LEFT(I729,FIND(" ",I729)-1)),""),"")</f>
        <v>107</v>
      </c>
      <c r="O729" s="7" t="str">
        <f aca="false">IF(B729="TV Show",IFERROR(VALUE(LEFT(I729,FIND(" ",I729)-1)),""),"")</f>
        <v/>
      </c>
      <c r="P729" s="7" t="n">
        <f aca="false">IF(K729="","",K729-G729)</f>
        <v>0</v>
      </c>
    </row>
    <row r="730" customFormat="false" ht="15" hidden="false" customHeight="false" outlineLevel="0" collapsed="false">
      <c r="A730" s="7" t="n">
        <v>80097472</v>
      </c>
      <c r="B730" s="7" t="s">
        <v>68</v>
      </c>
      <c r="C730" s="7" t="s">
        <v>1862</v>
      </c>
      <c r="D730" s="7" t="s">
        <v>1863</v>
      </c>
      <c r="E730" s="7" t="s">
        <v>26</v>
      </c>
      <c r="F730" s="7" t="s">
        <v>1864</v>
      </c>
      <c r="G730" s="7" t="n">
        <v>2016</v>
      </c>
      <c r="H730" s="7" t="s">
        <v>48</v>
      </c>
      <c r="I730" s="7" t="s">
        <v>154</v>
      </c>
      <c r="J730" s="7" t="s">
        <v>39</v>
      </c>
      <c r="K730" s="7" t="n">
        <f aca="false">IFERROR(VALUE(RIGHT(TRIM(F730),4)),"")</f>
        <v>2016</v>
      </c>
      <c r="L730" s="7" t="str">
        <f aca="false">IF(TRIM(E730)="","Unknown",IFERROR(LEFT(TRIM(E730),FIND(",",TRIM(E730))-1),TRIM(E730)))</f>
        <v>United States</v>
      </c>
      <c r="M730" s="7" t="str">
        <f aca="false">IFERROR(LEFT(J730,FIND(",",J730)-1),J730)</f>
        <v>Documentaries</v>
      </c>
      <c r="N730" s="7" t="n">
        <f aca="false">IF(B730="Movie",IFERROR(VALUE(LEFT(I730,FIND(" ",I730)-1)),""),"")</f>
        <v>80</v>
      </c>
      <c r="O730" s="7" t="str">
        <f aca="false">IF(B730="TV Show",IFERROR(VALUE(LEFT(I730,FIND(" ",I730)-1)),""),"")</f>
        <v/>
      </c>
      <c r="P730" s="7" t="n">
        <f aca="false">IF(K730="","",K730-G730)</f>
        <v>0</v>
      </c>
    </row>
    <row r="731" customFormat="false" ht="15" hidden="false" customHeight="false" outlineLevel="0" collapsed="false">
      <c r="A731" s="7" t="n">
        <v>80075009</v>
      </c>
      <c r="B731" s="7" t="s">
        <v>68</v>
      </c>
      <c r="C731" s="7" t="s">
        <v>1865</v>
      </c>
      <c r="D731" s="7" t="s">
        <v>1866</v>
      </c>
      <c r="E731" s="7" t="s">
        <v>1867</v>
      </c>
      <c r="F731" s="7" t="s">
        <v>1868</v>
      </c>
      <c r="G731" s="7" t="n">
        <v>2015</v>
      </c>
      <c r="H731" s="7" t="s">
        <v>53</v>
      </c>
      <c r="I731" s="7" t="s">
        <v>130</v>
      </c>
      <c r="J731" s="7" t="s">
        <v>182</v>
      </c>
      <c r="K731" s="7" t="n">
        <f aca="false">IFERROR(VALUE(RIGHT(TRIM(F731),4)),"")</f>
        <v>2015</v>
      </c>
      <c r="L731" s="7" t="str">
        <f aca="false">IF(TRIM(E731)="","Unknown",IFERROR(LEFT(TRIM(E731),FIND(",",TRIM(E731))-1),TRIM(E731)))</f>
        <v>Italy</v>
      </c>
      <c r="M731" s="7" t="str">
        <f aca="false">IFERROR(LEFT(J731,FIND(",",J731)-1),J731)</f>
        <v>Dramas</v>
      </c>
      <c r="N731" s="7" t="n">
        <f aca="false">IF(B731="Movie",IFERROR(VALUE(LEFT(I731,FIND(" ",I731)-1)),""),"")</f>
        <v>135</v>
      </c>
      <c r="O731" s="7" t="str">
        <f aca="false">IF(B731="TV Show",IFERROR(VALUE(LEFT(I731,FIND(" ",I731)-1)),""),"")</f>
        <v/>
      </c>
      <c r="P731" s="7" t="n">
        <f aca="false">IF(K731="","",K731-G731)</f>
        <v>0</v>
      </c>
    </row>
    <row r="732" customFormat="false" ht="15" hidden="false" customHeight="false" outlineLevel="0" collapsed="false">
      <c r="A732" s="7" t="n">
        <v>70293417</v>
      </c>
      <c r="B732" s="7" t="s">
        <v>78</v>
      </c>
      <c r="C732" s="7" t="s">
        <v>1869</v>
      </c>
      <c r="E732" s="7" t="s">
        <v>26</v>
      </c>
      <c r="F732" s="7" t="s">
        <v>1870</v>
      </c>
      <c r="G732" s="7" t="n">
        <v>2013</v>
      </c>
      <c r="H732" s="7" t="s">
        <v>53</v>
      </c>
      <c r="I732" s="7" t="s">
        <v>82</v>
      </c>
      <c r="J732" s="7" t="s">
        <v>1871</v>
      </c>
      <c r="K732" s="7" t="n">
        <f aca="false">IFERROR(VALUE(RIGHT(TRIM(F732),4)),"")</f>
        <v>2013</v>
      </c>
      <c r="L732" s="7" t="str">
        <f aca="false">IF(TRIM(E732)="","Unknown",IFERROR(LEFT(TRIM(E732),FIND(",",TRIM(E732))-1),TRIM(E732)))</f>
        <v>United States</v>
      </c>
      <c r="M732" s="7" t="str">
        <f aca="false">IFERROR(LEFT(J732,FIND(",",J732)-1),J732)</f>
        <v>Docuseries</v>
      </c>
      <c r="N732" s="7" t="str">
        <f aca="false">IF(B732="Movie",IFERROR(VALUE(LEFT(I732,FIND(" ",I732)-1)),""),"")</f>
        <v/>
      </c>
      <c r="O732" s="7" t="n">
        <f aca="false">IF(B732="TV Show",IFERROR(VALUE(LEFT(I732,FIND(" ",I732)-1)),""),"")</f>
        <v>1</v>
      </c>
      <c r="P732" s="7" t="n">
        <f aca="false">IF(K732="","",K732-G732)</f>
        <v>0</v>
      </c>
    </row>
    <row r="733" customFormat="false" ht="15" hidden="false" customHeight="false" outlineLevel="0" collapsed="false">
      <c r="A733" s="7" t="n">
        <v>70280748</v>
      </c>
      <c r="B733" s="7" t="s">
        <v>68</v>
      </c>
      <c r="C733" s="7" t="s">
        <v>1872</v>
      </c>
      <c r="D733" s="7" t="s">
        <v>1190</v>
      </c>
      <c r="E733" s="7" t="s">
        <v>26</v>
      </c>
      <c r="F733" s="7" t="s">
        <v>1870</v>
      </c>
      <c r="G733" s="7" t="n">
        <v>2013</v>
      </c>
      <c r="H733" s="7" t="s">
        <v>53</v>
      </c>
      <c r="I733" s="7" t="s">
        <v>348</v>
      </c>
      <c r="J733" s="7" t="s">
        <v>45</v>
      </c>
      <c r="K733" s="7" t="n">
        <f aca="false">IFERROR(VALUE(RIGHT(TRIM(F733),4)),"")</f>
        <v>2013</v>
      </c>
      <c r="L733" s="7" t="str">
        <f aca="false">IF(TRIM(E733)="","Unknown",IFERROR(LEFT(TRIM(E733),FIND(",",TRIM(E733))-1),TRIM(E733)))</f>
        <v>United States</v>
      </c>
      <c r="M733" s="7" t="str">
        <f aca="false">IFERROR(LEFT(J733,FIND(",",J733)-1),J733)</f>
        <v>Stand-Up Comedy</v>
      </c>
      <c r="N733" s="7" t="n">
        <f aca="false">IF(B733="Movie",IFERROR(VALUE(LEFT(I733,FIND(" ",I733)-1)),""),"")</f>
        <v>72</v>
      </c>
      <c r="O733" s="7" t="str">
        <f aca="false">IF(B733="TV Show",IFERROR(VALUE(LEFT(I733,FIND(" ",I733)-1)),""),"")</f>
        <v/>
      </c>
      <c r="P733" s="7" t="n">
        <f aca="false">IF(K733="","",K733-G733)</f>
        <v>0</v>
      </c>
    </row>
    <row r="734" customFormat="false" ht="15" hidden="false" customHeight="false" outlineLevel="0" collapsed="false">
      <c r="A734" s="7" t="n">
        <v>81034012</v>
      </c>
      <c r="B734" s="7" t="s">
        <v>68</v>
      </c>
      <c r="C734" s="7" t="s">
        <v>1873</v>
      </c>
      <c r="D734" s="7" t="s">
        <v>1874</v>
      </c>
      <c r="E734" s="7" t="s">
        <v>31</v>
      </c>
      <c r="F734" s="7" t="s">
        <v>1875</v>
      </c>
      <c r="G734" s="7" t="n">
        <v>2019</v>
      </c>
      <c r="H734" s="7" t="s">
        <v>48</v>
      </c>
      <c r="I734" s="7" t="s">
        <v>138</v>
      </c>
      <c r="J734" s="7" t="s">
        <v>304</v>
      </c>
      <c r="K734" s="7" t="n">
        <f aca="false">IFERROR(VALUE(RIGHT(TRIM(F734),4)),"")</f>
        <v>2019</v>
      </c>
      <c r="L734" s="7" t="str">
        <f aca="false">IF(TRIM(E734)="","Unknown",IFERROR(LEFT(TRIM(E734),FIND(",",TRIM(E734))-1),TRIM(E734)))</f>
        <v>France</v>
      </c>
      <c r="M734" s="7" t="str">
        <f aca="false">IFERROR(LEFT(J734,FIND(",",J734)-1),J734)</f>
        <v>Dramas</v>
      </c>
      <c r="N734" s="7" t="n">
        <f aca="false">IF(B734="Movie",IFERROR(VALUE(LEFT(I734,FIND(" ",I734)-1)),""),"")</f>
        <v>96</v>
      </c>
      <c r="O734" s="7" t="str">
        <f aca="false">IF(B734="TV Show",IFERROR(VALUE(LEFT(I734,FIND(" ",I734)-1)),""),"")</f>
        <v/>
      </c>
      <c r="P734" s="7" t="n">
        <f aca="false">IF(K734="","",K734-G734)</f>
        <v>0</v>
      </c>
    </row>
    <row r="735" customFormat="false" ht="15" hidden="false" customHeight="false" outlineLevel="0" collapsed="false">
      <c r="A735" s="7" t="n">
        <v>81191500</v>
      </c>
      <c r="B735" s="7" t="s">
        <v>78</v>
      </c>
      <c r="C735" s="7" t="s">
        <v>1876</v>
      </c>
      <c r="E735" s="7" t="s">
        <v>32</v>
      </c>
      <c r="F735" s="7" t="s">
        <v>1875</v>
      </c>
      <c r="G735" s="7" t="n">
        <v>2019</v>
      </c>
      <c r="H735" s="7" t="s">
        <v>49</v>
      </c>
      <c r="I735" s="7" t="s">
        <v>82</v>
      </c>
      <c r="J735" s="7" t="s">
        <v>1877</v>
      </c>
      <c r="K735" s="7" t="n">
        <f aca="false">IFERROR(VALUE(RIGHT(TRIM(F735),4)),"")</f>
        <v>2019</v>
      </c>
      <c r="L735" s="7" t="str">
        <f aca="false">IF(TRIM(E735)="","Unknown",IFERROR(LEFT(TRIM(E735),FIND(",",TRIM(E735))-1),TRIM(E735)))</f>
        <v>South Korea</v>
      </c>
      <c r="M735" s="7" t="str">
        <f aca="false">IFERROR(LEFT(J735,FIND(",",J735)-1),J735)</f>
        <v>Crime TV Shows</v>
      </c>
      <c r="N735" s="7" t="str">
        <f aca="false">IF(B735="Movie",IFERROR(VALUE(LEFT(I735,FIND(" ",I735)-1)),""),"")</f>
        <v/>
      </c>
      <c r="O735" s="7" t="n">
        <f aca="false">IF(B735="TV Show",IFERROR(VALUE(LEFT(I735,FIND(" ",I735)-1)),""),"")</f>
        <v>1</v>
      </c>
      <c r="P735" s="7" t="n">
        <f aca="false">IF(K735="","",K735-G735)</f>
        <v>0</v>
      </c>
    </row>
    <row r="736" customFormat="false" ht="15" hidden="false" customHeight="false" outlineLevel="0" collapsed="false">
      <c r="A736" s="7" t="n">
        <v>81019031</v>
      </c>
      <c r="B736" s="7" t="s">
        <v>68</v>
      </c>
      <c r="C736" s="7" t="s">
        <v>1878</v>
      </c>
      <c r="D736" s="7" t="s">
        <v>1879</v>
      </c>
      <c r="E736" s="7" t="s">
        <v>27</v>
      </c>
      <c r="F736" s="7" t="s">
        <v>1880</v>
      </c>
      <c r="G736" s="7" t="n">
        <v>2018</v>
      </c>
      <c r="H736" s="7" t="s">
        <v>49</v>
      </c>
      <c r="I736" s="7" t="s">
        <v>1707</v>
      </c>
      <c r="J736" s="7" t="s">
        <v>1003</v>
      </c>
      <c r="K736" s="7" t="n">
        <f aca="false">IFERROR(VALUE(RIGHT(TRIM(F736),4)),"")</f>
        <v>2018</v>
      </c>
      <c r="L736" s="7" t="str">
        <f aca="false">IF(TRIM(E736)="","Unknown",IFERROR(LEFT(TRIM(E736),FIND(",",TRIM(E736))-1),TRIM(E736)))</f>
        <v>India</v>
      </c>
      <c r="M736" s="7" t="str">
        <f aca="false">IFERROR(LEFT(J736,FIND(",",J736)-1),J736)</f>
        <v>Dramas</v>
      </c>
      <c r="N736" s="7" t="n">
        <f aca="false">IF(B736="Movie",IFERROR(VALUE(LEFT(I736,FIND(" ",I736)-1)),""),"")</f>
        <v>131</v>
      </c>
      <c r="O736" s="7" t="str">
        <f aca="false">IF(B736="TV Show",IFERROR(VALUE(LEFT(I736,FIND(" ",I736)-1)),""),"")</f>
        <v/>
      </c>
      <c r="P736" s="7" t="n">
        <f aca="false">IF(K736="","",K736-G736)</f>
        <v>0</v>
      </c>
    </row>
    <row r="737" customFormat="false" ht="15" hidden="false" customHeight="false" outlineLevel="0" collapsed="false">
      <c r="A737" s="7" t="n">
        <v>80180544</v>
      </c>
      <c r="B737" s="7" t="s">
        <v>78</v>
      </c>
      <c r="C737" s="7" t="s">
        <v>1881</v>
      </c>
      <c r="F737" s="7" t="s">
        <v>1882</v>
      </c>
      <c r="G737" s="7" t="n">
        <v>2015</v>
      </c>
      <c r="H737" s="7" t="s">
        <v>50</v>
      </c>
      <c r="I737" s="7" t="s">
        <v>82</v>
      </c>
      <c r="J737" s="7" t="s">
        <v>344</v>
      </c>
      <c r="K737" s="7" t="n">
        <f aca="false">IFERROR(VALUE(RIGHT(TRIM(F737),4)),"")</f>
        <v>2017</v>
      </c>
      <c r="L737" s="7" t="str">
        <f aca="false">IF(TRIM(E737)="","Unknown",IFERROR(LEFT(TRIM(E737),FIND(",",TRIM(E737))-1),TRIM(E737)))</f>
        <v>Unknown</v>
      </c>
      <c r="M737" s="7" t="str">
        <f aca="false">IFERROR(LEFT(J737,FIND(",",J737)-1),J737)</f>
        <v>International TV Shows</v>
      </c>
      <c r="N737" s="7" t="str">
        <f aca="false">IF(B737="Movie",IFERROR(VALUE(LEFT(I737,FIND(" ",I737)-1)),""),"")</f>
        <v/>
      </c>
      <c r="O737" s="7" t="n">
        <f aca="false">IF(B737="TV Show",IFERROR(VALUE(LEFT(I737,FIND(" ",I737)-1)),""),"")</f>
        <v>1</v>
      </c>
      <c r="P737" s="7" t="n">
        <f aca="false">IF(K737="","",K737-G737)</f>
        <v>2</v>
      </c>
    </row>
    <row r="738" customFormat="false" ht="15" hidden="false" customHeight="false" outlineLevel="0" collapsed="false">
      <c r="A738" s="7" t="n">
        <v>80148070</v>
      </c>
      <c r="B738" s="7" t="s">
        <v>68</v>
      </c>
      <c r="C738" s="7" t="s">
        <v>1883</v>
      </c>
      <c r="D738" s="7" t="s">
        <v>1884</v>
      </c>
      <c r="E738" s="7" t="s">
        <v>1885</v>
      </c>
      <c r="F738" s="7" t="s">
        <v>1882</v>
      </c>
      <c r="G738" s="7" t="n">
        <v>2016</v>
      </c>
      <c r="H738" s="7" t="s">
        <v>49</v>
      </c>
      <c r="I738" s="7" t="s">
        <v>524</v>
      </c>
      <c r="J738" s="7" t="s">
        <v>217</v>
      </c>
      <c r="K738" s="7" t="n">
        <f aca="false">IFERROR(VALUE(RIGHT(TRIM(F738),4)),"")</f>
        <v>2017</v>
      </c>
      <c r="L738" s="7" t="str">
        <f aca="false">IF(TRIM(E738)="","Unknown",IFERROR(LEFT(TRIM(E738),FIND(",",TRIM(E738))-1),TRIM(E738)))</f>
        <v>Germany</v>
      </c>
      <c r="M738" s="7" t="str">
        <f aca="false">IFERROR(LEFT(J738,FIND(",",J738)-1),J738)</f>
        <v>Comedies</v>
      </c>
      <c r="N738" s="7" t="n">
        <f aca="false">IF(B738="Movie",IFERROR(VALUE(LEFT(I738,FIND(" ",I738)-1)),""),"")</f>
        <v>83</v>
      </c>
      <c r="O738" s="7" t="str">
        <f aca="false">IF(B738="TV Show",IFERROR(VALUE(LEFT(I738,FIND(" ",I738)-1)),""),"")</f>
        <v/>
      </c>
      <c r="P738" s="7" t="n">
        <f aca="false">IF(K738="","",K738-G738)</f>
        <v>1</v>
      </c>
    </row>
    <row r="739" customFormat="false" ht="15" hidden="false" customHeight="false" outlineLevel="0" collapsed="false">
      <c r="A739" s="7" t="n">
        <v>80155812</v>
      </c>
      <c r="B739" s="7" t="s">
        <v>68</v>
      </c>
      <c r="C739" s="7" t="s">
        <v>1886</v>
      </c>
      <c r="D739" s="7" t="s">
        <v>1887</v>
      </c>
      <c r="E739" s="7" t="s">
        <v>1888</v>
      </c>
      <c r="F739" s="7" t="s">
        <v>1882</v>
      </c>
      <c r="G739" s="7" t="n">
        <v>2016</v>
      </c>
      <c r="H739" s="7" t="s">
        <v>48</v>
      </c>
      <c r="I739" s="7" t="s">
        <v>181</v>
      </c>
      <c r="J739" s="7" t="s">
        <v>304</v>
      </c>
      <c r="K739" s="7" t="n">
        <f aca="false">IFERROR(VALUE(RIGHT(TRIM(F739),4)),"")</f>
        <v>2017</v>
      </c>
      <c r="L739" s="7" t="str">
        <f aca="false">IF(TRIM(E739)="","Unknown",IFERROR(LEFT(TRIM(E739),FIND(",",TRIM(E739))-1),TRIM(E739)))</f>
        <v>Turkey</v>
      </c>
      <c r="M739" s="7" t="str">
        <f aca="false">IFERROR(LEFT(J739,FIND(",",J739)-1),J739)</f>
        <v>Dramas</v>
      </c>
      <c r="N739" s="7" t="n">
        <f aca="false">IF(B739="Movie",IFERROR(VALUE(LEFT(I739,FIND(" ",I739)-1)),""),"")</f>
        <v>102</v>
      </c>
      <c r="O739" s="7" t="str">
        <f aca="false">IF(B739="TV Show",IFERROR(VALUE(LEFT(I739,FIND(" ",I739)-1)),""),"")</f>
        <v/>
      </c>
      <c r="P739" s="7" t="n">
        <f aca="false">IF(K739="","",K739-G739)</f>
        <v>1</v>
      </c>
    </row>
    <row r="740" customFormat="false" ht="15" hidden="false" customHeight="false" outlineLevel="0" collapsed="false">
      <c r="A740" s="7" t="n">
        <v>80183198</v>
      </c>
      <c r="B740" s="7" t="s">
        <v>68</v>
      </c>
      <c r="C740" s="7" t="s">
        <v>1889</v>
      </c>
      <c r="D740" s="7" t="s">
        <v>1890</v>
      </c>
      <c r="E740" s="7" t="s">
        <v>34</v>
      </c>
      <c r="F740" s="7" t="s">
        <v>1882</v>
      </c>
      <c r="G740" s="7" t="n">
        <v>2017</v>
      </c>
      <c r="H740" s="7" t="s">
        <v>48</v>
      </c>
      <c r="I740" s="7" t="s">
        <v>734</v>
      </c>
      <c r="J740" s="7" t="s">
        <v>45</v>
      </c>
      <c r="K740" s="7" t="n">
        <f aca="false">IFERROR(VALUE(RIGHT(TRIM(F740),4)),"")</f>
        <v>2017</v>
      </c>
      <c r="L740" s="7" t="str">
        <f aca="false">IF(TRIM(E740)="","Unknown",IFERROR(LEFT(TRIM(E740),FIND(",",TRIM(E740))-1),TRIM(E740)))</f>
        <v>Mexico</v>
      </c>
      <c r="M740" s="7" t="str">
        <f aca="false">IFERROR(LEFT(J740,FIND(",",J740)-1),J740)</f>
        <v>Stand-Up Comedy</v>
      </c>
      <c r="N740" s="7" t="n">
        <f aca="false">IF(B740="Movie",IFERROR(VALUE(LEFT(I740,FIND(" ",I740)-1)),""),"")</f>
        <v>52</v>
      </c>
      <c r="O740" s="7" t="str">
        <f aca="false">IF(B740="TV Show",IFERROR(VALUE(LEFT(I740,FIND(" ",I740)-1)),""),"")</f>
        <v/>
      </c>
      <c r="P740" s="7" t="n">
        <f aca="false">IF(K740="","",K740-G740)</f>
        <v>0</v>
      </c>
    </row>
    <row r="741" customFormat="false" ht="15" hidden="false" customHeight="false" outlineLevel="0" collapsed="false">
      <c r="A741" s="7" t="n">
        <v>80158844</v>
      </c>
      <c r="B741" s="7" t="s">
        <v>68</v>
      </c>
      <c r="C741" s="7" t="s">
        <v>1891</v>
      </c>
      <c r="D741" s="7" t="s">
        <v>1892</v>
      </c>
      <c r="E741" s="7" t="s">
        <v>28</v>
      </c>
      <c r="F741" s="7" t="s">
        <v>1882</v>
      </c>
      <c r="G741" s="7" t="n">
        <v>2017</v>
      </c>
      <c r="H741" s="7" t="s">
        <v>48</v>
      </c>
      <c r="I741" s="7" t="s">
        <v>93</v>
      </c>
      <c r="J741" s="7" t="s">
        <v>39</v>
      </c>
      <c r="K741" s="7" t="n">
        <f aca="false">IFERROR(VALUE(RIGHT(TRIM(F741),4)),"")</f>
        <v>2017</v>
      </c>
      <c r="L741" s="7" t="str">
        <f aca="false">IF(TRIM(E741)="","Unknown",IFERROR(LEFT(TRIM(E741),FIND(",",TRIM(E741))-1),TRIM(E741)))</f>
        <v>United Kingdom</v>
      </c>
      <c r="M741" s="7" t="str">
        <f aca="false">IFERROR(LEFT(J741,FIND(",",J741)-1),J741)</f>
        <v>Documentaries</v>
      </c>
      <c r="N741" s="7" t="n">
        <f aca="false">IF(B741="Movie",IFERROR(VALUE(LEFT(I741,FIND(" ",I741)-1)),""),"")</f>
        <v>110</v>
      </c>
      <c r="O741" s="7" t="str">
        <f aca="false">IF(B741="TV Show",IFERROR(VALUE(LEFT(I741,FIND(" ",I741)-1)),""),"")</f>
        <v/>
      </c>
      <c r="P741" s="7" t="n">
        <f aca="false">IF(K741="","",K741-G741)</f>
        <v>0</v>
      </c>
    </row>
    <row r="742" customFormat="false" ht="15" hidden="false" customHeight="false" outlineLevel="0" collapsed="false">
      <c r="A742" s="7" t="n">
        <v>80164456</v>
      </c>
      <c r="B742" s="7" t="s">
        <v>68</v>
      </c>
      <c r="C742" s="7" t="s">
        <v>1893</v>
      </c>
      <c r="D742" s="7" t="s">
        <v>1894</v>
      </c>
      <c r="E742" s="7" t="s">
        <v>26</v>
      </c>
      <c r="F742" s="7" t="s">
        <v>1882</v>
      </c>
      <c r="G742" s="7" t="n">
        <v>2017</v>
      </c>
      <c r="H742" s="7" t="s">
        <v>48</v>
      </c>
      <c r="I742" s="7" t="s">
        <v>340</v>
      </c>
      <c r="J742" s="7" t="s">
        <v>1059</v>
      </c>
      <c r="K742" s="7" t="n">
        <f aca="false">IFERROR(VALUE(RIGHT(TRIM(F742),4)),"")</f>
        <v>2017</v>
      </c>
      <c r="L742" s="7" t="str">
        <f aca="false">IF(TRIM(E742)="","Unknown",IFERROR(LEFT(TRIM(E742),FIND(",",TRIM(E742))-1),TRIM(E742)))</f>
        <v>United States</v>
      </c>
      <c r="M742" s="7" t="str">
        <f aca="false">IFERROR(LEFT(J742,FIND(",",J742)-1),J742)</f>
        <v>Comedies</v>
      </c>
      <c r="N742" s="7" t="n">
        <f aca="false">IF(B742="Movie",IFERROR(VALUE(LEFT(I742,FIND(" ",I742)-1)),""),"")</f>
        <v>85</v>
      </c>
      <c r="O742" s="7" t="str">
        <f aca="false">IF(B742="TV Show",IFERROR(VALUE(LEFT(I742,FIND(" ",I742)-1)),""),"")</f>
        <v/>
      </c>
      <c r="P742" s="7" t="n">
        <f aca="false">IF(K742="","",K742-G742)</f>
        <v>0</v>
      </c>
    </row>
    <row r="743" customFormat="false" ht="15" hidden="false" customHeight="false" outlineLevel="0" collapsed="false">
      <c r="A743" s="7" t="n">
        <v>80174434</v>
      </c>
      <c r="B743" s="7" t="s">
        <v>68</v>
      </c>
      <c r="C743" s="7" t="s">
        <v>1895</v>
      </c>
      <c r="D743" s="7" t="s">
        <v>1491</v>
      </c>
      <c r="E743" s="7" t="s">
        <v>26</v>
      </c>
      <c r="F743" s="7" t="s">
        <v>1882</v>
      </c>
      <c r="G743" s="7" t="n">
        <v>2017</v>
      </c>
      <c r="H743" s="7" t="s">
        <v>48</v>
      </c>
      <c r="I743" s="7" t="s">
        <v>146</v>
      </c>
      <c r="J743" s="7" t="s">
        <v>198</v>
      </c>
      <c r="K743" s="7" t="n">
        <f aca="false">IFERROR(VALUE(RIGHT(TRIM(F743),4)),"")</f>
        <v>2017</v>
      </c>
      <c r="L743" s="7" t="str">
        <f aca="false">IF(TRIM(E743)="","Unknown",IFERROR(LEFT(TRIM(E743),FIND(",",TRIM(E743))-1),TRIM(E743)))</f>
        <v>United States</v>
      </c>
      <c r="M743" s="7" t="str">
        <f aca="false">IFERROR(LEFT(J743,FIND(",",J743)-1),J743)</f>
        <v>Comedies</v>
      </c>
      <c r="N743" s="7" t="n">
        <f aca="false">IF(B743="Movie",IFERROR(VALUE(LEFT(I743,FIND(" ",I743)-1)),""),"")</f>
        <v>113</v>
      </c>
      <c r="O743" s="7" t="str">
        <f aca="false">IF(B743="TV Show",IFERROR(VALUE(LEFT(I743,FIND(" ",I743)-1)),""),"")</f>
        <v/>
      </c>
      <c r="P743" s="7" t="n">
        <f aca="false">IF(K743="","",K743-G743)</f>
        <v>0</v>
      </c>
    </row>
    <row r="744" customFormat="false" ht="15" hidden="false" customHeight="false" outlineLevel="0" collapsed="false">
      <c r="A744" s="7" t="n">
        <v>80075476</v>
      </c>
      <c r="B744" s="7" t="s">
        <v>68</v>
      </c>
      <c r="C744" s="7" t="s">
        <v>1896</v>
      </c>
      <c r="D744" s="7" t="s">
        <v>1897</v>
      </c>
      <c r="E744" s="7" t="s">
        <v>26</v>
      </c>
      <c r="F744" s="7" t="s">
        <v>1898</v>
      </c>
      <c r="G744" s="7" t="n">
        <v>2016</v>
      </c>
      <c r="H744" s="7" t="s">
        <v>48</v>
      </c>
      <c r="I744" s="7" t="s">
        <v>111</v>
      </c>
      <c r="J744" s="7" t="s">
        <v>38</v>
      </c>
      <c r="K744" s="7" t="n">
        <f aca="false">IFERROR(VALUE(RIGHT(TRIM(F744),4)),"")</f>
        <v>2016</v>
      </c>
      <c r="L744" s="7" t="str">
        <f aca="false">IF(TRIM(E744)="","Unknown",IFERROR(LEFT(TRIM(E744),FIND(",",TRIM(E744))-1),TRIM(E744)))</f>
        <v>United States</v>
      </c>
      <c r="M744" s="7" t="str">
        <f aca="false">IFERROR(LEFT(J744,FIND(",",J744)-1),J744)</f>
        <v>Comedies</v>
      </c>
      <c r="N744" s="7" t="n">
        <f aca="false">IF(B744="Movie",IFERROR(VALUE(LEFT(I744,FIND(" ",I744)-1)),""),"")</f>
        <v>95</v>
      </c>
      <c r="O744" s="7" t="str">
        <f aca="false">IF(B744="TV Show",IFERROR(VALUE(LEFT(I744,FIND(" ",I744)-1)),""),"")</f>
        <v/>
      </c>
      <c r="P744" s="7" t="n">
        <f aca="false">IF(K744="","",K744-G744)</f>
        <v>0</v>
      </c>
    </row>
    <row r="745" customFormat="false" ht="15" hidden="false" customHeight="false" outlineLevel="0" collapsed="false">
      <c r="A745" s="7" t="n">
        <v>80158148</v>
      </c>
      <c r="B745" s="7" t="s">
        <v>68</v>
      </c>
      <c r="C745" s="7" t="s">
        <v>1899</v>
      </c>
      <c r="D745" s="7" t="s">
        <v>1900</v>
      </c>
      <c r="E745" s="7" t="s">
        <v>317</v>
      </c>
      <c r="F745" s="7" t="s">
        <v>1901</v>
      </c>
      <c r="G745" s="7" t="n">
        <v>2018</v>
      </c>
      <c r="H745" s="7" t="s">
        <v>48</v>
      </c>
      <c r="I745" s="7" t="s">
        <v>247</v>
      </c>
      <c r="J745" s="7" t="s">
        <v>1014</v>
      </c>
      <c r="K745" s="7" t="n">
        <f aca="false">IFERROR(VALUE(RIGHT(TRIM(F745),4)),"")</f>
        <v>2018</v>
      </c>
      <c r="L745" s="7" t="str">
        <f aca="false">IF(TRIM(E745)="","Unknown",IFERROR(LEFT(TRIM(E745),FIND(",",TRIM(E745))-1),TRIM(E745)))</f>
        <v>United Kingdom</v>
      </c>
      <c r="M745" s="7" t="str">
        <f aca="false">IFERROR(LEFT(J745,FIND(",",J745)-1),J745)</f>
        <v>Horror Movies</v>
      </c>
      <c r="N745" s="7" t="n">
        <f aca="false">IF(B745="Movie",IFERROR(VALUE(LEFT(I745,FIND(" ",I745)-1)),""),"")</f>
        <v>130</v>
      </c>
      <c r="O745" s="7" t="str">
        <f aca="false">IF(B745="TV Show",IFERROR(VALUE(LEFT(I745,FIND(" ",I745)-1)),""),"")</f>
        <v/>
      </c>
      <c r="P745" s="7" t="n">
        <f aca="false">IF(K745="","",K745-G745)</f>
        <v>0</v>
      </c>
    </row>
    <row r="746" customFormat="false" ht="15" hidden="false" customHeight="false" outlineLevel="0" collapsed="false">
      <c r="A746" s="7" t="n">
        <v>80119451</v>
      </c>
      <c r="B746" s="7" t="s">
        <v>78</v>
      </c>
      <c r="C746" s="7" t="s">
        <v>1902</v>
      </c>
      <c r="E746" s="7" t="s">
        <v>396</v>
      </c>
      <c r="F746" s="7" t="s">
        <v>1901</v>
      </c>
      <c r="G746" s="7" t="n">
        <v>2014</v>
      </c>
      <c r="H746" s="7" t="s">
        <v>49</v>
      </c>
      <c r="I746" s="7" t="s">
        <v>82</v>
      </c>
      <c r="J746" s="7" t="s">
        <v>402</v>
      </c>
      <c r="K746" s="7" t="n">
        <f aca="false">IFERROR(VALUE(RIGHT(TRIM(F746),4)),"")</f>
        <v>2018</v>
      </c>
      <c r="L746" s="7" t="str">
        <f aca="false">IF(TRIM(E746)="","Unknown",IFERROR(LEFT(TRIM(E746),FIND(",",TRIM(E746))-1),TRIM(E746)))</f>
        <v>Turkey</v>
      </c>
      <c r="M746" s="7" t="str">
        <f aca="false">IFERROR(LEFT(J746,FIND(",",J746)-1),J746)</f>
        <v>Crime TV Shows</v>
      </c>
      <c r="N746" s="7" t="str">
        <f aca="false">IF(B746="Movie",IFERROR(VALUE(LEFT(I746,FIND(" ",I746)-1)),""),"")</f>
        <v/>
      </c>
      <c r="O746" s="7" t="n">
        <f aca="false">IF(B746="TV Show",IFERROR(VALUE(LEFT(I746,FIND(" ",I746)-1)),""),"")</f>
        <v>1</v>
      </c>
      <c r="P746" s="7" t="n">
        <f aca="false">IF(K746="","",K746-G746)</f>
        <v>4</v>
      </c>
    </row>
    <row r="747" customFormat="false" ht="15" hidden="false" customHeight="false" outlineLevel="0" collapsed="false">
      <c r="A747" s="7" t="n">
        <v>80239565</v>
      </c>
      <c r="B747" s="7" t="s">
        <v>68</v>
      </c>
      <c r="C747" s="7" t="s">
        <v>1903</v>
      </c>
      <c r="D747" s="7" t="s">
        <v>1904</v>
      </c>
      <c r="E747" s="7" t="s">
        <v>1265</v>
      </c>
      <c r="F747" s="7" t="s">
        <v>1901</v>
      </c>
      <c r="G747" s="7" t="n">
        <v>2018</v>
      </c>
      <c r="H747" s="7" t="s">
        <v>48</v>
      </c>
      <c r="I747" s="7" t="s">
        <v>87</v>
      </c>
      <c r="J747" s="7" t="s">
        <v>1905</v>
      </c>
      <c r="K747" s="7" t="n">
        <f aca="false">IFERROR(VALUE(RIGHT(TRIM(F747),4)),"")</f>
        <v>2018</v>
      </c>
      <c r="L747" s="7" t="str">
        <f aca="false">IF(TRIM(E747)="","Unknown",IFERROR(LEFT(TRIM(E747),FIND(",",TRIM(E747))-1),TRIM(E747)))</f>
        <v>Spain</v>
      </c>
      <c r="M747" s="7" t="str">
        <f aca="false">IFERROR(LEFT(J747,FIND(",",J747)-1),J747)</f>
        <v>Horror Movies</v>
      </c>
      <c r="N747" s="7" t="n">
        <f aca="false">IF(B747="Movie",IFERROR(VALUE(LEFT(I747,FIND(" ",I747)-1)),""),"")</f>
        <v>99</v>
      </c>
      <c r="O747" s="7" t="str">
        <f aca="false">IF(B747="TV Show",IFERROR(VALUE(LEFT(I747,FIND(" ",I747)-1)),""),"")</f>
        <v/>
      </c>
      <c r="P747" s="7" t="n">
        <f aca="false">IF(K747="","",K747-G747)</f>
        <v>0</v>
      </c>
    </row>
    <row r="748" customFormat="false" ht="15" hidden="false" customHeight="false" outlineLevel="0" collapsed="false">
      <c r="A748" s="7" t="n">
        <v>80216844</v>
      </c>
      <c r="B748" s="7" t="s">
        <v>68</v>
      </c>
      <c r="C748" s="7" t="s">
        <v>1906</v>
      </c>
      <c r="D748" s="7" t="s">
        <v>1907</v>
      </c>
      <c r="E748" s="7" t="s">
        <v>26</v>
      </c>
      <c r="F748" s="7" t="s">
        <v>1901</v>
      </c>
      <c r="G748" s="7" t="n">
        <v>2018</v>
      </c>
      <c r="H748" s="7" t="s">
        <v>48</v>
      </c>
      <c r="I748" s="7" t="s">
        <v>212</v>
      </c>
      <c r="J748" s="7" t="s">
        <v>1211</v>
      </c>
      <c r="K748" s="7" t="n">
        <f aca="false">IFERROR(VALUE(RIGHT(TRIM(F748),4)),"")</f>
        <v>2018</v>
      </c>
      <c r="L748" s="7" t="str">
        <f aca="false">IF(TRIM(E748)="","Unknown",IFERROR(LEFT(TRIM(E748),FIND(",",TRIM(E748))-1),TRIM(E748)))</f>
        <v>United States</v>
      </c>
      <c r="M748" s="7" t="str">
        <f aca="false">IFERROR(LEFT(J748,FIND(",",J748)-1),J748)</f>
        <v>Documentaries</v>
      </c>
      <c r="N748" s="7" t="n">
        <f aca="false">IF(B748="Movie",IFERROR(VALUE(LEFT(I748,FIND(" ",I748)-1)),""),"")</f>
        <v>86</v>
      </c>
      <c r="O748" s="7" t="str">
        <f aca="false">IF(B748="TV Show",IFERROR(VALUE(LEFT(I748,FIND(" ",I748)-1)),""),"")</f>
        <v/>
      </c>
      <c r="P748" s="7" t="n">
        <f aca="false">IF(K748="","",K748-G748)</f>
        <v>0</v>
      </c>
    </row>
    <row r="749" customFormat="false" ht="15" hidden="false" customHeight="false" outlineLevel="0" collapsed="false">
      <c r="A749" s="7" t="n">
        <v>80187722</v>
      </c>
      <c r="B749" s="7" t="s">
        <v>78</v>
      </c>
      <c r="C749" s="7" t="s">
        <v>1908</v>
      </c>
      <c r="D749" s="7" t="s">
        <v>1909</v>
      </c>
      <c r="F749" s="7" t="s">
        <v>1901</v>
      </c>
      <c r="G749" s="7" t="n">
        <v>2018</v>
      </c>
      <c r="H749" s="7" t="s">
        <v>48</v>
      </c>
      <c r="I749" s="7" t="s">
        <v>82</v>
      </c>
      <c r="J749" s="7" t="s">
        <v>164</v>
      </c>
      <c r="K749" s="7" t="n">
        <f aca="false">IFERROR(VALUE(RIGHT(TRIM(F749),4)),"")</f>
        <v>2018</v>
      </c>
      <c r="L749" s="7" t="str">
        <f aca="false">IF(TRIM(E749)="","Unknown",IFERROR(LEFT(TRIM(E749),FIND(",",TRIM(E749))-1),TRIM(E749)))</f>
        <v>Unknown</v>
      </c>
      <c r="M749" s="7" t="str">
        <f aca="false">IFERROR(LEFT(J749,FIND(",",J749)-1),J749)</f>
        <v>Docuseries</v>
      </c>
      <c r="N749" s="7" t="str">
        <f aca="false">IF(B749="Movie",IFERROR(VALUE(LEFT(I749,FIND(" ",I749)-1)),""),"")</f>
        <v/>
      </c>
      <c r="O749" s="7" t="n">
        <f aca="false">IF(B749="TV Show",IFERROR(VALUE(LEFT(I749,FIND(" ",I749)-1)),""),"")</f>
        <v>1</v>
      </c>
      <c r="P749" s="7" t="n">
        <f aca="false">IF(K749="","",K749-G749)</f>
        <v>0</v>
      </c>
    </row>
    <row r="750" customFormat="false" ht="15" hidden="false" customHeight="false" outlineLevel="0" collapsed="false">
      <c r="A750" s="7" t="n">
        <v>81021082</v>
      </c>
      <c r="B750" s="7" t="s">
        <v>68</v>
      </c>
      <c r="C750" s="7" t="s">
        <v>1910</v>
      </c>
      <c r="D750" s="7" t="s">
        <v>361</v>
      </c>
      <c r="E750" s="7" t="s">
        <v>362</v>
      </c>
      <c r="F750" s="7" t="s">
        <v>1901</v>
      </c>
      <c r="G750" s="7" t="n">
        <v>2018</v>
      </c>
      <c r="H750" s="7" t="s">
        <v>49</v>
      </c>
      <c r="I750" s="7" t="s">
        <v>173</v>
      </c>
      <c r="J750" s="7" t="s">
        <v>169</v>
      </c>
      <c r="K750" s="7" t="n">
        <f aca="false">IFERROR(VALUE(RIGHT(TRIM(F750),4)),"")</f>
        <v>2018</v>
      </c>
      <c r="L750" s="7" t="str">
        <f aca="false">IF(TRIM(E750)="","Unknown",IFERROR(LEFT(TRIM(E750),FIND(",",TRIM(E750))-1),TRIM(E750)))</f>
        <v>Indonesia</v>
      </c>
      <c r="M750" s="7" t="str">
        <f aca="false">IFERROR(LEFT(J750,FIND(",",J750)-1),J750)</f>
        <v>Horror Movies</v>
      </c>
      <c r="N750" s="7" t="n">
        <f aca="false">IF(B750="Movie",IFERROR(VALUE(LEFT(I750,FIND(" ",I750)-1)),""),"")</f>
        <v>106</v>
      </c>
      <c r="O750" s="7" t="str">
        <f aca="false">IF(B750="TV Show",IFERROR(VALUE(LEFT(I750,FIND(" ",I750)-1)),""),"")</f>
        <v/>
      </c>
      <c r="P750" s="7" t="n">
        <f aca="false">IF(K750="","",K750-G750)</f>
        <v>0</v>
      </c>
    </row>
    <row r="751" customFormat="false" ht="15" hidden="false" customHeight="false" outlineLevel="0" collapsed="false">
      <c r="A751" s="7" t="n">
        <v>80191047</v>
      </c>
      <c r="B751" s="7" t="s">
        <v>68</v>
      </c>
      <c r="C751" s="7" t="s">
        <v>1911</v>
      </c>
      <c r="D751" s="7" t="s">
        <v>1912</v>
      </c>
      <c r="E751" s="7" t="s">
        <v>26</v>
      </c>
      <c r="F751" s="7" t="s">
        <v>1901</v>
      </c>
      <c r="G751" s="7" t="n">
        <v>2018</v>
      </c>
      <c r="H751" s="7" t="s">
        <v>49</v>
      </c>
      <c r="I751" s="7" t="s">
        <v>1164</v>
      </c>
      <c r="J751" s="7" t="s">
        <v>509</v>
      </c>
      <c r="K751" s="7" t="n">
        <f aca="false">IFERROR(VALUE(RIGHT(TRIM(F751),4)),"")</f>
        <v>2018</v>
      </c>
      <c r="L751" s="7" t="str">
        <f aca="false">IF(TRIM(E751)="","Unknown",IFERROR(LEFT(TRIM(E751),FIND(",",TRIM(E751))-1),TRIM(E751)))</f>
        <v>United States</v>
      </c>
      <c r="M751" s="7" t="str">
        <f aca="false">IFERROR(LEFT(J751,FIND(",",J751)-1),J751)</f>
        <v>Documentaries</v>
      </c>
      <c r="N751" s="7" t="n">
        <f aca="false">IF(B751="Movie",IFERROR(VALUE(LEFT(I751,FIND(" ",I751)-1)),""),"")</f>
        <v>57</v>
      </c>
      <c r="O751" s="7" t="str">
        <f aca="false">IF(B751="TV Show",IFERROR(VALUE(LEFT(I751,FIND(" ",I751)-1)),""),"")</f>
        <v/>
      </c>
      <c r="P751" s="7" t="n">
        <f aca="false">IF(K751="","",K751-G751)</f>
        <v>0</v>
      </c>
    </row>
    <row r="752" customFormat="false" ht="15" hidden="false" customHeight="false" outlineLevel="0" collapsed="false">
      <c r="A752" s="7" t="n">
        <v>80201868</v>
      </c>
      <c r="B752" s="7" t="s">
        <v>78</v>
      </c>
      <c r="C752" s="7" t="s">
        <v>1913</v>
      </c>
      <c r="F752" s="7" t="s">
        <v>1901</v>
      </c>
      <c r="G752" s="7" t="n">
        <v>2018</v>
      </c>
      <c r="H752" s="7" t="s">
        <v>50</v>
      </c>
      <c r="I752" s="7" t="s">
        <v>82</v>
      </c>
      <c r="J752" s="7" t="s">
        <v>1914</v>
      </c>
      <c r="K752" s="7" t="n">
        <f aca="false">IFERROR(VALUE(RIGHT(TRIM(F752),4)),"")</f>
        <v>2018</v>
      </c>
      <c r="L752" s="7" t="str">
        <f aca="false">IF(TRIM(E752)="","Unknown",IFERROR(LEFT(TRIM(E752),FIND(",",TRIM(E752))-1),TRIM(E752)))</f>
        <v>Unknown</v>
      </c>
      <c r="M752" s="7" t="str">
        <f aca="false">IFERROR(LEFT(J752,FIND(",",J752)-1),J752)</f>
        <v>TV Comedies</v>
      </c>
      <c r="N752" s="7" t="str">
        <f aca="false">IF(B752="Movie",IFERROR(VALUE(LEFT(I752,FIND(" ",I752)-1)),""),"")</f>
        <v/>
      </c>
      <c r="O752" s="7" t="n">
        <f aca="false">IF(B752="TV Show",IFERROR(VALUE(LEFT(I752,FIND(" ",I752)-1)),""),"")</f>
        <v>1</v>
      </c>
      <c r="P752" s="7" t="n">
        <f aca="false">IF(K752="","",K752-G752)</f>
        <v>0</v>
      </c>
    </row>
    <row r="753" customFormat="false" ht="15" hidden="false" customHeight="false" outlineLevel="0" collapsed="false">
      <c r="A753" s="7" t="n">
        <v>80189221</v>
      </c>
      <c r="B753" s="7" t="s">
        <v>78</v>
      </c>
      <c r="C753" s="7" t="s">
        <v>1915</v>
      </c>
      <c r="E753" s="7" t="s">
        <v>26</v>
      </c>
      <c r="F753" s="7" t="s">
        <v>1901</v>
      </c>
      <c r="G753" s="7" t="n">
        <v>2018</v>
      </c>
      <c r="H753" s="7" t="s">
        <v>48</v>
      </c>
      <c r="I753" s="7" t="s">
        <v>82</v>
      </c>
      <c r="J753" s="7" t="s">
        <v>1469</v>
      </c>
      <c r="K753" s="7" t="n">
        <f aca="false">IFERROR(VALUE(RIGHT(TRIM(F753),4)),"")</f>
        <v>2018</v>
      </c>
      <c r="L753" s="7" t="str">
        <f aca="false">IF(TRIM(E753)="","Unknown",IFERROR(LEFT(TRIM(E753),FIND(",",TRIM(E753))-1),TRIM(E753)))</f>
        <v>United States</v>
      </c>
      <c r="M753" s="7" t="str">
        <f aca="false">IFERROR(LEFT(J753,FIND(",",J753)-1),J753)</f>
        <v>TV Dramas</v>
      </c>
      <c r="N753" s="7" t="str">
        <f aca="false">IF(B753="Movie",IFERROR(VALUE(LEFT(I753,FIND(" ",I753)-1)),""),"")</f>
        <v/>
      </c>
      <c r="O753" s="7" t="n">
        <f aca="false">IF(B753="TV Show",IFERROR(VALUE(LEFT(I753,FIND(" ",I753)-1)),""),"")</f>
        <v>1</v>
      </c>
      <c r="P753" s="7" t="n">
        <f aca="false">IF(K753="","",K753-G753)</f>
        <v>0</v>
      </c>
    </row>
    <row r="754" customFormat="false" ht="15" hidden="false" customHeight="false" outlineLevel="0" collapsed="false">
      <c r="A754" s="7" t="n">
        <v>80240972</v>
      </c>
      <c r="B754" s="7" t="s">
        <v>68</v>
      </c>
      <c r="C754" s="7" t="s">
        <v>1916</v>
      </c>
      <c r="D754" s="7" t="s">
        <v>1917</v>
      </c>
      <c r="E754" s="7" t="s">
        <v>1918</v>
      </c>
      <c r="F754" s="7" t="s">
        <v>1901</v>
      </c>
      <c r="G754" s="7" t="n">
        <v>2018</v>
      </c>
      <c r="H754" s="7" t="s">
        <v>51</v>
      </c>
      <c r="I754" s="7" t="s">
        <v>451</v>
      </c>
      <c r="J754" s="7" t="s">
        <v>150</v>
      </c>
      <c r="K754" s="7" t="n">
        <f aca="false">IFERROR(VALUE(RIGHT(TRIM(F754),4)),"")</f>
        <v>2018</v>
      </c>
      <c r="L754" s="7" t="str">
        <f aca="false">IF(TRIM(E754)="","Unknown",IFERROR(LEFT(TRIM(E754),FIND(",",TRIM(E754))-1),TRIM(E754)))</f>
        <v>United States</v>
      </c>
      <c r="M754" s="7" t="str">
        <f aca="false">IFERROR(LEFT(J754,FIND(",",J754)-1),J754)</f>
        <v>Dramas</v>
      </c>
      <c r="N754" s="7" t="n">
        <f aca="false">IF(B754="Movie",IFERROR(VALUE(LEFT(I754,FIND(" ",I754)-1)),""),"")</f>
        <v>97</v>
      </c>
      <c r="O754" s="7" t="str">
        <f aca="false">IF(B754="TV Show",IFERROR(VALUE(LEFT(I754,FIND(" ",I754)-1)),""),"")</f>
        <v/>
      </c>
      <c r="P754" s="7" t="n">
        <f aca="false">IF(K754="","",K754-G754)</f>
        <v>0</v>
      </c>
    </row>
    <row r="755" customFormat="false" ht="15" hidden="false" customHeight="false" outlineLevel="0" collapsed="false">
      <c r="A755" s="7" t="n">
        <v>80103282</v>
      </c>
      <c r="B755" s="7" t="s">
        <v>68</v>
      </c>
      <c r="C755" s="7" t="s">
        <v>1919</v>
      </c>
      <c r="D755" s="7" t="s">
        <v>1920</v>
      </c>
      <c r="E755" s="7" t="s">
        <v>1921</v>
      </c>
      <c r="F755" s="7" t="s">
        <v>1922</v>
      </c>
      <c r="G755" s="7" t="n">
        <v>2016</v>
      </c>
      <c r="H755" s="7" t="s">
        <v>49</v>
      </c>
      <c r="I755" s="7" t="s">
        <v>264</v>
      </c>
      <c r="J755" s="7" t="s">
        <v>206</v>
      </c>
      <c r="K755" s="7" t="n">
        <f aca="false">IFERROR(VALUE(RIGHT(TRIM(F755),4)),"")</f>
        <v>2017</v>
      </c>
      <c r="L755" s="7" t="str">
        <f aca="false">IF(TRIM(E755)="","Unknown",IFERROR(LEFT(TRIM(E755),FIND(",",TRIM(E755))-1),TRIM(E755)))</f>
        <v>Saudi Arabia</v>
      </c>
      <c r="M755" s="7" t="str">
        <f aca="false">IFERROR(LEFT(J755,FIND(",",J755)-1),J755)</f>
        <v>Comedies</v>
      </c>
      <c r="N755" s="7" t="n">
        <f aca="false">IF(B755="Movie",IFERROR(VALUE(LEFT(I755,FIND(" ",I755)-1)),""),"")</f>
        <v>88</v>
      </c>
      <c r="O755" s="7" t="str">
        <f aca="false">IF(B755="TV Show",IFERROR(VALUE(LEFT(I755,FIND(" ",I755)-1)),""),"")</f>
        <v/>
      </c>
      <c r="P755" s="7" t="n">
        <f aca="false">IF(K755="","",K755-G755)</f>
        <v>1</v>
      </c>
    </row>
    <row r="756" customFormat="false" ht="15" hidden="false" customHeight="false" outlineLevel="0" collapsed="false">
      <c r="A756" s="7" t="n">
        <v>80134526</v>
      </c>
      <c r="B756" s="7" t="s">
        <v>68</v>
      </c>
      <c r="C756" s="7" t="s">
        <v>1923</v>
      </c>
      <c r="D756" s="7" t="s">
        <v>1924</v>
      </c>
      <c r="E756" s="7" t="s">
        <v>33</v>
      </c>
      <c r="F756" s="7" t="s">
        <v>1922</v>
      </c>
      <c r="G756" s="7" t="n">
        <v>2017</v>
      </c>
      <c r="H756" s="7" t="s">
        <v>48</v>
      </c>
      <c r="I756" s="7" t="s">
        <v>357</v>
      </c>
      <c r="J756" s="7" t="s">
        <v>1000</v>
      </c>
      <c r="K756" s="7" t="n">
        <f aca="false">IFERROR(VALUE(RIGHT(TRIM(F756),4)),"")</f>
        <v>2017</v>
      </c>
      <c r="L756" s="7" t="str">
        <f aca="false">IF(TRIM(E756)="","Unknown",IFERROR(LEFT(TRIM(E756),FIND(",",TRIM(E756))-1),TRIM(E756)))</f>
        <v>Spain</v>
      </c>
      <c r="M756" s="7" t="str">
        <f aca="false">IFERROR(LEFT(J756,FIND(",",J756)-1),J756)</f>
        <v>Comedies</v>
      </c>
      <c r="N756" s="7" t="n">
        <f aca="false">IF(B756="Movie",IFERROR(VALUE(LEFT(I756,FIND(" ",I756)-1)),""),"")</f>
        <v>89</v>
      </c>
      <c r="O756" s="7" t="str">
        <f aca="false">IF(B756="TV Show",IFERROR(VALUE(LEFT(I756,FIND(" ",I756)-1)),""),"")</f>
        <v/>
      </c>
      <c r="P756" s="7" t="n">
        <f aca="false">IF(K756="","",K756-G756)</f>
        <v>0</v>
      </c>
    </row>
    <row r="757" customFormat="false" ht="15" hidden="false" customHeight="false" outlineLevel="0" collapsed="false">
      <c r="A757" s="7" t="n">
        <v>80127559</v>
      </c>
      <c r="B757" s="7" t="s">
        <v>68</v>
      </c>
      <c r="C757" s="7" t="s">
        <v>1925</v>
      </c>
      <c r="D757" s="7" t="s">
        <v>931</v>
      </c>
      <c r="E757" s="7" t="s">
        <v>26</v>
      </c>
      <c r="F757" s="7" t="s">
        <v>1926</v>
      </c>
      <c r="G757" s="7" t="n">
        <v>2016</v>
      </c>
      <c r="H757" s="7" t="s">
        <v>50</v>
      </c>
      <c r="I757" s="7" t="s">
        <v>73</v>
      </c>
      <c r="J757" s="7" t="s">
        <v>1927</v>
      </c>
      <c r="K757" s="7" t="n">
        <f aca="false">IFERROR(VALUE(RIGHT(TRIM(F757),4)),"")</f>
        <v>2016</v>
      </c>
      <c r="L757" s="7" t="str">
        <f aca="false">IF(TRIM(E757)="","Unknown",IFERROR(LEFT(TRIM(E757),FIND(",",TRIM(E757))-1),TRIM(E757)))</f>
        <v>United States</v>
      </c>
      <c r="M757" s="7" t="str">
        <f aca="false">IFERROR(LEFT(J757,FIND(",",J757)-1),J757)</f>
        <v>Music &amp; Musicals</v>
      </c>
      <c r="N757" s="7" t="n">
        <f aca="false">IF(B757="Movie",IFERROR(VALUE(LEFT(I757,FIND(" ",I757)-1)),""),"")</f>
        <v>90</v>
      </c>
      <c r="O757" s="7" t="str">
        <f aca="false">IF(B757="TV Show",IFERROR(VALUE(LEFT(I757,FIND(" ",I757)-1)),""),"")</f>
        <v/>
      </c>
      <c r="P757" s="7" t="n">
        <f aca="false">IF(K757="","",K757-G757)</f>
        <v>0</v>
      </c>
    </row>
    <row r="758" customFormat="false" ht="15" hidden="false" customHeight="false" outlineLevel="0" collapsed="false">
      <c r="A758" s="7" t="n">
        <v>80005501</v>
      </c>
      <c r="B758" s="7" t="s">
        <v>68</v>
      </c>
      <c r="C758" s="7" t="s">
        <v>1928</v>
      </c>
      <c r="D758" s="7" t="s">
        <v>1929</v>
      </c>
      <c r="E758" s="7" t="s">
        <v>26</v>
      </c>
      <c r="F758" s="7" t="s">
        <v>1930</v>
      </c>
      <c r="G758" s="7" t="n">
        <v>2014</v>
      </c>
      <c r="H758" s="7" t="s">
        <v>54</v>
      </c>
      <c r="I758" s="7" t="s">
        <v>861</v>
      </c>
      <c r="J758" s="7" t="s">
        <v>1931</v>
      </c>
      <c r="K758" s="7" t="n">
        <f aca="false">IFERROR(VALUE(RIGHT(TRIM(F758),4)),"")</f>
        <v>2014</v>
      </c>
      <c r="L758" s="7" t="str">
        <f aca="false">IF(TRIM(E758)="","Unknown",IFERROR(LEFT(TRIM(E758),FIND(",",TRIM(E758))-1),TRIM(E758)))</f>
        <v>United States</v>
      </c>
      <c r="M758" s="7" t="str">
        <f aca="false">IFERROR(LEFT(J758,FIND(",",J758)-1),J758)</f>
        <v>Children &amp; Family Movies</v>
      </c>
      <c r="N758" s="7" t="n">
        <f aca="false">IF(B758="Movie",IFERROR(VALUE(LEFT(I758,FIND(" ",I758)-1)),""),"")</f>
        <v>71</v>
      </c>
      <c r="O758" s="7" t="str">
        <f aca="false">IF(B758="TV Show",IFERROR(VALUE(LEFT(I758,FIND(" ",I758)-1)),""),"")</f>
        <v/>
      </c>
      <c r="P758" s="7" t="n">
        <f aca="false">IF(K758="","",K758-G758)</f>
        <v>0</v>
      </c>
    </row>
    <row r="759" customFormat="false" ht="15" hidden="false" customHeight="false" outlineLevel="0" collapsed="false">
      <c r="A759" s="7" t="n">
        <v>81132441</v>
      </c>
      <c r="B759" s="7" t="s">
        <v>68</v>
      </c>
      <c r="C759" s="7" t="s">
        <v>1932</v>
      </c>
      <c r="D759" s="7" t="s">
        <v>1933</v>
      </c>
      <c r="E759" s="7" t="s">
        <v>396</v>
      </c>
      <c r="F759" s="7" t="s">
        <v>1934</v>
      </c>
      <c r="G759" s="7" t="n">
        <v>2017</v>
      </c>
      <c r="H759" s="7" t="s">
        <v>48</v>
      </c>
      <c r="I759" s="7" t="s">
        <v>417</v>
      </c>
      <c r="J759" s="7" t="s">
        <v>206</v>
      </c>
      <c r="K759" s="7" t="n">
        <f aca="false">IFERROR(VALUE(RIGHT(TRIM(F759),4)),"")</f>
        <v>2019</v>
      </c>
      <c r="L759" s="7" t="str">
        <f aca="false">IF(TRIM(E759)="","Unknown",IFERROR(LEFT(TRIM(E759),FIND(",",TRIM(E759))-1),TRIM(E759)))</f>
        <v>Turkey</v>
      </c>
      <c r="M759" s="7" t="str">
        <f aca="false">IFERROR(LEFT(J759,FIND(",",J759)-1),J759)</f>
        <v>Comedies</v>
      </c>
      <c r="N759" s="7" t="n">
        <f aca="false">IF(B759="Movie",IFERROR(VALUE(LEFT(I759,FIND(" ",I759)-1)),""),"")</f>
        <v>104</v>
      </c>
      <c r="O759" s="7" t="str">
        <f aca="false">IF(B759="TV Show",IFERROR(VALUE(LEFT(I759,FIND(" ",I759)-1)),""),"")</f>
        <v/>
      </c>
      <c r="P759" s="7" t="n">
        <f aca="false">IF(K759="","",K759-G759)</f>
        <v>2</v>
      </c>
    </row>
    <row r="760" customFormat="false" ht="15" hidden="false" customHeight="false" outlineLevel="0" collapsed="false">
      <c r="A760" s="7" t="n">
        <v>81078819</v>
      </c>
      <c r="B760" s="7" t="s">
        <v>68</v>
      </c>
      <c r="C760" s="7" t="s">
        <v>1935</v>
      </c>
      <c r="D760" s="7" t="s">
        <v>1936</v>
      </c>
      <c r="E760" s="7" t="s">
        <v>26</v>
      </c>
      <c r="F760" s="7" t="s">
        <v>1934</v>
      </c>
      <c r="G760" s="7" t="n">
        <v>2019</v>
      </c>
      <c r="H760" s="7" t="s">
        <v>48</v>
      </c>
      <c r="I760" s="7" t="s">
        <v>869</v>
      </c>
      <c r="J760" s="7" t="s">
        <v>597</v>
      </c>
      <c r="K760" s="7" t="n">
        <f aca="false">IFERROR(VALUE(RIGHT(TRIM(F760),4)),"")</f>
        <v>2019</v>
      </c>
      <c r="L760" s="7" t="str">
        <f aca="false">IF(TRIM(E760)="","Unknown",IFERROR(LEFT(TRIM(E760),FIND(",",TRIM(E760))-1),TRIM(E760)))</f>
        <v>United States</v>
      </c>
      <c r="M760" s="7" t="str">
        <f aca="false">IFERROR(LEFT(J760,FIND(",",J760)-1),J760)</f>
        <v>Dramas</v>
      </c>
      <c r="N760" s="7" t="n">
        <f aca="false">IF(B760="Movie",IFERROR(VALUE(LEFT(I760,FIND(" ",I760)-1)),""),"")</f>
        <v>123</v>
      </c>
      <c r="O760" s="7" t="str">
        <f aca="false">IF(B760="TV Show",IFERROR(VALUE(LEFT(I760,FIND(" ",I760)-1)),""),"")</f>
        <v/>
      </c>
      <c r="P760" s="7" t="n">
        <f aca="false">IF(K760="","",K760-G760)</f>
        <v>0</v>
      </c>
    </row>
    <row r="761" customFormat="false" ht="15" hidden="false" customHeight="false" outlineLevel="0" collapsed="false">
      <c r="A761" s="7" t="n">
        <v>80223997</v>
      </c>
      <c r="B761" s="7" t="s">
        <v>68</v>
      </c>
      <c r="C761" s="7" t="s">
        <v>1937</v>
      </c>
      <c r="D761" s="7" t="s">
        <v>145</v>
      </c>
      <c r="E761" s="7" t="s">
        <v>26</v>
      </c>
      <c r="F761" s="7" t="s">
        <v>1934</v>
      </c>
      <c r="G761" s="7" t="n">
        <v>2019</v>
      </c>
      <c r="H761" s="7" t="s">
        <v>48</v>
      </c>
      <c r="I761" s="7" t="s">
        <v>205</v>
      </c>
      <c r="J761" s="7" t="s">
        <v>811</v>
      </c>
      <c r="K761" s="7" t="n">
        <f aca="false">IFERROR(VALUE(RIGHT(TRIM(F761),4)),"")</f>
        <v>2019</v>
      </c>
      <c r="L761" s="7" t="str">
        <f aca="false">IF(TRIM(E761)="","Unknown",IFERROR(LEFT(TRIM(E761),FIND(",",TRIM(E761))-1),TRIM(E761)))</f>
        <v>United States</v>
      </c>
      <c r="M761" s="7" t="str">
        <f aca="false">IFERROR(LEFT(J761,FIND(",",J761)-1),J761)</f>
        <v>Thrillers</v>
      </c>
      <c r="N761" s="7" t="n">
        <f aca="false">IF(B761="Movie",IFERROR(VALUE(LEFT(I761,FIND(" ",I761)-1)),""),"")</f>
        <v>100</v>
      </c>
      <c r="O761" s="7" t="str">
        <f aca="false">IF(B761="TV Show",IFERROR(VALUE(LEFT(I761,FIND(" ",I761)-1)),""),"")</f>
        <v/>
      </c>
      <c r="P761" s="7" t="n">
        <f aca="false">IF(K761="","",K761-G761)</f>
        <v>0</v>
      </c>
    </row>
    <row r="762" customFormat="false" ht="15" hidden="false" customHeight="false" outlineLevel="0" collapsed="false">
      <c r="A762" s="7" t="n">
        <v>81191666</v>
      </c>
      <c r="B762" s="7" t="s">
        <v>68</v>
      </c>
      <c r="C762" s="7" t="s">
        <v>1938</v>
      </c>
      <c r="D762" s="7" t="s">
        <v>1939</v>
      </c>
      <c r="E762" s="7" t="s">
        <v>527</v>
      </c>
      <c r="F762" s="7" t="s">
        <v>1934</v>
      </c>
      <c r="G762" s="7" t="n">
        <v>2019</v>
      </c>
      <c r="H762" s="7" t="s">
        <v>49</v>
      </c>
      <c r="I762" s="7" t="s">
        <v>87</v>
      </c>
      <c r="J762" s="7" t="s">
        <v>304</v>
      </c>
      <c r="K762" s="7" t="n">
        <f aca="false">IFERROR(VALUE(RIGHT(TRIM(F762),4)),"")</f>
        <v>2019</v>
      </c>
      <c r="L762" s="7" t="str">
        <f aca="false">IF(TRIM(E762)="","Unknown",IFERROR(LEFT(TRIM(E762),FIND(",",TRIM(E762))-1),TRIM(E762)))</f>
        <v>Nigeria</v>
      </c>
      <c r="M762" s="7" t="str">
        <f aca="false">IFERROR(LEFT(J762,FIND(",",J762)-1),J762)</f>
        <v>Dramas</v>
      </c>
      <c r="N762" s="7" t="n">
        <f aca="false">IF(B762="Movie",IFERROR(VALUE(LEFT(I762,FIND(" ",I762)-1)),""),"")</f>
        <v>99</v>
      </c>
      <c r="O762" s="7" t="str">
        <f aca="false">IF(B762="TV Show",IFERROR(VALUE(LEFT(I762,FIND(" ",I762)-1)),""),"")</f>
        <v/>
      </c>
      <c r="P762" s="7" t="n">
        <f aca="false">IF(K762="","",K762-G762)</f>
        <v>0</v>
      </c>
    </row>
    <row r="763" customFormat="false" ht="15" hidden="false" customHeight="false" outlineLevel="0" collapsed="false">
      <c r="A763" s="7" t="n">
        <v>81133621</v>
      </c>
      <c r="B763" s="7" t="s">
        <v>68</v>
      </c>
      <c r="C763" s="7" t="s">
        <v>1940</v>
      </c>
      <c r="D763" s="7" t="s">
        <v>1941</v>
      </c>
      <c r="E763" s="7" t="s">
        <v>30</v>
      </c>
      <c r="F763" s="7" t="s">
        <v>1934</v>
      </c>
      <c r="G763" s="7" t="n">
        <v>2019</v>
      </c>
      <c r="H763" s="7" t="s">
        <v>48</v>
      </c>
      <c r="I763" s="7" t="s">
        <v>1041</v>
      </c>
      <c r="J763" s="7" t="s">
        <v>182</v>
      </c>
      <c r="K763" s="7" t="n">
        <f aca="false">IFERROR(VALUE(RIGHT(TRIM(F763),4)),"")</f>
        <v>2019</v>
      </c>
      <c r="L763" s="7" t="str">
        <f aca="false">IF(TRIM(E763)="","Unknown",IFERROR(LEFT(TRIM(E763),FIND(",",TRIM(E763))-1),TRIM(E763)))</f>
        <v>Japan</v>
      </c>
      <c r="M763" s="7" t="str">
        <f aca="false">IFERROR(LEFT(J763,FIND(",",J763)-1),J763)</f>
        <v>Dramas</v>
      </c>
      <c r="N763" s="7" t="n">
        <f aca="false">IF(B763="Movie",IFERROR(VALUE(LEFT(I763,FIND(" ",I763)-1)),""),"")</f>
        <v>151</v>
      </c>
      <c r="O763" s="7" t="str">
        <f aca="false">IF(B763="TV Show",IFERROR(VALUE(LEFT(I763,FIND(" ",I763)-1)),""),"")</f>
        <v/>
      </c>
      <c r="P763" s="7" t="n">
        <f aca="false">IF(K763="","",K763-G763)</f>
        <v>0</v>
      </c>
    </row>
    <row r="764" customFormat="false" ht="15" hidden="false" customHeight="false" outlineLevel="0" collapsed="false">
      <c r="A764" s="7" t="n">
        <v>81038598</v>
      </c>
      <c r="B764" s="7" t="s">
        <v>68</v>
      </c>
      <c r="C764" s="7" t="s">
        <v>1942</v>
      </c>
      <c r="D764" s="7" t="s">
        <v>1943</v>
      </c>
      <c r="E764" s="7" t="s">
        <v>1265</v>
      </c>
      <c r="F764" s="7" t="s">
        <v>1934</v>
      </c>
      <c r="G764" s="7" t="n">
        <v>2019</v>
      </c>
      <c r="H764" s="7" t="s">
        <v>48</v>
      </c>
      <c r="I764" s="7" t="s">
        <v>181</v>
      </c>
      <c r="J764" s="7" t="s">
        <v>169</v>
      </c>
      <c r="K764" s="7" t="n">
        <f aca="false">IFERROR(VALUE(RIGHT(TRIM(F764),4)),"")</f>
        <v>2019</v>
      </c>
      <c r="L764" s="7" t="str">
        <f aca="false">IF(TRIM(E764)="","Unknown",IFERROR(LEFT(TRIM(E764),FIND(",",TRIM(E764))-1),TRIM(E764)))</f>
        <v>Spain</v>
      </c>
      <c r="M764" s="7" t="str">
        <f aca="false">IFERROR(LEFT(J764,FIND(",",J764)-1),J764)</f>
        <v>Horror Movies</v>
      </c>
      <c r="N764" s="7" t="n">
        <f aca="false">IF(B764="Movie",IFERROR(VALUE(LEFT(I764,FIND(" ",I764)-1)),""),"")</f>
        <v>102</v>
      </c>
      <c r="O764" s="7" t="str">
        <f aca="false">IF(B764="TV Show",IFERROR(VALUE(LEFT(I764,FIND(" ",I764)-1)),""),"")</f>
        <v/>
      </c>
      <c r="P764" s="7" t="n">
        <f aca="false">IF(K764="","",K764-G764)</f>
        <v>0</v>
      </c>
    </row>
    <row r="765" customFormat="false" ht="15" hidden="false" customHeight="false" outlineLevel="0" collapsed="false">
      <c r="A765" s="7" t="n">
        <v>81016322</v>
      </c>
      <c r="B765" s="7" t="s">
        <v>68</v>
      </c>
      <c r="C765" s="7" t="s">
        <v>1944</v>
      </c>
      <c r="D765" s="7" t="s">
        <v>1166</v>
      </c>
      <c r="E765" s="7" t="s">
        <v>362</v>
      </c>
      <c r="F765" s="7" t="s">
        <v>1945</v>
      </c>
      <c r="G765" s="7" t="n">
        <v>2015</v>
      </c>
      <c r="H765" s="7" t="s">
        <v>50</v>
      </c>
      <c r="I765" s="7" t="s">
        <v>1270</v>
      </c>
      <c r="J765" s="7" t="s">
        <v>304</v>
      </c>
      <c r="K765" s="7" t="n">
        <f aca="false">IFERROR(VALUE(RIGHT(TRIM(F765),4)),"")</f>
        <v>2018</v>
      </c>
      <c r="L765" s="7" t="str">
        <f aca="false">IF(TRIM(E765)="","Unknown",IFERROR(LEFT(TRIM(E765),FIND(",",TRIM(E765))-1),TRIM(E765)))</f>
        <v>Indonesia</v>
      </c>
      <c r="M765" s="7" t="str">
        <f aca="false">IFERROR(LEFT(J765,FIND(",",J765)-1),J765)</f>
        <v>Dramas</v>
      </c>
      <c r="N765" s="7" t="n">
        <f aca="false">IF(B765="Movie",IFERROR(VALUE(LEFT(I765,FIND(" ",I765)-1)),""),"")</f>
        <v>118</v>
      </c>
      <c r="O765" s="7" t="str">
        <f aca="false">IF(B765="TV Show",IFERROR(VALUE(LEFT(I765,FIND(" ",I765)-1)),""),"")</f>
        <v/>
      </c>
      <c r="P765" s="7" t="n">
        <f aca="false">IF(K765="","",K765-G765)</f>
        <v>3</v>
      </c>
    </row>
    <row r="766" customFormat="false" ht="15" hidden="false" customHeight="false" outlineLevel="0" collapsed="false">
      <c r="A766" s="7" t="n">
        <v>81015994</v>
      </c>
      <c r="B766" s="7" t="s">
        <v>78</v>
      </c>
      <c r="C766" s="7" t="s">
        <v>1946</v>
      </c>
      <c r="F766" s="7" t="s">
        <v>1945</v>
      </c>
      <c r="G766" s="7" t="n">
        <v>2018</v>
      </c>
      <c r="H766" s="7" t="s">
        <v>48</v>
      </c>
      <c r="I766" s="7" t="s">
        <v>82</v>
      </c>
      <c r="J766" s="7" t="s">
        <v>402</v>
      </c>
      <c r="K766" s="7" t="n">
        <f aca="false">IFERROR(VALUE(RIGHT(TRIM(F766),4)),"")</f>
        <v>2018</v>
      </c>
      <c r="L766" s="7" t="str">
        <f aca="false">IF(TRIM(E766)="","Unknown",IFERROR(LEFT(TRIM(E766),FIND(",",TRIM(E766))-1),TRIM(E766)))</f>
        <v>Unknown</v>
      </c>
      <c r="M766" s="7" t="str">
        <f aca="false">IFERROR(LEFT(J766,FIND(",",J766)-1),J766)</f>
        <v>Crime TV Shows</v>
      </c>
      <c r="N766" s="7" t="str">
        <f aca="false">IF(B766="Movie",IFERROR(VALUE(LEFT(I766,FIND(" ",I766)-1)),""),"")</f>
        <v/>
      </c>
      <c r="O766" s="7" t="n">
        <f aca="false">IF(B766="TV Show",IFERROR(VALUE(LEFT(I766,FIND(" ",I766)-1)),""),"")</f>
        <v>1</v>
      </c>
      <c r="P766" s="7" t="n">
        <f aca="false">IF(K766="","",K766-G766)</f>
        <v>0</v>
      </c>
    </row>
    <row r="767" customFormat="false" ht="15" hidden="false" customHeight="false" outlineLevel="0" collapsed="false">
      <c r="A767" s="7" t="n">
        <v>80198288</v>
      </c>
      <c r="B767" s="7" t="s">
        <v>78</v>
      </c>
      <c r="C767" s="7" t="s">
        <v>1947</v>
      </c>
      <c r="F767" s="7" t="s">
        <v>1945</v>
      </c>
      <c r="G767" s="7" t="n">
        <v>2018</v>
      </c>
      <c r="H767" s="7" t="s">
        <v>50</v>
      </c>
      <c r="I767" s="7" t="s">
        <v>82</v>
      </c>
      <c r="J767" s="7" t="s">
        <v>164</v>
      </c>
      <c r="K767" s="7" t="n">
        <f aca="false">IFERROR(VALUE(RIGHT(TRIM(F767),4)),"")</f>
        <v>2018</v>
      </c>
      <c r="L767" s="7" t="str">
        <f aca="false">IF(TRIM(E767)="","Unknown",IFERROR(LEFT(TRIM(E767),FIND(",",TRIM(E767))-1),TRIM(E767)))</f>
        <v>Unknown</v>
      </c>
      <c r="M767" s="7" t="str">
        <f aca="false">IFERROR(LEFT(J767,FIND(",",J767)-1),J767)</f>
        <v>Docuseries</v>
      </c>
      <c r="N767" s="7" t="str">
        <f aca="false">IF(B767="Movie",IFERROR(VALUE(LEFT(I767,FIND(" ",I767)-1)),""),"")</f>
        <v/>
      </c>
      <c r="O767" s="7" t="n">
        <f aca="false">IF(B767="TV Show",IFERROR(VALUE(LEFT(I767,FIND(" ",I767)-1)),""),"")</f>
        <v>1</v>
      </c>
      <c r="P767" s="7" t="n">
        <f aca="false">IF(K767="","",K767-G767)</f>
        <v>0</v>
      </c>
    </row>
    <row r="768" customFormat="false" ht="15" hidden="false" customHeight="false" outlineLevel="0" collapsed="false">
      <c r="A768" s="7" t="n">
        <v>80147323</v>
      </c>
      <c r="B768" s="7" t="s">
        <v>68</v>
      </c>
      <c r="C768" s="7" t="s">
        <v>1948</v>
      </c>
      <c r="D768" s="7" t="s">
        <v>1949</v>
      </c>
      <c r="E768" s="7" t="s">
        <v>1950</v>
      </c>
      <c r="F768" s="7" t="s">
        <v>1945</v>
      </c>
      <c r="G768" s="7" t="n">
        <v>2016</v>
      </c>
      <c r="H768" s="7" t="s">
        <v>49</v>
      </c>
      <c r="I768" s="7" t="s">
        <v>134</v>
      </c>
      <c r="J768" s="7" t="s">
        <v>188</v>
      </c>
      <c r="K768" s="7" t="n">
        <f aca="false">IFERROR(VALUE(RIGHT(TRIM(F768),4)),"")</f>
        <v>2018</v>
      </c>
      <c r="L768" s="7" t="str">
        <f aca="false">IF(TRIM(E768)="","Unknown",IFERROR(LEFT(TRIM(E768),FIND(",",TRIM(E768))-1),TRIM(E768)))</f>
        <v>Egypt</v>
      </c>
      <c r="M768" s="7" t="str">
        <f aca="false">IFERROR(LEFT(J768,FIND(",",J768)-1),J768)</f>
        <v>Dramas</v>
      </c>
      <c r="N768" s="7" t="n">
        <f aca="false">IF(B768="Movie",IFERROR(VALUE(LEFT(I768,FIND(" ",I768)-1)),""),"")</f>
        <v>98</v>
      </c>
      <c r="O768" s="7" t="str">
        <f aca="false">IF(B768="TV Show",IFERROR(VALUE(LEFT(I768,FIND(" ",I768)-1)),""),"")</f>
        <v/>
      </c>
      <c r="P768" s="7" t="n">
        <f aca="false">IF(K768="","",K768-G768)</f>
        <v>2</v>
      </c>
    </row>
    <row r="769" customFormat="false" ht="15" hidden="false" customHeight="false" outlineLevel="0" collapsed="false">
      <c r="A769" s="7" t="n">
        <v>81172568</v>
      </c>
      <c r="B769" s="7" t="s">
        <v>78</v>
      </c>
      <c r="C769" s="7" t="s">
        <v>1951</v>
      </c>
      <c r="F769" s="7" t="s">
        <v>1952</v>
      </c>
      <c r="G769" s="7" t="n">
        <v>2018</v>
      </c>
      <c r="H769" s="7" t="s">
        <v>55</v>
      </c>
      <c r="I769" s="7" t="s">
        <v>82</v>
      </c>
      <c r="J769" s="7" t="s">
        <v>694</v>
      </c>
      <c r="K769" s="7" t="n">
        <f aca="false">IFERROR(VALUE(RIGHT(TRIM(F769),4)),"")</f>
        <v>2019</v>
      </c>
      <c r="L769" s="7" t="str">
        <f aca="false">IF(TRIM(E769)="","Unknown",IFERROR(LEFT(TRIM(E769),FIND(",",TRIM(E769))-1),TRIM(E769)))</f>
        <v>Unknown</v>
      </c>
      <c r="M769" s="7" t="str">
        <f aca="false">IFERROR(LEFT(J769,FIND(",",J769)-1),J769)</f>
        <v>Anime Series</v>
      </c>
      <c r="N769" s="7" t="str">
        <f aca="false">IF(B769="Movie",IFERROR(VALUE(LEFT(I769,FIND(" ",I769)-1)),""),"")</f>
        <v/>
      </c>
      <c r="O769" s="7" t="n">
        <f aca="false">IF(B769="TV Show",IFERROR(VALUE(LEFT(I769,FIND(" ",I769)-1)),""),"")</f>
        <v>1</v>
      </c>
      <c r="P769" s="7" t="n">
        <f aca="false">IF(K769="","",K769-G769)</f>
        <v>1</v>
      </c>
    </row>
    <row r="770" customFormat="false" ht="15" hidden="false" customHeight="false" outlineLevel="0" collapsed="false">
      <c r="A770" s="7" t="n">
        <v>81171871</v>
      </c>
      <c r="B770" s="7" t="s">
        <v>68</v>
      </c>
      <c r="C770" s="7" t="s">
        <v>1953</v>
      </c>
      <c r="D770" s="7" t="s">
        <v>1954</v>
      </c>
      <c r="F770" s="7" t="s">
        <v>1952</v>
      </c>
      <c r="G770" s="7" t="n">
        <v>2019</v>
      </c>
      <c r="H770" s="7" t="s">
        <v>50</v>
      </c>
      <c r="I770" s="7" t="s">
        <v>1955</v>
      </c>
      <c r="J770" s="7" t="s">
        <v>1956</v>
      </c>
      <c r="K770" s="7" t="n">
        <f aca="false">IFERROR(VALUE(RIGHT(TRIM(F770),4)),"")</f>
        <v>2019</v>
      </c>
      <c r="L770" s="7" t="str">
        <f aca="false">IF(TRIM(E770)="","Unknown",IFERROR(LEFT(TRIM(E770),FIND(",",TRIM(E770))-1),TRIM(E770)))</f>
        <v>Unknown</v>
      </c>
      <c r="M770" s="7" t="str">
        <f aca="false">IFERROR(LEFT(J770,FIND(",",J770)-1),J770)</f>
        <v>International Movies</v>
      </c>
      <c r="N770" s="7" t="n">
        <f aca="false">IF(B770="Movie",IFERROR(VALUE(LEFT(I770,FIND(" ",I770)-1)),""),"")</f>
        <v>154</v>
      </c>
      <c r="O770" s="7" t="str">
        <f aca="false">IF(B770="TV Show",IFERROR(VALUE(LEFT(I770,FIND(" ",I770)-1)),""),"")</f>
        <v/>
      </c>
      <c r="P770" s="7" t="n">
        <f aca="false">IF(K770="","",K770-G770)</f>
        <v>0</v>
      </c>
    </row>
    <row r="771" customFormat="false" ht="15" hidden="false" customHeight="false" outlineLevel="0" collapsed="false">
      <c r="A771" s="7" t="n">
        <v>81019771</v>
      </c>
      <c r="B771" s="7" t="s">
        <v>78</v>
      </c>
      <c r="C771" s="7" t="s">
        <v>1957</v>
      </c>
      <c r="E771" s="7" t="s">
        <v>30</v>
      </c>
      <c r="F771" s="7" t="s">
        <v>1952</v>
      </c>
      <c r="G771" s="7" t="n">
        <v>2019</v>
      </c>
      <c r="H771" s="7" t="s">
        <v>49</v>
      </c>
      <c r="I771" s="7" t="s">
        <v>82</v>
      </c>
      <c r="J771" s="7" t="s">
        <v>542</v>
      </c>
      <c r="K771" s="7" t="n">
        <f aca="false">IFERROR(VALUE(RIGHT(TRIM(F771),4)),"")</f>
        <v>2019</v>
      </c>
      <c r="L771" s="7" t="str">
        <f aca="false">IF(TRIM(E771)="","Unknown",IFERROR(LEFT(TRIM(E771),FIND(",",TRIM(E771))-1),TRIM(E771)))</f>
        <v>Japan</v>
      </c>
      <c r="M771" s="7" t="str">
        <f aca="false">IFERROR(LEFT(J771,FIND(",",J771)-1),J771)</f>
        <v>Anime Series</v>
      </c>
      <c r="N771" s="7" t="str">
        <f aca="false">IF(B771="Movie",IFERROR(VALUE(LEFT(I771,FIND(" ",I771)-1)),""),"")</f>
        <v/>
      </c>
      <c r="O771" s="7" t="n">
        <f aca="false">IF(B771="TV Show",IFERROR(VALUE(LEFT(I771,FIND(" ",I771)-1)),""),"")</f>
        <v>1</v>
      </c>
      <c r="P771" s="7" t="n">
        <f aca="false">IF(K771="","",K771-G771)</f>
        <v>0</v>
      </c>
    </row>
    <row r="772" customFormat="false" ht="15" hidden="false" customHeight="false" outlineLevel="0" collapsed="false">
      <c r="A772" s="7" t="n">
        <v>80210932</v>
      </c>
      <c r="B772" s="7" t="s">
        <v>68</v>
      </c>
      <c r="C772" s="7" t="s">
        <v>1958</v>
      </c>
      <c r="D772" s="7" t="s">
        <v>1959</v>
      </c>
      <c r="E772" s="7" t="s">
        <v>1960</v>
      </c>
      <c r="F772" s="7" t="s">
        <v>1961</v>
      </c>
      <c r="G772" s="7" t="n">
        <v>2018</v>
      </c>
      <c r="H772" s="7" t="s">
        <v>51</v>
      </c>
      <c r="I772" s="7" t="s">
        <v>1529</v>
      </c>
      <c r="J772" s="7" t="s">
        <v>597</v>
      </c>
      <c r="K772" s="7" t="n">
        <f aca="false">IFERROR(VALUE(RIGHT(TRIM(F772),4)),"")</f>
        <v>2018</v>
      </c>
      <c r="L772" s="7" t="str">
        <f aca="false">IF(TRIM(E772)="","Unknown",IFERROR(LEFT(TRIM(E772),FIND(",",TRIM(E772))-1),TRIM(E772)))</f>
        <v>Norway</v>
      </c>
      <c r="M772" s="7" t="str">
        <f aca="false">IFERROR(LEFT(J772,FIND(",",J772)-1),J772)</f>
        <v>Dramas</v>
      </c>
      <c r="N772" s="7" t="n">
        <f aca="false">IF(B772="Movie",IFERROR(VALUE(LEFT(I772,FIND(" ",I772)-1)),""),"")</f>
        <v>144</v>
      </c>
      <c r="O772" s="7" t="str">
        <f aca="false">IF(B772="TV Show",IFERROR(VALUE(LEFT(I772,FIND(" ",I772)-1)),""),"")</f>
        <v/>
      </c>
      <c r="P772" s="7" t="n">
        <f aca="false">IF(K772="","",K772-G772)</f>
        <v>0</v>
      </c>
    </row>
    <row r="773" customFormat="false" ht="15" hidden="false" customHeight="false" outlineLevel="0" collapsed="false">
      <c r="A773" s="7" t="n">
        <v>81003880</v>
      </c>
      <c r="B773" s="7" t="s">
        <v>78</v>
      </c>
      <c r="C773" s="7" t="s">
        <v>1962</v>
      </c>
      <c r="E773" s="7" t="s">
        <v>325</v>
      </c>
      <c r="F773" s="7" t="s">
        <v>1961</v>
      </c>
      <c r="G773" s="7" t="n">
        <v>2018</v>
      </c>
      <c r="H773" s="7" t="s">
        <v>48</v>
      </c>
      <c r="I773" s="7" t="s">
        <v>82</v>
      </c>
      <c r="J773" s="7" t="s">
        <v>402</v>
      </c>
      <c r="K773" s="7" t="n">
        <f aca="false">IFERROR(VALUE(RIGHT(TRIM(F773),4)),"")</f>
        <v>2018</v>
      </c>
      <c r="L773" s="7" t="str">
        <f aca="false">IF(TRIM(E773)="","Unknown",IFERROR(LEFT(TRIM(E773),FIND(",",TRIM(E773))-1),TRIM(E773)))</f>
        <v>Brazil</v>
      </c>
      <c r="M773" s="7" t="str">
        <f aca="false">IFERROR(LEFT(J773,FIND(",",J773)-1),J773)</f>
        <v>Crime TV Shows</v>
      </c>
      <c r="N773" s="7" t="str">
        <f aca="false">IF(B773="Movie",IFERROR(VALUE(LEFT(I773,FIND(" ",I773)-1)),""),"")</f>
        <v/>
      </c>
      <c r="O773" s="7" t="n">
        <f aca="false">IF(B773="TV Show",IFERROR(VALUE(LEFT(I773,FIND(" ",I773)-1)),""),"")</f>
        <v>1</v>
      </c>
      <c r="P773" s="7" t="n">
        <f aca="false">IF(K773="","",K773-G773)</f>
        <v>0</v>
      </c>
    </row>
    <row r="774" customFormat="false" ht="15" hidden="false" customHeight="false" outlineLevel="0" collapsed="false">
      <c r="A774" s="7" t="n">
        <v>81015317</v>
      </c>
      <c r="B774" s="7" t="s">
        <v>68</v>
      </c>
      <c r="C774" s="7" t="s">
        <v>1963</v>
      </c>
      <c r="D774" s="7" t="s">
        <v>1964</v>
      </c>
      <c r="E774" s="7" t="s">
        <v>26</v>
      </c>
      <c r="F774" s="7" t="s">
        <v>1961</v>
      </c>
      <c r="G774" s="7" t="n">
        <v>2018</v>
      </c>
      <c r="H774" s="7" t="s">
        <v>51</v>
      </c>
      <c r="I774" s="7" t="s">
        <v>93</v>
      </c>
      <c r="J774" s="7" t="s">
        <v>1504</v>
      </c>
      <c r="K774" s="7" t="n">
        <f aca="false">IFERROR(VALUE(RIGHT(TRIM(F774),4)),"")</f>
        <v>2018</v>
      </c>
      <c r="L774" s="7" t="str">
        <f aca="false">IF(TRIM(E774)="","Unknown",IFERROR(LEFT(TRIM(E774),FIND(",",TRIM(E774))-1),TRIM(E774)))</f>
        <v>United States</v>
      </c>
      <c r="M774" s="7" t="str">
        <f aca="false">IFERROR(LEFT(J774,FIND(",",J774)-1),J774)</f>
        <v>Cult Movies</v>
      </c>
      <c r="N774" s="7" t="n">
        <f aca="false">IF(B774="Movie",IFERROR(VALUE(LEFT(I774,FIND(" ",I774)-1)),""),"")</f>
        <v>110</v>
      </c>
      <c r="O774" s="7" t="str">
        <f aca="false">IF(B774="TV Show",IFERROR(VALUE(LEFT(I774,FIND(" ",I774)-1)),""),"")</f>
        <v/>
      </c>
      <c r="P774" s="7" t="n">
        <f aca="false">IF(K774="","",K774-G774)</f>
        <v>0</v>
      </c>
    </row>
    <row r="775" customFormat="false" ht="15" hidden="false" customHeight="false" outlineLevel="0" collapsed="false">
      <c r="A775" s="7" t="n">
        <v>80205204</v>
      </c>
      <c r="B775" s="7" t="s">
        <v>68</v>
      </c>
      <c r="C775" s="7" t="s">
        <v>1965</v>
      </c>
      <c r="D775" s="7" t="s">
        <v>1621</v>
      </c>
      <c r="E775" s="7" t="s">
        <v>26</v>
      </c>
      <c r="F775" s="7" t="s">
        <v>1966</v>
      </c>
      <c r="G775" s="7" t="n">
        <v>2017</v>
      </c>
      <c r="H775" s="7" t="s">
        <v>48</v>
      </c>
      <c r="I775" s="7" t="s">
        <v>1757</v>
      </c>
      <c r="J775" s="7" t="s">
        <v>45</v>
      </c>
      <c r="K775" s="7" t="n">
        <f aca="false">IFERROR(VALUE(RIGHT(TRIM(F775),4)),"")</f>
        <v>2017</v>
      </c>
      <c r="L775" s="7" t="str">
        <f aca="false">IF(TRIM(E775)="","Unknown",IFERROR(LEFT(TRIM(E775),FIND(",",TRIM(E775))-1),TRIM(E775)))</f>
        <v>United States</v>
      </c>
      <c r="M775" s="7" t="str">
        <f aca="false">IFERROR(LEFT(J775,FIND(",",J775)-1),J775)</f>
        <v>Stand-Up Comedy</v>
      </c>
      <c r="N775" s="7" t="n">
        <f aca="false">IF(B775="Movie",IFERROR(VALUE(LEFT(I775,FIND(" ",I775)-1)),""),"")</f>
        <v>59</v>
      </c>
      <c r="O775" s="7" t="str">
        <f aca="false">IF(B775="TV Show",IFERROR(VALUE(LEFT(I775,FIND(" ",I775)-1)),""),"")</f>
        <v/>
      </c>
      <c r="P775" s="7" t="n">
        <f aca="false">IF(K775="","",K775-G775)</f>
        <v>0</v>
      </c>
    </row>
    <row r="776" customFormat="false" ht="15" hidden="false" customHeight="false" outlineLevel="0" collapsed="false">
      <c r="A776" s="7" t="n">
        <v>70245168</v>
      </c>
      <c r="B776" s="7" t="s">
        <v>78</v>
      </c>
      <c r="C776" s="7" t="s">
        <v>1967</v>
      </c>
      <c r="E776" s="7" t="s">
        <v>293</v>
      </c>
      <c r="F776" s="7" t="s">
        <v>1968</v>
      </c>
      <c r="G776" s="7" t="n">
        <v>2009</v>
      </c>
      <c r="H776" s="7" t="s">
        <v>50</v>
      </c>
      <c r="I776" s="7" t="s">
        <v>82</v>
      </c>
      <c r="J776" s="7" t="s">
        <v>1969</v>
      </c>
      <c r="K776" s="7" t="n">
        <f aca="false">IFERROR(VALUE(RIGHT(TRIM(F776),4)),"")</f>
        <v>2015</v>
      </c>
      <c r="L776" s="7" t="str">
        <f aca="false">IF(TRIM(E776)="","Unknown",IFERROR(LEFT(TRIM(E776),FIND(",",TRIM(E776))-1),TRIM(E776)))</f>
        <v>United States</v>
      </c>
      <c r="M776" s="7" t="str">
        <f aca="false">IFERROR(LEFT(J776,FIND(",",J776)-1),J776)</f>
        <v>British TV Shows</v>
      </c>
      <c r="N776" s="7" t="str">
        <f aca="false">IF(B776="Movie",IFERROR(VALUE(LEFT(I776,FIND(" ",I776)-1)),""),"")</f>
        <v/>
      </c>
      <c r="O776" s="7" t="n">
        <f aca="false">IF(B776="TV Show",IFERROR(VALUE(LEFT(I776,FIND(" ",I776)-1)),""),"")</f>
        <v>1</v>
      </c>
      <c r="P776" s="7" t="n">
        <f aca="false">IF(K776="","",K776-G776)</f>
        <v>6</v>
      </c>
    </row>
    <row r="777" customFormat="false" ht="15" hidden="false" customHeight="false" outlineLevel="0" collapsed="false">
      <c r="A777" s="7" t="n">
        <v>70235731</v>
      </c>
      <c r="B777" s="7" t="s">
        <v>78</v>
      </c>
      <c r="C777" s="7" t="s">
        <v>1970</v>
      </c>
      <c r="D777" s="7" t="s">
        <v>1971</v>
      </c>
      <c r="E777" s="7" t="s">
        <v>28</v>
      </c>
      <c r="F777" s="7" t="s">
        <v>1968</v>
      </c>
      <c r="G777" s="7" t="n">
        <v>2001</v>
      </c>
      <c r="H777" s="7" t="s">
        <v>226</v>
      </c>
      <c r="I777" s="7" t="s">
        <v>82</v>
      </c>
      <c r="J777" s="7" t="s">
        <v>306</v>
      </c>
      <c r="K777" s="7" t="n">
        <f aca="false">IFERROR(VALUE(RIGHT(TRIM(F777),4)),"")</f>
        <v>2015</v>
      </c>
      <c r="L777" s="7" t="str">
        <f aca="false">IF(TRIM(E777)="","Unknown",IFERROR(LEFT(TRIM(E777),FIND(",",TRIM(E777))-1),TRIM(E777)))</f>
        <v>United Kingdom</v>
      </c>
      <c r="M777" s="7" t="str">
        <f aca="false">IFERROR(LEFT(J777,FIND(",",J777)-1),J777)</f>
        <v>British TV Shows</v>
      </c>
      <c r="N777" s="7" t="str">
        <f aca="false">IF(B777="Movie",IFERROR(VALUE(LEFT(I777,FIND(" ",I777)-1)),""),"")</f>
        <v/>
      </c>
      <c r="O777" s="7" t="n">
        <f aca="false">IF(B777="TV Show",IFERROR(VALUE(LEFT(I777,FIND(" ",I777)-1)),""),"")</f>
        <v>1</v>
      </c>
      <c r="P777" s="7" t="n">
        <f aca="false">IF(K777="","",K777-G777)</f>
        <v>14</v>
      </c>
    </row>
    <row r="778" customFormat="false" ht="15" hidden="false" customHeight="false" outlineLevel="0" collapsed="false">
      <c r="A778" s="7" t="n">
        <v>80003481</v>
      </c>
      <c r="B778" s="7" t="s">
        <v>68</v>
      </c>
      <c r="C778" s="7" t="s">
        <v>1972</v>
      </c>
      <c r="D778" s="7" t="s">
        <v>1973</v>
      </c>
      <c r="E778" s="7" t="s">
        <v>26</v>
      </c>
      <c r="F778" s="7" t="s">
        <v>1974</v>
      </c>
      <c r="G778" s="7" t="n">
        <v>2014</v>
      </c>
      <c r="H778" s="7" t="s">
        <v>48</v>
      </c>
      <c r="I778" s="7" t="s">
        <v>861</v>
      </c>
      <c r="J778" s="7" t="s">
        <v>45</v>
      </c>
      <c r="K778" s="7" t="n">
        <f aca="false">IFERROR(VALUE(RIGHT(TRIM(F778),4)),"")</f>
        <v>2014</v>
      </c>
      <c r="L778" s="7" t="str">
        <f aca="false">IF(TRIM(E778)="","Unknown",IFERROR(LEFT(TRIM(E778),FIND(",",TRIM(E778))-1),TRIM(E778)))</f>
        <v>United States</v>
      </c>
      <c r="M778" s="7" t="str">
        <f aca="false">IFERROR(LEFT(J778,FIND(",",J778)-1),J778)</f>
        <v>Stand-Up Comedy</v>
      </c>
      <c r="N778" s="7" t="n">
        <f aca="false">IF(B778="Movie",IFERROR(VALUE(LEFT(I778,FIND(" ",I778)-1)),""),"")</f>
        <v>71</v>
      </c>
      <c r="O778" s="7" t="str">
        <f aca="false">IF(B778="TV Show",IFERROR(VALUE(LEFT(I778,FIND(" ",I778)-1)),""),"")</f>
        <v/>
      </c>
      <c r="P778" s="7" t="n">
        <f aca="false">IF(K778="","",K778-G778)</f>
        <v>0</v>
      </c>
    </row>
    <row r="779" customFormat="false" ht="15" hidden="false" customHeight="false" outlineLevel="0" collapsed="false">
      <c r="A779" s="7" t="n">
        <v>81168338</v>
      </c>
      <c r="B779" s="7" t="s">
        <v>68</v>
      </c>
      <c r="C779" s="7" t="s">
        <v>1975</v>
      </c>
      <c r="D779" s="7" t="s">
        <v>1976</v>
      </c>
      <c r="E779" s="7" t="s">
        <v>1977</v>
      </c>
      <c r="F779" s="7" t="s">
        <v>1978</v>
      </c>
      <c r="G779" s="7" t="n">
        <v>1989</v>
      </c>
      <c r="H779" s="7" t="s">
        <v>49</v>
      </c>
      <c r="I779" s="7" t="s">
        <v>272</v>
      </c>
      <c r="J779" s="7" t="s">
        <v>304</v>
      </c>
      <c r="K779" s="7" t="n">
        <f aca="false">IFERROR(VALUE(RIGHT(TRIM(F779),4)),"")</f>
        <v>2019</v>
      </c>
      <c r="L779" s="7" t="str">
        <f aca="false">IF(TRIM(E779)="","Unknown",IFERROR(LEFT(TRIM(E779),FIND(",",TRIM(E779))-1),TRIM(E779)))</f>
        <v>Denmark</v>
      </c>
      <c r="M779" s="7" t="str">
        <f aca="false">IFERROR(LEFT(J779,FIND(",",J779)-1),J779)</f>
        <v>Dramas</v>
      </c>
      <c r="N779" s="7" t="n">
        <f aca="false">IF(B779="Movie",IFERROR(VALUE(LEFT(I779,FIND(" ",I779)-1)),""),"")</f>
        <v>93</v>
      </c>
      <c r="O779" s="7" t="str">
        <f aca="false">IF(B779="TV Show",IFERROR(VALUE(LEFT(I779,FIND(" ",I779)-1)),""),"")</f>
        <v/>
      </c>
      <c r="P779" s="7" t="n">
        <f aca="false">IF(K779="","",K779-G779)</f>
        <v>30</v>
      </c>
    </row>
    <row r="780" customFormat="false" ht="15" hidden="false" customHeight="false" outlineLevel="0" collapsed="false">
      <c r="A780" s="7" t="n">
        <v>81103033</v>
      </c>
      <c r="B780" s="7" t="s">
        <v>68</v>
      </c>
      <c r="C780" s="7" t="s">
        <v>1979</v>
      </c>
      <c r="D780" s="7" t="s">
        <v>1980</v>
      </c>
      <c r="E780" s="7" t="s">
        <v>29</v>
      </c>
      <c r="F780" s="7" t="s">
        <v>1978</v>
      </c>
      <c r="G780" s="7" t="n">
        <v>2019</v>
      </c>
      <c r="H780" s="7" t="s">
        <v>48</v>
      </c>
      <c r="I780" s="7" t="s">
        <v>162</v>
      </c>
      <c r="J780" s="7" t="s">
        <v>265</v>
      </c>
      <c r="K780" s="7" t="n">
        <f aca="false">IFERROR(VALUE(RIGHT(TRIM(F780),4)),"")</f>
        <v>2019</v>
      </c>
      <c r="L780" s="7" t="str">
        <f aca="false">IF(TRIM(E780)="","Unknown",IFERROR(LEFT(TRIM(E780),FIND(",",TRIM(E780))-1),TRIM(E780)))</f>
        <v>Canada</v>
      </c>
      <c r="M780" s="7" t="str">
        <f aca="false">IFERROR(LEFT(J780,FIND(",",J780)-1),J780)</f>
        <v>Horror Movies</v>
      </c>
      <c r="N780" s="7" t="n">
        <f aca="false">IF(B780="Movie",IFERROR(VALUE(LEFT(I780,FIND(" ",I780)-1)),""),"")</f>
        <v>77</v>
      </c>
      <c r="O780" s="7" t="str">
        <f aca="false">IF(B780="TV Show",IFERROR(VALUE(LEFT(I780,FIND(" ",I780)-1)),""),"")</f>
        <v/>
      </c>
      <c r="P780" s="7" t="n">
        <f aca="false">IF(K780="","",K780-G780)</f>
        <v>0</v>
      </c>
    </row>
    <row r="781" customFormat="false" ht="15" hidden="false" customHeight="false" outlineLevel="0" collapsed="false">
      <c r="A781" s="7" t="n">
        <v>60002273</v>
      </c>
      <c r="B781" s="7" t="s">
        <v>68</v>
      </c>
      <c r="C781" s="7" t="s">
        <v>1981</v>
      </c>
      <c r="D781" s="7" t="s">
        <v>1982</v>
      </c>
      <c r="E781" s="7" t="s">
        <v>1983</v>
      </c>
      <c r="F781" s="7" t="s">
        <v>1978</v>
      </c>
      <c r="G781" s="7" t="n">
        <v>2001</v>
      </c>
      <c r="H781" s="7" t="s">
        <v>51</v>
      </c>
      <c r="I781" s="7" t="s">
        <v>330</v>
      </c>
      <c r="J781" s="7" t="s">
        <v>811</v>
      </c>
      <c r="K781" s="7" t="n">
        <f aca="false">IFERROR(VALUE(RIGHT(TRIM(F781),4)),"")</f>
        <v>2019</v>
      </c>
      <c r="L781" s="7" t="str">
        <f aca="false">IF(TRIM(E781)="","Unknown",IFERROR(LEFT(TRIM(E781),FIND(",",TRIM(E781))-1),TRIM(E781)))</f>
        <v>United States</v>
      </c>
      <c r="M781" s="7" t="str">
        <f aca="false">IFERROR(LEFT(J781,FIND(",",J781)-1),J781)</f>
        <v>Thrillers</v>
      </c>
      <c r="N781" s="7" t="n">
        <f aca="false">IF(B781="Movie",IFERROR(VALUE(LEFT(I781,FIND(" ",I781)-1)),""),"")</f>
        <v>103</v>
      </c>
      <c r="O781" s="7" t="str">
        <f aca="false">IF(B781="TV Show",IFERROR(VALUE(LEFT(I781,FIND(" ",I781)-1)),""),"")</f>
        <v/>
      </c>
      <c r="P781" s="7" t="n">
        <f aca="false">IF(K781="","",K781-G781)</f>
        <v>18</v>
      </c>
    </row>
    <row r="782" customFormat="false" ht="15" hidden="false" customHeight="false" outlineLevel="0" collapsed="false">
      <c r="A782" s="7" t="n">
        <v>70297962</v>
      </c>
      <c r="B782" s="7" t="s">
        <v>68</v>
      </c>
      <c r="C782" s="7" t="s">
        <v>1984</v>
      </c>
      <c r="D782" s="7" t="s">
        <v>1985</v>
      </c>
      <c r="E782" s="7" t="s">
        <v>26</v>
      </c>
      <c r="F782" s="7" t="s">
        <v>1978</v>
      </c>
      <c r="G782" s="7" t="n">
        <v>2013</v>
      </c>
      <c r="H782" s="7" t="s">
        <v>226</v>
      </c>
      <c r="I782" s="7" t="s">
        <v>353</v>
      </c>
      <c r="J782" s="7" t="s">
        <v>42</v>
      </c>
      <c r="K782" s="7" t="n">
        <f aca="false">IFERROR(VALUE(RIGHT(TRIM(F782),4)),"")</f>
        <v>2019</v>
      </c>
      <c r="L782" s="7" t="str">
        <f aca="false">IF(TRIM(E782)="","Unknown",IFERROR(LEFT(TRIM(E782),FIND(",",TRIM(E782))-1),TRIM(E782)))</f>
        <v>United States</v>
      </c>
      <c r="M782" s="7" t="str">
        <f aca="false">IFERROR(LEFT(J782,FIND(",",J782)-1),J782)</f>
        <v>Children &amp; Family Movies</v>
      </c>
      <c r="N782" s="7" t="n">
        <f aca="false">IF(B782="Movie",IFERROR(VALUE(LEFT(I782,FIND(" ",I782)-1)),""),"")</f>
        <v>45</v>
      </c>
      <c r="O782" s="7" t="str">
        <f aca="false">IF(B782="TV Show",IFERROR(VALUE(LEFT(I782,FIND(" ",I782)-1)),""),"")</f>
        <v/>
      </c>
      <c r="P782" s="7" t="n">
        <f aca="false">IF(K782="","",K782-G782)</f>
        <v>6</v>
      </c>
    </row>
    <row r="783" customFormat="false" ht="15" hidden="false" customHeight="false" outlineLevel="0" collapsed="false">
      <c r="A783" s="7" t="n">
        <v>269880</v>
      </c>
      <c r="B783" s="7" t="s">
        <v>68</v>
      </c>
      <c r="C783" s="7" t="s">
        <v>1986</v>
      </c>
      <c r="D783" s="7" t="s">
        <v>1987</v>
      </c>
      <c r="E783" s="7" t="s">
        <v>26</v>
      </c>
      <c r="F783" s="7" t="s">
        <v>1978</v>
      </c>
      <c r="G783" s="7" t="n">
        <v>1995</v>
      </c>
      <c r="H783" s="7" t="s">
        <v>51</v>
      </c>
      <c r="I783" s="7" t="s">
        <v>519</v>
      </c>
      <c r="J783" s="7" t="s">
        <v>967</v>
      </c>
      <c r="K783" s="7" t="n">
        <f aca="false">IFERROR(VALUE(RIGHT(TRIM(F783),4)),"")</f>
        <v>2019</v>
      </c>
      <c r="L783" s="7" t="str">
        <f aca="false">IF(TRIM(E783)="","Unknown",IFERROR(LEFT(TRIM(E783),FIND(",",TRIM(E783))-1),TRIM(E783)))</f>
        <v>United States</v>
      </c>
      <c r="M783" s="7" t="str">
        <f aca="false">IFERROR(LEFT(J783,FIND(",",J783)-1),J783)</f>
        <v>Action &amp; Adventure</v>
      </c>
      <c r="N783" s="7" t="n">
        <f aca="false">IF(B783="Movie",IFERROR(VALUE(LEFT(I783,FIND(" ",I783)-1)),""),"")</f>
        <v>119</v>
      </c>
      <c r="O783" s="7" t="str">
        <f aca="false">IF(B783="TV Show",IFERROR(VALUE(LEFT(I783,FIND(" ",I783)-1)),""),"")</f>
        <v/>
      </c>
      <c r="P783" s="7" t="n">
        <f aca="false">IF(K783="","",K783-G783)</f>
        <v>24</v>
      </c>
    </row>
    <row r="784" customFormat="false" ht="15" hidden="false" customHeight="false" outlineLevel="0" collapsed="false">
      <c r="A784" s="7" t="n">
        <v>60029167</v>
      </c>
      <c r="B784" s="7" t="s">
        <v>68</v>
      </c>
      <c r="C784" s="7" t="s">
        <v>1988</v>
      </c>
      <c r="D784" s="7" t="s">
        <v>1987</v>
      </c>
      <c r="E784" s="7" t="s">
        <v>26</v>
      </c>
      <c r="F784" s="7" t="s">
        <v>1978</v>
      </c>
      <c r="G784" s="7" t="n">
        <v>2003</v>
      </c>
      <c r="H784" s="7" t="s">
        <v>51</v>
      </c>
      <c r="I784" s="7" t="s">
        <v>1989</v>
      </c>
      <c r="J784" s="7" t="s">
        <v>967</v>
      </c>
      <c r="K784" s="7" t="n">
        <f aca="false">IFERROR(VALUE(RIGHT(TRIM(F784),4)),"")</f>
        <v>2019</v>
      </c>
      <c r="L784" s="7" t="str">
        <f aca="false">IF(TRIM(E784)="","Unknown",IFERROR(LEFT(TRIM(E784),FIND(",",TRIM(E784))-1),TRIM(E784)))</f>
        <v>United States</v>
      </c>
      <c r="M784" s="7" t="str">
        <f aca="false">IFERROR(LEFT(J784,FIND(",",J784)-1),J784)</f>
        <v>Action &amp; Adventure</v>
      </c>
      <c r="N784" s="7" t="n">
        <f aca="false">IF(B784="Movie",IFERROR(VALUE(LEFT(I784,FIND(" ",I784)-1)),""),"")</f>
        <v>147</v>
      </c>
      <c r="O784" s="7" t="str">
        <f aca="false">IF(B784="TV Show",IFERROR(VALUE(LEFT(I784,FIND(" ",I784)-1)),""),"")</f>
        <v/>
      </c>
      <c r="P784" s="7" t="n">
        <f aca="false">IF(K784="","",K784-G784)</f>
        <v>16</v>
      </c>
    </row>
    <row r="785" customFormat="false" ht="15" hidden="false" customHeight="false" outlineLevel="0" collapsed="false">
      <c r="A785" s="7" t="n">
        <v>60020891</v>
      </c>
      <c r="B785" s="7" t="s">
        <v>68</v>
      </c>
      <c r="C785" s="7" t="s">
        <v>1990</v>
      </c>
      <c r="D785" s="7" t="s">
        <v>1991</v>
      </c>
      <c r="E785" s="7" t="s">
        <v>26</v>
      </c>
      <c r="F785" s="7" t="s">
        <v>1978</v>
      </c>
      <c r="G785" s="7" t="n">
        <v>2001</v>
      </c>
      <c r="H785" s="7" t="s">
        <v>51</v>
      </c>
      <c r="I785" s="7" t="s">
        <v>869</v>
      </c>
      <c r="J785" s="7" t="s">
        <v>37</v>
      </c>
      <c r="K785" s="7" t="n">
        <f aca="false">IFERROR(VALUE(RIGHT(TRIM(F785),4)),"")</f>
        <v>2019</v>
      </c>
      <c r="L785" s="7" t="str">
        <f aca="false">IF(TRIM(E785)="","Unknown",IFERROR(LEFT(TRIM(E785),FIND(",",TRIM(E785))-1),TRIM(E785)))</f>
        <v>United States</v>
      </c>
      <c r="M785" s="7" t="str">
        <f aca="false">IFERROR(LEFT(J785,FIND(",",J785)-1),J785)</f>
        <v>Dramas</v>
      </c>
      <c r="N785" s="7" t="n">
        <f aca="false">IF(B785="Movie",IFERROR(VALUE(LEFT(I785,FIND(" ",I785)-1)),""),"")</f>
        <v>123</v>
      </c>
      <c r="O785" s="7" t="str">
        <f aca="false">IF(B785="TV Show",IFERROR(VALUE(LEFT(I785,FIND(" ",I785)-1)),""),"")</f>
        <v/>
      </c>
      <c r="P785" s="7" t="n">
        <f aca="false">IF(K785="","",K785-G785)</f>
        <v>18</v>
      </c>
    </row>
    <row r="786" customFormat="false" ht="15" hidden="false" customHeight="false" outlineLevel="0" collapsed="false">
      <c r="A786" s="7" t="n">
        <v>347365</v>
      </c>
      <c r="B786" s="7" t="s">
        <v>68</v>
      </c>
      <c r="C786" s="7" t="s">
        <v>1992</v>
      </c>
      <c r="D786" s="7" t="s">
        <v>1993</v>
      </c>
      <c r="E786" s="7" t="s">
        <v>293</v>
      </c>
      <c r="F786" s="7" t="s">
        <v>1978</v>
      </c>
      <c r="G786" s="7" t="n">
        <v>1992</v>
      </c>
      <c r="H786" s="7" t="s">
        <v>51</v>
      </c>
      <c r="I786" s="7" t="s">
        <v>87</v>
      </c>
      <c r="J786" s="7" t="s">
        <v>1994</v>
      </c>
      <c r="K786" s="7" t="n">
        <f aca="false">IFERROR(VALUE(RIGHT(TRIM(F786),4)),"")</f>
        <v>2019</v>
      </c>
      <c r="L786" s="7" t="str">
        <f aca="false">IF(TRIM(E786)="","Unknown",IFERROR(LEFT(TRIM(E786),FIND(",",TRIM(E786))-1),TRIM(E786)))</f>
        <v>United States</v>
      </c>
      <c r="M786" s="7" t="str">
        <f aca="false">IFERROR(LEFT(J786,FIND(",",J786)-1),J786)</f>
        <v>Cult Movies</v>
      </c>
      <c r="N786" s="7" t="n">
        <f aca="false">IF(B786="Movie",IFERROR(VALUE(LEFT(I786,FIND(" ",I786)-1)),""),"")</f>
        <v>99</v>
      </c>
      <c r="O786" s="7" t="str">
        <f aca="false">IF(B786="TV Show",IFERROR(VALUE(LEFT(I786,FIND(" ",I786)-1)),""),"")</f>
        <v/>
      </c>
      <c r="P786" s="7" t="n">
        <f aca="false">IF(K786="","",K786-G786)</f>
        <v>27</v>
      </c>
    </row>
    <row r="787" customFormat="false" ht="15" hidden="false" customHeight="false" outlineLevel="0" collapsed="false">
      <c r="A787" s="7" t="n">
        <v>60003242</v>
      </c>
      <c r="B787" s="7" t="s">
        <v>68</v>
      </c>
      <c r="C787" s="7" t="s">
        <v>1995</v>
      </c>
      <c r="D787" s="7" t="s">
        <v>1894</v>
      </c>
      <c r="E787" s="7" t="s">
        <v>1996</v>
      </c>
      <c r="F787" s="7" t="s">
        <v>1978</v>
      </c>
      <c r="G787" s="7" t="n">
        <v>2000</v>
      </c>
      <c r="H787" s="7" t="s">
        <v>52</v>
      </c>
      <c r="I787" s="7" t="s">
        <v>134</v>
      </c>
      <c r="J787" s="7" t="s">
        <v>967</v>
      </c>
      <c r="K787" s="7" t="n">
        <f aca="false">IFERROR(VALUE(RIGHT(TRIM(F787),4)),"")</f>
        <v>2019</v>
      </c>
      <c r="L787" s="7" t="str">
        <f aca="false">IF(TRIM(E787)="","Unknown",IFERROR(LEFT(TRIM(E787),FIND(",",TRIM(E787))-1),TRIM(E787)))</f>
        <v>United States</v>
      </c>
      <c r="M787" s="7" t="str">
        <f aca="false">IFERROR(LEFT(J787,FIND(",",J787)-1),J787)</f>
        <v>Action &amp; Adventure</v>
      </c>
      <c r="N787" s="7" t="n">
        <f aca="false">IF(B787="Movie",IFERROR(VALUE(LEFT(I787,FIND(" ",I787)-1)),""),"")</f>
        <v>98</v>
      </c>
      <c r="O787" s="7" t="str">
        <f aca="false">IF(B787="TV Show",IFERROR(VALUE(LEFT(I787,FIND(" ",I787)-1)),""),"")</f>
        <v/>
      </c>
      <c r="P787" s="7" t="n">
        <f aca="false">IF(K787="","",K787-G787)</f>
        <v>19</v>
      </c>
    </row>
    <row r="788" customFormat="false" ht="15" hidden="false" customHeight="false" outlineLevel="0" collapsed="false">
      <c r="A788" s="7" t="n">
        <v>60027726</v>
      </c>
      <c r="B788" s="7" t="s">
        <v>68</v>
      </c>
      <c r="C788" s="7" t="s">
        <v>1997</v>
      </c>
      <c r="D788" s="7" t="s">
        <v>1894</v>
      </c>
      <c r="E788" s="7" t="s">
        <v>26</v>
      </c>
      <c r="F788" s="7" t="s">
        <v>1978</v>
      </c>
      <c r="G788" s="7" t="n">
        <v>2003</v>
      </c>
      <c r="H788" s="7" t="s">
        <v>52</v>
      </c>
      <c r="I788" s="7" t="s">
        <v>173</v>
      </c>
      <c r="J788" s="7" t="s">
        <v>967</v>
      </c>
      <c r="K788" s="7" t="n">
        <f aca="false">IFERROR(VALUE(RIGHT(TRIM(F788),4)),"")</f>
        <v>2019</v>
      </c>
      <c r="L788" s="7" t="str">
        <f aca="false">IF(TRIM(E788)="","Unknown",IFERROR(LEFT(TRIM(E788),FIND(",",TRIM(E788))-1),TRIM(E788)))</f>
        <v>United States</v>
      </c>
      <c r="M788" s="7" t="str">
        <f aca="false">IFERROR(LEFT(J788,FIND(",",J788)-1),J788)</f>
        <v>Action &amp; Adventure</v>
      </c>
      <c r="N788" s="7" t="n">
        <f aca="false">IF(B788="Movie",IFERROR(VALUE(LEFT(I788,FIND(" ",I788)-1)),""),"")</f>
        <v>106</v>
      </c>
      <c r="O788" s="7" t="str">
        <f aca="false">IF(B788="TV Show",IFERROR(VALUE(LEFT(I788,FIND(" ",I788)-1)),""),"")</f>
        <v/>
      </c>
      <c r="P788" s="7" t="n">
        <f aca="false">IF(K788="","",K788-G788)</f>
        <v>16</v>
      </c>
    </row>
    <row r="789" customFormat="false" ht="15" hidden="false" customHeight="false" outlineLevel="0" collapsed="false">
      <c r="A789" s="7" t="n">
        <v>81166946</v>
      </c>
      <c r="B789" s="7" t="s">
        <v>78</v>
      </c>
      <c r="C789" s="7" t="s">
        <v>1998</v>
      </c>
      <c r="D789" s="7" t="s">
        <v>1999</v>
      </c>
      <c r="E789" s="7" t="s">
        <v>32</v>
      </c>
      <c r="F789" s="7" t="s">
        <v>1978</v>
      </c>
      <c r="G789" s="7" t="n">
        <v>2016</v>
      </c>
      <c r="H789" s="7" t="s">
        <v>49</v>
      </c>
      <c r="I789" s="7" t="s">
        <v>82</v>
      </c>
      <c r="J789" s="7" t="s">
        <v>637</v>
      </c>
      <c r="K789" s="7" t="n">
        <f aca="false">IFERROR(VALUE(RIGHT(TRIM(F789),4)),"")</f>
        <v>2019</v>
      </c>
      <c r="L789" s="7" t="str">
        <f aca="false">IF(TRIM(E789)="","Unknown",IFERROR(LEFT(TRIM(E789),FIND(",",TRIM(E789))-1),TRIM(E789)))</f>
        <v>South Korea</v>
      </c>
      <c r="M789" s="7" t="str">
        <f aca="false">IFERROR(LEFT(J789,FIND(",",J789)-1),J789)</f>
        <v>International TV Shows</v>
      </c>
      <c r="N789" s="7" t="str">
        <f aca="false">IF(B789="Movie",IFERROR(VALUE(LEFT(I789,FIND(" ",I789)-1)),""),"")</f>
        <v/>
      </c>
      <c r="O789" s="7" t="n">
        <f aca="false">IF(B789="TV Show",IFERROR(VALUE(LEFT(I789,FIND(" ",I789)-1)),""),"")</f>
        <v>1</v>
      </c>
      <c r="P789" s="7" t="n">
        <f aca="false">IF(K789="","",K789-G789)</f>
        <v>3</v>
      </c>
    </row>
    <row r="790" customFormat="false" ht="15" hidden="false" customHeight="false" outlineLevel="0" collapsed="false">
      <c r="A790" s="7" t="n">
        <v>81167065</v>
      </c>
      <c r="B790" s="7" t="s">
        <v>78</v>
      </c>
      <c r="C790" s="7" t="s">
        <v>2000</v>
      </c>
      <c r="E790" s="7" t="s">
        <v>32</v>
      </c>
      <c r="F790" s="7" t="s">
        <v>1978</v>
      </c>
      <c r="G790" s="7" t="n">
        <v>2017</v>
      </c>
      <c r="H790" s="7" t="s">
        <v>49</v>
      </c>
      <c r="I790" s="7" t="s">
        <v>82</v>
      </c>
      <c r="J790" s="7" t="s">
        <v>637</v>
      </c>
      <c r="K790" s="7" t="n">
        <f aca="false">IFERROR(VALUE(RIGHT(TRIM(F790),4)),"")</f>
        <v>2019</v>
      </c>
      <c r="L790" s="7" t="str">
        <f aca="false">IF(TRIM(E790)="","Unknown",IFERROR(LEFT(TRIM(E790),FIND(",",TRIM(E790))-1),TRIM(E790)))</f>
        <v>South Korea</v>
      </c>
      <c r="M790" s="7" t="str">
        <f aca="false">IFERROR(LEFT(J790,FIND(",",J790)-1),J790)</f>
        <v>International TV Shows</v>
      </c>
      <c r="N790" s="7" t="str">
        <f aca="false">IF(B790="Movie",IFERROR(VALUE(LEFT(I790,FIND(" ",I790)-1)),""),"")</f>
        <v/>
      </c>
      <c r="O790" s="7" t="n">
        <f aca="false">IF(B790="TV Show",IFERROR(VALUE(LEFT(I790,FIND(" ",I790)-1)),""),"")</f>
        <v>1</v>
      </c>
      <c r="P790" s="7" t="n">
        <f aca="false">IF(K790="","",K790-G790)</f>
        <v>2</v>
      </c>
    </row>
    <row r="791" customFormat="false" ht="15" hidden="false" customHeight="false" outlineLevel="0" collapsed="false">
      <c r="A791" s="7" t="n">
        <v>81113888</v>
      </c>
      <c r="B791" s="7" t="s">
        <v>78</v>
      </c>
      <c r="C791" s="7" t="s">
        <v>2001</v>
      </c>
      <c r="E791" s="7" t="s">
        <v>27</v>
      </c>
      <c r="F791" s="7" t="s">
        <v>1978</v>
      </c>
      <c r="G791" s="7" t="n">
        <v>2018</v>
      </c>
      <c r="H791" s="7" t="s">
        <v>48</v>
      </c>
      <c r="I791" s="7" t="s">
        <v>82</v>
      </c>
      <c r="J791" s="7" t="s">
        <v>158</v>
      </c>
      <c r="K791" s="7" t="n">
        <f aca="false">IFERROR(VALUE(RIGHT(TRIM(F791),4)),"")</f>
        <v>2019</v>
      </c>
      <c r="L791" s="7" t="str">
        <f aca="false">IF(TRIM(E791)="","Unknown",IFERROR(LEFT(TRIM(E791),FIND(",",TRIM(E791))-1),TRIM(E791)))</f>
        <v>India</v>
      </c>
      <c r="M791" s="7" t="str">
        <f aca="false">IFERROR(LEFT(J791,FIND(",",J791)-1),J791)</f>
        <v>International TV Shows</v>
      </c>
      <c r="N791" s="7" t="str">
        <f aca="false">IF(B791="Movie",IFERROR(VALUE(LEFT(I791,FIND(" ",I791)-1)),""),"")</f>
        <v/>
      </c>
      <c r="O791" s="7" t="n">
        <f aca="false">IF(B791="TV Show",IFERROR(VALUE(LEFT(I791,FIND(" ",I791)-1)),""),"")</f>
        <v>1</v>
      </c>
      <c r="P791" s="7" t="n">
        <f aca="false">IF(K791="","",K791-G791)</f>
        <v>1</v>
      </c>
    </row>
    <row r="792" customFormat="false" ht="15" hidden="false" customHeight="false" outlineLevel="0" collapsed="false">
      <c r="A792" s="7" t="n">
        <v>70023961</v>
      </c>
      <c r="B792" s="7" t="s">
        <v>68</v>
      </c>
      <c r="C792" s="7" t="s">
        <v>2002</v>
      </c>
      <c r="D792" s="7" t="s">
        <v>2003</v>
      </c>
      <c r="E792" s="7" t="s">
        <v>1996</v>
      </c>
      <c r="F792" s="7" t="s">
        <v>1978</v>
      </c>
      <c r="G792" s="7" t="n">
        <v>2004</v>
      </c>
      <c r="H792" s="7" t="s">
        <v>51</v>
      </c>
      <c r="I792" s="7" t="s">
        <v>168</v>
      </c>
      <c r="J792" s="7" t="s">
        <v>150</v>
      </c>
      <c r="K792" s="7" t="n">
        <f aca="false">IFERROR(VALUE(RIGHT(TRIM(F792),4)),"")</f>
        <v>2019</v>
      </c>
      <c r="L792" s="7" t="str">
        <f aca="false">IF(TRIM(E792)="","Unknown",IFERROR(LEFT(TRIM(E792),FIND(",",TRIM(E792))-1),TRIM(E792)))</f>
        <v>United States</v>
      </c>
      <c r="M792" s="7" t="str">
        <f aca="false">IFERROR(LEFT(J792,FIND(",",J792)-1),J792)</f>
        <v>Dramas</v>
      </c>
      <c r="N792" s="7" t="n">
        <f aca="false">IF(B792="Movie",IFERROR(VALUE(LEFT(I792,FIND(" ",I792)-1)),""),"")</f>
        <v>112</v>
      </c>
      <c r="O792" s="7" t="str">
        <f aca="false">IF(B792="TV Show",IFERROR(VALUE(LEFT(I792,FIND(" ",I792)-1)),""),"")</f>
        <v/>
      </c>
      <c r="P792" s="7" t="n">
        <f aca="false">IF(K792="","",K792-G792)</f>
        <v>15</v>
      </c>
    </row>
    <row r="793" customFormat="false" ht="15" hidden="false" customHeight="false" outlineLevel="0" collapsed="false">
      <c r="A793" s="7" t="n">
        <v>60027716</v>
      </c>
      <c r="B793" s="7" t="s">
        <v>68</v>
      </c>
      <c r="C793" s="7" t="s">
        <v>2004</v>
      </c>
      <c r="D793" s="7" t="s">
        <v>476</v>
      </c>
      <c r="E793" s="7" t="s">
        <v>26</v>
      </c>
      <c r="F793" s="7" t="s">
        <v>1978</v>
      </c>
      <c r="G793" s="7" t="n">
        <v>2003</v>
      </c>
      <c r="H793" s="7" t="s">
        <v>52</v>
      </c>
      <c r="I793" s="7" t="s">
        <v>340</v>
      </c>
      <c r="J793" s="7" t="s">
        <v>38</v>
      </c>
      <c r="K793" s="7" t="n">
        <f aca="false">IFERROR(VALUE(RIGHT(TRIM(F793),4)),"")</f>
        <v>2019</v>
      </c>
      <c r="L793" s="7" t="str">
        <f aca="false">IF(TRIM(E793)="","Unknown",IFERROR(LEFT(TRIM(E793),FIND(",",TRIM(E793))-1),TRIM(E793)))</f>
        <v>United States</v>
      </c>
      <c r="M793" s="7" t="str">
        <f aca="false">IFERROR(LEFT(J793,FIND(",",J793)-1),J793)</f>
        <v>Comedies</v>
      </c>
      <c r="N793" s="7" t="n">
        <f aca="false">IF(B793="Movie",IFERROR(VALUE(LEFT(I793,FIND(" ",I793)-1)),""),"")</f>
        <v>85</v>
      </c>
      <c r="O793" s="7" t="str">
        <f aca="false">IF(B793="TV Show",IFERROR(VALUE(LEFT(I793,FIND(" ",I793)-1)),""),"")</f>
        <v/>
      </c>
      <c r="P793" s="7" t="n">
        <f aca="false">IF(K793="","",K793-G793)</f>
        <v>16</v>
      </c>
    </row>
    <row r="794" customFormat="false" ht="15" hidden="false" customHeight="false" outlineLevel="0" collapsed="false">
      <c r="A794" s="7" t="n">
        <v>70287957</v>
      </c>
      <c r="B794" s="7" t="s">
        <v>68</v>
      </c>
      <c r="C794" s="7" t="s">
        <v>2005</v>
      </c>
      <c r="D794" s="7" t="s">
        <v>2006</v>
      </c>
      <c r="E794" s="7" t="s">
        <v>26</v>
      </c>
      <c r="F794" s="7" t="s">
        <v>1978</v>
      </c>
      <c r="G794" s="7" t="n">
        <v>2014</v>
      </c>
      <c r="H794" s="7" t="s">
        <v>54</v>
      </c>
      <c r="I794" s="7" t="s">
        <v>470</v>
      </c>
      <c r="J794" s="7" t="s">
        <v>1931</v>
      </c>
      <c r="K794" s="7" t="n">
        <f aca="false">IFERROR(VALUE(RIGHT(TRIM(F794),4)),"")</f>
        <v>2019</v>
      </c>
      <c r="L794" s="7" t="str">
        <f aca="false">IF(TRIM(E794)="","Unknown",IFERROR(LEFT(TRIM(E794),FIND(",",TRIM(E794))-1),TRIM(E794)))</f>
        <v>United States</v>
      </c>
      <c r="M794" s="7" t="str">
        <f aca="false">IFERROR(LEFT(J794,FIND(",",J794)-1),J794)</f>
        <v>Children &amp; Family Movies</v>
      </c>
      <c r="N794" s="7" t="n">
        <f aca="false">IF(B794="Movie",IFERROR(VALUE(LEFT(I794,FIND(" ",I794)-1)),""),"")</f>
        <v>91</v>
      </c>
      <c r="O794" s="7" t="str">
        <f aca="false">IF(B794="TV Show",IFERROR(VALUE(LEFT(I794,FIND(" ",I794)-1)),""),"")</f>
        <v/>
      </c>
      <c r="P794" s="7" t="n">
        <f aca="false">IF(K794="","",K794-G794)</f>
        <v>5</v>
      </c>
    </row>
    <row r="795" customFormat="false" ht="15" hidden="false" customHeight="false" outlineLevel="0" collapsed="false">
      <c r="A795" s="7" t="n">
        <v>81113890</v>
      </c>
      <c r="B795" s="7" t="s">
        <v>78</v>
      </c>
      <c r="C795" s="7" t="s">
        <v>2007</v>
      </c>
      <c r="E795" s="7" t="s">
        <v>27</v>
      </c>
      <c r="F795" s="7" t="s">
        <v>1978</v>
      </c>
      <c r="G795" s="7" t="n">
        <v>2018</v>
      </c>
      <c r="H795" s="7" t="s">
        <v>49</v>
      </c>
      <c r="I795" s="7" t="s">
        <v>82</v>
      </c>
      <c r="J795" s="7" t="s">
        <v>1357</v>
      </c>
      <c r="K795" s="7" t="n">
        <f aca="false">IFERROR(VALUE(RIGHT(TRIM(F795),4)),"")</f>
        <v>2019</v>
      </c>
      <c r="L795" s="7" t="str">
        <f aca="false">IF(TRIM(E795)="","Unknown",IFERROR(LEFT(TRIM(E795),FIND(",",TRIM(E795))-1),TRIM(E795)))</f>
        <v>India</v>
      </c>
      <c r="M795" s="7" t="str">
        <f aca="false">IFERROR(LEFT(J795,FIND(",",J795)-1),J795)</f>
        <v>International TV Shows</v>
      </c>
      <c r="N795" s="7" t="str">
        <f aca="false">IF(B795="Movie",IFERROR(VALUE(LEFT(I795,FIND(" ",I795)-1)),""),"")</f>
        <v/>
      </c>
      <c r="O795" s="7" t="n">
        <f aca="false">IF(B795="TV Show",IFERROR(VALUE(LEFT(I795,FIND(" ",I795)-1)),""),"")</f>
        <v>1</v>
      </c>
      <c r="P795" s="7" t="n">
        <f aca="false">IF(K795="","",K795-G795)</f>
        <v>1</v>
      </c>
    </row>
    <row r="796" customFormat="false" ht="15" hidden="false" customHeight="false" outlineLevel="0" collapsed="false">
      <c r="A796" s="7" t="n">
        <v>81168345</v>
      </c>
      <c r="B796" s="7" t="s">
        <v>68</v>
      </c>
      <c r="C796" s="7" t="s">
        <v>2008</v>
      </c>
      <c r="D796" s="7" t="s">
        <v>2009</v>
      </c>
      <c r="E796" s="7" t="s">
        <v>772</v>
      </c>
      <c r="F796" s="7" t="s">
        <v>1978</v>
      </c>
      <c r="G796" s="7" t="n">
        <v>1990</v>
      </c>
      <c r="H796" s="7" t="s">
        <v>48</v>
      </c>
      <c r="I796" s="7" t="s">
        <v>264</v>
      </c>
      <c r="J796" s="7" t="s">
        <v>198</v>
      </c>
      <c r="K796" s="7" t="n">
        <f aca="false">IFERROR(VALUE(RIGHT(TRIM(F796),4)),"")</f>
        <v>2019</v>
      </c>
      <c r="L796" s="7" t="str">
        <f aca="false">IF(TRIM(E796)="","Unknown",IFERROR(LEFT(TRIM(E796),FIND(",",TRIM(E796))-1),TRIM(E796)))</f>
        <v>Poland</v>
      </c>
      <c r="M796" s="7" t="str">
        <f aca="false">IFERROR(LEFT(J796,FIND(",",J796)-1),J796)</f>
        <v>Comedies</v>
      </c>
      <c r="N796" s="7" t="n">
        <f aca="false">IF(B796="Movie",IFERROR(VALUE(LEFT(I796,FIND(" ",I796)-1)),""),"")</f>
        <v>88</v>
      </c>
      <c r="O796" s="7" t="str">
        <f aca="false">IF(B796="TV Show",IFERROR(VALUE(LEFT(I796,FIND(" ",I796)-1)),""),"")</f>
        <v/>
      </c>
      <c r="P796" s="7" t="n">
        <f aca="false">IF(K796="","",K796-G796)</f>
        <v>29</v>
      </c>
    </row>
    <row r="797" customFormat="false" ht="15" hidden="false" customHeight="false" outlineLevel="0" collapsed="false">
      <c r="A797" s="7" t="n">
        <v>60020892</v>
      </c>
      <c r="B797" s="7" t="s">
        <v>68</v>
      </c>
      <c r="C797" s="7" t="s">
        <v>2010</v>
      </c>
      <c r="D797" s="7" t="s">
        <v>2011</v>
      </c>
      <c r="E797" s="7" t="s">
        <v>26</v>
      </c>
      <c r="F797" s="7" t="s">
        <v>1978</v>
      </c>
      <c r="G797" s="7" t="n">
        <v>2001</v>
      </c>
      <c r="H797" s="7" t="s">
        <v>51</v>
      </c>
      <c r="I797" s="7" t="s">
        <v>512</v>
      </c>
      <c r="J797" s="7" t="s">
        <v>40</v>
      </c>
      <c r="K797" s="7" t="n">
        <f aca="false">IFERROR(VALUE(RIGHT(TRIM(F797),4)),"")</f>
        <v>2019</v>
      </c>
      <c r="L797" s="7" t="str">
        <f aca="false">IF(TRIM(E797)="","Unknown",IFERROR(LEFT(TRIM(E797),FIND(",",TRIM(E797))-1),TRIM(E797)))</f>
        <v>United States</v>
      </c>
      <c r="M797" s="7" t="str">
        <f aca="false">IFERROR(LEFT(J797,FIND(",",J797)-1),J797)</f>
        <v>Action &amp; Adventure</v>
      </c>
      <c r="N797" s="7" t="n">
        <f aca="false">IF(B797="Movie",IFERROR(VALUE(LEFT(I797,FIND(" ",I797)-1)),""),"")</f>
        <v>101</v>
      </c>
      <c r="O797" s="7" t="str">
        <f aca="false">IF(B797="TV Show",IFERROR(VALUE(LEFT(I797,FIND(" ",I797)-1)),""),"")</f>
        <v/>
      </c>
      <c r="P797" s="7" t="n">
        <f aca="false">IF(K797="","",K797-G797)</f>
        <v>18</v>
      </c>
    </row>
    <row r="798" customFormat="false" ht="15" hidden="false" customHeight="false" outlineLevel="0" collapsed="false">
      <c r="A798" s="7" t="n">
        <v>81164752</v>
      </c>
      <c r="B798" s="7" t="s">
        <v>68</v>
      </c>
      <c r="C798" s="7" t="s">
        <v>2012</v>
      </c>
      <c r="D798" s="7" t="s">
        <v>2013</v>
      </c>
      <c r="E798" s="7" t="s">
        <v>868</v>
      </c>
      <c r="F798" s="7" t="s">
        <v>1978</v>
      </c>
      <c r="G798" s="7" t="n">
        <v>2018</v>
      </c>
      <c r="H798" s="7" t="s">
        <v>50</v>
      </c>
      <c r="I798" s="7" t="s">
        <v>73</v>
      </c>
      <c r="J798" s="7" t="s">
        <v>240</v>
      </c>
      <c r="K798" s="7" t="n">
        <f aca="false">IFERROR(VALUE(RIGHT(TRIM(F798),4)),"")</f>
        <v>2019</v>
      </c>
      <c r="L798" s="7" t="str">
        <f aca="false">IF(TRIM(E798)="","Unknown",IFERROR(LEFT(TRIM(E798),FIND(",",TRIM(E798))-1),TRIM(E798)))</f>
        <v>Netherlands</v>
      </c>
      <c r="M798" s="7" t="str">
        <f aca="false">IFERROR(LEFT(J798,FIND(",",J798)-1),J798)</f>
        <v>Dramas</v>
      </c>
      <c r="N798" s="7" t="n">
        <f aca="false">IF(B798="Movie",IFERROR(VALUE(LEFT(I798,FIND(" ",I798)-1)),""),"")</f>
        <v>90</v>
      </c>
      <c r="O798" s="7" t="str">
        <f aca="false">IF(B798="TV Show",IFERROR(VALUE(LEFT(I798,FIND(" ",I798)-1)),""),"")</f>
        <v/>
      </c>
      <c r="P798" s="7" t="n">
        <f aca="false">IF(K798="","",K798-G798)</f>
        <v>1</v>
      </c>
    </row>
    <row r="799" customFormat="false" ht="15" hidden="false" customHeight="false" outlineLevel="0" collapsed="false">
      <c r="A799" s="7" t="n">
        <v>81113886</v>
      </c>
      <c r="B799" s="7" t="s">
        <v>78</v>
      </c>
      <c r="C799" s="7" t="s">
        <v>2014</v>
      </c>
      <c r="E799" s="7" t="s">
        <v>27</v>
      </c>
      <c r="F799" s="7" t="s">
        <v>1978</v>
      </c>
      <c r="G799" s="7" t="n">
        <v>2018</v>
      </c>
      <c r="H799" s="7" t="s">
        <v>48</v>
      </c>
      <c r="I799" s="7" t="s">
        <v>82</v>
      </c>
      <c r="J799" s="7" t="s">
        <v>335</v>
      </c>
      <c r="K799" s="7" t="n">
        <f aca="false">IFERROR(VALUE(RIGHT(TRIM(F799),4)),"")</f>
        <v>2019</v>
      </c>
      <c r="L799" s="7" t="str">
        <f aca="false">IF(TRIM(E799)="","Unknown",IFERROR(LEFT(TRIM(E799),FIND(",",TRIM(E799))-1),TRIM(E799)))</f>
        <v>India</v>
      </c>
      <c r="M799" s="7" t="str">
        <f aca="false">IFERROR(LEFT(J799,FIND(",",J799)-1),J799)</f>
        <v>International TV Shows</v>
      </c>
      <c r="N799" s="7" t="str">
        <f aca="false">IF(B799="Movie",IFERROR(VALUE(LEFT(I799,FIND(" ",I799)-1)),""),"")</f>
        <v/>
      </c>
      <c r="O799" s="7" t="n">
        <f aca="false">IF(B799="TV Show",IFERROR(VALUE(LEFT(I799,FIND(" ",I799)-1)),""),"")</f>
        <v>1</v>
      </c>
      <c r="P799" s="7" t="n">
        <f aca="false">IF(K799="","",K799-G799)</f>
        <v>1</v>
      </c>
    </row>
    <row r="800" customFormat="false" ht="15" hidden="false" customHeight="false" outlineLevel="0" collapsed="false">
      <c r="A800" s="7" t="n">
        <v>60028097</v>
      </c>
      <c r="B800" s="7" t="s">
        <v>68</v>
      </c>
      <c r="C800" s="7" t="s">
        <v>2015</v>
      </c>
      <c r="D800" s="7" t="s">
        <v>2016</v>
      </c>
      <c r="E800" s="7" t="s">
        <v>26</v>
      </c>
      <c r="F800" s="7" t="s">
        <v>1978</v>
      </c>
      <c r="G800" s="7" t="n">
        <v>1997</v>
      </c>
      <c r="H800" s="7" t="s">
        <v>54</v>
      </c>
      <c r="I800" s="7" t="s">
        <v>138</v>
      </c>
      <c r="J800" s="7" t="s">
        <v>74</v>
      </c>
      <c r="K800" s="7" t="n">
        <f aca="false">IFERROR(VALUE(RIGHT(TRIM(F800),4)),"")</f>
        <v>2019</v>
      </c>
      <c r="L800" s="7" t="str">
        <f aca="false">IF(TRIM(E800)="","Unknown",IFERROR(LEFT(TRIM(E800),FIND(",",TRIM(E800))-1),TRIM(E800)))</f>
        <v>United States</v>
      </c>
      <c r="M800" s="7" t="str">
        <f aca="false">IFERROR(LEFT(J800,FIND(",",J800)-1),J800)</f>
        <v>Children &amp; Family Movies</v>
      </c>
      <c r="N800" s="7" t="n">
        <f aca="false">IF(B800="Movie",IFERROR(VALUE(LEFT(I800,FIND(" ",I800)-1)),""),"")</f>
        <v>96</v>
      </c>
      <c r="O800" s="7" t="str">
        <f aca="false">IF(B800="TV Show",IFERROR(VALUE(LEFT(I800,FIND(" ",I800)-1)),""),"")</f>
        <v/>
      </c>
      <c r="P800" s="7" t="n">
        <f aca="false">IF(K800="","",K800-G800)</f>
        <v>22</v>
      </c>
    </row>
    <row r="801" customFormat="false" ht="15" hidden="false" customHeight="false" outlineLevel="0" collapsed="false">
      <c r="A801" s="7" t="n">
        <v>70065112</v>
      </c>
      <c r="B801" s="7" t="s">
        <v>68</v>
      </c>
      <c r="C801" s="7" t="s">
        <v>2017</v>
      </c>
      <c r="D801" s="7" t="s">
        <v>2018</v>
      </c>
      <c r="E801" s="7" t="s">
        <v>230</v>
      </c>
      <c r="F801" s="7" t="s">
        <v>1978</v>
      </c>
      <c r="G801" s="7" t="n">
        <v>2007</v>
      </c>
      <c r="H801" s="7" t="s">
        <v>966</v>
      </c>
      <c r="I801" s="7" t="s">
        <v>87</v>
      </c>
      <c r="J801" s="7" t="s">
        <v>177</v>
      </c>
      <c r="K801" s="7" t="n">
        <f aca="false">IFERROR(VALUE(RIGHT(TRIM(F801),4)),"")</f>
        <v>2019</v>
      </c>
      <c r="L801" s="7" t="str">
        <f aca="false">IF(TRIM(E801)="","Unknown",IFERROR(LEFT(TRIM(E801),FIND(",",TRIM(E801))-1),TRIM(E801)))</f>
        <v>United States</v>
      </c>
      <c r="M801" s="7" t="str">
        <f aca="false">IFERROR(LEFT(J801,FIND(",",J801)-1),J801)</f>
        <v>Comedies</v>
      </c>
      <c r="N801" s="7" t="n">
        <f aca="false">IF(B801="Movie",IFERROR(VALUE(LEFT(I801,FIND(" ",I801)-1)),""),"")</f>
        <v>99</v>
      </c>
      <c r="O801" s="7" t="str">
        <f aca="false">IF(B801="TV Show",IFERROR(VALUE(LEFT(I801,FIND(" ",I801)-1)),""),"")</f>
        <v/>
      </c>
      <c r="P801" s="7" t="n">
        <f aca="false">IF(K801="","",K801-G801)</f>
        <v>12</v>
      </c>
    </row>
    <row r="802" customFormat="false" ht="15" hidden="false" customHeight="false" outlineLevel="0" collapsed="false">
      <c r="A802" s="7" t="n">
        <v>70083108</v>
      </c>
      <c r="B802" s="7" t="s">
        <v>68</v>
      </c>
      <c r="C802" s="7" t="s">
        <v>2019</v>
      </c>
      <c r="D802" s="7" t="s">
        <v>2020</v>
      </c>
      <c r="E802" s="7" t="s">
        <v>26</v>
      </c>
      <c r="F802" s="7" t="s">
        <v>1978</v>
      </c>
      <c r="G802" s="7" t="n">
        <v>2008</v>
      </c>
      <c r="H802" s="7" t="s">
        <v>51</v>
      </c>
      <c r="I802" s="7" t="s">
        <v>512</v>
      </c>
      <c r="J802" s="7" t="s">
        <v>941</v>
      </c>
      <c r="K802" s="7" t="n">
        <f aca="false">IFERROR(VALUE(RIGHT(TRIM(F802),4)),"")</f>
        <v>2019</v>
      </c>
      <c r="L802" s="7" t="str">
        <f aca="false">IF(TRIM(E802)="","Unknown",IFERROR(LEFT(TRIM(E802),FIND(",",TRIM(E802))-1),TRIM(E802)))</f>
        <v>United States</v>
      </c>
      <c r="M802" s="7" t="str">
        <f aca="false">IFERROR(LEFT(J802,FIND(",",J802)-1),J802)</f>
        <v>Comedies</v>
      </c>
      <c r="N802" s="7" t="n">
        <f aca="false">IF(B802="Movie",IFERROR(VALUE(LEFT(I802,FIND(" ",I802)-1)),""),"")</f>
        <v>101</v>
      </c>
      <c r="O802" s="7" t="str">
        <f aca="false">IF(B802="TV Show",IFERROR(VALUE(LEFT(I802,FIND(" ",I802)-1)),""),"")</f>
        <v/>
      </c>
      <c r="P802" s="7" t="n">
        <f aca="false">IF(K802="","",K802-G802)</f>
        <v>11</v>
      </c>
    </row>
    <row r="803" customFormat="false" ht="15" hidden="false" customHeight="false" outlineLevel="0" collapsed="false">
      <c r="A803" s="7" t="n">
        <v>70184050</v>
      </c>
      <c r="B803" s="7" t="s">
        <v>68</v>
      </c>
      <c r="C803" s="7" t="s">
        <v>2021</v>
      </c>
      <c r="D803" s="7" t="s">
        <v>2022</v>
      </c>
      <c r="E803" s="7" t="s">
        <v>26</v>
      </c>
      <c r="F803" s="7" t="s">
        <v>1978</v>
      </c>
      <c r="G803" s="7" t="n">
        <v>2011</v>
      </c>
      <c r="H803" s="7" t="s">
        <v>52</v>
      </c>
      <c r="I803" s="7" t="s">
        <v>326</v>
      </c>
      <c r="J803" s="7" t="s">
        <v>269</v>
      </c>
      <c r="K803" s="7" t="n">
        <f aca="false">IFERROR(VALUE(RIGHT(TRIM(F803),4)),"")</f>
        <v>2019</v>
      </c>
      <c r="L803" s="7" t="str">
        <f aca="false">IF(TRIM(E803)="","Unknown",IFERROR(LEFT(TRIM(E803),FIND(",",TRIM(E803))-1),TRIM(E803)))</f>
        <v>United States</v>
      </c>
      <c r="M803" s="7" t="str">
        <f aca="false">IFERROR(LEFT(J803,FIND(",",J803)-1),J803)</f>
        <v>Dramas</v>
      </c>
      <c r="N803" s="7" t="n">
        <f aca="false">IF(B803="Movie",IFERROR(VALUE(LEFT(I803,FIND(" ",I803)-1)),""),"")</f>
        <v>111</v>
      </c>
      <c r="O803" s="7" t="str">
        <f aca="false">IF(B803="TV Show",IFERROR(VALUE(LEFT(I803,FIND(" ",I803)-1)),""),"")</f>
        <v/>
      </c>
      <c r="P803" s="7" t="n">
        <f aca="false">IF(K803="","",K803-G803)</f>
        <v>8</v>
      </c>
    </row>
    <row r="804" customFormat="false" ht="15" hidden="false" customHeight="false" outlineLevel="0" collapsed="false">
      <c r="A804" s="7" t="n">
        <v>81168347</v>
      </c>
      <c r="B804" s="7" t="s">
        <v>68</v>
      </c>
      <c r="C804" s="7" t="s">
        <v>2023</v>
      </c>
      <c r="D804" s="7" t="s">
        <v>2024</v>
      </c>
      <c r="E804" s="7" t="s">
        <v>2025</v>
      </c>
      <c r="F804" s="7" t="s">
        <v>1978</v>
      </c>
      <c r="G804" s="7" t="n">
        <v>1975</v>
      </c>
      <c r="H804" s="7" t="s">
        <v>48</v>
      </c>
      <c r="I804" s="7" t="s">
        <v>138</v>
      </c>
      <c r="J804" s="7" t="s">
        <v>2026</v>
      </c>
      <c r="K804" s="7" t="n">
        <f aca="false">IFERROR(VALUE(RIGHT(TRIM(F804),4)),"")</f>
        <v>2019</v>
      </c>
      <c r="L804" s="7" t="str">
        <f aca="false">IF(TRIM(E804)="","Unknown",IFERROR(LEFT(TRIM(E804),FIND(",",TRIM(E804))-1),TRIM(E804)))</f>
        <v>Poland</v>
      </c>
      <c r="M804" s="7" t="str">
        <f aca="false">IFERROR(LEFT(J804,FIND(",",J804)-1),J804)</f>
        <v>Classic Movies</v>
      </c>
      <c r="N804" s="7" t="n">
        <f aca="false">IF(B804="Movie",IFERROR(VALUE(LEFT(I804,FIND(" ",I804)-1)),""),"")</f>
        <v>96</v>
      </c>
      <c r="O804" s="7" t="str">
        <f aca="false">IF(B804="TV Show",IFERROR(VALUE(LEFT(I804,FIND(" ",I804)-1)),""),"")</f>
        <v/>
      </c>
      <c r="P804" s="7" t="n">
        <f aca="false">IF(K804="","",K804-G804)</f>
        <v>44</v>
      </c>
    </row>
    <row r="805" customFormat="false" ht="15" hidden="false" customHeight="false" outlineLevel="0" collapsed="false">
      <c r="A805" s="7" t="n">
        <v>81003460</v>
      </c>
      <c r="B805" s="7" t="s">
        <v>68</v>
      </c>
      <c r="C805" s="7" t="s">
        <v>2027</v>
      </c>
      <c r="D805" s="7" t="s">
        <v>2028</v>
      </c>
      <c r="E805" s="7" t="s">
        <v>26</v>
      </c>
      <c r="F805" s="7" t="s">
        <v>1978</v>
      </c>
      <c r="G805" s="7" t="n">
        <v>2017</v>
      </c>
      <c r="H805" s="7" t="s">
        <v>49</v>
      </c>
      <c r="I805" s="7" t="s">
        <v>212</v>
      </c>
      <c r="J805" s="7" t="s">
        <v>265</v>
      </c>
      <c r="K805" s="7" t="n">
        <f aca="false">IFERROR(VALUE(RIGHT(TRIM(F805),4)),"")</f>
        <v>2019</v>
      </c>
      <c r="L805" s="7" t="str">
        <f aca="false">IF(TRIM(E805)="","Unknown",IFERROR(LEFT(TRIM(E805),FIND(",",TRIM(E805))-1),TRIM(E805)))</f>
        <v>United States</v>
      </c>
      <c r="M805" s="7" t="str">
        <f aca="false">IFERROR(LEFT(J805,FIND(",",J805)-1),J805)</f>
        <v>Horror Movies</v>
      </c>
      <c r="N805" s="7" t="n">
        <f aca="false">IF(B805="Movie",IFERROR(VALUE(LEFT(I805,FIND(" ",I805)-1)),""),"")</f>
        <v>86</v>
      </c>
      <c r="O805" s="7" t="str">
        <f aca="false">IF(B805="TV Show",IFERROR(VALUE(LEFT(I805,FIND(" ",I805)-1)),""),"")</f>
        <v/>
      </c>
      <c r="P805" s="7" t="n">
        <f aca="false">IF(K805="","",K805-G805)</f>
        <v>2</v>
      </c>
    </row>
    <row r="806" customFormat="false" ht="15" hidden="false" customHeight="false" outlineLevel="0" collapsed="false">
      <c r="A806" s="7" t="n">
        <v>81113887</v>
      </c>
      <c r="B806" s="7" t="s">
        <v>78</v>
      </c>
      <c r="C806" s="7" t="s">
        <v>2029</v>
      </c>
      <c r="E806" s="7" t="s">
        <v>27</v>
      </c>
      <c r="F806" s="7" t="s">
        <v>1978</v>
      </c>
      <c r="G806" s="7" t="n">
        <v>2017</v>
      </c>
      <c r="H806" s="7" t="s">
        <v>48</v>
      </c>
      <c r="I806" s="7" t="s">
        <v>82</v>
      </c>
      <c r="J806" s="7" t="s">
        <v>1357</v>
      </c>
      <c r="K806" s="7" t="n">
        <f aca="false">IFERROR(VALUE(RIGHT(TRIM(F806),4)),"")</f>
        <v>2019</v>
      </c>
      <c r="L806" s="7" t="str">
        <f aca="false">IF(TRIM(E806)="","Unknown",IFERROR(LEFT(TRIM(E806),FIND(",",TRIM(E806))-1),TRIM(E806)))</f>
        <v>India</v>
      </c>
      <c r="M806" s="7" t="str">
        <f aca="false">IFERROR(LEFT(J806,FIND(",",J806)-1),J806)</f>
        <v>International TV Shows</v>
      </c>
      <c r="N806" s="7" t="str">
        <f aca="false">IF(B806="Movie",IFERROR(VALUE(LEFT(I806,FIND(" ",I806)-1)),""),"")</f>
        <v/>
      </c>
      <c r="O806" s="7" t="n">
        <f aca="false">IF(B806="TV Show",IFERROR(VALUE(LEFT(I806,FIND(" ",I806)-1)),""),"")</f>
        <v>1</v>
      </c>
      <c r="P806" s="7" t="n">
        <f aca="false">IF(K806="","",K806-G806)</f>
        <v>2</v>
      </c>
    </row>
    <row r="807" customFormat="false" ht="15" hidden="false" customHeight="false" outlineLevel="0" collapsed="false">
      <c r="A807" s="7" t="n">
        <v>81168348</v>
      </c>
      <c r="B807" s="7" t="s">
        <v>68</v>
      </c>
      <c r="C807" s="7" t="s">
        <v>2030</v>
      </c>
      <c r="D807" s="7" t="s">
        <v>2024</v>
      </c>
      <c r="E807" s="7" t="s">
        <v>772</v>
      </c>
      <c r="F807" s="7" t="s">
        <v>1978</v>
      </c>
      <c r="G807" s="7" t="n">
        <v>1973</v>
      </c>
      <c r="H807" s="7" t="s">
        <v>48</v>
      </c>
      <c r="I807" s="7" t="s">
        <v>451</v>
      </c>
      <c r="J807" s="7" t="s">
        <v>240</v>
      </c>
      <c r="K807" s="7" t="n">
        <f aca="false">IFERROR(VALUE(RIGHT(TRIM(F807),4)),"")</f>
        <v>2019</v>
      </c>
      <c r="L807" s="7" t="str">
        <f aca="false">IF(TRIM(E807)="","Unknown",IFERROR(LEFT(TRIM(E807),FIND(",",TRIM(E807))-1),TRIM(E807)))</f>
        <v>Poland</v>
      </c>
      <c r="M807" s="7" t="str">
        <f aca="false">IFERROR(LEFT(J807,FIND(",",J807)-1),J807)</f>
        <v>Dramas</v>
      </c>
      <c r="N807" s="7" t="n">
        <f aca="false">IF(B807="Movie",IFERROR(VALUE(LEFT(I807,FIND(" ",I807)-1)),""),"")</f>
        <v>97</v>
      </c>
      <c r="O807" s="7" t="str">
        <f aca="false">IF(B807="TV Show",IFERROR(VALUE(LEFT(I807,FIND(" ",I807)-1)),""),"")</f>
        <v/>
      </c>
      <c r="P807" s="7" t="n">
        <f aca="false">IF(K807="","",K807-G807)</f>
        <v>46</v>
      </c>
    </row>
    <row r="808" customFormat="false" ht="15" hidden="false" customHeight="false" outlineLevel="0" collapsed="false">
      <c r="A808" s="7" t="n">
        <v>70095135</v>
      </c>
      <c r="B808" s="7" t="s">
        <v>68</v>
      </c>
      <c r="C808" s="7" t="s">
        <v>2031</v>
      </c>
      <c r="D808" s="7" t="s">
        <v>2032</v>
      </c>
      <c r="E808" s="7" t="s">
        <v>2033</v>
      </c>
      <c r="F808" s="7" t="s">
        <v>1978</v>
      </c>
      <c r="G808" s="7" t="n">
        <v>2009</v>
      </c>
      <c r="H808" s="7" t="s">
        <v>52</v>
      </c>
      <c r="I808" s="7" t="s">
        <v>505</v>
      </c>
      <c r="J808" s="7" t="s">
        <v>2034</v>
      </c>
      <c r="K808" s="7" t="n">
        <f aca="false">IFERROR(VALUE(RIGHT(TRIM(F808),4)),"")</f>
        <v>2019</v>
      </c>
      <c r="L808" s="7" t="str">
        <f aca="false">IF(TRIM(E808)="","Unknown",IFERROR(LEFT(TRIM(E808),FIND(",",TRIM(E808))-1),TRIM(E808)))</f>
        <v>United States</v>
      </c>
      <c r="M808" s="7" t="str">
        <f aca="false">IFERROR(LEFT(J808,FIND(",",J808)-1),J808)</f>
        <v>Sci-Fi &amp; Fantasy</v>
      </c>
      <c r="N808" s="7" t="n">
        <f aca="false">IF(B808="Movie",IFERROR(VALUE(LEFT(I808,FIND(" ",I808)-1)),""),"")</f>
        <v>121</v>
      </c>
      <c r="O808" s="7" t="str">
        <f aca="false">IF(B808="TV Show",IFERROR(VALUE(LEFT(I808,FIND(" ",I808)-1)),""),"")</f>
        <v/>
      </c>
      <c r="P808" s="7" t="n">
        <f aca="false">IF(K808="","",K808-G808)</f>
        <v>10</v>
      </c>
    </row>
    <row r="809" customFormat="false" ht="15" hidden="false" customHeight="false" outlineLevel="0" collapsed="false">
      <c r="A809" s="7" t="n">
        <v>81191254</v>
      </c>
      <c r="B809" s="7" t="s">
        <v>68</v>
      </c>
      <c r="C809" s="7" t="s">
        <v>2035</v>
      </c>
      <c r="D809" s="7" t="s">
        <v>2036</v>
      </c>
      <c r="E809" s="7" t="s">
        <v>27</v>
      </c>
      <c r="F809" s="7" t="s">
        <v>1978</v>
      </c>
      <c r="G809" s="7" t="n">
        <v>2017</v>
      </c>
      <c r="H809" s="7" t="s">
        <v>50</v>
      </c>
      <c r="I809" s="7" t="s">
        <v>1757</v>
      </c>
      <c r="J809" s="7" t="s">
        <v>974</v>
      </c>
      <c r="K809" s="7" t="n">
        <f aca="false">IFERROR(VALUE(RIGHT(TRIM(F809),4)),"")</f>
        <v>2019</v>
      </c>
      <c r="L809" s="7" t="str">
        <f aca="false">IF(TRIM(E809)="","Unknown",IFERROR(LEFT(TRIM(E809),FIND(",",TRIM(E809))-1),TRIM(E809)))</f>
        <v>India</v>
      </c>
      <c r="M809" s="7" t="str">
        <f aca="false">IFERROR(LEFT(J809,FIND(",",J809)-1),J809)</f>
        <v>Documentaries</v>
      </c>
      <c r="N809" s="7" t="n">
        <f aca="false">IF(B809="Movie",IFERROR(VALUE(LEFT(I809,FIND(" ",I809)-1)),""),"")</f>
        <v>59</v>
      </c>
      <c r="O809" s="7" t="str">
        <f aca="false">IF(B809="TV Show",IFERROR(VALUE(LEFT(I809,FIND(" ",I809)-1)),""),"")</f>
        <v/>
      </c>
      <c r="P809" s="7" t="n">
        <f aca="false">IF(K809="","",K809-G809)</f>
        <v>2</v>
      </c>
    </row>
    <row r="810" customFormat="false" ht="15" hidden="false" customHeight="false" outlineLevel="0" collapsed="false">
      <c r="A810" s="7" t="n">
        <v>81179400</v>
      </c>
      <c r="B810" s="7" t="s">
        <v>68</v>
      </c>
      <c r="C810" s="7" t="s">
        <v>2037</v>
      </c>
      <c r="F810" s="7" t="s">
        <v>1978</v>
      </c>
      <c r="G810" s="7" t="n">
        <v>2019</v>
      </c>
      <c r="H810" s="7" t="s">
        <v>119</v>
      </c>
      <c r="I810" s="7" t="s">
        <v>114</v>
      </c>
      <c r="J810" s="7" t="s">
        <v>42</v>
      </c>
      <c r="K810" s="7" t="n">
        <f aca="false">IFERROR(VALUE(RIGHT(TRIM(F810),4)),"")</f>
        <v>2019</v>
      </c>
      <c r="L810" s="7" t="str">
        <f aca="false">IF(TRIM(E810)="","Unknown",IFERROR(LEFT(TRIM(E810),FIND(",",TRIM(E810))-1),TRIM(E810)))</f>
        <v>Unknown</v>
      </c>
      <c r="M810" s="7" t="str">
        <f aca="false">IFERROR(LEFT(J810,FIND(",",J810)-1),J810)</f>
        <v>Children &amp; Family Movies</v>
      </c>
      <c r="N810" s="7" t="n">
        <f aca="false">IF(B810="Movie",IFERROR(VALUE(LEFT(I810,FIND(" ",I810)-1)),""),"")</f>
        <v>58</v>
      </c>
      <c r="O810" s="7" t="str">
        <f aca="false">IF(B810="TV Show",IFERROR(VALUE(LEFT(I810,FIND(" ",I810)-1)),""),"")</f>
        <v/>
      </c>
      <c r="P810" s="7" t="n">
        <f aca="false">IF(K810="","",K810-G810)</f>
        <v>0</v>
      </c>
    </row>
    <row r="811" customFormat="false" ht="15" hidden="false" customHeight="false" outlineLevel="0" collapsed="false">
      <c r="A811" s="7" t="n">
        <v>81168340</v>
      </c>
      <c r="B811" s="7" t="s">
        <v>68</v>
      </c>
      <c r="C811" s="7" t="s">
        <v>2038</v>
      </c>
      <c r="D811" s="7" t="s">
        <v>2039</v>
      </c>
      <c r="E811" s="7" t="s">
        <v>2040</v>
      </c>
      <c r="F811" s="7" t="s">
        <v>1978</v>
      </c>
      <c r="G811" s="7" t="n">
        <v>1985</v>
      </c>
      <c r="H811" s="7" t="s">
        <v>48</v>
      </c>
      <c r="I811" s="7" t="s">
        <v>73</v>
      </c>
      <c r="J811" s="7" t="s">
        <v>1014</v>
      </c>
      <c r="K811" s="7" t="n">
        <f aca="false">IFERROR(VALUE(RIGHT(TRIM(F811),4)),"")</f>
        <v>2019</v>
      </c>
      <c r="L811" s="7" t="str">
        <f aca="false">IF(TRIM(E811)="","Unknown",IFERROR(LEFT(TRIM(E811),FIND(",",TRIM(E811))-1),TRIM(E811)))</f>
        <v>Poland</v>
      </c>
      <c r="M811" s="7" t="str">
        <f aca="false">IFERROR(LEFT(J811,FIND(",",J811)-1),J811)</f>
        <v>Horror Movies</v>
      </c>
      <c r="N811" s="7" t="n">
        <f aca="false">IF(B811="Movie",IFERROR(VALUE(LEFT(I811,FIND(" ",I811)-1)),""),"")</f>
        <v>90</v>
      </c>
      <c r="O811" s="7" t="str">
        <f aca="false">IF(B811="TV Show",IFERROR(VALUE(LEFT(I811,FIND(" ",I811)-1)),""),"")</f>
        <v/>
      </c>
      <c r="P811" s="7" t="n">
        <f aca="false">IF(K811="","",K811-G811)</f>
        <v>34</v>
      </c>
    </row>
    <row r="812" customFormat="false" ht="15" hidden="false" customHeight="false" outlineLevel="0" collapsed="false">
      <c r="A812" s="7" t="n">
        <v>60023597</v>
      </c>
      <c r="B812" s="7" t="s">
        <v>68</v>
      </c>
      <c r="C812" s="7" t="s">
        <v>2041</v>
      </c>
      <c r="D812" s="7" t="s">
        <v>1627</v>
      </c>
      <c r="E812" s="7" t="s">
        <v>26</v>
      </c>
      <c r="F812" s="7" t="s">
        <v>1978</v>
      </c>
      <c r="G812" s="7" t="n">
        <v>2002</v>
      </c>
      <c r="H812" s="7" t="s">
        <v>52</v>
      </c>
      <c r="I812" s="7" t="s">
        <v>264</v>
      </c>
      <c r="J812" s="7" t="s">
        <v>1628</v>
      </c>
      <c r="K812" s="7" t="n">
        <f aca="false">IFERROR(VALUE(RIGHT(TRIM(F812),4)),"")</f>
        <v>2019</v>
      </c>
      <c r="L812" s="7" t="str">
        <f aca="false">IF(TRIM(E812)="","Unknown",IFERROR(LEFT(TRIM(E812),FIND(",",TRIM(E812))-1),TRIM(E812)))</f>
        <v>United States</v>
      </c>
      <c r="M812" s="7" t="str">
        <f aca="false">IFERROR(LEFT(J812,FIND(",",J812)-1),J812)</f>
        <v>Action &amp; Adventure</v>
      </c>
      <c r="N812" s="7" t="n">
        <f aca="false">IF(B812="Movie",IFERROR(VALUE(LEFT(I812,FIND(" ",I812)-1)),""),"")</f>
        <v>88</v>
      </c>
      <c r="O812" s="7" t="str">
        <f aca="false">IF(B812="TV Show",IFERROR(VALUE(LEFT(I812,FIND(" ",I812)-1)),""),"")</f>
        <v/>
      </c>
      <c r="P812" s="7" t="n">
        <f aca="false">IF(K812="","",K812-G812)</f>
        <v>17</v>
      </c>
    </row>
    <row r="813" customFormat="false" ht="15" hidden="false" customHeight="false" outlineLevel="0" collapsed="false">
      <c r="A813" s="7" t="n">
        <v>81036448</v>
      </c>
      <c r="B813" s="7" t="s">
        <v>78</v>
      </c>
      <c r="C813" s="7" t="s">
        <v>2042</v>
      </c>
      <c r="E813" s="7" t="s">
        <v>32</v>
      </c>
      <c r="F813" s="7" t="s">
        <v>1978</v>
      </c>
      <c r="G813" s="7" t="n">
        <v>2018</v>
      </c>
      <c r="H813" s="7" t="s">
        <v>81</v>
      </c>
      <c r="I813" s="7" t="s">
        <v>82</v>
      </c>
      <c r="J813" s="7" t="s">
        <v>1686</v>
      </c>
      <c r="K813" s="7" t="n">
        <f aca="false">IFERROR(VALUE(RIGHT(TRIM(F813),4)),"")</f>
        <v>2019</v>
      </c>
      <c r="L813" s="7" t="str">
        <f aca="false">IF(TRIM(E813)="","Unknown",IFERROR(LEFT(TRIM(E813),FIND(",",TRIM(E813))-1),TRIM(E813)))</f>
        <v>South Korea</v>
      </c>
      <c r="M813" s="7" t="str">
        <f aca="false">IFERROR(LEFT(J813,FIND(",",J813)-1),J813)</f>
        <v>Kids' TV</v>
      </c>
      <c r="N813" s="7" t="str">
        <f aca="false">IF(B813="Movie",IFERROR(VALUE(LEFT(I813,FIND(" ",I813)-1)),""),"")</f>
        <v/>
      </c>
      <c r="O813" s="7" t="n">
        <f aca="false">IF(B813="TV Show",IFERROR(VALUE(LEFT(I813,FIND(" ",I813)-1)),""),"")</f>
        <v>1</v>
      </c>
      <c r="P813" s="7" t="n">
        <f aca="false">IF(K813="","",K813-G813)</f>
        <v>1</v>
      </c>
    </row>
    <row r="814" customFormat="false" ht="15" hidden="false" customHeight="false" outlineLevel="0" collapsed="false">
      <c r="A814" s="7" t="n">
        <v>81002876</v>
      </c>
      <c r="B814" s="7" t="s">
        <v>68</v>
      </c>
      <c r="C814" s="7" t="s">
        <v>2043</v>
      </c>
      <c r="D814" s="7" t="s">
        <v>2044</v>
      </c>
      <c r="E814" s="7" t="s">
        <v>26</v>
      </c>
      <c r="F814" s="7" t="s">
        <v>1978</v>
      </c>
      <c r="G814" s="7" t="n">
        <v>2019</v>
      </c>
      <c r="H814" s="7" t="s">
        <v>48</v>
      </c>
      <c r="I814" s="7" t="s">
        <v>286</v>
      </c>
      <c r="J814" s="7" t="s">
        <v>45</v>
      </c>
      <c r="K814" s="7" t="n">
        <f aca="false">IFERROR(VALUE(RIGHT(TRIM(F814),4)),"")</f>
        <v>2019</v>
      </c>
      <c r="L814" s="7" t="str">
        <f aca="false">IF(TRIM(E814)="","Unknown",IFERROR(LEFT(TRIM(E814),FIND(",",TRIM(E814))-1),TRIM(E814)))</f>
        <v>United States</v>
      </c>
      <c r="M814" s="7" t="str">
        <f aca="false">IFERROR(LEFT(J814,FIND(",",J814)-1),J814)</f>
        <v>Stand-Up Comedy</v>
      </c>
      <c r="N814" s="7" t="n">
        <f aca="false">IF(B814="Movie",IFERROR(VALUE(LEFT(I814,FIND(" ",I814)-1)),""),"")</f>
        <v>64</v>
      </c>
      <c r="O814" s="7" t="str">
        <f aca="false">IF(B814="TV Show",IFERROR(VALUE(LEFT(I814,FIND(" ",I814)-1)),""),"")</f>
        <v/>
      </c>
      <c r="P814" s="7" t="n">
        <f aca="false">IF(K814="","",K814-G814)</f>
        <v>0</v>
      </c>
    </row>
    <row r="815" customFormat="false" ht="15" hidden="false" customHeight="false" outlineLevel="0" collapsed="false">
      <c r="A815" s="7" t="n">
        <v>70058017</v>
      </c>
      <c r="B815" s="7" t="s">
        <v>68</v>
      </c>
      <c r="C815" s="7" t="s">
        <v>2045</v>
      </c>
      <c r="D815" s="7" t="s">
        <v>2046</v>
      </c>
      <c r="E815" s="7" t="s">
        <v>26</v>
      </c>
      <c r="F815" s="7" t="s">
        <v>1978</v>
      </c>
      <c r="G815" s="7" t="n">
        <v>2007</v>
      </c>
      <c r="H815" s="7" t="s">
        <v>54</v>
      </c>
      <c r="I815" s="7" t="s">
        <v>417</v>
      </c>
      <c r="J815" s="7" t="s">
        <v>177</v>
      </c>
      <c r="K815" s="7" t="n">
        <f aca="false">IFERROR(VALUE(RIGHT(TRIM(F815),4)),"")</f>
        <v>2019</v>
      </c>
      <c r="L815" s="7" t="str">
        <f aca="false">IF(TRIM(E815)="","Unknown",IFERROR(LEFT(TRIM(E815),FIND(",",TRIM(E815))-1),TRIM(E815)))</f>
        <v>United States</v>
      </c>
      <c r="M815" s="7" t="str">
        <f aca="false">IFERROR(LEFT(J815,FIND(",",J815)-1),J815)</f>
        <v>Comedies</v>
      </c>
      <c r="N815" s="7" t="n">
        <f aca="false">IF(B815="Movie",IFERROR(VALUE(LEFT(I815,FIND(" ",I815)-1)),""),"")</f>
        <v>104</v>
      </c>
      <c r="O815" s="7" t="str">
        <f aca="false">IF(B815="TV Show",IFERROR(VALUE(LEFT(I815,FIND(" ",I815)-1)),""),"")</f>
        <v/>
      </c>
      <c r="P815" s="7" t="n">
        <f aca="false">IF(K815="","",K815-G815)</f>
        <v>12</v>
      </c>
    </row>
    <row r="816" customFormat="false" ht="15" hidden="false" customHeight="false" outlineLevel="0" collapsed="false">
      <c r="A816" s="7" t="n">
        <v>70058024</v>
      </c>
      <c r="B816" s="7" t="s">
        <v>68</v>
      </c>
      <c r="C816" s="7" t="s">
        <v>2047</v>
      </c>
      <c r="D816" s="7" t="s">
        <v>1696</v>
      </c>
      <c r="E816" s="7" t="s">
        <v>26</v>
      </c>
      <c r="F816" s="7" t="s">
        <v>1978</v>
      </c>
      <c r="G816" s="7" t="n">
        <v>2007</v>
      </c>
      <c r="H816" s="7" t="s">
        <v>52</v>
      </c>
      <c r="I816" s="7" t="s">
        <v>232</v>
      </c>
      <c r="J816" s="7" t="s">
        <v>967</v>
      </c>
      <c r="K816" s="7" t="n">
        <f aca="false">IFERROR(VALUE(RIGHT(TRIM(F816),4)),"")</f>
        <v>2019</v>
      </c>
      <c r="L816" s="7" t="str">
        <f aca="false">IF(TRIM(E816)="","Unknown",IFERROR(LEFT(TRIM(E816),FIND(",",TRIM(E816))-1),TRIM(E816)))</f>
        <v>United States</v>
      </c>
      <c r="M816" s="7" t="str">
        <f aca="false">IFERROR(LEFT(J816,FIND(",",J816)-1),J816)</f>
        <v>Action &amp; Adventure</v>
      </c>
      <c r="N816" s="7" t="n">
        <f aca="false">IF(B816="Movie",IFERROR(VALUE(LEFT(I816,FIND(" ",I816)-1)),""),"")</f>
        <v>122</v>
      </c>
      <c r="O816" s="7" t="str">
        <f aca="false">IF(B816="TV Show",IFERROR(VALUE(LEFT(I816,FIND(" ",I816)-1)),""),"")</f>
        <v/>
      </c>
      <c r="P816" s="7" t="n">
        <f aca="false">IF(K816="","",K816-G816)</f>
        <v>12</v>
      </c>
    </row>
    <row r="817" customFormat="false" ht="15" hidden="false" customHeight="false" outlineLevel="0" collapsed="false">
      <c r="A817" s="7" t="n">
        <v>70011211</v>
      </c>
      <c r="B817" s="7" t="s">
        <v>68</v>
      </c>
      <c r="C817" s="7" t="s">
        <v>2048</v>
      </c>
      <c r="D817" s="7" t="s">
        <v>1696</v>
      </c>
      <c r="E817" s="7" t="s">
        <v>26</v>
      </c>
      <c r="F817" s="7" t="s">
        <v>1978</v>
      </c>
      <c r="G817" s="7" t="n">
        <v>2004</v>
      </c>
      <c r="H817" s="7" t="s">
        <v>52</v>
      </c>
      <c r="I817" s="7" t="s">
        <v>194</v>
      </c>
      <c r="J817" s="7" t="s">
        <v>967</v>
      </c>
      <c r="K817" s="7" t="n">
        <f aca="false">IFERROR(VALUE(RIGHT(TRIM(F817),4)),"")</f>
        <v>2019</v>
      </c>
      <c r="L817" s="7" t="str">
        <f aca="false">IF(TRIM(E817)="","Unknown",IFERROR(LEFT(TRIM(E817),FIND(",",TRIM(E817))-1),TRIM(E817)))</f>
        <v>United States</v>
      </c>
      <c r="M817" s="7" t="str">
        <f aca="false">IFERROR(LEFT(J817,FIND(",",J817)-1),J817)</f>
        <v>Action &amp; Adventure</v>
      </c>
      <c r="N817" s="7" t="n">
        <f aca="false">IF(B817="Movie",IFERROR(VALUE(LEFT(I817,FIND(" ",I817)-1)),""),"")</f>
        <v>125</v>
      </c>
      <c r="O817" s="7" t="str">
        <f aca="false">IF(B817="TV Show",IFERROR(VALUE(LEFT(I817,FIND(" ",I817)-1)),""),"")</f>
        <v/>
      </c>
      <c r="P817" s="7" t="n">
        <f aca="false">IF(K817="","",K817-G817)</f>
        <v>15</v>
      </c>
    </row>
    <row r="818" customFormat="false" ht="15" hidden="false" customHeight="false" outlineLevel="0" collapsed="false">
      <c r="A818" s="7" t="n">
        <v>70271599</v>
      </c>
      <c r="B818" s="7" t="s">
        <v>68</v>
      </c>
      <c r="C818" s="7" t="s">
        <v>2049</v>
      </c>
      <c r="D818" s="7" t="s">
        <v>2050</v>
      </c>
      <c r="E818" s="7" t="s">
        <v>26</v>
      </c>
      <c r="F818" s="7" t="s">
        <v>1978</v>
      </c>
      <c r="G818" s="7" t="n">
        <v>2013</v>
      </c>
      <c r="H818" s="7" t="s">
        <v>54</v>
      </c>
      <c r="I818" s="7" t="s">
        <v>311</v>
      </c>
      <c r="J818" s="7" t="s">
        <v>509</v>
      </c>
      <c r="K818" s="7" t="n">
        <f aca="false">IFERROR(VALUE(RIGHT(TRIM(F818),4)),"")</f>
        <v>2019</v>
      </c>
      <c r="L818" s="7" t="str">
        <f aca="false">IF(TRIM(E818)="","Unknown",IFERROR(LEFT(TRIM(E818),FIND(",",TRIM(E818))-1),TRIM(E818)))</f>
        <v>United States</v>
      </c>
      <c r="M818" s="7" t="str">
        <f aca="false">IFERROR(LEFT(J818,FIND(",",J818)-1),J818)</f>
        <v>Documentaries</v>
      </c>
      <c r="N818" s="7" t="n">
        <f aca="false">IF(B818="Movie",IFERROR(VALUE(LEFT(I818,FIND(" ",I818)-1)),""),"")</f>
        <v>92</v>
      </c>
      <c r="O818" s="7" t="str">
        <f aca="false">IF(B818="TV Show",IFERROR(VALUE(LEFT(I818,FIND(" ",I818)-1)),""),"")</f>
        <v/>
      </c>
      <c r="P818" s="7" t="n">
        <f aca="false">IF(K818="","",K818-G818)</f>
        <v>6</v>
      </c>
    </row>
    <row r="819" customFormat="false" ht="15" hidden="false" customHeight="false" outlineLevel="0" collapsed="false">
      <c r="A819" s="7" t="n">
        <v>70020699</v>
      </c>
      <c r="B819" s="7" t="s">
        <v>68</v>
      </c>
      <c r="C819" s="7" t="s">
        <v>2051</v>
      </c>
      <c r="D819" s="7" t="s">
        <v>2052</v>
      </c>
      <c r="E819" s="7" t="s">
        <v>26</v>
      </c>
      <c r="F819" s="7" t="s">
        <v>1978</v>
      </c>
      <c r="G819" s="7" t="n">
        <v>1980</v>
      </c>
      <c r="H819" s="7" t="s">
        <v>51</v>
      </c>
      <c r="I819" s="7" t="s">
        <v>2053</v>
      </c>
      <c r="J819" s="7" t="s">
        <v>2054</v>
      </c>
      <c r="K819" s="7" t="n">
        <f aca="false">IFERROR(VALUE(RIGHT(TRIM(F819),4)),"")</f>
        <v>2019</v>
      </c>
      <c r="L819" s="7" t="str">
        <f aca="false">IF(TRIM(E819)="","Unknown",IFERROR(LEFT(TRIM(E819),FIND(",",TRIM(E819))-1),TRIM(E819)))</f>
        <v>United States</v>
      </c>
      <c r="M819" s="7" t="str">
        <f aca="false">IFERROR(LEFT(J819,FIND(",",J819)-1),J819)</f>
        <v>Classic Movies</v>
      </c>
      <c r="N819" s="7" t="n">
        <f aca="false">IF(B819="Movie",IFERROR(VALUE(LEFT(I819,FIND(" ",I819)-1)),""),"")</f>
        <v>129</v>
      </c>
      <c r="O819" s="7" t="str">
        <f aca="false">IF(B819="TV Show",IFERROR(VALUE(LEFT(I819,FIND(" ",I819)-1)),""),"")</f>
        <v/>
      </c>
      <c r="P819" s="7" t="n">
        <f aca="false">IF(K819="","",K819-G819)</f>
        <v>39</v>
      </c>
    </row>
    <row r="820" customFormat="false" ht="15" hidden="false" customHeight="false" outlineLevel="0" collapsed="false">
      <c r="A820" s="7" t="n">
        <v>60003540</v>
      </c>
      <c r="B820" s="7" t="s">
        <v>68</v>
      </c>
      <c r="C820" s="7" t="s">
        <v>2055</v>
      </c>
      <c r="D820" s="7" t="s">
        <v>2056</v>
      </c>
      <c r="E820" s="7" t="s">
        <v>2057</v>
      </c>
      <c r="F820" s="7" t="s">
        <v>1978</v>
      </c>
      <c r="G820" s="7" t="n">
        <v>2000</v>
      </c>
      <c r="H820" s="7" t="s">
        <v>612</v>
      </c>
      <c r="I820" s="7" t="s">
        <v>143</v>
      </c>
      <c r="J820" s="7" t="s">
        <v>74</v>
      </c>
      <c r="K820" s="7" t="n">
        <f aca="false">IFERROR(VALUE(RIGHT(TRIM(F820),4)),"")</f>
        <v>2019</v>
      </c>
      <c r="L820" s="7" t="str">
        <f aca="false">IF(TRIM(E820)="","Unknown",IFERROR(LEFT(TRIM(E820),FIND(",",TRIM(E820))-1),TRIM(E820)))</f>
        <v>Germany</v>
      </c>
      <c r="M820" s="7" t="str">
        <f aca="false">IFERROR(LEFT(J820,FIND(",",J820)-1),J820)</f>
        <v>Children &amp; Family Movies</v>
      </c>
      <c r="N820" s="7" t="n">
        <f aca="false">IF(B820="Movie",IFERROR(VALUE(LEFT(I820,FIND(" ",I820)-1)),""),"")</f>
        <v>79</v>
      </c>
      <c r="O820" s="7" t="str">
        <f aca="false">IF(B820="TV Show",IFERROR(VALUE(LEFT(I820,FIND(" ",I820)-1)),""),"")</f>
        <v/>
      </c>
      <c r="P820" s="7" t="n">
        <f aca="false">IF(K820="","",K820-G820)</f>
        <v>19</v>
      </c>
    </row>
    <row r="821" customFormat="false" ht="15" hidden="false" customHeight="false" outlineLevel="0" collapsed="false">
      <c r="A821" s="7" t="n">
        <v>1181550</v>
      </c>
      <c r="B821" s="7" t="s">
        <v>68</v>
      </c>
      <c r="C821" s="7" t="s">
        <v>2058</v>
      </c>
      <c r="D821" s="7" t="s">
        <v>2059</v>
      </c>
      <c r="E821" s="7" t="s">
        <v>26</v>
      </c>
      <c r="F821" s="7" t="s">
        <v>1978</v>
      </c>
      <c r="G821" s="7" t="n">
        <v>1997</v>
      </c>
      <c r="H821" s="7" t="s">
        <v>51</v>
      </c>
      <c r="I821" s="7" t="s">
        <v>505</v>
      </c>
      <c r="J821" s="7" t="s">
        <v>265</v>
      </c>
      <c r="K821" s="7" t="n">
        <f aca="false">IFERROR(VALUE(RIGHT(TRIM(F821),4)),"")</f>
        <v>2019</v>
      </c>
      <c r="L821" s="7" t="str">
        <f aca="false">IF(TRIM(E821)="","Unknown",IFERROR(LEFT(TRIM(E821),FIND(",",TRIM(E821))-1),TRIM(E821)))</f>
        <v>United States</v>
      </c>
      <c r="M821" s="7" t="str">
        <f aca="false">IFERROR(LEFT(J821,FIND(",",J821)-1),J821)</f>
        <v>Horror Movies</v>
      </c>
      <c r="N821" s="7" t="n">
        <f aca="false">IF(B821="Movie",IFERROR(VALUE(LEFT(I821,FIND(" ",I821)-1)),""),"")</f>
        <v>121</v>
      </c>
      <c r="O821" s="7" t="str">
        <f aca="false">IF(B821="TV Show",IFERROR(VALUE(LEFT(I821,FIND(" ",I821)-1)),""),"")</f>
        <v/>
      </c>
      <c r="P821" s="7" t="n">
        <f aca="false">IF(K821="","",K821-G821)</f>
        <v>22</v>
      </c>
    </row>
    <row r="822" customFormat="false" ht="15" hidden="false" customHeight="false" outlineLevel="0" collapsed="false">
      <c r="A822" s="7" t="n">
        <v>70170051</v>
      </c>
      <c r="B822" s="7" t="s">
        <v>68</v>
      </c>
      <c r="C822" s="7" t="s">
        <v>2060</v>
      </c>
      <c r="D822" s="7" t="s">
        <v>2061</v>
      </c>
      <c r="E822" s="7" t="s">
        <v>2062</v>
      </c>
      <c r="F822" s="7" t="s">
        <v>1978</v>
      </c>
      <c r="G822" s="7" t="n">
        <v>2010</v>
      </c>
      <c r="H822" s="7" t="s">
        <v>52</v>
      </c>
      <c r="I822" s="7" t="s">
        <v>173</v>
      </c>
      <c r="J822" s="7" t="s">
        <v>974</v>
      </c>
      <c r="K822" s="7" t="n">
        <f aca="false">IFERROR(VALUE(RIGHT(TRIM(F822),4)),"")</f>
        <v>2019</v>
      </c>
      <c r="L822" s="7" t="str">
        <f aca="false">IF(TRIM(E822)="","Unknown",IFERROR(LEFT(TRIM(E822),FIND(",",TRIM(E822))-1),TRIM(E822)))</f>
        <v>United Kingdom</v>
      </c>
      <c r="M822" s="7" t="str">
        <f aca="false">IFERROR(LEFT(J822,FIND(",",J822)-1),J822)</f>
        <v>Documentaries</v>
      </c>
      <c r="N822" s="7" t="n">
        <f aca="false">IF(B822="Movie",IFERROR(VALUE(LEFT(I822,FIND(" ",I822)-1)),""),"")</f>
        <v>106</v>
      </c>
      <c r="O822" s="7" t="str">
        <f aca="false">IF(B822="TV Show",IFERROR(VALUE(LEFT(I822,FIND(" ",I822)-1)),""),"")</f>
        <v/>
      </c>
      <c r="P822" s="7" t="n">
        <f aca="false">IF(K822="","",K822-G822)</f>
        <v>9</v>
      </c>
    </row>
    <row r="823" customFormat="false" ht="15" hidden="false" customHeight="false" outlineLevel="0" collapsed="false">
      <c r="A823" s="7" t="n">
        <v>80987077</v>
      </c>
      <c r="B823" s="7" t="s">
        <v>78</v>
      </c>
      <c r="C823" s="7" t="s">
        <v>2063</v>
      </c>
      <c r="E823" s="7" t="s">
        <v>32</v>
      </c>
      <c r="F823" s="7" t="s">
        <v>1978</v>
      </c>
      <c r="G823" s="7" t="n">
        <v>2016</v>
      </c>
      <c r="H823" s="7" t="s">
        <v>49</v>
      </c>
      <c r="I823" s="7" t="s">
        <v>82</v>
      </c>
      <c r="J823" s="7" t="s">
        <v>1877</v>
      </c>
      <c r="K823" s="7" t="n">
        <f aca="false">IFERROR(VALUE(RIGHT(TRIM(F823),4)),"")</f>
        <v>2019</v>
      </c>
      <c r="L823" s="7" t="str">
        <f aca="false">IF(TRIM(E823)="","Unknown",IFERROR(LEFT(TRIM(E823),FIND(",",TRIM(E823))-1),TRIM(E823)))</f>
        <v>South Korea</v>
      </c>
      <c r="M823" s="7" t="str">
        <f aca="false">IFERROR(LEFT(J823,FIND(",",J823)-1),J823)</f>
        <v>Crime TV Shows</v>
      </c>
      <c r="N823" s="7" t="str">
        <f aca="false">IF(B823="Movie",IFERROR(VALUE(LEFT(I823,FIND(" ",I823)-1)),""),"")</f>
        <v/>
      </c>
      <c r="O823" s="7" t="n">
        <f aca="false">IF(B823="TV Show",IFERROR(VALUE(LEFT(I823,FIND(" ",I823)-1)),""),"")</f>
        <v>1</v>
      </c>
      <c r="P823" s="7" t="n">
        <f aca="false">IF(K823="","",K823-G823)</f>
        <v>3</v>
      </c>
    </row>
    <row r="824" customFormat="false" ht="15" hidden="false" customHeight="false" outlineLevel="0" collapsed="false">
      <c r="A824" s="7" t="n">
        <v>70021630</v>
      </c>
      <c r="B824" s="7" t="s">
        <v>68</v>
      </c>
      <c r="C824" s="7" t="s">
        <v>2064</v>
      </c>
      <c r="D824" s="7" t="s">
        <v>2065</v>
      </c>
      <c r="E824" s="7" t="s">
        <v>26</v>
      </c>
      <c r="F824" s="7" t="s">
        <v>1978</v>
      </c>
      <c r="G824" s="7" t="n">
        <v>2005</v>
      </c>
      <c r="H824" s="7" t="s">
        <v>51</v>
      </c>
      <c r="I824" s="7" t="s">
        <v>549</v>
      </c>
      <c r="J824" s="7" t="s">
        <v>40</v>
      </c>
      <c r="K824" s="7" t="n">
        <f aca="false">IFERROR(VALUE(RIGHT(TRIM(F824),4)),"")</f>
        <v>2019</v>
      </c>
      <c r="L824" s="7" t="str">
        <f aca="false">IF(TRIM(E824)="","Unknown",IFERROR(LEFT(TRIM(E824),FIND(",",TRIM(E824))-1),TRIM(E824)))</f>
        <v>United States</v>
      </c>
      <c r="M824" s="7" t="str">
        <f aca="false">IFERROR(LEFT(J824,FIND(",",J824)-1),J824)</f>
        <v>Action &amp; Adventure</v>
      </c>
      <c r="N824" s="7" t="n">
        <f aca="false">IF(B824="Movie",IFERROR(VALUE(LEFT(I824,FIND(" ",I824)-1)),""),"")</f>
        <v>124</v>
      </c>
      <c r="O824" s="7" t="str">
        <f aca="false">IF(B824="TV Show",IFERROR(VALUE(LEFT(I824,FIND(" ",I824)-1)),""),"")</f>
        <v/>
      </c>
      <c r="P824" s="7" t="n">
        <f aca="false">IF(K824="","",K824-G824)</f>
        <v>14</v>
      </c>
    </row>
    <row r="825" customFormat="false" ht="15" hidden="false" customHeight="false" outlineLevel="0" collapsed="false">
      <c r="A825" s="7" t="n">
        <v>81043753</v>
      </c>
      <c r="B825" s="7" t="s">
        <v>68</v>
      </c>
      <c r="C825" s="7" t="s">
        <v>2066</v>
      </c>
      <c r="D825" s="7" t="s">
        <v>2067</v>
      </c>
      <c r="E825" s="7" t="s">
        <v>1552</v>
      </c>
      <c r="F825" s="7" t="s">
        <v>1978</v>
      </c>
      <c r="G825" s="7" t="n">
        <v>2017</v>
      </c>
      <c r="H825" s="7" t="s">
        <v>48</v>
      </c>
      <c r="I825" s="7" t="s">
        <v>494</v>
      </c>
      <c r="J825" s="7" t="s">
        <v>169</v>
      </c>
      <c r="K825" s="7" t="n">
        <f aca="false">IFERROR(VALUE(RIGHT(TRIM(F825),4)),"")</f>
        <v>2019</v>
      </c>
      <c r="L825" s="7" t="str">
        <f aca="false">IF(TRIM(E825)="","Unknown",IFERROR(LEFT(TRIM(E825),FIND(",",TRIM(E825))-1),TRIM(E825)))</f>
        <v>Peru</v>
      </c>
      <c r="M825" s="7" t="str">
        <f aca="false">IFERROR(LEFT(J825,FIND(",",J825)-1),J825)</f>
        <v>Horror Movies</v>
      </c>
      <c r="N825" s="7" t="n">
        <f aca="false">IF(B825="Movie",IFERROR(VALUE(LEFT(I825,FIND(" ",I825)-1)),""),"")</f>
        <v>87</v>
      </c>
      <c r="O825" s="7" t="str">
        <f aca="false">IF(B825="TV Show",IFERROR(VALUE(LEFT(I825,FIND(" ",I825)-1)),""),"")</f>
        <v/>
      </c>
      <c r="P825" s="7" t="n">
        <f aca="false">IF(K825="","",K825-G825)</f>
        <v>2</v>
      </c>
    </row>
    <row r="826" customFormat="false" ht="15" hidden="false" customHeight="false" outlineLevel="0" collapsed="false">
      <c r="A826" s="7" t="n">
        <v>60001761</v>
      </c>
      <c r="B826" s="7" t="s">
        <v>68</v>
      </c>
      <c r="C826" s="7" t="s">
        <v>2068</v>
      </c>
      <c r="D826" s="7" t="s">
        <v>2069</v>
      </c>
      <c r="E826" s="7" t="s">
        <v>317</v>
      </c>
      <c r="F826" s="7" t="s">
        <v>1978</v>
      </c>
      <c r="G826" s="7" t="n">
        <v>1984</v>
      </c>
      <c r="H826" s="7" t="s">
        <v>54</v>
      </c>
      <c r="I826" s="7" t="s">
        <v>194</v>
      </c>
      <c r="J826" s="7" t="s">
        <v>276</v>
      </c>
      <c r="K826" s="7" t="n">
        <f aca="false">IFERROR(VALUE(RIGHT(TRIM(F826),4)),"")</f>
        <v>2019</v>
      </c>
      <c r="L826" s="7" t="str">
        <f aca="false">IF(TRIM(E826)="","Unknown",IFERROR(LEFT(TRIM(E826),FIND(",",TRIM(E826))-1),TRIM(E826)))</f>
        <v>United Kingdom</v>
      </c>
      <c r="M826" s="7" t="str">
        <f aca="false">IFERROR(LEFT(J826,FIND(",",J826)-1),J826)</f>
        <v>Action &amp; Adventure</v>
      </c>
      <c r="N826" s="7" t="n">
        <f aca="false">IF(B826="Movie",IFERROR(VALUE(LEFT(I826,FIND(" ",I826)-1)),""),"")</f>
        <v>125</v>
      </c>
      <c r="O826" s="7" t="str">
        <f aca="false">IF(B826="TV Show",IFERROR(VALUE(LEFT(I826,FIND(" ",I826)-1)),""),"")</f>
        <v/>
      </c>
      <c r="P826" s="7" t="n">
        <f aca="false">IF(K826="","",K826-G826)</f>
        <v>35</v>
      </c>
    </row>
    <row r="827" customFormat="false" ht="15" hidden="false" customHeight="false" outlineLevel="0" collapsed="false">
      <c r="A827" s="7" t="n">
        <v>70041963</v>
      </c>
      <c r="B827" s="7" t="s">
        <v>68</v>
      </c>
      <c r="C827" s="7" t="s">
        <v>2070</v>
      </c>
      <c r="D827" s="7" t="s">
        <v>2071</v>
      </c>
      <c r="E827" s="7" t="s">
        <v>26</v>
      </c>
      <c r="F827" s="7" t="s">
        <v>1978</v>
      </c>
      <c r="G827" s="7" t="n">
        <v>2006</v>
      </c>
      <c r="H827" s="7" t="s">
        <v>52</v>
      </c>
      <c r="I827" s="7" t="s">
        <v>1955</v>
      </c>
      <c r="J827" s="7" t="s">
        <v>276</v>
      </c>
      <c r="K827" s="7" t="n">
        <f aca="false">IFERROR(VALUE(RIGHT(TRIM(F827),4)),"")</f>
        <v>2019</v>
      </c>
      <c r="L827" s="7" t="str">
        <f aca="false">IF(TRIM(E827)="","Unknown",IFERROR(LEFT(TRIM(E827),FIND(",",TRIM(E827))-1),TRIM(E827)))</f>
        <v>United States</v>
      </c>
      <c r="M827" s="7" t="str">
        <f aca="false">IFERROR(LEFT(J827,FIND(",",J827)-1),J827)</f>
        <v>Action &amp; Adventure</v>
      </c>
      <c r="N827" s="7" t="n">
        <f aca="false">IF(B827="Movie",IFERROR(VALUE(LEFT(I827,FIND(" ",I827)-1)),""),"")</f>
        <v>154</v>
      </c>
      <c r="O827" s="7" t="str">
        <f aca="false">IF(B827="TV Show",IFERROR(VALUE(LEFT(I827,FIND(" ",I827)-1)),""),"")</f>
        <v/>
      </c>
      <c r="P827" s="7" t="n">
        <f aca="false">IF(K827="","",K827-G827)</f>
        <v>13</v>
      </c>
    </row>
    <row r="828" customFormat="false" ht="15" hidden="false" customHeight="false" outlineLevel="0" collapsed="false">
      <c r="A828" s="7" t="n">
        <v>70058025</v>
      </c>
      <c r="B828" s="7" t="s">
        <v>68</v>
      </c>
      <c r="C828" s="7" t="s">
        <v>2072</v>
      </c>
      <c r="D828" s="7" t="s">
        <v>2073</v>
      </c>
      <c r="E828" s="7" t="s">
        <v>26</v>
      </c>
      <c r="F828" s="7" t="s">
        <v>1978</v>
      </c>
      <c r="G828" s="7" t="n">
        <v>2007</v>
      </c>
      <c r="H828" s="7" t="s">
        <v>54</v>
      </c>
      <c r="I828" s="7" t="s">
        <v>212</v>
      </c>
      <c r="J828" s="7" t="s">
        <v>2074</v>
      </c>
      <c r="K828" s="7" t="n">
        <f aca="false">IFERROR(VALUE(RIGHT(TRIM(F828),4)),"")</f>
        <v>2019</v>
      </c>
      <c r="L828" s="7" t="str">
        <f aca="false">IF(TRIM(E828)="","Unknown",IFERROR(LEFT(TRIM(E828),FIND(",",TRIM(E828))-1),TRIM(E828)))</f>
        <v>United States</v>
      </c>
      <c r="M828" s="7" t="str">
        <f aca="false">IFERROR(LEFT(J828,FIND(",",J828)-1),J828)</f>
        <v>Children &amp; Family Movies</v>
      </c>
      <c r="N828" s="7" t="n">
        <f aca="false">IF(B828="Movie",IFERROR(VALUE(LEFT(I828,FIND(" ",I828)-1)),""),"")</f>
        <v>86</v>
      </c>
      <c r="O828" s="7" t="str">
        <f aca="false">IF(B828="TV Show",IFERROR(VALUE(LEFT(I828,FIND(" ",I828)-1)),""),"")</f>
        <v/>
      </c>
      <c r="P828" s="7" t="n">
        <f aca="false">IF(K828="","",K828-G828)</f>
        <v>12</v>
      </c>
    </row>
    <row r="829" customFormat="false" ht="15" hidden="false" customHeight="false" outlineLevel="0" collapsed="false">
      <c r="A829" s="7" t="n">
        <v>70128696</v>
      </c>
      <c r="B829" s="7" t="s">
        <v>68</v>
      </c>
      <c r="C829" s="7" t="s">
        <v>2075</v>
      </c>
      <c r="D829" s="7" t="s">
        <v>2076</v>
      </c>
      <c r="E829" s="7" t="s">
        <v>26</v>
      </c>
      <c r="F829" s="7" t="s">
        <v>1978</v>
      </c>
      <c r="G829" s="7" t="n">
        <v>2010</v>
      </c>
      <c r="H829" s="7" t="s">
        <v>52</v>
      </c>
      <c r="I829" s="7" t="s">
        <v>326</v>
      </c>
      <c r="J829" s="7" t="s">
        <v>2077</v>
      </c>
      <c r="K829" s="7" t="n">
        <f aca="false">IFERROR(VALUE(RIGHT(TRIM(F829),4)),"")</f>
        <v>2019</v>
      </c>
      <c r="L829" s="7" t="str">
        <f aca="false">IF(TRIM(E829)="","Unknown",IFERROR(LEFT(TRIM(E829),FIND(",",TRIM(E829))-1),TRIM(E829)))</f>
        <v>United States</v>
      </c>
      <c r="M829" s="7" t="str">
        <f aca="false">IFERROR(LEFT(J829,FIND(",",J829)-1),J829)</f>
        <v>Action &amp; Adventure</v>
      </c>
      <c r="N829" s="7" t="n">
        <f aca="false">IF(B829="Movie",IFERROR(VALUE(LEFT(I829,FIND(" ",I829)-1)),""),"")</f>
        <v>111</v>
      </c>
      <c r="O829" s="7" t="str">
        <f aca="false">IF(B829="TV Show",IFERROR(VALUE(LEFT(I829,FIND(" ",I829)-1)),""),"")</f>
        <v/>
      </c>
      <c r="P829" s="7" t="n">
        <f aca="false">IF(K829="","",K829-G829)</f>
        <v>9</v>
      </c>
    </row>
    <row r="830" customFormat="false" ht="15" hidden="false" customHeight="false" outlineLevel="0" collapsed="false">
      <c r="A830" s="7" t="n">
        <v>70077542</v>
      </c>
      <c r="B830" s="7" t="s">
        <v>68</v>
      </c>
      <c r="C830" s="7" t="s">
        <v>2078</v>
      </c>
      <c r="D830" s="7" t="s">
        <v>2079</v>
      </c>
      <c r="E830" s="7" t="s">
        <v>26</v>
      </c>
      <c r="F830" s="7" t="s">
        <v>1978</v>
      </c>
      <c r="G830" s="7" t="n">
        <v>2007</v>
      </c>
      <c r="H830" s="7" t="s">
        <v>52</v>
      </c>
      <c r="I830" s="7" t="s">
        <v>451</v>
      </c>
      <c r="J830" s="7" t="s">
        <v>251</v>
      </c>
      <c r="K830" s="7" t="n">
        <f aca="false">IFERROR(VALUE(RIGHT(TRIM(F830),4)),"")</f>
        <v>2019</v>
      </c>
      <c r="L830" s="7" t="str">
        <f aca="false">IF(TRIM(E830)="","Unknown",IFERROR(LEFT(TRIM(E830),FIND(",",TRIM(E830))-1),TRIM(E830)))</f>
        <v>United States</v>
      </c>
      <c r="M830" s="7" t="str">
        <f aca="false">IFERROR(LEFT(J830,FIND(",",J830)-1),J830)</f>
        <v>Comedies</v>
      </c>
      <c r="N830" s="7" t="n">
        <f aca="false">IF(B830="Movie",IFERROR(VALUE(LEFT(I830,FIND(" ",I830)-1)),""),"")</f>
        <v>97</v>
      </c>
      <c r="O830" s="7" t="str">
        <f aca="false">IF(B830="TV Show",IFERROR(VALUE(LEFT(I830,FIND(" ",I830)-1)),""),"")</f>
        <v/>
      </c>
      <c r="P830" s="7" t="n">
        <f aca="false">IF(K830="","",K830-G830)</f>
        <v>12</v>
      </c>
    </row>
    <row r="831" customFormat="false" ht="15" hidden="false" customHeight="false" outlineLevel="0" collapsed="false">
      <c r="A831" s="7" t="n">
        <v>81168342</v>
      </c>
      <c r="B831" s="7" t="s">
        <v>68</v>
      </c>
      <c r="C831" s="7" t="s">
        <v>2080</v>
      </c>
      <c r="D831" s="7" t="s">
        <v>2081</v>
      </c>
      <c r="E831" s="7" t="s">
        <v>772</v>
      </c>
      <c r="F831" s="7" t="s">
        <v>1978</v>
      </c>
      <c r="G831" s="7" t="n">
        <v>1970</v>
      </c>
      <c r="H831" s="7" t="s">
        <v>50</v>
      </c>
      <c r="I831" s="7" t="s">
        <v>1317</v>
      </c>
      <c r="J831" s="7" t="s">
        <v>2082</v>
      </c>
      <c r="K831" s="7" t="n">
        <f aca="false">IFERROR(VALUE(RIGHT(TRIM(F831),4)),"")</f>
        <v>2019</v>
      </c>
      <c r="L831" s="7" t="str">
        <f aca="false">IF(TRIM(E831)="","Unknown",IFERROR(LEFT(TRIM(E831),FIND(",",TRIM(E831))-1),TRIM(E831)))</f>
        <v>Poland</v>
      </c>
      <c r="M831" s="7" t="str">
        <f aca="false">IFERROR(LEFT(J831,FIND(",",J831)-1),J831)</f>
        <v>Comedies</v>
      </c>
      <c r="N831" s="7" t="n">
        <f aca="false">IF(B831="Movie",IFERROR(VALUE(LEFT(I831,FIND(" ",I831)-1)),""),"")</f>
        <v>66</v>
      </c>
      <c r="O831" s="7" t="str">
        <f aca="false">IF(B831="TV Show",IFERROR(VALUE(LEFT(I831,FIND(" ",I831)-1)),""),"")</f>
        <v/>
      </c>
      <c r="P831" s="7" t="n">
        <f aca="false">IF(K831="","",K831-G831)</f>
        <v>49</v>
      </c>
    </row>
    <row r="832" customFormat="false" ht="15" hidden="false" customHeight="false" outlineLevel="0" collapsed="false">
      <c r="A832" s="7" t="n">
        <v>81165772</v>
      </c>
      <c r="B832" s="7" t="s">
        <v>68</v>
      </c>
      <c r="C832" s="7" t="s">
        <v>2083</v>
      </c>
      <c r="D832" s="7" t="s">
        <v>911</v>
      </c>
      <c r="E832" s="7" t="s">
        <v>527</v>
      </c>
      <c r="F832" s="7" t="s">
        <v>1978</v>
      </c>
      <c r="G832" s="7" t="n">
        <v>2009</v>
      </c>
      <c r="H832" s="7" t="s">
        <v>49</v>
      </c>
      <c r="I832" s="7" t="s">
        <v>505</v>
      </c>
      <c r="J832" s="7" t="s">
        <v>1014</v>
      </c>
      <c r="K832" s="7" t="n">
        <f aca="false">IFERROR(VALUE(RIGHT(TRIM(F832),4)),"")</f>
        <v>2019</v>
      </c>
      <c r="L832" s="7" t="str">
        <f aca="false">IF(TRIM(E832)="","Unknown",IFERROR(LEFT(TRIM(E832),FIND(",",TRIM(E832))-1),TRIM(E832)))</f>
        <v>Nigeria</v>
      </c>
      <c r="M832" s="7" t="str">
        <f aca="false">IFERROR(LEFT(J832,FIND(",",J832)-1),J832)</f>
        <v>Horror Movies</v>
      </c>
      <c r="N832" s="7" t="n">
        <f aca="false">IF(B832="Movie",IFERROR(VALUE(LEFT(I832,FIND(" ",I832)-1)),""),"")</f>
        <v>121</v>
      </c>
      <c r="O832" s="7" t="str">
        <f aca="false">IF(B832="TV Show",IFERROR(VALUE(LEFT(I832,FIND(" ",I832)-1)),""),"")</f>
        <v/>
      </c>
      <c r="P832" s="7" t="n">
        <f aca="false">IF(K832="","",K832-G832)</f>
        <v>10</v>
      </c>
    </row>
    <row r="833" customFormat="false" ht="15" hidden="false" customHeight="false" outlineLevel="0" collapsed="false">
      <c r="A833" s="7" t="n">
        <v>510854</v>
      </c>
      <c r="B833" s="7" t="s">
        <v>68</v>
      </c>
      <c r="C833" s="7" t="s">
        <v>2084</v>
      </c>
      <c r="D833" s="7" t="s">
        <v>2085</v>
      </c>
      <c r="E833" s="7" t="s">
        <v>26</v>
      </c>
      <c r="F833" s="7" t="s">
        <v>1978</v>
      </c>
      <c r="G833" s="7" t="n">
        <v>1994</v>
      </c>
      <c r="H833" s="7" t="s">
        <v>54</v>
      </c>
      <c r="I833" s="7" t="s">
        <v>470</v>
      </c>
      <c r="J833" s="7" t="s">
        <v>74</v>
      </c>
      <c r="K833" s="7" t="n">
        <f aca="false">IFERROR(VALUE(RIGHT(TRIM(F833),4)),"")</f>
        <v>2019</v>
      </c>
      <c r="L833" s="7" t="str">
        <f aca="false">IF(TRIM(E833)="","Unknown",IFERROR(LEFT(TRIM(E833),FIND(",",TRIM(E833))-1),TRIM(E833)))</f>
        <v>United States</v>
      </c>
      <c r="M833" s="7" t="str">
        <f aca="false">IFERROR(LEFT(J833,FIND(",",J833)-1),J833)</f>
        <v>Children &amp; Family Movies</v>
      </c>
      <c r="N833" s="7" t="n">
        <f aca="false">IF(B833="Movie",IFERROR(VALUE(LEFT(I833,FIND(" ",I833)-1)),""),"")</f>
        <v>91</v>
      </c>
      <c r="O833" s="7" t="str">
        <f aca="false">IF(B833="TV Show",IFERROR(VALUE(LEFT(I833,FIND(" ",I833)-1)),""),"")</f>
        <v/>
      </c>
      <c r="P833" s="7" t="n">
        <f aca="false">IF(K833="","",K833-G833)</f>
        <v>25</v>
      </c>
    </row>
    <row r="834" customFormat="false" ht="15" hidden="false" customHeight="false" outlineLevel="0" collapsed="false">
      <c r="A834" s="7" t="n">
        <v>60000921</v>
      </c>
      <c r="B834" s="7" t="s">
        <v>68</v>
      </c>
      <c r="C834" s="7" t="s">
        <v>2086</v>
      </c>
      <c r="D834" s="7" t="s">
        <v>2085</v>
      </c>
      <c r="E834" s="7" t="s">
        <v>26</v>
      </c>
      <c r="F834" s="7" t="s">
        <v>1978</v>
      </c>
      <c r="G834" s="7" t="n">
        <v>2000</v>
      </c>
      <c r="H834" s="7" t="s">
        <v>54</v>
      </c>
      <c r="I834" s="7" t="s">
        <v>470</v>
      </c>
      <c r="J834" s="7" t="s">
        <v>829</v>
      </c>
      <c r="K834" s="7" t="n">
        <f aca="false">IFERROR(VALUE(RIGHT(TRIM(F834),4)),"")</f>
        <v>2019</v>
      </c>
      <c r="L834" s="7" t="str">
        <f aca="false">IF(TRIM(E834)="","Unknown",IFERROR(LEFT(TRIM(E834),FIND(",",TRIM(E834))-1),TRIM(E834)))</f>
        <v>United States</v>
      </c>
      <c r="M834" s="7" t="str">
        <f aca="false">IFERROR(LEFT(J834,FIND(",",J834)-1),J834)</f>
        <v>Children &amp; Family Movies</v>
      </c>
      <c r="N834" s="7" t="n">
        <f aca="false">IF(B834="Movie",IFERROR(VALUE(LEFT(I834,FIND(" ",I834)-1)),""),"")</f>
        <v>91</v>
      </c>
      <c r="O834" s="7" t="str">
        <f aca="false">IF(B834="TV Show",IFERROR(VALUE(LEFT(I834,FIND(" ",I834)-1)),""),"")</f>
        <v/>
      </c>
      <c r="P834" s="7" t="n">
        <f aca="false">IF(K834="","",K834-G834)</f>
        <v>19</v>
      </c>
    </row>
    <row r="835" customFormat="false" ht="15" hidden="false" customHeight="false" outlineLevel="0" collapsed="false">
      <c r="A835" s="7" t="n">
        <v>80188730</v>
      </c>
      <c r="B835" s="7" t="s">
        <v>78</v>
      </c>
      <c r="C835" s="7" t="s">
        <v>2087</v>
      </c>
      <c r="E835" s="7" t="s">
        <v>32</v>
      </c>
      <c r="F835" s="7" t="s">
        <v>1978</v>
      </c>
      <c r="G835" s="7" t="n">
        <v>2016</v>
      </c>
      <c r="H835" s="7" t="s">
        <v>49</v>
      </c>
      <c r="I835" s="7" t="s">
        <v>82</v>
      </c>
      <c r="J835" s="7" t="s">
        <v>637</v>
      </c>
      <c r="K835" s="7" t="n">
        <f aca="false">IFERROR(VALUE(RIGHT(TRIM(F835),4)),"")</f>
        <v>2019</v>
      </c>
      <c r="L835" s="7" t="str">
        <f aca="false">IF(TRIM(E835)="","Unknown",IFERROR(LEFT(TRIM(E835),FIND(",",TRIM(E835))-1),TRIM(E835)))</f>
        <v>South Korea</v>
      </c>
      <c r="M835" s="7" t="str">
        <f aca="false">IFERROR(LEFT(J835,FIND(",",J835)-1),J835)</f>
        <v>International TV Shows</v>
      </c>
      <c r="N835" s="7" t="str">
        <f aca="false">IF(B835="Movie",IFERROR(VALUE(LEFT(I835,FIND(" ",I835)-1)),""),"")</f>
        <v/>
      </c>
      <c r="O835" s="7" t="n">
        <f aca="false">IF(B835="TV Show",IFERROR(VALUE(LEFT(I835,FIND(" ",I835)-1)),""),"")</f>
        <v>1</v>
      </c>
      <c r="P835" s="7" t="n">
        <f aca="false">IF(K835="","",K835-G835)</f>
        <v>3</v>
      </c>
    </row>
    <row r="836" customFormat="false" ht="15" hidden="false" customHeight="false" outlineLevel="0" collapsed="false">
      <c r="A836" s="7" t="n">
        <v>81167083</v>
      </c>
      <c r="B836" s="7" t="s">
        <v>78</v>
      </c>
      <c r="C836" s="7" t="s">
        <v>2088</v>
      </c>
      <c r="E836" s="7" t="s">
        <v>32</v>
      </c>
      <c r="F836" s="7" t="s">
        <v>1978</v>
      </c>
      <c r="G836" s="7" t="n">
        <v>2017</v>
      </c>
      <c r="H836" s="7" t="s">
        <v>50</v>
      </c>
      <c r="I836" s="7" t="s">
        <v>82</v>
      </c>
      <c r="J836" s="7" t="s">
        <v>637</v>
      </c>
      <c r="K836" s="7" t="n">
        <f aca="false">IFERROR(VALUE(RIGHT(TRIM(F836),4)),"")</f>
        <v>2019</v>
      </c>
      <c r="L836" s="7" t="str">
        <f aca="false">IF(TRIM(E836)="","Unknown",IFERROR(LEFT(TRIM(E836),FIND(",",TRIM(E836))-1),TRIM(E836)))</f>
        <v>South Korea</v>
      </c>
      <c r="M836" s="7" t="str">
        <f aca="false">IFERROR(LEFT(J836,FIND(",",J836)-1),J836)</f>
        <v>International TV Shows</v>
      </c>
      <c r="N836" s="7" t="str">
        <f aca="false">IF(B836="Movie",IFERROR(VALUE(LEFT(I836,FIND(" ",I836)-1)),""),"")</f>
        <v/>
      </c>
      <c r="O836" s="7" t="n">
        <f aca="false">IF(B836="TV Show",IFERROR(VALUE(LEFT(I836,FIND(" ",I836)-1)),""),"")</f>
        <v>1</v>
      </c>
      <c r="P836" s="7" t="n">
        <f aca="false">IF(K836="","",K836-G836)</f>
        <v>2</v>
      </c>
    </row>
    <row r="837" customFormat="false" ht="15" hidden="false" customHeight="false" outlineLevel="0" collapsed="false">
      <c r="A837" s="7" t="n">
        <v>81168343</v>
      </c>
      <c r="B837" s="7" t="s">
        <v>68</v>
      </c>
      <c r="C837" s="7" t="s">
        <v>2089</v>
      </c>
      <c r="D837" s="7" t="s">
        <v>2090</v>
      </c>
      <c r="E837" s="7" t="s">
        <v>772</v>
      </c>
      <c r="F837" s="7" t="s">
        <v>1978</v>
      </c>
      <c r="G837" s="7" t="n">
        <v>1982</v>
      </c>
      <c r="H837" s="7" t="s">
        <v>49</v>
      </c>
      <c r="I837" s="7" t="s">
        <v>437</v>
      </c>
      <c r="J837" s="7" t="s">
        <v>304</v>
      </c>
      <c r="K837" s="7" t="n">
        <f aca="false">IFERROR(VALUE(RIGHT(TRIM(F837),4)),"")</f>
        <v>2019</v>
      </c>
      <c r="L837" s="7" t="str">
        <f aca="false">IF(TRIM(E837)="","Unknown",IFERROR(LEFT(TRIM(E837),FIND(",",TRIM(E837))-1),TRIM(E837)))</f>
        <v>Poland</v>
      </c>
      <c r="M837" s="7" t="str">
        <f aca="false">IFERROR(LEFT(J837,FIND(",",J837)-1),J837)</f>
        <v>Dramas</v>
      </c>
      <c r="N837" s="7" t="n">
        <f aca="false">IF(B837="Movie",IFERROR(VALUE(LEFT(I837,FIND(" ",I837)-1)),""),"")</f>
        <v>82</v>
      </c>
      <c r="O837" s="7" t="str">
        <f aca="false">IF(B837="TV Show",IFERROR(VALUE(LEFT(I837,FIND(" ",I837)-1)),""),"")</f>
        <v/>
      </c>
      <c r="P837" s="7" t="n">
        <f aca="false">IF(K837="","",K837-G837)</f>
        <v>37</v>
      </c>
    </row>
    <row r="838" customFormat="false" ht="15" hidden="false" customHeight="false" outlineLevel="0" collapsed="false">
      <c r="A838" s="7" t="n">
        <v>70044605</v>
      </c>
      <c r="B838" s="7" t="s">
        <v>68</v>
      </c>
      <c r="C838" s="7" t="s">
        <v>2091</v>
      </c>
      <c r="D838" s="7" t="s">
        <v>2092</v>
      </c>
      <c r="E838" s="7" t="s">
        <v>26</v>
      </c>
      <c r="F838" s="7" t="s">
        <v>1978</v>
      </c>
      <c r="G838" s="7" t="n">
        <v>2006</v>
      </c>
      <c r="H838" s="7" t="s">
        <v>52</v>
      </c>
      <c r="I838" s="7" t="s">
        <v>386</v>
      </c>
      <c r="J838" s="7" t="s">
        <v>37</v>
      </c>
      <c r="K838" s="7" t="n">
        <f aca="false">IFERROR(VALUE(RIGHT(TRIM(F838),4)),"")</f>
        <v>2019</v>
      </c>
      <c r="L838" s="7" t="str">
        <f aca="false">IF(TRIM(E838)="","Unknown",IFERROR(LEFT(TRIM(E838),FIND(",",TRIM(E838))-1),TRIM(E838)))</f>
        <v>United States</v>
      </c>
      <c r="M838" s="7" t="str">
        <f aca="false">IFERROR(LEFT(J838,FIND(",",J838)-1),J838)</f>
        <v>Dramas</v>
      </c>
      <c r="N838" s="7" t="n">
        <f aca="false">IF(B838="Movie",IFERROR(VALUE(LEFT(I838,FIND(" ",I838)-1)),""),"")</f>
        <v>117</v>
      </c>
      <c r="O838" s="7" t="str">
        <f aca="false">IF(B838="TV Show",IFERROR(VALUE(LEFT(I838,FIND(" ",I838)-1)),""),"")</f>
        <v/>
      </c>
      <c r="P838" s="7" t="n">
        <f aca="false">IF(K838="","",K838-G838)</f>
        <v>13</v>
      </c>
    </row>
    <row r="839" customFormat="false" ht="15" hidden="false" customHeight="false" outlineLevel="0" collapsed="false">
      <c r="A839" s="7" t="n">
        <v>18021979</v>
      </c>
      <c r="B839" s="7" t="s">
        <v>68</v>
      </c>
      <c r="C839" s="7" t="s">
        <v>2093</v>
      </c>
      <c r="D839" s="7" t="s">
        <v>2094</v>
      </c>
      <c r="E839" s="7" t="s">
        <v>26</v>
      </c>
      <c r="F839" s="7" t="s">
        <v>1978</v>
      </c>
      <c r="G839" s="7" t="n">
        <v>1998</v>
      </c>
      <c r="H839" s="7" t="s">
        <v>612</v>
      </c>
      <c r="I839" s="7" t="s">
        <v>467</v>
      </c>
      <c r="J839" s="7" t="s">
        <v>74</v>
      </c>
      <c r="K839" s="7" t="n">
        <f aca="false">IFERROR(VALUE(RIGHT(TRIM(F839),4)),"")</f>
        <v>2019</v>
      </c>
      <c r="L839" s="7" t="str">
        <f aca="false">IF(TRIM(E839)="","Unknown",IFERROR(LEFT(TRIM(E839),FIND(",",TRIM(E839))-1),TRIM(E839)))</f>
        <v>United States</v>
      </c>
      <c r="M839" s="7" t="str">
        <f aca="false">IFERROR(LEFT(J839,FIND(",",J839)-1),J839)</f>
        <v>Children &amp; Family Movies</v>
      </c>
      <c r="N839" s="7" t="n">
        <f aca="false">IF(B839="Movie",IFERROR(VALUE(LEFT(I839,FIND(" ",I839)-1)),""),"")</f>
        <v>81</v>
      </c>
      <c r="O839" s="7" t="str">
        <f aca="false">IF(B839="TV Show",IFERROR(VALUE(LEFT(I839,FIND(" ",I839)-1)),""),"")</f>
        <v/>
      </c>
      <c r="P839" s="7" t="n">
        <f aca="false">IF(K839="","",K839-G839)</f>
        <v>21</v>
      </c>
    </row>
    <row r="840" customFormat="false" ht="15" hidden="false" customHeight="false" outlineLevel="0" collapsed="false">
      <c r="A840" s="7" t="n">
        <v>81168344</v>
      </c>
      <c r="B840" s="7" t="s">
        <v>68</v>
      </c>
      <c r="C840" s="7" t="s">
        <v>2095</v>
      </c>
      <c r="D840" s="7" t="s">
        <v>2096</v>
      </c>
      <c r="E840" s="7" t="s">
        <v>772</v>
      </c>
      <c r="F840" s="7" t="s">
        <v>1978</v>
      </c>
      <c r="G840" s="7" t="n">
        <v>1978</v>
      </c>
      <c r="H840" s="7" t="s">
        <v>48</v>
      </c>
      <c r="I840" s="7" t="s">
        <v>613</v>
      </c>
      <c r="J840" s="7" t="s">
        <v>188</v>
      </c>
      <c r="K840" s="7" t="n">
        <f aca="false">IFERROR(VALUE(RIGHT(TRIM(F840),4)),"")</f>
        <v>2019</v>
      </c>
      <c r="L840" s="7" t="str">
        <f aca="false">IF(TRIM(E840)="","Unknown",IFERROR(LEFT(TRIM(E840),FIND(",",TRIM(E840))-1),TRIM(E840)))</f>
        <v>Poland</v>
      </c>
      <c r="M840" s="7" t="str">
        <f aca="false">IFERROR(LEFT(J840,FIND(",",J840)-1),J840)</f>
        <v>Dramas</v>
      </c>
      <c r="N840" s="7" t="n">
        <f aca="false">IF(B840="Movie",IFERROR(VALUE(LEFT(I840,FIND(" ",I840)-1)),""),"")</f>
        <v>84</v>
      </c>
      <c r="O840" s="7" t="str">
        <f aca="false">IF(B840="TV Show",IFERROR(VALUE(LEFT(I840,FIND(" ",I840)-1)),""),"")</f>
        <v/>
      </c>
      <c r="P840" s="7" t="n">
        <f aca="false">IF(K840="","",K840-G840)</f>
        <v>41</v>
      </c>
    </row>
    <row r="841" customFormat="false" ht="15" hidden="false" customHeight="false" outlineLevel="0" collapsed="false">
      <c r="A841" s="7" t="n">
        <v>70020750</v>
      </c>
      <c r="B841" s="7" t="s">
        <v>68</v>
      </c>
      <c r="C841" s="7" t="s">
        <v>2097</v>
      </c>
      <c r="D841" s="7" t="s">
        <v>1491</v>
      </c>
      <c r="E841" s="7" t="s">
        <v>26</v>
      </c>
      <c r="F841" s="7" t="s">
        <v>1978</v>
      </c>
      <c r="G841" s="7" t="n">
        <v>2005</v>
      </c>
      <c r="H841" s="7" t="s">
        <v>51</v>
      </c>
      <c r="I841" s="7" t="s">
        <v>467</v>
      </c>
      <c r="J841" s="7" t="s">
        <v>198</v>
      </c>
      <c r="K841" s="7" t="n">
        <f aca="false">IFERROR(VALUE(RIGHT(TRIM(F841),4)),"")</f>
        <v>2019</v>
      </c>
      <c r="L841" s="7" t="str">
        <f aca="false">IF(TRIM(E841)="","Unknown",IFERROR(LEFT(TRIM(E841),FIND(",",TRIM(E841))-1),TRIM(E841)))</f>
        <v>United States</v>
      </c>
      <c r="M841" s="7" t="str">
        <f aca="false">IFERROR(LEFT(J841,FIND(",",J841)-1),J841)</f>
        <v>Comedies</v>
      </c>
      <c r="N841" s="7" t="n">
        <f aca="false">IF(B841="Movie",IFERROR(VALUE(LEFT(I841,FIND(" ",I841)-1)),""),"")</f>
        <v>81</v>
      </c>
      <c r="O841" s="7" t="str">
        <f aca="false">IF(B841="TV Show",IFERROR(VALUE(LEFT(I841,FIND(" ",I841)-1)),""),"")</f>
        <v/>
      </c>
      <c r="P841" s="7" t="n">
        <f aca="false">IF(K841="","",K841-G841)</f>
        <v>14</v>
      </c>
    </row>
    <row r="842" customFormat="false" ht="15" hidden="false" customHeight="false" outlineLevel="0" collapsed="false">
      <c r="A842" s="7" t="n">
        <v>70105596</v>
      </c>
      <c r="B842" s="7" t="s">
        <v>68</v>
      </c>
      <c r="C842" s="7" t="s">
        <v>2098</v>
      </c>
      <c r="D842" s="7" t="s">
        <v>2099</v>
      </c>
      <c r="E842" s="7" t="s">
        <v>26</v>
      </c>
      <c r="F842" s="7" t="s">
        <v>1978</v>
      </c>
      <c r="G842" s="7" t="n">
        <v>2009</v>
      </c>
      <c r="H842" s="7" t="s">
        <v>52</v>
      </c>
      <c r="I842" s="7" t="s">
        <v>294</v>
      </c>
      <c r="J842" s="7" t="s">
        <v>946</v>
      </c>
      <c r="K842" s="7" t="n">
        <f aca="false">IFERROR(VALUE(RIGHT(TRIM(F842),4)),"")</f>
        <v>2019</v>
      </c>
      <c r="L842" s="7" t="str">
        <f aca="false">IF(TRIM(E842)="","Unknown",IFERROR(LEFT(TRIM(E842),FIND(",",TRIM(E842))-1),TRIM(E842)))</f>
        <v>United States</v>
      </c>
      <c r="M842" s="7" t="str">
        <f aca="false">IFERROR(LEFT(J842,FIND(",",J842)-1),J842)</f>
        <v>Dramas</v>
      </c>
      <c r="N842" s="7" t="n">
        <f aca="false">IF(B842="Movie",IFERROR(VALUE(LEFT(I842,FIND(" ",I842)-1)),""),"")</f>
        <v>107</v>
      </c>
      <c r="O842" s="7" t="str">
        <f aca="false">IF(B842="TV Show",IFERROR(VALUE(LEFT(I842,FIND(" ",I842)-1)),""),"")</f>
        <v/>
      </c>
      <c r="P842" s="7" t="n">
        <f aca="false">IF(K842="","",K842-G842)</f>
        <v>10</v>
      </c>
    </row>
    <row r="843" customFormat="false" ht="15" hidden="false" customHeight="false" outlineLevel="0" collapsed="false">
      <c r="A843" s="7" t="n">
        <v>60037022</v>
      </c>
      <c r="B843" s="7" t="s">
        <v>68</v>
      </c>
      <c r="C843" s="7" t="s">
        <v>2100</v>
      </c>
      <c r="D843" s="7" t="s">
        <v>2101</v>
      </c>
      <c r="E843" s="7" t="s">
        <v>28</v>
      </c>
      <c r="F843" s="7" t="s">
        <v>1978</v>
      </c>
      <c r="G843" s="7" t="n">
        <v>1996</v>
      </c>
      <c r="H843" s="7" t="s">
        <v>51</v>
      </c>
      <c r="I843" s="7" t="s">
        <v>77</v>
      </c>
      <c r="J843" s="7" t="s">
        <v>893</v>
      </c>
      <c r="K843" s="7" t="n">
        <f aca="false">IFERROR(VALUE(RIGHT(TRIM(F843),4)),"")</f>
        <v>2019</v>
      </c>
      <c r="L843" s="7" t="str">
        <f aca="false">IF(TRIM(E843)="","Unknown",IFERROR(LEFT(TRIM(E843),FIND(",",TRIM(E843))-1),TRIM(E843)))</f>
        <v>United Kingdom</v>
      </c>
      <c r="M843" s="7" t="str">
        <f aca="false">IFERROR(LEFT(J843,FIND(",",J843)-1),J843)</f>
        <v>Comedies</v>
      </c>
      <c r="N843" s="7" t="n">
        <f aca="false">IF(B843="Movie",IFERROR(VALUE(LEFT(I843,FIND(" ",I843)-1)),""),"")</f>
        <v>94</v>
      </c>
      <c r="O843" s="7" t="str">
        <f aca="false">IF(B843="TV Show",IFERROR(VALUE(LEFT(I843,FIND(" ",I843)-1)),""),"")</f>
        <v/>
      </c>
      <c r="P843" s="7" t="n">
        <f aca="false">IF(K843="","",K843-G843)</f>
        <v>23</v>
      </c>
    </row>
    <row r="844" customFormat="false" ht="15" hidden="false" customHeight="false" outlineLevel="0" collapsed="false">
      <c r="A844" s="7" t="n">
        <v>60034571</v>
      </c>
      <c r="B844" s="7" t="s">
        <v>68</v>
      </c>
      <c r="C844" s="7" t="s">
        <v>2102</v>
      </c>
      <c r="D844" s="7" t="s">
        <v>929</v>
      </c>
      <c r="E844" s="7" t="s">
        <v>2103</v>
      </c>
      <c r="F844" s="7" t="s">
        <v>1978</v>
      </c>
      <c r="G844" s="7" t="n">
        <v>2004</v>
      </c>
      <c r="H844" s="7" t="s">
        <v>51</v>
      </c>
      <c r="I844" s="7" t="s">
        <v>383</v>
      </c>
      <c r="J844" s="7" t="s">
        <v>370</v>
      </c>
      <c r="K844" s="7" t="n">
        <f aca="false">IFERROR(VALUE(RIGHT(TRIM(F844),4)),"")</f>
        <v>2019</v>
      </c>
      <c r="L844" s="7" t="str">
        <f aca="false">IF(TRIM(E844)="","Unknown",IFERROR(LEFT(TRIM(E844),FIND(",",TRIM(E844))-1),TRIM(E844)))</f>
        <v>United States</v>
      </c>
      <c r="M844" s="7" t="str">
        <f aca="false">IFERROR(LEFT(J844,FIND(",",J844)-1),J844)</f>
        <v>Action &amp; Adventure</v>
      </c>
      <c r="N844" s="7" t="n">
        <f aca="false">IF(B844="Movie",IFERROR(VALUE(LEFT(I844,FIND(" ",I844)-1)),""),"")</f>
        <v>163</v>
      </c>
      <c r="O844" s="7" t="str">
        <f aca="false">IF(B844="TV Show",IFERROR(VALUE(LEFT(I844,FIND(" ",I844)-1)),""),"")</f>
        <v/>
      </c>
      <c r="P844" s="7" t="n">
        <f aca="false">IF(K844="","",K844-G844)</f>
        <v>15</v>
      </c>
    </row>
    <row r="845" customFormat="false" ht="15" hidden="false" customHeight="false" outlineLevel="0" collapsed="false">
      <c r="A845" s="7" t="n">
        <v>81167047</v>
      </c>
      <c r="B845" s="7" t="s">
        <v>78</v>
      </c>
      <c r="C845" s="7" t="s">
        <v>1286</v>
      </c>
      <c r="E845" s="7" t="s">
        <v>32</v>
      </c>
      <c r="F845" s="7" t="s">
        <v>1978</v>
      </c>
      <c r="G845" s="7" t="n">
        <v>2017</v>
      </c>
      <c r="H845" s="7" t="s">
        <v>48</v>
      </c>
      <c r="I845" s="7" t="s">
        <v>82</v>
      </c>
      <c r="J845" s="7" t="s">
        <v>1877</v>
      </c>
      <c r="K845" s="7" t="n">
        <f aca="false">IFERROR(VALUE(RIGHT(TRIM(F845),4)),"")</f>
        <v>2019</v>
      </c>
      <c r="L845" s="7" t="str">
        <f aca="false">IF(TRIM(E845)="","Unknown",IFERROR(LEFT(TRIM(E845),FIND(",",TRIM(E845))-1),TRIM(E845)))</f>
        <v>South Korea</v>
      </c>
      <c r="M845" s="7" t="str">
        <f aca="false">IFERROR(LEFT(J845,FIND(",",J845)-1),J845)</f>
        <v>Crime TV Shows</v>
      </c>
      <c r="N845" s="7" t="str">
        <f aca="false">IF(B845="Movie",IFERROR(VALUE(LEFT(I845,FIND(" ",I845)-1)),""),"")</f>
        <v/>
      </c>
      <c r="O845" s="7" t="n">
        <f aca="false">IF(B845="TV Show",IFERROR(VALUE(LEFT(I845,FIND(" ",I845)-1)),""),"")</f>
        <v>1</v>
      </c>
      <c r="P845" s="7" t="n">
        <f aca="false">IF(K845="","",K845-G845)</f>
        <v>2</v>
      </c>
    </row>
    <row r="846" customFormat="false" ht="15" hidden="false" customHeight="false" outlineLevel="0" collapsed="false">
      <c r="A846" s="7" t="n">
        <v>70053456</v>
      </c>
      <c r="B846" s="7" t="s">
        <v>68</v>
      </c>
      <c r="C846" s="7" t="s">
        <v>2104</v>
      </c>
      <c r="D846" s="7" t="s">
        <v>2105</v>
      </c>
      <c r="E846" s="7" t="s">
        <v>26</v>
      </c>
      <c r="F846" s="7" t="s">
        <v>1978</v>
      </c>
      <c r="G846" s="7" t="n">
        <v>2006</v>
      </c>
      <c r="H846" s="7" t="s">
        <v>54</v>
      </c>
      <c r="I846" s="7" t="s">
        <v>73</v>
      </c>
      <c r="J846" s="7" t="s">
        <v>74</v>
      </c>
      <c r="K846" s="7" t="n">
        <f aca="false">IFERROR(VALUE(RIGHT(TRIM(F846),4)),"")</f>
        <v>2019</v>
      </c>
      <c r="L846" s="7" t="str">
        <f aca="false">IF(TRIM(E846)="","Unknown",IFERROR(LEFT(TRIM(E846),FIND(",",TRIM(E846))-1),TRIM(E846)))</f>
        <v>United States</v>
      </c>
      <c r="M846" s="7" t="str">
        <f aca="false">IFERROR(LEFT(J846,FIND(",",J846)-1),J846)</f>
        <v>Children &amp; Family Movies</v>
      </c>
      <c r="N846" s="7" t="n">
        <f aca="false">IF(B846="Movie",IFERROR(VALUE(LEFT(I846,FIND(" ",I846)-1)),""),"")</f>
        <v>90</v>
      </c>
      <c r="O846" s="7" t="str">
        <f aca="false">IF(B846="TV Show",IFERROR(VALUE(LEFT(I846,FIND(" ",I846)-1)),""),"")</f>
        <v/>
      </c>
      <c r="P846" s="7" t="n">
        <f aca="false">IF(K846="","",K846-G846)</f>
        <v>13</v>
      </c>
    </row>
    <row r="847" customFormat="false" ht="15" hidden="false" customHeight="false" outlineLevel="0" collapsed="false">
      <c r="A847" s="7" t="n">
        <v>80173150</v>
      </c>
      <c r="B847" s="7" t="s">
        <v>68</v>
      </c>
      <c r="C847" s="7" t="s">
        <v>2106</v>
      </c>
      <c r="D847" s="7" t="s">
        <v>2107</v>
      </c>
      <c r="E847" s="7" t="s">
        <v>26</v>
      </c>
      <c r="F847" s="7" t="s">
        <v>1978</v>
      </c>
      <c r="G847" s="7" t="n">
        <v>2017</v>
      </c>
      <c r="H847" s="7" t="s">
        <v>52</v>
      </c>
      <c r="I847" s="7" t="s">
        <v>138</v>
      </c>
      <c r="J847" s="7" t="s">
        <v>520</v>
      </c>
      <c r="K847" s="7" t="n">
        <f aca="false">IFERROR(VALUE(RIGHT(TRIM(F847),4)),"")</f>
        <v>2019</v>
      </c>
      <c r="L847" s="7" t="str">
        <f aca="false">IF(TRIM(E847)="","Unknown",IFERROR(LEFT(TRIM(E847),FIND(",",TRIM(E847))-1),TRIM(E847)))</f>
        <v>United States</v>
      </c>
      <c r="M847" s="7" t="str">
        <f aca="false">IFERROR(LEFT(J847,FIND(",",J847)-1),J847)</f>
        <v>Dramas</v>
      </c>
      <c r="N847" s="7" t="n">
        <f aca="false">IF(B847="Movie",IFERROR(VALUE(LEFT(I847,FIND(" ",I847)-1)),""),"")</f>
        <v>96</v>
      </c>
      <c r="O847" s="7" t="str">
        <f aca="false">IF(B847="TV Show",IFERROR(VALUE(LEFT(I847,FIND(" ",I847)-1)),""),"")</f>
        <v/>
      </c>
      <c r="P847" s="7" t="n">
        <f aca="false">IF(K847="","",K847-G847)</f>
        <v>2</v>
      </c>
    </row>
    <row r="848" customFormat="false" ht="15" hidden="false" customHeight="false" outlineLevel="0" collapsed="false">
      <c r="A848" s="7" t="n">
        <v>81168341</v>
      </c>
      <c r="B848" s="7" t="s">
        <v>68</v>
      </c>
      <c r="C848" s="7" t="s">
        <v>2108</v>
      </c>
      <c r="D848" s="7" t="s">
        <v>2109</v>
      </c>
      <c r="E848" s="7" t="s">
        <v>772</v>
      </c>
      <c r="F848" s="7" t="s">
        <v>1978</v>
      </c>
      <c r="G848" s="7" t="n">
        <v>1983</v>
      </c>
      <c r="H848" s="7" t="s">
        <v>48</v>
      </c>
      <c r="I848" s="7" t="s">
        <v>470</v>
      </c>
      <c r="J848" s="7" t="s">
        <v>304</v>
      </c>
      <c r="K848" s="7" t="n">
        <f aca="false">IFERROR(VALUE(RIGHT(TRIM(F848),4)),"")</f>
        <v>2019</v>
      </c>
      <c r="L848" s="7" t="str">
        <f aca="false">IF(TRIM(E848)="","Unknown",IFERROR(LEFT(TRIM(E848),FIND(",",TRIM(E848))-1),TRIM(E848)))</f>
        <v>Poland</v>
      </c>
      <c r="M848" s="7" t="str">
        <f aca="false">IFERROR(LEFT(J848,FIND(",",J848)-1),J848)</f>
        <v>Dramas</v>
      </c>
      <c r="N848" s="7" t="n">
        <f aca="false">IF(B848="Movie",IFERROR(VALUE(LEFT(I848,FIND(" ",I848)-1)),""),"")</f>
        <v>91</v>
      </c>
      <c r="O848" s="7" t="str">
        <f aca="false">IF(B848="TV Show",IFERROR(VALUE(LEFT(I848,FIND(" ",I848)-1)),""),"")</f>
        <v/>
      </c>
      <c r="P848" s="7" t="n">
        <f aca="false">IF(K848="","",K848-G848)</f>
        <v>36</v>
      </c>
    </row>
    <row r="849" customFormat="false" ht="15" hidden="false" customHeight="false" outlineLevel="0" collapsed="false">
      <c r="A849" s="7" t="n">
        <v>81168346</v>
      </c>
      <c r="B849" s="7" t="s">
        <v>68</v>
      </c>
      <c r="C849" s="7" t="s">
        <v>2110</v>
      </c>
      <c r="D849" s="7" t="s">
        <v>2090</v>
      </c>
      <c r="E849" s="7" t="s">
        <v>772</v>
      </c>
      <c r="F849" s="7" t="s">
        <v>1978</v>
      </c>
      <c r="G849" s="7" t="n">
        <v>1967</v>
      </c>
      <c r="H849" s="7" t="s">
        <v>48</v>
      </c>
      <c r="I849" s="7" t="s">
        <v>272</v>
      </c>
      <c r="J849" s="7" t="s">
        <v>2026</v>
      </c>
      <c r="K849" s="7" t="n">
        <f aca="false">IFERROR(VALUE(RIGHT(TRIM(F849),4)),"")</f>
        <v>2019</v>
      </c>
      <c r="L849" s="7" t="str">
        <f aca="false">IF(TRIM(E849)="","Unknown",IFERROR(LEFT(TRIM(E849),FIND(",",TRIM(E849))-1),TRIM(E849)))</f>
        <v>Poland</v>
      </c>
      <c r="M849" s="7" t="str">
        <f aca="false">IFERROR(LEFT(J849,FIND(",",J849)-1),J849)</f>
        <v>Classic Movies</v>
      </c>
      <c r="N849" s="7" t="n">
        <f aca="false">IF(B849="Movie",IFERROR(VALUE(LEFT(I849,FIND(" ",I849)-1)),""),"")</f>
        <v>93</v>
      </c>
      <c r="O849" s="7" t="str">
        <f aca="false">IF(B849="TV Show",IFERROR(VALUE(LEFT(I849,FIND(" ",I849)-1)),""),"")</f>
        <v/>
      </c>
      <c r="P849" s="7" t="n">
        <f aca="false">IF(K849="","",K849-G849)</f>
        <v>52</v>
      </c>
    </row>
    <row r="850" customFormat="false" ht="15" hidden="false" customHeight="false" outlineLevel="0" collapsed="false">
      <c r="A850" s="7" t="n">
        <v>80137461</v>
      </c>
      <c r="B850" s="7" t="s">
        <v>68</v>
      </c>
      <c r="C850" s="7" t="s">
        <v>2111</v>
      </c>
      <c r="D850" s="7" t="s">
        <v>2112</v>
      </c>
      <c r="E850" s="7" t="s">
        <v>27</v>
      </c>
      <c r="F850" s="7" t="s">
        <v>2113</v>
      </c>
      <c r="G850" s="7" t="n">
        <v>2016</v>
      </c>
      <c r="H850" s="7" t="s">
        <v>50</v>
      </c>
      <c r="I850" s="7" t="s">
        <v>879</v>
      </c>
      <c r="J850" s="7" t="s">
        <v>112</v>
      </c>
      <c r="K850" s="7" t="n">
        <f aca="false">IFERROR(VALUE(RIGHT(TRIM(F850),4)),"")</f>
        <v>2018</v>
      </c>
      <c r="L850" s="7" t="str">
        <f aca="false">IF(TRIM(E850)="","Unknown",IFERROR(LEFT(TRIM(E850),FIND(",",TRIM(E850))-1),TRIM(E850)))</f>
        <v>India</v>
      </c>
      <c r="M850" s="7" t="str">
        <f aca="false">IFERROR(LEFT(J850,FIND(",",J850)-1),J850)</f>
        <v>Action &amp; Adventure</v>
      </c>
      <c r="N850" s="7" t="n">
        <f aca="false">IF(B850="Movie",IFERROR(VALUE(LEFT(I850,FIND(" ",I850)-1)),""),"")</f>
        <v>140</v>
      </c>
      <c r="O850" s="7" t="str">
        <f aca="false">IF(B850="TV Show",IFERROR(VALUE(LEFT(I850,FIND(" ",I850)-1)),""),"")</f>
        <v/>
      </c>
      <c r="P850" s="7" t="n">
        <f aca="false">IF(K850="","",K850-G850)</f>
        <v>2</v>
      </c>
    </row>
    <row r="851" customFormat="false" ht="15" hidden="false" customHeight="false" outlineLevel="0" collapsed="false">
      <c r="A851" s="7" t="n">
        <v>81012857</v>
      </c>
      <c r="B851" s="7" t="s">
        <v>68</v>
      </c>
      <c r="C851" s="7" t="s">
        <v>2114</v>
      </c>
      <c r="D851" s="7" t="s">
        <v>2115</v>
      </c>
      <c r="E851" s="7" t="s">
        <v>29</v>
      </c>
      <c r="F851" s="7" t="s">
        <v>2113</v>
      </c>
      <c r="G851" s="7" t="n">
        <v>2017</v>
      </c>
      <c r="H851" s="7" t="s">
        <v>54</v>
      </c>
      <c r="I851" s="7" t="s">
        <v>470</v>
      </c>
      <c r="J851" s="7" t="s">
        <v>42</v>
      </c>
      <c r="K851" s="7" t="n">
        <f aca="false">IFERROR(VALUE(RIGHT(TRIM(F851),4)),"")</f>
        <v>2018</v>
      </c>
      <c r="L851" s="7" t="str">
        <f aca="false">IF(TRIM(E851)="","Unknown",IFERROR(LEFT(TRIM(E851),FIND(",",TRIM(E851))-1),TRIM(E851)))</f>
        <v>Canada</v>
      </c>
      <c r="M851" s="7" t="str">
        <f aca="false">IFERROR(LEFT(J851,FIND(",",J851)-1),J851)</f>
        <v>Children &amp; Family Movies</v>
      </c>
      <c r="N851" s="7" t="n">
        <f aca="false">IF(B851="Movie",IFERROR(VALUE(LEFT(I851,FIND(" ",I851)-1)),""),"")</f>
        <v>91</v>
      </c>
      <c r="O851" s="7" t="str">
        <f aca="false">IF(B851="TV Show",IFERROR(VALUE(LEFT(I851,FIND(" ",I851)-1)),""),"")</f>
        <v/>
      </c>
      <c r="P851" s="7" t="n">
        <f aca="false">IF(K851="","",K851-G851)</f>
        <v>1</v>
      </c>
    </row>
    <row r="852" customFormat="false" ht="15" hidden="false" customHeight="false" outlineLevel="0" collapsed="false">
      <c r="A852" s="7" t="n">
        <v>70123116</v>
      </c>
      <c r="B852" s="7" t="s">
        <v>68</v>
      </c>
      <c r="C852" s="7" t="s">
        <v>2116</v>
      </c>
      <c r="D852" s="7" t="s">
        <v>1834</v>
      </c>
      <c r="E852" s="7" t="s">
        <v>27</v>
      </c>
      <c r="F852" s="7" t="s">
        <v>2113</v>
      </c>
      <c r="G852" s="7" t="n">
        <v>2009</v>
      </c>
      <c r="H852" s="7" t="s">
        <v>48</v>
      </c>
      <c r="I852" s="7" t="s">
        <v>451</v>
      </c>
      <c r="J852" s="7" t="s">
        <v>169</v>
      </c>
      <c r="K852" s="7" t="n">
        <f aca="false">IFERROR(VALUE(RIGHT(TRIM(F852),4)),"")</f>
        <v>2018</v>
      </c>
      <c r="L852" s="7" t="str">
        <f aca="false">IF(TRIM(E852)="","Unknown",IFERROR(LEFT(TRIM(E852),FIND(",",TRIM(E852))-1),TRIM(E852)))</f>
        <v>India</v>
      </c>
      <c r="M852" s="7" t="str">
        <f aca="false">IFERROR(LEFT(J852,FIND(",",J852)-1),J852)</f>
        <v>Horror Movies</v>
      </c>
      <c r="N852" s="7" t="n">
        <f aca="false">IF(B852="Movie",IFERROR(VALUE(LEFT(I852,FIND(" ",I852)-1)),""),"")</f>
        <v>97</v>
      </c>
      <c r="O852" s="7" t="str">
        <f aca="false">IF(B852="TV Show",IFERROR(VALUE(LEFT(I852,FIND(" ",I852)-1)),""),"")</f>
        <v/>
      </c>
      <c r="P852" s="7" t="n">
        <f aca="false">IF(K852="","",K852-G852)</f>
        <v>9</v>
      </c>
    </row>
    <row r="853" customFormat="false" ht="15" hidden="false" customHeight="false" outlineLevel="0" collapsed="false">
      <c r="A853" s="7" t="n">
        <v>80190101</v>
      </c>
      <c r="B853" s="7" t="s">
        <v>68</v>
      </c>
      <c r="C853" s="7" t="s">
        <v>2117</v>
      </c>
      <c r="D853" s="7" t="s">
        <v>2118</v>
      </c>
      <c r="E853" s="7" t="s">
        <v>27</v>
      </c>
      <c r="F853" s="7" t="s">
        <v>2113</v>
      </c>
      <c r="G853" s="7" t="n">
        <v>2014</v>
      </c>
      <c r="H853" s="7" t="s">
        <v>48</v>
      </c>
      <c r="I853" s="7" t="s">
        <v>216</v>
      </c>
      <c r="J853" s="7" t="s">
        <v>112</v>
      </c>
      <c r="K853" s="7" t="n">
        <f aca="false">IFERROR(VALUE(RIGHT(TRIM(F853),4)),"")</f>
        <v>2018</v>
      </c>
      <c r="L853" s="7" t="str">
        <f aca="false">IF(TRIM(E853)="","Unknown",IFERROR(LEFT(TRIM(E853),FIND(",",TRIM(E853))-1),TRIM(E853)))</f>
        <v>India</v>
      </c>
      <c r="M853" s="7" t="str">
        <f aca="false">IFERROR(LEFT(J853,FIND(",",J853)-1),J853)</f>
        <v>Action &amp; Adventure</v>
      </c>
      <c r="N853" s="7" t="n">
        <f aca="false">IF(B853="Movie",IFERROR(VALUE(LEFT(I853,FIND(" ",I853)-1)),""),"")</f>
        <v>146</v>
      </c>
      <c r="O853" s="7" t="str">
        <f aca="false">IF(B853="TV Show",IFERROR(VALUE(LEFT(I853,FIND(" ",I853)-1)),""),"")</f>
        <v/>
      </c>
      <c r="P853" s="7" t="n">
        <f aca="false">IF(K853="","",K853-G853)</f>
        <v>4</v>
      </c>
    </row>
    <row r="854" customFormat="false" ht="15" hidden="false" customHeight="false" outlineLevel="0" collapsed="false">
      <c r="A854" s="7" t="n">
        <v>81024712</v>
      </c>
      <c r="B854" s="7" t="s">
        <v>68</v>
      </c>
      <c r="C854" s="7" t="s">
        <v>2119</v>
      </c>
      <c r="D854" s="7" t="s">
        <v>2120</v>
      </c>
      <c r="E854" s="7" t="s">
        <v>27</v>
      </c>
      <c r="F854" s="7" t="s">
        <v>2113</v>
      </c>
      <c r="G854" s="7" t="n">
        <v>2016</v>
      </c>
      <c r="H854" s="7" t="s">
        <v>49</v>
      </c>
      <c r="I854" s="7" t="s">
        <v>1270</v>
      </c>
      <c r="J854" s="7" t="s">
        <v>1003</v>
      </c>
      <c r="K854" s="7" t="n">
        <f aca="false">IFERROR(VALUE(RIGHT(TRIM(F854),4)),"")</f>
        <v>2018</v>
      </c>
      <c r="L854" s="7" t="str">
        <f aca="false">IF(TRIM(E854)="","Unknown",IFERROR(LEFT(TRIM(E854),FIND(",",TRIM(E854))-1),TRIM(E854)))</f>
        <v>India</v>
      </c>
      <c r="M854" s="7" t="str">
        <f aca="false">IFERROR(LEFT(J854,FIND(",",J854)-1),J854)</f>
        <v>Dramas</v>
      </c>
      <c r="N854" s="7" t="n">
        <f aca="false">IF(B854="Movie",IFERROR(VALUE(LEFT(I854,FIND(" ",I854)-1)),""),"")</f>
        <v>118</v>
      </c>
      <c r="O854" s="7" t="str">
        <f aca="false">IF(B854="TV Show",IFERROR(VALUE(LEFT(I854,FIND(" ",I854)-1)),""),"")</f>
        <v/>
      </c>
      <c r="P854" s="7" t="n">
        <f aca="false">IF(K854="","",K854-G854)</f>
        <v>2</v>
      </c>
    </row>
    <row r="855" customFormat="false" ht="15" hidden="false" customHeight="false" outlineLevel="0" collapsed="false">
      <c r="A855" s="7" t="n">
        <v>70112494</v>
      </c>
      <c r="B855" s="7" t="s">
        <v>68</v>
      </c>
      <c r="C855" s="7" t="s">
        <v>2121</v>
      </c>
      <c r="D855" s="7" t="s">
        <v>2122</v>
      </c>
      <c r="E855" s="7" t="s">
        <v>26</v>
      </c>
      <c r="F855" s="7" t="s">
        <v>2113</v>
      </c>
      <c r="G855" s="7" t="n">
        <v>2009</v>
      </c>
      <c r="H855" s="7" t="s">
        <v>51</v>
      </c>
      <c r="I855" s="7" t="s">
        <v>201</v>
      </c>
      <c r="J855" s="7" t="s">
        <v>597</v>
      </c>
      <c r="K855" s="7" t="n">
        <f aca="false">IFERROR(VALUE(RIGHT(TRIM(F855),4)),"")</f>
        <v>2018</v>
      </c>
      <c r="L855" s="7" t="str">
        <f aca="false">IF(TRIM(E855)="","Unknown",IFERROR(LEFT(TRIM(E855),FIND(",",TRIM(E855))-1),TRIM(E855)))</f>
        <v>United States</v>
      </c>
      <c r="M855" s="7" t="str">
        <f aca="false">IFERROR(LEFT(J855,FIND(",",J855)-1),J855)</f>
        <v>Dramas</v>
      </c>
      <c r="N855" s="7" t="n">
        <f aca="false">IF(B855="Movie",IFERROR(VALUE(LEFT(I855,FIND(" ",I855)-1)),""),"")</f>
        <v>133</v>
      </c>
      <c r="O855" s="7" t="str">
        <f aca="false">IF(B855="TV Show",IFERROR(VALUE(LEFT(I855,FIND(" ",I855)-1)),""),"")</f>
        <v/>
      </c>
      <c r="P855" s="7" t="n">
        <f aca="false">IF(K855="","",K855-G855)</f>
        <v>9</v>
      </c>
    </row>
    <row r="856" customFormat="false" ht="15" hidden="false" customHeight="false" outlineLevel="0" collapsed="false">
      <c r="A856" s="7" t="n">
        <v>80215922</v>
      </c>
      <c r="B856" s="7" t="s">
        <v>68</v>
      </c>
      <c r="C856" s="7" t="s">
        <v>2123</v>
      </c>
      <c r="D856" s="7" t="s">
        <v>2124</v>
      </c>
      <c r="E856" s="7" t="s">
        <v>2125</v>
      </c>
      <c r="F856" s="7" t="s">
        <v>2113</v>
      </c>
      <c r="G856" s="7" t="n">
        <v>2017</v>
      </c>
      <c r="H856" s="7" t="s">
        <v>52</v>
      </c>
      <c r="I856" s="7" t="s">
        <v>173</v>
      </c>
      <c r="J856" s="7" t="s">
        <v>37</v>
      </c>
      <c r="K856" s="7" t="n">
        <f aca="false">IFERROR(VALUE(RIGHT(TRIM(F856),4)),"")</f>
        <v>2018</v>
      </c>
      <c r="L856" s="7" t="str">
        <f aca="false">IF(TRIM(E856)="","Unknown",IFERROR(LEFT(TRIM(E856),FIND(",",TRIM(E856))-1),TRIM(E856)))</f>
        <v>United States</v>
      </c>
      <c r="M856" s="7" t="str">
        <f aca="false">IFERROR(LEFT(J856,FIND(",",J856)-1),J856)</f>
        <v>Dramas</v>
      </c>
      <c r="N856" s="7" t="n">
        <f aca="false">IF(B856="Movie",IFERROR(VALUE(LEFT(I856,FIND(" ",I856)-1)),""),"")</f>
        <v>106</v>
      </c>
      <c r="O856" s="7" t="str">
        <f aca="false">IF(B856="TV Show",IFERROR(VALUE(LEFT(I856,FIND(" ",I856)-1)),""),"")</f>
        <v/>
      </c>
      <c r="P856" s="7" t="n">
        <f aca="false">IF(K856="","",K856-G856)</f>
        <v>1</v>
      </c>
    </row>
    <row r="857" customFormat="false" ht="15" hidden="false" customHeight="false" outlineLevel="0" collapsed="false">
      <c r="A857" s="7" t="n">
        <v>81012415</v>
      </c>
      <c r="B857" s="7" t="s">
        <v>78</v>
      </c>
      <c r="C857" s="7" t="s">
        <v>2126</v>
      </c>
      <c r="E857" s="7" t="s">
        <v>28</v>
      </c>
      <c r="F857" s="7" t="s">
        <v>2113</v>
      </c>
      <c r="G857" s="7" t="n">
        <v>2018</v>
      </c>
      <c r="H857" s="7" t="s">
        <v>49</v>
      </c>
      <c r="I857" s="7" t="s">
        <v>82</v>
      </c>
      <c r="J857" s="7" t="s">
        <v>1122</v>
      </c>
      <c r="K857" s="7" t="n">
        <f aca="false">IFERROR(VALUE(RIGHT(TRIM(F857),4)),"")</f>
        <v>2018</v>
      </c>
      <c r="L857" s="7" t="str">
        <f aca="false">IF(TRIM(E857)="","Unknown",IFERROR(LEFT(TRIM(E857),FIND(",",TRIM(E857))-1),TRIM(E857)))</f>
        <v>United Kingdom</v>
      </c>
      <c r="M857" s="7" t="str">
        <f aca="false">IFERROR(LEFT(J857,FIND(",",J857)-1),J857)</f>
        <v>British TV Shows</v>
      </c>
      <c r="N857" s="7" t="str">
        <f aca="false">IF(B857="Movie",IFERROR(VALUE(LEFT(I857,FIND(" ",I857)-1)),""),"")</f>
        <v/>
      </c>
      <c r="O857" s="7" t="n">
        <f aca="false">IF(B857="TV Show",IFERROR(VALUE(LEFT(I857,FIND(" ",I857)-1)),""),"")</f>
        <v>1</v>
      </c>
      <c r="P857" s="7" t="n">
        <f aca="false">IF(K857="","",K857-G857)</f>
        <v>0</v>
      </c>
    </row>
    <row r="858" customFormat="false" ht="15" hidden="false" customHeight="false" outlineLevel="0" collapsed="false">
      <c r="A858" s="7" t="n">
        <v>70113306</v>
      </c>
      <c r="B858" s="7" t="s">
        <v>68</v>
      </c>
      <c r="C858" s="7" t="s">
        <v>2127</v>
      </c>
      <c r="D858" s="7" t="s">
        <v>2128</v>
      </c>
      <c r="E858" s="7" t="s">
        <v>27</v>
      </c>
      <c r="F858" s="7" t="s">
        <v>2113</v>
      </c>
      <c r="G858" s="7" t="n">
        <v>2009</v>
      </c>
      <c r="H858" s="7" t="s">
        <v>49</v>
      </c>
      <c r="I858" s="7" t="s">
        <v>261</v>
      </c>
      <c r="J858" s="7" t="s">
        <v>304</v>
      </c>
      <c r="K858" s="7" t="n">
        <f aca="false">IFERROR(VALUE(RIGHT(TRIM(F858),4)),"")</f>
        <v>2018</v>
      </c>
      <c r="L858" s="7" t="str">
        <f aca="false">IF(TRIM(E858)="","Unknown",IFERROR(LEFT(TRIM(E858),FIND(",",TRIM(E858))-1),TRIM(E858)))</f>
        <v>India</v>
      </c>
      <c r="M858" s="7" t="str">
        <f aca="false">IFERROR(LEFT(J858,FIND(",",J858)-1),J858)</f>
        <v>Dramas</v>
      </c>
      <c r="N858" s="7" t="n">
        <f aca="false">IF(B858="Movie",IFERROR(VALUE(LEFT(I858,FIND(" ",I858)-1)),""),"")</f>
        <v>128</v>
      </c>
      <c r="O858" s="7" t="str">
        <f aca="false">IF(B858="TV Show",IFERROR(VALUE(LEFT(I858,FIND(" ",I858)-1)),""),"")</f>
        <v/>
      </c>
      <c r="P858" s="7" t="n">
        <f aca="false">IF(K858="","",K858-G858)</f>
        <v>9</v>
      </c>
    </row>
    <row r="859" customFormat="false" ht="15" hidden="false" customHeight="false" outlineLevel="0" collapsed="false">
      <c r="A859" s="7" t="n">
        <v>70113305</v>
      </c>
      <c r="B859" s="7" t="s">
        <v>68</v>
      </c>
      <c r="C859" s="7" t="s">
        <v>2129</v>
      </c>
      <c r="D859" s="7" t="s">
        <v>2130</v>
      </c>
      <c r="E859" s="7" t="s">
        <v>27</v>
      </c>
      <c r="F859" s="7" t="s">
        <v>2113</v>
      </c>
      <c r="G859" s="7" t="n">
        <v>2009</v>
      </c>
      <c r="H859" s="7" t="s">
        <v>48</v>
      </c>
      <c r="I859" s="7" t="s">
        <v>749</v>
      </c>
      <c r="J859" s="7" t="s">
        <v>240</v>
      </c>
      <c r="K859" s="7" t="n">
        <f aca="false">IFERROR(VALUE(RIGHT(TRIM(F859),4)),"")</f>
        <v>2018</v>
      </c>
      <c r="L859" s="7" t="str">
        <f aca="false">IF(TRIM(E859)="","Unknown",IFERROR(LEFT(TRIM(E859),FIND(",",TRIM(E859))-1),TRIM(E859)))</f>
        <v>India</v>
      </c>
      <c r="M859" s="7" t="str">
        <f aca="false">IFERROR(LEFT(J859,FIND(",",J859)-1),J859)</f>
        <v>Dramas</v>
      </c>
      <c r="N859" s="7" t="n">
        <f aca="false">IF(B859="Movie",IFERROR(VALUE(LEFT(I859,FIND(" ",I859)-1)),""),"")</f>
        <v>137</v>
      </c>
      <c r="O859" s="7" t="str">
        <f aca="false">IF(B859="TV Show",IFERROR(VALUE(LEFT(I859,FIND(" ",I859)-1)),""),"")</f>
        <v/>
      </c>
      <c r="P859" s="7" t="n">
        <f aca="false">IF(K859="","",K859-G859)</f>
        <v>9</v>
      </c>
    </row>
    <row r="860" customFormat="false" ht="15" hidden="false" customHeight="false" outlineLevel="0" collapsed="false">
      <c r="A860" s="7" t="n">
        <v>80032472</v>
      </c>
      <c r="B860" s="7" t="s">
        <v>68</v>
      </c>
      <c r="C860" s="7" t="s">
        <v>2131</v>
      </c>
      <c r="D860" s="7" t="s">
        <v>2132</v>
      </c>
      <c r="E860" s="7" t="s">
        <v>27</v>
      </c>
      <c r="F860" s="7" t="s">
        <v>2113</v>
      </c>
      <c r="G860" s="7" t="n">
        <v>2014</v>
      </c>
      <c r="H860" s="7" t="s">
        <v>50</v>
      </c>
      <c r="I860" s="7" t="s">
        <v>1817</v>
      </c>
      <c r="J860" s="7" t="s">
        <v>1520</v>
      </c>
      <c r="K860" s="7" t="n">
        <f aca="false">IFERROR(VALUE(RIGHT(TRIM(F860),4)),"")</f>
        <v>2018</v>
      </c>
      <c r="L860" s="7" t="str">
        <f aca="false">IF(TRIM(E860)="","Unknown",IFERROR(LEFT(TRIM(E860),FIND(",",TRIM(E860))-1),TRIM(E860)))</f>
        <v>India</v>
      </c>
      <c r="M860" s="7" t="str">
        <f aca="false">IFERROR(LEFT(J860,FIND(",",J860)-1),J860)</f>
        <v>International Movies</v>
      </c>
      <c r="N860" s="7" t="n">
        <f aca="false">IF(B860="Movie",IFERROR(VALUE(LEFT(I860,FIND(" ",I860)-1)),""),"")</f>
        <v>145</v>
      </c>
      <c r="O860" s="7" t="str">
        <f aca="false">IF(B860="TV Show",IFERROR(VALUE(LEFT(I860,FIND(" ",I860)-1)),""),"")</f>
        <v/>
      </c>
      <c r="P860" s="7" t="n">
        <f aca="false">IF(K860="","",K860-G860)</f>
        <v>4</v>
      </c>
    </row>
    <row r="861" customFormat="false" ht="15" hidden="false" customHeight="false" outlineLevel="0" collapsed="false">
      <c r="A861" s="7" t="n">
        <v>81024703</v>
      </c>
      <c r="B861" s="7" t="s">
        <v>68</v>
      </c>
      <c r="C861" s="7" t="s">
        <v>2133</v>
      </c>
      <c r="D861" s="7" t="s">
        <v>2134</v>
      </c>
      <c r="F861" s="7" t="s">
        <v>2113</v>
      </c>
      <c r="G861" s="7" t="n">
        <v>2017</v>
      </c>
      <c r="H861" s="7" t="s">
        <v>49</v>
      </c>
      <c r="I861" s="7" t="s">
        <v>727</v>
      </c>
      <c r="J861" s="7" t="s">
        <v>304</v>
      </c>
      <c r="K861" s="7" t="n">
        <f aca="false">IFERROR(VALUE(RIGHT(TRIM(F861),4)),"")</f>
        <v>2018</v>
      </c>
      <c r="L861" s="7" t="str">
        <f aca="false">IF(TRIM(E861)="","Unknown",IFERROR(LEFT(TRIM(E861),FIND(",",TRIM(E861))-1),TRIM(E861)))</f>
        <v>Unknown</v>
      </c>
      <c r="M861" s="7" t="str">
        <f aca="false">IFERROR(LEFT(J861,FIND(",",J861)-1),J861)</f>
        <v>Dramas</v>
      </c>
      <c r="N861" s="7" t="n">
        <f aca="false">IF(B861="Movie",IFERROR(VALUE(LEFT(I861,FIND(" ",I861)-1)),""),"")</f>
        <v>141</v>
      </c>
      <c r="O861" s="7" t="str">
        <f aca="false">IF(B861="TV Show",IFERROR(VALUE(LEFT(I861,FIND(" ",I861)-1)),""),"")</f>
        <v/>
      </c>
      <c r="P861" s="7" t="n">
        <f aca="false">IF(K861="","",K861-G861)</f>
        <v>1</v>
      </c>
    </row>
    <row r="862" customFormat="false" ht="15" hidden="false" customHeight="false" outlineLevel="0" collapsed="false">
      <c r="A862" s="7" t="n">
        <v>81012402</v>
      </c>
      <c r="B862" s="7" t="s">
        <v>78</v>
      </c>
      <c r="C862" s="7" t="s">
        <v>2135</v>
      </c>
      <c r="F862" s="7" t="s">
        <v>2113</v>
      </c>
      <c r="G862" s="7" t="n">
        <v>2018</v>
      </c>
      <c r="H862" s="7" t="s">
        <v>49</v>
      </c>
      <c r="I862" s="7" t="s">
        <v>82</v>
      </c>
      <c r="J862" s="7" t="s">
        <v>1969</v>
      </c>
      <c r="K862" s="7" t="n">
        <f aca="false">IFERROR(VALUE(RIGHT(TRIM(F862),4)),"")</f>
        <v>2018</v>
      </c>
      <c r="L862" s="7" t="str">
        <f aca="false">IF(TRIM(E862)="","Unknown",IFERROR(LEFT(TRIM(E862),FIND(",",TRIM(E862))-1),TRIM(E862)))</f>
        <v>Unknown</v>
      </c>
      <c r="M862" s="7" t="str">
        <f aca="false">IFERROR(LEFT(J862,FIND(",",J862)-1),J862)</f>
        <v>British TV Shows</v>
      </c>
      <c r="N862" s="7" t="str">
        <f aca="false">IF(B862="Movie",IFERROR(VALUE(LEFT(I862,FIND(" ",I862)-1)),""),"")</f>
        <v/>
      </c>
      <c r="O862" s="7" t="n">
        <f aca="false">IF(B862="TV Show",IFERROR(VALUE(LEFT(I862,FIND(" ",I862)-1)),""),"")</f>
        <v>1</v>
      </c>
      <c r="P862" s="7" t="n">
        <f aca="false">IF(K862="","",K862-G862)</f>
        <v>0</v>
      </c>
    </row>
    <row r="863" customFormat="false" ht="15" hidden="false" customHeight="false" outlineLevel="0" collapsed="false">
      <c r="A863" s="7" t="n">
        <v>70181653</v>
      </c>
      <c r="B863" s="7" t="s">
        <v>68</v>
      </c>
      <c r="C863" s="7" t="s">
        <v>2136</v>
      </c>
      <c r="D863" s="7" t="s">
        <v>2137</v>
      </c>
      <c r="E863" s="7" t="s">
        <v>27</v>
      </c>
      <c r="F863" s="7" t="s">
        <v>2113</v>
      </c>
      <c r="G863" s="7" t="n">
        <v>2012</v>
      </c>
      <c r="H863" s="7" t="s">
        <v>49</v>
      </c>
      <c r="I863" s="7" t="s">
        <v>173</v>
      </c>
      <c r="J863" s="7" t="s">
        <v>206</v>
      </c>
      <c r="K863" s="7" t="n">
        <f aca="false">IFERROR(VALUE(RIGHT(TRIM(F863),4)),"")</f>
        <v>2018</v>
      </c>
      <c r="L863" s="7" t="str">
        <f aca="false">IF(TRIM(E863)="","Unknown",IFERROR(LEFT(TRIM(E863),FIND(",",TRIM(E863))-1),TRIM(E863)))</f>
        <v>India</v>
      </c>
      <c r="M863" s="7" t="str">
        <f aca="false">IFERROR(LEFT(J863,FIND(",",J863)-1),J863)</f>
        <v>Comedies</v>
      </c>
      <c r="N863" s="7" t="n">
        <f aca="false">IF(B863="Movie",IFERROR(VALUE(LEFT(I863,FIND(" ",I863)-1)),""),"")</f>
        <v>106</v>
      </c>
      <c r="O863" s="7" t="str">
        <f aca="false">IF(B863="TV Show",IFERROR(VALUE(LEFT(I863,FIND(" ",I863)-1)),""),"")</f>
        <v/>
      </c>
      <c r="P863" s="7" t="n">
        <f aca="false">IF(K863="","",K863-G863)</f>
        <v>6</v>
      </c>
    </row>
    <row r="864" customFormat="false" ht="15" hidden="false" customHeight="false" outlineLevel="0" collapsed="false">
      <c r="A864" s="7" t="n">
        <v>80048200</v>
      </c>
      <c r="B864" s="7" t="s">
        <v>68</v>
      </c>
      <c r="C864" s="7" t="s">
        <v>2138</v>
      </c>
      <c r="D864" s="7" t="s">
        <v>2139</v>
      </c>
      <c r="E864" s="7" t="s">
        <v>26</v>
      </c>
      <c r="F864" s="7" t="s">
        <v>2113</v>
      </c>
      <c r="G864" s="7" t="n">
        <v>2015</v>
      </c>
      <c r="H864" s="7" t="s">
        <v>53</v>
      </c>
      <c r="I864" s="7" t="s">
        <v>123</v>
      </c>
      <c r="J864" s="7" t="s">
        <v>39</v>
      </c>
      <c r="K864" s="7" t="n">
        <f aca="false">IFERROR(VALUE(RIGHT(TRIM(F864),4)),"")</f>
        <v>2018</v>
      </c>
      <c r="L864" s="7" t="str">
        <f aca="false">IF(TRIM(E864)="","Unknown",IFERROR(LEFT(TRIM(E864),FIND(",",TRIM(E864))-1),TRIM(E864)))</f>
        <v>United States</v>
      </c>
      <c r="M864" s="7" t="str">
        <f aca="false">IFERROR(LEFT(J864,FIND(",",J864)-1),J864)</f>
        <v>Documentaries</v>
      </c>
      <c r="N864" s="7" t="n">
        <f aca="false">IF(B864="Movie",IFERROR(VALUE(LEFT(I864,FIND(" ",I864)-1)),""),"")</f>
        <v>61</v>
      </c>
      <c r="O864" s="7" t="str">
        <f aca="false">IF(B864="TV Show",IFERROR(VALUE(LEFT(I864,FIND(" ",I864)-1)),""),"")</f>
        <v/>
      </c>
      <c r="P864" s="7" t="n">
        <f aca="false">IF(K864="","",K864-G864)</f>
        <v>3</v>
      </c>
    </row>
    <row r="865" customFormat="false" ht="15" hidden="false" customHeight="false" outlineLevel="0" collapsed="false">
      <c r="A865" s="7" t="n">
        <v>81025884</v>
      </c>
      <c r="B865" s="7" t="s">
        <v>68</v>
      </c>
      <c r="C865" s="7" t="s">
        <v>2140</v>
      </c>
      <c r="D865" s="7" t="s">
        <v>2141</v>
      </c>
      <c r="F865" s="7" t="s">
        <v>2113</v>
      </c>
      <c r="G865" s="7" t="n">
        <v>2018</v>
      </c>
      <c r="H865" s="7" t="s">
        <v>48</v>
      </c>
      <c r="I865" s="7" t="s">
        <v>130</v>
      </c>
      <c r="J865" s="7" t="s">
        <v>182</v>
      </c>
      <c r="K865" s="7" t="n">
        <f aca="false">IFERROR(VALUE(RIGHT(TRIM(F865),4)),"")</f>
        <v>2018</v>
      </c>
      <c r="L865" s="7" t="str">
        <f aca="false">IF(TRIM(E865)="","Unknown",IFERROR(LEFT(TRIM(E865),FIND(",",TRIM(E865))-1),TRIM(E865)))</f>
        <v>Unknown</v>
      </c>
      <c r="M865" s="7" t="str">
        <f aca="false">IFERROR(LEFT(J865,FIND(",",J865)-1),J865)</f>
        <v>Dramas</v>
      </c>
      <c r="N865" s="7" t="n">
        <f aca="false">IF(B865="Movie",IFERROR(VALUE(LEFT(I865,FIND(" ",I865)-1)),""),"")</f>
        <v>135</v>
      </c>
      <c r="O865" s="7" t="str">
        <f aca="false">IF(B865="TV Show",IFERROR(VALUE(LEFT(I865,FIND(" ",I865)-1)),""),"")</f>
        <v/>
      </c>
      <c r="P865" s="7" t="n">
        <f aca="false">IF(K865="","",K865-G865)</f>
        <v>0</v>
      </c>
    </row>
    <row r="866" customFormat="false" ht="15" hidden="false" customHeight="false" outlineLevel="0" collapsed="false">
      <c r="A866" s="7" t="n">
        <v>80032474</v>
      </c>
      <c r="B866" s="7" t="s">
        <v>68</v>
      </c>
      <c r="C866" s="7" t="s">
        <v>2142</v>
      </c>
      <c r="D866" s="7" t="s">
        <v>2143</v>
      </c>
      <c r="E866" s="7" t="s">
        <v>27</v>
      </c>
      <c r="F866" s="7" t="s">
        <v>2113</v>
      </c>
      <c r="G866" s="7" t="n">
        <v>2013</v>
      </c>
      <c r="H866" s="7" t="s">
        <v>49</v>
      </c>
      <c r="I866" s="7" t="s">
        <v>749</v>
      </c>
      <c r="J866" s="7" t="s">
        <v>1042</v>
      </c>
      <c r="K866" s="7" t="n">
        <f aca="false">IFERROR(VALUE(RIGHT(TRIM(F866),4)),"")</f>
        <v>2018</v>
      </c>
      <c r="L866" s="7" t="str">
        <f aca="false">IF(TRIM(E866)="","Unknown",IFERROR(LEFT(TRIM(E866),FIND(",",TRIM(E866))-1),TRIM(E866)))</f>
        <v>India</v>
      </c>
      <c r="M866" s="7" t="str">
        <f aca="false">IFERROR(LEFT(J866,FIND(",",J866)-1),J866)</f>
        <v>Dramas</v>
      </c>
      <c r="N866" s="7" t="n">
        <f aca="false">IF(B866="Movie",IFERROR(VALUE(LEFT(I866,FIND(" ",I866)-1)),""),"")</f>
        <v>137</v>
      </c>
      <c r="O866" s="7" t="str">
        <f aca="false">IF(B866="TV Show",IFERROR(VALUE(LEFT(I866,FIND(" ",I866)-1)),""),"")</f>
        <v/>
      </c>
      <c r="P866" s="7" t="n">
        <f aca="false">IF(K866="","",K866-G866)</f>
        <v>5</v>
      </c>
    </row>
    <row r="867" customFormat="false" ht="15" hidden="false" customHeight="false" outlineLevel="0" collapsed="false">
      <c r="A867" s="7" t="n">
        <v>80032476</v>
      </c>
      <c r="B867" s="7" t="s">
        <v>68</v>
      </c>
      <c r="C867" s="7" t="s">
        <v>2144</v>
      </c>
      <c r="D867" s="7" t="s">
        <v>2145</v>
      </c>
      <c r="E867" s="7" t="s">
        <v>27</v>
      </c>
      <c r="F867" s="7" t="s">
        <v>2113</v>
      </c>
      <c r="G867" s="7" t="n">
        <v>2014</v>
      </c>
      <c r="H867" s="7" t="s">
        <v>49</v>
      </c>
      <c r="I867" s="7" t="s">
        <v>2053</v>
      </c>
      <c r="J867" s="7" t="s">
        <v>457</v>
      </c>
      <c r="K867" s="7" t="n">
        <f aca="false">IFERROR(VALUE(RIGHT(TRIM(F867),4)),"")</f>
        <v>2018</v>
      </c>
      <c r="L867" s="7" t="str">
        <f aca="false">IF(TRIM(E867)="","Unknown",IFERROR(LEFT(TRIM(E867),FIND(",",TRIM(E867))-1),TRIM(E867)))</f>
        <v>India</v>
      </c>
      <c r="M867" s="7" t="str">
        <f aca="false">IFERROR(LEFT(J867,FIND(",",J867)-1),J867)</f>
        <v>Comedies</v>
      </c>
      <c r="N867" s="7" t="n">
        <f aca="false">IF(B867="Movie",IFERROR(VALUE(LEFT(I867,FIND(" ",I867)-1)),""),"")</f>
        <v>129</v>
      </c>
      <c r="O867" s="7" t="str">
        <f aca="false">IF(B867="TV Show",IFERROR(VALUE(LEFT(I867,FIND(" ",I867)-1)),""),"")</f>
        <v/>
      </c>
      <c r="P867" s="7" t="n">
        <f aca="false">IF(K867="","",K867-G867)</f>
        <v>4</v>
      </c>
    </row>
    <row r="868" customFormat="false" ht="15" hidden="false" customHeight="false" outlineLevel="0" collapsed="false">
      <c r="A868" s="7" t="n">
        <v>70127589</v>
      </c>
      <c r="B868" s="7" t="s">
        <v>68</v>
      </c>
      <c r="C868" s="7" t="s">
        <v>2146</v>
      </c>
      <c r="D868" s="7" t="s">
        <v>2147</v>
      </c>
      <c r="E868" s="7" t="s">
        <v>27</v>
      </c>
      <c r="F868" s="7" t="s">
        <v>2113</v>
      </c>
      <c r="G868" s="7" t="n">
        <v>2009</v>
      </c>
      <c r="H868" s="7" t="s">
        <v>50</v>
      </c>
      <c r="I868" s="7" t="s">
        <v>87</v>
      </c>
      <c r="J868" s="7" t="s">
        <v>304</v>
      </c>
      <c r="K868" s="7" t="n">
        <f aca="false">IFERROR(VALUE(RIGHT(TRIM(F868),4)),"")</f>
        <v>2018</v>
      </c>
      <c r="L868" s="7" t="str">
        <f aca="false">IF(TRIM(E868)="","Unknown",IFERROR(LEFT(TRIM(E868),FIND(",",TRIM(E868))-1),TRIM(E868)))</f>
        <v>India</v>
      </c>
      <c r="M868" s="7" t="str">
        <f aca="false">IFERROR(LEFT(J868,FIND(",",J868)-1),J868)</f>
        <v>Dramas</v>
      </c>
      <c r="N868" s="7" t="n">
        <f aca="false">IF(B868="Movie",IFERROR(VALUE(LEFT(I868,FIND(" ",I868)-1)),""),"")</f>
        <v>99</v>
      </c>
      <c r="O868" s="7" t="str">
        <f aca="false">IF(B868="TV Show",IFERROR(VALUE(LEFT(I868,FIND(" ",I868)-1)),""),"")</f>
        <v/>
      </c>
      <c r="P868" s="7" t="n">
        <f aca="false">IF(K868="","",K868-G868)</f>
        <v>9</v>
      </c>
    </row>
    <row r="869" customFormat="false" ht="15" hidden="false" customHeight="false" outlineLevel="0" collapsed="false">
      <c r="A869" s="7" t="n">
        <v>80225696</v>
      </c>
      <c r="B869" s="7" t="s">
        <v>78</v>
      </c>
      <c r="C869" s="7" t="s">
        <v>2148</v>
      </c>
      <c r="E869" s="7" t="s">
        <v>26</v>
      </c>
      <c r="F869" s="7" t="s">
        <v>2113</v>
      </c>
      <c r="G869" s="7" t="n">
        <v>2018</v>
      </c>
      <c r="H869" s="7" t="s">
        <v>48</v>
      </c>
      <c r="I869" s="7" t="s">
        <v>82</v>
      </c>
      <c r="J869" s="7" t="s">
        <v>2149</v>
      </c>
      <c r="K869" s="7" t="n">
        <f aca="false">IFERROR(VALUE(RIGHT(TRIM(F869),4)),"")</f>
        <v>2018</v>
      </c>
      <c r="L869" s="7" t="str">
        <f aca="false">IF(TRIM(E869)="","Unknown",IFERROR(LEFT(TRIM(E869),FIND(",",TRIM(E869))-1),TRIM(E869)))</f>
        <v>United States</v>
      </c>
      <c r="M869" s="7" t="str">
        <f aca="false">IFERROR(LEFT(J869,FIND(",",J869)-1),J869)</f>
        <v>Romantic TV Shows</v>
      </c>
      <c r="N869" s="7" t="str">
        <f aca="false">IF(B869="Movie",IFERROR(VALUE(LEFT(I869,FIND(" ",I869)-1)),""),"")</f>
        <v/>
      </c>
      <c r="O869" s="7" t="n">
        <f aca="false">IF(B869="TV Show",IFERROR(VALUE(LEFT(I869,FIND(" ",I869)-1)),""),"")</f>
        <v>1</v>
      </c>
      <c r="P869" s="7" t="n">
        <f aca="false">IF(K869="","",K869-G869)</f>
        <v>0</v>
      </c>
    </row>
    <row r="870" customFormat="false" ht="15" hidden="false" customHeight="false" outlineLevel="0" collapsed="false">
      <c r="A870" s="7" t="n">
        <v>80104130</v>
      </c>
      <c r="B870" s="7" t="s">
        <v>68</v>
      </c>
      <c r="C870" s="7" t="s">
        <v>2150</v>
      </c>
      <c r="D870" s="7" t="s">
        <v>2151</v>
      </c>
      <c r="E870" s="7" t="s">
        <v>27</v>
      </c>
      <c r="F870" s="7" t="s">
        <v>2113</v>
      </c>
      <c r="G870" s="7" t="n">
        <v>2017</v>
      </c>
      <c r="H870" s="7" t="s">
        <v>49</v>
      </c>
      <c r="I870" s="7" t="s">
        <v>1062</v>
      </c>
      <c r="J870" s="7" t="s">
        <v>139</v>
      </c>
      <c r="K870" s="7" t="n">
        <f aca="false">IFERROR(VALUE(RIGHT(TRIM(F870),4)),"")</f>
        <v>2018</v>
      </c>
      <c r="L870" s="7" t="str">
        <f aca="false">IF(TRIM(E870)="","Unknown",IFERROR(LEFT(TRIM(E870),FIND(",",TRIM(E870))-1),TRIM(E870)))</f>
        <v>India</v>
      </c>
      <c r="M870" s="7" t="str">
        <f aca="false">IFERROR(LEFT(J870,FIND(",",J870)-1),J870)</f>
        <v>Action &amp; Adventure</v>
      </c>
      <c r="N870" s="7" t="n">
        <f aca="false">IF(B870="Movie",IFERROR(VALUE(LEFT(I870,FIND(" ",I870)-1)),""),"")</f>
        <v>155</v>
      </c>
      <c r="O870" s="7" t="str">
        <f aca="false">IF(B870="TV Show",IFERROR(VALUE(LEFT(I870,FIND(" ",I870)-1)),""),"")</f>
        <v/>
      </c>
      <c r="P870" s="7" t="n">
        <f aca="false">IF(K870="","",K870-G870)</f>
        <v>1</v>
      </c>
    </row>
    <row r="871" customFormat="false" ht="15" hidden="false" customHeight="false" outlineLevel="0" collapsed="false">
      <c r="A871" s="7" t="n">
        <v>80032473</v>
      </c>
      <c r="B871" s="7" t="s">
        <v>68</v>
      </c>
      <c r="C871" s="7" t="s">
        <v>2152</v>
      </c>
      <c r="D871" s="7" t="s">
        <v>1815</v>
      </c>
      <c r="E871" s="7" t="s">
        <v>27</v>
      </c>
      <c r="F871" s="7" t="s">
        <v>2113</v>
      </c>
      <c r="G871" s="7" t="n">
        <v>2014</v>
      </c>
      <c r="H871" s="7" t="s">
        <v>49</v>
      </c>
      <c r="I871" s="7" t="s">
        <v>197</v>
      </c>
      <c r="J871" s="7" t="s">
        <v>217</v>
      </c>
      <c r="K871" s="7" t="n">
        <f aca="false">IFERROR(VALUE(RIGHT(TRIM(F871),4)),"")</f>
        <v>2018</v>
      </c>
      <c r="L871" s="7" t="str">
        <f aca="false">IF(TRIM(E871)="","Unknown",IFERROR(LEFT(TRIM(E871),FIND(",",TRIM(E871))-1),TRIM(E871)))</f>
        <v>India</v>
      </c>
      <c r="M871" s="7" t="str">
        <f aca="false">IFERROR(LEFT(J871,FIND(",",J871)-1),J871)</f>
        <v>Comedies</v>
      </c>
      <c r="N871" s="7" t="n">
        <f aca="false">IF(B871="Movie",IFERROR(VALUE(LEFT(I871,FIND(" ",I871)-1)),""),"")</f>
        <v>142</v>
      </c>
      <c r="O871" s="7" t="str">
        <f aca="false">IF(B871="TV Show",IFERROR(VALUE(LEFT(I871,FIND(" ",I871)-1)),""),"")</f>
        <v/>
      </c>
      <c r="P871" s="7" t="n">
        <f aca="false">IF(K871="","",K871-G871)</f>
        <v>4</v>
      </c>
    </row>
    <row r="872" customFormat="false" ht="15" hidden="false" customHeight="false" outlineLevel="0" collapsed="false">
      <c r="A872" s="7" t="n">
        <v>70090035</v>
      </c>
      <c r="B872" s="7" t="s">
        <v>68</v>
      </c>
      <c r="C872" s="7" t="s">
        <v>2153</v>
      </c>
      <c r="D872" s="7" t="s">
        <v>2154</v>
      </c>
      <c r="E872" s="7" t="s">
        <v>27</v>
      </c>
      <c r="F872" s="7" t="s">
        <v>2113</v>
      </c>
      <c r="G872" s="7" t="n">
        <v>2008</v>
      </c>
      <c r="H872" s="7" t="s">
        <v>49</v>
      </c>
      <c r="I872" s="7" t="s">
        <v>2155</v>
      </c>
      <c r="J872" s="7" t="s">
        <v>112</v>
      </c>
      <c r="K872" s="7" t="n">
        <f aca="false">IFERROR(VALUE(RIGHT(TRIM(F872),4)),"")</f>
        <v>2018</v>
      </c>
      <c r="L872" s="7" t="str">
        <f aca="false">IF(TRIM(E872)="","Unknown",IFERROR(LEFT(TRIM(E872),FIND(",",TRIM(E872))-1),TRIM(E872)))</f>
        <v>India</v>
      </c>
      <c r="M872" s="7" t="str">
        <f aca="false">IFERROR(LEFT(J872,FIND(",",J872)-1),J872)</f>
        <v>Action &amp; Adventure</v>
      </c>
      <c r="N872" s="7" t="n">
        <f aca="false">IF(B872="Movie",IFERROR(VALUE(LEFT(I872,FIND(" ",I872)-1)),""),"")</f>
        <v>214</v>
      </c>
      <c r="O872" s="7" t="str">
        <f aca="false">IF(B872="TV Show",IFERROR(VALUE(LEFT(I872,FIND(" ",I872)-1)),""),"")</f>
        <v/>
      </c>
      <c r="P872" s="7" t="n">
        <f aca="false">IF(K872="","",K872-G872)</f>
        <v>10</v>
      </c>
    </row>
    <row r="873" customFormat="false" ht="15" hidden="false" customHeight="false" outlineLevel="0" collapsed="false">
      <c r="A873" s="7" t="n">
        <v>81024713</v>
      </c>
      <c r="B873" s="7" t="s">
        <v>68</v>
      </c>
      <c r="C873" s="7" t="s">
        <v>2156</v>
      </c>
      <c r="D873" s="7" t="s">
        <v>2157</v>
      </c>
      <c r="E873" s="7" t="s">
        <v>27</v>
      </c>
      <c r="F873" s="7" t="s">
        <v>2113</v>
      </c>
      <c r="G873" s="7" t="n">
        <v>2015</v>
      </c>
      <c r="H873" s="7" t="s">
        <v>49</v>
      </c>
      <c r="I873" s="7" t="s">
        <v>749</v>
      </c>
      <c r="J873" s="7" t="s">
        <v>217</v>
      </c>
      <c r="K873" s="7" t="n">
        <f aca="false">IFERROR(VALUE(RIGHT(TRIM(F873),4)),"")</f>
        <v>2018</v>
      </c>
      <c r="L873" s="7" t="str">
        <f aca="false">IF(TRIM(E873)="","Unknown",IFERROR(LEFT(TRIM(E873),FIND(",",TRIM(E873))-1),TRIM(E873)))</f>
        <v>India</v>
      </c>
      <c r="M873" s="7" t="str">
        <f aca="false">IFERROR(LEFT(J873,FIND(",",J873)-1),J873)</f>
        <v>Comedies</v>
      </c>
      <c r="N873" s="7" t="n">
        <f aca="false">IF(B873="Movie",IFERROR(VALUE(LEFT(I873,FIND(" ",I873)-1)),""),"")</f>
        <v>137</v>
      </c>
      <c r="O873" s="7" t="str">
        <f aca="false">IF(B873="TV Show",IFERROR(VALUE(LEFT(I873,FIND(" ",I873)-1)),""),"")</f>
        <v/>
      </c>
      <c r="P873" s="7" t="n">
        <f aca="false">IF(K873="","",K873-G873)</f>
        <v>3</v>
      </c>
    </row>
    <row r="874" customFormat="false" ht="15" hidden="false" customHeight="false" outlineLevel="0" collapsed="false">
      <c r="A874" s="7" t="n">
        <v>70117268</v>
      </c>
      <c r="B874" s="7" t="s">
        <v>68</v>
      </c>
      <c r="C874" s="7" t="s">
        <v>2158</v>
      </c>
      <c r="D874" s="7" t="s">
        <v>2159</v>
      </c>
      <c r="E874" s="7" t="s">
        <v>27</v>
      </c>
      <c r="F874" s="7" t="s">
        <v>2113</v>
      </c>
      <c r="G874" s="7" t="n">
        <v>2009</v>
      </c>
      <c r="H874" s="7" t="s">
        <v>48</v>
      </c>
      <c r="I874" s="7" t="s">
        <v>261</v>
      </c>
      <c r="J874" s="7" t="s">
        <v>1042</v>
      </c>
      <c r="K874" s="7" t="n">
        <f aca="false">IFERROR(VALUE(RIGHT(TRIM(F874),4)),"")</f>
        <v>2018</v>
      </c>
      <c r="L874" s="7" t="str">
        <f aca="false">IF(TRIM(E874)="","Unknown",IFERROR(LEFT(TRIM(E874),FIND(",",TRIM(E874))-1),TRIM(E874)))</f>
        <v>India</v>
      </c>
      <c r="M874" s="7" t="str">
        <f aca="false">IFERROR(LEFT(J874,FIND(",",J874)-1),J874)</f>
        <v>Dramas</v>
      </c>
      <c r="N874" s="7" t="n">
        <f aca="false">IF(B874="Movie",IFERROR(VALUE(LEFT(I874,FIND(" ",I874)-1)),""),"")</f>
        <v>128</v>
      </c>
      <c r="O874" s="7" t="str">
        <f aca="false">IF(B874="TV Show",IFERROR(VALUE(LEFT(I874,FIND(" ",I874)-1)),""),"")</f>
        <v/>
      </c>
      <c r="P874" s="7" t="n">
        <f aca="false">IF(K874="","",K874-G874)</f>
        <v>9</v>
      </c>
    </row>
    <row r="875" customFormat="false" ht="15" hidden="false" customHeight="false" outlineLevel="0" collapsed="false">
      <c r="A875" s="7" t="n">
        <v>70211216</v>
      </c>
      <c r="B875" s="7" t="s">
        <v>68</v>
      </c>
      <c r="C875" s="7" t="s">
        <v>2160</v>
      </c>
      <c r="D875" s="7" t="s">
        <v>2161</v>
      </c>
      <c r="E875" s="7" t="s">
        <v>26</v>
      </c>
      <c r="F875" s="7" t="s">
        <v>2113</v>
      </c>
      <c r="G875" s="7" t="n">
        <v>2011</v>
      </c>
      <c r="H875" s="7" t="s">
        <v>51</v>
      </c>
      <c r="I875" s="7" t="s">
        <v>357</v>
      </c>
      <c r="J875" s="7" t="s">
        <v>45</v>
      </c>
      <c r="K875" s="7" t="n">
        <f aca="false">IFERROR(VALUE(RIGHT(TRIM(F875),4)),"")</f>
        <v>2018</v>
      </c>
      <c r="L875" s="7" t="str">
        <f aca="false">IF(TRIM(E875)="","Unknown",IFERROR(LEFT(TRIM(E875),FIND(",",TRIM(E875))-1),TRIM(E875)))</f>
        <v>United States</v>
      </c>
      <c r="M875" s="7" t="str">
        <f aca="false">IFERROR(LEFT(J875,FIND(",",J875)-1),J875)</f>
        <v>Stand-Up Comedy</v>
      </c>
      <c r="N875" s="7" t="n">
        <f aca="false">IF(B875="Movie",IFERROR(VALUE(LEFT(I875,FIND(" ",I875)-1)),""),"")</f>
        <v>89</v>
      </c>
      <c r="O875" s="7" t="str">
        <f aca="false">IF(B875="TV Show",IFERROR(VALUE(LEFT(I875,FIND(" ",I875)-1)),""),"")</f>
        <v/>
      </c>
      <c r="P875" s="7" t="n">
        <f aca="false">IF(K875="","",K875-G875)</f>
        <v>7</v>
      </c>
    </row>
    <row r="876" customFormat="false" ht="15" hidden="false" customHeight="false" outlineLevel="0" collapsed="false">
      <c r="A876" s="7" t="n">
        <v>70140322</v>
      </c>
      <c r="B876" s="7" t="s">
        <v>68</v>
      </c>
      <c r="C876" s="7" t="s">
        <v>2162</v>
      </c>
      <c r="D876" s="7" t="s">
        <v>2163</v>
      </c>
      <c r="E876" s="7" t="s">
        <v>26</v>
      </c>
      <c r="F876" s="7" t="s">
        <v>2113</v>
      </c>
      <c r="G876" s="7" t="n">
        <v>2010</v>
      </c>
      <c r="H876" s="7" t="s">
        <v>48</v>
      </c>
      <c r="I876" s="7" t="s">
        <v>876</v>
      </c>
      <c r="J876" s="7" t="s">
        <v>45</v>
      </c>
      <c r="K876" s="7" t="n">
        <f aca="false">IFERROR(VALUE(RIGHT(TRIM(F876),4)),"")</f>
        <v>2018</v>
      </c>
      <c r="L876" s="7" t="str">
        <f aca="false">IF(TRIM(E876)="","Unknown",IFERROR(LEFT(TRIM(E876),FIND(",",TRIM(E876))-1),TRIM(E876)))</f>
        <v>United States</v>
      </c>
      <c r="M876" s="7" t="str">
        <f aca="false">IFERROR(LEFT(J876,FIND(",",J876)-1),J876)</f>
        <v>Stand-Up Comedy</v>
      </c>
      <c r="N876" s="7" t="n">
        <f aca="false">IF(B876="Movie",IFERROR(VALUE(LEFT(I876,FIND(" ",I876)-1)),""),"")</f>
        <v>67</v>
      </c>
      <c r="O876" s="7" t="str">
        <f aca="false">IF(B876="TV Show",IFERROR(VALUE(LEFT(I876,FIND(" ",I876)-1)),""),"")</f>
        <v/>
      </c>
      <c r="P876" s="7" t="n">
        <f aca="false">IF(K876="","",K876-G876)</f>
        <v>8</v>
      </c>
    </row>
    <row r="877" customFormat="false" ht="15" hidden="false" customHeight="false" outlineLevel="0" collapsed="false">
      <c r="A877" s="7" t="n">
        <v>81024696</v>
      </c>
      <c r="B877" s="7" t="s">
        <v>68</v>
      </c>
      <c r="C877" s="7" t="s">
        <v>2164</v>
      </c>
      <c r="D877" s="7" t="s">
        <v>1815</v>
      </c>
      <c r="E877" s="7" t="s">
        <v>27</v>
      </c>
      <c r="F877" s="7" t="s">
        <v>2113</v>
      </c>
      <c r="G877" s="7" t="n">
        <v>2018</v>
      </c>
      <c r="H877" s="7" t="s">
        <v>49</v>
      </c>
      <c r="I877" s="7" t="s">
        <v>1041</v>
      </c>
      <c r="J877" s="7" t="s">
        <v>1003</v>
      </c>
      <c r="K877" s="7" t="n">
        <f aca="false">IFERROR(VALUE(RIGHT(TRIM(F877),4)),"")</f>
        <v>2018</v>
      </c>
      <c r="L877" s="7" t="str">
        <f aca="false">IF(TRIM(E877)="","Unknown",IFERROR(LEFT(TRIM(E877),FIND(",",TRIM(E877))-1),TRIM(E877)))</f>
        <v>India</v>
      </c>
      <c r="M877" s="7" t="str">
        <f aca="false">IFERROR(LEFT(J877,FIND(",",J877)-1),J877)</f>
        <v>Dramas</v>
      </c>
      <c r="N877" s="7" t="n">
        <f aca="false">IF(B877="Movie",IFERROR(VALUE(LEFT(I877,FIND(" ",I877)-1)),""),"")</f>
        <v>151</v>
      </c>
      <c r="O877" s="7" t="str">
        <f aca="false">IF(B877="TV Show",IFERROR(VALUE(LEFT(I877,FIND(" ",I877)-1)),""),"")</f>
        <v/>
      </c>
      <c r="P877" s="7" t="n">
        <f aca="false">IF(K877="","",K877-G877)</f>
        <v>0</v>
      </c>
    </row>
    <row r="878" customFormat="false" ht="15" hidden="false" customHeight="false" outlineLevel="0" collapsed="false">
      <c r="A878" s="7" t="n">
        <v>70303428</v>
      </c>
      <c r="B878" s="7" t="s">
        <v>68</v>
      </c>
      <c r="C878" s="7" t="s">
        <v>2165</v>
      </c>
      <c r="D878" s="7" t="s">
        <v>2166</v>
      </c>
      <c r="E878" s="7" t="s">
        <v>27</v>
      </c>
      <c r="F878" s="7" t="s">
        <v>2113</v>
      </c>
      <c r="G878" s="7" t="n">
        <v>2014</v>
      </c>
      <c r="H878" s="7" t="s">
        <v>49</v>
      </c>
      <c r="I878" s="7" t="s">
        <v>505</v>
      </c>
      <c r="J878" s="7" t="s">
        <v>206</v>
      </c>
      <c r="K878" s="7" t="n">
        <f aca="false">IFERROR(VALUE(RIGHT(TRIM(F878),4)),"")</f>
        <v>2018</v>
      </c>
      <c r="L878" s="7" t="str">
        <f aca="false">IF(TRIM(E878)="","Unknown",IFERROR(LEFT(TRIM(E878),FIND(",",TRIM(E878))-1),TRIM(E878)))</f>
        <v>India</v>
      </c>
      <c r="M878" s="7" t="str">
        <f aca="false">IFERROR(LEFT(J878,FIND(",",J878)-1),J878)</f>
        <v>Comedies</v>
      </c>
      <c r="N878" s="7" t="n">
        <f aca="false">IF(B878="Movie",IFERROR(VALUE(LEFT(I878,FIND(" ",I878)-1)),""),"")</f>
        <v>121</v>
      </c>
      <c r="O878" s="7" t="str">
        <f aca="false">IF(B878="TV Show",IFERROR(VALUE(LEFT(I878,FIND(" ",I878)-1)),""),"")</f>
        <v/>
      </c>
      <c r="P878" s="7" t="n">
        <f aca="false">IF(K878="","",K878-G878)</f>
        <v>4</v>
      </c>
    </row>
    <row r="879" customFormat="false" ht="15" hidden="false" customHeight="false" outlineLevel="0" collapsed="false">
      <c r="A879" s="7" t="n">
        <v>81012407</v>
      </c>
      <c r="B879" s="7" t="s">
        <v>78</v>
      </c>
      <c r="C879" s="7" t="s">
        <v>2167</v>
      </c>
      <c r="D879" s="7" t="s">
        <v>2168</v>
      </c>
      <c r="F879" s="7" t="s">
        <v>2113</v>
      </c>
      <c r="G879" s="7" t="n">
        <v>2018</v>
      </c>
      <c r="H879" s="7" t="s">
        <v>50</v>
      </c>
      <c r="I879" s="7" t="s">
        <v>82</v>
      </c>
      <c r="J879" s="7" t="s">
        <v>1969</v>
      </c>
      <c r="K879" s="7" t="n">
        <f aca="false">IFERROR(VALUE(RIGHT(TRIM(F879),4)),"")</f>
        <v>2018</v>
      </c>
      <c r="L879" s="7" t="str">
        <f aca="false">IF(TRIM(E879)="","Unknown",IFERROR(LEFT(TRIM(E879),FIND(",",TRIM(E879))-1),TRIM(E879)))</f>
        <v>Unknown</v>
      </c>
      <c r="M879" s="7" t="str">
        <f aca="false">IFERROR(LEFT(J879,FIND(",",J879)-1),J879)</f>
        <v>British TV Shows</v>
      </c>
      <c r="N879" s="7" t="str">
        <f aca="false">IF(B879="Movie",IFERROR(VALUE(LEFT(I879,FIND(" ",I879)-1)),""),"")</f>
        <v/>
      </c>
      <c r="O879" s="7" t="n">
        <f aca="false">IF(B879="TV Show",IFERROR(VALUE(LEFT(I879,FIND(" ",I879)-1)),""),"")</f>
        <v>1</v>
      </c>
      <c r="P879" s="7" t="n">
        <f aca="false">IF(K879="","",K879-G879)</f>
        <v>0</v>
      </c>
    </row>
    <row r="880" customFormat="false" ht="15" hidden="false" customHeight="false" outlineLevel="0" collapsed="false">
      <c r="A880" s="7" t="n">
        <v>70125882</v>
      </c>
      <c r="B880" s="7" t="s">
        <v>68</v>
      </c>
      <c r="C880" s="7" t="s">
        <v>2169</v>
      </c>
      <c r="D880" s="7" t="s">
        <v>2170</v>
      </c>
      <c r="E880" s="7" t="s">
        <v>27</v>
      </c>
      <c r="F880" s="7" t="s">
        <v>2113</v>
      </c>
      <c r="G880" s="7" t="n">
        <v>2009</v>
      </c>
      <c r="H880" s="7" t="s">
        <v>49</v>
      </c>
      <c r="I880" s="7" t="s">
        <v>512</v>
      </c>
      <c r="J880" s="7" t="s">
        <v>112</v>
      </c>
      <c r="K880" s="7" t="n">
        <f aca="false">IFERROR(VALUE(RIGHT(TRIM(F880),4)),"")</f>
        <v>2018</v>
      </c>
      <c r="L880" s="7" t="str">
        <f aca="false">IF(TRIM(E880)="","Unknown",IFERROR(LEFT(TRIM(E880),FIND(",",TRIM(E880))-1),TRIM(E880)))</f>
        <v>India</v>
      </c>
      <c r="M880" s="7" t="str">
        <f aca="false">IFERROR(LEFT(J880,FIND(",",J880)-1),J880)</f>
        <v>Action &amp; Adventure</v>
      </c>
      <c r="N880" s="7" t="n">
        <f aca="false">IF(B880="Movie",IFERROR(VALUE(LEFT(I880,FIND(" ",I880)-1)),""),"")</f>
        <v>101</v>
      </c>
      <c r="O880" s="7" t="str">
        <f aca="false">IF(B880="TV Show",IFERROR(VALUE(LEFT(I880,FIND(" ",I880)-1)),""),"")</f>
        <v/>
      </c>
      <c r="P880" s="7" t="n">
        <f aca="false">IF(K880="","",K880-G880)</f>
        <v>9</v>
      </c>
    </row>
    <row r="881" customFormat="false" ht="15" hidden="false" customHeight="false" outlineLevel="0" collapsed="false">
      <c r="A881" s="7" t="n">
        <v>70101039</v>
      </c>
      <c r="B881" s="7" t="s">
        <v>68</v>
      </c>
      <c r="C881" s="7" t="s">
        <v>2171</v>
      </c>
      <c r="D881" s="7" t="s">
        <v>2172</v>
      </c>
      <c r="E881" s="7" t="s">
        <v>27</v>
      </c>
      <c r="F881" s="7" t="s">
        <v>2113</v>
      </c>
      <c r="G881" s="7" t="n">
        <v>2008</v>
      </c>
      <c r="H881" s="7" t="s">
        <v>50</v>
      </c>
      <c r="I881" s="7" t="s">
        <v>1817</v>
      </c>
      <c r="J881" s="7" t="s">
        <v>457</v>
      </c>
      <c r="K881" s="7" t="n">
        <f aca="false">IFERROR(VALUE(RIGHT(TRIM(F881),4)),"")</f>
        <v>2018</v>
      </c>
      <c r="L881" s="7" t="str">
        <f aca="false">IF(TRIM(E881)="","Unknown",IFERROR(LEFT(TRIM(E881),FIND(",",TRIM(E881))-1),TRIM(E881)))</f>
        <v>India</v>
      </c>
      <c r="M881" s="7" t="str">
        <f aca="false">IFERROR(LEFT(J881,FIND(",",J881)-1),J881)</f>
        <v>Comedies</v>
      </c>
      <c r="N881" s="7" t="n">
        <f aca="false">IF(B881="Movie",IFERROR(VALUE(LEFT(I881,FIND(" ",I881)-1)),""),"")</f>
        <v>145</v>
      </c>
      <c r="O881" s="7" t="str">
        <f aca="false">IF(B881="TV Show",IFERROR(VALUE(LEFT(I881,FIND(" ",I881)-1)),""),"")</f>
        <v/>
      </c>
      <c r="P881" s="7" t="n">
        <f aca="false">IF(K881="","",K881-G881)</f>
        <v>10</v>
      </c>
    </row>
    <row r="882" customFormat="false" ht="15" hidden="false" customHeight="false" outlineLevel="0" collapsed="false">
      <c r="A882" s="7" t="n">
        <v>70123121</v>
      </c>
      <c r="B882" s="7" t="s">
        <v>68</v>
      </c>
      <c r="C882" s="7" t="s">
        <v>2173</v>
      </c>
      <c r="D882" s="7" t="s">
        <v>2174</v>
      </c>
      <c r="E882" s="7" t="s">
        <v>27</v>
      </c>
      <c r="F882" s="7" t="s">
        <v>2113</v>
      </c>
      <c r="G882" s="7" t="n">
        <v>2009</v>
      </c>
      <c r="H882" s="7" t="s">
        <v>48</v>
      </c>
      <c r="I882" s="7" t="s">
        <v>1989</v>
      </c>
      <c r="J882" s="7" t="s">
        <v>358</v>
      </c>
      <c r="K882" s="7" t="n">
        <f aca="false">IFERROR(VALUE(RIGHT(TRIM(F882),4)),"")</f>
        <v>2018</v>
      </c>
      <c r="L882" s="7" t="str">
        <f aca="false">IF(TRIM(E882)="","Unknown",IFERROR(LEFT(TRIM(E882),FIND(",",TRIM(E882))-1),TRIM(E882)))</f>
        <v>India</v>
      </c>
      <c r="M882" s="7" t="str">
        <f aca="false">IFERROR(LEFT(J882,FIND(",",J882)-1),J882)</f>
        <v>International Movies</v>
      </c>
      <c r="N882" s="7" t="n">
        <f aca="false">IF(B882="Movie",IFERROR(VALUE(LEFT(I882,FIND(" ",I882)-1)),""),"")</f>
        <v>147</v>
      </c>
      <c r="O882" s="7" t="str">
        <f aca="false">IF(B882="TV Show",IFERROR(VALUE(LEFT(I882,FIND(" ",I882)-1)),""),"")</f>
        <v/>
      </c>
      <c r="P882" s="7" t="n">
        <f aca="false">IF(K882="","",K882-G882)</f>
        <v>9</v>
      </c>
    </row>
    <row r="883" customFormat="false" ht="15" hidden="false" customHeight="false" outlineLevel="0" collapsed="false">
      <c r="A883" s="7" t="n">
        <v>80152182</v>
      </c>
      <c r="B883" s="7" t="s">
        <v>68</v>
      </c>
      <c r="C883" s="7" t="s">
        <v>2175</v>
      </c>
      <c r="D883" s="7" t="s">
        <v>2176</v>
      </c>
      <c r="E883" s="7" t="s">
        <v>27</v>
      </c>
      <c r="F883" s="7" t="s">
        <v>2113</v>
      </c>
      <c r="G883" s="7" t="n">
        <v>2016</v>
      </c>
      <c r="H883" s="7" t="s">
        <v>49</v>
      </c>
      <c r="I883" s="7" t="s">
        <v>73</v>
      </c>
      <c r="J883" s="7" t="s">
        <v>304</v>
      </c>
      <c r="K883" s="7" t="n">
        <f aca="false">IFERROR(VALUE(RIGHT(TRIM(F883),4)),"")</f>
        <v>2018</v>
      </c>
      <c r="L883" s="7" t="str">
        <f aca="false">IF(TRIM(E883)="","Unknown",IFERROR(LEFT(TRIM(E883),FIND(",",TRIM(E883))-1),TRIM(E883)))</f>
        <v>India</v>
      </c>
      <c r="M883" s="7" t="str">
        <f aca="false">IFERROR(LEFT(J883,FIND(",",J883)-1),J883)</f>
        <v>Dramas</v>
      </c>
      <c r="N883" s="7" t="n">
        <f aca="false">IF(B883="Movie",IFERROR(VALUE(LEFT(I883,FIND(" ",I883)-1)),""),"")</f>
        <v>90</v>
      </c>
      <c r="O883" s="7" t="str">
        <f aca="false">IF(B883="TV Show",IFERROR(VALUE(LEFT(I883,FIND(" ",I883)-1)),""),"")</f>
        <v/>
      </c>
      <c r="P883" s="7" t="n">
        <f aca="false">IF(K883="","",K883-G883)</f>
        <v>2</v>
      </c>
    </row>
    <row r="884" customFormat="false" ht="15" hidden="false" customHeight="false" outlineLevel="0" collapsed="false">
      <c r="A884" s="7" t="n">
        <v>70229042</v>
      </c>
      <c r="B884" s="7" t="s">
        <v>68</v>
      </c>
      <c r="C884" s="7" t="s">
        <v>2177</v>
      </c>
      <c r="D884" s="7" t="s">
        <v>2178</v>
      </c>
      <c r="E884" s="7" t="s">
        <v>27</v>
      </c>
      <c r="F884" s="7" t="s">
        <v>2113</v>
      </c>
      <c r="G884" s="7" t="n">
        <v>2012</v>
      </c>
      <c r="H884" s="7" t="s">
        <v>49</v>
      </c>
      <c r="I884" s="7" t="s">
        <v>2053</v>
      </c>
      <c r="J884" s="7" t="s">
        <v>202</v>
      </c>
      <c r="K884" s="7" t="n">
        <f aca="false">IFERROR(VALUE(RIGHT(TRIM(F884),4)),"")</f>
        <v>2018</v>
      </c>
      <c r="L884" s="7" t="str">
        <f aca="false">IF(TRIM(E884)="","Unknown",IFERROR(LEFT(TRIM(E884),FIND(",",TRIM(E884))-1),TRIM(E884)))</f>
        <v>India</v>
      </c>
      <c r="M884" s="7" t="str">
        <f aca="false">IFERROR(LEFT(J884,FIND(",",J884)-1),J884)</f>
        <v>Comedies</v>
      </c>
      <c r="N884" s="7" t="n">
        <f aca="false">IF(B884="Movie",IFERROR(VALUE(LEFT(I884,FIND(" ",I884)-1)),""),"")</f>
        <v>129</v>
      </c>
      <c r="O884" s="7" t="str">
        <f aca="false">IF(B884="TV Show",IFERROR(VALUE(LEFT(I884,FIND(" ",I884)-1)),""),"")</f>
        <v/>
      </c>
      <c r="P884" s="7" t="n">
        <f aca="false">IF(K884="","",K884-G884)</f>
        <v>6</v>
      </c>
    </row>
    <row r="885" customFormat="false" ht="15" hidden="false" customHeight="false" outlineLevel="0" collapsed="false">
      <c r="A885" s="7" t="n">
        <v>70042756</v>
      </c>
      <c r="B885" s="7" t="s">
        <v>68</v>
      </c>
      <c r="C885" s="7" t="s">
        <v>2179</v>
      </c>
      <c r="D885" s="7" t="s">
        <v>2180</v>
      </c>
      <c r="E885" s="7" t="s">
        <v>27</v>
      </c>
      <c r="F885" s="7" t="s">
        <v>2113</v>
      </c>
      <c r="G885" s="7" t="n">
        <v>2005</v>
      </c>
      <c r="H885" s="7" t="s">
        <v>49</v>
      </c>
      <c r="I885" s="7" t="s">
        <v>2053</v>
      </c>
      <c r="J885" s="7" t="s">
        <v>206</v>
      </c>
      <c r="K885" s="7" t="n">
        <f aca="false">IFERROR(VALUE(RIGHT(TRIM(F885),4)),"")</f>
        <v>2018</v>
      </c>
      <c r="L885" s="7" t="str">
        <f aca="false">IF(TRIM(E885)="","Unknown",IFERROR(LEFT(TRIM(E885),FIND(",",TRIM(E885))-1),TRIM(E885)))</f>
        <v>India</v>
      </c>
      <c r="M885" s="7" t="str">
        <f aca="false">IFERROR(LEFT(J885,FIND(",",J885)-1),J885)</f>
        <v>Comedies</v>
      </c>
      <c r="N885" s="7" t="n">
        <f aca="false">IF(B885="Movie",IFERROR(VALUE(LEFT(I885,FIND(" ",I885)-1)),""),"")</f>
        <v>129</v>
      </c>
      <c r="O885" s="7" t="str">
        <f aca="false">IF(B885="TV Show",IFERROR(VALUE(LEFT(I885,FIND(" ",I885)-1)),""),"")</f>
        <v/>
      </c>
      <c r="P885" s="7" t="n">
        <f aca="false">IF(K885="","",K885-G885)</f>
        <v>13</v>
      </c>
    </row>
    <row r="886" customFormat="false" ht="15" hidden="false" customHeight="false" outlineLevel="0" collapsed="false">
      <c r="A886" s="7" t="n">
        <v>80187618</v>
      </c>
      <c r="B886" s="7" t="s">
        <v>68</v>
      </c>
      <c r="C886" s="7" t="s">
        <v>2181</v>
      </c>
      <c r="D886" s="7" t="s">
        <v>2182</v>
      </c>
      <c r="E886" s="7" t="s">
        <v>27</v>
      </c>
      <c r="F886" s="7" t="s">
        <v>2113</v>
      </c>
      <c r="G886" s="7" t="n">
        <v>2017</v>
      </c>
      <c r="H886" s="7" t="s">
        <v>50</v>
      </c>
      <c r="I886" s="7" t="s">
        <v>2183</v>
      </c>
      <c r="J886" s="7" t="s">
        <v>217</v>
      </c>
      <c r="K886" s="7" t="n">
        <f aca="false">IFERROR(VALUE(RIGHT(TRIM(F886),4)),"")</f>
        <v>2018</v>
      </c>
      <c r="L886" s="7" t="str">
        <f aca="false">IF(TRIM(E886)="","Unknown",IFERROR(LEFT(TRIM(E886),FIND(",",TRIM(E886))-1),TRIM(E886)))</f>
        <v>India</v>
      </c>
      <c r="M886" s="7" t="str">
        <f aca="false">IFERROR(LEFT(J886,FIND(",",J886)-1),J886)</f>
        <v>Comedies</v>
      </c>
      <c r="N886" s="7" t="n">
        <f aca="false">IF(B886="Movie",IFERROR(VALUE(LEFT(I886,FIND(" ",I886)-1)),""),"")</f>
        <v>136</v>
      </c>
      <c r="O886" s="7" t="str">
        <f aca="false">IF(B886="TV Show",IFERROR(VALUE(LEFT(I886,FIND(" ",I886)-1)),""),"")</f>
        <v/>
      </c>
      <c r="P886" s="7" t="n">
        <f aca="false">IF(K886="","",K886-G886)</f>
        <v>1</v>
      </c>
    </row>
    <row r="887" customFormat="false" ht="15" hidden="false" customHeight="false" outlineLevel="0" collapsed="false">
      <c r="A887" s="7" t="n">
        <v>81024704</v>
      </c>
      <c r="B887" s="7" t="s">
        <v>68</v>
      </c>
      <c r="C887" s="7" t="s">
        <v>2184</v>
      </c>
      <c r="D887" s="7" t="s">
        <v>2143</v>
      </c>
      <c r="E887" s="7" t="s">
        <v>27</v>
      </c>
      <c r="F887" s="7" t="s">
        <v>2113</v>
      </c>
      <c r="G887" s="7" t="n">
        <v>2016</v>
      </c>
      <c r="H887" s="7" t="s">
        <v>49</v>
      </c>
      <c r="I887" s="7" t="s">
        <v>386</v>
      </c>
      <c r="J887" s="7" t="s">
        <v>202</v>
      </c>
      <c r="K887" s="7" t="n">
        <f aca="false">IFERROR(VALUE(RIGHT(TRIM(F887),4)),"")</f>
        <v>2018</v>
      </c>
      <c r="L887" s="7" t="str">
        <f aca="false">IF(TRIM(E887)="","Unknown",IFERROR(LEFT(TRIM(E887),FIND(",",TRIM(E887))-1),TRIM(E887)))</f>
        <v>India</v>
      </c>
      <c r="M887" s="7" t="str">
        <f aca="false">IFERROR(LEFT(J887,FIND(",",J887)-1),J887)</f>
        <v>Comedies</v>
      </c>
      <c r="N887" s="7" t="n">
        <f aca="false">IF(B887="Movie",IFERROR(VALUE(LEFT(I887,FIND(" ",I887)-1)),""),"")</f>
        <v>117</v>
      </c>
      <c r="O887" s="7" t="str">
        <f aca="false">IF(B887="TV Show",IFERROR(VALUE(LEFT(I887,FIND(" ",I887)-1)),""),"")</f>
        <v/>
      </c>
      <c r="P887" s="7" t="n">
        <f aca="false">IF(K887="","",K887-G887)</f>
        <v>2</v>
      </c>
    </row>
    <row r="888" customFormat="false" ht="15" hidden="false" customHeight="false" outlineLevel="0" collapsed="false">
      <c r="A888" s="7" t="n">
        <v>80221498</v>
      </c>
      <c r="B888" s="7" t="s">
        <v>68</v>
      </c>
      <c r="C888" s="7" t="s">
        <v>2185</v>
      </c>
      <c r="D888" s="7" t="s">
        <v>2186</v>
      </c>
      <c r="E888" s="7" t="s">
        <v>35</v>
      </c>
      <c r="F888" s="7" t="s">
        <v>2113</v>
      </c>
      <c r="G888" s="7" t="n">
        <v>2017</v>
      </c>
      <c r="H888" s="7" t="s">
        <v>54</v>
      </c>
      <c r="I888" s="7" t="s">
        <v>1221</v>
      </c>
      <c r="J888" s="7" t="s">
        <v>2187</v>
      </c>
      <c r="K888" s="7" t="n">
        <f aca="false">IFERROR(VALUE(RIGHT(TRIM(F888),4)),"")</f>
        <v>2018</v>
      </c>
      <c r="L888" s="7" t="str">
        <f aca="false">IF(TRIM(E888)="","Unknown",IFERROR(LEFT(TRIM(E888),FIND(",",TRIM(E888))-1),TRIM(E888)))</f>
        <v>Australia</v>
      </c>
      <c r="M888" s="7" t="str">
        <f aca="false">IFERROR(LEFT(J888,FIND(",",J888)-1),J888)</f>
        <v>Action &amp; Adventure</v>
      </c>
      <c r="N888" s="7" t="n">
        <f aca="false">IF(B888="Movie",IFERROR(VALUE(LEFT(I888,FIND(" ",I888)-1)),""),"")</f>
        <v>74</v>
      </c>
      <c r="O888" s="7" t="str">
        <f aca="false">IF(B888="TV Show",IFERROR(VALUE(LEFT(I888,FIND(" ",I888)-1)),""),"")</f>
        <v/>
      </c>
      <c r="P888" s="7" t="n">
        <f aca="false">IF(K888="","",K888-G888)</f>
        <v>1</v>
      </c>
    </row>
    <row r="889" customFormat="false" ht="15" hidden="false" customHeight="false" outlineLevel="0" collapsed="false">
      <c r="A889" s="7" t="n">
        <v>70229047</v>
      </c>
      <c r="B889" s="7" t="s">
        <v>68</v>
      </c>
      <c r="C889" s="7" t="s">
        <v>2188</v>
      </c>
      <c r="D889" s="7" t="s">
        <v>2189</v>
      </c>
      <c r="E889" s="7" t="s">
        <v>27</v>
      </c>
      <c r="F889" s="7" t="s">
        <v>2113</v>
      </c>
      <c r="G889" s="7" t="n">
        <v>2012</v>
      </c>
      <c r="H889" s="7" t="s">
        <v>49</v>
      </c>
      <c r="I889" s="7" t="s">
        <v>1777</v>
      </c>
      <c r="J889" s="7" t="s">
        <v>322</v>
      </c>
      <c r="K889" s="7" t="n">
        <f aca="false">IFERROR(VALUE(RIGHT(TRIM(F889),4)),"")</f>
        <v>2018</v>
      </c>
      <c r="L889" s="7" t="str">
        <f aca="false">IF(TRIM(E889)="","Unknown",IFERROR(LEFT(TRIM(E889),FIND(",",TRIM(E889))-1),TRIM(E889)))</f>
        <v>India</v>
      </c>
      <c r="M889" s="7" t="str">
        <f aca="false">IFERROR(LEFT(J889,FIND(",",J889)-1),J889)</f>
        <v>Action &amp; Adventure</v>
      </c>
      <c r="N889" s="7" t="n">
        <f aca="false">IF(B889="Movie",IFERROR(VALUE(LEFT(I889,FIND(" ",I889)-1)),""),"")</f>
        <v>150</v>
      </c>
      <c r="O889" s="7" t="str">
        <f aca="false">IF(B889="TV Show",IFERROR(VALUE(LEFT(I889,FIND(" ",I889)-1)),""),"")</f>
        <v/>
      </c>
      <c r="P889" s="7" t="n">
        <f aca="false">IF(K889="","",K889-G889)</f>
        <v>6</v>
      </c>
    </row>
    <row r="890" customFormat="false" ht="15" hidden="false" customHeight="false" outlineLevel="0" collapsed="false">
      <c r="A890" s="7" t="n">
        <v>70229555</v>
      </c>
      <c r="B890" s="7" t="s">
        <v>68</v>
      </c>
      <c r="C890" s="7" t="s">
        <v>2190</v>
      </c>
      <c r="D890" s="7" t="s">
        <v>2191</v>
      </c>
      <c r="E890" s="7" t="s">
        <v>27</v>
      </c>
      <c r="F890" s="7" t="s">
        <v>2113</v>
      </c>
      <c r="G890" s="7" t="n">
        <v>2011</v>
      </c>
      <c r="H890" s="7" t="s">
        <v>49</v>
      </c>
      <c r="I890" s="7" t="s">
        <v>2192</v>
      </c>
      <c r="J890" s="7" t="s">
        <v>322</v>
      </c>
      <c r="K890" s="7" t="n">
        <f aca="false">IFERROR(VALUE(RIGHT(TRIM(F890),4)),"")</f>
        <v>2018</v>
      </c>
      <c r="L890" s="7" t="str">
        <f aca="false">IF(TRIM(E890)="","Unknown",IFERROR(LEFT(TRIM(E890),FIND(",",TRIM(E890))-1),TRIM(E890)))</f>
        <v>India</v>
      </c>
      <c r="M890" s="7" t="str">
        <f aca="false">IFERROR(LEFT(J890,FIND(",",J890)-1),J890)</f>
        <v>Action &amp; Adventure</v>
      </c>
      <c r="N890" s="7" t="n">
        <f aca="false">IF(B890="Movie",IFERROR(VALUE(LEFT(I890,FIND(" ",I890)-1)),""),"")</f>
        <v>134</v>
      </c>
      <c r="O890" s="7" t="str">
        <f aca="false">IF(B890="TV Show",IFERROR(VALUE(LEFT(I890,FIND(" ",I890)-1)),""),"")</f>
        <v/>
      </c>
      <c r="P890" s="7" t="n">
        <f aca="false">IF(K890="","",K890-G890)</f>
        <v>7</v>
      </c>
    </row>
    <row r="891" customFormat="false" ht="15" hidden="false" customHeight="false" outlineLevel="0" collapsed="false">
      <c r="A891" s="7" t="n">
        <v>70213515</v>
      </c>
      <c r="B891" s="7" t="s">
        <v>68</v>
      </c>
      <c r="C891" s="7" t="s">
        <v>2193</v>
      </c>
      <c r="D891" s="7" t="s">
        <v>2194</v>
      </c>
      <c r="E891" s="7" t="s">
        <v>27</v>
      </c>
      <c r="F891" s="7" t="s">
        <v>2113</v>
      </c>
      <c r="G891" s="7" t="n">
        <v>2011</v>
      </c>
      <c r="H891" s="7" t="s">
        <v>50</v>
      </c>
      <c r="I891" s="7" t="s">
        <v>205</v>
      </c>
      <c r="J891" s="7" t="s">
        <v>2195</v>
      </c>
      <c r="K891" s="7" t="n">
        <f aca="false">IFERROR(VALUE(RIGHT(TRIM(F891),4)),"")</f>
        <v>2018</v>
      </c>
      <c r="L891" s="7" t="str">
        <f aca="false">IF(TRIM(E891)="","Unknown",IFERROR(LEFT(TRIM(E891),FIND(",",TRIM(E891))-1),TRIM(E891)))</f>
        <v>India</v>
      </c>
      <c r="M891" s="7" t="str">
        <f aca="false">IFERROR(LEFT(J891,FIND(",",J891)-1),J891)</f>
        <v>Comedies</v>
      </c>
      <c r="N891" s="7" t="n">
        <f aca="false">IF(B891="Movie",IFERROR(VALUE(LEFT(I891,FIND(" ",I891)-1)),""),"")</f>
        <v>100</v>
      </c>
      <c r="O891" s="7" t="str">
        <f aca="false">IF(B891="TV Show",IFERROR(VALUE(LEFT(I891,FIND(" ",I891)-1)),""),"")</f>
        <v/>
      </c>
      <c r="P891" s="7" t="n">
        <f aca="false">IF(K891="","",K891-G891)</f>
        <v>7</v>
      </c>
    </row>
    <row r="892" customFormat="false" ht="15" hidden="false" customHeight="false" outlineLevel="0" collapsed="false">
      <c r="A892" s="7" t="n">
        <v>81018563</v>
      </c>
      <c r="B892" s="7" t="s">
        <v>68</v>
      </c>
      <c r="C892" s="7" t="s">
        <v>2196</v>
      </c>
      <c r="D892" s="7" t="s">
        <v>2197</v>
      </c>
      <c r="E892" s="7" t="s">
        <v>26</v>
      </c>
      <c r="F892" s="7" t="s">
        <v>2113</v>
      </c>
      <c r="G892" s="7" t="n">
        <v>2018</v>
      </c>
      <c r="H892" s="7" t="s">
        <v>55</v>
      </c>
      <c r="I892" s="7" t="s">
        <v>2198</v>
      </c>
      <c r="J892" s="7" t="s">
        <v>42</v>
      </c>
      <c r="K892" s="7" t="n">
        <f aca="false">IFERROR(VALUE(RIGHT(TRIM(F892),4)),"")</f>
        <v>2018</v>
      </c>
      <c r="L892" s="7" t="str">
        <f aca="false">IF(TRIM(E892)="","Unknown",IFERROR(LEFT(TRIM(E892),FIND(",",TRIM(E892))-1),TRIM(E892)))</f>
        <v>United States</v>
      </c>
      <c r="M892" s="7" t="str">
        <f aca="false">IFERROR(LEFT(J892,FIND(",",J892)-1),J892)</f>
        <v>Children &amp; Family Movies</v>
      </c>
      <c r="N892" s="7" t="n">
        <f aca="false">IF(B892="Movie",IFERROR(VALUE(LEFT(I892,FIND(" ",I892)-1)),""),"")</f>
        <v>44</v>
      </c>
      <c r="O892" s="7" t="str">
        <f aca="false">IF(B892="TV Show",IFERROR(VALUE(LEFT(I892,FIND(" ",I892)-1)),""),"")</f>
        <v/>
      </c>
      <c r="P892" s="7" t="n">
        <f aca="false">IF(K892="","",K892-G892)</f>
        <v>0</v>
      </c>
    </row>
    <row r="893" customFormat="false" ht="15" hidden="false" customHeight="false" outlineLevel="0" collapsed="false">
      <c r="A893" s="7" t="n">
        <v>81018565</v>
      </c>
      <c r="B893" s="7" t="s">
        <v>68</v>
      </c>
      <c r="C893" s="7" t="s">
        <v>2199</v>
      </c>
      <c r="D893" s="7" t="s">
        <v>2197</v>
      </c>
      <c r="E893" s="7" t="s">
        <v>230</v>
      </c>
      <c r="F893" s="7" t="s">
        <v>2113</v>
      </c>
      <c r="G893" s="7" t="n">
        <v>2018</v>
      </c>
      <c r="H893" s="7" t="s">
        <v>55</v>
      </c>
      <c r="I893" s="7" t="s">
        <v>2198</v>
      </c>
      <c r="J893" s="7" t="s">
        <v>42</v>
      </c>
      <c r="K893" s="7" t="n">
        <f aca="false">IFERROR(VALUE(RIGHT(TRIM(F893),4)),"")</f>
        <v>2018</v>
      </c>
      <c r="L893" s="7" t="str">
        <f aca="false">IF(TRIM(E893)="","Unknown",IFERROR(LEFT(TRIM(E893),FIND(",",TRIM(E893))-1),TRIM(E893)))</f>
        <v>United States</v>
      </c>
      <c r="M893" s="7" t="str">
        <f aca="false">IFERROR(LEFT(J893,FIND(",",J893)-1),J893)</f>
        <v>Children &amp; Family Movies</v>
      </c>
      <c r="N893" s="7" t="n">
        <f aca="false">IF(B893="Movie",IFERROR(VALUE(LEFT(I893,FIND(" ",I893)-1)),""),"")</f>
        <v>44</v>
      </c>
      <c r="O893" s="7" t="str">
        <f aca="false">IF(B893="TV Show",IFERROR(VALUE(LEFT(I893,FIND(" ",I893)-1)),""),"")</f>
        <v/>
      </c>
      <c r="P893" s="7" t="n">
        <f aca="false">IF(K893="","",K893-G893)</f>
        <v>0</v>
      </c>
    </row>
    <row r="894" customFormat="false" ht="15" hidden="false" customHeight="false" outlineLevel="0" collapsed="false">
      <c r="A894" s="7" t="n">
        <v>70114948</v>
      </c>
      <c r="B894" s="7" t="s">
        <v>68</v>
      </c>
      <c r="C894" s="7" t="s">
        <v>2200</v>
      </c>
      <c r="D894" s="7" t="s">
        <v>2201</v>
      </c>
      <c r="E894" s="7" t="s">
        <v>26</v>
      </c>
      <c r="F894" s="7" t="s">
        <v>2113</v>
      </c>
      <c r="G894" s="7" t="n">
        <v>2009</v>
      </c>
      <c r="H894" s="7" t="s">
        <v>53</v>
      </c>
      <c r="I894" s="7" t="s">
        <v>326</v>
      </c>
      <c r="J894" s="7" t="s">
        <v>198</v>
      </c>
      <c r="K894" s="7" t="n">
        <f aca="false">IFERROR(VALUE(RIGHT(TRIM(F894),4)),"")</f>
        <v>2018</v>
      </c>
      <c r="L894" s="7" t="str">
        <f aca="false">IF(TRIM(E894)="","Unknown",IFERROR(LEFT(TRIM(E894),FIND(",",TRIM(E894))-1),TRIM(E894)))</f>
        <v>United States</v>
      </c>
      <c r="M894" s="7" t="str">
        <f aca="false">IFERROR(LEFT(J894,FIND(",",J894)-1),J894)</f>
        <v>Comedies</v>
      </c>
      <c r="N894" s="7" t="n">
        <f aca="false">IF(B894="Movie",IFERROR(VALUE(LEFT(I894,FIND(" ",I894)-1)),""),"")</f>
        <v>111</v>
      </c>
      <c r="O894" s="7" t="str">
        <f aca="false">IF(B894="TV Show",IFERROR(VALUE(LEFT(I894,FIND(" ",I894)-1)),""),"")</f>
        <v/>
      </c>
      <c r="P894" s="7" t="n">
        <f aca="false">IF(K894="","",K894-G894)</f>
        <v>9</v>
      </c>
    </row>
    <row r="895" customFormat="false" ht="15" hidden="false" customHeight="false" outlineLevel="0" collapsed="false">
      <c r="A895" s="7" t="n">
        <v>80190103</v>
      </c>
      <c r="B895" s="7" t="s">
        <v>68</v>
      </c>
      <c r="C895" s="7" t="s">
        <v>2202</v>
      </c>
      <c r="D895" s="7" t="s">
        <v>1705</v>
      </c>
      <c r="E895" s="7" t="s">
        <v>27</v>
      </c>
      <c r="F895" s="7" t="s">
        <v>2113</v>
      </c>
      <c r="G895" s="7" t="n">
        <v>2014</v>
      </c>
      <c r="H895" s="7" t="s">
        <v>48</v>
      </c>
      <c r="I895" s="7" t="s">
        <v>1989</v>
      </c>
      <c r="J895" s="7" t="s">
        <v>112</v>
      </c>
      <c r="K895" s="7" t="n">
        <f aca="false">IFERROR(VALUE(RIGHT(TRIM(F895),4)),"")</f>
        <v>2018</v>
      </c>
      <c r="L895" s="7" t="str">
        <f aca="false">IF(TRIM(E895)="","Unknown",IFERROR(LEFT(TRIM(E895),FIND(",",TRIM(E895))-1),TRIM(E895)))</f>
        <v>India</v>
      </c>
      <c r="M895" s="7" t="str">
        <f aca="false">IFERROR(LEFT(J895,FIND(",",J895)-1),J895)</f>
        <v>Action &amp; Adventure</v>
      </c>
      <c r="N895" s="7" t="n">
        <f aca="false">IF(B895="Movie",IFERROR(VALUE(LEFT(I895,FIND(" ",I895)-1)),""),"")</f>
        <v>147</v>
      </c>
      <c r="O895" s="7" t="str">
        <f aca="false">IF(B895="TV Show",IFERROR(VALUE(LEFT(I895,FIND(" ",I895)-1)),""),"")</f>
        <v/>
      </c>
      <c r="P895" s="7" t="n">
        <f aca="false">IF(K895="","",K895-G895)</f>
        <v>4</v>
      </c>
    </row>
    <row r="896" customFormat="false" ht="15" hidden="false" customHeight="false" outlineLevel="0" collapsed="false">
      <c r="A896" s="7" t="n">
        <v>81024729</v>
      </c>
      <c r="B896" s="7" t="s">
        <v>68</v>
      </c>
      <c r="C896" s="7" t="s">
        <v>2203</v>
      </c>
      <c r="D896" s="7" t="s">
        <v>2204</v>
      </c>
      <c r="E896" s="7" t="s">
        <v>27</v>
      </c>
      <c r="F896" s="7" t="s">
        <v>2113</v>
      </c>
      <c r="G896" s="7" t="n">
        <v>2013</v>
      </c>
      <c r="H896" s="7" t="s">
        <v>48</v>
      </c>
      <c r="I896" s="7" t="s">
        <v>1405</v>
      </c>
      <c r="J896" s="7" t="s">
        <v>240</v>
      </c>
      <c r="K896" s="7" t="n">
        <f aca="false">IFERROR(VALUE(RIGHT(TRIM(F896),4)),"")</f>
        <v>2018</v>
      </c>
      <c r="L896" s="7" t="str">
        <f aca="false">IF(TRIM(E896)="","Unknown",IFERROR(LEFT(TRIM(E896),FIND(",",TRIM(E896))-1),TRIM(E896)))</f>
        <v>India</v>
      </c>
      <c r="M896" s="7" t="str">
        <f aca="false">IFERROR(LEFT(J896,FIND(",",J896)-1),J896)</f>
        <v>Dramas</v>
      </c>
      <c r="N896" s="7" t="n">
        <f aca="false">IF(B896="Movie",IFERROR(VALUE(LEFT(I896,FIND(" ",I896)-1)),""),"")</f>
        <v>115</v>
      </c>
      <c r="O896" s="7" t="str">
        <f aca="false">IF(B896="TV Show",IFERROR(VALUE(LEFT(I896,FIND(" ",I896)-1)),""),"")</f>
        <v/>
      </c>
      <c r="P896" s="7" t="n">
        <f aca="false">IF(K896="","",K896-G896)</f>
        <v>5</v>
      </c>
    </row>
    <row r="897" customFormat="false" ht="15" hidden="false" customHeight="false" outlineLevel="0" collapsed="false">
      <c r="A897" s="7" t="n">
        <v>81012427</v>
      </c>
      <c r="B897" s="7" t="s">
        <v>78</v>
      </c>
      <c r="C897" s="7" t="s">
        <v>2205</v>
      </c>
      <c r="E897" s="7" t="s">
        <v>317</v>
      </c>
      <c r="F897" s="7" t="s">
        <v>2113</v>
      </c>
      <c r="G897" s="7" t="n">
        <v>2018</v>
      </c>
      <c r="H897" s="7" t="s">
        <v>50</v>
      </c>
      <c r="I897" s="7" t="s">
        <v>82</v>
      </c>
      <c r="J897" s="7" t="s">
        <v>100</v>
      </c>
      <c r="K897" s="7" t="n">
        <f aca="false">IFERROR(VALUE(RIGHT(TRIM(F897),4)),"")</f>
        <v>2018</v>
      </c>
      <c r="L897" s="7" t="str">
        <f aca="false">IF(TRIM(E897)="","Unknown",IFERROR(LEFT(TRIM(E897),FIND(",",TRIM(E897))-1),TRIM(E897)))</f>
        <v>United Kingdom</v>
      </c>
      <c r="M897" s="7" t="str">
        <f aca="false">IFERROR(LEFT(J897,FIND(",",J897)-1),J897)</f>
        <v>Docuseries</v>
      </c>
      <c r="N897" s="7" t="str">
        <f aca="false">IF(B897="Movie",IFERROR(VALUE(LEFT(I897,FIND(" ",I897)-1)),""),"")</f>
        <v/>
      </c>
      <c r="O897" s="7" t="n">
        <f aca="false">IF(B897="TV Show",IFERROR(VALUE(LEFT(I897,FIND(" ",I897)-1)),""),"")</f>
        <v>1</v>
      </c>
      <c r="P897" s="7" t="n">
        <f aca="false">IF(K897="","",K897-G897)</f>
        <v>0</v>
      </c>
    </row>
    <row r="898" customFormat="false" ht="15" hidden="false" customHeight="false" outlineLevel="0" collapsed="false">
      <c r="A898" s="7" t="n">
        <v>80032477</v>
      </c>
      <c r="B898" s="7" t="s">
        <v>68</v>
      </c>
      <c r="C898" s="7" t="s">
        <v>2206</v>
      </c>
      <c r="D898" s="7" t="s">
        <v>2207</v>
      </c>
      <c r="E898" s="7" t="s">
        <v>27</v>
      </c>
      <c r="F898" s="7" t="s">
        <v>2113</v>
      </c>
      <c r="G898" s="7" t="n">
        <v>2013</v>
      </c>
      <c r="H898" s="7" t="s">
        <v>50</v>
      </c>
      <c r="I898" s="7" t="s">
        <v>505</v>
      </c>
      <c r="J898" s="7" t="s">
        <v>457</v>
      </c>
      <c r="K898" s="7" t="n">
        <f aca="false">IFERROR(VALUE(RIGHT(TRIM(F898),4)),"")</f>
        <v>2018</v>
      </c>
      <c r="L898" s="7" t="str">
        <f aca="false">IF(TRIM(E898)="","Unknown",IFERROR(LEFT(TRIM(E898),FIND(",",TRIM(E898))-1),TRIM(E898)))</f>
        <v>India</v>
      </c>
      <c r="M898" s="7" t="str">
        <f aca="false">IFERROR(LEFT(J898,FIND(",",J898)-1),J898)</f>
        <v>Comedies</v>
      </c>
      <c r="N898" s="7" t="n">
        <f aca="false">IF(B898="Movie",IFERROR(VALUE(LEFT(I898,FIND(" ",I898)-1)),""),"")</f>
        <v>121</v>
      </c>
      <c r="O898" s="7" t="str">
        <f aca="false">IF(B898="TV Show",IFERROR(VALUE(LEFT(I898,FIND(" ",I898)-1)),""),"")</f>
        <v/>
      </c>
      <c r="P898" s="7" t="n">
        <f aca="false">IF(K898="","",K898-G898)</f>
        <v>5</v>
      </c>
    </row>
    <row r="899" customFormat="false" ht="15" hidden="false" customHeight="false" outlineLevel="0" collapsed="false">
      <c r="A899" s="7" t="n">
        <v>81024711</v>
      </c>
      <c r="B899" s="7" t="s">
        <v>68</v>
      </c>
      <c r="C899" s="7" t="s">
        <v>2208</v>
      </c>
      <c r="D899" s="7" t="s">
        <v>2209</v>
      </c>
      <c r="E899" s="7" t="s">
        <v>27</v>
      </c>
      <c r="F899" s="7" t="s">
        <v>2113</v>
      </c>
      <c r="G899" s="7" t="n">
        <v>2016</v>
      </c>
      <c r="H899" s="7" t="s">
        <v>48</v>
      </c>
      <c r="I899" s="7" t="s">
        <v>330</v>
      </c>
      <c r="J899" s="7" t="s">
        <v>112</v>
      </c>
      <c r="K899" s="7" t="n">
        <f aca="false">IFERROR(VALUE(RIGHT(TRIM(F899),4)),"")</f>
        <v>2018</v>
      </c>
      <c r="L899" s="7" t="str">
        <f aca="false">IF(TRIM(E899)="","Unknown",IFERROR(LEFT(TRIM(E899),FIND(",",TRIM(E899))-1),TRIM(E899)))</f>
        <v>India</v>
      </c>
      <c r="M899" s="7" t="str">
        <f aca="false">IFERROR(LEFT(J899,FIND(",",J899)-1),J899)</f>
        <v>Action &amp; Adventure</v>
      </c>
      <c r="N899" s="7" t="n">
        <f aca="false">IF(B899="Movie",IFERROR(VALUE(LEFT(I899,FIND(" ",I899)-1)),""),"")</f>
        <v>103</v>
      </c>
      <c r="O899" s="7" t="str">
        <f aca="false">IF(B899="TV Show",IFERROR(VALUE(LEFT(I899,FIND(" ",I899)-1)),""),"")</f>
        <v/>
      </c>
      <c r="P899" s="7" t="n">
        <f aca="false">IF(K899="","",K899-G899)</f>
        <v>2</v>
      </c>
    </row>
    <row r="900" customFormat="false" ht="15" hidden="false" customHeight="false" outlineLevel="0" collapsed="false">
      <c r="A900" s="7" t="n">
        <v>81025908</v>
      </c>
      <c r="B900" s="7" t="s">
        <v>68</v>
      </c>
      <c r="C900" s="7" t="s">
        <v>2210</v>
      </c>
      <c r="D900" s="7" t="s">
        <v>2211</v>
      </c>
      <c r="E900" s="7" t="s">
        <v>2212</v>
      </c>
      <c r="F900" s="7" t="s">
        <v>2113</v>
      </c>
      <c r="G900" s="7" t="n">
        <v>2016</v>
      </c>
      <c r="H900" s="7" t="s">
        <v>49</v>
      </c>
      <c r="I900" s="7" t="s">
        <v>1191</v>
      </c>
      <c r="J900" s="7" t="s">
        <v>198</v>
      </c>
      <c r="K900" s="7" t="n">
        <f aca="false">IFERROR(VALUE(RIGHT(TRIM(F900),4)),"")</f>
        <v>2018</v>
      </c>
      <c r="L900" s="7" t="str">
        <f aca="false">IF(TRIM(E900)="","Unknown",IFERROR(LEFT(TRIM(E900),FIND(",",TRIM(E900))-1),TRIM(E900)))</f>
        <v>India</v>
      </c>
      <c r="M900" s="7" t="str">
        <f aca="false">IFERROR(LEFT(J900,FIND(",",J900)-1),J900)</f>
        <v>Comedies</v>
      </c>
      <c r="N900" s="7" t="n">
        <f aca="false">IF(B900="Movie",IFERROR(VALUE(LEFT(I900,FIND(" ",I900)-1)),""),"")</f>
        <v>73</v>
      </c>
      <c r="O900" s="7" t="str">
        <f aca="false">IF(B900="TV Show",IFERROR(VALUE(LEFT(I900,FIND(" ",I900)-1)),""),"")</f>
        <v/>
      </c>
      <c r="P900" s="7" t="n">
        <f aca="false">IF(K900="","",K900-G900)</f>
        <v>2</v>
      </c>
    </row>
    <row r="901" customFormat="false" ht="15" hidden="false" customHeight="false" outlineLevel="0" collapsed="false">
      <c r="A901" s="7" t="n">
        <v>70303495</v>
      </c>
      <c r="B901" s="7" t="s">
        <v>68</v>
      </c>
      <c r="C901" s="7" t="s">
        <v>2213</v>
      </c>
      <c r="D901" s="7" t="s">
        <v>2214</v>
      </c>
      <c r="E901" s="7" t="s">
        <v>27</v>
      </c>
      <c r="F901" s="7" t="s">
        <v>2113</v>
      </c>
      <c r="G901" s="7" t="n">
        <v>2015</v>
      </c>
      <c r="H901" s="7" t="s">
        <v>49</v>
      </c>
      <c r="I901" s="7" t="s">
        <v>2053</v>
      </c>
      <c r="J901" s="7" t="s">
        <v>322</v>
      </c>
      <c r="K901" s="7" t="n">
        <f aca="false">IFERROR(VALUE(RIGHT(TRIM(F901),4)),"")</f>
        <v>2018</v>
      </c>
      <c r="L901" s="7" t="str">
        <f aca="false">IF(TRIM(E901)="","Unknown",IFERROR(LEFT(TRIM(E901),FIND(",",TRIM(E901))-1),TRIM(E901)))</f>
        <v>India</v>
      </c>
      <c r="M901" s="7" t="str">
        <f aca="false">IFERROR(LEFT(J901,FIND(",",J901)-1),J901)</f>
        <v>Action &amp; Adventure</v>
      </c>
      <c r="N901" s="7" t="n">
        <f aca="false">IF(B901="Movie",IFERROR(VALUE(LEFT(I901,FIND(" ",I901)-1)),""),"")</f>
        <v>129</v>
      </c>
      <c r="O901" s="7" t="str">
        <f aca="false">IF(B901="TV Show",IFERROR(VALUE(LEFT(I901,FIND(" ",I901)-1)),""),"")</f>
        <v/>
      </c>
      <c r="P901" s="7" t="n">
        <f aca="false">IF(K901="","",K901-G901)</f>
        <v>3</v>
      </c>
    </row>
    <row r="902" customFormat="false" ht="15" hidden="false" customHeight="false" outlineLevel="0" collapsed="false">
      <c r="A902" s="7" t="n">
        <v>70303429</v>
      </c>
      <c r="B902" s="7" t="s">
        <v>68</v>
      </c>
      <c r="C902" s="7" t="s">
        <v>2215</v>
      </c>
      <c r="D902" s="7" t="s">
        <v>2216</v>
      </c>
      <c r="E902" s="7" t="s">
        <v>27</v>
      </c>
      <c r="F902" s="7" t="s">
        <v>2113</v>
      </c>
      <c r="G902" s="7" t="n">
        <v>2014</v>
      </c>
      <c r="H902" s="7" t="s">
        <v>49</v>
      </c>
      <c r="I902" s="7" t="s">
        <v>181</v>
      </c>
      <c r="J902" s="7" t="s">
        <v>1014</v>
      </c>
      <c r="K902" s="7" t="n">
        <f aca="false">IFERROR(VALUE(RIGHT(TRIM(F902),4)),"")</f>
        <v>2018</v>
      </c>
      <c r="L902" s="7" t="str">
        <f aca="false">IF(TRIM(E902)="","Unknown",IFERROR(LEFT(TRIM(E902),FIND(",",TRIM(E902))-1),TRIM(E902)))</f>
        <v>India</v>
      </c>
      <c r="M902" s="7" t="str">
        <f aca="false">IFERROR(LEFT(J902,FIND(",",J902)-1),J902)</f>
        <v>Horror Movies</v>
      </c>
      <c r="N902" s="7" t="n">
        <f aca="false">IF(B902="Movie",IFERROR(VALUE(LEFT(I902,FIND(" ",I902)-1)),""),"")</f>
        <v>102</v>
      </c>
      <c r="O902" s="7" t="str">
        <f aca="false">IF(B902="TV Show",IFERROR(VALUE(LEFT(I902,FIND(" ",I902)-1)),""),"")</f>
        <v/>
      </c>
      <c r="P902" s="7" t="n">
        <f aca="false">IF(K902="","",K902-G902)</f>
        <v>4</v>
      </c>
    </row>
    <row r="903" customFormat="false" ht="15" hidden="false" customHeight="false" outlineLevel="0" collapsed="false">
      <c r="A903" s="7" t="n">
        <v>80084768</v>
      </c>
      <c r="B903" s="7" t="s">
        <v>68</v>
      </c>
      <c r="C903" s="7" t="s">
        <v>2217</v>
      </c>
      <c r="D903" s="7" t="s">
        <v>2218</v>
      </c>
      <c r="E903" s="7" t="s">
        <v>27</v>
      </c>
      <c r="F903" s="7" t="s">
        <v>2113</v>
      </c>
      <c r="G903" s="7" t="n">
        <v>2013</v>
      </c>
      <c r="H903" s="7" t="s">
        <v>50</v>
      </c>
      <c r="I903" s="7" t="s">
        <v>232</v>
      </c>
      <c r="J903" s="7" t="s">
        <v>457</v>
      </c>
      <c r="K903" s="7" t="n">
        <f aca="false">IFERROR(VALUE(RIGHT(TRIM(F903),4)),"")</f>
        <v>2018</v>
      </c>
      <c r="L903" s="7" t="str">
        <f aca="false">IF(TRIM(E903)="","Unknown",IFERROR(LEFT(TRIM(E903),FIND(",",TRIM(E903))-1),TRIM(E903)))</f>
        <v>India</v>
      </c>
      <c r="M903" s="7" t="str">
        <f aca="false">IFERROR(LEFT(J903,FIND(",",J903)-1),J903)</f>
        <v>Comedies</v>
      </c>
      <c r="N903" s="7" t="n">
        <f aca="false">IF(B903="Movie",IFERROR(VALUE(LEFT(I903,FIND(" ",I903)-1)),""),"")</f>
        <v>122</v>
      </c>
      <c r="O903" s="7" t="str">
        <f aca="false">IF(B903="TV Show",IFERROR(VALUE(LEFT(I903,FIND(" ",I903)-1)),""),"")</f>
        <v/>
      </c>
      <c r="P903" s="7" t="n">
        <f aca="false">IF(K903="","",K903-G903)</f>
        <v>5</v>
      </c>
    </row>
    <row r="904" customFormat="false" ht="15" hidden="false" customHeight="false" outlineLevel="0" collapsed="false">
      <c r="A904" s="7" t="n">
        <v>70096752</v>
      </c>
      <c r="B904" s="7" t="s">
        <v>68</v>
      </c>
      <c r="C904" s="7" t="s">
        <v>2219</v>
      </c>
      <c r="D904" s="7" t="s">
        <v>2220</v>
      </c>
      <c r="E904" s="7" t="s">
        <v>27</v>
      </c>
      <c r="F904" s="7" t="s">
        <v>2113</v>
      </c>
      <c r="G904" s="7" t="n">
        <v>2008</v>
      </c>
      <c r="H904" s="7" t="s">
        <v>49</v>
      </c>
      <c r="I904" s="7" t="s">
        <v>1062</v>
      </c>
      <c r="J904" s="7" t="s">
        <v>2221</v>
      </c>
      <c r="K904" s="7" t="n">
        <f aca="false">IFERROR(VALUE(RIGHT(TRIM(F904),4)),"")</f>
        <v>2018</v>
      </c>
      <c r="L904" s="7" t="str">
        <f aca="false">IF(TRIM(E904)="","Unknown",IFERROR(LEFT(TRIM(E904),FIND(",",TRIM(E904))-1),TRIM(E904)))</f>
        <v>India</v>
      </c>
      <c r="M904" s="7" t="str">
        <f aca="false">IFERROR(LEFT(J904,FIND(",",J904)-1),J904)</f>
        <v>Action &amp; Adventure</v>
      </c>
      <c r="N904" s="7" t="n">
        <f aca="false">IF(B904="Movie",IFERROR(VALUE(LEFT(I904,FIND(" ",I904)-1)),""),"")</f>
        <v>155</v>
      </c>
      <c r="O904" s="7" t="str">
        <f aca="false">IF(B904="TV Show",IFERROR(VALUE(LEFT(I904,FIND(" ",I904)-1)),""),"")</f>
        <v/>
      </c>
      <c r="P904" s="7" t="n">
        <f aca="false">IF(K904="","",K904-G904)</f>
        <v>10</v>
      </c>
    </row>
    <row r="905" customFormat="false" ht="15" hidden="false" customHeight="false" outlineLevel="0" collapsed="false">
      <c r="A905" s="7" t="n">
        <v>70229046</v>
      </c>
      <c r="B905" s="7" t="s">
        <v>68</v>
      </c>
      <c r="C905" s="7" t="s">
        <v>2222</v>
      </c>
      <c r="D905" s="7" t="s">
        <v>2223</v>
      </c>
      <c r="E905" s="7" t="s">
        <v>27</v>
      </c>
      <c r="F905" s="7" t="s">
        <v>2113</v>
      </c>
      <c r="G905" s="7" t="n">
        <v>2013</v>
      </c>
      <c r="H905" s="7" t="s">
        <v>49</v>
      </c>
      <c r="I905" s="7" t="s">
        <v>594</v>
      </c>
      <c r="J905" s="7" t="s">
        <v>2221</v>
      </c>
      <c r="K905" s="7" t="n">
        <f aca="false">IFERROR(VALUE(RIGHT(TRIM(F905),4)),"")</f>
        <v>2018</v>
      </c>
      <c r="L905" s="7" t="str">
        <f aca="false">IF(TRIM(E905)="","Unknown",IFERROR(LEFT(TRIM(E905),FIND(",",TRIM(E905))-1),TRIM(E905)))</f>
        <v>India</v>
      </c>
      <c r="M905" s="7" t="str">
        <f aca="false">IFERROR(LEFT(J905,FIND(",",J905)-1),J905)</f>
        <v>Action &amp; Adventure</v>
      </c>
      <c r="N905" s="7" t="n">
        <f aca="false">IF(B905="Movie",IFERROR(VALUE(LEFT(I905,FIND(" ",I905)-1)),""),"")</f>
        <v>139</v>
      </c>
      <c r="O905" s="7" t="str">
        <f aca="false">IF(B905="TV Show",IFERROR(VALUE(LEFT(I905,FIND(" ",I905)-1)),""),"")</f>
        <v/>
      </c>
      <c r="P905" s="7" t="n">
        <f aca="false">IF(K905="","",K905-G905)</f>
        <v>5</v>
      </c>
    </row>
    <row r="906" customFormat="false" ht="15" hidden="false" customHeight="false" outlineLevel="0" collapsed="false">
      <c r="A906" s="7" t="n">
        <v>80084767</v>
      </c>
      <c r="B906" s="7" t="s">
        <v>68</v>
      </c>
      <c r="C906" s="7" t="s">
        <v>2224</v>
      </c>
      <c r="D906" s="7" t="s">
        <v>2225</v>
      </c>
      <c r="E906" s="7" t="s">
        <v>27</v>
      </c>
      <c r="F906" s="7" t="s">
        <v>2113</v>
      </c>
      <c r="G906" s="7" t="n">
        <v>2015</v>
      </c>
      <c r="H906" s="7" t="s">
        <v>49</v>
      </c>
      <c r="I906" s="7" t="s">
        <v>1707</v>
      </c>
      <c r="J906" s="7" t="s">
        <v>217</v>
      </c>
      <c r="K906" s="7" t="n">
        <f aca="false">IFERROR(VALUE(RIGHT(TRIM(F906),4)),"")</f>
        <v>2018</v>
      </c>
      <c r="L906" s="7" t="str">
        <f aca="false">IF(TRIM(E906)="","Unknown",IFERROR(LEFT(TRIM(E906),FIND(",",TRIM(E906))-1),TRIM(E906)))</f>
        <v>India</v>
      </c>
      <c r="M906" s="7" t="str">
        <f aca="false">IFERROR(LEFT(J906,FIND(",",J906)-1),J906)</f>
        <v>Comedies</v>
      </c>
      <c r="N906" s="7" t="n">
        <f aca="false">IF(B906="Movie",IFERROR(VALUE(LEFT(I906,FIND(" ",I906)-1)),""),"")</f>
        <v>131</v>
      </c>
      <c r="O906" s="7" t="str">
        <f aca="false">IF(B906="TV Show",IFERROR(VALUE(LEFT(I906,FIND(" ",I906)-1)),""),"")</f>
        <v/>
      </c>
      <c r="P906" s="7" t="n">
        <f aca="false">IF(K906="","",K906-G906)</f>
        <v>3</v>
      </c>
    </row>
    <row r="907" customFormat="false" ht="15" hidden="false" customHeight="false" outlineLevel="0" collapsed="false">
      <c r="A907" s="7" t="n">
        <v>81024701</v>
      </c>
      <c r="B907" s="7" t="s">
        <v>68</v>
      </c>
      <c r="C907" s="7" t="s">
        <v>2226</v>
      </c>
      <c r="D907" s="7" t="s">
        <v>2227</v>
      </c>
      <c r="E907" s="7" t="s">
        <v>27</v>
      </c>
      <c r="F907" s="7" t="s">
        <v>2113</v>
      </c>
      <c r="G907" s="7" t="n">
        <v>2017</v>
      </c>
      <c r="H907" s="7" t="s">
        <v>49</v>
      </c>
      <c r="I907" s="7" t="s">
        <v>378</v>
      </c>
      <c r="J907" s="7" t="s">
        <v>217</v>
      </c>
      <c r="K907" s="7" t="n">
        <f aca="false">IFERROR(VALUE(RIGHT(TRIM(F907),4)),"")</f>
        <v>2018</v>
      </c>
      <c r="L907" s="7" t="str">
        <f aca="false">IF(TRIM(E907)="","Unknown",IFERROR(LEFT(TRIM(E907),FIND(",",TRIM(E907))-1),TRIM(E907)))</f>
        <v>India</v>
      </c>
      <c r="M907" s="7" t="str">
        <f aca="false">IFERROR(LEFT(J907,FIND(",",J907)-1),J907)</f>
        <v>Comedies</v>
      </c>
      <c r="N907" s="7" t="n">
        <f aca="false">IF(B907="Movie",IFERROR(VALUE(LEFT(I907,FIND(" ",I907)-1)),""),"")</f>
        <v>127</v>
      </c>
      <c r="O907" s="7" t="str">
        <f aca="false">IF(B907="TV Show",IFERROR(VALUE(LEFT(I907,FIND(" ",I907)-1)),""),"")</f>
        <v/>
      </c>
      <c r="P907" s="7" t="n">
        <f aca="false">IF(K907="","",K907-G907)</f>
        <v>1</v>
      </c>
    </row>
    <row r="908" customFormat="false" ht="15" hidden="false" customHeight="false" outlineLevel="0" collapsed="false">
      <c r="A908" s="7" t="n">
        <v>81031355</v>
      </c>
      <c r="B908" s="7" t="s">
        <v>78</v>
      </c>
      <c r="C908" s="7" t="s">
        <v>2228</v>
      </c>
      <c r="E908" s="7" t="s">
        <v>26</v>
      </c>
      <c r="F908" s="7" t="s">
        <v>2113</v>
      </c>
      <c r="G908" s="7" t="n">
        <v>2016</v>
      </c>
      <c r="H908" s="7" t="s">
        <v>50</v>
      </c>
      <c r="I908" s="7" t="s">
        <v>82</v>
      </c>
      <c r="J908" s="7" t="s">
        <v>701</v>
      </c>
      <c r="K908" s="7" t="n">
        <f aca="false">IFERROR(VALUE(RIGHT(TRIM(F908),4)),"")</f>
        <v>2018</v>
      </c>
      <c r="L908" s="7" t="str">
        <f aca="false">IF(TRIM(E908)="","Unknown",IFERROR(LEFT(TRIM(E908),FIND(",",TRIM(E908))-1),TRIM(E908)))</f>
        <v>United States</v>
      </c>
      <c r="M908" s="7" t="str">
        <f aca="false">IFERROR(LEFT(J908,FIND(",",J908)-1),J908)</f>
        <v>Reality TV</v>
      </c>
      <c r="N908" s="7" t="str">
        <f aca="false">IF(B908="Movie",IFERROR(VALUE(LEFT(I908,FIND(" ",I908)-1)),""),"")</f>
        <v/>
      </c>
      <c r="O908" s="7" t="n">
        <f aca="false">IF(B908="TV Show",IFERROR(VALUE(LEFT(I908,FIND(" ",I908)-1)),""),"")</f>
        <v>1</v>
      </c>
      <c r="P908" s="7" t="n">
        <f aca="false">IF(K908="","",K908-G908)</f>
        <v>2</v>
      </c>
    </row>
    <row r="909" customFormat="false" ht="15" hidden="false" customHeight="false" outlineLevel="0" collapsed="false">
      <c r="A909" s="7" t="n">
        <v>70229048</v>
      </c>
      <c r="B909" s="7" t="s">
        <v>68</v>
      </c>
      <c r="C909" s="7" t="s">
        <v>2229</v>
      </c>
      <c r="D909" s="7" t="s">
        <v>2230</v>
      </c>
      <c r="E909" s="7" t="s">
        <v>27</v>
      </c>
      <c r="F909" s="7" t="s">
        <v>2113</v>
      </c>
      <c r="G909" s="7" t="n">
        <v>2012</v>
      </c>
      <c r="H909" s="7" t="s">
        <v>49</v>
      </c>
      <c r="I909" s="7" t="s">
        <v>2231</v>
      </c>
      <c r="J909" s="7" t="s">
        <v>2221</v>
      </c>
      <c r="K909" s="7" t="n">
        <f aca="false">IFERROR(VALUE(RIGHT(TRIM(F909),4)),"")</f>
        <v>2018</v>
      </c>
      <c r="L909" s="7" t="str">
        <f aca="false">IF(TRIM(E909)="","Unknown",IFERROR(LEFT(TRIM(E909),FIND(",",TRIM(E909))-1),TRIM(E909)))</f>
        <v>India</v>
      </c>
      <c r="M909" s="7" t="str">
        <f aca="false">IFERROR(LEFT(J909,FIND(",",J909)-1),J909)</f>
        <v>Action &amp; Adventure</v>
      </c>
      <c r="N909" s="7" t="n">
        <f aca="false">IF(B909="Movie",IFERROR(VALUE(LEFT(I909,FIND(" ",I909)-1)),""),"")</f>
        <v>156</v>
      </c>
      <c r="O909" s="7" t="str">
        <f aca="false">IF(B909="TV Show",IFERROR(VALUE(LEFT(I909,FIND(" ",I909)-1)),""),"")</f>
        <v/>
      </c>
      <c r="P909" s="7" t="n">
        <f aca="false">IF(K909="","",K909-G909)</f>
        <v>6</v>
      </c>
    </row>
    <row r="910" customFormat="false" ht="15" hidden="false" customHeight="false" outlineLevel="0" collapsed="false">
      <c r="A910" s="7" t="n">
        <v>80995576</v>
      </c>
      <c r="B910" s="7" t="s">
        <v>68</v>
      </c>
      <c r="C910" s="7" t="s">
        <v>2232</v>
      </c>
      <c r="D910" s="7" t="s">
        <v>2233</v>
      </c>
      <c r="F910" s="7" t="s">
        <v>2113</v>
      </c>
      <c r="G910" s="7" t="n">
        <v>2018</v>
      </c>
      <c r="H910" s="7" t="s">
        <v>48</v>
      </c>
      <c r="I910" s="7" t="s">
        <v>470</v>
      </c>
      <c r="J910" s="7" t="s">
        <v>341</v>
      </c>
      <c r="K910" s="7" t="n">
        <f aca="false">IFERROR(VALUE(RIGHT(TRIM(F910),4)),"")</f>
        <v>2018</v>
      </c>
      <c r="L910" s="7" t="str">
        <f aca="false">IF(TRIM(E910)="","Unknown",IFERROR(LEFT(TRIM(E910),FIND(",",TRIM(E910))-1),TRIM(E910)))</f>
        <v>Unknown</v>
      </c>
      <c r="M910" s="7" t="str">
        <f aca="false">IFERROR(LEFT(J910,FIND(",",J910)-1),J910)</f>
        <v>Documentaries</v>
      </c>
      <c r="N910" s="7" t="n">
        <f aca="false">IF(B910="Movie",IFERROR(VALUE(LEFT(I910,FIND(" ",I910)-1)),""),"")</f>
        <v>91</v>
      </c>
      <c r="O910" s="7" t="str">
        <f aca="false">IF(B910="TV Show",IFERROR(VALUE(LEFT(I910,FIND(" ",I910)-1)),""),"")</f>
        <v/>
      </c>
      <c r="P910" s="7" t="n">
        <f aca="false">IF(K910="","",K910-G910)</f>
        <v>0</v>
      </c>
    </row>
    <row r="911" customFormat="false" ht="15" hidden="false" customHeight="false" outlineLevel="0" collapsed="false">
      <c r="A911" s="7" t="n">
        <v>70292836</v>
      </c>
      <c r="B911" s="7" t="s">
        <v>68</v>
      </c>
      <c r="C911" s="7" t="s">
        <v>2234</v>
      </c>
      <c r="D911" s="7" t="s">
        <v>2235</v>
      </c>
      <c r="E911" s="7" t="s">
        <v>27</v>
      </c>
      <c r="F911" s="7" t="s">
        <v>2113</v>
      </c>
      <c r="G911" s="7" t="n">
        <v>2013</v>
      </c>
      <c r="H911" s="7" t="s">
        <v>50</v>
      </c>
      <c r="I911" s="7" t="s">
        <v>755</v>
      </c>
      <c r="J911" s="7" t="s">
        <v>457</v>
      </c>
      <c r="K911" s="7" t="n">
        <f aca="false">IFERROR(VALUE(RIGHT(TRIM(F911),4)),"")</f>
        <v>2018</v>
      </c>
      <c r="L911" s="7" t="str">
        <f aca="false">IF(TRIM(E911)="","Unknown",IFERROR(LEFT(TRIM(E911),FIND(",",TRIM(E911))-1),TRIM(E911)))</f>
        <v>India</v>
      </c>
      <c r="M911" s="7" t="str">
        <f aca="false">IFERROR(LEFT(J911,FIND(",",J911)-1),J911)</f>
        <v>Comedies</v>
      </c>
      <c r="N911" s="7" t="n">
        <f aca="false">IF(B911="Movie",IFERROR(VALUE(LEFT(I911,FIND(" ",I911)-1)),""),"")</f>
        <v>132</v>
      </c>
      <c r="O911" s="7" t="str">
        <f aca="false">IF(B911="TV Show",IFERROR(VALUE(LEFT(I911,FIND(" ",I911)-1)),""),"")</f>
        <v/>
      </c>
      <c r="P911" s="7" t="n">
        <f aca="false">IF(K911="","",K911-G911)</f>
        <v>5</v>
      </c>
    </row>
    <row r="912" customFormat="false" ht="15" hidden="false" customHeight="false" outlineLevel="0" collapsed="false">
      <c r="A912" s="7" t="n">
        <v>80240397</v>
      </c>
      <c r="B912" s="7" t="s">
        <v>78</v>
      </c>
      <c r="C912" s="7" t="s">
        <v>2236</v>
      </c>
      <c r="E912" s="7" t="s">
        <v>28</v>
      </c>
      <c r="F912" s="7" t="s">
        <v>2113</v>
      </c>
      <c r="G912" s="7" t="n">
        <v>2018</v>
      </c>
      <c r="H912" s="7" t="s">
        <v>50</v>
      </c>
      <c r="I912" s="7" t="s">
        <v>82</v>
      </c>
      <c r="J912" s="7" t="s">
        <v>716</v>
      </c>
      <c r="K912" s="7" t="n">
        <f aca="false">IFERROR(VALUE(RIGHT(TRIM(F912),4)),"")</f>
        <v>2018</v>
      </c>
      <c r="L912" s="7" t="str">
        <f aca="false">IF(TRIM(E912)="","Unknown",IFERROR(LEFT(TRIM(E912),FIND(",",TRIM(E912))-1),TRIM(E912)))</f>
        <v>United Kingdom</v>
      </c>
      <c r="M912" s="7" t="str">
        <f aca="false">IFERROR(LEFT(J912,FIND(",",J912)-1),J912)</f>
        <v>British TV Shows</v>
      </c>
      <c r="N912" s="7" t="str">
        <f aca="false">IF(B912="Movie",IFERROR(VALUE(LEFT(I912,FIND(" ",I912)-1)),""),"")</f>
        <v/>
      </c>
      <c r="O912" s="7" t="n">
        <f aca="false">IF(B912="TV Show",IFERROR(VALUE(LEFT(I912,FIND(" ",I912)-1)),""),"")</f>
        <v>1</v>
      </c>
      <c r="P912" s="7" t="n">
        <f aca="false">IF(K912="","",K912-G912)</f>
        <v>0</v>
      </c>
    </row>
    <row r="913" customFormat="false" ht="15" hidden="false" customHeight="false" outlineLevel="0" collapsed="false">
      <c r="A913" s="7" t="n">
        <v>80141767</v>
      </c>
      <c r="B913" s="7" t="s">
        <v>68</v>
      </c>
      <c r="C913" s="7" t="s">
        <v>2237</v>
      </c>
      <c r="D913" s="7" t="s">
        <v>2238</v>
      </c>
      <c r="E913" s="7" t="s">
        <v>27</v>
      </c>
      <c r="F913" s="7" t="s">
        <v>2113</v>
      </c>
      <c r="G913" s="7" t="n">
        <v>2016</v>
      </c>
      <c r="H913" s="7" t="s">
        <v>48</v>
      </c>
      <c r="I913" s="7" t="s">
        <v>247</v>
      </c>
      <c r="J913" s="7" t="s">
        <v>112</v>
      </c>
      <c r="K913" s="7" t="n">
        <f aca="false">IFERROR(VALUE(RIGHT(TRIM(F913),4)),"")</f>
        <v>2018</v>
      </c>
      <c r="L913" s="7" t="str">
        <f aca="false">IF(TRIM(E913)="","Unknown",IFERROR(LEFT(TRIM(E913),FIND(",",TRIM(E913))-1),TRIM(E913)))</f>
        <v>India</v>
      </c>
      <c r="M913" s="7" t="str">
        <f aca="false">IFERROR(LEFT(J913,FIND(",",J913)-1),J913)</f>
        <v>Action &amp; Adventure</v>
      </c>
      <c r="N913" s="7" t="n">
        <f aca="false">IF(B913="Movie",IFERROR(VALUE(LEFT(I913,FIND(" ",I913)-1)),""),"")</f>
        <v>130</v>
      </c>
      <c r="O913" s="7" t="str">
        <f aca="false">IF(B913="TV Show",IFERROR(VALUE(LEFT(I913,FIND(" ",I913)-1)),""),"")</f>
        <v/>
      </c>
      <c r="P913" s="7" t="n">
        <f aca="false">IF(K913="","",K913-G913)</f>
        <v>2</v>
      </c>
    </row>
    <row r="914" customFormat="false" ht="15" hidden="false" customHeight="false" outlineLevel="0" collapsed="false">
      <c r="A914" s="7" t="n">
        <v>70139542</v>
      </c>
      <c r="B914" s="7" t="s">
        <v>68</v>
      </c>
      <c r="C914" s="7" t="s">
        <v>2239</v>
      </c>
      <c r="D914" s="7" t="s">
        <v>2240</v>
      </c>
      <c r="E914" s="7" t="s">
        <v>27</v>
      </c>
      <c r="F914" s="7" t="s">
        <v>2113</v>
      </c>
      <c r="G914" s="7" t="n">
        <v>2010</v>
      </c>
      <c r="H914" s="7" t="s">
        <v>48</v>
      </c>
      <c r="I914" s="7" t="s">
        <v>749</v>
      </c>
      <c r="J914" s="7" t="s">
        <v>188</v>
      </c>
      <c r="K914" s="7" t="n">
        <f aca="false">IFERROR(VALUE(RIGHT(TRIM(F914),4)),"")</f>
        <v>2018</v>
      </c>
      <c r="L914" s="7" t="str">
        <f aca="false">IF(TRIM(E914)="","Unknown",IFERROR(LEFT(TRIM(E914),FIND(",",TRIM(E914))-1),TRIM(E914)))</f>
        <v>India</v>
      </c>
      <c r="M914" s="7" t="str">
        <f aca="false">IFERROR(LEFT(J914,FIND(",",J914)-1),J914)</f>
        <v>Dramas</v>
      </c>
      <c r="N914" s="7" t="n">
        <f aca="false">IF(B914="Movie",IFERROR(VALUE(LEFT(I914,FIND(" ",I914)-1)),""),"")</f>
        <v>137</v>
      </c>
      <c r="O914" s="7" t="str">
        <f aca="false">IF(B914="TV Show",IFERROR(VALUE(LEFT(I914,FIND(" ",I914)-1)),""),"")</f>
        <v/>
      </c>
      <c r="P914" s="7" t="n">
        <f aca="false">IF(K914="","",K914-G914)</f>
        <v>8</v>
      </c>
    </row>
    <row r="915" customFormat="false" ht="15" hidden="false" customHeight="false" outlineLevel="0" collapsed="false">
      <c r="A915" s="7" t="n">
        <v>70039175</v>
      </c>
      <c r="B915" s="7" t="s">
        <v>68</v>
      </c>
      <c r="C915" s="7" t="s">
        <v>2241</v>
      </c>
      <c r="D915" s="7" t="s">
        <v>2242</v>
      </c>
      <c r="E915" s="7" t="s">
        <v>1423</v>
      </c>
      <c r="F915" s="7" t="s">
        <v>2113</v>
      </c>
      <c r="G915" s="7" t="n">
        <v>2005</v>
      </c>
      <c r="H915" s="7" t="s">
        <v>51</v>
      </c>
      <c r="I915" s="7" t="s">
        <v>755</v>
      </c>
      <c r="J915" s="7" t="s">
        <v>2243</v>
      </c>
      <c r="K915" s="7" t="n">
        <f aca="false">IFERROR(VALUE(RIGHT(TRIM(F915),4)),"")</f>
        <v>2018</v>
      </c>
      <c r="L915" s="7" t="str">
        <f aca="false">IF(TRIM(E915)="","Unknown",IFERROR(LEFT(TRIM(E915),FIND(",",TRIM(E915))-1),TRIM(E915)))</f>
        <v>United States</v>
      </c>
      <c r="M915" s="7" t="str">
        <f aca="false">IFERROR(LEFT(J915,FIND(",",J915)-1),J915)</f>
        <v>Action &amp; Adventure</v>
      </c>
      <c r="N915" s="7" t="n">
        <f aca="false">IF(B915="Movie",IFERROR(VALUE(LEFT(I915,FIND(" ",I915)-1)),""),"")</f>
        <v>132</v>
      </c>
      <c r="O915" s="7" t="str">
        <f aca="false">IF(B915="TV Show",IFERROR(VALUE(LEFT(I915,FIND(" ",I915)-1)),""),"")</f>
        <v/>
      </c>
      <c r="P915" s="7" t="n">
        <f aca="false">IF(K915="","",K915-G915)</f>
        <v>13</v>
      </c>
    </row>
    <row r="916" customFormat="false" ht="15" hidden="false" customHeight="false" outlineLevel="0" collapsed="false">
      <c r="A916" s="7" t="n">
        <v>70225597</v>
      </c>
      <c r="B916" s="7" t="s">
        <v>68</v>
      </c>
      <c r="C916" s="7" t="s">
        <v>2244</v>
      </c>
      <c r="D916" s="7" t="s">
        <v>2118</v>
      </c>
      <c r="E916" s="7" t="s">
        <v>27</v>
      </c>
      <c r="F916" s="7" t="s">
        <v>2113</v>
      </c>
      <c r="G916" s="7" t="n">
        <v>2012</v>
      </c>
      <c r="H916" s="7" t="s">
        <v>48</v>
      </c>
      <c r="I916" s="7" t="s">
        <v>2231</v>
      </c>
      <c r="J916" s="7" t="s">
        <v>2221</v>
      </c>
      <c r="K916" s="7" t="n">
        <f aca="false">IFERROR(VALUE(RIGHT(TRIM(F916),4)),"")</f>
        <v>2018</v>
      </c>
      <c r="L916" s="7" t="str">
        <f aca="false">IF(TRIM(E916)="","Unknown",IFERROR(LEFT(TRIM(E916),FIND(",",TRIM(E916))-1),TRIM(E916)))</f>
        <v>India</v>
      </c>
      <c r="M916" s="7" t="str">
        <f aca="false">IFERROR(LEFT(J916,FIND(",",J916)-1),J916)</f>
        <v>Action &amp; Adventure</v>
      </c>
      <c r="N916" s="7" t="n">
        <f aca="false">IF(B916="Movie",IFERROR(VALUE(LEFT(I916,FIND(" ",I916)-1)),""),"")</f>
        <v>156</v>
      </c>
      <c r="O916" s="7" t="str">
        <f aca="false">IF(B916="TV Show",IFERROR(VALUE(LEFT(I916,FIND(" ",I916)-1)),""),"")</f>
        <v/>
      </c>
      <c r="P916" s="7" t="n">
        <f aca="false">IF(K916="","",K916-G916)</f>
        <v>6</v>
      </c>
    </row>
    <row r="917" customFormat="false" ht="15" hidden="false" customHeight="false" outlineLevel="0" collapsed="false">
      <c r="A917" s="7" t="n">
        <v>70123119</v>
      </c>
      <c r="B917" s="7" t="s">
        <v>68</v>
      </c>
      <c r="C917" s="7" t="s">
        <v>2245</v>
      </c>
      <c r="D917" s="7" t="s">
        <v>2246</v>
      </c>
      <c r="E917" s="7" t="s">
        <v>27</v>
      </c>
      <c r="F917" s="7" t="s">
        <v>2113</v>
      </c>
      <c r="G917" s="7" t="n">
        <v>2009</v>
      </c>
      <c r="H917" s="7" t="s">
        <v>49</v>
      </c>
      <c r="I917" s="7" t="s">
        <v>755</v>
      </c>
      <c r="J917" s="7" t="s">
        <v>206</v>
      </c>
      <c r="K917" s="7" t="n">
        <f aca="false">IFERROR(VALUE(RIGHT(TRIM(F917),4)),"")</f>
        <v>2018</v>
      </c>
      <c r="L917" s="7" t="str">
        <f aca="false">IF(TRIM(E917)="","Unknown",IFERROR(LEFT(TRIM(E917),FIND(",",TRIM(E917))-1),TRIM(E917)))</f>
        <v>India</v>
      </c>
      <c r="M917" s="7" t="str">
        <f aca="false">IFERROR(LEFT(J917,FIND(",",J917)-1),J917)</f>
        <v>Comedies</v>
      </c>
      <c r="N917" s="7" t="n">
        <f aca="false">IF(B917="Movie",IFERROR(VALUE(LEFT(I917,FIND(" ",I917)-1)),""),"")</f>
        <v>132</v>
      </c>
      <c r="O917" s="7" t="str">
        <f aca="false">IF(B917="TV Show",IFERROR(VALUE(LEFT(I917,FIND(" ",I917)-1)),""),"")</f>
        <v/>
      </c>
      <c r="P917" s="7" t="n">
        <f aca="false">IF(K917="","",K917-G917)</f>
        <v>9</v>
      </c>
    </row>
    <row r="918" customFormat="false" ht="15" hidden="false" customHeight="false" outlineLevel="0" collapsed="false">
      <c r="A918" s="7" t="n">
        <v>70150437</v>
      </c>
      <c r="B918" s="7" t="s">
        <v>68</v>
      </c>
      <c r="C918" s="7" t="s">
        <v>2247</v>
      </c>
      <c r="D918" s="7" t="s">
        <v>2248</v>
      </c>
      <c r="E918" s="7" t="s">
        <v>2249</v>
      </c>
      <c r="F918" s="7" t="s">
        <v>2113</v>
      </c>
      <c r="G918" s="7" t="n">
        <v>2010</v>
      </c>
      <c r="H918" s="7" t="s">
        <v>50</v>
      </c>
      <c r="I918" s="7" t="s">
        <v>519</v>
      </c>
      <c r="J918" s="7" t="s">
        <v>304</v>
      </c>
      <c r="K918" s="7" t="n">
        <f aca="false">IFERROR(VALUE(RIGHT(TRIM(F918),4)),"")</f>
        <v>2018</v>
      </c>
      <c r="L918" s="7" t="str">
        <f aca="false">IF(TRIM(E918)="","Unknown",IFERROR(LEFT(TRIM(E918),FIND(",",TRIM(E918))-1),TRIM(E918)))</f>
        <v>India</v>
      </c>
      <c r="M918" s="7" t="str">
        <f aca="false">IFERROR(LEFT(J918,FIND(",",J918)-1),J918)</f>
        <v>Dramas</v>
      </c>
      <c r="N918" s="7" t="n">
        <f aca="false">IF(B918="Movie",IFERROR(VALUE(LEFT(I918,FIND(" ",I918)-1)),""),"")</f>
        <v>119</v>
      </c>
      <c r="O918" s="7" t="str">
        <f aca="false">IF(B918="TV Show",IFERROR(VALUE(LEFT(I918,FIND(" ",I918)-1)),""),"")</f>
        <v/>
      </c>
      <c r="P918" s="7" t="n">
        <f aca="false">IF(K918="","",K918-G918)</f>
        <v>8</v>
      </c>
    </row>
    <row r="919" customFormat="false" ht="15" hidden="false" customHeight="false" outlineLevel="0" collapsed="false">
      <c r="A919" s="7" t="n">
        <v>80084667</v>
      </c>
      <c r="B919" s="7" t="s">
        <v>68</v>
      </c>
      <c r="C919" s="7" t="s">
        <v>2250</v>
      </c>
      <c r="D919" s="7" t="s">
        <v>2251</v>
      </c>
      <c r="E919" s="7" t="s">
        <v>27</v>
      </c>
      <c r="F919" s="7" t="s">
        <v>2113</v>
      </c>
      <c r="G919" s="7" t="n">
        <v>2015</v>
      </c>
      <c r="H919" s="7" t="s">
        <v>49</v>
      </c>
      <c r="I919" s="7" t="s">
        <v>879</v>
      </c>
      <c r="J919" s="7" t="s">
        <v>206</v>
      </c>
      <c r="K919" s="7" t="n">
        <f aca="false">IFERROR(VALUE(RIGHT(TRIM(F919),4)),"")</f>
        <v>2018</v>
      </c>
      <c r="L919" s="7" t="str">
        <f aca="false">IF(TRIM(E919)="","Unknown",IFERROR(LEFT(TRIM(E919),FIND(",",TRIM(E919))-1),TRIM(E919)))</f>
        <v>India</v>
      </c>
      <c r="M919" s="7" t="str">
        <f aca="false">IFERROR(LEFT(J919,FIND(",",J919)-1),J919)</f>
        <v>Comedies</v>
      </c>
      <c r="N919" s="7" t="n">
        <f aca="false">IF(B919="Movie",IFERROR(VALUE(LEFT(I919,FIND(" ",I919)-1)),""),"")</f>
        <v>140</v>
      </c>
      <c r="O919" s="7" t="str">
        <f aca="false">IF(B919="TV Show",IFERROR(VALUE(LEFT(I919,FIND(" ",I919)-1)),""),"")</f>
        <v/>
      </c>
      <c r="P919" s="7" t="n">
        <f aca="false">IF(K919="","",K919-G919)</f>
        <v>3</v>
      </c>
    </row>
    <row r="920" customFormat="false" ht="15" hidden="false" customHeight="false" outlineLevel="0" collapsed="false">
      <c r="A920" s="7" t="n">
        <v>70099118</v>
      </c>
      <c r="B920" s="7" t="s">
        <v>68</v>
      </c>
      <c r="C920" s="7" t="s">
        <v>2252</v>
      </c>
      <c r="D920" s="7" t="s">
        <v>2253</v>
      </c>
      <c r="E920" s="7" t="s">
        <v>26</v>
      </c>
      <c r="F920" s="7" t="s">
        <v>2113</v>
      </c>
      <c r="G920" s="7" t="n">
        <v>2008</v>
      </c>
      <c r="H920" s="7" t="s">
        <v>51</v>
      </c>
      <c r="I920" s="7" t="s">
        <v>512</v>
      </c>
      <c r="J920" s="7" t="s">
        <v>135</v>
      </c>
      <c r="K920" s="7" t="n">
        <f aca="false">IFERROR(VALUE(RIGHT(TRIM(F920),4)),"")</f>
        <v>2018</v>
      </c>
      <c r="L920" s="7" t="str">
        <f aca="false">IF(TRIM(E920)="","Unknown",IFERROR(LEFT(TRIM(E920),FIND(",",TRIM(E920))-1),TRIM(E920)))</f>
        <v>United States</v>
      </c>
      <c r="M920" s="7" t="str">
        <f aca="false">IFERROR(LEFT(J920,FIND(",",J920)-1),J920)</f>
        <v>Comedies</v>
      </c>
      <c r="N920" s="7" t="n">
        <f aca="false">IF(B920="Movie",IFERROR(VALUE(LEFT(I920,FIND(" ",I920)-1)),""),"")</f>
        <v>101</v>
      </c>
      <c r="O920" s="7" t="str">
        <f aca="false">IF(B920="TV Show",IFERROR(VALUE(LEFT(I920,FIND(" ",I920)-1)),""),"")</f>
        <v/>
      </c>
      <c r="P920" s="7" t="n">
        <f aca="false">IF(K920="","",K920-G920)</f>
        <v>10</v>
      </c>
    </row>
    <row r="921" customFormat="false" ht="15" hidden="false" customHeight="false" outlineLevel="0" collapsed="false">
      <c r="A921" s="7" t="n">
        <v>81024705</v>
      </c>
      <c r="B921" s="7" t="s">
        <v>68</v>
      </c>
      <c r="C921" s="7" t="s">
        <v>2254</v>
      </c>
      <c r="D921" s="7" t="s">
        <v>2255</v>
      </c>
      <c r="E921" s="7" t="s">
        <v>259</v>
      </c>
      <c r="F921" s="7" t="s">
        <v>2113</v>
      </c>
      <c r="G921" s="7" t="n">
        <v>2016</v>
      </c>
      <c r="H921" s="7" t="s">
        <v>49</v>
      </c>
      <c r="I921" s="7" t="s">
        <v>235</v>
      </c>
      <c r="J921" s="7" t="s">
        <v>240</v>
      </c>
      <c r="K921" s="7" t="n">
        <f aca="false">IFERROR(VALUE(RIGHT(TRIM(F921),4)),"")</f>
        <v>2018</v>
      </c>
      <c r="L921" s="7" t="str">
        <f aca="false">IF(TRIM(E921)="","Unknown",IFERROR(LEFT(TRIM(E921),FIND(",",TRIM(E921))-1),TRIM(E921)))</f>
        <v>Pakistan</v>
      </c>
      <c r="M921" s="7" t="str">
        <f aca="false">IFERROR(LEFT(J921,FIND(",",J921)-1),J921)</f>
        <v>Dramas</v>
      </c>
      <c r="N921" s="7" t="n">
        <f aca="false">IF(B921="Movie",IFERROR(VALUE(LEFT(I921,FIND(" ",I921)-1)),""),"")</f>
        <v>126</v>
      </c>
      <c r="O921" s="7" t="str">
        <f aca="false">IF(B921="TV Show",IFERROR(VALUE(LEFT(I921,FIND(" ",I921)-1)),""),"")</f>
        <v/>
      </c>
      <c r="P921" s="7" t="n">
        <f aca="false">IF(K921="","",K921-G921)</f>
        <v>2</v>
      </c>
    </row>
    <row r="922" customFormat="false" ht="15" hidden="false" customHeight="false" outlineLevel="0" collapsed="false">
      <c r="A922" s="7" t="n">
        <v>80198771</v>
      </c>
      <c r="B922" s="7" t="s">
        <v>68</v>
      </c>
      <c r="C922" s="7" t="s">
        <v>2256</v>
      </c>
      <c r="D922" s="7" t="s">
        <v>2257</v>
      </c>
      <c r="E922" s="7" t="s">
        <v>32</v>
      </c>
      <c r="F922" s="7" t="s">
        <v>2258</v>
      </c>
      <c r="G922" s="7" t="n">
        <v>2012</v>
      </c>
      <c r="H922" s="7" t="s">
        <v>48</v>
      </c>
      <c r="I922" s="7" t="s">
        <v>130</v>
      </c>
      <c r="J922" s="7" t="s">
        <v>182</v>
      </c>
      <c r="K922" s="7" t="n">
        <f aca="false">IFERROR(VALUE(RIGHT(TRIM(F922),4)),"")</f>
        <v>2017</v>
      </c>
      <c r="L922" s="7" t="str">
        <f aca="false">IF(TRIM(E922)="","Unknown",IFERROR(LEFT(TRIM(E922),FIND(",",TRIM(E922))-1),TRIM(E922)))</f>
        <v>South Korea</v>
      </c>
      <c r="M922" s="7" t="str">
        <f aca="false">IFERROR(LEFT(J922,FIND(",",J922)-1),J922)</f>
        <v>Dramas</v>
      </c>
      <c r="N922" s="7" t="n">
        <f aca="false">IF(B922="Movie",IFERROR(VALUE(LEFT(I922,FIND(" ",I922)-1)),""),"")</f>
        <v>135</v>
      </c>
      <c r="O922" s="7" t="str">
        <f aca="false">IF(B922="TV Show",IFERROR(VALUE(LEFT(I922,FIND(" ",I922)-1)),""),"")</f>
        <v/>
      </c>
      <c r="P922" s="7" t="n">
        <f aca="false">IF(K922="","",K922-G922)</f>
        <v>5</v>
      </c>
    </row>
    <row r="923" customFormat="false" ht="15" hidden="false" customHeight="false" outlineLevel="0" collapsed="false">
      <c r="A923" s="7" t="n">
        <v>80062096</v>
      </c>
      <c r="B923" s="7" t="s">
        <v>68</v>
      </c>
      <c r="C923" s="7" t="s">
        <v>2259</v>
      </c>
      <c r="D923" s="7" t="s">
        <v>2260</v>
      </c>
      <c r="E923" s="7" t="s">
        <v>2261</v>
      </c>
      <c r="F923" s="7" t="s">
        <v>2258</v>
      </c>
      <c r="G923" s="7" t="n">
        <v>2015</v>
      </c>
      <c r="H923" s="7" t="s">
        <v>54</v>
      </c>
      <c r="I923" s="7" t="s">
        <v>294</v>
      </c>
      <c r="J923" s="7" t="s">
        <v>139</v>
      </c>
      <c r="K923" s="7" t="n">
        <f aca="false">IFERROR(VALUE(RIGHT(TRIM(F923),4)),"")</f>
        <v>2017</v>
      </c>
      <c r="L923" s="7" t="str">
        <f aca="false">IF(TRIM(E923)="","Unknown",IFERROR(LEFT(TRIM(E923),FIND(",",TRIM(E923))-1),TRIM(E923)))</f>
        <v>France</v>
      </c>
      <c r="M923" s="7" t="str">
        <f aca="false">IFERROR(LEFT(J923,FIND(",",J923)-1),J923)</f>
        <v>Action &amp; Adventure</v>
      </c>
      <c r="N923" s="7" t="n">
        <f aca="false">IF(B923="Movie",IFERROR(VALUE(LEFT(I923,FIND(" ",I923)-1)),""),"")</f>
        <v>107</v>
      </c>
      <c r="O923" s="7" t="str">
        <f aca="false">IF(B923="TV Show",IFERROR(VALUE(LEFT(I923,FIND(" ",I923)-1)),""),"")</f>
        <v/>
      </c>
      <c r="P923" s="7" t="n">
        <f aca="false">IF(K923="","",K923-G923)</f>
        <v>2</v>
      </c>
    </row>
    <row r="924" customFormat="false" ht="15" hidden="false" customHeight="false" outlineLevel="0" collapsed="false">
      <c r="A924" s="7" t="n">
        <v>70291096</v>
      </c>
      <c r="B924" s="7" t="s">
        <v>68</v>
      </c>
      <c r="C924" s="7" t="s">
        <v>2262</v>
      </c>
      <c r="D924" s="7" t="s">
        <v>2263</v>
      </c>
      <c r="E924" s="7" t="s">
        <v>26</v>
      </c>
      <c r="F924" s="7" t="s">
        <v>2258</v>
      </c>
      <c r="G924" s="7" t="n">
        <v>2013</v>
      </c>
      <c r="H924" s="7" t="s">
        <v>119</v>
      </c>
      <c r="I924" s="7" t="s">
        <v>1221</v>
      </c>
      <c r="J924" s="7" t="s">
        <v>42</v>
      </c>
      <c r="K924" s="7" t="n">
        <f aca="false">IFERROR(VALUE(RIGHT(TRIM(F924),4)),"")</f>
        <v>2017</v>
      </c>
      <c r="L924" s="7" t="str">
        <f aca="false">IF(TRIM(E924)="","Unknown",IFERROR(LEFT(TRIM(E924),FIND(",",TRIM(E924))-1),TRIM(E924)))</f>
        <v>United States</v>
      </c>
      <c r="M924" s="7" t="str">
        <f aca="false">IFERROR(LEFT(J924,FIND(",",J924)-1),J924)</f>
        <v>Children &amp; Family Movies</v>
      </c>
      <c r="N924" s="7" t="n">
        <f aca="false">IF(B924="Movie",IFERROR(VALUE(LEFT(I924,FIND(" ",I924)-1)),""),"")</f>
        <v>74</v>
      </c>
      <c r="O924" s="7" t="str">
        <f aca="false">IF(B924="TV Show",IFERROR(VALUE(LEFT(I924,FIND(" ",I924)-1)),""),"")</f>
        <v/>
      </c>
      <c r="P924" s="7" t="n">
        <f aca="false">IF(K924="","",K924-G924)</f>
        <v>4</v>
      </c>
    </row>
    <row r="925" customFormat="false" ht="15" hidden="false" customHeight="false" outlineLevel="0" collapsed="false">
      <c r="A925" s="7" t="n">
        <v>70130483</v>
      </c>
      <c r="B925" s="7" t="s">
        <v>68</v>
      </c>
      <c r="C925" s="7" t="s">
        <v>2264</v>
      </c>
      <c r="D925" s="7" t="s">
        <v>2265</v>
      </c>
      <c r="E925" s="7" t="s">
        <v>26</v>
      </c>
      <c r="F925" s="7" t="s">
        <v>2258</v>
      </c>
      <c r="G925" s="7" t="n">
        <v>2010</v>
      </c>
      <c r="H925" s="7" t="s">
        <v>119</v>
      </c>
      <c r="I925" s="7" t="s">
        <v>1221</v>
      </c>
      <c r="J925" s="7" t="s">
        <v>42</v>
      </c>
      <c r="K925" s="7" t="n">
        <f aca="false">IFERROR(VALUE(RIGHT(TRIM(F925),4)),"")</f>
        <v>2017</v>
      </c>
      <c r="L925" s="7" t="str">
        <f aca="false">IF(TRIM(E925)="","Unknown",IFERROR(LEFT(TRIM(E925),FIND(",",TRIM(E925))-1),TRIM(E925)))</f>
        <v>United States</v>
      </c>
      <c r="M925" s="7" t="str">
        <f aca="false">IFERROR(LEFT(J925,FIND(",",J925)-1),J925)</f>
        <v>Children &amp; Family Movies</v>
      </c>
      <c r="N925" s="7" t="n">
        <f aca="false">IF(B925="Movie",IFERROR(VALUE(LEFT(I925,FIND(" ",I925)-1)),""),"")</f>
        <v>74</v>
      </c>
      <c r="O925" s="7" t="str">
        <f aca="false">IF(B925="TV Show",IFERROR(VALUE(LEFT(I925,FIND(" ",I925)-1)),""),"")</f>
        <v/>
      </c>
      <c r="P925" s="7" t="n">
        <f aca="false">IF(K925="","",K925-G925)</f>
        <v>7</v>
      </c>
    </row>
    <row r="926" customFormat="false" ht="15" hidden="false" customHeight="false" outlineLevel="0" collapsed="false">
      <c r="A926" s="7" t="n">
        <v>80031038</v>
      </c>
      <c r="B926" s="7" t="s">
        <v>68</v>
      </c>
      <c r="C926" s="7" t="s">
        <v>2266</v>
      </c>
      <c r="D926" s="7" t="s">
        <v>2267</v>
      </c>
      <c r="E926" s="7" t="s">
        <v>26</v>
      </c>
      <c r="F926" s="7" t="s">
        <v>2258</v>
      </c>
      <c r="G926" s="7" t="n">
        <v>2015</v>
      </c>
      <c r="H926" s="7" t="s">
        <v>119</v>
      </c>
      <c r="I926" s="7" t="s">
        <v>1221</v>
      </c>
      <c r="J926" s="7" t="s">
        <v>42</v>
      </c>
      <c r="K926" s="7" t="n">
        <f aca="false">IFERROR(VALUE(RIGHT(TRIM(F926),4)),"")</f>
        <v>2017</v>
      </c>
      <c r="L926" s="7" t="str">
        <f aca="false">IF(TRIM(E926)="","Unknown",IFERROR(LEFT(TRIM(E926),FIND(",",TRIM(E926))-1),TRIM(E926)))</f>
        <v>United States</v>
      </c>
      <c r="M926" s="7" t="str">
        <f aca="false">IFERROR(LEFT(J926,FIND(",",J926)-1),J926)</f>
        <v>Children &amp; Family Movies</v>
      </c>
      <c r="N926" s="7" t="n">
        <f aca="false">IF(B926="Movie",IFERROR(VALUE(LEFT(I926,FIND(" ",I926)-1)),""),"")</f>
        <v>74</v>
      </c>
      <c r="O926" s="7" t="str">
        <f aca="false">IF(B926="TV Show",IFERROR(VALUE(LEFT(I926,FIND(" ",I926)-1)),""),"")</f>
        <v/>
      </c>
      <c r="P926" s="7" t="n">
        <f aca="false">IF(K926="","",K926-G926)</f>
        <v>2</v>
      </c>
    </row>
    <row r="927" customFormat="false" ht="15" hidden="false" customHeight="false" outlineLevel="0" collapsed="false">
      <c r="A927" s="7" t="n">
        <v>80065930</v>
      </c>
      <c r="B927" s="7" t="s">
        <v>68</v>
      </c>
      <c r="C927" s="7" t="s">
        <v>2268</v>
      </c>
      <c r="D927" s="7" t="s">
        <v>2269</v>
      </c>
      <c r="E927" s="7" t="s">
        <v>26</v>
      </c>
      <c r="F927" s="7" t="s">
        <v>2258</v>
      </c>
      <c r="G927" s="7" t="n">
        <v>2015</v>
      </c>
      <c r="H927" s="7" t="s">
        <v>119</v>
      </c>
      <c r="I927" s="7" t="s">
        <v>524</v>
      </c>
      <c r="J927" s="7" t="s">
        <v>42</v>
      </c>
      <c r="K927" s="7" t="n">
        <f aca="false">IFERROR(VALUE(RIGHT(TRIM(F927),4)),"")</f>
        <v>2017</v>
      </c>
      <c r="L927" s="7" t="str">
        <f aca="false">IF(TRIM(E927)="","Unknown",IFERROR(LEFT(TRIM(E927),FIND(",",TRIM(E927))-1),TRIM(E927)))</f>
        <v>United States</v>
      </c>
      <c r="M927" s="7" t="str">
        <f aca="false">IFERROR(LEFT(J927,FIND(",",J927)-1),J927)</f>
        <v>Children &amp; Family Movies</v>
      </c>
      <c r="N927" s="7" t="n">
        <f aca="false">IF(B927="Movie",IFERROR(VALUE(LEFT(I927,FIND(" ",I927)-1)),""),"")</f>
        <v>83</v>
      </c>
      <c r="O927" s="7" t="str">
        <f aca="false">IF(B927="TV Show",IFERROR(VALUE(LEFT(I927,FIND(" ",I927)-1)),""),"")</f>
        <v/>
      </c>
      <c r="P927" s="7" t="n">
        <f aca="false">IF(K927="","",K927-G927)</f>
        <v>2</v>
      </c>
    </row>
    <row r="928" customFormat="false" ht="15" hidden="false" customHeight="false" outlineLevel="0" collapsed="false">
      <c r="A928" s="7" t="n">
        <v>80112370</v>
      </c>
      <c r="B928" s="7" t="s">
        <v>68</v>
      </c>
      <c r="C928" s="7" t="s">
        <v>2270</v>
      </c>
      <c r="D928" s="7" t="s">
        <v>2271</v>
      </c>
      <c r="E928" s="7" t="s">
        <v>26</v>
      </c>
      <c r="F928" s="7" t="s">
        <v>2258</v>
      </c>
      <c r="G928" s="7" t="n">
        <v>2016</v>
      </c>
      <c r="H928" s="7" t="s">
        <v>119</v>
      </c>
      <c r="I928" s="7" t="s">
        <v>143</v>
      </c>
      <c r="J928" s="7" t="s">
        <v>42</v>
      </c>
      <c r="K928" s="7" t="n">
        <f aca="false">IFERROR(VALUE(RIGHT(TRIM(F928),4)),"")</f>
        <v>2017</v>
      </c>
      <c r="L928" s="7" t="str">
        <f aca="false">IF(TRIM(E928)="","Unknown",IFERROR(LEFT(TRIM(E928),FIND(",",TRIM(E928))-1),TRIM(E928)))</f>
        <v>United States</v>
      </c>
      <c r="M928" s="7" t="str">
        <f aca="false">IFERROR(LEFT(J928,FIND(",",J928)-1),J928)</f>
        <v>Children &amp; Family Movies</v>
      </c>
      <c r="N928" s="7" t="n">
        <f aca="false">IF(B928="Movie",IFERROR(VALUE(LEFT(I928,FIND(" ",I928)-1)),""),"")</f>
        <v>79</v>
      </c>
      <c r="O928" s="7" t="str">
        <f aca="false">IF(B928="TV Show",IFERROR(VALUE(LEFT(I928,FIND(" ",I928)-1)),""),"")</f>
        <v/>
      </c>
      <c r="P928" s="7" t="n">
        <f aca="false">IF(K928="","",K928-G928)</f>
        <v>1</v>
      </c>
    </row>
    <row r="929" customFormat="false" ht="15" hidden="false" customHeight="false" outlineLevel="0" collapsed="false">
      <c r="A929" s="7" t="n">
        <v>70165189</v>
      </c>
      <c r="B929" s="7" t="s">
        <v>68</v>
      </c>
      <c r="C929" s="7" t="s">
        <v>2272</v>
      </c>
      <c r="D929" s="7" t="s">
        <v>346</v>
      </c>
      <c r="E929" s="7" t="s">
        <v>26</v>
      </c>
      <c r="F929" s="7" t="s">
        <v>2258</v>
      </c>
      <c r="G929" s="7" t="n">
        <v>2010</v>
      </c>
      <c r="H929" s="7" t="s">
        <v>55</v>
      </c>
      <c r="I929" s="7" t="s">
        <v>348</v>
      </c>
      <c r="J929" s="7" t="s">
        <v>42</v>
      </c>
      <c r="K929" s="7" t="n">
        <f aca="false">IFERROR(VALUE(RIGHT(TRIM(F929),4)),"")</f>
        <v>2017</v>
      </c>
      <c r="L929" s="7" t="str">
        <f aca="false">IF(TRIM(E929)="","Unknown",IFERROR(LEFT(TRIM(E929),FIND(",",TRIM(E929))-1),TRIM(E929)))</f>
        <v>United States</v>
      </c>
      <c r="M929" s="7" t="str">
        <f aca="false">IFERROR(LEFT(J929,FIND(",",J929)-1),J929)</f>
        <v>Children &amp; Family Movies</v>
      </c>
      <c r="N929" s="7" t="n">
        <f aca="false">IF(B929="Movie",IFERROR(VALUE(LEFT(I929,FIND(" ",I929)-1)),""),"")</f>
        <v>72</v>
      </c>
      <c r="O929" s="7" t="str">
        <f aca="false">IF(B929="TV Show",IFERROR(VALUE(LEFT(I929,FIND(" ",I929)-1)),""),"")</f>
        <v/>
      </c>
      <c r="P929" s="7" t="n">
        <f aca="false">IF(K929="","",K929-G929)</f>
        <v>7</v>
      </c>
    </row>
    <row r="930" customFormat="false" ht="15" hidden="false" customHeight="false" outlineLevel="0" collapsed="false">
      <c r="A930" s="7" t="n">
        <v>70197459</v>
      </c>
      <c r="B930" s="7" t="s">
        <v>68</v>
      </c>
      <c r="C930" s="7" t="s">
        <v>2273</v>
      </c>
      <c r="D930" s="7" t="s">
        <v>2274</v>
      </c>
      <c r="E930" s="7" t="s">
        <v>230</v>
      </c>
      <c r="F930" s="7" t="s">
        <v>2258</v>
      </c>
      <c r="G930" s="7" t="n">
        <v>2011</v>
      </c>
      <c r="H930" s="7" t="s">
        <v>119</v>
      </c>
      <c r="I930" s="7" t="s">
        <v>154</v>
      </c>
      <c r="J930" s="7" t="s">
        <v>42</v>
      </c>
      <c r="K930" s="7" t="n">
        <f aca="false">IFERROR(VALUE(RIGHT(TRIM(F930),4)),"")</f>
        <v>2017</v>
      </c>
      <c r="L930" s="7" t="str">
        <f aca="false">IF(TRIM(E930)="","Unknown",IFERROR(LEFT(TRIM(E930),FIND(",",TRIM(E930))-1),TRIM(E930)))</f>
        <v>United States</v>
      </c>
      <c r="M930" s="7" t="str">
        <f aca="false">IFERROR(LEFT(J930,FIND(",",J930)-1),J930)</f>
        <v>Children &amp; Family Movies</v>
      </c>
      <c r="N930" s="7" t="n">
        <f aca="false">IF(B930="Movie",IFERROR(VALUE(LEFT(I930,FIND(" ",I930)-1)),""),"")</f>
        <v>80</v>
      </c>
      <c r="O930" s="7" t="str">
        <f aca="false">IF(B930="TV Show",IFERROR(VALUE(LEFT(I930,FIND(" ",I930)-1)),""),"")</f>
        <v/>
      </c>
      <c r="P930" s="7" t="n">
        <f aca="false">IF(K930="","",K930-G930)</f>
        <v>6</v>
      </c>
    </row>
    <row r="931" customFormat="false" ht="15" hidden="false" customHeight="false" outlineLevel="0" collapsed="false">
      <c r="A931" s="7" t="n">
        <v>80095193</v>
      </c>
      <c r="B931" s="7" t="s">
        <v>68</v>
      </c>
      <c r="C931" s="7" t="s">
        <v>2275</v>
      </c>
      <c r="D931" s="7" t="s">
        <v>642</v>
      </c>
      <c r="E931" s="7" t="s">
        <v>230</v>
      </c>
      <c r="F931" s="7" t="s">
        <v>2258</v>
      </c>
      <c r="G931" s="7" t="n">
        <v>2016</v>
      </c>
      <c r="H931" s="7" t="s">
        <v>119</v>
      </c>
      <c r="I931" s="7" t="s">
        <v>421</v>
      </c>
      <c r="J931" s="7" t="s">
        <v>42</v>
      </c>
      <c r="K931" s="7" t="n">
        <f aca="false">IFERROR(VALUE(RIGHT(TRIM(F931),4)),"")</f>
        <v>2017</v>
      </c>
      <c r="L931" s="7" t="str">
        <f aca="false">IF(TRIM(E931)="","Unknown",IFERROR(LEFT(TRIM(E931),FIND(",",TRIM(E931))-1),TRIM(E931)))</f>
        <v>United States</v>
      </c>
      <c r="M931" s="7" t="str">
        <f aca="false">IFERROR(LEFT(J931,FIND(",",J931)-1),J931)</f>
        <v>Children &amp; Family Movies</v>
      </c>
      <c r="N931" s="7" t="n">
        <f aca="false">IF(B931="Movie",IFERROR(VALUE(LEFT(I931,FIND(" ",I931)-1)),""),"")</f>
        <v>75</v>
      </c>
      <c r="O931" s="7" t="str">
        <f aca="false">IF(B931="TV Show",IFERROR(VALUE(LEFT(I931,FIND(" ",I931)-1)),""),"")</f>
        <v/>
      </c>
      <c r="P931" s="7" t="n">
        <f aca="false">IF(K931="","",K931-G931)</f>
        <v>1</v>
      </c>
    </row>
    <row r="932" customFormat="false" ht="15" hidden="false" customHeight="false" outlineLevel="0" collapsed="false">
      <c r="A932" s="7" t="n">
        <v>70246439</v>
      </c>
      <c r="B932" s="7" t="s">
        <v>68</v>
      </c>
      <c r="C932" s="7" t="s">
        <v>2276</v>
      </c>
      <c r="D932" s="7" t="s">
        <v>2274</v>
      </c>
      <c r="E932" s="7" t="s">
        <v>26</v>
      </c>
      <c r="F932" s="7" t="s">
        <v>2258</v>
      </c>
      <c r="G932" s="7" t="n">
        <v>2012</v>
      </c>
      <c r="H932" s="7" t="s">
        <v>119</v>
      </c>
      <c r="I932" s="7" t="s">
        <v>421</v>
      </c>
      <c r="J932" s="7" t="s">
        <v>42</v>
      </c>
      <c r="K932" s="7" t="n">
        <f aca="false">IFERROR(VALUE(RIGHT(TRIM(F932),4)),"")</f>
        <v>2017</v>
      </c>
      <c r="L932" s="7" t="str">
        <f aca="false">IF(TRIM(E932)="","Unknown",IFERROR(LEFT(TRIM(E932),FIND(",",TRIM(E932))-1),TRIM(E932)))</f>
        <v>United States</v>
      </c>
      <c r="M932" s="7" t="str">
        <f aca="false">IFERROR(LEFT(J932,FIND(",",J932)-1),J932)</f>
        <v>Children &amp; Family Movies</v>
      </c>
      <c r="N932" s="7" t="n">
        <f aca="false">IF(B932="Movie",IFERROR(VALUE(LEFT(I932,FIND(" ",I932)-1)),""),"")</f>
        <v>75</v>
      </c>
      <c r="O932" s="7" t="str">
        <f aca="false">IF(B932="TV Show",IFERROR(VALUE(LEFT(I932,FIND(" ",I932)-1)),""),"")</f>
        <v/>
      </c>
      <c r="P932" s="7" t="n">
        <f aca="false">IF(K932="","",K932-G932)</f>
        <v>5</v>
      </c>
    </row>
    <row r="933" customFormat="false" ht="15" hidden="false" customHeight="false" outlineLevel="0" collapsed="false">
      <c r="A933" s="7" t="n">
        <v>80158155</v>
      </c>
      <c r="B933" s="7" t="s">
        <v>68</v>
      </c>
      <c r="C933" s="7" t="s">
        <v>2277</v>
      </c>
      <c r="D933" s="7" t="s">
        <v>2278</v>
      </c>
      <c r="E933" s="7" t="s">
        <v>26</v>
      </c>
      <c r="F933" s="7" t="s">
        <v>2258</v>
      </c>
      <c r="G933" s="7" t="n">
        <v>2017</v>
      </c>
      <c r="H933" s="7" t="s">
        <v>119</v>
      </c>
      <c r="I933" s="7" t="s">
        <v>348</v>
      </c>
      <c r="J933" s="7" t="s">
        <v>42</v>
      </c>
      <c r="K933" s="7" t="n">
        <f aca="false">IFERROR(VALUE(RIGHT(TRIM(F933),4)),"")</f>
        <v>2017</v>
      </c>
      <c r="L933" s="7" t="str">
        <f aca="false">IF(TRIM(E933)="","Unknown",IFERROR(LEFT(TRIM(E933),FIND(",",TRIM(E933))-1),TRIM(E933)))</f>
        <v>United States</v>
      </c>
      <c r="M933" s="7" t="str">
        <f aca="false">IFERROR(LEFT(J933,FIND(",",J933)-1),J933)</f>
        <v>Children &amp; Family Movies</v>
      </c>
      <c r="N933" s="7" t="n">
        <f aca="false">IF(B933="Movie",IFERROR(VALUE(LEFT(I933,FIND(" ",I933)-1)),""),"")</f>
        <v>72</v>
      </c>
      <c r="O933" s="7" t="str">
        <f aca="false">IF(B933="TV Show",IFERROR(VALUE(LEFT(I933,FIND(" ",I933)-1)),""),"")</f>
        <v/>
      </c>
      <c r="P933" s="7" t="n">
        <f aca="false">IF(K933="","",K933-G933)</f>
        <v>0</v>
      </c>
    </row>
    <row r="934" customFormat="false" ht="15" hidden="false" customHeight="false" outlineLevel="0" collapsed="false">
      <c r="A934" s="7" t="n">
        <v>80202539</v>
      </c>
      <c r="B934" s="7" t="s">
        <v>78</v>
      </c>
      <c r="C934" s="7" t="s">
        <v>2279</v>
      </c>
      <c r="E934" s="7" t="s">
        <v>30</v>
      </c>
      <c r="F934" s="7" t="s">
        <v>2258</v>
      </c>
      <c r="G934" s="7" t="n">
        <v>2016</v>
      </c>
      <c r="H934" s="7" t="s">
        <v>55</v>
      </c>
      <c r="I934" s="7" t="s">
        <v>82</v>
      </c>
      <c r="J934" s="7" t="s">
        <v>694</v>
      </c>
      <c r="K934" s="7" t="n">
        <f aca="false">IFERROR(VALUE(RIGHT(TRIM(F934),4)),"")</f>
        <v>2017</v>
      </c>
      <c r="L934" s="7" t="str">
        <f aca="false">IF(TRIM(E934)="","Unknown",IFERROR(LEFT(TRIM(E934),FIND(",",TRIM(E934))-1),TRIM(E934)))</f>
        <v>Japan</v>
      </c>
      <c r="M934" s="7" t="str">
        <f aca="false">IFERROR(LEFT(J934,FIND(",",J934)-1),J934)</f>
        <v>Anime Series</v>
      </c>
      <c r="N934" s="7" t="str">
        <f aca="false">IF(B934="Movie",IFERROR(VALUE(LEFT(I934,FIND(" ",I934)-1)),""),"")</f>
        <v/>
      </c>
      <c r="O934" s="7" t="n">
        <f aca="false">IF(B934="TV Show",IFERROR(VALUE(LEFT(I934,FIND(" ",I934)-1)),""),"")</f>
        <v>1</v>
      </c>
      <c r="P934" s="7" t="n">
        <f aca="false">IF(K934="","",K934-G934)</f>
        <v>1</v>
      </c>
    </row>
    <row r="935" customFormat="false" ht="15" hidden="false" customHeight="false" outlineLevel="0" collapsed="false">
      <c r="A935" s="7" t="n">
        <v>80063617</v>
      </c>
      <c r="B935" s="7" t="s">
        <v>68</v>
      </c>
      <c r="C935" s="7" t="s">
        <v>2280</v>
      </c>
      <c r="D935" s="7" t="s">
        <v>2281</v>
      </c>
      <c r="E935" s="7" t="s">
        <v>325</v>
      </c>
      <c r="F935" s="7" t="s">
        <v>2258</v>
      </c>
      <c r="G935" s="7" t="n">
        <v>2013</v>
      </c>
      <c r="H935" s="7" t="s">
        <v>54</v>
      </c>
      <c r="I935" s="7" t="s">
        <v>154</v>
      </c>
      <c r="J935" s="7" t="s">
        <v>42</v>
      </c>
      <c r="K935" s="7" t="n">
        <f aca="false">IFERROR(VALUE(RIGHT(TRIM(F935),4)),"")</f>
        <v>2017</v>
      </c>
      <c r="L935" s="7" t="str">
        <f aca="false">IF(TRIM(E935)="","Unknown",IFERROR(LEFT(TRIM(E935),FIND(",",TRIM(E935))-1),TRIM(E935)))</f>
        <v>Brazil</v>
      </c>
      <c r="M935" s="7" t="str">
        <f aca="false">IFERROR(LEFT(J935,FIND(",",J935)-1),J935)</f>
        <v>Children &amp; Family Movies</v>
      </c>
      <c r="N935" s="7" t="n">
        <f aca="false">IF(B935="Movie",IFERROR(VALUE(LEFT(I935,FIND(" ",I935)-1)),""),"")</f>
        <v>80</v>
      </c>
      <c r="O935" s="7" t="str">
        <f aca="false">IF(B935="TV Show",IFERROR(VALUE(LEFT(I935,FIND(" ",I935)-1)),""),"")</f>
        <v/>
      </c>
      <c r="P935" s="7" t="n">
        <f aca="false">IF(K935="","",K935-G935)</f>
        <v>4</v>
      </c>
    </row>
    <row r="936" customFormat="false" ht="15" hidden="false" customHeight="false" outlineLevel="0" collapsed="false">
      <c r="A936" s="7" t="n">
        <v>80204252</v>
      </c>
      <c r="B936" s="7" t="s">
        <v>78</v>
      </c>
      <c r="C936" s="7" t="s">
        <v>2282</v>
      </c>
      <c r="E936" s="7" t="s">
        <v>28</v>
      </c>
      <c r="F936" s="7" t="s">
        <v>2258</v>
      </c>
      <c r="G936" s="7" t="n">
        <v>2016</v>
      </c>
      <c r="H936" s="7" t="s">
        <v>50</v>
      </c>
      <c r="I936" s="7" t="s">
        <v>82</v>
      </c>
      <c r="J936" s="7" t="s">
        <v>1969</v>
      </c>
      <c r="K936" s="7" t="n">
        <f aca="false">IFERROR(VALUE(RIGHT(TRIM(F936),4)),"")</f>
        <v>2017</v>
      </c>
      <c r="L936" s="7" t="str">
        <f aca="false">IF(TRIM(E936)="","Unknown",IFERROR(LEFT(TRIM(E936),FIND(",",TRIM(E936))-1),TRIM(E936)))</f>
        <v>United Kingdom</v>
      </c>
      <c r="M936" s="7" t="str">
        <f aca="false">IFERROR(LEFT(J936,FIND(",",J936)-1),J936)</f>
        <v>British TV Shows</v>
      </c>
      <c r="N936" s="7" t="str">
        <f aca="false">IF(B936="Movie",IFERROR(VALUE(LEFT(I936,FIND(" ",I936)-1)),""),"")</f>
        <v/>
      </c>
      <c r="O936" s="7" t="n">
        <f aca="false">IF(B936="TV Show",IFERROR(VALUE(LEFT(I936,FIND(" ",I936)-1)),""),"")</f>
        <v>1</v>
      </c>
      <c r="P936" s="7" t="n">
        <f aca="false">IF(K936="","",K936-G936)</f>
        <v>1</v>
      </c>
    </row>
    <row r="937" customFormat="false" ht="15" hidden="false" customHeight="false" outlineLevel="0" collapsed="false">
      <c r="A937" s="7" t="n">
        <v>80191075</v>
      </c>
      <c r="B937" s="7" t="s">
        <v>78</v>
      </c>
      <c r="C937" s="7" t="s">
        <v>2283</v>
      </c>
      <c r="E937" s="7" t="s">
        <v>230</v>
      </c>
      <c r="F937" s="7" t="s">
        <v>2258</v>
      </c>
      <c r="G937" s="7" t="n">
        <v>2017</v>
      </c>
      <c r="H937" s="7" t="s">
        <v>119</v>
      </c>
      <c r="I937" s="7" t="s">
        <v>82</v>
      </c>
      <c r="J937" s="7" t="s">
        <v>191</v>
      </c>
      <c r="K937" s="7" t="n">
        <f aca="false">IFERROR(VALUE(RIGHT(TRIM(F937),4)),"")</f>
        <v>2017</v>
      </c>
      <c r="L937" s="7" t="str">
        <f aca="false">IF(TRIM(E937)="","Unknown",IFERROR(LEFT(TRIM(E937),FIND(",",TRIM(E937))-1),TRIM(E937)))</f>
        <v>United States</v>
      </c>
      <c r="M937" s="7" t="str">
        <f aca="false">IFERROR(LEFT(J937,FIND(",",J937)-1),J937)</f>
        <v>Kids' TV</v>
      </c>
      <c r="N937" s="7" t="str">
        <f aca="false">IF(B937="Movie",IFERROR(VALUE(LEFT(I937,FIND(" ",I937)-1)),""),"")</f>
        <v/>
      </c>
      <c r="O937" s="7" t="n">
        <f aca="false">IF(B937="TV Show",IFERROR(VALUE(LEFT(I937,FIND(" ",I937)-1)),""),"")</f>
        <v>1</v>
      </c>
      <c r="P937" s="7" t="n">
        <f aca="false">IF(K937="","",K937-G937)</f>
        <v>0</v>
      </c>
    </row>
    <row r="938" customFormat="false" ht="15" hidden="false" customHeight="false" outlineLevel="0" collapsed="false">
      <c r="A938" s="7" t="n">
        <v>80204401</v>
      </c>
      <c r="B938" s="7" t="s">
        <v>78</v>
      </c>
      <c r="C938" s="7" t="s">
        <v>2284</v>
      </c>
      <c r="F938" s="7" t="s">
        <v>2258</v>
      </c>
      <c r="G938" s="7" t="n">
        <v>2017</v>
      </c>
      <c r="H938" s="7" t="s">
        <v>50</v>
      </c>
      <c r="I938" s="7" t="s">
        <v>82</v>
      </c>
      <c r="J938" s="7" t="s">
        <v>100</v>
      </c>
      <c r="K938" s="7" t="n">
        <f aca="false">IFERROR(VALUE(RIGHT(TRIM(F938),4)),"")</f>
        <v>2017</v>
      </c>
      <c r="L938" s="7" t="str">
        <f aca="false">IF(TRIM(E938)="","Unknown",IFERROR(LEFT(TRIM(E938),FIND(",",TRIM(E938))-1),TRIM(E938)))</f>
        <v>Unknown</v>
      </c>
      <c r="M938" s="7" t="str">
        <f aca="false">IFERROR(LEFT(J938,FIND(",",J938)-1),J938)</f>
        <v>Docuseries</v>
      </c>
      <c r="N938" s="7" t="str">
        <f aca="false">IF(B938="Movie",IFERROR(VALUE(LEFT(I938,FIND(" ",I938)-1)),""),"")</f>
        <v/>
      </c>
      <c r="O938" s="7" t="n">
        <f aca="false">IF(B938="TV Show",IFERROR(VALUE(LEFT(I938,FIND(" ",I938)-1)),""),"")</f>
        <v>1</v>
      </c>
      <c r="P938" s="7" t="n">
        <f aca="false">IF(K938="","",K938-G938)</f>
        <v>0</v>
      </c>
    </row>
    <row r="939" customFormat="false" ht="15" hidden="false" customHeight="false" outlineLevel="0" collapsed="false">
      <c r="A939" s="7" t="n">
        <v>80202503</v>
      </c>
      <c r="B939" s="7" t="s">
        <v>68</v>
      </c>
      <c r="C939" s="7" t="s">
        <v>2285</v>
      </c>
      <c r="D939" s="7" t="s">
        <v>2286</v>
      </c>
      <c r="E939" s="7" t="s">
        <v>33</v>
      </c>
      <c r="F939" s="7" t="s">
        <v>2258</v>
      </c>
      <c r="G939" s="7" t="n">
        <v>2017</v>
      </c>
      <c r="H939" s="7" t="s">
        <v>48</v>
      </c>
      <c r="I939" s="7" t="s">
        <v>272</v>
      </c>
      <c r="J939" s="7" t="s">
        <v>202</v>
      </c>
      <c r="K939" s="7" t="n">
        <f aca="false">IFERROR(VALUE(RIGHT(TRIM(F939),4)),"")</f>
        <v>2017</v>
      </c>
      <c r="L939" s="7" t="str">
        <f aca="false">IF(TRIM(E939)="","Unknown",IFERROR(LEFT(TRIM(E939),FIND(",",TRIM(E939))-1),TRIM(E939)))</f>
        <v>Spain</v>
      </c>
      <c r="M939" s="7" t="str">
        <f aca="false">IFERROR(LEFT(J939,FIND(",",J939)-1),J939)</f>
        <v>Comedies</v>
      </c>
      <c r="N939" s="7" t="n">
        <f aca="false">IF(B939="Movie",IFERROR(VALUE(LEFT(I939,FIND(" ",I939)-1)),""),"")</f>
        <v>93</v>
      </c>
      <c r="O939" s="7" t="str">
        <f aca="false">IF(B939="TV Show",IFERROR(VALUE(LEFT(I939,FIND(" ",I939)-1)),""),"")</f>
        <v/>
      </c>
      <c r="P939" s="7" t="n">
        <f aca="false">IF(K939="","",K939-G939)</f>
        <v>0</v>
      </c>
    </row>
    <row r="940" customFormat="false" ht="15" hidden="false" customHeight="false" outlineLevel="0" collapsed="false">
      <c r="A940" s="7" t="n">
        <v>80147971</v>
      </c>
      <c r="B940" s="7" t="s">
        <v>68</v>
      </c>
      <c r="C940" s="7" t="s">
        <v>2287</v>
      </c>
      <c r="D940" s="7" t="s">
        <v>2288</v>
      </c>
      <c r="E940" s="7" t="s">
        <v>2289</v>
      </c>
      <c r="F940" s="7" t="s">
        <v>2258</v>
      </c>
      <c r="G940" s="7" t="n">
        <v>2016</v>
      </c>
      <c r="H940" s="7" t="s">
        <v>48</v>
      </c>
      <c r="I940" s="7" t="s">
        <v>143</v>
      </c>
      <c r="J940" s="7" t="s">
        <v>341</v>
      </c>
      <c r="K940" s="7" t="n">
        <f aca="false">IFERROR(VALUE(RIGHT(TRIM(F940),4)),"")</f>
        <v>2017</v>
      </c>
      <c r="L940" s="7" t="str">
        <f aca="false">IF(TRIM(E940)="","Unknown",IFERROR(LEFT(TRIM(E940),FIND(",",TRIM(E940))-1),TRIM(E940)))</f>
        <v>United States</v>
      </c>
      <c r="M940" s="7" t="str">
        <f aca="false">IFERROR(LEFT(J940,FIND(",",J940)-1),J940)</f>
        <v>Documentaries</v>
      </c>
      <c r="N940" s="7" t="n">
        <f aca="false">IF(B940="Movie",IFERROR(VALUE(LEFT(I940,FIND(" ",I940)-1)),""),"")</f>
        <v>79</v>
      </c>
      <c r="O940" s="7" t="str">
        <f aca="false">IF(B940="TV Show",IFERROR(VALUE(LEFT(I940,FIND(" ",I940)-1)),""),"")</f>
        <v/>
      </c>
      <c r="P940" s="7" t="n">
        <f aca="false">IF(K940="","",K940-G940)</f>
        <v>1</v>
      </c>
    </row>
    <row r="941" customFormat="false" ht="15" hidden="false" customHeight="false" outlineLevel="0" collapsed="false">
      <c r="A941" s="7" t="n">
        <v>70257412</v>
      </c>
      <c r="B941" s="7" t="s">
        <v>68</v>
      </c>
      <c r="C941" s="7" t="s">
        <v>2290</v>
      </c>
      <c r="D941" s="7" t="s">
        <v>1491</v>
      </c>
      <c r="E941" s="7" t="s">
        <v>2291</v>
      </c>
      <c r="F941" s="7" t="s">
        <v>2258</v>
      </c>
      <c r="G941" s="7" t="n">
        <v>2012</v>
      </c>
      <c r="H941" s="7" t="s">
        <v>51</v>
      </c>
      <c r="I941" s="7" t="s">
        <v>212</v>
      </c>
      <c r="J941" s="7" t="s">
        <v>198</v>
      </c>
      <c r="K941" s="7" t="n">
        <f aca="false">IFERROR(VALUE(RIGHT(TRIM(F941),4)),"")</f>
        <v>2017</v>
      </c>
      <c r="L941" s="7" t="str">
        <f aca="false">IF(TRIM(E941)="","Unknown",IFERROR(LEFT(TRIM(E941),FIND(",",TRIM(E941))-1),TRIM(E941)))</f>
        <v>United States</v>
      </c>
      <c r="M941" s="7" t="str">
        <f aca="false">IFERROR(LEFT(J941,FIND(",",J941)-1),J941)</f>
        <v>Comedies</v>
      </c>
      <c r="N941" s="7" t="n">
        <f aca="false">IF(B941="Movie",IFERROR(VALUE(LEFT(I941,FIND(" ",I941)-1)),""),"")</f>
        <v>86</v>
      </c>
      <c r="O941" s="7" t="str">
        <f aca="false">IF(B941="TV Show",IFERROR(VALUE(LEFT(I941,FIND(" ",I941)-1)),""),"")</f>
        <v/>
      </c>
      <c r="P941" s="7" t="n">
        <f aca="false">IF(K941="","",K941-G941)</f>
        <v>5</v>
      </c>
    </row>
    <row r="942" customFormat="false" ht="15" hidden="false" customHeight="false" outlineLevel="0" collapsed="false">
      <c r="A942" s="7" t="n">
        <v>80172937</v>
      </c>
      <c r="B942" s="7" t="s">
        <v>68</v>
      </c>
      <c r="C942" s="7" t="s">
        <v>2292</v>
      </c>
      <c r="D942" s="7" t="s">
        <v>1442</v>
      </c>
      <c r="E942" s="7" t="s">
        <v>26</v>
      </c>
      <c r="F942" s="7" t="s">
        <v>2258</v>
      </c>
      <c r="G942" s="7" t="n">
        <v>2017</v>
      </c>
      <c r="H942" s="7" t="s">
        <v>52</v>
      </c>
      <c r="I942" s="7" t="s">
        <v>294</v>
      </c>
      <c r="J942" s="7" t="s">
        <v>1085</v>
      </c>
      <c r="K942" s="7" t="n">
        <f aca="false">IFERROR(VALUE(RIGHT(TRIM(F942),4)),"")</f>
        <v>2017</v>
      </c>
      <c r="L942" s="7" t="str">
        <f aca="false">IF(TRIM(E942)="","Unknown",IFERROR(LEFT(TRIM(E942),FIND(",",TRIM(E942))-1),TRIM(E942)))</f>
        <v>United States</v>
      </c>
      <c r="M942" s="7" t="str">
        <f aca="false">IFERROR(LEFT(J942,FIND(",",J942)-1),J942)</f>
        <v>Documentaries</v>
      </c>
      <c r="N942" s="7" t="n">
        <f aca="false">IF(B942="Movie",IFERROR(VALUE(LEFT(I942,FIND(" ",I942)-1)),""),"")</f>
        <v>107</v>
      </c>
      <c r="O942" s="7" t="str">
        <f aca="false">IF(B942="TV Show",IFERROR(VALUE(LEFT(I942,FIND(" ",I942)-1)),""),"")</f>
        <v/>
      </c>
      <c r="P942" s="7" t="n">
        <f aca="false">IF(K942="","",K942-G942)</f>
        <v>0</v>
      </c>
    </row>
    <row r="943" customFormat="false" ht="15" hidden="false" customHeight="false" outlineLevel="0" collapsed="false">
      <c r="A943" s="7" t="n">
        <v>80118280</v>
      </c>
      <c r="B943" s="7" t="s">
        <v>68</v>
      </c>
      <c r="C943" s="7" t="s">
        <v>2293</v>
      </c>
      <c r="D943" s="7" t="s">
        <v>2269</v>
      </c>
      <c r="E943" s="7" t="s">
        <v>29</v>
      </c>
      <c r="F943" s="7" t="s">
        <v>2258</v>
      </c>
      <c r="G943" s="7" t="n">
        <v>2016</v>
      </c>
      <c r="H943" s="7" t="s">
        <v>81</v>
      </c>
      <c r="I943" s="7" t="s">
        <v>935</v>
      </c>
      <c r="J943" s="7" t="s">
        <v>74</v>
      </c>
      <c r="K943" s="7" t="n">
        <f aca="false">IFERROR(VALUE(RIGHT(TRIM(F943),4)),"")</f>
        <v>2017</v>
      </c>
      <c r="L943" s="7" t="str">
        <f aca="false">IF(TRIM(E943)="","Unknown",IFERROR(LEFT(TRIM(E943),FIND(",",TRIM(E943))-1),TRIM(E943)))</f>
        <v>Canada</v>
      </c>
      <c r="M943" s="7" t="str">
        <f aca="false">IFERROR(LEFT(J943,FIND(",",J943)-1),J943)</f>
        <v>Children &amp; Family Movies</v>
      </c>
      <c r="N943" s="7" t="n">
        <f aca="false">IF(B943="Movie",IFERROR(VALUE(LEFT(I943,FIND(" ",I943)-1)),""),"")</f>
        <v>47</v>
      </c>
      <c r="O943" s="7" t="str">
        <f aca="false">IF(B943="TV Show",IFERROR(VALUE(LEFT(I943,FIND(" ",I943)-1)),""),"")</f>
        <v/>
      </c>
      <c r="P943" s="7" t="n">
        <f aca="false">IF(K943="","",K943-G943)</f>
        <v>1</v>
      </c>
    </row>
    <row r="944" customFormat="false" ht="15" hidden="false" customHeight="false" outlineLevel="0" collapsed="false">
      <c r="A944" s="7" t="n">
        <v>80204402</v>
      </c>
      <c r="B944" s="7" t="s">
        <v>78</v>
      </c>
      <c r="C944" s="7" t="s">
        <v>2294</v>
      </c>
      <c r="E944" s="7" t="s">
        <v>28</v>
      </c>
      <c r="F944" s="7" t="s">
        <v>2258</v>
      </c>
      <c r="G944" s="7" t="n">
        <v>2017</v>
      </c>
      <c r="H944" s="7" t="s">
        <v>50</v>
      </c>
      <c r="I944" s="7" t="s">
        <v>82</v>
      </c>
      <c r="J944" s="7" t="s">
        <v>100</v>
      </c>
      <c r="K944" s="7" t="n">
        <f aca="false">IFERROR(VALUE(RIGHT(TRIM(F944),4)),"")</f>
        <v>2017</v>
      </c>
      <c r="L944" s="7" t="str">
        <f aca="false">IF(TRIM(E944)="","Unknown",IFERROR(LEFT(TRIM(E944),FIND(",",TRIM(E944))-1),TRIM(E944)))</f>
        <v>United Kingdom</v>
      </c>
      <c r="M944" s="7" t="str">
        <f aca="false">IFERROR(LEFT(J944,FIND(",",J944)-1),J944)</f>
        <v>Docuseries</v>
      </c>
      <c r="N944" s="7" t="str">
        <f aca="false">IF(B944="Movie",IFERROR(VALUE(LEFT(I944,FIND(" ",I944)-1)),""),"")</f>
        <v/>
      </c>
      <c r="O944" s="7" t="n">
        <f aca="false">IF(B944="TV Show",IFERROR(VALUE(LEFT(I944,FIND(" ",I944)-1)),""),"")</f>
        <v>1</v>
      </c>
      <c r="P944" s="7" t="n">
        <f aca="false">IF(K944="","",K944-G944)</f>
        <v>0</v>
      </c>
    </row>
    <row r="945" customFormat="false" ht="15" hidden="false" customHeight="false" outlineLevel="0" collapsed="false">
      <c r="A945" s="7" t="n">
        <v>80135360</v>
      </c>
      <c r="B945" s="7" t="s">
        <v>68</v>
      </c>
      <c r="C945" s="7" t="s">
        <v>2295</v>
      </c>
      <c r="D945" s="7" t="s">
        <v>2296</v>
      </c>
      <c r="E945" s="7" t="s">
        <v>28</v>
      </c>
      <c r="F945" s="7" t="s">
        <v>2258</v>
      </c>
      <c r="G945" s="7" t="n">
        <v>2016</v>
      </c>
      <c r="H945" s="7" t="s">
        <v>54</v>
      </c>
      <c r="I945" s="7" t="s">
        <v>294</v>
      </c>
      <c r="J945" s="7" t="s">
        <v>1085</v>
      </c>
      <c r="K945" s="7" t="n">
        <f aca="false">IFERROR(VALUE(RIGHT(TRIM(F945),4)),"")</f>
        <v>2017</v>
      </c>
      <c r="L945" s="7" t="str">
        <f aca="false">IF(TRIM(E945)="","Unknown",IFERROR(LEFT(TRIM(E945),FIND(",",TRIM(E945))-1),TRIM(E945)))</f>
        <v>United Kingdom</v>
      </c>
      <c r="M945" s="7" t="str">
        <f aca="false">IFERROR(LEFT(J945,FIND(",",J945)-1),J945)</f>
        <v>Documentaries</v>
      </c>
      <c r="N945" s="7" t="n">
        <f aca="false">IF(B945="Movie",IFERROR(VALUE(LEFT(I945,FIND(" ",I945)-1)),""),"")</f>
        <v>107</v>
      </c>
      <c r="O945" s="7" t="str">
        <f aca="false">IF(B945="TV Show",IFERROR(VALUE(LEFT(I945,FIND(" ",I945)-1)),""),"")</f>
        <v/>
      </c>
      <c r="P945" s="7" t="n">
        <f aca="false">IF(K945="","",K945-G945)</f>
        <v>1</v>
      </c>
    </row>
    <row r="946" customFormat="false" ht="15" hidden="false" customHeight="false" outlineLevel="0" collapsed="false">
      <c r="A946" s="7" t="n">
        <v>70286355</v>
      </c>
      <c r="B946" s="7" t="s">
        <v>68</v>
      </c>
      <c r="C946" s="7" t="s">
        <v>2297</v>
      </c>
      <c r="D946" s="7" t="s">
        <v>2298</v>
      </c>
      <c r="E946" s="7" t="s">
        <v>26</v>
      </c>
      <c r="F946" s="7" t="s">
        <v>2258</v>
      </c>
      <c r="G946" s="7" t="n">
        <v>2013</v>
      </c>
      <c r="H946" s="7" t="s">
        <v>54</v>
      </c>
      <c r="I946" s="7" t="s">
        <v>519</v>
      </c>
      <c r="J946" s="7" t="s">
        <v>2299</v>
      </c>
      <c r="K946" s="7" t="n">
        <f aca="false">IFERROR(VALUE(RIGHT(TRIM(F946),4)),"")</f>
        <v>2017</v>
      </c>
      <c r="L946" s="7" t="str">
        <f aca="false">IF(TRIM(E946)="","Unknown",IFERROR(LEFT(TRIM(E946),FIND(",",TRIM(E946))-1),TRIM(E946)))</f>
        <v>United States</v>
      </c>
      <c r="M946" s="7" t="str">
        <f aca="false">IFERROR(LEFT(J946,FIND(",",J946)-1),J946)</f>
        <v>Dramas</v>
      </c>
      <c r="N946" s="7" t="n">
        <f aca="false">IF(B946="Movie",IFERROR(VALUE(LEFT(I946,FIND(" ",I946)-1)),""),"")</f>
        <v>119</v>
      </c>
      <c r="O946" s="7" t="str">
        <f aca="false">IF(B946="TV Show",IFERROR(VALUE(LEFT(I946,FIND(" ",I946)-1)),""),"")</f>
        <v/>
      </c>
      <c r="P946" s="7" t="n">
        <f aca="false">IF(K946="","",K946-G946)</f>
        <v>4</v>
      </c>
    </row>
    <row r="947" customFormat="false" ht="15" hidden="false" customHeight="false" outlineLevel="0" collapsed="false">
      <c r="A947" s="7" t="n">
        <v>80150246</v>
      </c>
      <c r="B947" s="7" t="s">
        <v>68</v>
      </c>
      <c r="C947" s="7" t="s">
        <v>2300</v>
      </c>
      <c r="D947" s="7" t="s">
        <v>2301</v>
      </c>
      <c r="E947" s="7" t="s">
        <v>2302</v>
      </c>
      <c r="F947" s="7" t="s">
        <v>2258</v>
      </c>
      <c r="G947" s="7" t="n">
        <v>2016</v>
      </c>
      <c r="H947" s="7" t="s">
        <v>48</v>
      </c>
      <c r="I947" s="7" t="s">
        <v>268</v>
      </c>
      <c r="J947" s="7" t="s">
        <v>974</v>
      </c>
      <c r="K947" s="7" t="n">
        <f aca="false">IFERROR(VALUE(RIGHT(TRIM(F947),4)),"")</f>
        <v>2017</v>
      </c>
      <c r="L947" s="7" t="str">
        <f aca="false">IF(TRIM(E947)="","Unknown",IFERROR(LEFT(TRIM(E947),FIND(",",TRIM(E947))-1),TRIM(E947)))</f>
        <v>Canada</v>
      </c>
      <c r="M947" s="7" t="str">
        <f aca="false">IFERROR(LEFT(J947,FIND(",",J947)-1),J947)</f>
        <v>Documentaries</v>
      </c>
      <c r="N947" s="7" t="n">
        <f aca="false">IF(B947="Movie",IFERROR(VALUE(LEFT(I947,FIND(" ",I947)-1)),""),"")</f>
        <v>108</v>
      </c>
      <c r="O947" s="7" t="str">
        <f aca="false">IF(B947="TV Show",IFERROR(VALUE(LEFT(I947,FIND(" ",I947)-1)),""),"")</f>
        <v/>
      </c>
      <c r="P947" s="7" t="n">
        <f aca="false">IF(K947="","",K947-G947)</f>
        <v>1</v>
      </c>
    </row>
    <row r="948" customFormat="false" ht="15" hidden="false" customHeight="false" outlineLevel="0" collapsed="false">
      <c r="A948" s="7" t="n">
        <v>80156995</v>
      </c>
      <c r="B948" s="7" t="s">
        <v>78</v>
      </c>
      <c r="C948" s="7" t="s">
        <v>2303</v>
      </c>
      <c r="F948" s="7" t="s">
        <v>2258</v>
      </c>
      <c r="G948" s="7" t="n">
        <v>2012</v>
      </c>
      <c r="H948" s="7" t="s">
        <v>49</v>
      </c>
      <c r="I948" s="7" t="s">
        <v>82</v>
      </c>
      <c r="J948" s="7" t="s">
        <v>344</v>
      </c>
      <c r="K948" s="7" t="n">
        <f aca="false">IFERROR(VALUE(RIGHT(TRIM(F948),4)),"")</f>
        <v>2017</v>
      </c>
      <c r="L948" s="7" t="str">
        <f aca="false">IF(TRIM(E948)="","Unknown",IFERROR(LEFT(TRIM(E948),FIND(",",TRIM(E948))-1),TRIM(E948)))</f>
        <v>Unknown</v>
      </c>
      <c r="M948" s="7" t="str">
        <f aca="false">IFERROR(LEFT(J948,FIND(",",J948)-1),J948)</f>
        <v>International TV Shows</v>
      </c>
      <c r="N948" s="7" t="str">
        <f aca="false">IF(B948="Movie",IFERROR(VALUE(LEFT(I948,FIND(" ",I948)-1)),""),"")</f>
        <v/>
      </c>
      <c r="O948" s="7" t="n">
        <f aca="false">IF(B948="TV Show",IFERROR(VALUE(LEFT(I948,FIND(" ",I948)-1)),""),"")</f>
        <v>1</v>
      </c>
      <c r="P948" s="7" t="n">
        <f aca="false">IF(K948="","",K948-G948)</f>
        <v>5</v>
      </c>
    </row>
    <row r="949" customFormat="false" ht="15" hidden="false" customHeight="false" outlineLevel="0" collapsed="false">
      <c r="A949" s="7" t="n">
        <v>80017272</v>
      </c>
      <c r="B949" s="7" t="s">
        <v>68</v>
      </c>
      <c r="C949" s="7" t="s">
        <v>2304</v>
      </c>
      <c r="D949" s="7" t="s">
        <v>2305</v>
      </c>
      <c r="E949" s="7" t="s">
        <v>2306</v>
      </c>
      <c r="F949" s="7" t="s">
        <v>2258</v>
      </c>
      <c r="G949" s="7" t="n">
        <v>2014</v>
      </c>
      <c r="H949" s="7" t="s">
        <v>54</v>
      </c>
      <c r="I949" s="7" t="s">
        <v>340</v>
      </c>
      <c r="J949" s="7" t="s">
        <v>295</v>
      </c>
      <c r="K949" s="7" t="n">
        <f aca="false">IFERROR(VALUE(RIGHT(TRIM(F949),4)),"")</f>
        <v>2017</v>
      </c>
      <c r="L949" s="7" t="str">
        <f aca="false">IF(TRIM(E949)="","Unknown",IFERROR(LEFT(TRIM(E949),FIND(",",TRIM(E949))-1),TRIM(E949)))</f>
        <v>United States</v>
      </c>
      <c r="M949" s="7" t="str">
        <f aca="false">IFERROR(LEFT(J949,FIND(",",J949)-1),J949)</f>
        <v>Children &amp; Family Movies</v>
      </c>
      <c r="N949" s="7" t="n">
        <f aca="false">IF(B949="Movie",IFERROR(VALUE(LEFT(I949,FIND(" ",I949)-1)),""),"")</f>
        <v>85</v>
      </c>
      <c r="O949" s="7" t="str">
        <f aca="false">IF(B949="TV Show",IFERROR(VALUE(LEFT(I949,FIND(" ",I949)-1)),""),"")</f>
        <v/>
      </c>
      <c r="P949" s="7" t="n">
        <f aca="false">IF(K949="","",K949-G949)</f>
        <v>3</v>
      </c>
    </row>
    <row r="950" customFormat="false" ht="15" hidden="false" customHeight="false" outlineLevel="0" collapsed="false">
      <c r="A950" s="7" t="n">
        <v>80075828</v>
      </c>
      <c r="B950" s="7" t="s">
        <v>68</v>
      </c>
      <c r="C950" s="7" t="s">
        <v>2307</v>
      </c>
      <c r="D950" s="7" t="s">
        <v>2308</v>
      </c>
      <c r="E950" s="7" t="s">
        <v>30</v>
      </c>
      <c r="F950" s="7" t="s">
        <v>2258</v>
      </c>
      <c r="G950" s="7" t="n">
        <v>2015</v>
      </c>
      <c r="H950" s="7" t="s">
        <v>52</v>
      </c>
      <c r="I950" s="7" t="s">
        <v>73</v>
      </c>
      <c r="J950" s="7" t="s">
        <v>2309</v>
      </c>
      <c r="K950" s="7" t="n">
        <f aca="false">IFERROR(VALUE(RIGHT(TRIM(F950),4)),"")</f>
        <v>2017</v>
      </c>
      <c r="L950" s="7" t="str">
        <f aca="false">IF(TRIM(E950)="","Unknown",IFERROR(LEFT(TRIM(E950),FIND(",",TRIM(E950))-1),TRIM(E950)))</f>
        <v>Japan</v>
      </c>
      <c r="M950" s="7" t="str">
        <f aca="false">IFERROR(LEFT(J950,FIND(",",J950)-1),J950)</f>
        <v>Anime Features</v>
      </c>
      <c r="N950" s="7" t="n">
        <f aca="false">IF(B950="Movie",IFERROR(VALUE(LEFT(I950,FIND(" ",I950)-1)),""),"")</f>
        <v>90</v>
      </c>
      <c r="O950" s="7" t="str">
        <f aca="false">IF(B950="TV Show",IFERROR(VALUE(LEFT(I950,FIND(" ",I950)-1)),""),"")</f>
        <v/>
      </c>
      <c r="P950" s="7" t="n">
        <f aca="false">IF(K950="","",K950-G950)</f>
        <v>2</v>
      </c>
    </row>
    <row r="951" customFormat="false" ht="15" hidden="false" customHeight="false" outlineLevel="0" collapsed="false">
      <c r="A951" s="7" t="n">
        <v>80095089</v>
      </c>
      <c r="B951" s="7" t="s">
        <v>68</v>
      </c>
      <c r="C951" s="7" t="s">
        <v>2310</v>
      </c>
      <c r="D951" s="7" t="s">
        <v>346</v>
      </c>
      <c r="E951" s="7" t="s">
        <v>26</v>
      </c>
      <c r="F951" s="7" t="s">
        <v>2258</v>
      </c>
      <c r="G951" s="7" t="n">
        <v>2016</v>
      </c>
      <c r="H951" s="7" t="s">
        <v>55</v>
      </c>
      <c r="I951" s="7" t="s">
        <v>348</v>
      </c>
      <c r="J951" s="7" t="s">
        <v>42</v>
      </c>
      <c r="K951" s="7" t="n">
        <f aca="false">IFERROR(VALUE(RIGHT(TRIM(F951),4)),"")</f>
        <v>2017</v>
      </c>
      <c r="L951" s="7" t="str">
        <f aca="false">IF(TRIM(E951)="","Unknown",IFERROR(LEFT(TRIM(E951),FIND(",",TRIM(E951))-1),TRIM(E951)))</f>
        <v>United States</v>
      </c>
      <c r="M951" s="7" t="str">
        <f aca="false">IFERROR(LEFT(J951,FIND(",",J951)-1),J951)</f>
        <v>Children &amp; Family Movies</v>
      </c>
      <c r="N951" s="7" t="n">
        <f aca="false">IF(B951="Movie",IFERROR(VALUE(LEFT(I951,FIND(" ",I951)-1)),""),"")</f>
        <v>72</v>
      </c>
      <c r="O951" s="7" t="str">
        <f aca="false">IF(B951="TV Show",IFERROR(VALUE(LEFT(I951,FIND(" ",I951)-1)),""),"")</f>
        <v/>
      </c>
      <c r="P951" s="7" t="n">
        <f aca="false">IF(K951="","",K951-G951)</f>
        <v>1</v>
      </c>
    </row>
    <row r="952" customFormat="false" ht="15" hidden="false" customHeight="false" outlineLevel="0" collapsed="false">
      <c r="A952" s="7" t="n">
        <v>80208176</v>
      </c>
      <c r="B952" s="7" t="s">
        <v>68</v>
      </c>
      <c r="C952" s="7" t="s">
        <v>2311</v>
      </c>
      <c r="D952" s="7" t="s">
        <v>2312</v>
      </c>
      <c r="E952" s="7" t="s">
        <v>26</v>
      </c>
      <c r="F952" s="7" t="s">
        <v>2258</v>
      </c>
      <c r="G952" s="7" t="n">
        <v>2010</v>
      </c>
      <c r="H952" s="7" t="s">
        <v>55</v>
      </c>
      <c r="I952" s="7" t="s">
        <v>1653</v>
      </c>
      <c r="J952" s="7" t="s">
        <v>42</v>
      </c>
      <c r="K952" s="7" t="n">
        <f aca="false">IFERROR(VALUE(RIGHT(TRIM(F952),4)),"")</f>
        <v>2017</v>
      </c>
      <c r="L952" s="7" t="str">
        <f aca="false">IF(TRIM(E952)="","Unknown",IFERROR(LEFT(TRIM(E952),FIND(",",TRIM(E952))-1),TRIM(E952)))</f>
        <v>United States</v>
      </c>
      <c r="M952" s="7" t="str">
        <f aca="false">IFERROR(LEFT(J952,FIND(",",J952)-1),J952)</f>
        <v>Children &amp; Family Movies</v>
      </c>
      <c r="N952" s="7" t="n">
        <f aca="false">IF(B952="Movie",IFERROR(VALUE(LEFT(I952,FIND(" ",I952)-1)),""),"")</f>
        <v>23</v>
      </c>
      <c r="O952" s="7" t="str">
        <f aca="false">IF(B952="TV Show",IFERROR(VALUE(LEFT(I952,FIND(" ",I952)-1)),""),"")</f>
        <v/>
      </c>
      <c r="P952" s="7" t="n">
        <f aca="false">IF(K952="","",K952-G952)</f>
        <v>7</v>
      </c>
    </row>
    <row r="953" customFormat="false" ht="15" hidden="false" customHeight="false" outlineLevel="0" collapsed="false">
      <c r="A953" s="7" t="n">
        <v>80116741</v>
      </c>
      <c r="B953" s="7" t="s">
        <v>68</v>
      </c>
      <c r="C953" s="7" t="s">
        <v>2313</v>
      </c>
      <c r="D953" s="7" t="s">
        <v>2314</v>
      </c>
      <c r="E953" s="7" t="s">
        <v>2315</v>
      </c>
      <c r="F953" s="7" t="s">
        <v>2258</v>
      </c>
      <c r="G953" s="7" t="n">
        <v>2016</v>
      </c>
      <c r="H953" s="7" t="s">
        <v>52</v>
      </c>
      <c r="I953" s="7" t="s">
        <v>1020</v>
      </c>
      <c r="J953" s="7" t="s">
        <v>217</v>
      </c>
      <c r="K953" s="7" t="n">
        <f aca="false">IFERROR(VALUE(RIGHT(TRIM(F953),4)),"")</f>
        <v>2017</v>
      </c>
      <c r="L953" s="7" t="str">
        <f aca="false">IF(TRIM(E953)="","Unknown",IFERROR(LEFT(TRIM(E953),FIND(",",TRIM(E953))-1),TRIM(E953)))</f>
        <v>Switzerland</v>
      </c>
      <c r="M953" s="7" t="str">
        <f aca="false">IFERROR(LEFT(J953,FIND(",",J953)-1),J953)</f>
        <v>Comedies</v>
      </c>
      <c r="N953" s="7" t="n">
        <f aca="false">IF(B953="Movie",IFERROR(VALUE(LEFT(I953,FIND(" ",I953)-1)),""),"")</f>
        <v>68</v>
      </c>
      <c r="O953" s="7" t="str">
        <f aca="false">IF(B953="TV Show",IFERROR(VALUE(LEFT(I953,FIND(" ",I953)-1)),""),"")</f>
        <v/>
      </c>
      <c r="P953" s="7" t="n">
        <f aca="false">IF(K953="","",K953-G953)</f>
        <v>1</v>
      </c>
    </row>
    <row r="954" customFormat="false" ht="15" hidden="false" customHeight="false" outlineLevel="0" collapsed="false">
      <c r="A954" s="7" t="n">
        <v>80204400</v>
      </c>
      <c r="B954" s="7" t="s">
        <v>78</v>
      </c>
      <c r="C954" s="7" t="s">
        <v>2316</v>
      </c>
      <c r="E954" s="7" t="s">
        <v>28</v>
      </c>
      <c r="F954" s="7" t="s">
        <v>2258</v>
      </c>
      <c r="G954" s="7" t="n">
        <v>2016</v>
      </c>
      <c r="H954" s="7" t="s">
        <v>50</v>
      </c>
      <c r="I954" s="7" t="s">
        <v>82</v>
      </c>
      <c r="J954" s="7" t="s">
        <v>1969</v>
      </c>
      <c r="K954" s="7" t="n">
        <f aca="false">IFERROR(VALUE(RIGHT(TRIM(F954),4)),"")</f>
        <v>2017</v>
      </c>
      <c r="L954" s="7" t="str">
        <f aca="false">IF(TRIM(E954)="","Unknown",IFERROR(LEFT(TRIM(E954),FIND(",",TRIM(E954))-1),TRIM(E954)))</f>
        <v>United Kingdom</v>
      </c>
      <c r="M954" s="7" t="str">
        <f aca="false">IFERROR(LEFT(J954,FIND(",",J954)-1),J954)</f>
        <v>British TV Shows</v>
      </c>
      <c r="N954" s="7" t="str">
        <f aca="false">IF(B954="Movie",IFERROR(VALUE(LEFT(I954,FIND(" ",I954)-1)),""),"")</f>
        <v/>
      </c>
      <c r="O954" s="7" t="n">
        <f aca="false">IF(B954="TV Show",IFERROR(VALUE(LEFT(I954,FIND(" ",I954)-1)),""),"")</f>
        <v>1</v>
      </c>
      <c r="P954" s="7" t="n">
        <f aca="false">IF(K954="","",K954-G954)</f>
        <v>1</v>
      </c>
    </row>
    <row r="955" customFormat="false" ht="15" hidden="false" customHeight="false" outlineLevel="0" collapsed="false">
      <c r="A955" s="7" t="n">
        <v>80063290</v>
      </c>
      <c r="B955" s="7" t="s">
        <v>68</v>
      </c>
      <c r="C955" s="7" t="s">
        <v>2317</v>
      </c>
      <c r="D955" s="7" t="s">
        <v>2318</v>
      </c>
      <c r="E955" s="7" t="s">
        <v>129</v>
      </c>
      <c r="F955" s="7" t="s">
        <v>2258</v>
      </c>
      <c r="G955" s="7" t="n">
        <v>2015</v>
      </c>
      <c r="H955" s="7" t="s">
        <v>54</v>
      </c>
      <c r="I955" s="7" t="s">
        <v>340</v>
      </c>
      <c r="J955" s="7" t="s">
        <v>112</v>
      </c>
      <c r="K955" s="7" t="n">
        <f aca="false">IFERROR(VALUE(RIGHT(TRIM(F955),4)),"")</f>
        <v>2017</v>
      </c>
      <c r="L955" s="7" t="str">
        <f aca="false">IF(TRIM(E955)="","Unknown",IFERROR(LEFT(TRIM(E955),FIND(",",TRIM(E955))-1),TRIM(E955)))</f>
        <v>France</v>
      </c>
      <c r="M955" s="7" t="str">
        <f aca="false">IFERROR(LEFT(J955,FIND(",",J955)-1),J955)</f>
        <v>Action &amp; Adventure</v>
      </c>
      <c r="N955" s="7" t="n">
        <f aca="false">IF(B955="Movie",IFERROR(VALUE(LEFT(I955,FIND(" ",I955)-1)),""),"")</f>
        <v>85</v>
      </c>
      <c r="O955" s="7" t="str">
        <f aca="false">IF(B955="TV Show",IFERROR(VALUE(LEFT(I955,FIND(" ",I955)-1)),""),"")</f>
        <v/>
      </c>
      <c r="P955" s="7" t="n">
        <f aca="false">IF(K955="","",K955-G955)</f>
        <v>2</v>
      </c>
    </row>
    <row r="956" customFormat="false" ht="15" hidden="false" customHeight="false" outlineLevel="0" collapsed="false">
      <c r="A956" s="7" t="n">
        <v>80187223</v>
      </c>
      <c r="B956" s="7" t="s">
        <v>78</v>
      </c>
      <c r="C956" s="7" t="s">
        <v>2319</v>
      </c>
      <c r="E956" s="7" t="s">
        <v>2320</v>
      </c>
      <c r="F956" s="7" t="s">
        <v>2258</v>
      </c>
      <c r="G956" s="7" t="n">
        <v>2016</v>
      </c>
      <c r="H956" s="7" t="s">
        <v>119</v>
      </c>
      <c r="I956" s="7" t="s">
        <v>82</v>
      </c>
      <c r="J956" s="7" t="s">
        <v>44</v>
      </c>
      <c r="K956" s="7" t="n">
        <f aca="false">IFERROR(VALUE(RIGHT(TRIM(F956),4)),"")</f>
        <v>2017</v>
      </c>
      <c r="L956" s="7" t="str">
        <f aca="false">IF(TRIM(E956)="","Unknown",IFERROR(LEFT(TRIM(E956),FIND(",",TRIM(E956))-1),TRIM(E956)))</f>
        <v>France</v>
      </c>
      <c r="M956" s="7" t="str">
        <f aca="false">IFERROR(LEFT(J956,FIND(",",J956)-1),J956)</f>
        <v>Kids' TV</v>
      </c>
      <c r="N956" s="7" t="str">
        <f aca="false">IF(B956="Movie",IFERROR(VALUE(LEFT(I956,FIND(" ",I956)-1)),""),"")</f>
        <v/>
      </c>
      <c r="O956" s="7" t="n">
        <f aca="false">IF(B956="TV Show",IFERROR(VALUE(LEFT(I956,FIND(" ",I956)-1)),""),"")</f>
        <v>1</v>
      </c>
      <c r="P956" s="7" t="n">
        <f aca="false">IF(K956="","",K956-G956)</f>
        <v>1</v>
      </c>
    </row>
    <row r="957" customFormat="false" ht="15" hidden="false" customHeight="false" outlineLevel="0" collapsed="false">
      <c r="A957" s="7" t="n">
        <v>80190518</v>
      </c>
      <c r="B957" s="7" t="s">
        <v>78</v>
      </c>
      <c r="C957" s="7" t="s">
        <v>2321</v>
      </c>
      <c r="F957" s="7" t="s">
        <v>2258</v>
      </c>
      <c r="G957" s="7" t="n">
        <v>2013</v>
      </c>
      <c r="H957" s="7" t="s">
        <v>49</v>
      </c>
      <c r="I957" s="7" t="s">
        <v>82</v>
      </c>
      <c r="J957" s="7" t="s">
        <v>314</v>
      </c>
      <c r="K957" s="7" t="n">
        <f aca="false">IFERROR(VALUE(RIGHT(TRIM(F957),4)),"")</f>
        <v>2017</v>
      </c>
      <c r="L957" s="7" t="str">
        <f aca="false">IF(TRIM(E957)="","Unknown",IFERROR(LEFT(TRIM(E957),FIND(",",TRIM(E957))-1),TRIM(E957)))</f>
        <v>Unknown</v>
      </c>
      <c r="M957" s="7" t="str">
        <f aca="false">IFERROR(LEFT(J957,FIND(",",J957)-1),J957)</f>
        <v>International TV Shows</v>
      </c>
      <c r="N957" s="7" t="str">
        <f aca="false">IF(B957="Movie",IFERROR(VALUE(LEFT(I957,FIND(" ",I957)-1)),""),"")</f>
        <v/>
      </c>
      <c r="O957" s="7" t="n">
        <f aca="false">IF(B957="TV Show",IFERROR(VALUE(LEFT(I957,FIND(" ",I957)-1)),""),"")</f>
        <v>1</v>
      </c>
      <c r="P957" s="7" t="n">
        <f aca="false">IF(K957="","",K957-G957)</f>
        <v>4</v>
      </c>
    </row>
    <row r="958" customFormat="false" ht="15" hidden="false" customHeight="false" outlineLevel="0" collapsed="false">
      <c r="A958" s="7" t="n">
        <v>80002999</v>
      </c>
      <c r="B958" s="7" t="s">
        <v>78</v>
      </c>
      <c r="C958" s="7" t="s">
        <v>2322</v>
      </c>
      <c r="E958" s="7" t="s">
        <v>35</v>
      </c>
      <c r="F958" s="7" t="s">
        <v>2258</v>
      </c>
      <c r="G958" s="7" t="n">
        <v>2014</v>
      </c>
      <c r="H958" s="7" t="s">
        <v>48</v>
      </c>
      <c r="I958" s="7" t="s">
        <v>82</v>
      </c>
      <c r="J958" s="7" t="s">
        <v>402</v>
      </c>
      <c r="K958" s="7" t="n">
        <f aca="false">IFERROR(VALUE(RIGHT(TRIM(F958),4)),"")</f>
        <v>2017</v>
      </c>
      <c r="L958" s="7" t="str">
        <f aca="false">IF(TRIM(E958)="","Unknown",IFERROR(LEFT(TRIM(E958),FIND(",",TRIM(E958))-1),TRIM(E958)))</f>
        <v>Australia</v>
      </c>
      <c r="M958" s="7" t="str">
        <f aca="false">IFERROR(LEFT(J958,FIND(",",J958)-1),J958)</f>
        <v>Crime TV Shows</v>
      </c>
      <c r="N958" s="7" t="str">
        <f aca="false">IF(B958="Movie",IFERROR(VALUE(LEFT(I958,FIND(" ",I958)-1)),""),"")</f>
        <v/>
      </c>
      <c r="O958" s="7" t="n">
        <f aca="false">IF(B958="TV Show",IFERROR(VALUE(LEFT(I958,FIND(" ",I958)-1)),""),"")</f>
        <v>1</v>
      </c>
      <c r="P958" s="7" t="n">
        <f aca="false">IF(K958="","",K958-G958)</f>
        <v>3</v>
      </c>
    </row>
    <row r="959" customFormat="false" ht="15" hidden="false" customHeight="false" outlineLevel="0" collapsed="false">
      <c r="A959" s="7" t="n">
        <v>80157275</v>
      </c>
      <c r="B959" s="7" t="s">
        <v>78</v>
      </c>
      <c r="C959" s="7" t="s">
        <v>2323</v>
      </c>
      <c r="F959" s="7" t="s">
        <v>2258</v>
      </c>
      <c r="G959" s="7" t="n">
        <v>2009</v>
      </c>
      <c r="H959" s="7" t="s">
        <v>49</v>
      </c>
      <c r="I959" s="7" t="s">
        <v>82</v>
      </c>
      <c r="J959" s="7" t="s">
        <v>314</v>
      </c>
      <c r="K959" s="7" t="n">
        <f aca="false">IFERROR(VALUE(RIGHT(TRIM(F959),4)),"")</f>
        <v>2017</v>
      </c>
      <c r="L959" s="7" t="str">
        <f aca="false">IF(TRIM(E959)="","Unknown",IFERROR(LEFT(TRIM(E959),FIND(",",TRIM(E959))-1),TRIM(E959)))</f>
        <v>Unknown</v>
      </c>
      <c r="M959" s="7" t="str">
        <f aca="false">IFERROR(LEFT(J959,FIND(",",J959)-1),J959)</f>
        <v>International TV Shows</v>
      </c>
      <c r="N959" s="7" t="str">
        <f aca="false">IF(B959="Movie",IFERROR(VALUE(LEFT(I959,FIND(" ",I959)-1)),""),"")</f>
        <v/>
      </c>
      <c r="O959" s="7" t="n">
        <f aca="false">IF(B959="TV Show",IFERROR(VALUE(LEFT(I959,FIND(" ",I959)-1)),""),"")</f>
        <v>1</v>
      </c>
      <c r="P959" s="7" t="n">
        <f aca="false">IF(K959="","",K959-G959)</f>
        <v>8</v>
      </c>
    </row>
    <row r="960" customFormat="false" ht="15" hidden="false" customHeight="false" outlineLevel="0" collapsed="false">
      <c r="A960" s="7" t="n">
        <v>80162195</v>
      </c>
      <c r="B960" s="7" t="s">
        <v>68</v>
      </c>
      <c r="C960" s="7" t="s">
        <v>2324</v>
      </c>
      <c r="D960" s="7" t="s">
        <v>2325</v>
      </c>
      <c r="E960" s="7" t="s">
        <v>1790</v>
      </c>
      <c r="F960" s="7" t="s">
        <v>2258</v>
      </c>
      <c r="G960" s="7" t="n">
        <v>2016</v>
      </c>
      <c r="H960" s="7" t="s">
        <v>50</v>
      </c>
      <c r="I960" s="7" t="s">
        <v>613</v>
      </c>
      <c r="J960" s="7" t="s">
        <v>1085</v>
      </c>
      <c r="K960" s="7" t="n">
        <f aca="false">IFERROR(VALUE(RIGHT(TRIM(F960),4)),"")</f>
        <v>2017</v>
      </c>
      <c r="L960" s="7" t="str">
        <f aca="false">IF(TRIM(E960)="","Unknown",IFERROR(LEFT(TRIM(E960),FIND(",",TRIM(E960))-1),TRIM(E960)))</f>
        <v>New Zealand</v>
      </c>
      <c r="M960" s="7" t="str">
        <f aca="false">IFERROR(LEFT(J960,FIND(",",J960)-1),J960)</f>
        <v>Documentaries</v>
      </c>
      <c r="N960" s="7" t="n">
        <f aca="false">IF(B960="Movie",IFERROR(VALUE(LEFT(I960,FIND(" ",I960)-1)),""),"")</f>
        <v>84</v>
      </c>
      <c r="O960" s="7" t="str">
        <f aca="false">IF(B960="TV Show",IFERROR(VALUE(LEFT(I960,FIND(" ",I960)-1)),""),"")</f>
        <v/>
      </c>
      <c r="P960" s="7" t="n">
        <f aca="false">IF(K960="","",K960-G960)</f>
        <v>1</v>
      </c>
    </row>
    <row r="961" customFormat="false" ht="15" hidden="false" customHeight="false" outlineLevel="0" collapsed="false">
      <c r="A961" s="7" t="n">
        <v>80106036</v>
      </c>
      <c r="B961" s="7" t="s">
        <v>68</v>
      </c>
      <c r="C961" s="7" t="s">
        <v>2326</v>
      </c>
      <c r="D961" s="7" t="s">
        <v>2327</v>
      </c>
      <c r="E961" s="7" t="s">
        <v>2328</v>
      </c>
      <c r="F961" s="7" t="s">
        <v>2258</v>
      </c>
      <c r="G961" s="7" t="n">
        <v>2016</v>
      </c>
      <c r="H961" s="7" t="s">
        <v>50</v>
      </c>
      <c r="I961" s="7" t="s">
        <v>1270</v>
      </c>
      <c r="J961" s="7" t="s">
        <v>304</v>
      </c>
      <c r="K961" s="7" t="n">
        <f aca="false">IFERROR(VALUE(RIGHT(TRIM(F961),4)),"")</f>
        <v>2017</v>
      </c>
      <c r="L961" s="7" t="str">
        <f aca="false">IF(TRIM(E961)="","Unknown",IFERROR(LEFT(TRIM(E961),FIND(",",TRIM(E961))-1),TRIM(E961)))</f>
        <v>Norway</v>
      </c>
      <c r="M961" s="7" t="str">
        <f aca="false">IFERROR(LEFT(J961,FIND(",",J961)-1),J961)</f>
        <v>Dramas</v>
      </c>
      <c r="N961" s="7" t="n">
        <f aca="false">IF(B961="Movie",IFERROR(VALUE(LEFT(I961,FIND(" ",I961)-1)),""),"")</f>
        <v>118</v>
      </c>
      <c r="O961" s="7" t="str">
        <f aca="false">IF(B961="TV Show",IFERROR(VALUE(LEFT(I961,FIND(" ",I961)-1)),""),"")</f>
        <v/>
      </c>
      <c r="P961" s="7" t="n">
        <f aca="false">IF(K961="","",K961-G961)</f>
        <v>1</v>
      </c>
    </row>
    <row r="962" customFormat="false" ht="15" hidden="false" customHeight="false" outlineLevel="0" collapsed="false">
      <c r="A962" s="7" t="n">
        <v>80198687</v>
      </c>
      <c r="B962" s="7" t="s">
        <v>68</v>
      </c>
      <c r="C962" s="7" t="s">
        <v>2329</v>
      </c>
      <c r="D962" s="7" t="s">
        <v>2330</v>
      </c>
      <c r="E962" s="7" t="s">
        <v>32</v>
      </c>
      <c r="F962" s="7" t="s">
        <v>2258</v>
      </c>
      <c r="G962" s="7" t="n">
        <v>2004</v>
      </c>
      <c r="H962" s="7" t="s">
        <v>48</v>
      </c>
      <c r="I962" s="7" t="s">
        <v>237</v>
      </c>
      <c r="J962" s="7" t="s">
        <v>217</v>
      </c>
      <c r="K962" s="7" t="n">
        <f aca="false">IFERROR(VALUE(RIGHT(TRIM(F962),4)),"")</f>
        <v>2017</v>
      </c>
      <c r="L962" s="7" t="str">
        <f aca="false">IF(TRIM(E962)="","Unknown",IFERROR(LEFT(TRIM(E962),FIND(",",TRIM(E962))-1),TRIM(E962)))</f>
        <v>South Korea</v>
      </c>
      <c r="M962" s="7" t="str">
        <f aca="false">IFERROR(LEFT(J962,FIND(",",J962)-1),J962)</f>
        <v>Comedies</v>
      </c>
      <c r="N962" s="7" t="n">
        <f aca="false">IF(B962="Movie",IFERROR(VALUE(LEFT(I962,FIND(" ",I962)-1)),""),"")</f>
        <v>116</v>
      </c>
      <c r="O962" s="7" t="str">
        <f aca="false">IF(B962="TV Show",IFERROR(VALUE(LEFT(I962,FIND(" ",I962)-1)),""),"")</f>
        <v/>
      </c>
      <c r="P962" s="7" t="n">
        <f aca="false">IF(K962="","",K962-G962)</f>
        <v>13</v>
      </c>
    </row>
    <row r="963" customFormat="false" ht="15" hidden="false" customHeight="false" outlineLevel="0" collapsed="false">
      <c r="A963" s="7" t="n">
        <v>80163353</v>
      </c>
      <c r="B963" s="7" t="s">
        <v>68</v>
      </c>
      <c r="C963" s="7" t="s">
        <v>2331</v>
      </c>
      <c r="D963" s="7" t="s">
        <v>2332</v>
      </c>
      <c r="E963" s="7" t="s">
        <v>2333</v>
      </c>
      <c r="F963" s="7" t="s">
        <v>2258</v>
      </c>
      <c r="G963" s="7" t="n">
        <v>2017</v>
      </c>
      <c r="H963" s="7" t="s">
        <v>49</v>
      </c>
      <c r="I963" s="7" t="s">
        <v>357</v>
      </c>
      <c r="J963" s="7" t="s">
        <v>699</v>
      </c>
      <c r="K963" s="7" t="n">
        <f aca="false">IFERROR(VALUE(RIGHT(TRIM(F963),4)),"")</f>
        <v>2017</v>
      </c>
      <c r="L963" s="7" t="str">
        <f aca="false">IF(TRIM(E963)="","Unknown",IFERROR(LEFT(TRIM(E963),FIND(",",TRIM(E963))-1),TRIM(E963)))</f>
        <v>United Kingdom</v>
      </c>
      <c r="M963" s="7" t="str">
        <f aca="false">IFERROR(LEFT(J963,FIND(",",J963)-1),J963)</f>
        <v>Documentaries</v>
      </c>
      <c r="N963" s="7" t="n">
        <f aca="false">IF(B963="Movie",IFERROR(VALUE(LEFT(I963,FIND(" ",I963)-1)),""),"")</f>
        <v>89</v>
      </c>
      <c r="O963" s="7" t="str">
        <f aca="false">IF(B963="TV Show",IFERROR(VALUE(LEFT(I963,FIND(" ",I963)-1)),""),"")</f>
        <v/>
      </c>
      <c r="P963" s="7" t="n">
        <f aca="false">IF(K963="","",K963-G963)</f>
        <v>0</v>
      </c>
    </row>
    <row r="964" customFormat="false" ht="15" hidden="false" customHeight="false" outlineLevel="0" collapsed="false">
      <c r="A964" s="7" t="n">
        <v>80162246</v>
      </c>
      <c r="B964" s="7" t="s">
        <v>68</v>
      </c>
      <c r="C964" s="7" t="s">
        <v>2334</v>
      </c>
      <c r="D964" s="7" t="s">
        <v>2335</v>
      </c>
      <c r="E964" s="7" t="s">
        <v>34</v>
      </c>
      <c r="F964" s="7" t="s">
        <v>2258</v>
      </c>
      <c r="G964" s="7" t="n">
        <v>2017</v>
      </c>
      <c r="H964" s="7" t="s">
        <v>48</v>
      </c>
      <c r="I964" s="7" t="s">
        <v>467</v>
      </c>
      <c r="J964" s="7" t="s">
        <v>188</v>
      </c>
      <c r="K964" s="7" t="n">
        <f aca="false">IFERROR(VALUE(RIGHT(TRIM(F964),4)),"")</f>
        <v>2017</v>
      </c>
      <c r="L964" s="7" t="str">
        <f aca="false">IF(TRIM(E964)="","Unknown",IFERROR(LEFT(TRIM(E964),FIND(",",TRIM(E964))-1),TRIM(E964)))</f>
        <v>Mexico</v>
      </c>
      <c r="M964" s="7" t="str">
        <f aca="false">IFERROR(LEFT(J964,FIND(",",J964)-1),J964)</f>
        <v>Dramas</v>
      </c>
      <c r="N964" s="7" t="n">
        <f aca="false">IF(B964="Movie",IFERROR(VALUE(LEFT(I964,FIND(" ",I964)-1)),""),"")</f>
        <v>81</v>
      </c>
      <c r="O964" s="7" t="str">
        <f aca="false">IF(B964="TV Show",IFERROR(VALUE(LEFT(I964,FIND(" ",I964)-1)),""),"")</f>
        <v/>
      </c>
      <c r="P964" s="7" t="n">
        <f aca="false">IF(K964="","",K964-G964)</f>
        <v>0</v>
      </c>
    </row>
    <row r="965" customFormat="false" ht="15" hidden="false" customHeight="false" outlineLevel="0" collapsed="false">
      <c r="A965" s="7" t="n">
        <v>80112371</v>
      </c>
      <c r="B965" s="7" t="s">
        <v>68</v>
      </c>
      <c r="C965" s="7" t="s">
        <v>2336</v>
      </c>
      <c r="D965" s="7" t="s">
        <v>2337</v>
      </c>
      <c r="E965" s="7" t="s">
        <v>26</v>
      </c>
      <c r="F965" s="7" t="s">
        <v>2258</v>
      </c>
      <c r="G965" s="7" t="n">
        <v>2016</v>
      </c>
      <c r="H965" s="7" t="s">
        <v>55</v>
      </c>
      <c r="I965" s="7" t="s">
        <v>1191</v>
      </c>
      <c r="J965" s="7" t="s">
        <v>42</v>
      </c>
      <c r="K965" s="7" t="n">
        <f aca="false">IFERROR(VALUE(RIGHT(TRIM(F965),4)),"")</f>
        <v>2017</v>
      </c>
      <c r="L965" s="7" t="str">
        <f aca="false">IF(TRIM(E965)="","Unknown",IFERROR(LEFT(TRIM(E965),FIND(",",TRIM(E965))-1),TRIM(E965)))</f>
        <v>United States</v>
      </c>
      <c r="M965" s="7" t="str">
        <f aca="false">IFERROR(LEFT(J965,FIND(",",J965)-1),J965)</f>
        <v>Children &amp; Family Movies</v>
      </c>
      <c r="N965" s="7" t="n">
        <f aca="false">IF(B965="Movie",IFERROR(VALUE(LEFT(I965,FIND(" ",I965)-1)),""),"")</f>
        <v>73</v>
      </c>
      <c r="O965" s="7" t="str">
        <f aca="false">IF(B965="TV Show",IFERROR(VALUE(LEFT(I965,FIND(" ",I965)-1)),""),"")</f>
        <v/>
      </c>
      <c r="P965" s="7" t="n">
        <f aca="false">IF(K965="","",K965-G965)</f>
        <v>1</v>
      </c>
    </row>
    <row r="966" customFormat="false" ht="15" hidden="false" customHeight="false" outlineLevel="0" collapsed="false">
      <c r="A966" s="7" t="n">
        <v>80189209</v>
      </c>
      <c r="B966" s="7" t="s">
        <v>78</v>
      </c>
      <c r="C966" s="7" t="s">
        <v>2338</v>
      </c>
      <c r="E966" s="7" t="s">
        <v>970</v>
      </c>
      <c r="F966" s="7" t="s">
        <v>2258</v>
      </c>
      <c r="G966" s="7" t="n">
        <v>2017</v>
      </c>
      <c r="H966" s="7" t="s">
        <v>50</v>
      </c>
      <c r="I966" s="7" t="s">
        <v>82</v>
      </c>
      <c r="J966" s="7" t="s">
        <v>344</v>
      </c>
      <c r="K966" s="7" t="n">
        <f aca="false">IFERROR(VALUE(RIGHT(TRIM(F966),4)),"")</f>
        <v>2017</v>
      </c>
      <c r="L966" s="7" t="str">
        <f aca="false">IF(TRIM(E966)="","Unknown",IFERROR(LEFT(TRIM(E966),FIND(",",TRIM(E966))-1),TRIM(E966)))</f>
        <v>Taiwan</v>
      </c>
      <c r="M966" s="7" t="str">
        <f aca="false">IFERROR(LEFT(J966,FIND(",",J966)-1),J966)</f>
        <v>International TV Shows</v>
      </c>
      <c r="N966" s="7" t="str">
        <f aca="false">IF(B966="Movie",IFERROR(VALUE(LEFT(I966,FIND(" ",I966)-1)),""),"")</f>
        <v/>
      </c>
      <c r="O966" s="7" t="n">
        <f aca="false">IF(B966="TV Show",IFERROR(VALUE(LEFT(I966,FIND(" ",I966)-1)),""),"")</f>
        <v>1</v>
      </c>
      <c r="P966" s="7" t="n">
        <f aca="false">IF(K966="","",K966-G966)</f>
        <v>0</v>
      </c>
    </row>
    <row r="967" customFormat="false" ht="15" hidden="false" customHeight="false" outlineLevel="0" collapsed="false">
      <c r="A967" s="7" t="n">
        <v>80208413</v>
      </c>
      <c r="B967" s="7" t="s">
        <v>68</v>
      </c>
      <c r="C967" s="7" t="s">
        <v>2339</v>
      </c>
      <c r="D967" s="7" t="s">
        <v>2340</v>
      </c>
      <c r="E967" s="7" t="s">
        <v>27</v>
      </c>
      <c r="F967" s="7" t="s">
        <v>2258</v>
      </c>
      <c r="G967" s="7" t="n">
        <v>2016</v>
      </c>
      <c r="H967" s="7" t="s">
        <v>48</v>
      </c>
      <c r="I967" s="7" t="s">
        <v>879</v>
      </c>
      <c r="J967" s="7" t="s">
        <v>304</v>
      </c>
      <c r="K967" s="7" t="n">
        <f aca="false">IFERROR(VALUE(RIGHT(TRIM(F967),4)),"")</f>
        <v>2017</v>
      </c>
      <c r="L967" s="7" t="str">
        <f aca="false">IF(TRIM(E967)="","Unknown",IFERROR(LEFT(TRIM(E967),FIND(",",TRIM(E967))-1),TRIM(E967)))</f>
        <v>India</v>
      </c>
      <c r="M967" s="7" t="str">
        <f aca="false">IFERROR(LEFT(J967,FIND(",",J967)-1),J967)</f>
        <v>Dramas</v>
      </c>
      <c r="N967" s="7" t="n">
        <f aca="false">IF(B967="Movie",IFERROR(VALUE(LEFT(I967,FIND(" ",I967)-1)),""),"")</f>
        <v>140</v>
      </c>
      <c r="O967" s="7" t="str">
        <f aca="false">IF(B967="TV Show",IFERROR(VALUE(LEFT(I967,FIND(" ",I967)-1)),""),"")</f>
        <v/>
      </c>
      <c r="P967" s="7" t="n">
        <f aca="false">IF(K967="","",K967-G967)</f>
        <v>1</v>
      </c>
    </row>
    <row r="968" customFormat="false" ht="15" hidden="false" customHeight="false" outlineLevel="0" collapsed="false">
      <c r="A968" s="7" t="n">
        <v>80111818</v>
      </c>
      <c r="B968" s="7" t="s">
        <v>78</v>
      </c>
      <c r="C968" s="7" t="s">
        <v>2341</v>
      </c>
      <c r="E968" s="7" t="s">
        <v>970</v>
      </c>
      <c r="F968" s="7" t="s">
        <v>2342</v>
      </c>
      <c r="G968" s="7" t="n">
        <v>2015</v>
      </c>
      <c r="H968" s="7" t="s">
        <v>49</v>
      </c>
      <c r="I968" s="7" t="s">
        <v>82</v>
      </c>
      <c r="J968" s="7" t="s">
        <v>314</v>
      </c>
      <c r="K968" s="7" t="n">
        <f aca="false">IFERROR(VALUE(RIGHT(TRIM(F968),4)),"")</f>
        <v>2016</v>
      </c>
      <c r="L968" s="7" t="str">
        <f aca="false">IF(TRIM(E968)="","Unknown",IFERROR(LEFT(TRIM(E968),FIND(",",TRIM(E968))-1),TRIM(E968)))</f>
        <v>Taiwan</v>
      </c>
      <c r="M968" s="7" t="str">
        <f aca="false">IFERROR(LEFT(J968,FIND(",",J968)-1),J968)</f>
        <v>International TV Shows</v>
      </c>
      <c r="N968" s="7" t="str">
        <f aca="false">IF(B968="Movie",IFERROR(VALUE(LEFT(I968,FIND(" ",I968)-1)),""),"")</f>
        <v/>
      </c>
      <c r="O968" s="7" t="n">
        <f aca="false">IF(B968="TV Show",IFERROR(VALUE(LEFT(I968,FIND(" ",I968)-1)),""),"")</f>
        <v>1</v>
      </c>
      <c r="P968" s="7" t="n">
        <f aca="false">IF(K968="","",K968-G968)</f>
        <v>1</v>
      </c>
    </row>
    <row r="969" customFormat="false" ht="15" hidden="false" customHeight="false" outlineLevel="0" collapsed="false">
      <c r="A969" s="7" t="n">
        <v>80116939</v>
      </c>
      <c r="B969" s="7" t="s">
        <v>78</v>
      </c>
      <c r="C969" s="7" t="s">
        <v>2343</v>
      </c>
      <c r="E969" s="7" t="s">
        <v>970</v>
      </c>
      <c r="F969" s="7" t="s">
        <v>2342</v>
      </c>
      <c r="G969" s="7" t="n">
        <v>2015</v>
      </c>
      <c r="H969" s="7" t="s">
        <v>49</v>
      </c>
      <c r="I969" s="7" t="s">
        <v>82</v>
      </c>
      <c r="J969" s="7" t="s">
        <v>314</v>
      </c>
      <c r="K969" s="7" t="n">
        <f aca="false">IFERROR(VALUE(RIGHT(TRIM(F969),4)),"")</f>
        <v>2016</v>
      </c>
      <c r="L969" s="7" t="str">
        <f aca="false">IF(TRIM(E969)="","Unknown",IFERROR(LEFT(TRIM(E969),FIND(",",TRIM(E969))-1),TRIM(E969)))</f>
        <v>Taiwan</v>
      </c>
      <c r="M969" s="7" t="str">
        <f aca="false">IFERROR(LEFT(J969,FIND(",",J969)-1),J969)</f>
        <v>International TV Shows</v>
      </c>
      <c r="N969" s="7" t="str">
        <f aca="false">IF(B969="Movie",IFERROR(VALUE(LEFT(I969,FIND(" ",I969)-1)),""),"")</f>
        <v/>
      </c>
      <c r="O969" s="7" t="n">
        <f aca="false">IF(B969="TV Show",IFERROR(VALUE(LEFT(I969,FIND(" ",I969)-1)),""),"")</f>
        <v>1</v>
      </c>
      <c r="P969" s="7" t="n">
        <f aca="false">IF(K969="","",K969-G969)</f>
        <v>1</v>
      </c>
    </row>
    <row r="970" customFormat="false" ht="15" hidden="false" customHeight="false" outlineLevel="0" collapsed="false">
      <c r="A970" s="7" t="n">
        <v>80128277</v>
      </c>
      <c r="B970" s="7" t="s">
        <v>68</v>
      </c>
      <c r="C970" s="7" t="s">
        <v>2344</v>
      </c>
      <c r="D970" s="7" t="s">
        <v>2345</v>
      </c>
      <c r="F970" s="7" t="s">
        <v>2342</v>
      </c>
      <c r="G970" s="7" t="n">
        <v>2016</v>
      </c>
      <c r="H970" s="7" t="s">
        <v>48</v>
      </c>
      <c r="I970" s="7" t="s">
        <v>212</v>
      </c>
      <c r="J970" s="7" t="s">
        <v>37</v>
      </c>
      <c r="K970" s="7" t="n">
        <f aca="false">IFERROR(VALUE(RIGHT(TRIM(F970),4)),"")</f>
        <v>2016</v>
      </c>
      <c r="L970" s="7" t="str">
        <f aca="false">IF(TRIM(E970)="","Unknown",IFERROR(LEFT(TRIM(E970),FIND(",",TRIM(E970))-1),TRIM(E970)))</f>
        <v>Unknown</v>
      </c>
      <c r="M970" s="7" t="str">
        <f aca="false">IFERROR(LEFT(J970,FIND(",",J970)-1),J970)</f>
        <v>Dramas</v>
      </c>
      <c r="N970" s="7" t="n">
        <f aca="false">IF(B970="Movie",IFERROR(VALUE(LEFT(I970,FIND(" ",I970)-1)),""),"")</f>
        <v>86</v>
      </c>
      <c r="O970" s="7" t="str">
        <f aca="false">IF(B970="TV Show",IFERROR(VALUE(LEFT(I970,FIND(" ",I970)-1)),""),"")</f>
        <v/>
      </c>
      <c r="P970" s="7" t="n">
        <f aca="false">IF(K970="","",K970-G970)</f>
        <v>0</v>
      </c>
    </row>
    <row r="971" customFormat="false" ht="15" hidden="false" customHeight="false" outlineLevel="0" collapsed="false">
      <c r="A971" s="7" t="n">
        <v>80094453</v>
      </c>
      <c r="B971" s="7" t="s">
        <v>68</v>
      </c>
      <c r="C971" s="7" t="s">
        <v>2346</v>
      </c>
      <c r="D971" s="7" t="s">
        <v>2347</v>
      </c>
      <c r="E971" s="7" t="s">
        <v>325</v>
      </c>
      <c r="F971" s="7" t="s">
        <v>2342</v>
      </c>
      <c r="G971" s="7" t="n">
        <v>2015</v>
      </c>
      <c r="H971" s="7" t="s">
        <v>53</v>
      </c>
      <c r="I971" s="7" t="s">
        <v>820</v>
      </c>
      <c r="J971" s="7" t="s">
        <v>304</v>
      </c>
      <c r="K971" s="7" t="n">
        <f aca="false">IFERROR(VALUE(RIGHT(TRIM(F971),4)),"")</f>
        <v>2016</v>
      </c>
      <c r="L971" s="7" t="str">
        <f aca="false">IF(TRIM(E971)="","Unknown",IFERROR(LEFT(TRIM(E971),FIND(",",TRIM(E971))-1),TRIM(E971)))</f>
        <v>Brazil</v>
      </c>
      <c r="M971" s="7" t="str">
        <f aca="false">IFERROR(LEFT(J971,FIND(",",J971)-1),J971)</f>
        <v>Dramas</v>
      </c>
      <c r="N971" s="7" t="n">
        <f aca="false">IF(B971="Movie",IFERROR(VALUE(LEFT(I971,FIND(" ",I971)-1)),""),"")</f>
        <v>105</v>
      </c>
      <c r="O971" s="7" t="str">
        <f aca="false">IF(B971="TV Show",IFERROR(VALUE(LEFT(I971,FIND(" ",I971)-1)),""),"")</f>
        <v/>
      </c>
      <c r="P971" s="7" t="n">
        <f aca="false">IF(K971="","",K971-G971)</f>
        <v>1</v>
      </c>
    </row>
    <row r="972" customFormat="false" ht="15" hidden="false" customHeight="false" outlineLevel="0" collapsed="false">
      <c r="A972" s="7" t="n">
        <v>80128338</v>
      </c>
      <c r="B972" s="7" t="s">
        <v>78</v>
      </c>
      <c r="C972" s="7" t="s">
        <v>2348</v>
      </c>
      <c r="E972" s="7" t="s">
        <v>28</v>
      </c>
      <c r="F972" s="7" t="s">
        <v>2342</v>
      </c>
      <c r="G972" s="7" t="n">
        <v>1999</v>
      </c>
      <c r="H972" s="7" t="s">
        <v>49</v>
      </c>
      <c r="I972" s="7" t="s">
        <v>82</v>
      </c>
      <c r="J972" s="7" t="s">
        <v>1612</v>
      </c>
      <c r="K972" s="7" t="n">
        <f aca="false">IFERROR(VALUE(RIGHT(TRIM(F972),4)),"")</f>
        <v>2016</v>
      </c>
      <c r="L972" s="7" t="str">
        <f aca="false">IF(TRIM(E972)="","Unknown",IFERROR(LEFT(TRIM(E972),FIND(",",TRIM(E972))-1),TRIM(E972)))</f>
        <v>United Kingdom</v>
      </c>
      <c r="M972" s="7" t="str">
        <f aca="false">IFERROR(LEFT(J972,FIND(",",J972)-1),J972)</f>
        <v>British TV Shows</v>
      </c>
      <c r="N972" s="7" t="str">
        <f aca="false">IF(B972="Movie",IFERROR(VALUE(LEFT(I972,FIND(" ",I972)-1)),""),"")</f>
        <v/>
      </c>
      <c r="O972" s="7" t="n">
        <f aca="false">IF(B972="TV Show",IFERROR(VALUE(LEFT(I972,FIND(" ",I972)-1)),""),"")</f>
        <v>1</v>
      </c>
      <c r="P972" s="7" t="n">
        <f aca="false">IF(K972="","",K972-G972)</f>
        <v>17</v>
      </c>
    </row>
    <row r="973" customFormat="false" ht="15" hidden="false" customHeight="false" outlineLevel="0" collapsed="false">
      <c r="A973" s="7" t="n">
        <v>80111650</v>
      </c>
      <c r="B973" s="7" t="s">
        <v>78</v>
      </c>
      <c r="C973" s="7" t="s">
        <v>2349</v>
      </c>
      <c r="E973" s="7" t="s">
        <v>970</v>
      </c>
      <c r="F973" s="7" t="s">
        <v>2342</v>
      </c>
      <c r="G973" s="7" t="n">
        <v>2014</v>
      </c>
      <c r="H973" s="7" t="s">
        <v>49</v>
      </c>
      <c r="I973" s="7" t="s">
        <v>82</v>
      </c>
      <c r="J973" s="7" t="s">
        <v>158</v>
      </c>
      <c r="K973" s="7" t="n">
        <f aca="false">IFERROR(VALUE(RIGHT(TRIM(F973),4)),"")</f>
        <v>2016</v>
      </c>
      <c r="L973" s="7" t="str">
        <f aca="false">IF(TRIM(E973)="","Unknown",IFERROR(LEFT(TRIM(E973),FIND(",",TRIM(E973))-1),TRIM(E973)))</f>
        <v>Taiwan</v>
      </c>
      <c r="M973" s="7" t="str">
        <f aca="false">IFERROR(LEFT(J973,FIND(",",J973)-1),J973)</f>
        <v>International TV Shows</v>
      </c>
      <c r="N973" s="7" t="str">
        <f aca="false">IF(B973="Movie",IFERROR(VALUE(LEFT(I973,FIND(" ",I973)-1)),""),"")</f>
        <v/>
      </c>
      <c r="O973" s="7" t="n">
        <f aca="false">IF(B973="TV Show",IFERROR(VALUE(LEFT(I973,FIND(" ",I973)-1)),""),"")</f>
        <v>1</v>
      </c>
      <c r="P973" s="7" t="n">
        <f aca="false">IF(K973="","",K973-G973)</f>
        <v>2</v>
      </c>
    </row>
    <row r="974" customFormat="false" ht="15" hidden="false" customHeight="false" outlineLevel="0" collapsed="false">
      <c r="A974" s="7" t="n">
        <v>70153553</v>
      </c>
      <c r="B974" s="7" t="s">
        <v>68</v>
      </c>
      <c r="C974" s="7" t="s">
        <v>2350</v>
      </c>
      <c r="D974" s="7" t="s">
        <v>2351</v>
      </c>
      <c r="E974" s="7" t="s">
        <v>27</v>
      </c>
      <c r="F974" s="7" t="s">
        <v>2342</v>
      </c>
      <c r="G974" s="7" t="n">
        <v>2010</v>
      </c>
      <c r="H974" s="7" t="s">
        <v>49</v>
      </c>
      <c r="I974" s="7" t="s">
        <v>205</v>
      </c>
      <c r="J974" s="7" t="s">
        <v>304</v>
      </c>
      <c r="K974" s="7" t="n">
        <f aca="false">IFERROR(VALUE(RIGHT(TRIM(F974),4)),"")</f>
        <v>2016</v>
      </c>
      <c r="L974" s="7" t="str">
        <f aca="false">IF(TRIM(E974)="","Unknown",IFERROR(LEFT(TRIM(E974),FIND(",",TRIM(E974))-1),TRIM(E974)))</f>
        <v>India</v>
      </c>
      <c r="M974" s="7" t="str">
        <f aca="false">IFERROR(LEFT(J974,FIND(",",J974)-1),J974)</f>
        <v>Dramas</v>
      </c>
      <c r="N974" s="7" t="n">
        <f aca="false">IF(B974="Movie",IFERROR(VALUE(LEFT(I974,FIND(" ",I974)-1)),""),"")</f>
        <v>100</v>
      </c>
      <c r="O974" s="7" t="str">
        <f aca="false">IF(B974="TV Show",IFERROR(VALUE(LEFT(I974,FIND(" ",I974)-1)),""),"")</f>
        <v/>
      </c>
      <c r="P974" s="7" t="n">
        <f aca="false">IF(K974="","",K974-G974)</f>
        <v>6</v>
      </c>
    </row>
    <row r="975" customFormat="false" ht="15" hidden="false" customHeight="false" outlineLevel="0" collapsed="false">
      <c r="A975" s="7" t="n">
        <v>80111554</v>
      </c>
      <c r="B975" s="7" t="s">
        <v>78</v>
      </c>
      <c r="C975" s="7" t="s">
        <v>2352</v>
      </c>
      <c r="E975" s="7" t="s">
        <v>970</v>
      </c>
      <c r="F975" s="7" t="s">
        <v>2342</v>
      </c>
      <c r="G975" s="7" t="n">
        <v>2014</v>
      </c>
      <c r="H975" s="7" t="s">
        <v>49</v>
      </c>
      <c r="I975" s="7" t="s">
        <v>82</v>
      </c>
      <c r="J975" s="7" t="s">
        <v>158</v>
      </c>
      <c r="K975" s="7" t="n">
        <f aca="false">IFERROR(VALUE(RIGHT(TRIM(F975),4)),"")</f>
        <v>2016</v>
      </c>
      <c r="L975" s="7" t="str">
        <f aca="false">IF(TRIM(E975)="","Unknown",IFERROR(LEFT(TRIM(E975),FIND(",",TRIM(E975))-1),TRIM(E975)))</f>
        <v>Taiwan</v>
      </c>
      <c r="M975" s="7" t="str">
        <f aca="false">IFERROR(LEFT(J975,FIND(",",J975)-1),J975)</f>
        <v>International TV Shows</v>
      </c>
      <c r="N975" s="7" t="str">
        <f aca="false">IF(B975="Movie",IFERROR(VALUE(LEFT(I975,FIND(" ",I975)-1)),""),"")</f>
        <v/>
      </c>
      <c r="O975" s="7" t="n">
        <f aca="false">IF(B975="TV Show",IFERROR(VALUE(LEFT(I975,FIND(" ",I975)-1)),""),"")</f>
        <v>1</v>
      </c>
      <c r="P975" s="7" t="n">
        <f aca="false">IF(K975="","",K975-G975)</f>
        <v>2</v>
      </c>
    </row>
    <row r="976" customFormat="false" ht="15" hidden="false" customHeight="false" outlineLevel="0" collapsed="false">
      <c r="A976" s="7" t="n">
        <v>80097248</v>
      </c>
      <c r="B976" s="7" t="s">
        <v>78</v>
      </c>
      <c r="C976" s="7" t="s">
        <v>2353</v>
      </c>
      <c r="E976" s="7" t="s">
        <v>2354</v>
      </c>
      <c r="F976" s="7" t="s">
        <v>2342</v>
      </c>
      <c r="G976" s="7" t="n">
        <v>2012</v>
      </c>
      <c r="H976" s="7" t="s">
        <v>119</v>
      </c>
      <c r="I976" s="7" t="s">
        <v>82</v>
      </c>
      <c r="J976" s="7" t="s">
        <v>44</v>
      </c>
      <c r="K976" s="7" t="n">
        <f aca="false">IFERROR(VALUE(RIGHT(TRIM(F976),4)),"")</f>
        <v>2016</v>
      </c>
      <c r="L976" s="7" t="str">
        <f aca="false">IF(TRIM(E976)="","Unknown",IFERROR(LEFT(TRIM(E976),FIND(",",TRIM(E976))-1),TRIM(E976)))</f>
        <v>United States</v>
      </c>
      <c r="M976" s="7" t="str">
        <f aca="false">IFERROR(LEFT(J976,FIND(",",J976)-1),J976)</f>
        <v>Kids' TV</v>
      </c>
      <c r="N976" s="7" t="str">
        <f aca="false">IF(B976="Movie",IFERROR(VALUE(LEFT(I976,FIND(" ",I976)-1)),""),"")</f>
        <v/>
      </c>
      <c r="O976" s="7" t="n">
        <f aca="false">IF(B976="TV Show",IFERROR(VALUE(LEFT(I976,FIND(" ",I976)-1)),""),"")</f>
        <v>1</v>
      </c>
      <c r="P976" s="7" t="n">
        <f aca="false">IF(K976="","",K976-G976)</f>
        <v>4</v>
      </c>
    </row>
    <row r="977" customFormat="false" ht="15" hidden="false" customHeight="false" outlineLevel="0" collapsed="false">
      <c r="A977" s="7" t="n">
        <v>80098709</v>
      </c>
      <c r="B977" s="7" t="s">
        <v>68</v>
      </c>
      <c r="C977" s="7" t="s">
        <v>2355</v>
      </c>
      <c r="D977" s="7" t="s">
        <v>2356</v>
      </c>
      <c r="E977" s="7" t="s">
        <v>2357</v>
      </c>
      <c r="F977" s="7" t="s">
        <v>2342</v>
      </c>
      <c r="G977" s="7" t="n">
        <v>2016</v>
      </c>
      <c r="H977" s="7" t="s">
        <v>53</v>
      </c>
      <c r="I977" s="7" t="s">
        <v>138</v>
      </c>
      <c r="J977" s="7" t="s">
        <v>188</v>
      </c>
      <c r="K977" s="7" t="n">
        <f aca="false">IFERROR(VALUE(RIGHT(TRIM(F977),4)),"")</f>
        <v>2016</v>
      </c>
      <c r="L977" s="7" t="str">
        <f aca="false">IF(TRIM(E977)="","Unknown",IFERROR(LEFT(TRIM(E977),FIND(",",TRIM(E977))-1),TRIM(E977)))</f>
        <v>Chile</v>
      </c>
      <c r="M977" s="7" t="str">
        <f aca="false">IFERROR(LEFT(J977,FIND(",",J977)-1),J977)</f>
        <v>Dramas</v>
      </c>
      <c r="N977" s="7" t="n">
        <f aca="false">IF(B977="Movie",IFERROR(VALUE(LEFT(I977,FIND(" ",I977)-1)),""),"")</f>
        <v>96</v>
      </c>
      <c r="O977" s="7" t="str">
        <f aca="false">IF(B977="TV Show",IFERROR(VALUE(LEFT(I977,FIND(" ",I977)-1)),""),"")</f>
        <v/>
      </c>
      <c r="P977" s="7" t="n">
        <f aca="false">IF(K977="","",K977-G977)</f>
        <v>0</v>
      </c>
    </row>
    <row r="978" customFormat="false" ht="15" hidden="false" customHeight="false" outlineLevel="0" collapsed="false">
      <c r="A978" s="7" t="n">
        <v>80111556</v>
      </c>
      <c r="B978" s="7" t="s">
        <v>78</v>
      </c>
      <c r="C978" s="7" t="s">
        <v>2358</v>
      </c>
      <c r="E978" s="7" t="s">
        <v>970</v>
      </c>
      <c r="F978" s="7" t="s">
        <v>2342</v>
      </c>
      <c r="G978" s="7" t="n">
        <v>2015</v>
      </c>
      <c r="H978" s="7" t="s">
        <v>49</v>
      </c>
      <c r="I978" s="7" t="s">
        <v>82</v>
      </c>
      <c r="J978" s="7" t="s">
        <v>158</v>
      </c>
      <c r="K978" s="7" t="n">
        <f aca="false">IFERROR(VALUE(RIGHT(TRIM(F978),4)),"")</f>
        <v>2016</v>
      </c>
      <c r="L978" s="7" t="str">
        <f aca="false">IF(TRIM(E978)="","Unknown",IFERROR(LEFT(TRIM(E978),FIND(",",TRIM(E978))-1),TRIM(E978)))</f>
        <v>Taiwan</v>
      </c>
      <c r="M978" s="7" t="str">
        <f aca="false">IFERROR(LEFT(J978,FIND(",",J978)-1),J978)</f>
        <v>International TV Shows</v>
      </c>
      <c r="N978" s="7" t="str">
        <f aca="false">IF(B978="Movie",IFERROR(VALUE(LEFT(I978,FIND(" ",I978)-1)),""),"")</f>
        <v/>
      </c>
      <c r="O978" s="7" t="n">
        <f aca="false">IF(B978="TV Show",IFERROR(VALUE(LEFT(I978,FIND(" ",I978)-1)),""),"")</f>
        <v>1</v>
      </c>
      <c r="P978" s="7" t="n">
        <f aca="false">IF(K978="","",K978-G978)</f>
        <v>1</v>
      </c>
    </row>
    <row r="979" customFormat="false" ht="15" hidden="false" customHeight="false" outlineLevel="0" collapsed="false">
      <c r="A979" s="7" t="n">
        <v>80092849</v>
      </c>
      <c r="B979" s="7" t="s">
        <v>68</v>
      </c>
      <c r="C979" s="7" t="s">
        <v>2359</v>
      </c>
      <c r="D979" s="7" t="s">
        <v>484</v>
      </c>
      <c r="E979" s="7" t="s">
        <v>33</v>
      </c>
      <c r="F979" s="7" t="s">
        <v>2342</v>
      </c>
      <c r="G979" s="7" t="n">
        <v>2015</v>
      </c>
      <c r="H979" s="7" t="s">
        <v>48</v>
      </c>
      <c r="I979" s="7" t="s">
        <v>451</v>
      </c>
      <c r="J979" s="7" t="s">
        <v>202</v>
      </c>
      <c r="K979" s="7" t="n">
        <f aca="false">IFERROR(VALUE(RIGHT(TRIM(F979),4)),"")</f>
        <v>2016</v>
      </c>
      <c r="L979" s="7" t="str">
        <f aca="false">IF(TRIM(E979)="","Unknown",IFERROR(LEFT(TRIM(E979),FIND(",",TRIM(E979))-1),TRIM(E979)))</f>
        <v>Spain</v>
      </c>
      <c r="M979" s="7" t="str">
        <f aca="false">IFERROR(LEFT(J979,FIND(",",J979)-1),J979)</f>
        <v>Comedies</v>
      </c>
      <c r="N979" s="7" t="n">
        <f aca="false">IF(B979="Movie",IFERROR(VALUE(LEFT(I979,FIND(" ",I979)-1)),""),"")</f>
        <v>97</v>
      </c>
      <c r="O979" s="7" t="str">
        <f aca="false">IF(B979="TV Show",IFERROR(VALUE(LEFT(I979,FIND(" ",I979)-1)),""),"")</f>
        <v/>
      </c>
      <c r="P979" s="7" t="n">
        <f aca="false">IF(K979="","",K979-G979)</f>
        <v>1</v>
      </c>
    </row>
    <row r="980" customFormat="false" ht="15" hidden="false" customHeight="false" outlineLevel="0" collapsed="false">
      <c r="A980" s="7" t="n">
        <v>80107372</v>
      </c>
      <c r="B980" s="7" t="s">
        <v>68</v>
      </c>
      <c r="C980" s="7" t="s">
        <v>2360</v>
      </c>
      <c r="D980" s="7" t="s">
        <v>2197</v>
      </c>
      <c r="E980" s="7" t="s">
        <v>230</v>
      </c>
      <c r="F980" s="7" t="s">
        <v>2342</v>
      </c>
      <c r="G980" s="7" t="n">
        <v>2016</v>
      </c>
      <c r="H980" s="7" t="s">
        <v>55</v>
      </c>
      <c r="I980" s="7" t="s">
        <v>1191</v>
      </c>
      <c r="J980" s="7" t="s">
        <v>74</v>
      </c>
      <c r="K980" s="7" t="n">
        <f aca="false">IFERROR(VALUE(RIGHT(TRIM(F980),4)),"")</f>
        <v>2016</v>
      </c>
      <c r="L980" s="7" t="str">
        <f aca="false">IF(TRIM(E980)="","Unknown",IFERROR(LEFT(TRIM(E980),FIND(",",TRIM(E980))-1),TRIM(E980)))</f>
        <v>United States</v>
      </c>
      <c r="M980" s="7" t="str">
        <f aca="false">IFERROR(LEFT(J980,FIND(",",J980)-1),J980)</f>
        <v>Children &amp; Family Movies</v>
      </c>
      <c r="N980" s="7" t="n">
        <f aca="false">IF(B980="Movie",IFERROR(VALUE(LEFT(I980,FIND(" ",I980)-1)),""),"")</f>
        <v>73</v>
      </c>
      <c r="O980" s="7" t="str">
        <f aca="false">IF(B980="TV Show",IFERROR(VALUE(LEFT(I980,FIND(" ",I980)-1)),""),"")</f>
        <v/>
      </c>
      <c r="P980" s="7" t="n">
        <f aca="false">IF(K980="","",K980-G980)</f>
        <v>0</v>
      </c>
    </row>
    <row r="981" customFormat="false" ht="15" hidden="false" customHeight="false" outlineLevel="0" collapsed="false">
      <c r="A981" s="7" t="n">
        <v>80138584</v>
      </c>
      <c r="B981" s="7" t="s">
        <v>78</v>
      </c>
      <c r="C981" s="7" t="s">
        <v>2361</v>
      </c>
      <c r="D981" s="7" t="s">
        <v>2362</v>
      </c>
      <c r="E981" s="7" t="s">
        <v>26</v>
      </c>
      <c r="F981" s="7" t="s">
        <v>2342</v>
      </c>
      <c r="G981" s="7" t="n">
        <v>2015</v>
      </c>
      <c r="H981" s="7" t="s">
        <v>49</v>
      </c>
      <c r="I981" s="7" t="s">
        <v>82</v>
      </c>
      <c r="J981" s="7" t="s">
        <v>335</v>
      </c>
      <c r="K981" s="7" t="n">
        <f aca="false">IFERROR(VALUE(RIGHT(TRIM(F981),4)),"")</f>
        <v>2016</v>
      </c>
      <c r="L981" s="7" t="str">
        <f aca="false">IF(TRIM(E981)="","Unknown",IFERROR(LEFT(TRIM(E981),FIND(",",TRIM(E981))-1),TRIM(E981)))</f>
        <v>United States</v>
      </c>
      <c r="M981" s="7" t="str">
        <f aca="false">IFERROR(LEFT(J981,FIND(",",J981)-1),J981)</f>
        <v>International TV Shows</v>
      </c>
      <c r="N981" s="7" t="str">
        <f aca="false">IF(B981="Movie",IFERROR(VALUE(LEFT(I981,FIND(" ",I981)-1)),""),"")</f>
        <v/>
      </c>
      <c r="O981" s="7" t="n">
        <f aca="false">IF(B981="TV Show",IFERROR(VALUE(LEFT(I981,FIND(" ",I981)-1)),""),"")</f>
        <v>1</v>
      </c>
      <c r="P981" s="7" t="n">
        <f aca="false">IF(K981="","",K981-G981)</f>
        <v>1</v>
      </c>
    </row>
    <row r="982" customFormat="false" ht="15" hidden="false" customHeight="false" outlineLevel="0" collapsed="false">
      <c r="A982" s="7" t="n">
        <v>80006232</v>
      </c>
      <c r="B982" s="7" t="s">
        <v>68</v>
      </c>
      <c r="C982" s="7" t="s">
        <v>2363</v>
      </c>
      <c r="F982" s="7" t="s">
        <v>2342</v>
      </c>
      <c r="G982" s="7" t="n">
        <v>2016</v>
      </c>
      <c r="H982" s="7" t="s">
        <v>55</v>
      </c>
      <c r="I982" s="7" t="s">
        <v>2198</v>
      </c>
      <c r="J982" s="7" t="s">
        <v>10</v>
      </c>
      <c r="K982" s="7" t="n">
        <f aca="false">IFERROR(VALUE(RIGHT(TRIM(F982),4)),"")</f>
        <v>2016</v>
      </c>
      <c r="L982" s="7" t="str">
        <f aca="false">IF(TRIM(E982)="","Unknown",IFERROR(LEFT(TRIM(E982),FIND(",",TRIM(E982))-1),TRIM(E982)))</f>
        <v>Unknown</v>
      </c>
      <c r="M982" s="7" t="str">
        <f aca="false">IFERROR(LEFT(J982,FIND(",",J982)-1),J982)</f>
        <v>Movies</v>
      </c>
      <c r="N982" s="7" t="n">
        <f aca="false">IF(B982="Movie",IFERROR(VALUE(LEFT(I982,FIND(" ",I982)-1)),""),"")</f>
        <v>44</v>
      </c>
      <c r="O982" s="7" t="str">
        <f aca="false">IF(B982="TV Show",IFERROR(VALUE(LEFT(I982,FIND(" ",I982)-1)),""),"")</f>
        <v/>
      </c>
      <c r="P982" s="7" t="n">
        <f aca="false">IF(K982="","",K982-G982)</f>
        <v>0</v>
      </c>
    </row>
    <row r="983" customFormat="false" ht="15" hidden="false" customHeight="false" outlineLevel="0" collapsed="false">
      <c r="A983" s="7" t="n">
        <v>80106138</v>
      </c>
      <c r="B983" s="7" t="s">
        <v>68</v>
      </c>
      <c r="C983" s="7" t="s">
        <v>2364</v>
      </c>
      <c r="D983" s="7" t="s">
        <v>2365</v>
      </c>
      <c r="E983" s="7" t="s">
        <v>868</v>
      </c>
      <c r="F983" s="7" t="s">
        <v>2342</v>
      </c>
      <c r="G983" s="7" t="n">
        <v>2016</v>
      </c>
      <c r="H983" s="7" t="s">
        <v>53</v>
      </c>
      <c r="I983" s="7" t="s">
        <v>755</v>
      </c>
      <c r="J983" s="7" t="s">
        <v>304</v>
      </c>
      <c r="K983" s="7" t="n">
        <f aca="false">IFERROR(VALUE(RIGHT(TRIM(F983),4)),"")</f>
        <v>2016</v>
      </c>
      <c r="L983" s="7" t="str">
        <f aca="false">IF(TRIM(E983)="","Unknown",IFERROR(LEFT(TRIM(E983),FIND(",",TRIM(E983))-1),TRIM(E983)))</f>
        <v>Netherlands</v>
      </c>
      <c r="M983" s="7" t="str">
        <f aca="false">IFERROR(LEFT(J983,FIND(",",J983)-1),J983)</f>
        <v>Dramas</v>
      </c>
      <c r="N983" s="7" t="n">
        <f aca="false">IF(B983="Movie",IFERROR(VALUE(LEFT(I983,FIND(" ",I983)-1)),""),"")</f>
        <v>132</v>
      </c>
      <c r="O983" s="7" t="str">
        <f aca="false">IF(B983="TV Show",IFERROR(VALUE(LEFT(I983,FIND(" ",I983)-1)),""),"")</f>
        <v/>
      </c>
      <c r="P983" s="7" t="n">
        <f aca="false">IF(K983="","",K983-G983)</f>
        <v>0</v>
      </c>
    </row>
    <row r="984" customFormat="false" ht="15" hidden="false" customHeight="false" outlineLevel="0" collapsed="false">
      <c r="A984" s="7" t="n">
        <v>70205018</v>
      </c>
      <c r="B984" s="7" t="s">
        <v>78</v>
      </c>
      <c r="C984" s="7" t="s">
        <v>2366</v>
      </c>
      <c r="E984" s="7" t="s">
        <v>2367</v>
      </c>
      <c r="F984" s="7" t="s">
        <v>2342</v>
      </c>
      <c r="G984" s="7" t="n">
        <v>1985</v>
      </c>
      <c r="H984" s="7" t="s">
        <v>48</v>
      </c>
      <c r="I984" s="7" t="s">
        <v>82</v>
      </c>
      <c r="J984" s="7" t="s">
        <v>2368</v>
      </c>
      <c r="K984" s="7" t="n">
        <f aca="false">IFERROR(VALUE(RIGHT(TRIM(F984),4)),"")</f>
        <v>2016</v>
      </c>
      <c r="L984" s="7" t="str">
        <f aca="false">IF(TRIM(E984)="","Unknown",IFERROR(LEFT(TRIM(E984),FIND(",",TRIM(E984))-1),TRIM(E984)))</f>
        <v>United States</v>
      </c>
      <c r="M984" s="7" t="str">
        <f aca="false">IFERROR(LEFT(J984,FIND(",",J984)-1),J984)</f>
        <v>Anime Series</v>
      </c>
      <c r="N984" s="7" t="str">
        <f aca="false">IF(B984="Movie",IFERROR(VALUE(LEFT(I984,FIND(" ",I984)-1)),""),"")</f>
        <v/>
      </c>
      <c r="O984" s="7" t="n">
        <f aca="false">IF(B984="TV Show",IFERROR(VALUE(LEFT(I984,FIND(" ",I984)-1)),""),"")</f>
        <v>1</v>
      </c>
      <c r="P984" s="7" t="n">
        <f aca="false">IF(K984="","",K984-G984)</f>
        <v>31</v>
      </c>
    </row>
    <row r="985" customFormat="false" ht="15" hidden="false" customHeight="false" outlineLevel="0" collapsed="false">
      <c r="A985" s="7" t="n">
        <v>80111683</v>
      </c>
      <c r="B985" s="7" t="s">
        <v>78</v>
      </c>
      <c r="C985" s="7" t="s">
        <v>2369</v>
      </c>
      <c r="E985" s="7" t="s">
        <v>970</v>
      </c>
      <c r="F985" s="7" t="s">
        <v>2342</v>
      </c>
      <c r="G985" s="7" t="n">
        <v>2015</v>
      </c>
      <c r="H985" s="7" t="s">
        <v>49</v>
      </c>
      <c r="I985" s="7" t="s">
        <v>82</v>
      </c>
      <c r="J985" s="7" t="s">
        <v>314</v>
      </c>
      <c r="K985" s="7" t="n">
        <f aca="false">IFERROR(VALUE(RIGHT(TRIM(F985),4)),"")</f>
        <v>2016</v>
      </c>
      <c r="L985" s="7" t="str">
        <f aca="false">IF(TRIM(E985)="","Unknown",IFERROR(LEFT(TRIM(E985),FIND(",",TRIM(E985))-1),TRIM(E985)))</f>
        <v>Taiwan</v>
      </c>
      <c r="M985" s="7" t="str">
        <f aca="false">IFERROR(LEFT(J985,FIND(",",J985)-1),J985)</f>
        <v>International TV Shows</v>
      </c>
      <c r="N985" s="7" t="str">
        <f aca="false">IF(B985="Movie",IFERROR(VALUE(LEFT(I985,FIND(" ",I985)-1)),""),"")</f>
        <v/>
      </c>
      <c r="O985" s="7" t="n">
        <f aca="false">IF(B985="TV Show",IFERROR(VALUE(LEFT(I985,FIND(" ",I985)-1)),""),"")</f>
        <v>1</v>
      </c>
      <c r="P985" s="7" t="n">
        <f aca="false">IF(K985="","",K985-G985)</f>
        <v>1</v>
      </c>
    </row>
    <row r="986" customFormat="false" ht="15" hidden="false" customHeight="false" outlineLevel="0" collapsed="false">
      <c r="A986" s="7" t="n">
        <v>80038288</v>
      </c>
      <c r="B986" s="7" t="s">
        <v>68</v>
      </c>
      <c r="C986" s="7" t="s">
        <v>2370</v>
      </c>
      <c r="D986" s="7" t="s">
        <v>2371</v>
      </c>
      <c r="E986" s="7" t="s">
        <v>27</v>
      </c>
      <c r="F986" s="7" t="s">
        <v>2342</v>
      </c>
      <c r="G986" s="7" t="n">
        <v>2015</v>
      </c>
      <c r="H986" s="7" t="s">
        <v>49</v>
      </c>
      <c r="I986" s="7" t="s">
        <v>138</v>
      </c>
      <c r="J986" s="7" t="s">
        <v>188</v>
      </c>
      <c r="K986" s="7" t="n">
        <f aca="false">IFERROR(VALUE(RIGHT(TRIM(F986),4)),"")</f>
        <v>2016</v>
      </c>
      <c r="L986" s="7" t="str">
        <f aca="false">IF(TRIM(E986)="","Unknown",IFERROR(LEFT(TRIM(E986),FIND(",",TRIM(E986))-1),TRIM(E986)))</f>
        <v>India</v>
      </c>
      <c r="M986" s="7" t="str">
        <f aca="false">IFERROR(LEFT(J986,FIND(",",J986)-1),J986)</f>
        <v>Dramas</v>
      </c>
      <c r="N986" s="7" t="n">
        <f aca="false">IF(B986="Movie",IFERROR(VALUE(LEFT(I986,FIND(" ",I986)-1)),""),"")</f>
        <v>96</v>
      </c>
      <c r="O986" s="7" t="str">
        <f aca="false">IF(B986="TV Show",IFERROR(VALUE(LEFT(I986,FIND(" ",I986)-1)),""),"")</f>
        <v/>
      </c>
      <c r="P986" s="7" t="n">
        <f aca="false">IF(K986="","",K986-G986)</f>
        <v>1</v>
      </c>
    </row>
    <row r="987" customFormat="false" ht="15" hidden="false" customHeight="false" outlineLevel="0" collapsed="false">
      <c r="A987" s="7" t="n">
        <v>80109089</v>
      </c>
      <c r="B987" s="7" t="s">
        <v>68</v>
      </c>
      <c r="C987" s="7" t="s">
        <v>2372</v>
      </c>
      <c r="D987" s="7" t="s">
        <v>2373</v>
      </c>
      <c r="E987" s="7" t="s">
        <v>26</v>
      </c>
      <c r="F987" s="7" t="s">
        <v>2342</v>
      </c>
      <c r="G987" s="7" t="n">
        <v>2016</v>
      </c>
      <c r="H987" s="7" t="s">
        <v>53</v>
      </c>
      <c r="I987" s="7" t="s">
        <v>311</v>
      </c>
      <c r="J987" s="7" t="s">
        <v>1085</v>
      </c>
      <c r="K987" s="7" t="n">
        <f aca="false">IFERROR(VALUE(RIGHT(TRIM(F987),4)),"")</f>
        <v>2016</v>
      </c>
      <c r="L987" s="7" t="str">
        <f aca="false">IF(TRIM(E987)="","Unknown",IFERROR(LEFT(TRIM(E987),FIND(",",TRIM(E987))-1),TRIM(E987)))</f>
        <v>United States</v>
      </c>
      <c r="M987" s="7" t="str">
        <f aca="false">IFERROR(LEFT(J987,FIND(",",J987)-1),J987)</f>
        <v>Documentaries</v>
      </c>
      <c r="N987" s="7" t="n">
        <f aca="false">IF(B987="Movie",IFERROR(VALUE(LEFT(I987,FIND(" ",I987)-1)),""),"")</f>
        <v>92</v>
      </c>
      <c r="O987" s="7" t="str">
        <f aca="false">IF(B987="TV Show",IFERROR(VALUE(LEFT(I987,FIND(" ",I987)-1)),""),"")</f>
        <v/>
      </c>
      <c r="P987" s="7" t="n">
        <f aca="false">IF(K987="","",K987-G987)</f>
        <v>0</v>
      </c>
    </row>
    <row r="988" customFormat="false" ht="15" hidden="false" customHeight="false" outlineLevel="0" collapsed="false">
      <c r="A988" s="7" t="n">
        <v>80061797</v>
      </c>
      <c r="B988" s="7" t="s">
        <v>68</v>
      </c>
      <c r="C988" s="7" t="s">
        <v>2374</v>
      </c>
      <c r="D988" s="7" t="s">
        <v>2375</v>
      </c>
      <c r="E988" s="7" t="s">
        <v>855</v>
      </c>
      <c r="F988" s="7" t="s">
        <v>2342</v>
      </c>
      <c r="G988" s="7" t="n">
        <v>2013</v>
      </c>
      <c r="H988" s="7" t="s">
        <v>49</v>
      </c>
      <c r="I988" s="7" t="s">
        <v>87</v>
      </c>
      <c r="J988" s="7" t="s">
        <v>202</v>
      </c>
      <c r="K988" s="7" t="n">
        <f aca="false">IFERROR(VALUE(RIGHT(TRIM(F988),4)),"")</f>
        <v>2016</v>
      </c>
      <c r="L988" s="7" t="str">
        <f aca="false">IF(TRIM(E988)="","Unknown",IFERROR(LEFT(TRIM(E988),FIND(",",TRIM(E988))-1),TRIM(E988)))</f>
        <v>Italy</v>
      </c>
      <c r="M988" s="7" t="str">
        <f aca="false">IFERROR(LEFT(J988,FIND(",",J988)-1),J988)</f>
        <v>Comedies</v>
      </c>
      <c r="N988" s="7" t="n">
        <f aca="false">IF(B988="Movie",IFERROR(VALUE(LEFT(I988,FIND(" ",I988)-1)),""),"")</f>
        <v>99</v>
      </c>
      <c r="O988" s="7" t="str">
        <f aca="false">IF(B988="TV Show",IFERROR(VALUE(LEFT(I988,FIND(" ",I988)-1)),""),"")</f>
        <v/>
      </c>
      <c r="P988" s="7" t="n">
        <f aca="false">IF(K988="","",K988-G988)</f>
        <v>3</v>
      </c>
    </row>
    <row r="989" customFormat="false" ht="15" hidden="false" customHeight="false" outlineLevel="0" collapsed="false">
      <c r="A989" s="7" t="n">
        <v>80111845</v>
      </c>
      <c r="B989" s="7" t="s">
        <v>78</v>
      </c>
      <c r="C989" s="7" t="s">
        <v>2376</v>
      </c>
      <c r="E989" s="7" t="s">
        <v>970</v>
      </c>
      <c r="F989" s="7" t="s">
        <v>2342</v>
      </c>
      <c r="G989" s="7" t="n">
        <v>2015</v>
      </c>
      <c r="H989" s="7" t="s">
        <v>49</v>
      </c>
      <c r="I989" s="7" t="s">
        <v>82</v>
      </c>
      <c r="J989" s="7" t="s">
        <v>158</v>
      </c>
      <c r="K989" s="7" t="n">
        <f aca="false">IFERROR(VALUE(RIGHT(TRIM(F989),4)),"")</f>
        <v>2016</v>
      </c>
      <c r="L989" s="7" t="str">
        <f aca="false">IF(TRIM(E989)="","Unknown",IFERROR(LEFT(TRIM(E989),FIND(",",TRIM(E989))-1),TRIM(E989)))</f>
        <v>Taiwan</v>
      </c>
      <c r="M989" s="7" t="str">
        <f aca="false">IFERROR(LEFT(J989,FIND(",",J989)-1),J989)</f>
        <v>International TV Shows</v>
      </c>
      <c r="N989" s="7" t="str">
        <f aca="false">IF(B989="Movie",IFERROR(VALUE(LEFT(I989,FIND(" ",I989)-1)),""),"")</f>
        <v/>
      </c>
      <c r="O989" s="7" t="n">
        <f aca="false">IF(B989="TV Show",IFERROR(VALUE(LEFT(I989,FIND(" ",I989)-1)),""),"")</f>
        <v>1</v>
      </c>
      <c r="P989" s="7" t="n">
        <f aca="false">IF(K989="","",K989-G989)</f>
        <v>1</v>
      </c>
    </row>
    <row r="990" customFormat="false" ht="15" hidden="false" customHeight="false" outlineLevel="0" collapsed="false">
      <c r="A990" s="7" t="n">
        <v>80048100</v>
      </c>
      <c r="B990" s="7" t="s">
        <v>78</v>
      </c>
      <c r="C990" s="7" t="s">
        <v>2377</v>
      </c>
      <c r="E990" s="7" t="s">
        <v>31</v>
      </c>
      <c r="F990" s="7" t="s">
        <v>2378</v>
      </c>
      <c r="G990" s="7" t="n">
        <v>2014</v>
      </c>
      <c r="H990" s="7" t="s">
        <v>81</v>
      </c>
      <c r="I990" s="7" t="s">
        <v>82</v>
      </c>
      <c r="J990" s="7" t="s">
        <v>44</v>
      </c>
      <c r="K990" s="7" t="n">
        <f aca="false">IFERROR(VALUE(RIGHT(TRIM(F990),4)),"")</f>
        <v>2015</v>
      </c>
      <c r="L990" s="7" t="str">
        <f aca="false">IF(TRIM(E990)="","Unknown",IFERROR(LEFT(TRIM(E990),FIND(",",TRIM(E990))-1),TRIM(E990)))</f>
        <v>France</v>
      </c>
      <c r="M990" s="7" t="str">
        <f aca="false">IFERROR(LEFT(J990,FIND(",",J990)-1),J990)</f>
        <v>Kids' TV</v>
      </c>
      <c r="N990" s="7" t="str">
        <f aca="false">IF(B990="Movie",IFERROR(VALUE(LEFT(I990,FIND(" ",I990)-1)),""),"")</f>
        <v/>
      </c>
      <c r="O990" s="7" t="n">
        <f aca="false">IF(B990="TV Show",IFERROR(VALUE(LEFT(I990,FIND(" ",I990)-1)),""),"")</f>
        <v>1</v>
      </c>
      <c r="P990" s="7" t="n">
        <f aca="false">IF(K990="","",K990-G990)</f>
        <v>1</v>
      </c>
    </row>
    <row r="991" customFormat="false" ht="15" hidden="false" customHeight="false" outlineLevel="0" collapsed="false">
      <c r="A991" s="7" t="n">
        <v>70206821</v>
      </c>
      <c r="B991" s="7" t="s">
        <v>68</v>
      </c>
      <c r="C991" s="7" t="s">
        <v>2379</v>
      </c>
      <c r="D991" s="7" t="s">
        <v>2380</v>
      </c>
      <c r="E991" s="7" t="s">
        <v>26</v>
      </c>
      <c r="F991" s="7" t="s">
        <v>2381</v>
      </c>
      <c r="G991" s="7" t="n">
        <v>1988</v>
      </c>
      <c r="H991" s="7" t="s">
        <v>53</v>
      </c>
      <c r="I991" s="7" t="s">
        <v>111</v>
      </c>
      <c r="J991" s="7" t="s">
        <v>37</v>
      </c>
      <c r="K991" s="7" t="n">
        <f aca="false">IFERROR(VALUE(RIGHT(TRIM(F991),4)),"")</f>
        <v>2011</v>
      </c>
      <c r="L991" s="7" t="str">
        <f aca="false">IF(TRIM(E991)="","Unknown",IFERROR(LEFT(TRIM(E991),FIND(",",TRIM(E991))-1),TRIM(E991)))</f>
        <v>United States</v>
      </c>
      <c r="M991" s="7" t="str">
        <f aca="false">IFERROR(LEFT(J991,FIND(",",J991)-1),J991)</f>
        <v>Dramas</v>
      </c>
      <c r="N991" s="7" t="n">
        <f aca="false">IF(B991="Movie",IFERROR(VALUE(LEFT(I991,FIND(" ",I991)-1)),""),"")</f>
        <v>95</v>
      </c>
      <c r="O991" s="7" t="str">
        <f aca="false">IF(B991="TV Show",IFERROR(VALUE(LEFT(I991,FIND(" ",I991)-1)),""),"")</f>
        <v/>
      </c>
      <c r="P991" s="7" t="n">
        <f aca="false">IF(K991="","",K991-G991)</f>
        <v>23</v>
      </c>
    </row>
    <row r="992" customFormat="false" ht="15" hidden="false" customHeight="false" outlineLevel="0" collapsed="false">
      <c r="A992" s="7" t="n">
        <v>70206816</v>
      </c>
      <c r="B992" s="7" t="s">
        <v>68</v>
      </c>
      <c r="C992" s="7" t="s">
        <v>2382</v>
      </c>
      <c r="D992" s="7" t="s">
        <v>2383</v>
      </c>
      <c r="E992" s="7" t="s">
        <v>26</v>
      </c>
      <c r="F992" s="7" t="s">
        <v>2381</v>
      </c>
      <c r="G992" s="7" t="n">
        <v>1986</v>
      </c>
      <c r="H992" s="7" t="s">
        <v>53</v>
      </c>
      <c r="I992" s="7" t="s">
        <v>138</v>
      </c>
      <c r="J992" s="7" t="s">
        <v>37</v>
      </c>
      <c r="K992" s="7" t="n">
        <f aca="false">IFERROR(VALUE(RIGHT(TRIM(F992),4)),"")</f>
        <v>2011</v>
      </c>
      <c r="L992" s="7" t="str">
        <f aca="false">IF(TRIM(E992)="","Unknown",IFERROR(LEFT(TRIM(E992),FIND(",",TRIM(E992))-1),TRIM(E992)))</f>
        <v>United States</v>
      </c>
      <c r="M992" s="7" t="str">
        <f aca="false">IFERROR(LEFT(J992,FIND(",",J992)-1),J992)</f>
        <v>Dramas</v>
      </c>
      <c r="N992" s="7" t="n">
        <f aca="false">IF(B992="Movie",IFERROR(VALUE(LEFT(I992,FIND(" ",I992)-1)),""),"")</f>
        <v>96</v>
      </c>
      <c r="O992" s="7" t="str">
        <f aca="false">IF(B992="TV Show",IFERROR(VALUE(LEFT(I992,FIND(" ",I992)-1)),""),"")</f>
        <v/>
      </c>
      <c r="P992" s="7" t="n">
        <f aca="false">IF(K992="","",K992-G992)</f>
        <v>25</v>
      </c>
    </row>
    <row r="993" customFormat="false" ht="15" hidden="false" customHeight="false" outlineLevel="0" collapsed="false">
      <c r="A993" s="7" t="n">
        <v>60022914</v>
      </c>
      <c r="B993" s="7" t="s">
        <v>68</v>
      </c>
      <c r="C993" s="7" t="s">
        <v>2384</v>
      </c>
      <c r="D993" s="7" t="s">
        <v>2385</v>
      </c>
      <c r="E993" s="7" t="s">
        <v>26</v>
      </c>
      <c r="F993" s="7" t="s">
        <v>2381</v>
      </c>
      <c r="G993" s="7" t="n">
        <v>1986</v>
      </c>
      <c r="H993" s="7" t="s">
        <v>53</v>
      </c>
      <c r="I993" s="7" t="s">
        <v>77</v>
      </c>
      <c r="J993" s="7" t="s">
        <v>37</v>
      </c>
      <c r="K993" s="7" t="n">
        <f aca="false">IFERROR(VALUE(RIGHT(TRIM(F993),4)),"")</f>
        <v>2011</v>
      </c>
      <c r="L993" s="7" t="str">
        <f aca="false">IF(TRIM(E993)="","Unknown",IFERROR(LEFT(TRIM(E993),FIND(",",TRIM(E993))-1),TRIM(E993)))</f>
        <v>United States</v>
      </c>
      <c r="M993" s="7" t="str">
        <f aca="false">IFERROR(LEFT(J993,FIND(",",J993)-1),J993)</f>
        <v>Dramas</v>
      </c>
      <c r="N993" s="7" t="n">
        <f aca="false">IF(B993="Movie",IFERROR(VALUE(LEFT(I993,FIND(" ",I993)-1)),""),"")</f>
        <v>94</v>
      </c>
      <c r="O993" s="7" t="str">
        <f aca="false">IF(B993="TV Show",IFERROR(VALUE(LEFT(I993,FIND(" ",I993)-1)),""),"")</f>
        <v/>
      </c>
      <c r="P993" s="7" t="n">
        <f aca="false">IF(K993="","",K993-G993)</f>
        <v>25</v>
      </c>
    </row>
    <row r="994" customFormat="false" ht="15" hidden="false" customHeight="false" outlineLevel="0" collapsed="false">
      <c r="A994" s="7" t="n">
        <v>70206818</v>
      </c>
      <c r="B994" s="7" t="s">
        <v>68</v>
      </c>
      <c r="C994" s="7" t="s">
        <v>2386</v>
      </c>
      <c r="D994" s="7" t="s">
        <v>2387</v>
      </c>
      <c r="E994" s="7" t="s">
        <v>26</v>
      </c>
      <c r="F994" s="7" t="s">
        <v>2381</v>
      </c>
      <c r="G994" s="7" t="n">
        <v>1990</v>
      </c>
      <c r="H994" s="7" t="s">
        <v>53</v>
      </c>
      <c r="I994" s="7" t="s">
        <v>77</v>
      </c>
      <c r="J994" s="7" t="s">
        <v>37</v>
      </c>
      <c r="K994" s="7" t="n">
        <f aca="false">IFERROR(VALUE(RIGHT(TRIM(F994),4)),"")</f>
        <v>2011</v>
      </c>
      <c r="L994" s="7" t="str">
        <f aca="false">IF(TRIM(E994)="","Unknown",IFERROR(LEFT(TRIM(E994),FIND(",",TRIM(E994))-1),TRIM(E994)))</f>
        <v>United States</v>
      </c>
      <c r="M994" s="7" t="str">
        <f aca="false">IFERROR(LEFT(J994,FIND(",",J994)-1),J994)</f>
        <v>Dramas</v>
      </c>
      <c r="N994" s="7" t="n">
        <f aca="false">IF(B994="Movie",IFERROR(VALUE(LEFT(I994,FIND(" ",I994)-1)),""),"")</f>
        <v>94</v>
      </c>
      <c r="O994" s="7" t="str">
        <f aca="false">IF(B994="TV Show",IFERROR(VALUE(LEFT(I994,FIND(" ",I994)-1)),""),"")</f>
        <v/>
      </c>
      <c r="P994" s="7" t="n">
        <f aca="false">IF(K994="","",K994-G994)</f>
        <v>21</v>
      </c>
    </row>
    <row r="995" customFormat="false" ht="15" hidden="false" customHeight="false" outlineLevel="0" collapsed="false">
      <c r="A995" s="7" t="n">
        <v>70206819</v>
      </c>
      <c r="B995" s="7" t="s">
        <v>68</v>
      </c>
      <c r="C995" s="7" t="s">
        <v>2388</v>
      </c>
      <c r="D995" s="7" t="s">
        <v>2389</v>
      </c>
      <c r="E995" s="7" t="s">
        <v>26</v>
      </c>
      <c r="F995" s="7" t="s">
        <v>2381</v>
      </c>
      <c r="G995" s="7" t="n">
        <v>1988</v>
      </c>
      <c r="H995" s="7" t="s">
        <v>50</v>
      </c>
      <c r="I995" s="7" t="s">
        <v>272</v>
      </c>
      <c r="J995" s="7" t="s">
        <v>1383</v>
      </c>
      <c r="K995" s="7" t="n">
        <f aca="false">IFERROR(VALUE(RIGHT(TRIM(F995),4)),"")</f>
        <v>2011</v>
      </c>
      <c r="L995" s="7" t="str">
        <f aca="false">IF(TRIM(E995)="","Unknown",IFERROR(LEFT(TRIM(E995),FIND(",",TRIM(E995))-1),TRIM(E995)))</f>
        <v>United States</v>
      </c>
      <c r="M995" s="7" t="str">
        <f aca="false">IFERROR(LEFT(J995,FIND(",",J995)-1),J995)</f>
        <v>Dramas</v>
      </c>
      <c r="N995" s="7" t="n">
        <f aca="false">IF(B995="Movie",IFERROR(VALUE(LEFT(I995,FIND(" ",I995)-1)),""),"")</f>
        <v>93</v>
      </c>
      <c r="O995" s="7" t="str">
        <f aca="false">IF(B995="TV Show",IFERROR(VALUE(LEFT(I995,FIND(" ",I995)-1)),""),"")</f>
        <v/>
      </c>
      <c r="P995" s="7" t="n">
        <f aca="false">IF(K995="","",K995-G995)</f>
        <v>23</v>
      </c>
    </row>
    <row r="996" customFormat="false" ht="15" hidden="false" customHeight="false" outlineLevel="0" collapsed="false">
      <c r="A996" s="7" t="n">
        <v>70206822</v>
      </c>
      <c r="B996" s="7" t="s">
        <v>68</v>
      </c>
      <c r="C996" s="7" t="s">
        <v>2390</v>
      </c>
      <c r="D996" s="7" t="s">
        <v>2391</v>
      </c>
      <c r="E996" s="7" t="s">
        <v>26</v>
      </c>
      <c r="F996" s="7" t="s">
        <v>2381</v>
      </c>
      <c r="G996" s="7" t="n">
        <v>1987</v>
      </c>
      <c r="H996" s="7" t="s">
        <v>53</v>
      </c>
      <c r="I996" s="7" t="s">
        <v>138</v>
      </c>
      <c r="J996" s="7" t="s">
        <v>37</v>
      </c>
      <c r="K996" s="7" t="n">
        <f aca="false">IFERROR(VALUE(RIGHT(TRIM(F996),4)),"")</f>
        <v>2011</v>
      </c>
      <c r="L996" s="7" t="str">
        <f aca="false">IF(TRIM(E996)="","Unknown",IFERROR(LEFT(TRIM(E996),FIND(",",TRIM(E996))-1),TRIM(E996)))</f>
        <v>United States</v>
      </c>
      <c r="M996" s="7" t="str">
        <f aca="false">IFERROR(LEFT(J996,FIND(",",J996)-1),J996)</f>
        <v>Dramas</v>
      </c>
      <c r="N996" s="7" t="n">
        <f aca="false">IF(B996="Movie",IFERROR(VALUE(LEFT(I996,FIND(" ",I996)-1)),""),"")</f>
        <v>96</v>
      </c>
      <c r="O996" s="7" t="str">
        <f aca="false">IF(B996="TV Show",IFERROR(VALUE(LEFT(I996,FIND(" ",I996)-1)),""),"")</f>
        <v/>
      </c>
      <c r="P996" s="7" t="n">
        <f aca="false">IF(K996="","",K996-G996)</f>
        <v>24</v>
      </c>
    </row>
    <row r="997" customFormat="false" ht="15" hidden="false" customHeight="false" outlineLevel="0" collapsed="false">
      <c r="A997" s="7" t="n">
        <v>70206820</v>
      </c>
      <c r="B997" s="7" t="s">
        <v>68</v>
      </c>
      <c r="C997" s="7" t="s">
        <v>2392</v>
      </c>
      <c r="D997" s="7" t="s">
        <v>2393</v>
      </c>
      <c r="E997" s="7" t="s">
        <v>26</v>
      </c>
      <c r="F997" s="7" t="s">
        <v>2381</v>
      </c>
      <c r="G997" s="7" t="n">
        <v>1989</v>
      </c>
      <c r="H997" s="7" t="s">
        <v>50</v>
      </c>
      <c r="I997" s="7" t="s">
        <v>77</v>
      </c>
      <c r="J997" s="7" t="s">
        <v>37</v>
      </c>
      <c r="K997" s="7" t="n">
        <f aca="false">IFERROR(VALUE(RIGHT(TRIM(F997),4)),"")</f>
        <v>2011</v>
      </c>
      <c r="L997" s="7" t="str">
        <f aca="false">IF(TRIM(E997)="","Unknown",IFERROR(LEFT(TRIM(E997),FIND(",",TRIM(E997))-1),TRIM(E997)))</f>
        <v>United States</v>
      </c>
      <c r="M997" s="7" t="str">
        <f aca="false">IFERROR(LEFT(J997,FIND(",",J997)-1),J997)</f>
        <v>Dramas</v>
      </c>
      <c r="N997" s="7" t="n">
        <f aca="false">IF(B997="Movie",IFERROR(VALUE(LEFT(I997,FIND(" ",I997)-1)),""),"")</f>
        <v>94</v>
      </c>
      <c r="O997" s="7" t="str">
        <f aca="false">IF(B997="TV Show",IFERROR(VALUE(LEFT(I997,FIND(" ",I997)-1)),""),"")</f>
        <v/>
      </c>
      <c r="P997" s="7" t="n">
        <f aca="false">IF(K997="","",K997-G997)</f>
        <v>22</v>
      </c>
    </row>
    <row r="998" customFormat="false" ht="15" hidden="false" customHeight="false" outlineLevel="0" collapsed="false">
      <c r="A998" s="7" t="n">
        <v>70206823</v>
      </c>
      <c r="B998" s="7" t="s">
        <v>68</v>
      </c>
      <c r="C998" s="7" t="s">
        <v>2394</v>
      </c>
      <c r="D998" s="7" t="s">
        <v>2395</v>
      </c>
      <c r="E998" s="7" t="s">
        <v>26</v>
      </c>
      <c r="F998" s="7" t="s">
        <v>2381</v>
      </c>
      <c r="G998" s="7" t="n">
        <v>1988</v>
      </c>
      <c r="H998" s="7" t="s">
        <v>53</v>
      </c>
      <c r="I998" s="7" t="s">
        <v>77</v>
      </c>
      <c r="J998" s="7" t="s">
        <v>37</v>
      </c>
      <c r="K998" s="7" t="n">
        <f aca="false">IFERROR(VALUE(RIGHT(TRIM(F998),4)),"")</f>
        <v>2011</v>
      </c>
      <c r="L998" s="7" t="str">
        <f aca="false">IF(TRIM(E998)="","Unknown",IFERROR(LEFT(TRIM(E998),FIND(",",TRIM(E998))-1),TRIM(E998)))</f>
        <v>United States</v>
      </c>
      <c r="M998" s="7" t="str">
        <f aca="false">IFERROR(LEFT(J998,FIND(",",J998)-1),J998)</f>
        <v>Dramas</v>
      </c>
      <c r="N998" s="7" t="n">
        <f aca="false">IF(B998="Movie",IFERROR(VALUE(LEFT(I998,FIND(" ",I998)-1)),""),"")</f>
        <v>94</v>
      </c>
      <c r="O998" s="7" t="str">
        <f aca="false">IF(B998="TV Show",IFERROR(VALUE(LEFT(I998,FIND(" ",I998)-1)),""),"")</f>
        <v/>
      </c>
      <c r="P998" s="7" t="n">
        <f aca="false">IF(K998="","",K998-G998)</f>
        <v>23</v>
      </c>
    </row>
    <row r="999" customFormat="false" ht="15" hidden="false" customHeight="false" outlineLevel="0" collapsed="false">
      <c r="A999" s="7" t="n">
        <v>70206824</v>
      </c>
      <c r="B999" s="7" t="s">
        <v>68</v>
      </c>
      <c r="C999" s="7" t="s">
        <v>2396</v>
      </c>
      <c r="D999" s="7" t="s">
        <v>2397</v>
      </c>
      <c r="E999" s="7" t="s">
        <v>26</v>
      </c>
      <c r="F999" s="7" t="s">
        <v>2381</v>
      </c>
      <c r="G999" s="7" t="n">
        <v>1991</v>
      </c>
      <c r="H999" s="7" t="s">
        <v>50</v>
      </c>
      <c r="I999" s="7" t="s">
        <v>272</v>
      </c>
      <c r="J999" s="7" t="s">
        <v>1383</v>
      </c>
      <c r="K999" s="7" t="n">
        <f aca="false">IFERROR(VALUE(RIGHT(TRIM(F999),4)),"")</f>
        <v>2011</v>
      </c>
      <c r="L999" s="7" t="str">
        <f aca="false">IF(TRIM(E999)="","Unknown",IFERROR(LEFT(TRIM(E999),FIND(",",TRIM(E999))-1),TRIM(E999)))</f>
        <v>United States</v>
      </c>
      <c r="M999" s="7" t="str">
        <f aca="false">IFERROR(LEFT(J999,FIND(",",J999)-1),J999)</f>
        <v>Dramas</v>
      </c>
      <c r="N999" s="7" t="n">
        <f aca="false">IF(B999="Movie",IFERROR(VALUE(LEFT(I999,FIND(" ",I999)-1)),""),"")</f>
        <v>93</v>
      </c>
      <c r="O999" s="7" t="str">
        <f aca="false">IF(B999="TV Show",IFERROR(VALUE(LEFT(I999,FIND(" ",I999)-1)),""),"")</f>
        <v/>
      </c>
      <c r="P999" s="7" t="n">
        <f aca="false">IF(K999="","",K999-G999)</f>
        <v>20</v>
      </c>
    </row>
    <row r="1000" customFormat="false" ht="15" hidden="false" customHeight="false" outlineLevel="0" collapsed="false">
      <c r="A1000" s="7" t="n">
        <v>70206825</v>
      </c>
      <c r="B1000" s="7" t="s">
        <v>68</v>
      </c>
      <c r="C1000" s="7" t="s">
        <v>2398</v>
      </c>
      <c r="D1000" s="7" t="s">
        <v>2399</v>
      </c>
      <c r="E1000" s="7" t="s">
        <v>26</v>
      </c>
      <c r="F1000" s="7" t="s">
        <v>2381</v>
      </c>
      <c r="G1000" s="7" t="n">
        <v>1990</v>
      </c>
      <c r="H1000" s="7" t="s">
        <v>53</v>
      </c>
      <c r="I1000" s="7" t="s">
        <v>111</v>
      </c>
      <c r="J1000" s="7" t="s">
        <v>37</v>
      </c>
      <c r="K1000" s="7" t="n">
        <f aca="false">IFERROR(VALUE(RIGHT(TRIM(F1000),4)),"")</f>
        <v>2011</v>
      </c>
      <c r="L1000" s="7" t="str">
        <f aca="false">IF(TRIM(E1000)="","Unknown",IFERROR(LEFT(TRIM(E1000),FIND(",",TRIM(E1000))-1),TRIM(E1000)))</f>
        <v>United States</v>
      </c>
      <c r="M1000" s="7" t="str">
        <f aca="false">IFERROR(LEFT(J1000,FIND(",",J1000)-1),J1000)</f>
        <v>Dramas</v>
      </c>
      <c r="N1000" s="7" t="n">
        <f aca="false">IF(B1000="Movie",IFERROR(VALUE(LEFT(I1000,FIND(" ",I1000)-1)),""),"")</f>
        <v>95</v>
      </c>
      <c r="O1000" s="7" t="str">
        <f aca="false">IF(B1000="TV Show",IFERROR(VALUE(LEFT(I1000,FIND(" ",I1000)-1)),""),"")</f>
        <v/>
      </c>
      <c r="P1000" s="7" t="n">
        <f aca="false">IF(K1000="","",K1000-G1000)</f>
        <v>21</v>
      </c>
    </row>
    <row r="1001" customFormat="false" ht="15" hidden="false" customHeight="false" outlineLevel="0" collapsed="false">
      <c r="A1001" s="7" t="n">
        <v>70206826</v>
      </c>
      <c r="B1001" s="7" t="s">
        <v>68</v>
      </c>
      <c r="C1001" s="7" t="s">
        <v>2400</v>
      </c>
      <c r="D1001" s="7" t="s">
        <v>2401</v>
      </c>
      <c r="E1001" s="7" t="s">
        <v>26</v>
      </c>
      <c r="F1001" s="7" t="s">
        <v>2381</v>
      </c>
      <c r="G1001" s="7" t="n">
        <v>1991</v>
      </c>
      <c r="H1001" s="7" t="s">
        <v>53</v>
      </c>
      <c r="I1001" s="7" t="s">
        <v>272</v>
      </c>
      <c r="J1001" s="7" t="s">
        <v>597</v>
      </c>
      <c r="K1001" s="7" t="n">
        <f aca="false">IFERROR(VALUE(RIGHT(TRIM(F1001),4)),"")</f>
        <v>2011</v>
      </c>
      <c r="L1001" s="7" t="str">
        <f aca="false">IF(TRIM(E1001)="","Unknown",IFERROR(LEFT(TRIM(E1001),FIND(",",TRIM(E1001))-1),TRIM(E1001)))</f>
        <v>United States</v>
      </c>
      <c r="M1001" s="7" t="str">
        <f aca="false">IFERROR(LEFT(J1001,FIND(",",J1001)-1),J1001)</f>
        <v>Dramas</v>
      </c>
      <c r="N1001" s="7" t="n">
        <f aca="false">IF(B1001="Movie",IFERROR(VALUE(LEFT(I1001,FIND(" ",I1001)-1)),""),"")</f>
        <v>93</v>
      </c>
      <c r="O1001" s="7" t="str">
        <f aca="false">IF(B1001="TV Show",IFERROR(VALUE(LEFT(I1001,FIND(" ",I1001)-1)),""),"")</f>
        <v/>
      </c>
      <c r="P1001" s="7" t="n">
        <f aca="false">IF(K1001="","",K1001-G1001)</f>
        <v>20</v>
      </c>
    </row>
    <row r="1002" customFormat="false" ht="15" hidden="false" customHeight="false" outlineLevel="0" collapsed="false">
      <c r="A1002" s="7" t="n">
        <v>81029831</v>
      </c>
      <c r="B1002" s="7" t="s">
        <v>68</v>
      </c>
      <c r="C1002" s="7" t="s">
        <v>2402</v>
      </c>
      <c r="D1002" s="7" t="s">
        <v>2403</v>
      </c>
      <c r="E1002" s="7" t="s">
        <v>411</v>
      </c>
      <c r="F1002" s="7" t="s">
        <v>2404</v>
      </c>
      <c r="G1002" s="7" t="n">
        <v>2009</v>
      </c>
      <c r="H1002" s="7" t="s">
        <v>49</v>
      </c>
      <c r="I1002" s="7" t="s">
        <v>87</v>
      </c>
      <c r="J1002" s="7" t="s">
        <v>206</v>
      </c>
      <c r="K1002" s="7" t="n">
        <f aca="false">IFERROR(VALUE(RIGHT(TRIM(F1002),4)),"")</f>
        <v>2018</v>
      </c>
      <c r="L1002" s="7" t="str">
        <f aca="false">IF(TRIM(E1002)="","Unknown",IFERROR(LEFT(TRIM(E1002),FIND(",",TRIM(E1002))-1),TRIM(E1002)))</f>
        <v>Hong Kong</v>
      </c>
      <c r="M1002" s="7" t="str">
        <f aca="false">IFERROR(LEFT(J1002,FIND(",",J1002)-1),J1002)</f>
        <v>Comedies</v>
      </c>
      <c r="N1002" s="7" t="n">
        <f aca="false">IF(B1002="Movie",IFERROR(VALUE(LEFT(I1002,FIND(" ",I1002)-1)),""),"")</f>
        <v>99</v>
      </c>
      <c r="O1002" s="7" t="str">
        <f aca="false">IF(B1002="TV Show",IFERROR(VALUE(LEFT(I1002,FIND(" ",I1002)-1)),""),"")</f>
        <v/>
      </c>
      <c r="P1002" s="7" t="n">
        <f aca="false">IF(K1002="","",K1002-G1002)</f>
        <v>9</v>
      </c>
    </row>
    <row r="1003" customFormat="false" ht="15" hidden="false" customHeight="false" outlineLevel="0" collapsed="false">
      <c r="A1003" s="7" t="n">
        <v>80194289</v>
      </c>
      <c r="B1003" s="7" t="s">
        <v>68</v>
      </c>
      <c r="C1003" s="7" t="s">
        <v>2405</v>
      </c>
      <c r="D1003" s="7" t="s">
        <v>2406</v>
      </c>
      <c r="E1003" s="7" t="s">
        <v>2407</v>
      </c>
      <c r="F1003" s="7" t="s">
        <v>2404</v>
      </c>
      <c r="G1003" s="7" t="n">
        <v>2017</v>
      </c>
      <c r="H1003" s="7" t="s">
        <v>48</v>
      </c>
      <c r="I1003" s="7" t="s">
        <v>755</v>
      </c>
      <c r="J1003" s="7" t="s">
        <v>188</v>
      </c>
      <c r="K1003" s="7" t="n">
        <f aca="false">IFERROR(VALUE(RIGHT(TRIM(F1003),4)),"")</f>
        <v>2018</v>
      </c>
      <c r="L1003" s="7" t="str">
        <f aca="false">IF(TRIM(E1003)="","Unknown",IFERROR(LEFT(TRIM(E1003),FIND(",",TRIM(E1003))-1),TRIM(E1003)))</f>
        <v>Brazil</v>
      </c>
      <c r="M1003" s="7" t="str">
        <f aca="false">IFERROR(LEFT(J1003,FIND(",",J1003)-1),J1003)</f>
        <v>Dramas</v>
      </c>
      <c r="N1003" s="7" t="n">
        <f aca="false">IF(B1003="Movie",IFERROR(VALUE(LEFT(I1003,FIND(" ",I1003)-1)),""),"")</f>
        <v>132</v>
      </c>
      <c r="O1003" s="7" t="str">
        <f aca="false">IF(B1003="TV Show",IFERROR(VALUE(LEFT(I1003,FIND(" ",I1003)-1)),""),"")</f>
        <v/>
      </c>
      <c r="P1003" s="7" t="n">
        <f aca="false">IF(K1003="","",K1003-G1003)</f>
        <v>1</v>
      </c>
    </row>
    <row r="1004" customFormat="false" ht="15" hidden="false" customHeight="false" outlineLevel="0" collapsed="false">
      <c r="A1004" s="7" t="n">
        <v>80191219</v>
      </c>
      <c r="B1004" s="7" t="s">
        <v>68</v>
      </c>
      <c r="C1004" s="7" t="s">
        <v>2408</v>
      </c>
      <c r="D1004" s="7" t="s">
        <v>2409</v>
      </c>
      <c r="E1004" s="7" t="s">
        <v>1081</v>
      </c>
      <c r="F1004" s="7" t="s">
        <v>2404</v>
      </c>
      <c r="G1004" s="7" t="n">
        <v>2017</v>
      </c>
      <c r="H1004" s="7" t="s">
        <v>48</v>
      </c>
      <c r="I1004" s="7" t="s">
        <v>173</v>
      </c>
      <c r="J1004" s="7" t="s">
        <v>202</v>
      </c>
      <c r="K1004" s="7" t="n">
        <f aca="false">IFERROR(VALUE(RIGHT(TRIM(F1004),4)),"")</f>
        <v>2018</v>
      </c>
      <c r="L1004" s="7" t="str">
        <f aca="false">IF(TRIM(E1004)="","Unknown",IFERROR(LEFT(TRIM(E1004),FIND(",",TRIM(E1004))-1),TRIM(E1004)))</f>
        <v>Germany</v>
      </c>
      <c r="M1004" s="7" t="str">
        <f aca="false">IFERROR(LEFT(J1004,FIND(",",J1004)-1),J1004)</f>
        <v>Comedies</v>
      </c>
      <c r="N1004" s="7" t="n">
        <f aca="false">IF(B1004="Movie",IFERROR(VALUE(LEFT(I1004,FIND(" ",I1004)-1)),""),"")</f>
        <v>106</v>
      </c>
      <c r="O1004" s="7" t="str">
        <f aca="false">IF(B1004="TV Show",IFERROR(VALUE(LEFT(I1004,FIND(" ",I1004)-1)),""),"")</f>
        <v/>
      </c>
      <c r="P1004" s="7" t="n">
        <f aca="false">IF(K1004="","",K1004-G1004)</f>
        <v>1</v>
      </c>
    </row>
    <row r="1005" customFormat="false" ht="15" hidden="false" customHeight="false" outlineLevel="0" collapsed="false">
      <c r="A1005" s="7" t="n">
        <v>81005091</v>
      </c>
      <c r="B1005" s="7" t="s">
        <v>78</v>
      </c>
      <c r="C1005" s="7" t="s">
        <v>2410</v>
      </c>
      <c r="E1005" s="7" t="s">
        <v>366</v>
      </c>
      <c r="F1005" s="7" t="s">
        <v>2404</v>
      </c>
      <c r="G1005" s="7" t="n">
        <v>2016</v>
      </c>
      <c r="H1005" s="7" t="s">
        <v>50</v>
      </c>
      <c r="I1005" s="7" t="s">
        <v>82</v>
      </c>
      <c r="J1005" s="7" t="s">
        <v>314</v>
      </c>
      <c r="K1005" s="7" t="n">
        <f aca="false">IFERROR(VALUE(RIGHT(TRIM(F1005),4)),"")</f>
        <v>2018</v>
      </c>
      <c r="L1005" s="7" t="str">
        <f aca="false">IF(TRIM(E1005)="","Unknown",IFERROR(LEFT(TRIM(E1005),FIND(",",TRIM(E1005))-1),TRIM(E1005)))</f>
        <v>China</v>
      </c>
      <c r="M1005" s="7" t="str">
        <f aca="false">IFERROR(LEFT(J1005,FIND(",",J1005)-1),J1005)</f>
        <v>International TV Shows</v>
      </c>
      <c r="N1005" s="7" t="str">
        <f aca="false">IF(B1005="Movie",IFERROR(VALUE(LEFT(I1005,FIND(" ",I1005)-1)),""),"")</f>
        <v/>
      </c>
      <c r="O1005" s="7" t="n">
        <f aca="false">IF(B1005="TV Show",IFERROR(VALUE(LEFT(I1005,FIND(" ",I1005)-1)),""),"")</f>
        <v>1</v>
      </c>
      <c r="P1005" s="7" t="n">
        <f aca="false">IF(K1005="","",K1005-G1005)</f>
        <v>2</v>
      </c>
    </row>
    <row r="1006" customFormat="false" ht="15" hidden="false" customHeight="false" outlineLevel="0" collapsed="false">
      <c r="A1006" s="7" t="n">
        <v>80169786</v>
      </c>
      <c r="B1006" s="7" t="s">
        <v>78</v>
      </c>
      <c r="C1006" s="7" t="s">
        <v>2411</v>
      </c>
      <c r="E1006" s="7" t="s">
        <v>26</v>
      </c>
      <c r="F1006" s="7" t="s">
        <v>2404</v>
      </c>
      <c r="G1006" s="7" t="n">
        <v>2018</v>
      </c>
      <c r="H1006" s="7" t="s">
        <v>48</v>
      </c>
      <c r="I1006" s="7" t="s">
        <v>82</v>
      </c>
      <c r="J1006" s="7" t="s">
        <v>2412</v>
      </c>
      <c r="K1006" s="7" t="n">
        <f aca="false">IFERROR(VALUE(RIGHT(TRIM(F1006),4)),"")</f>
        <v>2018</v>
      </c>
      <c r="L1006" s="7" t="str">
        <f aca="false">IF(TRIM(E1006)="","Unknown",IFERROR(LEFT(TRIM(E1006),FIND(",",TRIM(E1006))-1),TRIM(E1006)))</f>
        <v>United States</v>
      </c>
      <c r="M1006" s="7" t="str">
        <f aca="false">IFERROR(LEFT(J1006,FIND(",",J1006)-1),J1006)</f>
        <v>Docuseries</v>
      </c>
      <c r="N1006" s="7" t="str">
        <f aca="false">IF(B1006="Movie",IFERROR(VALUE(LEFT(I1006,FIND(" ",I1006)-1)),""),"")</f>
        <v/>
      </c>
      <c r="O1006" s="7" t="n">
        <f aca="false">IF(B1006="TV Show",IFERROR(VALUE(LEFT(I1006,FIND(" ",I1006)-1)),""),"")</f>
        <v>1</v>
      </c>
      <c r="P1006" s="7" t="n">
        <f aca="false">IF(K1006="","",K1006-G1006)</f>
        <v>0</v>
      </c>
    </row>
    <row r="1007" customFormat="false" ht="15" hidden="false" customHeight="false" outlineLevel="0" collapsed="false">
      <c r="A1007" s="7" t="n">
        <v>80190859</v>
      </c>
      <c r="B1007" s="7" t="s">
        <v>68</v>
      </c>
      <c r="C1007" s="7" t="s">
        <v>2413</v>
      </c>
      <c r="D1007" s="7" t="s">
        <v>2414</v>
      </c>
      <c r="E1007" s="7" t="s">
        <v>317</v>
      </c>
      <c r="F1007" s="7" t="s">
        <v>2404</v>
      </c>
      <c r="G1007" s="7" t="n">
        <v>2018</v>
      </c>
      <c r="H1007" s="7" t="s">
        <v>51</v>
      </c>
      <c r="I1007" s="7" t="s">
        <v>232</v>
      </c>
      <c r="J1007" s="7" t="s">
        <v>370</v>
      </c>
      <c r="K1007" s="7" t="n">
        <f aca="false">IFERROR(VALUE(RIGHT(TRIM(F1007),4)),"")</f>
        <v>2018</v>
      </c>
      <c r="L1007" s="7" t="str">
        <f aca="false">IF(TRIM(E1007)="","Unknown",IFERROR(LEFT(TRIM(E1007),FIND(",",TRIM(E1007))-1),TRIM(E1007)))</f>
        <v>United Kingdom</v>
      </c>
      <c r="M1007" s="7" t="str">
        <f aca="false">IFERROR(LEFT(J1007,FIND(",",J1007)-1),J1007)</f>
        <v>Action &amp; Adventure</v>
      </c>
      <c r="N1007" s="7" t="n">
        <f aca="false">IF(B1007="Movie",IFERROR(VALUE(LEFT(I1007,FIND(" ",I1007)-1)),""),"")</f>
        <v>122</v>
      </c>
      <c r="O1007" s="7" t="str">
        <f aca="false">IF(B1007="TV Show",IFERROR(VALUE(LEFT(I1007,FIND(" ",I1007)-1)),""),"")</f>
        <v/>
      </c>
      <c r="P1007" s="7" t="n">
        <f aca="false">IF(K1007="","",K1007-G1007)</f>
        <v>0</v>
      </c>
    </row>
    <row r="1008" customFormat="false" ht="15" hidden="false" customHeight="false" outlineLevel="0" collapsed="false">
      <c r="A1008" s="7" t="n">
        <v>80218634</v>
      </c>
      <c r="B1008" s="7" t="s">
        <v>78</v>
      </c>
      <c r="C1008" s="7" t="s">
        <v>2415</v>
      </c>
      <c r="E1008" s="7" t="s">
        <v>325</v>
      </c>
      <c r="F1008" s="7" t="s">
        <v>2404</v>
      </c>
      <c r="G1008" s="7" t="n">
        <v>2018</v>
      </c>
      <c r="H1008" s="7" t="s">
        <v>48</v>
      </c>
      <c r="I1008" s="7" t="s">
        <v>82</v>
      </c>
      <c r="J1008" s="7" t="s">
        <v>1357</v>
      </c>
      <c r="K1008" s="7" t="n">
        <f aca="false">IFERROR(VALUE(RIGHT(TRIM(F1008),4)),"")</f>
        <v>2018</v>
      </c>
      <c r="L1008" s="7" t="str">
        <f aca="false">IF(TRIM(E1008)="","Unknown",IFERROR(LEFT(TRIM(E1008),FIND(",",TRIM(E1008))-1),TRIM(E1008)))</f>
        <v>Brazil</v>
      </c>
      <c r="M1008" s="7" t="str">
        <f aca="false">IFERROR(LEFT(J1008,FIND(",",J1008)-1),J1008)</f>
        <v>International TV Shows</v>
      </c>
      <c r="N1008" s="7" t="str">
        <f aca="false">IF(B1008="Movie",IFERROR(VALUE(LEFT(I1008,FIND(" ",I1008)-1)),""),"")</f>
        <v/>
      </c>
      <c r="O1008" s="7" t="n">
        <f aca="false">IF(B1008="TV Show",IFERROR(VALUE(LEFT(I1008,FIND(" ",I1008)-1)),""),"")</f>
        <v>1</v>
      </c>
      <c r="P1008" s="7" t="n">
        <f aca="false">IF(K1008="","",K1008-G1008)</f>
        <v>0</v>
      </c>
    </row>
    <row r="1009" customFormat="false" ht="15" hidden="false" customHeight="false" outlineLevel="0" collapsed="false">
      <c r="A1009" s="7" t="n">
        <v>81022683</v>
      </c>
      <c r="B1009" s="7" t="s">
        <v>78</v>
      </c>
      <c r="C1009" s="7" t="s">
        <v>2416</v>
      </c>
      <c r="E1009" s="7" t="s">
        <v>1397</v>
      </c>
      <c r="F1009" s="7" t="s">
        <v>2404</v>
      </c>
      <c r="G1009" s="7" t="n">
        <v>2018</v>
      </c>
      <c r="H1009" s="7" t="s">
        <v>49</v>
      </c>
      <c r="I1009" s="7" t="s">
        <v>82</v>
      </c>
      <c r="J1009" s="7" t="s">
        <v>89</v>
      </c>
      <c r="K1009" s="7" t="n">
        <f aca="false">IFERROR(VALUE(RIGHT(TRIM(F1009),4)),"")</f>
        <v>2018</v>
      </c>
      <c r="L1009" s="7" t="str">
        <f aca="false">IF(TRIM(E1009)="","Unknown",IFERROR(LEFT(TRIM(E1009),FIND(",",TRIM(E1009))-1),TRIM(E1009)))</f>
        <v>Colombia</v>
      </c>
      <c r="M1009" s="7" t="str">
        <f aca="false">IFERROR(LEFT(J1009,FIND(",",J1009)-1),J1009)</f>
        <v>Crime TV Shows</v>
      </c>
      <c r="N1009" s="7" t="str">
        <f aca="false">IF(B1009="Movie",IFERROR(VALUE(LEFT(I1009,FIND(" ",I1009)-1)),""),"")</f>
        <v/>
      </c>
      <c r="O1009" s="7" t="n">
        <f aca="false">IF(B1009="TV Show",IFERROR(VALUE(LEFT(I1009,FIND(" ",I1009)-1)),""),"")</f>
        <v>1</v>
      </c>
      <c r="P1009" s="7" t="n">
        <f aca="false">IF(K1009="","",K1009-G1009)</f>
        <v>0</v>
      </c>
    </row>
    <row r="1010" customFormat="false" ht="15" hidden="false" customHeight="false" outlineLevel="0" collapsed="false">
      <c r="A1010" s="7" t="n">
        <v>80201862</v>
      </c>
      <c r="B1010" s="7" t="s">
        <v>78</v>
      </c>
      <c r="C1010" s="7" t="s">
        <v>2417</v>
      </c>
      <c r="E1010" s="7" t="s">
        <v>26</v>
      </c>
      <c r="F1010" s="7" t="s">
        <v>2404</v>
      </c>
      <c r="G1010" s="7" t="n">
        <v>2018</v>
      </c>
      <c r="H1010" s="7" t="s">
        <v>48</v>
      </c>
      <c r="I1010" s="7" t="s">
        <v>82</v>
      </c>
      <c r="J1010" s="7" t="s">
        <v>701</v>
      </c>
      <c r="K1010" s="7" t="n">
        <f aca="false">IFERROR(VALUE(RIGHT(TRIM(F1010),4)),"")</f>
        <v>2018</v>
      </c>
      <c r="L1010" s="7" t="str">
        <f aca="false">IF(TRIM(E1010)="","Unknown",IFERROR(LEFT(TRIM(E1010),FIND(",",TRIM(E1010))-1),TRIM(E1010)))</f>
        <v>United States</v>
      </c>
      <c r="M1010" s="7" t="str">
        <f aca="false">IFERROR(LEFT(J1010,FIND(",",J1010)-1),J1010)</f>
        <v>Reality TV</v>
      </c>
      <c r="N1010" s="7" t="str">
        <f aca="false">IF(B1010="Movie",IFERROR(VALUE(LEFT(I1010,FIND(" ",I1010)-1)),""),"")</f>
        <v/>
      </c>
      <c r="O1010" s="7" t="n">
        <f aca="false">IF(B1010="TV Show",IFERROR(VALUE(LEFT(I1010,FIND(" ",I1010)-1)),""),"")</f>
        <v>1</v>
      </c>
      <c r="P1010" s="7" t="n">
        <f aca="false">IF(K1010="","",K1010-G1010)</f>
        <v>0</v>
      </c>
    </row>
    <row r="1011" customFormat="false" ht="15" hidden="false" customHeight="false" outlineLevel="0" collapsed="false">
      <c r="A1011" s="7" t="n">
        <v>80114869</v>
      </c>
      <c r="B1011" s="7" t="s">
        <v>78</v>
      </c>
      <c r="C1011" s="7" t="s">
        <v>2418</v>
      </c>
      <c r="E1011" s="7" t="s">
        <v>2419</v>
      </c>
      <c r="F1011" s="7" t="s">
        <v>2420</v>
      </c>
      <c r="G1011" s="7" t="n">
        <v>2015</v>
      </c>
      <c r="H1011" s="7" t="s">
        <v>48</v>
      </c>
      <c r="I1011" s="7" t="s">
        <v>82</v>
      </c>
      <c r="J1011" s="7" t="s">
        <v>402</v>
      </c>
      <c r="K1011" s="7" t="n">
        <f aca="false">IFERROR(VALUE(RIGHT(TRIM(F1011),4)),"")</f>
        <v>2016</v>
      </c>
      <c r="L1011" s="7" t="str">
        <f aca="false">IF(TRIM(E1011)="","Unknown",IFERROR(LEFT(TRIM(E1011),FIND(",",TRIM(E1011))-1),TRIM(E1011)))</f>
        <v>Iceland</v>
      </c>
      <c r="M1011" s="7" t="str">
        <f aca="false">IFERROR(LEFT(J1011,FIND(",",J1011)-1),J1011)</f>
        <v>Crime TV Shows</v>
      </c>
      <c r="N1011" s="7" t="str">
        <f aca="false">IF(B1011="Movie",IFERROR(VALUE(LEFT(I1011,FIND(" ",I1011)-1)),""),"")</f>
        <v/>
      </c>
      <c r="O1011" s="7" t="n">
        <f aca="false">IF(B1011="TV Show",IFERROR(VALUE(LEFT(I1011,FIND(" ",I1011)-1)),""),"")</f>
        <v>1</v>
      </c>
      <c r="P1011" s="7" t="n">
        <f aca="false">IF(K1011="","",K1011-G1011)</f>
        <v>1</v>
      </c>
    </row>
    <row r="1012" customFormat="false" ht="15" hidden="false" customHeight="false" outlineLevel="0" collapsed="false">
      <c r="A1012" s="7" t="n">
        <v>80989924</v>
      </c>
      <c r="B1012" s="7" t="s">
        <v>78</v>
      </c>
      <c r="C1012" s="7" t="s">
        <v>2421</v>
      </c>
      <c r="E1012" s="7" t="s">
        <v>28</v>
      </c>
      <c r="F1012" s="7" t="s">
        <v>2422</v>
      </c>
      <c r="G1012" s="7" t="n">
        <v>2019</v>
      </c>
      <c r="H1012" s="7" t="s">
        <v>49</v>
      </c>
      <c r="I1012" s="7" t="s">
        <v>82</v>
      </c>
      <c r="J1012" s="7" t="s">
        <v>306</v>
      </c>
      <c r="K1012" s="7" t="n">
        <f aca="false">IFERROR(VALUE(RIGHT(TRIM(F1012),4)),"")</f>
        <v>2019</v>
      </c>
      <c r="L1012" s="7" t="str">
        <f aca="false">IF(TRIM(E1012)="","Unknown",IFERROR(LEFT(TRIM(E1012),FIND(",",TRIM(E1012))-1),TRIM(E1012)))</f>
        <v>United Kingdom</v>
      </c>
      <c r="M1012" s="7" t="str">
        <f aca="false">IFERROR(LEFT(J1012,FIND(",",J1012)-1),J1012)</f>
        <v>British TV Shows</v>
      </c>
      <c r="N1012" s="7" t="str">
        <f aca="false">IF(B1012="Movie",IFERROR(VALUE(LEFT(I1012,FIND(" ",I1012)-1)),""),"")</f>
        <v/>
      </c>
      <c r="O1012" s="7" t="n">
        <f aca="false">IF(B1012="TV Show",IFERROR(VALUE(LEFT(I1012,FIND(" ",I1012)-1)),""),"")</f>
        <v>1</v>
      </c>
      <c r="P1012" s="7" t="n">
        <f aca="false">IF(K1012="","",K1012-G1012)</f>
        <v>0</v>
      </c>
    </row>
    <row r="1013" customFormat="false" ht="15" hidden="false" customHeight="false" outlineLevel="0" collapsed="false">
      <c r="A1013" s="7" t="n">
        <v>80057250</v>
      </c>
      <c r="B1013" s="7" t="s">
        <v>78</v>
      </c>
      <c r="C1013" s="7" t="s">
        <v>2423</v>
      </c>
      <c r="E1013" s="7" t="s">
        <v>2424</v>
      </c>
      <c r="F1013" s="7" t="s">
        <v>2422</v>
      </c>
      <c r="G1013" s="7" t="n">
        <v>2019</v>
      </c>
      <c r="H1013" s="7" t="s">
        <v>55</v>
      </c>
      <c r="I1013" s="7" t="s">
        <v>82</v>
      </c>
      <c r="J1013" s="7" t="s">
        <v>2425</v>
      </c>
      <c r="K1013" s="7" t="n">
        <f aca="false">IFERROR(VALUE(RIGHT(TRIM(F1013),4)),"")</f>
        <v>2019</v>
      </c>
      <c r="L1013" s="7" t="str">
        <f aca="false">IF(TRIM(E1013)="","Unknown",IFERROR(LEFT(TRIM(E1013),FIND(",",TRIM(E1013))-1),TRIM(E1013)))</f>
        <v>United States</v>
      </c>
      <c r="M1013" s="7" t="str">
        <f aca="false">IFERROR(LEFT(J1013,FIND(",",J1013)-1),J1013)</f>
        <v>Kids' TV</v>
      </c>
      <c r="N1013" s="7" t="str">
        <f aca="false">IF(B1013="Movie",IFERROR(VALUE(LEFT(I1013,FIND(" ",I1013)-1)),""),"")</f>
        <v/>
      </c>
      <c r="O1013" s="7" t="n">
        <f aca="false">IF(B1013="TV Show",IFERROR(VALUE(LEFT(I1013,FIND(" ",I1013)-1)),""),"")</f>
        <v>1</v>
      </c>
      <c r="P1013" s="7" t="n">
        <f aca="false">IF(K1013="","",K1013-G1013)</f>
        <v>0</v>
      </c>
    </row>
    <row r="1014" customFormat="false" ht="15" hidden="false" customHeight="false" outlineLevel="0" collapsed="false">
      <c r="A1014" s="7" t="n">
        <v>70243445</v>
      </c>
      <c r="B1014" s="7" t="s">
        <v>68</v>
      </c>
      <c r="C1014" s="7" t="s">
        <v>2426</v>
      </c>
      <c r="D1014" s="7" t="s">
        <v>2427</v>
      </c>
      <c r="E1014" s="7" t="s">
        <v>26</v>
      </c>
      <c r="F1014" s="7" t="s">
        <v>2422</v>
      </c>
      <c r="G1014" s="7" t="n">
        <v>2012</v>
      </c>
      <c r="H1014" s="7" t="s">
        <v>51</v>
      </c>
      <c r="I1014" s="7" t="s">
        <v>205</v>
      </c>
      <c r="J1014" s="7" t="s">
        <v>2077</v>
      </c>
      <c r="K1014" s="7" t="n">
        <f aca="false">IFERROR(VALUE(RIGHT(TRIM(F1014),4)),"")</f>
        <v>2019</v>
      </c>
      <c r="L1014" s="7" t="str">
        <f aca="false">IF(TRIM(E1014)="","Unknown",IFERROR(LEFT(TRIM(E1014),FIND(",",TRIM(E1014))-1),TRIM(E1014)))</f>
        <v>United States</v>
      </c>
      <c r="M1014" s="7" t="str">
        <f aca="false">IFERROR(LEFT(J1014,FIND(",",J1014)-1),J1014)</f>
        <v>Action &amp; Adventure</v>
      </c>
      <c r="N1014" s="7" t="n">
        <f aca="false">IF(B1014="Movie",IFERROR(VALUE(LEFT(I1014,FIND(" ",I1014)-1)),""),"")</f>
        <v>100</v>
      </c>
      <c r="O1014" s="7" t="str">
        <f aca="false">IF(B1014="TV Show",IFERROR(VALUE(LEFT(I1014,FIND(" ",I1014)-1)),""),"")</f>
        <v/>
      </c>
      <c r="P1014" s="7" t="n">
        <f aca="false">IF(K1014="","",K1014-G1014)</f>
        <v>7</v>
      </c>
    </row>
    <row r="1015" customFormat="false" ht="15" hidden="false" customHeight="false" outlineLevel="0" collapsed="false">
      <c r="A1015" s="7" t="n">
        <v>80201542</v>
      </c>
      <c r="B1015" s="7" t="s">
        <v>68</v>
      </c>
      <c r="C1015" s="7" t="s">
        <v>2428</v>
      </c>
      <c r="D1015" s="7" t="s">
        <v>2429</v>
      </c>
      <c r="E1015" s="7" t="s">
        <v>26</v>
      </c>
      <c r="F1015" s="7" t="s">
        <v>2422</v>
      </c>
      <c r="G1015" s="7" t="n">
        <v>2019</v>
      </c>
      <c r="H1015" s="7" t="s">
        <v>52</v>
      </c>
      <c r="I1015" s="7" t="s">
        <v>272</v>
      </c>
      <c r="J1015" s="7" t="s">
        <v>2430</v>
      </c>
      <c r="K1015" s="7" t="n">
        <f aca="false">IFERROR(VALUE(RIGHT(TRIM(F1015),4)),"")</f>
        <v>2019</v>
      </c>
      <c r="L1015" s="7" t="str">
        <f aca="false">IF(TRIM(E1015)="","Unknown",IFERROR(LEFT(TRIM(E1015),FIND(",",TRIM(E1015))-1),TRIM(E1015)))</f>
        <v>United States</v>
      </c>
      <c r="M1015" s="7" t="str">
        <f aca="false">IFERROR(LEFT(J1015,FIND(",",J1015)-1),J1015)</f>
        <v>Comedies</v>
      </c>
      <c r="N1015" s="7" t="n">
        <f aca="false">IF(B1015="Movie",IFERROR(VALUE(LEFT(I1015,FIND(" ",I1015)-1)),""),"")</f>
        <v>93</v>
      </c>
      <c r="O1015" s="7" t="str">
        <f aca="false">IF(B1015="TV Show",IFERROR(VALUE(LEFT(I1015,FIND(" ",I1015)-1)),""),"")</f>
        <v/>
      </c>
      <c r="P1015" s="7" t="n">
        <f aca="false">IF(K1015="","",K1015-G1015)</f>
        <v>0</v>
      </c>
    </row>
    <row r="1016" customFormat="false" ht="15" hidden="false" customHeight="false" outlineLevel="0" collapsed="false">
      <c r="A1016" s="7" t="n">
        <v>81079723</v>
      </c>
      <c r="B1016" s="7" t="s">
        <v>68</v>
      </c>
      <c r="C1016" s="7" t="s">
        <v>2431</v>
      </c>
      <c r="D1016" s="7" t="s">
        <v>2432</v>
      </c>
      <c r="E1016" s="7" t="s">
        <v>31</v>
      </c>
      <c r="F1016" s="7" t="s">
        <v>2422</v>
      </c>
      <c r="G1016" s="7" t="n">
        <v>2019</v>
      </c>
      <c r="H1016" s="7" t="s">
        <v>48</v>
      </c>
      <c r="I1016" s="7" t="s">
        <v>77</v>
      </c>
      <c r="J1016" s="7" t="s">
        <v>112</v>
      </c>
      <c r="K1016" s="7" t="n">
        <f aca="false">IFERROR(VALUE(RIGHT(TRIM(F1016),4)),"")</f>
        <v>2019</v>
      </c>
      <c r="L1016" s="7" t="str">
        <f aca="false">IF(TRIM(E1016)="","Unknown",IFERROR(LEFT(TRIM(E1016),FIND(",",TRIM(E1016))-1),TRIM(E1016)))</f>
        <v>France</v>
      </c>
      <c r="M1016" s="7" t="str">
        <f aca="false">IFERROR(LEFT(J1016,FIND(",",J1016)-1),J1016)</f>
        <v>Action &amp; Adventure</v>
      </c>
      <c r="N1016" s="7" t="n">
        <f aca="false">IF(B1016="Movie",IFERROR(VALUE(LEFT(I1016,FIND(" ",I1016)-1)),""),"")</f>
        <v>94</v>
      </c>
      <c r="O1016" s="7" t="str">
        <f aca="false">IF(B1016="TV Show",IFERROR(VALUE(LEFT(I1016,FIND(" ",I1016)-1)),""),"")</f>
        <v/>
      </c>
      <c r="P1016" s="7" t="n">
        <f aca="false">IF(K1016="","",K1016-G1016)</f>
        <v>0</v>
      </c>
    </row>
    <row r="1017" customFormat="false" ht="15" hidden="false" customHeight="false" outlineLevel="0" collapsed="false">
      <c r="A1017" s="7" t="n">
        <v>81003058</v>
      </c>
      <c r="B1017" s="7" t="s">
        <v>68</v>
      </c>
      <c r="C1017" s="7" t="s">
        <v>2433</v>
      </c>
      <c r="D1017" s="7" t="s">
        <v>2434</v>
      </c>
      <c r="E1017" s="7" t="s">
        <v>26</v>
      </c>
      <c r="F1017" s="7" t="s">
        <v>2435</v>
      </c>
      <c r="G1017" s="7" t="n">
        <v>2018</v>
      </c>
      <c r="H1017" s="7" t="s">
        <v>54</v>
      </c>
      <c r="I1017" s="7" t="s">
        <v>143</v>
      </c>
      <c r="J1017" s="7" t="s">
        <v>37</v>
      </c>
      <c r="K1017" s="7" t="n">
        <f aca="false">IFERROR(VALUE(RIGHT(TRIM(F1017),4)),"")</f>
        <v>2018</v>
      </c>
      <c r="L1017" s="7" t="str">
        <f aca="false">IF(TRIM(E1017)="","Unknown",IFERROR(LEFT(TRIM(E1017),FIND(",",TRIM(E1017))-1),TRIM(E1017)))</f>
        <v>United States</v>
      </c>
      <c r="M1017" s="7" t="str">
        <f aca="false">IFERROR(LEFT(J1017,FIND(",",J1017)-1),J1017)</f>
        <v>Dramas</v>
      </c>
      <c r="N1017" s="7" t="n">
        <f aca="false">IF(B1017="Movie",IFERROR(VALUE(LEFT(I1017,FIND(" ",I1017)-1)),""),"")</f>
        <v>79</v>
      </c>
      <c r="O1017" s="7" t="str">
        <f aca="false">IF(B1017="TV Show",IFERROR(VALUE(LEFT(I1017,FIND(" ",I1017)-1)),""),"")</f>
        <v/>
      </c>
      <c r="P1017" s="7" t="n">
        <f aca="false">IF(K1017="","",K1017-G1017)</f>
        <v>0</v>
      </c>
    </row>
    <row r="1018" customFormat="false" ht="15" hidden="false" customHeight="false" outlineLevel="0" collapsed="false">
      <c r="A1018" s="7" t="n">
        <v>80236993</v>
      </c>
      <c r="B1018" s="7" t="s">
        <v>68</v>
      </c>
      <c r="C1018" s="7" t="s">
        <v>2436</v>
      </c>
      <c r="D1018" s="7" t="s">
        <v>2437</v>
      </c>
      <c r="E1018" s="7" t="s">
        <v>2438</v>
      </c>
      <c r="F1018" s="7" t="s">
        <v>2435</v>
      </c>
      <c r="G1018" s="7" t="n">
        <v>2017</v>
      </c>
      <c r="H1018" s="7" t="s">
        <v>49</v>
      </c>
      <c r="I1018" s="7" t="s">
        <v>107</v>
      </c>
      <c r="J1018" s="7" t="s">
        <v>304</v>
      </c>
      <c r="K1018" s="7" t="n">
        <f aca="false">IFERROR(VALUE(RIGHT(TRIM(F1018),4)),"")</f>
        <v>2018</v>
      </c>
      <c r="L1018" s="7" t="str">
        <f aca="false">IF(TRIM(E1018)="","Unknown",IFERROR(LEFT(TRIM(E1018),FIND(",",TRIM(E1018))-1),TRIM(E1018)))</f>
        <v>Argentina</v>
      </c>
      <c r="M1018" s="7" t="str">
        <f aca="false">IFERROR(LEFT(J1018,FIND(",",J1018)-1),J1018)</f>
        <v>Dramas</v>
      </c>
      <c r="N1018" s="7" t="n">
        <f aca="false">IF(B1018="Movie",IFERROR(VALUE(LEFT(I1018,FIND(" ",I1018)-1)),""),"")</f>
        <v>78</v>
      </c>
      <c r="O1018" s="7" t="str">
        <f aca="false">IF(B1018="TV Show",IFERROR(VALUE(LEFT(I1018,FIND(" ",I1018)-1)),""),"")</f>
        <v/>
      </c>
      <c r="P1018" s="7" t="n">
        <f aca="false">IF(K1018="","",K1018-G1018)</f>
        <v>1</v>
      </c>
    </row>
    <row r="1019" customFormat="false" ht="15" hidden="false" customHeight="false" outlineLevel="0" collapsed="false">
      <c r="A1019" s="7" t="n">
        <v>80057565</v>
      </c>
      <c r="B1019" s="7" t="s">
        <v>68</v>
      </c>
      <c r="C1019" s="7" t="s">
        <v>2439</v>
      </c>
      <c r="D1019" s="7" t="s">
        <v>2440</v>
      </c>
      <c r="E1019" s="7" t="s">
        <v>26</v>
      </c>
      <c r="F1019" s="7" t="s">
        <v>2435</v>
      </c>
      <c r="G1019" s="7" t="n">
        <v>2015</v>
      </c>
      <c r="H1019" s="7" t="s">
        <v>52</v>
      </c>
      <c r="I1019" s="7" t="s">
        <v>326</v>
      </c>
      <c r="J1019" s="7" t="s">
        <v>37</v>
      </c>
      <c r="K1019" s="7" t="n">
        <f aca="false">IFERROR(VALUE(RIGHT(TRIM(F1019),4)),"")</f>
        <v>2018</v>
      </c>
      <c r="L1019" s="7" t="str">
        <f aca="false">IF(TRIM(E1019)="","Unknown",IFERROR(LEFT(TRIM(E1019),FIND(",",TRIM(E1019))-1),TRIM(E1019)))</f>
        <v>United States</v>
      </c>
      <c r="M1019" s="7" t="str">
        <f aca="false">IFERROR(LEFT(J1019,FIND(",",J1019)-1),J1019)</f>
        <v>Dramas</v>
      </c>
      <c r="N1019" s="7" t="n">
        <f aca="false">IF(B1019="Movie",IFERROR(VALUE(LEFT(I1019,FIND(" ",I1019)-1)),""),"")</f>
        <v>111</v>
      </c>
      <c r="O1019" s="7" t="str">
        <f aca="false">IF(B1019="TV Show",IFERROR(VALUE(LEFT(I1019,FIND(" ",I1019)-1)),""),"")</f>
        <v/>
      </c>
      <c r="P1019" s="7" t="n">
        <f aca="false">IF(K1019="","",K1019-G1019)</f>
        <v>3</v>
      </c>
    </row>
    <row r="1020" customFormat="false" ht="15" hidden="false" customHeight="false" outlineLevel="0" collapsed="false">
      <c r="A1020" s="7" t="n">
        <v>81016857</v>
      </c>
      <c r="B1020" s="7" t="s">
        <v>78</v>
      </c>
      <c r="C1020" s="7" t="s">
        <v>2441</v>
      </c>
      <c r="E1020" s="7" t="s">
        <v>129</v>
      </c>
      <c r="F1020" s="7" t="s">
        <v>2435</v>
      </c>
      <c r="G1020" s="7" t="n">
        <v>2017</v>
      </c>
      <c r="H1020" s="7" t="s">
        <v>48</v>
      </c>
      <c r="I1020" s="7" t="s">
        <v>82</v>
      </c>
      <c r="J1020" s="7" t="s">
        <v>2442</v>
      </c>
      <c r="K1020" s="7" t="n">
        <f aca="false">IFERROR(VALUE(RIGHT(TRIM(F1020),4)),"")</f>
        <v>2018</v>
      </c>
      <c r="L1020" s="7" t="str">
        <f aca="false">IF(TRIM(E1020)="","Unknown",IFERROR(LEFT(TRIM(E1020),FIND(",",TRIM(E1020))-1),TRIM(E1020)))</f>
        <v>France</v>
      </c>
      <c r="M1020" s="7" t="str">
        <f aca="false">IFERROR(LEFT(J1020,FIND(",",J1020)-1),J1020)</f>
        <v>Crime TV Shows</v>
      </c>
      <c r="N1020" s="7" t="str">
        <f aca="false">IF(B1020="Movie",IFERROR(VALUE(LEFT(I1020,FIND(" ",I1020)-1)),""),"")</f>
        <v/>
      </c>
      <c r="O1020" s="7" t="n">
        <f aca="false">IF(B1020="TV Show",IFERROR(VALUE(LEFT(I1020,FIND(" ",I1020)-1)),""),"")</f>
        <v>1</v>
      </c>
      <c r="P1020" s="7" t="n">
        <f aca="false">IF(K1020="","",K1020-G1020)</f>
        <v>1</v>
      </c>
    </row>
    <row r="1021" customFormat="false" ht="15" hidden="false" customHeight="false" outlineLevel="0" collapsed="false">
      <c r="A1021" s="7" t="n">
        <v>81002596</v>
      </c>
      <c r="B1021" s="7" t="s">
        <v>68</v>
      </c>
      <c r="C1021" s="7" t="s">
        <v>2443</v>
      </c>
      <c r="D1021" s="7" t="s">
        <v>2444</v>
      </c>
      <c r="E1021" s="7" t="s">
        <v>167</v>
      </c>
      <c r="F1021" s="7" t="s">
        <v>2435</v>
      </c>
      <c r="G1021" s="7" t="n">
        <v>2012</v>
      </c>
      <c r="H1021" s="7" t="s">
        <v>50</v>
      </c>
      <c r="I1021" s="7" t="s">
        <v>168</v>
      </c>
      <c r="J1021" s="7" t="s">
        <v>2445</v>
      </c>
      <c r="K1021" s="7" t="n">
        <f aca="false">IFERROR(VALUE(RIGHT(TRIM(F1021),4)),"")</f>
        <v>2018</v>
      </c>
      <c r="L1021" s="7" t="str">
        <f aca="false">IF(TRIM(E1021)="","Unknown",IFERROR(LEFT(TRIM(E1021),FIND(",",TRIM(E1021))-1),TRIM(E1021)))</f>
        <v>Thailand</v>
      </c>
      <c r="M1021" s="7" t="str">
        <f aca="false">IFERROR(LEFT(J1021,FIND(",",J1021)-1),J1021)</f>
        <v>International Movies</v>
      </c>
      <c r="N1021" s="7" t="n">
        <f aca="false">IF(B1021="Movie",IFERROR(VALUE(LEFT(I1021,FIND(" ",I1021)-1)),""),"")</f>
        <v>112</v>
      </c>
      <c r="O1021" s="7" t="str">
        <f aca="false">IF(B1021="TV Show",IFERROR(VALUE(LEFT(I1021,FIND(" ",I1021)-1)),""),"")</f>
        <v/>
      </c>
      <c r="P1021" s="7" t="n">
        <f aca="false">IF(K1021="","",K1021-G1021)</f>
        <v>6</v>
      </c>
    </row>
    <row r="1022" customFormat="false" ht="15" hidden="false" customHeight="false" outlineLevel="0" collapsed="false">
      <c r="A1022" s="7" t="n">
        <v>81002597</v>
      </c>
      <c r="B1022" s="7" t="s">
        <v>68</v>
      </c>
      <c r="C1022" s="7" t="s">
        <v>2446</v>
      </c>
      <c r="D1022" s="7" t="s">
        <v>2447</v>
      </c>
      <c r="E1022" s="7" t="s">
        <v>167</v>
      </c>
      <c r="F1022" s="7" t="s">
        <v>2435</v>
      </c>
      <c r="G1022" s="7" t="n">
        <v>2015</v>
      </c>
      <c r="H1022" s="7" t="s">
        <v>50</v>
      </c>
      <c r="I1022" s="7" t="s">
        <v>294</v>
      </c>
      <c r="J1022" s="7" t="s">
        <v>2445</v>
      </c>
      <c r="K1022" s="7" t="n">
        <f aca="false">IFERROR(VALUE(RIGHT(TRIM(F1022),4)),"")</f>
        <v>2018</v>
      </c>
      <c r="L1022" s="7" t="str">
        <f aca="false">IF(TRIM(E1022)="","Unknown",IFERROR(LEFT(TRIM(E1022),FIND(",",TRIM(E1022))-1),TRIM(E1022)))</f>
        <v>Thailand</v>
      </c>
      <c r="M1022" s="7" t="str">
        <f aca="false">IFERROR(LEFT(J1022,FIND(",",J1022)-1),J1022)</f>
        <v>International Movies</v>
      </c>
      <c r="N1022" s="7" t="n">
        <f aca="false">IF(B1022="Movie",IFERROR(VALUE(LEFT(I1022,FIND(" ",I1022)-1)),""),"")</f>
        <v>107</v>
      </c>
      <c r="O1022" s="7" t="str">
        <f aca="false">IF(B1022="TV Show",IFERROR(VALUE(LEFT(I1022,FIND(" ",I1022)-1)),""),"")</f>
        <v/>
      </c>
      <c r="P1022" s="7" t="n">
        <f aca="false">IF(K1022="","",K1022-G1022)</f>
        <v>3</v>
      </c>
    </row>
    <row r="1023" customFormat="false" ht="15" hidden="false" customHeight="false" outlineLevel="0" collapsed="false">
      <c r="A1023" s="7" t="n">
        <v>80148275</v>
      </c>
      <c r="B1023" s="7" t="s">
        <v>68</v>
      </c>
      <c r="C1023" s="7" t="s">
        <v>2448</v>
      </c>
      <c r="D1023" s="7" t="s">
        <v>2449</v>
      </c>
      <c r="E1023" s="7" t="s">
        <v>855</v>
      </c>
      <c r="F1023" s="7" t="s">
        <v>2450</v>
      </c>
      <c r="G1023" s="7" t="n">
        <v>2016</v>
      </c>
      <c r="H1023" s="7" t="s">
        <v>49</v>
      </c>
      <c r="I1023" s="7" t="s">
        <v>512</v>
      </c>
      <c r="J1023" s="7" t="s">
        <v>341</v>
      </c>
      <c r="K1023" s="7" t="n">
        <f aca="false">IFERROR(VALUE(RIGHT(TRIM(F1023),4)),"")</f>
        <v>2016</v>
      </c>
      <c r="L1023" s="7" t="str">
        <f aca="false">IF(TRIM(E1023)="","Unknown",IFERROR(LEFT(TRIM(E1023),FIND(",",TRIM(E1023))-1),TRIM(E1023)))</f>
        <v>Italy</v>
      </c>
      <c r="M1023" s="7" t="str">
        <f aca="false">IFERROR(LEFT(J1023,FIND(",",J1023)-1),J1023)</f>
        <v>Documentaries</v>
      </c>
      <c r="N1023" s="7" t="n">
        <f aca="false">IF(B1023="Movie",IFERROR(VALUE(LEFT(I1023,FIND(" ",I1023)-1)),""),"")</f>
        <v>101</v>
      </c>
      <c r="O1023" s="7" t="str">
        <f aca="false">IF(B1023="TV Show",IFERROR(VALUE(LEFT(I1023,FIND(" ",I1023)-1)),""),"")</f>
        <v/>
      </c>
      <c r="P1023" s="7" t="n">
        <f aca="false">IF(K1023="","",K1023-G1023)</f>
        <v>0</v>
      </c>
    </row>
    <row r="1024" customFormat="false" ht="15" hidden="false" customHeight="false" outlineLevel="0" collapsed="false">
      <c r="A1024" s="7" t="n">
        <v>80127886</v>
      </c>
      <c r="B1024" s="7" t="s">
        <v>68</v>
      </c>
      <c r="C1024" s="7" t="s">
        <v>2451</v>
      </c>
      <c r="D1024" s="7" t="s">
        <v>2452</v>
      </c>
      <c r="E1024" s="7" t="s">
        <v>27</v>
      </c>
      <c r="F1024" s="7" t="s">
        <v>2453</v>
      </c>
      <c r="G1024" s="7" t="n">
        <v>2016</v>
      </c>
      <c r="H1024" s="7" t="s">
        <v>49</v>
      </c>
      <c r="I1024" s="7" t="s">
        <v>505</v>
      </c>
      <c r="J1024" s="7" t="s">
        <v>358</v>
      </c>
      <c r="K1024" s="7" t="n">
        <f aca="false">IFERROR(VALUE(RIGHT(TRIM(F1024),4)),"")</f>
        <v>2019</v>
      </c>
      <c r="L1024" s="7" t="str">
        <f aca="false">IF(TRIM(E1024)="","Unknown",IFERROR(LEFT(TRIM(E1024),FIND(",",TRIM(E1024))-1),TRIM(E1024)))</f>
        <v>India</v>
      </c>
      <c r="M1024" s="7" t="str">
        <f aca="false">IFERROR(LEFT(J1024,FIND(",",J1024)-1),J1024)</f>
        <v>International Movies</v>
      </c>
      <c r="N1024" s="7" t="n">
        <f aca="false">IF(B1024="Movie",IFERROR(VALUE(LEFT(I1024,FIND(" ",I1024)-1)),""),"")</f>
        <v>121</v>
      </c>
      <c r="O1024" s="7" t="str">
        <f aca="false">IF(B1024="TV Show",IFERROR(VALUE(LEFT(I1024,FIND(" ",I1024)-1)),""),"")</f>
        <v/>
      </c>
      <c r="P1024" s="7" t="n">
        <f aca="false">IF(K1024="","",K1024-G1024)</f>
        <v>3</v>
      </c>
    </row>
    <row r="1025" customFormat="false" ht="15" hidden="false" customHeight="false" outlineLevel="0" collapsed="false">
      <c r="A1025" s="7" t="n">
        <v>80176771</v>
      </c>
      <c r="B1025" s="7" t="s">
        <v>78</v>
      </c>
      <c r="C1025" s="7" t="s">
        <v>2454</v>
      </c>
      <c r="E1025" s="7" t="s">
        <v>26</v>
      </c>
      <c r="F1025" s="7" t="s">
        <v>2455</v>
      </c>
      <c r="G1025" s="7" t="n">
        <v>2017</v>
      </c>
      <c r="H1025" s="7" t="s">
        <v>49</v>
      </c>
      <c r="I1025" s="7" t="s">
        <v>82</v>
      </c>
      <c r="J1025" s="7" t="s">
        <v>834</v>
      </c>
      <c r="K1025" s="7" t="n">
        <f aca="false">IFERROR(VALUE(RIGHT(TRIM(F1025),4)),"")</f>
        <v>2018</v>
      </c>
      <c r="L1025" s="7" t="str">
        <f aca="false">IF(TRIM(E1025)="","Unknown",IFERROR(LEFT(TRIM(E1025),FIND(",",TRIM(E1025))-1),TRIM(E1025)))</f>
        <v>United States</v>
      </c>
      <c r="M1025" s="7" t="str">
        <f aca="false">IFERROR(LEFT(J1025,FIND(",",J1025)-1),J1025)</f>
        <v>Crime TV Shows</v>
      </c>
      <c r="N1025" s="7" t="str">
        <f aca="false">IF(B1025="Movie",IFERROR(VALUE(LEFT(I1025,FIND(" ",I1025)-1)),""),"")</f>
        <v/>
      </c>
      <c r="O1025" s="7" t="n">
        <f aca="false">IF(B1025="TV Show",IFERROR(VALUE(LEFT(I1025,FIND(" ",I1025)-1)),""),"")</f>
        <v>1</v>
      </c>
      <c r="P1025" s="7" t="n">
        <f aca="false">IF(K1025="","",K1025-G1025)</f>
        <v>1</v>
      </c>
    </row>
    <row r="1026" customFormat="false" ht="15" hidden="false" customHeight="false" outlineLevel="0" collapsed="false">
      <c r="A1026" s="7" t="n">
        <v>80080491</v>
      </c>
      <c r="B1026" s="7" t="s">
        <v>68</v>
      </c>
      <c r="C1026" s="7" t="s">
        <v>2456</v>
      </c>
      <c r="D1026" s="7" t="s">
        <v>2457</v>
      </c>
      <c r="E1026" s="7" t="s">
        <v>29</v>
      </c>
      <c r="F1026" s="7" t="s">
        <v>2455</v>
      </c>
      <c r="G1026" s="7" t="n">
        <v>2015</v>
      </c>
      <c r="H1026" s="7" t="s">
        <v>51</v>
      </c>
      <c r="I1026" s="7" t="s">
        <v>181</v>
      </c>
      <c r="J1026" s="7" t="s">
        <v>2458</v>
      </c>
      <c r="K1026" s="7" t="n">
        <f aca="false">IFERROR(VALUE(RIGHT(TRIM(F1026),4)),"")</f>
        <v>2018</v>
      </c>
      <c r="L1026" s="7" t="str">
        <f aca="false">IF(TRIM(E1026)="","Unknown",IFERROR(LEFT(TRIM(E1026),FIND(",",TRIM(E1026))-1),TRIM(E1026)))</f>
        <v>Canada</v>
      </c>
      <c r="M1026" s="7" t="str">
        <f aca="false">IFERROR(LEFT(J1026,FIND(",",J1026)-1),J1026)</f>
        <v>Dramas</v>
      </c>
      <c r="N1026" s="7" t="n">
        <f aca="false">IF(B1026="Movie",IFERROR(VALUE(LEFT(I1026,FIND(" ",I1026)-1)),""),"")</f>
        <v>102</v>
      </c>
      <c r="O1026" s="7" t="str">
        <f aca="false">IF(B1026="TV Show",IFERROR(VALUE(LEFT(I1026,FIND(" ",I1026)-1)),""),"")</f>
        <v/>
      </c>
      <c r="P1026" s="7" t="n">
        <f aca="false">IF(K1026="","",K1026-G1026)</f>
        <v>3</v>
      </c>
    </row>
    <row r="1027" customFormat="false" ht="15" hidden="false" customHeight="false" outlineLevel="0" collapsed="false">
      <c r="A1027" s="7" t="n">
        <v>80046777</v>
      </c>
      <c r="B1027" s="7" t="s">
        <v>68</v>
      </c>
      <c r="C1027" s="7" t="s">
        <v>2459</v>
      </c>
      <c r="D1027" s="7" t="s">
        <v>2460</v>
      </c>
      <c r="E1027" s="7" t="s">
        <v>26</v>
      </c>
      <c r="F1027" s="7" t="s">
        <v>2455</v>
      </c>
      <c r="G1027" s="7" t="n">
        <v>2015</v>
      </c>
      <c r="H1027" s="7" t="s">
        <v>51</v>
      </c>
      <c r="I1027" s="7" t="s">
        <v>467</v>
      </c>
      <c r="J1027" s="7" t="s">
        <v>150</v>
      </c>
      <c r="K1027" s="7" t="n">
        <f aca="false">IFERROR(VALUE(RIGHT(TRIM(F1027),4)),"")</f>
        <v>2018</v>
      </c>
      <c r="L1027" s="7" t="str">
        <f aca="false">IF(TRIM(E1027)="","Unknown",IFERROR(LEFT(TRIM(E1027),FIND(",",TRIM(E1027))-1),TRIM(E1027)))</f>
        <v>United States</v>
      </c>
      <c r="M1027" s="7" t="str">
        <f aca="false">IFERROR(LEFT(J1027,FIND(",",J1027)-1),J1027)</f>
        <v>Dramas</v>
      </c>
      <c r="N1027" s="7" t="n">
        <f aca="false">IF(B1027="Movie",IFERROR(VALUE(LEFT(I1027,FIND(" ",I1027)-1)),""),"")</f>
        <v>81</v>
      </c>
      <c r="O1027" s="7" t="str">
        <f aca="false">IF(B1027="TV Show",IFERROR(VALUE(LEFT(I1027,FIND(" ",I1027)-1)),""),"")</f>
        <v/>
      </c>
      <c r="P1027" s="7" t="n">
        <f aca="false">IF(K1027="","",K1027-G1027)</f>
        <v>3</v>
      </c>
    </row>
    <row r="1028" customFormat="false" ht="15" hidden="false" customHeight="false" outlineLevel="0" collapsed="false">
      <c r="A1028" s="7" t="n">
        <v>60024976</v>
      </c>
      <c r="B1028" s="7" t="s">
        <v>68</v>
      </c>
      <c r="C1028" s="7" t="s">
        <v>2461</v>
      </c>
      <c r="D1028" s="7" t="s">
        <v>2462</v>
      </c>
      <c r="E1028" s="7" t="s">
        <v>26</v>
      </c>
      <c r="F1028" s="7" t="s">
        <v>2463</v>
      </c>
      <c r="G1028" s="7" t="n">
        <v>2002</v>
      </c>
      <c r="H1028" s="7" t="s">
        <v>51</v>
      </c>
      <c r="I1028" s="7" t="s">
        <v>467</v>
      </c>
      <c r="J1028" s="7" t="s">
        <v>39</v>
      </c>
      <c r="K1028" s="7" t="n">
        <f aca="false">IFERROR(VALUE(RIGHT(TRIM(F1028),4)),"")</f>
        <v>2017</v>
      </c>
      <c r="L1028" s="7" t="str">
        <f aca="false">IF(TRIM(E1028)="","Unknown",IFERROR(LEFT(TRIM(E1028),FIND(",",TRIM(E1028))-1),TRIM(E1028)))</f>
        <v>United States</v>
      </c>
      <c r="M1028" s="7" t="str">
        <f aca="false">IFERROR(LEFT(J1028,FIND(",",J1028)-1),J1028)</f>
        <v>Documentaries</v>
      </c>
      <c r="N1028" s="7" t="n">
        <f aca="false">IF(B1028="Movie",IFERROR(VALUE(LEFT(I1028,FIND(" ",I1028)-1)),""),"")</f>
        <v>81</v>
      </c>
      <c r="O1028" s="7" t="str">
        <f aca="false">IF(B1028="TV Show",IFERROR(VALUE(LEFT(I1028,FIND(" ",I1028)-1)),""),"")</f>
        <v/>
      </c>
      <c r="P1028" s="7" t="n">
        <f aca="false">IF(K1028="","",K1028-G1028)</f>
        <v>15</v>
      </c>
    </row>
    <row r="1029" customFormat="false" ht="15" hidden="false" customHeight="false" outlineLevel="0" collapsed="false">
      <c r="A1029" s="7" t="n">
        <v>80185003</v>
      </c>
      <c r="B1029" s="7" t="s">
        <v>78</v>
      </c>
      <c r="C1029" s="7" t="s">
        <v>2464</v>
      </c>
      <c r="E1029" s="7" t="s">
        <v>26</v>
      </c>
      <c r="F1029" s="7" t="s">
        <v>2463</v>
      </c>
      <c r="G1029" s="7" t="n">
        <v>2016</v>
      </c>
      <c r="H1029" s="7" t="s">
        <v>119</v>
      </c>
      <c r="I1029" s="7" t="s">
        <v>82</v>
      </c>
      <c r="J1029" s="7" t="s">
        <v>191</v>
      </c>
      <c r="K1029" s="7" t="n">
        <f aca="false">IFERROR(VALUE(RIGHT(TRIM(F1029),4)),"")</f>
        <v>2017</v>
      </c>
      <c r="L1029" s="7" t="str">
        <f aca="false">IF(TRIM(E1029)="","Unknown",IFERROR(LEFT(TRIM(E1029),FIND(",",TRIM(E1029))-1),TRIM(E1029)))</f>
        <v>United States</v>
      </c>
      <c r="M1029" s="7" t="str">
        <f aca="false">IFERROR(LEFT(J1029,FIND(",",J1029)-1),J1029)</f>
        <v>Kids' TV</v>
      </c>
      <c r="N1029" s="7" t="str">
        <f aca="false">IF(B1029="Movie",IFERROR(VALUE(LEFT(I1029,FIND(" ",I1029)-1)),""),"")</f>
        <v/>
      </c>
      <c r="O1029" s="7" t="n">
        <f aca="false">IF(B1029="TV Show",IFERROR(VALUE(LEFT(I1029,FIND(" ",I1029)-1)),""),"")</f>
        <v>1</v>
      </c>
      <c r="P1029" s="7" t="n">
        <f aca="false">IF(K1029="","",K1029-G1029)</f>
        <v>1</v>
      </c>
    </row>
    <row r="1030" customFormat="false" ht="15" hidden="false" customHeight="false" outlineLevel="0" collapsed="false">
      <c r="A1030" s="7" t="n">
        <v>80173002</v>
      </c>
      <c r="B1030" s="7" t="s">
        <v>68</v>
      </c>
      <c r="C1030" s="7" t="s">
        <v>2465</v>
      </c>
      <c r="D1030" s="7" t="s">
        <v>2466</v>
      </c>
      <c r="E1030" s="7" t="s">
        <v>26</v>
      </c>
      <c r="F1030" s="7" t="s">
        <v>2463</v>
      </c>
      <c r="G1030" s="7" t="n">
        <v>2016</v>
      </c>
      <c r="H1030" s="7" t="s">
        <v>51</v>
      </c>
      <c r="I1030" s="7" t="s">
        <v>869</v>
      </c>
      <c r="J1030" s="7" t="s">
        <v>37</v>
      </c>
      <c r="K1030" s="7" t="n">
        <f aca="false">IFERROR(VALUE(RIGHT(TRIM(F1030),4)),"")</f>
        <v>2017</v>
      </c>
      <c r="L1030" s="7" t="str">
        <f aca="false">IF(TRIM(E1030)="","Unknown",IFERROR(LEFT(TRIM(E1030),FIND(",",TRIM(E1030))-1),TRIM(E1030)))</f>
        <v>United States</v>
      </c>
      <c r="M1030" s="7" t="str">
        <f aca="false">IFERROR(LEFT(J1030,FIND(",",J1030)-1),J1030)</f>
        <v>Dramas</v>
      </c>
      <c r="N1030" s="7" t="n">
        <f aca="false">IF(B1030="Movie",IFERROR(VALUE(LEFT(I1030,FIND(" ",I1030)-1)),""),"")</f>
        <v>123</v>
      </c>
      <c r="O1030" s="7" t="str">
        <f aca="false">IF(B1030="TV Show",IFERROR(VALUE(LEFT(I1030,FIND(" ",I1030)-1)),""),"")</f>
        <v/>
      </c>
      <c r="P1030" s="7" t="n">
        <f aca="false">IF(K1030="","",K1030-G1030)</f>
        <v>1</v>
      </c>
    </row>
    <row r="1031" customFormat="false" ht="15" hidden="false" customHeight="false" outlineLevel="0" collapsed="false">
      <c r="A1031" s="7" t="n">
        <v>80009431</v>
      </c>
      <c r="B1031" s="7" t="s">
        <v>68</v>
      </c>
      <c r="C1031" s="7" t="s">
        <v>2467</v>
      </c>
      <c r="D1031" s="7" t="s">
        <v>688</v>
      </c>
      <c r="E1031" s="7" t="s">
        <v>2468</v>
      </c>
      <c r="F1031" s="7" t="s">
        <v>2469</v>
      </c>
      <c r="G1031" s="7" t="n">
        <v>2014</v>
      </c>
      <c r="H1031" s="7" t="s">
        <v>48</v>
      </c>
      <c r="I1031" s="7" t="s">
        <v>205</v>
      </c>
      <c r="J1031" s="7" t="s">
        <v>341</v>
      </c>
      <c r="K1031" s="7" t="n">
        <f aca="false">IFERROR(VALUE(RIGHT(TRIM(F1031),4)),"")</f>
        <v>2014</v>
      </c>
      <c r="L1031" s="7" t="str">
        <f aca="false">IF(TRIM(E1031)="","Unknown",IFERROR(LEFT(TRIM(E1031),FIND(",",TRIM(E1031))-1),TRIM(E1031)))</f>
        <v>United Kingdom</v>
      </c>
      <c r="M1031" s="7" t="str">
        <f aca="false">IFERROR(LEFT(J1031,FIND(",",J1031)-1),J1031)</f>
        <v>Documentaries</v>
      </c>
      <c r="N1031" s="7" t="n">
        <f aca="false">IF(B1031="Movie",IFERROR(VALUE(LEFT(I1031,FIND(" ",I1031)-1)),""),"")</f>
        <v>100</v>
      </c>
      <c r="O1031" s="7" t="str">
        <f aca="false">IF(B1031="TV Show",IFERROR(VALUE(LEFT(I1031,FIND(" ",I1031)-1)),""),"")</f>
        <v/>
      </c>
      <c r="P1031" s="7" t="n">
        <f aca="false">IF(K1031="","",K1031-G1031)</f>
        <v>0</v>
      </c>
    </row>
    <row r="1032" customFormat="false" ht="15" hidden="false" customHeight="false" outlineLevel="0" collapsed="false">
      <c r="A1032" s="7" t="n">
        <v>81092045</v>
      </c>
      <c r="B1032" s="7" t="s">
        <v>68</v>
      </c>
      <c r="C1032" s="7" t="s">
        <v>2470</v>
      </c>
      <c r="D1032" s="7" t="s">
        <v>2471</v>
      </c>
      <c r="E1032" s="7" t="s">
        <v>26</v>
      </c>
      <c r="F1032" s="7" t="s">
        <v>2472</v>
      </c>
      <c r="G1032" s="7" t="n">
        <v>2019</v>
      </c>
      <c r="H1032" s="7" t="s">
        <v>48</v>
      </c>
      <c r="I1032" s="7" t="s">
        <v>107</v>
      </c>
      <c r="J1032" s="7" t="s">
        <v>37</v>
      </c>
      <c r="K1032" s="7" t="n">
        <f aca="false">IFERROR(VALUE(RIGHT(TRIM(F1032),4)),"")</f>
        <v>2019</v>
      </c>
      <c r="L1032" s="7" t="str">
        <f aca="false">IF(TRIM(E1032)="","Unknown",IFERROR(LEFT(TRIM(E1032),FIND(",",TRIM(E1032))-1),TRIM(E1032)))</f>
        <v>United States</v>
      </c>
      <c r="M1032" s="7" t="str">
        <f aca="false">IFERROR(LEFT(J1032,FIND(",",J1032)-1),J1032)</f>
        <v>Dramas</v>
      </c>
      <c r="N1032" s="7" t="n">
        <f aca="false">IF(B1032="Movie",IFERROR(VALUE(LEFT(I1032,FIND(" ",I1032)-1)),""),"")</f>
        <v>78</v>
      </c>
      <c r="O1032" s="7" t="str">
        <f aca="false">IF(B1032="TV Show",IFERROR(VALUE(LEFT(I1032,FIND(" ",I1032)-1)),""),"")</f>
        <v/>
      </c>
      <c r="P1032" s="7" t="n">
        <f aca="false">IF(K1032="","",K1032-G1032)</f>
        <v>0</v>
      </c>
    </row>
    <row r="1033" customFormat="false" ht="15" hidden="false" customHeight="false" outlineLevel="0" collapsed="false">
      <c r="A1033" s="7" t="n">
        <v>81153751</v>
      </c>
      <c r="B1033" s="7" t="s">
        <v>78</v>
      </c>
      <c r="C1033" s="7" t="s">
        <v>2473</v>
      </c>
      <c r="E1033" s="7" t="s">
        <v>30</v>
      </c>
      <c r="F1033" s="7" t="s">
        <v>2472</v>
      </c>
      <c r="G1033" s="7" t="n">
        <v>2019</v>
      </c>
      <c r="H1033" s="7" t="s">
        <v>49</v>
      </c>
      <c r="I1033" s="7" t="s">
        <v>82</v>
      </c>
      <c r="J1033" s="7" t="s">
        <v>402</v>
      </c>
      <c r="K1033" s="7" t="n">
        <f aca="false">IFERROR(VALUE(RIGHT(TRIM(F1033),4)),"")</f>
        <v>2019</v>
      </c>
      <c r="L1033" s="7" t="str">
        <f aca="false">IF(TRIM(E1033)="","Unknown",IFERROR(LEFT(TRIM(E1033),FIND(",",TRIM(E1033))-1),TRIM(E1033)))</f>
        <v>Japan</v>
      </c>
      <c r="M1033" s="7" t="str">
        <f aca="false">IFERROR(LEFT(J1033,FIND(",",J1033)-1),J1033)</f>
        <v>Crime TV Shows</v>
      </c>
      <c r="N1033" s="7" t="str">
        <f aca="false">IF(B1033="Movie",IFERROR(VALUE(LEFT(I1033,FIND(" ",I1033)-1)),""),"")</f>
        <v/>
      </c>
      <c r="O1033" s="7" t="n">
        <f aca="false">IF(B1033="TV Show",IFERROR(VALUE(LEFT(I1033,FIND(" ",I1033)-1)),""),"")</f>
        <v>1</v>
      </c>
      <c r="P1033" s="7" t="n">
        <f aca="false">IF(K1033="","",K1033-G1033)</f>
        <v>0</v>
      </c>
    </row>
    <row r="1034" customFormat="false" ht="15" hidden="false" customHeight="false" outlineLevel="0" collapsed="false">
      <c r="A1034" s="7" t="n">
        <v>81034600</v>
      </c>
      <c r="B1034" s="7" t="s">
        <v>68</v>
      </c>
      <c r="C1034" s="7" t="s">
        <v>2474</v>
      </c>
      <c r="D1034" s="7" t="s">
        <v>2475</v>
      </c>
      <c r="E1034" s="7" t="s">
        <v>2476</v>
      </c>
      <c r="F1034" s="7" t="s">
        <v>2472</v>
      </c>
      <c r="G1034" s="7" t="n">
        <v>2018</v>
      </c>
      <c r="H1034" s="7" t="s">
        <v>48</v>
      </c>
      <c r="I1034" s="7" t="s">
        <v>237</v>
      </c>
      <c r="J1034" s="7" t="s">
        <v>112</v>
      </c>
      <c r="K1034" s="7" t="n">
        <f aca="false">IFERROR(VALUE(RIGHT(TRIM(F1034),4)),"")</f>
        <v>2019</v>
      </c>
      <c r="L1034" s="7" t="str">
        <f aca="false">IF(TRIM(E1034)="","Unknown",IFERROR(LEFT(TRIM(E1034),FIND(",",TRIM(E1034))-1),TRIM(E1034)))</f>
        <v>China</v>
      </c>
      <c r="M1034" s="7" t="str">
        <f aca="false">IFERROR(LEFT(J1034,FIND(",",J1034)-1),J1034)</f>
        <v>Action &amp; Adventure</v>
      </c>
      <c r="N1034" s="7" t="n">
        <f aca="false">IF(B1034="Movie",IFERROR(VALUE(LEFT(I1034,FIND(" ",I1034)-1)),""),"")</f>
        <v>116</v>
      </c>
      <c r="O1034" s="7" t="str">
        <f aca="false">IF(B1034="TV Show",IFERROR(VALUE(LEFT(I1034,FIND(" ",I1034)-1)),""),"")</f>
        <v/>
      </c>
      <c r="P1034" s="7" t="n">
        <f aca="false">IF(K1034="","",K1034-G1034)</f>
        <v>1</v>
      </c>
    </row>
    <row r="1035" customFormat="false" ht="15" hidden="false" customHeight="false" outlineLevel="0" collapsed="false">
      <c r="A1035" s="7" t="n">
        <v>80183783</v>
      </c>
      <c r="B1035" s="7" t="s">
        <v>68</v>
      </c>
      <c r="C1035" s="7" t="s">
        <v>2477</v>
      </c>
      <c r="D1035" s="7" t="s">
        <v>2478</v>
      </c>
      <c r="E1035" s="7" t="s">
        <v>26</v>
      </c>
      <c r="F1035" s="7" t="s">
        <v>2479</v>
      </c>
      <c r="G1035" s="7" t="n">
        <v>2017</v>
      </c>
      <c r="H1035" s="7" t="s">
        <v>48</v>
      </c>
      <c r="I1035" s="7" t="s">
        <v>1529</v>
      </c>
      <c r="J1035" s="7" t="s">
        <v>39</v>
      </c>
      <c r="K1035" s="7" t="n">
        <f aca="false">IFERROR(VALUE(RIGHT(TRIM(F1035),4)),"")</f>
        <v>2017</v>
      </c>
      <c r="L1035" s="7" t="str">
        <f aca="false">IF(TRIM(E1035)="","Unknown",IFERROR(LEFT(TRIM(E1035),FIND(",",TRIM(E1035))-1),TRIM(E1035)))</f>
        <v>United States</v>
      </c>
      <c r="M1035" s="7" t="str">
        <f aca="false">IFERROR(LEFT(J1035,FIND(",",J1035)-1),J1035)</f>
        <v>Documentaries</v>
      </c>
      <c r="N1035" s="7" t="n">
        <f aca="false">IF(B1035="Movie",IFERROR(VALUE(LEFT(I1035,FIND(" ",I1035)-1)),""),"")</f>
        <v>144</v>
      </c>
      <c r="O1035" s="7" t="str">
        <f aca="false">IF(B1035="TV Show",IFERROR(VALUE(LEFT(I1035,FIND(" ",I1035)-1)),""),"")</f>
        <v/>
      </c>
      <c r="P1035" s="7" t="n">
        <f aca="false">IF(K1035="","",K1035-G1035)</f>
        <v>0</v>
      </c>
    </row>
    <row r="1036" customFormat="false" ht="15" hidden="false" customHeight="false" outlineLevel="0" collapsed="false">
      <c r="A1036" s="7" t="n">
        <v>81209203</v>
      </c>
      <c r="B1036" s="7" t="s">
        <v>68</v>
      </c>
      <c r="C1036" s="7" t="s">
        <v>2480</v>
      </c>
      <c r="D1036" s="7" t="s">
        <v>2481</v>
      </c>
      <c r="F1036" s="7" t="s">
        <v>2482</v>
      </c>
      <c r="G1036" s="7" t="n">
        <v>2019</v>
      </c>
      <c r="H1036" s="7" t="s">
        <v>226</v>
      </c>
      <c r="I1036" s="7" t="s">
        <v>494</v>
      </c>
      <c r="J1036" s="7" t="s">
        <v>74</v>
      </c>
      <c r="K1036" s="7" t="n">
        <f aca="false">IFERROR(VALUE(RIGHT(TRIM(F1036),4)),"")</f>
        <v>2019</v>
      </c>
      <c r="L1036" s="7" t="str">
        <f aca="false">IF(TRIM(E1036)="","Unknown",IFERROR(LEFT(TRIM(E1036),FIND(",",TRIM(E1036))-1),TRIM(E1036)))</f>
        <v>Unknown</v>
      </c>
      <c r="M1036" s="7" t="str">
        <f aca="false">IFERROR(LEFT(J1036,FIND(",",J1036)-1),J1036)</f>
        <v>Children &amp; Family Movies</v>
      </c>
      <c r="N1036" s="7" t="n">
        <f aca="false">IF(B1036="Movie",IFERROR(VALUE(LEFT(I1036,FIND(" ",I1036)-1)),""),"")</f>
        <v>87</v>
      </c>
      <c r="O1036" s="7" t="str">
        <f aca="false">IF(B1036="TV Show",IFERROR(VALUE(LEFT(I1036,FIND(" ",I1036)-1)),""),"")</f>
        <v/>
      </c>
      <c r="P1036" s="7" t="n">
        <f aca="false">IF(K1036="","",K1036-G1036)</f>
        <v>0</v>
      </c>
    </row>
    <row r="1037" customFormat="false" ht="15" hidden="false" customHeight="false" outlineLevel="0" collapsed="false">
      <c r="A1037" s="7" t="n">
        <v>81058497</v>
      </c>
      <c r="B1037" s="7" t="s">
        <v>68</v>
      </c>
      <c r="C1037" s="7" t="s">
        <v>2483</v>
      </c>
      <c r="D1037" s="7" t="s">
        <v>2484</v>
      </c>
      <c r="E1037" s="7" t="s">
        <v>26</v>
      </c>
      <c r="F1037" s="7" t="s">
        <v>2482</v>
      </c>
      <c r="G1037" s="7" t="n">
        <v>2019</v>
      </c>
      <c r="H1037" s="7" t="s">
        <v>48</v>
      </c>
      <c r="I1037" s="7" t="s">
        <v>123</v>
      </c>
      <c r="J1037" s="7" t="s">
        <v>45</v>
      </c>
      <c r="K1037" s="7" t="n">
        <f aca="false">IFERROR(VALUE(RIGHT(TRIM(F1037),4)),"")</f>
        <v>2019</v>
      </c>
      <c r="L1037" s="7" t="str">
        <f aca="false">IF(TRIM(E1037)="","Unknown",IFERROR(LEFT(TRIM(E1037),FIND(",",TRIM(E1037))-1),TRIM(E1037)))</f>
        <v>United States</v>
      </c>
      <c r="M1037" s="7" t="str">
        <f aca="false">IFERROR(LEFT(J1037,FIND(",",J1037)-1),J1037)</f>
        <v>Stand-Up Comedy</v>
      </c>
      <c r="N1037" s="7" t="n">
        <f aca="false">IF(B1037="Movie",IFERROR(VALUE(LEFT(I1037,FIND(" ",I1037)-1)),""),"")</f>
        <v>61</v>
      </c>
      <c r="O1037" s="7" t="str">
        <f aca="false">IF(B1037="TV Show",IFERROR(VALUE(LEFT(I1037,FIND(" ",I1037)-1)),""),"")</f>
        <v/>
      </c>
      <c r="P1037" s="7" t="n">
        <f aca="false">IF(K1037="","",K1037-G1037)</f>
        <v>0</v>
      </c>
    </row>
    <row r="1038" customFormat="false" ht="15" hidden="false" customHeight="false" outlineLevel="0" collapsed="false">
      <c r="A1038" s="7" t="n">
        <v>80167628</v>
      </c>
      <c r="B1038" s="7" t="s">
        <v>68</v>
      </c>
      <c r="C1038" s="7" t="s">
        <v>2485</v>
      </c>
      <c r="D1038" s="7" t="s">
        <v>2486</v>
      </c>
      <c r="E1038" s="7" t="s">
        <v>26</v>
      </c>
      <c r="F1038" s="7" t="s">
        <v>2482</v>
      </c>
      <c r="G1038" s="7" t="n">
        <v>2017</v>
      </c>
      <c r="H1038" s="7" t="s">
        <v>51</v>
      </c>
      <c r="I1038" s="7" t="s">
        <v>134</v>
      </c>
      <c r="J1038" s="7" t="s">
        <v>198</v>
      </c>
      <c r="K1038" s="7" t="n">
        <f aca="false">IFERROR(VALUE(RIGHT(TRIM(F1038),4)),"")</f>
        <v>2019</v>
      </c>
      <c r="L1038" s="7" t="str">
        <f aca="false">IF(TRIM(E1038)="","Unknown",IFERROR(LEFT(TRIM(E1038),FIND(",",TRIM(E1038))-1),TRIM(E1038)))</f>
        <v>United States</v>
      </c>
      <c r="M1038" s="7" t="str">
        <f aca="false">IFERROR(LEFT(J1038,FIND(",",J1038)-1),J1038)</f>
        <v>Comedies</v>
      </c>
      <c r="N1038" s="7" t="n">
        <f aca="false">IF(B1038="Movie",IFERROR(VALUE(LEFT(I1038,FIND(" ",I1038)-1)),""),"")</f>
        <v>98</v>
      </c>
      <c r="O1038" s="7" t="str">
        <f aca="false">IF(B1038="TV Show",IFERROR(VALUE(LEFT(I1038,FIND(" ",I1038)-1)),""),"")</f>
        <v/>
      </c>
      <c r="P1038" s="7" t="n">
        <f aca="false">IF(K1038="","",K1038-G1038)</f>
        <v>2</v>
      </c>
    </row>
    <row r="1039" customFormat="false" ht="15" hidden="false" customHeight="false" outlineLevel="0" collapsed="false">
      <c r="A1039" s="7" t="n">
        <v>81165326</v>
      </c>
      <c r="B1039" s="7" t="s">
        <v>68</v>
      </c>
      <c r="C1039" s="7" t="s">
        <v>2487</v>
      </c>
      <c r="D1039" s="7" t="s">
        <v>2488</v>
      </c>
      <c r="E1039" s="7" t="s">
        <v>32</v>
      </c>
      <c r="F1039" s="7" t="s">
        <v>2482</v>
      </c>
      <c r="G1039" s="7" t="n">
        <v>2019</v>
      </c>
      <c r="H1039" s="7" t="s">
        <v>48</v>
      </c>
      <c r="I1039" s="7" t="s">
        <v>869</v>
      </c>
      <c r="J1039" s="7" t="s">
        <v>240</v>
      </c>
      <c r="K1039" s="7" t="n">
        <f aca="false">IFERROR(VALUE(RIGHT(TRIM(F1039),4)),"")</f>
        <v>2019</v>
      </c>
      <c r="L1039" s="7" t="str">
        <f aca="false">IF(TRIM(E1039)="","Unknown",IFERROR(LEFT(TRIM(E1039),FIND(",",TRIM(E1039))-1),TRIM(E1039)))</f>
        <v>South Korea</v>
      </c>
      <c r="M1039" s="7" t="str">
        <f aca="false">IFERROR(LEFT(J1039,FIND(",",J1039)-1),J1039)</f>
        <v>Dramas</v>
      </c>
      <c r="N1039" s="7" t="n">
        <f aca="false">IF(B1039="Movie",IFERROR(VALUE(LEFT(I1039,FIND(" ",I1039)-1)),""),"")</f>
        <v>123</v>
      </c>
      <c r="O1039" s="7" t="str">
        <f aca="false">IF(B1039="TV Show",IFERROR(VALUE(LEFT(I1039,FIND(" ",I1039)-1)),""),"")</f>
        <v/>
      </c>
      <c r="P1039" s="7" t="n">
        <f aca="false">IF(K1039="","",K1039-G1039)</f>
        <v>0</v>
      </c>
    </row>
    <row r="1040" customFormat="false" ht="15" hidden="false" customHeight="false" outlineLevel="0" collapsed="false">
      <c r="A1040" s="7" t="n">
        <v>81053961</v>
      </c>
      <c r="B1040" s="7" t="s">
        <v>68</v>
      </c>
      <c r="C1040" s="7" t="s">
        <v>2489</v>
      </c>
      <c r="D1040" s="7" t="s">
        <v>2490</v>
      </c>
      <c r="E1040" s="7" t="s">
        <v>26</v>
      </c>
      <c r="F1040" s="7" t="s">
        <v>2482</v>
      </c>
      <c r="G1040" s="7" t="n">
        <v>2019</v>
      </c>
      <c r="H1040" s="7" t="s">
        <v>51</v>
      </c>
      <c r="I1040" s="7" t="s">
        <v>340</v>
      </c>
      <c r="J1040" s="7" t="s">
        <v>38</v>
      </c>
      <c r="K1040" s="7" t="n">
        <f aca="false">IFERROR(VALUE(RIGHT(TRIM(F1040),4)),"")</f>
        <v>2019</v>
      </c>
      <c r="L1040" s="7" t="str">
        <f aca="false">IF(TRIM(E1040)="","Unknown",IFERROR(LEFT(TRIM(E1040),FIND(",",TRIM(E1040))-1),TRIM(E1040)))</f>
        <v>United States</v>
      </c>
      <c r="M1040" s="7" t="str">
        <f aca="false">IFERROR(LEFT(J1040,FIND(",",J1040)-1),J1040)</f>
        <v>Comedies</v>
      </c>
      <c r="N1040" s="7" t="n">
        <f aca="false">IF(B1040="Movie",IFERROR(VALUE(LEFT(I1040,FIND(" ",I1040)-1)),""),"")</f>
        <v>85</v>
      </c>
      <c r="O1040" s="7" t="str">
        <f aca="false">IF(B1040="TV Show",IFERROR(VALUE(LEFT(I1040,FIND(" ",I1040)-1)),""),"")</f>
        <v/>
      </c>
      <c r="P1040" s="7" t="n">
        <f aca="false">IF(K1040="","",K1040-G1040)</f>
        <v>0</v>
      </c>
    </row>
    <row r="1041" customFormat="false" ht="15" hidden="false" customHeight="false" outlineLevel="0" collapsed="false">
      <c r="A1041" s="7" t="n">
        <v>81142595</v>
      </c>
      <c r="B1041" s="7" t="s">
        <v>78</v>
      </c>
      <c r="C1041" s="7" t="s">
        <v>2491</v>
      </c>
      <c r="F1041" s="7" t="s">
        <v>2482</v>
      </c>
      <c r="G1041" s="7" t="n">
        <v>2019</v>
      </c>
      <c r="H1041" s="7" t="s">
        <v>49</v>
      </c>
      <c r="I1041" s="7" t="s">
        <v>82</v>
      </c>
      <c r="J1041" s="7" t="s">
        <v>402</v>
      </c>
      <c r="K1041" s="7" t="n">
        <f aca="false">IFERROR(VALUE(RIGHT(TRIM(F1041),4)),"")</f>
        <v>2019</v>
      </c>
      <c r="L1041" s="7" t="str">
        <f aca="false">IF(TRIM(E1041)="","Unknown",IFERROR(LEFT(TRIM(E1041),FIND(",",TRIM(E1041))-1),TRIM(E1041)))</f>
        <v>Unknown</v>
      </c>
      <c r="M1041" s="7" t="str">
        <f aca="false">IFERROR(LEFT(J1041,FIND(",",J1041)-1),J1041)</f>
        <v>Crime TV Shows</v>
      </c>
      <c r="N1041" s="7" t="str">
        <f aca="false">IF(B1041="Movie",IFERROR(VALUE(LEFT(I1041,FIND(" ",I1041)-1)),""),"")</f>
        <v/>
      </c>
      <c r="O1041" s="7" t="n">
        <f aca="false">IF(B1041="TV Show",IFERROR(VALUE(LEFT(I1041,FIND(" ",I1041)-1)),""),"")</f>
        <v>1</v>
      </c>
      <c r="P1041" s="7" t="n">
        <f aca="false">IF(K1041="","",K1041-G1041)</f>
        <v>0</v>
      </c>
    </row>
    <row r="1042" customFormat="false" ht="15" hidden="false" customHeight="false" outlineLevel="0" collapsed="false">
      <c r="A1042" s="7" t="n">
        <v>81029848</v>
      </c>
      <c r="B1042" s="7" t="s">
        <v>68</v>
      </c>
      <c r="C1042" s="7" t="s">
        <v>2492</v>
      </c>
      <c r="D1042" s="7" t="s">
        <v>2493</v>
      </c>
      <c r="E1042" s="7" t="s">
        <v>27</v>
      </c>
      <c r="F1042" s="7" t="s">
        <v>2494</v>
      </c>
      <c r="G1042" s="7" t="n">
        <v>2018</v>
      </c>
      <c r="H1042" s="7" t="s">
        <v>49</v>
      </c>
      <c r="I1042" s="7" t="s">
        <v>2053</v>
      </c>
      <c r="J1042" s="7" t="s">
        <v>304</v>
      </c>
      <c r="K1042" s="7" t="n">
        <f aca="false">IFERROR(VALUE(RIGHT(TRIM(F1042),4)),"")</f>
        <v>2018</v>
      </c>
      <c r="L1042" s="7" t="str">
        <f aca="false">IF(TRIM(E1042)="","Unknown",IFERROR(LEFT(TRIM(E1042),FIND(",",TRIM(E1042))-1),TRIM(E1042)))</f>
        <v>India</v>
      </c>
      <c r="M1042" s="7" t="str">
        <f aca="false">IFERROR(LEFT(J1042,FIND(",",J1042)-1),J1042)</f>
        <v>Dramas</v>
      </c>
      <c r="N1042" s="7" t="n">
        <f aca="false">IF(B1042="Movie",IFERROR(VALUE(LEFT(I1042,FIND(" ",I1042)-1)),""),"")</f>
        <v>129</v>
      </c>
      <c r="O1042" s="7" t="str">
        <f aca="false">IF(B1042="TV Show",IFERROR(VALUE(LEFT(I1042,FIND(" ",I1042)-1)),""),"")</f>
        <v/>
      </c>
      <c r="P1042" s="7" t="n">
        <f aca="false">IF(K1042="","",K1042-G1042)</f>
        <v>0</v>
      </c>
    </row>
    <row r="1043" customFormat="false" ht="15" hidden="false" customHeight="false" outlineLevel="0" collapsed="false">
      <c r="A1043" s="7" t="n">
        <v>80225421</v>
      </c>
      <c r="B1043" s="7" t="s">
        <v>68</v>
      </c>
      <c r="C1043" s="7" t="s">
        <v>2495</v>
      </c>
      <c r="E1043" s="7" t="s">
        <v>26</v>
      </c>
      <c r="F1043" s="7" t="s">
        <v>2494</v>
      </c>
      <c r="G1043" s="7" t="n">
        <v>2018</v>
      </c>
      <c r="H1043" s="7" t="s">
        <v>48</v>
      </c>
      <c r="I1043" s="7" t="s">
        <v>73</v>
      </c>
      <c r="J1043" s="7" t="s">
        <v>45</v>
      </c>
      <c r="K1043" s="7" t="n">
        <f aca="false">IFERROR(VALUE(RIGHT(TRIM(F1043),4)),"")</f>
        <v>2018</v>
      </c>
      <c r="L1043" s="7" t="str">
        <f aca="false">IF(TRIM(E1043)="","Unknown",IFERROR(LEFT(TRIM(E1043),FIND(",",TRIM(E1043))-1),TRIM(E1043)))</f>
        <v>United States</v>
      </c>
      <c r="M1043" s="7" t="str">
        <f aca="false">IFERROR(LEFT(J1043,FIND(",",J1043)-1),J1043)</f>
        <v>Stand-Up Comedy</v>
      </c>
      <c r="N1043" s="7" t="n">
        <f aca="false">IF(B1043="Movie",IFERROR(VALUE(LEFT(I1043,FIND(" ",I1043)-1)),""),"")</f>
        <v>90</v>
      </c>
      <c r="O1043" s="7" t="str">
        <f aca="false">IF(B1043="TV Show",IFERROR(VALUE(LEFT(I1043,FIND(" ",I1043)-1)),""),"")</f>
        <v/>
      </c>
      <c r="P1043" s="7" t="n">
        <f aca="false">IF(K1043="","",K1043-G1043)</f>
        <v>0</v>
      </c>
    </row>
    <row r="1044" customFormat="false" ht="15" hidden="false" customHeight="false" outlineLevel="0" collapsed="false">
      <c r="A1044" s="7" t="n">
        <v>80204460</v>
      </c>
      <c r="B1044" s="7" t="s">
        <v>68</v>
      </c>
      <c r="C1044" s="7" t="s">
        <v>2496</v>
      </c>
      <c r="D1044" s="7" t="s">
        <v>1528</v>
      </c>
      <c r="E1044" s="7" t="s">
        <v>27</v>
      </c>
      <c r="F1044" s="7" t="s">
        <v>2497</v>
      </c>
      <c r="G1044" s="7" t="n">
        <v>2017</v>
      </c>
      <c r="H1044" s="7" t="s">
        <v>52</v>
      </c>
      <c r="I1044" s="7" t="s">
        <v>722</v>
      </c>
      <c r="J1044" s="7" t="s">
        <v>217</v>
      </c>
      <c r="K1044" s="7" t="n">
        <f aca="false">IFERROR(VALUE(RIGHT(TRIM(F1044),4)),"")</f>
        <v>2017</v>
      </c>
      <c r="L1044" s="7" t="str">
        <f aca="false">IF(TRIM(E1044)="","Unknown",IFERROR(LEFT(TRIM(E1044),FIND(",",TRIM(E1044))-1),TRIM(E1044)))</f>
        <v>India</v>
      </c>
      <c r="M1044" s="7" t="str">
        <f aca="false">IFERROR(LEFT(J1044,FIND(",",J1044)-1),J1044)</f>
        <v>Comedies</v>
      </c>
      <c r="N1044" s="7" t="n">
        <f aca="false">IF(B1044="Movie",IFERROR(VALUE(LEFT(I1044,FIND(" ",I1044)-1)),""),"")</f>
        <v>153</v>
      </c>
      <c r="O1044" s="7" t="str">
        <f aca="false">IF(B1044="TV Show",IFERROR(VALUE(LEFT(I1044,FIND(" ",I1044)-1)),""),"")</f>
        <v/>
      </c>
      <c r="P1044" s="7" t="n">
        <f aca="false">IF(K1044="","",K1044-G1044)</f>
        <v>0</v>
      </c>
    </row>
    <row r="1045" customFormat="false" ht="15" hidden="false" customHeight="false" outlineLevel="0" collapsed="false">
      <c r="A1045" s="7" t="n">
        <v>70209267</v>
      </c>
      <c r="B1045" s="7" t="s">
        <v>68</v>
      </c>
      <c r="C1045" s="7" t="s">
        <v>2498</v>
      </c>
      <c r="D1045" s="7" t="s">
        <v>2499</v>
      </c>
      <c r="E1045" s="7" t="s">
        <v>26</v>
      </c>
      <c r="F1045" s="7" t="s">
        <v>2500</v>
      </c>
      <c r="G1045" s="7" t="n">
        <v>2011</v>
      </c>
      <c r="H1045" s="7" t="s">
        <v>226</v>
      </c>
      <c r="I1045" s="7" t="s">
        <v>311</v>
      </c>
      <c r="J1045" s="7" t="s">
        <v>829</v>
      </c>
      <c r="K1045" s="7" t="n">
        <f aca="false">IFERROR(VALUE(RIGHT(TRIM(F1045),4)),"")</f>
        <v>2019</v>
      </c>
      <c r="L1045" s="7" t="str">
        <f aca="false">IF(TRIM(E1045)="","Unknown",IFERROR(LEFT(TRIM(E1045),FIND(",",TRIM(E1045))-1),TRIM(E1045)))</f>
        <v>United States</v>
      </c>
      <c r="M1045" s="7" t="str">
        <f aca="false">IFERROR(LEFT(J1045,FIND(",",J1045)-1),J1045)</f>
        <v>Children &amp; Family Movies</v>
      </c>
      <c r="N1045" s="7" t="n">
        <f aca="false">IF(B1045="Movie",IFERROR(VALUE(LEFT(I1045,FIND(" ",I1045)-1)),""),"")</f>
        <v>92</v>
      </c>
      <c r="O1045" s="7" t="str">
        <f aca="false">IF(B1045="TV Show",IFERROR(VALUE(LEFT(I1045,FIND(" ",I1045)-1)),""),"")</f>
        <v/>
      </c>
      <c r="P1045" s="7" t="n">
        <f aca="false">IF(K1045="","",K1045-G1045)</f>
        <v>8</v>
      </c>
    </row>
    <row r="1046" customFormat="false" ht="15" hidden="false" customHeight="false" outlineLevel="0" collapsed="false">
      <c r="A1046" s="7" t="n">
        <v>70306305</v>
      </c>
      <c r="B1046" s="7" t="s">
        <v>68</v>
      </c>
      <c r="C1046" s="7" t="s">
        <v>2501</v>
      </c>
      <c r="D1046" s="7" t="s">
        <v>2502</v>
      </c>
      <c r="E1046" s="7" t="s">
        <v>619</v>
      </c>
      <c r="F1046" s="7" t="s">
        <v>2500</v>
      </c>
      <c r="G1046" s="7" t="n">
        <v>2012</v>
      </c>
      <c r="H1046" s="7" t="s">
        <v>50</v>
      </c>
      <c r="I1046" s="7" t="s">
        <v>494</v>
      </c>
      <c r="J1046" s="7" t="s">
        <v>177</v>
      </c>
      <c r="K1046" s="7" t="n">
        <f aca="false">IFERROR(VALUE(RIGHT(TRIM(F1046),4)),"")</f>
        <v>2019</v>
      </c>
      <c r="L1046" s="7" t="str">
        <f aca="false">IF(TRIM(E1046)="","Unknown",IFERROR(LEFT(TRIM(E1046),FIND(",",TRIM(E1046))-1),TRIM(E1046)))</f>
        <v>Canada</v>
      </c>
      <c r="M1046" s="7" t="str">
        <f aca="false">IFERROR(LEFT(J1046,FIND(",",J1046)-1),J1046)</f>
        <v>Comedies</v>
      </c>
      <c r="N1046" s="7" t="n">
        <f aca="false">IF(B1046="Movie",IFERROR(VALUE(LEFT(I1046,FIND(" ",I1046)-1)),""),"")</f>
        <v>87</v>
      </c>
      <c r="O1046" s="7" t="str">
        <f aca="false">IF(B1046="TV Show",IFERROR(VALUE(LEFT(I1046,FIND(" ",I1046)-1)),""),"")</f>
        <v/>
      </c>
      <c r="P1046" s="7" t="n">
        <f aca="false">IF(K1046="","",K1046-G1046)</f>
        <v>7</v>
      </c>
    </row>
    <row r="1047" customFormat="false" ht="15" hidden="false" customHeight="false" outlineLevel="0" collapsed="false">
      <c r="A1047" s="7" t="n">
        <v>70262831</v>
      </c>
      <c r="B1047" s="7" t="s">
        <v>68</v>
      </c>
      <c r="C1047" s="7" t="s">
        <v>2503</v>
      </c>
      <c r="D1047" s="7" t="s">
        <v>2504</v>
      </c>
      <c r="E1047" s="7" t="s">
        <v>29</v>
      </c>
      <c r="F1047" s="7" t="s">
        <v>2500</v>
      </c>
      <c r="G1047" s="7" t="n">
        <v>2011</v>
      </c>
      <c r="H1047" s="7" t="s">
        <v>50</v>
      </c>
      <c r="I1047" s="7" t="s">
        <v>311</v>
      </c>
      <c r="J1047" s="7" t="s">
        <v>177</v>
      </c>
      <c r="K1047" s="7" t="n">
        <f aca="false">IFERROR(VALUE(RIGHT(TRIM(F1047),4)),"")</f>
        <v>2019</v>
      </c>
      <c r="L1047" s="7" t="str">
        <f aca="false">IF(TRIM(E1047)="","Unknown",IFERROR(LEFT(TRIM(E1047),FIND(",",TRIM(E1047))-1),TRIM(E1047)))</f>
        <v>Canada</v>
      </c>
      <c r="M1047" s="7" t="str">
        <f aca="false">IFERROR(LEFT(J1047,FIND(",",J1047)-1),J1047)</f>
        <v>Comedies</v>
      </c>
      <c r="N1047" s="7" t="n">
        <f aca="false">IF(B1047="Movie",IFERROR(VALUE(LEFT(I1047,FIND(" ",I1047)-1)),""),"")</f>
        <v>92</v>
      </c>
      <c r="O1047" s="7" t="str">
        <f aca="false">IF(B1047="TV Show",IFERROR(VALUE(LEFT(I1047,FIND(" ",I1047)-1)),""),"")</f>
        <v/>
      </c>
      <c r="P1047" s="7" t="n">
        <f aca="false">IF(K1047="","",K1047-G1047)</f>
        <v>8</v>
      </c>
    </row>
    <row r="1048" customFormat="false" ht="15" hidden="false" customHeight="false" outlineLevel="0" collapsed="false">
      <c r="A1048" s="7" t="n">
        <v>70113005</v>
      </c>
      <c r="B1048" s="7" t="s">
        <v>68</v>
      </c>
      <c r="C1048" s="7" t="s">
        <v>2505</v>
      </c>
      <c r="D1048" s="7" t="s">
        <v>2506</v>
      </c>
      <c r="E1048" s="7" t="s">
        <v>2507</v>
      </c>
      <c r="F1048" s="7" t="s">
        <v>2500</v>
      </c>
      <c r="G1048" s="7" t="n">
        <v>2009</v>
      </c>
      <c r="H1048" s="7" t="s">
        <v>51</v>
      </c>
      <c r="I1048" s="7" t="s">
        <v>168</v>
      </c>
      <c r="J1048" s="7" t="s">
        <v>367</v>
      </c>
      <c r="K1048" s="7" t="n">
        <f aca="false">IFERROR(VALUE(RIGHT(TRIM(F1048),4)),"")</f>
        <v>2019</v>
      </c>
      <c r="L1048" s="7" t="str">
        <f aca="false">IF(TRIM(E1048)="","Unknown",IFERROR(LEFT(TRIM(E1048),FIND(",",TRIM(E1048))-1),TRIM(E1048)))</f>
        <v>South Africa</v>
      </c>
      <c r="M1048" s="7" t="str">
        <f aca="false">IFERROR(LEFT(J1048,FIND(",",J1048)-1),J1048)</f>
        <v>Action &amp; Adventure</v>
      </c>
      <c r="N1048" s="7" t="n">
        <f aca="false">IF(B1048="Movie",IFERROR(VALUE(LEFT(I1048,FIND(" ",I1048)-1)),""),"")</f>
        <v>112</v>
      </c>
      <c r="O1048" s="7" t="str">
        <f aca="false">IF(B1048="TV Show",IFERROR(VALUE(LEFT(I1048,FIND(" ",I1048)-1)),""),"")</f>
        <v/>
      </c>
      <c r="P1048" s="7" t="n">
        <f aca="false">IF(K1048="","",K1048-G1048)</f>
        <v>10</v>
      </c>
    </row>
    <row r="1049" customFormat="false" ht="15" hidden="false" customHeight="false" outlineLevel="0" collapsed="false">
      <c r="A1049" s="7" t="n">
        <v>70052286</v>
      </c>
      <c r="B1049" s="7" t="s">
        <v>68</v>
      </c>
      <c r="C1049" s="7" t="s">
        <v>2508</v>
      </c>
      <c r="D1049" s="7" t="s">
        <v>1491</v>
      </c>
      <c r="E1049" s="7" t="s">
        <v>26</v>
      </c>
      <c r="F1049" s="7" t="s">
        <v>2500</v>
      </c>
      <c r="G1049" s="7" t="n">
        <v>1995</v>
      </c>
      <c r="H1049" s="7" t="s">
        <v>51</v>
      </c>
      <c r="I1049" s="7" t="s">
        <v>451</v>
      </c>
      <c r="J1049" s="7" t="s">
        <v>135</v>
      </c>
      <c r="K1049" s="7" t="n">
        <f aca="false">IFERROR(VALUE(RIGHT(TRIM(F1049),4)),"")</f>
        <v>2019</v>
      </c>
      <c r="L1049" s="7" t="str">
        <f aca="false">IF(TRIM(E1049)="","Unknown",IFERROR(LEFT(TRIM(E1049),FIND(",",TRIM(E1049))-1),TRIM(E1049)))</f>
        <v>United States</v>
      </c>
      <c r="M1049" s="7" t="str">
        <f aca="false">IFERROR(LEFT(J1049,FIND(",",J1049)-1),J1049)</f>
        <v>Comedies</v>
      </c>
      <c r="N1049" s="7" t="n">
        <f aca="false">IF(B1049="Movie",IFERROR(VALUE(LEFT(I1049,FIND(" ",I1049)-1)),""),"")</f>
        <v>97</v>
      </c>
      <c r="O1049" s="7" t="str">
        <f aca="false">IF(B1049="TV Show",IFERROR(VALUE(LEFT(I1049,FIND(" ",I1049)-1)),""),"")</f>
        <v/>
      </c>
      <c r="P1049" s="7" t="n">
        <f aca="false">IF(K1049="","",K1049-G1049)</f>
        <v>24</v>
      </c>
    </row>
    <row r="1050" customFormat="false" ht="15" hidden="false" customHeight="false" outlineLevel="0" collapsed="false">
      <c r="A1050" s="7" t="n">
        <v>80114460</v>
      </c>
      <c r="B1050" s="7" t="s">
        <v>68</v>
      </c>
      <c r="C1050" s="7" t="s">
        <v>2509</v>
      </c>
      <c r="D1050" s="7" t="s">
        <v>2510</v>
      </c>
      <c r="E1050" s="7" t="s">
        <v>26</v>
      </c>
      <c r="F1050" s="7" t="s">
        <v>2500</v>
      </c>
      <c r="G1050" s="7" t="n">
        <v>2016</v>
      </c>
      <c r="H1050" s="7" t="s">
        <v>49</v>
      </c>
      <c r="I1050" s="7" t="s">
        <v>107</v>
      </c>
      <c r="J1050" s="7" t="s">
        <v>39</v>
      </c>
      <c r="K1050" s="7" t="n">
        <f aca="false">IFERROR(VALUE(RIGHT(TRIM(F1050),4)),"")</f>
        <v>2019</v>
      </c>
      <c r="L1050" s="7" t="str">
        <f aca="false">IF(TRIM(E1050)="","Unknown",IFERROR(LEFT(TRIM(E1050),FIND(",",TRIM(E1050))-1),TRIM(E1050)))</f>
        <v>United States</v>
      </c>
      <c r="M1050" s="7" t="str">
        <f aca="false">IFERROR(LEFT(J1050,FIND(",",J1050)-1),J1050)</f>
        <v>Documentaries</v>
      </c>
      <c r="N1050" s="7" t="n">
        <f aca="false">IF(B1050="Movie",IFERROR(VALUE(LEFT(I1050,FIND(" ",I1050)-1)),""),"")</f>
        <v>78</v>
      </c>
      <c r="O1050" s="7" t="str">
        <f aca="false">IF(B1050="TV Show",IFERROR(VALUE(LEFT(I1050,FIND(" ",I1050)-1)),""),"")</f>
        <v/>
      </c>
      <c r="P1050" s="7" t="n">
        <f aca="false">IF(K1050="","",K1050-G1050)</f>
        <v>3</v>
      </c>
    </row>
    <row r="1051" customFormat="false" ht="15" hidden="false" customHeight="false" outlineLevel="0" collapsed="false">
      <c r="A1051" s="7" t="n">
        <v>81206389</v>
      </c>
      <c r="B1051" s="7" t="s">
        <v>68</v>
      </c>
      <c r="C1051" s="7" t="s">
        <v>2511</v>
      </c>
      <c r="D1051" s="7" t="s">
        <v>2512</v>
      </c>
      <c r="E1051" s="7" t="s">
        <v>27</v>
      </c>
      <c r="F1051" s="7" t="s">
        <v>2500</v>
      </c>
      <c r="G1051" s="7" t="n">
        <v>2019</v>
      </c>
      <c r="H1051" s="7" t="s">
        <v>48</v>
      </c>
      <c r="I1051" s="7" t="s">
        <v>330</v>
      </c>
      <c r="J1051" s="7" t="s">
        <v>182</v>
      </c>
      <c r="K1051" s="7" t="n">
        <f aca="false">IFERROR(VALUE(RIGHT(TRIM(F1051),4)),"")</f>
        <v>2019</v>
      </c>
      <c r="L1051" s="7" t="str">
        <f aca="false">IF(TRIM(E1051)="","Unknown",IFERROR(LEFT(TRIM(E1051),FIND(",",TRIM(E1051))-1),TRIM(E1051)))</f>
        <v>India</v>
      </c>
      <c r="M1051" s="7" t="str">
        <f aca="false">IFERROR(LEFT(J1051,FIND(",",J1051)-1),J1051)</f>
        <v>Dramas</v>
      </c>
      <c r="N1051" s="7" t="n">
        <f aca="false">IF(B1051="Movie",IFERROR(VALUE(LEFT(I1051,FIND(" ",I1051)-1)),""),"")</f>
        <v>103</v>
      </c>
      <c r="O1051" s="7" t="str">
        <f aca="false">IF(B1051="TV Show",IFERROR(VALUE(LEFT(I1051,FIND(" ",I1051)-1)),""),"")</f>
        <v/>
      </c>
      <c r="P1051" s="7" t="n">
        <f aca="false">IF(K1051="","",K1051-G1051)</f>
        <v>0</v>
      </c>
    </row>
    <row r="1052" customFormat="false" ht="15" hidden="false" customHeight="false" outlineLevel="0" collapsed="false">
      <c r="A1052" s="7" t="n">
        <v>80201488</v>
      </c>
      <c r="B1052" s="7" t="s">
        <v>78</v>
      </c>
      <c r="C1052" s="7" t="s">
        <v>2513</v>
      </c>
      <c r="E1052" s="7" t="s">
        <v>26</v>
      </c>
      <c r="F1052" s="7" t="s">
        <v>2500</v>
      </c>
      <c r="G1052" s="7" t="n">
        <v>2019</v>
      </c>
      <c r="H1052" s="7" t="s">
        <v>48</v>
      </c>
      <c r="I1052" s="7" t="s">
        <v>82</v>
      </c>
      <c r="J1052" s="7" t="s">
        <v>696</v>
      </c>
      <c r="K1052" s="7" t="n">
        <f aca="false">IFERROR(VALUE(RIGHT(TRIM(F1052),4)),"")</f>
        <v>2019</v>
      </c>
      <c r="L1052" s="7" t="str">
        <f aca="false">IF(TRIM(E1052)="","Unknown",IFERROR(LEFT(TRIM(E1052),FIND(",",TRIM(E1052))-1),TRIM(E1052)))</f>
        <v>United States</v>
      </c>
      <c r="M1052" s="7" t="str">
        <f aca="false">IFERROR(LEFT(J1052,FIND(",",J1052)-1),J1052)</f>
        <v>Crime TV Shows</v>
      </c>
      <c r="N1052" s="7" t="str">
        <f aca="false">IF(B1052="Movie",IFERROR(VALUE(LEFT(I1052,FIND(" ",I1052)-1)),""),"")</f>
        <v/>
      </c>
      <c r="O1052" s="7" t="n">
        <f aca="false">IF(B1052="TV Show",IFERROR(VALUE(LEFT(I1052,FIND(" ",I1052)-1)),""),"")</f>
        <v>1</v>
      </c>
      <c r="P1052" s="7" t="n">
        <f aca="false">IF(K1052="","",K1052-G1052)</f>
        <v>0</v>
      </c>
    </row>
    <row r="1053" customFormat="false" ht="15" hidden="false" customHeight="false" outlineLevel="0" collapsed="false">
      <c r="A1053" s="7" t="n">
        <v>80196135</v>
      </c>
      <c r="B1053" s="7" t="s">
        <v>68</v>
      </c>
      <c r="C1053" s="7" t="s">
        <v>2514</v>
      </c>
      <c r="D1053" s="7" t="s">
        <v>2515</v>
      </c>
      <c r="E1053" s="7" t="s">
        <v>28</v>
      </c>
      <c r="F1053" s="7" t="s">
        <v>2516</v>
      </c>
      <c r="G1053" s="7" t="n">
        <v>2017</v>
      </c>
      <c r="H1053" s="7" t="s">
        <v>48</v>
      </c>
      <c r="I1053" s="7" t="s">
        <v>820</v>
      </c>
      <c r="J1053" s="7" t="s">
        <v>974</v>
      </c>
      <c r="K1053" s="7" t="n">
        <f aca="false">IFERROR(VALUE(RIGHT(TRIM(F1053),4)),"")</f>
        <v>2017</v>
      </c>
      <c r="L1053" s="7" t="str">
        <f aca="false">IF(TRIM(E1053)="","Unknown",IFERROR(LEFT(TRIM(E1053),FIND(",",TRIM(E1053))-1),TRIM(E1053)))</f>
        <v>United Kingdom</v>
      </c>
      <c r="M1053" s="7" t="str">
        <f aca="false">IFERROR(LEFT(J1053,FIND(",",J1053)-1),J1053)</f>
        <v>Documentaries</v>
      </c>
      <c r="N1053" s="7" t="n">
        <f aca="false">IF(B1053="Movie",IFERROR(VALUE(LEFT(I1053,FIND(" ",I1053)-1)),""),"")</f>
        <v>105</v>
      </c>
      <c r="O1053" s="7" t="str">
        <f aca="false">IF(B1053="TV Show",IFERROR(VALUE(LEFT(I1053,FIND(" ",I1053)-1)),""),"")</f>
        <v/>
      </c>
      <c r="P1053" s="7" t="n">
        <f aca="false">IF(K1053="","",K1053-G1053)</f>
        <v>0</v>
      </c>
    </row>
    <row r="1054" customFormat="false" ht="15" hidden="false" customHeight="false" outlineLevel="0" collapsed="false">
      <c r="A1054" s="7" t="n">
        <v>80117461</v>
      </c>
      <c r="B1054" s="7" t="s">
        <v>68</v>
      </c>
      <c r="C1054" s="7" t="s">
        <v>2517</v>
      </c>
      <c r="D1054" s="7" t="s">
        <v>2518</v>
      </c>
      <c r="E1054" s="7" t="s">
        <v>26</v>
      </c>
      <c r="F1054" s="7" t="s">
        <v>2519</v>
      </c>
      <c r="G1054" s="7" t="n">
        <v>2016</v>
      </c>
      <c r="H1054" s="7" t="s">
        <v>48</v>
      </c>
      <c r="I1054" s="7" t="s">
        <v>286</v>
      </c>
      <c r="J1054" s="7" t="s">
        <v>45</v>
      </c>
      <c r="K1054" s="7" t="n">
        <f aca="false">IFERROR(VALUE(RIGHT(TRIM(F1054),4)),"")</f>
        <v>2016</v>
      </c>
      <c r="L1054" s="7" t="str">
        <f aca="false">IF(TRIM(E1054)="","Unknown",IFERROR(LEFT(TRIM(E1054),FIND(",",TRIM(E1054))-1),TRIM(E1054)))</f>
        <v>United States</v>
      </c>
      <c r="M1054" s="7" t="str">
        <f aca="false">IFERROR(LEFT(J1054,FIND(",",J1054)-1),J1054)</f>
        <v>Stand-Up Comedy</v>
      </c>
      <c r="N1054" s="7" t="n">
        <f aca="false">IF(B1054="Movie",IFERROR(VALUE(LEFT(I1054,FIND(" ",I1054)-1)),""),"")</f>
        <v>64</v>
      </c>
      <c r="O1054" s="7" t="str">
        <f aca="false">IF(B1054="TV Show",IFERROR(VALUE(LEFT(I1054,FIND(" ",I1054)-1)),""),"")</f>
        <v/>
      </c>
      <c r="P1054" s="7" t="n">
        <f aca="false">IF(K1054="","",K1054-G1054)</f>
        <v>0</v>
      </c>
    </row>
    <row r="1055" customFormat="false" ht="15" hidden="false" customHeight="false" outlineLevel="0" collapsed="false">
      <c r="A1055" s="7" t="n">
        <v>80127600</v>
      </c>
      <c r="B1055" s="7" t="s">
        <v>78</v>
      </c>
      <c r="C1055" s="7" t="s">
        <v>2520</v>
      </c>
      <c r="E1055" s="7" t="s">
        <v>26</v>
      </c>
      <c r="F1055" s="7" t="s">
        <v>2519</v>
      </c>
      <c r="G1055" s="7" t="n">
        <v>2015</v>
      </c>
      <c r="H1055" s="7" t="s">
        <v>48</v>
      </c>
      <c r="I1055" s="7" t="s">
        <v>82</v>
      </c>
      <c r="J1055" s="7" t="s">
        <v>2521</v>
      </c>
      <c r="K1055" s="7" t="n">
        <f aca="false">IFERROR(VALUE(RIGHT(TRIM(F1055),4)),"")</f>
        <v>2016</v>
      </c>
      <c r="L1055" s="7" t="str">
        <f aca="false">IF(TRIM(E1055)="","Unknown",IFERROR(LEFT(TRIM(E1055),FIND(",",TRIM(E1055))-1),TRIM(E1055)))</f>
        <v>United States</v>
      </c>
      <c r="M1055" s="7" t="str">
        <f aca="false">IFERROR(LEFT(J1055,FIND(",",J1055)-1),J1055)</f>
        <v>International TV Shows</v>
      </c>
      <c r="N1055" s="7" t="str">
        <f aca="false">IF(B1055="Movie",IFERROR(VALUE(LEFT(I1055,FIND(" ",I1055)-1)),""),"")</f>
        <v/>
      </c>
      <c r="O1055" s="7" t="n">
        <f aca="false">IF(B1055="TV Show",IFERROR(VALUE(LEFT(I1055,FIND(" ",I1055)-1)),""),"")</f>
        <v>1</v>
      </c>
      <c r="P1055" s="7" t="n">
        <f aca="false">IF(K1055="","",K1055-G1055)</f>
        <v>1</v>
      </c>
    </row>
    <row r="1056" customFormat="false" ht="15" hidden="false" customHeight="false" outlineLevel="0" collapsed="false">
      <c r="A1056" s="7" t="n">
        <v>80117533</v>
      </c>
      <c r="B1056" s="7" t="s">
        <v>68</v>
      </c>
      <c r="C1056" s="7" t="s">
        <v>2522</v>
      </c>
      <c r="D1056" s="7" t="s">
        <v>2523</v>
      </c>
      <c r="E1056" s="7" t="s">
        <v>2524</v>
      </c>
      <c r="F1056" s="7" t="s">
        <v>2519</v>
      </c>
      <c r="G1056" s="7" t="n">
        <v>2016</v>
      </c>
      <c r="H1056" s="7" t="s">
        <v>49</v>
      </c>
      <c r="I1056" s="7" t="s">
        <v>168</v>
      </c>
      <c r="J1056" s="7" t="s">
        <v>39</v>
      </c>
      <c r="K1056" s="7" t="n">
        <f aca="false">IFERROR(VALUE(RIGHT(TRIM(F1056),4)),"")</f>
        <v>2016</v>
      </c>
      <c r="L1056" s="7" t="str">
        <f aca="false">IF(TRIM(E1056)="","Unknown",IFERROR(LEFT(TRIM(E1056),FIND(",",TRIM(E1056))-1),TRIM(E1056)))</f>
        <v>Austria</v>
      </c>
      <c r="M1056" s="7" t="str">
        <f aca="false">IFERROR(LEFT(J1056,FIND(",",J1056)-1),J1056)</f>
        <v>Documentaries</v>
      </c>
      <c r="N1056" s="7" t="n">
        <f aca="false">IF(B1056="Movie",IFERROR(VALUE(LEFT(I1056,FIND(" ",I1056)-1)),""),"")</f>
        <v>112</v>
      </c>
      <c r="O1056" s="7" t="str">
        <f aca="false">IF(B1056="TV Show",IFERROR(VALUE(LEFT(I1056,FIND(" ",I1056)-1)),""),"")</f>
        <v/>
      </c>
      <c r="P1056" s="7" t="n">
        <f aca="false">IF(K1056="","",K1056-G1056)</f>
        <v>0</v>
      </c>
    </row>
    <row r="1057" customFormat="false" ht="15" hidden="false" customHeight="false" outlineLevel="0" collapsed="false">
      <c r="A1057" s="7" t="n">
        <v>81193313</v>
      </c>
      <c r="B1057" s="7" t="s">
        <v>78</v>
      </c>
      <c r="C1057" s="7" t="s">
        <v>2525</v>
      </c>
      <c r="E1057" s="7" t="s">
        <v>32</v>
      </c>
      <c r="F1057" s="7" t="s">
        <v>2526</v>
      </c>
      <c r="G1057" s="7" t="n">
        <v>2019</v>
      </c>
      <c r="H1057" s="7" t="s">
        <v>49</v>
      </c>
      <c r="I1057" s="7" t="s">
        <v>82</v>
      </c>
      <c r="J1057" s="7" t="s">
        <v>637</v>
      </c>
      <c r="K1057" s="7" t="n">
        <f aca="false">IFERROR(VALUE(RIGHT(TRIM(F1057),4)),"")</f>
        <v>2019</v>
      </c>
      <c r="L1057" s="7" t="str">
        <f aca="false">IF(TRIM(E1057)="","Unknown",IFERROR(LEFT(TRIM(E1057),FIND(",",TRIM(E1057))-1),TRIM(E1057)))</f>
        <v>South Korea</v>
      </c>
      <c r="M1057" s="7" t="str">
        <f aca="false">IFERROR(LEFT(J1057,FIND(",",J1057)-1),J1057)</f>
        <v>International TV Shows</v>
      </c>
      <c r="N1057" s="7" t="str">
        <f aca="false">IF(B1057="Movie",IFERROR(VALUE(LEFT(I1057,FIND(" ",I1057)-1)),""),"")</f>
        <v/>
      </c>
      <c r="O1057" s="7" t="n">
        <f aca="false">IF(B1057="TV Show",IFERROR(VALUE(LEFT(I1057,FIND(" ",I1057)-1)),""),"")</f>
        <v>1</v>
      </c>
      <c r="P1057" s="7" t="n">
        <f aca="false">IF(K1057="","",K1057-G1057)</f>
        <v>0</v>
      </c>
    </row>
    <row r="1058" customFormat="false" ht="15" hidden="false" customHeight="false" outlineLevel="0" collapsed="false">
      <c r="A1058" s="7" t="n">
        <v>81197050</v>
      </c>
      <c r="B1058" s="7" t="s">
        <v>68</v>
      </c>
      <c r="C1058" s="7" t="s">
        <v>2527</v>
      </c>
      <c r="D1058" s="7" t="s">
        <v>2528</v>
      </c>
      <c r="F1058" s="7" t="s">
        <v>2526</v>
      </c>
      <c r="G1058" s="7" t="n">
        <v>2019</v>
      </c>
      <c r="H1058" s="7" t="s">
        <v>226</v>
      </c>
      <c r="I1058" s="7" t="s">
        <v>876</v>
      </c>
      <c r="J1058" s="7" t="s">
        <v>341</v>
      </c>
      <c r="K1058" s="7" t="n">
        <f aca="false">IFERROR(VALUE(RIGHT(TRIM(F1058),4)),"")</f>
        <v>2019</v>
      </c>
      <c r="L1058" s="7" t="str">
        <f aca="false">IF(TRIM(E1058)="","Unknown",IFERROR(LEFT(TRIM(E1058),FIND(",",TRIM(E1058))-1),TRIM(E1058)))</f>
        <v>Unknown</v>
      </c>
      <c r="M1058" s="7" t="str">
        <f aca="false">IFERROR(LEFT(J1058,FIND(",",J1058)-1),J1058)</f>
        <v>Documentaries</v>
      </c>
      <c r="N1058" s="7" t="n">
        <f aca="false">IF(B1058="Movie",IFERROR(VALUE(LEFT(I1058,FIND(" ",I1058)-1)),""),"")</f>
        <v>67</v>
      </c>
      <c r="O1058" s="7" t="str">
        <f aca="false">IF(B1058="TV Show",IFERROR(VALUE(LEFT(I1058,FIND(" ",I1058)-1)),""),"")</f>
        <v/>
      </c>
      <c r="P1058" s="7" t="n">
        <f aca="false">IF(K1058="","",K1058-G1058)</f>
        <v>0</v>
      </c>
    </row>
    <row r="1059" customFormat="false" ht="15" hidden="false" customHeight="false" outlineLevel="0" collapsed="false">
      <c r="A1059" s="7" t="n">
        <v>81213894</v>
      </c>
      <c r="B1059" s="7" t="s">
        <v>68</v>
      </c>
      <c r="C1059" s="7" t="s">
        <v>2529</v>
      </c>
      <c r="D1059" s="7" t="s">
        <v>2530</v>
      </c>
      <c r="E1059" s="7" t="s">
        <v>27</v>
      </c>
      <c r="F1059" s="7" t="s">
        <v>2526</v>
      </c>
      <c r="G1059" s="7" t="n">
        <v>2019</v>
      </c>
      <c r="H1059" s="7" t="s">
        <v>49</v>
      </c>
      <c r="I1059" s="7" t="s">
        <v>130</v>
      </c>
      <c r="J1059" s="7" t="s">
        <v>217</v>
      </c>
      <c r="K1059" s="7" t="n">
        <f aca="false">IFERROR(VALUE(RIGHT(TRIM(F1059),4)),"")</f>
        <v>2019</v>
      </c>
      <c r="L1059" s="7" t="str">
        <f aca="false">IF(TRIM(E1059)="","Unknown",IFERROR(LEFT(TRIM(E1059),FIND(",",TRIM(E1059))-1),TRIM(E1059)))</f>
        <v>India</v>
      </c>
      <c r="M1059" s="7" t="str">
        <f aca="false">IFERROR(LEFT(J1059,FIND(",",J1059)-1),J1059)</f>
        <v>Comedies</v>
      </c>
      <c r="N1059" s="7" t="n">
        <f aca="false">IF(B1059="Movie",IFERROR(VALUE(LEFT(I1059,FIND(" ",I1059)-1)),""),"")</f>
        <v>135</v>
      </c>
      <c r="O1059" s="7" t="str">
        <f aca="false">IF(B1059="TV Show",IFERROR(VALUE(LEFT(I1059,FIND(" ",I1059)-1)),""),"")</f>
        <v/>
      </c>
      <c r="P1059" s="7" t="n">
        <f aca="false">IF(K1059="","",K1059-G1059)</f>
        <v>0</v>
      </c>
    </row>
    <row r="1060" customFormat="false" ht="15" hidden="false" customHeight="false" outlineLevel="0" collapsed="false">
      <c r="A1060" s="7" t="n">
        <v>80205593</v>
      </c>
      <c r="B1060" s="7" t="s">
        <v>78</v>
      </c>
      <c r="C1060" s="7" t="s">
        <v>2531</v>
      </c>
      <c r="E1060" s="7" t="s">
        <v>2532</v>
      </c>
      <c r="F1060" s="7" t="s">
        <v>2533</v>
      </c>
      <c r="G1060" s="7" t="n">
        <v>2018</v>
      </c>
      <c r="H1060" s="7" t="s">
        <v>48</v>
      </c>
      <c r="I1060" s="7" t="s">
        <v>82</v>
      </c>
      <c r="J1060" s="7" t="s">
        <v>402</v>
      </c>
      <c r="K1060" s="7" t="n">
        <f aca="false">IFERROR(VALUE(RIGHT(TRIM(F1060),4)),"")</f>
        <v>2018</v>
      </c>
      <c r="L1060" s="7" t="str">
        <f aca="false">IF(TRIM(E1060)="","Unknown",IFERROR(LEFT(TRIM(E1060),FIND(",",TRIM(E1060))-1),TRIM(E1060)))</f>
        <v>Poland</v>
      </c>
      <c r="M1060" s="7" t="str">
        <f aca="false">IFERROR(LEFT(J1060,FIND(",",J1060)-1),J1060)</f>
        <v>Crime TV Shows</v>
      </c>
      <c r="N1060" s="7" t="str">
        <f aca="false">IF(B1060="Movie",IFERROR(VALUE(LEFT(I1060,FIND(" ",I1060)-1)),""),"")</f>
        <v/>
      </c>
      <c r="O1060" s="7" t="n">
        <f aca="false">IF(B1060="TV Show",IFERROR(VALUE(LEFT(I1060,FIND(" ",I1060)-1)),""),"")</f>
        <v>1</v>
      </c>
      <c r="P1060" s="7" t="n">
        <f aca="false">IF(K1060="","",K1060-G1060)</f>
        <v>0</v>
      </c>
    </row>
    <row r="1061" customFormat="false" ht="15" hidden="false" customHeight="false" outlineLevel="0" collapsed="false">
      <c r="A1061" s="7" t="n">
        <v>80238204</v>
      </c>
      <c r="B1061" s="7" t="s">
        <v>68</v>
      </c>
      <c r="C1061" s="7" t="s">
        <v>2534</v>
      </c>
      <c r="D1061" s="7" t="s">
        <v>2535</v>
      </c>
      <c r="E1061" s="7" t="s">
        <v>26</v>
      </c>
      <c r="F1061" s="7" t="s">
        <v>2533</v>
      </c>
      <c r="G1061" s="7" t="n">
        <v>2018</v>
      </c>
      <c r="H1061" s="7" t="s">
        <v>50</v>
      </c>
      <c r="I1061" s="7" t="s">
        <v>272</v>
      </c>
      <c r="J1061" s="7" t="s">
        <v>2536</v>
      </c>
      <c r="K1061" s="7" t="n">
        <f aca="false">IFERROR(VALUE(RIGHT(TRIM(F1061),4)),"")</f>
        <v>2018</v>
      </c>
      <c r="L1061" s="7" t="str">
        <f aca="false">IF(TRIM(E1061)="","Unknown",IFERROR(LEFT(TRIM(E1061),FIND(",",TRIM(E1061))-1),TRIM(E1061)))</f>
        <v>United States</v>
      </c>
      <c r="M1061" s="7" t="str">
        <f aca="false">IFERROR(LEFT(J1061,FIND(",",J1061)-1),J1061)</f>
        <v>Children &amp; Family Movies</v>
      </c>
      <c r="N1061" s="7" t="n">
        <f aca="false">IF(B1061="Movie",IFERROR(VALUE(LEFT(I1061,FIND(" ",I1061)-1)),""),"")</f>
        <v>93</v>
      </c>
      <c r="O1061" s="7" t="str">
        <f aca="false">IF(B1061="TV Show",IFERROR(VALUE(LEFT(I1061,FIND(" ",I1061)-1)),""),"")</f>
        <v/>
      </c>
      <c r="P1061" s="7" t="n">
        <f aca="false">IF(K1061="","",K1061-G1061)</f>
        <v>0</v>
      </c>
    </row>
    <row r="1062" customFormat="false" ht="15" hidden="false" customHeight="false" outlineLevel="0" collapsed="false">
      <c r="A1062" s="7" t="n">
        <v>80230507</v>
      </c>
      <c r="B1062" s="7" t="s">
        <v>68</v>
      </c>
      <c r="C1062" s="7" t="s">
        <v>2537</v>
      </c>
      <c r="D1062" s="7" t="s">
        <v>2538</v>
      </c>
      <c r="E1062" s="7" t="s">
        <v>2539</v>
      </c>
      <c r="F1062" s="7" t="s">
        <v>2533</v>
      </c>
      <c r="G1062" s="7" t="n">
        <v>2018</v>
      </c>
      <c r="H1062" s="7" t="s">
        <v>226</v>
      </c>
      <c r="I1062" s="7" t="s">
        <v>2540</v>
      </c>
      <c r="J1062" s="7" t="s">
        <v>42</v>
      </c>
      <c r="K1062" s="7" t="n">
        <f aca="false">IFERROR(VALUE(RIGHT(TRIM(F1062),4)),"")</f>
        <v>2018</v>
      </c>
      <c r="L1062" s="7" t="str">
        <f aca="false">IF(TRIM(E1062)="","Unknown",IFERROR(LEFT(TRIM(E1062),FIND(",",TRIM(E1062))-1),TRIM(E1062)))</f>
        <v>Ireland</v>
      </c>
      <c r="M1062" s="7" t="str">
        <f aca="false">IFERROR(LEFT(J1062,FIND(",",J1062)-1),J1062)</f>
        <v>Children &amp; Family Movies</v>
      </c>
      <c r="N1062" s="7" t="n">
        <f aca="false">IF(B1062="Movie",IFERROR(VALUE(LEFT(I1062,FIND(" ",I1062)-1)),""),"")</f>
        <v>30</v>
      </c>
      <c r="O1062" s="7" t="str">
        <f aca="false">IF(B1062="TV Show",IFERROR(VALUE(LEFT(I1062,FIND(" ",I1062)-1)),""),"")</f>
        <v/>
      </c>
      <c r="P1062" s="7" t="n">
        <f aca="false">IF(K1062="","",K1062-G1062)</f>
        <v>0</v>
      </c>
    </row>
    <row r="1063" customFormat="false" ht="15" hidden="false" customHeight="false" outlineLevel="0" collapsed="false">
      <c r="A1063" s="7" t="n">
        <v>81041515</v>
      </c>
      <c r="B1063" s="7" t="s">
        <v>78</v>
      </c>
      <c r="C1063" s="7" t="s">
        <v>2541</v>
      </c>
      <c r="E1063" s="7" t="s">
        <v>230</v>
      </c>
      <c r="F1063" s="7" t="s">
        <v>2533</v>
      </c>
      <c r="G1063" s="7" t="n">
        <v>2017</v>
      </c>
      <c r="H1063" s="7" t="s">
        <v>55</v>
      </c>
      <c r="I1063" s="7" t="s">
        <v>82</v>
      </c>
      <c r="J1063" s="7" t="s">
        <v>191</v>
      </c>
      <c r="K1063" s="7" t="n">
        <f aca="false">IFERROR(VALUE(RIGHT(TRIM(F1063),4)),"")</f>
        <v>2018</v>
      </c>
      <c r="L1063" s="7" t="str">
        <f aca="false">IF(TRIM(E1063)="","Unknown",IFERROR(LEFT(TRIM(E1063),FIND(",",TRIM(E1063))-1),TRIM(E1063)))</f>
        <v>United States</v>
      </c>
      <c r="M1063" s="7" t="str">
        <f aca="false">IFERROR(LEFT(J1063,FIND(",",J1063)-1),J1063)</f>
        <v>Kids' TV</v>
      </c>
      <c r="N1063" s="7" t="str">
        <f aca="false">IF(B1063="Movie",IFERROR(VALUE(LEFT(I1063,FIND(" ",I1063)-1)),""),"")</f>
        <v/>
      </c>
      <c r="O1063" s="7" t="n">
        <f aca="false">IF(B1063="TV Show",IFERROR(VALUE(LEFT(I1063,FIND(" ",I1063)-1)),""),"")</f>
        <v>1</v>
      </c>
      <c r="P1063" s="7" t="n">
        <f aca="false">IF(K1063="","",K1063-G1063)</f>
        <v>1</v>
      </c>
    </row>
    <row r="1064" customFormat="false" ht="15" hidden="false" customHeight="false" outlineLevel="0" collapsed="false">
      <c r="A1064" s="7" t="n">
        <v>80191074</v>
      </c>
      <c r="B1064" s="7" t="s">
        <v>78</v>
      </c>
      <c r="C1064" s="7" t="s">
        <v>2542</v>
      </c>
      <c r="E1064" s="7" t="s">
        <v>26</v>
      </c>
      <c r="F1064" s="7" t="s">
        <v>2533</v>
      </c>
      <c r="G1064" s="7" t="n">
        <v>2018</v>
      </c>
      <c r="H1064" s="7" t="s">
        <v>49</v>
      </c>
      <c r="I1064" s="7" t="s">
        <v>82</v>
      </c>
      <c r="J1064" s="7" t="s">
        <v>701</v>
      </c>
      <c r="K1064" s="7" t="n">
        <f aca="false">IFERROR(VALUE(RIGHT(TRIM(F1064),4)),"")</f>
        <v>2018</v>
      </c>
      <c r="L1064" s="7" t="str">
        <f aca="false">IF(TRIM(E1064)="","Unknown",IFERROR(LEFT(TRIM(E1064),FIND(",",TRIM(E1064))-1),TRIM(E1064)))</f>
        <v>United States</v>
      </c>
      <c r="M1064" s="7" t="str">
        <f aca="false">IFERROR(LEFT(J1064,FIND(",",J1064)-1),J1064)</f>
        <v>Reality TV</v>
      </c>
      <c r="N1064" s="7" t="str">
        <f aca="false">IF(B1064="Movie",IFERROR(VALUE(LEFT(I1064,FIND(" ",I1064)-1)),""),"")</f>
        <v/>
      </c>
      <c r="O1064" s="7" t="n">
        <f aca="false">IF(B1064="TV Show",IFERROR(VALUE(LEFT(I1064,FIND(" ",I1064)-1)),""),"")</f>
        <v>1</v>
      </c>
      <c r="P1064" s="7" t="n">
        <f aca="false">IF(K1064="","",K1064-G1064)</f>
        <v>0</v>
      </c>
    </row>
    <row r="1065" customFormat="false" ht="15" hidden="false" customHeight="false" outlineLevel="0" collapsed="false">
      <c r="A1065" s="7" t="n">
        <v>80990725</v>
      </c>
      <c r="B1065" s="7" t="s">
        <v>68</v>
      </c>
      <c r="C1065" s="7" t="s">
        <v>2543</v>
      </c>
      <c r="D1065" s="7" t="s">
        <v>2544</v>
      </c>
      <c r="E1065" s="7" t="s">
        <v>34</v>
      </c>
      <c r="F1065" s="7" t="s">
        <v>2533</v>
      </c>
      <c r="G1065" s="7" t="n">
        <v>2018</v>
      </c>
      <c r="H1065" s="7" t="s">
        <v>48</v>
      </c>
      <c r="I1065" s="7" t="s">
        <v>437</v>
      </c>
      <c r="J1065" s="7" t="s">
        <v>304</v>
      </c>
      <c r="K1065" s="7" t="n">
        <f aca="false">IFERROR(VALUE(RIGHT(TRIM(F1065),4)),"")</f>
        <v>2018</v>
      </c>
      <c r="L1065" s="7" t="str">
        <f aca="false">IF(TRIM(E1065)="","Unknown",IFERROR(LEFT(TRIM(E1065),FIND(",",TRIM(E1065))-1),TRIM(E1065)))</f>
        <v>Mexico</v>
      </c>
      <c r="M1065" s="7" t="str">
        <f aca="false">IFERROR(LEFT(J1065,FIND(",",J1065)-1),J1065)</f>
        <v>Dramas</v>
      </c>
      <c r="N1065" s="7" t="n">
        <f aca="false">IF(B1065="Movie",IFERROR(VALUE(LEFT(I1065,FIND(" ",I1065)-1)),""),"")</f>
        <v>82</v>
      </c>
      <c r="O1065" s="7" t="str">
        <f aca="false">IF(B1065="TV Show",IFERROR(VALUE(LEFT(I1065,FIND(" ",I1065)-1)),""),"")</f>
        <v/>
      </c>
      <c r="P1065" s="7" t="n">
        <f aca="false">IF(K1065="","",K1065-G1065)</f>
        <v>0</v>
      </c>
    </row>
    <row r="1066" customFormat="false" ht="15" hidden="false" customHeight="false" outlineLevel="0" collapsed="false">
      <c r="A1066" s="7" t="n">
        <v>81016327</v>
      </c>
      <c r="B1066" s="7" t="s">
        <v>68</v>
      </c>
      <c r="C1066" s="7" t="s">
        <v>2545</v>
      </c>
      <c r="D1066" s="7" t="s">
        <v>2546</v>
      </c>
      <c r="E1066" s="7" t="s">
        <v>362</v>
      </c>
      <c r="F1066" s="7" t="s">
        <v>2533</v>
      </c>
      <c r="G1066" s="7" t="n">
        <v>2011</v>
      </c>
      <c r="H1066" s="7" t="s">
        <v>50</v>
      </c>
      <c r="I1066" s="7" t="s">
        <v>111</v>
      </c>
      <c r="J1066" s="7" t="s">
        <v>1134</v>
      </c>
      <c r="K1066" s="7" t="n">
        <f aca="false">IFERROR(VALUE(RIGHT(TRIM(F1066),4)),"")</f>
        <v>2018</v>
      </c>
      <c r="L1066" s="7" t="str">
        <f aca="false">IF(TRIM(E1066)="","Unknown",IFERROR(LEFT(TRIM(E1066),FIND(",",TRIM(E1066))-1),TRIM(E1066)))</f>
        <v>Indonesia</v>
      </c>
      <c r="M1066" s="7" t="str">
        <f aca="false">IFERROR(LEFT(J1066,FIND(",",J1066)-1),J1066)</f>
        <v>Children &amp; Family Movies</v>
      </c>
      <c r="N1066" s="7" t="n">
        <f aca="false">IF(B1066="Movie",IFERROR(VALUE(LEFT(I1066,FIND(" ",I1066)-1)),""),"")</f>
        <v>95</v>
      </c>
      <c r="O1066" s="7" t="str">
        <f aca="false">IF(B1066="TV Show",IFERROR(VALUE(LEFT(I1066,FIND(" ",I1066)-1)),""),"")</f>
        <v/>
      </c>
      <c r="P1066" s="7" t="n">
        <f aca="false">IF(K1066="","",K1066-G1066)</f>
        <v>7</v>
      </c>
    </row>
    <row r="1067" customFormat="false" ht="15" hidden="false" customHeight="false" outlineLevel="0" collapsed="false">
      <c r="A1067" s="7" t="n">
        <v>81004245</v>
      </c>
      <c r="B1067" s="7" t="s">
        <v>68</v>
      </c>
      <c r="C1067" s="7" t="s">
        <v>2547</v>
      </c>
      <c r="D1067" s="7" t="s">
        <v>2548</v>
      </c>
      <c r="E1067" s="7" t="s">
        <v>2549</v>
      </c>
      <c r="F1067" s="7" t="s">
        <v>2533</v>
      </c>
      <c r="G1067" s="7" t="n">
        <v>2018</v>
      </c>
      <c r="H1067" s="7" t="s">
        <v>52</v>
      </c>
      <c r="I1067" s="7" t="s">
        <v>378</v>
      </c>
      <c r="J1067" s="7" t="s">
        <v>188</v>
      </c>
      <c r="K1067" s="7" t="n">
        <f aca="false">IFERROR(VALUE(RIGHT(TRIM(F1067),4)),"")</f>
        <v>2018</v>
      </c>
      <c r="L1067" s="7" t="str">
        <f aca="false">IF(TRIM(E1067)="","Unknown",IFERROR(LEFT(TRIM(E1067),FIND(",",TRIM(E1067))-1),TRIM(E1067)))</f>
        <v>Italy</v>
      </c>
      <c r="M1067" s="7" t="str">
        <f aca="false">IFERROR(LEFT(J1067,FIND(",",J1067)-1),J1067)</f>
        <v>Dramas</v>
      </c>
      <c r="N1067" s="7" t="n">
        <f aca="false">IF(B1067="Movie",IFERROR(VALUE(LEFT(I1067,FIND(" ",I1067)-1)),""),"")</f>
        <v>127</v>
      </c>
      <c r="O1067" s="7" t="str">
        <f aca="false">IF(B1067="TV Show",IFERROR(VALUE(LEFT(I1067,FIND(" ",I1067)-1)),""),"")</f>
        <v/>
      </c>
      <c r="P1067" s="7" t="n">
        <f aca="false">IF(K1067="","",K1067-G1067)</f>
        <v>0</v>
      </c>
    </row>
    <row r="1068" customFormat="false" ht="15" hidden="false" customHeight="false" outlineLevel="0" collapsed="false">
      <c r="A1068" s="7" t="n">
        <v>81033200</v>
      </c>
      <c r="B1068" s="7" t="s">
        <v>68</v>
      </c>
      <c r="C1068" s="7" t="s">
        <v>127</v>
      </c>
      <c r="D1068" s="7" t="s">
        <v>2550</v>
      </c>
      <c r="E1068" s="7" t="s">
        <v>362</v>
      </c>
      <c r="F1068" s="7" t="s">
        <v>2533</v>
      </c>
      <c r="G1068" s="7" t="n">
        <v>2008</v>
      </c>
      <c r="H1068" s="7" t="s">
        <v>50</v>
      </c>
      <c r="I1068" s="7" t="s">
        <v>2551</v>
      </c>
      <c r="J1068" s="7" t="s">
        <v>240</v>
      </c>
      <c r="K1068" s="7" t="n">
        <f aca="false">IFERROR(VALUE(RIGHT(TRIM(F1068),4)),"")</f>
        <v>2018</v>
      </c>
      <c r="L1068" s="7" t="str">
        <f aca="false">IF(TRIM(E1068)="","Unknown",IFERROR(LEFT(TRIM(E1068),FIND(",",TRIM(E1068))-1),TRIM(E1068)))</f>
        <v>Indonesia</v>
      </c>
      <c r="M1068" s="7" t="str">
        <f aca="false">IFERROR(LEFT(J1068,FIND(",",J1068)-1),J1068)</f>
        <v>Dramas</v>
      </c>
      <c r="N1068" s="7" t="n">
        <f aca="false">IF(B1068="Movie",IFERROR(VALUE(LEFT(I1068,FIND(" ",I1068)-1)),""),"")</f>
        <v>120</v>
      </c>
      <c r="O1068" s="7" t="str">
        <f aca="false">IF(B1068="TV Show",IFERROR(VALUE(LEFT(I1068,FIND(" ",I1068)-1)),""),"")</f>
        <v/>
      </c>
      <c r="P1068" s="7" t="n">
        <f aca="false">IF(K1068="","",K1068-G1068)</f>
        <v>10</v>
      </c>
    </row>
    <row r="1069" customFormat="false" ht="15" hidden="false" customHeight="false" outlineLevel="0" collapsed="false">
      <c r="A1069" s="7" t="n">
        <v>81002951</v>
      </c>
      <c r="B1069" s="7" t="s">
        <v>78</v>
      </c>
      <c r="C1069" s="7" t="s">
        <v>2552</v>
      </c>
      <c r="E1069" s="7" t="s">
        <v>30</v>
      </c>
      <c r="F1069" s="7" t="s">
        <v>2533</v>
      </c>
      <c r="G1069" s="7" t="n">
        <v>2018</v>
      </c>
      <c r="H1069" s="7" t="s">
        <v>48</v>
      </c>
      <c r="I1069" s="7" t="s">
        <v>82</v>
      </c>
      <c r="J1069" s="7" t="s">
        <v>314</v>
      </c>
      <c r="K1069" s="7" t="n">
        <f aca="false">IFERROR(VALUE(RIGHT(TRIM(F1069),4)),"")</f>
        <v>2018</v>
      </c>
      <c r="L1069" s="7" t="str">
        <f aca="false">IF(TRIM(E1069)="","Unknown",IFERROR(LEFT(TRIM(E1069),FIND(",",TRIM(E1069))-1),TRIM(E1069)))</f>
        <v>Japan</v>
      </c>
      <c r="M1069" s="7" t="str">
        <f aca="false">IFERROR(LEFT(J1069,FIND(",",J1069)-1),J1069)</f>
        <v>International TV Shows</v>
      </c>
      <c r="N1069" s="7" t="str">
        <f aca="false">IF(B1069="Movie",IFERROR(VALUE(LEFT(I1069,FIND(" ",I1069)-1)),""),"")</f>
        <v/>
      </c>
      <c r="O1069" s="7" t="n">
        <f aca="false">IF(B1069="TV Show",IFERROR(VALUE(LEFT(I1069,FIND(" ",I1069)-1)),""),"")</f>
        <v>1</v>
      </c>
      <c r="P1069" s="7" t="n">
        <f aca="false">IF(K1069="","",K1069-G1069)</f>
        <v>0</v>
      </c>
    </row>
    <row r="1070" customFormat="false" ht="15" hidden="false" customHeight="false" outlineLevel="0" collapsed="false">
      <c r="A1070" s="7" t="n">
        <v>81039383</v>
      </c>
      <c r="B1070" s="7" t="s">
        <v>68</v>
      </c>
      <c r="C1070" s="7" t="s">
        <v>2553</v>
      </c>
      <c r="D1070" s="7" t="s">
        <v>2554</v>
      </c>
      <c r="E1070" s="7" t="s">
        <v>27</v>
      </c>
      <c r="F1070" s="7" t="s">
        <v>2533</v>
      </c>
      <c r="G1070" s="7" t="n">
        <v>2018</v>
      </c>
      <c r="H1070" s="7" t="s">
        <v>48</v>
      </c>
      <c r="I1070" s="7" t="s">
        <v>187</v>
      </c>
      <c r="J1070" s="7" t="s">
        <v>188</v>
      </c>
      <c r="K1070" s="7" t="n">
        <f aca="false">IFERROR(VALUE(RIGHT(TRIM(F1070),4)),"")</f>
        <v>2018</v>
      </c>
      <c r="L1070" s="7" t="str">
        <f aca="false">IF(TRIM(E1070)="","Unknown",IFERROR(LEFT(TRIM(E1070),FIND(",",TRIM(E1070))-1),TRIM(E1070)))</f>
        <v>India</v>
      </c>
      <c r="M1070" s="7" t="str">
        <f aca="false">IFERROR(LEFT(J1070,FIND(",",J1070)-1),J1070)</f>
        <v>Dramas</v>
      </c>
      <c r="N1070" s="7" t="n">
        <f aca="false">IF(B1070="Movie",IFERROR(VALUE(LEFT(I1070,FIND(" ",I1070)-1)),""),"")</f>
        <v>114</v>
      </c>
      <c r="O1070" s="7" t="str">
        <f aca="false">IF(B1070="TV Show",IFERROR(VALUE(LEFT(I1070,FIND(" ",I1070)-1)),""),"")</f>
        <v/>
      </c>
      <c r="P1070" s="7" t="n">
        <f aca="false">IF(K1070="","",K1070-G1070)</f>
        <v>0</v>
      </c>
    </row>
    <row r="1071" customFormat="false" ht="15" hidden="false" customHeight="false" outlineLevel="0" collapsed="false">
      <c r="A1071" s="7" t="n">
        <v>81018377</v>
      </c>
      <c r="B1071" s="7" t="s">
        <v>68</v>
      </c>
      <c r="C1071" s="7" t="s">
        <v>2555</v>
      </c>
      <c r="D1071" s="7" t="s">
        <v>2556</v>
      </c>
      <c r="E1071" s="7" t="s">
        <v>27</v>
      </c>
      <c r="F1071" s="7" t="s">
        <v>2533</v>
      </c>
      <c r="G1071" s="7" t="n">
        <v>2018</v>
      </c>
      <c r="H1071" s="7" t="s">
        <v>48</v>
      </c>
      <c r="I1071" s="7" t="s">
        <v>519</v>
      </c>
      <c r="J1071" s="7" t="s">
        <v>217</v>
      </c>
      <c r="K1071" s="7" t="n">
        <f aca="false">IFERROR(VALUE(RIGHT(TRIM(F1071),4)),"")</f>
        <v>2018</v>
      </c>
      <c r="L1071" s="7" t="str">
        <f aca="false">IF(TRIM(E1071)="","Unknown",IFERROR(LEFT(TRIM(E1071),FIND(",",TRIM(E1071))-1),TRIM(E1071)))</f>
        <v>India</v>
      </c>
      <c r="M1071" s="7" t="str">
        <f aca="false">IFERROR(LEFT(J1071,FIND(",",J1071)-1),J1071)</f>
        <v>Comedies</v>
      </c>
      <c r="N1071" s="7" t="n">
        <f aca="false">IF(B1071="Movie",IFERROR(VALUE(LEFT(I1071,FIND(" ",I1071)-1)),""),"")</f>
        <v>119</v>
      </c>
      <c r="O1071" s="7" t="str">
        <f aca="false">IF(B1071="TV Show",IFERROR(VALUE(LEFT(I1071,FIND(" ",I1071)-1)),""),"")</f>
        <v/>
      </c>
      <c r="P1071" s="7" t="n">
        <f aca="false">IF(K1071="","",K1071-G1071)</f>
        <v>0</v>
      </c>
    </row>
    <row r="1072" customFormat="false" ht="15" hidden="false" customHeight="false" outlineLevel="0" collapsed="false">
      <c r="A1072" s="7" t="n">
        <v>81021528</v>
      </c>
      <c r="B1072" s="7" t="s">
        <v>68</v>
      </c>
      <c r="C1072" s="7" t="s">
        <v>2557</v>
      </c>
      <c r="D1072" s="7" t="s">
        <v>2558</v>
      </c>
      <c r="E1072" s="7" t="s">
        <v>31</v>
      </c>
      <c r="F1072" s="7" t="s">
        <v>2533</v>
      </c>
      <c r="G1072" s="7" t="n">
        <v>2018</v>
      </c>
      <c r="H1072" s="7" t="s">
        <v>48</v>
      </c>
      <c r="I1072" s="7" t="s">
        <v>512</v>
      </c>
      <c r="J1072" s="7" t="s">
        <v>139</v>
      </c>
      <c r="K1072" s="7" t="n">
        <f aca="false">IFERROR(VALUE(RIGHT(TRIM(F1072),4)),"")</f>
        <v>2018</v>
      </c>
      <c r="L1072" s="7" t="str">
        <f aca="false">IF(TRIM(E1072)="","Unknown",IFERROR(LEFT(TRIM(E1072),FIND(",",TRIM(E1072))-1),TRIM(E1072)))</f>
        <v>France</v>
      </c>
      <c r="M1072" s="7" t="str">
        <f aca="false">IFERROR(LEFT(J1072,FIND(",",J1072)-1),J1072)</f>
        <v>Action &amp; Adventure</v>
      </c>
      <c r="N1072" s="7" t="n">
        <f aca="false">IF(B1072="Movie",IFERROR(VALUE(LEFT(I1072,FIND(" ",I1072)-1)),""),"")</f>
        <v>101</v>
      </c>
      <c r="O1072" s="7" t="str">
        <f aca="false">IF(B1072="TV Show",IFERROR(VALUE(LEFT(I1072,FIND(" ",I1072)-1)),""),"")</f>
        <v/>
      </c>
      <c r="P1072" s="7" t="n">
        <f aca="false">IF(K1072="","",K1072-G1072)</f>
        <v>0</v>
      </c>
    </row>
    <row r="1073" customFormat="false" ht="15" hidden="false" customHeight="false" outlineLevel="0" collapsed="false">
      <c r="A1073" s="7" t="n">
        <v>80991809</v>
      </c>
      <c r="B1073" s="7" t="s">
        <v>68</v>
      </c>
      <c r="C1073" s="7" t="s">
        <v>2559</v>
      </c>
      <c r="D1073" s="7" t="s">
        <v>2560</v>
      </c>
      <c r="E1073" s="7" t="s">
        <v>2561</v>
      </c>
      <c r="F1073" s="7" t="s">
        <v>2533</v>
      </c>
      <c r="G1073" s="7" t="n">
        <v>2018</v>
      </c>
      <c r="H1073" s="7" t="s">
        <v>48</v>
      </c>
      <c r="I1073" s="7" t="s">
        <v>138</v>
      </c>
      <c r="J1073" s="7" t="s">
        <v>188</v>
      </c>
      <c r="K1073" s="7" t="n">
        <f aca="false">IFERROR(VALUE(RIGHT(TRIM(F1073),4)),"")</f>
        <v>2018</v>
      </c>
      <c r="L1073" s="7" t="str">
        <f aca="false">IF(TRIM(E1073)="","Unknown",IFERROR(LEFT(TRIM(E1073),FIND(",",TRIM(E1073))-1),TRIM(E1073)))</f>
        <v>Mexico</v>
      </c>
      <c r="M1073" s="7" t="str">
        <f aca="false">IFERROR(LEFT(J1073,FIND(",",J1073)-1),J1073)</f>
        <v>Dramas</v>
      </c>
      <c r="N1073" s="7" t="n">
        <f aca="false">IF(B1073="Movie",IFERROR(VALUE(LEFT(I1073,FIND(" ",I1073)-1)),""),"")</f>
        <v>96</v>
      </c>
      <c r="O1073" s="7" t="str">
        <f aca="false">IF(B1073="TV Show",IFERROR(VALUE(LEFT(I1073,FIND(" ",I1073)-1)),""),"")</f>
        <v/>
      </c>
      <c r="P1073" s="7" t="n">
        <f aca="false">IF(K1073="","",K1073-G1073)</f>
        <v>0</v>
      </c>
    </row>
    <row r="1074" customFormat="false" ht="15" hidden="false" customHeight="false" outlineLevel="0" collapsed="false">
      <c r="A1074" s="7" t="n">
        <v>80097475</v>
      </c>
      <c r="B1074" s="7" t="s">
        <v>68</v>
      </c>
      <c r="C1074" s="7" t="s">
        <v>2562</v>
      </c>
      <c r="D1074" s="7" t="s">
        <v>2563</v>
      </c>
      <c r="E1074" s="7" t="s">
        <v>2564</v>
      </c>
      <c r="F1074" s="7" t="s">
        <v>2565</v>
      </c>
      <c r="G1074" s="7" t="n">
        <v>2016</v>
      </c>
      <c r="H1074" s="7" t="s">
        <v>49</v>
      </c>
      <c r="I1074" s="7" t="s">
        <v>330</v>
      </c>
      <c r="J1074" s="7" t="s">
        <v>341</v>
      </c>
      <c r="K1074" s="7" t="n">
        <f aca="false">IFERROR(VALUE(RIGHT(TRIM(F1074),4)),"")</f>
        <v>2016</v>
      </c>
      <c r="L1074" s="7" t="str">
        <f aca="false">IF(TRIM(E1074)="","Unknown",IFERROR(LEFT(TRIM(E1074),FIND(",",TRIM(E1074))-1),TRIM(E1074)))</f>
        <v>Peru</v>
      </c>
      <c r="M1074" s="7" t="str">
        <f aca="false">IFERROR(LEFT(J1074,FIND(",",J1074)-1),J1074)</f>
        <v>Documentaries</v>
      </c>
      <c r="N1074" s="7" t="n">
        <f aca="false">IF(B1074="Movie",IFERROR(VALUE(LEFT(I1074,FIND(" ",I1074)-1)),""),"")</f>
        <v>103</v>
      </c>
      <c r="O1074" s="7" t="str">
        <f aca="false">IF(B1074="TV Show",IFERROR(VALUE(LEFT(I1074,FIND(" ",I1074)-1)),""),"")</f>
        <v/>
      </c>
      <c r="P1074" s="7" t="n">
        <f aca="false">IF(K1074="","",K1074-G1074)</f>
        <v>0</v>
      </c>
    </row>
    <row r="1075" customFormat="false" ht="15" hidden="false" customHeight="false" outlineLevel="0" collapsed="false">
      <c r="A1075" s="7" t="n">
        <v>70117294</v>
      </c>
      <c r="B1075" s="7" t="s">
        <v>68</v>
      </c>
      <c r="C1075" s="7" t="s">
        <v>2566</v>
      </c>
      <c r="D1075" s="7" t="s">
        <v>2567</v>
      </c>
      <c r="E1075" s="7" t="s">
        <v>26</v>
      </c>
      <c r="F1075" s="7" t="s">
        <v>2568</v>
      </c>
      <c r="G1075" s="7" t="n">
        <v>2010</v>
      </c>
      <c r="H1075" s="7" t="s">
        <v>52</v>
      </c>
      <c r="I1075" s="7" t="s">
        <v>294</v>
      </c>
      <c r="J1075" s="7" t="s">
        <v>40</v>
      </c>
      <c r="K1075" s="7" t="n">
        <f aca="false">IFERROR(VALUE(RIGHT(TRIM(F1075),4)),"")</f>
        <v>2019</v>
      </c>
      <c r="L1075" s="7" t="str">
        <f aca="false">IF(TRIM(E1075)="","Unknown",IFERROR(LEFT(TRIM(E1075),FIND(",",TRIM(E1075))-1),TRIM(E1075)))</f>
        <v>United States</v>
      </c>
      <c r="M1075" s="7" t="str">
        <f aca="false">IFERROR(LEFT(J1075,FIND(",",J1075)-1),J1075)</f>
        <v>Action &amp; Adventure</v>
      </c>
      <c r="N1075" s="7" t="n">
        <f aca="false">IF(B1075="Movie",IFERROR(VALUE(LEFT(I1075,FIND(" ",I1075)-1)),""),"")</f>
        <v>107</v>
      </c>
      <c r="O1075" s="7" t="str">
        <f aca="false">IF(B1075="TV Show",IFERROR(VALUE(LEFT(I1075,FIND(" ",I1075)-1)),""),"")</f>
        <v/>
      </c>
      <c r="P1075" s="7" t="n">
        <f aca="false">IF(K1075="","",K1075-G1075)</f>
        <v>9</v>
      </c>
    </row>
    <row r="1076" customFormat="false" ht="15" hidden="false" customHeight="false" outlineLevel="0" collapsed="false">
      <c r="A1076" s="7" t="n">
        <v>70117582</v>
      </c>
      <c r="B1076" s="7" t="s">
        <v>68</v>
      </c>
      <c r="C1076" s="7" t="s">
        <v>2569</v>
      </c>
      <c r="D1076" s="7" t="s">
        <v>2570</v>
      </c>
      <c r="E1076" s="7" t="s">
        <v>26</v>
      </c>
      <c r="F1076" s="7" t="s">
        <v>2571</v>
      </c>
      <c r="G1076" s="7" t="n">
        <v>2011</v>
      </c>
      <c r="H1076" s="7" t="s">
        <v>54</v>
      </c>
      <c r="I1076" s="7" t="s">
        <v>212</v>
      </c>
      <c r="J1076" s="7" t="s">
        <v>74</v>
      </c>
      <c r="K1076" s="7" t="n">
        <f aca="false">IFERROR(VALUE(RIGHT(TRIM(F1076),4)),"")</f>
        <v>2018</v>
      </c>
      <c r="L1076" s="7" t="str">
        <f aca="false">IF(TRIM(E1076)="","Unknown",IFERROR(LEFT(TRIM(E1076),FIND(",",TRIM(E1076))-1),TRIM(E1076)))</f>
        <v>United States</v>
      </c>
      <c r="M1076" s="7" t="str">
        <f aca="false">IFERROR(LEFT(J1076,FIND(",",J1076)-1),J1076)</f>
        <v>Children &amp; Family Movies</v>
      </c>
      <c r="N1076" s="7" t="n">
        <f aca="false">IF(B1076="Movie",IFERROR(VALUE(LEFT(I1076,FIND(" ",I1076)-1)),""),"")</f>
        <v>86</v>
      </c>
      <c r="O1076" s="7" t="str">
        <f aca="false">IF(B1076="TV Show",IFERROR(VALUE(LEFT(I1076,FIND(" ",I1076)-1)),""),"")</f>
        <v/>
      </c>
      <c r="P1076" s="7" t="n">
        <f aca="false">IF(K1076="","",K1076-G1076)</f>
        <v>7</v>
      </c>
    </row>
    <row r="1077" customFormat="false" ht="15" hidden="false" customHeight="false" outlineLevel="0" collapsed="false">
      <c r="A1077" s="7" t="n">
        <v>80163294</v>
      </c>
      <c r="B1077" s="7" t="s">
        <v>78</v>
      </c>
      <c r="C1077" s="7" t="s">
        <v>2572</v>
      </c>
      <c r="D1077" s="7" t="s">
        <v>2573</v>
      </c>
      <c r="F1077" s="7" t="s">
        <v>2574</v>
      </c>
      <c r="G1077" s="7" t="n">
        <v>2015</v>
      </c>
      <c r="H1077" s="7" t="s">
        <v>49</v>
      </c>
      <c r="I1077" s="7" t="s">
        <v>82</v>
      </c>
      <c r="J1077" s="7" t="s">
        <v>344</v>
      </c>
      <c r="K1077" s="7" t="n">
        <f aca="false">IFERROR(VALUE(RIGHT(TRIM(F1077),4)),"")</f>
        <v>2017</v>
      </c>
      <c r="L1077" s="7" t="str">
        <f aca="false">IF(TRIM(E1077)="","Unknown",IFERROR(LEFT(TRIM(E1077),FIND(",",TRIM(E1077))-1),TRIM(E1077)))</f>
        <v>Unknown</v>
      </c>
      <c r="M1077" s="7" t="str">
        <f aca="false">IFERROR(LEFT(J1077,FIND(",",J1077)-1),J1077)</f>
        <v>International TV Shows</v>
      </c>
      <c r="N1077" s="7" t="str">
        <f aca="false">IF(B1077="Movie",IFERROR(VALUE(LEFT(I1077,FIND(" ",I1077)-1)),""),"")</f>
        <v/>
      </c>
      <c r="O1077" s="7" t="n">
        <f aca="false">IF(B1077="TV Show",IFERROR(VALUE(LEFT(I1077,FIND(" ",I1077)-1)),""),"")</f>
        <v>1</v>
      </c>
      <c r="P1077" s="7" t="n">
        <f aca="false">IF(K1077="","",K1077-G1077)</f>
        <v>2</v>
      </c>
    </row>
    <row r="1078" customFormat="false" ht="15" hidden="false" customHeight="false" outlineLevel="0" collapsed="false">
      <c r="A1078" s="7" t="n">
        <v>80119411</v>
      </c>
      <c r="B1078" s="7" t="s">
        <v>78</v>
      </c>
      <c r="C1078" s="7" t="s">
        <v>2575</v>
      </c>
      <c r="E1078" s="7" t="s">
        <v>29</v>
      </c>
      <c r="F1078" s="7" t="s">
        <v>2574</v>
      </c>
      <c r="G1078" s="7" t="n">
        <v>2017</v>
      </c>
      <c r="H1078" s="7" t="s">
        <v>48</v>
      </c>
      <c r="I1078" s="7" t="s">
        <v>82</v>
      </c>
      <c r="J1078" s="7" t="s">
        <v>402</v>
      </c>
      <c r="K1078" s="7" t="n">
        <f aca="false">IFERROR(VALUE(RIGHT(TRIM(F1078),4)),"")</f>
        <v>2017</v>
      </c>
      <c r="L1078" s="7" t="str">
        <f aca="false">IF(TRIM(E1078)="","Unknown",IFERROR(LEFT(TRIM(E1078),FIND(",",TRIM(E1078))-1),TRIM(E1078)))</f>
        <v>Canada</v>
      </c>
      <c r="M1078" s="7" t="str">
        <f aca="false">IFERROR(LEFT(J1078,FIND(",",J1078)-1),J1078)</f>
        <v>Crime TV Shows</v>
      </c>
      <c r="N1078" s="7" t="str">
        <f aca="false">IF(B1078="Movie",IFERROR(VALUE(LEFT(I1078,FIND(" ",I1078)-1)),""),"")</f>
        <v/>
      </c>
      <c r="O1078" s="7" t="n">
        <f aca="false">IF(B1078="TV Show",IFERROR(VALUE(LEFT(I1078,FIND(" ",I1078)-1)),""),"")</f>
        <v>1</v>
      </c>
      <c r="P1078" s="7" t="n">
        <f aca="false">IF(K1078="","",K1078-G1078)</f>
        <v>0</v>
      </c>
    </row>
    <row r="1079" customFormat="false" ht="15" hidden="false" customHeight="false" outlineLevel="0" collapsed="false">
      <c r="A1079" s="7" t="n">
        <v>81082007</v>
      </c>
      <c r="B1079" s="7" t="s">
        <v>68</v>
      </c>
      <c r="C1079" s="7" t="s">
        <v>2576</v>
      </c>
      <c r="D1079" s="7" t="s">
        <v>2577</v>
      </c>
      <c r="E1079" s="7" t="s">
        <v>2578</v>
      </c>
      <c r="F1079" s="7" t="s">
        <v>2579</v>
      </c>
      <c r="G1079" s="7" t="n">
        <v>2019</v>
      </c>
      <c r="H1079" s="7" t="s">
        <v>49</v>
      </c>
      <c r="I1079" s="7" t="s">
        <v>173</v>
      </c>
      <c r="J1079" s="7" t="s">
        <v>188</v>
      </c>
      <c r="K1079" s="7" t="n">
        <f aca="false">IFERROR(VALUE(RIGHT(TRIM(F1079),4)),"")</f>
        <v>2019</v>
      </c>
      <c r="L1079" s="7" t="str">
        <f aca="false">IF(TRIM(E1079)="","Unknown",IFERROR(LEFT(TRIM(E1079),FIND(",",TRIM(E1079))-1),TRIM(E1079)))</f>
        <v>France</v>
      </c>
      <c r="M1079" s="7" t="str">
        <f aca="false">IFERROR(LEFT(J1079,FIND(",",J1079)-1),J1079)</f>
        <v>Dramas</v>
      </c>
      <c r="N1079" s="7" t="n">
        <f aca="false">IF(B1079="Movie",IFERROR(VALUE(LEFT(I1079,FIND(" ",I1079)-1)),""),"")</f>
        <v>106</v>
      </c>
      <c r="O1079" s="7" t="str">
        <f aca="false">IF(B1079="TV Show",IFERROR(VALUE(LEFT(I1079,FIND(" ",I1079)-1)),""),"")</f>
        <v/>
      </c>
      <c r="P1079" s="7" t="n">
        <f aca="false">IF(K1079="","",K1079-G1079)</f>
        <v>0</v>
      </c>
    </row>
    <row r="1080" customFormat="false" ht="15" hidden="false" customHeight="false" outlineLevel="0" collapsed="false">
      <c r="A1080" s="7" t="n">
        <v>81172754</v>
      </c>
      <c r="B1080" s="7" t="s">
        <v>68</v>
      </c>
      <c r="C1080" s="7" t="s">
        <v>2580</v>
      </c>
      <c r="D1080" s="7" t="s">
        <v>2581</v>
      </c>
      <c r="E1080" s="7" t="s">
        <v>527</v>
      </c>
      <c r="F1080" s="7" t="s">
        <v>2579</v>
      </c>
      <c r="G1080" s="7" t="n">
        <v>2018</v>
      </c>
      <c r="H1080" s="7" t="s">
        <v>49</v>
      </c>
      <c r="I1080" s="7" t="s">
        <v>294</v>
      </c>
      <c r="J1080" s="7" t="s">
        <v>2582</v>
      </c>
      <c r="K1080" s="7" t="n">
        <f aca="false">IFERROR(VALUE(RIGHT(TRIM(F1080),4)),"")</f>
        <v>2019</v>
      </c>
      <c r="L1080" s="7" t="str">
        <f aca="false">IF(TRIM(E1080)="","Unknown",IFERROR(LEFT(TRIM(E1080),FIND(",",TRIM(E1080))-1),TRIM(E1080)))</f>
        <v>Nigeria</v>
      </c>
      <c r="M1080" s="7" t="str">
        <f aca="false">IFERROR(LEFT(J1080,FIND(",",J1080)-1),J1080)</f>
        <v>Comedies</v>
      </c>
      <c r="N1080" s="7" t="n">
        <f aca="false">IF(B1080="Movie",IFERROR(VALUE(LEFT(I1080,FIND(" ",I1080)-1)),""),"")</f>
        <v>107</v>
      </c>
      <c r="O1080" s="7" t="str">
        <f aca="false">IF(B1080="TV Show",IFERROR(VALUE(LEFT(I1080,FIND(" ",I1080)-1)),""),"")</f>
        <v/>
      </c>
      <c r="P1080" s="7" t="n">
        <f aca="false">IF(K1080="","",K1080-G1080)</f>
        <v>1</v>
      </c>
    </row>
    <row r="1081" customFormat="false" ht="15" hidden="false" customHeight="false" outlineLevel="0" collapsed="false">
      <c r="A1081" s="7" t="n">
        <v>81120982</v>
      </c>
      <c r="B1081" s="7" t="s">
        <v>68</v>
      </c>
      <c r="C1081" s="7" t="s">
        <v>2583</v>
      </c>
      <c r="D1081" s="7" t="s">
        <v>2584</v>
      </c>
      <c r="E1081" s="7" t="s">
        <v>31</v>
      </c>
      <c r="F1081" s="7" t="s">
        <v>2579</v>
      </c>
      <c r="G1081" s="7" t="n">
        <v>2019</v>
      </c>
      <c r="H1081" s="7" t="s">
        <v>48</v>
      </c>
      <c r="I1081" s="7" t="s">
        <v>467</v>
      </c>
      <c r="J1081" s="7" t="s">
        <v>188</v>
      </c>
      <c r="K1081" s="7" t="n">
        <f aca="false">IFERROR(VALUE(RIGHT(TRIM(F1081),4)),"")</f>
        <v>2019</v>
      </c>
      <c r="L1081" s="7" t="str">
        <f aca="false">IF(TRIM(E1081)="","Unknown",IFERROR(LEFT(TRIM(E1081),FIND(",",TRIM(E1081))-1),TRIM(E1081)))</f>
        <v>France</v>
      </c>
      <c r="M1081" s="7" t="str">
        <f aca="false">IFERROR(LEFT(J1081,FIND(",",J1081)-1),J1081)</f>
        <v>Dramas</v>
      </c>
      <c r="N1081" s="7" t="n">
        <f aca="false">IF(B1081="Movie",IFERROR(VALUE(LEFT(I1081,FIND(" ",I1081)-1)),""),"")</f>
        <v>81</v>
      </c>
      <c r="O1081" s="7" t="str">
        <f aca="false">IF(B1081="TV Show",IFERROR(VALUE(LEFT(I1081,FIND(" ",I1081)-1)),""),"")</f>
        <v/>
      </c>
      <c r="P1081" s="7" t="n">
        <f aca="false">IF(K1081="","",K1081-G1081)</f>
        <v>0</v>
      </c>
    </row>
    <row r="1082" customFormat="false" ht="15" hidden="false" customHeight="false" outlineLevel="0" collapsed="false">
      <c r="A1082" s="7" t="n">
        <v>81227195</v>
      </c>
      <c r="B1082" s="7" t="s">
        <v>68</v>
      </c>
      <c r="C1082" s="7" t="s">
        <v>2585</v>
      </c>
      <c r="D1082" s="7" t="s">
        <v>2586</v>
      </c>
      <c r="E1082" s="7" t="s">
        <v>1672</v>
      </c>
      <c r="F1082" s="7" t="s">
        <v>2579</v>
      </c>
      <c r="G1082" s="7" t="n">
        <v>2016</v>
      </c>
      <c r="H1082" s="7" t="s">
        <v>48</v>
      </c>
      <c r="I1082" s="7" t="s">
        <v>294</v>
      </c>
      <c r="J1082" s="7" t="s">
        <v>304</v>
      </c>
      <c r="K1082" s="7" t="n">
        <f aca="false">IFERROR(VALUE(RIGHT(TRIM(F1082),4)),"")</f>
        <v>2019</v>
      </c>
      <c r="L1082" s="7" t="str">
        <f aca="false">IF(TRIM(E1082)="","Unknown",IFERROR(LEFT(TRIM(E1082),FIND(",",TRIM(E1082))-1),TRIM(E1082)))</f>
        <v>South Africa</v>
      </c>
      <c r="M1082" s="7" t="str">
        <f aca="false">IFERROR(LEFT(J1082,FIND(",",J1082)-1),J1082)</f>
        <v>Dramas</v>
      </c>
      <c r="N1082" s="7" t="n">
        <f aca="false">IF(B1082="Movie",IFERROR(VALUE(LEFT(I1082,FIND(" ",I1082)-1)),""),"")</f>
        <v>107</v>
      </c>
      <c r="O1082" s="7" t="str">
        <f aca="false">IF(B1082="TV Show",IFERROR(VALUE(LEFT(I1082,FIND(" ",I1082)-1)),""),"")</f>
        <v/>
      </c>
      <c r="P1082" s="7" t="n">
        <f aca="false">IF(K1082="","",K1082-G1082)</f>
        <v>3</v>
      </c>
    </row>
    <row r="1083" customFormat="false" ht="15" hidden="false" customHeight="false" outlineLevel="0" collapsed="false">
      <c r="A1083" s="7" t="n">
        <v>81172841</v>
      </c>
      <c r="B1083" s="7" t="s">
        <v>68</v>
      </c>
      <c r="C1083" s="7" t="s">
        <v>2587</v>
      </c>
      <c r="D1083" s="7" t="s">
        <v>2588</v>
      </c>
      <c r="F1083" s="7" t="s">
        <v>2579</v>
      </c>
      <c r="G1083" s="7" t="n">
        <v>2018</v>
      </c>
      <c r="H1083" s="7" t="s">
        <v>49</v>
      </c>
      <c r="I1083" s="7" t="s">
        <v>1270</v>
      </c>
      <c r="J1083" s="7" t="s">
        <v>202</v>
      </c>
      <c r="K1083" s="7" t="n">
        <f aca="false">IFERROR(VALUE(RIGHT(TRIM(F1083),4)),"")</f>
        <v>2019</v>
      </c>
      <c r="L1083" s="7" t="str">
        <f aca="false">IF(TRIM(E1083)="","Unknown",IFERROR(LEFT(TRIM(E1083),FIND(",",TRIM(E1083))-1),TRIM(E1083)))</f>
        <v>Unknown</v>
      </c>
      <c r="M1083" s="7" t="str">
        <f aca="false">IFERROR(LEFT(J1083,FIND(",",J1083)-1),J1083)</f>
        <v>Comedies</v>
      </c>
      <c r="N1083" s="7" t="n">
        <f aca="false">IF(B1083="Movie",IFERROR(VALUE(LEFT(I1083,FIND(" ",I1083)-1)),""),"")</f>
        <v>118</v>
      </c>
      <c r="O1083" s="7" t="str">
        <f aca="false">IF(B1083="TV Show",IFERROR(VALUE(LEFT(I1083,FIND(" ",I1083)-1)),""),"")</f>
        <v/>
      </c>
      <c r="P1083" s="7" t="n">
        <f aca="false">IF(K1083="","",K1083-G1083)</f>
        <v>1</v>
      </c>
    </row>
    <row r="1084" customFormat="false" ht="15" hidden="false" customHeight="false" outlineLevel="0" collapsed="false">
      <c r="A1084" s="7" t="n">
        <v>81172899</v>
      </c>
      <c r="B1084" s="7" t="s">
        <v>68</v>
      </c>
      <c r="C1084" s="7" t="s">
        <v>2589</v>
      </c>
      <c r="D1084" s="7" t="s">
        <v>2590</v>
      </c>
      <c r="E1084" s="7" t="s">
        <v>527</v>
      </c>
      <c r="F1084" s="7" t="s">
        <v>2579</v>
      </c>
      <c r="G1084" s="7" t="n">
        <v>2018</v>
      </c>
      <c r="H1084" s="7" t="s">
        <v>48</v>
      </c>
      <c r="I1084" s="7" t="s">
        <v>93</v>
      </c>
      <c r="J1084" s="7" t="s">
        <v>1000</v>
      </c>
      <c r="K1084" s="7" t="n">
        <f aca="false">IFERROR(VALUE(RIGHT(TRIM(F1084),4)),"")</f>
        <v>2019</v>
      </c>
      <c r="L1084" s="7" t="str">
        <f aca="false">IF(TRIM(E1084)="","Unknown",IFERROR(LEFT(TRIM(E1084),FIND(",",TRIM(E1084))-1),TRIM(E1084)))</f>
        <v>Nigeria</v>
      </c>
      <c r="M1084" s="7" t="str">
        <f aca="false">IFERROR(LEFT(J1084,FIND(",",J1084)-1),J1084)</f>
        <v>Comedies</v>
      </c>
      <c r="N1084" s="7" t="n">
        <f aca="false">IF(B1084="Movie",IFERROR(VALUE(LEFT(I1084,FIND(" ",I1084)-1)),""),"")</f>
        <v>110</v>
      </c>
      <c r="O1084" s="7" t="str">
        <f aca="false">IF(B1084="TV Show",IFERROR(VALUE(LEFT(I1084,FIND(" ",I1084)-1)),""),"")</f>
        <v/>
      </c>
      <c r="P1084" s="7" t="n">
        <f aca="false">IF(K1084="","",K1084-G1084)</f>
        <v>1</v>
      </c>
    </row>
    <row r="1085" customFormat="false" ht="15" hidden="false" customHeight="false" outlineLevel="0" collapsed="false">
      <c r="A1085" s="7" t="n">
        <v>81094391</v>
      </c>
      <c r="B1085" s="7" t="s">
        <v>78</v>
      </c>
      <c r="C1085" s="7" t="s">
        <v>2591</v>
      </c>
      <c r="E1085" s="7" t="s">
        <v>26</v>
      </c>
      <c r="F1085" s="7" t="s">
        <v>2579</v>
      </c>
      <c r="G1085" s="7" t="n">
        <v>2019</v>
      </c>
      <c r="H1085" s="7" t="s">
        <v>50</v>
      </c>
      <c r="I1085" s="7" t="s">
        <v>82</v>
      </c>
      <c r="J1085" s="7" t="s">
        <v>701</v>
      </c>
      <c r="K1085" s="7" t="n">
        <f aca="false">IFERROR(VALUE(RIGHT(TRIM(F1085),4)),"")</f>
        <v>2019</v>
      </c>
      <c r="L1085" s="7" t="str">
        <f aca="false">IF(TRIM(E1085)="","Unknown",IFERROR(LEFT(TRIM(E1085),FIND(",",TRIM(E1085))-1),TRIM(E1085)))</f>
        <v>United States</v>
      </c>
      <c r="M1085" s="7" t="str">
        <f aca="false">IFERROR(LEFT(J1085,FIND(",",J1085)-1),J1085)</f>
        <v>Reality TV</v>
      </c>
      <c r="N1085" s="7" t="str">
        <f aca="false">IF(B1085="Movie",IFERROR(VALUE(LEFT(I1085,FIND(" ",I1085)-1)),""),"")</f>
        <v/>
      </c>
      <c r="O1085" s="7" t="n">
        <f aca="false">IF(B1085="TV Show",IFERROR(VALUE(LEFT(I1085,FIND(" ",I1085)-1)),""),"")</f>
        <v>1</v>
      </c>
      <c r="P1085" s="7" t="n">
        <f aca="false">IF(K1085="","",K1085-G1085)</f>
        <v>0</v>
      </c>
    </row>
    <row r="1086" customFormat="false" ht="15" hidden="false" customHeight="false" outlineLevel="0" collapsed="false">
      <c r="A1086" s="7" t="n">
        <v>81172908</v>
      </c>
      <c r="B1086" s="7" t="s">
        <v>68</v>
      </c>
      <c r="C1086" s="7" t="s">
        <v>2592</v>
      </c>
      <c r="D1086" s="7" t="s">
        <v>2593</v>
      </c>
      <c r="E1086" s="7" t="s">
        <v>527</v>
      </c>
      <c r="F1086" s="7" t="s">
        <v>2579</v>
      </c>
      <c r="G1086" s="7" t="n">
        <v>2017</v>
      </c>
      <c r="H1086" s="7" t="s">
        <v>49</v>
      </c>
      <c r="I1086" s="7" t="s">
        <v>417</v>
      </c>
      <c r="J1086" s="7" t="s">
        <v>139</v>
      </c>
      <c r="K1086" s="7" t="n">
        <f aca="false">IFERROR(VALUE(RIGHT(TRIM(F1086),4)),"")</f>
        <v>2019</v>
      </c>
      <c r="L1086" s="7" t="str">
        <f aca="false">IF(TRIM(E1086)="","Unknown",IFERROR(LEFT(TRIM(E1086),FIND(",",TRIM(E1086))-1),TRIM(E1086)))</f>
        <v>Nigeria</v>
      </c>
      <c r="M1086" s="7" t="str">
        <f aca="false">IFERROR(LEFT(J1086,FIND(",",J1086)-1),J1086)</f>
        <v>Action &amp; Adventure</v>
      </c>
      <c r="N1086" s="7" t="n">
        <f aca="false">IF(B1086="Movie",IFERROR(VALUE(LEFT(I1086,FIND(" ",I1086)-1)),""),"")</f>
        <v>104</v>
      </c>
      <c r="O1086" s="7" t="str">
        <f aca="false">IF(B1086="TV Show",IFERROR(VALUE(LEFT(I1086,FIND(" ",I1086)-1)),""),"")</f>
        <v/>
      </c>
      <c r="P1086" s="7" t="n">
        <f aca="false">IF(K1086="","",K1086-G1086)</f>
        <v>2</v>
      </c>
    </row>
    <row r="1087" customFormat="false" ht="15" hidden="false" customHeight="false" outlineLevel="0" collapsed="false">
      <c r="A1087" s="7" t="n">
        <v>81152641</v>
      </c>
      <c r="B1087" s="7" t="s">
        <v>78</v>
      </c>
      <c r="C1087" s="7" t="s">
        <v>2594</v>
      </c>
      <c r="F1087" s="7" t="s">
        <v>2579</v>
      </c>
      <c r="G1087" s="7" t="n">
        <v>2019</v>
      </c>
      <c r="H1087" s="7" t="s">
        <v>49</v>
      </c>
      <c r="I1087" s="7" t="s">
        <v>82</v>
      </c>
      <c r="J1087" s="7" t="s">
        <v>158</v>
      </c>
      <c r="K1087" s="7" t="n">
        <f aca="false">IFERROR(VALUE(RIGHT(TRIM(F1087),4)),"")</f>
        <v>2019</v>
      </c>
      <c r="L1087" s="7" t="str">
        <f aca="false">IF(TRIM(E1087)="","Unknown",IFERROR(LEFT(TRIM(E1087),FIND(",",TRIM(E1087))-1),TRIM(E1087)))</f>
        <v>Unknown</v>
      </c>
      <c r="M1087" s="7" t="str">
        <f aca="false">IFERROR(LEFT(J1087,FIND(",",J1087)-1),J1087)</f>
        <v>International TV Shows</v>
      </c>
      <c r="N1087" s="7" t="str">
        <f aca="false">IF(B1087="Movie",IFERROR(VALUE(LEFT(I1087,FIND(" ",I1087)-1)),""),"")</f>
        <v/>
      </c>
      <c r="O1087" s="7" t="n">
        <f aca="false">IF(B1087="TV Show",IFERROR(VALUE(LEFT(I1087,FIND(" ",I1087)-1)),""),"")</f>
        <v>1</v>
      </c>
      <c r="P1087" s="7" t="n">
        <f aca="false">IF(K1087="","",K1087-G1087)</f>
        <v>0</v>
      </c>
    </row>
    <row r="1088" customFormat="false" ht="15" hidden="false" customHeight="false" outlineLevel="0" collapsed="false">
      <c r="A1088" s="7" t="n">
        <v>81172901</v>
      </c>
      <c r="B1088" s="7" t="s">
        <v>68</v>
      </c>
      <c r="C1088" s="7" t="s">
        <v>2595</v>
      </c>
      <c r="D1088" s="7" t="s">
        <v>531</v>
      </c>
      <c r="E1088" s="7" t="s">
        <v>527</v>
      </c>
      <c r="F1088" s="7" t="s">
        <v>2579</v>
      </c>
      <c r="G1088" s="7" t="n">
        <v>2018</v>
      </c>
      <c r="H1088" s="7" t="s">
        <v>49</v>
      </c>
      <c r="I1088" s="7" t="s">
        <v>272</v>
      </c>
      <c r="J1088" s="7" t="s">
        <v>182</v>
      </c>
      <c r="K1088" s="7" t="n">
        <f aca="false">IFERROR(VALUE(RIGHT(TRIM(F1088),4)),"")</f>
        <v>2019</v>
      </c>
      <c r="L1088" s="7" t="str">
        <f aca="false">IF(TRIM(E1088)="","Unknown",IFERROR(LEFT(TRIM(E1088),FIND(",",TRIM(E1088))-1),TRIM(E1088)))</f>
        <v>Nigeria</v>
      </c>
      <c r="M1088" s="7" t="str">
        <f aca="false">IFERROR(LEFT(J1088,FIND(",",J1088)-1),J1088)</f>
        <v>Dramas</v>
      </c>
      <c r="N1088" s="7" t="n">
        <f aca="false">IF(B1088="Movie",IFERROR(VALUE(LEFT(I1088,FIND(" ",I1088)-1)),""),"")</f>
        <v>93</v>
      </c>
      <c r="O1088" s="7" t="str">
        <f aca="false">IF(B1088="TV Show",IFERROR(VALUE(LEFT(I1088,FIND(" ",I1088)-1)),""),"")</f>
        <v/>
      </c>
      <c r="P1088" s="7" t="n">
        <f aca="false">IF(K1088="","",K1088-G1088)</f>
        <v>1</v>
      </c>
    </row>
    <row r="1089" customFormat="false" ht="15" hidden="false" customHeight="false" outlineLevel="0" collapsed="false">
      <c r="A1089" s="7" t="n">
        <v>80990849</v>
      </c>
      <c r="B1089" s="7" t="s">
        <v>78</v>
      </c>
      <c r="C1089" s="7" t="s">
        <v>2596</v>
      </c>
      <c r="E1089" s="7" t="s">
        <v>26</v>
      </c>
      <c r="F1089" s="7" t="s">
        <v>2579</v>
      </c>
      <c r="G1089" s="7" t="n">
        <v>2019</v>
      </c>
      <c r="H1089" s="7" t="s">
        <v>48</v>
      </c>
      <c r="I1089" s="7" t="s">
        <v>82</v>
      </c>
      <c r="J1089" s="7" t="s">
        <v>164</v>
      </c>
      <c r="K1089" s="7" t="n">
        <f aca="false">IFERROR(VALUE(RIGHT(TRIM(F1089),4)),"")</f>
        <v>2019</v>
      </c>
      <c r="L1089" s="7" t="str">
        <f aca="false">IF(TRIM(E1089)="","Unknown",IFERROR(LEFT(TRIM(E1089),FIND(",",TRIM(E1089))-1),TRIM(E1089)))</f>
        <v>United States</v>
      </c>
      <c r="M1089" s="7" t="str">
        <f aca="false">IFERROR(LEFT(J1089,FIND(",",J1089)-1),J1089)</f>
        <v>Docuseries</v>
      </c>
      <c r="N1089" s="7" t="str">
        <f aca="false">IF(B1089="Movie",IFERROR(VALUE(LEFT(I1089,FIND(" ",I1089)-1)),""),"")</f>
        <v/>
      </c>
      <c r="O1089" s="7" t="n">
        <f aca="false">IF(B1089="TV Show",IFERROR(VALUE(LEFT(I1089,FIND(" ",I1089)-1)),""),"")</f>
        <v>1</v>
      </c>
      <c r="P1089" s="7" t="n">
        <f aca="false">IF(K1089="","",K1089-G1089)</f>
        <v>0</v>
      </c>
    </row>
    <row r="1090" customFormat="false" ht="15" hidden="false" customHeight="false" outlineLevel="0" collapsed="false">
      <c r="A1090" s="7" t="n">
        <v>81033086</v>
      </c>
      <c r="B1090" s="7" t="s">
        <v>68</v>
      </c>
      <c r="C1090" s="7" t="s">
        <v>2597</v>
      </c>
      <c r="D1090" s="7" t="s">
        <v>2490</v>
      </c>
      <c r="E1090" s="7" t="s">
        <v>26</v>
      </c>
      <c r="F1090" s="7" t="s">
        <v>2598</v>
      </c>
      <c r="G1090" s="7" t="n">
        <v>2019</v>
      </c>
      <c r="H1090" s="7" t="s">
        <v>50</v>
      </c>
      <c r="I1090" s="7" t="s">
        <v>77</v>
      </c>
      <c r="J1090" s="7" t="s">
        <v>295</v>
      </c>
      <c r="K1090" s="7" t="n">
        <f aca="false">IFERROR(VALUE(RIGHT(TRIM(F1090),4)),"")</f>
        <v>2019</v>
      </c>
      <c r="L1090" s="7" t="str">
        <f aca="false">IF(TRIM(E1090)="","Unknown",IFERROR(LEFT(TRIM(E1090),FIND(",",TRIM(E1090))-1),TRIM(E1090)))</f>
        <v>United States</v>
      </c>
      <c r="M1090" s="7" t="str">
        <f aca="false">IFERROR(LEFT(J1090,FIND(",",J1090)-1),J1090)</f>
        <v>Children &amp; Family Movies</v>
      </c>
      <c r="N1090" s="7" t="n">
        <f aca="false">IF(B1090="Movie",IFERROR(VALUE(LEFT(I1090,FIND(" ",I1090)-1)),""),"")</f>
        <v>94</v>
      </c>
      <c r="O1090" s="7" t="str">
        <f aca="false">IF(B1090="TV Show",IFERROR(VALUE(LEFT(I1090,FIND(" ",I1090)-1)),""),"")</f>
        <v/>
      </c>
      <c r="P1090" s="7" t="n">
        <f aca="false">IF(K1090="","",K1090-G1090)</f>
        <v>0</v>
      </c>
    </row>
    <row r="1091" customFormat="false" ht="15" hidden="false" customHeight="false" outlineLevel="0" collapsed="false">
      <c r="A1091" s="7" t="n">
        <v>80156799</v>
      </c>
      <c r="B1091" s="7" t="s">
        <v>78</v>
      </c>
      <c r="C1091" s="7" t="s">
        <v>2599</v>
      </c>
      <c r="E1091" s="7" t="s">
        <v>30</v>
      </c>
      <c r="F1091" s="7" t="s">
        <v>2598</v>
      </c>
      <c r="G1091" s="7" t="n">
        <v>2019</v>
      </c>
      <c r="H1091" s="7" t="s">
        <v>49</v>
      </c>
      <c r="I1091" s="7" t="s">
        <v>82</v>
      </c>
      <c r="J1091" s="7" t="s">
        <v>542</v>
      </c>
      <c r="K1091" s="7" t="n">
        <f aca="false">IFERROR(VALUE(RIGHT(TRIM(F1091),4)),"")</f>
        <v>2019</v>
      </c>
      <c r="L1091" s="7" t="str">
        <f aca="false">IF(TRIM(E1091)="","Unknown",IFERROR(LEFT(TRIM(E1091),FIND(",",TRIM(E1091))-1),TRIM(E1091)))</f>
        <v>Japan</v>
      </c>
      <c r="M1091" s="7" t="str">
        <f aca="false">IFERROR(LEFT(J1091,FIND(",",J1091)-1),J1091)</f>
        <v>Anime Series</v>
      </c>
      <c r="N1091" s="7" t="str">
        <f aca="false">IF(B1091="Movie",IFERROR(VALUE(LEFT(I1091,FIND(" ",I1091)-1)),""),"")</f>
        <v/>
      </c>
      <c r="O1091" s="7" t="n">
        <f aca="false">IF(B1091="TV Show",IFERROR(VALUE(LEFT(I1091,FIND(" ",I1091)-1)),""),"")</f>
        <v>1</v>
      </c>
      <c r="P1091" s="7" t="n">
        <f aca="false">IF(K1091="","",K1091-G1091)</f>
        <v>0</v>
      </c>
    </row>
    <row r="1092" customFormat="false" ht="15" hidden="false" customHeight="false" outlineLevel="0" collapsed="false">
      <c r="A1092" s="7" t="n">
        <v>81161538</v>
      </c>
      <c r="B1092" s="7" t="s">
        <v>78</v>
      </c>
      <c r="C1092" s="7" t="s">
        <v>2600</v>
      </c>
      <c r="E1092" s="7" t="s">
        <v>325</v>
      </c>
      <c r="F1092" s="7" t="s">
        <v>2598</v>
      </c>
      <c r="G1092" s="7" t="n">
        <v>2019</v>
      </c>
      <c r="H1092" s="7" t="s">
        <v>48</v>
      </c>
      <c r="I1092" s="7" t="s">
        <v>82</v>
      </c>
      <c r="J1092" s="7" t="s">
        <v>2601</v>
      </c>
      <c r="K1092" s="7" t="n">
        <f aca="false">IFERROR(VALUE(RIGHT(TRIM(F1092),4)),"")</f>
        <v>2019</v>
      </c>
      <c r="L1092" s="7" t="str">
        <f aca="false">IF(TRIM(E1092)="","Unknown",IFERROR(LEFT(TRIM(E1092),FIND(",",TRIM(E1092))-1),TRIM(E1092)))</f>
        <v>Brazil</v>
      </c>
      <c r="M1092" s="7" t="str">
        <f aca="false">IFERROR(LEFT(J1092,FIND(",",J1092)-1),J1092)</f>
        <v>International TV Shows</v>
      </c>
      <c r="N1092" s="7" t="str">
        <f aca="false">IF(B1092="Movie",IFERROR(VALUE(LEFT(I1092,FIND(" ",I1092)-1)),""),"")</f>
        <v/>
      </c>
      <c r="O1092" s="7" t="n">
        <f aca="false">IF(B1092="TV Show",IFERROR(VALUE(LEFT(I1092,FIND(" ",I1092)-1)),""),"")</f>
        <v>1</v>
      </c>
      <c r="P1092" s="7" t="n">
        <f aca="false">IF(K1092="","",K1092-G1092)</f>
        <v>0</v>
      </c>
    </row>
    <row r="1093" customFormat="false" ht="15" hidden="false" customHeight="false" outlineLevel="0" collapsed="false">
      <c r="A1093" s="7" t="n">
        <v>80997965</v>
      </c>
      <c r="B1093" s="7" t="s">
        <v>78</v>
      </c>
      <c r="C1093" s="7" t="s">
        <v>2602</v>
      </c>
      <c r="E1093" s="7" t="s">
        <v>26</v>
      </c>
      <c r="F1093" s="7" t="s">
        <v>2598</v>
      </c>
      <c r="G1093" s="7" t="n">
        <v>2019</v>
      </c>
      <c r="H1093" s="7" t="s">
        <v>50</v>
      </c>
      <c r="I1093" s="7" t="s">
        <v>82</v>
      </c>
      <c r="J1093" s="7" t="s">
        <v>289</v>
      </c>
      <c r="K1093" s="7" t="n">
        <f aca="false">IFERROR(VALUE(RIGHT(TRIM(F1093),4)),"")</f>
        <v>2019</v>
      </c>
      <c r="L1093" s="7" t="str">
        <f aca="false">IF(TRIM(E1093)="","Unknown",IFERROR(LEFT(TRIM(E1093),FIND(",",TRIM(E1093))-1),TRIM(E1093)))</f>
        <v>United States</v>
      </c>
      <c r="M1093" s="7" t="str">
        <f aca="false">IFERROR(LEFT(J1093,FIND(",",J1093)-1),J1093)</f>
        <v>TV Comedies</v>
      </c>
      <c r="N1093" s="7" t="str">
        <f aca="false">IF(B1093="Movie",IFERROR(VALUE(LEFT(I1093,FIND(" ",I1093)-1)),""),"")</f>
        <v/>
      </c>
      <c r="O1093" s="7" t="n">
        <f aca="false">IF(B1093="TV Show",IFERROR(VALUE(LEFT(I1093,FIND(" ",I1093)-1)),""),"")</f>
        <v>1</v>
      </c>
      <c r="P1093" s="7" t="n">
        <f aca="false">IF(K1093="","",K1093-G1093)</f>
        <v>0</v>
      </c>
    </row>
    <row r="1094" customFormat="false" ht="15" hidden="false" customHeight="false" outlineLevel="0" collapsed="false">
      <c r="A1094" s="7" t="n">
        <v>81018979</v>
      </c>
      <c r="B1094" s="7" t="s">
        <v>78</v>
      </c>
      <c r="C1094" s="7" t="s">
        <v>2603</v>
      </c>
      <c r="E1094" s="7" t="s">
        <v>31</v>
      </c>
      <c r="F1094" s="7" t="s">
        <v>2598</v>
      </c>
      <c r="G1094" s="7" t="n">
        <v>2019</v>
      </c>
      <c r="H1094" s="7" t="s">
        <v>48</v>
      </c>
      <c r="I1094" s="7" t="s">
        <v>82</v>
      </c>
      <c r="J1094" s="7" t="s">
        <v>335</v>
      </c>
      <c r="K1094" s="7" t="n">
        <f aca="false">IFERROR(VALUE(RIGHT(TRIM(F1094),4)),"")</f>
        <v>2019</v>
      </c>
      <c r="L1094" s="7" t="str">
        <f aca="false">IF(TRIM(E1094)="","Unknown",IFERROR(LEFT(TRIM(E1094),FIND(",",TRIM(E1094))-1),TRIM(E1094)))</f>
        <v>France</v>
      </c>
      <c r="M1094" s="7" t="str">
        <f aca="false">IFERROR(LEFT(J1094,FIND(",",J1094)-1),J1094)</f>
        <v>International TV Shows</v>
      </c>
      <c r="N1094" s="7" t="str">
        <f aca="false">IF(B1094="Movie",IFERROR(VALUE(LEFT(I1094,FIND(" ",I1094)-1)),""),"")</f>
        <v/>
      </c>
      <c r="O1094" s="7" t="n">
        <f aca="false">IF(B1094="TV Show",IFERROR(VALUE(LEFT(I1094,FIND(" ",I1094)-1)),""),"")</f>
        <v>1</v>
      </c>
      <c r="P1094" s="7" t="n">
        <f aca="false">IF(K1094="","",K1094-G1094)</f>
        <v>0</v>
      </c>
    </row>
    <row r="1095" customFormat="false" ht="15" hidden="false" customHeight="false" outlineLevel="0" collapsed="false">
      <c r="A1095" s="7" t="n">
        <v>60020826</v>
      </c>
      <c r="B1095" s="7" t="s">
        <v>68</v>
      </c>
      <c r="C1095" s="7" t="s">
        <v>2604</v>
      </c>
      <c r="D1095" s="7" t="s">
        <v>2605</v>
      </c>
      <c r="E1095" s="7" t="s">
        <v>2606</v>
      </c>
      <c r="F1095" s="7" t="s">
        <v>2598</v>
      </c>
      <c r="G1095" s="7" t="n">
        <v>2001</v>
      </c>
      <c r="H1095" s="7" t="s">
        <v>51</v>
      </c>
      <c r="I1095" s="7" t="s">
        <v>549</v>
      </c>
      <c r="J1095" s="7" t="s">
        <v>597</v>
      </c>
      <c r="K1095" s="7" t="n">
        <f aca="false">IFERROR(VALUE(RIGHT(TRIM(F1095),4)),"")</f>
        <v>2019</v>
      </c>
      <c r="L1095" s="7" t="str">
        <f aca="false">IF(TRIM(E1095)="","Unknown",IFERROR(LEFT(TRIM(E1095),FIND(",",TRIM(E1095))-1),TRIM(E1095)))</f>
        <v>Germany</v>
      </c>
      <c r="M1095" s="7" t="str">
        <f aca="false">IFERROR(LEFT(J1095,FIND(",",J1095)-1),J1095)</f>
        <v>Dramas</v>
      </c>
      <c r="N1095" s="7" t="n">
        <f aca="false">IF(B1095="Movie",IFERROR(VALUE(LEFT(I1095,FIND(" ",I1095)-1)),""),"")</f>
        <v>124</v>
      </c>
      <c r="O1095" s="7" t="str">
        <f aca="false">IF(B1095="TV Show",IFERROR(VALUE(LEFT(I1095,FIND(" ",I1095)-1)),""),"")</f>
        <v/>
      </c>
      <c r="P1095" s="7" t="n">
        <f aca="false">IF(K1095="","",K1095-G1095)</f>
        <v>18</v>
      </c>
    </row>
    <row r="1096" customFormat="false" ht="15" hidden="false" customHeight="false" outlineLevel="0" collapsed="false">
      <c r="A1096" s="7" t="n">
        <v>80226242</v>
      </c>
      <c r="B1096" s="7" t="s">
        <v>68</v>
      </c>
      <c r="C1096" s="7" t="s">
        <v>2607</v>
      </c>
      <c r="D1096" s="7" t="s">
        <v>2608</v>
      </c>
      <c r="E1096" s="7" t="s">
        <v>366</v>
      </c>
      <c r="F1096" s="7" t="s">
        <v>2609</v>
      </c>
      <c r="G1096" s="7" t="n">
        <v>2017</v>
      </c>
      <c r="H1096" s="7" t="s">
        <v>48</v>
      </c>
      <c r="I1096" s="7" t="s">
        <v>2551</v>
      </c>
      <c r="J1096" s="7" t="s">
        <v>322</v>
      </c>
      <c r="K1096" s="7" t="n">
        <f aca="false">IFERROR(VALUE(RIGHT(TRIM(F1096),4)),"")</f>
        <v>2018</v>
      </c>
      <c r="L1096" s="7" t="str">
        <f aca="false">IF(TRIM(E1096)="","Unknown",IFERROR(LEFT(TRIM(E1096),FIND(",",TRIM(E1096))-1),TRIM(E1096)))</f>
        <v>China</v>
      </c>
      <c r="M1096" s="7" t="str">
        <f aca="false">IFERROR(LEFT(J1096,FIND(",",J1096)-1),J1096)</f>
        <v>Action &amp; Adventure</v>
      </c>
      <c r="N1096" s="7" t="n">
        <f aca="false">IF(B1096="Movie",IFERROR(VALUE(LEFT(I1096,FIND(" ",I1096)-1)),""),"")</f>
        <v>120</v>
      </c>
      <c r="O1096" s="7" t="str">
        <f aca="false">IF(B1096="TV Show",IFERROR(VALUE(LEFT(I1096,FIND(" ",I1096)-1)),""),"")</f>
        <v/>
      </c>
      <c r="P1096" s="7" t="n">
        <f aca="false">IF(K1096="","",K1096-G1096)</f>
        <v>1</v>
      </c>
    </row>
    <row r="1097" customFormat="false" ht="15" hidden="false" customHeight="false" outlineLevel="0" collapsed="false">
      <c r="A1097" s="7" t="n">
        <v>81002391</v>
      </c>
      <c r="B1097" s="7" t="s">
        <v>78</v>
      </c>
      <c r="C1097" s="7" t="s">
        <v>2610</v>
      </c>
      <c r="E1097" s="7" t="s">
        <v>26</v>
      </c>
      <c r="F1097" s="7" t="s">
        <v>2611</v>
      </c>
      <c r="G1097" s="7" t="n">
        <v>2019</v>
      </c>
      <c r="H1097" s="7" t="s">
        <v>49</v>
      </c>
      <c r="I1097" s="7" t="s">
        <v>82</v>
      </c>
      <c r="J1097" s="7" t="s">
        <v>164</v>
      </c>
      <c r="K1097" s="7" t="n">
        <f aca="false">IFERROR(VALUE(RIGHT(TRIM(F1097),4)),"")</f>
        <v>2019</v>
      </c>
      <c r="L1097" s="7" t="str">
        <f aca="false">IF(TRIM(E1097)="","Unknown",IFERROR(LEFT(TRIM(E1097),FIND(",",TRIM(E1097))-1),TRIM(E1097)))</f>
        <v>United States</v>
      </c>
      <c r="M1097" s="7" t="str">
        <f aca="false">IFERROR(LEFT(J1097,FIND(",",J1097)-1),J1097)</f>
        <v>Docuseries</v>
      </c>
      <c r="N1097" s="7" t="str">
        <f aca="false">IF(B1097="Movie",IFERROR(VALUE(LEFT(I1097,FIND(" ",I1097)-1)),""),"")</f>
        <v/>
      </c>
      <c r="O1097" s="7" t="n">
        <f aca="false">IF(B1097="TV Show",IFERROR(VALUE(LEFT(I1097,FIND(" ",I1097)-1)),""),"")</f>
        <v>1</v>
      </c>
      <c r="P1097" s="7" t="n">
        <f aca="false">IF(K1097="","",K1097-G1097)</f>
        <v>0</v>
      </c>
    </row>
    <row r="1098" customFormat="false" ht="15" hidden="false" customHeight="false" outlineLevel="0" collapsed="false">
      <c r="A1098" s="7" t="n">
        <v>70101696</v>
      </c>
      <c r="B1098" s="7" t="s">
        <v>68</v>
      </c>
      <c r="C1098" s="7" t="s">
        <v>2612</v>
      </c>
      <c r="D1098" s="7" t="s">
        <v>2613</v>
      </c>
      <c r="E1098" s="7" t="s">
        <v>26</v>
      </c>
      <c r="F1098" s="7" t="s">
        <v>2611</v>
      </c>
      <c r="G1098" s="7" t="n">
        <v>2008</v>
      </c>
      <c r="H1098" s="7" t="s">
        <v>51</v>
      </c>
      <c r="I1098" s="7" t="s">
        <v>749</v>
      </c>
      <c r="J1098" s="7" t="s">
        <v>370</v>
      </c>
      <c r="K1098" s="7" t="n">
        <f aca="false">IFERROR(VALUE(RIGHT(TRIM(F1098),4)),"")</f>
        <v>2019</v>
      </c>
      <c r="L1098" s="7" t="str">
        <f aca="false">IF(TRIM(E1098)="","Unknown",IFERROR(LEFT(TRIM(E1098),FIND(",",TRIM(E1098))-1),TRIM(E1098)))</f>
        <v>United States</v>
      </c>
      <c r="M1098" s="7" t="str">
        <f aca="false">IFERROR(LEFT(J1098,FIND(",",J1098)-1),J1098)</f>
        <v>Action &amp; Adventure</v>
      </c>
      <c r="N1098" s="7" t="n">
        <f aca="false">IF(B1098="Movie",IFERROR(VALUE(LEFT(I1098,FIND(" ",I1098)-1)),""),"")</f>
        <v>137</v>
      </c>
      <c r="O1098" s="7" t="str">
        <f aca="false">IF(B1098="TV Show",IFERROR(VALUE(LEFT(I1098,FIND(" ",I1098)-1)),""),"")</f>
        <v/>
      </c>
      <c r="P1098" s="7" t="n">
        <f aca="false">IF(K1098="","",K1098-G1098)</f>
        <v>11</v>
      </c>
    </row>
    <row r="1099" customFormat="false" ht="15" hidden="false" customHeight="false" outlineLevel="0" collapsed="false">
      <c r="A1099" s="7" t="n">
        <v>81194544</v>
      </c>
      <c r="B1099" s="7" t="s">
        <v>68</v>
      </c>
      <c r="C1099" s="7" t="s">
        <v>2614</v>
      </c>
      <c r="D1099" s="7" t="s">
        <v>2615</v>
      </c>
      <c r="E1099" s="7" t="s">
        <v>27</v>
      </c>
      <c r="F1099" s="7" t="s">
        <v>2611</v>
      </c>
      <c r="G1099" s="7" t="n">
        <v>2019</v>
      </c>
      <c r="H1099" s="7" t="s">
        <v>49</v>
      </c>
      <c r="I1099" s="7" t="s">
        <v>2192</v>
      </c>
      <c r="J1099" s="7" t="s">
        <v>206</v>
      </c>
      <c r="K1099" s="7" t="n">
        <f aca="false">IFERROR(VALUE(RIGHT(TRIM(F1099),4)),"")</f>
        <v>2019</v>
      </c>
      <c r="L1099" s="7" t="str">
        <f aca="false">IF(TRIM(E1099)="","Unknown",IFERROR(LEFT(TRIM(E1099),FIND(",",TRIM(E1099))-1),TRIM(E1099)))</f>
        <v>India</v>
      </c>
      <c r="M1099" s="7" t="str">
        <f aca="false">IFERROR(LEFT(J1099,FIND(",",J1099)-1),J1099)</f>
        <v>Comedies</v>
      </c>
      <c r="N1099" s="7" t="n">
        <f aca="false">IF(B1099="Movie",IFERROR(VALUE(LEFT(I1099,FIND(" ",I1099)-1)),""),"")</f>
        <v>134</v>
      </c>
      <c r="O1099" s="7" t="str">
        <f aca="false">IF(B1099="TV Show",IFERROR(VALUE(LEFT(I1099,FIND(" ",I1099)-1)),""),"")</f>
        <v/>
      </c>
      <c r="P1099" s="7" t="n">
        <f aca="false">IF(K1099="","",K1099-G1099)</f>
        <v>0</v>
      </c>
    </row>
    <row r="1100" customFormat="false" ht="15" hidden="false" customHeight="false" outlineLevel="0" collapsed="false">
      <c r="A1100" s="7" t="n">
        <v>80995081</v>
      </c>
      <c r="B1100" s="7" t="s">
        <v>68</v>
      </c>
      <c r="C1100" s="7" t="s">
        <v>2616</v>
      </c>
      <c r="D1100" s="7" t="s">
        <v>1624</v>
      </c>
      <c r="F1100" s="7" t="s">
        <v>2611</v>
      </c>
      <c r="G1100" s="7" t="n">
        <v>2019</v>
      </c>
      <c r="H1100" s="7" t="s">
        <v>55</v>
      </c>
      <c r="I1100" s="7" t="s">
        <v>628</v>
      </c>
      <c r="J1100" s="7" t="s">
        <v>74</v>
      </c>
      <c r="K1100" s="7" t="n">
        <f aca="false">IFERROR(VALUE(RIGHT(TRIM(F1100),4)),"")</f>
        <v>2019</v>
      </c>
      <c r="L1100" s="7" t="str">
        <f aca="false">IF(TRIM(E1100)="","Unknown",IFERROR(LEFT(TRIM(E1100),FIND(",",TRIM(E1100))-1),TRIM(E1100)))</f>
        <v>Unknown</v>
      </c>
      <c r="M1100" s="7" t="str">
        <f aca="false">IFERROR(LEFT(J1100,FIND(",",J1100)-1),J1100)</f>
        <v>Children &amp; Family Movies</v>
      </c>
      <c r="N1100" s="7" t="n">
        <f aca="false">IF(B1100="Movie",IFERROR(VALUE(LEFT(I1100,FIND(" ",I1100)-1)),""),"")</f>
        <v>69</v>
      </c>
      <c r="O1100" s="7" t="str">
        <f aca="false">IF(B1100="TV Show",IFERROR(VALUE(LEFT(I1100,FIND(" ",I1100)-1)),""),"")</f>
        <v/>
      </c>
      <c r="P1100" s="7" t="n">
        <f aca="false">IF(K1100="","",K1100-G1100)</f>
        <v>0</v>
      </c>
    </row>
    <row r="1101" customFormat="false" ht="15" hidden="false" customHeight="false" outlineLevel="0" collapsed="false">
      <c r="A1101" s="7" t="n">
        <v>81177504</v>
      </c>
      <c r="B1101" s="7" t="s">
        <v>68</v>
      </c>
      <c r="C1101" s="7" t="s">
        <v>2617</v>
      </c>
      <c r="D1101" s="7" t="s">
        <v>2618</v>
      </c>
      <c r="E1101" s="7" t="s">
        <v>2619</v>
      </c>
      <c r="F1101" s="7" t="s">
        <v>2611</v>
      </c>
      <c r="G1101" s="7" t="n">
        <v>2019</v>
      </c>
      <c r="H1101" s="7" t="s">
        <v>48</v>
      </c>
      <c r="I1101" s="7" t="s">
        <v>173</v>
      </c>
      <c r="J1101" s="7" t="s">
        <v>150</v>
      </c>
      <c r="K1101" s="7" t="n">
        <f aca="false">IFERROR(VALUE(RIGHT(TRIM(F1101),4)),"")</f>
        <v>2019</v>
      </c>
      <c r="L1101" s="7" t="str">
        <f aca="false">IF(TRIM(E1101)="","Unknown",IFERROR(LEFT(TRIM(E1101),FIND(",",TRIM(E1101))-1),TRIM(E1101)))</f>
        <v>Canada</v>
      </c>
      <c r="M1101" s="7" t="str">
        <f aca="false">IFERROR(LEFT(J1101,FIND(",",J1101)-1),J1101)</f>
        <v>Dramas</v>
      </c>
      <c r="N1101" s="7" t="n">
        <f aca="false">IF(B1101="Movie",IFERROR(VALUE(LEFT(I1101,FIND(" ",I1101)-1)),""),"")</f>
        <v>106</v>
      </c>
      <c r="O1101" s="7" t="str">
        <f aca="false">IF(B1101="TV Show",IFERROR(VALUE(LEFT(I1101,FIND(" ",I1101)-1)),""),"")</f>
        <v/>
      </c>
      <c r="P1101" s="7" t="n">
        <f aca="false">IF(K1101="","",K1101-G1101)</f>
        <v>0</v>
      </c>
    </row>
    <row r="1102" customFormat="false" ht="15" hidden="false" customHeight="false" outlineLevel="0" collapsed="false">
      <c r="A1102" s="7" t="n">
        <v>80175798</v>
      </c>
      <c r="B1102" s="7" t="s">
        <v>68</v>
      </c>
      <c r="C1102" s="7" t="s">
        <v>2620</v>
      </c>
      <c r="D1102" s="7" t="s">
        <v>2052</v>
      </c>
      <c r="E1102" s="7" t="s">
        <v>26</v>
      </c>
      <c r="F1102" s="7" t="s">
        <v>2611</v>
      </c>
      <c r="G1102" s="7" t="n">
        <v>2019</v>
      </c>
      <c r="H1102" s="7" t="s">
        <v>51</v>
      </c>
      <c r="I1102" s="7" t="s">
        <v>2621</v>
      </c>
      <c r="J1102" s="7" t="s">
        <v>37</v>
      </c>
      <c r="K1102" s="7" t="n">
        <f aca="false">IFERROR(VALUE(RIGHT(TRIM(F1102),4)),"")</f>
        <v>2019</v>
      </c>
      <c r="L1102" s="7" t="str">
        <f aca="false">IF(TRIM(E1102)="","Unknown",IFERROR(LEFT(TRIM(E1102),FIND(",",TRIM(E1102))-1),TRIM(E1102)))</f>
        <v>United States</v>
      </c>
      <c r="M1102" s="7" t="str">
        <f aca="false">IFERROR(LEFT(J1102,FIND(",",J1102)-1),J1102)</f>
        <v>Dramas</v>
      </c>
      <c r="N1102" s="7" t="n">
        <f aca="false">IF(B1102="Movie",IFERROR(VALUE(LEFT(I1102,FIND(" ",I1102)-1)),""),"")</f>
        <v>209</v>
      </c>
      <c r="O1102" s="7" t="str">
        <f aca="false">IF(B1102="TV Show",IFERROR(VALUE(LEFT(I1102,FIND(" ",I1102)-1)),""),"")</f>
        <v/>
      </c>
      <c r="P1102" s="7" t="n">
        <f aca="false">IF(K1102="","",K1102-G1102)</f>
        <v>0</v>
      </c>
    </row>
    <row r="1103" customFormat="false" ht="15" hidden="false" customHeight="false" outlineLevel="0" collapsed="false">
      <c r="A1103" s="7" t="n">
        <v>80216094</v>
      </c>
      <c r="B1103" s="7" t="s">
        <v>78</v>
      </c>
      <c r="C1103" s="7" t="s">
        <v>2622</v>
      </c>
      <c r="E1103" s="7" t="s">
        <v>26</v>
      </c>
      <c r="F1103" s="7" t="s">
        <v>2623</v>
      </c>
      <c r="G1103" s="7" t="n">
        <v>2018</v>
      </c>
      <c r="H1103" s="7" t="s">
        <v>48</v>
      </c>
      <c r="I1103" s="7" t="s">
        <v>82</v>
      </c>
      <c r="J1103" s="7" t="s">
        <v>795</v>
      </c>
      <c r="K1103" s="7" t="n">
        <f aca="false">IFERROR(VALUE(RIGHT(TRIM(F1103),4)),"")</f>
        <v>2018</v>
      </c>
      <c r="L1103" s="7" t="str">
        <f aca="false">IF(TRIM(E1103)="","Unknown",IFERROR(LEFT(TRIM(E1103),FIND(",",TRIM(E1103))-1),TRIM(E1103)))</f>
        <v>United States</v>
      </c>
      <c r="M1103" s="7" t="str">
        <f aca="false">IFERROR(LEFT(J1103,FIND(",",J1103)-1),J1103)</f>
        <v>Stand-Up Comedy &amp; Talk Shows</v>
      </c>
      <c r="N1103" s="7" t="str">
        <f aca="false">IF(B1103="Movie",IFERROR(VALUE(LEFT(I1103,FIND(" ",I1103)-1)),""),"")</f>
        <v/>
      </c>
      <c r="O1103" s="7" t="n">
        <f aca="false">IF(B1103="TV Show",IFERROR(VALUE(LEFT(I1103,FIND(" ",I1103)-1)),""),"")</f>
        <v>1</v>
      </c>
      <c r="P1103" s="7" t="n">
        <f aca="false">IF(K1103="","",K1103-G1103)</f>
        <v>0</v>
      </c>
    </row>
    <row r="1104" customFormat="false" ht="15" hidden="false" customHeight="false" outlineLevel="0" collapsed="false">
      <c r="A1104" s="7" t="n">
        <v>80227995</v>
      </c>
      <c r="B1104" s="7" t="s">
        <v>78</v>
      </c>
      <c r="C1104" s="7" t="s">
        <v>2624</v>
      </c>
      <c r="E1104" s="7" t="s">
        <v>2125</v>
      </c>
      <c r="F1104" s="7" t="s">
        <v>2623</v>
      </c>
      <c r="G1104" s="7" t="n">
        <v>2015</v>
      </c>
      <c r="H1104" s="7" t="s">
        <v>81</v>
      </c>
      <c r="I1104" s="7" t="s">
        <v>82</v>
      </c>
      <c r="J1104" s="7" t="s">
        <v>44</v>
      </c>
      <c r="K1104" s="7" t="n">
        <f aca="false">IFERROR(VALUE(RIGHT(TRIM(F1104),4)),"")</f>
        <v>2018</v>
      </c>
      <c r="L1104" s="7" t="str">
        <f aca="false">IF(TRIM(E1104)="","Unknown",IFERROR(LEFT(TRIM(E1104),FIND(",",TRIM(E1104))-1),TRIM(E1104)))</f>
        <v>United States</v>
      </c>
      <c r="M1104" s="7" t="str">
        <f aca="false">IFERROR(LEFT(J1104,FIND(",",J1104)-1),J1104)</f>
        <v>Kids' TV</v>
      </c>
      <c r="N1104" s="7" t="str">
        <f aca="false">IF(B1104="Movie",IFERROR(VALUE(LEFT(I1104,FIND(" ",I1104)-1)),""),"")</f>
        <v/>
      </c>
      <c r="O1104" s="7" t="n">
        <f aca="false">IF(B1104="TV Show",IFERROR(VALUE(LEFT(I1104,FIND(" ",I1104)-1)),""),"")</f>
        <v>1</v>
      </c>
      <c r="P1104" s="7" t="n">
        <f aca="false">IF(K1104="","",K1104-G1104)</f>
        <v>3</v>
      </c>
    </row>
    <row r="1105" customFormat="false" ht="15" hidden="false" customHeight="false" outlineLevel="0" collapsed="false">
      <c r="A1105" s="7" t="n">
        <v>80239961</v>
      </c>
      <c r="B1105" s="7" t="s">
        <v>68</v>
      </c>
      <c r="C1105" s="7" t="s">
        <v>2625</v>
      </c>
      <c r="D1105" s="7" t="s">
        <v>2626</v>
      </c>
      <c r="E1105" s="7" t="s">
        <v>2627</v>
      </c>
      <c r="F1105" s="7" t="s">
        <v>2623</v>
      </c>
      <c r="G1105" s="7" t="n">
        <v>2018</v>
      </c>
      <c r="H1105" s="7" t="s">
        <v>48</v>
      </c>
      <c r="I1105" s="7" t="s">
        <v>594</v>
      </c>
      <c r="J1105" s="7" t="s">
        <v>322</v>
      </c>
      <c r="K1105" s="7" t="n">
        <f aca="false">IFERROR(VALUE(RIGHT(TRIM(F1105),4)),"")</f>
        <v>2018</v>
      </c>
      <c r="L1105" s="7" t="str">
        <f aca="false">IF(TRIM(E1105)="","Unknown",IFERROR(LEFT(TRIM(E1105),FIND(",",TRIM(E1105))-1),TRIM(E1105)))</f>
        <v>China</v>
      </c>
      <c r="M1105" s="7" t="str">
        <f aca="false">IFERROR(LEFT(J1105,FIND(",",J1105)-1),J1105)</f>
        <v>Action &amp; Adventure</v>
      </c>
      <c r="N1105" s="7" t="n">
        <f aca="false">IF(B1105="Movie",IFERROR(VALUE(LEFT(I1105,FIND(" ",I1105)-1)),""),"")</f>
        <v>139</v>
      </c>
      <c r="O1105" s="7" t="str">
        <f aca="false">IF(B1105="TV Show",IFERROR(VALUE(LEFT(I1105,FIND(" ",I1105)-1)),""),"")</f>
        <v/>
      </c>
      <c r="P1105" s="7" t="n">
        <f aca="false">IF(K1105="","",K1105-G1105)</f>
        <v>0</v>
      </c>
    </row>
    <row r="1106" customFormat="false" ht="15" hidden="false" customHeight="false" outlineLevel="0" collapsed="false">
      <c r="A1106" s="7" t="n">
        <v>80219019</v>
      </c>
      <c r="B1106" s="7" t="s">
        <v>68</v>
      </c>
      <c r="C1106" s="7" t="s">
        <v>2628</v>
      </c>
      <c r="D1106" s="7" t="s">
        <v>2629</v>
      </c>
      <c r="E1106" s="7" t="s">
        <v>27</v>
      </c>
      <c r="F1106" s="7" t="s">
        <v>2630</v>
      </c>
      <c r="G1106" s="7" t="n">
        <v>2017</v>
      </c>
      <c r="H1106" s="7" t="s">
        <v>52</v>
      </c>
      <c r="I1106" s="7" t="s">
        <v>261</v>
      </c>
      <c r="J1106" s="7" t="s">
        <v>202</v>
      </c>
      <c r="K1106" s="7" t="n">
        <f aca="false">IFERROR(VALUE(RIGHT(TRIM(F1106),4)),"")</f>
        <v>2017</v>
      </c>
      <c r="L1106" s="7" t="str">
        <f aca="false">IF(TRIM(E1106)="","Unknown",IFERROR(LEFT(TRIM(E1106),FIND(",",TRIM(E1106))-1),TRIM(E1106)))</f>
        <v>India</v>
      </c>
      <c r="M1106" s="7" t="str">
        <f aca="false">IFERROR(LEFT(J1106,FIND(",",J1106)-1),J1106)</f>
        <v>Comedies</v>
      </c>
      <c r="N1106" s="7" t="n">
        <f aca="false">IF(B1106="Movie",IFERROR(VALUE(LEFT(I1106,FIND(" ",I1106)-1)),""),"")</f>
        <v>128</v>
      </c>
      <c r="O1106" s="7" t="str">
        <f aca="false">IF(B1106="TV Show",IFERROR(VALUE(LEFT(I1106,FIND(" ",I1106)-1)),""),"")</f>
        <v/>
      </c>
      <c r="P1106" s="7" t="n">
        <f aca="false">IF(K1106="","",K1106-G1106)</f>
        <v>0</v>
      </c>
    </row>
    <row r="1107" customFormat="false" ht="15" hidden="false" customHeight="false" outlineLevel="0" collapsed="false">
      <c r="A1107" s="7" t="n">
        <v>81062293</v>
      </c>
      <c r="B1107" s="7" t="s">
        <v>68</v>
      </c>
      <c r="C1107" s="7" t="s">
        <v>2631</v>
      </c>
      <c r="D1107" s="7" t="s">
        <v>2632</v>
      </c>
      <c r="E1107" s="7" t="s">
        <v>26</v>
      </c>
      <c r="F1107" s="7" t="s">
        <v>2633</v>
      </c>
      <c r="G1107" s="7" t="n">
        <v>2019</v>
      </c>
      <c r="H1107" s="7" t="s">
        <v>48</v>
      </c>
      <c r="I1107" s="7" t="s">
        <v>212</v>
      </c>
      <c r="J1107" s="7" t="s">
        <v>45</v>
      </c>
      <c r="K1107" s="7" t="n">
        <f aca="false">IFERROR(VALUE(RIGHT(TRIM(F1107),4)),"")</f>
        <v>2019</v>
      </c>
      <c r="L1107" s="7" t="str">
        <f aca="false">IF(TRIM(E1107)="","Unknown",IFERROR(LEFT(TRIM(E1107),FIND(",",TRIM(E1107))-1),TRIM(E1107)))</f>
        <v>United States</v>
      </c>
      <c r="M1107" s="7" t="str">
        <f aca="false">IFERROR(LEFT(J1107,FIND(",",J1107)-1),J1107)</f>
        <v>Stand-Up Comedy</v>
      </c>
      <c r="N1107" s="7" t="n">
        <f aca="false">IF(B1107="Movie",IFERROR(VALUE(LEFT(I1107,FIND(" ",I1107)-1)),""),"")</f>
        <v>86</v>
      </c>
      <c r="O1107" s="7" t="str">
        <f aca="false">IF(B1107="TV Show",IFERROR(VALUE(LEFT(I1107,FIND(" ",I1107)-1)),""),"")</f>
        <v/>
      </c>
      <c r="P1107" s="7" t="n">
        <f aca="false">IF(K1107="","",K1107-G1107)</f>
        <v>0</v>
      </c>
    </row>
    <row r="1108" customFormat="false" ht="15" hidden="false" customHeight="false" outlineLevel="0" collapsed="false">
      <c r="A1108" s="7" t="n">
        <v>80235524</v>
      </c>
      <c r="B1108" s="7" t="s">
        <v>68</v>
      </c>
      <c r="C1108" s="7" t="s">
        <v>2634</v>
      </c>
      <c r="D1108" s="7" t="s">
        <v>2635</v>
      </c>
      <c r="E1108" s="7" t="s">
        <v>26</v>
      </c>
      <c r="F1108" s="7" t="s">
        <v>2633</v>
      </c>
      <c r="G1108" s="7" t="n">
        <v>2019</v>
      </c>
      <c r="H1108" s="7" t="s">
        <v>119</v>
      </c>
      <c r="I1108" s="7" t="s">
        <v>373</v>
      </c>
      <c r="J1108" s="7" t="s">
        <v>42</v>
      </c>
      <c r="K1108" s="7" t="n">
        <f aca="false">IFERROR(VALUE(RIGHT(TRIM(F1108),4)),"")</f>
        <v>2019</v>
      </c>
      <c r="L1108" s="7" t="str">
        <f aca="false">IF(TRIM(E1108)="","Unknown",IFERROR(LEFT(TRIM(E1108),FIND(",",TRIM(E1108))-1),TRIM(E1108)))</f>
        <v>United States</v>
      </c>
      <c r="M1108" s="7" t="str">
        <f aca="false">IFERROR(LEFT(J1108,FIND(",",J1108)-1),J1108)</f>
        <v>Children &amp; Family Movies</v>
      </c>
      <c r="N1108" s="7" t="n">
        <f aca="false">IF(B1108="Movie",IFERROR(VALUE(LEFT(I1108,FIND(" ",I1108)-1)),""),"")</f>
        <v>24</v>
      </c>
      <c r="O1108" s="7" t="str">
        <f aca="false">IF(B1108="TV Show",IFERROR(VALUE(LEFT(I1108,FIND(" ",I1108)-1)),""),"")</f>
        <v/>
      </c>
      <c r="P1108" s="7" t="n">
        <f aca="false">IF(K1108="","",K1108-G1108)</f>
        <v>0</v>
      </c>
    </row>
    <row r="1109" customFormat="false" ht="15" hidden="false" customHeight="false" outlineLevel="0" collapsed="false">
      <c r="A1109" s="7" t="n">
        <v>81035121</v>
      </c>
      <c r="B1109" s="7" t="s">
        <v>68</v>
      </c>
      <c r="C1109" s="7" t="s">
        <v>2636</v>
      </c>
      <c r="F1109" s="7" t="s">
        <v>2633</v>
      </c>
      <c r="G1109" s="7" t="n">
        <v>2019</v>
      </c>
      <c r="H1109" s="7" t="s">
        <v>119</v>
      </c>
      <c r="I1109" s="7" t="s">
        <v>1175</v>
      </c>
      <c r="J1109" s="7" t="s">
        <v>10</v>
      </c>
      <c r="K1109" s="7" t="n">
        <f aca="false">IFERROR(VALUE(RIGHT(TRIM(F1109),4)),"")</f>
        <v>2019</v>
      </c>
      <c r="L1109" s="7" t="str">
        <f aca="false">IF(TRIM(E1109)="","Unknown",IFERROR(LEFT(TRIM(E1109),FIND(",",TRIM(E1109))-1),TRIM(E1109)))</f>
        <v>Unknown</v>
      </c>
      <c r="M1109" s="7" t="str">
        <f aca="false">IFERROR(LEFT(J1109,FIND(",",J1109)-1),J1109)</f>
        <v>Movies</v>
      </c>
      <c r="N1109" s="7" t="n">
        <f aca="false">IF(B1109="Movie",IFERROR(VALUE(LEFT(I1109,FIND(" ",I1109)-1)),""),"")</f>
        <v>46</v>
      </c>
      <c r="O1109" s="7" t="str">
        <f aca="false">IF(B1109="TV Show",IFERROR(VALUE(LEFT(I1109,FIND(" ",I1109)-1)),""),"")</f>
        <v/>
      </c>
      <c r="P1109" s="7" t="n">
        <f aca="false">IF(K1109="","",K1109-G1109)</f>
        <v>0</v>
      </c>
    </row>
    <row r="1110" customFormat="false" ht="15" hidden="false" customHeight="false" outlineLevel="0" collapsed="false">
      <c r="A1110" s="7" t="n">
        <v>81140259</v>
      </c>
      <c r="B1110" s="7" t="s">
        <v>78</v>
      </c>
      <c r="C1110" s="7" t="s">
        <v>2637</v>
      </c>
      <c r="E1110" s="7" t="s">
        <v>34</v>
      </c>
      <c r="F1110" s="7" t="s">
        <v>2633</v>
      </c>
      <c r="G1110" s="7" t="n">
        <v>2019</v>
      </c>
      <c r="H1110" s="7" t="s">
        <v>48</v>
      </c>
      <c r="I1110" s="7" t="s">
        <v>82</v>
      </c>
      <c r="J1110" s="7" t="s">
        <v>2638</v>
      </c>
      <c r="K1110" s="7" t="n">
        <f aca="false">IFERROR(VALUE(RIGHT(TRIM(F1110),4)),"")</f>
        <v>2019</v>
      </c>
      <c r="L1110" s="7" t="str">
        <f aca="false">IF(TRIM(E1110)="","Unknown",IFERROR(LEFT(TRIM(E1110),FIND(",",TRIM(E1110))-1),TRIM(E1110)))</f>
        <v>Mexico</v>
      </c>
      <c r="M1110" s="7" t="str">
        <f aca="false">IFERROR(LEFT(J1110,FIND(",",J1110)-1),J1110)</f>
        <v>International TV Shows</v>
      </c>
      <c r="N1110" s="7" t="str">
        <f aca="false">IF(B1110="Movie",IFERROR(VALUE(LEFT(I1110,FIND(" ",I1110)-1)),""),"")</f>
        <v/>
      </c>
      <c r="O1110" s="7" t="n">
        <f aca="false">IF(B1110="TV Show",IFERROR(VALUE(LEFT(I1110,FIND(" ",I1110)-1)),""),"")</f>
        <v>1</v>
      </c>
      <c r="P1110" s="7" t="n">
        <f aca="false">IF(K1110="","",K1110-G1110)</f>
        <v>0</v>
      </c>
    </row>
    <row r="1111" customFormat="false" ht="15" hidden="false" customHeight="false" outlineLevel="0" collapsed="false">
      <c r="A1111" s="7" t="n">
        <v>80241855</v>
      </c>
      <c r="B1111" s="7" t="s">
        <v>78</v>
      </c>
      <c r="C1111" s="7" t="s">
        <v>2639</v>
      </c>
      <c r="E1111" s="7" t="s">
        <v>26</v>
      </c>
      <c r="F1111" s="7" t="s">
        <v>2640</v>
      </c>
      <c r="G1111" s="7" t="n">
        <v>2018</v>
      </c>
      <c r="H1111" s="7" t="s">
        <v>49</v>
      </c>
      <c r="I1111" s="7" t="s">
        <v>82</v>
      </c>
      <c r="J1111" s="7" t="s">
        <v>282</v>
      </c>
      <c r="K1111" s="7" t="n">
        <f aca="false">IFERROR(VALUE(RIGHT(TRIM(F1111),4)),"")</f>
        <v>2019</v>
      </c>
      <c r="L1111" s="7" t="str">
        <f aca="false">IF(TRIM(E1111)="","Unknown",IFERROR(LEFT(TRIM(E1111),FIND(",",TRIM(E1111))-1),TRIM(E1111)))</f>
        <v>United States</v>
      </c>
      <c r="M1111" s="7" t="str">
        <f aca="false">IFERROR(LEFT(J1111,FIND(",",J1111)-1),J1111)</f>
        <v>Crime TV Shows</v>
      </c>
      <c r="N1111" s="7" t="str">
        <f aca="false">IF(B1111="Movie",IFERROR(VALUE(LEFT(I1111,FIND(" ",I1111)-1)),""),"")</f>
        <v/>
      </c>
      <c r="O1111" s="7" t="n">
        <f aca="false">IF(B1111="TV Show",IFERROR(VALUE(LEFT(I1111,FIND(" ",I1111)-1)),""),"")</f>
        <v>1</v>
      </c>
      <c r="P1111" s="7" t="n">
        <f aca="false">IF(K1111="","",K1111-G1111)</f>
        <v>1</v>
      </c>
    </row>
    <row r="1112" customFormat="false" ht="15" hidden="false" customHeight="false" outlineLevel="0" collapsed="false">
      <c r="A1112" s="7" t="n">
        <v>81215481</v>
      </c>
      <c r="B1112" s="7" t="s">
        <v>68</v>
      </c>
      <c r="C1112" s="7" t="s">
        <v>2641</v>
      </c>
      <c r="D1112" s="7" t="s">
        <v>2642</v>
      </c>
      <c r="E1112" s="7" t="s">
        <v>27</v>
      </c>
      <c r="F1112" s="7" t="s">
        <v>2640</v>
      </c>
      <c r="G1112" s="7" t="n">
        <v>2019</v>
      </c>
      <c r="H1112" s="7" t="s">
        <v>48</v>
      </c>
      <c r="I1112" s="7" t="s">
        <v>386</v>
      </c>
      <c r="J1112" s="7" t="s">
        <v>112</v>
      </c>
      <c r="K1112" s="7" t="n">
        <f aca="false">IFERROR(VALUE(RIGHT(TRIM(F1112),4)),"")</f>
        <v>2019</v>
      </c>
      <c r="L1112" s="7" t="str">
        <f aca="false">IF(TRIM(E1112)="","Unknown",IFERROR(LEFT(TRIM(E1112),FIND(",",TRIM(E1112))-1),TRIM(E1112)))</f>
        <v>India</v>
      </c>
      <c r="M1112" s="7" t="str">
        <f aca="false">IFERROR(LEFT(J1112,FIND(",",J1112)-1),J1112)</f>
        <v>Action &amp; Adventure</v>
      </c>
      <c r="N1112" s="7" t="n">
        <f aca="false">IF(B1112="Movie",IFERROR(VALUE(LEFT(I1112,FIND(" ",I1112)-1)),""),"")</f>
        <v>117</v>
      </c>
      <c r="O1112" s="7" t="str">
        <f aca="false">IF(B1112="TV Show",IFERROR(VALUE(LEFT(I1112,FIND(" ",I1112)-1)),""),"")</f>
        <v/>
      </c>
      <c r="P1112" s="7" t="n">
        <f aca="false">IF(K1112="","",K1112-G1112)</f>
        <v>0</v>
      </c>
    </row>
    <row r="1113" customFormat="false" ht="15" hidden="false" customHeight="false" outlineLevel="0" collapsed="false">
      <c r="A1113" s="7" t="n">
        <v>81005044</v>
      </c>
      <c r="B1113" s="7" t="s">
        <v>68</v>
      </c>
      <c r="C1113" s="7" t="s">
        <v>2643</v>
      </c>
      <c r="D1113" s="7" t="s">
        <v>2644</v>
      </c>
      <c r="F1113" s="7" t="s">
        <v>2640</v>
      </c>
      <c r="G1113" s="7" t="n">
        <v>2019</v>
      </c>
      <c r="H1113" s="7" t="s">
        <v>48</v>
      </c>
      <c r="I1113" s="7" t="s">
        <v>494</v>
      </c>
      <c r="J1113" s="7" t="s">
        <v>341</v>
      </c>
      <c r="K1113" s="7" t="n">
        <f aca="false">IFERROR(VALUE(RIGHT(TRIM(F1113),4)),"")</f>
        <v>2019</v>
      </c>
      <c r="L1113" s="7" t="str">
        <f aca="false">IF(TRIM(E1113)="","Unknown",IFERROR(LEFT(TRIM(E1113),FIND(",",TRIM(E1113))-1),TRIM(E1113)))</f>
        <v>Unknown</v>
      </c>
      <c r="M1113" s="7" t="str">
        <f aca="false">IFERROR(LEFT(J1113,FIND(",",J1113)-1),J1113)</f>
        <v>Documentaries</v>
      </c>
      <c r="N1113" s="7" t="n">
        <f aca="false">IF(B1113="Movie",IFERROR(VALUE(LEFT(I1113,FIND(" ",I1113)-1)),""),"")</f>
        <v>87</v>
      </c>
      <c r="O1113" s="7" t="str">
        <f aca="false">IF(B1113="TV Show",IFERROR(VALUE(LEFT(I1113,FIND(" ",I1113)-1)),""),"")</f>
        <v/>
      </c>
      <c r="P1113" s="7" t="n">
        <f aca="false">IF(K1113="","",K1113-G1113)</f>
        <v>0</v>
      </c>
    </row>
    <row r="1114" customFormat="false" ht="15" hidden="false" customHeight="false" outlineLevel="0" collapsed="false">
      <c r="A1114" s="7" t="n">
        <v>80147529</v>
      </c>
      <c r="B1114" s="7" t="s">
        <v>68</v>
      </c>
      <c r="C1114" s="7" t="s">
        <v>2645</v>
      </c>
      <c r="D1114" s="7" t="s">
        <v>2646</v>
      </c>
      <c r="E1114" s="7" t="s">
        <v>26</v>
      </c>
      <c r="F1114" s="7" t="s">
        <v>2647</v>
      </c>
      <c r="G1114" s="7" t="n">
        <v>2015</v>
      </c>
      <c r="H1114" s="7" t="s">
        <v>49</v>
      </c>
      <c r="I1114" s="7" t="s">
        <v>111</v>
      </c>
      <c r="J1114" s="7" t="s">
        <v>39</v>
      </c>
      <c r="K1114" s="7" t="n">
        <f aca="false">IFERROR(VALUE(RIGHT(TRIM(F1114),4)),"")</f>
        <v>2018</v>
      </c>
      <c r="L1114" s="7" t="str">
        <f aca="false">IF(TRIM(E1114)="","Unknown",IFERROR(LEFT(TRIM(E1114),FIND(",",TRIM(E1114))-1),TRIM(E1114)))</f>
        <v>United States</v>
      </c>
      <c r="M1114" s="7" t="str">
        <f aca="false">IFERROR(LEFT(J1114,FIND(",",J1114)-1),J1114)</f>
        <v>Documentaries</v>
      </c>
      <c r="N1114" s="7" t="n">
        <f aca="false">IF(B1114="Movie",IFERROR(VALUE(LEFT(I1114,FIND(" ",I1114)-1)),""),"")</f>
        <v>95</v>
      </c>
      <c r="O1114" s="7" t="str">
        <f aca="false">IF(B1114="TV Show",IFERROR(VALUE(LEFT(I1114,FIND(" ",I1114)-1)),""),"")</f>
        <v/>
      </c>
      <c r="P1114" s="7" t="n">
        <f aca="false">IF(K1114="","",K1114-G1114)</f>
        <v>3</v>
      </c>
    </row>
    <row r="1115" customFormat="false" ht="15" hidden="false" customHeight="false" outlineLevel="0" collapsed="false">
      <c r="A1115" s="7" t="n">
        <v>81018860</v>
      </c>
      <c r="B1115" s="7" t="s">
        <v>68</v>
      </c>
      <c r="C1115" s="7" t="s">
        <v>2648</v>
      </c>
      <c r="D1115" s="7" t="s">
        <v>2649</v>
      </c>
      <c r="E1115" s="7" t="s">
        <v>26</v>
      </c>
      <c r="F1115" s="7" t="s">
        <v>2647</v>
      </c>
      <c r="G1115" s="7" t="n">
        <v>2018</v>
      </c>
      <c r="H1115" s="7" t="s">
        <v>119</v>
      </c>
      <c r="I1115" s="7" t="s">
        <v>2198</v>
      </c>
      <c r="J1115" s="7" t="s">
        <v>42</v>
      </c>
      <c r="K1115" s="7" t="n">
        <f aca="false">IFERROR(VALUE(RIGHT(TRIM(F1115),4)),"")</f>
        <v>2018</v>
      </c>
      <c r="L1115" s="7" t="str">
        <f aca="false">IF(TRIM(E1115)="","Unknown",IFERROR(LEFT(TRIM(E1115),FIND(",",TRIM(E1115))-1),TRIM(E1115)))</f>
        <v>United States</v>
      </c>
      <c r="M1115" s="7" t="str">
        <f aca="false">IFERROR(LEFT(J1115,FIND(",",J1115)-1),J1115)</f>
        <v>Children &amp; Family Movies</v>
      </c>
      <c r="N1115" s="7" t="n">
        <f aca="false">IF(B1115="Movie",IFERROR(VALUE(LEFT(I1115,FIND(" ",I1115)-1)),""),"")</f>
        <v>44</v>
      </c>
      <c r="O1115" s="7" t="str">
        <f aca="false">IF(B1115="TV Show",IFERROR(VALUE(LEFT(I1115,FIND(" ",I1115)-1)),""),"")</f>
        <v/>
      </c>
      <c r="P1115" s="7" t="n">
        <f aca="false">IF(K1115="","",K1115-G1115)</f>
        <v>0</v>
      </c>
    </row>
    <row r="1116" customFormat="false" ht="15" hidden="false" customHeight="false" outlineLevel="0" collapsed="false">
      <c r="A1116" s="7" t="n">
        <v>80217495</v>
      </c>
      <c r="B1116" s="7" t="s">
        <v>68</v>
      </c>
      <c r="C1116" s="7" t="s">
        <v>2650</v>
      </c>
      <c r="D1116" s="7" t="s">
        <v>2651</v>
      </c>
      <c r="E1116" s="7" t="s">
        <v>2652</v>
      </c>
      <c r="F1116" s="7" t="s">
        <v>2653</v>
      </c>
      <c r="G1116" s="7" t="n">
        <v>2017</v>
      </c>
      <c r="H1116" s="7" t="s">
        <v>50</v>
      </c>
      <c r="I1116" s="7" t="s">
        <v>661</v>
      </c>
      <c r="J1116" s="7" t="s">
        <v>341</v>
      </c>
      <c r="K1116" s="7" t="n">
        <f aca="false">IFERROR(VALUE(RIGHT(TRIM(F1116),4)),"")</f>
        <v>2017</v>
      </c>
      <c r="L1116" s="7" t="str">
        <f aca="false">IF(TRIM(E1116)="","Unknown",IFERROR(LEFT(TRIM(E1116),FIND(",",TRIM(E1116))-1),TRIM(E1116)))</f>
        <v>Uruguay</v>
      </c>
      <c r="M1116" s="7" t="str">
        <f aca="false">IFERROR(LEFT(J1116,FIND(",",J1116)-1),J1116)</f>
        <v>Documentaries</v>
      </c>
      <c r="N1116" s="7" t="n">
        <f aca="false">IF(B1116="Movie",IFERROR(VALUE(LEFT(I1116,FIND(" ",I1116)-1)),""),"")</f>
        <v>76</v>
      </c>
      <c r="O1116" s="7" t="str">
        <f aca="false">IF(B1116="TV Show",IFERROR(VALUE(LEFT(I1116,FIND(" ",I1116)-1)),""),"")</f>
        <v/>
      </c>
      <c r="P1116" s="7" t="n">
        <f aca="false">IF(K1116="","",K1116-G1116)</f>
        <v>0</v>
      </c>
    </row>
    <row r="1117" customFormat="false" ht="15" hidden="false" customHeight="false" outlineLevel="0" collapsed="false">
      <c r="A1117" s="7" t="n">
        <v>80141787</v>
      </c>
      <c r="B1117" s="7" t="s">
        <v>68</v>
      </c>
      <c r="C1117" s="7" t="s">
        <v>2654</v>
      </c>
      <c r="D1117" s="7" t="s">
        <v>2655</v>
      </c>
      <c r="E1117" s="7" t="s">
        <v>34</v>
      </c>
      <c r="F1117" s="7" t="s">
        <v>2656</v>
      </c>
      <c r="G1117" s="7" t="n">
        <v>2016</v>
      </c>
      <c r="H1117" s="7" t="s">
        <v>48</v>
      </c>
      <c r="I1117" s="7" t="s">
        <v>311</v>
      </c>
      <c r="J1117" s="7" t="s">
        <v>341</v>
      </c>
      <c r="K1117" s="7" t="n">
        <f aca="false">IFERROR(VALUE(RIGHT(TRIM(F1117),4)),"")</f>
        <v>2016</v>
      </c>
      <c r="L1117" s="7" t="str">
        <f aca="false">IF(TRIM(E1117)="","Unknown",IFERROR(LEFT(TRIM(E1117),FIND(",",TRIM(E1117))-1),TRIM(E1117)))</f>
        <v>Mexico</v>
      </c>
      <c r="M1117" s="7" t="str">
        <f aca="false">IFERROR(LEFT(J1117,FIND(",",J1117)-1),J1117)</f>
        <v>Documentaries</v>
      </c>
      <c r="N1117" s="7" t="n">
        <f aca="false">IF(B1117="Movie",IFERROR(VALUE(LEFT(I1117,FIND(" ",I1117)-1)),""),"")</f>
        <v>92</v>
      </c>
      <c r="O1117" s="7" t="str">
        <f aca="false">IF(B1117="TV Show",IFERROR(VALUE(LEFT(I1117,FIND(" ",I1117)-1)),""),"")</f>
        <v/>
      </c>
      <c r="P1117" s="7" t="n">
        <f aca="false">IF(K1117="","",K1117-G1117)</f>
        <v>0</v>
      </c>
    </row>
    <row r="1118" customFormat="false" ht="15" hidden="false" customHeight="false" outlineLevel="0" collapsed="false">
      <c r="A1118" s="7" t="n">
        <v>80109415</v>
      </c>
      <c r="B1118" s="7" t="s">
        <v>78</v>
      </c>
      <c r="C1118" s="7" t="s">
        <v>2657</v>
      </c>
      <c r="E1118" s="7" t="s">
        <v>26</v>
      </c>
      <c r="F1118" s="7" t="s">
        <v>2656</v>
      </c>
      <c r="G1118" s="7" t="n">
        <v>2016</v>
      </c>
      <c r="H1118" s="7" t="s">
        <v>49</v>
      </c>
      <c r="I1118" s="7" t="s">
        <v>82</v>
      </c>
      <c r="J1118" s="7" t="s">
        <v>408</v>
      </c>
      <c r="K1118" s="7" t="n">
        <f aca="false">IFERROR(VALUE(RIGHT(TRIM(F1118),4)),"")</f>
        <v>2016</v>
      </c>
      <c r="L1118" s="7" t="str">
        <f aca="false">IF(TRIM(E1118)="","Unknown",IFERROR(LEFT(TRIM(E1118),FIND(",",TRIM(E1118))-1),TRIM(E1118)))</f>
        <v>United States</v>
      </c>
      <c r="M1118" s="7" t="str">
        <f aca="false">IFERROR(LEFT(J1118,FIND(",",J1118)-1),J1118)</f>
        <v>TV Comedies</v>
      </c>
      <c r="N1118" s="7" t="str">
        <f aca="false">IF(B1118="Movie",IFERROR(VALUE(LEFT(I1118,FIND(" ",I1118)-1)),""),"")</f>
        <v/>
      </c>
      <c r="O1118" s="7" t="n">
        <f aca="false">IF(B1118="TV Show",IFERROR(VALUE(LEFT(I1118,FIND(" ",I1118)-1)),""),"")</f>
        <v>1</v>
      </c>
      <c r="P1118" s="7" t="n">
        <f aca="false">IF(K1118="","",K1118-G1118)</f>
        <v>0</v>
      </c>
    </row>
    <row r="1119" customFormat="false" ht="15" hidden="false" customHeight="false" outlineLevel="0" collapsed="false">
      <c r="A1119" s="7" t="n">
        <v>80049871</v>
      </c>
      <c r="B1119" s="7" t="s">
        <v>68</v>
      </c>
      <c r="C1119" s="7" t="s">
        <v>2658</v>
      </c>
      <c r="D1119" s="7" t="s">
        <v>2659</v>
      </c>
      <c r="E1119" s="7" t="s">
        <v>26</v>
      </c>
      <c r="F1119" s="7" t="s">
        <v>2656</v>
      </c>
      <c r="G1119" s="7" t="n">
        <v>2016</v>
      </c>
      <c r="H1119" s="7" t="s">
        <v>48</v>
      </c>
      <c r="I1119" s="7" t="s">
        <v>123</v>
      </c>
      <c r="J1119" s="7" t="s">
        <v>45</v>
      </c>
      <c r="K1119" s="7" t="n">
        <f aca="false">IFERROR(VALUE(RIGHT(TRIM(F1119),4)),"")</f>
        <v>2016</v>
      </c>
      <c r="L1119" s="7" t="str">
        <f aca="false">IF(TRIM(E1119)="","Unknown",IFERROR(LEFT(TRIM(E1119),FIND(",",TRIM(E1119))-1),TRIM(E1119)))</f>
        <v>United States</v>
      </c>
      <c r="M1119" s="7" t="str">
        <f aca="false">IFERROR(LEFT(J1119,FIND(",",J1119)-1),J1119)</f>
        <v>Stand-Up Comedy</v>
      </c>
      <c r="N1119" s="7" t="n">
        <f aca="false">IF(B1119="Movie",IFERROR(VALUE(LEFT(I1119,FIND(" ",I1119)-1)),""),"")</f>
        <v>61</v>
      </c>
      <c r="O1119" s="7" t="str">
        <f aca="false">IF(B1119="TV Show",IFERROR(VALUE(LEFT(I1119,FIND(" ",I1119)-1)),""),"")</f>
        <v/>
      </c>
      <c r="P1119" s="7" t="n">
        <f aca="false">IF(K1119="","",K1119-G1119)</f>
        <v>0</v>
      </c>
    </row>
    <row r="1120" customFormat="false" ht="15" hidden="false" customHeight="false" outlineLevel="0" collapsed="false">
      <c r="A1120" s="7" t="n">
        <v>81218079</v>
      </c>
      <c r="B1120" s="7" t="s">
        <v>68</v>
      </c>
      <c r="C1120" s="7" t="s">
        <v>2660</v>
      </c>
      <c r="D1120" s="7" t="s">
        <v>2661</v>
      </c>
      <c r="E1120" s="7" t="s">
        <v>26</v>
      </c>
      <c r="F1120" s="7" t="s">
        <v>2662</v>
      </c>
      <c r="G1120" s="7" t="n">
        <v>2019</v>
      </c>
      <c r="H1120" s="7" t="s">
        <v>48</v>
      </c>
      <c r="I1120" s="7" t="s">
        <v>311</v>
      </c>
      <c r="J1120" s="7" t="s">
        <v>811</v>
      </c>
      <c r="K1120" s="7" t="n">
        <f aca="false">IFERROR(VALUE(RIGHT(TRIM(F1120),4)),"")</f>
        <v>2019</v>
      </c>
      <c r="L1120" s="7" t="str">
        <f aca="false">IF(TRIM(E1120)="","Unknown",IFERROR(LEFT(TRIM(E1120),FIND(",",TRIM(E1120))-1),TRIM(E1120)))</f>
        <v>United States</v>
      </c>
      <c r="M1120" s="7" t="str">
        <f aca="false">IFERROR(LEFT(J1120,FIND(",",J1120)-1),J1120)</f>
        <v>Thrillers</v>
      </c>
      <c r="N1120" s="7" t="n">
        <f aca="false">IF(B1120="Movie",IFERROR(VALUE(LEFT(I1120,FIND(" ",I1120)-1)),""),"")</f>
        <v>92</v>
      </c>
      <c r="O1120" s="7" t="str">
        <f aca="false">IF(B1120="TV Show",IFERROR(VALUE(LEFT(I1120,FIND(" ",I1120)-1)),""),"")</f>
        <v/>
      </c>
      <c r="P1120" s="7" t="n">
        <f aca="false">IF(K1120="","",K1120-G1120)</f>
        <v>0</v>
      </c>
    </row>
    <row r="1121" customFormat="false" ht="15" hidden="false" customHeight="false" outlineLevel="0" collapsed="false">
      <c r="A1121" s="7" t="n">
        <v>60028294</v>
      </c>
      <c r="B1121" s="7" t="s">
        <v>68</v>
      </c>
      <c r="C1121" s="7" t="s">
        <v>2663</v>
      </c>
      <c r="D1121" s="7" t="s">
        <v>2664</v>
      </c>
      <c r="E1121" s="7" t="s">
        <v>26</v>
      </c>
      <c r="F1121" s="7" t="s">
        <v>2662</v>
      </c>
      <c r="G1121" s="7" t="n">
        <v>1980</v>
      </c>
      <c r="H1121" s="7" t="s">
        <v>54</v>
      </c>
      <c r="I1121" s="7" t="s">
        <v>187</v>
      </c>
      <c r="J1121" s="7" t="s">
        <v>2665</v>
      </c>
      <c r="K1121" s="7" t="n">
        <f aca="false">IFERROR(VALUE(RIGHT(TRIM(F1121),4)),"")</f>
        <v>2019</v>
      </c>
      <c r="L1121" s="7" t="str">
        <f aca="false">IF(TRIM(E1121)="","Unknown",IFERROR(LEFT(TRIM(E1121),FIND(",",TRIM(E1121))-1),TRIM(E1121)))</f>
        <v>United States</v>
      </c>
      <c r="M1121" s="7" t="str">
        <f aca="false">IFERROR(LEFT(J1121,FIND(",",J1121)-1),J1121)</f>
        <v>Action &amp; Adventure</v>
      </c>
      <c r="N1121" s="7" t="n">
        <f aca="false">IF(B1121="Movie",IFERROR(VALUE(LEFT(I1121,FIND(" ",I1121)-1)),""),"")</f>
        <v>114</v>
      </c>
      <c r="O1121" s="7" t="str">
        <f aca="false">IF(B1121="TV Show",IFERROR(VALUE(LEFT(I1121,FIND(" ",I1121)-1)),""),"")</f>
        <v/>
      </c>
      <c r="P1121" s="7" t="n">
        <f aca="false">IF(K1121="","",K1121-G1121)</f>
        <v>39</v>
      </c>
    </row>
    <row r="1122" customFormat="false" ht="15" hidden="false" customHeight="false" outlineLevel="0" collapsed="false">
      <c r="A1122" s="7" t="n">
        <v>80125671</v>
      </c>
      <c r="B1122" s="7" t="s">
        <v>68</v>
      </c>
      <c r="C1122" s="7" t="s">
        <v>2666</v>
      </c>
      <c r="D1122" s="7" t="s">
        <v>2667</v>
      </c>
      <c r="E1122" s="7" t="s">
        <v>26</v>
      </c>
      <c r="F1122" s="7" t="s">
        <v>2662</v>
      </c>
      <c r="G1122" s="7" t="n">
        <v>2017</v>
      </c>
      <c r="H1122" s="7" t="s">
        <v>51</v>
      </c>
      <c r="I1122" s="7" t="s">
        <v>505</v>
      </c>
      <c r="J1122" s="7" t="s">
        <v>597</v>
      </c>
      <c r="K1122" s="7" t="n">
        <f aca="false">IFERROR(VALUE(RIGHT(TRIM(F1122),4)),"")</f>
        <v>2019</v>
      </c>
      <c r="L1122" s="7" t="str">
        <f aca="false">IF(TRIM(E1122)="","Unknown",IFERROR(LEFT(TRIM(E1122),FIND(",",TRIM(E1122))-1),TRIM(E1122)))</f>
        <v>United States</v>
      </c>
      <c r="M1122" s="7" t="str">
        <f aca="false">IFERROR(LEFT(J1122,FIND(",",J1122)-1),J1122)</f>
        <v>Dramas</v>
      </c>
      <c r="N1122" s="7" t="n">
        <f aca="false">IF(B1122="Movie",IFERROR(VALUE(LEFT(I1122,FIND(" ",I1122)-1)),""),"")</f>
        <v>121</v>
      </c>
      <c r="O1122" s="7" t="str">
        <f aca="false">IF(B1122="TV Show",IFERROR(VALUE(LEFT(I1122,FIND(" ",I1122)-1)),""),"")</f>
        <v/>
      </c>
      <c r="P1122" s="7" t="n">
        <f aca="false">IF(K1122="","",K1122-G1122)</f>
        <v>2</v>
      </c>
    </row>
    <row r="1123" customFormat="false" ht="15" hidden="false" customHeight="false" outlineLevel="0" collapsed="false">
      <c r="A1123" s="7" t="n">
        <v>80198001</v>
      </c>
      <c r="B1123" s="7" t="s">
        <v>78</v>
      </c>
      <c r="C1123" s="7" t="s">
        <v>2668</v>
      </c>
      <c r="E1123" s="7" t="s">
        <v>32</v>
      </c>
      <c r="F1123" s="7" t="s">
        <v>2662</v>
      </c>
      <c r="G1123" s="7" t="n">
        <v>2017</v>
      </c>
      <c r="H1123" s="7" t="s">
        <v>49</v>
      </c>
      <c r="I1123" s="7" t="s">
        <v>82</v>
      </c>
      <c r="J1123" s="7" t="s">
        <v>1877</v>
      </c>
      <c r="K1123" s="7" t="n">
        <f aca="false">IFERROR(VALUE(RIGHT(TRIM(F1123),4)),"")</f>
        <v>2019</v>
      </c>
      <c r="L1123" s="7" t="str">
        <f aca="false">IF(TRIM(E1123)="","Unknown",IFERROR(LEFT(TRIM(E1123),FIND(",",TRIM(E1123))-1),TRIM(E1123)))</f>
        <v>South Korea</v>
      </c>
      <c r="M1123" s="7" t="str">
        <f aca="false">IFERROR(LEFT(J1123,FIND(",",J1123)-1),J1123)</f>
        <v>Crime TV Shows</v>
      </c>
      <c r="N1123" s="7" t="str">
        <f aca="false">IF(B1123="Movie",IFERROR(VALUE(LEFT(I1123,FIND(" ",I1123)-1)),""),"")</f>
        <v/>
      </c>
      <c r="O1123" s="7" t="n">
        <f aca="false">IF(B1123="TV Show",IFERROR(VALUE(LEFT(I1123,FIND(" ",I1123)-1)),""),"")</f>
        <v>1</v>
      </c>
      <c r="P1123" s="7" t="n">
        <f aca="false">IF(K1123="","",K1123-G1123)</f>
        <v>2</v>
      </c>
    </row>
    <row r="1124" customFormat="false" ht="15" hidden="false" customHeight="false" outlineLevel="0" collapsed="false">
      <c r="A1124" s="7" t="n">
        <v>80174220</v>
      </c>
      <c r="B1124" s="7" t="s">
        <v>68</v>
      </c>
      <c r="C1124" s="7" t="s">
        <v>2669</v>
      </c>
      <c r="D1124" s="7" t="s">
        <v>2670</v>
      </c>
      <c r="E1124" s="7" t="s">
        <v>26</v>
      </c>
      <c r="F1124" s="7" t="s">
        <v>2671</v>
      </c>
      <c r="G1124" s="7" t="n">
        <v>2017</v>
      </c>
      <c r="H1124" s="7" t="s">
        <v>48</v>
      </c>
      <c r="I1124" s="7" t="s">
        <v>77</v>
      </c>
      <c r="J1124" s="7" t="s">
        <v>759</v>
      </c>
      <c r="K1124" s="7" t="n">
        <f aca="false">IFERROR(VALUE(RIGHT(TRIM(F1124),4)),"")</f>
        <v>2017</v>
      </c>
      <c r="L1124" s="7" t="str">
        <f aca="false">IF(TRIM(E1124)="","Unknown",IFERROR(LEFT(TRIM(E1124),FIND(",",TRIM(E1124))-1),TRIM(E1124)))</f>
        <v>United States</v>
      </c>
      <c r="M1124" s="7" t="str">
        <f aca="false">IFERROR(LEFT(J1124,FIND(",",J1124)-1),J1124)</f>
        <v>Action &amp; Adventure</v>
      </c>
      <c r="N1124" s="7" t="n">
        <f aca="false">IF(B1124="Movie",IFERROR(VALUE(LEFT(I1124,FIND(" ",I1124)-1)),""),"")</f>
        <v>94</v>
      </c>
      <c r="O1124" s="7" t="str">
        <f aca="false">IF(B1124="TV Show",IFERROR(VALUE(LEFT(I1124,FIND(" ",I1124)-1)),""),"")</f>
        <v/>
      </c>
      <c r="P1124" s="7" t="n">
        <f aca="false">IF(K1124="","",K1124-G1124)</f>
        <v>0</v>
      </c>
    </row>
    <row r="1125" customFormat="false" ht="15" hidden="false" customHeight="false" outlineLevel="0" collapsed="false">
      <c r="A1125" s="7" t="n">
        <v>80126449</v>
      </c>
      <c r="B1125" s="7" t="s">
        <v>68</v>
      </c>
      <c r="C1125" s="7" t="s">
        <v>2672</v>
      </c>
      <c r="D1125" s="7" t="s">
        <v>2673</v>
      </c>
      <c r="E1125" s="7" t="s">
        <v>26</v>
      </c>
      <c r="F1125" s="7" t="s">
        <v>2671</v>
      </c>
      <c r="G1125" s="7" t="n">
        <v>2017</v>
      </c>
      <c r="H1125" s="7" t="s">
        <v>49</v>
      </c>
      <c r="I1125" s="7" t="s">
        <v>187</v>
      </c>
      <c r="J1125" s="7" t="s">
        <v>39</v>
      </c>
      <c r="K1125" s="7" t="n">
        <f aca="false">IFERROR(VALUE(RIGHT(TRIM(F1125),4)),"")</f>
        <v>2017</v>
      </c>
      <c r="L1125" s="7" t="str">
        <f aca="false">IF(TRIM(E1125)="","Unknown",IFERROR(LEFT(TRIM(E1125),FIND(",",TRIM(E1125))-1),TRIM(E1125)))</f>
        <v>United States</v>
      </c>
      <c r="M1125" s="7" t="str">
        <f aca="false">IFERROR(LEFT(J1125,FIND(",",J1125)-1),J1125)</f>
        <v>Documentaries</v>
      </c>
      <c r="N1125" s="7" t="n">
        <f aca="false">IF(B1125="Movie",IFERROR(VALUE(LEFT(I1125,FIND(" ",I1125)-1)),""),"")</f>
        <v>114</v>
      </c>
      <c r="O1125" s="7" t="str">
        <f aca="false">IF(B1125="TV Show",IFERROR(VALUE(LEFT(I1125,FIND(" ",I1125)-1)),""),"")</f>
        <v/>
      </c>
      <c r="P1125" s="7" t="n">
        <f aca="false">IF(K1125="","",K1125-G1125)</f>
        <v>0</v>
      </c>
    </row>
    <row r="1126" customFormat="false" ht="15" hidden="false" customHeight="false" outlineLevel="0" collapsed="false">
      <c r="A1126" s="7" t="n">
        <v>80103512</v>
      </c>
      <c r="B1126" s="7" t="s">
        <v>68</v>
      </c>
      <c r="C1126" s="7" t="s">
        <v>2674</v>
      </c>
      <c r="D1126" s="7" t="s">
        <v>2675</v>
      </c>
      <c r="E1126" s="7" t="s">
        <v>33</v>
      </c>
      <c r="F1126" s="7" t="s">
        <v>2671</v>
      </c>
      <c r="G1126" s="7" t="n">
        <v>2016</v>
      </c>
      <c r="H1126" s="7" t="s">
        <v>48</v>
      </c>
      <c r="I1126" s="7" t="s">
        <v>512</v>
      </c>
      <c r="J1126" s="7" t="s">
        <v>188</v>
      </c>
      <c r="K1126" s="7" t="n">
        <f aca="false">IFERROR(VALUE(RIGHT(TRIM(F1126),4)),"")</f>
        <v>2017</v>
      </c>
      <c r="L1126" s="7" t="str">
        <f aca="false">IF(TRIM(E1126)="","Unknown",IFERROR(LEFT(TRIM(E1126),FIND(",",TRIM(E1126))-1),TRIM(E1126)))</f>
        <v>Spain</v>
      </c>
      <c r="M1126" s="7" t="str">
        <f aca="false">IFERROR(LEFT(J1126,FIND(",",J1126)-1),J1126)</f>
        <v>Dramas</v>
      </c>
      <c r="N1126" s="7" t="n">
        <f aca="false">IF(B1126="Movie",IFERROR(VALUE(LEFT(I1126,FIND(" ",I1126)-1)),""),"")</f>
        <v>101</v>
      </c>
      <c r="O1126" s="7" t="str">
        <f aca="false">IF(B1126="TV Show",IFERROR(VALUE(LEFT(I1126,FIND(" ",I1126)-1)),""),"")</f>
        <v/>
      </c>
      <c r="P1126" s="7" t="n">
        <f aca="false">IF(K1126="","",K1126-G1126)</f>
        <v>1</v>
      </c>
    </row>
    <row r="1127" customFormat="false" ht="15" hidden="false" customHeight="false" outlineLevel="0" collapsed="false">
      <c r="A1127" s="7" t="n">
        <v>80199051</v>
      </c>
      <c r="B1127" s="7" t="s">
        <v>78</v>
      </c>
      <c r="C1127" s="7" t="s">
        <v>2676</v>
      </c>
      <c r="E1127" s="7" t="s">
        <v>30</v>
      </c>
      <c r="F1127" s="7" t="s">
        <v>2671</v>
      </c>
      <c r="G1127" s="7" t="n">
        <v>2017</v>
      </c>
      <c r="H1127" s="7" t="s">
        <v>49</v>
      </c>
      <c r="I1127" s="7" t="s">
        <v>82</v>
      </c>
      <c r="J1127" s="7" t="s">
        <v>314</v>
      </c>
      <c r="K1127" s="7" t="n">
        <f aca="false">IFERROR(VALUE(RIGHT(TRIM(F1127),4)),"")</f>
        <v>2017</v>
      </c>
      <c r="L1127" s="7" t="str">
        <f aca="false">IF(TRIM(E1127)="","Unknown",IFERROR(LEFT(TRIM(E1127),FIND(",",TRIM(E1127))-1),TRIM(E1127)))</f>
        <v>Japan</v>
      </c>
      <c r="M1127" s="7" t="str">
        <f aca="false">IFERROR(LEFT(J1127,FIND(",",J1127)-1),J1127)</f>
        <v>International TV Shows</v>
      </c>
      <c r="N1127" s="7" t="str">
        <f aca="false">IF(B1127="Movie",IFERROR(VALUE(LEFT(I1127,FIND(" ",I1127)-1)),""),"")</f>
        <v/>
      </c>
      <c r="O1127" s="7" t="n">
        <f aca="false">IF(B1127="TV Show",IFERROR(VALUE(LEFT(I1127,FIND(" ",I1127)-1)),""),"")</f>
        <v>1</v>
      </c>
      <c r="P1127" s="7" t="n">
        <f aca="false">IF(K1127="","",K1127-G1127)</f>
        <v>0</v>
      </c>
    </row>
    <row r="1128" customFormat="false" ht="15" hidden="false" customHeight="false" outlineLevel="0" collapsed="false">
      <c r="A1128" s="7" t="n">
        <v>80198545</v>
      </c>
      <c r="B1128" s="7" t="s">
        <v>78</v>
      </c>
      <c r="C1128" s="7" t="s">
        <v>2677</v>
      </c>
      <c r="E1128" s="7" t="s">
        <v>29</v>
      </c>
      <c r="F1128" s="7" t="s">
        <v>2671</v>
      </c>
      <c r="G1128" s="7" t="n">
        <v>2017</v>
      </c>
      <c r="H1128" s="7" t="s">
        <v>48</v>
      </c>
      <c r="I1128" s="7" t="s">
        <v>82</v>
      </c>
      <c r="J1128" s="7" t="s">
        <v>1357</v>
      </c>
      <c r="K1128" s="7" t="n">
        <f aca="false">IFERROR(VALUE(RIGHT(TRIM(F1128),4)),"")</f>
        <v>2017</v>
      </c>
      <c r="L1128" s="7" t="str">
        <f aca="false">IF(TRIM(E1128)="","Unknown",IFERROR(LEFT(TRIM(E1128),FIND(",",TRIM(E1128))-1),TRIM(E1128)))</f>
        <v>Canada</v>
      </c>
      <c r="M1128" s="7" t="str">
        <f aca="false">IFERROR(LEFT(J1128,FIND(",",J1128)-1),J1128)</f>
        <v>International TV Shows</v>
      </c>
      <c r="N1128" s="7" t="str">
        <f aca="false">IF(B1128="Movie",IFERROR(VALUE(LEFT(I1128,FIND(" ",I1128)-1)),""),"")</f>
        <v/>
      </c>
      <c r="O1128" s="7" t="n">
        <f aca="false">IF(B1128="TV Show",IFERROR(VALUE(LEFT(I1128,FIND(" ",I1128)-1)),""),"")</f>
        <v>1</v>
      </c>
      <c r="P1128" s="7" t="n">
        <f aca="false">IF(K1128="","",K1128-G1128)</f>
        <v>0</v>
      </c>
    </row>
    <row r="1129" customFormat="false" ht="15" hidden="false" customHeight="false" outlineLevel="0" collapsed="false">
      <c r="A1129" s="7" t="n">
        <v>60020948</v>
      </c>
      <c r="B1129" s="7" t="s">
        <v>68</v>
      </c>
      <c r="C1129" s="7" t="s">
        <v>2678</v>
      </c>
      <c r="D1129" s="7" t="s">
        <v>2679</v>
      </c>
      <c r="E1129" s="7" t="s">
        <v>26</v>
      </c>
      <c r="F1129" s="7" t="s">
        <v>2680</v>
      </c>
      <c r="G1129" s="7" t="n">
        <v>1973</v>
      </c>
      <c r="H1129" s="7" t="s">
        <v>612</v>
      </c>
      <c r="I1129" s="7" t="s">
        <v>77</v>
      </c>
      <c r="J1129" s="7" t="s">
        <v>2681</v>
      </c>
      <c r="K1129" s="7" t="n">
        <f aca="false">IFERROR(VALUE(RIGHT(TRIM(F1129),4)),"")</f>
        <v>2019</v>
      </c>
      <c r="L1129" s="7" t="str">
        <f aca="false">IF(TRIM(E1129)="","Unknown",IFERROR(LEFT(TRIM(E1129),FIND(",",TRIM(E1129))-1),TRIM(E1129)))</f>
        <v>United States</v>
      </c>
      <c r="M1129" s="7" t="str">
        <f aca="false">IFERROR(LEFT(J1129,FIND(",",J1129)-1),J1129)</f>
        <v>Children &amp; Family Movies</v>
      </c>
      <c r="N1129" s="7" t="n">
        <f aca="false">IF(B1129="Movie",IFERROR(VALUE(LEFT(I1129,FIND(" ",I1129)-1)),""),"")</f>
        <v>94</v>
      </c>
      <c r="O1129" s="7" t="str">
        <f aca="false">IF(B1129="TV Show",IFERROR(VALUE(LEFT(I1129,FIND(" ",I1129)-1)),""),"")</f>
        <v/>
      </c>
      <c r="P1129" s="7" t="n">
        <f aca="false">IF(K1129="","",K1129-G1129)</f>
        <v>46</v>
      </c>
    </row>
    <row r="1130" customFormat="false" ht="15" hidden="false" customHeight="false" outlineLevel="0" collapsed="false">
      <c r="A1130" s="7" t="n">
        <v>70235384</v>
      </c>
      <c r="B1130" s="7" t="s">
        <v>68</v>
      </c>
      <c r="C1130" s="7" t="s">
        <v>2682</v>
      </c>
      <c r="D1130" s="7" t="s">
        <v>2683</v>
      </c>
      <c r="E1130" s="7" t="s">
        <v>26</v>
      </c>
      <c r="F1130" s="7" t="s">
        <v>2680</v>
      </c>
      <c r="G1130" s="7" t="n">
        <v>2012</v>
      </c>
      <c r="H1130" s="7" t="s">
        <v>51</v>
      </c>
      <c r="I1130" s="7" t="s">
        <v>790</v>
      </c>
      <c r="J1130" s="7" t="s">
        <v>40</v>
      </c>
      <c r="K1130" s="7" t="n">
        <f aca="false">IFERROR(VALUE(RIGHT(TRIM(F1130),4)),"")</f>
        <v>2019</v>
      </c>
      <c r="L1130" s="7" t="str">
        <f aca="false">IF(TRIM(E1130)="","Unknown",IFERROR(LEFT(TRIM(E1130),FIND(",",TRIM(E1130))-1),TRIM(E1130)))</f>
        <v>United States</v>
      </c>
      <c r="M1130" s="7" t="str">
        <f aca="false">IFERROR(LEFT(J1130,FIND(",",J1130)-1),J1130)</f>
        <v>Action &amp; Adventure</v>
      </c>
      <c r="N1130" s="7" t="n">
        <f aca="false">IF(B1130="Movie",IFERROR(VALUE(LEFT(I1130,FIND(" ",I1130)-1)),""),"")</f>
        <v>109</v>
      </c>
      <c r="O1130" s="7" t="str">
        <f aca="false">IF(B1130="TV Show",IFERROR(VALUE(LEFT(I1130,FIND(" ",I1130)-1)),""),"")</f>
        <v/>
      </c>
      <c r="P1130" s="7" t="n">
        <f aca="false">IF(K1130="","",K1130-G1130)</f>
        <v>7</v>
      </c>
    </row>
    <row r="1131" customFormat="false" ht="15" hidden="false" customHeight="false" outlineLevel="0" collapsed="false">
      <c r="A1131" s="7" t="n">
        <v>569355</v>
      </c>
      <c r="B1131" s="7" t="s">
        <v>68</v>
      </c>
      <c r="C1131" s="7" t="s">
        <v>2684</v>
      </c>
      <c r="D1131" s="7" t="s">
        <v>2685</v>
      </c>
      <c r="E1131" s="7" t="s">
        <v>26</v>
      </c>
      <c r="F1131" s="7" t="s">
        <v>2680</v>
      </c>
      <c r="G1131" s="7" t="n">
        <v>1987</v>
      </c>
      <c r="H1131" s="7" t="s">
        <v>51</v>
      </c>
      <c r="I1131" s="7" t="s">
        <v>93</v>
      </c>
      <c r="J1131" s="7" t="s">
        <v>370</v>
      </c>
      <c r="K1131" s="7" t="n">
        <f aca="false">IFERROR(VALUE(RIGHT(TRIM(F1131),4)),"")</f>
        <v>2019</v>
      </c>
      <c r="L1131" s="7" t="str">
        <f aca="false">IF(TRIM(E1131)="","Unknown",IFERROR(LEFT(TRIM(E1131),FIND(",",TRIM(E1131))-1),TRIM(E1131)))</f>
        <v>United States</v>
      </c>
      <c r="M1131" s="7" t="str">
        <f aca="false">IFERROR(LEFT(J1131,FIND(",",J1131)-1),J1131)</f>
        <v>Action &amp; Adventure</v>
      </c>
      <c r="N1131" s="7" t="n">
        <f aca="false">IF(B1131="Movie",IFERROR(VALUE(LEFT(I1131,FIND(" ",I1131)-1)),""),"")</f>
        <v>110</v>
      </c>
      <c r="O1131" s="7" t="str">
        <f aca="false">IF(B1131="TV Show",IFERROR(VALUE(LEFT(I1131,FIND(" ",I1131)-1)),""),"")</f>
        <v/>
      </c>
      <c r="P1131" s="7" t="n">
        <f aca="false">IF(K1131="","",K1131-G1131)</f>
        <v>32</v>
      </c>
    </row>
    <row r="1132" customFormat="false" ht="15" hidden="false" customHeight="false" outlineLevel="0" collapsed="false">
      <c r="A1132" s="7" t="n">
        <v>81208888</v>
      </c>
      <c r="B1132" s="7" t="s">
        <v>78</v>
      </c>
      <c r="C1132" s="7" t="s">
        <v>2686</v>
      </c>
      <c r="E1132" s="7" t="s">
        <v>366</v>
      </c>
      <c r="F1132" s="7" t="s">
        <v>2680</v>
      </c>
      <c r="G1132" s="7" t="n">
        <v>2019</v>
      </c>
      <c r="H1132" s="7" t="s">
        <v>50</v>
      </c>
      <c r="I1132" s="7" t="s">
        <v>82</v>
      </c>
      <c r="J1132" s="7" t="s">
        <v>2687</v>
      </c>
      <c r="K1132" s="7" t="n">
        <f aca="false">IFERROR(VALUE(RIGHT(TRIM(F1132),4)),"")</f>
        <v>2019</v>
      </c>
      <c r="L1132" s="7" t="str">
        <f aca="false">IF(TRIM(E1132)="","Unknown",IFERROR(LEFT(TRIM(E1132),FIND(",",TRIM(E1132))-1),TRIM(E1132)))</f>
        <v>China</v>
      </c>
      <c r="M1132" s="7" t="str">
        <f aca="false">IFERROR(LEFT(J1132,FIND(",",J1132)-1),J1132)</f>
        <v>International TV Shows</v>
      </c>
      <c r="N1132" s="7" t="str">
        <f aca="false">IF(B1132="Movie",IFERROR(VALUE(LEFT(I1132,FIND(" ",I1132)-1)),""),"")</f>
        <v/>
      </c>
      <c r="O1132" s="7" t="n">
        <f aca="false">IF(B1132="TV Show",IFERROR(VALUE(LEFT(I1132,FIND(" ",I1132)-1)),""),"")</f>
        <v>1</v>
      </c>
      <c r="P1132" s="7" t="n">
        <f aca="false">IF(K1132="","",K1132-G1132)</f>
        <v>0</v>
      </c>
    </row>
    <row r="1133" customFormat="false" ht="15" hidden="false" customHeight="false" outlineLevel="0" collapsed="false">
      <c r="A1133" s="7" t="n">
        <v>60022645</v>
      </c>
      <c r="B1133" s="7" t="s">
        <v>68</v>
      </c>
      <c r="C1133" s="7" t="s">
        <v>2688</v>
      </c>
      <c r="D1133" s="7" t="s">
        <v>2689</v>
      </c>
      <c r="E1133" s="7" t="s">
        <v>2690</v>
      </c>
      <c r="F1133" s="7" t="s">
        <v>2680</v>
      </c>
      <c r="G1133" s="7" t="n">
        <v>2002</v>
      </c>
      <c r="H1133" s="7" t="s">
        <v>52</v>
      </c>
      <c r="I1133" s="7" t="s">
        <v>138</v>
      </c>
      <c r="J1133" s="7" t="s">
        <v>276</v>
      </c>
      <c r="K1133" s="7" t="n">
        <f aca="false">IFERROR(VALUE(RIGHT(TRIM(F1133),4)),"")</f>
        <v>2019</v>
      </c>
      <c r="L1133" s="7" t="str">
        <f aca="false">IF(TRIM(E1133)="","Unknown",IFERROR(LEFT(TRIM(E1133),FIND(",",TRIM(E1133))-1),TRIM(E1133)))</f>
        <v>United States</v>
      </c>
      <c r="M1133" s="7" t="str">
        <f aca="false">IFERROR(LEFT(J1133,FIND(",",J1133)-1),J1133)</f>
        <v>Action &amp; Adventure</v>
      </c>
      <c r="N1133" s="7" t="n">
        <f aca="false">IF(B1133="Movie",IFERROR(VALUE(LEFT(I1133,FIND(" ",I1133)-1)),""),"")</f>
        <v>96</v>
      </c>
      <c r="O1133" s="7" t="str">
        <f aca="false">IF(B1133="TV Show",IFERROR(VALUE(LEFT(I1133,FIND(" ",I1133)-1)),""),"")</f>
        <v/>
      </c>
      <c r="P1133" s="7" t="n">
        <f aca="false">IF(K1133="","",K1133-G1133)</f>
        <v>17</v>
      </c>
    </row>
    <row r="1134" customFormat="false" ht="15" hidden="false" customHeight="false" outlineLevel="0" collapsed="false">
      <c r="A1134" s="7" t="n">
        <v>80235857</v>
      </c>
      <c r="B1134" s="7" t="s">
        <v>78</v>
      </c>
      <c r="C1134" s="7" t="s">
        <v>2691</v>
      </c>
      <c r="E1134" s="7" t="s">
        <v>33</v>
      </c>
      <c r="F1134" s="7" t="s">
        <v>2692</v>
      </c>
      <c r="G1134" s="7" t="n">
        <v>2018</v>
      </c>
      <c r="H1134" s="7" t="s">
        <v>48</v>
      </c>
      <c r="I1134" s="7" t="s">
        <v>82</v>
      </c>
      <c r="J1134" s="7" t="s">
        <v>89</v>
      </c>
      <c r="K1134" s="7" t="n">
        <f aca="false">IFERROR(VALUE(RIGHT(TRIM(F1134),4)),"")</f>
        <v>2018</v>
      </c>
      <c r="L1134" s="7" t="str">
        <f aca="false">IF(TRIM(E1134)="","Unknown",IFERROR(LEFT(TRIM(E1134),FIND(",",TRIM(E1134))-1),TRIM(E1134)))</f>
        <v>Spain</v>
      </c>
      <c r="M1134" s="7" t="str">
        <f aca="false">IFERROR(LEFT(J1134,FIND(",",J1134)-1),J1134)</f>
        <v>Crime TV Shows</v>
      </c>
      <c r="N1134" s="7" t="str">
        <f aca="false">IF(B1134="Movie",IFERROR(VALUE(LEFT(I1134,FIND(" ",I1134)-1)),""),"")</f>
        <v/>
      </c>
      <c r="O1134" s="7" t="n">
        <f aca="false">IF(B1134="TV Show",IFERROR(VALUE(LEFT(I1134,FIND(" ",I1134)-1)),""),"")</f>
        <v>1</v>
      </c>
      <c r="P1134" s="7" t="n">
        <f aca="false">IF(K1134="","",K1134-G1134)</f>
        <v>0</v>
      </c>
    </row>
    <row r="1135" customFormat="false" ht="15" hidden="false" customHeight="false" outlineLevel="0" collapsed="false">
      <c r="A1135" s="7" t="n">
        <v>80225915</v>
      </c>
      <c r="B1135" s="7" t="s">
        <v>78</v>
      </c>
      <c r="C1135" s="7" t="s">
        <v>2693</v>
      </c>
      <c r="D1135" s="7" t="s">
        <v>2683</v>
      </c>
      <c r="F1135" s="7" t="s">
        <v>2694</v>
      </c>
      <c r="G1135" s="7" t="n">
        <v>2017</v>
      </c>
      <c r="H1135" s="7" t="s">
        <v>49</v>
      </c>
      <c r="I1135" s="7" t="s">
        <v>82</v>
      </c>
      <c r="J1135" s="7" t="s">
        <v>2695</v>
      </c>
      <c r="K1135" s="7" t="n">
        <f aca="false">IFERROR(VALUE(RIGHT(TRIM(F1135),4)),"")</f>
        <v>2017</v>
      </c>
      <c r="L1135" s="7" t="str">
        <f aca="false">IF(TRIM(E1135)="","Unknown",IFERROR(LEFT(TRIM(E1135),FIND(",",TRIM(E1135))-1),TRIM(E1135)))</f>
        <v>Unknown</v>
      </c>
      <c r="M1135" s="7" t="str">
        <f aca="false">IFERROR(LEFT(J1135,FIND(",",J1135)-1),J1135)</f>
        <v>TV Shows</v>
      </c>
      <c r="N1135" s="7" t="str">
        <f aca="false">IF(B1135="Movie",IFERROR(VALUE(LEFT(I1135,FIND(" ",I1135)-1)),""),"")</f>
        <v/>
      </c>
      <c r="O1135" s="7" t="n">
        <f aca="false">IF(B1135="TV Show",IFERROR(VALUE(LEFT(I1135,FIND(" ",I1135)-1)),""),"")</f>
        <v>1</v>
      </c>
      <c r="P1135" s="7" t="n">
        <f aca="false">IF(K1135="","",K1135-G1135)</f>
        <v>0</v>
      </c>
    </row>
    <row r="1136" customFormat="false" ht="15" hidden="false" customHeight="false" outlineLevel="0" collapsed="false">
      <c r="A1136" s="7" t="n">
        <v>80196379</v>
      </c>
      <c r="B1136" s="7" t="s">
        <v>68</v>
      </c>
      <c r="C1136" s="7" t="s">
        <v>2696</v>
      </c>
      <c r="D1136" s="7" t="s">
        <v>2697</v>
      </c>
      <c r="E1136" s="7" t="s">
        <v>2698</v>
      </c>
      <c r="F1136" s="7" t="s">
        <v>2694</v>
      </c>
      <c r="G1136" s="7" t="n">
        <v>2017</v>
      </c>
      <c r="H1136" s="7" t="s">
        <v>54</v>
      </c>
      <c r="I1136" s="7" t="s">
        <v>272</v>
      </c>
      <c r="J1136" s="7" t="s">
        <v>74</v>
      </c>
      <c r="K1136" s="7" t="n">
        <f aca="false">IFERROR(VALUE(RIGHT(TRIM(F1136),4)),"")</f>
        <v>2017</v>
      </c>
      <c r="L1136" s="7" t="str">
        <f aca="false">IF(TRIM(E1136)="","Unknown",IFERROR(LEFT(TRIM(E1136),FIND(",",TRIM(E1136))-1),TRIM(E1136)))</f>
        <v>Spain</v>
      </c>
      <c r="M1136" s="7" t="str">
        <f aca="false">IFERROR(LEFT(J1136,FIND(",",J1136)-1),J1136)</f>
        <v>Children &amp; Family Movies</v>
      </c>
      <c r="N1136" s="7" t="n">
        <f aca="false">IF(B1136="Movie",IFERROR(VALUE(LEFT(I1136,FIND(" ",I1136)-1)),""),"")</f>
        <v>93</v>
      </c>
      <c r="O1136" s="7" t="str">
        <f aca="false">IF(B1136="TV Show",IFERROR(VALUE(LEFT(I1136,FIND(" ",I1136)-1)),""),"")</f>
        <v/>
      </c>
      <c r="P1136" s="7" t="n">
        <f aca="false">IF(K1136="","",K1136-G1136)</f>
        <v>0</v>
      </c>
    </row>
    <row r="1137" customFormat="false" ht="15" hidden="false" customHeight="false" outlineLevel="0" collapsed="false">
      <c r="A1137" s="7" t="n">
        <v>80198859</v>
      </c>
      <c r="B1137" s="7" t="s">
        <v>68</v>
      </c>
      <c r="C1137" s="7" t="s">
        <v>2699</v>
      </c>
      <c r="D1137" s="7" t="s">
        <v>2700</v>
      </c>
      <c r="E1137" s="7" t="s">
        <v>31</v>
      </c>
      <c r="F1137" s="7" t="s">
        <v>2701</v>
      </c>
      <c r="G1137" s="7" t="n">
        <v>2019</v>
      </c>
      <c r="H1137" s="7" t="s">
        <v>48</v>
      </c>
      <c r="I1137" s="7" t="s">
        <v>451</v>
      </c>
      <c r="J1137" s="7" t="s">
        <v>188</v>
      </c>
      <c r="K1137" s="7" t="n">
        <f aca="false">IFERROR(VALUE(RIGHT(TRIM(F1137),4)),"")</f>
        <v>2019</v>
      </c>
      <c r="L1137" s="7" t="str">
        <f aca="false">IF(TRIM(E1137)="","Unknown",IFERROR(LEFT(TRIM(E1137),FIND(",",TRIM(E1137))-1),TRIM(E1137)))</f>
        <v>France</v>
      </c>
      <c r="M1137" s="7" t="str">
        <f aca="false">IFERROR(LEFT(J1137,FIND(",",J1137)-1),J1137)</f>
        <v>Dramas</v>
      </c>
      <c r="N1137" s="7" t="n">
        <f aca="false">IF(B1137="Movie",IFERROR(VALUE(LEFT(I1137,FIND(" ",I1137)-1)),""),"")</f>
        <v>97</v>
      </c>
      <c r="O1137" s="7" t="str">
        <f aca="false">IF(B1137="TV Show",IFERROR(VALUE(LEFT(I1137,FIND(" ",I1137)-1)),""),"")</f>
        <v/>
      </c>
      <c r="P1137" s="7" t="n">
        <f aca="false">IF(K1137="","",K1137-G1137)</f>
        <v>0</v>
      </c>
    </row>
    <row r="1138" customFormat="false" ht="15" hidden="false" customHeight="false" outlineLevel="0" collapsed="false">
      <c r="A1138" s="7" t="n">
        <v>80216180</v>
      </c>
      <c r="B1138" s="7" t="s">
        <v>78</v>
      </c>
      <c r="C1138" s="7" t="s">
        <v>2702</v>
      </c>
      <c r="E1138" s="7" t="s">
        <v>2367</v>
      </c>
      <c r="F1138" s="7" t="s">
        <v>2701</v>
      </c>
      <c r="G1138" s="7" t="n">
        <v>2019</v>
      </c>
      <c r="H1138" s="7" t="s">
        <v>81</v>
      </c>
      <c r="I1138" s="7" t="s">
        <v>82</v>
      </c>
      <c r="J1138" s="7" t="s">
        <v>694</v>
      </c>
      <c r="K1138" s="7" t="n">
        <f aca="false">IFERROR(VALUE(RIGHT(TRIM(F1138),4)),"")</f>
        <v>2019</v>
      </c>
      <c r="L1138" s="7" t="str">
        <f aca="false">IF(TRIM(E1138)="","Unknown",IFERROR(LEFT(TRIM(E1138),FIND(",",TRIM(E1138))-1),TRIM(E1138)))</f>
        <v>United States</v>
      </c>
      <c r="M1138" s="7" t="str">
        <f aca="false">IFERROR(LEFT(J1138,FIND(",",J1138)-1),J1138)</f>
        <v>Anime Series</v>
      </c>
      <c r="N1138" s="7" t="str">
        <f aca="false">IF(B1138="Movie",IFERROR(VALUE(LEFT(I1138,FIND(" ",I1138)-1)),""),"")</f>
        <v/>
      </c>
      <c r="O1138" s="7" t="n">
        <f aca="false">IF(B1138="TV Show",IFERROR(VALUE(LEFT(I1138,FIND(" ",I1138)-1)),""),"")</f>
        <v>1</v>
      </c>
      <c r="P1138" s="7" t="n">
        <f aca="false">IF(K1138="","",K1138-G1138)</f>
        <v>0</v>
      </c>
    </row>
    <row r="1139" customFormat="false" ht="15" hidden="false" customHeight="false" outlineLevel="0" collapsed="false">
      <c r="A1139" s="7" t="n">
        <v>80244846</v>
      </c>
      <c r="B1139" s="7" t="s">
        <v>78</v>
      </c>
      <c r="C1139" s="7" t="s">
        <v>2703</v>
      </c>
      <c r="E1139" s="7" t="s">
        <v>26</v>
      </c>
      <c r="F1139" s="7" t="s">
        <v>2701</v>
      </c>
      <c r="G1139" s="7" t="n">
        <v>2019</v>
      </c>
      <c r="H1139" s="7" t="s">
        <v>49</v>
      </c>
      <c r="I1139" s="7" t="s">
        <v>82</v>
      </c>
      <c r="J1139" s="7" t="s">
        <v>2704</v>
      </c>
      <c r="K1139" s="7" t="n">
        <f aca="false">IFERROR(VALUE(RIGHT(TRIM(F1139),4)),"")</f>
        <v>2019</v>
      </c>
      <c r="L1139" s="7" t="str">
        <f aca="false">IF(TRIM(E1139)="","Unknown",IFERROR(LEFT(TRIM(E1139),FIND(",",TRIM(E1139))-1),TRIM(E1139)))</f>
        <v>United States</v>
      </c>
      <c r="M1139" s="7" t="str">
        <f aca="false">IFERROR(LEFT(J1139,FIND(",",J1139)-1),J1139)</f>
        <v>TV Dramas</v>
      </c>
      <c r="N1139" s="7" t="str">
        <f aca="false">IF(B1139="Movie",IFERROR(VALUE(LEFT(I1139,FIND(" ",I1139)-1)),""),"")</f>
        <v/>
      </c>
      <c r="O1139" s="7" t="n">
        <f aca="false">IF(B1139="TV Show",IFERROR(VALUE(LEFT(I1139,FIND(" ",I1139)-1)),""),"")</f>
        <v>1</v>
      </c>
      <c r="P1139" s="7" t="n">
        <f aca="false">IF(K1139="","",K1139-G1139)</f>
        <v>0</v>
      </c>
    </row>
    <row r="1140" customFormat="false" ht="15" hidden="false" customHeight="false" outlineLevel="0" collapsed="false">
      <c r="A1140" s="7" t="n">
        <v>80159876</v>
      </c>
      <c r="B1140" s="7" t="s">
        <v>68</v>
      </c>
      <c r="C1140" s="7" t="s">
        <v>2705</v>
      </c>
      <c r="D1140" s="7" t="s">
        <v>2706</v>
      </c>
      <c r="E1140" s="7" t="s">
        <v>30</v>
      </c>
      <c r="F1140" s="7" t="s">
        <v>2701</v>
      </c>
      <c r="G1140" s="7" t="n">
        <v>2015</v>
      </c>
      <c r="H1140" s="7" t="s">
        <v>49</v>
      </c>
      <c r="I1140" s="7" t="s">
        <v>505</v>
      </c>
      <c r="J1140" s="7" t="s">
        <v>1032</v>
      </c>
      <c r="K1140" s="7" t="n">
        <f aca="false">IFERROR(VALUE(RIGHT(TRIM(F1140),4)),"")</f>
        <v>2019</v>
      </c>
      <c r="L1140" s="7" t="str">
        <f aca="false">IF(TRIM(E1140)="","Unknown",IFERROR(LEFT(TRIM(E1140),FIND(",",TRIM(E1140))-1),TRIM(E1140)))</f>
        <v>Japan</v>
      </c>
      <c r="M1140" s="7" t="str">
        <f aca="false">IFERROR(LEFT(J1140,FIND(",",J1140)-1),J1140)</f>
        <v>Action &amp; Adventure</v>
      </c>
      <c r="N1140" s="7" t="n">
        <f aca="false">IF(B1140="Movie",IFERROR(VALUE(LEFT(I1140,FIND(" ",I1140)-1)),""),"")</f>
        <v>121</v>
      </c>
      <c r="O1140" s="7" t="str">
        <f aca="false">IF(B1140="TV Show",IFERROR(VALUE(LEFT(I1140,FIND(" ",I1140)-1)),""),"")</f>
        <v/>
      </c>
      <c r="P1140" s="7" t="n">
        <f aca="false">IF(K1140="","",K1140-G1140)</f>
        <v>4</v>
      </c>
    </row>
    <row r="1141" customFormat="false" ht="15" hidden="false" customHeight="false" outlineLevel="0" collapsed="false">
      <c r="A1141" s="7" t="n">
        <v>70091304</v>
      </c>
      <c r="B1141" s="7" t="s">
        <v>68</v>
      </c>
      <c r="C1141" s="7" t="s">
        <v>2707</v>
      </c>
      <c r="E1141" s="7" t="s">
        <v>26</v>
      </c>
      <c r="F1141" s="7" t="s">
        <v>2701</v>
      </c>
      <c r="G1141" s="7" t="n">
        <v>2008</v>
      </c>
      <c r="H1141" s="7" t="s">
        <v>49</v>
      </c>
      <c r="I1141" s="7" t="s">
        <v>1599</v>
      </c>
      <c r="J1141" s="7" t="s">
        <v>45</v>
      </c>
      <c r="K1141" s="7" t="n">
        <f aca="false">IFERROR(VALUE(RIGHT(TRIM(F1141),4)),"")</f>
        <v>2019</v>
      </c>
      <c r="L1141" s="7" t="str">
        <f aca="false">IF(TRIM(E1141)="","Unknown",IFERROR(LEFT(TRIM(E1141),FIND(",",TRIM(E1141))-1),TRIM(E1141)))</f>
        <v>United States</v>
      </c>
      <c r="M1141" s="7" t="str">
        <f aca="false">IFERROR(LEFT(J1141,FIND(",",J1141)-1),J1141)</f>
        <v>Stand-Up Comedy</v>
      </c>
      <c r="N1141" s="7" t="n">
        <f aca="false">IF(B1141="Movie",IFERROR(VALUE(LEFT(I1141,FIND(" ",I1141)-1)),""),"")</f>
        <v>56</v>
      </c>
      <c r="O1141" s="7" t="str">
        <f aca="false">IF(B1141="TV Show",IFERROR(VALUE(LEFT(I1141,FIND(" ",I1141)-1)),""),"")</f>
        <v/>
      </c>
      <c r="P1141" s="7" t="n">
        <f aca="false">IF(K1141="","",K1141-G1141)</f>
        <v>11</v>
      </c>
    </row>
    <row r="1142" customFormat="false" ht="15" hidden="false" customHeight="false" outlineLevel="0" collapsed="false">
      <c r="A1142" s="7" t="n">
        <v>81169145</v>
      </c>
      <c r="B1142" s="7" t="s">
        <v>78</v>
      </c>
      <c r="C1142" s="7" t="s">
        <v>2708</v>
      </c>
      <c r="E1142" s="7" t="s">
        <v>26</v>
      </c>
      <c r="F1142" s="7" t="s">
        <v>2701</v>
      </c>
      <c r="G1142" s="7" t="n">
        <v>2019</v>
      </c>
      <c r="H1142" s="7" t="s">
        <v>48</v>
      </c>
      <c r="I1142" s="7" t="s">
        <v>82</v>
      </c>
      <c r="J1142" s="7" t="s">
        <v>696</v>
      </c>
      <c r="K1142" s="7" t="n">
        <f aca="false">IFERROR(VALUE(RIGHT(TRIM(F1142),4)),"")</f>
        <v>2019</v>
      </c>
      <c r="L1142" s="7" t="str">
        <f aca="false">IF(TRIM(E1142)="","Unknown",IFERROR(LEFT(TRIM(E1142),FIND(",",TRIM(E1142))-1),TRIM(E1142)))</f>
        <v>United States</v>
      </c>
      <c r="M1142" s="7" t="str">
        <f aca="false">IFERROR(LEFT(J1142,FIND(",",J1142)-1),J1142)</f>
        <v>Crime TV Shows</v>
      </c>
      <c r="N1142" s="7" t="str">
        <f aca="false">IF(B1142="Movie",IFERROR(VALUE(LEFT(I1142,FIND(" ",I1142)-1)),""),"")</f>
        <v/>
      </c>
      <c r="O1142" s="7" t="n">
        <f aca="false">IF(B1142="TV Show",IFERROR(VALUE(LEFT(I1142,FIND(" ",I1142)-1)),""),"")</f>
        <v>1</v>
      </c>
      <c r="P1142" s="7" t="n">
        <f aca="false">IF(K1142="","",K1142-G1142)</f>
        <v>0</v>
      </c>
    </row>
    <row r="1143" customFormat="false" ht="15" hidden="false" customHeight="false" outlineLevel="0" collapsed="false">
      <c r="A1143" s="7" t="n">
        <v>80244700</v>
      </c>
      <c r="B1143" s="7" t="s">
        <v>78</v>
      </c>
      <c r="C1143" s="7" t="s">
        <v>2709</v>
      </c>
      <c r="E1143" s="7" t="s">
        <v>325</v>
      </c>
      <c r="F1143" s="7" t="s">
        <v>2701</v>
      </c>
      <c r="G1143" s="7" t="n">
        <v>2019</v>
      </c>
      <c r="H1143" s="7" t="s">
        <v>48</v>
      </c>
      <c r="I1143" s="7" t="s">
        <v>82</v>
      </c>
      <c r="J1143" s="7" t="s">
        <v>335</v>
      </c>
      <c r="K1143" s="7" t="n">
        <f aca="false">IFERROR(VALUE(RIGHT(TRIM(F1143),4)),"")</f>
        <v>2019</v>
      </c>
      <c r="L1143" s="7" t="str">
        <f aca="false">IF(TRIM(E1143)="","Unknown",IFERROR(LEFT(TRIM(E1143),FIND(",",TRIM(E1143))-1),TRIM(E1143)))</f>
        <v>Brazil</v>
      </c>
      <c r="M1143" s="7" t="str">
        <f aca="false">IFERROR(LEFT(J1143,FIND(",",J1143)-1),J1143)</f>
        <v>International TV Shows</v>
      </c>
      <c r="N1143" s="7" t="str">
        <f aca="false">IF(B1143="Movie",IFERROR(VALUE(LEFT(I1143,FIND(" ",I1143)-1)),""),"")</f>
        <v/>
      </c>
      <c r="O1143" s="7" t="n">
        <f aca="false">IF(B1143="TV Show",IFERROR(VALUE(LEFT(I1143,FIND(" ",I1143)-1)),""),"")</f>
        <v>1</v>
      </c>
      <c r="P1143" s="7" t="n">
        <f aca="false">IF(K1143="","",K1143-G1143)</f>
        <v>0</v>
      </c>
    </row>
    <row r="1144" customFormat="false" ht="15" hidden="false" customHeight="false" outlineLevel="0" collapsed="false">
      <c r="A1144" s="7" t="n">
        <v>81218074</v>
      </c>
      <c r="B1144" s="7" t="s">
        <v>68</v>
      </c>
      <c r="C1144" s="7" t="s">
        <v>2710</v>
      </c>
      <c r="D1144" s="7" t="s">
        <v>2711</v>
      </c>
      <c r="E1144" s="7" t="s">
        <v>26</v>
      </c>
      <c r="F1144" s="7" t="s">
        <v>2701</v>
      </c>
      <c r="G1144" s="7" t="n">
        <v>2019</v>
      </c>
      <c r="H1144" s="7" t="s">
        <v>49</v>
      </c>
      <c r="I1144" s="7" t="s">
        <v>519</v>
      </c>
      <c r="J1144" s="7" t="s">
        <v>1085</v>
      </c>
      <c r="K1144" s="7" t="n">
        <f aca="false">IFERROR(VALUE(RIGHT(TRIM(F1144),4)),"")</f>
        <v>2019</v>
      </c>
      <c r="L1144" s="7" t="str">
        <f aca="false">IF(TRIM(E1144)="","Unknown",IFERROR(LEFT(TRIM(E1144),FIND(",",TRIM(E1144))-1),TRIM(E1144)))</f>
        <v>United States</v>
      </c>
      <c r="M1144" s="7" t="str">
        <f aca="false">IFERROR(LEFT(J1144,FIND(",",J1144)-1),J1144)</f>
        <v>Documentaries</v>
      </c>
      <c r="N1144" s="7" t="n">
        <f aca="false">IF(B1144="Movie",IFERROR(VALUE(LEFT(I1144,FIND(" ",I1144)-1)),""),"")</f>
        <v>119</v>
      </c>
      <c r="O1144" s="7" t="str">
        <f aca="false">IF(B1144="TV Show",IFERROR(VALUE(LEFT(I1144,FIND(" ",I1144)-1)),""),"")</f>
        <v/>
      </c>
      <c r="P1144" s="7" t="n">
        <f aca="false">IF(K1144="","",K1144-G1144)</f>
        <v>0</v>
      </c>
    </row>
    <row r="1145" customFormat="false" ht="15" hidden="false" customHeight="false" outlineLevel="0" collapsed="false">
      <c r="A1145" s="7" t="n">
        <v>80245262</v>
      </c>
      <c r="B1145" s="7" t="s">
        <v>78</v>
      </c>
      <c r="C1145" s="7" t="s">
        <v>2712</v>
      </c>
      <c r="E1145" s="7" t="s">
        <v>2713</v>
      </c>
      <c r="F1145" s="7" t="s">
        <v>2701</v>
      </c>
      <c r="G1145" s="7" t="n">
        <v>2019</v>
      </c>
      <c r="H1145" s="7" t="s">
        <v>48</v>
      </c>
      <c r="I1145" s="7" t="s">
        <v>82</v>
      </c>
      <c r="J1145" s="7" t="s">
        <v>884</v>
      </c>
      <c r="K1145" s="7" t="n">
        <f aca="false">IFERROR(VALUE(RIGHT(TRIM(F1145),4)),"")</f>
        <v>2019</v>
      </c>
      <c r="L1145" s="7" t="str">
        <f aca="false">IF(TRIM(E1145)="","Unknown",IFERROR(LEFT(TRIM(E1145),FIND(",",TRIM(E1145))-1),TRIM(E1145)))</f>
        <v>Singapore</v>
      </c>
      <c r="M1145" s="7" t="str">
        <f aca="false">IFERROR(LEFT(J1145,FIND(",",J1145)-1),J1145)</f>
        <v>International TV Shows</v>
      </c>
      <c r="N1145" s="7" t="str">
        <f aca="false">IF(B1145="Movie",IFERROR(VALUE(LEFT(I1145,FIND(" ",I1145)-1)),""),"")</f>
        <v/>
      </c>
      <c r="O1145" s="7" t="n">
        <f aca="false">IF(B1145="TV Show",IFERROR(VALUE(LEFT(I1145,FIND(" ",I1145)-1)),""),"")</f>
        <v>1</v>
      </c>
      <c r="P1145" s="7" t="n">
        <f aca="false">IF(K1145="","",K1145-G1145)</f>
        <v>0</v>
      </c>
    </row>
    <row r="1146" customFormat="false" ht="15" hidden="false" customHeight="false" outlineLevel="0" collapsed="false">
      <c r="A1146" s="7" t="n">
        <v>80199682</v>
      </c>
      <c r="B1146" s="7" t="s">
        <v>68</v>
      </c>
      <c r="C1146" s="7" t="s">
        <v>2714</v>
      </c>
      <c r="D1146" s="7" t="s">
        <v>2715</v>
      </c>
      <c r="E1146" s="7" t="s">
        <v>26</v>
      </c>
      <c r="F1146" s="7" t="s">
        <v>2716</v>
      </c>
      <c r="G1146" s="7" t="n">
        <v>2018</v>
      </c>
      <c r="H1146" s="7" t="s">
        <v>50</v>
      </c>
      <c r="I1146" s="7" t="s">
        <v>417</v>
      </c>
      <c r="J1146" s="7" t="s">
        <v>74</v>
      </c>
      <c r="K1146" s="7" t="n">
        <f aca="false">IFERROR(VALUE(RIGHT(TRIM(F1146),4)),"")</f>
        <v>2018</v>
      </c>
      <c r="L1146" s="7" t="str">
        <f aca="false">IF(TRIM(E1146)="","Unknown",IFERROR(LEFT(TRIM(E1146),FIND(",",TRIM(E1146))-1),TRIM(E1146)))</f>
        <v>United States</v>
      </c>
      <c r="M1146" s="7" t="str">
        <f aca="false">IFERROR(LEFT(J1146,FIND(",",J1146)-1),J1146)</f>
        <v>Children &amp; Family Movies</v>
      </c>
      <c r="N1146" s="7" t="n">
        <f aca="false">IF(B1146="Movie",IFERROR(VALUE(LEFT(I1146,FIND(" ",I1146)-1)),""),"")</f>
        <v>104</v>
      </c>
      <c r="O1146" s="7" t="str">
        <f aca="false">IF(B1146="TV Show",IFERROR(VALUE(LEFT(I1146,FIND(" ",I1146)-1)),""),"")</f>
        <v/>
      </c>
      <c r="P1146" s="7" t="n">
        <f aca="false">IF(K1146="","",K1146-G1146)</f>
        <v>0</v>
      </c>
    </row>
    <row r="1147" customFormat="false" ht="15" hidden="false" customHeight="false" outlineLevel="0" collapsed="false">
      <c r="A1147" s="7" t="n">
        <v>80214115</v>
      </c>
      <c r="B1147" s="7" t="s">
        <v>78</v>
      </c>
      <c r="C1147" s="7" t="s">
        <v>2717</v>
      </c>
      <c r="E1147" s="7" t="s">
        <v>32</v>
      </c>
      <c r="F1147" s="7" t="s">
        <v>2718</v>
      </c>
      <c r="G1147" s="7" t="n">
        <v>2017</v>
      </c>
      <c r="H1147" s="7" t="s">
        <v>48</v>
      </c>
      <c r="I1147" s="7" t="s">
        <v>82</v>
      </c>
      <c r="J1147" s="7" t="s">
        <v>852</v>
      </c>
      <c r="K1147" s="7" t="n">
        <f aca="false">IFERROR(VALUE(RIGHT(TRIM(F1147),4)),"")</f>
        <v>2017</v>
      </c>
      <c r="L1147" s="7" t="str">
        <f aca="false">IF(TRIM(E1147)="","Unknown",IFERROR(LEFT(TRIM(E1147),FIND(",",TRIM(E1147))-1),TRIM(E1147)))</f>
        <v>South Korea</v>
      </c>
      <c r="M1147" s="7" t="str">
        <f aca="false">IFERROR(LEFT(J1147,FIND(",",J1147)-1),J1147)</f>
        <v>International TV Shows</v>
      </c>
      <c r="N1147" s="7" t="str">
        <f aca="false">IF(B1147="Movie",IFERROR(VALUE(LEFT(I1147,FIND(" ",I1147)-1)),""),"")</f>
        <v/>
      </c>
      <c r="O1147" s="7" t="n">
        <f aca="false">IF(B1147="TV Show",IFERROR(VALUE(LEFT(I1147,FIND(" ",I1147)-1)),""),"")</f>
        <v>1</v>
      </c>
      <c r="P1147" s="7" t="n">
        <f aca="false">IF(K1147="","",K1147-G1147)</f>
        <v>0</v>
      </c>
    </row>
    <row r="1148" customFormat="false" ht="15" hidden="false" customHeight="false" outlineLevel="0" collapsed="false">
      <c r="A1148" s="7" t="n">
        <v>80203522</v>
      </c>
      <c r="B1148" s="7" t="s">
        <v>68</v>
      </c>
      <c r="C1148" s="7" t="s">
        <v>2719</v>
      </c>
      <c r="D1148" s="7" t="s">
        <v>2720</v>
      </c>
      <c r="E1148" s="7" t="s">
        <v>26</v>
      </c>
      <c r="F1148" s="7" t="s">
        <v>2718</v>
      </c>
      <c r="G1148" s="7" t="n">
        <v>2017</v>
      </c>
      <c r="H1148" s="7" t="s">
        <v>49</v>
      </c>
      <c r="I1148" s="7" t="s">
        <v>790</v>
      </c>
      <c r="J1148" s="7" t="s">
        <v>1927</v>
      </c>
      <c r="K1148" s="7" t="n">
        <f aca="false">IFERROR(VALUE(RIGHT(TRIM(F1148),4)),"")</f>
        <v>2017</v>
      </c>
      <c r="L1148" s="7" t="str">
        <f aca="false">IF(TRIM(E1148)="","Unknown",IFERROR(LEFT(TRIM(E1148),FIND(",",TRIM(E1148))-1),TRIM(E1148)))</f>
        <v>United States</v>
      </c>
      <c r="M1148" s="7" t="str">
        <f aca="false">IFERROR(LEFT(J1148,FIND(",",J1148)-1),J1148)</f>
        <v>Music &amp; Musicals</v>
      </c>
      <c r="N1148" s="7" t="n">
        <f aca="false">IF(B1148="Movie",IFERROR(VALUE(LEFT(I1148,FIND(" ",I1148)-1)),""),"")</f>
        <v>109</v>
      </c>
      <c r="O1148" s="7" t="str">
        <f aca="false">IF(B1148="TV Show",IFERROR(VALUE(LEFT(I1148,FIND(" ",I1148)-1)),""),"")</f>
        <v/>
      </c>
      <c r="P1148" s="7" t="n">
        <f aca="false">IF(K1148="","",K1148-G1148)</f>
        <v>0</v>
      </c>
    </row>
    <row r="1149" customFormat="false" ht="15" hidden="false" customHeight="false" outlineLevel="0" collapsed="false">
      <c r="A1149" s="7" t="n">
        <v>80097141</v>
      </c>
      <c r="B1149" s="7" t="s">
        <v>78</v>
      </c>
      <c r="C1149" s="7" t="s">
        <v>2721</v>
      </c>
      <c r="E1149" s="7" t="s">
        <v>26</v>
      </c>
      <c r="F1149" s="7" t="s">
        <v>2718</v>
      </c>
      <c r="G1149" s="7" t="n">
        <v>2017</v>
      </c>
      <c r="H1149" s="7" t="s">
        <v>48</v>
      </c>
      <c r="I1149" s="7" t="s">
        <v>82</v>
      </c>
      <c r="J1149" s="7" t="s">
        <v>2704</v>
      </c>
      <c r="K1149" s="7" t="n">
        <f aca="false">IFERROR(VALUE(RIGHT(TRIM(F1149),4)),"")</f>
        <v>2017</v>
      </c>
      <c r="L1149" s="7" t="str">
        <f aca="false">IF(TRIM(E1149)="","Unknown",IFERROR(LEFT(TRIM(E1149),FIND(",",TRIM(E1149))-1),TRIM(E1149)))</f>
        <v>United States</v>
      </c>
      <c r="M1149" s="7" t="str">
        <f aca="false">IFERROR(LEFT(J1149,FIND(",",J1149)-1),J1149)</f>
        <v>TV Dramas</v>
      </c>
      <c r="N1149" s="7" t="str">
        <f aca="false">IF(B1149="Movie",IFERROR(VALUE(LEFT(I1149,FIND(" ",I1149)-1)),""),"")</f>
        <v/>
      </c>
      <c r="O1149" s="7" t="n">
        <f aca="false">IF(B1149="TV Show",IFERROR(VALUE(LEFT(I1149,FIND(" ",I1149)-1)),""),"")</f>
        <v>1</v>
      </c>
      <c r="P1149" s="7" t="n">
        <f aca="false">IF(K1149="","",K1149-G1149)</f>
        <v>0</v>
      </c>
    </row>
    <row r="1150" customFormat="false" ht="15" hidden="false" customHeight="false" outlineLevel="0" collapsed="false">
      <c r="A1150" s="7" t="n">
        <v>80107037</v>
      </c>
      <c r="B1150" s="7" t="s">
        <v>68</v>
      </c>
      <c r="C1150" s="7" t="s">
        <v>2722</v>
      </c>
      <c r="D1150" s="7" t="s">
        <v>2723</v>
      </c>
      <c r="E1150" s="7" t="s">
        <v>27</v>
      </c>
      <c r="F1150" s="7" t="s">
        <v>2724</v>
      </c>
      <c r="G1150" s="7" t="n">
        <v>2015</v>
      </c>
      <c r="H1150" s="7" t="s">
        <v>48</v>
      </c>
      <c r="I1150" s="7" t="s">
        <v>264</v>
      </c>
      <c r="J1150" s="7" t="s">
        <v>2725</v>
      </c>
      <c r="K1150" s="7" t="n">
        <f aca="false">IFERROR(VALUE(RIGHT(TRIM(F1150),4)),"")</f>
        <v>2016</v>
      </c>
      <c r="L1150" s="7" t="str">
        <f aca="false">IF(TRIM(E1150)="","Unknown",IFERROR(LEFT(TRIM(E1150),FIND(",",TRIM(E1150))-1),TRIM(E1150)))</f>
        <v>India</v>
      </c>
      <c r="M1150" s="7" t="str">
        <f aca="false">IFERROR(LEFT(J1150,FIND(",",J1150)-1),J1150)</f>
        <v>Horror Movies</v>
      </c>
      <c r="N1150" s="7" t="n">
        <f aca="false">IF(B1150="Movie",IFERROR(VALUE(LEFT(I1150,FIND(" ",I1150)-1)),""),"")</f>
        <v>88</v>
      </c>
      <c r="O1150" s="7" t="str">
        <f aca="false">IF(B1150="TV Show",IFERROR(VALUE(LEFT(I1150,FIND(" ",I1150)-1)),""),"")</f>
        <v/>
      </c>
      <c r="P1150" s="7" t="n">
        <f aca="false">IF(K1150="","",K1150-G1150)</f>
        <v>1</v>
      </c>
    </row>
    <row r="1151" customFormat="false" ht="15" hidden="false" customHeight="false" outlineLevel="0" collapsed="false">
      <c r="A1151" s="7" t="n">
        <v>80077402</v>
      </c>
      <c r="B1151" s="7" t="s">
        <v>68</v>
      </c>
      <c r="C1151" s="7" t="s">
        <v>2726</v>
      </c>
      <c r="D1151" s="7" t="s">
        <v>2727</v>
      </c>
      <c r="E1151" s="7" t="s">
        <v>26</v>
      </c>
      <c r="F1151" s="7" t="s">
        <v>2724</v>
      </c>
      <c r="G1151" s="7" t="n">
        <v>2016</v>
      </c>
      <c r="H1151" s="7" t="s">
        <v>48</v>
      </c>
      <c r="I1151" s="7" t="s">
        <v>264</v>
      </c>
      <c r="J1151" s="7" t="s">
        <v>597</v>
      </c>
      <c r="K1151" s="7" t="n">
        <f aca="false">IFERROR(VALUE(RIGHT(TRIM(F1151),4)),"")</f>
        <v>2016</v>
      </c>
      <c r="L1151" s="7" t="str">
        <f aca="false">IF(TRIM(E1151)="","Unknown",IFERROR(LEFT(TRIM(E1151),FIND(",",TRIM(E1151))-1),TRIM(E1151)))</f>
        <v>United States</v>
      </c>
      <c r="M1151" s="7" t="str">
        <f aca="false">IFERROR(LEFT(J1151,FIND(",",J1151)-1),J1151)</f>
        <v>Dramas</v>
      </c>
      <c r="N1151" s="7" t="n">
        <f aca="false">IF(B1151="Movie",IFERROR(VALUE(LEFT(I1151,FIND(" ",I1151)-1)),""),"")</f>
        <v>88</v>
      </c>
      <c r="O1151" s="7" t="str">
        <f aca="false">IF(B1151="TV Show",IFERROR(VALUE(LEFT(I1151,FIND(" ",I1151)-1)),""),"")</f>
        <v/>
      </c>
      <c r="P1151" s="7" t="n">
        <f aca="false">IF(K1151="","",K1151-G1151)</f>
        <v>0</v>
      </c>
    </row>
    <row r="1152" customFormat="false" ht="15" hidden="false" customHeight="false" outlineLevel="0" collapsed="false">
      <c r="A1152" s="7" t="n">
        <v>80107219</v>
      </c>
      <c r="B1152" s="7" t="s">
        <v>68</v>
      </c>
      <c r="C1152" s="7" t="s">
        <v>2728</v>
      </c>
      <c r="D1152" s="7" t="s">
        <v>983</v>
      </c>
      <c r="E1152" s="7" t="s">
        <v>27</v>
      </c>
      <c r="F1152" s="7" t="s">
        <v>2724</v>
      </c>
      <c r="G1152" s="7" t="n">
        <v>2012</v>
      </c>
      <c r="H1152" s="7" t="s">
        <v>48</v>
      </c>
      <c r="I1152" s="7" t="s">
        <v>146</v>
      </c>
      <c r="J1152" s="7" t="s">
        <v>188</v>
      </c>
      <c r="K1152" s="7" t="n">
        <f aca="false">IFERROR(VALUE(RIGHT(TRIM(F1152),4)),"")</f>
        <v>2016</v>
      </c>
      <c r="L1152" s="7" t="str">
        <f aca="false">IF(TRIM(E1152)="","Unknown",IFERROR(LEFT(TRIM(E1152),FIND(",",TRIM(E1152))-1),TRIM(E1152)))</f>
        <v>India</v>
      </c>
      <c r="M1152" s="7" t="str">
        <f aca="false">IFERROR(LEFT(J1152,FIND(",",J1152)-1),J1152)</f>
        <v>Dramas</v>
      </c>
      <c r="N1152" s="7" t="n">
        <f aca="false">IF(B1152="Movie",IFERROR(VALUE(LEFT(I1152,FIND(" ",I1152)-1)),""),"")</f>
        <v>113</v>
      </c>
      <c r="O1152" s="7" t="str">
        <f aca="false">IF(B1152="TV Show",IFERROR(VALUE(LEFT(I1152,FIND(" ",I1152)-1)),""),"")</f>
        <v/>
      </c>
      <c r="P1152" s="7" t="n">
        <f aca="false">IF(K1152="","",K1152-G1152)</f>
        <v>4</v>
      </c>
    </row>
    <row r="1153" customFormat="false" ht="15" hidden="false" customHeight="false" outlineLevel="0" collapsed="false">
      <c r="A1153" s="7" t="n">
        <v>60023606</v>
      </c>
      <c r="B1153" s="7" t="s">
        <v>68</v>
      </c>
      <c r="C1153" s="7" t="s">
        <v>2729</v>
      </c>
      <c r="D1153" s="7" t="s">
        <v>2730</v>
      </c>
      <c r="E1153" s="7" t="s">
        <v>2731</v>
      </c>
      <c r="F1153" s="7" t="s">
        <v>2732</v>
      </c>
      <c r="G1153" s="7" t="n">
        <v>2002</v>
      </c>
      <c r="H1153" s="7" t="s">
        <v>52</v>
      </c>
      <c r="I1153" s="7" t="s">
        <v>919</v>
      </c>
      <c r="J1153" s="7" t="s">
        <v>370</v>
      </c>
      <c r="K1153" s="7" t="n">
        <f aca="false">IFERROR(VALUE(RIGHT(TRIM(F1153),4)),"")</f>
        <v>2019</v>
      </c>
      <c r="L1153" s="7" t="str">
        <f aca="false">IF(TRIM(E1153)="","Unknown",IFERROR(LEFT(TRIM(E1153),FIND(",",TRIM(E1153))-1),TRIM(E1153)))</f>
        <v>United Kingdom</v>
      </c>
      <c r="M1153" s="7" t="str">
        <f aca="false">IFERROR(LEFT(J1153,FIND(",",J1153)-1),J1153)</f>
        <v>Action &amp; Adventure</v>
      </c>
      <c r="N1153" s="7" t="n">
        <f aca="false">IF(B1153="Movie",IFERROR(VALUE(LEFT(I1153,FIND(" ",I1153)-1)),""),"")</f>
        <v>138</v>
      </c>
      <c r="O1153" s="7" t="str">
        <f aca="false">IF(B1153="TV Show",IFERROR(VALUE(LEFT(I1153,FIND(" ",I1153)-1)),""),"")</f>
        <v/>
      </c>
      <c r="P1153" s="7" t="n">
        <f aca="false">IF(K1153="","",K1153-G1153)</f>
        <v>17</v>
      </c>
    </row>
    <row r="1154" customFormat="false" ht="15" hidden="false" customHeight="false" outlineLevel="0" collapsed="false">
      <c r="A1154" s="7" t="n">
        <v>80241539</v>
      </c>
      <c r="B1154" s="7" t="s">
        <v>78</v>
      </c>
      <c r="C1154" s="7" t="s">
        <v>2733</v>
      </c>
      <c r="E1154" s="7" t="s">
        <v>31</v>
      </c>
      <c r="F1154" s="7" t="s">
        <v>2732</v>
      </c>
      <c r="G1154" s="7" t="n">
        <v>2019</v>
      </c>
      <c r="H1154" s="7" t="s">
        <v>48</v>
      </c>
      <c r="I1154" s="7" t="s">
        <v>82</v>
      </c>
      <c r="J1154" s="7" t="s">
        <v>402</v>
      </c>
      <c r="K1154" s="7" t="n">
        <f aca="false">IFERROR(VALUE(RIGHT(TRIM(F1154),4)),"")</f>
        <v>2019</v>
      </c>
      <c r="L1154" s="7" t="str">
        <f aca="false">IF(TRIM(E1154)="","Unknown",IFERROR(LEFT(TRIM(E1154),FIND(",",TRIM(E1154))-1),TRIM(E1154)))</f>
        <v>France</v>
      </c>
      <c r="M1154" s="7" t="str">
        <f aca="false">IFERROR(LEFT(J1154,FIND(",",J1154)-1),J1154)</f>
        <v>Crime TV Shows</v>
      </c>
      <c r="N1154" s="7" t="str">
        <f aca="false">IF(B1154="Movie",IFERROR(VALUE(LEFT(I1154,FIND(" ",I1154)-1)),""),"")</f>
        <v/>
      </c>
      <c r="O1154" s="7" t="n">
        <f aca="false">IF(B1154="TV Show",IFERROR(VALUE(LEFT(I1154,FIND(" ",I1154)-1)),""),"")</f>
        <v>1</v>
      </c>
      <c r="P1154" s="7" t="n">
        <f aca="false">IF(K1154="","",K1154-G1154)</f>
        <v>0</v>
      </c>
    </row>
    <row r="1155" customFormat="false" ht="15" hidden="false" customHeight="false" outlineLevel="0" collapsed="false">
      <c r="A1155" s="7" t="n">
        <v>81026188</v>
      </c>
      <c r="B1155" s="7" t="s">
        <v>68</v>
      </c>
      <c r="C1155" s="7" t="s">
        <v>2734</v>
      </c>
      <c r="D1155" s="7" t="s">
        <v>2735</v>
      </c>
      <c r="E1155" s="7" t="s">
        <v>26</v>
      </c>
      <c r="F1155" s="7" t="s">
        <v>2732</v>
      </c>
      <c r="G1155" s="7" t="n">
        <v>2019</v>
      </c>
      <c r="H1155" s="7" t="s">
        <v>49</v>
      </c>
      <c r="I1155" s="7" t="s">
        <v>272</v>
      </c>
      <c r="J1155" s="7" t="s">
        <v>829</v>
      </c>
      <c r="K1155" s="7" t="n">
        <f aca="false">IFERROR(VALUE(RIGHT(TRIM(F1155),4)),"")</f>
        <v>2019</v>
      </c>
      <c r="L1155" s="7" t="str">
        <f aca="false">IF(TRIM(E1155)="","Unknown",IFERROR(LEFT(TRIM(E1155),FIND(",",TRIM(E1155))-1),TRIM(E1155)))</f>
        <v>United States</v>
      </c>
      <c r="M1155" s="7" t="str">
        <f aca="false">IFERROR(LEFT(J1155,FIND(",",J1155)-1),J1155)</f>
        <v>Children &amp; Family Movies</v>
      </c>
      <c r="N1155" s="7" t="n">
        <f aca="false">IF(B1155="Movie",IFERROR(VALUE(LEFT(I1155,FIND(" ",I1155)-1)),""),"")</f>
        <v>93</v>
      </c>
      <c r="O1155" s="7" t="str">
        <f aca="false">IF(B1155="TV Show",IFERROR(VALUE(LEFT(I1155,FIND(" ",I1155)-1)),""),"")</f>
        <v/>
      </c>
      <c r="P1155" s="7" t="n">
        <f aca="false">IF(K1155="","",K1155-G1155)</f>
        <v>0</v>
      </c>
    </row>
    <row r="1156" customFormat="false" ht="15" hidden="false" customHeight="false" outlineLevel="0" collapsed="false">
      <c r="A1156" s="7" t="n">
        <v>80080109</v>
      </c>
      <c r="B1156" s="7" t="s">
        <v>68</v>
      </c>
      <c r="C1156" s="7" t="s">
        <v>2736</v>
      </c>
      <c r="D1156" s="7" t="s">
        <v>2737</v>
      </c>
      <c r="E1156" s="7" t="s">
        <v>26</v>
      </c>
      <c r="F1156" s="7" t="s">
        <v>2738</v>
      </c>
      <c r="G1156" s="7" t="n">
        <v>2015</v>
      </c>
      <c r="H1156" s="7" t="s">
        <v>51</v>
      </c>
      <c r="I1156" s="7" t="s">
        <v>93</v>
      </c>
      <c r="J1156" s="7" t="s">
        <v>39</v>
      </c>
      <c r="K1156" s="7" t="n">
        <f aca="false">IFERROR(VALUE(RIGHT(TRIM(F1156),4)),"")</f>
        <v>2018</v>
      </c>
      <c r="L1156" s="7" t="str">
        <f aca="false">IF(TRIM(E1156)="","Unknown",IFERROR(LEFT(TRIM(E1156),FIND(",",TRIM(E1156))-1),TRIM(E1156)))</f>
        <v>United States</v>
      </c>
      <c r="M1156" s="7" t="str">
        <f aca="false">IFERROR(LEFT(J1156,FIND(",",J1156)-1),J1156)</f>
        <v>Documentaries</v>
      </c>
      <c r="N1156" s="7" t="n">
        <f aca="false">IF(B1156="Movie",IFERROR(VALUE(LEFT(I1156,FIND(" ",I1156)-1)),""),"")</f>
        <v>110</v>
      </c>
      <c r="O1156" s="7" t="str">
        <f aca="false">IF(B1156="TV Show",IFERROR(VALUE(LEFT(I1156,FIND(" ",I1156)-1)),""),"")</f>
        <v/>
      </c>
      <c r="P1156" s="7" t="n">
        <f aca="false">IF(K1156="","",K1156-G1156)</f>
        <v>3</v>
      </c>
    </row>
    <row r="1157" customFormat="false" ht="15" hidden="false" customHeight="false" outlineLevel="0" collapsed="false">
      <c r="A1157" s="7" t="n">
        <v>80993625</v>
      </c>
      <c r="B1157" s="7" t="s">
        <v>78</v>
      </c>
      <c r="C1157" s="7" t="s">
        <v>2739</v>
      </c>
      <c r="E1157" s="7" t="s">
        <v>167</v>
      </c>
      <c r="F1157" s="7" t="s">
        <v>2738</v>
      </c>
      <c r="G1157" s="7" t="n">
        <v>2018</v>
      </c>
      <c r="H1157" s="7" t="s">
        <v>48</v>
      </c>
      <c r="I1157" s="7" t="s">
        <v>82</v>
      </c>
      <c r="J1157" s="7" t="s">
        <v>158</v>
      </c>
      <c r="K1157" s="7" t="n">
        <f aca="false">IFERROR(VALUE(RIGHT(TRIM(F1157),4)),"")</f>
        <v>2018</v>
      </c>
      <c r="L1157" s="7" t="str">
        <f aca="false">IF(TRIM(E1157)="","Unknown",IFERROR(LEFT(TRIM(E1157),FIND(",",TRIM(E1157))-1),TRIM(E1157)))</f>
        <v>Thailand</v>
      </c>
      <c r="M1157" s="7" t="str">
        <f aca="false">IFERROR(LEFT(J1157,FIND(",",J1157)-1),J1157)</f>
        <v>International TV Shows</v>
      </c>
      <c r="N1157" s="7" t="str">
        <f aca="false">IF(B1157="Movie",IFERROR(VALUE(LEFT(I1157,FIND(" ",I1157)-1)),""),"")</f>
        <v/>
      </c>
      <c r="O1157" s="7" t="n">
        <f aca="false">IF(B1157="TV Show",IFERROR(VALUE(LEFT(I1157,FIND(" ",I1157)-1)),""),"")</f>
        <v>1</v>
      </c>
      <c r="P1157" s="7" t="n">
        <f aca="false">IF(K1157="","",K1157-G1157)</f>
        <v>0</v>
      </c>
    </row>
    <row r="1158" customFormat="false" ht="15" hidden="false" customHeight="false" outlineLevel="0" collapsed="false">
      <c r="A1158" s="7" t="n">
        <v>80988835</v>
      </c>
      <c r="B1158" s="7" t="s">
        <v>68</v>
      </c>
      <c r="C1158" s="7" t="s">
        <v>2740</v>
      </c>
      <c r="D1158" s="7" t="s">
        <v>2741</v>
      </c>
      <c r="E1158" s="7" t="s">
        <v>33</v>
      </c>
      <c r="F1158" s="7" t="s">
        <v>2738</v>
      </c>
      <c r="G1158" s="7" t="n">
        <v>2018</v>
      </c>
      <c r="H1158" s="7" t="s">
        <v>48</v>
      </c>
      <c r="I1158" s="7" t="s">
        <v>470</v>
      </c>
      <c r="J1158" s="7" t="s">
        <v>202</v>
      </c>
      <c r="K1158" s="7" t="n">
        <f aca="false">IFERROR(VALUE(RIGHT(TRIM(F1158),4)),"")</f>
        <v>2018</v>
      </c>
      <c r="L1158" s="7" t="str">
        <f aca="false">IF(TRIM(E1158)="","Unknown",IFERROR(LEFT(TRIM(E1158),FIND(",",TRIM(E1158))-1),TRIM(E1158)))</f>
        <v>Spain</v>
      </c>
      <c r="M1158" s="7" t="str">
        <f aca="false">IFERROR(LEFT(J1158,FIND(",",J1158)-1),J1158)</f>
        <v>Comedies</v>
      </c>
      <c r="N1158" s="7" t="n">
        <f aca="false">IF(B1158="Movie",IFERROR(VALUE(LEFT(I1158,FIND(" ",I1158)-1)),""),"")</f>
        <v>91</v>
      </c>
      <c r="O1158" s="7" t="str">
        <f aca="false">IF(B1158="TV Show",IFERROR(VALUE(LEFT(I1158,FIND(" ",I1158)-1)),""),"")</f>
        <v/>
      </c>
      <c r="P1158" s="7" t="n">
        <f aca="false">IF(K1158="","",K1158-G1158)</f>
        <v>0</v>
      </c>
    </row>
    <row r="1159" customFormat="false" ht="15" hidden="false" customHeight="false" outlineLevel="0" collapsed="false">
      <c r="A1159" s="7" t="n">
        <v>80208104</v>
      </c>
      <c r="B1159" s="7" t="s">
        <v>68</v>
      </c>
      <c r="C1159" s="7" t="s">
        <v>2742</v>
      </c>
      <c r="D1159" s="7" t="s">
        <v>2743</v>
      </c>
      <c r="E1159" s="7" t="s">
        <v>2744</v>
      </c>
      <c r="F1159" s="7" t="s">
        <v>2745</v>
      </c>
      <c r="G1159" s="7" t="n">
        <v>2017</v>
      </c>
      <c r="H1159" s="7" t="s">
        <v>119</v>
      </c>
      <c r="I1159" s="7" t="s">
        <v>1642</v>
      </c>
      <c r="J1159" s="7" t="s">
        <v>349</v>
      </c>
      <c r="K1159" s="7" t="n">
        <f aca="false">IFERROR(VALUE(RIGHT(TRIM(F1159),4)),"")</f>
        <v>2017</v>
      </c>
      <c r="L1159" s="7" t="str">
        <f aca="false">IF(TRIM(E1159)="","Unknown",IFERROR(LEFT(TRIM(E1159),FIND(",",TRIM(E1159))-1),TRIM(E1159)))</f>
        <v>Australia</v>
      </c>
      <c r="M1159" s="7" t="str">
        <f aca="false">IFERROR(LEFT(J1159,FIND(",",J1159)-1),J1159)</f>
        <v>Children &amp; Family Movies</v>
      </c>
      <c r="N1159" s="7" t="n">
        <f aca="false">IF(B1159="Movie",IFERROR(VALUE(LEFT(I1159,FIND(" ",I1159)-1)),""),"")</f>
        <v>51</v>
      </c>
      <c r="O1159" s="7" t="str">
        <f aca="false">IF(B1159="TV Show",IFERROR(VALUE(LEFT(I1159,FIND(" ",I1159)-1)),""),"")</f>
        <v/>
      </c>
      <c r="P1159" s="7" t="n">
        <f aca="false">IF(K1159="","",K1159-G1159)</f>
        <v>0</v>
      </c>
    </row>
    <row r="1160" customFormat="false" ht="15" hidden="false" customHeight="false" outlineLevel="0" collapsed="false">
      <c r="A1160" s="7" t="n">
        <v>80134827</v>
      </c>
      <c r="B1160" s="7" t="s">
        <v>68</v>
      </c>
      <c r="C1160" s="7" t="s">
        <v>2746</v>
      </c>
      <c r="D1160" s="7" t="s">
        <v>476</v>
      </c>
      <c r="E1160" s="7" t="s">
        <v>26</v>
      </c>
      <c r="F1160" s="7" t="s">
        <v>2745</v>
      </c>
      <c r="G1160" s="7" t="n">
        <v>2017</v>
      </c>
      <c r="H1160" s="7" t="s">
        <v>50</v>
      </c>
      <c r="I1160" s="7" t="s">
        <v>123</v>
      </c>
      <c r="J1160" s="7" t="s">
        <v>45</v>
      </c>
      <c r="K1160" s="7" t="n">
        <f aca="false">IFERROR(VALUE(RIGHT(TRIM(F1160),4)),"")</f>
        <v>2017</v>
      </c>
      <c r="L1160" s="7" t="str">
        <f aca="false">IF(TRIM(E1160)="","Unknown",IFERROR(LEFT(TRIM(E1160),FIND(",",TRIM(E1160))-1),TRIM(E1160)))</f>
        <v>United States</v>
      </c>
      <c r="M1160" s="7" t="str">
        <f aca="false">IFERROR(LEFT(J1160,FIND(",",J1160)-1),J1160)</f>
        <v>Stand-Up Comedy</v>
      </c>
      <c r="N1160" s="7" t="n">
        <f aca="false">IF(B1160="Movie",IFERROR(VALUE(LEFT(I1160,FIND(" ",I1160)-1)),""),"")</f>
        <v>61</v>
      </c>
      <c r="O1160" s="7" t="str">
        <f aca="false">IF(B1160="TV Show",IFERROR(VALUE(LEFT(I1160,FIND(" ",I1160)-1)),""),"")</f>
        <v/>
      </c>
      <c r="P1160" s="7" t="n">
        <f aca="false">IF(K1160="","",K1160-G1160)</f>
        <v>0</v>
      </c>
    </row>
    <row r="1161" customFormat="false" ht="15" hidden="false" customHeight="false" outlineLevel="0" collapsed="false">
      <c r="A1161" s="7" t="n">
        <v>80127558</v>
      </c>
      <c r="B1161" s="7" t="s">
        <v>68</v>
      </c>
      <c r="C1161" s="7" t="s">
        <v>2747</v>
      </c>
      <c r="D1161" s="7" t="s">
        <v>2748</v>
      </c>
      <c r="E1161" s="7" t="s">
        <v>26</v>
      </c>
      <c r="F1161" s="7" t="s">
        <v>2745</v>
      </c>
      <c r="G1161" s="7" t="n">
        <v>2017</v>
      </c>
      <c r="H1161" s="7" t="s">
        <v>50</v>
      </c>
      <c r="I1161" s="7" t="s">
        <v>1191</v>
      </c>
      <c r="J1161" s="7" t="s">
        <v>39</v>
      </c>
      <c r="K1161" s="7" t="n">
        <f aca="false">IFERROR(VALUE(RIGHT(TRIM(F1161),4)),"")</f>
        <v>2017</v>
      </c>
      <c r="L1161" s="7" t="str">
        <f aca="false">IF(TRIM(E1161)="","Unknown",IFERROR(LEFT(TRIM(E1161),FIND(",",TRIM(E1161))-1),TRIM(E1161)))</f>
        <v>United States</v>
      </c>
      <c r="M1161" s="7" t="str">
        <f aca="false">IFERROR(LEFT(J1161,FIND(",",J1161)-1),J1161)</f>
        <v>Documentaries</v>
      </c>
      <c r="N1161" s="7" t="n">
        <f aca="false">IF(B1161="Movie",IFERROR(VALUE(LEFT(I1161,FIND(" ",I1161)-1)),""),"")</f>
        <v>73</v>
      </c>
      <c r="O1161" s="7" t="str">
        <f aca="false">IF(B1161="TV Show",IFERROR(VALUE(LEFT(I1161,FIND(" ",I1161)-1)),""),"")</f>
        <v/>
      </c>
      <c r="P1161" s="7" t="n">
        <f aca="false">IF(K1161="","",K1161-G1161)</f>
        <v>0</v>
      </c>
    </row>
    <row r="1162" customFormat="false" ht="15" hidden="false" customHeight="false" outlineLevel="0" collapsed="false">
      <c r="A1162" s="7" t="n">
        <v>80158084</v>
      </c>
      <c r="B1162" s="7" t="s">
        <v>68</v>
      </c>
      <c r="C1162" s="7" t="s">
        <v>2749</v>
      </c>
      <c r="D1162" s="7" t="s">
        <v>2750</v>
      </c>
      <c r="E1162" s="7" t="s">
        <v>26</v>
      </c>
      <c r="F1162" s="7" t="s">
        <v>2745</v>
      </c>
      <c r="G1162" s="7" t="n">
        <v>2017</v>
      </c>
      <c r="H1162" s="7" t="s">
        <v>50</v>
      </c>
      <c r="I1162" s="7" t="s">
        <v>146</v>
      </c>
      <c r="J1162" s="7" t="s">
        <v>1558</v>
      </c>
      <c r="K1162" s="7" t="n">
        <f aca="false">IFERROR(VALUE(RIGHT(TRIM(F1162),4)),"")</f>
        <v>2017</v>
      </c>
      <c r="L1162" s="7" t="str">
        <f aca="false">IF(TRIM(E1162)="","Unknown",IFERROR(LEFT(TRIM(E1162),FIND(",",TRIM(E1162))-1),TRIM(E1162)))</f>
        <v>United States</v>
      </c>
      <c r="M1162" s="7" t="str">
        <f aca="false">IFERROR(LEFT(J1162,FIND(",",J1162)-1),J1162)</f>
        <v>Dramas</v>
      </c>
      <c r="N1162" s="7" t="n">
        <f aca="false">IF(B1162="Movie",IFERROR(VALUE(LEFT(I1162,FIND(" ",I1162)-1)),""),"")</f>
        <v>113</v>
      </c>
      <c r="O1162" s="7" t="str">
        <f aca="false">IF(B1162="TV Show",IFERROR(VALUE(LEFT(I1162,FIND(" ",I1162)-1)),""),"")</f>
        <v/>
      </c>
      <c r="P1162" s="7" t="n">
        <f aca="false">IF(K1162="","",K1162-G1162)</f>
        <v>0</v>
      </c>
    </row>
    <row r="1163" customFormat="false" ht="15" hidden="false" customHeight="false" outlineLevel="0" collapsed="false">
      <c r="A1163" s="7" t="n">
        <v>80124725</v>
      </c>
      <c r="B1163" s="7" t="s">
        <v>68</v>
      </c>
      <c r="C1163" s="7" t="s">
        <v>2751</v>
      </c>
      <c r="D1163" s="7" t="s">
        <v>2752</v>
      </c>
      <c r="E1163" s="7" t="s">
        <v>34</v>
      </c>
      <c r="F1163" s="7" t="s">
        <v>2753</v>
      </c>
      <c r="G1163" s="7" t="n">
        <v>2016</v>
      </c>
      <c r="H1163" s="7" t="s">
        <v>48</v>
      </c>
      <c r="I1163" s="7" t="s">
        <v>876</v>
      </c>
      <c r="J1163" s="7" t="s">
        <v>45</v>
      </c>
      <c r="K1163" s="7" t="n">
        <f aca="false">IFERROR(VALUE(RIGHT(TRIM(F1163),4)),"")</f>
        <v>2016</v>
      </c>
      <c r="L1163" s="7" t="str">
        <f aca="false">IF(TRIM(E1163)="","Unknown",IFERROR(LEFT(TRIM(E1163),FIND(",",TRIM(E1163))-1),TRIM(E1163)))</f>
        <v>Mexico</v>
      </c>
      <c r="M1163" s="7" t="str">
        <f aca="false">IFERROR(LEFT(J1163,FIND(",",J1163)-1),J1163)</f>
        <v>Stand-Up Comedy</v>
      </c>
      <c r="N1163" s="7" t="n">
        <f aca="false">IF(B1163="Movie",IFERROR(VALUE(LEFT(I1163,FIND(" ",I1163)-1)),""),"")</f>
        <v>67</v>
      </c>
      <c r="O1163" s="7" t="str">
        <f aca="false">IF(B1163="TV Show",IFERROR(VALUE(LEFT(I1163,FIND(" ",I1163)-1)),""),"")</f>
        <v/>
      </c>
      <c r="P1163" s="7" t="n">
        <f aca="false">IF(K1163="","",K1163-G1163)</f>
        <v>0</v>
      </c>
    </row>
    <row r="1164" customFormat="false" ht="15" hidden="false" customHeight="false" outlineLevel="0" collapsed="false">
      <c r="A1164" s="7" t="n">
        <v>70267398</v>
      </c>
      <c r="B1164" s="7" t="s">
        <v>68</v>
      </c>
      <c r="C1164" s="7" t="s">
        <v>2754</v>
      </c>
      <c r="D1164" s="7" t="s">
        <v>2755</v>
      </c>
      <c r="E1164" s="7" t="s">
        <v>2756</v>
      </c>
      <c r="F1164" s="7" t="s">
        <v>2757</v>
      </c>
      <c r="G1164" s="7" t="n">
        <v>2013</v>
      </c>
      <c r="H1164" s="7" t="s">
        <v>51</v>
      </c>
      <c r="I1164" s="7" t="s">
        <v>326</v>
      </c>
      <c r="J1164" s="7" t="s">
        <v>188</v>
      </c>
      <c r="K1164" s="7" t="n">
        <f aca="false">IFERROR(VALUE(RIGHT(TRIM(F1164),4)),"")</f>
        <v>2019</v>
      </c>
      <c r="L1164" s="7" t="str">
        <f aca="false">IF(TRIM(E1164)="","Unknown",IFERROR(LEFT(TRIM(E1164),FIND(",",TRIM(E1164))-1),TRIM(E1164)))</f>
        <v>Australia</v>
      </c>
      <c r="M1164" s="7" t="str">
        <f aca="false">IFERROR(LEFT(J1164,FIND(",",J1164)-1),J1164)</f>
        <v>Dramas</v>
      </c>
      <c r="N1164" s="7" t="n">
        <f aca="false">IF(B1164="Movie",IFERROR(VALUE(LEFT(I1164,FIND(" ",I1164)-1)),""),"")</f>
        <v>111</v>
      </c>
      <c r="O1164" s="7" t="str">
        <f aca="false">IF(B1164="TV Show",IFERROR(VALUE(LEFT(I1164,FIND(" ",I1164)-1)),""),"")</f>
        <v/>
      </c>
      <c r="P1164" s="7" t="n">
        <f aca="false">IF(K1164="","",K1164-G1164)</f>
        <v>6</v>
      </c>
    </row>
    <row r="1165" customFormat="false" ht="15" hidden="false" customHeight="false" outlineLevel="0" collapsed="false">
      <c r="A1165" s="7" t="n">
        <v>81152643</v>
      </c>
      <c r="B1165" s="7" t="s">
        <v>78</v>
      </c>
      <c r="C1165" s="7" t="s">
        <v>2758</v>
      </c>
      <c r="F1165" s="7" t="s">
        <v>2757</v>
      </c>
      <c r="G1165" s="7" t="n">
        <v>2019</v>
      </c>
      <c r="H1165" s="7" t="s">
        <v>49</v>
      </c>
      <c r="I1165" s="7" t="s">
        <v>82</v>
      </c>
      <c r="J1165" s="7" t="s">
        <v>335</v>
      </c>
      <c r="K1165" s="7" t="n">
        <f aca="false">IFERROR(VALUE(RIGHT(TRIM(F1165),4)),"")</f>
        <v>2019</v>
      </c>
      <c r="L1165" s="7" t="str">
        <f aca="false">IF(TRIM(E1165)="","Unknown",IFERROR(LEFT(TRIM(E1165),FIND(",",TRIM(E1165))-1),TRIM(E1165)))</f>
        <v>Unknown</v>
      </c>
      <c r="M1165" s="7" t="str">
        <f aca="false">IFERROR(LEFT(J1165,FIND(",",J1165)-1),J1165)</f>
        <v>International TV Shows</v>
      </c>
      <c r="N1165" s="7" t="str">
        <f aca="false">IF(B1165="Movie",IFERROR(VALUE(LEFT(I1165,FIND(" ",I1165)-1)),""),"")</f>
        <v/>
      </c>
      <c r="O1165" s="7" t="n">
        <f aca="false">IF(B1165="TV Show",IFERROR(VALUE(LEFT(I1165,FIND(" ",I1165)-1)),""),"")</f>
        <v>1</v>
      </c>
      <c r="P1165" s="7" t="n">
        <f aca="false">IF(K1165="","",K1165-G1165)</f>
        <v>0</v>
      </c>
    </row>
    <row r="1166" customFormat="false" ht="15" hidden="false" customHeight="false" outlineLevel="0" collapsed="false">
      <c r="A1166" s="7" t="n">
        <v>80108983</v>
      </c>
      <c r="B1166" s="7" t="s">
        <v>68</v>
      </c>
      <c r="C1166" s="7" t="s">
        <v>2759</v>
      </c>
      <c r="D1166" s="7" t="s">
        <v>2760</v>
      </c>
      <c r="E1166" s="7" t="s">
        <v>26</v>
      </c>
      <c r="F1166" s="7" t="s">
        <v>2757</v>
      </c>
      <c r="G1166" s="7" t="n">
        <v>2016</v>
      </c>
      <c r="H1166" s="7" t="s">
        <v>54</v>
      </c>
      <c r="I1166" s="7" t="s">
        <v>264</v>
      </c>
      <c r="J1166" s="7" t="s">
        <v>2761</v>
      </c>
      <c r="K1166" s="7" t="n">
        <f aca="false">IFERROR(VALUE(RIGHT(TRIM(F1166),4)),"")</f>
        <v>2019</v>
      </c>
      <c r="L1166" s="7" t="str">
        <f aca="false">IF(TRIM(E1166)="","Unknown",IFERROR(LEFT(TRIM(E1166),FIND(",",TRIM(E1166))-1),TRIM(E1166)))</f>
        <v>United States</v>
      </c>
      <c r="M1166" s="7" t="str">
        <f aca="false">IFERROR(LEFT(J1166,FIND(",",J1166)-1),J1166)</f>
        <v>Comedies</v>
      </c>
      <c r="N1166" s="7" t="n">
        <f aca="false">IF(B1166="Movie",IFERROR(VALUE(LEFT(I1166,FIND(" ",I1166)-1)),""),"")</f>
        <v>88</v>
      </c>
      <c r="O1166" s="7" t="str">
        <f aca="false">IF(B1166="TV Show",IFERROR(VALUE(LEFT(I1166,FIND(" ",I1166)-1)),""),"")</f>
        <v/>
      </c>
      <c r="P1166" s="7" t="n">
        <f aca="false">IF(K1166="","",K1166-G1166)</f>
        <v>3</v>
      </c>
    </row>
    <row r="1167" customFormat="false" ht="15" hidden="false" customHeight="false" outlineLevel="0" collapsed="false">
      <c r="A1167" s="7" t="n">
        <v>292118</v>
      </c>
      <c r="B1167" s="7" t="s">
        <v>68</v>
      </c>
      <c r="C1167" s="7" t="s">
        <v>2762</v>
      </c>
      <c r="D1167" s="7" t="s">
        <v>2763</v>
      </c>
      <c r="E1167" s="7" t="s">
        <v>26</v>
      </c>
      <c r="F1167" s="7" t="s">
        <v>2757</v>
      </c>
      <c r="G1167" s="7" t="n">
        <v>1996</v>
      </c>
      <c r="H1167" s="7" t="s">
        <v>52</v>
      </c>
      <c r="I1167" s="7" t="s">
        <v>467</v>
      </c>
      <c r="J1167" s="7" t="s">
        <v>941</v>
      </c>
      <c r="K1167" s="7" t="n">
        <f aca="false">IFERROR(VALUE(RIGHT(TRIM(F1167),4)),"")</f>
        <v>2019</v>
      </c>
      <c r="L1167" s="7" t="str">
        <f aca="false">IF(TRIM(E1167)="","Unknown",IFERROR(LEFT(TRIM(E1167),FIND(",",TRIM(E1167))-1),TRIM(E1167)))</f>
        <v>United States</v>
      </c>
      <c r="M1167" s="7" t="str">
        <f aca="false">IFERROR(LEFT(J1167,FIND(",",J1167)-1),J1167)</f>
        <v>Comedies</v>
      </c>
      <c r="N1167" s="7" t="n">
        <f aca="false">IF(B1167="Movie",IFERROR(VALUE(LEFT(I1167,FIND(" ",I1167)-1)),""),"")</f>
        <v>81</v>
      </c>
      <c r="O1167" s="7" t="str">
        <f aca="false">IF(B1167="TV Show",IFERROR(VALUE(LEFT(I1167,FIND(" ",I1167)-1)),""),"")</f>
        <v/>
      </c>
      <c r="P1167" s="7" t="n">
        <f aca="false">IF(K1167="","",K1167-G1167)</f>
        <v>23</v>
      </c>
    </row>
    <row r="1168" customFormat="false" ht="15" hidden="false" customHeight="false" outlineLevel="0" collapsed="false">
      <c r="A1168" s="7" t="n">
        <v>70003046</v>
      </c>
      <c r="B1168" s="7" t="s">
        <v>68</v>
      </c>
      <c r="C1168" s="7" t="s">
        <v>2764</v>
      </c>
      <c r="D1168" s="7" t="s">
        <v>2765</v>
      </c>
      <c r="E1168" s="7" t="s">
        <v>26</v>
      </c>
      <c r="F1168" s="7" t="s">
        <v>2757</v>
      </c>
      <c r="G1168" s="7" t="n">
        <v>1992</v>
      </c>
      <c r="H1168" s="7" t="s">
        <v>52</v>
      </c>
      <c r="I1168" s="7" t="s">
        <v>1191</v>
      </c>
      <c r="J1168" s="7" t="s">
        <v>38</v>
      </c>
      <c r="K1168" s="7" t="n">
        <f aca="false">IFERROR(VALUE(RIGHT(TRIM(F1168),4)),"")</f>
        <v>2019</v>
      </c>
      <c r="L1168" s="7" t="str">
        <f aca="false">IF(TRIM(E1168)="","Unknown",IFERROR(LEFT(TRIM(E1168),FIND(",",TRIM(E1168))-1),TRIM(E1168)))</f>
        <v>United States</v>
      </c>
      <c r="M1168" s="7" t="str">
        <f aca="false">IFERROR(LEFT(J1168,FIND(",",J1168)-1),J1168)</f>
        <v>Comedies</v>
      </c>
      <c r="N1168" s="7" t="n">
        <f aca="false">IF(B1168="Movie",IFERROR(VALUE(LEFT(I1168,FIND(" ",I1168)-1)),""),"")</f>
        <v>73</v>
      </c>
      <c r="O1168" s="7" t="str">
        <f aca="false">IF(B1168="TV Show",IFERROR(VALUE(LEFT(I1168,FIND(" ",I1168)-1)),""),"")</f>
        <v/>
      </c>
      <c r="P1168" s="7" t="n">
        <f aca="false">IF(K1168="","",K1168-G1168)</f>
        <v>27</v>
      </c>
    </row>
    <row r="1169" customFormat="false" ht="15" hidden="false" customHeight="false" outlineLevel="0" collapsed="false">
      <c r="A1169" s="7" t="n">
        <v>80221584</v>
      </c>
      <c r="B1169" s="7" t="s">
        <v>68</v>
      </c>
      <c r="C1169" s="7" t="s">
        <v>2766</v>
      </c>
      <c r="D1169" s="7" t="s">
        <v>2767</v>
      </c>
      <c r="E1169" s="7" t="s">
        <v>26</v>
      </c>
      <c r="F1169" s="7" t="s">
        <v>2757</v>
      </c>
      <c r="G1169" s="7" t="n">
        <v>2019</v>
      </c>
      <c r="H1169" s="7" t="s">
        <v>48</v>
      </c>
      <c r="I1169" s="7" t="s">
        <v>212</v>
      </c>
      <c r="J1169" s="7" t="s">
        <v>39</v>
      </c>
      <c r="K1169" s="7" t="n">
        <f aca="false">IFERROR(VALUE(RIGHT(TRIM(F1169),4)),"")</f>
        <v>2019</v>
      </c>
      <c r="L1169" s="7" t="str">
        <f aca="false">IF(TRIM(E1169)="","Unknown",IFERROR(LEFT(TRIM(E1169),FIND(",",TRIM(E1169))-1),TRIM(E1169)))</f>
        <v>United States</v>
      </c>
      <c r="M1169" s="7" t="str">
        <f aca="false">IFERROR(LEFT(J1169,FIND(",",J1169)-1),J1169)</f>
        <v>Documentaries</v>
      </c>
      <c r="N1169" s="7" t="n">
        <f aca="false">IF(B1169="Movie",IFERROR(VALUE(LEFT(I1169,FIND(" ",I1169)-1)),""),"")</f>
        <v>86</v>
      </c>
      <c r="O1169" s="7" t="str">
        <f aca="false">IF(B1169="TV Show",IFERROR(VALUE(LEFT(I1169,FIND(" ",I1169)-1)),""),"")</f>
        <v/>
      </c>
      <c r="P1169" s="7" t="n">
        <f aca="false">IF(K1169="","",K1169-G1169)</f>
        <v>0</v>
      </c>
    </row>
    <row r="1170" customFormat="false" ht="15" hidden="false" customHeight="false" outlineLevel="0" collapsed="false">
      <c r="A1170" s="7" t="n">
        <v>70053833</v>
      </c>
      <c r="B1170" s="7" t="s">
        <v>68</v>
      </c>
      <c r="C1170" s="7" t="s">
        <v>2768</v>
      </c>
      <c r="D1170" s="7" t="s">
        <v>1419</v>
      </c>
      <c r="E1170" s="7" t="s">
        <v>26</v>
      </c>
      <c r="F1170" s="7" t="s">
        <v>2757</v>
      </c>
      <c r="G1170" s="7" t="n">
        <v>2007</v>
      </c>
      <c r="H1170" s="7" t="s">
        <v>51</v>
      </c>
      <c r="I1170" s="7" t="s">
        <v>237</v>
      </c>
      <c r="J1170" s="7" t="s">
        <v>150</v>
      </c>
      <c r="K1170" s="7" t="n">
        <f aca="false">IFERROR(VALUE(RIGHT(TRIM(F1170),4)),"")</f>
        <v>2019</v>
      </c>
      <c r="L1170" s="7" t="str">
        <f aca="false">IF(TRIM(E1170)="","Unknown",IFERROR(LEFT(TRIM(E1170),FIND(",",TRIM(E1170))-1),TRIM(E1170)))</f>
        <v>United States</v>
      </c>
      <c r="M1170" s="7" t="str">
        <f aca="false">IFERROR(LEFT(J1170,FIND(",",J1170)-1),J1170)</f>
        <v>Dramas</v>
      </c>
      <c r="N1170" s="7" t="n">
        <f aca="false">IF(B1170="Movie",IFERROR(VALUE(LEFT(I1170,FIND(" ",I1170)-1)),""),"")</f>
        <v>116</v>
      </c>
      <c r="O1170" s="7" t="str">
        <f aca="false">IF(B1170="TV Show",IFERROR(VALUE(LEFT(I1170,FIND(" ",I1170)-1)),""),"")</f>
        <v/>
      </c>
      <c r="P1170" s="7" t="n">
        <f aca="false">IF(K1170="","",K1170-G1170)</f>
        <v>12</v>
      </c>
    </row>
    <row r="1171" customFormat="false" ht="15" hidden="false" customHeight="false" outlineLevel="0" collapsed="false">
      <c r="A1171" s="7" t="n">
        <v>70122722</v>
      </c>
      <c r="B1171" s="7" t="s">
        <v>68</v>
      </c>
      <c r="C1171" s="7" t="s">
        <v>2769</v>
      </c>
      <c r="D1171" s="7" t="s">
        <v>2770</v>
      </c>
      <c r="E1171" s="7" t="s">
        <v>26</v>
      </c>
      <c r="F1171" s="7" t="s">
        <v>2757</v>
      </c>
      <c r="G1171" s="7" t="n">
        <v>2009</v>
      </c>
      <c r="H1171" s="7" t="s">
        <v>52</v>
      </c>
      <c r="I1171" s="7" t="s">
        <v>340</v>
      </c>
      <c r="J1171" s="7" t="s">
        <v>1414</v>
      </c>
      <c r="K1171" s="7" t="n">
        <f aca="false">IFERROR(VALUE(RIGHT(TRIM(F1171),4)),"")</f>
        <v>2019</v>
      </c>
      <c r="L1171" s="7" t="str">
        <f aca="false">IF(TRIM(E1171)="","Unknown",IFERROR(LEFT(TRIM(E1171),FIND(",",TRIM(E1171))-1),TRIM(E1171)))</f>
        <v>United States</v>
      </c>
      <c r="M1171" s="7" t="str">
        <f aca="false">IFERROR(LEFT(J1171,FIND(",",J1171)-1),J1171)</f>
        <v>Horror Movies</v>
      </c>
      <c r="N1171" s="7" t="n">
        <f aca="false">IF(B1171="Movie",IFERROR(VALUE(LEFT(I1171,FIND(" ",I1171)-1)),""),"")</f>
        <v>85</v>
      </c>
      <c r="O1171" s="7" t="str">
        <f aca="false">IF(B1171="TV Show",IFERROR(VALUE(LEFT(I1171,FIND(" ",I1171)-1)),""),"")</f>
        <v/>
      </c>
      <c r="P1171" s="7" t="n">
        <f aca="false">IF(K1171="","",K1171-G1171)</f>
        <v>10</v>
      </c>
    </row>
    <row r="1172" customFormat="false" ht="15" hidden="false" customHeight="false" outlineLevel="0" collapsed="false">
      <c r="A1172" s="7" t="n">
        <v>81217738</v>
      </c>
      <c r="B1172" s="7" t="s">
        <v>68</v>
      </c>
      <c r="C1172" s="7" t="s">
        <v>2771</v>
      </c>
      <c r="D1172" s="7" t="s">
        <v>2772</v>
      </c>
      <c r="E1172" s="7" t="s">
        <v>27</v>
      </c>
      <c r="F1172" s="7" t="s">
        <v>2757</v>
      </c>
      <c r="G1172" s="7" t="n">
        <v>2019</v>
      </c>
      <c r="H1172" s="7" t="s">
        <v>49</v>
      </c>
      <c r="I1172" s="7" t="s">
        <v>2192</v>
      </c>
      <c r="J1172" s="7" t="s">
        <v>240</v>
      </c>
      <c r="K1172" s="7" t="n">
        <f aca="false">IFERROR(VALUE(RIGHT(TRIM(F1172),4)),"")</f>
        <v>2019</v>
      </c>
      <c r="L1172" s="7" t="str">
        <f aca="false">IF(TRIM(E1172)="","Unknown",IFERROR(LEFT(TRIM(E1172),FIND(",",TRIM(E1172))-1),TRIM(E1172)))</f>
        <v>India</v>
      </c>
      <c r="M1172" s="7" t="str">
        <f aca="false">IFERROR(LEFT(J1172,FIND(",",J1172)-1),J1172)</f>
        <v>Dramas</v>
      </c>
      <c r="N1172" s="7" t="n">
        <f aca="false">IF(B1172="Movie",IFERROR(VALUE(LEFT(I1172,FIND(" ",I1172)-1)),""),"")</f>
        <v>134</v>
      </c>
      <c r="O1172" s="7" t="str">
        <f aca="false">IF(B1172="TV Show",IFERROR(VALUE(LEFT(I1172,FIND(" ",I1172)-1)),""),"")</f>
        <v/>
      </c>
      <c r="P1172" s="7" t="n">
        <f aca="false">IF(K1172="","",K1172-G1172)</f>
        <v>0</v>
      </c>
    </row>
    <row r="1173" customFormat="false" ht="15" hidden="false" customHeight="false" outlineLevel="0" collapsed="false">
      <c r="A1173" s="7" t="n">
        <v>80081990</v>
      </c>
      <c r="B1173" s="7" t="s">
        <v>68</v>
      </c>
      <c r="C1173" s="7" t="s">
        <v>2773</v>
      </c>
      <c r="D1173" s="7" t="s">
        <v>2774</v>
      </c>
      <c r="E1173" s="7" t="s">
        <v>26</v>
      </c>
      <c r="F1173" s="7" t="s">
        <v>2757</v>
      </c>
      <c r="G1173" s="7" t="n">
        <v>2015</v>
      </c>
      <c r="H1173" s="7" t="s">
        <v>48</v>
      </c>
      <c r="I1173" s="7" t="s">
        <v>790</v>
      </c>
      <c r="J1173" s="7" t="s">
        <v>39</v>
      </c>
      <c r="K1173" s="7" t="n">
        <f aca="false">IFERROR(VALUE(RIGHT(TRIM(F1173),4)),"")</f>
        <v>2019</v>
      </c>
      <c r="L1173" s="7" t="str">
        <f aca="false">IF(TRIM(E1173)="","Unknown",IFERROR(LEFT(TRIM(E1173),FIND(",",TRIM(E1173))-1),TRIM(E1173)))</f>
        <v>United States</v>
      </c>
      <c r="M1173" s="7" t="str">
        <f aca="false">IFERROR(LEFT(J1173,FIND(",",J1173)-1),J1173)</f>
        <v>Documentaries</v>
      </c>
      <c r="N1173" s="7" t="n">
        <f aca="false">IF(B1173="Movie",IFERROR(VALUE(LEFT(I1173,FIND(" ",I1173)-1)),""),"")</f>
        <v>109</v>
      </c>
      <c r="O1173" s="7" t="str">
        <f aca="false">IF(B1173="TV Show",IFERROR(VALUE(LEFT(I1173,FIND(" ",I1173)-1)),""),"")</f>
        <v/>
      </c>
      <c r="P1173" s="7" t="n">
        <f aca="false">IF(K1173="","",K1173-G1173)</f>
        <v>4</v>
      </c>
    </row>
    <row r="1174" customFormat="false" ht="15" hidden="false" customHeight="false" outlineLevel="0" collapsed="false">
      <c r="A1174" s="7" t="n">
        <v>60004471</v>
      </c>
      <c r="B1174" s="7" t="s">
        <v>68</v>
      </c>
      <c r="C1174" s="7" t="s">
        <v>2775</v>
      </c>
      <c r="D1174" s="7" t="s">
        <v>937</v>
      </c>
      <c r="E1174" s="7" t="s">
        <v>26</v>
      </c>
      <c r="F1174" s="7" t="s">
        <v>2757</v>
      </c>
      <c r="G1174" s="7" t="n">
        <v>2001</v>
      </c>
      <c r="H1174" s="7" t="s">
        <v>52</v>
      </c>
      <c r="I1174" s="7" t="s">
        <v>181</v>
      </c>
      <c r="J1174" s="7" t="s">
        <v>2776</v>
      </c>
      <c r="K1174" s="7" t="n">
        <f aca="false">IFERROR(VALUE(RIGHT(TRIM(F1174),4)),"")</f>
        <v>2019</v>
      </c>
      <c r="L1174" s="7" t="str">
        <f aca="false">IF(TRIM(E1174)="","Unknown",IFERROR(LEFT(TRIM(E1174),FIND(",",TRIM(E1174))-1),TRIM(E1174)))</f>
        <v>United States</v>
      </c>
      <c r="M1174" s="7" t="str">
        <f aca="false">IFERROR(LEFT(J1174,FIND(",",J1174)-1),J1174)</f>
        <v>Comedies</v>
      </c>
      <c r="N1174" s="7" t="n">
        <f aca="false">IF(B1174="Movie",IFERROR(VALUE(LEFT(I1174,FIND(" ",I1174)-1)),""),"")</f>
        <v>102</v>
      </c>
      <c r="O1174" s="7" t="str">
        <f aca="false">IF(B1174="TV Show",IFERROR(VALUE(LEFT(I1174,FIND(" ",I1174)-1)),""),"")</f>
        <v/>
      </c>
      <c r="P1174" s="7" t="n">
        <f aca="false">IF(K1174="","",K1174-G1174)</f>
        <v>18</v>
      </c>
    </row>
    <row r="1175" customFormat="false" ht="15" hidden="false" customHeight="false" outlineLevel="0" collapsed="false">
      <c r="A1175" s="7" t="n">
        <v>60022413</v>
      </c>
      <c r="B1175" s="7" t="s">
        <v>68</v>
      </c>
      <c r="C1175" s="7" t="s">
        <v>2777</v>
      </c>
      <c r="D1175" s="7" t="s">
        <v>2778</v>
      </c>
      <c r="E1175" s="7" t="s">
        <v>26</v>
      </c>
      <c r="F1175" s="7" t="s">
        <v>2757</v>
      </c>
      <c r="G1175" s="7" t="n">
        <v>1996</v>
      </c>
      <c r="H1175" s="7" t="s">
        <v>51</v>
      </c>
      <c r="I1175" s="7" t="s">
        <v>512</v>
      </c>
      <c r="J1175" s="7" t="s">
        <v>597</v>
      </c>
      <c r="K1175" s="7" t="n">
        <f aca="false">IFERROR(VALUE(RIGHT(TRIM(F1175),4)),"")</f>
        <v>2019</v>
      </c>
      <c r="L1175" s="7" t="str">
        <f aca="false">IF(TRIM(E1175)="","Unknown",IFERROR(LEFT(TRIM(E1175),FIND(",",TRIM(E1175))-1),TRIM(E1175)))</f>
        <v>United States</v>
      </c>
      <c r="M1175" s="7" t="str">
        <f aca="false">IFERROR(LEFT(J1175,FIND(",",J1175)-1),J1175)</f>
        <v>Dramas</v>
      </c>
      <c r="N1175" s="7" t="n">
        <f aca="false">IF(B1175="Movie",IFERROR(VALUE(LEFT(I1175,FIND(" ",I1175)-1)),""),"")</f>
        <v>101</v>
      </c>
      <c r="O1175" s="7" t="str">
        <f aca="false">IF(B1175="TV Show",IFERROR(VALUE(LEFT(I1175,FIND(" ",I1175)-1)),""),"")</f>
        <v/>
      </c>
      <c r="P1175" s="7" t="n">
        <f aca="false">IF(K1175="","",K1175-G1175)</f>
        <v>23</v>
      </c>
    </row>
    <row r="1176" customFormat="false" ht="15" hidden="false" customHeight="false" outlineLevel="0" collapsed="false">
      <c r="A1176" s="7" t="n">
        <v>81011957</v>
      </c>
      <c r="B1176" s="7" t="s">
        <v>78</v>
      </c>
      <c r="C1176" s="7" t="s">
        <v>2779</v>
      </c>
      <c r="E1176" s="7" t="s">
        <v>1081</v>
      </c>
      <c r="F1176" s="7" t="s">
        <v>2757</v>
      </c>
      <c r="G1176" s="7" t="n">
        <v>2019</v>
      </c>
      <c r="H1176" s="7" t="s">
        <v>48</v>
      </c>
      <c r="I1176" s="7" t="s">
        <v>82</v>
      </c>
      <c r="J1176" s="7" t="s">
        <v>344</v>
      </c>
      <c r="K1176" s="7" t="n">
        <f aca="false">IFERROR(VALUE(RIGHT(TRIM(F1176),4)),"")</f>
        <v>2019</v>
      </c>
      <c r="L1176" s="7" t="str">
        <f aca="false">IF(TRIM(E1176)="","Unknown",IFERROR(LEFT(TRIM(E1176),FIND(",",TRIM(E1176))-1),TRIM(E1176)))</f>
        <v>Germany</v>
      </c>
      <c r="M1176" s="7" t="str">
        <f aca="false">IFERROR(LEFT(J1176,FIND(",",J1176)-1),J1176)</f>
        <v>International TV Shows</v>
      </c>
      <c r="N1176" s="7" t="str">
        <f aca="false">IF(B1176="Movie",IFERROR(VALUE(LEFT(I1176,FIND(" ",I1176)-1)),""),"")</f>
        <v/>
      </c>
      <c r="O1176" s="7" t="n">
        <f aca="false">IF(B1176="TV Show",IFERROR(VALUE(LEFT(I1176,FIND(" ",I1176)-1)),""),"")</f>
        <v>1</v>
      </c>
      <c r="P1176" s="7" t="n">
        <f aca="false">IF(K1176="","",K1176-G1176)</f>
        <v>0</v>
      </c>
    </row>
    <row r="1177" customFormat="false" ht="15" hidden="false" customHeight="false" outlineLevel="0" collapsed="false">
      <c r="A1177" s="7" t="n">
        <v>70058022</v>
      </c>
      <c r="B1177" s="7" t="s">
        <v>68</v>
      </c>
      <c r="C1177" s="7" t="s">
        <v>2780</v>
      </c>
      <c r="D1177" s="7" t="s">
        <v>2781</v>
      </c>
      <c r="E1177" s="7" t="s">
        <v>26</v>
      </c>
      <c r="F1177" s="7" t="s">
        <v>2757</v>
      </c>
      <c r="G1177" s="7" t="n">
        <v>2007</v>
      </c>
      <c r="H1177" s="7" t="s">
        <v>52</v>
      </c>
      <c r="I1177" s="7" t="s">
        <v>264</v>
      </c>
      <c r="J1177" s="7" t="s">
        <v>2782</v>
      </c>
      <c r="K1177" s="7" t="n">
        <f aca="false">IFERROR(VALUE(RIGHT(TRIM(F1177),4)),"")</f>
        <v>2019</v>
      </c>
      <c r="L1177" s="7" t="str">
        <f aca="false">IF(TRIM(E1177)="","Unknown",IFERROR(LEFT(TRIM(E1177),FIND(",",TRIM(E1177))-1),TRIM(E1177)))</f>
        <v>United States</v>
      </c>
      <c r="M1177" s="7" t="str">
        <f aca="false">IFERROR(LEFT(J1177,FIND(",",J1177)-1),J1177)</f>
        <v>Comedies</v>
      </c>
      <c r="N1177" s="7" t="n">
        <f aca="false">IF(B1177="Movie",IFERROR(VALUE(LEFT(I1177,FIND(" ",I1177)-1)),""),"")</f>
        <v>88</v>
      </c>
      <c r="O1177" s="7" t="str">
        <f aca="false">IF(B1177="TV Show",IFERROR(VALUE(LEFT(I1177,FIND(" ",I1177)-1)),""),"")</f>
        <v/>
      </c>
      <c r="P1177" s="7" t="n">
        <f aca="false">IF(K1177="","",K1177-G1177)</f>
        <v>12</v>
      </c>
    </row>
    <row r="1178" customFormat="false" ht="15" hidden="false" customHeight="false" outlineLevel="0" collapsed="false">
      <c r="A1178" s="7" t="n">
        <v>60022502</v>
      </c>
      <c r="B1178" s="7" t="s">
        <v>68</v>
      </c>
      <c r="C1178" s="7" t="s">
        <v>2783</v>
      </c>
      <c r="D1178" s="7" t="s">
        <v>2076</v>
      </c>
      <c r="E1178" s="7" t="s">
        <v>26</v>
      </c>
      <c r="F1178" s="7" t="s">
        <v>2757</v>
      </c>
      <c r="G1178" s="7" t="n">
        <v>1995</v>
      </c>
      <c r="H1178" s="7" t="s">
        <v>54</v>
      </c>
      <c r="I1178" s="7" t="s">
        <v>512</v>
      </c>
      <c r="J1178" s="7" t="s">
        <v>74</v>
      </c>
      <c r="K1178" s="7" t="n">
        <f aca="false">IFERROR(VALUE(RIGHT(TRIM(F1178),4)),"")</f>
        <v>2019</v>
      </c>
      <c r="L1178" s="7" t="str">
        <f aca="false">IF(TRIM(E1178)="","Unknown",IFERROR(LEFT(TRIM(E1178),FIND(",",TRIM(E1178))-1),TRIM(E1178)))</f>
        <v>United States</v>
      </c>
      <c r="M1178" s="7" t="str">
        <f aca="false">IFERROR(LEFT(J1178,FIND(",",J1178)-1),J1178)</f>
        <v>Children &amp; Family Movies</v>
      </c>
      <c r="N1178" s="7" t="n">
        <f aca="false">IF(B1178="Movie",IFERROR(VALUE(LEFT(I1178,FIND(" ",I1178)-1)),""),"")</f>
        <v>101</v>
      </c>
      <c r="O1178" s="7" t="str">
        <f aca="false">IF(B1178="TV Show",IFERROR(VALUE(LEFT(I1178,FIND(" ",I1178)-1)),""),"")</f>
        <v/>
      </c>
      <c r="P1178" s="7" t="n">
        <f aca="false">IF(K1178="","",K1178-G1178)</f>
        <v>24</v>
      </c>
    </row>
    <row r="1179" customFormat="false" ht="15" hidden="false" customHeight="false" outlineLevel="0" collapsed="false">
      <c r="A1179" s="7" t="n">
        <v>80244683</v>
      </c>
      <c r="B1179" s="7" t="s">
        <v>68</v>
      </c>
      <c r="C1179" s="7" t="s">
        <v>2784</v>
      </c>
      <c r="D1179" s="7" t="s">
        <v>2785</v>
      </c>
      <c r="E1179" s="7" t="s">
        <v>34</v>
      </c>
      <c r="F1179" s="7" t="s">
        <v>2757</v>
      </c>
      <c r="G1179" s="7" t="n">
        <v>2019</v>
      </c>
      <c r="H1179" s="7" t="s">
        <v>226</v>
      </c>
      <c r="I1179" s="7" t="s">
        <v>1084</v>
      </c>
      <c r="J1179" s="7" t="s">
        <v>974</v>
      </c>
      <c r="K1179" s="7" t="n">
        <f aca="false">IFERROR(VALUE(RIGHT(TRIM(F1179),4)),"")</f>
        <v>2019</v>
      </c>
      <c r="L1179" s="7" t="str">
        <f aca="false">IF(TRIM(E1179)="","Unknown",IFERROR(LEFT(TRIM(E1179),FIND(",",TRIM(E1179))-1),TRIM(E1179)))</f>
        <v>Mexico</v>
      </c>
      <c r="M1179" s="7" t="str">
        <f aca="false">IFERROR(LEFT(J1179,FIND(",",J1179)-1),J1179)</f>
        <v>Documentaries</v>
      </c>
      <c r="N1179" s="7" t="n">
        <f aca="false">IF(B1179="Movie",IFERROR(VALUE(LEFT(I1179,FIND(" ",I1179)-1)),""),"")</f>
        <v>28</v>
      </c>
      <c r="O1179" s="7" t="str">
        <f aca="false">IF(B1179="TV Show",IFERROR(VALUE(LEFT(I1179,FIND(" ",I1179)-1)),""),"")</f>
        <v/>
      </c>
      <c r="P1179" s="7" t="n">
        <f aca="false">IF(K1179="","",K1179-G1179)</f>
        <v>0</v>
      </c>
    </row>
    <row r="1180" customFormat="false" ht="15" hidden="false" customHeight="false" outlineLevel="0" collapsed="false">
      <c r="A1180" s="7" t="n">
        <v>80028357</v>
      </c>
      <c r="B1180" s="7" t="s">
        <v>68</v>
      </c>
      <c r="C1180" s="7" t="s">
        <v>2786</v>
      </c>
      <c r="D1180" s="7" t="s">
        <v>2787</v>
      </c>
      <c r="E1180" s="7" t="s">
        <v>2788</v>
      </c>
      <c r="F1180" s="7" t="s">
        <v>2757</v>
      </c>
      <c r="G1180" s="7" t="n">
        <v>2014</v>
      </c>
      <c r="H1180" s="7" t="s">
        <v>51</v>
      </c>
      <c r="I1180" s="7" t="s">
        <v>330</v>
      </c>
      <c r="J1180" s="7" t="s">
        <v>206</v>
      </c>
      <c r="K1180" s="7" t="n">
        <f aca="false">IFERROR(VALUE(RIGHT(TRIM(F1180),4)),"")</f>
        <v>2019</v>
      </c>
      <c r="L1180" s="7" t="str">
        <f aca="false">IF(TRIM(E1180)="","Unknown",IFERROR(LEFT(TRIM(E1180),FIND(",",TRIM(E1180))-1),TRIM(E1180)))</f>
        <v>Germany</v>
      </c>
      <c r="M1180" s="7" t="str">
        <f aca="false">IFERROR(LEFT(J1180,FIND(",",J1180)-1),J1180)</f>
        <v>Comedies</v>
      </c>
      <c r="N1180" s="7" t="n">
        <f aca="false">IF(B1180="Movie",IFERROR(VALUE(LEFT(I1180,FIND(" ",I1180)-1)),""),"")</f>
        <v>103</v>
      </c>
      <c r="O1180" s="7" t="str">
        <f aca="false">IF(B1180="TV Show",IFERROR(VALUE(LEFT(I1180,FIND(" ",I1180)-1)),""),"")</f>
        <v/>
      </c>
      <c r="P1180" s="7" t="n">
        <f aca="false">IF(K1180="","",K1180-G1180)</f>
        <v>5</v>
      </c>
    </row>
    <row r="1181" customFormat="false" ht="15" hidden="false" customHeight="false" outlineLevel="0" collapsed="false">
      <c r="A1181" s="7" t="n">
        <v>81217739</v>
      </c>
      <c r="B1181" s="7" t="s">
        <v>68</v>
      </c>
      <c r="C1181" s="7" t="s">
        <v>2789</v>
      </c>
      <c r="D1181" s="7" t="s">
        <v>2790</v>
      </c>
      <c r="E1181" s="7" t="s">
        <v>27</v>
      </c>
      <c r="F1181" s="7" t="s">
        <v>2757</v>
      </c>
      <c r="G1181" s="7" t="n">
        <v>2019</v>
      </c>
      <c r="H1181" s="7" t="s">
        <v>50</v>
      </c>
      <c r="I1181" s="7" t="s">
        <v>1707</v>
      </c>
      <c r="J1181" s="7" t="s">
        <v>188</v>
      </c>
      <c r="K1181" s="7" t="n">
        <f aca="false">IFERROR(VALUE(RIGHT(TRIM(F1181),4)),"")</f>
        <v>2019</v>
      </c>
      <c r="L1181" s="7" t="str">
        <f aca="false">IF(TRIM(E1181)="","Unknown",IFERROR(LEFT(TRIM(E1181),FIND(",",TRIM(E1181))-1),TRIM(E1181)))</f>
        <v>India</v>
      </c>
      <c r="M1181" s="7" t="str">
        <f aca="false">IFERROR(LEFT(J1181,FIND(",",J1181)-1),J1181)</f>
        <v>Dramas</v>
      </c>
      <c r="N1181" s="7" t="n">
        <f aca="false">IF(B1181="Movie",IFERROR(VALUE(LEFT(I1181,FIND(" ",I1181)-1)),""),"")</f>
        <v>131</v>
      </c>
      <c r="O1181" s="7" t="str">
        <f aca="false">IF(B1181="TV Show",IFERROR(VALUE(LEFT(I1181,FIND(" ",I1181)-1)),""),"")</f>
        <v/>
      </c>
      <c r="P1181" s="7" t="n">
        <f aca="false">IF(K1181="","",K1181-G1181)</f>
        <v>0</v>
      </c>
    </row>
    <row r="1182" customFormat="false" ht="15" hidden="false" customHeight="false" outlineLevel="0" collapsed="false">
      <c r="A1182" s="7" t="n">
        <v>60031884</v>
      </c>
      <c r="B1182" s="7" t="s">
        <v>68</v>
      </c>
      <c r="C1182" s="7" t="s">
        <v>2791</v>
      </c>
      <c r="D1182" s="7" t="s">
        <v>2792</v>
      </c>
      <c r="E1182" s="7" t="s">
        <v>2793</v>
      </c>
      <c r="F1182" s="7" t="s">
        <v>2757</v>
      </c>
      <c r="G1182" s="7" t="n">
        <v>1968</v>
      </c>
      <c r="H1182" s="7" t="s">
        <v>52</v>
      </c>
      <c r="I1182" s="7" t="s">
        <v>2794</v>
      </c>
      <c r="J1182" s="7" t="s">
        <v>2795</v>
      </c>
      <c r="K1182" s="7" t="n">
        <f aca="false">IFERROR(VALUE(RIGHT(TRIM(F1182),4)),"")</f>
        <v>2019</v>
      </c>
      <c r="L1182" s="7" t="str">
        <f aca="false">IF(TRIM(E1182)="","Unknown",IFERROR(LEFT(TRIM(E1182),FIND(",",TRIM(E1182))-1),TRIM(E1182)))</f>
        <v>Italy</v>
      </c>
      <c r="M1182" s="7" t="str">
        <f aca="false">IFERROR(LEFT(J1182,FIND(",",J1182)-1),J1182)</f>
        <v>Action &amp; Adventure</v>
      </c>
      <c r="N1182" s="7" t="n">
        <f aca="false">IF(B1182="Movie",IFERROR(VALUE(LEFT(I1182,FIND(" ",I1182)-1)),""),"")</f>
        <v>166</v>
      </c>
      <c r="O1182" s="7" t="str">
        <f aca="false">IF(B1182="TV Show",IFERROR(VALUE(LEFT(I1182,FIND(" ",I1182)-1)),""),"")</f>
        <v/>
      </c>
      <c r="P1182" s="7" t="n">
        <f aca="false">IF(K1182="","",K1182-G1182)</f>
        <v>51</v>
      </c>
    </row>
    <row r="1183" customFormat="false" ht="15" hidden="false" customHeight="false" outlineLevel="0" collapsed="false">
      <c r="A1183" s="7" t="n">
        <v>70117289</v>
      </c>
      <c r="B1183" s="7" t="s">
        <v>68</v>
      </c>
      <c r="C1183" s="7" t="s">
        <v>2796</v>
      </c>
      <c r="D1183" s="7" t="s">
        <v>2797</v>
      </c>
      <c r="E1183" s="7" t="s">
        <v>26</v>
      </c>
      <c r="F1183" s="7" t="s">
        <v>2757</v>
      </c>
      <c r="G1183" s="7" t="n">
        <v>2010</v>
      </c>
      <c r="H1183" s="7" t="s">
        <v>51</v>
      </c>
      <c r="I1183" s="7" t="s">
        <v>820</v>
      </c>
      <c r="J1183" s="7" t="s">
        <v>177</v>
      </c>
      <c r="K1183" s="7" t="n">
        <f aca="false">IFERROR(VALUE(RIGHT(TRIM(F1183),4)),"")</f>
        <v>2019</v>
      </c>
      <c r="L1183" s="7" t="str">
        <f aca="false">IF(TRIM(E1183)="","Unknown",IFERROR(LEFT(TRIM(E1183),FIND(",",TRIM(E1183))-1),TRIM(E1183)))</f>
        <v>United States</v>
      </c>
      <c r="M1183" s="7" t="str">
        <f aca="false">IFERROR(LEFT(J1183,FIND(",",J1183)-1),J1183)</f>
        <v>Comedies</v>
      </c>
      <c r="N1183" s="7" t="n">
        <f aca="false">IF(B1183="Movie",IFERROR(VALUE(LEFT(I1183,FIND(" ",I1183)-1)),""),"")</f>
        <v>105</v>
      </c>
      <c r="O1183" s="7" t="str">
        <f aca="false">IF(B1183="TV Show",IFERROR(VALUE(LEFT(I1183,FIND(" ",I1183)-1)),""),"")</f>
        <v/>
      </c>
      <c r="P1183" s="7" t="n">
        <f aca="false">IF(K1183="","",K1183-G1183)</f>
        <v>9</v>
      </c>
    </row>
    <row r="1184" customFormat="false" ht="15" hidden="false" customHeight="false" outlineLevel="0" collapsed="false">
      <c r="A1184" s="7" t="n">
        <v>28631236</v>
      </c>
      <c r="B1184" s="7" t="s">
        <v>68</v>
      </c>
      <c r="C1184" s="7" t="s">
        <v>2798</v>
      </c>
      <c r="D1184" s="7" t="s">
        <v>2799</v>
      </c>
      <c r="E1184" s="7" t="s">
        <v>26</v>
      </c>
      <c r="F1184" s="7" t="s">
        <v>2757</v>
      </c>
      <c r="G1184" s="7" t="n">
        <v>1999</v>
      </c>
      <c r="H1184" s="7" t="s">
        <v>52</v>
      </c>
      <c r="I1184" s="7" t="s">
        <v>437</v>
      </c>
      <c r="J1184" s="7" t="s">
        <v>38</v>
      </c>
      <c r="K1184" s="7" t="n">
        <f aca="false">IFERROR(VALUE(RIGHT(TRIM(F1184),4)),"")</f>
        <v>2019</v>
      </c>
      <c r="L1184" s="7" t="str">
        <f aca="false">IF(TRIM(E1184)="","Unknown",IFERROR(LEFT(TRIM(E1184),FIND(",",TRIM(E1184))-1),TRIM(E1184)))</f>
        <v>United States</v>
      </c>
      <c r="M1184" s="7" t="str">
        <f aca="false">IFERROR(LEFT(J1184,FIND(",",J1184)-1),J1184)</f>
        <v>Comedies</v>
      </c>
      <c r="N1184" s="7" t="n">
        <f aca="false">IF(B1184="Movie",IFERROR(VALUE(LEFT(I1184,FIND(" ",I1184)-1)),""),"")</f>
        <v>82</v>
      </c>
      <c r="O1184" s="7" t="str">
        <f aca="false">IF(B1184="TV Show",IFERROR(VALUE(LEFT(I1184,FIND(" ",I1184)-1)),""),"")</f>
        <v/>
      </c>
      <c r="P1184" s="7" t="n">
        <f aca="false">IF(K1184="","",K1184-G1184)</f>
        <v>20</v>
      </c>
    </row>
    <row r="1185" customFormat="false" ht="15" hidden="false" customHeight="false" outlineLevel="0" collapsed="false">
      <c r="A1185" s="7" t="n">
        <v>70121502</v>
      </c>
      <c r="B1185" s="7" t="s">
        <v>68</v>
      </c>
      <c r="C1185" s="7" t="s">
        <v>2800</v>
      </c>
      <c r="D1185" s="7" t="s">
        <v>2801</v>
      </c>
      <c r="E1185" s="7" t="s">
        <v>2802</v>
      </c>
      <c r="F1185" s="7" t="s">
        <v>2757</v>
      </c>
      <c r="G1185" s="7" t="n">
        <v>2011</v>
      </c>
      <c r="H1185" s="7" t="s">
        <v>54</v>
      </c>
      <c r="I1185" s="7" t="s">
        <v>294</v>
      </c>
      <c r="J1185" s="7" t="s">
        <v>42</v>
      </c>
      <c r="K1185" s="7" t="n">
        <f aca="false">IFERROR(VALUE(RIGHT(TRIM(F1185),4)),"")</f>
        <v>2019</v>
      </c>
      <c r="L1185" s="7" t="str">
        <f aca="false">IF(TRIM(E1185)="","Unknown",IFERROR(LEFT(TRIM(E1185),FIND(",",TRIM(E1185))-1),TRIM(E1185)))</f>
        <v>United States</v>
      </c>
      <c r="M1185" s="7" t="str">
        <f aca="false">IFERROR(LEFT(J1185,FIND(",",J1185)-1),J1185)</f>
        <v>Children &amp; Family Movies</v>
      </c>
      <c r="N1185" s="7" t="n">
        <f aca="false">IF(B1185="Movie",IFERROR(VALUE(LEFT(I1185,FIND(" ",I1185)-1)),""),"")</f>
        <v>107</v>
      </c>
      <c r="O1185" s="7" t="str">
        <f aca="false">IF(B1185="TV Show",IFERROR(VALUE(LEFT(I1185,FIND(" ",I1185)-1)),""),"")</f>
        <v/>
      </c>
      <c r="P1185" s="7" t="n">
        <f aca="false">IF(K1185="","",K1185-G1185)</f>
        <v>8</v>
      </c>
    </row>
    <row r="1186" customFormat="false" ht="15" hidden="false" customHeight="false" outlineLevel="0" collapsed="false">
      <c r="A1186" s="7" t="n">
        <v>70215455</v>
      </c>
      <c r="B1186" s="7" t="s">
        <v>68</v>
      </c>
      <c r="C1186" s="7" t="s">
        <v>2803</v>
      </c>
      <c r="D1186" s="7" t="s">
        <v>2804</v>
      </c>
      <c r="E1186" s="7" t="s">
        <v>26</v>
      </c>
      <c r="F1186" s="7" t="s">
        <v>2757</v>
      </c>
      <c r="G1186" s="7" t="n">
        <v>2012</v>
      </c>
      <c r="H1186" s="7" t="s">
        <v>51</v>
      </c>
      <c r="I1186" s="7" t="s">
        <v>613</v>
      </c>
      <c r="J1186" s="7" t="s">
        <v>147</v>
      </c>
      <c r="K1186" s="7" t="n">
        <f aca="false">IFERROR(VALUE(RIGHT(TRIM(F1186),4)),"")</f>
        <v>2019</v>
      </c>
      <c r="L1186" s="7" t="str">
        <f aca="false">IF(TRIM(E1186)="","Unknown",IFERROR(LEFT(TRIM(E1186),FIND(",",TRIM(E1186))-1),TRIM(E1186)))</f>
        <v>United States</v>
      </c>
      <c r="M1186" s="7" t="str">
        <f aca="false">IFERROR(LEFT(J1186,FIND(",",J1186)-1),J1186)</f>
        <v>Horror Movies</v>
      </c>
      <c r="N1186" s="7" t="n">
        <f aca="false">IF(B1186="Movie",IFERROR(VALUE(LEFT(I1186,FIND(" ",I1186)-1)),""),"")</f>
        <v>84</v>
      </c>
      <c r="O1186" s="7" t="str">
        <f aca="false">IF(B1186="TV Show",IFERROR(VALUE(LEFT(I1186,FIND(" ",I1186)-1)),""),"")</f>
        <v/>
      </c>
      <c r="P1186" s="7" t="n">
        <f aca="false">IF(K1186="","",K1186-G1186)</f>
        <v>7</v>
      </c>
    </row>
    <row r="1187" customFormat="false" ht="15" hidden="false" customHeight="false" outlineLevel="0" collapsed="false">
      <c r="A1187" s="7" t="n">
        <v>506464</v>
      </c>
      <c r="B1187" s="7" t="s">
        <v>68</v>
      </c>
      <c r="C1187" s="7" t="s">
        <v>2805</v>
      </c>
      <c r="D1187" s="7" t="s">
        <v>2806</v>
      </c>
      <c r="E1187" s="7" t="s">
        <v>26</v>
      </c>
      <c r="F1187" s="7" t="s">
        <v>2757</v>
      </c>
      <c r="G1187" s="7" t="n">
        <v>1996</v>
      </c>
      <c r="H1187" s="7" t="s">
        <v>54</v>
      </c>
      <c r="I1187" s="7" t="s">
        <v>330</v>
      </c>
      <c r="J1187" s="7" t="s">
        <v>38</v>
      </c>
      <c r="K1187" s="7" t="n">
        <f aca="false">IFERROR(VALUE(RIGHT(TRIM(F1187),4)),"")</f>
        <v>2019</v>
      </c>
      <c r="L1187" s="7" t="str">
        <f aca="false">IF(TRIM(E1187)="","Unknown",IFERROR(LEFT(TRIM(E1187),FIND(",",TRIM(E1187))-1),TRIM(E1187)))</f>
        <v>United States</v>
      </c>
      <c r="M1187" s="7" t="str">
        <f aca="false">IFERROR(LEFT(J1187,FIND(",",J1187)-1),J1187)</f>
        <v>Comedies</v>
      </c>
      <c r="N1187" s="7" t="n">
        <f aca="false">IF(B1187="Movie",IFERROR(VALUE(LEFT(I1187,FIND(" ",I1187)-1)),""),"")</f>
        <v>103</v>
      </c>
      <c r="O1187" s="7" t="str">
        <f aca="false">IF(B1187="TV Show",IFERROR(VALUE(LEFT(I1187,FIND(" ",I1187)-1)),""),"")</f>
        <v/>
      </c>
      <c r="P1187" s="7" t="n">
        <f aca="false">IF(K1187="","",K1187-G1187)</f>
        <v>23</v>
      </c>
    </row>
    <row r="1188" customFormat="false" ht="15" hidden="false" customHeight="false" outlineLevel="0" collapsed="false">
      <c r="A1188" s="7" t="n">
        <v>60003508</v>
      </c>
      <c r="B1188" s="7" t="s">
        <v>68</v>
      </c>
      <c r="C1188" s="7" t="s">
        <v>2807</v>
      </c>
      <c r="D1188" s="7" t="s">
        <v>2808</v>
      </c>
      <c r="E1188" s="7" t="s">
        <v>26</v>
      </c>
      <c r="F1188" s="7" t="s">
        <v>2757</v>
      </c>
      <c r="G1188" s="7" t="n">
        <v>2000</v>
      </c>
      <c r="H1188" s="7" t="s">
        <v>51</v>
      </c>
      <c r="I1188" s="7" t="s">
        <v>168</v>
      </c>
      <c r="J1188" s="7" t="s">
        <v>597</v>
      </c>
      <c r="K1188" s="7" t="n">
        <f aca="false">IFERROR(VALUE(RIGHT(TRIM(F1188),4)),"")</f>
        <v>2019</v>
      </c>
      <c r="L1188" s="7" t="str">
        <f aca="false">IF(TRIM(E1188)="","Unknown",IFERROR(LEFT(TRIM(E1188),FIND(",",TRIM(E1188))-1),TRIM(E1188)))</f>
        <v>United States</v>
      </c>
      <c r="M1188" s="7" t="str">
        <f aca="false">IFERROR(LEFT(J1188,FIND(",",J1188)-1),J1188)</f>
        <v>Dramas</v>
      </c>
      <c r="N1188" s="7" t="n">
        <f aca="false">IF(B1188="Movie",IFERROR(VALUE(LEFT(I1188,FIND(" ",I1188)-1)),""),"")</f>
        <v>112</v>
      </c>
      <c r="O1188" s="7" t="str">
        <f aca="false">IF(B1188="TV Show",IFERROR(VALUE(LEFT(I1188,FIND(" ",I1188)-1)),""),"")</f>
        <v/>
      </c>
      <c r="P1188" s="7" t="n">
        <f aca="false">IF(K1188="","",K1188-G1188)</f>
        <v>19</v>
      </c>
    </row>
    <row r="1189" customFormat="false" ht="15" hidden="false" customHeight="false" outlineLevel="0" collapsed="false">
      <c r="A1189" s="7" t="n">
        <v>70105132</v>
      </c>
      <c r="B1189" s="7" t="s">
        <v>68</v>
      </c>
      <c r="C1189" s="7" t="s">
        <v>2809</v>
      </c>
      <c r="D1189" s="7" t="s">
        <v>2484</v>
      </c>
      <c r="E1189" s="7" t="s">
        <v>26</v>
      </c>
      <c r="F1189" s="7" t="s">
        <v>2757</v>
      </c>
      <c r="G1189" s="7" t="n">
        <v>2009</v>
      </c>
      <c r="H1189" s="7" t="s">
        <v>51</v>
      </c>
      <c r="I1189" s="7" t="s">
        <v>357</v>
      </c>
      <c r="J1189" s="7" t="s">
        <v>38</v>
      </c>
      <c r="K1189" s="7" t="n">
        <f aca="false">IFERROR(VALUE(RIGHT(TRIM(F1189),4)),"")</f>
        <v>2019</v>
      </c>
      <c r="L1189" s="7" t="str">
        <f aca="false">IF(TRIM(E1189)="","Unknown",IFERROR(LEFT(TRIM(E1189),FIND(",",TRIM(E1189))-1),TRIM(E1189)))</f>
        <v>United States</v>
      </c>
      <c r="M1189" s="7" t="str">
        <f aca="false">IFERROR(LEFT(J1189,FIND(",",J1189)-1),J1189)</f>
        <v>Comedies</v>
      </c>
      <c r="N1189" s="7" t="n">
        <f aca="false">IF(B1189="Movie",IFERROR(VALUE(LEFT(I1189,FIND(" ",I1189)-1)),""),"")</f>
        <v>89</v>
      </c>
      <c r="O1189" s="7" t="str">
        <f aca="false">IF(B1189="TV Show",IFERROR(VALUE(LEFT(I1189,FIND(" ",I1189)-1)),""),"")</f>
        <v/>
      </c>
      <c r="P1189" s="7" t="n">
        <f aca="false">IF(K1189="","",K1189-G1189)</f>
        <v>10</v>
      </c>
    </row>
    <row r="1190" customFormat="false" ht="15" hidden="false" customHeight="false" outlineLevel="0" collapsed="false">
      <c r="A1190" s="7" t="n">
        <v>60004083</v>
      </c>
      <c r="B1190" s="7" t="s">
        <v>68</v>
      </c>
      <c r="C1190" s="7" t="s">
        <v>2810</v>
      </c>
      <c r="D1190" s="7" t="s">
        <v>2811</v>
      </c>
      <c r="E1190" s="7" t="s">
        <v>26</v>
      </c>
      <c r="F1190" s="7" t="s">
        <v>2757</v>
      </c>
      <c r="G1190" s="7" t="n">
        <v>1974</v>
      </c>
      <c r="H1190" s="7" t="s">
        <v>51</v>
      </c>
      <c r="I1190" s="7" t="s">
        <v>505</v>
      </c>
      <c r="J1190" s="7" t="s">
        <v>2812</v>
      </c>
      <c r="K1190" s="7" t="n">
        <f aca="false">IFERROR(VALUE(RIGHT(TRIM(F1190),4)),"")</f>
        <v>2019</v>
      </c>
      <c r="L1190" s="7" t="str">
        <f aca="false">IF(TRIM(E1190)="","Unknown",IFERROR(LEFT(TRIM(E1190),FIND(",",TRIM(E1190))-1),TRIM(E1190)))</f>
        <v>United States</v>
      </c>
      <c r="M1190" s="7" t="str">
        <f aca="false">IFERROR(LEFT(J1190,FIND(",",J1190)-1),J1190)</f>
        <v>Classic Movies</v>
      </c>
      <c r="N1190" s="7" t="n">
        <f aca="false">IF(B1190="Movie",IFERROR(VALUE(LEFT(I1190,FIND(" ",I1190)-1)),""),"")</f>
        <v>121</v>
      </c>
      <c r="O1190" s="7" t="str">
        <f aca="false">IF(B1190="TV Show",IFERROR(VALUE(LEFT(I1190,FIND(" ",I1190)-1)),""),"")</f>
        <v/>
      </c>
      <c r="P1190" s="7" t="n">
        <f aca="false">IF(K1190="","",K1190-G1190)</f>
        <v>45</v>
      </c>
    </row>
    <row r="1191" customFormat="false" ht="15" hidden="false" customHeight="false" outlineLevel="0" collapsed="false">
      <c r="A1191" s="7" t="n">
        <v>70087538</v>
      </c>
      <c r="B1191" s="7" t="s">
        <v>68</v>
      </c>
      <c r="C1191" s="7" t="s">
        <v>2813</v>
      </c>
      <c r="D1191" s="7" t="s">
        <v>2814</v>
      </c>
      <c r="E1191" s="7" t="s">
        <v>2815</v>
      </c>
      <c r="F1191" s="7" t="s">
        <v>2757</v>
      </c>
      <c r="G1191" s="7" t="n">
        <v>2008</v>
      </c>
      <c r="H1191" s="7" t="s">
        <v>52</v>
      </c>
      <c r="I1191" s="7" t="s">
        <v>494</v>
      </c>
      <c r="J1191" s="7" t="s">
        <v>2782</v>
      </c>
      <c r="K1191" s="7" t="n">
        <f aca="false">IFERROR(VALUE(RIGHT(TRIM(F1191),4)),"")</f>
        <v>2019</v>
      </c>
      <c r="L1191" s="7" t="str">
        <f aca="false">IF(TRIM(E1191)="","Unknown",IFERROR(LEFT(TRIM(E1191),FIND(",",TRIM(E1191))-1),TRIM(E1191)))</f>
        <v>United Kingdom</v>
      </c>
      <c r="M1191" s="7" t="str">
        <f aca="false">IFERROR(LEFT(J1191,FIND(",",J1191)-1),J1191)</f>
        <v>Comedies</v>
      </c>
      <c r="N1191" s="7" t="n">
        <f aca="false">IF(B1191="Movie",IFERROR(VALUE(LEFT(I1191,FIND(" ",I1191)-1)),""),"")</f>
        <v>87</v>
      </c>
      <c r="O1191" s="7" t="str">
        <f aca="false">IF(B1191="TV Show",IFERROR(VALUE(LEFT(I1191,FIND(" ",I1191)-1)),""),"")</f>
        <v/>
      </c>
      <c r="P1191" s="7" t="n">
        <f aca="false">IF(K1191="","",K1191-G1191)</f>
        <v>11</v>
      </c>
    </row>
    <row r="1192" customFormat="false" ht="15" hidden="false" customHeight="false" outlineLevel="0" collapsed="false">
      <c r="A1192" s="7" t="n">
        <v>1181661</v>
      </c>
      <c r="B1192" s="7" t="s">
        <v>68</v>
      </c>
      <c r="C1192" s="7" t="s">
        <v>2816</v>
      </c>
      <c r="D1192" s="7" t="s">
        <v>2817</v>
      </c>
      <c r="E1192" s="7" t="s">
        <v>1996</v>
      </c>
      <c r="F1192" s="7" t="s">
        <v>2757</v>
      </c>
      <c r="G1192" s="7" t="n">
        <v>1997</v>
      </c>
      <c r="H1192" s="7" t="s">
        <v>52</v>
      </c>
      <c r="I1192" s="7" t="s">
        <v>2183</v>
      </c>
      <c r="J1192" s="7" t="s">
        <v>597</v>
      </c>
      <c r="K1192" s="7" t="n">
        <f aca="false">IFERROR(VALUE(RIGHT(TRIM(F1192),4)),"")</f>
        <v>2019</v>
      </c>
      <c r="L1192" s="7" t="str">
        <f aca="false">IF(TRIM(E1192)="","Unknown",IFERROR(LEFT(TRIM(E1192),FIND(",",TRIM(E1192))-1),TRIM(E1192)))</f>
        <v>United States</v>
      </c>
      <c r="M1192" s="7" t="str">
        <f aca="false">IFERROR(LEFT(J1192,FIND(",",J1192)-1),J1192)</f>
        <v>Dramas</v>
      </c>
      <c r="N1192" s="7" t="n">
        <f aca="false">IF(B1192="Movie",IFERROR(VALUE(LEFT(I1192,FIND(" ",I1192)-1)),""),"")</f>
        <v>136</v>
      </c>
      <c r="O1192" s="7" t="str">
        <f aca="false">IF(B1192="TV Show",IFERROR(VALUE(LEFT(I1192,FIND(" ",I1192)-1)),""),"")</f>
        <v/>
      </c>
      <c r="P1192" s="7" t="n">
        <f aca="false">IF(K1192="","",K1192-G1192)</f>
        <v>22</v>
      </c>
    </row>
    <row r="1193" customFormat="false" ht="15" hidden="false" customHeight="false" outlineLevel="0" collapsed="false">
      <c r="A1193" s="7" t="n">
        <v>60011552</v>
      </c>
      <c r="B1193" s="7" t="s">
        <v>68</v>
      </c>
      <c r="C1193" s="7" t="s">
        <v>2818</v>
      </c>
      <c r="D1193" s="7" t="s">
        <v>2819</v>
      </c>
      <c r="E1193" s="7" t="s">
        <v>26</v>
      </c>
      <c r="F1193" s="7" t="s">
        <v>2757</v>
      </c>
      <c r="G1193" s="7" t="n">
        <v>1993</v>
      </c>
      <c r="H1193" s="7" t="s">
        <v>52</v>
      </c>
      <c r="I1193" s="7" t="s">
        <v>1270</v>
      </c>
      <c r="J1193" s="7" t="s">
        <v>2820</v>
      </c>
      <c r="K1193" s="7" t="n">
        <f aca="false">IFERROR(VALUE(RIGHT(TRIM(F1193),4)),"")</f>
        <v>2019</v>
      </c>
      <c r="L1193" s="7" t="str">
        <f aca="false">IF(TRIM(E1193)="","Unknown",IFERROR(LEFT(TRIM(E1193),FIND(",",TRIM(E1193))-1),TRIM(E1193)))</f>
        <v>United States</v>
      </c>
      <c r="M1193" s="7" t="str">
        <f aca="false">IFERROR(LEFT(J1193,FIND(",",J1193)-1),J1193)</f>
        <v>Classic Movies</v>
      </c>
      <c r="N1193" s="7" t="n">
        <f aca="false">IF(B1193="Movie",IFERROR(VALUE(LEFT(I1193,FIND(" ",I1193)-1)),""),"")</f>
        <v>118</v>
      </c>
      <c r="O1193" s="7" t="str">
        <f aca="false">IF(B1193="TV Show",IFERROR(VALUE(LEFT(I1193,FIND(" ",I1193)-1)),""),"")</f>
        <v/>
      </c>
      <c r="P1193" s="7" t="n">
        <f aca="false">IF(K1193="","",K1193-G1193)</f>
        <v>26</v>
      </c>
    </row>
    <row r="1194" customFormat="false" ht="15" hidden="false" customHeight="false" outlineLevel="0" collapsed="false">
      <c r="A1194" s="7" t="n">
        <v>80222157</v>
      </c>
      <c r="B1194" s="7" t="s">
        <v>78</v>
      </c>
      <c r="C1194" s="7" t="s">
        <v>2821</v>
      </c>
      <c r="E1194" s="7" t="s">
        <v>31</v>
      </c>
      <c r="F1194" s="7" t="s">
        <v>2757</v>
      </c>
      <c r="G1194" s="7" t="n">
        <v>2019</v>
      </c>
      <c r="H1194" s="7" t="s">
        <v>48</v>
      </c>
      <c r="I1194" s="7" t="s">
        <v>82</v>
      </c>
      <c r="J1194" s="7" t="s">
        <v>1402</v>
      </c>
      <c r="K1194" s="7" t="n">
        <f aca="false">IFERROR(VALUE(RIGHT(TRIM(F1194),4)),"")</f>
        <v>2019</v>
      </c>
      <c r="L1194" s="7" t="str">
        <f aca="false">IF(TRIM(E1194)="","Unknown",IFERROR(LEFT(TRIM(E1194),FIND(",",TRIM(E1194))-1),TRIM(E1194)))</f>
        <v>France</v>
      </c>
      <c r="M1194" s="7" t="str">
        <f aca="false">IFERROR(LEFT(J1194,FIND(",",J1194)-1),J1194)</f>
        <v>Crime TV Shows</v>
      </c>
      <c r="N1194" s="7" t="str">
        <f aca="false">IF(B1194="Movie",IFERROR(VALUE(LEFT(I1194,FIND(" ",I1194)-1)),""),"")</f>
        <v/>
      </c>
      <c r="O1194" s="7" t="n">
        <f aca="false">IF(B1194="TV Show",IFERROR(VALUE(LEFT(I1194,FIND(" ",I1194)-1)),""),"")</f>
        <v>1</v>
      </c>
      <c r="P1194" s="7" t="n">
        <f aca="false">IF(K1194="","",K1194-G1194)</f>
        <v>0</v>
      </c>
    </row>
    <row r="1195" customFormat="false" ht="15" hidden="false" customHeight="false" outlineLevel="0" collapsed="false">
      <c r="A1195" s="7" t="n">
        <v>70044693</v>
      </c>
      <c r="B1195" s="7" t="s">
        <v>68</v>
      </c>
      <c r="C1195" s="7" t="s">
        <v>2822</v>
      </c>
      <c r="D1195" s="7" t="s">
        <v>2823</v>
      </c>
      <c r="E1195" s="7" t="s">
        <v>26</v>
      </c>
      <c r="F1195" s="7" t="s">
        <v>2757</v>
      </c>
      <c r="G1195" s="7" t="n">
        <v>2006</v>
      </c>
      <c r="H1195" s="7" t="s">
        <v>52</v>
      </c>
      <c r="I1195" s="7" t="s">
        <v>2053</v>
      </c>
      <c r="J1195" s="7" t="s">
        <v>370</v>
      </c>
      <c r="K1195" s="7" t="n">
        <f aca="false">IFERROR(VALUE(RIGHT(TRIM(F1195),4)),"")</f>
        <v>2019</v>
      </c>
      <c r="L1195" s="7" t="str">
        <f aca="false">IF(TRIM(E1195)="","Unknown",IFERROR(LEFT(TRIM(E1195),FIND(",",TRIM(E1195))-1),TRIM(E1195)))</f>
        <v>United States</v>
      </c>
      <c r="M1195" s="7" t="str">
        <f aca="false">IFERROR(LEFT(J1195,FIND(",",J1195)-1),J1195)</f>
        <v>Action &amp; Adventure</v>
      </c>
      <c r="N1195" s="7" t="n">
        <f aca="false">IF(B1195="Movie",IFERROR(VALUE(LEFT(I1195,FIND(" ",I1195)-1)),""),"")</f>
        <v>129</v>
      </c>
      <c r="O1195" s="7" t="str">
        <f aca="false">IF(B1195="TV Show",IFERROR(VALUE(LEFT(I1195,FIND(" ",I1195)-1)),""),"")</f>
        <v/>
      </c>
      <c r="P1195" s="7" t="n">
        <f aca="false">IF(K1195="","",K1195-G1195)</f>
        <v>13</v>
      </c>
    </row>
    <row r="1196" customFormat="false" ht="15" hidden="false" customHeight="false" outlineLevel="0" collapsed="false">
      <c r="A1196" s="7" t="n">
        <v>70173046</v>
      </c>
      <c r="B1196" s="7" t="s">
        <v>68</v>
      </c>
      <c r="C1196" s="7" t="s">
        <v>2824</v>
      </c>
      <c r="D1196" s="7" t="s">
        <v>2825</v>
      </c>
      <c r="E1196" s="7" t="s">
        <v>26</v>
      </c>
      <c r="F1196" s="7" t="s">
        <v>2757</v>
      </c>
      <c r="G1196" s="7" t="n">
        <v>2011</v>
      </c>
      <c r="H1196" s="7" t="s">
        <v>51</v>
      </c>
      <c r="I1196" s="7" t="s">
        <v>77</v>
      </c>
      <c r="J1196" s="7" t="s">
        <v>198</v>
      </c>
      <c r="K1196" s="7" t="n">
        <f aca="false">IFERROR(VALUE(RIGHT(TRIM(F1196),4)),"")</f>
        <v>2019</v>
      </c>
      <c r="L1196" s="7" t="str">
        <f aca="false">IF(TRIM(E1196)="","Unknown",IFERROR(LEFT(TRIM(E1196),FIND(",",TRIM(E1196))-1),TRIM(E1196)))</f>
        <v>United States</v>
      </c>
      <c r="M1196" s="7" t="str">
        <f aca="false">IFERROR(LEFT(J1196,FIND(",",J1196)-1),J1196)</f>
        <v>Comedies</v>
      </c>
      <c r="N1196" s="7" t="n">
        <f aca="false">IF(B1196="Movie",IFERROR(VALUE(LEFT(I1196,FIND(" ",I1196)-1)),""),"")</f>
        <v>94</v>
      </c>
      <c r="O1196" s="7" t="str">
        <f aca="false">IF(B1196="TV Show",IFERROR(VALUE(LEFT(I1196,FIND(" ",I1196)-1)),""),"")</f>
        <v/>
      </c>
      <c r="P1196" s="7" t="n">
        <f aca="false">IF(K1196="","",K1196-G1196)</f>
        <v>8</v>
      </c>
    </row>
    <row r="1197" customFormat="false" ht="15" hidden="false" customHeight="false" outlineLevel="0" collapsed="false">
      <c r="A1197" s="7" t="n">
        <v>70039187</v>
      </c>
      <c r="B1197" s="7" t="s">
        <v>68</v>
      </c>
      <c r="C1197" s="7" t="s">
        <v>2826</v>
      </c>
      <c r="D1197" s="7" t="s">
        <v>2827</v>
      </c>
      <c r="E1197" s="7" t="s">
        <v>26</v>
      </c>
      <c r="F1197" s="7" t="s">
        <v>2757</v>
      </c>
      <c r="G1197" s="7" t="n">
        <v>2005</v>
      </c>
      <c r="H1197" s="7" t="s">
        <v>54</v>
      </c>
      <c r="I1197" s="7" t="s">
        <v>264</v>
      </c>
      <c r="J1197" s="7" t="s">
        <v>74</v>
      </c>
      <c r="K1197" s="7" t="n">
        <f aca="false">IFERROR(VALUE(RIGHT(TRIM(F1197),4)),"")</f>
        <v>2019</v>
      </c>
      <c r="L1197" s="7" t="str">
        <f aca="false">IF(TRIM(E1197)="","Unknown",IFERROR(LEFT(TRIM(E1197),FIND(",",TRIM(E1197))-1),TRIM(E1197)))</f>
        <v>United States</v>
      </c>
      <c r="M1197" s="7" t="str">
        <f aca="false">IFERROR(LEFT(J1197,FIND(",",J1197)-1),J1197)</f>
        <v>Children &amp; Family Movies</v>
      </c>
      <c r="N1197" s="7" t="n">
        <f aca="false">IF(B1197="Movie",IFERROR(VALUE(LEFT(I1197,FIND(" ",I1197)-1)),""),"")</f>
        <v>88</v>
      </c>
      <c r="O1197" s="7" t="str">
        <f aca="false">IF(B1197="TV Show",IFERROR(VALUE(LEFT(I1197,FIND(" ",I1197)-1)),""),"")</f>
        <v/>
      </c>
      <c r="P1197" s="7" t="n">
        <f aca="false">IF(K1197="","",K1197-G1197)</f>
        <v>14</v>
      </c>
    </row>
    <row r="1198" customFormat="false" ht="15" hidden="false" customHeight="false" outlineLevel="0" collapsed="false">
      <c r="A1198" s="7" t="n">
        <v>70044686</v>
      </c>
      <c r="B1198" s="7" t="s">
        <v>68</v>
      </c>
      <c r="C1198" s="7" t="s">
        <v>2828</v>
      </c>
      <c r="D1198" s="7" t="s">
        <v>2829</v>
      </c>
      <c r="E1198" s="7" t="s">
        <v>26</v>
      </c>
      <c r="F1198" s="7" t="s">
        <v>2757</v>
      </c>
      <c r="G1198" s="7" t="n">
        <v>2007</v>
      </c>
      <c r="H1198" s="7" t="s">
        <v>51</v>
      </c>
      <c r="I1198" s="7" t="s">
        <v>1822</v>
      </c>
      <c r="J1198" s="7" t="s">
        <v>2830</v>
      </c>
      <c r="K1198" s="7" t="n">
        <f aca="false">IFERROR(VALUE(RIGHT(TRIM(F1198),4)),"")</f>
        <v>2019</v>
      </c>
      <c r="L1198" s="7" t="str">
        <f aca="false">IF(TRIM(E1198)="","Unknown",IFERROR(LEFT(TRIM(E1198),FIND(",",TRIM(E1198))-1),TRIM(E1198)))</f>
        <v>United States</v>
      </c>
      <c r="M1198" s="7" t="str">
        <f aca="false">IFERROR(LEFT(J1198,FIND(",",J1198)-1),J1198)</f>
        <v>Cult Movies</v>
      </c>
      <c r="N1198" s="7" t="n">
        <f aca="false">IF(B1198="Movie",IFERROR(VALUE(LEFT(I1198,FIND(" ",I1198)-1)),""),"")</f>
        <v>158</v>
      </c>
      <c r="O1198" s="7" t="str">
        <f aca="false">IF(B1198="TV Show",IFERROR(VALUE(LEFT(I1198,FIND(" ",I1198)-1)),""),"")</f>
        <v/>
      </c>
      <c r="P1198" s="7" t="n">
        <f aca="false">IF(K1198="","",K1198-G1198)</f>
        <v>12</v>
      </c>
    </row>
    <row r="1199" customFormat="false" ht="15" hidden="false" customHeight="false" outlineLevel="0" collapsed="false">
      <c r="A1199" s="7" t="n">
        <v>80180600</v>
      </c>
      <c r="B1199" s="7" t="s">
        <v>78</v>
      </c>
      <c r="C1199" s="7" t="s">
        <v>2831</v>
      </c>
      <c r="F1199" s="7" t="s">
        <v>2832</v>
      </c>
      <c r="G1199" s="7" t="n">
        <v>2018</v>
      </c>
      <c r="H1199" s="7" t="s">
        <v>81</v>
      </c>
      <c r="I1199" s="7" t="s">
        <v>82</v>
      </c>
      <c r="J1199" s="7" t="s">
        <v>44</v>
      </c>
      <c r="K1199" s="7" t="n">
        <f aca="false">IFERROR(VALUE(RIGHT(TRIM(F1199),4)),"")</f>
        <v>2018</v>
      </c>
      <c r="L1199" s="7" t="str">
        <f aca="false">IF(TRIM(E1199)="","Unknown",IFERROR(LEFT(TRIM(E1199),FIND(",",TRIM(E1199))-1),TRIM(E1199)))</f>
        <v>Unknown</v>
      </c>
      <c r="M1199" s="7" t="str">
        <f aca="false">IFERROR(LEFT(J1199,FIND(",",J1199)-1),J1199)</f>
        <v>Kids' TV</v>
      </c>
      <c r="N1199" s="7" t="str">
        <f aca="false">IF(B1199="Movie",IFERROR(VALUE(LEFT(I1199,FIND(" ",I1199)-1)),""),"")</f>
        <v/>
      </c>
      <c r="O1199" s="7" t="n">
        <f aca="false">IF(B1199="TV Show",IFERROR(VALUE(LEFT(I1199,FIND(" ",I1199)-1)),""),"")</f>
        <v>1</v>
      </c>
      <c r="P1199" s="7" t="n">
        <f aca="false">IF(K1199="","",K1199-G1199)</f>
        <v>0</v>
      </c>
    </row>
    <row r="1200" customFormat="false" ht="15" hidden="false" customHeight="false" outlineLevel="0" collapsed="false">
      <c r="A1200" s="7" t="n">
        <v>81039045</v>
      </c>
      <c r="B1200" s="7" t="s">
        <v>78</v>
      </c>
      <c r="C1200" s="7" t="s">
        <v>2833</v>
      </c>
      <c r="F1200" s="7" t="s">
        <v>2832</v>
      </c>
      <c r="G1200" s="7" t="n">
        <v>2017</v>
      </c>
      <c r="H1200" s="7" t="s">
        <v>55</v>
      </c>
      <c r="I1200" s="7" t="s">
        <v>82</v>
      </c>
      <c r="J1200" s="7" t="s">
        <v>191</v>
      </c>
      <c r="K1200" s="7" t="n">
        <f aca="false">IFERROR(VALUE(RIGHT(TRIM(F1200),4)),"")</f>
        <v>2018</v>
      </c>
      <c r="L1200" s="7" t="str">
        <f aca="false">IF(TRIM(E1200)="","Unknown",IFERROR(LEFT(TRIM(E1200),FIND(",",TRIM(E1200))-1),TRIM(E1200)))</f>
        <v>Unknown</v>
      </c>
      <c r="M1200" s="7" t="str">
        <f aca="false">IFERROR(LEFT(J1200,FIND(",",J1200)-1),J1200)</f>
        <v>Kids' TV</v>
      </c>
      <c r="N1200" s="7" t="str">
        <f aca="false">IF(B1200="Movie",IFERROR(VALUE(LEFT(I1200,FIND(" ",I1200)-1)),""),"")</f>
        <v/>
      </c>
      <c r="O1200" s="7" t="n">
        <f aca="false">IF(B1200="TV Show",IFERROR(VALUE(LEFT(I1200,FIND(" ",I1200)-1)),""),"")</f>
        <v>1</v>
      </c>
      <c r="P1200" s="7" t="n">
        <f aca="false">IF(K1200="","",K1200-G1200)</f>
        <v>1</v>
      </c>
    </row>
    <row r="1201" customFormat="false" ht="15" hidden="false" customHeight="false" outlineLevel="0" collapsed="false">
      <c r="A1201" s="7" t="n">
        <v>80989043</v>
      </c>
      <c r="B1201" s="7" t="s">
        <v>68</v>
      </c>
      <c r="C1201" s="7" t="s">
        <v>2834</v>
      </c>
      <c r="D1201" s="7" t="s">
        <v>1331</v>
      </c>
      <c r="E1201" s="7" t="s">
        <v>26</v>
      </c>
      <c r="F1201" s="7" t="s">
        <v>2832</v>
      </c>
      <c r="G1201" s="7" t="n">
        <v>2018</v>
      </c>
      <c r="H1201" s="7" t="s">
        <v>54</v>
      </c>
      <c r="I1201" s="7" t="s">
        <v>470</v>
      </c>
      <c r="J1201" s="7" t="s">
        <v>74</v>
      </c>
      <c r="K1201" s="7" t="n">
        <f aca="false">IFERROR(VALUE(RIGHT(TRIM(F1201),4)),"")</f>
        <v>2018</v>
      </c>
      <c r="L1201" s="7" t="str">
        <f aca="false">IF(TRIM(E1201)="","Unknown",IFERROR(LEFT(TRIM(E1201),FIND(",",TRIM(E1201))-1),TRIM(E1201)))</f>
        <v>United States</v>
      </c>
      <c r="M1201" s="7" t="str">
        <f aca="false">IFERROR(LEFT(J1201,FIND(",",J1201)-1),J1201)</f>
        <v>Children &amp; Family Movies</v>
      </c>
      <c r="N1201" s="7" t="n">
        <f aca="false">IF(B1201="Movie",IFERROR(VALUE(LEFT(I1201,FIND(" ",I1201)-1)),""),"")</f>
        <v>91</v>
      </c>
      <c r="O1201" s="7" t="str">
        <f aca="false">IF(B1201="TV Show",IFERROR(VALUE(LEFT(I1201,FIND(" ",I1201)-1)),""),"")</f>
        <v/>
      </c>
      <c r="P1201" s="7" t="n">
        <f aca="false">IF(K1201="","",K1201-G1201)</f>
        <v>0</v>
      </c>
    </row>
    <row r="1202" customFormat="false" ht="15" hidden="false" customHeight="false" outlineLevel="0" collapsed="false">
      <c r="A1202" s="7" t="n">
        <v>81021831</v>
      </c>
      <c r="B1202" s="7" t="s">
        <v>68</v>
      </c>
      <c r="C1202" s="7" t="s">
        <v>2835</v>
      </c>
      <c r="D1202" s="7" t="s">
        <v>380</v>
      </c>
      <c r="E1202" s="7" t="s">
        <v>362</v>
      </c>
      <c r="F1202" s="7" t="s">
        <v>2832</v>
      </c>
      <c r="G1202" s="7" t="n">
        <v>2018</v>
      </c>
      <c r="H1202" s="7" t="s">
        <v>48</v>
      </c>
      <c r="I1202" s="7" t="s">
        <v>187</v>
      </c>
      <c r="J1202" s="7" t="s">
        <v>169</v>
      </c>
      <c r="K1202" s="7" t="n">
        <f aca="false">IFERROR(VALUE(RIGHT(TRIM(F1202),4)),"")</f>
        <v>2018</v>
      </c>
      <c r="L1202" s="7" t="str">
        <f aca="false">IF(TRIM(E1202)="","Unknown",IFERROR(LEFT(TRIM(E1202),FIND(",",TRIM(E1202))-1),TRIM(E1202)))</f>
        <v>Indonesia</v>
      </c>
      <c r="M1202" s="7" t="str">
        <f aca="false">IFERROR(LEFT(J1202,FIND(",",J1202)-1),J1202)</f>
        <v>Horror Movies</v>
      </c>
      <c r="N1202" s="7" t="n">
        <f aca="false">IF(B1202="Movie",IFERROR(VALUE(LEFT(I1202,FIND(" ",I1202)-1)),""),"")</f>
        <v>114</v>
      </c>
      <c r="O1202" s="7" t="str">
        <f aca="false">IF(B1202="TV Show",IFERROR(VALUE(LEFT(I1202,FIND(" ",I1202)-1)),""),"")</f>
        <v/>
      </c>
      <c r="P1202" s="7" t="n">
        <f aca="false">IF(K1202="","",K1202-G1202)</f>
        <v>0</v>
      </c>
    </row>
    <row r="1203" customFormat="false" ht="15" hidden="false" customHeight="false" outlineLevel="0" collapsed="false">
      <c r="A1203" s="7" t="n">
        <v>81021832</v>
      </c>
      <c r="B1203" s="7" t="s">
        <v>68</v>
      </c>
      <c r="C1203" s="7" t="s">
        <v>2836</v>
      </c>
      <c r="D1203" s="7" t="s">
        <v>377</v>
      </c>
      <c r="E1203" s="7" t="s">
        <v>362</v>
      </c>
      <c r="F1203" s="7" t="s">
        <v>2832</v>
      </c>
      <c r="G1203" s="7" t="n">
        <v>2018</v>
      </c>
      <c r="H1203" s="7" t="s">
        <v>49</v>
      </c>
      <c r="I1203" s="7" t="s">
        <v>470</v>
      </c>
      <c r="J1203" s="7" t="s">
        <v>486</v>
      </c>
      <c r="K1203" s="7" t="n">
        <f aca="false">IFERROR(VALUE(RIGHT(TRIM(F1203),4)),"")</f>
        <v>2018</v>
      </c>
      <c r="L1203" s="7" t="str">
        <f aca="false">IF(TRIM(E1203)="","Unknown",IFERROR(LEFT(TRIM(E1203),FIND(",",TRIM(E1203))-1),TRIM(E1203)))</f>
        <v>Indonesia</v>
      </c>
      <c r="M1203" s="7" t="str">
        <f aca="false">IFERROR(LEFT(J1203,FIND(",",J1203)-1),J1203)</f>
        <v>Comedies</v>
      </c>
      <c r="N1203" s="7" t="n">
        <f aca="false">IF(B1203="Movie",IFERROR(VALUE(LEFT(I1203,FIND(" ",I1203)-1)),""),"")</f>
        <v>91</v>
      </c>
      <c r="O1203" s="7" t="str">
        <f aca="false">IF(B1203="TV Show",IFERROR(VALUE(LEFT(I1203,FIND(" ",I1203)-1)),""),"")</f>
        <v/>
      </c>
      <c r="P1203" s="7" t="n">
        <f aca="false">IF(K1203="","",K1203-G1203)</f>
        <v>0</v>
      </c>
    </row>
    <row r="1204" customFormat="false" ht="15" hidden="false" customHeight="false" outlineLevel="0" collapsed="false">
      <c r="A1204" s="7" t="n">
        <v>80201866</v>
      </c>
      <c r="B1204" s="7" t="s">
        <v>78</v>
      </c>
      <c r="C1204" s="7" t="s">
        <v>2837</v>
      </c>
      <c r="E1204" s="7" t="s">
        <v>26</v>
      </c>
      <c r="F1204" s="7" t="s">
        <v>2832</v>
      </c>
      <c r="G1204" s="7" t="n">
        <v>2018</v>
      </c>
      <c r="H1204" s="7" t="s">
        <v>50</v>
      </c>
      <c r="I1204" s="7" t="s">
        <v>82</v>
      </c>
      <c r="J1204" s="7" t="s">
        <v>701</v>
      </c>
      <c r="K1204" s="7" t="n">
        <f aca="false">IFERROR(VALUE(RIGHT(TRIM(F1204),4)),"")</f>
        <v>2018</v>
      </c>
      <c r="L1204" s="7" t="str">
        <f aca="false">IF(TRIM(E1204)="","Unknown",IFERROR(LEFT(TRIM(E1204),FIND(",",TRIM(E1204))-1),TRIM(E1204)))</f>
        <v>United States</v>
      </c>
      <c r="M1204" s="7" t="str">
        <f aca="false">IFERROR(LEFT(J1204,FIND(",",J1204)-1),J1204)</f>
        <v>Reality TV</v>
      </c>
      <c r="N1204" s="7" t="str">
        <f aca="false">IF(B1204="Movie",IFERROR(VALUE(LEFT(I1204,FIND(" ",I1204)-1)),""),"")</f>
        <v/>
      </c>
      <c r="O1204" s="7" t="n">
        <f aca="false">IF(B1204="TV Show",IFERROR(VALUE(LEFT(I1204,FIND(" ",I1204)-1)),""),"")</f>
        <v>1</v>
      </c>
      <c r="P1204" s="7" t="n">
        <f aca="false">IF(K1204="","",K1204-G1204)</f>
        <v>0</v>
      </c>
    </row>
    <row r="1205" customFormat="false" ht="15" hidden="false" customHeight="false" outlineLevel="0" collapsed="false">
      <c r="A1205" s="7" t="n">
        <v>80239932</v>
      </c>
      <c r="B1205" s="7" t="s">
        <v>68</v>
      </c>
      <c r="C1205" s="7" t="s">
        <v>2838</v>
      </c>
      <c r="D1205" s="7" t="s">
        <v>2839</v>
      </c>
      <c r="E1205" s="7" t="s">
        <v>26</v>
      </c>
      <c r="F1205" s="7" t="s">
        <v>2832</v>
      </c>
      <c r="G1205" s="7" t="n">
        <v>2018</v>
      </c>
      <c r="H1205" s="7" t="s">
        <v>48</v>
      </c>
      <c r="I1205" s="7" t="s">
        <v>286</v>
      </c>
      <c r="J1205" s="7" t="s">
        <v>45</v>
      </c>
      <c r="K1205" s="7" t="n">
        <f aca="false">IFERROR(VALUE(RIGHT(TRIM(F1205),4)),"")</f>
        <v>2018</v>
      </c>
      <c r="L1205" s="7" t="str">
        <f aca="false">IF(TRIM(E1205)="","Unknown",IFERROR(LEFT(TRIM(E1205),FIND(",",TRIM(E1205))-1),TRIM(E1205)))</f>
        <v>United States</v>
      </c>
      <c r="M1205" s="7" t="str">
        <f aca="false">IFERROR(LEFT(J1205,FIND(",",J1205)-1),J1205)</f>
        <v>Stand-Up Comedy</v>
      </c>
      <c r="N1205" s="7" t="n">
        <f aca="false">IF(B1205="Movie",IFERROR(VALUE(LEFT(I1205,FIND(" ",I1205)-1)),""),"")</f>
        <v>64</v>
      </c>
      <c r="O1205" s="7" t="str">
        <f aca="false">IF(B1205="TV Show",IFERROR(VALUE(LEFT(I1205,FIND(" ",I1205)-1)),""),"")</f>
        <v/>
      </c>
      <c r="P1205" s="7" t="n">
        <f aca="false">IF(K1205="","",K1205-G1205)</f>
        <v>0</v>
      </c>
    </row>
    <row r="1206" customFormat="false" ht="15" hidden="false" customHeight="false" outlineLevel="0" collapsed="false">
      <c r="A1206" s="7" t="n">
        <v>81215856</v>
      </c>
      <c r="B1206" s="7" t="s">
        <v>68</v>
      </c>
      <c r="C1206" s="7" t="s">
        <v>2840</v>
      </c>
      <c r="E1206" s="7" t="s">
        <v>26</v>
      </c>
      <c r="F1206" s="7" t="s">
        <v>2841</v>
      </c>
      <c r="G1206" s="7" t="n">
        <v>2014</v>
      </c>
      <c r="H1206" s="7" t="s">
        <v>226</v>
      </c>
      <c r="I1206" s="7" t="s">
        <v>2198</v>
      </c>
      <c r="J1206" s="7" t="s">
        <v>10</v>
      </c>
      <c r="K1206" s="7" t="n">
        <f aca="false">IFERROR(VALUE(RIGHT(TRIM(F1206),4)),"")</f>
        <v>2019</v>
      </c>
      <c r="L1206" s="7" t="str">
        <f aca="false">IF(TRIM(E1206)="","Unknown",IFERROR(LEFT(TRIM(E1206),FIND(",",TRIM(E1206))-1),TRIM(E1206)))</f>
        <v>United States</v>
      </c>
      <c r="M1206" s="7" t="str">
        <f aca="false">IFERROR(LEFT(J1206,FIND(",",J1206)-1),J1206)</f>
        <v>Movies</v>
      </c>
      <c r="N1206" s="7" t="n">
        <f aca="false">IF(B1206="Movie",IFERROR(VALUE(LEFT(I1206,FIND(" ",I1206)-1)),""),"")</f>
        <v>44</v>
      </c>
      <c r="O1206" s="7" t="str">
        <f aca="false">IF(B1206="TV Show",IFERROR(VALUE(LEFT(I1206,FIND(" ",I1206)-1)),""),"")</f>
        <v/>
      </c>
      <c r="P1206" s="7" t="n">
        <f aca="false">IF(K1206="","",K1206-G1206)</f>
        <v>5</v>
      </c>
    </row>
    <row r="1207" customFormat="false" ht="15" hidden="false" customHeight="false" outlineLevel="0" collapsed="false">
      <c r="A1207" s="7" t="n">
        <v>81214223</v>
      </c>
      <c r="B1207" s="7" t="s">
        <v>68</v>
      </c>
      <c r="C1207" s="7" t="s">
        <v>2842</v>
      </c>
      <c r="D1207" s="7" t="s">
        <v>2843</v>
      </c>
      <c r="E1207" s="7" t="s">
        <v>26</v>
      </c>
      <c r="F1207" s="7" t="s">
        <v>2841</v>
      </c>
      <c r="G1207" s="7" t="n">
        <v>2014</v>
      </c>
      <c r="H1207" s="7" t="s">
        <v>226</v>
      </c>
      <c r="I1207" s="7" t="s">
        <v>1020</v>
      </c>
      <c r="J1207" s="7" t="s">
        <v>74</v>
      </c>
      <c r="K1207" s="7" t="n">
        <f aca="false">IFERROR(VALUE(RIGHT(TRIM(F1207),4)),"")</f>
        <v>2019</v>
      </c>
      <c r="L1207" s="7" t="str">
        <f aca="false">IF(TRIM(E1207)="","Unknown",IFERROR(LEFT(TRIM(E1207),FIND(",",TRIM(E1207))-1),TRIM(E1207)))</f>
        <v>United States</v>
      </c>
      <c r="M1207" s="7" t="str">
        <f aca="false">IFERROR(LEFT(J1207,FIND(",",J1207)-1),J1207)</f>
        <v>Children &amp; Family Movies</v>
      </c>
      <c r="N1207" s="7" t="n">
        <f aca="false">IF(B1207="Movie",IFERROR(VALUE(LEFT(I1207,FIND(" ",I1207)-1)),""),"")</f>
        <v>68</v>
      </c>
      <c r="O1207" s="7" t="str">
        <f aca="false">IF(B1207="TV Show",IFERROR(VALUE(LEFT(I1207,FIND(" ",I1207)-1)),""),"")</f>
        <v/>
      </c>
      <c r="P1207" s="7" t="n">
        <f aca="false">IF(K1207="","",K1207-G1207)</f>
        <v>5</v>
      </c>
    </row>
    <row r="1208" customFormat="false" ht="15" hidden="false" customHeight="false" outlineLevel="0" collapsed="false">
      <c r="A1208" s="7" t="n">
        <v>80045925</v>
      </c>
      <c r="B1208" s="7" t="s">
        <v>78</v>
      </c>
      <c r="C1208" s="7" t="s">
        <v>2844</v>
      </c>
      <c r="E1208" s="7" t="s">
        <v>26</v>
      </c>
      <c r="F1208" s="7" t="s">
        <v>2841</v>
      </c>
      <c r="G1208" s="7" t="n">
        <v>2015</v>
      </c>
      <c r="H1208" s="7" t="s">
        <v>226</v>
      </c>
      <c r="I1208" s="7" t="s">
        <v>82</v>
      </c>
      <c r="J1208" s="7" t="s">
        <v>191</v>
      </c>
      <c r="K1208" s="7" t="n">
        <f aca="false">IFERROR(VALUE(RIGHT(TRIM(F1208),4)),"")</f>
        <v>2019</v>
      </c>
      <c r="L1208" s="7" t="str">
        <f aca="false">IF(TRIM(E1208)="","Unknown",IFERROR(LEFT(TRIM(E1208),FIND(",",TRIM(E1208))-1),TRIM(E1208)))</f>
        <v>United States</v>
      </c>
      <c r="M1208" s="7" t="str">
        <f aca="false">IFERROR(LEFT(J1208,FIND(",",J1208)-1),J1208)</f>
        <v>Kids' TV</v>
      </c>
      <c r="N1208" s="7" t="str">
        <f aca="false">IF(B1208="Movie",IFERROR(VALUE(LEFT(I1208,FIND(" ",I1208)-1)),""),"")</f>
        <v/>
      </c>
      <c r="O1208" s="7" t="n">
        <f aca="false">IF(B1208="TV Show",IFERROR(VALUE(LEFT(I1208,FIND(" ",I1208)-1)),""),"")</f>
        <v>1</v>
      </c>
      <c r="P1208" s="7" t="n">
        <f aca="false">IF(K1208="","",K1208-G1208)</f>
        <v>4</v>
      </c>
    </row>
    <row r="1209" customFormat="false" ht="15" hidden="false" customHeight="false" outlineLevel="0" collapsed="false">
      <c r="A1209" s="7" t="n">
        <v>80027560</v>
      </c>
      <c r="B1209" s="7" t="s">
        <v>68</v>
      </c>
      <c r="C1209" s="7" t="s">
        <v>2845</v>
      </c>
      <c r="D1209" s="7" t="s">
        <v>2843</v>
      </c>
      <c r="E1209" s="7" t="s">
        <v>230</v>
      </c>
      <c r="F1209" s="7" t="s">
        <v>2841</v>
      </c>
      <c r="G1209" s="7" t="n">
        <v>2012</v>
      </c>
      <c r="H1209" s="7" t="s">
        <v>50</v>
      </c>
      <c r="I1209" s="7" t="s">
        <v>1020</v>
      </c>
      <c r="J1209" s="7" t="s">
        <v>74</v>
      </c>
      <c r="K1209" s="7" t="n">
        <f aca="false">IFERROR(VALUE(RIGHT(TRIM(F1209),4)),"")</f>
        <v>2019</v>
      </c>
      <c r="L1209" s="7" t="str">
        <f aca="false">IF(TRIM(E1209)="","Unknown",IFERROR(LEFT(TRIM(E1209),FIND(",",TRIM(E1209))-1),TRIM(E1209)))</f>
        <v>United States</v>
      </c>
      <c r="M1209" s="7" t="str">
        <f aca="false">IFERROR(LEFT(J1209,FIND(",",J1209)-1),J1209)</f>
        <v>Children &amp; Family Movies</v>
      </c>
      <c r="N1209" s="7" t="n">
        <f aca="false">IF(B1209="Movie",IFERROR(VALUE(LEFT(I1209,FIND(" ",I1209)-1)),""),"")</f>
        <v>68</v>
      </c>
      <c r="O1209" s="7" t="str">
        <f aca="false">IF(B1209="TV Show",IFERROR(VALUE(LEFT(I1209,FIND(" ",I1209)-1)),""),"")</f>
        <v/>
      </c>
      <c r="P1209" s="7" t="n">
        <f aca="false">IF(K1209="","",K1209-G1209)</f>
        <v>7</v>
      </c>
    </row>
    <row r="1210" customFormat="false" ht="15" hidden="false" customHeight="false" outlineLevel="0" collapsed="false">
      <c r="A1210" s="7" t="n">
        <v>70135899</v>
      </c>
      <c r="B1210" s="7" t="s">
        <v>68</v>
      </c>
      <c r="C1210" s="7" t="s">
        <v>2846</v>
      </c>
      <c r="D1210" s="7" t="s">
        <v>2847</v>
      </c>
      <c r="E1210" s="7" t="s">
        <v>2848</v>
      </c>
      <c r="F1210" s="7" t="s">
        <v>2841</v>
      </c>
      <c r="G1210" s="7" t="n">
        <v>2010</v>
      </c>
      <c r="H1210" s="7" t="s">
        <v>51</v>
      </c>
      <c r="I1210" s="7" t="s">
        <v>87</v>
      </c>
      <c r="J1210" s="7" t="s">
        <v>265</v>
      </c>
      <c r="K1210" s="7" t="n">
        <f aca="false">IFERROR(VALUE(RIGHT(TRIM(F1210),4)),"")</f>
        <v>2019</v>
      </c>
      <c r="L1210" s="7" t="str">
        <f aca="false">IF(TRIM(E1210)="","Unknown",IFERROR(LEFT(TRIM(E1210),FIND(",",TRIM(E1210))-1),TRIM(E1210)))</f>
        <v>United States</v>
      </c>
      <c r="M1210" s="7" t="str">
        <f aca="false">IFERROR(LEFT(J1210,FIND(",",J1210)-1),J1210)</f>
        <v>Horror Movies</v>
      </c>
      <c r="N1210" s="7" t="n">
        <f aca="false">IF(B1210="Movie",IFERROR(VALUE(LEFT(I1210,FIND(" ",I1210)-1)),""),"")</f>
        <v>99</v>
      </c>
      <c r="O1210" s="7" t="str">
        <f aca="false">IF(B1210="TV Show",IFERROR(VALUE(LEFT(I1210,FIND(" ",I1210)-1)),""),"")</f>
        <v/>
      </c>
      <c r="P1210" s="7" t="n">
        <f aca="false">IF(K1210="","",K1210-G1210)</f>
        <v>9</v>
      </c>
    </row>
    <row r="1211" customFormat="false" ht="15" hidden="false" customHeight="false" outlineLevel="0" collapsed="false">
      <c r="A1211" s="7" t="n">
        <v>81215437</v>
      </c>
      <c r="B1211" s="7" t="s">
        <v>68</v>
      </c>
      <c r="C1211" s="7" t="s">
        <v>2849</v>
      </c>
      <c r="D1211" s="7" t="s">
        <v>2850</v>
      </c>
      <c r="E1211" s="7" t="s">
        <v>26</v>
      </c>
      <c r="F1211" s="7" t="s">
        <v>2841</v>
      </c>
      <c r="G1211" s="7" t="n">
        <v>2017</v>
      </c>
      <c r="H1211" s="7" t="s">
        <v>226</v>
      </c>
      <c r="I1211" s="7" t="s">
        <v>628</v>
      </c>
      <c r="J1211" s="7" t="s">
        <v>42</v>
      </c>
      <c r="K1211" s="7" t="n">
        <f aca="false">IFERROR(VALUE(RIGHT(TRIM(F1211),4)),"")</f>
        <v>2019</v>
      </c>
      <c r="L1211" s="7" t="str">
        <f aca="false">IF(TRIM(E1211)="","Unknown",IFERROR(LEFT(TRIM(E1211),FIND(",",TRIM(E1211))-1),TRIM(E1211)))</f>
        <v>United States</v>
      </c>
      <c r="M1211" s="7" t="str">
        <f aca="false">IFERROR(LEFT(J1211,FIND(",",J1211)-1),J1211)</f>
        <v>Children &amp; Family Movies</v>
      </c>
      <c r="N1211" s="7" t="n">
        <f aca="false">IF(B1211="Movie",IFERROR(VALUE(LEFT(I1211,FIND(" ",I1211)-1)),""),"")</f>
        <v>69</v>
      </c>
      <c r="O1211" s="7" t="str">
        <f aca="false">IF(B1211="TV Show",IFERROR(VALUE(LEFT(I1211,FIND(" ",I1211)-1)),""),"")</f>
        <v/>
      </c>
      <c r="P1211" s="7" t="n">
        <f aca="false">IF(K1211="","",K1211-G1211)</f>
        <v>2</v>
      </c>
    </row>
    <row r="1212" customFormat="false" ht="15" hidden="false" customHeight="false" outlineLevel="0" collapsed="false">
      <c r="A1212" s="7" t="n">
        <v>81215438</v>
      </c>
      <c r="B1212" s="7" t="s">
        <v>68</v>
      </c>
      <c r="C1212" s="7" t="s">
        <v>2851</v>
      </c>
      <c r="D1212" s="7" t="s">
        <v>2852</v>
      </c>
      <c r="E1212" s="7" t="s">
        <v>2853</v>
      </c>
      <c r="F1212" s="7" t="s">
        <v>2841</v>
      </c>
      <c r="G1212" s="7" t="n">
        <v>2017</v>
      </c>
      <c r="H1212" s="7" t="s">
        <v>50</v>
      </c>
      <c r="I1212" s="7" t="s">
        <v>467</v>
      </c>
      <c r="J1212" s="7" t="s">
        <v>74</v>
      </c>
      <c r="K1212" s="7" t="n">
        <f aca="false">IFERROR(VALUE(RIGHT(TRIM(F1212),4)),"")</f>
        <v>2019</v>
      </c>
      <c r="L1212" s="7" t="str">
        <f aca="false">IF(TRIM(E1212)="","Unknown",IFERROR(LEFT(TRIM(E1212),FIND(",",TRIM(E1212))-1),TRIM(E1212)))</f>
        <v>United States</v>
      </c>
      <c r="M1212" s="7" t="str">
        <f aca="false">IFERROR(LEFT(J1212,FIND(",",J1212)-1),J1212)</f>
        <v>Children &amp; Family Movies</v>
      </c>
      <c r="N1212" s="7" t="n">
        <f aca="false">IF(B1212="Movie",IFERROR(VALUE(LEFT(I1212,FIND(" ",I1212)-1)),""),"")</f>
        <v>81</v>
      </c>
      <c r="O1212" s="7" t="str">
        <f aca="false">IF(B1212="TV Show",IFERROR(VALUE(LEFT(I1212,FIND(" ",I1212)-1)),""),"")</f>
        <v/>
      </c>
      <c r="P1212" s="7" t="n">
        <f aca="false">IF(K1212="","",K1212-G1212)</f>
        <v>2</v>
      </c>
    </row>
    <row r="1213" customFormat="false" ht="15" hidden="false" customHeight="false" outlineLevel="0" collapsed="false">
      <c r="A1213" s="7" t="n">
        <v>81214187</v>
      </c>
      <c r="B1213" s="7" t="s">
        <v>68</v>
      </c>
      <c r="C1213" s="7" t="s">
        <v>2854</v>
      </c>
      <c r="D1213" s="7" t="s">
        <v>2855</v>
      </c>
      <c r="E1213" s="7" t="s">
        <v>230</v>
      </c>
      <c r="F1213" s="7" t="s">
        <v>2841</v>
      </c>
      <c r="G1213" s="7" t="n">
        <v>2013</v>
      </c>
      <c r="H1213" s="7" t="s">
        <v>226</v>
      </c>
      <c r="I1213" s="7" t="s">
        <v>628</v>
      </c>
      <c r="J1213" s="7" t="s">
        <v>74</v>
      </c>
      <c r="K1213" s="7" t="n">
        <f aca="false">IFERROR(VALUE(RIGHT(TRIM(F1213),4)),"")</f>
        <v>2019</v>
      </c>
      <c r="L1213" s="7" t="str">
        <f aca="false">IF(TRIM(E1213)="","Unknown",IFERROR(LEFT(TRIM(E1213),FIND(",",TRIM(E1213))-1),TRIM(E1213)))</f>
        <v>United States</v>
      </c>
      <c r="M1213" s="7" t="str">
        <f aca="false">IFERROR(LEFT(J1213,FIND(",",J1213)-1),J1213)</f>
        <v>Children &amp; Family Movies</v>
      </c>
      <c r="N1213" s="7" t="n">
        <f aca="false">IF(B1213="Movie",IFERROR(VALUE(LEFT(I1213,FIND(" ",I1213)-1)),""),"")</f>
        <v>69</v>
      </c>
      <c r="O1213" s="7" t="str">
        <f aca="false">IF(B1213="TV Show",IFERROR(VALUE(LEFT(I1213,FIND(" ",I1213)-1)),""),"")</f>
        <v/>
      </c>
      <c r="P1213" s="7" t="n">
        <f aca="false">IF(K1213="","",K1213-G1213)</f>
        <v>6</v>
      </c>
    </row>
    <row r="1214" customFormat="false" ht="15" hidden="false" customHeight="false" outlineLevel="0" collapsed="false">
      <c r="A1214" s="7" t="n">
        <v>80160987</v>
      </c>
      <c r="B1214" s="7" t="s">
        <v>68</v>
      </c>
      <c r="C1214" s="7" t="s">
        <v>2856</v>
      </c>
      <c r="D1214" s="7" t="s">
        <v>2857</v>
      </c>
      <c r="E1214" s="7" t="s">
        <v>26</v>
      </c>
      <c r="F1214" s="7" t="s">
        <v>2841</v>
      </c>
      <c r="G1214" s="7" t="n">
        <v>2016</v>
      </c>
      <c r="H1214" s="7" t="s">
        <v>50</v>
      </c>
      <c r="I1214" s="7" t="s">
        <v>1020</v>
      </c>
      <c r="J1214" s="7" t="s">
        <v>42</v>
      </c>
      <c r="K1214" s="7" t="n">
        <f aca="false">IFERROR(VALUE(RIGHT(TRIM(F1214),4)),"")</f>
        <v>2019</v>
      </c>
      <c r="L1214" s="7" t="str">
        <f aca="false">IF(TRIM(E1214)="","Unknown",IFERROR(LEFT(TRIM(E1214),FIND(",",TRIM(E1214))-1),TRIM(E1214)))</f>
        <v>United States</v>
      </c>
      <c r="M1214" s="7" t="str">
        <f aca="false">IFERROR(LEFT(J1214,FIND(",",J1214)-1),J1214)</f>
        <v>Children &amp; Family Movies</v>
      </c>
      <c r="N1214" s="7" t="n">
        <f aca="false">IF(B1214="Movie",IFERROR(VALUE(LEFT(I1214,FIND(" ",I1214)-1)),""),"")</f>
        <v>68</v>
      </c>
      <c r="O1214" s="7" t="str">
        <f aca="false">IF(B1214="TV Show",IFERROR(VALUE(LEFT(I1214,FIND(" ",I1214)-1)),""),"")</f>
        <v/>
      </c>
      <c r="P1214" s="7" t="n">
        <f aca="false">IF(K1214="","",K1214-G1214)</f>
        <v>3</v>
      </c>
    </row>
    <row r="1215" customFormat="false" ht="15" hidden="false" customHeight="false" outlineLevel="0" collapsed="false">
      <c r="A1215" s="7" t="n">
        <v>81215439</v>
      </c>
      <c r="B1215" s="7" t="s">
        <v>68</v>
      </c>
      <c r="C1215" s="7" t="s">
        <v>2858</v>
      </c>
      <c r="D1215" s="7" t="s">
        <v>2859</v>
      </c>
      <c r="E1215" s="7" t="s">
        <v>26</v>
      </c>
      <c r="F1215" s="7" t="s">
        <v>2841</v>
      </c>
      <c r="G1215" s="7" t="n">
        <v>2015</v>
      </c>
      <c r="H1215" s="7" t="s">
        <v>50</v>
      </c>
      <c r="I1215" s="7" t="s">
        <v>1020</v>
      </c>
      <c r="J1215" s="7" t="s">
        <v>74</v>
      </c>
      <c r="K1215" s="7" t="n">
        <f aca="false">IFERROR(VALUE(RIGHT(TRIM(F1215),4)),"")</f>
        <v>2019</v>
      </c>
      <c r="L1215" s="7" t="str">
        <f aca="false">IF(TRIM(E1215)="","Unknown",IFERROR(LEFT(TRIM(E1215),FIND(",",TRIM(E1215))-1),TRIM(E1215)))</f>
        <v>United States</v>
      </c>
      <c r="M1215" s="7" t="str">
        <f aca="false">IFERROR(LEFT(J1215,FIND(",",J1215)-1),J1215)</f>
        <v>Children &amp; Family Movies</v>
      </c>
      <c r="N1215" s="7" t="n">
        <f aca="false">IF(B1215="Movie",IFERROR(VALUE(LEFT(I1215,FIND(" ",I1215)-1)),""),"")</f>
        <v>68</v>
      </c>
      <c r="O1215" s="7" t="str">
        <f aca="false">IF(B1215="TV Show",IFERROR(VALUE(LEFT(I1215,FIND(" ",I1215)-1)),""),"")</f>
        <v/>
      </c>
      <c r="P1215" s="7" t="n">
        <f aca="false">IF(K1215="","",K1215-G1215)</f>
        <v>4</v>
      </c>
    </row>
    <row r="1216" customFormat="false" ht="15" hidden="false" customHeight="false" outlineLevel="0" collapsed="false">
      <c r="A1216" s="7" t="n">
        <v>70178618</v>
      </c>
      <c r="B1216" s="7" t="s">
        <v>68</v>
      </c>
      <c r="C1216" s="7" t="s">
        <v>2860</v>
      </c>
      <c r="D1216" s="7" t="s">
        <v>2861</v>
      </c>
      <c r="E1216" s="7" t="s">
        <v>26</v>
      </c>
      <c r="F1216" s="7" t="s">
        <v>2841</v>
      </c>
      <c r="G1216" s="7" t="n">
        <v>2011</v>
      </c>
      <c r="H1216" s="7" t="s">
        <v>52</v>
      </c>
      <c r="I1216" s="7" t="s">
        <v>470</v>
      </c>
      <c r="J1216" s="7" t="s">
        <v>265</v>
      </c>
      <c r="K1216" s="7" t="n">
        <f aca="false">IFERROR(VALUE(RIGHT(TRIM(F1216),4)),"")</f>
        <v>2019</v>
      </c>
      <c r="L1216" s="7" t="str">
        <f aca="false">IF(TRIM(E1216)="","Unknown",IFERROR(LEFT(TRIM(E1216),FIND(",",TRIM(E1216))-1),TRIM(E1216)))</f>
        <v>United States</v>
      </c>
      <c r="M1216" s="7" t="str">
        <f aca="false">IFERROR(LEFT(J1216,FIND(",",J1216)-1),J1216)</f>
        <v>Horror Movies</v>
      </c>
      <c r="N1216" s="7" t="n">
        <f aca="false">IF(B1216="Movie",IFERROR(VALUE(LEFT(I1216,FIND(" ",I1216)-1)),""),"")</f>
        <v>91</v>
      </c>
      <c r="O1216" s="7" t="str">
        <f aca="false">IF(B1216="TV Show",IFERROR(VALUE(LEFT(I1216,FIND(" ",I1216)-1)),""),"")</f>
        <v/>
      </c>
      <c r="P1216" s="7" t="n">
        <f aca="false">IF(K1216="","",K1216-G1216)</f>
        <v>8</v>
      </c>
    </row>
    <row r="1217" customFormat="false" ht="15" hidden="false" customHeight="false" outlineLevel="0" collapsed="false">
      <c r="A1217" s="7" t="n">
        <v>70292700</v>
      </c>
      <c r="B1217" s="7" t="s">
        <v>68</v>
      </c>
      <c r="C1217" s="7" t="s">
        <v>2862</v>
      </c>
      <c r="D1217" s="7" t="s">
        <v>2863</v>
      </c>
      <c r="E1217" s="7" t="s">
        <v>230</v>
      </c>
      <c r="F1217" s="7" t="s">
        <v>2841</v>
      </c>
      <c r="G1217" s="7" t="n">
        <v>2010</v>
      </c>
      <c r="H1217" s="7" t="s">
        <v>226</v>
      </c>
      <c r="I1217" s="7" t="s">
        <v>212</v>
      </c>
      <c r="J1217" s="7" t="s">
        <v>74</v>
      </c>
      <c r="K1217" s="7" t="n">
        <f aca="false">IFERROR(VALUE(RIGHT(TRIM(F1217),4)),"")</f>
        <v>2019</v>
      </c>
      <c r="L1217" s="7" t="str">
        <f aca="false">IF(TRIM(E1217)="","Unknown",IFERROR(LEFT(TRIM(E1217),FIND(",",TRIM(E1217))-1),TRIM(E1217)))</f>
        <v>United States</v>
      </c>
      <c r="M1217" s="7" t="str">
        <f aca="false">IFERROR(LEFT(J1217,FIND(",",J1217)-1),J1217)</f>
        <v>Children &amp; Family Movies</v>
      </c>
      <c r="N1217" s="7" t="n">
        <f aca="false">IF(B1217="Movie",IFERROR(VALUE(LEFT(I1217,FIND(" ",I1217)-1)),""),"")</f>
        <v>86</v>
      </c>
      <c r="O1217" s="7" t="str">
        <f aca="false">IF(B1217="TV Show",IFERROR(VALUE(LEFT(I1217,FIND(" ",I1217)-1)),""),"")</f>
        <v/>
      </c>
      <c r="P1217" s="7" t="n">
        <f aca="false">IF(K1217="","",K1217-G1217)</f>
        <v>9</v>
      </c>
    </row>
    <row r="1218" customFormat="false" ht="15" hidden="false" customHeight="false" outlineLevel="0" collapsed="false">
      <c r="A1218" s="7" t="n">
        <v>81214214</v>
      </c>
      <c r="B1218" s="7" t="s">
        <v>68</v>
      </c>
      <c r="C1218" s="7" t="s">
        <v>2864</v>
      </c>
      <c r="D1218" s="7" t="s">
        <v>2865</v>
      </c>
      <c r="E1218" s="7" t="s">
        <v>26</v>
      </c>
      <c r="F1218" s="7" t="s">
        <v>2841</v>
      </c>
      <c r="G1218" s="7" t="n">
        <v>2015</v>
      </c>
      <c r="H1218" s="7" t="s">
        <v>226</v>
      </c>
      <c r="I1218" s="7" t="s">
        <v>333</v>
      </c>
      <c r="J1218" s="7" t="s">
        <v>74</v>
      </c>
      <c r="K1218" s="7" t="n">
        <f aca="false">IFERROR(VALUE(RIGHT(TRIM(F1218),4)),"")</f>
        <v>2019</v>
      </c>
      <c r="L1218" s="7" t="str">
        <f aca="false">IF(TRIM(E1218)="","Unknown",IFERROR(LEFT(TRIM(E1218),FIND(",",TRIM(E1218))-1),TRIM(E1218)))</f>
        <v>United States</v>
      </c>
      <c r="M1218" s="7" t="str">
        <f aca="false">IFERROR(LEFT(J1218,FIND(",",J1218)-1),J1218)</f>
        <v>Children &amp; Family Movies</v>
      </c>
      <c r="N1218" s="7" t="n">
        <f aca="false">IF(B1218="Movie",IFERROR(VALUE(LEFT(I1218,FIND(" ",I1218)-1)),""),"")</f>
        <v>40</v>
      </c>
      <c r="O1218" s="7" t="str">
        <f aca="false">IF(B1218="TV Show",IFERROR(VALUE(LEFT(I1218,FIND(" ",I1218)-1)),""),"")</f>
        <v/>
      </c>
      <c r="P1218" s="7" t="n">
        <f aca="false">IF(K1218="","",K1218-G1218)</f>
        <v>4</v>
      </c>
    </row>
    <row r="1219" customFormat="false" ht="15" hidden="false" customHeight="false" outlineLevel="0" collapsed="false">
      <c r="A1219" s="7" t="n">
        <v>81020531</v>
      </c>
      <c r="B1219" s="7" t="s">
        <v>68</v>
      </c>
      <c r="C1219" s="7" t="s">
        <v>2866</v>
      </c>
      <c r="D1219" s="7" t="s">
        <v>2867</v>
      </c>
      <c r="E1219" s="7" t="s">
        <v>325</v>
      </c>
      <c r="F1219" s="7" t="s">
        <v>2868</v>
      </c>
      <c r="G1219" s="7" t="n">
        <v>2018</v>
      </c>
      <c r="H1219" s="7" t="s">
        <v>49</v>
      </c>
      <c r="I1219" s="7" t="s">
        <v>237</v>
      </c>
      <c r="J1219" s="7" t="s">
        <v>2869</v>
      </c>
      <c r="K1219" s="7" t="n">
        <f aca="false">IFERROR(VALUE(RIGHT(TRIM(F1219),4)),"")</f>
        <v>2018</v>
      </c>
      <c r="L1219" s="7" t="str">
        <f aca="false">IF(TRIM(E1219)="","Unknown",IFERROR(LEFT(TRIM(E1219),FIND(",",TRIM(E1219))-1),TRIM(E1219)))</f>
        <v>Brazil</v>
      </c>
      <c r="M1219" s="7" t="str">
        <f aca="false">IFERROR(LEFT(J1219,FIND(",",J1219)-1),J1219)</f>
        <v>Comedies</v>
      </c>
      <c r="N1219" s="7" t="n">
        <f aca="false">IF(B1219="Movie",IFERROR(VALUE(LEFT(I1219,FIND(" ",I1219)-1)),""),"")</f>
        <v>116</v>
      </c>
      <c r="O1219" s="7" t="str">
        <f aca="false">IF(B1219="TV Show",IFERROR(VALUE(LEFT(I1219,FIND(" ",I1219)-1)),""),"")</f>
        <v/>
      </c>
      <c r="P1219" s="7" t="n">
        <f aca="false">IF(K1219="","",K1219-G1219)</f>
        <v>0</v>
      </c>
    </row>
    <row r="1220" customFormat="false" ht="15" hidden="false" customHeight="false" outlineLevel="0" collapsed="false">
      <c r="A1220" s="7" t="n">
        <v>80215086</v>
      </c>
      <c r="B1220" s="7" t="s">
        <v>78</v>
      </c>
      <c r="C1220" s="7" t="s">
        <v>2870</v>
      </c>
      <c r="F1220" s="7" t="s">
        <v>2868</v>
      </c>
      <c r="G1220" s="7" t="n">
        <v>2018</v>
      </c>
      <c r="H1220" s="7" t="s">
        <v>55</v>
      </c>
      <c r="I1220" s="7" t="s">
        <v>82</v>
      </c>
      <c r="J1220" s="7" t="s">
        <v>44</v>
      </c>
      <c r="K1220" s="7" t="n">
        <f aca="false">IFERROR(VALUE(RIGHT(TRIM(F1220),4)),"")</f>
        <v>2018</v>
      </c>
      <c r="L1220" s="7" t="str">
        <f aca="false">IF(TRIM(E1220)="","Unknown",IFERROR(LEFT(TRIM(E1220),FIND(",",TRIM(E1220))-1),TRIM(E1220)))</f>
        <v>Unknown</v>
      </c>
      <c r="M1220" s="7" t="str">
        <f aca="false">IFERROR(LEFT(J1220,FIND(",",J1220)-1),J1220)</f>
        <v>Kids' TV</v>
      </c>
      <c r="N1220" s="7" t="str">
        <f aca="false">IF(B1220="Movie",IFERROR(VALUE(LEFT(I1220,FIND(" ",I1220)-1)),""),"")</f>
        <v/>
      </c>
      <c r="O1220" s="7" t="n">
        <f aca="false">IF(B1220="TV Show",IFERROR(VALUE(LEFT(I1220,FIND(" ",I1220)-1)),""),"")</f>
        <v>1</v>
      </c>
      <c r="P1220" s="7" t="n">
        <f aca="false">IF(K1220="","",K1220-G1220)</f>
        <v>0</v>
      </c>
    </row>
    <row r="1221" customFormat="false" ht="15" hidden="false" customHeight="false" outlineLevel="0" collapsed="false">
      <c r="A1221" s="7" t="n">
        <v>80191051</v>
      </c>
      <c r="B1221" s="7" t="s">
        <v>68</v>
      </c>
      <c r="C1221" s="7" t="s">
        <v>2871</v>
      </c>
      <c r="D1221" s="7" t="s">
        <v>2872</v>
      </c>
      <c r="E1221" s="7" t="s">
        <v>26</v>
      </c>
      <c r="F1221" s="7" t="s">
        <v>2868</v>
      </c>
      <c r="G1221" s="7" t="n">
        <v>2018</v>
      </c>
      <c r="H1221" s="7" t="s">
        <v>48</v>
      </c>
      <c r="I1221" s="7" t="s">
        <v>1757</v>
      </c>
      <c r="J1221" s="7" t="s">
        <v>509</v>
      </c>
      <c r="K1221" s="7" t="n">
        <f aca="false">IFERROR(VALUE(RIGHT(TRIM(F1221),4)),"")</f>
        <v>2018</v>
      </c>
      <c r="L1221" s="7" t="str">
        <f aca="false">IF(TRIM(E1221)="","Unknown",IFERROR(LEFT(TRIM(E1221),FIND(",",TRIM(E1221))-1),TRIM(E1221)))</f>
        <v>United States</v>
      </c>
      <c r="M1221" s="7" t="str">
        <f aca="false">IFERROR(LEFT(J1221,FIND(",",J1221)-1),J1221)</f>
        <v>Documentaries</v>
      </c>
      <c r="N1221" s="7" t="n">
        <f aca="false">IF(B1221="Movie",IFERROR(VALUE(LEFT(I1221,FIND(" ",I1221)-1)),""),"")</f>
        <v>59</v>
      </c>
      <c r="O1221" s="7" t="str">
        <f aca="false">IF(B1221="TV Show",IFERROR(VALUE(LEFT(I1221,FIND(" ",I1221)-1)),""),"")</f>
        <v/>
      </c>
      <c r="P1221" s="7" t="n">
        <f aca="false">IF(K1221="","",K1221-G1221)</f>
        <v>0</v>
      </c>
    </row>
    <row r="1222" customFormat="false" ht="15" hidden="false" customHeight="false" outlineLevel="0" collapsed="false">
      <c r="A1222" s="7" t="n">
        <v>80242446</v>
      </c>
      <c r="B1222" s="7" t="s">
        <v>68</v>
      </c>
      <c r="C1222" s="7" t="s">
        <v>2873</v>
      </c>
      <c r="D1222" s="7" t="s">
        <v>2874</v>
      </c>
      <c r="E1222" s="7" t="s">
        <v>26</v>
      </c>
      <c r="F1222" s="7" t="s">
        <v>2868</v>
      </c>
      <c r="G1222" s="7" t="n">
        <v>2018</v>
      </c>
      <c r="H1222" s="7" t="s">
        <v>50</v>
      </c>
      <c r="I1222" s="7" t="s">
        <v>111</v>
      </c>
      <c r="J1222" s="7" t="s">
        <v>269</v>
      </c>
      <c r="K1222" s="7" t="n">
        <f aca="false">IFERROR(VALUE(RIGHT(TRIM(F1222),4)),"")</f>
        <v>2018</v>
      </c>
      <c r="L1222" s="7" t="str">
        <f aca="false">IF(TRIM(E1222)="","Unknown",IFERROR(LEFT(TRIM(E1222),FIND(",",TRIM(E1222))-1),TRIM(E1222)))</f>
        <v>United States</v>
      </c>
      <c r="M1222" s="7" t="str">
        <f aca="false">IFERROR(LEFT(J1222,FIND(",",J1222)-1),J1222)</f>
        <v>Dramas</v>
      </c>
      <c r="N1222" s="7" t="n">
        <f aca="false">IF(B1222="Movie",IFERROR(VALUE(LEFT(I1222,FIND(" ",I1222)-1)),""),"")</f>
        <v>95</v>
      </c>
      <c r="O1222" s="7" t="str">
        <f aca="false">IF(B1222="TV Show",IFERROR(VALUE(LEFT(I1222,FIND(" ",I1222)-1)),""),"")</f>
        <v/>
      </c>
      <c r="P1222" s="7" t="n">
        <f aca="false">IF(K1222="","",K1222-G1222)</f>
        <v>0</v>
      </c>
    </row>
    <row r="1223" customFormat="false" ht="15" hidden="false" customHeight="false" outlineLevel="0" collapsed="false">
      <c r="A1223" s="7" t="n">
        <v>80241877</v>
      </c>
      <c r="B1223" s="7" t="s">
        <v>78</v>
      </c>
      <c r="C1223" s="7" t="s">
        <v>2875</v>
      </c>
      <c r="E1223" s="7" t="s">
        <v>167</v>
      </c>
      <c r="F1223" s="7" t="s">
        <v>2868</v>
      </c>
      <c r="G1223" s="7" t="n">
        <v>2018</v>
      </c>
      <c r="H1223" s="7" t="s">
        <v>48</v>
      </c>
      <c r="I1223" s="7" t="s">
        <v>82</v>
      </c>
      <c r="J1223" s="7" t="s">
        <v>402</v>
      </c>
      <c r="K1223" s="7" t="n">
        <f aca="false">IFERROR(VALUE(RIGHT(TRIM(F1223),4)),"")</f>
        <v>2018</v>
      </c>
      <c r="L1223" s="7" t="str">
        <f aca="false">IF(TRIM(E1223)="","Unknown",IFERROR(LEFT(TRIM(E1223),FIND(",",TRIM(E1223))-1),TRIM(E1223)))</f>
        <v>Thailand</v>
      </c>
      <c r="M1223" s="7" t="str">
        <f aca="false">IFERROR(LEFT(J1223,FIND(",",J1223)-1),J1223)</f>
        <v>Crime TV Shows</v>
      </c>
      <c r="N1223" s="7" t="str">
        <f aca="false">IF(B1223="Movie",IFERROR(VALUE(LEFT(I1223,FIND(" ",I1223)-1)),""),"")</f>
        <v/>
      </c>
      <c r="O1223" s="7" t="n">
        <f aca="false">IF(B1223="TV Show",IFERROR(VALUE(LEFT(I1223,FIND(" ",I1223)-1)),""),"")</f>
        <v>1</v>
      </c>
      <c r="P1223" s="7" t="n">
        <f aca="false">IF(K1223="","",K1223-G1223)</f>
        <v>0</v>
      </c>
    </row>
    <row r="1224" customFormat="false" ht="15" hidden="false" customHeight="false" outlineLevel="0" collapsed="false">
      <c r="A1224" s="7" t="n">
        <v>80085566</v>
      </c>
      <c r="B1224" s="7" t="s">
        <v>68</v>
      </c>
      <c r="C1224" s="7" t="s">
        <v>2876</v>
      </c>
      <c r="D1224" s="7" t="s">
        <v>2877</v>
      </c>
      <c r="E1224" s="7" t="s">
        <v>2878</v>
      </c>
      <c r="F1224" s="7" t="s">
        <v>2868</v>
      </c>
      <c r="G1224" s="7" t="n">
        <v>2018</v>
      </c>
      <c r="H1224" s="7" t="s">
        <v>51</v>
      </c>
      <c r="I1224" s="7" t="s">
        <v>232</v>
      </c>
      <c r="J1224" s="7" t="s">
        <v>150</v>
      </c>
      <c r="K1224" s="7" t="n">
        <f aca="false">IFERROR(VALUE(RIGHT(TRIM(F1224),4)),"")</f>
        <v>2018</v>
      </c>
      <c r="L1224" s="7" t="str">
        <f aca="false">IF(TRIM(E1224)="","Unknown",IFERROR(LEFT(TRIM(E1224),FIND(",",TRIM(E1224))-1),TRIM(E1224)))</f>
        <v>France</v>
      </c>
      <c r="M1224" s="7" t="str">
        <f aca="false">IFERROR(LEFT(J1224,FIND(",",J1224)-1),J1224)</f>
        <v>Dramas</v>
      </c>
      <c r="N1224" s="7" t="n">
        <f aca="false">IF(B1224="Movie",IFERROR(VALUE(LEFT(I1224,FIND(" ",I1224)-1)),""),"")</f>
        <v>122</v>
      </c>
      <c r="O1224" s="7" t="str">
        <f aca="false">IF(B1224="TV Show",IFERROR(VALUE(LEFT(I1224,FIND(" ",I1224)-1)),""),"")</f>
        <v/>
      </c>
      <c r="P1224" s="7" t="n">
        <f aca="false">IF(K1224="","",K1224-G1224)</f>
        <v>0</v>
      </c>
    </row>
    <row r="1225" customFormat="false" ht="15" hidden="false" customHeight="false" outlineLevel="0" collapsed="false">
      <c r="A1225" s="7" t="n">
        <v>80124722</v>
      </c>
      <c r="B1225" s="7" t="s">
        <v>68</v>
      </c>
      <c r="C1225" s="7" t="s">
        <v>2879</v>
      </c>
      <c r="D1225" s="7" t="s">
        <v>507</v>
      </c>
      <c r="E1225" s="7" t="s">
        <v>26</v>
      </c>
      <c r="F1225" s="7" t="s">
        <v>2868</v>
      </c>
      <c r="G1225" s="7" t="n">
        <v>2018</v>
      </c>
      <c r="H1225" s="7" t="s">
        <v>48</v>
      </c>
      <c r="I1225" s="7" t="s">
        <v>134</v>
      </c>
      <c r="J1225" s="7" t="s">
        <v>39</v>
      </c>
      <c r="K1225" s="7" t="n">
        <f aca="false">IFERROR(VALUE(RIGHT(TRIM(F1225),4)),"")</f>
        <v>2018</v>
      </c>
      <c r="L1225" s="7" t="str">
        <f aca="false">IF(TRIM(E1225)="","Unknown",IFERROR(LEFT(TRIM(E1225),FIND(",",TRIM(E1225))-1),TRIM(E1225)))</f>
        <v>United States</v>
      </c>
      <c r="M1225" s="7" t="str">
        <f aca="false">IFERROR(LEFT(J1225,FIND(",",J1225)-1),J1225)</f>
        <v>Documentaries</v>
      </c>
      <c r="N1225" s="7" t="n">
        <f aca="false">IF(B1225="Movie",IFERROR(VALUE(LEFT(I1225,FIND(" ",I1225)-1)),""),"")</f>
        <v>98</v>
      </c>
      <c r="O1225" s="7" t="str">
        <f aca="false">IF(B1225="TV Show",IFERROR(VALUE(LEFT(I1225,FIND(" ",I1225)-1)),""),"")</f>
        <v/>
      </c>
      <c r="P1225" s="7" t="n">
        <f aca="false">IF(K1225="","",K1225-G1225)</f>
        <v>0</v>
      </c>
    </row>
    <row r="1226" customFormat="false" ht="15" hidden="false" customHeight="false" outlineLevel="0" collapsed="false">
      <c r="A1226" s="7" t="n">
        <v>70243696</v>
      </c>
      <c r="B1226" s="7" t="s">
        <v>68</v>
      </c>
      <c r="C1226" s="7" t="s">
        <v>2880</v>
      </c>
      <c r="D1226" s="7" t="s">
        <v>2881</v>
      </c>
      <c r="E1226" s="7" t="s">
        <v>28</v>
      </c>
      <c r="F1226" s="7" t="s">
        <v>2882</v>
      </c>
      <c r="G1226" s="7" t="n">
        <v>2010</v>
      </c>
      <c r="H1226" s="7" t="s">
        <v>53</v>
      </c>
      <c r="I1226" s="7" t="s">
        <v>194</v>
      </c>
      <c r="J1226" s="7" t="s">
        <v>304</v>
      </c>
      <c r="K1226" s="7" t="n">
        <f aca="false">IFERROR(VALUE(RIGHT(TRIM(F1226),4)),"")</f>
        <v>2016</v>
      </c>
      <c r="L1226" s="7" t="str">
        <f aca="false">IF(TRIM(E1226)="","Unknown",IFERROR(LEFT(TRIM(E1226),FIND(",",TRIM(E1226))-1),TRIM(E1226)))</f>
        <v>United Kingdom</v>
      </c>
      <c r="M1226" s="7" t="str">
        <f aca="false">IFERROR(LEFT(J1226,FIND(",",J1226)-1),J1226)</f>
        <v>Dramas</v>
      </c>
      <c r="N1226" s="7" t="n">
        <f aca="false">IF(B1226="Movie",IFERROR(VALUE(LEFT(I1226,FIND(" ",I1226)-1)),""),"")</f>
        <v>125</v>
      </c>
      <c r="O1226" s="7" t="str">
        <f aca="false">IF(B1226="TV Show",IFERROR(VALUE(LEFT(I1226,FIND(" ",I1226)-1)),""),"")</f>
        <v/>
      </c>
      <c r="P1226" s="7" t="n">
        <f aca="false">IF(K1226="","",K1226-G1226)</f>
        <v>6</v>
      </c>
    </row>
    <row r="1227" customFormat="false" ht="15" hidden="false" customHeight="false" outlineLevel="0" collapsed="false">
      <c r="A1227" s="7" t="n">
        <v>70243692</v>
      </c>
      <c r="B1227" s="7" t="s">
        <v>68</v>
      </c>
      <c r="C1227" s="7" t="s">
        <v>2883</v>
      </c>
      <c r="D1227" s="7" t="s">
        <v>2884</v>
      </c>
      <c r="E1227" s="7" t="s">
        <v>2885</v>
      </c>
      <c r="F1227" s="7" t="s">
        <v>2882</v>
      </c>
      <c r="G1227" s="7" t="n">
        <v>2010</v>
      </c>
      <c r="H1227" s="7" t="s">
        <v>53</v>
      </c>
      <c r="I1227" s="7" t="s">
        <v>194</v>
      </c>
      <c r="J1227" s="7" t="s">
        <v>304</v>
      </c>
      <c r="K1227" s="7" t="n">
        <f aca="false">IFERROR(VALUE(RIGHT(TRIM(F1227),4)),"")</f>
        <v>2016</v>
      </c>
      <c r="L1227" s="7" t="str">
        <f aca="false">IF(TRIM(E1227)="","Unknown",IFERROR(LEFT(TRIM(E1227),FIND(",",TRIM(E1227))-1),TRIM(E1227)))</f>
        <v>United Kingdom</v>
      </c>
      <c r="M1227" s="7" t="str">
        <f aca="false">IFERROR(LEFT(J1227,FIND(",",J1227)-1),J1227)</f>
        <v>Dramas</v>
      </c>
      <c r="N1227" s="7" t="n">
        <f aca="false">IF(B1227="Movie",IFERROR(VALUE(LEFT(I1227,FIND(" ",I1227)-1)),""),"")</f>
        <v>125</v>
      </c>
      <c r="O1227" s="7" t="str">
        <f aca="false">IF(B1227="TV Show",IFERROR(VALUE(LEFT(I1227,FIND(" ",I1227)-1)),""),"")</f>
        <v/>
      </c>
      <c r="P1227" s="7" t="n">
        <f aca="false">IF(K1227="","",K1227-G1227)</f>
        <v>6</v>
      </c>
    </row>
    <row r="1228" customFormat="false" ht="15" hidden="false" customHeight="false" outlineLevel="0" collapsed="false">
      <c r="A1228" s="7" t="n">
        <v>81073633</v>
      </c>
      <c r="B1228" s="7" t="s">
        <v>68</v>
      </c>
      <c r="C1228" s="7" t="s">
        <v>2886</v>
      </c>
      <c r="D1228" s="7" t="s">
        <v>2887</v>
      </c>
      <c r="E1228" s="7" t="s">
        <v>26</v>
      </c>
      <c r="F1228" s="7" t="s">
        <v>2888</v>
      </c>
      <c r="G1228" s="7" t="n">
        <v>2019</v>
      </c>
      <c r="H1228" s="7" t="s">
        <v>48</v>
      </c>
      <c r="I1228" s="7" t="s">
        <v>107</v>
      </c>
      <c r="J1228" s="7" t="s">
        <v>45</v>
      </c>
      <c r="K1228" s="7" t="n">
        <f aca="false">IFERROR(VALUE(RIGHT(TRIM(F1228),4)),"")</f>
        <v>2019</v>
      </c>
      <c r="L1228" s="7" t="str">
        <f aca="false">IF(TRIM(E1228)="","Unknown",IFERROR(LEFT(TRIM(E1228),FIND(",",TRIM(E1228))-1),TRIM(E1228)))</f>
        <v>United States</v>
      </c>
      <c r="M1228" s="7" t="str">
        <f aca="false">IFERROR(LEFT(J1228,FIND(",",J1228)-1),J1228)</f>
        <v>Stand-Up Comedy</v>
      </c>
      <c r="N1228" s="7" t="n">
        <f aca="false">IF(B1228="Movie",IFERROR(VALUE(LEFT(I1228,FIND(" ",I1228)-1)),""),"")</f>
        <v>78</v>
      </c>
      <c r="O1228" s="7" t="str">
        <f aca="false">IF(B1228="TV Show",IFERROR(VALUE(LEFT(I1228,FIND(" ",I1228)-1)),""),"")</f>
        <v/>
      </c>
      <c r="P1228" s="7" t="n">
        <f aca="false">IF(K1228="","",K1228-G1228)</f>
        <v>0</v>
      </c>
    </row>
    <row r="1229" customFormat="false" ht="15" hidden="false" customHeight="false" outlineLevel="0" collapsed="false">
      <c r="A1229" s="7" t="n">
        <v>81152642</v>
      </c>
      <c r="B1229" s="7" t="s">
        <v>78</v>
      </c>
      <c r="C1229" s="7" t="s">
        <v>2889</v>
      </c>
      <c r="F1229" s="7" t="s">
        <v>2888</v>
      </c>
      <c r="G1229" s="7" t="n">
        <v>2019</v>
      </c>
      <c r="H1229" s="7" t="s">
        <v>49</v>
      </c>
      <c r="I1229" s="7" t="s">
        <v>82</v>
      </c>
      <c r="J1229" s="7" t="s">
        <v>158</v>
      </c>
      <c r="K1229" s="7" t="n">
        <f aca="false">IFERROR(VALUE(RIGHT(TRIM(F1229),4)),"")</f>
        <v>2019</v>
      </c>
      <c r="L1229" s="7" t="str">
        <f aca="false">IF(TRIM(E1229)="","Unknown",IFERROR(LEFT(TRIM(E1229),FIND(",",TRIM(E1229))-1),TRIM(E1229)))</f>
        <v>Unknown</v>
      </c>
      <c r="M1229" s="7" t="str">
        <f aca="false">IFERROR(LEFT(J1229,FIND(",",J1229)-1),J1229)</f>
        <v>International TV Shows</v>
      </c>
      <c r="N1229" s="7" t="str">
        <f aca="false">IF(B1229="Movie",IFERROR(VALUE(LEFT(I1229,FIND(" ",I1229)-1)),""),"")</f>
        <v/>
      </c>
      <c r="O1229" s="7" t="n">
        <f aca="false">IF(B1229="TV Show",IFERROR(VALUE(LEFT(I1229,FIND(" ",I1229)-1)),""),"")</f>
        <v>1</v>
      </c>
      <c r="P1229" s="7" t="n">
        <f aca="false">IF(K1229="","",K1229-G1229)</f>
        <v>0</v>
      </c>
    </row>
    <row r="1230" customFormat="false" ht="15" hidden="false" customHeight="false" outlineLevel="0" collapsed="false">
      <c r="A1230" s="7" t="n">
        <v>81105522</v>
      </c>
      <c r="B1230" s="7" t="s">
        <v>78</v>
      </c>
      <c r="C1230" s="7" t="s">
        <v>2890</v>
      </c>
      <c r="E1230" s="7" t="s">
        <v>1113</v>
      </c>
      <c r="F1230" s="7" t="s">
        <v>2888</v>
      </c>
      <c r="G1230" s="7" t="n">
        <v>2019</v>
      </c>
      <c r="H1230" s="7" t="s">
        <v>48</v>
      </c>
      <c r="I1230" s="7" t="s">
        <v>82</v>
      </c>
      <c r="J1230" s="7" t="s">
        <v>375</v>
      </c>
      <c r="K1230" s="7" t="n">
        <f aca="false">IFERROR(VALUE(RIGHT(TRIM(F1230),4)),"")</f>
        <v>2019</v>
      </c>
      <c r="L1230" s="7" t="str">
        <f aca="false">IF(TRIM(E1230)="","Unknown",IFERROR(LEFT(TRIM(E1230),FIND(",",TRIM(E1230))-1),TRIM(E1230)))</f>
        <v>Argentina</v>
      </c>
      <c r="M1230" s="7" t="str">
        <f aca="false">IFERROR(LEFT(J1230,FIND(",",J1230)-1),J1230)</f>
        <v>International TV Shows</v>
      </c>
      <c r="N1230" s="7" t="str">
        <f aca="false">IF(B1230="Movie",IFERROR(VALUE(LEFT(I1230,FIND(" ",I1230)-1)),""),"")</f>
        <v/>
      </c>
      <c r="O1230" s="7" t="n">
        <f aca="false">IF(B1230="TV Show",IFERROR(VALUE(LEFT(I1230,FIND(" ",I1230)-1)),""),"")</f>
        <v>1</v>
      </c>
      <c r="P1230" s="7" t="n">
        <f aca="false">IF(K1230="","",K1230-G1230)</f>
        <v>0</v>
      </c>
    </row>
    <row r="1231" customFormat="false" ht="15" hidden="false" customHeight="false" outlineLevel="0" collapsed="false">
      <c r="A1231" s="7" t="n">
        <v>70230138</v>
      </c>
      <c r="B1231" s="7" t="s">
        <v>68</v>
      </c>
      <c r="C1231" s="7" t="s">
        <v>2891</v>
      </c>
      <c r="D1231" s="7" t="s">
        <v>2892</v>
      </c>
      <c r="E1231" s="7" t="s">
        <v>26</v>
      </c>
      <c r="F1231" s="7" t="s">
        <v>2893</v>
      </c>
      <c r="G1231" s="7" t="n">
        <v>2012</v>
      </c>
      <c r="H1231" s="7" t="s">
        <v>53</v>
      </c>
      <c r="I1231" s="7" t="s">
        <v>120</v>
      </c>
      <c r="J1231" s="7" t="s">
        <v>45</v>
      </c>
      <c r="K1231" s="7" t="n">
        <f aca="false">IFERROR(VALUE(RIGHT(TRIM(F1231),4)),"")</f>
        <v>2016</v>
      </c>
      <c r="L1231" s="7" t="str">
        <f aca="false">IF(TRIM(E1231)="","Unknown",IFERROR(LEFT(TRIM(E1231),FIND(",",TRIM(E1231))-1),TRIM(E1231)))</f>
        <v>United States</v>
      </c>
      <c r="M1231" s="7" t="str">
        <f aca="false">IFERROR(LEFT(J1231,FIND(",",J1231)-1),J1231)</f>
        <v>Stand-Up Comedy</v>
      </c>
      <c r="N1231" s="7" t="n">
        <f aca="false">IF(B1231="Movie",IFERROR(VALUE(LEFT(I1231,FIND(" ",I1231)-1)),""),"")</f>
        <v>65</v>
      </c>
      <c r="O1231" s="7" t="str">
        <f aca="false">IF(B1231="TV Show",IFERROR(VALUE(LEFT(I1231,FIND(" ",I1231)-1)),""),"")</f>
        <v/>
      </c>
      <c r="P1231" s="7" t="n">
        <f aca="false">IF(K1231="","",K1231-G1231)</f>
        <v>4</v>
      </c>
    </row>
    <row r="1232" customFormat="false" ht="15" hidden="false" customHeight="false" outlineLevel="0" collapsed="false">
      <c r="A1232" s="7" t="n">
        <v>70083532</v>
      </c>
      <c r="B1232" s="7" t="s">
        <v>68</v>
      </c>
      <c r="C1232" s="7" t="s">
        <v>2894</v>
      </c>
      <c r="D1232" s="7" t="s">
        <v>1729</v>
      </c>
      <c r="E1232" s="7" t="s">
        <v>26</v>
      </c>
      <c r="F1232" s="7" t="s">
        <v>2895</v>
      </c>
      <c r="G1232" s="7" t="n">
        <v>2007</v>
      </c>
      <c r="H1232" s="7" t="s">
        <v>612</v>
      </c>
      <c r="I1232" s="7" t="s">
        <v>357</v>
      </c>
      <c r="J1232" s="7" t="s">
        <v>39</v>
      </c>
      <c r="K1232" s="7" t="n">
        <f aca="false">IFERROR(VALUE(RIGHT(TRIM(F1232),4)),"")</f>
        <v>2018</v>
      </c>
      <c r="L1232" s="7" t="str">
        <f aca="false">IF(TRIM(E1232)="","Unknown",IFERROR(LEFT(TRIM(E1232),FIND(",",TRIM(E1232))-1),TRIM(E1232)))</f>
        <v>United States</v>
      </c>
      <c r="M1232" s="7" t="str">
        <f aca="false">IFERROR(LEFT(J1232,FIND(",",J1232)-1),J1232)</f>
        <v>Documentaries</v>
      </c>
      <c r="N1232" s="7" t="n">
        <f aca="false">IF(B1232="Movie",IFERROR(VALUE(LEFT(I1232,FIND(" ",I1232)-1)),""),"")</f>
        <v>89</v>
      </c>
      <c r="O1232" s="7" t="str">
        <f aca="false">IF(B1232="TV Show",IFERROR(VALUE(LEFT(I1232,FIND(" ",I1232)-1)),""),"")</f>
        <v/>
      </c>
      <c r="P1232" s="7" t="n">
        <f aca="false">IF(K1232="","",K1232-G1232)</f>
        <v>11</v>
      </c>
    </row>
    <row r="1233" customFormat="false" ht="15" hidden="false" customHeight="false" outlineLevel="0" collapsed="false">
      <c r="A1233" s="7" t="n">
        <v>80177865</v>
      </c>
      <c r="B1233" s="7" t="s">
        <v>68</v>
      </c>
      <c r="C1233" s="7" t="s">
        <v>2896</v>
      </c>
      <c r="D1233" s="7" t="s">
        <v>2897</v>
      </c>
      <c r="E1233" s="7" t="s">
        <v>32</v>
      </c>
      <c r="F1233" s="7" t="s">
        <v>2898</v>
      </c>
      <c r="G1233" s="7" t="n">
        <v>2017</v>
      </c>
      <c r="H1233" s="7" t="s">
        <v>48</v>
      </c>
      <c r="I1233" s="7" t="s">
        <v>194</v>
      </c>
      <c r="J1233" s="7" t="s">
        <v>112</v>
      </c>
      <c r="K1233" s="7" t="n">
        <f aca="false">IFERROR(VALUE(RIGHT(TRIM(F1233),4)),"")</f>
        <v>2017</v>
      </c>
      <c r="L1233" s="7" t="str">
        <f aca="false">IF(TRIM(E1233)="","Unknown",IFERROR(LEFT(TRIM(E1233),FIND(",",TRIM(E1233))-1),TRIM(E1233)))</f>
        <v>South Korea</v>
      </c>
      <c r="M1233" s="7" t="str">
        <f aca="false">IFERROR(LEFT(J1233,FIND(",",J1233)-1),J1233)</f>
        <v>Action &amp; Adventure</v>
      </c>
      <c r="N1233" s="7" t="n">
        <f aca="false">IF(B1233="Movie",IFERROR(VALUE(LEFT(I1233,FIND(" ",I1233)-1)),""),"")</f>
        <v>125</v>
      </c>
      <c r="O1233" s="7" t="str">
        <f aca="false">IF(B1233="TV Show",IFERROR(VALUE(LEFT(I1233,FIND(" ",I1233)-1)),""),"")</f>
        <v/>
      </c>
      <c r="P1233" s="7" t="n">
        <f aca="false">IF(K1233="","",K1233-G1233)</f>
        <v>0</v>
      </c>
    </row>
    <row r="1234" customFormat="false" ht="15" hidden="false" customHeight="false" outlineLevel="0" collapsed="false">
      <c r="A1234" s="7" t="n">
        <v>80117534</v>
      </c>
      <c r="B1234" s="7" t="s">
        <v>68</v>
      </c>
      <c r="C1234" s="7" t="s">
        <v>2899</v>
      </c>
      <c r="D1234" s="7" t="s">
        <v>2900</v>
      </c>
      <c r="E1234" s="7" t="s">
        <v>26</v>
      </c>
      <c r="F1234" s="7" t="s">
        <v>2901</v>
      </c>
      <c r="G1234" s="7" t="n">
        <v>2016</v>
      </c>
      <c r="H1234" s="7" t="s">
        <v>48</v>
      </c>
      <c r="I1234" s="7" t="s">
        <v>117</v>
      </c>
      <c r="J1234" s="7" t="s">
        <v>45</v>
      </c>
      <c r="K1234" s="7" t="n">
        <f aca="false">IFERROR(VALUE(RIGHT(TRIM(F1234),4)),"")</f>
        <v>2016</v>
      </c>
      <c r="L1234" s="7" t="str">
        <f aca="false">IF(TRIM(E1234)="","Unknown",IFERROR(LEFT(TRIM(E1234),FIND(",",TRIM(E1234))-1),TRIM(E1234)))</f>
        <v>United States</v>
      </c>
      <c r="M1234" s="7" t="str">
        <f aca="false">IFERROR(LEFT(J1234,FIND(",",J1234)-1),J1234)</f>
        <v>Stand-Up Comedy</v>
      </c>
      <c r="N1234" s="7" t="n">
        <f aca="false">IF(B1234="Movie",IFERROR(VALUE(LEFT(I1234,FIND(" ",I1234)-1)),""),"")</f>
        <v>62</v>
      </c>
      <c r="O1234" s="7" t="str">
        <f aca="false">IF(B1234="TV Show",IFERROR(VALUE(LEFT(I1234,FIND(" ",I1234)-1)),""),"")</f>
        <v/>
      </c>
      <c r="P1234" s="7" t="n">
        <f aca="false">IF(K1234="","",K1234-G1234)</f>
        <v>0</v>
      </c>
    </row>
    <row r="1235" customFormat="false" ht="15" hidden="false" customHeight="false" outlineLevel="0" collapsed="false">
      <c r="A1235" s="7" t="n">
        <v>80115031</v>
      </c>
      <c r="B1235" s="7" t="s">
        <v>68</v>
      </c>
      <c r="C1235" s="7" t="s">
        <v>2902</v>
      </c>
      <c r="D1235" s="7" t="s">
        <v>2903</v>
      </c>
      <c r="E1235" s="7" t="s">
        <v>2904</v>
      </c>
      <c r="F1235" s="7" t="s">
        <v>2901</v>
      </c>
      <c r="G1235" s="7" t="n">
        <v>2016</v>
      </c>
      <c r="H1235" s="7" t="s">
        <v>48</v>
      </c>
      <c r="I1235" s="7" t="s">
        <v>294</v>
      </c>
      <c r="J1235" s="7" t="s">
        <v>188</v>
      </c>
      <c r="K1235" s="7" t="n">
        <f aca="false">IFERROR(VALUE(RIGHT(TRIM(F1235),4)),"")</f>
        <v>2016</v>
      </c>
      <c r="L1235" s="7" t="str">
        <f aca="false">IF(TRIM(E1235)="","Unknown",IFERROR(LEFT(TRIM(E1235),FIND(",",TRIM(E1235))-1),TRIM(E1235)))</f>
        <v>France</v>
      </c>
      <c r="M1235" s="7" t="str">
        <f aca="false">IFERROR(LEFT(J1235,FIND(",",J1235)-1),J1235)</f>
        <v>Dramas</v>
      </c>
      <c r="N1235" s="7" t="n">
        <f aca="false">IF(B1235="Movie",IFERROR(VALUE(LEFT(I1235,FIND(" ",I1235)-1)),""),"")</f>
        <v>107</v>
      </c>
      <c r="O1235" s="7" t="str">
        <f aca="false">IF(B1235="TV Show",IFERROR(VALUE(LEFT(I1235,FIND(" ",I1235)-1)),""),"")</f>
        <v/>
      </c>
      <c r="P1235" s="7" t="n">
        <f aca="false">IF(K1235="","",K1235-G1235)</f>
        <v>0</v>
      </c>
    </row>
    <row r="1236" customFormat="false" ht="15" hidden="false" customHeight="false" outlineLevel="0" collapsed="false">
      <c r="A1236" s="7" t="n">
        <v>80120640</v>
      </c>
      <c r="B1236" s="7" t="s">
        <v>78</v>
      </c>
      <c r="C1236" s="7" t="s">
        <v>2905</v>
      </c>
      <c r="E1236" s="7" t="s">
        <v>1397</v>
      </c>
      <c r="F1236" s="7" t="s">
        <v>2901</v>
      </c>
      <c r="G1236" s="7" t="n">
        <v>2016</v>
      </c>
      <c r="H1236" s="7" t="s">
        <v>48</v>
      </c>
      <c r="I1236" s="7" t="s">
        <v>82</v>
      </c>
      <c r="J1236" s="7" t="s">
        <v>89</v>
      </c>
      <c r="K1236" s="7" t="n">
        <f aca="false">IFERROR(VALUE(RIGHT(TRIM(F1236),4)),"")</f>
        <v>2016</v>
      </c>
      <c r="L1236" s="7" t="str">
        <f aca="false">IF(TRIM(E1236)="","Unknown",IFERROR(LEFT(TRIM(E1236),FIND(",",TRIM(E1236))-1),TRIM(E1236)))</f>
        <v>Colombia</v>
      </c>
      <c r="M1236" s="7" t="str">
        <f aca="false">IFERROR(LEFT(J1236,FIND(",",J1236)-1),J1236)</f>
        <v>Crime TV Shows</v>
      </c>
      <c r="N1236" s="7" t="str">
        <f aca="false">IF(B1236="Movie",IFERROR(VALUE(LEFT(I1236,FIND(" ",I1236)-1)),""),"")</f>
        <v/>
      </c>
      <c r="O1236" s="7" t="n">
        <f aca="false">IF(B1236="TV Show",IFERROR(VALUE(LEFT(I1236,FIND(" ",I1236)-1)),""),"")</f>
        <v>1</v>
      </c>
      <c r="P1236" s="7" t="n">
        <f aca="false">IF(K1236="","",K1236-G1236)</f>
        <v>0</v>
      </c>
    </row>
    <row r="1237" customFormat="false" ht="15" hidden="false" customHeight="false" outlineLevel="0" collapsed="false">
      <c r="A1237" s="7" t="n">
        <v>80029708</v>
      </c>
      <c r="B1237" s="7" t="s">
        <v>68</v>
      </c>
      <c r="C1237" s="7" t="s">
        <v>2906</v>
      </c>
      <c r="D1237" s="7" t="s">
        <v>2907</v>
      </c>
      <c r="E1237" s="7" t="s">
        <v>28</v>
      </c>
      <c r="F1237" s="7" t="s">
        <v>2901</v>
      </c>
      <c r="G1237" s="7" t="n">
        <v>2016</v>
      </c>
      <c r="H1237" s="7" t="s">
        <v>53</v>
      </c>
      <c r="I1237" s="7" t="s">
        <v>340</v>
      </c>
      <c r="J1237" s="7" t="s">
        <v>39</v>
      </c>
      <c r="K1237" s="7" t="n">
        <f aca="false">IFERROR(VALUE(RIGHT(TRIM(F1237),4)),"")</f>
        <v>2016</v>
      </c>
      <c r="L1237" s="7" t="str">
        <f aca="false">IF(TRIM(E1237)="","Unknown",IFERROR(LEFT(TRIM(E1237),FIND(",",TRIM(E1237))-1),TRIM(E1237)))</f>
        <v>United Kingdom</v>
      </c>
      <c r="M1237" s="7" t="str">
        <f aca="false">IFERROR(LEFT(J1237,FIND(",",J1237)-1),J1237)</f>
        <v>Documentaries</v>
      </c>
      <c r="N1237" s="7" t="n">
        <f aca="false">IF(B1237="Movie",IFERROR(VALUE(LEFT(I1237,FIND(" ",I1237)-1)),""),"")</f>
        <v>85</v>
      </c>
      <c r="O1237" s="7" t="str">
        <f aca="false">IF(B1237="TV Show",IFERROR(VALUE(LEFT(I1237,FIND(" ",I1237)-1)),""),"")</f>
        <v/>
      </c>
      <c r="P1237" s="7" t="n">
        <f aca="false">IF(K1237="","",K1237-G1237)</f>
        <v>0</v>
      </c>
    </row>
    <row r="1238" customFormat="false" ht="15" hidden="false" customHeight="false" outlineLevel="0" collapsed="false">
      <c r="A1238" s="7" t="n">
        <v>80079470</v>
      </c>
      <c r="B1238" s="7" t="s">
        <v>68</v>
      </c>
      <c r="C1238" s="7" t="s">
        <v>2908</v>
      </c>
      <c r="D1238" s="7" t="s">
        <v>2909</v>
      </c>
      <c r="E1238" s="7" t="s">
        <v>26</v>
      </c>
      <c r="F1238" s="7" t="s">
        <v>2910</v>
      </c>
      <c r="G1238" s="7" t="n">
        <v>2015</v>
      </c>
      <c r="H1238" s="7" t="s">
        <v>53</v>
      </c>
      <c r="I1238" s="7" t="s">
        <v>470</v>
      </c>
      <c r="J1238" s="7" t="s">
        <v>2430</v>
      </c>
      <c r="K1238" s="7" t="n">
        <f aca="false">IFERROR(VALUE(RIGHT(TRIM(F1238),4)),"")</f>
        <v>2015</v>
      </c>
      <c r="L1238" s="7" t="str">
        <f aca="false">IF(TRIM(E1238)="","Unknown",IFERROR(LEFT(TRIM(E1238),FIND(",",TRIM(E1238))-1),TRIM(E1238)))</f>
        <v>United States</v>
      </c>
      <c r="M1238" s="7" t="str">
        <f aca="false">IFERROR(LEFT(J1238,FIND(",",J1238)-1),J1238)</f>
        <v>Comedies</v>
      </c>
      <c r="N1238" s="7" t="n">
        <f aca="false">IF(B1238="Movie",IFERROR(VALUE(LEFT(I1238,FIND(" ",I1238)-1)),""),"")</f>
        <v>91</v>
      </c>
      <c r="O1238" s="7" t="str">
        <f aca="false">IF(B1238="TV Show",IFERROR(VALUE(LEFT(I1238,FIND(" ",I1238)-1)),""),"")</f>
        <v/>
      </c>
      <c r="P1238" s="7" t="n">
        <f aca="false">IF(K1238="","",K1238-G1238)</f>
        <v>0</v>
      </c>
    </row>
    <row r="1239" customFormat="false" ht="15" hidden="false" customHeight="false" outlineLevel="0" collapsed="false">
      <c r="A1239" s="7" t="n">
        <v>70127998</v>
      </c>
      <c r="B1239" s="7" t="s">
        <v>68</v>
      </c>
      <c r="C1239" s="7" t="s">
        <v>2911</v>
      </c>
      <c r="D1239" s="7" t="s">
        <v>2912</v>
      </c>
      <c r="E1239" s="7" t="s">
        <v>26</v>
      </c>
      <c r="F1239" s="7" t="s">
        <v>2913</v>
      </c>
      <c r="G1239" s="7" t="n">
        <v>2009</v>
      </c>
      <c r="H1239" s="7" t="s">
        <v>49</v>
      </c>
      <c r="I1239" s="7" t="s">
        <v>1131</v>
      </c>
      <c r="J1239" s="7" t="s">
        <v>265</v>
      </c>
      <c r="K1239" s="7" t="n">
        <f aca="false">IFERROR(VALUE(RIGHT(TRIM(F1239),4)),"")</f>
        <v>2009</v>
      </c>
      <c r="L1239" s="7" t="str">
        <f aca="false">IF(TRIM(E1239)="","Unknown",IFERROR(LEFT(TRIM(E1239),FIND(",",TRIM(E1239))-1),TRIM(E1239)))</f>
        <v>United States</v>
      </c>
      <c r="M1239" s="7" t="str">
        <f aca="false">IFERROR(LEFT(J1239,FIND(",",J1239)-1),J1239)</f>
        <v>Horror Movies</v>
      </c>
      <c r="N1239" s="7" t="n">
        <f aca="false">IF(B1239="Movie",IFERROR(VALUE(LEFT(I1239,FIND(" ",I1239)-1)),""),"")</f>
        <v>29</v>
      </c>
      <c r="O1239" s="7" t="str">
        <f aca="false">IF(B1239="TV Show",IFERROR(VALUE(LEFT(I1239,FIND(" ",I1239)-1)),""),"")</f>
        <v/>
      </c>
      <c r="P1239" s="7" t="n">
        <f aca="false">IF(K1239="","",K1239-G1239)</f>
        <v>0</v>
      </c>
    </row>
    <row r="1240" customFormat="false" ht="15" hidden="false" customHeight="false" outlineLevel="0" collapsed="false">
      <c r="A1240" s="7" t="n">
        <v>81191473</v>
      </c>
      <c r="B1240" s="7" t="s">
        <v>78</v>
      </c>
      <c r="C1240" s="7" t="s">
        <v>2914</v>
      </c>
      <c r="E1240" s="7" t="s">
        <v>970</v>
      </c>
      <c r="F1240" s="7" t="s">
        <v>2915</v>
      </c>
      <c r="G1240" s="7" t="n">
        <v>2019</v>
      </c>
      <c r="H1240" s="7" t="s">
        <v>48</v>
      </c>
      <c r="I1240" s="7" t="s">
        <v>82</v>
      </c>
      <c r="J1240" s="7" t="s">
        <v>2916</v>
      </c>
      <c r="K1240" s="7" t="n">
        <f aca="false">IFERROR(VALUE(RIGHT(TRIM(F1240),4)),"")</f>
        <v>2019</v>
      </c>
      <c r="L1240" s="7" t="str">
        <f aca="false">IF(TRIM(E1240)="","Unknown",IFERROR(LEFT(TRIM(E1240),FIND(",",TRIM(E1240))-1),TRIM(E1240)))</f>
        <v>Taiwan</v>
      </c>
      <c r="M1240" s="7" t="str">
        <f aca="false">IFERROR(LEFT(J1240,FIND(",",J1240)-1),J1240)</f>
        <v>International TV Shows</v>
      </c>
      <c r="N1240" s="7" t="str">
        <f aca="false">IF(B1240="Movie",IFERROR(VALUE(LEFT(I1240,FIND(" ",I1240)-1)),""),"")</f>
        <v/>
      </c>
      <c r="O1240" s="7" t="n">
        <f aca="false">IF(B1240="TV Show",IFERROR(VALUE(LEFT(I1240,FIND(" ",I1240)-1)),""),"")</f>
        <v>1</v>
      </c>
      <c r="P1240" s="7" t="n">
        <f aca="false">IF(K1240="","",K1240-G1240)</f>
        <v>0</v>
      </c>
    </row>
    <row r="1241" customFormat="false" ht="15" hidden="false" customHeight="false" outlineLevel="0" collapsed="false">
      <c r="A1241" s="7" t="n">
        <v>81019520</v>
      </c>
      <c r="B1241" s="7" t="s">
        <v>78</v>
      </c>
      <c r="C1241" s="7" t="s">
        <v>2917</v>
      </c>
      <c r="E1241" s="7" t="s">
        <v>366</v>
      </c>
      <c r="F1241" s="7" t="s">
        <v>2918</v>
      </c>
      <c r="G1241" s="7" t="n">
        <v>2017</v>
      </c>
      <c r="H1241" s="7" t="s">
        <v>49</v>
      </c>
      <c r="I1241" s="7" t="s">
        <v>82</v>
      </c>
      <c r="J1241" s="7" t="s">
        <v>314</v>
      </c>
      <c r="K1241" s="7" t="n">
        <f aca="false">IFERROR(VALUE(RIGHT(TRIM(F1241),4)),"")</f>
        <v>2018</v>
      </c>
      <c r="L1241" s="7" t="str">
        <f aca="false">IF(TRIM(E1241)="","Unknown",IFERROR(LEFT(TRIM(E1241),FIND(",",TRIM(E1241))-1),TRIM(E1241)))</f>
        <v>China</v>
      </c>
      <c r="M1241" s="7" t="str">
        <f aca="false">IFERROR(LEFT(J1241,FIND(",",J1241)-1),J1241)</f>
        <v>International TV Shows</v>
      </c>
      <c r="N1241" s="7" t="str">
        <f aca="false">IF(B1241="Movie",IFERROR(VALUE(LEFT(I1241,FIND(" ",I1241)-1)),""),"")</f>
        <v/>
      </c>
      <c r="O1241" s="7" t="n">
        <f aca="false">IF(B1241="TV Show",IFERROR(VALUE(LEFT(I1241,FIND(" ",I1241)-1)),""),"")</f>
        <v>1</v>
      </c>
      <c r="P1241" s="7" t="n">
        <f aca="false">IF(K1241="","",K1241-G1241)</f>
        <v>1</v>
      </c>
    </row>
    <row r="1242" customFormat="false" ht="15" hidden="false" customHeight="false" outlineLevel="0" collapsed="false">
      <c r="A1242" s="7" t="n">
        <v>80160504</v>
      </c>
      <c r="B1242" s="7" t="s">
        <v>78</v>
      </c>
      <c r="C1242" s="7" t="s">
        <v>2919</v>
      </c>
      <c r="E1242" s="7" t="s">
        <v>445</v>
      </c>
      <c r="F1242" s="7" t="s">
        <v>2918</v>
      </c>
      <c r="G1242" s="7" t="n">
        <v>2016</v>
      </c>
      <c r="H1242" s="7" t="s">
        <v>49</v>
      </c>
      <c r="I1242" s="7" t="s">
        <v>82</v>
      </c>
      <c r="J1242" s="7" t="s">
        <v>2920</v>
      </c>
      <c r="K1242" s="7" t="n">
        <f aca="false">IFERROR(VALUE(RIGHT(TRIM(F1242),4)),"")</f>
        <v>2018</v>
      </c>
      <c r="L1242" s="7" t="str">
        <f aca="false">IF(TRIM(E1242)="","Unknown",IFERROR(LEFT(TRIM(E1242),FIND(",",TRIM(E1242))-1),TRIM(E1242)))</f>
        <v>United States</v>
      </c>
      <c r="M1242" s="7" t="str">
        <f aca="false">IFERROR(LEFT(J1242,FIND(",",J1242)-1),J1242)</f>
        <v>Spanish-Language TV Shows</v>
      </c>
      <c r="N1242" s="7" t="str">
        <f aca="false">IF(B1242="Movie",IFERROR(VALUE(LEFT(I1242,FIND(" ",I1242)-1)),""),"")</f>
        <v/>
      </c>
      <c r="O1242" s="7" t="n">
        <f aca="false">IF(B1242="TV Show",IFERROR(VALUE(LEFT(I1242,FIND(" ",I1242)-1)),""),"")</f>
        <v>1</v>
      </c>
      <c r="P1242" s="7" t="n">
        <f aca="false">IF(K1242="","",K1242-G1242)</f>
        <v>2</v>
      </c>
    </row>
    <row r="1243" customFormat="false" ht="15" hidden="false" customHeight="false" outlineLevel="0" collapsed="false">
      <c r="A1243" s="7" t="n">
        <v>80158168</v>
      </c>
      <c r="B1243" s="7" t="s">
        <v>78</v>
      </c>
      <c r="C1243" s="7" t="s">
        <v>2921</v>
      </c>
      <c r="E1243" s="7" t="s">
        <v>26</v>
      </c>
      <c r="F1243" s="7" t="s">
        <v>2918</v>
      </c>
      <c r="G1243" s="7" t="n">
        <v>2016</v>
      </c>
      <c r="H1243" s="7" t="s">
        <v>49</v>
      </c>
      <c r="I1243" s="7" t="s">
        <v>82</v>
      </c>
      <c r="J1243" s="7" t="s">
        <v>2922</v>
      </c>
      <c r="K1243" s="7" t="n">
        <f aca="false">IFERROR(VALUE(RIGHT(TRIM(F1243),4)),"")</f>
        <v>2018</v>
      </c>
      <c r="L1243" s="7" t="str">
        <f aca="false">IF(TRIM(E1243)="","Unknown",IFERROR(LEFT(TRIM(E1243),FIND(",",TRIM(E1243))-1),TRIM(E1243)))</f>
        <v>United States</v>
      </c>
      <c r="M1243" s="7" t="str">
        <f aca="false">IFERROR(LEFT(J1243,FIND(",",J1243)-1),J1243)</f>
        <v>Romantic TV Shows</v>
      </c>
      <c r="N1243" s="7" t="str">
        <f aca="false">IF(B1243="Movie",IFERROR(VALUE(LEFT(I1243,FIND(" ",I1243)-1)),""),"")</f>
        <v/>
      </c>
      <c r="O1243" s="7" t="n">
        <f aca="false">IF(B1243="TV Show",IFERROR(VALUE(LEFT(I1243,FIND(" ",I1243)-1)),""),"")</f>
        <v>1</v>
      </c>
      <c r="P1243" s="7" t="n">
        <f aca="false">IF(K1243="","",K1243-G1243)</f>
        <v>2</v>
      </c>
    </row>
    <row r="1244" customFormat="false" ht="15" hidden="false" customHeight="false" outlineLevel="0" collapsed="false">
      <c r="A1244" s="7" t="n">
        <v>80160759</v>
      </c>
      <c r="B1244" s="7" t="s">
        <v>68</v>
      </c>
      <c r="C1244" s="7" t="s">
        <v>2923</v>
      </c>
      <c r="D1244" s="7" t="s">
        <v>2924</v>
      </c>
      <c r="E1244" s="7" t="s">
        <v>26</v>
      </c>
      <c r="F1244" s="7" t="s">
        <v>2925</v>
      </c>
      <c r="G1244" s="7" t="n">
        <v>2017</v>
      </c>
      <c r="H1244" s="7" t="s">
        <v>50</v>
      </c>
      <c r="I1244" s="7" t="s">
        <v>311</v>
      </c>
      <c r="J1244" s="7" t="s">
        <v>2536</v>
      </c>
      <c r="K1244" s="7" t="n">
        <f aca="false">IFERROR(VALUE(RIGHT(TRIM(F1244),4)),"")</f>
        <v>2017</v>
      </c>
      <c r="L1244" s="7" t="str">
        <f aca="false">IF(TRIM(E1244)="","Unknown",IFERROR(LEFT(TRIM(E1244),FIND(",",TRIM(E1244))-1),TRIM(E1244)))</f>
        <v>United States</v>
      </c>
      <c r="M1244" s="7" t="str">
        <f aca="false">IFERROR(LEFT(J1244,FIND(",",J1244)-1),J1244)</f>
        <v>Children &amp; Family Movies</v>
      </c>
      <c r="N1244" s="7" t="n">
        <f aca="false">IF(B1244="Movie",IFERROR(VALUE(LEFT(I1244,FIND(" ",I1244)-1)),""),"")</f>
        <v>92</v>
      </c>
      <c r="O1244" s="7" t="str">
        <f aca="false">IF(B1244="TV Show",IFERROR(VALUE(LEFT(I1244,FIND(" ",I1244)-1)),""),"")</f>
        <v/>
      </c>
      <c r="P1244" s="7" t="n">
        <f aca="false">IF(K1244="","",K1244-G1244)</f>
        <v>0</v>
      </c>
    </row>
    <row r="1245" customFormat="false" ht="15" hidden="false" customHeight="false" outlineLevel="0" collapsed="false">
      <c r="A1245" s="7" t="n">
        <v>80209608</v>
      </c>
      <c r="B1245" s="7" t="s">
        <v>68</v>
      </c>
      <c r="C1245" s="7" t="s">
        <v>2926</v>
      </c>
      <c r="D1245" s="7" t="s">
        <v>2927</v>
      </c>
      <c r="E1245" s="7" t="s">
        <v>619</v>
      </c>
      <c r="F1245" s="7" t="s">
        <v>2925</v>
      </c>
      <c r="G1245" s="7" t="n">
        <v>2017</v>
      </c>
      <c r="H1245" s="7" t="s">
        <v>48</v>
      </c>
      <c r="I1245" s="7" t="s">
        <v>77</v>
      </c>
      <c r="J1245" s="7" t="s">
        <v>39</v>
      </c>
      <c r="K1245" s="7" t="n">
        <f aca="false">IFERROR(VALUE(RIGHT(TRIM(F1245),4)),"")</f>
        <v>2017</v>
      </c>
      <c r="L1245" s="7" t="str">
        <f aca="false">IF(TRIM(E1245)="","Unknown",IFERROR(LEFT(TRIM(E1245),FIND(",",TRIM(E1245))-1),TRIM(E1245)))</f>
        <v>Canada</v>
      </c>
      <c r="M1245" s="7" t="str">
        <f aca="false">IFERROR(LEFT(J1245,FIND(",",J1245)-1),J1245)</f>
        <v>Documentaries</v>
      </c>
      <c r="N1245" s="7" t="n">
        <f aca="false">IF(B1245="Movie",IFERROR(VALUE(LEFT(I1245,FIND(" ",I1245)-1)),""),"")</f>
        <v>94</v>
      </c>
      <c r="O1245" s="7" t="str">
        <f aca="false">IF(B1245="TV Show",IFERROR(VALUE(LEFT(I1245,FIND(" ",I1245)-1)),""),"")</f>
        <v/>
      </c>
      <c r="P1245" s="7" t="n">
        <f aca="false">IF(K1245="","",K1245-G1245)</f>
        <v>0</v>
      </c>
    </row>
    <row r="1246" customFormat="false" ht="15" hidden="false" customHeight="false" outlineLevel="0" collapsed="false">
      <c r="A1246" s="7" t="n">
        <v>80182622</v>
      </c>
      <c r="B1246" s="7" t="s">
        <v>68</v>
      </c>
      <c r="C1246" s="7" t="s">
        <v>2928</v>
      </c>
      <c r="D1246" s="7" t="s">
        <v>122</v>
      </c>
      <c r="E1246" s="7" t="s">
        <v>27</v>
      </c>
      <c r="F1246" s="7" t="s">
        <v>2925</v>
      </c>
      <c r="G1246" s="7" t="n">
        <v>2017</v>
      </c>
      <c r="H1246" s="7" t="s">
        <v>55</v>
      </c>
      <c r="I1246" s="7" t="s">
        <v>120</v>
      </c>
      <c r="J1246" s="7" t="s">
        <v>42</v>
      </c>
      <c r="K1246" s="7" t="n">
        <f aca="false">IFERROR(VALUE(RIGHT(TRIM(F1246),4)),"")</f>
        <v>2017</v>
      </c>
      <c r="L1246" s="7" t="str">
        <f aca="false">IF(TRIM(E1246)="","Unknown",IFERROR(LEFT(TRIM(E1246),FIND(",",TRIM(E1246))-1),TRIM(E1246)))</f>
        <v>India</v>
      </c>
      <c r="M1246" s="7" t="str">
        <f aca="false">IFERROR(LEFT(J1246,FIND(",",J1246)-1),J1246)</f>
        <v>Children &amp; Family Movies</v>
      </c>
      <c r="N1246" s="7" t="n">
        <f aca="false">IF(B1246="Movie",IFERROR(VALUE(LEFT(I1246,FIND(" ",I1246)-1)),""),"")</f>
        <v>65</v>
      </c>
      <c r="O1246" s="7" t="str">
        <f aca="false">IF(B1246="TV Show",IFERROR(VALUE(LEFT(I1246,FIND(" ",I1246)-1)),""),"")</f>
        <v/>
      </c>
      <c r="P1246" s="7" t="n">
        <f aca="false">IF(K1246="","",K1246-G1246)</f>
        <v>0</v>
      </c>
    </row>
    <row r="1247" customFormat="false" ht="15" hidden="false" customHeight="false" outlineLevel="0" collapsed="false">
      <c r="A1247" s="7" t="n">
        <v>80175694</v>
      </c>
      <c r="B1247" s="7" t="s">
        <v>68</v>
      </c>
      <c r="C1247" s="7" t="s">
        <v>2929</v>
      </c>
      <c r="D1247" s="7" t="s">
        <v>2930</v>
      </c>
      <c r="E1247" s="7" t="s">
        <v>26</v>
      </c>
      <c r="F1247" s="7" t="s">
        <v>2925</v>
      </c>
      <c r="G1247" s="7" t="n">
        <v>2017</v>
      </c>
      <c r="H1247" s="7" t="s">
        <v>51</v>
      </c>
      <c r="I1247" s="7" t="s">
        <v>130</v>
      </c>
      <c r="J1247" s="7" t="s">
        <v>150</v>
      </c>
      <c r="K1247" s="7" t="n">
        <f aca="false">IFERROR(VALUE(RIGHT(TRIM(F1247),4)),"")</f>
        <v>2017</v>
      </c>
      <c r="L1247" s="7" t="str">
        <f aca="false">IF(TRIM(E1247)="","Unknown",IFERROR(LEFT(TRIM(E1247),FIND(",",TRIM(E1247))-1),TRIM(E1247)))</f>
        <v>United States</v>
      </c>
      <c r="M1247" s="7" t="str">
        <f aca="false">IFERROR(LEFT(J1247,FIND(",",J1247)-1),J1247)</f>
        <v>Dramas</v>
      </c>
      <c r="N1247" s="7" t="n">
        <f aca="false">IF(B1247="Movie",IFERROR(VALUE(LEFT(I1247,FIND(" ",I1247)-1)),""),"")</f>
        <v>135</v>
      </c>
      <c r="O1247" s="7" t="str">
        <f aca="false">IF(B1247="TV Show",IFERROR(VALUE(LEFT(I1247,FIND(" ",I1247)-1)),""),"")</f>
        <v/>
      </c>
      <c r="P1247" s="7" t="n">
        <f aca="false">IF(K1247="","",K1247-G1247)</f>
        <v>0</v>
      </c>
    </row>
    <row r="1248" customFormat="false" ht="15" hidden="false" customHeight="false" outlineLevel="0" collapsed="false">
      <c r="A1248" s="7" t="n">
        <v>80016471</v>
      </c>
      <c r="B1248" s="7" t="s">
        <v>68</v>
      </c>
      <c r="C1248" s="7" t="s">
        <v>2931</v>
      </c>
      <c r="D1248" s="7" t="s">
        <v>2932</v>
      </c>
      <c r="E1248" s="7" t="s">
        <v>26</v>
      </c>
      <c r="F1248" s="7" t="s">
        <v>2925</v>
      </c>
      <c r="G1248" s="7" t="n">
        <v>2014</v>
      </c>
      <c r="H1248" s="7" t="s">
        <v>50</v>
      </c>
      <c r="I1248" s="7" t="s">
        <v>212</v>
      </c>
      <c r="J1248" s="7" t="s">
        <v>74</v>
      </c>
      <c r="K1248" s="7" t="n">
        <f aca="false">IFERROR(VALUE(RIGHT(TRIM(F1248),4)),"")</f>
        <v>2017</v>
      </c>
      <c r="L1248" s="7" t="str">
        <f aca="false">IF(TRIM(E1248)="","Unknown",IFERROR(LEFT(TRIM(E1248),FIND(",",TRIM(E1248))-1),TRIM(E1248)))</f>
        <v>United States</v>
      </c>
      <c r="M1248" s="7" t="str">
        <f aca="false">IFERROR(LEFT(J1248,FIND(",",J1248)-1),J1248)</f>
        <v>Children &amp; Family Movies</v>
      </c>
      <c r="N1248" s="7" t="n">
        <f aca="false">IF(B1248="Movie",IFERROR(VALUE(LEFT(I1248,FIND(" ",I1248)-1)),""),"")</f>
        <v>86</v>
      </c>
      <c r="O1248" s="7" t="str">
        <f aca="false">IF(B1248="TV Show",IFERROR(VALUE(LEFT(I1248,FIND(" ",I1248)-1)),""),"")</f>
        <v/>
      </c>
      <c r="P1248" s="7" t="n">
        <f aca="false">IF(K1248="","",K1248-G1248)</f>
        <v>3</v>
      </c>
    </row>
    <row r="1249" customFormat="false" ht="15" hidden="false" customHeight="false" outlineLevel="0" collapsed="false">
      <c r="A1249" s="7" t="n">
        <v>80171561</v>
      </c>
      <c r="B1249" s="7" t="s">
        <v>78</v>
      </c>
      <c r="C1249" s="7" t="s">
        <v>2933</v>
      </c>
      <c r="E1249" s="7" t="s">
        <v>26</v>
      </c>
      <c r="F1249" s="7" t="s">
        <v>2925</v>
      </c>
      <c r="G1249" s="7" t="n">
        <v>2017</v>
      </c>
      <c r="H1249" s="7" t="s">
        <v>48</v>
      </c>
      <c r="I1249" s="7" t="s">
        <v>82</v>
      </c>
      <c r="J1249" s="7" t="s">
        <v>701</v>
      </c>
      <c r="K1249" s="7" t="n">
        <f aca="false">IFERROR(VALUE(RIGHT(TRIM(F1249),4)),"")</f>
        <v>2017</v>
      </c>
      <c r="L1249" s="7" t="str">
        <f aca="false">IF(TRIM(E1249)="","Unknown",IFERROR(LEFT(TRIM(E1249),FIND(",",TRIM(E1249))-1),TRIM(E1249)))</f>
        <v>United States</v>
      </c>
      <c r="M1249" s="7" t="str">
        <f aca="false">IFERROR(LEFT(J1249,FIND(",",J1249)-1),J1249)</f>
        <v>Reality TV</v>
      </c>
      <c r="N1249" s="7" t="str">
        <f aca="false">IF(B1249="Movie",IFERROR(VALUE(LEFT(I1249,FIND(" ",I1249)-1)),""),"")</f>
        <v/>
      </c>
      <c r="O1249" s="7" t="n">
        <f aca="false">IF(B1249="TV Show",IFERROR(VALUE(LEFT(I1249,FIND(" ",I1249)-1)),""),"")</f>
        <v>1</v>
      </c>
      <c r="P1249" s="7" t="n">
        <f aca="false">IF(K1249="","",K1249-G1249)</f>
        <v>0</v>
      </c>
    </row>
    <row r="1250" customFormat="false" ht="15" hidden="false" customHeight="false" outlineLevel="0" collapsed="false">
      <c r="A1250" s="7" t="n">
        <v>80123729</v>
      </c>
      <c r="B1250" s="7" t="s">
        <v>78</v>
      </c>
      <c r="C1250" s="7" t="s">
        <v>2934</v>
      </c>
      <c r="E1250" s="7" t="s">
        <v>28</v>
      </c>
      <c r="F1250" s="7" t="s">
        <v>2935</v>
      </c>
      <c r="G1250" s="7" t="n">
        <v>2016</v>
      </c>
      <c r="H1250" s="7" t="s">
        <v>49</v>
      </c>
      <c r="I1250" s="7" t="s">
        <v>82</v>
      </c>
      <c r="J1250" s="7" t="s">
        <v>563</v>
      </c>
      <c r="K1250" s="7" t="n">
        <f aca="false">IFERROR(VALUE(RIGHT(TRIM(F1250),4)),"")</f>
        <v>2016</v>
      </c>
      <c r="L1250" s="7" t="str">
        <f aca="false">IF(TRIM(E1250)="","Unknown",IFERROR(LEFT(TRIM(E1250),FIND(",",TRIM(E1250))-1),TRIM(E1250)))</f>
        <v>United Kingdom</v>
      </c>
      <c r="M1250" s="7" t="str">
        <f aca="false">IFERROR(LEFT(J1250,FIND(",",J1250)-1),J1250)</f>
        <v>British TV Shows</v>
      </c>
      <c r="N1250" s="7" t="str">
        <f aca="false">IF(B1250="Movie",IFERROR(VALUE(LEFT(I1250,FIND(" ",I1250)-1)),""),"")</f>
        <v/>
      </c>
      <c r="O1250" s="7" t="n">
        <f aca="false">IF(B1250="TV Show",IFERROR(VALUE(LEFT(I1250,FIND(" ",I1250)-1)),""),"")</f>
        <v>1</v>
      </c>
      <c r="P1250" s="7" t="n">
        <f aca="false">IF(K1250="","",K1250-G1250)</f>
        <v>0</v>
      </c>
    </row>
    <row r="1251" customFormat="false" ht="15" hidden="false" customHeight="false" outlineLevel="0" collapsed="false">
      <c r="A1251" s="7" t="n">
        <v>70189289</v>
      </c>
      <c r="B1251" s="7" t="s">
        <v>68</v>
      </c>
      <c r="C1251" s="7" t="s">
        <v>2936</v>
      </c>
      <c r="D1251" s="7" t="s">
        <v>2937</v>
      </c>
      <c r="E1251" s="7" t="s">
        <v>26</v>
      </c>
      <c r="F1251" s="7" t="s">
        <v>2938</v>
      </c>
      <c r="G1251" s="7" t="n">
        <v>2011</v>
      </c>
      <c r="H1251" s="7" t="s">
        <v>51</v>
      </c>
      <c r="I1251" s="7" t="s">
        <v>205</v>
      </c>
      <c r="J1251" s="7" t="s">
        <v>2939</v>
      </c>
      <c r="K1251" s="7" t="n">
        <f aca="false">IFERROR(VALUE(RIGHT(TRIM(F1251),4)),"")</f>
        <v>2019</v>
      </c>
      <c r="L1251" s="7" t="str">
        <f aca="false">IF(TRIM(E1251)="","Unknown",IFERROR(LEFT(TRIM(E1251),FIND(",",TRIM(E1251))-1),TRIM(E1251)))</f>
        <v>United States</v>
      </c>
      <c r="M1251" s="7" t="str">
        <f aca="false">IFERROR(LEFT(J1251,FIND(",",J1251)-1),J1251)</f>
        <v>Action &amp; Adventure</v>
      </c>
      <c r="N1251" s="7" t="n">
        <f aca="false">IF(B1251="Movie",IFERROR(VALUE(LEFT(I1251,FIND(" ",I1251)-1)),""),"")</f>
        <v>100</v>
      </c>
      <c r="O1251" s="7" t="str">
        <f aca="false">IF(B1251="TV Show",IFERROR(VALUE(LEFT(I1251,FIND(" ",I1251)-1)),""),"")</f>
        <v/>
      </c>
      <c r="P1251" s="7" t="n">
        <f aca="false">IF(K1251="","",K1251-G1251)</f>
        <v>8</v>
      </c>
    </row>
    <row r="1252" customFormat="false" ht="15" hidden="false" customHeight="false" outlineLevel="0" collapsed="false">
      <c r="A1252" s="7" t="n">
        <v>81132624</v>
      </c>
      <c r="B1252" s="7" t="s">
        <v>68</v>
      </c>
      <c r="C1252" s="7" t="s">
        <v>2940</v>
      </c>
      <c r="D1252" s="7" t="s">
        <v>2941</v>
      </c>
      <c r="E1252" s="7" t="s">
        <v>2942</v>
      </c>
      <c r="F1252" s="7" t="s">
        <v>2938</v>
      </c>
      <c r="G1252" s="7" t="n">
        <v>2019</v>
      </c>
      <c r="H1252" s="7" t="s">
        <v>48</v>
      </c>
      <c r="I1252" s="7" t="s">
        <v>272</v>
      </c>
      <c r="J1252" s="7" t="s">
        <v>139</v>
      </c>
      <c r="K1252" s="7" t="n">
        <f aca="false">IFERROR(VALUE(RIGHT(TRIM(F1252),4)),"")</f>
        <v>2019</v>
      </c>
      <c r="L1252" s="7" t="str">
        <f aca="false">IF(TRIM(E1252)="","Unknown",IFERROR(LEFT(TRIM(E1252),FIND(",",TRIM(E1252))-1),TRIM(E1252)))</f>
        <v>Finland</v>
      </c>
      <c r="M1252" s="7" t="str">
        <f aca="false">IFERROR(LEFT(J1252,FIND(",",J1252)-1),J1252)</f>
        <v>Action &amp; Adventure</v>
      </c>
      <c r="N1252" s="7" t="n">
        <f aca="false">IF(B1252="Movie",IFERROR(VALUE(LEFT(I1252,FIND(" ",I1252)-1)),""),"")</f>
        <v>93</v>
      </c>
      <c r="O1252" s="7" t="str">
        <f aca="false">IF(B1252="TV Show",IFERROR(VALUE(LEFT(I1252,FIND(" ",I1252)-1)),""),"")</f>
        <v/>
      </c>
      <c r="P1252" s="7" t="n">
        <f aca="false">IF(K1252="","",K1252-G1252)</f>
        <v>0</v>
      </c>
    </row>
    <row r="1253" customFormat="false" ht="15" hidden="false" customHeight="false" outlineLevel="0" collapsed="false">
      <c r="A1253" s="7" t="n">
        <v>80013267</v>
      </c>
      <c r="B1253" s="7" t="s">
        <v>68</v>
      </c>
      <c r="C1253" s="7" t="s">
        <v>2943</v>
      </c>
      <c r="D1253" s="7" t="s">
        <v>2944</v>
      </c>
      <c r="E1253" s="7" t="s">
        <v>26</v>
      </c>
      <c r="F1253" s="7" t="s">
        <v>2938</v>
      </c>
      <c r="G1253" s="7" t="n">
        <v>2014</v>
      </c>
      <c r="H1253" s="7" t="s">
        <v>49</v>
      </c>
      <c r="I1253" s="7" t="s">
        <v>613</v>
      </c>
      <c r="J1253" s="7" t="s">
        <v>45</v>
      </c>
      <c r="K1253" s="7" t="n">
        <f aca="false">IFERROR(VALUE(RIGHT(TRIM(F1253),4)),"")</f>
        <v>2019</v>
      </c>
      <c r="L1253" s="7" t="str">
        <f aca="false">IF(TRIM(E1253)="","Unknown",IFERROR(LEFT(TRIM(E1253),FIND(",",TRIM(E1253))-1),TRIM(E1253)))</f>
        <v>United States</v>
      </c>
      <c r="M1253" s="7" t="str">
        <f aca="false">IFERROR(LEFT(J1253,FIND(",",J1253)-1),J1253)</f>
        <v>Stand-Up Comedy</v>
      </c>
      <c r="N1253" s="7" t="n">
        <f aca="false">IF(B1253="Movie",IFERROR(VALUE(LEFT(I1253,FIND(" ",I1253)-1)),""),"")</f>
        <v>84</v>
      </c>
      <c r="O1253" s="7" t="str">
        <f aca="false">IF(B1253="TV Show",IFERROR(VALUE(LEFT(I1253,FIND(" ",I1253)-1)),""),"")</f>
        <v/>
      </c>
      <c r="P1253" s="7" t="n">
        <f aca="false">IF(K1253="","",K1253-G1253)</f>
        <v>5</v>
      </c>
    </row>
    <row r="1254" customFormat="false" ht="15" hidden="false" customHeight="false" outlineLevel="0" collapsed="false">
      <c r="A1254" s="7" t="n">
        <v>80046819</v>
      </c>
      <c r="B1254" s="7" t="s">
        <v>68</v>
      </c>
      <c r="C1254" s="7" t="s">
        <v>2945</v>
      </c>
      <c r="D1254" s="7" t="s">
        <v>2946</v>
      </c>
      <c r="E1254" s="7" t="s">
        <v>279</v>
      </c>
      <c r="F1254" s="7" t="s">
        <v>2938</v>
      </c>
      <c r="G1254" s="7" t="n">
        <v>2015</v>
      </c>
      <c r="H1254" s="7" t="s">
        <v>52</v>
      </c>
      <c r="I1254" s="7" t="s">
        <v>294</v>
      </c>
      <c r="J1254" s="7" t="s">
        <v>304</v>
      </c>
      <c r="K1254" s="7" t="n">
        <f aca="false">IFERROR(VALUE(RIGHT(TRIM(F1254),4)),"")</f>
        <v>2019</v>
      </c>
      <c r="L1254" s="7" t="str">
        <f aca="false">IF(TRIM(E1254)="","Unknown",IFERROR(LEFT(TRIM(E1254),FIND(",",TRIM(E1254))-1),TRIM(E1254)))</f>
        <v>United Kingdom</v>
      </c>
      <c r="M1254" s="7" t="str">
        <f aca="false">IFERROR(LEFT(J1254,FIND(",",J1254)-1),J1254)</f>
        <v>Dramas</v>
      </c>
      <c r="N1254" s="7" t="n">
        <f aca="false">IF(B1254="Movie",IFERROR(VALUE(LEFT(I1254,FIND(" ",I1254)-1)),""),"")</f>
        <v>107</v>
      </c>
      <c r="O1254" s="7" t="str">
        <f aca="false">IF(B1254="TV Show",IFERROR(VALUE(LEFT(I1254,FIND(" ",I1254)-1)),""),"")</f>
        <v/>
      </c>
      <c r="P1254" s="7" t="n">
        <f aca="false">IF(K1254="","",K1254-G1254)</f>
        <v>4</v>
      </c>
    </row>
    <row r="1255" customFormat="false" ht="15" hidden="false" customHeight="false" outlineLevel="0" collapsed="false">
      <c r="A1255" s="7" t="n">
        <v>70293315</v>
      </c>
      <c r="B1255" s="7" t="s">
        <v>68</v>
      </c>
      <c r="C1255" s="7" t="s">
        <v>2947</v>
      </c>
      <c r="D1255" s="7" t="s">
        <v>2948</v>
      </c>
      <c r="E1255" s="7" t="s">
        <v>2949</v>
      </c>
      <c r="F1255" s="7" t="s">
        <v>2938</v>
      </c>
      <c r="G1255" s="7" t="n">
        <v>2013</v>
      </c>
      <c r="H1255" s="7" t="s">
        <v>51</v>
      </c>
      <c r="I1255" s="7" t="s">
        <v>512</v>
      </c>
      <c r="J1255" s="7" t="s">
        <v>652</v>
      </c>
      <c r="K1255" s="7" t="n">
        <f aca="false">IFERROR(VALUE(RIGHT(TRIM(F1255),4)),"")</f>
        <v>2019</v>
      </c>
      <c r="L1255" s="7" t="str">
        <f aca="false">IF(TRIM(E1255)="","Unknown",IFERROR(LEFT(TRIM(E1255),FIND(",",TRIM(E1255))-1),TRIM(E1255)))</f>
        <v>United States</v>
      </c>
      <c r="M1255" s="7" t="str">
        <f aca="false">IFERROR(LEFT(J1255,FIND(",",J1255)-1),J1255)</f>
        <v>Horror Movies</v>
      </c>
      <c r="N1255" s="7" t="n">
        <f aca="false">IF(B1255="Movie",IFERROR(VALUE(LEFT(I1255,FIND(" ",I1255)-1)),""),"")</f>
        <v>101</v>
      </c>
      <c r="O1255" s="7" t="str">
        <f aca="false">IF(B1255="TV Show",IFERROR(VALUE(LEFT(I1255,FIND(" ",I1255)-1)),""),"")</f>
        <v/>
      </c>
      <c r="P1255" s="7" t="n">
        <f aca="false">IF(K1255="","",K1255-G1255)</f>
        <v>6</v>
      </c>
    </row>
    <row r="1256" customFormat="false" ht="15" hidden="false" customHeight="false" outlineLevel="0" collapsed="false">
      <c r="A1256" s="7" t="n">
        <v>80177400</v>
      </c>
      <c r="B1256" s="7" t="s">
        <v>68</v>
      </c>
      <c r="C1256" s="7" t="s">
        <v>2950</v>
      </c>
      <c r="D1256" s="7" t="s">
        <v>2951</v>
      </c>
      <c r="E1256" s="7" t="s">
        <v>26</v>
      </c>
      <c r="F1256" s="7" t="s">
        <v>2952</v>
      </c>
      <c r="G1256" s="7" t="n">
        <v>2018</v>
      </c>
      <c r="H1256" s="7" t="s">
        <v>48</v>
      </c>
      <c r="I1256" s="7" t="s">
        <v>111</v>
      </c>
      <c r="J1256" s="7" t="s">
        <v>977</v>
      </c>
      <c r="K1256" s="7" t="n">
        <f aca="false">IFERROR(VALUE(RIGHT(TRIM(F1256),4)),"")</f>
        <v>2018</v>
      </c>
      <c r="L1256" s="7" t="str">
        <f aca="false">IF(TRIM(E1256)="","Unknown",IFERROR(LEFT(TRIM(E1256),FIND(",",TRIM(E1256))-1),TRIM(E1256)))</f>
        <v>United States</v>
      </c>
      <c r="M1256" s="7" t="str">
        <f aca="false">IFERROR(LEFT(J1256,FIND(",",J1256)-1),J1256)</f>
        <v>Independent Movies</v>
      </c>
      <c r="N1256" s="7" t="n">
        <f aca="false">IF(B1256="Movie",IFERROR(VALUE(LEFT(I1256,FIND(" ",I1256)-1)),""),"")</f>
        <v>95</v>
      </c>
      <c r="O1256" s="7" t="str">
        <f aca="false">IF(B1256="TV Show",IFERROR(VALUE(LEFT(I1256,FIND(" ",I1256)-1)),""),"")</f>
        <v/>
      </c>
      <c r="P1256" s="7" t="n">
        <f aca="false">IF(K1256="","",K1256-G1256)</f>
        <v>0</v>
      </c>
    </row>
    <row r="1257" customFormat="false" ht="15" hidden="false" customHeight="false" outlineLevel="0" collapsed="false">
      <c r="A1257" s="7" t="n">
        <v>80191036</v>
      </c>
      <c r="B1257" s="7" t="s">
        <v>78</v>
      </c>
      <c r="C1257" s="7" t="s">
        <v>2953</v>
      </c>
      <c r="E1257" s="7" t="s">
        <v>26</v>
      </c>
      <c r="F1257" s="7" t="s">
        <v>2952</v>
      </c>
      <c r="G1257" s="7" t="n">
        <v>2018</v>
      </c>
      <c r="H1257" s="7" t="s">
        <v>50</v>
      </c>
      <c r="I1257" s="7" t="s">
        <v>82</v>
      </c>
      <c r="J1257" s="7" t="s">
        <v>164</v>
      </c>
      <c r="K1257" s="7" t="n">
        <f aca="false">IFERROR(VALUE(RIGHT(TRIM(F1257),4)),"")</f>
        <v>2018</v>
      </c>
      <c r="L1257" s="7" t="str">
        <f aca="false">IF(TRIM(E1257)="","Unknown",IFERROR(LEFT(TRIM(E1257),FIND(",",TRIM(E1257))-1),TRIM(E1257)))</f>
        <v>United States</v>
      </c>
      <c r="M1257" s="7" t="str">
        <f aca="false">IFERROR(LEFT(J1257,FIND(",",J1257)-1),J1257)</f>
        <v>Docuseries</v>
      </c>
      <c r="N1257" s="7" t="str">
        <f aca="false">IF(B1257="Movie",IFERROR(VALUE(LEFT(I1257,FIND(" ",I1257)-1)),""),"")</f>
        <v/>
      </c>
      <c r="O1257" s="7" t="n">
        <f aca="false">IF(B1257="TV Show",IFERROR(VALUE(LEFT(I1257,FIND(" ",I1257)-1)),""),"")</f>
        <v>1</v>
      </c>
      <c r="P1257" s="7" t="n">
        <f aca="false">IF(K1257="","",K1257-G1257)</f>
        <v>0</v>
      </c>
    </row>
    <row r="1258" customFormat="false" ht="15" hidden="false" customHeight="false" outlineLevel="0" collapsed="false">
      <c r="A1258" s="7" t="n">
        <v>81037898</v>
      </c>
      <c r="B1258" s="7" t="s">
        <v>68</v>
      </c>
      <c r="C1258" s="7" t="s">
        <v>2954</v>
      </c>
      <c r="D1258" s="7" t="s">
        <v>2955</v>
      </c>
      <c r="E1258" s="7" t="s">
        <v>2956</v>
      </c>
      <c r="F1258" s="7" t="s">
        <v>2952</v>
      </c>
      <c r="G1258" s="7" t="n">
        <v>2017</v>
      </c>
      <c r="H1258" s="7" t="s">
        <v>48</v>
      </c>
      <c r="I1258" s="7" t="s">
        <v>212</v>
      </c>
      <c r="J1258" s="7" t="s">
        <v>341</v>
      </c>
      <c r="K1258" s="7" t="n">
        <f aca="false">IFERROR(VALUE(RIGHT(TRIM(F1258),4)),"")</f>
        <v>2018</v>
      </c>
      <c r="L1258" s="7" t="str">
        <f aca="false">IF(TRIM(E1258)="","Unknown",IFERROR(LEFT(TRIM(E1258),FIND(",",TRIM(E1258))-1),TRIM(E1258)))</f>
        <v>United Arab Emirates</v>
      </c>
      <c r="M1258" s="7" t="str">
        <f aca="false">IFERROR(LEFT(J1258,FIND(",",J1258)-1),J1258)</f>
        <v>Documentaries</v>
      </c>
      <c r="N1258" s="7" t="n">
        <f aca="false">IF(B1258="Movie",IFERROR(VALUE(LEFT(I1258,FIND(" ",I1258)-1)),""),"")</f>
        <v>86</v>
      </c>
      <c r="O1258" s="7" t="str">
        <f aca="false">IF(B1258="TV Show",IFERROR(VALUE(LEFT(I1258,FIND(" ",I1258)-1)),""),"")</f>
        <v/>
      </c>
      <c r="P1258" s="7" t="n">
        <f aca="false">IF(K1258="","",K1258-G1258)</f>
        <v>1</v>
      </c>
    </row>
    <row r="1259" customFormat="false" ht="15" hidden="false" customHeight="false" outlineLevel="0" collapsed="false">
      <c r="A1259" s="7" t="n">
        <v>80997085</v>
      </c>
      <c r="B1259" s="7" t="s">
        <v>78</v>
      </c>
      <c r="C1259" s="7" t="s">
        <v>2957</v>
      </c>
      <c r="E1259" s="7" t="s">
        <v>1335</v>
      </c>
      <c r="F1259" s="7" t="s">
        <v>2952</v>
      </c>
      <c r="G1259" s="7" t="n">
        <v>2018</v>
      </c>
      <c r="H1259" s="7" t="s">
        <v>48</v>
      </c>
      <c r="I1259" s="7" t="s">
        <v>82</v>
      </c>
      <c r="J1259" s="7" t="s">
        <v>2958</v>
      </c>
      <c r="K1259" s="7" t="n">
        <f aca="false">IFERROR(VALUE(RIGHT(TRIM(F1259),4)),"")</f>
        <v>2018</v>
      </c>
      <c r="L1259" s="7" t="str">
        <f aca="false">IF(TRIM(E1259)="","Unknown",IFERROR(LEFT(TRIM(E1259),FIND(",",TRIM(E1259))-1),TRIM(E1259)))</f>
        <v>Mexico</v>
      </c>
      <c r="M1259" s="7" t="str">
        <f aca="false">IFERROR(LEFT(J1259,FIND(",",J1259)-1),J1259)</f>
        <v>Crime TV Shows</v>
      </c>
      <c r="N1259" s="7" t="str">
        <f aca="false">IF(B1259="Movie",IFERROR(VALUE(LEFT(I1259,FIND(" ",I1259)-1)),""),"")</f>
        <v/>
      </c>
      <c r="O1259" s="7" t="n">
        <f aca="false">IF(B1259="TV Show",IFERROR(VALUE(LEFT(I1259,FIND(" ",I1259)-1)),""),"")</f>
        <v>1</v>
      </c>
      <c r="P1259" s="7" t="n">
        <f aca="false">IF(K1259="","",K1259-G1259)</f>
        <v>0</v>
      </c>
    </row>
    <row r="1260" customFormat="false" ht="15" hidden="false" customHeight="false" outlineLevel="0" collapsed="false">
      <c r="A1260" s="7" t="n">
        <v>81004099</v>
      </c>
      <c r="B1260" s="7" t="s">
        <v>68</v>
      </c>
      <c r="C1260" s="7" t="s">
        <v>2959</v>
      </c>
      <c r="D1260" s="7" t="s">
        <v>2960</v>
      </c>
      <c r="E1260" s="7" t="s">
        <v>129</v>
      </c>
      <c r="F1260" s="7" t="s">
        <v>2952</v>
      </c>
      <c r="G1260" s="7" t="n">
        <v>2018</v>
      </c>
      <c r="H1260" s="7" t="s">
        <v>48</v>
      </c>
      <c r="I1260" s="7" t="s">
        <v>77</v>
      </c>
      <c r="J1260" s="7" t="s">
        <v>217</v>
      </c>
      <c r="K1260" s="7" t="n">
        <f aca="false">IFERROR(VALUE(RIGHT(TRIM(F1260),4)),"")</f>
        <v>2018</v>
      </c>
      <c r="L1260" s="7" t="str">
        <f aca="false">IF(TRIM(E1260)="","Unknown",IFERROR(LEFT(TRIM(E1260),FIND(",",TRIM(E1260))-1),TRIM(E1260)))</f>
        <v>France</v>
      </c>
      <c r="M1260" s="7" t="str">
        <f aca="false">IFERROR(LEFT(J1260,FIND(",",J1260)-1),J1260)</f>
        <v>Comedies</v>
      </c>
      <c r="N1260" s="7" t="n">
        <f aca="false">IF(B1260="Movie",IFERROR(VALUE(LEFT(I1260,FIND(" ",I1260)-1)),""),"")</f>
        <v>94</v>
      </c>
      <c r="O1260" s="7" t="str">
        <f aca="false">IF(B1260="TV Show",IFERROR(VALUE(LEFT(I1260,FIND(" ",I1260)-1)),""),"")</f>
        <v/>
      </c>
      <c r="P1260" s="7" t="n">
        <f aca="false">IF(K1260="","",K1260-G1260)</f>
        <v>0</v>
      </c>
    </row>
    <row r="1261" customFormat="false" ht="15" hidden="false" customHeight="false" outlineLevel="0" collapsed="false">
      <c r="A1261" s="7" t="n">
        <v>80200267</v>
      </c>
      <c r="B1261" s="7" t="s">
        <v>68</v>
      </c>
      <c r="C1261" s="7" t="s">
        <v>2961</v>
      </c>
      <c r="D1261" s="7" t="s">
        <v>2962</v>
      </c>
      <c r="E1261" s="7" t="s">
        <v>26</v>
      </c>
      <c r="F1261" s="7" t="s">
        <v>2952</v>
      </c>
      <c r="G1261" s="7" t="n">
        <v>2018</v>
      </c>
      <c r="H1261" s="7" t="s">
        <v>51</v>
      </c>
      <c r="I1261" s="7" t="s">
        <v>201</v>
      </c>
      <c r="J1261" s="7" t="s">
        <v>251</v>
      </c>
      <c r="K1261" s="7" t="n">
        <f aca="false">IFERROR(VALUE(RIGHT(TRIM(F1261),4)),"")</f>
        <v>2018</v>
      </c>
      <c r="L1261" s="7" t="str">
        <f aca="false">IF(TRIM(E1261)="","Unknown",IFERROR(LEFT(TRIM(E1261),FIND(",",TRIM(E1261))-1),TRIM(E1261)))</f>
        <v>United States</v>
      </c>
      <c r="M1261" s="7" t="str">
        <f aca="false">IFERROR(LEFT(J1261,FIND(",",J1261)-1),J1261)</f>
        <v>Comedies</v>
      </c>
      <c r="N1261" s="7" t="n">
        <f aca="false">IF(B1261="Movie",IFERROR(VALUE(LEFT(I1261,FIND(" ",I1261)-1)),""),"")</f>
        <v>133</v>
      </c>
      <c r="O1261" s="7" t="str">
        <f aca="false">IF(B1261="TV Show",IFERROR(VALUE(LEFT(I1261,FIND(" ",I1261)-1)),""),"")</f>
        <v/>
      </c>
      <c r="P1261" s="7" t="n">
        <f aca="false">IF(K1261="","",K1261-G1261)</f>
        <v>0</v>
      </c>
    </row>
    <row r="1262" customFormat="false" ht="15" hidden="false" customHeight="false" outlineLevel="0" collapsed="false">
      <c r="A1262" s="7" t="n">
        <v>80242926</v>
      </c>
      <c r="B1262" s="7" t="s">
        <v>68</v>
      </c>
      <c r="C1262" s="7" t="s">
        <v>2963</v>
      </c>
      <c r="E1262" s="7" t="s">
        <v>26</v>
      </c>
      <c r="F1262" s="7" t="s">
        <v>2952</v>
      </c>
      <c r="G1262" s="7" t="n">
        <v>2018</v>
      </c>
      <c r="H1262" s="7" t="s">
        <v>50</v>
      </c>
      <c r="I1262" s="7" t="s">
        <v>181</v>
      </c>
      <c r="J1262" s="7" t="s">
        <v>2536</v>
      </c>
      <c r="K1262" s="7" t="n">
        <f aca="false">IFERROR(VALUE(RIGHT(TRIM(F1262),4)),"")</f>
        <v>2018</v>
      </c>
      <c r="L1262" s="7" t="str">
        <f aca="false">IF(TRIM(E1262)="","Unknown",IFERROR(LEFT(TRIM(E1262),FIND(",",TRIM(E1262))-1),TRIM(E1262)))</f>
        <v>United States</v>
      </c>
      <c r="M1262" s="7" t="str">
        <f aca="false">IFERROR(LEFT(J1262,FIND(",",J1262)-1),J1262)</f>
        <v>Children &amp; Family Movies</v>
      </c>
      <c r="N1262" s="7" t="n">
        <f aca="false">IF(B1262="Movie",IFERROR(VALUE(LEFT(I1262,FIND(" ",I1262)-1)),""),"")</f>
        <v>102</v>
      </c>
      <c r="O1262" s="7" t="str">
        <f aca="false">IF(B1262="TV Show",IFERROR(VALUE(LEFT(I1262,FIND(" ",I1262)-1)),""),"")</f>
        <v/>
      </c>
      <c r="P1262" s="7" t="n">
        <f aca="false">IF(K1262="","",K1262-G1262)</f>
        <v>0</v>
      </c>
    </row>
    <row r="1263" customFormat="false" ht="15" hidden="false" customHeight="false" outlineLevel="0" collapsed="false">
      <c r="A1263" s="7" t="n">
        <v>80216621</v>
      </c>
      <c r="B1263" s="7" t="s">
        <v>78</v>
      </c>
      <c r="C1263" s="7" t="s">
        <v>2964</v>
      </c>
      <c r="E1263" s="7" t="s">
        <v>325</v>
      </c>
      <c r="F1263" s="7" t="s">
        <v>2952</v>
      </c>
      <c r="G1263" s="7" t="n">
        <v>2018</v>
      </c>
      <c r="H1263" s="7" t="s">
        <v>48</v>
      </c>
      <c r="I1263" s="7" t="s">
        <v>82</v>
      </c>
      <c r="J1263" s="7" t="s">
        <v>2965</v>
      </c>
      <c r="K1263" s="7" t="n">
        <f aca="false">IFERROR(VALUE(RIGHT(TRIM(F1263),4)),"")</f>
        <v>2018</v>
      </c>
      <c r="L1263" s="7" t="str">
        <f aca="false">IF(TRIM(E1263)="","Unknown",IFERROR(LEFT(TRIM(E1263),FIND(",",TRIM(E1263))-1),TRIM(E1263)))</f>
        <v>Brazil</v>
      </c>
      <c r="M1263" s="7" t="str">
        <f aca="false">IFERROR(LEFT(J1263,FIND(",",J1263)-1),J1263)</f>
        <v>Docuseries</v>
      </c>
      <c r="N1263" s="7" t="str">
        <f aca="false">IF(B1263="Movie",IFERROR(VALUE(LEFT(I1263,FIND(" ",I1263)-1)),""),"")</f>
        <v/>
      </c>
      <c r="O1263" s="7" t="n">
        <f aca="false">IF(B1263="TV Show",IFERROR(VALUE(LEFT(I1263,FIND(" ",I1263)-1)),""),"")</f>
        <v>1</v>
      </c>
      <c r="P1263" s="7" t="n">
        <f aca="false">IF(K1263="","",K1263-G1263)</f>
        <v>0</v>
      </c>
    </row>
    <row r="1264" customFormat="false" ht="15" hidden="false" customHeight="false" outlineLevel="0" collapsed="false">
      <c r="A1264" s="7" t="n">
        <v>70113538</v>
      </c>
      <c r="B1264" s="7" t="s">
        <v>68</v>
      </c>
      <c r="C1264" s="7" t="s">
        <v>2966</v>
      </c>
      <c r="D1264" s="7" t="s">
        <v>2967</v>
      </c>
      <c r="E1264" s="7" t="s">
        <v>26</v>
      </c>
      <c r="F1264" s="7" t="s">
        <v>2968</v>
      </c>
      <c r="G1264" s="7" t="n">
        <v>2009</v>
      </c>
      <c r="H1264" s="7" t="s">
        <v>52</v>
      </c>
      <c r="I1264" s="7" t="s">
        <v>154</v>
      </c>
      <c r="J1264" s="7" t="s">
        <v>2969</v>
      </c>
      <c r="K1264" s="7" t="n">
        <f aca="false">IFERROR(VALUE(RIGHT(TRIM(F1264),4)),"")</f>
        <v>2017</v>
      </c>
      <c r="L1264" s="7" t="str">
        <f aca="false">IF(TRIM(E1264)="","Unknown",IFERROR(LEFT(TRIM(E1264),FIND(",",TRIM(E1264))-1),TRIM(E1264)))</f>
        <v>United States</v>
      </c>
      <c r="M1264" s="7" t="str">
        <f aca="false">IFERROR(LEFT(J1264,FIND(",",J1264)-1),J1264)</f>
        <v>Action &amp; Adventure</v>
      </c>
      <c r="N1264" s="7" t="n">
        <f aca="false">IF(B1264="Movie",IFERROR(VALUE(LEFT(I1264,FIND(" ",I1264)-1)),""),"")</f>
        <v>80</v>
      </c>
      <c r="O1264" s="7" t="str">
        <f aca="false">IF(B1264="TV Show",IFERROR(VALUE(LEFT(I1264,FIND(" ",I1264)-1)),""),"")</f>
        <v/>
      </c>
      <c r="P1264" s="7" t="n">
        <f aca="false">IF(K1264="","",K1264-G1264)</f>
        <v>8</v>
      </c>
    </row>
    <row r="1265" customFormat="false" ht="15" hidden="false" customHeight="false" outlineLevel="0" collapsed="false">
      <c r="A1265" s="7" t="n">
        <v>81179844</v>
      </c>
      <c r="B1265" s="7" t="s">
        <v>78</v>
      </c>
      <c r="C1265" s="7" t="s">
        <v>2970</v>
      </c>
      <c r="E1265" s="7" t="s">
        <v>970</v>
      </c>
      <c r="F1265" s="7" t="s">
        <v>2971</v>
      </c>
      <c r="G1265" s="7" t="n">
        <v>2003</v>
      </c>
      <c r="H1265" s="7" t="s">
        <v>49</v>
      </c>
      <c r="I1265" s="7" t="s">
        <v>82</v>
      </c>
      <c r="J1265" s="7" t="s">
        <v>2972</v>
      </c>
      <c r="K1265" s="7" t="n">
        <f aca="false">IFERROR(VALUE(RIGHT(TRIM(F1265),4)),"")</f>
        <v>2019</v>
      </c>
      <c r="L1265" s="7" t="str">
        <f aca="false">IF(TRIM(E1265)="","Unknown",IFERROR(LEFT(TRIM(E1265),FIND(",",TRIM(E1265))-1),TRIM(E1265)))</f>
        <v>Taiwan</v>
      </c>
      <c r="M1265" s="7" t="str">
        <f aca="false">IFERROR(LEFT(J1265,FIND(",",J1265)-1),J1265)</f>
        <v>International TV Shows</v>
      </c>
      <c r="N1265" s="7" t="str">
        <f aca="false">IF(B1265="Movie",IFERROR(VALUE(LEFT(I1265,FIND(" ",I1265)-1)),""),"")</f>
        <v/>
      </c>
      <c r="O1265" s="7" t="n">
        <f aca="false">IF(B1265="TV Show",IFERROR(VALUE(LEFT(I1265,FIND(" ",I1265)-1)),""),"")</f>
        <v>1</v>
      </c>
      <c r="P1265" s="7" t="n">
        <f aca="false">IF(K1265="","",K1265-G1265)</f>
        <v>16</v>
      </c>
    </row>
    <row r="1266" customFormat="false" ht="15" hidden="false" customHeight="false" outlineLevel="0" collapsed="false">
      <c r="A1266" s="7" t="n">
        <v>80244457</v>
      </c>
      <c r="B1266" s="7" t="s">
        <v>68</v>
      </c>
      <c r="C1266" s="7" t="s">
        <v>2973</v>
      </c>
      <c r="D1266" s="7" t="s">
        <v>2974</v>
      </c>
      <c r="E1266" s="7" t="s">
        <v>26</v>
      </c>
      <c r="F1266" s="7" t="s">
        <v>2971</v>
      </c>
      <c r="G1266" s="7" t="n">
        <v>2019</v>
      </c>
      <c r="H1266" s="7" t="s">
        <v>51</v>
      </c>
      <c r="I1266" s="7" t="s">
        <v>294</v>
      </c>
      <c r="J1266" s="7" t="s">
        <v>269</v>
      </c>
      <c r="K1266" s="7" t="n">
        <f aca="false">IFERROR(VALUE(RIGHT(TRIM(F1266),4)),"")</f>
        <v>2019</v>
      </c>
      <c r="L1266" s="7" t="str">
        <f aca="false">IF(TRIM(E1266)="","Unknown",IFERROR(LEFT(TRIM(E1266),FIND(",",TRIM(E1266))-1),TRIM(E1266)))</f>
        <v>United States</v>
      </c>
      <c r="M1266" s="7" t="str">
        <f aca="false">IFERROR(LEFT(J1266,FIND(",",J1266)-1),J1266)</f>
        <v>Dramas</v>
      </c>
      <c r="N1266" s="7" t="n">
        <f aca="false">IF(B1266="Movie",IFERROR(VALUE(LEFT(I1266,FIND(" ",I1266)-1)),""),"")</f>
        <v>107</v>
      </c>
      <c r="O1266" s="7" t="str">
        <f aca="false">IF(B1266="TV Show",IFERROR(VALUE(LEFT(I1266,FIND(" ",I1266)-1)),""),"")</f>
        <v/>
      </c>
      <c r="P1266" s="7" t="n">
        <f aca="false">IF(K1266="","",K1266-G1266)</f>
        <v>0</v>
      </c>
    </row>
    <row r="1267" customFormat="false" ht="15" hidden="false" customHeight="false" outlineLevel="0" collapsed="false">
      <c r="A1267" s="7" t="n">
        <v>81196441</v>
      </c>
      <c r="B1267" s="7" t="s">
        <v>68</v>
      </c>
      <c r="C1267" s="7" t="s">
        <v>2975</v>
      </c>
      <c r="D1267" s="7" t="s">
        <v>2976</v>
      </c>
      <c r="E1267" s="7" t="s">
        <v>1397</v>
      </c>
      <c r="F1267" s="7" t="s">
        <v>2971</v>
      </c>
      <c r="G1267" s="7" t="n">
        <v>2019</v>
      </c>
      <c r="H1267" s="7" t="s">
        <v>50</v>
      </c>
      <c r="I1267" s="7" t="s">
        <v>1221</v>
      </c>
      <c r="J1267" s="7" t="s">
        <v>341</v>
      </c>
      <c r="K1267" s="7" t="n">
        <f aca="false">IFERROR(VALUE(RIGHT(TRIM(F1267),4)),"")</f>
        <v>2019</v>
      </c>
      <c r="L1267" s="7" t="str">
        <f aca="false">IF(TRIM(E1267)="","Unknown",IFERROR(LEFT(TRIM(E1267),FIND(",",TRIM(E1267))-1),TRIM(E1267)))</f>
        <v>Colombia</v>
      </c>
      <c r="M1267" s="7" t="str">
        <f aca="false">IFERROR(LEFT(J1267,FIND(",",J1267)-1),J1267)</f>
        <v>Documentaries</v>
      </c>
      <c r="N1267" s="7" t="n">
        <f aca="false">IF(B1267="Movie",IFERROR(VALUE(LEFT(I1267,FIND(" ",I1267)-1)),""),"")</f>
        <v>74</v>
      </c>
      <c r="O1267" s="7" t="str">
        <f aca="false">IF(B1267="TV Show",IFERROR(VALUE(LEFT(I1267,FIND(" ",I1267)-1)),""),"")</f>
        <v/>
      </c>
      <c r="P1267" s="7" t="n">
        <f aca="false">IF(K1267="","",K1267-G1267)</f>
        <v>0</v>
      </c>
    </row>
    <row r="1268" customFormat="false" ht="15" hidden="false" customHeight="false" outlineLevel="0" collapsed="false">
      <c r="A1268" s="7" t="n">
        <v>81162089</v>
      </c>
      <c r="B1268" s="7" t="s">
        <v>68</v>
      </c>
      <c r="C1268" s="7" t="s">
        <v>2977</v>
      </c>
      <c r="D1268" s="7" t="s">
        <v>2978</v>
      </c>
      <c r="E1268" s="7" t="s">
        <v>1113</v>
      </c>
      <c r="F1268" s="7" t="s">
        <v>2971</v>
      </c>
      <c r="G1268" s="7" t="n">
        <v>2019</v>
      </c>
      <c r="H1268" s="7" t="s">
        <v>50</v>
      </c>
      <c r="I1268" s="7" t="s">
        <v>98</v>
      </c>
      <c r="J1268" s="7" t="s">
        <v>349</v>
      </c>
      <c r="K1268" s="7" t="n">
        <f aca="false">IFERROR(VALUE(RIGHT(TRIM(F1268),4)),"")</f>
        <v>2019</v>
      </c>
      <c r="L1268" s="7" t="str">
        <f aca="false">IF(TRIM(E1268)="","Unknown",IFERROR(LEFT(TRIM(E1268),FIND(",",TRIM(E1268))-1),TRIM(E1268)))</f>
        <v>Argentina</v>
      </c>
      <c r="M1268" s="7" t="str">
        <f aca="false">IFERROR(LEFT(J1268,FIND(",",J1268)-1),J1268)</f>
        <v>Children &amp; Family Movies</v>
      </c>
      <c r="N1268" s="7" t="n">
        <f aca="false">IF(B1268="Movie",IFERROR(VALUE(LEFT(I1268,FIND(" ",I1268)-1)),""),"")</f>
        <v>60</v>
      </c>
      <c r="O1268" s="7" t="str">
        <f aca="false">IF(B1268="TV Show",IFERROR(VALUE(LEFT(I1268,FIND(" ",I1268)-1)),""),"")</f>
        <v/>
      </c>
      <c r="P1268" s="7" t="n">
        <f aca="false">IF(K1268="","",K1268-G1268)</f>
        <v>0</v>
      </c>
    </row>
    <row r="1269" customFormat="false" ht="15" hidden="false" customHeight="false" outlineLevel="0" collapsed="false">
      <c r="A1269" s="7" t="n">
        <v>81217737</v>
      </c>
      <c r="B1269" s="7" t="s">
        <v>68</v>
      </c>
      <c r="C1269" s="7" t="s">
        <v>2979</v>
      </c>
      <c r="D1269" s="7" t="s">
        <v>2980</v>
      </c>
      <c r="E1269" s="7" t="s">
        <v>27</v>
      </c>
      <c r="F1269" s="7" t="s">
        <v>2971</v>
      </c>
      <c r="G1269" s="7" t="n">
        <v>2019</v>
      </c>
      <c r="H1269" s="7" t="s">
        <v>48</v>
      </c>
      <c r="I1269" s="7" t="s">
        <v>1832</v>
      </c>
      <c r="J1269" s="7" t="s">
        <v>112</v>
      </c>
      <c r="K1269" s="7" t="n">
        <f aca="false">IFERROR(VALUE(RIGHT(TRIM(F1269),4)),"")</f>
        <v>2019</v>
      </c>
      <c r="L1269" s="7" t="str">
        <f aca="false">IF(TRIM(E1269)="","Unknown",IFERROR(LEFT(TRIM(E1269),FIND(",",TRIM(E1269))-1),TRIM(E1269)))</f>
        <v>India</v>
      </c>
      <c r="M1269" s="7" t="str">
        <f aca="false">IFERROR(LEFT(J1269,FIND(",",J1269)-1),J1269)</f>
        <v>Action &amp; Adventure</v>
      </c>
      <c r="N1269" s="7" t="n">
        <f aca="false">IF(B1269="Movie",IFERROR(VALUE(LEFT(I1269,FIND(" ",I1269)-1)),""),"")</f>
        <v>143</v>
      </c>
      <c r="O1269" s="7" t="str">
        <f aca="false">IF(B1269="TV Show",IFERROR(VALUE(LEFT(I1269,FIND(" ",I1269)-1)),""),"")</f>
        <v/>
      </c>
      <c r="P1269" s="7" t="n">
        <f aca="false">IF(K1269="","",K1269-G1269)</f>
        <v>0</v>
      </c>
    </row>
    <row r="1270" customFormat="false" ht="15" hidden="false" customHeight="false" outlineLevel="0" collapsed="false">
      <c r="A1270" s="7" t="n">
        <v>81076114</v>
      </c>
      <c r="B1270" s="7" t="s">
        <v>68</v>
      </c>
      <c r="C1270" s="7" t="s">
        <v>2981</v>
      </c>
      <c r="D1270" s="7" t="s">
        <v>2982</v>
      </c>
      <c r="E1270" s="7" t="s">
        <v>27</v>
      </c>
      <c r="F1270" s="7" t="s">
        <v>2971</v>
      </c>
      <c r="G1270" s="7" t="n">
        <v>2019</v>
      </c>
      <c r="H1270" s="7" t="s">
        <v>49</v>
      </c>
      <c r="I1270" s="7" t="s">
        <v>820</v>
      </c>
      <c r="J1270" s="7" t="s">
        <v>1000</v>
      </c>
      <c r="K1270" s="7" t="n">
        <f aca="false">IFERROR(VALUE(RIGHT(TRIM(F1270),4)),"")</f>
        <v>2019</v>
      </c>
      <c r="L1270" s="7" t="str">
        <f aca="false">IF(TRIM(E1270)="","Unknown",IFERROR(LEFT(TRIM(E1270),FIND(",",TRIM(E1270))-1),TRIM(E1270)))</f>
        <v>India</v>
      </c>
      <c r="M1270" s="7" t="str">
        <f aca="false">IFERROR(LEFT(J1270,FIND(",",J1270)-1),J1270)</f>
        <v>Comedies</v>
      </c>
      <c r="N1270" s="7" t="n">
        <f aca="false">IF(B1270="Movie",IFERROR(VALUE(LEFT(I1270,FIND(" ",I1270)-1)),""),"")</f>
        <v>105</v>
      </c>
      <c r="O1270" s="7" t="str">
        <f aca="false">IF(B1270="TV Show",IFERROR(VALUE(LEFT(I1270,FIND(" ",I1270)-1)),""),"")</f>
        <v/>
      </c>
      <c r="P1270" s="7" t="n">
        <f aca="false">IF(K1270="","",K1270-G1270)</f>
        <v>0</v>
      </c>
    </row>
    <row r="1271" customFormat="false" ht="15" hidden="false" customHeight="false" outlineLevel="0" collapsed="false">
      <c r="A1271" s="7" t="n">
        <v>80217594</v>
      </c>
      <c r="B1271" s="7" t="s">
        <v>78</v>
      </c>
      <c r="C1271" s="7" t="s">
        <v>2983</v>
      </c>
      <c r="E1271" s="7" t="s">
        <v>26</v>
      </c>
      <c r="F1271" s="7" t="s">
        <v>2971</v>
      </c>
      <c r="G1271" s="7" t="n">
        <v>2019</v>
      </c>
      <c r="H1271" s="7" t="s">
        <v>48</v>
      </c>
      <c r="I1271" s="7" t="s">
        <v>82</v>
      </c>
      <c r="J1271" s="7" t="s">
        <v>701</v>
      </c>
      <c r="K1271" s="7" t="n">
        <f aca="false">IFERROR(VALUE(RIGHT(TRIM(F1271),4)),"")</f>
        <v>2019</v>
      </c>
      <c r="L1271" s="7" t="str">
        <f aca="false">IF(TRIM(E1271)="","Unknown",IFERROR(LEFT(TRIM(E1271),FIND(",",TRIM(E1271))-1),TRIM(E1271)))</f>
        <v>United States</v>
      </c>
      <c r="M1271" s="7" t="str">
        <f aca="false">IFERROR(LEFT(J1271,FIND(",",J1271)-1),J1271)</f>
        <v>Reality TV</v>
      </c>
      <c r="N1271" s="7" t="str">
        <f aca="false">IF(B1271="Movie",IFERROR(VALUE(LEFT(I1271,FIND(" ",I1271)-1)),""),"")</f>
        <v/>
      </c>
      <c r="O1271" s="7" t="n">
        <f aca="false">IF(B1271="TV Show",IFERROR(VALUE(LEFT(I1271,FIND(" ",I1271)-1)),""),"")</f>
        <v>1</v>
      </c>
      <c r="P1271" s="7" t="n">
        <f aca="false">IF(K1271="","",K1271-G1271)</f>
        <v>0</v>
      </c>
    </row>
    <row r="1272" customFormat="false" ht="15" hidden="false" customHeight="false" outlineLevel="0" collapsed="false">
      <c r="A1272" s="7" t="n">
        <v>81033650</v>
      </c>
      <c r="B1272" s="7" t="s">
        <v>78</v>
      </c>
      <c r="C1272" s="7" t="s">
        <v>2984</v>
      </c>
      <c r="E1272" s="7" t="s">
        <v>32</v>
      </c>
      <c r="F1272" s="7" t="s">
        <v>2971</v>
      </c>
      <c r="G1272" s="7" t="n">
        <v>2013</v>
      </c>
      <c r="H1272" s="7" t="s">
        <v>49</v>
      </c>
      <c r="I1272" s="7" t="s">
        <v>82</v>
      </c>
      <c r="J1272" s="7" t="s">
        <v>637</v>
      </c>
      <c r="K1272" s="7" t="n">
        <f aca="false">IFERROR(VALUE(RIGHT(TRIM(F1272),4)),"")</f>
        <v>2019</v>
      </c>
      <c r="L1272" s="7" t="str">
        <f aca="false">IF(TRIM(E1272)="","Unknown",IFERROR(LEFT(TRIM(E1272),FIND(",",TRIM(E1272))-1),TRIM(E1272)))</f>
        <v>South Korea</v>
      </c>
      <c r="M1272" s="7" t="str">
        <f aca="false">IFERROR(LEFT(J1272,FIND(",",J1272)-1),J1272)</f>
        <v>International TV Shows</v>
      </c>
      <c r="N1272" s="7" t="str">
        <f aca="false">IF(B1272="Movie",IFERROR(VALUE(LEFT(I1272,FIND(" ",I1272)-1)),""),"")</f>
        <v/>
      </c>
      <c r="O1272" s="7" t="n">
        <f aca="false">IF(B1272="TV Show",IFERROR(VALUE(LEFT(I1272,FIND(" ",I1272)-1)),""),"")</f>
        <v>1</v>
      </c>
      <c r="P1272" s="7" t="n">
        <f aca="false">IF(K1272="","",K1272-G1272)</f>
        <v>6</v>
      </c>
    </row>
    <row r="1273" customFormat="false" ht="15" hidden="false" customHeight="false" outlineLevel="0" collapsed="false">
      <c r="A1273" s="7" t="n">
        <v>80093820</v>
      </c>
      <c r="B1273" s="7" t="s">
        <v>68</v>
      </c>
      <c r="C1273" s="7" t="s">
        <v>2985</v>
      </c>
      <c r="D1273" s="7" t="s">
        <v>2986</v>
      </c>
      <c r="E1273" s="7" t="s">
        <v>30</v>
      </c>
      <c r="F1273" s="7" t="s">
        <v>2971</v>
      </c>
      <c r="G1273" s="7" t="n">
        <v>2011</v>
      </c>
      <c r="H1273" s="7" t="s">
        <v>50</v>
      </c>
      <c r="I1273" s="7" t="s">
        <v>93</v>
      </c>
      <c r="J1273" s="7" t="s">
        <v>2309</v>
      </c>
      <c r="K1273" s="7" t="n">
        <f aca="false">IFERROR(VALUE(RIGHT(TRIM(F1273),4)),"")</f>
        <v>2019</v>
      </c>
      <c r="L1273" s="7" t="str">
        <f aca="false">IF(TRIM(E1273)="","Unknown",IFERROR(LEFT(TRIM(E1273),FIND(",",TRIM(E1273))-1),TRIM(E1273)))</f>
        <v>Japan</v>
      </c>
      <c r="M1273" s="7" t="str">
        <f aca="false">IFERROR(LEFT(J1273,FIND(",",J1273)-1),J1273)</f>
        <v>Anime Features</v>
      </c>
      <c r="N1273" s="7" t="n">
        <f aca="false">IF(B1273="Movie",IFERROR(VALUE(LEFT(I1273,FIND(" ",I1273)-1)),""),"")</f>
        <v>110</v>
      </c>
      <c r="O1273" s="7" t="str">
        <f aca="false">IF(B1273="TV Show",IFERROR(VALUE(LEFT(I1273,FIND(" ",I1273)-1)),""),"")</f>
        <v/>
      </c>
      <c r="P1273" s="7" t="n">
        <f aca="false">IF(K1273="","",K1273-G1273)</f>
        <v>8</v>
      </c>
    </row>
    <row r="1274" customFormat="false" ht="15" hidden="false" customHeight="false" outlineLevel="0" collapsed="false">
      <c r="A1274" s="7" t="n">
        <v>80183187</v>
      </c>
      <c r="B1274" s="7" t="s">
        <v>68</v>
      </c>
      <c r="C1274" s="7" t="s">
        <v>2987</v>
      </c>
      <c r="D1274" s="7" t="s">
        <v>2988</v>
      </c>
      <c r="E1274" s="7" t="s">
        <v>33</v>
      </c>
      <c r="F1274" s="7" t="s">
        <v>2971</v>
      </c>
      <c r="G1274" s="7" t="n">
        <v>2019</v>
      </c>
      <c r="H1274" s="7" t="s">
        <v>54</v>
      </c>
      <c r="I1274" s="7" t="s">
        <v>134</v>
      </c>
      <c r="J1274" s="7" t="s">
        <v>74</v>
      </c>
      <c r="K1274" s="7" t="n">
        <f aca="false">IFERROR(VALUE(RIGHT(TRIM(F1274),4)),"")</f>
        <v>2019</v>
      </c>
      <c r="L1274" s="7" t="str">
        <f aca="false">IF(TRIM(E1274)="","Unknown",IFERROR(LEFT(TRIM(E1274),FIND(",",TRIM(E1274))-1),TRIM(E1274)))</f>
        <v>Spain</v>
      </c>
      <c r="M1274" s="7" t="str">
        <f aca="false">IFERROR(LEFT(J1274,FIND(",",J1274)-1),J1274)</f>
        <v>Children &amp; Family Movies</v>
      </c>
      <c r="N1274" s="7" t="n">
        <f aca="false">IF(B1274="Movie",IFERROR(VALUE(LEFT(I1274,FIND(" ",I1274)-1)),""),"")</f>
        <v>98</v>
      </c>
      <c r="O1274" s="7" t="str">
        <f aca="false">IF(B1274="TV Show",IFERROR(VALUE(LEFT(I1274,FIND(" ",I1274)-1)),""),"")</f>
        <v/>
      </c>
      <c r="P1274" s="7" t="n">
        <f aca="false">IF(K1274="","",K1274-G1274)</f>
        <v>0</v>
      </c>
    </row>
    <row r="1275" customFormat="false" ht="15" hidden="false" customHeight="false" outlineLevel="0" collapsed="false">
      <c r="A1275" s="7" t="n">
        <v>81179882</v>
      </c>
      <c r="B1275" s="7" t="s">
        <v>78</v>
      </c>
      <c r="C1275" s="7" t="s">
        <v>2989</v>
      </c>
      <c r="E1275" s="7" t="s">
        <v>970</v>
      </c>
      <c r="F1275" s="7" t="s">
        <v>2971</v>
      </c>
      <c r="G1275" s="7" t="n">
        <v>2004</v>
      </c>
      <c r="H1275" s="7" t="s">
        <v>49</v>
      </c>
      <c r="I1275" s="7" t="s">
        <v>82</v>
      </c>
      <c r="J1275" s="7" t="s">
        <v>2972</v>
      </c>
      <c r="K1275" s="7" t="n">
        <f aca="false">IFERROR(VALUE(RIGHT(TRIM(F1275),4)),"")</f>
        <v>2019</v>
      </c>
      <c r="L1275" s="7" t="str">
        <f aca="false">IF(TRIM(E1275)="","Unknown",IFERROR(LEFT(TRIM(E1275),FIND(",",TRIM(E1275))-1),TRIM(E1275)))</f>
        <v>Taiwan</v>
      </c>
      <c r="M1275" s="7" t="str">
        <f aca="false">IFERROR(LEFT(J1275,FIND(",",J1275)-1),J1275)</f>
        <v>International TV Shows</v>
      </c>
      <c r="N1275" s="7" t="str">
        <f aca="false">IF(B1275="Movie",IFERROR(VALUE(LEFT(I1275,FIND(" ",I1275)-1)),""),"")</f>
        <v/>
      </c>
      <c r="O1275" s="7" t="n">
        <f aca="false">IF(B1275="TV Show",IFERROR(VALUE(LEFT(I1275,FIND(" ",I1275)-1)),""),"")</f>
        <v>1</v>
      </c>
      <c r="P1275" s="7" t="n">
        <f aca="false">IF(K1275="","",K1275-G1275)</f>
        <v>15</v>
      </c>
    </row>
    <row r="1276" customFormat="false" ht="15" hidden="false" customHeight="false" outlineLevel="0" collapsed="false">
      <c r="A1276" s="7" t="n">
        <v>70124331</v>
      </c>
      <c r="B1276" s="7" t="s">
        <v>68</v>
      </c>
      <c r="C1276" s="7" t="s">
        <v>2990</v>
      </c>
      <c r="D1276" s="7" t="s">
        <v>2991</v>
      </c>
      <c r="E1276" s="7" t="s">
        <v>2992</v>
      </c>
      <c r="F1276" s="7" t="s">
        <v>2971</v>
      </c>
      <c r="G1276" s="7" t="n">
        <v>2010</v>
      </c>
      <c r="H1276" s="7" t="s">
        <v>54</v>
      </c>
      <c r="I1276" s="7" t="s">
        <v>205</v>
      </c>
      <c r="J1276" s="7" t="s">
        <v>177</v>
      </c>
      <c r="K1276" s="7" t="n">
        <f aca="false">IFERROR(VALUE(RIGHT(TRIM(F1276),4)),"")</f>
        <v>2019</v>
      </c>
      <c r="L1276" s="7" t="str">
        <f aca="false">IF(TRIM(E1276)="","Unknown",IFERROR(LEFT(TRIM(E1276),FIND(",",TRIM(E1276))-1),TRIM(E1276)))</f>
        <v>United States</v>
      </c>
      <c r="M1276" s="7" t="str">
        <f aca="false">IFERROR(LEFT(J1276,FIND(",",J1276)-1),J1276)</f>
        <v>Comedies</v>
      </c>
      <c r="N1276" s="7" t="n">
        <f aca="false">IF(B1276="Movie",IFERROR(VALUE(LEFT(I1276,FIND(" ",I1276)-1)),""),"")</f>
        <v>100</v>
      </c>
      <c r="O1276" s="7" t="str">
        <f aca="false">IF(B1276="TV Show",IFERROR(VALUE(LEFT(I1276,FIND(" ",I1276)-1)),""),"")</f>
        <v/>
      </c>
      <c r="P1276" s="7" t="n">
        <f aca="false">IF(K1276="","",K1276-G1276)</f>
        <v>9</v>
      </c>
    </row>
    <row r="1277" customFormat="false" ht="15" hidden="false" customHeight="false" outlineLevel="0" collapsed="false">
      <c r="A1277" s="7" t="n">
        <v>81179821</v>
      </c>
      <c r="B1277" s="7" t="s">
        <v>78</v>
      </c>
      <c r="C1277" s="7" t="s">
        <v>2993</v>
      </c>
      <c r="E1277" s="7" t="s">
        <v>970</v>
      </c>
      <c r="F1277" s="7" t="s">
        <v>2971</v>
      </c>
      <c r="G1277" s="7" t="n">
        <v>2002</v>
      </c>
      <c r="H1277" s="7" t="s">
        <v>50</v>
      </c>
      <c r="I1277" s="7" t="s">
        <v>82</v>
      </c>
      <c r="J1277" s="7" t="s">
        <v>314</v>
      </c>
      <c r="K1277" s="7" t="n">
        <f aca="false">IFERROR(VALUE(RIGHT(TRIM(F1277),4)),"")</f>
        <v>2019</v>
      </c>
      <c r="L1277" s="7" t="str">
        <f aca="false">IF(TRIM(E1277)="","Unknown",IFERROR(LEFT(TRIM(E1277),FIND(",",TRIM(E1277))-1),TRIM(E1277)))</f>
        <v>Taiwan</v>
      </c>
      <c r="M1277" s="7" t="str">
        <f aca="false">IFERROR(LEFT(J1277,FIND(",",J1277)-1),J1277)</f>
        <v>International TV Shows</v>
      </c>
      <c r="N1277" s="7" t="str">
        <f aca="false">IF(B1277="Movie",IFERROR(VALUE(LEFT(I1277,FIND(" ",I1277)-1)),""),"")</f>
        <v/>
      </c>
      <c r="O1277" s="7" t="n">
        <f aca="false">IF(B1277="TV Show",IFERROR(VALUE(LEFT(I1277,FIND(" ",I1277)-1)),""),"")</f>
        <v>1</v>
      </c>
      <c r="P1277" s="7" t="n">
        <f aca="false">IF(K1277="","",K1277-G1277)</f>
        <v>17</v>
      </c>
    </row>
    <row r="1278" customFormat="false" ht="15" hidden="false" customHeight="false" outlineLevel="0" collapsed="false">
      <c r="A1278" s="7" t="n">
        <v>81033645</v>
      </c>
      <c r="B1278" s="7" t="s">
        <v>78</v>
      </c>
      <c r="C1278" s="7" t="s">
        <v>2994</v>
      </c>
      <c r="E1278" s="7" t="s">
        <v>32</v>
      </c>
      <c r="F1278" s="7" t="s">
        <v>2971</v>
      </c>
      <c r="G1278" s="7" t="n">
        <v>2017</v>
      </c>
      <c r="H1278" s="7" t="s">
        <v>49</v>
      </c>
      <c r="I1278" s="7" t="s">
        <v>82</v>
      </c>
      <c r="J1278" s="7" t="s">
        <v>637</v>
      </c>
      <c r="K1278" s="7" t="n">
        <f aca="false">IFERROR(VALUE(RIGHT(TRIM(F1278),4)),"")</f>
        <v>2019</v>
      </c>
      <c r="L1278" s="7" t="str">
        <f aca="false">IF(TRIM(E1278)="","Unknown",IFERROR(LEFT(TRIM(E1278),FIND(",",TRIM(E1278))-1),TRIM(E1278)))</f>
        <v>South Korea</v>
      </c>
      <c r="M1278" s="7" t="str">
        <f aca="false">IFERROR(LEFT(J1278,FIND(",",J1278)-1),J1278)</f>
        <v>International TV Shows</v>
      </c>
      <c r="N1278" s="7" t="str">
        <f aca="false">IF(B1278="Movie",IFERROR(VALUE(LEFT(I1278,FIND(" ",I1278)-1)),""),"")</f>
        <v/>
      </c>
      <c r="O1278" s="7" t="n">
        <f aca="false">IF(B1278="TV Show",IFERROR(VALUE(LEFT(I1278,FIND(" ",I1278)-1)),""),"")</f>
        <v>1</v>
      </c>
      <c r="P1278" s="7" t="n">
        <f aca="false">IF(K1278="","",K1278-G1278)</f>
        <v>2</v>
      </c>
    </row>
    <row r="1279" customFormat="false" ht="15" hidden="false" customHeight="false" outlineLevel="0" collapsed="false">
      <c r="A1279" s="7" t="n">
        <v>81217749</v>
      </c>
      <c r="B1279" s="7" t="s">
        <v>68</v>
      </c>
      <c r="C1279" s="7" t="s">
        <v>2995</v>
      </c>
      <c r="D1279" s="7" t="s">
        <v>2996</v>
      </c>
      <c r="E1279" s="7" t="s">
        <v>2212</v>
      </c>
      <c r="F1279" s="7" t="s">
        <v>2971</v>
      </c>
      <c r="G1279" s="7" t="n">
        <v>2018</v>
      </c>
      <c r="H1279" s="7" t="s">
        <v>50</v>
      </c>
      <c r="I1279" s="7" t="s">
        <v>1221</v>
      </c>
      <c r="J1279" s="7" t="s">
        <v>341</v>
      </c>
      <c r="K1279" s="7" t="n">
        <f aca="false">IFERROR(VALUE(RIGHT(TRIM(F1279),4)),"")</f>
        <v>2019</v>
      </c>
      <c r="L1279" s="7" t="str">
        <f aca="false">IF(TRIM(E1279)="","Unknown",IFERROR(LEFT(TRIM(E1279),FIND(",",TRIM(E1279))-1),TRIM(E1279)))</f>
        <v>India</v>
      </c>
      <c r="M1279" s="7" t="str">
        <f aca="false">IFERROR(LEFT(J1279,FIND(",",J1279)-1),J1279)</f>
        <v>Documentaries</v>
      </c>
      <c r="N1279" s="7" t="n">
        <f aca="false">IF(B1279="Movie",IFERROR(VALUE(LEFT(I1279,FIND(" ",I1279)-1)),""),"")</f>
        <v>74</v>
      </c>
      <c r="O1279" s="7" t="str">
        <f aca="false">IF(B1279="TV Show",IFERROR(VALUE(LEFT(I1279,FIND(" ",I1279)-1)),""),"")</f>
        <v/>
      </c>
      <c r="P1279" s="7" t="n">
        <f aca="false">IF(K1279="","",K1279-G1279)</f>
        <v>1</v>
      </c>
    </row>
    <row r="1280" customFormat="false" ht="15" hidden="false" customHeight="false" outlineLevel="0" collapsed="false">
      <c r="A1280" s="7" t="n">
        <v>80158800</v>
      </c>
      <c r="B1280" s="7" t="s">
        <v>68</v>
      </c>
      <c r="C1280" s="7" t="s">
        <v>2997</v>
      </c>
      <c r="D1280" s="7" t="s">
        <v>2711</v>
      </c>
      <c r="E1280" s="7" t="s">
        <v>26</v>
      </c>
      <c r="F1280" s="7" t="s">
        <v>2971</v>
      </c>
      <c r="G1280" s="7" t="n">
        <v>2016</v>
      </c>
      <c r="H1280" s="7" t="s">
        <v>49</v>
      </c>
      <c r="I1280" s="7" t="s">
        <v>205</v>
      </c>
      <c r="J1280" s="7" t="s">
        <v>1085</v>
      </c>
      <c r="K1280" s="7" t="n">
        <f aca="false">IFERROR(VALUE(RIGHT(TRIM(F1280),4)),"")</f>
        <v>2019</v>
      </c>
      <c r="L1280" s="7" t="str">
        <f aca="false">IF(TRIM(E1280)="","Unknown",IFERROR(LEFT(TRIM(E1280),FIND(",",TRIM(E1280))-1),TRIM(E1280)))</f>
        <v>United States</v>
      </c>
      <c r="M1280" s="7" t="str">
        <f aca="false">IFERROR(LEFT(J1280,FIND(",",J1280)-1),J1280)</f>
        <v>Documentaries</v>
      </c>
      <c r="N1280" s="7" t="n">
        <f aca="false">IF(B1280="Movie",IFERROR(VALUE(LEFT(I1280,FIND(" ",I1280)-1)),""),"")</f>
        <v>100</v>
      </c>
      <c r="O1280" s="7" t="str">
        <f aca="false">IF(B1280="TV Show",IFERROR(VALUE(LEFT(I1280,FIND(" ",I1280)-1)),""),"")</f>
        <v/>
      </c>
      <c r="P1280" s="7" t="n">
        <f aca="false">IF(K1280="","",K1280-G1280)</f>
        <v>3</v>
      </c>
    </row>
    <row r="1281" customFormat="false" ht="15" hidden="false" customHeight="false" outlineLevel="0" collapsed="false">
      <c r="A1281" s="7" t="n">
        <v>80238391</v>
      </c>
      <c r="B1281" s="7" t="s">
        <v>78</v>
      </c>
      <c r="C1281" s="7" t="s">
        <v>2998</v>
      </c>
      <c r="E1281" s="7" t="s">
        <v>34</v>
      </c>
      <c r="F1281" s="7" t="s">
        <v>2971</v>
      </c>
      <c r="G1281" s="7" t="n">
        <v>2019</v>
      </c>
      <c r="H1281" s="7" t="s">
        <v>48</v>
      </c>
      <c r="I1281" s="7" t="s">
        <v>82</v>
      </c>
      <c r="J1281" s="7" t="s">
        <v>89</v>
      </c>
      <c r="K1281" s="7" t="n">
        <f aca="false">IFERROR(VALUE(RIGHT(TRIM(F1281),4)),"")</f>
        <v>2019</v>
      </c>
      <c r="L1281" s="7" t="str">
        <f aca="false">IF(TRIM(E1281)="","Unknown",IFERROR(LEFT(TRIM(E1281),FIND(",",TRIM(E1281))-1),TRIM(E1281)))</f>
        <v>Mexico</v>
      </c>
      <c r="M1281" s="7" t="str">
        <f aca="false">IFERROR(LEFT(J1281,FIND(",",J1281)-1),J1281)</f>
        <v>Crime TV Shows</v>
      </c>
      <c r="N1281" s="7" t="str">
        <f aca="false">IF(B1281="Movie",IFERROR(VALUE(LEFT(I1281,FIND(" ",I1281)-1)),""),"")</f>
        <v/>
      </c>
      <c r="O1281" s="7" t="n">
        <f aca="false">IF(B1281="TV Show",IFERROR(VALUE(LEFT(I1281,FIND(" ",I1281)-1)),""),"")</f>
        <v>1</v>
      </c>
      <c r="P1281" s="7" t="n">
        <f aca="false">IF(K1281="","",K1281-G1281)</f>
        <v>0</v>
      </c>
    </row>
    <row r="1282" customFormat="false" ht="15" hidden="false" customHeight="false" outlineLevel="0" collapsed="false">
      <c r="A1282" s="7" t="n">
        <v>70291121</v>
      </c>
      <c r="B1282" s="7" t="s">
        <v>68</v>
      </c>
      <c r="C1282" s="7" t="s">
        <v>2999</v>
      </c>
      <c r="D1282" s="7" t="s">
        <v>3000</v>
      </c>
      <c r="E1282" s="7" t="s">
        <v>30</v>
      </c>
      <c r="F1282" s="7" t="s">
        <v>2971</v>
      </c>
      <c r="G1282" s="7" t="n">
        <v>2013</v>
      </c>
      <c r="H1282" s="7" t="s">
        <v>49</v>
      </c>
      <c r="I1282" s="7" t="s">
        <v>1175</v>
      </c>
      <c r="J1282" s="7" t="s">
        <v>3001</v>
      </c>
      <c r="K1282" s="7" t="n">
        <f aca="false">IFERROR(VALUE(RIGHT(TRIM(F1282),4)),"")</f>
        <v>2019</v>
      </c>
      <c r="L1282" s="7" t="str">
        <f aca="false">IF(TRIM(E1282)="","Unknown",IFERROR(LEFT(TRIM(E1282),FIND(",",TRIM(E1282))-1),TRIM(E1282)))</f>
        <v>Japan</v>
      </c>
      <c r="M1282" s="7" t="str">
        <f aca="false">IFERROR(LEFT(J1282,FIND(",",J1282)-1),J1282)</f>
        <v>Anime Features</v>
      </c>
      <c r="N1282" s="7" t="n">
        <f aca="false">IF(B1282="Movie",IFERROR(VALUE(LEFT(I1282,FIND(" ",I1282)-1)),""),"")</f>
        <v>46</v>
      </c>
      <c r="O1282" s="7" t="str">
        <f aca="false">IF(B1282="TV Show",IFERROR(VALUE(LEFT(I1282,FIND(" ",I1282)-1)),""),"")</f>
        <v/>
      </c>
      <c r="P1282" s="7" t="n">
        <f aca="false">IF(K1282="","",K1282-G1282)</f>
        <v>6</v>
      </c>
    </row>
    <row r="1283" customFormat="false" ht="15" hidden="false" customHeight="false" outlineLevel="0" collapsed="false">
      <c r="A1283" s="7" t="n">
        <v>80242491</v>
      </c>
      <c r="B1283" s="7" t="s">
        <v>78</v>
      </c>
      <c r="C1283" s="7" t="s">
        <v>3002</v>
      </c>
      <c r="E1283" s="7" t="s">
        <v>167</v>
      </c>
      <c r="F1283" s="7" t="s">
        <v>2971</v>
      </c>
      <c r="G1283" s="7" t="n">
        <v>2019</v>
      </c>
      <c r="H1283" s="7" t="s">
        <v>48</v>
      </c>
      <c r="I1283" s="7" t="s">
        <v>82</v>
      </c>
      <c r="J1283" s="7" t="s">
        <v>393</v>
      </c>
      <c r="K1283" s="7" t="n">
        <f aca="false">IFERROR(VALUE(RIGHT(TRIM(F1283),4)),"")</f>
        <v>2019</v>
      </c>
      <c r="L1283" s="7" t="str">
        <f aca="false">IF(TRIM(E1283)="","Unknown",IFERROR(LEFT(TRIM(E1283),FIND(",",TRIM(E1283))-1),TRIM(E1283)))</f>
        <v>Thailand</v>
      </c>
      <c r="M1283" s="7" t="str">
        <f aca="false">IFERROR(LEFT(J1283,FIND(",",J1283)-1),J1283)</f>
        <v>International TV Shows</v>
      </c>
      <c r="N1283" s="7" t="str">
        <f aca="false">IF(B1283="Movie",IFERROR(VALUE(LEFT(I1283,FIND(" ",I1283)-1)),""),"")</f>
        <v/>
      </c>
      <c r="O1283" s="7" t="n">
        <f aca="false">IF(B1283="TV Show",IFERROR(VALUE(LEFT(I1283,FIND(" ",I1283)-1)),""),"")</f>
        <v>1</v>
      </c>
      <c r="P1283" s="7" t="n">
        <f aca="false">IF(K1283="","",K1283-G1283)</f>
        <v>0</v>
      </c>
    </row>
    <row r="1284" customFormat="false" ht="15" hidden="false" customHeight="false" outlineLevel="0" collapsed="false">
      <c r="A1284" s="7" t="n">
        <v>81179864</v>
      </c>
      <c r="B1284" s="7" t="s">
        <v>78</v>
      </c>
      <c r="C1284" s="7" t="s">
        <v>3003</v>
      </c>
      <c r="F1284" s="7" t="s">
        <v>2971</v>
      </c>
      <c r="G1284" s="7" t="n">
        <v>2003</v>
      </c>
      <c r="H1284" s="7" t="s">
        <v>49</v>
      </c>
      <c r="I1284" s="7" t="s">
        <v>82</v>
      </c>
      <c r="J1284" s="7" t="s">
        <v>805</v>
      </c>
      <c r="K1284" s="7" t="n">
        <f aca="false">IFERROR(VALUE(RIGHT(TRIM(F1284),4)),"")</f>
        <v>2019</v>
      </c>
      <c r="L1284" s="7" t="str">
        <f aca="false">IF(TRIM(E1284)="","Unknown",IFERROR(LEFT(TRIM(E1284),FIND(",",TRIM(E1284))-1),TRIM(E1284)))</f>
        <v>Unknown</v>
      </c>
      <c r="M1284" s="7" t="str">
        <f aca="false">IFERROR(LEFT(J1284,FIND(",",J1284)-1),J1284)</f>
        <v>International TV Shows</v>
      </c>
      <c r="N1284" s="7" t="str">
        <f aca="false">IF(B1284="Movie",IFERROR(VALUE(LEFT(I1284,FIND(" ",I1284)-1)),""),"")</f>
        <v/>
      </c>
      <c r="O1284" s="7" t="n">
        <f aca="false">IF(B1284="TV Show",IFERROR(VALUE(LEFT(I1284,FIND(" ",I1284)-1)),""),"")</f>
        <v>1</v>
      </c>
      <c r="P1284" s="7" t="n">
        <f aca="false">IF(K1284="","",K1284-G1284)</f>
        <v>16</v>
      </c>
    </row>
    <row r="1285" customFormat="false" ht="15" hidden="false" customHeight="false" outlineLevel="0" collapsed="false">
      <c r="A1285" s="7" t="n">
        <v>81035105</v>
      </c>
      <c r="B1285" s="7" t="s">
        <v>68</v>
      </c>
      <c r="C1285" s="7" t="s">
        <v>3004</v>
      </c>
      <c r="D1285" s="7" t="s">
        <v>3005</v>
      </c>
      <c r="E1285" s="7" t="s">
        <v>27</v>
      </c>
      <c r="F1285" s="7" t="s">
        <v>3006</v>
      </c>
      <c r="G1285" s="7" t="n">
        <v>2018</v>
      </c>
      <c r="H1285" s="7" t="s">
        <v>49</v>
      </c>
      <c r="I1285" s="7" t="s">
        <v>232</v>
      </c>
      <c r="J1285" s="7" t="s">
        <v>188</v>
      </c>
      <c r="K1285" s="7" t="n">
        <f aca="false">IFERROR(VALUE(RIGHT(TRIM(F1285),4)),"")</f>
        <v>2018</v>
      </c>
      <c r="L1285" s="7" t="str">
        <f aca="false">IF(TRIM(E1285)="","Unknown",IFERROR(LEFT(TRIM(E1285),FIND(",",TRIM(E1285))-1),TRIM(E1285)))</f>
        <v>India</v>
      </c>
      <c r="M1285" s="7" t="str">
        <f aca="false">IFERROR(LEFT(J1285,FIND(",",J1285)-1),J1285)</f>
        <v>Dramas</v>
      </c>
      <c r="N1285" s="7" t="n">
        <f aca="false">IF(B1285="Movie",IFERROR(VALUE(LEFT(I1285,FIND(" ",I1285)-1)),""),"")</f>
        <v>122</v>
      </c>
      <c r="O1285" s="7" t="str">
        <f aca="false">IF(B1285="TV Show",IFERROR(VALUE(LEFT(I1285,FIND(" ",I1285)-1)),""),"")</f>
        <v/>
      </c>
      <c r="P1285" s="7" t="n">
        <f aca="false">IF(K1285="","",K1285-G1285)</f>
        <v>0</v>
      </c>
    </row>
    <row r="1286" customFormat="false" ht="15" hidden="false" customHeight="false" outlineLevel="0" collapsed="false">
      <c r="A1286" s="7" t="n">
        <v>81018295</v>
      </c>
      <c r="B1286" s="7" t="s">
        <v>78</v>
      </c>
      <c r="C1286" s="7" t="s">
        <v>3007</v>
      </c>
      <c r="F1286" s="7" t="s">
        <v>3006</v>
      </c>
      <c r="G1286" s="7" t="n">
        <v>2017</v>
      </c>
      <c r="H1286" s="7" t="s">
        <v>55</v>
      </c>
      <c r="I1286" s="7" t="s">
        <v>82</v>
      </c>
      <c r="J1286" s="7" t="s">
        <v>694</v>
      </c>
      <c r="K1286" s="7" t="n">
        <f aca="false">IFERROR(VALUE(RIGHT(TRIM(F1286),4)),"")</f>
        <v>2018</v>
      </c>
      <c r="L1286" s="7" t="str">
        <f aca="false">IF(TRIM(E1286)="","Unknown",IFERROR(LEFT(TRIM(E1286),FIND(",",TRIM(E1286))-1),TRIM(E1286)))</f>
        <v>Unknown</v>
      </c>
      <c r="M1286" s="7" t="str">
        <f aca="false">IFERROR(LEFT(J1286,FIND(",",J1286)-1),J1286)</f>
        <v>Anime Series</v>
      </c>
      <c r="N1286" s="7" t="str">
        <f aca="false">IF(B1286="Movie",IFERROR(VALUE(LEFT(I1286,FIND(" ",I1286)-1)),""),"")</f>
        <v/>
      </c>
      <c r="O1286" s="7" t="n">
        <f aca="false">IF(B1286="TV Show",IFERROR(VALUE(LEFT(I1286,FIND(" ",I1286)-1)),""),"")</f>
        <v>1</v>
      </c>
      <c r="P1286" s="7" t="n">
        <f aca="false">IF(K1286="","",K1286-G1286)</f>
        <v>1</v>
      </c>
    </row>
    <row r="1287" customFormat="false" ht="15" hidden="false" customHeight="false" outlineLevel="0" collapsed="false">
      <c r="A1287" s="7" t="n">
        <v>80224054</v>
      </c>
      <c r="B1287" s="7" t="s">
        <v>68</v>
      </c>
      <c r="C1287" s="7" t="s">
        <v>3008</v>
      </c>
      <c r="D1287" s="7" t="s">
        <v>2115</v>
      </c>
      <c r="E1287" s="7" t="s">
        <v>29</v>
      </c>
      <c r="F1287" s="7" t="s">
        <v>3006</v>
      </c>
      <c r="G1287" s="7" t="n">
        <v>2017</v>
      </c>
      <c r="H1287" s="7" t="s">
        <v>54</v>
      </c>
      <c r="I1287" s="7" t="s">
        <v>212</v>
      </c>
      <c r="J1287" s="7" t="s">
        <v>206</v>
      </c>
      <c r="K1287" s="7" t="n">
        <f aca="false">IFERROR(VALUE(RIGHT(TRIM(F1287),4)),"")</f>
        <v>2018</v>
      </c>
      <c r="L1287" s="7" t="str">
        <f aca="false">IF(TRIM(E1287)="","Unknown",IFERROR(LEFT(TRIM(E1287),FIND(",",TRIM(E1287))-1),TRIM(E1287)))</f>
        <v>Canada</v>
      </c>
      <c r="M1287" s="7" t="str">
        <f aca="false">IFERROR(LEFT(J1287,FIND(",",J1287)-1),J1287)</f>
        <v>Comedies</v>
      </c>
      <c r="N1287" s="7" t="n">
        <f aca="false">IF(B1287="Movie",IFERROR(VALUE(LEFT(I1287,FIND(" ",I1287)-1)),""),"")</f>
        <v>86</v>
      </c>
      <c r="O1287" s="7" t="str">
        <f aca="false">IF(B1287="TV Show",IFERROR(VALUE(LEFT(I1287,FIND(" ",I1287)-1)),""),"")</f>
        <v/>
      </c>
      <c r="P1287" s="7" t="n">
        <f aca="false">IF(K1287="","",K1287-G1287)</f>
        <v>1</v>
      </c>
    </row>
    <row r="1288" customFormat="false" ht="15" hidden="false" customHeight="false" outlineLevel="0" collapsed="false">
      <c r="A1288" s="7" t="n">
        <v>81038832</v>
      </c>
      <c r="B1288" s="7" t="s">
        <v>68</v>
      </c>
      <c r="C1288" s="7" t="s">
        <v>3009</v>
      </c>
      <c r="D1288" s="7" t="s">
        <v>3010</v>
      </c>
      <c r="E1288" s="7" t="s">
        <v>27</v>
      </c>
      <c r="F1288" s="7" t="s">
        <v>3006</v>
      </c>
      <c r="G1288" s="7" t="n">
        <v>2018</v>
      </c>
      <c r="H1288" s="7" t="s">
        <v>49</v>
      </c>
      <c r="I1288" s="7" t="s">
        <v>326</v>
      </c>
      <c r="J1288" s="7" t="s">
        <v>198</v>
      </c>
      <c r="K1288" s="7" t="n">
        <f aca="false">IFERROR(VALUE(RIGHT(TRIM(F1288),4)),"")</f>
        <v>2018</v>
      </c>
      <c r="L1288" s="7" t="str">
        <f aca="false">IF(TRIM(E1288)="","Unknown",IFERROR(LEFT(TRIM(E1288),FIND(",",TRIM(E1288))-1),TRIM(E1288)))</f>
        <v>India</v>
      </c>
      <c r="M1288" s="7" t="str">
        <f aca="false">IFERROR(LEFT(J1288,FIND(",",J1288)-1),J1288)</f>
        <v>Comedies</v>
      </c>
      <c r="N1288" s="7" t="n">
        <f aca="false">IF(B1288="Movie",IFERROR(VALUE(LEFT(I1288,FIND(" ",I1288)-1)),""),"")</f>
        <v>111</v>
      </c>
      <c r="O1288" s="7" t="str">
        <f aca="false">IF(B1288="TV Show",IFERROR(VALUE(LEFT(I1288,FIND(" ",I1288)-1)),""),"")</f>
        <v/>
      </c>
      <c r="P1288" s="7" t="n">
        <f aca="false">IF(K1288="","",K1288-G1288)</f>
        <v>0</v>
      </c>
    </row>
    <row r="1289" customFormat="false" ht="15" hidden="false" customHeight="false" outlineLevel="0" collapsed="false">
      <c r="A1289" s="7" t="n">
        <v>81035109</v>
      </c>
      <c r="B1289" s="7" t="s">
        <v>68</v>
      </c>
      <c r="C1289" s="7" t="s">
        <v>3011</v>
      </c>
      <c r="D1289" s="7" t="s">
        <v>3012</v>
      </c>
      <c r="E1289" s="7" t="s">
        <v>27</v>
      </c>
      <c r="F1289" s="7" t="s">
        <v>3006</v>
      </c>
      <c r="G1289" s="7" t="n">
        <v>2017</v>
      </c>
      <c r="H1289" s="7" t="s">
        <v>50</v>
      </c>
      <c r="I1289" s="7" t="s">
        <v>755</v>
      </c>
      <c r="J1289" s="7" t="s">
        <v>304</v>
      </c>
      <c r="K1289" s="7" t="n">
        <f aca="false">IFERROR(VALUE(RIGHT(TRIM(F1289),4)),"")</f>
        <v>2018</v>
      </c>
      <c r="L1289" s="7" t="str">
        <f aca="false">IF(TRIM(E1289)="","Unknown",IFERROR(LEFT(TRIM(E1289),FIND(",",TRIM(E1289))-1),TRIM(E1289)))</f>
        <v>India</v>
      </c>
      <c r="M1289" s="7" t="str">
        <f aca="false">IFERROR(LEFT(J1289,FIND(",",J1289)-1),J1289)</f>
        <v>Dramas</v>
      </c>
      <c r="N1289" s="7" t="n">
        <f aca="false">IF(B1289="Movie",IFERROR(VALUE(LEFT(I1289,FIND(" ",I1289)-1)),""),"")</f>
        <v>132</v>
      </c>
      <c r="O1289" s="7" t="str">
        <f aca="false">IF(B1289="TV Show",IFERROR(VALUE(LEFT(I1289,FIND(" ",I1289)-1)),""),"")</f>
        <v/>
      </c>
      <c r="P1289" s="7" t="n">
        <f aca="false">IF(K1289="","",K1289-G1289)</f>
        <v>1</v>
      </c>
    </row>
    <row r="1290" customFormat="false" ht="15" hidden="false" customHeight="false" outlineLevel="0" collapsed="false">
      <c r="A1290" s="7" t="n">
        <v>81030893</v>
      </c>
      <c r="B1290" s="7" t="s">
        <v>68</v>
      </c>
      <c r="C1290" s="7" t="s">
        <v>3013</v>
      </c>
      <c r="D1290" s="7" t="s">
        <v>1663</v>
      </c>
      <c r="E1290" s="7" t="s">
        <v>362</v>
      </c>
      <c r="F1290" s="7" t="s">
        <v>3006</v>
      </c>
      <c r="G1290" s="7" t="n">
        <v>2018</v>
      </c>
      <c r="H1290" s="7" t="s">
        <v>48</v>
      </c>
      <c r="I1290" s="7" t="s">
        <v>326</v>
      </c>
      <c r="J1290" s="7" t="s">
        <v>169</v>
      </c>
      <c r="K1290" s="7" t="n">
        <f aca="false">IFERROR(VALUE(RIGHT(TRIM(F1290),4)),"")</f>
        <v>2018</v>
      </c>
      <c r="L1290" s="7" t="str">
        <f aca="false">IF(TRIM(E1290)="","Unknown",IFERROR(LEFT(TRIM(E1290),FIND(",",TRIM(E1290))-1),TRIM(E1290)))</f>
        <v>Indonesia</v>
      </c>
      <c r="M1290" s="7" t="str">
        <f aca="false">IFERROR(LEFT(J1290,FIND(",",J1290)-1),J1290)</f>
        <v>Horror Movies</v>
      </c>
      <c r="N1290" s="7" t="n">
        <f aca="false">IF(B1290="Movie",IFERROR(VALUE(LEFT(I1290,FIND(" ",I1290)-1)),""),"")</f>
        <v>111</v>
      </c>
      <c r="O1290" s="7" t="str">
        <f aca="false">IF(B1290="TV Show",IFERROR(VALUE(LEFT(I1290,FIND(" ",I1290)-1)),""),"")</f>
        <v/>
      </c>
      <c r="P1290" s="7" t="n">
        <f aca="false">IF(K1290="","",K1290-G1290)</f>
        <v>0</v>
      </c>
    </row>
    <row r="1291" customFormat="false" ht="15" hidden="false" customHeight="false" outlineLevel="0" collapsed="false">
      <c r="A1291" s="7" t="n">
        <v>81035103</v>
      </c>
      <c r="B1291" s="7" t="s">
        <v>68</v>
      </c>
      <c r="C1291" s="7" t="s">
        <v>3014</v>
      </c>
      <c r="D1291" s="7" t="s">
        <v>3015</v>
      </c>
      <c r="E1291" s="7" t="s">
        <v>27</v>
      </c>
      <c r="F1291" s="7" t="s">
        <v>3006</v>
      </c>
      <c r="G1291" s="7" t="n">
        <v>2015</v>
      </c>
      <c r="H1291" s="7" t="s">
        <v>48</v>
      </c>
      <c r="I1291" s="7" t="s">
        <v>2183</v>
      </c>
      <c r="J1291" s="7" t="s">
        <v>341</v>
      </c>
      <c r="K1291" s="7" t="n">
        <f aca="false">IFERROR(VALUE(RIGHT(TRIM(F1291),4)),"")</f>
        <v>2018</v>
      </c>
      <c r="L1291" s="7" t="str">
        <f aca="false">IF(TRIM(E1291)="","Unknown",IFERROR(LEFT(TRIM(E1291),FIND(",",TRIM(E1291))-1),TRIM(E1291)))</f>
        <v>India</v>
      </c>
      <c r="M1291" s="7" t="str">
        <f aca="false">IFERROR(LEFT(J1291,FIND(",",J1291)-1),J1291)</f>
        <v>Documentaries</v>
      </c>
      <c r="N1291" s="7" t="n">
        <f aca="false">IF(B1291="Movie",IFERROR(VALUE(LEFT(I1291,FIND(" ",I1291)-1)),""),"")</f>
        <v>136</v>
      </c>
      <c r="O1291" s="7" t="str">
        <f aca="false">IF(B1291="TV Show",IFERROR(VALUE(LEFT(I1291,FIND(" ",I1291)-1)),""),"")</f>
        <v/>
      </c>
      <c r="P1291" s="7" t="n">
        <f aca="false">IF(K1291="","",K1291-G1291)</f>
        <v>3</v>
      </c>
    </row>
    <row r="1292" customFormat="false" ht="15" hidden="false" customHeight="false" outlineLevel="0" collapsed="false">
      <c r="A1292" s="7" t="n">
        <v>81035104</v>
      </c>
      <c r="B1292" s="7" t="s">
        <v>68</v>
      </c>
      <c r="C1292" s="7" t="s">
        <v>3016</v>
      </c>
      <c r="D1292" s="7" t="s">
        <v>3017</v>
      </c>
      <c r="E1292" s="7" t="s">
        <v>27</v>
      </c>
      <c r="F1292" s="7" t="s">
        <v>3006</v>
      </c>
      <c r="G1292" s="7" t="n">
        <v>2018</v>
      </c>
      <c r="H1292" s="7" t="s">
        <v>49</v>
      </c>
      <c r="I1292" s="7" t="s">
        <v>505</v>
      </c>
      <c r="J1292" s="7" t="s">
        <v>202</v>
      </c>
      <c r="K1292" s="7" t="n">
        <f aca="false">IFERROR(VALUE(RIGHT(TRIM(F1292),4)),"")</f>
        <v>2018</v>
      </c>
      <c r="L1292" s="7" t="str">
        <f aca="false">IF(TRIM(E1292)="","Unknown",IFERROR(LEFT(TRIM(E1292),FIND(",",TRIM(E1292))-1),TRIM(E1292)))</f>
        <v>India</v>
      </c>
      <c r="M1292" s="7" t="str">
        <f aca="false">IFERROR(LEFT(J1292,FIND(",",J1292)-1),J1292)</f>
        <v>Comedies</v>
      </c>
      <c r="N1292" s="7" t="n">
        <f aca="false">IF(B1292="Movie",IFERROR(VALUE(LEFT(I1292,FIND(" ",I1292)-1)),""),"")</f>
        <v>121</v>
      </c>
      <c r="O1292" s="7" t="str">
        <f aca="false">IF(B1292="TV Show",IFERROR(VALUE(LEFT(I1292,FIND(" ",I1292)-1)),""),"")</f>
        <v/>
      </c>
      <c r="P1292" s="7" t="n">
        <f aca="false">IF(K1292="","",K1292-G1292)</f>
        <v>0</v>
      </c>
    </row>
    <row r="1293" customFormat="false" ht="15" hidden="false" customHeight="false" outlineLevel="0" collapsed="false">
      <c r="A1293" s="7" t="n">
        <v>80075824</v>
      </c>
      <c r="B1293" s="7" t="s">
        <v>68</v>
      </c>
      <c r="C1293" s="7" t="s">
        <v>3018</v>
      </c>
      <c r="D1293" s="7" t="s">
        <v>3019</v>
      </c>
      <c r="E1293" s="7" t="s">
        <v>3020</v>
      </c>
      <c r="F1293" s="7" t="s">
        <v>3006</v>
      </c>
      <c r="G1293" s="7" t="n">
        <v>2015</v>
      </c>
      <c r="H1293" s="7" t="s">
        <v>48</v>
      </c>
      <c r="I1293" s="7" t="s">
        <v>661</v>
      </c>
      <c r="J1293" s="7" t="s">
        <v>341</v>
      </c>
      <c r="K1293" s="7" t="n">
        <f aca="false">IFERROR(VALUE(RIGHT(TRIM(F1293),4)),"")</f>
        <v>2018</v>
      </c>
      <c r="L1293" s="7" t="str">
        <f aca="false">IF(TRIM(E1293)="","Unknown",IFERROR(LEFT(TRIM(E1293),FIND(",",TRIM(E1293))-1),TRIM(E1293)))</f>
        <v>Australia</v>
      </c>
      <c r="M1293" s="7" t="str">
        <f aca="false">IFERROR(LEFT(J1293,FIND(",",J1293)-1),J1293)</f>
        <v>Documentaries</v>
      </c>
      <c r="N1293" s="7" t="n">
        <f aca="false">IF(B1293="Movie",IFERROR(VALUE(LEFT(I1293,FIND(" ",I1293)-1)),""),"")</f>
        <v>76</v>
      </c>
      <c r="O1293" s="7" t="str">
        <f aca="false">IF(B1293="TV Show",IFERROR(VALUE(LEFT(I1293,FIND(" ",I1293)-1)),""),"")</f>
        <v/>
      </c>
      <c r="P1293" s="7" t="n">
        <f aca="false">IF(K1293="","",K1293-G1293)</f>
        <v>3</v>
      </c>
    </row>
    <row r="1294" customFormat="false" ht="15" hidden="false" customHeight="false" outlineLevel="0" collapsed="false">
      <c r="A1294" s="7" t="n">
        <v>81035108</v>
      </c>
      <c r="B1294" s="7" t="s">
        <v>68</v>
      </c>
      <c r="C1294" s="7" t="s">
        <v>3021</v>
      </c>
      <c r="D1294" s="7" t="s">
        <v>3022</v>
      </c>
      <c r="E1294" s="7" t="s">
        <v>27</v>
      </c>
      <c r="F1294" s="7" t="s">
        <v>3006</v>
      </c>
      <c r="G1294" s="7" t="n">
        <v>2017</v>
      </c>
      <c r="H1294" s="7" t="s">
        <v>50</v>
      </c>
      <c r="I1294" s="7" t="s">
        <v>311</v>
      </c>
      <c r="J1294" s="7" t="s">
        <v>188</v>
      </c>
      <c r="K1294" s="7" t="n">
        <f aca="false">IFERROR(VALUE(RIGHT(TRIM(F1294),4)),"")</f>
        <v>2018</v>
      </c>
      <c r="L1294" s="7" t="str">
        <f aca="false">IF(TRIM(E1294)="","Unknown",IFERROR(LEFT(TRIM(E1294),FIND(",",TRIM(E1294))-1),TRIM(E1294)))</f>
        <v>India</v>
      </c>
      <c r="M1294" s="7" t="str">
        <f aca="false">IFERROR(LEFT(J1294,FIND(",",J1294)-1),J1294)</f>
        <v>Dramas</v>
      </c>
      <c r="N1294" s="7" t="n">
        <f aca="false">IF(B1294="Movie",IFERROR(VALUE(LEFT(I1294,FIND(" ",I1294)-1)),""),"")</f>
        <v>92</v>
      </c>
      <c r="O1294" s="7" t="str">
        <f aca="false">IF(B1294="TV Show",IFERROR(VALUE(LEFT(I1294,FIND(" ",I1294)-1)),""),"")</f>
        <v/>
      </c>
      <c r="P1294" s="7" t="n">
        <f aca="false">IF(K1294="","",K1294-G1294)</f>
        <v>1</v>
      </c>
    </row>
    <row r="1295" customFormat="false" ht="15" hidden="false" customHeight="false" outlineLevel="0" collapsed="false">
      <c r="A1295" s="7" t="n">
        <v>81035107</v>
      </c>
      <c r="B1295" s="7" t="s">
        <v>68</v>
      </c>
      <c r="C1295" s="7" t="s">
        <v>3023</v>
      </c>
      <c r="D1295" s="7" t="s">
        <v>3024</v>
      </c>
      <c r="E1295" s="7" t="s">
        <v>27</v>
      </c>
      <c r="F1295" s="7" t="s">
        <v>3006</v>
      </c>
      <c r="G1295" s="7" t="n">
        <v>2018</v>
      </c>
      <c r="H1295" s="7" t="s">
        <v>49</v>
      </c>
      <c r="I1295" s="7" t="s">
        <v>519</v>
      </c>
      <c r="J1295" s="7" t="s">
        <v>169</v>
      </c>
      <c r="K1295" s="7" t="n">
        <f aca="false">IFERROR(VALUE(RIGHT(TRIM(F1295),4)),"")</f>
        <v>2018</v>
      </c>
      <c r="L1295" s="7" t="str">
        <f aca="false">IF(TRIM(E1295)="","Unknown",IFERROR(LEFT(TRIM(E1295),FIND(",",TRIM(E1295))-1),TRIM(E1295)))</f>
        <v>India</v>
      </c>
      <c r="M1295" s="7" t="str">
        <f aca="false">IFERROR(LEFT(J1295,FIND(",",J1295)-1),J1295)</f>
        <v>Horror Movies</v>
      </c>
      <c r="N1295" s="7" t="n">
        <f aca="false">IF(B1295="Movie",IFERROR(VALUE(LEFT(I1295,FIND(" ",I1295)-1)),""),"")</f>
        <v>119</v>
      </c>
      <c r="O1295" s="7" t="str">
        <f aca="false">IF(B1295="TV Show",IFERROR(VALUE(LEFT(I1295,FIND(" ",I1295)-1)),""),"")</f>
        <v/>
      </c>
      <c r="P1295" s="7" t="n">
        <f aca="false">IF(K1295="","",K1295-G1295)</f>
        <v>0</v>
      </c>
    </row>
    <row r="1296" customFormat="false" ht="15" hidden="false" customHeight="false" outlineLevel="0" collapsed="false">
      <c r="A1296" s="7" t="n">
        <v>81028556</v>
      </c>
      <c r="B1296" s="7" t="s">
        <v>68</v>
      </c>
      <c r="C1296" s="7" t="s">
        <v>3025</v>
      </c>
      <c r="D1296" s="7" t="s">
        <v>3026</v>
      </c>
      <c r="E1296" s="7" t="s">
        <v>26</v>
      </c>
      <c r="F1296" s="7" t="s">
        <v>3006</v>
      </c>
      <c r="G1296" s="7" t="n">
        <v>2016</v>
      </c>
      <c r="H1296" s="7" t="s">
        <v>119</v>
      </c>
      <c r="I1296" s="7" t="s">
        <v>353</v>
      </c>
      <c r="J1296" s="7" t="s">
        <v>10</v>
      </c>
      <c r="K1296" s="7" t="n">
        <f aca="false">IFERROR(VALUE(RIGHT(TRIM(F1296),4)),"")</f>
        <v>2018</v>
      </c>
      <c r="L1296" s="7" t="str">
        <f aca="false">IF(TRIM(E1296)="","Unknown",IFERROR(LEFT(TRIM(E1296),FIND(",",TRIM(E1296))-1),TRIM(E1296)))</f>
        <v>United States</v>
      </c>
      <c r="M1296" s="7" t="str">
        <f aca="false">IFERROR(LEFT(J1296,FIND(",",J1296)-1),J1296)</f>
        <v>Movies</v>
      </c>
      <c r="N1296" s="7" t="n">
        <f aca="false">IF(B1296="Movie",IFERROR(VALUE(LEFT(I1296,FIND(" ",I1296)-1)),""),"")</f>
        <v>45</v>
      </c>
      <c r="O1296" s="7" t="str">
        <f aca="false">IF(B1296="TV Show",IFERROR(VALUE(LEFT(I1296,FIND(" ",I1296)-1)),""),"")</f>
        <v/>
      </c>
      <c r="P1296" s="7" t="n">
        <f aca="false">IF(K1296="","",K1296-G1296)</f>
        <v>2</v>
      </c>
    </row>
    <row r="1297" customFormat="false" ht="15" hidden="false" customHeight="false" outlineLevel="0" collapsed="false">
      <c r="A1297" s="7" t="n">
        <v>81028574</v>
      </c>
      <c r="B1297" s="7" t="s">
        <v>68</v>
      </c>
      <c r="C1297" s="7" t="s">
        <v>3027</v>
      </c>
      <c r="D1297" s="7" t="s">
        <v>3028</v>
      </c>
      <c r="E1297" s="7" t="s">
        <v>35</v>
      </c>
      <c r="F1297" s="7" t="s">
        <v>3006</v>
      </c>
      <c r="G1297" s="7" t="n">
        <v>2018</v>
      </c>
      <c r="H1297" s="7" t="s">
        <v>119</v>
      </c>
      <c r="I1297" s="7" t="s">
        <v>421</v>
      </c>
      <c r="J1297" s="7" t="s">
        <v>10</v>
      </c>
      <c r="K1297" s="7" t="n">
        <f aca="false">IFERROR(VALUE(RIGHT(TRIM(F1297),4)),"")</f>
        <v>2018</v>
      </c>
      <c r="L1297" s="7" t="str">
        <f aca="false">IF(TRIM(E1297)="","Unknown",IFERROR(LEFT(TRIM(E1297),FIND(",",TRIM(E1297))-1),TRIM(E1297)))</f>
        <v>Australia</v>
      </c>
      <c r="M1297" s="7" t="str">
        <f aca="false">IFERROR(LEFT(J1297,FIND(",",J1297)-1),J1297)</f>
        <v>Movies</v>
      </c>
      <c r="N1297" s="7" t="n">
        <f aca="false">IF(B1297="Movie",IFERROR(VALUE(LEFT(I1297,FIND(" ",I1297)-1)),""),"")</f>
        <v>75</v>
      </c>
      <c r="O1297" s="7" t="str">
        <f aca="false">IF(B1297="TV Show",IFERROR(VALUE(LEFT(I1297,FIND(" ",I1297)-1)),""),"")</f>
        <v/>
      </c>
      <c r="P1297" s="7" t="n">
        <f aca="false">IF(K1297="","",K1297-G1297)</f>
        <v>0</v>
      </c>
    </row>
    <row r="1298" customFormat="false" ht="15" hidden="false" customHeight="false" outlineLevel="0" collapsed="false">
      <c r="A1298" s="7" t="n">
        <v>81028560</v>
      </c>
      <c r="B1298" s="7" t="s">
        <v>68</v>
      </c>
      <c r="C1298" s="7" t="s">
        <v>3029</v>
      </c>
      <c r="D1298" s="7" t="s">
        <v>3030</v>
      </c>
      <c r="E1298" s="7" t="s">
        <v>35</v>
      </c>
      <c r="F1298" s="7" t="s">
        <v>3006</v>
      </c>
      <c r="G1298" s="7" t="n">
        <v>2017</v>
      </c>
      <c r="H1298" s="7" t="s">
        <v>119</v>
      </c>
      <c r="I1298" s="7" t="s">
        <v>861</v>
      </c>
      <c r="J1298" s="7" t="s">
        <v>10</v>
      </c>
      <c r="K1298" s="7" t="n">
        <f aca="false">IFERROR(VALUE(RIGHT(TRIM(F1298),4)),"")</f>
        <v>2018</v>
      </c>
      <c r="L1298" s="7" t="str">
        <f aca="false">IF(TRIM(E1298)="","Unknown",IFERROR(LEFT(TRIM(E1298),FIND(",",TRIM(E1298))-1),TRIM(E1298)))</f>
        <v>Australia</v>
      </c>
      <c r="M1298" s="7" t="str">
        <f aca="false">IFERROR(LEFT(J1298,FIND(",",J1298)-1),J1298)</f>
        <v>Movies</v>
      </c>
      <c r="N1298" s="7" t="n">
        <f aca="false">IF(B1298="Movie",IFERROR(VALUE(LEFT(I1298,FIND(" ",I1298)-1)),""),"")</f>
        <v>71</v>
      </c>
      <c r="O1298" s="7" t="str">
        <f aca="false">IF(B1298="TV Show",IFERROR(VALUE(LEFT(I1298,FIND(" ",I1298)-1)),""),"")</f>
        <v/>
      </c>
      <c r="P1298" s="7" t="n">
        <f aca="false">IF(K1298="","",K1298-G1298)</f>
        <v>1</v>
      </c>
    </row>
    <row r="1299" customFormat="false" ht="15" hidden="false" customHeight="false" outlineLevel="0" collapsed="false">
      <c r="A1299" s="7" t="n">
        <v>80196044</v>
      </c>
      <c r="B1299" s="7" t="s">
        <v>68</v>
      </c>
      <c r="C1299" s="7" t="s">
        <v>3031</v>
      </c>
      <c r="D1299" s="7" t="s">
        <v>3032</v>
      </c>
      <c r="E1299" s="7" t="s">
        <v>31</v>
      </c>
      <c r="F1299" s="7" t="s">
        <v>3006</v>
      </c>
      <c r="G1299" s="7" t="n">
        <v>2015</v>
      </c>
      <c r="H1299" s="7" t="s">
        <v>48</v>
      </c>
      <c r="I1299" s="7" t="s">
        <v>467</v>
      </c>
      <c r="J1299" s="7" t="s">
        <v>322</v>
      </c>
      <c r="K1299" s="7" t="n">
        <f aca="false">IFERROR(VALUE(RIGHT(TRIM(F1299),4)),"")</f>
        <v>2018</v>
      </c>
      <c r="L1299" s="7" t="str">
        <f aca="false">IF(TRIM(E1299)="","Unknown",IFERROR(LEFT(TRIM(E1299),FIND(",",TRIM(E1299))-1),TRIM(E1299)))</f>
        <v>France</v>
      </c>
      <c r="M1299" s="7" t="str">
        <f aca="false">IFERROR(LEFT(J1299,FIND(",",J1299)-1),J1299)</f>
        <v>Action &amp; Adventure</v>
      </c>
      <c r="N1299" s="7" t="n">
        <f aca="false">IF(B1299="Movie",IFERROR(VALUE(LEFT(I1299,FIND(" ",I1299)-1)),""),"")</f>
        <v>81</v>
      </c>
      <c r="O1299" s="7" t="str">
        <f aca="false">IF(B1299="TV Show",IFERROR(VALUE(LEFT(I1299,FIND(" ",I1299)-1)),""),"")</f>
        <v/>
      </c>
      <c r="P1299" s="7" t="n">
        <f aca="false">IF(K1299="","",K1299-G1299)</f>
        <v>3</v>
      </c>
    </row>
    <row r="1300" customFormat="false" ht="15" hidden="false" customHeight="false" outlineLevel="0" collapsed="false">
      <c r="A1300" s="7" t="n">
        <v>80122177</v>
      </c>
      <c r="B1300" s="7" t="s">
        <v>68</v>
      </c>
      <c r="C1300" s="7" t="s">
        <v>3033</v>
      </c>
      <c r="D1300" s="7" t="s">
        <v>3034</v>
      </c>
      <c r="E1300" s="7" t="s">
        <v>33</v>
      </c>
      <c r="F1300" s="7" t="s">
        <v>3006</v>
      </c>
      <c r="G1300" s="7" t="n">
        <v>2017</v>
      </c>
      <c r="H1300" s="7" t="s">
        <v>48</v>
      </c>
      <c r="I1300" s="7" t="s">
        <v>1405</v>
      </c>
      <c r="J1300" s="7" t="s">
        <v>304</v>
      </c>
      <c r="K1300" s="7" t="n">
        <f aca="false">IFERROR(VALUE(RIGHT(TRIM(F1300),4)),"")</f>
        <v>2018</v>
      </c>
      <c r="L1300" s="7" t="str">
        <f aca="false">IF(TRIM(E1300)="","Unknown",IFERROR(LEFT(TRIM(E1300),FIND(",",TRIM(E1300))-1),TRIM(E1300)))</f>
        <v>Spain</v>
      </c>
      <c r="M1300" s="7" t="str">
        <f aca="false">IFERROR(LEFT(J1300,FIND(",",J1300)-1),J1300)</f>
        <v>Dramas</v>
      </c>
      <c r="N1300" s="7" t="n">
        <f aca="false">IF(B1300="Movie",IFERROR(VALUE(LEFT(I1300,FIND(" ",I1300)-1)),""),"")</f>
        <v>115</v>
      </c>
      <c r="O1300" s="7" t="str">
        <f aca="false">IF(B1300="TV Show",IFERROR(VALUE(LEFT(I1300,FIND(" ",I1300)-1)),""),"")</f>
        <v/>
      </c>
      <c r="P1300" s="7" t="n">
        <f aca="false">IF(K1300="","",K1300-G1300)</f>
        <v>1</v>
      </c>
    </row>
    <row r="1301" customFormat="false" ht="15" hidden="false" customHeight="false" outlineLevel="0" collapsed="false">
      <c r="A1301" s="7" t="n">
        <v>80136925</v>
      </c>
      <c r="B1301" s="7" t="s">
        <v>68</v>
      </c>
      <c r="C1301" s="7" t="s">
        <v>3035</v>
      </c>
      <c r="D1301" s="7" t="s">
        <v>3036</v>
      </c>
      <c r="E1301" s="7" t="s">
        <v>27</v>
      </c>
      <c r="F1301" s="7" t="s">
        <v>3037</v>
      </c>
      <c r="G1301" s="7" t="n">
        <v>2016</v>
      </c>
      <c r="H1301" s="7" t="s">
        <v>49</v>
      </c>
      <c r="I1301" s="7" t="s">
        <v>197</v>
      </c>
      <c r="J1301" s="7" t="s">
        <v>367</v>
      </c>
      <c r="K1301" s="7" t="n">
        <f aca="false">IFERROR(VALUE(RIGHT(TRIM(F1301),4)),"")</f>
        <v>2017</v>
      </c>
      <c r="L1301" s="7" t="str">
        <f aca="false">IF(TRIM(E1301)="","Unknown",IFERROR(LEFT(TRIM(E1301),FIND(",",TRIM(E1301))-1),TRIM(E1301)))</f>
        <v>India</v>
      </c>
      <c r="M1301" s="7" t="str">
        <f aca="false">IFERROR(LEFT(J1301,FIND(",",J1301)-1),J1301)</f>
        <v>Action &amp; Adventure</v>
      </c>
      <c r="N1301" s="7" t="n">
        <f aca="false">IF(B1301="Movie",IFERROR(VALUE(LEFT(I1301,FIND(" ",I1301)-1)),""),"")</f>
        <v>142</v>
      </c>
      <c r="O1301" s="7" t="str">
        <f aca="false">IF(B1301="TV Show",IFERROR(VALUE(LEFT(I1301,FIND(" ",I1301)-1)),""),"")</f>
        <v/>
      </c>
      <c r="P1301" s="7" t="n">
        <f aca="false">IF(K1301="","",K1301-G1301)</f>
        <v>1</v>
      </c>
    </row>
    <row r="1302" customFormat="false" ht="15" hidden="false" customHeight="false" outlineLevel="0" collapsed="false">
      <c r="A1302" s="7" t="n">
        <v>80202454</v>
      </c>
      <c r="B1302" s="7" t="s">
        <v>78</v>
      </c>
      <c r="C1302" s="7" t="s">
        <v>3038</v>
      </c>
      <c r="E1302" s="7" t="s">
        <v>1178</v>
      </c>
      <c r="F1302" s="7" t="s">
        <v>3037</v>
      </c>
      <c r="G1302" s="7" t="n">
        <v>2017</v>
      </c>
      <c r="H1302" s="7" t="s">
        <v>55</v>
      </c>
      <c r="I1302" s="7" t="s">
        <v>82</v>
      </c>
      <c r="J1302" s="7" t="s">
        <v>44</v>
      </c>
      <c r="K1302" s="7" t="n">
        <f aca="false">IFERROR(VALUE(RIGHT(TRIM(F1302),4)),"")</f>
        <v>2017</v>
      </c>
      <c r="L1302" s="7" t="str">
        <f aca="false">IF(TRIM(E1302)="","Unknown",IFERROR(LEFT(TRIM(E1302),FIND(",",TRIM(E1302))-1),TRIM(E1302)))</f>
        <v>Malaysia</v>
      </c>
      <c r="M1302" s="7" t="str">
        <f aca="false">IFERROR(LEFT(J1302,FIND(",",J1302)-1),J1302)</f>
        <v>Kids' TV</v>
      </c>
      <c r="N1302" s="7" t="str">
        <f aca="false">IF(B1302="Movie",IFERROR(VALUE(LEFT(I1302,FIND(" ",I1302)-1)),""),"")</f>
        <v/>
      </c>
      <c r="O1302" s="7" t="n">
        <f aca="false">IF(B1302="TV Show",IFERROR(VALUE(LEFT(I1302,FIND(" ",I1302)-1)),""),"")</f>
        <v>1</v>
      </c>
      <c r="P1302" s="7" t="n">
        <f aca="false">IF(K1302="","",K1302-G1302)</f>
        <v>0</v>
      </c>
    </row>
    <row r="1303" customFormat="false" ht="15" hidden="false" customHeight="false" outlineLevel="0" collapsed="false">
      <c r="A1303" s="7" t="n">
        <v>70040076</v>
      </c>
      <c r="B1303" s="7" t="s">
        <v>68</v>
      </c>
      <c r="C1303" s="7" t="s">
        <v>3039</v>
      </c>
      <c r="D1303" s="7" t="s">
        <v>3040</v>
      </c>
      <c r="E1303" s="7" t="s">
        <v>27</v>
      </c>
      <c r="F1303" s="7" t="s">
        <v>3037</v>
      </c>
      <c r="G1303" s="7" t="n">
        <v>2005</v>
      </c>
      <c r="H1303" s="7" t="s">
        <v>49</v>
      </c>
      <c r="I1303" s="7" t="s">
        <v>1707</v>
      </c>
      <c r="J1303" s="7" t="s">
        <v>240</v>
      </c>
      <c r="K1303" s="7" t="n">
        <f aca="false">IFERROR(VALUE(RIGHT(TRIM(F1303),4)),"")</f>
        <v>2017</v>
      </c>
      <c r="L1303" s="7" t="str">
        <f aca="false">IF(TRIM(E1303)="","Unknown",IFERROR(LEFT(TRIM(E1303),FIND(",",TRIM(E1303))-1),TRIM(E1303)))</f>
        <v>India</v>
      </c>
      <c r="M1303" s="7" t="str">
        <f aca="false">IFERROR(LEFT(J1303,FIND(",",J1303)-1),J1303)</f>
        <v>Dramas</v>
      </c>
      <c r="N1303" s="7" t="n">
        <f aca="false">IF(B1303="Movie",IFERROR(VALUE(LEFT(I1303,FIND(" ",I1303)-1)),""),"")</f>
        <v>131</v>
      </c>
      <c r="O1303" s="7" t="str">
        <f aca="false">IF(B1303="TV Show",IFERROR(VALUE(LEFT(I1303,FIND(" ",I1303)-1)),""),"")</f>
        <v/>
      </c>
      <c r="P1303" s="7" t="n">
        <f aca="false">IF(K1303="","",K1303-G1303)</f>
        <v>12</v>
      </c>
    </row>
    <row r="1304" customFormat="false" ht="15" hidden="false" customHeight="false" outlineLevel="0" collapsed="false">
      <c r="A1304" s="7" t="n">
        <v>80009361</v>
      </c>
      <c r="B1304" s="7" t="s">
        <v>78</v>
      </c>
      <c r="C1304" s="7" t="s">
        <v>3041</v>
      </c>
      <c r="E1304" s="7" t="s">
        <v>30</v>
      </c>
      <c r="F1304" s="7" t="s">
        <v>3037</v>
      </c>
      <c r="G1304" s="7" t="n">
        <v>2014</v>
      </c>
      <c r="H1304" s="7" t="s">
        <v>53</v>
      </c>
      <c r="I1304" s="7" t="s">
        <v>82</v>
      </c>
      <c r="J1304" s="7" t="s">
        <v>3042</v>
      </c>
      <c r="K1304" s="7" t="n">
        <f aca="false">IFERROR(VALUE(RIGHT(TRIM(F1304),4)),"")</f>
        <v>2017</v>
      </c>
      <c r="L1304" s="7" t="str">
        <f aca="false">IF(TRIM(E1304)="","Unknown",IFERROR(LEFT(TRIM(E1304),FIND(",",TRIM(E1304))-1),TRIM(E1304)))</f>
        <v>Japan</v>
      </c>
      <c r="M1304" s="7" t="str">
        <f aca="false">IFERROR(LEFT(J1304,FIND(",",J1304)-1),J1304)</f>
        <v>Anime Series</v>
      </c>
      <c r="N1304" s="7" t="str">
        <f aca="false">IF(B1304="Movie",IFERROR(VALUE(LEFT(I1304,FIND(" ",I1304)-1)),""),"")</f>
        <v/>
      </c>
      <c r="O1304" s="7" t="n">
        <f aca="false">IF(B1304="TV Show",IFERROR(VALUE(LEFT(I1304,FIND(" ",I1304)-1)),""),"")</f>
        <v>1</v>
      </c>
      <c r="P1304" s="7" t="n">
        <f aca="false">IF(K1304="","",K1304-G1304)</f>
        <v>3</v>
      </c>
    </row>
    <row r="1305" customFormat="false" ht="15" hidden="false" customHeight="false" outlineLevel="0" collapsed="false">
      <c r="A1305" s="7" t="n">
        <v>80166471</v>
      </c>
      <c r="B1305" s="7" t="s">
        <v>78</v>
      </c>
      <c r="C1305" s="7" t="s">
        <v>3043</v>
      </c>
      <c r="E1305" s="7" t="s">
        <v>752</v>
      </c>
      <c r="F1305" s="7" t="s">
        <v>3037</v>
      </c>
      <c r="G1305" s="7" t="n">
        <v>2015</v>
      </c>
      <c r="H1305" s="7" t="s">
        <v>48</v>
      </c>
      <c r="I1305" s="7" t="s">
        <v>82</v>
      </c>
      <c r="J1305" s="7" t="s">
        <v>402</v>
      </c>
      <c r="K1305" s="7" t="n">
        <f aca="false">IFERROR(VALUE(RIGHT(TRIM(F1305),4)),"")</f>
        <v>2017</v>
      </c>
      <c r="L1305" s="7" t="str">
        <f aca="false">IF(TRIM(E1305)="","Unknown",IFERROR(LEFT(TRIM(E1305),FIND(",",TRIM(E1305))-1),TRIM(E1305)))</f>
        <v>Russia</v>
      </c>
      <c r="M1305" s="7" t="str">
        <f aca="false">IFERROR(LEFT(J1305,FIND(",",J1305)-1),J1305)</f>
        <v>Crime TV Shows</v>
      </c>
      <c r="N1305" s="7" t="str">
        <f aca="false">IF(B1305="Movie",IFERROR(VALUE(LEFT(I1305,FIND(" ",I1305)-1)),""),"")</f>
        <v/>
      </c>
      <c r="O1305" s="7" t="n">
        <f aca="false">IF(B1305="TV Show",IFERROR(VALUE(LEFT(I1305,FIND(" ",I1305)-1)),""),"")</f>
        <v>1</v>
      </c>
      <c r="P1305" s="7" t="n">
        <f aca="false">IF(K1305="","",K1305-G1305)</f>
        <v>2</v>
      </c>
    </row>
    <row r="1306" customFormat="false" ht="15" hidden="false" customHeight="false" outlineLevel="0" collapsed="false">
      <c r="A1306" s="7" t="n">
        <v>80119125</v>
      </c>
      <c r="B1306" s="7" t="s">
        <v>78</v>
      </c>
      <c r="C1306" s="7" t="s">
        <v>3044</v>
      </c>
      <c r="E1306" s="7" t="s">
        <v>26</v>
      </c>
      <c r="F1306" s="7" t="s">
        <v>3045</v>
      </c>
      <c r="G1306" s="7" t="n">
        <v>2016</v>
      </c>
      <c r="H1306" s="7" t="s">
        <v>49</v>
      </c>
      <c r="I1306" s="7" t="s">
        <v>82</v>
      </c>
      <c r="J1306" s="7" t="s">
        <v>289</v>
      </c>
      <c r="K1306" s="7" t="n">
        <f aca="false">IFERROR(VALUE(RIGHT(TRIM(F1306),4)),"")</f>
        <v>2016</v>
      </c>
      <c r="L1306" s="7" t="str">
        <f aca="false">IF(TRIM(E1306)="","Unknown",IFERROR(LEFT(TRIM(E1306),FIND(",",TRIM(E1306))-1),TRIM(E1306)))</f>
        <v>United States</v>
      </c>
      <c r="M1306" s="7" t="str">
        <f aca="false">IFERROR(LEFT(J1306,FIND(",",J1306)-1),J1306)</f>
        <v>TV Comedies</v>
      </c>
      <c r="N1306" s="7" t="str">
        <f aca="false">IF(B1306="Movie",IFERROR(VALUE(LEFT(I1306,FIND(" ",I1306)-1)),""),"")</f>
        <v/>
      </c>
      <c r="O1306" s="7" t="n">
        <f aca="false">IF(B1306="TV Show",IFERROR(VALUE(LEFT(I1306,FIND(" ",I1306)-1)),""),"")</f>
        <v>1</v>
      </c>
      <c r="P1306" s="7" t="n">
        <f aca="false">IF(K1306="","",K1306-G1306)</f>
        <v>0</v>
      </c>
    </row>
    <row r="1307" customFormat="false" ht="15" hidden="false" customHeight="false" outlineLevel="0" collapsed="false">
      <c r="A1307" s="7" t="n">
        <v>80117532</v>
      </c>
      <c r="B1307" s="7" t="s">
        <v>68</v>
      </c>
      <c r="C1307" s="7" t="s">
        <v>3046</v>
      </c>
      <c r="D1307" s="7" t="s">
        <v>3047</v>
      </c>
      <c r="E1307" s="7" t="s">
        <v>1081</v>
      </c>
      <c r="F1307" s="7" t="s">
        <v>3045</v>
      </c>
      <c r="G1307" s="7" t="n">
        <v>2016</v>
      </c>
      <c r="H1307" s="7" t="s">
        <v>48</v>
      </c>
      <c r="I1307" s="7" t="s">
        <v>628</v>
      </c>
      <c r="J1307" s="7" t="s">
        <v>45</v>
      </c>
      <c r="K1307" s="7" t="n">
        <f aca="false">IFERROR(VALUE(RIGHT(TRIM(F1307),4)),"")</f>
        <v>2016</v>
      </c>
      <c r="L1307" s="7" t="str">
        <f aca="false">IF(TRIM(E1307)="","Unknown",IFERROR(LEFT(TRIM(E1307),FIND(",",TRIM(E1307))-1),TRIM(E1307)))</f>
        <v>Germany</v>
      </c>
      <c r="M1307" s="7" t="str">
        <f aca="false">IFERROR(LEFT(J1307,FIND(",",J1307)-1),J1307)</f>
        <v>Stand-Up Comedy</v>
      </c>
      <c r="N1307" s="7" t="n">
        <f aca="false">IF(B1307="Movie",IFERROR(VALUE(LEFT(I1307,FIND(" ",I1307)-1)),""),"")</f>
        <v>69</v>
      </c>
      <c r="O1307" s="7" t="str">
        <f aca="false">IF(B1307="TV Show",IFERROR(VALUE(LEFT(I1307,FIND(" ",I1307)-1)),""),"")</f>
        <v/>
      </c>
      <c r="P1307" s="7" t="n">
        <f aca="false">IF(K1307="","",K1307-G1307)</f>
        <v>0</v>
      </c>
    </row>
    <row r="1308" customFormat="false" ht="15" hidden="false" customHeight="false" outlineLevel="0" collapsed="false">
      <c r="A1308" s="7" t="n">
        <v>70260514</v>
      </c>
      <c r="B1308" s="7" t="s">
        <v>68</v>
      </c>
      <c r="C1308" s="7" t="s">
        <v>3048</v>
      </c>
      <c r="D1308" s="7" t="s">
        <v>3049</v>
      </c>
      <c r="E1308" s="7" t="s">
        <v>27</v>
      </c>
      <c r="F1308" s="7" t="s">
        <v>3045</v>
      </c>
      <c r="G1308" s="7" t="n">
        <v>2012</v>
      </c>
      <c r="H1308" s="7" t="s">
        <v>49</v>
      </c>
      <c r="I1308" s="7" t="s">
        <v>162</v>
      </c>
      <c r="J1308" s="7" t="s">
        <v>188</v>
      </c>
      <c r="K1308" s="7" t="n">
        <f aca="false">IFERROR(VALUE(RIGHT(TRIM(F1308),4)),"")</f>
        <v>2016</v>
      </c>
      <c r="L1308" s="7" t="str">
        <f aca="false">IF(TRIM(E1308)="","Unknown",IFERROR(LEFT(TRIM(E1308),FIND(",",TRIM(E1308))-1),TRIM(E1308)))</f>
        <v>India</v>
      </c>
      <c r="M1308" s="7" t="str">
        <f aca="false">IFERROR(LEFT(J1308,FIND(",",J1308)-1),J1308)</f>
        <v>Dramas</v>
      </c>
      <c r="N1308" s="7" t="n">
        <f aca="false">IF(B1308="Movie",IFERROR(VALUE(LEFT(I1308,FIND(" ",I1308)-1)),""),"")</f>
        <v>77</v>
      </c>
      <c r="O1308" s="7" t="str">
        <f aca="false">IF(B1308="TV Show",IFERROR(VALUE(LEFT(I1308,FIND(" ",I1308)-1)),""),"")</f>
        <v/>
      </c>
      <c r="P1308" s="7" t="n">
        <f aca="false">IF(K1308="","",K1308-G1308)</f>
        <v>4</v>
      </c>
    </row>
    <row r="1309" customFormat="false" ht="15" hidden="false" customHeight="false" outlineLevel="0" collapsed="false">
      <c r="A1309" s="7" t="n">
        <v>80127995</v>
      </c>
      <c r="B1309" s="7" t="s">
        <v>78</v>
      </c>
      <c r="C1309" s="7" t="s">
        <v>3050</v>
      </c>
      <c r="D1309" s="7" t="s">
        <v>2823</v>
      </c>
      <c r="E1309" s="7" t="s">
        <v>26</v>
      </c>
      <c r="F1309" s="7" t="s">
        <v>3045</v>
      </c>
      <c r="G1309" s="7" t="n">
        <v>2013</v>
      </c>
      <c r="H1309" s="7" t="s">
        <v>50</v>
      </c>
      <c r="I1309" s="7" t="s">
        <v>82</v>
      </c>
      <c r="J1309" s="7" t="s">
        <v>164</v>
      </c>
      <c r="K1309" s="7" t="n">
        <f aca="false">IFERROR(VALUE(RIGHT(TRIM(F1309),4)),"")</f>
        <v>2016</v>
      </c>
      <c r="L1309" s="7" t="str">
        <f aca="false">IF(TRIM(E1309)="","Unknown",IFERROR(LEFT(TRIM(E1309),FIND(",",TRIM(E1309))-1),TRIM(E1309)))</f>
        <v>United States</v>
      </c>
      <c r="M1309" s="7" t="str">
        <f aca="false">IFERROR(LEFT(J1309,FIND(",",J1309)-1),J1309)</f>
        <v>Docuseries</v>
      </c>
      <c r="N1309" s="7" t="str">
        <f aca="false">IF(B1309="Movie",IFERROR(VALUE(LEFT(I1309,FIND(" ",I1309)-1)),""),"")</f>
        <v/>
      </c>
      <c r="O1309" s="7" t="n">
        <f aca="false">IF(B1309="TV Show",IFERROR(VALUE(LEFT(I1309,FIND(" ",I1309)-1)),""),"")</f>
        <v>1</v>
      </c>
      <c r="P1309" s="7" t="n">
        <f aca="false">IF(K1309="","",K1309-G1309)</f>
        <v>3</v>
      </c>
    </row>
    <row r="1310" customFormat="false" ht="15" hidden="false" customHeight="false" outlineLevel="0" collapsed="false">
      <c r="A1310" s="7" t="n">
        <v>81156627</v>
      </c>
      <c r="B1310" s="7" t="s">
        <v>68</v>
      </c>
      <c r="C1310" s="7" t="s">
        <v>3051</v>
      </c>
      <c r="D1310" s="7" t="s">
        <v>3052</v>
      </c>
      <c r="E1310" s="7" t="s">
        <v>26</v>
      </c>
      <c r="F1310" s="7" t="s">
        <v>3053</v>
      </c>
      <c r="G1310" s="7" t="n">
        <v>2019</v>
      </c>
      <c r="H1310" s="7" t="s">
        <v>48</v>
      </c>
      <c r="I1310" s="7" t="s">
        <v>264</v>
      </c>
      <c r="J1310" s="7" t="s">
        <v>509</v>
      </c>
      <c r="K1310" s="7" t="n">
        <f aca="false">IFERROR(VALUE(RIGHT(TRIM(F1310),4)),"")</f>
        <v>2019</v>
      </c>
      <c r="L1310" s="7" t="str">
        <f aca="false">IF(TRIM(E1310)="","Unknown",IFERROR(LEFT(TRIM(E1310),FIND(",",TRIM(E1310))-1),TRIM(E1310)))</f>
        <v>United States</v>
      </c>
      <c r="M1310" s="7" t="str">
        <f aca="false">IFERROR(LEFT(J1310,FIND(",",J1310)-1),J1310)</f>
        <v>Documentaries</v>
      </c>
      <c r="N1310" s="7" t="n">
        <f aca="false">IF(B1310="Movie",IFERROR(VALUE(LEFT(I1310,FIND(" ",I1310)-1)),""),"")</f>
        <v>88</v>
      </c>
      <c r="O1310" s="7" t="str">
        <f aca="false">IF(B1310="TV Show",IFERROR(VALUE(LEFT(I1310,FIND(" ",I1310)-1)),""),"")</f>
        <v/>
      </c>
      <c r="P1310" s="7" t="n">
        <f aca="false">IF(K1310="","",K1310-G1310)</f>
        <v>0</v>
      </c>
    </row>
    <row r="1311" customFormat="false" ht="15" hidden="false" customHeight="false" outlineLevel="0" collapsed="false">
      <c r="A1311" s="7" t="n">
        <v>81096745</v>
      </c>
      <c r="B1311" s="7" t="s">
        <v>68</v>
      </c>
      <c r="C1311" s="7" t="s">
        <v>3054</v>
      </c>
      <c r="D1311" s="7" t="s">
        <v>3055</v>
      </c>
      <c r="E1311" s="7" t="s">
        <v>31</v>
      </c>
      <c r="F1311" s="7" t="s">
        <v>3053</v>
      </c>
      <c r="G1311" s="7" t="n">
        <v>2019</v>
      </c>
      <c r="H1311" s="7" t="s">
        <v>48</v>
      </c>
      <c r="I1311" s="7" t="s">
        <v>1028</v>
      </c>
      <c r="J1311" s="7" t="s">
        <v>45</v>
      </c>
      <c r="K1311" s="7" t="n">
        <f aca="false">IFERROR(VALUE(RIGHT(TRIM(F1311),4)),"")</f>
        <v>2019</v>
      </c>
      <c r="L1311" s="7" t="str">
        <f aca="false">IF(TRIM(E1311)="","Unknown",IFERROR(LEFT(TRIM(E1311),FIND(",",TRIM(E1311))-1),TRIM(E1311)))</f>
        <v>France</v>
      </c>
      <c r="M1311" s="7" t="str">
        <f aca="false">IFERROR(LEFT(J1311,FIND(",",J1311)-1),J1311)</f>
        <v>Stand-Up Comedy</v>
      </c>
      <c r="N1311" s="7" t="n">
        <f aca="false">IF(B1311="Movie",IFERROR(VALUE(LEFT(I1311,FIND(" ",I1311)-1)),""),"")</f>
        <v>54</v>
      </c>
      <c r="O1311" s="7" t="str">
        <f aca="false">IF(B1311="TV Show",IFERROR(VALUE(LEFT(I1311,FIND(" ",I1311)-1)),""),"")</f>
        <v/>
      </c>
      <c r="P1311" s="7" t="n">
        <f aca="false">IF(K1311="","",K1311-G1311)</f>
        <v>0</v>
      </c>
    </row>
    <row r="1312" customFormat="false" ht="15" hidden="false" customHeight="false" outlineLevel="0" collapsed="false">
      <c r="A1312" s="7" t="n">
        <v>81163776</v>
      </c>
      <c r="B1312" s="7" t="s">
        <v>78</v>
      </c>
      <c r="C1312" s="7" t="s">
        <v>3056</v>
      </c>
      <c r="E1312" s="7" t="s">
        <v>167</v>
      </c>
      <c r="F1312" s="7" t="s">
        <v>3053</v>
      </c>
      <c r="G1312" s="7" t="n">
        <v>2019</v>
      </c>
      <c r="H1312" s="7" t="s">
        <v>49</v>
      </c>
      <c r="I1312" s="7" t="s">
        <v>82</v>
      </c>
      <c r="J1312" s="7" t="s">
        <v>158</v>
      </c>
      <c r="K1312" s="7" t="n">
        <f aca="false">IFERROR(VALUE(RIGHT(TRIM(F1312),4)),"")</f>
        <v>2019</v>
      </c>
      <c r="L1312" s="7" t="str">
        <f aca="false">IF(TRIM(E1312)="","Unknown",IFERROR(LEFT(TRIM(E1312),FIND(",",TRIM(E1312))-1),TRIM(E1312)))</f>
        <v>Thailand</v>
      </c>
      <c r="M1312" s="7" t="str">
        <f aca="false">IFERROR(LEFT(J1312,FIND(",",J1312)-1),J1312)</f>
        <v>International TV Shows</v>
      </c>
      <c r="N1312" s="7" t="str">
        <f aca="false">IF(B1312="Movie",IFERROR(VALUE(LEFT(I1312,FIND(" ",I1312)-1)),""),"")</f>
        <v/>
      </c>
      <c r="O1312" s="7" t="n">
        <f aca="false">IF(B1312="TV Show",IFERROR(VALUE(LEFT(I1312,FIND(" ",I1312)-1)),""),"")</f>
        <v>1</v>
      </c>
      <c r="P1312" s="7" t="n">
        <f aca="false">IF(K1312="","",K1312-G1312)</f>
        <v>0</v>
      </c>
    </row>
    <row r="1313" customFormat="false" ht="15" hidden="false" customHeight="false" outlineLevel="0" collapsed="false">
      <c r="A1313" s="7" t="n">
        <v>80191804</v>
      </c>
      <c r="B1313" s="7" t="s">
        <v>68</v>
      </c>
      <c r="C1313" s="7" t="s">
        <v>3057</v>
      </c>
      <c r="D1313" s="7" t="s">
        <v>2518</v>
      </c>
      <c r="E1313" s="7" t="s">
        <v>26</v>
      </c>
      <c r="F1313" s="7" t="s">
        <v>3058</v>
      </c>
      <c r="G1313" s="7" t="n">
        <v>2017</v>
      </c>
      <c r="H1313" s="7" t="s">
        <v>48</v>
      </c>
      <c r="I1313" s="7" t="s">
        <v>1317</v>
      </c>
      <c r="J1313" s="7" t="s">
        <v>45</v>
      </c>
      <c r="K1313" s="7" t="n">
        <f aca="false">IFERROR(VALUE(RIGHT(TRIM(F1313),4)),"")</f>
        <v>2017</v>
      </c>
      <c r="L1313" s="7" t="str">
        <f aca="false">IF(TRIM(E1313)="","Unknown",IFERROR(LEFT(TRIM(E1313),FIND(",",TRIM(E1313))-1),TRIM(E1313)))</f>
        <v>United States</v>
      </c>
      <c r="M1313" s="7" t="str">
        <f aca="false">IFERROR(LEFT(J1313,FIND(",",J1313)-1),J1313)</f>
        <v>Stand-Up Comedy</v>
      </c>
      <c r="N1313" s="7" t="n">
        <f aca="false">IF(B1313="Movie",IFERROR(VALUE(LEFT(I1313,FIND(" ",I1313)-1)),""),"")</f>
        <v>66</v>
      </c>
      <c r="O1313" s="7" t="str">
        <f aca="false">IF(B1313="TV Show",IFERROR(VALUE(LEFT(I1313,FIND(" ",I1313)-1)),""),"")</f>
        <v/>
      </c>
      <c r="P1313" s="7" t="n">
        <f aca="false">IF(K1313="","",K1313-G1313)</f>
        <v>0</v>
      </c>
    </row>
    <row r="1314" customFormat="false" ht="15" hidden="false" customHeight="false" outlineLevel="0" collapsed="false">
      <c r="A1314" s="7" t="n">
        <v>80191109</v>
      </c>
      <c r="B1314" s="7" t="s">
        <v>68</v>
      </c>
      <c r="C1314" s="7" t="s">
        <v>3059</v>
      </c>
      <c r="D1314" s="7" t="s">
        <v>707</v>
      </c>
      <c r="E1314" s="7" t="s">
        <v>26</v>
      </c>
      <c r="F1314" s="7" t="s">
        <v>3058</v>
      </c>
      <c r="G1314" s="7" t="n">
        <v>2017</v>
      </c>
      <c r="H1314" s="7" t="s">
        <v>48</v>
      </c>
      <c r="I1314" s="7" t="s">
        <v>264</v>
      </c>
      <c r="J1314" s="7" t="s">
        <v>40</v>
      </c>
      <c r="K1314" s="7" t="n">
        <f aca="false">IFERROR(VALUE(RIGHT(TRIM(F1314),4)),"")</f>
        <v>2017</v>
      </c>
      <c r="L1314" s="7" t="str">
        <f aca="false">IF(TRIM(E1314)="","Unknown",IFERROR(LEFT(TRIM(E1314),FIND(",",TRIM(E1314))-1),TRIM(E1314)))</f>
        <v>United States</v>
      </c>
      <c r="M1314" s="7" t="str">
        <f aca="false">IFERROR(LEFT(J1314,FIND(",",J1314)-1),J1314)</f>
        <v>Action &amp; Adventure</v>
      </c>
      <c r="N1314" s="7" t="n">
        <f aca="false">IF(B1314="Movie",IFERROR(VALUE(LEFT(I1314,FIND(" ",I1314)-1)),""),"")</f>
        <v>88</v>
      </c>
      <c r="O1314" s="7" t="str">
        <f aca="false">IF(B1314="TV Show",IFERROR(VALUE(LEFT(I1314,FIND(" ",I1314)-1)),""),"")</f>
        <v/>
      </c>
      <c r="P1314" s="7" t="n">
        <f aca="false">IF(K1314="","",K1314-G1314)</f>
        <v>0</v>
      </c>
    </row>
    <row r="1315" customFormat="false" ht="15" hidden="false" customHeight="false" outlineLevel="0" collapsed="false">
      <c r="A1315" s="7" t="n">
        <v>80004534</v>
      </c>
      <c r="B1315" s="7" t="s">
        <v>68</v>
      </c>
      <c r="C1315" s="7" t="s">
        <v>3060</v>
      </c>
      <c r="D1315" s="7" t="s">
        <v>3061</v>
      </c>
      <c r="E1315" s="7" t="s">
        <v>26</v>
      </c>
      <c r="F1315" s="7" t="s">
        <v>3062</v>
      </c>
      <c r="G1315" s="7" t="n">
        <v>2014</v>
      </c>
      <c r="H1315" s="7" t="s">
        <v>53</v>
      </c>
      <c r="I1315" s="7" t="s">
        <v>421</v>
      </c>
      <c r="J1315" s="7" t="s">
        <v>45</v>
      </c>
      <c r="K1315" s="7" t="n">
        <f aca="false">IFERROR(VALUE(RIGHT(TRIM(F1315),4)),"")</f>
        <v>2014</v>
      </c>
      <c r="L1315" s="7" t="str">
        <f aca="false">IF(TRIM(E1315)="","Unknown",IFERROR(LEFT(TRIM(E1315),FIND(",",TRIM(E1315))-1),TRIM(E1315)))</f>
        <v>United States</v>
      </c>
      <c r="M1315" s="7" t="str">
        <f aca="false">IFERROR(LEFT(J1315,FIND(",",J1315)-1),J1315)</f>
        <v>Stand-Up Comedy</v>
      </c>
      <c r="N1315" s="7" t="n">
        <f aca="false">IF(B1315="Movie",IFERROR(VALUE(LEFT(I1315,FIND(" ",I1315)-1)),""),"")</f>
        <v>75</v>
      </c>
      <c r="O1315" s="7" t="str">
        <f aca="false">IF(B1315="TV Show",IFERROR(VALUE(LEFT(I1315,FIND(" ",I1315)-1)),""),"")</f>
        <v/>
      </c>
      <c r="P1315" s="7" t="n">
        <f aca="false">IF(K1315="","",K1315-G1315)</f>
        <v>0</v>
      </c>
    </row>
    <row r="1316" customFormat="false" ht="15" hidden="false" customHeight="false" outlineLevel="0" collapsed="false">
      <c r="A1316" s="7" t="n">
        <v>70213466</v>
      </c>
      <c r="B1316" s="7" t="s">
        <v>68</v>
      </c>
      <c r="C1316" s="7" t="s">
        <v>3063</v>
      </c>
      <c r="D1316" s="7" t="s">
        <v>3064</v>
      </c>
      <c r="E1316" s="7" t="s">
        <v>445</v>
      </c>
      <c r="F1316" s="7" t="s">
        <v>3065</v>
      </c>
      <c r="G1316" s="7" t="n">
        <v>2012</v>
      </c>
      <c r="H1316" s="7" t="s">
        <v>51</v>
      </c>
      <c r="I1316" s="7" t="s">
        <v>613</v>
      </c>
      <c r="J1316" s="7" t="s">
        <v>38</v>
      </c>
      <c r="K1316" s="7" t="n">
        <f aca="false">IFERROR(VALUE(RIGHT(TRIM(F1316),4)),"")</f>
        <v>2012</v>
      </c>
      <c r="L1316" s="7" t="str">
        <f aca="false">IF(TRIM(E1316)="","Unknown",IFERROR(LEFT(TRIM(E1316),FIND(",",TRIM(E1316))-1),TRIM(E1316)))</f>
        <v>United States</v>
      </c>
      <c r="M1316" s="7" t="str">
        <f aca="false">IFERROR(LEFT(J1316,FIND(",",J1316)-1),J1316)</f>
        <v>Comedies</v>
      </c>
      <c r="N1316" s="7" t="n">
        <f aca="false">IF(B1316="Movie",IFERROR(VALUE(LEFT(I1316,FIND(" ",I1316)-1)),""),"")</f>
        <v>84</v>
      </c>
      <c r="O1316" s="7" t="str">
        <f aca="false">IF(B1316="TV Show",IFERROR(VALUE(LEFT(I1316,FIND(" ",I1316)-1)),""),"")</f>
        <v/>
      </c>
      <c r="P1316" s="7" t="n">
        <f aca="false">IF(K1316="","",K1316-G1316)</f>
        <v>0</v>
      </c>
    </row>
    <row r="1317" customFormat="false" ht="15" hidden="false" customHeight="false" outlineLevel="0" collapsed="false">
      <c r="A1317" s="7" t="n">
        <v>81034946</v>
      </c>
      <c r="B1317" s="7" t="s">
        <v>78</v>
      </c>
      <c r="C1317" s="7" t="s">
        <v>3066</v>
      </c>
      <c r="E1317" s="7" t="s">
        <v>3067</v>
      </c>
      <c r="F1317" s="7" t="s">
        <v>3068</v>
      </c>
      <c r="G1317" s="7" t="n">
        <v>2020</v>
      </c>
      <c r="H1317" s="7" t="s">
        <v>48</v>
      </c>
      <c r="I1317" s="7" t="s">
        <v>82</v>
      </c>
      <c r="J1317" s="7" t="s">
        <v>3069</v>
      </c>
      <c r="K1317" s="7" t="n">
        <f aca="false">IFERROR(VALUE(RIGHT(TRIM(F1317),4)),"")</f>
        <v>2019</v>
      </c>
      <c r="L1317" s="7" t="str">
        <f aca="false">IF(TRIM(E1317)="","Unknown",IFERROR(LEFT(TRIM(E1317),FIND(",",TRIM(E1317))-1),TRIM(E1317)))</f>
        <v>Argentina</v>
      </c>
      <c r="M1317" s="7" t="str">
        <f aca="false">IFERROR(LEFT(J1317,FIND(",",J1317)-1),J1317)</f>
        <v>Docuseries</v>
      </c>
      <c r="N1317" s="7" t="str">
        <f aca="false">IF(B1317="Movie",IFERROR(VALUE(LEFT(I1317,FIND(" ",I1317)-1)),""),"")</f>
        <v/>
      </c>
      <c r="O1317" s="7" t="n">
        <f aca="false">IF(B1317="TV Show",IFERROR(VALUE(LEFT(I1317,FIND(" ",I1317)-1)),""),"")</f>
        <v>1</v>
      </c>
      <c r="P1317" s="7" t="n">
        <f aca="false">IF(K1317="","",K1317-G1317)</f>
        <v>-1</v>
      </c>
    </row>
    <row r="1318" customFormat="false" ht="15" hidden="false" customHeight="false" outlineLevel="0" collapsed="false">
      <c r="A1318" s="7" t="n">
        <v>80222787</v>
      </c>
      <c r="B1318" s="7" t="s">
        <v>68</v>
      </c>
      <c r="C1318" s="7" t="s">
        <v>3070</v>
      </c>
      <c r="D1318" s="7" t="s">
        <v>3071</v>
      </c>
      <c r="E1318" s="7" t="s">
        <v>1269</v>
      </c>
      <c r="F1318" s="7" t="s">
        <v>3072</v>
      </c>
      <c r="G1318" s="7" t="n">
        <v>2018</v>
      </c>
      <c r="H1318" s="7" t="s">
        <v>48</v>
      </c>
      <c r="I1318" s="7" t="s">
        <v>261</v>
      </c>
      <c r="J1318" s="7" t="s">
        <v>322</v>
      </c>
      <c r="K1318" s="7" t="n">
        <f aca="false">IFERROR(VALUE(RIGHT(TRIM(F1318),4)),"")</f>
        <v>2018</v>
      </c>
      <c r="L1318" s="7" t="str">
        <f aca="false">IF(TRIM(E1318)="","Unknown",IFERROR(LEFT(TRIM(E1318),FIND(",",TRIM(E1318))-1),TRIM(E1318)))</f>
        <v>Philippines</v>
      </c>
      <c r="M1318" s="7" t="str">
        <f aca="false">IFERROR(LEFT(J1318,FIND(",",J1318)-1),J1318)</f>
        <v>Action &amp; Adventure</v>
      </c>
      <c r="N1318" s="7" t="n">
        <f aca="false">IF(B1318="Movie",IFERROR(VALUE(LEFT(I1318,FIND(" ",I1318)-1)),""),"")</f>
        <v>128</v>
      </c>
      <c r="O1318" s="7" t="str">
        <f aca="false">IF(B1318="TV Show",IFERROR(VALUE(LEFT(I1318,FIND(" ",I1318)-1)),""),"")</f>
        <v/>
      </c>
      <c r="P1318" s="7" t="n">
        <f aca="false">IF(K1318="","",K1318-G1318)</f>
        <v>0</v>
      </c>
    </row>
    <row r="1319" customFormat="false" ht="15" hidden="false" customHeight="false" outlineLevel="0" collapsed="false">
      <c r="A1319" s="7" t="n">
        <v>80244848</v>
      </c>
      <c r="B1319" s="7" t="s">
        <v>68</v>
      </c>
      <c r="C1319" s="7" t="s">
        <v>3073</v>
      </c>
      <c r="D1319" s="7" t="s">
        <v>1897</v>
      </c>
      <c r="F1319" s="7" t="s">
        <v>3072</v>
      </c>
      <c r="G1319" s="7" t="n">
        <v>2018</v>
      </c>
      <c r="H1319" s="7" t="s">
        <v>49</v>
      </c>
      <c r="I1319" s="7" t="s">
        <v>311</v>
      </c>
      <c r="J1319" s="7" t="s">
        <v>1927</v>
      </c>
      <c r="K1319" s="7" t="n">
        <f aca="false">IFERROR(VALUE(RIGHT(TRIM(F1319),4)),"")</f>
        <v>2018</v>
      </c>
      <c r="L1319" s="7" t="str">
        <f aca="false">IF(TRIM(E1319)="","Unknown",IFERROR(LEFT(TRIM(E1319),FIND(",",TRIM(E1319))-1),TRIM(E1319)))</f>
        <v>Unknown</v>
      </c>
      <c r="M1319" s="7" t="str">
        <f aca="false">IFERROR(LEFT(J1319,FIND(",",J1319)-1),J1319)</f>
        <v>Music &amp; Musicals</v>
      </c>
      <c r="N1319" s="7" t="n">
        <f aca="false">IF(B1319="Movie",IFERROR(VALUE(LEFT(I1319,FIND(" ",I1319)-1)),""),"")</f>
        <v>92</v>
      </c>
      <c r="O1319" s="7" t="str">
        <f aca="false">IF(B1319="TV Show",IFERROR(VALUE(LEFT(I1319,FIND(" ",I1319)-1)),""),"")</f>
        <v/>
      </c>
      <c r="P1319" s="7" t="n">
        <f aca="false">IF(K1319="","",K1319-G1319)</f>
        <v>0</v>
      </c>
    </row>
    <row r="1320" customFormat="false" ht="15" hidden="false" customHeight="false" outlineLevel="0" collapsed="false">
      <c r="A1320" s="7" t="n">
        <v>80193978</v>
      </c>
      <c r="B1320" s="7" t="s">
        <v>78</v>
      </c>
      <c r="C1320" s="7" t="s">
        <v>3074</v>
      </c>
      <c r="E1320" s="7" t="s">
        <v>3075</v>
      </c>
      <c r="F1320" s="7" t="s">
        <v>3072</v>
      </c>
      <c r="G1320" s="7" t="n">
        <v>2018</v>
      </c>
      <c r="H1320" s="7" t="s">
        <v>48</v>
      </c>
      <c r="I1320" s="7" t="s">
        <v>82</v>
      </c>
      <c r="J1320" s="7" t="s">
        <v>402</v>
      </c>
      <c r="K1320" s="7" t="n">
        <f aca="false">IFERROR(VALUE(RIGHT(TRIM(F1320),4)),"")</f>
        <v>2018</v>
      </c>
      <c r="L1320" s="7" t="str">
        <f aca="false">IF(TRIM(E1320)="","Unknown",IFERROR(LEFT(TRIM(E1320),FIND(",",TRIM(E1320))-1),TRIM(E1320)))</f>
        <v>Denmark</v>
      </c>
      <c r="M1320" s="7" t="str">
        <f aca="false">IFERROR(LEFT(J1320,FIND(",",J1320)-1),J1320)</f>
        <v>Crime TV Shows</v>
      </c>
      <c r="N1320" s="7" t="str">
        <f aca="false">IF(B1320="Movie",IFERROR(VALUE(LEFT(I1320,FIND(" ",I1320)-1)),""),"")</f>
        <v/>
      </c>
      <c r="O1320" s="7" t="n">
        <f aca="false">IF(B1320="TV Show",IFERROR(VALUE(LEFT(I1320,FIND(" ",I1320)-1)),""),"")</f>
        <v>1</v>
      </c>
      <c r="P1320" s="7" t="n">
        <f aca="false">IF(K1320="","",K1320-G1320)</f>
        <v>0</v>
      </c>
    </row>
    <row r="1321" customFormat="false" ht="15" hidden="false" customHeight="false" outlineLevel="0" collapsed="false">
      <c r="A1321" s="7" t="n">
        <v>80147403</v>
      </c>
      <c r="B1321" s="7" t="s">
        <v>68</v>
      </c>
      <c r="C1321" s="7" t="s">
        <v>3076</v>
      </c>
      <c r="D1321" s="7" t="s">
        <v>3077</v>
      </c>
      <c r="E1321" s="7" t="s">
        <v>26</v>
      </c>
      <c r="F1321" s="7" t="s">
        <v>3078</v>
      </c>
      <c r="G1321" s="7" t="n">
        <v>2016</v>
      </c>
      <c r="H1321" s="7" t="s">
        <v>50</v>
      </c>
      <c r="I1321" s="7" t="s">
        <v>87</v>
      </c>
      <c r="J1321" s="7" t="s">
        <v>509</v>
      </c>
      <c r="K1321" s="7" t="n">
        <f aca="false">IFERROR(VALUE(RIGHT(TRIM(F1321),4)),"")</f>
        <v>2017</v>
      </c>
      <c r="L1321" s="7" t="str">
        <f aca="false">IF(TRIM(E1321)="","Unknown",IFERROR(LEFT(TRIM(E1321),FIND(",",TRIM(E1321))-1),TRIM(E1321)))</f>
        <v>United States</v>
      </c>
      <c r="M1321" s="7" t="str">
        <f aca="false">IFERROR(LEFT(J1321,FIND(",",J1321)-1),J1321)</f>
        <v>Documentaries</v>
      </c>
      <c r="N1321" s="7" t="n">
        <f aca="false">IF(B1321="Movie",IFERROR(VALUE(LEFT(I1321,FIND(" ",I1321)-1)),""),"")</f>
        <v>99</v>
      </c>
      <c r="O1321" s="7" t="str">
        <f aca="false">IF(B1321="TV Show",IFERROR(VALUE(LEFT(I1321,FIND(" ",I1321)-1)),""),"")</f>
        <v/>
      </c>
      <c r="P1321" s="7" t="n">
        <f aca="false">IF(K1321="","",K1321-G1321)</f>
        <v>1</v>
      </c>
    </row>
    <row r="1322" customFormat="false" ht="15" hidden="false" customHeight="false" outlineLevel="0" collapsed="false">
      <c r="A1322" s="7" t="n">
        <v>80058424</v>
      </c>
      <c r="B1322" s="7" t="s">
        <v>68</v>
      </c>
      <c r="C1322" s="7" t="s">
        <v>3079</v>
      </c>
      <c r="D1322" s="7" t="s">
        <v>3080</v>
      </c>
      <c r="E1322" s="7" t="s">
        <v>26</v>
      </c>
      <c r="F1322" s="7" t="s">
        <v>3081</v>
      </c>
      <c r="G1322" s="7" t="n">
        <v>2015</v>
      </c>
      <c r="H1322" s="7" t="s">
        <v>48</v>
      </c>
      <c r="I1322" s="7" t="s">
        <v>117</v>
      </c>
      <c r="J1322" s="7" t="s">
        <v>45</v>
      </c>
      <c r="K1322" s="7" t="n">
        <f aca="false">IFERROR(VALUE(RIGHT(TRIM(F1322),4)),"")</f>
        <v>2015</v>
      </c>
      <c r="L1322" s="7" t="str">
        <f aca="false">IF(TRIM(E1322)="","Unknown",IFERROR(LEFT(TRIM(E1322),FIND(",",TRIM(E1322))-1),TRIM(E1322)))</f>
        <v>United States</v>
      </c>
      <c r="M1322" s="7" t="str">
        <f aca="false">IFERROR(LEFT(J1322,FIND(",",J1322)-1),J1322)</f>
        <v>Stand-Up Comedy</v>
      </c>
      <c r="N1322" s="7" t="n">
        <f aca="false">IF(B1322="Movie",IFERROR(VALUE(LEFT(I1322,FIND(" ",I1322)-1)),""),"")</f>
        <v>62</v>
      </c>
      <c r="O1322" s="7" t="str">
        <f aca="false">IF(B1322="TV Show",IFERROR(VALUE(LEFT(I1322,FIND(" ",I1322)-1)),""),"")</f>
        <v/>
      </c>
      <c r="P1322" s="7" t="n">
        <f aca="false">IF(K1322="","",K1322-G1322)</f>
        <v>0</v>
      </c>
    </row>
    <row r="1323" customFormat="false" ht="15" hidden="false" customHeight="false" outlineLevel="0" collapsed="false">
      <c r="A1323" s="7" t="n">
        <v>80049065</v>
      </c>
      <c r="B1323" s="7" t="s">
        <v>78</v>
      </c>
      <c r="C1323" s="7" t="s">
        <v>3082</v>
      </c>
      <c r="E1323" s="7" t="s">
        <v>26</v>
      </c>
      <c r="F1323" s="7" t="s">
        <v>3081</v>
      </c>
      <c r="G1323" s="7" t="n">
        <v>2015</v>
      </c>
      <c r="H1323" s="7" t="s">
        <v>48</v>
      </c>
      <c r="I1323" s="7" t="s">
        <v>82</v>
      </c>
      <c r="J1323" s="7" t="s">
        <v>289</v>
      </c>
      <c r="K1323" s="7" t="n">
        <f aca="false">IFERROR(VALUE(RIGHT(TRIM(F1323),4)),"")</f>
        <v>2015</v>
      </c>
      <c r="L1323" s="7" t="str">
        <f aca="false">IF(TRIM(E1323)="","Unknown",IFERROR(LEFT(TRIM(E1323),FIND(",",TRIM(E1323))-1),TRIM(E1323)))</f>
        <v>United States</v>
      </c>
      <c r="M1323" s="7" t="str">
        <f aca="false">IFERROR(LEFT(J1323,FIND(",",J1323)-1),J1323)</f>
        <v>TV Comedies</v>
      </c>
      <c r="N1323" s="7" t="str">
        <f aca="false">IF(B1323="Movie",IFERROR(VALUE(LEFT(I1323,FIND(" ",I1323)-1)),""),"")</f>
        <v/>
      </c>
      <c r="O1323" s="7" t="n">
        <f aca="false">IF(B1323="TV Show",IFERROR(VALUE(LEFT(I1323,FIND(" ",I1323)-1)),""),"")</f>
        <v>1</v>
      </c>
      <c r="P1323" s="7" t="n">
        <f aca="false">IF(K1323="","",K1323-G1323)</f>
        <v>0</v>
      </c>
    </row>
    <row r="1324" customFormat="false" ht="15" hidden="false" customHeight="false" outlineLevel="0" collapsed="false">
      <c r="A1324" s="7" t="n">
        <v>81078466</v>
      </c>
      <c r="B1324" s="7" t="s">
        <v>68</v>
      </c>
      <c r="C1324" s="7" t="s">
        <v>3083</v>
      </c>
      <c r="D1324" s="7" t="s">
        <v>3084</v>
      </c>
      <c r="E1324" s="7" t="s">
        <v>26</v>
      </c>
      <c r="F1324" s="7" t="s">
        <v>3085</v>
      </c>
      <c r="G1324" s="7" t="n">
        <v>2019</v>
      </c>
      <c r="H1324" s="7" t="s">
        <v>48</v>
      </c>
      <c r="I1324" s="7" t="s">
        <v>1757</v>
      </c>
      <c r="J1324" s="7" t="s">
        <v>45</v>
      </c>
      <c r="K1324" s="7" t="n">
        <f aca="false">IFERROR(VALUE(RIGHT(TRIM(F1324),4)),"")</f>
        <v>2019</v>
      </c>
      <c r="L1324" s="7" t="str">
        <f aca="false">IF(TRIM(E1324)="","Unknown",IFERROR(LEFT(TRIM(E1324),FIND(",",TRIM(E1324))-1),TRIM(E1324)))</f>
        <v>United States</v>
      </c>
      <c r="M1324" s="7" t="str">
        <f aca="false">IFERROR(LEFT(J1324,FIND(",",J1324)-1),J1324)</f>
        <v>Stand-Up Comedy</v>
      </c>
      <c r="N1324" s="7" t="n">
        <f aca="false">IF(B1324="Movie",IFERROR(VALUE(LEFT(I1324,FIND(" ",I1324)-1)),""),"")</f>
        <v>59</v>
      </c>
      <c r="O1324" s="7" t="str">
        <f aca="false">IF(B1324="TV Show",IFERROR(VALUE(LEFT(I1324,FIND(" ",I1324)-1)),""),"")</f>
        <v/>
      </c>
      <c r="P1324" s="7" t="n">
        <f aca="false">IF(K1324="","",K1324-G1324)</f>
        <v>0</v>
      </c>
    </row>
    <row r="1325" customFormat="false" ht="15" hidden="false" customHeight="false" outlineLevel="0" collapsed="false">
      <c r="A1325" s="7" t="n">
        <v>80060034</v>
      </c>
      <c r="B1325" s="7" t="s">
        <v>68</v>
      </c>
      <c r="C1325" s="7" t="s">
        <v>3086</v>
      </c>
      <c r="D1325" s="7" t="s">
        <v>369</v>
      </c>
      <c r="E1325" s="7" t="s">
        <v>26</v>
      </c>
      <c r="F1325" s="7" t="s">
        <v>3087</v>
      </c>
      <c r="G1325" s="7" t="n">
        <v>2015</v>
      </c>
      <c r="H1325" s="7" t="s">
        <v>51</v>
      </c>
      <c r="I1325" s="7" t="s">
        <v>111</v>
      </c>
      <c r="J1325" s="7" t="s">
        <v>147</v>
      </c>
      <c r="K1325" s="7" t="n">
        <f aca="false">IFERROR(VALUE(RIGHT(TRIM(F1325),4)),"")</f>
        <v>2018</v>
      </c>
      <c r="L1325" s="7" t="str">
        <f aca="false">IF(TRIM(E1325)="","Unknown",IFERROR(LEFT(TRIM(E1325),FIND(",",TRIM(E1325))-1),TRIM(E1325)))</f>
        <v>United States</v>
      </c>
      <c r="M1325" s="7" t="str">
        <f aca="false">IFERROR(LEFT(J1325,FIND(",",J1325)-1),J1325)</f>
        <v>Horror Movies</v>
      </c>
      <c r="N1325" s="7" t="n">
        <f aca="false">IF(B1325="Movie",IFERROR(VALUE(LEFT(I1325,FIND(" ",I1325)-1)),""),"")</f>
        <v>95</v>
      </c>
      <c r="O1325" s="7" t="str">
        <f aca="false">IF(B1325="TV Show",IFERROR(VALUE(LEFT(I1325,FIND(" ",I1325)-1)),""),"")</f>
        <v/>
      </c>
      <c r="P1325" s="7" t="n">
        <f aca="false">IF(K1325="","",K1325-G1325)</f>
        <v>3</v>
      </c>
    </row>
    <row r="1326" customFormat="false" ht="15" hidden="false" customHeight="false" outlineLevel="0" collapsed="false">
      <c r="A1326" s="7" t="n">
        <v>80205085</v>
      </c>
      <c r="B1326" s="7" t="s">
        <v>68</v>
      </c>
      <c r="C1326" s="7" t="s">
        <v>3088</v>
      </c>
      <c r="D1326" s="7" t="s">
        <v>3089</v>
      </c>
      <c r="E1326" s="7" t="s">
        <v>29</v>
      </c>
      <c r="F1326" s="7" t="s">
        <v>3090</v>
      </c>
      <c r="G1326" s="7" t="n">
        <v>2017</v>
      </c>
      <c r="H1326" s="7" t="s">
        <v>49</v>
      </c>
      <c r="I1326" s="7" t="s">
        <v>138</v>
      </c>
      <c r="J1326" s="7" t="s">
        <v>699</v>
      </c>
      <c r="K1326" s="7" t="n">
        <f aca="false">IFERROR(VALUE(RIGHT(TRIM(F1326),4)),"")</f>
        <v>2017</v>
      </c>
      <c r="L1326" s="7" t="str">
        <f aca="false">IF(TRIM(E1326)="","Unknown",IFERROR(LEFT(TRIM(E1326),FIND(",",TRIM(E1326))-1),TRIM(E1326)))</f>
        <v>Canada</v>
      </c>
      <c r="M1326" s="7" t="str">
        <f aca="false">IFERROR(LEFT(J1326,FIND(",",J1326)-1),J1326)</f>
        <v>Documentaries</v>
      </c>
      <c r="N1326" s="7" t="n">
        <f aca="false">IF(B1326="Movie",IFERROR(VALUE(LEFT(I1326,FIND(" ",I1326)-1)),""),"")</f>
        <v>96</v>
      </c>
      <c r="O1326" s="7" t="str">
        <f aca="false">IF(B1326="TV Show",IFERROR(VALUE(LEFT(I1326,FIND(" ",I1326)-1)),""),"")</f>
        <v/>
      </c>
      <c r="P1326" s="7" t="n">
        <f aca="false">IF(K1326="","",K1326-G1326)</f>
        <v>0</v>
      </c>
    </row>
    <row r="1327" customFormat="false" ht="15" hidden="false" customHeight="false" outlineLevel="0" collapsed="false">
      <c r="A1327" s="7" t="n">
        <v>70117297</v>
      </c>
      <c r="B1327" s="7" t="s">
        <v>68</v>
      </c>
      <c r="C1327" s="7" t="s">
        <v>3091</v>
      </c>
      <c r="D1327" s="7" t="s">
        <v>3092</v>
      </c>
      <c r="E1327" s="7" t="s">
        <v>26</v>
      </c>
      <c r="F1327" s="7" t="s">
        <v>3093</v>
      </c>
      <c r="G1327" s="7" t="n">
        <v>2009</v>
      </c>
      <c r="H1327" s="7" t="s">
        <v>51</v>
      </c>
      <c r="I1327" s="7" t="s">
        <v>205</v>
      </c>
      <c r="J1327" s="7" t="s">
        <v>566</v>
      </c>
      <c r="K1327" s="7" t="n">
        <f aca="false">IFERROR(VALUE(RIGHT(TRIM(F1327),4)),"")</f>
        <v>2019</v>
      </c>
      <c r="L1327" s="7" t="str">
        <f aca="false">IF(TRIM(E1327)="","Unknown",IFERROR(LEFT(TRIM(E1327),FIND(",",TRIM(E1327))-1),TRIM(E1327)))</f>
        <v>United States</v>
      </c>
      <c r="M1327" s="7" t="str">
        <f aca="false">IFERROR(LEFT(J1327,FIND(",",J1327)-1),J1327)</f>
        <v>Dramas</v>
      </c>
      <c r="N1327" s="7" t="n">
        <f aca="false">IF(B1327="Movie",IFERROR(VALUE(LEFT(I1327,FIND(" ",I1327)-1)),""),"")</f>
        <v>100</v>
      </c>
      <c r="O1327" s="7" t="str">
        <f aca="false">IF(B1327="TV Show",IFERROR(VALUE(LEFT(I1327,FIND(" ",I1327)-1)),""),"")</f>
        <v/>
      </c>
      <c r="P1327" s="7" t="n">
        <f aca="false">IF(K1327="","",K1327-G1327)</f>
        <v>10</v>
      </c>
    </row>
    <row r="1328" customFormat="false" ht="15" hidden="false" customHeight="false" outlineLevel="0" collapsed="false">
      <c r="A1328" s="7" t="n">
        <v>81200229</v>
      </c>
      <c r="B1328" s="7" t="s">
        <v>78</v>
      </c>
      <c r="C1328" s="7" t="s">
        <v>3094</v>
      </c>
      <c r="E1328" s="7" t="s">
        <v>366</v>
      </c>
      <c r="F1328" s="7" t="s">
        <v>3093</v>
      </c>
      <c r="G1328" s="7" t="n">
        <v>2019</v>
      </c>
      <c r="H1328" s="7" t="s">
        <v>50</v>
      </c>
      <c r="I1328" s="7" t="s">
        <v>82</v>
      </c>
      <c r="J1328" s="7" t="s">
        <v>1362</v>
      </c>
      <c r="K1328" s="7" t="n">
        <f aca="false">IFERROR(VALUE(RIGHT(TRIM(F1328),4)),"")</f>
        <v>2019</v>
      </c>
      <c r="L1328" s="7" t="str">
        <f aca="false">IF(TRIM(E1328)="","Unknown",IFERROR(LEFT(TRIM(E1328),FIND(",",TRIM(E1328))-1),TRIM(E1328)))</f>
        <v>China</v>
      </c>
      <c r="M1328" s="7" t="str">
        <f aca="false">IFERROR(LEFT(J1328,FIND(",",J1328)-1),J1328)</f>
        <v>International TV Shows</v>
      </c>
      <c r="N1328" s="7" t="str">
        <f aca="false">IF(B1328="Movie",IFERROR(VALUE(LEFT(I1328,FIND(" ",I1328)-1)),""),"")</f>
        <v/>
      </c>
      <c r="O1328" s="7" t="n">
        <f aca="false">IF(B1328="TV Show",IFERROR(VALUE(LEFT(I1328,FIND(" ",I1328)-1)),""),"")</f>
        <v>1</v>
      </c>
      <c r="P1328" s="7" t="n">
        <f aca="false">IF(K1328="","",K1328-G1328)</f>
        <v>0</v>
      </c>
    </row>
    <row r="1329" customFormat="false" ht="15" hidden="false" customHeight="false" outlineLevel="0" collapsed="false">
      <c r="A1329" s="7" t="n">
        <v>81152923</v>
      </c>
      <c r="B1329" s="7" t="s">
        <v>68</v>
      </c>
      <c r="C1329" s="7" t="s">
        <v>3095</v>
      </c>
      <c r="D1329" s="7" t="s">
        <v>3096</v>
      </c>
      <c r="E1329" s="7" t="s">
        <v>26</v>
      </c>
      <c r="F1329" s="7" t="s">
        <v>3093</v>
      </c>
      <c r="G1329" s="7" t="n">
        <v>2019</v>
      </c>
      <c r="H1329" s="7" t="s">
        <v>48</v>
      </c>
      <c r="I1329" s="7" t="s">
        <v>111</v>
      </c>
      <c r="J1329" s="7" t="s">
        <v>370</v>
      </c>
      <c r="K1329" s="7" t="n">
        <f aca="false">IFERROR(VALUE(RIGHT(TRIM(F1329),4)),"")</f>
        <v>2019</v>
      </c>
      <c r="L1329" s="7" t="str">
        <f aca="false">IF(TRIM(E1329)="","Unknown",IFERROR(LEFT(TRIM(E1329),FIND(",",TRIM(E1329))-1),TRIM(E1329)))</f>
        <v>United States</v>
      </c>
      <c r="M1329" s="7" t="str">
        <f aca="false">IFERROR(LEFT(J1329,FIND(",",J1329)-1),J1329)</f>
        <v>Action &amp; Adventure</v>
      </c>
      <c r="N1329" s="7" t="n">
        <f aca="false">IF(B1329="Movie",IFERROR(VALUE(LEFT(I1329,FIND(" ",I1329)-1)),""),"")</f>
        <v>95</v>
      </c>
      <c r="O1329" s="7" t="str">
        <f aca="false">IF(B1329="TV Show",IFERROR(VALUE(LEFT(I1329,FIND(" ",I1329)-1)),""),"")</f>
        <v/>
      </c>
      <c r="P1329" s="7" t="n">
        <f aca="false">IF(K1329="","",K1329-G1329)</f>
        <v>0</v>
      </c>
    </row>
    <row r="1330" customFormat="false" ht="15" hidden="false" customHeight="false" outlineLevel="0" collapsed="false">
      <c r="A1330" s="7" t="n">
        <v>81171862</v>
      </c>
      <c r="B1330" s="7" t="s">
        <v>68</v>
      </c>
      <c r="C1330" s="7" t="s">
        <v>3097</v>
      </c>
      <c r="D1330" s="7" t="s">
        <v>3098</v>
      </c>
      <c r="E1330" s="7" t="s">
        <v>26</v>
      </c>
      <c r="F1330" s="7" t="s">
        <v>3093</v>
      </c>
      <c r="G1330" s="7" t="n">
        <v>2019</v>
      </c>
      <c r="H1330" s="7" t="s">
        <v>48</v>
      </c>
      <c r="I1330" s="7" t="s">
        <v>264</v>
      </c>
      <c r="J1330" s="7" t="s">
        <v>39</v>
      </c>
      <c r="K1330" s="7" t="n">
        <f aca="false">IFERROR(VALUE(RIGHT(TRIM(F1330),4)),"")</f>
        <v>2019</v>
      </c>
      <c r="L1330" s="7" t="str">
        <f aca="false">IF(TRIM(E1330)="","Unknown",IFERROR(LEFT(TRIM(E1330),FIND(",",TRIM(E1330))-1),TRIM(E1330)))</f>
        <v>United States</v>
      </c>
      <c r="M1330" s="7" t="str">
        <f aca="false">IFERROR(LEFT(J1330,FIND(",",J1330)-1),J1330)</f>
        <v>Documentaries</v>
      </c>
      <c r="N1330" s="7" t="n">
        <f aca="false">IF(B1330="Movie",IFERROR(VALUE(LEFT(I1330,FIND(" ",I1330)-1)),""),"")</f>
        <v>88</v>
      </c>
      <c r="O1330" s="7" t="str">
        <f aca="false">IF(B1330="TV Show",IFERROR(VALUE(LEFT(I1330,FIND(" ",I1330)-1)),""),"")</f>
        <v/>
      </c>
      <c r="P1330" s="7" t="n">
        <f aca="false">IF(K1330="","",K1330-G1330)</f>
        <v>0</v>
      </c>
    </row>
    <row r="1331" customFormat="false" ht="15" hidden="false" customHeight="false" outlineLevel="0" collapsed="false">
      <c r="A1331" s="7" t="n">
        <v>80131563</v>
      </c>
      <c r="B1331" s="7" t="s">
        <v>68</v>
      </c>
      <c r="C1331" s="7" t="s">
        <v>3099</v>
      </c>
      <c r="D1331" s="7" t="s">
        <v>1319</v>
      </c>
      <c r="E1331" s="7" t="s">
        <v>29</v>
      </c>
      <c r="F1331" s="7" t="s">
        <v>3100</v>
      </c>
      <c r="G1331" s="7" t="n">
        <v>2017</v>
      </c>
      <c r="H1331" s="7" t="s">
        <v>48</v>
      </c>
      <c r="I1331" s="7" t="s">
        <v>235</v>
      </c>
      <c r="J1331" s="7" t="s">
        <v>139</v>
      </c>
      <c r="K1331" s="7" t="n">
        <f aca="false">IFERROR(VALUE(RIGHT(TRIM(F1331),4)),"")</f>
        <v>2017</v>
      </c>
      <c r="L1331" s="7" t="str">
        <f aca="false">IF(TRIM(E1331)="","Unknown",IFERROR(LEFT(TRIM(E1331),FIND(",",TRIM(E1331))-1),TRIM(E1331)))</f>
        <v>Canada</v>
      </c>
      <c r="M1331" s="7" t="str">
        <f aca="false">IFERROR(LEFT(J1331,FIND(",",J1331)-1),J1331)</f>
        <v>Action &amp; Adventure</v>
      </c>
      <c r="N1331" s="7" t="n">
        <f aca="false">IF(B1331="Movie",IFERROR(VALUE(LEFT(I1331,FIND(" ",I1331)-1)),""),"")</f>
        <v>126</v>
      </c>
      <c r="O1331" s="7" t="str">
        <f aca="false">IF(B1331="TV Show",IFERROR(VALUE(LEFT(I1331,FIND(" ",I1331)-1)),""),"")</f>
        <v/>
      </c>
      <c r="P1331" s="7" t="n">
        <f aca="false">IF(K1331="","",K1331-G1331)</f>
        <v>0</v>
      </c>
    </row>
    <row r="1332" customFormat="false" ht="15" hidden="false" customHeight="false" outlineLevel="0" collapsed="false">
      <c r="A1332" s="7" t="n">
        <v>80107990</v>
      </c>
      <c r="B1332" s="7" t="s">
        <v>78</v>
      </c>
      <c r="C1332" s="7" t="s">
        <v>3101</v>
      </c>
      <c r="D1332" s="7" t="s">
        <v>3102</v>
      </c>
      <c r="E1332" s="7" t="s">
        <v>325</v>
      </c>
      <c r="F1332" s="7" t="s">
        <v>3103</v>
      </c>
      <c r="G1332" s="7" t="n">
        <v>2016</v>
      </c>
      <c r="H1332" s="7" t="s">
        <v>50</v>
      </c>
      <c r="I1332" s="7" t="s">
        <v>82</v>
      </c>
      <c r="J1332" s="7" t="s">
        <v>1637</v>
      </c>
      <c r="K1332" s="7" t="n">
        <f aca="false">IFERROR(VALUE(RIGHT(TRIM(F1332),4)),"")</f>
        <v>2016</v>
      </c>
      <c r="L1332" s="7" t="str">
        <f aca="false">IF(TRIM(E1332)="","Unknown",IFERROR(LEFT(TRIM(E1332),FIND(",",TRIM(E1332))-1),TRIM(E1332)))</f>
        <v>Brazil</v>
      </c>
      <c r="M1332" s="7" t="str">
        <f aca="false">IFERROR(LEFT(J1332,FIND(",",J1332)-1),J1332)</f>
        <v>Docuseries</v>
      </c>
      <c r="N1332" s="7" t="str">
        <f aca="false">IF(B1332="Movie",IFERROR(VALUE(LEFT(I1332,FIND(" ",I1332)-1)),""),"")</f>
        <v/>
      </c>
      <c r="O1332" s="7" t="n">
        <f aca="false">IF(B1332="TV Show",IFERROR(VALUE(LEFT(I1332,FIND(" ",I1332)-1)),""),"")</f>
        <v>1</v>
      </c>
      <c r="P1332" s="7" t="n">
        <f aca="false">IF(K1332="","",K1332-G1332)</f>
        <v>0</v>
      </c>
    </row>
    <row r="1333" customFormat="false" ht="15" hidden="false" customHeight="false" outlineLevel="0" collapsed="false">
      <c r="A1333" s="7" t="n">
        <v>80091658</v>
      </c>
      <c r="B1333" s="7" t="s">
        <v>68</v>
      </c>
      <c r="C1333" s="7" t="s">
        <v>3104</v>
      </c>
      <c r="D1333" s="7" t="s">
        <v>3105</v>
      </c>
      <c r="E1333" s="7" t="s">
        <v>26</v>
      </c>
      <c r="F1333" s="7" t="s">
        <v>3103</v>
      </c>
      <c r="G1333" s="7" t="n">
        <v>2016</v>
      </c>
      <c r="H1333" s="7" t="s">
        <v>49</v>
      </c>
      <c r="I1333" s="7" t="s">
        <v>134</v>
      </c>
      <c r="J1333" s="7" t="s">
        <v>967</v>
      </c>
      <c r="K1333" s="7" t="n">
        <f aca="false">IFERROR(VALUE(RIGHT(TRIM(F1333),4)),"")</f>
        <v>2016</v>
      </c>
      <c r="L1333" s="7" t="str">
        <f aca="false">IF(TRIM(E1333)="","Unknown",IFERROR(LEFT(TRIM(E1333),FIND(",",TRIM(E1333))-1),TRIM(E1333)))</f>
        <v>United States</v>
      </c>
      <c r="M1333" s="7" t="str">
        <f aca="false">IFERROR(LEFT(J1333,FIND(",",J1333)-1),J1333)</f>
        <v>Action &amp; Adventure</v>
      </c>
      <c r="N1333" s="7" t="n">
        <f aca="false">IF(B1333="Movie",IFERROR(VALUE(LEFT(I1333,FIND(" ",I1333)-1)),""),"")</f>
        <v>98</v>
      </c>
      <c r="O1333" s="7" t="str">
        <f aca="false">IF(B1333="TV Show",IFERROR(VALUE(LEFT(I1333,FIND(" ",I1333)-1)),""),"")</f>
        <v/>
      </c>
      <c r="P1333" s="7" t="n">
        <f aca="false">IF(K1333="","",K1333-G1333)</f>
        <v>0</v>
      </c>
    </row>
    <row r="1334" customFormat="false" ht="15" hidden="false" customHeight="false" outlineLevel="0" collapsed="false">
      <c r="A1334" s="7" t="n">
        <v>80208213</v>
      </c>
      <c r="B1334" s="7" t="s">
        <v>78</v>
      </c>
      <c r="C1334" s="7" t="s">
        <v>3106</v>
      </c>
      <c r="E1334" s="7" t="s">
        <v>3107</v>
      </c>
      <c r="F1334" s="7" t="s">
        <v>3108</v>
      </c>
      <c r="G1334" s="7" t="n">
        <v>2017</v>
      </c>
      <c r="H1334" s="7" t="s">
        <v>50</v>
      </c>
      <c r="I1334" s="7" t="s">
        <v>82</v>
      </c>
      <c r="J1334" s="7" t="s">
        <v>1637</v>
      </c>
      <c r="K1334" s="7" t="n">
        <f aca="false">IFERROR(VALUE(RIGHT(TRIM(F1334),4)),"")</f>
        <v>2018</v>
      </c>
      <c r="L1334" s="7" t="str">
        <f aca="false">IF(TRIM(E1334)="","Unknown",IFERROR(LEFT(TRIM(E1334),FIND(",",TRIM(E1334))-1),TRIM(E1334)))</f>
        <v>Germany</v>
      </c>
      <c r="M1334" s="7" t="str">
        <f aca="false">IFERROR(LEFT(J1334,FIND(",",J1334)-1),J1334)</f>
        <v>Docuseries</v>
      </c>
      <c r="N1334" s="7" t="str">
        <f aca="false">IF(B1334="Movie",IFERROR(VALUE(LEFT(I1334,FIND(" ",I1334)-1)),""),"")</f>
        <v/>
      </c>
      <c r="O1334" s="7" t="n">
        <f aca="false">IF(B1334="TV Show",IFERROR(VALUE(LEFT(I1334,FIND(" ",I1334)-1)),""),"")</f>
        <v>1</v>
      </c>
      <c r="P1334" s="7" t="n">
        <f aca="false">IF(K1334="","",K1334-G1334)</f>
        <v>1</v>
      </c>
    </row>
    <row r="1335" customFormat="false" ht="15" hidden="false" customHeight="false" outlineLevel="0" collapsed="false">
      <c r="A1335" s="7" t="n">
        <v>70286533</v>
      </c>
      <c r="B1335" s="7" t="s">
        <v>78</v>
      </c>
      <c r="C1335" s="7" t="s">
        <v>3109</v>
      </c>
      <c r="E1335" s="7" t="s">
        <v>230</v>
      </c>
      <c r="F1335" s="7" t="s">
        <v>3108</v>
      </c>
      <c r="G1335" s="7" t="n">
        <v>2015</v>
      </c>
      <c r="H1335" s="7" t="s">
        <v>48</v>
      </c>
      <c r="I1335" s="7" t="s">
        <v>82</v>
      </c>
      <c r="J1335" s="7" t="s">
        <v>3110</v>
      </c>
      <c r="K1335" s="7" t="n">
        <f aca="false">IFERROR(VALUE(RIGHT(TRIM(F1335),4)),"")</f>
        <v>2018</v>
      </c>
      <c r="L1335" s="7" t="str">
        <f aca="false">IF(TRIM(E1335)="","Unknown",IFERROR(LEFT(TRIM(E1335),FIND(",",TRIM(E1335))-1),TRIM(E1335)))</f>
        <v>United States</v>
      </c>
      <c r="M1335" s="7" t="str">
        <f aca="false">IFERROR(LEFT(J1335,FIND(",",J1335)-1),J1335)</f>
        <v>TV Horror</v>
      </c>
      <c r="N1335" s="7" t="str">
        <f aca="false">IF(B1335="Movie",IFERROR(VALUE(LEFT(I1335,FIND(" ",I1335)-1)),""),"")</f>
        <v/>
      </c>
      <c r="O1335" s="7" t="n">
        <f aca="false">IF(B1335="TV Show",IFERROR(VALUE(LEFT(I1335,FIND(" ",I1335)-1)),""),"")</f>
        <v>1</v>
      </c>
      <c r="P1335" s="7" t="n">
        <f aca="false">IF(K1335="","",K1335-G1335)</f>
        <v>3</v>
      </c>
    </row>
    <row r="1336" customFormat="false" ht="15" hidden="false" customHeight="false" outlineLevel="0" collapsed="false">
      <c r="A1336" s="7" t="n">
        <v>80237420</v>
      </c>
      <c r="B1336" s="7" t="s">
        <v>68</v>
      </c>
      <c r="C1336" s="7" t="s">
        <v>3111</v>
      </c>
      <c r="D1336" s="7" t="s">
        <v>3112</v>
      </c>
      <c r="E1336" s="7" t="s">
        <v>31</v>
      </c>
      <c r="F1336" s="7" t="s">
        <v>3108</v>
      </c>
      <c r="G1336" s="7" t="n">
        <v>2017</v>
      </c>
      <c r="H1336" s="7" t="s">
        <v>48</v>
      </c>
      <c r="I1336" s="7" t="s">
        <v>187</v>
      </c>
      <c r="J1336" s="7" t="s">
        <v>304</v>
      </c>
      <c r="K1336" s="7" t="n">
        <f aca="false">IFERROR(VALUE(RIGHT(TRIM(F1336),4)),"")</f>
        <v>2018</v>
      </c>
      <c r="L1336" s="7" t="str">
        <f aca="false">IF(TRIM(E1336)="","Unknown",IFERROR(LEFT(TRIM(E1336),FIND(",",TRIM(E1336))-1),TRIM(E1336)))</f>
        <v>France</v>
      </c>
      <c r="M1336" s="7" t="str">
        <f aca="false">IFERROR(LEFT(J1336,FIND(",",J1336)-1),J1336)</f>
        <v>Dramas</v>
      </c>
      <c r="N1336" s="7" t="n">
        <f aca="false">IF(B1336="Movie",IFERROR(VALUE(LEFT(I1336,FIND(" ",I1336)-1)),""),"")</f>
        <v>114</v>
      </c>
      <c r="O1336" s="7" t="str">
        <f aca="false">IF(B1336="TV Show",IFERROR(VALUE(LEFT(I1336,FIND(" ",I1336)-1)),""),"")</f>
        <v/>
      </c>
      <c r="P1336" s="7" t="n">
        <f aca="false">IF(K1336="","",K1336-G1336)</f>
        <v>1</v>
      </c>
    </row>
    <row r="1337" customFormat="false" ht="15" hidden="false" customHeight="false" outlineLevel="0" collapsed="false">
      <c r="A1337" s="7" t="n">
        <v>70174733</v>
      </c>
      <c r="B1337" s="7" t="s">
        <v>68</v>
      </c>
      <c r="C1337" s="7" t="s">
        <v>3113</v>
      </c>
      <c r="D1337" s="7" t="s">
        <v>2163</v>
      </c>
      <c r="E1337" s="7" t="s">
        <v>26</v>
      </c>
      <c r="F1337" s="7" t="s">
        <v>3114</v>
      </c>
      <c r="G1337" s="7" t="n">
        <v>2010</v>
      </c>
      <c r="H1337" s="7" t="s">
        <v>53</v>
      </c>
      <c r="I1337" s="7" t="s">
        <v>120</v>
      </c>
      <c r="J1337" s="7" t="s">
        <v>45</v>
      </c>
      <c r="K1337" s="7" t="n">
        <f aca="false">IFERROR(VALUE(RIGHT(TRIM(F1337),4)),"")</f>
        <v>2017</v>
      </c>
      <c r="L1337" s="7" t="str">
        <f aca="false">IF(TRIM(E1337)="","Unknown",IFERROR(LEFT(TRIM(E1337),FIND(",",TRIM(E1337))-1),TRIM(E1337)))</f>
        <v>United States</v>
      </c>
      <c r="M1337" s="7" t="str">
        <f aca="false">IFERROR(LEFT(J1337,FIND(",",J1337)-1),J1337)</f>
        <v>Stand-Up Comedy</v>
      </c>
      <c r="N1337" s="7" t="n">
        <f aca="false">IF(B1337="Movie",IFERROR(VALUE(LEFT(I1337,FIND(" ",I1337)-1)),""),"")</f>
        <v>65</v>
      </c>
      <c r="O1337" s="7" t="str">
        <f aca="false">IF(B1337="TV Show",IFERROR(VALUE(LEFT(I1337,FIND(" ",I1337)-1)),""),"")</f>
        <v/>
      </c>
      <c r="P1337" s="7" t="n">
        <f aca="false">IF(K1337="","",K1337-G1337)</f>
        <v>7</v>
      </c>
    </row>
    <row r="1338" customFormat="false" ht="15" hidden="false" customHeight="false" outlineLevel="0" collapsed="false">
      <c r="A1338" s="7" t="n">
        <v>80175822</v>
      </c>
      <c r="B1338" s="7" t="s">
        <v>78</v>
      </c>
      <c r="C1338" s="7" t="s">
        <v>3115</v>
      </c>
      <c r="E1338" s="7" t="s">
        <v>30</v>
      </c>
      <c r="F1338" s="7" t="s">
        <v>3114</v>
      </c>
      <c r="G1338" s="7" t="n">
        <v>2017</v>
      </c>
      <c r="H1338" s="7" t="s">
        <v>48</v>
      </c>
      <c r="I1338" s="7" t="s">
        <v>82</v>
      </c>
      <c r="J1338" s="7" t="s">
        <v>3116</v>
      </c>
      <c r="K1338" s="7" t="n">
        <f aca="false">IFERROR(VALUE(RIGHT(TRIM(F1338),4)),"")</f>
        <v>2017</v>
      </c>
      <c r="L1338" s="7" t="str">
        <f aca="false">IF(TRIM(E1338)="","Unknown",IFERROR(LEFT(TRIM(E1338),FIND(",",TRIM(E1338))-1),TRIM(E1338)))</f>
        <v>Japan</v>
      </c>
      <c r="M1338" s="7" t="str">
        <f aca="false">IFERROR(LEFT(J1338,FIND(",",J1338)-1),J1338)</f>
        <v>International TV Shows</v>
      </c>
      <c r="N1338" s="7" t="str">
        <f aca="false">IF(B1338="Movie",IFERROR(VALUE(LEFT(I1338,FIND(" ",I1338)-1)),""),"")</f>
        <v/>
      </c>
      <c r="O1338" s="7" t="n">
        <f aca="false">IF(B1338="TV Show",IFERROR(VALUE(LEFT(I1338,FIND(" ",I1338)-1)),""),"")</f>
        <v>1</v>
      </c>
      <c r="P1338" s="7" t="n">
        <f aca="false">IF(K1338="","",K1338-G1338)</f>
        <v>0</v>
      </c>
    </row>
    <row r="1339" customFormat="false" ht="15" hidden="false" customHeight="false" outlineLevel="0" collapsed="false">
      <c r="A1339" s="7" t="n">
        <v>80183088</v>
      </c>
      <c r="B1339" s="7" t="s">
        <v>68</v>
      </c>
      <c r="C1339" s="7" t="s">
        <v>3117</v>
      </c>
      <c r="D1339" s="7" t="s">
        <v>3118</v>
      </c>
      <c r="E1339" s="7" t="s">
        <v>34</v>
      </c>
      <c r="F1339" s="7" t="s">
        <v>3114</v>
      </c>
      <c r="G1339" s="7" t="n">
        <v>2017</v>
      </c>
      <c r="H1339" s="7" t="s">
        <v>48</v>
      </c>
      <c r="I1339" s="7" t="s">
        <v>1028</v>
      </c>
      <c r="J1339" s="7" t="s">
        <v>45</v>
      </c>
      <c r="K1339" s="7" t="n">
        <f aca="false">IFERROR(VALUE(RIGHT(TRIM(F1339),4)),"")</f>
        <v>2017</v>
      </c>
      <c r="L1339" s="7" t="str">
        <f aca="false">IF(TRIM(E1339)="","Unknown",IFERROR(LEFT(TRIM(E1339),FIND(",",TRIM(E1339))-1),TRIM(E1339)))</f>
        <v>Mexico</v>
      </c>
      <c r="M1339" s="7" t="str">
        <f aca="false">IFERROR(LEFT(J1339,FIND(",",J1339)-1),J1339)</f>
        <v>Stand-Up Comedy</v>
      </c>
      <c r="N1339" s="7" t="n">
        <f aca="false">IF(B1339="Movie",IFERROR(VALUE(LEFT(I1339,FIND(" ",I1339)-1)),""),"")</f>
        <v>54</v>
      </c>
      <c r="O1339" s="7" t="str">
        <f aca="false">IF(B1339="TV Show",IFERROR(VALUE(LEFT(I1339,FIND(" ",I1339)-1)),""),"")</f>
        <v/>
      </c>
      <c r="P1339" s="7" t="n">
        <f aca="false">IF(K1339="","",K1339-G1339)</f>
        <v>0</v>
      </c>
    </row>
    <row r="1340" customFormat="false" ht="15" hidden="false" customHeight="false" outlineLevel="0" collapsed="false">
      <c r="A1340" s="7" t="n">
        <v>80198018</v>
      </c>
      <c r="B1340" s="7" t="s">
        <v>68</v>
      </c>
      <c r="C1340" s="7" t="s">
        <v>3119</v>
      </c>
      <c r="D1340" s="7" t="s">
        <v>3120</v>
      </c>
      <c r="E1340" s="7" t="s">
        <v>26</v>
      </c>
      <c r="F1340" s="7" t="s">
        <v>3114</v>
      </c>
      <c r="G1340" s="7" t="n">
        <v>2017</v>
      </c>
      <c r="H1340" s="7" t="s">
        <v>48</v>
      </c>
      <c r="I1340" s="7" t="s">
        <v>661</v>
      </c>
      <c r="J1340" s="7" t="s">
        <v>45</v>
      </c>
      <c r="K1340" s="7" t="n">
        <f aca="false">IFERROR(VALUE(RIGHT(TRIM(F1340),4)),"")</f>
        <v>2017</v>
      </c>
      <c r="L1340" s="7" t="str">
        <f aca="false">IF(TRIM(E1340)="","Unknown",IFERROR(LEFT(TRIM(E1340),FIND(",",TRIM(E1340))-1),TRIM(E1340)))</f>
        <v>United States</v>
      </c>
      <c r="M1340" s="7" t="str">
        <f aca="false">IFERROR(LEFT(J1340,FIND(",",J1340)-1),J1340)</f>
        <v>Stand-Up Comedy</v>
      </c>
      <c r="N1340" s="7" t="n">
        <f aca="false">IF(B1340="Movie",IFERROR(VALUE(LEFT(I1340,FIND(" ",I1340)-1)),""),"")</f>
        <v>76</v>
      </c>
      <c r="O1340" s="7" t="str">
        <f aca="false">IF(B1340="TV Show",IFERROR(VALUE(LEFT(I1340,FIND(" ",I1340)-1)),""),"")</f>
        <v/>
      </c>
      <c r="P1340" s="7" t="n">
        <f aca="false">IF(K1340="","",K1340-G1340)</f>
        <v>0</v>
      </c>
    </row>
    <row r="1341" customFormat="false" ht="15" hidden="false" customHeight="false" outlineLevel="0" collapsed="false">
      <c r="A1341" s="7" t="n">
        <v>80127990</v>
      </c>
      <c r="B1341" s="7" t="s">
        <v>68</v>
      </c>
      <c r="C1341" s="7" t="s">
        <v>3121</v>
      </c>
      <c r="D1341" s="7" t="s">
        <v>3122</v>
      </c>
      <c r="E1341" s="7" t="s">
        <v>325</v>
      </c>
      <c r="F1341" s="7" t="s">
        <v>3114</v>
      </c>
      <c r="G1341" s="7" t="n">
        <v>2017</v>
      </c>
      <c r="H1341" s="7" t="s">
        <v>48</v>
      </c>
      <c r="I1341" s="7" t="s">
        <v>205</v>
      </c>
      <c r="J1341" s="7" t="s">
        <v>322</v>
      </c>
      <c r="K1341" s="7" t="n">
        <f aca="false">IFERROR(VALUE(RIGHT(TRIM(F1341),4)),"")</f>
        <v>2017</v>
      </c>
      <c r="L1341" s="7" t="str">
        <f aca="false">IF(TRIM(E1341)="","Unknown",IFERROR(LEFT(TRIM(E1341),FIND(",",TRIM(E1341))-1),TRIM(E1341)))</f>
        <v>Brazil</v>
      </c>
      <c r="M1341" s="7" t="str">
        <f aca="false">IFERROR(LEFT(J1341,FIND(",",J1341)-1),J1341)</f>
        <v>Action &amp; Adventure</v>
      </c>
      <c r="N1341" s="7" t="n">
        <f aca="false">IF(B1341="Movie",IFERROR(VALUE(LEFT(I1341,FIND(" ",I1341)-1)),""),"")</f>
        <v>100</v>
      </c>
      <c r="O1341" s="7" t="str">
        <f aca="false">IF(B1341="TV Show",IFERROR(VALUE(LEFT(I1341,FIND(" ",I1341)-1)),""),"")</f>
        <v/>
      </c>
      <c r="P1341" s="7" t="n">
        <f aca="false">IF(K1341="","",K1341-G1341)</f>
        <v>0</v>
      </c>
    </row>
    <row r="1342" customFormat="false" ht="15" hidden="false" customHeight="false" outlineLevel="0" collapsed="false">
      <c r="A1342" s="7" t="n">
        <v>80134093</v>
      </c>
      <c r="B1342" s="7" t="s">
        <v>78</v>
      </c>
      <c r="C1342" s="7" t="s">
        <v>3123</v>
      </c>
      <c r="E1342" s="7" t="s">
        <v>31</v>
      </c>
      <c r="F1342" s="7" t="s">
        <v>3124</v>
      </c>
      <c r="G1342" s="7" t="n">
        <v>2009</v>
      </c>
      <c r="H1342" s="7" t="s">
        <v>49</v>
      </c>
      <c r="I1342" s="7" t="s">
        <v>82</v>
      </c>
      <c r="J1342" s="7" t="s">
        <v>773</v>
      </c>
      <c r="K1342" s="7" t="n">
        <f aca="false">IFERROR(VALUE(RIGHT(TRIM(F1342),4)),"")</f>
        <v>2016</v>
      </c>
      <c r="L1342" s="7" t="str">
        <f aca="false">IF(TRIM(E1342)="","Unknown",IFERROR(LEFT(TRIM(E1342),FIND(",",TRIM(E1342))-1),TRIM(E1342)))</f>
        <v>France</v>
      </c>
      <c r="M1342" s="7" t="str">
        <f aca="false">IFERROR(LEFT(J1342,FIND(",",J1342)-1),J1342)</f>
        <v>Docuseries</v>
      </c>
      <c r="N1342" s="7" t="str">
        <f aca="false">IF(B1342="Movie",IFERROR(VALUE(LEFT(I1342,FIND(" ",I1342)-1)),""),"")</f>
        <v/>
      </c>
      <c r="O1342" s="7" t="n">
        <f aca="false">IF(B1342="TV Show",IFERROR(VALUE(LEFT(I1342,FIND(" ",I1342)-1)),""),"")</f>
        <v>1</v>
      </c>
      <c r="P1342" s="7" t="n">
        <f aca="false">IF(K1342="","",K1342-G1342)</f>
        <v>7</v>
      </c>
    </row>
    <row r="1343" customFormat="false" ht="15" hidden="false" customHeight="false" outlineLevel="0" collapsed="false">
      <c r="A1343" s="7" t="n">
        <v>80134279</v>
      </c>
      <c r="B1343" s="7" t="s">
        <v>68</v>
      </c>
      <c r="C1343" s="7" t="s">
        <v>3125</v>
      </c>
      <c r="D1343" s="7" t="s">
        <v>3126</v>
      </c>
      <c r="E1343" s="7" t="s">
        <v>26</v>
      </c>
      <c r="F1343" s="7" t="s">
        <v>3124</v>
      </c>
      <c r="G1343" s="7" t="n">
        <v>2016</v>
      </c>
      <c r="H1343" s="7" t="s">
        <v>48</v>
      </c>
      <c r="I1343" s="7" t="s">
        <v>861</v>
      </c>
      <c r="J1343" s="7" t="s">
        <v>45</v>
      </c>
      <c r="K1343" s="7" t="n">
        <f aca="false">IFERROR(VALUE(RIGHT(TRIM(F1343),4)),"")</f>
        <v>2016</v>
      </c>
      <c r="L1343" s="7" t="str">
        <f aca="false">IF(TRIM(E1343)="","Unknown",IFERROR(LEFT(TRIM(E1343),FIND(",",TRIM(E1343))-1),TRIM(E1343)))</f>
        <v>United States</v>
      </c>
      <c r="M1343" s="7" t="str">
        <f aca="false">IFERROR(LEFT(J1343,FIND(",",J1343)-1),J1343)</f>
        <v>Stand-Up Comedy</v>
      </c>
      <c r="N1343" s="7" t="n">
        <f aca="false">IF(B1343="Movie",IFERROR(VALUE(LEFT(I1343,FIND(" ",I1343)-1)),""),"")</f>
        <v>71</v>
      </c>
      <c r="O1343" s="7" t="str">
        <f aca="false">IF(B1343="TV Show",IFERROR(VALUE(LEFT(I1343,FIND(" ",I1343)-1)),""),"")</f>
        <v/>
      </c>
      <c r="P1343" s="7" t="n">
        <f aca="false">IF(K1343="","",K1343-G1343)</f>
        <v>0</v>
      </c>
    </row>
    <row r="1344" customFormat="false" ht="15" hidden="false" customHeight="false" outlineLevel="0" collapsed="false">
      <c r="A1344" s="7" t="n">
        <v>80234414</v>
      </c>
      <c r="B1344" s="7" t="s">
        <v>78</v>
      </c>
      <c r="C1344" s="7" t="s">
        <v>3127</v>
      </c>
      <c r="E1344" s="7" t="s">
        <v>28</v>
      </c>
      <c r="F1344" s="7" t="s">
        <v>3128</v>
      </c>
      <c r="G1344" s="7" t="n">
        <v>2017</v>
      </c>
      <c r="H1344" s="7" t="s">
        <v>49</v>
      </c>
      <c r="I1344" s="7" t="s">
        <v>82</v>
      </c>
      <c r="J1344" s="7" t="s">
        <v>716</v>
      </c>
      <c r="K1344" s="7" t="n">
        <f aca="false">IFERROR(VALUE(RIGHT(TRIM(F1344),4)),"")</f>
        <v>2019</v>
      </c>
      <c r="L1344" s="7" t="str">
        <f aca="false">IF(TRIM(E1344)="","Unknown",IFERROR(LEFT(TRIM(E1344),FIND(",",TRIM(E1344))-1),TRIM(E1344)))</f>
        <v>United Kingdom</v>
      </c>
      <c r="M1344" s="7" t="str">
        <f aca="false">IFERROR(LEFT(J1344,FIND(",",J1344)-1),J1344)</f>
        <v>British TV Shows</v>
      </c>
      <c r="N1344" s="7" t="str">
        <f aca="false">IF(B1344="Movie",IFERROR(VALUE(LEFT(I1344,FIND(" ",I1344)-1)),""),"")</f>
        <v/>
      </c>
      <c r="O1344" s="7" t="n">
        <f aca="false">IF(B1344="TV Show",IFERROR(VALUE(LEFT(I1344,FIND(" ",I1344)-1)),""),"")</f>
        <v>1</v>
      </c>
      <c r="P1344" s="7" t="n">
        <f aca="false">IF(K1344="","",K1344-G1344)</f>
        <v>2</v>
      </c>
    </row>
    <row r="1345" customFormat="false" ht="15" hidden="false" customHeight="false" outlineLevel="0" collapsed="false">
      <c r="A1345" s="7" t="n">
        <v>70044870</v>
      </c>
      <c r="B1345" s="7" t="s">
        <v>68</v>
      </c>
      <c r="C1345" s="7" t="s">
        <v>3129</v>
      </c>
      <c r="D1345" s="7" t="s">
        <v>3130</v>
      </c>
      <c r="E1345" s="7" t="s">
        <v>1996</v>
      </c>
      <c r="F1345" s="7" t="s">
        <v>3128</v>
      </c>
      <c r="G1345" s="7" t="n">
        <v>2006</v>
      </c>
      <c r="H1345" s="7" t="s">
        <v>52</v>
      </c>
      <c r="I1345" s="7" t="s">
        <v>181</v>
      </c>
      <c r="J1345" s="7" t="s">
        <v>40</v>
      </c>
      <c r="K1345" s="7" t="n">
        <f aca="false">IFERROR(VALUE(RIGHT(TRIM(F1345),4)),"")</f>
        <v>2019</v>
      </c>
      <c r="L1345" s="7" t="str">
        <f aca="false">IF(TRIM(E1345)="","Unknown",IFERROR(LEFT(TRIM(E1345),FIND(",",TRIM(E1345))-1),TRIM(E1345)))</f>
        <v>United States</v>
      </c>
      <c r="M1345" s="7" t="str">
        <f aca="false">IFERROR(LEFT(J1345,FIND(",",J1345)-1),J1345)</f>
        <v>Action &amp; Adventure</v>
      </c>
      <c r="N1345" s="7" t="n">
        <f aca="false">IF(B1345="Movie",IFERROR(VALUE(LEFT(I1345,FIND(" ",I1345)-1)),""),"")</f>
        <v>102</v>
      </c>
      <c r="O1345" s="7" t="str">
        <f aca="false">IF(B1345="TV Show",IFERROR(VALUE(LEFT(I1345,FIND(" ",I1345)-1)),""),"")</f>
        <v/>
      </c>
      <c r="P1345" s="7" t="n">
        <f aca="false">IF(K1345="","",K1345-G1345)</f>
        <v>13</v>
      </c>
    </row>
    <row r="1346" customFormat="false" ht="15" hidden="false" customHeight="false" outlineLevel="0" collapsed="false">
      <c r="A1346" s="7" t="n">
        <v>26597413</v>
      </c>
      <c r="B1346" s="7" t="s">
        <v>68</v>
      </c>
      <c r="C1346" s="7" t="s">
        <v>3131</v>
      </c>
      <c r="D1346" s="7" t="s">
        <v>3132</v>
      </c>
      <c r="E1346" s="7" t="s">
        <v>26</v>
      </c>
      <c r="F1346" s="7" t="s">
        <v>3128</v>
      </c>
      <c r="G1346" s="7" t="n">
        <v>1997</v>
      </c>
      <c r="H1346" s="7" t="s">
        <v>51</v>
      </c>
      <c r="I1346" s="7" t="s">
        <v>519</v>
      </c>
      <c r="J1346" s="7" t="s">
        <v>37</v>
      </c>
      <c r="K1346" s="7" t="n">
        <f aca="false">IFERROR(VALUE(RIGHT(TRIM(F1346),4)),"")</f>
        <v>2019</v>
      </c>
      <c r="L1346" s="7" t="str">
        <f aca="false">IF(TRIM(E1346)="","Unknown",IFERROR(LEFT(TRIM(E1346),FIND(",",TRIM(E1346))-1),TRIM(E1346)))</f>
        <v>United States</v>
      </c>
      <c r="M1346" s="7" t="str">
        <f aca="false">IFERROR(LEFT(J1346,FIND(",",J1346)-1),J1346)</f>
        <v>Dramas</v>
      </c>
      <c r="N1346" s="7" t="n">
        <f aca="false">IF(B1346="Movie",IFERROR(VALUE(LEFT(I1346,FIND(" ",I1346)-1)),""),"")</f>
        <v>119</v>
      </c>
      <c r="O1346" s="7" t="str">
        <f aca="false">IF(B1346="TV Show",IFERROR(VALUE(LEFT(I1346,FIND(" ",I1346)-1)),""),"")</f>
        <v/>
      </c>
      <c r="P1346" s="7" t="n">
        <f aca="false">IF(K1346="","",K1346-G1346)</f>
        <v>22</v>
      </c>
    </row>
    <row r="1347" customFormat="false" ht="15" hidden="false" customHeight="false" outlineLevel="0" collapsed="false">
      <c r="A1347" s="7" t="n">
        <v>80245356</v>
      </c>
      <c r="B1347" s="7" t="s">
        <v>68</v>
      </c>
      <c r="C1347" s="7" t="s">
        <v>3133</v>
      </c>
      <c r="D1347" s="7" t="s">
        <v>3134</v>
      </c>
      <c r="E1347" s="7" t="s">
        <v>33</v>
      </c>
      <c r="F1347" s="7" t="s">
        <v>3128</v>
      </c>
      <c r="G1347" s="7" t="n">
        <v>2019</v>
      </c>
      <c r="H1347" s="7" t="s">
        <v>48</v>
      </c>
      <c r="I1347" s="7" t="s">
        <v>77</v>
      </c>
      <c r="J1347" s="7" t="s">
        <v>202</v>
      </c>
      <c r="K1347" s="7" t="n">
        <f aca="false">IFERROR(VALUE(RIGHT(TRIM(F1347),4)),"")</f>
        <v>2019</v>
      </c>
      <c r="L1347" s="7" t="str">
        <f aca="false">IF(TRIM(E1347)="","Unknown",IFERROR(LEFT(TRIM(E1347),FIND(",",TRIM(E1347))-1),TRIM(E1347)))</f>
        <v>Spain</v>
      </c>
      <c r="M1347" s="7" t="str">
        <f aca="false">IFERROR(LEFT(J1347,FIND(",",J1347)-1),J1347)</f>
        <v>Comedies</v>
      </c>
      <c r="N1347" s="7" t="n">
        <f aca="false">IF(B1347="Movie",IFERROR(VALUE(LEFT(I1347,FIND(" ",I1347)-1)),""),"")</f>
        <v>94</v>
      </c>
      <c r="O1347" s="7" t="str">
        <f aca="false">IF(B1347="TV Show",IFERROR(VALUE(LEFT(I1347,FIND(" ",I1347)-1)),""),"")</f>
        <v/>
      </c>
      <c r="P1347" s="7" t="n">
        <f aca="false">IF(K1347="","",K1347-G1347)</f>
        <v>0</v>
      </c>
    </row>
    <row r="1348" customFormat="false" ht="15" hidden="false" customHeight="false" outlineLevel="0" collapsed="false">
      <c r="A1348" s="7" t="n">
        <v>81193616</v>
      </c>
      <c r="B1348" s="7" t="s">
        <v>78</v>
      </c>
      <c r="C1348" s="7" t="s">
        <v>3135</v>
      </c>
      <c r="E1348" s="7" t="s">
        <v>26</v>
      </c>
      <c r="F1348" s="7" t="s">
        <v>3128</v>
      </c>
      <c r="G1348" s="7" t="n">
        <v>2015</v>
      </c>
      <c r="H1348" s="7" t="s">
        <v>50</v>
      </c>
      <c r="I1348" s="7" t="s">
        <v>82</v>
      </c>
      <c r="J1348" s="7" t="s">
        <v>1637</v>
      </c>
      <c r="K1348" s="7" t="n">
        <f aca="false">IFERROR(VALUE(RIGHT(TRIM(F1348),4)),"")</f>
        <v>2019</v>
      </c>
      <c r="L1348" s="7" t="str">
        <f aca="false">IF(TRIM(E1348)="","Unknown",IFERROR(LEFT(TRIM(E1348),FIND(",",TRIM(E1348))-1),TRIM(E1348)))</f>
        <v>United States</v>
      </c>
      <c r="M1348" s="7" t="str">
        <f aca="false">IFERROR(LEFT(J1348,FIND(",",J1348)-1),J1348)</f>
        <v>Docuseries</v>
      </c>
      <c r="N1348" s="7" t="str">
        <f aca="false">IF(B1348="Movie",IFERROR(VALUE(LEFT(I1348,FIND(" ",I1348)-1)),""),"")</f>
        <v/>
      </c>
      <c r="O1348" s="7" t="n">
        <f aca="false">IF(B1348="TV Show",IFERROR(VALUE(LEFT(I1348,FIND(" ",I1348)-1)),""),"")</f>
        <v>1</v>
      </c>
      <c r="P1348" s="7" t="n">
        <f aca="false">IF(K1348="","",K1348-G1348)</f>
        <v>4</v>
      </c>
    </row>
    <row r="1349" customFormat="false" ht="15" hidden="false" customHeight="false" outlineLevel="0" collapsed="false">
      <c r="A1349" s="7" t="n">
        <v>81082327</v>
      </c>
      <c r="B1349" s="7" t="s">
        <v>78</v>
      </c>
      <c r="C1349" s="7" t="s">
        <v>3136</v>
      </c>
      <c r="E1349" s="7" t="s">
        <v>31</v>
      </c>
      <c r="F1349" s="7" t="s">
        <v>3128</v>
      </c>
      <c r="G1349" s="7" t="n">
        <v>2018</v>
      </c>
      <c r="H1349" s="7" t="s">
        <v>48</v>
      </c>
      <c r="I1349" s="7" t="s">
        <v>82</v>
      </c>
      <c r="J1349" s="7" t="s">
        <v>402</v>
      </c>
      <c r="K1349" s="7" t="n">
        <f aca="false">IFERROR(VALUE(RIGHT(TRIM(F1349),4)),"")</f>
        <v>2019</v>
      </c>
      <c r="L1349" s="7" t="str">
        <f aca="false">IF(TRIM(E1349)="","Unknown",IFERROR(LEFT(TRIM(E1349),FIND(",",TRIM(E1349))-1),TRIM(E1349)))</f>
        <v>France</v>
      </c>
      <c r="M1349" s="7" t="str">
        <f aca="false">IFERROR(LEFT(J1349,FIND(",",J1349)-1),J1349)</f>
        <v>Crime TV Shows</v>
      </c>
      <c r="N1349" s="7" t="str">
        <f aca="false">IF(B1349="Movie",IFERROR(VALUE(LEFT(I1349,FIND(" ",I1349)-1)),""),"")</f>
        <v/>
      </c>
      <c r="O1349" s="7" t="n">
        <f aca="false">IF(B1349="TV Show",IFERROR(VALUE(LEFT(I1349,FIND(" ",I1349)-1)),""),"")</f>
        <v>1</v>
      </c>
      <c r="P1349" s="7" t="n">
        <f aca="false">IF(K1349="","",K1349-G1349)</f>
        <v>1</v>
      </c>
    </row>
    <row r="1350" customFormat="false" ht="15" hidden="false" customHeight="false" outlineLevel="0" collapsed="false">
      <c r="A1350" s="7" t="n">
        <v>18002692</v>
      </c>
      <c r="B1350" s="7" t="s">
        <v>68</v>
      </c>
      <c r="C1350" s="7" t="s">
        <v>3137</v>
      </c>
      <c r="D1350" s="7" t="s">
        <v>3138</v>
      </c>
      <c r="E1350" s="7" t="s">
        <v>26</v>
      </c>
      <c r="F1350" s="7" t="s">
        <v>3128</v>
      </c>
      <c r="G1350" s="7" t="n">
        <v>1998</v>
      </c>
      <c r="H1350" s="7" t="s">
        <v>51</v>
      </c>
      <c r="I1350" s="7" t="s">
        <v>519</v>
      </c>
      <c r="J1350" s="7" t="s">
        <v>37</v>
      </c>
      <c r="K1350" s="7" t="n">
        <f aca="false">IFERROR(VALUE(RIGHT(TRIM(F1350),4)),"")</f>
        <v>2019</v>
      </c>
      <c r="L1350" s="7" t="str">
        <f aca="false">IF(TRIM(E1350)="","Unknown",IFERROR(LEFT(TRIM(E1350),FIND(",",TRIM(E1350))-1),TRIM(E1350)))</f>
        <v>United States</v>
      </c>
      <c r="M1350" s="7" t="str">
        <f aca="false">IFERROR(LEFT(J1350,FIND(",",J1350)-1),J1350)</f>
        <v>Dramas</v>
      </c>
      <c r="N1350" s="7" t="n">
        <f aca="false">IF(B1350="Movie",IFERROR(VALUE(LEFT(I1350,FIND(" ",I1350)-1)),""),"")</f>
        <v>119</v>
      </c>
      <c r="O1350" s="7" t="str">
        <f aca="false">IF(B1350="TV Show",IFERROR(VALUE(LEFT(I1350,FIND(" ",I1350)-1)),""),"")</f>
        <v/>
      </c>
      <c r="P1350" s="7" t="n">
        <f aca="false">IF(K1350="","",K1350-G1350)</f>
        <v>21</v>
      </c>
    </row>
    <row r="1351" customFormat="false" ht="15" hidden="false" customHeight="false" outlineLevel="0" collapsed="false">
      <c r="A1351" s="7" t="n">
        <v>81024100</v>
      </c>
      <c r="B1351" s="7" t="s">
        <v>68</v>
      </c>
      <c r="C1351" s="7" t="s">
        <v>3139</v>
      </c>
      <c r="D1351" s="7" t="s">
        <v>3140</v>
      </c>
      <c r="E1351" s="7" t="s">
        <v>26</v>
      </c>
      <c r="F1351" s="7" t="s">
        <v>3128</v>
      </c>
      <c r="G1351" s="7" t="n">
        <v>2019</v>
      </c>
      <c r="H1351" s="7" t="s">
        <v>48</v>
      </c>
      <c r="I1351" s="7" t="s">
        <v>73</v>
      </c>
      <c r="J1351" s="7" t="s">
        <v>37</v>
      </c>
      <c r="K1351" s="7" t="n">
        <f aca="false">IFERROR(VALUE(RIGHT(TRIM(F1351),4)),"")</f>
        <v>2019</v>
      </c>
      <c r="L1351" s="7" t="str">
        <f aca="false">IF(TRIM(E1351)="","Unknown",IFERROR(LEFT(TRIM(E1351),FIND(",",TRIM(E1351))-1),TRIM(E1351)))</f>
        <v>United States</v>
      </c>
      <c r="M1351" s="7" t="str">
        <f aca="false">IFERROR(LEFT(J1351,FIND(",",J1351)-1),J1351)</f>
        <v>Dramas</v>
      </c>
      <c r="N1351" s="7" t="n">
        <f aca="false">IF(B1351="Movie",IFERROR(VALUE(LEFT(I1351,FIND(" ",I1351)-1)),""),"")</f>
        <v>90</v>
      </c>
      <c r="O1351" s="7" t="str">
        <f aca="false">IF(B1351="TV Show",IFERROR(VALUE(LEFT(I1351,FIND(" ",I1351)-1)),""),"")</f>
        <v/>
      </c>
      <c r="P1351" s="7" t="n">
        <f aca="false">IF(K1351="","",K1351-G1351)</f>
        <v>0</v>
      </c>
    </row>
    <row r="1352" customFormat="false" ht="15" hidden="false" customHeight="false" outlineLevel="0" collapsed="false">
      <c r="A1352" s="7" t="n">
        <v>60027583</v>
      </c>
      <c r="B1352" s="7" t="s">
        <v>68</v>
      </c>
      <c r="C1352" s="7" t="s">
        <v>3141</v>
      </c>
      <c r="D1352" s="7" t="s">
        <v>3142</v>
      </c>
      <c r="E1352" s="7" t="s">
        <v>26</v>
      </c>
      <c r="F1352" s="7" t="s">
        <v>3128</v>
      </c>
      <c r="G1352" s="7" t="n">
        <v>2003</v>
      </c>
      <c r="H1352" s="7" t="s">
        <v>52</v>
      </c>
      <c r="I1352" s="7" t="s">
        <v>820</v>
      </c>
      <c r="J1352" s="7" t="s">
        <v>38</v>
      </c>
      <c r="K1352" s="7" t="n">
        <f aca="false">IFERROR(VALUE(RIGHT(TRIM(F1352),4)),"")</f>
        <v>2019</v>
      </c>
      <c r="L1352" s="7" t="str">
        <f aca="false">IF(TRIM(E1352)="","Unknown",IFERROR(LEFT(TRIM(E1352),FIND(",",TRIM(E1352))-1),TRIM(E1352)))</f>
        <v>United States</v>
      </c>
      <c r="M1352" s="7" t="str">
        <f aca="false">IFERROR(LEFT(J1352,FIND(",",J1352)-1),J1352)</f>
        <v>Comedies</v>
      </c>
      <c r="N1352" s="7" t="n">
        <f aca="false">IF(B1352="Movie",IFERROR(VALUE(LEFT(I1352,FIND(" ",I1352)-1)),""),"")</f>
        <v>105</v>
      </c>
      <c r="O1352" s="7" t="str">
        <f aca="false">IF(B1352="TV Show",IFERROR(VALUE(LEFT(I1352,FIND(" ",I1352)-1)),""),"")</f>
        <v/>
      </c>
      <c r="P1352" s="7" t="n">
        <f aca="false">IF(K1352="","",K1352-G1352)</f>
        <v>16</v>
      </c>
    </row>
    <row r="1353" customFormat="false" ht="15" hidden="false" customHeight="false" outlineLevel="0" collapsed="false">
      <c r="A1353" s="7" t="n">
        <v>80216003</v>
      </c>
      <c r="B1353" s="7" t="s">
        <v>68</v>
      </c>
      <c r="C1353" s="7" t="s">
        <v>3143</v>
      </c>
      <c r="D1353" s="7" t="s">
        <v>3144</v>
      </c>
      <c r="E1353" s="7" t="s">
        <v>26</v>
      </c>
      <c r="F1353" s="7" t="s">
        <v>3128</v>
      </c>
      <c r="G1353" s="7" t="n">
        <v>2017</v>
      </c>
      <c r="H1353" s="7" t="s">
        <v>48</v>
      </c>
      <c r="I1353" s="7" t="s">
        <v>357</v>
      </c>
      <c r="J1353" s="7" t="s">
        <v>39</v>
      </c>
      <c r="K1353" s="7" t="n">
        <f aca="false">IFERROR(VALUE(RIGHT(TRIM(F1353),4)),"")</f>
        <v>2019</v>
      </c>
      <c r="L1353" s="7" t="str">
        <f aca="false">IF(TRIM(E1353)="","Unknown",IFERROR(LEFT(TRIM(E1353),FIND(",",TRIM(E1353))-1),TRIM(E1353)))</f>
        <v>United States</v>
      </c>
      <c r="M1353" s="7" t="str">
        <f aca="false">IFERROR(LEFT(J1353,FIND(",",J1353)-1),J1353)</f>
        <v>Documentaries</v>
      </c>
      <c r="N1353" s="7" t="n">
        <f aca="false">IF(B1353="Movie",IFERROR(VALUE(LEFT(I1353,FIND(" ",I1353)-1)),""),"")</f>
        <v>89</v>
      </c>
      <c r="O1353" s="7" t="str">
        <f aca="false">IF(B1353="TV Show",IFERROR(VALUE(LEFT(I1353,FIND(" ",I1353)-1)),""),"")</f>
        <v/>
      </c>
      <c r="P1353" s="7" t="n">
        <f aca="false">IF(K1353="","",K1353-G1353)</f>
        <v>2</v>
      </c>
    </row>
    <row r="1354" customFormat="false" ht="15" hidden="false" customHeight="false" outlineLevel="0" collapsed="false">
      <c r="A1354" s="7" t="n">
        <v>81184735</v>
      </c>
      <c r="B1354" s="7" t="s">
        <v>78</v>
      </c>
      <c r="C1354" s="7" t="s">
        <v>3145</v>
      </c>
      <c r="F1354" s="7" t="s">
        <v>3128</v>
      </c>
      <c r="G1354" s="7" t="n">
        <v>2019</v>
      </c>
      <c r="H1354" s="7" t="s">
        <v>119</v>
      </c>
      <c r="I1354" s="7" t="s">
        <v>82</v>
      </c>
      <c r="J1354" s="7" t="s">
        <v>44</v>
      </c>
      <c r="K1354" s="7" t="n">
        <f aca="false">IFERROR(VALUE(RIGHT(TRIM(F1354),4)),"")</f>
        <v>2019</v>
      </c>
      <c r="L1354" s="7" t="str">
        <f aca="false">IF(TRIM(E1354)="","Unknown",IFERROR(LEFT(TRIM(E1354),FIND(",",TRIM(E1354))-1),TRIM(E1354)))</f>
        <v>Unknown</v>
      </c>
      <c r="M1354" s="7" t="str">
        <f aca="false">IFERROR(LEFT(J1354,FIND(",",J1354)-1),J1354)</f>
        <v>Kids' TV</v>
      </c>
      <c r="N1354" s="7" t="str">
        <f aca="false">IF(B1354="Movie",IFERROR(VALUE(LEFT(I1354,FIND(" ",I1354)-1)),""),"")</f>
        <v/>
      </c>
      <c r="O1354" s="7" t="n">
        <f aca="false">IF(B1354="TV Show",IFERROR(VALUE(LEFT(I1354,FIND(" ",I1354)-1)),""),"")</f>
        <v>1</v>
      </c>
      <c r="P1354" s="7" t="n">
        <f aca="false">IF(K1354="","",K1354-G1354)</f>
        <v>0</v>
      </c>
    </row>
    <row r="1355" customFormat="false" ht="15" hidden="false" customHeight="false" outlineLevel="0" collapsed="false">
      <c r="A1355" s="7" t="n">
        <v>60002033</v>
      </c>
      <c r="B1355" s="7" t="s">
        <v>68</v>
      </c>
      <c r="C1355" s="7" t="s">
        <v>3146</v>
      </c>
      <c r="D1355" s="7" t="s">
        <v>3147</v>
      </c>
      <c r="E1355" s="7" t="s">
        <v>26</v>
      </c>
      <c r="F1355" s="7" t="s">
        <v>3128</v>
      </c>
      <c r="G1355" s="7" t="n">
        <v>1960</v>
      </c>
      <c r="H1355" s="7" t="s">
        <v>49</v>
      </c>
      <c r="I1355" s="7" t="s">
        <v>268</v>
      </c>
      <c r="J1355" s="7" t="s">
        <v>3148</v>
      </c>
      <c r="K1355" s="7" t="n">
        <f aca="false">IFERROR(VALUE(RIGHT(TRIM(F1355),4)),"")</f>
        <v>2019</v>
      </c>
      <c r="L1355" s="7" t="str">
        <f aca="false">IF(TRIM(E1355)="","Unknown",IFERROR(LEFT(TRIM(E1355),FIND(",",TRIM(E1355))-1),TRIM(E1355)))</f>
        <v>United States</v>
      </c>
      <c r="M1355" s="7" t="str">
        <f aca="false">IFERROR(LEFT(J1355,FIND(",",J1355)-1),J1355)</f>
        <v>Classic Movies</v>
      </c>
      <c r="N1355" s="7" t="n">
        <f aca="false">IF(B1355="Movie",IFERROR(VALUE(LEFT(I1355,FIND(" ",I1355)-1)),""),"")</f>
        <v>108</v>
      </c>
      <c r="O1355" s="7" t="str">
        <f aca="false">IF(B1355="TV Show",IFERROR(VALUE(LEFT(I1355,FIND(" ",I1355)-1)),""),"")</f>
        <v/>
      </c>
      <c r="P1355" s="7" t="n">
        <f aca="false">IF(K1355="","",K1355-G1355)</f>
        <v>59</v>
      </c>
    </row>
    <row r="1356" customFormat="false" ht="15" hidden="false" customHeight="false" outlineLevel="0" collapsed="false">
      <c r="A1356" s="7" t="n">
        <v>70046968</v>
      </c>
      <c r="B1356" s="7" t="s">
        <v>68</v>
      </c>
      <c r="C1356" s="7" t="s">
        <v>3149</v>
      </c>
      <c r="D1356" s="7" t="s">
        <v>3150</v>
      </c>
      <c r="E1356" s="7" t="s">
        <v>26</v>
      </c>
      <c r="F1356" s="7" t="s">
        <v>3128</v>
      </c>
      <c r="G1356" s="7" t="n">
        <v>1958</v>
      </c>
      <c r="H1356" s="7" t="s">
        <v>53</v>
      </c>
      <c r="I1356" s="7" t="s">
        <v>268</v>
      </c>
      <c r="J1356" s="7" t="s">
        <v>3151</v>
      </c>
      <c r="K1356" s="7" t="n">
        <f aca="false">IFERROR(VALUE(RIGHT(TRIM(F1356),4)),"")</f>
        <v>2019</v>
      </c>
      <c r="L1356" s="7" t="str">
        <f aca="false">IF(TRIM(E1356)="","Unknown",IFERROR(LEFT(TRIM(E1356),FIND(",",TRIM(E1356))-1),TRIM(E1356)))</f>
        <v>United States</v>
      </c>
      <c r="M1356" s="7" t="str">
        <f aca="false">IFERROR(LEFT(J1356,FIND(",",J1356)-1),J1356)</f>
        <v>Classic Movies</v>
      </c>
      <c r="N1356" s="7" t="n">
        <f aca="false">IF(B1356="Movie",IFERROR(VALUE(LEFT(I1356,FIND(" ",I1356)-1)),""),"")</f>
        <v>108</v>
      </c>
      <c r="O1356" s="7" t="str">
        <f aca="false">IF(B1356="TV Show",IFERROR(VALUE(LEFT(I1356,FIND(" ",I1356)-1)),""),"")</f>
        <v/>
      </c>
      <c r="P1356" s="7" t="n">
        <f aca="false">IF(K1356="","",K1356-G1356)</f>
        <v>61</v>
      </c>
    </row>
    <row r="1357" customFormat="false" ht="15" hidden="false" customHeight="false" outlineLevel="0" collapsed="false">
      <c r="A1357" s="7" t="n">
        <v>81154982</v>
      </c>
      <c r="B1357" s="7" t="s">
        <v>68</v>
      </c>
      <c r="C1357" s="7" t="s">
        <v>3152</v>
      </c>
      <c r="D1357" s="7" t="s">
        <v>3153</v>
      </c>
      <c r="E1357" s="7" t="s">
        <v>26</v>
      </c>
      <c r="F1357" s="7" t="s">
        <v>3128</v>
      </c>
      <c r="G1357" s="7" t="n">
        <v>2019</v>
      </c>
      <c r="H1357" s="7" t="s">
        <v>50</v>
      </c>
      <c r="I1357" s="7" t="s">
        <v>494</v>
      </c>
      <c r="J1357" s="7" t="s">
        <v>74</v>
      </c>
      <c r="K1357" s="7" t="n">
        <f aca="false">IFERROR(VALUE(RIGHT(TRIM(F1357),4)),"")</f>
        <v>2019</v>
      </c>
      <c r="L1357" s="7" t="str">
        <f aca="false">IF(TRIM(E1357)="","Unknown",IFERROR(LEFT(TRIM(E1357),FIND(",",TRIM(E1357))-1),TRIM(E1357)))</f>
        <v>United States</v>
      </c>
      <c r="M1357" s="7" t="str">
        <f aca="false">IFERROR(LEFT(J1357,FIND(",",J1357)-1),J1357)</f>
        <v>Children &amp; Family Movies</v>
      </c>
      <c r="N1357" s="7" t="n">
        <f aca="false">IF(B1357="Movie",IFERROR(VALUE(LEFT(I1357,FIND(" ",I1357)-1)),""),"")</f>
        <v>87</v>
      </c>
      <c r="O1357" s="7" t="str">
        <f aca="false">IF(B1357="TV Show",IFERROR(VALUE(LEFT(I1357,FIND(" ",I1357)-1)),""),"")</f>
        <v/>
      </c>
      <c r="P1357" s="7" t="n">
        <f aca="false">IF(K1357="","",K1357-G1357)</f>
        <v>0</v>
      </c>
    </row>
    <row r="1358" customFormat="false" ht="15" hidden="false" customHeight="false" outlineLevel="0" collapsed="false">
      <c r="A1358" s="7" t="n">
        <v>81063129</v>
      </c>
      <c r="B1358" s="7" t="s">
        <v>68</v>
      </c>
      <c r="C1358" s="7" t="s">
        <v>3154</v>
      </c>
      <c r="D1358" s="7" t="s">
        <v>3155</v>
      </c>
      <c r="E1358" s="7" t="s">
        <v>26</v>
      </c>
      <c r="F1358" s="7" t="s">
        <v>3128</v>
      </c>
      <c r="G1358" s="7" t="n">
        <v>2017</v>
      </c>
      <c r="H1358" s="7" t="s">
        <v>50</v>
      </c>
      <c r="I1358" s="7" t="s">
        <v>168</v>
      </c>
      <c r="J1358" s="7" t="s">
        <v>37</v>
      </c>
      <c r="K1358" s="7" t="n">
        <f aca="false">IFERROR(VALUE(RIGHT(TRIM(F1358),4)),"")</f>
        <v>2019</v>
      </c>
      <c r="L1358" s="7" t="str">
        <f aca="false">IF(TRIM(E1358)="","Unknown",IFERROR(LEFT(TRIM(E1358),FIND(",",TRIM(E1358))-1),TRIM(E1358)))</f>
        <v>United States</v>
      </c>
      <c r="M1358" s="7" t="str">
        <f aca="false">IFERROR(LEFT(J1358,FIND(",",J1358)-1),J1358)</f>
        <v>Dramas</v>
      </c>
      <c r="N1358" s="7" t="n">
        <f aca="false">IF(B1358="Movie",IFERROR(VALUE(LEFT(I1358,FIND(" ",I1358)-1)),""),"")</f>
        <v>112</v>
      </c>
      <c r="O1358" s="7" t="str">
        <f aca="false">IF(B1358="TV Show",IFERROR(VALUE(LEFT(I1358,FIND(" ",I1358)-1)),""),"")</f>
        <v/>
      </c>
      <c r="P1358" s="7" t="n">
        <f aca="false">IF(K1358="","",K1358-G1358)</f>
        <v>2</v>
      </c>
    </row>
    <row r="1359" customFormat="false" ht="15" hidden="false" customHeight="false" outlineLevel="0" collapsed="false">
      <c r="A1359" s="7" t="n">
        <v>81074542</v>
      </c>
      <c r="B1359" s="7" t="s">
        <v>68</v>
      </c>
      <c r="C1359" s="7" t="s">
        <v>3156</v>
      </c>
      <c r="D1359" s="7" t="s">
        <v>3157</v>
      </c>
      <c r="E1359" s="7" t="s">
        <v>28</v>
      </c>
      <c r="F1359" s="7" t="s">
        <v>3128</v>
      </c>
      <c r="G1359" s="7" t="n">
        <v>2018</v>
      </c>
      <c r="H1359" s="7" t="s">
        <v>48</v>
      </c>
      <c r="I1359" s="7" t="s">
        <v>512</v>
      </c>
      <c r="J1359" s="7" t="s">
        <v>38</v>
      </c>
      <c r="K1359" s="7" t="n">
        <f aca="false">IFERROR(VALUE(RIGHT(TRIM(F1359),4)),"")</f>
        <v>2019</v>
      </c>
      <c r="L1359" s="7" t="str">
        <f aca="false">IF(TRIM(E1359)="","Unknown",IFERROR(LEFT(TRIM(E1359),FIND(",",TRIM(E1359))-1),TRIM(E1359)))</f>
        <v>United Kingdom</v>
      </c>
      <c r="M1359" s="7" t="str">
        <f aca="false">IFERROR(LEFT(J1359,FIND(",",J1359)-1),J1359)</f>
        <v>Comedies</v>
      </c>
      <c r="N1359" s="7" t="n">
        <f aca="false">IF(B1359="Movie",IFERROR(VALUE(LEFT(I1359,FIND(" ",I1359)-1)),""),"")</f>
        <v>101</v>
      </c>
      <c r="O1359" s="7" t="str">
        <f aca="false">IF(B1359="TV Show",IFERROR(VALUE(LEFT(I1359,FIND(" ",I1359)-1)),""),"")</f>
        <v/>
      </c>
      <c r="P1359" s="7" t="n">
        <f aca="false">IF(K1359="","",K1359-G1359)</f>
        <v>1</v>
      </c>
    </row>
    <row r="1360" customFormat="false" ht="15" hidden="false" customHeight="false" outlineLevel="0" collapsed="false">
      <c r="A1360" s="7" t="n">
        <v>382650</v>
      </c>
      <c r="B1360" s="7" t="s">
        <v>68</v>
      </c>
      <c r="C1360" s="7" t="s">
        <v>3158</v>
      </c>
      <c r="D1360" s="7" t="s">
        <v>3159</v>
      </c>
      <c r="E1360" s="7" t="s">
        <v>26</v>
      </c>
      <c r="F1360" s="7" t="s">
        <v>3128</v>
      </c>
      <c r="G1360" s="7" t="n">
        <v>1973</v>
      </c>
      <c r="H1360" s="7" t="s">
        <v>54</v>
      </c>
      <c r="I1360" s="7" t="s">
        <v>357</v>
      </c>
      <c r="J1360" s="7" t="s">
        <v>3160</v>
      </c>
      <c r="K1360" s="7" t="n">
        <f aca="false">IFERROR(VALUE(RIGHT(TRIM(F1360),4)),"")</f>
        <v>2019</v>
      </c>
      <c r="L1360" s="7" t="str">
        <f aca="false">IF(TRIM(E1360)="","Unknown",IFERROR(LEFT(TRIM(E1360),FIND(",",TRIM(E1360))-1),TRIM(E1360)))</f>
        <v>United States</v>
      </c>
      <c r="M1360" s="7" t="str">
        <f aca="false">IFERROR(LEFT(J1360,FIND(",",J1360)-1),J1360)</f>
        <v>Action &amp; Adventure</v>
      </c>
      <c r="N1360" s="7" t="n">
        <f aca="false">IF(B1360="Movie",IFERROR(VALUE(LEFT(I1360,FIND(" ",I1360)-1)),""),"")</f>
        <v>89</v>
      </c>
      <c r="O1360" s="7" t="str">
        <f aca="false">IF(B1360="TV Show",IFERROR(VALUE(LEFT(I1360,FIND(" ",I1360)-1)),""),"")</f>
        <v/>
      </c>
      <c r="P1360" s="7" t="n">
        <f aca="false">IF(K1360="","",K1360-G1360)</f>
        <v>46</v>
      </c>
    </row>
    <row r="1361" customFormat="false" ht="15" hidden="false" customHeight="false" outlineLevel="0" collapsed="false">
      <c r="A1361" s="7" t="n">
        <v>70044705</v>
      </c>
      <c r="B1361" s="7" t="s">
        <v>68</v>
      </c>
      <c r="C1361" s="7" t="s">
        <v>3161</v>
      </c>
      <c r="D1361" s="7" t="s">
        <v>3162</v>
      </c>
      <c r="E1361" s="7" t="s">
        <v>26</v>
      </c>
      <c r="F1361" s="7" t="s">
        <v>3128</v>
      </c>
      <c r="G1361" s="7" t="n">
        <v>2007</v>
      </c>
      <c r="H1361" s="7" t="s">
        <v>52</v>
      </c>
      <c r="I1361" s="7" t="s">
        <v>470</v>
      </c>
      <c r="J1361" s="7" t="s">
        <v>967</v>
      </c>
      <c r="K1361" s="7" t="n">
        <f aca="false">IFERROR(VALUE(RIGHT(TRIM(F1361),4)),"")</f>
        <v>2019</v>
      </c>
      <c r="L1361" s="7" t="str">
        <f aca="false">IF(TRIM(E1361)="","Unknown",IFERROR(LEFT(TRIM(E1361),FIND(",",TRIM(E1361))-1),TRIM(E1361)))</f>
        <v>United States</v>
      </c>
      <c r="M1361" s="7" t="str">
        <f aca="false">IFERROR(LEFT(J1361,FIND(",",J1361)-1),J1361)</f>
        <v>Action &amp; Adventure</v>
      </c>
      <c r="N1361" s="7" t="n">
        <f aca="false">IF(B1361="Movie",IFERROR(VALUE(LEFT(I1361,FIND(" ",I1361)-1)),""),"")</f>
        <v>91</v>
      </c>
      <c r="O1361" s="7" t="str">
        <f aca="false">IF(B1361="TV Show",IFERROR(VALUE(LEFT(I1361,FIND(" ",I1361)-1)),""),"")</f>
        <v/>
      </c>
      <c r="P1361" s="7" t="n">
        <f aca="false">IF(K1361="","",K1361-G1361)</f>
        <v>12</v>
      </c>
    </row>
    <row r="1362" customFormat="false" ht="15" hidden="false" customHeight="false" outlineLevel="0" collapsed="false">
      <c r="A1362" s="7" t="n">
        <v>449931</v>
      </c>
      <c r="B1362" s="7" t="s">
        <v>68</v>
      </c>
      <c r="C1362" s="7" t="s">
        <v>3163</v>
      </c>
      <c r="D1362" s="7" t="s">
        <v>3164</v>
      </c>
      <c r="E1362" s="7" t="s">
        <v>3165</v>
      </c>
      <c r="F1362" s="7" t="s">
        <v>3128</v>
      </c>
      <c r="G1362" s="7" t="n">
        <v>1965</v>
      </c>
      <c r="H1362" s="7" t="s">
        <v>52</v>
      </c>
      <c r="I1362" s="7" t="s">
        <v>3166</v>
      </c>
      <c r="J1362" s="7" t="s">
        <v>3148</v>
      </c>
      <c r="K1362" s="7" t="n">
        <f aca="false">IFERROR(VALUE(RIGHT(TRIM(F1362),4)),"")</f>
        <v>2019</v>
      </c>
      <c r="L1362" s="7" t="str">
        <f aca="false">IF(TRIM(E1362)="","Unknown",IFERROR(LEFT(TRIM(E1362),FIND(",",TRIM(E1362))-1),TRIM(E1362)))</f>
        <v>United States</v>
      </c>
      <c r="M1362" s="7" t="str">
        <f aca="false">IFERROR(LEFT(J1362,FIND(",",J1362)-1),J1362)</f>
        <v>Classic Movies</v>
      </c>
      <c r="N1362" s="7" t="n">
        <f aca="false">IF(B1362="Movie",IFERROR(VALUE(LEFT(I1362,FIND(" ",I1362)-1)),""),"")</f>
        <v>200</v>
      </c>
      <c r="O1362" s="7" t="str">
        <f aca="false">IF(B1362="TV Show",IFERROR(VALUE(LEFT(I1362,FIND(" ",I1362)-1)),""),"")</f>
        <v/>
      </c>
      <c r="P1362" s="7" t="n">
        <f aca="false">IF(K1362="","",K1362-G1362)</f>
        <v>54</v>
      </c>
    </row>
    <row r="1363" customFormat="false" ht="15" hidden="false" customHeight="false" outlineLevel="0" collapsed="false">
      <c r="A1363" s="7" t="n">
        <v>81189912</v>
      </c>
      <c r="B1363" s="7" t="s">
        <v>68</v>
      </c>
      <c r="C1363" s="7" t="s">
        <v>2936</v>
      </c>
      <c r="D1363" s="7" t="s">
        <v>3167</v>
      </c>
      <c r="E1363" s="7" t="s">
        <v>27</v>
      </c>
      <c r="F1363" s="7" t="s">
        <v>3128</v>
      </c>
      <c r="G1363" s="7" t="n">
        <v>2019</v>
      </c>
      <c r="H1363" s="7" t="s">
        <v>49</v>
      </c>
      <c r="I1363" s="7" t="s">
        <v>519</v>
      </c>
      <c r="J1363" s="7" t="s">
        <v>322</v>
      </c>
      <c r="K1363" s="7" t="n">
        <f aca="false">IFERROR(VALUE(RIGHT(TRIM(F1363),4)),"")</f>
        <v>2019</v>
      </c>
      <c r="L1363" s="7" t="str">
        <f aca="false">IF(TRIM(E1363)="","Unknown",IFERROR(LEFT(TRIM(E1363),FIND(",",TRIM(E1363))-1),TRIM(E1363)))</f>
        <v>India</v>
      </c>
      <c r="M1363" s="7" t="str">
        <f aca="false">IFERROR(LEFT(J1363,FIND(",",J1363)-1),J1363)</f>
        <v>Action &amp; Adventure</v>
      </c>
      <c r="N1363" s="7" t="n">
        <f aca="false">IF(B1363="Movie",IFERROR(VALUE(LEFT(I1363,FIND(" ",I1363)-1)),""),"")</f>
        <v>119</v>
      </c>
      <c r="O1363" s="7" t="str">
        <f aca="false">IF(B1363="TV Show",IFERROR(VALUE(LEFT(I1363,FIND(" ",I1363)-1)),""),"")</f>
        <v/>
      </c>
      <c r="P1363" s="7" t="n">
        <f aca="false">IF(K1363="","",K1363-G1363)</f>
        <v>0</v>
      </c>
    </row>
    <row r="1364" customFormat="false" ht="15" hidden="false" customHeight="false" outlineLevel="0" collapsed="false">
      <c r="A1364" s="7" t="n">
        <v>80215046</v>
      </c>
      <c r="B1364" s="7" t="s">
        <v>68</v>
      </c>
      <c r="C1364" s="7" t="s">
        <v>3168</v>
      </c>
      <c r="D1364" s="7" t="s">
        <v>3169</v>
      </c>
      <c r="E1364" s="7" t="s">
        <v>29</v>
      </c>
      <c r="F1364" s="7" t="s">
        <v>3128</v>
      </c>
      <c r="G1364" s="7" t="n">
        <v>2018</v>
      </c>
      <c r="H1364" s="7" t="s">
        <v>54</v>
      </c>
      <c r="I1364" s="7" t="s">
        <v>73</v>
      </c>
      <c r="J1364" s="7" t="s">
        <v>42</v>
      </c>
      <c r="K1364" s="7" t="n">
        <f aca="false">IFERROR(VALUE(RIGHT(TRIM(F1364),4)),"")</f>
        <v>2019</v>
      </c>
      <c r="L1364" s="7" t="str">
        <f aca="false">IF(TRIM(E1364)="","Unknown",IFERROR(LEFT(TRIM(E1364),FIND(",",TRIM(E1364))-1),TRIM(E1364)))</f>
        <v>Canada</v>
      </c>
      <c r="M1364" s="7" t="str">
        <f aca="false">IFERROR(LEFT(J1364,FIND(",",J1364)-1),J1364)</f>
        <v>Children &amp; Family Movies</v>
      </c>
      <c r="N1364" s="7" t="n">
        <f aca="false">IF(B1364="Movie",IFERROR(VALUE(LEFT(I1364,FIND(" ",I1364)-1)),""),"")</f>
        <v>90</v>
      </c>
      <c r="O1364" s="7" t="str">
        <f aca="false">IF(B1364="TV Show",IFERROR(VALUE(LEFT(I1364,FIND(" ",I1364)-1)),""),"")</f>
        <v/>
      </c>
      <c r="P1364" s="7" t="n">
        <f aca="false">IF(K1364="","",K1364-G1364)</f>
        <v>1</v>
      </c>
    </row>
    <row r="1365" customFormat="false" ht="15" hidden="false" customHeight="false" outlineLevel="0" collapsed="false">
      <c r="A1365" s="7" t="n">
        <v>60036838</v>
      </c>
      <c r="B1365" s="7" t="s">
        <v>68</v>
      </c>
      <c r="C1365" s="7" t="s">
        <v>3170</v>
      </c>
      <c r="D1365" s="7" t="s">
        <v>3171</v>
      </c>
      <c r="E1365" s="7" t="s">
        <v>3172</v>
      </c>
      <c r="F1365" s="7" t="s">
        <v>3128</v>
      </c>
      <c r="G1365" s="7" t="n">
        <v>1973</v>
      </c>
      <c r="H1365" s="7" t="s">
        <v>51</v>
      </c>
      <c r="I1365" s="7" t="s">
        <v>330</v>
      </c>
      <c r="J1365" s="7" t="s">
        <v>3160</v>
      </c>
      <c r="K1365" s="7" t="n">
        <f aca="false">IFERROR(VALUE(RIGHT(TRIM(F1365),4)),"")</f>
        <v>2019</v>
      </c>
      <c r="L1365" s="7" t="str">
        <f aca="false">IF(TRIM(E1365)="","Unknown",IFERROR(LEFT(TRIM(E1365),FIND(",",TRIM(E1365))-1),TRIM(E1365)))</f>
        <v>Hong Kong</v>
      </c>
      <c r="M1365" s="7" t="str">
        <f aca="false">IFERROR(LEFT(J1365,FIND(",",J1365)-1),J1365)</f>
        <v>Action &amp; Adventure</v>
      </c>
      <c r="N1365" s="7" t="n">
        <f aca="false">IF(B1365="Movie",IFERROR(VALUE(LEFT(I1365,FIND(" ",I1365)-1)),""),"")</f>
        <v>103</v>
      </c>
      <c r="O1365" s="7" t="str">
        <f aca="false">IF(B1365="TV Show",IFERROR(VALUE(LEFT(I1365,FIND(" ",I1365)-1)),""),"")</f>
        <v/>
      </c>
      <c r="P1365" s="7" t="n">
        <f aca="false">IF(K1365="","",K1365-G1365)</f>
        <v>46</v>
      </c>
    </row>
    <row r="1366" customFormat="false" ht="15" hidden="false" customHeight="false" outlineLevel="0" collapsed="false">
      <c r="A1366" s="7" t="n">
        <v>81179693</v>
      </c>
      <c r="B1366" s="7" t="s">
        <v>68</v>
      </c>
      <c r="C1366" s="7" t="s">
        <v>3173</v>
      </c>
      <c r="D1366" s="7" t="s">
        <v>3174</v>
      </c>
      <c r="E1366" s="7" t="s">
        <v>855</v>
      </c>
      <c r="F1366" s="7" t="s">
        <v>3128</v>
      </c>
      <c r="G1366" s="7" t="n">
        <v>2018</v>
      </c>
      <c r="H1366" s="7" t="s">
        <v>51</v>
      </c>
      <c r="I1366" s="7" t="s">
        <v>93</v>
      </c>
      <c r="J1366" s="7" t="s">
        <v>3175</v>
      </c>
      <c r="K1366" s="7" t="n">
        <f aca="false">IFERROR(VALUE(RIGHT(TRIM(F1366),4)),"")</f>
        <v>2019</v>
      </c>
      <c r="L1366" s="7" t="str">
        <f aca="false">IF(TRIM(E1366)="","Unknown",IFERROR(LEFT(TRIM(E1366),FIND(",",TRIM(E1366))-1),TRIM(E1366)))</f>
        <v>Italy</v>
      </c>
      <c r="M1366" s="7" t="str">
        <f aca="false">IFERROR(LEFT(J1366,FIND(",",J1366)-1),J1366)</f>
        <v>Dramas</v>
      </c>
      <c r="N1366" s="7" t="n">
        <f aca="false">IF(B1366="Movie",IFERROR(VALUE(LEFT(I1366,FIND(" ",I1366)-1)),""),"")</f>
        <v>110</v>
      </c>
      <c r="O1366" s="7" t="str">
        <f aca="false">IF(B1366="TV Show",IFERROR(VALUE(LEFT(I1366,FIND(" ",I1366)-1)),""),"")</f>
        <v/>
      </c>
      <c r="P1366" s="7" t="n">
        <f aca="false">IF(K1366="","",K1366-G1366)</f>
        <v>1</v>
      </c>
    </row>
    <row r="1367" customFormat="false" ht="15" hidden="false" customHeight="false" outlineLevel="0" collapsed="false">
      <c r="A1367" s="7" t="n">
        <v>485218</v>
      </c>
      <c r="B1367" s="7" t="s">
        <v>68</v>
      </c>
      <c r="C1367" s="7" t="s">
        <v>3176</v>
      </c>
      <c r="D1367" s="7" t="s">
        <v>3177</v>
      </c>
      <c r="E1367" s="7" t="s">
        <v>26</v>
      </c>
      <c r="F1367" s="7" t="s">
        <v>3128</v>
      </c>
      <c r="G1367" s="7" t="n">
        <v>1996</v>
      </c>
      <c r="H1367" s="7" t="s">
        <v>51</v>
      </c>
      <c r="I1367" s="7" t="s">
        <v>201</v>
      </c>
      <c r="J1367" s="7" t="s">
        <v>40</v>
      </c>
      <c r="K1367" s="7" t="n">
        <f aca="false">IFERROR(VALUE(RIGHT(TRIM(F1367),4)),"")</f>
        <v>2019</v>
      </c>
      <c r="L1367" s="7" t="str">
        <f aca="false">IF(TRIM(E1367)="","Unknown",IFERROR(LEFT(TRIM(E1367),FIND(",",TRIM(E1367))-1),TRIM(E1367)))</f>
        <v>United States</v>
      </c>
      <c r="M1367" s="7" t="str">
        <f aca="false">IFERROR(LEFT(J1367,FIND(",",J1367)-1),J1367)</f>
        <v>Action &amp; Adventure</v>
      </c>
      <c r="N1367" s="7" t="n">
        <f aca="false">IF(B1367="Movie",IFERROR(VALUE(LEFT(I1367,FIND(" ",I1367)-1)),""),"")</f>
        <v>133</v>
      </c>
      <c r="O1367" s="7" t="str">
        <f aca="false">IF(B1367="TV Show",IFERROR(VALUE(LEFT(I1367,FIND(" ",I1367)-1)),""),"")</f>
        <v/>
      </c>
      <c r="P1367" s="7" t="n">
        <f aca="false">IF(K1367="","",K1367-G1367)</f>
        <v>23</v>
      </c>
    </row>
    <row r="1368" customFormat="false" ht="15" hidden="false" customHeight="false" outlineLevel="0" collapsed="false">
      <c r="A1368" s="7" t="n">
        <v>1192866</v>
      </c>
      <c r="B1368" s="7" t="s">
        <v>68</v>
      </c>
      <c r="C1368" s="7" t="s">
        <v>3178</v>
      </c>
      <c r="D1368" s="7" t="s">
        <v>3179</v>
      </c>
      <c r="E1368" s="7" t="s">
        <v>26</v>
      </c>
      <c r="F1368" s="7" t="s">
        <v>3128</v>
      </c>
      <c r="G1368" s="7" t="n">
        <v>1998</v>
      </c>
      <c r="H1368" s="7" t="s">
        <v>51</v>
      </c>
      <c r="I1368" s="7" t="s">
        <v>549</v>
      </c>
      <c r="J1368" s="7" t="s">
        <v>811</v>
      </c>
      <c r="K1368" s="7" t="n">
        <f aca="false">IFERROR(VALUE(RIGHT(TRIM(F1368),4)),"")</f>
        <v>2019</v>
      </c>
      <c r="L1368" s="7" t="str">
        <f aca="false">IF(TRIM(E1368)="","Unknown",IFERROR(LEFT(TRIM(E1368),FIND(",",TRIM(E1368))-1),TRIM(E1368)))</f>
        <v>United States</v>
      </c>
      <c r="M1368" s="7" t="str">
        <f aca="false">IFERROR(LEFT(J1368,FIND(",",J1368)-1),J1368)</f>
        <v>Thrillers</v>
      </c>
      <c r="N1368" s="7" t="n">
        <f aca="false">IF(B1368="Movie",IFERROR(VALUE(LEFT(I1368,FIND(" ",I1368)-1)),""),"")</f>
        <v>124</v>
      </c>
      <c r="O1368" s="7" t="str">
        <f aca="false">IF(B1368="TV Show",IFERROR(VALUE(LEFT(I1368,FIND(" ",I1368)-1)),""),"")</f>
        <v/>
      </c>
      <c r="P1368" s="7" t="n">
        <f aca="false">IF(K1368="","",K1368-G1368)</f>
        <v>21</v>
      </c>
    </row>
    <row r="1369" customFormat="false" ht="15" hidden="false" customHeight="false" outlineLevel="0" collapsed="false">
      <c r="A1369" s="7" t="n">
        <v>11819434</v>
      </c>
      <c r="B1369" s="7" t="s">
        <v>68</v>
      </c>
      <c r="C1369" s="7" t="s">
        <v>3180</v>
      </c>
      <c r="D1369" s="7" t="s">
        <v>3181</v>
      </c>
      <c r="E1369" s="7" t="s">
        <v>26</v>
      </c>
      <c r="F1369" s="7" t="s">
        <v>3128</v>
      </c>
      <c r="G1369" s="7" t="n">
        <v>1998</v>
      </c>
      <c r="H1369" s="7" t="s">
        <v>51</v>
      </c>
      <c r="I1369" s="7" t="s">
        <v>1270</v>
      </c>
      <c r="J1369" s="7" t="s">
        <v>893</v>
      </c>
      <c r="K1369" s="7" t="n">
        <f aca="false">IFERROR(VALUE(RIGHT(TRIM(F1369),4)),"")</f>
        <v>2019</v>
      </c>
      <c r="L1369" s="7" t="str">
        <f aca="false">IF(TRIM(E1369)="","Unknown",IFERROR(LEFT(TRIM(E1369),FIND(",",TRIM(E1369))-1),TRIM(E1369)))</f>
        <v>United States</v>
      </c>
      <c r="M1369" s="7" t="str">
        <f aca="false">IFERROR(LEFT(J1369,FIND(",",J1369)-1),J1369)</f>
        <v>Comedies</v>
      </c>
      <c r="N1369" s="7" t="n">
        <f aca="false">IF(B1369="Movie",IFERROR(VALUE(LEFT(I1369,FIND(" ",I1369)-1)),""),"")</f>
        <v>118</v>
      </c>
      <c r="O1369" s="7" t="str">
        <f aca="false">IF(B1369="TV Show",IFERROR(VALUE(LEFT(I1369,FIND(" ",I1369)-1)),""),"")</f>
        <v/>
      </c>
      <c r="P1369" s="7" t="n">
        <f aca="false">IF(K1369="","",K1369-G1369)</f>
        <v>21</v>
      </c>
    </row>
    <row r="1370" customFormat="false" ht="15" hidden="false" customHeight="false" outlineLevel="0" collapsed="false">
      <c r="A1370" s="7" t="n">
        <v>81050375</v>
      </c>
      <c r="B1370" s="7" t="s">
        <v>68</v>
      </c>
      <c r="C1370" s="7" t="s">
        <v>3182</v>
      </c>
      <c r="D1370" s="7" t="s">
        <v>3183</v>
      </c>
      <c r="E1370" s="7" t="s">
        <v>26</v>
      </c>
      <c r="F1370" s="7" t="s">
        <v>3128</v>
      </c>
      <c r="G1370" s="7" t="n">
        <v>2019</v>
      </c>
      <c r="H1370" s="7" t="s">
        <v>48</v>
      </c>
      <c r="I1370" s="7" t="s">
        <v>333</v>
      </c>
      <c r="J1370" s="7" t="s">
        <v>39</v>
      </c>
      <c r="K1370" s="7" t="n">
        <f aca="false">IFERROR(VALUE(RIGHT(TRIM(F1370),4)),"")</f>
        <v>2019</v>
      </c>
      <c r="L1370" s="7" t="str">
        <f aca="false">IF(TRIM(E1370)="","Unknown",IFERROR(LEFT(TRIM(E1370),FIND(",",TRIM(E1370))-1),TRIM(E1370)))</f>
        <v>United States</v>
      </c>
      <c r="M1370" s="7" t="str">
        <f aca="false">IFERROR(LEFT(J1370,FIND(",",J1370)-1),J1370)</f>
        <v>Documentaries</v>
      </c>
      <c r="N1370" s="7" t="n">
        <f aca="false">IF(B1370="Movie",IFERROR(VALUE(LEFT(I1370,FIND(" ",I1370)-1)),""),"")</f>
        <v>40</v>
      </c>
      <c r="O1370" s="7" t="str">
        <f aca="false">IF(B1370="TV Show",IFERROR(VALUE(LEFT(I1370,FIND(" ",I1370)-1)),""),"")</f>
        <v/>
      </c>
      <c r="P1370" s="7" t="n">
        <f aca="false">IF(K1370="","",K1370-G1370)</f>
        <v>0</v>
      </c>
    </row>
    <row r="1371" customFormat="false" ht="15" hidden="false" customHeight="false" outlineLevel="0" collapsed="false">
      <c r="A1371" s="7" t="n">
        <v>516788</v>
      </c>
      <c r="B1371" s="7" t="s">
        <v>68</v>
      </c>
      <c r="C1371" s="7" t="s">
        <v>3184</v>
      </c>
      <c r="D1371" s="7" t="s">
        <v>3185</v>
      </c>
      <c r="E1371" s="7" t="s">
        <v>26</v>
      </c>
      <c r="F1371" s="7" t="s">
        <v>3128</v>
      </c>
      <c r="G1371" s="7" t="n">
        <v>1956</v>
      </c>
      <c r="H1371" s="7" t="s">
        <v>612</v>
      </c>
      <c r="I1371" s="7" t="s">
        <v>134</v>
      </c>
      <c r="J1371" s="7" t="s">
        <v>3186</v>
      </c>
      <c r="K1371" s="7" t="n">
        <f aca="false">IFERROR(VALUE(RIGHT(TRIM(F1371),4)),"")</f>
        <v>2019</v>
      </c>
      <c r="L1371" s="7" t="str">
        <f aca="false">IF(TRIM(E1371)="","Unknown",IFERROR(LEFT(TRIM(E1371),FIND(",",TRIM(E1371))-1),TRIM(E1371)))</f>
        <v>United States</v>
      </c>
      <c r="M1371" s="7" t="str">
        <f aca="false">IFERROR(LEFT(J1371,FIND(",",J1371)-1),J1371)</f>
        <v>Action &amp; Adventure</v>
      </c>
      <c r="N1371" s="7" t="n">
        <f aca="false">IF(B1371="Movie",IFERROR(VALUE(LEFT(I1371,FIND(" ",I1371)-1)),""),"")</f>
        <v>98</v>
      </c>
      <c r="O1371" s="7" t="str">
        <f aca="false">IF(B1371="TV Show",IFERROR(VALUE(LEFT(I1371,FIND(" ",I1371)-1)),""),"")</f>
        <v/>
      </c>
      <c r="P1371" s="7" t="n">
        <f aca="false">IF(K1371="","",K1371-G1371)</f>
        <v>63</v>
      </c>
    </row>
    <row r="1372" customFormat="false" ht="15" hidden="false" customHeight="false" outlineLevel="0" collapsed="false">
      <c r="A1372" s="7" t="n">
        <v>70048968</v>
      </c>
      <c r="B1372" s="7" t="s">
        <v>68</v>
      </c>
      <c r="C1372" s="7" t="s">
        <v>3187</v>
      </c>
      <c r="D1372" s="7" t="s">
        <v>3188</v>
      </c>
      <c r="E1372" s="7" t="s">
        <v>26</v>
      </c>
      <c r="F1372" s="7" t="s">
        <v>3128</v>
      </c>
      <c r="G1372" s="7" t="n">
        <v>2005</v>
      </c>
      <c r="H1372" s="7" t="s">
        <v>52</v>
      </c>
      <c r="I1372" s="7" t="s">
        <v>340</v>
      </c>
      <c r="J1372" s="7" t="s">
        <v>177</v>
      </c>
      <c r="K1372" s="7" t="n">
        <f aca="false">IFERROR(VALUE(RIGHT(TRIM(F1372),4)),"")</f>
        <v>2019</v>
      </c>
      <c r="L1372" s="7" t="str">
        <f aca="false">IF(TRIM(E1372)="","Unknown",IFERROR(LEFT(TRIM(E1372),FIND(",",TRIM(E1372))-1),TRIM(E1372)))</f>
        <v>United States</v>
      </c>
      <c r="M1372" s="7" t="str">
        <f aca="false">IFERROR(LEFT(J1372,FIND(",",J1372)-1),J1372)</f>
        <v>Comedies</v>
      </c>
      <c r="N1372" s="7" t="n">
        <f aca="false">IF(B1372="Movie",IFERROR(VALUE(LEFT(I1372,FIND(" ",I1372)-1)),""),"")</f>
        <v>85</v>
      </c>
      <c r="O1372" s="7" t="str">
        <f aca="false">IF(B1372="TV Show",IFERROR(VALUE(LEFT(I1372,FIND(" ",I1372)-1)),""),"")</f>
        <v/>
      </c>
      <c r="P1372" s="7" t="n">
        <f aca="false">IF(K1372="","",K1372-G1372)</f>
        <v>14</v>
      </c>
    </row>
    <row r="1373" customFormat="false" ht="15" hidden="false" customHeight="false" outlineLevel="0" collapsed="false">
      <c r="A1373" s="7" t="n">
        <v>542137</v>
      </c>
      <c r="B1373" s="7" t="s">
        <v>68</v>
      </c>
      <c r="C1373" s="7" t="s">
        <v>3189</v>
      </c>
      <c r="D1373" s="7" t="s">
        <v>3190</v>
      </c>
      <c r="E1373" s="7" t="s">
        <v>26</v>
      </c>
      <c r="F1373" s="7" t="s">
        <v>3128</v>
      </c>
      <c r="G1373" s="7" t="n">
        <v>1958</v>
      </c>
      <c r="H1373" s="7" t="s">
        <v>612</v>
      </c>
      <c r="I1373" s="7" t="s">
        <v>1405</v>
      </c>
      <c r="J1373" s="7" t="s">
        <v>3191</v>
      </c>
      <c r="K1373" s="7" t="n">
        <f aca="false">IFERROR(VALUE(RIGHT(TRIM(F1373),4)),"")</f>
        <v>2019</v>
      </c>
      <c r="L1373" s="7" t="str">
        <f aca="false">IF(TRIM(E1373)="","Unknown",IFERROR(LEFT(TRIM(E1373),FIND(",",TRIM(E1373))-1),TRIM(E1373)))</f>
        <v>United States</v>
      </c>
      <c r="M1373" s="7" t="str">
        <f aca="false">IFERROR(LEFT(J1373,FIND(",",J1373)-1),J1373)</f>
        <v>Classic Movies</v>
      </c>
      <c r="N1373" s="7" t="n">
        <f aca="false">IF(B1373="Movie",IFERROR(VALUE(LEFT(I1373,FIND(" ",I1373)-1)),""),"")</f>
        <v>115</v>
      </c>
      <c r="O1373" s="7" t="str">
        <f aca="false">IF(B1373="TV Show",IFERROR(VALUE(LEFT(I1373,FIND(" ",I1373)-1)),""),"")</f>
        <v/>
      </c>
      <c r="P1373" s="7" t="n">
        <f aca="false">IF(K1373="","",K1373-G1373)</f>
        <v>61</v>
      </c>
    </row>
    <row r="1374" customFormat="false" ht="15" hidden="false" customHeight="false" outlineLevel="0" collapsed="false">
      <c r="A1374" s="7" t="n">
        <v>60021796</v>
      </c>
      <c r="B1374" s="7" t="s">
        <v>68</v>
      </c>
      <c r="C1374" s="7" t="s">
        <v>3192</v>
      </c>
      <c r="D1374" s="7" t="s">
        <v>2664</v>
      </c>
      <c r="E1374" s="7" t="s">
        <v>3193</v>
      </c>
      <c r="F1374" s="7" t="s">
        <v>3128</v>
      </c>
      <c r="G1374" s="7" t="n">
        <v>2001</v>
      </c>
      <c r="H1374" s="7" t="s">
        <v>51</v>
      </c>
      <c r="I1374" s="7" t="s">
        <v>749</v>
      </c>
      <c r="J1374" s="7" t="s">
        <v>217</v>
      </c>
      <c r="K1374" s="7" t="n">
        <f aca="false">IFERROR(VALUE(RIGHT(TRIM(F1374),4)),"")</f>
        <v>2019</v>
      </c>
      <c r="L1374" s="7" t="str">
        <f aca="false">IF(TRIM(E1374)="","Unknown",IFERROR(LEFT(TRIM(E1374),FIND(",",TRIM(E1374))-1),TRIM(E1374)))</f>
        <v>United States</v>
      </c>
      <c r="M1374" s="7" t="str">
        <f aca="false">IFERROR(LEFT(J1374,FIND(",",J1374)-1),J1374)</f>
        <v>Comedies</v>
      </c>
      <c r="N1374" s="7" t="n">
        <f aca="false">IF(B1374="Movie",IFERROR(VALUE(LEFT(I1374,FIND(" ",I1374)-1)),""),"")</f>
        <v>137</v>
      </c>
      <c r="O1374" s="7" t="str">
        <f aca="false">IF(B1374="TV Show",IFERROR(VALUE(LEFT(I1374,FIND(" ",I1374)-1)),""),"")</f>
        <v/>
      </c>
      <c r="P1374" s="7" t="n">
        <f aca="false">IF(K1374="","",K1374-G1374)</f>
        <v>18</v>
      </c>
    </row>
    <row r="1375" customFormat="false" ht="15" hidden="false" customHeight="false" outlineLevel="0" collapsed="false">
      <c r="A1375" s="7" t="n">
        <v>60031247</v>
      </c>
      <c r="B1375" s="7" t="s">
        <v>68</v>
      </c>
      <c r="C1375" s="7" t="s">
        <v>3194</v>
      </c>
      <c r="D1375" s="7" t="s">
        <v>3195</v>
      </c>
      <c r="E1375" s="7" t="s">
        <v>3196</v>
      </c>
      <c r="F1375" s="7" t="s">
        <v>3128</v>
      </c>
      <c r="G1375" s="7" t="n">
        <v>2003</v>
      </c>
      <c r="H1375" s="7" t="s">
        <v>51</v>
      </c>
      <c r="I1375" s="7" t="s">
        <v>134</v>
      </c>
      <c r="J1375" s="7" t="s">
        <v>147</v>
      </c>
      <c r="K1375" s="7" t="n">
        <f aca="false">IFERROR(VALUE(RIGHT(TRIM(F1375),4)),"")</f>
        <v>2019</v>
      </c>
      <c r="L1375" s="7" t="str">
        <f aca="false">IF(TRIM(E1375)="","Unknown",IFERROR(LEFT(TRIM(E1375),FIND(",",TRIM(E1375))-1),TRIM(E1375)))</f>
        <v>United States</v>
      </c>
      <c r="M1375" s="7" t="str">
        <f aca="false">IFERROR(LEFT(J1375,FIND(",",J1375)-1),J1375)</f>
        <v>Horror Movies</v>
      </c>
      <c r="N1375" s="7" t="n">
        <f aca="false">IF(B1375="Movie",IFERROR(VALUE(LEFT(I1375,FIND(" ",I1375)-1)),""),"")</f>
        <v>98</v>
      </c>
      <c r="O1375" s="7" t="str">
        <f aca="false">IF(B1375="TV Show",IFERROR(VALUE(LEFT(I1375,FIND(" ",I1375)-1)),""),"")</f>
        <v/>
      </c>
      <c r="P1375" s="7" t="n">
        <f aca="false">IF(K1375="","",K1375-G1375)</f>
        <v>16</v>
      </c>
    </row>
    <row r="1376" customFormat="false" ht="15" hidden="false" customHeight="false" outlineLevel="0" collapsed="false">
      <c r="A1376" s="7" t="n">
        <v>60000577</v>
      </c>
      <c r="B1376" s="7" t="s">
        <v>68</v>
      </c>
      <c r="C1376" s="7" t="s">
        <v>3197</v>
      </c>
      <c r="D1376" s="7" t="s">
        <v>3198</v>
      </c>
      <c r="E1376" s="7" t="s">
        <v>26</v>
      </c>
      <c r="F1376" s="7" t="s">
        <v>3128</v>
      </c>
      <c r="G1376" s="7" t="n">
        <v>1978</v>
      </c>
      <c r="H1376" s="7" t="s">
        <v>54</v>
      </c>
      <c r="I1376" s="7" t="s">
        <v>93</v>
      </c>
      <c r="J1376" s="7" t="s">
        <v>3191</v>
      </c>
      <c r="K1376" s="7" t="n">
        <f aca="false">IFERROR(VALUE(RIGHT(TRIM(F1376),4)),"")</f>
        <v>2019</v>
      </c>
      <c r="L1376" s="7" t="str">
        <f aca="false">IF(TRIM(E1376)="","Unknown",IFERROR(LEFT(TRIM(E1376),FIND(",",TRIM(E1376))-1),TRIM(E1376)))</f>
        <v>United States</v>
      </c>
      <c r="M1376" s="7" t="str">
        <f aca="false">IFERROR(LEFT(J1376,FIND(",",J1376)-1),J1376)</f>
        <v>Classic Movies</v>
      </c>
      <c r="N1376" s="7" t="n">
        <f aca="false">IF(B1376="Movie",IFERROR(VALUE(LEFT(I1376,FIND(" ",I1376)-1)),""),"")</f>
        <v>110</v>
      </c>
      <c r="O1376" s="7" t="str">
        <f aca="false">IF(B1376="TV Show",IFERROR(VALUE(LEFT(I1376,FIND(" ",I1376)-1)),""),"")</f>
        <v/>
      </c>
      <c r="P1376" s="7" t="n">
        <f aca="false">IF(K1376="","",K1376-G1376)</f>
        <v>41</v>
      </c>
    </row>
    <row r="1377" customFormat="false" ht="15" hidden="false" customHeight="false" outlineLevel="0" collapsed="false">
      <c r="A1377" s="7" t="n">
        <v>80241387</v>
      </c>
      <c r="B1377" s="7" t="s">
        <v>78</v>
      </c>
      <c r="C1377" s="7" t="s">
        <v>3199</v>
      </c>
      <c r="E1377" s="7" t="s">
        <v>33</v>
      </c>
      <c r="F1377" s="7" t="s">
        <v>3128</v>
      </c>
      <c r="G1377" s="7" t="n">
        <v>2019</v>
      </c>
      <c r="H1377" s="7" t="s">
        <v>48</v>
      </c>
      <c r="I1377" s="7" t="s">
        <v>82</v>
      </c>
      <c r="J1377" s="7" t="s">
        <v>89</v>
      </c>
      <c r="K1377" s="7" t="n">
        <f aca="false">IFERROR(VALUE(RIGHT(TRIM(F1377),4)),"")</f>
        <v>2019</v>
      </c>
      <c r="L1377" s="7" t="str">
        <f aca="false">IF(TRIM(E1377)="","Unknown",IFERROR(LEFT(TRIM(E1377),FIND(",",TRIM(E1377))-1),TRIM(E1377)))</f>
        <v>Spain</v>
      </c>
      <c r="M1377" s="7" t="str">
        <f aca="false">IFERROR(LEFT(J1377,FIND(",",J1377)-1),J1377)</f>
        <v>Crime TV Shows</v>
      </c>
      <c r="N1377" s="7" t="str">
        <f aca="false">IF(B1377="Movie",IFERROR(VALUE(LEFT(I1377,FIND(" ",I1377)-1)),""),"")</f>
        <v/>
      </c>
      <c r="O1377" s="7" t="n">
        <f aca="false">IF(B1377="TV Show",IFERROR(VALUE(LEFT(I1377,FIND(" ",I1377)-1)),""),"")</f>
        <v>1</v>
      </c>
      <c r="P1377" s="7" t="n">
        <f aca="false">IF(K1377="","",K1377-G1377)</f>
        <v>0</v>
      </c>
    </row>
    <row r="1378" customFormat="false" ht="15" hidden="false" customHeight="false" outlineLevel="0" collapsed="false">
      <c r="A1378" s="7" t="n">
        <v>70039241</v>
      </c>
      <c r="B1378" s="7" t="s">
        <v>68</v>
      </c>
      <c r="C1378" s="7" t="s">
        <v>3200</v>
      </c>
      <c r="F1378" s="7" t="s">
        <v>3128</v>
      </c>
      <c r="G1378" s="7" t="n">
        <v>2005</v>
      </c>
      <c r="H1378" s="7" t="s">
        <v>49</v>
      </c>
      <c r="I1378" s="7" t="s">
        <v>1595</v>
      </c>
      <c r="J1378" s="7" t="s">
        <v>1085</v>
      </c>
      <c r="K1378" s="7" t="n">
        <f aca="false">IFERROR(VALUE(RIGHT(TRIM(F1378),4)),"")</f>
        <v>2019</v>
      </c>
      <c r="L1378" s="7" t="str">
        <f aca="false">IF(TRIM(E1378)="","Unknown",IFERROR(LEFT(TRIM(E1378),FIND(",",TRIM(E1378))-1),TRIM(E1378)))</f>
        <v>Unknown</v>
      </c>
      <c r="M1378" s="7" t="str">
        <f aca="false">IFERROR(LEFT(J1378,FIND(",",J1378)-1),J1378)</f>
        <v>Documentaries</v>
      </c>
      <c r="N1378" s="7" t="n">
        <f aca="false">IF(B1378="Movie",IFERROR(VALUE(LEFT(I1378,FIND(" ",I1378)-1)),""),"")</f>
        <v>55</v>
      </c>
      <c r="O1378" s="7" t="str">
        <f aca="false">IF(B1378="TV Show",IFERROR(VALUE(LEFT(I1378,FIND(" ",I1378)-1)),""),"")</f>
        <v/>
      </c>
      <c r="P1378" s="7" t="n">
        <f aca="false">IF(K1378="","",K1378-G1378)</f>
        <v>14</v>
      </c>
    </row>
    <row r="1379" customFormat="false" ht="15" hidden="false" customHeight="false" outlineLevel="0" collapsed="false">
      <c r="A1379" s="7" t="n">
        <v>80227818</v>
      </c>
      <c r="B1379" s="7" t="s">
        <v>78</v>
      </c>
      <c r="C1379" s="7" t="s">
        <v>3201</v>
      </c>
      <c r="F1379" s="7" t="s">
        <v>3128</v>
      </c>
      <c r="G1379" s="7" t="n">
        <v>2019</v>
      </c>
      <c r="H1379" s="7" t="s">
        <v>119</v>
      </c>
      <c r="I1379" s="7" t="s">
        <v>82</v>
      </c>
      <c r="J1379" s="7" t="s">
        <v>44</v>
      </c>
      <c r="K1379" s="7" t="n">
        <f aca="false">IFERROR(VALUE(RIGHT(TRIM(F1379),4)),"")</f>
        <v>2019</v>
      </c>
      <c r="L1379" s="7" t="str">
        <f aca="false">IF(TRIM(E1379)="","Unknown",IFERROR(LEFT(TRIM(E1379),FIND(",",TRIM(E1379))-1),TRIM(E1379)))</f>
        <v>Unknown</v>
      </c>
      <c r="M1379" s="7" t="str">
        <f aca="false">IFERROR(LEFT(J1379,FIND(",",J1379)-1),J1379)</f>
        <v>Kids' TV</v>
      </c>
      <c r="N1379" s="7" t="str">
        <f aca="false">IF(B1379="Movie",IFERROR(VALUE(LEFT(I1379,FIND(" ",I1379)-1)),""),"")</f>
        <v/>
      </c>
      <c r="O1379" s="7" t="n">
        <f aca="false">IF(B1379="TV Show",IFERROR(VALUE(LEFT(I1379,FIND(" ",I1379)-1)),""),"")</f>
        <v>1</v>
      </c>
      <c r="P1379" s="7" t="n">
        <f aca="false">IF(K1379="","",K1379-G1379)</f>
        <v>0</v>
      </c>
    </row>
    <row r="1380" customFormat="false" ht="15" hidden="false" customHeight="false" outlineLevel="0" collapsed="false">
      <c r="A1380" s="7" t="n">
        <v>80231468</v>
      </c>
      <c r="B1380" s="7" t="s">
        <v>68</v>
      </c>
      <c r="C1380" s="7" t="s">
        <v>3202</v>
      </c>
      <c r="D1380" s="7" t="s">
        <v>3203</v>
      </c>
      <c r="F1380" s="7" t="s">
        <v>3128</v>
      </c>
      <c r="G1380" s="7" t="n">
        <v>2019</v>
      </c>
      <c r="H1380" s="7" t="s">
        <v>50</v>
      </c>
      <c r="I1380" s="7" t="s">
        <v>212</v>
      </c>
      <c r="J1380" s="7" t="s">
        <v>2536</v>
      </c>
      <c r="K1380" s="7" t="n">
        <f aca="false">IFERROR(VALUE(RIGHT(TRIM(F1380),4)),"")</f>
        <v>2019</v>
      </c>
      <c r="L1380" s="7" t="str">
        <f aca="false">IF(TRIM(E1380)="","Unknown",IFERROR(LEFT(TRIM(E1380),FIND(",",TRIM(E1380))-1),TRIM(E1380)))</f>
        <v>Unknown</v>
      </c>
      <c r="M1380" s="7" t="str">
        <f aca="false">IFERROR(LEFT(J1380,FIND(",",J1380)-1),J1380)</f>
        <v>Children &amp; Family Movies</v>
      </c>
      <c r="N1380" s="7" t="n">
        <f aca="false">IF(B1380="Movie",IFERROR(VALUE(LEFT(I1380,FIND(" ",I1380)-1)),""),"")</f>
        <v>86</v>
      </c>
      <c r="O1380" s="7" t="str">
        <f aca="false">IF(B1380="TV Show",IFERROR(VALUE(LEFT(I1380,FIND(" ",I1380)-1)),""),"")</f>
        <v/>
      </c>
      <c r="P1380" s="7" t="n">
        <f aca="false">IF(K1380="","",K1380-G1380)</f>
        <v>0</v>
      </c>
    </row>
    <row r="1381" customFormat="false" ht="15" hidden="false" customHeight="false" outlineLevel="0" collapsed="false">
      <c r="A1381" s="7" t="n">
        <v>81083786</v>
      </c>
      <c r="B1381" s="7" t="s">
        <v>68</v>
      </c>
      <c r="C1381" s="7" t="s">
        <v>3204</v>
      </c>
      <c r="D1381" s="7" t="s">
        <v>3205</v>
      </c>
      <c r="E1381" s="7" t="s">
        <v>26</v>
      </c>
      <c r="F1381" s="7" t="s">
        <v>3128</v>
      </c>
      <c r="G1381" s="7" t="n">
        <v>2018</v>
      </c>
      <c r="H1381" s="7" t="s">
        <v>54</v>
      </c>
      <c r="I1381" s="7" t="s">
        <v>311</v>
      </c>
      <c r="J1381" s="7" t="s">
        <v>829</v>
      </c>
      <c r="K1381" s="7" t="n">
        <f aca="false">IFERROR(VALUE(RIGHT(TRIM(F1381),4)),"")</f>
        <v>2019</v>
      </c>
      <c r="L1381" s="7" t="str">
        <f aca="false">IF(TRIM(E1381)="","Unknown",IFERROR(LEFT(TRIM(E1381),FIND(",",TRIM(E1381))-1),TRIM(E1381)))</f>
        <v>United States</v>
      </c>
      <c r="M1381" s="7" t="str">
        <f aca="false">IFERROR(LEFT(J1381,FIND(",",J1381)-1),J1381)</f>
        <v>Children &amp; Family Movies</v>
      </c>
      <c r="N1381" s="7" t="n">
        <f aca="false">IF(B1381="Movie",IFERROR(VALUE(LEFT(I1381,FIND(" ",I1381)-1)),""),"")</f>
        <v>92</v>
      </c>
      <c r="O1381" s="7" t="str">
        <f aca="false">IF(B1381="TV Show",IFERROR(VALUE(LEFT(I1381,FIND(" ",I1381)-1)),""),"")</f>
        <v/>
      </c>
      <c r="P1381" s="7" t="n">
        <f aca="false">IF(K1381="","",K1381-G1381)</f>
        <v>1</v>
      </c>
    </row>
    <row r="1382" customFormat="false" ht="15" hidden="false" customHeight="false" outlineLevel="0" collapsed="false">
      <c r="A1382" s="7" t="n">
        <v>80153894</v>
      </c>
      <c r="B1382" s="7" t="s">
        <v>68</v>
      </c>
      <c r="C1382" s="7" t="s">
        <v>3206</v>
      </c>
      <c r="D1382" s="7" t="s">
        <v>3207</v>
      </c>
      <c r="E1382" s="7" t="s">
        <v>1335</v>
      </c>
      <c r="F1382" s="7" t="s">
        <v>3128</v>
      </c>
      <c r="G1382" s="7" t="n">
        <v>2017</v>
      </c>
      <c r="H1382" s="7" t="s">
        <v>52</v>
      </c>
      <c r="I1382" s="7" t="s">
        <v>237</v>
      </c>
      <c r="J1382" s="7" t="s">
        <v>38</v>
      </c>
      <c r="K1382" s="7" t="n">
        <f aca="false">IFERROR(VALUE(RIGHT(TRIM(F1382),4)),"")</f>
        <v>2019</v>
      </c>
      <c r="L1382" s="7" t="str">
        <f aca="false">IF(TRIM(E1382)="","Unknown",IFERROR(LEFT(TRIM(E1382),FIND(",",TRIM(E1382))-1),TRIM(E1382)))</f>
        <v>Mexico</v>
      </c>
      <c r="M1382" s="7" t="str">
        <f aca="false">IFERROR(LEFT(J1382,FIND(",",J1382)-1),J1382)</f>
        <v>Comedies</v>
      </c>
      <c r="N1382" s="7" t="n">
        <f aca="false">IF(B1382="Movie",IFERROR(VALUE(LEFT(I1382,FIND(" ",I1382)-1)),""),"")</f>
        <v>116</v>
      </c>
      <c r="O1382" s="7" t="str">
        <f aca="false">IF(B1382="TV Show",IFERROR(VALUE(LEFT(I1382,FIND(" ",I1382)-1)),""),"")</f>
        <v/>
      </c>
      <c r="P1382" s="7" t="n">
        <f aca="false">IF(K1382="","",K1382-G1382)</f>
        <v>2</v>
      </c>
    </row>
    <row r="1383" customFormat="false" ht="15" hidden="false" customHeight="false" outlineLevel="0" collapsed="false">
      <c r="A1383" s="7" t="n">
        <v>1179333</v>
      </c>
      <c r="B1383" s="7" t="s">
        <v>68</v>
      </c>
      <c r="C1383" s="7" t="s">
        <v>3208</v>
      </c>
      <c r="D1383" s="7" t="s">
        <v>3209</v>
      </c>
      <c r="E1383" s="7" t="s">
        <v>26</v>
      </c>
      <c r="F1383" s="7" t="s">
        <v>3128</v>
      </c>
      <c r="G1383" s="7" t="n">
        <v>1997</v>
      </c>
      <c r="H1383" s="7" t="s">
        <v>51</v>
      </c>
      <c r="I1383" s="7" t="s">
        <v>77</v>
      </c>
      <c r="J1383" s="7" t="s">
        <v>38</v>
      </c>
      <c r="K1383" s="7" t="n">
        <f aca="false">IFERROR(VALUE(RIGHT(TRIM(F1383),4)),"")</f>
        <v>2019</v>
      </c>
      <c r="L1383" s="7" t="str">
        <f aca="false">IF(TRIM(E1383)="","Unknown",IFERROR(LEFT(TRIM(E1383),FIND(",",TRIM(E1383))-1),TRIM(E1383)))</f>
        <v>United States</v>
      </c>
      <c r="M1383" s="7" t="str">
        <f aca="false">IFERROR(LEFT(J1383,FIND(",",J1383)-1),J1383)</f>
        <v>Comedies</v>
      </c>
      <c r="N1383" s="7" t="n">
        <f aca="false">IF(B1383="Movie",IFERROR(VALUE(LEFT(I1383,FIND(" ",I1383)-1)),""),"")</f>
        <v>94</v>
      </c>
      <c r="O1383" s="7" t="str">
        <f aca="false">IF(B1383="TV Show",IFERROR(VALUE(LEFT(I1383,FIND(" ",I1383)-1)),""),"")</f>
        <v/>
      </c>
      <c r="P1383" s="7" t="n">
        <f aca="false">IF(K1383="","",K1383-G1383)</f>
        <v>22</v>
      </c>
    </row>
    <row r="1384" customFormat="false" ht="15" hidden="false" customHeight="false" outlineLevel="0" collapsed="false">
      <c r="A1384" s="7" t="n">
        <v>70118779</v>
      </c>
      <c r="B1384" s="7" t="s">
        <v>68</v>
      </c>
      <c r="C1384" s="7" t="s">
        <v>3210</v>
      </c>
      <c r="D1384" s="7" t="s">
        <v>917</v>
      </c>
      <c r="E1384" s="7" t="s">
        <v>26</v>
      </c>
      <c r="F1384" s="7" t="s">
        <v>3128</v>
      </c>
      <c r="G1384" s="7" t="n">
        <v>2009</v>
      </c>
      <c r="H1384" s="7" t="s">
        <v>52</v>
      </c>
      <c r="I1384" s="7" t="s">
        <v>2192</v>
      </c>
      <c r="J1384" s="7" t="s">
        <v>1383</v>
      </c>
      <c r="K1384" s="7" t="n">
        <f aca="false">IFERROR(VALUE(RIGHT(TRIM(F1384),4)),"")</f>
        <v>2019</v>
      </c>
      <c r="L1384" s="7" t="str">
        <f aca="false">IF(TRIM(E1384)="","Unknown",IFERROR(LEFT(TRIM(E1384),FIND(",",TRIM(E1384))-1),TRIM(E1384)))</f>
        <v>United States</v>
      </c>
      <c r="M1384" s="7" t="str">
        <f aca="false">IFERROR(LEFT(J1384,FIND(",",J1384)-1),J1384)</f>
        <v>Dramas</v>
      </c>
      <c r="N1384" s="7" t="n">
        <f aca="false">IF(B1384="Movie",IFERROR(VALUE(LEFT(I1384,FIND(" ",I1384)-1)),""),"")</f>
        <v>134</v>
      </c>
      <c r="O1384" s="7" t="str">
        <f aca="false">IF(B1384="TV Show",IFERROR(VALUE(LEFT(I1384,FIND(" ",I1384)-1)),""),"")</f>
        <v/>
      </c>
      <c r="P1384" s="7" t="n">
        <f aca="false">IF(K1384="","",K1384-G1384)</f>
        <v>10</v>
      </c>
    </row>
    <row r="1385" customFormat="false" ht="15" hidden="false" customHeight="false" outlineLevel="0" collapsed="false">
      <c r="A1385" s="7" t="n">
        <v>653673</v>
      </c>
      <c r="B1385" s="7" t="s">
        <v>68</v>
      </c>
      <c r="C1385" s="7" t="s">
        <v>3211</v>
      </c>
      <c r="D1385" s="7" t="s">
        <v>3212</v>
      </c>
      <c r="E1385" s="7" t="s">
        <v>26</v>
      </c>
      <c r="F1385" s="7" t="s">
        <v>3128</v>
      </c>
      <c r="G1385" s="7" t="n">
        <v>1973</v>
      </c>
      <c r="H1385" s="7" t="s">
        <v>51</v>
      </c>
      <c r="I1385" s="7" t="s">
        <v>181</v>
      </c>
      <c r="J1385" s="7" t="s">
        <v>509</v>
      </c>
      <c r="K1385" s="7" t="n">
        <f aca="false">IFERROR(VALUE(RIGHT(TRIM(F1385),4)),"")</f>
        <v>2019</v>
      </c>
      <c r="L1385" s="7" t="str">
        <f aca="false">IF(TRIM(E1385)="","Unknown",IFERROR(LEFT(TRIM(E1385),FIND(",",TRIM(E1385))-1),TRIM(E1385)))</f>
        <v>United States</v>
      </c>
      <c r="M1385" s="7" t="str">
        <f aca="false">IFERROR(LEFT(J1385,FIND(",",J1385)-1),J1385)</f>
        <v>Documentaries</v>
      </c>
      <c r="N1385" s="7" t="n">
        <f aca="false">IF(B1385="Movie",IFERROR(VALUE(LEFT(I1385,FIND(" ",I1385)-1)),""),"")</f>
        <v>102</v>
      </c>
      <c r="O1385" s="7" t="str">
        <f aca="false">IF(B1385="TV Show",IFERROR(VALUE(LEFT(I1385,FIND(" ",I1385)-1)),""),"")</f>
        <v/>
      </c>
      <c r="P1385" s="7" t="n">
        <f aca="false">IF(K1385="","",K1385-G1385)</f>
        <v>46</v>
      </c>
    </row>
    <row r="1386" customFormat="false" ht="15" hidden="false" customHeight="false" outlineLevel="0" collapsed="false">
      <c r="A1386" s="7" t="n">
        <v>70020947</v>
      </c>
      <c r="B1386" s="7" t="s">
        <v>68</v>
      </c>
      <c r="C1386" s="7" t="s">
        <v>3213</v>
      </c>
      <c r="D1386" s="7" t="s">
        <v>3214</v>
      </c>
      <c r="E1386" s="7" t="s">
        <v>230</v>
      </c>
      <c r="F1386" s="7" t="s">
        <v>3128</v>
      </c>
      <c r="G1386" s="7" t="n">
        <v>2005</v>
      </c>
      <c r="H1386" s="7" t="s">
        <v>52</v>
      </c>
      <c r="I1386" s="7" t="s">
        <v>134</v>
      </c>
      <c r="J1386" s="7" t="s">
        <v>967</v>
      </c>
      <c r="K1386" s="7" t="n">
        <f aca="false">IFERROR(VALUE(RIGHT(TRIM(F1386),4)),"")</f>
        <v>2019</v>
      </c>
      <c r="L1386" s="7" t="str">
        <f aca="false">IF(TRIM(E1386)="","Unknown",IFERROR(LEFT(TRIM(E1386),FIND(",",TRIM(E1386))-1),TRIM(E1386)))</f>
        <v>United States</v>
      </c>
      <c r="M1386" s="7" t="str">
        <f aca="false">IFERROR(LEFT(J1386,FIND(",",J1386)-1),J1386)</f>
        <v>Action &amp; Adventure</v>
      </c>
      <c r="N1386" s="7" t="n">
        <f aca="false">IF(B1386="Movie",IFERROR(VALUE(LEFT(I1386,FIND(" ",I1386)-1)),""),"")</f>
        <v>98</v>
      </c>
      <c r="O1386" s="7" t="str">
        <f aca="false">IF(B1386="TV Show",IFERROR(VALUE(LEFT(I1386,FIND(" ",I1386)-1)),""),"")</f>
        <v/>
      </c>
      <c r="P1386" s="7" t="n">
        <f aca="false">IF(K1386="","",K1386-G1386)</f>
        <v>14</v>
      </c>
    </row>
    <row r="1387" customFormat="false" ht="15" hidden="false" customHeight="false" outlineLevel="0" collapsed="false">
      <c r="A1387" s="7" t="n">
        <v>70117305</v>
      </c>
      <c r="B1387" s="7" t="s">
        <v>68</v>
      </c>
      <c r="C1387" s="7" t="s">
        <v>3215</v>
      </c>
      <c r="D1387" s="7" t="s">
        <v>3216</v>
      </c>
      <c r="E1387" s="7" t="s">
        <v>26</v>
      </c>
      <c r="F1387" s="7" t="s">
        <v>3128</v>
      </c>
      <c r="G1387" s="7" t="n">
        <v>2010</v>
      </c>
      <c r="H1387" s="7" t="s">
        <v>51</v>
      </c>
      <c r="I1387" s="7" t="s">
        <v>205</v>
      </c>
      <c r="J1387" s="7" t="s">
        <v>3217</v>
      </c>
      <c r="K1387" s="7" t="n">
        <f aca="false">IFERROR(VALUE(RIGHT(TRIM(F1387),4)),"")</f>
        <v>2019</v>
      </c>
      <c r="L1387" s="7" t="str">
        <f aca="false">IF(TRIM(E1387)="","Unknown",IFERROR(LEFT(TRIM(E1387),FIND(",",TRIM(E1387))-1),TRIM(E1387)))</f>
        <v>United States</v>
      </c>
      <c r="M1387" s="7" t="str">
        <f aca="false">IFERROR(LEFT(J1387,FIND(",",J1387)-1),J1387)</f>
        <v>Action &amp; Adventure</v>
      </c>
      <c r="N1387" s="7" t="n">
        <f aca="false">IF(B1387="Movie",IFERROR(VALUE(LEFT(I1387,FIND(" ",I1387)-1)),""),"")</f>
        <v>100</v>
      </c>
      <c r="O1387" s="7" t="str">
        <f aca="false">IF(B1387="TV Show",IFERROR(VALUE(LEFT(I1387,FIND(" ",I1387)-1)),""),"")</f>
        <v/>
      </c>
      <c r="P1387" s="7" t="n">
        <f aca="false">IF(K1387="","",K1387-G1387)</f>
        <v>9</v>
      </c>
    </row>
    <row r="1388" customFormat="false" ht="15" hidden="false" customHeight="false" outlineLevel="0" collapsed="false">
      <c r="A1388" s="7" t="n">
        <v>701346</v>
      </c>
      <c r="B1388" s="7" t="s">
        <v>68</v>
      </c>
      <c r="C1388" s="7" t="s">
        <v>3218</v>
      </c>
      <c r="D1388" s="7" t="s">
        <v>3219</v>
      </c>
      <c r="E1388" s="7" t="s">
        <v>34</v>
      </c>
      <c r="F1388" s="7" t="s">
        <v>3128</v>
      </c>
      <c r="G1388" s="7" t="n">
        <v>1992</v>
      </c>
      <c r="H1388" s="7" t="s">
        <v>51</v>
      </c>
      <c r="I1388" s="7" t="s">
        <v>820</v>
      </c>
      <c r="J1388" s="7" t="s">
        <v>2026</v>
      </c>
      <c r="K1388" s="7" t="n">
        <f aca="false">IFERROR(VALUE(RIGHT(TRIM(F1388),4)),"")</f>
        <v>2019</v>
      </c>
      <c r="L1388" s="7" t="str">
        <f aca="false">IF(TRIM(E1388)="","Unknown",IFERROR(LEFT(TRIM(E1388),FIND(",",TRIM(E1388))-1),TRIM(E1388)))</f>
        <v>Mexico</v>
      </c>
      <c r="M1388" s="7" t="str">
        <f aca="false">IFERROR(LEFT(J1388,FIND(",",J1388)-1),J1388)</f>
        <v>Classic Movies</v>
      </c>
      <c r="N1388" s="7" t="n">
        <f aca="false">IF(B1388="Movie",IFERROR(VALUE(LEFT(I1388,FIND(" ",I1388)-1)),""),"")</f>
        <v>105</v>
      </c>
      <c r="O1388" s="7" t="str">
        <f aca="false">IF(B1388="TV Show",IFERROR(VALUE(LEFT(I1388,FIND(" ",I1388)-1)),""),"")</f>
        <v/>
      </c>
      <c r="P1388" s="7" t="n">
        <f aca="false">IF(K1388="","",K1388-G1388)</f>
        <v>27</v>
      </c>
    </row>
    <row r="1389" customFormat="false" ht="15" hidden="false" customHeight="false" outlineLevel="0" collapsed="false">
      <c r="A1389" s="7" t="n">
        <v>70111489</v>
      </c>
      <c r="B1389" s="7" t="s">
        <v>68</v>
      </c>
      <c r="C1389" s="7" t="s">
        <v>3220</v>
      </c>
      <c r="D1389" s="7" t="s">
        <v>3221</v>
      </c>
      <c r="F1389" s="7" t="s">
        <v>3128</v>
      </c>
      <c r="G1389" s="7" t="n">
        <v>1990</v>
      </c>
      <c r="H1389" s="7" t="s">
        <v>49</v>
      </c>
      <c r="I1389" s="7" t="s">
        <v>237</v>
      </c>
      <c r="J1389" s="7" t="s">
        <v>509</v>
      </c>
      <c r="K1389" s="7" t="n">
        <f aca="false">IFERROR(VALUE(RIGHT(TRIM(F1389),4)),"")</f>
        <v>2019</v>
      </c>
      <c r="L1389" s="7" t="str">
        <f aca="false">IF(TRIM(E1389)="","Unknown",IFERROR(LEFT(TRIM(E1389),FIND(",",TRIM(E1389))-1),TRIM(E1389)))</f>
        <v>Unknown</v>
      </c>
      <c r="M1389" s="7" t="str">
        <f aca="false">IFERROR(LEFT(J1389,FIND(",",J1389)-1),J1389)</f>
        <v>Documentaries</v>
      </c>
      <c r="N1389" s="7" t="n">
        <f aca="false">IF(B1389="Movie",IFERROR(VALUE(LEFT(I1389,FIND(" ",I1389)-1)),""),"")</f>
        <v>116</v>
      </c>
      <c r="O1389" s="7" t="str">
        <f aca="false">IF(B1389="TV Show",IFERROR(VALUE(LEFT(I1389,FIND(" ",I1389)-1)),""),"")</f>
        <v/>
      </c>
      <c r="P1389" s="7" t="n">
        <f aca="false">IF(K1389="","",K1389-G1389)</f>
        <v>29</v>
      </c>
    </row>
    <row r="1390" customFormat="false" ht="15" hidden="false" customHeight="false" outlineLevel="0" collapsed="false">
      <c r="A1390" s="7" t="n">
        <v>709163</v>
      </c>
      <c r="B1390" s="7" t="s">
        <v>68</v>
      </c>
      <c r="C1390" s="7" t="s">
        <v>3222</v>
      </c>
      <c r="D1390" s="7" t="s">
        <v>3223</v>
      </c>
      <c r="E1390" s="7" t="s">
        <v>26</v>
      </c>
      <c r="F1390" s="7" t="s">
        <v>3128</v>
      </c>
      <c r="G1390" s="7" t="n">
        <v>1976</v>
      </c>
      <c r="H1390" s="7" t="s">
        <v>54</v>
      </c>
      <c r="I1390" s="7" t="s">
        <v>1270</v>
      </c>
      <c r="J1390" s="7" t="s">
        <v>3224</v>
      </c>
      <c r="K1390" s="7" t="n">
        <f aca="false">IFERROR(VALUE(RIGHT(TRIM(F1390),4)),"")</f>
        <v>2019</v>
      </c>
      <c r="L1390" s="7" t="str">
        <f aca="false">IF(TRIM(E1390)="","Unknown",IFERROR(LEFT(TRIM(E1390),FIND(",",TRIM(E1390))-1),TRIM(E1390)))</f>
        <v>United States</v>
      </c>
      <c r="M1390" s="7" t="str">
        <f aca="false">IFERROR(LEFT(J1390,FIND(",",J1390)-1),J1390)</f>
        <v>Action &amp; Adventure</v>
      </c>
      <c r="N1390" s="7" t="n">
        <f aca="false">IF(B1390="Movie",IFERROR(VALUE(LEFT(I1390,FIND(" ",I1390)-1)),""),"")</f>
        <v>118</v>
      </c>
      <c r="O1390" s="7" t="str">
        <f aca="false">IF(B1390="TV Show",IFERROR(VALUE(LEFT(I1390,FIND(" ",I1390)-1)),""),"")</f>
        <v/>
      </c>
      <c r="P1390" s="7" t="n">
        <f aca="false">IF(K1390="","",K1390-G1390)</f>
        <v>43</v>
      </c>
    </row>
    <row r="1391" customFormat="false" ht="15" hidden="false" customHeight="false" outlineLevel="0" collapsed="false">
      <c r="A1391" s="7" t="n">
        <v>709380</v>
      </c>
      <c r="B1391" s="7" t="s">
        <v>68</v>
      </c>
      <c r="C1391" s="7" t="s">
        <v>3225</v>
      </c>
      <c r="D1391" s="7" t="s">
        <v>3226</v>
      </c>
      <c r="E1391" s="7" t="s">
        <v>317</v>
      </c>
      <c r="F1391" s="7" t="s">
        <v>3128</v>
      </c>
      <c r="G1391" s="7" t="n">
        <v>1962</v>
      </c>
      <c r="H1391" s="7" t="s">
        <v>51</v>
      </c>
      <c r="I1391" s="7" t="s">
        <v>722</v>
      </c>
      <c r="J1391" s="7" t="s">
        <v>3148</v>
      </c>
      <c r="K1391" s="7" t="n">
        <f aca="false">IFERROR(VALUE(RIGHT(TRIM(F1391),4)),"")</f>
        <v>2019</v>
      </c>
      <c r="L1391" s="7" t="str">
        <f aca="false">IF(TRIM(E1391)="","Unknown",IFERROR(LEFT(TRIM(E1391),FIND(",",TRIM(E1391))-1),TRIM(E1391)))</f>
        <v>United Kingdom</v>
      </c>
      <c r="M1391" s="7" t="str">
        <f aca="false">IFERROR(LEFT(J1391,FIND(",",J1391)-1),J1391)</f>
        <v>Classic Movies</v>
      </c>
      <c r="N1391" s="7" t="n">
        <f aca="false">IF(B1391="Movie",IFERROR(VALUE(LEFT(I1391,FIND(" ",I1391)-1)),""),"")</f>
        <v>153</v>
      </c>
      <c r="O1391" s="7" t="str">
        <f aca="false">IF(B1391="TV Show",IFERROR(VALUE(LEFT(I1391,FIND(" ",I1391)-1)),""),"")</f>
        <v/>
      </c>
      <c r="P1391" s="7" t="n">
        <f aca="false">IF(K1391="","",K1391-G1391)</f>
        <v>57</v>
      </c>
    </row>
    <row r="1392" customFormat="false" ht="15" hidden="false" customHeight="false" outlineLevel="0" collapsed="false">
      <c r="A1392" s="7" t="n">
        <v>1150871</v>
      </c>
      <c r="B1392" s="7" t="s">
        <v>68</v>
      </c>
      <c r="C1392" s="7" t="s">
        <v>3227</v>
      </c>
      <c r="D1392" s="7" t="s">
        <v>3228</v>
      </c>
      <c r="E1392" s="7" t="s">
        <v>26</v>
      </c>
      <c r="F1392" s="7" t="s">
        <v>3128</v>
      </c>
      <c r="G1392" s="7" t="n">
        <v>1997</v>
      </c>
      <c r="H1392" s="7" t="s">
        <v>51</v>
      </c>
      <c r="I1392" s="7" t="s">
        <v>790</v>
      </c>
      <c r="J1392" s="7" t="s">
        <v>198</v>
      </c>
      <c r="K1392" s="7" t="n">
        <f aca="false">IFERROR(VALUE(RIGHT(TRIM(F1392),4)),"")</f>
        <v>2019</v>
      </c>
      <c r="L1392" s="7" t="str">
        <f aca="false">IF(TRIM(E1392)="","Unknown",IFERROR(LEFT(TRIM(E1392),FIND(",",TRIM(E1392))-1),TRIM(E1392)))</f>
        <v>United States</v>
      </c>
      <c r="M1392" s="7" t="str">
        <f aca="false">IFERROR(LEFT(J1392,FIND(",",J1392)-1),J1392)</f>
        <v>Comedies</v>
      </c>
      <c r="N1392" s="7" t="n">
        <f aca="false">IF(B1392="Movie",IFERROR(VALUE(LEFT(I1392,FIND(" ",I1392)-1)),""),"")</f>
        <v>109</v>
      </c>
      <c r="O1392" s="7" t="str">
        <f aca="false">IF(B1392="TV Show",IFERROR(VALUE(LEFT(I1392,FIND(" ",I1392)-1)),""),"")</f>
        <v/>
      </c>
      <c r="P1392" s="7" t="n">
        <f aca="false">IF(K1392="","",K1392-G1392)</f>
        <v>22</v>
      </c>
    </row>
    <row r="1393" customFormat="false" ht="15" hidden="false" customHeight="false" outlineLevel="0" collapsed="false">
      <c r="A1393" s="7" t="n">
        <v>70082264</v>
      </c>
      <c r="B1393" s="7" t="s">
        <v>68</v>
      </c>
      <c r="C1393" s="7" t="s">
        <v>3229</v>
      </c>
      <c r="D1393" s="7" t="s">
        <v>3230</v>
      </c>
      <c r="E1393" s="7" t="s">
        <v>26</v>
      </c>
      <c r="F1393" s="7" t="s">
        <v>3128</v>
      </c>
      <c r="G1393" s="7" t="n">
        <v>2008</v>
      </c>
      <c r="H1393" s="7" t="s">
        <v>52</v>
      </c>
      <c r="I1393" s="7" t="s">
        <v>87</v>
      </c>
      <c r="J1393" s="7" t="s">
        <v>38</v>
      </c>
      <c r="K1393" s="7" t="n">
        <f aca="false">IFERROR(VALUE(RIGHT(TRIM(F1393),4)),"")</f>
        <v>2019</v>
      </c>
      <c r="L1393" s="7" t="str">
        <f aca="false">IF(TRIM(E1393)="","Unknown",IFERROR(LEFT(TRIM(E1393),FIND(",",TRIM(E1393))-1),TRIM(E1393)))</f>
        <v>United States</v>
      </c>
      <c r="M1393" s="7" t="str">
        <f aca="false">IFERROR(LEFT(J1393,FIND(",",J1393)-1),J1393)</f>
        <v>Comedies</v>
      </c>
      <c r="N1393" s="7" t="n">
        <f aca="false">IF(B1393="Movie",IFERROR(VALUE(LEFT(I1393,FIND(" ",I1393)-1)),""),"")</f>
        <v>99</v>
      </c>
      <c r="O1393" s="7" t="str">
        <f aca="false">IF(B1393="TV Show",IFERROR(VALUE(LEFT(I1393,FIND(" ",I1393)-1)),""),"")</f>
        <v/>
      </c>
      <c r="P1393" s="7" t="n">
        <f aca="false">IF(K1393="","",K1393-G1393)</f>
        <v>11</v>
      </c>
    </row>
    <row r="1394" customFormat="false" ht="15" hidden="false" customHeight="false" outlineLevel="0" collapsed="false">
      <c r="A1394" s="7" t="n">
        <v>81104406</v>
      </c>
      <c r="B1394" s="7" t="s">
        <v>78</v>
      </c>
      <c r="C1394" s="7" t="s">
        <v>3231</v>
      </c>
      <c r="E1394" s="7" t="s">
        <v>30</v>
      </c>
      <c r="F1394" s="7" t="s">
        <v>3128</v>
      </c>
      <c r="G1394" s="7" t="n">
        <v>2010</v>
      </c>
      <c r="H1394" s="7" t="s">
        <v>49</v>
      </c>
      <c r="I1394" s="7" t="s">
        <v>82</v>
      </c>
      <c r="J1394" s="7" t="s">
        <v>3232</v>
      </c>
      <c r="K1394" s="7" t="n">
        <f aca="false">IFERROR(VALUE(RIGHT(TRIM(F1394),4)),"")</f>
        <v>2019</v>
      </c>
      <c r="L1394" s="7" t="str">
        <f aca="false">IF(TRIM(E1394)="","Unknown",IFERROR(LEFT(TRIM(E1394),FIND(",",TRIM(E1394))-1),TRIM(E1394)))</f>
        <v>Japan</v>
      </c>
      <c r="M1394" s="7" t="str">
        <f aca="false">IFERROR(LEFT(J1394,FIND(",",J1394)-1),J1394)</f>
        <v>Anime Series</v>
      </c>
      <c r="N1394" s="7" t="str">
        <f aca="false">IF(B1394="Movie",IFERROR(VALUE(LEFT(I1394,FIND(" ",I1394)-1)),""),"")</f>
        <v/>
      </c>
      <c r="O1394" s="7" t="n">
        <f aca="false">IF(B1394="TV Show",IFERROR(VALUE(LEFT(I1394,FIND(" ",I1394)-1)),""),"")</f>
        <v>1</v>
      </c>
      <c r="P1394" s="7" t="n">
        <f aca="false">IF(K1394="","",K1394-G1394)</f>
        <v>9</v>
      </c>
    </row>
    <row r="1395" customFormat="false" ht="15" hidden="false" customHeight="false" outlineLevel="0" collapsed="false">
      <c r="A1395" s="7" t="n">
        <v>1179583</v>
      </c>
      <c r="B1395" s="7" t="s">
        <v>68</v>
      </c>
      <c r="C1395" s="7" t="s">
        <v>3233</v>
      </c>
      <c r="D1395" s="7" t="s">
        <v>3234</v>
      </c>
      <c r="E1395" s="7" t="s">
        <v>26</v>
      </c>
      <c r="F1395" s="7" t="s">
        <v>3128</v>
      </c>
      <c r="G1395" s="7" t="n">
        <v>1997</v>
      </c>
      <c r="H1395" s="7" t="s">
        <v>51</v>
      </c>
      <c r="I1395" s="7" t="s">
        <v>138</v>
      </c>
      <c r="J1395" s="7" t="s">
        <v>967</v>
      </c>
      <c r="K1395" s="7" t="n">
        <f aca="false">IFERROR(VALUE(RIGHT(TRIM(F1395),4)),"")</f>
        <v>2019</v>
      </c>
      <c r="L1395" s="7" t="str">
        <f aca="false">IF(TRIM(E1395)="","Unknown",IFERROR(LEFT(TRIM(E1395),FIND(",",TRIM(E1395))-1),TRIM(E1395)))</f>
        <v>United States</v>
      </c>
      <c r="M1395" s="7" t="str">
        <f aca="false">IFERROR(LEFT(J1395,FIND(",",J1395)-1),J1395)</f>
        <v>Action &amp; Adventure</v>
      </c>
      <c r="N1395" s="7" t="n">
        <f aca="false">IF(B1395="Movie",IFERROR(VALUE(LEFT(I1395,FIND(" ",I1395)-1)),""),"")</f>
        <v>96</v>
      </c>
      <c r="O1395" s="7" t="str">
        <f aca="false">IF(B1395="TV Show",IFERROR(VALUE(LEFT(I1395,FIND(" ",I1395)-1)),""),"")</f>
        <v/>
      </c>
      <c r="P1395" s="7" t="n">
        <f aca="false">IF(K1395="","",K1395-G1395)</f>
        <v>22</v>
      </c>
    </row>
    <row r="1396" customFormat="false" ht="15" hidden="false" customHeight="false" outlineLevel="0" collapsed="false">
      <c r="A1396" s="7" t="n">
        <v>70044595</v>
      </c>
      <c r="B1396" s="7" t="s">
        <v>68</v>
      </c>
      <c r="C1396" s="7" t="s">
        <v>3235</v>
      </c>
      <c r="D1396" s="7" t="s">
        <v>3236</v>
      </c>
      <c r="E1396" s="7" t="s">
        <v>26</v>
      </c>
      <c r="F1396" s="7" t="s">
        <v>3128</v>
      </c>
      <c r="G1396" s="7" t="n">
        <v>2006</v>
      </c>
      <c r="H1396" s="7" t="s">
        <v>54</v>
      </c>
      <c r="I1396" s="7" t="s">
        <v>470</v>
      </c>
      <c r="J1396" s="7" t="s">
        <v>74</v>
      </c>
      <c r="K1396" s="7" t="n">
        <f aca="false">IFERROR(VALUE(RIGHT(TRIM(F1396),4)),"")</f>
        <v>2019</v>
      </c>
      <c r="L1396" s="7" t="str">
        <f aca="false">IF(TRIM(E1396)="","Unknown",IFERROR(LEFT(TRIM(E1396),FIND(",",TRIM(E1396))-1),TRIM(E1396)))</f>
        <v>United States</v>
      </c>
      <c r="M1396" s="7" t="str">
        <f aca="false">IFERROR(LEFT(J1396,FIND(",",J1396)-1),J1396)</f>
        <v>Children &amp; Family Movies</v>
      </c>
      <c r="N1396" s="7" t="n">
        <f aca="false">IF(B1396="Movie",IFERROR(VALUE(LEFT(I1396,FIND(" ",I1396)-1)),""),"")</f>
        <v>91</v>
      </c>
      <c r="O1396" s="7" t="str">
        <f aca="false">IF(B1396="TV Show",IFERROR(VALUE(LEFT(I1396,FIND(" ",I1396)-1)),""),"")</f>
        <v/>
      </c>
      <c r="P1396" s="7" t="n">
        <f aca="false">IF(K1396="","",K1396-G1396)</f>
        <v>13</v>
      </c>
    </row>
    <row r="1397" customFormat="false" ht="15" hidden="false" customHeight="false" outlineLevel="0" collapsed="false">
      <c r="A1397" s="7" t="n">
        <v>60011729</v>
      </c>
      <c r="B1397" s="7" t="s">
        <v>68</v>
      </c>
      <c r="C1397" s="7" t="s">
        <v>3237</v>
      </c>
      <c r="D1397" s="7" t="s">
        <v>3238</v>
      </c>
      <c r="E1397" s="7" t="s">
        <v>26</v>
      </c>
      <c r="F1397" s="7" t="s">
        <v>3128</v>
      </c>
      <c r="G1397" s="7" t="n">
        <v>1962</v>
      </c>
      <c r="H1397" s="7" t="s">
        <v>50</v>
      </c>
      <c r="I1397" s="7" t="s">
        <v>3239</v>
      </c>
      <c r="J1397" s="7" t="s">
        <v>3240</v>
      </c>
      <c r="K1397" s="7" t="n">
        <f aca="false">IFERROR(VALUE(RIGHT(TRIM(F1397),4)),"")</f>
        <v>2019</v>
      </c>
      <c r="L1397" s="7" t="str">
        <f aca="false">IF(TRIM(E1397)="","Unknown",IFERROR(LEFT(TRIM(E1397),FIND(",",TRIM(E1397))-1),TRIM(E1397)))</f>
        <v>United States</v>
      </c>
      <c r="M1397" s="7" t="str">
        <f aca="false">IFERROR(LEFT(J1397,FIND(",",J1397)-1),J1397)</f>
        <v>Action &amp; Adventure</v>
      </c>
      <c r="N1397" s="7" t="n">
        <f aca="false">IF(B1397="Movie",IFERROR(VALUE(LEFT(I1397,FIND(" ",I1397)-1)),""),"")</f>
        <v>185</v>
      </c>
      <c r="O1397" s="7" t="str">
        <f aca="false">IF(B1397="TV Show",IFERROR(VALUE(LEFT(I1397,FIND(" ",I1397)-1)),""),"")</f>
        <v/>
      </c>
      <c r="P1397" s="7" t="n">
        <f aca="false">IF(K1397="","",K1397-G1397)</f>
        <v>57</v>
      </c>
    </row>
    <row r="1398" customFormat="false" ht="15" hidden="false" customHeight="false" outlineLevel="0" collapsed="false">
      <c r="A1398" s="7" t="n">
        <v>70044883</v>
      </c>
      <c r="B1398" s="7" t="s">
        <v>68</v>
      </c>
      <c r="C1398" s="7" t="s">
        <v>3241</v>
      </c>
      <c r="D1398" s="7" t="s">
        <v>3242</v>
      </c>
      <c r="E1398" s="7" t="s">
        <v>445</v>
      </c>
      <c r="F1398" s="7" t="s">
        <v>3128</v>
      </c>
      <c r="G1398" s="7" t="n">
        <v>2006</v>
      </c>
      <c r="H1398" s="7" t="s">
        <v>54</v>
      </c>
      <c r="I1398" s="7" t="s">
        <v>311</v>
      </c>
      <c r="J1398" s="7" t="s">
        <v>2782</v>
      </c>
      <c r="K1398" s="7" t="n">
        <f aca="false">IFERROR(VALUE(RIGHT(TRIM(F1398),4)),"")</f>
        <v>2019</v>
      </c>
      <c r="L1398" s="7" t="str">
        <f aca="false">IF(TRIM(E1398)="","Unknown",IFERROR(LEFT(TRIM(E1398),FIND(",",TRIM(E1398))-1),TRIM(E1398)))</f>
        <v>United States</v>
      </c>
      <c r="M1398" s="7" t="str">
        <f aca="false">IFERROR(LEFT(J1398,FIND(",",J1398)-1),J1398)</f>
        <v>Comedies</v>
      </c>
      <c r="N1398" s="7" t="n">
        <f aca="false">IF(B1398="Movie",IFERROR(VALUE(LEFT(I1398,FIND(" ",I1398)-1)),""),"")</f>
        <v>92</v>
      </c>
      <c r="O1398" s="7" t="str">
        <f aca="false">IF(B1398="TV Show",IFERROR(VALUE(LEFT(I1398,FIND(" ",I1398)-1)),""),"")</f>
        <v/>
      </c>
      <c r="P1398" s="7" t="n">
        <f aca="false">IF(K1398="","",K1398-G1398)</f>
        <v>13</v>
      </c>
    </row>
    <row r="1399" customFormat="false" ht="15" hidden="false" customHeight="false" outlineLevel="0" collapsed="false">
      <c r="A1399" s="7" t="n">
        <v>22497725</v>
      </c>
      <c r="B1399" s="7" t="s">
        <v>68</v>
      </c>
      <c r="C1399" s="7" t="s">
        <v>3243</v>
      </c>
      <c r="D1399" s="7" t="s">
        <v>3244</v>
      </c>
      <c r="F1399" s="7" t="s">
        <v>3128</v>
      </c>
      <c r="G1399" s="7" t="n">
        <v>1993</v>
      </c>
      <c r="H1399" s="7" t="s">
        <v>52</v>
      </c>
      <c r="I1399" s="7" t="s">
        <v>437</v>
      </c>
      <c r="J1399" s="7" t="s">
        <v>213</v>
      </c>
      <c r="K1399" s="7" t="n">
        <f aca="false">IFERROR(VALUE(RIGHT(TRIM(F1399),4)),"")</f>
        <v>2019</v>
      </c>
      <c r="L1399" s="7" t="str">
        <f aca="false">IF(TRIM(E1399)="","Unknown",IFERROR(LEFT(TRIM(E1399),FIND(",",TRIM(E1399))-1),TRIM(E1399)))</f>
        <v>Unknown</v>
      </c>
      <c r="M1399" s="7" t="str">
        <f aca="false">IFERROR(LEFT(J1399,FIND(",",J1399)-1),J1399)</f>
        <v>Action &amp; Adventure</v>
      </c>
      <c r="N1399" s="7" t="n">
        <f aca="false">IF(B1399="Movie",IFERROR(VALUE(LEFT(I1399,FIND(" ",I1399)-1)),""),"")</f>
        <v>82</v>
      </c>
      <c r="O1399" s="7" t="str">
        <f aca="false">IF(B1399="TV Show",IFERROR(VALUE(LEFT(I1399,FIND(" ",I1399)-1)),""),"")</f>
        <v/>
      </c>
      <c r="P1399" s="7" t="n">
        <f aca="false">IF(K1399="","",K1399-G1399)</f>
        <v>26</v>
      </c>
    </row>
    <row r="1400" customFormat="false" ht="15" hidden="false" customHeight="false" outlineLevel="0" collapsed="false">
      <c r="A1400" s="7" t="n">
        <v>60021590</v>
      </c>
      <c r="B1400" s="7" t="s">
        <v>68</v>
      </c>
      <c r="C1400" s="7" t="s">
        <v>3245</v>
      </c>
      <c r="D1400" s="7" t="s">
        <v>3246</v>
      </c>
      <c r="E1400" s="7" t="s">
        <v>26</v>
      </c>
      <c r="F1400" s="7" t="s">
        <v>3128</v>
      </c>
      <c r="G1400" s="7" t="n">
        <v>1960</v>
      </c>
      <c r="H1400" s="7" t="s">
        <v>50</v>
      </c>
      <c r="I1400" s="7" t="s">
        <v>378</v>
      </c>
      <c r="J1400" s="7" t="s">
        <v>3247</v>
      </c>
      <c r="K1400" s="7" t="n">
        <f aca="false">IFERROR(VALUE(RIGHT(TRIM(F1400),4)),"")</f>
        <v>2019</v>
      </c>
      <c r="L1400" s="7" t="str">
        <f aca="false">IF(TRIM(E1400)="","Unknown",IFERROR(LEFT(TRIM(E1400),FIND(",",TRIM(E1400))-1),TRIM(E1400)))</f>
        <v>United States</v>
      </c>
      <c r="M1400" s="7" t="str">
        <f aca="false">IFERROR(LEFT(J1400,FIND(",",J1400)-1),J1400)</f>
        <v>Action &amp; Adventure</v>
      </c>
      <c r="N1400" s="7" t="n">
        <f aca="false">IF(B1400="Movie",IFERROR(VALUE(LEFT(I1400,FIND(" ",I1400)-1)),""),"")</f>
        <v>127</v>
      </c>
      <c r="O1400" s="7" t="str">
        <f aca="false">IF(B1400="TV Show",IFERROR(VALUE(LEFT(I1400,FIND(" ",I1400)-1)),""),"")</f>
        <v/>
      </c>
      <c r="P1400" s="7" t="n">
        <f aca="false">IF(K1400="","",K1400-G1400)</f>
        <v>59</v>
      </c>
    </row>
    <row r="1401" customFormat="false" ht="15" hidden="false" customHeight="false" outlineLevel="0" collapsed="false">
      <c r="A1401" s="7" t="n">
        <v>60023638</v>
      </c>
      <c r="B1401" s="7" t="s">
        <v>68</v>
      </c>
      <c r="C1401" s="7" t="s">
        <v>3248</v>
      </c>
      <c r="D1401" s="7" t="s">
        <v>3249</v>
      </c>
      <c r="E1401" s="7" t="s">
        <v>26</v>
      </c>
      <c r="F1401" s="7" t="s">
        <v>3128</v>
      </c>
      <c r="G1401" s="7" t="n">
        <v>2002</v>
      </c>
      <c r="H1401" s="7" t="s">
        <v>51</v>
      </c>
      <c r="I1401" s="7" t="s">
        <v>134</v>
      </c>
      <c r="J1401" s="7" t="s">
        <v>370</v>
      </c>
      <c r="K1401" s="7" t="n">
        <f aca="false">IFERROR(VALUE(RIGHT(TRIM(F1401),4)),"")</f>
        <v>2019</v>
      </c>
      <c r="L1401" s="7" t="str">
        <f aca="false">IF(TRIM(E1401)="","Unknown",IFERROR(LEFT(TRIM(E1401),FIND(",",TRIM(E1401))-1),TRIM(E1401)))</f>
        <v>United States</v>
      </c>
      <c r="M1401" s="7" t="str">
        <f aca="false">IFERROR(LEFT(J1401,FIND(",",J1401)-1),J1401)</f>
        <v>Action &amp; Adventure</v>
      </c>
      <c r="N1401" s="7" t="n">
        <f aca="false">IF(B1401="Movie",IFERROR(VALUE(LEFT(I1401,FIND(" ",I1401)-1)),""),"")</f>
        <v>98</v>
      </c>
      <c r="O1401" s="7" t="str">
        <f aca="false">IF(B1401="TV Show",IFERROR(VALUE(LEFT(I1401,FIND(" ",I1401)-1)),""),"")</f>
        <v/>
      </c>
      <c r="P1401" s="7" t="n">
        <f aca="false">IF(K1401="","",K1401-G1401)</f>
        <v>17</v>
      </c>
    </row>
    <row r="1402" customFormat="false" ht="15" hidden="false" customHeight="false" outlineLevel="0" collapsed="false">
      <c r="A1402" s="7" t="n">
        <v>81075744</v>
      </c>
      <c r="B1402" s="7" t="s">
        <v>78</v>
      </c>
      <c r="C1402" s="7" t="s">
        <v>3250</v>
      </c>
      <c r="E1402" s="7" t="s">
        <v>2367</v>
      </c>
      <c r="F1402" s="7" t="s">
        <v>3128</v>
      </c>
      <c r="G1402" s="7" t="n">
        <v>2019</v>
      </c>
      <c r="H1402" s="7" t="s">
        <v>49</v>
      </c>
      <c r="I1402" s="7" t="s">
        <v>82</v>
      </c>
      <c r="J1402" s="7" t="s">
        <v>884</v>
      </c>
      <c r="K1402" s="7" t="n">
        <f aca="false">IFERROR(VALUE(RIGHT(TRIM(F1402),4)),"")</f>
        <v>2019</v>
      </c>
      <c r="L1402" s="7" t="str">
        <f aca="false">IF(TRIM(E1402)="","Unknown",IFERROR(LEFT(TRIM(E1402),FIND(",",TRIM(E1402))-1),TRIM(E1402)))</f>
        <v>United States</v>
      </c>
      <c r="M1402" s="7" t="str">
        <f aca="false">IFERROR(LEFT(J1402,FIND(",",J1402)-1),J1402)</f>
        <v>International TV Shows</v>
      </c>
      <c r="N1402" s="7" t="str">
        <f aca="false">IF(B1402="Movie",IFERROR(VALUE(LEFT(I1402,FIND(" ",I1402)-1)),""),"")</f>
        <v/>
      </c>
      <c r="O1402" s="7" t="n">
        <f aca="false">IF(B1402="TV Show",IFERROR(VALUE(LEFT(I1402,FIND(" ",I1402)-1)),""),"")</f>
        <v>1</v>
      </c>
      <c r="P1402" s="7" t="n">
        <f aca="false">IF(K1402="","",K1402-G1402)</f>
        <v>0</v>
      </c>
    </row>
    <row r="1403" customFormat="false" ht="15" hidden="false" customHeight="false" outlineLevel="0" collapsed="false">
      <c r="A1403" s="7" t="n">
        <v>70031792</v>
      </c>
      <c r="B1403" s="7" t="s">
        <v>68</v>
      </c>
      <c r="C1403" s="7" t="s">
        <v>3251</v>
      </c>
      <c r="D1403" s="7" t="s">
        <v>3252</v>
      </c>
      <c r="E1403" s="7" t="s">
        <v>26</v>
      </c>
      <c r="F1403" s="7" t="s">
        <v>3128</v>
      </c>
      <c r="G1403" s="7" t="n">
        <v>1955</v>
      </c>
      <c r="H1403" s="7" t="s">
        <v>52</v>
      </c>
      <c r="I1403" s="7" t="s">
        <v>326</v>
      </c>
      <c r="J1403" s="7" t="s">
        <v>3151</v>
      </c>
      <c r="K1403" s="7" t="n">
        <f aca="false">IFERROR(VALUE(RIGHT(TRIM(F1403),4)),"")</f>
        <v>2019</v>
      </c>
      <c r="L1403" s="7" t="str">
        <f aca="false">IF(TRIM(E1403)="","Unknown",IFERROR(LEFT(TRIM(E1403),FIND(",",TRIM(E1403))-1),TRIM(E1403)))</f>
        <v>United States</v>
      </c>
      <c r="M1403" s="7" t="str">
        <f aca="false">IFERROR(LEFT(J1403,FIND(",",J1403)-1),J1403)</f>
        <v>Classic Movies</v>
      </c>
      <c r="N1403" s="7" t="n">
        <f aca="false">IF(B1403="Movie",IFERROR(VALUE(LEFT(I1403,FIND(" ",I1403)-1)),""),"")</f>
        <v>111</v>
      </c>
      <c r="O1403" s="7" t="str">
        <f aca="false">IF(B1403="TV Show",IFERROR(VALUE(LEFT(I1403,FIND(" ",I1403)-1)),""),"")</f>
        <v/>
      </c>
      <c r="P1403" s="7" t="n">
        <f aca="false">IF(K1403="","",K1403-G1403)</f>
        <v>64</v>
      </c>
    </row>
    <row r="1404" customFormat="false" ht="15" hidden="false" customHeight="false" outlineLevel="0" collapsed="false">
      <c r="A1404" s="7" t="n">
        <v>70100383</v>
      </c>
      <c r="B1404" s="7" t="s">
        <v>68</v>
      </c>
      <c r="C1404" s="7" t="s">
        <v>3253</v>
      </c>
      <c r="D1404" s="7" t="s">
        <v>3254</v>
      </c>
      <c r="E1404" s="7" t="s">
        <v>293</v>
      </c>
      <c r="F1404" s="7" t="s">
        <v>3128</v>
      </c>
      <c r="G1404" s="7" t="n">
        <v>2008</v>
      </c>
      <c r="H1404" s="7" t="s">
        <v>51</v>
      </c>
      <c r="I1404" s="7" t="s">
        <v>2551</v>
      </c>
      <c r="J1404" s="7" t="s">
        <v>269</v>
      </c>
      <c r="K1404" s="7" t="n">
        <f aca="false">IFERROR(VALUE(RIGHT(TRIM(F1404),4)),"")</f>
        <v>2019</v>
      </c>
      <c r="L1404" s="7" t="str">
        <f aca="false">IF(TRIM(E1404)="","Unknown",IFERROR(LEFT(TRIM(E1404),FIND(",",TRIM(E1404))-1),TRIM(E1404)))</f>
        <v>United States</v>
      </c>
      <c r="M1404" s="7" t="str">
        <f aca="false">IFERROR(LEFT(J1404,FIND(",",J1404)-1),J1404)</f>
        <v>Dramas</v>
      </c>
      <c r="N1404" s="7" t="n">
        <f aca="false">IF(B1404="Movie",IFERROR(VALUE(LEFT(I1404,FIND(" ",I1404)-1)),""),"")</f>
        <v>120</v>
      </c>
      <c r="O1404" s="7" t="str">
        <f aca="false">IF(B1404="TV Show",IFERROR(VALUE(LEFT(I1404,FIND(" ",I1404)-1)),""),"")</f>
        <v/>
      </c>
      <c r="P1404" s="7" t="n">
        <f aca="false">IF(K1404="","",K1404-G1404)</f>
        <v>11</v>
      </c>
    </row>
    <row r="1405" customFormat="false" ht="15" hidden="false" customHeight="false" outlineLevel="0" collapsed="false">
      <c r="A1405" s="7" t="n">
        <v>60002403</v>
      </c>
      <c r="B1405" s="7" t="s">
        <v>68</v>
      </c>
      <c r="C1405" s="7" t="s">
        <v>3255</v>
      </c>
      <c r="D1405" s="7" t="s">
        <v>3256</v>
      </c>
      <c r="E1405" s="7" t="s">
        <v>26</v>
      </c>
      <c r="F1405" s="7" t="s">
        <v>3128</v>
      </c>
      <c r="G1405" s="7" t="n">
        <v>1968</v>
      </c>
      <c r="H1405" s="7" t="s">
        <v>51</v>
      </c>
      <c r="I1405" s="7" t="s">
        <v>749</v>
      </c>
      <c r="J1405" s="7" t="s">
        <v>3257</v>
      </c>
      <c r="K1405" s="7" t="n">
        <f aca="false">IFERROR(VALUE(RIGHT(TRIM(F1405),4)),"")</f>
        <v>2019</v>
      </c>
      <c r="L1405" s="7" t="str">
        <f aca="false">IF(TRIM(E1405)="","Unknown",IFERROR(LEFT(TRIM(E1405),FIND(",",TRIM(E1405))-1),TRIM(E1405)))</f>
        <v>United States</v>
      </c>
      <c r="M1405" s="7" t="str">
        <f aca="false">IFERROR(LEFT(J1405,FIND(",",J1405)-1),J1405)</f>
        <v>Classic Movies</v>
      </c>
      <c r="N1405" s="7" t="n">
        <f aca="false">IF(B1405="Movie",IFERROR(VALUE(LEFT(I1405,FIND(" ",I1405)-1)),""),"")</f>
        <v>137</v>
      </c>
      <c r="O1405" s="7" t="str">
        <f aca="false">IF(B1405="TV Show",IFERROR(VALUE(LEFT(I1405,FIND(" ",I1405)-1)),""),"")</f>
        <v/>
      </c>
      <c r="P1405" s="7" t="n">
        <f aca="false">IF(K1405="","",K1405-G1405)</f>
        <v>51</v>
      </c>
    </row>
    <row r="1406" customFormat="false" ht="15" hidden="false" customHeight="false" outlineLevel="0" collapsed="false">
      <c r="A1406" s="7" t="n">
        <v>17236920</v>
      </c>
      <c r="B1406" s="7" t="s">
        <v>68</v>
      </c>
      <c r="C1406" s="7" t="s">
        <v>3258</v>
      </c>
      <c r="D1406" s="7" t="s">
        <v>3259</v>
      </c>
      <c r="E1406" s="7" t="s">
        <v>26</v>
      </c>
      <c r="F1406" s="7" t="s">
        <v>3128</v>
      </c>
      <c r="G1406" s="7" t="n">
        <v>1998</v>
      </c>
      <c r="H1406" s="7" t="s">
        <v>51</v>
      </c>
      <c r="I1406" s="7" t="s">
        <v>505</v>
      </c>
      <c r="J1406" s="7" t="s">
        <v>37</v>
      </c>
      <c r="K1406" s="7" t="n">
        <f aca="false">IFERROR(VALUE(RIGHT(TRIM(F1406),4)),"")</f>
        <v>2019</v>
      </c>
      <c r="L1406" s="7" t="str">
        <f aca="false">IF(TRIM(E1406)="","Unknown",IFERROR(LEFT(TRIM(E1406),FIND(",",TRIM(E1406))-1),TRIM(E1406)))</f>
        <v>United States</v>
      </c>
      <c r="M1406" s="7" t="str">
        <f aca="false">IFERROR(LEFT(J1406,FIND(",",J1406)-1),J1406)</f>
        <v>Dramas</v>
      </c>
      <c r="N1406" s="7" t="n">
        <f aca="false">IF(B1406="Movie",IFERROR(VALUE(LEFT(I1406,FIND(" ",I1406)-1)),""),"")</f>
        <v>121</v>
      </c>
      <c r="O1406" s="7" t="str">
        <f aca="false">IF(B1406="TV Show",IFERROR(VALUE(LEFT(I1406,FIND(" ",I1406)-1)),""),"")</f>
        <v/>
      </c>
      <c r="P1406" s="7" t="n">
        <f aca="false">IF(K1406="","",K1406-G1406)</f>
        <v>21</v>
      </c>
    </row>
    <row r="1407" customFormat="false" ht="15" hidden="false" customHeight="false" outlineLevel="0" collapsed="false">
      <c r="A1407" s="7" t="n">
        <v>923574</v>
      </c>
      <c r="B1407" s="7" t="s">
        <v>68</v>
      </c>
      <c r="C1407" s="7" t="s">
        <v>3260</v>
      </c>
      <c r="D1407" s="7" t="s">
        <v>1207</v>
      </c>
      <c r="E1407" s="7" t="s">
        <v>411</v>
      </c>
      <c r="F1407" s="7" t="s">
        <v>3128</v>
      </c>
      <c r="G1407" s="7" t="n">
        <v>1995</v>
      </c>
      <c r="H1407" s="7" t="s">
        <v>51</v>
      </c>
      <c r="I1407" s="7" t="s">
        <v>357</v>
      </c>
      <c r="J1407" s="7" t="s">
        <v>139</v>
      </c>
      <c r="K1407" s="7" t="n">
        <f aca="false">IFERROR(VALUE(RIGHT(TRIM(F1407),4)),"")</f>
        <v>2019</v>
      </c>
      <c r="L1407" s="7" t="str">
        <f aca="false">IF(TRIM(E1407)="","Unknown",IFERROR(LEFT(TRIM(E1407),FIND(",",TRIM(E1407))-1),TRIM(E1407)))</f>
        <v>Hong Kong</v>
      </c>
      <c r="M1407" s="7" t="str">
        <f aca="false">IFERROR(LEFT(J1407,FIND(",",J1407)-1),J1407)</f>
        <v>Action &amp; Adventure</v>
      </c>
      <c r="N1407" s="7" t="n">
        <f aca="false">IF(B1407="Movie",IFERROR(VALUE(LEFT(I1407,FIND(" ",I1407)-1)),""),"")</f>
        <v>89</v>
      </c>
      <c r="O1407" s="7" t="str">
        <f aca="false">IF(B1407="TV Show",IFERROR(VALUE(LEFT(I1407,FIND(" ",I1407)-1)),""),"")</f>
        <v/>
      </c>
      <c r="P1407" s="7" t="n">
        <f aca="false">IF(K1407="","",K1407-G1407)</f>
        <v>24</v>
      </c>
    </row>
    <row r="1408" customFormat="false" ht="15" hidden="false" customHeight="false" outlineLevel="0" collapsed="false">
      <c r="A1408" s="7" t="n">
        <v>81152930</v>
      </c>
      <c r="B1408" s="7" t="s">
        <v>68</v>
      </c>
      <c r="C1408" s="7" t="s">
        <v>3261</v>
      </c>
      <c r="D1408" s="7" t="s">
        <v>3262</v>
      </c>
      <c r="E1408" s="7" t="s">
        <v>26</v>
      </c>
      <c r="F1408" s="7" t="s">
        <v>3128</v>
      </c>
      <c r="G1408" s="7" t="n">
        <v>2019</v>
      </c>
      <c r="H1408" s="7" t="s">
        <v>50</v>
      </c>
      <c r="I1408" s="7" t="s">
        <v>470</v>
      </c>
      <c r="J1408" s="7" t="s">
        <v>829</v>
      </c>
      <c r="K1408" s="7" t="n">
        <f aca="false">IFERROR(VALUE(RIGHT(TRIM(F1408),4)),"")</f>
        <v>2019</v>
      </c>
      <c r="L1408" s="7" t="str">
        <f aca="false">IF(TRIM(E1408)="","Unknown",IFERROR(LEFT(TRIM(E1408),FIND(",",TRIM(E1408))-1),TRIM(E1408)))</f>
        <v>United States</v>
      </c>
      <c r="M1408" s="7" t="str">
        <f aca="false">IFERROR(LEFT(J1408,FIND(",",J1408)-1),J1408)</f>
        <v>Children &amp; Family Movies</v>
      </c>
      <c r="N1408" s="7" t="n">
        <f aca="false">IF(B1408="Movie",IFERROR(VALUE(LEFT(I1408,FIND(" ",I1408)-1)),""),"")</f>
        <v>91</v>
      </c>
      <c r="O1408" s="7" t="str">
        <f aca="false">IF(B1408="TV Show",IFERROR(VALUE(LEFT(I1408,FIND(" ",I1408)-1)),""),"")</f>
        <v/>
      </c>
      <c r="P1408" s="7" t="n">
        <f aca="false">IF(K1408="","",K1408-G1408)</f>
        <v>0</v>
      </c>
    </row>
    <row r="1409" customFormat="false" ht="15" hidden="false" customHeight="false" outlineLevel="0" collapsed="false">
      <c r="A1409" s="7" t="n">
        <v>973861</v>
      </c>
      <c r="B1409" s="7" t="s">
        <v>68</v>
      </c>
      <c r="C1409" s="7" t="s">
        <v>3263</v>
      </c>
      <c r="D1409" s="7" t="s">
        <v>3264</v>
      </c>
      <c r="E1409" s="7" t="s">
        <v>26</v>
      </c>
      <c r="F1409" s="7" t="s">
        <v>3128</v>
      </c>
      <c r="G1409" s="7" t="n">
        <v>1996</v>
      </c>
      <c r="H1409" s="7" t="s">
        <v>51</v>
      </c>
      <c r="I1409" s="7" t="s">
        <v>130</v>
      </c>
      <c r="J1409" s="7" t="s">
        <v>150</v>
      </c>
      <c r="K1409" s="7" t="n">
        <f aca="false">IFERROR(VALUE(RIGHT(TRIM(F1409),4)),"")</f>
        <v>2019</v>
      </c>
      <c r="L1409" s="7" t="str">
        <f aca="false">IF(TRIM(E1409)="","Unknown",IFERROR(LEFT(TRIM(E1409),FIND(",",TRIM(E1409))-1),TRIM(E1409)))</f>
        <v>United States</v>
      </c>
      <c r="M1409" s="7" t="str">
        <f aca="false">IFERROR(LEFT(J1409,FIND(",",J1409)-1),J1409)</f>
        <v>Dramas</v>
      </c>
      <c r="N1409" s="7" t="n">
        <f aca="false">IF(B1409="Movie",IFERROR(VALUE(LEFT(I1409,FIND(" ",I1409)-1)),""),"")</f>
        <v>135</v>
      </c>
      <c r="O1409" s="7" t="str">
        <f aca="false">IF(B1409="TV Show",IFERROR(VALUE(LEFT(I1409,FIND(" ",I1409)-1)),""),"")</f>
        <v/>
      </c>
      <c r="P1409" s="7" t="n">
        <f aca="false">IF(K1409="","",K1409-G1409)</f>
        <v>23</v>
      </c>
    </row>
    <row r="1410" customFormat="false" ht="15" hidden="false" customHeight="false" outlineLevel="0" collapsed="false">
      <c r="A1410" s="7" t="n">
        <v>70058796</v>
      </c>
      <c r="B1410" s="7" t="s">
        <v>68</v>
      </c>
      <c r="C1410" s="7" t="s">
        <v>3265</v>
      </c>
      <c r="D1410" s="7" t="s">
        <v>3266</v>
      </c>
      <c r="E1410" s="7" t="s">
        <v>26</v>
      </c>
      <c r="F1410" s="7" t="s">
        <v>3128</v>
      </c>
      <c r="G1410" s="7" t="n">
        <v>1976</v>
      </c>
      <c r="H1410" s="7" t="s">
        <v>54</v>
      </c>
      <c r="I1410" s="7" t="s">
        <v>134</v>
      </c>
      <c r="J1410" s="7" t="s">
        <v>3267</v>
      </c>
      <c r="K1410" s="7" t="n">
        <f aca="false">IFERROR(VALUE(RIGHT(TRIM(F1410),4)),"")</f>
        <v>2019</v>
      </c>
      <c r="L1410" s="7" t="str">
        <f aca="false">IF(TRIM(E1410)="","Unknown",IFERROR(LEFT(TRIM(E1410),FIND(",",TRIM(E1410))-1),TRIM(E1410)))</f>
        <v>United States</v>
      </c>
      <c r="M1410" s="7" t="str">
        <f aca="false">IFERROR(LEFT(J1410,FIND(",",J1410)-1),J1410)</f>
        <v>Dramas</v>
      </c>
      <c r="N1410" s="7" t="n">
        <f aca="false">IF(B1410="Movie",IFERROR(VALUE(LEFT(I1410,FIND(" ",I1410)-1)),""),"")</f>
        <v>98</v>
      </c>
      <c r="O1410" s="7" t="str">
        <f aca="false">IF(B1410="TV Show",IFERROR(VALUE(LEFT(I1410,FIND(" ",I1410)-1)),""),"")</f>
        <v/>
      </c>
      <c r="P1410" s="7" t="n">
        <f aca="false">IF(K1410="","",K1410-G1410)</f>
        <v>43</v>
      </c>
    </row>
    <row r="1411" customFormat="false" ht="15" hidden="false" customHeight="false" outlineLevel="0" collapsed="false">
      <c r="A1411" s="7" t="n">
        <v>70047101</v>
      </c>
      <c r="B1411" s="7" t="s">
        <v>68</v>
      </c>
      <c r="C1411" s="7" t="s">
        <v>3268</v>
      </c>
      <c r="D1411" s="7" t="s">
        <v>2808</v>
      </c>
      <c r="E1411" s="7" t="s">
        <v>26</v>
      </c>
      <c r="F1411" s="7" t="s">
        <v>3128</v>
      </c>
      <c r="G1411" s="7" t="n">
        <v>2007</v>
      </c>
      <c r="H1411" s="7" t="s">
        <v>52</v>
      </c>
      <c r="I1411" s="7" t="s">
        <v>594</v>
      </c>
      <c r="J1411" s="7" t="s">
        <v>276</v>
      </c>
      <c r="K1411" s="7" t="n">
        <f aca="false">IFERROR(VALUE(RIGHT(TRIM(F1411),4)),"")</f>
        <v>2019</v>
      </c>
      <c r="L1411" s="7" t="str">
        <f aca="false">IF(TRIM(E1411)="","Unknown",IFERROR(LEFT(TRIM(E1411),FIND(",",TRIM(E1411))-1),TRIM(E1411)))</f>
        <v>United States</v>
      </c>
      <c r="M1411" s="7" t="str">
        <f aca="false">IFERROR(LEFT(J1411,FIND(",",J1411)-1),J1411)</f>
        <v>Action &amp; Adventure</v>
      </c>
      <c r="N1411" s="7" t="n">
        <f aca="false">IF(B1411="Movie",IFERROR(VALUE(LEFT(I1411,FIND(" ",I1411)-1)),""),"")</f>
        <v>139</v>
      </c>
      <c r="O1411" s="7" t="str">
        <f aca="false">IF(B1411="TV Show",IFERROR(VALUE(LEFT(I1411,FIND(" ",I1411)-1)),""),"")</f>
        <v/>
      </c>
      <c r="P1411" s="7" t="n">
        <f aca="false">IF(K1411="","",K1411-G1411)</f>
        <v>12</v>
      </c>
    </row>
    <row r="1412" customFormat="false" ht="15" hidden="false" customHeight="false" outlineLevel="0" collapsed="false">
      <c r="A1412" s="7" t="n">
        <v>81189396</v>
      </c>
      <c r="B1412" s="7" t="s">
        <v>68</v>
      </c>
      <c r="C1412" s="7" t="s">
        <v>3269</v>
      </c>
      <c r="D1412" s="7" t="s">
        <v>3270</v>
      </c>
      <c r="E1412" s="7" t="s">
        <v>28</v>
      </c>
      <c r="F1412" s="7" t="s">
        <v>3128</v>
      </c>
      <c r="G1412" s="7" t="n">
        <v>2018</v>
      </c>
      <c r="H1412" s="7" t="s">
        <v>49</v>
      </c>
      <c r="I1412" s="7" t="s">
        <v>111</v>
      </c>
      <c r="J1412" s="7" t="s">
        <v>39</v>
      </c>
      <c r="K1412" s="7" t="n">
        <f aca="false">IFERROR(VALUE(RIGHT(TRIM(F1412),4)),"")</f>
        <v>2019</v>
      </c>
      <c r="L1412" s="7" t="str">
        <f aca="false">IF(TRIM(E1412)="","Unknown",IFERROR(LEFT(TRIM(E1412),FIND(",",TRIM(E1412))-1),TRIM(E1412)))</f>
        <v>United Kingdom</v>
      </c>
      <c r="M1412" s="7" t="str">
        <f aca="false">IFERROR(LEFT(J1412,FIND(",",J1412)-1),J1412)</f>
        <v>Documentaries</v>
      </c>
      <c r="N1412" s="7" t="n">
        <f aca="false">IF(B1412="Movie",IFERROR(VALUE(LEFT(I1412,FIND(" ",I1412)-1)),""),"")</f>
        <v>95</v>
      </c>
      <c r="O1412" s="7" t="str">
        <f aca="false">IF(B1412="TV Show",IFERROR(VALUE(LEFT(I1412,FIND(" ",I1412)-1)),""),"")</f>
        <v/>
      </c>
      <c r="P1412" s="7" t="n">
        <f aca="false">IF(K1412="","",K1412-G1412)</f>
        <v>1</v>
      </c>
    </row>
    <row r="1413" customFormat="false" ht="15" hidden="false" customHeight="false" outlineLevel="0" collapsed="false">
      <c r="A1413" s="7" t="n">
        <v>70093991</v>
      </c>
      <c r="B1413" s="7" t="s">
        <v>68</v>
      </c>
      <c r="C1413" s="7" t="s">
        <v>3271</v>
      </c>
      <c r="D1413" s="7" t="s">
        <v>3272</v>
      </c>
      <c r="E1413" s="7" t="s">
        <v>26</v>
      </c>
      <c r="F1413" s="7" t="s">
        <v>3128</v>
      </c>
      <c r="G1413" s="7" t="n">
        <v>2008</v>
      </c>
      <c r="H1413" s="7" t="s">
        <v>51</v>
      </c>
      <c r="I1413" s="7" t="s">
        <v>134</v>
      </c>
      <c r="J1413" s="7" t="s">
        <v>38</v>
      </c>
      <c r="K1413" s="7" t="n">
        <f aca="false">IFERROR(VALUE(RIGHT(TRIM(F1413),4)),"")</f>
        <v>2019</v>
      </c>
      <c r="L1413" s="7" t="str">
        <f aca="false">IF(TRIM(E1413)="","Unknown",IFERROR(LEFT(TRIM(E1413),FIND(",",TRIM(E1413))-1),TRIM(E1413)))</f>
        <v>United States</v>
      </c>
      <c r="M1413" s="7" t="str">
        <f aca="false">IFERROR(LEFT(J1413,FIND(",",J1413)-1),J1413)</f>
        <v>Comedies</v>
      </c>
      <c r="N1413" s="7" t="n">
        <f aca="false">IF(B1413="Movie",IFERROR(VALUE(LEFT(I1413,FIND(" ",I1413)-1)),""),"")</f>
        <v>98</v>
      </c>
      <c r="O1413" s="7" t="str">
        <f aca="false">IF(B1413="TV Show",IFERROR(VALUE(LEFT(I1413,FIND(" ",I1413)-1)),""),"")</f>
        <v/>
      </c>
      <c r="P1413" s="7" t="n">
        <f aca="false">IF(K1413="","",K1413-G1413)</f>
        <v>11</v>
      </c>
    </row>
    <row r="1414" customFormat="false" ht="15" hidden="false" customHeight="false" outlineLevel="0" collapsed="false">
      <c r="A1414" s="7" t="n">
        <v>60033247</v>
      </c>
      <c r="B1414" s="7" t="s">
        <v>68</v>
      </c>
      <c r="C1414" s="7" t="s">
        <v>3273</v>
      </c>
      <c r="D1414" s="7" t="s">
        <v>3274</v>
      </c>
      <c r="E1414" s="7" t="s">
        <v>26</v>
      </c>
      <c r="F1414" s="7" t="s">
        <v>3128</v>
      </c>
      <c r="G1414" s="7" t="n">
        <v>1972</v>
      </c>
      <c r="H1414" s="7" t="s">
        <v>51</v>
      </c>
      <c r="I1414" s="7" t="s">
        <v>470</v>
      </c>
      <c r="J1414" s="7" t="s">
        <v>3240</v>
      </c>
      <c r="K1414" s="7" t="n">
        <f aca="false">IFERROR(VALUE(RIGHT(TRIM(F1414),4)),"")</f>
        <v>2019</v>
      </c>
      <c r="L1414" s="7" t="str">
        <f aca="false">IF(TRIM(E1414)="","Unknown",IFERROR(LEFT(TRIM(E1414),FIND(",",TRIM(E1414))-1),TRIM(E1414)))</f>
        <v>United States</v>
      </c>
      <c r="M1414" s="7" t="str">
        <f aca="false">IFERROR(LEFT(J1414,FIND(",",J1414)-1),J1414)</f>
        <v>Action &amp; Adventure</v>
      </c>
      <c r="N1414" s="7" t="n">
        <f aca="false">IF(B1414="Movie",IFERROR(VALUE(LEFT(I1414,FIND(" ",I1414)-1)),""),"")</f>
        <v>91</v>
      </c>
      <c r="O1414" s="7" t="str">
        <f aca="false">IF(B1414="TV Show",IFERROR(VALUE(LEFT(I1414,FIND(" ",I1414)-1)),""),"")</f>
        <v/>
      </c>
      <c r="P1414" s="7" t="n">
        <f aca="false">IF(K1414="","",K1414-G1414)</f>
        <v>47</v>
      </c>
    </row>
    <row r="1415" customFormat="false" ht="15" hidden="false" customHeight="false" outlineLevel="0" collapsed="false">
      <c r="A1415" s="7" t="n">
        <v>70060000</v>
      </c>
      <c r="B1415" s="7" t="s">
        <v>68</v>
      </c>
      <c r="C1415" s="7" t="s">
        <v>3275</v>
      </c>
      <c r="D1415" s="7" t="s">
        <v>3276</v>
      </c>
      <c r="E1415" s="7" t="s">
        <v>26</v>
      </c>
      <c r="F1415" s="7" t="s">
        <v>3128</v>
      </c>
      <c r="G1415" s="7" t="n">
        <v>2007</v>
      </c>
      <c r="H1415" s="7" t="s">
        <v>51</v>
      </c>
      <c r="I1415" s="7" t="s">
        <v>232</v>
      </c>
      <c r="J1415" s="7" t="s">
        <v>597</v>
      </c>
      <c r="K1415" s="7" t="n">
        <f aca="false">IFERROR(VALUE(RIGHT(TRIM(F1415),4)),"")</f>
        <v>2019</v>
      </c>
      <c r="L1415" s="7" t="str">
        <f aca="false">IF(TRIM(E1415)="","Unknown",IFERROR(LEFT(TRIM(E1415),FIND(",",TRIM(E1415))-1),TRIM(E1415)))</f>
        <v>United States</v>
      </c>
      <c r="M1415" s="7" t="str">
        <f aca="false">IFERROR(LEFT(J1415,FIND(",",J1415)-1),J1415)</f>
        <v>Dramas</v>
      </c>
      <c r="N1415" s="7" t="n">
        <f aca="false">IF(B1415="Movie",IFERROR(VALUE(LEFT(I1415,FIND(" ",I1415)-1)),""),"")</f>
        <v>122</v>
      </c>
      <c r="O1415" s="7" t="str">
        <f aca="false">IF(B1415="TV Show",IFERROR(VALUE(LEFT(I1415,FIND(" ",I1415)-1)),""),"")</f>
        <v/>
      </c>
      <c r="P1415" s="7" t="n">
        <f aca="false">IF(K1415="","",K1415-G1415)</f>
        <v>12</v>
      </c>
    </row>
    <row r="1416" customFormat="false" ht="15" hidden="false" customHeight="false" outlineLevel="0" collapsed="false">
      <c r="A1416" s="7" t="n">
        <v>70295067</v>
      </c>
      <c r="B1416" s="7" t="s">
        <v>68</v>
      </c>
      <c r="C1416" s="7" t="s">
        <v>3277</v>
      </c>
      <c r="D1416" s="7" t="s">
        <v>3278</v>
      </c>
      <c r="E1416" s="7" t="s">
        <v>317</v>
      </c>
      <c r="F1416" s="7" t="s">
        <v>3128</v>
      </c>
      <c r="G1416" s="7" t="n">
        <v>2013</v>
      </c>
      <c r="H1416" s="7" t="s">
        <v>54</v>
      </c>
      <c r="I1416" s="7" t="s">
        <v>205</v>
      </c>
      <c r="J1416" s="7" t="s">
        <v>1558</v>
      </c>
      <c r="K1416" s="7" t="n">
        <f aca="false">IFERROR(VALUE(RIGHT(TRIM(F1416),4)),"")</f>
        <v>2019</v>
      </c>
      <c r="L1416" s="7" t="str">
        <f aca="false">IF(TRIM(E1416)="","Unknown",IFERROR(LEFT(TRIM(E1416),FIND(",",TRIM(E1416))-1),TRIM(E1416)))</f>
        <v>United Kingdom</v>
      </c>
      <c r="M1416" s="7" t="str">
        <f aca="false">IFERROR(LEFT(J1416,FIND(",",J1416)-1),J1416)</f>
        <v>Dramas</v>
      </c>
      <c r="N1416" s="7" t="n">
        <f aca="false">IF(B1416="Movie",IFERROR(VALUE(LEFT(I1416,FIND(" ",I1416)-1)),""),"")</f>
        <v>100</v>
      </c>
      <c r="O1416" s="7" t="str">
        <f aca="false">IF(B1416="TV Show",IFERROR(VALUE(LEFT(I1416,FIND(" ",I1416)-1)),""),"")</f>
        <v/>
      </c>
      <c r="P1416" s="7" t="n">
        <f aca="false">IF(K1416="","",K1416-G1416)</f>
        <v>6</v>
      </c>
    </row>
    <row r="1417" customFormat="false" ht="15" hidden="false" customHeight="false" outlineLevel="0" collapsed="false">
      <c r="A1417" s="7" t="n">
        <v>70031779</v>
      </c>
      <c r="B1417" s="7" t="s">
        <v>68</v>
      </c>
      <c r="C1417" s="7" t="s">
        <v>3279</v>
      </c>
      <c r="D1417" s="7" t="s">
        <v>3280</v>
      </c>
      <c r="E1417" s="7" t="s">
        <v>26</v>
      </c>
      <c r="F1417" s="7" t="s">
        <v>3128</v>
      </c>
      <c r="G1417" s="7" t="n">
        <v>1965</v>
      </c>
      <c r="H1417" s="7" t="s">
        <v>49</v>
      </c>
      <c r="I1417" s="7" t="s">
        <v>330</v>
      </c>
      <c r="J1417" s="7" t="s">
        <v>3151</v>
      </c>
      <c r="K1417" s="7" t="n">
        <f aca="false">IFERROR(VALUE(RIGHT(TRIM(F1417),4)),"")</f>
        <v>2019</v>
      </c>
      <c r="L1417" s="7" t="str">
        <f aca="false">IF(TRIM(E1417)="","Unknown",IFERROR(LEFT(TRIM(E1417),FIND(",",TRIM(E1417))-1),TRIM(E1417)))</f>
        <v>United States</v>
      </c>
      <c r="M1417" s="7" t="str">
        <f aca="false">IFERROR(LEFT(J1417,FIND(",",J1417)-1),J1417)</f>
        <v>Classic Movies</v>
      </c>
      <c r="N1417" s="7" t="n">
        <f aca="false">IF(B1417="Movie",IFERROR(VALUE(LEFT(I1417,FIND(" ",I1417)-1)),""),"")</f>
        <v>103</v>
      </c>
      <c r="O1417" s="7" t="str">
        <f aca="false">IF(B1417="TV Show",IFERROR(VALUE(LEFT(I1417,FIND(" ",I1417)-1)),""),"")</f>
        <v/>
      </c>
      <c r="P1417" s="7" t="n">
        <f aca="false">IF(K1417="","",K1417-G1417)</f>
        <v>54</v>
      </c>
    </row>
    <row r="1418" customFormat="false" ht="15" hidden="false" customHeight="false" outlineLevel="0" collapsed="false">
      <c r="A1418" s="7" t="n">
        <v>1178866</v>
      </c>
      <c r="B1418" s="7" t="s">
        <v>68</v>
      </c>
      <c r="C1418" s="7" t="s">
        <v>3281</v>
      </c>
      <c r="D1418" s="7" t="s">
        <v>2829</v>
      </c>
      <c r="E1418" s="7" t="s">
        <v>26</v>
      </c>
      <c r="F1418" s="7" t="s">
        <v>3128</v>
      </c>
      <c r="G1418" s="7" t="n">
        <v>1997</v>
      </c>
      <c r="H1418" s="7" t="s">
        <v>51</v>
      </c>
      <c r="I1418" s="7" t="s">
        <v>2053</v>
      </c>
      <c r="J1418" s="7" t="s">
        <v>811</v>
      </c>
      <c r="K1418" s="7" t="n">
        <f aca="false">IFERROR(VALUE(RIGHT(TRIM(F1418),4)),"")</f>
        <v>2019</v>
      </c>
      <c r="L1418" s="7" t="str">
        <f aca="false">IF(TRIM(E1418)="","Unknown",IFERROR(LEFT(TRIM(E1418),FIND(",",TRIM(E1418))-1),TRIM(E1418)))</f>
        <v>United States</v>
      </c>
      <c r="M1418" s="7" t="str">
        <f aca="false">IFERROR(LEFT(J1418,FIND(",",J1418)-1),J1418)</f>
        <v>Thrillers</v>
      </c>
      <c r="N1418" s="7" t="n">
        <f aca="false">IF(B1418="Movie",IFERROR(VALUE(LEFT(I1418,FIND(" ",I1418)-1)),""),"")</f>
        <v>129</v>
      </c>
      <c r="O1418" s="7" t="str">
        <f aca="false">IF(B1418="TV Show",IFERROR(VALUE(LEFT(I1418,FIND(" ",I1418)-1)),""),"")</f>
        <v/>
      </c>
      <c r="P1418" s="7" t="n">
        <f aca="false">IF(K1418="","",K1418-G1418)</f>
        <v>22</v>
      </c>
    </row>
    <row r="1419" customFormat="false" ht="15" hidden="false" customHeight="false" outlineLevel="0" collapsed="false">
      <c r="A1419" s="7" t="n">
        <v>60033312</v>
      </c>
      <c r="B1419" s="7" t="s">
        <v>68</v>
      </c>
      <c r="C1419" s="7" t="s">
        <v>3282</v>
      </c>
      <c r="D1419" s="7" t="s">
        <v>3259</v>
      </c>
      <c r="E1419" s="7" t="s">
        <v>918</v>
      </c>
      <c r="F1419" s="7" t="s">
        <v>3128</v>
      </c>
      <c r="G1419" s="7" t="n">
        <v>2005</v>
      </c>
      <c r="H1419" s="7" t="s">
        <v>51</v>
      </c>
      <c r="I1419" s="7" t="s">
        <v>201</v>
      </c>
      <c r="J1419" s="7" t="s">
        <v>370</v>
      </c>
      <c r="K1419" s="7" t="n">
        <f aca="false">IFERROR(VALUE(RIGHT(TRIM(F1419),4)),"")</f>
        <v>2019</v>
      </c>
      <c r="L1419" s="7" t="str">
        <f aca="false">IF(TRIM(E1419)="","Unknown",IFERROR(LEFT(TRIM(E1419),FIND(",",TRIM(E1419))-1),TRIM(E1419)))</f>
        <v>United States</v>
      </c>
      <c r="M1419" s="7" t="str">
        <f aca="false">IFERROR(LEFT(J1419,FIND(",",J1419)-1),J1419)</f>
        <v>Action &amp; Adventure</v>
      </c>
      <c r="N1419" s="7" t="n">
        <f aca="false">IF(B1419="Movie",IFERROR(VALUE(LEFT(I1419,FIND(" ",I1419)-1)),""),"")</f>
        <v>133</v>
      </c>
      <c r="O1419" s="7" t="str">
        <f aca="false">IF(B1419="TV Show",IFERROR(VALUE(LEFT(I1419,FIND(" ",I1419)-1)),""),"")</f>
        <v/>
      </c>
      <c r="P1419" s="7" t="n">
        <f aca="false">IF(K1419="","",K1419-G1419)</f>
        <v>14</v>
      </c>
    </row>
    <row r="1420" customFormat="false" ht="15" hidden="false" customHeight="false" outlineLevel="0" collapsed="false">
      <c r="A1420" s="7" t="n">
        <v>81030409</v>
      </c>
      <c r="B1420" s="7" t="s">
        <v>68</v>
      </c>
      <c r="C1420" s="7" t="s">
        <v>3283</v>
      </c>
      <c r="D1420" s="7" t="s">
        <v>3284</v>
      </c>
      <c r="F1420" s="7" t="s">
        <v>3128</v>
      </c>
      <c r="G1420" s="7" t="n">
        <v>2019</v>
      </c>
      <c r="H1420" s="7" t="s">
        <v>48</v>
      </c>
      <c r="I1420" s="7" t="s">
        <v>3285</v>
      </c>
      <c r="J1420" s="7" t="s">
        <v>10</v>
      </c>
      <c r="K1420" s="7" t="n">
        <f aca="false">IFERROR(VALUE(RIGHT(TRIM(F1420),4)),"")</f>
        <v>2019</v>
      </c>
      <c r="L1420" s="7" t="str">
        <f aca="false">IF(TRIM(E1420)="","Unknown",IFERROR(LEFT(TRIM(E1420),FIND(",",TRIM(E1420))-1),TRIM(E1420)))</f>
        <v>Unknown</v>
      </c>
      <c r="M1420" s="7" t="str">
        <f aca="false">IFERROR(LEFT(J1420,FIND(",",J1420)-1),J1420)</f>
        <v>Movies</v>
      </c>
      <c r="N1420" s="7" t="n">
        <f aca="false">IF(B1420="Movie",IFERROR(VALUE(LEFT(I1420,FIND(" ",I1420)-1)),""),"")</f>
        <v>36</v>
      </c>
      <c r="O1420" s="7" t="str">
        <f aca="false">IF(B1420="TV Show",IFERROR(VALUE(LEFT(I1420,FIND(" ",I1420)-1)),""),"")</f>
        <v/>
      </c>
      <c r="P1420" s="7" t="n">
        <f aca="false">IF(K1420="","",K1420-G1420)</f>
        <v>0</v>
      </c>
    </row>
    <row r="1421" customFormat="false" ht="15" hidden="false" customHeight="false" outlineLevel="0" collapsed="false">
      <c r="A1421" s="7" t="n">
        <v>80182016</v>
      </c>
      <c r="B1421" s="7" t="s">
        <v>68</v>
      </c>
      <c r="C1421" s="7" t="s">
        <v>3286</v>
      </c>
      <c r="D1421" s="7" t="s">
        <v>3287</v>
      </c>
      <c r="F1421" s="7" t="s">
        <v>3128</v>
      </c>
      <c r="G1421" s="7" t="n">
        <v>2019</v>
      </c>
      <c r="H1421" s="7" t="s">
        <v>51</v>
      </c>
      <c r="I1421" s="7" t="s">
        <v>727</v>
      </c>
      <c r="J1421" s="7" t="s">
        <v>37</v>
      </c>
      <c r="K1421" s="7" t="n">
        <f aca="false">IFERROR(VALUE(RIGHT(TRIM(F1421),4)),"")</f>
        <v>2019</v>
      </c>
      <c r="L1421" s="7" t="str">
        <f aca="false">IF(TRIM(E1421)="","Unknown",IFERROR(LEFT(TRIM(E1421),FIND(",",TRIM(E1421))-1),TRIM(E1421)))</f>
        <v>Unknown</v>
      </c>
      <c r="M1421" s="7" t="str">
        <f aca="false">IFERROR(LEFT(J1421,FIND(",",J1421)-1),J1421)</f>
        <v>Dramas</v>
      </c>
      <c r="N1421" s="7" t="n">
        <f aca="false">IF(B1421="Movie",IFERROR(VALUE(LEFT(I1421,FIND(" ",I1421)-1)),""),"")</f>
        <v>141</v>
      </c>
      <c r="O1421" s="7" t="str">
        <f aca="false">IF(B1421="TV Show",IFERROR(VALUE(LEFT(I1421,FIND(" ",I1421)-1)),""),"")</f>
        <v/>
      </c>
      <c r="P1421" s="7" t="n">
        <f aca="false">IF(K1421="","",K1421-G1421)</f>
        <v>0</v>
      </c>
    </row>
    <row r="1422" customFormat="false" ht="15" hidden="false" customHeight="false" outlineLevel="0" collapsed="false">
      <c r="A1422" s="7" t="n">
        <v>684847</v>
      </c>
      <c r="B1422" s="7" t="s">
        <v>68</v>
      </c>
      <c r="C1422" s="7" t="s">
        <v>3288</v>
      </c>
      <c r="D1422" s="7" t="s">
        <v>955</v>
      </c>
      <c r="E1422" s="7" t="s">
        <v>26</v>
      </c>
      <c r="F1422" s="7" t="s">
        <v>3128</v>
      </c>
      <c r="G1422" s="7" t="n">
        <v>1991</v>
      </c>
      <c r="H1422" s="7" t="s">
        <v>51</v>
      </c>
      <c r="I1422" s="7" t="s">
        <v>820</v>
      </c>
      <c r="J1422" s="7" t="s">
        <v>967</v>
      </c>
      <c r="K1422" s="7" t="n">
        <f aca="false">IFERROR(VALUE(RIGHT(TRIM(F1422),4)),"")</f>
        <v>2019</v>
      </c>
      <c r="L1422" s="7" t="str">
        <f aca="false">IF(TRIM(E1422)="","Unknown",IFERROR(LEFT(TRIM(E1422),FIND(",",TRIM(E1422))-1),TRIM(E1422)))</f>
        <v>United States</v>
      </c>
      <c r="M1422" s="7" t="str">
        <f aca="false">IFERROR(LEFT(J1422,FIND(",",J1422)-1),J1422)</f>
        <v>Action &amp; Adventure</v>
      </c>
      <c r="N1422" s="7" t="n">
        <f aca="false">IF(B1422="Movie",IFERROR(VALUE(LEFT(I1422,FIND(" ",I1422)-1)),""),"")</f>
        <v>105</v>
      </c>
      <c r="O1422" s="7" t="str">
        <f aca="false">IF(B1422="TV Show",IFERROR(VALUE(LEFT(I1422,FIND(" ",I1422)-1)),""),"")</f>
        <v/>
      </c>
      <c r="P1422" s="7" t="n">
        <f aca="false">IF(K1422="","",K1422-G1422)</f>
        <v>28</v>
      </c>
    </row>
    <row r="1423" customFormat="false" ht="15" hidden="false" customHeight="false" outlineLevel="0" collapsed="false">
      <c r="A1423" s="7" t="n">
        <v>81150305</v>
      </c>
      <c r="B1423" s="7" t="s">
        <v>68</v>
      </c>
      <c r="C1423" s="7" t="s">
        <v>3289</v>
      </c>
      <c r="D1423" s="7" t="s">
        <v>3290</v>
      </c>
      <c r="E1423" s="7" t="s">
        <v>3291</v>
      </c>
      <c r="F1423" s="7" t="s">
        <v>3128</v>
      </c>
      <c r="G1423" s="7" t="n">
        <v>2019</v>
      </c>
      <c r="H1423" s="7" t="s">
        <v>49</v>
      </c>
      <c r="I1423" s="7" t="s">
        <v>294</v>
      </c>
      <c r="J1423" s="7" t="s">
        <v>304</v>
      </c>
      <c r="K1423" s="7" t="n">
        <f aca="false">IFERROR(VALUE(RIGHT(TRIM(F1423),4)),"")</f>
        <v>2019</v>
      </c>
      <c r="L1423" s="7" t="str">
        <f aca="false">IF(TRIM(E1423)="","Unknown",IFERROR(LEFT(TRIM(E1423),FIND(",",TRIM(E1423))-1),TRIM(E1423)))</f>
        <v>Italy</v>
      </c>
      <c r="M1423" s="7" t="str">
        <f aca="false">IFERROR(LEFT(J1423,FIND(",",J1423)-1),J1423)</f>
        <v>Dramas</v>
      </c>
      <c r="N1423" s="7" t="n">
        <f aca="false">IF(B1423="Movie",IFERROR(VALUE(LEFT(I1423,FIND(" ",I1423)-1)),""),"")</f>
        <v>107</v>
      </c>
      <c r="O1423" s="7" t="str">
        <f aca="false">IF(B1423="TV Show",IFERROR(VALUE(LEFT(I1423,FIND(" ",I1423)-1)),""),"")</f>
        <v/>
      </c>
      <c r="P1423" s="7" t="n">
        <f aca="false">IF(K1423="","",K1423-G1423)</f>
        <v>0</v>
      </c>
    </row>
    <row r="1424" customFormat="false" ht="15" hidden="false" customHeight="false" outlineLevel="0" collapsed="false">
      <c r="A1424" s="7" t="n">
        <v>20557937</v>
      </c>
      <c r="B1424" s="7" t="s">
        <v>68</v>
      </c>
      <c r="C1424" s="7" t="s">
        <v>3292</v>
      </c>
      <c r="D1424" s="7" t="s">
        <v>3293</v>
      </c>
      <c r="E1424" s="7" t="s">
        <v>26</v>
      </c>
      <c r="F1424" s="7" t="s">
        <v>3128</v>
      </c>
      <c r="G1424" s="7" t="n">
        <v>1999</v>
      </c>
      <c r="H1424" s="7" t="s">
        <v>51</v>
      </c>
      <c r="I1424" s="7" t="s">
        <v>2183</v>
      </c>
      <c r="J1424" s="7" t="s">
        <v>276</v>
      </c>
      <c r="K1424" s="7" t="n">
        <f aca="false">IFERROR(VALUE(RIGHT(TRIM(F1424),4)),"")</f>
        <v>2019</v>
      </c>
      <c r="L1424" s="7" t="str">
        <f aca="false">IF(TRIM(E1424)="","Unknown",IFERROR(LEFT(TRIM(E1424),FIND(",",TRIM(E1424))-1),TRIM(E1424)))</f>
        <v>United States</v>
      </c>
      <c r="M1424" s="7" t="str">
        <f aca="false">IFERROR(LEFT(J1424,FIND(",",J1424)-1),J1424)</f>
        <v>Action &amp; Adventure</v>
      </c>
      <c r="N1424" s="7" t="n">
        <f aca="false">IF(B1424="Movie",IFERROR(VALUE(LEFT(I1424,FIND(" ",I1424)-1)),""),"")</f>
        <v>136</v>
      </c>
      <c r="O1424" s="7" t="str">
        <f aca="false">IF(B1424="TV Show",IFERROR(VALUE(LEFT(I1424,FIND(" ",I1424)-1)),""),"")</f>
        <v/>
      </c>
      <c r="P1424" s="7" t="n">
        <f aca="false">IF(K1424="","",K1424-G1424)</f>
        <v>20</v>
      </c>
    </row>
    <row r="1425" customFormat="false" ht="15" hidden="false" customHeight="false" outlineLevel="0" collapsed="false">
      <c r="A1425" s="7" t="n">
        <v>60027695</v>
      </c>
      <c r="B1425" s="7" t="s">
        <v>68</v>
      </c>
      <c r="C1425" s="7" t="s">
        <v>3294</v>
      </c>
      <c r="D1425" s="7" t="s">
        <v>3293</v>
      </c>
      <c r="E1425" s="7" t="s">
        <v>26</v>
      </c>
      <c r="F1425" s="7" t="s">
        <v>3128</v>
      </c>
      <c r="G1425" s="7" t="n">
        <v>2003</v>
      </c>
      <c r="H1425" s="7" t="s">
        <v>51</v>
      </c>
      <c r="I1425" s="7" t="s">
        <v>919</v>
      </c>
      <c r="J1425" s="7" t="s">
        <v>276</v>
      </c>
      <c r="K1425" s="7" t="n">
        <f aca="false">IFERROR(VALUE(RIGHT(TRIM(F1425),4)),"")</f>
        <v>2019</v>
      </c>
      <c r="L1425" s="7" t="str">
        <f aca="false">IF(TRIM(E1425)="","Unknown",IFERROR(LEFT(TRIM(E1425),FIND(",",TRIM(E1425))-1),TRIM(E1425)))</f>
        <v>United States</v>
      </c>
      <c r="M1425" s="7" t="str">
        <f aca="false">IFERROR(LEFT(J1425,FIND(",",J1425)-1),J1425)</f>
        <v>Action &amp; Adventure</v>
      </c>
      <c r="N1425" s="7" t="n">
        <f aca="false">IF(B1425="Movie",IFERROR(VALUE(LEFT(I1425,FIND(" ",I1425)-1)),""),"")</f>
        <v>138</v>
      </c>
      <c r="O1425" s="7" t="str">
        <f aca="false">IF(B1425="TV Show",IFERROR(VALUE(LEFT(I1425,FIND(" ",I1425)-1)),""),"")</f>
        <v/>
      </c>
      <c r="P1425" s="7" t="n">
        <f aca="false">IF(K1425="","",K1425-G1425)</f>
        <v>16</v>
      </c>
    </row>
    <row r="1426" customFormat="false" ht="15" hidden="false" customHeight="false" outlineLevel="0" collapsed="false">
      <c r="A1426" s="7" t="n">
        <v>60031303</v>
      </c>
      <c r="B1426" s="7" t="s">
        <v>68</v>
      </c>
      <c r="C1426" s="7" t="s">
        <v>3295</v>
      </c>
      <c r="D1426" s="7" t="s">
        <v>3293</v>
      </c>
      <c r="E1426" s="7" t="s">
        <v>26</v>
      </c>
      <c r="F1426" s="7" t="s">
        <v>3128</v>
      </c>
      <c r="G1426" s="7" t="n">
        <v>2003</v>
      </c>
      <c r="H1426" s="7" t="s">
        <v>51</v>
      </c>
      <c r="I1426" s="7" t="s">
        <v>2053</v>
      </c>
      <c r="J1426" s="7" t="s">
        <v>276</v>
      </c>
      <c r="K1426" s="7" t="n">
        <f aca="false">IFERROR(VALUE(RIGHT(TRIM(F1426),4)),"")</f>
        <v>2019</v>
      </c>
      <c r="L1426" s="7" t="str">
        <f aca="false">IF(TRIM(E1426)="","Unknown",IFERROR(LEFT(TRIM(E1426),FIND(",",TRIM(E1426))-1),TRIM(E1426)))</f>
        <v>United States</v>
      </c>
      <c r="M1426" s="7" t="str">
        <f aca="false">IFERROR(LEFT(J1426,FIND(",",J1426)-1),J1426)</f>
        <v>Action &amp; Adventure</v>
      </c>
      <c r="N1426" s="7" t="n">
        <f aca="false">IF(B1426="Movie",IFERROR(VALUE(LEFT(I1426,FIND(" ",I1426)-1)),""),"")</f>
        <v>129</v>
      </c>
      <c r="O1426" s="7" t="str">
        <f aca="false">IF(B1426="TV Show",IFERROR(VALUE(LEFT(I1426,FIND(" ",I1426)-1)),""),"")</f>
        <v/>
      </c>
      <c r="P1426" s="7" t="n">
        <f aca="false">IF(K1426="","",K1426-G1426)</f>
        <v>16</v>
      </c>
    </row>
    <row r="1427" customFormat="false" ht="15" hidden="false" customHeight="false" outlineLevel="0" collapsed="false">
      <c r="A1427" s="7" t="n">
        <v>81170692</v>
      </c>
      <c r="B1427" s="7" t="s">
        <v>68</v>
      </c>
      <c r="C1427" s="7" t="s">
        <v>3296</v>
      </c>
      <c r="D1427" s="7" t="s">
        <v>1334</v>
      </c>
      <c r="F1427" s="7" t="s">
        <v>3128</v>
      </c>
      <c r="G1427" s="7" t="n">
        <v>2007</v>
      </c>
      <c r="H1427" s="7" t="s">
        <v>49</v>
      </c>
      <c r="I1427" s="7" t="s">
        <v>451</v>
      </c>
      <c r="J1427" s="7" t="s">
        <v>341</v>
      </c>
      <c r="K1427" s="7" t="n">
        <f aca="false">IFERROR(VALUE(RIGHT(TRIM(F1427),4)),"")</f>
        <v>2019</v>
      </c>
      <c r="L1427" s="7" t="str">
        <f aca="false">IF(TRIM(E1427)="","Unknown",IFERROR(LEFT(TRIM(E1427),FIND(",",TRIM(E1427))-1),TRIM(E1427)))</f>
        <v>Unknown</v>
      </c>
      <c r="M1427" s="7" t="str">
        <f aca="false">IFERROR(LEFT(J1427,FIND(",",J1427)-1),J1427)</f>
        <v>Documentaries</v>
      </c>
      <c r="N1427" s="7" t="n">
        <f aca="false">IF(B1427="Movie",IFERROR(VALUE(LEFT(I1427,FIND(" ",I1427)-1)),""),"")</f>
        <v>97</v>
      </c>
      <c r="O1427" s="7" t="str">
        <f aca="false">IF(B1427="TV Show",IFERROR(VALUE(LEFT(I1427,FIND(" ",I1427)-1)),""),"")</f>
        <v/>
      </c>
      <c r="P1427" s="7" t="n">
        <f aca="false">IF(K1427="","",K1427-G1427)</f>
        <v>12</v>
      </c>
    </row>
    <row r="1428" customFormat="false" ht="15" hidden="false" customHeight="false" outlineLevel="0" collapsed="false">
      <c r="A1428" s="7" t="n">
        <v>848915</v>
      </c>
      <c r="B1428" s="7" t="s">
        <v>68</v>
      </c>
      <c r="C1428" s="7" t="s">
        <v>3297</v>
      </c>
      <c r="D1428" s="7" t="s">
        <v>3298</v>
      </c>
      <c r="E1428" s="7" t="s">
        <v>26</v>
      </c>
      <c r="F1428" s="7" t="s">
        <v>3128</v>
      </c>
      <c r="G1428" s="7" t="n">
        <v>1993</v>
      </c>
      <c r="H1428" s="7" t="s">
        <v>52</v>
      </c>
      <c r="I1428" s="7" t="s">
        <v>727</v>
      </c>
      <c r="J1428" s="7" t="s">
        <v>597</v>
      </c>
      <c r="K1428" s="7" t="n">
        <f aca="false">IFERROR(VALUE(RIGHT(TRIM(F1428),4)),"")</f>
        <v>2019</v>
      </c>
      <c r="L1428" s="7" t="str">
        <f aca="false">IF(TRIM(E1428)="","Unknown",IFERROR(LEFT(TRIM(E1428),FIND(",",TRIM(E1428))-1),TRIM(E1428)))</f>
        <v>United States</v>
      </c>
      <c r="M1428" s="7" t="str">
        <f aca="false">IFERROR(LEFT(J1428,FIND(",",J1428)-1),J1428)</f>
        <v>Dramas</v>
      </c>
      <c r="N1428" s="7" t="n">
        <f aca="false">IF(B1428="Movie",IFERROR(VALUE(LEFT(I1428,FIND(" ",I1428)-1)),""),"")</f>
        <v>141</v>
      </c>
      <c r="O1428" s="7" t="str">
        <f aca="false">IF(B1428="TV Show",IFERROR(VALUE(LEFT(I1428,FIND(" ",I1428)-1)),""),"")</f>
        <v/>
      </c>
      <c r="P1428" s="7" t="n">
        <f aca="false">IF(K1428="","",K1428-G1428)</f>
        <v>26</v>
      </c>
    </row>
    <row r="1429" customFormat="false" ht="15" hidden="false" customHeight="false" outlineLevel="0" collapsed="false">
      <c r="A1429" s="7" t="n">
        <v>60022980</v>
      </c>
      <c r="B1429" s="7" t="s">
        <v>68</v>
      </c>
      <c r="C1429" s="7" t="s">
        <v>3299</v>
      </c>
      <c r="D1429" s="7" t="s">
        <v>3300</v>
      </c>
      <c r="E1429" s="7" t="s">
        <v>26</v>
      </c>
      <c r="F1429" s="7" t="s">
        <v>3128</v>
      </c>
      <c r="G1429" s="7" t="n">
        <v>2002</v>
      </c>
      <c r="H1429" s="7" t="s">
        <v>52</v>
      </c>
      <c r="I1429" s="7" t="s">
        <v>87</v>
      </c>
      <c r="J1429" s="7" t="s">
        <v>967</v>
      </c>
      <c r="K1429" s="7" t="n">
        <f aca="false">IFERROR(VALUE(RIGHT(TRIM(F1429),4)),"")</f>
        <v>2019</v>
      </c>
      <c r="L1429" s="7" t="str">
        <f aca="false">IF(TRIM(E1429)="","Unknown",IFERROR(LEFT(TRIM(E1429),FIND(",",TRIM(E1429))-1),TRIM(E1429)))</f>
        <v>United States</v>
      </c>
      <c r="M1429" s="7" t="str">
        <f aca="false">IFERROR(LEFT(J1429,FIND(",",J1429)-1),J1429)</f>
        <v>Action &amp; Adventure</v>
      </c>
      <c r="N1429" s="7" t="n">
        <f aca="false">IF(B1429="Movie",IFERROR(VALUE(LEFT(I1429,FIND(" ",I1429)-1)),""),"")</f>
        <v>99</v>
      </c>
      <c r="O1429" s="7" t="str">
        <f aca="false">IF(B1429="TV Show",IFERROR(VALUE(LEFT(I1429,FIND(" ",I1429)-1)),""),"")</f>
        <v/>
      </c>
      <c r="P1429" s="7" t="n">
        <f aca="false">IF(K1429="","",K1429-G1429)</f>
        <v>17</v>
      </c>
    </row>
    <row r="1430" customFormat="false" ht="15" hidden="false" customHeight="false" outlineLevel="0" collapsed="false">
      <c r="A1430" s="7" t="n">
        <v>60003961</v>
      </c>
      <c r="B1430" s="7" t="s">
        <v>68</v>
      </c>
      <c r="C1430" s="7" t="s">
        <v>3301</v>
      </c>
      <c r="D1430" s="7" t="s">
        <v>3302</v>
      </c>
      <c r="E1430" s="7" t="s">
        <v>26</v>
      </c>
      <c r="F1430" s="7" t="s">
        <v>3128</v>
      </c>
      <c r="G1430" s="7" t="n">
        <v>1988</v>
      </c>
      <c r="H1430" s="7" t="s">
        <v>52</v>
      </c>
      <c r="I1430" s="7" t="s">
        <v>357</v>
      </c>
      <c r="J1430" s="7" t="s">
        <v>509</v>
      </c>
      <c r="K1430" s="7" t="n">
        <f aca="false">IFERROR(VALUE(RIGHT(TRIM(F1430),4)),"")</f>
        <v>2019</v>
      </c>
      <c r="L1430" s="7" t="str">
        <f aca="false">IF(TRIM(E1430)="","Unknown",IFERROR(LEFT(TRIM(E1430),FIND(",",TRIM(E1430))-1),TRIM(E1430)))</f>
        <v>United States</v>
      </c>
      <c r="M1430" s="7" t="str">
        <f aca="false">IFERROR(LEFT(J1430,FIND(",",J1430)-1),J1430)</f>
        <v>Documentaries</v>
      </c>
      <c r="N1430" s="7" t="n">
        <f aca="false">IF(B1430="Movie",IFERROR(VALUE(LEFT(I1430,FIND(" ",I1430)-1)),""),"")</f>
        <v>89</v>
      </c>
      <c r="O1430" s="7" t="str">
        <f aca="false">IF(B1430="TV Show",IFERROR(VALUE(LEFT(I1430,FIND(" ",I1430)-1)),""),"")</f>
        <v/>
      </c>
      <c r="P1430" s="7" t="n">
        <f aca="false">IF(K1430="","",K1430-G1430)</f>
        <v>31</v>
      </c>
    </row>
    <row r="1431" customFormat="false" ht="15" hidden="false" customHeight="false" outlineLevel="0" collapsed="false">
      <c r="A1431" s="7" t="n">
        <v>81035120</v>
      </c>
      <c r="B1431" s="7" t="s">
        <v>68</v>
      </c>
      <c r="C1431" s="7" t="s">
        <v>3303</v>
      </c>
      <c r="F1431" s="7" t="s">
        <v>3128</v>
      </c>
      <c r="G1431" s="7" t="n">
        <v>2019</v>
      </c>
      <c r="H1431" s="7" t="s">
        <v>119</v>
      </c>
      <c r="I1431" s="7" t="s">
        <v>373</v>
      </c>
      <c r="J1431" s="7" t="s">
        <v>10</v>
      </c>
      <c r="K1431" s="7" t="n">
        <f aca="false">IFERROR(VALUE(RIGHT(TRIM(F1431),4)),"")</f>
        <v>2019</v>
      </c>
      <c r="L1431" s="7" t="str">
        <f aca="false">IF(TRIM(E1431)="","Unknown",IFERROR(LEFT(TRIM(E1431),FIND(",",TRIM(E1431))-1),TRIM(E1431)))</f>
        <v>Unknown</v>
      </c>
      <c r="M1431" s="7" t="str">
        <f aca="false">IFERROR(LEFT(J1431,FIND(",",J1431)-1),J1431)</f>
        <v>Movies</v>
      </c>
      <c r="N1431" s="7" t="n">
        <f aca="false">IF(B1431="Movie",IFERROR(VALUE(LEFT(I1431,FIND(" ",I1431)-1)),""),"")</f>
        <v>24</v>
      </c>
      <c r="O1431" s="7" t="str">
        <f aca="false">IF(B1431="TV Show",IFERROR(VALUE(LEFT(I1431,FIND(" ",I1431)-1)),""),"")</f>
        <v/>
      </c>
      <c r="P1431" s="7" t="n">
        <f aca="false">IF(K1431="","",K1431-G1431)</f>
        <v>0</v>
      </c>
    </row>
    <row r="1432" customFormat="false" ht="15" hidden="false" customHeight="false" outlineLevel="0" collapsed="false">
      <c r="A1432" s="7" t="n">
        <v>70060005</v>
      </c>
      <c r="B1432" s="7" t="s">
        <v>68</v>
      </c>
      <c r="C1432" s="7" t="s">
        <v>3304</v>
      </c>
      <c r="D1432" s="7" t="s">
        <v>3305</v>
      </c>
      <c r="E1432" s="7" t="s">
        <v>26</v>
      </c>
      <c r="F1432" s="7" t="s">
        <v>3128</v>
      </c>
      <c r="G1432" s="7" t="n">
        <v>2008</v>
      </c>
      <c r="H1432" s="7" t="s">
        <v>52</v>
      </c>
      <c r="I1432" s="7" t="s">
        <v>73</v>
      </c>
      <c r="J1432" s="7" t="s">
        <v>40</v>
      </c>
      <c r="K1432" s="7" t="n">
        <f aca="false">IFERROR(VALUE(RIGHT(TRIM(F1432),4)),"")</f>
        <v>2019</v>
      </c>
      <c r="L1432" s="7" t="str">
        <f aca="false">IF(TRIM(E1432)="","Unknown",IFERROR(LEFT(TRIM(E1432),FIND(",",TRIM(E1432))-1),TRIM(E1432)))</f>
        <v>United States</v>
      </c>
      <c r="M1432" s="7" t="str">
        <f aca="false">IFERROR(LEFT(J1432,FIND(",",J1432)-1),J1432)</f>
        <v>Action &amp; Adventure</v>
      </c>
      <c r="N1432" s="7" t="n">
        <f aca="false">IF(B1432="Movie",IFERROR(VALUE(LEFT(I1432,FIND(" ",I1432)-1)),""),"")</f>
        <v>90</v>
      </c>
      <c r="O1432" s="7" t="str">
        <f aca="false">IF(B1432="TV Show",IFERROR(VALUE(LEFT(I1432,FIND(" ",I1432)-1)),""),"")</f>
        <v/>
      </c>
      <c r="P1432" s="7" t="n">
        <f aca="false">IF(K1432="","",K1432-G1432)</f>
        <v>11</v>
      </c>
    </row>
    <row r="1433" customFormat="false" ht="15" hidden="false" customHeight="false" outlineLevel="0" collapsed="false">
      <c r="A1433" s="7" t="n">
        <v>70266992</v>
      </c>
      <c r="B1433" s="7" t="s">
        <v>78</v>
      </c>
      <c r="C1433" s="7" t="s">
        <v>3306</v>
      </c>
      <c r="E1433" s="7" t="s">
        <v>1097</v>
      </c>
      <c r="F1433" s="7" t="s">
        <v>3128</v>
      </c>
      <c r="G1433" s="7" t="n">
        <v>2006</v>
      </c>
      <c r="H1433" s="7" t="s">
        <v>48</v>
      </c>
      <c r="I1433" s="7" t="s">
        <v>82</v>
      </c>
      <c r="J1433" s="7" t="s">
        <v>824</v>
      </c>
      <c r="K1433" s="7" t="n">
        <f aca="false">IFERROR(VALUE(RIGHT(TRIM(F1433),4)),"")</f>
        <v>2019</v>
      </c>
      <c r="L1433" s="7" t="str">
        <f aca="false">IF(TRIM(E1433)="","Unknown",IFERROR(LEFT(TRIM(E1433),FIND(",",TRIM(E1433))-1),TRIM(E1433)))</f>
        <v>Argentina</v>
      </c>
      <c r="M1433" s="7" t="str">
        <f aca="false">IFERROR(LEFT(J1433,FIND(",",J1433)-1),J1433)</f>
        <v>International TV Shows</v>
      </c>
      <c r="N1433" s="7" t="str">
        <f aca="false">IF(B1433="Movie",IFERROR(VALUE(LEFT(I1433,FIND(" ",I1433)-1)),""),"")</f>
        <v/>
      </c>
      <c r="O1433" s="7" t="n">
        <f aca="false">IF(B1433="TV Show",IFERROR(VALUE(LEFT(I1433,FIND(" ",I1433)-1)),""),"")</f>
        <v>1</v>
      </c>
      <c r="P1433" s="7" t="n">
        <f aca="false">IF(K1433="","",K1433-G1433)</f>
        <v>13</v>
      </c>
    </row>
    <row r="1434" customFormat="false" ht="15" hidden="false" customHeight="false" outlineLevel="0" collapsed="false">
      <c r="A1434" s="7" t="n">
        <v>80218819</v>
      </c>
      <c r="B1434" s="7" t="s">
        <v>78</v>
      </c>
      <c r="C1434" s="7" t="s">
        <v>3307</v>
      </c>
      <c r="F1434" s="7" t="s">
        <v>3128</v>
      </c>
      <c r="G1434" s="7" t="n">
        <v>2019</v>
      </c>
      <c r="H1434" s="7" t="s">
        <v>48</v>
      </c>
      <c r="I1434" s="7" t="s">
        <v>82</v>
      </c>
      <c r="J1434" s="7" t="s">
        <v>3308</v>
      </c>
      <c r="K1434" s="7" t="n">
        <f aca="false">IFERROR(VALUE(RIGHT(TRIM(F1434),4)),"")</f>
        <v>2019</v>
      </c>
      <c r="L1434" s="7" t="str">
        <f aca="false">IF(TRIM(E1434)="","Unknown",IFERROR(LEFT(TRIM(E1434),FIND(",",TRIM(E1434))-1),TRIM(E1434)))</f>
        <v>Unknown</v>
      </c>
      <c r="M1434" s="7" t="str">
        <f aca="false">IFERROR(LEFT(J1434,FIND(",",J1434)-1),J1434)</f>
        <v>International TV Shows</v>
      </c>
      <c r="N1434" s="7" t="str">
        <f aca="false">IF(B1434="Movie",IFERROR(VALUE(LEFT(I1434,FIND(" ",I1434)-1)),""),"")</f>
        <v/>
      </c>
      <c r="O1434" s="7" t="n">
        <f aca="false">IF(B1434="TV Show",IFERROR(VALUE(LEFT(I1434,FIND(" ",I1434)-1)),""),"")</f>
        <v>1</v>
      </c>
      <c r="P1434" s="7" t="n">
        <f aca="false">IF(K1434="","",K1434-G1434)</f>
        <v>0</v>
      </c>
    </row>
    <row r="1435" customFormat="false" ht="15" hidden="false" customHeight="false" outlineLevel="0" collapsed="false">
      <c r="A1435" s="7" t="n">
        <v>70084791</v>
      </c>
      <c r="B1435" s="7" t="s">
        <v>68</v>
      </c>
      <c r="C1435" s="7" t="s">
        <v>3309</v>
      </c>
      <c r="D1435" s="7" t="s">
        <v>3310</v>
      </c>
      <c r="E1435" s="7" t="s">
        <v>3311</v>
      </c>
      <c r="F1435" s="7" t="s">
        <v>3128</v>
      </c>
      <c r="G1435" s="7" t="n">
        <v>2008</v>
      </c>
      <c r="H1435" s="7" t="s">
        <v>52</v>
      </c>
      <c r="I1435" s="7" t="s">
        <v>134</v>
      </c>
      <c r="J1435" s="7" t="s">
        <v>177</v>
      </c>
      <c r="K1435" s="7" t="n">
        <f aca="false">IFERROR(VALUE(RIGHT(TRIM(F1435),4)),"")</f>
        <v>2019</v>
      </c>
      <c r="L1435" s="7" t="str">
        <f aca="false">IF(TRIM(E1435)="","Unknown",IFERROR(LEFT(TRIM(E1435),FIND(",",TRIM(E1435))-1),TRIM(E1435)))</f>
        <v>United States</v>
      </c>
      <c r="M1435" s="7" t="str">
        <f aca="false">IFERROR(LEFT(J1435,FIND(",",J1435)-1),J1435)</f>
        <v>Comedies</v>
      </c>
      <c r="N1435" s="7" t="n">
        <f aca="false">IF(B1435="Movie",IFERROR(VALUE(LEFT(I1435,FIND(" ",I1435)-1)),""),"")</f>
        <v>98</v>
      </c>
      <c r="O1435" s="7" t="str">
        <f aca="false">IF(B1435="TV Show",IFERROR(VALUE(LEFT(I1435,FIND(" ",I1435)-1)),""),"")</f>
        <v/>
      </c>
      <c r="P1435" s="7" t="n">
        <f aca="false">IF(K1435="","",K1435-G1435)</f>
        <v>11</v>
      </c>
    </row>
    <row r="1436" customFormat="false" ht="15" hidden="false" customHeight="false" outlineLevel="0" collapsed="false">
      <c r="A1436" s="7" t="n">
        <v>81170694</v>
      </c>
      <c r="B1436" s="7" t="s">
        <v>68</v>
      </c>
      <c r="C1436" s="7" t="s">
        <v>3312</v>
      </c>
      <c r="D1436" s="7" t="s">
        <v>3313</v>
      </c>
      <c r="F1436" s="7" t="s">
        <v>3128</v>
      </c>
      <c r="G1436" s="7" t="n">
        <v>2016</v>
      </c>
      <c r="H1436" s="7" t="s">
        <v>49</v>
      </c>
      <c r="I1436" s="7" t="s">
        <v>357</v>
      </c>
      <c r="J1436" s="7" t="s">
        <v>699</v>
      </c>
      <c r="K1436" s="7" t="n">
        <f aca="false">IFERROR(VALUE(RIGHT(TRIM(F1436),4)),"")</f>
        <v>2019</v>
      </c>
      <c r="L1436" s="7" t="str">
        <f aca="false">IF(TRIM(E1436)="","Unknown",IFERROR(LEFT(TRIM(E1436),FIND(",",TRIM(E1436))-1),TRIM(E1436)))</f>
        <v>Unknown</v>
      </c>
      <c r="M1436" s="7" t="str">
        <f aca="false">IFERROR(LEFT(J1436,FIND(",",J1436)-1),J1436)</f>
        <v>Documentaries</v>
      </c>
      <c r="N1436" s="7" t="n">
        <f aca="false">IF(B1436="Movie",IFERROR(VALUE(LEFT(I1436,FIND(" ",I1436)-1)),""),"")</f>
        <v>89</v>
      </c>
      <c r="O1436" s="7" t="str">
        <f aca="false">IF(B1436="TV Show",IFERROR(VALUE(LEFT(I1436,FIND(" ",I1436)-1)),""),"")</f>
        <v/>
      </c>
      <c r="P1436" s="7" t="n">
        <f aca="false">IF(K1436="","",K1436-G1436)</f>
        <v>3</v>
      </c>
    </row>
    <row r="1437" customFormat="false" ht="15" hidden="false" customHeight="false" outlineLevel="0" collapsed="false">
      <c r="A1437" s="7" t="n">
        <v>70123542</v>
      </c>
      <c r="B1437" s="7" t="s">
        <v>68</v>
      </c>
      <c r="C1437" s="7" t="s">
        <v>3314</v>
      </c>
      <c r="D1437" s="7" t="s">
        <v>3315</v>
      </c>
      <c r="E1437" s="7" t="s">
        <v>26</v>
      </c>
      <c r="F1437" s="7" t="s">
        <v>3128</v>
      </c>
      <c r="G1437" s="7" t="n">
        <v>2009</v>
      </c>
      <c r="H1437" s="7" t="s">
        <v>51</v>
      </c>
      <c r="I1437" s="7" t="s">
        <v>264</v>
      </c>
      <c r="J1437" s="7" t="s">
        <v>1059</v>
      </c>
      <c r="K1437" s="7" t="n">
        <f aca="false">IFERROR(VALUE(RIGHT(TRIM(F1437),4)),"")</f>
        <v>2019</v>
      </c>
      <c r="L1437" s="7" t="str">
        <f aca="false">IF(TRIM(E1437)="","Unknown",IFERROR(LEFT(TRIM(E1437),FIND(",",TRIM(E1437))-1),TRIM(E1437)))</f>
        <v>United States</v>
      </c>
      <c r="M1437" s="7" t="str">
        <f aca="false">IFERROR(LEFT(J1437,FIND(",",J1437)-1),J1437)</f>
        <v>Comedies</v>
      </c>
      <c r="N1437" s="7" t="n">
        <f aca="false">IF(B1437="Movie",IFERROR(VALUE(LEFT(I1437,FIND(" ",I1437)-1)),""),"")</f>
        <v>88</v>
      </c>
      <c r="O1437" s="7" t="str">
        <f aca="false">IF(B1437="TV Show",IFERROR(VALUE(LEFT(I1437,FIND(" ",I1437)-1)),""),"")</f>
        <v/>
      </c>
      <c r="P1437" s="7" t="n">
        <f aca="false">IF(K1437="","",K1437-G1437)</f>
        <v>10</v>
      </c>
    </row>
    <row r="1438" customFormat="false" ht="15" hidden="false" customHeight="false" outlineLevel="0" collapsed="false">
      <c r="A1438" s="7" t="n">
        <v>70107499</v>
      </c>
      <c r="B1438" s="7" t="s">
        <v>68</v>
      </c>
      <c r="C1438" s="7" t="s">
        <v>3316</v>
      </c>
      <c r="D1438" s="7" t="s">
        <v>3317</v>
      </c>
      <c r="E1438" s="7" t="s">
        <v>27</v>
      </c>
      <c r="F1438" s="7" t="s">
        <v>3318</v>
      </c>
      <c r="G1438" s="7" t="n">
        <v>2008</v>
      </c>
      <c r="H1438" s="7" t="s">
        <v>48</v>
      </c>
      <c r="I1438" s="7" t="s">
        <v>330</v>
      </c>
      <c r="J1438" s="7" t="s">
        <v>112</v>
      </c>
      <c r="K1438" s="7" t="n">
        <f aca="false">IFERROR(VALUE(RIGHT(TRIM(F1438),4)),"")</f>
        <v>2018</v>
      </c>
      <c r="L1438" s="7" t="str">
        <f aca="false">IF(TRIM(E1438)="","Unknown",IFERROR(LEFT(TRIM(E1438),FIND(",",TRIM(E1438))-1),TRIM(E1438)))</f>
        <v>India</v>
      </c>
      <c r="M1438" s="7" t="str">
        <f aca="false">IFERROR(LEFT(J1438,FIND(",",J1438)-1),J1438)</f>
        <v>Action &amp; Adventure</v>
      </c>
      <c r="N1438" s="7" t="n">
        <f aca="false">IF(B1438="Movie",IFERROR(VALUE(LEFT(I1438,FIND(" ",I1438)-1)),""),"")</f>
        <v>103</v>
      </c>
      <c r="O1438" s="7" t="str">
        <f aca="false">IF(B1438="TV Show",IFERROR(VALUE(LEFT(I1438,FIND(" ",I1438)-1)),""),"")</f>
        <v/>
      </c>
      <c r="P1438" s="7" t="n">
        <f aca="false">IF(K1438="","",K1438-G1438)</f>
        <v>10</v>
      </c>
    </row>
    <row r="1439" customFormat="false" ht="15" hidden="false" customHeight="false" outlineLevel="0" collapsed="false">
      <c r="A1439" s="7" t="n">
        <v>70123117</v>
      </c>
      <c r="B1439" s="7" t="s">
        <v>68</v>
      </c>
      <c r="C1439" s="7" t="s">
        <v>3319</v>
      </c>
      <c r="D1439" s="7" t="s">
        <v>3320</v>
      </c>
      <c r="E1439" s="7" t="s">
        <v>27</v>
      </c>
      <c r="F1439" s="7" t="s">
        <v>3318</v>
      </c>
      <c r="G1439" s="7" t="n">
        <v>2009</v>
      </c>
      <c r="H1439" s="7" t="s">
        <v>48</v>
      </c>
      <c r="I1439" s="7" t="s">
        <v>386</v>
      </c>
      <c r="J1439" s="7" t="s">
        <v>457</v>
      </c>
      <c r="K1439" s="7" t="n">
        <f aca="false">IFERROR(VALUE(RIGHT(TRIM(F1439),4)),"")</f>
        <v>2018</v>
      </c>
      <c r="L1439" s="7" t="str">
        <f aca="false">IF(TRIM(E1439)="","Unknown",IFERROR(LEFT(TRIM(E1439),FIND(",",TRIM(E1439))-1),TRIM(E1439)))</f>
        <v>India</v>
      </c>
      <c r="M1439" s="7" t="str">
        <f aca="false">IFERROR(LEFT(J1439,FIND(",",J1439)-1),J1439)</f>
        <v>Comedies</v>
      </c>
      <c r="N1439" s="7" t="n">
        <f aca="false">IF(B1439="Movie",IFERROR(VALUE(LEFT(I1439,FIND(" ",I1439)-1)),""),"")</f>
        <v>117</v>
      </c>
      <c r="O1439" s="7" t="str">
        <f aca="false">IF(B1439="TV Show",IFERROR(VALUE(LEFT(I1439,FIND(" ",I1439)-1)),""),"")</f>
        <v/>
      </c>
      <c r="P1439" s="7" t="n">
        <f aca="false">IF(K1439="","",K1439-G1439)</f>
        <v>9</v>
      </c>
    </row>
    <row r="1440" customFormat="false" ht="15" hidden="false" customHeight="false" outlineLevel="0" collapsed="false">
      <c r="A1440" s="7" t="n">
        <v>70100644</v>
      </c>
      <c r="B1440" s="7" t="s">
        <v>68</v>
      </c>
      <c r="C1440" s="7" t="s">
        <v>3321</v>
      </c>
      <c r="D1440" s="7" t="s">
        <v>3322</v>
      </c>
      <c r="E1440" s="7" t="s">
        <v>27</v>
      </c>
      <c r="F1440" s="7" t="s">
        <v>3318</v>
      </c>
      <c r="G1440" s="7" t="n">
        <v>2008</v>
      </c>
      <c r="H1440" s="7" t="s">
        <v>49</v>
      </c>
      <c r="I1440" s="7" t="s">
        <v>111</v>
      </c>
      <c r="J1440" s="7" t="s">
        <v>358</v>
      </c>
      <c r="K1440" s="7" t="n">
        <f aca="false">IFERROR(VALUE(RIGHT(TRIM(F1440),4)),"")</f>
        <v>2018</v>
      </c>
      <c r="L1440" s="7" t="str">
        <f aca="false">IF(TRIM(E1440)="","Unknown",IFERROR(LEFT(TRIM(E1440),FIND(",",TRIM(E1440))-1),TRIM(E1440)))</f>
        <v>India</v>
      </c>
      <c r="M1440" s="7" t="str">
        <f aca="false">IFERROR(LEFT(J1440,FIND(",",J1440)-1),J1440)</f>
        <v>International Movies</v>
      </c>
      <c r="N1440" s="7" t="n">
        <f aca="false">IF(B1440="Movie",IFERROR(VALUE(LEFT(I1440,FIND(" ",I1440)-1)),""),"")</f>
        <v>95</v>
      </c>
      <c r="O1440" s="7" t="str">
        <f aca="false">IF(B1440="TV Show",IFERROR(VALUE(LEFT(I1440,FIND(" ",I1440)-1)),""),"")</f>
        <v/>
      </c>
      <c r="P1440" s="7" t="n">
        <f aca="false">IF(K1440="","",K1440-G1440)</f>
        <v>10</v>
      </c>
    </row>
    <row r="1441" customFormat="false" ht="15" hidden="false" customHeight="false" outlineLevel="0" collapsed="false">
      <c r="A1441" s="7" t="n">
        <v>80057750</v>
      </c>
      <c r="B1441" s="7" t="s">
        <v>68</v>
      </c>
      <c r="C1441" s="7" t="s">
        <v>3323</v>
      </c>
      <c r="D1441" s="7" t="s">
        <v>3036</v>
      </c>
      <c r="E1441" s="7" t="s">
        <v>27</v>
      </c>
      <c r="F1441" s="7" t="s">
        <v>3318</v>
      </c>
      <c r="G1441" s="7" t="n">
        <v>2015</v>
      </c>
      <c r="H1441" s="7" t="s">
        <v>49</v>
      </c>
      <c r="I1441" s="7" t="s">
        <v>216</v>
      </c>
      <c r="J1441" s="7" t="s">
        <v>1042</v>
      </c>
      <c r="K1441" s="7" t="n">
        <f aca="false">IFERROR(VALUE(RIGHT(TRIM(F1441),4)),"")</f>
        <v>2018</v>
      </c>
      <c r="L1441" s="7" t="str">
        <f aca="false">IF(TRIM(E1441)="","Unknown",IFERROR(LEFT(TRIM(E1441),FIND(",",TRIM(E1441))-1),TRIM(E1441)))</f>
        <v>India</v>
      </c>
      <c r="M1441" s="7" t="str">
        <f aca="false">IFERROR(LEFT(J1441,FIND(",",J1441)-1),J1441)</f>
        <v>Dramas</v>
      </c>
      <c r="N1441" s="7" t="n">
        <f aca="false">IF(B1441="Movie",IFERROR(VALUE(LEFT(I1441,FIND(" ",I1441)-1)),""),"")</f>
        <v>146</v>
      </c>
      <c r="O1441" s="7" t="str">
        <f aca="false">IF(B1441="TV Show",IFERROR(VALUE(LEFT(I1441,FIND(" ",I1441)-1)),""),"")</f>
        <v/>
      </c>
      <c r="P1441" s="7" t="n">
        <f aca="false">IF(K1441="","",K1441-G1441)</f>
        <v>3</v>
      </c>
    </row>
    <row r="1442" customFormat="false" ht="15" hidden="false" customHeight="false" outlineLevel="0" collapsed="false">
      <c r="A1442" s="7" t="n">
        <v>70229045</v>
      </c>
      <c r="B1442" s="7" t="s">
        <v>68</v>
      </c>
      <c r="C1442" s="7" t="s">
        <v>3324</v>
      </c>
      <c r="D1442" s="7" t="s">
        <v>3036</v>
      </c>
      <c r="E1442" s="7" t="s">
        <v>27</v>
      </c>
      <c r="F1442" s="7" t="s">
        <v>3318</v>
      </c>
      <c r="G1442" s="7" t="n">
        <v>2013</v>
      </c>
      <c r="H1442" s="7" t="s">
        <v>49</v>
      </c>
      <c r="I1442" s="7" t="s">
        <v>2183</v>
      </c>
      <c r="J1442" s="7" t="s">
        <v>304</v>
      </c>
      <c r="K1442" s="7" t="n">
        <f aca="false">IFERROR(VALUE(RIGHT(TRIM(F1442),4)),"")</f>
        <v>2018</v>
      </c>
      <c r="L1442" s="7" t="str">
        <f aca="false">IF(TRIM(E1442)="","Unknown",IFERROR(LEFT(TRIM(E1442),FIND(",",TRIM(E1442))-1),TRIM(E1442)))</f>
        <v>India</v>
      </c>
      <c r="M1442" s="7" t="str">
        <f aca="false">IFERROR(LEFT(J1442,FIND(",",J1442)-1),J1442)</f>
        <v>Dramas</v>
      </c>
      <c r="N1442" s="7" t="n">
        <f aca="false">IF(B1442="Movie",IFERROR(VALUE(LEFT(I1442,FIND(" ",I1442)-1)),""),"")</f>
        <v>136</v>
      </c>
      <c r="O1442" s="7" t="str">
        <f aca="false">IF(B1442="TV Show",IFERROR(VALUE(LEFT(I1442,FIND(" ",I1442)-1)),""),"")</f>
        <v/>
      </c>
      <c r="P1442" s="7" t="n">
        <f aca="false">IF(K1442="","",K1442-G1442)</f>
        <v>5</v>
      </c>
    </row>
    <row r="1443" customFormat="false" ht="15" hidden="false" customHeight="false" outlineLevel="0" collapsed="false">
      <c r="A1443" s="7" t="n">
        <v>70139073</v>
      </c>
      <c r="B1443" s="7" t="s">
        <v>68</v>
      </c>
      <c r="C1443" s="7" t="s">
        <v>3325</v>
      </c>
      <c r="D1443" s="7" t="s">
        <v>3326</v>
      </c>
      <c r="E1443" s="7" t="s">
        <v>27</v>
      </c>
      <c r="F1443" s="7" t="s">
        <v>3318</v>
      </c>
      <c r="G1443" s="7" t="n">
        <v>2011</v>
      </c>
      <c r="H1443" s="7" t="s">
        <v>49</v>
      </c>
      <c r="I1443" s="7" t="s">
        <v>470</v>
      </c>
      <c r="J1443" s="7" t="s">
        <v>112</v>
      </c>
      <c r="K1443" s="7" t="n">
        <f aca="false">IFERROR(VALUE(RIGHT(TRIM(F1443),4)),"")</f>
        <v>2018</v>
      </c>
      <c r="L1443" s="7" t="str">
        <f aca="false">IF(TRIM(E1443)="","Unknown",IFERROR(LEFT(TRIM(E1443),FIND(",",TRIM(E1443))-1),TRIM(E1443)))</f>
        <v>India</v>
      </c>
      <c r="M1443" s="7" t="str">
        <f aca="false">IFERROR(LEFT(J1443,FIND(",",J1443)-1),J1443)</f>
        <v>Action &amp; Adventure</v>
      </c>
      <c r="N1443" s="7" t="n">
        <f aca="false">IF(B1443="Movie",IFERROR(VALUE(LEFT(I1443,FIND(" ",I1443)-1)),""),"")</f>
        <v>91</v>
      </c>
      <c r="O1443" s="7" t="str">
        <f aca="false">IF(B1443="TV Show",IFERROR(VALUE(LEFT(I1443,FIND(" ",I1443)-1)),""),"")</f>
        <v/>
      </c>
      <c r="P1443" s="7" t="n">
        <f aca="false">IF(K1443="","",K1443-G1443)</f>
        <v>7</v>
      </c>
    </row>
    <row r="1444" customFormat="false" ht="15" hidden="false" customHeight="false" outlineLevel="0" collapsed="false">
      <c r="A1444" s="7" t="n">
        <v>81024731</v>
      </c>
      <c r="B1444" s="7" t="s">
        <v>68</v>
      </c>
      <c r="C1444" s="7" t="s">
        <v>3327</v>
      </c>
      <c r="D1444" s="7" t="s">
        <v>3328</v>
      </c>
      <c r="E1444" s="7" t="s">
        <v>27</v>
      </c>
      <c r="F1444" s="7" t="s">
        <v>3318</v>
      </c>
      <c r="G1444" s="7" t="n">
        <v>2018</v>
      </c>
      <c r="H1444" s="7" t="s">
        <v>49</v>
      </c>
      <c r="I1444" s="7" t="s">
        <v>869</v>
      </c>
      <c r="J1444" s="7" t="s">
        <v>1042</v>
      </c>
      <c r="K1444" s="7" t="n">
        <f aca="false">IFERROR(VALUE(RIGHT(TRIM(F1444),4)),"")</f>
        <v>2018</v>
      </c>
      <c r="L1444" s="7" t="str">
        <f aca="false">IF(TRIM(E1444)="","Unknown",IFERROR(LEFT(TRIM(E1444),FIND(",",TRIM(E1444))-1),TRIM(E1444)))</f>
        <v>India</v>
      </c>
      <c r="M1444" s="7" t="str">
        <f aca="false">IFERROR(LEFT(J1444,FIND(",",J1444)-1),J1444)</f>
        <v>Dramas</v>
      </c>
      <c r="N1444" s="7" t="n">
        <f aca="false">IF(B1444="Movie",IFERROR(VALUE(LEFT(I1444,FIND(" ",I1444)-1)),""),"")</f>
        <v>123</v>
      </c>
      <c r="O1444" s="7" t="str">
        <f aca="false">IF(B1444="TV Show",IFERROR(VALUE(LEFT(I1444,FIND(" ",I1444)-1)),""),"")</f>
        <v/>
      </c>
      <c r="P1444" s="7" t="n">
        <f aca="false">IF(K1444="","",K1444-G1444)</f>
        <v>0</v>
      </c>
    </row>
    <row r="1445" customFormat="false" ht="15" hidden="false" customHeight="false" outlineLevel="0" collapsed="false">
      <c r="A1445" s="7" t="n">
        <v>70219525</v>
      </c>
      <c r="B1445" s="7" t="s">
        <v>68</v>
      </c>
      <c r="C1445" s="7" t="s">
        <v>3329</v>
      </c>
      <c r="D1445" s="7" t="s">
        <v>2151</v>
      </c>
      <c r="E1445" s="7" t="s">
        <v>27</v>
      </c>
      <c r="F1445" s="7" t="s">
        <v>3318</v>
      </c>
      <c r="G1445" s="7" t="n">
        <v>2012</v>
      </c>
      <c r="H1445" s="7" t="s">
        <v>50</v>
      </c>
      <c r="I1445" s="7" t="s">
        <v>1529</v>
      </c>
      <c r="J1445" s="7" t="s">
        <v>217</v>
      </c>
      <c r="K1445" s="7" t="n">
        <f aca="false">IFERROR(VALUE(RIGHT(TRIM(F1445),4)),"")</f>
        <v>2018</v>
      </c>
      <c r="L1445" s="7" t="str">
        <f aca="false">IF(TRIM(E1445)="","Unknown",IFERROR(LEFT(TRIM(E1445),FIND(",",TRIM(E1445))-1),TRIM(E1445)))</f>
        <v>India</v>
      </c>
      <c r="M1445" s="7" t="str">
        <f aca="false">IFERROR(LEFT(J1445,FIND(",",J1445)-1),J1445)</f>
        <v>Comedies</v>
      </c>
      <c r="N1445" s="7" t="n">
        <f aca="false">IF(B1445="Movie",IFERROR(VALUE(LEFT(I1445,FIND(" ",I1445)-1)),""),"")</f>
        <v>144</v>
      </c>
      <c r="O1445" s="7" t="str">
        <f aca="false">IF(B1445="TV Show",IFERROR(VALUE(LEFT(I1445,FIND(" ",I1445)-1)),""),"")</f>
        <v/>
      </c>
      <c r="P1445" s="7" t="n">
        <f aca="false">IF(K1445="","",K1445-G1445)</f>
        <v>6</v>
      </c>
    </row>
    <row r="1446" customFormat="false" ht="15" hidden="false" customHeight="false" outlineLevel="0" collapsed="false">
      <c r="A1446" s="7" t="n">
        <v>16914787</v>
      </c>
      <c r="B1446" s="7" t="s">
        <v>68</v>
      </c>
      <c r="C1446" s="7" t="s">
        <v>3330</v>
      </c>
      <c r="D1446" s="7" t="s">
        <v>3331</v>
      </c>
      <c r="E1446" s="7" t="s">
        <v>26</v>
      </c>
      <c r="F1446" s="7" t="s">
        <v>3318</v>
      </c>
      <c r="G1446" s="7" t="n">
        <v>1998</v>
      </c>
      <c r="H1446" s="7" t="s">
        <v>51</v>
      </c>
      <c r="I1446" s="7" t="s">
        <v>330</v>
      </c>
      <c r="J1446" s="7" t="s">
        <v>2782</v>
      </c>
      <c r="K1446" s="7" t="n">
        <f aca="false">IFERROR(VALUE(RIGHT(TRIM(F1446),4)),"")</f>
        <v>2018</v>
      </c>
      <c r="L1446" s="7" t="str">
        <f aca="false">IF(TRIM(E1446)="","Unknown",IFERROR(LEFT(TRIM(E1446),FIND(",",TRIM(E1446))-1),TRIM(E1446)))</f>
        <v>United States</v>
      </c>
      <c r="M1446" s="7" t="str">
        <f aca="false">IFERROR(LEFT(J1446,FIND(",",J1446)-1),J1446)</f>
        <v>Comedies</v>
      </c>
      <c r="N1446" s="7" t="n">
        <f aca="false">IF(B1446="Movie",IFERROR(VALUE(LEFT(I1446,FIND(" ",I1446)-1)),""),"")</f>
        <v>103</v>
      </c>
      <c r="O1446" s="7" t="str">
        <f aca="false">IF(B1446="TV Show",IFERROR(VALUE(LEFT(I1446,FIND(" ",I1446)-1)),""),"")</f>
        <v/>
      </c>
      <c r="P1446" s="7" t="n">
        <f aca="false">IF(K1446="","",K1446-G1446)</f>
        <v>20</v>
      </c>
    </row>
    <row r="1447" customFormat="false" ht="15" hidden="false" customHeight="false" outlineLevel="0" collapsed="false">
      <c r="A1447" s="7" t="n">
        <v>81020545</v>
      </c>
      <c r="B1447" s="7" t="s">
        <v>78</v>
      </c>
      <c r="C1447" s="7" t="s">
        <v>3332</v>
      </c>
      <c r="F1447" s="7" t="s">
        <v>3318</v>
      </c>
      <c r="G1447" s="7" t="n">
        <v>2018</v>
      </c>
      <c r="H1447" s="7" t="s">
        <v>119</v>
      </c>
      <c r="I1447" s="7" t="s">
        <v>82</v>
      </c>
      <c r="J1447" s="7" t="s">
        <v>44</v>
      </c>
      <c r="K1447" s="7" t="n">
        <f aca="false">IFERROR(VALUE(RIGHT(TRIM(F1447),4)),"")</f>
        <v>2018</v>
      </c>
      <c r="L1447" s="7" t="str">
        <f aca="false">IF(TRIM(E1447)="","Unknown",IFERROR(LEFT(TRIM(E1447),FIND(",",TRIM(E1447))-1),TRIM(E1447)))</f>
        <v>Unknown</v>
      </c>
      <c r="M1447" s="7" t="str">
        <f aca="false">IFERROR(LEFT(J1447,FIND(",",J1447)-1),J1447)</f>
        <v>Kids' TV</v>
      </c>
      <c r="N1447" s="7" t="str">
        <f aca="false">IF(B1447="Movie",IFERROR(VALUE(LEFT(I1447,FIND(" ",I1447)-1)),""),"")</f>
        <v/>
      </c>
      <c r="O1447" s="7" t="n">
        <f aca="false">IF(B1447="TV Show",IFERROR(VALUE(LEFT(I1447,FIND(" ",I1447)-1)),""),"")</f>
        <v>1</v>
      </c>
      <c r="P1447" s="7" t="n">
        <f aca="false">IF(K1447="","",K1447-G1447)</f>
        <v>0</v>
      </c>
    </row>
    <row r="1448" customFormat="false" ht="15" hidden="false" customHeight="false" outlineLevel="0" collapsed="false">
      <c r="A1448" s="7" t="n">
        <v>81020543</v>
      </c>
      <c r="B1448" s="7" t="s">
        <v>68</v>
      </c>
      <c r="C1448" s="7" t="s">
        <v>3333</v>
      </c>
      <c r="D1448" s="7" t="s">
        <v>3334</v>
      </c>
      <c r="F1448" s="7" t="s">
        <v>3318</v>
      </c>
      <c r="G1448" s="7" t="n">
        <v>2017</v>
      </c>
      <c r="H1448" s="7" t="s">
        <v>119</v>
      </c>
      <c r="I1448" s="7" t="s">
        <v>3335</v>
      </c>
      <c r="J1448" s="7" t="s">
        <v>42</v>
      </c>
      <c r="K1448" s="7" t="n">
        <f aca="false">IFERROR(VALUE(RIGHT(TRIM(F1448),4)),"")</f>
        <v>2018</v>
      </c>
      <c r="L1448" s="7" t="str">
        <f aca="false">IF(TRIM(E1448)="","Unknown",IFERROR(LEFT(TRIM(E1448),FIND(",",TRIM(E1448))-1),TRIM(E1448)))</f>
        <v>Unknown</v>
      </c>
      <c r="M1448" s="7" t="str">
        <f aca="false">IFERROR(LEFT(J1448,FIND(",",J1448)-1),J1448)</f>
        <v>Children &amp; Family Movies</v>
      </c>
      <c r="N1448" s="7" t="n">
        <f aca="false">IF(B1448="Movie",IFERROR(VALUE(LEFT(I1448,FIND(" ",I1448)-1)),""),"")</f>
        <v>11</v>
      </c>
      <c r="O1448" s="7" t="str">
        <f aca="false">IF(B1448="TV Show",IFERROR(VALUE(LEFT(I1448,FIND(" ",I1448)-1)),""),"")</f>
        <v/>
      </c>
      <c r="P1448" s="7" t="n">
        <f aca="false">IF(K1448="","",K1448-G1448)</f>
        <v>1</v>
      </c>
    </row>
    <row r="1449" customFormat="false" ht="15" hidden="false" customHeight="false" outlineLevel="0" collapsed="false">
      <c r="A1449" s="7" t="n">
        <v>81020544</v>
      </c>
      <c r="B1449" s="7" t="s">
        <v>68</v>
      </c>
      <c r="C1449" s="7" t="s">
        <v>3336</v>
      </c>
      <c r="D1449" s="7" t="s">
        <v>3334</v>
      </c>
      <c r="F1449" s="7" t="s">
        <v>3318</v>
      </c>
      <c r="G1449" s="7" t="n">
        <v>2017</v>
      </c>
      <c r="H1449" s="7" t="s">
        <v>119</v>
      </c>
      <c r="I1449" s="7" t="s">
        <v>1727</v>
      </c>
      <c r="J1449" s="7" t="s">
        <v>42</v>
      </c>
      <c r="K1449" s="7" t="n">
        <f aca="false">IFERROR(VALUE(RIGHT(TRIM(F1449),4)),"")</f>
        <v>2018</v>
      </c>
      <c r="L1449" s="7" t="str">
        <f aca="false">IF(TRIM(E1449)="","Unknown",IFERROR(LEFT(TRIM(E1449),FIND(",",TRIM(E1449))-1),TRIM(E1449)))</f>
        <v>Unknown</v>
      </c>
      <c r="M1449" s="7" t="str">
        <f aca="false">IFERROR(LEFT(J1449,FIND(",",J1449)-1),J1449)</f>
        <v>Children &amp; Family Movies</v>
      </c>
      <c r="N1449" s="7" t="n">
        <f aca="false">IF(B1449="Movie",IFERROR(VALUE(LEFT(I1449,FIND(" ",I1449)-1)),""),"")</f>
        <v>22</v>
      </c>
      <c r="O1449" s="7" t="str">
        <f aca="false">IF(B1449="TV Show",IFERROR(VALUE(LEFT(I1449,FIND(" ",I1449)-1)),""),"")</f>
        <v/>
      </c>
      <c r="P1449" s="7" t="n">
        <f aca="false">IF(K1449="","",K1449-G1449)</f>
        <v>1</v>
      </c>
    </row>
    <row r="1450" customFormat="false" ht="15" hidden="false" customHeight="false" outlineLevel="0" collapsed="false">
      <c r="A1450" s="7" t="n">
        <v>80039595</v>
      </c>
      <c r="B1450" s="7" t="s">
        <v>68</v>
      </c>
      <c r="C1450" s="7" t="s">
        <v>3337</v>
      </c>
      <c r="D1450" s="7" t="s">
        <v>3338</v>
      </c>
      <c r="E1450" s="7" t="s">
        <v>27</v>
      </c>
      <c r="F1450" s="7" t="s">
        <v>3318</v>
      </c>
      <c r="G1450" s="7" t="n">
        <v>2014</v>
      </c>
      <c r="H1450" s="7" t="s">
        <v>50</v>
      </c>
      <c r="I1450" s="7" t="s">
        <v>235</v>
      </c>
      <c r="J1450" s="7" t="s">
        <v>1703</v>
      </c>
      <c r="K1450" s="7" t="n">
        <f aca="false">IFERROR(VALUE(RIGHT(TRIM(F1450),4)),"")</f>
        <v>2018</v>
      </c>
      <c r="L1450" s="7" t="str">
        <f aca="false">IF(TRIM(E1450)="","Unknown",IFERROR(LEFT(TRIM(E1450),FIND(",",TRIM(E1450))-1),TRIM(E1450)))</f>
        <v>India</v>
      </c>
      <c r="M1450" s="7" t="str">
        <f aca="false">IFERROR(LEFT(J1450,FIND(",",J1450)-1),J1450)</f>
        <v>Dramas</v>
      </c>
      <c r="N1450" s="7" t="n">
        <f aca="false">IF(B1450="Movie",IFERROR(VALUE(LEFT(I1450,FIND(" ",I1450)-1)),""),"")</f>
        <v>126</v>
      </c>
      <c r="O1450" s="7" t="str">
        <f aca="false">IF(B1450="TV Show",IFERROR(VALUE(LEFT(I1450,FIND(" ",I1450)-1)),""),"")</f>
        <v/>
      </c>
      <c r="P1450" s="7" t="n">
        <f aca="false">IF(K1450="","",K1450-G1450)</f>
        <v>4</v>
      </c>
    </row>
    <row r="1451" customFormat="false" ht="15" hidden="false" customHeight="false" outlineLevel="0" collapsed="false">
      <c r="A1451" s="7" t="n">
        <v>70123120</v>
      </c>
      <c r="B1451" s="7" t="s">
        <v>68</v>
      </c>
      <c r="C1451" s="7" t="s">
        <v>3339</v>
      </c>
      <c r="D1451" s="7" t="s">
        <v>3340</v>
      </c>
      <c r="E1451" s="7" t="s">
        <v>27</v>
      </c>
      <c r="F1451" s="7" t="s">
        <v>3318</v>
      </c>
      <c r="G1451" s="7" t="n">
        <v>2009</v>
      </c>
      <c r="H1451" s="7" t="s">
        <v>49</v>
      </c>
      <c r="I1451" s="7" t="s">
        <v>505</v>
      </c>
      <c r="J1451" s="7" t="s">
        <v>217</v>
      </c>
      <c r="K1451" s="7" t="n">
        <f aca="false">IFERROR(VALUE(RIGHT(TRIM(F1451),4)),"")</f>
        <v>2018</v>
      </c>
      <c r="L1451" s="7" t="str">
        <f aca="false">IF(TRIM(E1451)="","Unknown",IFERROR(LEFT(TRIM(E1451),FIND(",",TRIM(E1451))-1),TRIM(E1451)))</f>
        <v>India</v>
      </c>
      <c r="M1451" s="7" t="str">
        <f aca="false">IFERROR(LEFT(J1451,FIND(",",J1451)-1),J1451)</f>
        <v>Comedies</v>
      </c>
      <c r="N1451" s="7" t="n">
        <f aca="false">IF(B1451="Movie",IFERROR(VALUE(LEFT(I1451,FIND(" ",I1451)-1)),""),"")</f>
        <v>121</v>
      </c>
      <c r="O1451" s="7" t="str">
        <f aca="false">IF(B1451="TV Show",IFERROR(VALUE(LEFT(I1451,FIND(" ",I1451)-1)),""),"")</f>
        <v/>
      </c>
      <c r="P1451" s="7" t="n">
        <f aca="false">IF(K1451="","",K1451-G1451)</f>
        <v>9</v>
      </c>
    </row>
    <row r="1452" customFormat="false" ht="15" hidden="false" customHeight="false" outlineLevel="0" collapsed="false">
      <c r="A1452" s="7" t="n">
        <v>80224055</v>
      </c>
      <c r="B1452" s="7" t="s">
        <v>68</v>
      </c>
      <c r="C1452" s="7" t="s">
        <v>3341</v>
      </c>
      <c r="D1452" s="7" t="s">
        <v>2115</v>
      </c>
      <c r="E1452" s="7" t="s">
        <v>29</v>
      </c>
      <c r="F1452" s="7" t="s">
        <v>3318</v>
      </c>
      <c r="G1452" s="7" t="n">
        <v>2018</v>
      </c>
      <c r="H1452" s="7" t="s">
        <v>50</v>
      </c>
      <c r="I1452" s="7" t="s">
        <v>470</v>
      </c>
      <c r="J1452" s="7" t="s">
        <v>426</v>
      </c>
      <c r="K1452" s="7" t="n">
        <f aca="false">IFERROR(VALUE(RIGHT(TRIM(F1452),4)),"")</f>
        <v>2018</v>
      </c>
      <c r="L1452" s="7" t="str">
        <f aca="false">IF(TRIM(E1452)="","Unknown",IFERROR(LEFT(TRIM(E1452),FIND(",",TRIM(E1452))-1),TRIM(E1452)))</f>
        <v>Canada</v>
      </c>
      <c r="M1452" s="7" t="str">
        <f aca="false">IFERROR(LEFT(J1452,FIND(",",J1452)-1),J1452)</f>
        <v>International Movies</v>
      </c>
      <c r="N1452" s="7" t="n">
        <f aca="false">IF(B1452="Movie",IFERROR(VALUE(LEFT(I1452,FIND(" ",I1452)-1)),""),"")</f>
        <v>91</v>
      </c>
      <c r="O1452" s="7" t="str">
        <f aca="false">IF(B1452="TV Show",IFERROR(VALUE(LEFT(I1452,FIND(" ",I1452)-1)),""),"")</f>
        <v/>
      </c>
      <c r="P1452" s="7" t="n">
        <f aca="false">IF(K1452="","",K1452-G1452)</f>
        <v>0</v>
      </c>
    </row>
    <row r="1453" customFormat="false" ht="15" hidden="false" customHeight="false" outlineLevel="0" collapsed="false">
      <c r="A1453" s="7" t="n">
        <v>70052249</v>
      </c>
      <c r="B1453" s="7" t="s">
        <v>68</v>
      </c>
      <c r="C1453" s="7" t="s">
        <v>3342</v>
      </c>
      <c r="D1453" s="7" t="s">
        <v>3343</v>
      </c>
      <c r="E1453" s="7" t="s">
        <v>27</v>
      </c>
      <c r="F1453" s="7" t="s">
        <v>3318</v>
      </c>
      <c r="G1453" s="7" t="n">
        <v>2006</v>
      </c>
      <c r="H1453" s="7" t="s">
        <v>49</v>
      </c>
      <c r="I1453" s="7" t="s">
        <v>1822</v>
      </c>
      <c r="J1453" s="7" t="s">
        <v>217</v>
      </c>
      <c r="K1453" s="7" t="n">
        <f aca="false">IFERROR(VALUE(RIGHT(TRIM(F1453),4)),"")</f>
        <v>2018</v>
      </c>
      <c r="L1453" s="7" t="str">
        <f aca="false">IF(TRIM(E1453)="","Unknown",IFERROR(LEFT(TRIM(E1453),FIND(",",TRIM(E1453))-1),TRIM(E1453)))</f>
        <v>India</v>
      </c>
      <c r="M1453" s="7" t="str">
        <f aca="false">IFERROR(LEFT(J1453,FIND(",",J1453)-1),J1453)</f>
        <v>Comedies</v>
      </c>
      <c r="N1453" s="7" t="n">
        <f aca="false">IF(B1453="Movie",IFERROR(VALUE(LEFT(I1453,FIND(" ",I1453)-1)),""),"")</f>
        <v>158</v>
      </c>
      <c r="O1453" s="7" t="str">
        <f aca="false">IF(B1453="TV Show",IFERROR(VALUE(LEFT(I1453,FIND(" ",I1453)-1)),""),"")</f>
        <v/>
      </c>
      <c r="P1453" s="7" t="n">
        <f aca="false">IF(K1453="","",K1453-G1453)</f>
        <v>12</v>
      </c>
    </row>
    <row r="1454" customFormat="false" ht="15" hidden="false" customHeight="false" outlineLevel="0" collapsed="false">
      <c r="A1454" s="7" t="n">
        <v>70084775</v>
      </c>
      <c r="B1454" s="7" t="s">
        <v>68</v>
      </c>
      <c r="C1454" s="7" t="s">
        <v>3344</v>
      </c>
      <c r="D1454" s="7" t="s">
        <v>3345</v>
      </c>
      <c r="E1454" s="7" t="s">
        <v>3346</v>
      </c>
      <c r="F1454" s="7" t="s">
        <v>3318</v>
      </c>
      <c r="G1454" s="7" t="n">
        <v>2007</v>
      </c>
      <c r="H1454" s="7" t="s">
        <v>49</v>
      </c>
      <c r="I1454" s="7" t="s">
        <v>779</v>
      </c>
      <c r="J1454" s="7" t="s">
        <v>3347</v>
      </c>
      <c r="K1454" s="7" t="n">
        <f aca="false">IFERROR(VALUE(RIGHT(TRIM(F1454),4)),"")</f>
        <v>2018</v>
      </c>
      <c r="L1454" s="7" t="str">
        <f aca="false">IF(TRIM(E1454)="","Unknown",IFERROR(LEFT(TRIM(E1454),FIND(",",TRIM(E1454))-1),TRIM(E1454)))</f>
        <v>United Kingdom</v>
      </c>
      <c r="M1454" s="7" t="str">
        <f aca="false">IFERROR(LEFT(J1454,FIND(",",J1454)-1),J1454)</f>
        <v>Dramas</v>
      </c>
      <c r="N1454" s="7" t="n">
        <f aca="false">IF(B1454="Movie",IFERROR(VALUE(LEFT(I1454,FIND(" ",I1454)-1)),""),"")</f>
        <v>157</v>
      </c>
      <c r="O1454" s="7" t="str">
        <f aca="false">IF(B1454="TV Show",IFERROR(VALUE(LEFT(I1454,FIND(" ",I1454)-1)),""),"")</f>
        <v/>
      </c>
      <c r="P1454" s="7" t="n">
        <f aca="false">IF(K1454="","",K1454-G1454)</f>
        <v>11</v>
      </c>
    </row>
    <row r="1455" customFormat="false" ht="15" hidden="false" customHeight="false" outlineLevel="0" collapsed="false">
      <c r="A1455" s="7" t="n">
        <v>70114588</v>
      </c>
      <c r="B1455" s="7" t="s">
        <v>68</v>
      </c>
      <c r="C1455" s="7" t="s">
        <v>3348</v>
      </c>
      <c r="D1455" s="7" t="s">
        <v>3349</v>
      </c>
      <c r="E1455" s="7" t="s">
        <v>27</v>
      </c>
      <c r="F1455" s="7" t="s">
        <v>3318</v>
      </c>
      <c r="G1455" s="7" t="n">
        <v>2009</v>
      </c>
      <c r="H1455" s="7" t="s">
        <v>49</v>
      </c>
      <c r="I1455" s="7" t="s">
        <v>549</v>
      </c>
      <c r="J1455" s="7" t="s">
        <v>457</v>
      </c>
      <c r="K1455" s="7" t="n">
        <f aca="false">IFERROR(VALUE(RIGHT(TRIM(F1455),4)),"")</f>
        <v>2018</v>
      </c>
      <c r="L1455" s="7" t="str">
        <f aca="false">IF(TRIM(E1455)="","Unknown",IFERROR(LEFT(TRIM(E1455),FIND(",",TRIM(E1455))-1),TRIM(E1455)))</f>
        <v>India</v>
      </c>
      <c r="M1455" s="7" t="str">
        <f aca="false">IFERROR(LEFT(J1455,FIND(",",J1455)-1),J1455)</f>
        <v>Comedies</v>
      </c>
      <c r="N1455" s="7" t="n">
        <f aca="false">IF(B1455="Movie",IFERROR(VALUE(LEFT(I1455,FIND(" ",I1455)-1)),""),"")</f>
        <v>124</v>
      </c>
      <c r="O1455" s="7" t="str">
        <f aca="false">IF(B1455="TV Show",IFERROR(VALUE(LEFT(I1455,FIND(" ",I1455)-1)),""),"")</f>
        <v/>
      </c>
      <c r="P1455" s="7" t="n">
        <f aca="false">IF(K1455="","",K1455-G1455)</f>
        <v>9</v>
      </c>
    </row>
    <row r="1456" customFormat="false" ht="15" hidden="false" customHeight="false" outlineLevel="0" collapsed="false">
      <c r="A1456" s="7" t="n">
        <v>70185139</v>
      </c>
      <c r="B1456" s="7" t="s">
        <v>68</v>
      </c>
      <c r="C1456" s="7" t="s">
        <v>3350</v>
      </c>
      <c r="D1456" s="7" t="s">
        <v>3351</v>
      </c>
      <c r="E1456" s="7" t="s">
        <v>27</v>
      </c>
      <c r="F1456" s="7" t="s">
        <v>3318</v>
      </c>
      <c r="G1456" s="7" t="n">
        <v>2010</v>
      </c>
      <c r="H1456" s="7" t="s">
        <v>50</v>
      </c>
      <c r="I1456" s="7" t="s">
        <v>173</v>
      </c>
      <c r="J1456" s="7" t="s">
        <v>202</v>
      </c>
      <c r="K1456" s="7" t="n">
        <f aca="false">IFERROR(VALUE(RIGHT(TRIM(F1456),4)),"")</f>
        <v>2018</v>
      </c>
      <c r="L1456" s="7" t="str">
        <f aca="false">IF(TRIM(E1456)="","Unknown",IFERROR(LEFT(TRIM(E1456),FIND(",",TRIM(E1456))-1),TRIM(E1456)))</f>
        <v>India</v>
      </c>
      <c r="M1456" s="7" t="str">
        <f aca="false">IFERROR(LEFT(J1456,FIND(",",J1456)-1),J1456)</f>
        <v>Comedies</v>
      </c>
      <c r="N1456" s="7" t="n">
        <f aca="false">IF(B1456="Movie",IFERROR(VALUE(LEFT(I1456,FIND(" ",I1456)-1)),""),"")</f>
        <v>106</v>
      </c>
      <c r="O1456" s="7" t="str">
        <f aca="false">IF(B1456="TV Show",IFERROR(VALUE(LEFT(I1456,FIND(" ",I1456)-1)),""),"")</f>
        <v/>
      </c>
      <c r="P1456" s="7" t="n">
        <f aca="false">IF(K1456="","",K1456-G1456)</f>
        <v>8</v>
      </c>
    </row>
    <row r="1457" customFormat="false" ht="15" hidden="false" customHeight="false" outlineLevel="0" collapsed="false">
      <c r="A1457" s="7" t="n">
        <v>80232501</v>
      </c>
      <c r="B1457" s="7" t="s">
        <v>68</v>
      </c>
      <c r="C1457" s="7" t="s">
        <v>3352</v>
      </c>
      <c r="D1457" s="7" t="s">
        <v>3353</v>
      </c>
      <c r="E1457" s="7" t="s">
        <v>26</v>
      </c>
      <c r="F1457" s="7" t="s">
        <v>3318</v>
      </c>
      <c r="G1457" s="7" t="n">
        <v>2018</v>
      </c>
      <c r="H1457" s="7" t="s">
        <v>48</v>
      </c>
      <c r="I1457" s="7" t="s">
        <v>311</v>
      </c>
      <c r="J1457" s="7" t="s">
        <v>977</v>
      </c>
      <c r="K1457" s="7" t="n">
        <f aca="false">IFERROR(VALUE(RIGHT(TRIM(F1457),4)),"")</f>
        <v>2018</v>
      </c>
      <c r="L1457" s="7" t="str">
        <f aca="false">IF(TRIM(E1457)="","Unknown",IFERROR(LEFT(TRIM(E1457),FIND(",",TRIM(E1457))-1),TRIM(E1457)))</f>
        <v>United States</v>
      </c>
      <c r="M1457" s="7" t="str">
        <f aca="false">IFERROR(LEFT(J1457,FIND(",",J1457)-1),J1457)</f>
        <v>Independent Movies</v>
      </c>
      <c r="N1457" s="7" t="n">
        <f aca="false">IF(B1457="Movie",IFERROR(VALUE(LEFT(I1457,FIND(" ",I1457)-1)),""),"")</f>
        <v>92</v>
      </c>
      <c r="O1457" s="7" t="str">
        <f aca="false">IF(B1457="TV Show",IFERROR(VALUE(LEFT(I1457,FIND(" ",I1457)-1)),""),"")</f>
        <v/>
      </c>
      <c r="P1457" s="7" t="n">
        <f aca="false">IF(K1457="","",K1457-G1457)</f>
        <v>0</v>
      </c>
    </row>
    <row r="1458" customFormat="false" ht="15" hidden="false" customHeight="false" outlineLevel="0" collapsed="false">
      <c r="A1458" s="7" t="n">
        <v>80210147</v>
      </c>
      <c r="B1458" s="7" t="s">
        <v>68</v>
      </c>
      <c r="C1458" s="7" t="s">
        <v>3354</v>
      </c>
      <c r="D1458" s="7" t="s">
        <v>3355</v>
      </c>
      <c r="E1458" s="7" t="s">
        <v>325</v>
      </c>
      <c r="F1458" s="7" t="s">
        <v>3318</v>
      </c>
      <c r="G1458" s="7" t="n">
        <v>2017</v>
      </c>
      <c r="H1458" s="7" t="s">
        <v>48</v>
      </c>
      <c r="I1458" s="7" t="s">
        <v>154</v>
      </c>
      <c r="J1458" s="7" t="s">
        <v>45</v>
      </c>
      <c r="K1458" s="7" t="n">
        <f aca="false">IFERROR(VALUE(RIGHT(TRIM(F1458),4)),"")</f>
        <v>2018</v>
      </c>
      <c r="L1458" s="7" t="str">
        <f aca="false">IF(TRIM(E1458)="","Unknown",IFERROR(LEFT(TRIM(E1458),FIND(",",TRIM(E1458))-1),TRIM(E1458)))</f>
        <v>Brazil</v>
      </c>
      <c r="M1458" s="7" t="str">
        <f aca="false">IFERROR(LEFT(J1458,FIND(",",J1458)-1),J1458)</f>
        <v>Stand-Up Comedy</v>
      </c>
      <c r="N1458" s="7" t="n">
        <f aca="false">IF(B1458="Movie",IFERROR(VALUE(LEFT(I1458,FIND(" ",I1458)-1)),""),"")</f>
        <v>80</v>
      </c>
      <c r="O1458" s="7" t="str">
        <f aca="false">IF(B1458="TV Show",IFERROR(VALUE(LEFT(I1458,FIND(" ",I1458)-1)),""),"")</f>
        <v/>
      </c>
      <c r="P1458" s="7" t="n">
        <f aca="false">IF(K1458="","",K1458-G1458)</f>
        <v>1</v>
      </c>
    </row>
    <row r="1459" customFormat="false" ht="15" hidden="false" customHeight="false" outlineLevel="0" collapsed="false">
      <c r="A1459" s="7" t="n">
        <v>80224606</v>
      </c>
      <c r="B1459" s="7" t="s">
        <v>68</v>
      </c>
      <c r="C1459" s="7" t="s">
        <v>3356</v>
      </c>
      <c r="D1459" s="7" t="s">
        <v>3357</v>
      </c>
      <c r="E1459" s="7" t="s">
        <v>26</v>
      </c>
      <c r="F1459" s="7" t="s">
        <v>3318</v>
      </c>
      <c r="G1459" s="7" t="n">
        <v>2017</v>
      </c>
      <c r="H1459" s="7" t="s">
        <v>48</v>
      </c>
      <c r="I1459" s="7" t="s">
        <v>77</v>
      </c>
      <c r="J1459" s="7" t="s">
        <v>39</v>
      </c>
      <c r="K1459" s="7" t="n">
        <f aca="false">IFERROR(VALUE(RIGHT(TRIM(F1459),4)),"")</f>
        <v>2018</v>
      </c>
      <c r="L1459" s="7" t="str">
        <f aca="false">IF(TRIM(E1459)="","Unknown",IFERROR(LEFT(TRIM(E1459),FIND(",",TRIM(E1459))-1),TRIM(E1459)))</f>
        <v>United States</v>
      </c>
      <c r="M1459" s="7" t="str">
        <f aca="false">IFERROR(LEFT(J1459,FIND(",",J1459)-1),J1459)</f>
        <v>Documentaries</v>
      </c>
      <c r="N1459" s="7" t="n">
        <f aca="false">IF(B1459="Movie",IFERROR(VALUE(LEFT(I1459,FIND(" ",I1459)-1)),""),"")</f>
        <v>94</v>
      </c>
      <c r="O1459" s="7" t="str">
        <f aca="false">IF(B1459="TV Show",IFERROR(VALUE(LEFT(I1459,FIND(" ",I1459)-1)),""),"")</f>
        <v/>
      </c>
      <c r="P1459" s="7" t="n">
        <f aca="false">IF(K1459="","",K1459-G1459)</f>
        <v>1</v>
      </c>
    </row>
    <row r="1460" customFormat="false" ht="15" hidden="false" customHeight="false" outlineLevel="0" collapsed="false">
      <c r="A1460" s="7" t="n">
        <v>80058851</v>
      </c>
      <c r="B1460" s="7" t="s">
        <v>68</v>
      </c>
      <c r="C1460" s="7" t="s">
        <v>3358</v>
      </c>
      <c r="D1460" s="7" t="s">
        <v>2143</v>
      </c>
      <c r="E1460" s="7" t="s">
        <v>27</v>
      </c>
      <c r="F1460" s="7" t="s">
        <v>3318</v>
      </c>
      <c r="G1460" s="7" t="n">
        <v>2015</v>
      </c>
      <c r="H1460" s="7" t="s">
        <v>48</v>
      </c>
      <c r="I1460" s="7" t="s">
        <v>235</v>
      </c>
      <c r="J1460" s="7" t="s">
        <v>182</v>
      </c>
      <c r="K1460" s="7" t="n">
        <f aca="false">IFERROR(VALUE(RIGHT(TRIM(F1460),4)),"")</f>
        <v>2018</v>
      </c>
      <c r="L1460" s="7" t="str">
        <f aca="false">IF(TRIM(E1460)="","Unknown",IFERROR(LEFT(TRIM(E1460),FIND(",",TRIM(E1460))-1),TRIM(E1460)))</f>
        <v>India</v>
      </c>
      <c r="M1460" s="7" t="str">
        <f aca="false">IFERROR(LEFT(J1460,FIND(",",J1460)-1),J1460)</f>
        <v>Dramas</v>
      </c>
      <c r="N1460" s="7" t="n">
        <f aca="false">IF(B1460="Movie",IFERROR(VALUE(LEFT(I1460,FIND(" ",I1460)-1)),""),"")</f>
        <v>126</v>
      </c>
      <c r="O1460" s="7" t="str">
        <f aca="false">IF(B1460="TV Show",IFERROR(VALUE(LEFT(I1460,FIND(" ",I1460)-1)),""),"")</f>
        <v/>
      </c>
      <c r="P1460" s="7" t="n">
        <f aca="false">IF(K1460="","",K1460-G1460)</f>
        <v>3</v>
      </c>
    </row>
    <row r="1461" customFormat="false" ht="15" hidden="false" customHeight="false" outlineLevel="0" collapsed="false">
      <c r="A1461" s="7" t="n">
        <v>80175945</v>
      </c>
      <c r="B1461" s="7" t="s">
        <v>78</v>
      </c>
      <c r="C1461" s="7" t="s">
        <v>3359</v>
      </c>
      <c r="E1461" s="7" t="s">
        <v>26</v>
      </c>
      <c r="F1461" s="7" t="s">
        <v>3318</v>
      </c>
      <c r="G1461" s="7" t="n">
        <v>2017</v>
      </c>
      <c r="H1461" s="7" t="s">
        <v>48</v>
      </c>
      <c r="I1461" s="7" t="s">
        <v>82</v>
      </c>
      <c r="J1461" s="7" t="s">
        <v>553</v>
      </c>
      <c r="K1461" s="7" t="n">
        <f aca="false">IFERROR(VALUE(RIGHT(TRIM(F1461),4)),"")</f>
        <v>2018</v>
      </c>
      <c r="L1461" s="7" t="str">
        <f aca="false">IF(TRIM(E1461)="","Unknown",IFERROR(LEFT(TRIM(E1461),FIND(",",TRIM(E1461))-1),TRIM(E1461)))</f>
        <v>United States</v>
      </c>
      <c r="M1461" s="7" t="str">
        <f aca="false">IFERROR(LEFT(J1461,FIND(",",J1461)-1),J1461)</f>
        <v>Crime TV Shows</v>
      </c>
      <c r="N1461" s="7" t="str">
        <f aca="false">IF(B1461="Movie",IFERROR(VALUE(LEFT(I1461,FIND(" ",I1461)-1)),""),"")</f>
        <v/>
      </c>
      <c r="O1461" s="7" t="n">
        <f aca="false">IF(B1461="TV Show",IFERROR(VALUE(LEFT(I1461,FIND(" ",I1461)-1)),""),"")</f>
        <v>1</v>
      </c>
      <c r="P1461" s="7" t="n">
        <f aca="false">IF(K1461="","",K1461-G1461)</f>
        <v>1</v>
      </c>
    </row>
    <row r="1462" customFormat="false" ht="15" hidden="false" customHeight="false" outlineLevel="0" collapsed="false">
      <c r="A1462" s="7" t="n">
        <v>70219528</v>
      </c>
      <c r="B1462" s="7" t="s">
        <v>68</v>
      </c>
      <c r="C1462" s="7" t="s">
        <v>3360</v>
      </c>
      <c r="D1462" s="7" t="s">
        <v>3322</v>
      </c>
      <c r="E1462" s="7" t="s">
        <v>27</v>
      </c>
      <c r="F1462" s="7" t="s">
        <v>3318</v>
      </c>
      <c r="G1462" s="7" t="n">
        <v>2013</v>
      </c>
      <c r="H1462" s="7" t="s">
        <v>49</v>
      </c>
      <c r="I1462" s="7" t="s">
        <v>2053</v>
      </c>
      <c r="J1462" s="7" t="s">
        <v>2582</v>
      </c>
      <c r="K1462" s="7" t="n">
        <f aca="false">IFERROR(VALUE(RIGHT(TRIM(F1462),4)),"")</f>
        <v>2018</v>
      </c>
      <c r="L1462" s="7" t="str">
        <f aca="false">IF(TRIM(E1462)="","Unknown",IFERROR(LEFT(TRIM(E1462),FIND(",",TRIM(E1462))-1),TRIM(E1462)))</f>
        <v>India</v>
      </c>
      <c r="M1462" s="7" t="str">
        <f aca="false">IFERROR(LEFT(J1462,FIND(",",J1462)-1),J1462)</f>
        <v>Comedies</v>
      </c>
      <c r="N1462" s="7" t="n">
        <f aca="false">IF(B1462="Movie",IFERROR(VALUE(LEFT(I1462,FIND(" ",I1462)-1)),""),"")</f>
        <v>129</v>
      </c>
      <c r="O1462" s="7" t="str">
        <f aca="false">IF(B1462="TV Show",IFERROR(VALUE(LEFT(I1462,FIND(" ",I1462)-1)),""),"")</f>
        <v/>
      </c>
      <c r="P1462" s="7" t="n">
        <f aca="false">IF(K1462="","",K1462-G1462)</f>
        <v>5</v>
      </c>
    </row>
    <row r="1463" customFormat="false" ht="15" hidden="false" customHeight="false" outlineLevel="0" collapsed="false">
      <c r="A1463" s="7" t="n">
        <v>80241947</v>
      </c>
      <c r="B1463" s="7" t="s">
        <v>78</v>
      </c>
      <c r="C1463" s="7" t="s">
        <v>3361</v>
      </c>
      <c r="E1463" s="7" t="s">
        <v>167</v>
      </c>
      <c r="F1463" s="7" t="s">
        <v>3318</v>
      </c>
      <c r="G1463" s="7" t="n">
        <v>2018</v>
      </c>
      <c r="H1463" s="7" t="s">
        <v>48</v>
      </c>
      <c r="I1463" s="7" t="s">
        <v>82</v>
      </c>
      <c r="J1463" s="7" t="s">
        <v>3308</v>
      </c>
      <c r="K1463" s="7" t="n">
        <f aca="false">IFERROR(VALUE(RIGHT(TRIM(F1463),4)),"")</f>
        <v>2018</v>
      </c>
      <c r="L1463" s="7" t="str">
        <f aca="false">IF(TRIM(E1463)="","Unknown",IFERROR(LEFT(TRIM(E1463),FIND(",",TRIM(E1463))-1),TRIM(E1463)))</f>
        <v>Thailand</v>
      </c>
      <c r="M1463" s="7" t="str">
        <f aca="false">IFERROR(LEFT(J1463,FIND(",",J1463)-1),J1463)</f>
        <v>International TV Shows</v>
      </c>
      <c r="N1463" s="7" t="str">
        <f aca="false">IF(B1463="Movie",IFERROR(VALUE(LEFT(I1463,FIND(" ",I1463)-1)),""),"")</f>
        <v/>
      </c>
      <c r="O1463" s="7" t="n">
        <f aca="false">IF(B1463="TV Show",IFERROR(VALUE(LEFT(I1463,FIND(" ",I1463)-1)),""),"")</f>
        <v>1</v>
      </c>
      <c r="P1463" s="7" t="n">
        <f aca="false">IF(K1463="","",K1463-G1463)</f>
        <v>0</v>
      </c>
    </row>
    <row r="1464" customFormat="false" ht="15" hidden="false" customHeight="false" outlineLevel="0" collapsed="false">
      <c r="A1464" s="7" t="n">
        <v>70241088</v>
      </c>
      <c r="B1464" s="7" t="s">
        <v>68</v>
      </c>
      <c r="C1464" s="7" t="s">
        <v>3362</v>
      </c>
      <c r="D1464" s="7" t="s">
        <v>3363</v>
      </c>
      <c r="E1464" s="7" t="s">
        <v>27</v>
      </c>
      <c r="F1464" s="7" t="s">
        <v>3318</v>
      </c>
      <c r="G1464" s="7" t="n">
        <v>2012</v>
      </c>
      <c r="H1464" s="7" t="s">
        <v>49</v>
      </c>
      <c r="I1464" s="7" t="s">
        <v>201</v>
      </c>
      <c r="J1464" s="7" t="s">
        <v>358</v>
      </c>
      <c r="K1464" s="7" t="n">
        <f aca="false">IFERROR(VALUE(RIGHT(TRIM(F1464),4)),"")</f>
        <v>2018</v>
      </c>
      <c r="L1464" s="7" t="str">
        <f aca="false">IF(TRIM(E1464)="","Unknown",IFERROR(LEFT(TRIM(E1464),FIND(",",TRIM(E1464))-1),TRIM(E1464)))</f>
        <v>India</v>
      </c>
      <c r="M1464" s="7" t="str">
        <f aca="false">IFERROR(LEFT(J1464,FIND(",",J1464)-1),J1464)</f>
        <v>International Movies</v>
      </c>
      <c r="N1464" s="7" t="n">
        <f aca="false">IF(B1464="Movie",IFERROR(VALUE(LEFT(I1464,FIND(" ",I1464)-1)),""),"")</f>
        <v>133</v>
      </c>
      <c r="O1464" s="7" t="str">
        <f aca="false">IF(B1464="TV Show",IFERROR(VALUE(LEFT(I1464,FIND(" ",I1464)-1)),""),"")</f>
        <v/>
      </c>
      <c r="P1464" s="7" t="n">
        <f aca="false">IF(K1464="","",K1464-G1464)</f>
        <v>6</v>
      </c>
    </row>
    <row r="1465" customFormat="false" ht="15" hidden="false" customHeight="false" outlineLevel="0" collapsed="false">
      <c r="A1465" s="7" t="n">
        <v>70068799</v>
      </c>
      <c r="B1465" s="7" t="s">
        <v>68</v>
      </c>
      <c r="C1465" s="7" t="s">
        <v>3364</v>
      </c>
      <c r="D1465" s="7" t="s">
        <v>1740</v>
      </c>
      <c r="E1465" s="7" t="s">
        <v>27</v>
      </c>
      <c r="F1465" s="7" t="s">
        <v>3318</v>
      </c>
      <c r="G1465" s="7" t="n">
        <v>2007</v>
      </c>
      <c r="H1465" s="7" t="s">
        <v>49</v>
      </c>
      <c r="I1465" s="7" t="s">
        <v>790</v>
      </c>
      <c r="J1465" s="7" t="s">
        <v>217</v>
      </c>
      <c r="K1465" s="7" t="n">
        <f aca="false">IFERROR(VALUE(RIGHT(TRIM(F1465),4)),"")</f>
        <v>2018</v>
      </c>
      <c r="L1465" s="7" t="str">
        <f aca="false">IF(TRIM(E1465)="","Unknown",IFERROR(LEFT(TRIM(E1465),FIND(",",TRIM(E1465))-1),TRIM(E1465)))</f>
        <v>India</v>
      </c>
      <c r="M1465" s="7" t="str">
        <f aca="false">IFERROR(LEFT(J1465,FIND(",",J1465)-1),J1465)</f>
        <v>Comedies</v>
      </c>
      <c r="N1465" s="7" t="n">
        <f aca="false">IF(B1465="Movie",IFERROR(VALUE(LEFT(I1465,FIND(" ",I1465)-1)),""),"")</f>
        <v>109</v>
      </c>
      <c r="O1465" s="7" t="str">
        <f aca="false">IF(B1465="TV Show",IFERROR(VALUE(LEFT(I1465,FIND(" ",I1465)-1)),""),"")</f>
        <v/>
      </c>
      <c r="P1465" s="7" t="n">
        <f aca="false">IF(K1465="","",K1465-G1465)</f>
        <v>11</v>
      </c>
    </row>
    <row r="1466" customFormat="false" ht="15" hidden="false" customHeight="false" outlineLevel="0" collapsed="false">
      <c r="A1466" s="7" t="n">
        <v>70229044</v>
      </c>
      <c r="B1466" s="7" t="s">
        <v>68</v>
      </c>
      <c r="C1466" s="7" t="s">
        <v>3365</v>
      </c>
      <c r="D1466" s="7" t="s">
        <v>1792</v>
      </c>
      <c r="E1466" s="7" t="s">
        <v>27</v>
      </c>
      <c r="F1466" s="7" t="s">
        <v>3318</v>
      </c>
      <c r="G1466" s="7" t="n">
        <v>2012</v>
      </c>
      <c r="H1466" s="7" t="s">
        <v>48</v>
      </c>
      <c r="I1466" s="7" t="s">
        <v>1832</v>
      </c>
      <c r="J1466" s="7" t="s">
        <v>304</v>
      </c>
      <c r="K1466" s="7" t="n">
        <f aca="false">IFERROR(VALUE(RIGHT(TRIM(F1466),4)),"")</f>
        <v>2018</v>
      </c>
      <c r="L1466" s="7" t="str">
        <f aca="false">IF(TRIM(E1466)="","Unknown",IFERROR(LEFT(TRIM(E1466),FIND(",",TRIM(E1466))-1),TRIM(E1466)))</f>
        <v>India</v>
      </c>
      <c r="M1466" s="7" t="str">
        <f aca="false">IFERROR(LEFT(J1466,FIND(",",J1466)-1),J1466)</f>
        <v>Dramas</v>
      </c>
      <c r="N1466" s="7" t="n">
        <f aca="false">IF(B1466="Movie",IFERROR(VALUE(LEFT(I1466,FIND(" ",I1466)-1)),""),"")</f>
        <v>143</v>
      </c>
      <c r="O1466" s="7" t="str">
        <f aca="false">IF(B1466="TV Show",IFERROR(VALUE(LEFT(I1466,FIND(" ",I1466)-1)),""),"")</f>
        <v/>
      </c>
      <c r="P1466" s="7" t="n">
        <f aca="false">IF(K1466="","",K1466-G1466)</f>
        <v>6</v>
      </c>
    </row>
    <row r="1467" customFormat="false" ht="15" hidden="false" customHeight="false" outlineLevel="0" collapsed="false">
      <c r="A1467" s="7" t="n">
        <v>70254349</v>
      </c>
      <c r="B1467" s="7" t="s">
        <v>68</v>
      </c>
      <c r="C1467" s="7" t="s">
        <v>3366</v>
      </c>
      <c r="D1467" s="7" t="s">
        <v>3367</v>
      </c>
      <c r="E1467" s="7" t="s">
        <v>27</v>
      </c>
      <c r="F1467" s="7" t="s">
        <v>3318</v>
      </c>
      <c r="G1467" s="7" t="n">
        <v>2013</v>
      </c>
      <c r="H1467" s="7" t="s">
        <v>49</v>
      </c>
      <c r="I1467" s="7" t="s">
        <v>879</v>
      </c>
      <c r="J1467" s="7" t="s">
        <v>139</v>
      </c>
      <c r="K1467" s="7" t="n">
        <f aca="false">IFERROR(VALUE(RIGHT(TRIM(F1467),4)),"")</f>
        <v>2018</v>
      </c>
      <c r="L1467" s="7" t="str">
        <f aca="false">IF(TRIM(E1467)="","Unknown",IFERROR(LEFT(TRIM(E1467),FIND(",",TRIM(E1467))-1),TRIM(E1467)))</f>
        <v>India</v>
      </c>
      <c r="M1467" s="7" t="str">
        <f aca="false">IFERROR(LEFT(J1467,FIND(",",J1467)-1),J1467)</f>
        <v>Action &amp; Adventure</v>
      </c>
      <c r="N1467" s="7" t="n">
        <f aca="false">IF(B1467="Movie",IFERROR(VALUE(LEFT(I1467,FIND(" ",I1467)-1)),""),"")</f>
        <v>140</v>
      </c>
      <c r="O1467" s="7" t="str">
        <f aca="false">IF(B1467="TV Show",IFERROR(VALUE(LEFT(I1467,FIND(" ",I1467)-1)),""),"")</f>
        <v/>
      </c>
      <c r="P1467" s="7" t="n">
        <f aca="false">IF(K1467="","",K1467-G1467)</f>
        <v>5</v>
      </c>
    </row>
    <row r="1468" customFormat="false" ht="15" hidden="false" customHeight="false" outlineLevel="0" collapsed="false">
      <c r="A1468" s="7" t="n">
        <v>70254342</v>
      </c>
      <c r="B1468" s="7" t="s">
        <v>68</v>
      </c>
      <c r="C1468" s="7" t="s">
        <v>3368</v>
      </c>
      <c r="D1468" s="7" t="s">
        <v>3369</v>
      </c>
      <c r="E1468" s="7" t="s">
        <v>27</v>
      </c>
      <c r="F1468" s="7" t="s">
        <v>3318</v>
      </c>
      <c r="G1468" s="7" t="n">
        <v>2012</v>
      </c>
      <c r="H1468" s="7" t="s">
        <v>49</v>
      </c>
      <c r="I1468" s="7" t="s">
        <v>1777</v>
      </c>
      <c r="J1468" s="7" t="s">
        <v>457</v>
      </c>
      <c r="K1468" s="7" t="n">
        <f aca="false">IFERROR(VALUE(RIGHT(TRIM(F1468),4)),"")</f>
        <v>2018</v>
      </c>
      <c r="L1468" s="7" t="str">
        <f aca="false">IF(TRIM(E1468)="","Unknown",IFERROR(LEFT(TRIM(E1468),FIND(",",TRIM(E1468))-1),TRIM(E1468)))</f>
        <v>India</v>
      </c>
      <c r="M1468" s="7" t="str">
        <f aca="false">IFERROR(LEFT(J1468,FIND(",",J1468)-1),J1468)</f>
        <v>Comedies</v>
      </c>
      <c r="N1468" s="7" t="n">
        <f aca="false">IF(B1468="Movie",IFERROR(VALUE(LEFT(I1468,FIND(" ",I1468)-1)),""),"")</f>
        <v>150</v>
      </c>
      <c r="O1468" s="7" t="str">
        <f aca="false">IF(B1468="TV Show",IFERROR(VALUE(LEFT(I1468,FIND(" ",I1468)-1)),""),"")</f>
        <v/>
      </c>
      <c r="P1468" s="7" t="n">
        <f aca="false">IF(K1468="","",K1468-G1468)</f>
        <v>6</v>
      </c>
    </row>
    <row r="1469" customFormat="false" ht="15" hidden="false" customHeight="false" outlineLevel="0" collapsed="false">
      <c r="A1469" s="7" t="n">
        <v>80084838</v>
      </c>
      <c r="B1469" s="7" t="s">
        <v>68</v>
      </c>
      <c r="C1469" s="7" t="s">
        <v>3370</v>
      </c>
      <c r="D1469" s="7" t="s">
        <v>3371</v>
      </c>
      <c r="E1469" s="7" t="s">
        <v>27</v>
      </c>
      <c r="F1469" s="7" t="s">
        <v>3318</v>
      </c>
      <c r="G1469" s="7" t="n">
        <v>2013</v>
      </c>
      <c r="H1469" s="7" t="s">
        <v>50</v>
      </c>
      <c r="I1469" s="7" t="s">
        <v>261</v>
      </c>
      <c r="J1469" s="7" t="s">
        <v>457</v>
      </c>
      <c r="K1469" s="7" t="n">
        <f aca="false">IFERROR(VALUE(RIGHT(TRIM(F1469),4)),"")</f>
        <v>2018</v>
      </c>
      <c r="L1469" s="7" t="str">
        <f aca="false">IF(TRIM(E1469)="","Unknown",IFERROR(LEFT(TRIM(E1469),FIND(",",TRIM(E1469))-1),TRIM(E1469)))</f>
        <v>India</v>
      </c>
      <c r="M1469" s="7" t="str">
        <f aca="false">IFERROR(LEFT(J1469,FIND(",",J1469)-1),J1469)</f>
        <v>Comedies</v>
      </c>
      <c r="N1469" s="7" t="n">
        <f aca="false">IF(B1469="Movie",IFERROR(VALUE(LEFT(I1469,FIND(" ",I1469)-1)),""),"")</f>
        <v>128</v>
      </c>
      <c r="O1469" s="7" t="str">
        <f aca="false">IF(B1469="TV Show",IFERROR(VALUE(LEFT(I1469,FIND(" ",I1469)-1)),""),"")</f>
        <v/>
      </c>
      <c r="P1469" s="7" t="n">
        <f aca="false">IF(K1469="","",K1469-G1469)</f>
        <v>5</v>
      </c>
    </row>
    <row r="1470" customFormat="false" ht="15" hidden="false" customHeight="false" outlineLevel="0" collapsed="false">
      <c r="A1470" s="7" t="n">
        <v>70254346</v>
      </c>
      <c r="B1470" s="7" t="s">
        <v>68</v>
      </c>
      <c r="C1470" s="7" t="s">
        <v>3372</v>
      </c>
      <c r="D1470" s="7" t="s">
        <v>3373</v>
      </c>
      <c r="E1470" s="7" t="s">
        <v>27</v>
      </c>
      <c r="F1470" s="7" t="s">
        <v>3318</v>
      </c>
      <c r="G1470" s="7" t="n">
        <v>2013</v>
      </c>
      <c r="H1470" s="7" t="s">
        <v>49</v>
      </c>
      <c r="I1470" s="7" t="s">
        <v>2551</v>
      </c>
      <c r="J1470" s="7" t="s">
        <v>1003</v>
      </c>
      <c r="K1470" s="7" t="n">
        <f aca="false">IFERROR(VALUE(RIGHT(TRIM(F1470),4)),"")</f>
        <v>2018</v>
      </c>
      <c r="L1470" s="7" t="str">
        <f aca="false">IF(TRIM(E1470)="","Unknown",IFERROR(LEFT(TRIM(E1470),FIND(",",TRIM(E1470))-1),TRIM(E1470)))</f>
        <v>India</v>
      </c>
      <c r="M1470" s="7" t="str">
        <f aca="false">IFERROR(LEFT(J1470,FIND(",",J1470)-1),J1470)</f>
        <v>Dramas</v>
      </c>
      <c r="N1470" s="7" t="n">
        <f aca="false">IF(B1470="Movie",IFERROR(VALUE(LEFT(I1470,FIND(" ",I1470)-1)),""),"")</f>
        <v>120</v>
      </c>
      <c r="O1470" s="7" t="str">
        <f aca="false">IF(B1470="TV Show",IFERROR(VALUE(LEFT(I1470,FIND(" ",I1470)-1)),""),"")</f>
        <v/>
      </c>
      <c r="P1470" s="7" t="n">
        <f aca="false">IF(K1470="","",K1470-G1470)</f>
        <v>5</v>
      </c>
    </row>
    <row r="1471" customFormat="false" ht="15" hidden="false" customHeight="false" outlineLevel="0" collapsed="false">
      <c r="A1471" s="7" t="n">
        <v>70229040</v>
      </c>
      <c r="B1471" s="7" t="s">
        <v>68</v>
      </c>
      <c r="C1471" s="7" t="s">
        <v>3374</v>
      </c>
      <c r="D1471" s="7" t="s">
        <v>2235</v>
      </c>
      <c r="E1471" s="7" t="s">
        <v>27</v>
      </c>
      <c r="F1471" s="7" t="s">
        <v>3318</v>
      </c>
      <c r="G1471" s="7" t="n">
        <v>2012</v>
      </c>
      <c r="H1471" s="7" t="s">
        <v>49</v>
      </c>
      <c r="I1471" s="7" t="s">
        <v>1955</v>
      </c>
      <c r="J1471" s="7" t="s">
        <v>457</v>
      </c>
      <c r="K1471" s="7" t="n">
        <f aca="false">IFERROR(VALUE(RIGHT(TRIM(F1471),4)),"")</f>
        <v>2018</v>
      </c>
      <c r="L1471" s="7" t="str">
        <f aca="false">IF(TRIM(E1471)="","Unknown",IFERROR(LEFT(TRIM(E1471),FIND(",",TRIM(E1471))-1),TRIM(E1471)))</f>
        <v>India</v>
      </c>
      <c r="M1471" s="7" t="str">
        <f aca="false">IFERROR(LEFT(J1471,FIND(",",J1471)-1),J1471)</f>
        <v>Comedies</v>
      </c>
      <c r="N1471" s="7" t="n">
        <f aca="false">IF(B1471="Movie",IFERROR(VALUE(LEFT(I1471,FIND(" ",I1471)-1)),""),"")</f>
        <v>154</v>
      </c>
      <c r="O1471" s="7" t="str">
        <f aca="false">IF(B1471="TV Show",IFERROR(VALUE(LEFT(I1471,FIND(" ",I1471)-1)),""),"")</f>
        <v/>
      </c>
      <c r="P1471" s="7" t="n">
        <f aca="false">IF(K1471="","",K1471-G1471)</f>
        <v>6</v>
      </c>
    </row>
    <row r="1472" customFormat="false" ht="15" hidden="false" customHeight="false" outlineLevel="0" collapsed="false">
      <c r="A1472" s="7" t="n">
        <v>70056663</v>
      </c>
      <c r="B1472" s="7" t="s">
        <v>68</v>
      </c>
      <c r="C1472" s="7" t="s">
        <v>3375</v>
      </c>
      <c r="D1472" s="7" t="s">
        <v>3376</v>
      </c>
      <c r="E1472" s="7" t="s">
        <v>26</v>
      </c>
      <c r="F1472" s="7" t="s">
        <v>3318</v>
      </c>
      <c r="G1472" s="7" t="n">
        <v>2006</v>
      </c>
      <c r="H1472" s="7" t="s">
        <v>48</v>
      </c>
      <c r="I1472" s="7" t="s">
        <v>353</v>
      </c>
      <c r="J1472" s="7" t="s">
        <v>45</v>
      </c>
      <c r="K1472" s="7" t="n">
        <f aca="false">IFERROR(VALUE(RIGHT(TRIM(F1472),4)),"")</f>
        <v>2018</v>
      </c>
      <c r="L1472" s="7" t="str">
        <f aca="false">IF(TRIM(E1472)="","Unknown",IFERROR(LEFT(TRIM(E1472),FIND(",",TRIM(E1472))-1),TRIM(E1472)))</f>
        <v>United States</v>
      </c>
      <c r="M1472" s="7" t="str">
        <f aca="false">IFERROR(LEFT(J1472,FIND(",",J1472)-1),J1472)</f>
        <v>Stand-Up Comedy</v>
      </c>
      <c r="N1472" s="7" t="n">
        <f aca="false">IF(B1472="Movie",IFERROR(VALUE(LEFT(I1472,FIND(" ",I1472)-1)),""),"")</f>
        <v>45</v>
      </c>
      <c r="O1472" s="7" t="str">
        <f aca="false">IF(B1472="TV Show",IFERROR(VALUE(LEFT(I1472,FIND(" ",I1472)-1)),""),"")</f>
        <v/>
      </c>
      <c r="P1472" s="7" t="n">
        <f aca="false">IF(K1472="","",K1472-G1472)</f>
        <v>12</v>
      </c>
    </row>
    <row r="1473" customFormat="false" ht="15" hidden="false" customHeight="false" outlineLevel="0" collapsed="false">
      <c r="A1473" s="7" t="n">
        <v>80067906</v>
      </c>
      <c r="B1473" s="7" t="s">
        <v>68</v>
      </c>
      <c r="C1473" s="7" t="s">
        <v>3377</v>
      </c>
      <c r="D1473" s="7" t="s">
        <v>1526</v>
      </c>
      <c r="E1473" s="7" t="s">
        <v>27</v>
      </c>
      <c r="F1473" s="7" t="s">
        <v>3318</v>
      </c>
      <c r="G1473" s="7" t="n">
        <v>2015</v>
      </c>
      <c r="H1473" s="7" t="s">
        <v>49</v>
      </c>
      <c r="I1473" s="7" t="s">
        <v>755</v>
      </c>
      <c r="J1473" s="7" t="s">
        <v>217</v>
      </c>
      <c r="K1473" s="7" t="n">
        <f aca="false">IFERROR(VALUE(RIGHT(TRIM(F1473),4)),"")</f>
        <v>2018</v>
      </c>
      <c r="L1473" s="7" t="str">
        <f aca="false">IF(TRIM(E1473)="","Unknown",IFERROR(LEFT(TRIM(E1473),FIND(",",TRIM(E1473))-1),TRIM(E1473)))</f>
        <v>India</v>
      </c>
      <c r="M1473" s="7" t="str">
        <f aca="false">IFERROR(LEFT(J1473,FIND(",",J1473)-1),J1473)</f>
        <v>Comedies</v>
      </c>
      <c r="N1473" s="7" t="n">
        <f aca="false">IF(B1473="Movie",IFERROR(VALUE(LEFT(I1473,FIND(" ",I1473)-1)),""),"")</f>
        <v>132</v>
      </c>
      <c r="O1473" s="7" t="str">
        <f aca="false">IF(B1473="TV Show",IFERROR(VALUE(LEFT(I1473,FIND(" ",I1473)-1)),""),"")</f>
        <v/>
      </c>
      <c r="P1473" s="7" t="n">
        <f aca="false">IF(K1473="","",K1473-G1473)</f>
        <v>3</v>
      </c>
    </row>
    <row r="1474" customFormat="false" ht="15" hidden="false" customHeight="false" outlineLevel="0" collapsed="false">
      <c r="A1474" s="7" t="n">
        <v>70071832</v>
      </c>
      <c r="B1474" s="7" t="s">
        <v>68</v>
      </c>
      <c r="C1474" s="7" t="s">
        <v>3378</v>
      </c>
      <c r="D1474" s="7" t="s">
        <v>2151</v>
      </c>
      <c r="E1474" s="7" t="s">
        <v>27</v>
      </c>
      <c r="F1474" s="7" t="s">
        <v>3318</v>
      </c>
      <c r="G1474" s="7" t="n">
        <v>2007</v>
      </c>
      <c r="H1474" s="7" t="s">
        <v>49</v>
      </c>
      <c r="I1474" s="7" t="s">
        <v>235</v>
      </c>
      <c r="J1474" s="7" t="s">
        <v>1042</v>
      </c>
      <c r="K1474" s="7" t="n">
        <f aca="false">IFERROR(VALUE(RIGHT(TRIM(F1474),4)),"")</f>
        <v>2018</v>
      </c>
      <c r="L1474" s="7" t="str">
        <f aca="false">IF(TRIM(E1474)="","Unknown",IFERROR(LEFT(TRIM(E1474),FIND(",",TRIM(E1474))-1),TRIM(E1474)))</f>
        <v>India</v>
      </c>
      <c r="M1474" s="7" t="str">
        <f aca="false">IFERROR(LEFT(J1474,FIND(",",J1474)-1),J1474)</f>
        <v>Dramas</v>
      </c>
      <c r="N1474" s="7" t="n">
        <f aca="false">IF(B1474="Movie",IFERROR(VALUE(LEFT(I1474,FIND(" ",I1474)-1)),""),"")</f>
        <v>126</v>
      </c>
      <c r="O1474" s="7" t="str">
        <f aca="false">IF(B1474="TV Show",IFERROR(VALUE(LEFT(I1474,FIND(" ",I1474)-1)),""),"")</f>
        <v/>
      </c>
      <c r="P1474" s="7" t="n">
        <f aca="false">IF(K1474="","",K1474-G1474)</f>
        <v>11</v>
      </c>
    </row>
    <row r="1475" customFormat="false" ht="15" hidden="false" customHeight="false" outlineLevel="0" collapsed="false">
      <c r="A1475" s="7" t="n">
        <v>70273401</v>
      </c>
      <c r="B1475" s="7" t="s">
        <v>68</v>
      </c>
      <c r="C1475" s="7" t="s">
        <v>3379</v>
      </c>
      <c r="D1475" s="7" t="s">
        <v>3061</v>
      </c>
      <c r="E1475" s="7" t="s">
        <v>26</v>
      </c>
      <c r="F1475" s="7" t="s">
        <v>3318</v>
      </c>
      <c r="G1475" s="7" t="n">
        <v>2013</v>
      </c>
      <c r="H1475" s="7" t="s">
        <v>48</v>
      </c>
      <c r="I1475" s="7" t="s">
        <v>111</v>
      </c>
      <c r="J1475" s="7" t="s">
        <v>45</v>
      </c>
      <c r="K1475" s="7" t="n">
        <f aca="false">IFERROR(VALUE(RIGHT(TRIM(F1475),4)),"")</f>
        <v>2018</v>
      </c>
      <c r="L1475" s="7" t="str">
        <f aca="false">IF(TRIM(E1475)="","Unknown",IFERROR(LEFT(TRIM(E1475),FIND(",",TRIM(E1475))-1),TRIM(E1475)))</f>
        <v>United States</v>
      </c>
      <c r="M1475" s="7" t="str">
        <f aca="false">IFERROR(LEFT(J1475,FIND(",",J1475)-1),J1475)</f>
        <v>Stand-Up Comedy</v>
      </c>
      <c r="N1475" s="7" t="n">
        <f aca="false">IF(B1475="Movie",IFERROR(VALUE(LEFT(I1475,FIND(" ",I1475)-1)),""),"")</f>
        <v>95</v>
      </c>
      <c r="O1475" s="7" t="str">
        <f aca="false">IF(B1475="TV Show",IFERROR(VALUE(LEFT(I1475,FIND(" ",I1475)-1)),""),"")</f>
        <v/>
      </c>
      <c r="P1475" s="7" t="n">
        <f aca="false">IF(K1475="","",K1475-G1475)</f>
        <v>5</v>
      </c>
    </row>
    <row r="1476" customFormat="false" ht="15" hidden="false" customHeight="false" outlineLevel="0" collapsed="false">
      <c r="A1476" s="7" t="n">
        <v>80097390</v>
      </c>
      <c r="B1476" s="7" t="s">
        <v>68</v>
      </c>
      <c r="C1476" s="7" t="s">
        <v>3380</v>
      </c>
      <c r="D1476" s="7" t="s">
        <v>3381</v>
      </c>
      <c r="E1476" s="7" t="s">
        <v>2057</v>
      </c>
      <c r="F1476" s="7" t="s">
        <v>3318</v>
      </c>
      <c r="G1476" s="7" t="n">
        <v>2016</v>
      </c>
      <c r="H1476" s="7" t="s">
        <v>51</v>
      </c>
      <c r="I1476" s="7" t="s">
        <v>470</v>
      </c>
      <c r="J1476" s="7" t="s">
        <v>188</v>
      </c>
      <c r="K1476" s="7" t="n">
        <f aca="false">IFERROR(VALUE(RIGHT(TRIM(F1476),4)),"")</f>
        <v>2018</v>
      </c>
      <c r="L1476" s="7" t="str">
        <f aca="false">IF(TRIM(E1476)="","Unknown",IFERROR(LEFT(TRIM(E1476),FIND(",",TRIM(E1476))-1),TRIM(E1476)))</f>
        <v>Germany</v>
      </c>
      <c r="M1476" s="7" t="str">
        <f aca="false">IFERROR(LEFT(J1476,FIND(",",J1476)-1),J1476)</f>
        <v>Dramas</v>
      </c>
      <c r="N1476" s="7" t="n">
        <f aca="false">IF(B1476="Movie",IFERROR(VALUE(LEFT(I1476,FIND(" ",I1476)-1)),""),"")</f>
        <v>91</v>
      </c>
      <c r="O1476" s="7" t="str">
        <f aca="false">IF(B1476="TV Show",IFERROR(VALUE(LEFT(I1476,FIND(" ",I1476)-1)),""),"")</f>
        <v/>
      </c>
      <c r="P1476" s="7" t="n">
        <f aca="false">IF(K1476="","",K1476-G1476)</f>
        <v>2</v>
      </c>
    </row>
    <row r="1477" customFormat="false" ht="15" hidden="false" customHeight="false" outlineLevel="0" collapsed="false">
      <c r="A1477" s="7" t="n">
        <v>70106268</v>
      </c>
      <c r="B1477" s="7" t="s">
        <v>68</v>
      </c>
      <c r="C1477" s="7" t="s">
        <v>3382</v>
      </c>
      <c r="D1477" s="7" t="s">
        <v>3383</v>
      </c>
      <c r="E1477" s="7" t="s">
        <v>27</v>
      </c>
      <c r="F1477" s="7" t="s">
        <v>3318</v>
      </c>
      <c r="G1477" s="7" t="n">
        <v>2008</v>
      </c>
      <c r="H1477" s="7" t="s">
        <v>48</v>
      </c>
      <c r="I1477" s="7" t="s">
        <v>130</v>
      </c>
      <c r="J1477" s="7" t="s">
        <v>304</v>
      </c>
      <c r="K1477" s="7" t="n">
        <f aca="false">IFERROR(VALUE(RIGHT(TRIM(F1477),4)),"")</f>
        <v>2018</v>
      </c>
      <c r="L1477" s="7" t="str">
        <f aca="false">IF(TRIM(E1477)="","Unknown",IFERROR(LEFT(TRIM(E1477),FIND(",",TRIM(E1477))-1),TRIM(E1477)))</f>
        <v>India</v>
      </c>
      <c r="M1477" s="7" t="str">
        <f aca="false">IFERROR(LEFT(J1477,FIND(",",J1477)-1),J1477)</f>
        <v>Dramas</v>
      </c>
      <c r="N1477" s="7" t="n">
        <f aca="false">IF(B1477="Movie",IFERROR(VALUE(LEFT(I1477,FIND(" ",I1477)-1)),""),"")</f>
        <v>135</v>
      </c>
      <c r="O1477" s="7" t="str">
        <f aca="false">IF(B1477="TV Show",IFERROR(VALUE(LEFT(I1477,FIND(" ",I1477)-1)),""),"")</f>
        <v/>
      </c>
      <c r="P1477" s="7" t="n">
        <f aca="false">IF(K1477="","",K1477-G1477)</f>
        <v>10</v>
      </c>
    </row>
    <row r="1478" customFormat="false" ht="15" hidden="false" customHeight="false" outlineLevel="0" collapsed="false">
      <c r="A1478" s="7" t="n">
        <v>80039594</v>
      </c>
      <c r="B1478" s="7" t="s">
        <v>68</v>
      </c>
      <c r="C1478" s="7" t="s">
        <v>3384</v>
      </c>
      <c r="D1478" s="7" t="s">
        <v>3385</v>
      </c>
      <c r="E1478" s="7" t="s">
        <v>27</v>
      </c>
      <c r="F1478" s="7" t="s">
        <v>3318</v>
      </c>
      <c r="G1478" s="7" t="n">
        <v>2014</v>
      </c>
      <c r="H1478" s="7" t="s">
        <v>49</v>
      </c>
      <c r="I1478" s="7" t="s">
        <v>594</v>
      </c>
      <c r="J1478" s="7" t="s">
        <v>457</v>
      </c>
      <c r="K1478" s="7" t="n">
        <f aca="false">IFERROR(VALUE(RIGHT(TRIM(F1478),4)),"")</f>
        <v>2018</v>
      </c>
      <c r="L1478" s="7" t="str">
        <f aca="false">IF(TRIM(E1478)="","Unknown",IFERROR(LEFT(TRIM(E1478),FIND(",",TRIM(E1478))-1),TRIM(E1478)))</f>
        <v>India</v>
      </c>
      <c r="M1478" s="7" t="str">
        <f aca="false">IFERROR(LEFT(J1478,FIND(",",J1478)-1),J1478)</f>
        <v>Comedies</v>
      </c>
      <c r="N1478" s="7" t="n">
        <f aca="false">IF(B1478="Movie",IFERROR(VALUE(LEFT(I1478,FIND(" ",I1478)-1)),""),"")</f>
        <v>139</v>
      </c>
      <c r="O1478" s="7" t="str">
        <f aca="false">IF(B1478="TV Show",IFERROR(VALUE(LEFT(I1478,FIND(" ",I1478)-1)),""),"")</f>
        <v/>
      </c>
      <c r="P1478" s="7" t="n">
        <f aca="false">IF(K1478="","",K1478-G1478)</f>
        <v>4</v>
      </c>
    </row>
    <row r="1479" customFormat="false" ht="15" hidden="false" customHeight="false" outlineLevel="0" collapsed="false">
      <c r="A1479" s="7" t="n">
        <v>70139076</v>
      </c>
      <c r="B1479" s="7" t="s">
        <v>68</v>
      </c>
      <c r="C1479" s="7" t="s">
        <v>3386</v>
      </c>
      <c r="D1479" s="7" t="s">
        <v>3322</v>
      </c>
      <c r="E1479" s="7" t="s">
        <v>27</v>
      </c>
      <c r="F1479" s="7" t="s">
        <v>3318</v>
      </c>
      <c r="G1479" s="7" t="n">
        <v>2011</v>
      </c>
      <c r="H1479" s="7" t="s">
        <v>48</v>
      </c>
      <c r="I1479" s="7" t="s">
        <v>1707</v>
      </c>
      <c r="J1479" s="7" t="s">
        <v>304</v>
      </c>
      <c r="K1479" s="7" t="n">
        <f aca="false">IFERROR(VALUE(RIGHT(TRIM(F1479),4)),"")</f>
        <v>2018</v>
      </c>
      <c r="L1479" s="7" t="str">
        <f aca="false">IF(TRIM(E1479)="","Unknown",IFERROR(LEFT(TRIM(E1479),FIND(",",TRIM(E1479))-1),TRIM(E1479)))</f>
        <v>India</v>
      </c>
      <c r="M1479" s="7" t="str">
        <f aca="false">IFERROR(LEFT(J1479,FIND(",",J1479)-1),J1479)</f>
        <v>Dramas</v>
      </c>
      <c r="N1479" s="7" t="n">
        <f aca="false">IF(B1479="Movie",IFERROR(VALUE(LEFT(I1479,FIND(" ",I1479)-1)),""),"")</f>
        <v>131</v>
      </c>
      <c r="O1479" s="7" t="str">
        <f aca="false">IF(B1479="TV Show",IFERROR(VALUE(LEFT(I1479,FIND(" ",I1479)-1)),""),"")</f>
        <v/>
      </c>
      <c r="P1479" s="7" t="n">
        <f aca="false">IF(K1479="","",K1479-G1479)</f>
        <v>7</v>
      </c>
    </row>
    <row r="1480" customFormat="false" ht="15" hidden="false" customHeight="false" outlineLevel="0" collapsed="false">
      <c r="A1480" s="7" t="n">
        <v>70109758</v>
      </c>
      <c r="B1480" s="7" t="s">
        <v>68</v>
      </c>
      <c r="C1480" s="7" t="s">
        <v>3387</v>
      </c>
      <c r="D1480" s="7" t="s">
        <v>3388</v>
      </c>
      <c r="E1480" s="7" t="s">
        <v>27</v>
      </c>
      <c r="F1480" s="7" t="s">
        <v>3318</v>
      </c>
      <c r="G1480" s="7" t="n">
        <v>2008</v>
      </c>
      <c r="H1480" s="7" t="s">
        <v>49</v>
      </c>
      <c r="I1480" s="7" t="s">
        <v>1270</v>
      </c>
      <c r="J1480" s="7" t="s">
        <v>217</v>
      </c>
      <c r="K1480" s="7" t="n">
        <f aca="false">IFERROR(VALUE(RIGHT(TRIM(F1480),4)),"")</f>
        <v>2018</v>
      </c>
      <c r="L1480" s="7" t="str">
        <f aca="false">IF(TRIM(E1480)="","Unknown",IFERROR(LEFT(TRIM(E1480),FIND(",",TRIM(E1480))-1),TRIM(E1480)))</f>
        <v>India</v>
      </c>
      <c r="M1480" s="7" t="str">
        <f aca="false">IFERROR(LEFT(J1480,FIND(",",J1480)-1),J1480)</f>
        <v>Comedies</v>
      </c>
      <c r="N1480" s="7" t="n">
        <f aca="false">IF(B1480="Movie",IFERROR(VALUE(LEFT(I1480,FIND(" ",I1480)-1)),""),"")</f>
        <v>118</v>
      </c>
      <c r="O1480" s="7" t="str">
        <f aca="false">IF(B1480="TV Show",IFERROR(VALUE(LEFT(I1480,FIND(" ",I1480)-1)),""),"")</f>
        <v/>
      </c>
      <c r="P1480" s="7" t="n">
        <f aca="false">IF(K1480="","",K1480-G1480)</f>
        <v>10</v>
      </c>
    </row>
    <row r="1481" customFormat="false" ht="15" hidden="false" customHeight="false" outlineLevel="0" collapsed="false">
      <c r="A1481" s="7" t="n">
        <v>70123126</v>
      </c>
      <c r="B1481" s="7" t="s">
        <v>68</v>
      </c>
      <c r="C1481" s="7" t="s">
        <v>3389</v>
      </c>
      <c r="D1481" s="7" t="s">
        <v>3390</v>
      </c>
      <c r="E1481" s="7" t="s">
        <v>27</v>
      </c>
      <c r="F1481" s="7" t="s">
        <v>3318</v>
      </c>
      <c r="G1481" s="7" t="n">
        <v>2010</v>
      </c>
      <c r="H1481" s="7" t="s">
        <v>48</v>
      </c>
      <c r="I1481" s="7" t="s">
        <v>2053</v>
      </c>
      <c r="J1481" s="7" t="s">
        <v>112</v>
      </c>
      <c r="K1481" s="7" t="n">
        <f aca="false">IFERROR(VALUE(RIGHT(TRIM(F1481),4)),"")</f>
        <v>2018</v>
      </c>
      <c r="L1481" s="7" t="str">
        <f aca="false">IF(TRIM(E1481)="","Unknown",IFERROR(LEFT(TRIM(E1481),FIND(",",TRIM(E1481))-1),TRIM(E1481)))</f>
        <v>India</v>
      </c>
      <c r="M1481" s="7" t="str">
        <f aca="false">IFERROR(LEFT(J1481,FIND(",",J1481)-1),J1481)</f>
        <v>Action &amp; Adventure</v>
      </c>
      <c r="N1481" s="7" t="n">
        <f aca="false">IF(B1481="Movie",IFERROR(VALUE(LEFT(I1481,FIND(" ",I1481)-1)),""),"")</f>
        <v>129</v>
      </c>
      <c r="O1481" s="7" t="str">
        <f aca="false">IF(B1481="TV Show",IFERROR(VALUE(LEFT(I1481,FIND(" ",I1481)-1)),""),"")</f>
        <v/>
      </c>
      <c r="P1481" s="7" t="n">
        <f aca="false">IF(K1481="","",K1481-G1481)</f>
        <v>8</v>
      </c>
    </row>
    <row r="1482" customFormat="false" ht="15" hidden="false" customHeight="false" outlineLevel="0" collapsed="false">
      <c r="A1482" s="7" t="n">
        <v>70303431</v>
      </c>
      <c r="B1482" s="7" t="s">
        <v>68</v>
      </c>
      <c r="C1482" s="7" t="s">
        <v>3391</v>
      </c>
      <c r="D1482" s="7" t="s">
        <v>3392</v>
      </c>
      <c r="E1482" s="7" t="s">
        <v>27</v>
      </c>
      <c r="F1482" s="7" t="s">
        <v>3318</v>
      </c>
      <c r="G1482" s="7" t="n">
        <v>2014</v>
      </c>
      <c r="H1482" s="7" t="s">
        <v>49</v>
      </c>
      <c r="I1482" s="7" t="s">
        <v>1707</v>
      </c>
      <c r="J1482" s="7" t="s">
        <v>182</v>
      </c>
      <c r="K1482" s="7" t="n">
        <f aca="false">IFERROR(VALUE(RIGHT(TRIM(F1482),4)),"")</f>
        <v>2018</v>
      </c>
      <c r="L1482" s="7" t="str">
        <f aca="false">IF(TRIM(E1482)="","Unknown",IFERROR(LEFT(TRIM(E1482),FIND(",",TRIM(E1482))-1),TRIM(E1482)))</f>
        <v>India</v>
      </c>
      <c r="M1482" s="7" t="str">
        <f aca="false">IFERROR(LEFT(J1482,FIND(",",J1482)-1),J1482)</f>
        <v>Dramas</v>
      </c>
      <c r="N1482" s="7" t="n">
        <f aca="false">IF(B1482="Movie",IFERROR(VALUE(LEFT(I1482,FIND(" ",I1482)-1)),""),"")</f>
        <v>131</v>
      </c>
      <c r="O1482" s="7" t="str">
        <f aca="false">IF(B1482="TV Show",IFERROR(VALUE(LEFT(I1482,FIND(" ",I1482)-1)),""),"")</f>
        <v/>
      </c>
      <c r="P1482" s="7" t="n">
        <f aca="false">IF(K1482="","",K1482-G1482)</f>
        <v>4</v>
      </c>
    </row>
    <row r="1483" customFormat="false" ht="15" hidden="false" customHeight="false" outlineLevel="0" collapsed="false">
      <c r="A1483" s="7" t="n">
        <v>70254351</v>
      </c>
      <c r="B1483" s="7" t="s">
        <v>68</v>
      </c>
      <c r="C1483" s="7" t="s">
        <v>3393</v>
      </c>
      <c r="D1483" s="7" t="s">
        <v>3394</v>
      </c>
      <c r="E1483" s="7" t="s">
        <v>27</v>
      </c>
      <c r="F1483" s="7" t="s">
        <v>3318</v>
      </c>
      <c r="G1483" s="7" t="n">
        <v>2013</v>
      </c>
      <c r="H1483" s="7" t="s">
        <v>49</v>
      </c>
      <c r="I1483" s="7" t="s">
        <v>216</v>
      </c>
      <c r="J1483" s="7" t="s">
        <v>1042</v>
      </c>
      <c r="K1483" s="7" t="n">
        <f aca="false">IFERROR(VALUE(RIGHT(TRIM(F1483),4)),"")</f>
        <v>2018</v>
      </c>
      <c r="L1483" s="7" t="str">
        <f aca="false">IF(TRIM(E1483)="","Unknown",IFERROR(LEFT(TRIM(E1483),FIND(",",TRIM(E1483))-1),TRIM(E1483)))</f>
        <v>India</v>
      </c>
      <c r="M1483" s="7" t="str">
        <f aca="false">IFERROR(LEFT(J1483,FIND(",",J1483)-1),J1483)</f>
        <v>Dramas</v>
      </c>
      <c r="N1483" s="7" t="n">
        <f aca="false">IF(B1483="Movie",IFERROR(VALUE(LEFT(I1483,FIND(" ",I1483)-1)),""),"")</f>
        <v>146</v>
      </c>
      <c r="O1483" s="7" t="str">
        <f aca="false">IF(B1483="TV Show",IFERROR(VALUE(LEFT(I1483,FIND(" ",I1483)-1)),""),"")</f>
        <v/>
      </c>
      <c r="P1483" s="7" t="n">
        <f aca="false">IF(K1483="","",K1483-G1483)</f>
        <v>5</v>
      </c>
    </row>
    <row r="1484" customFormat="false" ht="15" hidden="false" customHeight="false" outlineLevel="0" collapsed="false">
      <c r="A1484" s="7" t="n">
        <v>70275076</v>
      </c>
      <c r="B1484" s="7" t="s">
        <v>68</v>
      </c>
      <c r="C1484" s="7" t="s">
        <v>3395</v>
      </c>
      <c r="D1484" s="7" t="s">
        <v>3396</v>
      </c>
      <c r="E1484" s="7" t="s">
        <v>27</v>
      </c>
      <c r="F1484" s="7" t="s">
        <v>3318</v>
      </c>
      <c r="G1484" s="7" t="n">
        <v>2013</v>
      </c>
      <c r="H1484" s="7" t="s">
        <v>49</v>
      </c>
      <c r="I1484" s="7" t="s">
        <v>869</v>
      </c>
      <c r="J1484" s="7" t="s">
        <v>457</v>
      </c>
      <c r="K1484" s="7" t="n">
        <f aca="false">IFERROR(VALUE(RIGHT(TRIM(F1484),4)),"")</f>
        <v>2018</v>
      </c>
      <c r="L1484" s="7" t="str">
        <f aca="false">IF(TRIM(E1484)="","Unknown",IFERROR(LEFT(TRIM(E1484),FIND(",",TRIM(E1484))-1),TRIM(E1484)))</f>
        <v>India</v>
      </c>
      <c r="M1484" s="7" t="str">
        <f aca="false">IFERROR(LEFT(J1484,FIND(",",J1484)-1),J1484)</f>
        <v>Comedies</v>
      </c>
      <c r="N1484" s="7" t="n">
        <f aca="false">IF(B1484="Movie",IFERROR(VALUE(LEFT(I1484,FIND(" ",I1484)-1)),""),"")</f>
        <v>123</v>
      </c>
      <c r="O1484" s="7" t="str">
        <f aca="false">IF(B1484="TV Show",IFERROR(VALUE(LEFT(I1484,FIND(" ",I1484)-1)),""),"")</f>
        <v/>
      </c>
      <c r="P1484" s="7" t="n">
        <f aca="false">IF(K1484="","",K1484-G1484)</f>
        <v>5</v>
      </c>
    </row>
    <row r="1485" customFormat="false" ht="15" hidden="false" customHeight="false" outlineLevel="0" collapsed="false">
      <c r="A1485" s="7" t="n">
        <v>80189997</v>
      </c>
      <c r="B1485" s="7" t="s">
        <v>68</v>
      </c>
      <c r="C1485" s="7" t="s">
        <v>3397</v>
      </c>
      <c r="D1485" s="7" t="s">
        <v>3398</v>
      </c>
      <c r="E1485" s="7" t="s">
        <v>27</v>
      </c>
      <c r="F1485" s="7" t="s">
        <v>3318</v>
      </c>
      <c r="G1485" s="7" t="n">
        <v>2014</v>
      </c>
      <c r="H1485" s="7" t="s">
        <v>49</v>
      </c>
      <c r="I1485" s="7" t="s">
        <v>727</v>
      </c>
      <c r="J1485" s="7" t="s">
        <v>182</v>
      </c>
      <c r="K1485" s="7" t="n">
        <f aca="false">IFERROR(VALUE(RIGHT(TRIM(F1485),4)),"")</f>
        <v>2018</v>
      </c>
      <c r="L1485" s="7" t="str">
        <f aca="false">IF(TRIM(E1485)="","Unknown",IFERROR(LEFT(TRIM(E1485),FIND(",",TRIM(E1485))-1),TRIM(E1485)))</f>
        <v>India</v>
      </c>
      <c r="M1485" s="7" t="str">
        <f aca="false">IFERROR(LEFT(J1485,FIND(",",J1485)-1),J1485)</f>
        <v>Dramas</v>
      </c>
      <c r="N1485" s="7" t="n">
        <f aca="false">IF(B1485="Movie",IFERROR(VALUE(LEFT(I1485,FIND(" ",I1485)-1)),""),"")</f>
        <v>141</v>
      </c>
      <c r="O1485" s="7" t="str">
        <f aca="false">IF(B1485="TV Show",IFERROR(VALUE(LEFT(I1485,FIND(" ",I1485)-1)),""),"")</f>
        <v/>
      </c>
      <c r="P1485" s="7" t="n">
        <f aca="false">IF(K1485="","",K1485-G1485)</f>
        <v>4</v>
      </c>
    </row>
    <row r="1486" customFormat="false" ht="15" hidden="false" customHeight="false" outlineLevel="0" collapsed="false">
      <c r="A1486" s="7" t="n">
        <v>81015100</v>
      </c>
      <c r="B1486" s="7" t="s">
        <v>68</v>
      </c>
      <c r="C1486" s="7" t="s">
        <v>3399</v>
      </c>
      <c r="D1486" s="7" t="s">
        <v>3400</v>
      </c>
      <c r="E1486" s="7" t="s">
        <v>26</v>
      </c>
      <c r="F1486" s="7" t="s">
        <v>3318</v>
      </c>
      <c r="G1486" s="7" t="n">
        <v>2015</v>
      </c>
      <c r="H1486" s="7" t="s">
        <v>48</v>
      </c>
      <c r="I1486" s="7" t="s">
        <v>272</v>
      </c>
      <c r="J1486" s="7" t="s">
        <v>45</v>
      </c>
      <c r="K1486" s="7" t="n">
        <f aca="false">IFERROR(VALUE(RIGHT(TRIM(F1486),4)),"")</f>
        <v>2018</v>
      </c>
      <c r="L1486" s="7" t="str">
        <f aca="false">IF(TRIM(E1486)="","Unknown",IFERROR(LEFT(TRIM(E1486),FIND(",",TRIM(E1486))-1),TRIM(E1486)))</f>
        <v>United States</v>
      </c>
      <c r="M1486" s="7" t="str">
        <f aca="false">IFERROR(LEFT(J1486,FIND(",",J1486)-1),J1486)</f>
        <v>Stand-Up Comedy</v>
      </c>
      <c r="N1486" s="7" t="n">
        <f aca="false">IF(B1486="Movie",IFERROR(VALUE(LEFT(I1486,FIND(" ",I1486)-1)),""),"")</f>
        <v>93</v>
      </c>
      <c r="O1486" s="7" t="str">
        <f aca="false">IF(B1486="TV Show",IFERROR(VALUE(LEFT(I1486,FIND(" ",I1486)-1)),""),"")</f>
        <v/>
      </c>
      <c r="P1486" s="7" t="n">
        <f aca="false">IF(K1486="","",K1486-G1486)</f>
        <v>3</v>
      </c>
    </row>
    <row r="1487" customFormat="false" ht="15" hidden="false" customHeight="false" outlineLevel="0" collapsed="false">
      <c r="A1487" s="7" t="n">
        <v>80076581</v>
      </c>
      <c r="B1487" s="7" t="s">
        <v>68</v>
      </c>
      <c r="C1487" s="7" t="s">
        <v>3401</v>
      </c>
      <c r="D1487" s="7" t="s">
        <v>3402</v>
      </c>
      <c r="E1487" s="7" t="s">
        <v>26</v>
      </c>
      <c r="F1487" s="7" t="s">
        <v>3318</v>
      </c>
      <c r="G1487" s="7" t="n">
        <v>2015</v>
      </c>
      <c r="H1487" s="7" t="s">
        <v>50</v>
      </c>
      <c r="I1487" s="7" t="s">
        <v>470</v>
      </c>
      <c r="J1487" s="7" t="s">
        <v>39</v>
      </c>
      <c r="K1487" s="7" t="n">
        <f aca="false">IFERROR(VALUE(RIGHT(TRIM(F1487),4)),"")</f>
        <v>2018</v>
      </c>
      <c r="L1487" s="7" t="str">
        <f aca="false">IF(TRIM(E1487)="","Unknown",IFERROR(LEFT(TRIM(E1487),FIND(",",TRIM(E1487))-1),TRIM(E1487)))</f>
        <v>United States</v>
      </c>
      <c r="M1487" s="7" t="str">
        <f aca="false">IFERROR(LEFT(J1487,FIND(",",J1487)-1),J1487)</f>
        <v>Documentaries</v>
      </c>
      <c r="N1487" s="7" t="n">
        <f aca="false">IF(B1487="Movie",IFERROR(VALUE(LEFT(I1487,FIND(" ",I1487)-1)),""),"")</f>
        <v>91</v>
      </c>
      <c r="O1487" s="7" t="str">
        <f aca="false">IF(B1487="TV Show",IFERROR(VALUE(LEFT(I1487,FIND(" ",I1487)-1)),""),"")</f>
        <v/>
      </c>
      <c r="P1487" s="7" t="n">
        <f aca="false">IF(K1487="","",K1487-G1487)</f>
        <v>3</v>
      </c>
    </row>
    <row r="1488" customFormat="false" ht="15" hidden="false" customHeight="false" outlineLevel="0" collapsed="false">
      <c r="A1488" s="7" t="n">
        <v>81014239</v>
      </c>
      <c r="B1488" s="7" t="s">
        <v>78</v>
      </c>
      <c r="C1488" s="7" t="s">
        <v>3403</v>
      </c>
      <c r="F1488" s="7" t="s">
        <v>3318</v>
      </c>
      <c r="G1488" s="7" t="n">
        <v>2012</v>
      </c>
      <c r="H1488" s="7" t="s">
        <v>50</v>
      </c>
      <c r="I1488" s="7" t="s">
        <v>82</v>
      </c>
      <c r="J1488" s="7" t="s">
        <v>1574</v>
      </c>
      <c r="K1488" s="7" t="n">
        <f aca="false">IFERROR(VALUE(RIGHT(TRIM(F1488),4)),"")</f>
        <v>2018</v>
      </c>
      <c r="L1488" s="7" t="str">
        <f aca="false">IF(TRIM(E1488)="","Unknown",IFERROR(LEFT(TRIM(E1488),FIND(",",TRIM(E1488))-1),TRIM(E1488)))</f>
        <v>Unknown</v>
      </c>
      <c r="M1488" s="7" t="str">
        <f aca="false">IFERROR(LEFT(J1488,FIND(",",J1488)-1),J1488)</f>
        <v>British TV Shows</v>
      </c>
      <c r="N1488" s="7" t="str">
        <f aca="false">IF(B1488="Movie",IFERROR(VALUE(LEFT(I1488,FIND(" ",I1488)-1)),""),"")</f>
        <v/>
      </c>
      <c r="O1488" s="7" t="n">
        <f aca="false">IF(B1488="TV Show",IFERROR(VALUE(LEFT(I1488,FIND(" ",I1488)-1)),""),"")</f>
        <v>1</v>
      </c>
      <c r="P1488" s="7" t="n">
        <f aca="false">IF(K1488="","",K1488-G1488)</f>
        <v>6</v>
      </c>
    </row>
    <row r="1489" customFormat="false" ht="15" hidden="false" customHeight="false" outlineLevel="0" collapsed="false">
      <c r="A1489" s="7" t="n">
        <v>81025404</v>
      </c>
      <c r="B1489" s="7" t="s">
        <v>68</v>
      </c>
      <c r="C1489" s="7" t="s">
        <v>3404</v>
      </c>
      <c r="D1489" s="7" t="s">
        <v>3405</v>
      </c>
      <c r="E1489" s="7" t="s">
        <v>28</v>
      </c>
      <c r="F1489" s="7" t="s">
        <v>3318</v>
      </c>
      <c r="G1489" s="7" t="n">
        <v>2017</v>
      </c>
      <c r="H1489" s="7" t="s">
        <v>226</v>
      </c>
      <c r="I1489" s="7" t="s">
        <v>114</v>
      </c>
      <c r="J1489" s="7" t="s">
        <v>39</v>
      </c>
      <c r="K1489" s="7" t="n">
        <f aca="false">IFERROR(VALUE(RIGHT(TRIM(F1489),4)),"")</f>
        <v>2018</v>
      </c>
      <c r="L1489" s="7" t="str">
        <f aca="false">IF(TRIM(E1489)="","Unknown",IFERROR(LEFT(TRIM(E1489),FIND(",",TRIM(E1489))-1),TRIM(E1489)))</f>
        <v>United Kingdom</v>
      </c>
      <c r="M1489" s="7" t="str">
        <f aca="false">IFERROR(LEFT(J1489,FIND(",",J1489)-1),J1489)</f>
        <v>Documentaries</v>
      </c>
      <c r="N1489" s="7" t="n">
        <f aca="false">IF(B1489="Movie",IFERROR(VALUE(LEFT(I1489,FIND(" ",I1489)-1)),""),"")</f>
        <v>58</v>
      </c>
      <c r="O1489" s="7" t="str">
        <f aca="false">IF(B1489="TV Show",IFERROR(VALUE(LEFT(I1489,FIND(" ",I1489)-1)),""),"")</f>
        <v/>
      </c>
      <c r="P1489" s="7" t="n">
        <f aca="false">IF(K1489="","",K1489-G1489)</f>
        <v>1</v>
      </c>
    </row>
    <row r="1490" customFormat="false" ht="15" hidden="false" customHeight="false" outlineLevel="0" collapsed="false">
      <c r="A1490" s="7" t="n">
        <v>80182949</v>
      </c>
      <c r="B1490" s="7" t="s">
        <v>68</v>
      </c>
      <c r="C1490" s="7" t="s">
        <v>3406</v>
      </c>
      <c r="D1490" s="7" t="s">
        <v>3407</v>
      </c>
      <c r="E1490" s="7" t="s">
        <v>26</v>
      </c>
      <c r="F1490" s="7" t="s">
        <v>3318</v>
      </c>
      <c r="G1490" s="7" t="n">
        <v>2017</v>
      </c>
      <c r="H1490" s="7" t="s">
        <v>48</v>
      </c>
      <c r="I1490" s="7" t="s">
        <v>470</v>
      </c>
      <c r="J1490" s="7" t="s">
        <v>1211</v>
      </c>
      <c r="K1490" s="7" t="n">
        <f aca="false">IFERROR(VALUE(RIGHT(TRIM(F1490),4)),"")</f>
        <v>2018</v>
      </c>
      <c r="L1490" s="7" t="str">
        <f aca="false">IF(TRIM(E1490)="","Unknown",IFERROR(LEFT(TRIM(E1490),FIND(",",TRIM(E1490))-1),TRIM(E1490)))</f>
        <v>United States</v>
      </c>
      <c r="M1490" s="7" t="str">
        <f aca="false">IFERROR(LEFT(J1490,FIND(",",J1490)-1),J1490)</f>
        <v>Documentaries</v>
      </c>
      <c r="N1490" s="7" t="n">
        <f aca="false">IF(B1490="Movie",IFERROR(VALUE(LEFT(I1490,FIND(" ",I1490)-1)),""),"")</f>
        <v>91</v>
      </c>
      <c r="O1490" s="7" t="str">
        <f aca="false">IF(B1490="TV Show",IFERROR(VALUE(LEFT(I1490,FIND(" ",I1490)-1)),""),"")</f>
        <v/>
      </c>
      <c r="P1490" s="7" t="n">
        <f aca="false">IF(K1490="","",K1490-G1490)</f>
        <v>1</v>
      </c>
    </row>
    <row r="1491" customFormat="false" ht="15" hidden="false" customHeight="false" outlineLevel="0" collapsed="false">
      <c r="A1491" s="7" t="n">
        <v>70060017</v>
      </c>
      <c r="B1491" s="7" t="s">
        <v>68</v>
      </c>
      <c r="C1491" s="7" t="s">
        <v>3408</v>
      </c>
      <c r="D1491" s="7" t="s">
        <v>3409</v>
      </c>
      <c r="E1491" s="7" t="s">
        <v>3410</v>
      </c>
      <c r="F1491" s="7" t="s">
        <v>3318</v>
      </c>
      <c r="G1491" s="7" t="n">
        <v>2007</v>
      </c>
      <c r="H1491" s="7" t="s">
        <v>54</v>
      </c>
      <c r="I1491" s="7" t="s">
        <v>168</v>
      </c>
      <c r="J1491" s="7" t="s">
        <v>42</v>
      </c>
      <c r="K1491" s="7" t="n">
        <f aca="false">IFERROR(VALUE(RIGHT(TRIM(F1491),4)),"")</f>
        <v>2018</v>
      </c>
      <c r="L1491" s="7" t="str">
        <f aca="false">IF(TRIM(E1491)="","Unknown",IFERROR(LEFT(TRIM(E1491),FIND(",",TRIM(E1491))-1),TRIM(E1491)))</f>
        <v>New Zealand</v>
      </c>
      <c r="M1491" s="7" t="str">
        <f aca="false">IFERROR(LEFT(J1491,FIND(",",J1491)-1),J1491)</f>
        <v>Children &amp; Family Movies</v>
      </c>
      <c r="N1491" s="7" t="n">
        <f aca="false">IF(B1491="Movie",IFERROR(VALUE(LEFT(I1491,FIND(" ",I1491)-1)),""),"")</f>
        <v>112</v>
      </c>
      <c r="O1491" s="7" t="str">
        <f aca="false">IF(B1491="TV Show",IFERROR(VALUE(LEFT(I1491,FIND(" ",I1491)-1)),""),"")</f>
        <v/>
      </c>
      <c r="P1491" s="7" t="n">
        <f aca="false">IF(K1491="","",K1491-G1491)</f>
        <v>11</v>
      </c>
    </row>
    <row r="1492" customFormat="false" ht="15" hidden="false" customHeight="false" outlineLevel="0" collapsed="false">
      <c r="A1492" s="7" t="n">
        <v>70266675</v>
      </c>
      <c r="B1492" s="7" t="s">
        <v>68</v>
      </c>
      <c r="C1492" s="7" t="s">
        <v>3411</v>
      </c>
      <c r="D1492" s="7" t="s">
        <v>3412</v>
      </c>
      <c r="E1492" s="7" t="s">
        <v>3413</v>
      </c>
      <c r="F1492" s="7" t="s">
        <v>3318</v>
      </c>
      <c r="G1492" s="7" t="n">
        <v>2014</v>
      </c>
      <c r="H1492" s="7" t="s">
        <v>52</v>
      </c>
      <c r="I1492" s="7" t="s">
        <v>519</v>
      </c>
      <c r="J1492" s="7" t="s">
        <v>2034</v>
      </c>
      <c r="K1492" s="7" t="n">
        <f aca="false">IFERROR(VALUE(RIGHT(TRIM(F1492),4)),"")</f>
        <v>2018</v>
      </c>
      <c r="L1492" s="7" t="str">
        <f aca="false">IF(TRIM(E1492)="","Unknown",IFERROR(LEFT(TRIM(E1492),FIND(",",TRIM(E1492))-1),TRIM(E1492)))</f>
        <v>United Kingdom</v>
      </c>
      <c r="M1492" s="7" t="str">
        <f aca="false">IFERROR(LEFT(J1492,FIND(",",J1492)-1),J1492)</f>
        <v>Sci-Fi &amp; Fantasy</v>
      </c>
      <c r="N1492" s="7" t="n">
        <f aca="false">IF(B1492="Movie",IFERROR(VALUE(LEFT(I1492,FIND(" ",I1492)-1)),""),"")</f>
        <v>119</v>
      </c>
      <c r="O1492" s="7" t="str">
        <f aca="false">IF(B1492="TV Show",IFERROR(VALUE(LEFT(I1492,FIND(" ",I1492)-1)),""),"")</f>
        <v/>
      </c>
      <c r="P1492" s="7" t="n">
        <f aca="false">IF(K1492="","",K1492-G1492)</f>
        <v>4</v>
      </c>
    </row>
    <row r="1493" customFormat="false" ht="15" hidden="false" customHeight="false" outlineLevel="0" collapsed="false">
      <c r="A1493" s="7" t="n">
        <v>80155792</v>
      </c>
      <c r="B1493" s="7" t="s">
        <v>68</v>
      </c>
      <c r="C1493" s="7" t="s">
        <v>3414</v>
      </c>
      <c r="D1493" s="7" t="s">
        <v>3415</v>
      </c>
      <c r="E1493" s="7" t="s">
        <v>1672</v>
      </c>
      <c r="F1493" s="7" t="s">
        <v>3318</v>
      </c>
      <c r="G1493" s="7" t="n">
        <v>2016</v>
      </c>
      <c r="H1493" s="7" t="s">
        <v>48</v>
      </c>
      <c r="I1493" s="7" t="s">
        <v>173</v>
      </c>
      <c r="J1493" s="7" t="s">
        <v>188</v>
      </c>
      <c r="K1493" s="7" t="n">
        <f aca="false">IFERROR(VALUE(RIGHT(TRIM(F1493),4)),"")</f>
        <v>2018</v>
      </c>
      <c r="L1493" s="7" t="str">
        <f aca="false">IF(TRIM(E1493)="","Unknown",IFERROR(LEFT(TRIM(E1493),FIND(",",TRIM(E1493))-1),TRIM(E1493)))</f>
        <v>South Africa</v>
      </c>
      <c r="M1493" s="7" t="str">
        <f aca="false">IFERROR(LEFT(J1493,FIND(",",J1493)-1),J1493)</f>
        <v>Dramas</v>
      </c>
      <c r="N1493" s="7" t="n">
        <f aca="false">IF(B1493="Movie",IFERROR(VALUE(LEFT(I1493,FIND(" ",I1493)-1)),""),"")</f>
        <v>106</v>
      </c>
      <c r="O1493" s="7" t="str">
        <f aca="false">IF(B1493="TV Show",IFERROR(VALUE(LEFT(I1493,FIND(" ",I1493)-1)),""),"")</f>
        <v/>
      </c>
      <c r="P1493" s="7" t="n">
        <f aca="false">IF(K1493="","",K1493-G1493)</f>
        <v>2</v>
      </c>
    </row>
    <row r="1494" customFormat="false" ht="15" hidden="false" customHeight="false" outlineLevel="0" collapsed="false">
      <c r="A1494" s="7" t="n">
        <v>70108590</v>
      </c>
      <c r="B1494" s="7" t="s">
        <v>68</v>
      </c>
      <c r="C1494" s="7" t="s">
        <v>3416</v>
      </c>
      <c r="D1494" s="7" t="s">
        <v>3417</v>
      </c>
      <c r="E1494" s="7" t="s">
        <v>27</v>
      </c>
      <c r="F1494" s="7" t="s">
        <v>3318</v>
      </c>
      <c r="G1494" s="7" t="n">
        <v>2008</v>
      </c>
      <c r="H1494" s="7" t="s">
        <v>50</v>
      </c>
      <c r="I1494" s="7" t="s">
        <v>1707</v>
      </c>
      <c r="J1494" s="7" t="s">
        <v>217</v>
      </c>
      <c r="K1494" s="7" t="n">
        <f aca="false">IFERROR(VALUE(RIGHT(TRIM(F1494),4)),"")</f>
        <v>2018</v>
      </c>
      <c r="L1494" s="7" t="str">
        <f aca="false">IF(TRIM(E1494)="","Unknown",IFERROR(LEFT(TRIM(E1494),FIND(",",TRIM(E1494))-1),TRIM(E1494)))</f>
        <v>India</v>
      </c>
      <c r="M1494" s="7" t="str">
        <f aca="false">IFERROR(LEFT(J1494,FIND(",",J1494)-1),J1494)</f>
        <v>Comedies</v>
      </c>
      <c r="N1494" s="7" t="n">
        <f aca="false">IF(B1494="Movie",IFERROR(VALUE(LEFT(I1494,FIND(" ",I1494)-1)),""),"")</f>
        <v>131</v>
      </c>
      <c r="O1494" s="7" t="str">
        <f aca="false">IF(B1494="TV Show",IFERROR(VALUE(LEFT(I1494,FIND(" ",I1494)-1)),""),"")</f>
        <v/>
      </c>
      <c r="P1494" s="7" t="n">
        <f aca="false">IF(K1494="","",K1494-G1494)</f>
        <v>10</v>
      </c>
    </row>
    <row r="1495" customFormat="false" ht="15" hidden="false" customHeight="false" outlineLevel="0" collapsed="false">
      <c r="A1495" s="7" t="n">
        <v>81024728</v>
      </c>
      <c r="B1495" s="7" t="s">
        <v>68</v>
      </c>
      <c r="C1495" s="7" t="s">
        <v>3418</v>
      </c>
      <c r="E1495" s="7" t="s">
        <v>27</v>
      </c>
      <c r="F1495" s="7" t="s">
        <v>3318</v>
      </c>
      <c r="G1495" s="7" t="n">
        <v>2014</v>
      </c>
      <c r="H1495" s="7" t="s">
        <v>49</v>
      </c>
      <c r="I1495" s="7" t="s">
        <v>111</v>
      </c>
      <c r="J1495" s="7" t="s">
        <v>198</v>
      </c>
      <c r="K1495" s="7" t="n">
        <f aca="false">IFERROR(VALUE(RIGHT(TRIM(F1495),4)),"")</f>
        <v>2018</v>
      </c>
      <c r="L1495" s="7" t="str">
        <f aca="false">IF(TRIM(E1495)="","Unknown",IFERROR(LEFT(TRIM(E1495),FIND(",",TRIM(E1495))-1),TRIM(E1495)))</f>
        <v>India</v>
      </c>
      <c r="M1495" s="7" t="str">
        <f aca="false">IFERROR(LEFT(J1495,FIND(",",J1495)-1),J1495)</f>
        <v>Comedies</v>
      </c>
      <c r="N1495" s="7" t="n">
        <f aca="false">IF(B1495="Movie",IFERROR(VALUE(LEFT(I1495,FIND(" ",I1495)-1)),""),"")</f>
        <v>95</v>
      </c>
      <c r="O1495" s="7" t="str">
        <f aca="false">IF(B1495="TV Show",IFERROR(VALUE(LEFT(I1495,FIND(" ",I1495)-1)),""),"")</f>
        <v/>
      </c>
      <c r="P1495" s="7" t="n">
        <f aca="false">IF(K1495="","",K1495-G1495)</f>
        <v>4</v>
      </c>
    </row>
    <row r="1496" customFormat="false" ht="15" hidden="false" customHeight="false" outlineLevel="0" collapsed="false">
      <c r="A1496" s="7" t="n">
        <v>70185141</v>
      </c>
      <c r="B1496" s="7" t="s">
        <v>68</v>
      </c>
      <c r="C1496" s="7" t="s">
        <v>3419</v>
      </c>
      <c r="D1496" s="7" t="s">
        <v>3420</v>
      </c>
      <c r="E1496" s="7" t="s">
        <v>27</v>
      </c>
      <c r="F1496" s="7" t="s">
        <v>3318</v>
      </c>
      <c r="G1496" s="7" t="n">
        <v>2011</v>
      </c>
      <c r="H1496" s="7" t="s">
        <v>54</v>
      </c>
      <c r="I1496" s="7" t="s">
        <v>417</v>
      </c>
      <c r="J1496" s="7" t="s">
        <v>295</v>
      </c>
      <c r="K1496" s="7" t="n">
        <f aca="false">IFERROR(VALUE(RIGHT(TRIM(F1496),4)),"")</f>
        <v>2018</v>
      </c>
      <c r="L1496" s="7" t="str">
        <f aca="false">IF(TRIM(E1496)="","Unknown",IFERROR(LEFT(TRIM(E1496),FIND(",",TRIM(E1496))-1),TRIM(E1496)))</f>
        <v>India</v>
      </c>
      <c r="M1496" s="7" t="str">
        <f aca="false">IFERROR(LEFT(J1496,FIND(",",J1496)-1),J1496)</f>
        <v>Children &amp; Family Movies</v>
      </c>
      <c r="N1496" s="7" t="n">
        <f aca="false">IF(B1496="Movie",IFERROR(VALUE(LEFT(I1496,FIND(" ",I1496)-1)),""),"")</f>
        <v>104</v>
      </c>
      <c r="O1496" s="7" t="str">
        <f aca="false">IF(B1496="TV Show",IFERROR(VALUE(LEFT(I1496,FIND(" ",I1496)-1)),""),"")</f>
        <v/>
      </c>
      <c r="P1496" s="7" t="n">
        <f aca="false">IF(K1496="","",K1496-G1496)</f>
        <v>7</v>
      </c>
    </row>
    <row r="1497" customFormat="false" ht="15" hidden="false" customHeight="false" outlineLevel="0" collapsed="false">
      <c r="A1497" s="7" t="n">
        <v>80201826</v>
      </c>
      <c r="B1497" s="7" t="s">
        <v>68</v>
      </c>
      <c r="C1497" s="7" t="s">
        <v>3421</v>
      </c>
      <c r="D1497" s="7" t="s">
        <v>3422</v>
      </c>
      <c r="E1497" s="7" t="s">
        <v>27</v>
      </c>
      <c r="F1497" s="7" t="s">
        <v>3423</v>
      </c>
      <c r="G1497" s="7" t="n">
        <v>2014</v>
      </c>
      <c r="H1497" s="7" t="s">
        <v>48</v>
      </c>
      <c r="I1497" s="7" t="s">
        <v>330</v>
      </c>
      <c r="J1497" s="7" t="s">
        <v>1014</v>
      </c>
      <c r="K1497" s="7" t="n">
        <f aca="false">IFERROR(VALUE(RIGHT(TRIM(F1497),4)),"")</f>
        <v>2017</v>
      </c>
      <c r="L1497" s="7" t="str">
        <f aca="false">IF(TRIM(E1497)="","Unknown",IFERROR(LEFT(TRIM(E1497),FIND(",",TRIM(E1497))-1),TRIM(E1497)))</f>
        <v>India</v>
      </c>
      <c r="M1497" s="7" t="str">
        <f aca="false">IFERROR(LEFT(J1497,FIND(",",J1497)-1),J1497)</f>
        <v>Horror Movies</v>
      </c>
      <c r="N1497" s="7" t="n">
        <f aca="false">IF(B1497="Movie",IFERROR(VALUE(LEFT(I1497,FIND(" ",I1497)-1)),""),"")</f>
        <v>103</v>
      </c>
      <c r="O1497" s="7" t="str">
        <f aca="false">IF(B1497="TV Show",IFERROR(VALUE(LEFT(I1497,FIND(" ",I1497)-1)),""),"")</f>
        <v/>
      </c>
      <c r="P1497" s="7" t="n">
        <f aca="false">IF(K1497="","",K1497-G1497)</f>
        <v>3</v>
      </c>
    </row>
    <row r="1498" customFormat="false" ht="15" hidden="false" customHeight="false" outlineLevel="0" collapsed="false">
      <c r="A1498" s="7" t="n">
        <v>80158388</v>
      </c>
      <c r="B1498" s="7" t="s">
        <v>68</v>
      </c>
      <c r="C1498" s="7" t="s">
        <v>3424</v>
      </c>
      <c r="D1498" s="7" t="s">
        <v>3425</v>
      </c>
      <c r="E1498" s="7" t="s">
        <v>27</v>
      </c>
      <c r="F1498" s="7" t="s">
        <v>3423</v>
      </c>
      <c r="G1498" s="7" t="n">
        <v>1978</v>
      </c>
      <c r="H1498" s="7" t="s">
        <v>49</v>
      </c>
      <c r="I1498" s="7" t="s">
        <v>727</v>
      </c>
      <c r="J1498" s="7" t="s">
        <v>112</v>
      </c>
      <c r="K1498" s="7" t="n">
        <f aca="false">IFERROR(VALUE(RIGHT(TRIM(F1498),4)),"")</f>
        <v>2017</v>
      </c>
      <c r="L1498" s="7" t="str">
        <f aca="false">IF(TRIM(E1498)="","Unknown",IFERROR(LEFT(TRIM(E1498),FIND(",",TRIM(E1498))-1),TRIM(E1498)))</f>
        <v>India</v>
      </c>
      <c r="M1498" s="7" t="str">
        <f aca="false">IFERROR(LEFT(J1498,FIND(",",J1498)-1),J1498)</f>
        <v>Action &amp; Adventure</v>
      </c>
      <c r="N1498" s="7" t="n">
        <f aca="false">IF(B1498="Movie",IFERROR(VALUE(LEFT(I1498,FIND(" ",I1498)-1)),""),"")</f>
        <v>141</v>
      </c>
      <c r="O1498" s="7" t="str">
        <f aca="false">IF(B1498="TV Show",IFERROR(VALUE(LEFT(I1498,FIND(" ",I1498)-1)),""),"")</f>
        <v/>
      </c>
      <c r="P1498" s="7" t="n">
        <f aca="false">IF(K1498="","",K1498-G1498)</f>
        <v>39</v>
      </c>
    </row>
    <row r="1499" customFormat="false" ht="15" hidden="false" customHeight="false" outlineLevel="0" collapsed="false">
      <c r="A1499" s="7" t="n">
        <v>80203778</v>
      </c>
      <c r="B1499" s="7" t="s">
        <v>68</v>
      </c>
      <c r="C1499" s="7" t="s">
        <v>3426</v>
      </c>
      <c r="D1499" s="7" t="s">
        <v>3427</v>
      </c>
      <c r="E1499" s="7" t="s">
        <v>27</v>
      </c>
      <c r="F1499" s="7" t="s">
        <v>3423</v>
      </c>
      <c r="G1499" s="7" t="n">
        <v>2016</v>
      </c>
      <c r="H1499" s="7" t="s">
        <v>48</v>
      </c>
      <c r="I1499" s="7" t="s">
        <v>1405</v>
      </c>
      <c r="J1499" s="7" t="s">
        <v>240</v>
      </c>
      <c r="K1499" s="7" t="n">
        <f aca="false">IFERROR(VALUE(RIGHT(TRIM(F1499),4)),"")</f>
        <v>2017</v>
      </c>
      <c r="L1499" s="7" t="str">
        <f aca="false">IF(TRIM(E1499)="","Unknown",IFERROR(LEFT(TRIM(E1499),FIND(",",TRIM(E1499))-1),TRIM(E1499)))</f>
        <v>India</v>
      </c>
      <c r="M1499" s="7" t="str">
        <f aca="false">IFERROR(LEFT(J1499,FIND(",",J1499)-1),J1499)</f>
        <v>Dramas</v>
      </c>
      <c r="N1499" s="7" t="n">
        <f aca="false">IF(B1499="Movie",IFERROR(VALUE(LEFT(I1499,FIND(" ",I1499)-1)),""),"")</f>
        <v>115</v>
      </c>
      <c r="O1499" s="7" t="str">
        <f aca="false">IF(B1499="TV Show",IFERROR(VALUE(LEFT(I1499,FIND(" ",I1499)-1)),""),"")</f>
        <v/>
      </c>
      <c r="P1499" s="7" t="n">
        <f aca="false">IF(K1499="","",K1499-G1499)</f>
        <v>1</v>
      </c>
    </row>
    <row r="1500" customFormat="false" ht="15" hidden="false" customHeight="false" outlineLevel="0" collapsed="false">
      <c r="A1500" s="7" t="n">
        <v>80201820</v>
      </c>
      <c r="B1500" s="7" t="s">
        <v>68</v>
      </c>
      <c r="C1500" s="7" t="s">
        <v>3428</v>
      </c>
      <c r="D1500" s="7" t="s">
        <v>3429</v>
      </c>
      <c r="E1500" s="7" t="s">
        <v>27</v>
      </c>
      <c r="F1500" s="7" t="s">
        <v>3423</v>
      </c>
      <c r="G1500" s="7" t="n">
        <v>2017</v>
      </c>
      <c r="H1500" s="7" t="s">
        <v>50</v>
      </c>
      <c r="I1500" s="7" t="s">
        <v>2551</v>
      </c>
      <c r="J1500" s="7" t="s">
        <v>1000</v>
      </c>
      <c r="K1500" s="7" t="n">
        <f aca="false">IFERROR(VALUE(RIGHT(TRIM(F1500),4)),"")</f>
        <v>2017</v>
      </c>
      <c r="L1500" s="7" t="str">
        <f aca="false">IF(TRIM(E1500)="","Unknown",IFERROR(LEFT(TRIM(E1500),FIND(",",TRIM(E1500))-1),TRIM(E1500)))</f>
        <v>India</v>
      </c>
      <c r="M1500" s="7" t="str">
        <f aca="false">IFERROR(LEFT(J1500,FIND(",",J1500)-1),J1500)</f>
        <v>Comedies</v>
      </c>
      <c r="N1500" s="7" t="n">
        <f aca="false">IF(B1500="Movie",IFERROR(VALUE(LEFT(I1500,FIND(" ",I1500)-1)),""),"")</f>
        <v>120</v>
      </c>
      <c r="O1500" s="7" t="str">
        <f aca="false">IF(B1500="TV Show",IFERROR(VALUE(LEFT(I1500,FIND(" ",I1500)-1)),""),"")</f>
        <v/>
      </c>
      <c r="P1500" s="7" t="n">
        <f aca="false">IF(K1500="","",K1500-G1500)</f>
        <v>0</v>
      </c>
    </row>
    <row r="1501" customFormat="false" ht="15" hidden="false" customHeight="false" outlineLevel="0" collapsed="false">
      <c r="A1501" s="7" t="n">
        <v>80103312</v>
      </c>
      <c r="B1501" s="7" t="s">
        <v>68</v>
      </c>
      <c r="C1501" s="7" t="s">
        <v>3430</v>
      </c>
      <c r="D1501" s="7" t="s">
        <v>3431</v>
      </c>
      <c r="E1501" s="7" t="s">
        <v>33</v>
      </c>
      <c r="F1501" s="7" t="s">
        <v>3423</v>
      </c>
      <c r="G1501" s="7" t="n">
        <v>2016</v>
      </c>
      <c r="H1501" s="7" t="s">
        <v>48</v>
      </c>
      <c r="I1501" s="7" t="s">
        <v>417</v>
      </c>
      <c r="J1501" s="7" t="s">
        <v>358</v>
      </c>
      <c r="K1501" s="7" t="n">
        <f aca="false">IFERROR(VALUE(RIGHT(TRIM(F1501),4)),"")</f>
        <v>2017</v>
      </c>
      <c r="L1501" s="7" t="str">
        <f aca="false">IF(TRIM(E1501)="","Unknown",IFERROR(LEFT(TRIM(E1501),FIND(",",TRIM(E1501))-1),TRIM(E1501)))</f>
        <v>Spain</v>
      </c>
      <c r="M1501" s="7" t="str">
        <f aca="false">IFERROR(LEFT(J1501,FIND(",",J1501)-1),J1501)</f>
        <v>International Movies</v>
      </c>
      <c r="N1501" s="7" t="n">
        <f aca="false">IF(B1501="Movie",IFERROR(VALUE(LEFT(I1501,FIND(" ",I1501)-1)),""),"")</f>
        <v>104</v>
      </c>
      <c r="O1501" s="7" t="str">
        <f aca="false">IF(B1501="TV Show",IFERROR(VALUE(LEFT(I1501,FIND(" ",I1501)-1)),""),"")</f>
        <v/>
      </c>
      <c r="P1501" s="7" t="n">
        <f aca="false">IF(K1501="","",K1501-G1501)</f>
        <v>1</v>
      </c>
    </row>
    <row r="1502" customFormat="false" ht="15" hidden="false" customHeight="false" outlineLevel="0" collapsed="false">
      <c r="A1502" s="7" t="n">
        <v>80205563</v>
      </c>
      <c r="B1502" s="7" t="s">
        <v>68</v>
      </c>
      <c r="C1502" s="7" t="s">
        <v>3432</v>
      </c>
      <c r="D1502" s="7" t="s">
        <v>3433</v>
      </c>
      <c r="E1502" s="7" t="s">
        <v>30</v>
      </c>
      <c r="F1502" s="7" t="s">
        <v>3423</v>
      </c>
      <c r="G1502" s="7" t="n">
        <v>2013</v>
      </c>
      <c r="H1502" s="7" t="s">
        <v>119</v>
      </c>
      <c r="I1502" s="7" t="s">
        <v>1727</v>
      </c>
      <c r="J1502" s="7" t="s">
        <v>3434</v>
      </c>
      <c r="K1502" s="7" t="n">
        <f aca="false">IFERROR(VALUE(RIGHT(TRIM(F1502),4)),"")</f>
        <v>2017</v>
      </c>
      <c r="L1502" s="7" t="str">
        <f aca="false">IF(TRIM(E1502)="","Unknown",IFERROR(LEFT(TRIM(E1502),FIND(",",TRIM(E1502))-1),TRIM(E1502)))</f>
        <v>Japan</v>
      </c>
      <c r="M1502" s="7" t="str">
        <f aca="false">IFERROR(LEFT(J1502,FIND(",",J1502)-1),J1502)</f>
        <v>International Movies</v>
      </c>
      <c r="N1502" s="7" t="n">
        <f aca="false">IF(B1502="Movie",IFERROR(VALUE(LEFT(I1502,FIND(" ",I1502)-1)),""),"")</f>
        <v>22</v>
      </c>
      <c r="O1502" s="7" t="str">
        <f aca="false">IF(B1502="TV Show",IFERROR(VALUE(LEFT(I1502,FIND(" ",I1502)-1)),""),"")</f>
        <v/>
      </c>
      <c r="P1502" s="7" t="n">
        <f aca="false">IF(K1502="","",K1502-G1502)</f>
        <v>4</v>
      </c>
    </row>
    <row r="1503" customFormat="false" ht="15" hidden="false" customHeight="false" outlineLevel="0" collapsed="false">
      <c r="A1503" s="7" t="n">
        <v>80202605</v>
      </c>
      <c r="B1503" s="7" t="s">
        <v>68</v>
      </c>
      <c r="C1503" s="7" t="s">
        <v>3435</v>
      </c>
      <c r="D1503" s="7" t="s">
        <v>3436</v>
      </c>
      <c r="E1503" s="7" t="s">
        <v>960</v>
      </c>
      <c r="F1503" s="7" t="s">
        <v>3423</v>
      </c>
      <c r="G1503" s="7" t="n">
        <v>2016</v>
      </c>
      <c r="H1503" s="7" t="s">
        <v>50</v>
      </c>
      <c r="I1503" s="7" t="s">
        <v>451</v>
      </c>
      <c r="J1503" s="7" t="s">
        <v>112</v>
      </c>
      <c r="K1503" s="7" t="n">
        <f aca="false">IFERROR(VALUE(RIGHT(TRIM(F1503),4)),"")</f>
        <v>2017</v>
      </c>
      <c r="L1503" s="7" t="str">
        <f aca="false">IF(TRIM(E1503)="","Unknown",IFERROR(LEFT(TRIM(E1503),FIND(",",TRIM(E1503))-1),TRIM(E1503)))</f>
        <v>United Arab Emirates</v>
      </c>
      <c r="M1503" s="7" t="str">
        <f aca="false">IFERROR(LEFT(J1503,FIND(",",J1503)-1),J1503)</f>
        <v>Action &amp; Adventure</v>
      </c>
      <c r="N1503" s="7" t="n">
        <f aca="false">IF(B1503="Movie",IFERROR(VALUE(LEFT(I1503,FIND(" ",I1503)-1)),""),"")</f>
        <v>97</v>
      </c>
      <c r="O1503" s="7" t="str">
        <f aca="false">IF(B1503="TV Show",IFERROR(VALUE(LEFT(I1503,FIND(" ",I1503)-1)),""),"")</f>
        <v/>
      </c>
      <c r="P1503" s="7" t="n">
        <f aca="false">IF(K1503="","",K1503-G1503)</f>
        <v>1</v>
      </c>
    </row>
    <row r="1504" customFormat="false" ht="15" hidden="false" customHeight="false" outlineLevel="0" collapsed="false">
      <c r="A1504" s="7" t="n">
        <v>80208211</v>
      </c>
      <c r="B1504" s="7" t="s">
        <v>68</v>
      </c>
      <c r="C1504" s="7" t="s">
        <v>3437</v>
      </c>
      <c r="D1504" s="7" t="s">
        <v>3438</v>
      </c>
      <c r="E1504" s="7" t="s">
        <v>31</v>
      </c>
      <c r="F1504" s="7" t="s">
        <v>3423</v>
      </c>
      <c r="G1504" s="7" t="n">
        <v>2017</v>
      </c>
      <c r="H1504" s="7" t="s">
        <v>49</v>
      </c>
      <c r="I1504" s="7" t="s">
        <v>1028</v>
      </c>
      <c r="J1504" s="7" t="s">
        <v>341</v>
      </c>
      <c r="K1504" s="7" t="n">
        <f aca="false">IFERROR(VALUE(RIGHT(TRIM(F1504),4)),"")</f>
        <v>2017</v>
      </c>
      <c r="L1504" s="7" t="str">
        <f aca="false">IF(TRIM(E1504)="","Unknown",IFERROR(LEFT(TRIM(E1504),FIND(",",TRIM(E1504))-1),TRIM(E1504)))</f>
        <v>France</v>
      </c>
      <c r="M1504" s="7" t="str">
        <f aca="false">IFERROR(LEFT(J1504,FIND(",",J1504)-1),J1504)</f>
        <v>Documentaries</v>
      </c>
      <c r="N1504" s="7" t="n">
        <f aca="false">IF(B1504="Movie",IFERROR(VALUE(LEFT(I1504,FIND(" ",I1504)-1)),""),"")</f>
        <v>54</v>
      </c>
      <c r="O1504" s="7" t="str">
        <f aca="false">IF(B1504="TV Show",IFERROR(VALUE(LEFT(I1504,FIND(" ",I1504)-1)),""),"")</f>
        <v/>
      </c>
      <c r="P1504" s="7" t="n">
        <f aca="false">IF(K1504="","",K1504-G1504)</f>
        <v>0</v>
      </c>
    </row>
    <row r="1505" customFormat="false" ht="15" hidden="false" customHeight="false" outlineLevel="0" collapsed="false">
      <c r="A1505" s="7" t="n">
        <v>80203791</v>
      </c>
      <c r="B1505" s="7" t="s">
        <v>68</v>
      </c>
      <c r="C1505" s="7" t="s">
        <v>3439</v>
      </c>
      <c r="D1505" s="7" t="s">
        <v>3440</v>
      </c>
      <c r="E1505" s="7" t="s">
        <v>27</v>
      </c>
      <c r="F1505" s="7" t="s">
        <v>3423</v>
      </c>
      <c r="G1505" s="7" t="n">
        <v>2016</v>
      </c>
      <c r="H1505" s="7" t="s">
        <v>49</v>
      </c>
      <c r="I1505" s="7" t="s">
        <v>2551</v>
      </c>
      <c r="J1505" s="7" t="s">
        <v>240</v>
      </c>
      <c r="K1505" s="7" t="n">
        <f aca="false">IFERROR(VALUE(RIGHT(TRIM(F1505),4)),"")</f>
        <v>2017</v>
      </c>
      <c r="L1505" s="7" t="str">
        <f aca="false">IF(TRIM(E1505)="","Unknown",IFERROR(LEFT(TRIM(E1505),FIND(",",TRIM(E1505))-1),TRIM(E1505)))</f>
        <v>India</v>
      </c>
      <c r="M1505" s="7" t="str">
        <f aca="false">IFERROR(LEFT(J1505,FIND(",",J1505)-1),J1505)</f>
        <v>Dramas</v>
      </c>
      <c r="N1505" s="7" t="n">
        <f aca="false">IF(B1505="Movie",IFERROR(VALUE(LEFT(I1505,FIND(" ",I1505)-1)),""),"")</f>
        <v>120</v>
      </c>
      <c r="O1505" s="7" t="str">
        <f aca="false">IF(B1505="TV Show",IFERROR(VALUE(LEFT(I1505,FIND(" ",I1505)-1)),""),"")</f>
        <v/>
      </c>
      <c r="P1505" s="7" t="n">
        <f aca="false">IF(K1505="","",K1505-G1505)</f>
        <v>1</v>
      </c>
    </row>
    <row r="1506" customFormat="false" ht="15" hidden="false" customHeight="false" outlineLevel="0" collapsed="false">
      <c r="A1506" s="7" t="n">
        <v>80079229</v>
      </c>
      <c r="B1506" s="7" t="s">
        <v>68</v>
      </c>
      <c r="C1506" s="7" t="s">
        <v>3441</v>
      </c>
      <c r="D1506" s="7" t="s">
        <v>2223</v>
      </c>
      <c r="E1506" s="7" t="s">
        <v>27</v>
      </c>
      <c r="F1506" s="7" t="s">
        <v>3423</v>
      </c>
      <c r="G1506" s="7" t="n">
        <v>2015</v>
      </c>
      <c r="H1506" s="7" t="s">
        <v>50</v>
      </c>
      <c r="I1506" s="7" t="s">
        <v>755</v>
      </c>
      <c r="J1506" s="7" t="s">
        <v>202</v>
      </c>
      <c r="K1506" s="7" t="n">
        <f aca="false">IFERROR(VALUE(RIGHT(TRIM(F1506),4)),"")</f>
        <v>2017</v>
      </c>
      <c r="L1506" s="7" t="str">
        <f aca="false">IF(TRIM(E1506)="","Unknown",IFERROR(LEFT(TRIM(E1506),FIND(",",TRIM(E1506))-1),TRIM(E1506)))</f>
        <v>India</v>
      </c>
      <c r="M1506" s="7" t="str">
        <f aca="false">IFERROR(LEFT(J1506,FIND(",",J1506)-1),J1506)</f>
        <v>Comedies</v>
      </c>
      <c r="N1506" s="7" t="n">
        <f aca="false">IF(B1506="Movie",IFERROR(VALUE(LEFT(I1506,FIND(" ",I1506)-1)),""),"")</f>
        <v>132</v>
      </c>
      <c r="O1506" s="7" t="str">
        <f aca="false">IF(B1506="TV Show",IFERROR(VALUE(LEFT(I1506,FIND(" ",I1506)-1)),""),"")</f>
        <v/>
      </c>
      <c r="P1506" s="7" t="n">
        <f aca="false">IF(K1506="","",K1506-G1506)</f>
        <v>2</v>
      </c>
    </row>
    <row r="1507" customFormat="false" ht="15" hidden="false" customHeight="false" outlineLevel="0" collapsed="false">
      <c r="A1507" s="7" t="n">
        <v>80080145</v>
      </c>
      <c r="B1507" s="7" t="s">
        <v>68</v>
      </c>
      <c r="C1507" s="7" t="s">
        <v>3442</v>
      </c>
      <c r="D1507" s="7" t="s">
        <v>3443</v>
      </c>
      <c r="E1507" s="7" t="s">
        <v>3444</v>
      </c>
      <c r="F1507" s="7" t="s">
        <v>3423</v>
      </c>
      <c r="G1507" s="7" t="n">
        <v>2015</v>
      </c>
      <c r="H1507" s="7" t="s">
        <v>49</v>
      </c>
      <c r="I1507" s="7" t="s">
        <v>130</v>
      </c>
      <c r="J1507" s="7" t="s">
        <v>188</v>
      </c>
      <c r="K1507" s="7" t="n">
        <f aca="false">IFERROR(VALUE(RIGHT(TRIM(F1507),4)),"")</f>
        <v>2017</v>
      </c>
      <c r="L1507" s="7" t="str">
        <f aca="false">IF(TRIM(E1507)="","Unknown",IFERROR(LEFT(TRIM(E1507),FIND(",",TRIM(E1507))-1),TRIM(E1507)))</f>
        <v>Pakistan</v>
      </c>
      <c r="M1507" s="7" t="str">
        <f aca="false">IFERROR(LEFT(J1507,FIND(",",J1507)-1),J1507)</f>
        <v>Dramas</v>
      </c>
      <c r="N1507" s="7" t="n">
        <f aca="false">IF(B1507="Movie",IFERROR(VALUE(LEFT(I1507,FIND(" ",I1507)-1)),""),"")</f>
        <v>135</v>
      </c>
      <c r="O1507" s="7" t="str">
        <f aca="false">IF(B1507="TV Show",IFERROR(VALUE(LEFT(I1507,FIND(" ",I1507)-1)),""),"")</f>
        <v/>
      </c>
      <c r="P1507" s="7" t="n">
        <f aca="false">IF(K1507="","",K1507-G1507)</f>
        <v>2</v>
      </c>
    </row>
    <row r="1508" customFormat="false" ht="15" hidden="false" customHeight="false" outlineLevel="0" collapsed="false">
      <c r="A1508" s="7" t="n">
        <v>80198850</v>
      </c>
      <c r="B1508" s="7" t="s">
        <v>78</v>
      </c>
      <c r="C1508" s="7" t="s">
        <v>3445</v>
      </c>
      <c r="F1508" s="7" t="s">
        <v>3423</v>
      </c>
      <c r="G1508" s="7" t="n">
        <v>2017</v>
      </c>
      <c r="H1508" s="7" t="s">
        <v>50</v>
      </c>
      <c r="I1508" s="7" t="s">
        <v>82</v>
      </c>
      <c r="J1508" s="7" t="s">
        <v>3446</v>
      </c>
      <c r="K1508" s="7" t="n">
        <f aca="false">IFERROR(VALUE(RIGHT(TRIM(F1508),4)),"")</f>
        <v>2017</v>
      </c>
      <c r="L1508" s="7" t="str">
        <f aca="false">IF(TRIM(E1508)="","Unknown",IFERROR(LEFT(TRIM(E1508),FIND(",",TRIM(E1508))-1),TRIM(E1508)))</f>
        <v>Unknown</v>
      </c>
      <c r="M1508" s="7" t="str">
        <f aca="false">IFERROR(LEFT(J1508,FIND(",",J1508)-1),J1508)</f>
        <v>International TV Shows</v>
      </c>
      <c r="N1508" s="7" t="str">
        <f aca="false">IF(B1508="Movie",IFERROR(VALUE(LEFT(I1508,FIND(" ",I1508)-1)),""),"")</f>
        <v/>
      </c>
      <c r="O1508" s="7" t="n">
        <f aca="false">IF(B1508="TV Show",IFERROR(VALUE(LEFT(I1508,FIND(" ",I1508)-1)),""),"")</f>
        <v>1</v>
      </c>
      <c r="P1508" s="7" t="n">
        <f aca="false">IF(K1508="","",K1508-G1508)</f>
        <v>0</v>
      </c>
    </row>
    <row r="1509" customFormat="false" ht="15" hidden="false" customHeight="false" outlineLevel="0" collapsed="false">
      <c r="A1509" s="7" t="n">
        <v>80216270</v>
      </c>
      <c r="B1509" s="7" t="s">
        <v>68</v>
      </c>
      <c r="C1509" s="7" t="s">
        <v>3447</v>
      </c>
      <c r="E1509" s="7" t="s">
        <v>27</v>
      </c>
      <c r="F1509" s="7" t="s">
        <v>3423</v>
      </c>
      <c r="G1509" s="7" t="n">
        <v>2017</v>
      </c>
      <c r="H1509" s="7" t="s">
        <v>226</v>
      </c>
      <c r="I1509" s="7" t="s">
        <v>494</v>
      </c>
      <c r="J1509" s="7" t="s">
        <v>699</v>
      </c>
      <c r="K1509" s="7" t="n">
        <f aca="false">IFERROR(VALUE(RIGHT(TRIM(F1509),4)),"")</f>
        <v>2017</v>
      </c>
      <c r="L1509" s="7" t="str">
        <f aca="false">IF(TRIM(E1509)="","Unknown",IFERROR(LEFT(TRIM(E1509),FIND(",",TRIM(E1509))-1),TRIM(E1509)))</f>
        <v>India</v>
      </c>
      <c r="M1509" s="7" t="str">
        <f aca="false">IFERROR(LEFT(J1509,FIND(",",J1509)-1),J1509)</f>
        <v>Documentaries</v>
      </c>
      <c r="N1509" s="7" t="n">
        <f aca="false">IF(B1509="Movie",IFERROR(VALUE(LEFT(I1509,FIND(" ",I1509)-1)),""),"")</f>
        <v>87</v>
      </c>
      <c r="O1509" s="7" t="str">
        <f aca="false">IF(B1509="TV Show",IFERROR(VALUE(LEFT(I1509,FIND(" ",I1509)-1)),""),"")</f>
        <v/>
      </c>
      <c r="P1509" s="7" t="n">
        <f aca="false">IF(K1509="","",K1509-G1509)</f>
        <v>0</v>
      </c>
    </row>
    <row r="1510" customFormat="false" ht="15" hidden="false" customHeight="false" outlineLevel="0" collapsed="false">
      <c r="A1510" s="7" t="n">
        <v>80157797</v>
      </c>
      <c r="B1510" s="7" t="s">
        <v>68</v>
      </c>
      <c r="C1510" s="7" t="s">
        <v>3448</v>
      </c>
      <c r="D1510" s="7" t="s">
        <v>3449</v>
      </c>
      <c r="E1510" s="7" t="s">
        <v>1081</v>
      </c>
      <c r="F1510" s="7" t="s">
        <v>3423</v>
      </c>
      <c r="G1510" s="7" t="n">
        <v>2016</v>
      </c>
      <c r="H1510" s="7" t="s">
        <v>226</v>
      </c>
      <c r="I1510" s="7" t="s">
        <v>437</v>
      </c>
      <c r="J1510" s="7" t="s">
        <v>74</v>
      </c>
      <c r="K1510" s="7" t="n">
        <f aca="false">IFERROR(VALUE(RIGHT(TRIM(F1510),4)),"")</f>
        <v>2017</v>
      </c>
      <c r="L1510" s="7" t="str">
        <f aca="false">IF(TRIM(E1510)="","Unknown",IFERROR(LEFT(TRIM(E1510),FIND(",",TRIM(E1510))-1),TRIM(E1510)))</f>
        <v>Germany</v>
      </c>
      <c r="M1510" s="7" t="str">
        <f aca="false">IFERROR(LEFT(J1510,FIND(",",J1510)-1),J1510)</f>
        <v>Children &amp; Family Movies</v>
      </c>
      <c r="N1510" s="7" t="n">
        <f aca="false">IF(B1510="Movie",IFERROR(VALUE(LEFT(I1510,FIND(" ",I1510)-1)),""),"")</f>
        <v>82</v>
      </c>
      <c r="O1510" s="7" t="str">
        <f aca="false">IF(B1510="TV Show",IFERROR(VALUE(LEFT(I1510,FIND(" ",I1510)-1)),""),"")</f>
        <v/>
      </c>
      <c r="P1510" s="7" t="n">
        <f aca="false">IF(K1510="","",K1510-G1510)</f>
        <v>1</v>
      </c>
    </row>
    <row r="1511" customFormat="false" ht="15" hidden="false" customHeight="false" outlineLevel="0" collapsed="false">
      <c r="A1511" s="7" t="n">
        <v>80032364</v>
      </c>
      <c r="B1511" s="7" t="s">
        <v>68</v>
      </c>
      <c r="C1511" s="7" t="s">
        <v>3450</v>
      </c>
      <c r="D1511" s="7" t="s">
        <v>3451</v>
      </c>
      <c r="E1511" s="7" t="s">
        <v>3452</v>
      </c>
      <c r="F1511" s="7" t="s">
        <v>3423</v>
      </c>
      <c r="G1511" s="7" t="n">
        <v>2014</v>
      </c>
      <c r="H1511" s="7" t="s">
        <v>49</v>
      </c>
      <c r="I1511" s="7" t="s">
        <v>1822</v>
      </c>
      <c r="J1511" s="7" t="s">
        <v>304</v>
      </c>
      <c r="K1511" s="7" t="n">
        <f aca="false">IFERROR(VALUE(RIGHT(TRIM(F1511),4)),"")</f>
        <v>2017</v>
      </c>
      <c r="L1511" s="7" t="str">
        <f aca="false">IF(TRIM(E1511)="","Unknown",IFERROR(LEFT(TRIM(E1511),FIND(",",TRIM(E1511))-1),TRIM(E1511)))</f>
        <v>Canada</v>
      </c>
      <c r="M1511" s="7" t="str">
        <f aca="false">IFERROR(LEFT(J1511,FIND(",",J1511)-1),J1511)</f>
        <v>Dramas</v>
      </c>
      <c r="N1511" s="7" t="n">
        <f aca="false">IF(B1511="Movie",IFERROR(VALUE(LEFT(I1511,FIND(" ",I1511)-1)),""),"")</f>
        <v>158</v>
      </c>
      <c r="O1511" s="7" t="str">
        <f aca="false">IF(B1511="TV Show",IFERROR(VALUE(LEFT(I1511,FIND(" ",I1511)-1)),""),"")</f>
        <v/>
      </c>
      <c r="P1511" s="7" t="n">
        <f aca="false">IF(K1511="","",K1511-G1511)</f>
        <v>3</v>
      </c>
    </row>
    <row r="1512" customFormat="false" ht="15" hidden="false" customHeight="false" outlineLevel="0" collapsed="false">
      <c r="A1512" s="7" t="n">
        <v>80203786</v>
      </c>
      <c r="B1512" s="7" t="s">
        <v>68</v>
      </c>
      <c r="C1512" s="7" t="s">
        <v>3453</v>
      </c>
      <c r="D1512" s="7" t="s">
        <v>3454</v>
      </c>
      <c r="E1512" s="7" t="s">
        <v>27</v>
      </c>
      <c r="F1512" s="7" t="s">
        <v>3423</v>
      </c>
      <c r="G1512" s="7" t="n">
        <v>2011</v>
      </c>
      <c r="H1512" s="7" t="s">
        <v>48</v>
      </c>
      <c r="I1512" s="7" t="s">
        <v>294</v>
      </c>
      <c r="J1512" s="7" t="s">
        <v>188</v>
      </c>
      <c r="K1512" s="7" t="n">
        <f aca="false">IFERROR(VALUE(RIGHT(TRIM(F1512),4)),"")</f>
        <v>2017</v>
      </c>
      <c r="L1512" s="7" t="str">
        <f aca="false">IF(TRIM(E1512)="","Unknown",IFERROR(LEFT(TRIM(E1512),FIND(",",TRIM(E1512))-1),TRIM(E1512)))</f>
        <v>India</v>
      </c>
      <c r="M1512" s="7" t="str">
        <f aca="false">IFERROR(LEFT(J1512,FIND(",",J1512)-1),J1512)</f>
        <v>Dramas</v>
      </c>
      <c r="N1512" s="7" t="n">
        <f aca="false">IF(B1512="Movie",IFERROR(VALUE(LEFT(I1512,FIND(" ",I1512)-1)),""),"")</f>
        <v>107</v>
      </c>
      <c r="O1512" s="7" t="str">
        <f aca="false">IF(B1512="TV Show",IFERROR(VALUE(LEFT(I1512,FIND(" ",I1512)-1)),""),"")</f>
        <v/>
      </c>
      <c r="P1512" s="7" t="n">
        <f aca="false">IF(K1512="","",K1512-G1512)</f>
        <v>6</v>
      </c>
    </row>
    <row r="1513" customFormat="false" ht="15" hidden="false" customHeight="false" outlineLevel="0" collapsed="false">
      <c r="A1513" s="7" t="n">
        <v>80032097</v>
      </c>
      <c r="B1513" s="7" t="s">
        <v>68</v>
      </c>
      <c r="C1513" s="7" t="s">
        <v>3455</v>
      </c>
      <c r="D1513" s="7" t="s">
        <v>3456</v>
      </c>
      <c r="E1513" s="7" t="s">
        <v>3457</v>
      </c>
      <c r="F1513" s="7" t="s">
        <v>3423</v>
      </c>
      <c r="G1513" s="7" t="n">
        <v>2014</v>
      </c>
      <c r="H1513" s="7" t="s">
        <v>49</v>
      </c>
      <c r="I1513" s="7" t="s">
        <v>232</v>
      </c>
      <c r="J1513" s="7" t="s">
        <v>3458</v>
      </c>
      <c r="K1513" s="7" t="n">
        <f aca="false">IFERROR(VALUE(RIGHT(TRIM(F1513),4)),"")</f>
        <v>2017</v>
      </c>
      <c r="L1513" s="7" t="str">
        <f aca="false">IF(TRIM(E1513)="","Unknown",IFERROR(LEFT(TRIM(E1513),FIND(",",TRIM(E1513))-1),TRIM(E1513)))</f>
        <v>India</v>
      </c>
      <c r="M1513" s="7" t="str">
        <f aca="false">IFERROR(LEFT(J1513,FIND(",",J1513)-1),J1513)</f>
        <v>Action &amp; Adventure</v>
      </c>
      <c r="N1513" s="7" t="n">
        <f aca="false">IF(B1513="Movie",IFERROR(VALUE(LEFT(I1513,FIND(" ",I1513)-1)),""),"")</f>
        <v>122</v>
      </c>
      <c r="O1513" s="7" t="str">
        <f aca="false">IF(B1513="TV Show",IFERROR(VALUE(LEFT(I1513,FIND(" ",I1513)-1)),""),"")</f>
        <v/>
      </c>
      <c r="P1513" s="7" t="n">
        <f aca="false">IF(K1513="","",K1513-G1513)</f>
        <v>3</v>
      </c>
    </row>
    <row r="1514" customFormat="false" ht="15" hidden="false" customHeight="false" outlineLevel="0" collapsed="false">
      <c r="A1514" s="7" t="n">
        <v>80216268</v>
      </c>
      <c r="B1514" s="7" t="s">
        <v>68</v>
      </c>
      <c r="C1514" s="7" t="s">
        <v>3459</v>
      </c>
      <c r="D1514" s="7" t="s">
        <v>3460</v>
      </c>
      <c r="F1514" s="7" t="s">
        <v>3423</v>
      </c>
      <c r="G1514" s="7" t="n">
        <v>2016</v>
      </c>
      <c r="H1514" s="7" t="s">
        <v>50</v>
      </c>
      <c r="I1514" s="7" t="s">
        <v>117</v>
      </c>
      <c r="J1514" s="7" t="s">
        <v>699</v>
      </c>
      <c r="K1514" s="7" t="n">
        <f aca="false">IFERROR(VALUE(RIGHT(TRIM(F1514),4)),"")</f>
        <v>2017</v>
      </c>
      <c r="L1514" s="7" t="str">
        <f aca="false">IF(TRIM(E1514)="","Unknown",IFERROR(LEFT(TRIM(E1514),FIND(",",TRIM(E1514))-1),TRIM(E1514)))</f>
        <v>Unknown</v>
      </c>
      <c r="M1514" s="7" t="str">
        <f aca="false">IFERROR(LEFT(J1514,FIND(",",J1514)-1),J1514)</f>
        <v>Documentaries</v>
      </c>
      <c r="N1514" s="7" t="n">
        <f aca="false">IF(B1514="Movie",IFERROR(VALUE(LEFT(I1514,FIND(" ",I1514)-1)),""),"")</f>
        <v>62</v>
      </c>
      <c r="O1514" s="7" t="str">
        <f aca="false">IF(B1514="TV Show",IFERROR(VALUE(LEFT(I1514,FIND(" ",I1514)-1)),""),"")</f>
        <v/>
      </c>
      <c r="P1514" s="7" t="n">
        <f aca="false">IF(K1514="","",K1514-G1514)</f>
        <v>1</v>
      </c>
    </row>
    <row r="1515" customFormat="false" ht="15" hidden="false" customHeight="false" outlineLevel="0" collapsed="false">
      <c r="A1515" s="7" t="n">
        <v>80156684</v>
      </c>
      <c r="B1515" s="7" t="s">
        <v>68</v>
      </c>
      <c r="C1515" s="7" t="s">
        <v>3461</v>
      </c>
      <c r="D1515" s="7" t="s">
        <v>316</v>
      </c>
      <c r="E1515" s="7" t="s">
        <v>26</v>
      </c>
      <c r="F1515" s="7" t="s">
        <v>3423</v>
      </c>
      <c r="G1515" s="7" t="n">
        <v>2017</v>
      </c>
      <c r="H1515" s="7" t="s">
        <v>48</v>
      </c>
      <c r="I1515" s="7" t="s">
        <v>111</v>
      </c>
      <c r="J1515" s="7" t="s">
        <v>759</v>
      </c>
      <c r="K1515" s="7" t="n">
        <f aca="false">IFERROR(VALUE(RIGHT(TRIM(F1515),4)),"")</f>
        <v>2017</v>
      </c>
      <c r="L1515" s="7" t="str">
        <f aca="false">IF(TRIM(E1515)="","Unknown",IFERROR(LEFT(TRIM(E1515),FIND(",",TRIM(E1515))-1),TRIM(E1515)))</f>
        <v>United States</v>
      </c>
      <c r="M1515" s="7" t="str">
        <f aca="false">IFERROR(LEFT(J1515,FIND(",",J1515)-1),J1515)</f>
        <v>Action &amp; Adventure</v>
      </c>
      <c r="N1515" s="7" t="n">
        <f aca="false">IF(B1515="Movie",IFERROR(VALUE(LEFT(I1515,FIND(" ",I1515)-1)),""),"")</f>
        <v>95</v>
      </c>
      <c r="O1515" s="7" t="str">
        <f aca="false">IF(B1515="TV Show",IFERROR(VALUE(LEFT(I1515,FIND(" ",I1515)-1)),""),"")</f>
        <v/>
      </c>
      <c r="P1515" s="7" t="n">
        <f aca="false">IF(K1515="","",K1515-G1515)</f>
        <v>0</v>
      </c>
    </row>
    <row r="1516" customFormat="false" ht="15" hidden="false" customHeight="false" outlineLevel="0" collapsed="false">
      <c r="A1516" s="7" t="n">
        <v>80187302</v>
      </c>
      <c r="B1516" s="7" t="s">
        <v>78</v>
      </c>
      <c r="C1516" s="7" t="s">
        <v>3462</v>
      </c>
      <c r="E1516" s="7" t="s">
        <v>32</v>
      </c>
      <c r="F1516" s="7" t="s">
        <v>3423</v>
      </c>
      <c r="G1516" s="7" t="n">
        <v>2017</v>
      </c>
      <c r="H1516" s="7" t="s">
        <v>48</v>
      </c>
      <c r="I1516" s="7" t="s">
        <v>82</v>
      </c>
      <c r="J1516" s="7" t="s">
        <v>1877</v>
      </c>
      <c r="K1516" s="7" t="n">
        <f aca="false">IFERROR(VALUE(RIGHT(TRIM(F1516),4)),"")</f>
        <v>2017</v>
      </c>
      <c r="L1516" s="7" t="str">
        <f aca="false">IF(TRIM(E1516)="","Unknown",IFERROR(LEFT(TRIM(E1516),FIND(",",TRIM(E1516))-1),TRIM(E1516)))</f>
        <v>South Korea</v>
      </c>
      <c r="M1516" s="7" t="str">
        <f aca="false">IFERROR(LEFT(J1516,FIND(",",J1516)-1),J1516)</f>
        <v>Crime TV Shows</v>
      </c>
      <c r="N1516" s="7" t="str">
        <f aca="false">IF(B1516="Movie",IFERROR(VALUE(LEFT(I1516,FIND(" ",I1516)-1)),""),"")</f>
        <v/>
      </c>
      <c r="O1516" s="7" t="n">
        <f aca="false">IF(B1516="TV Show",IFERROR(VALUE(LEFT(I1516,FIND(" ",I1516)-1)),""),"")</f>
        <v>1</v>
      </c>
      <c r="P1516" s="7" t="n">
        <f aca="false">IF(K1516="","",K1516-G1516)</f>
        <v>0</v>
      </c>
    </row>
    <row r="1517" customFormat="false" ht="15" hidden="false" customHeight="false" outlineLevel="0" collapsed="false">
      <c r="A1517" s="7" t="n">
        <v>80174727</v>
      </c>
      <c r="B1517" s="7" t="s">
        <v>68</v>
      </c>
      <c r="C1517" s="7" t="s">
        <v>3463</v>
      </c>
      <c r="D1517" s="7" t="s">
        <v>3464</v>
      </c>
      <c r="E1517" s="7" t="s">
        <v>366</v>
      </c>
      <c r="F1517" s="7" t="s">
        <v>3423</v>
      </c>
      <c r="G1517" s="7" t="n">
        <v>2017</v>
      </c>
      <c r="H1517" s="7" t="s">
        <v>49</v>
      </c>
      <c r="I1517" s="7" t="s">
        <v>134</v>
      </c>
      <c r="J1517" s="7" t="s">
        <v>112</v>
      </c>
      <c r="K1517" s="7" t="n">
        <f aca="false">IFERROR(VALUE(RIGHT(TRIM(F1517),4)),"")</f>
        <v>2017</v>
      </c>
      <c r="L1517" s="7" t="str">
        <f aca="false">IF(TRIM(E1517)="","Unknown",IFERROR(LEFT(TRIM(E1517),FIND(",",TRIM(E1517))-1),TRIM(E1517)))</f>
        <v>China</v>
      </c>
      <c r="M1517" s="7" t="str">
        <f aca="false">IFERROR(LEFT(J1517,FIND(",",J1517)-1),J1517)</f>
        <v>Action &amp; Adventure</v>
      </c>
      <c r="N1517" s="7" t="n">
        <f aca="false">IF(B1517="Movie",IFERROR(VALUE(LEFT(I1517,FIND(" ",I1517)-1)),""),"")</f>
        <v>98</v>
      </c>
      <c r="O1517" s="7" t="str">
        <f aca="false">IF(B1517="TV Show",IFERROR(VALUE(LEFT(I1517,FIND(" ",I1517)-1)),""),"")</f>
        <v/>
      </c>
      <c r="P1517" s="7" t="n">
        <f aca="false">IF(K1517="","",K1517-G1517)</f>
        <v>0</v>
      </c>
    </row>
    <row r="1518" customFormat="false" ht="15" hidden="false" customHeight="false" outlineLevel="0" collapsed="false">
      <c r="A1518" s="7" t="n">
        <v>80157276</v>
      </c>
      <c r="B1518" s="7" t="s">
        <v>78</v>
      </c>
      <c r="C1518" s="7" t="s">
        <v>3465</v>
      </c>
      <c r="F1518" s="7" t="s">
        <v>3423</v>
      </c>
      <c r="G1518" s="7" t="n">
        <v>2010</v>
      </c>
      <c r="H1518" s="7" t="s">
        <v>48</v>
      </c>
      <c r="I1518" s="7" t="s">
        <v>82</v>
      </c>
      <c r="J1518" s="7" t="s">
        <v>344</v>
      </c>
      <c r="K1518" s="7" t="n">
        <f aca="false">IFERROR(VALUE(RIGHT(TRIM(F1518),4)),"")</f>
        <v>2017</v>
      </c>
      <c r="L1518" s="7" t="str">
        <f aca="false">IF(TRIM(E1518)="","Unknown",IFERROR(LEFT(TRIM(E1518),FIND(",",TRIM(E1518))-1),TRIM(E1518)))</f>
        <v>Unknown</v>
      </c>
      <c r="M1518" s="7" t="str">
        <f aca="false">IFERROR(LEFT(J1518,FIND(",",J1518)-1),J1518)</f>
        <v>International TV Shows</v>
      </c>
      <c r="N1518" s="7" t="str">
        <f aca="false">IF(B1518="Movie",IFERROR(VALUE(LEFT(I1518,FIND(" ",I1518)-1)),""),"")</f>
        <v/>
      </c>
      <c r="O1518" s="7" t="n">
        <f aca="false">IF(B1518="TV Show",IFERROR(VALUE(LEFT(I1518,FIND(" ",I1518)-1)),""),"")</f>
        <v>1</v>
      </c>
      <c r="P1518" s="7" t="n">
        <f aca="false">IF(K1518="","",K1518-G1518)</f>
        <v>7</v>
      </c>
    </row>
    <row r="1519" customFormat="false" ht="15" hidden="false" customHeight="false" outlineLevel="0" collapsed="false">
      <c r="A1519" s="7" t="n">
        <v>80157297</v>
      </c>
      <c r="B1519" s="7" t="s">
        <v>78</v>
      </c>
      <c r="C1519" s="7" t="s">
        <v>3466</v>
      </c>
      <c r="F1519" s="7" t="s">
        <v>3423</v>
      </c>
      <c r="G1519" s="7" t="n">
        <v>2007</v>
      </c>
      <c r="H1519" s="7" t="s">
        <v>49</v>
      </c>
      <c r="I1519" s="7" t="s">
        <v>82</v>
      </c>
      <c r="J1519" s="7" t="s">
        <v>344</v>
      </c>
      <c r="K1519" s="7" t="n">
        <f aca="false">IFERROR(VALUE(RIGHT(TRIM(F1519),4)),"")</f>
        <v>2017</v>
      </c>
      <c r="L1519" s="7" t="str">
        <f aca="false">IF(TRIM(E1519)="","Unknown",IFERROR(LEFT(TRIM(E1519),FIND(",",TRIM(E1519))-1),TRIM(E1519)))</f>
        <v>Unknown</v>
      </c>
      <c r="M1519" s="7" t="str">
        <f aca="false">IFERROR(LEFT(J1519,FIND(",",J1519)-1),J1519)</f>
        <v>International TV Shows</v>
      </c>
      <c r="N1519" s="7" t="str">
        <f aca="false">IF(B1519="Movie",IFERROR(VALUE(LEFT(I1519,FIND(" ",I1519)-1)),""),"")</f>
        <v/>
      </c>
      <c r="O1519" s="7" t="n">
        <f aca="false">IF(B1519="TV Show",IFERROR(VALUE(LEFT(I1519,FIND(" ",I1519)-1)),""),"")</f>
        <v>1</v>
      </c>
      <c r="P1519" s="7" t="n">
        <f aca="false">IF(K1519="","",K1519-G1519)</f>
        <v>10</v>
      </c>
    </row>
    <row r="1520" customFormat="false" ht="15" hidden="false" customHeight="false" outlineLevel="0" collapsed="false">
      <c r="A1520" s="7" t="n">
        <v>80157566</v>
      </c>
      <c r="B1520" s="7" t="s">
        <v>78</v>
      </c>
      <c r="C1520" s="7" t="s">
        <v>3467</v>
      </c>
      <c r="F1520" s="7" t="s">
        <v>3423</v>
      </c>
      <c r="G1520" s="7" t="n">
        <v>2009</v>
      </c>
      <c r="H1520" s="7" t="s">
        <v>49</v>
      </c>
      <c r="I1520" s="7" t="s">
        <v>82</v>
      </c>
      <c r="J1520" s="7" t="s">
        <v>344</v>
      </c>
      <c r="K1520" s="7" t="n">
        <f aca="false">IFERROR(VALUE(RIGHT(TRIM(F1520),4)),"")</f>
        <v>2017</v>
      </c>
      <c r="L1520" s="7" t="str">
        <f aca="false">IF(TRIM(E1520)="","Unknown",IFERROR(LEFT(TRIM(E1520),FIND(",",TRIM(E1520))-1),TRIM(E1520)))</f>
        <v>Unknown</v>
      </c>
      <c r="M1520" s="7" t="str">
        <f aca="false">IFERROR(LEFT(J1520,FIND(",",J1520)-1),J1520)</f>
        <v>International TV Shows</v>
      </c>
      <c r="N1520" s="7" t="str">
        <f aca="false">IF(B1520="Movie",IFERROR(VALUE(LEFT(I1520,FIND(" ",I1520)-1)),""),"")</f>
        <v/>
      </c>
      <c r="O1520" s="7" t="n">
        <f aca="false">IF(B1520="TV Show",IFERROR(VALUE(LEFT(I1520,FIND(" ",I1520)-1)),""),"")</f>
        <v>1</v>
      </c>
      <c r="P1520" s="7" t="n">
        <f aca="false">IF(K1520="","",K1520-G1520)</f>
        <v>8</v>
      </c>
    </row>
    <row r="1521" customFormat="false" ht="15" hidden="false" customHeight="false" outlineLevel="0" collapsed="false">
      <c r="A1521" s="7" t="n">
        <v>80157488</v>
      </c>
      <c r="B1521" s="7" t="s">
        <v>78</v>
      </c>
      <c r="C1521" s="7" t="s">
        <v>3468</v>
      </c>
      <c r="F1521" s="7" t="s">
        <v>3423</v>
      </c>
      <c r="G1521" s="7" t="n">
        <v>2008</v>
      </c>
      <c r="H1521" s="7" t="s">
        <v>49</v>
      </c>
      <c r="I1521" s="7" t="s">
        <v>82</v>
      </c>
      <c r="J1521" s="7" t="s">
        <v>588</v>
      </c>
      <c r="K1521" s="7" t="n">
        <f aca="false">IFERROR(VALUE(RIGHT(TRIM(F1521),4)),"")</f>
        <v>2017</v>
      </c>
      <c r="L1521" s="7" t="str">
        <f aca="false">IF(TRIM(E1521)="","Unknown",IFERROR(LEFT(TRIM(E1521),FIND(",",TRIM(E1521))-1),TRIM(E1521)))</f>
        <v>Unknown</v>
      </c>
      <c r="M1521" s="7" t="str">
        <f aca="false">IFERROR(LEFT(J1521,FIND(",",J1521)-1),J1521)</f>
        <v>Crime TV Shows</v>
      </c>
      <c r="N1521" s="7" t="str">
        <f aca="false">IF(B1521="Movie",IFERROR(VALUE(LEFT(I1521,FIND(" ",I1521)-1)),""),"")</f>
        <v/>
      </c>
      <c r="O1521" s="7" t="n">
        <f aca="false">IF(B1521="TV Show",IFERROR(VALUE(LEFT(I1521,FIND(" ",I1521)-1)),""),"")</f>
        <v>1</v>
      </c>
      <c r="P1521" s="7" t="n">
        <f aca="false">IF(K1521="","",K1521-G1521)</f>
        <v>9</v>
      </c>
    </row>
    <row r="1522" customFormat="false" ht="15" hidden="false" customHeight="false" outlineLevel="0" collapsed="false">
      <c r="A1522" s="7" t="n">
        <v>80157714</v>
      </c>
      <c r="B1522" s="7" t="s">
        <v>78</v>
      </c>
      <c r="C1522" s="7" t="s">
        <v>3469</v>
      </c>
      <c r="E1522" s="7" t="s">
        <v>1819</v>
      </c>
      <c r="F1522" s="7" t="s">
        <v>3423</v>
      </c>
      <c r="G1522" s="7" t="n">
        <v>2009</v>
      </c>
      <c r="H1522" s="7" t="s">
        <v>48</v>
      </c>
      <c r="I1522" s="7" t="s">
        <v>82</v>
      </c>
      <c r="J1522" s="7" t="s">
        <v>344</v>
      </c>
      <c r="K1522" s="7" t="n">
        <f aca="false">IFERROR(VALUE(RIGHT(TRIM(F1522),4)),"")</f>
        <v>2017</v>
      </c>
      <c r="L1522" s="7" t="str">
        <f aca="false">IF(TRIM(E1522)="","Unknown",IFERROR(LEFT(TRIM(E1522),FIND(",",TRIM(E1522))-1),TRIM(E1522)))</f>
        <v>Singapore</v>
      </c>
      <c r="M1522" s="7" t="str">
        <f aca="false">IFERROR(LEFT(J1522,FIND(",",J1522)-1),J1522)</f>
        <v>International TV Shows</v>
      </c>
      <c r="N1522" s="7" t="str">
        <f aca="false">IF(B1522="Movie",IFERROR(VALUE(LEFT(I1522,FIND(" ",I1522)-1)),""),"")</f>
        <v/>
      </c>
      <c r="O1522" s="7" t="n">
        <f aca="false">IF(B1522="TV Show",IFERROR(VALUE(LEFT(I1522,FIND(" ",I1522)-1)),""),"")</f>
        <v>1</v>
      </c>
      <c r="P1522" s="7" t="n">
        <f aca="false">IF(K1522="","",K1522-G1522)</f>
        <v>8</v>
      </c>
    </row>
    <row r="1523" customFormat="false" ht="15" hidden="false" customHeight="false" outlineLevel="0" collapsed="false">
      <c r="A1523" s="7" t="n">
        <v>80201827</v>
      </c>
      <c r="B1523" s="7" t="s">
        <v>68</v>
      </c>
      <c r="C1523" s="7" t="s">
        <v>3470</v>
      </c>
      <c r="D1523" s="7" t="s">
        <v>3471</v>
      </c>
      <c r="E1523" s="7" t="s">
        <v>27</v>
      </c>
      <c r="F1523" s="7" t="s">
        <v>3423</v>
      </c>
      <c r="G1523" s="7" t="n">
        <v>2014</v>
      </c>
      <c r="H1523" s="7" t="s">
        <v>48</v>
      </c>
      <c r="I1523" s="7" t="s">
        <v>146</v>
      </c>
      <c r="J1523" s="7" t="s">
        <v>358</v>
      </c>
      <c r="K1523" s="7" t="n">
        <f aca="false">IFERROR(VALUE(RIGHT(TRIM(F1523),4)),"")</f>
        <v>2017</v>
      </c>
      <c r="L1523" s="7" t="str">
        <f aca="false">IF(TRIM(E1523)="","Unknown",IFERROR(LEFT(TRIM(E1523),FIND(",",TRIM(E1523))-1),TRIM(E1523)))</f>
        <v>India</v>
      </c>
      <c r="M1523" s="7" t="str">
        <f aca="false">IFERROR(LEFT(J1523,FIND(",",J1523)-1),J1523)</f>
        <v>International Movies</v>
      </c>
      <c r="N1523" s="7" t="n">
        <f aca="false">IF(B1523="Movie",IFERROR(VALUE(LEFT(I1523,FIND(" ",I1523)-1)),""),"")</f>
        <v>113</v>
      </c>
      <c r="O1523" s="7" t="str">
        <f aca="false">IF(B1523="TV Show",IFERROR(VALUE(LEFT(I1523,FIND(" ",I1523)-1)),""),"")</f>
        <v/>
      </c>
      <c r="P1523" s="7" t="n">
        <f aca="false">IF(K1523="","",K1523-G1523)</f>
        <v>3</v>
      </c>
    </row>
    <row r="1524" customFormat="false" ht="15" hidden="false" customHeight="false" outlineLevel="0" collapsed="false">
      <c r="A1524" s="7" t="n">
        <v>80179288</v>
      </c>
      <c r="B1524" s="7" t="s">
        <v>68</v>
      </c>
      <c r="C1524" s="7" t="s">
        <v>3472</v>
      </c>
      <c r="D1524" s="7" t="s">
        <v>3473</v>
      </c>
      <c r="E1524" s="7" t="s">
        <v>29</v>
      </c>
      <c r="F1524" s="7" t="s">
        <v>3423</v>
      </c>
      <c r="G1524" s="7" t="n">
        <v>2016</v>
      </c>
      <c r="H1524" s="7" t="s">
        <v>52</v>
      </c>
      <c r="I1524" s="7" t="s">
        <v>77</v>
      </c>
      <c r="J1524" s="7" t="s">
        <v>2665</v>
      </c>
      <c r="K1524" s="7" t="n">
        <f aca="false">IFERROR(VALUE(RIGHT(TRIM(F1524),4)),"")</f>
        <v>2017</v>
      </c>
      <c r="L1524" s="7" t="str">
        <f aca="false">IF(TRIM(E1524)="","Unknown",IFERROR(LEFT(TRIM(E1524),FIND(",",TRIM(E1524))-1),TRIM(E1524)))</f>
        <v>Canada</v>
      </c>
      <c r="M1524" s="7" t="str">
        <f aca="false">IFERROR(LEFT(J1524,FIND(",",J1524)-1),J1524)</f>
        <v>Action &amp; Adventure</v>
      </c>
      <c r="N1524" s="7" t="n">
        <f aca="false">IF(B1524="Movie",IFERROR(VALUE(LEFT(I1524,FIND(" ",I1524)-1)),""),"")</f>
        <v>94</v>
      </c>
      <c r="O1524" s="7" t="str">
        <f aca="false">IF(B1524="TV Show",IFERROR(VALUE(LEFT(I1524,FIND(" ",I1524)-1)),""),"")</f>
        <v/>
      </c>
      <c r="P1524" s="7" t="n">
        <f aca="false">IF(K1524="","",K1524-G1524)</f>
        <v>1</v>
      </c>
    </row>
    <row r="1525" customFormat="false" ht="15" hidden="false" customHeight="false" outlineLevel="0" collapsed="false">
      <c r="A1525" s="7" t="n">
        <v>80203780</v>
      </c>
      <c r="B1525" s="7" t="s">
        <v>68</v>
      </c>
      <c r="C1525" s="7" t="s">
        <v>3474</v>
      </c>
      <c r="D1525" s="7" t="s">
        <v>3475</v>
      </c>
      <c r="E1525" s="7" t="s">
        <v>27</v>
      </c>
      <c r="F1525" s="7" t="s">
        <v>3423</v>
      </c>
      <c r="G1525" s="7" t="n">
        <v>2016</v>
      </c>
      <c r="H1525" s="7" t="s">
        <v>49</v>
      </c>
      <c r="I1525" s="7" t="s">
        <v>2551</v>
      </c>
      <c r="J1525" s="7" t="s">
        <v>367</v>
      </c>
      <c r="K1525" s="7" t="n">
        <f aca="false">IFERROR(VALUE(RIGHT(TRIM(F1525),4)),"")</f>
        <v>2017</v>
      </c>
      <c r="L1525" s="7" t="str">
        <f aca="false">IF(TRIM(E1525)="","Unknown",IFERROR(LEFT(TRIM(E1525),FIND(",",TRIM(E1525))-1),TRIM(E1525)))</f>
        <v>India</v>
      </c>
      <c r="M1525" s="7" t="str">
        <f aca="false">IFERROR(LEFT(J1525,FIND(",",J1525)-1),J1525)</f>
        <v>Action &amp; Adventure</v>
      </c>
      <c r="N1525" s="7" t="n">
        <f aca="false">IF(B1525="Movie",IFERROR(VALUE(LEFT(I1525,FIND(" ",I1525)-1)),""),"")</f>
        <v>120</v>
      </c>
      <c r="O1525" s="7" t="str">
        <f aca="false">IF(B1525="TV Show",IFERROR(VALUE(LEFT(I1525,FIND(" ",I1525)-1)),""),"")</f>
        <v/>
      </c>
      <c r="P1525" s="7" t="n">
        <f aca="false">IF(K1525="","",K1525-G1525)</f>
        <v>1</v>
      </c>
    </row>
    <row r="1526" customFormat="false" ht="15" hidden="false" customHeight="false" outlineLevel="0" collapsed="false">
      <c r="A1526" s="7" t="n">
        <v>80216215</v>
      </c>
      <c r="B1526" s="7" t="s">
        <v>68</v>
      </c>
      <c r="C1526" s="7" t="s">
        <v>3476</v>
      </c>
      <c r="D1526" s="7" t="s">
        <v>3477</v>
      </c>
      <c r="E1526" s="7" t="s">
        <v>34</v>
      </c>
      <c r="F1526" s="7" t="s">
        <v>3423</v>
      </c>
      <c r="G1526" s="7" t="n">
        <v>2015</v>
      </c>
      <c r="H1526" s="7" t="s">
        <v>49</v>
      </c>
      <c r="I1526" s="7" t="s">
        <v>311</v>
      </c>
      <c r="J1526" s="7" t="s">
        <v>217</v>
      </c>
      <c r="K1526" s="7" t="n">
        <f aca="false">IFERROR(VALUE(RIGHT(TRIM(F1526),4)),"")</f>
        <v>2017</v>
      </c>
      <c r="L1526" s="7" t="str">
        <f aca="false">IF(TRIM(E1526)="","Unknown",IFERROR(LEFT(TRIM(E1526),FIND(",",TRIM(E1526))-1),TRIM(E1526)))</f>
        <v>Mexico</v>
      </c>
      <c r="M1526" s="7" t="str">
        <f aca="false">IFERROR(LEFT(J1526,FIND(",",J1526)-1),J1526)</f>
        <v>Comedies</v>
      </c>
      <c r="N1526" s="7" t="n">
        <f aca="false">IF(B1526="Movie",IFERROR(VALUE(LEFT(I1526,FIND(" ",I1526)-1)),""),"")</f>
        <v>92</v>
      </c>
      <c r="O1526" s="7" t="str">
        <f aca="false">IF(B1526="TV Show",IFERROR(VALUE(LEFT(I1526,FIND(" ",I1526)-1)),""),"")</f>
        <v/>
      </c>
      <c r="P1526" s="7" t="n">
        <f aca="false">IF(K1526="","",K1526-G1526)</f>
        <v>2</v>
      </c>
    </row>
    <row r="1527" customFormat="false" ht="15" hidden="false" customHeight="false" outlineLevel="0" collapsed="false">
      <c r="A1527" s="7" t="n">
        <v>80211371</v>
      </c>
      <c r="B1527" s="7" t="s">
        <v>68</v>
      </c>
      <c r="C1527" s="7" t="s">
        <v>3478</v>
      </c>
      <c r="D1527" s="7" t="s">
        <v>3371</v>
      </c>
      <c r="E1527" s="7" t="s">
        <v>27</v>
      </c>
      <c r="F1527" s="7" t="s">
        <v>3423</v>
      </c>
      <c r="G1527" s="7" t="n">
        <v>2011</v>
      </c>
      <c r="H1527" s="7" t="s">
        <v>49</v>
      </c>
      <c r="I1527" s="7" t="s">
        <v>755</v>
      </c>
      <c r="J1527" s="7" t="s">
        <v>1042</v>
      </c>
      <c r="K1527" s="7" t="n">
        <f aca="false">IFERROR(VALUE(RIGHT(TRIM(F1527),4)),"")</f>
        <v>2017</v>
      </c>
      <c r="L1527" s="7" t="str">
        <f aca="false">IF(TRIM(E1527)="","Unknown",IFERROR(LEFT(TRIM(E1527),FIND(",",TRIM(E1527))-1),TRIM(E1527)))</f>
        <v>India</v>
      </c>
      <c r="M1527" s="7" t="str">
        <f aca="false">IFERROR(LEFT(J1527,FIND(",",J1527)-1),J1527)</f>
        <v>Dramas</v>
      </c>
      <c r="N1527" s="7" t="n">
        <f aca="false">IF(B1527="Movie",IFERROR(VALUE(LEFT(I1527,FIND(" ",I1527)-1)),""),"")</f>
        <v>132</v>
      </c>
      <c r="O1527" s="7" t="str">
        <f aca="false">IF(B1527="TV Show",IFERROR(VALUE(LEFT(I1527,FIND(" ",I1527)-1)),""),"")</f>
        <v/>
      </c>
      <c r="P1527" s="7" t="n">
        <f aca="false">IF(K1527="","",K1527-G1527)</f>
        <v>6</v>
      </c>
    </row>
    <row r="1528" customFormat="false" ht="15" hidden="false" customHeight="false" outlineLevel="0" collapsed="false">
      <c r="A1528" s="7" t="n">
        <v>80144358</v>
      </c>
      <c r="B1528" s="7" t="s">
        <v>68</v>
      </c>
      <c r="C1528" s="7" t="s">
        <v>3479</v>
      </c>
      <c r="D1528" s="7" t="s">
        <v>3480</v>
      </c>
      <c r="E1528" s="7" t="s">
        <v>28</v>
      </c>
      <c r="F1528" s="7" t="s">
        <v>3481</v>
      </c>
      <c r="G1528" s="7" t="n">
        <v>2015</v>
      </c>
      <c r="H1528" s="7" t="s">
        <v>50</v>
      </c>
      <c r="I1528" s="7" t="s">
        <v>1757</v>
      </c>
      <c r="J1528" s="7" t="s">
        <v>39</v>
      </c>
      <c r="K1528" s="7" t="n">
        <f aca="false">IFERROR(VALUE(RIGHT(TRIM(F1528),4)),"")</f>
        <v>2016</v>
      </c>
      <c r="L1528" s="7" t="str">
        <f aca="false">IF(TRIM(E1528)="","Unknown",IFERROR(LEFT(TRIM(E1528),FIND(",",TRIM(E1528))-1),TRIM(E1528)))</f>
        <v>United Kingdom</v>
      </c>
      <c r="M1528" s="7" t="str">
        <f aca="false">IFERROR(LEFT(J1528,FIND(",",J1528)-1),J1528)</f>
        <v>Documentaries</v>
      </c>
      <c r="N1528" s="7" t="n">
        <f aca="false">IF(B1528="Movie",IFERROR(VALUE(LEFT(I1528,FIND(" ",I1528)-1)),""),"")</f>
        <v>59</v>
      </c>
      <c r="O1528" s="7" t="str">
        <f aca="false">IF(B1528="TV Show",IFERROR(VALUE(LEFT(I1528,FIND(" ",I1528)-1)),""),"")</f>
        <v/>
      </c>
      <c r="P1528" s="7" t="n">
        <f aca="false">IF(K1528="","",K1528-G1528)</f>
        <v>1</v>
      </c>
    </row>
    <row r="1529" customFormat="false" ht="15" hidden="false" customHeight="false" outlineLevel="0" collapsed="false">
      <c r="A1529" s="7" t="n">
        <v>80111881</v>
      </c>
      <c r="B1529" s="7" t="s">
        <v>78</v>
      </c>
      <c r="C1529" s="7" t="s">
        <v>3482</v>
      </c>
      <c r="E1529" s="7" t="s">
        <v>970</v>
      </c>
      <c r="F1529" s="7" t="s">
        <v>3481</v>
      </c>
      <c r="G1529" s="7" t="n">
        <v>2011</v>
      </c>
      <c r="H1529" s="7" t="s">
        <v>49</v>
      </c>
      <c r="I1529" s="7" t="s">
        <v>82</v>
      </c>
      <c r="J1529" s="7" t="s">
        <v>158</v>
      </c>
      <c r="K1529" s="7" t="n">
        <f aca="false">IFERROR(VALUE(RIGHT(TRIM(F1529),4)),"")</f>
        <v>2016</v>
      </c>
      <c r="L1529" s="7" t="str">
        <f aca="false">IF(TRIM(E1529)="","Unknown",IFERROR(LEFT(TRIM(E1529),FIND(",",TRIM(E1529))-1),TRIM(E1529)))</f>
        <v>Taiwan</v>
      </c>
      <c r="M1529" s="7" t="str">
        <f aca="false">IFERROR(LEFT(J1529,FIND(",",J1529)-1),J1529)</f>
        <v>International TV Shows</v>
      </c>
      <c r="N1529" s="7" t="str">
        <f aca="false">IF(B1529="Movie",IFERROR(VALUE(LEFT(I1529,FIND(" ",I1529)-1)),""),"")</f>
        <v/>
      </c>
      <c r="O1529" s="7" t="n">
        <f aca="false">IF(B1529="TV Show",IFERROR(VALUE(LEFT(I1529,FIND(" ",I1529)-1)),""),"")</f>
        <v>1</v>
      </c>
      <c r="P1529" s="7" t="n">
        <f aca="false">IF(K1529="","",K1529-G1529)</f>
        <v>5</v>
      </c>
    </row>
    <row r="1530" customFormat="false" ht="15" hidden="false" customHeight="false" outlineLevel="0" collapsed="false">
      <c r="A1530" s="7" t="n">
        <v>80112186</v>
      </c>
      <c r="B1530" s="7" t="s">
        <v>78</v>
      </c>
      <c r="C1530" s="7" t="s">
        <v>3483</v>
      </c>
      <c r="E1530" s="7" t="s">
        <v>970</v>
      </c>
      <c r="F1530" s="7" t="s">
        <v>3481</v>
      </c>
      <c r="G1530" s="7" t="n">
        <v>2013</v>
      </c>
      <c r="H1530" s="7" t="s">
        <v>49</v>
      </c>
      <c r="I1530" s="7" t="s">
        <v>82</v>
      </c>
      <c r="J1530" s="7" t="s">
        <v>158</v>
      </c>
      <c r="K1530" s="7" t="n">
        <f aca="false">IFERROR(VALUE(RIGHT(TRIM(F1530),4)),"")</f>
        <v>2016</v>
      </c>
      <c r="L1530" s="7" t="str">
        <f aca="false">IF(TRIM(E1530)="","Unknown",IFERROR(LEFT(TRIM(E1530),FIND(",",TRIM(E1530))-1),TRIM(E1530)))</f>
        <v>Taiwan</v>
      </c>
      <c r="M1530" s="7" t="str">
        <f aca="false">IFERROR(LEFT(J1530,FIND(",",J1530)-1),J1530)</f>
        <v>International TV Shows</v>
      </c>
      <c r="N1530" s="7" t="str">
        <f aca="false">IF(B1530="Movie",IFERROR(VALUE(LEFT(I1530,FIND(" ",I1530)-1)),""),"")</f>
        <v/>
      </c>
      <c r="O1530" s="7" t="n">
        <f aca="false">IF(B1530="TV Show",IFERROR(VALUE(LEFT(I1530,FIND(" ",I1530)-1)),""),"")</f>
        <v>1</v>
      </c>
      <c r="P1530" s="7" t="n">
        <f aca="false">IF(K1530="","",K1530-G1530)</f>
        <v>3</v>
      </c>
    </row>
    <row r="1531" customFormat="false" ht="15" hidden="false" customHeight="false" outlineLevel="0" collapsed="false">
      <c r="A1531" s="7" t="n">
        <v>80112079</v>
      </c>
      <c r="B1531" s="7" t="s">
        <v>78</v>
      </c>
      <c r="C1531" s="7" t="s">
        <v>3484</v>
      </c>
      <c r="E1531" s="7" t="s">
        <v>970</v>
      </c>
      <c r="F1531" s="7" t="s">
        <v>3481</v>
      </c>
      <c r="G1531" s="7" t="n">
        <v>2013</v>
      </c>
      <c r="H1531" s="7" t="s">
        <v>49</v>
      </c>
      <c r="I1531" s="7" t="s">
        <v>82</v>
      </c>
      <c r="J1531" s="7" t="s">
        <v>158</v>
      </c>
      <c r="K1531" s="7" t="n">
        <f aca="false">IFERROR(VALUE(RIGHT(TRIM(F1531),4)),"")</f>
        <v>2016</v>
      </c>
      <c r="L1531" s="7" t="str">
        <f aca="false">IF(TRIM(E1531)="","Unknown",IFERROR(LEFT(TRIM(E1531),FIND(",",TRIM(E1531))-1),TRIM(E1531)))</f>
        <v>Taiwan</v>
      </c>
      <c r="M1531" s="7" t="str">
        <f aca="false">IFERROR(LEFT(J1531,FIND(",",J1531)-1),J1531)</f>
        <v>International TV Shows</v>
      </c>
      <c r="N1531" s="7" t="str">
        <f aca="false">IF(B1531="Movie",IFERROR(VALUE(LEFT(I1531,FIND(" ",I1531)-1)),""),"")</f>
        <v/>
      </c>
      <c r="O1531" s="7" t="n">
        <f aca="false">IF(B1531="TV Show",IFERROR(VALUE(LEFT(I1531,FIND(" ",I1531)-1)),""),"")</f>
        <v>1</v>
      </c>
      <c r="P1531" s="7" t="n">
        <f aca="false">IF(K1531="","",K1531-G1531)</f>
        <v>3</v>
      </c>
    </row>
    <row r="1532" customFormat="false" ht="15" hidden="false" customHeight="false" outlineLevel="0" collapsed="false">
      <c r="A1532" s="7" t="n">
        <v>80112077</v>
      </c>
      <c r="B1532" s="7" t="s">
        <v>78</v>
      </c>
      <c r="C1532" s="7" t="s">
        <v>3485</v>
      </c>
      <c r="E1532" s="7" t="s">
        <v>970</v>
      </c>
      <c r="F1532" s="7" t="s">
        <v>3481</v>
      </c>
      <c r="G1532" s="7" t="n">
        <v>2013</v>
      </c>
      <c r="H1532" s="7" t="s">
        <v>49</v>
      </c>
      <c r="I1532" s="7" t="s">
        <v>82</v>
      </c>
      <c r="J1532" s="7" t="s">
        <v>158</v>
      </c>
      <c r="K1532" s="7" t="n">
        <f aca="false">IFERROR(VALUE(RIGHT(TRIM(F1532),4)),"")</f>
        <v>2016</v>
      </c>
      <c r="L1532" s="7" t="str">
        <f aca="false">IF(TRIM(E1532)="","Unknown",IFERROR(LEFT(TRIM(E1532),FIND(",",TRIM(E1532))-1),TRIM(E1532)))</f>
        <v>Taiwan</v>
      </c>
      <c r="M1532" s="7" t="str">
        <f aca="false">IFERROR(LEFT(J1532,FIND(",",J1532)-1),J1532)</f>
        <v>International TV Shows</v>
      </c>
      <c r="N1532" s="7" t="str">
        <f aca="false">IF(B1532="Movie",IFERROR(VALUE(LEFT(I1532,FIND(" ",I1532)-1)),""),"")</f>
        <v/>
      </c>
      <c r="O1532" s="7" t="n">
        <f aca="false">IF(B1532="TV Show",IFERROR(VALUE(LEFT(I1532,FIND(" ",I1532)-1)),""),"")</f>
        <v>1</v>
      </c>
      <c r="P1532" s="7" t="n">
        <f aca="false">IF(K1532="","",K1532-G1532)</f>
        <v>3</v>
      </c>
    </row>
    <row r="1533" customFormat="false" ht="15" hidden="false" customHeight="false" outlineLevel="0" collapsed="false">
      <c r="A1533" s="7" t="n">
        <v>80112075</v>
      </c>
      <c r="B1533" s="7" t="s">
        <v>78</v>
      </c>
      <c r="C1533" s="7" t="s">
        <v>3486</v>
      </c>
      <c r="E1533" s="7" t="s">
        <v>970</v>
      </c>
      <c r="F1533" s="7" t="s">
        <v>3481</v>
      </c>
      <c r="G1533" s="7" t="n">
        <v>2012</v>
      </c>
      <c r="H1533" s="7" t="s">
        <v>49</v>
      </c>
      <c r="I1533" s="7" t="s">
        <v>82</v>
      </c>
      <c r="J1533" s="7" t="s">
        <v>158</v>
      </c>
      <c r="K1533" s="7" t="n">
        <f aca="false">IFERROR(VALUE(RIGHT(TRIM(F1533),4)),"")</f>
        <v>2016</v>
      </c>
      <c r="L1533" s="7" t="str">
        <f aca="false">IF(TRIM(E1533)="","Unknown",IFERROR(LEFT(TRIM(E1533),FIND(",",TRIM(E1533))-1),TRIM(E1533)))</f>
        <v>Taiwan</v>
      </c>
      <c r="M1533" s="7" t="str">
        <f aca="false">IFERROR(LEFT(J1533,FIND(",",J1533)-1),J1533)</f>
        <v>International TV Shows</v>
      </c>
      <c r="N1533" s="7" t="str">
        <f aca="false">IF(B1533="Movie",IFERROR(VALUE(LEFT(I1533,FIND(" ",I1533)-1)),""),"")</f>
        <v/>
      </c>
      <c r="O1533" s="7" t="n">
        <f aca="false">IF(B1533="TV Show",IFERROR(VALUE(LEFT(I1533,FIND(" ",I1533)-1)),""),"")</f>
        <v>1</v>
      </c>
      <c r="P1533" s="7" t="n">
        <f aca="false">IF(K1533="","",K1533-G1533)</f>
        <v>4</v>
      </c>
    </row>
    <row r="1534" customFormat="false" ht="15" hidden="false" customHeight="false" outlineLevel="0" collapsed="false">
      <c r="A1534" s="7" t="n">
        <v>70303291</v>
      </c>
      <c r="B1534" s="7" t="s">
        <v>78</v>
      </c>
      <c r="C1534" s="7" t="s">
        <v>3487</v>
      </c>
      <c r="E1534" s="7" t="s">
        <v>970</v>
      </c>
      <c r="F1534" s="7" t="s">
        <v>3481</v>
      </c>
      <c r="G1534" s="7" t="n">
        <v>2012</v>
      </c>
      <c r="H1534" s="7" t="s">
        <v>49</v>
      </c>
      <c r="I1534" s="7" t="s">
        <v>82</v>
      </c>
      <c r="J1534" s="7" t="s">
        <v>158</v>
      </c>
      <c r="K1534" s="7" t="n">
        <f aca="false">IFERROR(VALUE(RIGHT(TRIM(F1534),4)),"")</f>
        <v>2016</v>
      </c>
      <c r="L1534" s="7" t="str">
        <f aca="false">IF(TRIM(E1534)="","Unknown",IFERROR(LEFT(TRIM(E1534),FIND(",",TRIM(E1534))-1),TRIM(E1534)))</f>
        <v>Taiwan</v>
      </c>
      <c r="M1534" s="7" t="str">
        <f aca="false">IFERROR(LEFT(J1534,FIND(",",J1534)-1),J1534)</f>
        <v>International TV Shows</v>
      </c>
      <c r="N1534" s="7" t="str">
        <f aca="false">IF(B1534="Movie",IFERROR(VALUE(LEFT(I1534,FIND(" ",I1534)-1)),""),"")</f>
        <v/>
      </c>
      <c r="O1534" s="7" t="n">
        <f aca="false">IF(B1534="TV Show",IFERROR(VALUE(LEFT(I1534,FIND(" ",I1534)-1)),""),"")</f>
        <v>1</v>
      </c>
      <c r="P1534" s="7" t="n">
        <f aca="false">IF(K1534="","",K1534-G1534)</f>
        <v>4</v>
      </c>
    </row>
    <row r="1535" customFormat="false" ht="15" hidden="false" customHeight="false" outlineLevel="0" collapsed="false">
      <c r="A1535" s="7" t="n">
        <v>80097360</v>
      </c>
      <c r="B1535" s="7" t="s">
        <v>68</v>
      </c>
      <c r="C1535" s="7" t="s">
        <v>3488</v>
      </c>
      <c r="D1535" s="7" t="s">
        <v>1564</v>
      </c>
      <c r="E1535" s="7" t="s">
        <v>26</v>
      </c>
      <c r="F1535" s="7" t="s">
        <v>3481</v>
      </c>
      <c r="G1535" s="7" t="n">
        <v>2016</v>
      </c>
      <c r="H1535" s="7" t="s">
        <v>53</v>
      </c>
      <c r="I1535" s="7" t="s">
        <v>470</v>
      </c>
      <c r="J1535" s="7" t="s">
        <v>39</v>
      </c>
      <c r="K1535" s="7" t="n">
        <f aca="false">IFERROR(VALUE(RIGHT(TRIM(F1535),4)),"")</f>
        <v>2016</v>
      </c>
      <c r="L1535" s="7" t="str">
        <f aca="false">IF(TRIM(E1535)="","Unknown",IFERROR(LEFT(TRIM(E1535),FIND(",",TRIM(E1535))-1),TRIM(E1535)))</f>
        <v>United States</v>
      </c>
      <c r="M1535" s="7" t="str">
        <f aca="false">IFERROR(LEFT(J1535,FIND(",",J1535)-1),J1535)</f>
        <v>Documentaries</v>
      </c>
      <c r="N1535" s="7" t="n">
        <f aca="false">IF(B1535="Movie",IFERROR(VALUE(LEFT(I1535,FIND(" ",I1535)-1)),""),"")</f>
        <v>91</v>
      </c>
      <c r="O1535" s="7" t="str">
        <f aca="false">IF(B1535="TV Show",IFERROR(VALUE(LEFT(I1535,FIND(" ",I1535)-1)),""),"")</f>
        <v/>
      </c>
      <c r="P1535" s="7" t="n">
        <f aca="false">IF(K1535="","",K1535-G1535)</f>
        <v>0</v>
      </c>
    </row>
    <row r="1536" customFormat="false" ht="15" hidden="false" customHeight="false" outlineLevel="0" collapsed="false">
      <c r="A1536" s="7" t="n">
        <v>80006168</v>
      </c>
      <c r="B1536" s="7" t="s">
        <v>68</v>
      </c>
      <c r="C1536" s="7" t="s">
        <v>3489</v>
      </c>
      <c r="D1536" s="7" t="s">
        <v>3490</v>
      </c>
      <c r="F1536" s="7" t="s">
        <v>3481</v>
      </c>
      <c r="G1536" s="7" t="n">
        <v>2016</v>
      </c>
      <c r="H1536" s="7" t="s">
        <v>55</v>
      </c>
      <c r="I1536" s="7" t="s">
        <v>2198</v>
      </c>
      <c r="J1536" s="7" t="s">
        <v>10</v>
      </c>
      <c r="K1536" s="7" t="n">
        <f aca="false">IFERROR(VALUE(RIGHT(TRIM(F1536),4)),"")</f>
        <v>2016</v>
      </c>
      <c r="L1536" s="7" t="str">
        <f aca="false">IF(TRIM(E1536)="","Unknown",IFERROR(LEFT(TRIM(E1536),FIND(",",TRIM(E1536))-1),TRIM(E1536)))</f>
        <v>Unknown</v>
      </c>
      <c r="M1536" s="7" t="str">
        <f aca="false">IFERROR(LEFT(J1536,FIND(",",J1536)-1),J1536)</f>
        <v>Movies</v>
      </c>
      <c r="N1536" s="7" t="n">
        <f aca="false">IF(B1536="Movie",IFERROR(VALUE(LEFT(I1536,FIND(" ",I1536)-1)),""),"")</f>
        <v>44</v>
      </c>
      <c r="O1536" s="7" t="str">
        <f aca="false">IF(B1536="TV Show",IFERROR(VALUE(LEFT(I1536,FIND(" ",I1536)-1)),""),"")</f>
        <v/>
      </c>
      <c r="P1536" s="7" t="n">
        <f aca="false">IF(K1536="","",K1536-G1536)</f>
        <v>0</v>
      </c>
    </row>
    <row r="1537" customFormat="false" ht="15" hidden="false" customHeight="false" outlineLevel="0" collapsed="false">
      <c r="A1537" s="7" t="n">
        <v>80093212</v>
      </c>
      <c r="B1537" s="7" t="s">
        <v>68</v>
      </c>
      <c r="C1537" s="7" t="s">
        <v>3491</v>
      </c>
      <c r="D1537" s="7" t="s">
        <v>3492</v>
      </c>
      <c r="E1537" s="7" t="s">
        <v>33</v>
      </c>
      <c r="F1537" s="7" t="s">
        <v>3481</v>
      </c>
      <c r="G1537" s="7" t="n">
        <v>2015</v>
      </c>
      <c r="H1537" s="7" t="s">
        <v>53</v>
      </c>
      <c r="I1537" s="7" t="s">
        <v>294</v>
      </c>
      <c r="J1537" s="7" t="s">
        <v>206</v>
      </c>
      <c r="K1537" s="7" t="n">
        <f aca="false">IFERROR(VALUE(RIGHT(TRIM(F1537),4)),"")</f>
        <v>2016</v>
      </c>
      <c r="L1537" s="7" t="str">
        <f aca="false">IF(TRIM(E1537)="","Unknown",IFERROR(LEFT(TRIM(E1537),FIND(",",TRIM(E1537))-1),TRIM(E1537)))</f>
        <v>Spain</v>
      </c>
      <c r="M1537" s="7" t="str">
        <f aca="false">IFERROR(LEFT(J1537,FIND(",",J1537)-1),J1537)</f>
        <v>Comedies</v>
      </c>
      <c r="N1537" s="7" t="n">
        <f aca="false">IF(B1537="Movie",IFERROR(VALUE(LEFT(I1537,FIND(" ",I1537)-1)),""),"")</f>
        <v>107</v>
      </c>
      <c r="O1537" s="7" t="str">
        <f aca="false">IF(B1537="TV Show",IFERROR(VALUE(LEFT(I1537,FIND(" ",I1537)-1)),""),"")</f>
        <v/>
      </c>
      <c r="P1537" s="7" t="n">
        <f aca="false">IF(K1537="","",K1537-G1537)</f>
        <v>1</v>
      </c>
    </row>
    <row r="1538" customFormat="false" ht="15" hidden="false" customHeight="false" outlineLevel="0" collapsed="false">
      <c r="A1538" s="7" t="n">
        <v>60000545</v>
      </c>
      <c r="B1538" s="7" t="s">
        <v>68</v>
      </c>
      <c r="C1538" s="7" t="s">
        <v>3493</v>
      </c>
      <c r="D1538" s="7" t="s">
        <v>3494</v>
      </c>
      <c r="E1538" s="7" t="s">
        <v>35</v>
      </c>
      <c r="F1538" s="7" t="s">
        <v>3481</v>
      </c>
      <c r="G1538" s="7" t="n">
        <v>1998</v>
      </c>
      <c r="H1538" s="7" t="s">
        <v>53</v>
      </c>
      <c r="I1538" s="7" t="s">
        <v>512</v>
      </c>
      <c r="J1538" s="7" t="s">
        <v>2830</v>
      </c>
      <c r="K1538" s="7" t="n">
        <f aca="false">IFERROR(VALUE(RIGHT(TRIM(F1538),4)),"")</f>
        <v>2016</v>
      </c>
      <c r="L1538" s="7" t="str">
        <f aca="false">IF(TRIM(E1538)="","Unknown",IFERROR(LEFT(TRIM(E1538),FIND(",",TRIM(E1538))-1),TRIM(E1538)))</f>
        <v>Australia</v>
      </c>
      <c r="M1538" s="7" t="str">
        <f aca="false">IFERROR(LEFT(J1538,FIND(",",J1538)-1),J1538)</f>
        <v>Cult Movies</v>
      </c>
      <c r="N1538" s="7" t="n">
        <f aca="false">IF(B1538="Movie",IFERROR(VALUE(LEFT(I1538,FIND(" ",I1538)-1)),""),"")</f>
        <v>101</v>
      </c>
      <c r="O1538" s="7" t="str">
        <f aca="false">IF(B1538="TV Show",IFERROR(VALUE(LEFT(I1538,FIND(" ",I1538)-1)),""),"")</f>
        <v/>
      </c>
      <c r="P1538" s="7" t="n">
        <f aca="false">IF(K1538="","",K1538-G1538)</f>
        <v>18</v>
      </c>
    </row>
    <row r="1539" customFormat="false" ht="15" hidden="false" customHeight="false" outlineLevel="0" collapsed="false">
      <c r="A1539" s="7" t="n">
        <v>80025702</v>
      </c>
      <c r="B1539" s="7" t="s">
        <v>68</v>
      </c>
      <c r="C1539" s="7" t="s">
        <v>3495</v>
      </c>
      <c r="D1539" s="7" t="s">
        <v>3496</v>
      </c>
      <c r="E1539" s="7" t="s">
        <v>35</v>
      </c>
      <c r="F1539" s="7" t="s">
        <v>3481</v>
      </c>
      <c r="G1539" s="7" t="n">
        <v>1992</v>
      </c>
      <c r="H1539" s="7" t="s">
        <v>51</v>
      </c>
      <c r="I1539" s="7" t="s">
        <v>272</v>
      </c>
      <c r="J1539" s="7" t="s">
        <v>3151</v>
      </c>
      <c r="K1539" s="7" t="n">
        <f aca="false">IFERROR(VALUE(RIGHT(TRIM(F1539),4)),"")</f>
        <v>2016</v>
      </c>
      <c r="L1539" s="7" t="str">
        <f aca="false">IF(TRIM(E1539)="","Unknown",IFERROR(LEFT(TRIM(E1539),FIND(",",TRIM(E1539))-1),TRIM(E1539)))</f>
        <v>Australia</v>
      </c>
      <c r="M1539" s="7" t="str">
        <f aca="false">IFERROR(LEFT(J1539,FIND(",",J1539)-1),J1539)</f>
        <v>Classic Movies</v>
      </c>
      <c r="N1539" s="7" t="n">
        <f aca="false">IF(B1539="Movie",IFERROR(VALUE(LEFT(I1539,FIND(" ",I1539)-1)),""),"")</f>
        <v>93</v>
      </c>
      <c r="O1539" s="7" t="str">
        <f aca="false">IF(B1539="TV Show",IFERROR(VALUE(LEFT(I1539,FIND(" ",I1539)-1)),""),"")</f>
        <v/>
      </c>
      <c r="P1539" s="7" t="n">
        <f aca="false">IF(K1539="","",K1539-G1539)</f>
        <v>24</v>
      </c>
    </row>
    <row r="1540" customFormat="false" ht="15" hidden="false" customHeight="false" outlineLevel="0" collapsed="false">
      <c r="A1540" s="7" t="n">
        <v>80128692</v>
      </c>
      <c r="B1540" s="7" t="s">
        <v>68</v>
      </c>
      <c r="C1540" s="7" t="s">
        <v>3497</v>
      </c>
      <c r="D1540" s="7" t="s">
        <v>3498</v>
      </c>
      <c r="E1540" s="7" t="s">
        <v>29</v>
      </c>
      <c r="F1540" s="7" t="s">
        <v>3481</v>
      </c>
      <c r="G1540" s="7" t="n">
        <v>2015</v>
      </c>
      <c r="H1540" s="7" t="s">
        <v>50</v>
      </c>
      <c r="I1540" s="7" t="s">
        <v>437</v>
      </c>
      <c r="J1540" s="7" t="s">
        <v>39</v>
      </c>
      <c r="K1540" s="7" t="n">
        <f aca="false">IFERROR(VALUE(RIGHT(TRIM(F1540),4)),"")</f>
        <v>2016</v>
      </c>
      <c r="L1540" s="7" t="str">
        <f aca="false">IF(TRIM(E1540)="","Unknown",IFERROR(LEFT(TRIM(E1540),FIND(",",TRIM(E1540))-1),TRIM(E1540)))</f>
        <v>Canada</v>
      </c>
      <c r="M1540" s="7" t="str">
        <f aca="false">IFERROR(LEFT(J1540,FIND(",",J1540)-1),J1540)</f>
        <v>Documentaries</v>
      </c>
      <c r="N1540" s="7" t="n">
        <f aca="false">IF(B1540="Movie",IFERROR(VALUE(LEFT(I1540,FIND(" ",I1540)-1)),""),"")</f>
        <v>82</v>
      </c>
      <c r="O1540" s="7" t="str">
        <f aca="false">IF(B1540="TV Show",IFERROR(VALUE(LEFT(I1540,FIND(" ",I1540)-1)),""),"")</f>
        <v/>
      </c>
      <c r="P1540" s="7" t="n">
        <f aca="false">IF(K1540="","",K1540-G1540)</f>
        <v>1</v>
      </c>
    </row>
    <row r="1541" customFormat="false" ht="15" hidden="false" customHeight="false" outlineLevel="0" collapsed="false">
      <c r="A1541" s="7" t="n">
        <v>80156369</v>
      </c>
      <c r="B1541" s="7" t="s">
        <v>68</v>
      </c>
      <c r="C1541" s="7" t="s">
        <v>3499</v>
      </c>
      <c r="D1541" s="7" t="s">
        <v>3500</v>
      </c>
      <c r="E1541" s="7" t="s">
        <v>35</v>
      </c>
      <c r="F1541" s="7" t="s">
        <v>3481</v>
      </c>
      <c r="G1541" s="7" t="n">
        <v>1981</v>
      </c>
      <c r="H1541" s="7" t="s">
        <v>53</v>
      </c>
      <c r="I1541" s="7" t="s">
        <v>212</v>
      </c>
      <c r="J1541" s="7" t="s">
        <v>3151</v>
      </c>
      <c r="K1541" s="7" t="n">
        <f aca="false">IFERROR(VALUE(RIGHT(TRIM(F1541),4)),"")</f>
        <v>2016</v>
      </c>
      <c r="L1541" s="7" t="str">
        <f aca="false">IF(TRIM(E1541)="","Unknown",IFERROR(LEFT(TRIM(E1541),FIND(",",TRIM(E1541))-1),TRIM(E1541)))</f>
        <v>Australia</v>
      </c>
      <c r="M1541" s="7" t="str">
        <f aca="false">IFERROR(LEFT(J1541,FIND(",",J1541)-1),J1541)</f>
        <v>Classic Movies</v>
      </c>
      <c r="N1541" s="7" t="n">
        <f aca="false">IF(B1541="Movie",IFERROR(VALUE(LEFT(I1541,FIND(" ",I1541)-1)),""),"")</f>
        <v>86</v>
      </c>
      <c r="O1541" s="7" t="str">
        <f aca="false">IF(B1541="TV Show",IFERROR(VALUE(LEFT(I1541,FIND(" ",I1541)-1)),""),"")</f>
        <v/>
      </c>
      <c r="P1541" s="7" t="n">
        <f aca="false">IF(K1541="","",K1541-G1541)</f>
        <v>35</v>
      </c>
    </row>
    <row r="1542" customFormat="false" ht="15" hidden="false" customHeight="false" outlineLevel="0" collapsed="false">
      <c r="A1542" s="7" t="n">
        <v>1145882</v>
      </c>
      <c r="B1542" s="7" t="s">
        <v>68</v>
      </c>
      <c r="C1542" s="7" t="s">
        <v>3501</v>
      </c>
      <c r="D1542" s="7" t="s">
        <v>3502</v>
      </c>
      <c r="E1542" s="7" t="s">
        <v>411</v>
      </c>
      <c r="F1542" s="7" t="s">
        <v>3481</v>
      </c>
      <c r="G1542" s="7" t="n">
        <v>1973</v>
      </c>
      <c r="H1542" s="7" t="s">
        <v>53</v>
      </c>
      <c r="I1542" s="7" t="s">
        <v>467</v>
      </c>
      <c r="J1542" s="7" t="s">
        <v>322</v>
      </c>
      <c r="K1542" s="7" t="n">
        <f aca="false">IFERROR(VALUE(RIGHT(TRIM(F1542),4)),"")</f>
        <v>2016</v>
      </c>
      <c r="L1542" s="7" t="str">
        <f aca="false">IF(TRIM(E1542)="","Unknown",IFERROR(LEFT(TRIM(E1542),FIND(",",TRIM(E1542))-1),TRIM(E1542)))</f>
        <v>Hong Kong</v>
      </c>
      <c r="M1542" s="7" t="str">
        <f aca="false">IFERROR(LEFT(J1542,FIND(",",J1542)-1),J1542)</f>
        <v>Action &amp; Adventure</v>
      </c>
      <c r="N1542" s="7" t="n">
        <f aca="false">IF(B1542="Movie",IFERROR(VALUE(LEFT(I1542,FIND(" ",I1542)-1)),""),"")</f>
        <v>81</v>
      </c>
      <c r="O1542" s="7" t="str">
        <f aca="false">IF(B1542="TV Show",IFERROR(VALUE(LEFT(I1542,FIND(" ",I1542)-1)),""),"")</f>
        <v/>
      </c>
      <c r="P1542" s="7" t="n">
        <f aca="false">IF(K1542="","",K1542-G1542)</f>
        <v>43</v>
      </c>
    </row>
    <row r="1543" customFormat="false" ht="15" hidden="false" customHeight="false" outlineLevel="0" collapsed="false">
      <c r="A1543" s="7" t="n">
        <v>70288423</v>
      </c>
      <c r="B1543" s="7" t="s">
        <v>68</v>
      </c>
      <c r="C1543" s="7" t="s">
        <v>3503</v>
      </c>
      <c r="D1543" s="7" t="s">
        <v>3504</v>
      </c>
      <c r="E1543" s="7" t="s">
        <v>29</v>
      </c>
      <c r="F1543" s="7" t="s">
        <v>3505</v>
      </c>
      <c r="G1543" s="7" t="n">
        <v>2011</v>
      </c>
      <c r="H1543" s="7" t="s">
        <v>53</v>
      </c>
      <c r="I1543" s="7" t="s">
        <v>2198</v>
      </c>
      <c r="J1543" s="7" t="s">
        <v>45</v>
      </c>
      <c r="K1543" s="7" t="n">
        <f aca="false">IFERROR(VALUE(RIGHT(TRIM(F1543),4)),"")</f>
        <v>2013</v>
      </c>
      <c r="L1543" s="7" t="str">
        <f aca="false">IF(TRIM(E1543)="","Unknown",IFERROR(LEFT(TRIM(E1543),FIND(",",TRIM(E1543))-1),TRIM(E1543)))</f>
        <v>Canada</v>
      </c>
      <c r="M1543" s="7" t="str">
        <f aca="false">IFERROR(LEFT(J1543,FIND(",",J1543)-1),J1543)</f>
        <v>Stand-Up Comedy</v>
      </c>
      <c r="N1543" s="7" t="n">
        <f aca="false">IF(B1543="Movie",IFERROR(VALUE(LEFT(I1543,FIND(" ",I1543)-1)),""),"")</f>
        <v>44</v>
      </c>
      <c r="O1543" s="7" t="str">
        <f aca="false">IF(B1543="TV Show",IFERROR(VALUE(LEFT(I1543,FIND(" ",I1543)-1)),""),"")</f>
        <v/>
      </c>
      <c r="P1543" s="7" t="n">
        <f aca="false">IF(K1543="","",K1543-G1543)</f>
        <v>2</v>
      </c>
    </row>
    <row r="1544" customFormat="false" ht="15" hidden="false" customHeight="false" outlineLevel="0" collapsed="false">
      <c r="A1544" s="7" t="n">
        <v>70290568</v>
      </c>
      <c r="B1544" s="7" t="s">
        <v>68</v>
      </c>
      <c r="C1544" s="7" t="s">
        <v>3506</v>
      </c>
      <c r="D1544" s="7" t="s">
        <v>3507</v>
      </c>
      <c r="E1544" s="7" t="s">
        <v>26</v>
      </c>
      <c r="F1544" s="7" t="s">
        <v>3505</v>
      </c>
      <c r="G1544" s="7" t="n">
        <v>2013</v>
      </c>
      <c r="H1544" s="7" t="s">
        <v>53</v>
      </c>
      <c r="I1544" s="7" t="s">
        <v>154</v>
      </c>
      <c r="J1544" s="7" t="s">
        <v>45</v>
      </c>
      <c r="K1544" s="7" t="n">
        <f aca="false">IFERROR(VALUE(RIGHT(TRIM(F1544),4)),"")</f>
        <v>2013</v>
      </c>
      <c r="L1544" s="7" t="str">
        <f aca="false">IF(TRIM(E1544)="","Unknown",IFERROR(LEFT(TRIM(E1544),FIND(",",TRIM(E1544))-1),TRIM(E1544)))</f>
        <v>United States</v>
      </c>
      <c r="M1544" s="7" t="str">
        <f aca="false">IFERROR(LEFT(J1544,FIND(",",J1544)-1),J1544)</f>
        <v>Stand-Up Comedy</v>
      </c>
      <c r="N1544" s="7" t="n">
        <f aca="false">IF(B1544="Movie",IFERROR(VALUE(LEFT(I1544,FIND(" ",I1544)-1)),""),"")</f>
        <v>80</v>
      </c>
      <c r="O1544" s="7" t="str">
        <f aca="false">IF(B1544="TV Show",IFERROR(VALUE(LEFT(I1544,FIND(" ",I1544)-1)),""),"")</f>
        <v/>
      </c>
      <c r="P1544" s="7" t="n">
        <f aca="false">IF(K1544="","",K1544-G1544)</f>
        <v>0</v>
      </c>
    </row>
    <row r="1545" customFormat="false" ht="15" hidden="false" customHeight="false" outlineLevel="0" collapsed="false">
      <c r="A1545" s="7" t="n">
        <v>70141644</v>
      </c>
      <c r="B1545" s="7" t="s">
        <v>68</v>
      </c>
      <c r="C1545" s="7" t="s">
        <v>3508</v>
      </c>
      <c r="D1545" s="7" t="s">
        <v>3509</v>
      </c>
      <c r="E1545" s="7" t="s">
        <v>26</v>
      </c>
      <c r="F1545" s="7" t="s">
        <v>3510</v>
      </c>
      <c r="G1545" s="7" t="n">
        <v>1987</v>
      </c>
      <c r="H1545" s="7" t="s">
        <v>53</v>
      </c>
      <c r="I1545" s="7" t="s">
        <v>613</v>
      </c>
      <c r="J1545" s="7" t="s">
        <v>1994</v>
      </c>
      <c r="K1545" s="7" t="n">
        <f aca="false">IFERROR(VALUE(RIGHT(TRIM(F1545),4)),"")</f>
        <v>2010</v>
      </c>
      <c r="L1545" s="7" t="str">
        <f aca="false">IF(TRIM(E1545)="","Unknown",IFERROR(LEFT(TRIM(E1545),FIND(",",TRIM(E1545))-1),TRIM(E1545)))</f>
        <v>United States</v>
      </c>
      <c r="M1545" s="7" t="str">
        <f aca="false">IFERROR(LEFT(J1545,FIND(",",J1545)-1),J1545)</f>
        <v>Cult Movies</v>
      </c>
      <c r="N1545" s="7" t="n">
        <f aca="false">IF(B1545="Movie",IFERROR(VALUE(LEFT(I1545,FIND(" ",I1545)-1)),""),"")</f>
        <v>84</v>
      </c>
      <c r="O1545" s="7" t="str">
        <f aca="false">IF(B1545="TV Show",IFERROR(VALUE(LEFT(I1545,FIND(" ",I1545)-1)),""),"")</f>
        <v/>
      </c>
      <c r="P1545" s="7" t="n">
        <f aca="false">IF(K1545="","",K1545-G1545)</f>
        <v>23</v>
      </c>
    </row>
    <row r="1546" customFormat="false" ht="15" hidden="false" customHeight="false" outlineLevel="0" collapsed="false">
      <c r="A1546" s="7" t="n">
        <v>81035836</v>
      </c>
      <c r="B1546" s="7" t="s">
        <v>68</v>
      </c>
      <c r="C1546" s="7" t="s">
        <v>3511</v>
      </c>
      <c r="D1546" s="7" t="s">
        <v>3512</v>
      </c>
      <c r="E1546" s="7" t="s">
        <v>963</v>
      </c>
      <c r="F1546" s="7" t="s">
        <v>3513</v>
      </c>
      <c r="G1546" s="7" t="n">
        <v>2017</v>
      </c>
      <c r="H1546" s="7" t="s">
        <v>48</v>
      </c>
      <c r="I1546" s="7" t="s">
        <v>93</v>
      </c>
      <c r="J1546" s="7" t="s">
        <v>202</v>
      </c>
      <c r="K1546" s="7" t="n">
        <f aca="false">IFERROR(VALUE(RIGHT(TRIM(F1546),4)),"")</f>
        <v>2019</v>
      </c>
      <c r="L1546" s="7" t="str">
        <f aca="false">IF(TRIM(E1546)="","Unknown",IFERROR(LEFT(TRIM(E1546),FIND(",",TRIM(E1546))-1),TRIM(E1546)))</f>
        <v>Egypt</v>
      </c>
      <c r="M1546" s="7" t="str">
        <f aca="false">IFERROR(LEFT(J1546,FIND(",",J1546)-1),J1546)</f>
        <v>Comedies</v>
      </c>
      <c r="N1546" s="7" t="n">
        <f aca="false">IF(B1546="Movie",IFERROR(VALUE(LEFT(I1546,FIND(" ",I1546)-1)),""),"")</f>
        <v>110</v>
      </c>
      <c r="O1546" s="7" t="str">
        <f aca="false">IF(B1546="TV Show",IFERROR(VALUE(LEFT(I1546,FIND(" ",I1546)-1)),""),"")</f>
        <v/>
      </c>
      <c r="P1546" s="7" t="n">
        <f aca="false">IF(K1546="","",K1546-G1546)</f>
        <v>2</v>
      </c>
    </row>
    <row r="1547" customFormat="false" ht="15" hidden="false" customHeight="false" outlineLevel="0" collapsed="false">
      <c r="A1547" s="7" t="n">
        <v>81044103</v>
      </c>
      <c r="B1547" s="7" t="s">
        <v>68</v>
      </c>
      <c r="C1547" s="7" t="s">
        <v>3514</v>
      </c>
      <c r="D1547" s="7" t="s">
        <v>3515</v>
      </c>
      <c r="E1547" s="7" t="s">
        <v>26</v>
      </c>
      <c r="F1547" s="7" t="s">
        <v>3513</v>
      </c>
      <c r="G1547" s="7" t="n">
        <v>2018</v>
      </c>
      <c r="H1547" s="7" t="s">
        <v>52</v>
      </c>
      <c r="I1547" s="7" t="s">
        <v>494</v>
      </c>
      <c r="J1547" s="7" t="s">
        <v>509</v>
      </c>
      <c r="K1547" s="7" t="n">
        <f aca="false">IFERROR(VALUE(RIGHT(TRIM(F1547),4)),"")</f>
        <v>2019</v>
      </c>
      <c r="L1547" s="7" t="str">
        <f aca="false">IF(TRIM(E1547)="","Unknown",IFERROR(LEFT(TRIM(E1547),FIND(",",TRIM(E1547))-1),TRIM(E1547)))</f>
        <v>United States</v>
      </c>
      <c r="M1547" s="7" t="str">
        <f aca="false">IFERROR(LEFT(J1547,FIND(",",J1547)-1),J1547)</f>
        <v>Documentaries</v>
      </c>
      <c r="N1547" s="7" t="n">
        <f aca="false">IF(B1547="Movie",IFERROR(VALUE(LEFT(I1547,FIND(" ",I1547)-1)),""),"")</f>
        <v>87</v>
      </c>
      <c r="O1547" s="7" t="str">
        <f aca="false">IF(B1547="TV Show",IFERROR(VALUE(LEFT(I1547,FIND(" ",I1547)-1)),""),"")</f>
        <v/>
      </c>
      <c r="P1547" s="7" t="n">
        <f aca="false">IF(K1547="","",K1547-G1547)</f>
        <v>1</v>
      </c>
    </row>
    <row r="1548" customFormat="false" ht="15" hidden="false" customHeight="false" outlineLevel="0" collapsed="false">
      <c r="A1548" s="7" t="n">
        <v>81072917</v>
      </c>
      <c r="B1548" s="7" t="s">
        <v>68</v>
      </c>
      <c r="C1548" s="7" t="s">
        <v>3516</v>
      </c>
      <c r="D1548" s="7" t="s">
        <v>3517</v>
      </c>
      <c r="E1548" s="7" t="s">
        <v>970</v>
      </c>
      <c r="F1548" s="7" t="s">
        <v>3513</v>
      </c>
      <c r="G1548" s="7" t="n">
        <v>2018</v>
      </c>
      <c r="H1548" s="7" t="s">
        <v>48</v>
      </c>
      <c r="I1548" s="7" t="s">
        <v>235</v>
      </c>
      <c r="J1548" s="7" t="s">
        <v>112</v>
      </c>
      <c r="K1548" s="7" t="n">
        <f aca="false">IFERROR(VALUE(RIGHT(TRIM(F1548),4)),"")</f>
        <v>2019</v>
      </c>
      <c r="L1548" s="7" t="str">
        <f aca="false">IF(TRIM(E1548)="","Unknown",IFERROR(LEFT(TRIM(E1548),FIND(",",TRIM(E1548))-1),TRIM(E1548)))</f>
        <v>Taiwan</v>
      </c>
      <c r="M1548" s="7" t="str">
        <f aca="false">IFERROR(LEFT(J1548,FIND(",",J1548)-1),J1548)</f>
        <v>Action &amp; Adventure</v>
      </c>
      <c r="N1548" s="7" t="n">
        <f aca="false">IF(B1548="Movie",IFERROR(VALUE(LEFT(I1548,FIND(" ",I1548)-1)),""),"")</f>
        <v>126</v>
      </c>
      <c r="O1548" s="7" t="str">
        <f aca="false">IF(B1548="TV Show",IFERROR(VALUE(LEFT(I1548,FIND(" ",I1548)-1)),""),"")</f>
        <v/>
      </c>
      <c r="P1548" s="7" t="n">
        <f aca="false">IF(K1548="","",K1548-G1548)</f>
        <v>1</v>
      </c>
    </row>
    <row r="1549" customFormat="false" ht="15" hidden="false" customHeight="false" outlineLevel="0" collapsed="false">
      <c r="A1549" s="7" t="n">
        <v>70142542</v>
      </c>
      <c r="B1549" s="7" t="s">
        <v>68</v>
      </c>
      <c r="C1549" s="7" t="s">
        <v>3518</v>
      </c>
      <c r="D1549" s="7" t="s">
        <v>3519</v>
      </c>
      <c r="E1549" s="7" t="s">
        <v>3520</v>
      </c>
      <c r="F1549" s="7" t="s">
        <v>3513</v>
      </c>
      <c r="G1549" s="7" t="n">
        <v>2010</v>
      </c>
      <c r="H1549" s="7" t="s">
        <v>52</v>
      </c>
      <c r="I1549" s="7" t="s">
        <v>330</v>
      </c>
      <c r="J1549" s="7" t="s">
        <v>147</v>
      </c>
      <c r="K1549" s="7" t="n">
        <f aca="false">IFERROR(VALUE(RIGHT(TRIM(F1549),4)),"")</f>
        <v>2019</v>
      </c>
      <c r="L1549" s="7" t="str">
        <f aca="false">IF(TRIM(E1549)="","Unknown",IFERROR(LEFT(TRIM(E1549),FIND(",",TRIM(E1549))-1),TRIM(E1549)))</f>
        <v>United States</v>
      </c>
      <c r="M1549" s="7" t="str">
        <f aca="false">IFERROR(LEFT(J1549,FIND(",",J1549)-1),J1549)</f>
        <v>Horror Movies</v>
      </c>
      <c r="N1549" s="7" t="n">
        <f aca="false">IF(B1549="Movie",IFERROR(VALUE(LEFT(I1549,FIND(" ",I1549)-1)),""),"")</f>
        <v>103</v>
      </c>
      <c r="O1549" s="7" t="str">
        <f aca="false">IF(B1549="TV Show",IFERROR(VALUE(LEFT(I1549,FIND(" ",I1549)-1)),""),"")</f>
        <v/>
      </c>
      <c r="P1549" s="7" t="n">
        <f aca="false">IF(K1549="","",K1549-G1549)</f>
        <v>9</v>
      </c>
    </row>
    <row r="1550" customFormat="false" ht="15" hidden="false" customHeight="false" outlineLevel="0" collapsed="false">
      <c r="A1550" s="7" t="n">
        <v>81035855</v>
      </c>
      <c r="B1550" s="7" t="s">
        <v>68</v>
      </c>
      <c r="C1550" s="7" t="s">
        <v>3521</v>
      </c>
      <c r="D1550" s="7" t="s">
        <v>3522</v>
      </c>
      <c r="E1550" s="7" t="s">
        <v>963</v>
      </c>
      <c r="F1550" s="7" t="s">
        <v>3513</v>
      </c>
      <c r="G1550" s="7" t="n">
        <v>2013</v>
      </c>
      <c r="H1550" s="7" t="s">
        <v>48</v>
      </c>
      <c r="I1550" s="7" t="s">
        <v>326</v>
      </c>
      <c r="J1550" s="7" t="s">
        <v>322</v>
      </c>
      <c r="K1550" s="7" t="n">
        <f aca="false">IFERROR(VALUE(RIGHT(TRIM(F1550),4)),"")</f>
        <v>2019</v>
      </c>
      <c r="L1550" s="7" t="str">
        <f aca="false">IF(TRIM(E1550)="","Unknown",IFERROR(LEFT(TRIM(E1550),FIND(",",TRIM(E1550))-1),TRIM(E1550)))</f>
        <v>Egypt</v>
      </c>
      <c r="M1550" s="7" t="str">
        <f aca="false">IFERROR(LEFT(J1550,FIND(",",J1550)-1),J1550)</f>
        <v>Action &amp; Adventure</v>
      </c>
      <c r="N1550" s="7" t="n">
        <f aca="false">IF(B1550="Movie",IFERROR(VALUE(LEFT(I1550,FIND(" ",I1550)-1)),""),"")</f>
        <v>111</v>
      </c>
      <c r="O1550" s="7" t="str">
        <f aca="false">IF(B1550="TV Show",IFERROR(VALUE(LEFT(I1550,FIND(" ",I1550)-1)),""),"")</f>
        <v/>
      </c>
      <c r="P1550" s="7" t="n">
        <f aca="false">IF(K1550="","",K1550-G1550)</f>
        <v>6</v>
      </c>
    </row>
    <row r="1551" customFormat="false" ht="15" hidden="false" customHeight="false" outlineLevel="0" collapsed="false">
      <c r="A1551" s="7" t="n">
        <v>81035845</v>
      </c>
      <c r="B1551" s="7" t="s">
        <v>68</v>
      </c>
      <c r="C1551" s="7" t="s">
        <v>3523</v>
      </c>
      <c r="D1551" s="7" t="s">
        <v>3524</v>
      </c>
      <c r="E1551" s="7" t="s">
        <v>963</v>
      </c>
      <c r="F1551" s="7" t="s">
        <v>3513</v>
      </c>
      <c r="G1551" s="7" t="n">
        <v>2015</v>
      </c>
      <c r="H1551" s="7" t="s">
        <v>48</v>
      </c>
      <c r="I1551" s="7" t="s">
        <v>205</v>
      </c>
      <c r="J1551" s="7" t="s">
        <v>112</v>
      </c>
      <c r="K1551" s="7" t="n">
        <f aca="false">IFERROR(VALUE(RIGHT(TRIM(F1551),4)),"")</f>
        <v>2019</v>
      </c>
      <c r="L1551" s="7" t="str">
        <f aca="false">IF(TRIM(E1551)="","Unknown",IFERROR(LEFT(TRIM(E1551),FIND(",",TRIM(E1551))-1),TRIM(E1551)))</f>
        <v>Egypt</v>
      </c>
      <c r="M1551" s="7" t="str">
        <f aca="false">IFERROR(LEFT(J1551,FIND(",",J1551)-1),J1551)</f>
        <v>Action &amp; Adventure</v>
      </c>
      <c r="N1551" s="7" t="n">
        <f aca="false">IF(B1551="Movie",IFERROR(VALUE(LEFT(I1551,FIND(" ",I1551)-1)),""),"")</f>
        <v>100</v>
      </c>
      <c r="O1551" s="7" t="str">
        <f aca="false">IF(B1551="TV Show",IFERROR(VALUE(LEFT(I1551,FIND(" ",I1551)-1)),""),"")</f>
        <v/>
      </c>
      <c r="P1551" s="7" t="n">
        <f aca="false">IF(K1551="","",K1551-G1551)</f>
        <v>4</v>
      </c>
    </row>
    <row r="1552" customFormat="false" ht="15" hidden="false" customHeight="false" outlineLevel="0" collapsed="false">
      <c r="A1552" s="7" t="n">
        <v>81035856</v>
      </c>
      <c r="B1552" s="7" t="s">
        <v>68</v>
      </c>
      <c r="C1552" s="7" t="s">
        <v>3525</v>
      </c>
      <c r="D1552" s="7" t="s">
        <v>3526</v>
      </c>
      <c r="E1552" s="7" t="s">
        <v>963</v>
      </c>
      <c r="F1552" s="7" t="s">
        <v>3513</v>
      </c>
      <c r="G1552" s="7" t="n">
        <v>2013</v>
      </c>
      <c r="H1552" s="7" t="s">
        <v>49</v>
      </c>
      <c r="I1552" s="7" t="s">
        <v>168</v>
      </c>
      <c r="J1552" s="7" t="s">
        <v>202</v>
      </c>
      <c r="K1552" s="7" t="n">
        <f aca="false">IFERROR(VALUE(RIGHT(TRIM(F1552),4)),"")</f>
        <v>2019</v>
      </c>
      <c r="L1552" s="7" t="str">
        <f aca="false">IF(TRIM(E1552)="","Unknown",IFERROR(LEFT(TRIM(E1552),FIND(",",TRIM(E1552))-1),TRIM(E1552)))</f>
        <v>Egypt</v>
      </c>
      <c r="M1552" s="7" t="str">
        <f aca="false">IFERROR(LEFT(J1552,FIND(",",J1552)-1),J1552)</f>
        <v>Comedies</v>
      </c>
      <c r="N1552" s="7" t="n">
        <f aca="false">IF(B1552="Movie",IFERROR(VALUE(LEFT(I1552,FIND(" ",I1552)-1)),""),"")</f>
        <v>112</v>
      </c>
      <c r="O1552" s="7" t="str">
        <f aca="false">IF(B1552="TV Show",IFERROR(VALUE(LEFT(I1552,FIND(" ",I1552)-1)),""),"")</f>
        <v/>
      </c>
      <c r="P1552" s="7" t="n">
        <f aca="false">IF(K1552="","",K1552-G1552)</f>
        <v>6</v>
      </c>
    </row>
    <row r="1553" customFormat="false" ht="15" hidden="false" customHeight="false" outlineLevel="0" collapsed="false">
      <c r="A1553" s="7" t="n">
        <v>81035857</v>
      </c>
      <c r="B1553" s="7" t="s">
        <v>68</v>
      </c>
      <c r="C1553" s="7" t="s">
        <v>3527</v>
      </c>
      <c r="D1553" s="7" t="s">
        <v>3528</v>
      </c>
      <c r="F1553" s="7" t="s">
        <v>3513</v>
      </c>
      <c r="G1553" s="7" t="n">
        <v>2013</v>
      </c>
      <c r="H1553" s="7" t="s">
        <v>48</v>
      </c>
      <c r="I1553" s="7" t="s">
        <v>138</v>
      </c>
      <c r="J1553" s="7" t="s">
        <v>202</v>
      </c>
      <c r="K1553" s="7" t="n">
        <f aca="false">IFERROR(VALUE(RIGHT(TRIM(F1553),4)),"")</f>
        <v>2019</v>
      </c>
      <c r="L1553" s="7" t="str">
        <f aca="false">IF(TRIM(E1553)="","Unknown",IFERROR(LEFT(TRIM(E1553),FIND(",",TRIM(E1553))-1),TRIM(E1553)))</f>
        <v>Unknown</v>
      </c>
      <c r="M1553" s="7" t="str">
        <f aca="false">IFERROR(LEFT(J1553,FIND(",",J1553)-1),J1553)</f>
        <v>Comedies</v>
      </c>
      <c r="N1553" s="7" t="n">
        <f aca="false">IF(B1553="Movie",IFERROR(VALUE(LEFT(I1553,FIND(" ",I1553)-1)),""),"")</f>
        <v>96</v>
      </c>
      <c r="O1553" s="7" t="str">
        <f aca="false">IF(B1553="TV Show",IFERROR(VALUE(LEFT(I1553,FIND(" ",I1553)-1)),""),"")</f>
        <v/>
      </c>
      <c r="P1553" s="7" t="n">
        <f aca="false">IF(K1553="","",K1553-G1553)</f>
        <v>6</v>
      </c>
    </row>
    <row r="1554" customFormat="false" ht="15" hidden="false" customHeight="false" outlineLevel="0" collapsed="false">
      <c r="A1554" s="7" t="n">
        <v>80134780</v>
      </c>
      <c r="B1554" s="7" t="s">
        <v>68</v>
      </c>
      <c r="C1554" s="7" t="s">
        <v>3529</v>
      </c>
      <c r="D1554" s="7" t="s">
        <v>3530</v>
      </c>
      <c r="E1554" s="7" t="s">
        <v>26</v>
      </c>
      <c r="F1554" s="7" t="s">
        <v>3531</v>
      </c>
      <c r="G1554" s="7" t="n">
        <v>2017</v>
      </c>
      <c r="H1554" s="7" t="s">
        <v>48</v>
      </c>
      <c r="I1554" s="7" t="s">
        <v>123</v>
      </c>
      <c r="J1554" s="7" t="s">
        <v>45</v>
      </c>
      <c r="K1554" s="7" t="n">
        <f aca="false">IFERROR(VALUE(RIGHT(TRIM(F1554),4)),"")</f>
        <v>2017</v>
      </c>
      <c r="L1554" s="7" t="str">
        <f aca="false">IF(TRIM(E1554)="","Unknown",IFERROR(LEFT(TRIM(E1554),FIND(",",TRIM(E1554))-1),TRIM(E1554)))</f>
        <v>United States</v>
      </c>
      <c r="M1554" s="7" t="str">
        <f aca="false">IFERROR(LEFT(J1554,FIND(",",J1554)-1),J1554)</f>
        <v>Stand-Up Comedy</v>
      </c>
      <c r="N1554" s="7" t="n">
        <f aca="false">IF(B1554="Movie",IFERROR(VALUE(LEFT(I1554,FIND(" ",I1554)-1)),""),"")</f>
        <v>61</v>
      </c>
      <c r="O1554" s="7" t="str">
        <f aca="false">IF(B1554="TV Show",IFERROR(VALUE(LEFT(I1554,FIND(" ",I1554)-1)),""),"")</f>
        <v/>
      </c>
      <c r="P1554" s="7" t="n">
        <f aca="false">IF(K1554="","",K1554-G1554)</f>
        <v>0</v>
      </c>
    </row>
    <row r="1555" customFormat="false" ht="15" hidden="false" customHeight="false" outlineLevel="0" collapsed="false">
      <c r="A1555" s="7" t="n">
        <v>80180684</v>
      </c>
      <c r="B1555" s="7" t="s">
        <v>78</v>
      </c>
      <c r="C1555" s="7" t="s">
        <v>3532</v>
      </c>
      <c r="F1555" s="7" t="s">
        <v>3533</v>
      </c>
      <c r="G1555" s="7" t="n">
        <v>2015</v>
      </c>
      <c r="H1555" s="7" t="s">
        <v>50</v>
      </c>
      <c r="I1555" s="7" t="s">
        <v>82</v>
      </c>
      <c r="J1555" s="7" t="s">
        <v>344</v>
      </c>
      <c r="K1555" s="7" t="n">
        <f aca="false">IFERROR(VALUE(RIGHT(TRIM(F1555),4)),"")</f>
        <v>2019</v>
      </c>
      <c r="L1555" s="7" t="str">
        <f aca="false">IF(TRIM(E1555)="","Unknown",IFERROR(LEFT(TRIM(E1555),FIND(",",TRIM(E1555))-1),TRIM(E1555)))</f>
        <v>Unknown</v>
      </c>
      <c r="M1555" s="7" t="str">
        <f aca="false">IFERROR(LEFT(J1555,FIND(",",J1555)-1),J1555)</f>
        <v>International TV Shows</v>
      </c>
      <c r="N1555" s="7" t="str">
        <f aca="false">IF(B1555="Movie",IFERROR(VALUE(LEFT(I1555,FIND(" ",I1555)-1)),""),"")</f>
        <v/>
      </c>
      <c r="O1555" s="7" t="n">
        <f aca="false">IF(B1555="TV Show",IFERROR(VALUE(LEFT(I1555,FIND(" ",I1555)-1)),""),"")</f>
        <v>1</v>
      </c>
      <c r="P1555" s="7" t="n">
        <f aca="false">IF(K1555="","",K1555-G1555)</f>
        <v>4</v>
      </c>
    </row>
    <row r="1556" customFormat="false" ht="15" hidden="false" customHeight="false" outlineLevel="0" collapsed="false">
      <c r="A1556" s="7" t="n">
        <v>80180681</v>
      </c>
      <c r="B1556" s="7" t="s">
        <v>78</v>
      </c>
      <c r="C1556" s="7" t="s">
        <v>3534</v>
      </c>
      <c r="F1556" s="7" t="s">
        <v>3533</v>
      </c>
      <c r="G1556" s="7" t="n">
        <v>2016</v>
      </c>
      <c r="H1556" s="7" t="s">
        <v>50</v>
      </c>
      <c r="I1556" s="7" t="s">
        <v>82</v>
      </c>
      <c r="J1556" s="7" t="s">
        <v>1357</v>
      </c>
      <c r="K1556" s="7" t="n">
        <f aca="false">IFERROR(VALUE(RIGHT(TRIM(F1556),4)),"")</f>
        <v>2019</v>
      </c>
      <c r="L1556" s="7" t="str">
        <f aca="false">IF(TRIM(E1556)="","Unknown",IFERROR(LEFT(TRIM(E1556),FIND(",",TRIM(E1556))-1),TRIM(E1556)))</f>
        <v>Unknown</v>
      </c>
      <c r="M1556" s="7" t="str">
        <f aca="false">IFERROR(LEFT(J1556,FIND(",",J1556)-1),J1556)</f>
        <v>International TV Shows</v>
      </c>
      <c r="N1556" s="7" t="str">
        <f aca="false">IF(B1556="Movie",IFERROR(VALUE(LEFT(I1556,FIND(" ",I1556)-1)),""),"")</f>
        <v/>
      </c>
      <c r="O1556" s="7" t="n">
        <f aca="false">IF(B1556="TV Show",IFERROR(VALUE(LEFT(I1556,FIND(" ",I1556)-1)),""),"")</f>
        <v>1</v>
      </c>
      <c r="P1556" s="7" t="n">
        <f aca="false">IF(K1556="","",K1556-G1556)</f>
        <v>3</v>
      </c>
    </row>
    <row r="1557" customFormat="false" ht="15" hidden="false" customHeight="false" outlineLevel="0" collapsed="false">
      <c r="A1557" s="7" t="n">
        <v>80180710</v>
      </c>
      <c r="B1557" s="7" t="s">
        <v>78</v>
      </c>
      <c r="C1557" s="7" t="s">
        <v>3535</v>
      </c>
      <c r="F1557" s="7" t="s">
        <v>3533</v>
      </c>
      <c r="G1557" s="7" t="n">
        <v>2016</v>
      </c>
      <c r="H1557" s="7" t="s">
        <v>49</v>
      </c>
      <c r="I1557" s="7" t="s">
        <v>82</v>
      </c>
      <c r="J1557" s="7" t="s">
        <v>314</v>
      </c>
      <c r="K1557" s="7" t="n">
        <f aca="false">IFERROR(VALUE(RIGHT(TRIM(F1557),4)),"")</f>
        <v>2019</v>
      </c>
      <c r="L1557" s="7" t="str">
        <f aca="false">IF(TRIM(E1557)="","Unknown",IFERROR(LEFT(TRIM(E1557),FIND(",",TRIM(E1557))-1),TRIM(E1557)))</f>
        <v>Unknown</v>
      </c>
      <c r="M1557" s="7" t="str">
        <f aca="false">IFERROR(LEFT(J1557,FIND(",",J1557)-1),J1557)</f>
        <v>International TV Shows</v>
      </c>
      <c r="N1557" s="7" t="str">
        <f aca="false">IF(B1557="Movie",IFERROR(VALUE(LEFT(I1557,FIND(" ",I1557)-1)),""),"")</f>
        <v/>
      </c>
      <c r="O1557" s="7" t="n">
        <f aca="false">IF(B1557="TV Show",IFERROR(VALUE(LEFT(I1557,FIND(" ",I1557)-1)),""),"")</f>
        <v>1</v>
      </c>
      <c r="P1557" s="7" t="n">
        <f aca="false">IF(K1557="","",K1557-G1557)</f>
        <v>3</v>
      </c>
    </row>
    <row r="1558" customFormat="false" ht="15" hidden="false" customHeight="false" outlineLevel="0" collapsed="false">
      <c r="A1558" s="7" t="n">
        <v>80180545</v>
      </c>
      <c r="B1558" s="7" t="s">
        <v>78</v>
      </c>
      <c r="C1558" s="7" t="s">
        <v>3536</v>
      </c>
      <c r="F1558" s="7" t="s">
        <v>3533</v>
      </c>
      <c r="G1558" s="7" t="n">
        <v>2015</v>
      </c>
      <c r="H1558" s="7" t="s">
        <v>49</v>
      </c>
      <c r="I1558" s="7" t="s">
        <v>82</v>
      </c>
      <c r="J1558" s="7" t="s">
        <v>314</v>
      </c>
      <c r="K1558" s="7" t="n">
        <f aca="false">IFERROR(VALUE(RIGHT(TRIM(F1558),4)),"")</f>
        <v>2019</v>
      </c>
      <c r="L1558" s="7" t="str">
        <f aca="false">IF(TRIM(E1558)="","Unknown",IFERROR(LEFT(TRIM(E1558),FIND(",",TRIM(E1558))-1),TRIM(E1558)))</f>
        <v>Unknown</v>
      </c>
      <c r="M1558" s="7" t="str">
        <f aca="false">IFERROR(LEFT(J1558,FIND(",",J1558)-1),J1558)</f>
        <v>International TV Shows</v>
      </c>
      <c r="N1558" s="7" t="str">
        <f aca="false">IF(B1558="Movie",IFERROR(VALUE(LEFT(I1558,FIND(" ",I1558)-1)),""),"")</f>
        <v/>
      </c>
      <c r="O1558" s="7" t="n">
        <f aca="false">IF(B1558="TV Show",IFERROR(VALUE(LEFT(I1558,FIND(" ",I1558)-1)),""),"")</f>
        <v>1</v>
      </c>
      <c r="P1558" s="7" t="n">
        <f aca="false">IF(K1558="","",K1558-G1558)</f>
        <v>4</v>
      </c>
    </row>
    <row r="1559" customFormat="false" ht="15" hidden="false" customHeight="false" outlineLevel="0" collapsed="false">
      <c r="A1559" s="7" t="n">
        <v>80163296</v>
      </c>
      <c r="B1559" s="7" t="s">
        <v>78</v>
      </c>
      <c r="C1559" s="7" t="s">
        <v>3537</v>
      </c>
      <c r="F1559" s="7" t="s">
        <v>3533</v>
      </c>
      <c r="G1559" s="7" t="n">
        <v>2015</v>
      </c>
      <c r="H1559" s="7" t="s">
        <v>49</v>
      </c>
      <c r="I1559" s="7" t="s">
        <v>82</v>
      </c>
      <c r="J1559" s="7" t="s">
        <v>314</v>
      </c>
      <c r="K1559" s="7" t="n">
        <f aca="false">IFERROR(VALUE(RIGHT(TRIM(F1559),4)),"")</f>
        <v>2019</v>
      </c>
      <c r="L1559" s="7" t="str">
        <f aca="false">IF(TRIM(E1559)="","Unknown",IFERROR(LEFT(TRIM(E1559),FIND(",",TRIM(E1559))-1),TRIM(E1559)))</f>
        <v>Unknown</v>
      </c>
      <c r="M1559" s="7" t="str">
        <f aca="false">IFERROR(LEFT(J1559,FIND(",",J1559)-1),J1559)</f>
        <v>International TV Shows</v>
      </c>
      <c r="N1559" s="7" t="str">
        <f aca="false">IF(B1559="Movie",IFERROR(VALUE(LEFT(I1559,FIND(" ",I1559)-1)),""),"")</f>
        <v/>
      </c>
      <c r="O1559" s="7" t="n">
        <f aca="false">IF(B1559="TV Show",IFERROR(VALUE(LEFT(I1559,FIND(" ",I1559)-1)),""),"")</f>
        <v>1</v>
      </c>
      <c r="P1559" s="7" t="n">
        <f aca="false">IF(K1559="","",K1559-G1559)</f>
        <v>4</v>
      </c>
    </row>
    <row r="1560" customFormat="false" ht="15" hidden="false" customHeight="false" outlineLevel="0" collapsed="false">
      <c r="A1560" s="7" t="n">
        <v>80180588</v>
      </c>
      <c r="B1560" s="7" t="s">
        <v>78</v>
      </c>
      <c r="C1560" s="7" t="s">
        <v>3538</v>
      </c>
      <c r="F1560" s="7" t="s">
        <v>3533</v>
      </c>
      <c r="G1560" s="7" t="n">
        <v>2016</v>
      </c>
      <c r="H1560" s="7" t="s">
        <v>49</v>
      </c>
      <c r="I1560" s="7" t="s">
        <v>82</v>
      </c>
      <c r="J1560" s="7" t="s">
        <v>344</v>
      </c>
      <c r="K1560" s="7" t="n">
        <f aca="false">IFERROR(VALUE(RIGHT(TRIM(F1560),4)),"")</f>
        <v>2019</v>
      </c>
      <c r="L1560" s="7" t="str">
        <f aca="false">IF(TRIM(E1560)="","Unknown",IFERROR(LEFT(TRIM(E1560),FIND(",",TRIM(E1560))-1),TRIM(E1560)))</f>
        <v>Unknown</v>
      </c>
      <c r="M1560" s="7" t="str">
        <f aca="false">IFERROR(LEFT(J1560,FIND(",",J1560)-1),J1560)</f>
        <v>International TV Shows</v>
      </c>
      <c r="N1560" s="7" t="str">
        <f aca="false">IF(B1560="Movie",IFERROR(VALUE(LEFT(I1560,FIND(" ",I1560)-1)),""),"")</f>
        <v/>
      </c>
      <c r="O1560" s="7" t="n">
        <f aca="false">IF(B1560="TV Show",IFERROR(VALUE(LEFT(I1560,FIND(" ",I1560)-1)),""),"")</f>
        <v>1</v>
      </c>
      <c r="P1560" s="7" t="n">
        <f aca="false">IF(K1560="","",K1560-G1560)</f>
        <v>3</v>
      </c>
    </row>
    <row r="1561" customFormat="false" ht="15" hidden="false" customHeight="false" outlineLevel="0" collapsed="false">
      <c r="A1561" s="7" t="n">
        <v>80163532</v>
      </c>
      <c r="B1561" s="7" t="s">
        <v>78</v>
      </c>
      <c r="C1561" s="7" t="s">
        <v>3539</v>
      </c>
      <c r="F1561" s="7" t="s">
        <v>3533</v>
      </c>
      <c r="G1561" s="7" t="n">
        <v>2015</v>
      </c>
      <c r="H1561" s="7" t="s">
        <v>49</v>
      </c>
      <c r="I1561" s="7" t="s">
        <v>82</v>
      </c>
      <c r="J1561" s="7" t="s">
        <v>158</v>
      </c>
      <c r="K1561" s="7" t="n">
        <f aca="false">IFERROR(VALUE(RIGHT(TRIM(F1561),4)),"")</f>
        <v>2019</v>
      </c>
      <c r="L1561" s="7" t="str">
        <f aca="false">IF(TRIM(E1561)="","Unknown",IFERROR(LEFT(TRIM(E1561),FIND(",",TRIM(E1561))-1),TRIM(E1561)))</f>
        <v>Unknown</v>
      </c>
      <c r="M1561" s="7" t="str">
        <f aca="false">IFERROR(LEFT(J1561,FIND(",",J1561)-1),J1561)</f>
        <v>International TV Shows</v>
      </c>
      <c r="N1561" s="7" t="str">
        <f aca="false">IF(B1561="Movie",IFERROR(VALUE(LEFT(I1561,FIND(" ",I1561)-1)),""),"")</f>
        <v/>
      </c>
      <c r="O1561" s="7" t="n">
        <f aca="false">IF(B1561="TV Show",IFERROR(VALUE(LEFT(I1561,FIND(" ",I1561)-1)),""),"")</f>
        <v>1</v>
      </c>
      <c r="P1561" s="7" t="n">
        <f aca="false">IF(K1561="","",K1561-G1561)</f>
        <v>4</v>
      </c>
    </row>
    <row r="1562" customFormat="false" ht="15" hidden="false" customHeight="false" outlineLevel="0" collapsed="false">
      <c r="A1562" s="7" t="n">
        <v>80180591</v>
      </c>
      <c r="B1562" s="7" t="s">
        <v>78</v>
      </c>
      <c r="C1562" s="7" t="s">
        <v>3540</v>
      </c>
      <c r="F1562" s="7" t="s">
        <v>3533</v>
      </c>
      <c r="G1562" s="7" t="n">
        <v>2016</v>
      </c>
      <c r="H1562" s="7" t="s">
        <v>50</v>
      </c>
      <c r="I1562" s="7" t="s">
        <v>82</v>
      </c>
      <c r="J1562" s="7" t="s">
        <v>344</v>
      </c>
      <c r="K1562" s="7" t="n">
        <f aca="false">IFERROR(VALUE(RIGHT(TRIM(F1562),4)),"")</f>
        <v>2019</v>
      </c>
      <c r="L1562" s="7" t="str">
        <f aca="false">IF(TRIM(E1562)="","Unknown",IFERROR(LEFT(TRIM(E1562),FIND(",",TRIM(E1562))-1),TRIM(E1562)))</f>
        <v>Unknown</v>
      </c>
      <c r="M1562" s="7" t="str">
        <f aca="false">IFERROR(LEFT(J1562,FIND(",",J1562)-1),J1562)</f>
        <v>International TV Shows</v>
      </c>
      <c r="N1562" s="7" t="str">
        <f aca="false">IF(B1562="Movie",IFERROR(VALUE(LEFT(I1562,FIND(" ",I1562)-1)),""),"")</f>
        <v/>
      </c>
      <c r="O1562" s="7" t="n">
        <f aca="false">IF(B1562="TV Show",IFERROR(VALUE(LEFT(I1562,FIND(" ",I1562)-1)),""),"")</f>
        <v>1</v>
      </c>
      <c r="P1562" s="7" t="n">
        <f aca="false">IF(K1562="","",K1562-G1562)</f>
        <v>3</v>
      </c>
    </row>
    <row r="1563" customFormat="false" ht="15" hidden="false" customHeight="false" outlineLevel="0" collapsed="false">
      <c r="A1563" s="7" t="n">
        <v>80163533</v>
      </c>
      <c r="B1563" s="7" t="s">
        <v>78</v>
      </c>
      <c r="C1563" s="7" t="s">
        <v>3541</v>
      </c>
      <c r="F1563" s="7" t="s">
        <v>3533</v>
      </c>
      <c r="G1563" s="7" t="n">
        <v>2016</v>
      </c>
      <c r="H1563" s="7" t="s">
        <v>49</v>
      </c>
      <c r="I1563" s="7" t="s">
        <v>82</v>
      </c>
      <c r="J1563" s="7" t="s">
        <v>3542</v>
      </c>
      <c r="K1563" s="7" t="n">
        <f aca="false">IFERROR(VALUE(RIGHT(TRIM(F1563),4)),"")</f>
        <v>2019</v>
      </c>
      <c r="L1563" s="7" t="str">
        <f aca="false">IF(TRIM(E1563)="","Unknown",IFERROR(LEFT(TRIM(E1563),FIND(",",TRIM(E1563))-1),TRIM(E1563)))</f>
        <v>Unknown</v>
      </c>
      <c r="M1563" s="7" t="str">
        <f aca="false">IFERROR(LEFT(J1563,FIND(",",J1563)-1),J1563)</f>
        <v>International TV Shows</v>
      </c>
      <c r="N1563" s="7" t="str">
        <f aca="false">IF(B1563="Movie",IFERROR(VALUE(LEFT(I1563,FIND(" ",I1563)-1)),""),"")</f>
        <v/>
      </c>
      <c r="O1563" s="7" t="n">
        <f aca="false">IF(B1563="TV Show",IFERROR(VALUE(LEFT(I1563,FIND(" ",I1563)-1)),""),"")</f>
        <v>1</v>
      </c>
      <c r="P1563" s="7" t="n">
        <f aca="false">IF(K1563="","",K1563-G1563)</f>
        <v>3</v>
      </c>
    </row>
    <row r="1564" customFormat="false" ht="15" hidden="false" customHeight="false" outlineLevel="0" collapsed="false">
      <c r="A1564" s="7" t="n">
        <v>80221308</v>
      </c>
      <c r="B1564" s="7" t="s">
        <v>68</v>
      </c>
      <c r="C1564" s="7" t="s">
        <v>3543</v>
      </c>
      <c r="D1564" s="7" t="s">
        <v>3544</v>
      </c>
      <c r="E1564" s="7" t="s">
        <v>26</v>
      </c>
      <c r="F1564" s="7" t="s">
        <v>3545</v>
      </c>
      <c r="G1564" s="7" t="n">
        <v>2017</v>
      </c>
      <c r="H1564" s="7" t="s">
        <v>48</v>
      </c>
      <c r="I1564" s="7" t="s">
        <v>661</v>
      </c>
      <c r="J1564" s="7" t="s">
        <v>147</v>
      </c>
      <c r="K1564" s="7" t="n">
        <f aca="false">IFERROR(VALUE(RIGHT(TRIM(F1564),4)),"")</f>
        <v>2018</v>
      </c>
      <c r="L1564" s="7" t="str">
        <f aca="false">IF(TRIM(E1564)="","Unknown",IFERROR(LEFT(TRIM(E1564),FIND(",",TRIM(E1564))-1),TRIM(E1564)))</f>
        <v>United States</v>
      </c>
      <c r="M1564" s="7" t="str">
        <f aca="false">IFERROR(LEFT(J1564,FIND(",",J1564)-1),J1564)</f>
        <v>Horror Movies</v>
      </c>
      <c r="N1564" s="7" t="n">
        <f aca="false">IF(B1564="Movie",IFERROR(VALUE(LEFT(I1564,FIND(" ",I1564)-1)),""),"")</f>
        <v>76</v>
      </c>
      <c r="O1564" s="7" t="str">
        <f aca="false">IF(B1564="TV Show",IFERROR(VALUE(LEFT(I1564,FIND(" ",I1564)-1)),""),"")</f>
        <v/>
      </c>
      <c r="P1564" s="7" t="n">
        <f aca="false">IF(K1564="","",K1564-G1564)</f>
        <v>1</v>
      </c>
    </row>
    <row r="1565" customFormat="false" ht="15" hidden="false" customHeight="false" outlineLevel="0" collapsed="false">
      <c r="A1565" s="7" t="n">
        <v>80213657</v>
      </c>
      <c r="B1565" s="7" t="s">
        <v>68</v>
      </c>
      <c r="C1565" s="7" t="s">
        <v>3546</v>
      </c>
      <c r="D1565" s="7" t="s">
        <v>499</v>
      </c>
      <c r="E1565" s="7" t="s">
        <v>26</v>
      </c>
      <c r="F1565" s="7" t="s">
        <v>3545</v>
      </c>
      <c r="G1565" s="7" t="n">
        <v>2018</v>
      </c>
      <c r="H1565" s="7" t="s">
        <v>48</v>
      </c>
      <c r="I1565" s="7" t="s">
        <v>876</v>
      </c>
      <c r="J1565" s="7" t="s">
        <v>45</v>
      </c>
      <c r="K1565" s="7" t="n">
        <f aca="false">IFERROR(VALUE(RIGHT(TRIM(F1565),4)),"")</f>
        <v>2018</v>
      </c>
      <c r="L1565" s="7" t="str">
        <f aca="false">IF(TRIM(E1565)="","Unknown",IFERROR(LEFT(TRIM(E1565),FIND(",",TRIM(E1565))-1),TRIM(E1565)))</f>
        <v>United States</v>
      </c>
      <c r="M1565" s="7" t="str">
        <f aca="false">IFERROR(LEFT(J1565,FIND(",",J1565)-1),J1565)</f>
        <v>Stand-Up Comedy</v>
      </c>
      <c r="N1565" s="7" t="n">
        <f aca="false">IF(B1565="Movie",IFERROR(VALUE(LEFT(I1565,FIND(" ",I1565)-1)),""),"")</f>
        <v>67</v>
      </c>
      <c r="O1565" s="7" t="str">
        <f aca="false">IF(B1565="TV Show",IFERROR(VALUE(LEFT(I1565,FIND(" ",I1565)-1)),""),"")</f>
        <v/>
      </c>
      <c r="P1565" s="7" t="n">
        <f aca="false">IF(K1565="","",K1565-G1565)</f>
        <v>0</v>
      </c>
    </row>
    <row r="1566" customFormat="false" ht="15" hidden="false" customHeight="false" outlineLevel="0" collapsed="false">
      <c r="A1566" s="7" t="n">
        <v>80217133</v>
      </c>
      <c r="B1566" s="7" t="s">
        <v>68</v>
      </c>
      <c r="C1566" s="7" t="s">
        <v>3547</v>
      </c>
      <c r="D1566" s="7" t="s">
        <v>3548</v>
      </c>
      <c r="E1566" s="7" t="s">
        <v>28</v>
      </c>
      <c r="F1566" s="7" t="s">
        <v>3545</v>
      </c>
      <c r="G1566" s="7" t="n">
        <v>2016</v>
      </c>
      <c r="H1566" s="7" t="s">
        <v>48</v>
      </c>
      <c r="I1566" s="7" t="s">
        <v>87</v>
      </c>
      <c r="J1566" s="7" t="s">
        <v>811</v>
      </c>
      <c r="K1566" s="7" t="n">
        <f aca="false">IFERROR(VALUE(RIGHT(TRIM(F1566),4)),"")</f>
        <v>2018</v>
      </c>
      <c r="L1566" s="7" t="str">
        <f aca="false">IF(TRIM(E1566)="","Unknown",IFERROR(LEFT(TRIM(E1566),FIND(",",TRIM(E1566))-1),TRIM(E1566)))</f>
        <v>United Kingdom</v>
      </c>
      <c r="M1566" s="7" t="str">
        <f aca="false">IFERROR(LEFT(J1566,FIND(",",J1566)-1),J1566)</f>
        <v>Thrillers</v>
      </c>
      <c r="N1566" s="7" t="n">
        <f aca="false">IF(B1566="Movie",IFERROR(VALUE(LEFT(I1566,FIND(" ",I1566)-1)),""),"")</f>
        <v>99</v>
      </c>
      <c r="O1566" s="7" t="str">
        <f aca="false">IF(B1566="TV Show",IFERROR(VALUE(LEFT(I1566,FIND(" ",I1566)-1)),""),"")</f>
        <v/>
      </c>
      <c r="P1566" s="7" t="n">
        <f aca="false">IF(K1566="","",K1566-G1566)</f>
        <v>2</v>
      </c>
    </row>
    <row r="1567" customFormat="false" ht="15" hidden="false" customHeight="false" outlineLevel="0" collapsed="false">
      <c r="A1567" s="7" t="n">
        <v>80106754</v>
      </c>
      <c r="B1567" s="7" t="s">
        <v>68</v>
      </c>
      <c r="C1567" s="7" t="s">
        <v>3549</v>
      </c>
      <c r="D1567" s="7" t="s">
        <v>3550</v>
      </c>
      <c r="E1567" s="7" t="s">
        <v>26</v>
      </c>
      <c r="F1567" s="7" t="s">
        <v>3551</v>
      </c>
      <c r="G1567" s="7" t="n">
        <v>2016</v>
      </c>
      <c r="H1567" s="7" t="s">
        <v>48</v>
      </c>
      <c r="I1567" s="7" t="s">
        <v>311</v>
      </c>
      <c r="J1567" s="7" t="s">
        <v>39</v>
      </c>
      <c r="K1567" s="7" t="n">
        <f aca="false">IFERROR(VALUE(RIGHT(TRIM(F1567),4)),"")</f>
        <v>2017</v>
      </c>
      <c r="L1567" s="7" t="str">
        <f aca="false">IF(TRIM(E1567)="","Unknown",IFERROR(LEFT(TRIM(E1567),FIND(",",TRIM(E1567))-1),TRIM(E1567)))</f>
        <v>United States</v>
      </c>
      <c r="M1567" s="7" t="str">
        <f aca="false">IFERROR(LEFT(J1567,FIND(",",J1567)-1),J1567)</f>
        <v>Documentaries</v>
      </c>
      <c r="N1567" s="7" t="n">
        <f aca="false">IF(B1567="Movie",IFERROR(VALUE(LEFT(I1567,FIND(" ",I1567)-1)),""),"")</f>
        <v>92</v>
      </c>
      <c r="O1567" s="7" t="str">
        <f aca="false">IF(B1567="TV Show",IFERROR(VALUE(LEFT(I1567,FIND(" ",I1567)-1)),""),"")</f>
        <v/>
      </c>
      <c r="P1567" s="7" t="n">
        <f aca="false">IF(K1567="","",K1567-G1567)</f>
        <v>1</v>
      </c>
    </row>
    <row r="1568" customFormat="false" ht="15" hidden="false" customHeight="false" outlineLevel="0" collapsed="false">
      <c r="A1568" s="7" t="n">
        <v>80059440</v>
      </c>
      <c r="B1568" s="7" t="s">
        <v>68</v>
      </c>
      <c r="C1568" s="7" t="s">
        <v>3552</v>
      </c>
      <c r="D1568" s="7" t="s">
        <v>3553</v>
      </c>
      <c r="E1568" s="7" t="s">
        <v>3554</v>
      </c>
      <c r="F1568" s="7" t="s">
        <v>3555</v>
      </c>
      <c r="G1568" s="7" t="n">
        <v>2015</v>
      </c>
      <c r="H1568" s="7" t="s">
        <v>53</v>
      </c>
      <c r="I1568" s="7" t="s">
        <v>294</v>
      </c>
      <c r="J1568" s="7" t="s">
        <v>188</v>
      </c>
      <c r="K1568" s="7" t="n">
        <f aca="false">IFERROR(VALUE(RIGHT(TRIM(F1568),4)),"")</f>
        <v>2016</v>
      </c>
      <c r="L1568" s="7" t="str">
        <f aca="false">IF(TRIM(E1568)="","Unknown",IFERROR(LEFT(TRIM(E1568),FIND(",",TRIM(E1568))-1),TRIM(E1568)))</f>
        <v>Mexico</v>
      </c>
      <c r="M1568" s="7" t="str">
        <f aca="false">IFERROR(LEFT(J1568,FIND(",",J1568)-1),J1568)</f>
        <v>Dramas</v>
      </c>
      <c r="N1568" s="7" t="n">
        <f aca="false">IF(B1568="Movie",IFERROR(VALUE(LEFT(I1568,FIND(" ",I1568)-1)),""),"")</f>
        <v>107</v>
      </c>
      <c r="O1568" s="7" t="str">
        <f aca="false">IF(B1568="TV Show",IFERROR(VALUE(LEFT(I1568,FIND(" ",I1568)-1)),""),"")</f>
        <v/>
      </c>
      <c r="P1568" s="7" t="n">
        <f aca="false">IF(K1568="","",K1568-G1568)</f>
        <v>1</v>
      </c>
    </row>
    <row r="1569" customFormat="false" ht="15" hidden="false" customHeight="false" outlineLevel="0" collapsed="false">
      <c r="A1569" s="7" t="n">
        <v>81087762</v>
      </c>
      <c r="B1569" s="7" t="s">
        <v>78</v>
      </c>
      <c r="C1569" s="7" t="s">
        <v>3556</v>
      </c>
      <c r="E1569" s="7" t="s">
        <v>32</v>
      </c>
      <c r="F1569" s="7" t="s">
        <v>3557</v>
      </c>
      <c r="G1569" s="7" t="n">
        <v>2019</v>
      </c>
      <c r="H1569" s="7" t="s">
        <v>49</v>
      </c>
      <c r="I1569" s="7" t="s">
        <v>82</v>
      </c>
      <c r="J1569" s="7" t="s">
        <v>1877</v>
      </c>
      <c r="K1569" s="7" t="n">
        <f aca="false">IFERROR(VALUE(RIGHT(TRIM(F1569),4)),"")</f>
        <v>2019</v>
      </c>
      <c r="L1569" s="7" t="str">
        <f aca="false">IF(TRIM(E1569)="","Unknown",IFERROR(LEFT(TRIM(E1569),FIND(",",TRIM(E1569))-1),TRIM(E1569)))</f>
        <v>South Korea</v>
      </c>
      <c r="M1569" s="7" t="str">
        <f aca="false">IFERROR(LEFT(J1569,FIND(",",J1569)-1),J1569)</f>
        <v>Crime TV Shows</v>
      </c>
      <c r="N1569" s="7" t="str">
        <f aca="false">IF(B1569="Movie",IFERROR(VALUE(LEFT(I1569,FIND(" ",I1569)-1)),""),"")</f>
        <v/>
      </c>
      <c r="O1569" s="7" t="n">
        <f aca="false">IF(B1569="TV Show",IFERROR(VALUE(LEFT(I1569,FIND(" ",I1569)-1)),""),"")</f>
        <v>1</v>
      </c>
      <c r="P1569" s="7" t="n">
        <f aca="false">IF(K1569="","",K1569-G1569)</f>
        <v>0</v>
      </c>
    </row>
    <row r="1570" customFormat="false" ht="15" hidden="false" customHeight="false" outlineLevel="0" collapsed="false">
      <c r="A1570" s="7" t="n">
        <v>81082953</v>
      </c>
      <c r="B1570" s="7" t="s">
        <v>78</v>
      </c>
      <c r="C1570" s="7" t="s">
        <v>3558</v>
      </c>
      <c r="F1570" s="7" t="s">
        <v>3557</v>
      </c>
      <c r="G1570" s="7" t="n">
        <v>2019</v>
      </c>
      <c r="H1570" s="7" t="s">
        <v>49</v>
      </c>
      <c r="I1570" s="7" t="s">
        <v>82</v>
      </c>
      <c r="J1570" s="7" t="s">
        <v>335</v>
      </c>
      <c r="K1570" s="7" t="n">
        <f aca="false">IFERROR(VALUE(RIGHT(TRIM(F1570),4)),"")</f>
        <v>2019</v>
      </c>
      <c r="L1570" s="7" t="str">
        <f aca="false">IF(TRIM(E1570)="","Unknown",IFERROR(LEFT(TRIM(E1570),FIND(",",TRIM(E1570))-1),TRIM(E1570)))</f>
        <v>Unknown</v>
      </c>
      <c r="M1570" s="7" t="str">
        <f aca="false">IFERROR(LEFT(J1570,FIND(",",J1570)-1),J1570)</f>
        <v>International TV Shows</v>
      </c>
      <c r="N1570" s="7" t="str">
        <f aca="false">IF(B1570="Movie",IFERROR(VALUE(LEFT(I1570,FIND(" ",I1570)-1)),""),"")</f>
        <v/>
      </c>
      <c r="O1570" s="7" t="n">
        <f aca="false">IF(B1570="TV Show",IFERROR(VALUE(LEFT(I1570,FIND(" ",I1570)-1)),""),"")</f>
        <v>1</v>
      </c>
      <c r="P1570" s="7" t="n">
        <f aca="false">IF(K1570="","",K1570-G1570)</f>
        <v>0</v>
      </c>
    </row>
    <row r="1571" customFormat="false" ht="15" hidden="false" customHeight="false" outlineLevel="0" collapsed="false">
      <c r="A1571" s="7" t="n">
        <v>81104339</v>
      </c>
      <c r="B1571" s="7" t="s">
        <v>78</v>
      </c>
      <c r="C1571" s="7" t="s">
        <v>3559</v>
      </c>
      <c r="F1571" s="7" t="s">
        <v>3557</v>
      </c>
      <c r="G1571" s="7" t="n">
        <v>2019</v>
      </c>
      <c r="H1571" s="7" t="s">
        <v>49</v>
      </c>
      <c r="I1571" s="7" t="s">
        <v>82</v>
      </c>
      <c r="J1571" s="7" t="s">
        <v>344</v>
      </c>
      <c r="K1571" s="7" t="n">
        <f aca="false">IFERROR(VALUE(RIGHT(TRIM(F1571),4)),"")</f>
        <v>2019</v>
      </c>
      <c r="L1571" s="7" t="str">
        <f aca="false">IF(TRIM(E1571)="","Unknown",IFERROR(LEFT(TRIM(E1571),FIND(",",TRIM(E1571))-1),TRIM(E1571)))</f>
        <v>Unknown</v>
      </c>
      <c r="M1571" s="7" t="str">
        <f aca="false">IFERROR(LEFT(J1571,FIND(",",J1571)-1),J1571)</f>
        <v>International TV Shows</v>
      </c>
      <c r="N1571" s="7" t="str">
        <f aca="false">IF(B1571="Movie",IFERROR(VALUE(LEFT(I1571,FIND(" ",I1571)-1)),""),"")</f>
        <v/>
      </c>
      <c r="O1571" s="7" t="n">
        <f aca="false">IF(B1571="TV Show",IFERROR(VALUE(LEFT(I1571,FIND(" ",I1571)-1)),""),"")</f>
        <v>1</v>
      </c>
      <c r="P1571" s="7" t="n">
        <f aca="false">IF(K1571="","",K1571-G1571)</f>
        <v>0</v>
      </c>
    </row>
    <row r="1572" customFormat="false" ht="15" hidden="false" customHeight="false" outlineLevel="0" collapsed="false">
      <c r="A1572" s="7" t="n">
        <v>81074375</v>
      </c>
      <c r="B1572" s="7" t="s">
        <v>68</v>
      </c>
      <c r="C1572" s="7" t="s">
        <v>3560</v>
      </c>
      <c r="D1572" s="7" t="s">
        <v>3561</v>
      </c>
      <c r="E1572" s="7" t="s">
        <v>29</v>
      </c>
      <c r="F1572" s="7" t="s">
        <v>3557</v>
      </c>
      <c r="G1572" s="7" t="n">
        <v>2018</v>
      </c>
      <c r="H1572" s="7" t="s">
        <v>48</v>
      </c>
      <c r="I1572" s="7" t="s">
        <v>861</v>
      </c>
      <c r="J1572" s="7" t="s">
        <v>39</v>
      </c>
      <c r="K1572" s="7" t="n">
        <f aca="false">IFERROR(VALUE(RIGHT(TRIM(F1572),4)),"")</f>
        <v>2019</v>
      </c>
      <c r="L1572" s="7" t="str">
        <f aca="false">IF(TRIM(E1572)="","Unknown",IFERROR(LEFT(TRIM(E1572),FIND(",",TRIM(E1572))-1),TRIM(E1572)))</f>
        <v>Canada</v>
      </c>
      <c r="M1572" s="7" t="str">
        <f aca="false">IFERROR(LEFT(J1572,FIND(",",J1572)-1),J1572)</f>
        <v>Documentaries</v>
      </c>
      <c r="N1572" s="7" t="n">
        <f aca="false">IF(B1572="Movie",IFERROR(VALUE(LEFT(I1572,FIND(" ",I1572)-1)),""),"")</f>
        <v>71</v>
      </c>
      <c r="O1572" s="7" t="str">
        <f aca="false">IF(B1572="TV Show",IFERROR(VALUE(LEFT(I1572,FIND(" ",I1572)-1)),""),"")</f>
        <v/>
      </c>
      <c r="P1572" s="7" t="n">
        <f aca="false">IF(K1572="","",K1572-G1572)</f>
        <v>1</v>
      </c>
    </row>
    <row r="1573" customFormat="false" ht="15" hidden="false" customHeight="false" outlineLevel="0" collapsed="false">
      <c r="A1573" s="7" t="n">
        <v>81082781</v>
      </c>
      <c r="B1573" s="7" t="s">
        <v>78</v>
      </c>
      <c r="C1573" s="7" t="s">
        <v>3562</v>
      </c>
      <c r="E1573" s="7" t="s">
        <v>711</v>
      </c>
      <c r="F1573" s="7" t="s">
        <v>3557</v>
      </c>
      <c r="G1573" s="7" t="n">
        <v>2019</v>
      </c>
      <c r="H1573" s="7" t="s">
        <v>48</v>
      </c>
      <c r="I1573" s="7" t="s">
        <v>82</v>
      </c>
      <c r="J1573" s="7" t="s">
        <v>402</v>
      </c>
      <c r="K1573" s="7" t="n">
        <f aca="false">IFERROR(VALUE(RIGHT(TRIM(F1573),4)),"")</f>
        <v>2019</v>
      </c>
      <c r="L1573" s="7" t="str">
        <f aca="false">IF(TRIM(E1573)="","Unknown",IFERROR(LEFT(TRIM(E1573),FIND(",",TRIM(E1573))-1),TRIM(E1573)))</f>
        <v>Lebanon</v>
      </c>
      <c r="M1573" s="7" t="str">
        <f aca="false">IFERROR(LEFT(J1573,FIND(",",J1573)-1),J1573)</f>
        <v>Crime TV Shows</v>
      </c>
      <c r="N1573" s="7" t="str">
        <f aca="false">IF(B1573="Movie",IFERROR(VALUE(LEFT(I1573,FIND(" ",I1573)-1)),""),"")</f>
        <v/>
      </c>
      <c r="O1573" s="7" t="n">
        <f aca="false">IF(B1573="TV Show",IFERROR(VALUE(LEFT(I1573,FIND(" ",I1573)-1)),""),"")</f>
        <v>1</v>
      </c>
      <c r="P1573" s="7" t="n">
        <f aca="false">IF(K1573="","",K1573-G1573)</f>
        <v>0</v>
      </c>
    </row>
    <row r="1574" customFormat="false" ht="15" hidden="false" customHeight="false" outlineLevel="0" collapsed="false">
      <c r="A1574" s="7" t="n">
        <v>81104372</v>
      </c>
      <c r="B1574" s="7" t="s">
        <v>78</v>
      </c>
      <c r="C1574" s="7" t="s">
        <v>3563</v>
      </c>
      <c r="F1574" s="7" t="s">
        <v>3557</v>
      </c>
      <c r="G1574" s="7" t="n">
        <v>2019</v>
      </c>
      <c r="H1574" s="7" t="s">
        <v>49</v>
      </c>
      <c r="I1574" s="7" t="s">
        <v>82</v>
      </c>
      <c r="J1574" s="7" t="s">
        <v>344</v>
      </c>
      <c r="K1574" s="7" t="n">
        <f aca="false">IFERROR(VALUE(RIGHT(TRIM(F1574),4)),"")</f>
        <v>2019</v>
      </c>
      <c r="L1574" s="7" t="str">
        <f aca="false">IF(TRIM(E1574)="","Unknown",IFERROR(LEFT(TRIM(E1574),FIND(",",TRIM(E1574))-1),TRIM(E1574)))</f>
        <v>Unknown</v>
      </c>
      <c r="M1574" s="7" t="str">
        <f aca="false">IFERROR(LEFT(J1574,FIND(",",J1574)-1),J1574)</f>
        <v>International TV Shows</v>
      </c>
      <c r="N1574" s="7" t="str">
        <f aca="false">IF(B1574="Movie",IFERROR(VALUE(LEFT(I1574,FIND(" ",I1574)-1)),""),"")</f>
        <v/>
      </c>
      <c r="O1574" s="7" t="n">
        <f aca="false">IF(B1574="TV Show",IFERROR(VALUE(LEFT(I1574,FIND(" ",I1574)-1)),""),"")</f>
        <v>1</v>
      </c>
      <c r="P1574" s="7" t="n">
        <f aca="false">IF(K1574="","",K1574-G1574)</f>
        <v>0</v>
      </c>
    </row>
    <row r="1575" customFormat="false" ht="15" hidden="false" customHeight="false" outlineLevel="0" collapsed="false">
      <c r="A1575" s="7" t="n">
        <v>80116761</v>
      </c>
      <c r="B1575" s="7" t="s">
        <v>68</v>
      </c>
      <c r="C1575" s="7" t="s">
        <v>3564</v>
      </c>
      <c r="D1575" s="7" t="s">
        <v>3565</v>
      </c>
      <c r="E1575" s="7" t="s">
        <v>325</v>
      </c>
      <c r="F1575" s="7" t="s">
        <v>3566</v>
      </c>
      <c r="G1575" s="7" t="n">
        <v>2013</v>
      </c>
      <c r="H1575" s="7" t="s">
        <v>48</v>
      </c>
      <c r="I1575" s="7" t="s">
        <v>628</v>
      </c>
      <c r="J1575" s="7" t="s">
        <v>341</v>
      </c>
      <c r="K1575" s="7" t="n">
        <f aca="false">IFERROR(VALUE(RIGHT(TRIM(F1575),4)),"")</f>
        <v>2018</v>
      </c>
      <c r="L1575" s="7" t="str">
        <f aca="false">IF(TRIM(E1575)="","Unknown",IFERROR(LEFT(TRIM(E1575),FIND(",",TRIM(E1575))-1),TRIM(E1575)))</f>
        <v>Brazil</v>
      </c>
      <c r="M1575" s="7" t="str">
        <f aca="false">IFERROR(LEFT(J1575,FIND(",",J1575)-1),J1575)</f>
        <v>Documentaries</v>
      </c>
      <c r="N1575" s="7" t="n">
        <f aca="false">IF(B1575="Movie",IFERROR(VALUE(LEFT(I1575,FIND(" ",I1575)-1)),""),"")</f>
        <v>69</v>
      </c>
      <c r="O1575" s="7" t="str">
        <f aca="false">IF(B1575="TV Show",IFERROR(VALUE(LEFT(I1575,FIND(" ",I1575)-1)),""),"")</f>
        <v/>
      </c>
      <c r="P1575" s="7" t="n">
        <f aca="false">IF(K1575="","",K1575-G1575)</f>
        <v>5</v>
      </c>
    </row>
    <row r="1576" customFormat="false" ht="15" hidden="false" customHeight="false" outlineLevel="0" collapsed="false">
      <c r="A1576" s="7" t="n">
        <v>70118125</v>
      </c>
      <c r="B1576" s="7" t="s">
        <v>68</v>
      </c>
      <c r="C1576" s="7" t="s">
        <v>3567</v>
      </c>
      <c r="D1576" s="7" t="s">
        <v>3568</v>
      </c>
      <c r="E1576" s="7" t="s">
        <v>1081</v>
      </c>
      <c r="F1576" s="7" t="s">
        <v>3566</v>
      </c>
      <c r="G1576" s="7" t="n">
        <v>2007</v>
      </c>
      <c r="H1576" s="7" t="s">
        <v>49</v>
      </c>
      <c r="I1576" s="7" t="s">
        <v>470</v>
      </c>
      <c r="J1576" s="7" t="s">
        <v>202</v>
      </c>
      <c r="K1576" s="7" t="n">
        <f aca="false">IFERROR(VALUE(RIGHT(TRIM(F1576),4)),"")</f>
        <v>2018</v>
      </c>
      <c r="L1576" s="7" t="str">
        <f aca="false">IF(TRIM(E1576)="","Unknown",IFERROR(LEFT(TRIM(E1576),FIND(",",TRIM(E1576))-1),TRIM(E1576)))</f>
        <v>Germany</v>
      </c>
      <c r="M1576" s="7" t="str">
        <f aca="false">IFERROR(LEFT(J1576,FIND(",",J1576)-1),J1576)</f>
        <v>Comedies</v>
      </c>
      <c r="N1576" s="7" t="n">
        <f aca="false">IF(B1576="Movie",IFERROR(VALUE(LEFT(I1576,FIND(" ",I1576)-1)),""),"")</f>
        <v>91</v>
      </c>
      <c r="O1576" s="7" t="str">
        <f aca="false">IF(B1576="TV Show",IFERROR(VALUE(LEFT(I1576,FIND(" ",I1576)-1)),""),"")</f>
        <v/>
      </c>
      <c r="P1576" s="7" t="n">
        <f aca="false">IF(K1576="","",K1576-G1576)</f>
        <v>11</v>
      </c>
    </row>
    <row r="1577" customFormat="false" ht="15" hidden="false" customHeight="false" outlineLevel="0" collapsed="false">
      <c r="A1577" s="7" t="n">
        <v>80108613</v>
      </c>
      <c r="B1577" s="7" t="s">
        <v>68</v>
      </c>
      <c r="C1577" s="7" t="s">
        <v>3569</v>
      </c>
      <c r="D1577" s="7" t="s">
        <v>3570</v>
      </c>
      <c r="E1577" s="7" t="s">
        <v>26</v>
      </c>
      <c r="F1577" s="7" t="s">
        <v>3571</v>
      </c>
      <c r="G1577" s="7" t="n">
        <v>2016</v>
      </c>
      <c r="H1577" s="7" t="s">
        <v>48</v>
      </c>
      <c r="I1577" s="7" t="s">
        <v>437</v>
      </c>
      <c r="J1577" s="7" t="s">
        <v>39</v>
      </c>
      <c r="K1577" s="7" t="n">
        <f aca="false">IFERROR(VALUE(RIGHT(TRIM(F1577),4)),"")</f>
        <v>2017</v>
      </c>
      <c r="L1577" s="7" t="str">
        <f aca="false">IF(TRIM(E1577)="","Unknown",IFERROR(LEFT(TRIM(E1577),FIND(",",TRIM(E1577))-1),TRIM(E1577)))</f>
        <v>United States</v>
      </c>
      <c r="M1577" s="7" t="str">
        <f aca="false">IFERROR(LEFT(J1577,FIND(",",J1577)-1),J1577)</f>
        <v>Documentaries</v>
      </c>
      <c r="N1577" s="7" t="n">
        <f aca="false">IF(B1577="Movie",IFERROR(VALUE(LEFT(I1577,FIND(" ",I1577)-1)),""),"")</f>
        <v>82</v>
      </c>
      <c r="O1577" s="7" t="str">
        <f aca="false">IF(B1577="TV Show",IFERROR(VALUE(LEFT(I1577,FIND(" ",I1577)-1)),""),"")</f>
        <v/>
      </c>
      <c r="P1577" s="7" t="n">
        <f aca="false">IF(K1577="","",K1577-G1577)</f>
        <v>1</v>
      </c>
    </row>
    <row r="1578" customFormat="false" ht="15" hidden="false" customHeight="false" outlineLevel="0" collapsed="false">
      <c r="A1578" s="7" t="n">
        <v>80215139</v>
      </c>
      <c r="B1578" s="7" t="s">
        <v>68</v>
      </c>
      <c r="C1578" s="7" t="s">
        <v>3572</v>
      </c>
      <c r="D1578" s="7" t="s">
        <v>3573</v>
      </c>
      <c r="E1578" s="7" t="s">
        <v>3574</v>
      </c>
      <c r="F1578" s="7" t="s">
        <v>3575</v>
      </c>
      <c r="G1578" s="7" t="n">
        <v>2019</v>
      </c>
      <c r="H1578" s="7" t="s">
        <v>49</v>
      </c>
      <c r="I1578" s="7" t="s">
        <v>212</v>
      </c>
      <c r="J1578" s="7" t="s">
        <v>341</v>
      </c>
      <c r="K1578" s="7" t="n">
        <f aca="false">IFERROR(VALUE(RIGHT(TRIM(F1578),4)),"")</f>
        <v>2019</v>
      </c>
      <c r="L1578" s="7" t="str">
        <f aca="false">IF(TRIM(E1578)="","Unknown",IFERROR(LEFT(TRIM(E1578),FIND(",",TRIM(E1578))-1),TRIM(E1578)))</f>
        <v>United Kingdom</v>
      </c>
      <c r="M1578" s="7" t="str">
        <f aca="false">IFERROR(LEFT(J1578,FIND(",",J1578)-1),J1578)</f>
        <v>Documentaries</v>
      </c>
      <c r="N1578" s="7" t="n">
        <f aca="false">IF(B1578="Movie",IFERROR(VALUE(LEFT(I1578,FIND(" ",I1578)-1)),""),"")</f>
        <v>86</v>
      </c>
      <c r="O1578" s="7" t="str">
        <f aca="false">IF(B1578="TV Show",IFERROR(VALUE(LEFT(I1578,FIND(" ",I1578)-1)),""),"")</f>
        <v/>
      </c>
      <c r="P1578" s="7" t="n">
        <f aca="false">IF(K1578="","",K1578-G1578)</f>
        <v>0</v>
      </c>
    </row>
    <row r="1579" customFormat="false" ht="15" hidden="false" customHeight="false" outlineLevel="0" collapsed="false">
      <c r="A1579" s="7" t="n">
        <v>81016592</v>
      </c>
      <c r="B1579" s="7" t="s">
        <v>68</v>
      </c>
      <c r="C1579" s="7" t="s">
        <v>3576</v>
      </c>
      <c r="D1579" s="7" t="s">
        <v>3577</v>
      </c>
      <c r="E1579" s="7" t="s">
        <v>26</v>
      </c>
      <c r="F1579" s="7" t="s">
        <v>3575</v>
      </c>
      <c r="G1579" s="7" t="n">
        <v>2018</v>
      </c>
      <c r="H1579" s="7" t="s">
        <v>50</v>
      </c>
      <c r="I1579" s="7" t="s">
        <v>87</v>
      </c>
      <c r="J1579" s="7" t="s">
        <v>1558</v>
      </c>
      <c r="K1579" s="7" t="n">
        <f aca="false">IFERROR(VALUE(RIGHT(TRIM(F1579),4)),"")</f>
        <v>2019</v>
      </c>
      <c r="L1579" s="7" t="str">
        <f aca="false">IF(TRIM(E1579)="","Unknown",IFERROR(LEFT(TRIM(E1579),FIND(",",TRIM(E1579))-1),TRIM(E1579)))</f>
        <v>United States</v>
      </c>
      <c r="M1579" s="7" t="str">
        <f aca="false">IFERROR(LEFT(J1579,FIND(",",J1579)-1),J1579)</f>
        <v>Dramas</v>
      </c>
      <c r="N1579" s="7" t="n">
        <f aca="false">IF(B1579="Movie",IFERROR(VALUE(LEFT(I1579,FIND(" ",I1579)-1)),""),"")</f>
        <v>99</v>
      </c>
      <c r="O1579" s="7" t="str">
        <f aca="false">IF(B1579="TV Show",IFERROR(VALUE(LEFT(I1579,FIND(" ",I1579)-1)),""),"")</f>
        <v/>
      </c>
      <c r="P1579" s="7" t="n">
        <f aca="false">IF(K1579="","",K1579-G1579)</f>
        <v>1</v>
      </c>
    </row>
    <row r="1580" customFormat="false" ht="15" hidden="false" customHeight="false" outlineLevel="0" collapsed="false">
      <c r="A1580" s="7" t="n">
        <v>81067760</v>
      </c>
      <c r="B1580" s="7" t="s">
        <v>68</v>
      </c>
      <c r="C1580" s="7" t="s">
        <v>3578</v>
      </c>
      <c r="D1580" s="7" t="s">
        <v>3579</v>
      </c>
      <c r="E1580" s="7" t="s">
        <v>366</v>
      </c>
      <c r="F1580" s="7" t="s">
        <v>3575</v>
      </c>
      <c r="G1580" s="7" t="n">
        <v>2019</v>
      </c>
      <c r="H1580" s="7" t="s">
        <v>48</v>
      </c>
      <c r="I1580" s="7" t="s">
        <v>194</v>
      </c>
      <c r="J1580" s="7" t="s">
        <v>3434</v>
      </c>
      <c r="K1580" s="7" t="n">
        <f aca="false">IFERROR(VALUE(RIGHT(TRIM(F1580),4)),"")</f>
        <v>2019</v>
      </c>
      <c r="L1580" s="7" t="str">
        <f aca="false">IF(TRIM(E1580)="","Unknown",IFERROR(LEFT(TRIM(E1580),FIND(",",TRIM(E1580))-1),TRIM(E1580)))</f>
        <v>China</v>
      </c>
      <c r="M1580" s="7" t="str">
        <f aca="false">IFERROR(LEFT(J1580,FIND(",",J1580)-1),J1580)</f>
        <v>International Movies</v>
      </c>
      <c r="N1580" s="7" t="n">
        <f aca="false">IF(B1580="Movie",IFERROR(VALUE(LEFT(I1580,FIND(" ",I1580)-1)),""),"")</f>
        <v>125</v>
      </c>
      <c r="O1580" s="7" t="str">
        <f aca="false">IF(B1580="TV Show",IFERROR(VALUE(LEFT(I1580,FIND(" ",I1580)-1)),""),"")</f>
        <v/>
      </c>
      <c r="P1580" s="7" t="n">
        <f aca="false">IF(K1580="","",K1580-G1580)</f>
        <v>0</v>
      </c>
    </row>
    <row r="1581" customFormat="false" ht="15" hidden="false" customHeight="false" outlineLevel="0" collapsed="false">
      <c r="A1581" s="7" t="n">
        <v>70172928</v>
      </c>
      <c r="B1581" s="7" t="s">
        <v>68</v>
      </c>
      <c r="C1581" s="7" t="s">
        <v>3580</v>
      </c>
      <c r="D1581" s="7" t="s">
        <v>2801</v>
      </c>
      <c r="E1581" s="7" t="s">
        <v>3581</v>
      </c>
      <c r="F1581" s="7" t="s">
        <v>3575</v>
      </c>
      <c r="G1581" s="7" t="n">
        <v>2011</v>
      </c>
      <c r="H1581" s="7" t="s">
        <v>52</v>
      </c>
      <c r="I1581" s="7" t="s">
        <v>1989</v>
      </c>
      <c r="J1581" s="7" t="s">
        <v>37</v>
      </c>
      <c r="K1581" s="7" t="n">
        <f aca="false">IFERROR(VALUE(RIGHT(TRIM(F1581),4)),"")</f>
        <v>2019</v>
      </c>
      <c r="L1581" s="7" t="str">
        <f aca="false">IF(TRIM(E1581)="","Unknown",IFERROR(LEFT(TRIM(E1581),FIND(",",TRIM(E1581))-1),TRIM(E1581)))</f>
        <v>United States</v>
      </c>
      <c r="M1581" s="7" t="str">
        <f aca="false">IFERROR(LEFT(J1581,FIND(",",J1581)-1),J1581)</f>
        <v>Dramas</v>
      </c>
      <c r="N1581" s="7" t="n">
        <f aca="false">IF(B1581="Movie",IFERROR(VALUE(LEFT(I1581,FIND(" ",I1581)-1)),""),"")</f>
        <v>147</v>
      </c>
      <c r="O1581" s="7" t="str">
        <f aca="false">IF(B1581="TV Show",IFERROR(VALUE(LEFT(I1581,FIND(" ",I1581)-1)),""),"")</f>
        <v/>
      </c>
      <c r="P1581" s="7" t="n">
        <f aca="false">IF(K1581="","",K1581-G1581)</f>
        <v>8</v>
      </c>
    </row>
    <row r="1582" customFormat="false" ht="15" hidden="false" customHeight="false" outlineLevel="0" collapsed="false">
      <c r="A1582" s="7" t="n">
        <v>80101493</v>
      </c>
      <c r="B1582" s="7" t="s">
        <v>68</v>
      </c>
      <c r="C1582" s="7" t="s">
        <v>3582</v>
      </c>
      <c r="D1582" s="7" t="s">
        <v>1621</v>
      </c>
      <c r="E1582" s="7" t="s">
        <v>26</v>
      </c>
      <c r="F1582" s="7" t="s">
        <v>3583</v>
      </c>
      <c r="G1582" s="7" t="n">
        <v>2016</v>
      </c>
      <c r="H1582" s="7" t="s">
        <v>48</v>
      </c>
      <c r="I1582" s="7" t="s">
        <v>98</v>
      </c>
      <c r="J1582" s="7" t="s">
        <v>45</v>
      </c>
      <c r="K1582" s="7" t="n">
        <f aca="false">IFERROR(VALUE(RIGHT(TRIM(F1582),4)),"")</f>
        <v>2016</v>
      </c>
      <c r="L1582" s="7" t="str">
        <f aca="false">IF(TRIM(E1582)="","Unknown",IFERROR(LEFT(TRIM(E1582),FIND(",",TRIM(E1582))-1),TRIM(E1582)))</f>
        <v>United States</v>
      </c>
      <c r="M1582" s="7" t="str">
        <f aca="false">IFERROR(LEFT(J1582,FIND(",",J1582)-1),J1582)</f>
        <v>Stand-Up Comedy</v>
      </c>
      <c r="N1582" s="7" t="n">
        <f aca="false">IF(B1582="Movie",IFERROR(VALUE(LEFT(I1582,FIND(" ",I1582)-1)),""),"")</f>
        <v>60</v>
      </c>
      <c r="O1582" s="7" t="str">
        <f aca="false">IF(B1582="TV Show",IFERROR(VALUE(LEFT(I1582,FIND(" ",I1582)-1)),""),"")</f>
        <v/>
      </c>
      <c r="P1582" s="7" t="n">
        <f aca="false">IF(K1582="","",K1582-G1582)</f>
        <v>0</v>
      </c>
    </row>
    <row r="1583" customFormat="false" ht="15" hidden="false" customHeight="false" outlineLevel="0" collapsed="false">
      <c r="A1583" s="7" t="n">
        <v>80235472</v>
      </c>
      <c r="B1583" s="7" t="s">
        <v>68</v>
      </c>
      <c r="C1583" s="7" t="s">
        <v>3584</v>
      </c>
      <c r="D1583" s="7" t="s">
        <v>3585</v>
      </c>
      <c r="E1583" s="7" t="s">
        <v>26</v>
      </c>
      <c r="F1583" s="7" t="s">
        <v>3586</v>
      </c>
      <c r="G1583" s="7" t="n">
        <v>2017</v>
      </c>
      <c r="H1583" s="7" t="s">
        <v>51</v>
      </c>
      <c r="I1583" s="7" t="s">
        <v>264</v>
      </c>
      <c r="J1583" s="7" t="s">
        <v>265</v>
      </c>
      <c r="K1583" s="7" t="n">
        <f aca="false">IFERROR(VALUE(RIGHT(TRIM(F1583),4)),"")</f>
        <v>2019</v>
      </c>
      <c r="L1583" s="7" t="str">
        <f aca="false">IF(TRIM(E1583)="","Unknown",IFERROR(LEFT(TRIM(E1583),FIND(",",TRIM(E1583))-1),TRIM(E1583)))</f>
        <v>United States</v>
      </c>
      <c r="M1583" s="7" t="str">
        <f aca="false">IFERROR(LEFT(J1583,FIND(",",J1583)-1),J1583)</f>
        <v>Horror Movies</v>
      </c>
      <c r="N1583" s="7" t="n">
        <f aca="false">IF(B1583="Movie",IFERROR(VALUE(LEFT(I1583,FIND(" ",I1583)-1)),""),"")</f>
        <v>88</v>
      </c>
      <c r="O1583" s="7" t="str">
        <f aca="false">IF(B1583="TV Show",IFERROR(VALUE(LEFT(I1583,FIND(" ",I1583)-1)),""),"")</f>
        <v/>
      </c>
      <c r="P1583" s="7" t="n">
        <f aca="false">IF(K1583="","",K1583-G1583)</f>
        <v>2</v>
      </c>
    </row>
    <row r="1584" customFormat="false" ht="15" hidden="false" customHeight="false" outlineLevel="0" collapsed="false">
      <c r="A1584" s="7" t="n">
        <v>80177300</v>
      </c>
      <c r="B1584" s="7" t="s">
        <v>68</v>
      </c>
      <c r="C1584" s="7" t="s">
        <v>3587</v>
      </c>
      <c r="D1584" s="7" t="s">
        <v>3588</v>
      </c>
      <c r="E1584" s="7" t="s">
        <v>26</v>
      </c>
      <c r="F1584" s="7" t="s">
        <v>3589</v>
      </c>
      <c r="G1584" s="7" t="n">
        <v>2018</v>
      </c>
      <c r="H1584" s="7" t="s">
        <v>48</v>
      </c>
      <c r="I1584" s="7" t="s">
        <v>311</v>
      </c>
      <c r="J1584" s="7" t="s">
        <v>265</v>
      </c>
      <c r="K1584" s="7" t="n">
        <f aca="false">IFERROR(VALUE(RIGHT(TRIM(F1584),4)),"")</f>
        <v>2018</v>
      </c>
      <c r="L1584" s="7" t="str">
        <f aca="false">IF(TRIM(E1584)="","Unknown",IFERROR(LEFT(TRIM(E1584),FIND(",",TRIM(E1584))-1),TRIM(E1584)))</f>
        <v>United States</v>
      </c>
      <c r="M1584" s="7" t="str">
        <f aca="false">IFERROR(LEFT(J1584,FIND(",",J1584)-1),J1584)</f>
        <v>Horror Movies</v>
      </c>
      <c r="N1584" s="7" t="n">
        <f aca="false">IF(B1584="Movie",IFERROR(VALUE(LEFT(I1584,FIND(" ",I1584)-1)),""),"")</f>
        <v>92</v>
      </c>
      <c r="O1584" s="7" t="str">
        <f aca="false">IF(B1584="TV Show",IFERROR(VALUE(LEFT(I1584,FIND(" ",I1584)-1)),""),"")</f>
        <v/>
      </c>
      <c r="P1584" s="7" t="n">
        <f aca="false">IF(K1584="","",K1584-G1584)</f>
        <v>0</v>
      </c>
    </row>
    <row r="1585" customFormat="false" ht="15" hidden="false" customHeight="false" outlineLevel="0" collapsed="false">
      <c r="A1585" s="7" t="n">
        <v>80100933</v>
      </c>
      <c r="B1585" s="7" t="s">
        <v>78</v>
      </c>
      <c r="C1585" s="7" t="s">
        <v>3590</v>
      </c>
      <c r="E1585" s="7" t="s">
        <v>34</v>
      </c>
      <c r="F1585" s="7" t="s">
        <v>3589</v>
      </c>
      <c r="G1585" s="7" t="n">
        <v>2015</v>
      </c>
      <c r="H1585" s="7" t="s">
        <v>49</v>
      </c>
      <c r="I1585" s="7" t="s">
        <v>82</v>
      </c>
      <c r="J1585" s="7" t="s">
        <v>89</v>
      </c>
      <c r="K1585" s="7" t="n">
        <f aca="false">IFERROR(VALUE(RIGHT(TRIM(F1585),4)),"")</f>
        <v>2018</v>
      </c>
      <c r="L1585" s="7" t="str">
        <f aca="false">IF(TRIM(E1585)="","Unknown",IFERROR(LEFT(TRIM(E1585),FIND(",",TRIM(E1585))-1),TRIM(E1585)))</f>
        <v>Mexico</v>
      </c>
      <c r="M1585" s="7" t="str">
        <f aca="false">IFERROR(LEFT(J1585,FIND(",",J1585)-1),J1585)</f>
        <v>Crime TV Shows</v>
      </c>
      <c r="N1585" s="7" t="str">
        <f aca="false">IF(B1585="Movie",IFERROR(VALUE(LEFT(I1585,FIND(" ",I1585)-1)),""),"")</f>
        <v/>
      </c>
      <c r="O1585" s="7" t="n">
        <f aca="false">IF(B1585="TV Show",IFERROR(VALUE(LEFT(I1585,FIND(" ",I1585)-1)),""),"")</f>
        <v>1</v>
      </c>
      <c r="P1585" s="7" t="n">
        <f aca="false">IF(K1585="","",K1585-G1585)</f>
        <v>3</v>
      </c>
    </row>
    <row r="1586" customFormat="false" ht="15" hidden="false" customHeight="false" outlineLevel="0" collapsed="false">
      <c r="A1586" s="7" t="n">
        <v>80189866</v>
      </c>
      <c r="B1586" s="7" t="s">
        <v>68</v>
      </c>
      <c r="C1586" s="7" t="s">
        <v>3591</v>
      </c>
      <c r="D1586" s="7" t="s">
        <v>1331</v>
      </c>
      <c r="E1586" s="7" t="s">
        <v>3592</v>
      </c>
      <c r="F1586" s="7" t="s">
        <v>3589</v>
      </c>
      <c r="G1586" s="7" t="n">
        <v>2018</v>
      </c>
      <c r="H1586" s="7" t="s">
        <v>612</v>
      </c>
      <c r="I1586" s="7" t="s">
        <v>494</v>
      </c>
      <c r="J1586" s="7" t="s">
        <v>3593</v>
      </c>
      <c r="K1586" s="7" t="n">
        <f aca="false">IFERROR(VALUE(RIGHT(TRIM(F1586),4)),"")</f>
        <v>2018</v>
      </c>
      <c r="L1586" s="7" t="str">
        <f aca="false">IF(TRIM(E1586)="","Unknown",IFERROR(LEFT(TRIM(E1586),FIND(",",TRIM(E1586))-1),TRIM(E1586)))</f>
        <v>Canada</v>
      </c>
      <c r="M1586" s="7" t="str">
        <f aca="false">IFERROR(LEFT(J1586,FIND(",",J1586)-1),J1586)</f>
        <v>Children &amp; Family Movies</v>
      </c>
      <c r="N1586" s="7" t="n">
        <f aca="false">IF(B1586="Movie",IFERROR(VALUE(LEFT(I1586,FIND(" ",I1586)-1)),""),"")</f>
        <v>87</v>
      </c>
      <c r="O1586" s="7" t="str">
        <f aca="false">IF(B1586="TV Show",IFERROR(VALUE(LEFT(I1586,FIND(" ",I1586)-1)),""),"")</f>
        <v/>
      </c>
      <c r="P1586" s="7" t="n">
        <f aca="false">IF(K1586="","",K1586-G1586)</f>
        <v>0</v>
      </c>
    </row>
    <row r="1587" customFormat="false" ht="15" hidden="false" customHeight="false" outlineLevel="0" collapsed="false">
      <c r="A1587" s="7" t="n">
        <v>80106793</v>
      </c>
      <c r="B1587" s="7" t="s">
        <v>68</v>
      </c>
      <c r="C1587" s="7" t="s">
        <v>3594</v>
      </c>
      <c r="D1587" s="7" t="s">
        <v>3595</v>
      </c>
      <c r="E1587" s="7" t="s">
        <v>26</v>
      </c>
      <c r="F1587" s="7" t="s">
        <v>3596</v>
      </c>
      <c r="G1587" s="7" t="n">
        <v>2017</v>
      </c>
      <c r="H1587" s="7" t="s">
        <v>48</v>
      </c>
      <c r="I1587" s="7" t="s">
        <v>467</v>
      </c>
      <c r="J1587" s="7" t="s">
        <v>38</v>
      </c>
      <c r="K1587" s="7" t="n">
        <f aca="false">IFERROR(VALUE(RIGHT(TRIM(F1587),4)),"")</f>
        <v>2017</v>
      </c>
      <c r="L1587" s="7" t="str">
        <f aca="false">IF(TRIM(E1587)="","Unknown",IFERROR(LEFT(TRIM(E1587),FIND(",",TRIM(E1587))-1),TRIM(E1587)))</f>
        <v>United States</v>
      </c>
      <c r="M1587" s="7" t="str">
        <f aca="false">IFERROR(LEFT(J1587,FIND(",",J1587)-1),J1587)</f>
        <v>Comedies</v>
      </c>
      <c r="N1587" s="7" t="n">
        <f aca="false">IF(B1587="Movie",IFERROR(VALUE(LEFT(I1587,FIND(" ",I1587)-1)),""),"")</f>
        <v>81</v>
      </c>
      <c r="O1587" s="7" t="str">
        <f aca="false">IF(B1587="TV Show",IFERROR(VALUE(LEFT(I1587,FIND(" ",I1587)-1)),""),"")</f>
        <v/>
      </c>
      <c r="P1587" s="7" t="n">
        <f aca="false">IF(K1587="","",K1587-G1587)</f>
        <v>0</v>
      </c>
    </row>
    <row r="1588" customFormat="false" ht="15" hidden="false" customHeight="false" outlineLevel="0" collapsed="false">
      <c r="A1588" s="7" t="n">
        <v>80124727</v>
      </c>
      <c r="B1588" s="7" t="s">
        <v>68</v>
      </c>
      <c r="C1588" s="7" t="s">
        <v>3597</v>
      </c>
      <c r="D1588" s="7" t="s">
        <v>3598</v>
      </c>
      <c r="E1588" s="7" t="s">
        <v>34</v>
      </c>
      <c r="F1588" s="7" t="s">
        <v>3596</v>
      </c>
      <c r="G1588" s="7" t="n">
        <v>2017</v>
      </c>
      <c r="H1588" s="7" t="s">
        <v>48</v>
      </c>
      <c r="I1588" s="7" t="s">
        <v>348</v>
      </c>
      <c r="J1588" s="7" t="s">
        <v>45</v>
      </c>
      <c r="K1588" s="7" t="n">
        <f aca="false">IFERROR(VALUE(RIGHT(TRIM(F1588),4)),"")</f>
        <v>2017</v>
      </c>
      <c r="L1588" s="7" t="str">
        <f aca="false">IF(TRIM(E1588)="","Unknown",IFERROR(LEFT(TRIM(E1588),FIND(",",TRIM(E1588))-1),TRIM(E1588)))</f>
        <v>Mexico</v>
      </c>
      <c r="M1588" s="7" t="str">
        <f aca="false">IFERROR(LEFT(J1588,FIND(",",J1588)-1),J1588)</f>
        <v>Stand-Up Comedy</v>
      </c>
      <c r="N1588" s="7" t="n">
        <f aca="false">IF(B1588="Movie",IFERROR(VALUE(LEFT(I1588,FIND(" ",I1588)-1)),""),"")</f>
        <v>72</v>
      </c>
      <c r="O1588" s="7" t="str">
        <f aca="false">IF(B1588="TV Show",IFERROR(VALUE(LEFT(I1588,FIND(" ",I1588)-1)),""),"")</f>
        <v/>
      </c>
      <c r="P1588" s="7" t="n">
        <f aca="false">IF(K1588="","",K1588-G1588)</f>
        <v>0</v>
      </c>
    </row>
    <row r="1589" customFormat="false" ht="15" hidden="false" customHeight="false" outlineLevel="0" collapsed="false">
      <c r="A1589" s="7" t="n">
        <v>80117263</v>
      </c>
      <c r="B1589" s="7" t="s">
        <v>68</v>
      </c>
      <c r="C1589" s="7" t="s">
        <v>3599</v>
      </c>
      <c r="D1589" s="7" t="s">
        <v>3600</v>
      </c>
      <c r="E1589" s="7" t="s">
        <v>26</v>
      </c>
      <c r="F1589" s="7" t="s">
        <v>3596</v>
      </c>
      <c r="G1589" s="7" t="n">
        <v>2017</v>
      </c>
      <c r="H1589" s="7" t="s">
        <v>50</v>
      </c>
      <c r="I1589" s="7" t="s">
        <v>134</v>
      </c>
      <c r="J1589" s="7" t="s">
        <v>3601</v>
      </c>
      <c r="K1589" s="7" t="n">
        <f aca="false">IFERROR(VALUE(RIGHT(TRIM(F1589),4)),"")</f>
        <v>2017</v>
      </c>
      <c r="L1589" s="7" t="str">
        <f aca="false">IF(TRIM(E1589)="","Unknown",IFERROR(LEFT(TRIM(E1589),FIND(",",TRIM(E1589))-1),TRIM(E1589)))</f>
        <v>United States</v>
      </c>
      <c r="M1589" s="7" t="str">
        <f aca="false">IFERROR(LEFT(J1589,FIND(",",J1589)-1),J1589)</f>
        <v>Children &amp; Family Movies</v>
      </c>
      <c r="N1589" s="7" t="n">
        <f aca="false">IF(B1589="Movie",IFERROR(VALUE(LEFT(I1589,FIND(" ",I1589)-1)),""),"")</f>
        <v>98</v>
      </c>
      <c r="O1589" s="7" t="str">
        <f aca="false">IF(B1589="TV Show",IFERROR(VALUE(LEFT(I1589,FIND(" ",I1589)-1)),""),"")</f>
        <v/>
      </c>
      <c r="P1589" s="7" t="n">
        <f aca="false">IF(K1589="","",K1589-G1589)</f>
        <v>0</v>
      </c>
    </row>
    <row r="1590" customFormat="false" ht="15" hidden="false" customHeight="false" outlineLevel="0" collapsed="false">
      <c r="A1590" s="7" t="n">
        <v>80126879</v>
      </c>
      <c r="B1590" s="7" t="s">
        <v>78</v>
      </c>
      <c r="C1590" s="7" t="s">
        <v>3602</v>
      </c>
      <c r="E1590" s="7" t="s">
        <v>396</v>
      </c>
      <c r="F1590" s="7" t="s">
        <v>3596</v>
      </c>
      <c r="G1590" s="7" t="n">
        <v>2016</v>
      </c>
      <c r="H1590" s="7" t="s">
        <v>49</v>
      </c>
      <c r="I1590" s="7" t="s">
        <v>82</v>
      </c>
      <c r="J1590" s="7" t="s">
        <v>335</v>
      </c>
      <c r="K1590" s="7" t="n">
        <f aca="false">IFERROR(VALUE(RIGHT(TRIM(F1590),4)),"")</f>
        <v>2017</v>
      </c>
      <c r="L1590" s="7" t="str">
        <f aca="false">IF(TRIM(E1590)="","Unknown",IFERROR(LEFT(TRIM(E1590),FIND(",",TRIM(E1590))-1),TRIM(E1590)))</f>
        <v>Turkey</v>
      </c>
      <c r="M1590" s="7" t="str">
        <f aca="false">IFERROR(LEFT(J1590,FIND(",",J1590)-1),J1590)</f>
        <v>International TV Shows</v>
      </c>
      <c r="N1590" s="7" t="str">
        <f aca="false">IF(B1590="Movie",IFERROR(VALUE(LEFT(I1590,FIND(" ",I1590)-1)),""),"")</f>
        <v/>
      </c>
      <c r="O1590" s="7" t="n">
        <f aca="false">IF(B1590="TV Show",IFERROR(VALUE(LEFT(I1590,FIND(" ",I1590)-1)),""),"")</f>
        <v>1</v>
      </c>
      <c r="P1590" s="7" t="n">
        <f aca="false">IF(K1590="","",K1590-G1590)</f>
        <v>1</v>
      </c>
    </row>
    <row r="1591" customFormat="false" ht="15" hidden="false" customHeight="false" outlineLevel="0" collapsed="false">
      <c r="A1591" s="7" t="n">
        <v>80087897</v>
      </c>
      <c r="B1591" s="7" t="s">
        <v>68</v>
      </c>
      <c r="C1591" s="7" t="s">
        <v>3603</v>
      </c>
      <c r="D1591" s="7" t="s">
        <v>3604</v>
      </c>
      <c r="E1591" s="7" t="s">
        <v>26</v>
      </c>
      <c r="F1591" s="7" t="s">
        <v>3605</v>
      </c>
      <c r="G1591" s="7" t="n">
        <v>2015</v>
      </c>
      <c r="H1591" s="7" t="s">
        <v>53</v>
      </c>
      <c r="I1591" s="7" t="s">
        <v>212</v>
      </c>
      <c r="J1591" s="7" t="s">
        <v>3606</v>
      </c>
      <c r="K1591" s="7" t="n">
        <f aca="false">IFERROR(VALUE(RIGHT(TRIM(F1591),4)),"")</f>
        <v>2016</v>
      </c>
      <c r="L1591" s="7" t="str">
        <f aca="false">IF(TRIM(E1591)="","Unknown",IFERROR(LEFT(TRIM(E1591),FIND(",",TRIM(E1591))-1),TRIM(E1591)))</f>
        <v>United States</v>
      </c>
      <c r="M1591" s="7" t="str">
        <f aca="false">IFERROR(LEFT(J1591,FIND(",",J1591)-1),J1591)</f>
        <v>Comedies</v>
      </c>
      <c r="N1591" s="7" t="n">
        <f aca="false">IF(B1591="Movie",IFERROR(VALUE(LEFT(I1591,FIND(" ",I1591)-1)),""),"")</f>
        <v>86</v>
      </c>
      <c r="O1591" s="7" t="str">
        <f aca="false">IF(B1591="TV Show",IFERROR(VALUE(LEFT(I1591,FIND(" ",I1591)-1)),""),"")</f>
        <v/>
      </c>
      <c r="P1591" s="7" t="n">
        <f aca="false">IF(K1591="","",K1591-G1591)</f>
        <v>1</v>
      </c>
    </row>
    <row r="1592" customFormat="false" ht="15" hidden="false" customHeight="false" outlineLevel="0" collapsed="false">
      <c r="A1592" s="7" t="n">
        <v>70084180</v>
      </c>
      <c r="B1592" s="7" t="s">
        <v>68</v>
      </c>
      <c r="C1592" s="7" t="s">
        <v>3607</v>
      </c>
      <c r="D1592" s="7" t="s">
        <v>3608</v>
      </c>
      <c r="E1592" s="7" t="s">
        <v>3075</v>
      </c>
      <c r="F1592" s="7" t="s">
        <v>3609</v>
      </c>
      <c r="G1592" s="7" t="n">
        <v>2007</v>
      </c>
      <c r="H1592" s="7" t="s">
        <v>53</v>
      </c>
      <c r="I1592" s="7" t="s">
        <v>417</v>
      </c>
      <c r="J1592" s="7" t="s">
        <v>304</v>
      </c>
      <c r="K1592" s="7" t="n">
        <f aca="false">IFERROR(VALUE(RIGHT(TRIM(F1592),4)),"")</f>
        <v>2009</v>
      </c>
      <c r="L1592" s="7" t="str">
        <f aca="false">IF(TRIM(E1592)="","Unknown",IFERROR(LEFT(TRIM(E1592),FIND(",",TRIM(E1592))-1),TRIM(E1592)))</f>
        <v>Denmark</v>
      </c>
      <c r="M1592" s="7" t="str">
        <f aca="false">IFERROR(LEFT(J1592,FIND(",",J1592)-1),J1592)</f>
        <v>Dramas</v>
      </c>
      <c r="N1592" s="7" t="n">
        <f aca="false">IF(B1592="Movie",IFERROR(VALUE(LEFT(I1592,FIND(" ",I1592)-1)),""),"")</f>
        <v>104</v>
      </c>
      <c r="O1592" s="7" t="str">
        <f aca="false">IF(B1592="TV Show",IFERROR(VALUE(LEFT(I1592,FIND(" ",I1592)-1)),""),"")</f>
        <v/>
      </c>
      <c r="P1592" s="7" t="n">
        <f aca="false">IF(K1592="","",K1592-G1592)</f>
        <v>2</v>
      </c>
    </row>
    <row r="1593" customFormat="false" ht="15" hidden="false" customHeight="false" outlineLevel="0" collapsed="false">
      <c r="A1593" s="7" t="n">
        <v>80193475</v>
      </c>
      <c r="B1593" s="7" t="s">
        <v>78</v>
      </c>
      <c r="C1593" s="7" t="s">
        <v>3610</v>
      </c>
      <c r="E1593" s="7" t="s">
        <v>26</v>
      </c>
      <c r="F1593" s="7" t="s">
        <v>3611</v>
      </c>
      <c r="G1593" s="7" t="n">
        <v>2018</v>
      </c>
      <c r="H1593" s="7" t="s">
        <v>226</v>
      </c>
      <c r="I1593" s="7" t="s">
        <v>82</v>
      </c>
      <c r="J1593" s="7" t="s">
        <v>795</v>
      </c>
      <c r="K1593" s="7" t="n">
        <f aca="false">IFERROR(VALUE(RIGHT(TRIM(F1593),4)),"")</f>
        <v>2018</v>
      </c>
      <c r="L1593" s="7" t="str">
        <f aca="false">IF(TRIM(E1593)="","Unknown",IFERROR(LEFT(TRIM(E1593),FIND(",",TRIM(E1593))-1),TRIM(E1593)))</f>
        <v>United States</v>
      </c>
      <c r="M1593" s="7" t="str">
        <f aca="false">IFERROR(LEFT(J1593,FIND(",",J1593)-1),J1593)</f>
        <v>Stand-Up Comedy &amp; Talk Shows</v>
      </c>
      <c r="N1593" s="7" t="str">
        <f aca="false">IF(B1593="Movie",IFERROR(VALUE(LEFT(I1593,FIND(" ",I1593)-1)),""),"")</f>
        <v/>
      </c>
      <c r="O1593" s="7" t="n">
        <f aca="false">IF(B1593="TV Show",IFERROR(VALUE(LEFT(I1593,FIND(" ",I1593)-1)),""),"")</f>
        <v>1</v>
      </c>
      <c r="P1593" s="7" t="n">
        <f aca="false">IF(K1593="","",K1593-G1593)</f>
        <v>0</v>
      </c>
    </row>
    <row r="1594" customFormat="false" ht="15" hidden="false" customHeight="false" outlineLevel="0" collapsed="false">
      <c r="A1594" s="7" t="n">
        <v>80195964</v>
      </c>
      <c r="B1594" s="7" t="s">
        <v>68</v>
      </c>
      <c r="C1594" s="7" t="s">
        <v>3612</v>
      </c>
      <c r="D1594" s="7" t="s">
        <v>3613</v>
      </c>
      <c r="E1594" s="7" t="s">
        <v>908</v>
      </c>
      <c r="F1594" s="7" t="s">
        <v>3611</v>
      </c>
      <c r="G1594" s="7" t="n">
        <v>2018</v>
      </c>
      <c r="H1594" s="7" t="s">
        <v>48</v>
      </c>
      <c r="I1594" s="7" t="s">
        <v>205</v>
      </c>
      <c r="J1594" s="7" t="s">
        <v>400</v>
      </c>
      <c r="K1594" s="7" t="n">
        <f aca="false">IFERROR(VALUE(RIGHT(TRIM(F1594),4)),"")</f>
        <v>2018</v>
      </c>
      <c r="L1594" s="7" t="str">
        <f aca="false">IF(TRIM(E1594)="","Unknown",IFERROR(LEFT(TRIM(E1594),FIND(",",TRIM(E1594))-1),TRIM(E1594)))</f>
        <v>Germany</v>
      </c>
      <c r="M1594" s="7" t="str">
        <f aca="false">IFERROR(LEFT(J1594,FIND(",",J1594)-1),J1594)</f>
        <v>Dramas</v>
      </c>
      <c r="N1594" s="7" t="n">
        <f aca="false">IF(B1594="Movie",IFERROR(VALUE(LEFT(I1594,FIND(" ",I1594)-1)),""),"")</f>
        <v>100</v>
      </c>
      <c r="O1594" s="7" t="str">
        <f aca="false">IF(B1594="TV Show",IFERROR(VALUE(LEFT(I1594,FIND(" ",I1594)-1)),""),"")</f>
        <v/>
      </c>
      <c r="P1594" s="7" t="n">
        <f aca="false">IF(K1594="","",K1594-G1594)</f>
        <v>0</v>
      </c>
    </row>
    <row r="1595" customFormat="false" ht="15" hidden="false" customHeight="false" outlineLevel="0" collapsed="false">
      <c r="A1595" s="7" t="n">
        <v>80213024</v>
      </c>
      <c r="B1595" s="7" t="s">
        <v>68</v>
      </c>
      <c r="C1595" s="7" t="s">
        <v>3614</v>
      </c>
      <c r="D1595" s="7" t="s">
        <v>3615</v>
      </c>
      <c r="E1595" s="7" t="s">
        <v>31</v>
      </c>
      <c r="F1595" s="7" t="s">
        <v>3611</v>
      </c>
      <c r="G1595" s="7" t="n">
        <v>2018</v>
      </c>
      <c r="H1595" s="7" t="s">
        <v>48</v>
      </c>
      <c r="I1595" s="7" t="s">
        <v>146</v>
      </c>
      <c r="J1595" s="7" t="s">
        <v>45</v>
      </c>
      <c r="K1595" s="7" t="n">
        <f aca="false">IFERROR(VALUE(RIGHT(TRIM(F1595),4)),"")</f>
        <v>2018</v>
      </c>
      <c r="L1595" s="7" t="str">
        <f aca="false">IF(TRIM(E1595)="","Unknown",IFERROR(LEFT(TRIM(E1595),FIND(",",TRIM(E1595))-1),TRIM(E1595)))</f>
        <v>France</v>
      </c>
      <c r="M1595" s="7" t="str">
        <f aca="false">IFERROR(LEFT(J1595,FIND(",",J1595)-1),J1595)</f>
        <v>Stand-Up Comedy</v>
      </c>
      <c r="N1595" s="7" t="n">
        <f aca="false">IF(B1595="Movie",IFERROR(VALUE(LEFT(I1595,FIND(" ",I1595)-1)),""),"")</f>
        <v>113</v>
      </c>
      <c r="O1595" s="7" t="str">
        <f aca="false">IF(B1595="TV Show",IFERROR(VALUE(LEFT(I1595,FIND(" ",I1595)-1)),""),"")</f>
        <v/>
      </c>
      <c r="P1595" s="7" t="n">
        <f aca="false">IF(K1595="","",K1595-G1595)</f>
        <v>0</v>
      </c>
    </row>
    <row r="1596" customFormat="false" ht="15" hidden="false" customHeight="false" outlineLevel="0" collapsed="false">
      <c r="A1596" s="7" t="n">
        <v>80210691</v>
      </c>
      <c r="B1596" s="7" t="s">
        <v>68</v>
      </c>
      <c r="C1596" s="7" t="s">
        <v>3616</v>
      </c>
      <c r="D1596" s="7" t="s">
        <v>3617</v>
      </c>
      <c r="E1596" s="7" t="s">
        <v>26</v>
      </c>
      <c r="F1596" s="7" t="s">
        <v>3611</v>
      </c>
      <c r="G1596" s="7" t="n">
        <v>2018</v>
      </c>
      <c r="H1596" s="7" t="s">
        <v>50</v>
      </c>
      <c r="I1596" s="7" t="s">
        <v>333</v>
      </c>
      <c r="J1596" s="7" t="s">
        <v>39</v>
      </c>
      <c r="K1596" s="7" t="n">
        <f aca="false">IFERROR(VALUE(RIGHT(TRIM(F1596),4)),"")</f>
        <v>2018</v>
      </c>
      <c r="L1596" s="7" t="str">
        <f aca="false">IF(TRIM(E1596)="","Unknown",IFERROR(LEFT(TRIM(E1596),FIND(",",TRIM(E1596))-1),TRIM(E1596)))</f>
        <v>United States</v>
      </c>
      <c r="M1596" s="7" t="str">
        <f aca="false">IFERROR(LEFT(J1596,FIND(",",J1596)-1),J1596)</f>
        <v>Documentaries</v>
      </c>
      <c r="N1596" s="7" t="n">
        <f aca="false">IF(B1596="Movie",IFERROR(VALUE(LEFT(I1596,FIND(" ",I1596)-1)),""),"")</f>
        <v>40</v>
      </c>
      <c r="O1596" s="7" t="str">
        <f aca="false">IF(B1596="TV Show",IFERROR(VALUE(LEFT(I1596,FIND(" ",I1596)-1)),""),"")</f>
        <v/>
      </c>
      <c r="P1596" s="7" t="n">
        <f aca="false">IF(K1596="","",K1596-G1596)</f>
        <v>0</v>
      </c>
    </row>
    <row r="1597" customFormat="false" ht="15" hidden="false" customHeight="false" outlineLevel="0" collapsed="false">
      <c r="A1597" s="7" t="n">
        <v>80244782</v>
      </c>
      <c r="B1597" s="7" t="s">
        <v>68</v>
      </c>
      <c r="C1597" s="7" t="s">
        <v>3618</v>
      </c>
      <c r="D1597" s="7" t="s">
        <v>3619</v>
      </c>
      <c r="E1597" s="7" t="s">
        <v>3620</v>
      </c>
      <c r="F1597" s="7" t="s">
        <v>3611</v>
      </c>
      <c r="G1597" s="7" t="n">
        <v>2018</v>
      </c>
      <c r="H1597" s="7" t="s">
        <v>48</v>
      </c>
      <c r="I1597" s="7" t="s">
        <v>820</v>
      </c>
      <c r="J1597" s="7" t="s">
        <v>304</v>
      </c>
      <c r="K1597" s="7" t="n">
        <f aca="false">IFERROR(VALUE(RIGHT(TRIM(F1597),4)),"")</f>
        <v>2018</v>
      </c>
      <c r="L1597" s="7" t="str">
        <f aca="false">IF(TRIM(E1597)="","Unknown",IFERROR(LEFT(TRIM(E1597),FIND(",",TRIM(E1597))-1),TRIM(E1597)))</f>
        <v>Italy</v>
      </c>
      <c r="M1597" s="7" t="str">
        <f aca="false">IFERROR(LEFT(J1597,FIND(",",J1597)-1),J1597)</f>
        <v>Dramas</v>
      </c>
      <c r="N1597" s="7" t="n">
        <f aca="false">IF(B1597="Movie",IFERROR(VALUE(LEFT(I1597,FIND(" ",I1597)-1)),""),"")</f>
        <v>105</v>
      </c>
      <c r="O1597" s="7" t="str">
        <f aca="false">IF(B1597="TV Show",IFERROR(VALUE(LEFT(I1597,FIND(" ",I1597)-1)),""),"")</f>
        <v/>
      </c>
      <c r="P1597" s="7" t="n">
        <f aca="false">IF(K1597="","",K1597-G1597)</f>
        <v>0</v>
      </c>
    </row>
    <row r="1598" customFormat="false" ht="15" hidden="false" customHeight="false" outlineLevel="0" collapsed="false">
      <c r="A1598" s="7" t="n">
        <v>80144280</v>
      </c>
      <c r="B1598" s="7" t="s">
        <v>68</v>
      </c>
      <c r="C1598" s="7" t="s">
        <v>3621</v>
      </c>
      <c r="D1598" s="7" t="s">
        <v>3622</v>
      </c>
      <c r="E1598" s="7" t="s">
        <v>34</v>
      </c>
      <c r="F1598" s="7" t="s">
        <v>3611</v>
      </c>
      <c r="G1598" s="7" t="n">
        <v>2018</v>
      </c>
      <c r="H1598" s="7" t="s">
        <v>50</v>
      </c>
      <c r="I1598" s="7" t="s">
        <v>77</v>
      </c>
      <c r="J1598" s="7" t="s">
        <v>206</v>
      </c>
      <c r="K1598" s="7" t="n">
        <f aca="false">IFERROR(VALUE(RIGHT(TRIM(F1598),4)),"")</f>
        <v>2018</v>
      </c>
      <c r="L1598" s="7" t="str">
        <f aca="false">IF(TRIM(E1598)="","Unknown",IFERROR(LEFT(TRIM(E1598),FIND(",",TRIM(E1598))-1),TRIM(E1598)))</f>
        <v>Mexico</v>
      </c>
      <c r="M1598" s="7" t="str">
        <f aca="false">IFERROR(LEFT(J1598,FIND(",",J1598)-1),J1598)</f>
        <v>Comedies</v>
      </c>
      <c r="N1598" s="7" t="n">
        <f aca="false">IF(B1598="Movie",IFERROR(VALUE(LEFT(I1598,FIND(" ",I1598)-1)),""),"")</f>
        <v>94</v>
      </c>
      <c r="O1598" s="7" t="str">
        <f aca="false">IF(B1598="TV Show",IFERROR(VALUE(LEFT(I1598,FIND(" ",I1598)-1)),""),"")</f>
        <v/>
      </c>
      <c r="P1598" s="7" t="n">
        <f aca="false">IF(K1598="","",K1598-G1598)</f>
        <v>0</v>
      </c>
    </row>
    <row r="1599" customFormat="false" ht="15" hidden="false" customHeight="false" outlineLevel="0" collapsed="false">
      <c r="A1599" s="7" t="n">
        <v>80209866</v>
      </c>
      <c r="B1599" s="7" t="s">
        <v>68</v>
      </c>
      <c r="C1599" s="7" t="s">
        <v>623</v>
      </c>
      <c r="D1599" s="7" t="s">
        <v>3623</v>
      </c>
      <c r="E1599" s="7" t="s">
        <v>2476</v>
      </c>
      <c r="F1599" s="7" t="s">
        <v>3611</v>
      </c>
      <c r="G1599" s="7" t="n">
        <v>2017</v>
      </c>
      <c r="H1599" s="7" t="s">
        <v>48</v>
      </c>
      <c r="I1599" s="7" t="s">
        <v>790</v>
      </c>
      <c r="J1599" s="7" t="s">
        <v>322</v>
      </c>
      <c r="K1599" s="7" t="n">
        <f aca="false">IFERROR(VALUE(RIGHT(TRIM(F1599),4)),"")</f>
        <v>2018</v>
      </c>
      <c r="L1599" s="7" t="str">
        <f aca="false">IF(TRIM(E1599)="","Unknown",IFERROR(LEFT(TRIM(E1599),FIND(",",TRIM(E1599))-1),TRIM(E1599)))</f>
        <v>China</v>
      </c>
      <c r="M1599" s="7" t="str">
        <f aca="false">IFERROR(LEFT(J1599,FIND(",",J1599)-1),J1599)</f>
        <v>Action &amp; Adventure</v>
      </c>
      <c r="N1599" s="7" t="n">
        <f aca="false">IF(B1599="Movie",IFERROR(VALUE(LEFT(I1599,FIND(" ",I1599)-1)),""),"")</f>
        <v>109</v>
      </c>
      <c r="O1599" s="7" t="str">
        <f aca="false">IF(B1599="TV Show",IFERROR(VALUE(LEFT(I1599,FIND(" ",I1599)-1)),""),"")</f>
        <v/>
      </c>
      <c r="P1599" s="7" t="n">
        <f aca="false">IF(K1599="","",K1599-G1599)</f>
        <v>1</v>
      </c>
    </row>
    <row r="1600" customFormat="false" ht="15" hidden="false" customHeight="false" outlineLevel="0" collapsed="false">
      <c r="A1600" s="7" t="n">
        <v>80241666</v>
      </c>
      <c r="B1600" s="7" t="s">
        <v>68</v>
      </c>
      <c r="C1600" s="7" t="s">
        <v>3624</v>
      </c>
      <c r="D1600" s="7" t="s">
        <v>3625</v>
      </c>
      <c r="E1600" s="7" t="s">
        <v>97</v>
      </c>
      <c r="F1600" s="7" t="s">
        <v>3611</v>
      </c>
      <c r="G1600" s="7" t="n">
        <v>2018</v>
      </c>
      <c r="H1600" s="7" t="s">
        <v>48</v>
      </c>
      <c r="I1600" s="7" t="s">
        <v>237</v>
      </c>
      <c r="J1600" s="7" t="s">
        <v>217</v>
      </c>
      <c r="K1600" s="7" t="n">
        <f aca="false">IFERROR(VALUE(RIGHT(TRIM(F1600),4)),"")</f>
        <v>2018</v>
      </c>
      <c r="L1600" s="7" t="str">
        <f aca="false">IF(TRIM(E1600)="","Unknown",IFERROR(LEFT(TRIM(E1600),FIND(",",TRIM(E1600))-1),TRIM(E1600)))</f>
        <v>Chile</v>
      </c>
      <c r="M1600" s="7" t="str">
        <f aca="false">IFERROR(LEFT(J1600,FIND(",",J1600)-1),J1600)</f>
        <v>Comedies</v>
      </c>
      <c r="N1600" s="7" t="n">
        <f aca="false">IF(B1600="Movie",IFERROR(VALUE(LEFT(I1600,FIND(" ",I1600)-1)),""),"")</f>
        <v>116</v>
      </c>
      <c r="O1600" s="7" t="str">
        <f aca="false">IF(B1600="TV Show",IFERROR(VALUE(LEFT(I1600,FIND(" ",I1600)-1)),""),"")</f>
        <v/>
      </c>
      <c r="P1600" s="7" t="n">
        <f aca="false">IF(K1600="","",K1600-G1600)</f>
        <v>0</v>
      </c>
    </row>
    <row r="1601" customFormat="false" ht="15" hidden="false" customHeight="false" outlineLevel="0" collapsed="false">
      <c r="A1601" s="7" t="n">
        <v>80167648</v>
      </c>
      <c r="B1601" s="7" t="s">
        <v>68</v>
      </c>
      <c r="C1601" s="7" t="s">
        <v>3626</v>
      </c>
      <c r="D1601" s="7" t="s">
        <v>3627</v>
      </c>
      <c r="E1601" s="7" t="s">
        <v>33</v>
      </c>
      <c r="F1601" s="7" t="s">
        <v>3611</v>
      </c>
      <c r="G1601" s="7" t="n">
        <v>2017</v>
      </c>
      <c r="H1601" s="7" t="s">
        <v>49</v>
      </c>
      <c r="I1601" s="7" t="s">
        <v>87</v>
      </c>
      <c r="J1601" s="7" t="s">
        <v>217</v>
      </c>
      <c r="K1601" s="7" t="n">
        <f aca="false">IFERROR(VALUE(RIGHT(TRIM(F1601),4)),"")</f>
        <v>2018</v>
      </c>
      <c r="L1601" s="7" t="str">
        <f aca="false">IF(TRIM(E1601)="","Unknown",IFERROR(LEFT(TRIM(E1601),FIND(",",TRIM(E1601))-1),TRIM(E1601)))</f>
        <v>Spain</v>
      </c>
      <c r="M1601" s="7" t="str">
        <f aca="false">IFERROR(LEFT(J1601,FIND(",",J1601)-1),J1601)</f>
        <v>Comedies</v>
      </c>
      <c r="N1601" s="7" t="n">
        <f aca="false">IF(B1601="Movie",IFERROR(VALUE(LEFT(I1601,FIND(" ",I1601)-1)),""),"")</f>
        <v>99</v>
      </c>
      <c r="O1601" s="7" t="str">
        <f aca="false">IF(B1601="TV Show",IFERROR(VALUE(LEFT(I1601,FIND(" ",I1601)-1)),""),"")</f>
        <v/>
      </c>
      <c r="P1601" s="7" t="n">
        <f aca="false">IF(K1601="","",K1601-G1601)</f>
        <v>1</v>
      </c>
    </row>
    <row r="1602" customFormat="false" ht="15" hidden="false" customHeight="false" outlineLevel="0" collapsed="false">
      <c r="A1602" s="7" t="n">
        <v>80047032</v>
      </c>
      <c r="B1602" s="7" t="s">
        <v>78</v>
      </c>
      <c r="C1602" s="7" t="s">
        <v>3628</v>
      </c>
      <c r="E1602" s="7" t="s">
        <v>3629</v>
      </c>
      <c r="F1602" s="7" t="s">
        <v>3630</v>
      </c>
      <c r="G1602" s="7" t="n">
        <v>2003</v>
      </c>
      <c r="H1602" s="7" t="s">
        <v>49</v>
      </c>
      <c r="I1602" s="7" t="s">
        <v>82</v>
      </c>
      <c r="J1602" s="7" t="s">
        <v>2521</v>
      </c>
      <c r="K1602" s="7" t="n">
        <f aca="false">IFERROR(VALUE(RIGHT(TRIM(F1602),4)),"")</f>
        <v>2017</v>
      </c>
      <c r="L1602" s="7" t="str">
        <f aca="false">IF(TRIM(E1602)="","Unknown",IFERROR(LEFT(TRIM(E1602),FIND(",",TRIM(E1602))-1),TRIM(E1602)))</f>
        <v>Colombia</v>
      </c>
      <c r="M1602" s="7" t="str">
        <f aca="false">IFERROR(LEFT(J1602,FIND(",",J1602)-1),J1602)</f>
        <v>International TV Shows</v>
      </c>
      <c r="N1602" s="7" t="str">
        <f aca="false">IF(B1602="Movie",IFERROR(VALUE(LEFT(I1602,FIND(" ",I1602)-1)),""),"")</f>
        <v/>
      </c>
      <c r="O1602" s="7" t="n">
        <f aca="false">IF(B1602="TV Show",IFERROR(VALUE(LEFT(I1602,FIND(" ",I1602)-1)),""),"")</f>
        <v>1</v>
      </c>
      <c r="P1602" s="7" t="n">
        <f aca="false">IF(K1602="","",K1602-G1602)</f>
        <v>14</v>
      </c>
    </row>
    <row r="1603" customFormat="false" ht="15" hidden="false" customHeight="false" outlineLevel="0" collapsed="false">
      <c r="A1603" s="7" t="n">
        <v>80202874</v>
      </c>
      <c r="B1603" s="7" t="s">
        <v>68</v>
      </c>
      <c r="C1603" s="7" t="s">
        <v>3631</v>
      </c>
      <c r="D1603" s="7" t="s">
        <v>3632</v>
      </c>
      <c r="E1603" s="7" t="s">
        <v>26</v>
      </c>
      <c r="F1603" s="7" t="s">
        <v>3633</v>
      </c>
      <c r="G1603" s="7" t="n">
        <v>2019</v>
      </c>
      <c r="H1603" s="7" t="s">
        <v>52</v>
      </c>
      <c r="I1603" s="7" t="s">
        <v>181</v>
      </c>
      <c r="J1603" s="7" t="s">
        <v>177</v>
      </c>
      <c r="K1603" s="7" t="n">
        <f aca="false">IFERROR(VALUE(RIGHT(TRIM(F1603),4)),"")</f>
        <v>2019</v>
      </c>
      <c r="L1603" s="7" t="str">
        <f aca="false">IF(TRIM(E1603)="","Unknown",IFERROR(LEFT(TRIM(E1603),FIND(",",TRIM(E1603))-1),TRIM(E1603)))</f>
        <v>United States</v>
      </c>
      <c r="M1603" s="7" t="str">
        <f aca="false">IFERROR(LEFT(J1603,FIND(",",J1603)-1),J1603)</f>
        <v>Comedies</v>
      </c>
      <c r="N1603" s="7" t="n">
        <f aca="false">IF(B1603="Movie",IFERROR(VALUE(LEFT(I1603,FIND(" ",I1603)-1)),""),"")</f>
        <v>102</v>
      </c>
      <c r="O1603" s="7" t="str">
        <f aca="false">IF(B1603="TV Show",IFERROR(VALUE(LEFT(I1603,FIND(" ",I1603)-1)),""),"")</f>
        <v/>
      </c>
      <c r="P1603" s="7" t="n">
        <f aca="false">IF(K1603="","",K1603-G1603)</f>
        <v>0</v>
      </c>
    </row>
    <row r="1604" customFormat="false" ht="15" hidden="false" customHeight="false" outlineLevel="0" collapsed="false">
      <c r="A1604" s="7" t="n">
        <v>70109249</v>
      </c>
      <c r="B1604" s="7" t="s">
        <v>68</v>
      </c>
      <c r="C1604" s="7" t="s">
        <v>3634</v>
      </c>
      <c r="D1604" s="7" t="s">
        <v>3635</v>
      </c>
      <c r="E1604" s="7" t="s">
        <v>27</v>
      </c>
      <c r="F1604" s="7" t="s">
        <v>3633</v>
      </c>
      <c r="G1604" s="7" t="n">
        <v>2008</v>
      </c>
      <c r="H1604" s="7" t="s">
        <v>49</v>
      </c>
      <c r="I1604" s="7" t="s">
        <v>378</v>
      </c>
      <c r="J1604" s="7" t="s">
        <v>139</v>
      </c>
      <c r="K1604" s="7" t="n">
        <f aca="false">IFERROR(VALUE(RIGHT(TRIM(F1604),4)),"")</f>
        <v>2019</v>
      </c>
      <c r="L1604" s="7" t="str">
        <f aca="false">IF(TRIM(E1604)="","Unknown",IFERROR(LEFT(TRIM(E1604),FIND(",",TRIM(E1604))-1),TRIM(E1604)))</f>
        <v>India</v>
      </c>
      <c r="M1604" s="7" t="str">
        <f aca="false">IFERROR(LEFT(J1604,FIND(",",J1604)-1),J1604)</f>
        <v>Action &amp; Adventure</v>
      </c>
      <c r="N1604" s="7" t="n">
        <f aca="false">IF(B1604="Movie",IFERROR(VALUE(LEFT(I1604,FIND(" ",I1604)-1)),""),"")</f>
        <v>127</v>
      </c>
      <c r="O1604" s="7" t="str">
        <f aca="false">IF(B1604="TV Show",IFERROR(VALUE(LEFT(I1604,FIND(" ",I1604)-1)),""),"")</f>
        <v/>
      </c>
      <c r="P1604" s="7" t="n">
        <f aca="false">IF(K1604="","",K1604-G1604)</f>
        <v>11</v>
      </c>
    </row>
    <row r="1605" customFormat="false" ht="15" hidden="false" customHeight="false" outlineLevel="0" collapsed="false">
      <c r="A1605" s="7" t="n">
        <v>80993095</v>
      </c>
      <c r="B1605" s="7" t="s">
        <v>68</v>
      </c>
      <c r="C1605" s="7" t="s">
        <v>3636</v>
      </c>
      <c r="D1605" s="7" t="s">
        <v>3635</v>
      </c>
      <c r="E1605" s="7" t="s">
        <v>27</v>
      </c>
      <c r="F1605" s="7" t="s">
        <v>3633</v>
      </c>
      <c r="G1605" s="7" t="n">
        <v>2019</v>
      </c>
      <c r="H1605" s="7" t="s">
        <v>48</v>
      </c>
      <c r="I1605" s="7" t="s">
        <v>512</v>
      </c>
      <c r="J1605" s="7" t="s">
        <v>198</v>
      </c>
      <c r="K1605" s="7" t="n">
        <f aca="false">IFERROR(VALUE(RIGHT(TRIM(F1605),4)),"")</f>
        <v>2019</v>
      </c>
      <c r="L1605" s="7" t="str">
        <f aca="false">IF(TRIM(E1605)="","Unknown",IFERROR(LEFT(TRIM(E1605),FIND(",",TRIM(E1605))-1),TRIM(E1605)))</f>
        <v>India</v>
      </c>
      <c r="M1605" s="7" t="str">
        <f aca="false">IFERROR(LEFT(J1605,FIND(",",J1605)-1),J1605)</f>
        <v>Comedies</v>
      </c>
      <c r="N1605" s="7" t="n">
        <f aca="false">IF(B1605="Movie",IFERROR(VALUE(LEFT(I1605,FIND(" ",I1605)-1)),""),"")</f>
        <v>101</v>
      </c>
      <c r="O1605" s="7" t="str">
        <f aca="false">IF(B1605="TV Show",IFERROR(VALUE(LEFT(I1605,FIND(" ",I1605)-1)),""),"")</f>
        <v/>
      </c>
      <c r="P1605" s="7" t="n">
        <f aca="false">IF(K1605="","",K1605-G1605)</f>
        <v>0</v>
      </c>
    </row>
    <row r="1606" customFormat="false" ht="15" hidden="false" customHeight="false" outlineLevel="0" collapsed="false">
      <c r="A1606" s="7" t="n">
        <v>80218448</v>
      </c>
      <c r="B1606" s="7" t="s">
        <v>78</v>
      </c>
      <c r="C1606" s="7" t="s">
        <v>3637</v>
      </c>
      <c r="E1606" s="7" t="s">
        <v>1081</v>
      </c>
      <c r="F1606" s="7" t="s">
        <v>3633</v>
      </c>
      <c r="G1606" s="7" t="n">
        <v>2019</v>
      </c>
      <c r="H1606" s="7" t="s">
        <v>48</v>
      </c>
      <c r="I1606" s="7" t="s">
        <v>82</v>
      </c>
      <c r="J1606" s="7" t="s">
        <v>3638</v>
      </c>
      <c r="K1606" s="7" t="n">
        <f aca="false">IFERROR(VALUE(RIGHT(TRIM(F1606),4)),"")</f>
        <v>2019</v>
      </c>
      <c r="L1606" s="7" t="str">
        <f aca="false">IF(TRIM(E1606)="","Unknown",IFERROR(LEFT(TRIM(E1606),FIND(",",TRIM(E1606))-1),TRIM(E1606)))</f>
        <v>Germany</v>
      </c>
      <c r="M1606" s="7" t="str">
        <f aca="false">IFERROR(LEFT(J1606,FIND(",",J1606)-1),J1606)</f>
        <v>Crime TV Shows</v>
      </c>
      <c r="N1606" s="7" t="str">
        <f aca="false">IF(B1606="Movie",IFERROR(VALUE(LEFT(I1606,FIND(" ",I1606)-1)),""),"")</f>
        <v/>
      </c>
      <c r="O1606" s="7" t="n">
        <f aca="false">IF(B1606="TV Show",IFERROR(VALUE(LEFT(I1606,FIND(" ",I1606)-1)),""),"")</f>
        <v>1</v>
      </c>
      <c r="P1606" s="7" t="n">
        <f aca="false">IF(K1606="","",K1606-G1606)</f>
        <v>0</v>
      </c>
    </row>
    <row r="1607" customFormat="false" ht="15" hidden="false" customHeight="false" outlineLevel="0" collapsed="false">
      <c r="A1607" s="7" t="n">
        <v>80217946</v>
      </c>
      <c r="B1607" s="7" t="s">
        <v>78</v>
      </c>
      <c r="C1607" s="7" t="s">
        <v>3639</v>
      </c>
      <c r="F1607" s="7" t="s">
        <v>3633</v>
      </c>
      <c r="G1607" s="7" t="n">
        <v>2019</v>
      </c>
      <c r="H1607" s="7" t="s">
        <v>48</v>
      </c>
      <c r="I1607" s="7" t="s">
        <v>82</v>
      </c>
      <c r="J1607" s="7" t="s">
        <v>1402</v>
      </c>
      <c r="K1607" s="7" t="n">
        <f aca="false">IFERROR(VALUE(RIGHT(TRIM(F1607),4)),"")</f>
        <v>2019</v>
      </c>
      <c r="L1607" s="7" t="str">
        <f aca="false">IF(TRIM(E1607)="","Unknown",IFERROR(LEFT(TRIM(E1607),FIND(",",TRIM(E1607))-1),TRIM(E1607)))</f>
        <v>Unknown</v>
      </c>
      <c r="M1607" s="7" t="str">
        <f aca="false">IFERROR(LEFT(J1607,FIND(",",J1607)-1),J1607)</f>
        <v>Crime TV Shows</v>
      </c>
      <c r="N1607" s="7" t="str">
        <f aca="false">IF(B1607="Movie",IFERROR(VALUE(LEFT(I1607,FIND(" ",I1607)-1)),""),"")</f>
        <v/>
      </c>
      <c r="O1607" s="7" t="n">
        <f aca="false">IF(B1607="TV Show",IFERROR(VALUE(LEFT(I1607,FIND(" ",I1607)-1)),""),"")</f>
        <v>1</v>
      </c>
      <c r="P1607" s="7" t="n">
        <f aca="false">IF(K1607="","",K1607-G1607)</f>
        <v>0</v>
      </c>
    </row>
    <row r="1608" customFormat="false" ht="15" hidden="false" customHeight="false" outlineLevel="0" collapsed="false">
      <c r="A1608" s="7" t="n">
        <v>70045644</v>
      </c>
      <c r="B1608" s="7" t="s">
        <v>68</v>
      </c>
      <c r="C1608" s="7" t="s">
        <v>3640</v>
      </c>
      <c r="D1608" s="7" t="s">
        <v>3641</v>
      </c>
      <c r="E1608" s="7" t="s">
        <v>27</v>
      </c>
      <c r="F1608" s="7" t="s">
        <v>3633</v>
      </c>
      <c r="G1608" s="7" t="n">
        <v>2006</v>
      </c>
      <c r="H1608" s="7" t="s">
        <v>49</v>
      </c>
      <c r="I1608" s="7" t="s">
        <v>130</v>
      </c>
      <c r="J1608" s="7" t="s">
        <v>457</v>
      </c>
      <c r="K1608" s="7" t="n">
        <f aca="false">IFERROR(VALUE(RIGHT(TRIM(F1608),4)),"")</f>
        <v>2019</v>
      </c>
      <c r="L1608" s="7" t="str">
        <f aca="false">IF(TRIM(E1608)="","Unknown",IFERROR(LEFT(TRIM(E1608),FIND(",",TRIM(E1608))-1),TRIM(E1608)))</f>
        <v>India</v>
      </c>
      <c r="M1608" s="7" t="str">
        <f aca="false">IFERROR(LEFT(J1608,FIND(",",J1608)-1),J1608)</f>
        <v>Comedies</v>
      </c>
      <c r="N1608" s="7" t="n">
        <f aca="false">IF(B1608="Movie",IFERROR(VALUE(LEFT(I1608,FIND(" ",I1608)-1)),""),"")</f>
        <v>135</v>
      </c>
      <c r="O1608" s="7" t="str">
        <f aca="false">IF(B1608="TV Show",IFERROR(VALUE(LEFT(I1608,FIND(" ",I1608)-1)),""),"")</f>
        <v/>
      </c>
      <c r="P1608" s="7" t="n">
        <f aca="false">IF(K1608="","",K1608-G1608)</f>
        <v>13</v>
      </c>
    </row>
    <row r="1609" customFormat="false" ht="15" hidden="false" customHeight="false" outlineLevel="0" collapsed="false">
      <c r="A1609" s="7" t="n">
        <v>70025612</v>
      </c>
      <c r="B1609" s="7" t="s">
        <v>68</v>
      </c>
      <c r="C1609" s="7" t="s">
        <v>3642</v>
      </c>
      <c r="D1609" s="7" t="s">
        <v>3643</v>
      </c>
      <c r="E1609" s="7" t="s">
        <v>27</v>
      </c>
      <c r="F1609" s="7" t="s">
        <v>3633</v>
      </c>
      <c r="G1609" s="7" t="n">
        <v>2004</v>
      </c>
      <c r="H1609" s="7" t="s">
        <v>48</v>
      </c>
      <c r="I1609" s="7" t="s">
        <v>549</v>
      </c>
      <c r="J1609" s="7" t="s">
        <v>3644</v>
      </c>
      <c r="K1609" s="7" t="n">
        <f aca="false">IFERROR(VALUE(RIGHT(TRIM(F1609),4)),"")</f>
        <v>2019</v>
      </c>
      <c r="L1609" s="7" t="str">
        <f aca="false">IF(TRIM(E1609)="","Unknown",IFERROR(LEFT(TRIM(E1609),FIND(",",TRIM(E1609))-1),TRIM(E1609)))</f>
        <v>India</v>
      </c>
      <c r="M1609" s="7" t="str">
        <f aca="false">IFERROR(LEFT(J1609,FIND(",",J1609)-1),J1609)</f>
        <v>Action &amp; Adventure</v>
      </c>
      <c r="N1609" s="7" t="n">
        <f aca="false">IF(B1609="Movie",IFERROR(VALUE(LEFT(I1609,FIND(" ",I1609)-1)),""),"")</f>
        <v>124</v>
      </c>
      <c r="O1609" s="7" t="str">
        <f aca="false">IF(B1609="TV Show",IFERROR(VALUE(LEFT(I1609,FIND(" ",I1609)-1)),""),"")</f>
        <v/>
      </c>
      <c r="P1609" s="7" t="n">
        <f aca="false">IF(K1609="","",K1609-G1609)</f>
        <v>15</v>
      </c>
    </row>
    <row r="1610" customFormat="false" ht="15" hidden="false" customHeight="false" outlineLevel="0" collapsed="false">
      <c r="A1610" s="7" t="n">
        <v>80237006</v>
      </c>
      <c r="B1610" s="7" t="s">
        <v>68</v>
      </c>
      <c r="C1610" s="7" t="s">
        <v>3645</v>
      </c>
      <c r="D1610" s="7" t="s">
        <v>2128</v>
      </c>
      <c r="E1610" s="7" t="s">
        <v>27</v>
      </c>
      <c r="F1610" s="7" t="s">
        <v>3633</v>
      </c>
      <c r="G1610" s="7" t="n">
        <v>2019</v>
      </c>
      <c r="H1610" s="7" t="s">
        <v>48</v>
      </c>
      <c r="I1610" s="7" t="s">
        <v>330</v>
      </c>
      <c r="J1610" s="7" t="s">
        <v>304</v>
      </c>
      <c r="K1610" s="7" t="n">
        <f aca="false">IFERROR(VALUE(RIGHT(TRIM(F1610),4)),"")</f>
        <v>2019</v>
      </c>
      <c r="L1610" s="7" t="str">
        <f aca="false">IF(TRIM(E1610)="","Unknown",IFERROR(LEFT(TRIM(E1610),FIND(",",TRIM(E1610))-1),TRIM(E1610)))</f>
        <v>India</v>
      </c>
      <c r="M1610" s="7" t="str">
        <f aca="false">IFERROR(LEFT(J1610,FIND(",",J1610)-1),J1610)</f>
        <v>Dramas</v>
      </c>
      <c r="N1610" s="7" t="n">
        <f aca="false">IF(B1610="Movie",IFERROR(VALUE(LEFT(I1610,FIND(" ",I1610)-1)),""),"")</f>
        <v>103</v>
      </c>
      <c r="O1610" s="7" t="str">
        <f aca="false">IF(B1610="TV Show",IFERROR(VALUE(LEFT(I1610,FIND(" ",I1610)-1)),""),"")</f>
        <v/>
      </c>
      <c r="P1610" s="7" t="n">
        <f aca="false">IF(K1610="","",K1610-G1610)</f>
        <v>0</v>
      </c>
    </row>
    <row r="1611" customFormat="false" ht="15" hidden="false" customHeight="false" outlineLevel="0" collapsed="false">
      <c r="A1611" s="7" t="n">
        <v>80160033</v>
      </c>
      <c r="B1611" s="7" t="s">
        <v>68</v>
      </c>
      <c r="C1611" s="7" t="s">
        <v>3646</v>
      </c>
      <c r="D1611" s="7" t="s">
        <v>3647</v>
      </c>
      <c r="E1611" s="7" t="s">
        <v>3648</v>
      </c>
      <c r="F1611" s="7" t="s">
        <v>3633</v>
      </c>
      <c r="G1611" s="7" t="n">
        <v>2006</v>
      </c>
      <c r="H1611" s="7" t="s">
        <v>48</v>
      </c>
      <c r="I1611" s="7" t="s">
        <v>820</v>
      </c>
      <c r="J1611" s="7" t="s">
        <v>169</v>
      </c>
      <c r="K1611" s="7" t="n">
        <f aca="false">IFERROR(VALUE(RIGHT(TRIM(F1611),4)),"")</f>
        <v>2019</v>
      </c>
      <c r="L1611" s="7" t="str">
        <f aca="false">IF(TRIM(E1611)="","Unknown",IFERROR(LEFT(TRIM(E1611),FIND(",",TRIM(E1611))-1),TRIM(E1611)))</f>
        <v>United Kingdom</v>
      </c>
      <c r="M1611" s="7" t="str">
        <f aca="false">IFERROR(LEFT(J1611,FIND(",",J1611)-1),J1611)</f>
        <v>Horror Movies</v>
      </c>
      <c r="N1611" s="7" t="n">
        <f aca="false">IF(B1611="Movie",IFERROR(VALUE(LEFT(I1611,FIND(" ",I1611)-1)),""),"")</f>
        <v>105</v>
      </c>
      <c r="O1611" s="7" t="str">
        <f aca="false">IF(B1611="TV Show",IFERROR(VALUE(LEFT(I1611,FIND(" ",I1611)-1)),""),"")</f>
        <v/>
      </c>
      <c r="P1611" s="7" t="n">
        <f aca="false">IF(K1611="","",K1611-G1611)</f>
        <v>13</v>
      </c>
    </row>
    <row r="1612" customFormat="false" ht="15" hidden="false" customHeight="false" outlineLevel="0" collapsed="false">
      <c r="A1612" s="7" t="n">
        <v>81111849</v>
      </c>
      <c r="B1612" s="7" t="s">
        <v>68</v>
      </c>
      <c r="C1612" s="7" t="s">
        <v>3649</v>
      </c>
      <c r="D1612" s="7" t="s">
        <v>3650</v>
      </c>
      <c r="E1612" s="7" t="s">
        <v>366</v>
      </c>
      <c r="F1612" s="7" t="s">
        <v>3633</v>
      </c>
      <c r="G1612" s="7" t="n">
        <v>2019</v>
      </c>
      <c r="H1612" s="7" t="s">
        <v>49</v>
      </c>
      <c r="I1612" s="7" t="s">
        <v>134</v>
      </c>
      <c r="J1612" s="7" t="s">
        <v>217</v>
      </c>
      <c r="K1612" s="7" t="n">
        <f aca="false">IFERROR(VALUE(RIGHT(TRIM(F1612),4)),"")</f>
        <v>2019</v>
      </c>
      <c r="L1612" s="7" t="str">
        <f aca="false">IF(TRIM(E1612)="","Unknown",IFERROR(LEFT(TRIM(E1612),FIND(",",TRIM(E1612))-1),TRIM(E1612)))</f>
        <v>China</v>
      </c>
      <c r="M1612" s="7" t="str">
        <f aca="false">IFERROR(LEFT(J1612,FIND(",",J1612)-1),J1612)</f>
        <v>Comedies</v>
      </c>
      <c r="N1612" s="7" t="n">
        <f aca="false">IF(B1612="Movie",IFERROR(VALUE(LEFT(I1612,FIND(" ",I1612)-1)),""),"")</f>
        <v>98</v>
      </c>
      <c r="O1612" s="7" t="str">
        <f aca="false">IF(B1612="TV Show",IFERROR(VALUE(LEFT(I1612,FIND(" ",I1612)-1)),""),"")</f>
        <v/>
      </c>
      <c r="P1612" s="7" t="n">
        <f aca="false">IF(K1612="","",K1612-G1612)</f>
        <v>0</v>
      </c>
    </row>
    <row r="1613" customFormat="false" ht="15" hidden="false" customHeight="false" outlineLevel="0" collapsed="false">
      <c r="A1613" s="7" t="n">
        <v>80083930</v>
      </c>
      <c r="B1613" s="7" t="s">
        <v>68</v>
      </c>
      <c r="C1613" s="7" t="s">
        <v>3651</v>
      </c>
      <c r="D1613" s="7" t="s">
        <v>3652</v>
      </c>
      <c r="E1613" s="7" t="s">
        <v>27</v>
      </c>
      <c r="F1613" s="7" t="s">
        <v>3633</v>
      </c>
      <c r="G1613" s="7" t="n">
        <v>2011</v>
      </c>
      <c r="H1613" s="7" t="s">
        <v>48</v>
      </c>
      <c r="I1613" s="7" t="s">
        <v>272</v>
      </c>
      <c r="J1613" s="7" t="s">
        <v>169</v>
      </c>
      <c r="K1613" s="7" t="n">
        <f aca="false">IFERROR(VALUE(RIGHT(TRIM(F1613),4)),"")</f>
        <v>2019</v>
      </c>
      <c r="L1613" s="7" t="str">
        <f aca="false">IF(TRIM(E1613)="","Unknown",IFERROR(LEFT(TRIM(E1613),FIND(",",TRIM(E1613))-1),TRIM(E1613)))</f>
        <v>India</v>
      </c>
      <c r="M1613" s="7" t="str">
        <f aca="false">IFERROR(LEFT(J1613,FIND(",",J1613)-1),J1613)</f>
        <v>Horror Movies</v>
      </c>
      <c r="N1613" s="7" t="n">
        <f aca="false">IF(B1613="Movie",IFERROR(VALUE(LEFT(I1613,FIND(" ",I1613)-1)),""),"")</f>
        <v>93</v>
      </c>
      <c r="O1613" s="7" t="str">
        <f aca="false">IF(B1613="TV Show",IFERROR(VALUE(LEFT(I1613,FIND(" ",I1613)-1)),""),"")</f>
        <v/>
      </c>
      <c r="P1613" s="7" t="n">
        <f aca="false">IF(K1613="","",K1613-G1613)</f>
        <v>8</v>
      </c>
    </row>
    <row r="1614" customFormat="false" ht="15" hidden="false" customHeight="false" outlineLevel="0" collapsed="false">
      <c r="A1614" s="7" t="n">
        <v>80083752</v>
      </c>
      <c r="B1614" s="7" t="s">
        <v>68</v>
      </c>
      <c r="C1614" s="7" t="s">
        <v>3653</v>
      </c>
      <c r="D1614" s="7" t="s">
        <v>3654</v>
      </c>
      <c r="E1614" s="7" t="s">
        <v>27</v>
      </c>
      <c r="F1614" s="7" t="s">
        <v>3633</v>
      </c>
      <c r="G1614" s="7" t="n">
        <v>2014</v>
      </c>
      <c r="H1614" s="7" t="s">
        <v>48</v>
      </c>
      <c r="I1614" s="7" t="s">
        <v>146</v>
      </c>
      <c r="J1614" s="7" t="s">
        <v>169</v>
      </c>
      <c r="K1614" s="7" t="n">
        <f aca="false">IFERROR(VALUE(RIGHT(TRIM(F1614),4)),"")</f>
        <v>2019</v>
      </c>
      <c r="L1614" s="7" t="str">
        <f aca="false">IF(TRIM(E1614)="","Unknown",IFERROR(LEFT(TRIM(E1614),FIND(",",TRIM(E1614))-1),TRIM(E1614)))</f>
        <v>India</v>
      </c>
      <c r="M1614" s="7" t="str">
        <f aca="false">IFERROR(LEFT(J1614,FIND(",",J1614)-1),J1614)</f>
        <v>Horror Movies</v>
      </c>
      <c r="N1614" s="7" t="n">
        <f aca="false">IF(B1614="Movie",IFERROR(VALUE(LEFT(I1614,FIND(" ",I1614)-1)),""),"")</f>
        <v>113</v>
      </c>
      <c r="O1614" s="7" t="str">
        <f aca="false">IF(B1614="TV Show",IFERROR(VALUE(LEFT(I1614,FIND(" ",I1614)-1)),""),"")</f>
        <v/>
      </c>
      <c r="P1614" s="7" t="n">
        <f aca="false">IF(K1614="","",K1614-G1614)</f>
        <v>5</v>
      </c>
    </row>
    <row r="1615" customFormat="false" ht="15" hidden="false" customHeight="false" outlineLevel="0" collapsed="false">
      <c r="A1615" s="7" t="n">
        <v>70185023</v>
      </c>
      <c r="B1615" s="7" t="s">
        <v>68</v>
      </c>
      <c r="C1615" s="7" t="s">
        <v>3655</v>
      </c>
      <c r="D1615" s="7" t="s">
        <v>3656</v>
      </c>
      <c r="E1615" s="7" t="s">
        <v>27</v>
      </c>
      <c r="F1615" s="7" t="s">
        <v>3633</v>
      </c>
      <c r="G1615" s="7" t="n">
        <v>2011</v>
      </c>
      <c r="H1615" s="7" t="s">
        <v>48</v>
      </c>
      <c r="I1615" s="7" t="s">
        <v>173</v>
      </c>
      <c r="J1615" s="7" t="s">
        <v>198</v>
      </c>
      <c r="K1615" s="7" t="n">
        <f aca="false">IFERROR(VALUE(RIGHT(TRIM(F1615),4)),"")</f>
        <v>2019</v>
      </c>
      <c r="L1615" s="7" t="str">
        <f aca="false">IF(TRIM(E1615)="","Unknown",IFERROR(LEFT(TRIM(E1615),FIND(",",TRIM(E1615))-1),TRIM(E1615)))</f>
        <v>India</v>
      </c>
      <c r="M1615" s="7" t="str">
        <f aca="false">IFERROR(LEFT(J1615,FIND(",",J1615)-1),J1615)</f>
        <v>Comedies</v>
      </c>
      <c r="N1615" s="7" t="n">
        <f aca="false">IF(B1615="Movie",IFERROR(VALUE(LEFT(I1615,FIND(" ",I1615)-1)),""),"")</f>
        <v>106</v>
      </c>
      <c r="O1615" s="7" t="str">
        <f aca="false">IF(B1615="TV Show",IFERROR(VALUE(LEFT(I1615,FIND(" ",I1615)-1)),""),"")</f>
        <v/>
      </c>
      <c r="P1615" s="7" t="n">
        <f aca="false">IF(K1615="","",K1615-G1615)</f>
        <v>8</v>
      </c>
    </row>
    <row r="1616" customFormat="false" ht="15" hidden="false" customHeight="false" outlineLevel="0" collapsed="false">
      <c r="A1616" s="7" t="n">
        <v>80200549</v>
      </c>
      <c r="B1616" s="7" t="s">
        <v>78</v>
      </c>
      <c r="C1616" s="7" t="s">
        <v>3657</v>
      </c>
      <c r="E1616" s="7" t="s">
        <v>26</v>
      </c>
      <c r="F1616" s="7" t="s">
        <v>3633</v>
      </c>
      <c r="G1616" s="7" t="n">
        <v>2019</v>
      </c>
      <c r="H1616" s="7" t="s">
        <v>48</v>
      </c>
      <c r="I1616" s="7" t="s">
        <v>82</v>
      </c>
      <c r="J1616" s="7" t="s">
        <v>834</v>
      </c>
      <c r="K1616" s="7" t="n">
        <f aca="false">IFERROR(VALUE(RIGHT(TRIM(F1616),4)),"")</f>
        <v>2019</v>
      </c>
      <c r="L1616" s="7" t="str">
        <f aca="false">IF(TRIM(E1616)="","Unknown",IFERROR(LEFT(TRIM(E1616),FIND(",",TRIM(E1616))-1),TRIM(E1616)))</f>
        <v>United States</v>
      </c>
      <c r="M1616" s="7" t="str">
        <f aca="false">IFERROR(LEFT(J1616,FIND(",",J1616)-1),J1616)</f>
        <v>Crime TV Shows</v>
      </c>
      <c r="N1616" s="7" t="str">
        <f aca="false">IF(B1616="Movie",IFERROR(VALUE(LEFT(I1616,FIND(" ",I1616)-1)),""),"")</f>
        <v/>
      </c>
      <c r="O1616" s="7" t="n">
        <f aca="false">IF(B1616="TV Show",IFERROR(VALUE(LEFT(I1616,FIND(" ",I1616)-1)),""),"")</f>
        <v>1</v>
      </c>
      <c r="P1616" s="7" t="n">
        <f aca="false">IF(K1616="","",K1616-G1616)</f>
        <v>0</v>
      </c>
    </row>
    <row r="1617" customFormat="false" ht="15" hidden="false" customHeight="false" outlineLevel="0" collapsed="false">
      <c r="A1617" s="7" t="n">
        <v>80189827</v>
      </c>
      <c r="B1617" s="7" t="s">
        <v>68</v>
      </c>
      <c r="C1617" s="7" t="s">
        <v>3658</v>
      </c>
      <c r="D1617" s="7" t="s">
        <v>3659</v>
      </c>
      <c r="E1617" s="7" t="s">
        <v>26</v>
      </c>
      <c r="F1617" s="7" t="s">
        <v>3660</v>
      </c>
      <c r="G1617" s="7" t="n">
        <v>2017</v>
      </c>
      <c r="H1617" s="7" t="s">
        <v>49</v>
      </c>
      <c r="I1617" s="7" t="s">
        <v>357</v>
      </c>
      <c r="J1617" s="7" t="s">
        <v>39</v>
      </c>
      <c r="K1617" s="7" t="n">
        <f aca="false">IFERROR(VALUE(RIGHT(TRIM(F1617),4)),"")</f>
        <v>2018</v>
      </c>
      <c r="L1617" s="7" t="str">
        <f aca="false">IF(TRIM(E1617)="","Unknown",IFERROR(LEFT(TRIM(E1617),FIND(",",TRIM(E1617))-1),TRIM(E1617)))</f>
        <v>United States</v>
      </c>
      <c r="M1617" s="7" t="str">
        <f aca="false">IFERROR(LEFT(J1617,FIND(",",J1617)-1),J1617)</f>
        <v>Documentaries</v>
      </c>
      <c r="N1617" s="7" t="n">
        <f aca="false">IF(B1617="Movie",IFERROR(VALUE(LEFT(I1617,FIND(" ",I1617)-1)),""),"")</f>
        <v>89</v>
      </c>
      <c r="O1617" s="7" t="str">
        <f aca="false">IF(B1617="TV Show",IFERROR(VALUE(LEFT(I1617,FIND(" ",I1617)-1)),""),"")</f>
        <v/>
      </c>
      <c r="P1617" s="7" t="n">
        <f aca="false">IF(K1617="","",K1617-G1617)</f>
        <v>1</v>
      </c>
    </row>
    <row r="1618" customFormat="false" ht="15" hidden="false" customHeight="false" outlineLevel="0" collapsed="false">
      <c r="A1618" s="7" t="n">
        <v>80176144</v>
      </c>
      <c r="B1618" s="7" t="s">
        <v>68</v>
      </c>
      <c r="C1618" s="7" t="s">
        <v>3661</v>
      </c>
      <c r="D1618" s="7" t="s">
        <v>3662</v>
      </c>
      <c r="E1618" s="7" t="s">
        <v>28</v>
      </c>
      <c r="F1618" s="7" t="s">
        <v>3663</v>
      </c>
      <c r="G1618" s="7" t="n">
        <v>2011</v>
      </c>
      <c r="H1618" s="7" t="s">
        <v>49</v>
      </c>
      <c r="I1618" s="7" t="s">
        <v>154</v>
      </c>
      <c r="J1618" s="7" t="s">
        <v>39</v>
      </c>
      <c r="K1618" s="7" t="n">
        <f aca="false">IFERROR(VALUE(RIGHT(TRIM(F1618),4)),"")</f>
        <v>2017</v>
      </c>
      <c r="L1618" s="7" t="str">
        <f aca="false">IF(TRIM(E1618)="","Unknown",IFERROR(LEFT(TRIM(E1618),FIND(",",TRIM(E1618))-1),TRIM(E1618)))</f>
        <v>United Kingdom</v>
      </c>
      <c r="M1618" s="7" t="str">
        <f aca="false">IFERROR(LEFT(J1618,FIND(",",J1618)-1),J1618)</f>
        <v>Documentaries</v>
      </c>
      <c r="N1618" s="7" t="n">
        <f aca="false">IF(B1618="Movie",IFERROR(VALUE(LEFT(I1618,FIND(" ",I1618)-1)),""),"")</f>
        <v>80</v>
      </c>
      <c r="O1618" s="7" t="str">
        <f aca="false">IF(B1618="TV Show",IFERROR(VALUE(LEFT(I1618,FIND(" ",I1618)-1)),""),"")</f>
        <v/>
      </c>
      <c r="P1618" s="7" t="n">
        <f aca="false">IF(K1618="","",K1618-G1618)</f>
        <v>6</v>
      </c>
    </row>
    <row r="1619" customFormat="false" ht="15" hidden="false" customHeight="false" outlineLevel="0" collapsed="false">
      <c r="A1619" s="7" t="n">
        <v>70202150</v>
      </c>
      <c r="B1619" s="7" t="s">
        <v>68</v>
      </c>
      <c r="C1619" s="7" t="s">
        <v>3664</v>
      </c>
      <c r="D1619" s="7" t="s">
        <v>3665</v>
      </c>
      <c r="E1619" s="7" t="s">
        <v>317</v>
      </c>
      <c r="F1619" s="7" t="s">
        <v>3666</v>
      </c>
      <c r="G1619" s="7" t="n">
        <v>2011</v>
      </c>
      <c r="H1619" s="7" t="s">
        <v>51</v>
      </c>
      <c r="I1619" s="7" t="s">
        <v>87</v>
      </c>
      <c r="J1619" s="7" t="s">
        <v>269</v>
      </c>
      <c r="K1619" s="7" t="n">
        <f aca="false">IFERROR(VALUE(RIGHT(TRIM(F1619),4)),"")</f>
        <v>2019</v>
      </c>
      <c r="L1619" s="7" t="str">
        <f aca="false">IF(TRIM(E1619)="","Unknown",IFERROR(LEFT(TRIM(E1619),FIND(",",TRIM(E1619))-1),TRIM(E1619)))</f>
        <v>United Kingdom</v>
      </c>
      <c r="M1619" s="7" t="str">
        <f aca="false">IFERROR(LEFT(J1619,FIND(",",J1619)-1),J1619)</f>
        <v>Dramas</v>
      </c>
      <c r="N1619" s="7" t="n">
        <f aca="false">IF(B1619="Movie",IFERROR(VALUE(LEFT(I1619,FIND(" ",I1619)-1)),""),"")</f>
        <v>99</v>
      </c>
      <c r="O1619" s="7" t="str">
        <f aca="false">IF(B1619="TV Show",IFERROR(VALUE(LEFT(I1619,FIND(" ",I1619)-1)),""),"")</f>
        <v/>
      </c>
      <c r="P1619" s="7" t="n">
        <f aca="false">IF(K1619="","",K1619-G1619)</f>
        <v>8</v>
      </c>
    </row>
    <row r="1620" customFormat="false" ht="15" hidden="false" customHeight="false" outlineLevel="0" collapsed="false">
      <c r="A1620" s="7" t="n">
        <v>81010699</v>
      </c>
      <c r="B1620" s="7" t="s">
        <v>68</v>
      </c>
      <c r="C1620" s="7" t="s">
        <v>3667</v>
      </c>
      <c r="D1620" s="7" t="s">
        <v>3668</v>
      </c>
      <c r="E1620" s="7" t="s">
        <v>32</v>
      </c>
      <c r="F1620" s="7" t="s">
        <v>3666</v>
      </c>
      <c r="G1620" s="7" t="n">
        <v>2019</v>
      </c>
      <c r="H1620" s="7" t="s">
        <v>49</v>
      </c>
      <c r="I1620" s="7" t="s">
        <v>869</v>
      </c>
      <c r="J1620" s="7" t="s">
        <v>358</v>
      </c>
      <c r="K1620" s="7" t="n">
        <f aca="false">IFERROR(VALUE(RIGHT(TRIM(F1620),4)),"")</f>
        <v>2019</v>
      </c>
      <c r="L1620" s="7" t="str">
        <f aca="false">IF(TRIM(E1620)="","Unknown",IFERROR(LEFT(TRIM(E1620),FIND(",",TRIM(E1620))-1),TRIM(E1620)))</f>
        <v>South Korea</v>
      </c>
      <c r="M1620" s="7" t="str">
        <f aca="false">IFERROR(LEFT(J1620,FIND(",",J1620)-1),J1620)</f>
        <v>International Movies</v>
      </c>
      <c r="N1620" s="7" t="n">
        <f aca="false">IF(B1620="Movie",IFERROR(VALUE(LEFT(I1620,FIND(" ",I1620)-1)),""),"")</f>
        <v>123</v>
      </c>
      <c r="O1620" s="7" t="str">
        <f aca="false">IF(B1620="TV Show",IFERROR(VALUE(LEFT(I1620,FIND(" ",I1620)-1)),""),"")</f>
        <v/>
      </c>
      <c r="P1620" s="7" t="n">
        <f aca="false">IF(K1620="","",K1620-G1620)</f>
        <v>0</v>
      </c>
    </row>
    <row r="1621" customFormat="false" ht="15" hidden="false" customHeight="false" outlineLevel="0" collapsed="false">
      <c r="A1621" s="7" t="n">
        <v>70299863</v>
      </c>
      <c r="B1621" s="7" t="s">
        <v>68</v>
      </c>
      <c r="C1621" s="7" t="s">
        <v>3669</v>
      </c>
      <c r="D1621" s="7" t="s">
        <v>3670</v>
      </c>
      <c r="E1621" s="7" t="s">
        <v>26</v>
      </c>
      <c r="F1621" s="7" t="s">
        <v>3666</v>
      </c>
      <c r="G1621" s="7" t="n">
        <v>2014</v>
      </c>
      <c r="H1621" s="7" t="s">
        <v>51</v>
      </c>
      <c r="I1621" s="7" t="s">
        <v>470</v>
      </c>
      <c r="J1621" s="7" t="s">
        <v>198</v>
      </c>
      <c r="K1621" s="7" t="n">
        <f aca="false">IFERROR(VALUE(RIGHT(TRIM(F1621),4)),"")</f>
        <v>2019</v>
      </c>
      <c r="L1621" s="7" t="str">
        <f aca="false">IF(TRIM(E1621)="","Unknown",IFERROR(LEFT(TRIM(E1621),FIND(",",TRIM(E1621))-1),TRIM(E1621)))</f>
        <v>United States</v>
      </c>
      <c r="M1621" s="7" t="str">
        <f aca="false">IFERROR(LEFT(J1621,FIND(",",J1621)-1),J1621)</f>
        <v>Comedies</v>
      </c>
      <c r="N1621" s="7" t="n">
        <f aca="false">IF(B1621="Movie",IFERROR(VALUE(LEFT(I1621,FIND(" ",I1621)-1)),""),"")</f>
        <v>91</v>
      </c>
      <c r="O1621" s="7" t="str">
        <f aca="false">IF(B1621="TV Show",IFERROR(VALUE(LEFT(I1621,FIND(" ",I1621)-1)),""),"")</f>
        <v/>
      </c>
      <c r="P1621" s="7" t="n">
        <f aca="false">IF(K1621="","",K1621-G1621)</f>
        <v>5</v>
      </c>
    </row>
    <row r="1622" customFormat="false" ht="15" hidden="false" customHeight="false" outlineLevel="0" collapsed="false">
      <c r="A1622" s="7" t="n">
        <v>80133554</v>
      </c>
      <c r="B1622" s="7" t="s">
        <v>68</v>
      </c>
      <c r="C1622" s="7" t="s">
        <v>3671</v>
      </c>
      <c r="D1622" s="7" t="s">
        <v>3672</v>
      </c>
      <c r="E1622" s="7" t="s">
        <v>26</v>
      </c>
      <c r="F1622" s="7" t="s">
        <v>3673</v>
      </c>
      <c r="G1622" s="7" t="n">
        <v>2017</v>
      </c>
      <c r="H1622" s="7" t="s">
        <v>48</v>
      </c>
      <c r="I1622" s="7" t="s">
        <v>861</v>
      </c>
      <c r="J1622" s="7" t="s">
        <v>45</v>
      </c>
      <c r="K1622" s="7" t="n">
        <f aca="false">IFERROR(VALUE(RIGHT(TRIM(F1622),4)),"")</f>
        <v>2017</v>
      </c>
      <c r="L1622" s="7" t="str">
        <f aca="false">IF(TRIM(E1622)="","Unknown",IFERROR(LEFT(TRIM(E1622),FIND(",",TRIM(E1622))-1),TRIM(E1622)))</f>
        <v>United States</v>
      </c>
      <c r="M1622" s="7" t="str">
        <f aca="false">IFERROR(LEFT(J1622,FIND(",",J1622)-1),J1622)</f>
        <v>Stand-Up Comedy</v>
      </c>
      <c r="N1622" s="7" t="n">
        <f aca="false">IF(B1622="Movie",IFERROR(VALUE(LEFT(I1622,FIND(" ",I1622)-1)),""),"")</f>
        <v>71</v>
      </c>
      <c r="O1622" s="7" t="str">
        <f aca="false">IF(B1622="TV Show",IFERROR(VALUE(LEFT(I1622,FIND(" ",I1622)-1)),""),"")</f>
        <v/>
      </c>
      <c r="P1622" s="7" t="n">
        <f aca="false">IF(K1622="","",K1622-G1622)</f>
        <v>0</v>
      </c>
    </row>
    <row r="1623" customFormat="false" ht="15" hidden="false" customHeight="false" outlineLevel="0" collapsed="false">
      <c r="A1623" s="7" t="n">
        <v>80208662</v>
      </c>
      <c r="B1623" s="7" t="s">
        <v>68</v>
      </c>
      <c r="C1623" s="7" t="s">
        <v>3674</v>
      </c>
      <c r="D1623" s="7" t="s">
        <v>3675</v>
      </c>
      <c r="E1623" s="7" t="s">
        <v>26</v>
      </c>
      <c r="F1623" s="7" t="s">
        <v>3676</v>
      </c>
      <c r="G1623" s="7" t="n">
        <v>2019</v>
      </c>
      <c r="H1623" s="7" t="s">
        <v>49</v>
      </c>
      <c r="I1623" s="7" t="s">
        <v>333</v>
      </c>
      <c r="J1623" s="7" t="s">
        <v>1211</v>
      </c>
      <c r="K1623" s="7" t="n">
        <f aca="false">IFERROR(VALUE(RIGHT(TRIM(F1623),4)),"")</f>
        <v>2019</v>
      </c>
      <c r="L1623" s="7" t="str">
        <f aca="false">IF(TRIM(E1623)="","Unknown",IFERROR(LEFT(TRIM(E1623),FIND(",",TRIM(E1623))-1),TRIM(E1623)))</f>
        <v>United States</v>
      </c>
      <c r="M1623" s="7" t="str">
        <f aca="false">IFERROR(LEFT(J1623,FIND(",",J1623)-1),J1623)</f>
        <v>Documentaries</v>
      </c>
      <c r="N1623" s="7" t="n">
        <f aca="false">IF(B1623="Movie",IFERROR(VALUE(LEFT(I1623,FIND(" ",I1623)-1)),""),"")</f>
        <v>40</v>
      </c>
      <c r="O1623" s="7" t="str">
        <f aca="false">IF(B1623="TV Show",IFERROR(VALUE(LEFT(I1623,FIND(" ",I1623)-1)),""),"")</f>
        <v/>
      </c>
      <c r="P1623" s="7" t="n">
        <f aca="false">IF(K1623="","",K1623-G1623)</f>
        <v>0</v>
      </c>
    </row>
    <row r="1624" customFormat="false" ht="15" hidden="false" customHeight="false" outlineLevel="0" collapsed="false">
      <c r="A1624" s="7" t="n">
        <v>80994596</v>
      </c>
      <c r="B1624" s="7" t="s">
        <v>78</v>
      </c>
      <c r="C1624" s="7" t="s">
        <v>3677</v>
      </c>
      <c r="D1624" s="7" t="s">
        <v>3678</v>
      </c>
      <c r="E1624" s="7" t="s">
        <v>34</v>
      </c>
      <c r="F1624" s="7" t="s">
        <v>3676</v>
      </c>
      <c r="G1624" s="7" t="n">
        <v>2019</v>
      </c>
      <c r="H1624" s="7" t="s">
        <v>48</v>
      </c>
      <c r="I1624" s="7" t="s">
        <v>82</v>
      </c>
      <c r="J1624" s="7" t="s">
        <v>89</v>
      </c>
      <c r="K1624" s="7" t="n">
        <f aca="false">IFERROR(VALUE(RIGHT(TRIM(F1624),4)),"")</f>
        <v>2019</v>
      </c>
      <c r="L1624" s="7" t="str">
        <f aca="false">IF(TRIM(E1624)="","Unknown",IFERROR(LEFT(TRIM(E1624),FIND(",",TRIM(E1624))-1),TRIM(E1624)))</f>
        <v>Mexico</v>
      </c>
      <c r="M1624" s="7" t="str">
        <f aca="false">IFERROR(LEFT(J1624,FIND(",",J1624)-1),J1624)</f>
        <v>Crime TV Shows</v>
      </c>
      <c r="N1624" s="7" t="str">
        <f aca="false">IF(B1624="Movie",IFERROR(VALUE(LEFT(I1624,FIND(" ",I1624)-1)),""),"")</f>
        <v/>
      </c>
      <c r="O1624" s="7" t="n">
        <f aca="false">IF(B1624="TV Show",IFERROR(VALUE(LEFT(I1624,FIND(" ",I1624)-1)),""),"")</f>
        <v>1</v>
      </c>
      <c r="P1624" s="7" t="n">
        <f aca="false">IF(K1624="","",K1624-G1624)</f>
        <v>0</v>
      </c>
    </row>
    <row r="1625" customFormat="false" ht="15" hidden="false" customHeight="false" outlineLevel="0" collapsed="false">
      <c r="A1625" s="7" t="n">
        <v>80219707</v>
      </c>
      <c r="B1625" s="7" t="s">
        <v>78</v>
      </c>
      <c r="C1625" s="7" t="s">
        <v>3679</v>
      </c>
      <c r="E1625" s="7" t="s">
        <v>26</v>
      </c>
      <c r="F1625" s="7" t="s">
        <v>3676</v>
      </c>
      <c r="G1625" s="7" t="n">
        <v>2019</v>
      </c>
      <c r="H1625" s="7" t="s">
        <v>48</v>
      </c>
      <c r="I1625" s="7" t="s">
        <v>82</v>
      </c>
      <c r="J1625" s="7" t="s">
        <v>502</v>
      </c>
      <c r="K1625" s="7" t="n">
        <f aca="false">IFERROR(VALUE(RIGHT(TRIM(F1625),4)),"")</f>
        <v>2019</v>
      </c>
      <c r="L1625" s="7" t="str">
        <f aca="false">IF(TRIM(E1625)="","Unknown",IFERROR(LEFT(TRIM(E1625),FIND(",",TRIM(E1625))-1),TRIM(E1625)))</f>
        <v>United States</v>
      </c>
      <c r="M1625" s="7" t="str">
        <f aca="false">IFERROR(LEFT(J1625,FIND(",",J1625)-1),J1625)</f>
        <v>TV Comedies</v>
      </c>
      <c r="N1625" s="7" t="str">
        <f aca="false">IF(B1625="Movie",IFERROR(VALUE(LEFT(I1625,FIND(" ",I1625)-1)),""),"")</f>
        <v/>
      </c>
      <c r="O1625" s="7" t="n">
        <f aca="false">IF(B1625="TV Show",IFERROR(VALUE(LEFT(I1625,FIND(" ",I1625)-1)),""),"")</f>
        <v>1</v>
      </c>
      <c r="P1625" s="7" t="n">
        <f aca="false">IF(K1625="","",K1625-G1625)</f>
        <v>0</v>
      </c>
    </row>
    <row r="1626" customFormat="false" ht="15" hidden="false" customHeight="false" outlineLevel="0" collapsed="false">
      <c r="A1626" s="7" t="n">
        <v>81031939</v>
      </c>
      <c r="B1626" s="7" t="s">
        <v>68</v>
      </c>
      <c r="C1626" s="7" t="s">
        <v>3680</v>
      </c>
      <c r="D1626" s="7" t="s">
        <v>3681</v>
      </c>
      <c r="E1626" s="7" t="s">
        <v>33</v>
      </c>
      <c r="F1626" s="7" t="s">
        <v>3676</v>
      </c>
      <c r="G1626" s="7" t="n">
        <v>2019</v>
      </c>
      <c r="H1626" s="7" t="s">
        <v>48</v>
      </c>
      <c r="I1626" s="7" t="s">
        <v>143</v>
      </c>
      <c r="J1626" s="7" t="s">
        <v>206</v>
      </c>
      <c r="K1626" s="7" t="n">
        <f aca="false">IFERROR(VALUE(RIGHT(TRIM(F1626),4)),"")</f>
        <v>2019</v>
      </c>
      <c r="L1626" s="7" t="str">
        <f aca="false">IF(TRIM(E1626)="","Unknown",IFERROR(LEFT(TRIM(E1626),FIND(",",TRIM(E1626))-1),TRIM(E1626)))</f>
        <v>Spain</v>
      </c>
      <c r="M1626" s="7" t="str">
        <f aca="false">IFERROR(LEFT(J1626,FIND(",",J1626)-1),J1626)</f>
        <v>Comedies</v>
      </c>
      <c r="N1626" s="7" t="n">
        <f aca="false">IF(B1626="Movie",IFERROR(VALUE(LEFT(I1626,FIND(" ",I1626)-1)),""),"")</f>
        <v>79</v>
      </c>
      <c r="O1626" s="7" t="str">
        <f aca="false">IF(B1626="TV Show",IFERROR(VALUE(LEFT(I1626,FIND(" ",I1626)-1)),""),"")</f>
        <v/>
      </c>
      <c r="P1626" s="7" t="n">
        <f aca="false">IF(K1626="","",K1626-G1626)</f>
        <v>0</v>
      </c>
    </row>
    <row r="1627" customFormat="false" ht="15" hidden="false" customHeight="false" outlineLevel="0" collapsed="false">
      <c r="A1627" s="7" t="n">
        <v>81028570</v>
      </c>
      <c r="B1627" s="7" t="s">
        <v>68</v>
      </c>
      <c r="C1627" s="7" t="s">
        <v>3682</v>
      </c>
      <c r="D1627" s="7" t="s">
        <v>3683</v>
      </c>
      <c r="E1627" s="7" t="s">
        <v>26</v>
      </c>
      <c r="F1627" s="7" t="s">
        <v>3676</v>
      </c>
      <c r="G1627" s="7" t="n">
        <v>2019</v>
      </c>
      <c r="H1627" s="7" t="s">
        <v>51</v>
      </c>
      <c r="I1627" s="7" t="s">
        <v>93</v>
      </c>
      <c r="J1627" s="7" t="s">
        <v>150</v>
      </c>
      <c r="K1627" s="7" t="n">
        <f aca="false">IFERROR(VALUE(RIGHT(TRIM(F1627),4)),"")</f>
        <v>2019</v>
      </c>
      <c r="L1627" s="7" t="str">
        <f aca="false">IF(TRIM(E1627)="","Unknown",IFERROR(LEFT(TRIM(E1627),FIND(",",TRIM(E1627))-1),TRIM(E1627)))</f>
        <v>United States</v>
      </c>
      <c r="M1627" s="7" t="str">
        <f aca="false">IFERROR(LEFT(J1627,FIND(",",J1627)-1),J1627)</f>
        <v>Dramas</v>
      </c>
      <c r="N1627" s="7" t="n">
        <f aca="false">IF(B1627="Movie",IFERROR(VALUE(LEFT(I1627,FIND(" ",I1627)-1)),""),"")</f>
        <v>110</v>
      </c>
      <c r="O1627" s="7" t="str">
        <f aca="false">IF(B1627="TV Show",IFERROR(VALUE(LEFT(I1627,FIND(" ",I1627)-1)),""),"")</f>
        <v/>
      </c>
      <c r="P1627" s="7" t="n">
        <f aca="false">IF(K1627="","",K1627-G1627)</f>
        <v>0</v>
      </c>
    </row>
    <row r="1628" customFormat="false" ht="15" hidden="false" customHeight="false" outlineLevel="0" collapsed="false">
      <c r="A1628" s="7" t="n">
        <v>80207066</v>
      </c>
      <c r="B1628" s="7" t="s">
        <v>78</v>
      </c>
      <c r="C1628" s="7" t="s">
        <v>3684</v>
      </c>
      <c r="E1628" s="7" t="s">
        <v>28</v>
      </c>
      <c r="F1628" s="7" t="s">
        <v>3676</v>
      </c>
      <c r="G1628" s="7" t="n">
        <v>2019</v>
      </c>
      <c r="H1628" s="7" t="s">
        <v>50</v>
      </c>
      <c r="I1628" s="7" t="s">
        <v>82</v>
      </c>
      <c r="J1628" s="7" t="s">
        <v>701</v>
      </c>
      <c r="K1628" s="7" t="n">
        <f aca="false">IFERROR(VALUE(RIGHT(TRIM(F1628),4)),"")</f>
        <v>2019</v>
      </c>
      <c r="L1628" s="7" t="str">
        <f aca="false">IF(TRIM(E1628)="","Unknown",IFERROR(LEFT(TRIM(E1628),FIND(",",TRIM(E1628))-1),TRIM(E1628)))</f>
        <v>United Kingdom</v>
      </c>
      <c r="M1628" s="7" t="str">
        <f aca="false">IFERROR(LEFT(J1628,FIND(",",J1628)-1),J1628)</f>
        <v>Reality TV</v>
      </c>
      <c r="N1628" s="7" t="str">
        <f aca="false">IF(B1628="Movie",IFERROR(VALUE(LEFT(I1628,FIND(" ",I1628)-1)),""),"")</f>
        <v/>
      </c>
      <c r="O1628" s="7" t="n">
        <f aca="false">IF(B1628="TV Show",IFERROR(VALUE(LEFT(I1628,FIND(" ",I1628)-1)),""),"")</f>
        <v>1</v>
      </c>
      <c r="P1628" s="7" t="n">
        <f aca="false">IF(K1628="","",K1628-G1628)</f>
        <v>0</v>
      </c>
    </row>
    <row r="1629" customFormat="false" ht="15" hidden="false" customHeight="false" outlineLevel="0" collapsed="false">
      <c r="A1629" s="7" t="n">
        <v>81035867</v>
      </c>
      <c r="B1629" s="7" t="s">
        <v>68</v>
      </c>
      <c r="C1629" s="7" t="s">
        <v>3685</v>
      </c>
      <c r="D1629" s="7" t="s">
        <v>3686</v>
      </c>
      <c r="F1629" s="7" t="s">
        <v>3676</v>
      </c>
      <c r="G1629" s="7" t="n">
        <v>2012</v>
      </c>
      <c r="H1629" s="7" t="s">
        <v>49</v>
      </c>
      <c r="I1629" s="7" t="s">
        <v>512</v>
      </c>
      <c r="J1629" s="7" t="s">
        <v>457</v>
      </c>
      <c r="K1629" s="7" t="n">
        <f aca="false">IFERROR(VALUE(RIGHT(TRIM(F1629),4)),"")</f>
        <v>2019</v>
      </c>
      <c r="L1629" s="7" t="str">
        <f aca="false">IF(TRIM(E1629)="","Unknown",IFERROR(LEFT(TRIM(E1629),FIND(",",TRIM(E1629))-1),TRIM(E1629)))</f>
        <v>Unknown</v>
      </c>
      <c r="M1629" s="7" t="str">
        <f aca="false">IFERROR(LEFT(J1629,FIND(",",J1629)-1),J1629)</f>
        <v>Comedies</v>
      </c>
      <c r="N1629" s="7" t="n">
        <f aca="false">IF(B1629="Movie",IFERROR(VALUE(LEFT(I1629,FIND(" ",I1629)-1)),""),"")</f>
        <v>101</v>
      </c>
      <c r="O1629" s="7" t="str">
        <f aca="false">IF(B1629="TV Show",IFERROR(VALUE(LEFT(I1629,FIND(" ",I1629)-1)),""),"")</f>
        <v/>
      </c>
      <c r="P1629" s="7" t="n">
        <f aca="false">IF(K1629="","",K1629-G1629)</f>
        <v>7</v>
      </c>
    </row>
    <row r="1630" customFormat="false" ht="15" hidden="false" customHeight="false" outlineLevel="0" collapsed="false">
      <c r="A1630" s="7" t="n">
        <v>80244640</v>
      </c>
      <c r="B1630" s="7" t="s">
        <v>68</v>
      </c>
      <c r="C1630" s="7" t="s">
        <v>3687</v>
      </c>
      <c r="D1630" s="7" t="s">
        <v>3688</v>
      </c>
      <c r="E1630" s="7" t="s">
        <v>32</v>
      </c>
      <c r="F1630" s="7" t="s">
        <v>3676</v>
      </c>
      <c r="G1630" s="7" t="n">
        <v>2018</v>
      </c>
      <c r="H1630" s="7" t="s">
        <v>48</v>
      </c>
      <c r="I1630" s="7" t="s">
        <v>261</v>
      </c>
      <c r="J1630" s="7" t="s">
        <v>182</v>
      </c>
      <c r="K1630" s="7" t="n">
        <f aca="false">IFERROR(VALUE(RIGHT(TRIM(F1630),4)),"")</f>
        <v>2019</v>
      </c>
      <c r="L1630" s="7" t="str">
        <f aca="false">IF(TRIM(E1630)="","Unknown",IFERROR(LEFT(TRIM(E1630),FIND(",",TRIM(E1630))-1),TRIM(E1630)))</f>
        <v>South Korea</v>
      </c>
      <c r="M1630" s="7" t="str">
        <f aca="false">IFERROR(LEFT(J1630,FIND(",",J1630)-1),J1630)</f>
        <v>Dramas</v>
      </c>
      <c r="N1630" s="7" t="n">
        <f aca="false">IF(B1630="Movie",IFERROR(VALUE(LEFT(I1630,FIND(" ",I1630)-1)),""),"")</f>
        <v>128</v>
      </c>
      <c r="O1630" s="7" t="str">
        <f aca="false">IF(B1630="TV Show",IFERROR(VALUE(LEFT(I1630,FIND(" ",I1630)-1)),""),"")</f>
        <v/>
      </c>
      <c r="P1630" s="7" t="n">
        <f aca="false">IF(K1630="","",K1630-G1630)</f>
        <v>1</v>
      </c>
    </row>
    <row r="1631" customFormat="false" ht="15" hidden="false" customHeight="false" outlineLevel="0" collapsed="false">
      <c r="A1631" s="7" t="n">
        <v>80999729</v>
      </c>
      <c r="B1631" s="7" t="s">
        <v>68</v>
      </c>
      <c r="C1631" s="7" t="s">
        <v>3689</v>
      </c>
      <c r="D1631" s="7" t="s">
        <v>3690</v>
      </c>
      <c r="E1631" s="7" t="s">
        <v>26</v>
      </c>
      <c r="F1631" s="7" t="s">
        <v>3676</v>
      </c>
      <c r="G1631" s="7" t="n">
        <v>2019</v>
      </c>
      <c r="H1631" s="7" t="s">
        <v>49</v>
      </c>
      <c r="I1631" s="7" t="s">
        <v>93</v>
      </c>
      <c r="J1631" s="7" t="s">
        <v>177</v>
      </c>
      <c r="K1631" s="7" t="n">
        <f aca="false">IFERROR(VALUE(RIGHT(TRIM(F1631),4)),"")</f>
        <v>2019</v>
      </c>
      <c r="L1631" s="7" t="str">
        <f aca="false">IF(TRIM(E1631)="","Unknown",IFERROR(LEFT(TRIM(E1631),FIND(",",TRIM(E1631))-1),TRIM(E1631)))</f>
        <v>United States</v>
      </c>
      <c r="M1631" s="7" t="str">
        <f aca="false">IFERROR(LEFT(J1631,FIND(",",J1631)-1),J1631)</f>
        <v>Comedies</v>
      </c>
      <c r="N1631" s="7" t="n">
        <f aca="false">IF(B1631="Movie",IFERROR(VALUE(LEFT(I1631,FIND(" ",I1631)-1)),""),"")</f>
        <v>110</v>
      </c>
      <c r="O1631" s="7" t="str">
        <f aca="false">IF(B1631="TV Show",IFERROR(VALUE(LEFT(I1631,FIND(" ",I1631)-1)),""),"")</f>
        <v/>
      </c>
      <c r="P1631" s="7" t="n">
        <f aca="false">IF(K1631="","",K1631-G1631)</f>
        <v>0</v>
      </c>
    </row>
    <row r="1632" customFormat="false" ht="15" hidden="false" customHeight="false" outlineLevel="0" collapsed="false">
      <c r="A1632" s="7" t="n">
        <v>80198137</v>
      </c>
      <c r="B1632" s="7" t="s">
        <v>78</v>
      </c>
      <c r="C1632" s="7" t="s">
        <v>3691</v>
      </c>
      <c r="E1632" s="7" t="s">
        <v>26</v>
      </c>
      <c r="F1632" s="7" t="s">
        <v>3676</v>
      </c>
      <c r="G1632" s="7" t="n">
        <v>2019</v>
      </c>
      <c r="H1632" s="7" t="s">
        <v>48</v>
      </c>
      <c r="I1632" s="7" t="s">
        <v>82</v>
      </c>
      <c r="J1632" s="7" t="s">
        <v>289</v>
      </c>
      <c r="K1632" s="7" t="n">
        <f aca="false">IFERROR(VALUE(RIGHT(TRIM(F1632),4)),"")</f>
        <v>2019</v>
      </c>
      <c r="L1632" s="7" t="str">
        <f aca="false">IF(TRIM(E1632)="","Unknown",IFERROR(LEFT(TRIM(E1632),FIND(",",TRIM(E1632))-1),TRIM(E1632)))</f>
        <v>United States</v>
      </c>
      <c r="M1632" s="7" t="str">
        <f aca="false">IFERROR(LEFT(J1632,FIND(",",J1632)-1),J1632)</f>
        <v>TV Comedies</v>
      </c>
      <c r="N1632" s="7" t="str">
        <f aca="false">IF(B1632="Movie",IFERROR(VALUE(LEFT(I1632,FIND(" ",I1632)-1)),""),"")</f>
        <v/>
      </c>
      <c r="O1632" s="7" t="n">
        <f aca="false">IF(B1632="TV Show",IFERROR(VALUE(LEFT(I1632,FIND(" ",I1632)-1)),""),"")</f>
        <v>1</v>
      </c>
      <c r="P1632" s="7" t="n">
        <f aca="false">IF(K1632="","",K1632-G1632)</f>
        <v>0</v>
      </c>
    </row>
    <row r="1633" customFormat="false" ht="15" hidden="false" customHeight="false" outlineLevel="0" collapsed="false">
      <c r="A1633" s="7" t="n">
        <v>80225312</v>
      </c>
      <c r="B1633" s="7" t="s">
        <v>78</v>
      </c>
      <c r="C1633" s="7" t="s">
        <v>3692</v>
      </c>
      <c r="E1633" s="7" t="s">
        <v>3693</v>
      </c>
      <c r="F1633" s="7" t="s">
        <v>3676</v>
      </c>
      <c r="G1633" s="7" t="n">
        <v>2019</v>
      </c>
      <c r="H1633" s="7" t="s">
        <v>48</v>
      </c>
      <c r="I1633" s="7" t="s">
        <v>82</v>
      </c>
      <c r="J1633" s="7" t="s">
        <v>402</v>
      </c>
      <c r="K1633" s="7" t="n">
        <f aca="false">IFERROR(VALUE(RIGHT(TRIM(F1633),4)),"")</f>
        <v>2019</v>
      </c>
      <c r="L1633" s="7" t="str">
        <f aca="false">IF(TRIM(E1633)="","Unknown",IFERROR(LEFT(TRIM(E1633),FIND(",",TRIM(E1633))-1),TRIM(E1633)))</f>
        <v>Belgium</v>
      </c>
      <c r="M1633" s="7" t="str">
        <f aca="false">IFERROR(LEFT(J1633,FIND(",",J1633)-1),J1633)</f>
        <v>Crime TV Shows</v>
      </c>
      <c r="N1633" s="7" t="str">
        <f aca="false">IF(B1633="Movie",IFERROR(VALUE(LEFT(I1633,FIND(" ",I1633)-1)),""),"")</f>
        <v/>
      </c>
      <c r="O1633" s="7" t="n">
        <f aca="false">IF(B1633="TV Show",IFERROR(VALUE(LEFT(I1633,FIND(" ",I1633)-1)),""),"")</f>
        <v>1</v>
      </c>
      <c r="P1633" s="7" t="n">
        <f aca="false">IF(K1633="","",K1633-G1633)</f>
        <v>0</v>
      </c>
    </row>
    <row r="1634" customFormat="false" ht="15" hidden="false" customHeight="false" outlineLevel="0" collapsed="false">
      <c r="A1634" s="7" t="n">
        <v>80992499</v>
      </c>
      <c r="B1634" s="7" t="s">
        <v>68</v>
      </c>
      <c r="C1634" s="7" t="s">
        <v>3694</v>
      </c>
      <c r="D1634" s="7" t="s">
        <v>3695</v>
      </c>
      <c r="E1634" s="7" t="s">
        <v>1397</v>
      </c>
      <c r="F1634" s="7" t="s">
        <v>3696</v>
      </c>
      <c r="G1634" s="7" t="n">
        <v>2018</v>
      </c>
      <c r="H1634" s="7" t="s">
        <v>48</v>
      </c>
      <c r="I1634" s="7" t="s">
        <v>357</v>
      </c>
      <c r="J1634" s="7" t="s">
        <v>202</v>
      </c>
      <c r="K1634" s="7" t="n">
        <f aca="false">IFERROR(VALUE(RIGHT(TRIM(F1634),4)),"")</f>
        <v>2018</v>
      </c>
      <c r="L1634" s="7" t="str">
        <f aca="false">IF(TRIM(E1634)="","Unknown",IFERROR(LEFT(TRIM(E1634),FIND(",",TRIM(E1634))-1),TRIM(E1634)))</f>
        <v>Colombia</v>
      </c>
      <c r="M1634" s="7" t="str">
        <f aca="false">IFERROR(LEFT(J1634,FIND(",",J1634)-1),J1634)</f>
        <v>Comedies</v>
      </c>
      <c r="N1634" s="7" t="n">
        <f aca="false">IF(B1634="Movie",IFERROR(VALUE(LEFT(I1634,FIND(" ",I1634)-1)),""),"")</f>
        <v>89</v>
      </c>
      <c r="O1634" s="7" t="str">
        <f aca="false">IF(B1634="TV Show",IFERROR(VALUE(LEFT(I1634,FIND(" ",I1634)-1)),""),"")</f>
        <v/>
      </c>
      <c r="P1634" s="7" t="n">
        <f aca="false">IF(K1634="","",K1634-G1634)</f>
        <v>0</v>
      </c>
    </row>
    <row r="1635" customFormat="false" ht="15" hidden="false" customHeight="false" outlineLevel="0" collapsed="false">
      <c r="A1635" s="7" t="n">
        <v>80148223</v>
      </c>
      <c r="B1635" s="7" t="s">
        <v>68</v>
      </c>
      <c r="C1635" s="7" t="s">
        <v>3697</v>
      </c>
      <c r="D1635" s="7" t="s">
        <v>3698</v>
      </c>
      <c r="E1635" s="7" t="s">
        <v>3699</v>
      </c>
      <c r="F1635" s="7" t="s">
        <v>3700</v>
      </c>
      <c r="G1635" s="7" t="n">
        <v>2016</v>
      </c>
      <c r="H1635" s="7" t="s">
        <v>48</v>
      </c>
      <c r="I1635" s="7" t="s">
        <v>494</v>
      </c>
      <c r="J1635" s="7" t="s">
        <v>974</v>
      </c>
      <c r="K1635" s="7" t="n">
        <f aca="false">IFERROR(VALUE(RIGHT(TRIM(F1635),4)),"")</f>
        <v>2017</v>
      </c>
      <c r="L1635" s="7" t="str">
        <f aca="false">IF(TRIM(E1635)="","Unknown",IFERROR(LEFT(TRIM(E1635),FIND(",",TRIM(E1635))-1),TRIM(E1635)))</f>
        <v>United Kingdom</v>
      </c>
      <c r="M1635" s="7" t="str">
        <f aca="false">IFERROR(LEFT(J1635,FIND(",",J1635)-1),J1635)</f>
        <v>Documentaries</v>
      </c>
      <c r="N1635" s="7" t="n">
        <f aca="false">IF(B1635="Movie",IFERROR(VALUE(LEFT(I1635,FIND(" ",I1635)-1)),""),"")</f>
        <v>87</v>
      </c>
      <c r="O1635" s="7" t="str">
        <f aca="false">IF(B1635="TV Show",IFERROR(VALUE(LEFT(I1635,FIND(" ",I1635)-1)),""),"")</f>
        <v/>
      </c>
      <c r="P1635" s="7" t="n">
        <f aca="false">IF(K1635="","",K1635-G1635)</f>
        <v>1</v>
      </c>
    </row>
    <row r="1636" customFormat="false" ht="15" hidden="false" customHeight="false" outlineLevel="0" collapsed="false">
      <c r="A1636" s="7" t="n">
        <v>80176342</v>
      </c>
      <c r="B1636" s="7" t="s">
        <v>68</v>
      </c>
      <c r="C1636" s="7" t="s">
        <v>3701</v>
      </c>
      <c r="D1636" s="7" t="s">
        <v>2159</v>
      </c>
      <c r="E1636" s="7" t="s">
        <v>27</v>
      </c>
      <c r="F1636" s="7" t="s">
        <v>3700</v>
      </c>
      <c r="G1636" s="7" t="n">
        <v>2017</v>
      </c>
      <c r="H1636" s="7" t="s">
        <v>49</v>
      </c>
      <c r="I1636" s="7" t="s">
        <v>722</v>
      </c>
      <c r="J1636" s="7" t="s">
        <v>112</v>
      </c>
      <c r="K1636" s="7" t="n">
        <f aca="false">IFERROR(VALUE(RIGHT(TRIM(F1636),4)),"")</f>
        <v>2017</v>
      </c>
      <c r="L1636" s="7" t="str">
        <f aca="false">IF(TRIM(E1636)="","Unknown",IFERROR(LEFT(TRIM(E1636),FIND(",",TRIM(E1636))-1),TRIM(E1636)))</f>
        <v>India</v>
      </c>
      <c r="M1636" s="7" t="str">
        <f aca="false">IFERROR(LEFT(J1636,FIND(",",J1636)-1),J1636)</f>
        <v>Action &amp; Adventure</v>
      </c>
      <c r="N1636" s="7" t="n">
        <f aca="false">IF(B1636="Movie",IFERROR(VALUE(LEFT(I1636,FIND(" ",I1636)-1)),""),"")</f>
        <v>153</v>
      </c>
      <c r="O1636" s="7" t="str">
        <f aca="false">IF(B1636="TV Show",IFERROR(VALUE(LEFT(I1636,FIND(" ",I1636)-1)),""),"")</f>
        <v/>
      </c>
      <c r="P1636" s="7" t="n">
        <f aca="false">IF(K1636="","",K1636-G1636)</f>
        <v>0</v>
      </c>
    </row>
    <row r="1637" customFormat="false" ht="15" hidden="false" customHeight="false" outlineLevel="0" collapsed="false">
      <c r="A1637" s="7" t="n">
        <v>80038162</v>
      </c>
      <c r="B1637" s="7" t="s">
        <v>68</v>
      </c>
      <c r="C1637" s="7" t="s">
        <v>3702</v>
      </c>
      <c r="D1637" s="7" t="s">
        <v>3703</v>
      </c>
      <c r="E1637" s="7" t="s">
        <v>26</v>
      </c>
      <c r="F1637" s="7" t="s">
        <v>3704</v>
      </c>
      <c r="G1637" s="7" t="n">
        <v>2015</v>
      </c>
      <c r="H1637" s="7" t="s">
        <v>53</v>
      </c>
      <c r="I1637" s="7" t="s">
        <v>524</v>
      </c>
      <c r="J1637" s="7" t="s">
        <v>39</v>
      </c>
      <c r="K1637" s="7" t="n">
        <f aca="false">IFERROR(VALUE(RIGHT(TRIM(F1637),4)),"")</f>
        <v>2015</v>
      </c>
      <c r="L1637" s="7" t="str">
        <f aca="false">IF(TRIM(E1637)="","Unknown",IFERROR(LEFT(TRIM(E1637),FIND(",",TRIM(E1637))-1),TRIM(E1637)))</f>
        <v>United States</v>
      </c>
      <c r="M1637" s="7" t="str">
        <f aca="false">IFERROR(LEFT(J1637,FIND(",",J1637)-1),J1637)</f>
        <v>Documentaries</v>
      </c>
      <c r="N1637" s="7" t="n">
        <f aca="false">IF(B1637="Movie",IFERROR(VALUE(LEFT(I1637,FIND(" ",I1637)-1)),""),"")</f>
        <v>83</v>
      </c>
      <c r="O1637" s="7" t="str">
        <f aca="false">IF(B1637="TV Show",IFERROR(VALUE(LEFT(I1637,FIND(" ",I1637)-1)),""),"")</f>
        <v/>
      </c>
      <c r="P1637" s="7" t="n">
        <f aca="false">IF(K1637="","",K1637-G1637)</f>
        <v>0</v>
      </c>
    </row>
    <row r="1638" customFormat="false" ht="15" hidden="false" customHeight="false" outlineLevel="0" collapsed="false">
      <c r="A1638" s="7" t="n">
        <v>81087094</v>
      </c>
      <c r="B1638" s="7" t="s">
        <v>68</v>
      </c>
      <c r="C1638" s="7" t="s">
        <v>3705</v>
      </c>
      <c r="D1638" s="7" t="s">
        <v>3706</v>
      </c>
      <c r="E1638" s="7" t="s">
        <v>29</v>
      </c>
      <c r="F1638" s="7" t="s">
        <v>3707</v>
      </c>
      <c r="G1638" s="7" t="n">
        <v>2018</v>
      </c>
      <c r="H1638" s="7" t="s">
        <v>48</v>
      </c>
      <c r="I1638" s="7" t="s">
        <v>613</v>
      </c>
      <c r="J1638" s="7" t="s">
        <v>950</v>
      </c>
      <c r="K1638" s="7" t="n">
        <f aca="false">IFERROR(VALUE(RIGHT(TRIM(F1638),4)),"")</f>
        <v>2019</v>
      </c>
      <c r="L1638" s="7" t="str">
        <f aca="false">IF(TRIM(E1638)="","Unknown",IFERROR(LEFT(TRIM(E1638),FIND(",",TRIM(E1638))-1),TRIM(E1638)))</f>
        <v>Canada</v>
      </c>
      <c r="M1638" s="7" t="str">
        <f aca="false">IFERROR(LEFT(J1638,FIND(",",J1638)-1),J1638)</f>
        <v>Horror Movies</v>
      </c>
      <c r="N1638" s="7" t="n">
        <f aca="false">IF(B1638="Movie",IFERROR(VALUE(LEFT(I1638,FIND(" ",I1638)-1)),""),"")</f>
        <v>84</v>
      </c>
      <c r="O1638" s="7" t="str">
        <f aca="false">IF(B1638="TV Show",IFERROR(VALUE(LEFT(I1638,FIND(" ",I1638)-1)),""),"")</f>
        <v/>
      </c>
      <c r="P1638" s="7" t="n">
        <f aca="false">IF(K1638="","",K1638-G1638)</f>
        <v>1</v>
      </c>
    </row>
    <row r="1639" customFormat="false" ht="15" hidden="false" customHeight="false" outlineLevel="0" collapsed="false">
      <c r="A1639" s="7" t="n">
        <v>80221447</v>
      </c>
      <c r="B1639" s="7" t="s">
        <v>68</v>
      </c>
      <c r="C1639" s="7" t="s">
        <v>3708</v>
      </c>
      <c r="D1639" s="7" t="s">
        <v>3709</v>
      </c>
      <c r="E1639" s="7" t="s">
        <v>26</v>
      </c>
      <c r="F1639" s="7" t="s">
        <v>3707</v>
      </c>
      <c r="G1639" s="7" t="n">
        <v>2018</v>
      </c>
      <c r="H1639" s="7" t="s">
        <v>54</v>
      </c>
      <c r="I1639" s="7" t="s">
        <v>87</v>
      </c>
      <c r="J1639" s="7" t="s">
        <v>42</v>
      </c>
      <c r="K1639" s="7" t="n">
        <f aca="false">IFERROR(VALUE(RIGHT(TRIM(F1639),4)),"")</f>
        <v>2019</v>
      </c>
      <c r="L1639" s="7" t="str">
        <f aca="false">IF(TRIM(E1639)="","Unknown",IFERROR(LEFT(TRIM(E1639),FIND(",",TRIM(E1639))-1),TRIM(E1639)))</f>
        <v>United States</v>
      </c>
      <c r="M1639" s="7" t="str">
        <f aca="false">IFERROR(LEFT(J1639,FIND(",",J1639)-1),J1639)</f>
        <v>Children &amp; Family Movies</v>
      </c>
      <c r="N1639" s="7" t="n">
        <f aca="false">IF(B1639="Movie",IFERROR(VALUE(LEFT(I1639,FIND(" ",I1639)-1)),""),"")</f>
        <v>99</v>
      </c>
      <c r="O1639" s="7" t="str">
        <f aca="false">IF(B1639="TV Show",IFERROR(VALUE(LEFT(I1639,FIND(" ",I1639)-1)),""),"")</f>
        <v/>
      </c>
      <c r="P1639" s="7" t="n">
        <f aca="false">IF(K1639="","",K1639-G1639)</f>
        <v>1</v>
      </c>
    </row>
    <row r="1640" customFormat="false" ht="15" hidden="false" customHeight="false" outlineLevel="0" collapsed="false">
      <c r="A1640" s="7" t="n">
        <v>70242063</v>
      </c>
      <c r="B1640" s="7" t="s">
        <v>68</v>
      </c>
      <c r="C1640" s="7" t="s">
        <v>3710</v>
      </c>
      <c r="D1640" s="7" t="s">
        <v>3711</v>
      </c>
      <c r="E1640" s="7" t="s">
        <v>26</v>
      </c>
      <c r="F1640" s="7" t="s">
        <v>3712</v>
      </c>
      <c r="G1640" s="7" t="n">
        <v>2012</v>
      </c>
      <c r="H1640" s="7" t="s">
        <v>53</v>
      </c>
      <c r="I1640" s="7" t="s">
        <v>272</v>
      </c>
      <c r="J1640" s="7" t="s">
        <v>39</v>
      </c>
      <c r="K1640" s="7" t="n">
        <f aca="false">IFERROR(VALUE(RIGHT(TRIM(F1640),4)),"")</f>
        <v>2019</v>
      </c>
      <c r="L1640" s="7" t="str">
        <f aca="false">IF(TRIM(E1640)="","Unknown",IFERROR(LEFT(TRIM(E1640),FIND(",",TRIM(E1640))-1),TRIM(E1640)))</f>
        <v>United States</v>
      </c>
      <c r="M1640" s="7" t="str">
        <f aca="false">IFERROR(LEFT(J1640,FIND(",",J1640)-1),J1640)</f>
        <v>Documentaries</v>
      </c>
      <c r="N1640" s="7" t="n">
        <f aca="false">IF(B1640="Movie",IFERROR(VALUE(LEFT(I1640,FIND(" ",I1640)-1)),""),"")</f>
        <v>93</v>
      </c>
      <c r="O1640" s="7" t="str">
        <f aca="false">IF(B1640="TV Show",IFERROR(VALUE(LEFT(I1640,FIND(" ",I1640)-1)),""),"")</f>
        <v/>
      </c>
      <c r="P1640" s="7" t="n">
        <f aca="false">IF(K1640="","",K1640-G1640)</f>
        <v>7</v>
      </c>
    </row>
    <row r="1641" customFormat="false" ht="15" hidden="false" customHeight="false" outlineLevel="0" collapsed="false">
      <c r="A1641" s="7" t="n">
        <v>81013657</v>
      </c>
      <c r="B1641" s="7" t="s">
        <v>78</v>
      </c>
      <c r="C1641" s="7" t="s">
        <v>3713</v>
      </c>
      <c r="E1641" s="7" t="s">
        <v>26</v>
      </c>
      <c r="F1641" s="7" t="s">
        <v>3712</v>
      </c>
      <c r="G1641" s="7" t="n">
        <v>2019</v>
      </c>
      <c r="H1641" s="7" t="s">
        <v>50</v>
      </c>
      <c r="I1641" s="7" t="s">
        <v>82</v>
      </c>
      <c r="J1641" s="7" t="s">
        <v>3714</v>
      </c>
      <c r="K1641" s="7" t="n">
        <f aca="false">IFERROR(VALUE(RIGHT(TRIM(F1641),4)),"")</f>
        <v>2019</v>
      </c>
      <c r="L1641" s="7" t="str">
        <f aca="false">IF(TRIM(E1641)="","Unknown",IFERROR(LEFT(TRIM(E1641),FIND(",",TRIM(E1641))-1),TRIM(E1641)))</f>
        <v>United States</v>
      </c>
      <c r="M1641" s="7" t="str">
        <f aca="false">IFERROR(LEFT(J1641,FIND(",",J1641)-1),J1641)</f>
        <v>TV Dramas</v>
      </c>
      <c r="N1641" s="7" t="str">
        <f aca="false">IF(B1641="Movie",IFERROR(VALUE(LEFT(I1641,FIND(" ",I1641)-1)),""),"")</f>
        <v/>
      </c>
      <c r="O1641" s="7" t="n">
        <f aca="false">IF(B1641="TV Show",IFERROR(VALUE(LEFT(I1641,FIND(" ",I1641)-1)),""),"")</f>
        <v>1</v>
      </c>
      <c r="P1641" s="7" t="n">
        <f aca="false">IF(K1641="","",K1641-G1641)</f>
        <v>0</v>
      </c>
    </row>
    <row r="1642" customFormat="false" ht="15" hidden="false" customHeight="false" outlineLevel="0" collapsed="false">
      <c r="A1642" s="7" t="n">
        <v>80994222</v>
      </c>
      <c r="B1642" s="7" t="s">
        <v>78</v>
      </c>
      <c r="C1642" s="7" t="s">
        <v>3715</v>
      </c>
      <c r="E1642" s="7" t="s">
        <v>26</v>
      </c>
      <c r="F1642" s="7" t="s">
        <v>3712</v>
      </c>
      <c r="G1642" s="7" t="n">
        <v>2019</v>
      </c>
      <c r="H1642" s="7" t="s">
        <v>48</v>
      </c>
      <c r="I1642" s="7" t="s">
        <v>82</v>
      </c>
      <c r="J1642" s="7" t="s">
        <v>795</v>
      </c>
      <c r="K1642" s="7" t="n">
        <f aca="false">IFERROR(VALUE(RIGHT(TRIM(F1642),4)),"")</f>
        <v>2019</v>
      </c>
      <c r="L1642" s="7" t="str">
        <f aca="false">IF(TRIM(E1642)="","Unknown",IFERROR(LEFT(TRIM(E1642),FIND(",",TRIM(E1642))-1),TRIM(E1642)))</f>
        <v>United States</v>
      </c>
      <c r="M1642" s="7" t="str">
        <f aca="false">IFERROR(LEFT(J1642,FIND(",",J1642)-1),J1642)</f>
        <v>Stand-Up Comedy &amp; Talk Shows</v>
      </c>
      <c r="N1642" s="7" t="str">
        <f aca="false">IF(B1642="Movie",IFERROR(VALUE(LEFT(I1642,FIND(" ",I1642)-1)),""),"")</f>
        <v/>
      </c>
      <c r="O1642" s="7" t="n">
        <f aca="false">IF(B1642="TV Show",IFERROR(VALUE(LEFT(I1642,FIND(" ",I1642)-1)),""),"")</f>
        <v>1</v>
      </c>
      <c r="P1642" s="7" t="n">
        <f aca="false">IF(K1642="","",K1642-G1642)</f>
        <v>0</v>
      </c>
    </row>
    <row r="1643" customFormat="false" ht="15" hidden="false" customHeight="false" outlineLevel="0" collapsed="false">
      <c r="A1643" s="7" t="n">
        <v>80239459</v>
      </c>
      <c r="B1643" s="7" t="s">
        <v>78</v>
      </c>
      <c r="C1643" s="7" t="s">
        <v>3716</v>
      </c>
      <c r="E1643" s="7" t="s">
        <v>26</v>
      </c>
      <c r="F1643" s="7" t="s">
        <v>3717</v>
      </c>
      <c r="G1643" s="7" t="n">
        <v>2018</v>
      </c>
      <c r="H1643" s="7" t="s">
        <v>48</v>
      </c>
      <c r="I1643" s="7" t="s">
        <v>82</v>
      </c>
      <c r="J1643" s="7" t="s">
        <v>795</v>
      </c>
      <c r="K1643" s="7" t="n">
        <f aca="false">IFERROR(VALUE(RIGHT(TRIM(F1643),4)),"")</f>
        <v>2018</v>
      </c>
      <c r="L1643" s="7" t="str">
        <f aca="false">IF(TRIM(E1643)="","Unknown",IFERROR(LEFT(TRIM(E1643),FIND(",",TRIM(E1643))-1),TRIM(E1643)))</f>
        <v>United States</v>
      </c>
      <c r="M1643" s="7" t="str">
        <f aca="false">IFERROR(LEFT(J1643,FIND(",",J1643)-1),J1643)</f>
        <v>Stand-Up Comedy &amp; Talk Shows</v>
      </c>
      <c r="N1643" s="7" t="str">
        <f aca="false">IF(B1643="Movie",IFERROR(VALUE(LEFT(I1643,FIND(" ",I1643)-1)),""),"")</f>
        <v/>
      </c>
      <c r="O1643" s="7" t="n">
        <f aca="false">IF(B1643="TV Show",IFERROR(VALUE(LEFT(I1643,FIND(" ",I1643)-1)),""),"")</f>
        <v>1</v>
      </c>
      <c r="P1643" s="7" t="n">
        <f aca="false">IF(K1643="","",K1643-G1643)</f>
        <v>0</v>
      </c>
    </row>
    <row r="1644" customFormat="false" ht="15" hidden="false" customHeight="false" outlineLevel="0" collapsed="false">
      <c r="A1644" s="7" t="n">
        <v>80063265</v>
      </c>
      <c r="B1644" s="7" t="s">
        <v>68</v>
      </c>
      <c r="C1644" s="7" t="s">
        <v>3718</v>
      </c>
      <c r="D1644" s="7" t="s">
        <v>3719</v>
      </c>
      <c r="E1644" s="7" t="s">
        <v>26</v>
      </c>
      <c r="F1644" s="7" t="s">
        <v>3720</v>
      </c>
      <c r="G1644" s="7" t="n">
        <v>2016</v>
      </c>
      <c r="H1644" s="7" t="s">
        <v>48</v>
      </c>
      <c r="I1644" s="7" t="s">
        <v>790</v>
      </c>
      <c r="J1644" s="7" t="s">
        <v>967</v>
      </c>
      <c r="K1644" s="7" t="n">
        <f aca="false">IFERROR(VALUE(RIGHT(TRIM(F1644),4)),"")</f>
        <v>2016</v>
      </c>
      <c r="L1644" s="7" t="str">
        <f aca="false">IF(TRIM(E1644)="","Unknown",IFERROR(LEFT(TRIM(E1644),FIND(",",TRIM(E1644))-1),TRIM(E1644)))</f>
        <v>United States</v>
      </c>
      <c r="M1644" s="7" t="str">
        <f aca="false">IFERROR(LEFT(J1644,FIND(",",J1644)-1),J1644)</f>
        <v>Action &amp; Adventure</v>
      </c>
      <c r="N1644" s="7" t="n">
        <f aca="false">IF(B1644="Movie",IFERROR(VALUE(LEFT(I1644,FIND(" ",I1644)-1)),""),"")</f>
        <v>109</v>
      </c>
      <c r="O1644" s="7" t="str">
        <f aca="false">IF(B1644="TV Show",IFERROR(VALUE(LEFT(I1644,FIND(" ",I1644)-1)),""),"")</f>
        <v/>
      </c>
      <c r="P1644" s="7" t="n">
        <f aca="false">IF(K1644="","",K1644-G1644)</f>
        <v>0</v>
      </c>
    </row>
    <row r="1645" customFormat="false" ht="15" hidden="false" customHeight="false" outlineLevel="0" collapsed="false">
      <c r="A1645" s="7" t="n">
        <v>80993756</v>
      </c>
      <c r="B1645" s="7" t="s">
        <v>78</v>
      </c>
      <c r="C1645" s="7" t="s">
        <v>3721</v>
      </c>
      <c r="F1645" s="7" t="s">
        <v>3722</v>
      </c>
      <c r="G1645" s="7" t="n">
        <v>2016</v>
      </c>
      <c r="H1645" s="7" t="s">
        <v>49</v>
      </c>
      <c r="I1645" s="7" t="s">
        <v>82</v>
      </c>
      <c r="J1645" s="7" t="s">
        <v>314</v>
      </c>
      <c r="K1645" s="7" t="n">
        <f aca="false">IFERROR(VALUE(RIGHT(TRIM(F1645),4)),"")</f>
        <v>2019</v>
      </c>
      <c r="L1645" s="7" t="str">
        <f aca="false">IF(TRIM(E1645)="","Unknown",IFERROR(LEFT(TRIM(E1645),FIND(",",TRIM(E1645))-1),TRIM(E1645)))</f>
        <v>Unknown</v>
      </c>
      <c r="M1645" s="7" t="str">
        <f aca="false">IFERROR(LEFT(J1645,FIND(",",J1645)-1),J1645)</f>
        <v>International TV Shows</v>
      </c>
      <c r="N1645" s="7" t="str">
        <f aca="false">IF(B1645="Movie",IFERROR(VALUE(LEFT(I1645,FIND(" ",I1645)-1)),""),"")</f>
        <v/>
      </c>
      <c r="O1645" s="7" t="n">
        <f aca="false">IF(B1645="TV Show",IFERROR(VALUE(LEFT(I1645,FIND(" ",I1645)-1)),""),"")</f>
        <v>1</v>
      </c>
      <c r="P1645" s="7" t="n">
        <f aca="false">IF(K1645="","",K1645-G1645)</f>
        <v>3</v>
      </c>
    </row>
    <row r="1646" customFormat="false" ht="15" hidden="false" customHeight="false" outlineLevel="0" collapsed="false">
      <c r="A1646" s="7" t="n">
        <v>81034931</v>
      </c>
      <c r="B1646" s="7" t="s">
        <v>68</v>
      </c>
      <c r="C1646" s="7" t="s">
        <v>3723</v>
      </c>
      <c r="D1646" s="7" t="s">
        <v>3724</v>
      </c>
      <c r="E1646" s="7" t="s">
        <v>32</v>
      </c>
      <c r="F1646" s="7" t="s">
        <v>3722</v>
      </c>
      <c r="G1646" s="7" t="n">
        <v>2018</v>
      </c>
      <c r="H1646" s="7" t="s">
        <v>48</v>
      </c>
      <c r="I1646" s="7" t="s">
        <v>232</v>
      </c>
      <c r="J1646" s="7" t="s">
        <v>3644</v>
      </c>
      <c r="K1646" s="7" t="n">
        <f aca="false">IFERROR(VALUE(RIGHT(TRIM(F1646),4)),"")</f>
        <v>2019</v>
      </c>
      <c r="L1646" s="7" t="str">
        <f aca="false">IF(TRIM(E1646)="","Unknown",IFERROR(LEFT(TRIM(E1646),FIND(",",TRIM(E1646))-1),TRIM(E1646)))</f>
        <v>South Korea</v>
      </c>
      <c r="M1646" s="7" t="str">
        <f aca="false">IFERROR(LEFT(J1646,FIND(",",J1646)-1),J1646)</f>
        <v>Action &amp; Adventure</v>
      </c>
      <c r="N1646" s="7" t="n">
        <f aca="false">IF(B1646="Movie",IFERROR(VALUE(LEFT(I1646,FIND(" ",I1646)-1)),""),"")</f>
        <v>122</v>
      </c>
      <c r="O1646" s="7" t="str">
        <f aca="false">IF(B1646="TV Show",IFERROR(VALUE(LEFT(I1646,FIND(" ",I1646)-1)),""),"")</f>
        <v/>
      </c>
      <c r="P1646" s="7" t="n">
        <f aca="false">IF(K1646="","",K1646-G1646)</f>
        <v>1</v>
      </c>
    </row>
    <row r="1647" customFormat="false" ht="15" hidden="false" customHeight="false" outlineLevel="0" collapsed="false">
      <c r="A1647" s="7" t="n">
        <v>80202903</v>
      </c>
      <c r="B1647" s="7" t="s">
        <v>68</v>
      </c>
      <c r="C1647" s="7" t="s">
        <v>3725</v>
      </c>
      <c r="D1647" s="7" t="s">
        <v>3726</v>
      </c>
      <c r="E1647" s="7" t="s">
        <v>33</v>
      </c>
      <c r="F1647" s="7" t="s">
        <v>3727</v>
      </c>
      <c r="G1647" s="7" t="n">
        <v>2018</v>
      </c>
      <c r="H1647" s="7" t="s">
        <v>48</v>
      </c>
      <c r="I1647" s="7" t="s">
        <v>386</v>
      </c>
      <c r="J1647" s="7" t="s">
        <v>182</v>
      </c>
      <c r="K1647" s="7" t="n">
        <f aca="false">IFERROR(VALUE(RIGHT(TRIM(F1647),4)),"")</f>
        <v>2018</v>
      </c>
      <c r="L1647" s="7" t="str">
        <f aca="false">IF(TRIM(E1647)="","Unknown",IFERROR(LEFT(TRIM(E1647),FIND(",",TRIM(E1647))-1),TRIM(E1647)))</f>
        <v>Spain</v>
      </c>
      <c r="M1647" s="7" t="str">
        <f aca="false">IFERROR(LEFT(J1647,FIND(",",J1647)-1),J1647)</f>
        <v>Dramas</v>
      </c>
      <c r="N1647" s="7" t="n">
        <f aca="false">IF(B1647="Movie",IFERROR(VALUE(LEFT(I1647,FIND(" ",I1647)-1)),""),"")</f>
        <v>117</v>
      </c>
      <c r="O1647" s="7" t="str">
        <f aca="false">IF(B1647="TV Show",IFERROR(VALUE(LEFT(I1647,FIND(" ",I1647)-1)),""),"")</f>
        <v/>
      </c>
      <c r="P1647" s="7" t="n">
        <f aca="false">IF(K1647="","",K1647-G1647)</f>
        <v>0</v>
      </c>
    </row>
    <row r="1648" customFormat="false" ht="15" hidden="false" customHeight="false" outlineLevel="0" collapsed="false">
      <c r="A1648" s="7" t="n">
        <v>80990935</v>
      </c>
      <c r="B1648" s="7" t="s">
        <v>78</v>
      </c>
      <c r="C1648" s="7" t="s">
        <v>3728</v>
      </c>
      <c r="E1648" s="7" t="s">
        <v>32</v>
      </c>
      <c r="F1648" s="7" t="s">
        <v>3727</v>
      </c>
      <c r="G1648" s="7" t="n">
        <v>2018</v>
      </c>
      <c r="H1648" s="7" t="s">
        <v>48</v>
      </c>
      <c r="I1648" s="7" t="s">
        <v>82</v>
      </c>
      <c r="J1648" s="7" t="s">
        <v>637</v>
      </c>
      <c r="K1648" s="7" t="n">
        <f aca="false">IFERROR(VALUE(RIGHT(TRIM(F1648),4)),"")</f>
        <v>2018</v>
      </c>
      <c r="L1648" s="7" t="str">
        <f aca="false">IF(TRIM(E1648)="","Unknown",IFERROR(LEFT(TRIM(E1648),FIND(",",TRIM(E1648))-1),TRIM(E1648)))</f>
        <v>South Korea</v>
      </c>
      <c r="M1648" s="7" t="str">
        <f aca="false">IFERROR(LEFT(J1648,FIND(",",J1648)-1),J1648)</f>
        <v>International TV Shows</v>
      </c>
      <c r="N1648" s="7" t="str">
        <f aca="false">IF(B1648="Movie",IFERROR(VALUE(LEFT(I1648,FIND(" ",I1648)-1)),""),"")</f>
        <v/>
      </c>
      <c r="O1648" s="7" t="n">
        <f aca="false">IF(B1648="TV Show",IFERROR(VALUE(LEFT(I1648,FIND(" ",I1648)-1)),""),"")</f>
        <v>1</v>
      </c>
      <c r="P1648" s="7" t="n">
        <f aca="false">IF(K1648="","",K1648-G1648)</f>
        <v>0</v>
      </c>
    </row>
    <row r="1649" customFormat="false" ht="15" hidden="false" customHeight="false" outlineLevel="0" collapsed="false">
      <c r="A1649" s="7" t="n">
        <v>80167459</v>
      </c>
      <c r="B1649" s="7" t="s">
        <v>68</v>
      </c>
      <c r="C1649" s="7" t="s">
        <v>3729</v>
      </c>
      <c r="D1649" s="7" t="s">
        <v>3730</v>
      </c>
      <c r="E1649" s="7" t="s">
        <v>26</v>
      </c>
      <c r="F1649" s="7" t="s">
        <v>3731</v>
      </c>
      <c r="G1649" s="7" t="n">
        <v>2017</v>
      </c>
      <c r="H1649" s="7" t="s">
        <v>49</v>
      </c>
      <c r="I1649" s="7" t="s">
        <v>134</v>
      </c>
      <c r="J1649" s="7" t="s">
        <v>39</v>
      </c>
      <c r="K1649" s="7" t="n">
        <f aca="false">IFERROR(VALUE(RIGHT(TRIM(F1649),4)),"")</f>
        <v>2017</v>
      </c>
      <c r="L1649" s="7" t="str">
        <f aca="false">IF(TRIM(E1649)="","Unknown",IFERROR(LEFT(TRIM(E1649),FIND(",",TRIM(E1649))-1),TRIM(E1649)))</f>
        <v>United States</v>
      </c>
      <c r="M1649" s="7" t="str">
        <f aca="false">IFERROR(LEFT(J1649,FIND(",",J1649)-1),J1649)</f>
        <v>Documentaries</v>
      </c>
      <c r="N1649" s="7" t="n">
        <f aca="false">IF(B1649="Movie",IFERROR(VALUE(LEFT(I1649,FIND(" ",I1649)-1)),""),"")</f>
        <v>98</v>
      </c>
      <c r="O1649" s="7" t="str">
        <f aca="false">IF(B1649="TV Show",IFERROR(VALUE(LEFT(I1649,FIND(" ",I1649)-1)),""),"")</f>
        <v/>
      </c>
      <c r="P1649" s="7" t="n">
        <f aca="false">IF(K1649="","",K1649-G1649)</f>
        <v>0</v>
      </c>
    </row>
    <row r="1650" customFormat="false" ht="15" hidden="false" customHeight="false" outlineLevel="0" collapsed="false">
      <c r="A1650" s="7" t="n">
        <v>80169348</v>
      </c>
      <c r="B1650" s="7" t="s">
        <v>68</v>
      </c>
      <c r="C1650" s="7" t="s">
        <v>3732</v>
      </c>
      <c r="D1650" s="7" t="s">
        <v>3733</v>
      </c>
      <c r="E1650" s="7" t="s">
        <v>26</v>
      </c>
      <c r="F1650" s="7" t="s">
        <v>3731</v>
      </c>
      <c r="G1650" s="7" t="n">
        <v>2017</v>
      </c>
      <c r="H1650" s="7" t="s">
        <v>49</v>
      </c>
      <c r="I1650" s="7" t="s">
        <v>143</v>
      </c>
      <c r="J1650" s="7" t="s">
        <v>39</v>
      </c>
      <c r="K1650" s="7" t="n">
        <f aca="false">IFERROR(VALUE(RIGHT(TRIM(F1650),4)),"")</f>
        <v>2017</v>
      </c>
      <c r="L1650" s="7" t="str">
        <f aca="false">IF(TRIM(E1650)="","Unknown",IFERROR(LEFT(TRIM(E1650),FIND(",",TRIM(E1650))-1),TRIM(E1650)))</f>
        <v>United States</v>
      </c>
      <c r="M1650" s="7" t="str">
        <f aca="false">IFERROR(LEFT(J1650,FIND(",",J1650)-1),J1650)</f>
        <v>Documentaries</v>
      </c>
      <c r="N1650" s="7" t="n">
        <f aca="false">IF(B1650="Movie",IFERROR(VALUE(LEFT(I1650,FIND(" ",I1650)-1)),""),"")</f>
        <v>79</v>
      </c>
      <c r="O1650" s="7" t="str">
        <f aca="false">IF(B1650="TV Show",IFERROR(VALUE(LEFT(I1650,FIND(" ",I1650)-1)),""),"")</f>
        <v/>
      </c>
      <c r="P1650" s="7" t="n">
        <f aca="false">IF(K1650="","",K1650-G1650)</f>
        <v>0</v>
      </c>
    </row>
    <row r="1651" customFormat="false" ht="15" hidden="false" customHeight="false" outlineLevel="0" collapsed="false">
      <c r="A1651" s="7" t="n">
        <v>80164778</v>
      </c>
      <c r="B1651" s="7" t="s">
        <v>68</v>
      </c>
      <c r="C1651" s="7" t="s">
        <v>3734</v>
      </c>
      <c r="D1651" s="7" t="s">
        <v>3735</v>
      </c>
      <c r="E1651" s="7" t="s">
        <v>27</v>
      </c>
      <c r="F1651" s="7" t="s">
        <v>3731</v>
      </c>
      <c r="G1651" s="7" t="n">
        <v>2017</v>
      </c>
      <c r="H1651" s="7" t="s">
        <v>53</v>
      </c>
      <c r="I1651" s="7" t="s">
        <v>1832</v>
      </c>
      <c r="J1651" s="7" t="s">
        <v>112</v>
      </c>
      <c r="K1651" s="7" t="n">
        <f aca="false">IFERROR(VALUE(RIGHT(TRIM(F1651),4)),"")</f>
        <v>2017</v>
      </c>
      <c r="L1651" s="7" t="str">
        <f aca="false">IF(TRIM(E1651)="","Unknown",IFERROR(LEFT(TRIM(E1651),FIND(",",TRIM(E1651))-1),TRIM(E1651)))</f>
        <v>India</v>
      </c>
      <c r="M1651" s="7" t="str">
        <f aca="false">IFERROR(LEFT(J1651,FIND(",",J1651)-1),J1651)</f>
        <v>Action &amp; Adventure</v>
      </c>
      <c r="N1651" s="7" t="n">
        <f aca="false">IF(B1651="Movie",IFERROR(VALUE(LEFT(I1651,FIND(" ",I1651)-1)),""),"")</f>
        <v>143</v>
      </c>
      <c r="O1651" s="7" t="str">
        <f aca="false">IF(B1651="TV Show",IFERROR(VALUE(LEFT(I1651,FIND(" ",I1651)-1)),""),"")</f>
        <v/>
      </c>
      <c r="P1651" s="7" t="n">
        <f aca="false">IF(K1651="","",K1651-G1651)</f>
        <v>0</v>
      </c>
    </row>
    <row r="1652" customFormat="false" ht="15" hidden="false" customHeight="false" outlineLevel="0" collapsed="false">
      <c r="A1652" s="7" t="n">
        <v>80068327</v>
      </c>
      <c r="B1652" s="7" t="s">
        <v>68</v>
      </c>
      <c r="C1652" s="7" t="s">
        <v>3736</v>
      </c>
      <c r="D1652" s="7" t="s">
        <v>3287</v>
      </c>
      <c r="E1652" s="7" t="s">
        <v>26</v>
      </c>
      <c r="F1652" s="7" t="s">
        <v>3731</v>
      </c>
      <c r="G1652" s="7" t="n">
        <v>2017</v>
      </c>
      <c r="H1652" s="7" t="s">
        <v>48</v>
      </c>
      <c r="I1652" s="7" t="s">
        <v>869</v>
      </c>
      <c r="J1652" s="7" t="s">
        <v>251</v>
      </c>
      <c r="K1652" s="7" t="n">
        <f aca="false">IFERROR(VALUE(RIGHT(TRIM(F1652),4)),"")</f>
        <v>2017</v>
      </c>
      <c r="L1652" s="7" t="str">
        <f aca="false">IF(TRIM(E1652)="","Unknown",IFERROR(LEFT(TRIM(E1652),FIND(",",TRIM(E1652))-1),TRIM(E1652)))</f>
        <v>United States</v>
      </c>
      <c r="M1652" s="7" t="str">
        <f aca="false">IFERROR(LEFT(J1652,FIND(",",J1652)-1),J1652)</f>
        <v>Comedies</v>
      </c>
      <c r="N1652" s="7" t="n">
        <f aca="false">IF(B1652="Movie",IFERROR(VALUE(LEFT(I1652,FIND(" ",I1652)-1)),""),"")</f>
        <v>123</v>
      </c>
      <c r="O1652" s="7" t="str">
        <f aca="false">IF(B1652="TV Show",IFERROR(VALUE(LEFT(I1652,FIND(" ",I1652)-1)),""),"")</f>
        <v/>
      </c>
      <c r="P1652" s="7" t="n">
        <f aca="false">IF(K1652="","",K1652-G1652)</f>
        <v>0</v>
      </c>
    </row>
    <row r="1653" customFormat="false" ht="15" hidden="false" customHeight="false" outlineLevel="0" collapsed="false">
      <c r="A1653" s="7" t="n">
        <v>80087933</v>
      </c>
      <c r="B1653" s="7" t="s">
        <v>68</v>
      </c>
      <c r="C1653" s="7" t="s">
        <v>3737</v>
      </c>
      <c r="D1653" s="7" t="s">
        <v>3738</v>
      </c>
      <c r="E1653" s="7" t="s">
        <v>28</v>
      </c>
      <c r="F1653" s="7" t="s">
        <v>3739</v>
      </c>
      <c r="G1653" s="7" t="n">
        <v>2014</v>
      </c>
      <c r="H1653" s="7" t="s">
        <v>50</v>
      </c>
      <c r="I1653" s="7" t="s">
        <v>138</v>
      </c>
      <c r="J1653" s="7" t="s">
        <v>39</v>
      </c>
      <c r="K1653" s="7" t="n">
        <f aca="false">IFERROR(VALUE(RIGHT(TRIM(F1653),4)),"")</f>
        <v>2016</v>
      </c>
      <c r="L1653" s="7" t="str">
        <f aca="false">IF(TRIM(E1653)="","Unknown",IFERROR(LEFT(TRIM(E1653),FIND(",",TRIM(E1653))-1),TRIM(E1653)))</f>
        <v>United Kingdom</v>
      </c>
      <c r="M1653" s="7" t="str">
        <f aca="false">IFERROR(LEFT(J1653,FIND(",",J1653)-1),J1653)</f>
        <v>Documentaries</v>
      </c>
      <c r="N1653" s="7" t="n">
        <f aca="false">IF(B1653="Movie",IFERROR(VALUE(LEFT(I1653,FIND(" ",I1653)-1)),""),"")</f>
        <v>96</v>
      </c>
      <c r="O1653" s="7" t="str">
        <f aca="false">IF(B1653="TV Show",IFERROR(VALUE(LEFT(I1653,FIND(" ",I1653)-1)),""),"")</f>
        <v/>
      </c>
      <c r="P1653" s="7" t="n">
        <f aca="false">IF(K1653="","",K1653-G1653)</f>
        <v>2</v>
      </c>
    </row>
    <row r="1654" customFormat="false" ht="15" hidden="false" customHeight="false" outlineLevel="0" collapsed="false">
      <c r="A1654" s="7" t="n">
        <v>80993739</v>
      </c>
      <c r="B1654" s="7" t="s">
        <v>78</v>
      </c>
      <c r="C1654" s="7" t="s">
        <v>3740</v>
      </c>
      <c r="E1654" s="7" t="s">
        <v>167</v>
      </c>
      <c r="F1654" s="7" t="s">
        <v>3741</v>
      </c>
      <c r="G1654" s="7" t="n">
        <v>2016</v>
      </c>
      <c r="H1654" s="7" t="s">
        <v>49</v>
      </c>
      <c r="I1654" s="7" t="s">
        <v>82</v>
      </c>
      <c r="J1654" s="7" t="s">
        <v>314</v>
      </c>
      <c r="K1654" s="7" t="n">
        <f aca="false">IFERROR(VALUE(RIGHT(TRIM(F1654),4)),"")</f>
        <v>2019</v>
      </c>
      <c r="L1654" s="7" t="str">
        <f aca="false">IF(TRIM(E1654)="","Unknown",IFERROR(LEFT(TRIM(E1654),FIND(",",TRIM(E1654))-1),TRIM(E1654)))</f>
        <v>Thailand</v>
      </c>
      <c r="M1654" s="7" t="str">
        <f aca="false">IFERROR(LEFT(J1654,FIND(",",J1654)-1),J1654)</f>
        <v>International TV Shows</v>
      </c>
      <c r="N1654" s="7" t="str">
        <f aca="false">IF(B1654="Movie",IFERROR(VALUE(LEFT(I1654,FIND(" ",I1654)-1)),""),"")</f>
        <v/>
      </c>
      <c r="O1654" s="7" t="n">
        <f aca="false">IF(B1654="TV Show",IFERROR(VALUE(LEFT(I1654,FIND(" ",I1654)-1)),""),"")</f>
        <v>1</v>
      </c>
      <c r="P1654" s="7" t="n">
        <f aca="false">IF(K1654="","",K1654-G1654)</f>
        <v>3</v>
      </c>
    </row>
    <row r="1655" customFormat="false" ht="15" hidden="false" customHeight="false" outlineLevel="0" collapsed="false">
      <c r="A1655" s="7" t="n">
        <v>81132060</v>
      </c>
      <c r="B1655" s="7" t="s">
        <v>78</v>
      </c>
      <c r="C1655" s="7" t="s">
        <v>3742</v>
      </c>
      <c r="E1655" s="7" t="s">
        <v>27</v>
      </c>
      <c r="F1655" s="7" t="s">
        <v>3741</v>
      </c>
      <c r="G1655" s="7" t="n">
        <v>2019</v>
      </c>
      <c r="H1655" s="7" t="s">
        <v>48</v>
      </c>
      <c r="I1655" s="7" t="s">
        <v>82</v>
      </c>
      <c r="J1655" s="7" t="s">
        <v>2695</v>
      </c>
      <c r="K1655" s="7" t="n">
        <f aca="false">IFERROR(VALUE(RIGHT(TRIM(F1655),4)),"")</f>
        <v>2019</v>
      </c>
      <c r="L1655" s="7" t="str">
        <f aca="false">IF(TRIM(E1655)="","Unknown",IFERROR(LEFT(TRIM(E1655),FIND(",",TRIM(E1655))-1),TRIM(E1655)))</f>
        <v>India</v>
      </c>
      <c r="M1655" s="7" t="str">
        <f aca="false">IFERROR(LEFT(J1655,FIND(",",J1655)-1),J1655)</f>
        <v>TV Shows</v>
      </c>
      <c r="N1655" s="7" t="str">
        <f aca="false">IF(B1655="Movie",IFERROR(VALUE(LEFT(I1655,FIND(" ",I1655)-1)),""),"")</f>
        <v/>
      </c>
      <c r="O1655" s="7" t="n">
        <f aca="false">IF(B1655="TV Show",IFERROR(VALUE(LEFT(I1655,FIND(" ",I1655)-1)),""),"")</f>
        <v>1</v>
      </c>
      <c r="P1655" s="7" t="n">
        <f aca="false">IF(K1655="","",K1655-G1655)</f>
        <v>0</v>
      </c>
    </row>
    <row r="1656" customFormat="false" ht="15" hidden="false" customHeight="false" outlineLevel="0" collapsed="false">
      <c r="A1656" s="7" t="n">
        <v>80084666</v>
      </c>
      <c r="B1656" s="7" t="s">
        <v>68</v>
      </c>
      <c r="C1656" s="7" t="s">
        <v>3743</v>
      </c>
      <c r="D1656" s="7" t="s">
        <v>3744</v>
      </c>
      <c r="E1656" s="7" t="s">
        <v>27</v>
      </c>
      <c r="F1656" s="7" t="s">
        <v>3745</v>
      </c>
      <c r="G1656" s="7" t="n">
        <v>2008</v>
      </c>
      <c r="H1656" s="7" t="s">
        <v>49</v>
      </c>
      <c r="I1656" s="7" t="s">
        <v>187</v>
      </c>
      <c r="J1656" s="7" t="s">
        <v>304</v>
      </c>
      <c r="K1656" s="7" t="n">
        <f aca="false">IFERROR(VALUE(RIGHT(TRIM(F1656),4)),"")</f>
        <v>2018</v>
      </c>
      <c r="L1656" s="7" t="str">
        <f aca="false">IF(TRIM(E1656)="","Unknown",IFERROR(LEFT(TRIM(E1656),FIND(",",TRIM(E1656))-1),TRIM(E1656)))</f>
        <v>India</v>
      </c>
      <c r="M1656" s="7" t="str">
        <f aca="false">IFERROR(LEFT(J1656,FIND(",",J1656)-1),J1656)</f>
        <v>Dramas</v>
      </c>
      <c r="N1656" s="7" t="n">
        <f aca="false">IF(B1656="Movie",IFERROR(VALUE(LEFT(I1656,FIND(" ",I1656)-1)),""),"")</f>
        <v>114</v>
      </c>
      <c r="O1656" s="7" t="str">
        <f aca="false">IF(B1656="TV Show",IFERROR(VALUE(LEFT(I1656,FIND(" ",I1656)-1)),""),"")</f>
        <v/>
      </c>
      <c r="P1656" s="7" t="n">
        <f aca="false">IF(K1656="","",K1656-G1656)</f>
        <v>10</v>
      </c>
    </row>
    <row r="1657" customFormat="false" ht="15" hidden="false" customHeight="false" outlineLevel="0" collapsed="false">
      <c r="A1657" s="7" t="n">
        <v>80192137</v>
      </c>
      <c r="B1657" s="7" t="s">
        <v>68</v>
      </c>
      <c r="C1657" s="7" t="s">
        <v>3746</v>
      </c>
      <c r="D1657" s="7" t="s">
        <v>3118</v>
      </c>
      <c r="E1657" s="7" t="s">
        <v>1113</v>
      </c>
      <c r="F1657" s="7" t="s">
        <v>3745</v>
      </c>
      <c r="G1657" s="7" t="n">
        <v>2018</v>
      </c>
      <c r="H1657" s="7" t="s">
        <v>48</v>
      </c>
      <c r="I1657" s="7" t="s">
        <v>551</v>
      </c>
      <c r="J1657" s="7" t="s">
        <v>45</v>
      </c>
      <c r="K1657" s="7" t="n">
        <f aca="false">IFERROR(VALUE(RIGHT(TRIM(F1657),4)),"")</f>
        <v>2018</v>
      </c>
      <c r="L1657" s="7" t="str">
        <f aca="false">IF(TRIM(E1657)="","Unknown",IFERROR(LEFT(TRIM(E1657),FIND(",",TRIM(E1657))-1),TRIM(E1657)))</f>
        <v>Argentina</v>
      </c>
      <c r="M1657" s="7" t="str">
        <f aca="false">IFERROR(LEFT(J1657,FIND(",",J1657)-1),J1657)</f>
        <v>Stand-Up Comedy</v>
      </c>
      <c r="N1657" s="7" t="n">
        <f aca="false">IF(B1657="Movie",IFERROR(VALUE(LEFT(I1657,FIND(" ",I1657)-1)),""),"")</f>
        <v>63</v>
      </c>
      <c r="O1657" s="7" t="str">
        <f aca="false">IF(B1657="TV Show",IFERROR(VALUE(LEFT(I1657,FIND(" ",I1657)-1)),""),"")</f>
        <v/>
      </c>
      <c r="P1657" s="7" t="n">
        <f aca="false">IF(K1657="","",K1657-G1657)</f>
        <v>0</v>
      </c>
    </row>
    <row r="1658" customFormat="false" ht="15" hidden="false" customHeight="false" outlineLevel="0" collapsed="false">
      <c r="A1658" s="7" t="n">
        <v>80195049</v>
      </c>
      <c r="B1658" s="7" t="s">
        <v>68</v>
      </c>
      <c r="C1658" s="7" t="s">
        <v>3747</v>
      </c>
      <c r="D1658" s="7" t="s">
        <v>3748</v>
      </c>
      <c r="E1658" s="7" t="s">
        <v>26</v>
      </c>
      <c r="F1658" s="7" t="s">
        <v>3745</v>
      </c>
      <c r="G1658" s="7" t="n">
        <v>2018</v>
      </c>
      <c r="H1658" s="7" t="s">
        <v>48</v>
      </c>
      <c r="I1658" s="7" t="s">
        <v>77</v>
      </c>
      <c r="J1658" s="7" t="s">
        <v>177</v>
      </c>
      <c r="K1658" s="7" t="n">
        <f aca="false">IFERROR(VALUE(RIGHT(TRIM(F1658),4)),"")</f>
        <v>2018</v>
      </c>
      <c r="L1658" s="7" t="str">
        <f aca="false">IF(TRIM(E1658)="","Unknown",IFERROR(LEFT(TRIM(E1658),FIND(",",TRIM(E1658))-1),TRIM(E1658)))</f>
        <v>United States</v>
      </c>
      <c r="M1658" s="7" t="str">
        <f aca="false">IFERROR(LEFT(J1658,FIND(",",J1658)-1),J1658)</f>
        <v>Comedies</v>
      </c>
      <c r="N1658" s="7" t="n">
        <f aca="false">IF(B1658="Movie",IFERROR(VALUE(LEFT(I1658,FIND(" ",I1658)-1)),""),"")</f>
        <v>94</v>
      </c>
      <c r="O1658" s="7" t="str">
        <f aca="false">IF(B1658="TV Show",IFERROR(VALUE(LEFT(I1658,FIND(" ",I1658)-1)),""),"")</f>
        <v/>
      </c>
      <c r="P1658" s="7" t="n">
        <f aca="false">IF(K1658="","",K1658-G1658)</f>
        <v>0</v>
      </c>
    </row>
    <row r="1659" customFormat="false" ht="15" hidden="false" customHeight="false" outlineLevel="0" collapsed="false">
      <c r="A1659" s="7" t="n">
        <v>80186850</v>
      </c>
      <c r="B1659" s="7" t="s">
        <v>68</v>
      </c>
      <c r="C1659" s="7" t="s">
        <v>3749</v>
      </c>
      <c r="D1659" s="7" t="s">
        <v>2518</v>
      </c>
      <c r="E1659" s="7" t="s">
        <v>26</v>
      </c>
      <c r="F1659" s="7" t="s">
        <v>3745</v>
      </c>
      <c r="G1659" s="7" t="n">
        <v>2018</v>
      </c>
      <c r="H1659" s="7" t="s">
        <v>49</v>
      </c>
      <c r="I1659" s="7" t="s">
        <v>1221</v>
      </c>
      <c r="J1659" s="7" t="s">
        <v>45</v>
      </c>
      <c r="K1659" s="7" t="n">
        <f aca="false">IFERROR(VALUE(RIGHT(TRIM(F1659),4)),"")</f>
        <v>2018</v>
      </c>
      <c r="L1659" s="7" t="str">
        <f aca="false">IF(TRIM(E1659)="","Unknown",IFERROR(LEFT(TRIM(E1659),FIND(",",TRIM(E1659))-1),TRIM(E1659)))</f>
        <v>United States</v>
      </c>
      <c r="M1659" s="7" t="str">
        <f aca="false">IFERROR(LEFT(J1659,FIND(",",J1659)-1),J1659)</f>
        <v>Stand-Up Comedy</v>
      </c>
      <c r="N1659" s="7" t="n">
        <f aca="false">IF(B1659="Movie",IFERROR(VALUE(LEFT(I1659,FIND(" ",I1659)-1)),""),"")</f>
        <v>74</v>
      </c>
      <c r="O1659" s="7" t="str">
        <f aca="false">IF(B1659="TV Show",IFERROR(VALUE(LEFT(I1659,FIND(" ",I1659)-1)),""),"")</f>
        <v/>
      </c>
      <c r="P1659" s="7" t="n">
        <f aca="false">IF(K1659="","",K1659-G1659)</f>
        <v>0</v>
      </c>
    </row>
    <row r="1660" customFormat="false" ht="15" hidden="false" customHeight="false" outlineLevel="0" collapsed="false">
      <c r="A1660" s="7" t="n">
        <v>80117765</v>
      </c>
      <c r="B1660" s="7" t="s">
        <v>68</v>
      </c>
      <c r="C1660" s="7" t="s">
        <v>3750</v>
      </c>
      <c r="D1660" s="7" t="s">
        <v>3751</v>
      </c>
      <c r="E1660" s="7" t="s">
        <v>3752</v>
      </c>
      <c r="F1660" s="7" t="s">
        <v>3753</v>
      </c>
      <c r="G1660" s="7" t="n">
        <v>2016</v>
      </c>
      <c r="H1660" s="7" t="s">
        <v>51</v>
      </c>
      <c r="I1660" s="7" t="s">
        <v>451</v>
      </c>
      <c r="J1660" s="7" t="s">
        <v>811</v>
      </c>
      <c r="K1660" s="7" t="n">
        <f aca="false">IFERROR(VALUE(RIGHT(TRIM(F1660),4)),"")</f>
        <v>2017</v>
      </c>
      <c r="L1660" s="7" t="str">
        <f aca="false">IF(TRIM(E1660)="","Unknown",IFERROR(LEFT(TRIM(E1660),FIND(",",TRIM(E1660))-1),TRIM(E1660)))</f>
        <v>United Kingdom</v>
      </c>
      <c r="M1660" s="7" t="str">
        <f aca="false">IFERROR(LEFT(J1660,FIND(",",J1660)-1),J1660)</f>
        <v>Thrillers</v>
      </c>
      <c r="N1660" s="7" t="n">
        <f aca="false">IF(B1660="Movie",IFERROR(VALUE(LEFT(I1660,FIND(" ",I1660)-1)),""),"")</f>
        <v>97</v>
      </c>
      <c r="O1660" s="7" t="str">
        <f aca="false">IF(B1660="TV Show",IFERROR(VALUE(LEFT(I1660,FIND(" ",I1660)-1)),""),"")</f>
        <v/>
      </c>
      <c r="P1660" s="7" t="n">
        <f aca="false">IF(K1660="","",K1660-G1660)</f>
        <v>1</v>
      </c>
    </row>
    <row r="1661" customFormat="false" ht="15" hidden="false" customHeight="false" outlineLevel="0" collapsed="false">
      <c r="A1661" s="7" t="n">
        <v>81002195</v>
      </c>
      <c r="B1661" s="7" t="s">
        <v>68</v>
      </c>
      <c r="C1661" s="7" t="s">
        <v>3754</v>
      </c>
      <c r="D1661" s="7" t="s">
        <v>3755</v>
      </c>
      <c r="E1661" s="7" t="s">
        <v>26</v>
      </c>
      <c r="F1661" s="7" t="s">
        <v>3756</v>
      </c>
      <c r="G1661" s="7" t="n">
        <v>2019</v>
      </c>
      <c r="H1661" s="7" t="s">
        <v>50</v>
      </c>
      <c r="I1661" s="7" t="s">
        <v>447</v>
      </c>
      <c r="J1661" s="7" t="s">
        <v>39</v>
      </c>
      <c r="K1661" s="7" t="n">
        <f aca="false">IFERROR(VALUE(RIGHT(TRIM(F1661),4)),"")</f>
        <v>2019</v>
      </c>
      <c r="L1661" s="7" t="str">
        <f aca="false">IF(TRIM(E1661)="","Unknown",IFERROR(LEFT(TRIM(E1661),FIND(",",TRIM(E1661))-1),TRIM(E1661)))</f>
        <v>United States</v>
      </c>
      <c r="M1661" s="7" t="str">
        <f aca="false">IFERROR(LEFT(J1661,FIND(",",J1661)-1),J1661)</f>
        <v>Documentaries</v>
      </c>
      <c r="N1661" s="7" t="n">
        <f aca="false">IF(B1661="Movie",IFERROR(VALUE(LEFT(I1661,FIND(" ",I1661)-1)),""),"")</f>
        <v>38</v>
      </c>
      <c r="O1661" s="7" t="str">
        <f aca="false">IF(B1661="TV Show",IFERROR(VALUE(LEFT(I1661,FIND(" ",I1661)-1)),""),"")</f>
        <v/>
      </c>
      <c r="P1661" s="7" t="n">
        <f aca="false">IF(K1661="","",K1661-G1661)</f>
        <v>0</v>
      </c>
    </row>
    <row r="1662" customFormat="false" ht="15" hidden="false" customHeight="false" outlineLevel="0" collapsed="false">
      <c r="A1662" s="7" t="n">
        <v>81029429</v>
      </c>
      <c r="B1662" s="7" t="s">
        <v>78</v>
      </c>
      <c r="C1662" s="7" t="s">
        <v>3757</v>
      </c>
      <c r="F1662" s="7" t="s">
        <v>3756</v>
      </c>
      <c r="G1662" s="7" t="n">
        <v>2017</v>
      </c>
      <c r="H1662" s="7" t="s">
        <v>48</v>
      </c>
      <c r="I1662" s="7" t="s">
        <v>82</v>
      </c>
      <c r="J1662" s="7" t="s">
        <v>773</v>
      </c>
      <c r="K1662" s="7" t="n">
        <f aca="false">IFERROR(VALUE(RIGHT(TRIM(F1662),4)),"")</f>
        <v>2019</v>
      </c>
      <c r="L1662" s="7" t="str">
        <f aca="false">IF(TRIM(E1662)="","Unknown",IFERROR(LEFT(TRIM(E1662),FIND(",",TRIM(E1662))-1),TRIM(E1662)))</f>
        <v>Unknown</v>
      </c>
      <c r="M1662" s="7" t="str">
        <f aca="false">IFERROR(LEFT(J1662,FIND(",",J1662)-1),J1662)</f>
        <v>Docuseries</v>
      </c>
      <c r="N1662" s="7" t="str">
        <f aca="false">IF(B1662="Movie",IFERROR(VALUE(LEFT(I1662,FIND(" ",I1662)-1)),""),"")</f>
        <v/>
      </c>
      <c r="O1662" s="7" t="n">
        <f aca="false">IF(B1662="TV Show",IFERROR(VALUE(LEFT(I1662,FIND(" ",I1662)-1)),""),"")</f>
        <v>1</v>
      </c>
      <c r="P1662" s="7" t="n">
        <f aca="false">IF(K1662="","",K1662-G1662)</f>
        <v>2</v>
      </c>
    </row>
    <row r="1663" customFormat="false" ht="15" hidden="false" customHeight="false" outlineLevel="0" collapsed="false">
      <c r="A1663" s="7" t="n">
        <v>81046255</v>
      </c>
      <c r="B1663" s="7" t="s">
        <v>68</v>
      </c>
      <c r="C1663" s="7" t="s">
        <v>3758</v>
      </c>
      <c r="D1663" s="7" t="s">
        <v>3759</v>
      </c>
      <c r="E1663" s="7" t="s">
        <v>2524</v>
      </c>
      <c r="F1663" s="7" t="s">
        <v>3756</v>
      </c>
      <c r="G1663" s="7" t="n">
        <v>2019</v>
      </c>
      <c r="H1663" s="7" t="s">
        <v>48</v>
      </c>
      <c r="I1663" s="7" t="s">
        <v>512</v>
      </c>
      <c r="J1663" s="7" t="s">
        <v>188</v>
      </c>
      <c r="K1663" s="7" t="n">
        <f aca="false">IFERROR(VALUE(RIGHT(TRIM(F1663),4)),"")</f>
        <v>2019</v>
      </c>
      <c r="L1663" s="7" t="str">
        <f aca="false">IF(TRIM(E1663)="","Unknown",IFERROR(LEFT(TRIM(E1663),FIND(",",TRIM(E1663))-1),TRIM(E1663)))</f>
        <v>Austria</v>
      </c>
      <c r="M1663" s="7" t="str">
        <f aca="false">IFERROR(LEFT(J1663,FIND(",",J1663)-1),J1663)</f>
        <v>Dramas</v>
      </c>
      <c r="N1663" s="7" t="n">
        <f aca="false">IF(B1663="Movie",IFERROR(VALUE(LEFT(I1663,FIND(" ",I1663)-1)),""),"")</f>
        <v>101</v>
      </c>
      <c r="O1663" s="7" t="str">
        <f aca="false">IF(B1663="TV Show",IFERROR(VALUE(LEFT(I1663,FIND(" ",I1663)-1)),""),"")</f>
        <v/>
      </c>
      <c r="P1663" s="7" t="n">
        <f aca="false">IF(K1663="","",K1663-G1663)</f>
        <v>0</v>
      </c>
    </row>
    <row r="1664" customFormat="false" ht="15" hidden="false" customHeight="false" outlineLevel="0" collapsed="false">
      <c r="A1664" s="7" t="n">
        <v>80218306</v>
      </c>
      <c r="B1664" s="7" t="s">
        <v>68</v>
      </c>
      <c r="C1664" s="7" t="s">
        <v>3760</v>
      </c>
      <c r="D1664" s="7" t="s">
        <v>1894</v>
      </c>
      <c r="E1664" s="7" t="s">
        <v>26</v>
      </c>
      <c r="F1664" s="7" t="s">
        <v>3756</v>
      </c>
      <c r="G1664" s="7" t="n">
        <v>2019</v>
      </c>
      <c r="H1664" s="7" t="s">
        <v>49</v>
      </c>
      <c r="I1664" s="7" t="s">
        <v>87</v>
      </c>
      <c r="J1664" s="7" t="s">
        <v>2969</v>
      </c>
      <c r="K1664" s="7" t="n">
        <f aca="false">IFERROR(VALUE(RIGHT(TRIM(F1664),4)),"")</f>
        <v>2019</v>
      </c>
      <c r="L1664" s="7" t="str">
        <f aca="false">IF(TRIM(E1664)="","Unknown",IFERROR(LEFT(TRIM(E1664),FIND(",",TRIM(E1664))-1),TRIM(E1664)))</f>
        <v>United States</v>
      </c>
      <c r="M1664" s="7" t="str">
        <f aca="false">IFERROR(LEFT(J1664,FIND(",",J1664)-1),J1664)</f>
        <v>Action &amp; Adventure</v>
      </c>
      <c r="N1664" s="7" t="n">
        <f aca="false">IF(B1664="Movie",IFERROR(VALUE(LEFT(I1664,FIND(" ",I1664)-1)),""),"")</f>
        <v>99</v>
      </c>
      <c r="O1664" s="7" t="str">
        <f aca="false">IF(B1664="TV Show",IFERROR(VALUE(LEFT(I1664,FIND(" ",I1664)-1)),""),"")</f>
        <v/>
      </c>
      <c r="P1664" s="7" t="n">
        <f aca="false">IF(K1664="","",K1664-G1664)</f>
        <v>0</v>
      </c>
    </row>
    <row r="1665" customFormat="false" ht="15" hidden="false" customHeight="false" outlineLevel="0" collapsed="false">
      <c r="A1665" s="7" t="n">
        <v>80211638</v>
      </c>
      <c r="B1665" s="7" t="s">
        <v>68</v>
      </c>
      <c r="C1665" s="7" t="s">
        <v>3761</v>
      </c>
      <c r="D1665" s="7" t="s">
        <v>3762</v>
      </c>
      <c r="E1665" s="7" t="s">
        <v>26</v>
      </c>
      <c r="F1665" s="7" t="s">
        <v>3756</v>
      </c>
      <c r="G1665" s="7" t="n">
        <v>2019</v>
      </c>
      <c r="H1665" s="7" t="s">
        <v>48</v>
      </c>
      <c r="I1665" s="7" t="s">
        <v>470</v>
      </c>
      <c r="J1665" s="7" t="s">
        <v>3763</v>
      </c>
      <c r="K1665" s="7" t="n">
        <f aca="false">IFERROR(VALUE(RIGHT(TRIM(F1665),4)),"")</f>
        <v>2019</v>
      </c>
      <c r="L1665" s="7" t="str">
        <f aca="false">IF(TRIM(E1665)="","Unknown",IFERROR(LEFT(TRIM(E1665),FIND(",",TRIM(E1665))-1),TRIM(E1665)))</f>
        <v>United States</v>
      </c>
      <c r="M1665" s="7" t="str">
        <f aca="false">IFERROR(LEFT(J1665,FIND(",",J1665)-1),J1665)</f>
        <v>Horror Movies</v>
      </c>
      <c r="N1665" s="7" t="n">
        <f aca="false">IF(B1665="Movie",IFERROR(VALUE(LEFT(I1665,FIND(" ",I1665)-1)),""),"")</f>
        <v>91</v>
      </c>
      <c r="O1665" s="7" t="str">
        <f aca="false">IF(B1665="TV Show",IFERROR(VALUE(LEFT(I1665,FIND(" ",I1665)-1)),""),"")</f>
        <v/>
      </c>
      <c r="P1665" s="7" t="n">
        <f aca="false">IF(K1665="","",K1665-G1665)</f>
        <v>0</v>
      </c>
    </row>
    <row r="1666" customFormat="false" ht="15" hidden="false" customHeight="false" outlineLevel="0" collapsed="false">
      <c r="A1666" s="7" t="n">
        <v>80197889</v>
      </c>
      <c r="B1666" s="7" t="s">
        <v>78</v>
      </c>
      <c r="C1666" s="7" t="s">
        <v>3764</v>
      </c>
      <c r="E1666" s="7" t="s">
        <v>26</v>
      </c>
      <c r="F1666" s="7" t="s">
        <v>3756</v>
      </c>
      <c r="G1666" s="7" t="n">
        <v>2019</v>
      </c>
      <c r="H1666" s="7" t="s">
        <v>48</v>
      </c>
      <c r="I1666" s="7" t="s">
        <v>82</v>
      </c>
      <c r="J1666" s="7" t="s">
        <v>1544</v>
      </c>
      <c r="K1666" s="7" t="n">
        <f aca="false">IFERROR(VALUE(RIGHT(TRIM(F1666),4)),"")</f>
        <v>2019</v>
      </c>
      <c r="L1666" s="7" t="str">
        <f aca="false">IF(TRIM(E1666)="","Unknown",IFERROR(LEFT(TRIM(E1666),FIND(",",TRIM(E1666))-1),TRIM(E1666)))</f>
        <v>United States</v>
      </c>
      <c r="M1666" s="7" t="str">
        <f aca="false">IFERROR(LEFT(J1666,FIND(",",J1666)-1),J1666)</f>
        <v>TV Dramas</v>
      </c>
      <c r="N1666" s="7" t="str">
        <f aca="false">IF(B1666="Movie",IFERROR(VALUE(LEFT(I1666,FIND(" ",I1666)-1)),""),"")</f>
        <v/>
      </c>
      <c r="O1666" s="7" t="n">
        <f aca="false">IF(B1666="TV Show",IFERROR(VALUE(LEFT(I1666,FIND(" ",I1666)-1)),""),"")</f>
        <v>1</v>
      </c>
      <c r="P1666" s="7" t="n">
        <f aca="false">IF(K1666="","",K1666-G1666)</f>
        <v>0</v>
      </c>
    </row>
    <row r="1667" customFormat="false" ht="15" hidden="false" customHeight="false" outlineLevel="0" collapsed="false">
      <c r="A1667" s="7" t="n">
        <v>80220758</v>
      </c>
      <c r="B1667" s="7" t="s">
        <v>68</v>
      </c>
      <c r="C1667" s="7" t="s">
        <v>3765</v>
      </c>
      <c r="D1667" s="7" t="s">
        <v>3766</v>
      </c>
      <c r="E1667" s="7" t="s">
        <v>26</v>
      </c>
      <c r="F1667" s="7" t="s">
        <v>3767</v>
      </c>
      <c r="G1667" s="7" t="n">
        <v>2017</v>
      </c>
      <c r="H1667" s="7" t="s">
        <v>48</v>
      </c>
      <c r="I1667" s="7" t="s">
        <v>330</v>
      </c>
      <c r="J1667" s="7" t="s">
        <v>39</v>
      </c>
      <c r="K1667" s="7" t="n">
        <f aca="false">IFERROR(VALUE(RIGHT(TRIM(F1667),4)),"")</f>
        <v>2018</v>
      </c>
      <c r="L1667" s="7" t="str">
        <f aca="false">IF(TRIM(E1667)="","Unknown",IFERROR(LEFT(TRIM(E1667),FIND(",",TRIM(E1667))-1),TRIM(E1667)))</f>
        <v>United States</v>
      </c>
      <c r="M1667" s="7" t="str">
        <f aca="false">IFERROR(LEFT(J1667,FIND(",",J1667)-1),J1667)</f>
        <v>Documentaries</v>
      </c>
      <c r="N1667" s="7" t="n">
        <f aca="false">IF(B1667="Movie",IFERROR(VALUE(LEFT(I1667,FIND(" ",I1667)-1)),""),"")</f>
        <v>103</v>
      </c>
      <c r="O1667" s="7" t="str">
        <f aca="false">IF(B1667="TV Show",IFERROR(VALUE(LEFT(I1667,FIND(" ",I1667)-1)),""),"")</f>
        <v/>
      </c>
      <c r="P1667" s="7" t="n">
        <f aca="false">IF(K1667="","",K1667-G1667)</f>
        <v>1</v>
      </c>
    </row>
    <row r="1668" customFormat="false" ht="15" hidden="false" customHeight="false" outlineLevel="0" collapsed="false">
      <c r="A1668" s="7" t="n">
        <v>81036190</v>
      </c>
      <c r="B1668" s="7" t="s">
        <v>68</v>
      </c>
      <c r="C1668" s="7" t="s">
        <v>3768</v>
      </c>
      <c r="D1668" s="7" t="s">
        <v>3769</v>
      </c>
      <c r="F1668" s="7" t="s">
        <v>3770</v>
      </c>
      <c r="G1668" s="7" t="n">
        <v>2019</v>
      </c>
      <c r="H1668" s="7" t="s">
        <v>48</v>
      </c>
      <c r="I1668" s="7" t="s">
        <v>2540</v>
      </c>
      <c r="J1668" s="7" t="s">
        <v>3771</v>
      </c>
      <c r="K1668" s="7" t="n">
        <f aca="false">IFERROR(VALUE(RIGHT(TRIM(F1668),4)),"")</f>
        <v>2019</v>
      </c>
      <c r="L1668" s="7" t="str">
        <f aca="false">IF(TRIM(E1668)="","Unknown",IFERROR(LEFT(TRIM(E1668),FIND(",",TRIM(E1668))-1),TRIM(E1668)))</f>
        <v>Unknown</v>
      </c>
      <c r="M1668" s="7" t="str">
        <f aca="false">IFERROR(LEFT(J1668,FIND(",",J1668)-1),J1668)</f>
        <v>Comedies</v>
      </c>
      <c r="N1668" s="7" t="n">
        <f aca="false">IF(B1668="Movie",IFERROR(VALUE(LEFT(I1668,FIND(" ",I1668)-1)),""),"")</f>
        <v>30</v>
      </c>
      <c r="O1668" s="7" t="str">
        <f aca="false">IF(B1668="TV Show",IFERROR(VALUE(LEFT(I1668,FIND(" ",I1668)-1)),""),"")</f>
        <v/>
      </c>
      <c r="P1668" s="7" t="n">
        <f aca="false">IF(K1668="","",K1668-G1668)</f>
        <v>0</v>
      </c>
    </row>
    <row r="1669" customFormat="false" ht="15" hidden="false" customHeight="false" outlineLevel="0" collapsed="false">
      <c r="A1669" s="7" t="n">
        <v>80165083</v>
      </c>
      <c r="B1669" s="7" t="s">
        <v>68</v>
      </c>
      <c r="C1669" s="7" t="s">
        <v>3772</v>
      </c>
      <c r="D1669" s="7" t="s">
        <v>3773</v>
      </c>
      <c r="E1669" s="7" t="s">
        <v>31</v>
      </c>
      <c r="F1669" s="7" t="s">
        <v>3774</v>
      </c>
      <c r="G1669" s="7" t="n">
        <v>2016</v>
      </c>
      <c r="H1669" s="7" t="s">
        <v>48</v>
      </c>
      <c r="I1669" s="7" t="s">
        <v>154</v>
      </c>
      <c r="J1669" s="7" t="s">
        <v>367</v>
      </c>
      <c r="K1669" s="7" t="n">
        <f aca="false">IFERROR(VALUE(RIGHT(TRIM(F1669),4)),"")</f>
        <v>2017</v>
      </c>
      <c r="L1669" s="7" t="str">
        <f aca="false">IF(TRIM(E1669)="","Unknown",IFERROR(LEFT(TRIM(E1669),FIND(",",TRIM(E1669))-1),TRIM(E1669)))</f>
        <v>France</v>
      </c>
      <c r="M1669" s="7" t="str">
        <f aca="false">IFERROR(LEFT(J1669,FIND(",",J1669)-1),J1669)</f>
        <v>Action &amp; Adventure</v>
      </c>
      <c r="N1669" s="7" t="n">
        <f aca="false">IF(B1669="Movie",IFERROR(VALUE(LEFT(I1669,FIND(" ",I1669)-1)),""),"")</f>
        <v>80</v>
      </c>
      <c r="O1669" s="7" t="str">
        <f aca="false">IF(B1669="TV Show",IFERROR(VALUE(LEFT(I1669,FIND(" ",I1669)-1)),""),"")</f>
        <v/>
      </c>
      <c r="P1669" s="7" t="n">
        <f aca="false">IF(K1669="","",K1669-G1669)</f>
        <v>1</v>
      </c>
    </row>
    <row r="1670" customFormat="false" ht="15" hidden="false" customHeight="false" outlineLevel="0" collapsed="false">
      <c r="A1670" s="7" t="n">
        <v>80134781</v>
      </c>
      <c r="B1670" s="7" t="s">
        <v>68</v>
      </c>
      <c r="C1670" s="7" t="s">
        <v>3775</v>
      </c>
      <c r="D1670" s="7" t="s">
        <v>3084</v>
      </c>
      <c r="F1670" s="7" t="s">
        <v>3774</v>
      </c>
      <c r="G1670" s="7" t="n">
        <v>2017</v>
      </c>
      <c r="H1670" s="7" t="s">
        <v>48</v>
      </c>
      <c r="I1670" s="7" t="s">
        <v>1191</v>
      </c>
      <c r="J1670" s="7" t="s">
        <v>45</v>
      </c>
      <c r="K1670" s="7" t="n">
        <f aca="false">IFERROR(VALUE(RIGHT(TRIM(F1670),4)),"")</f>
        <v>2017</v>
      </c>
      <c r="L1670" s="7" t="str">
        <f aca="false">IF(TRIM(E1670)="","Unknown",IFERROR(LEFT(TRIM(E1670),FIND(",",TRIM(E1670))-1),TRIM(E1670)))</f>
        <v>Unknown</v>
      </c>
      <c r="M1670" s="7" t="str">
        <f aca="false">IFERROR(LEFT(J1670,FIND(",",J1670)-1),J1670)</f>
        <v>Stand-Up Comedy</v>
      </c>
      <c r="N1670" s="7" t="n">
        <f aca="false">IF(B1670="Movie",IFERROR(VALUE(LEFT(I1670,FIND(" ",I1670)-1)),""),"")</f>
        <v>73</v>
      </c>
      <c r="O1670" s="7" t="str">
        <f aca="false">IF(B1670="TV Show",IFERROR(VALUE(LEFT(I1670,FIND(" ",I1670)-1)),""),"")</f>
        <v/>
      </c>
      <c r="P1670" s="7" t="n">
        <f aca="false">IF(K1670="","",K1670-G1670)</f>
        <v>0</v>
      </c>
    </row>
    <row r="1671" customFormat="false" ht="15" hidden="false" customHeight="false" outlineLevel="0" collapsed="false">
      <c r="A1671" s="7" t="n">
        <v>80100106</v>
      </c>
      <c r="B1671" s="7" t="s">
        <v>78</v>
      </c>
      <c r="C1671" s="7" t="s">
        <v>3776</v>
      </c>
      <c r="E1671" s="7" t="s">
        <v>3777</v>
      </c>
      <c r="F1671" s="7" t="s">
        <v>3778</v>
      </c>
      <c r="G1671" s="7" t="n">
        <v>2016</v>
      </c>
      <c r="H1671" s="7" t="s">
        <v>49</v>
      </c>
      <c r="I1671" s="7" t="s">
        <v>82</v>
      </c>
      <c r="J1671" s="7" t="s">
        <v>256</v>
      </c>
      <c r="K1671" s="7" t="n">
        <f aca="false">IFERROR(VALUE(RIGHT(TRIM(F1671),4)),"")</f>
        <v>2016</v>
      </c>
      <c r="L1671" s="7" t="str">
        <f aca="false">IF(TRIM(E1671)="","Unknown",IFERROR(LEFT(TRIM(E1671),FIND(",",TRIM(E1671))-1),TRIM(E1671)))</f>
        <v>United States</v>
      </c>
      <c r="M1671" s="7" t="str">
        <f aca="false">IFERROR(LEFT(J1671,FIND(",",J1671)-1),J1671)</f>
        <v>Romantic TV Shows</v>
      </c>
      <c r="N1671" s="7" t="str">
        <f aca="false">IF(B1671="Movie",IFERROR(VALUE(LEFT(I1671,FIND(" ",I1671)-1)),""),"")</f>
        <v/>
      </c>
      <c r="O1671" s="7" t="n">
        <f aca="false">IF(B1671="TV Show",IFERROR(VALUE(LEFT(I1671,FIND(" ",I1671)-1)),""),"")</f>
        <v>1</v>
      </c>
      <c r="P1671" s="7" t="n">
        <f aca="false">IF(K1671="","",K1671-G1671)</f>
        <v>0</v>
      </c>
    </row>
    <row r="1672" customFormat="false" ht="15" hidden="false" customHeight="false" outlineLevel="0" collapsed="false">
      <c r="A1672" s="7" t="n">
        <v>80244680</v>
      </c>
      <c r="B1672" s="7" t="s">
        <v>68</v>
      </c>
      <c r="C1672" s="7" t="s">
        <v>3779</v>
      </c>
      <c r="D1672" s="7" t="s">
        <v>3780</v>
      </c>
      <c r="F1672" s="7" t="s">
        <v>3781</v>
      </c>
      <c r="G1672" s="7" t="n">
        <v>2019</v>
      </c>
      <c r="H1672" s="7" t="s">
        <v>226</v>
      </c>
      <c r="I1672" s="7" t="s">
        <v>2540</v>
      </c>
      <c r="J1672" s="7" t="s">
        <v>341</v>
      </c>
      <c r="K1672" s="7" t="n">
        <f aca="false">IFERROR(VALUE(RIGHT(TRIM(F1672),4)),"")</f>
        <v>2019</v>
      </c>
      <c r="L1672" s="7" t="str">
        <f aca="false">IF(TRIM(E1672)="","Unknown",IFERROR(LEFT(TRIM(E1672),FIND(",",TRIM(E1672))-1),TRIM(E1672)))</f>
        <v>Unknown</v>
      </c>
      <c r="M1672" s="7" t="str">
        <f aca="false">IFERROR(LEFT(J1672,FIND(",",J1672)-1),J1672)</f>
        <v>Documentaries</v>
      </c>
      <c r="N1672" s="7" t="n">
        <f aca="false">IF(B1672="Movie",IFERROR(VALUE(LEFT(I1672,FIND(" ",I1672)-1)),""),"")</f>
        <v>30</v>
      </c>
      <c r="O1672" s="7" t="str">
        <f aca="false">IF(B1672="TV Show",IFERROR(VALUE(LEFT(I1672,FIND(" ",I1672)-1)),""),"")</f>
        <v/>
      </c>
      <c r="P1672" s="7" t="n">
        <f aca="false">IF(K1672="","",K1672-G1672)</f>
        <v>0</v>
      </c>
    </row>
    <row r="1673" customFormat="false" ht="15" hidden="false" customHeight="false" outlineLevel="0" collapsed="false">
      <c r="A1673" s="7" t="n">
        <v>81057229</v>
      </c>
      <c r="B1673" s="7" t="s">
        <v>68</v>
      </c>
      <c r="C1673" s="7" t="s">
        <v>3782</v>
      </c>
      <c r="D1673" s="7" t="s">
        <v>3783</v>
      </c>
      <c r="E1673" s="7" t="s">
        <v>27</v>
      </c>
      <c r="F1673" s="7" t="s">
        <v>3781</v>
      </c>
      <c r="G1673" s="7" t="n">
        <v>2018</v>
      </c>
      <c r="H1673" s="7" t="s">
        <v>48</v>
      </c>
      <c r="I1673" s="7" t="s">
        <v>749</v>
      </c>
      <c r="J1673" s="7" t="s">
        <v>139</v>
      </c>
      <c r="K1673" s="7" t="n">
        <f aca="false">IFERROR(VALUE(RIGHT(TRIM(F1673),4)),"")</f>
        <v>2019</v>
      </c>
      <c r="L1673" s="7" t="str">
        <f aca="false">IF(TRIM(E1673)="","Unknown",IFERROR(LEFT(TRIM(E1673),FIND(",",TRIM(E1673))-1),TRIM(E1673)))</f>
        <v>India</v>
      </c>
      <c r="M1673" s="7" t="str">
        <f aca="false">IFERROR(LEFT(J1673,FIND(",",J1673)-1),J1673)</f>
        <v>Action &amp; Adventure</v>
      </c>
      <c r="N1673" s="7" t="n">
        <f aca="false">IF(B1673="Movie",IFERROR(VALUE(LEFT(I1673,FIND(" ",I1673)-1)),""),"")</f>
        <v>137</v>
      </c>
      <c r="O1673" s="7" t="str">
        <f aca="false">IF(B1673="TV Show",IFERROR(VALUE(LEFT(I1673,FIND(" ",I1673)-1)),""),"")</f>
        <v/>
      </c>
      <c r="P1673" s="7" t="n">
        <f aca="false">IF(K1673="","",K1673-G1673)</f>
        <v>1</v>
      </c>
    </row>
    <row r="1674" customFormat="false" ht="15" hidden="false" customHeight="false" outlineLevel="0" collapsed="false">
      <c r="A1674" s="7" t="n">
        <v>80213536</v>
      </c>
      <c r="B1674" s="7" t="s">
        <v>78</v>
      </c>
      <c r="C1674" s="7" t="s">
        <v>3784</v>
      </c>
      <c r="E1674" s="7" t="s">
        <v>30</v>
      </c>
      <c r="F1674" s="7" t="s">
        <v>3785</v>
      </c>
      <c r="G1674" s="7" t="n">
        <v>2018</v>
      </c>
      <c r="H1674" s="7" t="s">
        <v>48</v>
      </c>
      <c r="I1674" s="7" t="s">
        <v>82</v>
      </c>
      <c r="J1674" s="7" t="s">
        <v>3116</v>
      </c>
      <c r="K1674" s="7" t="n">
        <f aca="false">IFERROR(VALUE(RIGHT(TRIM(F1674),4)),"")</f>
        <v>2018</v>
      </c>
      <c r="L1674" s="7" t="str">
        <f aca="false">IF(TRIM(E1674)="","Unknown",IFERROR(LEFT(TRIM(E1674),FIND(",",TRIM(E1674))-1),TRIM(E1674)))</f>
        <v>Japan</v>
      </c>
      <c r="M1674" s="7" t="str">
        <f aca="false">IFERROR(LEFT(J1674,FIND(",",J1674)-1),J1674)</f>
        <v>International TV Shows</v>
      </c>
      <c r="N1674" s="7" t="str">
        <f aca="false">IF(B1674="Movie",IFERROR(VALUE(LEFT(I1674,FIND(" ",I1674)-1)),""),"")</f>
        <v/>
      </c>
      <c r="O1674" s="7" t="n">
        <f aca="false">IF(B1674="TV Show",IFERROR(VALUE(LEFT(I1674,FIND(" ",I1674)-1)),""),"")</f>
        <v>1</v>
      </c>
      <c r="P1674" s="7" t="n">
        <f aca="false">IF(K1674="","",K1674-G1674)</f>
        <v>0</v>
      </c>
    </row>
    <row r="1675" customFormat="false" ht="15" hidden="false" customHeight="false" outlineLevel="0" collapsed="false">
      <c r="A1675" s="7" t="n">
        <v>80151384</v>
      </c>
      <c r="B1675" s="7" t="s">
        <v>68</v>
      </c>
      <c r="C1675" s="7" t="s">
        <v>3786</v>
      </c>
      <c r="D1675" s="7" t="s">
        <v>3787</v>
      </c>
      <c r="E1675" s="7" t="s">
        <v>26</v>
      </c>
      <c r="F1675" s="7" t="s">
        <v>3785</v>
      </c>
      <c r="G1675" s="7" t="n">
        <v>2018</v>
      </c>
      <c r="H1675" s="7" t="s">
        <v>49</v>
      </c>
      <c r="I1675" s="7" t="s">
        <v>114</v>
      </c>
      <c r="J1675" s="7" t="s">
        <v>45</v>
      </c>
      <c r="K1675" s="7" t="n">
        <f aca="false">IFERROR(VALUE(RIGHT(TRIM(F1675),4)),"")</f>
        <v>2018</v>
      </c>
      <c r="L1675" s="7" t="str">
        <f aca="false">IF(TRIM(E1675)="","Unknown",IFERROR(LEFT(TRIM(E1675),FIND(",",TRIM(E1675))-1),TRIM(E1675)))</f>
        <v>United States</v>
      </c>
      <c r="M1675" s="7" t="str">
        <f aca="false">IFERROR(LEFT(J1675,FIND(",",J1675)-1),J1675)</f>
        <v>Stand-Up Comedy</v>
      </c>
      <c r="N1675" s="7" t="n">
        <f aca="false">IF(B1675="Movie",IFERROR(VALUE(LEFT(I1675,FIND(" ",I1675)-1)),""),"")</f>
        <v>58</v>
      </c>
      <c r="O1675" s="7" t="str">
        <f aca="false">IF(B1675="TV Show",IFERROR(VALUE(LEFT(I1675,FIND(" ",I1675)-1)),""),"")</f>
        <v/>
      </c>
      <c r="P1675" s="7" t="n">
        <f aca="false">IF(K1675="","",K1675-G1675)</f>
        <v>0</v>
      </c>
    </row>
    <row r="1676" customFormat="false" ht="15" hidden="false" customHeight="false" outlineLevel="0" collapsed="false">
      <c r="A1676" s="7" t="n">
        <v>80098046</v>
      </c>
      <c r="B1676" s="7" t="s">
        <v>78</v>
      </c>
      <c r="C1676" s="7" t="s">
        <v>3788</v>
      </c>
      <c r="E1676" s="7" t="s">
        <v>32</v>
      </c>
      <c r="F1676" s="7" t="s">
        <v>3789</v>
      </c>
      <c r="G1676" s="7" t="n">
        <v>2014</v>
      </c>
      <c r="H1676" s="7" t="s">
        <v>49</v>
      </c>
      <c r="I1676" s="7" t="s">
        <v>82</v>
      </c>
      <c r="J1676" s="7" t="s">
        <v>637</v>
      </c>
      <c r="K1676" s="7" t="n">
        <f aca="false">IFERROR(VALUE(RIGHT(TRIM(F1676),4)),"")</f>
        <v>2017</v>
      </c>
      <c r="L1676" s="7" t="str">
        <f aca="false">IF(TRIM(E1676)="","Unknown",IFERROR(LEFT(TRIM(E1676),FIND(",",TRIM(E1676))-1),TRIM(E1676)))</f>
        <v>South Korea</v>
      </c>
      <c r="M1676" s="7" t="str">
        <f aca="false">IFERROR(LEFT(J1676,FIND(",",J1676)-1),J1676)</f>
        <v>International TV Shows</v>
      </c>
      <c r="N1676" s="7" t="str">
        <f aca="false">IF(B1676="Movie",IFERROR(VALUE(LEFT(I1676,FIND(" ",I1676)-1)),""),"")</f>
        <v/>
      </c>
      <c r="O1676" s="7" t="n">
        <f aca="false">IF(B1676="TV Show",IFERROR(VALUE(LEFT(I1676,FIND(" ",I1676)-1)),""),"")</f>
        <v>1</v>
      </c>
      <c r="P1676" s="7" t="n">
        <f aca="false">IF(K1676="","",K1676-G1676)</f>
        <v>3</v>
      </c>
    </row>
    <row r="1677" customFormat="false" ht="15" hidden="false" customHeight="false" outlineLevel="0" collapsed="false">
      <c r="A1677" s="7" t="n">
        <v>80091779</v>
      </c>
      <c r="B1677" s="7" t="s">
        <v>78</v>
      </c>
      <c r="C1677" s="7" t="s">
        <v>3790</v>
      </c>
      <c r="E1677" s="7" t="s">
        <v>32</v>
      </c>
      <c r="F1677" s="7" t="s">
        <v>3789</v>
      </c>
      <c r="G1677" s="7" t="n">
        <v>2015</v>
      </c>
      <c r="H1677" s="7" t="s">
        <v>49</v>
      </c>
      <c r="I1677" s="7" t="s">
        <v>82</v>
      </c>
      <c r="J1677" s="7" t="s">
        <v>637</v>
      </c>
      <c r="K1677" s="7" t="n">
        <f aca="false">IFERROR(VALUE(RIGHT(TRIM(F1677),4)),"")</f>
        <v>2017</v>
      </c>
      <c r="L1677" s="7" t="str">
        <f aca="false">IF(TRIM(E1677)="","Unknown",IFERROR(LEFT(TRIM(E1677),FIND(",",TRIM(E1677))-1),TRIM(E1677)))</f>
        <v>South Korea</v>
      </c>
      <c r="M1677" s="7" t="str">
        <f aca="false">IFERROR(LEFT(J1677,FIND(",",J1677)-1),J1677)</f>
        <v>International TV Shows</v>
      </c>
      <c r="N1677" s="7" t="str">
        <f aca="false">IF(B1677="Movie",IFERROR(VALUE(LEFT(I1677,FIND(" ",I1677)-1)),""),"")</f>
        <v/>
      </c>
      <c r="O1677" s="7" t="n">
        <f aca="false">IF(B1677="TV Show",IFERROR(VALUE(LEFT(I1677,FIND(" ",I1677)-1)),""),"")</f>
        <v>1</v>
      </c>
      <c r="P1677" s="7" t="n">
        <f aca="false">IF(K1677="","",K1677-G1677)</f>
        <v>2</v>
      </c>
    </row>
    <row r="1678" customFormat="false" ht="15" hidden="false" customHeight="false" outlineLevel="0" collapsed="false">
      <c r="A1678" s="7" t="n">
        <v>80091783</v>
      </c>
      <c r="B1678" s="7" t="s">
        <v>78</v>
      </c>
      <c r="C1678" s="7" t="s">
        <v>3791</v>
      </c>
      <c r="E1678" s="7" t="s">
        <v>32</v>
      </c>
      <c r="F1678" s="7" t="s">
        <v>3789</v>
      </c>
      <c r="G1678" s="7" t="n">
        <v>2012</v>
      </c>
      <c r="H1678" s="7" t="s">
        <v>49</v>
      </c>
      <c r="I1678" s="7" t="s">
        <v>82</v>
      </c>
      <c r="J1678" s="7" t="s">
        <v>637</v>
      </c>
      <c r="K1678" s="7" t="n">
        <f aca="false">IFERROR(VALUE(RIGHT(TRIM(F1678),4)),"")</f>
        <v>2017</v>
      </c>
      <c r="L1678" s="7" t="str">
        <f aca="false">IF(TRIM(E1678)="","Unknown",IFERROR(LEFT(TRIM(E1678),FIND(",",TRIM(E1678))-1),TRIM(E1678)))</f>
        <v>South Korea</v>
      </c>
      <c r="M1678" s="7" t="str">
        <f aca="false">IFERROR(LEFT(J1678,FIND(",",J1678)-1),J1678)</f>
        <v>International TV Shows</v>
      </c>
      <c r="N1678" s="7" t="str">
        <f aca="false">IF(B1678="Movie",IFERROR(VALUE(LEFT(I1678,FIND(" ",I1678)-1)),""),"")</f>
        <v/>
      </c>
      <c r="O1678" s="7" t="n">
        <f aca="false">IF(B1678="TV Show",IFERROR(VALUE(LEFT(I1678,FIND(" ",I1678)-1)),""),"")</f>
        <v>1</v>
      </c>
      <c r="P1678" s="7" t="n">
        <f aca="false">IF(K1678="","",K1678-G1678)</f>
        <v>5</v>
      </c>
    </row>
    <row r="1679" customFormat="false" ht="15" hidden="false" customHeight="false" outlineLevel="0" collapsed="false">
      <c r="A1679" s="7" t="n">
        <v>80131167</v>
      </c>
      <c r="B1679" s="7" t="s">
        <v>68</v>
      </c>
      <c r="C1679" s="7" t="s">
        <v>3792</v>
      </c>
      <c r="D1679" s="7" t="s">
        <v>3793</v>
      </c>
      <c r="E1679" s="7" t="s">
        <v>28</v>
      </c>
      <c r="F1679" s="7" t="s">
        <v>3789</v>
      </c>
      <c r="G1679" s="7" t="n">
        <v>2016</v>
      </c>
      <c r="H1679" s="7" t="s">
        <v>226</v>
      </c>
      <c r="I1679" s="7" t="s">
        <v>73</v>
      </c>
      <c r="J1679" s="7" t="s">
        <v>39</v>
      </c>
      <c r="K1679" s="7" t="n">
        <f aca="false">IFERROR(VALUE(RIGHT(TRIM(F1679),4)),"")</f>
        <v>2017</v>
      </c>
      <c r="L1679" s="7" t="str">
        <f aca="false">IF(TRIM(E1679)="","Unknown",IFERROR(LEFT(TRIM(E1679),FIND(",",TRIM(E1679))-1),TRIM(E1679)))</f>
        <v>United Kingdom</v>
      </c>
      <c r="M1679" s="7" t="str">
        <f aca="false">IFERROR(LEFT(J1679,FIND(",",J1679)-1),J1679)</f>
        <v>Documentaries</v>
      </c>
      <c r="N1679" s="7" t="n">
        <f aca="false">IF(B1679="Movie",IFERROR(VALUE(LEFT(I1679,FIND(" ",I1679)-1)),""),"")</f>
        <v>90</v>
      </c>
      <c r="O1679" s="7" t="str">
        <f aca="false">IF(B1679="TV Show",IFERROR(VALUE(LEFT(I1679,FIND(" ",I1679)-1)),""),"")</f>
        <v/>
      </c>
      <c r="P1679" s="7" t="n">
        <f aca="false">IF(K1679="","",K1679-G1679)</f>
        <v>1</v>
      </c>
    </row>
    <row r="1680" customFormat="false" ht="15" hidden="false" customHeight="false" outlineLevel="0" collapsed="false">
      <c r="A1680" s="7" t="n">
        <v>80098047</v>
      </c>
      <c r="B1680" s="7" t="s">
        <v>78</v>
      </c>
      <c r="C1680" s="7" t="s">
        <v>3794</v>
      </c>
      <c r="E1680" s="7" t="s">
        <v>32</v>
      </c>
      <c r="F1680" s="7" t="s">
        <v>3789</v>
      </c>
      <c r="G1680" s="7" t="n">
        <v>2015</v>
      </c>
      <c r="H1680" s="7" t="s">
        <v>49</v>
      </c>
      <c r="I1680" s="7" t="s">
        <v>82</v>
      </c>
      <c r="J1680" s="7" t="s">
        <v>1877</v>
      </c>
      <c r="K1680" s="7" t="n">
        <f aca="false">IFERROR(VALUE(RIGHT(TRIM(F1680),4)),"")</f>
        <v>2017</v>
      </c>
      <c r="L1680" s="7" t="str">
        <f aca="false">IF(TRIM(E1680)="","Unknown",IFERROR(LEFT(TRIM(E1680),FIND(",",TRIM(E1680))-1),TRIM(E1680)))</f>
        <v>South Korea</v>
      </c>
      <c r="M1680" s="7" t="str">
        <f aca="false">IFERROR(LEFT(J1680,FIND(",",J1680)-1),J1680)</f>
        <v>Crime TV Shows</v>
      </c>
      <c r="N1680" s="7" t="str">
        <f aca="false">IF(B1680="Movie",IFERROR(VALUE(LEFT(I1680,FIND(" ",I1680)-1)),""),"")</f>
        <v/>
      </c>
      <c r="O1680" s="7" t="n">
        <f aca="false">IF(B1680="TV Show",IFERROR(VALUE(LEFT(I1680,FIND(" ",I1680)-1)),""),"")</f>
        <v>1</v>
      </c>
      <c r="P1680" s="7" t="n">
        <f aca="false">IF(K1680="","",K1680-G1680)</f>
        <v>2</v>
      </c>
    </row>
    <row r="1681" customFormat="false" ht="15" hidden="false" customHeight="false" outlineLevel="0" collapsed="false">
      <c r="A1681" s="7" t="n">
        <v>80091781</v>
      </c>
      <c r="B1681" s="7" t="s">
        <v>78</v>
      </c>
      <c r="C1681" s="7" t="s">
        <v>3795</v>
      </c>
      <c r="E1681" s="7" t="s">
        <v>32</v>
      </c>
      <c r="F1681" s="7" t="s">
        <v>3789</v>
      </c>
      <c r="G1681" s="7" t="n">
        <v>2014</v>
      </c>
      <c r="H1681" s="7" t="s">
        <v>49</v>
      </c>
      <c r="I1681" s="7" t="s">
        <v>82</v>
      </c>
      <c r="J1681" s="7" t="s">
        <v>637</v>
      </c>
      <c r="K1681" s="7" t="n">
        <f aca="false">IFERROR(VALUE(RIGHT(TRIM(F1681),4)),"")</f>
        <v>2017</v>
      </c>
      <c r="L1681" s="7" t="str">
        <f aca="false">IF(TRIM(E1681)="","Unknown",IFERROR(LEFT(TRIM(E1681),FIND(",",TRIM(E1681))-1),TRIM(E1681)))</f>
        <v>South Korea</v>
      </c>
      <c r="M1681" s="7" t="str">
        <f aca="false">IFERROR(LEFT(J1681,FIND(",",J1681)-1),J1681)</f>
        <v>International TV Shows</v>
      </c>
      <c r="N1681" s="7" t="str">
        <f aca="false">IF(B1681="Movie",IFERROR(VALUE(LEFT(I1681,FIND(" ",I1681)-1)),""),"")</f>
        <v/>
      </c>
      <c r="O1681" s="7" t="n">
        <f aca="false">IF(B1681="TV Show",IFERROR(VALUE(LEFT(I1681,FIND(" ",I1681)-1)),""),"")</f>
        <v>1</v>
      </c>
      <c r="P1681" s="7" t="n">
        <f aca="false">IF(K1681="","",K1681-G1681)</f>
        <v>3</v>
      </c>
    </row>
    <row r="1682" customFormat="false" ht="15" hidden="false" customHeight="false" outlineLevel="0" collapsed="false">
      <c r="A1682" s="7" t="n">
        <v>80091778</v>
      </c>
      <c r="B1682" s="7" t="s">
        <v>78</v>
      </c>
      <c r="C1682" s="7" t="s">
        <v>3796</v>
      </c>
      <c r="E1682" s="7" t="s">
        <v>32</v>
      </c>
      <c r="F1682" s="7" t="s">
        <v>3789</v>
      </c>
      <c r="G1682" s="7" t="n">
        <v>2015</v>
      </c>
      <c r="H1682" s="7" t="s">
        <v>49</v>
      </c>
      <c r="I1682" s="7" t="s">
        <v>82</v>
      </c>
      <c r="J1682" s="7" t="s">
        <v>637</v>
      </c>
      <c r="K1682" s="7" t="n">
        <f aca="false">IFERROR(VALUE(RIGHT(TRIM(F1682),4)),"")</f>
        <v>2017</v>
      </c>
      <c r="L1682" s="7" t="str">
        <f aca="false">IF(TRIM(E1682)="","Unknown",IFERROR(LEFT(TRIM(E1682),FIND(",",TRIM(E1682))-1),TRIM(E1682)))</f>
        <v>South Korea</v>
      </c>
      <c r="M1682" s="7" t="str">
        <f aca="false">IFERROR(LEFT(J1682,FIND(",",J1682)-1),J1682)</f>
        <v>International TV Shows</v>
      </c>
      <c r="N1682" s="7" t="str">
        <f aca="false">IF(B1682="Movie",IFERROR(VALUE(LEFT(I1682,FIND(" ",I1682)-1)),""),"")</f>
        <v/>
      </c>
      <c r="O1682" s="7" t="n">
        <f aca="false">IF(B1682="TV Show",IFERROR(VALUE(LEFT(I1682,FIND(" ",I1682)-1)),""),"")</f>
        <v>1</v>
      </c>
      <c r="P1682" s="7" t="n">
        <f aca="false">IF(K1682="","",K1682-G1682)</f>
        <v>2</v>
      </c>
    </row>
    <row r="1683" customFormat="false" ht="15" hidden="false" customHeight="false" outlineLevel="0" collapsed="false">
      <c r="A1683" s="7" t="n">
        <v>70212980</v>
      </c>
      <c r="B1683" s="7" t="s">
        <v>78</v>
      </c>
      <c r="C1683" s="7" t="s">
        <v>3797</v>
      </c>
      <c r="E1683" s="7" t="s">
        <v>230</v>
      </c>
      <c r="F1683" s="7" t="s">
        <v>3798</v>
      </c>
      <c r="G1683" s="7" t="n">
        <v>1989</v>
      </c>
      <c r="H1683" s="7" t="s">
        <v>55</v>
      </c>
      <c r="I1683" s="7" t="s">
        <v>82</v>
      </c>
      <c r="J1683" s="7" t="s">
        <v>44</v>
      </c>
      <c r="K1683" s="7" t="n">
        <f aca="false">IFERROR(VALUE(RIGHT(TRIM(F1683),4)),"")</f>
        <v>2016</v>
      </c>
      <c r="L1683" s="7" t="str">
        <f aca="false">IF(TRIM(E1683)="","Unknown",IFERROR(LEFT(TRIM(E1683),FIND(",",TRIM(E1683))-1),TRIM(E1683)))</f>
        <v>United States</v>
      </c>
      <c r="M1683" s="7" t="str">
        <f aca="false">IFERROR(LEFT(J1683,FIND(",",J1683)-1),J1683)</f>
        <v>Kids' TV</v>
      </c>
      <c r="N1683" s="7" t="str">
        <f aca="false">IF(B1683="Movie",IFERROR(VALUE(LEFT(I1683,FIND(" ",I1683)-1)),""),"")</f>
        <v/>
      </c>
      <c r="O1683" s="7" t="n">
        <f aca="false">IF(B1683="TV Show",IFERROR(VALUE(LEFT(I1683,FIND(" ",I1683)-1)),""),"")</f>
        <v>1</v>
      </c>
      <c r="P1683" s="7" t="n">
        <f aca="false">IF(K1683="","",K1683-G1683)</f>
        <v>27</v>
      </c>
    </row>
    <row r="1684" customFormat="false" ht="15" hidden="false" customHeight="false" outlineLevel="0" collapsed="false">
      <c r="A1684" s="7" t="n">
        <v>80038335</v>
      </c>
      <c r="B1684" s="7" t="s">
        <v>68</v>
      </c>
      <c r="C1684" s="7" t="s">
        <v>3799</v>
      </c>
      <c r="D1684" s="7" t="s">
        <v>3061</v>
      </c>
      <c r="E1684" s="7" t="s">
        <v>26</v>
      </c>
      <c r="F1684" s="7" t="s">
        <v>3800</v>
      </c>
      <c r="G1684" s="7" t="n">
        <v>2015</v>
      </c>
      <c r="H1684" s="7" t="s">
        <v>48</v>
      </c>
      <c r="I1684" s="7" t="s">
        <v>107</v>
      </c>
      <c r="J1684" s="7" t="s">
        <v>45</v>
      </c>
      <c r="K1684" s="7" t="n">
        <f aca="false">IFERROR(VALUE(RIGHT(TRIM(F1684),4)),"")</f>
        <v>2015</v>
      </c>
      <c r="L1684" s="7" t="str">
        <f aca="false">IF(TRIM(E1684)="","Unknown",IFERROR(LEFT(TRIM(E1684),FIND(",",TRIM(E1684))-1),TRIM(E1684)))</f>
        <v>United States</v>
      </c>
      <c r="M1684" s="7" t="str">
        <f aca="false">IFERROR(LEFT(J1684,FIND(",",J1684)-1),J1684)</f>
        <v>Stand-Up Comedy</v>
      </c>
      <c r="N1684" s="7" t="n">
        <f aca="false">IF(B1684="Movie",IFERROR(VALUE(LEFT(I1684,FIND(" ",I1684)-1)),""),"")</f>
        <v>78</v>
      </c>
      <c r="O1684" s="7" t="str">
        <f aca="false">IF(B1684="TV Show",IFERROR(VALUE(LEFT(I1684,FIND(" ",I1684)-1)),""),"")</f>
        <v/>
      </c>
      <c r="P1684" s="7" t="n">
        <f aca="false">IF(K1684="","",K1684-G1684)</f>
        <v>0</v>
      </c>
    </row>
    <row r="1685" customFormat="false" ht="15" hidden="false" customHeight="false" outlineLevel="0" collapsed="false">
      <c r="A1685" s="7" t="n">
        <v>80011852</v>
      </c>
      <c r="B1685" s="7" t="s">
        <v>68</v>
      </c>
      <c r="C1685" s="7" t="s">
        <v>3801</v>
      </c>
      <c r="D1685" s="7" t="s">
        <v>3802</v>
      </c>
      <c r="E1685" s="7" t="s">
        <v>26</v>
      </c>
      <c r="F1685" s="7" t="s">
        <v>3800</v>
      </c>
      <c r="G1685" s="7" t="n">
        <v>2015</v>
      </c>
      <c r="H1685" s="7" t="s">
        <v>49</v>
      </c>
      <c r="I1685" s="7" t="s">
        <v>613</v>
      </c>
      <c r="J1685" s="7" t="s">
        <v>509</v>
      </c>
      <c r="K1685" s="7" t="n">
        <f aca="false">IFERROR(VALUE(RIGHT(TRIM(F1685),4)),"")</f>
        <v>2015</v>
      </c>
      <c r="L1685" s="7" t="str">
        <f aca="false">IF(TRIM(E1685)="","Unknown",IFERROR(LEFT(TRIM(E1685),FIND(",",TRIM(E1685))-1),TRIM(E1685)))</f>
        <v>United States</v>
      </c>
      <c r="M1685" s="7" t="str">
        <f aca="false">IFERROR(LEFT(J1685,FIND(",",J1685)-1),J1685)</f>
        <v>Documentaries</v>
      </c>
      <c r="N1685" s="7" t="n">
        <f aca="false">IF(B1685="Movie",IFERROR(VALUE(LEFT(I1685,FIND(" ",I1685)-1)),""),"")</f>
        <v>84</v>
      </c>
      <c r="O1685" s="7" t="str">
        <f aca="false">IF(B1685="TV Show",IFERROR(VALUE(LEFT(I1685,FIND(" ",I1685)-1)),""),"")</f>
        <v/>
      </c>
      <c r="P1685" s="7" t="n">
        <f aca="false">IF(K1685="","",K1685-G1685)</f>
        <v>0</v>
      </c>
    </row>
    <row r="1686" customFormat="false" ht="15" hidden="false" customHeight="false" outlineLevel="0" collapsed="false">
      <c r="A1686" s="7" t="n">
        <v>80121348</v>
      </c>
      <c r="B1686" s="7" t="s">
        <v>68</v>
      </c>
      <c r="C1686" s="7" t="s">
        <v>3803</v>
      </c>
      <c r="D1686" s="7" t="s">
        <v>3804</v>
      </c>
      <c r="E1686" s="7" t="s">
        <v>26</v>
      </c>
      <c r="F1686" s="7" t="s">
        <v>3805</v>
      </c>
      <c r="G1686" s="7" t="n">
        <v>2016</v>
      </c>
      <c r="H1686" s="7" t="s">
        <v>51</v>
      </c>
      <c r="I1686" s="7" t="s">
        <v>326</v>
      </c>
      <c r="J1686" s="7" t="s">
        <v>566</v>
      </c>
      <c r="K1686" s="7" t="n">
        <f aca="false">IFERROR(VALUE(RIGHT(TRIM(F1686),4)),"")</f>
        <v>2019</v>
      </c>
      <c r="L1686" s="7" t="str">
        <f aca="false">IF(TRIM(E1686)="","Unknown",IFERROR(LEFT(TRIM(E1686),FIND(",",TRIM(E1686))-1),TRIM(E1686)))</f>
        <v>United States</v>
      </c>
      <c r="M1686" s="7" t="str">
        <f aca="false">IFERROR(LEFT(J1686,FIND(",",J1686)-1),J1686)</f>
        <v>Dramas</v>
      </c>
      <c r="N1686" s="7" t="n">
        <f aca="false">IF(B1686="Movie",IFERROR(VALUE(LEFT(I1686,FIND(" ",I1686)-1)),""),"")</f>
        <v>111</v>
      </c>
      <c r="O1686" s="7" t="str">
        <f aca="false">IF(B1686="TV Show",IFERROR(VALUE(LEFT(I1686,FIND(" ",I1686)-1)),""),"")</f>
        <v/>
      </c>
      <c r="P1686" s="7" t="n">
        <f aca="false">IF(K1686="","",K1686-G1686)</f>
        <v>3</v>
      </c>
    </row>
    <row r="1687" customFormat="false" ht="15" hidden="false" customHeight="false" outlineLevel="0" collapsed="false">
      <c r="A1687" s="7" t="n">
        <v>81011598</v>
      </c>
      <c r="B1687" s="7" t="s">
        <v>68</v>
      </c>
      <c r="C1687" s="7" t="s">
        <v>3806</v>
      </c>
      <c r="D1687" s="7" t="s">
        <v>3807</v>
      </c>
      <c r="E1687" s="7" t="s">
        <v>26</v>
      </c>
      <c r="F1687" s="7" t="s">
        <v>3805</v>
      </c>
      <c r="G1687" s="7" t="n">
        <v>2019</v>
      </c>
      <c r="H1687" s="7" t="s">
        <v>48</v>
      </c>
      <c r="I1687" s="7" t="s">
        <v>1317</v>
      </c>
      <c r="J1687" s="7" t="s">
        <v>45</v>
      </c>
      <c r="K1687" s="7" t="n">
        <f aca="false">IFERROR(VALUE(RIGHT(TRIM(F1687),4)),"")</f>
        <v>2019</v>
      </c>
      <c r="L1687" s="7" t="str">
        <f aca="false">IF(TRIM(E1687)="","Unknown",IFERROR(LEFT(TRIM(E1687),FIND(",",TRIM(E1687))-1),TRIM(E1687)))</f>
        <v>United States</v>
      </c>
      <c r="M1687" s="7" t="str">
        <f aca="false">IFERROR(LEFT(J1687,FIND(",",J1687)-1),J1687)</f>
        <v>Stand-Up Comedy</v>
      </c>
      <c r="N1687" s="7" t="n">
        <f aca="false">IF(B1687="Movie",IFERROR(VALUE(LEFT(I1687,FIND(" ",I1687)-1)),""),"")</f>
        <v>66</v>
      </c>
      <c r="O1687" s="7" t="str">
        <f aca="false">IF(B1687="TV Show",IFERROR(VALUE(LEFT(I1687,FIND(" ",I1687)-1)),""),"")</f>
        <v/>
      </c>
      <c r="P1687" s="7" t="n">
        <f aca="false">IF(K1687="","",K1687-G1687)</f>
        <v>0</v>
      </c>
    </row>
    <row r="1688" customFormat="false" ht="15" hidden="false" customHeight="false" outlineLevel="0" collapsed="false">
      <c r="A1688" s="7" t="n">
        <v>81005364</v>
      </c>
      <c r="B1688" s="7" t="s">
        <v>68</v>
      </c>
      <c r="C1688" s="7" t="s">
        <v>3808</v>
      </c>
      <c r="D1688" s="7" t="s">
        <v>3809</v>
      </c>
      <c r="E1688" s="7" t="s">
        <v>27</v>
      </c>
      <c r="F1688" s="7" t="s">
        <v>3805</v>
      </c>
      <c r="G1688" s="7" t="n">
        <v>2018</v>
      </c>
      <c r="H1688" s="7" t="s">
        <v>49</v>
      </c>
      <c r="I1688" s="7" t="s">
        <v>1779</v>
      </c>
      <c r="J1688" s="7" t="s">
        <v>217</v>
      </c>
      <c r="K1688" s="7" t="n">
        <f aca="false">IFERROR(VALUE(RIGHT(TRIM(F1688),4)),"")</f>
        <v>2019</v>
      </c>
      <c r="L1688" s="7" t="str">
        <f aca="false">IF(TRIM(E1688)="","Unknown",IFERROR(LEFT(TRIM(E1688),FIND(",",TRIM(E1688))-1),TRIM(E1688)))</f>
        <v>India</v>
      </c>
      <c r="M1688" s="7" t="str">
        <f aca="false">IFERROR(LEFT(J1688,FIND(",",J1688)-1),J1688)</f>
        <v>Comedies</v>
      </c>
      <c r="N1688" s="7" t="n">
        <f aca="false">IF(B1688="Movie",IFERROR(VALUE(LEFT(I1688,FIND(" ",I1688)-1)),""),"")</f>
        <v>159</v>
      </c>
      <c r="O1688" s="7" t="str">
        <f aca="false">IF(B1688="TV Show",IFERROR(VALUE(LEFT(I1688,FIND(" ",I1688)-1)),""),"")</f>
        <v/>
      </c>
      <c r="P1688" s="7" t="n">
        <f aca="false">IF(K1688="","",K1688-G1688)</f>
        <v>1</v>
      </c>
    </row>
    <row r="1689" customFormat="false" ht="15" hidden="false" customHeight="false" outlineLevel="0" collapsed="false">
      <c r="A1689" s="7" t="n">
        <v>81076042</v>
      </c>
      <c r="B1689" s="7" t="s">
        <v>78</v>
      </c>
      <c r="C1689" s="7" t="s">
        <v>3810</v>
      </c>
      <c r="D1689" s="7" t="s">
        <v>3811</v>
      </c>
      <c r="E1689" s="7" t="s">
        <v>26</v>
      </c>
      <c r="F1689" s="7" t="s">
        <v>3812</v>
      </c>
      <c r="G1689" s="7" t="n">
        <v>2018</v>
      </c>
      <c r="H1689" s="7" t="s">
        <v>50</v>
      </c>
      <c r="I1689" s="7" t="s">
        <v>82</v>
      </c>
      <c r="J1689" s="7" t="s">
        <v>164</v>
      </c>
      <c r="K1689" s="7" t="n">
        <f aca="false">IFERROR(VALUE(RIGHT(TRIM(F1689),4)),"")</f>
        <v>2019</v>
      </c>
      <c r="L1689" s="7" t="str">
        <f aca="false">IF(TRIM(E1689)="","Unknown",IFERROR(LEFT(TRIM(E1689),FIND(",",TRIM(E1689))-1),TRIM(E1689)))</f>
        <v>United States</v>
      </c>
      <c r="M1689" s="7" t="str">
        <f aca="false">IFERROR(LEFT(J1689,FIND(",",J1689)-1),J1689)</f>
        <v>Docuseries</v>
      </c>
      <c r="N1689" s="7" t="str">
        <f aca="false">IF(B1689="Movie",IFERROR(VALUE(LEFT(I1689,FIND(" ",I1689)-1)),""),"")</f>
        <v/>
      </c>
      <c r="O1689" s="7" t="n">
        <f aca="false">IF(B1689="TV Show",IFERROR(VALUE(LEFT(I1689,FIND(" ",I1689)-1)),""),"")</f>
        <v>1</v>
      </c>
      <c r="P1689" s="7" t="n">
        <f aca="false">IF(K1689="","",K1689-G1689)</f>
        <v>1</v>
      </c>
    </row>
    <row r="1690" customFormat="false" ht="15" hidden="false" customHeight="false" outlineLevel="0" collapsed="false">
      <c r="A1690" s="7" t="n">
        <v>81035880</v>
      </c>
      <c r="B1690" s="7" t="s">
        <v>68</v>
      </c>
      <c r="C1690" s="7" t="s">
        <v>3813</v>
      </c>
      <c r="D1690" s="7" t="s">
        <v>3814</v>
      </c>
      <c r="E1690" s="7" t="s">
        <v>963</v>
      </c>
      <c r="F1690" s="7" t="s">
        <v>3812</v>
      </c>
      <c r="G1690" s="7" t="n">
        <v>2017</v>
      </c>
      <c r="H1690" s="7" t="s">
        <v>49</v>
      </c>
      <c r="I1690" s="7" t="s">
        <v>143</v>
      </c>
      <c r="J1690" s="7" t="s">
        <v>202</v>
      </c>
      <c r="K1690" s="7" t="n">
        <f aca="false">IFERROR(VALUE(RIGHT(TRIM(F1690),4)),"")</f>
        <v>2019</v>
      </c>
      <c r="L1690" s="7" t="str">
        <f aca="false">IF(TRIM(E1690)="","Unknown",IFERROR(LEFT(TRIM(E1690),FIND(",",TRIM(E1690))-1),TRIM(E1690)))</f>
        <v>Egypt</v>
      </c>
      <c r="M1690" s="7" t="str">
        <f aca="false">IFERROR(LEFT(J1690,FIND(",",J1690)-1),J1690)</f>
        <v>Comedies</v>
      </c>
      <c r="N1690" s="7" t="n">
        <f aca="false">IF(B1690="Movie",IFERROR(VALUE(LEFT(I1690,FIND(" ",I1690)-1)),""),"")</f>
        <v>79</v>
      </c>
      <c r="O1690" s="7" t="str">
        <f aca="false">IF(B1690="TV Show",IFERROR(VALUE(LEFT(I1690,FIND(" ",I1690)-1)),""),"")</f>
        <v/>
      </c>
      <c r="P1690" s="7" t="n">
        <f aca="false">IF(K1690="","",K1690-G1690)</f>
        <v>2</v>
      </c>
    </row>
    <row r="1691" customFormat="false" ht="15" hidden="false" customHeight="false" outlineLevel="0" collapsed="false">
      <c r="A1691" s="7" t="n">
        <v>81103139</v>
      </c>
      <c r="B1691" s="7" t="s">
        <v>68</v>
      </c>
      <c r="C1691" s="7" t="s">
        <v>3815</v>
      </c>
      <c r="D1691" s="7" t="s">
        <v>3816</v>
      </c>
      <c r="E1691" s="7" t="s">
        <v>26</v>
      </c>
      <c r="F1691" s="7" t="s">
        <v>3812</v>
      </c>
      <c r="G1691" s="7" t="n">
        <v>2018</v>
      </c>
      <c r="H1691" s="7" t="s">
        <v>49</v>
      </c>
      <c r="I1691" s="7" t="s">
        <v>494</v>
      </c>
      <c r="J1691" s="7" t="s">
        <v>37</v>
      </c>
      <c r="K1691" s="7" t="n">
        <f aca="false">IFERROR(VALUE(RIGHT(TRIM(F1691),4)),"")</f>
        <v>2019</v>
      </c>
      <c r="L1691" s="7" t="str">
        <f aca="false">IF(TRIM(E1691)="","Unknown",IFERROR(LEFT(TRIM(E1691),FIND(",",TRIM(E1691))-1),TRIM(E1691)))</f>
        <v>United States</v>
      </c>
      <c r="M1691" s="7" t="str">
        <f aca="false">IFERROR(LEFT(J1691,FIND(",",J1691)-1),J1691)</f>
        <v>Dramas</v>
      </c>
      <c r="N1691" s="7" t="n">
        <f aca="false">IF(B1691="Movie",IFERROR(VALUE(LEFT(I1691,FIND(" ",I1691)-1)),""),"")</f>
        <v>87</v>
      </c>
      <c r="O1691" s="7" t="str">
        <f aca="false">IF(B1691="TV Show",IFERROR(VALUE(LEFT(I1691,FIND(" ",I1691)-1)),""),"")</f>
        <v/>
      </c>
      <c r="P1691" s="7" t="n">
        <f aca="false">IF(K1691="","",K1691-G1691)</f>
        <v>1</v>
      </c>
    </row>
    <row r="1692" customFormat="false" ht="15" hidden="false" customHeight="false" outlineLevel="0" collapsed="false">
      <c r="A1692" s="7" t="n">
        <v>70143369</v>
      </c>
      <c r="B1692" s="7" t="s">
        <v>68</v>
      </c>
      <c r="C1692" s="7" t="s">
        <v>3817</v>
      </c>
      <c r="D1692" s="7" t="s">
        <v>3818</v>
      </c>
      <c r="E1692" s="7" t="s">
        <v>26</v>
      </c>
      <c r="F1692" s="7" t="s">
        <v>3812</v>
      </c>
      <c r="G1692" s="7" t="n">
        <v>2012</v>
      </c>
      <c r="H1692" s="7" t="s">
        <v>52</v>
      </c>
      <c r="I1692" s="7" t="s">
        <v>201</v>
      </c>
      <c r="J1692" s="7" t="s">
        <v>276</v>
      </c>
      <c r="K1692" s="7" t="n">
        <f aca="false">IFERROR(VALUE(RIGHT(TRIM(F1692),4)),"")</f>
        <v>2019</v>
      </c>
      <c r="L1692" s="7" t="str">
        <f aca="false">IF(TRIM(E1692)="","Unknown",IFERROR(LEFT(TRIM(E1692),FIND(",",TRIM(E1692))-1),TRIM(E1692)))</f>
        <v>United States</v>
      </c>
      <c r="M1692" s="7" t="str">
        <f aca="false">IFERROR(LEFT(J1692,FIND(",",J1692)-1),J1692)</f>
        <v>Action &amp; Adventure</v>
      </c>
      <c r="N1692" s="7" t="n">
        <f aca="false">IF(B1692="Movie",IFERROR(VALUE(LEFT(I1692,FIND(" ",I1692)-1)),""),"")</f>
        <v>133</v>
      </c>
      <c r="O1692" s="7" t="str">
        <f aca="false">IF(B1692="TV Show",IFERROR(VALUE(LEFT(I1692,FIND(" ",I1692)-1)),""),"")</f>
        <v/>
      </c>
      <c r="P1692" s="7" t="n">
        <f aca="false">IF(K1692="","",K1692-G1692)</f>
        <v>7</v>
      </c>
    </row>
    <row r="1693" customFormat="false" ht="15" hidden="false" customHeight="false" outlineLevel="0" collapsed="false">
      <c r="A1693" s="7" t="n">
        <v>81096151</v>
      </c>
      <c r="B1693" s="7" t="s">
        <v>68</v>
      </c>
      <c r="C1693" s="7" t="s">
        <v>3819</v>
      </c>
      <c r="D1693" s="7" t="s">
        <v>3820</v>
      </c>
      <c r="E1693" s="7" t="s">
        <v>27</v>
      </c>
      <c r="F1693" s="7" t="s">
        <v>3812</v>
      </c>
      <c r="G1693" s="7" t="n">
        <v>2018</v>
      </c>
      <c r="H1693" s="7" t="s">
        <v>55</v>
      </c>
      <c r="I1693" s="7" t="s">
        <v>237</v>
      </c>
      <c r="J1693" s="7" t="s">
        <v>217</v>
      </c>
      <c r="K1693" s="7" t="n">
        <f aca="false">IFERROR(VALUE(RIGHT(TRIM(F1693),4)),"")</f>
        <v>2019</v>
      </c>
      <c r="L1693" s="7" t="str">
        <f aca="false">IF(TRIM(E1693)="","Unknown",IFERROR(LEFT(TRIM(E1693),FIND(",",TRIM(E1693))-1),TRIM(E1693)))</f>
        <v>India</v>
      </c>
      <c r="M1693" s="7" t="str">
        <f aca="false">IFERROR(LEFT(J1693,FIND(",",J1693)-1),J1693)</f>
        <v>Comedies</v>
      </c>
      <c r="N1693" s="7" t="n">
        <f aca="false">IF(B1693="Movie",IFERROR(VALUE(LEFT(I1693,FIND(" ",I1693)-1)),""),"")</f>
        <v>116</v>
      </c>
      <c r="O1693" s="7" t="str">
        <f aca="false">IF(B1693="TV Show",IFERROR(VALUE(LEFT(I1693,FIND(" ",I1693)-1)),""),"")</f>
        <v/>
      </c>
      <c r="P1693" s="7" t="n">
        <f aca="false">IF(K1693="","",K1693-G1693)</f>
        <v>1</v>
      </c>
    </row>
    <row r="1694" customFormat="false" ht="15" hidden="false" customHeight="false" outlineLevel="0" collapsed="false">
      <c r="A1694" s="7" t="n">
        <v>70259801</v>
      </c>
      <c r="B1694" s="7" t="s">
        <v>68</v>
      </c>
      <c r="C1694" s="7" t="s">
        <v>3821</v>
      </c>
      <c r="D1694" s="7" t="s">
        <v>2122</v>
      </c>
      <c r="E1694" s="7" t="s">
        <v>26</v>
      </c>
      <c r="F1694" s="7" t="s">
        <v>3812</v>
      </c>
      <c r="G1694" s="7" t="n">
        <v>2013</v>
      </c>
      <c r="H1694" s="7" t="s">
        <v>51</v>
      </c>
      <c r="I1694" s="7" t="s">
        <v>519</v>
      </c>
      <c r="J1694" s="7" t="s">
        <v>40</v>
      </c>
      <c r="K1694" s="7" t="n">
        <f aca="false">IFERROR(VALUE(RIGHT(TRIM(F1694),4)),"")</f>
        <v>2019</v>
      </c>
      <c r="L1694" s="7" t="str">
        <f aca="false">IF(TRIM(E1694)="","Unknown",IFERROR(LEFT(TRIM(E1694),FIND(",",TRIM(E1694))-1),TRIM(E1694)))</f>
        <v>United States</v>
      </c>
      <c r="M1694" s="7" t="str">
        <f aca="false">IFERROR(LEFT(J1694,FIND(",",J1694)-1),J1694)</f>
        <v>Action &amp; Adventure</v>
      </c>
      <c r="N1694" s="7" t="n">
        <f aca="false">IF(B1694="Movie",IFERROR(VALUE(LEFT(I1694,FIND(" ",I1694)-1)),""),"")</f>
        <v>119</v>
      </c>
      <c r="O1694" s="7" t="str">
        <f aca="false">IF(B1694="TV Show",IFERROR(VALUE(LEFT(I1694,FIND(" ",I1694)-1)),""),"")</f>
        <v/>
      </c>
      <c r="P1694" s="7" t="n">
        <f aca="false">IF(K1694="","",K1694-G1694)</f>
        <v>6</v>
      </c>
    </row>
    <row r="1695" customFormat="false" ht="15" hidden="false" customHeight="false" outlineLevel="0" collapsed="false">
      <c r="A1695" s="7" t="n">
        <v>80244271</v>
      </c>
      <c r="B1695" s="7" t="s">
        <v>78</v>
      </c>
      <c r="C1695" s="7" t="s">
        <v>3822</v>
      </c>
      <c r="F1695" s="7" t="s">
        <v>3812</v>
      </c>
      <c r="G1695" s="7" t="n">
        <v>2017</v>
      </c>
      <c r="H1695" s="7" t="s">
        <v>48</v>
      </c>
      <c r="I1695" s="7" t="s">
        <v>82</v>
      </c>
      <c r="J1695" s="7" t="s">
        <v>402</v>
      </c>
      <c r="K1695" s="7" t="n">
        <f aca="false">IFERROR(VALUE(RIGHT(TRIM(F1695),4)),"")</f>
        <v>2019</v>
      </c>
      <c r="L1695" s="7" t="str">
        <f aca="false">IF(TRIM(E1695)="","Unknown",IFERROR(LEFT(TRIM(E1695),FIND(",",TRIM(E1695))-1),TRIM(E1695)))</f>
        <v>Unknown</v>
      </c>
      <c r="M1695" s="7" t="str">
        <f aca="false">IFERROR(LEFT(J1695,FIND(",",J1695)-1),J1695)</f>
        <v>Crime TV Shows</v>
      </c>
      <c r="N1695" s="7" t="str">
        <f aca="false">IF(B1695="Movie",IFERROR(VALUE(LEFT(I1695,FIND(" ",I1695)-1)),""),"")</f>
        <v/>
      </c>
      <c r="O1695" s="7" t="n">
        <f aca="false">IF(B1695="TV Show",IFERROR(VALUE(LEFT(I1695,FIND(" ",I1695)-1)),""),"")</f>
        <v>1</v>
      </c>
      <c r="P1695" s="7" t="n">
        <f aca="false">IF(K1695="","",K1695-G1695)</f>
        <v>2</v>
      </c>
    </row>
    <row r="1696" customFormat="false" ht="15" hidden="false" customHeight="false" outlineLevel="0" collapsed="false">
      <c r="A1696" s="7" t="n">
        <v>80990658</v>
      </c>
      <c r="B1696" s="7" t="s">
        <v>68</v>
      </c>
      <c r="C1696" s="7" t="s">
        <v>3823</v>
      </c>
      <c r="D1696" s="7" t="s">
        <v>3824</v>
      </c>
      <c r="E1696" s="7" t="s">
        <v>3825</v>
      </c>
      <c r="F1696" s="7" t="s">
        <v>3826</v>
      </c>
      <c r="G1696" s="7" t="n">
        <v>2017</v>
      </c>
      <c r="H1696" s="7" t="s">
        <v>48</v>
      </c>
      <c r="I1696" s="7" t="s">
        <v>311</v>
      </c>
      <c r="J1696" s="7" t="s">
        <v>322</v>
      </c>
      <c r="K1696" s="7" t="n">
        <f aca="false">IFERROR(VALUE(RIGHT(TRIM(F1696),4)),"")</f>
        <v>2018</v>
      </c>
      <c r="L1696" s="7" t="str">
        <f aca="false">IF(TRIM(E1696)="","Unknown",IFERROR(LEFT(TRIM(E1696),FIND(",",TRIM(E1696))-1),TRIM(E1696)))</f>
        <v>Cambodia</v>
      </c>
      <c r="M1696" s="7" t="str">
        <f aca="false">IFERROR(LEFT(J1696,FIND(",",J1696)-1),J1696)</f>
        <v>Action &amp; Adventure</v>
      </c>
      <c r="N1696" s="7" t="n">
        <f aca="false">IF(B1696="Movie",IFERROR(VALUE(LEFT(I1696,FIND(" ",I1696)-1)),""),"")</f>
        <v>92</v>
      </c>
      <c r="O1696" s="7" t="str">
        <f aca="false">IF(B1696="TV Show",IFERROR(VALUE(LEFT(I1696,FIND(" ",I1696)-1)),""),"")</f>
        <v/>
      </c>
      <c r="P1696" s="7" t="n">
        <f aca="false">IF(K1696="","",K1696-G1696)</f>
        <v>1</v>
      </c>
    </row>
    <row r="1697" customFormat="false" ht="15" hidden="false" customHeight="false" outlineLevel="0" collapsed="false">
      <c r="A1697" s="7" t="n">
        <v>80133663</v>
      </c>
      <c r="B1697" s="7" t="s">
        <v>68</v>
      </c>
      <c r="C1697" s="7" t="s">
        <v>3827</v>
      </c>
      <c r="D1697" s="7" t="s">
        <v>3828</v>
      </c>
      <c r="E1697" s="7" t="s">
        <v>26</v>
      </c>
      <c r="F1697" s="7" t="s">
        <v>3829</v>
      </c>
      <c r="G1697" s="7" t="n">
        <v>2017</v>
      </c>
      <c r="H1697" s="7" t="s">
        <v>48</v>
      </c>
      <c r="I1697" s="7" t="s">
        <v>286</v>
      </c>
      <c r="J1697" s="7" t="s">
        <v>45</v>
      </c>
      <c r="K1697" s="7" t="n">
        <f aca="false">IFERROR(VALUE(RIGHT(TRIM(F1697),4)),"")</f>
        <v>2017</v>
      </c>
      <c r="L1697" s="7" t="str">
        <f aca="false">IF(TRIM(E1697)="","Unknown",IFERROR(LEFT(TRIM(E1697),FIND(",",TRIM(E1697))-1),TRIM(E1697)))</f>
        <v>United States</v>
      </c>
      <c r="M1697" s="7" t="str">
        <f aca="false">IFERROR(LEFT(J1697,FIND(",",J1697)-1),J1697)</f>
        <v>Stand-Up Comedy</v>
      </c>
      <c r="N1697" s="7" t="n">
        <f aca="false">IF(B1697="Movie",IFERROR(VALUE(LEFT(I1697,FIND(" ",I1697)-1)),""),"")</f>
        <v>64</v>
      </c>
      <c r="O1697" s="7" t="str">
        <f aca="false">IF(B1697="TV Show",IFERROR(VALUE(LEFT(I1697,FIND(" ",I1697)-1)),""),"")</f>
        <v/>
      </c>
      <c r="P1697" s="7" t="n">
        <f aca="false">IF(K1697="","",K1697-G1697)</f>
        <v>0</v>
      </c>
    </row>
    <row r="1698" customFormat="false" ht="15" hidden="false" customHeight="false" outlineLevel="0" collapsed="false">
      <c r="A1698" s="7" t="n">
        <v>80117082</v>
      </c>
      <c r="B1698" s="7" t="s">
        <v>68</v>
      </c>
      <c r="C1698" s="7" t="s">
        <v>3830</v>
      </c>
      <c r="D1698" s="7" t="s">
        <v>3831</v>
      </c>
      <c r="E1698" s="7" t="s">
        <v>29</v>
      </c>
      <c r="F1698" s="7" t="s">
        <v>3829</v>
      </c>
      <c r="G1698" s="7" t="n">
        <v>2016</v>
      </c>
      <c r="H1698" s="7" t="s">
        <v>51</v>
      </c>
      <c r="I1698" s="7" t="s">
        <v>111</v>
      </c>
      <c r="J1698" s="7" t="s">
        <v>155</v>
      </c>
      <c r="K1698" s="7" t="n">
        <f aca="false">IFERROR(VALUE(RIGHT(TRIM(F1698),4)),"")</f>
        <v>2017</v>
      </c>
      <c r="L1698" s="7" t="str">
        <f aca="false">IF(TRIM(E1698)="","Unknown",IFERROR(LEFT(TRIM(E1698),FIND(",",TRIM(E1698))-1),TRIM(E1698)))</f>
        <v>Canada</v>
      </c>
      <c r="M1698" s="7" t="str">
        <f aca="false">IFERROR(LEFT(J1698,FIND(",",J1698)-1),J1698)</f>
        <v>Dramas</v>
      </c>
      <c r="N1698" s="7" t="n">
        <f aca="false">IF(B1698="Movie",IFERROR(VALUE(LEFT(I1698,FIND(" ",I1698)-1)),""),"")</f>
        <v>95</v>
      </c>
      <c r="O1698" s="7" t="str">
        <f aca="false">IF(B1698="TV Show",IFERROR(VALUE(LEFT(I1698,FIND(" ",I1698)-1)),""),"")</f>
        <v/>
      </c>
      <c r="P1698" s="7" t="n">
        <f aca="false">IF(K1698="","",K1698-G1698)</f>
        <v>1</v>
      </c>
    </row>
    <row r="1699" customFormat="false" ht="15" hidden="false" customHeight="false" outlineLevel="0" collapsed="false">
      <c r="A1699" s="7" t="n">
        <v>81043473</v>
      </c>
      <c r="B1699" s="7" t="s">
        <v>68</v>
      </c>
      <c r="C1699" s="7" t="s">
        <v>3832</v>
      </c>
      <c r="D1699" s="7" t="s">
        <v>3833</v>
      </c>
      <c r="E1699" s="7" t="s">
        <v>26</v>
      </c>
      <c r="F1699" s="7" t="s">
        <v>3834</v>
      </c>
      <c r="G1699" s="7" t="n">
        <v>2019</v>
      </c>
      <c r="H1699" s="7" t="s">
        <v>48</v>
      </c>
      <c r="I1699" s="7" t="s">
        <v>194</v>
      </c>
      <c r="J1699" s="7" t="s">
        <v>37</v>
      </c>
      <c r="K1699" s="7" t="n">
        <f aca="false">IFERROR(VALUE(RIGHT(TRIM(F1699),4)),"")</f>
        <v>2019</v>
      </c>
      <c r="L1699" s="7" t="str">
        <f aca="false">IF(TRIM(E1699)="","Unknown",IFERROR(LEFT(TRIM(E1699),FIND(",",TRIM(E1699))-1),TRIM(E1699)))</f>
        <v>United States</v>
      </c>
      <c r="M1699" s="7" t="str">
        <f aca="false">IFERROR(LEFT(J1699,FIND(",",J1699)-1),J1699)</f>
        <v>Dramas</v>
      </c>
      <c r="N1699" s="7" t="n">
        <f aca="false">IF(B1699="Movie",IFERROR(VALUE(LEFT(I1699,FIND(" ",I1699)-1)),""),"")</f>
        <v>125</v>
      </c>
      <c r="O1699" s="7" t="str">
        <f aca="false">IF(B1699="TV Show",IFERROR(VALUE(LEFT(I1699,FIND(" ",I1699)-1)),""),"")</f>
        <v/>
      </c>
      <c r="P1699" s="7" t="n">
        <f aca="false">IF(K1699="","",K1699-G1699)</f>
        <v>0</v>
      </c>
    </row>
    <row r="1700" customFormat="false" ht="15" hidden="false" customHeight="false" outlineLevel="0" collapsed="false">
      <c r="A1700" s="7" t="n">
        <v>80091267</v>
      </c>
      <c r="B1700" s="7" t="s">
        <v>68</v>
      </c>
      <c r="C1700" s="7" t="s">
        <v>3835</v>
      </c>
      <c r="D1700" s="7" t="s">
        <v>3010</v>
      </c>
      <c r="E1700" s="7" t="s">
        <v>27</v>
      </c>
      <c r="F1700" s="7" t="s">
        <v>3836</v>
      </c>
      <c r="G1700" s="7" t="n">
        <v>2012</v>
      </c>
      <c r="H1700" s="7" t="s">
        <v>49</v>
      </c>
      <c r="I1700" s="7" t="s">
        <v>77</v>
      </c>
      <c r="J1700" s="7" t="s">
        <v>188</v>
      </c>
      <c r="K1700" s="7" t="n">
        <f aca="false">IFERROR(VALUE(RIGHT(TRIM(F1700),4)),"")</f>
        <v>2018</v>
      </c>
      <c r="L1700" s="7" t="str">
        <f aca="false">IF(TRIM(E1700)="","Unknown",IFERROR(LEFT(TRIM(E1700),FIND(",",TRIM(E1700))-1),TRIM(E1700)))</f>
        <v>India</v>
      </c>
      <c r="M1700" s="7" t="str">
        <f aca="false">IFERROR(LEFT(J1700,FIND(",",J1700)-1),J1700)</f>
        <v>Dramas</v>
      </c>
      <c r="N1700" s="7" t="n">
        <f aca="false">IF(B1700="Movie",IFERROR(VALUE(LEFT(I1700,FIND(" ",I1700)-1)),""),"")</f>
        <v>94</v>
      </c>
      <c r="O1700" s="7" t="str">
        <f aca="false">IF(B1700="TV Show",IFERROR(VALUE(LEFT(I1700,FIND(" ",I1700)-1)),""),"")</f>
        <v/>
      </c>
      <c r="P1700" s="7" t="n">
        <f aca="false">IF(K1700="","",K1700-G1700)</f>
        <v>6</v>
      </c>
    </row>
    <row r="1701" customFormat="false" ht="15" hidden="false" customHeight="false" outlineLevel="0" collapsed="false">
      <c r="A1701" s="7" t="n">
        <v>80182919</v>
      </c>
      <c r="B1701" s="7" t="s">
        <v>68</v>
      </c>
      <c r="C1701" s="7" t="s">
        <v>3837</v>
      </c>
      <c r="D1701" s="7" t="s">
        <v>3838</v>
      </c>
      <c r="E1701" s="7" t="s">
        <v>26</v>
      </c>
      <c r="F1701" s="7" t="s">
        <v>3836</v>
      </c>
      <c r="G1701" s="7" t="n">
        <v>2017</v>
      </c>
      <c r="H1701" s="7" t="s">
        <v>51</v>
      </c>
      <c r="I1701" s="7" t="s">
        <v>311</v>
      </c>
      <c r="J1701" s="7" t="s">
        <v>811</v>
      </c>
      <c r="K1701" s="7" t="n">
        <f aca="false">IFERROR(VALUE(RIGHT(TRIM(F1701),4)),"")</f>
        <v>2018</v>
      </c>
      <c r="L1701" s="7" t="str">
        <f aca="false">IF(TRIM(E1701)="","Unknown",IFERROR(LEFT(TRIM(E1701),FIND(",",TRIM(E1701))-1),TRIM(E1701)))</f>
        <v>United States</v>
      </c>
      <c r="M1701" s="7" t="str">
        <f aca="false">IFERROR(LEFT(J1701,FIND(",",J1701)-1),J1701)</f>
        <v>Thrillers</v>
      </c>
      <c r="N1701" s="7" t="n">
        <f aca="false">IF(B1701="Movie",IFERROR(VALUE(LEFT(I1701,FIND(" ",I1701)-1)),""),"")</f>
        <v>92</v>
      </c>
      <c r="O1701" s="7" t="str">
        <f aca="false">IF(B1701="TV Show",IFERROR(VALUE(LEFT(I1701,FIND(" ",I1701)-1)),""),"")</f>
        <v/>
      </c>
      <c r="P1701" s="7" t="n">
        <f aca="false">IF(K1701="","",K1701-G1701)</f>
        <v>1</v>
      </c>
    </row>
    <row r="1702" customFormat="false" ht="15" hidden="false" customHeight="false" outlineLevel="0" collapsed="false">
      <c r="A1702" s="7" t="n">
        <v>80121973</v>
      </c>
      <c r="B1702" s="7" t="s">
        <v>78</v>
      </c>
      <c r="C1702" s="7" t="s">
        <v>3839</v>
      </c>
      <c r="E1702" s="7" t="s">
        <v>396</v>
      </c>
      <c r="F1702" s="7" t="s">
        <v>3840</v>
      </c>
      <c r="G1702" s="7" t="n">
        <v>2010</v>
      </c>
      <c r="H1702" s="7" t="s">
        <v>48</v>
      </c>
      <c r="I1702" s="7" t="s">
        <v>82</v>
      </c>
      <c r="J1702" s="7" t="s">
        <v>402</v>
      </c>
      <c r="K1702" s="7" t="n">
        <f aca="false">IFERROR(VALUE(RIGHT(TRIM(F1702),4)),"")</f>
        <v>2017</v>
      </c>
      <c r="L1702" s="7" t="str">
        <f aca="false">IF(TRIM(E1702)="","Unknown",IFERROR(LEFT(TRIM(E1702),FIND(",",TRIM(E1702))-1),TRIM(E1702)))</f>
        <v>Turkey</v>
      </c>
      <c r="M1702" s="7" t="str">
        <f aca="false">IFERROR(LEFT(J1702,FIND(",",J1702)-1),J1702)</f>
        <v>Crime TV Shows</v>
      </c>
      <c r="N1702" s="7" t="str">
        <f aca="false">IF(B1702="Movie",IFERROR(VALUE(LEFT(I1702,FIND(" ",I1702)-1)),""),"")</f>
        <v/>
      </c>
      <c r="O1702" s="7" t="n">
        <f aca="false">IF(B1702="TV Show",IFERROR(VALUE(LEFT(I1702,FIND(" ",I1702)-1)),""),"")</f>
        <v>1</v>
      </c>
      <c r="P1702" s="7" t="n">
        <f aca="false">IF(K1702="","",K1702-G1702)</f>
        <v>7</v>
      </c>
    </row>
    <row r="1703" customFormat="false" ht="15" hidden="false" customHeight="false" outlineLevel="0" collapsed="false">
      <c r="A1703" s="7" t="n">
        <v>80115466</v>
      </c>
      <c r="B1703" s="7" t="s">
        <v>68</v>
      </c>
      <c r="C1703" s="7" t="s">
        <v>3841</v>
      </c>
      <c r="D1703" s="7" t="s">
        <v>3842</v>
      </c>
      <c r="E1703" s="7" t="s">
        <v>30</v>
      </c>
      <c r="F1703" s="7" t="s">
        <v>3840</v>
      </c>
      <c r="G1703" s="7" t="n">
        <v>2017</v>
      </c>
      <c r="H1703" s="7" t="s">
        <v>49</v>
      </c>
      <c r="I1703" s="7" t="s">
        <v>173</v>
      </c>
      <c r="J1703" s="7" t="s">
        <v>1032</v>
      </c>
      <c r="K1703" s="7" t="n">
        <f aca="false">IFERROR(VALUE(RIGHT(TRIM(F1703),4)),"")</f>
        <v>2017</v>
      </c>
      <c r="L1703" s="7" t="str">
        <f aca="false">IF(TRIM(E1703)="","Unknown",IFERROR(LEFT(TRIM(E1703),FIND(",",TRIM(E1703))-1),TRIM(E1703)))</f>
        <v>Japan</v>
      </c>
      <c r="M1703" s="7" t="str">
        <f aca="false">IFERROR(LEFT(J1703,FIND(",",J1703)-1),J1703)</f>
        <v>Action &amp; Adventure</v>
      </c>
      <c r="N1703" s="7" t="n">
        <f aca="false">IF(B1703="Movie",IFERROR(VALUE(LEFT(I1703,FIND(" ",I1703)-1)),""),"")</f>
        <v>106</v>
      </c>
      <c r="O1703" s="7" t="str">
        <f aca="false">IF(B1703="TV Show",IFERROR(VALUE(LEFT(I1703,FIND(" ",I1703)-1)),""),"")</f>
        <v/>
      </c>
      <c r="P1703" s="7" t="n">
        <f aca="false">IF(K1703="","",K1703-G1703)</f>
        <v>0</v>
      </c>
    </row>
    <row r="1704" customFormat="false" ht="15" hidden="false" customHeight="false" outlineLevel="0" collapsed="false">
      <c r="A1704" s="7" t="n">
        <v>80176819</v>
      </c>
      <c r="B1704" s="7" t="s">
        <v>78</v>
      </c>
      <c r="C1704" s="7" t="s">
        <v>3843</v>
      </c>
      <c r="E1704" s="7" t="s">
        <v>32</v>
      </c>
      <c r="F1704" s="7" t="s">
        <v>3840</v>
      </c>
      <c r="G1704" s="7" t="n">
        <v>2015</v>
      </c>
      <c r="H1704" s="7" t="s">
        <v>55</v>
      </c>
      <c r="I1704" s="7" t="s">
        <v>82</v>
      </c>
      <c r="J1704" s="7" t="s">
        <v>3844</v>
      </c>
      <c r="K1704" s="7" t="n">
        <f aca="false">IFERROR(VALUE(RIGHT(TRIM(F1704),4)),"")</f>
        <v>2017</v>
      </c>
      <c r="L1704" s="7" t="str">
        <f aca="false">IF(TRIM(E1704)="","Unknown",IFERROR(LEFT(TRIM(E1704),FIND(",",TRIM(E1704))-1),TRIM(E1704)))</f>
        <v>South Korea</v>
      </c>
      <c r="M1704" s="7" t="str">
        <f aca="false">IFERROR(LEFT(J1704,FIND(",",J1704)-1),J1704)</f>
        <v>International TV Shows</v>
      </c>
      <c r="N1704" s="7" t="str">
        <f aca="false">IF(B1704="Movie",IFERROR(VALUE(LEFT(I1704,FIND(" ",I1704)-1)),""),"")</f>
        <v/>
      </c>
      <c r="O1704" s="7" t="n">
        <f aca="false">IF(B1704="TV Show",IFERROR(VALUE(LEFT(I1704,FIND(" ",I1704)-1)),""),"")</f>
        <v>1</v>
      </c>
      <c r="P1704" s="7" t="n">
        <f aca="false">IF(K1704="","",K1704-G1704)</f>
        <v>2</v>
      </c>
    </row>
    <row r="1705" customFormat="false" ht="15" hidden="false" customHeight="false" outlineLevel="0" collapsed="false">
      <c r="A1705" s="7" t="n">
        <v>80173481</v>
      </c>
      <c r="B1705" s="7" t="s">
        <v>78</v>
      </c>
      <c r="C1705" s="7" t="s">
        <v>3845</v>
      </c>
      <c r="E1705" s="7" t="s">
        <v>167</v>
      </c>
      <c r="F1705" s="7" t="s">
        <v>3840</v>
      </c>
      <c r="G1705" s="7" t="n">
        <v>2017</v>
      </c>
      <c r="H1705" s="7" t="s">
        <v>48</v>
      </c>
      <c r="I1705" s="7" t="s">
        <v>82</v>
      </c>
      <c r="J1705" s="7" t="s">
        <v>773</v>
      </c>
      <c r="K1705" s="7" t="n">
        <f aca="false">IFERROR(VALUE(RIGHT(TRIM(F1705),4)),"")</f>
        <v>2017</v>
      </c>
      <c r="L1705" s="7" t="str">
        <f aca="false">IF(TRIM(E1705)="","Unknown",IFERROR(LEFT(TRIM(E1705),FIND(",",TRIM(E1705))-1),TRIM(E1705)))</f>
        <v>Thailand</v>
      </c>
      <c r="M1705" s="7" t="str">
        <f aca="false">IFERROR(LEFT(J1705,FIND(",",J1705)-1),J1705)</f>
        <v>Docuseries</v>
      </c>
      <c r="N1705" s="7" t="str">
        <f aca="false">IF(B1705="Movie",IFERROR(VALUE(LEFT(I1705,FIND(" ",I1705)-1)),""),"")</f>
        <v/>
      </c>
      <c r="O1705" s="7" t="n">
        <f aca="false">IF(B1705="TV Show",IFERROR(VALUE(LEFT(I1705,FIND(" ",I1705)-1)),""),"")</f>
        <v>1</v>
      </c>
      <c r="P1705" s="7" t="n">
        <f aca="false">IF(K1705="","",K1705-G1705)</f>
        <v>0</v>
      </c>
    </row>
    <row r="1706" customFormat="false" ht="15" hidden="false" customHeight="false" outlineLevel="0" collapsed="false">
      <c r="A1706" s="7" t="n">
        <v>80142223</v>
      </c>
      <c r="B1706" s="7" t="s">
        <v>68</v>
      </c>
      <c r="C1706" s="7" t="s">
        <v>3846</v>
      </c>
      <c r="D1706" s="7" t="s">
        <v>3847</v>
      </c>
      <c r="E1706" s="7" t="s">
        <v>325</v>
      </c>
      <c r="F1706" s="7" t="s">
        <v>3840</v>
      </c>
      <c r="G1706" s="7" t="n">
        <v>2017</v>
      </c>
      <c r="H1706" s="7" t="s">
        <v>48</v>
      </c>
      <c r="I1706" s="7" t="s">
        <v>512</v>
      </c>
      <c r="J1706" s="7" t="s">
        <v>3848</v>
      </c>
      <c r="K1706" s="7" t="n">
        <f aca="false">IFERROR(VALUE(RIGHT(TRIM(F1706),4)),"")</f>
        <v>2017</v>
      </c>
      <c r="L1706" s="7" t="str">
        <f aca="false">IF(TRIM(E1706)="","Unknown",IFERROR(LEFT(TRIM(E1706),FIND(",",TRIM(E1706))-1),TRIM(E1706)))</f>
        <v>Brazil</v>
      </c>
      <c r="M1706" s="7" t="str">
        <f aca="false">IFERROR(LEFT(J1706,FIND(",",J1706)-1),J1706)</f>
        <v>Documentaries</v>
      </c>
      <c r="N1706" s="7" t="n">
        <f aca="false">IF(B1706="Movie",IFERROR(VALUE(LEFT(I1706,FIND(" ",I1706)-1)),""),"")</f>
        <v>101</v>
      </c>
      <c r="O1706" s="7" t="str">
        <f aca="false">IF(B1706="TV Show",IFERROR(VALUE(LEFT(I1706,FIND(" ",I1706)-1)),""),"")</f>
        <v/>
      </c>
      <c r="P1706" s="7" t="n">
        <f aca="false">IF(K1706="","",K1706-G1706)</f>
        <v>0</v>
      </c>
    </row>
    <row r="1707" customFormat="false" ht="15" hidden="false" customHeight="false" outlineLevel="0" collapsed="false">
      <c r="A1707" s="7" t="n">
        <v>80122179</v>
      </c>
      <c r="B1707" s="7" t="s">
        <v>78</v>
      </c>
      <c r="C1707" s="7" t="s">
        <v>3849</v>
      </c>
      <c r="E1707" s="7" t="s">
        <v>26</v>
      </c>
      <c r="F1707" s="7" t="s">
        <v>3840</v>
      </c>
      <c r="G1707" s="7" t="n">
        <v>2017</v>
      </c>
      <c r="H1707" s="7" t="s">
        <v>48</v>
      </c>
      <c r="I1707" s="7" t="s">
        <v>82</v>
      </c>
      <c r="J1707" s="7" t="s">
        <v>3850</v>
      </c>
      <c r="K1707" s="7" t="n">
        <f aca="false">IFERROR(VALUE(RIGHT(TRIM(F1707),4)),"")</f>
        <v>2017</v>
      </c>
      <c r="L1707" s="7" t="str">
        <f aca="false">IF(TRIM(E1707)="","Unknown",IFERROR(LEFT(TRIM(E1707),FIND(",",TRIM(E1707))-1),TRIM(E1707)))</f>
        <v>United States</v>
      </c>
      <c r="M1707" s="7" t="str">
        <f aca="false">IFERROR(LEFT(J1707,FIND(",",J1707)-1),J1707)</f>
        <v>Crime TV Shows</v>
      </c>
      <c r="N1707" s="7" t="str">
        <f aca="false">IF(B1707="Movie",IFERROR(VALUE(LEFT(I1707,FIND(" ",I1707)-1)),""),"")</f>
        <v/>
      </c>
      <c r="O1707" s="7" t="n">
        <f aca="false">IF(B1707="TV Show",IFERROR(VALUE(LEFT(I1707,FIND(" ",I1707)-1)),""),"")</f>
        <v>1</v>
      </c>
      <c r="P1707" s="7" t="n">
        <f aca="false">IF(K1707="","",K1707-G1707)</f>
        <v>0</v>
      </c>
    </row>
    <row r="1708" customFormat="false" ht="15" hidden="false" customHeight="false" outlineLevel="0" collapsed="false">
      <c r="A1708" s="7" t="n">
        <v>80080768</v>
      </c>
      <c r="B1708" s="7" t="s">
        <v>68</v>
      </c>
      <c r="C1708" s="7" t="s">
        <v>3851</v>
      </c>
      <c r="D1708" s="7" t="s">
        <v>1347</v>
      </c>
      <c r="E1708" s="7" t="s">
        <v>619</v>
      </c>
      <c r="F1708" s="7" t="s">
        <v>3852</v>
      </c>
      <c r="G1708" s="7" t="n">
        <v>2015</v>
      </c>
      <c r="H1708" s="7" t="s">
        <v>51</v>
      </c>
      <c r="I1708" s="7" t="s">
        <v>111</v>
      </c>
      <c r="J1708" s="7" t="s">
        <v>950</v>
      </c>
      <c r="K1708" s="7" t="n">
        <f aca="false">IFERROR(VALUE(RIGHT(TRIM(F1708),4)),"")</f>
        <v>2019</v>
      </c>
      <c r="L1708" s="7" t="str">
        <f aca="false">IF(TRIM(E1708)="","Unknown",IFERROR(LEFT(TRIM(E1708),FIND(",",TRIM(E1708))-1),TRIM(E1708)))</f>
        <v>Canada</v>
      </c>
      <c r="M1708" s="7" t="str">
        <f aca="false">IFERROR(LEFT(J1708,FIND(",",J1708)-1),J1708)</f>
        <v>Horror Movies</v>
      </c>
      <c r="N1708" s="7" t="n">
        <f aca="false">IF(B1708="Movie",IFERROR(VALUE(LEFT(I1708,FIND(" ",I1708)-1)),""),"")</f>
        <v>95</v>
      </c>
      <c r="O1708" s="7" t="str">
        <f aca="false">IF(B1708="TV Show",IFERROR(VALUE(LEFT(I1708,FIND(" ",I1708)-1)),""),"")</f>
        <v/>
      </c>
      <c r="P1708" s="7" t="n">
        <f aca="false">IF(K1708="","",K1708-G1708)</f>
        <v>4</v>
      </c>
    </row>
    <row r="1709" customFormat="false" ht="15" hidden="false" customHeight="false" outlineLevel="0" collapsed="false">
      <c r="A1709" s="7" t="n">
        <v>81061407</v>
      </c>
      <c r="B1709" s="7" t="s">
        <v>68</v>
      </c>
      <c r="C1709" s="7" t="s">
        <v>3853</v>
      </c>
      <c r="D1709" s="7" t="s">
        <v>3854</v>
      </c>
      <c r="E1709" s="7" t="s">
        <v>26</v>
      </c>
      <c r="F1709" s="7" t="s">
        <v>3852</v>
      </c>
      <c r="G1709" s="7" t="n">
        <v>2019</v>
      </c>
      <c r="H1709" s="7" t="s">
        <v>48</v>
      </c>
      <c r="I1709" s="7" t="s">
        <v>111</v>
      </c>
      <c r="J1709" s="7" t="s">
        <v>3855</v>
      </c>
      <c r="K1709" s="7" t="n">
        <f aca="false">IFERROR(VALUE(RIGHT(TRIM(F1709),4)),"")</f>
        <v>2019</v>
      </c>
      <c r="L1709" s="7" t="str">
        <f aca="false">IF(TRIM(E1709)="","Unknown",IFERROR(LEFT(TRIM(E1709),FIND(",",TRIM(E1709))-1),TRIM(E1709)))</f>
        <v>United States</v>
      </c>
      <c r="M1709" s="7" t="str">
        <f aca="false">IFERROR(LEFT(J1709,FIND(",",J1709)-1),J1709)</f>
        <v>Dramas</v>
      </c>
      <c r="N1709" s="7" t="n">
        <f aca="false">IF(B1709="Movie",IFERROR(VALUE(LEFT(I1709,FIND(" ",I1709)-1)),""),"")</f>
        <v>95</v>
      </c>
      <c r="O1709" s="7" t="str">
        <f aca="false">IF(B1709="TV Show",IFERROR(VALUE(LEFT(I1709,FIND(" ",I1709)-1)),""),"")</f>
        <v/>
      </c>
      <c r="P1709" s="7" t="n">
        <f aca="false">IF(K1709="","",K1709-G1709)</f>
        <v>0</v>
      </c>
    </row>
    <row r="1710" customFormat="false" ht="15" hidden="false" customHeight="false" outlineLevel="0" collapsed="false">
      <c r="A1710" s="7" t="n">
        <v>80161216</v>
      </c>
      <c r="B1710" s="7" t="s">
        <v>68</v>
      </c>
      <c r="C1710" s="7" t="s">
        <v>3856</v>
      </c>
      <c r="D1710" s="7" t="s">
        <v>3857</v>
      </c>
      <c r="E1710" s="7" t="s">
        <v>1813</v>
      </c>
      <c r="F1710" s="7" t="s">
        <v>3858</v>
      </c>
      <c r="G1710" s="7" t="n">
        <v>2018</v>
      </c>
      <c r="H1710" s="7" t="s">
        <v>48</v>
      </c>
      <c r="I1710" s="7" t="s">
        <v>417</v>
      </c>
      <c r="J1710" s="7" t="s">
        <v>169</v>
      </c>
      <c r="K1710" s="7" t="n">
        <f aca="false">IFERROR(VALUE(RIGHT(TRIM(F1710),4)),"")</f>
        <v>2018</v>
      </c>
      <c r="L1710" s="7" t="str">
        <f aca="false">IF(TRIM(E1710)="","Unknown",IFERROR(LEFT(TRIM(E1710),FIND(",",TRIM(E1710))-1),TRIM(E1710)))</f>
        <v>Australia</v>
      </c>
      <c r="M1710" s="7" t="str">
        <f aca="false">IFERROR(LEFT(J1710,FIND(",",J1710)-1),J1710)</f>
        <v>Horror Movies</v>
      </c>
      <c r="N1710" s="7" t="n">
        <f aca="false">IF(B1710="Movie",IFERROR(VALUE(LEFT(I1710,FIND(" ",I1710)-1)),""),"")</f>
        <v>104</v>
      </c>
      <c r="O1710" s="7" t="str">
        <f aca="false">IF(B1710="TV Show",IFERROR(VALUE(LEFT(I1710,FIND(" ",I1710)-1)),""),"")</f>
        <v/>
      </c>
      <c r="P1710" s="7" t="n">
        <f aca="false">IF(K1710="","",K1710-G1710)</f>
        <v>0</v>
      </c>
    </row>
    <row r="1711" customFormat="false" ht="15" hidden="false" customHeight="false" outlineLevel="0" collapsed="false">
      <c r="A1711" s="7" t="n">
        <v>80218111</v>
      </c>
      <c r="B1711" s="7" t="s">
        <v>68</v>
      </c>
      <c r="C1711" s="7" t="s">
        <v>3859</v>
      </c>
      <c r="D1711" s="7" t="s">
        <v>3860</v>
      </c>
      <c r="E1711" s="7" t="s">
        <v>1672</v>
      </c>
      <c r="F1711" s="7" t="s">
        <v>3858</v>
      </c>
      <c r="G1711" s="7" t="n">
        <v>2018</v>
      </c>
      <c r="H1711" s="7" t="s">
        <v>48</v>
      </c>
      <c r="I1711" s="7" t="s">
        <v>386</v>
      </c>
      <c r="J1711" s="7" t="s">
        <v>206</v>
      </c>
      <c r="K1711" s="7" t="n">
        <f aca="false">IFERROR(VALUE(RIGHT(TRIM(F1711),4)),"")</f>
        <v>2018</v>
      </c>
      <c r="L1711" s="7" t="str">
        <f aca="false">IF(TRIM(E1711)="","Unknown",IFERROR(LEFT(TRIM(E1711),FIND(",",TRIM(E1711))-1),TRIM(E1711)))</f>
        <v>South Africa</v>
      </c>
      <c r="M1711" s="7" t="str">
        <f aca="false">IFERROR(LEFT(J1711,FIND(",",J1711)-1),J1711)</f>
        <v>Comedies</v>
      </c>
      <c r="N1711" s="7" t="n">
        <f aca="false">IF(B1711="Movie",IFERROR(VALUE(LEFT(I1711,FIND(" ",I1711)-1)),""),"")</f>
        <v>117</v>
      </c>
      <c r="O1711" s="7" t="str">
        <f aca="false">IF(B1711="TV Show",IFERROR(VALUE(LEFT(I1711,FIND(" ",I1711)-1)),""),"")</f>
        <v/>
      </c>
      <c r="P1711" s="7" t="n">
        <f aca="false">IF(K1711="","",K1711-G1711)</f>
        <v>0</v>
      </c>
    </row>
    <row r="1712" customFormat="false" ht="15" hidden="false" customHeight="false" outlineLevel="0" collapsed="false">
      <c r="A1712" s="7" t="n">
        <v>80996626</v>
      </c>
      <c r="B1712" s="7" t="s">
        <v>78</v>
      </c>
      <c r="C1712" s="7" t="s">
        <v>3861</v>
      </c>
      <c r="F1712" s="7" t="s">
        <v>3858</v>
      </c>
      <c r="G1712" s="7" t="n">
        <v>2018</v>
      </c>
      <c r="H1712" s="7" t="s">
        <v>119</v>
      </c>
      <c r="I1712" s="7" t="s">
        <v>82</v>
      </c>
      <c r="J1712" s="7" t="s">
        <v>44</v>
      </c>
      <c r="K1712" s="7" t="n">
        <f aca="false">IFERROR(VALUE(RIGHT(TRIM(F1712),4)),"")</f>
        <v>2018</v>
      </c>
      <c r="L1712" s="7" t="str">
        <f aca="false">IF(TRIM(E1712)="","Unknown",IFERROR(LEFT(TRIM(E1712),FIND(",",TRIM(E1712))-1),TRIM(E1712)))</f>
        <v>Unknown</v>
      </c>
      <c r="M1712" s="7" t="str">
        <f aca="false">IFERROR(LEFT(J1712,FIND(",",J1712)-1),J1712)</f>
        <v>Kids' TV</v>
      </c>
      <c r="N1712" s="7" t="str">
        <f aca="false">IF(B1712="Movie",IFERROR(VALUE(LEFT(I1712,FIND(" ",I1712)-1)),""),"")</f>
        <v/>
      </c>
      <c r="O1712" s="7" t="n">
        <f aca="false">IF(B1712="TV Show",IFERROR(VALUE(LEFT(I1712,FIND(" ",I1712)-1)),""),"")</f>
        <v>1</v>
      </c>
      <c r="P1712" s="7" t="n">
        <f aca="false">IF(K1712="","",K1712-G1712)</f>
        <v>0</v>
      </c>
    </row>
    <row r="1713" customFormat="false" ht="15" hidden="false" customHeight="false" outlineLevel="0" collapsed="false">
      <c r="A1713" s="7" t="n">
        <v>80047200</v>
      </c>
      <c r="B1713" s="7" t="s">
        <v>78</v>
      </c>
      <c r="C1713" s="7" t="s">
        <v>3862</v>
      </c>
      <c r="E1713" s="7" t="s">
        <v>26</v>
      </c>
      <c r="F1713" s="7" t="s">
        <v>3863</v>
      </c>
      <c r="G1713" s="7" t="n">
        <v>2010</v>
      </c>
      <c r="H1713" s="7" t="s">
        <v>49</v>
      </c>
      <c r="I1713" s="7" t="s">
        <v>82</v>
      </c>
      <c r="J1713" s="7" t="s">
        <v>3864</v>
      </c>
      <c r="K1713" s="7" t="n">
        <f aca="false">IFERROR(VALUE(RIGHT(TRIM(F1713),4)),"")</f>
        <v>2017</v>
      </c>
      <c r="L1713" s="7" t="str">
        <f aca="false">IF(TRIM(E1713)="","Unknown",IFERROR(LEFT(TRIM(E1713),FIND(",",TRIM(E1713))-1),TRIM(E1713)))</f>
        <v>United States</v>
      </c>
      <c r="M1713" s="7" t="str">
        <f aca="false">IFERROR(LEFT(J1713,FIND(",",J1713)-1),J1713)</f>
        <v>Romantic TV Shows</v>
      </c>
      <c r="N1713" s="7" t="str">
        <f aca="false">IF(B1713="Movie",IFERROR(VALUE(LEFT(I1713,FIND(" ",I1713)-1)),""),"")</f>
        <v/>
      </c>
      <c r="O1713" s="7" t="n">
        <f aca="false">IF(B1713="TV Show",IFERROR(VALUE(LEFT(I1713,FIND(" ",I1713)-1)),""),"")</f>
        <v>1</v>
      </c>
      <c r="P1713" s="7" t="n">
        <f aca="false">IF(K1713="","",K1713-G1713)</f>
        <v>7</v>
      </c>
    </row>
    <row r="1714" customFormat="false" ht="15" hidden="false" customHeight="false" outlineLevel="0" collapsed="false">
      <c r="A1714" s="7" t="n">
        <v>80991872</v>
      </c>
      <c r="B1714" s="7" t="s">
        <v>78</v>
      </c>
      <c r="C1714" s="7" t="s">
        <v>3865</v>
      </c>
      <c r="D1714" s="7" t="s">
        <v>3866</v>
      </c>
      <c r="E1714" s="7" t="s">
        <v>34</v>
      </c>
      <c r="F1714" s="7" t="s">
        <v>3867</v>
      </c>
      <c r="G1714" s="7" t="n">
        <v>2019</v>
      </c>
      <c r="H1714" s="7" t="s">
        <v>48</v>
      </c>
      <c r="I1714" s="7" t="s">
        <v>82</v>
      </c>
      <c r="J1714" s="7" t="s">
        <v>1402</v>
      </c>
      <c r="K1714" s="7" t="n">
        <f aca="false">IFERROR(VALUE(RIGHT(TRIM(F1714),4)),"")</f>
        <v>2019</v>
      </c>
      <c r="L1714" s="7" t="str">
        <f aca="false">IF(TRIM(E1714)="","Unknown",IFERROR(LEFT(TRIM(E1714),FIND(",",TRIM(E1714))-1),TRIM(E1714)))</f>
        <v>Mexico</v>
      </c>
      <c r="M1714" s="7" t="str">
        <f aca="false">IFERROR(LEFT(J1714,FIND(",",J1714)-1),J1714)</f>
        <v>Crime TV Shows</v>
      </c>
      <c r="N1714" s="7" t="str">
        <f aca="false">IF(B1714="Movie",IFERROR(VALUE(LEFT(I1714,FIND(" ",I1714)-1)),""),"")</f>
        <v/>
      </c>
      <c r="O1714" s="7" t="n">
        <f aca="false">IF(B1714="TV Show",IFERROR(VALUE(LEFT(I1714,FIND(" ",I1714)-1)),""),"")</f>
        <v>1</v>
      </c>
      <c r="P1714" s="7" t="n">
        <f aca="false">IF(K1714="","",K1714-G1714)</f>
        <v>0</v>
      </c>
    </row>
    <row r="1715" customFormat="false" ht="15" hidden="false" customHeight="false" outlineLevel="0" collapsed="false">
      <c r="A1715" s="7" t="n">
        <v>81077863</v>
      </c>
      <c r="B1715" s="7" t="s">
        <v>68</v>
      </c>
      <c r="C1715" s="7" t="s">
        <v>3868</v>
      </c>
      <c r="D1715" s="7" t="s">
        <v>3869</v>
      </c>
      <c r="E1715" s="7" t="s">
        <v>33</v>
      </c>
      <c r="F1715" s="7" t="s">
        <v>3867</v>
      </c>
      <c r="G1715" s="7" t="n">
        <v>2014</v>
      </c>
      <c r="H1715" s="7" t="s">
        <v>49</v>
      </c>
      <c r="I1715" s="7" t="s">
        <v>254</v>
      </c>
      <c r="J1715" s="7" t="s">
        <v>341</v>
      </c>
      <c r="K1715" s="7" t="n">
        <f aca="false">IFERROR(VALUE(RIGHT(TRIM(F1715),4)),"")</f>
        <v>2019</v>
      </c>
      <c r="L1715" s="7" t="str">
        <f aca="false">IF(TRIM(E1715)="","Unknown",IFERROR(LEFT(TRIM(E1715),FIND(",",TRIM(E1715))-1),TRIM(E1715)))</f>
        <v>Spain</v>
      </c>
      <c r="M1715" s="7" t="str">
        <f aca="false">IFERROR(LEFT(J1715,FIND(",",J1715)-1),J1715)</f>
        <v>Documentaries</v>
      </c>
      <c r="N1715" s="7" t="n">
        <f aca="false">IF(B1715="Movie",IFERROR(VALUE(LEFT(I1715,FIND(" ",I1715)-1)),""),"")</f>
        <v>70</v>
      </c>
      <c r="O1715" s="7" t="str">
        <f aca="false">IF(B1715="TV Show",IFERROR(VALUE(LEFT(I1715,FIND(" ",I1715)-1)),""),"")</f>
        <v/>
      </c>
      <c r="P1715" s="7" t="n">
        <f aca="false">IF(K1715="","",K1715-G1715)</f>
        <v>5</v>
      </c>
    </row>
    <row r="1716" customFormat="false" ht="15" hidden="false" customHeight="false" outlineLevel="0" collapsed="false">
      <c r="A1716" s="7" t="n">
        <v>81077851</v>
      </c>
      <c r="B1716" s="7" t="s">
        <v>68</v>
      </c>
      <c r="C1716" s="7" t="s">
        <v>3870</v>
      </c>
      <c r="D1716" s="7" t="s">
        <v>3869</v>
      </c>
      <c r="E1716" s="7" t="s">
        <v>3871</v>
      </c>
      <c r="F1716" s="7" t="s">
        <v>3867</v>
      </c>
      <c r="G1716" s="7" t="n">
        <v>2016</v>
      </c>
      <c r="H1716" s="7" t="s">
        <v>49</v>
      </c>
      <c r="I1716" s="7" t="s">
        <v>494</v>
      </c>
      <c r="J1716" s="7" t="s">
        <v>341</v>
      </c>
      <c r="K1716" s="7" t="n">
        <f aca="false">IFERROR(VALUE(RIGHT(TRIM(F1716),4)),"")</f>
        <v>2019</v>
      </c>
      <c r="L1716" s="7" t="str">
        <f aca="false">IF(TRIM(E1716)="","Unknown",IFERROR(LEFT(TRIM(E1716),FIND(",",TRIM(E1716))-1),TRIM(E1716)))</f>
        <v>Denmark</v>
      </c>
      <c r="M1716" s="7" t="str">
        <f aca="false">IFERROR(LEFT(J1716,FIND(",",J1716)-1),J1716)</f>
        <v>Documentaries</v>
      </c>
      <c r="N1716" s="7" t="n">
        <f aca="false">IF(B1716="Movie",IFERROR(VALUE(LEFT(I1716,FIND(" ",I1716)-1)),""),"")</f>
        <v>87</v>
      </c>
      <c r="O1716" s="7" t="str">
        <f aca="false">IF(B1716="TV Show",IFERROR(VALUE(LEFT(I1716,FIND(" ",I1716)-1)),""),"")</f>
        <v/>
      </c>
      <c r="P1716" s="7" t="n">
        <f aca="false">IF(K1716="","",K1716-G1716)</f>
        <v>3</v>
      </c>
    </row>
    <row r="1717" customFormat="false" ht="15" hidden="false" customHeight="false" outlineLevel="0" collapsed="false">
      <c r="A1717" s="7" t="n">
        <v>81073590</v>
      </c>
      <c r="B1717" s="7" t="s">
        <v>68</v>
      </c>
      <c r="C1717" s="7" t="s">
        <v>3872</v>
      </c>
      <c r="D1717" s="7" t="s">
        <v>3869</v>
      </c>
      <c r="E1717" s="7" t="s">
        <v>33</v>
      </c>
      <c r="F1717" s="7" t="s">
        <v>3867</v>
      </c>
      <c r="G1717" s="7" t="n">
        <v>2018</v>
      </c>
      <c r="H1717" s="7" t="s">
        <v>48</v>
      </c>
      <c r="I1717" s="7" t="s">
        <v>264</v>
      </c>
      <c r="J1717" s="7" t="s">
        <v>341</v>
      </c>
      <c r="K1717" s="7" t="n">
        <f aca="false">IFERROR(VALUE(RIGHT(TRIM(F1717),4)),"")</f>
        <v>2019</v>
      </c>
      <c r="L1717" s="7" t="str">
        <f aca="false">IF(TRIM(E1717)="","Unknown",IFERROR(LEFT(TRIM(E1717),FIND(",",TRIM(E1717))-1),TRIM(E1717)))</f>
        <v>Spain</v>
      </c>
      <c r="M1717" s="7" t="str">
        <f aca="false">IFERROR(LEFT(J1717,FIND(",",J1717)-1),J1717)</f>
        <v>Documentaries</v>
      </c>
      <c r="N1717" s="7" t="n">
        <f aca="false">IF(B1717="Movie",IFERROR(VALUE(LEFT(I1717,FIND(" ",I1717)-1)),""),"")</f>
        <v>88</v>
      </c>
      <c r="O1717" s="7" t="str">
        <f aca="false">IF(B1717="TV Show",IFERROR(VALUE(LEFT(I1717,FIND(" ",I1717)-1)),""),"")</f>
        <v/>
      </c>
      <c r="P1717" s="7" t="n">
        <f aca="false">IF(K1717="","",K1717-G1717)</f>
        <v>1</v>
      </c>
    </row>
    <row r="1718" customFormat="false" ht="15" hidden="false" customHeight="false" outlineLevel="0" collapsed="false">
      <c r="A1718" s="7" t="n">
        <v>81103108</v>
      </c>
      <c r="B1718" s="7" t="s">
        <v>68</v>
      </c>
      <c r="C1718" s="7" t="s">
        <v>3873</v>
      </c>
      <c r="D1718" s="7" t="s">
        <v>3874</v>
      </c>
      <c r="E1718" s="7" t="s">
        <v>26</v>
      </c>
      <c r="F1718" s="7" t="s">
        <v>3867</v>
      </c>
      <c r="G1718" s="7" t="n">
        <v>2018</v>
      </c>
      <c r="H1718" s="7" t="s">
        <v>49</v>
      </c>
      <c r="I1718" s="7" t="s">
        <v>138</v>
      </c>
      <c r="J1718" s="7" t="s">
        <v>177</v>
      </c>
      <c r="K1718" s="7" t="n">
        <f aca="false">IFERROR(VALUE(RIGHT(TRIM(F1718),4)),"")</f>
        <v>2019</v>
      </c>
      <c r="L1718" s="7" t="str">
        <f aca="false">IF(TRIM(E1718)="","Unknown",IFERROR(LEFT(TRIM(E1718),FIND(",",TRIM(E1718))-1),TRIM(E1718)))</f>
        <v>United States</v>
      </c>
      <c r="M1718" s="7" t="str">
        <f aca="false">IFERROR(LEFT(J1718,FIND(",",J1718)-1),J1718)</f>
        <v>Comedies</v>
      </c>
      <c r="N1718" s="7" t="n">
        <f aca="false">IF(B1718="Movie",IFERROR(VALUE(LEFT(I1718,FIND(" ",I1718)-1)),""),"")</f>
        <v>96</v>
      </c>
      <c r="O1718" s="7" t="str">
        <f aca="false">IF(B1718="TV Show",IFERROR(VALUE(LEFT(I1718,FIND(" ",I1718)-1)),""),"")</f>
        <v/>
      </c>
      <c r="P1718" s="7" t="n">
        <f aca="false">IF(K1718="","",K1718-G1718)</f>
        <v>1</v>
      </c>
    </row>
    <row r="1719" customFormat="false" ht="15" hidden="false" customHeight="false" outlineLevel="0" collapsed="false">
      <c r="A1719" s="7" t="n">
        <v>80999455</v>
      </c>
      <c r="B1719" s="7" t="s">
        <v>78</v>
      </c>
      <c r="C1719" s="7" t="s">
        <v>3875</v>
      </c>
      <c r="E1719" s="7" t="s">
        <v>26</v>
      </c>
      <c r="F1719" s="7" t="s">
        <v>3867</v>
      </c>
      <c r="G1719" s="7" t="n">
        <v>2019</v>
      </c>
      <c r="H1719" s="7" t="s">
        <v>48</v>
      </c>
      <c r="I1719" s="7" t="s">
        <v>82</v>
      </c>
      <c r="J1719" s="7" t="s">
        <v>289</v>
      </c>
      <c r="K1719" s="7" t="n">
        <f aca="false">IFERROR(VALUE(RIGHT(TRIM(F1719),4)),"")</f>
        <v>2019</v>
      </c>
      <c r="L1719" s="7" t="str">
        <f aca="false">IF(TRIM(E1719)="","Unknown",IFERROR(LEFT(TRIM(E1719),FIND(",",TRIM(E1719))-1),TRIM(E1719)))</f>
        <v>United States</v>
      </c>
      <c r="M1719" s="7" t="str">
        <f aca="false">IFERROR(LEFT(J1719,FIND(",",J1719)-1),J1719)</f>
        <v>TV Comedies</v>
      </c>
      <c r="N1719" s="7" t="str">
        <f aca="false">IF(B1719="Movie",IFERROR(VALUE(LEFT(I1719,FIND(" ",I1719)-1)),""),"")</f>
        <v/>
      </c>
      <c r="O1719" s="7" t="n">
        <f aca="false">IF(B1719="TV Show",IFERROR(VALUE(LEFT(I1719,FIND(" ",I1719)-1)),""),"")</f>
        <v>1</v>
      </c>
      <c r="P1719" s="7" t="n">
        <f aca="false">IF(K1719="","",K1719-G1719)</f>
        <v>0</v>
      </c>
    </row>
    <row r="1720" customFormat="false" ht="15" hidden="false" customHeight="false" outlineLevel="0" collapsed="false">
      <c r="A1720" s="7" t="n">
        <v>80236341</v>
      </c>
      <c r="B1720" s="7" t="s">
        <v>68</v>
      </c>
      <c r="C1720" s="7" t="s">
        <v>3876</v>
      </c>
      <c r="D1720" s="7" t="s">
        <v>3877</v>
      </c>
      <c r="E1720" s="7" t="s">
        <v>1269</v>
      </c>
      <c r="F1720" s="7" t="s">
        <v>3867</v>
      </c>
      <c r="G1720" s="7" t="n">
        <v>2019</v>
      </c>
      <c r="H1720" s="7" t="s">
        <v>48</v>
      </c>
      <c r="I1720" s="7" t="s">
        <v>73</v>
      </c>
      <c r="J1720" s="7" t="s">
        <v>322</v>
      </c>
      <c r="K1720" s="7" t="n">
        <f aca="false">IFERROR(VALUE(RIGHT(TRIM(F1720),4)),"")</f>
        <v>2019</v>
      </c>
      <c r="L1720" s="7" t="str">
        <f aca="false">IF(TRIM(E1720)="","Unknown",IFERROR(LEFT(TRIM(E1720),FIND(",",TRIM(E1720))-1),TRIM(E1720)))</f>
        <v>Philippines</v>
      </c>
      <c r="M1720" s="7" t="str">
        <f aca="false">IFERROR(LEFT(J1720,FIND(",",J1720)-1),J1720)</f>
        <v>Action &amp; Adventure</v>
      </c>
      <c r="N1720" s="7" t="n">
        <f aca="false">IF(B1720="Movie",IFERROR(VALUE(LEFT(I1720,FIND(" ",I1720)-1)),""),"")</f>
        <v>90</v>
      </c>
      <c r="O1720" s="7" t="str">
        <f aca="false">IF(B1720="TV Show",IFERROR(VALUE(LEFT(I1720,FIND(" ",I1720)-1)),""),"")</f>
        <v/>
      </c>
      <c r="P1720" s="7" t="n">
        <f aca="false">IF(K1720="","",K1720-G1720)</f>
        <v>0</v>
      </c>
    </row>
    <row r="1721" customFormat="false" ht="15" hidden="false" customHeight="false" outlineLevel="0" collapsed="false">
      <c r="A1721" s="7" t="n">
        <v>80191050</v>
      </c>
      <c r="B1721" s="7" t="s">
        <v>68</v>
      </c>
      <c r="C1721" s="7" t="s">
        <v>3878</v>
      </c>
      <c r="D1721" s="7" t="s">
        <v>3879</v>
      </c>
      <c r="F1721" s="7" t="s">
        <v>3867</v>
      </c>
      <c r="G1721" s="7" t="n">
        <v>2019</v>
      </c>
      <c r="H1721" s="7" t="s">
        <v>49</v>
      </c>
      <c r="I1721" s="7" t="s">
        <v>613</v>
      </c>
      <c r="J1721" s="7" t="s">
        <v>509</v>
      </c>
      <c r="K1721" s="7" t="n">
        <f aca="false">IFERROR(VALUE(RIGHT(TRIM(F1721),4)),"")</f>
        <v>2019</v>
      </c>
      <c r="L1721" s="7" t="str">
        <f aca="false">IF(TRIM(E1721)="","Unknown",IFERROR(LEFT(TRIM(E1721),FIND(",",TRIM(E1721))-1),TRIM(E1721)))</f>
        <v>Unknown</v>
      </c>
      <c r="M1721" s="7" t="str">
        <f aca="false">IFERROR(LEFT(J1721,FIND(",",J1721)-1),J1721)</f>
        <v>Documentaries</v>
      </c>
      <c r="N1721" s="7" t="n">
        <f aca="false">IF(B1721="Movie",IFERROR(VALUE(LEFT(I1721,FIND(" ",I1721)-1)),""),"")</f>
        <v>84</v>
      </c>
      <c r="O1721" s="7" t="str">
        <f aca="false">IF(B1721="TV Show",IFERROR(VALUE(LEFT(I1721,FIND(" ",I1721)-1)),""),"")</f>
        <v/>
      </c>
      <c r="P1721" s="7" t="n">
        <f aca="false">IF(K1721="","",K1721-G1721)</f>
        <v>0</v>
      </c>
    </row>
    <row r="1722" customFormat="false" ht="15" hidden="false" customHeight="false" outlineLevel="0" collapsed="false">
      <c r="A1722" s="7" t="n">
        <v>81041271</v>
      </c>
      <c r="B1722" s="7" t="s">
        <v>68</v>
      </c>
      <c r="C1722" s="7" t="s">
        <v>3880</v>
      </c>
      <c r="D1722" s="7" t="s">
        <v>3881</v>
      </c>
      <c r="E1722" s="7" t="s">
        <v>855</v>
      </c>
      <c r="F1722" s="7" t="s">
        <v>3867</v>
      </c>
      <c r="G1722" s="7" t="n">
        <v>2019</v>
      </c>
      <c r="H1722" s="7" t="s">
        <v>48</v>
      </c>
      <c r="I1722" s="7" t="s">
        <v>3882</v>
      </c>
      <c r="J1722" s="7" t="s">
        <v>45</v>
      </c>
      <c r="K1722" s="7" t="n">
        <f aca="false">IFERROR(VALUE(RIGHT(TRIM(F1722),4)),"")</f>
        <v>2019</v>
      </c>
      <c r="L1722" s="7" t="str">
        <f aca="false">IF(TRIM(E1722)="","Unknown",IFERROR(LEFT(TRIM(E1722),FIND(",",TRIM(E1722))-1),TRIM(E1722)))</f>
        <v>Italy</v>
      </c>
      <c r="M1722" s="7" t="str">
        <f aca="false">IFERROR(LEFT(J1722,FIND(",",J1722)-1),J1722)</f>
        <v>Stand-Up Comedy</v>
      </c>
      <c r="N1722" s="7" t="n">
        <f aca="false">IF(B1722="Movie",IFERROR(VALUE(LEFT(I1722,FIND(" ",I1722)-1)),""),"")</f>
        <v>53</v>
      </c>
      <c r="O1722" s="7" t="str">
        <f aca="false">IF(B1722="TV Show",IFERROR(VALUE(LEFT(I1722,FIND(" ",I1722)-1)),""),"")</f>
        <v/>
      </c>
      <c r="P1722" s="7" t="n">
        <f aca="false">IF(K1722="","",K1722-G1722)</f>
        <v>0</v>
      </c>
    </row>
    <row r="1723" customFormat="false" ht="15" hidden="false" customHeight="false" outlineLevel="0" collapsed="false">
      <c r="A1723" s="7" t="n">
        <v>80216758</v>
      </c>
      <c r="B1723" s="7" t="s">
        <v>68</v>
      </c>
      <c r="C1723" s="7" t="s">
        <v>3883</v>
      </c>
      <c r="D1723" s="7" t="s">
        <v>3884</v>
      </c>
      <c r="E1723" s="7" t="s">
        <v>26</v>
      </c>
      <c r="F1723" s="7" t="s">
        <v>3867</v>
      </c>
      <c r="G1723" s="7" t="n">
        <v>2019</v>
      </c>
      <c r="H1723" s="7" t="s">
        <v>48</v>
      </c>
      <c r="I1723" s="7" t="s">
        <v>494</v>
      </c>
      <c r="J1723" s="7" t="s">
        <v>400</v>
      </c>
      <c r="K1723" s="7" t="n">
        <f aca="false">IFERROR(VALUE(RIGHT(TRIM(F1723),4)),"")</f>
        <v>2019</v>
      </c>
      <c r="L1723" s="7" t="str">
        <f aca="false">IF(TRIM(E1723)="","Unknown",IFERROR(LEFT(TRIM(E1723),FIND(",",TRIM(E1723))-1),TRIM(E1723)))</f>
        <v>United States</v>
      </c>
      <c r="M1723" s="7" t="str">
        <f aca="false">IFERROR(LEFT(J1723,FIND(",",J1723)-1),J1723)</f>
        <v>Dramas</v>
      </c>
      <c r="N1723" s="7" t="n">
        <f aca="false">IF(B1723="Movie",IFERROR(VALUE(LEFT(I1723,FIND(" ",I1723)-1)),""),"")</f>
        <v>87</v>
      </c>
      <c r="O1723" s="7" t="str">
        <f aca="false">IF(B1723="TV Show",IFERROR(VALUE(LEFT(I1723,FIND(" ",I1723)-1)),""),"")</f>
        <v/>
      </c>
      <c r="P1723" s="7" t="n">
        <f aca="false">IF(K1723="","",K1723-G1723)</f>
        <v>0</v>
      </c>
    </row>
    <row r="1724" customFormat="false" ht="15" hidden="false" customHeight="false" outlineLevel="0" collapsed="false">
      <c r="A1724" s="7" t="n">
        <v>81092192</v>
      </c>
      <c r="B1724" s="7" t="s">
        <v>78</v>
      </c>
      <c r="C1724" s="7" t="s">
        <v>3885</v>
      </c>
      <c r="E1724" s="7" t="s">
        <v>366</v>
      </c>
      <c r="F1724" s="7" t="s">
        <v>3867</v>
      </c>
      <c r="G1724" s="7" t="n">
        <v>2019</v>
      </c>
      <c r="H1724" s="7" t="s">
        <v>49</v>
      </c>
      <c r="I1724" s="7" t="s">
        <v>82</v>
      </c>
      <c r="J1724" s="7" t="s">
        <v>158</v>
      </c>
      <c r="K1724" s="7" t="n">
        <f aca="false">IFERROR(VALUE(RIGHT(TRIM(F1724),4)),"")</f>
        <v>2019</v>
      </c>
      <c r="L1724" s="7" t="str">
        <f aca="false">IF(TRIM(E1724)="","Unknown",IFERROR(LEFT(TRIM(E1724),FIND(",",TRIM(E1724))-1),TRIM(E1724)))</f>
        <v>China</v>
      </c>
      <c r="M1724" s="7" t="str">
        <f aca="false">IFERROR(LEFT(J1724,FIND(",",J1724)-1),J1724)</f>
        <v>International TV Shows</v>
      </c>
      <c r="N1724" s="7" t="str">
        <f aca="false">IF(B1724="Movie",IFERROR(VALUE(LEFT(I1724,FIND(" ",I1724)-1)),""),"")</f>
        <v/>
      </c>
      <c r="O1724" s="7" t="n">
        <f aca="false">IF(B1724="TV Show",IFERROR(VALUE(LEFT(I1724,FIND(" ",I1724)-1)),""),"")</f>
        <v>1</v>
      </c>
      <c r="P1724" s="7" t="n">
        <f aca="false">IF(K1724="","",K1724-G1724)</f>
        <v>0</v>
      </c>
    </row>
    <row r="1725" customFormat="false" ht="15" hidden="false" customHeight="false" outlineLevel="0" collapsed="false">
      <c r="A1725" s="7" t="n">
        <v>70083809</v>
      </c>
      <c r="B1725" s="7" t="s">
        <v>68</v>
      </c>
      <c r="C1725" s="7" t="s">
        <v>3886</v>
      </c>
      <c r="D1725" s="7" t="s">
        <v>3887</v>
      </c>
      <c r="E1725" s="7" t="s">
        <v>26</v>
      </c>
      <c r="F1725" s="7" t="s">
        <v>3888</v>
      </c>
      <c r="G1725" s="7" t="n">
        <v>2007</v>
      </c>
      <c r="H1725" s="7" t="s">
        <v>53</v>
      </c>
      <c r="I1725" s="7" t="s">
        <v>357</v>
      </c>
      <c r="J1725" s="7" t="s">
        <v>45</v>
      </c>
      <c r="K1725" s="7" t="n">
        <f aca="false">IFERROR(VALUE(RIGHT(TRIM(F1725),4)),"")</f>
        <v>2018</v>
      </c>
      <c r="L1725" s="7" t="str">
        <f aca="false">IF(TRIM(E1725)="","Unknown",IFERROR(LEFT(TRIM(E1725),FIND(",",TRIM(E1725))-1),TRIM(E1725)))</f>
        <v>United States</v>
      </c>
      <c r="M1725" s="7" t="str">
        <f aca="false">IFERROR(LEFT(J1725,FIND(",",J1725)-1),J1725)</f>
        <v>Stand-Up Comedy</v>
      </c>
      <c r="N1725" s="7" t="n">
        <f aca="false">IF(B1725="Movie",IFERROR(VALUE(LEFT(I1725,FIND(" ",I1725)-1)),""),"")</f>
        <v>89</v>
      </c>
      <c r="O1725" s="7" t="str">
        <f aca="false">IF(B1725="TV Show",IFERROR(VALUE(LEFT(I1725,FIND(" ",I1725)-1)),""),"")</f>
        <v/>
      </c>
      <c r="P1725" s="7" t="n">
        <f aca="false">IF(K1725="","",K1725-G1725)</f>
        <v>11</v>
      </c>
    </row>
    <row r="1726" customFormat="false" ht="15" hidden="false" customHeight="false" outlineLevel="0" collapsed="false">
      <c r="A1726" s="7" t="n">
        <v>80028529</v>
      </c>
      <c r="B1726" s="7" t="s">
        <v>68</v>
      </c>
      <c r="C1726" s="7" t="s">
        <v>3889</v>
      </c>
      <c r="D1726" s="7" t="s">
        <v>3890</v>
      </c>
      <c r="E1726" s="7" t="s">
        <v>26</v>
      </c>
      <c r="F1726" s="7" t="s">
        <v>3891</v>
      </c>
      <c r="G1726" s="7" t="n">
        <v>2014</v>
      </c>
      <c r="H1726" s="7" t="s">
        <v>612</v>
      </c>
      <c r="I1726" s="7" t="s">
        <v>107</v>
      </c>
      <c r="J1726" s="7" t="s">
        <v>42</v>
      </c>
      <c r="K1726" s="7" t="n">
        <f aca="false">IFERROR(VALUE(RIGHT(TRIM(F1726),4)),"")</f>
        <v>2015</v>
      </c>
      <c r="L1726" s="7" t="str">
        <f aca="false">IF(TRIM(E1726)="","Unknown",IFERROR(LEFT(TRIM(E1726),FIND(",",TRIM(E1726))-1),TRIM(E1726)))</f>
        <v>United States</v>
      </c>
      <c r="M1726" s="7" t="str">
        <f aca="false">IFERROR(LEFT(J1726,FIND(",",J1726)-1),J1726)</f>
        <v>Children &amp; Family Movies</v>
      </c>
      <c r="N1726" s="7" t="n">
        <f aca="false">IF(B1726="Movie",IFERROR(VALUE(LEFT(I1726,FIND(" ",I1726)-1)),""),"")</f>
        <v>78</v>
      </c>
      <c r="O1726" s="7" t="str">
        <f aca="false">IF(B1726="TV Show",IFERROR(VALUE(LEFT(I1726,FIND(" ",I1726)-1)),""),"")</f>
        <v/>
      </c>
      <c r="P1726" s="7" t="n">
        <f aca="false">IF(K1726="","",K1726-G1726)</f>
        <v>1</v>
      </c>
    </row>
    <row r="1727" customFormat="false" ht="15" hidden="false" customHeight="false" outlineLevel="0" collapsed="false">
      <c r="A1727" s="7" t="n">
        <v>70154110</v>
      </c>
      <c r="B1727" s="7" t="s">
        <v>68</v>
      </c>
      <c r="C1727" s="7" t="s">
        <v>3892</v>
      </c>
      <c r="D1727" s="7" t="s">
        <v>3893</v>
      </c>
      <c r="E1727" s="7" t="s">
        <v>3894</v>
      </c>
      <c r="F1727" s="7" t="s">
        <v>3895</v>
      </c>
      <c r="G1727" s="7" t="n">
        <v>2010</v>
      </c>
      <c r="H1727" s="7" t="s">
        <v>53</v>
      </c>
      <c r="I1727" s="7" t="s">
        <v>330</v>
      </c>
      <c r="J1727" s="7" t="s">
        <v>304</v>
      </c>
      <c r="K1727" s="7" t="n">
        <f aca="false">IFERROR(VALUE(RIGHT(TRIM(F1727),4)),"")</f>
        <v>2011</v>
      </c>
      <c r="L1727" s="7" t="str">
        <f aca="false">IF(TRIM(E1727)="","Unknown",IFERROR(LEFT(TRIM(E1727),FIND(",",TRIM(E1727))-1),TRIM(E1727)))</f>
        <v>Spain</v>
      </c>
      <c r="M1727" s="7" t="str">
        <f aca="false">IFERROR(LEFT(J1727,FIND(",",J1727)-1),J1727)</f>
        <v>Dramas</v>
      </c>
      <c r="N1727" s="7" t="n">
        <f aca="false">IF(B1727="Movie",IFERROR(VALUE(LEFT(I1727,FIND(" ",I1727)-1)),""),"")</f>
        <v>103</v>
      </c>
      <c r="O1727" s="7" t="str">
        <f aca="false">IF(B1727="TV Show",IFERROR(VALUE(LEFT(I1727,FIND(" ",I1727)-1)),""),"")</f>
        <v/>
      </c>
      <c r="P1727" s="7" t="n">
        <f aca="false">IF(K1727="","",K1727-G1727)</f>
        <v>1</v>
      </c>
    </row>
    <row r="1728" customFormat="false" ht="15" hidden="false" customHeight="false" outlineLevel="0" collapsed="false">
      <c r="A1728" s="7" t="n">
        <v>80998967</v>
      </c>
      <c r="B1728" s="7" t="s">
        <v>68</v>
      </c>
      <c r="C1728" s="7" t="s">
        <v>3896</v>
      </c>
      <c r="D1728" s="7" t="s">
        <v>3897</v>
      </c>
      <c r="E1728" s="7" t="s">
        <v>26</v>
      </c>
      <c r="F1728" s="7" t="s">
        <v>3898</v>
      </c>
      <c r="G1728" s="7" t="n">
        <v>2019</v>
      </c>
      <c r="H1728" s="7" t="s">
        <v>50</v>
      </c>
      <c r="I1728" s="7" t="s">
        <v>73</v>
      </c>
      <c r="J1728" s="7" t="s">
        <v>295</v>
      </c>
      <c r="K1728" s="7" t="n">
        <f aca="false">IFERROR(VALUE(RIGHT(TRIM(F1728),4)),"")</f>
        <v>2019</v>
      </c>
      <c r="L1728" s="7" t="str">
        <f aca="false">IF(TRIM(E1728)="","Unknown",IFERROR(LEFT(TRIM(E1728),FIND(",",TRIM(E1728))-1),TRIM(E1728)))</f>
        <v>United States</v>
      </c>
      <c r="M1728" s="7" t="str">
        <f aca="false">IFERROR(LEFT(J1728,FIND(",",J1728)-1),J1728)</f>
        <v>Children &amp; Family Movies</v>
      </c>
      <c r="N1728" s="7" t="n">
        <f aca="false">IF(B1728="Movie",IFERROR(VALUE(LEFT(I1728,FIND(" ",I1728)-1)),""),"")</f>
        <v>90</v>
      </c>
      <c r="O1728" s="7" t="str">
        <f aca="false">IF(B1728="TV Show",IFERROR(VALUE(LEFT(I1728,FIND(" ",I1728)-1)),""),"")</f>
        <v/>
      </c>
      <c r="P1728" s="7" t="n">
        <f aca="false">IF(K1728="","",K1728-G1728)</f>
        <v>0</v>
      </c>
    </row>
    <row r="1729" customFormat="false" ht="15" hidden="false" customHeight="false" outlineLevel="0" collapsed="false">
      <c r="A1729" s="7" t="n">
        <v>81038047</v>
      </c>
      <c r="B1729" s="7" t="s">
        <v>68</v>
      </c>
      <c r="C1729" s="7" t="s">
        <v>3899</v>
      </c>
      <c r="D1729" s="7" t="s">
        <v>3900</v>
      </c>
      <c r="E1729" s="7" t="s">
        <v>27</v>
      </c>
      <c r="F1729" s="7" t="s">
        <v>3898</v>
      </c>
      <c r="G1729" s="7" t="n">
        <v>2018</v>
      </c>
      <c r="H1729" s="7" t="s">
        <v>49</v>
      </c>
      <c r="I1729" s="7" t="s">
        <v>138</v>
      </c>
      <c r="J1729" s="7" t="s">
        <v>188</v>
      </c>
      <c r="K1729" s="7" t="n">
        <f aca="false">IFERROR(VALUE(RIGHT(TRIM(F1729),4)),"")</f>
        <v>2019</v>
      </c>
      <c r="L1729" s="7" t="str">
        <f aca="false">IF(TRIM(E1729)="","Unknown",IFERROR(LEFT(TRIM(E1729),FIND(",",TRIM(E1729))-1),TRIM(E1729)))</f>
        <v>India</v>
      </c>
      <c r="M1729" s="7" t="str">
        <f aca="false">IFERROR(LEFT(J1729,FIND(",",J1729)-1),J1729)</f>
        <v>Dramas</v>
      </c>
      <c r="N1729" s="7" t="n">
        <f aca="false">IF(B1729="Movie",IFERROR(VALUE(LEFT(I1729,FIND(" ",I1729)-1)),""),"")</f>
        <v>96</v>
      </c>
      <c r="O1729" s="7" t="str">
        <f aca="false">IF(B1729="TV Show",IFERROR(VALUE(LEFT(I1729,FIND(" ",I1729)-1)),""),"")</f>
        <v/>
      </c>
      <c r="P1729" s="7" t="n">
        <f aca="false">IF(K1729="","",K1729-G1729)</f>
        <v>1</v>
      </c>
    </row>
    <row r="1730" customFormat="false" ht="15" hidden="false" customHeight="false" outlineLevel="0" collapsed="false">
      <c r="A1730" s="7" t="n">
        <v>60021906</v>
      </c>
      <c r="B1730" s="7" t="s">
        <v>68</v>
      </c>
      <c r="C1730" s="7" t="s">
        <v>3901</v>
      </c>
      <c r="D1730" s="7" t="s">
        <v>3902</v>
      </c>
      <c r="E1730" s="7" t="s">
        <v>27</v>
      </c>
      <c r="F1730" s="7" t="s">
        <v>3898</v>
      </c>
      <c r="G1730" s="7" t="n">
        <v>2001</v>
      </c>
      <c r="H1730" s="7" t="s">
        <v>50</v>
      </c>
      <c r="I1730" s="7" t="s">
        <v>1777</v>
      </c>
      <c r="J1730" s="7" t="s">
        <v>2195</v>
      </c>
      <c r="K1730" s="7" t="n">
        <f aca="false">IFERROR(VALUE(RIGHT(TRIM(F1730),4)),"")</f>
        <v>2019</v>
      </c>
      <c r="L1730" s="7" t="str">
        <f aca="false">IF(TRIM(E1730)="","Unknown",IFERROR(LEFT(TRIM(E1730),FIND(",",TRIM(E1730))-1),TRIM(E1730)))</f>
        <v>India</v>
      </c>
      <c r="M1730" s="7" t="str">
        <f aca="false">IFERROR(LEFT(J1730,FIND(",",J1730)-1),J1730)</f>
        <v>Comedies</v>
      </c>
      <c r="N1730" s="7" t="n">
        <f aca="false">IF(B1730="Movie",IFERROR(VALUE(LEFT(I1730,FIND(" ",I1730)-1)),""),"")</f>
        <v>150</v>
      </c>
      <c r="O1730" s="7" t="str">
        <f aca="false">IF(B1730="TV Show",IFERROR(VALUE(LEFT(I1730,FIND(" ",I1730)-1)),""),"")</f>
        <v/>
      </c>
      <c r="P1730" s="7" t="n">
        <f aca="false">IF(K1730="","",K1730-G1730)</f>
        <v>18</v>
      </c>
    </row>
    <row r="1731" customFormat="false" ht="15" hidden="false" customHeight="false" outlineLevel="0" collapsed="false">
      <c r="A1731" s="7" t="n">
        <v>70142827</v>
      </c>
      <c r="B1731" s="7" t="s">
        <v>68</v>
      </c>
      <c r="C1731" s="7" t="s">
        <v>2035</v>
      </c>
      <c r="D1731" s="7" t="s">
        <v>3903</v>
      </c>
      <c r="E1731" s="7" t="s">
        <v>26</v>
      </c>
      <c r="F1731" s="7" t="s">
        <v>3898</v>
      </c>
      <c r="G1731" s="7" t="n">
        <v>2011</v>
      </c>
      <c r="H1731" s="7" t="s">
        <v>52</v>
      </c>
      <c r="I1731" s="7" t="s">
        <v>820</v>
      </c>
      <c r="J1731" s="7" t="s">
        <v>3904</v>
      </c>
      <c r="K1731" s="7" t="n">
        <f aca="false">IFERROR(VALUE(RIGHT(TRIM(F1731),4)),"")</f>
        <v>2019</v>
      </c>
      <c r="L1731" s="7" t="str">
        <f aca="false">IF(TRIM(E1731)="","Unknown",IFERROR(LEFT(TRIM(E1731),FIND(",",TRIM(E1731))-1),TRIM(E1731)))</f>
        <v>United States</v>
      </c>
      <c r="M1731" s="7" t="str">
        <f aca="false">IFERROR(LEFT(J1731,FIND(",",J1731)-1),J1731)</f>
        <v>Action &amp; Adventure</v>
      </c>
      <c r="N1731" s="7" t="n">
        <f aca="false">IF(B1731="Movie",IFERROR(VALUE(LEFT(I1731,FIND(" ",I1731)-1)),""),"")</f>
        <v>105</v>
      </c>
      <c r="O1731" s="7" t="str">
        <f aca="false">IF(B1731="TV Show",IFERROR(VALUE(LEFT(I1731,FIND(" ",I1731)-1)),""),"")</f>
        <v/>
      </c>
      <c r="P1731" s="7" t="n">
        <f aca="false">IF(K1731="","",K1731-G1731)</f>
        <v>8</v>
      </c>
    </row>
    <row r="1732" customFormat="false" ht="15" hidden="false" customHeight="false" outlineLevel="0" collapsed="false">
      <c r="A1732" s="7" t="n">
        <v>70149579</v>
      </c>
      <c r="B1732" s="7" t="s">
        <v>68</v>
      </c>
      <c r="C1732" s="7" t="s">
        <v>3905</v>
      </c>
      <c r="D1732" s="7" t="s">
        <v>3388</v>
      </c>
      <c r="E1732" s="7" t="s">
        <v>27</v>
      </c>
      <c r="F1732" s="7" t="s">
        <v>3898</v>
      </c>
      <c r="G1732" s="7" t="n">
        <v>2010</v>
      </c>
      <c r="H1732" s="7" t="s">
        <v>48</v>
      </c>
      <c r="I1732" s="7" t="s">
        <v>168</v>
      </c>
      <c r="J1732" s="7" t="s">
        <v>188</v>
      </c>
      <c r="K1732" s="7" t="n">
        <f aca="false">IFERROR(VALUE(RIGHT(TRIM(F1732),4)),"")</f>
        <v>2019</v>
      </c>
      <c r="L1732" s="7" t="str">
        <f aca="false">IF(TRIM(E1732)="","Unknown",IFERROR(LEFT(TRIM(E1732),FIND(",",TRIM(E1732))-1),TRIM(E1732)))</f>
        <v>India</v>
      </c>
      <c r="M1732" s="7" t="str">
        <f aca="false">IFERROR(LEFT(J1732,FIND(",",J1732)-1),J1732)</f>
        <v>Dramas</v>
      </c>
      <c r="N1732" s="7" t="n">
        <f aca="false">IF(B1732="Movie",IFERROR(VALUE(LEFT(I1732,FIND(" ",I1732)-1)),""),"")</f>
        <v>112</v>
      </c>
      <c r="O1732" s="7" t="str">
        <f aca="false">IF(B1732="TV Show",IFERROR(VALUE(LEFT(I1732,FIND(" ",I1732)-1)),""),"")</f>
        <v/>
      </c>
      <c r="P1732" s="7" t="n">
        <f aca="false">IF(K1732="","",K1732-G1732)</f>
        <v>9</v>
      </c>
    </row>
    <row r="1733" customFormat="false" ht="15" hidden="false" customHeight="false" outlineLevel="0" collapsed="false">
      <c r="A1733" s="7" t="n">
        <v>70109375</v>
      </c>
      <c r="B1733" s="7" t="s">
        <v>68</v>
      </c>
      <c r="C1733" s="7" t="s">
        <v>3906</v>
      </c>
      <c r="D1733" s="7" t="s">
        <v>3907</v>
      </c>
      <c r="E1733" s="7" t="s">
        <v>27</v>
      </c>
      <c r="F1733" s="7" t="s">
        <v>3898</v>
      </c>
      <c r="G1733" s="7" t="n">
        <v>2008</v>
      </c>
      <c r="H1733" s="7" t="s">
        <v>48</v>
      </c>
      <c r="I1733" s="7" t="s">
        <v>519</v>
      </c>
      <c r="J1733" s="7" t="s">
        <v>2221</v>
      </c>
      <c r="K1733" s="7" t="n">
        <f aca="false">IFERROR(VALUE(RIGHT(TRIM(F1733),4)),"")</f>
        <v>2019</v>
      </c>
      <c r="L1733" s="7" t="str">
        <f aca="false">IF(TRIM(E1733)="","Unknown",IFERROR(LEFT(TRIM(E1733),FIND(",",TRIM(E1733))-1),TRIM(E1733)))</f>
        <v>India</v>
      </c>
      <c r="M1733" s="7" t="str">
        <f aca="false">IFERROR(LEFT(J1733,FIND(",",J1733)-1),J1733)</f>
        <v>Action &amp; Adventure</v>
      </c>
      <c r="N1733" s="7" t="n">
        <f aca="false">IF(B1733="Movie",IFERROR(VALUE(LEFT(I1733,FIND(" ",I1733)-1)),""),"")</f>
        <v>119</v>
      </c>
      <c r="O1733" s="7" t="str">
        <f aca="false">IF(B1733="TV Show",IFERROR(VALUE(LEFT(I1733,FIND(" ",I1733)-1)),""),"")</f>
        <v/>
      </c>
      <c r="P1733" s="7" t="n">
        <f aca="false">IF(K1733="","",K1733-G1733)</f>
        <v>11</v>
      </c>
    </row>
    <row r="1734" customFormat="false" ht="15" hidden="false" customHeight="false" outlineLevel="0" collapsed="false">
      <c r="A1734" s="7" t="n">
        <v>70289558</v>
      </c>
      <c r="B1734" s="7" t="s">
        <v>68</v>
      </c>
      <c r="C1734" s="7" t="s">
        <v>3908</v>
      </c>
      <c r="D1734" s="7" t="s">
        <v>1740</v>
      </c>
      <c r="E1734" s="7" t="s">
        <v>27</v>
      </c>
      <c r="F1734" s="7" t="s">
        <v>3898</v>
      </c>
      <c r="G1734" s="7" t="n">
        <v>2013</v>
      </c>
      <c r="H1734" s="7" t="s">
        <v>49</v>
      </c>
      <c r="I1734" s="7" t="s">
        <v>197</v>
      </c>
      <c r="J1734" s="7" t="s">
        <v>1042</v>
      </c>
      <c r="K1734" s="7" t="n">
        <f aca="false">IFERROR(VALUE(RIGHT(TRIM(F1734),4)),"")</f>
        <v>2019</v>
      </c>
      <c r="L1734" s="7" t="str">
        <f aca="false">IF(TRIM(E1734)="","Unknown",IFERROR(LEFT(TRIM(E1734),FIND(",",TRIM(E1734))-1),TRIM(E1734)))</f>
        <v>India</v>
      </c>
      <c r="M1734" s="7" t="str">
        <f aca="false">IFERROR(LEFT(J1734,FIND(",",J1734)-1),J1734)</f>
        <v>Dramas</v>
      </c>
      <c r="N1734" s="7" t="n">
        <f aca="false">IF(B1734="Movie",IFERROR(VALUE(LEFT(I1734,FIND(" ",I1734)-1)),""),"")</f>
        <v>142</v>
      </c>
      <c r="O1734" s="7" t="str">
        <f aca="false">IF(B1734="TV Show",IFERROR(VALUE(LEFT(I1734,FIND(" ",I1734)-1)),""),"")</f>
        <v/>
      </c>
      <c r="P1734" s="7" t="n">
        <f aca="false">IF(K1734="","",K1734-G1734)</f>
        <v>6</v>
      </c>
    </row>
    <row r="1735" customFormat="false" ht="15" hidden="false" customHeight="false" outlineLevel="0" collapsed="false">
      <c r="A1735" s="7" t="n">
        <v>81085319</v>
      </c>
      <c r="B1735" s="7" t="s">
        <v>68</v>
      </c>
      <c r="C1735" s="7" t="s">
        <v>3909</v>
      </c>
      <c r="D1735" s="7" t="s">
        <v>3910</v>
      </c>
      <c r="E1735" s="7" t="s">
        <v>28</v>
      </c>
      <c r="F1735" s="7" t="s">
        <v>3898</v>
      </c>
      <c r="G1735" s="7" t="n">
        <v>2019</v>
      </c>
      <c r="H1735" s="7" t="s">
        <v>50</v>
      </c>
      <c r="I1735" s="7" t="s">
        <v>77</v>
      </c>
      <c r="J1735" s="7" t="s">
        <v>38</v>
      </c>
      <c r="K1735" s="7" t="n">
        <f aca="false">IFERROR(VALUE(RIGHT(TRIM(F1735),4)),"")</f>
        <v>2019</v>
      </c>
      <c r="L1735" s="7" t="str">
        <f aca="false">IF(TRIM(E1735)="","Unknown",IFERROR(LEFT(TRIM(E1735),FIND(",",TRIM(E1735))-1),TRIM(E1735)))</f>
        <v>United Kingdom</v>
      </c>
      <c r="M1735" s="7" t="str">
        <f aca="false">IFERROR(LEFT(J1735,FIND(",",J1735)-1),J1735)</f>
        <v>Comedies</v>
      </c>
      <c r="N1735" s="7" t="n">
        <f aca="false">IF(B1735="Movie",IFERROR(VALUE(LEFT(I1735,FIND(" ",I1735)-1)),""),"")</f>
        <v>94</v>
      </c>
      <c r="O1735" s="7" t="str">
        <f aca="false">IF(B1735="TV Show",IFERROR(VALUE(LEFT(I1735,FIND(" ",I1735)-1)),""),"")</f>
        <v/>
      </c>
      <c r="P1735" s="7" t="n">
        <f aca="false">IF(K1735="","",K1735-G1735)</f>
        <v>0</v>
      </c>
    </row>
    <row r="1736" customFormat="false" ht="15" hidden="false" customHeight="false" outlineLevel="0" collapsed="false">
      <c r="A1736" s="7" t="n">
        <v>70117577</v>
      </c>
      <c r="B1736" s="7" t="s">
        <v>68</v>
      </c>
      <c r="C1736" s="7" t="s">
        <v>3911</v>
      </c>
      <c r="D1736" s="7" t="s">
        <v>3912</v>
      </c>
      <c r="E1736" s="7" t="s">
        <v>1996</v>
      </c>
      <c r="F1736" s="7" t="s">
        <v>3898</v>
      </c>
      <c r="G1736" s="7" t="n">
        <v>2011</v>
      </c>
      <c r="H1736" s="7" t="s">
        <v>51</v>
      </c>
      <c r="I1736" s="7" t="s">
        <v>451</v>
      </c>
      <c r="J1736" s="7" t="s">
        <v>177</v>
      </c>
      <c r="K1736" s="7" t="n">
        <f aca="false">IFERROR(VALUE(RIGHT(TRIM(F1736),4)),"")</f>
        <v>2019</v>
      </c>
      <c r="L1736" s="7" t="str">
        <f aca="false">IF(TRIM(E1736)="","Unknown",IFERROR(LEFT(TRIM(E1736),FIND(",",TRIM(E1736))-1),TRIM(E1736)))</f>
        <v>United States</v>
      </c>
      <c r="M1736" s="7" t="str">
        <f aca="false">IFERROR(LEFT(J1736,FIND(",",J1736)-1),J1736)</f>
        <v>Comedies</v>
      </c>
      <c r="N1736" s="7" t="n">
        <f aca="false">IF(B1736="Movie",IFERROR(VALUE(LEFT(I1736,FIND(" ",I1736)-1)),""),"")</f>
        <v>97</v>
      </c>
      <c r="O1736" s="7" t="str">
        <f aca="false">IF(B1736="TV Show",IFERROR(VALUE(LEFT(I1736,FIND(" ",I1736)-1)),""),"")</f>
        <v/>
      </c>
      <c r="P1736" s="7" t="n">
        <f aca="false">IF(K1736="","",K1736-G1736)</f>
        <v>8</v>
      </c>
    </row>
    <row r="1737" customFormat="false" ht="15" hidden="false" customHeight="false" outlineLevel="0" collapsed="false">
      <c r="A1737" s="7" t="n">
        <v>80227554</v>
      </c>
      <c r="B1737" s="7" t="s">
        <v>68</v>
      </c>
      <c r="C1737" s="7" t="s">
        <v>3913</v>
      </c>
      <c r="E1737" s="7" t="s">
        <v>28</v>
      </c>
      <c r="F1737" s="7" t="s">
        <v>3914</v>
      </c>
      <c r="G1737" s="7" t="n">
        <v>2017</v>
      </c>
      <c r="H1737" s="7" t="s">
        <v>50</v>
      </c>
      <c r="I1737" s="7" t="s">
        <v>494</v>
      </c>
      <c r="J1737" s="7" t="s">
        <v>3915</v>
      </c>
      <c r="K1737" s="7" t="n">
        <f aca="false">IFERROR(VALUE(RIGHT(TRIM(F1737),4)),"")</f>
        <v>2018</v>
      </c>
      <c r="L1737" s="7" t="str">
        <f aca="false">IF(TRIM(E1737)="","Unknown",IFERROR(LEFT(TRIM(E1737),FIND(",",TRIM(E1737))-1),TRIM(E1737)))</f>
        <v>United Kingdom</v>
      </c>
      <c r="M1737" s="7" t="str">
        <f aca="false">IFERROR(LEFT(J1737,FIND(",",J1737)-1),J1737)</f>
        <v>Sports Movies</v>
      </c>
      <c r="N1737" s="7" t="n">
        <f aca="false">IF(B1737="Movie",IFERROR(VALUE(LEFT(I1737,FIND(" ",I1737)-1)),""),"")</f>
        <v>87</v>
      </c>
      <c r="O1737" s="7" t="str">
        <f aca="false">IF(B1737="TV Show",IFERROR(VALUE(LEFT(I1737,FIND(" ",I1737)-1)),""),"")</f>
        <v/>
      </c>
      <c r="P1737" s="7" t="n">
        <f aca="false">IF(K1737="","",K1737-G1737)</f>
        <v>1</v>
      </c>
    </row>
    <row r="1738" customFormat="false" ht="15" hidden="false" customHeight="false" outlineLevel="0" collapsed="false">
      <c r="A1738" s="7" t="n">
        <v>70158421</v>
      </c>
      <c r="B1738" s="7" t="s">
        <v>68</v>
      </c>
      <c r="C1738" s="7" t="s">
        <v>3916</v>
      </c>
      <c r="D1738" s="7" t="s">
        <v>3917</v>
      </c>
      <c r="E1738" s="7" t="s">
        <v>27</v>
      </c>
      <c r="F1738" s="7" t="s">
        <v>3914</v>
      </c>
      <c r="G1738" s="7" t="n">
        <v>2010</v>
      </c>
      <c r="H1738" s="7" t="s">
        <v>50</v>
      </c>
      <c r="I1738" s="7" t="s">
        <v>2053</v>
      </c>
      <c r="J1738" s="7" t="s">
        <v>3918</v>
      </c>
      <c r="K1738" s="7" t="n">
        <f aca="false">IFERROR(VALUE(RIGHT(TRIM(F1738),4)),"")</f>
        <v>2018</v>
      </c>
      <c r="L1738" s="7" t="str">
        <f aca="false">IF(TRIM(E1738)="","Unknown",IFERROR(LEFT(TRIM(E1738),FIND(",",TRIM(E1738))-1),TRIM(E1738)))</f>
        <v>India</v>
      </c>
      <c r="M1738" s="7" t="str">
        <f aca="false">IFERROR(LEFT(J1738,FIND(",",J1738)-1),J1738)</f>
        <v>Children &amp; Family Movies</v>
      </c>
      <c r="N1738" s="7" t="n">
        <f aca="false">IF(B1738="Movie",IFERROR(VALUE(LEFT(I1738,FIND(" ",I1738)-1)),""),"")</f>
        <v>129</v>
      </c>
      <c r="O1738" s="7" t="str">
        <f aca="false">IF(B1738="TV Show",IFERROR(VALUE(LEFT(I1738,FIND(" ",I1738)-1)),""),"")</f>
        <v/>
      </c>
      <c r="P1738" s="7" t="n">
        <f aca="false">IF(K1738="","",K1738-G1738)</f>
        <v>8</v>
      </c>
    </row>
    <row r="1739" customFormat="false" ht="15" hidden="false" customHeight="false" outlineLevel="0" collapsed="false">
      <c r="A1739" s="7" t="n">
        <v>20258084</v>
      </c>
      <c r="B1739" s="7" t="s">
        <v>68</v>
      </c>
      <c r="C1739" s="7" t="s">
        <v>3919</v>
      </c>
      <c r="D1739" s="7" t="s">
        <v>3920</v>
      </c>
      <c r="E1739" s="7" t="s">
        <v>27</v>
      </c>
      <c r="F1739" s="7" t="s">
        <v>3914</v>
      </c>
      <c r="G1739" s="7" t="n">
        <v>1994</v>
      </c>
      <c r="H1739" s="7" t="s">
        <v>50</v>
      </c>
      <c r="I1739" s="7" t="s">
        <v>1094</v>
      </c>
      <c r="J1739" s="7" t="s">
        <v>2082</v>
      </c>
      <c r="K1739" s="7" t="n">
        <f aca="false">IFERROR(VALUE(RIGHT(TRIM(F1739),4)),"")</f>
        <v>2018</v>
      </c>
      <c r="L1739" s="7" t="str">
        <f aca="false">IF(TRIM(E1739)="","Unknown",IFERROR(LEFT(TRIM(E1739),FIND(",",TRIM(E1739))-1),TRIM(E1739)))</f>
        <v>India</v>
      </c>
      <c r="M1739" s="7" t="str">
        <f aca="false">IFERROR(LEFT(J1739,FIND(",",J1739)-1),J1739)</f>
        <v>Comedies</v>
      </c>
      <c r="N1739" s="7" t="n">
        <f aca="false">IF(B1739="Movie",IFERROR(VALUE(LEFT(I1739,FIND(" ",I1739)-1)),""),"")</f>
        <v>160</v>
      </c>
      <c r="O1739" s="7" t="str">
        <f aca="false">IF(B1739="TV Show",IFERROR(VALUE(LEFT(I1739,FIND(" ",I1739)-1)),""),"")</f>
        <v/>
      </c>
      <c r="P1739" s="7" t="n">
        <f aca="false">IF(K1739="","",K1739-G1739)</f>
        <v>24</v>
      </c>
    </row>
    <row r="1740" customFormat="false" ht="15" hidden="false" customHeight="false" outlineLevel="0" collapsed="false">
      <c r="A1740" s="7" t="n">
        <v>80233511</v>
      </c>
      <c r="B1740" s="7" t="s">
        <v>68</v>
      </c>
      <c r="C1740" s="7" t="s">
        <v>3921</v>
      </c>
      <c r="D1740" s="7" t="s">
        <v>3922</v>
      </c>
      <c r="E1740" s="7" t="s">
        <v>3923</v>
      </c>
      <c r="F1740" s="7" t="s">
        <v>3914</v>
      </c>
      <c r="G1740" s="7" t="n">
        <v>2017</v>
      </c>
      <c r="H1740" s="7" t="s">
        <v>49</v>
      </c>
      <c r="I1740" s="7" t="s">
        <v>1317</v>
      </c>
      <c r="J1740" s="7" t="s">
        <v>341</v>
      </c>
      <c r="K1740" s="7" t="n">
        <f aca="false">IFERROR(VALUE(RIGHT(TRIM(F1740),4)),"")</f>
        <v>2018</v>
      </c>
      <c r="L1740" s="7" t="str">
        <f aca="false">IF(TRIM(E1740)="","Unknown",IFERROR(LEFT(TRIM(E1740),FIND(",",TRIM(E1740))-1),TRIM(E1740)))</f>
        <v>Argentina</v>
      </c>
      <c r="M1740" s="7" t="str">
        <f aca="false">IFERROR(LEFT(J1740,FIND(",",J1740)-1),J1740)</f>
        <v>Documentaries</v>
      </c>
      <c r="N1740" s="7" t="n">
        <f aca="false">IF(B1740="Movie",IFERROR(VALUE(LEFT(I1740,FIND(" ",I1740)-1)),""),"")</f>
        <v>66</v>
      </c>
      <c r="O1740" s="7" t="str">
        <f aca="false">IF(B1740="TV Show",IFERROR(VALUE(LEFT(I1740,FIND(" ",I1740)-1)),""),"")</f>
        <v/>
      </c>
      <c r="P1740" s="7" t="n">
        <f aca="false">IF(K1740="","",K1740-G1740)</f>
        <v>1</v>
      </c>
    </row>
    <row r="1741" customFormat="false" ht="15" hidden="false" customHeight="false" outlineLevel="0" collapsed="false">
      <c r="A1741" s="7" t="n">
        <v>80097814</v>
      </c>
      <c r="B1741" s="7" t="s">
        <v>68</v>
      </c>
      <c r="C1741" s="7" t="s">
        <v>3924</v>
      </c>
      <c r="D1741" s="7" t="s">
        <v>3925</v>
      </c>
      <c r="E1741" s="7" t="s">
        <v>317</v>
      </c>
      <c r="F1741" s="7" t="s">
        <v>3926</v>
      </c>
      <c r="G1741" s="7" t="n">
        <v>2016</v>
      </c>
      <c r="H1741" s="7" t="s">
        <v>51</v>
      </c>
      <c r="I1741" s="7" t="s">
        <v>519</v>
      </c>
      <c r="J1741" s="7" t="s">
        <v>150</v>
      </c>
      <c r="K1741" s="7" t="n">
        <f aca="false">IFERROR(VALUE(RIGHT(TRIM(F1741),4)),"")</f>
        <v>2017</v>
      </c>
      <c r="L1741" s="7" t="str">
        <f aca="false">IF(TRIM(E1741)="","Unknown",IFERROR(LEFT(TRIM(E1741),FIND(",",TRIM(E1741))-1),TRIM(E1741)))</f>
        <v>United Kingdom</v>
      </c>
      <c r="M1741" s="7" t="str">
        <f aca="false">IFERROR(LEFT(J1741,FIND(",",J1741)-1),J1741)</f>
        <v>Dramas</v>
      </c>
      <c r="N1741" s="7" t="n">
        <f aca="false">IF(B1741="Movie",IFERROR(VALUE(LEFT(I1741,FIND(" ",I1741)-1)),""),"")</f>
        <v>119</v>
      </c>
      <c r="O1741" s="7" t="str">
        <f aca="false">IF(B1741="TV Show",IFERROR(VALUE(LEFT(I1741,FIND(" ",I1741)-1)),""),"")</f>
        <v/>
      </c>
      <c r="P1741" s="7" t="n">
        <f aca="false">IF(K1741="","",K1741-G1741)</f>
        <v>1</v>
      </c>
    </row>
    <row r="1742" customFormat="false" ht="15" hidden="false" customHeight="false" outlineLevel="0" collapsed="false">
      <c r="A1742" s="7" t="n">
        <v>70241757</v>
      </c>
      <c r="B1742" s="7" t="s">
        <v>68</v>
      </c>
      <c r="C1742" s="7" t="s">
        <v>3927</v>
      </c>
      <c r="D1742" s="7" t="s">
        <v>3928</v>
      </c>
      <c r="E1742" s="7" t="s">
        <v>26</v>
      </c>
      <c r="F1742" s="7" t="s">
        <v>3926</v>
      </c>
      <c r="G1742" s="7" t="n">
        <v>2012</v>
      </c>
      <c r="H1742" s="7" t="s">
        <v>51</v>
      </c>
      <c r="I1742" s="7" t="s">
        <v>879</v>
      </c>
      <c r="J1742" s="7" t="s">
        <v>150</v>
      </c>
      <c r="K1742" s="7" t="n">
        <f aca="false">IFERROR(VALUE(RIGHT(TRIM(F1742),4)),"")</f>
        <v>2017</v>
      </c>
      <c r="L1742" s="7" t="str">
        <f aca="false">IF(TRIM(E1742)="","Unknown",IFERROR(LEFT(TRIM(E1742),FIND(",",TRIM(E1742))-1),TRIM(E1742)))</f>
        <v>United States</v>
      </c>
      <c r="M1742" s="7" t="str">
        <f aca="false">IFERROR(LEFT(J1742,FIND(",",J1742)-1),J1742)</f>
        <v>Dramas</v>
      </c>
      <c r="N1742" s="7" t="n">
        <f aca="false">IF(B1742="Movie",IFERROR(VALUE(LEFT(I1742,FIND(" ",I1742)-1)),""),"")</f>
        <v>140</v>
      </c>
      <c r="O1742" s="7" t="str">
        <f aca="false">IF(B1742="TV Show",IFERROR(VALUE(LEFT(I1742,FIND(" ",I1742)-1)),""),"")</f>
        <v/>
      </c>
      <c r="P1742" s="7" t="n">
        <f aca="false">IF(K1742="","",K1742-G1742)</f>
        <v>5</v>
      </c>
    </row>
    <row r="1743" customFormat="false" ht="15" hidden="false" customHeight="false" outlineLevel="0" collapsed="false">
      <c r="A1743" s="7" t="n">
        <v>80133551</v>
      </c>
      <c r="B1743" s="7" t="s">
        <v>68</v>
      </c>
      <c r="C1743" s="7" t="s">
        <v>3929</v>
      </c>
      <c r="D1743" s="7" t="s">
        <v>1172</v>
      </c>
      <c r="E1743" s="7" t="s">
        <v>26</v>
      </c>
      <c r="F1743" s="7" t="s">
        <v>3926</v>
      </c>
      <c r="G1743" s="7" t="n">
        <v>2017</v>
      </c>
      <c r="H1743" s="7" t="s">
        <v>48</v>
      </c>
      <c r="I1743" s="7" t="s">
        <v>1757</v>
      </c>
      <c r="J1743" s="7" t="s">
        <v>45</v>
      </c>
      <c r="K1743" s="7" t="n">
        <f aca="false">IFERROR(VALUE(RIGHT(TRIM(F1743),4)),"")</f>
        <v>2017</v>
      </c>
      <c r="L1743" s="7" t="str">
        <f aca="false">IF(TRIM(E1743)="","Unknown",IFERROR(LEFT(TRIM(E1743),FIND(",",TRIM(E1743))-1),TRIM(E1743)))</f>
        <v>United States</v>
      </c>
      <c r="M1743" s="7" t="str">
        <f aca="false">IFERROR(LEFT(J1743,FIND(",",J1743)-1),J1743)</f>
        <v>Stand-Up Comedy</v>
      </c>
      <c r="N1743" s="7" t="n">
        <f aca="false">IF(B1743="Movie",IFERROR(VALUE(LEFT(I1743,FIND(" ",I1743)-1)),""),"")</f>
        <v>59</v>
      </c>
      <c r="O1743" s="7" t="str">
        <f aca="false">IF(B1743="TV Show",IFERROR(VALUE(LEFT(I1743,FIND(" ",I1743)-1)),""),"")</f>
        <v/>
      </c>
      <c r="P1743" s="7" t="n">
        <f aca="false">IF(K1743="","",K1743-G1743)</f>
        <v>0</v>
      </c>
    </row>
    <row r="1744" customFormat="false" ht="15" hidden="false" customHeight="false" outlineLevel="0" collapsed="false">
      <c r="A1744" s="7" t="n">
        <v>81110388</v>
      </c>
      <c r="B1744" s="7" t="s">
        <v>68</v>
      </c>
      <c r="C1744" s="7" t="s">
        <v>3930</v>
      </c>
      <c r="D1744" s="7" t="s">
        <v>3931</v>
      </c>
      <c r="E1744" s="7" t="s">
        <v>259</v>
      </c>
      <c r="F1744" s="7" t="s">
        <v>3932</v>
      </c>
      <c r="G1744" s="7" t="n">
        <v>2018</v>
      </c>
      <c r="H1744" s="7" t="s">
        <v>50</v>
      </c>
      <c r="I1744" s="7" t="s">
        <v>749</v>
      </c>
      <c r="J1744" s="7" t="s">
        <v>457</v>
      </c>
      <c r="K1744" s="7" t="n">
        <f aca="false">IFERROR(VALUE(RIGHT(TRIM(F1744),4)),"")</f>
        <v>2019</v>
      </c>
      <c r="L1744" s="7" t="str">
        <f aca="false">IF(TRIM(E1744)="","Unknown",IFERROR(LEFT(TRIM(E1744),FIND(",",TRIM(E1744))-1),TRIM(E1744)))</f>
        <v>Pakistan</v>
      </c>
      <c r="M1744" s="7" t="str">
        <f aca="false">IFERROR(LEFT(J1744,FIND(",",J1744)-1),J1744)</f>
        <v>Comedies</v>
      </c>
      <c r="N1744" s="7" t="n">
        <f aca="false">IF(B1744="Movie",IFERROR(VALUE(LEFT(I1744,FIND(" ",I1744)-1)),""),"")</f>
        <v>137</v>
      </c>
      <c r="O1744" s="7" t="str">
        <f aca="false">IF(B1744="TV Show",IFERROR(VALUE(LEFT(I1744,FIND(" ",I1744)-1)),""),"")</f>
        <v/>
      </c>
      <c r="P1744" s="7" t="n">
        <f aca="false">IF(K1744="","",K1744-G1744)</f>
        <v>1</v>
      </c>
    </row>
    <row r="1745" customFormat="false" ht="15" hidden="false" customHeight="false" outlineLevel="0" collapsed="false">
      <c r="A1745" s="7" t="n">
        <v>80220311</v>
      </c>
      <c r="B1745" s="7" t="s">
        <v>68</v>
      </c>
      <c r="C1745" s="7" t="s">
        <v>3933</v>
      </c>
      <c r="D1745" s="7" t="s">
        <v>3934</v>
      </c>
      <c r="E1745" s="7" t="s">
        <v>28</v>
      </c>
      <c r="F1745" s="7" t="s">
        <v>3932</v>
      </c>
      <c r="G1745" s="7" t="n">
        <v>2018</v>
      </c>
      <c r="H1745" s="7" t="s">
        <v>51</v>
      </c>
      <c r="I1745" s="7" t="s">
        <v>205</v>
      </c>
      <c r="J1745" s="7" t="s">
        <v>40</v>
      </c>
      <c r="K1745" s="7" t="n">
        <f aca="false">IFERROR(VALUE(RIGHT(TRIM(F1745),4)),"")</f>
        <v>2019</v>
      </c>
      <c r="L1745" s="7" t="str">
        <f aca="false">IF(TRIM(E1745)="","Unknown",IFERROR(LEFT(TRIM(E1745),FIND(",",TRIM(E1745))-1),TRIM(E1745)))</f>
        <v>United Kingdom</v>
      </c>
      <c r="M1745" s="7" t="str">
        <f aca="false">IFERROR(LEFT(J1745,FIND(",",J1745)-1),J1745)</f>
        <v>Action &amp; Adventure</v>
      </c>
      <c r="N1745" s="7" t="n">
        <f aca="false">IF(B1745="Movie",IFERROR(VALUE(LEFT(I1745,FIND(" ",I1745)-1)),""),"")</f>
        <v>100</v>
      </c>
      <c r="O1745" s="7" t="str">
        <f aca="false">IF(B1745="TV Show",IFERROR(VALUE(LEFT(I1745,FIND(" ",I1745)-1)),""),"")</f>
        <v/>
      </c>
      <c r="P1745" s="7" t="n">
        <f aca="false">IF(K1745="","",K1745-G1745)</f>
        <v>1</v>
      </c>
    </row>
    <row r="1746" customFormat="false" ht="15" hidden="false" customHeight="false" outlineLevel="0" collapsed="false">
      <c r="A1746" s="7" t="n">
        <v>81110389</v>
      </c>
      <c r="B1746" s="7" t="s">
        <v>68</v>
      </c>
      <c r="C1746" s="7" t="s">
        <v>3935</v>
      </c>
      <c r="D1746" s="7" t="s">
        <v>3936</v>
      </c>
      <c r="E1746" s="7" t="s">
        <v>3937</v>
      </c>
      <c r="F1746" s="7" t="s">
        <v>3932</v>
      </c>
      <c r="G1746" s="7" t="n">
        <v>2018</v>
      </c>
      <c r="H1746" s="7" t="s">
        <v>49</v>
      </c>
      <c r="I1746" s="7" t="s">
        <v>194</v>
      </c>
      <c r="J1746" s="7" t="s">
        <v>217</v>
      </c>
      <c r="K1746" s="7" t="n">
        <f aca="false">IFERROR(VALUE(RIGHT(TRIM(F1746),4)),"")</f>
        <v>2019</v>
      </c>
      <c r="L1746" s="7" t="str">
        <f aca="false">IF(TRIM(E1746)="","Unknown",IFERROR(LEFT(TRIM(E1746),FIND(",",TRIM(E1746))-1),TRIM(E1746)))</f>
        <v>United Kingdom</v>
      </c>
      <c r="M1746" s="7" t="str">
        <f aca="false">IFERROR(LEFT(J1746,FIND(",",J1746)-1),J1746)</f>
        <v>Comedies</v>
      </c>
      <c r="N1746" s="7" t="n">
        <f aca="false">IF(B1746="Movie",IFERROR(VALUE(LEFT(I1746,FIND(" ",I1746)-1)),""),"")</f>
        <v>125</v>
      </c>
      <c r="O1746" s="7" t="str">
        <f aca="false">IF(B1746="TV Show",IFERROR(VALUE(LEFT(I1746,FIND(" ",I1746)-1)),""),"")</f>
        <v/>
      </c>
      <c r="P1746" s="7" t="n">
        <f aca="false">IF(K1746="","",K1746-G1746)</f>
        <v>1</v>
      </c>
    </row>
    <row r="1747" customFormat="false" ht="15" hidden="false" customHeight="false" outlineLevel="0" collapsed="false">
      <c r="A1747" s="7" t="n">
        <v>81112772</v>
      </c>
      <c r="B1747" s="7" t="s">
        <v>78</v>
      </c>
      <c r="C1747" s="7" t="s">
        <v>3938</v>
      </c>
      <c r="E1747" s="7" t="s">
        <v>28</v>
      </c>
      <c r="F1747" s="7" t="s">
        <v>3932</v>
      </c>
      <c r="G1747" s="7" t="n">
        <v>2017</v>
      </c>
      <c r="H1747" s="7" t="s">
        <v>55</v>
      </c>
      <c r="I1747" s="7" t="s">
        <v>82</v>
      </c>
      <c r="J1747" s="7" t="s">
        <v>3939</v>
      </c>
      <c r="K1747" s="7" t="n">
        <f aca="false">IFERROR(VALUE(RIGHT(TRIM(F1747),4)),"")</f>
        <v>2019</v>
      </c>
      <c r="L1747" s="7" t="str">
        <f aca="false">IF(TRIM(E1747)="","Unknown",IFERROR(LEFT(TRIM(E1747),FIND(",",TRIM(E1747))-1),TRIM(E1747)))</f>
        <v>United Kingdom</v>
      </c>
      <c r="M1747" s="7" t="str">
        <f aca="false">IFERROR(LEFT(J1747,FIND(",",J1747)-1),J1747)</f>
        <v>British TV Shows</v>
      </c>
      <c r="N1747" s="7" t="str">
        <f aca="false">IF(B1747="Movie",IFERROR(VALUE(LEFT(I1747,FIND(" ",I1747)-1)),""),"")</f>
        <v/>
      </c>
      <c r="O1747" s="7" t="n">
        <f aca="false">IF(B1747="TV Show",IFERROR(VALUE(LEFT(I1747,FIND(" ",I1747)-1)),""),"")</f>
        <v>1</v>
      </c>
      <c r="P1747" s="7" t="n">
        <f aca="false">IF(K1747="","",K1747-G1747)</f>
        <v>2</v>
      </c>
    </row>
    <row r="1748" customFormat="false" ht="15" hidden="false" customHeight="false" outlineLevel="0" collapsed="false">
      <c r="A1748" s="7" t="n">
        <v>70111279</v>
      </c>
      <c r="B1748" s="7" t="s">
        <v>68</v>
      </c>
      <c r="C1748" s="7" t="s">
        <v>3940</v>
      </c>
      <c r="D1748" s="7" t="s">
        <v>3941</v>
      </c>
      <c r="E1748" s="7" t="s">
        <v>27</v>
      </c>
      <c r="F1748" s="7" t="s">
        <v>3932</v>
      </c>
      <c r="G1748" s="7" t="n">
        <v>2008</v>
      </c>
      <c r="H1748" s="7" t="s">
        <v>49</v>
      </c>
      <c r="I1748" s="7" t="s">
        <v>261</v>
      </c>
      <c r="J1748" s="7" t="s">
        <v>217</v>
      </c>
      <c r="K1748" s="7" t="n">
        <f aca="false">IFERROR(VALUE(RIGHT(TRIM(F1748),4)),"")</f>
        <v>2019</v>
      </c>
      <c r="L1748" s="7" t="str">
        <f aca="false">IF(TRIM(E1748)="","Unknown",IFERROR(LEFT(TRIM(E1748),FIND(",",TRIM(E1748))-1),TRIM(E1748)))</f>
        <v>India</v>
      </c>
      <c r="M1748" s="7" t="str">
        <f aca="false">IFERROR(LEFT(J1748,FIND(",",J1748)-1),J1748)</f>
        <v>Comedies</v>
      </c>
      <c r="N1748" s="7" t="n">
        <f aca="false">IF(B1748="Movie",IFERROR(VALUE(LEFT(I1748,FIND(" ",I1748)-1)),""),"")</f>
        <v>128</v>
      </c>
      <c r="O1748" s="7" t="str">
        <f aca="false">IF(B1748="TV Show",IFERROR(VALUE(LEFT(I1748,FIND(" ",I1748)-1)),""),"")</f>
        <v/>
      </c>
      <c r="P1748" s="7" t="n">
        <f aca="false">IF(K1748="","",K1748-G1748)</f>
        <v>11</v>
      </c>
    </row>
    <row r="1749" customFormat="false" ht="15" hidden="false" customHeight="false" outlineLevel="0" collapsed="false">
      <c r="A1749" s="7" t="n">
        <v>81123050</v>
      </c>
      <c r="B1749" s="7" t="s">
        <v>68</v>
      </c>
      <c r="C1749" s="7" t="s">
        <v>3942</v>
      </c>
      <c r="D1749" s="7" t="s">
        <v>3943</v>
      </c>
      <c r="E1749" s="7" t="s">
        <v>27</v>
      </c>
      <c r="F1749" s="7" t="s">
        <v>3932</v>
      </c>
      <c r="G1749" s="7" t="n">
        <v>2018</v>
      </c>
      <c r="H1749" s="7" t="s">
        <v>49</v>
      </c>
      <c r="I1749" s="7" t="s">
        <v>268</v>
      </c>
      <c r="J1749" s="7" t="s">
        <v>188</v>
      </c>
      <c r="K1749" s="7" t="n">
        <f aca="false">IFERROR(VALUE(RIGHT(TRIM(F1749),4)),"")</f>
        <v>2019</v>
      </c>
      <c r="L1749" s="7" t="str">
        <f aca="false">IF(TRIM(E1749)="","Unknown",IFERROR(LEFT(TRIM(E1749),FIND(",",TRIM(E1749))-1),TRIM(E1749)))</f>
        <v>India</v>
      </c>
      <c r="M1749" s="7" t="str">
        <f aca="false">IFERROR(LEFT(J1749,FIND(",",J1749)-1),J1749)</f>
        <v>Dramas</v>
      </c>
      <c r="N1749" s="7" t="n">
        <f aca="false">IF(B1749="Movie",IFERROR(VALUE(LEFT(I1749,FIND(" ",I1749)-1)),""),"")</f>
        <v>108</v>
      </c>
      <c r="O1749" s="7" t="str">
        <f aca="false">IF(B1749="TV Show",IFERROR(VALUE(LEFT(I1749,FIND(" ",I1749)-1)),""),"")</f>
        <v/>
      </c>
      <c r="P1749" s="7" t="n">
        <f aca="false">IF(K1749="","",K1749-G1749)</f>
        <v>1</v>
      </c>
    </row>
    <row r="1750" customFormat="false" ht="15" hidden="false" customHeight="false" outlineLevel="0" collapsed="false">
      <c r="A1750" s="7" t="n">
        <v>81037237</v>
      </c>
      <c r="B1750" s="7" t="s">
        <v>78</v>
      </c>
      <c r="C1750" s="7" t="s">
        <v>3944</v>
      </c>
      <c r="E1750" s="7" t="s">
        <v>1113</v>
      </c>
      <c r="F1750" s="7" t="s">
        <v>3932</v>
      </c>
      <c r="G1750" s="7" t="n">
        <v>2017</v>
      </c>
      <c r="H1750" s="7" t="s">
        <v>226</v>
      </c>
      <c r="I1750" s="7" t="s">
        <v>82</v>
      </c>
      <c r="J1750" s="7" t="s">
        <v>3945</v>
      </c>
      <c r="K1750" s="7" t="n">
        <f aca="false">IFERROR(VALUE(RIGHT(TRIM(F1750),4)),"")</f>
        <v>2019</v>
      </c>
      <c r="L1750" s="7" t="str">
        <f aca="false">IF(TRIM(E1750)="","Unknown",IFERROR(LEFT(TRIM(E1750),FIND(",",TRIM(E1750))-1),TRIM(E1750)))</f>
        <v>Argentina</v>
      </c>
      <c r="M1750" s="7" t="str">
        <f aca="false">IFERROR(LEFT(J1750,FIND(",",J1750)-1),J1750)</f>
        <v>Kids' TV</v>
      </c>
      <c r="N1750" s="7" t="str">
        <f aca="false">IF(B1750="Movie",IFERROR(VALUE(LEFT(I1750,FIND(" ",I1750)-1)),""),"")</f>
        <v/>
      </c>
      <c r="O1750" s="7" t="n">
        <f aca="false">IF(B1750="TV Show",IFERROR(VALUE(LEFT(I1750,FIND(" ",I1750)-1)),""),"")</f>
        <v>1</v>
      </c>
      <c r="P1750" s="7" t="n">
        <f aca="false">IF(K1750="","",K1750-G1750)</f>
        <v>2</v>
      </c>
    </row>
    <row r="1751" customFormat="false" ht="15" hidden="false" customHeight="false" outlineLevel="0" collapsed="false">
      <c r="A1751" s="7" t="n">
        <v>81087124</v>
      </c>
      <c r="B1751" s="7" t="s">
        <v>78</v>
      </c>
      <c r="C1751" s="7" t="s">
        <v>3946</v>
      </c>
      <c r="F1751" s="7" t="s">
        <v>3932</v>
      </c>
      <c r="G1751" s="7" t="n">
        <v>2019</v>
      </c>
      <c r="H1751" s="7" t="s">
        <v>49</v>
      </c>
      <c r="I1751" s="7" t="s">
        <v>82</v>
      </c>
      <c r="J1751" s="7" t="s">
        <v>314</v>
      </c>
      <c r="K1751" s="7" t="n">
        <f aca="false">IFERROR(VALUE(RIGHT(TRIM(F1751),4)),"")</f>
        <v>2019</v>
      </c>
      <c r="L1751" s="7" t="str">
        <f aca="false">IF(TRIM(E1751)="","Unknown",IFERROR(LEFT(TRIM(E1751),FIND(",",TRIM(E1751))-1),TRIM(E1751)))</f>
        <v>Unknown</v>
      </c>
      <c r="M1751" s="7" t="str">
        <f aca="false">IFERROR(LEFT(J1751,FIND(",",J1751)-1),J1751)</f>
        <v>International TV Shows</v>
      </c>
      <c r="N1751" s="7" t="str">
        <f aca="false">IF(B1751="Movie",IFERROR(VALUE(LEFT(I1751,FIND(" ",I1751)-1)),""),"")</f>
        <v/>
      </c>
      <c r="O1751" s="7" t="n">
        <f aca="false">IF(B1751="TV Show",IFERROR(VALUE(LEFT(I1751,FIND(" ",I1751)-1)),""),"")</f>
        <v>1</v>
      </c>
      <c r="P1751" s="7" t="n">
        <f aca="false">IF(K1751="","",K1751-G1751)</f>
        <v>0</v>
      </c>
    </row>
    <row r="1752" customFormat="false" ht="15" hidden="false" customHeight="false" outlineLevel="0" collapsed="false">
      <c r="A1752" s="7" t="n">
        <v>70007056</v>
      </c>
      <c r="B1752" s="7" t="s">
        <v>68</v>
      </c>
      <c r="C1752" s="7" t="s">
        <v>3947</v>
      </c>
      <c r="D1752" s="7" t="s">
        <v>3948</v>
      </c>
      <c r="E1752" s="7" t="s">
        <v>27</v>
      </c>
      <c r="F1752" s="7" t="s">
        <v>3932</v>
      </c>
      <c r="G1752" s="7" t="n">
        <v>2003</v>
      </c>
      <c r="H1752" s="7" t="s">
        <v>49</v>
      </c>
      <c r="I1752" s="7" t="s">
        <v>2183</v>
      </c>
      <c r="J1752" s="7" t="s">
        <v>182</v>
      </c>
      <c r="K1752" s="7" t="n">
        <f aca="false">IFERROR(VALUE(RIGHT(TRIM(F1752),4)),"")</f>
        <v>2019</v>
      </c>
      <c r="L1752" s="7" t="str">
        <f aca="false">IF(TRIM(E1752)="","Unknown",IFERROR(LEFT(TRIM(E1752),FIND(",",TRIM(E1752))-1),TRIM(E1752)))</f>
        <v>India</v>
      </c>
      <c r="M1752" s="7" t="str">
        <f aca="false">IFERROR(LEFT(J1752,FIND(",",J1752)-1),J1752)</f>
        <v>Dramas</v>
      </c>
      <c r="N1752" s="7" t="n">
        <f aca="false">IF(B1752="Movie",IFERROR(VALUE(LEFT(I1752,FIND(" ",I1752)-1)),""),"")</f>
        <v>136</v>
      </c>
      <c r="O1752" s="7" t="str">
        <f aca="false">IF(B1752="TV Show",IFERROR(VALUE(LEFT(I1752,FIND(" ",I1752)-1)),""),"")</f>
        <v/>
      </c>
      <c r="P1752" s="7" t="n">
        <f aca="false">IF(K1752="","",K1752-G1752)</f>
        <v>16</v>
      </c>
    </row>
    <row r="1753" customFormat="false" ht="15" hidden="false" customHeight="false" outlineLevel="0" collapsed="false">
      <c r="A1753" s="7" t="n">
        <v>70035357</v>
      </c>
      <c r="B1753" s="7" t="s">
        <v>68</v>
      </c>
      <c r="C1753" s="7" t="s">
        <v>3949</v>
      </c>
      <c r="D1753" s="7" t="s">
        <v>3950</v>
      </c>
      <c r="E1753" s="7" t="s">
        <v>27</v>
      </c>
      <c r="F1753" s="7" t="s">
        <v>3932</v>
      </c>
      <c r="G1753" s="7" t="n">
        <v>2005</v>
      </c>
      <c r="H1753" s="7" t="s">
        <v>49</v>
      </c>
      <c r="I1753" s="7" t="s">
        <v>3951</v>
      </c>
      <c r="J1753" s="7" t="s">
        <v>457</v>
      </c>
      <c r="K1753" s="7" t="n">
        <f aca="false">IFERROR(VALUE(RIGHT(TRIM(F1753),4)),"")</f>
        <v>2019</v>
      </c>
      <c r="L1753" s="7" t="str">
        <f aca="false">IF(TRIM(E1753)="","Unknown",IFERROR(LEFT(TRIM(E1753),FIND(",",TRIM(E1753))-1),TRIM(E1753)))</f>
        <v>India</v>
      </c>
      <c r="M1753" s="7" t="str">
        <f aca="false">IFERROR(LEFT(J1753,FIND(",",J1753)-1),J1753)</f>
        <v>Comedies</v>
      </c>
      <c r="N1753" s="7" t="n">
        <f aca="false">IF(B1753="Movie",IFERROR(VALUE(LEFT(I1753,FIND(" ",I1753)-1)),""),"")</f>
        <v>165</v>
      </c>
      <c r="O1753" s="7" t="str">
        <f aca="false">IF(B1753="TV Show",IFERROR(VALUE(LEFT(I1753,FIND(" ",I1753)-1)),""),"")</f>
        <v/>
      </c>
      <c r="P1753" s="7" t="n">
        <f aca="false">IF(K1753="","",K1753-G1753)</f>
        <v>14</v>
      </c>
    </row>
    <row r="1754" customFormat="false" ht="15" hidden="false" customHeight="false" outlineLevel="0" collapsed="false">
      <c r="A1754" s="7" t="n">
        <v>80108481</v>
      </c>
      <c r="B1754" s="7" t="s">
        <v>68</v>
      </c>
      <c r="C1754" s="7" t="s">
        <v>3952</v>
      </c>
      <c r="D1754" s="7" t="s">
        <v>3953</v>
      </c>
      <c r="E1754" s="7" t="s">
        <v>27</v>
      </c>
      <c r="F1754" s="7" t="s">
        <v>3932</v>
      </c>
      <c r="G1754" s="7" t="n">
        <v>2016</v>
      </c>
      <c r="H1754" s="7" t="s">
        <v>51</v>
      </c>
      <c r="I1754" s="7" t="s">
        <v>549</v>
      </c>
      <c r="J1754" s="7" t="s">
        <v>202</v>
      </c>
      <c r="K1754" s="7" t="n">
        <f aca="false">IFERROR(VALUE(RIGHT(TRIM(F1754),4)),"")</f>
        <v>2019</v>
      </c>
      <c r="L1754" s="7" t="str">
        <f aca="false">IF(TRIM(E1754)="","Unknown",IFERROR(LEFT(TRIM(E1754),FIND(",",TRIM(E1754))-1),TRIM(E1754)))</f>
        <v>India</v>
      </c>
      <c r="M1754" s="7" t="str">
        <f aca="false">IFERROR(LEFT(J1754,FIND(",",J1754)-1),J1754)</f>
        <v>Comedies</v>
      </c>
      <c r="N1754" s="7" t="n">
        <f aca="false">IF(B1754="Movie",IFERROR(VALUE(LEFT(I1754,FIND(" ",I1754)-1)),""),"")</f>
        <v>124</v>
      </c>
      <c r="O1754" s="7" t="str">
        <f aca="false">IF(B1754="TV Show",IFERROR(VALUE(LEFT(I1754,FIND(" ",I1754)-1)),""),"")</f>
        <v/>
      </c>
      <c r="P1754" s="7" t="n">
        <f aca="false">IF(K1754="","",K1754-G1754)</f>
        <v>3</v>
      </c>
    </row>
    <row r="1755" customFormat="false" ht="15" hidden="false" customHeight="false" outlineLevel="0" collapsed="false">
      <c r="A1755" s="7" t="n">
        <v>70153178</v>
      </c>
      <c r="B1755" s="7" t="s">
        <v>68</v>
      </c>
      <c r="C1755" s="7" t="s">
        <v>3954</v>
      </c>
      <c r="D1755" s="7" t="s">
        <v>1740</v>
      </c>
      <c r="E1755" s="7" t="s">
        <v>27</v>
      </c>
      <c r="F1755" s="7" t="s">
        <v>3932</v>
      </c>
      <c r="G1755" s="7" t="n">
        <v>2010</v>
      </c>
      <c r="H1755" s="7" t="s">
        <v>53</v>
      </c>
      <c r="I1755" s="7" t="s">
        <v>201</v>
      </c>
      <c r="J1755" s="7" t="s">
        <v>1042</v>
      </c>
      <c r="K1755" s="7" t="n">
        <f aca="false">IFERROR(VALUE(RIGHT(TRIM(F1755),4)),"")</f>
        <v>2019</v>
      </c>
      <c r="L1755" s="7" t="str">
        <f aca="false">IF(TRIM(E1755)="","Unknown",IFERROR(LEFT(TRIM(E1755),FIND(",",TRIM(E1755))-1),TRIM(E1755)))</f>
        <v>India</v>
      </c>
      <c r="M1755" s="7" t="str">
        <f aca="false">IFERROR(LEFT(J1755,FIND(",",J1755)-1),J1755)</f>
        <v>Dramas</v>
      </c>
      <c r="N1755" s="7" t="n">
        <f aca="false">IF(B1755="Movie",IFERROR(VALUE(LEFT(I1755,FIND(" ",I1755)-1)),""),"")</f>
        <v>133</v>
      </c>
      <c r="O1755" s="7" t="str">
        <f aca="false">IF(B1755="TV Show",IFERROR(VALUE(LEFT(I1755,FIND(" ",I1755)-1)),""),"")</f>
        <v/>
      </c>
      <c r="P1755" s="7" t="n">
        <f aca="false">IF(K1755="","",K1755-G1755)</f>
        <v>9</v>
      </c>
    </row>
    <row r="1756" customFormat="false" ht="15" hidden="false" customHeight="false" outlineLevel="0" collapsed="false">
      <c r="A1756" s="7" t="n">
        <v>70073018</v>
      </c>
      <c r="B1756" s="7" t="s">
        <v>68</v>
      </c>
      <c r="C1756" s="7" t="s">
        <v>3955</v>
      </c>
      <c r="D1756" s="7" t="s">
        <v>3907</v>
      </c>
      <c r="E1756" s="7" t="s">
        <v>27</v>
      </c>
      <c r="F1756" s="7" t="s">
        <v>3932</v>
      </c>
      <c r="G1756" s="7" t="n">
        <v>2007</v>
      </c>
      <c r="H1756" s="7" t="s">
        <v>966</v>
      </c>
      <c r="I1756" s="7" t="s">
        <v>237</v>
      </c>
      <c r="J1756" s="7" t="s">
        <v>112</v>
      </c>
      <c r="K1756" s="7" t="n">
        <f aca="false">IFERROR(VALUE(RIGHT(TRIM(F1756),4)),"")</f>
        <v>2019</v>
      </c>
      <c r="L1756" s="7" t="str">
        <f aca="false">IF(TRIM(E1756)="","Unknown",IFERROR(LEFT(TRIM(E1756),FIND(",",TRIM(E1756))-1),TRIM(E1756)))</f>
        <v>India</v>
      </c>
      <c r="M1756" s="7" t="str">
        <f aca="false">IFERROR(LEFT(J1756,FIND(",",J1756)-1),J1756)</f>
        <v>Action &amp; Adventure</v>
      </c>
      <c r="N1756" s="7" t="n">
        <f aca="false">IF(B1756="Movie",IFERROR(VALUE(LEFT(I1756,FIND(" ",I1756)-1)),""),"")</f>
        <v>116</v>
      </c>
      <c r="O1756" s="7" t="str">
        <f aca="false">IF(B1756="TV Show",IFERROR(VALUE(LEFT(I1756,FIND(" ",I1756)-1)),""),"")</f>
        <v/>
      </c>
      <c r="P1756" s="7" t="n">
        <f aca="false">IF(K1756="","",K1756-G1756)</f>
        <v>12</v>
      </c>
    </row>
    <row r="1757" customFormat="false" ht="15" hidden="false" customHeight="false" outlineLevel="0" collapsed="false">
      <c r="A1757" s="7" t="n">
        <v>80994416</v>
      </c>
      <c r="B1757" s="7" t="s">
        <v>68</v>
      </c>
      <c r="C1757" s="7" t="s">
        <v>3956</v>
      </c>
      <c r="D1757" s="7" t="s">
        <v>3957</v>
      </c>
      <c r="E1757" s="7" t="s">
        <v>27</v>
      </c>
      <c r="F1757" s="7" t="s">
        <v>3958</v>
      </c>
      <c r="G1757" s="7" t="n">
        <v>2017</v>
      </c>
      <c r="H1757" s="7" t="s">
        <v>49</v>
      </c>
      <c r="I1757" s="7" t="s">
        <v>1777</v>
      </c>
      <c r="J1757" s="7" t="s">
        <v>202</v>
      </c>
      <c r="K1757" s="7" t="n">
        <f aca="false">IFERROR(VALUE(RIGHT(TRIM(F1757),4)),"")</f>
        <v>2018</v>
      </c>
      <c r="L1757" s="7" t="str">
        <f aca="false">IF(TRIM(E1757)="","Unknown",IFERROR(LEFT(TRIM(E1757),FIND(",",TRIM(E1757))-1),TRIM(E1757)))</f>
        <v>India</v>
      </c>
      <c r="M1757" s="7" t="str">
        <f aca="false">IFERROR(LEFT(J1757,FIND(",",J1757)-1),J1757)</f>
        <v>Comedies</v>
      </c>
      <c r="N1757" s="7" t="n">
        <f aca="false">IF(B1757="Movie",IFERROR(VALUE(LEFT(I1757,FIND(" ",I1757)-1)),""),"")</f>
        <v>150</v>
      </c>
      <c r="O1757" s="7" t="str">
        <f aca="false">IF(B1757="TV Show",IFERROR(VALUE(LEFT(I1757,FIND(" ",I1757)-1)),""),"")</f>
        <v/>
      </c>
      <c r="P1757" s="7" t="n">
        <f aca="false">IF(K1757="","",K1757-G1757)</f>
        <v>1</v>
      </c>
    </row>
    <row r="1758" customFormat="false" ht="15" hidden="false" customHeight="false" outlineLevel="0" collapsed="false">
      <c r="A1758" s="7" t="n">
        <v>80243408</v>
      </c>
      <c r="B1758" s="7" t="s">
        <v>68</v>
      </c>
      <c r="C1758" s="7" t="s">
        <v>3959</v>
      </c>
      <c r="D1758" s="7" t="s">
        <v>3317</v>
      </c>
      <c r="E1758" s="7" t="s">
        <v>27</v>
      </c>
      <c r="F1758" s="7" t="s">
        <v>3958</v>
      </c>
      <c r="G1758" s="7" t="n">
        <v>2018</v>
      </c>
      <c r="H1758" s="7" t="s">
        <v>49</v>
      </c>
      <c r="I1758" s="7" t="s">
        <v>1822</v>
      </c>
      <c r="J1758" s="7" t="s">
        <v>112</v>
      </c>
      <c r="K1758" s="7" t="n">
        <f aca="false">IFERROR(VALUE(RIGHT(TRIM(F1758),4)),"")</f>
        <v>2018</v>
      </c>
      <c r="L1758" s="7" t="str">
        <f aca="false">IF(TRIM(E1758)="","Unknown",IFERROR(LEFT(TRIM(E1758),FIND(",",TRIM(E1758))-1),TRIM(E1758)))</f>
        <v>India</v>
      </c>
      <c r="M1758" s="7" t="str">
        <f aca="false">IFERROR(LEFT(J1758,FIND(",",J1758)-1),J1758)</f>
        <v>Action &amp; Adventure</v>
      </c>
      <c r="N1758" s="7" t="n">
        <f aca="false">IF(B1758="Movie",IFERROR(VALUE(LEFT(I1758,FIND(" ",I1758)-1)),""),"")</f>
        <v>158</v>
      </c>
      <c r="O1758" s="7" t="str">
        <f aca="false">IF(B1758="TV Show",IFERROR(VALUE(LEFT(I1758,FIND(" ",I1758)-1)),""),"")</f>
        <v/>
      </c>
      <c r="P1758" s="7" t="n">
        <f aca="false">IF(K1758="","",K1758-G1758)</f>
        <v>0</v>
      </c>
    </row>
    <row r="1759" customFormat="false" ht="15" hidden="false" customHeight="false" outlineLevel="0" collapsed="false">
      <c r="A1759" s="7" t="n">
        <v>80994418</v>
      </c>
      <c r="B1759" s="7" t="s">
        <v>68</v>
      </c>
      <c r="C1759" s="7" t="s">
        <v>3960</v>
      </c>
      <c r="D1759" s="7" t="s">
        <v>3961</v>
      </c>
      <c r="E1759" s="7" t="s">
        <v>259</v>
      </c>
      <c r="F1759" s="7" t="s">
        <v>3958</v>
      </c>
      <c r="G1759" s="7" t="n">
        <v>2017</v>
      </c>
      <c r="H1759" s="7" t="s">
        <v>49</v>
      </c>
      <c r="I1759" s="7" t="s">
        <v>1270</v>
      </c>
      <c r="J1759" s="7" t="s">
        <v>217</v>
      </c>
      <c r="K1759" s="7" t="n">
        <f aca="false">IFERROR(VALUE(RIGHT(TRIM(F1759),4)),"")</f>
        <v>2018</v>
      </c>
      <c r="L1759" s="7" t="str">
        <f aca="false">IF(TRIM(E1759)="","Unknown",IFERROR(LEFT(TRIM(E1759),FIND(",",TRIM(E1759))-1),TRIM(E1759)))</f>
        <v>Pakistan</v>
      </c>
      <c r="M1759" s="7" t="str">
        <f aca="false">IFERROR(LEFT(J1759,FIND(",",J1759)-1),J1759)</f>
        <v>Comedies</v>
      </c>
      <c r="N1759" s="7" t="n">
        <f aca="false">IF(B1759="Movie",IFERROR(VALUE(LEFT(I1759,FIND(" ",I1759)-1)),""),"")</f>
        <v>118</v>
      </c>
      <c r="O1759" s="7" t="str">
        <f aca="false">IF(B1759="TV Show",IFERROR(VALUE(LEFT(I1759,FIND(" ",I1759)-1)),""),"")</f>
        <v/>
      </c>
      <c r="P1759" s="7" t="n">
        <f aca="false">IF(K1759="","",K1759-G1759)</f>
        <v>1</v>
      </c>
    </row>
    <row r="1760" customFormat="false" ht="15" hidden="false" customHeight="false" outlineLevel="0" collapsed="false">
      <c r="A1760" s="7" t="n">
        <v>70050576</v>
      </c>
      <c r="B1760" s="7" t="s">
        <v>68</v>
      </c>
      <c r="C1760" s="7" t="s">
        <v>3962</v>
      </c>
      <c r="D1760" s="7" t="s">
        <v>3963</v>
      </c>
      <c r="E1760" s="7" t="s">
        <v>30</v>
      </c>
      <c r="F1760" s="7" t="s">
        <v>3958</v>
      </c>
      <c r="G1760" s="7" t="n">
        <v>1979</v>
      </c>
      <c r="H1760" s="7" t="s">
        <v>52</v>
      </c>
      <c r="I1760" s="7" t="s">
        <v>205</v>
      </c>
      <c r="J1760" s="7" t="s">
        <v>3964</v>
      </c>
      <c r="K1760" s="7" t="n">
        <f aca="false">IFERROR(VALUE(RIGHT(TRIM(F1760),4)),"")</f>
        <v>2018</v>
      </c>
      <c r="L1760" s="7" t="str">
        <f aca="false">IF(TRIM(E1760)="","Unknown",IFERROR(LEFT(TRIM(E1760),FIND(",",TRIM(E1760))-1),TRIM(E1760)))</f>
        <v>Japan</v>
      </c>
      <c r="M1760" s="7" t="str">
        <f aca="false">IFERROR(LEFT(J1760,FIND(",",J1760)-1),J1760)</f>
        <v>Action &amp; Adventure</v>
      </c>
      <c r="N1760" s="7" t="n">
        <f aca="false">IF(B1760="Movie",IFERROR(VALUE(LEFT(I1760,FIND(" ",I1760)-1)),""),"")</f>
        <v>100</v>
      </c>
      <c r="O1760" s="7" t="str">
        <f aca="false">IF(B1760="TV Show",IFERROR(VALUE(LEFT(I1760,FIND(" ",I1760)-1)),""),"")</f>
        <v/>
      </c>
      <c r="P1760" s="7" t="n">
        <f aca="false">IF(K1760="","",K1760-G1760)</f>
        <v>39</v>
      </c>
    </row>
    <row r="1761" customFormat="false" ht="15" hidden="false" customHeight="false" outlineLevel="0" collapsed="false">
      <c r="A1761" s="7" t="n">
        <v>70253596</v>
      </c>
      <c r="B1761" s="7" t="s">
        <v>68</v>
      </c>
      <c r="C1761" s="7" t="s">
        <v>3965</v>
      </c>
      <c r="D1761" s="7" t="s">
        <v>2937</v>
      </c>
      <c r="E1761" s="7" t="s">
        <v>3966</v>
      </c>
      <c r="F1761" s="7" t="s">
        <v>3958</v>
      </c>
      <c r="G1761" s="7" t="n">
        <v>2013</v>
      </c>
      <c r="H1761" s="7" t="s">
        <v>51</v>
      </c>
      <c r="I1761" s="7" t="s">
        <v>73</v>
      </c>
      <c r="J1761" s="7" t="s">
        <v>3967</v>
      </c>
      <c r="K1761" s="7" t="n">
        <f aca="false">IFERROR(VALUE(RIGHT(TRIM(F1761),4)),"")</f>
        <v>2018</v>
      </c>
      <c r="L1761" s="7" t="str">
        <f aca="false">IF(TRIM(E1761)="","Unknown",IFERROR(LEFT(TRIM(E1761),FIND(",",TRIM(E1761))-1),TRIM(E1761)))</f>
        <v>Denmark</v>
      </c>
      <c r="M1761" s="7" t="str">
        <f aca="false">IFERROR(LEFT(J1761,FIND(",",J1761)-1),J1761)</f>
        <v>Cult Movies</v>
      </c>
      <c r="N1761" s="7" t="n">
        <f aca="false">IF(B1761="Movie",IFERROR(VALUE(LEFT(I1761,FIND(" ",I1761)-1)),""),"")</f>
        <v>90</v>
      </c>
      <c r="O1761" s="7" t="str">
        <f aca="false">IF(B1761="TV Show",IFERROR(VALUE(LEFT(I1761,FIND(" ",I1761)-1)),""),"")</f>
        <v/>
      </c>
      <c r="P1761" s="7" t="n">
        <f aca="false">IF(K1761="","",K1761-G1761)</f>
        <v>5</v>
      </c>
    </row>
    <row r="1762" customFormat="false" ht="15" hidden="false" customHeight="false" outlineLevel="0" collapsed="false">
      <c r="A1762" s="7" t="n">
        <v>70273371</v>
      </c>
      <c r="B1762" s="7" t="s">
        <v>78</v>
      </c>
      <c r="C1762" s="7" t="s">
        <v>3968</v>
      </c>
      <c r="E1762" s="7" t="s">
        <v>30</v>
      </c>
      <c r="F1762" s="7" t="s">
        <v>3958</v>
      </c>
      <c r="G1762" s="7" t="n">
        <v>2009</v>
      </c>
      <c r="H1762" s="7" t="s">
        <v>49</v>
      </c>
      <c r="I1762" s="7" t="s">
        <v>82</v>
      </c>
      <c r="J1762" s="7" t="s">
        <v>542</v>
      </c>
      <c r="K1762" s="7" t="n">
        <f aca="false">IFERROR(VALUE(RIGHT(TRIM(F1762),4)),"")</f>
        <v>2018</v>
      </c>
      <c r="L1762" s="7" t="str">
        <f aca="false">IF(TRIM(E1762)="","Unknown",IFERROR(LEFT(TRIM(E1762),FIND(",",TRIM(E1762))-1),TRIM(E1762)))</f>
        <v>Japan</v>
      </c>
      <c r="M1762" s="7" t="str">
        <f aca="false">IFERROR(LEFT(J1762,FIND(",",J1762)-1),J1762)</f>
        <v>Anime Series</v>
      </c>
      <c r="N1762" s="7" t="str">
        <f aca="false">IF(B1762="Movie",IFERROR(VALUE(LEFT(I1762,FIND(" ",I1762)-1)),""),"")</f>
        <v/>
      </c>
      <c r="O1762" s="7" t="n">
        <f aca="false">IF(B1762="TV Show",IFERROR(VALUE(LEFT(I1762,FIND(" ",I1762)-1)),""),"")</f>
        <v>1</v>
      </c>
      <c r="P1762" s="7" t="n">
        <f aca="false">IF(K1762="","",K1762-G1762)</f>
        <v>9</v>
      </c>
    </row>
    <row r="1763" customFormat="false" ht="15" hidden="false" customHeight="false" outlineLevel="0" collapsed="false">
      <c r="A1763" s="7" t="n">
        <v>80157133</v>
      </c>
      <c r="B1763" s="7" t="s">
        <v>68</v>
      </c>
      <c r="C1763" s="7" t="s">
        <v>3969</v>
      </c>
      <c r="D1763" s="7" t="s">
        <v>1025</v>
      </c>
      <c r="E1763" s="7" t="s">
        <v>27</v>
      </c>
      <c r="F1763" s="7" t="s">
        <v>3970</v>
      </c>
      <c r="G1763" s="7" t="n">
        <v>1992</v>
      </c>
      <c r="H1763" s="7" t="s">
        <v>49</v>
      </c>
      <c r="I1763" s="7" t="s">
        <v>3971</v>
      </c>
      <c r="J1763" s="7" t="s">
        <v>2195</v>
      </c>
      <c r="K1763" s="7" t="n">
        <f aca="false">IFERROR(VALUE(RIGHT(TRIM(F1763),4)),"")</f>
        <v>2017</v>
      </c>
      <c r="L1763" s="7" t="str">
        <f aca="false">IF(TRIM(E1763)="","Unknown",IFERROR(LEFT(TRIM(E1763),FIND(",",TRIM(E1763))-1),TRIM(E1763)))</f>
        <v>India</v>
      </c>
      <c r="M1763" s="7" t="str">
        <f aca="false">IFERROR(LEFT(J1763,FIND(",",J1763)-1),J1763)</f>
        <v>Comedies</v>
      </c>
      <c r="N1763" s="7" t="n">
        <f aca="false">IF(B1763="Movie",IFERROR(VALUE(LEFT(I1763,FIND(" ",I1763)-1)),""),"")</f>
        <v>164</v>
      </c>
      <c r="O1763" s="7" t="str">
        <f aca="false">IF(B1763="TV Show",IFERROR(VALUE(LEFT(I1763,FIND(" ",I1763)-1)),""),"")</f>
        <v/>
      </c>
      <c r="P1763" s="7" t="n">
        <f aca="false">IF(K1763="","",K1763-G1763)</f>
        <v>25</v>
      </c>
    </row>
    <row r="1764" customFormat="false" ht="15" hidden="false" customHeight="false" outlineLevel="0" collapsed="false">
      <c r="A1764" s="7" t="n">
        <v>80122237</v>
      </c>
      <c r="B1764" s="7" t="s">
        <v>78</v>
      </c>
      <c r="C1764" s="7" t="s">
        <v>3972</v>
      </c>
      <c r="E1764" s="7" t="s">
        <v>27</v>
      </c>
      <c r="F1764" s="7" t="s">
        <v>3970</v>
      </c>
      <c r="G1764" s="7" t="n">
        <v>2012</v>
      </c>
      <c r="H1764" s="7" t="s">
        <v>50</v>
      </c>
      <c r="I1764" s="7" t="s">
        <v>82</v>
      </c>
      <c r="J1764" s="7" t="s">
        <v>773</v>
      </c>
      <c r="K1764" s="7" t="n">
        <f aca="false">IFERROR(VALUE(RIGHT(TRIM(F1764),4)),"")</f>
        <v>2017</v>
      </c>
      <c r="L1764" s="7" t="str">
        <f aca="false">IF(TRIM(E1764)="","Unknown",IFERROR(LEFT(TRIM(E1764),FIND(",",TRIM(E1764))-1),TRIM(E1764)))</f>
        <v>India</v>
      </c>
      <c r="M1764" s="7" t="str">
        <f aca="false">IFERROR(LEFT(J1764,FIND(",",J1764)-1),J1764)</f>
        <v>Docuseries</v>
      </c>
      <c r="N1764" s="7" t="str">
        <f aca="false">IF(B1764="Movie",IFERROR(VALUE(LEFT(I1764,FIND(" ",I1764)-1)),""),"")</f>
        <v/>
      </c>
      <c r="O1764" s="7" t="n">
        <f aca="false">IF(B1764="TV Show",IFERROR(VALUE(LEFT(I1764,FIND(" ",I1764)-1)),""),"")</f>
        <v>1</v>
      </c>
      <c r="P1764" s="7" t="n">
        <f aca="false">IF(K1764="","",K1764-G1764)</f>
        <v>5</v>
      </c>
    </row>
    <row r="1765" customFormat="false" ht="15" hidden="false" customHeight="false" outlineLevel="0" collapsed="false">
      <c r="A1765" s="7" t="n">
        <v>80107656</v>
      </c>
      <c r="B1765" s="7" t="s">
        <v>68</v>
      </c>
      <c r="C1765" s="7" t="s">
        <v>3973</v>
      </c>
      <c r="D1765" s="7" t="s">
        <v>3974</v>
      </c>
      <c r="E1765" s="7" t="s">
        <v>26</v>
      </c>
      <c r="F1765" s="7" t="s">
        <v>3970</v>
      </c>
      <c r="G1765" s="7" t="n">
        <v>2017</v>
      </c>
      <c r="H1765" s="7" t="s">
        <v>50</v>
      </c>
      <c r="I1765" s="7" t="s">
        <v>311</v>
      </c>
      <c r="J1765" s="7" t="s">
        <v>39</v>
      </c>
      <c r="K1765" s="7" t="n">
        <f aca="false">IFERROR(VALUE(RIGHT(TRIM(F1765),4)),"")</f>
        <v>2017</v>
      </c>
      <c r="L1765" s="7" t="str">
        <f aca="false">IF(TRIM(E1765)="","Unknown",IFERROR(LEFT(TRIM(E1765),FIND(",",TRIM(E1765))-1),TRIM(E1765)))</f>
        <v>United States</v>
      </c>
      <c r="M1765" s="7" t="str">
        <f aca="false">IFERROR(LEFT(J1765,FIND(",",J1765)-1),J1765)</f>
        <v>Documentaries</v>
      </c>
      <c r="N1765" s="7" t="n">
        <f aca="false">IF(B1765="Movie",IFERROR(VALUE(LEFT(I1765,FIND(" ",I1765)-1)),""),"")</f>
        <v>92</v>
      </c>
      <c r="O1765" s="7" t="str">
        <f aca="false">IF(B1765="TV Show",IFERROR(VALUE(LEFT(I1765,FIND(" ",I1765)-1)),""),"")</f>
        <v/>
      </c>
      <c r="P1765" s="7" t="n">
        <f aca="false">IF(K1765="","",K1765-G1765)</f>
        <v>0</v>
      </c>
    </row>
    <row r="1766" customFormat="false" ht="15" hidden="false" customHeight="false" outlineLevel="0" collapsed="false">
      <c r="A1766" s="7" t="n">
        <v>80157083</v>
      </c>
      <c r="B1766" s="7" t="s">
        <v>68</v>
      </c>
      <c r="C1766" s="7" t="s">
        <v>3975</v>
      </c>
      <c r="D1766" s="7" t="s">
        <v>3976</v>
      </c>
      <c r="E1766" s="7" t="s">
        <v>27</v>
      </c>
      <c r="F1766" s="7" t="s">
        <v>3970</v>
      </c>
      <c r="G1766" s="7" t="n">
        <v>1994</v>
      </c>
      <c r="H1766" s="7" t="s">
        <v>49</v>
      </c>
      <c r="I1766" s="7" t="s">
        <v>1041</v>
      </c>
      <c r="J1766" s="7" t="s">
        <v>217</v>
      </c>
      <c r="K1766" s="7" t="n">
        <f aca="false">IFERROR(VALUE(RIGHT(TRIM(F1766),4)),"")</f>
        <v>2017</v>
      </c>
      <c r="L1766" s="7" t="str">
        <f aca="false">IF(TRIM(E1766)="","Unknown",IFERROR(LEFT(TRIM(E1766),FIND(",",TRIM(E1766))-1),TRIM(E1766)))</f>
        <v>India</v>
      </c>
      <c r="M1766" s="7" t="str">
        <f aca="false">IFERROR(LEFT(J1766,FIND(",",J1766)-1),J1766)</f>
        <v>Comedies</v>
      </c>
      <c r="N1766" s="7" t="n">
        <f aca="false">IF(B1766="Movie",IFERROR(VALUE(LEFT(I1766,FIND(" ",I1766)-1)),""),"")</f>
        <v>151</v>
      </c>
      <c r="O1766" s="7" t="str">
        <f aca="false">IF(B1766="TV Show",IFERROR(VALUE(LEFT(I1766,FIND(" ",I1766)-1)),""),"")</f>
        <v/>
      </c>
      <c r="P1766" s="7" t="n">
        <f aca="false">IF(K1766="","",K1766-G1766)</f>
        <v>23</v>
      </c>
    </row>
    <row r="1767" customFormat="false" ht="15" hidden="false" customHeight="false" outlineLevel="0" collapsed="false">
      <c r="A1767" s="7" t="n">
        <v>80098287</v>
      </c>
      <c r="B1767" s="7" t="s">
        <v>68</v>
      </c>
      <c r="C1767" s="7" t="s">
        <v>3977</v>
      </c>
      <c r="D1767" s="7" t="s">
        <v>3978</v>
      </c>
      <c r="E1767" s="7" t="s">
        <v>26</v>
      </c>
      <c r="F1767" s="7" t="s">
        <v>3970</v>
      </c>
      <c r="G1767" s="7" t="n">
        <v>2016</v>
      </c>
      <c r="H1767" s="7" t="s">
        <v>48</v>
      </c>
      <c r="I1767" s="7" t="s">
        <v>613</v>
      </c>
      <c r="J1767" s="7" t="s">
        <v>155</v>
      </c>
      <c r="K1767" s="7" t="n">
        <f aca="false">IFERROR(VALUE(RIGHT(TRIM(F1767),4)),"")</f>
        <v>2017</v>
      </c>
      <c r="L1767" s="7" t="str">
        <f aca="false">IF(TRIM(E1767)="","Unknown",IFERROR(LEFT(TRIM(E1767),FIND(",",TRIM(E1767))-1),TRIM(E1767)))</f>
        <v>United States</v>
      </c>
      <c r="M1767" s="7" t="str">
        <f aca="false">IFERROR(LEFT(J1767,FIND(",",J1767)-1),J1767)</f>
        <v>Dramas</v>
      </c>
      <c r="N1767" s="7" t="n">
        <f aca="false">IF(B1767="Movie",IFERROR(VALUE(LEFT(I1767,FIND(" ",I1767)-1)),""),"")</f>
        <v>84</v>
      </c>
      <c r="O1767" s="7" t="str">
        <f aca="false">IF(B1767="TV Show",IFERROR(VALUE(LEFT(I1767,FIND(" ",I1767)-1)),""),"")</f>
        <v/>
      </c>
      <c r="P1767" s="7" t="n">
        <f aca="false">IF(K1767="","",K1767-G1767)</f>
        <v>1</v>
      </c>
    </row>
    <row r="1768" customFormat="false" ht="15" hidden="false" customHeight="false" outlineLevel="0" collapsed="false">
      <c r="A1768" s="7" t="n">
        <v>80059342</v>
      </c>
      <c r="B1768" s="7" t="s">
        <v>68</v>
      </c>
      <c r="C1768" s="7" t="s">
        <v>3979</v>
      </c>
      <c r="D1768" s="7" t="s">
        <v>3980</v>
      </c>
      <c r="E1768" s="7" t="s">
        <v>26</v>
      </c>
      <c r="F1768" s="7" t="s">
        <v>3970</v>
      </c>
      <c r="G1768" s="7" t="n">
        <v>2010</v>
      </c>
      <c r="H1768" s="7" t="s">
        <v>49</v>
      </c>
      <c r="I1768" s="7" t="s">
        <v>1642</v>
      </c>
      <c r="J1768" s="7" t="s">
        <v>10</v>
      </c>
      <c r="K1768" s="7" t="n">
        <f aca="false">IFERROR(VALUE(RIGHT(TRIM(F1768),4)),"")</f>
        <v>2017</v>
      </c>
      <c r="L1768" s="7" t="str">
        <f aca="false">IF(TRIM(E1768)="","Unknown",IFERROR(LEFT(TRIM(E1768),FIND(",",TRIM(E1768))-1),TRIM(E1768)))</f>
        <v>United States</v>
      </c>
      <c r="M1768" s="7" t="str">
        <f aca="false">IFERROR(LEFT(J1768,FIND(",",J1768)-1),J1768)</f>
        <v>Movies</v>
      </c>
      <c r="N1768" s="7" t="n">
        <f aca="false">IF(B1768="Movie",IFERROR(VALUE(LEFT(I1768,FIND(" ",I1768)-1)),""),"")</f>
        <v>51</v>
      </c>
      <c r="O1768" s="7" t="str">
        <f aca="false">IF(B1768="TV Show",IFERROR(VALUE(LEFT(I1768,FIND(" ",I1768)-1)),""),"")</f>
        <v/>
      </c>
      <c r="P1768" s="7" t="n">
        <f aca="false">IF(K1768="","",K1768-G1768)</f>
        <v>7</v>
      </c>
    </row>
    <row r="1769" customFormat="false" ht="15" hidden="false" customHeight="false" outlineLevel="0" collapsed="false">
      <c r="A1769" s="7" t="n">
        <v>24081514</v>
      </c>
      <c r="B1769" s="7" t="s">
        <v>68</v>
      </c>
      <c r="C1769" s="7" t="s">
        <v>3981</v>
      </c>
      <c r="D1769" s="7" t="s">
        <v>1025</v>
      </c>
      <c r="E1769" s="7" t="s">
        <v>27</v>
      </c>
      <c r="F1769" s="7" t="s">
        <v>3970</v>
      </c>
      <c r="G1769" s="7" t="n">
        <v>1995</v>
      </c>
      <c r="H1769" s="7" t="s">
        <v>49</v>
      </c>
      <c r="I1769" s="7" t="s">
        <v>197</v>
      </c>
      <c r="J1769" s="7" t="s">
        <v>1042</v>
      </c>
      <c r="K1769" s="7" t="n">
        <f aca="false">IFERROR(VALUE(RIGHT(TRIM(F1769),4)),"")</f>
        <v>2017</v>
      </c>
      <c r="L1769" s="7" t="str">
        <f aca="false">IF(TRIM(E1769)="","Unknown",IFERROR(LEFT(TRIM(E1769),FIND(",",TRIM(E1769))-1),TRIM(E1769)))</f>
        <v>India</v>
      </c>
      <c r="M1769" s="7" t="str">
        <f aca="false">IFERROR(LEFT(J1769,FIND(",",J1769)-1),J1769)</f>
        <v>Dramas</v>
      </c>
      <c r="N1769" s="7" t="n">
        <f aca="false">IF(B1769="Movie",IFERROR(VALUE(LEFT(I1769,FIND(" ",I1769)-1)),""),"")</f>
        <v>142</v>
      </c>
      <c r="O1769" s="7" t="str">
        <f aca="false">IF(B1769="TV Show",IFERROR(VALUE(LEFT(I1769,FIND(" ",I1769)-1)),""),"")</f>
        <v/>
      </c>
      <c r="P1769" s="7" t="n">
        <f aca="false">IF(K1769="","",K1769-G1769)</f>
        <v>22</v>
      </c>
    </row>
    <row r="1770" customFormat="false" ht="15" hidden="false" customHeight="false" outlineLevel="0" collapsed="false">
      <c r="A1770" s="7" t="n">
        <v>80047031</v>
      </c>
      <c r="B1770" s="7" t="s">
        <v>78</v>
      </c>
      <c r="C1770" s="7" t="s">
        <v>3982</v>
      </c>
      <c r="E1770" s="7" t="s">
        <v>3983</v>
      </c>
      <c r="F1770" s="7" t="s">
        <v>3970</v>
      </c>
      <c r="G1770" s="7" t="n">
        <v>2008</v>
      </c>
      <c r="H1770" s="7" t="s">
        <v>49</v>
      </c>
      <c r="I1770" s="7" t="s">
        <v>82</v>
      </c>
      <c r="J1770" s="7" t="s">
        <v>824</v>
      </c>
      <c r="K1770" s="7" t="n">
        <f aca="false">IFERROR(VALUE(RIGHT(TRIM(F1770),4)),"")</f>
        <v>2017</v>
      </c>
      <c r="L1770" s="7" t="str">
        <f aca="false">IF(TRIM(E1770)="","Unknown",IFERROR(LEFT(TRIM(E1770),FIND(",",TRIM(E1770))-1),TRIM(E1770)))</f>
        <v>Colombia</v>
      </c>
      <c r="M1770" s="7" t="str">
        <f aca="false">IFERROR(LEFT(J1770,FIND(",",J1770)-1),J1770)</f>
        <v>International TV Shows</v>
      </c>
      <c r="N1770" s="7" t="str">
        <f aca="false">IF(B1770="Movie",IFERROR(VALUE(LEFT(I1770,FIND(" ",I1770)-1)),""),"")</f>
        <v/>
      </c>
      <c r="O1770" s="7" t="n">
        <f aca="false">IF(B1770="TV Show",IFERROR(VALUE(LEFT(I1770,FIND(" ",I1770)-1)),""),"")</f>
        <v>1</v>
      </c>
      <c r="P1770" s="7" t="n">
        <f aca="false">IF(K1770="","",K1770-G1770)</f>
        <v>9</v>
      </c>
    </row>
    <row r="1771" customFormat="false" ht="15" hidden="false" customHeight="false" outlineLevel="0" collapsed="false">
      <c r="A1771" s="7" t="n">
        <v>80128688</v>
      </c>
      <c r="B1771" s="7" t="s">
        <v>68</v>
      </c>
      <c r="C1771" s="7" t="s">
        <v>3984</v>
      </c>
      <c r="E1771" s="7" t="s">
        <v>26</v>
      </c>
      <c r="F1771" s="7" t="s">
        <v>3970</v>
      </c>
      <c r="G1771" s="7" t="n">
        <v>2017</v>
      </c>
      <c r="H1771" s="7" t="s">
        <v>48</v>
      </c>
      <c r="I1771" s="7" t="s">
        <v>1317</v>
      </c>
      <c r="J1771" s="7" t="s">
        <v>1085</v>
      </c>
      <c r="K1771" s="7" t="n">
        <f aca="false">IFERROR(VALUE(RIGHT(TRIM(F1771),4)),"")</f>
        <v>2017</v>
      </c>
      <c r="L1771" s="7" t="str">
        <f aca="false">IF(TRIM(E1771)="","Unknown",IFERROR(LEFT(TRIM(E1771),FIND(",",TRIM(E1771))-1),TRIM(E1771)))</f>
        <v>United States</v>
      </c>
      <c r="M1771" s="7" t="str">
        <f aca="false">IFERROR(LEFT(J1771,FIND(",",J1771)-1),J1771)</f>
        <v>Documentaries</v>
      </c>
      <c r="N1771" s="7" t="n">
        <f aca="false">IF(B1771="Movie",IFERROR(VALUE(LEFT(I1771,FIND(" ",I1771)-1)),""),"")</f>
        <v>66</v>
      </c>
      <c r="O1771" s="7" t="str">
        <f aca="false">IF(B1771="TV Show",IFERROR(VALUE(LEFT(I1771,FIND(" ",I1771)-1)),""),"")</f>
        <v/>
      </c>
      <c r="P1771" s="7" t="n">
        <f aca="false">IF(K1771="","",K1771-G1771)</f>
        <v>0</v>
      </c>
    </row>
    <row r="1772" customFormat="false" ht="15" hidden="false" customHeight="false" outlineLevel="0" collapsed="false">
      <c r="A1772" s="7" t="n">
        <v>80157564</v>
      </c>
      <c r="B1772" s="7" t="s">
        <v>68</v>
      </c>
      <c r="C1772" s="7" t="s">
        <v>3985</v>
      </c>
      <c r="D1772" s="7" t="s">
        <v>3986</v>
      </c>
      <c r="E1772" s="7" t="s">
        <v>3987</v>
      </c>
      <c r="F1772" s="7" t="s">
        <v>3970</v>
      </c>
      <c r="G1772" s="7" t="n">
        <v>2016</v>
      </c>
      <c r="H1772" s="7" t="s">
        <v>49</v>
      </c>
      <c r="I1772" s="7" t="s">
        <v>93</v>
      </c>
      <c r="J1772" s="7" t="s">
        <v>304</v>
      </c>
      <c r="K1772" s="7" t="n">
        <f aca="false">IFERROR(VALUE(RIGHT(TRIM(F1772),4)),"")</f>
        <v>2017</v>
      </c>
      <c r="L1772" s="7" t="str">
        <f aca="false">IF(TRIM(E1772)="","Unknown",IFERROR(LEFT(TRIM(E1772),FIND(",",TRIM(E1772))-1),TRIM(E1772)))</f>
        <v>Czech Republic</v>
      </c>
      <c r="M1772" s="7" t="str">
        <f aca="false">IFERROR(LEFT(J1772,FIND(",",J1772)-1),J1772)</f>
        <v>Dramas</v>
      </c>
      <c r="N1772" s="7" t="n">
        <f aca="false">IF(B1772="Movie",IFERROR(VALUE(LEFT(I1772,FIND(" ",I1772)-1)),""),"")</f>
        <v>110</v>
      </c>
      <c r="O1772" s="7" t="str">
        <f aca="false">IF(B1772="TV Show",IFERROR(VALUE(LEFT(I1772,FIND(" ",I1772)-1)),""),"")</f>
        <v/>
      </c>
      <c r="P1772" s="7" t="n">
        <f aca="false">IF(K1772="","",K1772-G1772)</f>
        <v>1</v>
      </c>
    </row>
    <row r="1773" customFormat="false" ht="15" hidden="false" customHeight="false" outlineLevel="0" collapsed="false">
      <c r="A1773" s="7" t="n">
        <v>80178078</v>
      </c>
      <c r="B1773" s="7" t="s">
        <v>68</v>
      </c>
      <c r="C1773" s="7" t="s">
        <v>3988</v>
      </c>
      <c r="D1773" s="7" t="s">
        <v>3989</v>
      </c>
      <c r="E1773" s="7" t="s">
        <v>28</v>
      </c>
      <c r="F1773" s="7" t="s">
        <v>3970</v>
      </c>
      <c r="G1773" s="7" t="n">
        <v>2016</v>
      </c>
      <c r="H1773" s="7" t="s">
        <v>48</v>
      </c>
      <c r="I1773" s="7" t="s">
        <v>87</v>
      </c>
      <c r="J1773" s="7" t="s">
        <v>182</v>
      </c>
      <c r="K1773" s="7" t="n">
        <f aca="false">IFERROR(VALUE(RIGHT(TRIM(F1773),4)),"")</f>
        <v>2017</v>
      </c>
      <c r="L1773" s="7" t="str">
        <f aca="false">IF(TRIM(E1773)="","Unknown",IFERROR(LEFT(TRIM(E1773),FIND(",",TRIM(E1773))-1),TRIM(E1773)))</f>
        <v>United Kingdom</v>
      </c>
      <c r="M1773" s="7" t="str">
        <f aca="false">IFERROR(LEFT(J1773,FIND(",",J1773)-1),J1773)</f>
        <v>Dramas</v>
      </c>
      <c r="N1773" s="7" t="n">
        <f aca="false">IF(B1773="Movie",IFERROR(VALUE(LEFT(I1773,FIND(" ",I1773)-1)),""),"")</f>
        <v>99</v>
      </c>
      <c r="O1773" s="7" t="str">
        <f aca="false">IF(B1773="TV Show",IFERROR(VALUE(LEFT(I1773,FIND(" ",I1773)-1)),""),"")</f>
        <v/>
      </c>
      <c r="P1773" s="7" t="n">
        <f aca="false">IF(K1773="","",K1773-G1773)</f>
        <v>1</v>
      </c>
    </row>
    <row r="1774" customFormat="false" ht="15" hidden="false" customHeight="false" outlineLevel="0" collapsed="false">
      <c r="A1774" s="7" t="n">
        <v>80104330</v>
      </c>
      <c r="B1774" s="7" t="s">
        <v>68</v>
      </c>
      <c r="C1774" s="7" t="s">
        <v>3990</v>
      </c>
      <c r="D1774" s="7" t="s">
        <v>3991</v>
      </c>
      <c r="E1774" s="7" t="s">
        <v>28</v>
      </c>
      <c r="F1774" s="7" t="s">
        <v>3992</v>
      </c>
      <c r="G1774" s="7" t="n">
        <v>2014</v>
      </c>
      <c r="H1774" s="7" t="s">
        <v>49</v>
      </c>
      <c r="I1774" s="7" t="s">
        <v>181</v>
      </c>
      <c r="J1774" s="7" t="s">
        <v>341</v>
      </c>
      <c r="K1774" s="7" t="n">
        <f aca="false">IFERROR(VALUE(RIGHT(TRIM(F1774),4)),"")</f>
        <v>2016</v>
      </c>
      <c r="L1774" s="7" t="str">
        <f aca="false">IF(TRIM(E1774)="","Unknown",IFERROR(LEFT(TRIM(E1774),FIND(",",TRIM(E1774))-1),TRIM(E1774)))</f>
        <v>United Kingdom</v>
      </c>
      <c r="M1774" s="7" t="str">
        <f aca="false">IFERROR(LEFT(J1774,FIND(",",J1774)-1),J1774)</f>
        <v>Documentaries</v>
      </c>
      <c r="N1774" s="7" t="n">
        <f aca="false">IF(B1774="Movie",IFERROR(VALUE(LEFT(I1774,FIND(" ",I1774)-1)),""),"")</f>
        <v>102</v>
      </c>
      <c r="O1774" s="7" t="str">
        <f aca="false">IF(B1774="TV Show",IFERROR(VALUE(LEFT(I1774,FIND(" ",I1774)-1)),""),"")</f>
        <v/>
      </c>
      <c r="P1774" s="7" t="n">
        <f aca="false">IF(K1774="","",K1774-G1774)</f>
        <v>2</v>
      </c>
    </row>
    <row r="1775" customFormat="false" ht="15" hidden="false" customHeight="false" outlineLevel="0" collapsed="false">
      <c r="A1775" s="7" t="n">
        <v>81053958</v>
      </c>
      <c r="B1775" s="7" t="s">
        <v>68</v>
      </c>
      <c r="C1775" s="7" t="s">
        <v>3993</v>
      </c>
      <c r="D1775" s="7" t="s">
        <v>3994</v>
      </c>
      <c r="E1775" s="7" t="s">
        <v>26</v>
      </c>
      <c r="F1775" s="7" t="s">
        <v>3995</v>
      </c>
      <c r="G1775" s="7" t="n">
        <v>2019</v>
      </c>
      <c r="H1775" s="7" t="s">
        <v>51</v>
      </c>
      <c r="I1775" s="7" t="s">
        <v>181</v>
      </c>
      <c r="J1775" s="7" t="s">
        <v>370</v>
      </c>
      <c r="K1775" s="7" t="n">
        <f aca="false">IFERROR(VALUE(RIGHT(TRIM(F1775),4)),"")</f>
        <v>2019</v>
      </c>
      <c r="L1775" s="7" t="str">
        <f aca="false">IF(TRIM(E1775)="","Unknown",IFERROR(LEFT(TRIM(E1775),FIND(",",TRIM(E1775))-1),TRIM(E1775)))</f>
        <v>United States</v>
      </c>
      <c r="M1775" s="7" t="str">
        <f aca="false">IFERROR(LEFT(J1775,FIND(",",J1775)-1),J1775)</f>
        <v>Action &amp; Adventure</v>
      </c>
      <c r="N1775" s="7" t="n">
        <f aca="false">IF(B1775="Movie",IFERROR(VALUE(LEFT(I1775,FIND(" ",I1775)-1)),""),"")</f>
        <v>102</v>
      </c>
      <c r="O1775" s="7" t="str">
        <f aca="false">IF(B1775="TV Show",IFERROR(VALUE(LEFT(I1775,FIND(" ",I1775)-1)),""),"")</f>
        <v/>
      </c>
      <c r="P1775" s="7" t="n">
        <f aca="false">IF(K1775="","",K1775-G1775)</f>
        <v>0</v>
      </c>
    </row>
    <row r="1776" customFormat="false" ht="15" hidden="false" customHeight="false" outlineLevel="0" collapsed="false">
      <c r="A1776" s="7" t="n">
        <v>81094666</v>
      </c>
      <c r="B1776" s="7" t="s">
        <v>68</v>
      </c>
      <c r="C1776" s="7" t="s">
        <v>3996</v>
      </c>
      <c r="D1776" s="7" t="s">
        <v>886</v>
      </c>
      <c r="E1776" s="7" t="s">
        <v>26</v>
      </c>
      <c r="F1776" s="7" t="s">
        <v>3995</v>
      </c>
      <c r="G1776" s="7" t="n">
        <v>2018</v>
      </c>
      <c r="H1776" s="7" t="s">
        <v>49</v>
      </c>
      <c r="I1776" s="7" t="s">
        <v>494</v>
      </c>
      <c r="J1776" s="7" t="s">
        <v>811</v>
      </c>
      <c r="K1776" s="7" t="n">
        <f aca="false">IFERROR(VALUE(RIGHT(TRIM(F1776),4)),"")</f>
        <v>2019</v>
      </c>
      <c r="L1776" s="7" t="str">
        <f aca="false">IF(TRIM(E1776)="","Unknown",IFERROR(LEFT(TRIM(E1776),FIND(",",TRIM(E1776))-1),TRIM(E1776)))</f>
        <v>United States</v>
      </c>
      <c r="M1776" s="7" t="str">
        <f aca="false">IFERROR(LEFT(J1776,FIND(",",J1776)-1),J1776)</f>
        <v>Thrillers</v>
      </c>
      <c r="N1776" s="7" t="n">
        <f aca="false">IF(B1776="Movie",IFERROR(VALUE(LEFT(I1776,FIND(" ",I1776)-1)),""),"")</f>
        <v>87</v>
      </c>
      <c r="O1776" s="7" t="str">
        <f aca="false">IF(B1776="TV Show",IFERROR(VALUE(LEFT(I1776,FIND(" ",I1776)-1)),""),"")</f>
        <v/>
      </c>
      <c r="P1776" s="7" t="n">
        <f aca="false">IF(K1776="","",K1776-G1776)</f>
        <v>1</v>
      </c>
    </row>
    <row r="1777" customFormat="false" ht="15" hidden="false" customHeight="false" outlineLevel="0" collapsed="false">
      <c r="A1777" s="7" t="n">
        <v>80992787</v>
      </c>
      <c r="B1777" s="7" t="s">
        <v>78</v>
      </c>
      <c r="C1777" s="7" t="s">
        <v>3997</v>
      </c>
      <c r="E1777" s="7" t="s">
        <v>30</v>
      </c>
      <c r="F1777" s="7" t="s">
        <v>3995</v>
      </c>
      <c r="G1777" s="7" t="n">
        <v>2018</v>
      </c>
      <c r="H1777" s="7" t="s">
        <v>49</v>
      </c>
      <c r="I1777" s="7" t="s">
        <v>82</v>
      </c>
      <c r="J1777" s="7" t="s">
        <v>542</v>
      </c>
      <c r="K1777" s="7" t="n">
        <f aca="false">IFERROR(VALUE(RIGHT(TRIM(F1777),4)),"")</f>
        <v>2019</v>
      </c>
      <c r="L1777" s="7" t="str">
        <f aca="false">IF(TRIM(E1777)="","Unknown",IFERROR(LEFT(TRIM(E1777),FIND(",",TRIM(E1777))-1),TRIM(E1777)))</f>
        <v>Japan</v>
      </c>
      <c r="M1777" s="7" t="str">
        <f aca="false">IFERROR(LEFT(J1777,FIND(",",J1777)-1),J1777)</f>
        <v>Anime Series</v>
      </c>
      <c r="N1777" s="7" t="str">
        <f aca="false">IF(B1777="Movie",IFERROR(VALUE(LEFT(I1777,FIND(" ",I1777)-1)),""),"")</f>
        <v/>
      </c>
      <c r="O1777" s="7" t="n">
        <f aca="false">IF(B1777="TV Show",IFERROR(VALUE(LEFT(I1777,FIND(" ",I1777)-1)),""),"")</f>
        <v>1</v>
      </c>
      <c r="P1777" s="7" t="n">
        <f aca="false">IF(K1777="","",K1777-G1777)</f>
        <v>1</v>
      </c>
    </row>
    <row r="1778" customFormat="false" ht="15" hidden="false" customHeight="false" outlineLevel="0" collapsed="false">
      <c r="A1778" s="7" t="n">
        <v>81036199</v>
      </c>
      <c r="B1778" s="7" t="s">
        <v>68</v>
      </c>
      <c r="C1778" s="7" t="s">
        <v>3998</v>
      </c>
      <c r="E1778" s="7" t="s">
        <v>26</v>
      </c>
      <c r="F1778" s="7" t="s">
        <v>3995</v>
      </c>
      <c r="G1778" s="7" t="n">
        <v>2019</v>
      </c>
      <c r="H1778" s="7" t="s">
        <v>48</v>
      </c>
      <c r="I1778" s="7" t="s">
        <v>123</v>
      </c>
      <c r="J1778" s="7" t="s">
        <v>38</v>
      </c>
      <c r="K1778" s="7" t="n">
        <f aca="false">IFERROR(VALUE(RIGHT(TRIM(F1778),4)),"")</f>
        <v>2019</v>
      </c>
      <c r="L1778" s="7" t="str">
        <f aca="false">IF(TRIM(E1778)="","Unknown",IFERROR(LEFT(TRIM(E1778),FIND(",",TRIM(E1778))-1),TRIM(E1778)))</f>
        <v>United States</v>
      </c>
      <c r="M1778" s="7" t="str">
        <f aca="false">IFERROR(LEFT(J1778,FIND(",",J1778)-1),J1778)</f>
        <v>Comedies</v>
      </c>
      <c r="N1778" s="7" t="n">
        <f aca="false">IF(B1778="Movie",IFERROR(VALUE(LEFT(I1778,FIND(" ",I1778)-1)),""),"")</f>
        <v>61</v>
      </c>
      <c r="O1778" s="7" t="str">
        <f aca="false">IF(B1778="TV Show",IFERROR(VALUE(LEFT(I1778,FIND(" ",I1778)-1)),""),"")</f>
        <v/>
      </c>
      <c r="P1778" s="7" t="n">
        <f aca="false">IF(K1778="","",K1778-G1778)</f>
        <v>0</v>
      </c>
    </row>
    <row r="1779" customFormat="false" ht="15" hidden="false" customHeight="false" outlineLevel="0" collapsed="false">
      <c r="A1779" s="7" t="n">
        <v>81016247</v>
      </c>
      <c r="B1779" s="7" t="s">
        <v>68</v>
      </c>
      <c r="C1779" s="7" t="s">
        <v>3999</v>
      </c>
      <c r="D1779" s="7" t="s">
        <v>4000</v>
      </c>
      <c r="E1779" s="7" t="s">
        <v>26</v>
      </c>
      <c r="F1779" s="7" t="s">
        <v>3995</v>
      </c>
      <c r="G1779" s="7" t="n">
        <v>2018</v>
      </c>
      <c r="H1779" s="7" t="s">
        <v>49</v>
      </c>
      <c r="I1779" s="7" t="s">
        <v>77</v>
      </c>
      <c r="J1779" s="7" t="s">
        <v>39</v>
      </c>
      <c r="K1779" s="7" t="n">
        <f aca="false">IFERROR(VALUE(RIGHT(TRIM(F1779),4)),"")</f>
        <v>2019</v>
      </c>
      <c r="L1779" s="7" t="str">
        <f aca="false">IF(TRIM(E1779)="","Unknown",IFERROR(LEFT(TRIM(E1779),FIND(",",TRIM(E1779))-1),TRIM(E1779)))</f>
        <v>United States</v>
      </c>
      <c r="M1779" s="7" t="str">
        <f aca="false">IFERROR(LEFT(J1779,FIND(",",J1779)-1),J1779)</f>
        <v>Documentaries</v>
      </c>
      <c r="N1779" s="7" t="n">
        <f aca="false">IF(B1779="Movie",IFERROR(VALUE(LEFT(I1779,FIND(" ",I1779)-1)),""),"")</f>
        <v>94</v>
      </c>
      <c r="O1779" s="7" t="str">
        <f aca="false">IF(B1779="TV Show",IFERROR(VALUE(LEFT(I1779,FIND(" ",I1779)-1)),""),"")</f>
        <v/>
      </c>
      <c r="P1779" s="7" t="n">
        <f aca="false">IF(K1779="","",K1779-G1779)</f>
        <v>1</v>
      </c>
    </row>
    <row r="1780" customFormat="false" ht="15" hidden="false" customHeight="false" outlineLevel="0" collapsed="false">
      <c r="A1780" s="7" t="n">
        <v>80097726</v>
      </c>
      <c r="B1780" s="7" t="s">
        <v>78</v>
      </c>
      <c r="C1780" s="7" t="s">
        <v>4001</v>
      </c>
      <c r="E1780" s="7" t="s">
        <v>28</v>
      </c>
      <c r="F1780" s="7" t="s">
        <v>4002</v>
      </c>
      <c r="G1780" s="7" t="n">
        <v>2015</v>
      </c>
      <c r="H1780" s="7" t="s">
        <v>50</v>
      </c>
      <c r="I1780" s="7" t="s">
        <v>82</v>
      </c>
      <c r="J1780" s="7" t="s">
        <v>1969</v>
      </c>
      <c r="K1780" s="7" t="n">
        <f aca="false">IFERROR(VALUE(RIGHT(TRIM(F1780),4)),"")</f>
        <v>2017</v>
      </c>
      <c r="L1780" s="7" t="str">
        <f aca="false">IF(TRIM(E1780)="","Unknown",IFERROR(LEFT(TRIM(E1780),FIND(",",TRIM(E1780))-1),TRIM(E1780)))</f>
        <v>United Kingdom</v>
      </c>
      <c r="M1780" s="7" t="str">
        <f aca="false">IFERROR(LEFT(J1780,FIND(",",J1780)-1),J1780)</f>
        <v>British TV Shows</v>
      </c>
      <c r="N1780" s="7" t="str">
        <f aca="false">IF(B1780="Movie",IFERROR(VALUE(LEFT(I1780,FIND(" ",I1780)-1)),""),"")</f>
        <v/>
      </c>
      <c r="O1780" s="7" t="n">
        <f aca="false">IF(B1780="TV Show",IFERROR(VALUE(LEFT(I1780,FIND(" ",I1780)-1)),""),"")</f>
        <v>1</v>
      </c>
      <c r="P1780" s="7" t="n">
        <f aca="false">IF(K1780="","",K1780-G1780)</f>
        <v>2</v>
      </c>
    </row>
    <row r="1781" customFormat="false" ht="15" hidden="false" customHeight="false" outlineLevel="0" collapsed="false">
      <c r="A1781" s="7" t="n">
        <v>80223928</v>
      </c>
      <c r="B1781" s="7" t="s">
        <v>68</v>
      </c>
      <c r="C1781" s="7" t="s">
        <v>4003</v>
      </c>
      <c r="D1781" s="7" t="s">
        <v>2843</v>
      </c>
      <c r="E1781" s="7" t="s">
        <v>26</v>
      </c>
      <c r="F1781" s="7" t="s">
        <v>4004</v>
      </c>
      <c r="G1781" s="7" t="n">
        <v>2019</v>
      </c>
      <c r="H1781" s="7" t="s">
        <v>226</v>
      </c>
      <c r="I1781" s="7" t="s">
        <v>254</v>
      </c>
      <c r="J1781" s="7" t="s">
        <v>74</v>
      </c>
      <c r="K1781" s="7" t="n">
        <f aca="false">IFERROR(VALUE(RIGHT(TRIM(F1781),4)),"")</f>
        <v>2019</v>
      </c>
      <c r="L1781" s="7" t="str">
        <f aca="false">IF(TRIM(E1781)="","Unknown",IFERROR(LEFT(TRIM(E1781),FIND(",",TRIM(E1781))-1),TRIM(E1781)))</f>
        <v>United States</v>
      </c>
      <c r="M1781" s="7" t="str">
        <f aca="false">IFERROR(LEFT(J1781,FIND(",",J1781)-1),J1781)</f>
        <v>Children &amp; Family Movies</v>
      </c>
      <c r="N1781" s="7" t="n">
        <f aca="false">IF(B1781="Movie",IFERROR(VALUE(LEFT(I1781,FIND(" ",I1781)-1)),""),"")</f>
        <v>70</v>
      </c>
      <c r="O1781" s="7" t="str">
        <f aca="false">IF(B1781="TV Show",IFERROR(VALUE(LEFT(I1781,FIND(" ",I1781)-1)),""),"")</f>
        <v/>
      </c>
      <c r="P1781" s="7" t="n">
        <f aca="false">IF(K1781="","",K1781-G1781)</f>
        <v>0</v>
      </c>
    </row>
    <row r="1782" customFormat="false" ht="15" hidden="false" customHeight="false" outlineLevel="0" collapsed="false">
      <c r="A1782" s="7" t="n">
        <v>81065331</v>
      </c>
      <c r="B1782" s="7" t="s">
        <v>68</v>
      </c>
      <c r="C1782" s="7" t="s">
        <v>4005</v>
      </c>
      <c r="D1782" s="7" t="s">
        <v>4006</v>
      </c>
      <c r="E1782" s="7" t="s">
        <v>2212</v>
      </c>
      <c r="F1782" s="7" t="s">
        <v>4004</v>
      </c>
      <c r="G1782" s="7" t="n">
        <v>2019</v>
      </c>
      <c r="H1782" s="7" t="s">
        <v>50</v>
      </c>
      <c r="I1782" s="7" t="s">
        <v>311</v>
      </c>
      <c r="J1782" s="7" t="s">
        <v>42</v>
      </c>
      <c r="K1782" s="7" t="n">
        <f aca="false">IFERROR(VALUE(RIGHT(TRIM(F1782),4)),"")</f>
        <v>2019</v>
      </c>
      <c r="L1782" s="7" t="str">
        <f aca="false">IF(TRIM(E1782)="","Unknown",IFERROR(LEFT(TRIM(E1782),FIND(",",TRIM(E1782))-1),TRIM(E1782)))</f>
        <v>India</v>
      </c>
      <c r="M1782" s="7" t="str">
        <f aca="false">IFERROR(LEFT(J1782,FIND(",",J1782)-1),J1782)</f>
        <v>Children &amp; Family Movies</v>
      </c>
      <c r="N1782" s="7" t="n">
        <f aca="false">IF(B1782="Movie",IFERROR(VALUE(LEFT(I1782,FIND(" ",I1782)-1)),""),"")</f>
        <v>92</v>
      </c>
      <c r="O1782" s="7" t="str">
        <f aca="false">IF(B1782="TV Show",IFERROR(VALUE(LEFT(I1782,FIND(" ",I1782)-1)),""),"")</f>
        <v/>
      </c>
      <c r="P1782" s="7" t="n">
        <f aca="false">IF(K1782="","",K1782-G1782)</f>
        <v>0</v>
      </c>
    </row>
    <row r="1783" customFormat="false" ht="15" hidden="false" customHeight="false" outlineLevel="0" collapsed="false">
      <c r="A1783" s="7" t="n">
        <v>80186940</v>
      </c>
      <c r="B1783" s="7" t="s">
        <v>68</v>
      </c>
      <c r="C1783" s="7" t="s">
        <v>4007</v>
      </c>
      <c r="D1783" s="7" t="s">
        <v>1621</v>
      </c>
      <c r="E1783" s="7" t="s">
        <v>26</v>
      </c>
      <c r="F1783" s="7" t="s">
        <v>4008</v>
      </c>
      <c r="G1783" s="7" t="n">
        <v>2018</v>
      </c>
      <c r="H1783" s="7" t="s">
        <v>48</v>
      </c>
      <c r="I1783" s="7" t="s">
        <v>286</v>
      </c>
      <c r="J1783" s="7" t="s">
        <v>45</v>
      </c>
      <c r="K1783" s="7" t="n">
        <f aca="false">IFERROR(VALUE(RIGHT(TRIM(F1783),4)),"")</f>
        <v>2018</v>
      </c>
      <c r="L1783" s="7" t="str">
        <f aca="false">IF(TRIM(E1783)="","Unknown",IFERROR(LEFT(TRIM(E1783),FIND(",",TRIM(E1783))-1),TRIM(E1783)))</f>
        <v>United States</v>
      </c>
      <c r="M1783" s="7" t="str">
        <f aca="false">IFERROR(LEFT(J1783,FIND(",",J1783)-1),J1783)</f>
        <v>Stand-Up Comedy</v>
      </c>
      <c r="N1783" s="7" t="n">
        <f aca="false">IF(B1783="Movie",IFERROR(VALUE(LEFT(I1783,FIND(" ",I1783)-1)),""),"")</f>
        <v>64</v>
      </c>
      <c r="O1783" s="7" t="str">
        <f aca="false">IF(B1783="TV Show",IFERROR(VALUE(LEFT(I1783,FIND(" ",I1783)-1)),""),"")</f>
        <v/>
      </c>
      <c r="P1783" s="7" t="n">
        <f aca="false">IF(K1783="","",K1783-G1783)</f>
        <v>0</v>
      </c>
    </row>
    <row r="1784" customFormat="false" ht="15" hidden="false" customHeight="false" outlineLevel="0" collapsed="false">
      <c r="A1784" s="7" t="n">
        <v>80120740</v>
      </c>
      <c r="B1784" s="7" t="s">
        <v>68</v>
      </c>
      <c r="C1784" s="7" t="s">
        <v>4009</v>
      </c>
      <c r="D1784" s="7" t="s">
        <v>2076</v>
      </c>
      <c r="E1784" s="7" t="s">
        <v>1996</v>
      </c>
      <c r="F1784" s="7" t="s">
        <v>4010</v>
      </c>
      <c r="G1784" s="7" t="n">
        <v>2016</v>
      </c>
      <c r="H1784" s="7" t="s">
        <v>52</v>
      </c>
      <c r="I1784" s="7" t="s">
        <v>212</v>
      </c>
      <c r="J1784" s="7" t="s">
        <v>38</v>
      </c>
      <c r="K1784" s="7" t="n">
        <f aca="false">IFERROR(VALUE(RIGHT(TRIM(F1784),4)),"")</f>
        <v>2017</v>
      </c>
      <c r="L1784" s="7" t="str">
        <f aca="false">IF(TRIM(E1784)="","Unknown",IFERROR(LEFT(TRIM(E1784),FIND(",",TRIM(E1784))-1),TRIM(E1784)))</f>
        <v>United States</v>
      </c>
      <c r="M1784" s="7" t="str">
        <f aca="false">IFERROR(LEFT(J1784,FIND(",",J1784)-1),J1784)</f>
        <v>Comedies</v>
      </c>
      <c r="N1784" s="7" t="n">
        <f aca="false">IF(B1784="Movie",IFERROR(VALUE(LEFT(I1784,FIND(" ",I1784)-1)),""),"")</f>
        <v>86</v>
      </c>
      <c r="O1784" s="7" t="str">
        <f aca="false">IF(B1784="TV Show",IFERROR(VALUE(LEFT(I1784,FIND(" ",I1784)-1)),""),"")</f>
        <v/>
      </c>
      <c r="P1784" s="7" t="n">
        <f aca="false">IF(K1784="","",K1784-G1784)</f>
        <v>1</v>
      </c>
    </row>
    <row r="1785" customFormat="false" ht="15" hidden="false" customHeight="false" outlineLevel="0" collapsed="false">
      <c r="A1785" s="7" t="n">
        <v>81077874</v>
      </c>
      <c r="B1785" s="7" t="s">
        <v>68</v>
      </c>
      <c r="C1785" s="7" t="s">
        <v>4011</v>
      </c>
      <c r="D1785" s="7" t="s">
        <v>4012</v>
      </c>
      <c r="E1785" s="7" t="s">
        <v>1790</v>
      </c>
      <c r="F1785" s="7" t="s">
        <v>4013</v>
      </c>
      <c r="G1785" s="7" t="n">
        <v>2018</v>
      </c>
      <c r="H1785" s="7" t="s">
        <v>49</v>
      </c>
      <c r="I1785" s="7" t="s">
        <v>264</v>
      </c>
      <c r="J1785" s="7" t="s">
        <v>39</v>
      </c>
      <c r="K1785" s="7" t="n">
        <f aca="false">IFERROR(VALUE(RIGHT(TRIM(F1785),4)),"")</f>
        <v>2019</v>
      </c>
      <c r="L1785" s="7" t="str">
        <f aca="false">IF(TRIM(E1785)="","Unknown",IFERROR(LEFT(TRIM(E1785),FIND(",",TRIM(E1785))-1),TRIM(E1785)))</f>
        <v>New Zealand</v>
      </c>
      <c r="M1785" s="7" t="str">
        <f aca="false">IFERROR(LEFT(J1785,FIND(",",J1785)-1),J1785)</f>
        <v>Documentaries</v>
      </c>
      <c r="N1785" s="7" t="n">
        <f aca="false">IF(B1785="Movie",IFERROR(VALUE(LEFT(I1785,FIND(" ",I1785)-1)),""),"")</f>
        <v>88</v>
      </c>
      <c r="O1785" s="7" t="str">
        <f aca="false">IF(B1785="TV Show",IFERROR(VALUE(LEFT(I1785,FIND(" ",I1785)-1)),""),"")</f>
        <v/>
      </c>
      <c r="P1785" s="7" t="n">
        <f aca="false">IF(K1785="","",K1785-G1785)</f>
        <v>1</v>
      </c>
    </row>
    <row r="1786" customFormat="false" ht="15" hidden="false" customHeight="false" outlineLevel="0" collapsed="false">
      <c r="A1786" s="7" t="n">
        <v>81098013</v>
      </c>
      <c r="B1786" s="7" t="s">
        <v>78</v>
      </c>
      <c r="C1786" s="7" t="s">
        <v>4014</v>
      </c>
      <c r="E1786" s="7" t="s">
        <v>2476</v>
      </c>
      <c r="F1786" s="7" t="s">
        <v>4013</v>
      </c>
      <c r="G1786" s="7" t="n">
        <v>2019</v>
      </c>
      <c r="H1786" s="7" t="s">
        <v>48</v>
      </c>
      <c r="I1786" s="7" t="s">
        <v>82</v>
      </c>
      <c r="J1786" s="7" t="s">
        <v>402</v>
      </c>
      <c r="K1786" s="7" t="n">
        <f aca="false">IFERROR(VALUE(RIGHT(TRIM(F1786),4)),"")</f>
        <v>2019</v>
      </c>
      <c r="L1786" s="7" t="str">
        <f aca="false">IF(TRIM(E1786)="","Unknown",IFERROR(LEFT(TRIM(E1786),FIND(",",TRIM(E1786))-1),TRIM(E1786)))</f>
        <v>China</v>
      </c>
      <c r="M1786" s="7" t="str">
        <f aca="false">IFERROR(LEFT(J1786,FIND(",",J1786)-1),J1786)</f>
        <v>Crime TV Shows</v>
      </c>
      <c r="N1786" s="7" t="str">
        <f aca="false">IF(B1786="Movie",IFERROR(VALUE(LEFT(I1786,FIND(" ",I1786)-1)),""),"")</f>
        <v/>
      </c>
      <c r="O1786" s="7" t="n">
        <f aca="false">IF(B1786="TV Show",IFERROR(VALUE(LEFT(I1786,FIND(" ",I1786)-1)),""),"")</f>
        <v>1</v>
      </c>
      <c r="P1786" s="7" t="n">
        <f aca="false">IF(K1786="","",K1786-G1786)</f>
        <v>0</v>
      </c>
    </row>
    <row r="1787" customFormat="false" ht="15" hidden="false" customHeight="false" outlineLevel="0" collapsed="false">
      <c r="A1787" s="7" t="n">
        <v>80117736</v>
      </c>
      <c r="B1787" s="7" t="s">
        <v>68</v>
      </c>
      <c r="C1787" s="7" t="s">
        <v>4015</v>
      </c>
      <c r="D1787" s="7" t="s">
        <v>4016</v>
      </c>
      <c r="E1787" s="7" t="s">
        <v>26</v>
      </c>
      <c r="F1787" s="7" t="s">
        <v>4017</v>
      </c>
      <c r="G1787" s="7" t="n">
        <v>2017</v>
      </c>
      <c r="H1787" s="7" t="s">
        <v>48</v>
      </c>
      <c r="I1787" s="7" t="s">
        <v>311</v>
      </c>
      <c r="J1787" s="7" t="s">
        <v>1533</v>
      </c>
      <c r="K1787" s="7" t="n">
        <f aca="false">IFERROR(VALUE(RIGHT(TRIM(F1787),4)),"")</f>
        <v>2018</v>
      </c>
      <c r="L1787" s="7" t="str">
        <f aca="false">IF(TRIM(E1787)="","Unknown",IFERROR(LEFT(TRIM(E1787),FIND(",",TRIM(E1787))-1),TRIM(E1787)))</f>
        <v>United States</v>
      </c>
      <c r="M1787" s="7" t="str">
        <f aca="false">IFERROR(LEFT(J1787,FIND(",",J1787)-1),J1787)</f>
        <v>Comedies</v>
      </c>
      <c r="N1787" s="7" t="n">
        <f aca="false">IF(B1787="Movie",IFERROR(VALUE(LEFT(I1787,FIND(" ",I1787)-1)),""),"")</f>
        <v>92</v>
      </c>
      <c r="O1787" s="7" t="str">
        <f aca="false">IF(B1787="TV Show",IFERROR(VALUE(LEFT(I1787,FIND(" ",I1787)-1)),""),"")</f>
        <v/>
      </c>
      <c r="P1787" s="7" t="n">
        <f aca="false">IF(K1787="","",K1787-G1787)</f>
        <v>1</v>
      </c>
    </row>
    <row r="1788" customFormat="false" ht="15" hidden="false" customHeight="false" outlineLevel="0" collapsed="false">
      <c r="A1788" s="7" t="n">
        <v>80174364</v>
      </c>
      <c r="B1788" s="7" t="s">
        <v>78</v>
      </c>
      <c r="C1788" s="7" t="s">
        <v>4018</v>
      </c>
      <c r="E1788" s="7" t="s">
        <v>26</v>
      </c>
      <c r="F1788" s="7" t="s">
        <v>4019</v>
      </c>
      <c r="G1788" s="7" t="n">
        <v>2017</v>
      </c>
      <c r="H1788" s="7" t="s">
        <v>81</v>
      </c>
      <c r="I1788" s="7" t="s">
        <v>82</v>
      </c>
      <c r="J1788" s="7" t="s">
        <v>2425</v>
      </c>
      <c r="K1788" s="7" t="n">
        <f aca="false">IFERROR(VALUE(RIGHT(TRIM(F1788),4)),"")</f>
        <v>2017</v>
      </c>
      <c r="L1788" s="7" t="str">
        <f aca="false">IF(TRIM(E1788)="","Unknown",IFERROR(LEFT(TRIM(E1788),FIND(",",TRIM(E1788))-1),TRIM(E1788)))</f>
        <v>United States</v>
      </c>
      <c r="M1788" s="7" t="str">
        <f aca="false">IFERROR(LEFT(J1788,FIND(",",J1788)-1),J1788)</f>
        <v>Kids' TV</v>
      </c>
      <c r="N1788" s="7" t="str">
        <f aca="false">IF(B1788="Movie",IFERROR(VALUE(LEFT(I1788,FIND(" ",I1788)-1)),""),"")</f>
        <v/>
      </c>
      <c r="O1788" s="7" t="n">
        <f aca="false">IF(B1788="TV Show",IFERROR(VALUE(LEFT(I1788,FIND(" ",I1788)-1)),""),"")</f>
        <v>1</v>
      </c>
      <c r="P1788" s="7" t="n">
        <f aca="false">IF(K1788="","",K1788-G1788)</f>
        <v>0</v>
      </c>
    </row>
    <row r="1789" customFormat="false" ht="15" hidden="false" customHeight="false" outlineLevel="0" collapsed="false">
      <c r="A1789" s="7" t="n">
        <v>80114666</v>
      </c>
      <c r="B1789" s="7" t="s">
        <v>68</v>
      </c>
      <c r="C1789" s="7" t="s">
        <v>4020</v>
      </c>
      <c r="D1789" s="7" t="s">
        <v>4021</v>
      </c>
      <c r="E1789" s="7" t="s">
        <v>26</v>
      </c>
      <c r="F1789" s="7" t="s">
        <v>4019</v>
      </c>
      <c r="G1789" s="7" t="n">
        <v>2017</v>
      </c>
      <c r="H1789" s="7" t="s">
        <v>48</v>
      </c>
      <c r="I1789" s="7" t="s">
        <v>512</v>
      </c>
      <c r="J1789" s="7" t="s">
        <v>39</v>
      </c>
      <c r="K1789" s="7" t="n">
        <f aca="false">IFERROR(VALUE(RIGHT(TRIM(F1789),4)),"")</f>
        <v>2017</v>
      </c>
      <c r="L1789" s="7" t="str">
        <f aca="false">IF(TRIM(E1789)="","Unknown",IFERROR(LEFT(TRIM(E1789),FIND(",",TRIM(E1789))-1),TRIM(E1789)))</f>
        <v>United States</v>
      </c>
      <c r="M1789" s="7" t="str">
        <f aca="false">IFERROR(LEFT(J1789,FIND(",",J1789)-1),J1789)</f>
        <v>Documentaries</v>
      </c>
      <c r="N1789" s="7" t="n">
        <f aca="false">IF(B1789="Movie",IFERROR(VALUE(LEFT(I1789,FIND(" ",I1789)-1)),""),"")</f>
        <v>101</v>
      </c>
      <c r="O1789" s="7" t="str">
        <f aca="false">IF(B1789="TV Show",IFERROR(VALUE(LEFT(I1789,FIND(" ",I1789)-1)),""),"")</f>
        <v/>
      </c>
      <c r="P1789" s="7" t="n">
        <f aca="false">IF(K1789="","",K1789-G1789)</f>
        <v>0</v>
      </c>
    </row>
    <row r="1790" customFormat="false" ht="15" hidden="false" customHeight="false" outlineLevel="0" collapsed="false">
      <c r="A1790" s="7" t="n">
        <v>80157866</v>
      </c>
      <c r="B1790" s="7" t="s">
        <v>68</v>
      </c>
      <c r="C1790" s="7" t="s">
        <v>4022</v>
      </c>
      <c r="D1790" s="7" t="s">
        <v>4023</v>
      </c>
      <c r="E1790" s="7" t="s">
        <v>28</v>
      </c>
      <c r="F1790" s="7" t="s">
        <v>4019</v>
      </c>
      <c r="G1790" s="7" t="n">
        <v>2017</v>
      </c>
      <c r="H1790" s="7" t="s">
        <v>48</v>
      </c>
      <c r="I1790" s="7" t="s">
        <v>264</v>
      </c>
      <c r="J1790" s="7" t="s">
        <v>4024</v>
      </c>
      <c r="K1790" s="7" t="n">
        <f aca="false">IFERROR(VALUE(RIGHT(TRIM(F1790),4)),"")</f>
        <v>2017</v>
      </c>
      <c r="L1790" s="7" t="str">
        <f aca="false">IF(TRIM(E1790)="","Unknown",IFERROR(LEFT(TRIM(E1790),FIND(",",TRIM(E1790))-1),TRIM(E1790)))</f>
        <v>United Kingdom</v>
      </c>
      <c r="M1790" s="7" t="str">
        <f aca="false">IFERROR(LEFT(J1790,FIND(",",J1790)-1),J1790)</f>
        <v>Comedies</v>
      </c>
      <c r="N1790" s="7" t="n">
        <f aca="false">IF(B1790="Movie",IFERROR(VALUE(LEFT(I1790,FIND(" ",I1790)-1)),""),"")</f>
        <v>88</v>
      </c>
      <c r="O1790" s="7" t="str">
        <f aca="false">IF(B1790="TV Show",IFERROR(VALUE(LEFT(I1790,FIND(" ",I1790)-1)),""),"")</f>
        <v/>
      </c>
      <c r="P1790" s="7" t="n">
        <f aca="false">IF(K1790="","",K1790-G1790)</f>
        <v>0</v>
      </c>
    </row>
    <row r="1791" customFormat="false" ht="15" hidden="false" customHeight="false" outlineLevel="0" collapsed="false">
      <c r="A1791" s="7" t="n">
        <v>80161029</v>
      </c>
      <c r="B1791" s="7" t="s">
        <v>68</v>
      </c>
      <c r="C1791" s="7" t="s">
        <v>4025</v>
      </c>
      <c r="D1791" s="7" t="s">
        <v>4026</v>
      </c>
      <c r="E1791" s="7" t="s">
        <v>454</v>
      </c>
      <c r="F1791" s="7" t="s">
        <v>4019</v>
      </c>
      <c r="G1791" s="7" t="n">
        <v>2017</v>
      </c>
      <c r="H1791" s="7" t="s">
        <v>55</v>
      </c>
      <c r="I1791" s="7" t="s">
        <v>212</v>
      </c>
      <c r="J1791" s="7" t="s">
        <v>42</v>
      </c>
      <c r="K1791" s="7" t="n">
        <f aca="false">IFERROR(VALUE(RIGHT(TRIM(F1791),4)),"")</f>
        <v>2017</v>
      </c>
      <c r="L1791" s="7" t="str">
        <f aca="false">IF(TRIM(E1791)="","Unknown",IFERROR(LEFT(TRIM(E1791),FIND(",",TRIM(E1791))-1),TRIM(E1791)))</f>
        <v>France</v>
      </c>
      <c r="M1791" s="7" t="str">
        <f aca="false">IFERROR(LEFT(J1791,FIND(",",J1791)-1),J1791)</f>
        <v>Children &amp; Family Movies</v>
      </c>
      <c r="N1791" s="7" t="n">
        <f aca="false">IF(B1791="Movie",IFERROR(VALUE(LEFT(I1791,FIND(" ",I1791)-1)),""),"")</f>
        <v>86</v>
      </c>
      <c r="O1791" s="7" t="str">
        <f aca="false">IF(B1791="TV Show",IFERROR(VALUE(LEFT(I1791,FIND(" ",I1791)-1)),""),"")</f>
        <v/>
      </c>
      <c r="P1791" s="7" t="n">
        <f aca="false">IF(K1791="","",K1791-G1791)</f>
        <v>0</v>
      </c>
    </row>
    <row r="1792" customFormat="false" ht="15" hidden="false" customHeight="false" outlineLevel="0" collapsed="false">
      <c r="A1792" s="7" t="n">
        <v>81039410</v>
      </c>
      <c r="B1792" s="7" t="s">
        <v>68</v>
      </c>
      <c r="C1792" s="7" t="s">
        <v>4027</v>
      </c>
      <c r="D1792" s="7" t="s">
        <v>4028</v>
      </c>
      <c r="E1792" s="7" t="s">
        <v>4029</v>
      </c>
      <c r="F1792" s="7" t="s">
        <v>4030</v>
      </c>
      <c r="G1792" s="7" t="n">
        <v>2018</v>
      </c>
      <c r="H1792" s="7" t="s">
        <v>48</v>
      </c>
      <c r="I1792" s="7" t="s">
        <v>205</v>
      </c>
      <c r="J1792" s="7" t="s">
        <v>188</v>
      </c>
      <c r="K1792" s="7" t="n">
        <f aca="false">IFERROR(VALUE(RIGHT(TRIM(F1792),4)),"")</f>
        <v>2019</v>
      </c>
      <c r="L1792" s="7" t="str">
        <f aca="false">IF(TRIM(E1792)="","Unknown",IFERROR(LEFT(TRIM(E1792),FIND(",",TRIM(E1792))-1),TRIM(E1792)))</f>
        <v>Chile</v>
      </c>
      <c r="M1792" s="7" t="str">
        <f aca="false">IFERROR(LEFT(J1792,FIND(",",J1792)-1),J1792)</f>
        <v>Dramas</v>
      </c>
      <c r="N1792" s="7" t="n">
        <f aca="false">IF(B1792="Movie",IFERROR(VALUE(LEFT(I1792,FIND(" ",I1792)-1)),""),"")</f>
        <v>100</v>
      </c>
      <c r="O1792" s="7" t="str">
        <f aca="false">IF(B1792="TV Show",IFERROR(VALUE(LEFT(I1792,FIND(" ",I1792)-1)),""),"")</f>
        <v/>
      </c>
      <c r="P1792" s="7" t="n">
        <f aca="false">IF(K1792="","",K1792-G1792)</f>
        <v>1</v>
      </c>
    </row>
    <row r="1793" customFormat="false" ht="15" hidden="false" customHeight="false" outlineLevel="0" collapsed="false">
      <c r="A1793" s="7" t="n">
        <v>81012340</v>
      </c>
      <c r="B1793" s="7" t="s">
        <v>68</v>
      </c>
      <c r="C1793" s="7" t="s">
        <v>4031</v>
      </c>
      <c r="D1793" s="7" t="s">
        <v>4032</v>
      </c>
      <c r="E1793" s="7" t="s">
        <v>31</v>
      </c>
      <c r="F1793" s="7" t="s">
        <v>4030</v>
      </c>
      <c r="G1793" s="7" t="n">
        <v>2019</v>
      </c>
      <c r="H1793" s="7" t="s">
        <v>48</v>
      </c>
      <c r="I1793" s="7" t="s">
        <v>326</v>
      </c>
      <c r="J1793" s="7" t="s">
        <v>188</v>
      </c>
      <c r="K1793" s="7" t="n">
        <f aca="false">IFERROR(VALUE(RIGHT(TRIM(F1793),4)),"")</f>
        <v>2019</v>
      </c>
      <c r="L1793" s="7" t="str">
        <f aca="false">IF(TRIM(E1793)="","Unknown",IFERROR(LEFT(TRIM(E1793),FIND(",",TRIM(E1793))-1),TRIM(E1793)))</f>
        <v>France</v>
      </c>
      <c r="M1793" s="7" t="str">
        <f aca="false">IFERROR(LEFT(J1793,FIND(",",J1793)-1),J1793)</f>
        <v>Dramas</v>
      </c>
      <c r="N1793" s="7" t="n">
        <f aca="false">IF(B1793="Movie",IFERROR(VALUE(LEFT(I1793,FIND(" ",I1793)-1)),""),"")</f>
        <v>111</v>
      </c>
      <c r="O1793" s="7" t="str">
        <f aca="false">IF(B1793="TV Show",IFERROR(VALUE(LEFT(I1793,FIND(" ",I1793)-1)),""),"")</f>
        <v/>
      </c>
      <c r="P1793" s="7" t="n">
        <f aca="false">IF(K1793="","",K1793-G1793)</f>
        <v>0</v>
      </c>
    </row>
    <row r="1794" customFormat="false" ht="15" hidden="false" customHeight="false" outlineLevel="0" collapsed="false">
      <c r="A1794" s="7" t="n">
        <v>70242536</v>
      </c>
      <c r="B1794" s="7" t="s">
        <v>68</v>
      </c>
      <c r="C1794" s="7" t="s">
        <v>4033</v>
      </c>
      <c r="D1794" s="7" t="s">
        <v>4034</v>
      </c>
      <c r="E1794" s="7" t="s">
        <v>429</v>
      </c>
      <c r="F1794" s="7" t="s">
        <v>4030</v>
      </c>
      <c r="G1794" s="7" t="n">
        <v>2011</v>
      </c>
      <c r="H1794" s="7" t="s">
        <v>50</v>
      </c>
      <c r="I1794" s="7" t="s">
        <v>261</v>
      </c>
      <c r="J1794" s="7" t="s">
        <v>4035</v>
      </c>
      <c r="K1794" s="7" t="n">
        <f aca="false">IFERROR(VALUE(RIGHT(TRIM(F1794),4)),"")</f>
        <v>2019</v>
      </c>
      <c r="L1794" s="7" t="str">
        <f aca="false">IF(TRIM(E1794)="","Unknown",IFERROR(LEFT(TRIM(E1794),FIND(",",TRIM(E1794))-1),TRIM(E1794)))</f>
        <v>Hong Kong</v>
      </c>
      <c r="M1794" s="7" t="str">
        <f aca="false">IFERROR(LEFT(J1794,FIND(",",J1794)-1),J1794)</f>
        <v>Action &amp; Adventure</v>
      </c>
      <c r="N1794" s="7" t="n">
        <f aca="false">IF(B1794="Movie",IFERROR(VALUE(LEFT(I1794,FIND(" ",I1794)-1)),""),"")</f>
        <v>128</v>
      </c>
      <c r="O1794" s="7" t="str">
        <f aca="false">IF(B1794="TV Show",IFERROR(VALUE(LEFT(I1794,FIND(" ",I1794)-1)),""),"")</f>
        <v/>
      </c>
      <c r="P1794" s="7" t="n">
        <f aca="false">IF(K1794="","",K1794-G1794)</f>
        <v>8</v>
      </c>
    </row>
    <row r="1795" customFormat="false" ht="15" hidden="false" customHeight="false" outlineLevel="0" collapsed="false">
      <c r="A1795" s="7" t="n">
        <v>70287630</v>
      </c>
      <c r="B1795" s="7" t="s">
        <v>78</v>
      </c>
      <c r="C1795" s="7" t="s">
        <v>4036</v>
      </c>
      <c r="E1795" s="7" t="s">
        <v>4037</v>
      </c>
      <c r="F1795" s="7" t="s">
        <v>4030</v>
      </c>
      <c r="G1795" s="7" t="n">
        <v>2010</v>
      </c>
      <c r="H1795" s="7" t="s">
        <v>55</v>
      </c>
      <c r="I1795" s="7" t="s">
        <v>82</v>
      </c>
      <c r="J1795" s="7" t="s">
        <v>44</v>
      </c>
      <c r="K1795" s="7" t="n">
        <f aca="false">IFERROR(VALUE(RIGHT(TRIM(F1795),4)),"")</f>
        <v>2019</v>
      </c>
      <c r="L1795" s="7" t="str">
        <f aca="false">IF(TRIM(E1795)="","Unknown",IFERROR(LEFT(TRIM(E1795),FIND(",",TRIM(E1795))-1),TRIM(E1795)))</f>
        <v>India</v>
      </c>
      <c r="M1795" s="7" t="str">
        <f aca="false">IFERROR(LEFT(J1795,FIND(",",J1795)-1),J1795)</f>
        <v>Kids' TV</v>
      </c>
      <c r="N1795" s="7" t="str">
        <f aca="false">IF(B1795="Movie",IFERROR(VALUE(LEFT(I1795,FIND(" ",I1795)-1)),""),"")</f>
        <v/>
      </c>
      <c r="O1795" s="7" t="n">
        <f aca="false">IF(B1795="TV Show",IFERROR(VALUE(LEFT(I1795,FIND(" ",I1795)-1)),""),"")</f>
        <v>1</v>
      </c>
      <c r="P1795" s="7" t="n">
        <f aca="false">IF(K1795="","",K1795-G1795)</f>
        <v>9</v>
      </c>
    </row>
    <row r="1796" customFormat="false" ht="15" hidden="false" customHeight="false" outlineLevel="0" collapsed="false">
      <c r="A1796" s="7" t="n">
        <v>80192065</v>
      </c>
      <c r="B1796" s="7" t="s">
        <v>68</v>
      </c>
      <c r="C1796" s="7" t="s">
        <v>4038</v>
      </c>
      <c r="D1796" s="7" t="s">
        <v>3118</v>
      </c>
      <c r="E1796" s="7" t="s">
        <v>34</v>
      </c>
      <c r="F1796" s="7" t="s">
        <v>4039</v>
      </c>
      <c r="G1796" s="7" t="n">
        <v>2018</v>
      </c>
      <c r="H1796" s="7" t="s">
        <v>48</v>
      </c>
      <c r="I1796" s="7" t="s">
        <v>551</v>
      </c>
      <c r="J1796" s="7" t="s">
        <v>45</v>
      </c>
      <c r="K1796" s="7" t="n">
        <f aca="false">IFERROR(VALUE(RIGHT(TRIM(F1796),4)),"")</f>
        <v>2018</v>
      </c>
      <c r="L1796" s="7" t="str">
        <f aca="false">IF(TRIM(E1796)="","Unknown",IFERROR(LEFT(TRIM(E1796),FIND(",",TRIM(E1796))-1),TRIM(E1796)))</f>
        <v>Mexico</v>
      </c>
      <c r="M1796" s="7" t="str">
        <f aca="false">IFERROR(LEFT(J1796,FIND(",",J1796)-1),J1796)</f>
        <v>Stand-Up Comedy</v>
      </c>
      <c r="N1796" s="7" t="n">
        <f aca="false">IF(B1796="Movie",IFERROR(VALUE(LEFT(I1796,FIND(" ",I1796)-1)),""),"")</f>
        <v>63</v>
      </c>
      <c r="O1796" s="7" t="str">
        <f aca="false">IF(B1796="TV Show",IFERROR(VALUE(LEFT(I1796,FIND(" ",I1796)-1)),""),"")</f>
        <v/>
      </c>
      <c r="P1796" s="7" t="n">
        <f aca="false">IF(K1796="","",K1796-G1796)</f>
        <v>0</v>
      </c>
    </row>
    <row r="1797" customFormat="false" ht="15" hidden="false" customHeight="false" outlineLevel="0" collapsed="false">
      <c r="A1797" s="7" t="n">
        <v>80158319</v>
      </c>
      <c r="B1797" s="7" t="s">
        <v>78</v>
      </c>
      <c r="C1797" s="7" t="s">
        <v>4040</v>
      </c>
      <c r="D1797" s="7" t="s">
        <v>4041</v>
      </c>
      <c r="E1797" s="7" t="s">
        <v>26</v>
      </c>
      <c r="F1797" s="7" t="s">
        <v>4039</v>
      </c>
      <c r="G1797" s="7" t="n">
        <v>2018</v>
      </c>
      <c r="H1797" s="7" t="s">
        <v>48</v>
      </c>
      <c r="I1797" s="7" t="s">
        <v>82</v>
      </c>
      <c r="J1797" s="7" t="s">
        <v>3850</v>
      </c>
      <c r="K1797" s="7" t="n">
        <f aca="false">IFERROR(VALUE(RIGHT(TRIM(F1797),4)),"")</f>
        <v>2018</v>
      </c>
      <c r="L1797" s="7" t="str">
        <f aca="false">IF(TRIM(E1797)="","Unknown",IFERROR(LEFT(TRIM(E1797),FIND(",",TRIM(E1797))-1),TRIM(E1797)))</f>
        <v>United States</v>
      </c>
      <c r="M1797" s="7" t="str">
        <f aca="false">IFERROR(LEFT(J1797,FIND(",",J1797)-1),J1797)</f>
        <v>Crime TV Shows</v>
      </c>
      <c r="N1797" s="7" t="str">
        <f aca="false">IF(B1797="Movie",IFERROR(VALUE(LEFT(I1797,FIND(" ",I1797)-1)),""),"")</f>
        <v/>
      </c>
      <c r="O1797" s="7" t="n">
        <f aca="false">IF(B1797="TV Show",IFERROR(VALUE(LEFT(I1797,FIND(" ",I1797)-1)),""),"")</f>
        <v>1</v>
      </c>
      <c r="P1797" s="7" t="n">
        <f aca="false">IF(K1797="","",K1797-G1797)</f>
        <v>0</v>
      </c>
    </row>
    <row r="1798" customFormat="false" ht="15" hidden="false" customHeight="false" outlineLevel="0" collapsed="false">
      <c r="A1798" s="7" t="n">
        <v>80143556</v>
      </c>
      <c r="B1798" s="7" t="s">
        <v>68</v>
      </c>
      <c r="C1798" s="7" t="s">
        <v>4042</v>
      </c>
      <c r="D1798" s="7" t="s">
        <v>2859</v>
      </c>
      <c r="E1798" s="7" t="s">
        <v>317</v>
      </c>
      <c r="F1798" s="7" t="s">
        <v>4039</v>
      </c>
      <c r="G1798" s="7" t="n">
        <v>2018</v>
      </c>
      <c r="H1798" s="7" t="s">
        <v>49</v>
      </c>
      <c r="I1798" s="7" t="s">
        <v>820</v>
      </c>
      <c r="J1798" s="7" t="s">
        <v>177</v>
      </c>
      <c r="K1798" s="7" t="n">
        <f aca="false">IFERROR(VALUE(RIGHT(TRIM(F1798),4)),"")</f>
        <v>2018</v>
      </c>
      <c r="L1798" s="7" t="str">
        <f aca="false">IF(TRIM(E1798)="","Unknown",IFERROR(LEFT(TRIM(E1798),FIND(",",TRIM(E1798))-1),TRIM(E1798)))</f>
        <v>United Kingdom</v>
      </c>
      <c r="M1798" s="7" t="str">
        <f aca="false">IFERROR(LEFT(J1798,FIND(",",J1798)-1),J1798)</f>
        <v>Comedies</v>
      </c>
      <c r="N1798" s="7" t="n">
        <f aca="false">IF(B1798="Movie",IFERROR(VALUE(LEFT(I1798,FIND(" ",I1798)-1)),""),"")</f>
        <v>105</v>
      </c>
      <c r="O1798" s="7" t="str">
        <f aca="false">IF(B1798="TV Show",IFERROR(VALUE(LEFT(I1798,FIND(" ",I1798)-1)),""),"")</f>
        <v/>
      </c>
      <c r="P1798" s="7" t="n">
        <f aca="false">IF(K1798="","",K1798-G1798)</f>
        <v>0</v>
      </c>
    </row>
    <row r="1799" customFormat="false" ht="15" hidden="false" customHeight="false" outlineLevel="0" collapsed="false">
      <c r="A1799" s="7" t="n">
        <v>80184379</v>
      </c>
      <c r="B1799" s="7" t="s">
        <v>78</v>
      </c>
      <c r="C1799" s="7" t="s">
        <v>4043</v>
      </c>
      <c r="E1799" s="7" t="s">
        <v>26</v>
      </c>
      <c r="F1799" s="7" t="s">
        <v>4039</v>
      </c>
      <c r="G1799" s="7" t="n">
        <v>2018</v>
      </c>
      <c r="H1799" s="7" t="s">
        <v>55</v>
      </c>
      <c r="I1799" s="7" t="s">
        <v>82</v>
      </c>
      <c r="J1799" s="7" t="s">
        <v>191</v>
      </c>
      <c r="K1799" s="7" t="n">
        <f aca="false">IFERROR(VALUE(RIGHT(TRIM(F1799),4)),"")</f>
        <v>2018</v>
      </c>
      <c r="L1799" s="7" t="str">
        <f aca="false">IF(TRIM(E1799)="","Unknown",IFERROR(LEFT(TRIM(E1799),FIND(",",TRIM(E1799))-1),TRIM(E1799)))</f>
        <v>United States</v>
      </c>
      <c r="M1799" s="7" t="str">
        <f aca="false">IFERROR(LEFT(J1799,FIND(",",J1799)-1),J1799)</f>
        <v>Kids' TV</v>
      </c>
      <c r="N1799" s="7" t="str">
        <f aca="false">IF(B1799="Movie",IFERROR(VALUE(LEFT(I1799,FIND(" ",I1799)-1)),""),"")</f>
        <v/>
      </c>
      <c r="O1799" s="7" t="n">
        <f aca="false">IF(B1799="TV Show",IFERROR(VALUE(LEFT(I1799,FIND(" ",I1799)-1)),""),"")</f>
        <v>1</v>
      </c>
      <c r="P1799" s="7" t="n">
        <f aca="false">IF(K1799="","",K1799-G1799)</f>
        <v>0</v>
      </c>
    </row>
    <row r="1800" customFormat="false" ht="15" hidden="false" customHeight="false" outlineLevel="0" collapsed="false">
      <c r="A1800" s="7" t="n">
        <v>81092777</v>
      </c>
      <c r="B1800" s="7" t="s">
        <v>68</v>
      </c>
      <c r="C1800" s="7" t="s">
        <v>4044</v>
      </c>
      <c r="D1800" s="7" t="s">
        <v>4045</v>
      </c>
      <c r="F1800" s="7" t="s">
        <v>4046</v>
      </c>
      <c r="G1800" s="7" t="n">
        <v>2018</v>
      </c>
      <c r="H1800" s="7" t="s">
        <v>81</v>
      </c>
      <c r="I1800" s="7" t="s">
        <v>551</v>
      </c>
      <c r="J1800" s="7" t="s">
        <v>42</v>
      </c>
      <c r="K1800" s="7" t="n">
        <f aca="false">IFERROR(VALUE(RIGHT(TRIM(F1800),4)),"")</f>
        <v>2019</v>
      </c>
      <c r="L1800" s="7" t="str">
        <f aca="false">IF(TRIM(E1800)="","Unknown",IFERROR(LEFT(TRIM(E1800),FIND(",",TRIM(E1800))-1),TRIM(E1800)))</f>
        <v>Unknown</v>
      </c>
      <c r="M1800" s="7" t="str">
        <f aca="false">IFERROR(LEFT(J1800,FIND(",",J1800)-1),J1800)</f>
        <v>Children &amp; Family Movies</v>
      </c>
      <c r="N1800" s="7" t="n">
        <f aca="false">IF(B1800="Movie",IFERROR(VALUE(LEFT(I1800,FIND(" ",I1800)-1)),""),"")</f>
        <v>63</v>
      </c>
      <c r="O1800" s="7" t="str">
        <f aca="false">IF(B1800="TV Show",IFERROR(VALUE(LEFT(I1800,FIND(" ",I1800)-1)),""),"")</f>
        <v/>
      </c>
      <c r="P1800" s="7" t="n">
        <f aca="false">IF(K1800="","",K1800-G1800)</f>
        <v>1</v>
      </c>
    </row>
    <row r="1801" customFormat="false" ht="15" hidden="false" customHeight="false" outlineLevel="0" collapsed="false">
      <c r="A1801" s="7" t="n">
        <v>81092779</v>
      </c>
      <c r="B1801" s="7" t="s">
        <v>68</v>
      </c>
      <c r="C1801" s="7" t="s">
        <v>4047</v>
      </c>
      <c r="D1801" s="7" t="s">
        <v>4048</v>
      </c>
      <c r="F1801" s="7" t="s">
        <v>4046</v>
      </c>
      <c r="G1801" s="7" t="n">
        <v>2018</v>
      </c>
      <c r="H1801" s="7" t="s">
        <v>55</v>
      </c>
      <c r="I1801" s="7" t="s">
        <v>551</v>
      </c>
      <c r="J1801" s="7" t="s">
        <v>10</v>
      </c>
      <c r="K1801" s="7" t="n">
        <f aca="false">IFERROR(VALUE(RIGHT(TRIM(F1801),4)),"")</f>
        <v>2019</v>
      </c>
      <c r="L1801" s="7" t="str">
        <f aca="false">IF(TRIM(E1801)="","Unknown",IFERROR(LEFT(TRIM(E1801),FIND(",",TRIM(E1801))-1),TRIM(E1801)))</f>
        <v>Unknown</v>
      </c>
      <c r="M1801" s="7" t="str">
        <f aca="false">IFERROR(LEFT(J1801,FIND(",",J1801)-1),J1801)</f>
        <v>Movies</v>
      </c>
      <c r="N1801" s="7" t="n">
        <f aca="false">IF(B1801="Movie",IFERROR(VALUE(LEFT(I1801,FIND(" ",I1801)-1)),""),"")</f>
        <v>63</v>
      </c>
      <c r="O1801" s="7" t="str">
        <f aca="false">IF(B1801="TV Show",IFERROR(VALUE(LEFT(I1801,FIND(" ",I1801)-1)),""),"")</f>
        <v/>
      </c>
      <c r="P1801" s="7" t="n">
        <f aca="false">IF(K1801="","",K1801-G1801)</f>
        <v>1</v>
      </c>
    </row>
    <row r="1802" customFormat="false" ht="15" hidden="false" customHeight="false" outlineLevel="0" collapsed="false">
      <c r="A1802" s="7" t="n">
        <v>81092776</v>
      </c>
      <c r="B1802" s="7" t="s">
        <v>68</v>
      </c>
      <c r="C1802" s="7" t="s">
        <v>4049</v>
      </c>
      <c r="D1802" s="7" t="s">
        <v>4050</v>
      </c>
      <c r="F1802" s="7" t="s">
        <v>4046</v>
      </c>
      <c r="G1802" s="7" t="n">
        <v>2018</v>
      </c>
      <c r="H1802" s="7" t="s">
        <v>55</v>
      </c>
      <c r="I1802" s="7" t="s">
        <v>117</v>
      </c>
      <c r="J1802" s="7" t="s">
        <v>42</v>
      </c>
      <c r="K1802" s="7" t="n">
        <f aca="false">IFERROR(VALUE(RIGHT(TRIM(F1802),4)),"")</f>
        <v>2019</v>
      </c>
      <c r="L1802" s="7" t="str">
        <f aca="false">IF(TRIM(E1802)="","Unknown",IFERROR(LEFT(TRIM(E1802),FIND(",",TRIM(E1802))-1),TRIM(E1802)))</f>
        <v>Unknown</v>
      </c>
      <c r="M1802" s="7" t="str">
        <f aca="false">IFERROR(LEFT(J1802,FIND(",",J1802)-1),J1802)</f>
        <v>Children &amp; Family Movies</v>
      </c>
      <c r="N1802" s="7" t="n">
        <f aca="false">IF(B1802="Movie",IFERROR(VALUE(LEFT(I1802,FIND(" ",I1802)-1)),""),"")</f>
        <v>62</v>
      </c>
      <c r="O1802" s="7" t="str">
        <f aca="false">IF(B1802="TV Show",IFERROR(VALUE(LEFT(I1802,FIND(" ",I1802)-1)),""),"")</f>
        <v/>
      </c>
      <c r="P1802" s="7" t="n">
        <f aca="false">IF(K1802="","",K1802-G1802)</f>
        <v>1</v>
      </c>
    </row>
    <row r="1803" customFormat="false" ht="15" hidden="false" customHeight="false" outlineLevel="0" collapsed="false">
      <c r="A1803" s="7" t="n">
        <v>81092778</v>
      </c>
      <c r="B1803" s="7" t="s">
        <v>68</v>
      </c>
      <c r="C1803" s="7" t="s">
        <v>4051</v>
      </c>
      <c r="D1803" s="7" t="s">
        <v>4052</v>
      </c>
      <c r="F1803" s="7" t="s">
        <v>4046</v>
      </c>
      <c r="G1803" s="7" t="n">
        <v>2018</v>
      </c>
      <c r="H1803" s="7" t="s">
        <v>55</v>
      </c>
      <c r="I1803" s="7" t="s">
        <v>117</v>
      </c>
      <c r="J1803" s="7" t="s">
        <v>10</v>
      </c>
      <c r="K1803" s="7" t="n">
        <f aca="false">IFERROR(VALUE(RIGHT(TRIM(F1803),4)),"")</f>
        <v>2019</v>
      </c>
      <c r="L1803" s="7" t="str">
        <f aca="false">IF(TRIM(E1803)="","Unknown",IFERROR(LEFT(TRIM(E1803),FIND(",",TRIM(E1803))-1),TRIM(E1803)))</f>
        <v>Unknown</v>
      </c>
      <c r="M1803" s="7" t="str">
        <f aca="false">IFERROR(LEFT(J1803,FIND(",",J1803)-1),J1803)</f>
        <v>Movies</v>
      </c>
      <c r="N1803" s="7" t="n">
        <f aca="false">IF(B1803="Movie",IFERROR(VALUE(LEFT(I1803,FIND(" ",I1803)-1)),""),"")</f>
        <v>62</v>
      </c>
      <c r="O1803" s="7" t="str">
        <f aca="false">IF(B1803="TV Show",IFERROR(VALUE(LEFT(I1803,FIND(" ",I1803)-1)),""),"")</f>
        <v/>
      </c>
      <c r="P1803" s="7" t="n">
        <f aca="false">IF(K1803="","",K1803-G1803)</f>
        <v>1</v>
      </c>
    </row>
    <row r="1804" customFormat="false" ht="15" hidden="false" customHeight="false" outlineLevel="0" collapsed="false">
      <c r="A1804" s="7" t="n">
        <v>80216541</v>
      </c>
      <c r="B1804" s="7" t="s">
        <v>68</v>
      </c>
      <c r="C1804" s="7" t="s">
        <v>4053</v>
      </c>
      <c r="D1804" s="7" t="s">
        <v>4054</v>
      </c>
      <c r="E1804" s="7" t="s">
        <v>33</v>
      </c>
      <c r="F1804" s="7" t="s">
        <v>4046</v>
      </c>
      <c r="G1804" s="7" t="n">
        <v>2018</v>
      </c>
      <c r="H1804" s="7" t="s">
        <v>48</v>
      </c>
      <c r="I1804" s="7" t="s">
        <v>134</v>
      </c>
      <c r="J1804" s="7" t="s">
        <v>217</v>
      </c>
      <c r="K1804" s="7" t="n">
        <f aca="false">IFERROR(VALUE(RIGHT(TRIM(F1804),4)),"")</f>
        <v>2019</v>
      </c>
      <c r="L1804" s="7" t="str">
        <f aca="false">IF(TRIM(E1804)="","Unknown",IFERROR(LEFT(TRIM(E1804),FIND(",",TRIM(E1804))-1),TRIM(E1804)))</f>
        <v>Spain</v>
      </c>
      <c r="M1804" s="7" t="str">
        <f aca="false">IFERROR(LEFT(J1804,FIND(",",J1804)-1),J1804)</f>
        <v>Comedies</v>
      </c>
      <c r="N1804" s="7" t="n">
        <f aca="false">IF(B1804="Movie",IFERROR(VALUE(LEFT(I1804,FIND(" ",I1804)-1)),""),"")</f>
        <v>98</v>
      </c>
      <c r="O1804" s="7" t="str">
        <f aca="false">IF(B1804="TV Show",IFERROR(VALUE(LEFT(I1804,FIND(" ",I1804)-1)),""),"")</f>
        <v/>
      </c>
      <c r="P1804" s="7" t="n">
        <f aca="false">IF(K1804="","",K1804-G1804)</f>
        <v>1</v>
      </c>
    </row>
    <row r="1805" customFormat="false" ht="15" hidden="false" customHeight="false" outlineLevel="0" collapsed="false">
      <c r="A1805" s="7" t="n">
        <v>80216756</v>
      </c>
      <c r="B1805" s="7" t="s">
        <v>78</v>
      </c>
      <c r="C1805" s="7" t="s">
        <v>4055</v>
      </c>
      <c r="F1805" s="7" t="s">
        <v>4046</v>
      </c>
      <c r="G1805" s="7" t="n">
        <v>2019</v>
      </c>
      <c r="H1805" s="7" t="s">
        <v>48</v>
      </c>
      <c r="I1805" s="7" t="s">
        <v>82</v>
      </c>
      <c r="J1805" s="7" t="s">
        <v>701</v>
      </c>
      <c r="K1805" s="7" t="n">
        <f aca="false">IFERROR(VALUE(RIGHT(TRIM(F1805),4)),"")</f>
        <v>2019</v>
      </c>
      <c r="L1805" s="7" t="str">
        <f aca="false">IF(TRIM(E1805)="","Unknown",IFERROR(LEFT(TRIM(E1805),FIND(",",TRIM(E1805))-1),TRIM(E1805)))</f>
        <v>Unknown</v>
      </c>
      <c r="M1805" s="7" t="str">
        <f aca="false">IFERROR(LEFT(J1805,FIND(",",J1805)-1),J1805)</f>
        <v>Reality TV</v>
      </c>
      <c r="N1805" s="7" t="str">
        <f aca="false">IF(B1805="Movie",IFERROR(VALUE(LEFT(I1805,FIND(" ",I1805)-1)),""),"")</f>
        <v/>
      </c>
      <c r="O1805" s="7" t="n">
        <f aca="false">IF(B1805="TV Show",IFERROR(VALUE(LEFT(I1805,FIND(" ",I1805)-1)),""),"")</f>
        <v>1</v>
      </c>
      <c r="P1805" s="7" t="n">
        <f aca="false">IF(K1805="","",K1805-G1805)</f>
        <v>0</v>
      </c>
    </row>
    <row r="1806" customFormat="false" ht="15" hidden="false" customHeight="false" outlineLevel="0" collapsed="false">
      <c r="A1806" s="7" t="n">
        <v>80241986</v>
      </c>
      <c r="B1806" s="7" t="s">
        <v>78</v>
      </c>
      <c r="C1806" s="7" t="s">
        <v>4056</v>
      </c>
      <c r="E1806" s="7" t="s">
        <v>26</v>
      </c>
      <c r="F1806" s="7" t="s">
        <v>4046</v>
      </c>
      <c r="G1806" s="7" t="n">
        <v>2018</v>
      </c>
      <c r="H1806" s="7" t="s">
        <v>48</v>
      </c>
      <c r="I1806" s="7" t="s">
        <v>82</v>
      </c>
      <c r="J1806" s="7" t="s">
        <v>2704</v>
      </c>
      <c r="K1806" s="7" t="n">
        <f aca="false">IFERROR(VALUE(RIGHT(TRIM(F1806),4)),"")</f>
        <v>2019</v>
      </c>
      <c r="L1806" s="7" t="str">
        <f aca="false">IF(TRIM(E1806)="","Unknown",IFERROR(LEFT(TRIM(E1806),FIND(",",TRIM(E1806))-1),TRIM(E1806)))</f>
        <v>United States</v>
      </c>
      <c r="M1806" s="7" t="str">
        <f aca="false">IFERROR(LEFT(J1806,FIND(",",J1806)-1),J1806)</f>
        <v>TV Dramas</v>
      </c>
      <c r="N1806" s="7" t="str">
        <f aca="false">IF(B1806="Movie",IFERROR(VALUE(LEFT(I1806,FIND(" ",I1806)-1)),""),"")</f>
        <v/>
      </c>
      <c r="O1806" s="7" t="n">
        <f aca="false">IF(B1806="TV Show",IFERROR(VALUE(LEFT(I1806,FIND(" ",I1806)-1)),""),"")</f>
        <v>1</v>
      </c>
      <c r="P1806" s="7" t="n">
        <f aca="false">IF(K1806="","",K1806-G1806)</f>
        <v>1</v>
      </c>
    </row>
    <row r="1807" customFormat="false" ht="15" hidden="false" customHeight="false" outlineLevel="0" collapsed="false">
      <c r="A1807" s="7" t="n">
        <v>80987113</v>
      </c>
      <c r="B1807" s="7" t="s">
        <v>78</v>
      </c>
      <c r="C1807" s="7" t="s">
        <v>4057</v>
      </c>
      <c r="E1807" s="7" t="s">
        <v>366</v>
      </c>
      <c r="F1807" s="7" t="s">
        <v>4046</v>
      </c>
      <c r="G1807" s="7" t="n">
        <v>2016</v>
      </c>
      <c r="H1807" s="7" t="s">
        <v>49</v>
      </c>
      <c r="I1807" s="7" t="s">
        <v>82</v>
      </c>
      <c r="J1807" s="7" t="s">
        <v>314</v>
      </c>
      <c r="K1807" s="7" t="n">
        <f aca="false">IFERROR(VALUE(RIGHT(TRIM(F1807),4)),"")</f>
        <v>2019</v>
      </c>
      <c r="L1807" s="7" t="str">
        <f aca="false">IF(TRIM(E1807)="","Unknown",IFERROR(LEFT(TRIM(E1807),FIND(",",TRIM(E1807))-1),TRIM(E1807)))</f>
        <v>China</v>
      </c>
      <c r="M1807" s="7" t="str">
        <f aca="false">IFERROR(LEFT(J1807,FIND(",",J1807)-1),J1807)</f>
        <v>International TV Shows</v>
      </c>
      <c r="N1807" s="7" t="str">
        <f aca="false">IF(B1807="Movie",IFERROR(VALUE(LEFT(I1807,FIND(" ",I1807)-1)),""),"")</f>
        <v/>
      </c>
      <c r="O1807" s="7" t="n">
        <f aca="false">IF(B1807="TV Show",IFERROR(VALUE(LEFT(I1807,FIND(" ",I1807)-1)),""),"")</f>
        <v>1</v>
      </c>
      <c r="P1807" s="7" t="n">
        <f aca="false">IF(K1807="","",K1807-G1807)</f>
        <v>3</v>
      </c>
    </row>
    <row r="1808" customFormat="false" ht="15" hidden="false" customHeight="false" outlineLevel="0" collapsed="false">
      <c r="A1808" s="7" t="n">
        <v>80197989</v>
      </c>
      <c r="B1808" s="7" t="s">
        <v>78</v>
      </c>
      <c r="C1808" s="7" t="s">
        <v>4058</v>
      </c>
      <c r="E1808" s="7" t="s">
        <v>26</v>
      </c>
      <c r="F1808" s="7" t="s">
        <v>4046</v>
      </c>
      <c r="G1808" s="7" t="n">
        <v>2019</v>
      </c>
      <c r="H1808" s="7" t="s">
        <v>48</v>
      </c>
      <c r="I1808" s="7" t="s">
        <v>82</v>
      </c>
      <c r="J1808" s="7" t="s">
        <v>4059</v>
      </c>
      <c r="K1808" s="7" t="n">
        <f aca="false">IFERROR(VALUE(RIGHT(TRIM(F1808),4)),"")</f>
        <v>2019</v>
      </c>
      <c r="L1808" s="7" t="str">
        <f aca="false">IF(TRIM(E1808)="","Unknown",IFERROR(LEFT(TRIM(E1808),FIND(",",TRIM(E1808))-1),TRIM(E1808)))</f>
        <v>United States</v>
      </c>
      <c r="M1808" s="7" t="str">
        <f aca="false">IFERROR(LEFT(J1808,FIND(",",J1808)-1),J1808)</f>
        <v>TV Dramas</v>
      </c>
      <c r="N1808" s="7" t="str">
        <f aca="false">IF(B1808="Movie",IFERROR(VALUE(LEFT(I1808,FIND(" ",I1808)-1)),""),"")</f>
        <v/>
      </c>
      <c r="O1808" s="7" t="n">
        <f aca="false">IF(B1808="TV Show",IFERROR(VALUE(LEFT(I1808,FIND(" ",I1808)-1)),""),"")</f>
        <v>1</v>
      </c>
      <c r="P1808" s="7" t="n">
        <f aca="false">IF(K1808="","",K1808-G1808)</f>
        <v>0</v>
      </c>
    </row>
    <row r="1809" customFormat="false" ht="15" hidden="false" customHeight="false" outlineLevel="0" collapsed="false">
      <c r="A1809" s="7" t="n">
        <v>80194950</v>
      </c>
      <c r="B1809" s="7" t="s">
        <v>68</v>
      </c>
      <c r="C1809" s="7" t="s">
        <v>4060</v>
      </c>
      <c r="D1809" s="7" t="s">
        <v>4061</v>
      </c>
      <c r="E1809" s="7" t="s">
        <v>26</v>
      </c>
      <c r="F1809" s="7" t="s">
        <v>4046</v>
      </c>
      <c r="G1809" s="7" t="n">
        <v>2019</v>
      </c>
      <c r="H1809" s="7" t="s">
        <v>51</v>
      </c>
      <c r="I1809" s="7" t="s">
        <v>417</v>
      </c>
      <c r="J1809" s="7" t="s">
        <v>38</v>
      </c>
      <c r="K1809" s="7" t="n">
        <f aca="false">IFERROR(VALUE(RIGHT(TRIM(F1809),4)),"")</f>
        <v>2019</v>
      </c>
      <c r="L1809" s="7" t="str">
        <f aca="false">IF(TRIM(E1809)="","Unknown",IFERROR(LEFT(TRIM(E1809),FIND(",",TRIM(E1809))-1),TRIM(E1809)))</f>
        <v>United States</v>
      </c>
      <c r="M1809" s="7" t="str">
        <f aca="false">IFERROR(LEFT(J1809,FIND(",",J1809)-1),J1809)</f>
        <v>Comedies</v>
      </c>
      <c r="N1809" s="7" t="n">
        <f aca="false">IF(B1809="Movie",IFERROR(VALUE(LEFT(I1809,FIND(" ",I1809)-1)),""),"")</f>
        <v>104</v>
      </c>
      <c r="O1809" s="7" t="str">
        <f aca="false">IF(B1809="TV Show",IFERROR(VALUE(LEFT(I1809,FIND(" ",I1809)-1)),""),"")</f>
        <v/>
      </c>
      <c r="P1809" s="7" t="n">
        <f aca="false">IF(K1809="","",K1809-G1809)</f>
        <v>0</v>
      </c>
    </row>
    <row r="1810" customFormat="false" ht="15" hidden="false" customHeight="false" outlineLevel="0" collapsed="false">
      <c r="A1810" s="7" t="n">
        <v>70261058</v>
      </c>
      <c r="B1810" s="7" t="s">
        <v>68</v>
      </c>
      <c r="C1810" s="7" t="s">
        <v>4062</v>
      </c>
      <c r="D1810" s="7" t="s">
        <v>4063</v>
      </c>
      <c r="E1810" s="7" t="s">
        <v>27</v>
      </c>
      <c r="F1810" s="7" t="s">
        <v>4064</v>
      </c>
      <c r="G1810" s="7" t="n">
        <v>2012</v>
      </c>
      <c r="H1810" s="7" t="s">
        <v>49</v>
      </c>
      <c r="I1810" s="7" t="s">
        <v>1041</v>
      </c>
      <c r="J1810" s="7" t="s">
        <v>457</v>
      </c>
      <c r="K1810" s="7" t="n">
        <f aca="false">IFERROR(VALUE(RIGHT(TRIM(F1810),4)),"")</f>
        <v>2017</v>
      </c>
      <c r="L1810" s="7" t="str">
        <f aca="false">IF(TRIM(E1810)="","Unknown",IFERROR(LEFT(TRIM(E1810),FIND(",",TRIM(E1810))-1),TRIM(E1810)))</f>
        <v>India</v>
      </c>
      <c r="M1810" s="7" t="str">
        <f aca="false">IFERROR(LEFT(J1810,FIND(",",J1810)-1),J1810)</f>
        <v>Comedies</v>
      </c>
      <c r="N1810" s="7" t="n">
        <f aca="false">IF(B1810="Movie",IFERROR(VALUE(LEFT(I1810,FIND(" ",I1810)-1)),""),"")</f>
        <v>151</v>
      </c>
      <c r="O1810" s="7" t="str">
        <f aca="false">IF(B1810="TV Show",IFERROR(VALUE(LEFT(I1810,FIND(" ",I1810)-1)),""),"")</f>
        <v/>
      </c>
      <c r="P1810" s="7" t="n">
        <f aca="false">IF(K1810="","",K1810-G1810)</f>
        <v>5</v>
      </c>
    </row>
    <row r="1811" customFormat="false" ht="15" hidden="false" customHeight="false" outlineLevel="0" collapsed="false">
      <c r="A1811" s="7" t="n">
        <v>70204288</v>
      </c>
      <c r="B1811" s="7" t="s">
        <v>68</v>
      </c>
      <c r="C1811" s="7" t="s">
        <v>4065</v>
      </c>
      <c r="D1811" s="7" t="s">
        <v>4066</v>
      </c>
      <c r="E1811" s="7" t="s">
        <v>27</v>
      </c>
      <c r="F1811" s="7" t="s">
        <v>4064</v>
      </c>
      <c r="G1811" s="7" t="n">
        <v>2011</v>
      </c>
      <c r="H1811" s="7" t="s">
        <v>49</v>
      </c>
      <c r="I1811" s="7" t="s">
        <v>237</v>
      </c>
      <c r="J1811" s="7" t="s">
        <v>4035</v>
      </c>
      <c r="K1811" s="7" t="n">
        <f aca="false">IFERROR(VALUE(RIGHT(TRIM(F1811),4)),"")</f>
        <v>2017</v>
      </c>
      <c r="L1811" s="7" t="str">
        <f aca="false">IF(TRIM(E1811)="","Unknown",IFERROR(LEFT(TRIM(E1811),FIND(",",TRIM(E1811))-1),TRIM(E1811)))</f>
        <v>India</v>
      </c>
      <c r="M1811" s="7" t="str">
        <f aca="false">IFERROR(LEFT(J1811,FIND(",",J1811)-1),J1811)</f>
        <v>Action &amp; Adventure</v>
      </c>
      <c r="N1811" s="7" t="n">
        <f aca="false">IF(B1811="Movie",IFERROR(VALUE(LEFT(I1811,FIND(" ",I1811)-1)),""),"")</f>
        <v>116</v>
      </c>
      <c r="O1811" s="7" t="str">
        <f aca="false">IF(B1811="TV Show",IFERROR(VALUE(LEFT(I1811,FIND(" ",I1811)-1)),""),"")</f>
        <v/>
      </c>
      <c r="P1811" s="7" t="n">
        <f aca="false">IF(K1811="","",K1811-G1811)</f>
        <v>6</v>
      </c>
    </row>
    <row r="1812" customFormat="false" ht="15" hidden="false" customHeight="false" outlineLevel="0" collapsed="false">
      <c r="A1812" s="7" t="n">
        <v>80057278</v>
      </c>
      <c r="B1812" s="7" t="s">
        <v>68</v>
      </c>
      <c r="C1812" s="7" t="s">
        <v>4067</v>
      </c>
      <c r="D1812" s="7" t="s">
        <v>4068</v>
      </c>
      <c r="E1812" s="7" t="s">
        <v>27</v>
      </c>
      <c r="F1812" s="7" t="s">
        <v>4064</v>
      </c>
      <c r="G1812" s="7" t="n">
        <v>2015</v>
      </c>
      <c r="H1812" s="7" t="s">
        <v>49</v>
      </c>
      <c r="I1812" s="7" t="s">
        <v>261</v>
      </c>
      <c r="J1812" s="7" t="s">
        <v>112</v>
      </c>
      <c r="K1812" s="7" t="n">
        <f aca="false">IFERROR(VALUE(RIGHT(TRIM(F1812),4)),"")</f>
        <v>2017</v>
      </c>
      <c r="L1812" s="7" t="str">
        <f aca="false">IF(TRIM(E1812)="","Unknown",IFERROR(LEFT(TRIM(E1812),FIND(",",TRIM(E1812))-1),TRIM(E1812)))</f>
        <v>India</v>
      </c>
      <c r="M1812" s="7" t="str">
        <f aca="false">IFERROR(LEFT(J1812,FIND(",",J1812)-1),J1812)</f>
        <v>Action &amp; Adventure</v>
      </c>
      <c r="N1812" s="7" t="n">
        <f aca="false">IF(B1812="Movie",IFERROR(VALUE(LEFT(I1812,FIND(" ",I1812)-1)),""),"")</f>
        <v>128</v>
      </c>
      <c r="O1812" s="7" t="str">
        <f aca="false">IF(B1812="TV Show",IFERROR(VALUE(LEFT(I1812,FIND(" ",I1812)-1)),""),"")</f>
        <v/>
      </c>
      <c r="P1812" s="7" t="n">
        <f aca="false">IF(K1812="","",K1812-G1812)</f>
        <v>2</v>
      </c>
    </row>
    <row r="1813" customFormat="false" ht="15" hidden="false" customHeight="false" outlineLevel="0" collapsed="false">
      <c r="A1813" s="7" t="n">
        <v>70293703</v>
      </c>
      <c r="B1813" s="7" t="s">
        <v>68</v>
      </c>
      <c r="C1813" s="7" t="s">
        <v>4069</v>
      </c>
      <c r="D1813" s="7" t="s">
        <v>4070</v>
      </c>
      <c r="E1813" s="7" t="s">
        <v>27</v>
      </c>
      <c r="F1813" s="7" t="s">
        <v>4064</v>
      </c>
      <c r="G1813" s="7" t="n">
        <v>2013</v>
      </c>
      <c r="H1813" s="7" t="s">
        <v>53</v>
      </c>
      <c r="I1813" s="7" t="s">
        <v>261</v>
      </c>
      <c r="J1813" s="7" t="s">
        <v>182</v>
      </c>
      <c r="K1813" s="7" t="n">
        <f aca="false">IFERROR(VALUE(RIGHT(TRIM(F1813),4)),"")</f>
        <v>2017</v>
      </c>
      <c r="L1813" s="7" t="str">
        <f aca="false">IF(TRIM(E1813)="","Unknown",IFERROR(LEFT(TRIM(E1813),FIND(",",TRIM(E1813))-1),TRIM(E1813)))</f>
        <v>India</v>
      </c>
      <c r="M1813" s="7" t="str">
        <f aca="false">IFERROR(LEFT(J1813,FIND(",",J1813)-1),J1813)</f>
        <v>Dramas</v>
      </c>
      <c r="N1813" s="7" t="n">
        <f aca="false">IF(B1813="Movie",IFERROR(VALUE(LEFT(I1813,FIND(" ",I1813)-1)),""),"")</f>
        <v>128</v>
      </c>
      <c r="O1813" s="7" t="str">
        <f aca="false">IF(B1813="TV Show",IFERROR(VALUE(LEFT(I1813,FIND(" ",I1813)-1)),""),"")</f>
        <v/>
      </c>
      <c r="P1813" s="7" t="n">
        <f aca="false">IF(K1813="","",K1813-G1813)</f>
        <v>4</v>
      </c>
    </row>
    <row r="1814" customFormat="false" ht="15" hidden="false" customHeight="false" outlineLevel="0" collapsed="false">
      <c r="A1814" s="7" t="n">
        <v>80165853</v>
      </c>
      <c r="B1814" s="7" t="s">
        <v>68</v>
      </c>
      <c r="C1814" s="7" t="s">
        <v>4071</v>
      </c>
      <c r="D1814" s="7" t="s">
        <v>4072</v>
      </c>
      <c r="E1814" s="7" t="s">
        <v>27</v>
      </c>
      <c r="F1814" s="7" t="s">
        <v>4064</v>
      </c>
      <c r="G1814" s="7" t="n">
        <v>2011</v>
      </c>
      <c r="H1814" s="7" t="s">
        <v>48</v>
      </c>
      <c r="I1814" s="7" t="s">
        <v>212</v>
      </c>
      <c r="J1814" s="7" t="s">
        <v>188</v>
      </c>
      <c r="K1814" s="7" t="n">
        <f aca="false">IFERROR(VALUE(RIGHT(TRIM(F1814),4)),"")</f>
        <v>2017</v>
      </c>
      <c r="L1814" s="7" t="str">
        <f aca="false">IF(TRIM(E1814)="","Unknown",IFERROR(LEFT(TRIM(E1814),FIND(",",TRIM(E1814))-1),TRIM(E1814)))</f>
        <v>India</v>
      </c>
      <c r="M1814" s="7" t="str">
        <f aca="false">IFERROR(LEFT(J1814,FIND(",",J1814)-1),J1814)</f>
        <v>Dramas</v>
      </c>
      <c r="N1814" s="7" t="n">
        <f aca="false">IF(B1814="Movie",IFERROR(VALUE(LEFT(I1814,FIND(" ",I1814)-1)),""),"")</f>
        <v>86</v>
      </c>
      <c r="O1814" s="7" t="str">
        <f aca="false">IF(B1814="TV Show",IFERROR(VALUE(LEFT(I1814,FIND(" ",I1814)-1)),""),"")</f>
        <v/>
      </c>
      <c r="P1814" s="7" t="n">
        <f aca="false">IF(K1814="","",K1814-G1814)</f>
        <v>6</v>
      </c>
    </row>
    <row r="1815" customFormat="false" ht="15" hidden="false" customHeight="false" outlineLevel="0" collapsed="false">
      <c r="A1815" s="7" t="n">
        <v>80161108</v>
      </c>
      <c r="B1815" s="7" t="s">
        <v>68</v>
      </c>
      <c r="C1815" s="7" t="s">
        <v>4073</v>
      </c>
      <c r="D1815" s="7" t="s">
        <v>4074</v>
      </c>
      <c r="E1815" s="7" t="s">
        <v>29</v>
      </c>
      <c r="F1815" s="7" t="s">
        <v>4064</v>
      </c>
      <c r="G1815" s="7" t="n">
        <v>2016</v>
      </c>
      <c r="H1815" s="7" t="s">
        <v>55</v>
      </c>
      <c r="I1815" s="7" t="s">
        <v>264</v>
      </c>
      <c r="J1815" s="7" t="s">
        <v>42</v>
      </c>
      <c r="K1815" s="7" t="n">
        <f aca="false">IFERROR(VALUE(RIGHT(TRIM(F1815),4)),"")</f>
        <v>2017</v>
      </c>
      <c r="L1815" s="7" t="str">
        <f aca="false">IF(TRIM(E1815)="","Unknown",IFERROR(LEFT(TRIM(E1815),FIND(",",TRIM(E1815))-1),TRIM(E1815)))</f>
        <v>Canada</v>
      </c>
      <c r="M1815" s="7" t="str">
        <f aca="false">IFERROR(LEFT(J1815,FIND(",",J1815)-1),J1815)</f>
        <v>Children &amp; Family Movies</v>
      </c>
      <c r="N1815" s="7" t="n">
        <f aca="false">IF(B1815="Movie",IFERROR(VALUE(LEFT(I1815,FIND(" ",I1815)-1)),""),"")</f>
        <v>88</v>
      </c>
      <c r="O1815" s="7" t="str">
        <f aca="false">IF(B1815="TV Show",IFERROR(VALUE(LEFT(I1815,FIND(" ",I1815)-1)),""),"")</f>
        <v/>
      </c>
      <c r="P1815" s="7" t="n">
        <f aca="false">IF(K1815="","",K1815-G1815)</f>
        <v>1</v>
      </c>
    </row>
    <row r="1816" customFormat="false" ht="15" hidden="false" customHeight="false" outlineLevel="0" collapsed="false">
      <c r="A1816" s="7" t="n">
        <v>80082660</v>
      </c>
      <c r="B1816" s="7" t="s">
        <v>68</v>
      </c>
      <c r="C1816" s="7" t="s">
        <v>4075</v>
      </c>
      <c r="D1816" s="7" t="s">
        <v>4076</v>
      </c>
      <c r="E1816" s="7" t="s">
        <v>4077</v>
      </c>
      <c r="F1816" s="7" t="s">
        <v>4064</v>
      </c>
      <c r="G1816" s="7" t="n">
        <v>2015</v>
      </c>
      <c r="H1816" s="7" t="s">
        <v>48</v>
      </c>
      <c r="I1816" s="7" t="s">
        <v>154</v>
      </c>
      <c r="J1816" s="7" t="s">
        <v>217</v>
      </c>
      <c r="K1816" s="7" t="n">
        <f aca="false">IFERROR(VALUE(RIGHT(TRIM(F1816),4)),"")</f>
        <v>2017</v>
      </c>
      <c r="L1816" s="7" t="str">
        <f aca="false">IF(TRIM(E1816)="","Unknown",IFERROR(LEFT(TRIM(E1816),FIND(",",TRIM(E1816))-1),TRIM(E1816)))</f>
        <v>Spain</v>
      </c>
      <c r="M1816" s="7" t="str">
        <f aca="false">IFERROR(LEFT(J1816,FIND(",",J1816)-1),J1816)</f>
        <v>Comedies</v>
      </c>
      <c r="N1816" s="7" t="n">
        <f aca="false">IF(B1816="Movie",IFERROR(VALUE(LEFT(I1816,FIND(" ",I1816)-1)),""),"")</f>
        <v>80</v>
      </c>
      <c r="O1816" s="7" t="str">
        <f aca="false">IF(B1816="TV Show",IFERROR(VALUE(LEFT(I1816,FIND(" ",I1816)-1)),""),"")</f>
        <v/>
      </c>
      <c r="P1816" s="7" t="n">
        <f aca="false">IF(K1816="","",K1816-G1816)</f>
        <v>2</v>
      </c>
    </row>
    <row r="1817" customFormat="false" ht="15" hidden="false" customHeight="false" outlineLevel="0" collapsed="false">
      <c r="A1817" s="7" t="n">
        <v>80028359</v>
      </c>
      <c r="B1817" s="7" t="s">
        <v>68</v>
      </c>
      <c r="C1817" s="7" t="s">
        <v>4078</v>
      </c>
      <c r="D1817" s="7" t="s">
        <v>1331</v>
      </c>
      <c r="E1817" s="7" t="s">
        <v>26</v>
      </c>
      <c r="F1817" s="7" t="s">
        <v>4079</v>
      </c>
      <c r="G1817" s="7" t="n">
        <v>2015</v>
      </c>
      <c r="H1817" s="7" t="s">
        <v>54</v>
      </c>
      <c r="I1817" s="7" t="s">
        <v>272</v>
      </c>
      <c r="J1817" s="7" t="s">
        <v>2074</v>
      </c>
      <c r="K1817" s="7" t="n">
        <f aca="false">IFERROR(VALUE(RIGHT(TRIM(F1817),4)),"")</f>
        <v>2015</v>
      </c>
      <c r="L1817" s="7" t="str">
        <f aca="false">IF(TRIM(E1817)="","Unknown",IFERROR(LEFT(TRIM(E1817),FIND(",",TRIM(E1817))-1),TRIM(E1817)))</f>
        <v>United States</v>
      </c>
      <c r="M1817" s="7" t="str">
        <f aca="false">IFERROR(LEFT(J1817,FIND(",",J1817)-1),J1817)</f>
        <v>Children &amp; Family Movies</v>
      </c>
      <c r="N1817" s="7" t="n">
        <f aca="false">IF(B1817="Movie",IFERROR(VALUE(LEFT(I1817,FIND(" ",I1817)-1)),""),"")</f>
        <v>93</v>
      </c>
      <c r="O1817" s="7" t="str">
        <f aca="false">IF(B1817="TV Show",IFERROR(VALUE(LEFT(I1817,FIND(" ",I1817)-1)),""),"")</f>
        <v/>
      </c>
      <c r="P1817" s="7" t="n">
        <f aca="false">IF(K1817="","",K1817-G1817)</f>
        <v>0</v>
      </c>
    </row>
    <row r="1818" customFormat="false" ht="15" hidden="false" customHeight="false" outlineLevel="0" collapsed="false">
      <c r="A1818" s="7" t="n">
        <v>81076049</v>
      </c>
      <c r="B1818" s="7" t="s">
        <v>68</v>
      </c>
      <c r="C1818" s="7" t="s">
        <v>4080</v>
      </c>
      <c r="D1818" s="7" t="s">
        <v>4081</v>
      </c>
      <c r="E1818" s="7" t="s">
        <v>26</v>
      </c>
      <c r="F1818" s="7" t="s">
        <v>4082</v>
      </c>
      <c r="G1818" s="7" t="n">
        <v>2018</v>
      </c>
      <c r="H1818" s="7" t="s">
        <v>49</v>
      </c>
      <c r="I1818" s="7" t="s">
        <v>3882</v>
      </c>
      <c r="J1818" s="7" t="s">
        <v>39</v>
      </c>
      <c r="K1818" s="7" t="n">
        <f aca="false">IFERROR(VALUE(RIGHT(TRIM(F1818),4)),"")</f>
        <v>2019</v>
      </c>
      <c r="L1818" s="7" t="str">
        <f aca="false">IF(TRIM(E1818)="","Unknown",IFERROR(LEFT(TRIM(E1818),FIND(",",TRIM(E1818))-1),TRIM(E1818)))</f>
        <v>United States</v>
      </c>
      <c r="M1818" s="7" t="str">
        <f aca="false">IFERROR(LEFT(J1818,FIND(",",J1818)-1),J1818)</f>
        <v>Documentaries</v>
      </c>
      <c r="N1818" s="7" t="n">
        <f aca="false">IF(B1818="Movie",IFERROR(VALUE(LEFT(I1818,FIND(" ",I1818)-1)),""),"")</f>
        <v>53</v>
      </c>
      <c r="O1818" s="7" t="str">
        <f aca="false">IF(B1818="TV Show",IFERROR(VALUE(LEFT(I1818,FIND(" ",I1818)-1)),""),"")</f>
        <v/>
      </c>
      <c r="P1818" s="7" t="n">
        <f aca="false">IF(K1818="","",K1818-G1818)</f>
        <v>1</v>
      </c>
    </row>
    <row r="1819" customFormat="false" ht="15" hidden="false" customHeight="false" outlineLevel="0" collapsed="false">
      <c r="A1819" s="7" t="n">
        <v>60031264</v>
      </c>
      <c r="B1819" s="7" t="s">
        <v>68</v>
      </c>
      <c r="C1819" s="7" t="s">
        <v>4083</v>
      </c>
      <c r="D1819" s="7" t="s">
        <v>4084</v>
      </c>
      <c r="E1819" s="7" t="s">
        <v>26</v>
      </c>
      <c r="F1819" s="7" t="s">
        <v>4082</v>
      </c>
      <c r="G1819" s="7" t="n">
        <v>2003</v>
      </c>
      <c r="H1819" s="7" t="s">
        <v>54</v>
      </c>
      <c r="I1819" s="7" t="s">
        <v>437</v>
      </c>
      <c r="J1819" s="7" t="s">
        <v>74</v>
      </c>
      <c r="K1819" s="7" t="n">
        <f aca="false">IFERROR(VALUE(RIGHT(TRIM(F1819),4)),"")</f>
        <v>2019</v>
      </c>
      <c r="L1819" s="7" t="str">
        <f aca="false">IF(TRIM(E1819)="","Unknown",IFERROR(LEFT(TRIM(E1819),FIND(",",TRIM(E1819))-1),TRIM(E1819)))</f>
        <v>United States</v>
      </c>
      <c r="M1819" s="7" t="str">
        <f aca="false">IFERROR(LEFT(J1819,FIND(",",J1819)-1),J1819)</f>
        <v>Children &amp; Family Movies</v>
      </c>
      <c r="N1819" s="7" t="n">
        <f aca="false">IF(B1819="Movie",IFERROR(VALUE(LEFT(I1819,FIND(" ",I1819)-1)),""),"")</f>
        <v>82</v>
      </c>
      <c r="O1819" s="7" t="str">
        <f aca="false">IF(B1819="TV Show",IFERROR(VALUE(LEFT(I1819,FIND(" ",I1819)-1)),""),"")</f>
        <v/>
      </c>
      <c r="P1819" s="7" t="n">
        <f aca="false">IF(K1819="","",K1819-G1819)</f>
        <v>16</v>
      </c>
    </row>
    <row r="1820" customFormat="false" ht="15" hidden="false" customHeight="false" outlineLevel="0" collapsed="false">
      <c r="A1820" s="7" t="n">
        <v>81059956</v>
      </c>
      <c r="B1820" s="7" t="s">
        <v>68</v>
      </c>
      <c r="C1820" s="7" t="s">
        <v>4085</v>
      </c>
      <c r="D1820" s="7" t="s">
        <v>4086</v>
      </c>
      <c r="E1820" s="7" t="s">
        <v>1081</v>
      </c>
      <c r="F1820" s="7" t="s">
        <v>4082</v>
      </c>
      <c r="G1820" s="7" t="n">
        <v>2017</v>
      </c>
      <c r="H1820" s="7" t="s">
        <v>48</v>
      </c>
      <c r="I1820" s="7" t="s">
        <v>87</v>
      </c>
      <c r="J1820" s="7" t="s">
        <v>188</v>
      </c>
      <c r="K1820" s="7" t="n">
        <f aca="false">IFERROR(VALUE(RIGHT(TRIM(F1820),4)),"")</f>
        <v>2019</v>
      </c>
      <c r="L1820" s="7" t="str">
        <f aca="false">IF(TRIM(E1820)="","Unknown",IFERROR(LEFT(TRIM(E1820),FIND(",",TRIM(E1820))-1),TRIM(E1820)))</f>
        <v>Germany</v>
      </c>
      <c r="M1820" s="7" t="str">
        <f aca="false">IFERROR(LEFT(J1820,FIND(",",J1820)-1),J1820)</f>
        <v>Dramas</v>
      </c>
      <c r="N1820" s="7" t="n">
        <f aca="false">IF(B1820="Movie",IFERROR(VALUE(LEFT(I1820,FIND(" ",I1820)-1)),""),"")</f>
        <v>99</v>
      </c>
      <c r="O1820" s="7" t="str">
        <f aca="false">IF(B1820="TV Show",IFERROR(VALUE(LEFT(I1820,FIND(" ",I1820)-1)),""),"")</f>
        <v/>
      </c>
      <c r="P1820" s="7" t="n">
        <f aca="false">IF(K1820="","",K1820-G1820)</f>
        <v>2</v>
      </c>
    </row>
    <row r="1821" customFormat="false" ht="15" hidden="false" customHeight="false" outlineLevel="0" collapsed="false">
      <c r="A1821" s="7" t="n">
        <v>81094667</v>
      </c>
      <c r="B1821" s="7" t="s">
        <v>68</v>
      </c>
      <c r="C1821" s="7" t="s">
        <v>4087</v>
      </c>
      <c r="D1821" s="7" t="s">
        <v>4088</v>
      </c>
      <c r="E1821" s="7" t="s">
        <v>26</v>
      </c>
      <c r="F1821" s="7" t="s">
        <v>4082</v>
      </c>
      <c r="G1821" s="7" t="n">
        <v>2019</v>
      </c>
      <c r="H1821" s="7" t="s">
        <v>49</v>
      </c>
      <c r="I1821" s="7" t="s">
        <v>494</v>
      </c>
      <c r="J1821" s="7" t="s">
        <v>520</v>
      </c>
      <c r="K1821" s="7" t="n">
        <f aca="false">IFERROR(VALUE(RIGHT(TRIM(F1821),4)),"")</f>
        <v>2019</v>
      </c>
      <c r="L1821" s="7" t="str">
        <f aca="false">IF(TRIM(E1821)="","Unknown",IFERROR(LEFT(TRIM(E1821),FIND(",",TRIM(E1821))-1),TRIM(E1821)))</f>
        <v>United States</v>
      </c>
      <c r="M1821" s="7" t="str">
        <f aca="false">IFERROR(LEFT(J1821,FIND(",",J1821)-1),J1821)</f>
        <v>Dramas</v>
      </c>
      <c r="N1821" s="7" t="n">
        <f aca="false">IF(B1821="Movie",IFERROR(VALUE(LEFT(I1821,FIND(" ",I1821)-1)),""),"")</f>
        <v>87</v>
      </c>
      <c r="O1821" s="7" t="str">
        <f aca="false">IF(B1821="TV Show",IFERROR(VALUE(LEFT(I1821,FIND(" ",I1821)-1)),""),"")</f>
        <v/>
      </c>
      <c r="P1821" s="7" t="n">
        <f aca="false">IF(K1821="","",K1821-G1821)</f>
        <v>0</v>
      </c>
    </row>
    <row r="1822" customFormat="false" ht="15" hidden="false" customHeight="false" outlineLevel="0" collapsed="false">
      <c r="A1822" s="7" t="n">
        <v>81069255</v>
      </c>
      <c r="B1822" s="7" t="s">
        <v>68</v>
      </c>
      <c r="C1822" s="7" t="s">
        <v>4089</v>
      </c>
      <c r="D1822" s="7" t="s">
        <v>4090</v>
      </c>
      <c r="E1822" s="7" t="s">
        <v>28</v>
      </c>
      <c r="F1822" s="7" t="s">
        <v>4082</v>
      </c>
      <c r="G1822" s="7" t="n">
        <v>2018</v>
      </c>
      <c r="H1822" s="7" t="s">
        <v>49</v>
      </c>
      <c r="I1822" s="7" t="s">
        <v>73</v>
      </c>
      <c r="J1822" s="7" t="s">
        <v>509</v>
      </c>
      <c r="K1822" s="7" t="n">
        <f aca="false">IFERROR(VALUE(RIGHT(TRIM(F1822),4)),"")</f>
        <v>2019</v>
      </c>
      <c r="L1822" s="7" t="str">
        <f aca="false">IF(TRIM(E1822)="","Unknown",IFERROR(LEFT(TRIM(E1822),FIND(",",TRIM(E1822))-1),TRIM(E1822)))</f>
        <v>United Kingdom</v>
      </c>
      <c r="M1822" s="7" t="str">
        <f aca="false">IFERROR(LEFT(J1822,FIND(",",J1822)-1),J1822)</f>
        <v>Documentaries</v>
      </c>
      <c r="N1822" s="7" t="n">
        <f aca="false">IF(B1822="Movie",IFERROR(VALUE(LEFT(I1822,FIND(" ",I1822)-1)),""),"")</f>
        <v>90</v>
      </c>
      <c r="O1822" s="7" t="str">
        <f aca="false">IF(B1822="TV Show",IFERROR(VALUE(LEFT(I1822,FIND(" ",I1822)-1)),""),"")</f>
        <v/>
      </c>
      <c r="P1822" s="7" t="n">
        <f aca="false">IF(K1822="","",K1822-G1822)</f>
        <v>1</v>
      </c>
    </row>
    <row r="1823" customFormat="false" ht="15" hidden="false" customHeight="false" outlineLevel="0" collapsed="false">
      <c r="A1823" s="7" t="n">
        <v>81094083</v>
      </c>
      <c r="B1823" s="7" t="s">
        <v>68</v>
      </c>
      <c r="C1823" s="7" t="s">
        <v>4091</v>
      </c>
      <c r="D1823" s="7" t="s">
        <v>4092</v>
      </c>
      <c r="E1823" s="7" t="s">
        <v>27</v>
      </c>
      <c r="F1823" s="7" t="s">
        <v>4082</v>
      </c>
      <c r="G1823" s="7" t="n">
        <v>2018</v>
      </c>
      <c r="H1823" s="7" t="s">
        <v>49</v>
      </c>
      <c r="I1823" s="7" t="s">
        <v>549</v>
      </c>
      <c r="J1823" s="7" t="s">
        <v>188</v>
      </c>
      <c r="K1823" s="7" t="n">
        <f aca="false">IFERROR(VALUE(RIGHT(TRIM(F1823),4)),"")</f>
        <v>2019</v>
      </c>
      <c r="L1823" s="7" t="str">
        <f aca="false">IF(TRIM(E1823)="","Unknown",IFERROR(LEFT(TRIM(E1823),FIND(",",TRIM(E1823))-1),TRIM(E1823)))</f>
        <v>India</v>
      </c>
      <c r="M1823" s="7" t="str">
        <f aca="false">IFERROR(LEFT(J1823,FIND(",",J1823)-1),J1823)</f>
        <v>Dramas</v>
      </c>
      <c r="N1823" s="7" t="n">
        <f aca="false">IF(B1823="Movie",IFERROR(VALUE(LEFT(I1823,FIND(" ",I1823)-1)),""),"")</f>
        <v>124</v>
      </c>
      <c r="O1823" s="7" t="str">
        <f aca="false">IF(B1823="TV Show",IFERROR(VALUE(LEFT(I1823,FIND(" ",I1823)-1)),""),"")</f>
        <v/>
      </c>
      <c r="P1823" s="7" t="n">
        <f aca="false">IF(K1823="","",K1823-G1823)</f>
        <v>1</v>
      </c>
    </row>
    <row r="1824" customFormat="false" ht="15" hidden="false" customHeight="false" outlineLevel="0" collapsed="false">
      <c r="A1824" s="7" t="n">
        <v>80208082</v>
      </c>
      <c r="B1824" s="7" t="s">
        <v>68</v>
      </c>
      <c r="C1824" s="7" t="s">
        <v>4093</v>
      </c>
      <c r="D1824" s="7" t="s">
        <v>4094</v>
      </c>
      <c r="E1824" s="7" t="s">
        <v>31</v>
      </c>
      <c r="F1824" s="7" t="s">
        <v>4082</v>
      </c>
      <c r="G1824" s="7" t="n">
        <v>2015</v>
      </c>
      <c r="H1824" s="7" t="s">
        <v>49</v>
      </c>
      <c r="I1824" s="7" t="s">
        <v>3882</v>
      </c>
      <c r="J1824" s="7" t="s">
        <v>341</v>
      </c>
      <c r="K1824" s="7" t="n">
        <f aca="false">IFERROR(VALUE(RIGHT(TRIM(F1824),4)),"")</f>
        <v>2019</v>
      </c>
      <c r="L1824" s="7" t="str">
        <f aca="false">IF(TRIM(E1824)="","Unknown",IFERROR(LEFT(TRIM(E1824),FIND(",",TRIM(E1824))-1),TRIM(E1824)))</f>
        <v>France</v>
      </c>
      <c r="M1824" s="7" t="str">
        <f aca="false">IFERROR(LEFT(J1824,FIND(",",J1824)-1),J1824)</f>
        <v>Documentaries</v>
      </c>
      <c r="N1824" s="7" t="n">
        <f aca="false">IF(B1824="Movie",IFERROR(VALUE(LEFT(I1824,FIND(" ",I1824)-1)),""),"")</f>
        <v>53</v>
      </c>
      <c r="O1824" s="7" t="str">
        <f aca="false">IF(B1824="TV Show",IFERROR(VALUE(LEFT(I1824,FIND(" ",I1824)-1)),""),"")</f>
        <v/>
      </c>
      <c r="P1824" s="7" t="n">
        <f aca="false">IF(K1824="","",K1824-G1824)</f>
        <v>4</v>
      </c>
    </row>
    <row r="1825" customFormat="false" ht="15" hidden="false" customHeight="false" outlineLevel="0" collapsed="false">
      <c r="A1825" s="7" t="n">
        <v>81080637</v>
      </c>
      <c r="B1825" s="7" t="s">
        <v>68</v>
      </c>
      <c r="C1825" s="7" t="s">
        <v>4095</v>
      </c>
      <c r="D1825" s="7" t="s">
        <v>4096</v>
      </c>
      <c r="E1825" s="7" t="s">
        <v>26</v>
      </c>
      <c r="F1825" s="7" t="s">
        <v>4082</v>
      </c>
      <c r="G1825" s="7" t="n">
        <v>2019</v>
      </c>
      <c r="H1825" s="7" t="s">
        <v>54</v>
      </c>
      <c r="I1825" s="7" t="s">
        <v>264</v>
      </c>
      <c r="J1825" s="7" t="s">
        <v>39</v>
      </c>
      <c r="K1825" s="7" t="n">
        <f aca="false">IFERROR(VALUE(RIGHT(TRIM(F1825),4)),"")</f>
        <v>2019</v>
      </c>
      <c r="L1825" s="7" t="str">
        <f aca="false">IF(TRIM(E1825)="","Unknown",IFERROR(LEFT(TRIM(E1825),FIND(",",TRIM(E1825))-1),TRIM(E1825)))</f>
        <v>United States</v>
      </c>
      <c r="M1825" s="7" t="str">
        <f aca="false">IFERROR(LEFT(J1825,FIND(",",J1825)-1),J1825)</f>
        <v>Documentaries</v>
      </c>
      <c r="N1825" s="7" t="n">
        <f aca="false">IF(B1825="Movie",IFERROR(VALUE(LEFT(I1825,FIND(" ",I1825)-1)),""),"")</f>
        <v>88</v>
      </c>
      <c r="O1825" s="7" t="str">
        <f aca="false">IF(B1825="TV Show",IFERROR(VALUE(LEFT(I1825,FIND(" ",I1825)-1)),""),"")</f>
        <v/>
      </c>
      <c r="P1825" s="7" t="n">
        <f aca="false">IF(K1825="","",K1825-G1825)</f>
        <v>0</v>
      </c>
    </row>
    <row r="1826" customFormat="false" ht="15" hidden="false" customHeight="false" outlineLevel="0" collapsed="false">
      <c r="A1826" s="7" t="n">
        <v>80197303</v>
      </c>
      <c r="B1826" s="7" t="s">
        <v>68</v>
      </c>
      <c r="C1826" s="7" t="s">
        <v>4097</v>
      </c>
      <c r="D1826" s="7" t="s">
        <v>4098</v>
      </c>
      <c r="E1826" s="7" t="s">
        <v>31</v>
      </c>
      <c r="F1826" s="7" t="s">
        <v>4082</v>
      </c>
      <c r="G1826" s="7" t="n">
        <v>2014</v>
      </c>
      <c r="H1826" s="7" t="s">
        <v>50</v>
      </c>
      <c r="I1826" s="7" t="s">
        <v>1028</v>
      </c>
      <c r="J1826" s="7" t="s">
        <v>341</v>
      </c>
      <c r="K1826" s="7" t="n">
        <f aca="false">IFERROR(VALUE(RIGHT(TRIM(F1826),4)),"")</f>
        <v>2019</v>
      </c>
      <c r="L1826" s="7" t="str">
        <f aca="false">IF(TRIM(E1826)="","Unknown",IFERROR(LEFT(TRIM(E1826),FIND(",",TRIM(E1826))-1),TRIM(E1826)))</f>
        <v>France</v>
      </c>
      <c r="M1826" s="7" t="str">
        <f aca="false">IFERROR(LEFT(J1826,FIND(",",J1826)-1),J1826)</f>
        <v>Documentaries</v>
      </c>
      <c r="N1826" s="7" t="n">
        <f aca="false">IF(B1826="Movie",IFERROR(VALUE(LEFT(I1826,FIND(" ",I1826)-1)),""),"")</f>
        <v>54</v>
      </c>
      <c r="O1826" s="7" t="str">
        <f aca="false">IF(B1826="TV Show",IFERROR(VALUE(LEFT(I1826,FIND(" ",I1826)-1)),""),"")</f>
        <v/>
      </c>
      <c r="P1826" s="7" t="n">
        <f aca="false">IF(K1826="","",K1826-G1826)</f>
        <v>5</v>
      </c>
    </row>
    <row r="1827" customFormat="false" ht="15" hidden="false" customHeight="false" outlineLevel="0" collapsed="false">
      <c r="A1827" s="7" t="n">
        <v>81049260</v>
      </c>
      <c r="B1827" s="7" t="s">
        <v>68</v>
      </c>
      <c r="C1827" s="7" t="s">
        <v>4099</v>
      </c>
      <c r="D1827" s="7" t="s">
        <v>4100</v>
      </c>
      <c r="E1827" s="7" t="s">
        <v>1178</v>
      </c>
      <c r="F1827" s="7" t="s">
        <v>4082</v>
      </c>
      <c r="G1827" s="7" t="n">
        <v>2018</v>
      </c>
      <c r="H1827" s="7" t="s">
        <v>48</v>
      </c>
      <c r="I1827" s="7" t="s">
        <v>417</v>
      </c>
      <c r="J1827" s="7" t="s">
        <v>169</v>
      </c>
      <c r="K1827" s="7" t="n">
        <f aca="false">IFERROR(VALUE(RIGHT(TRIM(F1827),4)),"")</f>
        <v>2019</v>
      </c>
      <c r="L1827" s="7" t="str">
        <f aca="false">IF(TRIM(E1827)="","Unknown",IFERROR(LEFT(TRIM(E1827),FIND(",",TRIM(E1827))-1),TRIM(E1827)))</f>
        <v>Malaysia</v>
      </c>
      <c r="M1827" s="7" t="str">
        <f aca="false">IFERROR(LEFT(J1827,FIND(",",J1827)-1),J1827)</f>
        <v>Horror Movies</v>
      </c>
      <c r="N1827" s="7" t="n">
        <f aca="false">IF(B1827="Movie",IFERROR(VALUE(LEFT(I1827,FIND(" ",I1827)-1)),""),"")</f>
        <v>104</v>
      </c>
      <c r="O1827" s="7" t="str">
        <f aca="false">IF(B1827="TV Show",IFERROR(VALUE(LEFT(I1827,FIND(" ",I1827)-1)),""),"")</f>
        <v/>
      </c>
      <c r="P1827" s="7" t="n">
        <f aca="false">IF(K1827="","",K1827-G1827)</f>
        <v>1</v>
      </c>
    </row>
    <row r="1828" customFormat="false" ht="15" hidden="false" customHeight="false" outlineLevel="0" collapsed="false">
      <c r="A1828" s="7" t="n">
        <v>81017593</v>
      </c>
      <c r="B1828" s="7" t="s">
        <v>68</v>
      </c>
      <c r="C1828" s="7" t="s">
        <v>4101</v>
      </c>
      <c r="D1828" s="7" t="s">
        <v>4102</v>
      </c>
      <c r="E1828" s="7" t="s">
        <v>28</v>
      </c>
      <c r="F1828" s="7" t="s">
        <v>4082</v>
      </c>
      <c r="G1828" s="7" t="n">
        <v>2018</v>
      </c>
      <c r="H1828" s="7" t="s">
        <v>49</v>
      </c>
      <c r="I1828" s="7" t="s">
        <v>311</v>
      </c>
      <c r="J1828" s="7" t="s">
        <v>4103</v>
      </c>
      <c r="K1828" s="7" t="n">
        <f aca="false">IFERROR(VALUE(RIGHT(TRIM(F1828),4)),"")</f>
        <v>2019</v>
      </c>
      <c r="L1828" s="7" t="str">
        <f aca="false">IF(TRIM(E1828)="","Unknown",IFERROR(LEFT(TRIM(E1828),FIND(",",TRIM(E1828))-1),TRIM(E1828)))</f>
        <v>United Kingdom</v>
      </c>
      <c r="M1828" s="7" t="str">
        <f aca="false">IFERROR(LEFT(J1828,FIND(",",J1828)-1),J1828)</f>
        <v>Action &amp; Adventure</v>
      </c>
      <c r="N1828" s="7" t="n">
        <f aca="false">IF(B1828="Movie",IFERROR(VALUE(LEFT(I1828,FIND(" ",I1828)-1)),""),"")</f>
        <v>92</v>
      </c>
      <c r="O1828" s="7" t="str">
        <f aca="false">IF(B1828="TV Show",IFERROR(VALUE(LEFT(I1828,FIND(" ",I1828)-1)),""),"")</f>
        <v/>
      </c>
      <c r="P1828" s="7" t="n">
        <f aca="false">IF(K1828="","",K1828-G1828)</f>
        <v>1</v>
      </c>
    </row>
    <row r="1829" customFormat="false" ht="15" hidden="false" customHeight="false" outlineLevel="0" collapsed="false">
      <c r="A1829" s="7" t="n">
        <v>81062075</v>
      </c>
      <c r="B1829" s="7" t="s">
        <v>78</v>
      </c>
      <c r="C1829" s="7" t="s">
        <v>4104</v>
      </c>
      <c r="E1829" s="7" t="s">
        <v>26</v>
      </c>
      <c r="F1829" s="7" t="s">
        <v>4082</v>
      </c>
      <c r="G1829" s="7" t="n">
        <v>2019</v>
      </c>
      <c r="H1829" s="7" t="s">
        <v>49</v>
      </c>
      <c r="I1829" s="7" t="s">
        <v>82</v>
      </c>
      <c r="J1829" s="7" t="s">
        <v>4105</v>
      </c>
      <c r="K1829" s="7" t="n">
        <f aca="false">IFERROR(VALUE(RIGHT(TRIM(F1829),4)),"")</f>
        <v>2019</v>
      </c>
      <c r="L1829" s="7" t="str">
        <f aca="false">IF(TRIM(E1829)="","Unknown",IFERROR(LEFT(TRIM(E1829),FIND(",",TRIM(E1829))-1),TRIM(E1829)))</f>
        <v>United States</v>
      </c>
      <c r="M1829" s="7" t="str">
        <f aca="false">IFERROR(LEFT(J1829,FIND(",",J1829)-1),J1829)</f>
        <v>Classic &amp; Cult TV</v>
      </c>
      <c r="N1829" s="7" t="str">
        <f aca="false">IF(B1829="Movie",IFERROR(VALUE(LEFT(I1829,FIND(" ",I1829)-1)),""),"")</f>
        <v/>
      </c>
      <c r="O1829" s="7" t="n">
        <f aca="false">IF(B1829="TV Show",IFERROR(VALUE(LEFT(I1829,FIND(" ",I1829)-1)),""),"")</f>
        <v>1</v>
      </c>
      <c r="P1829" s="7" t="n">
        <f aca="false">IF(K1829="","",K1829-G1829)</f>
        <v>0</v>
      </c>
    </row>
    <row r="1830" customFormat="false" ht="15" hidden="false" customHeight="false" outlineLevel="0" collapsed="false">
      <c r="A1830" s="7" t="n">
        <v>70270364</v>
      </c>
      <c r="B1830" s="7" t="s">
        <v>68</v>
      </c>
      <c r="C1830" s="7" t="s">
        <v>4106</v>
      </c>
      <c r="D1830" s="7" t="s">
        <v>4107</v>
      </c>
      <c r="E1830" s="7" t="s">
        <v>4108</v>
      </c>
      <c r="F1830" s="7" t="s">
        <v>4082</v>
      </c>
      <c r="G1830" s="7" t="n">
        <v>2013</v>
      </c>
      <c r="H1830" s="7" t="s">
        <v>51</v>
      </c>
      <c r="I1830" s="7" t="s">
        <v>235</v>
      </c>
      <c r="J1830" s="7" t="s">
        <v>4109</v>
      </c>
      <c r="K1830" s="7" t="n">
        <f aca="false">IFERROR(VALUE(RIGHT(TRIM(F1830),4)),"")</f>
        <v>2019</v>
      </c>
      <c r="L1830" s="7" t="str">
        <f aca="false">IF(TRIM(E1830)="","Unknown",IFERROR(LEFT(TRIM(E1830),FIND(",",TRIM(E1830))-1),TRIM(E1830)))</f>
        <v>South Korea</v>
      </c>
      <c r="M1830" s="7" t="str">
        <f aca="false">IFERROR(LEFT(J1830,FIND(",",J1830)-1),J1830)</f>
        <v>Action &amp; Adventure</v>
      </c>
      <c r="N1830" s="7" t="n">
        <f aca="false">IF(B1830="Movie",IFERROR(VALUE(LEFT(I1830,FIND(" ",I1830)-1)),""),"")</f>
        <v>126</v>
      </c>
      <c r="O1830" s="7" t="str">
        <f aca="false">IF(B1830="TV Show",IFERROR(VALUE(LEFT(I1830,FIND(" ",I1830)-1)),""),"")</f>
        <v/>
      </c>
      <c r="P1830" s="7" t="n">
        <f aca="false">IF(K1830="","",K1830-G1830)</f>
        <v>6</v>
      </c>
    </row>
    <row r="1831" customFormat="false" ht="15" hidden="false" customHeight="false" outlineLevel="0" collapsed="false">
      <c r="A1831" s="7" t="n">
        <v>81093342</v>
      </c>
      <c r="B1831" s="7" t="s">
        <v>68</v>
      </c>
      <c r="C1831" s="7" t="s">
        <v>4110</v>
      </c>
      <c r="D1831" s="7" t="s">
        <v>4111</v>
      </c>
      <c r="E1831" s="7" t="s">
        <v>27</v>
      </c>
      <c r="F1831" s="7" t="s">
        <v>4082</v>
      </c>
      <c r="G1831" s="7" t="n">
        <v>2019</v>
      </c>
      <c r="H1831" s="7" t="s">
        <v>49</v>
      </c>
      <c r="I1831" s="7" t="s">
        <v>879</v>
      </c>
      <c r="J1831" s="7" t="s">
        <v>217</v>
      </c>
      <c r="K1831" s="7" t="n">
        <f aca="false">IFERROR(VALUE(RIGHT(TRIM(F1831),4)),"")</f>
        <v>2019</v>
      </c>
      <c r="L1831" s="7" t="str">
        <f aca="false">IF(TRIM(E1831)="","Unknown",IFERROR(LEFT(TRIM(E1831),FIND(",",TRIM(E1831))-1),TRIM(E1831)))</f>
        <v>India</v>
      </c>
      <c r="M1831" s="7" t="str">
        <f aca="false">IFERROR(LEFT(J1831,FIND(",",J1831)-1),J1831)</f>
        <v>Comedies</v>
      </c>
      <c r="N1831" s="7" t="n">
        <f aca="false">IF(B1831="Movie",IFERROR(VALUE(LEFT(I1831,FIND(" ",I1831)-1)),""),"")</f>
        <v>140</v>
      </c>
      <c r="O1831" s="7" t="str">
        <f aca="false">IF(B1831="TV Show",IFERROR(VALUE(LEFT(I1831,FIND(" ",I1831)-1)),""),"")</f>
        <v/>
      </c>
      <c r="P1831" s="7" t="n">
        <f aca="false">IF(K1831="","",K1831-G1831)</f>
        <v>0</v>
      </c>
    </row>
    <row r="1832" customFormat="false" ht="15" hidden="false" customHeight="false" outlineLevel="0" collapsed="false">
      <c r="A1832" s="7" t="n">
        <v>70056441</v>
      </c>
      <c r="B1832" s="7" t="s">
        <v>68</v>
      </c>
      <c r="C1832" s="7" t="s">
        <v>4112</v>
      </c>
      <c r="D1832" s="7" t="s">
        <v>4113</v>
      </c>
      <c r="E1832" s="7" t="s">
        <v>3172</v>
      </c>
      <c r="F1832" s="7" t="s">
        <v>4082</v>
      </c>
      <c r="G1832" s="7" t="n">
        <v>2007</v>
      </c>
      <c r="H1832" s="7" t="s">
        <v>54</v>
      </c>
      <c r="I1832" s="7" t="s">
        <v>494</v>
      </c>
      <c r="J1832" s="7" t="s">
        <v>74</v>
      </c>
      <c r="K1832" s="7" t="n">
        <f aca="false">IFERROR(VALUE(RIGHT(TRIM(F1832),4)),"")</f>
        <v>2019</v>
      </c>
      <c r="L1832" s="7" t="str">
        <f aca="false">IF(TRIM(E1832)="","Unknown",IFERROR(LEFT(TRIM(E1832),FIND(",",TRIM(E1832))-1),TRIM(E1832)))</f>
        <v>Hong Kong</v>
      </c>
      <c r="M1832" s="7" t="str">
        <f aca="false">IFERROR(LEFT(J1832,FIND(",",J1832)-1),J1832)</f>
        <v>Children &amp; Family Movies</v>
      </c>
      <c r="N1832" s="7" t="n">
        <f aca="false">IF(B1832="Movie",IFERROR(VALUE(LEFT(I1832,FIND(" ",I1832)-1)),""),"")</f>
        <v>87</v>
      </c>
      <c r="O1832" s="7" t="str">
        <f aca="false">IF(B1832="TV Show",IFERROR(VALUE(LEFT(I1832,FIND(" ",I1832)-1)),""),"")</f>
        <v/>
      </c>
      <c r="P1832" s="7" t="n">
        <f aca="false">IF(K1832="","",K1832-G1832)</f>
        <v>12</v>
      </c>
    </row>
    <row r="1833" customFormat="false" ht="15" hidden="false" customHeight="false" outlineLevel="0" collapsed="false">
      <c r="A1833" s="7" t="n">
        <v>419733</v>
      </c>
      <c r="B1833" s="7" t="s">
        <v>68</v>
      </c>
      <c r="C1833" s="7" t="s">
        <v>4114</v>
      </c>
      <c r="D1833" s="7" t="s">
        <v>4115</v>
      </c>
      <c r="E1833" s="7" t="s">
        <v>293</v>
      </c>
      <c r="F1833" s="7" t="s">
        <v>4082</v>
      </c>
      <c r="G1833" s="7" t="n">
        <v>1982</v>
      </c>
      <c r="H1833" s="7" t="s">
        <v>54</v>
      </c>
      <c r="I1833" s="7" t="s">
        <v>272</v>
      </c>
      <c r="J1833" s="7" t="s">
        <v>42</v>
      </c>
      <c r="K1833" s="7" t="n">
        <f aca="false">IFERROR(VALUE(RIGHT(TRIM(F1833),4)),"")</f>
        <v>2019</v>
      </c>
      <c r="L1833" s="7" t="str">
        <f aca="false">IF(TRIM(E1833)="","Unknown",IFERROR(LEFT(TRIM(E1833),FIND(",",TRIM(E1833))-1),TRIM(E1833)))</f>
        <v>United States</v>
      </c>
      <c r="M1833" s="7" t="str">
        <f aca="false">IFERROR(LEFT(J1833,FIND(",",J1833)-1),J1833)</f>
        <v>Children &amp; Family Movies</v>
      </c>
      <c r="N1833" s="7" t="n">
        <f aca="false">IF(B1833="Movie",IFERROR(VALUE(LEFT(I1833,FIND(" ",I1833)-1)),""),"")</f>
        <v>93</v>
      </c>
      <c r="O1833" s="7" t="str">
        <f aca="false">IF(B1833="TV Show",IFERROR(VALUE(LEFT(I1833,FIND(" ",I1833)-1)),""),"")</f>
        <v/>
      </c>
      <c r="P1833" s="7" t="n">
        <f aca="false">IF(K1833="","",K1833-G1833)</f>
        <v>37</v>
      </c>
    </row>
    <row r="1834" customFormat="false" ht="15" hidden="false" customHeight="false" outlineLevel="0" collapsed="false">
      <c r="A1834" s="7" t="n">
        <v>80156137</v>
      </c>
      <c r="B1834" s="7" t="s">
        <v>78</v>
      </c>
      <c r="C1834" s="7" t="s">
        <v>4116</v>
      </c>
      <c r="F1834" s="7" t="s">
        <v>4082</v>
      </c>
      <c r="G1834" s="7" t="n">
        <v>2019</v>
      </c>
      <c r="H1834" s="7" t="s">
        <v>226</v>
      </c>
      <c r="I1834" s="7" t="s">
        <v>82</v>
      </c>
      <c r="J1834" s="7" t="s">
        <v>701</v>
      </c>
      <c r="K1834" s="7" t="n">
        <f aca="false">IFERROR(VALUE(RIGHT(TRIM(F1834),4)),"")</f>
        <v>2019</v>
      </c>
      <c r="L1834" s="7" t="str">
        <f aca="false">IF(TRIM(E1834)="","Unknown",IFERROR(LEFT(TRIM(E1834),FIND(",",TRIM(E1834))-1),TRIM(E1834)))</f>
        <v>Unknown</v>
      </c>
      <c r="M1834" s="7" t="str">
        <f aca="false">IFERROR(LEFT(J1834,FIND(",",J1834)-1),J1834)</f>
        <v>Reality TV</v>
      </c>
      <c r="N1834" s="7" t="str">
        <f aca="false">IF(B1834="Movie",IFERROR(VALUE(LEFT(I1834,FIND(" ",I1834)-1)),""),"")</f>
        <v/>
      </c>
      <c r="O1834" s="7" t="n">
        <f aca="false">IF(B1834="TV Show",IFERROR(VALUE(LEFT(I1834,FIND(" ",I1834)-1)),""),"")</f>
        <v>1</v>
      </c>
      <c r="P1834" s="7" t="n">
        <f aca="false">IF(K1834="","",K1834-G1834)</f>
        <v>0</v>
      </c>
    </row>
    <row r="1835" customFormat="false" ht="15" hidden="false" customHeight="false" outlineLevel="0" collapsed="false">
      <c r="A1835" s="7" t="n">
        <v>81021631</v>
      </c>
      <c r="B1835" s="7" t="s">
        <v>68</v>
      </c>
      <c r="C1835" s="7" t="s">
        <v>4117</v>
      </c>
      <c r="D1835" s="7" t="s">
        <v>4118</v>
      </c>
      <c r="E1835" s="7" t="s">
        <v>28</v>
      </c>
      <c r="F1835" s="7" t="s">
        <v>4082</v>
      </c>
      <c r="G1835" s="7" t="n">
        <v>2018</v>
      </c>
      <c r="H1835" s="7" t="s">
        <v>48</v>
      </c>
      <c r="I1835" s="7" t="s">
        <v>154</v>
      </c>
      <c r="J1835" s="7" t="s">
        <v>811</v>
      </c>
      <c r="K1835" s="7" t="n">
        <f aca="false">IFERROR(VALUE(RIGHT(TRIM(F1835),4)),"")</f>
        <v>2019</v>
      </c>
      <c r="L1835" s="7" t="str">
        <f aca="false">IF(TRIM(E1835)="","Unknown",IFERROR(LEFT(TRIM(E1835),FIND(",",TRIM(E1835))-1),TRIM(E1835)))</f>
        <v>United Kingdom</v>
      </c>
      <c r="M1835" s="7" t="str">
        <f aca="false">IFERROR(LEFT(J1835,FIND(",",J1835)-1),J1835)</f>
        <v>Thrillers</v>
      </c>
      <c r="N1835" s="7" t="n">
        <f aca="false">IF(B1835="Movie",IFERROR(VALUE(LEFT(I1835,FIND(" ",I1835)-1)),""),"")</f>
        <v>80</v>
      </c>
      <c r="O1835" s="7" t="str">
        <f aca="false">IF(B1835="TV Show",IFERROR(VALUE(LEFT(I1835,FIND(" ",I1835)-1)),""),"")</f>
        <v/>
      </c>
      <c r="P1835" s="7" t="n">
        <f aca="false">IF(K1835="","",K1835-G1835)</f>
        <v>1</v>
      </c>
    </row>
    <row r="1836" customFormat="false" ht="15" hidden="false" customHeight="false" outlineLevel="0" collapsed="false">
      <c r="A1836" s="7" t="n">
        <v>80241044</v>
      </c>
      <c r="B1836" s="7" t="s">
        <v>68</v>
      </c>
      <c r="C1836" s="7" t="s">
        <v>4119</v>
      </c>
      <c r="D1836" s="7" t="s">
        <v>4120</v>
      </c>
      <c r="E1836" s="7" t="s">
        <v>1113</v>
      </c>
      <c r="F1836" s="7" t="s">
        <v>4121</v>
      </c>
      <c r="G1836" s="7" t="n">
        <v>2018</v>
      </c>
      <c r="H1836" s="7" t="s">
        <v>48</v>
      </c>
      <c r="I1836" s="7" t="s">
        <v>437</v>
      </c>
      <c r="J1836" s="7" t="s">
        <v>139</v>
      </c>
      <c r="K1836" s="7" t="n">
        <f aca="false">IFERROR(VALUE(RIGHT(TRIM(F1836),4)),"")</f>
        <v>2018</v>
      </c>
      <c r="L1836" s="7" t="str">
        <f aca="false">IF(TRIM(E1836)="","Unknown",IFERROR(LEFT(TRIM(E1836),FIND(",",TRIM(E1836))-1),TRIM(E1836)))</f>
        <v>Argentina</v>
      </c>
      <c r="M1836" s="7" t="str">
        <f aca="false">IFERROR(LEFT(J1836,FIND(",",J1836)-1),J1836)</f>
        <v>Action &amp; Adventure</v>
      </c>
      <c r="N1836" s="7" t="n">
        <f aca="false">IF(B1836="Movie",IFERROR(VALUE(LEFT(I1836,FIND(" ",I1836)-1)),""),"")</f>
        <v>82</v>
      </c>
      <c r="O1836" s="7" t="str">
        <f aca="false">IF(B1836="TV Show",IFERROR(VALUE(LEFT(I1836,FIND(" ",I1836)-1)),""),"")</f>
        <v/>
      </c>
      <c r="P1836" s="7" t="n">
        <f aca="false">IF(K1836="","",K1836-G1836)</f>
        <v>0</v>
      </c>
    </row>
    <row r="1837" customFormat="false" ht="15" hidden="false" customHeight="false" outlineLevel="0" collapsed="false">
      <c r="A1837" s="7" t="n">
        <v>80213148</v>
      </c>
      <c r="B1837" s="7" t="s">
        <v>68</v>
      </c>
      <c r="C1837" s="7" t="s">
        <v>4122</v>
      </c>
      <c r="D1837" s="7" t="s">
        <v>4123</v>
      </c>
      <c r="E1837" s="7" t="s">
        <v>28</v>
      </c>
      <c r="F1837" s="7" t="s">
        <v>4121</v>
      </c>
      <c r="G1837" s="7" t="n">
        <v>2017</v>
      </c>
      <c r="H1837" s="7" t="s">
        <v>48</v>
      </c>
      <c r="I1837" s="7" t="s">
        <v>254</v>
      </c>
      <c r="J1837" s="7" t="s">
        <v>39</v>
      </c>
      <c r="K1837" s="7" t="n">
        <f aca="false">IFERROR(VALUE(RIGHT(TRIM(F1837),4)),"")</f>
        <v>2018</v>
      </c>
      <c r="L1837" s="7" t="str">
        <f aca="false">IF(TRIM(E1837)="","Unknown",IFERROR(LEFT(TRIM(E1837),FIND(",",TRIM(E1837))-1),TRIM(E1837)))</f>
        <v>United Kingdom</v>
      </c>
      <c r="M1837" s="7" t="str">
        <f aca="false">IFERROR(LEFT(J1837,FIND(",",J1837)-1),J1837)</f>
        <v>Documentaries</v>
      </c>
      <c r="N1837" s="7" t="n">
        <f aca="false">IF(B1837="Movie",IFERROR(VALUE(LEFT(I1837,FIND(" ",I1837)-1)),""),"")</f>
        <v>70</v>
      </c>
      <c r="O1837" s="7" t="str">
        <f aca="false">IF(B1837="TV Show",IFERROR(VALUE(LEFT(I1837,FIND(" ",I1837)-1)),""),"")</f>
        <v/>
      </c>
      <c r="P1837" s="7" t="n">
        <f aca="false">IF(K1837="","",K1837-G1837)</f>
        <v>1</v>
      </c>
    </row>
    <row r="1838" customFormat="false" ht="15" hidden="false" customHeight="false" outlineLevel="0" collapsed="false">
      <c r="A1838" s="7" t="n">
        <v>80150390</v>
      </c>
      <c r="B1838" s="7" t="s">
        <v>68</v>
      </c>
      <c r="C1838" s="7" t="s">
        <v>4124</v>
      </c>
      <c r="D1838" s="7" t="s">
        <v>271</v>
      </c>
      <c r="E1838" s="7" t="s">
        <v>27</v>
      </c>
      <c r="F1838" s="7" t="s">
        <v>4121</v>
      </c>
      <c r="G1838" s="7" t="n">
        <v>2016</v>
      </c>
      <c r="H1838" s="7" t="s">
        <v>49</v>
      </c>
      <c r="I1838" s="7" t="s">
        <v>1707</v>
      </c>
      <c r="J1838" s="7" t="s">
        <v>2195</v>
      </c>
      <c r="K1838" s="7" t="n">
        <f aca="false">IFERROR(VALUE(RIGHT(TRIM(F1838),4)),"")</f>
        <v>2018</v>
      </c>
      <c r="L1838" s="7" t="str">
        <f aca="false">IF(TRIM(E1838)="","Unknown",IFERROR(LEFT(TRIM(E1838),FIND(",",TRIM(E1838))-1),TRIM(E1838)))</f>
        <v>India</v>
      </c>
      <c r="M1838" s="7" t="str">
        <f aca="false">IFERROR(LEFT(J1838,FIND(",",J1838)-1),J1838)</f>
        <v>Comedies</v>
      </c>
      <c r="N1838" s="7" t="n">
        <f aca="false">IF(B1838="Movie",IFERROR(VALUE(LEFT(I1838,FIND(" ",I1838)-1)),""),"")</f>
        <v>131</v>
      </c>
      <c r="O1838" s="7" t="str">
        <f aca="false">IF(B1838="TV Show",IFERROR(VALUE(LEFT(I1838,FIND(" ",I1838)-1)),""),"")</f>
        <v/>
      </c>
      <c r="P1838" s="7" t="n">
        <f aca="false">IF(K1838="","",K1838-G1838)</f>
        <v>2</v>
      </c>
    </row>
    <row r="1839" customFormat="false" ht="15" hidden="false" customHeight="false" outlineLevel="0" collapsed="false">
      <c r="A1839" s="7" t="n">
        <v>80993495</v>
      </c>
      <c r="B1839" s="7" t="s">
        <v>68</v>
      </c>
      <c r="C1839" s="7" t="s">
        <v>4125</v>
      </c>
      <c r="D1839" s="7" t="s">
        <v>4126</v>
      </c>
      <c r="E1839" s="7" t="s">
        <v>27</v>
      </c>
      <c r="F1839" s="7" t="s">
        <v>4121</v>
      </c>
      <c r="G1839" s="7" t="n">
        <v>2017</v>
      </c>
      <c r="H1839" s="7" t="s">
        <v>48</v>
      </c>
      <c r="I1839" s="7" t="s">
        <v>820</v>
      </c>
      <c r="J1839" s="7" t="s">
        <v>304</v>
      </c>
      <c r="K1839" s="7" t="n">
        <f aca="false">IFERROR(VALUE(RIGHT(TRIM(F1839),4)),"")</f>
        <v>2018</v>
      </c>
      <c r="L1839" s="7" t="str">
        <f aca="false">IF(TRIM(E1839)="","Unknown",IFERROR(LEFT(TRIM(E1839),FIND(",",TRIM(E1839))-1),TRIM(E1839)))</f>
        <v>India</v>
      </c>
      <c r="M1839" s="7" t="str">
        <f aca="false">IFERROR(LEFT(J1839,FIND(",",J1839)-1),J1839)</f>
        <v>Dramas</v>
      </c>
      <c r="N1839" s="7" t="n">
        <f aca="false">IF(B1839="Movie",IFERROR(VALUE(LEFT(I1839,FIND(" ",I1839)-1)),""),"")</f>
        <v>105</v>
      </c>
      <c r="O1839" s="7" t="str">
        <f aca="false">IF(B1839="TV Show",IFERROR(VALUE(LEFT(I1839,FIND(" ",I1839)-1)),""),"")</f>
        <v/>
      </c>
      <c r="P1839" s="7" t="n">
        <f aca="false">IF(K1839="","",K1839-G1839)</f>
        <v>1</v>
      </c>
    </row>
    <row r="1840" customFormat="false" ht="15" hidden="false" customHeight="false" outlineLevel="0" collapsed="false">
      <c r="A1840" s="7" t="n">
        <v>80229034</v>
      </c>
      <c r="B1840" s="7" t="s">
        <v>78</v>
      </c>
      <c r="C1840" s="7" t="s">
        <v>4127</v>
      </c>
      <c r="E1840" s="7" t="s">
        <v>27</v>
      </c>
      <c r="F1840" s="7" t="s">
        <v>4121</v>
      </c>
      <c r="G1840" s="7" t="n">
        <v>2018</v>
      </c>
      <c r="H1840" s="7" t="s">
        <v>49</v>
      </c>
      <c r="I1840" s="7" t="s">
        <v>82</v>
      </c>
      <c r="J1840" s="7" t="s">
        <v>4128</v>
      </c>
      <c r="K1840" s="7" t="n">
        <f aca="false">IFERROR(VALUE(RIGHT(TRIM(F1840),4)),"")</f>
        <v>2018</v>
      </c>
      <c r="L1840" s="7" t="str">
        <f aca="false">IF(TRIM(E1840)="","Unknown",IFERROR(LEFT(TRIM(E1840),FIND(",",TRIM(E1840))-1),TRIM(E1840)))</f>
        <v>India</v>
      </c>
      <c r="M1840" s="7" t="str">
        <f aca="false">IFERROR(LEFT(J1840,FIND(",",J1840)-1),J1840)</f>
        <v>International TV Shows</v>
      </c>
      <c r="N1840" s="7" t="str">
        <f aca="false">IF(B1840="Movie",IFERROR(VALUE(LEFT(I1840,FIND(" ",I1840)-1)),""),"")</f>
        <v/>
      </c>
      <c r="O1840" s="7" t="n">
        <f aca="false">IF(B1840="TV Show",IFERROR(VALUE(LEFT(I1840,FIND(" ",I1840)-1)),""),"")</f>
        <v>1</v>
      </c>
      <c r="P1840" s="7" t="n">
        <f aca="false">IF(K1840="","",K1840-G1840)</f>
        <v>0</v>
      </c>
    </row>
    <row r="1841" customFormat="false" ht="15" hidden="false" customHeight="false" outlineLevel="0" collapsed="false">
      <c r="A1841" s="7" t="n">
        <v>70213130</v>
      </c>
      <c r="B1841" s="7" t="s">
        <v>78</v>
      </c>
      <c r="C1841" s="7" t="s">
        <v>4129</v>
      </c>
      <c r="E1841" s="7" t="s">
        <v>32</v>
      </c>
      <c r="F1841" s="7" t="s">
        <v>4121</v>
      </c>
      <c r="G1841" s="7" t="n">
        <v>2009</v>
      </c>
      <c r="H1841" s="7" t="s">
        <v>49</v>
      </c>
      <c r="I1841" s="7" t="s">
        <v>82</v>
      </c>
      <c r="J1841" s="7" t="s">
        <v>637</v>
      </c>
      <c r="K1841" s="7" t="n">
        <f aca="false">IFERROR(VALUE(RIGHT(TRIM(F1841),4)),"")</f>
        <v>2018</v>
      </c>
      <c r="L1841" s="7" t="str">
        <f aca="false">IF(TRIM(E1841)="","Unknown",IFERROR(LEFT(TRIM(E1841),FIND(",",TRIM(E1841))-1),TRIM(E1841)))</f>
        <v>South Korea</v>
      </c>
      <c r="M1841" s="7" t="str">
        <f aca="false">IFERROR(LEFT(J1841,FIND(",",J1841)-1),J1841)</f>
        <v>International TV Shows</v>
      </c>
      <c r="N1841" s="7" t="str">
        <f aca="false">IF(B1841="Movie",IFERROR(VALUE(LEFT(I1841,FIND(" ",I1841)-1)),""),"")</f>
        <v/>
      </c>
      <c r="O1841" s="7" t="n">
        <f aca="false">IF(B1841="TV Show",IFERROR(VALUE(LEFT(I1841,FIND(" ",I1841)-1)),""),"")</f>
        <v>1</v>
      </c>
      <c r="P1841" s="7" t="n">
        <f aca="false">IF(K1841="","",K1841-G1841)</f>
        <v>9</v>
      </c>
    </row>
    <row r="1842" customFormat="false" ht="15" hidden="false" customHeight="false" outlineLevel="0" collapsed="false">
      <c r="A1842" s="7" t="n">
        <v>80192548</v>
      </c>
      <c r="B1842" s="7" t="s">
        <v>68</v>
      </c>
      <c r="C1842" s="7" t="s">
        <v>4130</v>
      </c>
      <c r="D1842" s="7" t="s">
        <v>4131</v>
      </c>
      <c r="E1842" s="7" t="s">
        <v>27</v>
      </c>
      <c r="F1842" s="7" t="s">
        <v>4121</v>
      </c>
      <c r="G1842" s="7" t="n">
        <v>2017</v>
      </c>
      <c r="H1842" s="7" t="s">
        <v>49</v>
      </c>
      <c r="I1842" s="7" t="s">
        <v>247</v>
      </c>
      <c r="J1842" s="7" t="s">
        <v>112</v>
      </c>
      <c r="K1842" s="7" t="n">
        <f aca="false">IFERROR(VALUE(RIGHT(TRIM(F1842),4)),"")</f>
        <v>2018</v>
      </c>
      <c r="L1842" s="7" t="str">
        <f aca="false">IF(TRIM(E1842)="","Unknown",IFERROR(LEFT(TRIM(E1842),FIND(",",TRIM(E1842))-1),TRIM(E1842)))</f>
        <v>India</v>
      </c>
      <c r="M1842" s="7" t="str">
        <f aca="false">IFERROR(LEFT(J1842,FIND(",",J1842)-1),J1842)</f>
        <v>Action &amp; Adventure</v>
      </c>
      <c r="N1842" s="7" t="n">
        <f aca="false">IF(B1842="Movie",IFERROR(VALUE(LEFT(I1842,FIND(" ",I1842)-1)),""),"")</f>
        <v>130</v>
      </c>
      <c r="O1842" s="7" t="str">
        <f aca="false">IF(B1842="TV Show",IFERROR(VALUE(LEFT(I1842,FIND(" ",I1842)-1)),""),"")</f>
        <v/>
      </c>
      <c r="P1842" s="7" t="n">
        <f aca="false">IF(K1842="","",K1842-G1842)</f>
        <v>1</v>
      </c>
    </row>
    <row r="1843" customFormat="false" ht="15" hidden="false" customHeight="false" outlineLevel="0" collapsed="false">
      <c r="A1843" s="7" t="n">
        <v>80232894</v>
      </c>
      <c r="B1843" s="7" t="s">
        <v>68</v>
      </c>
      <c r="C1843" s="7" t="s">
        <v>4132</v>
      </c>
      <c r="D1843" s="7" t="s">
        <v>4133</v>
      </c>
      <c r="E1843" s="7" t="s">
        <v>4134</v>
      </c>
      <c r="F1843" s="7" t="s">
        <v>4121</v>
      </c>
      <c r="G1843" s="7" t="n">
        <v>2017</v>
      </c>
      <c r="H1843" s="7" t="s">
        <v>50</v>
      </c>
      <c r="I1843" s="7" t="s">
        <v>628</v>
      </c>
      <c r="J1843" s="7" t="s">
        <v>341</v>
      </c>
      <c r="K1843" s="7" t="n">
        <f aca="false">IFERROR(VALUE(RIGHT(TRIM(F1843),4)),"")</f>
        <v>2018</v>
      </c>
      <c r="L1843" s="7" t="str">
        <f aca="false">IF(TRIM(E1843)="","Unknown",IFERROR(LEFT(TRIM(E1843),FIND(",",TRIM(E1843))-1),TRIM(E1843)))</f>
        <v>Italy</v>
      </c>
      <c r="M1843" s="7" t="str">
        <f aca="false">IFERROR(LEFT(J1843,FIND(",",J1843)-1),J1843)</f>
        <v>Documentaries</v>
      </c>
      <c r="N1843" s="7" t="n">
        <f aca="false">IF(B1843="Movie",IFERROR(VALUE(LEFT(I1843,FIND(" ",I1843)-1)),""),"")</f>
        <v>69</v>
      </c>
      <c r="O1843" s="7" t="str">
        <f aca="false">IF(B1843="TV Show",IFERROR(VALUE(LEFT(I1843,FIND(" ",I1843)-1)),""),"")</f>
        <v/>
      </c>
      <c r="P1843" s="7" t="n">
        <f aca="false">IF(K1843="","",K1843-G1843)</f>
        <v>1</v>
      </c>
    </row>
    <row r="1844" customFormat="false" ht="15" hidden="false" customHeight="false" outlineLevel="0" collapsed="false">
      <c r="A1844" s="7" t="n">
        <v>80232330</v>
      </c>
      <c r="B1844" s="7" t="s">
        <v>68</v>
      </c>
      <c r="C1844" s="7" t="s">
        <v>4135</v>
      </c>
      <c r="D1844" s="7" t="s">
        <v>4136</v>
      </c>
      <c r="E1844" s="7" t="s">
        <v>26</v>
      </c>
      <c r="F1844" s="7" t="s">
        <v>4121</v>
      </c>
      <c r="G1844" s="7" t="n">
        <v>2018</v>
      </c>
      <c r="H1844" s="7" t="s">
        <v>48</v>
      </c>
      <c r="I1844" s="7" t="s">
        <v>134</v>
      </c>
      <c r="J1844" s="7" t="s">
        <v>759</v>
      </c>
      <c r="K1844" s="7" t="n">
        <f aca="false">IFERROR(VALUE(RIGHT(TRIM(F1844),4)),"")</f>
        <v>2018</v>
      </c>
      <c r="L1844" s="7" t="str">
        <f aca="false">IF(TRIM(E1844)="","Unknown",IFERROR(LEFT(TRIM(E1844),FIND(",",TRIM(E1844))-1),TRIM(E1844)))</f>
        <v>United States</v>
      </c>
      <c r="M1844" s="7" t="str">
        <f aca="false">IFERROR(LEFT(J1844,FIND(",",J1844)-1),J1844)</f>
        <v>Action &amp; Adventure</v>
      </c>
      <c r="N1844" s="7" t="n">
        <f aca="false">IF(B1844="Movie",IFERROR(VALUE(LEFT(I1844,FIND(" ",I1844)-1)),""),"")</f>
        <v>98</v>
      </c>
      <c r="O1844" s="7" t="str">
        <f aca="false">IF(B1844="TV Show",IFERROR(VALUE(LEFT(I1844,FIND(" ",I1844)-1)),""),"")</f>
        <v/>
      </c>
      <c r="P1844" s="7" t="n">
        <f aca="false">IF(K1844="","",K1844-G1844)</f>
        <v>0</v>
      </c>
    </row>
    <row r="1845" customFormat="false" ht="15" hidden="false" customHeight="false" outlineLevel="0" collapsed="false">
      <c r="A1845" s="7" t="n">
        <v>80103425</v>
      </c>
      <c r="B1845" s="7" t="s">
        <v>68</v>
      </c>
      <c r="C1845" s="7" t="s">
        <v>4137</v>
      </c>
      <c r="D1845" s="7" t="s">
        <v>4138</v>
      </c>
      <c r="E1845" s="7" t="s">
        <v>1097</v>
      </c>
      <c r="F1845" s="7" t="s">
        <v>4121</v>
      </c>
      <c r="G1845" s="7" t="n">
        <v>2017</v>
      </c>
      <c r="H1845" s="7" t="s">
        <v>48</v>
      </c>
      <c r="I1845" s="7" t="s">
        <v>73</v>
      </c>
      <c r="J1845" s="7" t="s">
        <v>202</v>
      </c>
      <c r="K1845" s="7" t="n">
        <f aca="false">IFERROR(VALUE(RIGHT(TRIM(F1845),4)),"")</f>
        <v>2018</v>
      </c>
      <c r="L1845" s="7" t="str">
        <f aca="false">IF(TRIM(E1845)="","Unknown",IFERROR(LEFT(TRIM(E1845),FIND(",",TRIM(E1845))-1),TRIM(E1845)))</f>
        <v>Argentina</v>
      </c>
      <c r="M1845" s="7" t="str">
        <f aca="false">IFERROR(LEFT(J1845,FIND(",",J1845)-1),J1845)</f>
        <v>Comedies</v>
      </c>
      <c r="N1845" s="7" t="n">
        <f aca="false">IF(B1845="Movie",IFERROR(VALUE(LEFT(I1845,FIND(" ",I1845)-1)),""),"")</f>
        <v>90</v>
      </c>
      <c r="O1845" s="7" t="str">
        <f aca="false">IF(B1845="TV Show",IFERROR(VALUE(LEFT(I1845,FIND(" ",I1845)-1)),""),"")</f>
        <v/>
      </c>
      <c r="P1845" s="7" t="n">
        <f aca="false">IF(K1845="","",K1845-G1845)</f>
        <v>1</v>
      </c>
    </row>
    <row r="1846" customFormat="false" ht="15" hidden="false" customHeight="false" outlineLevel="0" collapsed="false">
      <c r="A1846" s="7" t="n">
        <v>80170875</v>
      </c>
      <c r="B1846" s="7" t="s">
        <v>68</v>
      </c>
      <c r="C1846" s="7" t="s">
        <v>4139</v>
      </c>
      <c r="D1846" s="7" t="s">
        <v>4140</v>
      </c>
      <c r="E1846" s="7" t="s">
        <v>28</v>
      </c>
      <c r="F1846" s="7" t="s">
        <v>4121</v>
      </c>
      <c r="G1846" s="7" t="n">
        <v>2017</v>
      </c>
      <c r="H1846" s="7" t="s">
        <v>48</v>
      </c>
      <c r="I1846" s="7" t="s">
        <v>820</v>
      </c>
      <c r="J1846" s="7" t="s">
        <v>188</v>
      </c>
      <c r="K1846" s="7" t="n">
        <f aca="false">IFERROR(VALUE(RIGHT(TRIM(F1846),4)),"")</f>
        <v>2018</v>
      </c>
      <c r="L1846" s="7" t="str">
        <f aca="false">IF(TRIM(E1846)="","Unknown",IFERROR(LEFT(TRIM(E1846),FIND(",",TRIM(E1846))-1),TRIM(E1846)))</f>
        <v>United Kingdom</v>
      </c>
      <c r="M1846" s="7" t="str">
        <f aca="false">IFERROR(LEFT(J1846,FIND(",",J1846)-1),J1846)</f>
        <v>Dramas</v>
      </c>
      <c r="N1846" s="7" t="n">
        <f aca="false">IF(B1846="Movie",IFERROR(VALUE(LEFT(I1846,FIND(" ",I1846)-1)),""),"")</f>
        <v>105</v>
      </c>
      <c r="O1846" s="7" t="str">
        <f aca="false">IF(B1846="TV Show",IFERROR(VALUE(LEFT(I1846,FIND(" ",I1846)-1)),""),"")</f>
        <v/>
      </c>
      <c r="P1846" s="7" t="n">
        <f aca="false">IF(K1846="","",K1846-G1846)</f>
        <v>1</v>
      </c>
    </row>
    <row r="1847" customFormat="false" ht="15" hidden="false" customHeight="false" outlineLevel="0" collapsed="false">
      <c r="A1847" s="7" t="n">
        <v>80990815</v>
      </c>
      <c r="B1847" s="7" t="s">
        <v>68</v>
      </c>
      <c r="C1847" s="7" t="s">
        <v>4141</v>
      </c>
      <c r="D1847" s="7" t="s">
        <v>4142</v>
      </c>
      <c r="E1847" s="7" t="s">
        <v>27</v>
      </c>
      <c r="F1847" s="7" t="s">
        <v>4121</v>
      </c>
      <c r="G1847" s="7" t="n">
        <v>2017</v>
      </c>
      <c r="H1847" s="7" t="s">
        <v>49</v>
      </c>
      <c r="I1847" s="7" t="s">
        <v>173</v>
      </c>
      <c r="J1847" s="7" t="s">
        <v>182</v>
      </c>
      <c r="K1847" s="7" t="n">
        <f aca="false">IFERROR(VALUE(RIGHT(TRIM(F1847),4)),"")</f>
        <v>2018</v>
      </c>
      <c r="L1847" s="7" t="str">
        <f aca="false">IF(TRIM(E1847)="","Unknown",IFERROR(LEFT(TRIM(E1847),FIND(",",TRIM(E1847))-1),TRIM(E1847)))</f>
        <v>India</v>
      </c>
      <c r="M1847" s="7" t="str">
        <f aca="false">IFERROR(LEFT(J1847,FIND(",",J1847)-1),J1847)</f>
        <v>Dramas</v>
      </c>
      <c r="N1847" s="7" t="n">
        <f aca="false">IF(B1847="Movie",IFERROR(VALUE(LEFT(I1847,FIND(" ",I1847)-1)),""),"")</f>
        <v>106</v>
      </c>
      <c r="O1847" s="7" t="str">
        <f aca="false">IF(B1847="TV Show",IFERROR(VALUE(LEFT(I1847,FIND(" ",I1847)-1)),""),"")</f>
        <v/>
      </c>
      <c r="P1847" s="7" t="n">
        <f aca="false">IF(K1847="","",K1847-G1847)</f>
        <v>1</v>
      </c>
    </row>
    <row r="1848" customFormat="false" ht="15" hidden="false" customHeight="false" outlineLevel="0" collapsed="false">
      <c r="A1848" s="7" t="n">
        <v>80990816</v>
      </c>
      <c r="B1848" s="7" t="s">
        <v>68</v>
      </c>
      <c r="C1848" s="7" t="s">
        <v>4143</v>
      </c>
      <c r="D1848" s="7" t="s">
        <v>4144</v>
      </c>
      <c r="E1848" s="7" t="s">
        <v>27</v>
      </c>
      <c r="F1848" s="7" t="s">
        <v>4121</v>
      </c>
      <c r="G1848" s="7" t="n">
        <v>2017</v>
      </c>
      <c r="H1848" s="7" t="s">
        <v>49</v>
      </c>
      <c r="I1848" s="7" t="s">
        <v>235</v>
      </c>
      <c r="J1848" s="7" t="s">
        <v>304</v>
      </c>
      <c r="K1848" s="7" t="n">
        <f aca="false">IFERROR(VALUE(RIGHT(TRIM(F1848),4)),"")</f>
        <v>2018</v>
      </c>
      <c r="L1848" s="7" t="str">
        <f aca="false">IF(TRIM(E1848)="","Unknown",IFERROR(LEFT(TRIM(E1848),FIND(",",TRIM(E1848))-1),TRIM(E1848)))</f>
        <v>India</v>
      </c>
      <c r="M1848" s="7" t="str">
        <f aca="false">IFERROR(LEFT(J1848,FIND(",",J1848)-1),J1848)</f>
        <v>Dramas</v>
      </c>
      <c r="N1848" s="7" t="n">
        <f aca="false">IF(B1848="Movie",IFERROR(VALUE(LEFT(I1848,FIND(" ",I1848)-1)),""),"")</f>
        <v>126</v>
      </c>
      <c r="O1848" s="7" t="str">
        <f aca="false">IF(B1848="TV Show",IFERROR(VALUE(LEFT(I1848,FIND(" ",I1848)-1)),""),"")</f>
        <v/>
      </c>
      <c r="P1848" s="7" t="n">
        <f aca="false">IF(K1848="","",K1848-G1848)</f>
        <v>1</v>
      </c>
    </row>
    <row r="1849" customFormat="false" ht="15" hidden="false" customHeight="false" outlineLevel="0" collapsed="false">
      <c r="A1849" s="7" t="n">
        <v>80081705</v>
      </c>
      <c r="B1849" s="7" t="s">
        <v>78</v>
      </c>
      <c r="C1849" s="7" t="s">
        <v>4145</v>
      </c>
      <c r="E1849" s="7" t="s">
        <v>32</v>
      </c>
      <c r="F1849" s="7" t="s">
        <v>4121</v>
      </c>
      <c r="G1849" s="7" t="n">
        <v>2009</v>
      </c>
      <c r="H1849" s="7" t="s">
        <v>48</v>
      </c>
      <c r="I1849" s="7" t="s">
        <v>82</v>
      </c>
      <c r="J1849" s="7" t="s">
        <v>537</v>
      </c>
      <c r="K1849" s="7" t="n">
        <f aca="false">IFERROR(VALUE(RIGHT(TRIM(F1849),4)),"")</f>
        <v>2018</v>
      </c>
      <c r="L1849" s="7" t="str">
        <f aca="false">IF(TRIM(E1849)="","Unknown",IFERROR(LEFT(TRIM(E1849),FIND(",",TRIM(E1849))-1),TRIM(E1849)))</f>
        <v>South Korea</v>
      </c>
      <c r="M1849" s="7" t="str">
        <f aca="false">IFERROR(LEFT(J1849,FIND(",",J1849)-1),J1849)</f>
        <v>International TV Shows</v>
      </c>
      <c r="N1849" s="7" t="str">
        <f aca="false">IF(B1849="Movie",IFERROR(VALUE(LEFT(I1849,FIND(" ",I1849)-1)),""),"")</f>
        <v/>
      </c>
      <c r="O1849" s="7" t="n">
        <f aca="false">IF(B1849="TV Show",IFERROR(VALUE(LEFT(I1849,FIND(" ",I1849)-1)),""),"")</f>
        <v>1</v>
      </c>
      <c r="P1849" s="7" t="n">
        <f aca="false">IF(K1849="","",K1849-G1849)</f>
        <v>9</v>
      </c>
    </row>
    <row r="1850" customFormat="false" ht="15" hidden="false" customHeight="false" outlineLevel="0" collapsed="false">
      <c r="A1850" s="7" t="n">
        <v>80990829</v>
      </c>
      <c r="B1850" s="7" t="s">
        <v>68</v>
      </c>
      <c r="C1850" s="7" t="s">
        <v>4146</v>
      </c>
      <c r="D1850" s="7" t="s">
        <v>4147</v>
      </c>
      <c r="E1850" s="7" t="s">
        <v>26</v>
      </c>
      <c r="F1850" s="7" t="s">
        <v>4121</v>
      </c>
      <c r="G1850" s="7" t="n">
        <v>2016</v>
      </c>
      <c r="H1850" s="7" t="s">
        <v>53</v>
      </c>
      <c r="I1850" s="7" t="s">
        <v>613</v>
      </c>
      <c r="J1850" s="7" t="s">
        <v>1211</v>
      </c>
      <c r="K1850" s="7" t="n">
        <f aca="false">IFERROR(VALUE(RIGHT(TRIM(F1850),4)),"")</f>
        <v>2018</v>
      </c>
      <c r="L1850" s="7" t="str">
        <f aca="false">IF(TRIM(E1850)="","Unknown",IFERROR(LEFT(TRIM(E1850),FIND(",",TRIM(E1850))-1),TRIM(E1850)))</f>
        <v>United States</v>
      </c>
      <c r="M1850" s="7" t="str">
        <f aca="false">IFERROR(LEFT(J1850,FIND(",",J1850)-1),J1850)</f>
        <v>Documentaries</v>
      </c>
      <c r="N1850" s="7" t="n">
        <f aca="false">IF(B1850="Movie",IFERROR(VALUE(LEFT(I1850,FIND(" ",I1850)-1)),""),"")</f>
        <v>84</v>
      </c>
      <c r="O1850" s="7" t="str">
        <f aca="false">IF(B1850="TV Show",IFERROR(VALUE(LEFT(I1850,FIND(" ",I1850)-1)),""),"")</f>
        <v/>
      </c>
      <c r="P1850" s="7" t="n">
        <f aca="false">IF(K1850="","",K1850-G1850)</f>
        <v>2</v>
      </c>
    </row>
    <row r="1851" customFormat="false" ht="15" hidden="false" customHeight="false" outlineLevel="0" collapsed="false">
      <c r="A1851" s="7" t="n">
        <v>80238110</v>
      </c>
      <c r="B1851" s="7" t="s">
        <v>68</v>
      </c>
      <c r="C1851" s="7" t="s">
        <v>4148</v>
      </c>
      <c r="D1851" s="7" t="s">
        <v>4149</v>
      </c>
      <c r="E1851" s="7" t="s">
        <v>26</v>
      </c>
      <c r="F1851" s="7" t="s">
        <v>4121</v>
      </c>
      <c r="G1851" s="7" t="n">
        <v>2018</v>
      </c>
      <c r="H1851" s="7" t="s">
        <v>48</v>
      </c>
      <c r="I1851" s="7" t="s">
        <v>120</v>
      </c>
      <c r="J1851" s="7" t="s">
        <v>45</v>
      </c>
      <c r="K1851" s="7" t="n">
        <f aca="false">IFERROR(VALUE(RIGHT(TRIM(F1851),4)),"")</f>
        <v>2018</v>
      </c>
      <c r="L1851" s="7" t="str">
        <f aca="false">IF(TRIM(E1851)="","Unknown",IFERROR(LEFT(TRIM(E1851),FIND(",",TRIM(E1851))-1),TRIM(E1851)))</f>
        <v>United States</v>
      </c>
      <c r="M1851" s="7" t="str">
        <f aca="false">IFERROR(LEFT(J1851,FIND(",",J1851)-1),J1851)</f>
        <v>Stand-Up Comedy</v>
      </c>
      <c r="N1851" s="7" t="n">
        <f aca="false">IF(B1851="Movie",IFERROR(VALUE(LEFT(I1851,FIND(" ",I1851)-1)),""),"")</f>
        <v>65</v>
      </c>
      <c r="O1851" s="7" t="str">
        <f aca="false">IF(B1851="TV Show",IFERROR(VALUE(LEFT(I1851,FIND(" ",I1851)-1)),""),"")</f>
        <v/>
      </c>
      <c r="P1851" s="7" t="n">
        <f aca="false">IF(K1851="","",K1851-G1851)</f>
        <v>0</v>
      </c>
    </row>
    <row r="1852" customFormat="false" ht="15" hidden="false" customHeight="false" outlineLevel="0" collapsed="false">
      <c r="A1852" s="7" t="n">
        <v>80229102</v>
      </c>
      <c r="B1852" s="7" t="s">
        <v>78</v>
      </c>
      <c r="C1852" s="7" t="s">
        <v>4150</v>
      </c>
      <c r="E1852" s="7" t="s">
        <v>27</v>
      </c>
      <c r="F1852" s="7" t="s">
        <v>4121</v>
      </c>
      <c r="G1852" s="7" t="n">
        <v>2018</v>
      </c>
      <c r="H1852" s="7" t="s">
        <v>49</v>
      </c>
      <c r="I1852" s="7" t="s">
        <v>82</v>
      </c>
      <c r="J1852" s="7" t="s">
        <v>3638</v>
      </c>
      <c r="K1852" s="7" t="n">
        <f aca="false">IFERROR(VALUE(RIGHT(TRIM(F1852),4)),"")</f>
        <v>2018</v>
      </c>
      <c r="L1852" s="7" t="str">
        <f aca="false">IF(TRIM(E1852)="","Unknown",IFERROR(LEFT(TRIM(E1852),FIND(",",TRIM(E1852))-1),TRIM(E1852)))</f>
        <v>India</v>
      </c>
      <c r="M1852" s="7" t="str">
        <f aca="false">IFERROR(LEFT(J1852,FIND(",",J1852)-1),J1852)</f>
        <v>Crime TV Shows</v>
      </c>
      <c r="N1852" s="7" t="str">
        <f aca="false">IF(B1852="Movie",IFERROR(VALUE(LEFT(I1852,FIND(" ",I1852)-1)),""),"")</f>
        <v/>
      </c>
      <c r="O1852" s="7" t="n">
        <f aca="false">IF(B1852="TV Show",IFERROR(VALUE(LEFT(I1852,FIND(" ",I1852)-1)),""),"")</f>
        <v>1</v>
      </c>
      <c r="P1852" s="7" t="n">
        <f aca="false">IF(K1852="","",K1852-G1852)</f>
        <v>0</v>
      </c>
    </row>
    <row r="1853" customFormat="false" ht="15" hidden="false" customHeight="false" outlineLevel="0" collapsed="false">
      <c r="A1853" s="7" t="n">
        <v>80241876</v>
      </c>
      <c r="B1853" s="7" t="s">
        <v>68</v>
      </c>
      <c r="C1853" s="7" t="s">
        <v>4151</v>
      </c>
      <c r="D1853" s="7" t="s">
        <v>4152</v>
      </c>
      <c r="E1853" s="7" t="s">
        <v>31</v>
      </c>
      <c r="F1853" s="7" t="s">
        <v>4121</v>
      </c>
      <c r="G1853" s="7" t="n">
        <v>2017</v>
      </c>
      <c r="H1853" s="7" t="s">
        <v>49</v>
      </c>
      <c r="I1853" s="7" t="s">
        <v>505</v>
      </c>
      <c r="J1853" s="7" t="s">
        <v>974</v>
      </c>
      <c r="K1853" s="7" t="n">
        <f aca="false">IFERROR(VALUE(RIGHT(TRIM(F1853),4)),"")</f>
        <v>2018</v>
      </c>
      <c r="L1853" s="7" t="str">
        <f aca="false">IF(TRIM(E1853)="","Unknown",IFERROR(LEFT(TRIM(E1853),FIND(",",TRIM(E1853))-1),TRIM(E1853)))</f>
        <v>France</v>
      </c>
      <c r="M1853" s="7" t="str">
        <f aca="false">IFERROR(LEFT(J1853,FIND(",",J1853)-1),J1853)</f>
        <v>Documentaries</v>
      </c>
      <c r="N1853" s="7" t="n">
        <f aca="false">IF(B1853="Movie",IFERROR(VALUE(LEFT(I1853,FIND(" ",I1853)-1)),""),"")</f>
        <v>121</v>
      </c>
      <c r="O1853" s="7" t="str">
        <f aca="false">IF(B1853="TV Show",IFERROR(VALUE(LEFT(I1853,FIND(" ",I1853)-1)),""),"")</f>
        <v/>
      </c>
      <c r="P1853" s="7" t="n">
        <f aca="false">IF(K1853="","",K1853-G1853)</f>
        <v>1</v>
      </c>
    </row>
    <row r="1854" customFormat="false" ht="15" hidden="false" customHeight="false" outlineLevel="0" collapsed="false">
      <c r="A1854" s="7" t="n">
        <v>80990811</v>
      </c>
      <c r="B1854" s="7" t="s">
        <v>68</v>
      </c>
      <c r="C1854" s="7" t="s">
        <v>4153</v>
      </c>
      <c r="D1854" s="7" t="s">
        <v>4154</v>
      </c>
      <c r="E1854" s="7" t="s">
        <v>27</v>
      </c>
      <c r="F1854" s="7" t="s">
        <v>4121</v>
      </c>
      <c r="G1854" s="7" t="n">
        <v>2017</v>
      </c>
      <c r="H1854" s="7" t="s">
        <v>50</v>
      </c>
      <c r="I1854" s="7" t="s">
        <v>383</v>
      </c>
      <c r="J1854" s="7" t="s">
        <v>206</v>
      </c>
      <c r="K1854" s="7" t="n">
        <f aca="false">IFERROR(VALUE(RIGHT(TRIM(F1854),4)),"")</f>
        <v>2018</v>
      </c>
      <c r="L1854" s="7" t="str">
        <f aca="false">IF(TRIM(E1854)="","Unknown",IFERROR(LEFT(TRIM(E1854),FIND(",",TRIM(E1854))-1),TRIM(E1854)))</f>
        <v>India</v>
      </c>
      <c r="M1854" s="7" t="str">
        <f aca="false">IFERROR(LEFT(J1854,FIND(",",J1854)-1),J1854)</f>
        <v>Comedies</v>
      </c>
      <c r="N1854" s="7" t="n">
        <f aca="false">IF(B1854="Movie",IFERROR(VALUE(LEFT(I1854,FIND(" ",I1854)-1)),""),"")</f>
        <v>163</v>
      </c>
      <c r="O1854" s="7" t="str">
        <f aca="false">IF(B1854="TV Show",IFERROR(VALUE(LEFT(I1854,FIND(" ",I1854)-1)),""),"")</f>
        <v/>
      </c>
      <c r="P1854" s="7" t="n">
        <f aca="false">IF(K1854="","",K1854-G1854)</f>
        <v>1</v>
      </c>
    </row>
    <row r="1855" customFormat="false" ht="15" hidden="false" customHeight="false" outlineLevel="0" collapsed="false">
      <c r="A1855" s="7" t="n">
        <v>80066146</v>
      </c>
      <c r="B1855" s="7" t="s">
        <v>78</v>
      </c>
      <c r="C1855" s="7" t="s">
        <v>4155</v>
      </c>
      <c r="E1855" s="7" t="s">
        <v>32</v>
      </c>
      <c r="F1855" s="7" t="s">
        <v>4121</v>
      </c>
      <c r="G1855" s="7" t="n">
        <v>2012</v>
      </c>
      <c r="H1855" s="7" t="s">
        <v>50</v>
      </c>
      <c r="I1855" s="7" t="s">
        <v>82</v>
      </c>
      <c r="J1855" s="7" t="s">
        <v>637</v>
      </c>
      <c r="K1855" s="7" t="n">
        <f aca="false">IFERROR(VALUE(RIGHT(TRIM(F1855),4)),"")</f>
        <v>2018</v>
      </c>
      <c r="L1855" s="7" t="str">
        <f aca="false">IF(TRIM(E1855)="","Unknown",IFERROR(LEFT(TRIM(E1855),FIND(",",TRIM(E1855))-1),TRIM(E1855)))</f>
        <v>South Korea</v>
      </c>
      <c r="M1855" s="7" t="str">
        <f aca="false">IFERROR(LEFT(J1855,FIND(",",J1855)-1),J1855)</f>
        <v>International TV Shows</v>
      </c>
      <c r="N1855" s="7" t="str">
        <f aca="false">IF(B1855="Movie",IFERROR(VALUE(LEFT(I1855,FIND(" ",I1855)-1)),""),"")</f>
        <v/>
      </c>
      <c r="O1855" s="7" t="n">
        <f aca="false">IF(B1855="TV Show",IFERROR(VALUE(LEFT(I1855,FIND(" ",I1855)-1)),""),"")</f>
        <v>1</v>
      </c>
      <c r="P1855" s="7" t="n">
        <f aca="false">IF(K1855="","",K1855-G1855)</f>
        <v>6</v>
      </c>
    </row>
    <row r="1856" customFormat="false" ht="15" hidden="false" customHeight="false" outlineLevel="0" collapsed="false">
      <c r="A1856" s="7" t="n">
        <v>80229286</v>
      </c>
      <c r="B1856" s="7" t="s">
        <v>78</v>
      </c>
      <c r="C1856" s="7" t="s">
        <v>4156</v>
      </c>
      <c r="F1856" s="7" t="s">
        <v>4121</v>
      </c>
      <c r="G1856" s="7" t="n">
        <v>2018</v>
      </c>
      <c r="H1856" s="7" t="s">
        <v>49</v>
      </c>
      <c r="I1856" s="7" t="s">
        <v>82</v>
      </c>
      <c r="J1856" s="7" t="s">
        <v>344</v>
      </c>
      <c r="K1856" s="7" t="n">
        <f aca="false">IFERROR(VALUE(RIGHT(TRIM(F1856),4)),"")</f>
        <v>2018</v>
      </c>
      <c r="L1856" s="7" t="str">
        <f aca="false">IF(TRIM(E1856)="","Unknown",IFERROR(LEFT(TRIM(E1856),FIND(",",TRIM(E1856))-1),TRIM(E1856)))</f>
        <v>Unknown</v>
      </c>
      <c r="M1856" s="7" t="str">
        <f aca="false">IFERROR(LEFT(J1856,FIND(",",J1856)-1),J1856)</f>
        <v>International TV Shows</v>
      </c>
      <c r="N1856" s="7" t="str">
        <f aca="false">IF(B1856="Movie",IFERROR(VALUE(LEFT(I1856,FIND(" ",I1856)-1)),""),"")</f>
        <v/>
      </c>
      <c r="O1856" s="7" t="n">
        <f aca="false">IF(B1856="TV Show",IFERROR(VALUE(LEFT(I1856,FIND(" ",I1856)-1)),""),"")</f>
        <v>1</v>
      </c>
      <c r="P1856" s="7" t="n">
        <f aca="false">IF(K1856="","",K1856-G1856)</f>
        <v>0</v>
      </c>
    </row>
    <row r="1857" customFormat="false" ht="15" hidden="false" customHeight="false" outlineLevel="0" collapsed="false">
      <c r="A1857" s="7" t="n">
        <v>80224106</v>
      </c>
      <c r="B1857" s="7" t="s">
        <v>68</v>
      </c>
      <c r="C1857" s="7" t="s">
        <v>4157</v>
      </c>
      <c r="D1857" s="7" t="s">
        <v>2115</v>
      </c>
      <c r="E1857" s="7" t="s">
        <v>29</v>
      </c>
      <c r="F1857" s="7" t="s">
        <v>4121</v>
      </c>
      <c r="G1857" s="7" t="n">
        <v>2018</v>
      </c>
      <c r="H1857" s="7" t="s">
        <v>54</v>
      </c>
      <c r="I1857" s="7" t="s">
        <v>311</v>
      </c>
      <c r="J1857" s="7" t="s">
        <v>426</v>
      </c>
      <c r="K1857" s="7" t="n">
        <f aca="false">IFERROR(VALUE(RIGHT(TRIM(F1857),4)),"")</f>
        <v>2018</v>
      </c>
      <c r="L1857" s="7" t="str">
        <f aca="false">IF(TRIM(E1857)="","Unknown",IFERROR(LEFT(TRIM(E1857),FIND(",",TRIM(E1857))-1),TRIM(E1857)))</f>
        <v>Canada</v>
      </c>
      <c r="M1857" s="7" t="str">
        <f aca="false">IFERROR(LEFT(J1857,FIND(",",J1857)-1),J1857)</f>
        <v>International Movies</v>
      </c>
      <c r="N1857" s="7" t="n">
        <f aca="false">IF(B1857="Movie",IFERROR(VALUE(LEFT(I1857,FIND(" ",I1857)-1)),""),"")</f>
        <v>92</v>
      </c>
      <c r="O1857" s="7" t="str">
        <f aca="false">IF(B1857="TV Show",IFERROR(VALUE(LEFT(I1857,FIND(" ",I1857)-1)),""),"")</f>
        <v/>
      </c>
      <c r="P1857" s="7" t="n">
        <f aca="false">IF(K1857="","",K1857-G1857)</f>
        <v>0</v>
      </c>
    </row>
    <row r="1858" customFormat="false" ht="15" hidden="false" customHeight="false" outlineLevel="0" collapsed="false">
      <c r="A1858" s="7" t="n">
        <v>80206732</v>
      </c>
      <c r="B1858" s="7" t="s">
        <v>68</v>
      </c>
      <c r="C1858" s="7" t="s">
        <v>4158</v>
      </c>
      <c r="D1858" s="7" t="s">
        <v>4159</v>
      </c>
      <c r="E1858" s="7" t="s">
        <v>27</v>
      </c>
      <c r="F1858" s="7" t="s">
        <v>4121</v>
      </c>
      <c r="G1858" s="7" t="n">
        <v>2017</v>
      </c>
      <c r="H1858" s="7" t="s">
        <v>49</v>
      </c>
      <c r="I1858" s="7" t="s">
        <v>549</v>
      </c>
      <c r="J1858" s="7" t="s">
        <v>112</v>
      </c>
      <c r="K1858" s="7" t="n">
        <f aca="false">IFERROR(VALUE(RIGHT(TRIM(F1858),4)),"")</f>
        <v>2018</v>
      </c>
      <c r="L1858" s="7" t="str">
        <f aca="false">IF(TRIM(E1858)="","Unknown",IFERROR(LEFT(TRIM(E1858),FIND(",",TRIM(E1858))-1),TRIM(E1858)))</f>
        <v>India</v>
      </c>
      <c r="M1858" s="7" t="str">
        <f aca="false">IFERROR(LEFT(J1858,FIND(",",J1858)-1),J1858)</f>
        <v>Action &amp; Adventure</v>
      </c>
      <c r="N1858" s="7" t="n">
        <f aca="false">IF(B1858="Movie",IFERROR(VALUE(LEFT(I1858,FIND(" ",I1858)-1)),""),"")</f>
        <v>124</v>
      </c>
      <c r="O1858" s="7" t="str">
        <f aca="false">IF(B1858="TV Show",IFERROR(VALUE(LEFT(I1858,FIND(" ",I1858)-1)),""),"")</f>
        <v/>
      </c>
      <c r="P1858" s="7" t="n">
        <f aca="false">IF(K1858="","",K1858-G1858)</f>
        <v>1</v>
      </c>
    </row>
    <row r="1859" customFormat="false" ht="15" hidden="false" customHeight="false" outlineLevel="0" collapsed="false">
      <c r="A1859" s="7" t="n">
        <v>80990810</v>
      </c>
      <c r="B1859" s="7" t="s">
        <v>68</v>
      </c>
      <c r="C1859" s="7" t="s">
        <v>4160</v>
      </c>
      <c r="D1859" s="7" t="s">
        <v>4161</v>
      </c>
      <c r="E1859" s="7" t="s">
        <v>27</v>
      </c>
      <c r="F1859" s="7" t="s">
        <v>4121</v>
      </c>
      <c r="G1859" s="7" t="n">
        <v>2016</v>
      </c>
      <c r="H1859" s="7" t="s">
        <v>49</v>
      </c>
      <c r="I1859" s="7" t="s">
        <v>294</v>
      </c>
      <c r="J1859" s="7" t="s">
        <v>304</v>
      </c>
      <c r="K1859" s="7" t="n">
        <f aca="false">IFERROR(VALUE(RIGHT(TRIM(F1859),4)),"")</f>
        <v>2018</v>
      </c>
      <c r="L1859" s="7" t="str">
        <f aca="false">IF(TRIM(E1859)="","Unknown",IFERROR(LEFT(TRIM(E1859),FIND(",",TRIM(E1859))-1),TRIM(E1859)))</f>
        <v>India</v>
      </c>
      <c r="M1859" s="7" t="str">
        <f aca="false">IFERROR(LEFT(J1859,FIND(",",J1859)-1),J1859)</f>
        <v>Dramas</v>
      </c>
      <c r="N1859" s="7" t="n">
        <f aca="false">IF(B1859="Movie",IFERROR(VALUE(LEFT(I1859,FIND(" ",I1859)-1)),""),"")</f>
        <v>107</v>
      </c>
      <c r="O1859" s="7" t="str">
        <f aca="false">IF(B1859="TV Show",IFERROR(VALUE(LEFT(I1859,FIND(" ",I1859)-1)),""),"")</f>
        <v/>
      </c>
      <c r="P1859" s="7" t="n">
        <f aca="false">IF(K1859="","",K1859-G1859)</f>
        <v>2</v>
      </c>
    </row>
    <row r="1860" customFormat="false" ht="15" hidden="false" customHeight="false" outlineLevel="0" collapsed="false">
      <c r="A1860" s="7" t="n">
        <v>80235766</v>
      </c>
      <c r="B1860" s="7" t="s">
        <v>68</v>
      </c>
      <c r="C1860" s="7" t="s">
        <v>4162</v>
      </c>
      <c r="F1860" s="7" t="s">
        <v>4121</v>
      </c>
      <c r="G1860" s="7" t="n">
        <v>2015</v>
      </c>
      <c r="H1860" s="7" t="s">
        <v>119</v>
      </c>
      <c r="I1860" s="7" t="s">
        <v>4163</v>
      </c>
      <c r="J1860" s="7" t="s">
        <v>10</v>
      </c>
      <c r="K1860" s="7" t="n">
        <f aca="false">IFERROR(VALUE(RIGHT(TRIM(F1860),4)),"")</f>
        <v>2018</v>
      </c>
      <c r="L1860" s="7" t="str">
        <f aca="false">IF(TRIM(E1860)="","Unknown",IFERROR(LEFT(TRIM(E1860),FIND(",",TRIM(E1860))-1),TRIM(E1860)))</f>
        <v>Unknown</v>
      </c>
      <c r="M1860" s="7" t="str">
        <f aca="false">IFERROR(LEFT(J1860,FIND(",",J1860)-1),J1860)</f>
        <v>Movies</v>
      </c>
      <c r="N1860" s="7" t="n">
        <f aca="false">IF(B1860="Movie",IFERROR(VALUE(LEFT(I1860,FIND(" ",I1860)-1)),""),"")</f>
        <v>19</v>
      </c>
      <c r="O1860" s="7" t="str">
        <f aca="false">IF(B1860="TV Show",IFERROR(VALUE(LEFT(I1860,FIND(" ",I1860)-1)),""),"")</f>
        <v/>
      </c>
      <c r="P1860" s="7" t="n">
        <f aca="false">IF(K1860="","",K1860-G1860)</f>
        <v>3</v>
      </c>
    </row>
    <row r="1861" customFormat="false" ht="15" hidden="false" customHeight="false" outlineLevel="0" collapsed="false">
      <c r="A1861" s="7" t="n">
        <v>80235767</v>
      </c>
      <c r="B1861" s="7" t="s">
        <v>68</v>
      </c>
      <c r="C1861" s="7" t="s">
        <v>4164</v>
      </c>
      <c r="D1861" s="7" t="s">
        <v>4165</v>
      </c>
      <c r="E1861" s="7" t="s">
        <v>33</v>
      </c>
      <c r="F1861" s="7" t="s">
        <v>4121</v>
      </c>
      <c r="G1861" s="7" t="n">
        <v>2008</v>
      </c>
      <c r="H1861" s="7" t="s">
        <v>226</v>
      </c>
      <c r="I1861" s="7" t="s">
        <v>843</v>
      </c>
      <c r="J1861" s="7" t="s">
        <v>10</v>
      </c>
      <c r="K1861" s="7" t="n">
        <f aca="false">IFERROR(VALUE(RIGHT(TRIM(F1861),4)),"")</f>
        <v>2018</v>
      </c>
      <c r="L1861" s="7" t="str">
        <f aca="false">IF(TRIM(E1861)="","Unknown",IFERROR(LEFT(TRIM(E1861),FIND(",",TRIM(E1861))-1),TRIM(E1861)))</f>
        <v>Spain</v>
      </c>
      <c r="M1861" s="7" t="str">
        <f aca="false">IFERROR(LEFT(J1861,FIND(",",J1861)-1),J1861)</f>
        <v>Movies</v>
      </c>
      <c r="N1861" s="7" t="n">
        <f aca="false">IF(B1861="Movie",IFERROR(VALUE(LEFT(I1861,FIND(" ",I1861)-1)),""),"")</f>
        <v>25</v>
      </c>
      <c r="O1861" s="7" t="str">
        <f aca="false">IF(B1861="TV Show",IFERROR(VALUE(LEFT(I1861,FIND(" ",I1861)-1)),""),"")</f>
        <v/>
      </c>
      <c r="P1861" s="7" t="n">
        <f aca="false">IF(K1861="","",K1861-G1861)</f>
        <v>10</v>
      </c>
    </row>
    <row r="1862" customFormat="false" ht="15" hidden="false" customHeight="false" outlineLevel="0" collapsed="false">
      <c r="A1862" s="7" t="n">
        <v>80235853</v>
      </c>
      <c r="B1862" s="7" t="s">
        <v>68</v>
      </c>
      <c r="C1862" s="7" t="s">
        <v>4166</v>
      </c>
      <c r="F1862" s="7" t="s">
        <v>4121</v>
      </c>
      <c r="G1862" s="7" t="n">
        <v>2015</v>
      </c>
      <c r="H1862" s="7" t="s">
        <v>119</v>
      </c>
      <c r="I1862" s="7" t="s">
        <v>1727</v>
      </c>
      <c r="J1862" s="7" t="s">
        <v>10</v>
      </c>
      <c r="K1862" s="7" t="n">
        <f aca="false">IFERROR(VALUE(RIGHT(TRIM(F1862),4)),"")</f>
        <v>2018</v>
      </c>
      <c r="L1862" s="7" t="str">
        <f aca="false">IF(TRIM(E1862)="","Unknown",IFERROR(LEFT(TRIM(E1862),FIND(",",TRIM(E1862))-1),TRIM(E1862)))</f>
        <v>Unknown</v>
      </c>
      <c r="M1862" s="7" t="str">
        <f aca="false">IFERROR(LEFT(J1862,FIND(",",J1862)-1),J1862)</f>
        <v>Movies</v>
      </c>
      <c r="N1862" s="7" t="n">
        <f aca="false">IF(B1862="Movie",IFERROR(VALUE(LEFT(I1862,FIND(" ",I1862)-1)),""),"")</f>
        <v>22</v>
      </c>
      <c r="O1862" s="7" t="str">
        <f aca="false">IF(B1862="TV Show",IFERROR(VALUE(LEFT(I1862,FIND(" ",I1862)-1)),""),"")</f>
        <v/>
      </c>
      <c r="P1862" s="7" t="n">
        <f aca="false">IF(K1862="","",K1862-G1862)</f>
        <v>3</v>
      </c>
    </row>
    <row r="1863" customFormat="false" ht="15" hidden="false" customHeight="false" outlineLevel="0" collapsed="false">
      <c r="A1863" s="7" t="n">
        <v>80236099</v>
      </c>
      <c r="B1863" s="7" t="s">
        <v>68</v>
      </c>
      <c r="C1863" s="7" t="s">
        <v>4167</v>
      </c>
      <c r="E1863" s="7" t="s">
        <v>26</v>
      </c>
      <c r="F1863" s="7" t="s">
        <v>4121</v>
      </c>
      <c r="G1863" s="7" t="n">
        <v>2015</v>
      </c>
      <c r="H1863" s="7" t="s">
        <v>226</v>
      </c>
      <c r="I1863" s="7" t="s">
        <v>333</v>
      </c>
      <c r="J1863" s="7" t="s">
        <v>10</v>
      </c>
      <c r="K1863" s="7" t="n">
        <f aca="false">IFERROR(VALUE(RIGHT(TRIM(F1863),4)),"")</f>
        <v>2018</v>
      </c>
      <c r="L1863" s="7" t="str">
        <f aca="false">IF(TRIM(E1863)="","Unknown",IFERROR(LEFT(TRIM(E1863),FIND(",",TRIM(E1863))-1),TRIM(E1863)))</f>
        <v>United States</v>
      </c>
      <c r="M1863" s="7" t="str">
        <f aca="false">IFERROR(LEFT(J1863,FIND(",",J1863)-1),J1863)</f>
        <v>Movies</v>
      </c>
      <c r="N1863" s="7" t="n">
        <f aca="false">IF(B1863="Movie",IFERROR(VALUE(LEFT(I1863,FIND(" ",I1863)-1)),""),"")</f>
        <v>40</v>
      </c>
      <c r="O1863" s="7" t="str">
        <f aca="false">IF(B1863="TV Show",IFERROR(VALUE(LEFT(I1863,FIND(" ",I1863)-1)),""),"")</f>
        <v/>
      </c>
      <c r="P1863" s="7" t="n">
        <f aca="false">IF(K1863="","",K1863-G1863)</f>
        <v>3</v>
      </c>
    </row>
    <row r="1864" customFormat="false" ht="15" hidden="false" customHeight="false" outlineLevel="0" collapsed="false">
      <c r="A1864" s="7" t="n">
        <v>80235854</v>
      </c>
      <c r="B1864" s="7" t="s">
        <v>68</v>
      </c>
      <c r="C1864" s="7" t="s">
        <v>4168</v>
      </c>
      <c r="F1864" s="7" t="s">
        <v>4121</v>
      </c>
      <c r="G1864" s="7" t="n">
        <v>2014</v>
      </c>
      <c r="H1864" s="7" t="s">
        <v>226</v>
      </c>
      <c r="I1864" s="7" t="s">
        <v>1727</v>
      </c>
      <c r="J1864" s="7" t="s">
        <v>10</v>
      </c>
      <c r="K1864" s="7" t="n">
        <f aca="false">IFERROR(VALUE(RIGHT(TRIM(F1864),4)),"")</f>
        <v>2018</v>
      </c>
      <c r="L1864" s="7" t="str">
        <f aca="false">IF(TRIM(E1864)="","Unknown",IFERROR(LEFT(TRIM(E1864),FIND(",",TRIM(E1864))-1),TRIM(E1864)))</f>
        <v>Unknown</v>
      </c>
      <c r="M1864" s="7" t="str">
        <f aca="false">IFERROR(LEFT(J1864,FIND(",",J1864)-1),J1864)</f>
        <v>Movies</v>
      </c>
      <c r="N1864" s="7" t="n">
        <f aca="false">IF(B1864="Movie",IFERROR(VALUE(LEFT(I1864,FIND(" ",I1864)-1)),""),"")</f>
        <v>22</v>
      </c>
      <c r="O1864" s="7" t="str">
        <f aca="false">IF(B1864="TV Show",IFERROR(VALUE(LEFT(I1864,FIND(" ",I1864)-1)),""),"")</f>
        <v/>
      </c>
      <c r="P1864" s="7" t="n">
        <f aca="false">IF(K1864="","",K1864-G1864)</f>
        <v>4</v>
      </c>
    </row>
    <row r="1865" customFormat="false" ht="15" hidden="false" customHeight="false" outlineLevel="0" collapsed="false">
      <c r="A1865" s="7" t="n">
        <v>80236224</v>
      </c>
      <c r="B1865" s="7" t="s">
        <v>68</v>
      </c>
      <c r="C1865" s="7" t="s">
        <v>4169</v>
      </c>
      <c r="D1865" s="7" t="s">
        <v>4170</v>
      </c>
      <c r="F1865" s="7" t="s">
        <v>4121</v>
      </c>
      <c r="G1865" s="7" t="n">
        <v>2016</v>
      </c>
      <c r="H1865" s="7" t="s">
        <v>119</v>
      </c>
      <c r="I1865" s="7" t="s">
        <v>373</v>
      </c>
      <c r="J1865" s="7" t="s">
        <v>10</v>
      </c>
      <c r="K1865" s="7" t="n">
        <f aca="false">IFERROR(VALUE(RIGHT(TRIM(F1865),4)),"")</f>
        <v>2018</v>
      </c>
      <c r="L1865" s="7" t="str">
        <f aca="false">IF(TRIM(E1865)="","Unknown",IFERROR(LEFT(TRIM(E1865),FIND(",",TRIM(E1865))-1),TRIM(E1865)))</f>
        <v>Unknown</v>
      </c>
      <c r="M1865" s="7" t="str">
        <f aca="false">IFERROR(LEFT(J1865,FIND(",",J1865)-1),J1865)</f>
        <v>Movies</v>
      </c>
      <c r="N1865" s="7" t="n">
        <f aca="false">IF(B1865="Movie",IFERROR(VALUE(LEFT(I1865,FIND(" ",I1865)-1)),""),"")</f>
        <v>24</v>
      </c>
      <c r="O1865" s="7" t="str">
        <f aca="false">IF(B1865="TV Show",IFERROR(VALUE(LEFT(I1865,FIND(" ",I1865)-1)),""),"")</f>
        <v/>
      </c>
      <c r="P1865" s="7" t="n">
        <f aca="false">IF(K1865="","",K1865-G1865)</f>
        <v>2</v>
      </c>
    </row>
    <row r="1866" customFormat="false" ht="15" hidden="false" customHeight="false" outlineLevel="0" collapsed="false">
      <c r="A1866" s="7" t="n">
        <v>80229190</v>
      </c>
      <c r="B1866" s="7" t="s">
        <v>78</v>
      </c>
      <c r="C1866" s="7" t="s">
        <v>4171</v>
      </c>
      <c r="F1866" s="7" t="s">
        <v>4121</v>
      </c>
      <c r="G1866" s="7" t="n">
        <v>2017</v>
      </c>
      <c r="H1866" s="7" t="s">
        <v>48</v>
      </c>
      <c r="I1866" s="7" t="s">
        <v>82</v>
      </c>
      <c r="J1866" s="7" t="s">
        <v>2601</v>
      </c>
      <c r="K1866" s="7" t="n">
        <f aca="false">IFERROR(VALUE(RIGHT(TRIM(F1866),4)),"")</f>
        <v>2018</v>
      </c>
      <c r="L1866" s="7" t="str">
        <f aca="false">IF(TRIM(E1866)="","Unknown",IFERROR(LEFT(TRIM(E1866),FIND(",",TRIM(E1866))-1),TRIM(E1866)))</f>
        <v>Unknown</v>
      </c>
      <c r="M1866" s="7" t="str">
        <f aca="false">IFERROR(LEFT(J1866,FIND(",",J1866)-1),J1866)</f>
        <v>International TV Shows</v>
      </c>
      <c r="N1866" s="7" t="str">
        <f aca="false">IF(B1866="Movie",IFERROR(VALUE(LEFT(I1866,FIND(" ",I1866)-1)),""),"")</f>
        <v/>
      </c>
      <c r="O1866" s="7" t="n">
        <f aca="false">IF(B1866="TV Show",IFERROR(VALUE(LEFT(I1866,FIND(" ",I1866)-1)),""),"")</f>
        <v>1</v>
      </c>
      <c r="P1866" s="7" t="n">
        <f aca="false">IF(K1866="","",K1866-G1866)</f>
        <v>1</v>
      </c>
    </row>
    <row r="1867" customFormat="false" ht="15" hidden="false" customHeight="false" outlineLevel="0" collapsed="false">
      <c r="A1867" s="7" t="n">
        <v>80990814</v>
      </c>
      <c r="B1867" s="7" t="s">
        <v>68</v>
      </c>
      <c r="C1867" s="7" t="s">
        <v>4172</v>
      </c>
      <c r="D1867" s="7" t="s">
        <v>4173</v>
      </c>
      <c r="E1867" s="7" t="s">
        <v>27</v>
      </c>
      <c r="F1867" s="7" t="s">
        <v>4121</v>
      </c>
      <c r="G1867" s="7" t="n">
        <v>2015</v>
      </c>
      <c r="H1867" s="7" t="s">
        <v>49</v>
      </c>
      <c r="I1867" s="7" t="s">
        <v>330</v>
      </c>
      <c r="J1867" s="7" t="s">
        <v>304</v>
      </c>
      <c r="K1867" s="7" t="n">
        <f aca="false">IFERROR(VALUE(RIGHT(TRIM(F1867),4)),"")</f>
        <v>2018</v>
      </c>
      <c r="L1867" s="7" t="str">
        <f aca="false">IF(TRIM(E1867)="","Unknown",IFERROR(LEFT(TRIM(E1867),FIND(",",TRIM(E1867))-1),TRIM(E1867)))</f>
        <v>India</v>
      </c>
      <c r="M1867" s="7" t="str">
        <f aca="false">IFERROR(LEFT(J1867,FIND(",",J1867)-1),J1867)</f>
        <v>Dramas</v>
      </c>
      <c r="N1867" s="7" t="n">
        <f aca="false">IF(B1867="Movie",IFERROR(VALUE(LEFT(I1867,FIND(" ",I1867)-1)),""),"")</f>
        <v>103</v>
      </c>
      <c r="O1867" s="7" t="str">
        <f aca="false">IF(B1867="TV Show",IFERROR(VALUE(LEFT(I1867,FIND(" ",I1867)-1)),""),"")</f>
        <v/>
      </c>
      <c r="P1867" s="7" t="n">
        <f aca="false">IF(K1867="","",K1867-G1867)</f>
        <v>3</v>
      </c>
    </row>
    <row r="1868" customFormat="false" ht="15" hidden="false" customHeight="false" outlineLevel="0" collapsed="false">
      <c r="A1868" s="7" t="n">
        <v>80245268</v>
      </c>
      <c r="B1868" s="7" t="s">
        <v>68</v>
      </c>
      <c r="C1868" s="7" t="s">
        <v>4174</v>
      </c>
      <c r="D1868" s="7" t="s">
        <v>4175</v>
      </c>
      <c r="E1868" s="7" t="s">
        <v>855</v>
      </c>
      <c r="F1868" s="7" t="s">
        <v>4121</v>
      </c>
      <c r="G1868" s="7" t="n">
        <v>2016</v>
      </c>
      <c r="H1868" s="7" t="s">
        <v>49</v>
      </c>
      <c r="I1868" s="7" t="s">
        <v>353</v>
      </c>
      <c r="J1868" s="7" t="s">
        <v>341</v>
      </c>
      <c r="K1868" s="7" t="n">
        <f aca="false">IFERROR(VALUE(RIGHT(TRIM(F1868),4)),"")</f>
        <v>2018</v>
      </c>
      <c r="L1868" s="7" t="str">
        <f aca="false">IF(TRIM(E1868)="","Unknown",IFERROR(LEFT(TRIM(E1868),FIND(",",TRIM(E1868))-1),TRIM(E1868)))</f>
        <v>Italy</v>
      </c>
      <c r="M1868" s="7" t="str">
        <f aca="false">IFERROR(LEFT(J1868,FIND(",",J1868)-1),J1868)</f>
        <v>Documentaries</v>
      </c>
      <c r="N1868" s="7" t="n">
        <f aca="false">IF(B1868="Movie",IFERROR(VALUE(LEFT(I1868,FIND(" ",I1868)-1)),""),"")</f>
        <v>45</v>
      </c>
      <c r="O1868" s="7" t="str">
        <f aca="false">IF(B1868="TV Show",IFERROR(VALUE(LEFT(I1868,FIND(" ",I1868)-1)),""),"")</f>
        <v/>
      </c>
      <c r="P1868" s="7" t="n">
        <f aca="false">IF(K1868="","",K1868-G1868)</f>
        <v>2</v>
      </c>
    </row>
    <row r="1869" customFormat="false" ht="15" hidden="false" customHeight="false" outlineLevel="0" collapsed="false">
      <c r="A1869" s="7" t="n">
        <v>80227186</v>
      </c>
      <c r="B1869" s="7" t="s">
        <v>78</v>
      </c>
      <c r="C1869" s="7" t="s">
        <v>4176</v>
      </c>
      <c r="F1869" s="7" t="s">
        <v>4121</v>
      </c>
      <c r="G1869" s="7" t="n">
        <v>2016</v>
      </c>
      <c r="H1869" s="7" t="s">
        <v>612</v>
      </c>
      <c r="I1869" s="7" t="s">
        <v>82</v>
      </c>
      <c r="J1869" s="7" t="s">
        <v>44</v>
      </c>
      <c r="K1869" s="7" t="n">
        <f aca="false">IFERROR(VALUE(RIGHT(TRIM(F1869),4)),"")</f>
        <v>2018</v>
      </c>
      <c r="L1869" s="7" t="str">
        <f aca="false">IF(TRIM(E1869)="","Unknown",IFERROR(LEFT(TRIM(E1869),FIND(",",TRIM(E1869))-1),TRIM(E1869)))</f>
        <v>Unknown</v>
      </c>
      <c r="M1869" s="7" t="str">
        <f aca="false">IFERROR(LEFT(J1869,FIND(",",J1869)-1),J1869)</f>
        <v>Kids' TV</v>
      </c>
      <c r="N1869" s="7" t="str">
        <f aca="false">IF(B1869="Movie",IFERROR(VALUE(LEFT(I1869,FIND(" ",I1869)-1)),""),"")</f>
        <v/>
      </c>
      <c r="O1869" s="7" t="n">
        <f aca="false">IF(B1869="TV Show",IFERROR(VALUE(LEFT(I1869,FIND(" ",I1869)-1)),""),"")</f>
        <v>1</v>
      </c>
      <c r="P1869" s="7" t="n">
        <f aca="false">IF(K1869="","",K1869-G1869)</f>
        <v>2</v>
      </c>
    </row>
    <row r="1870" customFormat="false" ht="15" hidden="false" customHeight="false" outlineLevel="0" collapsed="false">
      <c r="A1870" s="7" t="n">
        <v>80228322</v>
      </c>
      <c r="B1870" s="7" t="s">
        <v>68</v>
      </c>
      <c r="C1870" s="7" t="s">
        <v>4177</v>
      </c>
      <c r="D1870" s="7" t="s">
        <v>1517</v>
      </c>
      <c r="E1870" s="7" t="s">
        <v>27</v>
      </c>
      <c r="F1870" s="7" t="s">
        <v>4121</v>
      </c>
      <c r="G1870" s="7" t="n">
        <v>2016</v>
      </c>
      <c r="H1870" s="7" t="s">
        <v>49</v>
      </c>
      <c r="I1870" s="7" t="s">
        <v>512</v>
      </c>
      <c r="J1870" s="7" t="s">
        <v>304</v>
      </c>
      <c r="K1870" s="7" t="n">
        <f aca="false">IFERROR(VALUE(RIGHT(TRIM(F1870),4)),"")</f>
        <v>2018</v>
      </c>
      <c r="L1870" s="7" t="str">
        <f aca="false">IF(TRIM(E1870)="","Unknown",IFERROR(LEFT(TRIM(E1870),FIND(",",TRIM(E1870))-1),TRIM(E1870)))</f>
        <v>India</v>
      </c>
      <c r="M1870" s="7" t="str">
        <f aca="false">IFERROR(LEFT(J1870,FIND(",",J1870)-1),J1870)</f>
        <v>Dramas</v>
      </c>
      <c r="N1870" s="7" t="n">
        <f aca="false">IF(B1870="Movie",IFERROR(VALUE(LEFT(I1870,FIND(" ",I1870)-1)),""),"")</f>
        <v>101</v>
      </c>
      <c r="O1870" s="7" t="str">
        <f aca="false">IF(B1870="TV Show",IFERROR(VALUE(LEFT(I1870,FIND(" ",I1870)-1)),""),"")</f>
        <v/>
      </c>
      <c r="P1870" s="7" t="n">
        <f aca="false">IF(K1870="","",K1870-G1870)</f>
        <v>2</v>
      </c>
    </row>
    <row r="1871" customFormat="false" ht="15" hidden="false" customHeight="false" outlineLevel="0" collapsed="false">
      <c r="A1871" s="7" t="n">
        <v>80204739</v>
      </c>
      <c r="B1871" s="7" t="s">
        <v>78</v>
      </c>
      <c r="C1871" s="7" t="s">
        <v>4178</v>
      </c>
      <c r="F1871" s="7" t="s">
        <v>4121</v>
      </c>
      <c r="G1871" s="7" t="n">
        <v>2017</v>
      </c>
      <c r="H1871" s="7" t="s">
        <v>49</v>
      </c>
      <c r="I1871" s="7" t="s">
        <v>82</v>
      </c>
      <c r="J1871" s="7" t="s">
        <v>3446</v>
      </c>
      <c r="K1871" s="7" t="n">
        <f aca="false">IFERROR(VALUE(RIGHT(TRIM(F1871),4)),"")</f>
        <v>2018</v>
      </c>
      <c r="L1871" s="7" t="str">
        <f aca="false">IF(TRIM(E1871)="","Unknown",IFERROR(LEFT(TRIM(E1871),FIND(",",TRIM(E1871))-1),TRIM(E1871)))</f>
        <v>Unknown</v>
      </c>
      <c r="M1871" s="7" t="str">
        <f aca="false">IFERROR(LEFT(J1871,FIND(",",J1871)-1),J1871)</f>
        <v>International TV Shows</v>
      </c>
      <c r="N1871" s="7" t="str">
        <f aca="false">IF(B1871="Movie",IFERROR(VALUE(LEFT(I1871,FIND(" ",I1871)-1)),""),"")</f>
        <v/>
      </c>
      <c r="O1871" s="7" t="n">
        <f aca="false">IF(B1871="TV Show",IFERROR(VALUE(LEFT(I1871,FIND(" ",I1871)-1)),""),"")</f>
        <v>1</v>
      </c>
      <c r="P1871" s="7" t="n">
        <f aca="false">IF(K1871="","",K1871-G1871)</f>
        <v>1</v>
      </c>
    </row>
    <row r="1872" customFormat="false" ht="15" hidden="false" customHeight="false" outlineLevel="0" collapsed="false">
      <c r="A1872" s="7" t="n">
        <v>80228923</v>
      </c>
      <c r="B1872" s="7" t="s">
        <v>78</v>
      </c>
      <c r="C1872" s="7" t="s">
        <v>4179</v>
      </c>
      <c r="F1872" s="7" t="s">
        <v>4121</v>
      </c>
      <c r="G1872" s="7" t="n">
        <v>2018</v>
      </c>
      <c r="H1872" s="7" t="s">
        <v>49</v>
      </c>
      <c r="I1872" s="7" t="s">
        <v>82</v>
      </c>
      <c r="J1872" s="7" t="s">
        <v>344</v>
      </c>
      <c r="K1872" s="7" t="n">
        <f aca="false">IFERROR(VALUE(RIGHT(TRIM(F1872),4)),"")</f>
        <v>2018</v>
      </c>
      <c r="L1872" s="7" t="str">
        <f aca="false">IF(TRIM(E1872)="","Unknown",IFERROR(LEFT(TRIM(E1872),FIND(",",TRIM(E1872))-1),TRIM(E1872)))</f>
        <v>Unknown</v>
      </c>
      <c r="M1872" s="7" t="str">
        <f aca="false">IFERROR(LEFT(J1872,FIND(",",J1872)-1),J1872)</f>
        <v>International TV Shows</v>
      </c>
      <c r="N1872" s="7" t="str">
        <f aca="false">IF(B1872="Movie",IFERROR(VALUE(LEFT(I1872,FIND(" ",I1872)-1)),""),"")</f>
        <v/>
      </c>
      <c r="O1872" s="7" t="n">
        <f aca="false">IF(B1872="TV Show",IFERROR(VALUE(LEFT(I1872,FIND(" ",I1872)-1)),""),"")</f>
        <v>1</v>
      </c>
      <c r="P1872" s="7" t="n">
        <f aca="false">IF(K1872="","",K1872-G1872)</f>
        <v>0</v>
      </c>
    </row>
    <row r="1873" customFormat="false" ht="15" hidden="false" customHeight="false" outlineLevel="0" collapsed="false">
      <c r="A1873" s="7" t="n">
        <v>80223149</v>
      </c>
      <c r="B1873" s="7" t="s">
        <v>68</v>
      </c>
      <c r="C1873" s="7" t="s">
        <v>4180</v>
      </c>
      <c r="D1873" s="7" t="s">
        <v>4181</v>
      </c>
      <c r="E1873" s="7" t="s">
        <v>26</v>
      </c>
      <c r="F1873" s="7" t="s">
        <v>4121</v>
      </c>
      <c r="G1873" s="7" t="n">
        <v>2017</v>
      </c>
      <c r="H1873" s="7" t="s">
        <v>49</v>
      </c>
      <c r="I1873" s="7" t="s">
        <v>98</v>
      </c>
      <c r="J1873" s="7" t="s">
        <v>1085</v>
      </c>
      <c r="K1873" s="7" t="n">
        <f aca="false">IFERROR(VALUE(RIGHT(TRIM(F1873),4)),"")</f>
        <v>2018</v>
      </c>
      <c r="L1873" s="7" t="str">
        <f aca="false">IF(TRIM(E1873)="","Unknown",IFERROR(LEFT(TRIM(E1873),FIND(",",TRIM(E1873))-1),TRIM(E1873)))</f>
        <v>United States</v>
      </c>
      <c r="M1873" s="7" t="str">
        <f aca="false">IFERROR(LEFT(J1873,FIND(",",J1873)-1),J1873)</f>
        <v>Documentaries</v>
      </c>
      <c r="N1873" s="7" t="n">
        <f aca="false">IF(B1873="Movie",IFERROR(VALUE(LEFT(I1873,FIND(" ",I1873)-1)),""),"")</f>
        <v>60</v>
      </c>
      <c r="O1873" s="7" t="str">
        <f aca="false">IF(B1873="TV Show",IFERROR(VALUE(LEFT(I1873,FIND(" ",I1873)-1)),""),"")</f>
        <v/>
      </c>
      <c r="P1873" s="7" t="n">
        <f aca="false">IF(K1873="","",K1873-G1873)</f>
        <v>1</v>
      </c>
    </row>
    <row r="1874" customFormat="false" ht="15" hidden="false" customHeight="false" outlineLevel="0" collapsed="false">
      <c r="A1874" s="7" t="n">
        <v>80179373</v>
      </c>
      <c r="B1874" s="7" t="s">
        <v>68</v>
      </c>
      <c r="C1874" s="7" t="s">
        <v>4182</v>
      </c>
      <c r="D1874" s="7" t="s">
        <v>4183</v>
      </c>
      <c r="E1874" s="7" t="s">
        <v>26</v>
      </c>
      <c r="F1874" s="7" t="s">
        <v>4121</v>
      </c>
      <c r="G1874" s="7" t="n">
        <v>2017</v>
      </c>
      <c r="H1874" s="7" t="s">
        <v>51</v>
      </c>
      <c r="I1874" s="7" t="s">
        <v>73</v>
      </c>
      <c r="J1874" s="7" t="s">
        <v>198</v>
      </c>
      <c r="K1874" s="7" t="n">
        <f aca="false">IFERROR(VALUE(RIGHT(TRIM(F1874),4)),"")</f>
        <v>2018</v>
      </c>
      <c r="L1874" s="7" t="str">
        <f aca="false">IF(TRIM(E1874)="","Unknown",IFERROR(LEFT(TRIM(E1874),FIND(",",TRIM(E1874))-1),TRIM(E1874)))</f>
        <v>United States</v>
      </c>
      <c r="M1874" s="7" t="str">
        <f aca="false">IFERROR(LEFT(J1874,FIND(",",J1874)-1),J1874)</f>
        <v>Comedies</v>
      </c>
      <c r="N1874" s="7" t="n">
        <f aca="false">IF(B1874="Movie",IFERROR(VALUE(LEFT(I1874,FIND(" ",I1874)-1)),""),"")</f>
        <v>90</v>
      </c>
      <c r="O1874" s="7" t="str">
        <f aca="false">IF(B1874="TV Show",IFERROR(VALUE(LEFT(I1874,FIND(" ",I1874)-1)),""),"")</f>
        <v/>
      </c>
      <c r="P1874" s="7" t="n">
        <f aca="false">IF(K1874="","",K1874-G1874)</f>
        <v>1</v>
      </c>
    </row>
    <row r="1875" customFormat="false" ht="15" hidden="false" customHeight="false" outlineLevel="0" collapsed="false">
      <c r="A1875" s="7" t="n">
        <v>80233962</v>
      </c>
      <c r="B1875" s="7" t="s">
        <v>68</v>
      </c>
      <c r="C1875" s="7" t="s">
        <v>4184</v>
      </c>
      <c r="D1875" s="7" t="s">
        <v>4185</v>
      </c>
      <c r="E1875" s="7" t="s">
        <v>33</v>
      </c>
      <c r="F1875" s="7" t="s">
        <v>4121</v>
      </c>
      <c r="G1875" s="7" t="n">
        <v>2017</v>
      </c>
      <c r="H1875" s="7" t="s">
        <v>48</v>
      </c>
      <c r="I1875" s="7" t="s">
        <v>138</v>
      </c>
      <c r="J1875" s="7" t="s">
        <v>202</v>
      </c>
      <c r="K1875" s="7" t="n">
        <f aca="false">IFERROR(VALUE(RIGHT(TRIM(F1875),4)),"")</f>
        <v>2018</v>
      </c>
      <c r="L1875" s="7" t="str">
        <f aca="false">IF(TRIM(E1875)="","Unknown",IFERROR(LEFT(TRIM(E1875),FIND(",",TRIM(E1875))-1),TRIM(E1875)))</f>
        <v>Spain</v>
      </c>
      <c r="M1875" s="7" t="str">
        <f aca="false">IFERROR(LEFT(J1875,FIND(",",J1875)-1),J1875)</f>
        <v>Comedies</v>
      </c>
      <c r="N1875" s="7" t="n">
        <f aca="false">IF(B1875="Movie",IFERROR(VALUE(LEFT(I1875,FIND(" ",I1875)-1)),""),"")</f>
        <v>96</v>
      </c>
      <c r="O1875" s="7" t="str">
        <f aca="false">IF(B1875="TV Show",IFERROR(VALUE(LEFT(I1875,FIND(" ",I1875)-1)),""),"")</f>
        <v/>
      </c>
      <c r="P1875" s="7" t="n">
        <f aca="false">IF(K1875="","",K1875-G1875)</f>
        <v>1</v>
      </c>
    </row>
    <row r="1876" customFormat="false" ht="15" hidden="false" customHeight="false" outlineLevel="0" collapsed="false">
      <c r="A1876" s="7" t="n">
        <v>80233493</v>
      </c>
      <c r="B1876" s="7" t="s">
        <v>68</v>
      </c>
      <c r="C1876" s="7" t="s">
        <v>4186</v>
      </c>
      <c r="D1876" s="7" t="s">
        <v>1489</v>
      </c>
      <c r="E1876" s="7" t="s">
        <v>4187</v>
      </c>
      <c r="F1876" s="7" t="s">
        <v>4121</v>
      </c>
      <c r="G1876" s="7" t="n">
        <v>2018</v>
      </c>
      <c r="H1876" s="7" t="s">
        <v>52</v>
      </c>
      <c r="I1876" s="7" t="s">
        <v>134</v>
      </c>
      <c r="J1876" s="7" t="s">
        <v>4188</v>
      </c>
      <c r="K1876" s="7" t="n">
        <f aca="false">IFERROR(VALUE(RIGHT(TRIM(F1876),4)),"")</f>
        <v>2018</v>
      </c>
      <c r="L1876" s="7" t="str">
        <f aca="false">IF(TRIM(E1876)="","Unknown",IFERROR(LEFT(TRIM(E1876),FIND(",",TRIM(E1876))-1),TRIM(E1876)))</f>
        <v>United States</v>
      </c>
      <c r="M1876" s="7" t="str">
        <f aca="false">IFERROR(LEFT(J1876,FIND(",",J1876)-1),J1876)</f>
        <v>Action &amp; Adventure</v>
      </c>
      <c r="N1876" s="7" t="n">
        <f aca="false">IF(B1876="Movie",IFERROR(VALUE(LEFT(I1876,FIND(" ",I1876)-1)),""),"")</f>
        <v>98</v>
      </c>
      <c r="O1876" s="7" t="str">
        <f aca="false">IF(B1876="TV Show",IFERROR(VALUE(LEFT(I1876,FIND(" ",I1876)-1)),""),"")</f>
        <v/>
      </c>
      <c r="P1876" s="7" t="n">
        <f aca="false">IF(K1876="","",K1876-G1876)</f>
        <v>0</v>
      </c>
    </row>
    <row r="1877" customFormat="false" ht="15" hidden="false" customHeight="false" outlineLevel="0" collapsed="false">
      <c r="A1877" s="7" t="n">
        <v>80990813</v>
      </c>
      <c r="B1877" s="7" t="s">
        <v>68</v>
      </c>
      <c r="C1877" s="7" t="s">
        <v>4189</v>
      </c>
      <c r="D1877" s="7" t="s">
        <v>4190</v>
      </c>
      <c r="E1877" s="7" t="s">
        <v>27</v>
      </c>
      <c r="F1877" s="7" t="s">
        <v>4121</v>
      </c>
      <c r="G1877" s="7" t="n">
        <v>2015</v>
      </c>
      <c r="H1877" s="7" t="s">
        <v>49</v>
      </c>
      <c r="I1877" s="7" t="s">
        <v>77</v>
      </c>
      <c r="J1877" s="7" t="s">
        <v>304</v>
      </c>
      <c r="K1877" s="7" t="n">
        <f aca="false">IFERROR(VALUE(RIGHT(TRIM(F1877),4)),"")</f>
        <v>2018</v>
      </c>
      <c r="L1877" s="7" t="str">
        <f aca="false">IF(TRIM(E1877)="","Unknown",IFERROR(LEFT(TRIM(E1877),FIND(",",TRIM(E1877))-1),TRIM(E1877)))</f>
        <v>India</v>
      </c>
      <c r="M1877" s="7" t="str">
        <f aca="false">IFERROR(LEFT(J1877,FIND(",",J1877)-1),J1877)</f>
        <v>Dramas</v>
      </c>
      <c r="N1877" s="7" t="n">
        <f aca="false">IF(B1877="Movie",IFERROR(VALUE(LEFT(I1877,FIND(" ",I1877)-1)),""),"")</f>
        <v>94</v>
      </c>
      <c r="O1877" s="7" t="str">
        <f aca="false">IF(B1877="TV Show",IFERROR(VALUE(LEFT(I1877,FIND(" ",I1877)-1)),""),"")</f>
        <v/>
      </c>
      <c r="P1877" s="7" t="n">
        <f aca="false">IF(K1877="","",K1877-G1877)</f>
        <v>3</v>
      </c>
    </row>
    <row r="1878" customFormat="false" ht="15" hidden="false" customHeight="false" outlineLevel="0" collapsed="false">
      <c r="A1878" s="7" t="n">
        <v>80220531</v>
      </c>
      <c r="B1878" s="7" t="s">
        <v>68</v>
      </c>
      <c r="C1878" s="7" t="s">
        <v>4191</v>
      </c>
      <c r="D1878" s="7" t="s">
        <v>4192</v>
      </c>
      <c r="E1878" s="7" t="s">
        <v>29</v>
      </c>
      <c r="F1878" s="7" t="s">
        <v>4121</v>
      </c>
      <c r="G1878" s="7" t="n">
        <v>2017</v>
      </c>
      <c r="H1878" s="7" t="s">
        <v>48</v>
      </c>
      <c r="I1878" s="7" t="s">
        <v>1221</v>
      </c>
      <c r="J1878" s="7" t="s">
        <v>150</v>
      </c>
      <c r="K1878" s="7" t="n">
        <f aca="false">IFERROR(VALUE(RIGHT(TRIM(F1878),4)),"")</f>
        <v>2018</v>
      </c>
      <c r="L1878" s="7" t="str">
        <f aca="false">IF(TRIM(E1878)="","Unknown",IFERROR(LEFT(TRIM(E1878),FIND(",",TRIM(E1878))-1),TRIM(E1878)))</f>
        <v>Canada</v>
      </c>
      <c r="M1878" s="7" t="str">
        <f aca="false">IFERROR(LEFT(J1878,FIND(",",J1878)-1),J1878)</f>
        <v>Dramas</v>
      </c>
      <c r="N1878" s="7" t="n">
        <f aca="false">IF(B1878="Movie",IFERROR(VALUE(LEFT(I1878,FIND(" ",I1878)-1)),""),"")</f>
        <v>74</v>
      </c>
      <c r="O1878" s="7" t="str">
        <f aca="false">IF(B1878="TV Show",IFERROR(VALUE(LEFT(I1878,FIND(" ",I1878)-1)),""),"")</f>
        <v/>
      </c>
      <c r="P1878" s="7" t="n">
        <f aca="false">IF(K1878="","",K1878-G1878)</f>
        <v>1</v>
      </c>
    </row>
    <row r="1879" customFormat="false" ht="15" hidden="false" customHeight="false" outlineLevel="0" collapsed="false">
      <c r="A1879" s="7" t="n">
        <v>80134149</v>
      </c>
      <c r="B1879" s="7" t="s">
        <v>68</v>
      </c>
      <c r="C1879" s="7" t="s">
        <v>4193</v>
      </c>
      <c r="D1879" s="7" t="s">
        <v>4194</v>
      </c>
      <c r="E1879" s="7" t="s">
        <v>26</v>
      </c>
      <c r="F1879" s="7" t="s">
        <v>4195</v>
      </c>
      <c r="G1879" s="7" t="n">
        <v>2016</v>
      </c>
      <c r="H1879" s="7" t="s">
        <v>51</v>
      </c>
      <c r="I1879" s="7" t="s">
        <v>138</v>
      </c>
      <c r="J1879" s="7" t="s">
        <v>811</v>
      </c>
      <c r="K1879" s="7" t="n">
        <f aca="false">IFERROR(VALUE(RIGHT(TRIM(F1879),4)),"")</f>
        <v>2017</v>
      </c>
      <c r="L1879" s="7" t="str">
        <f aca="false">IF(TRIM(E1879)="","Unknown",IFERROR(LEFT(TRIM(E1879),FIND(",",TRIM(E1879))-1),TRIM(E1879)))</f>
        <v>United States</v>
      </c>
      <c r="M1879" s="7" t="str">
        <f aca="false">IFERROR(LEFT(J1879,FIND(",",J1879)-1),J1879)</f>
        <v>Thrillers</v>
      </c>
      <c r="N1879" s="7" t="n">
        <f aca="false">IF(B1879="Movie",IFERROR(VALUE(LEFT(I1879,FIND(" ",I1879)-1)),""),"")</f>
        <v>96</v>
      </c>
      <c r="O1879" s="7" t="str">
        <f aca="false">IF(B1879="TV Show",IFERROR(VALUE(LEFT(I1879,FIND(" ",I1879)-1)),""),"")</f>
        <v/>
      </c>
      <c r="P1879" s="7" t="n">
        <f aca="false">IF(K1879="","",K1879-G1879)</f>
        <v>1</v>
      </c>
    </row>
    <row r="1880" customFormat="false" ht="15" hidden="false" customHeight="false" outlineLevel="0" collapsed="false">
      <c r="A1880" s="7" t="n">
        <v>80115133</v>
      </c>
      <c r="B1880" s="7" t="s">
        <v>68</v>
      </c>
      <c r="C1880" s="7" t="s">
        <v>4196</v>
      </c>
      <c r="D1880" s="7" t="s">
        <v>4197</v>
      </c>
      <c r="E1880" s="7" t="s">
        <v>4198</v>
      </c>
      <c r="F1880" s="7" t="s">
        <v>4195</v>
      </c>
      <c r="G1880" s="7" t="n">
        <v>2016</v>
      </c>
      <c r="H1880" s="7" t="s">
        <v>53</v>
      </c>
      <c r="I1880" s="7" t="s">
        <v>326</v>
      </c>
      <c r="J1880" s="7" t="s">
        <v>188</v>
      </c>
      <c r="K1880" s="7" t="n">
        <f aca="false">IFERROR(VALUE(RIGHT(TRIM(F1880),4)),"")</f>
        <v>2017</v>
      </c>
      <c r="L1880" s="7" t="str">
        <f aca="false">IF(TRIM(E1880)="","Unknown",IFERROR(LEFT(TRIM(E1880),FIND(",",TRIM(E1880))-1),TRIM(E1880)))</f>
        <v>Singapore</v>
      </c>
      <c r="M1880" s="7" t="str">
        <f aca="false">IFERROR(LEFT(J1880,FIND(",",J1880)-1),J1880)</f>
        <v>Dramas</v>
      </c>
      <c r="N1880" s="7" t="n">
        <f aca="false">IF(B1880="Movie",IFERROR(VALUE(LEFT(I1880,FIND(" ",I1880)-1)),""),"")</f>
        <v>111</v>
      </c>
      <c r="O1880" s="7" t="str">
        <f aca="false">IF(B1880="TV Show",IFERROR(VALUE(LEFT(I1880,FIND(" ",I1880)-1)),""),"")</f>
        <v/>
      </c>
      <c r="P1880" s="7" t="n">
        <f aca="false">IF(K1880="","",K1880-G1880)</f>
        <v>1</v>
      </c>
    </row>
    <row r="1881" customFormat="false" ht="15" hidden="false" customHeight="false" outlineLevel="0" collapsed="false">
      <c r="A1881" s="7" t="n">
        <v>80176698</v>
      </c>
      <c r="B1881" s="7" t="s">
        <v>68</v>
      </c>
      <c r="C1881" s="7" t="s">
        <v>4199</v>
      </c>
      <c r="D1881" s="7" t="s">
        <v>738</v>
      </c>
      <c r="E1881" s="7" t="s">
        <v>27</v>
      </c>
      <c r="F1881" s="7" t="s">
        <v>4195</v>
      </c>
      <c r="G1881" s="7" t="n">
        <v>2015</v>
      </c>
      <c r="H1881" s="7" t="s">
        <v>50</v>
      </c>
      <c r="I1881" s="7" t="s">
        <v>378</v>
      </c>
      <c r="J1881" s="7" t="s">
        <v>217</v>
      </c>
      <c r="K1881" s="7" t="n">
        <f aca="false">IFERROR(VALUE(RIGHT(TRIM(F1881),4)),"")</f>
        <v>2017</v>
      </c>
      <c r="L1881" s="7" t="str">
        <f aca="false">IF(TRIM(E1881)="","Unknown",IFERROR(LEFT(TRIM(E1881),FIND(",",TRIM(E1881))-1),TRIM(E1881)))</f>
        <v>India</v>
      </c>
      <c r="M1881" s="7" t="str">
        <f aca="false">IFERROR(LEFT(J1881,FIND(",",J1881)-1),J1881)</f>
        <v>Comedies</v>
      </c>
      <c r="N1881" s="7" t="n">
        <f aca="false">IF(B1881="Movie",IFERROR(VALUE(LEFT(I1881,FIND(" ",I1881)-1)),""),"")</f>
        <v>127</v>
      </c>
      <c r="O1881" s="7" t="str">
        <f aca="false">IF(B1881="TV Show",IFERROR(VALUE(LEFT(I1881,FIND(" ",I1881)-1)),""),"")</f>
        <v/>
      </c>
      <c r="P1881" s="7" t="n">
        <f aca="false">IF(K1881="","",K1881-G1881)</f>
        <v>2</v>
      </c>
    </row>
    <row r="1882" customFormat="false" ht="15" hidden="false" customHeight="false" outlineLevel="0" collapsed="false">
      <c r="A1882" s="7" t="n">
        <v>80165848</v>
      </c>
      <c r="B1882" s="7" t="s">
        <v>68</v>
      </c>
      <c r="C1882" s="7" t="s">
        <v>4200</v>
      </c>
      <c r="D1882" s="7" t="s">
        <v>4201</v>
      </c>
      <c r="E1882" s="7" t="s">
        <v>27</v>
      </c>
      <c r="F1882" s="7" t="s">
        <v>4195</v>
      </c>
      <c r="G1882" s="7" t="n">
        <v>2012</v>
      </c>
      <c r="H1882" s="7" t="s">
        <v>49</v>
      </c>
      <c r="I1882" s="7" t="s">
        <v>386</v>
      </c>
      <c r="J1882" s="7" t="s">
        <v>217</v>
      </c>
      <c r="K1882" s="7" t="n">
        <f aca="false">IFERROR(VALUE(RIGHT(TRIM(F1882),4)),"")</f>
        <v>2017</v>
      </c>
      <c r="L1882" s="7" t="str">
        <f aca="false">IF(TRIM(E1882)="","Unknown",IFERROR(LEFT(TRIM(E1882),FIND(",",TRIM(E1882))-1),TRIM(E1882)))</f>
        <v>India</v>
      </c>
      <c r="M1882" s="7" t="str">
        <f aca="false">IFERROR(LEFT(J1882,FIND(",",J1882)-1),J1882)</f>
        <v>Comedies</v>
      </c>
      <c r="N1882" s="7" t="n">
        <f aca="false">IF(B1882="Movie",IFERROR(VALUE(LEFT(I1882,FIND(" ",I1882)-1)),""),"")</f>
        <v>117</v>
      </c>
      <c r="O1882" s="7" t="str">
        <f aca="false">IF(B1882="TV Show",IFERROR(VALUE(LEFT(I1882,FIND(" ",I1882)-1)),""),"")</f>
        <v/>
      </c>
      <c r="P1882" s="7" t="n">
        <f aca="false">IF(K1882="","",K1882-G1882)</f>
        <v>5</v>
      </c>
    </row>
    <row r="1883" customFormat="false" ht="15" hidden="false" customHeight="false" outlineLevel="0" collapsed="false">
      <c r="A1883" s="7" t="n">
        <v>70275753</v>
      </c>
      <c r="B1883" s="7" t="s">
        <v>68</v>
      </c>
      <c r="C1883" s="7" t="s">
        <v>4202</v>
      </c>
      <c r="D1883" s="7" t="s">
        <v>4203</v>
      </c>
      <c r="E1883" s="7" t="s">
        <v>27</v>
      </c>
      <c r="F1883" s="7" t="s">
        <v>4195</v>
      </c>
      <c r="G1883" s="7" t="n">
        <v>2013</v>
      </c>
      <c r="H1883" s="7" t="s">
        <v>49</v>
      </c>
      <c r="I1883" s="7" t="s">
        <v>869</v>
      </c>
      <c r="J1883" s="7" t="s">
        <v>304</v>
      </c>
      <c r="K1883" s="7" t="n">
        <f aca="false">IFERROR(VALUE(RIGHT(TRIM(F1883),4)),"")</f>
        <v>2017</v>
      </c>
      <c r="L1883" s="7" t="str">
        <f aca="false">IF(TRIM(E1883)="","Unknown",IFERROR(LEFT(TRIM(E1883),FIND(",",TRIM(E1883))-1),TRIM(E1883)))</f>
        <v>India</v>
      </c>
      <c r="M1883" s="7" t="str">
        <f aca="false">IFERROR(LEFT(J1883,FIND(",",J1883)-1),J1883)</f>
        <v>Dramas</v>
      </c>
      <c r="N1883" s="7" t="n">
        <f aca="false">IF(B1883="Movie",IFERROR(VALUE(LEFT(I1883,FIND(" ",I1883)-1)),""),"")</f>
        <v>123</v>
      </c>
      <c r="O1883" s="7" t="str">
        <f aca="false">IF(B1883="TV Show",IFERROR(VALUE(LEFT(I1883,FIND(" ",I1883)-1)),""),"")</f>
        <v/>
      </c>
      <c r="P1883" s="7" t="n">
        <f aca="false">IF(K1883="","",K1883-G1883)</f>
        <v>4</v>
      </c>
    </row>
    <row r="1884" customFormat="false" ht="15" hidden="false" customHeight="false" outlineLevel="0" collapsed="false">
      <c r="A1884" s="7" t="n">
        <v>70295762</v>
      </c>
      <c r="B1884" s="7" t="s">
        <v>68</v>
      </c>
      <c r="C1884" s="7" t="s">
        <v>4204</v>
      </c>
      <c r="D1884" s="7" t="s">
        <v>4205</v>
      </c>
      <c r="E1884" s="7" t="s">
        <v>27</v>
      </c>
      <c r="F1884" s="7" t="s">
        <v>4195</v>
      </c>
      <c r="G1884" s="7" t="n">
        <v>2013</v>
      </c>
      <c r="H1884" s="7" t="s">
        <v>53</v>
      </c>
      <c r="I1884" s="7" t="s">
        <v>594</v>
      </c>
      <c r="J1884" s="7" t="s">
        <v>139</v>
      </c>
      <c r="K1884" s="7" t="n">
        <f aca="false">IFERROR(VALUE(RIGHT(TRIM(F1884),4)),"")</f>
        <v>2017</v>
      </c>
      <c r="L1884" s="7" t="str">
        <f aca="false">IF(TRIM(E1884)="","Unknown",IFERROR(LEFT(TRIM(E1884),FIND(",",TRIM(E1884))-1),TRIM(E1884)))</f>
        <v>India</v>
      </c>
      <c r="M1884" s="7" t="str">
        <f aca="false">IFERROR(LEFT(J1884,FIND(",",J1884)-1),J1884)</f>
        <v>Action &amp; Adventure</v>
      </c>
      <c r="N1884" s="7" t="n">
        <f aca="false">IF(B1884="Movie",IFERROR(VALUE(LEFT(I1884,FIND(" ",I1884)-1)),""),"")</f>
        <v>139</v>
      </c>
      <c r="O1884" s="7" t="str">
        <f aca="false">IF(B1884="TV Show",IFERROR(VALUE(LEFT(I1884,FIND(" ",I1884)-1)),""),"")</f>
        <v/>
      </c>
      <c r="P1884" s="7" t="n">
        <f aca="false">IF(K1884="","",K1884-G1884)</f>
        <v>4</v>
      </c>
    </row>
    <row r="1885" customFormat="false" ht="15" hidden="false" customHeight="false" outlineLevel="0" collapsed="false">
      <c r="A1885" s="7" t="n">
        <v>80165849</v>
      </c>
      <c r="B1885" s="7" t="s">
        <v>68</v>
      </c>
      <c r="C1885" s="7" t="s">
        <v>4206</v>
      </c>
      <c r="D1885" s="7" t="s">
        <v>4207</v>
      </c>
      <c r="E1885" s="7" t="s">
        <v>27</v>
      </c>
      <c r="F1885" s="7" t="s">
        <v>4195</v>
      </c>
      <c r="G1885" s="7" t="n">
        <v>2016</v>
      </c>
      <c r="H1885" s="7" t="s">
        <v>49</v>
      </c>
      <c r="I1885" s="7" t="s">
        <v>111</v>
      </c>
      <c r="J1885" s="7" t="s">
        <v>188</v>
      </c>
      <c r="K1885" s="7" t="n">
        <f aca="false">IFERROR(VALUE(RIGHT(TRIM(F1885),4)),"")</f>
        <v>2017</v>
      </c>
      <c r="L1885" s="7" t="str">
        <f aca="false">IF(TRIM(E1885)="","Unknown",IFERROR(LEFT(TRIM(E1885),FIND(",",TRIM(E1885))-1),TRIM(E1885)))</f>
        <v>India</v>
      </c>
      <c r="M1885" s="7" t="str">
        <f aca="false">IFERROR(LEFT(J1885,FIND(",",J1885)-1),J1885)</f>
        <v>Dramas</v>
      </c>
      <c r="N1885" s="7" t="n">
        <f aca="false">IF(B1885="Movie",IFERROR(VALUE(LEFT(I1885,FIND(" ",I1885)-1)),""),"")</f>
        <v>95</v>
      </c>
      <c r="O1885" s="7" t="str">
        <f aca="false">IF(B1885="TV Show",IFERROR(VALUE(LEFT(I1885,FIND(" ",I1885)-1)),""),"")</f>
        <v/>
      </c>
      <c r="P1885" s="7" t="n">
        <f aca="false">IF(K1885="","",K1885-G1885)</f>
        <v>1</v>
      </c>
    </row>
    <row r="1886" customFormat="false" ht="15" hidden="false" customHeight="false" outlineLevel="0" collapsed="false">
      <c r="A1886" s="7" t="n">
        <v>80158395</v>
      </c>
      <c r="B1886" s="7" t="s">
        <v>68</v>
      </c>
      <c r="C1886" s="7" t="s">
        <v>4208</v>
      </c>
      <c r="D1886" s="7" t="s">
        <v>4209</v>
      </c>
      <c r="E1886" s="7" t="s">
        <v>27</v>
      </c>
      <c r="F1886" s="7" t="s">
        <v>4195</v>
      </c>
      <c r="G1886" s="7" t="n">
        <v>1996</v>
      </c>
      <c r="H1886" s="7" t="s">
        <v>53</v>
      </c>
      <c r="I1886" s="7" t="s">
        <v>1026</v>
      </c>
      <c r="J1886" s="7" t="s">
        <v>240</v>
      </c>
      <c r="K1886" s="7" t="n">
        <f aca="false">IFERROR(VALUE(RIGHT(TRIM(F1886),4)),"")</f>
        <v>2017</v>
      </c>
      <c r="L1886" s="7" t="str">
        <f aca="false">IF(TRIM(E1886)="","Unknown",IFERROR(LEFT(TRIM(E1886),FIND(",",TRIM(E1886))-1),TRIM(E1886)))</f>
        <v>India</v>
      </c>
      <c r="M1886" s="7" t="str">
        <f aca="false">IFERROR(LEFT(J1886,FIND(",",J1886)-1),J1886)</f>
        <v>Dramas</v>
      </c>
      <c r="N1886" s="7" t="n">
        <f aca="false">IF(B1886="Movie",IFERROR(VALUE(LEFT(I1886,FIND(" ",I1886)-1)),""),"")</f>
        <v>148</v>
      </c>
      <c r="O1886" s="7" t="str">
        <f aca="false">IF(B1886="TV Show",IFERROR(VALUE(LEFT(I1886,FIND(" ",I1886)-1)),""),"")</f>
        <v/>
      </c>
      <c r="P1886" s="7" t="n">
        <f aca="false">IF(K1886="","",K1886-G1886)</f>
        <v>21</v>
      </c>
    </row>
    <row r="1887" customFormat="false" ht="15" hidden="false" customHeight="false" outlineLevel="0" collapsed="false">
      <c r="A1887" s="7" t="n">
        <v>70275774</v>
      </c>
      <c r="B1887" s="7" t="s">
        <v>68</v>
      </c>
      <c r="C1887" s="7" t="s">
        <v>4210</v>
      </c>
      <c r="D1887" s="7" t="s">
        <v>3902</v>
      </c>
      <c r="E1887" s="7" t="s">
        <v>27</v>
      </c>
      <c r="F1887" s="7" t="s">
        <v>4195</v>
      </c>
      <c r="G1887" s="7" t="n">
        <v>2013</v>
      </c>
      <c r="H1887" s="7" t="s">
        <v>50</v>
      </c>
      <c r="I1887" s="7" t="s">
        <v>505</v>
      </c>
      <c r="J1887" s="7" t="s">
        <v>457</v>
      </c>
      <c r="K1887" s="7" t="n">
        <f aca="false">IFERROR(VALUE(RIGHT(TRIM(F1887),4)),"")</f>
        <v>2017</v>
      </c>
      <c r="L1887" s="7" t="str">
        <f aca="false">IF(TRIM(E1887)="","Unknown",IFERROR(LEFT(TRIM(E1887),FIND(",",TRIM(E1887))-1),TRIM(E1887)))</f>
        <v>India</v>
      </c>
      <c r="M1887" s="7" t="str">
        <f aca="false">IFERROR(LEFT(J1887,FIND(",",J1887)-1),J1887)</f>
        <v>Comedies</v>
      </c>
      <c r="N1887" s="7" t="n">
        <f aca="false">IF(B1887="Movie",IFERROR(VALUE(LEFT(I1887,FIND(" ",I1887)-1)),""),"")</f>
        <v>121</v>
      </c>
      <c r="O1887" s="7" t="str">
        <f aca="false">IF(B1887="TV Show",IFERROR(VALUE(LEFT(I1887,FIND(" ",I1887)-1)),""),"")</f>
        <v/>
      </c>
      <c r="P1887" s="7" t="n">
        <f aca="false">IF(K1887="","",K1887-G1887)</f>
        <v>4</v>
      </c>
    </row>
    <row r="1888" customFormat="false" ht="15" hidden="false" customHeight="false" outlineLevel="0" collapsed="false">
      <c r="A1888" s="7" t="n">
        <v>80103430</v>
      </c>
      <c r="B1888" s="7" t="s">
        <v>68</v>
      </c>
      <c r="C1888" s="7" t="s">
        <v>4211</v>
      </c>
      <c r="D1888" s="7" t="s">
        <v>4212</v>
      </c>
      <c r="E1888" s="7" t="s">
        <v>26</v>
      </c>
      <c r="F1888" s="7" t="s">
        <v>4195</v>
      </c>
      <c r="G1888" s="7" t="n">
        <v>2016</v>
      </c>
      <c r="H1888" s="7" t="s">
        <v>49</v>
      </c>
      <c r="I1888" s="7" t="s">
        <v>143</v>
      </c>
      <c r="J1888" s="7" t="s">
        <v>39</v>
      </c>
      <c r="K1888" s="7" t="n">
        <f aca="false">IFERROR(VALUE(RIGHT(TRIM(F1888),4)),"")</f>
        <v>2017</v>
      </c>
      <c r="L1888" s="7" t="str">
        <f aca="false">IF(TRIM(E1888)="","Unknown",IFERROR(LEFT(TRIM(E1888),FIND(",",TRIM(E1888))-1),TRIM(E1888)))</f>
        <v>United States</v>
      </c>
      <c r="M1888" s="7" t="str">
        <f aca="false">IFERROR(LEFT(J1888,FIND(",",J1888)-1),J1888)</f>
        <v>Documentaries</v>
      </c>
      <c r="N1888" s="7" t="n">
        <f aca="false">IF(B1888="Movie",IFERROR(VALUE(LEFT(I1888,FIND(" ",I1888)-1)),""),"")</f>
        <v>79</v>
      </c>
      <c r="O1888" s="7" t="str">
        <f aca="false">IF(B1888="TV Show",IFERROR(VALUE(LEFT(I1888,FIND(" ",I1888)-1)),""),"")</f>
        <v/>
      </c>
      <c r="P1888" s="7" t="n">
        <f aca="false">IF(K1888="","",K1888-G1888)</f>
        <v>1</v>
      </c>
    </row>
    <row r="1889" customFormat="false" ht="15" hidden="false" customHeight="false" outlineLevel="0" collapsed="false">
      <c r="A1889" s="7" t="n">
        <v>80165850</v>
      </c>
      <c r="B1889" s="7" t="s">
        <v>68</v>
      </c>
      <c r="C1889" s="7" t="s">
        <v>4213</v>
      </c>
      <c r="D1889" s="7" t="s">
        <v>4214</v>
      </c>
      <c r="E1889" s="7" t="s">
        <v>27</v>
      </c>
      <c r="F1889" s="7" t="s">
        <v>4195</v>
      </c>
      <c r="G1889" s="7" t="n">
        <v>2015</v>
      </c>
      <c r="H1889" s="7" t="s">
        <v>50</v>
      </c>
      <c r="I1889" s="7" t="s">
        <v>378</v>
      </c>
      <c r="J1889" s="7" t="s">
        <v>202</v>
      </c>
      <c r="K1889" s="7" t="n">
        <f aca="false">IFERROR(VALUE(RIGHT(TRIM(F1889),4)),"")</f>
        <v>2017</v>
      </c>
      <c r="L1889" s="7" t="str">
        <f aca="false">IF(TRIM(E1889)="","Unknown",IFERROR(LEFT(TRIM(E1889),FIND(",",TRIM(E1889))-1),TRIM(E1889)))</f>
        <v>India</v>
      </c>
      <c r="M1889" s="7" t="str">
        <f aca="false">IFERROR(LEFT(J1889,FIND(",",J1889)-1),J1889)</f>
        <v>Comedies</v>
      </c>
      <c r="N1889" s="7" t="n">
        <f aca="false">IF(B1889="Movie",IFERROR(VALUE(LEFT(I1889,FIND(" ",I1889)-1)),""),"")</f>
        <v>127</v>
      </c>
      <c r="O1889" s="7" t="str">
        <f aca="false">IF(B1889="TV Show",IFERROR(VALUE(LEFT(I1889,FIND(" ",I1889)-1)),""),"")</f>
        <v/>
      </c>
      <c r="P1889" s="7" t="n">
        <f aca="false">IF(K1889="","",K1889-G1889)</f>
        <v>2</v>
      </c>
    </row>
    <row r="1890" customFormat="false" ht="15" hidden="false" customHeight="false" outlineLevel="0" collapsed="false">
      <c r="A1890" s="7" t="n">
        <v>80103372</v>
      </c>
      <c r="B1890" s="7" t="s">
        <v>68</v>
      </c>
      <c r="C1890" s="7" t="s">
        <v>4215</v>
      </c>
      <c r="D1890" s="7" t="s">
        <v>4216</v>
      </c>
      <c r="E1890" s="7" t="s">
        <v>26</v>
      </c>
      <c r="F1890" s="7" t="s">
        <v>4195</v>
      </c>
      <c r="G1890" s="7" t="n">
        <v>2016</v>
      </c>
      <c r="H1890" s="7" t="s">
        <v>51</v>
      </c>
      <c r="I1890" s="7" t="s">
        <v>311</v>
      </c>
      <c r="J1890" s="7" t="s">
        <v>198</v>
      </c>
      <c r="K1890" s="7" t="n">
        <f aca="false">IFERROR(VALUE(RIGHT(TRIM(F1890),4)),"")</f>
        <v>2017</v>
      </c>
      <c r="L1890" s="7" t="str">
        <f aca="false">IF(TRIM(E1890)="","Unknown",IFERROR(LEFT(TRIM(E1890),FIND(",",TRIM(E1890))-1),TRIM(E1890)))</f>
        <v>United States</v>
      </c>
      <c r="M1890" s="7" t="str">
        <f aca="false">IFERROR(LEFT(J1890,FIND(",",J1890)-1),J1890)</f>
        <v>Comedies</v>
      </c>
      <c r="N1890" s="7" t="n">
        <f aca="false">IF(B1890="Movie",IFERROR(VALUE(LEFT(I1890,FIND(" ",I1890)-1)),""),"")</f>
        <v>92</v>
      </c>
      <c r="O1890" s="7" t="str">
        <f aca="false">IF(B1890="TV Show",IFERROR(VALUE(LEFT(I1890,FIND(" ",I1890)-1)),""),"")</f>
        <v/>
      </c>
      <c r="P1890" s="7" t="n">
        <f aca="false">IF(K1890="","",K1890-G1890)</f>
        <v>1</v>
      </c>
    </row>
    <row r="1891" customFormat="false" ht="15" hidden="false" customHeight="false" outlineLevel="0" collapsed="false">
      <c r="A1891" s="7" t="n">
        <v>80068117</v>
      </c>
      <c r="B1891" s="7" t="s">
        <v>68</v>
      </c>
      <c r="C1891" s="7" t="s">
        <v>4217</v>
      </c>
      <c r="D1891" s="7" t="s">
        <v>3383</v>
      </c>
      <c r="E1891" s="7" t="s">
        <v>27</v>
      </c>
      <c r="F1891" s="7" t="s">
        <v>4195</v>
      </c>
      <c r="G1891" s="7" t="n">
        <v>2015</v>
      </c>
      <c r="H1891" s="7" t="s">
        <v>49</v>
      </c>
      <c r="I1891" s="7" t="s">
        <v>1066</v>
      </c>
      <c r="J1891" s="7" t="s">
        <v>182</v>
      </c>
      <c r="K1891" s="7" t="n">
        <f aca="false">IFERROR(VALUE(RIGHT(TRIM(F1891),4)),"")</f>
        <v>2017</v>
      </c>
      <c r="L1891" s="7" t="str">
        <f aca="false">IF(TRIM(E1891)="","Unknown",IFERROR(LEFT(TRIM(E1891),FIND(",",TRIM(E1891))-1),TRIM(E1891)))</f>
        <v>India</v>
      </c>
      <c r="M1891" s="7" t="str">
        <f aca="false">IFERROR(LEFT(J1891,FIND(",",J1891)-1),J1891)</f>
        <v>Dramas</v>
      </c>
      <c r="N1891" s="7" t="n">
        <f aca="false">IF(B1891="Movie",IFERROR(VALUE(LEFT(I1891,FIND(" ",I1891)-1)),""),"")</f>
        <v>162</v>
      </c>
      <c r="O1891" s="7" t="str">
        <f aca="false">IF(B1891="TV Show",IFERROR(VALUE(LEFT(I1891,FIND(" ",I1891)-1)),""),"")</f>
        <v/>
      </c>
      <c r="P1891" s="7" t="n">
        <f aca="false">IF(K1891="","",K1891-G1891)</f>
        <v>2</v>
      </c>
    </row>
    <row r="1892" customFormat="false" ht="15" hidden="false" customHeight="false" outlineLevel="0" collapsed="false">
      <c r="A1892" s="7" t="n">
        <v>20764666</v>
      </c>
      <c r="B1892" s="7" t="s">
        <v>68</v>
      </c>
      <c r="C1892" s="7" t="s">
        <v>4218</v>
      </c>
      <c r="D1892" s="7" t="s">
        <v>4219</v>
      </c>
      <c r="E1892" s="7" t="s">
        <v>27</v>
      </c>
      <c r="F1892" s="7" t="s">
        <v>4195</v>
      </c>
      <c r="G1892" s="7" t="n">
        <v>1996</v>
      </c>
      <c r="H1892" s="7" t="s">
        <v>49</v>
      </c>
      <c r="I1892" s="7" t="s">
        <v>383</v>
      </c>
      <c r="J1892" s="7" t="s">
        <v>217</v>
      </c>
      <c r="K1892" s="7" t="n">
        <f aca="false">IFERROR(VALUE(RIGHT(TRIM(F1892),4)),"")</f>
        <v>2017</v>
      </c>
      <c r="L1892" s="7" t="str">
        <f aca="false">IF(TRIM(E1892)="","Unknown",IFERROR(LEFT(TRIM(E1892),FIND(",",TRIM(E1892))-1),TRIM(E1892)))</f>
        <v>India</v>
      </c>
      <c r="M1892" s="7" t="str">
        <f aca="false">IFERROR(LEFT(J1892,FIND(",",J1892)-1),J1892)</f>
        <v>Comedies</v>
      </c>
      <c r="N1892" s="7" t="n">
        <f aca="false">IF(B1892="Movie",IFERROR(VALUE(LEFT(I1892,FIND(" ",I1892)-1)),""),"")</f>
        <v>163</v>
      </c>
      <c r="O1892" s="7" t="str">
        <f aca="false">IF(B1892="TV Show",IFERROR(VALUE(LEFT(I1892,FIND(" ",I1892)-1)),""),"")</f>
        <v/>
      </c>
      <c r="P1892" s="7" t="n">
        <f aca="false">IF(K1892="","",K1892-G1892)</f>
        <v>21</v>
      </c>
    </row>
    <row r="1893" customFormat="false" ht="15" hidden="false" customHeight="false" outlineLevel="0" collapsed="false">
      <c r="A1893" s="7" t="n">
        <v>70268209</v>
      </c>
      <c r="B1893" s="7" t="s">
        <v>68</v>
      </c>
      <c r="C1893" s="7" t="s">
        <v>4220</v>
      </c>
      <c r="D1893" s="7" t="s">
        <v>4221</v>
      </c>
      <c r="E1893" s="7" t="s">
        <v>27</v>
      </c>
      <c r="F1893" s="7" t="s">
        <v>4195</v>
      </c>
      <c r="G1893" s="7" t="n">
        <v>2012</v>
      </c>
      <c r="H1893" s="7" t="s">
        <v>49</v>
      </c>
      <c r="I1893" s="7" t="s">
        <v>524</v>
      </c>
      <c r="J1893" s="7" t="s">
        <v>341</v>
      </c>
      <c r="K1893" s="7" t="n">
        <f aca="false">IFERROR(VALUE(RIGHT(TRIM(F1893),4)),"")</f>
        <v>2017</v>
      </c>
      <c r="L1893" s="7" t="str">
        <f aca="false">IF(TRIM(E1893)="","Unknown",IFERROR(LEFT(TRIM(E1893),FIND(",",TRIM(E1893))-1),TRIM(E1893)))</f>
        <v>India</v>
      </c>
      <c r="M1893" s="7" t="str">
        <f aca="false">IFERROR(LEFT(J1893,FIND(",",J1893)-1),J1893)</f>
        <v>Documentaries</v>
      </c>
      <c r="N1893" s="7" t="n">
        <f aca="false">IF(B1893="Movie",IFERROR(VALUE(LEFT(I1893,FIND(" ",I1893)-1)),""),"")</f>
        <v>83</v>
      </c>
      <c r="O1893" s="7" t="str">
        <f aca="false">IF(B1893="TV Show",IFERROR(VALUE(LEFT(I1893,FIND(" ",I1893)-1)),""),"")</f>
        <v/>
      </c>
      <c r="P1893" s="7" t="n">
        <f aca="false">IF(K1893="","",K1893-G1893)</f>
        <v>5</v>
      </c>
    </row>
    <row r="1894" customFormat="false" ht="15" hidden="false" customHeight="false" outlineLevel="0" collapsed="false">
      <c r="A1894" s="7" t="n">
        <v>80165851</v>
      </c>
      <c r="B1894" s="7" t="s">
        <v>68</v>
      </c>
      <c r="C1894" s="7" t="s">
        <v>4222</v>
      </c>
      <c r="D1894" s="7" t="s">
        <v>4223</v>
      </c>
      <c r="E1894" s="7" t="s">
        <v>27</v>
      </c>
      <c r="F1894" s="7" t="s">
        <v>4195</v>
      </c>
      <c r="G1894" s="7" t="n">
        <v>2014</v>
      </c>
      <c r="H1894" s="7" t="s">
        <v>49</v>
      </c>
      <c r="I1894" s="7" t="s">
        <v>168</v>
      </c>
      <c r="J1894" s="7" t="s">
        <v>139</v>
      </c>
      <c r="K1894" s="7" t="n">
        <f aca="false">IFERROR(VALUE(RIGHT(TRIM(F1894),4)),"")</f>
        <v>2017</v>
      </c>
      <c r="L1894" s="7" t="str">
        <f aca="false">IF(TRIM(E1894)="","Unknown",IFERROR(LEFT(TRIM(E1894),FIND(",",TRIM(E1894))-1),TRIM(E1894)))</f>
        <v>India</v>
      </c>
      <c r="M1894" s="7" t="str">
        <f aca="false">IFERROR(LEFT(J1894,FIND(",",J1894)-1),J1894)</f>
        <v>Action &amp; Adventure</v>
      </c>
      <c r="N1894" s="7" t="n">
        <f aca="false">IF(B1894="Movie",IFERROR(VALUE(LEFT(I1894,FIND(" ",I1894)-1)),""),"")</f>
        <v>112</v>
      </c>
      <c r="O1894" s="7" t="str">
        <f aca="false">IF(B1894="TV Show",IFERROR(VALUE(LEFT(I1894,FIND(" ",I1894)-1)),""),"")</f>
        <v/>
      </c>
      <c r="P1894" s="7" t="n">
        <f aca="false">IF(K1894="","",K1894-G1894)</f>
        <v>3</v>
      </c>
    </row>
    <row r="1895" customFormat="false" ht="15" hidden="false" customHeight="false" outlineLevel="0" collapsed="false">
      <c r="A1895" s="7" t="n">
        <v>70129415</v>
      </c>
      <c r="B1895" s="7" t="s">
        <v>68</v>
      </c>
      <c r="C1895" s="7" t="s">
        <v>4224</v>
      </c>
      <c r="D1895" s="7" t="s">
        <v>4225</v>
      </c>
      <c r="E1895" s="7" t="s">
        <v>2367</v>
      </c>
      <c r="F1895" s="7" t="s">
        <v>4195</v>
      </c>
      <c r="G1895" s="7" t="n">
        <v>2009</v>
      </c>
      <c r="H1895" s="7" t="s">
        <v>52</v>
      </c>
      <c r="I1895" s="7" t="s">
        <v>386</v>
      </c>
      <c r="J1895" s="7" t="s">
        <v>1845</v>
      </c>
      <c r="K1895" s="7" t="n">
        <f aca="false">IFERROR(VALUE(RIGHT(TRIM(F1895),4)),"")</f>
        <v>2017</v>
      </c>
      <c r="L1895" s="7" t="str">
        <f aca="false">IF(TRIM(E1895)="","Unknown",IFERROR(LEFT(TRIM(E1895),FIND(",",TRIM(E1895))-1),TRIM(E1895)))</f>
        <v>United States</v>
      </c>
      <c r="M1895" s="7" t="str">
        <f aca="false">IFERROR(LEFT(J1895,FIND(",",J1895)-1),J1895)</f>
        <v>Action &amp; Adventure</v>
      </c>
      <c r="N1895" s="7" t="n">
        <f aca="false">IF(B1895="Movie",IFERROR(VALUE(LEFT(I1895,FIND(" ",I1895)-1)),""),"")</f>
        <v>117</v>
      </c>
      <c r="O1895" s="7" t="str">
        <f aca="false">IF(B1895="TV Show",IFERROR(VALUE(LEFT(I1895,FIND(" ",I1895)-1)),""),"")</f>
        <v/>
      </c>
      <c r="P1895" s="7" t="n">
        <f aca="false">IF(K1895="","",K1895-G1895)</f>
        <v>8</v>
      </c>
    </row>
    <row r="1896" customFormat="false" ht="15" hidden="false" customHeight="false" outlineLevel="0" collapsed="false">
      <c r="A1896" s="7" t="n">
        <v>80095094</v>
      </c>
      <c r="B1896" s="7" t="s">
        <v>68</v>
      </c>
      <c r="C1896" s="7" t="s">
        <v>4226</v>
      </c>
      <c r="D1896" s="7" t="s">
        <v>4227</v>
      </c>
      <c r="E1896" s="7" t="s">
        <v>26</v>
      </c>
      <c r="F1896" s="7" t="s">
        <v>4195</v>
      </c>
      <c r="G1896" s="7" t="n">
        <v>2016</v>
      </c>
      <c r="H1896" s="7" t="s">
        <v>53</v>
      </c>
      <c r="I1896" s="7" t="s">
        <v>73</v>
      </c>
      <c r="J1896" s="7" t="s">
        <v>39</v>
      </c>
      <c r="K1896" s="7" t="n">
        <f aca="false">IFERROR(VALUE(RIGHT(TRIM(F1896),4)),"")</f>
        <v>2017</v>
      </c>
      <c r="L1896" s="7" t="str">
        <f aca="false">IF(TRIM(E1896)="","Unknown",IFERROR(LEFT(TRIM(E1896),FIND(",",TRIM(E1896))-1),TRIM(E1896)))</f>
        <v>United States</v>
      </c>
      <c r="M1896" s="7" t="str">
        <f aca="false">IFERROR(LEFT(J1896,FIND(",",J1896)-1),J1896)</f>
        <v>Documentaries</v>
      </c>
      <c r="N1896" s="7" t="n">
        <f aca="false">IF(B1896="Movie",IFERROR(VALUE(LEFT(I1896,FIND(" ",I1896)-1)),""),"")</f>
        <v>90</v>
      </c>
      <c r="O1896" s="7" t="str">
        <f aca="false">IF(B1896="TV Show",IFERROR(VALUE(LEFT(I1896,FIND(" ",I1896)-1)),""),"")</f>
        <v/>
      </c>
      <c r="P1896" s="7" t="n">
        <f aca="false">IF(K1896="","",K1896-G1896)</f>
        <v>1</v>
      </c>
    </row>
    <row r="1897" customFormat="false" ht="15" hidden="false" customHeight="false" outlineLevel="0" collapsed="false">
      <c r="A1897" s="7" t="n">
        <v>80156763</v>
      </c>
      <c r="B1897" s="7" t="s">
        <v>68</v>
      </c>
      <c r="C1897" s="7" t="s">
        <v>4228</v>
      </c>
      <c r="D1897" s="7" t="s">
        <v>4229</v>
      </c>
      <c r="E1897" s="7" t="s">
        <v>129</v>
      </c>
      <c r="F1897" s="7" t="s">
        <v>4195</v>
      </c>
      <c r="G1897" s="7" t="n">
        <v>2016</v>
      </c>
      <c r="H1897" s="7" t="s">
        <v>49</v>
      </c>
      <c r="I1897" s="7" t="s">
        <v>111</v>
      </c>
      <c r="J1897" s="7" t="s">
        <v>202</v>
      </c>
      <c r="K1897" s="7" t="n">
        <f aca="false">IFERROR(VALUE(RIGHT(TRIM(F1897),4)),"")</f>
        <v>2017</v>
      </c>
      <c r="L1897" s="7" t="str">
        <f aca="false">IF(TRIM(E1897)="","Unknown",IFERROR(LEFT(TRIM(E1897),FIND(",",TRIM(E1897))-1),TRIM(E1897)))</f>
        <v>France</v>
      </c>
      <c r="M1897" s="7" t="str">
        <f aca="false">IFERROR(LEFT(J1897,FIND(",",J1897)-1),J1897)</f>
        <v>Comedies</v>
      </c>
      <c r="N1897" s="7" t="n">
        <f aca="false">IF(B1897="Movie",IFERROR(VALUE(LEFT(I1897,FIND(" ",I1897)-1)),""),"")</f>
        <v>95</v>
      </c>
      <c r="O1897" s="7" t="str">
        <f aca="false">IF(B1897="TV Show",IFERROR(VALUE(LEFT(I1897,FIND(" ",I1897)-1)),""),"")</f>
        <v/>
      </c>
      <c r="P1897" s="7" t="n">
        <f aca="false">IF(K1897="","",K1897-G1897)</f>
        <v>1</v>
      </c>
    </row>
    <row r="1898" customFormat="false" ht="15" hidden="false" customHeight="false" outlineLevel="0" collapsed="false">
      <c r="A1898" s="7" t="n">
        <v>80156857</v>
      </c>
      <c r="B1898" s="7" t="s">
        <v>68</v>
      </c>
      <c r="C1898" s="7" t="s">
        <v>4230</v>
      </c>
      <c r="D1898" s="7" t="s">
        <v>4231</v>
      </c>
      <c r="E1898" s="7" t="s">
        <v>129</v>
      </c>
      <c r="F1898" s="7" t="s">
        <v>4195</v>
      </c>
      <c r="G1898" s="7" t="n">
        <v>2016</v>
      </c>
      <c r="H1898" s="7" t="s">
        <v>48</v>
      </c>
      <c r="I1898" s="7" t="s">
        <v>87</v>
      </c>
      <c r="J1898" s="7" t="s">
        <v>182</v>
      </c>
      <c r="K1898" s="7" t="n">
        <f aca="false">IFERROR(VALUE(RIGHT(TRIM(F1898),4)),"")</f>
        <v>2017</v>
      </c>
      <c r="L1898" s="7" t="str">
        <f aca="false">IF(TRIM(E1898)="","Unknown",IFERROR(LEFT(TRIM(E1898),FIND(",",TRIM(E1898))-1),TRIM(E1898)))</f>
        <v>France</v>
      </c>
      <c r="M1898" s="7" t="str">
        <f aca="false">IFERROR(LEFT(J1898,FIND(",",J1898)-1),J1898)</f>
        <v>Dramas</v>
      </c>
      <c r="N1898" s="7" t="n">
        <f aca="false">IF(B1898="Movie",IFERROR(VALUE(LEFT(I1898,FIND(" ",I1898)-1)),""),"")</f>
        <v>99</v>
      </c>
      <c r="O1898" s="7" t="str">
        <f aca="false">IF(B1898="TV Show",IFERROR(VALUE(LEFT(I1898,FIND(" ",I1898)-1)),""),"")</f>
        <v/>
      </c>
      <c r="P1898" s="7" t="n">
        <f aca="false">IF(K1898="","",K1898-G1898)</f>
        <v>1</v>
      </c>
    </row>
    <row r="1899" customFormat="false" ht="15" hidden="false" customHeight="false" outlineLevel="0" collapsed="false">
      <c r="A1899" s="7" t="n">
        <v>70268489</v>
      </c>
      <c r="B1899" s="7" t="s">
        <v>68</v>
      </c>
      <c r="C1899" s="7" t="s">
        <v>4232</v>
      </c>
      <c r="D1899" s="7" t="s">
        <v>4233</v>
      </c>
      <c r="E1899" s="7" t="s">
        <v>27</v>
      </c>
      <c r="F1899" s="7" t="s">
        <v>4195</v>
      </c>
      <c r="G1899" s="7" t="n">
        <v>2013</v>
      </c>
      <c r="H1899" s="7" t="s">
        <v>53</v>
      </c>
      <c r="I1899" s="7" t="s">
        <v>194</v>
      </c>
      <c r="J1899" s="7" t="s">
        <v>240</v>
      </c>
      <c r="K1899" s="7" t="n">
        <f aca="false">IFERROR(VALUE(RIGHT(TRIM(F1899),4)),"")</f>
        <v>2017</v>
      </c>
      <c r="L1899" s="7" t="str">
        <f aca="false">IF(TRIM(E1899)="","Unknown",IFERROR(LEFT(TRIM(E1899),FIND(",",TRIM(E1899))-1),TRIM(E1899)))</f>
        <v>India</v>
      </c>
      <c r="M1899" s="7" t="str">
        <f aca="false">IFERROR(LEFT(J1899,FIND(",",J1899)-1),J1899)</f>
        <v>Dramas</v>
      </c>
      <c r="N1899" s="7" t="n">
        <f aca="false">IF(B1899="Movie",IFERROR(VALUE(LEFT(I1899,FIND(" ",I1899)-1)),""),"")</f>
        <v>125</v>
      </c>
      <c r="O1899" s="7" t="str">
        <f aca="false">IF(B1899="TV Show",IFERROR(VALUE(LEFT(I1899,FIND(" ",I1899)-1)),""),"")</f>
        <v/>
      </c>
      <c r="P1899" s="7" t="n">
        <f aca="false">IF(K1899="","",K1899-G1899)</f>
        <v>4</v>
      </c>
    </row>
    <row r="1900" customFormat="false" ht="15" hidden="false" customHeight="false" outlineLevel="0" collapsed="false">
      <c r="A1900" s="7" t="n">
        <v>80159732</v>
      </c>
      <c r="B1900" s="7" t="s">
        <v>78</v>
      </c>
      <c r="C1900" s="7" t="s">
        <v>4234</v>
      </c>
      <c r="E1900" s="7" t="s">
        <v>30</v>
      </c>
      <c r="F1900" s="7" t="s">
        <v>4195</v>
      </c>
      <c r="G1900" s="7" t="n">
        <v>2008</v>
      </c>
      <c r="H1900" s="7" t="s">
        <v>226</v>
      </c>
      <c r="I1900" s="7" t="s">
        <v>82</v>
      </c>
      <c r="J1900" s="7" t="s">
        <v>3446</v>
      </c>
      <c r="K1900" s="7" t="n">
        <f aca="false">IFERROR(VALUE(RIGHT(TRIM(F1900),4)),"")</f>
        <v>2017</v>
      </c>
      <c r="L1900" s="7" t="str">
        <f aca="false">IF(TRIM(E1900)="","Unknown",IFERROR(LEFT(TRIM(E1900),FIND(",",TRIM(E1900))-1),TRIM(E1900)))</f>
        <v>Japan</v>
      </c>
      <c r="M1900" s="7" t="str">
        <f aca="false">IFERROR(LEFT(J1900,FIND(",",J1900)-1),J1900)</f>
        <v>International TV Shows</v>
      </c>
      <c r="N1900" s="7" t="str">
        <f aca="false">IF(B1900="Movie",IFERROR(VALUE(LEFT(I1900,FIND(" ",I1900)-1)),""),"")</f>
        <v/>
      </c>
      <c r="O1900" s="7" t="n">
        <f aca="false">IF(B1900="TV Show",IFERROR(VALUE(LEFT(I1900,FIND(" ",I1900)-1)),""),"")</f>
        <v>1</v>
      </c>
      <c r="P1900" s="7" t="n">
        <f aca="false">IF(K1900="","",K1900-G1900)</f>
        <v>9</v>
      </c>
    </row>
    <row r="1901" customFormat="false" ht="15" hidden="false" customHeight="false" outlineLevel="0" collapsed="false">
      <c r="A1901" s="7" t="n">
        <v>80158588</v>
      </c>
      <c r="B1901" s="7" t="s">
        <v>68</v>
      </c>
      <c r="C1901" s="7" t="s">
        <v>4235</v>
      </c>
      <c r="D1901" s="7" t="s">
        <v>4236</v>
      </c>
      <c r="E1901" s="7" t="s">
        <v>28</v>
      </c>
      <c r="F1901" s="7" t="s">
        <v>4195</v>
      </c>
      <c r="G1901" s="7" t="n">
        <v>2017</v>
      </c>
      <c r="H1901" s="7" t="s">
        <v>50</v>
      </c>
      <c r="I1901" s="7" t="s">
        <v>2198</v>
      </c>
      <c r="J1901" s="7" t="s">
        <v>39</v>
      </c>
      <c r="K1901" s="7" t="n">
        <f aca="false">IFERROR(VALUE(RIGHT(TRIM(F1901),4)),"")</f>
        <v>2017</v>
      </c>
      <c r="L1901" s="7" t="str">
        <f aca="false">IF(TRIM(E1901)="","Unknown",IFERROR(LEFT(TRIM(E1901),FIND(",",TRIM(E1901))-1),TRIM(E1901)))</f>
        <v>United Kingdom</v>
      </c>
      <c r="M1901" s="7" t="str">
        <f aca="false">IFERROR(LEFT(J1901,FIND(",",J1901)-1),J1901)</f>
        <v>Documentaries</v>
      </c>
      <c r="N1901" s="7" t="n">
        <f aca="false">IF(B1901="Movie",IFERROR(VALUE(LEFT(I1901,FIND(" ",I1901)-1)),""),"")</f>
        <v>44</v>
      </c>
      <c r="O1901" s="7" t="str">
        <f aca="false">IF(B1901="TV Show",IFERROR(VALUE(LEFT(I1901,FIND(" ",I1901)-1)),""),"")</f>
        <v/>
      </c>
      <c r="P1901" s="7" t="n">
        <f aca="false">IF(K1901="","",K1901-G1901)</f>
        <v>0</v>
      </c>
    </row>
    <row r="1902" customFormat="false" ht="15" hidden="false" customHeight="false" outlineLevel="0" collapsed="false">
      <c r="A1902" s="7" t="n">
        <v>80178720</v>
      </c>
      <c r="B1902" s="7" t="s">
        <v>68</v>
      </c>
      <c r="C1902" s="7" t="s">
        <v>4237</v>
      </c>
      <c r="D1902" s="7" t="s">
        <v>1133</v>
      </c>
      <c r="E1902" s="7" t="s">
        <v>29</v>
      </c>
      <c r="F1902" s="7" t="s">
        <v>4195</v>
      </c>
      <c r="G1902" s="7" t="n">
        <v>2017</v>
      </c>
      <c r="H1902" s="7" t="s">
        <v>49</v>
      </c>
      <c r="I1902" s="7" t="s">
        <v>272</v>
      </c>
      <c r="J1902" s="7" t="s">
        <v>240</v>
      </c>
      <c r="K1902" s="7" t="n">
        <f aca="false">IFERROR(VALUE(RIGHT(TRIM(F1902),4)),"")</f>
        <v>2017</v>
      </c>
      <c r="L1902" s="7" t="str">
        <f aca="false">IF(TRIM(E1902)="","Unknown",IFERROR(LEFT(TRIM(E1902),FIND(",",TRIM(E1902))-1),TRIM(E1902)))</f>
        <v>Canada</v>
      </c>
      <c r="M1902" s="7" t="str">
        <f aca="false">IFERROR(LEFT(J1902,FIND(",",J1902)-1),J1902)</f>
        <v>Dramas</v>
      </c>
      <c r="N1902" s="7" t="n">
        <f aca="false">IF(B1902="Movie",IFERROR(VALUE(LEFT(I1902,FIND(" ",I1902)-1)),""),"")</f>
        <v>93</v>
      </c>
      <c r="O1902" s="7" t="str">
        <f aca="false">IF(B1902="TV Show",IFERROR(VALUE(LEFT(I1902,FIND(" ",I1902)-1)),""),"")</f>
        <v/>
      </c>
      <c r="P1902" s="7" t="n">
        <f aca="false">IF(K1902="","",K1902-G1902)</f>
        <v>0</v>
      </c>
    </row>
    <row r="1903" customFormat="false" ht="15" hidden="false" customHeight="false" outlineLevel="0" collapsed="false">
      <c r="A1903" s="7" t="n">
        <v>80106505</v>
      </c>
      <c r="B1903" s="7" t="s">
        <v>68</v>
      </c>
      <c r="C1903" s="7" t="s">
        <v>4238</v>
      </c>
      <c r="D1903" s="7" t="s">
        <v>4239</v>
      </c>
      <c r="E1903" s="7" t="s">
        <v>27</v>
      </c>
      <c r="F1903" s="7" t="s">
        <v>4195</v>
      </c>
      <c r="G1903" s="7" t="n">
        <v>2015</v>
      </c>
      <c r="H1903" s="7" t="s">
        <v>48</v>
      </c>
      <c r="I1903" s="7" t="s">
        <v>357</v>
      </c>
      <c r="J1903" s="7" t="s">
        <v>188</v>
      </c>
      <c r="K1903" s="7" t="n">
        <f aca="false">IFERROR(VALUE(RIGHT(TRIM(F1903),4)),"")</f>
        <v>2017</v>
      </c>
      <c r="L1903" s="7" t="str">
        <f aca="false">IF(TRIM(E1903)="","Unknown",IFERROR(LEFT(TRIM(E1903),FIND(",",TRIM(E1903))-1),TRIM(E1903)))</f>
        <v>India</v>
      </c>
      <c r="M1903" s="7" t="str">
        <f aca="false">IFERROR(LEFT(J1903,FIND(",",J1903)-1),J1903)</f>
        <v>Dramas</v>
      </c>
      <c r="N1903" s="7" t="n">
        <f aca="false">IF(B1903="Movie",IFERROR(VALUE(LEFT(I1903,FIND(" ",I1903)-1)),""),"")</f>
        <v>89</v>
      </c>
      <c r="O1903" s="7" t="str">
        <f aca="false">IF(B1903="TV Show",IFERROR(VALUE(LEFT(I1903,FIND(" ",I1903)-1)),""),"")</f>
        <v/>
      </c>
      <c r="P1903" s="7" t="n">
        <f aca="false">IF(K1903="","",K1903-G1903)</f>
        <v>2</v>
      </c>
    </row>
    <row r="1904" customFormat="false" ht="15" hidden="false" customHeight="false" outlineLevel="0" collapsed="false">
      <c r="A1904" s="7" t="n">
        <v>80169548</v>
      </c>
      <c r="B1904" s="7" t="s">
        <v>68</v>
      </c>
      <c r="C1904" s="7" t="s">
        <v>4240</v>
      </c>
      <c r="D1904" s="7" t="s">
        <v>4241</v>
      </c>
      <c r="E1904" s="7" t="s">
        <v>4242</v>
      </c>
      <c r="F1904" s="7" t="s">
        <v>4195</v>
      </c>
      <c r="G1904" s="7" t="n">
        <v>2017</v>
      </c>
      <c r="H1904" s="7" t="s">
        <v>49</v>
      </c>
      <c r="I1904" s="7" t="s">
        <v>311</v>
      </c>
      <c r="J1904" s="7" t="s">
        <v>1085</v>
      </c>
      <c r="K1904" s="7" t="n">
        <f aca="false">IFERROR(VALUE(RIGHT(TRIM(F1904),4)),"")</f>
        <v>2017</v>
      </c>
      <c r="L1904" s="7" t="str">
        <f aca="false">IF(TRIM(E1904)="","Unknown",IFERROR(LEFT(TRIM(E1904),FIND(",",TRIM(E1904))-1),TRIM(E1904)))</f>
        <v>United States</v>
      </c>
      <c r="M1904" s="7" t="str">
        <f aca="false">IFERROR(LEFT(J1904,FIND(",",J1904)-1),J1904)</f>
        <v>Documentaries</v>
      </c>
      <c r="N1904" s="7" t="n">
        <f aca="false">IF(B1904="Movie",IFERROR(VALUE(LEFT(I1904,FIND(" ",I1904)-1)),""),"")</f>
        <v>92</v>
      </c>
      <c r="O1904" s="7" t="str">
        <f aca="false">IF(B1904="TV Show",IFERROR(VALUE(LEFT(I1904,FIND(" ",I1904)-1)),""),"")</f>
        <v/>
      </c>
      <c r="P1904" s="7" t="n">
        <f aca="false">IF(K1904="","",K1904-G1904)</f>
        <v>0</v>
      </c>
    </row>
    <row r="1905" customFormat="false" ht="15" hidden="false" customHeight="false" outlineLevel="0" collapsed="false">
      <c r="A1905" s="7" t="n">
        <v>80015785</v>
      </c>
      <c r="B1905" s="7" t="s">
        <v>68</v>
      </c>
      <c r="C1905" s="7" t="s">
        <v>4243</v>
      </c>
      <c r="D1905" s="7" t="s">
        <v>4244</v>
      </c>
      <c r="E1905" s="7" t="s">
        <v>27</v>
      </c>
      <c r="F1905" s="7" t="s">
        <v>4195</v>
      </c>
      <c r="G1905" s="7" t="n">
        <v>2014</v>
      </c>
      <c r="H1905" s="7" t="s">
        <v>49</v>
      </c>
      <c r="I1905" s="7" t="s">
        <v>2551</v>
      </c>
      <c r="J1905" s="7" t="s">
        <v>1003</v>
      </c>
      <c r="K1905" s="7" t="n">
        <f aca="false">IFERROR(VALUE(RIGHT(TRIM(F1905),4)),"")</f>
        <v>2017</v>
      </c>
      <c r="L1905" s="7" t="str">
        <f aca="false">IF(TRIM(E1905)="","Unknown",IFERROR(LEFT(TRIM(E1905),FIND(",",TRIM(E1905))-1),TRIM(E1905)))</f>
        <v>India</v>
      </c>
      <c r="M1905" s="7" t="str">
        <f aca="false">IFERROR(LEFT(J1905,FIND(",",J1905)-1),J1905)</f>
        <v>Dramas</v>
      </c>
      <c r="N1905" s="7" t="n">
        <f aca="false">IF(B1905="Movie",IFERROR(VALUE(LEFT(I1905,FIND(" ",I1905)-1)),""),"")</f>
        <v>120</v>
      </c>
      <c r="O1905" s="7" t="str">
        <f aca="false">IF(B1905="TV Show",IFERROR(VALUE(LEFT(I1905,FIND(" ",I1905)-1)),""),"")</f>
        <v/>
      </c>
      <c r="P1905" s="7" t="n">
        <f aca="false">IF(K1905="","",K1905-G1905)</f>
        <v>3</v>
      </c>
    </row>
    <row r="1906" customFormat="false" ht="15" hidden="false" customHeight="false" outlineLevel="0" collapsed="false">
      <c r="A1906" s="7" t="n">
        <v>80097361</v>
      </c>
      <c r="B1906" s="7" t="s">
        <v>68</v>
      </c>
      <c r="C1906" s="7" t="s">
        <v>4245</v>
      </c>
      <c r="D1906" s="7" t="s">
        <v>4246</v>
      </c>
      <c r="E1906" s="7" t="s">
        <v>26</v>
      </c>
      <c r="F1906" s="7" t="s">
        <v>4195</v>
      </c>
      <c r="G1906" s="7" t="n">
        <v>2016</v>
      </c>
      <c r="H1906" s="7" t="s">
        <v>50</v>
      </c>
      <c r="I1906" s="7" t="s">
        <v>187</v>
      </c>
      <c r="J1906" s="7" t="s">
        <v>39</v>
      </c>
      <c r="K1906" s="7" t="n">
        <f aca="false">IFERROR(VALUE(RIGHT(TRIM(F1906),4)),"")</f>
        <v>2017</v>
      </c>
      <c r="L1906" s="7" t="str">
        <f aca="false">IF(TRIM(E1906)="","Unknown",IFERROR(LEFT(TRIM(E1906),FIND(",",TRIM(E1906))-1),TRIM(E1906)))</f>
        <v>United States</v>
      </c>
      <c r="M1906" s="7" t="str">
        <f aca="false">IFERROR(LEFT(J1906,FIND(",",J1906)-1),J1906)</f>
        <v>Documentaries</v>
      </c>
      <c r="N1906" s="7" t="n">
        <f aca="false">IF(B1906="Movie",IFERROR(VALUE(LEFT(I1906,FIND(" ",I1906)-1)),""),"")</f>
        <v>114</v>
      </c>
      <c r="O1906" s="7" t="str">
        <f aca="false">IF(B1906="TV Show",IFERROR(VALUE(LEFT(I1906,FIND(" ",I1906)-1)),""),"")</f>
        <v/>
      </c>
      <c r="P1906" s="7" t="n">
        <f aca="false">IF(K1906="","",K1906-G1906)</f>
        <v>1</v>
      </c>
    </row>
    <row r="1907" customFormat="false" ht="15" hidden="false" customHeight="false" outlineLevel="0" collapsed="false">
      <c r="A1907" s="7" t="n">
        <v>80176716</v>
      </c>
      <c r="B1907" s="7" t="s">
        <v>68</v>
      </c>
      <c r="C1907" s="7" t="s">
        <v>4247</v>
      </c>
      <c r="D1907" s="7" t="s">
        <v>4248</v>
      </c>
      <c r="E1907" s="7" t="s">
        <v>27</v>
      </c>
      <c r="F1907" s="7" t="s">
        <v>4195</v>
      </c>
      <c r="G1907" s="7" t="n">
        <v>2016</v>
      </c>
      <c r="H1907" s="7" t="s">
        <v>48</v>
      </c>
      <c r="I1907" s="7" t="s">
        <v>790</v>
      </c>
      <c r="J1907" s="7" t="s">
        <v>188</v>
      </c>
      <c r="K1907" s="7" t="n">
        <f aca="false">IFERROR(VALUE(RIGHT(TRIM(F1907),4)),"")</f>
        <v>2017</v>
      </c>
      <c r="L1907" s="7" t="str">
        <f aca="false">IF(TRIM(E1907)="","Unknown",IFERROR(LEFT(TRIM(E1907),FIND(",",TRIM(E1907))-1),TRIM(E1907)))</f>
        <v>India</v>
      </c>
      <c r="M1907" s="7" t="str">
        <f aca="false">IFERROR(LEFT(J1907,FIND(",",J1907)-1),J1907)</f>
        <v>Dramas</v>
      </c>
      <c r="N1907" s="7" t="n">
        <f aca="false">IF(B1907="Movie",IFERROR(VALUE(LEFT(I1907,FIND(" ",I1907)-1)),""),"")</f>
        <v>109</v>
      </c>
      <c r="O1907" s="7" t="str">
        <f aca="false">IF(B1907="TV Show",IFERROR(VALUE(LEFT(I1907,FIND(" ",I1907)-1)),""),"")</f>
        <v/>
      </c>
      <c r="P1907" s="7" t="n">
        <f aca="false">IF(K1907="","",K1907-G1907)</f>
        <v>1</v>
      </c>
    </row>
    <row r="1908" customFormat="false" ht="15" hidden="false" customHeight="false" outlineLevel="0" collapsed="false">
      <c r="A1908" s="7" t="n">
        <v>80132961</v>
      </c>
      <c r="B1908" s="7" t="s">
        <v>68</v>
      </c>
      <c r="C1908" s="7" t="s">
        <v>4249</v>
      </c>
      <c r="D1908" s="7" t="s">
        <v>4250</v>
      </c>
      <c r="E1908" s="7" t="s">
        <v>29</v>
      </c>
      <c r="F1908" s="7" t="s">
        <v>4195</v>
      </c>
      <c r="G1908" s="7" t="n">
        <v>2016</v>
      </c>
      <c r="H1908" s="7" t="s">
        <v>48</v>
      </c>
      <c r="I1908" s="7" t="s">
        <v>524</v>
      </c>
      <c r="J1908" s="7" t="s">
        <v>341</v>
      </c>
      <c r="K1908" s="7" t="n">
        <f aca="false">IFERROR(VALUE(RIGHT(TRIM(F1908),4)),"")</f>
        <v>2017</v>
      </c>
      <c r="L1908" s="7" t="str">
        <f aca="false">IF(TRIM(E1908)="","Unknown",IFERROR(LEFT(TRIM(E1908),FIND(",",TRIM(E1908))-1),TRIM(E1908)))</f>
        <v>Canada</v>
      </c>
      <c r="M1908" s="7" t="str">
        <f aca="false">IFERROR(LEFT(J1908,FIND(",",J1908)-1),J1908)</f>
        <v>Documentaries</v>
      </c>
      <c r="N1908" s="7" t="n">
        <f aca="false">IF(B1908="Movie",IFERROR(VALUE(LEFT(I1908,FIND(" ",I1908)-1)),""),"")</f>
        <v>83</v>
      </c>
      <c r="O1908" s="7" t="str">
        <f aca="false">IF(B1908="TV Show",IFERROR(VALUE(LEFT(I1908,FIND(" ",I1908)-1)),""),"")</f>
        <v/>
      </c>
      <c r="P1908" s="7" t="n">
        <f aca="false">IF(K1908="","",K1908-G1908)</f>
        <v>1</v>
      </c>
    </row>
    <row r="1909" customFormat="false" ht="15" hidden="false" customHeight="false" outlineLevel="0" collapsed="false">
      <c r="A1909" s="7" t="n">
        <v>80165857</v>
      </c>
      <c r="B1909" s="7" t="s">
        <v>68</v>
      </c>
      <c r="C1909" s="7" t="s">
        <v>4251</v>
      </c>
      <c r="D1909" s="7" t="s">
        <v>4252</v>
      </c>
      <c r="E1909" s="7" t="s">
        <v>27</v>
      </c>
      <c r="F1909" s="7" t="s">
        <v>4195</v>
      </c>
      <c r="G1909" s="7" t="n">
        <v>2014</v>
      </c>
      <c r="H1909" s="7" t="s">
        <v>49</v>
      </c>
      <c r="I1909" s="7" t="s">
        <v>294</v>
      </c>
      <c r="J1909" s="7" t="s">
        <v>206</v>
      </c>
      <c r="K1909" s="7" t="n">
        <f aca="false">IFERROR(VALUE(RIGHT(TRIM(F1909),4)),"")</f>
        <v>2017</v>
      </c>
      <c r="L1909" s="7" t="str">
        <f aca="false">IF(TRIM(E1909)="","Unknown",IFERROR(LEFT(TRIM(E1909),FIND(",",TRIM(E1909))-1),TRIM(E1909)))</f>
        <v>India</v>
      </c>
      <c r="M1909" s="7" t="str">
        <f aca="false">IFERROR(LEFT(J1909,FIND(",",J1909)-1),J1909)</f>
        <v>Comedies</v>
      </c>
      <c r="N1909" s="7" t="n">
        <f aca="false">IF(B1909="Movie",IFERROR(VALUE(LEFT(I1909,FIND(" ",I1909)-1)),""),"")</f>
        <v>107</v>
      </c>
      <c r="O1909" s="7" t="str">
        <f aca="false">IF(B1909="TV Show",IFERROR(VALUE(LEFT(I1909,FIND(" ",I1909)-1)),""),"")</f>
        <v/>
      </c>
      <c r="P1909" s="7" t="n">
        <f aca="false">IF(K1909="","",K1909-G1909)</f>
        <v>3</v>
      </c>
    </row>
    <row r="1910" customFormat="false" ht="15" hidden="false" customHeight="false" outlineLevel="0" collapsed="false">
      <c r="A1910" s="7" t="n">
        <v>70258366</v>
      </c>
      <c r="B1910" s="7" t="s">
        <v>68</v>
      </c>
      <c r="C1910" s="7" t="s">
        <v>4253</v>
      </c>
      <c r="D1910" s="7" t="s">
        <v>3349</v>
      </c>
      <c r="E1910" s="7" t="s">
        <v>27</v>
      </c>
      <c r="F1910" s="7" t="s">
        <v>4195</v>
      </c>
      <c r="G1910" s="7" t="n">
        <v>2012</v>
      </c>
      <c r="H1910" s="7" t="s">
        <v>50</v>
      </c>
      <c r="I1910" s="7" t="s">
        <v>2053</v>
      </c>
      <c r="J1910" s="7" t="s">
        <v>217</v>
      </c>
      <c r="K1910" s="7" t="n">
        <f aca="false">IFERROR(VALUE(RIGHT(TRIM(F1910),4)),"")</f>
        <v>2017</v>
      </c>
      <c r="L1910" s="7" t="str">
        <f aca="false">IF(TRIM(E1910)="","Unknown",IFERROR(LEFT(TRIM(E1910),FIND(",",TRIM(E1910))-1),TRIM(E1910)))</f>
        <v>India</v>
      </c>
      <c r="M1910" s="7" t="str">
        <f aca="false">IFERROR(LEFT(J1910,FIND(",",J1910)-1),J1910)</f>
        <v>Comedies</v>
      </c>
      <c r="N1910" s="7" t="n">
        <f aca="false">IF(B1910="Movie",IFERROR(VALUE(LEFT(I1910,FIND(" ",I1910)-1)),""),"")</f>
        <v>129</v>
      </c>
      <c r="O1910" s="7" t="str">
        <f aca="false">IF(B1910="TV Show",IFERROR(VALUE(LEFT(I1910,FIND(" ",I1910)-1)),""),"")</f>
        <v/>
      </c>
      <c r="P1910" s="7" t="n">
        <f aca="false">IF(K1910="","",K1910-G1910)</f>
        <v>5</v>
      </c>
    </row>
    <row r="1911" customFormat="false" ht="15" hidden="false" customHeight="false" outlineLevel="0" collapsed="false">
      <c r="A1911" s="7" t="n">
        <v>80165732</v>
      </c>
      <c r="B1911" s="7" t="s">
        <v>68</v>
      </c>
      <c r="C1911" s="7" t="s">
        <v>4254</v>
      </c>
      <c r="D1911" s="7" t="s">
        <v>4255</v>
      </c>
      <c r="E1911" s="7" t="s">
        <v>27</v>
      </c>
      <c r="F1911" s="7" t="s">
        <v>4195</v>
      </c>
      <c r="G1911" s="7" t="n">
        <v>2014</v>
      </c>
      <c r="H1911" s="7" t="s">
        <v>50</v>
      </c>
      <c r="I1911" s="7" t="s">
        <v>130</v>
      </c>
      <c r="J1911" s="7" t="s">
        <v>217</v>
      </c>
      <c r="K1911" s="7" t="n">
        <f aca="false">IFERROR(VALUE(RIGHT(TRIM(F1911),4)),"")</f>
        <v>2017</v>
      </c>
      <c r="L1911" s="7" t="str">
        <f aca="false">IF(TRIM(E1911)="","Unknown",IFERROR(LEFT(TRIM(E1911),FIND(",",TRIM(E1911))-1),TRIM(E1911)))</f>
        <v>India</v>
      </c>
      <c r="M1911" s="7" t="str">
        <f aca="false">IFERROR(LEFT(J1911,FIND(",",J1911)-1),J1911)</f>
        <v>Comedies</v>
      </c>
      <c r="N1911" s="7" t="n">
        <f aca="false">IF(B1911="Movie",IFERROR(VALUE(LEFT(I1911,FIND(" ",I1911)-1)),""),"")</f>
        <v>135</v>
      </c>
      <c r="O1911" s="7" t="str">
        <f aca="false">IF(B1911="TV Show",IFERROR(VALUE(LEFT(I1911,FIND(" ",I1911)-1)),""),"")</f>
        <v/>
      </c>
      <c r="P1911" s="7" t="n">
        <f aca="false">IF(K1911="","",K1911-G1911)</f>
        <v>3</v>
      </c>
    </row>
    <row r="1912" customFormat="false" ht="15" hidden="false" customHeight="false" outlineLevel="0" collapsed="false">
      <c r="A1912" s="7" t="n">
        <v>80165854</v>
      </c>
      <c r="B1912" s="7" t="s">
        <v>68</v>
      </c>
      <c r="C1912" s="7" t="s">
        <v>4256</v>
      </c>
      <c r="D1912" s="7" t="s">
        <v>4257</v>
      </c>
      <c r="E1912" s="7" t="s">
        <v>27</v>
      </c>
      <c r="F1912" s="7" t="s">
        <v>4195</v>
      </c>
      <c r="G1912" s="7" t="n">
        <v>2011</v>
      </c>
      <c r="H1912" s="7" t="s">
        <v>49</v>
      </c>
      <c r="I1912" s="7" t="s">
        <v>921</v>
      </c>
      <c r="J1912" s="7" t="s">
        <v>217</v>
      </c>
      <c r="K1912" s="7" t="n">
        <f aca="false">IFERROR(VALUE(RIGHT(TRIM(F1912),4)),"")</f>
        <v>2017</v>
      </c>
      <c r="L1912" s="7" t="str">
        <f aca="false">IF(TRIM(E1912)="","Unknown",IFERROR(LEFT(TRIM(E1912),FIND(",",TRIM(E1912))-1),TRIM(E1912)))</f>
        <v>India</v>
      </c>
      <c r="M1912" s="7" t="str">
        <f aca="false">IFERROR(LEFT(J1912,FIND(",",J1912)-1),J1912)</f>
        <v>Comedies</v>
      </c>
      <c r="N1912" s="7" t="n">
        <f aca="false">IF(B1912="Movie",IFERROR(VALUE(LEFT(I1912,FIND(" ",I1912)-1)),""),"")</f>
        <v>149</v>
      </c>
      <c r="O1912" s="7" t="str">
        <f aca="false">IF(B1912="TV Show",IFERROR(VALUE(LEFT(I1912,FIND(" ",I1912)-1)),""),"")</f>
        <v/>
      </c>
      <c r="P1912" s="7" t="n">
        <f aca="false">IF(K1912="","",K1912-G1912)</f>
        <v>6</v>
      </c>
    </row>
    <row r="1913" customFormat="false" ht="15" hidden="false" customHeight="false" outlineLevel="0" collapsed="false">
      <c r="A1913" s="7" t="n">
        <v>80083589</v>
      </c>
      <c r="B1913" s="7" t="s">
        <v>68</v>
      </c>
      <c r="C1913" s="7" t="s">
        <v>4258</v>
      </c>
      <c r="D1913" s="7" t="s">
        <v>4257</v>
      </c>
      <c r="E1913" s="7" t="s">
        <v>27</v>
      </c>
      <c r="F1913" s="7" t="s">
        <v>4195</v>
      </c>
      <c r="G1913" s="7" t="n">
        <v>2015</v>
      </c>
      <c r="H1913" s="7" t="s">
        <v>48</v>
      </c>
      <c r="I1913" s="7" t="s">
        <v>2183</v>
      </c>
      <c r="J1913" s="7" t="s">
        <v>217</v>
      </c>
      <c r="K1913" s="7" t="n">
        <f aca="false">IFERROR(VALUE(RIGHT(TRIM(F1913),4)),"")</f>
        <v>2017</v>
      </c>
      <c r="L1913" s="7" t="str">
        <f aca="false">IF(TRIM(E1913)="","Unknown",IFERROR(LEFT(TRIM(E1913),FIND(",",TRIM(E1913))-1),TRIM(E1913)))</f>
        <v>India</v>
      </c>
      <c r="M1913" s="7" t="str">
        <f aca="false">IFERROR(LEFT(J1913,FIND(",",J1913)-1),J1913)</f>
        <v>Comedies</v>
      </c>
      <c r="N1913" s="7" t="n">
        <f aca="false">IF(B1913="Movie",IFERROR(VALUE(LEFT(I1913,FIND(" ",I1913)-1)),""),"")</f>
        <v>136</v>
      </c>
      <c r="O1913" s="7" t="str">
        <f aca="false">IF(B1913="TV Show",IFERROR(VALUE(LEFT(I1913,FIND(" ",I1913)-1)),""),"")</f>
        <v/>
      </c>
      <c r="P1913" s="7" t="n">
        <f aca="false">IF(K1913="","",K1913-G1913)</f>
        <v>2</v>
      </c>
    </row>
    <row r="1914" customFormat="false" ht="15" hidden="false" customHeight="false" outlineLevel="0" collapsed="false">
      <c r="A1914" s="7" t="n">
        <v>80032081</v>
      </c>
      <c r="B1914" s="7" t="s">
        <v>68</v>
      </c>
      <c r="C1914" s="7" t="s">
        <v>4259</v>
      </c>
      <c r="D1914" s="7" t="s">
        <v>4260</v>
      </c>
      <c r="E1914" s="7" t="s">
        <v>27</v>
      </c>
      <c r="F1914" s="7" t="s">
        <v>4195</v>
      </c>
      <c r="G1914" s="7" t="n">
        <v>2014</v>
      </c>
      <c r="H1914" s="7" t="s">
        <v>48</v>
      </c>
      <c r="I1914" s="7" t="s">
        <v>919</v>
      </c>
      <c r="J1914" s="7" t="s">
        <v>217</v>
      </c>
      <c r="K1914" s="7" t="n">
        <f aca="false">IFERROR(VALUE(RIGHT(TRIM(F1914),4)),"")</f>
        <v>2017</v>
      </c>
      <c r="L1914" s="7" t="str">
        <f aca="false">IF(TRIM(E1914)="","Unknown",IFERROR(LEFT(TRIM(E1914),FIND(",",TRIM(E1914))-1),TRIM(E1914)))</f>
        <v>India</v>
      </c>
      <c r="M1914" s="7" t="str">
        <f aca="false">IFERROR(LEFT(J1914,FIND(",",J1914)-1),J1914)</f>
        <v>Comedies</v>
      </c>
      <c r="N1914" s="7" t="n">
        <f aca="false">IF(B1914="Movie",IFERROR(VALUE(LEFT(I1914,FIND(" ",I1914)-1)),""),"")</f>
        <v>138</v>
      </c>
      <c r="O1914" s="7" t="str">
        <f aca="false">IF(B1914="TV Show",IFERROR(VALUE(LEFT(I1914,FIND(" ",I1914)-1)),""),"")</f>
        <v/>
      </c>
      <c r="P1914" s="7" t="n">
        <f aca="false">IF(K1914="","",K1914-G1914)</f>
        <v>3</v>
      </c>
    </row>
    <row r="1915" customFormat="false" ht="15" hidden="false" customHeight="false" outlineLevel="0" collapsed="false">
      <c r="A1915" s="7" t="n">
        <v>17457962</v>
      </c>
      <c r="B1915" s="7" t="s">
        <v>68</v>
      </c>
      <c r="C1915" s="7" t="s">
        <v>4261</v>
      </c>
      <c r="D1915" s="7" t="s">
        <v>4262</v>
      </c>
      <c r="E1915" s="7" t="s">
        <v>27</v>
      </c>
      <c r="F1915" s="7" t="s">
        <v>4195</v>
      </c>
      <c r="G1915" s="7" t="n">
        <v>1996</v>
      </c>
      <c r="H1915" s="7" t="s">
        <v>49</v>
      </c>
      <c r="I1915" s="7" t="s">
        <v>4263</v>
      </c>
      <c r="J1915" s="7" t="s">
        <v>240</v>
      </c>
      <c r="K1915" s="7" t="n">
        <f aca="false">IFERROR(VALUE(RIGHT(TRIM(F1915),4)),"")</f>
        <v>2017</v>
      </c>
      <c r="L1915" s="7" t="str">
        <f aca="false">IF(TRIM(E1915)="","Unknown",IFERROR(LEFT(TRIM(E1915),FIND(",",TRIM(E1915))-1),TRIM(E1915)))</f>
        <v>India</v>
      </c>
      <c r="M1915" s="7" t="str">
        <f aca="false">IFERROR(LEFT(J1915,FIND(",",J1915)-1),J1915)</f>
        <v>Dramas</v>
      </c>
      <c r="N1915" s="7" t="n">
        <f aca="false">IF(B1915="Movie",IFERROR(VALUE(LEFT(I1915,FIND(" ",I1915)-1)),""),"")</f>
        <v>177</v>
      </c>
      <c r="O1915" s="7" t="str">
        <f aca="false">IF(B1915="TV Show",IFERROR(VALUE(LEFT(I1915,FIND(" ",I1915)-1)),""),"")</f>
        <v/>
      </c>
      <c r="P1915" s="7" t="n">
        <f aca="false">IF(K1915="","",K1915-G1915)</f>
        <v>21</v>
      </c>
    </row>
    <row r="1916" customFormat="false" ht="15" hidden="false" customHeight="false" outlineLevel="0" collapsed="false">
      <c r="A1916" s="7" t="n">
        <v>80182105</v>
      </c>
      <c r="B1916" s="7" t="s">
        <v>68</v>
      </c>
      <c r="C1916" s="7" t="s">
        <v>4264</v>
      </c>
      <c r="D1916" s="7" t="s">
        <v>4265</v>
      </c>
      <c r="E1916" s="7" t="s">
        <v>27</v>
      </c>
      <c r="F1916" s="7" t="s">
        <v>4195</v>
      </c>
      <c r="G1916" s="7" t="n">
        <v>2016</v>
      </c>
      <c r="H1916" s="7" t="s">
        <v>48</v>
      </c>
      <c r="I1916" s="7" t="s">
        <v>123</v>
      </c>
      <c r="J1916" s="7" t="s">
        <v>341</v>
      </c>
      <c r="K1916" s="7" t="n">
        <f aca="false">IFERROR(VALUE(RIGHT(TRIM(F1916),4)),"")</f>
        <v>2017</v>
      </c>
      <c r="L1916" s="7" t="str">
        <f aca="false">IF(TRIM(E1916)="","Unknown",IFERROR(LEFT(TRIM(E1916),FIND(",",TRIM(E1916))-1),TRIM(E1916)))</f>
        <v>India</v>
      </c>
      <c r="M1916" s="7" t="str">
        <f aca="false">IFERROR(LEFT(J1916,FIND(",",J1916)-1),J1916)</f>
        <v>Documentaries</v>
      </c>
      <c r="N1916" s="7" t="n">
        <f aca="false">IF(B1916="Movie",IFERROR(VALUE(LEFT(I1916,FIND(" ",I1916)-1)),""),"")</f>
        <v>61</v>
      </c>
      <c r="O1916" s="7" t="str">
        <f aca="false">IF(B1916="TV Show",IFERROR(VALUE(LEFT(I1916,FIND(" ",I1916)-1)),""),"")</f>
        <v/>
      </c>
      <c r="P1916" s="7" t="n">
        <f aca="false">IF(K1916="","",K1916-G1916)</f>
        <v>1</v>
      </c>
    </row>
    <row r="1917" customFormat="false" ht="15" hidden="false" customHeight="false" outlineLevel="0" collapsed="false">
      <c r="A1917" s="7" t="n">
        <v>80165855</v>
      </c>
      <c r="B1917" s="7" t="s">
        <v>68</v>
      </c>
      <c r="C1917" s="7" t="s">
        <v>4266</v>
      </c>
      <c r="D1917" s="7" t="s">
        <v>4267</v>
      </c>
      <c r="E1917" s="7" t="s">
        <v>27</v>
      </c>
      <c r="F1917" s="7" t="s">
        <v>4195</v>
      </c>
      <c r="G1917" s="7" t="n">
        <v>2011</v>
      </c>
      <c r="H1917" s="7" t="s">
        <v>48</v>
      </c>
      <c r="I1917" s="7" t="s">
        <v>235</v>
      </c>
      <c r="J1917" s="7" t="s">
        <v>2939</v>
      </c>
      <c r="K1917" s="7" t="n">
        <f aca="false">IFERROR(VALUE(RIGHT(TRIM(F1917),4)),"")</f>
        <v>2017</v>
      </c>
      <c r="L1917" s="7" t="str">
        <f aca="false">IF(TRIM(E1917)="","Unknown",IFERROR(LEFT(TRIM(E1917),FIND(",",TRIM(E1917))-1),TRIM(E1917)))</f>
        <v>India</v>
      </c>
      <c r="M1917" s="7" t="str">
        <f aca="false">IFERROR(LEFT(J1917,FIND(",",J1917)-1),J1917)</f>
        <v>Action &amp; Adventure</v>
      </c>
      <c r="N1917" s="7" t="n">
        <f aca="false">IF(B1917="Movie",IFERROR(VALUE(LEFT(I1917,FIND(" ",I1917)-1)),""),"")</f>
        <v>126</v>
      </c>
      <c r="O1917" s="7" t="str">
        <f aca="false">IF(B1917="TV Show",IFERROR(VALUE(LEFT(I1917,FIND(" ",I1917)-1)),""),"")</f>
        <v/>
      </c>
      <c r="P1917" s="7" t="n">
        <f aca="false">IF(K1917="","",K1917-G1917)</f>
        <v>6</v>
      </c>
    </row>
    <row r="1918" customFormat="false" ht="15" hidden="false" customHeight="false" outlineLevel="0" collapsed="false">
      <c r="A1918" s="7" t="n">
        <v>70273637</v>
      </c>
      <c r="B1918" s="7" t="s">
        <v>68</v>
      </c>
      <c r="C1918" s="7" t="s">
        <v>4268</v>
      </c>
      <c r="D1918" s="7" t="s">
        <v>3317</v>
      </c>
      <c r="E1918" s="7" t="s">
        <v>27</v>
      </c>
      <c r="F1918" s="7" t="s">
        <v>4195</v>
      </c>
      <c r="G1918" s="7" t="n">
        <v>2013</v>
      </c>
      <c r="H1918" s="7" t="s">
        <v>50</v>
      </c>
      <c r="I1918" s="7" t="s">
        <v>749</v>
      </c>
      <c r="J1918" s="7" t="s">
        <v>182</v>
      </c>
      <c r="K1918" s="7" t="n">
        <f aca="false">IFERROR(VALUE(RIGHT(TRIM(F1918),4)),"")</f>
        <v>2017</v>
      </c>
      <c r="L1918" s="7" t="str">
        <f aca="false">IF(TRIM(E1918)="","Unknown",IFERROR(LEFT(TRIM(E1918),FIND(",",TRIM(E1918))-1),TRIM(E1918)))</f>
        <v>India</v>
      </c>
      <c r="M1918" s="7" t="str">
        <f aca="false">IFERROR(LEFT(J1918,FIND(",",J1918)-1),J1918)</f>
        <v>Dramas</v>
      </c>
      <c r="N1918" s="7" t="n">
        <f aca="false">IF(B1918="Movie",IFERROR(VALUE(LEFT(I1918,FIND(" ",I1918)-1)),""),"")</f>
        <v>137</v>
      </c>
      <c r="O1918" s="7" t="str">
        <f aca="false">IF(B1918="TV Show",IFERROR(VALUE(LEFT(I1918,FIND(" ",I1918)-1)),""),"")</f>
        <v/>
      </c>
      <c r="P1918" s="7" t="n">
        <f aca="false">IF(K1918="","",K1918-G1918)</f>
        <v>4</v>
      </c>
    </row>
    <row r="1919" customFormat="false" ht="15" hidden="false" customHeight="false" outlineLevel="0" collapsed="false">
      <c r="A1919" s="7" t="n">
        <v>70176968</v>
      </c>
      <c r="B1919" s="7" t="s">
        <v>68</v>
      </c>
      <c r="C1919" s="7" t="s">
        <v>4269</v>
      </c>
      <c r="D1919" s="7" t="s">
        <v>3809</v>
      </c>
      <c r="E1919" s="7" t="s">
        <v>27</v>
      </c>
      <c r="F1919" s="7" t="s">
        <v>4195</v>
      </c>
      <c r="G1919" s="7" t="n">
        <v>2011</v>
      </c>
      <c r="H1919" s="7" t="s">
        <v>49</v>
      </c>
      <c r="I1919" s="7" t="s">
        <v>187</v>
      </c>
      <c r="J1919" s="7" t="s">
        <v>217</v>
      </c>
      <c r="K1919" s="7" t="n">
        <f aca="false">IFERROR(VALUE(RIGHT(TRIM(F1919),4)),"")</f>
        <v>2017</v>
      </c>
      <c r="L1919" s="7" t="str">
        <f aca="false">IF(TRIM(E1919)="","Unknown",IFERROR(LEFT(TRIM(E1919),FIND(",",TRIM(E1919))-1),TRIM(E1919)))</f>
        <v>India</v>
      </c>
      <c r="M1919" s="7" t="str">
        <f aca="false">IFERROR(LEFT(J1919,FIND(",",J1919)-1),J1919)</f>
        <v>Comedies</v>
      </c>
      <c r="N1919" s="7" t="n">
        <f aca="false">IF(B1919="Movie",IFERROR(VALUE(LEFT(I1919,FIND(" ",I1919)-1)),""),"")</f>
        <v>114</v>
      </c>
      <c r="O1919" s="7" t="str">
        <f aca="false">IF(B1919="TV Show",IFERROR(VALUE(LEFT(I1919,FIND(" ",I1919)-1)),""),"")</f>
        <v/>
      </c>
      <c r="P1919" s="7" t="n">
        <f aca="false">IF(K1919="","",K1919-G1919)</f>
        <v>6</v>
      </c>
    </row>
    <row r="1920" customFormat="false" ht="15" hidden="false" customHeight="false" outlineLevel="0" collapsed="false">
      <c r="A1920" s="7" t="n">
        <v>80173605</v>
      </c>
      <c r="B1920" s="7" t="s">
        <v>68</v>
      </c>
      <c r="C1920" s="7" t="s">
        <v>4270</v>
      </c>
      <c r="D1920" s="7" t="s">
        <v>4271</v>
      </c>
      <c r="E1920" s="7" t="s">
        <v>4272</v>
      </c>
      <c r="F1920" s="7" t="s">
        <v>4195</v>
      </c>
      <c r="G1920" s="7" t="n">
        <v>2016</v>
      </c>
      <c r="H1920" s="7" t="s">
        <v>48</v>
      </c>
      <c r="I1920" s="7" t="s">
        <v>417</v>
      </c>
      <c r="J1920" s="7" t="s">
        <v>304</v>
      </c>
      <c r="K1920" s="7" t="n">
        <f aca="false">IFERROR(VALUE(RIGHT(TRIM(F1920),4)),"")</f>
        <v>2017</v>
      </c>
      <c r="L1920" s="7" t="str">
        <f aca="false">IF(TRIM(E1920)="","Unknown",IFERROR(LEFT(TRIM(E1920),FIND(",",TRIM(E1920))-1),TRIM(E1920)))</f>
        <v>Spain</v>
      </c>
      <c r="M1920" s="7" t="str">
        <f aca="false">IFERROR(LEFT(J1920,FIND(",",J1920)-1),J1920)</f>
        <v>Dramas</v>
      </c>
      <c r="N1920" s="7" t="n">
        <f aca="false">IF(B1920="Movie",IFERROR(VALUE(LEFT(I1920,FIND(" ",I1920)-1)),""),"")</f>
        <v>104</v>
      </c>
      <c r="O1920" s="7" t="str">
        <f aca="false">IF(B1920="TV Show",IFERROR(VALUE(LEFT(I1920,FIND(" ",I1920)-1)),""),"")</f>
        <v/>
      </c>
      <c r="P1920" s="7" t="n">
        <f aca="false">IF(K1920="","",K1920-G1920)</f>
        <v>1</v>
      </c>
    </row>
    <row r="1921" customFormat="false" ht="15" hidden="false" customHeight="false" outlineLevel="0" collapsed="false">
      <c r="A1921" s="7" t="n">
        <v>80165856</v>
      </c>
      <c r="B1921" s="7" t="s">
        <v>68</v>
      </c>
      <c r="C1921" s="7" t="s">
        <v>4273</v>
      </c>
      <c r="D1921" s="7" t="s">
        <v>4274</v>
      </c>
      <c r="E1921" s="7" t="s">
        <v>27</v>
      </c>
      <c r="F1921" s="7" t="s">
        <v>4195</v>
      </c>
      <c r="G1921" s="7" t="n">
        <v>2013</v>
      </c>
      <c r="H1921" s="7" t="s">
        <v>49</v>
      </c>
      <c r="I1921" s="7" t="s">
        <v>138</v>
      </c>
      <c r="J1921" s="7" t="s">
        <v>202</v>
      </c>
      <c r="K1921" s="7" t="n">
        <f aca="false">IFERROR(VALUE(RIGHT(TRIM(F1921),4)),"")</f>
        <v>2017</v>
      </c>
      <c r="L1921" s="7" t="str">
        <f aca="false">IF(TRIM(E1921)="","Unknown",IFERROR(LEFT(TRIM(E1921),FIND(",",TRIM(E1921))-1),TRIM(E1921)))</f>
        <v>India</v>
      </c>
      <c r="M1921" s="7" t="str">
        <f aca="false">IFERROR(LEFT(J1921,FIND(",",J1921)-1),J1921)</f>
        <v>Comedies</v>
      </c>
      <c r="N1921" s="7" t="n">
        <f aca="false">IF(B1921="Movie",IFERROR(VALUE(LEFT(I1921,FIND(" ",I1921)-1)),""),"")</f>
        <v>96</v>
      </c>
      <c r="O1921" s="7" t="str">
        <f aca="false">IF(B1921="TV Show",IFERROR(VALUE(LEFT(I1921,FIND(" ",I1921)-1)),""),"")</f>
        <v/>
      </c>
      <c r="P1921" s="7" t="n">
        <f aca="false">IF(K1921="","",K1921-G1921)</f>
        <v>4</v>
      </c>
    </row>
    <row r="1922" customFormat="false" ht="15" hidden="false" customHeight="false" outlineLevel="0" collapsed="false">
      <c r="A1922" s="7" t="n">
        <v>70308135</v>
      </c>
      <c r="B1922" s="7" t="s">
        <v>68</v>
      </c>
      <c r="C1922" s="7" t="s">
        <v>4275</v>
      </c>
      <c r="D1922" s="7" t="s">
        <v>3950</v>
      </c>
      <c r="E1922" s="7" t="s">
        <v>27</v>
      </c>
      <c r="F1922" s="7" t="s">
        <v>4195</v>
      </c>
      <c r="G1922" s="7" t="n">
        <v>2013</v>
      </c>
      <c r="H1922" s="7" t="s">
        <v>49</v>
      </c>
      <c r="I1922" s="7" t="s">
        <v>1989</v>
      </c>
      <c r="J1922" s="7" t="s">
        <v>139</v>
      </c>
      <c r="K1922" s="7" t="n">
        <f aca="false">IFERROR(VALUE(RIGHT(TRIM(F1922),4)),"")</f>
        <v>2017</v>
      </c>
      <c r="L1922" s="7" t="str">
        <f aca="false">IF(TRIM(E1922)="","Unknown",IFERROR(LEFT(TRIM(E1922),FIND(",",TRIM(E1922))-1),TRIM(E1922)))</f>
        <v>India</v>
      </c>
      <c r="M1922" s="7" t="str">
        <f aca="false">IFERROR(LEFT(J1922,FIND(",",J1922)-1),J1922)</f>
        <v>Action &amp; Adventure</v>
      </c>
      <c r="N1922" s="7" t="n">
        <f aca="false">IF(B1922="Movie",IFERROR(VALUE(LEFT(I1922,FIND(" ",I1922)-1)),""),"")</f>
        <v>147</v>
      </c>
      <c r="O1922" s="7" t="str">
        <f aca="false">IF(B1922="TV Show",IFERROR(VALUE(LEFT(I1922,FIND(" ",I1922)-1)),""),"")</f>
        <v/>
      </c>
      <c r="P1922" s="7" t="n">
        <f aca="false">IF(K1922="","",K1922-G1922)</f>
        <v>4</v>
      </c>
    </row>
    <row r="1923" customFormat="false" ht="15" hidden="false" customHeight="false" outlineLevel="0" collapsed="false">
      <c r="A1923" s="7" t="n">
        <v>80101903</v>
      </c>
      <c r="B1923" s="7" t="s">
        <v>68</v>
      </c>
      <c r="C1923" s="7" t="s">
        <v>4276</v>
      </c>
      <c r="D1923" s="7" t="s">
        <v>4277</v>
      </c>
      <c r="F1923" s="7" t="s">
        <v>4278</v>
      </c>
      <c r="G1923" s="7" t="n">
        <v>2016</v>
      </c>
      <c r="H1923" s="7" t="s">
        <v>49</v>
      </c>
      <c r="I1923" s="7" t="s">
        <v>1131</v>
      </c>
      <c r="J1923" s="7" t="s">
        <v>10</v>
      </c>
      <c r="K1923" s="7" t="n">
        <f aca="false">IFERROR(VALUE(RIGHT(TRIM(F1923),4)),"")</f>
        <v>2016</v>
      </c>
      <c r="L1923" s="7" t="str">
        <f aca="false">IF(TRIM(E1923)="","Unknown",IFERROR(LEFT(TRIM(E1923),FIND(",",TRIM(E1923))-1),TRIM(E1923)))</f>
        <v>Unknown</v>
      </c>
      <c r="M1923" s="7" t="str">
        <f aca="false">IFERROR(LEFT(J1923,FIND(",",J1923)-1),J1923)</f>
        <v>Movies</v>
      </c>
      <c r="N1923" s="7" t="n">
        <f aca="false">IF(B1923="Movie",IFERROR(VALUE(LEFT(I1923,FIND(" ",I1923)-1)),""),"")</f>
        <v>29</v>
      </c>
      <c r="O1923" s="7" t="str">
        <f aca="false">IF(B1923="TV Show",IFERROR(VALUE(LEFT(I1923,FIND(" ",I1923)-1)),""),"")</f>
        <v/>
      </c>
      <c r="P1923" s="7" t="n">
        <f aca="false">IF(K1923="","",K1923-G1923)</f>
        <v>0</v>
      </c>
    </row>
    <row r="1924" customFormat="false" ht="15" hidden="false" customHeight="false" outlineLevel="0" collapsed="false">
      <c r="A1924" s="7" t="n">
        <v>80093103</v>
      </c>
      <c r="B1924" s="7" t="s">
        <v>68</v>
      </c>
      <c r="C1924" s="7" t="s">
        <v>4279</v>
      </c>
      <c r="D1924" s="7" t="s">
        <v>4280</v>
      </c>
      <c r="E1924" s="7" t="s">
        <v>33</v>
      </c>
      <c r="F1924" s="7" t="s">
        <v>4278</v>
      </c>
      <c r="G1924" s="7" t="n">
        <v>2015</v>
      </c>
      <c r="H1924" s="7" t="s">
        <v>48</v>
      </c>
      <c r="I1924" s="7" t="s">
        <v>383</v>
      </c>
      <c r="J1924" s="7" t="s">
        <v>240</v>
      </c>
      <c r="K1924" s="7" t="n">
        <f aca="false">IFERROR(VALUE(RIGHT(TRIM(F1924),4)),"")</f>
        <v>2016</v>
      </c>
      <c r="L1924" s="7" t="str">
        <f aca="false">IF(TRIM(E1924)="","Unknown",IFERROR(LEFT(TRIM(E1924),FIND(",",TRIM(E1924))-1),TRIM(E1924)))</f>
        <v>Spain</v>
      </c>
      <c r="M1924" s="7" t="str">
        <f aca="false">IFERROR(LEFT(J1924,FIND(",",J1924)-1),J1924)</f>
        <v>Dramas</v>
      </c>
      <c r="N1924" s="7" t="n">
        <f aca="false">IF(B1924="Movie",IFERROR(VALUE(LEFT(I1924,FIND(" ",I1924)-1)),""),"")</f>
        <v>163</v>
      </c>
      <c r="O1924" s="7" t="str">
        <f aca="false">IF(B1924="TV Show",IFERROR(VALUE(LEFT(I1924,FIND(" ",I1924)-1)),""),"")</f>
        <v/>
      </c>
      <c r="P1924" s="7" t="n">
        <f aca="false">IF(K1924="","",K1924-G1924)</f>
        <v>1</v>
      </c>
    </row>
    <row r="1925" customFormat="false" ht="15" hidden="false" customHeight="false" outlineLevel="0" collapsed="false">
      <c r="A1925" s="7" t="n">
        <v>80102305</v>
      </c>
      <c r="B1925" s="7" t="s">
        <v>68</v>
      </c>
      <c r="C1925" s="7" t="s">
        <v>4281</v>
      </c>
      <c r="D1925" s="7" t="s">
        <v>4282</v>
      </c>
      <c r="E1925" s="7" t="s">
        <v>31</v>
      </c>
      <c r="F1925" s="7" t="s">
        <v>4278</v>
      </c>
      <c r="G1925" s="7" t="n">
        <v>2015</v>
      </c>
      <c r="H1925" s="7" t="s">
        <v>50</v>
      </c>
      <c r="I1925" s="7" t="s">
        <v>134</v>
      </c>
      <c r="J1925" s="7" t="s">
        <v>341</v>
      </c>
      <c r="K1925" s="7" t="n">
        <f aca="false">IFERROR(VALUE(RIGHT(TRIM(F1925),4)),"")</f>
        <v>2016</v>
      </c>
      <c r="L1925" s="7" t="str">
        <f aca="false">IF(TRIM(E1925)="","Unknown",IFERROR(LEFT(TRIM(E1925),FIND(",",TRIM(E1925))-1),TRIM(E1925)))</f>
        <v>France</v>
      </c>
      <c r="M1925" s="7" t="str">
        <f aca="false">IFERROR(LEFT(J1925,FIND(",",J1925)-1),J1925)</f>
        <v>Documentaries</v>
      </c>
      <c r="N1925" s="7" t="n">
        <f aca="false">IF(B1925="Movie",IFERROR(VALUE(LEFT(I1925,FIND(" ",I1925)-1)),""),"")</f>
        <v>98</v>
      </c>
      <c r="O1925" s="7" t="str">
        <f aca="false">IF(B1925="TV Show",IFERROR(VALUE(LEFT(I1925,FIND(" ",I1925)-1)),""),"")</f>
        <v/>
      </c>
      <c r="P1925" s="7" t="n">
        <f aca="false">IF(K1925="","",K1925-G1925)</f>
        <v>1</v>
      </c>
    </row>
    <row r="1926" customFormat="false" ht="15" hidden="false" customHeight="false" outlineLevel="0" collapsed="false">
      <c r="A1926" s="7" t="n">
        <v>70176655</v>
      </c>
      <c r="B1926" s="7" t="s">
        <v>68</v>
      </c>
      <c r="C1926" s="7" t="s">
        <v>4283</v>
      </c>
      <c r="D1926" s="7" t="s">
        <v>3994</v>
      </c>
      <c r="E1926" s="7" t="s">
        <v>230</v>
      </c>
      <c r="F1926" s="7" t="s">
        <v>4284</v>
      </c>
      <c r="G1926" s="7" t="n">
        <v>2011</v>
      </c>
      <c r="H1926" s="7" t="s">
        <v>52</v>
      </c>
      <c r="I1926" s="7" t="s">
        <v>494</v>
      </c>
      <c r="J1926" s="7" t="s">
        <v>1414</v>
      </c>
      <c r="K1926" s="7" t="n">
        <f aca="false">IFERROR(VALUE(RIGHT(TRIM(F1926),4)),"")</f>
        <v>2019</v>
      </c>
      <c r="L1926" s="7" t="str">
        <f aca="false">IF(TRIM(E1926)="","Unknown",IFERROR(LEFT(TRIM(E1926),FIND(",",TRIM(E1926))-1),TRIM(E1926)))</f>
        <v>United States</v>
      </c>
      <c r="M1926" s="7" t="str">
        <f aca="false">IFERROR(LEFT(J1926,FIND(",",J1926)-1),J1926)</f>
        <v>Horror Movies</v>
      </c>
      <c r="N1926" s="7" t="n">
        <f aca="false">IF(B1926="Movie",IFERROR(VALUE(LEFT(I1926,FIND(" ",I1926)-1)),""),"")</f>
        <v>87</v>
      </c>
      <c r="O1926" s="7" t="str">
        <f aca="false">IF(B1926="TV Show",IFERROR(VALUE(LEFT(I1926,FIND(" ",I1926)-1)),""),"")</f>
        <v/>
      </c>
      <c r="P1926" s="7" t="n">
        <f aca="false">IF(K1926="","",K1926-G1926)</f>
        <v>8</v>
      </c>
    </row>
    <row r="1927" customFormat="false" ht="15" hidden="false" customHeight="false" outlineLevel="0" collapsed="false">
      <c r="A1927" s="7" t="n">
        <v>80161848</v>
      </c>
      <c r="B1927" s="7" t="s">
        <v>78</v>
      </c>
      <c r="C1927" s="7" t="s">
        <v>4285</v>
      </c>
      <c r="D1927" s="7" t="s">
        <v>4286</v>
      </c>
      <c r="E1927" s="7" t="s">
        <v>30</v>
      </c>
      <c r="F1927" s="7" t="s">
        <v>4287</v>
      </c>
      <c r="G1927" s="7" t="n">
        <v>2018</v>
      </c>
      <c r="H1927" s="7" t="s">
        <v>49</v>
      </c>
      <c r="I1927" s="7" t="s">
        <v>82</v>
      </c>
      <c r="J1927" s="7" t="s">
        <v>542</v>
      </c>
      <c r="K1927" s="7" t="n">
        <f aca="false">IFERROR(VALUE(RIGHT(TRIM(F1927),4)),"")</f>
        <v>2018</v>
      </c>
      <c r="L1927" s="7" t="str">
        <f aca="false">IF(TRIM(E1927)="","Unknown",IFERROR(LEFT(TRIM(E1927),FIND(",",TRIM(E1927))-1),TRIM(E1927)))</f>
        <v>Japan</v>
      </c>
      <c r="M1927" s="7" t="str">
        <f aca="false">IFERROR(LEFT(J1927,FIND(",",J1927)-1),J1927)</f>
        <v>Anime Series</v>
      </c>
      <c r="N1927" s="7" t="str">
        <f aca="false">IF(B1927="Movie",IFERROR(VALUE(LEFT(I1927,FIND(" ",I1927)-1)),""),"")</f>
        <v/>
      </c>
      <c r="O1927" s="7" t="n">
        <f aca="false">IF(B1927="TV Show",IFERROR(VALUE(LEFT(I1927,FIND(" ",I1927)-1)),""),"")</f>
        <v>1</v>
      </c>
      <c r="P1927" s="7" t="n">
        <f aca="false">IF(K1927="","",K1927-G1927)</f>
        <v>0</v>
      </c>
    </row>
    <row r="1928" customFormat="false" ht="15" hidden="false" customHeight="false" outlineLevel="0" collapsed="false">
      <c r="A1928" s="7" t="n">
        <v>80185171</v>
      </c>
      <c r="B1928" s="7" t="s">
        <v>78</v>
      </c>
      <c r="C1928" s="7" t="s">
        <v>4288</v>
      </c>
      <c r="E1928" s="7" t="s">
        <v>317</v>
      </c>
      <c r="F1928" s="7" t="s">
        <v>4287</v>
      </c>
      <c r="G1928" s="7" t="n">
        <v>2018</v>
      </c>
      <c r="H1928" s="7" t="s">
        <v>48</v>
      </c>
      <c r="I1928" s="7" t="s">
        <v>82</v>
      </c>
      <c r="J1928" s="7" t="s">
        <v>563</v>
      </c>
      <c r="K1928" s="7" t="n">
        <f aca="false">IFERROR(VALUE(RIGHT(TRIM(F1928),4)),"")</f>
        <v>2018</v>
      </c>
      <c r="L1928" s="7" t="str">
        <f aca="false">IF(TRIM(E1928)="","Unknown",IFERROR(LEFT(TRIM(E1928),FIND(",",TRIM(E1928))-1),TRIM(E1928)))</f>
        <v>United Kingdom</v>
      </c>
      <c r="M1928" s="7" t="str">
        <f aca="false">IFERROR(LEFT(J1928,FIND(",",J1928)-1),J1928)</f>
        <v>British TV Shows</v>
      </c>
      <c r="N1928" s="7" t="str">
        <f aca="false">IF(B1928="Movie",IFERROR(VALUE(LEFT(I1928,FIND(" ",I1928)-1)),""),"")</f>
        <v/>
      </c>
      <c r="O1928" s="7" t="n">
        <f aca="false">IF(B1928="TV Show",IFERROR(VALUE(LEFT(I1928,FIND(" ",I1928)-1)),""),"")</f>
        <v>1</v>
      </c>
      <c r="P1928" s="7" t="n">
        <f aca="false">IF(K1928="","",K1928-G1928)</f>
        <v>0</v>
      </c>
    </row>
    <row r="1929" customFormat="false" ht="15" hidden="false" customHeight="false" outlineLevel="0" collapsed="false">
      <c r="A1929" s="7" t="n">
        <v>80209796</v>
      </c>
      <c r="B1929" s="7" t="s">
        <v>68</v>
      </c>
      <c r="C1929" s="7" t="s">
        <v>4289</v>
      </c>
      <c r="D1929" s="7" t="s">
        <v>4290</v>
      </c>
      <c r="E1929" s="7" t="s">
        <v>29</v>
      </c>
      <c r="F1929" s="7" t="s">
        <v>4287</v>
      </c>
      <c r="G1929" s="7" t="n">
        <v>2017</v>
      </c>
      <c r="H1929" s="7" t="s">
        <v>50</v>
      </c>
      <c r="I1929" s="7" t="s">
        <v>77</v>
      </c>
      <c r="J1929" s="7" t="s">
        <v>37</v>
      </c>
      <c r="K1929" s="7" t="n">
        <f aca="false">IFERROR(VALUE(RIGHT(TRIM(F1929),4)),"")</f>
        <v>2018</v>
      </c>
      <c r="L1929" s="7" t="str">
        <f aca="false">IF(TRIM(E1929)="","Unknown",IFERROR(LEFT(TRIM(E1929),FIND(",",TRIM(E1929))-1),TRIM(E1929)))</f>
        <v>Canada</v>
      </c>
      <c r="M1929" s="7" t="str">
        <f aca="false">IFERROR(LEFT(J1929,FIND(",",J1929)-1),J1929)</f>
        <v>Dramas</v>
      </c>
      <c r="N1929" s="7" t="n">
        <f aca="false">IF(B1929="Movie",IFERROR(VALUE(LEFT(I1929,FIND(" ",I1929)-1)),""),"")</f>
        <v>94</v>
      </c>
      <c r="O1929" s="7" t="str">
        <f aca="false">IF(B1929="TV Show",IFERROR(VALUE(LEFT(I1929,FIND(" ",I1929)-1)),""),"")</f>
        <v/>
      </c>
      <c r="P1929" s="7" t="n">
        <f aca="false">IF(K1929="","",K1929-G1929)</f>
        <v>1</v>
      </c>
    </row>
    <row r="1930" customFormat="false" ht="15" hidden="false" customHeight="false" outlineLevel="0" collapsed="false">
      <c r="A1930" s="7" t="n">
        <v>80152434</v>
      </c>
      <c r="B1930" s="7" t="s">
        <v>68</v>
      </c>
      <c r="C1930" s="7" t="s">
        <v>706</v>
      </c>
      <c r="D1930" s="7" t="s">
        <v>4291</v>
      </c>
      <c r="E1930" s="7" t="s">
        <v>26</v>
      </c>
      <c r="F1930" s="7" t="s">
        <v>4287</v>
      </c>
      <c r="G1930" s="7" t="n">
        <v>2018</v>
      </c>
      <c r="H1930" s="7" t="s">
        <v>48</v>
      </c>
      <c r="I1930" s="7" t="s">
        <v>505</v>
      </c>
      <c r="J1930" s="7" t="s">
        <v>597</v>
      </c>
      <c r="K1930" s="7" t="n">
        <f aca="false">IFERROR(VALUE(RIGHT(TRIM(F1930),4)),"")</f>
        <v>2018</v>
      </c>
      <c r="L1930" s="7" t="str">
        <f aca="false">IF(TRIM(E1930)="","Unknown",IFERROR(LEFT(TRIM(E1930),FIND(",",TRIM(E1930))-1),TRIM(E1930)))</f>
        <v>United States</v>
      </c>
      <c r="M1930" s="7" t="str">
        <f aca="false">IFERROR(LEFT(J1930,FIND(",",J1930)-1),J1930)</f>
        <v>Dramas</v>
      </c>
      <c r="N1930" s="7" t="n">
        <f aca="false">IF(B1930="Movie",IFERROR(VALUE(LEFT(I1930,FIND(" ",I1930)-1)),""),"")</f>
        <v>121</v>
      </c>
      <c r="O1930" s="7" t="str">
        <f aca="false">IF(B1930="TV Show",IFERROR(VALUE(LEFT(I1930,FIND(" ",I1930)-1)),""),"")</f>
        <v/>
      </c>
      <c r="P1930" s="7" t="n">
        <f aca="false">IF(K1930="","",K1930-G1930)</f>
        <v>0</v>
      </c>
    </row>
    <row r="1931" customFormat="false" ht="15" hidden="false" customHeight="false" outlineLevel="0" collapsed="false">
      <c r="A1931" s="7" t="n">
        <v>70309693</v>
      </c>
      <c r="B1931" s="7" t="s">
        <v>68</v>
      </c>
      <c r="C1931" s="7" t="s">
        <v>4292</v>
      </c>
      <c r="D1931" s="7" t="s">
        <v>4293</v>
      </c>
      <c r="E1931" s="7" t="s">
        <v>26</v>
      </c>
      <c r="F1931" s="7" t="s">
        <v>4294</v>
      </c>
      <c r="G1931" s="7" t="n">
        <v>2014</v>
      </c>
      <c r="H1931" s="7" t="s">
        <v>51</v>
      </c>
      <c r="I1931" s="7" t="s">
        <v>311</v>
      </c>
      <c r="J1931" s="7" t="s">
        <v>150</v>
      </c>
      <c r="K1931" s="7" t="n">
        <f aca="false">IFERROR(VALUE(RIGHT(TRIM(F1931),4)),"")</f>
        <v>2017</v>
      </c>
      <c r="L1931" s="7" t="str">
        <f aca="false">IF(TRIM(E1931)="","Unknown",IFERROR(LEFT(TRIM(E1931),FIND(",",TRIM(E1931))-1),TRIM(E1931)))</f>
        <v>United States</v>
      </c>
      <c r="M1931" s="7" t="str">
        <f aca="false">IFERROR(LEFT(J1931,FIND(",",J1931)-1),J1931)</f>
        <v>Dramas</v>
      </c>
      <c r="N1931" s="7" t="n">
        <f aca="false">IF(B1931="Movie",IFERROR(VALUE(LEFT(I1931,FIND(" ",I1931)-1)),""),"")</f>
        <v>92</v>
      </c>
      <c r="O1931" s="7" t="str">
        <f aca="false">IF(B1931="TV Show",IFERROR(VALUE(LEFT(I1931,FIND(" ",I1931)-1)),""),"")</f>
        <v/>
      </c>
      <c r="P1931" s="7" t="n">
        <f aca="false">IF(K1931="","",K1931-G1931)</f>
        <v>3</v>
      </c>
    </row>
    <row r="1932" customFormat="false" ht="15" hidden="false" customHeight="false" outlineLevel="0" collapsed="false">
      <c r="A1932" s="7" t="n">
        <v>80107737</v>
      </c>
      <c r="B1932" s="7" t="s">
        <v>68</v>
      </c>
      <c r="C1932" s="7" t="s">
        <v>4295</v>
      </c>
      <c r="D1932" s="7" t="s">
        <v>4296</v>
      </c>
      <c r="E1932" s="7" t="s">
        <v>26</v>
      </c>
      <c r="F1932" s="7" t="s">
        <v>4294</v>
      </c>
      <c r="G1932" s="7" t="n">
        <v>2016</v>
      </c>
      <c r="H1932" s="7" t="s">
        <v>48</v>
      </c>
      <c r="I1932" s="7" t="s">
        <v>311</v>
      </c>
      <c r="J1932" s="7" t="s">
        <v>39</v>
      </c>
      <c r="K1932" s="7" t="n">
        <f aca="false">IFERROR(VALUE(RIGHT(TRIM(F1932),4)),"")</f>
        <v>2017</v>
      </c>
      <c r="L1932" s="7" t="str">
        <f aca="false">IF(TRIM(E1932)="","Unknown",IFERROR(LEFT(TRIM(E1932),FIND(",",TRIM(E1932))-1),TRIM(E1932)))</f>
        <v>United States</v>
      </c>
      <c r="M1932" s="7" t="str">
        <f aca="false">IFERROR(LEFT(J1932,FIND(",",J1932)-1),J1932)</f>
        <v>Documentaries</v>
      </c>
      <c r="N1932" s="7" t="n">
        <f aca="false">IF(B1932="Movie",IFERROR(VALUE(LEFT(I1932,FIND(" ",I1932)-1)),""),"")</f>
        <v>92</v>
      </c>
      <c r="O1932" s="7" t="str">
        <f aca="false">IF(B1932="TV Show",IFERROR(VALUE(LEFT(I1932,FIND(" ",I1932)-1)),""),"")</f>
        <v/>
      </c>
      <c r="P1932" s="7" t="n">
        <f aca="false">IF(K1932="","",K1932-G1932)</f>
        <v>1</v>
      </c>
    </row>
    <row r="1933" customFormat="false" ht="15" hidden="false" customHeight="false" outlineLevel="0" collapsed="false">
      <c r="A1933" s="7" t="n">
        <v>80098305</v>
      </c>
      <c r="B1933" s="7" t="s">
        <v>68</v>
      </c>
      <c r="C1933" s="7" t="s">
        <v>4297</v>
      </c>
      <c r="D1933" s="7" t="s">
        <v>4298</v>
      </c>
      <c r="E1933" s="7" t="s">
        <v>28</v>
      </c>
      <c r="F1933" s="7" t="s">
        <v>4294</v>
      </c>
      <c r="G1933" s="7" t="n">
        <v>2015</v>
      </c>
      <c r="H1933" s="7" t="s">
        <v>48</v>
      </c>
      <c r="I1933" s="7" t="s">
        <v>470</v>
      </c>
      <c r="J1933" s="7" t="s">
        <v>341</v>
      </c>
      <c r="K1933" s="7" t="n">
        <f aca="false">IFERROR(VALUE(RIGHT(TRIM(F1933),4)),"")</f>
        <v>2017</v>
      </c>
      <c r="L1933" s="7" t="str">
        <f aca="false">IF(TRIM(E1933)="","Unknown",IFERROR(LEFT(TRIM(E1933),FIND(",",TRIM(E1933))-1),TRIM(E1933)))</f>
        <v>United Kingdom</v>
      </c>
      <c r="M1933" s="7" t="str">
        <f aca="false">IFERROR(LEFT(J1933,FIND(",",J1933)-1),J1933)</f>
        <v>Documentaries</v>
      </c>
      <c r="N1933" s="7" t="n">
        <f aca="false">IF(B1933="Movie",IFERROR(VALUE(LEFT(I1933,FIND(" ",I1933)-1)),""),"")</f>
        <v>91</v>
      </c>
      <c r="O1933" s="7" t="str">
        <f aca="false">IF(B1933="TV Show",IFERROR(VALUE(LEFT(I1933,FIND(" ",I1933)-1)),""),"")</f>
        <v/>
      </c>
      <c r="P1933" s="7" t="n">
        <f aca="false">IF(K1933="","",K1933-G1933)</f>
        <v>2</v>
      </c>
    </row>
    <row r="1934" customFormat="false" ht="15" hidden="false" customHeight="false" outlineLevel="0" collapsed="false">
      <c r="A1934" s="7" t="n">
        <v>80152742</v>
      </c>
      <c r="B1934" s="7" t="s">
        <v>68</v>
      </c>
      <c r="C1934" s="7" t="s">
        <v>4299</v>
      </c>
      <c r="D1934" s="7" t="s">
        <v>4300</v>
      </c>
      <c r="E1934" s="7" t="s">
        <v>719</v>
      </c>
      <c r="F1934" s="7" t="s">
        <v>4294</v>
      </c>
      <c r="G1934" s="7" t="n">
        <v>2016</v>
      </c>
      <c r="H1934" s="7" t="s">
        <v>48</v>
      </c>
      <c r="I1934" s="7" t="s">
        <v>524</v>
      </c>
      <c r="J1934" s="7" t="s">
        <v>202</v>
      </c>
      <c r="K1934" s="7" t="n">
        <f aca="false">IFERROR(VALUE(RIGHT(TRIM(F1934),4)),"")</f>
        <v>2017</v>
      </c>
      <c r="L1934" s="7" t="str">
        <f aca="false">IF(TRIM(E1934)="","Unknown",IFERROR(LEFT(TRIM(E1934),FIND(",",TRIM(E1934))-1),TRIM(E1934)))</f>
        <v>Ireland</v>
      </c>
      <c r="M1934" s="7" t="str">
        <f aca="false">IFERROR(LEFT(J1934,FIND(",",J1934)-1),J1934)</f>
        <v>Comedies</v>
      </c>
      <c r="N1934" s="7" t="n">
        <f aca="false">IF(B1934="Movie",IFERROR(VALUE(LEFT(I1934,FIND(" ",I1934)-1)),""),"")</f>
        <v>83</v>
      </c>
      <c r="O1934" s="7" t="str">
        <f aca="false">IF(B1934="TV Show",IFERROR(VALUE(LEFT(I1934,FIND(" ",I1934)-1)),""),"")</f>
        <v/>
      </c>
      <c r="P1934" s="7" t="n">
        <f aca="false">IF(K1934="","",K1934-G1934)</f>
        <v>1</v>
      </c>
    </row>
    <row r="1935" customFormat="false" ht="15" hidden="false" customHeight="false" outlineLevel="0" collapsed="false">
      <c r="A1935" s="7" t="n">
        <v>80107370</v>
      </c>
      <c r="B1935" s="7" t="s">
        <v>68</v>
      </c>
      <c r="C1935" s="7" t="s">
        <v>4301</v>
      </c>
      <c r="D1935" s="7" t="s">
        <v>4302</v>
      </c>
      <c r="E1935" s="7" t="s">
        <v>2212</v>
      </c>
      <c r="F1935" s="7" t="s">
        <v>4294</v>
      </c>
      <c r="G1935" s="7" t="n">
        <v>2015</v>
      </c>
      <c r="H1935" s="7" t="s">
        <v>48</v>
      </c>
      <c r="I1935" s="7" t="s">
        <v>869</v>
      </c>
      <c r="J1935" s="7" t="s">
        <v>188</v>
      </c>
      <c r="K1935" s="7" t="n">
        <f aca="false">IFERROR(VALUE(RIGHT(TRIM(F1935),4)),"")</f>
        <v>2017</v>
      </c>
      <c r="L1935" s="7" t="str">
        <f aca="false">IF(TRIM(E1935)="","Unknown",IFERROR(LEFT(TRIM(E1935),FIND(",",TRIM(E1935))-1),TRIM(E1935)))</f>
        <v>India</v>
      </c>
      <c r="M1935" s="7" t="str">
        <f aca="false">IFERROR(LEFT(J1935,FIND(",",J1935)-1),J1935)</f>
        <v>Dramas</v>
      </c>
      <c r="N1935" s="7" t="n">
        <f aca="false">IF(B1935="Movie",IFERROR(VALUE(LEFT(I1935,FIND(" ",I1935)-1)),""),"")</f>
        <v>123</v>
      </c>
      <c r="O1935" s="7" t="str">
        <f aca="false">IF(B1935="TV Show",IFERROR(VALUE(LEFT(I1935,FIND(" ",I1935)-1)),""),"")</f>
        <v/>
      </c>
      <c r="P1935" s="7" t="n">
        <f aca="false">IF(K1935="","",K1935-G1935)</f>
        <v>2</v>
      </c>
    </row>
    <row r="1936" customFormat="false" ht="15" hidden="false" customHeight="false" outlineLevel="0" collapsed="false">
      <c r="A1936" s="7" t="n">
        <v>80095233</v>
      </c>
      <c r="B1936" s="7" t="s">
        <v>68</v>
      </c>
      <c r="C1936" s="7" t="s">
        <v>4303</v>
      </c>
      <c r="D1936" s="7" t="s">
        <v>4304</v>
      </c>
      <c r="E1936" s="7" t="s">
        <v>4305</v>
      </c>
      <c r="F1936" s="7" t="s">
        <v>4306</v>
      </c>
      <c r="G1936" s="7" t="n">
        <v>2015</v>
      </c>
      <c r="H1936" s="7" t="s">
        <v>53</v>
      </c>
      <c r="I1936" s="7" t="s">
        <v>138</v>
      </c>
      <c r="J1936" s="7" t="s">
        <v>182</v>
      </c>
      <c r="K1936" s="7" t="n">
        <f aca="false">IFERROR(VALUE(RIGHT(TRIM(F1936),4)),"")</f>
        <v>2016</v>
      </c>
      <c r="L1936" s="7" t="str">
        <f aca="false">IF(TRIM(E1936)="","Unknown",IFERROR(LEFT(TRIM(E1936),FIND(",",TRIM(E1936))-1),TRIM(E1936)))</f>
        <v>United Arab Emirates</v>
      </c>
      <c r="M1936" s="7" t="str">
        <f aca="false">IFERROR(LEFT(J1936,FIND(",",J1936)-1),J1936)</f>
        <v>Dramas</v>
      </c>
      <c r="N1936" s="7" t="n">
        <f aca="false">IF(B1936="Movie",IFERROR(VALUE(LEFT(I1936,FIND(" ",I1936)-1)),""),"")</f>
        <v>96</v>
      </c>
      <c r="O1936" s="7" t="str">
        <f aca="false">IF(B1936="TV Show",IFERROR(VALUE(LEFT(I1936,FIND(" ",I1936)-1)),""),"")</f>
        <v/>
      </c>
      <c r="P1936" s="7" t="n">
        <f aca="false">IF(K1936="","",K1936-G1936)</f>
        <v>1</v>
      </c>
    </row>
    <row r="1937" customFormat="false" ht="15" hidden="false" customHeight="false" outlineLevel="0" collapsed="false">
      <c r="A1937" s="7" t="n">
        <v>80998491</v>
      </c>
      <c r="B1937" s="7" t="s">
        <v>78</v>
      </c>
      <c r="C1937" s="7" t="s">
        <v>4307</v>
      </c>
      <c r="E1937" s="7" t="s">
        <v>28</v>
      </c>
      <c r="F1937" s="7" t="s">
        <v>4308</v>
      </c>
      <c r="G1937" s="7" t="n">
        <v>2019</v>
      </c>
      <c r="H1937" s="7" t="s">
        <v>48</v>
      </c>
      <c r="I1937" s="7" t="s">
        <v>82</v>
      </c>
      <c r="J1937" s="7" t="s">
        <v>4309</v>
      </c>
      <c r="K1937" s="7" t="n">
        <f aca="false">IFERROR(VALUE(RIGHT(TRIM(F1937),4)),"")</f>
        <v>2019</v>
      </c>
      <c r="L1937" s="7" t="str">
        <f aca="false">IF(TRIM(E1937)="","Unknown",IFERROR(LEFT(TRIM(E1937),FIND(",",TRIM(E1937))-1),TRIM(E1937)))</f>
        <v>United Kingdom</v>
      </c>
      <c r="M1937" s="7" t="str">
        <f aca="false">IFERROR(LEFT(J1937,FIND(",",J1937)-1),J1937)</f>
        <v>British TV Shows</v>
      </c>
      <c r="N1937" s="7" t="str">
        <f aca="false">IF(B1937="Movie",IFERROR(VALUE(LEFT(I1937,FIND(" ",I1937)-1)),""),"")</f>
        <v/>
      </c>
      <c r="O1937" s="7" t="n">
        <f aca="false">IF(B1937="TV Show",IFERROR(VALUE(LEFT(I1937,FIND(" ",I1937)-1)),""),"")</f>
        <v>1</v>
      </c>
      <c r="P1937" s="7" t="n">
        <f aca="false">IF(K1937="","",K1937-G1937)</f>
        <v>0</v>
      </c>
    </row>
    <row r="1938" customFormat="false" ht="15" hidden="false" customHeight="false" outlineLevel="0" collapsed="false">
      <c r="A1938" s="7" t="n">
        <v>80242036</v>
      </c>
      <c r="B1938" s="7" t="s">
        <v>78</v>
      </c>
      <c r="C1938" s="7" t="s">
        <v>4310</v>
      </c>
      <c r="F1938" s="7" t="s">
        <v>4308</v>
      </c>
      <c r="G1938" s="7" t="n">
        <v>2018</v>
      </c>
      <c r="H1938" s="7" t="s">
        <v>49</v>
      </c>
      <c r="I1938" s="7" t="s">
        <v>82</v>
      </c>
      <c r="J1938" s="7" t="s">
        <v>314</v>
      </c>
      <c r="K1938" s="7" t="n">
        <f aca="false">IFERROR(VALUE(RIGHT(TRIM(F1938),4)),"")</f>
        <v>2019</v>
      </c>
      <c r="L1938" s="7" t="str">
        <f aca="false">IF(TRIM(E1938)="","Unknown",IFERROR(LEFT(TRIM(E1938),FIND(",",TRIM(E1938))-1),TRIM(E1938)))</f>
        <v>Unknown</v>
      </c>
      <c r="M1938" s="7" t="str">
        <f aca="false">IFERROR(LEFT(J1938,FIND(",",J1938)-1),J1938)</f>
        <v>International TV Shows</v>
      </c>
      <c r="N1938" s="7" t="str">
        <f aca="false">IF(B1938="Movie",IFERROR(VALUE(LEFT(I1938,FIND(" ",I1938)-1)),""),"")</f>
        <v/>
      </c>
      <c r="O1938" s="7" t="n">
        <f aca="false">IF(B1938="TV Show",IFERROR(VALUE(LEFT(I1938,FIND(" ",I1938)-1)),""),"")</f>
        <v>1</v>
      </c>
      <c r="P1938" s="7" t="n">
        <f aca="false">IF(K1938="","",K1938-G1938)</f>
        <v>1</v>
      </c>
    </row>
    <row r="1939" customFormat="false" ht="15" hidden="false" customHeight="false" outlineLevel="0" collapsed="false">
      <c r="A1939" s="7" t="n">
        <v>70270362</v>
      </c>
      <c r="B1939" s="7" t="s">
        <v>68</v>
      </c>
      <c r="C1939" s="7" t="s">
        <v>4311</v>
      </c>
      <c r="D1939" s="7" t="s">
        <v>4312</v>
      </c>
      <c r="E1939" s="7" t="s">
        <v>26</v>
      </c>
      <c r="F1939" s="7" t="s">
        <v>4308</v>
      </c>
      <c r="G1939" s="7" t="n">
        <v>2013</v>
      </c>
      <c r="H1939" s="7" t="s">
        <v>52</v>
      </c>
      <c r="I1939" s="7" t="s">
        <v>134</v>
      </c>
      <c r="J1939" s="7" t="s">
        <v>198</v>
      </c>
      <c r="K1939" s="7" t="n">
        <f aca="false">IFERROR(VALUE(RIGHT(TRIM(F1939),4)),"")</f>
        <v>2019</v>
      </c>
      <c r="L1939" s="7" t="str">
        <f aca="false">IF(TRIM(E1939)="","Unknown",IFERROR(LEFT(TRIM(E1939),FIND(",",TRIM(E1939))-1),TRIM(E1939)))</f>
        <v>United States</v>
      </c>
      <c r="M1939" s="7" t="str">
        <f aca="false">IFERROR(LEFT(J1939,FIND(",",J1939)-1),J1939)</f>
        <v>Comedies</v>
      </c>
      <c r="N1939" s="7" t="n">
        <f aca="false">IF(B1939="Movie",IFERROR(VALUE(LEFT(I1939,FIND(" ",I1939)-1)),""),"")</f>
        <v>98</v>
      </c>
      <c r="O1939" s="7" t="str">
        <f aca="false">IF(B1939="TV Show",IFERROR(VALUE(LEFT(I1939,FIND(" ",I1939)-1)),""),"")</f>
        <v/>
      </c>
      <c r="P1939" s="7" t="n">
        <f aca="false">IF(K1939="","",K1939-G1939)</f>
        <v>6</v>
      </c>
    </row>
    <row r="1940" customFormat="false" ht="15" hidden="false" customHeight="false" outlineLevel="0" collapsed="false">
      <c r="A1940" s="7" t="n">
        <v>80192577</v>
      </c>
      <c r="B1940" s="7" t="s">
        <v>78</v>
      </c>
      <c r="C1940" s="7" t="s">
        <v>4313</v>
      </c>
      <c r="E1940" s="7" t="s">
        <v>26</v>
      </c>
      <c r="F1940" s="7" t="s">
        <v>4308</v>
      </c>
      <c r="G1940" s="7" t="n">
        <v>2018</v>
      </c>
      <c r="H1940" s="7" t="s">
        <v>49</v>
      </c>
      <c r="I1940" s="7" t="s">
        <v>82</v>
      </c>
      <c r="J1940" s="7" t="s">
        <v>289</v>
      </c>
      <c r="K1940" s="7" t="n">
        <f aca="false">IFERROR(VALUE(RIGHT(TRIM(F1940),4)),"")</f>
        <v>2019</v>
      </c>
      <c r="L1940" s="7" t="str">
        <f aca="false">IF(TRIM(E1940)="","Unknown",IFERROR(LEFT(TRIM(E1940),FIND(",",TRIM(E1940))-1),TRIM(E1940)))</f>
        <v>United States</v>
      </c>
      <c r="M1940" s="7" t="str">
        <f aca="false">IFERROR(LEFT(J1940,FIND(",",J1940)-1),J1940)</f>
        <v>TV Comedies</v>
      </c>
      <c r="N1940" s="7" t="str">
        <f aca="false">IF(B1940="Movie",IFERROR(VALUE(LEFT(I1940,FIND(" ",I1940)-1)),""),"")</f>
        <v/>
      </c>
      <c r="O1940" s="7" t="n">
        <f aca="false">IF(B1940="TV Show",IFERROR(VALUE(LEFT(I1940,FIND(" ",I1940)-1)),""),"")</f>
        <v>1</v>
      </c>
      <c r="P1940" s="7" t="n">
        <f aca="false">IF(K1940="","",K1940-G1940)</f>
        <v>1</v>
      </c>
    </row>
    <row r="1941" customFormat="false" ht="15" hidden="false" customHeight="false" outlineLevel="0" collapsed="false">
      <c r="A1941" s="7" t="n">
        <v>81049445</v>
      </c>
      <c r="B1941" s="7" t="s">
        <v>78</v>
      </c>
      <c r="C1941" s="7" t="s">
        <v>4314</v>
      </c>
      <c r="F1941" s="7" t="s">
        <v>4308</v>
      </c>
      <c r="G1941" s="7" t="n">
        <v>2018</v>
      </c>
      <c r="H1941" s="7" t="s">
        <v>49</v>
      </c>
      <c r="I1941" s="7" t="s">
        <v>82</v>
      </c>
      <c r="J1941" s="7" t="s">
        <v>3308</v>
      </c>
      <c r="K1941" s="7" t="n">
        <f aca="false">IFERROR(VALUE(RIGHT(TRIM(F1941),4)),"")</f>
        <v>2019</v>
      </c>
      <c r="L1941" s="7" t="str">
        <f aca="false">IF(TRIM(E1941)="","Unknown",IFERROR(LEFT(TRIM(E1941),FIND(",",TRIM(E1941))-1),TRIM(E1941)))</f>
        <v>Unknown</v>
      </c>
      <c r="M1941" s="7" t="str">
        <f aca="false">IFERROR(LEFT(J1941,FIND(",",J1941)-1),J1941)</f>
        <v>International TV Shows</v>
      </c>
      <c r="N1941" s="7" t="str">
        <f aca="false">IF(B1941="Movie",IFERROR(VALUE(LEFT(I1941,FIND(" ",I1941)-1)),""),"")</f>
        <v/>
      </c>
      <c r="O1941" s="7" t="n">
        <f aca="false">IF(B1941="TV Show",IFERROR(VALUE(LEFT(I1941,FIND(" ",I1941)-1)),""),"")</f>
        <v>1</v>
      </c>
      <c r="P1941" s="7" t="n">
        <f aca="false">IF(K1941="","",K1941-G1941)</f>
        <v>1</v>
      </c>
    </row>
    <row r="1942" customFormat="false" ht="15" hidden="false" customHeight="false" outlineLevel="0" collapsed="false">
      <c r="A1942" s="7" t="n">
        <v>80204890</v>
      </c>
      <c r="B1942" s="7" t="s">
        <v>78</v>
      </c>
      <c r="C1942" s="7" t="s">
        <v>4315</v>
      </c>
      <c r="E1942" s="7" t="s">
        <v>28</v>
      </c>
      <c r="F1942" s="7" t="s">
        <v>4308</v>
      </c>
      <c r="G1942" s="7" t="n">
        <v>2019</v>
      </c>
      <c r="H1942" s="7" t="s">
        <v>48</v>
      </c>
      <c r="I1942" s="7" t="s">
        <v>82</v>
      </c>
      <c r="J1942" s="7" t="s">
        <v>164</v>
      </c>
      <c r="K1942" s="7" t="n">
        <f aca="false">IFERROR(VALUE(RIGHT(TRIM(F1942),4)),"")</f>
        <v>2019</v>
      </c>
      <c r="L1942" s="7" t="str">
        <f aca="false">IF(TRIM(E1942)="","Unknown",IFERROR(LEFT(TRIM(E1942),FIND(",",TRIM(E1942))-1),TRIM(E1942)))</f>
        <v>United Kingdom</v>
      </c>
      <c r="M1942" s="7" t="str">
        <f aca="false">IFERROR(LEFT(J1942,FIND(",",J1942)-1),J1942)</f>
        <v>Docuseries</v>
      </c>
      <c r="N1942" s="7" t="str">
        <f aca="false">IF(B1942="Movie",IFERROR(VALUE(LEFT(I1942,FIND(" ",I1942)-1)),""),"")</f>
        <v/>
      </c>
      <c r="O1942" s="7" t="n">
        <f aca="false">IF(B1942="TV Show",IFERROR(VALUE(LEFT(I1942,FIND(" ",I1942)-1)),""),"")</f>
        <v>1</v>
      </c>
      <c r="P1942" s="7" t="n">
        <f aca="false">IF(K1942="","",K1942-G1942)</f>
        <v>0</v>
      </c>
    </row>
    <row r="1943" customFormat="false" ht="15" hidden="false" customHeight="false" outlineLevel="0" collapsed="false">
      <c r="A1943" s="7" t="n">
        <v>81074140</v>
      </c>
      <c r="B1943" s="7" t="s">
        <v>68</v>
      </c>
      <c r="C1943" s="7" t="s">
        <v>4316</v>
      </c>
      <c r="D1943" s="7" t="s">
        <v>4317</v>
      </c>
      <c r="E1943" s="7" t="s">
        <v>960</v>
      </c>
      <c r="F1943" s="7" t="s">
        <v>4308</v>
      </c>
      <c r="G1943" s="7" t="n">
        <v>2018</v>
      </c>
      <c r="H1943" s="7" t="s">
        <v>49</v>
      </c>
      <c r="I1943" s="7" t="s">
        <v>237</v>
      </c>
      <c r="J1943" s="7" t="s">
        <v>139</v>
      </c>
      <c r="K1943" s="7" t="n">
        <f aca="false">IFERROR(VALUE(RIGHT(TRIM(F1943),4)),"")</f>
        <v>2019</v>
      </c>
      <c r="L1943" s="7" t="str">
        <f aca="false">IF(TRIM(E1943)="","Unknown",IFERROR(LEFT(TRIM(E1943),FIND(",",TRIM(E1943))-1),TRIM(E1943)))</f>
        <v>United Arab Emirates</v>
      </c>
      <c r="M1943" s="7" t="str">
        <f aca="false">IFERROR(LEFT(J1943,FIND(",",J1943)-1),J1943)</f>
        <v>Action &amp; Adventure</v>
      </c>
      <c r="N1943" s="7" t="n">
        <f aca="false">IF(B1943="Movie",IFERROR(VALUE(LEFT(I1943,FIND(" ",I1943)-1)),""),"")</f>
        <v>116</v>
      </c>
      <c r="O1943" s="7" t="str">
        <f aca="false">IF(B1943="TV Show",IFERROR(VALUE(LEFT(I1943,FIND(" ",I1943)-1)),""),"")</f>
        <v/>
      </c>
      <c r="P1943" s="7" t="n">
        <f aca="false">IF(K1943="","",K1943-G1943)</f>
        <v>1</v>
      </c>
    </row>
    <row r="1944" customFormat="false" ht="15" hidden="false" customHeight="false" outlineLevel="0" collapsed="false">
      <c r="A1944" s="7" t="n">
        <v>81026095</v>
      </c>
      <c r="B1944" s="7" t="s">
        <v>78</v>
      </c>
      <c r="C1944" s="7" t="s">
        <v>4318</v>
      </c>
      <c r="E1944" s="7" t="s">
        <v>396</v>
      </c>
      <c r="F1944" s="7" t="s">
        <v>4308</v>
      </c>
      <c r="G1944" s="7" t="n">
        <v>2018</v>
      </c>
      <c r="H1944" s="7" t="s">
        <v>48</v>
      </c>
      <c r="I1944" s="7" t="s">
        <v>82</v>
      </c>
      <c r="J1944" s="7" t="s">
        <v>822</v>
      </c>
      <c r="K1944" s="7" t="n">
        <f aca="false">IFERROR(VALUE(RIGHT(TRIM(F1944),4)),"")</f>
        <v>2019</v>
      </c>
      <c r="L1944" s="7" t="str">
        <f aca="false">IF(TRIM(E1944)="","Unknown",IFERROR(LEFT(TRIM(E1944),FIND(",",TRIM(E1944))-1),TRIM(E1944)))</f>
        <v>Turkey</v>
      </c>
      <c r="M1944" s="7" t="str">
        <f aca="false">IFERROR(LEFT(J1944,FIND(",",J1944)-1),J1944)</f>
        <v>International TV Shows</v>
      </c>
      <c r="N1944" s="7" t="str">
        <f aca="false">IF(B1944="Movie",IFERROR(VALUE(LEFT(I1944,FIND(" ",I1944)-1)),""),"")</f>
        <v/>
      </c>
      <c r="O1944" s="7" t="n">
        <f aca="false">IF(B1944="TV Show",IFERROR(VALUE(LEFT(I1944,FIND(" ",I1944)-1)),""),"")</f>
        <v>1</v>
      </c>
      <c r="P1944" s="7" t="n">
        <f aca="false">IF(K1944="","",K1944-G1944)</f>
        <v>1</v>
      </c>
    </row>
    <row r="1945" customFormat="false" ht="15" hidden="false" customHeight="false" outlineLevel="0" collapsed="false">
      <c r="A1945" s="7" t="n">
        <v>80179831</v>
      </c>
      <c r="B1945" s="7" t="s">
        <v>78</v>
      </c>
      <c r="C1945" s="7" t="s">
        <v>4319</v>
      </c>
      <c r="E1945" s="7" t="s">
        <v>30</v>
      </c>
      <c r="F1945" s="7" t="s">
        <v>4308</v>
      </c>
      <c r="G1945" s="7" t="n">
        <v>2012</v>
      </c>
      <c r="H1945" s="7" t="s">
        <v>48</v>
      </c>
      <c r="I1945" s="7" t="s">
        <v>82</v>
      </c>
      <c r="J1945" s="7" t="s">
        <v>542</v>
      </c>
      <c r="K1945" s="7" t="n">
        <f aca="false">IFERROR(VALUE(RIGHT(TRIM(F1945),4)),"")</f>
        <v>2019</v>
      </c>
      <c r="L1945" s="7" t="str">
        <f aca="false">IF(TRIM(E1945)="","Unknown",IFERROR(LEFT(TRIM(E1945),FIND(",",TRIM(E1945))-1),TRIM(E1945)))</f>
        <v>Japan</v>
      </c>
      <c r="M1945" s="7" t="str">
        <f aca="false">IFERROR(LEFT(J1945,FIND(",",J1945)-1),J1945)</f>
        <v>Anime Series</v>
      </c>
      <c r="N1945" s="7" t="str">
        <f aca="false">IF(B1945="Movie",IFERROR(VALUE(LEFT(I1945,FIND(" ",I1945)-1)),""),"")</f>
        <v/>
      </c>
      <c r="O1945" s="7" t="n">
        <f aca="false">IF(B1945="TV Show",IFERROR(VALUE(LEFT(I1945,FIND(" ",I1945)-1)),""),"")</f>
        <v>1</v>
      </c>
      <c r="P1945" s="7" t="n">
        <f aca="false">IF(K1945="","",K1945-G1945)</f>
        <v>7</v>
      </c>
    </row>
    <row r="1946" customFormat="false" ht="15" hidden="false" customHeight="false" outlineLevel="0" collapsed="false">
      <c r="A1946" s="7" t="n">
        <v>80184676</v>
      </c>
      <c r="B1946" s="7" t="s">
        <v>68</v>
      </c>
      <c r="C1946" s="7" t="s">
        <v>4320</v>
      </c>
      <c r="D1946" s="7" t="s">
        <v>4321</v>
      </c>
      <c r="E1946" s="7" t="s">
        <v>26</v>
      </c>
      <c r="F1946" s="7" t="s">
        <v>4308</v>
      </c>
      <c r="G1946" s="7" t="n">
        <v>2019</v>
      </c>
      <c r="H1946" s="7" t="s">
        <v>48</v>
      </c>
      <c r="I1946" s="7" t="s">
        <v>73</v>
      </c>
      <c r="J1946" s="7" t="s">
        <v>155</v>
      </c>
      <c r="K1946" s="7" t="n">
        <f aca="false">IFERROR(VALUE(RIGHT(TRIM(F1946),4)),"")</f>
        <v>2019</v>
      </c>
      <c r="L1946" s="7" t="str">
        <f aca="false">IF(TRIM(E1946)="","Unknown",IFERROR(LEFT(TRIM(E1946),FIND(",",TRIM(E1946))-1),TRIM(E1946)))</f>
        <v>United States</v>
      </c>
      <c r="M1946" s="7" t="str">
        <f aca="false">IFERROR(LEFT(J1946,FIND(",",J1946)-1),J1946)</f>
        <v>Dramas</v>
      </c>
      <c r="N1946" s="7" t="n">
        <f aca="false">IF(B1946="Movie",IFERROR(VALUE(LEFT(I1946,FIND(" ",I1946)-1)),""),"")</f>
        <v>90</v>
      </c>
      <c r="O1946" s="7" t="str">
        <f aca="false">IF(B1946="TV Show",IFERROR(VALUE(LEFT(I1946,FIND(" ",I1946)-1)),""),"")</f>
        <v/>
      </c>
      <c r="P1946" s="7" t="n">
        <f aca="false">IF(K1946="","",K1946-G1946)</f>
        <v>0</v>
      </c>
    </row>
    <row r="1947" customFormat="false" ht="15" hidden="false" customHeight="false" outlineLevel="0" collapsed="false">
      <c r="A1947" s="7" t="n">
        <v>81024044</v>
      </c>
      <c r="B1947" s="7" t="s">
        <v>68</v>
      </c>
      <c r="C1947" s="7" t="s">
        <v>4322</v>
      </c>
      <c r="D1947" s="7" t="s">
        <v>4323</v>
      </c>
      <c r="E1947" s="7" t="s">
        <v>31</v>
      </c>
      <c r="F1947" s="7" t="s">
        <v>4308</v>
      </c>
      <c r="G1947" s="7" t="n">
        <v>2019</v>
      </c>
      <c r="H1947" s="7" t="s">
        <v>49</v>
      </c>
      <c r="I1947" s="7" t="s">
        <v>326</v>
      </c>
      <c r="J1947" s="7" t="s">
        <v>188</v>
      </c>
      <c r="K1947" s="7" t="n">
        <f aca="false">IFERROR(VALUE(RIGHT(TRIM(F1947),4)),"")</f>
        <v>2019</v>
      </c>
      <c r="L1947" s="7" t="str">
        <f aca="false">IF(TRIM(E1947)="","Unknown",IFERROR(LEFT(TRIM(E1947),FIND(",",TRIM(E1947))-1),TRIM(E1947)))</f>
        <v>France</v>
      </c>
      <c r="M1947" s="7" t="str">
        <f aca="false">IFERROR(LEFT(J1947,FIND(",",J1947)-1),J1947)</f>
        <v>Dramas</v>
      </c>
      <c r="N1947" s="7" t="n">
        <f aca="false">IF(B1947="Movie",IFERROR(VALUE(LEFT(I1947,FIND(" ",I1947)-1)),""),"")</f>
        <v>111</v>
      </c>
      <c r="O1947" s="7" t="str">
        <f aca="false">IF(B1947="TV Show",IFERROR(VALUE(LEFT(I1947,FIND(" ",I1947)-1)),""),"")</f>
        <v/>
      </c>
      <c r="P1947" s="7" t="n">
        <f aca="false">IF(K1947="","",K1947-G1947)</f>
        <v>0</v>
      </c>
    </row>
    <row r="1948" customFormat="false" ht="15" hidden="false" customHeight="false" outlineLevel="0" collapsed="false">
      <c r="A1948" s="7" t="n">
        <v>81033727</v>
      </c>
      <c r="B1948" s="7" t="s">
        <v>78</v>
      </c>
      <c r="C1948" s="7" t="s">
        <v>2474</v>
      </c>
      <c r="F1948" s="7" t="s">
        <v>4308</v>
      </c>
      <c r="G1948" s="7" t="n">
        <v>2019</v>
      </c>
      <c r="H1948" s="7" t="s">
        <v>48</v>
      </c>
      <c r="I1948" s="7" t="s">
        <v>82</v>
      </c>
      <c r="J1948" s="7" t="s">
        <v>588</v>
      </c>
      <c r="K1948" s="7" t="n">
        <f aca="false">IFERROR(VALUE(RIGHT(TRIM(F1948),4)),"")</f>
        <v>2019</v>
      </c>
      <c r="L1948" s="7" t="str">
        <f aca="false">IF(TRIM(E1948)="","Unknown",IFERROR(LEFT(TRIM(E1948),FIND(",",TRIM(E1948))-1),TRIM(E1948)))</f>
        <v>Unknown</v>
      </c>
      <c r="M1948" s="7" t="str">
        <f aca="false">IFERROR(LEFT(J1948,FIND(",",J1948)-1),J1948)</f>
        <v>Crime TV Shows</v>
      </c>
      <c r="N1948" s="7" t="str">
        <f aca="false">IF(B1948="Movie",IFERROR(VALUE(LEFT(I1948,FIND(" ",I1948)-1)),""),"")</f>
        <v/>
      </c>
      <c r="O1948" s="7" t="n">
        <f aca="false">IF(B1948="TV Show",IFERROR(VALUE(LEFT(I1948,FIND(" ",I1948)-1)),""),"")</f>
        <v>1</v>
      </c>
      <c r="P1948" s="7" t="n">
        <f aca="false">IF(K1948="","",K1948-G1948)</f>
        <v>0</v>
      </c>
    </row>
    <row r="1949" customFormat="false" ht="15" hidden="false" customHeight="false" outlineLevel="0" collapsed="false">
      <c r="A1949" s="7" t="n">
        <v>60023618</v>
      </c>
      <c r="B1949" s="7" t="s">
        <v>68</v>
      </c>
      <c r="C1949" s="7" t="s">
        <v>4324</v>
      </c>
      <c r="D1949" s="7" t="s">
        <v>4325</v>
      </c>
      <c r="E1949" s="7" t="s">
        <v>26</v>
      </c>
      <c r="F1949" s="7" t="s">
        <v>4308</v>
      </c>
      <c r="G1949" s="7" t="n">
        <v>2002</v>
      </c>
      <c r="H1949" s="7" t="s">
        <v>54</v>
      </c>
      <c r="I1949" s="7" t="s">
        <v>205</v>
      </c>
      <c r="J1949" s="7" t="s">
        <v>74</v>
      </c>
      <c r="K1949" s="7" t="n">
        <f aca="false">IFERROR(VALUE(RIGHT(TRIM(F1949),4)),"")</f>
        <v>2019</v>
      </c>
      <c r="L1949" s="7" t="str">
        <f aca="false">IF(TRIM(E1949)="","Unknown",IFERROR(LEFT(TRIM(E1949),FIND(",",TRIM(E1949))-1),TRIM(E1949)))</f>
        <v>United States</v>
      </c>
      <c r="M1949" s="7" t="str">
        <f aca="false">IFERROR(LEFT(J1949,FIND(",",J1949)-1),J1949)</f>
        <v>Children &amp; Family Movies</v>
      </c>
      <c r="N1949" s="7" t="n">
        <f aca="false">IF(B1949="Movie",IFERROR(VALUE(LEFT(I1949,FIND(" ",I1949)-1)),""),"")</f>
        <v>100</v>
      </c>
      <c r="O1949" s="7" t="str">
        <f aca="false">IF(B1949="TV Show",IFERROR(VALUE(LEFT(I1949,FIND(" ",I1949)-1)),""),"")</f>
        <v/>
      </c>
      <c r="P1949" s="7" t="n">
        <f aca="false">IF(K1949="","",K1949-G1949)</f>
        <v>17</v>
      </c>
    </row>
    <row r="1950" customFormat="false" ht="15" hidden="false" customHeight="false" outlineLevel="0" collapsed="false">
      <c r="A1950" s="7" t="n">
        <v>81049413</v>
      </c>
      <c r="B1950" s="7" t="s">
        <v>78</v>
      </c>
      <c r="C1950" s="7" t="s">
        <v>4326</v>
      </c>
      <c r="F1950" s="7" t="s">
        <v>4308</v>
      </c>
      <c r="G1950" s="7" t="n">
        <v>2018</v>
      </c>
      <c r="H1950" s="7" t="s">
        <v>50</v>
      </c>
      <c r="I1950" s="7" t="s">
        <v>82</v>
      </c>
      <c r="J1950" s="7" t="s">
        <v>344</v>
      </c>
      <c r="K1950" s="7" t="n">
        <f aca="false">IFERROR(VALUE(RIGHT(TRIM(F1950),4)),"")</f>
        <v>2019</v>
      </c>
      <c r="L1950" s="7" t="str">
        <f aca="false">IF(TRIM(E1950)="","Unknown",IFERROR(LEFT(TRIM(E1950),FIND(",",TRIM(E1950))-1),TRIM(E1950)))</f>
        <v>Unknown</v>
      </c>
      <c r="M1950" s="7" t="str">
        <f aca="false">IFERROR(LEFT(J1950,FIND(",",J1950)-1),J1950)</f>
        <v>International TV Shows</v>
      </c>
      <c r="N1950" s="7" t="str">
        <f aca="false">IF(B1950="Movie",IFERROR(VALUE(LEFT(I1950,FIND(" ",I1950)-1)),""),"")</f>
        <v/>
      </c>
      <c r="O1950" s="7" t="n">
        <f aca="false">IF(B1950="TV Show",IFERROR(VALUE(LEFT(I1950,FIND(" ",I1950)-1)),""),"")</f>
        <v>1</v>
      </c>
      <c r="P1950" s="7" t="n">
        <f aca="false">IF(K1950="","",K1950-G1950)</f>
        <v>1</v>
      </c>
    </row>
    <row r="1951" customFormat="false" ht="15" hidden="false" customHeight="false" outlineLevel="0" collapsed="false">
      <c r="A1951" s="7" t="n">
        <v>70113532</v>
      </c>
      <c r="B1951" s="7" t="s">
        <v>68</v>
      </c>
      <c r="C1951" s="7" t="s">
        <v>4327</v>
      </c>
      <c r="D1951" s="7" t="s">
        <v>3181</v>
      </c>
      <c r="E1951" s="7" t="s">
        <v>4328</v>
      </c>
      <c r="F1951" s="7" t="s">
        <v>4308</v>
      </c>
      <c r="G1951" s="7" t="n">
        <v>2009</v>
      </c>
      <c r="H1951" s="7" t="s">
        <v>52</v>
      </c>
      <c r="I1951" s="7" t="s">
        <v>869</v>
      </c>
      <c r="J1951" s="7" t="s">
        <v>276</v>
      </c>
      <c r="K1951" s="7" t="n">
        <f aca="false">IFERROR(VALUE(RIGHT(TRIM(F1951),4)),"")</f>
        <v>2019</v>
      </c>
      <c r="L1951" s="7" t="str">
        <f aca="false">IF(TRIM(E1951)="","Unknown",IFERROR(LEFT(TRIM(E1951),FIND(",",TRIM(E1951))-1),TRIM(E1951)))</f>
        <v>United Kingdom</v>
      </c>
      <c r="M1951" s="7" t="str">
        <f aca="false">IFERROR(LEFT(J1951,FIND(",",J1951)-1),J1951)</f>
        <v>Action &amp; Adventure</v>
      </c>
      <c r="N1951" s="7" t="n">
        <f aca="false">IF(B1951="Movie",IFERROR(VALUE(LEFT(I1951,FIND(" ",I1951)-1)),""),"")</f>
        <v>123</v>
      </c>
      <c r="O1951" s="7" t="str">
        <f aca="false">IF(B1951="TV Show",IFERROR(VALUE(LEFT(I1951,FIND(" ",I1951)-1)),""),"")</f>
        <v/>
      </c>
      <c r="P1951" s="7" t="n">
        <f aca="false">IF(K1951="","",K1951-G1951)</f>
        <v>10</v>
      </c>
    </row>
    <row r="1952" customFormat="false" ht="15" hidden="false" customHeight="false" outlineLevel="0" collapsed="false">
      <c r="A1952" s="7" t="n">
        <v>70074299</v>
      </c>
      <c r="B1952" s="7" t="s">
        <v>68</v>
      </c>
      <c r="C1952" s="7" t="s">
        <v>4329</v>
      </c>
      <c r="D1952" s="7" t="s">
        <v>4330</v>
      </c>
      <c r="E1952" s="7" t="s">
        <v>26</v>
      </c>
      <c r="F1952" s="7" t="s">
        <v>4308</v>
      </c>
      <c r="G1952" s="7" t="n">
        <v>2007</v>
      </c>
      <c r="H1952" s="7" t="s">
        <v>52</v>
      </c>
      <c r="I1952" s="7" t="s">
        <v>173</v>
      </c>
      <c r="J1952" s="7" t="s">
        <v>2761</v>
      </c>
      <c r="K1952" s="7" t="n">
        <f aca="false">IFERROR(VALUE(RIGHT(TRIM(F1952),4)),"")</f>
        <v>2019</v>
      </c>
      <c r="L1952" s="7" t="str">
        <f aca="false">IF(TRIM(E1952)="","Unknown",IFERROR(LEFT(TRIM(E1952),FIND(",",TRIM(E1952))-1),TRIM(E1952)))</f>
        <v>United States</v>
      </c>
      <c r="M1952" s="7" t="str">
        <f aca="false">IFERROR(LEFT(J1952,FIND(",",J1952)-1),J1952)</f>
        <v>Comedies</v>
      </c>
      <c r="N1952" s="7" t="n">
        <f aca="false">IF(B1952="Movie",IFERROR(VALUE(LEFT(I1952,FIND(" ",I1952)-1)),""),"")</f>
        <v>106</v>
      </c>
      <c r="O1952" s="7" t="str">
        <f aca="false">IF(B1952="TV Show",IFERROR(VALUE(LEFT(I1952,FIND(" ",I1952)-1)),""),"")</f>
        <v/>
      </c>
      <c r="P1952" s="7" t="n">
        <f aca="false">IF(K1952="","",K1952-G1952)</f>
        <v>12</v>
      </c>
    </row>
    <row r="1953" customFormat="false" ht="15" hidden="false" customHeight="false" outlineLevel="0" collapsed="false">
      <c r="A1953" s="7" t="n">
        <v>80995799</v>
      </c>
      <c r="B1953" s="7" t="s">
        <v>68</v>
      </c>
      <c r="C1953" s="7" t="s">
        <v>4331</v>
      </c>
      <c r="D1953" s="7" t="s">
        <v>4332</v>
      </c>
      <c r="E1953" s="7" t="s">
        <v>26</v>
      </c>
      <c r="F1953" s="7" t="s">
        <v>4308</v>
      </c>
      <c r="G1953" s="7" t="n">
        <v>2019</v>
      </c>
      <c r="H1953" s="7" t="s">
        <v>50</v>
      </c>
      <c r="I1953" s="7" t="s">
        <v>205</v>
      </c>
      <c r="J1953" s="7" t="s">
        <v>295</v>
      </c>
      <c r="K1953" s="7" t="n">
        <f aca="false">IFERROR(VALUE(RIGHT(TRIM(F1953),4)),"")</f>
        <v>2019</v>
      </c>
      <c r="L1953" s="7" t="str">
        <f aca="false">IF(TRIM(E1953)="","Unknown",IFERROR(LEFT(TRIM(E1953),FIND(",",TRIM(E1953))-1),TRIM(E1953)))</f>
        <v>United States</v>
      </c>
      <c r="M1953" s="7" t="str">
        <f aca="false">IFERROR(LEFT(J1953,FIND(",",J1953)-1),J1953)</f>
        <v>Children &amp; Family Movies</v>
      </c>
      <c r="N1953" s="7" t="n">
        <f aca="false">IF(B1953="Movie",IFERROR(VALUE(LEFT(I1953,FIND(" ",I1953)-1)),""),"")</f>
        <v>100</v>
      </c>
      <c r="O1953" s="7" t="str">
        <f aca="false">IF(B1953="TV Show",IFERROR(VALUE(LEFT(I1953,FIND(" ",I1953)-1)),""),"")</f>
        <v/>
      </c>
      <c r="P1953" s="7" t="n">
        <f aca="false">IF(K1953="","",K1953-G1953)</f>
        <v>0</v>
      </c>
    </row>
    <row r="1954" customFormat="false" ht="15" hidden="false" customHeight="false" outlineLevel="0" collapsed="false">
      <c r="A1954" s="7" t="n">
        <v>80214772</v>
      </c>
      <c r="B1954" s="7" t="s">
        <v>78</v>
      </c>
      <c r="C1954" s="7" t="s">
        <v>4333</v>
      </c>
      <c r="E1954" s="7" t="s">
        <v>32</v>
      </c>
      <c r="F1954" s="7" t="s">
        <v>4334</v>
      </c>
      <c r="G1954" s="7" t="n">
        <v>2018</v>
      </c>
      <c r="H1954" s="7" t="s">
        <v>48</v>
      </c>
      <c r="I1954" s="7" t="s">
        <v>82</v>
      </c>
      <c r="J1954" s="7" t="s">
        <v>1877</v>
      </c>
      <c r="K1954" s="7" t="n">
        <f aca="false">IFERROR(VALUE(RIGHT(TRIM(F1954),4)),"")</f>
        <v>2018</v>
      </c>
      <c r="L1954" s="7" t="str">
        <f aca="false">IF(TRIM(E1954)="","Unknown",IFERROR(LEFT(TRIM(E1954),FIND(",",TRIM(E1954))-1),TRIM(E1954)))</f>
        <v>South Korea</v>
      </c>
      <c r="M1954" s="7" t="str">
        <f aca="false">IFERROR(LEFT(J1954,FIND(",",J1954)-1),J1954)</f>
        <v>Crime TV Shows</v>
      </c>
      <c r="N1954" s="7" t="str">
        <f aca="false">IF(B1954="Movie",IFERROR(VALUE(LEFT(I1954,FIND(" ",I1954)-1)),""),"")</f>
        <v/>
      </c>
      <c r="O1954" s="7" t="n">
        <f aca="false">IF(B1954="TV Show",IFERROR(VALUE(LEFT(I1954,FIND(" ",I1954)-1)),""),"")</f>
        <v>1</v>
      </c>
      <c r="P1954" s="7" t="n">
        <f aca="false">IF(K1954="","",K1954-G1954)</f>
        <v>0</v>
      </c>
    </row>
    <row r="1955" customFormat="false" ht="15" hidden="false" customHeight="false" outlineLevel="0" collapsed="false">
      <c r="A1955" s="7" t="n">
        <v>80219143</v>
      </c>
      <c r="B1955" s="7" t="s">
        <v>68</v>
      </c>
      <c r="C1955" s="7" t="s">
        <v>4335</v>
      </c>
      <c r="D1955" s="7" t="s">
        <v>4336</v>
      </c>
      <c r="E1955" s="7" t="s">
        <v>27</v>
      </c>
      <c r="F1955" s="7" t="s">
        <v>4334</v>
      </c>
      <c r="G1955" s="7" t="n">
        <v>2018</v>
      </c>
      <c r="H1955" s="7" t="s">
        <v>226</v>
      </c>
      <c r="I1955" s="7" t="s">
        <v>333</v>
      </c>
      <c r="J1955" s="7" t="s">
        <v>974</v>
      </c>
      <c r="K1955" s="7" t="n">
        <f aca="false">IFERROR(VALUE(RIGHT(TRIM(F1955),4)),"")</f>
        <v>2018</v>
      </c>
      <c r="L1955" s="7" t="str">
        <f aca="false">IF(TRIM(E1955)="","Unknown",IFERROR(LEFT(TRIM(E1955),FIND(",",TRIM(E1955))-1),TRIM(E1955)))</f>
        <v>India</v>
      </c>
      <c r="M1955" s="7" t="str">
        <f aca="false">IFERROR(LEFT(J1955,FIND(",",J1955)-1),J1955)</f>
        <v>Documentaries</v>
      </c>
      <c r="N1955" s="7" t="n">
        <f aca="false">IF(B1955="Movie",IFERROR(VALUE(LEFT(I1955,FIND(" ",I1955)-1)),""),"")</f>
        <v>40</v>
      </c>
      <c r="O1955" s="7" t="str">
        <f aca="false">IF(B1955="TV Show",IFERROR(VALUE(LEFT(I1955,FIND(" ",I1955)-1)),""),"")</f>
        <v/>
      </c>
      <c r="P1955" s="7" t="n">
        <f aca="false">IF(K1955="","",K1955-G1955)</f>
        <v>0</v>
      </c>
    </row>
    <row r="1956" customFormat="false" ht="15" hidden="false" customHeight="false" outlineLevel="0" collapsed="false">
      <c r="A1956" s="7" t="n">
        <v>17687959</v>
      </c>
      <c r="B1956" s="7" t="s">
        <v>68</v>
      </c>
      <c r="C1956" s="7" t="s">
        <v>4337</v>
      </c>
      <c r="D1956" s="7" t="s">
        <v>4338</v>
      </c>
      <c r="E1956" s="7" t="s">
        <v>26</v>
      </c>
      <c r="F1956" s="7" t="s">
        <v>4339</v>
      </c>
      <c r="G1956" s="7" t="n">
        <v>1998</v>
      </c>
      <c r="H1956" s="7" t="s">
        <v>52</v>
      </c>
      <c r="I1956" s="7" t="s">
        <v>73</v>
      </c>
      <c r="J1956" s="7" t="s">
        <v>2782</v>
      </c>
      <c r="K1956" s="7" t="n">
        <f aca="false">IFERROR(VALUE(RIGHT(TRIM(F1956),4)),"")</f>
        <v>2017</v>
      </c>
      <c r="L1956" s="7" t="str">
        <f aca="false">IF(TRIM(E1956)="","Unknown",IFERROR(LEFT(TRIM(E1956),FIND(",",TRIM(E1956))-1),TRIM(E1956)))</f>
        <v>United States</v>
      </c>
      <c r="M1956" s="7" t="str">
        <f aca="false">IFERROR(LEFT(J1956,FIND(",",J1956)-1),J1956)</f>
        <v>Comedies</v>
      </c>
      <c r="N1956" s="7" t="n">
        <f aca="false">IF(B1956="Movie",IFERROR(VALUE(LEFT(I1956,FIND(" ",I1956)-1)),""),"")</f>
        <v>90</v>
      </c>
      <c r="O1956" s="7" t="str">
        <f aca="false">IF(B1956="TV Show",IFERROR(VALUE(LEFT(I1956,FIND(" ",I1956)-1)),""),"")</f>
        <v/>
      </c>
      <c r="P1956" s="7" t="n">
        <f aca="false">IF(K1956="","",K1956-G1956)</f>
        <v>19</v>
      </c>
    </row>
    <row r="1957" customFormat="false" ht="15" hidden="false" customHeight="false" outlineLevel="0" collapsed="false">
      <c r="A1957" s="7" t="n">
        <v>70100377</v>
      </c>
      <c r="B1957" s="7" t="s">
        <v>68</v>
      </c>
      <c r="C1957" s="7" t="s">
        <v>4340</v>
      </c>
      <c r="D1957" s="7" t="s">
        <v>4341</v>
      </c>
      <c r="E1957" s="7" t="s">
        <v>26</v>
      </c>
      <c r="F1957" s="7" t="s">
        <v>4342</v>
      </c>
      <c r="G1957" s="7" t="n">
        <v>2008</v>
      </c>
      <c r="H1957" s="7" t="s">
        <v>52</v>
      </c>
      <c r="I1957" s="7" t="s">
        <v>417</v>
      </c>
      <c r="J1957" s="7" t="s">
        <v>1558</v>
      </c>
      <c r="K1957" s="7" t="n">
        <f aca="false">IFERROR(VALUE(RIGHT(TRIM(F1957),4)),"")</f>
        <v>2019</v>
      </c>
      <c r="L1957" s="7" t="str">
        <f aca="false">IF(TRIM(E1957)="","Unknown",IFERROR(LEFT(TRIM(E1957),FIND(",",TRIM(E1957))-1),TRIM(E1957)))</f>
        <v>United States</v>
      </c>
      <c r="M1957" s="7" t="str">
        <f aca="false">IFERROR(LEFT(J1957,FIND(",",J1957)-1),J1957)</f>
        <v>Dramas</v>
      </c>
      <c r="N1957" s="7" t="n">
        <f aca="false">IF(B1957="Movie",IFERROR(VALUE(LEFT(I1957,FIND(" ",I1957)-1)),""),"")</f>
        <v>104</v>
      </c>
      <c r="O1957" s="7" t="str">
        <f aca="false">IF(B1957="TV Show",IFERROR(VALUE(LEFT(I1957,FIND(" ",I1957)-1)),""),"")</f>
        <v/>
      </c>
      <c r="P1957" s="7" t="n">
        <f aca="false">IF(K1957="","",K1957-G1957)</f>
        <v>11</v>
      </c>
    </row>
    <row r="1958" customFormat="false" ht="15" hidden="false" customHeight="false" outlineLevel="0" collapsed="false">
      <c r="A1958" s="7" t="n">
        <v>80189630</v>
      </c>
      <c r="B1958" s="7" t="s">
        <v>68</v>
      </c>
      <c r="C1958" s="7" t="s">
        <v>4343</v>
      </c>
      <c r="D1958" s="7" t="s">
        <v>4344</v>
      </c>
      <c r="E1958" s="7" t="s">
        <v>26</v>
      </c>
      <c r="F1958" s="7" t="s">
        <v>4342</v>
      </c>
      <c r="G1958" s="7" t="n">
        <v>2018</v>
      </c>
      <c r="H1958" s="7" t="s">
        <v>48</v>
      </c>
      <c r="I1958" s="7" t="s">
        <v>87</v>
      </c>
      <c r="J1958" s="7" t="s">
        <v>2761</v>
      </c>
      <c r="K1958" s="7" t="n">
        <f aca="false">IFERROR(VALUE(RIGHT(TRIM(F1958),4)),"")</f>
        <v>2019</v>
      </c>
      <c r="L1958" s="7" t="str">
        <f aca="false">IF(TRIM(E1958)="","Unknown",IFERROR(LEFT(TRIM(E1958),FIND(",",TRIM(E1958))-1),TRIM(E1958)))</f>
        <v>United States</v>
      </c>
      <c r="M1958" s="7" t="str">
        <f aca="false">IFERROR(LEFT(J1958,FIND(",",J1958)-1),J1958)</f>
        <v>Comedies</v>
      </c>
      <c r="N1958" s="7" t="n">
        <f aca="false">IF(B1958="Movie",IFERROR(VALUE(LEFT(I1958,FIND(" ",I1958)-1)),""),"")</f>
        <v>99</v>
      </c>
      <c r="O1958" s="7" t="str">
        <f aca="false">IF(B1958="TV Show",IFERROR(VALUE(LEFT(I1958,FIND(" ",I1958)-1)),""),"")</f>
        <v/>
      </c>
      <c r="P1958" s="7" t="n">
        <f aca="false">IF(K1958="","",K1958-G1958)</f>
        <v>1</v>
      </c>
    </row>
    <row r="1959" customFormat="false" ht="15" hidden="false" customHeight="false" outlineLevel="0" collapsed="false">
      <c r="A1959" s="7" t="n">
        <v>81010867</v>
      </c>
      <c r="B1959" s="7" t="s">
        <v>68</v>
      </c>
      <c r="C1959" s="7" t="s">
        <v>4345</v>
      </c>
      <c r="D1959" s="7" t="s">
        <v>4346</v>
      </c>
      <c r="E1959" s="7" t="s">
        <v>1269</v>
      </c>
      <c r="F1959" s="7" t="s">
        <v>4342</v>
      </c>
      <c r="G1959" s="7" t="n">
        <v>2012</v>
      </c>
      <c r="H1959" s="7" t="s">
        <v>49</v>
      </c>
      <c r="I1959" s="7" t="s">
        <v>820</v>
      </c>
      <c r="J1959" s="7" t="s">
        <v>202</v>
      </c>
      <c r="K1959" s="7" t="n">
        <f aca="false">IFERROR(VALUE(RIGHT(TRIM(F1959),4)),"")</f>
        <v>2019</v>
      </c>
      <c r="L1959" s="7" t="str">
        <f aca="false">IF(TRIM(E1959)="","Unknown",IFERROR(LEFT(TRIM(E1959),FIND(",",TRIM(E1959))-1),TRIM(E1959)))</f>
        <v>Philippines</v>
      </c>
      <c r="M1959" s="7" t="str">
        <f aca="false">IFERROR(LEFT(J1959,FIND(",",J1959)-1),J1959)</f>
        <v>Comedies</v>
      </c>
      <c r="N1959" s="7" t="n">
        <f aca="false">IF(B1959="Movie",IFERROR(VALUE(LEFT(I1959,FIND(" ",I1959)-1)),""),"")</f>
        <v>105</v>
      </c>
      <c r="O1959" s="7" t="str">
        <f aca="false">IF(B1959="TV Show",IFERROR(VALUE(LEFT(I1959,FIND(" ",I1959)-1)),""),"")</f>
        <v/>
      </c>
      <c r="P1959" s="7" t="n">
        <f aca="false">IF(K1959="","",K1959-G1959)</f>
        <v>7</v>
      </c>
    </row>
    <row r="1960" customFormat="false" ht="15" hidden="false" customHeight="false" outlineLevel="0" collapsed="false">
      <c r="A1960" s="7" t="n">
        <v>81010865</v>
      </c>
      <c r="B1960" s="7" t="s">
        <v>68</v>
      </c>
      <c r="C1960" s="7" t="s">
        <v>4347</v>
      </c>
      <c r="D1960" s="7" t="s">
        <v>4348</v>
      </c>
      <c r="E1960" s="7" t="s">
        <v>1269</v>
      </c>
      <c r="F1960" s="7" t="s">
        <v>4342</v>
      </c>
      <c r="G1960" s="7" t="n">
        <v>2014</v>
      </c>
      <c r="H1960" s="7" t="s">
        <v>49</v>
      </c>
      <c r="I1960" s="7" t="s">
        <v>261</v>
      </c>
      <c r="J1960" s="7" t="s">
        <v>240</v>
      </c>
      <c r="K1960" s="7" t="n">
        <f aca="false">IFERROR(VALUE(RIGHT(TRIM(F1960),4)),"")</f>
        <v>2019</v>
      </c>
      <c r="L1960" s="7" t="str">
        <f aca="false">IF(TRIM(E1960)="","Unknown",IFERROR(LEFT(TRIM(E1960),FIND(",",TRIM(E1960))-1),TRIM(E1960)))</f>
        <v>Philippines</v>
      </c>
      <c r="M1960" s="7" t="str">
        <f aca="false">IFERROR(LEFT(J1960,FIND(",",J1960)-1),J1960)</f>
        <v>Dramas</v>
      </c>
      <c r="N1960" s="7" t="n">
        <f aca="false">IF(B1960="Movie",IFERROR(VALUE(LEFT(I1960,FIND(" ",I1960)-1)),""),"")</f>
        <v>128</v>
      </c>
      <c r="O1960" s="7" t="str">
        <f aca="false">IF(B1960="TV Show",IFERROR(VALUE(LEFT(I1960,FIND(" ",I1960)-1)),""),"")</f>
        <v/>
      </c>
      <c r="P1960" s="7" t="n">
        <f aca="false">IF(K1960="","",K1960-G1960)</f>
        <v>5</v>
      </c>
    </row>
    <row r="1961" customFormat="false" ht="15" hidden="false" customHeight="false" outlineLevel="0" collapsed="false">
      <c r="A1961" s="7" t="n">
        <v>81010874</v>
      </c>
      <c r="B1961" s="7" t="s">
        <v>68</v>
      </c>
      <c r="C1961" s="7" t="s">
        <v>4349</v>
      </c>
      <c r="D1961" s="7" t="s">
        <v>4350</v>
      </c>
      <c r="E1961" s="7" t="s">
        <v>1269</v>
      </c>
      <c r="F1961" s="7" t="s">
        <v>4342</v>
      </c>
      <c r="G1961" s="7" t="n">
        <v>2015</v>
      </c>
      <c r="H1961" s="7" t="s">
        <v>48</v>
      </c>
      <c r="I1961" s="7" t="s">
        <v>470</v>
      </c>
      <c r="J1961" s="7" t="s">
        <v>426</v>
      </c>
      <c r="K1961" s="7" t="n">
        <f aca="false">IFERROR(VALUE(RIGHT(TRIM(F1961),4)),"")</f>
        <v>2019</v>
      </c>
      <c r="L1961" s="7" t="str">
        <f aca="false">IF(TRIM(E1961)="","Unknown",IFERROR(LEFT(TRIM(E1961),FIND(",",TRIM(E1961))-1),TRIM(E1961)))</f>
        <v>Philippines</v>
      </c>
      <c r="M1961" s="7" t="str">
        <f aca="false">IFERROR(LEFT(J1961,FIND(",",J1961)-1),J1961)</f>
        <v>International Movies</v>
      </c>
      <c r="N1961" s="7" t="n">
        <f aca="false">IF(B1961="Movie",IFERROR(VALUE(LEFT(I1961,FIND(" ",I1961)-1)),""),"")</f>
        <v>91</v>
      </c>
      <c r="O1961" s="7" t="str">
        <f aca="false">IF(B1961="TV Show",IFERROR(VALUE(LEFT(I1961,FIND(" ",I1961)-1)),""),"")</f>
        <v/>
      </c>
      <c r="P1961" s="7" t="n">
        <f aca="false">IF(K1961="","",K1961-G1961)</f>
        <v>4</v>
      </c>
    </row>
    <row r="1962" customFormat="false" ht="15" hidden="false" customHeight="false" outlineLevel="0" collapsed="false">
      <c r="A1962" s="7" t="n">
        <v>80075018</v>
      </c>
      <c r="B1962" s="7" t="s">
        <v>68</v>
      </c>
      <c r="C1962" s="7" t="s">
        <v>4351</v>
      </c>
      <c r="D1962" s="7" t="s">
        <v>4352</v>
      </c>
      <c r="E1962" s="7" t="s">
        <v>1269</v>
      </c>
      <c r="F1962" s="7" t="s">
        <v>4342</v>
      </c>
      <c r="G1962" s="7" t="n">
        <v>2015</v>
      </c>
      <c r="H1962" s="7" t="s">
        <v>48</v>
      </c>
      <c r="I1962" s="7" t="s">
        <v>378</v>
      </c>
      <c r="J1962" s="7" t="s">
        <v>240</v>
      </c>
      <c r="K1962" s="7" t="n">
        <f aca="false">IFERROR(VALUE(RIGHT(TRIM(F1962),4)),"")</f>
        <v>2019</v>
      </c>
      <c r="L1962" s="7" t="str">
        <f aca="false">IF(TRIM(E1962)="","Unknown",IFERROR(LEFT(TRIM(E1962),FIND(",",TRIM(E1962))-1),TRIM(E1962)))</f>
        <v>Philippines</v>
      </c>
      <c r="M1962" s="7" t="str">
        <f aca="false">IFERROR(LEFT(J1962,FIND(",",J1962)-1),J1962)</f>
        <v>Dramas</v>
      </c>
      <c r="N1962" s="7" t="n">
        <f aca="false">IF(B1962="Movie",IFERROR(VALUE(LEFT(I1962,FIND(" ",I1962)-1)),""),"")</f>
        <v>127</v>
      </c>
      <c r="O1962" s="7" t="str">
        <f aca="false">IF(B1962="TV Show",IFERROR(VALUE(LEFT(I1962,FIND(" ",I1962)-1)),""),"")</f>
        <v/>
      </c>
      <c r="P1962" s="7" t="n">
        <f aca="false">IF(K1962="","",K1962-G1962)</f>
        <v>4</v>
      </c>
    </row>
    <row r="1963" customFormat="false" ht="15" hidden="false" customHeight="false" outlineLevel="0" collapsed="false">
      <c r="A1963" s="7" t="n">
        <v>80238357</v>
      </c>
      <c r="B1963" s="7" t="s">
        <v>78</v>
      </c>
      <c r="C1963" s="7" t="s">
        <v>4353</v>
      </c>
      <c r="E1963" s="7" t="s">
        <v>26</v>
      </c>
      <c r="F1963" s="7" t="s">
        <v>4342</v>
      </c>
      <c r="G1963" s="7" t="n">
        <v>2019</v>
      </c>
      <c r="H1963" s="7" t="s">
        <v>48</v>
      </c>
      <c r="I1963" s="7" t="s">
        <v>82</v>
      </c>
      <c r="J1963" s="7" t="s">
        <v>1469</v>
      </c>
      <c r="K1963" s="7" t="n">
        <f aca="false">IFERROR(VALUE(RIGHT(TRIM(F1963),4)),"")</f>
        <v>2019</v>
      </c>
      <c r="L1963" s="7" t="str">
        <f aca="false">IF(TRIM(E1963)="","Unknown",IFERROR(LEFT(TRIM(E1963),FIND(",",TRIM(E1963))-1),TRIM(E1963)))</f>
        <v>United States</v>
      </c>
      <c r="M1963" s="7" t="str">
        <f aca="false">IFERROR(LEFT(J1963,FIND(",",J1963)-1),J1963)</f>
        <v>TV Dramas</v>
      </c>
      <c r="N1963" s="7" t="str">
        <f aca="false">IF(B1963="Movie",IFERROR(VALUE(LEFT(I1963,FIND(" ",I1963)-1)),""),"")</f>
        <v/>
      </c>
      <c r="O1963" s="7" t="n">
        <f aca="false">IF(B1963="TV Show",IFERROR(VALUE(LEFT(I1963,FIND(" ",I1963)-1)),""),"")</f>
        <v>1</v>
      </c>
      <c r="P1963" s="7" t="n">
        <f aca="false">IF(K1963="","",K1963-G1963)</f>
        <v>0</v>
      </c>
    </row>
    <row r="1964" customFormat="false" ht="15" hidden="false" customHeight="false" outlineLevel="0" collapsed="false">
      <c r="A1964" s="7" t="n">
        <v>70260374</v>
      </c>
      <c r="B1964" s="7" t="s">
        <v>68</v>
      </c>
      <c r="C1964" s="7" t="s">
        <v>4354</v>
      </c>
      <c r="D1964" s="7" t="s">
        <v>3625</v>
      </c>
      <c r="E1964" s="7" t="s">
        <v>4355</v>
      </c>
      <c r="F1964" s="7" t="s">
        <v>4356</v>
      </c>
      <c r="G1964" s="7" t="n">
        <v>2012</v>
      </c>
      <c r="H1964" s="7" t="s">
        <v>51</v>
      </c>
      <c r="I1964" s="7" t="s">
        <v>357</v>
      </c>
      <c r="J1964" s="7" t="s">
        <v>4357</v>
      </c>
      <c r="K1964" s="7" t="n">
        <f aca="false">IFERROR(VALUE(RIGHT(TRIM(F1964),4)),"")</f>
        <v>2018</v>
      </c>
      <c r="L1964" s="7" t="str">
        <f aca="false">IF(TRIM(E1964)="","Unknown",IFERROR(LEFT(TRIM(E1964),FIND(",",TRIM(E1964))-1),TRIM(E1964)))</f>
        <v>United States</v>
      </c>
      <c r="M1964" s="7" t="str">
        <f aca="false">IFERROR(LEFT(J1964,FIND(",",J1964)-1),J1964)</f>
        <v>Action &amp; Adventure</v>
      </c>
      <c r="N1964" s="7" t="n">
        <f aca="false">IF(B1964="Movie",IFERROR(VALUE(LEFT(I1964,FIND(" ",I1964)-1)),""),"")</f>
        <v>89</v>
      </c>
      <c r="O1964" s="7" t="str">
        <f aca="false">IF(B1964="TV Show",IFERROR(VALUE(LEFT(I1964,FIND(" ",I1964)-1)),""),"")</f>
        <v/>
      </c>
      <c r="P1964" s="7" t="n">
        <f aca="false">IF(K1964="","",K1964-G1964)</f>
        <v>6</v>
      </c>
    </row>
    <row r="1965" customFormat="false" ht="15" hidden="false" customHeight="false" outlineLevel="0" collapsed="false">
      <c r="A1965" s="7" t="n">
        <v>80190180</v>
      </c>
      <c r="B1965" s="7" t="s">
        <v>68</v>
      </c>
      <c r="C1965" s="7" t="s">
        <v>4358</v>
      </c>
      <c r="D1965" s="7" t="s">
        <v>4359</v>
      </c>
      <c r="E1965" s="7" t="s">
        <v>4360</v>
      </c>
      <c r="F1965" s="7" t="s">
        <v>4356</v>
      </c>
      <c r="G1965" s="7" t="n">
        <v>2017</v>
      </c>
      <c r="H1965" s="7" t="s">
        <v>51</v>
      </c>
      <c r="I1965" s="7" t="s">
        <v>77</v>
      </c>
      <c r="J1965" s="7" t="s">
        <v>358</v>
      </c>
      <c r="K1965" s="7" t="n">
        <f aca="false">IFERROR(VALUE(RIGHT(TRIM(F1965),4)),"")</f>
        <v>2018</v>
      </c>
      <c r="L1965" s="7" t="str">
        <f aca="false">IF(TRIM(E1965)="","Unknown",IFERROR(LEFT(TRIM(E1965),FIND(",",TRIM(E1965))-1),TRIM(E1965)))</f>
        <v>Bulgaria</v>
      </c>
      <c r="M1965" s="7" t="str">
        <f aca="false">IFERROR(LEFT(J1965,FIND(",",J1965)-1),J1965)</f>
        <v>International Movies</v>
      </c>
      <c r="N1965" s="7" t="n">
        <f aca="false">IF(B1965="Movie",IFERROR(VALUE(LEFT(I1965,FIND(" ",I1965)-1)),""),"")</f>
        <v>94</v>
      </c>
      <c r="O1965" s="7" t="str">
        <f aca="false">IF(B1965="TV Show",IFERROR(VALUE(LEFT(I1965,FIND(" ",I1965)-1)),""),"")</f>
        <v/>
      </c>
      <c r="P1965" s="7" t="n">
        <f aca="false">IF(K1965="","",K1965-G1965)</f>
        <v>1</v>
      </c>
    </row>
    <row r="1966" customFormat="false" ht="15" hidden="false" customHeight="false" outlineLevel="0" collapsed="false">
      <c r="A1966" s="7" t="n">
        <v>80150002</v>
      </c>
      <c r="B1966" s="7" t="s">
        <v>68</v>
      </c>
      <c r="C1966" s="7" t="s">
        <v>4361</v>
      </c>
      <c r="D1966" s="7" t="s">
        <v>4362</v>
      </c>
      <c r="E1966" s="7" t="s">
        <v>26</v>
      </c>
      <c r="F1966" s="7" t="s">
        <v>4363</v>
      </c>
      <c r="G1966" s="7" t="n">
        <v>2017</v>
      </c>
      <c r="H1966" s="7" t="s">
        <v>48</v>
      </c>
      <c r="I1966" s="7" t="s">
        <v>1164</v>
      </c>
      <c r="J1966" s="7" t="s">
        <v>45</v>
      </c>
      <c r="K1966" s="7" t="n">
        <f aca="false">IFERROR(VALUE(RIGHT(TRIM(F1966),4)),"")</f>
        <v>2017</v>
      </c>
      <c r="L1966" s="7" t="str">
        <f aca="false">IF(TRIM(E1966)="","Unknown",IFERROR(LEFT(TRIM(E1966),FIND(",",TRIM(E1966))-1),TRIM(E1966)))</f>
        <v>United States</v>
      </c>
      <c r="M1966" s="7" t="str">
        <f aca="false">IFERROR(LEFT(J1966,FIND(",",J1966)-1),J1966)</f>
        <v>Stand-Up Comedy</v>
      </c>
      <c r="N1966" s="7" t="n">
        <f aca="false">IF(B1966="Movie",IFERROR(VALUE(LEFT(I1966,FIND(" ",I1966)-1)),""),"")</f>
        <v>57</v>
      </c>
      <c r="O1966" s="7" t="str">
        <f aca="false">IF(B1966="TV Show",IFERROR(VALUE(LEFT(I1966,FIND(" ",I1966)-1)),""),"")</f>
        <v/>
      </c>
      <c r="P1966" s="7" t="n">
        <f aca="false">IF(K1966="","",K1966-G1966)</f>
        <v>0</v>
      </c>
    </row>
    <row r="1967" customFormat="false" ht="15" hidden="false" customHeight="false" outlineLevel="0" collapsed="false">
      <c r="A1967" s="7" t="n">
        <v>80079265</v>
      </c>
      <c r="B1967" s="7" t="s">
        <v>68</v>
      </c>
      <c r="C1967" s="7" t="s">
        <v>4364</v>
      </c>
      <c r="D1967" s="7" t="s">
        <v>4365</v>
      </c>
      <c r="E1967" s="7" t="s">
        <v>26</v>
      </c>
      <c r="F1967" s="7" t="s">
        <v>4366</v>
      </c>
      <c r="G1967" s="7" t="n">
        <v>2015</v>
      </c>
      <c r="H1967" s="7" t="s">
        <v>49</v>
      </c>
      <c r="I1967" s="7" t="s">
        <v>120</v>
      </c>
      <c r="J1967" s="7" t="s">
        <v>276</v>
      </c>
      <c r="K1967" s="7" t="n">
        <f aca="false">IFERROR(VALUE(RIGHT(TRIM(F1967),4)),"")</f>
        <v>2016</v>
      </c>
      <c r="L1967" s="7" t="str">
        <f aca="false">IF(TRIM(E1967)="","Unknown",IFERROR(LEFT(TRIM(E1967),FIND(",",TRIM(E1967))-1),TRIM(E1967)))</f>
        <v>United States</v>
      </c>
      <c r="M1967" s="7" t="str">
        <f aca="false">IFERROR(LEFT(J1967,FIND(",",J1967)-1),J1967)</f>
        <v>Action &amp; Adventure</v>
      </c>
      <c r="N1967" s="7" t="n">
        <f aca="false">IF(B1967="Movie",IFERROR(VALUE(LEFT(I1967,FIND(" ",I1967)-1)),""),"")</f>
        <v>65</v>
      </c>
      <c r="O1967" s="7" t="str">
        <f aca="false">IF(B1967="TV Show",IFERROR(VALUE(LEFT(I1967,FIND(" ",I1967)-1)),""),"")</f>
        <v/>
      </c>
      <c r="P1967" s="7" t="n">
        <f aca="false">IF(K1967="","",K1967-G1967)</f>
        <v>1</v>
      </c>
    </row>
    <row r="1968" customFormat="false" ht="15" hidden="false" customHeight="false" outlineLevel="0" collapsed="false">
      <c r="A1968" s="7" t="n">
        <v>80083977</v>
      </c>
      <c r="B1968" s="7" t="s">
        <v>78</v>
      </c>
      <c r="C1968" s="7" t="s">
        <v>4367</v>
      </c>
      <c r="E1968" s="7" t="s">
        <v>26</v>
      </c>
      <c r="F1968" s="7" t="s">
        <v>4368</v>
      </c>
      <c r="G1968" s="7" t="n">
        <v>2016</v>
      </c>
      <c r="H1968" s="7" t="s">
        <v>48</v>
      </c>
      <c r="I1968" s="7" t="s">
        <v>82</v>
      </c>
      <c r="J1968" s="7" t="s">
        <v>834</v>
      </c>
      <c r="K1968" s="7" t="n">
        <f aca="false">IFERROR(VALUE(RIGHT(TRIM(F1968),4)),"")</f>
        <v>2019</v>
      </c>
      <c r="L1968" s="7" t="str">
        <f aca="false">IF(TRIM(E1968)="","Unknown",IFERROR(LEFT(TRIM(E1968),FIND(",",TRIM(E1968))-1),TRIM(E1968)))</f>
        <v>United States</v>
      </c>
      <c r="M1968" s="7" t="str">
        <f aca="false">IFERROR(LEFT(J1968,FIND(",",J1968)-1),J1968)</f>
        <v>Crime TV Shows</v>
      </c>
      <c r="N1968" s="7" t="str">
        <f aca="false">IF(B1968="Movie",IFERROR(VALUE(LEFT(I1968,FIND(" ",I1968)-1)),""),"")</f>
        <v/>
      </c>
      <c r="O1968" s="7" t="n">
        <f aca="false">IF(B1968="TV Show",IFERROR(VALUE(LEFT(I1968,FIND(" ",I1968)-1)),""),"")</f>
        <v>1</v>
      </c>
      <c r="P1968" s="7" t="n">
        <f aca="false">IF(K1968="","",K1968-G1968)</f>
        <v>3</v>
      </c>
    </row>
    <row r="1969" customFormat="false" ht="15" hidden="false" customHeight="false" outlineLevel="0" collapsed="false">
      <c r="A1969" s="7" t="n">
        <v>81091015</v>
      </c>
      <c r="B1969" s="7" t="s">
        <v>78</v>
      </c>
      <c r="C1969" s="7" t="s">
        <v>4369</v>
      </c>
      <c r="E1969" s="7" t="s">
        <v>26</v>
      </c>
      <c r="F1969" s="7" t="s">
        <v>4368</v>
      </c>
      <c r="G1969" s="7" t="n">
        <v>2018</v>
      </c>
      <c r="H1969" s="7" t="s">
        <v>48</v>
      </c>
      <c r="I1969" s="7" t="s">
        <v>82</v>
      </c>
      <c r="J1969" s="7" t="s">
        <v>4370</v>
      </c>
      <c r="K1969" s="7" t="n">
        <f aca="false">IFERROR(VALUE(RIGHT(TRIM(F1969),4)),"")</f>
        <v>2019</v>
      </c>
      <c r="L1969" s="7" t="str">
        <f aca="false">IF(TRIM(E1969)="","Unknown",IFERROR(LEFT(TRIM(E1969),FIND(",",TRIM(E1969))-1),TRIM(E1969)))</f>
        <v>United States</v>
      </c>
      <c r="M1969" s="7" t="str">
        <f aca="false">IFERROR(LEFT(J1969,FIND(",",J1969)-1),J1969)</f>
        <v>Crime TV Shows</v>
      </c>
      <c r="N1969" s="7" t="str">
        <f aca="false">IF(B1969="Movie",IFERROR(VALUE(LEFT(I1969,FIND(" ",I1969)-1)),""),"")</f>
        <v/>
      </c>
      <c r="O1969" s="7" t="n">
        <f aca="false">IF(B1969="TV Show",IFERROR(VALUE(LEFT(I1969,FIND(" ",I1969)-1)),""),"")</f>
        <v>1</v>
      </c>
      <c r="P1969" s="7" t="n">
        <f aca="false">IF(K1969="","",K1969-G1969)</f>
        <v>1</v>
      </c>
    </row>
    <row r="1970" customFormat="false" ht="15" hidden="false" customHeight="false" outlineLevel="0" collapsed="false">
      <c r="A1970" s="7" t="n">
        <v>80238080</v>
      </c>
      <c r="B1970" s="7" t="s">
        <v>68</v>
      </c>
      <c r="C1970" s="7" t="s">
        <v>4371</v>
      </c>
      <c r="D1970" s="7" t="s">
        <v>4372</v>
      </c>
      <c r="E1970" s="7" t="s">
        <v>26</v>
      </c>
      <c r="F1970" s="7" t="s">
        <v>4373</v>
      </c>
      <c r="G1970" s="7" t="n">
        <v>2018</v>
      </c>
      <c r="H1970" s="7" t="s">
        <v>54</v>
      </c>
      <c r="I1970" s="7" t="s">
        <v>73</v>
      </c>
      <c r="J1970" s="7" t="s">
        <v>174</v>
      </c>
      <c r="K1970" s="7" t="n">
        <f aca="false">IFERROR(VALUE(RIGHT(TRIM(F1970),4)),"")</f>
        <v>2018</v>
      </c>
      <c r="L1970" s="7" t="str">
        <f aca="false">IF(TRIM(E1970)="","Unknown",IFERROR(LEFT(TRIM(E1970),FIND(",",TRIM(E1970))-1),TRIM(E1970)))</f>
        <v>United States</v>
      </c>
      <c r="M1970" s="7" t="str">
        <f aca="false">IFERROR(LEFT(J1970,FIND(",",J1970)-1),J1970)</f>
        <v>Children &amp; Family Movies</v>
      </c>
      <c r="N1970" s="7" t="n">
        <f aca="false">IF(B1970="Movie",IFERROR(VALUE(LEFT(I1970,FIND(" ",I1970)-1)),""),"")</f>
        <v>90</v>
      </c>
      <c r="O1970" s="7" t="str">
        <f aca="false">IF(B1970="TV Show",IFERROR(VALUE(LEFT(I1970,FIND(" ",I1970)-1)),""),"")</f>
        <v/>
      </c>
      <c r="P1970" s="7" t="n">
        <f aca="false">IF(K1970="","",K1970-G1970)</f>
        <v>0</v>
      </c>
    </row>
    <row r="1971" customFormat="false" ht="15" hidden="false" customHeight="false" outlineLevel="0" collapsed="false">
      <c r="A1971" s="7" t="n">
        <v>296682</v>
      </c>
      <c r="B1971" s="7" t="s">
        <v>68</v>
      </c>
      <c r="C1971" s="7" t="s">
        <v>4374</v>
      </c>
      <c r="D1971" s="7" t="s">
        <v>1305</v>
      </c>
      <c r="E1971" s="7" t="s">
        <v>26</v>
      </c>
      <c r="F1971" s="7" t="s">
        <v>4373</v>
      </c>
      <c r="G1971" s="7" t="n">
        <v>1974</v>
      </c>
      <c r="H1971" s="7" t="s">
        <v>612</v>
      </c>
      <c r="I1971" s="7" t="s">
        <v>212</v>
      </c>
      <c r="J1971" s="7" t="s">
        <v>2681</v>
      </c>
      <c r="K1971" s="7" t="n">
        <f aca="false">IFERROR(VALUE(RIGHT(TRIM(F1971),4)),"")</f>
        <v>2018</v>
      </c>
      <c r="L1971" s="7" t="str">
        <f aca="false">IF(TRIM(E1971)="","Unknown",IFERROR(LEFT(TRIM(E1971),FIND(",",TRIM(E1971))-1),TRIM(E1971)))</f>
        <v>United States</v>
      </c>
      <c r="M1971" s="7" t="str">
        <f aca="false">IFERROR(LEFT(J1971,FIND(",",J1971)-1),J1971)</f>
        <v>Children &amp; Family Movies</v>
      </c>
      <c r="N1971" s="7" t="n">
        <f aca="false">IF(B1971="Movie",IFERROR(VALUE(LEFT(I1971,FIND(" ",I1971)-1)),""),"")</f>
        <v>86</v>
      </c>
      <c r="O1971" s="7" t="str">
        <f aca="false">IF(B1971="TV Show",IFERROR(VALUE(LEFT(I1971,FIND(" ",I1971)-1)),""),"")</f>
        <v/>
      </c>
      <c r="P1971" s="7" t="n">
        <f aca="false">IF(K1971="","",K1971-G1971)</f>
        <v>44</v>
      </c>
    </row>
    <row r="1972" customFormat="false" ht="15" hidden="false" customHeight="false" outlineLevel="0" collapsed="false">
      <c r="A1972" s="7" t="n">
        <v>60037606</v>
      </c>
      <c r="B1972" s="7" t="s">
        <v>68</v>
      </c>
      <c r="C1972" s="7" t="s">
        <v>4375</v>
      </c>
      <c r="D1972" s="7" t="s">
        <v>1305</v>
      </c>
      <c r="E1972" s="7" t="s">
        <v>26</v>
      </c>
      <c r="F1972" s="7" t="s">
        <v>4373</v>
      </c>
      <c r="G1972" s="7" t="n">
        <v>2004</v>
      </c>
      <c r="H1972" s="7" t="s">
        <v>54</v>
      </c>
      <c r="I1972" s="7" t="s">
        <v>205</v>
      </c>
      <c r="J1972" s="7" t="s">
        <v>295</v>
      </c>
      <c r="K1972" s="7" t="n">
        <f aca="false">IFERROR(VALUE(RIGHT(TRIM(F1972),4)),"")</f>
        <v>2018</v>
      </c>
      <c r="L1972" s="7" t="str">
        <f aca="false">IF(TRIM(E1972)="","Unknown",IFERROR(LEFT(TRIM(E1972),FIND(",",TRIM(E1972))-1),TRIM(E1972)))</f>
        <v>United States</v>
      </c>
      <c r="M1972" s="7" t="str">
        <f aca="false">IFERROR(LEFT(J1972,FIND(",",J1972)-1),J1972)</f>
        <v>Children &amp; Family Movies</v>
      </c>
      <c r="N1972" s="7" t="n">
        <f aca="false">IF(B1972="Movie",IFERROR(VALUE(LEFT(I1972,FIND(" ",I1972)-1)),""),"")</f>
        <v>100</v>
      </c>
      <c r="O1972" s="7" t="str">
        <f aca="false">IF(B1972="TV Show",IFERROR(VALUE(LEFT(I1972,FIND(" ",I1972)-1)),""),"")</f>
        <v/>
      </c>
      <c r="P1972" s="7" t="n">
        <f aca="false">IF(K1972="","",K1972-G1972)</f>
        <v>14</v>
      </c>
    </row>
    <row r="1973" customFormat="false" ht="15" hidden="false" customHeight="false" outlineLevel="0" collapsed="false">
      <c r="A1973" s="7" t="n">
        <v>80174617</v>
      </c>
      <c r="B1973" s="7" t="s">
        <v>78</v>
      </c>
      <c r="C1973" s="7" t="s">
        <v>4376</v>
      </c>
      <c r="E1973" s="7" t="s">
        <v>4377</v>
      </c>
      <c r="F1973" s="7" t="s">
        <v>4373</v>
      </c>
      <c r="G1973" s="7" t="n">
        <v>2017</v>
      </c>
      <c r="H1973" s="7" t="s">
        <v>48</v>
      </c>
      <c r="I1973" s="7" t="s">
        <v>82</v>
      </c>
      <c r="J1973" s="7" t="s">
        <v>402</v>
      </c>
      <c r="K1973" s="7" t="n">
        <f aca="false">IFERROR(VALUE(RIGHT(TRIM(F1973),4)),"")</f>
        <v>2018</v>
      </c>
      <c r="L1973" s="7" t="str">
        <f aca="false">IF(TRIM(E1973)="","Unknown",IFERROR(LEFT(TRIM(E1973),FIND(",",TRIM(E1973))-1),TRIM(E1973)))</f>
        <v>Norway</v>
      </c>
      <c r="M1973" s="7" t="str">
        <f aca="false">IFERROR(LEFT(J1973,FIND(",",J1973)-1),J1973)</f>
        <v>Crime TV Shows</v>
      </c>
      <c r="N1973" s="7" t="str">
        <f aca="false">IF(B1973="Movie",IFERROR(VALUE(LEFT(I1973,FIND(" ",I1973)-1)),""),"")</f>
        <v/>
      </c>
      <c r="O1973" s="7" t="n">
        <f aca="false">IF(B1973="TV Show",IFERROR(VALUE(LEFT(I1973,FIND(" ",I1973)-1)),""),"")</f>
        <v>1</v>
      </c>
      <c r="P1973" s="7" t="n">
        <f aca="false">IF(K1973="","",K1973-G1973)</f>
        <v>1</v>
      </c>
    </row>
    <row r="1974" customFormat="false" ht="15" hidden="false" customHeight="false" outlineLevel="0" collapsed="false">
      <c r="A1974" s="7" t="n">
        <v>516154</v>
      </c>
      <c r="B1974" s="7" t="s">
        <v>68</v>
      </c>
      <c r="C1974" s="7" t="s">
        <v>4378</v>
      </c>
      <c r="D1974" s="7" t="s">
        <v>1305</v>
      </c>
      <c r="E1974" s="7" t="s">
        <v>26</v>
      </c>
      <c r="F1974" s="7" t="s">
        <v>4373</v>
      </c>
      <c r="G1974" s="7" t="n">
        <v>1977</v>
      </c>
      <c r="H1974" s="7" t="s">
        <v>612</v>
      </c>
      <c r="I1974" s="7" t="s">
        <v>613</v>
      </c>
      <c r="J1974" s="7" t="s">
        <v>42</v>
      </c>
      <c r="K1974" s="7" t="n">
        <f aca="false">IFERROR(VALUE(RIGHT(TRIM(F1974),4)),"")</f>
        <v>2018</v>
      </c>
      <c r="L1974" s="7" t="str">
        <f aca="false">IF(TRIM(E1974)="","Unknown",IFERROR(LEFT(TRIM(E1974),FIND(",",TRIM(E1974))-1),TRIM(E1974)))</f>
        <v>United States</v>
      </c>
      <c r="M1974" s="7" t="str">
        <f aca="false">IFERROR(LEFT(J1974,FIND(",",J1974)-1),J1974)</f>
        <v>Children &amp; Family Movies</v>
      </c>
      <c r="N1974" s="7" t="n">
        <f aca="false">IF(B1974="Movie",IFERROR(VALUE(LEFT(I1974,FIND(" ",I1974)-1)),""),"")</f>
        <v>84</v>
      </c>
      <c r="O1974" s="7" t="str">
        <f aca="false">IF(B1974="TV Show",IFERROR(VALUE(LEFT(I1974,FIND(" ",I1974)-1)),""),"")</f>
        <v/>
      </c>
      <c r="P1974" s="7" t="n">
        <f aca="false">IF(K1974="","",K1974-G1974)</f>
        <v>41</v>
      </c>
    </row>
    <row r="1975" customFormat="false" ht="15" hidden="false" customHeight="false" outlineLevel="0" collapsed="false">
      <c r="A1975" s="7" t="n">
        <v>80170187</v>
      </c>
      <c r="B1975" s="7" t="s">
        <v>68</v>
      </c>
      <c r="C1975" s="7" t="s">
        <v>4379</v>
      </c>
      <c r="D1975" s="7" t="s">
        <v>860</v>
      </c>
      <c r="E1975" s="7" t="s">
        <v>26</v>
      </c>
      <c r="F1975" s="7" t="s">
        <v>4373</v>
      </c>
      <c r="G1975" s="7" t="n">
        <v>2018</v>
      </c>
      <c r="H1975" s="7" t="s">
        <v>49</v>
      </c>
      <c r="I1975" s="7" t="s">
        <v>114</v>
      </c>
      <c r="J1975" s="7" t="s">
        <v>45</v>
      </c>
      <c r="K1975" s="7" t="n">
        <f aca="false">IFERROR(VALUE(RIGHT(TRIM(F1975),4)),"")</f>
        <v>2018</v>
      </c>
      <c r="L1975" s="7" t="str">
        <f aca="false">IF(TRIM(E1975)="","Unknown",IFERROR(LEFT(TRIM(E1975),FIND(",",TRIM(E1975))-1),TRIM(E1975)))</f>
        <v>United States</v>
      </c>
      <c r="M1975" s="7" t="str">
        <f aca="false">IFERROR(LEFT(J1975,FIND(",",J1975)-1),J1975)</f>
        <v>Stand-Up Comedy</v>
      </c>
      <c r="N1975" s="7" t="n">
        <f aca="false">IF(B1975="Movie",IFERROR(VALUE(LEFT(I1975,FIND(" ",I1975)-1)),""),"")</f>
        <v>58</v>
      </c>
      <c r="O1975" s="7" t="str">
        <f aca="false">IF(B1975="TV Show",IFERROR(VALUE(LEFT(I1975,FIND(" ",I1975)-1)),""),"")</f>
        <v/>
      </c>
      <c r="P1975" s="7" t="n">
        <f aca="false">IF(K1975="","",K1975-G1975)</f>
        <v>0</v>
      </c>
    </row>
    <row r="1976" customFormat="false" ht="15" hidden="false" customHeight="false" outlineLevel="0" collapsed="false">
      <c r="A1976" s="7" t="n">
        <v>80174137</v>
      </c>
      <c r="B1976" s="7" t="s">
        <v>68</v>
      </c>
      <c r="C1976" s="7" t="s">
        <v>4380</v>
      </c>
      <c r="D1976" s="7" t="s">
        <v>4381</v>
      </c>
      <c r="E1976" s="7" t="s">
        <v>26</v>
      </c>
      <c r="F1976" s="7" t="s">
        <v>4373</v>
      </c>
      <c r="G1976" s="7" t="n">
        <v>2017</v>
      </c>
      <c r="H1976" s="7" t="s">
        <v>48</v>
      </c>
      <c r="I1976" s="7" t="s">
        <v>111</v>
      </c>
      <c r="J1976" s="7" t="s">
        <v>150</v>
      </c>
      <c r="K1976" s="7" t="n">
        <f aca="false">IFERROR(VALUE(RIGHT(TRIM(F1976),4)),"")</f>
        <v>2018</v>
      </c>
      <c r="L1976" s="7" t="str">
        <f aca="false">IF(TRIM(E1976)="","Unknown",IFERROR(LEFT(TRIM(E1976),FIND(",",TRIM(E1976))-1),TRIM(E1976)))</f>
        <v>United States</v>
      </c>
      <c r="M1976" s="7" t="str">
        <f aca="false">IFERROR(LEFT(J1976,FIND(",",J1976)-1),J1976)</f>
        <v>Dramas</v>
      </c>
      <c r="N1976" s="7" t="n">
        <f aca="false">IF(B1976="Movie",IFERROR(VALUE(LEFT(I1976,FIND(" ",I1976)-1)),""),"")</f>
        <v>95</v>
      </c>
      <c r="O1976" s="7" t="str">
        <f aca="false">IF(B1976="TV Show",IFERROR(VALUE(LEFT(I1976,FIND(" ",I1976)-1)),""),"")</f>
        <v/>
      </c>
      <c r="P1976" s="7" t="n">
        <f aca="false">IF(K1976="","",K1976-G1976)</f>
        <v>1</v>
      </c>
    </row>
    <row r="1977" customFormat="false" ht="15" hidden="false" customHeight="false" outlineLevel="0" collapsed="false">
      <c r="A1977" s="7" t="n">
        <v>80038296</v>
      </c>
      <c r="B1977" s="7" t="s">
        <v>68</v>
      </c>
      <c r="C1977" s="7" t="s">
        <v>4382</v>
      </c>
      <c r="D1977" s="7" t="s">
        <v>4383</v>
      </c>
      <c r="E1977" s="7" t="s">
        <v>26</v>
      </c>
      <c r="F1977" s="7" t="s">
        <v>4384</v>
      </c>
      <c r="G1977" s="7" t="n">
        <v>2015</v>
      </c>
      <c r="H1977" s="7" t="s">
        <v>48</v>
      </c>
      <c r="I1977" s="7" t="s">
        <v>114</v>
      </c>
      <c r="J1977" s="7" t="s">
        <v>45</v>
      </c>
      <c r="K1977" s="7" t="n">
        <f aca="false">IFERROR(VALUE(RIGHT(TRIM(F1977),4)),"")</f>
        <v>2015</v>
      </c>
      <c r="L1977" s="7" t="str">
        <f aca="false">IF(TRIM(E1977)="","Unknown",IFERROR(LEFT(TRIM(E1977),FIND(",",TRIM(E1977))-1),TRIM(E1977)))</f>
        <v>United States</v>
      </c>
      <c r="M1977" s="7" t="str">
        <f aca="false">IFERROR(LEFT(J1977,FIND(",",J1977)-1),J1977)</f>
        <v>Stand-Up Comedy</v>
      </c>
      <c r="N1977" s="7" t="n">
        <f aca="false">IF(B1977="Movie",IFERROR(VALUE(LEFT(I1977,FIND(" ",I1977)-1)),""),"")</f>
        <v>58</v>
      </c>
      <c r="O1977" s="7" t="str">
        <f aca="false">IF(B1977="TV Show",IFERROR(VALUE(LEFT(I1977,FIND(" ",I1977)-1)),""),"")</f>
        <v/>
      </c>
      <c r="P1977" s="7" t="n">
        <f aca="false">IF(K1977="","",K1977-G1977)</f>
        <v>0</v>
      </c>
    </row>
    <row r="1978" customFormat="false" ht="15" hidden="false" customHeight="false" outlineLevel="0" collapsed="false">
      <c r="A1978" s="7" t="n">
        <v>80011848</v>
      </c>
      <c r="B1978" s="7" t="s">
        <v>68</v>
      </c>
      <c r="C1978" s="7" t="s">
        <v>4385</v>
      </c>
      <c r="D1978" s="7" t="s">
        <v>4386</v>
      </c>
      <c r="E1978" s="7" t="s">
        <v>26</v>
      </c>
      <c r="F1978" s="7" t="s">
        <v>4384</v>
      </c>
      <c r="G1978" s="7" t="n">
        <v>2015</v>
      </c>
      <c r="H1978" s="7" t="s">
        <v>53</v>
      </c>
      <c r="I1978" s="7" t="s">
        <v>437</v>
      </c>
      <c r="J1978" s="7" t="s">
        <v>39</v>
      </c>
      <c r="K1978" s="7" t="n">
        <f aca="false">IFERROR(VALUE(RIGHT(TRIM(F1978),4)),"")</f>
        <v>2015</v>
      </c>
      <c r="L1978" s="7" t="str">
        <f aca="false">IF(TRIM(E1978)="","Unknown",IFERROR(LEFT(TRIM(E1978),FIND(",",TRIM(E1978))-1),TRIM(E1978)))</f>
        <v>United States</v>
      </c>
      <c r="M1978" s="7" t="str">
        <f aca="false">IFERROR(LEFT(J1978,FIND(",",J1978)-1),J1978)</f>
        <v>Documentaries</v>
      </c>
      <c r="N1978" s="7" t="n">
        <f aca="false">IF(B1978="Movie",IFERROR(VALUE(LEFT(I1978,FIND(" ",I1978)-1)),""),"")</f>
        <v>82</v>
      </c>
      <c r="O1978" s="7" t="str">
        <f aca="false">IF(B1978="TV Show",IFERROR(VALUE(LEFT(I1978,FIND(" ",I1978)-1)),""),"")</f>
        <v/>
      </c>
      <c r="P1978" s="7" t="n">
        <f aca="false">IF(K1978="","",K1978-G1978)</f>
        <v>0</v>
      </c>
    </row>
    <row r="1979" customFormat="false" ht="15" hidden="false" customHeight="false" outlineLevel="0" collapsed="false">
      <c r="A1979" s="7" t="n">
        <v>80214405</v>
      </c>
      <c r="B1979" s="7" t="s">
        <v>78</v>
      </c>
      <c r="C1979" s="7" t="s">
        <v>4387</v>
      </c>
      <c r="E1979" s="7" t="s">
        <v>32</v>
      </c>
      <c r="F1979" s="7" t="s">
        <v>4388</v>
      </c>
      <c r="G1979" s="7" t="n">
        <v>2017</v>
      </c>
      <c r="H1979" s="7" t="s">
        <v>48</v>
      </c>
      <c r="I1979" s="7" t="s">
        <v>82</v>
      </c>
      <c r="J1979" s="7" t="s">
        <v>637</v>
      </c>
      <c r="K1979" s="7" t="n">
        <f aca="false">IFERROR(VALUE(RIGHT(TRIM(F1979),4)),"")</f>
        <v>2019</v>
      </c>
      <c r="L1979" s="7" t="str">
        <f aca="false">IF(TRIM(E1979)="","Unknown",IFERROR(LEFT(TRIM(E1979),FIND(",",TRIM(E1979))-1),TRIM(E1979)))</f>
        <v>South Korea</v>
      </c>
      <c r="M1979" s="7" t="str">
        <f aca="false">IFERROR(LEFT(J1979,FIND(",",J1979)-1),J1979)</f>
        <v>International TV Shows</v>
      </c>
      <c r="N1979" s="7" t="str">
        <f aca="false">IF(B1979="Movie",IFERROR(VALUE(LEFT(I1979,FIND(" ",I1979)-1)),""),"")</f>
        <v/>
      </c>
      <c r="O1979" s="7" t="n">
        <f aca="false">IF(B1979="TV Show",IFERROR(VALUE(LEFT(I1979,FIND(" ",I1979)-1)),""),"")</f>
        <v>1</v>
      </c>
      <c r="P1979" s="7" t="n">
        <f aca="false">IF(K1979="","",K1979-G1979)</f>
        <v>2</v>
      </c>
    </row>
    <row r="1980" customFormat="false" ht="15" hidden="false" customHeight="false" outlineLevel="0" collapsed="false">
      <c r="A1980" s="7" t="n">
        <v>70100381</v>
      </c>
      <c r="B1980" s="7" t="s">
        <v>68</v>
      </c>
      <c r="C1980" s="7" t="s">
        <v>4389</v>
      </c>
      <c r="D1980" s="7" t="s">
        <v>4390</v>
      </c>
      <c r="E1980" s="7" t="s">
        <v>26</v>
      </c>
      <c r="F1980" s="7" t="s">
        <v>4388</v>
      </c>
      <c r="G1980" s="7" t="n">
        <v>2008</v>
      </c>
      <c r="H1980" s="7" t="s">
        <v>54</v>
      </c>
      <c r="I1980" s="7" t="s">
        <v>205</v>
      </c>
      <c r="J1980" s="7" t="s">
        <v>74</v>
      </c>
      <c r="K1980" s="7" t="n">
        <f aca="false">IFERROR(VALUE(RIGHT(TRIM(F1980),4)),"")</f>
        <v>2019</v>
      </c>
      <c r="L1980" s="7" t="str">
        <f aca="false">IF(TRIM(E1980)="","Unknown",IFERROR(LEFT(TRIM(E1980),FIND(",",TRIM(E1980))-1),TRIM(E1980)))</f>
        <v>United States</v>
      </c>
      <c r="M1980" s="7" t="str">
        <f aca="false">IFERROR(LEFT(J1980,FIND(",",J1980)-1),J1980)</f>
        <v>Children &amp; Family Movies</v>
      </c>
      <c r="N1980" s="7" t="n">
        <f aca="false">IF(B1980="Movie",IFERROR(VALUE(LEFT(I1980,FIND(" ",I1980)-1)),""),"")</f>
        <v>100</v>
      </c>
      <c r="O1980" s="7" t="str">
        <f aca="false">IF(B1980="TV Show",IFERROR(VALUE(LEFT(I1980,FIND(" ",I1980)-1)),""),"")</f>
        <v/>
      </c>
      <c r="P1980" s="7" t="n">
        <f aca="false">IF(K1980="","",K1980-G1980)</f>
        <v>11</v>
      </c>
    </row>
    <row r="1981" customFormat="false" ht="15" hidden="false" customHeight="false" outlineLevel="0" collapsed="false">
      <c r="A1981" s="7" t="n">
        <v>70110919</v>
      </c>
      <c r="B1981" s="7" t="s">
        <v>68</v>
      </c>
      <c r="C1981" s="7" t="s">
        <v>4391</v>
      </c>
      <c r="D1981" s="7" t="s">
        <v>4392</v>
      </c>
      <c r="E1981" s="7" t="s">
        <v>1269</v>
      </c>
      <c r="F1981" s="7" t="s">
        <v>4388</v>
      </c>
      <c r="G1981" s="7" t="n">
        <v>2008</v>
      </c>
      <c r="H1981" s="7" t="s">
        <v>49</v>
      </c>
      <c r="I1981" s="7" t="s">
        <v>1707</v>
      </c>
      <c r="J1981" s="7" t="s">
        <v>304</v>
      </c>
      <c r="K1981" s="7" t="n">
        <f aca="false">IFERROR(VALUE(RIGHT(TRIM(F1981),4)),"")</f>
        <v>2019</v>
      </c>
      <c r="L1981" s="7" t="str">
        <f aca="false">IF(TRIM(E1981)="","Unknown",IFERROR(LEFT(TRIM(E1981),FIND(",",TRIM(E1981))-1),TRIM(E1981)))</f>
        <v>Philippines</v>
      </c>
      <c r="M1981" s="7" t="str">
        <f aca="false">IFERROR(LEFT(J1981,FIND(",",J1981)-1),J1981)</f>
        <v>Dramas</v>
      </c>
      <c r="N1981" s="7" t="n">
        <f aca="false">IF(B1981="Movie",IFERROR(VALUE(LEFT(I1981,FIND(" ",I1981)-1)),""),"")</f>
        <v>131</v>
      </c>
      <c r="O1981" s="7" t="str">
        <f aca="false">IF(B1981="TV Show",IFERROR(VALUE(LEFT(I1981,FIND(" ",I1981)-1)),""),"")</f>
        <v/>
      </c>
      <c r="P1981" s="7" t="n">
        <f aca="false">IF(K1981="","",K1981-G1981)</f>
        <v>11</v>
      </c>
    </row>
    <row r="1982" customFormat="false" ht="15" hidden="false" customHeight="false" outlineLevel="0" collapsed="false">
      <c r="A1982" s="7" t="n">
        <v>80221560</v>
      </c>
      <c r="B1982" s="7" t="s">
        <v>68</v>
      </c>
      <c r="C1982" s="7" t="s">
        <v>4393</v>
      </c>
      <c r="D1982" s="7" t="s">
        <v>4394</v>
      </c>
      <c r="E1982" s="7" t="s">
        <v>26</v>
      </c>
      <c r="F1982" s="7" t="s">
        <v>4388</v>
      </c>
      <c r="G1982" s="7" t="n">
        <v>2018</v>
      </c>
      <c r="H1982" s="7" t="s">
        <v>54</v>
      </c>
      <c r="I1982" s="7" t="s">
        <v>417</v>
      </c>
      <c r="J1982" s="7" t="s">
        <v>986</v>
      </c>
      <c r="K1982" s="7" t="n">
        <f aca="false">IFERROR(VALUE(RIGHT(TRIM(F1982),4)),"")</f>
        <v>2019</v>
      </c>
      <c r="L1982" s="7" t="str">
        <f aca="false">IF(TRIM(E1982)="","Unknown",IFERROR(LEFT(TRIM(E1982),FIND(",",TRIM(E1982))-1),TRIM(E1982)))</f>
        <v>United States</v>
      </c>
      <c r="M1982" s="7" t="str">
        <f aca="false">IFERROR(LEFT(J1982,FIND(",",J1982)-1),J1982)</f>
        <v>Children &amp; Family Movies</v>
      </c>
      <c r="N1982" s="7" t="n">
        <f aca="false">IF(B1982="Movie",IFERROR(VALUE(LEFT(I1982,FIND(" ",I1982)-1)),""),"")</f>
        <v>104</v>
      </c>
      <c r="O1982" s="7" t="str">
        <f aca="false">IF(B1982="TV Show",IFERROR(VALUE(LEFT(I1982,FIND(" ",I1982)-1)),""),"")</f>
        <v/>
      </c>
      <c r="P1982" s="7" t="n">
        <f aca="false">IF(K1982="","",K1982-G1982)</f>
        <v>1</v>
      </c>
    </row>
    <row r="1983" customFormat="false" ht="15" hidden="false" customHeight="false" outlineLevel="0" collapsed="false">
      <c r="A1983" s="7" t="n">
        <v>80200961</v>
      </c>
      <c r="B1983" s="7" t="s">
        <v>68</v>
      </c>
      <c r="C1983" s="7" t="s">
        <v>4395</v>
      </c>
      <c r="D1983" s="7" t="s">
        <v>4396</v>
      </c>
      <c r="E1983" s="7" t="s">
        <v>26</v>
      </c>
      <c r="F1983" s="7" t="s">
        <v>4388</v>
      </c>
      <c r="G1983" s="7" t="n">
        <v>2019</v>
      </c>
      <c r="H1983" s="7" t="s">
        <v>48</v>
      </c>
      <c r="I1983" s="7" t="s">
        <v>77</v>
      </c>
      <c r="J1983" s="7" t="s">
        <v>40</v>
      </c>
      <c r="K1983" s="7" t="n">
        <f aca="false">IFERROR(VALUE(RIGHT(TRIM(F1983),4)),"")</f>
        <v>2019</v>
      </c>
      <c r="L1983" s="7" t="str">
        <f aca="false">IF(TRIM(E1983)="","Unknown",IFERROR(LEFT(TRIM(E1983),FIND(",",TRIM(E1983))-1),TRIM(E1983)))</f>
        <v>United States</v>
      </c>
      <c r="M1983" s="7" t="str">
        <f aca="false">IFERROR(LEFT(J1983,FIND(",",J1983)-1),J1983)</f>
        <v>Action &amp; Adventure</v>
      </c>
      <c r="N1983" s="7" t="n">
        <f aca="false">IF(B1983="Movie",IFERROR(VALUE(LEFT(I1983,FIND(" ",I1983)-1)),""),"")</f>
        <v>94</v>
      </c>
      <c r="O1983" s="7" t="str">
        <f aca="false">IF(B1983="TV Show",IFERROR(VALUE(LEFT(I1983,FIND(" ",I1983)-1)),""),"")</f>
        <v/>
      </c>
      <c r="P1983" s="7" t="n">
        <f aca="false">IF(K1983="","",K1983-G1983)</f>
        <v>0</v>
      </c>
    </row>
    <row r="1984" customFormat="false" ht="15" hidden="false" customHeight="false" outlineLevel="0" collapsed="false">
      <c r="A1984" s="7" t="n">
        <v>80214580</v>
      </c>
      <c r="B1984" s="7" t="s">
        <v>68</v>
      </c>
      <c r="C1984" s="7" t="s">
        <v>4397</v>
      </c>
      <c r="D1984" s="7" t="s">
        <v>4398</v>
      </c>
      <c r="E1984" s="7" t="s">
        <v>26</v>
      </c>
      <c r="F1984" s="7" t="s">
        <v>4399</v>
      </c>
      <c r="G1984" s="7" t="n">
        <v>2017</v>
      </c>
      <c r="H1984" s="7" t="s">
        <v>48</v>
      </c>
      <c r="I1984" s="7" t="s">
        <v>311</v>
      </c>
      <c r="J1984" s="7" t="s">
        <v>177</v>
      </c>
      <c r="K1984" s="7" t="n">
        <f aca="false">IFERROR(VALUE(RIGHT(TRIM(F1984),4)),"")</f>
        <v>2018</v>
      </c>
      <c r="L1984" s="7" t="str">
        <f aca="false">IF(TRIM(E1984)="","Unknown",IFERROR(LEFT(TRIM(E1984),FIND(",",TRIM(E1984))-1),TRIM(E1984)))</f>
        <v>United States</v>
      </c>
      <c r="M1984" s="7" t="str">
        <f aca="false">IFERROR(LEFT(J1984,FIND(",",J1984)-1),J1984)</f>
        <v>Comedies</v>
      </c>
      <c r="N1984" s="7" t="n">
        <f aca="false">IF(B1984="Movie",IFERROR(VALUE(LEFT(I1984,FIND(" ",I1984)-1)),""),"")</f>
        <v>92</v>
      </c>
      <c r="O1984" s="7" t="str">
        <f aca="false">IF(B1984="TV Show",IFERROR(VALUE(LEFT(I1984,FIND(" ",I1984)-1)),""),"")</f>
        <v/>
      </c>
      <c r="P1984" s="7" t="n">
        <f aca="false">IF(K1984="","",K1984-G1984)</f>
        <v>1</v>
      </c>
    </row>
    <row r="1985" customFormat="false" ht="15" hidden="false" customHeight="false" outlineLevel="0" collapsed="false">
      <c r="A1985" s="7" t="n">
        <v>80085013</v>
      </c>
      <c r="B1985" s="7" t="s">
        <v>68</v>
      </c>
      <c r="C1985" s="7" t="s">
        <v>4400</v>
      </c>
      <c r="D1985" s="7" t="s">
        <v>4401</v>
      </c>
      <c r="E1985" s="7" t="s">
        <v>1269</v>
      </c>
      <c r="F1985" s="7" t="s">
        <v>4402</v>
      </c>
      <c r="G1985" s="7" t="n">
        <v>2015</v>
      </c>
      <c r="H1985" s="7" t="s">
        <v>50</v>
      </c>
      <c r="I1985" s="7" t="s">
        <v>549</v>
      </c>
      <c r="J1985" s="7" t="s">
        <v>426</v>
      </c>
      <c r="K1985" s="7" t="n">
        <f aca="false">IFERROR(VALUE(RIGHT(TRIM(F1985),4)),"")</f>
        <v>2019</v>
      </c>
      <c r="L1985" s="7" t="str">
        <f aca="false">IF(TRIM(E1985)="","Unknown",IFERROR(LEFT(TRIM(E1985),FIND(",",TRIM(E1985))-1),TRIM(E1985)))</f>
        <v>Philippines</v>
      </c>
      <c r="M1985" s="7" t="str">
        <f aca="false">IFERROR(LEFT(J1985,FIND(",",J1985)-1),J1985)</f>
        <v>International Movies</v>
      </c>
      <c r="N1985" s="7" t="n">
        <f aca="false">IF(B1985="Movie",IFERROR(VALUE(LEFT(I1985,FIND(" ",I1985)-1)),""),"")</f>
        <v>124</v>
      </c>
      <c r="O1985" s="7" t="str">
        <f aca="false">IF(B1985="TV Show",IFERROR(VALUE(LEFT(I1985,FIND(" ",I1985)-1)),""),"")</f>
        <v/>
      </c>
      <c r="P1985" s="7" t="n">
        <f aca="false">IF(K1985="","",K1985-G1985)</f>
        <v>4</v>
      </c>
    </row>
    <row r="1986" customFormat="false" ht="15" hidden="false" customHeight="false" outlineLevel="0" collapsed="false">
      <c r="A1986" s="7" t="n">
        <v>81077597</v>
      </c>
      <c r="B1986" s="7" t="s">
        <v>68</v>
      </c>
      <c r="C1986" s="7" t="s">
        <v>4403</v>
      </c>
      <c r="D1986" s="7" t="s">
        <v>988</v>
      </c>
      <c r="E1986" s="7" t="s">
        <v>4404</v>
      </c>
      <c r="F1986" s="7" t="s">
        <v>4402</v>
      </c>
      <c r="G1986" s="7" t="n">
        <v>2010</v>
      </c>
      <c r="H1986" s="7" t="s">
        <v>48</v>
      </c>
      <c r="I1986" s="7" t="s">
        <v>173</v>
      </c>
      <c r="J1986" s="7" t="s">
        <v>188</v>
      </c>
      <c r="K1986" s="7" t="n">
        <f aca="false">IFERROR(VALUE(RIGHT(TRIM(F1986),4)),"")</f>
        <v>2019</v>
      </c>
      <c r="L1986" s="7" t="str">
        <f aca="false">IF(TRIM(E1986)="","Unknown",IFERROR(LEFT(TRIM(E1986),FIND(",",TRIM(E1986))-1),TRIM(E1986)))</f>
        <v>India</v>
      </c>
      <c r="M1986" s="7" t="str">
        <f aca="false">IFERROR(LEFT(J1986,FIND(",",J1986)-1),J1986)</f>
        <v>Dramas</v>
      </c>
      <c r="N1986" s="7" t="n">
        <f aca="false">IF(B1986="Movie",IFERROR(VALUE(LEFT(I1986,FIND(" ",I1986)-1)),""),"")</f>
        <v>106</v>
      </c>
      <c r="O1986" s="7" t="str">
        <f aca="false">IF(B1986="TV Show",IFERROR(VALUE(LEFT(I1986,FIND(" ",I1986)-1)),""),"")</f>
        <v/>
      </c>
      <c r="P1986" s="7" t="n">
        <f aca="false">IF(K1986="","",K1986-G1986)</f>
        <v>9</v>
      </c>
    </row>
    <row r="1987" customFormat="false" ht="15" hidden="false" customHeight="false" outlineLevel="0" collapsed="false">
      <c r="A1987" s="7" t="n">
        <v>80049193</v>
      </c>
      <c r="B1987" s="7" t="s">
        <v>68</v>
      </c>
      <c r="C1987" s="7" t="s">
        <v>4405</v>
      </c>
      <c r="D1987" s="7" t="s">
        <v>4406</v>
      </c>
      <c r="E1987" s="7" t="s">
        <v>1269</v>
      </c>
      <c r="F1987" s="7" t="s">
        <v>4402</v>
      </c>
      <c r="G1987" s="7" t="n">
        <v>2015</v>
      </c>
      <c r="H1987" s="7" t="s">
        <v>49</v>
      </c>
      <c r="I1987" s="7" t="s">
        <v>268</v>
      </c>
      <c r="J1987" s="7" t="s">
        <v>1003</v>
      </c>
      <c r="K1987" s="7" t="n">
        <f aca="false">IFERROR(VALUE(RIGHT(TRIM(F1987),4)),"")</f>
        <v>2019</v>
      </c>
      <c r="L1987" s="7" t="str">
        <f aca="false">IF(TRIM(E1987)="","Unknown",IFERROR(LEFT(TRIM(E1987),FIND(",",TRIM(E1987))-1),TRIM(E1987)))</f>
        <v>Philippines</v>
      </c>
      <c r="M1987" s="7" t="str">
        <f aca="false">IFERROR(LEFT(J1987,FIND(",",J1987)-1),J1987)</f>
        <v>Dramas</v>
      </c>
      <c r="N1987" s="7" t="n">
        <f aca="false">IF(B1987="Movie",IFERROR(VALUE(LEFT(I1987,FIND(" ",I1987)-1)),""),"")</f>
        <v>108</v>
      </c>
      <c r="O1987" s="7" t="str">
        <f aca="false">IF(B1987="TV Show",IFERROR(VALUE(LEFT(I1987,FIND(" ",I1987)-1)),""),"")</f>
        <v/>
      </c>
      <c r="P1987" s="7" t="n">
        <f aca="false">IF(K1987="","",K1987-G1987)</f>
        <v>4</v>
      </c>
    </row>
    <row r="1988" customFormat="false" ht="15" hidden="false" customHeight="false" outlineLevel="0" collapsed="false">
      <c r="A1988" s="7" t="n">
        <v>70039783</v>
      </c>
      <c r="B1988" s="7" t="s">
        <v>68</v>
      </c>
      <c r="C1988" s="7" t="s">
        <v>4407</v>
      </c>
      <c r="D1988" s="7" t="s">
        <v>4346</v>
      </c>
      <c r="F1988" s="7" t="s">
        <v>4402</v>
      </c>
      <c r="G1988" s="7" t="n">
        <v>2013</v>
      </c>
      <c r="H1988" s="7" t="s">
        <v>49</v>
      </c>
      <c r="I1988" s="7" t="s">
        <v>417</v>
      </c>
      <c r="J1988" s="7" t="s">
        <v>217</v>
      </c>
      <c r="K1988" s="7" t="n">
        <f aca="false">IFERROR(VALUE(RIGHT(TRIM(F1988),4)),"")</f>
        <v>2019</v>
      </c>
      <c r="L1988" s="7" t="str">
        <f aca="false">IF(TRIM(E1988)="","Unknown",IFERROR(LEFT(TRIM(E1988),FIND(",",TRIM(E1988))-1),TRIM(E1988)))</f>
        <v>Unknown</v>
      </c>
      <c r="M1988" s="7" t="str">
        <f aca="false">IFERROR(LEFT(J1988,FIND(",",J1988)-1),J1988)</f>
        <v>Comedies</v>
      </c>
      <c r="N1988" s="7" t="n">
        <f aca="false">IF(B1988="Movie",IFERROR(VALUE(LEFT(I1988,FIND(" ",I1988)-1)),""),"")</f>
        <v>104</v>
      </c>
      <c r="O1988" s="7" t="str">
        <f aca="false">IF(B1988="TV Show",IFERROR(VALUE(LEFT(I1988,FIND(" ",I1988)-1)),""),"")</f>
        <v/>
      </c>
      <c r="P1988" s="7" t="n">
        <f aca="false">IF(K1988="","",K1988-G1988)</f>
        <v>6</v>
      </c>
    </row>
    <row r="1989" customFormat="false" ht="15" hidden="false" customHeight="false" outlineLevel="0" collapsed="false">
      <c r="A1989" s="7" t="n">
        <v>81010871</v>
      </c>
      <c r="B1989" s="7" t="s">
        <v>68</v>
      </c>
      <c r="C1989" s="7" t="s">
        <v>4408</v>
      </c>
      <c r="D1989" s="7" t="s">
        <v>4409</v>
      </c>
      <c r="E1989" s="7" t="s">
        <v>1269</v>
      </c>
      <c r="F1989" s="7" t="s">
        <v>4402</v>
      </c>
      <c r="G1989" s="7" t="n">
        <v>2011</v>
      </c>
      <c r="H1989" s="7" t="s">
        <v>49</v>
      </c>
      <c r="I1989" s="7" t="s">
        <v>330</v>
      </c>
      <c r="J1989" s="7" t="s">
        <v>240</v>
      </c>
      <c r="K1989" s="7" t="n">
        <f aca="false">IFERROR(VALUE(RIGHT(TRIM(F1989),4)),"")</f>
        <v>2019</v>
      </c>
      <c r="L1989" s="7" t="str">
        <f aca="false">IF(TRIM(E1989)="","Unknown",IFERROR(LEFT(TRIM(E1989),FIND(",",TRIM(E1989))-1),TRIM(E1989)))</f>
        <v>Philippines</v>
      </c>
      <c r="M1989" s="7" t="str">
        <f aca="false">IFERROR(LEFT(J1989,FIND(",",J1989)-1),J1989)</f>
        <v>Dramas</v>
      </c>
      <c r="N1989" s="7" t="n">
        <f aca="false">IF(B1989="Movie",IFERROR(VALUE(LEFT(I1989,FIND(" ",I1989)-1)),""),"")</f>
        <v>103</v>
      </c>
      <c r="O1989" s="7" t="str">
        <f aca="false">IF(B1989="TV Show",IFERROR(VALUE(LEFT(I1989,FIND(" ",I1989)-1)),""),"")</f>
        <v/>
      </c>
      <c r="P1989" s="7" t="n">
        <f aca="false">IF(K1989="","",K1989-G1989)</f>
        <v>8</v>
      </c>
    </row>
    <row r="1990" customFormat="false" ht="15" hidden="false" customHeight="false" outlineLevel="0" collapsed="false">
      <c r="A1990" s="7" t="n">
        <v>81004270</v>
      </c>
      <c r="B1990" s="7" t="s">
        <v>68</v>
      </c>
      <c r="C1990" s="7" t="s">
        <v>4410</v>
      </c>
      <c r="D1990" s="7" t="s">
        <v>4411</v>
      </c>
      <c r="E1990" s="7" t="s">
        <v>4412</v>
      </c>
      <c r="F1990" s="7" t="s">
        <v>4402</v>
      </c>
      <c r="G1990" s="7" t="n">
        <v>2017</v>
      </c>
      <c r="H1990" s="7" t="s">
        <v>48</v>
      </c>
      <c r="I1990" s="7" t="s">
        <v>205</v>
      </c>
      <c r="J1990" s="7" t="s">
        <v>1085</v>
      </c>
      <c r="K1990" s="7" t="n">
        <f aca="false">IFERROR(VALUE(RIGHT(TRIM(F1990),4)),"")</f>
        <v>2019</v>
      </c>
      <c r="L1990" s="7" t="str">
        <f aca="false">IF(TRIM(E1990)="","Unknown",IFERROR(LEFT(TRIM(E1990),FIND(",",TRIM(E1990))-1),TRIM(E1990)))</f>
        <v>Austria</v>
      </c>
      <c r="M1990" s="7" t="str">
        <f aca="false">IFERROR(LEFT(J1990,FIND(",",J1990)-1),J1990)</f>
        <v>Documentaries</v>
      </c>
      <c r="N1990" s="7" t="n">
        <f aca="false">IF(B1990="Movie",IFERROR(VALUE(LEFT(I1990,FIND(" ",I1990)-1)),""),"")</f>
        <v>100</v>
      </c>
      <c r="O1990" s="7" t="str">
        <f aca="false">IF(B1990="TV Show",IFERROR(VALUE(LEFT(I1990,FIND(" ",I1990)-1)),""),"")</f>
        <v/>
      </c>
      <c r="P1990" s="7" t="n">
        <f aca="false">IF(K1990="","",K1990-G1990)</f>
        <v>2</v>
      </c>
    </row>
    <row r="1991" customFormat="false" ht="15" hidden="false" customHeight="false" outlineLevel="0" collapsed="false">
      <c r="A1991" s="7" t="n">
        <v>80224924</v>
      </c>
      <c r="B1991" s="7" t="s">
        <v>68</v>
      </c>
      <c r="C1991" s="7" t="s">
        <v>4413</v>
      </c>
      <c r="D1991" s="7" t="s">
        <v>838</v>
      </c>
      <c r="F1991" s="7" t="s">
        <v>4414</v>
      </c>
      <c r="G1991" s="7" t="n">
        <v>2017</v>
      </c>
      <c r="H1991" s="7" t="s">
        <v>612</v>
      </c>
      <c r="I1991" s="7" t="s">
        <v>107</v>
      </c>
      <c r="J1991" s="7" t="s">
        <v>39</v>
      </c>
      <c r="K1991" s="7" t="n">
        <f aca="false">IFERROR(VALUE(RIGHT(TRIM(F1991),4)),"")</f>
        <v>2018</v>
      </c>
      <c r="L1991" s="7" t="str">
        <f aca="false">IF(TRIM(E1991)="","Unknown",IFERROR(LEFT(TRIM(E1991),FIND(",",TRIM(E1991))-1),TRIM(E1991)))</f>
        <v>Unknown</v>
      </c>
      <c r="M1991" s="7" t="str">
        <f aca="false">IFERROR(LEFT(J1991,FIND(",",J1991)-1),J1991)</f>
        <v>Documentaries</v>
      </c>
      <c r="N1991" s="7" t="n">
        <f aca="false">IF(B1991="Movie",IFERROR(VALUE(LEFT(I1991,FIND(" ",I1991)-1)),""),"")</f>
        <v>78</v>
      </c>
      <c r="O1991" s="7" t="str">
        <f aca="false">IF(B1991="TV Show",IFERROR(VALUE(LEFT(I1991,FIND(" ",I1991)-1)),""),"")</f>
        <v/>
      </c>
      <c r="P1991" s="7" t="n">
        <f aca="false">IF(K1991="","",K1991-G1991)</f>
        <v>1</v>
      </c>
    </row>
    <row r="1992" customFormat="false" ht="15" hidden="false" customHeight="false" outlineLevel="0" collapsed="false">
      <c r="A1992" s="7" t="n">
        <v>70051671</v>
      </c>
      <c r="B1992" s="7" t="s">
        <v>68</v>
      </c>
      <c r="C1992" s="7" t="s">
        <v>4415</v>
      </c>
      <c r="D1992" s="7" t="s">
        <v>4416</v>
      </c>
      <c r="E1992" s="7" t="s">
        <v>26</v>
      </c>
      <c r="F1992" s="7" t="s">
        <v>4417</v>
      </c>
      <c r="G1992" s="7" t="n">
        <v>2006</v>
      </c>
      <c r="H1992" s="7" t="s">
        <v>52</v>
      </c>
      <c r="I1992" s="7" t="s">
        <v>268</v>
      </c>
      <c r="J1992" s="7" t="s">
        <v>177</v>
      </c>
      <c r="K1992" s="7" t="n">
        <f aca="false">IFERROR(VALUE(RIGHT(TRIM(F1992),4)),"")</f>
        <v>2019</v>
      </c>
      <c r="L1992" s="7" t="str">
        <f aca="false">IF(TRIM(E1992)="","Unknown",IFERROR(LEFT(TRIM(E1992),FIND(",",TRIM(E1992))-1),TRIM(E1992)))</f>
        <v>United States</v>
      </c>
      <c r="M1992" s="7" t="str">
        <f aca="false">IFERROR(LEFT(J1992,FIND(",",J1992)-1),J1992)</f>
        <v>Comedies</v>
      </c>
      <c r="N1992" s="7" t="n">
        <f aca="false">IF(B1992="Movie",IFERROR(VALUE(LEFT(I1992,FIND(" ",I1992)-1)),""),"")</f>
        <v>108</v>
      </c>
      <c r="O1992" s="7" t="str">
        <f aca="false">IF(B1992="TV Show",IFERROR(VALUE(LEFT(I1992,FIND(" ",I1992)-1)),""),"")</f>
        <v/>
      </c>
      <c r="P1992" s="7" t="n">
        <f aca="false">IF(K1992="","",K1992-G1992)</f>
        <v>13</v>
      </c>
    </row>
    <row r="1993" customFormat="false" ht="15" hidden="false" customHeight="false" outlineLevel="0" collapsed="false">
      <c r="A1993" s="7" t="n">
        <v>80144408</v>
      </c>
      <c r="B1993" s="7" t="s">
        <v>78</v>
      </c>
      <c r="C1993" s="7" t="s">
        <v>4418</v>
      </c>
      <c r="D1993" s="7" t="s">
        <v>4419</v>
      </c>
      <c r="E1993" s="7" t="s">
        <v>855</v>
      </c>
      <c r="F1993" s="7" t="s">
        <v>4417</v>
      </c>
      <c r="G1993" s="7" t="n">
        <v>2017</v>
      </c>
      <c r="H1993" s="7" t="s">
        <v>55</v>
      </c>
      <c r="I1993" s="7" t="s">
        <v>82</v>
      </c>
      <c r="J1993" s="7" t="s">
        <v>191</v>
      </c>
      <c r="K1993" s="7" t="n">
        <f aca="false">IFERROR(VALUE(RIGHT(TRIM(F1993),4)),"")</f>
        <v>2019</v>
      </c>
      <c r="L1993" s="7" t="str">
        <f aca="false">IF(TRIM(E1993)="","Unknown",IFERROR(LEFT(TRIM(E1993),FIND(",",TRIM(E1993))-1),TRIM(E1993)))</f>
        <v>Italy</v>
      </c>
      <c r="M1993" s="7" t="str">
        <f aca="false">IFERROR(LEFT(J1993,FIND(",",J1993)-1),J1993)</f>
        <v>Kids' TV</v>
      </c>
      <c r="N1993" s="7" t="str">
        <f aca="false">IF(B1993="Movie",IFERROR(VALUE(LEFT(I1993,FIND(" ",I1993)-1)),""),"")</f>
        <v/>
      </c>
      <c r="O1993" s="7" t="n">
        <f aca="false">IF(B1993="TV Show",IFERROR(VALUE(LEFT(I1993,FIND(" ",I1993)-1)),""),"")</f>
        <v>1</v>
      </c>
      <c r="P1993" s="7" t="n">
        <f aca="false">IF(K1993="","",K1993-G1993)</f>
        <v>2</v>
      </c>
    </row>
    <row r="1994" customFormat="false" ht="15" hidden="false" customHeight="false" outlineLevel="0" collapsed="false">
      <c r="A1994" s="7" t="n">
        <v>81038545</v>
      </c>
      <c r="B1994" s="7" t="s">
        <v>68</v>
      </c>
      <c r="C1994" s="7" t="s">
        <v>4420</v>
      </c>
      <c r="D1994" s="7" t="s">
        <v>4421</v>
      </c>
      <c r="E1994" s="7" t="s">
        <v>26</v>
      </c>
      <c r="F1994" s="7" t="s">
        <v>4417</v>
      </c>
      <c r="G1994" s="7" t="n">
        <v>2019</v>
      </c>
      <c r="H1994" s="7" t="s">
        <v>49</v>
      </c>
      <c r="I1994" s="7" t="s">
        <v>264</v>
      </c>
      <c r="J1994" s="7" t="s">
        <v>265</v>
      </c>
      <c r="K1994" s="7" t="n">
        <f aca="false">IFERROR(VALUE(RIGHT(TRIM(F1994),4)),"")</f>
        <v>2019</v>
      </c>
      <c r="L1994" s="7" t="str">
        <f aca="false">IF(TRIM(E1994)="","Unknown",IFERROR(LEFT(TRIM(E1994),FIND(",",TRIM(E1994))-1),TRIM(E1994)))</f>
        <v>United States</v>
      </c>
      <c r="M1994" s="7" t="str">
        <f aca="false">IFERROR(LEFT(J1994,FIND(",",J1994)-1),J1994)</f>
        <v>Horror Movies</v>
      </c>
      <c r="N1994" s="7" t="n">
        <f aca="false">IF(B1994="Movie",IFERROR(VALUE(LEFT(I1994,FIND(" ",I1994)-1)),""),"")</f>
        <v>88</v>
      </c>
      <c r="O1994" s="7" t="str">
        <f aca="false">IF(B1994="TV Show",IFERROR(VALUE(LEFT(I1994,FIND(" ",I1994)-1)),""),"")</f>
        <v/>
      </c>
      <c r="P1994" s="7" t="n">
        <f aca="false">IF(K1994="","",K1994-G1994)</f>
        <v>0</v>
      </c>
    </row>
    <row r="1995" customFormat="false" ht="15" hidden="false" customHeight="false" outlineLevel="0" collapsed="false">
      <c r="A1995" s="7" t="n">
        <v>81044496</v>
      </c>
      <c r="B1995" s="7" t="s">
        <v>68</v>
      </c>
      <c r="C1995" s="7" t="s">
        <v>4422</v>
      </c>
      <c r="D1995" s="7" t="s">
        <v>4423</v>
      </c>
      <c r="E1995" s="7" t="s">
        <v>4424</v>
      </c>
      <c r="F1995" s="7" t="s">
        <v>4417</v>
      </c>
      <c r="G1995" s="7" t="n">
        <v>2018</v>
      </c>
      <c r="H1995" s="7" t="s">
        <v>49</v>
      </c>
      <c r="I1995" s="7" t="s">
        <v>467</v>
      </c>
      <c r="J1995" s="7" t="s">
        <v>188</v>
      </c>
      <c r="K1995" s="7" t="n">
        <f aca="false">IFERROR(VALUE(RIGHT(TRIM(F1995),4)),"")</f>
        <v>2019</v>
      </c>
      <c r="L1995" s="7" t="str">
        <f aca="false">IF(TRIM(E1995)="","Unknown",IFERROR(LEFT(TRIM(E1995),FIND(",",TRIM(E1995))-1),TRIM(E1995)))</f>
        <v>Ghana</v>
      </c>
      <c r="M1995" s="7" t="str">
        <f aca="false">IFERROR(LEFT(J1995,FIND(",",J1995)-1),J1995)</f>
        <v>Dramas</v>
      </c>
      <c r="N1995" s="7" t="n">
        <f aca="false">IF(B1995="Movie",IFERROR(VALUE(LEFT(I1995,FIND(" ",I1995)-1)),""),"")</f>
        <v>81</v>
      </c>
      <c r="O1995" s="7" t="str">
        <f aca="false">IF(B1995="TV Show",IFERROR(VALUE(LEFT(I1995,FIND(" ",I1995)-1)),""),"")</f>
        <v/>
      </c>
      <c r="P1995" s="7" t="n">
        <f aca="false">IF(K1995="","",K1995-G1995)</f>
        <v>1</v>
      </c>
    </row>
    <row r="1996" customFormat="false" ht="15" hidden="false" customHeight="false" outlineLevel="0" collapsed="false">
      <c r="A1996" s="7" t="n">
        <v>80235932</v>
      </c>
      <c r="B1996" s="7" t="s">
        <v>78</v>
      </c>
      <c r="C1996" s="7" t="s">
        <v>4425</v>
      </c>
      <c r="D1996" s="7" t="s">
        <v>4426</v>
      </c>
      <c r="E1996" s="7" t="s">
        <v>29</v>
      </c>
      <c r="F1996" s="7" t="s">
        <v>4417</v>
      </c>
      <c r="G1996" s="7" t="n">
        <v>2019</v>
      </c>
      <c r="H1996" s="7" t="s">
        <v>48</v>
      </c>
      <c r="I1996" s="7" t="s">
        <v>82</v>
      </c>
      <c r="J1996" s="7" t="s">
        <v>289</v>
      </c>
      <c r="K1996" s="7" t="n">
        <f aca="false">IFERROR(VALUE(RIGHT(TRIM(F1996),4)),"")</f>
        <v>2019</v>
      </c>
      <c r="L1996" s="7" t="str">
        <f aca="false">IF(TRIM(E1996)="","Unknown",IFERROR(LEFT(TRIM(E1996),FIND(",",TRIM(E1996))-1),TRIM(E1996)))</f>
        <v>Canada</v>
      </c>
      <c r="M1996" s="7" t="str">
        <f aca="false">IFERROR(LEFT(J1996,FIND(",",J1996)-1),J1996)</f>
        <v>TV Comedies</v>
      </c>
      <c r="N1996" s="7" t="str">
        <f aca="false">IF(B1996="Movie",IFERROR(VALUE(LEFT(I1996,FIND(" ",I1996)-1)),""),"")</f>
        <v/>
      </c>
      <c r="O1996" s="7" t="n">
        <f aca="false">IF(B1996="TV Show",IFERROR(VALUE(LEFT(I1996,FIND(" ",I1996)-1)),""),"")</f>
        <v>1</v>
      </c>
      <c r="P1996" s="7" t="n">
        <f aca="false">IF(K1996="","",K1996-G1996)</f>
        <v>0</v>
      </c>
    </row>
    <row r="1997" customFormat="false" ht="15" hidden="false" customHeight="false" outlineLevel="0" collapsed="false">
      <c r="A1997" s="7" t="n">
        <v>80232149</v>
      </c>
      <c r="B1997" s="7" t="s">
        <v>78</v>
      </c>
      <c r="C1997" s="7" t="s">
        <v>4427</v>
      </c>
      <c r="F1997" s="7" t="s">
        <v>4428</v>
      </c>
      <c r="G1997" s="7" t="n">
        <v>2017</v>
      </c>
      <c r="H1997" s="7" t="s">
        <v>55</v>
      </c>
      <c r="I1997" s="7" t="s">
        <v>82</v>
      </c>
      <c r="J1997" s="7" t="s">
        <v>44</v>
      </c>
      <c r="K1997" s="7" t="n">
        <f aca="false">IFERROR(VALUE(RIGHT(TRIM(F1997),4)),"")</f>
        <v>2018</v>
      </c>
      <c r="L1997" s="7" t="str">
        <f aca="false">IF(TRIM(E1997)="","Unknown",IFERROR(LEFT(TRIM(E1997),FIND(",",TRIM(E1997))-1),TRIM(E1997)))</f>
        <v>Unknown</v>
      </c>
      <c r="M1997" s="7" t="str">
        <f aca="false">IFERROR(LEFT(J1997,FIND(",",J1997)-1),J1997)</f>
        <v>Kids' TV</v>
      </c>
      <c r="N1997" s="7" t="str">
        <f aca="false">IF(B1997="Movie",IFERROR(VALUE(LEFT(I1997,FIND(" ",I1997)-1)),""),"")</f>
        <v/>
      </c>
      <c r="O1997" s="7" t="n">
        <f aca="false">IF(B1997="TV Show",IFERROR(VALUE(LEFT(I1997,FIND(" ",I1997)-1)),""),"")</f>
        <v>1</v>
      </c>
      <c r="P1997" s="7" t="n">
        <f aca="false">IF(K1997="","",K1997-G1997)</f>
        <v>1</v>
      </c>
    </row>
    <row r="1998" customFormat="false" ht="15" hidden="false" customHeight="false" outlineLevel="0" collapsed="false">
      <c r="A1998" s="7" t="n">
        <v>80170720</v>
      </c>
      <c r="B1998" s="7" t="s">
        <v>78</v>
      </c>
      <c r="C1998" s="7" t="s">
        <v>4429</v>
      </c>
      <c r="E1998" s="7" t="s">
        <v>34</v>
      </c>
      <c r="F1998" s="7" t="s">
        <v>4428</v>
      </c>
      <c r="G1998" s="7" t="n">
        <v>2016</v>
      </c>
      <c r="H1998" s="7" t="s">
        <v>48</v>
      </c>
      <c r="I1998" s="7" t="s">
        <v>82</v>
      </c>
      <c r="J1998" s="7" t="s">
        <v>89</v>
      </c>
      <c r="K1998" s="7" t="n">
        <f aca="false">IFERROR(VALUE(RIGHT(TRIM(F1998),4)),"")</f>
        <v>2018</v>
      </c>
      <c r="L1998" s="7" t="str">
        <f aca="false">IF(TRIM(E1998)="","Unknown",IFERROR(LEFT(TRIM(E1998),FIND(",",TRIM(E1998))-1),TRIM(E1998)))</f>
        <v>Mexico</v>
      </c>
      <c r="M1998" s="7" t="str">
        <f aca="false">IFERROR(LEFT(J1998,FIND(",",J1998)-1),J1998)</f>
        <v>Crime TV Shows</v>
      </c>
      <c r="N1998" s="7" t="str">
        <f aca="false">IF(B1998="Movie",IFERROR(VALUE(LEFT(I1998,FIND(" ",I1998)-1)),""),"")</f>
        <v/>
      </c>
      <c r="O1998" s="7" t="n">
        <f aca="false">IF(B1998="TV Show",IFERROR(VALUE(LEFT(I1998,FIND(" ",I1998)-1)),""),"")</f>
        <v>1</v>
      </c>
      <c r="P1998" s="7" t="n">
        <f aca="false">IF(K1998="","",K1998-G1998)</f>
        <v>2</v>
      </c>
    </row>
    <row r="1999" customFormat="false" ht="15" hidden="false" customHeight="false" outlineLevel="0" collapsed="false">
      <c r="A1999" s="7" t="n">
        <v>80176592</v>
      </c>
      <c r="B1999" s="7" t="s">
        <v>68</v>
      </c>
      <c r="C1999" s="7" t="s">
        <v>4430</v>
      </c>
      <c r="D1999" s="7" t="s">
        <v>4431</v>
      </c>
      <c r="E1999" s="7" t="s">
        <v>28</v>
      </c>
      <c r="F1999" s="7" t="s">
        <v>4428</v>
      </c>
      <c r="G1999" s="7" t="n">
        <v>2017</v>
      </c>
      <c r="H1999" s="7" t="s">
        <v>51</v>
      </c>
      <c r="I1999" s="7" t="s">
        <v>494</v>
      </c>
      <c r="J1999" s="7" t="s">
        <v>276</v>
      </c>
      <c r="K1999" s="7" t="n">
        <f aca="false">IFERROR(VALUE(RIGHT(TRIM(F1999),4)),"")</f>
        <v>2018</v>
      </c>
      <c r="L1999" s="7" t="str">
        <f aca="false">IF(TRIM(E1999)="","Unknown",IFERROR(LEFT(TRIM(E1999),FIND(",",TRIM(E1999))-1),TRIM(E1999)))</f>
        <v>United Kingdom</v>
      </c>
      <c r="M1999" s="7" t="str">
        <f aca="false">IFERROR(LEFT(J1999,FIND(",",J1999)-1),J1999)</f>
        <v>Action &amp; Adventure</v>
      </c>
      <c r="N1999" s="7" t="n">
        <f aca="false">IF(B1999="Movie",IFERROR(VALUE(LEFT(I1999,FIND(" ",I1999)-1)),""),"")</f>
        <v>87</v>
      </c>
      <c r="O1999" s="7" t="str">
        <f aca="false">IF(B1999="TV Show",IFERROR(VALUE(LEFT(I1999,FIND(" ",I1999)-1)),""),"")</f>
        <v/>
      </c>
      <c r="P1999" s="7" t="n">
        <f aca="false">IF(K1999="","",K1999-G1999)</f>
        <v>1</v>
      </c>
    </row>
    <row r="2000" customFormat="false" ht="15" hidden="false" customHeight="false" outlineLevel="0" collapsed="false">
      <c r="A2000" s="7" t="n">
        <v>80170381</v>
      </c>
      <c r="B2000" s="7" t="s">
        <v>78</v>
      </c>
      <c r="C2000" s="7" t="s">
        <v>4432</v>
      </c>
      <c r="D2000" s="7" t="s">
        <v>4433</v>
      </c>
      <c r="E2000" s="7" t="s">
        <v>27</v>
      </c>
      <c r="F2000" s="7" t="s">
        <v>4428</v>
      </c>
      <c r="G2000" s="7" t="n">
        <v>2015</v>
      </c>
      <c r="H2000" s="7" t="s">
        <v>55</v>
      </c>
      <c r="I2000" s="7" t="s">
        <v>82</v>
      </c>
      <c r="J2000" s="7" t="s">
        <v>191</v>
      </c>
      <c r="K2000" s="7" t="n">
        <f aca="false">IFERROR(VALUE(RIGHT(TRIM(F2000),4)),"")</f>
        <v>2018</v>
      </c>
      <c r="L2000" s="7" t="str">
        <f aca="false">IF(TRIM(E2000)="","Unknown",IFERROR(LEFT(TRIM(E2000),FIND(",",TRIM(E2000))-1),TRIM(E2000)))</f>
        <v>India</v>
      </c>
      <c r="M2000" s="7" t="str">
        <f aca="false">IFERROR(LEFT(J2000,FIND(",",J2000)-1),J2000)</f>
        <v>Kids' TV</v>
      </c>
      <c r="N2000" s="7" t="str">
        <f aca="false">IF(B2000="Movie",IFERROR(VALUE(LEFT(I2000,FIND(" ",I2000)-1)),""),"")</f>
        <v/>
      </c>
      <c r="O2000" s="7" t="n">
        <f aca="false">IF(B2000="TV Show",IFERROR(VALUE(LEFT(I2000,FIND(" ",I2000)-1)),""),"")</f>
        <v>1</v>
      </c>
      <c r="P2000" s="7" t="n">
        <f aca="false">IF(K2000="","",K2000-G2000)</f>
        <v>3</v>
      </c>
    </row>
    <row r="2001" customFormat="false" ht="15" hidden="false" customHeight="false" outlineLevel="0" collapsed="false">
      <c r="A2001" s="7" t="n">
        <v>80142103</v>
      </c>
      <c r="B2001" s="7" t="s">
        <v>68</v>
      </c>
      <c r="C2001" s="7" t="s">
        <v>4434</v>
      </c>
      <c r="D2001" s="7" t="s">
        <v>4435</v>
      </c>
      <c r="E2001" s="7" t="s">
        <v>619</v>
      </c>
      <c r="F2001" s="7" t="s">
        <v>4436</v>
      </c>
      <c r="G2001" s="7" t="n">
        <v>2017</v>
      </c>
      <c r="H2001" s="7" t="s">
        <v>48</v>
      </c>
      <c r="I2001" s="7" t="s">
        <v>613</v>
      </c>
      <c r="J2001" s="7" t="s">
        <v>520</v>
      </c>
      <c r="K2001" s="7" t="n">
        <f aca="false">IFERROR(VALUE(RIGHT(TRIM(F2001),4)),"")</f>
        <v>2017</v>
      </c>
      <c r="L2001" s="7" t="str">
        <f aca="false">IF(TRIM(E2001)="","Unknown",IFERROR(LEFT(TRIM(E2001),FIND(",",TRIM(E2001))-1),TRIM(E2001)))</f>
        <v>Canada</v>
      </c>
      <c r="M2001" s="7" t="str">
        <f aca="false">IFERROR(LEFT(J2001,FIND(",",J2001)-1),J2001)</f>
        <v>Dramas</v>
      </c>
      <c r="N2001" s="7" t="n">
        <f aca="false">IF(B2001="Movie",IFERROR(VALUE(LEFT(I2001,FIND(" ",I2001)-1)),""),"")</f>
        <v>84</v>
      </c>
      <c r="O2001" s="7" t="str">
        <f aca="false">IF(B2001="TV Show",IFERROR(VALUE(LEFT(I2001,FIND(" ",I2001)-1)),""),"")</f>
        <v/>
      </c>
      <c r="P2001" s="7" t="n">
        <f aca="false">IF(K2001="","",K2001-G2001)</f>
        <v>0</v>
      </c>
    </row>
    <row r="2002" customFormat="false" ht="15" hidden="false" customHeight="false" outlineLevel="0" collapsed="false">
      <c r="A2002" s="7" t="n">
        <v>80179907</v>
      </c>
      <c r="B2002" s="7" t="s">
        <v>68</v>
      </c>
      <c r="C2002" s="7" t="s">
        <v>4437</v>
      </c>
      <c r="E2002" s="7" t="s">
        <v>28</v>
      </c>
      <c r="F2002" s="7" t="s">
        <v>4436</v>
      </c>
      <c r="G2002" s="7" t="n">
        <v>2016</v>
      </c>
      <c r="H2002" s="7" t="s">
        <v>48</v>
      </c>
      <c r="I2002" s="7" t="s">
        <v>1642</v>
      </c>
      <c r="J2002" s="7" t="s">
        <v>45</v>
      </c>
      <c r="K2002" s="7" t="n">
        <f aca="false">IFERROR(VALUE(RIGHT(TRIM(F2002),4)),"")</f>
        <v>2017</v>
      </c>
      <c r="L2002" s="7" t="str">
        <f aca="false">IF(TRIM(E2002)="","Unknown",IFERROR(LEFT(TRIM(E2002),FIND(",",TRIM(E2002))-1),TRIM(E2002)))</f>
        <v>United Kingdom</v>
      </c>
      <c r="M2002" s="7" t="str">
        <f aca="false">IFERROR(LEFT(J2002,FIND(",",J2002)-1),J2002)</f>
        <v>Stand-Up Comedy</v>
      </c>
      <c r="N2002" s="7" t="n">
        <f aca="false">IF(B2002="Movie",IFERROR(VALUE(LEFT(I2002,FIND(" ",I2002)-1)),""),"")</f>
        <v>51</v>
      </c>
      <c r="O2002" s="7" t="str">
        <f aca="false">IF(B2002="TV Show",IFERROR(VALUE(LEFT(I2002,FIND(" ",I2002)-1)),""),"")</f>
        <v/>
      </c>
      <c r="P2002" s="7" t="n">
        <f aca="false">IF(K2002="","",K2002-G2002)</f>
        <v>1</v>
      </c>
    </row>
    <row r="2003" customFormat="false" ht="15" hidden="false" customHeight="false" outlineLevel="0" collapsed="false">
      <c r="A2003" s="7" t="n">
        <v>80152842</v>
      </c>
      <c r="B2003" s="7" t="s">
        <v>68</v>
      </c>
      <c r="C2003" s="7" t="s">
        <v>4438</v>
      </c>
      <c r="D2003" s="7" t="s">
        <v>4439</v>
      </c>
      <c r="E2003" s="7" t="s">
        <v>28</v>
      </c>
      <c r="F2003" s="7" t="s">
        <v>4436</v>
      </c>
      <c r="G2003" s="7" t="n">
        <v>2016</v>
      </c>
      <c r="H2003" s="7" t="s">
        <v>48</v>
      </c>
      <c r="I2003" s="7" t="s">
        <v>73</v>
      </c>
      <c r="J2003" s="7" t="s">
        <v>169</v>
      </c>
      <c r="K2003" s="7" t="n">
        <f aca="false">IFERROR(VALUE(RIGHT(TRIM(F2003),4)),"")</f>
        <v>2017</v>
      </c>
      <c r="L2003" s="7" t="str">
        <f aca="false">IF(TRIM(E2003)="","Unknown",IFERROR(LEFT(TRIM(E2003),FIND(",",TRIM(E2003))-1),TRIM(E2003)))</f>
        <v>United Kingdom</v>
      </c>
      <c r="M2003" s="7" t="str">
        <f aca="false">IFERROR(LEFT(J2003,FIND(",",J2003)-1),J2003)</f>
        <v>Horror Movies</v>
      </c>
      <c r="N2003" s="7" t="n">
        <f aca="false">IF(B2003="Movie",IFERROR(VALUE(LEFT(I2003,FIND(" ",I2003)-1)),""),"")</f>
        <v>90</v>
      </c>
      <c r="O2003" s="7" t="str">
        <f aca="false">IF(B2003="TV Show",IFERROR(VALUE(LEFT(I2003,FIND(" ",I2003)-1)),""),"")</f>
        <v/>
      </c>
      <c r="P2003" s="7" t="n">
        <f aca="false">IF(K2003="","",K2003-G2003)</f>
        <v>1</v>
      </c>
    </row>
    <row r="2004" customFormat="false" ht="15" hidden="false" customHeight="false" outlineLevel="0" collapsed="false">
      <c r="A2004" s="7" t="n">
        <v>80049928</v>
      </c>
      <c r="B2004" s="7" t="s">
        <v>78</v>
      </c>
      <c r="C2004" s="7" t="s">
        <v>4440</v>
      </c>
      <c r="D2004" s="7" t="s">
        <v>4441</v>
      </c>
      <c r="E2004" s="7" t="s">
        <v>26</v>
      </c>
      <c r="F2004" s="7" t="s">
        <v>4436</v>
      </c>
      <c r="G2004" s="7" t="n">
        <v>2017</v>
      </c>
      <c r="H2004" s="7" t="s">
        <v>48</v>
      </c>
      <c r="I2004" s="7" t="s">
        <v>82</v>
      </c>
      <c r="J2004" s="7" t="s">
        <v>164</v>
      </c>
      <c r="K2004" s="7" t="n">
        <f aca="false">IFERROR(VALUE(RIGHT(TRIM(F2004),4)),"")</f>
        <v>2017</v>
      </c>
      <c r="L2004" s="7" t="str">
        <f aca="false">IF(TRIM(E2004)="","Unknown",IFERROR(LEFT(TRIM(E2004),FIND(",",TRIM(E2004))-1),TRIM(E2004)))</f>
        <v>United States</v>
      </c>
      <c r="M2004" s="7" t="str">
        <f aca="false">IFERROR(LEFT(J2004,FIND(",",J2004)-1),J2004)</f>
        <v>Docuseries</v>
      </c>
      <c r="N2004" s="7" t="str">
        <f aca="false">IF(B2004="Movie",IFERROR(VALUE(LEFT(I2004,FIND(" ",I2004)-1)),""),"")</f>
        <v/>
      </c>
      <c r="O2004" s="7" t="n">
        <f aca="false">IF(B2004="TV Show",IFERROR(VALUE(LEFT(I2004,FIND(" ",I2004)-1)),""),"")</f>
        <v>1</v>
      </c>
      <c r="P2004" s="7" t="n">
        <f aca="false">IF(K2004="","",K2004-G2004)</f>
        <v>0</v>
      </c>
    </row>
    <row r="2005" customFormat="false" ht="15" hidden="false" customHeight="false" outlineLevel="0" collapsed="false">
      <c r="A2005" s="7" t="n">
        <v>70296765</v>
      </c>
      <c r="B2005" s="7" t="s">
        <v>68</v>
      </c>
      <c r="C2005" s="7" t="s">
        <v>4442</v>
      </c>
      <c r="D2005" s="7" t="s">
        <v>4443</v>
      </c>
      <c r="E2005" s="7" t="s">
        <v>26</v>
      </c>
      <c r="F2005" s="7" t="s">
        <v>4436</v>
      </c>
      <c r="G2005" s="7" t="n">
        <v>2012</v>
      </c>
      <c r="H2005" s="7" t="s">
        <v>53</v>
      </c>
      <c r="I2005" s="7" t="s">
        <v>162</v>
      </c>
      <c r="J2005" s="7" t="s">
        <v>1085</v>
      </c>
      <c r="K2005" s="7" t="n">
        <f aca="false">IFERROR(VALUE(RIGHT(TRIM(F2005),4)),"")</f>
        <v>2017</v>
      </c>
      <c r="L2005" s="7" t="str">
        <f aca="false">IF(TRIM(E2005)="","Unknown",IFERROR(LEFT(TRIM(E2005),FIND(",",TRIM(E2005))-1),TRIM(E2005)))</f>
        <v>United States</v>
      </c>
      <c r="M2005" s="7" t="str">
        <f aca="false">IFERROR(LEFT(J2005,FIND(",",J2005)-1),J2005)</f>
        <v>Documentaries</v>
      </c>
      <c r="N2005" s="7" t="n">
        <f aca="false">IF(B2005="Movie",IFERROR(VALUE(LEFT(I2005,FIND(" ",I2005)-1)),""),"")</f>
        <v>77</v>
      </c>
      <c r="O2005" s="7" t="str">
        <f aca="false">IF(B2005="TV Show",IFERROR(VALUE(LEFT(I2005,FIND(" ",I2005)-1)),""),"")</f>
        <v/>
      </c>
      <c r="P2005" s="7" t="n">
        <f aca="false">IF(K2005="","",K2005-G2005)</f>
        <v>5</v>
      </c>
    </row>
    <row r="2006" customFormat="false" ht="15" hidden="false" customHeight="false" outlineLevel="0" collapsed="false">
      <c r="A2006" s="7" t="n">
        <v>80131168</v>
      </c>
      <c r="B2006" s="7" t="s">
        <v>68</v>
      </c>
      <c r="C2006" s="7" t="s">
        <v>4444</v>
      </c>
      <c r="D2006" s="7" t="s">
        <v>4445</v>
      </c>
      <c r="E2006" s="7" t="s">
        <v>28</v>
      </c>
      <c r="F2006" s="7" t="s">
        <v>4436</v>
      </c>
      <c r="G2006" s="7" t="n">
        <v>2015</v>
      </c>
      <c r="H2006" s="7" t="s">
        <v>50</v>
      </c>
      <c r="I2006" s="7" t="s">
        <v>111</v>
      </c>
      <c r="J2006" s="7" t="s">
        <v>39</v>
      </c>
      <c r="K2006" s="7" t="n">
        <f aca="false">IFERROR(VALUE(RIGHT(TRIM(F2006),4)),"")</f>
        <v>2017</v>
      </c>
      <c r="L2006" s="7" t="str">
        <f aca="false">IF(TRIM(E2006)="","Unknown",IFERROR(LEFT(TRIM(E2006),FIND(",",TRIM(E2006))-1),TRIM(E2006)))</f>
        <v>United Kingdom</v>
      </c>
      <c r="M2006" s="7" t="str">
        <f aca="false">IFERROR(LEFT(J2006,FIND(",",J2006)-1),J2006)</f>
        <v>Documentaries</v>
      </c>
      <c r="N2006" s="7" t="n">
        <f aca="false">IF(B2006="Movie",IFERROR(VALUE(LEFT(I2006,FIND(" ",I2006)-1)),""),"")</f>
        <v>95</v>
      </c>
      <c r="O2006" s="7" t="str">
        <f aca="false">IF(B2006="TV Show",IFERROR(VALUE(LEFT(I2006,FIND(" ",I2006)-1)),""),"")</f>
        <v/>
      </c>
      <c r="P2006" s="7" t="n">
        <f aca="false">IF(K2006="","",K2006-G2006)</f>
        <v>2</v>
      </c>
    </row>
    <row r="2007" customFormat="false" ht="15" hidden="false" customHeight="false" outlineLevel="0" collapsed="false">
      <c r="A2007" s="7" t="n">
        <v>80119190</v>
      </c>
      <c r="B2007" s="7" t="s">
        <v>68</v>
      </c>
      <c r="C2007" s="7" t="s">
        <v>4446</v>
      </c>
      <c r="D2007" s="7" t="s">
        <v>4447</v>
      </c>
      <c r="E2007" s="7" t="s">
        <v>26</v>
      </c>
      <c r="F2007" s="7" t="s">
        <v>4436</v>
      </c>
      <c r="G2007" s="7" t="n">
        <v>1945</v>
      </c>
      <c r="H2007" s="7" t="s">
        <v>49</v>
      </c>
      <c r="I2007" s="7" t="s">
        <v>551</v>
      </c>
      <c r="J2007" s="7" t="s">
        <v>4448</v>
      </c>
      <c r="K2007" s="7" t="n">
        <f aca="false">IFERROR(VALUE(RIGHT(TRIM(F2007),4)),"")</f>
        <v>2017</v>
      </c>
      <c r="L2007" s="7" t="str">
        <f aca="false">IF(TRIM(E2007)="","Unknown",IFERROR(LEFT(TRIM(E2007),FIND(",",TRIM(E2007))-1),TRIM(E2007)))</f>
        <v>United States</v>
      </c>
      <c r="M2007" s="7" t="str">
        <f aca="false">IFERROR(LEFT(J2007,FIND(",",J2007)-1),J2007)</f>
        <v>Classic Movies</v>
      </c>
      <c r="N2007" s="7" t="n">
        <f aca="false">IF(B2007="Movie",IFERROR(VALUE(LEFT(I2007,FIND(" ",I2007)-1)),""),"")</f>
        <v>63</v>
      </c>
      <c r="O2007" s="7" t="str">
        <f aca="false">IF(B2007="TV Show",IFERROR(VALUE(LEFT(I2007,FIND(" ",I2007)-1)),""),"")</f>
        <v/>
      </c>
      <c r="P2007" s="7" t="n">
        <f aca="false">IF(K2007="","",K2007-G2007)</f>
        <v>72</v>
      </c>
    </row>
    <row r="2008" customFormat="false" ht="15" hidden="false" customHeight="false" outlineLevel="0" collapsed="false">
      <c r="A2008" s="7" t="n">
        <v>80119187</v>
      </c>
      <c r="B2008" s="7" t="s">
        <v>68</v>
      </c>
      <c r="C2008" s="7" t="s">
        <v>4449</v>
      </c>
      <c r="D2008" s="7" t="s">
        <v>4450</v>
      </c>
      <c r="E2008" s="7" t="s">
        <v>26</v>
      </c>
      <c r="F2008" s="7" t="s">
        <v>4436</v>
      </c>
      <c r="G2008" s="7" t="n">
        <v>1946</v>
      </c>
      <c r="H2008" s="7" t="s">
        <v>50</v>
      </c>
      <c r="I2008" s="7" t="s">
        <v>114</v>
      </c>
      <c r="J2008" s="7" t="s">
        <v>4448</v>
      </c>
      <c r="K2008" s="7" t="n">
        <f aca="false">IFERROR(VALUE(RIGHT(TRIM(F2008),4)),"")</f>
        <v>2017</v>
      </c>
      <c r="L2008" s="7" t="str">
        <f aca="false">IF(TRIM(E2008)="","Unknown",IFERROR(LEFT(TRIM(E2008),FIND(",",TRIM(E2008))-1),TRIM(E2008)))</f>
        <v>United States</v>
      </c>
      <c r="M2008" s="7" t="str">
        <f aca="false">IFERROR(LEFT(J2008,FIND(",",J2008)-1),J2008)</f>
        <v>Classic Movies</v>
      </c>
      <c r="N2008" s="7" t="n">
        <f aca="false">IF(B2008="Movie",IFERROR(VALUE(LEFT(I2008,FIND(" ",I2008)-1)),""),"")</f>
        <v>58</v>
      </c>
      <c r="O2008" s="7" t="str">
        <f aca="false">IF(B2008="TV Show",IFERROR(VALUE(LEFT(I2008,FIND(" ",I2008)-1)),""),"")</f>
        <v/>
      </c>
      <c r="P2008" s="7" t="n">
        <f aca="false">IF(K2008="","",K2008-G2008)</f>
        <v>71</v>
      </c>
    </row>
    <row r="2009" customFormat="false" ht="15" hidden="false" customHeight="false" outlineLevel="0" collapsed="false">
      <c r="A2009" s="7" t="n">
        <v>80048568</v>
      </c>
      <c r="B2009" s="7" t="s">
        <v>78</v>
      </c>
      <c r="C2009" s="7" t="s">
        <v>4451</v>
      </c>
      <c r="D2009" s="7" t="s">
        <v>4452</v>
      </c>
      <c r="E2009" s="7" t="s">
        <v>28</v>
      </c>
      <c r="F2009" s="7" t="s">
        <v>4436</v>
      </c>
      <c r="G2009" s="7" t="n">
        <v>2015</v>
      </c>
      <c r="H2009" s="7" t="s">
        <v>48</v>
      </c>
      <c r="I2009" s="7" t="s">
        <v>82</v>
      </c>
      <c r="J2009" s="7" t="s">
        <v>563</v>
      </c>
      <c r="K2009" s="7" t="n">
        <f aca="false">IFERROR(VALUE(RIGHT(TRIM(F2009),4)),"")</f>
        <v>2017</v>
      </c>
      <c r="L2009" s="7" t="str">
        <f aca="false">IF(TRIM(E2009)="","Unknown",IFERROR(LEFT(TRIM(E2009),FIND(",",TRIM(E2009))-1),TRIM(E2009)))</f>
        <v>United Kingdom</v>
      </c>
      <c r="M2009" s="7" t="str">
        <f aca="false">IFERROR(LEFT(J2009,FIND(",",J2009)-1),J2009)</f>
        <v>British TV Shows</v>
      </c>
      <c r="N2009" s="7" t="str">
        <f aca="false">IF(B2009="Movie",IFERROR(VALUE(LEFT(I2009,FIND(" ",I2009)-1)),""),"")</f>
        <v/>
      </c>
      <c r="O2009" s="7" t="n">
        <f aca="false">IF(B2009="TV Show",IFERROR(VALUE(LEFT(I2009,FIND(" ",I2009)-1)),""),"")</f>
        <v>1</v>
      </c>
      <c r="P2009" s="7" t="n">
        <f aca="false">IF(K2009="","",K2009-G2009)</f>
        <v>2</v>
      </c>
    </row>
    <row r="2010" customFormat="false" ht="15" hidden="false" customHeight="false" outlineLevel="0" collapsed="false">
      <c r="A2010" s="7" t="n">
        <v>80178464</v>
      </c>
      <c r="B2010" s="7" t="s">
        <v>78</v>
      </c>
      <c r="C2010" s="7" t="s">
        <v>4453</v>
      </c>
      <c r="E2010" s="7" t="s">
        <v>28</v>
      </c>
      <c r="F2010" s="7" t="s">
        <v>4436</v>
      </c>
      <c r="G2010" s="7" t="n">
        <v>2014</v>
      </c>
      <c r="H2010" s="7" t="s">
        <v>50</v>
      </c>
      <c r="I2010" s="7" t="s">
        <v>82</v>
      </c>
      <c r="J2010" s="7" t="s">
        <v>1969</v>
      </c>
      <c r="K2010" s="7" t="n">
        <f aca="false">IFERROR(VALUE(RIGHT(TRIM(F2010),4)),"")</f>
        <v>2017</v>
      </c>
      <c r="L2010" s="7" t="str">
        <f aca="false">IF(TRIM(E2010)="","Unknown",IFERROR(LEFT(TRIM(E2010),FIND(",",TRIM(E2010))-1),TRIM(E2010)))</f>
        <v>United Kingdom</v>
      </c>
      <c r="M2010" s="7" t="str">
        <f aca="false">IFERROR(LEFT(J2010,FIND(",",J2010)-1),J2010)</f>
        <v>British TV Shows</v>
      </c>
      <c r="N2010" s="7" t="str">
        <f aca="false">IF(B2010="Movie",IFERROR(VALUE(LEFT(I2010,FIND(" ",I2010)-1)),""),"")</f>
        <v/>
      </c>
      <c r="O2010" s="7" t="n">
        <f aca="false">IF(B2010="TV Show",IFERROR(VALUE(LEFT(I2010,FIND(" ",I2010)-1)),""),"")</f>
        <v>1</v>
      </c>
      <c r="P2010" s="7" t="n">
        <f aca="false">IF(K2010="","",K2010-G2010)</f>
        <v>3</v>
      </c>
    </row>
    <row r="2011" customFormat="false" ht="15" hidden="false" customHeight="false" outlineLevel="0" collapsed="false">
      <c r="A2011" s="7" t="n">
        <v>80119192</v>
      </c>
      <c r="B2011" s="7" t="s">
        <v>68</v>
      </c>
      <c r="C2011" s="7" t="s">
        <v>4454</v>
      </c>
      <c r="D2011" s="7" t="s">
        <v>4455</v>
      </c>
      <c r="E2011" s="7" t="s">
        <v>26</v>
      </c>
      <c r="F2011" s="7" t="s">
        <v>4436</v>
      </c>
      <c r="G2011" s="7" t="n">
        <v>1945</v>
      </c>
      <c r="H2011" s="7" t="s">
        <v>48</v>
      </c>
      <c r="I2011" s="7" t="s">
        <v>1757</v>
      </c>
      <c r="J2011" s="7" t="s">
        <v>4448</v>
      </c>
      <c r="K2011" s="7" t="n">
        <f aca="false">IFERROR(VALUE(RIGHT(TRIM(F2011),4)),"")</f>
        <v>2017</v>
      </c>
      <c r="L2011" s="7" t="str">
        <f aca="false">IF(TRIM(E2011)="","Unknown",IFERROR(LEFT(TRIM(E2011),FIND(",",TRIM(E2011))-1),TRIM(E2011)))</f>
        <v>United States</v>
      </c>
      <c r="M2011" s="7" t="str">
        <f aca="false">IFERROR(LEFT(J2011,FIND(",",J2011)-1),J2011)</f>
        <v>Classic Movies</v>
      </c>
      <c r="N2011" s="7" t="n">
        <f aca="false">IF(B2011="Movie",IFERROR(VALUE(LEFT(I2011,FIND(" ",I2011)-1)),""),"")</f>
        <v>59</v>
      </c>
      <c r="O2011" s="7" t="str">
        <f aca="false">IF(B2011="TV Show",IFERROR(VALUE(LEFT(I2011,FIND(" ",I2011)-1)),""),"")</f>
        <v/>
      </c>
      <c r="P2011" s="7" t="n">
        <f aca="false">IF(K2011="","",K2011-G2011)</f>
        <v>72</v>
      </c>
    </row>
    <row r="2012" customFormat="false" ht="15" hidden="false" customHeight="false" outlineLevel="0" collapsed="false">
      <c r="A2012" s="7" t="n">
        <v>70202593</v>
      </c>
      <c r="B2012" s="7" t="s">
        <v>78</v>
      </c>
      <c r="C2012" s="7" t="s">
        <v>4456</v>
      </c>
      <c r="E2012" s="7" t="s">
        <v>28</v>
      </c>
      <c r="F2012" s="7" t="s">
        <v>4436</v>
      </c>
      <c r="G2012" s="7" t="n">
        <v>2004</v>
      </c>
      <c r="H2012" s="7" t="s">
        <v>53</v>
      </c>
      <c r="I2012" s="7" t="s">
        <v>82</v>
      </c>
      <c r="J2012" s="7" t="s">
        <v>4457</v>
      </c>
      <c r="K2012" s="7" t="n">
        <f aca="false">IFERROR(VALUE(RIGHT(TRIM(F2012),4)),"")</f>
        <v>2017</v>
      </c>
      <c r="L2012" s="7" t="str">
        <f aca="false">IF(TRIM(E2012)="","Unknown",IFERROR(LEFT(TRIM(E2012),FIND(",",TRIM(E2012))-1),TRIM(E2012)))</f>
        <v>United Kingdom</v>
      </c>
      <c r="M2012" s="7" t="str">
        <f aca="false">IFERROR(LEFT(J2012,FIND(",",J2012)-1),J2012)</f>
        <v>British TV Shows</v>
      </c>
      <c r="N2012" s="7" t="str">
        <f aca="false">IF(B2012="Movie",IFERROR(VALUE(LEFT(I2012,FIND(" ",I2012)-1)),""),"")</f>
        <v/>
      </c>
      <c r="O2012" s="7" t="n">
        <f aca="false">IF(B2012="TV Show",IFERROR(VALUE(LEFT(I2012,FIND(" ",I2012)-1)),""),"")</f>
        <v>1</v>
      </c>
      <c r="P2012" s="7" t="n">
        <f aca="false">IF(K2012="","",K2012-G2012)</f>
        <v>13</v>
      </c>
    </row>
    <row r="2013" customFormat="false" ht="15" hidden="false" customHeight="false" outlineLevel="0" collapsed="false">
      <c r="A2013" s="7" t="n">
        <v>60027945</v>
      </c>
      <c r="B2013" s="7" t="s">
        <v>68</v>
      </c>
      <c r="C2013" s="7" t="s">
        <v>4458</v>
      </c>
      <c r="D2013" s="7" t="s">
        <v>4459</v>
      </c>
      <c r="E2013" s="7" t="s">
        <v>26</v>
      </c>
      <c r="F2013" s="7" t="s">
        <v>4436</v>
      </c>
      <c r="G2013" s="7" t="n">
        <v>1942</v>
      </c>
      <c r="H2013" s="7" t="s">
        <v>50</v>
      </c>
      <c r="I2013" s="7" t="s">
        <v>734</v>
      </c>
      <c r="J2013" s="7" t="s">
        <v>4448</v>
      </c>
      <c r="K2013" s="7" t="n">
        <f aca="false">IFERROR(VALUE(RIGHT(TRIM(F2013),4)),"")</f>
        <v>2017</v>
      </c>
      <c r="L2013" s="7" t="str">
        <f aca="false">IF(TRIM(E2013)="","Unknown",IFERROR(LEFT(TRIM(E2013),FIND(",",TRIM(E2013))-1),TRIM(E2013)))</f>
        <v>United States</v>
      </c>
      <c r="M2013" s="7" t="str">
        <f aca="false">IFERROR(LEFT(J2013,FIND(",",J2013)-1),J2013)</f>
        <v>Classic Movies</v>
      </c>
      <c r="N2013" s="7" t="n">
        <f aca="false">IF(B2013="Movie",IFERROR(VALUE(LEFT(I2013,FIND(" ",I2013)-1)),""),"")</f>
        <v>52</v>
      </c>
      <c r="O2013" s="7" t="str">
        <f aca="false">IF(B2013="TV Show",IFERROR(VALUE(LEFT(I2013,FIND(" ",I2013)-1)),""),"")</f>
        <v/>
      </c>
      <c r="P2013" s="7" t="n">
        <f aca="false">IF(K2013="","",K2013-G2013)</f>
        <v>75</v>
      </c>
    </row>
    <row r="2014" customFormat="false" ht="15" hidden="false" customHeight="false" outlineLevel="0" collapsed="false">
      <c r="A2014" s="7" t="n">
        <v>80119188</v>
      </c>
      <c r="B2014" s="7" t="s">
        <v>68</v>
      </c>
      <c r="C2014" s="7" t="s">
        <v>4460</v>
      </c>
      <c r="D2014" s="7" t="s">
        <v>4450</v>
      </c>
      <c r="E2014" s="7" t="s">
        <v>26</v>
      </c>
      <c r="F2014" s="7" t="s">
        <v>4436</v>
      </c>
      <c r="G2014" s="7" t="n">
        <v>1945</v>
      </c>
      <c r="H2014" s="7" t="s">
        <v>49</v>
      </c>
      <c r="I2014" s="7" t="s">
        <v>4461</v>
      </c>
      <c r="J2014" s="7" t="s">
        <v>4448</v>
      </c>
      <c r="K2014" s="7" t="n">
        <f aca="false">IFERROR(VALUE(RIGHT(TRIM(F2014),4)),"")</f>
        <v>2017</v>
      </c>
      <c r="L2014" s="7" t="str">
        <f aca="false">IF(TRIM(E2014)="","Unknown",IFERROR(LEFT(TRIM(E2014),FIND(",",TRIM(E2014))-1),TRIM(E2014)))</f>
        <v>United States</v>
      </c>
      <c r="M2014" s="7" t="str">
        <f aca="false">IFERROR(LEFT(J2014,FIND(",",J2014)-1),J2014)</f>
        <v>Classic Movies</v>
      </c>
      <c r="N2014" s="7" t="n">
        <f aca="false">IF(B2014="Movie",IFERROR(VALUE(LEFT(I2014,FIND(" ",I2014)-1)),""),"")</f>
        <v>32</v>
      </c>
      <c r="O2014" s="7" t="str">
        <f aca="false">IF(B2014="TV Show",IFERROR(VALUE(LEFT(I2014,FIND(" ",I2014)-1)),""),"")</f>
        <v/>
      </c>
      <c r="P2014" s="7" t="n">
        <f aca="false">IF(K2014="","",K2014-G2014)</f>
        <v>72</v>
      </c>
    </row>
    <row r="2015" customFormat="false" ht="15" hidden="false" customHeight="false" outlineLevel="0" collapsed="false">
      <c r="A2015" s="7" t="n">
        <v>60027942</v>
      </c>
      <c r="B2015" s="7" t="s">
        <v>68</v>
      </c>
      <c r="C2015" s="7" t="s">
        <v>4462</v>
      </c>
      <c r="D2015" s="7" t="s">
        <v>4463</v>
      </c>
      <c r="E2015" s="7" t="s">
        <v>26</v>
      </c>
      <c r="F2015" s="7" t="s">
        <v>4436</v>
      </c>
      <c r="G2015" s="7" t="n">
        <v>1942</v>
      </c>
      <c r="H2015" s="7" t="s">
        <v>226</v>
      </c>
      <c r="I2015" s="7" t="s">
        <v>4464</v>
      </c>
      <c r="J2015" s="7" t="s">
        <v>4448</v>
      </c>
      <c r="K2015" s="7" t="n">
        <f aca="false">IFERROR(VALUE(RIGHT(TRIM(F2015),4)),"")</f>
        <v>2017</v>
      </c>
      <c r="L2015" s="7" t="str">
        <f aca="false">IF(TRIM(E2015)="","Unknown",IFERROR(LEFT(TRIM(E2015),FIND(",",TRIM(E2015))-1),TRIM(E2015)))</f>
        <v>United States</v>
      </c>
      <c r="M2015" s="7" t="str">
        <f aca="false">IFERROR(LEFT(J2015,FIND(",",J2015)-1),J2015)</f>
        <v>Classic Movies</v>
      </c>
      <c r="N2015" s="7" t="n">
        <f aca="false">IF(B2015="Movie",IFERROR(VALUE(LEFT(I2015,FIND(" ",I2015)-1)),""),"")</f>
        <v>18</v>
      </c>
      <c r="O2015" s="7" t="str">
        <f aca="false">IF(B2015="TV Show",IFERROR(VALUE(LEFT(I2015,FIND(" ",I2015)-1)),""),"")</f>
        <v/>
      </c>
      <c r="P2015" s="7" t="n">
        <f aca="false">IF(K2015="","",K2015-G2015)</f>
        <v>75</v>
      </c>
    </row>
    <row r="2016" customFormat="false" ht="15" hidden="false" customHeight="false" outlineLevel="0" collapsed="false">
      <c r="A2016" s="7" t="n">
        <v>80115857</v>
      </c>
      <c r="B2016" s="7" t="s">
        <v>68</v>
      </c>
      <c r="C2016" s="7" t="s">
        <v>4465</v>
      </c>
      <c r="D2016" s="7" t="s">
        <v>3670</v>
      </c>
      <c r="E2016" s="7" t="s">
        <v>26</v>
      </c>
      <c r="F2016" s="7" t="s">
        <v>4436</v>
      </c>
      <c r="G2016" s="7" t="n">
        <v>2017</v>
      </c>
      <c r="H2016" s="7" t="s">
        <v>48</v>
      </c>
      <c r="I2016" s="7" t="s">
        <v>181</v>
      </c>
      <c r="J2016" s="7" t="s">
        <v>155</v>
      </c>
      <c r="K2016" s="7" t="n">
        <f aca="false">IFERROR(VALUE(RIGHT(TRIM(F2016),4)),"")</f>
        <v>2017</v>
      </c>
      <c r="L2016" s="7" t="str">
        <f aca="false">IF(TRIM(E2016)="","Unknown",IFERROR(LEFT(TRIM(E2016),FIND(",",TRIM(E2016))-1),TRIM(E2016)))</f>
        <v>United States</v>
      </c>
      <c r="M2016" s="7" t="str">
        <f aca="false">IFERROR(LEFT(J2016,FIND(",",J2016)-1),J2016)</f>
        <v>Dramas</v>
      </c>
      <c r="N2016" s="7" t="n">
        <f aca="false">IF(B2016="Movie",IFERROR(VALUE(LEFT(I2016,FIND(" ",I2016)-1)),""),"")</f>
        <v>102</v>
      </c>
      <c r="O2016" s="7" t="str">
        <f aca="false">IF(B2016="TV Show",IFERROR(VALUE(LEFT(I2016,FIND(" ",I2016)-1)),""),"")</f>
        <v/>
      </c>
      <c r="P2016" s="7" t="n">
        <f aca="false">IF(K2016="","",K2016-G2016)</f>
        <v>0</v>
      </c>
    </row>
    <row r="2017" customFormat="false" ht="15" hidden="false" customHeight="false" outlineLevel="0" collapsed="false">
      <c r="A2017" s="7" t="n">
        <v>70281026</v>
      </c>
      <c r="B2017" s="7" t="s">
        <v>78</v>
      </c>
      <c r="C2017" s="7" t="s">
        <v>4466</v>
      </c>
      <c r="D2017" s="7" t="s">
        <v>4467</v>
      </c>
      <c r="E2017" s="7" t="s">
        <v>28</v>
      </c>
      <c r="F2017" s="7" t="s">
        <v>4436</v>
      </c>
      <c r="G2017" s="7" t="n">
        <v>2012</v>
      </c>
      <c r="H2017" s="7" t="s">
        <v>48</v>
      </c>
      <c r="I2017" s="7" t="s">
        <v>82</v>
      </c>
      <c r="J2017" s="7" t="s">
        <v>765</v>
      </c>
      <c r="K2017" s="7" t="n">
        <f aca="false">IFERROR(VALUE(RIGHT(TRIM(F2017),4)),"")</f>
        <v>2017</v>
      </c>
      <c r="L2017" s="7" t="str">
        <f aca="false">IF(TRIM(E2017)="","Unknown",IFERROR(LEFT(TRIM(E2017),FIND(",",TRIM(E2017))-1),TRIM(E2017)))</f>
        <v>United Kingdom</v>
      </c>
      <c r="M2017" s="7" t="str">
        <f aca="false">IFERROR(LEFT(J2017,FIND(",",J2017)-1),J2017)</f>
        <v>British TV Shows</v>
      </c>
      <c r="N2017" s="7" t="str">
        <f aca="false">IF(B2017="Movie",IFERROR(VALUE(LEFT(I2017,FIND(" ",I2017)-1)),""),"")</f>
        <v/>
      </c>
      <c r="O2017" s="7" t="n">
        <f aca="false">IF(B2017="TV Show",IFERROR(VALUE(LEFT(I2017,FIND(" ",I2017)-1)),""),"")</f>
        <v>1</v>
      </c>
      <c r="P2017" s="7" t="n">
        <f aca="false">IF(K2017="","",K2017-G2017)</f>
        <v>5</v>
      </c>
    </row>
    <row r="2018" customFormat="false" ht="15" hidden="false" customHeight="false" outlineLevel="0" collapsed="false">
      <c r="A2018" s="7" t="n">
        <v>70304244</v>
      </c>
      <c r="B2018" s="7" t="s">
        <v>78</v>
      </c>
      <c r="C2018" s="7" t="s">
        <v>4468</v>
      </c>
      <c r="E2018" s="7" t="s">
        <v>28</v>
      </c>
      <c r="F2018" s="7" t="s">
        <v>4436</v>
      </c>
      <c r="G2018" s="7" t="n">
        <v>2013</v>
      </c>
      <c r="H2018" s="7" t="s">
        <v>53</v>
      </c>
      <c r="I2018" s="7" t="s">
        <v>82</v>
      </c>
      <c r="J2018" s="7" t="s">
        <v>563</v>
      </c>
      <c r="K2018" s="7" t="n">
        <f aca="false">IFERROR(VALUE(RIGHT(TRIM(F2018),4)),"")</f>
        <v>2017</v>
      </c>
      <c r="L2018" s="7" t="str">
        <f aca="false">IF(TRIM(E2018)="","Unknown",IFERROR(LEFT(TRIM(E2018),FIND(",",TRIM(E2018))-1),TRIM(E2018)))</f>
        <v>United Kingdom</v>
      </c>
      <c r="M2018" s="7" t="str">
        <f aca="false">IFERROR(LEFT(J2018,FIND(",",J2018)-1),J2018)</f>
        <v>British TV Shows</v>
      </c>
      <c r="N2018" s="7" t="str">
        <f aca="false">IF(B2018="Movie",IFERROR(VALUE(LEFT(I2018,FIND(" ",I2018)-1)),""),"")</f>
        <v/>
      </c>
      <c r="O2018" s="7" t="n">
        <f aca="false">IF(B2018="TV Show",IFERROR(VALUE(LEFT(I2018,FIND(" ",I2018)-1)),""),"")</f>
        <v>1</v>
      </c>
      <c r="P2018" s="7" t="n">
        <f aca="false">IF(K2018="","",K2018-G2018)</f>
        <v>4</v>
      </c>
    </row>
    <row r="2019" customFormat="false" ht="15" hidden="false" customHeight="false" outlineLevel="0" collapsed="false">
      <c r="A2019" s="7" t="n">
        <v>80119194</v>
      </c>
      <c r="B2019" s="7" t="s">
        <v>68</v>
      </c>
      <c r="C2019" s="17" t="s">
        <v>4469</v>
      </c>
      <c r="D2019" s="7" t="s">
        <v>4470</v>
      </c>
      <c r="E2019" s="7" t="s">
        <v>26</v>
      </c>
      <c r="F2019" s="7" t="s">
        <v>4436</v>
      </c>
      <c r="G2019" s="7" t="n">
        <v>1944</v>
      </c>
      <c r="H2019" s="7" t="s">
        <v>50</v>
      </c>
      <c r="I2019" s="7" t="s">
        <v>333</v>
      </c>
      <c r="J2019" s="7" t="s">
        <v>4448</v>
      </c>
      <c r="K2019" s="7" t="n">
        <f aca="false">IFERROR(VALUE(RIGHT(TRIM(F2019),4)),"")</f>
        <v>2017</v>
      </c>
      <c r="L2019" s="7" t="str">
        <f aca="false">IF(TRIM(E2019)="","Unknown",IFERROR(LEFT(TRIM(E2019),FIND(",",TRIM(E2019))-1),TRIM(E2019)))</f>
        <v>United States</v>
      </c>
      <c r="M2019" s="7" t="str">
        <f aca="false">IFERROR(LEFT(J2019,FIND(",",J2019)-1),J2019)</f>
        <v>Classic Movies</v>
      </c>
      <c r="N2019" s="7" t="n">
        <f aca="false">IF(B2019="Movie",IFERROR(VALUE(LEFT(I2019,FIND(" ",I2019)-1)),""),"")</f>
        <v>40</v>
      </c>
      <c r="O2019" s="7" t="str">
        <f aca="false">IF(B2019="TV Show",IFERROR(VALUE(LEFT(I2019,FIND(" ",I2019)-1)),""),"")</f>
        <v/>
      </c>
      <c r="P2019" s="7" t="n">
        <f aca="false">IF(K2019="","",K2019-G2019)</f>
        <v>73</v>
      </c>
    </row>
    <row r="2020" customFormat="false" ht="15" hidden="false" customHeight="false" outlineLevel="0" collapsed="false">
      <c r="A2020" s="7" t="n">
        <v>80179057</v>
      </c>
      <c r="B2020" s="7" t="s">
        <v>78</v>
      </c>
      <c r="C2020" s="7" t="s">
        <v>4471</v>
      </c>
      <c r="E2020" s="7" t="s">
        <v>28</v>
      </c>
      <c r="F2020" s="7" t="s">
        <v>4436</v>
      </c>
      <c r="G2020" s="7" t="n">
        <v>2015</v>
      </c>
      <c r="H2020" s="7" t="s">
        <v>48</v>
      </c>
      <c r="I2020" s="7" t="s">
        <v>82</v>
      </c>
      <c r="J2020" s="7" t="s">
        <v>668</v>
      </c>
      <c r="K2020" s="7" t="n">
        <f aca="false">IFERROR(VALUE(RIGHT(TRIM(F2020),4)),"")</f>
        <v>2017</v>
      </c>
      <c r="L2020" s="7" t="str">
        <f aca="false">IF(TRIM(E2020)="","Unknown",IFERROR(LEFT(TRIM(E2020),FIND(",",TRIM(E2020))-1),TRIM(E2020)))</f>
        <v>United Kingdom</v>
      </c>
      <c r="M2020" s="7" t="str">
        <f aca="false">IFERROR(LEFT(J2020,FIND(",",J2020)-1),J2020)</f>
        <v>British TV Shows</v>
      </c>
      <c r="N2020" s="7" t="str">
        <f aca="false">IF(B2020="Movie",IFERROR(VALUE(LEFT(I2020,FIND(" ",I2020)-1)),""),"")</f>
        <v/>
      </c>
      <c r="O2020" s="7" t="n">
        <f aca="false">IF(B2020="TV Show",IFERROR(VALUE(LEFT(I2020,FIND(" ",I2020)-1)),""),"")</f>
        <v>1</v>
      </c>
      <c r="P2020" s="7" t="n">
        <f aca="false">IF(K2020="","",K2020-G2020)</f>
        <v>2</v>
      </c>
    </row>
    <row r="2021" customFormat="false" ht="15" hidden="false" customHeight="false" outlineLevel="0" collapsed="false">
      <c r="A2021" s="7" t="n">
        <v>80119191</v>
      </c>
      <c r="B2021" s="7" t="s">
        <v>68</v>
      </c>
      <c r="C2021" s="7" t="s">
        <v>4472</v>
      </c>
      <c r="D2021" s="7" t="s">
        <v>4473</v>
      </c>
      <c r="E2021" s="7" t="s">
        <v>26</v>
      </c>
      <c r="F2021" s="7" t="s">
        <v>4436</v>
      </c>
      <c r="G2021" s="7" t="n">
        <v>1944</v>
      </c>
      <c r="H2021" s="7" t="s">
        <v>49</v>
      </c>
      <c r="I2021" s="7" t="s">
        <v>333</v>
      </c>
      <c r="J2021" s="7" t="s">
        <v>4448</v>
      </c>
      <c r="K2021" s="7" t="n">
        <f aca="false">IFERROR(VALUE(RIGHT(TRIM(F2021),4)),"")</f>
        <v>2017</v>
      </c>
      <c r="L2021" s="7" t="str">
        <f aca="false">IF(TRIM(E2021)="","Unknown",IFERROR(LEFT(TRIM(E2021),FIND(",",TRIM(E2021))-1),TRIM(E2021)))</f>
        <v>United States</v>
      </c>
      <c r="M2021" s="7" t="str">
        <f aca="false">IFERROR(LEFT(J2021,FIND(",",J2021)-1),J2021)</f>
        <v>Classic Movies</v>
      </c>
      <c r="N2021" s="7" t="n">
        <f aca="false">IF(B2021="Movie",IFERROR(VALUE(LEFT(I2021,FIND(" ",I2021)-1)),""),"")</f>
        <v>40</v>
      </c>
      <c r="O2021" s="7" t="str">
        <f aca="false">IF(B2021="TV Show",IFERROR(VALUE(LEFT(I2021,FIND(" ",I2021)-1)),""),"")</f>
        <v/>
      </c>
      <c r="P2021" s="7" t="n">
        <f aca="false">IF(K2021="","",K2021-G2021)</f>
        <v>73</v>
      </c>
    </row>
    <row r="2022" customFormat="false" ht="15" hidden="false" customHeight="false" outlineLevel="0" collapsed="false">
      <c r="A2022" s="7" t="n">
        <v>80119193</v>
      </c>
      <c r="B2022" s="7" t="s">
        <v>68</v>
      </c>
      <c r="C2022" s="7" t="s">
        <v>4474</v>
      </c>
      <c r="D2022" s="7" t="s">
        <v>4475</v>
      </c>
      <c r="E2022" s="7" t="s">
        <v>26</v>
      </c>
      <c r="F2022" s="7" t="s">
        <v>4436</v>
      </c>
      <c r="G2022" s="7" t="n">
        <v>1947</v>
      </c>
      <c r="H2022" s="7" t="s">
        <v>49</v>
      </c>
      <c r="I2022" s="7" t="s">
        <v>405</v>
      </c>
      <c r="J2022" s="7" t="s">
        <v>4448</v>
      </c>
      <c r="K2022" s="7" t="n">
        <f aca="false">IFERROR(VALUE(RIGHT(TRIM(F2022),4)),"")</f>
        <v>2017</v>
      </c>
      <c r="L2022" s="7" t="str">
        <f aca="false">IF(TRIM(E2022)="","Unknown",IFERROR(LEFT(TRIM(E2022),FIND(",",TRIM(E2022))-1),TRIM(E2022)))</f>
        <v>United States</v>
      </c>
      <c r="M2022" s="7" t="str">
        <f aca="false">IFERROR(LEFT(J2022,FIND(",",J2022)-1),J2022)</f>
        <v>Classic Movies</v>
      </c>
      <c r="N2022" s="7" t="n">
        <f aca="false">IF(B2022="Movie",IFERROR(VALUE(LEFT(I2022,FIND(" ",I2022)-1)),""),"")</f>
        <v>42</v>
      </c>
      <c r="O2022" s="7" t="str">
        <f aca="false">IF(B2022="TV Show",IFERROR(VALUE(LEFT(I2022,FIND(" ",I2022)-1)),""),"")</f>
        <v/>
      </c>
      <c r="P2022" s="7" t="n">
        <f aca="false">IF(K2022="","",K2022-G2022)</f>
        <v>70</v>
      </c>
    </row>
    <row r="2023" customFormat="false" ht="15" hidden="false" customHeight="false" outlineLevel="0" collapsed="false">
      <c r="A2023" s="7" t="n">
        <v>80119189</v>
      </c>
      <c r="B2023" s="7" t="s">
        <v>68</v>
      </c>
      <c r="C2023" s="7" t="s">
        <v>4476</v>
      </c>
      <c r="D2023" s="7" t="s">
        <v>4477</v>
      </c>
      <c r="E2023" s="7" t="s">
        <v>293</v>
      </c>
      <c r="F2023" s="7" t="s">
        <v>4436</v>
      </c>
      <c r="G2023" s="7" t="n">
        <v>1944</v>
      </c>
      <c r="H2023" s="7" t="s">
        <v>50</v>
      </c>
      <c r="I2023" s="7" t="s">
        <v>661</v>
      </c>
      <c r="J2023" s="7" t="s">
        <v>4448</v>
      </c>
      <c r="K2023" s="7" t="n">
        <f aca="false">IFERROR(VALUE(RIGHT(TRIM(F2023),4)),"")</f>
        <v>2017</v>
      </c>
      <c r="L2023" s="7" t="str">
        <f aca="false">IF(TRIM(E2023)="","Unknown",IFERROR(LEFT(TRIM(E2023),FIND(",",TRIM(E2023))-1),TRIM(E2023)))</f>
        <v>United States</v>
      </c>
      <c r="M2023" s="7" t="str">
        <f aca="false">IFERROR(LEFT(J2023,FIND(",",J2023)-1),J2023)</f>
        <v>Classic Movies</v>
      </c>
      <c r="N2023" s="7" t="n">
        <f aca="false">IF(B2023="Movie",IFERROR(VALUE(LEFT(I2023,FIND(" ",I2023)-1)),""),"")</f>
        <v>76</v>
      </c>
      <c r="O2023" s="7" t="str">
        <f aca="false">IF(B2023="TV Show",IFERROR(VALUE(LEFT(I2023,FIND(" ",I2023)-1)),""),"")</f>
        <v/>
      </c>
      <c r="P2023" s="7" t="n">
        <f aca="false">IF(K2023="","",K2023-G2023)</f>
        <v>73</v>
      </c>
    </row>
    <row r="2024" customFormat="false" ht="15" hidden="false" customHeight="false" outlineLevel="0" collapsed="false">
      <c r="A2024" s="7" t="n">
        <v>80119186</v>
      </c>
      <c r="B2024" s="7" t="s">
        <v>68</v>
      </c>
      <c r="C2024" s="7" t="s">
        <v>4478</v>
      </c>
      <c r="D2024" s="7" t="s">
        <v>4463</v>
      </c>
      <c r="E2024" s="7" t="s">
        <v>26</v>
      </c>
      <c r="F2024" s="7" t="s">
        <v>4436</v>
      </c>
      <c r="G2024" s="7" t="n">
        <v>1943</v>
      </c>
      <c r="H2024" s="7" t="s">
        <v>50</v>
      </c>
      <c r="I2024" s="7" t="s">
        <v>123</v>
      </c>
      <c r="J2024" s="7" t="s">
        <v>4448</v>
      </c>
      <c r="K2024" s="7" t="n">
        <f aca="false">IFERROR(VALUE(RIGHT(TRIM(F2024),4)),"")</f>
        <v>2017</v>
      </c>
      <c r="L2024" s="7" t="str">
        <f aca="false">IF(TRIM(E2024)="","Unknown",IFERROR(LEFT(TRIM(E2024),FIND(",",TRIM(E2024))-1),TRIM(E2024)))</f>
        <v>United States</v>
      </c>
      <c r="M2024" s="7" t="str">
        <f aca="false">IFERROR(LEFT(J2024,FIND(",",J2024)-1),J2024)</f>
        <v>Classic Movies</v>
      </c>
      <c r="N2024" s="7" t="n">
        <f aca="false">IF(B2024="Movie",IFERROR(VALUE(LEFT(I2024,FIND(" ",I2024)-1)),""),"")</f>
        <v>61</v>
      </c>
      <c r="O2024" s="7" t="str">
        <f aca="false">IF(B2024="TV Show",IFERROR(VALUE(LEFT(I2024,FIND(" ",I2024)-1)),""),"")</f>
        <v/>
      </c>
      <c r="P2024" s="7" t="n">
        <f aca="false">IF(K2024="","",K2024-G2024)</f>
        <v>74</v>
      </c>
    </row>
    <row r="2025" customFormat="false" ht="15" hidden="false" customHeight="false" outlineLevel="0" collapsed="false">
      <c r="A2025" s="7" t="n">
        <v>70013050</v>
      </c>
      <c r="B2025" s="7" t="s">
        <v>68</v>
      </c>
      <c r="C2025" s="7" t="s">
        <v>4479</v>
      </c>
      <c r="D2025" s="7" t="s">
        <v>4480</v>
      </c>
      <c r="E2025" s="7" t="s">
        <v>26</v>
      </c>
      <c r="F2025" s="7" t="s">
        <v>4436</v>
      </c>
      <c r="G2025" s="7" t="n">
        <v>1943</v>
      </c>
      <c r="H2025" s="7" t="s">
        <v>49</v>
      </c>
      <c r="I2025" s="7" t="s">
        <v>437</v>
      </c>
      <c r="J2025" s="7" t="s">
        <v>39</v>
      </c>
      <c r="K2025" s="7" t="n">
        <f aca="false">IFERROR(VALUE(RIGHT(TRIM(F2025),4)),"")</f>
        <v>2017</v>
      </c>
      <c r="L2025" s="7" t="str">
        <f aca="false">IF(TRIM(E2025)="","Unknown",IFERROR(LEFT(TRIM(E2025),FIND(",",TRIM(E2025))-1),TRIM(E2025)))</f>
        <v>United States</v>
      </c>
      <c r="M2025" s="7" t="str">
        <f aca="false">IFERROR(LEFT(J2025,FIND(",",J2025)-1),J2025)</f>
        <v>Documentaries</v>
      </c>
      <c r="N2025" s="7" t="n">
        <f aca="false">IF(B2025="Movie",IFERROR(VALUE(LEFT(I2025,FIND(" ",I2025)-1)),""),"")</f>
        <v>82</v>
      </c>
      <c r="O2025" s="7" t="str">
        <f aca="false">IF(B2025="TV Show",IFERROR(VALUE(LEFT(I2025,FIND(" ",I2025)-1)),""),"")</f>
        <v/>
      </c>
      <c r="P2025" s="7" t="n">
        <f aca="false">IF(K2025="","",K2025-G2025)</f>
        <v>74</v>
      </c>
    </row>
    <row r="2026" customFormat="false" ht="15" hidden="false" customHeight="false" outlineLevel="0" collapsed="false">
      <c r="A2026" s="7" t="n">
        <v>80173770</v>
      </c>
      <c r="B2026" s="7" t="s">
        <v>78</v>
      </c>
      <c r="C2026" s="7" t="s">
        <v>4481</v>
      </c>
      <c r="E2026" s="7" t="s">
        <v>28</v>
      </c>
      <c r="F2026" s="7" t="s">
        <v>4436</v>
      </c>
      <c r="G2026" s="7" t="n">
        <v>2015</v>
      </c>
      <c r="H2026" s="7" t="s">
        <v>50</v>
      </c>
      <c r="I2026" s="7" t="s">
        <v>82</v>
      </c>
      <c r="J2026" s="7" t="s">
        <v>1969</v>
      </c>
      <c r="K2026" s="7" t="n">
        <f aca="false">IFERROR(VALUE(RIGHT(TRIM(F2026),4)),"")</f>
        <v>2017</v>
      </c>
      <c r="L2026" s="7" t="str">
        <f aca="false">IF(TRIM(E2026)="","Unknown",IFERROR(LEFT(TRIM(E2026),FIND(",",TRIM(E2026))-1),TRIM(E2026)))</f>
        <v>United Kingdom</v>
      </c>
      <c r="M2026" s="7" t="str">
        <f aca="false">IFERROR(LEFT(J2026,FIND(",",J2026)-1),J2026)</f>
        <v>British TV Shows</v>
      </c>
      <c r="N2026" s="7" t="str">
        <f aca="false">IF(B2026="Movie",IFERROR(VALUE(LEFT(I2026,FIND(" ",I2026)-1)),""),"")</f>
        <v/>
      </c>
      <c r="O2026" s="7" t="n">
        <f aca="false">IF(B2026="TV Show",IFERROR(VALUE(LEFT(I2026,FIND(" ",I2026)-1)),""),"")</f>
        <v>1</v>
      </c>
      <c r="P2026" s="7" t="n">
        <f aca="false">IF(K2026="","",K2026-G2026)</f>
        <v>2</v>
      </c>
    </row>
    <row r="2027" customFormat="false" ht="15" hidden="false" customHeight="false" outlineLevel="0" collapsed="false">
      <c r="A2027" s="7" t="n">
        <v>80173896</v>
      </c>
      <c r="B2027" s="7" t="s">
        <v>78</v>
      </c>
      <c r="C2027" s="7" t="s">
        <v>4482</v>
      </c>
      <c r="E2027" s="7" t="s">
        <v>28</v>
      </c>
      <c r="F2027" s="7" t="s">
        <v>4436</v>
      </c>
      <c r="G2027" s="7" t="n">
        <v>2013</v>
      </c>
      <c r="H2027" s="7" t="s">
        <v>50</v>
      </c>
      <c r="I2027" s="7" t="s">
        <v>82</v>
      </c>
      <c r="J2027" s="7" t="s">
        <v>1969</v>
      </c>
      <c r="K2027" s="7" t="n">
        <f aca="false">IFERROR(VALUE(RIGHT(TRIM(F2027),4)),"")</f>
        <v>2017</v>
      </c>
      <c r="L2027" s="7" t="str">
        <f aca="false">IF(TRIM(E2027)="","Unknown",IFERROR(LEFT(TRIM(E2027),FIND(",",TRIM(E2027))-1),TRIM(E2027)))</f>
        <v>United Kingdom</v>
      </c>
      <c r="M2027" s="7" t="str">
        <f aca="false">IFERROR(LEFT(J2027,FIND(",",J2027)-1),J2027)</f>
        <v>British TV Shows</v>
      </c>
      <c r="N2027" s="7" t="str">
        <f aca="false">IF(B2027="Movie",IFERROR(VALUE(LEFT(I2027,FIND(" ",I2027)-1)),""),"")</f>
        <v/>
      </c>
      <c r="O2027" s="7" t="n">
        <f aca="false">IF(B2027="TV Show",IFERROR(VALUE(LEFT(I2027,FIND(" ",I2027)-1)),""),"")</f>
        <v>1</v>
      </c>
      <c r="P2027" s="7" t="n">
        <f aca="false">IF(K2027="","",K2027-G2027)</f>
        <v>4</v>
      </c>
    </row>
    <row r="2028" customFormat="false" ht="15" hidden="false" customHeight="false" outlineLevel="0" collapsed="false">
      <c r="A2028" s="7" t="n">
        <v>70022548</v>
      </c>
      <c r="B2028" s="7" t="s">
        <v>68</v>
      </c>
      <c r="C2028" s="7" t="s">
        <v>4483</v>
      </c>
      <c r="D2028" s="7" t="s">
        <v>4450</v>
      </c>
      <c r="E2028" s="7" t="s">
        <v>26</v>
      </c>
      <c r="F2028" s="7" t="s">
        <v>4436</v>
      </c>
      <c r="G2028" s="7" t="n">
        <v>1943</v>
      </c>
      <c r="H2028" s="7" t="s">
        <v>53</v>
      </c>
      <c r="I2028" s="7" t="s">
        <v>353</v>
      </c>
      <c r="J2028" s="7" t="s">
        <v>39</v>
      </c>
      <c r="K2028" s="7" t="n">
        <f aca="false">IFERROR(VALUE(RIGHT(TRIM(F2028),4)),"")</f>
        <v>2017</v>
      </c>
      <c r="L2028" s="7" t="str">
        <f aca="false">IF(TRIM(E2028)="","Unknown",IFERROR(LEFT(TRIM(E2028),FIND(",",TRIM(E2028))-1),TRIM(E2028)))</f>
        <v>United States</v>
      </c>
      <c r="M2028" s="7" t="str">
        <f aca="false">IFERROR(LEFT(J2028,FIND(",",J2028)-1),J2028)</f>
        <v>Documentaries</v>
      </c>
      <c r="N2028" s="7" t="n">
        <f aca="false">IF(B2028="Movie",IFERROR(VALUE(LEFT(I2028,FIND(" ",I2028)-1)),""),"")</f>
        <v>45</v>
      </c>
      <c r="O2028" s="7" t="str">
        <f aca="false">IF(B2028="TV Show",IFERROR(VALUE(LEFT(I2028,FIND(" ",I2028)-1)),""),"")</f>
        <v/>
      </c>
      <c r="P2028" s="7" t="n">
        <f aca="false">IF(K2028="","",K2028-G2028)</f>
        <v>74</v>
      </c>
    </row>
    <row r="2029" customFormat="false" ht="15" hidden="false" customHeight="false" outlineLevel="0" collapsed="false">
      <c r="A2029" s="7" t="n">
        <v>80097423</v>
      </c>
      <c r="B2029" s="7" t="s">
        <v>68</v>
      </c>
      <c r="C2029" s="7" t="s">
        <v>4484</v>
      </c>
      <c r="D2029" s="7" t="s">
        <v>4485</v>
      </c>
      <c r="E2029" s="7" t="s">
        <v>26</v>
      </c>
      <c r="F2029" s="7" t="s">
        <v>4486</v>
      </c>
      <c r="G2029" s="7" t="n">
        <v>2016</v>
      </c>
      <c r="H2029" s="7" t="s">
        <v>226</v>
      </c>
      <c r="I2029" s="7" t="s">
        <v>421</v>
      </c>
      <c r="J2029" s="7" t="s">
        <v>4487</v>
      </c>
      <c r="K2029" s="7" t="n">
        <f aca="false">IFERROR(VALUE(RIGHT(TRIM(F2029),4)),"")</f>
        <v>2016</v>
      </c>
      <c r="L2029" s="7" t="str">
        <f aca="false">IF(TRIM(E2029)="","Unknown",IFERROR(LEFT(TRIM(E2029),FIND(",",TRIM(E2029))-1),TRIM(E2029)))</f>
        <v>United States</v>
      </c>
      <c r="M2029" s="7" t="str">
        <f aca="false">IFERROR(LEFT(J2029,FIND(",",J2029)-1),J2029)</f>
        <v>Documentaries</v>
      </c>
      <c r="N2029" s="7" t="n">
        <f aca="false">IF(B2029="Movie",IFERROR(VALUE(LEFT(I2029,FIND(" ",I2029)-1)),""),"")</f>
        <v>75</v>
      </c>
      <c r="O2029" s="7" t="str">
        <f aca="false">IF(B2029="TV Show",IFERROR(VALUE(LEFT(I2029,FIND(" ",I2029)-1)),""),"")</f>
        <v/>
      </c>
      <c r="P2029" s="7" t="n">
        <f aca="false">IF(K2029="","",K2029-G2029)</f>
        <v>0</v>
      </c>
    </row>
    <row r="2030" customFormat="false" ht="15" hidden="false" customHeight="false" outlineLevel="0" collapsed="false">
      <c r="A2030" s="7" t="n">
        <v>70259177</v>
      </c>
      <c r="B2030" s="7" t="s">
        <v>78</v>
      </c>
      <c r="C2030" s="7" t="s">
        <v>4488</v>
      </c>
      <c r="D2030" s="7" t="s">
        <v>4489</v>
      </c>
      <c r="E2030" s="7" t="s">
        <v>2992</v>
      </c>
      <c r="F2030" s="7" t="s">
        <v>4490</v>
      </c>
      <c r="G2030" s="7" t="n">
        <v>2016</v>
      </c>
      <c r="H2030" s="7" t="s">
        <v>48</v>
      </c>
      <c r="I2030" s="7" t="s">
        <v>82</v>
      </c>
      <c r="J2030" s="7" t="s">
        <v>402</v>
      </c>
      <c r="K2030" s="7" t="n">
        <f aca="false">IFERROR(VALUE(RIGHT(TRIM(F2030),4)),"")</f>
        <v>2013</v>
      </c>
      <c r="L2030" s="7" t="str">
        <f aca="false">IF(TRIM(E2030)="","Unknown",IFERROR(LEFT(TRIM(E2030),FIND(",",TRIM(E2030))-1),TRIM(E2030)))</f>
        <v>United States</v>
      </c>
      <c r="M2030" s="7" t="str">
        <f aca="false">IFERROR(LEFT(J2030,FIND(",",J2030)-1),J2030)</f>
        <v>Crime TV Shows</v>
      </c>
      <c r="N2030" s="7" t="str">
        <f aca="false">IF(B2030="Movie",IFERROR(VALUE(LEFT(I2030,FIND(" ",I2030)-1)),""),"")</f>
        <v/>
      </c>
      <c r="O2030" s="7" t="n">
        <f aca="false">IF(B2030="TV Show",IFERROR(VALUE(LEFT(I2030,FIND(" ",I2030)-1)),""),"")</f>
        <v>1</v>
      </c>
      <c r="P2030" s="7" t="n">
        <f aca="false">IF(K2030="","",K2030-G2030)</f>
        <v>-3</v>
      </c>
    </row>
    <row r="2031" customFormat="false" ht="15" hidden="false" customHeight="false" outlineLevel="0" collapsed="false">
      <c r="A2031" s="7" t="n">
        <v>81025019</v>
      </c>
      <c r="B2031" s="7" t="s">
        <v>78</v>
      </c>
      <c r="C2031" s="7" t="s">
        <v>4491</v>
      </c>
      <c r="E2031" s="7" t="s">
        <v>28</v>
      </c>
      <c r="F2031" s="7" t="s">
        <v>4492</v>
      </c>
      <c r="G2031" s="7" t="n">
        <v>2017</v>
      </c>
      <c r="H2031" s="7" t="s">
        <v>119</v>
      </c>
      <c r="I2031" s="7" t="s">
        <v>82</v>
      </c>
      <c r="J2031" s="7" t="s">
        <v>4493</v>
      </c>
      <c r="K2031" s="7" t="n">
        <f aca="false">IFERROR(VALUE(RIGHT(TRIM(F2031),4)),"")</f>
        <v>2019</v>
      </c>
      <c r="L2031" s="7" t="str">
        <f aca="false">IF(TRIM(E2031)="","Unknown",IFERROR(LEFT(TRIM(E2031),FIND(",",TRIM(E2031))-1),TRIM(E2031)))</f>
        <v>United Kingdom</v>
      </c>
      <c r="M2031" s="7" t="str">
        <f aca="false">IFERROR(LEFT(J2031,FIND(",",J2031)-1),J2031)</f>
        <v>British TV Shows</v>
      </c>
      <c r="N2031" s="7" t="str">
        <f aca="false">IF(B2031="Movie",IFERROR(VALUE(LEFT(I2031,FIND(" ",I2031)-1)),""),"")</f>
        <v/>
      </c>
      <c r="O2031" s="7" t="n">
        <f aca="false">IF(B2031="TV Show",IFERROR(VALUE(LEFT(I2031,FIND(" ",I2031)-1)),""),"")</f>
        <v>1</v>
      </c>
      <c r="P2031" s="7" t="n">
        <f aca="false">IF(K2031="","",K2031-G2031)</f>
        <v>2</v>
      </c>
    </row>
    <row r="2032" customFormat="false" ht="15" hidden="false" customHeight="false" outlineLevel="0" collapsed="false">
      <c r="A2032" s="7" t="n">
        <v>80993794</v>
      </c>
      <c r="B2032" s="7" t="s">
        <v>78</v>
      </c>
      <c r="C2032" s="7" t="s">
        <v>4494</v>
      </c>
      <c r="F2032" s="7" t="s">
        <v>4492</v>
      </c>
      <c r="G2032" s="7" t="n">
        <v>2016</v>
      </c>
      <c r="H2032" s="7" t="s">
        <v>49</v>
      </c>
      <c r="I2032" s="7" t="s">
        <v>82</v>
      </c>
      <c r="J2032" s="7" t="s">
        <v>158</v>
      </c>
      <c r="K2032" s="7" t="n">
        <f aca="false">IFERROR(VALUE(RIGHT(TRIM(F2032),4)),"")</f>
        <v>2019</v>
      </c>
      <c r="L2032" s="7" t="str">
        <f aca="false">IF(TRIM(E2032)="","Unknown",IFERROR(LEFT(TRIM(E2032),FIND(",",TRIM(E2032))-1),TRIM(E2032)))</f>
        <v>Unknown</v>
      </c>
      <c r="M2032" s="7" t="str">
        <f aca="false">IFERROR(LEFT(J2032,FIND(",",J2032)-1),J2032)</f>
        <v>International TV Shows</v>
      </c>
      <c r="N2032" s="7" t="str">
        <f aca="false">IF(B2032="Movie",IFERROR(VALUE(LEFT(I2032,FIND(" ",I2032)-1)),""),"")</f>
        <v/>
      </c>
      <c r="O2032" s="7" t="n">
        <f aca="false">IF(B2032="TV Show",IFERROR(VALUE(LEFT(I2032,FIND(" ",I2032)-1)),""),"")</f>
        <v>1</v>
      </c>
      <c r="P2032" s="7" t="n">
        <f aca="false">IF(K2032="","",K2032-G2032)</f>
        <v>3</v>
      </c>
    </row>
    <row r="2033" customFormat="false" ht="15" hidden="false" customHeight="false" outlineLevel="0" collapsed="false">
      <c r="A2033" s="7" t="n">
        <v>80117458</v>
      </c>
      <c r="B2033" s="7" t="s">
        <v>68</v>
      </c>
      <c r="C2033" s="7" t="s">
        <v>4495</v>
      </c>
      <c r="D2033" s="7" t="s">
        <v>4496</v>
      </c>
      <c r="E2033" s="7" t="s">
        <v>26</v>
      </c>
      <c r="F2033" s="7" t="s">
        <v>4497</v>
      </c>
      <c r="G2033" s="7" t="n">
        <v>2018</v>
      </c>
      <c r="H2033" s="7" t="s">
        <v>48</v>
      </c>
      <c r="I2033" s="7" t="s">
        <v>330</v>
      </c>
      <c r="J2033" s="7" t="s">
        <v>3855</v>
      </c>
      <c r="K2033" s="7" t="n">
        <f aca="false">IFERROR(VALUE(RIGHT(TRIM(F2033),4)),"")</f>
        <v>2018</v>
      </c>
      <c r="L2033" s="7" t="str">
        <f aca="false">IF(TRIM(E2033)="","Unknown",IFERROR(LEFT(TRIM(E2033),FIND(",",TRIM(E2033))-1),TRIM(E2033)))</f>
        <v>United States</v>
      </c>
      <c r="M2033" s="7" t="str">
        <f aca="false">IFERROR(LEFT(J2033,FIND(",",J2033)-1),J2033)</f>
        <v>Dramas</v>
      </c>
      <c r="N2033" s="7" t="n">
        <f aca="false">IF(B2033="Movie",IFERROR(VALUE(LEFT(I2033,FIND(" ",I2033)-1)),""),"")</f>
        <v>103</v>
      </c>
      <c r="O2033" s="7" t="str">
        <f aca="false">IF(B2033="TV Show",IFERROR(VALUE(LEFT(I2033,FIND(" ",I2033)-1)),""),"")</f>
        <v/>
      </c>
      <c r="P2033" s="7" t="n">
        <f aca="false">IF(K2033="","",K2033-G2033)</f>
        <v>0</v>
      </c>
    </row>
    <row r="2034" customFormat="false" ht="15" hidden="false" customHeight="false" outlineLevel="0" collapsed="false">
      <c r="A2034" s="7" t="n">
        <v>80143362</v>
      </c>
      <c r="B2034" s="7" t="s">
        <v>68</v>
      </c>
      <c r="C2034" s="7" t="s">
        <v>4498</v>
      </c>
      <c r="D2034" s="7" t="s">
        <v>4499</v>
      </c>
      <c r="E2034" s="7" t="s">
        <v>26</v>
      </c>
      <c r="F2034" s="7" t="s">
        <v>4497</v>
      </c>
      <c r="G2034" s="7" t="n">
        <v>2018</v>
      </c>
      <c r="H2034" s="7" t="s">
        <v>48</v>
      </c>
      <c r="I2034" s="7" t="s">
        <v>107</v>
      </c>
      <c r="J2034" s="7" t="s">
        <v>177</v>
      </c>
      <c r="K2034" s="7" t="n">
        <f aca="false">IFERROR(VALUE(RIGHT(TRIM(F2034),4)),"")</f>
        <v>2018</v>
      </c>
      <c r="L2034" s="7" t="str">
        <f aca="false">IF(TRIM(E2034)="","Unknown",IFERROR(LEFT(TRIM(E2034),FIND(",",TRIM(E2034))-1),TRIM(E2034)))</f>
        <v>United States</v>
      </c>
      <c r="M2034" s="7" t="str">
        <f aca="false">IFERROR(LEFT(J2034,FIND(",",J2034)-1),J2034)</f>
        <v>Comedies</v>
      </c>
      <c r="N2034" s="7" t="n">
        <f aca="false">IF(B2034="Movie",IFERROR(VALUE(LEFT(I2034,FIND(" ",I2034)-1)),""),"")</f>
        <v>78</v>
      </c>
      <c r="O2034" s="7" t="str">
        <f aca="false">IF(B2034="TV Show",IFERROR(VALUE(LEFT(I2034,FIND(" ",I2034)-1)),""),"")</f>
        <v/>
      </c>
      <c r="P2034" s="7" t="n">
        <f aca="false">IF(K2034="","",K2034-G2034)</f>
        <v>0</v>
      </c>
    </row>
    <row r="2035" customFormat="false" ht="15" hidden="false" customHeight="false" outlineLevel="0" collapsed="false">
      <c r="A2035" s="7" t="n">
        <v>80201200</v>
      </c>
      <c r="B2035" s="7" t="s">
        <v>68</v>
      </c>
      <c r="C2035" s="7" t="s">
        <v>4500</v>
      </c>
      <c r="D2035" s="7" t="s">
        <v>4501</v>
      </c>
      <c r="E2035" s="7" t="s">
        <v>366</v>
      </c>
      <c r="F2035" s="7" t="s">
        <v>4497</v>
      </c>
      <c r="G2035" s="7" t="n">
        <v>2017</v>
      </c>
      <c r="H2035" s="7" t="s">
        <v>48</v>
      </c>
      <c r="I2035" s="7" t="s">
        <v>268</v>
      </c>
      <c r="J2035" s="7" t="s">
        <v>367</v>
      </c>
      <c r="K2035" s="7" t="n">
        <f aca="false">IFERROR(VALUE(RIGHT(TRIM(F2035),4)),"")</f>
        <v>2018</v>
      </c>
      <c r="L2035" s="7" t="str">
        <f aca="false">IF(TRIM(E2035)="","Unknown",IFERROR(LEFT(TRIM(E2035),FIND(",",TRIM(E2035))-1),TRIM(E2035)))</f>
        <v>China</v>
      </c>
      <c r="M2035" s="7" t="str">
        <f aca="false">IFERROR(LEFT(J2035,FIND(",",J2035)-1),J2035)</f>
        <v>Action &amp; Adventure</v>
      </c>
      <c r="N2035" s="7" t="n">
        <f aca="false">IF(B2035="Movie",IFERROR(VALUE(LEFT(I2035,FIND(" ",I2035)-1)),""),"")</f>
        <v>108</v>
      </c>
      <c r="O2035" s="7" t="str">
        <f aca="false">IF(B2035="TV Show",IFERROR(VALUE(LEFT(I2035,FIND(" ",I2035)-1)),""),"")</f>
        <v/>
      </c>
      <c r="P2035" s="7" t="n">
        <f aca="false">IF(K2035="","",K2035-G2035)</f>
        <v>1</v>
      </c>
    </row>
    <row r="2036" customFormat="false" ht="15" hidden="false" customHeight="false" outlineLevel="0" collapsed="false">
      <c r="A2036" s="7" t="n">
        <v>80145087</v>
      </c>
      <c r="B2036" s="7" t="s">
        <v>78</v>
      </c>
      <c r="C2036" s="7" t="s">
        <v>4502</v>
      </c>
      <c r="E2036" s="7" t="s">
        <v>26</v>
      </c>
      <c r="F2036" s="7" t="s">
        <v>4497</v>
      </c>
      <c r="G2036" s="7" t="n">
        <v>2018</v>
      </c>
      <c r="H2036" s="7" t="s">
        <v>48</v>
      </c>
      <c r="I2036" s="7" t="s">
        <v>82</v>
      </c>
      <c r="J2036" s="7" t="s">
        <v>164</v>
      </c>
      <c r="K2036" s="7" t="n">
        <f aca="false">IFERROR(VALUE(RIGHT(TRIM(F2036),4)),"")</f>
        <v>2018</v>
      </c>
      <c r="L2036" s="7" t="str">
        <f aca="false">IF(TRIM(E2036)="","Unknown",IFERROR(LEFT(TRIM(E2036),FIND(",",TRIM(E2036))-1),TRIM(E2036)))</f>
        <v>United States</v>
      </c>
      <c r="M2036" s="7" t="str">
        <f aca="false">IFERROR(LEFT(J2036,FIND(",",J2036)-1),J2036)</f>
        <v>Docuseries</v>
      </c>
      <c r="N2036" s="7" t="str">
        <f aca="false">IF(B2036="Movie",IFERROR(VALUE(LEFT(I2036,FIND(" ",I2036)-1)),""),"")</f>
        <v/>
      </c>
      <c r="O2036" s="7" t="n">
        <f aca="false">IF(B2036="TV Show",IFERROR(VALUE(LEFT(I2036,FIND(" ",I2036)-1)),""),"")</f>
        <v>1</v>
      </c>
      <c r="P2036" s="7" t="n">
        <f aca="false">IF(K2036="","",K2036-G2036)</f>
        <v>0</v>
      </c>
    </row>
    <row r="2037" customFormat="false" ht="15" hidden="false" customHeight="false" outlineLevel="0" collapsed="false">
      <c r="A2037" s="7" t="n">
        <v>80183197</v>
      </c>
      <c r="B2037" s="7" t="s">
        <v>68</v>
      </c>
      <c r="C2037" s="7" t="s">
        <v>4503</v>
      </c>
      <c r="D2037" s="7" t="s">
        <v>3118</v>
      </c>
      <c r="E2037" s="7" t="s">
        <v>34</v>
      </c>
      <c r="F2037" s="7" t="s">
        <v>4497</v>
      </c>
      <c r="G2037" s="7" t="n">
        <v>2018</v>
      </c>
      <c r="H2037" s="7" t="s">
        <v>48</v>
      </c>
      <c r="I2037" s="7" t="s">
        <v>117</v>
      </c>
      <c r="J2037" s="7" t="s">
        <v>45</v>
      </c>
      <c r="K2037" s="7" t="n">
        <f aca="false">IFERROR(VALUE(RIGHT(TRIM(F2037),4)),"")</f>
        <v>2018</v>
      </c>
      <c r="L2037" s="7" t="str">
        <f aca="false">IF(TRIM(E2037)="","Unknown",IFERROR(LEFT(TRIM(E2037),FIND(",",TRIM(E2037))-1),TRIM(E2037)))</f>
        <v>Mexico</v>
      </c>
      <c r="M2037" s="7" t="str">
        <f aca="false">IFERROR(LEFT(J2037,FIND(",",J2037)-1),J2037)</f>
        <v>Stand-Up Comedy</v>
      </c>
      <c r="N2037" s="7" t="n">
        <f aca="false">IF(B2037="Movie",IFERROR(VALUE(LEFT(I2037,FIND(" ",I2037)-1)),""),"")</f>
        <v>62</v>
      </c>
      <c r="O2037" s="7" t="str">
        <f aca="false">IF(B2037="TV Show",IFERROR(VALUE(LEFT(I2037,FIND(" ",I2037)-1)),""),"")</f>
        <v/>
      </c>
      <c r="P2037" s="7" t="n">
        <f aca="false">IF(K2037="","",K2037-G2037)</f>
        <v>0</v>
      </c>
    </row>
    <row r="2038" customFormat="false" ht="15" hidden="false" customHeight="false" outlineLevel="0" collapsed="false">
      <c r="A2038" s="7" t="n">
        <v>80148210</v>
      </c>
      <c r="B2038" s="7" t="s">
        <v>68</v>
      </c>
      <c r="C2038" s="7" t="s">
        <v>4504</v>
      </c>
      <c r="D2038" s="7" t="s">
        <v>4505</v>
      </c>
      <c r="E2038" s="7" t="s">
        <v>4506</v>
      </c>
      <c r="F2038" s="7" t="s">
        <v>4497</v>
      </c>
      <c r="G2038" s="7" t="n">
        <v>2018</v>
      </c>
      <c r="H2038" s="7" t="s">
        <v>48</v>
      </c>
      <c r="I2038" s="7" t="s">
        <v>451</v>
      </c>
      <c r="J2038" s="7" t="s">
        <v>400</v>
      </c>
      <c r="K2038" s="7" t="n">
        <f aca="false">IFERROR(VALUE(RIGHT(TRIM(F2038),4)),"")</f>
        <v>2018</v>
      </c>
      <c r="L2038" s="7" t="str">
        <f aca="false">IF(TRIM(E2038)="","Unknown",IFERROR(LEFT(TRIM(E2038),FIND(",",TRIM(E2038))-1),TRIM(E2038)))</f>
        <v>United Kingdom</v>
      </c>
      <c r="M2038" s="7" t="str">
        <f aca="false">IFERROR(LEFT(J2038,FIND(",",J2038)-1),J2038)</f>
        <v>Dramas</v>
      </c>
      <c r="N2038" s="7" t="n">
        <f aca="false">IF(B2038="Movie",IFERROR(VALUE(LEFT(I2038,FIND(" ",I2038)-1)),""),"")</f>
        <v>97</v>
      </c>
      <c r="O2038" s="7" t="str">
        <f aca="false">IF(B2038="TV Show",IFERROR(VALUE(LEFT(I2038,FIND(" ",I2038)-1)),""),"")</f>
        <v/>
      </c>
      <c r="P2038" s="7" t="n">
        <f aca="false">IF(K2038="","",K2038-G2038)</f>
        <v>0</v>
      </c>
    </row>
    <row r="2039" customFormat="false" ht="15" hidden="false" customHeight="false" outlineLevel="0" collapsed="false">
      <c r="A2039" s="7" t="n">
        <v>70128549</v>
      </c>
      <c r="B2039" s="7" t="s">
        <v>68</v>
      </c>
      <c r="C2039" s="7" t="s">
        <v>4507</v>
      </c>
      <c r="D2039" s="7" t="s">
        <v>4508</v>
      </c>
      <c r="E2039" s="7" t="s">
        <v>29</v>
      </c>
      <c r="F2039" s="7" t="s">
        <v>4497</v>
      </c>
      <c r="G2039" s="7" t="n">
        <v>2009</v>
      </c>
      <c r="H2039" s="7" t="s">
        <v>51</v>
      </c>
      <c r="I2039" s="7" t="s">
        <v>181</v>
      </c>
      <c r="J2039" s="7" t="s">
        <v>941</v>
      </c>
      <c r="K2039" s="7" t="n">
        <f aca="false">IFERROR(VALUE(RIGHT(TRIM(F2039),4)),"")</f>
        <v>2018</v>
      </c>
      <c r="L2039" s="7" t="str">
        <f aca="false">IF(TRIM(E2039)="","Unknown",IFERROR(LEFT(TRIM(E2039),FIND(",",TRIM(E2039))-1),TRIM(E2039)))</f>
        <v>Canada</v>
      </c>
      <c r="M2039" s="7" t="str">
        <f aca="false">IFERROR(LEFT(J2039,FIND(",",J2039)-1),J2039)</f>
        <v>Comedies</v>
      </c>
      <c r="N2039" s="7" t="n">
        <f aca="false">IF(B2039="Movie",IFERROR(VALUE(LEFT(I2039,FIND(" ",I2039)-1)),""),"")</f>
        <v>102</v>
      </c>
      <c r="O2039" s="7" t="str">
        <f aca="false">IF(B2039="TV Show",IFERROR(VALUE(LEFT(I2039,FIND(" ",I2039)-1)),""),"")</f>
        <v/>
      </c>
      <c r="P2039" s="7" t="n">
        <f aca="false">IF(K2039="","",K2039-G2039)</f>
        <v>9</v>
      </c>
    </row>
    <row r="2040" customFormat="false" ht="15" hidden="false" customHeight="false" outlineLevel="0" collapsed="false">
      <c r="A2040" s="7" t="n">
        <v>70069233</v>
      </c>
      <c r="B2040" s="7" t="s">
        <v>68</v>
      </c>
      <c r="C2040" s="7" t="s">
        <v>4509</v>
      </c>
      <c r="D2040" s="7" t="s">
        <v>4508</v>
      </c>
      <c r="E2040" s="7" t="s">
        <v>29</v>
      </c>
      <c r="F2040" s="7" t="s">
        <v>4497</v>
      </c>
      <c r="G2040" s="7" t="n">
        <v>2006</v>
      </c>
      <c r="H2040" s="7" t="s">
        <v>51</v>
      </c>
      <c r="I2040" s="7" t="s">
        <v>111</v>
      </c>
      <c r="J2040" s="7" t="s">
        <v>941</v>
      </c>
      <c r="K2040" s="7" t="n">
        <f aca="false">IFERROR(VALUE(RIGHT(TRIM(F2040),4)),"")</f>
        <v>2018</v>
      </c>
      <c r="L2040" s="7" t="str">
        <f aca="false">IF(TRIM(E2040)="","Unknown",IFERROR(LEFT(TRIM(E2040),FIND(",",TRIM(E2040))-1),TRIM(E2040)))</f>
        <v>Canada</v>
      </c>
      <c r="M2040" s="7" t="str">
        <f aca="false">IFERROR(LEFT(J2040,FIND(",",J2040)-1),J2040)</f>
        <v>Comedies</v>
      </c>
      <c r="N2040" s="7" t="n">
        <f aca="false">IF(B2040="Movie",IFERROR(VALUE(LEFT(I2040,FIND(" ",I2040)-1)),""),"")</f>
        <v>95</v>
      </c>
      <c r="O2040" s="7" t="str">
        <f aca="false">IF(B2040="TV Show",IFERROR(VALUE(LEFT(I2040,FIND(" ",I2040)-1)),""),"")</f>
        <v/>
      </c>
      <c r="P2040" s="7" t="n">
        <f aca="false">IF(K2040="","",K2040-G2040)</f>
        <v>12</v>
      </c>
    </row>
    <row r="2041" customFormat="false" ht="15" hidden="false" customHeight="false" outlineLevel="0" collapsed="false">
      <c r="A2041" s="7" t="n">
        <v>80206395</v>
      </c>
      <c r="B2041" s="7" t="s">
        <v>78</v>
      </c>
      <c r="C2041" s="7" t="s">
        <v>4510</v>
      </c>
      <c r="E2041" s="7" t="s">
        <v>28</v>
      </c>
      <c r="F2041" s="7" t="s">
        <v>4497</v>
      </c>
      <c r="G2041" s="7" t="n">
        <v>2018</v>
      </c>
      <c r="H2041" s="7" t="s">
        <v>49</v>
      </c>
      <c r="I2041" s="7" t="s">
        <v>82</v>
      </c>
      <c r="J2041" s="7" t="s">
        <v>164</v>
      </c>
      <c r="K2041" s="7" t="n">
        <f aca="false">IFERROR(VALUE(RIGHT(TRIM(F2041),4)),"")</f>
        <v>2018</v>
      </c>
      <c r="L2041" s="7" t="str">
        <f aca="false">IF(TRIM(E2041)="","Unknown",IFERROR(LEFT(TRIM(E2041),FIND(",",TRIM(E2041))-1),TRIM(E2041)))</f>
        <v>United Kingdom</v>
      </c>
      <c r="M2041" s="7" t="str">
        <f aca="false">IFERROR(LEFT(J2041,FIND(",",J2041)-1),J2041)</f>
        <v>Docuseries</v>
      </c>
      <c r="N2041" s="7" t="str">
        <f aca="false">IF(B2041="Movie",IFERROR(VALUE(LEFT(I2041,FIND(" ",I2041)-1)),""),"")</f>
        <v/>
      </c>
      <c r="O2041" s="7" t="n">
        <f aca="false">IF(B2041="TV Show",IFERROR(VALUE(LEFT(I2041,FIND(" ",I2041)-1)),""),"")</f>
        <v>1</v>
      </c>
      <c r="P2041" s="7" t="n">
        <f aca="false">IF(K2041="","",K2041-G2041)</f>
        <v>0</v>
      </c>
    </row>
    <row r="2042" customFormat="false" ht="15" hidden="false" customHeight="false" outlineLevel="0" collapsed="false">
      <c r="A2042" s="7" t="n">
        <v>80018336</v>
      </c>
      <c r="B2042" s="7" t="s">
        <v>68</v>
      </c>
      <c r="C2042" s="7" t="s">
        <v>4511</v>
      </c>
      <c r="D2042" s="7" t="s">
        <v>4512</v>
      </c>
      <c r="E2042" s="7" t="s">
        <v>29</v>
      </c>
      <c r="F2042" s="7" t="s">
        <v>4513</v>
      </c>
      <c r="G2042" s="7" t="n">
        <v>2014</v>
      </c>
      <c r="H2042" s="7" t="s">
        <v>53</v>
      </c>
      <c r="I2042" s="7" t="s">
        <v>311</v>
      </c>
      <c r="J2042" s="7" t="s">
        <v>950</v>
      </c>
      <c r="K2042" s="7" t="n">
        <f aca="false">IFERROR(VALUE(RIGHT(TRIM(F2042),4)),"")</f>
        <v>2017</v>
      </c>
      <c r="L2042" s="7" t="str">
        <f aca="false">IF(TRIM(E2042)="","Unknown",IFERROR(LEFT(TRIM(E2042),FIND(",",TRIM(E2042))-1),TRIM(E2042)))</f>
        <v>Canada</v>
      </c>
      <c r="M2042" s="7" t="str">
        <f aca="false">IFERROR(LEFT(J2042,FIND(",",J2042)-1),J2042)</f>
        <v>Horror Movies</v>
      </c>
      <c r="N2042" s="7" t="n">
        <f aca="false">IF(B2042="Movie",IFERROR(VALUE(LEFT(I2042,FIND(" ",I2042)-1)),""),"")</f>
        <v>92</v>
      </c>
      <c r="O2042" s="7" t="str">
        <f aca="false">IF(B2042="TV Show",IFERROR(VALUE(LEFT(I2042,FIND(" ",I2042)-1)),""),"")</f>
        <v/>
      </c>
      <c r="P2042" s="7" t="n">
        <f aca="false">IF(K2042="","",K2042-G2042)</f>
        <v>3</v>
      </c>
    </row>
    <row r="2043" customFormat="false" ht="15" hidden="false" customHeight="false" outlineLevel="0" collapsed="false">
      <c r="A2043" s="7" t="n">
        <v>80180509</v>
      </c>
      <c r="B2043" s="7" t="s">
        <v>68</v>
      </c>
      <c r="C2043" s="7" t="s">
        <v>4514</v>
      </c>
      <c r="D2043" s="7" t="s">
        <v>4515</v>
      </c>
      <c r="E2043" s="7" t="s">
        <v>27</v>
      </c>
      <c r="F2043" s="7" t="s">
        <v>4513</v>
      </c>
      <c r="G2043" s="7" t="n">
        <v>2016</v>
      </c>
      <c r="H2043" s="7" t="s">
        <v>49</v>
      </c>
      <c r="I2043" s="7" t="s">
        <v>1270</v>
      </c>
      <c r="J2043" s="7" t="s">
        <v>198</v>
      </c>
      <c r="K2043" s="7" t="n">
        <f aca="false">IFERROR(VALUE(RIGHT(TRIM(F2043),4)),"")</f>
        <v>2017</v>
      </c>
      <c r="L2043" s="7" t="str">
        <f aca="false">IF(TRIM(E2043)="","Unknown",IFERROR(LEFT(TRIM(E2043),FIND(",",TRIM(E2043))-1),TRIM(E2043)))</f>
        <v>India</v>
      </c>
      <c r="M2043" s="7" t="str">
        <f aca="false">IFERROR(LEFT(J2043,FIND(",",J2043)-1),J2043)</f>
        <v>Comedies</v>
      </c>
      <c r="N2043" s="7" t="n">
        <f aca="false">IF(B2043="Movie",IFERROR(VALUE(LEFT(I2043,FIND(" ",I2043)-1)),""),"")</f>
        <v>118</v>
      </c>
      <c r="O2043" s="7" t="str">
        <f aca="false">IF(B2043="TV Show",IFERROR(VALUE(LEFT(I2043,FIND(" ",I2043)-1)),""),"")</f>
        <v/>
      </c>
      <c r="P2043" s="7" t="n">
        <f aca="false">IF(K2043="","",K2043-G2043)</f>
        <v>1</v>
      </c>
    </row>
    <row r="2044" customFormat="false" ht="15" hidden="false" customHeight="false" outlineLevel="0" collapsed="false">
      <c r="A2044" s="7" t="n">
        <v>80145255</v>
      </c>
      <c r="B2044" s="7" t="s">
        <v>68</v>
      </c>
      <c r="C2044" s="7" t="s">
        <v>4516</v>
      </c>
      <c r="D2044" s="7" t="s">
        <v>4517</v>
      </c>
      <c r="E2044" s="7" t="s">
        <v>26</v>
      </c>
      <c r="F2044" s="7" t="s">
        <v>4513</v>
      </c>
      <c r="G2044" s="7" t="n">
        <v>2016</v>
      </c>
      <c r="H2044" s="7" t="s">
        <v>51</v>
      </c>
      <c r="I2044" s="7" t="s">
        <v>470</v>
      </c>
      <c r="J2044" s="7" t="s">
        <v>40</v>
      </c>
      <c r="K2044" s="7" t="n">
        <f aca="false">IFERROR(VALUE(RIGHT(TRIM(F2044),4)),"")</f>
        <v>2017</v>
      </c>
      <c r="L2044" s="7" t="str">
        <f aca="false">IF(TRIM(E2044)="","Unknown",IFERROR(LEFT(TRIM(E2044),FIND(",",TRIM(E2044))-1),TRIM(E2044)))</f>
        <v>United States</v>
      </c>
      <c r="M2044" s="7" t="str">
        <f aca="false">IFERROR(LEFT(J2044,FIND(",",J2044)-1),J2044)</f>
        <v>Action &amp; Adventure</v>
      </c>
      <c r="N2044" s="7" t="n">
        <f aca="false">IF(B2044="Movie",IFERROR(VALUE(LEFT(I2044,FIND(" ",I2044)-1)),""),"")</f>
        <v>91</v>
      </c>
      <c r="O2044" s="7" t="str">
        <f aca="false">IF(B2044="TV Show",IFERROR(VALUE(LEFT(I2044,FIND(" ",I2044)-1)),""),"")</f>
        <v/>
      </c>
      <c r="P2044" s="7" t="n">
        <f aca="false">IF(K2044="","",K2044-G2044)</f>
        <v>1</v>
      </c>
    </row>
    <row r="2045" customFormat="false" ht="15" hidden="false" customHeight="false" outlineLevel="0" collapsed="false">
      <c r="A2045" s="7" t="n">
        <v>70230147</v>
      </c>
      <c r="B2045" s="7" t="s">
        <v>68</v>
      </c>
      <c r="C2045" s="7" t="s">
        <v>4518</v>
      </c>
      <c r="D2045" s="7" t="s">
        <v>4519</v>
      </c>
      <c r="E2045" s="7" t="s">
        <v>26</v>
      </c>
      <c r="F2045" s="7" t="s">
        <v>4520</v>
      </c>
      <c r="G2045" s="7" t="n">
        <v>2012</v>
      </c>
      <c r="H2045" s="7" t="s">
        <v>53</v>
      </c>
      <c r="I2045" s="7" t="s">
        <v>143</v>
      </c>
      <c r="J2045" s="7" t="s">
        <v>177</v>
      </c>
      <c r="K2045" s="7" t="n">
        <f aca="false">IFERROR(VALUE(RIGHT(TRIM(F2045),4)),"")</f>
        <v>2019</v>
      </c>
      <c r="L2045" s="7" t="str">
        <f aca="false">IF(TRIM(E2045)="","Unknown",IFERROR(LEFT(TRIM(E2045),FIND(",",TRIM(E2045))-1),TRIM(E2045)))</f>
        <v>United States</v>
      </c>
      <c r="M2045" s="7" t="str">
        <f aca="false">IFERROR(LEFT(J2045,FIND(",",J2045)-1),J2045)</f>
        <v>Comedies</v>
      </c>
      <c r="N2045" s="7" t="n">
        <f aca="false">IF(B2045="Movie",IFERROR(VALUE(LEFT(I2045,FIND(" ",I2045)-1)),""),"")</f>
        <v>79</v>
      </c>
      <c r="O2045" s="7" t="str">
        <f aca="false">IF(B2045="TV Show",IFERROR(VALUE(LEFT(I2045,FIND(" ",I2045)-1)),""),"")</f>
        <v/>
      </c>
      <c r="P2045" s="7" t="n">
        <f aca="false">IF(K2045="","",K2045-G2045)</f>
        <v>7</v>
      </c>
    </row>
    <row r="2046" customFormat="false" ht="15" hidden="false" customHeight="false" outlineLevel="0" collapsed="false">
      <c r="A2046" s="7" t="n">
        <v>80105067</v>
      </c>
      <c r="B2046" s="7" t="s">
        <v>68</v>
      </c>
      <c r="C2046" s="7" t="s">
        <v>4521</v>
      </c>
      <c r="D2046" s="7" t="s">
        <v>4522</v>
      </c>
      <c r="E2046" s="7" t="s">
        <v>4523</v>
      </c>
      <c r="F2046" s="7" t="s">
        <v>4520</v>
      </c>
      <c r="G2046" s="7" t="n">
        <v>2016</v>
      </c>
      <c r="H2046" s="7" t="s">
        <v>54</v>
      </c>
      <c r="I2046" s="7" t="s">
        <v>311</v>
      </c>
      <c r="J2046" s="7" t="s">
        <v>74</v>
      </c>
      <c r="K2046" s="7" t="n">
        <f aca="false">IFERROR(VALUE(RIGHT(TRIM(F2046),4)),"")</f>
        <v>2019</v>
      </c>
      <c r="L2046" s="7" t="str">
        <f aca="false">IF(TRIM(E2046)="","Unknown",IFERROR(LEFT(TRIM(E2046),FIND(",",TRIM(E2046))-1),TRIM(E2046)))</f>
        <v>United States</v>
      </c>
      <c r="M2046" s="7" t="str">
        <f aca="false">IFERROR(LEFT(J2046,FIND(",",J2046)-1),J2046)</f>
        <v>Children &amp; Family Movies</v>
      </c>
      <c r="N2046" s="7" t="n">
        <f aca="false">IF(B2046="Movie",IFERROR(VALUE(LEFT(I2046,FIND(" ",I2046)-1)),""),"")</f>
        <v>92</v>
      </c>
      <c r="O2046" s="7" t="str">
        <f aca="false">IF(B2046="TV Show",IFERROR(VALUE(LEFT(I2046,FIND(" ",I2046)-1)),""),"")</f>
        <v/>
      </c>
      <c r="P2046" s="7" t="n">
        <f aca="false">IF(K2046="","",K2046-G2046)</f>
        <v>3</v>
      </c>
    </row>
    <row r="2047" customFormat="false" ht="15" hidden="false" customHeight="false" outlineLevel="0" collapsed="false">
      <c r="A2047" s="7" t="n">
        <v>80123950</v>
      </c>
      <c r="B2047" s="7" t="s">
        <v>78</v>
      </c>
      <c r="C2047" s="7" t="s">
        <v>4524</v>
      </c>
      <c r="E2047" s="7" t="s">
        <v>34</v>
      </c>
      <c r="F2047" s="7" t="s">
        <v>4525</v>
      </c>
      <c r="G2047" s="7" t="n">
        <v>2016</v>
      </c>
      <c r="H2047" s="7" t="s">
        <v>49</v>
      </c>
      <c r="I2047" s="7" t="s">
        <v>82</v>
      </c>
      <c r="J2047" s="7" t="s">
        <v>4526</v>
      </c>
      <c r="K2047" s="7" t="n">
        <f aca="false">IFERROR(VALUE(RIGHT(TRIM(F2047),4)),"")</f>
        <v>2017</v>
      </c>
      <c r="L2047" s="7" t="str">
        <f aca="false">IF(TRIM(E2047)="","Unknown",IFERROR(LEFT(TRIM(E2047),FIND(",",TRIM(E2047))-1),TRIM(E2047)))</f>
        <v>Mexico</v>
      </c>
      <c r="M2047" s="7" t="str">
        <f aca="false">IFERROR(LEFT(J2047,FIND(",",J2047)-1),J2047)</f>
        <v>International TV Shows</v>
      </c>
      <c r="N2047" s="7" t="str">
        <f aca="false">IF(B2047="Movie",IFERROR(VALUE(LEFT(I2047,FIND(" ",I2047)-1)),""),"")</f>
        <v/>
      </c>
      <c r="O2047" s="7" t="n">
        <f aca="false">IF(B2047="TV Show",IFERROR(VALUE(LEFT(I2047,FIND(" ",I2047)-1)),""),"")</f>
        <v>1</v>
      </c>
      <c r="P2047" s="7" t="n">
        <f aca="false">IF(K2047="","",K2047-G2047)</f>
        <v>1</v>
      </c>
    </row>
    <row r="2048" customFormat="false" ht="15" hidden="false" customHeight="false" outlineLevel="0" collapsed="false">
      <c r="A2048" s="7" t="n">
        <v>81033429</v>
      </c>
      <c r="B2048" s="7" t="s">
        <v>68</v>
      </c>
      <c r="C2048" s="7" t="s">
        <v>4527</v>
      </c>
      <c r="D2048" s="7" t="s">
        <v>4528</v>
      </c>
      <c r="E2048" s="7" t="s">
        <v>27</v>
      </c>
      <c r="F2048" s="7" t="s">
        <v>4529</v>
      </c>
      <c r="G2048" s="7" t="n">
        <v>2019</v>
      </c>
      <c r="H2048" s="7" t="s">
        <v>49</v>
      </c>
      <c r="I2048" s="7" t="s">
        <v>549</v>
      </c>
      <c r="J2048" s="7" t="s">
        <v>198</v>
      </c>
      <c r="K2048" s="7" t="n">
        <f aca="false">IFERROR(VALUE(RIGHT(TRIM(F2048),4)),"")</f>
        <v>2019</v>
      </c>
      <c r="L2048" s="7" t="str">
        <f aca="false">IF(TRIM(E2048)="","Unknown",IFERROR(LEFT(TRIM(E2048),FIND(",",TRIM(E2048))-1),TRIM(E2048)))</f>
        <v>India</v>
      </c>
      <c r="M2048" s="7" t="str">
        <f aca="false">IFERROR(LEFT(J2048,FIND(",",J2048)-1),J2048)</f>
        <v>Comedies</v>
      </c>
      <c r="N2048" s="7" t="n">
        <f aca="false">IF(B2048="Movie",IFERROR(VALUE(LEFT(I2048,FIND(" ",I2048)-1)),""),"")</f>
        <v>124</v>
      </c>
      <c r="O2048" s="7" t="str">
        <f aca="false">IF(B2048="TV Show",IFERROR(VALUE(LEFT(I2048,FIND(" ",I2048)-1)),""),"")</f>
        <v/>
      </c>
      <c r="P2048" s="7" t="n">
        <f aca="false">IF(K2048="","",K2048-G2048)</f>
        <v>0</v>
      </c>
    </row>
    <row r="2049" customFormat="false" ht="15" hidden="false" customHeight="false" outlineLevel="0" collapsed="false">
      <c r="A2049" s="7" t="n">
        <v>80188579</v>
      </c>
      <c r="B2049" s="7" t="s">
        <v>68</v>
      </c>
      <c r="C2049" s="7" t="s">
        <v>4530</v>
      </c>
      <c r="D2049" s="7" t="s">
        <v>4531</v>
      </c>
      <c r="E2049" s="7" t="s">
        <v>4532</v>
      </c>
      <c r="F2049" s="7" t="s">
        <v>4529</v>
      </c>
      <c r="G2049" s="7" t="n">
        <v>2019</v>
      </c>
      <c r="H2049" s="7" t="s">
        <v>48</v>
      </c>
      <c r="I2049" s="7" t="s">
        <v>181</v>
      </c>
      <c r="J2049" s="7" t="s">
        <v>1003</v>
      </c>
      <c r="K2049" s="7" t="n">
        <f aca="false">IFERROR(VALUE(RIGHT(TRIM(F2049),4)),"")</f>
        <v>2019</v>
      </c>
      <c r="L2049" s="7" t="str">
        <f aca="false">IF(TRIM(E2049)="","Unknown",IFERROR(LEFT(TRIM(E2049),FIND(",",TRIM(E2049))-1),TRIM(E2049)))</f>
        <v>Mexico</v>
      </c>
      <c r="M2049" s="7" t="str">
        <f aca="false">IFERROR(LEFT(J2049,FIND(",",J2049)-1),J2049)</f>
        <v>Dramas</v>
      </c>
      <c r="N2049" s="7" t="n">
        <f aca="false">IF(B2049="Movie",IFERROR(VALUE(LEFT(I2049,FIND(" ",I2049)-1)),""),"")</f>
        <v>102</v>
      </c>
      <c r="O2049" s="7" t="str">
        <f aca="false">IF(B2049="TV Show",IFERROR(VALUE(LEFT(I2049,FIND(" ",I2049)-1)),""),"")</f>
        <v/>
      </c>
      <c r="P2049" s="7" t="n">
        <f aca="false">IF(K2049="","",K2049-G2049)</f>
        <v>0</v>
      </c>
    </row>
    <row r="2050" customFormat="false" ht="15" hidden="false" customHeight="false" outlineLevel="0" collapsed="false">
      <c r="A2050" s="7" t="n">
        <v>80992232</v>
      </c>
      <c r="B2050" s="7" t="s">
        <v>78</v>
      </c>
      <c r="C2050" s="7" t="s">
        <v>4533</v>
      </c>
      <c r="D2050" s="7" t="s">
        <v>4534</v>
      </c>
      <c r="E2050" s="7" t="s">
        <v>33</v>
      </c>
      <c r="F2050" s="7" t="s">
        <v>4529</v>
      </c>
      <c r="G2050" s="7" t="n">
        <v>2018</v>
      </c>
      <c r="H2050" s="7" t="s">
        <v>48</v>
      </c>
      <c r="I2050" s="7" t="s">
        <v>82</v>
      </c>
      <c r="J2050" s="7" t="s">
        <v>402</v>
      </c>
      <c r="K2050" s="7" t="n">
        <f aca="false">IFERROR(VALUE(RIGHT(TRIM(F2050),4)),"")</f>
        <v>2019</v>
      </c>
      <c r="L2050" s="7" t="str">
        <f aca="false">IF(TRIM(E2050)="","Unknown",IFERROR(LEFT(TRIM(E2050),FIND(",",TRIM(E2050))-1),TRIM(E2050)))</f>
        <v>Spain</v>
      </c>
      <c r="M2050" s="7" t="str">
        <f aca="false">IFERROR(LEFT(J2050,FIND(",",J2050)-1),J2050)</f>
        <v>Crime TV Shows</v>
      </c>
      <c r="N2050" s="7" t="str">
        <f aca="false">IF(B2050="Movie",IFERROR(VALUE(LEFT(I2050,FIND(" ",I2050)-1)),""),"")</f>
        <v/>
      </c>
      <c r="O2050" s="7" t="n">
        <f aca="false">IF(B2050="TV Show",IFERROR(VALUE(LEFT(I2050,FIND(" ",I2050)-1)),""),"")</f>
        <v>1</v>
      </c>
      <c r="P2050" s="7" t="n">
        <f aca="false">IF(K2050="","",K2050-G2050)</f>
        <v>1</v>
      </c>
    </row>
    <row r="2051" customFormat="false" ht="15" hidden="false" customHeight="false" outlineLevel="0" collapsed="false">
      <c r="A2051" s="7" t="n">
        <v>80189898</v>
      </c>
      <c r="B2051" s="7" t="s">
        <v>78</v>
      </c>
      <c r="C2051" s="7" t="s">
        <v>4535</v>
      </c>
      <c r="E2051" s="7" t="s">
        <v>31</v>
      </c>
      <c r="F2051" s="7" t="s">
        <v>4529</v>
      </c>
      <c r="G2051" s="7" t="n">
        <v>2019</v>
      </c>
      <c r="H2051" s="7" t="s">
        <v>48</v>
      </c>
      <c r="I2051" s="7" t="s">
        <v>82</v>
      </c>
      <c r="J2051" s="7" t="s">
        <v>3308</v>
      </c>
      <c r="K2051" s="7" t="n">
        <f aca="false">IFERROR(VALUE(RIGHT(TRIM(F2051),4)),"")</f>
        <v>2019</v>
      </c>
      <c r="L2051" s="7" t="str">
        <f aca="false">IF(TRIM(E2051)="","Unknown",IFERROR(LEFT(TRIM(E2051),FIND(",",TRIM(E2051))-1),TRIM(E2051)))</f>
        <v>France</v>
      </c>
      <c r="M2051" s="7" t="str">
        <f aca="false">IFERROR(LEFT(J2051,FIND(",",J2051)-1),J2051)</f>
        <v>International TV Shows</v>
      </c>
      <c r="N2051" s="7" t="str">
        <f aca="false">IF(B2051="Movie",IFERROR(VALUE(LEFT(I2051,FIND(" ",I2051)-1)),""),"")</f>
        <v/>
      </c>
      <c r="O2051" s="7" t="n">
        <f aca="false">IF(B2051="TV Show",IFERROR(VALUE(LEFT(I2051,FIND(" ",I2051)-1)),""),"")</f>
        <v>1</v>
      </c>
      <c r="P2051" s="7" t="n">
        <f aca="false">IF(K2051="","",K2051-G2051)</f>
        <v>0</v>
      </c>
    </row>
    <row r="2052" customFormat="false" ht="15" hidden="false" customHeight="false" outlineLevel="0" collapsed="false">
      <c r="A2052" s="7" t="n">
        <v>80145533</v>
      </c>
      <c r="B2052" s="7" t="s">
        <v>68</v>
      </c>
      <c r="C2052" s="7" t="s">
        <v>4536</v>
      </c>
      <c r="D2052" s="7" t="s">
        <v>4537</v>
      </c>
      <c r="E2052" s="7" t="s">
        <v>26</v>
      </c>
      <c r="F2052" s="7" t="s">
        <v>4529</v>
      </c>
      <c r="G2052" s="7" t="n">
        <v>2016</v>
      </c>
      <c r="H2052" s="7" t="s">
        <v>51</v>
      </c>
      <c r="I2052" s="7" t="s">
        <v>134</v>
      </c>
      <c r="J2052" s="7" t="s">
        <v>1383</v>
      </c>
      <c r="K2052" s="7" t="n">
        <f aca="false">IFERROR(VALUE(RIGHT(TRIM(F2052),4)),"")</f>
        <v>2019</v>
      </c>
      <c r="L2052" s="7" t="str">
        <f aca="false">IF(TRIM(E2052)="","Unknown",IFERROR(LEFT(TRIM(E2052),FIND(",",TRIM(E2052))-1),TRIM(E2052)))</f>
        <v>United States</v>
      </c>
      <c r="M2052" s="7" t="str">
        <f aca="false">IFERROR(LEFT(J2052,FIND(",",J2052)-1),J2052)</f>
        <v>Dramas</v>
      </c>
      <c r="N2052" s="7" t="n">
        <f aca="false">IF(B2052="Movie",IFERROR(VALUE(LEFT(I2052,FIND(" ",I2052)-1)),""),"")</f>
        <v>98</v>
      </c>
      <c r="O2052" s="7" t="str">
        <f aca="false">IF(B2052="TV Show",IFERROR(VALUE(LEFT(I2052,FIND(" ",I2052)-1)),""),"")</f>
        <v/>
      </c>
      <c r="P2052" s="7" t="n">
        <f aca="false">IF(K2052="","",K2052-G2052)</f>
        <v>3</v>
      </c>
    </row>
    <row r="2053" customFormat="false" ht="15" hidden="false" customHeight="false" outlineLevel="0" collapsed="false">
      <c r="A2053" s="7" t="n">
        <v>80200571</v>
      </c>
      <c r="B2053" s="7" t="s">
        <v>68</v>
      </c>
      <c r="C2053" s="7" t="s">
        <v>4538</v>
      </c>
      <c r="D2053" s="7" t="s">
        <v>4539</v>
      </c>
      <c r="E2053" s="7" t="s">
        <v>26</v>
      </c>
      <c r="F2053" s="7" t="s">
        <v>4529</v>
      </c>
      <c r="G2053" s="7" t="n">
        <v>2019</v>
      </c>
      <c r="H2053" s="7" t="s">
        <v>51</v>
      </c>
      <c r="I2053" s="7" t="s">
        <v>755</v>
      </c>
      <c r="J2053" s="7" t="s">
        <v>37</v>
      </c>
      <c r="K2053" s="7" t="n">
        <f aca="false">IFERROR(VALUE(RIGHT(TRIM(F2053),4)),"")</f>
        <v>2019</v>
      </c>
      <c r="L2053" s="7" t="str">
        <f aca="false">IF(TRIM(E2053)="","Unknown",IFERROR(LEFT(TRIM(E2053),FIND(",",TRIM(E2053))-1),TRIM(E2053)))</f>
        <v>United States</v>
      </c>
      <c r="M2053" s="7" t="str">
        <f aca="false">IFERROR(LEFT(J2053,FIND(",",J2053)-1),J2053)</f>
        <v>Dramas</v>
      </c>
      <c r="N2053" s="7" t="n">
        <f aca="false">IF(B2053="Movie",IFERROR(VALUE(LEFT(I2053,FIND(" ",I2053)-1)),""),"")</f>
        <v>132</v>
      </c>
      <c r="O2053" s="7" t="str">
        <f aca="false">IF(B2053="TV Show",IFERROR(VALUE(LEFT(I2053,FIND(" ",I2053)-1)),""),"")</f>
        <v/>
      </c>
      <c r="P2053" s="7" t="n">
        <f aca="false">IF(K2053="","",K2053-G2053)</f>
        <v>0</v>
      </c>
    </row>
    <row r="2054" customFormat="false" ht="15" hidden="false" customHeight="false" outlineLevel="0" collapsed="false">
      <c r="A2054" s="7" t="n">
        <v>80999977</v>
      </c>
      <c r="B2054" s="7" t="s">
        <v>68</v>
      </c>
      <c r="C2054" s="7" t="s">
        <v>4540</v>
      </c>
      <c r="D2054" s="7" t="s">
        <v>4541</v>
      </c>
      <c r="E2054" s="7" t="s">
        <v>26</v>
      </c>
      <c r="F2054" s="7" t="s">
        <v>4529</v>
      </c>
      <c r="G2054" s="7" t="n">
        <v>2019</v>
      </c>
      <c r="H2054" s="7" t="s">
        <v>48</v>
      </c>
      <c r="I2054" s="7" t="s">
        <v>494</v>
      </c>
      <c r="J2054" s="7" t="s">
        <v>39</v>
      </c>
      <c r="K2054" s="7" t="n">
        <f aca="false">IFERROR(VALUE(RIGHT(TRIM(F2054),4)),"")</f>
        <v>2019</v>
      </c>
      <c r="L2054" s="7" t="str">
        <f aca="false">IF(TRIM(E2054)="","Unknown",IFERROR(LEFT(TRIM(E2054),FIND(",",TRIM(E2054))-1),TRIM(E2054)))</f>
        <v>United States</v>
      </c>
      <c r="M2054" s="7" t="str">
        <f aca="false">IFERROR(LEFT(J2054,FIND(",",J2054)-1),J2054)</f>
        <v>Documentaries</v>
      </c>
      <c r="N2054" s="7" t="n">
        <f aca="false">IF(B2054="Movie",IFERROR(VALUE(LEFT(I2054,FIND(" ",I2054)-1)),""),"")</f>
        <v>87</v>
      </c>
      <c r="O2054" s="7" t="str">
        <f aca="false">IF(B2054="TV Show",IFERROR(VALUE(LEFT(I2054,FIND(" ",I2054)-1)),""),"")</f>
        <v/>
      </c>
      <c r="P2054" s="7" t="n">
        <f aca="false">IF(K2054="","",K2054-G2054)</f>
        <v>0</v>
      </c>
    </row>
    <row r="2055" customFormat="false" ht="15" hidden="false" customHeight="false" outlineLevel="0" collapsed="false">
      <c r="A2055" s="7" t="n">
        <v>81049739</v>
      </c>
      <c r="B2055" s="7" t="s">
        <v>78</v>
      </c>
      <c r="C2055" s="7" t="s">
        <v>4542</v>
      </c>
      <c r="F2055" s="7" t="s">
        <v>4529</v>
      </c>
      <c r="G2055" s="7" t="n">
        <v>2018</v>
      </c>
      <c r="H2055" s="7" t="s">
        <v>49</v>
      </c>
      <c r="I2055" s="7" t="s">
        <v>82</v>
      </c>
      <c r="J2055" s="7" t="s">
        <v>344</v>
      </c>
      <c r="K2055" s="7" t="n">
        <f aca="false">IFERROR(VALUE(RIGHT(TRIM(F2055),4)),"")</f>
        <v>2019</v>
      </c>
      <c r="L2055" s="7" t="str">
        <f aca="false">IF(TRIM(E2055)="","Unknown",IFERROR(LEFT(TRIM(E2055),FIND(",",TRIM(E2055))-1),TRIM(E2055)))</f>
        <v>Unknown</v>
      </c>
      <c r="M2055" s="7" t="str">
        <f aca="false">IFERROR(LEFT(J2055,FIND(",",J2055)-1),J2055)</f>
        <v>International TV Shows</v>
      </c>
      <c r="N2055" s="7" t="str">
        <f aca="false">IF(B2055="Movie",IFERROR(VALUE(LEFT(I2055,FIND(" ",I2055)-1)),""),"")</f>
        <v/>
      </c>
      <c r="O2055" s="7" t="n">
        <f aca="false">IF(B2055="TV Show",IFERROR(VALUE(LEFT(I2055,FIND(" ",I2055)-1)),""),"")</f>
        <v>1</v>
      </c>
      <c r="P2055" s="7" t="n">
        <f aca="false">IF(K2055="","",K2055-G2055)</f>
        <v>1</v>
      </c>
    </row>
    <row r="2056" customFormat="false" ht="15" hidden="false" customHeight="false" outlineLevel="0" collapsed="false">
      <c r="A2056" s="7" t="n">
        <v>80223793</v>
      </c>
      <c r="B2056" s="7" t="s">
        <v>78</v>
      </c>
      <c r="C2056" s="7" t="s">
        <v>4543</v>
      </c>
      <c r="E2056" s="7" t="s">
        <v>28</v>
      </c>
      <c r="F2056" s="7" t="s">
        <v>4529</v>
      </c>
      <c r="G2056" s="7" t="n">
        <v>2019</v>
      </c>
      <c r="H2056" s="7" t="s">
        <v>48</v>
      </c>
      <c r="I2056" s="7" t="s">
        <v>82</v>
      </c>
      <c r="J2056" s="7" t="s">
        <v>4544</v>
      </c>
      <c r="K2056" s="7" t="n">
        <f aca="false">IFERROR(VALUE(RIGHT(TRIM(F2056),4)),"")</f>
        <v>2019</v>
      </c>
      <c r="L2056" s="7" t="str">
        <f aca="false">IF(TRIM(E2056)="","Unknown",IFERROR(LEFT(TRIM(E2056),FIND(",",TRIM(E2056))-1),TRIM(E2056)))</f>
        <v>United Kingdom</v>
      </c>
      <c r="M2056" s="7" t="str">
        <f aca="false">IFERROR(LEFT(J2056,FIND(",",J2056)-1),J2056)</f>
        <v>British TV Shows</v>
      </c>
      <c r="N2056" s="7" t="str">
        <f aca="false">IF(B2056="Movie",IFERROR(VALUE(LEFT(I2056,FIND(" ",I2056)-1)),""),"")</f>
        <v/>
      </c>
      <c r="O2056" s="7" t="n">
        <f aca="false">IF(B2056="TV Show",IFERROR(VALUE(LEFT(I2056,FIND(" ",I2056)-1)),""),"")</f>
        <v>1</v>
      </c>
      <c r="P2056" s="7" t="n">
        <f aca="false">IF(K2056="","",K2056-G2056)</f>
        <v>0</v>
      </c>
    </row>
    <row r="2057" customFormat="false" ht="15" hidden="false" customHeight="false" outlineLevel="0" collapsed="false">
      <c r="A2057" s="7" t="n">
        <v>70129463</v>
      </c>
      <c r="B2057" s="7" t="s">
        <v>68</v>
      </c>
      <c r="C2057" s="7" t="s">
        <v>4545</v>
      </c>
      <c r="D2057" s="7" t="s">
        <v>1058</v>
      </c>
      <c r="E2057" s="7" t="s">
        <v>4546</v>
      </c>
      <c r="F2057" s="7" t="s">
        <v>4529</v>
      </c>
      <c r="G2057" s="7" t="n">
        <v>2010</v>
      </c>
      <c r="H2057" s="7" t="s">
        <v>51</v>
      </c>
      <c r="I2057" s="7" t="s">
        <v>357</v>
      </c>
      <c r="J2057" s="7" t="s">
        <v>4547</v>
      </c>
      <c r="K2057" s="7" t="n">
        <f aca="false">IFERROR(VALUE(RIGHT(TRIM(F2057),4)),"")</f>
        <v>2019</v>
      </c>
      <c r="L2057" s="7" t="str">
        <f aca="false">IF(TRIM(E2057)="","Unknown",IFERROR(LEFT(TRIM(E2057),FIND(",",TRIM(E2057))-1),TRIM(E2057)))</f>
        <v>Canada</v>
      </c>
      <c r="M2057" s="7" t="str">
        <f aca="false">IFERROR(LEFT(J2057,FIND(",",J2057)-1),J2057)</f>
        <v>Comedies</v>
      </c>
      <c r="N2057" s="7" t="n">
        <f aca="false">IF(B2057="Movie",IFERROR(VALUE(LEFT(I2057,FIND(" ",I2057)-1)),""),"")</f>
        <v>89</v>
      </c>
      <c r="O2057" s="7" t="str">
        <f aca="false">IF(B2057="TV Show",IFERROR(VALUE(LEFT(I2057,FIND(" ",I2057)-1)),""),"")</f>
        <v/>
      </c>
      <c r="P2057" s="7" t="n">
        <f aca="false">IF(K2057="","",K2057-G2057)</f>
        <v>9</v>
      </c>
    </row>
    <row r="2058" customFormat="false" ht="15" hidden="false" customHeight="false" outlineLevel="0" collapsed="false">
      <c r="A2058" s="7" t="n">
        <v>80170767</v>
      </c>
      <c r="B2058" s="7" t="s">
        <v>68</v>
      </c>
      <c r="C2058" s="7" t="s">
        <v>4548</v>
      </c>
      <c r="D2058" s="7" t="s">
        <v>4549</v>
      </c>
      <c r="E2058" s="7" t="s">
        <v>26</v>
      </c>
      <c r="F2058" s="7" t="s">
        <v>4529</v>
      </c>
      <c r="G2058" s="7" t="n">
        <v>2016</v>
      </c>
      <c r="H2058" s="7" t="s">
        <v>51</v>
      </c>
      <c r="I2058" s="7" t="s">
        <v>790</v>
      </c>
      <c r="J2058" s="7" t="s">
        <v>3855</v>
      </c>
      <c r="K2058" s="7" t="n">
        <f aca="false">IFERROR(VALUE(RIGHT(TRIM(F2058),4)),"")</f>
        <v>2019</v>
      </c>
      <c r="L2058" s="7" t="str">
        <f aca="false">IF(TRIM(E2058)="","Unknown",IFERROR(LEFT(TRIM(E2058),FIND(",",TRIM(E2058))-1),TRIM(E2058)))</f>
        <v>United States</v>
      </c>
      <c r="M2058" s="7" t="str">
        <f aca="false">IFERROR(LEFT(J2058,FIND(",",J2058)-1),J2058)</f>
        <v>Dramas</v>
      </c>
      <c r="N2058" s="7" t="n">
        <f aca="false">IF(B2058="Movie",IFERROR(VALUE(LEFT(I2058,FIND(" ",I2058)-1)),""),"")</f>
        <v>109</v>
      </c>
      <c r="O2058" s="7" t="str">
        <f aca="false">IF(B2058="TV Show",IFERROR(VALUE(LEFT(I2058,FIND(" ",I2058)-1)),""),"")</f>
        <v/>
      </c>
      <c r="P2058" s="7" t="n">
        <f aca="false">IF(K2058="","",K2058-G2058)</f>
        <v>3</v>
      </c>
    </row>
    <row r="2059" customFormat="false" ht="15" hidden="false" customHeight="false" outlineLevel="0" collapsed="false">
      <c r="A2059" s="7" t="n">
        <v>81012998</v>
      </c>
      <c r="B2059" s="7" t="s">
        <v>78</v>
      </c>
      <c r="C2059" s="7" t="s">
        <v>4550</v>
      </c>
      <c r="E2059" s="7" t="s">
        <v>26</v>
      </c>
      <c r="F2059" s="7" t="s">
        <v>4551</v>
      </c>
      <c r="G2059" s="7" t="n">
        <v>2019</v>
      </c>
      <c r="H2059" s="7" t="s">
        <v>49</v>
      </c>
      <c r="I2059" s="7" t="s">
        <v>82</v>
      </c>
      <c r="J2059" s="7" t="s">
        <v>4059</v>
      </c>
      <c r="K2059" s="7" t="n">
        <f aca="false">IFERROR(VALUE(RIGHT(TRIM(F2059),4)),"")</f>
        <v>2019</v>
      </c>
      <c r="L2059" s="7" t="str">
        <f aca="false">IF(TRIM(E2059)="","Unknown",IFERROR(LEFT(TRIM(E2059),FIND(",",TRIM(E2059))-1),TRIM(E2059)))</f>
        <v>United States</v>
      </c>
      <c r="M2059" s="7" t="str">
        <f aca="false">IFERROR(LEFT(J2059,FIND(",",J2059)-1),J2059)</f>
        <v>TV Dramas</v>
      </c>
      <c r="N2059" s="7" t="str">
        <f aca="false">IF(B2059="Movie",IFERROR(VALUE(LEFT(I2059,FIND(" ",I2059)-1)),""),"")</f>
        <v/>
      </c>
      <c r="O2059" s="7" t="n">
        <f aca="false">IF(B2059="TV Show",IFERROR(VALUE(LEFT(I2059,FIND(" ",I2059)-1)),""),"")</f>
        <v>1</v>
      </c>
      <c r="P2059" s="7" t="n">
        <f aca="false">IF(K2059="","",K2059-G2059)</f>
        <v>0</v>
      </c>
    </row>
    <row r="2060" customFormat="false" ht="15" hidden="false" customHeight="false" outlineLevel="0" collapsed="false">
      <c r="A2060" s="7" t="n">
        <v>80127927</v>
      </c>
      <c r="B2060" s="7" t="s">
        <v>78</v>
      </c>
      <c r="C2060" s="7" t="s">
        <v>4552</v>
      </c>
      <c r="E2060" s="7" t="s">
        <v>31</v>
      </c>
      <c r="F2060" s="7" t="s">
        <v>4553</v>
      </c>
      <c r="G2060" s="7" t="n">
        <v>2018</v>
      </c>
      <c r="H2060" s="7" t="s">
        <v>119</v>
      </c>
      <c r="I2060" s="7" t="s">
        <v>82</v>
      </c>
      <c r="J2060" s="7" t="s">
        <v>44</v>
      </c>
      <c r="K2060" s="7" t="n">
        <f aca="false">IFERROR(VALUE(RIGHT(TRIM(F2060),4)),"")</f>
        <v>2018</v>
      </c>
      <c r="L2060" s="7" t="str">
        <f aca="false">IF(TRIM(E2060)="","Unknown",IFERROR(LEFT(TRIM(E2060),FIND(",",TRIM(E2060))-1),TRIM(E2060)))</f>
        <v>France</v>
      </c>
      <c r="M2060" s="7" t="str">
        <f aca="false">IFERROR(LEFT(J2060,FIND(",",J2060)-1),J2060)</f>
        <v>Kids' TV</v>
      </c>
      <c r="N2060" s="7" t="str">
        <f aca="false">IF(B2060="Movie",IFERROR(VALUE(LEFT(I2060,FIND(" ",I2060)-1)),""),"")</f>
        <v/>
      </c>
      <c r="O2060" s="7" t="n">
        <f aca="false">IF(B2060="TV Show",IFERROR(VALUE(LEFT(I2060,FIND(" ",I2060)-1)),""),"")</f>
        <v>1</v>
      </c>
      <c r="P2060" s="7" t="n">
        <f aca="false">IF(K2060="","",K2060-G2060)</f>
        <v>0</v>
      </c>
    </row>
    <row r="2061" customFormat="false" ht="15" hidden="false" customHeight="false" outlineLevel="0" collapsed="false">
      <c r="A2061" s="7" t="n">
        <v>80134826</v>
      </c>
      <c r="B2061" s="7" t="s">
        <v>68</v>
      </c>
      <c r="C2061" s="7" t="s">
        <v>4554</v>
      </c>
      <c r="D2061" s="7" t="s">
        <v>2163</v>
      </c>
      <c r="E2061" s="7" t="s">
        <v>26</v>
      </c>
      <c r="F2061" s="7" t="s">
        <v>4555</v>
      </c>
      <c r="G2061" s="7" t="n">
        <v>2017</v>
      </c>
      <c r="H2061" s="7" t="s">
        <v>48</v>
      </c>
      <c r="I2061" s="7" t="s">
        <v>551</v>
      </c>
      <c r="J2061" s="7" t="s">
        <v>45</v>
      </c>
      <c r="K2061" s="7" t="n">
        <f aca="false">IFERROR(VALUE(RIGHT(TRIM(F2061),4)),"")</f>
        <v>2017</v>
      </c>
      <c r="L2061" s="7" t="str">
        <f aca="false">IF(TRIM(E2061)="","Unknown",IFERROR(LEFT(TRIM(E2061),FIND(",",TRIM(E2061))-1),TRIM(E2061)))</f>
        <v>United States</v>
      </c>
      <c r="M2061" s="7" t="str">
        <f aca="false">IFERROR(LEFT(J2061,FIND(",",J2061)-1),J2061)</f>
        <v>Stand-Up Comedy</v>
      </c>
      <c r="N2061" s="7" t="n">
        <f aca="false">IF(B2061="Movie",IFERROR(VALUE(LEFT(I2061,FIND(" ",I2061)-1)),""),"")</f>
        <v>63</v>
      </c>
      <c r="O2061" s="7" t="str">
        <f aca="false">IF(B2061="TV Show",IFERROR(VALUE(LEFT(I2061,FIND(" ",I2061)-1)),""),"")</f>
        <v/>
      </c>
      <c r="P2061" s="7" t="n">
        <f aca="false">IF(K2061="","",K2061-G2061)</f>
        <v>0</v>
      </c>
    </row>
    <row r="2062" customFormat="false" ht="15" hidden="false" customHeight="false" outlineLevel="0" collapsed="false">
      <c r="A2062" s="7" t="n">
        <v>81047902</v>
      </c>
      <c r="B2062" s="7" t="s">
        <v>68</v>
      </c>
      <c r="C2062" s="7" t="s">
        <v>4556</v>
      </c>
      <c r="D2062" s="7" t="s">
        <v>4557</v>
      </c>
      <c r="E2062" s="7" t="s">
        <v>362</v>
      </c>
      <c r="F2062" s="7" t="s">
        <v>4558</v>
      </c>
      <c r="G2062" s="7" t="n">
        <v>2017</v>
      </c>
      <c r="H2062" s="7" t="s">
        <v>49</v>
      </c>
      <c r="I2062" s="7" t="s">
        <v>421</v>
      </c>
      <c r="J2062" s="7" t="s">
        <v>169</v>
      </c>
      <c r="K2062" s="7" t="n">
        <f aca="false">IFERROR(VALUE(RIGHT(TRIM(F2062),4)),"")</f>
        <v>2019</v>
      </c>
      <c r="L2062" s="7" t="str">
        <f aca="false">IF(TRIM(E2062)="","Unknown",IFERROR(LEFT(TRIM(E2062),FIND(",",TRIM(E2062))-1),TRIM(E2062)))</f>
        <v>Indonesia</v>
      </c>
      <c r="M2062" s="7" t="str">
        <f aca="false">IFERROR(LEFT(J2062,FIND(",",J2062)-1),J2062)</f>
        <v>Horror Movies</v>
      </c>
      <c r="N2062" s="7" t="n">
        <f aca="false">IF(B2062="Movie",IFERROR(VALUE(LEFT(I2062,FIND(" ",I2062)-1)),""),"")</f>
        <v>75</v>
      </c>
      <c r="O2062" s="7" t="str">
        <f aca="false">IF(B2062="TV Show",IFERROR(VALUE(LEFT(I2062,FIND(" ",I2062)-1)),""),"")</f>
        <v/>
      </c>
      <c r="P2062" s="7" t="n">
        <f aca="false">IF(K2062="","",K2062-G2062)</f>
        <v>2</v>
      </c>
    </row>
    <row r="2063" customFormat="false" ht="15" hidden="false" customHeight="false" outlineLevel="0" collapsed="false">
      <c r="A2063" s="7" t="n">
        <v>81047897</v>
      </c>
      <c r="B2063" s="7" t="s">
        <v>68</v>
      </c>
      <c r="C2063" s="7" t="s">
        <v>4559</v>
      </c>
      <c r="D2063" s="7" t="s">
        <v>4560</v>
      </c>
      <c r="E2063" s="7" t="s">
        <v>362</v>
      </c>
      <c r="F2063" s="7" t="s">
        <v>4558</v>
      </c>
      <c r="G2063" s="7" t="n">
        <v>2008</v>
      </c>
      <c r="H2063" s="7" t="s">
        <v>49</v>
      </c>
      <c r="I2063" s="7" t="s">
        <v>235</v>
      </c>
      <c r="J2063" s="7" t="s">
        <v>240</v>
      </c>
      <c r="K2063" s="7" t="n">
        <f aca="false">IFERROR(VALUE(RIGHT(TRIM(F2063),4)),"")</f>
        <v>2019</v>
      </c>
      <c r="L2063" s="7" t="str">
        <f aca="false">IF(TRIM(E2063)="","Unknown",IFERROR(LEFT(TRIM(E2063),FIND(",",TRIM(E2063))-1),TRIM(E2063)))</f>
        <v>Indonesia</v>
      </c>
      <c r="M2063" s="7" t="str">
        <f aca="false">IFERROR(LEFT(J2063,FIND(",",J2063)-1),J2063)</f>
        <v>Dramas</v>
      </c>
      <c r="N2063" s="7" t="n">
        <f aca="false">IF(B2063="Movie",IFERROR(VALUE(LEFT(I2063,FIND(" ",I2063)-1)),""),"")</f>
        <v>126</v>
      </c>
      <c r="O2063" s="7" t="str">
        <f aca="false">IF(B2063="TV Show",IFERROR(VALUE(LEFT(I2063,FIND(" ",I2063)-1)),""),"")</f>
        <v/>
      </c>
      <c r="P2063" s="7" t="n">
        <f aca="false">IF(K2063="","",K2063-G2063)</f>
        <v>11</v>
      </c>
    </row>
    <row r="2064" customFormat="false" ht="15" hidden="false" customHeight="false" outlineLevel="0" collapsed="false">
      <c r="A2064" s="7" t="n">
        <v>80216988</v>
      </c>
      <c r="B2064" s="7" t="s">
        <v>68</v>
      </c>
      <c r="C2064" s="7" t="s">
        <v>4561</v>
      </c>
      <c r="D2064" s="7" t="s">
        <v>4562</v>
      </c>
      <c r="E2064" s="7" t="s">
        <v>2419</v>
      </c>
      <c r="F2064" s="7" t="s">
        <v>4563</v>
      </c>
      <c r="G2064" s="7" t="n">
        <v>2017</v>
      </c>
      <c r="H2064" s="7" t="s">
        <v>48</v>
      </c>
      <c r="I2064" s="7" t="s">
        <v>173</v>
      </c>
      <c r="J2064" s="7" t="s">
        <v>169</v>
      </c>
      <c r="K2064" s="7" t="n">
        <f aca="false">IFERROR(VALUE(RIGHT(TRIM(F2064),4)),"")</f>
        <v>2018</v>
      </c>
      <c r="L2064" s="7" t="str">
        <f aca="false">IF(TRIM(E2064)="","Unknown",IFERROR(LEFT(TRIM(E2064),FIND(",",TRIM(E2064))-1),TRIM(E2064)))</f>
        <v>Iceland</v>
      </c>
      <c r="M2064" s="7" t="str">
        <f aca="false">IFERROR(LEFT(J2064,FIND(",",J2064)-1),J2064)</f>
        <v>Horror Movies</v>
      </c>
      <c r="N2064" s="7" t="n">
        <f aca="false">IF(B2064="Movie",IFERROR(VALUE(LEFT(I2064,FIND(" ",I2064)-1)),""),"")</f>
        <v>106</v>
      </c>
      <c r="O2064" s="7" t="str">
        <f aca="false">IF(B2064="TV Show",IFERROR(VALUE(LEFT(I2064,FIND(" ",I2064)-1)),""),"")</f>
        <v/>
      </c>
      <c r="P2064" s="7" t="n">
        <f aca="false">IF(K2064="","",K2064-G2064)</f>
        <v>1</v>
      </c>
    </row>
    <row r="2065" customFormat="false" ht="15" hidden="false" customHeight="false" outlineLevel="0" collapsed="false">
      <c r="A2065" s="7" t="n">
        <v>80213803</v>
      </c>
      <c r="B2065" s="7" t="s">
        <v>78</v>
      </c>
      <c r="C2065" s="7" t="s">
        <v>4564</v>
      </c>
      <c r="D2065" s="7" t="s">
        <v>4565</v>
      </c>
      <c r="E2065" s="7" t="s">
        <v>28</v>
      </c>
      <c r="F2065" s="7" t="s">
        <v>4563</v>
      </c>
      <c r="G2065" s="7" t="n">
        <v>2018</v>
      </c>
      <c r="H2065" s="7" t="s">
        <v>49</v>
      </c>
      <c r="I2065" s="7" t="s">
        <v>82</v>
      </c>
      <c r="J2065" s="7" t="s">
        <v>4566</v>
      </c>
      <c r="K2065" s="7" t="n">
        <f aca="false">IFERROR(VALUE(RIGHT(TRIM(F2065),4)),"")</f>
        <v>2018</v>
      </c>
      <c r="L2065" s="7" t="str">
        <f aca="false">IF(TRIM(E2065)="","Unknown",IFERROR(LEFT(TRIM(E2065),FIND(",",TRIM(E2065))-1),TRIM(E2065)))</f>
        <v>United Kingdom</v>
      </c>
      <c r="M2065" s="7" t="str">
        <f aca="false">IFERROR(LEFT(J2065,FIND(",",J2065)-1),J2065)</f>
        <v>British TV Shows</v>
      </c>
      <c r="N2065" s="7" t="str">
        <f aca="false">IF(B2065="Movie",IFERROR(VALUE(LEFT(I2065,FIND(" ",I2065)-1)),""),"")</f>
        <v/>
      </c>
      <c r="O2065" s="7" t="n">
        <f aca="false">IF(B2065="TV Show",IFERROR(VALUE(LEFT(I2065,FIND(" ",I2065)-1)),""),"")</f>
        <v>1</v>
      </c>
      <c r="P2065" s="7" t="n">
        <f aca="false">IF(K2065="","",K2065-G2065)</f>
        <v>0</v>
      </c>
    </row>
    <row r="2066" customFormat="false" ht="15" hidden="false" customHeight="false" outlineLevel="0" collapsed="false">
      <c r="A2066" s="7" t="n">
        <v>80175623</v>
      </c>
      <c r="B2066" s="7" t="s">
        <v>68</v>
      </c>
      <c r="C2066" s="7" t="s">
        <v>4567</v>
      </c>
      <c r="D2066" s="7" t="s">
        <v>4568</v>
      </c>
      <c r="E2066" s="7" t="s">
        <v>27</v>
      </c>
      <c r="F2066" s="7" t="s">
        <v>4569</v>
      </c>
      <c r="G2066" s="7" t="n">
        <v>2012</v>
      </c>
      <c r="H2066" s="7" t="s">
        <v>49</v>
      </c>
      <c r="I2066" s="7" t="s">
        <v>93</v>
      </c>
      <c r="J2066" s="7" t="s">
        <v>240</v>
      </c>
      <c r="K2066" s="7" t="n">
        <f aca="false">IFERROR(VALUE(RIGHT(TRIM(F2066),4)),"")</f>
        <v>2017</v>
      </c>
      <c r="L2066" s="7" t="str">
        <f aca="false">IF(TRIM(E2066)="","Unknown",IFERROR(LEFT(TRIM(E2066),FIND(",",TRIM(E2066))-1),TRIM(E2066)))</f>
        <v>India</v>
      </c>
      <c r="M2066" s="7" t="str">
        <f aca="false">IFERROR(LEFT(J2066,FIND(",",J2066)-1),J2066)</f>
        <v>Dramas</v>
      </c>
      <c r="N2066" s="7" t="n">
        <f aca="false">IF(B2066="Movie",IFERROR(VALUE(LEFT(I2066,FIND(" ",I2066)-1)),""),"")</f>
        <v>110</v>
      </c>
      <c r="O2066" s="7" t="str">
        <f aca="false">IF(B2066="TV Show",IFERROR(VALUE(LEFT(I2066,FIND(" ",I2066)-1)),""),"")</f>
        <v/>
      </c>
      <c r="P2066" s="7" t="n">
        <f aca="false">IF(K2066="","",K2066-G2066)</f>
        <v>5</v>
      </c>
    </row>
    <row r="2067" customFormat="false" ht="15" hidden="false" customHeight="false" outlineLevel="0" collapsed="false">
      <c r="A2067" s="7" t="n">
        <v>81002880</v>
      </c>
      <c r="B2067" s="7" t="s">
        <v>68</v>
      </c>
      <c r="C2067" s="7" t="s">
        <v>4570</v>
      </c>
      <c r="D2067" s="7" t="s">
        <v>1172</v>
      </c>
      <c r="E2067" s="7" t="s">
        <v>26</v>
      </c>
      <c r="F2067" s="7" t="s">
        <v>4571</v>
      </c>
      <c r="G2067" s="7" t="n">
        <v>2019</v>
      </c>
      <c r="H2067" s="7" t="s">
        <v>50</v>
      </c>
      <c r="I2067" s="7" t="s">
        <v>123</v>
      </c>
      <c r="J2067" s="7" t="s">
        <v>45</v>
      </c>
      <c r="K2067" s="7" t="n">
        <f aca="false">IFERROR(VALUE(RIGHT(TRIM(F2067),4)),"")</f>
        <v>2019</v>
      </c>
      <c r="L2067" s="7" t="str">
        <f aca="false">IF(TRIM(E2067)="","Unknown",IFERROR(LEFT(TRIM(E2067),FIND(",",TRIM(E2067))-1),TRIM(E2067)))</f>
        <v>United States</v>
      </c>
      <c r="M2067" s="7" t="str">
        <f aca="false">IFERROR(LEFT(J2067,FIND(",",J2067)-1),J2067)</f>
        <v>Stand-Up Comedy</v>
      </c>
      <c r="N2067" s="7" t="n">
        <f aca="false">IF(B2067="Movie",IFERROR(VALUE(LEFT(I2067,FIND(" ",I2067)-1)),""),"")</f>
        <v>61</v>
      </c>
      <c r="O2067" s="7" t="str">
        <f aca="false">IF(B2067="TV Show",IFERROR(VALUE(LEFT(I2067,FIND(" ",I2067)-1)),""),"")</f>
        <v/>
      </c>
      <c r="P2067" s="7" t="n">
        <f aca="false">IF(K2067="","",K2067-G2067)</f>
        <v>0</v>
      </c>
    </row>
    <row r="2068" customFormat="false" ht="15" hidden="false" customHeight="false" outlineLevel="0" collapsed="false">
      <c r="A2068" s="7" t="n">
        <v>80222896</v>
      </c>
      <c r="B2068" s="7" t="s">
        <v>68</v>
      </c>
      <c r="C2068" s="7" t="s">
        <v>4572</v>
      </c>
      <c r="D2068" s="7" t="s">
        <v>4573</v>
      </c>
      <c r="E2068" s="7" t="s">
        <v>4574</v>
      </c>
      <c r="F2068" s="7" t="s">
        <v>4575</v>
      </c>
      <c r="G2068" s="7" t="n">
        <v>2016</v>
      </c>
      <c r="H2068" s="7" t="s">
        <v>48</v>
      </c>
      <c r="I2068" s="7" t="s">
        <v>1405</v>
      </c>
      <c r="J2068" s="7" t="s">
        <v>182</v>
      </c>
      <c r="K2068" s="7" t="n">
        <f aca="false">IFERROR(VALUE(RIGHT(TRIM(F2068),4)),"")</f>
        <v>2018</v>
      </c>
      <c r="L2068" s="7" t="str">
        <f aca="false">IF(TRIM(E2068)="","Unknown",IFERROR(LEFT(TRIM(E2068),FIND(",",TRIM(E2068))-1),TRIM(E2068)))</f>
        <v>Philippines</v>
      </c>
      <c r="M2068" s="7" t="str">
        <f aca="false">IFERROR(LEFT(J2068,FIND(",",J2068)-1),J2068)</f>
        <v>Dramas</v>
      </c>
      <c r="N2068" s="7" t="n">
        <f aca="false">IF(B2068="Movie",IFERROR(VALUE(LEFT(I2068,FIND(" ",I2068)-1)),""),"")</f>
        <v>115</v>
      </c>
      <c r="O2068" s="7" t="str">
        <f aca="false">IF(B2068="TV Show",IFERROR(VALUE(LEFT(I2068,FIND(" ",I2068)-1)),""),"")</f>
        <v/>
      </c>
      <c r="P2068" s="7" t="n">
        <f aca="false">IF(K2068="","",K2068-G2068)</f>
        <v>2</v>
      </c>
    </row>
    <row r="2069" customFormat="false" ht="15" hidden="false" customHeight="false" outlineLevel="0" collapsed="false">
      <c r="A2069" s="7" t="n">
        <v>81038046</v>
      </c>
      <c r="B2069" s="7" t="s">
        <v>68</v>
      </c>
      <c r="C2069" s="7" t="s">
        <v>4576</v>
      </c>
      <c r="D2069" s="7" t="s">
        <v>4577</v>
      </c>
      <c r="E2069" s="7" t="s">
        <v>27</v>
      </c>
      <c r="F2069" s="7" t="s">
        <v>4578</v>
      </c>
      <c r="G2069" s="7" t="n">
        <v>2018</v>
      </c>
      <c r="H2069" s="7" t="s">
        <v>49</v>
      </c>
      <c r="I2069" s="7" t="s">
        <v>235</v>
      </c>
      <c r="J2069" s="7" t="s">
        <v>4035</v>
      </c>
      <c r="K2069" s="7" t="n">
        <f aca="false">IFERROR(VALUE(RIGHT(TRIM(F2069),4)),"")</f>
        <v>2019</v>
      </c>
      <c r="L2069" s="7" t="str">
        <f aca="false">IF(TRIM(E2069)="","Unknown",IFERROR(LEFT(TRIM(E2069),FIND(",",TRIM(E2069))-1),TRIM(E2069)))</f>
        <v>India</v>
      </c>
      <c r="M2069" s="7" t="str">
        <f aca="false">IFERROR(LEFT(J2069,FIND(",",J2069)-1),J2069)</f>
        <v>Action &amp; Adventure</v>
      </c>
      <c r="N2069" s="7" t="n">
        <f aca="false">IF(B2069="Movie",IFERROR(VALUE(LEFT(I2069,FIND(" ",I2069)-1)),""),"")</f>
        <v>126</v>
      </c>
      <c r="O2069" s="7" t="str">
        <f aca="false">IF(B2069="TV Show",IFERROR(VALUE(LEFT(I2069,FIND(" ",I2069)-1)),""),"")</f>
        <v/>
      </c>
      <c r="P2069" s="7" t="n">
        <f aca="false">IF(K2069="","",K2069-G2069)</f>
        <v>1</v>
      </c>
    </row>
    <row r="2070" customFormat="false" ht="15" hidden="false" customHeight="false" outlineLevel="0" collapsed="false">
      <c r="A2070" s="7" t="n">
        <v>81049479</v>
      </c>
      <c r="B2070" s="7" t="s">
        <v>78</v>
      </c>
      <c r="C2070" s="7" t="s">
        <v>4579</v>
      </c>
      <c r="F2070" s="7" t="s">
        <v>4578</v>
      </c>
      <c r="G2070" s="7" t="n">
        <v>2018</v>
      </c>
      <c r="H2070" s="7" t="s">
        <v>49</v>
      </c>
      <c r="I2070" s="7" t="s">
        <v>82</v>
      </c>
      <c r="J2070" s="7" t="s">
        <v>588</v>
      </c>
      <c r="K2070" s="7" t="n">
        <f aca="false">IFERROR(VALUE(RIGHT(TRIM(F2070),4)),"")</f>
        <v>2019</v>
      </c>
      <c r="L2070" s="7" t="str">
        <f aca="false">IF(TRIM(E2070)="","Unknown",IFERROR(LEFT(TRIM(E2070),FIND(",",TRIM(E2070))-1),TRIM(E2070)))</f>
        <v>Unknown</v>
      </c>
      <c r="M2070" s="7" t="str">
        <f aca="false">IFERROR(LEFT(J2070,FIND(",",J2070)-1),J2070)</f>
        <v>Crime TV Shows</v>
      </c>
      <c r="N2070" s="7" t="str">
        <f aca="false">IF(B2070="Movie",IFERROR(VALUE(LEFT(I2070,FIND(" ",I2070)-1)),""),"")</f>
        <v/>
      </c>
      <c r="O2070" s="7" t="n">
        <f aca="false">IF(B2070="TV Show",IFERROR(VALUE(LEFT(I2070,FIND(" ",I2070)-1)),""),"")</f>
        <v>1</v>
      </c>
      <c r="P2070" s="7" t="n">
        <f aca="false">IF(K2070="","",K2070-G2070)</f>
        <v>1</v>
      </c>
    </row>
    <row r="2071" customFormat="false" ht="15" hidden="false" customHeight="false" outlineLevel="0" collapsed="false">
      <c r="A2071" s="7" t="n">
        <v>80101096</v>
      </c>
      <c r="B2071" s="7" t="s">
        <v>68</v>
      </c>
      <c r="C2071" s="7" t="s">
        <v>4580</v>
      </c>
      <c r="D2071" s="7" t="s">
        <v>4581</v>
      </c>
      <c r="E2071" s="7" t="s">
        <v>26</v>
      </c>
      <c r="F2071" s="7" t="s">
        <v>4582</v>
      </c>
      <c r="G2071" s="7" t="n">
        <v>2016</v>
      </c>
      <c r="H2071" s="7" t="s">
        <v>50</v>
      </c>
      <c r="I2071" s="7" t="s">
        <v>1653</v>
      </c>
      <c r="J2071" s="7" t="s">
        <v>74</v>
      </c>
      <c r="K2071" s="7" t="n">
        <f aca="false">IFERROR(VALUE(RIGHT(TRIM(F2071),4)),"")</f>
        <v>2016</v>
      </c>
      <c r="L2071" s="7" t="str">
        <f aca="false">IF(TRIM(E2071)="","Unknown",IFERROR(LEFT(TRIM(E2071),FIND(",",TRIM(E2071))-1),TRIM(E2071)))</f>
        <v>United States</v>
      </c>
      <c r="M2071" s="7" t="str">
        <f aca="false">IFERROR(LEFT(J2071,FIND(",",J2071)-1),J2071)</f>
        <v>Children &amp; Family Movies</v>
      </c>
      <c r="N2071" s="7" t="n">
        <f aca="false">IF(B2071="Movie",IFERROR(VALUE(LEFT(I2071,FIND(" ",I2071)-1)),""),"")</f>
        <v>23</v>
      </c>
      <c r="O2071" s="7" t="str">
        <f aca="false">IF(B2071="TV Show",IFERROR(VALUE(LEFT(I2071,FIND(" ",I2071)-1)),""),"")</f>
        <v/>
      </c>
      <c r="P2071" s="7" t="n">
        <f aca="false">IF(K2071="","",K2071-G2071)</f>
        <v>0</v>
      </c>
    </row>
    <row r="2072" customFormat="false" ht="15" hidden="false" customHeight="false" outlineLevel="0" collapsed="false">
      <c r="A2072" s="7" t="n">
        <v>80202809</v>
      </c>
      <c r="B2072" s="7" t="s">
        <v>68</v>
      </c>
      <c r="C2072" s="7" t="s">
        <v>4583</v>
      </c>
      <c r="D2072" s="7" t="s">
        <v>4584</v>
      </c>
      <c r="E2072" s="7" t="s">
        <v>33</v>
      </c>
      <c r="F2072" s="7" t="s">
        <v>4585</v>
      </c>
      <c r="G2072" s="7" t="n">
        <v>2018</v>
      </c>
      <c r="H2072" s="7" t="s">
        <v>49</v>
      </c>
      <c r="I2072" s="7" t="s">
        <v>268</v>
      </c>
      <c r="J2072" s="7" t="s">
        <v>139</v>
      </c>
      <c r="K2072" s="7" t="n">
        <f aca="false">IFERROR(VALUE(RIGHT(TRIM(F2072),4)),"")</f>
        <v>2019</v>
      </c>
      <c r="L2072" s="7" t="str">
        <f aca="false">IF(TRIM(E2072)="","Unknown",IFERROR(LEFT(TRIM(E2072),FIND(",",TRIM(E2072))-1),TRIM(E2072)))</f>
        <v>Spain</v>
      </c>
      <c r="M2072" s="7" t="str">
        <f aca="false">IFERROR(LEFT(J2072,FIND(",",J2072)-1),J2072)</f>
        <v>Action &amp; Adventure</v>
      </c>
      <c r="N2072" s="7" t="n">
        <f aca="false">IF(B2072="Movie",IFERROR(VALUE(LEFT(I2072,FIND(" ",I2072)-1)),""),"")</f>
        <v>108</v>
      </c>
      <c r="O2072" s="7" t="str">
        <f aca="false">IF(B2072="TV Show",IFERROR(VALUE(LEFT(I2072,FIND(" ",I2072)-1)),""),"")</f>
        <v/>
      </c>
      <c r="P2072" s="7" t="n">
        <f aca="false">IF(K2072="","",K2072-G2072)</f>
        <v>1</v>
      </c>
    </row>
    <row r="2073" customFormat="false" ht="15" hidden="false" customHeight="false" outlineLevel="0" collapsed="false">
      <c r="A2073" s="7" t="n">
        <v>80020132</v>
      </c>
      <c r="B2073" s="7" t="s">
        <v>68</v>
      </c>
      <c r="C2073" s="7" t="s">
        <v>4586</v>
      </c>
      <c r="D2073" s="7" t="s">
        <v>4587</v>
      </c>
      <c r="E2073" s="7" t="s">
        <v>26</v>
      </c>
      <c r="F2073" s="7" t="s">
        <v>4588</v>
      </c>
      <c r="G2073" s="7" t="n">
        <v>2015</v>
      </c>
      <c r="H2073" s="7" t="s">
        <v>55</v>
      </c>
      <c r="I2073" s="7" t="s">
        <v>661</v>
      </c>
      <c r="J2073" s="7" t="s">
        <v>42</v>
      </c>
      <c r="K2073" s="7" t="n">
        <f aca="false">IFERROR(VALUE(RIGHT(TRIM(F2073),4)),"")</f>
        <v>2018</v>
      </c>
      <c r="L2073" s="7" t="str">
        <f aca="false">IF(TRIM(E2073)="","Unknown",IFERROR(LEFT(TRIM(E2073),FIND(",",TRIM(E2073))-1),TRIM(E2073)))</f>
        <v>United States</v>
      </c>
      <c r="M2073" s="7" t="str">
        <f aca="false">IFERROR(LEFT(J2073,FIND(",",J2073)-1),J2073)</f>
        <v>Children &amp; Family Movies</v>
      </c>
      <c r="N2073" s="7" t="n">
        <f aca="false">IF(B2073="Movie",IFERROR(VALUE(LEFT(I2073,FIND(" ",I2073)-1)),""),"")</f>
        <v>76</v>
      </c>
      <c r="O2073" s="7" t="str">
        <f aca="false">IF(B2073="TV Show",IFERROR(VALUE(LEFT(I2073,FIND(" ",I2073)-1)),""),"")</f>
        <v/>
      </c>
      <c r="P2073" s="7" t="n">
        <f aca="false">IF(K2073="","",K2073-G2073)</f>
        <v>3</v>
      </c>
    </row>
    <row r="2074" customFormat="false" ht="15" hidden="false" customHeight="false" outlineLevel="0" collapsed="false">
      <c r="A2074" s="7" t="n">
        <v>80206758</v>
      </c>
      <c r="B2074" s="7" t="s">
        <v>68</v>
      </c>
      <c r="C2074" s="7" t="s">
        <v>4589</v>
      </c>
      <c r="D2074" s="7" t="s">
        <v>4590</v>
      </c>
      <c r="E2074" s="7" t="s">
        <v>28</v>
      </c>
      <c r="F2074" s="7" t="s">
        <v>4588</v>
      </c>
      <c r="G2074" s="7" t="n">
        <v>2017</v>
      </c>
      <c r="H2074" s="7" t="s">
        <v>50</v>
      </c>
      <c r="I2074" s="7" t="s">
        <v>154</v>
      </c>
      <c r="J2074" s="7" t="s">
        <v>341</v>
      </c>
      <c r="K2074" s="7" t="n">
        <f aca="false">IFERROR(VALUE(RIGHT(TRIM(F2074),4)),"")</f>
        <v>2018</v>
      </c>
      <c r="L2074" s="7" t="str">
        <f aca="false">IF(TRIM(E2074)="","Unknown",IFERROR(LEFT(TRIM(E2074),FIND(",",TRIM(E2074))-1),TRIM(E2074)))</f>
        <v>United Kingdom</v>
      </c>
      <c r="M2074" s="7" t="str">
        <f aca="false">IFERROR(LEFT(J2074,FIND(",",J2074)-1),J2074)</f>
        <v>Documentaries</v>
      </c>
      <c r="N2074" s="7" t="n">
        <f aca="false">IF(B2074="Movie",IFERROR(VALUE(LEFT(I2074,FIND(" ",I2074)-1)),""),"")</f>
        <v>80</v>
      </c>
      <c r="O2074" s="7" t="str">
        <f aca="false">IF(B2074="TV Show",IFERROR(VALUE(LEFT(I2074,FIND(" ",I2074)-1)),""),"")</f>
        <v/>
      </c>
      <c r="P2074" s="7" t="n">
        <f aca="false">IF(K2074="","",K2074-G2074)</f>
        <v>1</v>
      </c>
    </row>
    <row r="2075" customFormat="false" ht="15" hidden="false" customHeight="false" outlineLevel="0" collapsed="false">
      <c r="A2075" s="7" t="n">
        <v>80162210</v>
      </c>
      <c r="B2075" s="7" t="s">
        <v>68</v>
      </c>
      <c r="C2075" s="7" t="s">
        <v>4591</v>
      </c>
      <c r="D2075" s="7" t="s">
        <v>4592</v>
      </c>
      <c r="E2075" s="7" t="s">
        <v>325</v>
      </c>
      <c r="F2075" s="7" t="s">
        <v>4593</v>
      </c>
      <c r="G2075" s="7" t="n">
        <v>2017</v>
      </c>
      <c r="H2075" s="7" t="s">
        <v>48</v>
      </c>
      <c r="I2075" s="7" t="s">
        <v>470</v>
      </c>
      <c r="J2075" s="7" t="s">
        <v>45</v>
      </c>
      <c r="K2075" s="7" t="n">
        <f aca="false">IFERROR(VALUE(RIGHT(TRIM(F2075),4)),"")</f>
        <v>2017</v>
      </c>
      <c r="L2075" s="7" t="str">
        <f aca="false">IF(TRIM(E2075)="","Unknown",IFERROR(LEFT(TRIM(E2075),FIND(",",TRIM(E2075))-1),TRIM(E2075)))</f>
        <v>Brazil</v>
      </c>
      <c r="M2075" s="7" t="str">
        <f aca="false">IFERROR(LEFT(J2075,FIND(",",J2075)-1),J2075)</f>
        <v>Stand-Up Comedy</v>
      </c>
      <c r="N2075" s="7" t="n">
        <f aca="false">IF(B2075="Movie",IFERROR(VALUE(LEFT(I2075,FIND(" ",I2075)-1)),""),"")</f>
        <v>91</v>
      </c>
      <c r="O2075" s="7" t="str">
        <f aca="false">IF(B2075="TV Show",IFERROR(VALUE(LEFT(I2075,FIND(" ",I2075)-1)),""),"")</f>
        <v/>
      </c>
      <c r="P2075" s="7" t="n">
        <f aca="false">IF(K2075="","",K2075-G2075)</f>
        <v>0</v>
      </c>
    </row>
    <row r="2076" customFormat="false" ht="15" hidden="false" customHeight="false" outlineLevel="0" collapsed="false">
      <c r="A2076" s="7" t="n">
        <v>80126485</v>
      </c>
      <c r="B2076" s="7" t="s">
        <v>68</v>
      </c>
      <c r="C2076" s="7" t="s">
        <v>4594</v>
      </c>
      <c r="D2076" s="7" t="s">
        <v>4595</v>
      </c>
      <c r="E2076" s="7" t="s">
        <v>26</v>
      </c>
      <c r="F2076" s="7" t="s">
        <v>4593</v>
      </c>
      <c r="G2076" s="7" t="n">
        <v>2016</v>
      </c>
      <c r="H2076" s="7" t="s">
        <v>49</v>
      </c>
      <c r="I2076" s="7" t="s">
        <v>272</v>
      </c>
      <c r="J2076" s="7" t="s">
        <v>39</v>
      </c>
      <c r="K2076" s="7" t="n">
        <f aca="false">IFERROR(VALUE(RIGHT(TRIM(F2076),4)),"")</f>
        <v>2017</v>
      </c>
      <c r="L2076" s="7" t="str">
        <f aca="false">IF(TRIM(E2076)="","Unknown",IFERROR(LEFT(TRIM(E2076),FIND(",",TRIM(E2076))-1),TRIM(E2076)))</f>
        <v>United States</v>
      </c>
      <c r="M2076" s="7" t="str">
        <f aca="false">IFERROR(LEFT(J2076,FIND(",",J2076)-1),J2076)</f>
        <v>Documentaries</v>
      </c>
      <c r="N2076" s="7" t="n">
        <f aca="false">IF(B2076="Movie",IFERROR(VALUE(LEFT(I2076,FIND(" ",I2076)-1)),""),"")</f>
        <v>93</v>
      </c>
      <c r="O2076" s="7" t="str">
        <f aca="false">IF(B2076="TV Show",IFERROR(VALUE(LEFT(I2076,FIND(" ",I2076)-1)),""),"")</f>
        <v/>
      </c>
      <c r="P2076" s="7" t="n">
        <f aca="false">IF(K2076="","",K2076-G2076)</f>
        <v>1</v>
      </c>
    </row>
    <row r="2077" customFormat="false" ht="15" hidden="false" customHeight="false" outlineLevel="0" collapsed="false">
      <c r="A2077" s="7" t="n">
        <v>80082242</v>
      </c>
      <c r="B2077" s="7" t="s">
        <v>68</v>
      </c>
      <c r="C2077" s="7" t="s">
        <v>4596</v>
      </c>
      <c r="D2077" s="7" t="s">
        <v>4597</v>
      </c>
      <c r="E2077" s="7" t="s">
        <v>26</v>
      </c>
      <c r="F2077" s="7" t="s">
        <v>4593</v>
      </c>
      <c r="G2077" s="7" t="n">
        <v>2017</v>
      </c>
      <c r="H2077" s="7" t="s">
        <v>48</v>
      </c>
      <c r="I2077" s="7" t="s">
        <v>272</v>
      </c>
      <c r="J2077" s="7" t="s">
        <v>37</v>
      </c>
      <c r="K2077" s="7" t="n">
        <f aca="false">IFERROR(VALUE(RIGHT(TRIM(F2077),4)),"")</f>
        <v>2017</v>
      </c>
      <c r="L2077" s="7" t="str">
        <f aca="false">IF(TRIM(E2077)="","Unknown",IFERROR(LEFT(TRIM(E2077),FIND(",",TRIM(E2077))-1),TRIM(E2077)))</f>
        <v>United States</v>
      </c>
      <c r="M2077" s="7" t="str">
        <f aca="false">IFERROR(LEFT(J2077,FIND(",",J2077)-1),J2077)</f>
        <v>Dramas</v>
      </c>
      <c r="N2077" s="7" t="n">
        <f aca="false">IF(B2077="Movie",IFERROR(VALUE(LEFT(I2077,FIND(" ",I2077)-1)),""),"")</f>
        <v>93</v>
      </c>
      <c r="O2077" s="7" t="str">
        <f aca="false">IF(B2077="TV Show",IFERROR(VALUE(LEFT(I2077,FIND(" ",I2077)-1)),""),"")</f>
        <v/>
      </c>
      <c r="P2077" s="7" t="n">
        <f aca="false">IF(K2077="","",K2077-G2077)</f>
        <v>0</v>
      </c>
    </row>
    <row r="2078" customFormat="false" ht="15" hidden="false" customHeight="false" outlineLevel="0" collapsed="false">
      <c r="A2078" s="7" t="n">
        <v>70251816</v>
      </c>
      <c r="B2078" s="7" t="s">
        <v>78</v>
      </c>
      <c r="C2078" s="7" t="s">
        <v>4598</v>
      </c>
      <c r="E2078" s="7" t="s">
        <v>26</v>
      </c>
      <c r="F2078" s="7" t="s">
        <v>4599</v>
      </c>
      <c r="G2078" s="7" t="n">
        <v>2015</v>
      </c>
      <c r="H2078" s="7" t="s">
        <v>48</v>
      </c>
      <c r="I2078" s="7" t="s">
        <v>82</v>
      </c>
      <c r="J2078" s="7" t="s">
        <v>696</v>
      </c>
      <c r="K2078" s="7" t="n">
        <f aca="false">IFERROR(VALUE(RIGHT(TRIM(F2078),4)),"")</f>
        <v>2019</v>
      </c>
      <c r="L2078" s="7" t="str">
        <f aca="false">IF(TRIM(E2078)="","Unknown",IFERROR(LEFT(TRIM(E2078),FIND(",",TRIM(E2078))-1),TRIM(E2078)))</f>
        <v>United States</v>
      </c>
      <c r="M2078" s="7" t="str">
        <f aca="false">IFERROR(LEFT(J2078,FIND(",",J2078)-1),J2078)</f>
        <v>Crime TV Shows</v>
      </c>
      <c r="N2078" s="7" t="str">
        <f aca="false">IF(B2078="Movie",IFERROR(VALUE(LEFT(I2078,FIND(" ",I2078)-1)),""),"")</f>
        <v/>
      </c>
      <c r="O2078" s="7" t="n">
        <f aca="false">IF(B2078="TV Show",IFERROR(VALUE(LEFT(I2078,FIND(" ",I2078)-1)),""),"")</f>
        <v>1</v>
      </c>
      <c r="P2078" s="7" t="n">
        <f aca="false">IF(K2078="","",K2078-G2078)</f>
        <v>4</v>
      </c>
    </row>
    <row r="2079" customFormat="false" ht="15" hidden="false" customHeight="false" outlineLevel="0" collapsed="false">
      <c r="A2079" s="7" t="n">
        <v>70202151</v>
      </c>
      <c r="B2079" s="7" t="s">
        <v>68</v>
      </c>
      <c r="C2079" s="7" t="s">
        <v>4600</v>
      </c>
      <c r="D2079" s="7" t="s">
        <v>4601</v>
      </c>
      <c r="E2079" s="7" t="s">
        <v>26</v>
      </c>
      <c r="F2079" s="7" t="s">
        <v>4599</v>
      </c>
      <c r="G2079" s="7" t="n">
        <v>2011</v>
      </c>
      <c r="H2079" s="7" t="s">
        <v>52</v>
      </c>
      <c r="I2079" s="7" t="s">
        <v>357</v>
      </c>
      <c r="J2079" s="7" t="s">
        <v>38</v>
      </c>
      <c r="K2079" s="7" t="n">
        <f aca="false">IFERROR(VALUE(RIGHT(TRIM(F2079),4)),"")</f>
        <v>2019</v>
      </c>
      <c r="L2079" s="7" t="str">
        <f aca="false">IF(TRIM(E2079)="","Unknown",IFERROR(LEFT(TRIM(E2079),FIND(",",TRIM(E2079))-1),TRIM(E2079)))</f>
        <v>United States</v>
      </c>
      <c r="M2079" s="7" t="str">
        <f aca="false">IFERROR(LEFT(J2079,FIND(",",J2079)-1),J2079)</f>
        <v>Comedies</v>
      </c>
      <c r="N2079" s="7" t="n">
        <f aca="false">IF(B2079="Movie",IFERROR(VALUE(LEFT(I2079,FIND(" ",I2079)-1)),""),"")</f>
        <v>89</v>
      </c>
      <c r="O2079" s="7" t="str">
        <f aca="false">IF(B2079="TV Show",IFERROR(VALUE(LEFT(I2079,FIND(" ",I2079)-1)),""),"")</f>
        <v/>
      </c>
      <c r="P2079" s="7" t="n">
        <f aca="false">IF(K2079="","",K2079-G2079)</f>
        <v>8</v>
      </c>
    </row>
    <row r="2080" customFormat="false" ht="15" hidden="false" customHeight="false" outlineLevel="0" collapsed="false">
      <c r="A2080" s="7" t="n">
        <v>80999996</v>
      </c>
      <c r="B2080" s="7" t="s">
        <v>68</v>
      </c>
      <c r="C2080" s="7" t="s">
        <v>4602</v>
      </c>
      <c r="D2080" s="7" t="s">
        <v>4603</v>
      </c>
      <c r="E2080" s="7" t="s">
        <v>167</v>
      </c>
      <c r="F2080" s="7" t="s">
        <v>4599</v>
      </c>
      <c r="G2080" s="7" t="n">
        <v>2017</v>
      </c>
      <c r="H2080" s="7" t="s">
        <v>48</v>
      </c>
      <c r="I2080" s="7" t="s">
        <v>205</v>
      </c>
      <c r="J2080" s="7" t="s">
        <v>139</v>
      </c>
      <c r="K2080" s="7" t="n">
        <f aca="false">IFERROR(VALUE(RIGHT(TRIM(F2080),4)),"")</f>
        <v>2019</v>
      </c>
      <c r="L2080" s="7" t="str">
        <f aca="false">IF(TRIM(E2080)="","Unknown",IFERROR(LEFT(TRIM(E2080),FIND(",",TRIM(E2080))-1),TRIM(E2080)))</f>
        <v>Thailand</v>
      </c>
      <c r="M2080" s="7" t="str">
        <f aca="false">IFERROR(LEFT(J2080,FIND(",",J2080)-1),J2080)</f>
        <v>Action &amp; Adventure</v>
      </c>
      <c r="N2080" s="7" t="n">
        <f aca="false">IF(B2080="Movie",IFERROR(VALUE(LEFT(I2080,FIND(" ",I2080)-1)),""),"")</f>
        <v>100</v>
      </c>
      <c r="O2080" s="7" t="str">
        <f aca="false">IF(B2080="TV Show",IFERROR(VALUE(LEFT(I2080,FIND(" ",I2080)-1)),""),"")</f>
        <v/>
      </c>
      <c r="P2080" s="7" t="n">
        <f aca="false">IF(K2080="","",K2080-G2080)</f>
        <v>2</v>
      </c>
    </row>
    <row r="2081" customFormat="false" ht="15" hidden="false" customHeight="false" outlineLevel="0" collapsed="false">
      <c r="A2081" s="7" t="n">
        <v>80222788</v>
      </c>
      <c r="B2081" s="7" t="s">
        <v>78</v>
      </c>
      <c r="C2081" s="7" t="s">
        <v>4604</v>
      </c>
      <c r="E2081" s="7" t="s">
        <v>366</v>
      </c>
      <c r="F2081" s="7" t="s">
        <v>4605</v>
      </c>
      <c r="G2081" s="7" t="n">
        <v>2017</v>
      </c>
      <c r="H2081" s="7" t="s">
        <v>48</v>
      </c>
      <c r="I2081" s="7" t="s">
        <v>82</v>
      </c>
      <c r="J2081" s="7" t="s">
        <v>402</v>
      </c>
      <c r="K2081" s="7" t="n">
        <f aca="false">IFERROR(VALUE(RIGHT(TRIM(F2081),4)),"")</f>
        <v>2018</v>
      </c>
      <c r="L2081" s="7" t="str">
        <f aca="false">IF(TRIM(E2081)="","Unknown",IFERROR(LEFT(TRIM(E2081),FIND(",",TRIM(E2081))-1),TRIM(E2081)))</f>
        <v>China</v>
      </c>
      <c r="M2081" s="7" t="str">
        <f aca="false">IFERROR(LEFT(J2081,FIND(",",J2081)-1),J2081)</f>
        <v>Crime TV Shows</v>
      </c>
      <c r="N2081" s="7" t="str">
        <f aca="false">IF(B2081="Movie",IFERROR(VALUE(LEFT(I2081,FIND(" ",I2081)-1)),""),"")</f>
        <v/>
      </c>
      <c r="O2081" s="7" t="n">
        <f aca="false">IF(B2081="TV Show",IFERROR(VALUE(LEFT(I2081,FIND(" ",I2081)-1)),""),"")</f>
        <v>1</v>
      </c>
      <c r="P2081" s="7" t="n">
        <f aca="false">IF(K2081="","",K2081-G2081)</f>
        <v>1</v>
      </c>
    </row>
    <row r="2082" customFormat="false" ht="15" hidden="false" customHeight="false" outlineLevel="0" collapsed="false">
      <c r="A2082" s="7" t="n">
        <v>80169617</v>
      </c>
      <c r="B2082" s="7" t="s">
        <v>68</v>
      </c>
      <c r="C2082" s="7" t="s">
        <v>4606</v>
      </c>
      <c r="D2082" s="7" t="s">
        <v>4607</v>
      </c>
      <c r="E2082" s="7" t="s">
        <v>26</v>
      </c>
      <c r="F2082" s="7" t="s">
        <v>4605</v>
      </c>
      <c r="G2082" s="7" t="n">
        <v>2018</v>
      </c>
      <c r="H2082" s="7" t="s">
        <v>48</v>
      </c>
      <c r="I2082" s="7" t="s">
        <v>181</v>
      </c>
      <c r="J2082" s="7" t="s">
        <v>967</v>
      </c>
      <c r="K2082" s="7" t="n">
        <f aca="false">IFERROR(VALUE(RIGHT(TRIM(F2082),4)),"")</f>
        <v>2018</v>
      </c>
      <c r="L2082" s="7" t="str">
        <f aca="false">IF(TRIM(E2082)="","Unknown",IFERROR(LEFT(TRIM(E2082),FIND(",",TRIM(E2082))-1),TRIM(E2082)))</f>
        <v>United States</v>
      </c>
      <c r="M2082" s="7" t="str">
        <f aca="false">IFERROR(LEFT(J2082,FIND(",",J2082)-1),J2082)</f>
        <v>Action &amp; Adventure</v>
      </c>
      <c r="N2082" s="7" t="n">
        <f aca="false">IF(B2082="Movie",IFERROR(VALUE(LEFT(I2082,FIND(" ",I2082)-1)),""),"")</f>
        <v>102</v>
      </c>
      <c r="O2082" s="7" t="str">
        <f aca="false">IF(B2082="TV Show",IFERROR(VALUE(LEFT(I2082,FIND(" ",I2082)-1)),""),"")</f>
        <v/>
      </c>
      <c r="P2082" s="7" t="n">
        <f aca="false">IF(K2082="","",K2082-G2082)</f>
        <v>0</v>
      </c>
    </row>
    <row r="2083" customFormat="false" ht="15" hidden="false" customHeight="false" outlineLevel="0" collapsed="false">
      <c r="A2083" s="7" t="n">
        <v>80144454</v>
      </c>
      <c r="B2083" s="7" t="s">
        <v>68</v>
      </c>
      <c r="C2083" s="7" t="s">
        <v>4608</v>
      </c>
      <c r="D2083" s="7" t="s">
        <v>4609</v>
      </c>
      <c r="E2083" s="7" t="s">
        <v>4610</v>
      </c>
      <c r="F2083" s="7" t="s">
        <v>4605</v>
      </c>
      <c r="G2083" s="7" t="n">
        <v>2016</v>
      </c>
      <c r="H2083" s="7" t="s">
        <v>48</v>
      </c>
      <c r="I2083" s="7" t="s">
        <v>87</v>
      </c>
      <c r="J2083" s="7" t="s">
        <v>304</v>
      </c>
      <c r="K2083" s="7" t="n">
        <f aca="false">IFERROR(VALUE(RIGHT(TRIM(F2083),4)),"")</f>
        <v>2018</v>
      </c>
      <c r="L2083" s="7" t="str">
        <f aca="false">IF(TRIM(E2083)="","Unknown",IFERROR(LEFT(TRIM(E2083),FIND(",",TRIM(E2083))-1),TRIM(E2083)))</f>
        <v>Netherlands</v>
      </c>
      <c r="M2083" s="7" t="str">
        <f aca="false">IFERROR(LEFT(J2083,FIND(",",J2083)-1),J2083)</f>
        <v>Dramas</v>
      </c>
      <c r="N2083" s="7" t="n">
        <f aca="false">IF(B2083="Movie",IFERROR(VALUE(LEFT(I2083,FIND(" ",I2083)-1)),""),"")</f>
        <v>99</v>
      </c>
      <c r="O2083" s="7" t="str">
        <f aca="false">IF(B2083="TV Show",IFERROR(VALUE(LEFT(I2083,FIND(" ",I2083)-1)),""),"")</f>
        <v/>
      </c>
      <c r="P2083" s="7" t="n">
        <f aca="false">IF(K2083="","",K2083-G2083)</f>
        <v>2</v>
      </c>
    </row>
    <row r="2084" customFormat="false" ht="15" hidden="false" customHeight="false" outlineLevel="0" collapsed="false">
      <c r="A2084" s="7" t="n">
        <v>70204282</v>
      </c>
      <c r="B2084" s="7" t="s">
        <v>68</v>
      </c>
      <c r="C2084" s="7" t="s">
        <v>4611</v>
      </c>
      <c r="D2084" s="7" t="s">
        <v>4612</v>
      </c>
      <c r="E2084" s="7" t="s">
        <v>4613</v>
      </c>
      <c r="F2084" s="7" t="s">
        <v>4605</v>
      </c>
      <c r="G2084" s="7" t="n">
        <v>2007</v>
      </c>
      <c r="H2084" s="7" t="s">
        <v>53</v>
      </c>
      <c r="I2084" s="7" t="s">
        <v>437</v>
      </c>
      <c r="J2084" s="7" t="s">
        <v>341</v>
      </c>
      <c r="K2084" s="7" t="n">
        <f aca="false">IFERROR(VALUE(RIGHT(TRIM(F2084),4)),"")</f>
        <v>2018</v>
      </c>
      <c r="L2084" s="7" t="str">
        <f aca="false">IF(TRIM(E2084)="","Unknown",IFERROR(LEFT(TRIM(E2084),FIND(",",TRIM(E2084))-1),TRIM(E2084)))</f>
        <v>Venezuela</v>
      </c>
      <c r="M2084" s="7" t="str">
        <f aca="false">IFERROR(LEFT(J2084,FIND(",",J2084)-1),J2084)</f>
        <v>Documentaries</v>
      </c>
      <c r="N2084" s="7" t="n">
        <f aca="false">IF(B2084="Movie",IFERROR(VALUE(LEFT(I2084,FIND(" ",I2084)-1)),""),"")</f>
        <v>82</v>
      </c>
      <c r="O2084" s="7" t="str">
        <f aca="false">IF(B2084="TV Show",IFERROR(VALUE(LEFT(I2084,FIND(" ",I2084)-1)),""),"")</f>
        <v/>
      </c>
      <c r="P2084" s="7" t="n">
        <f aca="false">IF(K2084="","",K2084-G2084)</f>
        <v>11</v>
      </c>
    </row>
    <row r="2085" customFormat="false" ht="15" hidden="false" customHeight="false" outlineLevel="0" collapsed="false">
      <c r="A2085" s="7" t="n">
        <v>80242378</v>
      </c>
      <c r="B2085" s="7" t="s">
        <v>68</v>
      </c>
      <c r="C2085" s="7" t="s">
        <v>4614</v>
      </c>
      <c r="D2085" s="7" t="s">
        <v>4615</v>
      </c>
      <c r="E2085" s="7" t="s">
        <v>26</v>
      </c>
      <c r="F2085" s="7" t="s">
        <v>4605</v>
      </c>
      <c r="G2085" s="7" t="n">
        <v>2018</v>
      </c>
      <c r="H2085" s="7" t="s">
        <v>48</v>
      </c>
      <c r="I2085" s="7" t="s">
        <v>1221</v>
      </c>
      <c r="J2085" s="7" t="s">
        <v>150</v>
      </c>
      <c r="K2085" s="7" t="n">
        <f aca="false">IFERROR(VALUE(RIGHT(TRIM(F2085),4)),"")</f>
        <v>2018</v>
      </c>
      <c r="L2085" s="7" t="str">
        <f aca="false">IF(TRIM(E2085)="","Unknown",IFERROR(LEFT(TRIM(E2085),FIND(",",TRIM(E2085))-1),TRIM(E2085)))</f>
        <v>United States</v>
      </c>
      <c r="M2085" s="7" t="str">
        <f aca="false">IFERROR(LEFT(J2085,FIND(",",J2085)-1),J2085)</f>
        <v>Dramas</v>
      </c>
      <c r="N2085" s="7" t="n">
        <f aca="false">IF(B2085="Movie",IFERROR(VALUE(LEFT(I2085,FIND(" ",I2085)-1)),""),"")</f>
        <v>74</v>
      </c>
      <c r="O2085" s="7" t="str">
        <f aca="false">IF(B2085="TV Show",IFERROR(VALUE(LEFT(I2085,FIND(" ",I2085)-1)),""),"")</f>
        <v/>
      </c>
      <c r="P2085" s="7" t="n">
        <f aca="false">IF(K2085="","",K2085-G2085)</f>
        <v>0</v>
      </c>
    </row>
    <row r="2086" customFormat="false" ht="15" hidden="false" customHeight="false" outlineLevel="0" collapsed="false">
      <c r="A2086" s="7" t="n">
        <v>80184068</v>
      </c>
      <c r="B2086" s="7" t="s">
        <v>78</v>
      </c>
      <c r="C2086" s="7" t="s">
        <v>4616</v>
      </c>
      <c r="E2086" s="7" t="s">
        <v>28</v>
      </c>
      <c r="F2086" s="7" t="s">
        <v>4605</v>
      </c>
      <c r="G2086" s="7" t="n">
        <v>2018</v>
      </c>
      <c r="H2086" s="7" t="s">
        <v>48</v>
      </c>
      <c r="I2086" s="7" t="s">
        <v>82</v>
      </c>
      <c r="J2086" s="7" t="s">
        <v>4544</v>
      </c>
      <c r="K2086" s="7" t="n">
        <f aca="false">IFERROR(VALUE(RIGHT(TRIM(F2086),4)),"")</f>
        <v>2018</v>
      </c>
      <c r="L2086" s="7" t="str">
        <f aca="false">IF(TRIM(E2086)="","Unknown",IFERROR(LEFT(TRIM(E2086),FIND(",",TRIM(E2086))-1),TRIM(E2086)))</f>
        <v>United Kingdom</v>
      </c>
      <c r="M2086" s="7" t="str">
        <f aca="false">IFERROR(LEFT(J2086,FIND(",",J2086)-1),J2086)</f>
        <v>British TV Shows</v>
      </c>
      <c r="N2086" s="7" t="str">
        <f aca="false">IF(B2086="Movie",IFERROR(VALUE(LEFT(I2086,FIND(" ",I2086)-1)),""),"")</f>
        <v/>
      </c>
      <c r="O2086" s="7" t="n">
        <f aca="false">IF(B2086="TV Show",IFERROR(VALUE(LEFT(I2086,FIND(" ",I2086)-1)),""),"")</f>
        <v>1</v>
      </c>
      <c r="P2086" s="7" t="n">
        <f aca="false">IF(K2086="","",K2086-G2086)</f>
        <v>0</v>
      </c>
    </row>
    <row r="2087" customFormat="false" ht="15" hidden="false" customHeight="false" outlineLevel="0" collapsed="false">
      <c r="A2087" s="7" t="n">
        <v>80171733</v>
      </c>
      <c r="B2087" s="7" t="s">
        <v>68</v>
      </c>
      <c r="C2087" s="7" t="s">
        <v>4617</v>
      </c>
      <c r="D2087" s="7" t="s">
        <v>4618</v>
      </c>
      <c r="E2087" s="7" t="s">
        <v>26</v>
      </c>
      <c r="F2087" s="7" t="s">
        <v>4605</v>
      </c>
      <c r="G2087" s="7" t="n">
        <v>2018</v>
      </c>
      <c r="H2087" s="7" t="s">
        <v>48</v>
      </c>
      <c r="I2087" s="7" t="s">
        <v>205</v>
      </c>
      <c r="J2087" s="7" t="s">
        <v>37</v>
      </c>
      <c r="K2087" s="7" t="n">
        <f aca="false">IFERROR(VALUE(RIGHT(TRIM(F2087),4)),"")</f>
        <v>2018</v>
      </c>
      <c r="L2087" s="7" t="str">
        <f aca="false">IF(TRIM(E2087)="","Unknown",IFERROR(LEFT(TRIM(E2087),FIND(",",TRIM(E2087))-1),TRIM(E2087)))</f>
        <v>United States</v>
      </c>
      <c r="M2087" s="7" t="str">
        <f aca="false">IFERROR(LEFT(J2087,FIND(",",J2087)-1),J2087)</f>
        <v>Dramas</v>
      </c>
      <c r="N2087" s="7" t="n">
        <f aca="false">IF(B2087="Movie",IFERROR(VALUE(LEFT(I2087,FIND(" ",I2087)-1)),""),"")</f>
        <v>100</v>
      </c>
      <c r="O2087" s="7" t="str">
        <f aca="false">IF(B2087="TV Show",IFERROR(VALUE(LEFT(I2087,FIND(" ",I2087)-1)),""),"")</f>
        <v/>
      </c>
      <c r="P2087" s="7" t="n">
        <f aca="false">IF(K2087="","",K2087-G2087)</f>
        <v>0</v>
      </c>
    </row>
    <row r="2088" customFormat="false" ht="15" hidden="false" customHeight="false" outlineLevel="0" collapsed="false">
      <c r="A2088" s="7" t="n">
        <v>80245408</v>
      </c>
      <c r="B2088" s="7" t="s">
        <v>68</v>
      </c>
      <c r="C2088" s="7" t="s">
        <v>4619</v>
      </c>
      <c r="D2088" s="7" t="s">
        <v>4620</v>
      </c>
      <c r="E2088" s="7" t="s">
        <v>27</v>
      </c>
      <c r="F2088" s="7" t="s">
        <v>4605</v>
      </c>
      <c r="G2088" s="7" t="n">
        <v>2017</v>
      </c>
      <c r="H2088" s="7" t="s">
        <v>49</v>
      </c>
      <c r="I2088" s="7" t="s">
        <v>1777</v>
      </c>
      <c r="J2088" s="7" t="s">
        <v>1042</v>
      </c>
      <c r="K2088" s="7" t="n">
        <f aca="false">IFERROR(VALUE(RIGHT(TRIM(F2088),4)),"")</f>
        <v>2018</v>
      </c>
      <c r="L2088" s="7" t="str">
        <f aca="false">IF(TRIM(E2088)="","Unknown",IFERROR(LEFT(TRIM(E2088),FIND(",",TRIM(E2088))-1),TRIM(E2088)))</f>
        <v>India</v>
      </c>
      <c r="M2088" s="7" t="str">
        <f aca="false">IFERROR(LEFT(J2088,FIND(",",J2088)-1),J2088)</f>
        <v>Dramas</v>
      </c>
      <c r="N2088" s="7" t="n">
        <f aca="false">IF(B2088="Movie",IFERROR(VALUE(LEFT(I2088,FIND(" ",I2088)-1)),""),"")</f>
        <v>150</v>
      </c>
      <c r="O2088" s="7" t="str">
        <f aca="false">IF(B2088="TV Show",IFERROR(VALUE(LEFT(I2088,FIND(" ",I2088)-1)),""),"")</f>
        <v/>
      </c>
      <c r="P2088" s="7" t="n">
        <f aca="false">IF(K2088="","",K2088-G2088)</f>
        <v>1</v>
      </c>
    </row>
    <row r="2089" customFormat="false" ht="15" hidden="false" customHeight="false" outlineLevel="0" collapsed="false">
      <c r="A2089" s="7" t="n">
        <v>80044566</v>
      </c>
      <c r="B2089" s="7" t="s">
        <v>68</v>
      </c>
      <c r="C2089" s="7" t="s">
        <v>4621</v>
      </c>
      <c r="D2089" s="7" t="s">
        <v>4622</v>
      </c>
      <c r="E2089" s="7" t="s">
        <v>905</v>
      </c>
      <c r="F2089" s="7" t="s">
        <v>4623</v>
      </c>
      <c r="G2089" s="7" t="n">
        <v>2014</v>
      </c>
      <c r="H2089" s="7" t="s">
        <v>51</v>
      </c>
      <c r="I2089" s="7" t="s">
        <v>268</v>
      </c>
      <c r="J2089" s="7" t="s">
        <v>150</v>
      </c>
      <c r="K2089" s="7" t="n">
        <f aca="false">IFERROR(VALUE(RIGHT(TRIM(F2089),4)),"")</f>
        <v>2017</v>
      </c>
      <c r="L2089" s="7" t="str">
        <f aca="false">IF(TRIM(E2089)="","Unknown",IFERROR(LEFT(TRIM(E2089),FIND(",",TRIM(E2089))-1),TRIM(E2089)))</f>
        <v>United States</v>
      </c>
      <c r="M2089" s="7" t="str">
        <f aca="false">IFERROR(LEFT(J2089,FIND(",",J2089)-1),J2089)</f>
        <v>Dramas</v>
      </c>
      <c r="N2089" s="7" t="n">
        <f aca="false">IF(B2089="Movie",IFERROR(VALUE(LEFT(I2089,FIND(" ",I2089)-1)),""),"")</f>
        <v>108</v>
      </c>
      <c r="O2089" s="7" t="str">
        <f aca="false">IF(B2089="TV Show",IFERROR(VALUE(LEFT(I2089,FIND(" ",I2089)-1)),""),"")</f>
        <v/>
      </c>
      <c r="P2089" s="7" t="n">
        <f aca="false">IF(K2089="","",K2089-G2089)</f>
        <v>3</v>
      </c>
    </row>
    <row r="2090" customFormat="false" ht="15" hidden="false" customHeight="false" outlineLevel="0" collapsed="false">
      <c r="A2090" s="7" t="n">
        <v>80189632</v>
      </c>
      <c r="B2090" s="7" t="s">
        <v>78</v>
      </c>
      <c r="C2090" s="7" t="s">
        <v>4624</v>
      </c>
      <c r="E2090" s="7" t="s">
        <v>26</v>
      </c>
      <c r="F2090" s="7" t="s">
        <v>4625</v>
      </c>
      <c r="G2090" s="7" t="n">
        <v>2019</v>
      </c>
      <c r="H2090" s="7" t="s">
        <v>119</v>
      </c>
      <c r="I2090" s="7" t="s">
        <v>82</v>
      </c>
      <c r="J2090" s="7" t="s">
        <v>44</v>
      </c>
      <c r="K2090" s="7" t="n">
        <f aca="false">IFERROR(VALUE(RIGHT(TRIM(F2090),4)),"")</f>
        <v>2019</v>
      </c>
      <c r="L2090" s="7" t="str">
        <f aca="false">IF(TRIM(E2090)="","Unknown",IFERROR(LEFT(TRIM(E2090),FIND(",",TRIM(E2090))-1),TRIM(E2090)))</f>
        <v>United States</v>
      </c>
      <c r="M2090" s="7" t="str">
        <f aca="false">IFERROR(LEFT(J2090,FIND(",",J2090)-1),J2090)</f>
        <v>Kids' TV</v>
      </c>
      <c r="N2090" s="7" t="str">
        <f aca="false">IF(B2090="Movie",IFERROR(VALUE(LEFT(I2090,FIND(" ",I2090)-1)),""),"")</f>
        <v/>
      </c>
      <c r="O2090" s="7" t="n">
        <f aca="false">IF(B2090="TV Show",IFERROR(VALUE(LEFT(I2090,FIND(" ",I2090)-1)),""),"")</f>
        <v>1</v>
      </c>
      <c r="P2090" s="7" t="n">
        <f aca="false">IF(K2090="","",K2090-G2090)</f>
        <v>0</v>
      </c>
    </row>
    <row r="2091" customFormat="false" ht="15" hidden="false" customHeight="false" outlineLevel="0" collapsed="false">
      <c r="A2091" s="7" t="n">
        <v>80230265</v>
      </c>
      <c r="B2091" s="7" t="s">
        <v>78</v>
      </c>
      <c r="C2091" s="7" t="s">
        <v>4626</v>
      </c>
      <c r="E2091" s="7" t="s">
        <v>34</v>
      </c>
      <c r="F2091" s="7" t="s">
        <v>4625</v>
      </c>
      <c r="G2091" s="7" t="n">
        <v>2019</v>
      </c>
      <c r="H2091" s="7" t="s">
        <v>48</v>
      </c>
      <c r="I2091" s="7" t="s">
        <v>82</v>
      </c>
      <c r="J2091" s="7" t="s">
        <v>89</v>
      </c>
      <c r="K2091" s="7" t="n">
        <f aca="false">IFERROR(VALUE(RIGHT(TRIM(F2091),4)),"")</f>
        <v>2019</v>
      </c>
      <c r="L2091" s="7" t="str">
        <f aca="false">IF(TRIM(E2091)="","Unknown",IFERROR(LEFT(TRIM(E2091),FIND(",",TRIM(E2091))-1),TRIM(E2091)))</f>
        <v>Mexico</v>
      </c>
      <c r="M2091" s="7" t="str">
        <f aca="false">IFERROR(LEFT(J2091,FIND(",",J2091)-1),J2091)</f>
        <v>Crime TV Shows</v>
      </c>
      <c r="N2091" s="7" t="str">
        <f aca="false">IF(B2091="Movie",IFERROR(VALUE(LEFT(I2091,FIND(" ",I2091)-1)),""),"")</f>
        <v/>
      </c>
      <c r="O2091" s="7" t="n">
        <f aca="false">IF(B2091="TV Show",IFERROR(VALUE(LEFT(I2091,FIND(" ",I2091)-1)),""),"")</f>
        <v>1</v>
      </c>
      <c r="P2091" s="7" t="n">
        <f aca="false">IF(K2091="","",K2091-G2091)</f>
        <v>0</v>
      </c>
    </row>
    <row r="2092" customFormat="false" ht="15" hidden="false" customHeight="false" outlineLevel="0" collapsed="false">
      <c r="A2092" s="7" t="n">
        <v>81076756</v>
      </c>
      <c r="B2092" s="7" t="s">
        <v>78</v>
      </c>
      <c r="C2092" s="7" t="s">
        <v>4627</v>
      </c>
      <c r="E2092" s="7" t="s">
        <v>27</v>
      </c>
      <c r="F2092" s="7" t="s">
        <v>4625</v>
      </c>
      <c r="G2092" s="7" t="n">
        <v>2019</v>
      </c>
      <c r="H2092" s="7" t="s">
        <v>48</v>
      </c>
      <c r="I2092" s="7" t="s">
        <v>82</v>
      </c>
      <c r="J2092" s="7" t="s">
        <v>402</v>
      </c>
      <c r="K2092" s="7" t="n">
        <f aca="false">IFERROR(VALUE(RIGHT(TRIM(F2092),4)),"")</f>
        <v>2019</v>
      </c>
      <c r="L2092" s="7" t="str">
        <f aca="false">IF(TRIM(E2092)="","Unknown",IFERROR(LEFT(TRIM(E2092),FIND(",",TRIM(E2092))-1),TRIM(E2092)))</f>
        <v>India</v>
      </c>
      <c r="M2092" s="7" t="str">
        <f aca="false">IFERROR(LEFT(J2092,FIND(",",J2092)-1),J2092)</f>
        <v>Crime TV Shows</v>
      </c>
      <c r="N2092" s="7" t="str">
        <f aca="false">IF(B2092="Movie",IFERROR(VALUE(LEFT(I2092,FIND(" ",I2092)-1)),""),"")</f>
        <v/>
      </c>
      <c r="O2092" s="7" t="n">
        <f aca="false">IF(B2092="TV Show",IFERROR(VALUE(LEFT(I2092,FIND(" ",I2092)-1)),""),"")</f>
        <v>1</v>
      </c>
      <c r="P2092" s="7" t="n">
        <f aca="false">IF(K2092="","",K2092-G2092)</f>
        <v>0</v>
      </c>
    </row>
    <row r="2093" customFormat="false" ht="15" hidden="false" customHeight="false" outlineLevel="0" collapsed="false">
      <c r="A2093" s="7" t="n">
        <v>80991158</v>
      </c>
      <c r="B2093" s="7" t="s">
        <v>68</v>
      </c>
      <c r="C2093" s="7" t="s">
        <v>4628</v>
      </c>
      <c r="D2093" s="7" t="s">
        <v>4629</v>
      </c>
      <c r="E2093" s="7" t="s">
        <v>33</v>
      </c>
      <c r="F2093" s="7" t="s">
        <v>4625</v>
      </c>
      <c r="G2093" s="7" t="n">
        <v>2018</v>
      </c>
      <c r="H2093" s="7" t="s">
        <v>48</v>
      </c>
      <c r="I2093" s="7" t="s">
        <v>2053</v>
      </c>
      <c r="J2093" s="7" t="s">
        <v>2458</v>
      </c>
      <c r="K2093" s="7" t="n">
        <f aca="false">IFERROR(VALUE(RIGHT(TRIM(F2093),4)),"")</f>
        <v>2019</v>
      </c>
      <c r="L2093" s="7" t="str">
        <f aca="false">IF(TRIM(E2093)="","Unknown",IFERROR(LEFT(TRIM(E2093),FIND(",",TRIM(E2093))-1),TRIM(E2093)))</f>
        <v>Spain</v>
      </c>
      <c r="M2093" s="7" t="str">
        <f aca="false">IFERROR(LEFT(J2093,FIND(",",J2093)-1),J2093)</f>
        <v>Dramas</v>
      </c>
      <c r="N2093" s="7" t="n">
        <f aca="false">IF(B2093="Movie",IFERROR(VALUE(LEFT(I2093,FIND(" ",I2093)-1)),""),"")</f>
        <v>129</v>
      </c>
      <c r="O2093" s="7" t="str">
        <f aca="false">IF(B2093="TV Show",IFERROR(VALUE(LEFT(I2093,FIND(" ",I2093)-1)),""),"")</f>
        <v/>
      </c>
      <c r="P2093" s="7" t="n">
        <f aca="false">IF(K2093="","",K2093-G2093)</f>
        <v>1</v>
      </c>
    </row>
    <row r="2094" customFormat="false" ht="15" hidden="false" customHeight="false" outlineLevel="0" collapsed="false">
      <c r="A2094" s="7" t="n">
        <v>80208298</v>
      </c>
      <c r="B2094" s="7" t="s">
        <v>78</v>
      </c>
      <c r="C2094" s="7" t="s">
        <v>4630</v>
      </c>
      <c r="E2094" s="7" t="s">
        <v>325</v>
      </c>
      <c r="F2094" s="7" t="s">
        <v>4625</v>
      </c>
      <c r="G2094" s="7" t="n">
        <v>2019</v>
      </c>
      <c r="H2094" s="7" t="s">
        <v>48</v>
      </c>
      <c r="I2094" s="7" t="s">
        <v>82</v>
      </c>
      <c r="J2094" s="7" t="s">
        <v>314</v>
      </c>
      <c r="K2094" s="7" t="n">
        <f aca="false">IFERROR(VALUE(RIGHT(TRIM(F2094),4)),"")</f>
        <v>2019</v>
      </c>
      <c r="L2094" s="7" t="str">
        <f aca="false">IF(TRIM(E2094)="","Unknown",IFERROR(LEFT(TRIM(E2094),FIND(",",TRIM(E2094))-1),TRIM(E2094)))</f>
        <v>Brazil</v>
      </c>
      <c r="M2094" s="7" t="str">
        <f aca="false">IFERROR(LEFT(J2094,FIND(",",J2094)-1),J2094)</f>
        <v>International TV Shows</v>
      </c>
      <c r="N2094" s="7" t="str">
        <f aca="false">IF(B2094="Movie",IFERROR(VALUE(LEFT(I2094,FIND(" ",I2094)-1)),""),"")</f>
        <v/>
      </c>
      <c r="O2094" s="7" t="n">
        <f aca="false">IF(B2094="TV Show",IFERROR(VALUE(LEFT(I2094,FIND(" ",I2094)-1)),""),"")</f>
        <v>1</v>
      </c>
      <c r="P2094" s="7" t="n">
        <f aca="false">IF(K2094="","",K2094-G2094)</f>
        <v>0</v>
      </c>
    </row>
    <row r="2095" customFormat="false" ht="15" hidden="false" customHeight="false" outlineLevel="0" collapsed="false">
      <c r="A2095" s="7" t="n">
        <v>80191046</v>
      </c>
      <c r="B2095" s="7" t="s">
        <v>68</v>
      </c>
      <c r="C2095" s="7" t="s">
        <v>4631</v>
      </c>
      <c r="D2095" s="7" t="s">
        <v>4632</v>
      </c>
      <c r="F2095" s="7" t="s">
        <v>4625</v>
      </c>
      <c r="G2095" s="7" t="n">
        <v>2019</v>
      </c>
      <c r="H2095" s="7" t="s">
        <v>48</v>
      </c>
      <c r="I2095" s="7" t="s">
        <v>861</v>
      </c>
      <c r="J2095" s="7" t="s">
        <v>509</v>
      </c>
      <c r="K2095" s="7" t="n">
        <f aca="false">IFERROR(VALUE(RIGHT(TRIM(F2095),4)),"")</f>
        <v>2019</v>
      </c>
      <c r="L2095" s="7" t="str">
        <f aca="false">IF(TRIM(E2095)="","Unknown",IFERROR(LEFT(TRIM(E2095),FIND(",",TRIM(E2095))-1),TRIM(E2095)))</f>
        <v>Unknown</v>
      </c>
      <c r="M2095" s="7" t="str">
        <f aca="false">IFERROR(LEFT(J2095,FIND(",",J2095)-1),J2095)</f>
        <v>Documentaries</v>
      </c>
      <c r="N2095" s="7" t="n">
        <f aca="false">IF(B2095="Movie",IFERROR(VALUE(LEFT(I2095,FIND(" ",I2095)-1)),""),"")</f>
        <v>71</v>
      </c>
      <c r="O2095" s="7" t="str">
        <f aca="false">IF(B2095="TV Show",IFERROR(VALUE(LEFT(I2095,FIND(" ",I2095)-1)),""),"")</f>
        <v/>
      </c>
      <c r="P2095" s="7" t="n">
        <f aca="false">IF(K2095="","",K2095-G2095)</f>
        <v>0</v>
      </c>
    </row>
    <row r="2096" customFormat="false" ht="15" hidden="false" customHeight="false" outlineLevel="0" collapsed="false">
      <c r="A2096" s="7" t="n">
        <v>80223108</v>
      </c>
      <c r="B2096" s="7" t="s">
        <v>78</v>
      </c>
      <c r="C2096" s="7" t="s">
        <v>4633</v>
      </c>
      <c r="F2096" s="7" t="s">
        <v>4625</v>
      </c>
      <c r="G2096" s="7" t="n">
        <v>2019</v>
      </c>
      <c r="H2096" s="7" t="s">
        <v>48</v>
      </c>
      <c r="I2096" s="7" t="s">
        <v>82</v>
      </c>
      <c r="J2096" s="7" t="s">
        <v>701</v>
      </c>
      <c r="K2096" s="7" t="n">
        <f aca="false">IFERROR(VALUE(RIGHT(TRIM(F2096),4)),"")</f>
        <v>2019</v>
      </c>
      <c r="L2096" s="7" t="str">
        <f aca="false">IF(TRIM(E2096)="","Unknown",IFERROR(LEFT(TRIM(E2096),FIND(",",TRIM(E2096))-1),TRIM(E2096)))</f>
        <v>Unknown</v>
      </c>
      <c r="M2096" s="7" t="str">
        <f aca="false">IFERROR(LEFT(J2096,FIND(",",J2096)-1),J2096)</f>
        <v>Reality TV</v>
      </c>
      <c r="N2096" s="7" t="str">
        <f aca="false">IF(B2096="Movie",IFERROR(VALUE(LEFT(I2096,FIND(" ",I2096)-1)),""),"")</f>
        <v/>
      </c>
      <c r="O2096" s="7" t="n">
        <f aca="false">IF(B2096="TV Show",IFERROR(VALUE(LEFT(I2096,FIND(" ",I2096)-1)),""),"")</f>
        <v>1</v>
      </c>
      <c r="P2096" s="7" t="n">
        <f aca="false">IF(K2096="","",K2096-G2096)</f>
        <v>0</v>
      </c>
    </row>
    <row r="2097" customFormat="false" ht="15" hidden="false" customHeight="false" outlineLevel="0" collapsed="false">
      <c r="A2097" s="7" t="n">
        <v>81049348</v>
      </c>
      <c r="B2097" s="7" t="s">
        <v>78</v>
      </c>
      <c r="C2097" s="7" t="s">
        <v>4634</v>
      </c>
      <c r="F2097" s="7" t="s">
        <v>4625</v>
      </c>
      <c r="G2097" s="7" t="n">
        <v>2018</v>
      </c>
      <c r="H2097" s="7" t="s">
        <v>49</v>
      </c>
      <c r="I2097" s="7" t="s">
        <v>82</v>
      </c>
      <c r="J2097" s="7" t="s">
        <v>344</v>
      </c>
      <c r="K2097" s="7" t="n">
        <f aca="false">IFERROR(VALUE(RIGHT(TRIM(F2097),4)),"")</f>
        <v>2019</v>
      </c>
      <c r="L2097" s="7" t="str">
        <f aca="false">IF(TRIM(E2097)="","Unknown",IFERROR(LEFT(TRIM(E2097),FIND(",",TRIM(E2097))-1),TRIM(E2097)))</f>
        <v>Unknown</v>
      </c>
      <c r="M2097" s="7" t="str">
        <f aca="false">IFERROR(LEFT(J2097,FIND(",",J2097)-1),J2097)</f>
        <v>International TV Shows</v>
      </c>
      <c r="N2097" s="7" t="str">
        <f aca="false">IF(B2097="Movie",IFERROR(VALUE(LEFT(I2097,FIND(" ",I2097)-1)),""),"")</f>
        <v/>
      </c>
      <c r="O2097" s="7" t="n">
        <f aca="false">IF(B2097="TV Show",IFERROR(VALUE(LEFT(I2097,FIND(" ",I2097)-1)),""),"")</f>
        <v>1</v>
      </c>
      <c r="P2097" s="7" t="n">
        <f aca="false">IF(K2097="","",K2097-G2097)</f>
        <v>1</v>
      </c>
    </row>
    <row r="2098" customFormat="false" ht="15" hidden="false" customHeight="false" outlineLevel="0" collapsed="false">
      <c r="A2098" s="7" t="n">
        <v>80169469</v>
      </c>
      <c r="B2098" s="7" t="s">
        <v>68</v>
      </c>
      <c r="C2098" s="7" t="s">
        <v>4635</v>
      </c>
      <c r="D2098" s="7" t="s">
        <v>4636</v>
      </c>
      <c r="E2098" s="7" t="s">
        <v>26</v>
      </c>
      <c r="F2098" s="7" t="s">
        <v>4625</v>
      </c>
      <c r="G2098" s="7" t="n">
        <v>2019</v>
      </c>
      <c r="H2098" s="7" t="s">
        <v>48</v>
      </c>
      <c r="I2098" s="7" t="s">
        <v>268</v>
      </c>
      <c r="J2098" s="7" t="s">
        <v>4637</v>
      </c>
      <c r="K2098" s="7" t="n">
        <f aca="false">IFERROR(VALUE(RIGHT(TRIM(F2098),4)),"")</f>
        <v>2019</v>
      </c>
      <c r="L2098" s="7" t="str">
        <f aca="false">IF(TRIM(E2098)="","Unknown",IFERROR(LEFT(TRIM(E2098),FIND(",",TRIM(E2098))-1),TRIM(E2098)))</f>
        <v>United States</v>
      </c>
      <c r="M2098" s="7" t="str">
        <f aca="false">IFERROR(LEFT(J2098,FIND(",",J2098)-1),J2098)</f>
        <v>Comedies</v>
      </c>
      <c r="N2098" s="7" t="n">
        <f aca="false">IF(B2098="Movie",IFERROR(VALUE(LEFT(I2098,FIND(" ",I2098)-1)),""),"")</f>
        <v>108</v>
      </c>
      <c r="O2098" s="7" t="str">
        <f aca="false">IF(B2098="TV Show",IFERROR(VALUE(LEFT(I2098,FIND(" ",I2098)-1)),""),"")</f>
        <v/>
      </c>
      <c r="P2098" s="7" t="n">
        <f aca="false">IF(K2098="","",K2098-G2098)</f>
        <v>0</v>
      </c>
    </row>
    <row r="2099" customFormat="false" ht="15" hidden="false" customHeight="false" outlineLevel="0" collapsed="false">
      <c r="A2099" s="7" t="n">
        <v>80148239</v>
      </c>
      <c r="B2099" s="7" t="s">
        <v>68</v>
      </c>
      <c r="C2099" s="7" t="s">
        <v>4638</v>
      </c>
      <c r="D2099" s="7" t="s">
        <v>4639</v>
      </c>
      <c r="E2099" s="7" t="s">
        <v>28</v>
      </c>
      <c r="F2099" s="7" t="s">
        <v>4625</v>
      </c>
      <c r="G2099" s="7" t="n">
        <v>2016</v>
      </c>
      <c r="H2099" s="7" t="s">
        <v>49</v>
      </c>
      <c r="I2099" s="7" t="s">
        <v>512</v>
      </c>
      <c r="J2099" s="7" t="s">
        <v>699</v>
      </c>
      <c r="K2099" s="7" t="n">
        <f aca="false">IFERROR(VALUE(RIGHT(TRIM(F2099),4)),"")</f>
        <v>2019</v>
      </c>
      <c r="L2099" s="7" t="str">
        <f aca="false">IF(TRIM(E2099)="","Unknown",IFERROR(LEFT(TRIM(E2099),FIND(",",TRIM(E2099))-1),TRIM(E2099)))</f>
        <v>United Kingdom</v>
      </c>
      <c r="M2099" s="7" t="str">
        <f aca="false">IFERROR(LEFT(J2099,FIND(",",J2099)-1),J2099)</f>
        <v>Documentaries</v>
      </c>
      <c r="N2099" s="7" t="n">
        <f aca="false">IF(B2099="Movie",IFERROR(VALUE(LEFT(I2099,FIND(" ",I2099)-1)),""),"")</f>
        <v>101</v>
      </c>
      <c r="O2099" s="7" t="str">
        <f aca="false">IF(B2099="TV Show",IFERROR(VALUE(LEFT(I2099,FIND(" ",I2099)-1)),""),"")</f>
        <v/>
      </c>
      <c r="P2099" s="7" t="n">
        <f aca="false">IF(K2099="","",K2099-G2099)</f>
        <v>3</v>
      </c>
    </row>
    <row r="2100" customFormat="false" ht="15" hidden="false" customHeight="false" outlineLevel="0" collapsed="false">
      <c r="A2100" s="7" t="n">
        <v>81049949</v>
      </c>
      <c r="B2100" s="7" t="s">
        <v>68</v>
      </c>
      <c r="C2100" s="7" t="s">
        <v>4640</v>
      </c>
      <c r="F2100" s="7" t="s">
        <v>4641</v>
      </c>
      <c r="G2100" s="7" t="n">
        <v>2019</v>
      </c>
      <c r="H2100" s="7" t="s">
        <v>50</v>
      </c>
      <c r="I2100" s="7" t="s">
        <v>98</v>
      </c>
      <c r="J2100" s="7" t="s">
        <v>974</v>
      </c>
      <c r="K2100" s="7" t="n">
        <f aca="false">IFERROR(VALUE(RIGHT(TRIM(F2100),4)),"")</f>
        <v>2019</v>
      </c>
      <c r="L2100" s="7" t="str">
        <f aca="false">IF(TRIM(E2100)="","Unknown",IFERROR(LEFT(TRIM(E2100),FIND(",",TRIM(E2100))-1),TRIM(E2100)))</f>
        <v>Unknown</v>
      </c>
      <c r="M2100" s="7" t="str">
        <f aca="false">IFERROR(LEFT(J2100,FIND(",",J2100)-1),J2100)</f>
        <v>Documentaries</v>
      </c>
      <c r="N2100" s="7" t="n">
        <f aca="false">IF(B2100="Movie",IFERROR(VALUE(LEFT(I2100,FIND(" ",I2100)-1)),""),"")</f>
        <v>60</v>
      </c>
      <c r="O2100" s="7" t="str">
        <f aca="false">IF(B2100="TV Show",IFERROR(VALUE(LEFT(I2100,FIND(" ",I2100)-1)),""),"")</f>
        <v/>
      </c>
      <c r="P2100" s="7" t="n">
        <f aca="false">IF(K2100="","",K2100-G2100)</f>
        <v>0</v>
      </c>
    </row>
    <row r="2101" customFormat="false" ht="15" hidden="false" customHeight="false" outlineLevel="0" collapsed="false">
      <c r="A2101" s="7" t="n">
        <v>70230412</v>
      </c>
      <c r="B2101" s="7" t="s">
        <v>78</v>
      </c>
      <c r="C2101" s="7" t="s">
        <v>4642</v>
      </c>
      <c r="E2101" s="7" t="s">
        <v>29</v>
      </c>
      <c r="F2101" s="7" t="s">
        <v>4641</v>
      </c>
      <c r="G2101" s="7" t="n">
        <v>2007</v>
      </c>
      <c r="H2101" s="7" t="s">
        <v>119</v>
      </c>
      <c r="I2101" s="7" t="s">
        <v>82</v>
      </c>
      <c r="J2101" s="7" t="s">
        <v>44</v>
      </c>
      <c r="K2101" s="7" t="n">
        <f aca="false">IFERROR(VALUE(RIGHT(TRIM(F2101),4)),"")</f>
        <v>2019</v>
      </c>
      <c r="L2101" s="7" t="str">
        <f aca="false">IF(TRIM(E2101)="","Unknown",IFERROR(LEFT(TRIM(E2101),FIND(",",TRIM(E2101))-1),TRIM(E2101)))</f>
        <v>Canada</v>
      </c>
      <c r="M2101" s="7" t="str">
        <f aca="false">IFERROR(LEFT(J2101,FIND(",",J2101)-1),J2101)</f>
        <v>Kids' TV</v>
      </c>
      <c r="N2101" s="7" t="str">
        <f aca="false">IF(B2101="Movie",IFERROR(VALUE(LEFT(I2101,FIND(" ",I2101)-1)),""),"")</f>
        <v/>
      </c>
      <c r="O2101" s="7" t="n">
        <f aca="false">IF(B2101="TV Show",IFERROR(VALUE(LEFT(I2101,FIND(" ",I2101)-1)),""),"")</f>
        <v>1</v>
      </c>
      <c r="P2101" s="7" t="n">
        <f aca="false">IF(K2101="","",K2101-G2101)</f>
        <v>12</v>
      </c>
    </row>
    <row r="2102" customFormat="false" ht="15" hidden="false" customHeight="false" outlineLevel="0" collapsed="false">
      <c r="A2102" s="7" t="n">
        <v>80220655</v>
      </c>
      <c r="B2102" s="7" t="s">
        <v>78</v>
      </c>
      <c r="C2102" s="7" t="s">
        <v>4643</v>
      </c>
      <c r="E2102" s="7" t="s">
        <v>30</v>
      </c>
      <c r="F2102" s="7" t="s">
        <v>4641</v>
      </c>
      <c r="G2102" s="7" t="n">
        <v>2019</v>
      </c>
      <c r="H2102" s="7" t="s">
        <v>49</v>
      </c>
      <c r="I2102" s="7" t="s">
        <v>82</v>
      </c>
      <c r="J2102" s="7" t="s">
        <v>335</v>
      </c>
      <c r="K2102" s="7" t="n">
        <f aca="false">IFERROR(VALUE(RIGHT(TRIM(F2102),4)),"")</f>
        <v>2019</v>
      </c>
      <c r="L2102" s="7" t="str">
        <f aca="false">IF(TRIM(E2102)="","Unknown",IFERROR(LEFT(TRIM(E2102),FIND(",",TRIM(E2102))-1),TRIM(E2102)))</f>
        <v>Japan</v>
      </c>
      <c r="M2102" s="7" t="str">
        <f aca="false">IFERROR(LEFT(J2102,FIND(",",J2102)-1),J2102)</f>
        <v>International TV Shows</v>
      </c>
      <c r="N2102" s="7" t="str">
        <f aca="false">IF(B2102="Movie",IFERROR(VALUE(LEFT(I2102,FIND(" ",I2102)-1)),""),"")</f>
        <v/>
      </c>
      <c r="O2102" s="7" t="n">
        <f aca="false">IF(B2102="TV Show",IFERROR(VALUE(LEFT(I2102,FIND(" ",I2102)-1)),""),"")</f>
        <v>1</v>
      </c>
      <c r="P2102" s="7" t="n">
        <f aca="false">IF(K2102="","",K2102-G2102)</f>
        <v>0</v>
      </c>
    </row>
    <row r="2103" customFormat="false" ht="15" hidden="false" customHeight="false" outlineLevel="0" collapsed="false">
      <c r="A2103" s="7" t="n">
        <v>81010863</v>
      </c>
      <c r="B2103" s="7" t="s">
        <v>68</v>
      </c>
      <c r="C2103" s="7" t="s">
        <v>4644</v>
      </c>
      <c r="D2103" s="7" t="s">
        <v>4346</v>
      </c>
      <c r="E2103" s="7" t="s">
        <v>1269</v>
      </c>
      <c r="F2103" s="7" t="s">
        <v>4641</v>
      </c>
      <c r="G2103" s="7" t="n">
        <v>2014</v>
      </c>
      <c r="H2103" s="7" t="s">
        <v>49</v>
      </c>
      <c r="I2103" s="7" t="s">
        <v>820</v>
      </c>
      <c r="J2103" s="7" t="s">
        <v>139</v>
      </c>
      <c r="K2103" s="7" t="n">
        <f aca="false">IFERROR(VALUE(RIGHT(TRIM(F2103),4)),"")</f>
        <v>2019</v>
      </c>
      <c r="L2103" s="7" t="str">
        <f aca="false">IF(TRIM(E2103)="","Unknown",IFERROR(LEFT(TRIM(E2103),FIND(",",TRIM(E2103))-1),TRIM(E2103)))</f>
        <v>Philippines</v>
      </c>
      <c r="M2103" s="7" t="str">
        <f aca="false">IFERROR(LEFT(J2103,FIND(",",J2103)-1),J2103)</f>
        <v>Action &amp; Adventure</v>
      </c>
      <c r="N2103" s="7" t="n">
        <f aca="false">IF(B2103="Movie",IFERROR(VALUE(LEFT(I2103,FIND(" ",I2103)-1)),""),"")</f>
        <v>105</v>
      </c>
      <c r="O2103" s="7" t="str">
        <f aca="false">IF(B2103="TV Show",IFERROR(VALUE(LEFT(I2103,FIND(" ",I2103)-1)),""),"")</f>
        <v/>
      </c>
      <c r="P2103" s="7" t="n">
        <f aca="false">IF(K2103="","",K2103-G2103)</f>
        <v>5</v>
      </c>
    </row>
    <row r="2104" customFormat="false" ht="15" hidden="false" customHeight="false" outlineLevel="0" collapsed="false">
      <c r="A2104" s="7" t="n">
        <v>80162503</v>
      </c>
      <c r="B2104" s="7" t="s">
        <v>68</v>
      </c>
      <c r="C2104" s="7" t="s">
        <v>4645</v>
      </c>
      <c r="D2104" s="7" t="s">
        <v>4646</v>
      </c>
      <c r="E2104" s="7" t="s">
        <v>1269</v>
      </c>
      <c r="F2104" s="7" t="s">
        <v>4641</v>
      </c>
      <c r="G2104" s="7" t="n">
        <v>2016</v>
      </c>
      <c r="H2104" s="7" t="s">
        <v>49</v>
      </c>
      <c r="I2104" s="7" t="s">
        <v>1405</v>
      </c>
      <c r="J2104" s="7" t="s">
        <v>139</v>
      </c>
      <c r="K2104" s="7" t="n">
        <f aca="false">IFERROR(VALUE(RIGHT(TRIM(F2104),4)),"")</f>
        <v>2019</v>
      </c>
      <c r="L2104" s="7" t="str">
        <f aca="false">IF(TRIM(E2104)="","Unknown",IFERROR(LEFT(TRIM(E2104),FIND(",",TRIM(E2104))-1),TRIM(E2104)))</f>
        <v>Philippines</v>
      </c>
      <c r="M2104" s="7" t="str">
        <f aca="false">IFERROR(LEFT(J2104,FIND(",",J2104)-1),J2104)</f>
        <v>Action &amp; Adventure</v>
      </c>
      <c r="N2104" s="7" t="n">
        <f aca="false">IF(B2104="Movie",IFERROR(VALUE(LEFT(I2104,FIND(" ",I2104)-1)),""),"")</f>
        <v>115</v>
      </c>
      <c r="O2104" s="7" t="str">
        <f aca="false">IF(B2104="TV Show",IFERROR(VALUE(LEFT(I2104,FIND(" ",I2104)-1)),""),"")</f>
        <v/>
      </c>
      <c r="P2104" s="7" t="n">
        <f aca="false">IF(K2104="","",K2104-G2104)</f>
        <v>3</v>
      </c>
    </row>
    <row r="2105" customFormat="false" ht="15" hidden="false" customHeight="false" outlineLevel="0" collapsed="false">
      <c r="A2105" s="7" t="n">
        <v>80150350</v>
      </c>
      <c r="B2105" s="7" t="s">
        <v>68</v>
      </c>
      <c r="C2105" s="7" t="s">
        <v>4647</v>
      </c>
      <c r="D2105" s="7" t="s">
        <v>4648</v>
      </c>
      <c r="E2105" s="7" t="s">
        <v>1269</v>
      </c>
      <c r="F2105" s="7" t="s">
        <v>4641</v>
      </c>
      <c r="G2105" s="7" t="n">
        <v>2016</v>
      </c>
      <c r="H2105" s="7" t="s">
        <v>48</v>
      </c>
      <c r="I2105" s="7" t="s">
        <v>1270</v>
      </c>
      <c r="J2105" s="7" t="s">
        <v>217</v>
      </c>
      <c r="K2105" s="7" t="n">
        <f aca="false">IFERROR(VALUE(RIGHT(TRIM(F2105),4)),"")</f>
        <v>2019</v>
      </c>
      <c r="L2105" s="7" t="str">
        <f aca="false">IF(TRIM(E2105)="","Unknown",IFERROR(LEFT(TRIM(E2105),FIND(",",TRIM(E2105))-1),TRIM(E2105)))</f>
        <v>Philippines</v>
      </c>
      <c r="M2105" s="7" t="str">
        <f aca="false">IFERROR(LEFT(J2105,FIND(",",J2105)-1),J2105)</f>
        <v>Comedies</v>
      </c>
      <c r="N2105" s="7" t="n">
        <f aca="false">IF(B2105="Movie",IFERROR(VALUE(LEFT(I2105,FIND(" ",I2105)-1)),""),"")</f>
        <v>118</v>
      </c>
      <c r="O2105" s="7" t="str">
        <f aca="false">IF(B2105="TV Show",IFERROR(VALUE(LEFT(I2105,FIND(" ",I2105)-1)),""),"")</f>
        <v/>
      </c>
      <c r="P2105" s="7" t="n">
        <f aca="false">IF(K2105="","",K2105-G2105)</f>
        <v>3</v>
      </c>
    </row>
    <row r="2106" customFormat="false" ht="15" hidden="false" customHeight="false" outlineLevel="0" collapsed="false">
      <c r="A2106" s="7" t="n">
        <v>80160692</v>
      </c>
      <c r="B2106" s="7" t="s">
        <v>68</v>
      </c>
      <c r="C2106" s="7" t="s">
        <v>4649</v>
      </c>
      <c r="D2106" s="7" t="s">
        <v>4650</v>
      </c>
      <c r="E2106" s="7" t="s">
        <v>1269</v>
      </c>
      <c r="F2106" s="7" t="s">
        <v>4641</v>
      </c>
      <c r="G2106" s="7" t="n">
        <v>2016</v>
      </c>
      <c r="H2106" s="7" t="s">
        <v>48</v>
      </c>
      <c r="I2106" s="7" t="s">
        <v>247</v>
      </c>
      <c r="J2106" s="7" t="s">
        <v>240</v>
      </c>
      <c r="K2106" s="7" t="n">
        <f aca="false">IFERROR(VALUE(RIGHT(TRIM(F2106),4)),"")</f>
        <v>2019</v>
      </c>
      <c r="L2106" s="7" t="str">
        <f aca="false">IF(TRIM(E2106)="","Unknown",IFERROR(LEFT(TRIM(E2106),FIND(",",TRIM(E2106))-1),TRIM(E2106)))</f>
        <v>Philippines</v>
      </c>
      <c r="M2106" s="7" t="str">
        <f aca="false">IFERROR(LEFT(J2106,FIND(",",J2106)-1),J2106)</f>
        <v>Dramas</v>
      </c>
      <c r="N2106" s="7" t="n">
        <f aca="false">IF(B2106="Movie",IFERROR(VALUE(LEFT(I2106,FIND(" ",I2106)-1)),""),"")</f>
        <v>130</v>
      </c>
      <c r="O2106" s="7" t="str">
        <f aca="false">IF(B2106="TV Show",IFERROR(VALUE(LEFT(I2106,FIND(" ",I2106)-1)),""),"")</f>
        <v/>
      </c>
      <c r="P2106" s="7" t="n">
        <f aca="false">IF(K2106="","",K2106-G2106)</f>
        <v>3</v>
      </c>
    </row>
    <row r="2107" customFormat="false" ht="15" hidden="false" customHeight="false" outlineLevel="0" collapsed="false">
      <c r="A2107" s="7" t="n">
        <v>70060865</v>
      </c>
      <c r="B2107" s="7" t="s">
        <v>68</v>
      </c>
      <c r="C2107" s="7" t="s">
        <v>4651</v>
      </c>
      <c r="D2107" s="7" t="s">
        <v>4392</v>
      </c>
      <c r="E2107" s="7" t="s">
        <v>1269</v>
      </c>
      <c r="F2107" s="7" t="s">
        <v>4641</v>
      </c>
      <c r="G2107" s="7" t="n">
        <v>2006</v>
      </c>
      <c r="H2107" s="7" t="s">
        <v>50</v>
      </c>
      <c r="I2107" s="7" t="s">
        <v>512</v>
      </c>
      <c r="J2107" s="7" t="s">
        <v>169</v>
      </c>
      <c r="K2107" s="7" t="n">
        <f aca="false">IFERROR(VALUE(RIGHT(TRIM(F2107),4)),"")</f>
        <v>2019</v>
      </c>
      <c r="L2107" s="7" t="str">
        <f aca="false">IF(TRIM(E2107)="","Unknown",IFERROR(LEFT(TRIM(E2107),FIND(",",TRIM(E2107))-1),TRIM(E2107)))</f>
        <v>Philippines</v>
      </c>
      <c r="M2107" s="7" t="str">
        <f aca="false">IFERROR(LEFT(J2107,FIND(",",J2107)-1),J2107)</f>
        <v>Horror Movies</v>
      </c>
      <c r="N2107" s="7" t="n">
        <f aca="false">IF(B2107="Movie",IFERROR(VALUE(LEFT(I2107,FIND(" ",I2107)-1)),""),"")</f>
        <v>101</v>
      </c>
      <c r="O2107" s="7" t="str">
        <f aca="false">IF(B2107="TV Show",IFERROR(VALUE(LEFT(I2107,FIND(" ",I2107)-1)),""),"")</f>
        <v/>
      </c>
      <c r="P2107" s="7" t="n">
        <f aca="false">IF(K2107="","",K2107-G2107)</f>
        <v>13</v>
      </c>
    </row>
    <row r="2108" customFormat="false" ht="15" hidden="false" customHeight="false" outlineLevel="0" collapsed="false">
      <c r="A2108" s="7" t="n">
        <v>80157890</v>
      </c>
      <c r="B2108" s="7" t="s">
        <v>68</v>
      </c>
      <c r="C2108" s="7" t="s">
        <v>4652</v>
      </c>
      <c r="D2108" s="7" t="s">
        <v>4653</v>
      </c>
      <c r="E2108" s="7" t="s">
        <v>1269</v>
      </c>
      <c r="F2108" s="7" t="s">
        <v>4641</v>
      </c>
      <c r="G2108" s="7" t="n">
        <v>2016</v>
      </c>
      <c r="H2108" s="7" t="s">
        <v>50</v>
      </c>
      <c r="I2108" s="7" t="s">
        <v>1405</v>
      </c>
      <c r="J2108" s="7" t="s">
        <v>426</v>
      </c>
      <c r="K2108" s="7" t="n">
        <f aca="false">IFERROR(VALUE(RIGHT(TRIM(F2108),4)),"")</f>
        <v>2019</v>
      </c>
      <c r="L2108" s="7" t="str">
        <f aca="false">IF(TRIM(E2108)="","Unknown",IFERROR(LEFT(TRIM(E2108),FIND(",",TRIM(E2108))-1),TRIM(E2108)))</f>
        <v>Philippines</v>
      </c>
      <c r="M2108" s="7" t="str">
        <f aca="false">IFERROR(LEFT(J2108,FIND(",",J2108)-1),J2108)</f>
        <v>International Movies</v>
      </c>
      <c r="N2108" s="7" t="n">
        <f aca="false">IF(B2108="Movie",IFERROR(VALUE(LEFT(I2108,FIND(" ",I2108)-1)),""),"")</f>
        <v>115</v>
      </c>
      <c r="O2108" s="7" t="str">
        <f aca="false">IF(B2108="TV Show",IFERROR(VALUE(LEFT(I2108,FIND(" ",I2108)-1)),""),"")</f>
        <v/>
      </c>
      <c r="P2108" s="7" t="n">
        <f aca="false">IF(K2108="","",K2108-G2108)</f>
        <v>3</v>
      </c>
    </row>
    <row r="2109" customFormat="false" ht="15" hidden="false" customHeight="false" outlineLevel="0" collapsed="false">
      <c r="A2109" s="7" t="n">
        <v>80164752</v>
      </c>
      <c r="B2109" s="7" t="s">
        <v>68</v>
      </c>
      <c r="C2109" s="7" t="s">
        <v>4654</v>
      </c>
      <c r="D2109" s="7" t="s">
        <v>4655</v>
      </c>
      <c r="E2109" s="7" t="s">
        <v>719</v>
      </c>
      <c r="F2109" s="7" t="s">
        <v>4656</v>
      </c>
      <c r="G2109" s="7" t="n">
        <v>2017</v>
      </c>
      <c r="H2109" s="7" t="s">
        <v>51</v>
      </c>
      <c r="I2109" s="7" t="s">
        <v>73</v>
      </c>
      <c r="J2109" s="7" t="s">
        <v>1085</v>
      </c>
      <c r="K2109" s="7" t="n">
        <f aca="false">IFERROR(VALUE(RIGHT(TRIM(F2109),4)),"")</f>
        <v>2018</v>
      </c>
      <c r="L2109" s="7" t="str">
        <f aca="false">IF(TRIM(E2109)="","Unknown",IFERROR(LEFT(TRIM(E2109),FIND(",",TRIM(E2109))-1),TRIM(E2109)))</f>
        <v>Ireland</v>
      </c>
      <c r="M2109" s="7" t="str">
        <f aca="false">IFERROR(LEFT(J2109,FIND(",",J2109)-1),J2109)</f>
        <v>Documentaries</v>
      </c>
      <c r="N2109" s="7" t="n">
        <f aca="false">IF(B2109="Movie",IFERROR(VALUE(LEFT(I2109,FIND(" ",I2109)-1)),""),"")</f>
        <v>90</v>
      </c>
      <c r="O2109" s="7" t="str">
        <f aca="false">IF(B2109="TV Show",IFERROR(VALUE(LEFT(I2109,FIND(" ",I2109)-1)),""),"")</f>
        <v/>
      </c>
      <c r="P2109" s="7" t="n">
        <f aca="false">IF(K2109="","",K2109-G2109)</f>
        <v>1</v>
      </c>
    </row>
    <row r="2110" customFormat="false" ht="15" hidden="false" customHeight="false" outlineLevel="0" collapsed="false">
      <c r="A2110" s="7" t="n">
        <v>80135149</v>
      </c>
      <c r="B2110" s="7" t="s">
        <v>68</v>
      </c>
      <c r="C2110" s="7" t="s">
        <v>4657</v>
      </c>
      <c r="D2110" s="7" t="s">
        <v>4658</v>
      </c>
      <c r="E2110" s="7" t="s">
        <v>4659</v>
      </c>
      <c r="F2110" s="7" t="s">
        <v>4660</v>
      </c>
      <c r="G2110" s="7" t="n">
        <v>2016</v>
      </c>
      <c r="H2110" s="7" t="s">
        <v>50</v>
      </c>
      <c r="I2110" s="7" t="s">
        <v>348</v>
      </c>
      <c r="J2110" s="7" t="s">
        <v>188</v>
      </c>
      <c r="K2110" s="7" t="n">
        <f aca="false">IFERROR(VALUE(RIGHT(TRIM(F2110),4)),"")</f>
        <v>2017</v>
      </c>
      <c r="L2110" s="7" t="str">
        <f aca="false">IF(TRIM(E2110)="","Unknown",IFERROR(LEFT(TRIM(E2110),FIND(",",TRIM(E2110))-1),TRIM(E2110)))</f>
        <v>Brazil</v>
      </c>
      <c r="M2110" s="7" t="str">
        <f aca="false">IFERROR(LEFT(J2110,FIND(",",J2110)-1),J2110)</f>
        <v>Dramas</v>
      </c>
      <c r="N2110" s="7" t="n">
        <f aca="false">IF(B2110="Movie",IFERROR(VALUE(LEFT(I2110,FIND(" ",I2110)-1)),""),"")</f>
        <v>72</v>
      </c>
      <c r="O2110" s="7" t="str">
        <f aca="false">IF(B2110="TV Show",IFERROR(VALUE(LEFT(I2110,FIND(" ",I2110)-1)),""),"")</f>
        <v/>
      </c>
      <c r="P2110" s="7" t="n">
        <f aca="false">IF(K2110="","",K2110-G2110)</f>
        <v>1</v>
      </c>
    </row>
    <row r="2111" customFormat="false" ht="15" hidden="false" customHeight="false" outlineLevel="0" collapsed="false">
      <c r="A2111" s="7" t="n">
        <v>80171965</v>
      </c>
      <c r="B2111" s="7" t="s">
        <v>78</v>
      </c>
      <c r="C2111" s="7" t="s">
        <v>4661</v>
      </c>
      <c r="D2111" s="7" t="s">
        <v>1163</v>
      </c>
      <c r="E2111" s="7" t="s">
        <v>26</v>
      </c>
      <c r="F2111" s="7" t="s">
        <v>4660</v>
      </c>
      <c r="G2111" s="7" t="n">
        <v>2017</v>
      </c>
      <c r="H2111" s="7" t="s">
        <v>48</v>
      </c>
      <c r="I2111" s="7" t="s">
        <v>82</v>
      </c>
      <c r="J2111" s="7" t="s">
        <v>795</v>
      </c>
      <c r="K2111" s="7" t="n">
        <f aca="false">IFERROR(VALUE(RIGHT(TRIM(F2111),4)),"")</f>
        <v>2017</v>
      </c>
      <c r="L2111" s="7" t="str">
        <f aca="false">IF(TRIM(E2111)="","Unknown",IFERROR(LEFT(TRIM(E2111),FIND(",",TRIM(E2111))-1),TRIM(E2111)))</f>
        <v>United States</v>
      </c>
      <c r="M2111" s="7" t="str">
        <f aca="false">IFERROR(LEFT(J2111,FIND(",",J2111)-1),J2111)</f>
        <v>Stand-Up Comedy &amp; Talk Shows</v>
      </c>
      <c r="N2111" s="7" t="str">
        <f aca="false">IF(B2111="Movie",IFERROR(VALUE(LEFT(I2111,FIND(" ",I2111)-1)),""),"")</f>
        <v/>
      </c>
      <c r="O2111" s="7" t="n">
        <f aca="false">IF(B2111="TV Show",IFERROR(VALUE(LEFT(I2111,FIND(" ",I2111)-1)),""),"")</f>
        <v>1</v>
      </c>
      <c r="P2111" s="7" t="n">
        <f aca="false">IF(K2111="","",K2111-G2111)</f>
        <v>0</v>
      </c>
    </row>
    <row r="2112" customFormat="false" ht="15" hidden="false" customHeight="false" outlineLevel="0" collapsed="false">
      <c r="A2112" s="7" t="n">
        <v>80100945</v>
      </c>
      <c r="B2112" s="7" t="s">
        <v>68</v>
      </c>
      <c r="C2112" s="7" t="s">
        <v>4662</v>
      </c>
      <c r="D2112" s="7" t="s">
        <v>4663</v>
      </c>
      <c r="E2112" s="7" t="s">
        <v>1867</v>
      </c>
      <c r="F2112" s="7" t="s">
        <v>4660</v>
      </c>
      <c r="G2112" s="7" t="n">
        <v>2016</v>
      </c>
      <c r="H2112" s="7" t="s">
        <v>49</v>
      </c>
      <c r="I2112" s="7" t="s">
        <v>187</v>
      </c>
      <c r="J2112" s="7" t="s">
        <v>341</v>
      </c>
      <c r="K2112" s="7" t="n">
        <f aca="false">IFERROR(VALUE(RIGHT(TRIM(F2112),4)),"")</f>
        <v>2017</v>
      </c>
      <c r="L2112" s="7" t="str">
        <f aca="false">IF(TRIM(E2112)="","Unknown",IFERROR(LEFT(TRIM(E2112),FIND(",",TRIM(E2112))-1),TRIM(E2112)))</f>
        <v>Italy</v>
      </c>
      <c r="M2112" s="7" t="str">
        <f aca="false">IFERROR(LEFT(J2112,FIND(",",J2112)-1),J2112)</f>
        <v>Documentaries</v>
      </c>
      <c r="N2112" s="7" t="n">
        <f aca="false">IF(B2112="Movie",IFERROR(VALUE(LEFT(I2112,FIND(" ",I2112)-1)),""),"")</f>
        <v>114</v>
      </c>
      <c r="O2112" s="7" t="str">
        <f aca="false">IF(B2112="TV Show",IFERROR(VALUE(LEFT(I2112,FIND(" ",I2112)-1)),""),"")</f>
        <v/>
      </c>
      <c r="P2112" s="7" t="n">
        <f aca="false">IF(K2112="","",K2112-G2112)</f>
        <v>1</v>
      </c>
    </row>
    <row r="2113" customFormat="false" ht="15" hidden="false" customHeight="false" outlineLevel="0" collapsed="false">
      <c r="A2113" s="7" t="n">
        <v>70293820</v>
      </c>
      <c r="B2113" s="7" t="s">
        <v>68</v>
      </c>
      <c r="C2113" s="7" t="s">
        <v>4664</v>
      </c>
      <c r="D2113" s="7" t="s">
        <v>4663</v>
      </c>
      <c r="E2113" s="7" t="s">
        <v>1867</v>
      </c>
      <c r="F2113" s="7" t="s">
        <v>4660</v>
      </c>
      <c r="G2113" s="7" t="n">
        <v>2013</v>
      </c>
      <c r="H2113" s="7" t="s">
        <v>48</v>
      </c>
      <c r="I2113" s="7" t="s">
        <v>470</v>
      </c>
      <c r="J2113" s="7" t="s">
        <v>341</v>
      </c>
      <c r="K2113" s="7" t="n">
        <f aca="false">IFERROR(VALUE(RIGHT(TRIM(F2113),4)),"")</f>
        <v>2017</v>
      </c>
      <c r="L2113" s="7" t="str">
        <f aca="false">IF(TRIM(E2113)="","Unknown",IFERROR(LEFT(TRIM(E2113),FIND(",",TRIM(E2113))-1),TRIM(E2113)))</f>
        <v>Italy</v>
      </c>
      <c r="M2113" s="7" t="str">
        <f aca="false">IFERROR(LEFT(J2113,FIND(",",J2113)-1),J2113)</f>
        <v>Documentaries</v>
      </c>
      <c r="N2113" s="7" t="n">
        <f aca="false">IF(B2113="Movie",IFERROR(VALUE(LEFT(I2113,FIND(" ",I2113)-1)),""),"")</f>
        <v>91</v>
      </c>
      <c r="O2113" s="7" t="str">
        <f aca="false">IF(B2113="TV Show",IFERROR(VALUE(LEFT(I2113,FIND(" ",I2113)-1)),""),"")</f>
        <v/>
      </c>
      <c r="P2113" s="7" t="n">
        <f aca="false">IF(K2113="","",K2113-G2113)</f>
        <v>4</v>
      </c>
    </row>
    <row r="2114" customFormat="false" ht="15" hidden="false" customHeight="false" outlineLevel="0" collapsed="false">
      <c r="A2114" s="7" t="n">
        <v>80195967</v>
      </c>
      <c r="B2114" s="7" t="s">
        <v>68</v>
      </c>
      <c r="C2114" s="7" t="s">
        <v>4665</v>
      </c>
      <c r="D2114" s="7" t="s">
        <v>4666</v>
      </c>
      <c r="E2114" s="7" t="s">
        <v>26</v>
      </c>
      <c r="F2114" s="7" t="s">
        <v>4667</v>
      </c>
      <c r="G2114" s="7" t="n">
        <v>2018</v>
      </c>
      <c r="H2114" s="7" t="s">
        <v>54</v>
      </c>
      <c r="I2114" s="7" t="s">
        <v>87</v>
      </c>
      <c r="J2114" s="7" t="s">
        <v>4668</v>
      </c>
      <c r="K2114" s="7" t="n">
        <f aca="false">IFERROR(VALUE(RIGHT(TRIM(F2114),4)),"")</f>
        <v>2019</v>
      </c>
      <c r="L2114" s="7" t="str">
        <f aca="false">IF(TRIM(E2114)="","Unknown",IFERROR(LEFT(TRIM(E2114),FIND(",",TRIM(E2114))-1),TRIM(E2114)))</f>
        <v>United States</v>
      </c>
      <c r="M2114" s="7" t="str">
        <f aca="false">IFERROR(LEFT(J2114,FIND(",",J2114)-1),J2114)</f>
        <v>Action &amp; Adventure</v>
      </c>
      <c r="N2114" s="7" t="n">
        <f aca="false">IF(B2114="Movie",IFERROR(VALUE(LEFT(I2114,FIND(" ",I2114)-1)),""),"")</f>
        <v>99</v>
      </c>
      <c r="O2114" s="7" t="str">
        <f aca="false">IF(B2114="TV Show",IFERROR(VALUE(LEFT(I2114,FIND(" ",I2114)-1)),""),"")</f>
        <v/>
      </c>
      <c r="P2114" s="7" t="n">
        <f aca="false">IF(K2114="","",K2114-G2114)</f>
        <v>1</v>
      </c>
    </row>
    <row r="2115" customFormat="false" ht="15" hidden="false" customHeight="false" outlineLevel="0" collapsed="false">
      <c r="A2115" s="7" t="n">
        <v>81033107</v>
      </c>
      <c r="B2115" s="7" t="s">
        <v>68</v>
      </c>
      <c r="C2115" s="7" t="s">
        <v>4669</v>
      </c>
      <c r="D2115" s="7" t="s">
        <v>2651</v>
      </c>
      <c r="F2115" s="7" t="s">
        <v>4667</v>
      </c>
      <c r="G2115" s="7" t="n">
        <v>2019</v>
      </c>
      <c r="H2115" s="7" t="s">
        <v>49</v>
      </c>
      <c r="I2115" s="7" t="s">
        <v>628</v>
      </c>
      <c r="J2115" s="7" t="s">
        <v>974</v>
      </c>
      <c r="K2115" s="7" t="n">
        <f aca="false">IFERROR(VALUE(RIGHT(TRIM(F2115),4)),"")</f>
        <v>2019</v>
      </c>
      <c r="L2115" s="7" t="str">
        <f aca="false">IF(TRIM(E2115)="","Unknown",IFERROR(LEFT(TRIM(E2115),FIND(",",TRIM(E2115))-1),TRIM(E2115)))</f>
        <v>Unknown</v>
      </c>
      <c r="M2115" s="7" t="str">
        <f aca="false">IFERROR(LEFT(J2115,FIND(",",J2115)-1),J2115)</f>
        <v>Documentaries</v>
      </c>
      <c r="N2115" s="7" t="n">
        <f aca="false">IF(B2115="Movie",IFERROR(VALUE(LEFT(I2115,FIND(" ",I2115)-1)),""),"")</f>
        <v>69</v>
      </c>
      <c r="O2115" s="7" t="str">
        <f aca="false">IF(B2115="TV Show",IFERROR(VALUE(LEFT(I2115,FIND(" ",I2115)-1)),""),"")</f>
        <v/>
      </c>
      <c r="P2115" s="7" t="n">
        <f aca="false">IF(K2115="","",K2115-G2115)</f>
        <v>0</v>
      </c>
    </row>
    <row r="2116" customFormat="false" ht="15" hidden="false" customHeight="false" outlineLevel="0" collapsed="false">
      <c r="A2116" s="7" t="n">
        <v>81049315</v>
      </c>
      <c r="B2116" s="7" t="s">
        <v>78</v>
      </c>
      <c r="C2116" s="7" t="s">
        <v>4670</v>
      </c>
      <c r="F2116" s="7" t="s">
        <v>4667</v>
      </c>
      <c r="G2116" s="7" t="n">
        <v>2018</v>
      </c>
      <c r="H2116" s="7" t="s">
        <v>49</v>
      </c>
      <c r="I2116" s="7" t="s">
        <v>82</v>
      </c>
      <c r="J2116" s="7" t="s">
        <v>344</v>
      </c>
      <c r="K2116" s="7" t="n">
        <f aca="false">IFERROR(VALUE(RIGHT(TRIM(F2116),4)),"")</f>
        <v>2019</v>
      </c>
      <c r="L2116" s="7" t="str">
        <f aca="false">IF(TRIM(E2116)="","Unknown",IFERROR(LEFT(TRIM(E2116),FIND(",",TRIM(E2116))-1),TRIM(E2116)))</f>
        <v>Unknown</v>
      </c>
      <c r="M2116" s="7" t="str">
        <f aca="false">IFERROR(LEFT(J2116,FIND(",",J2116)-1),J2116)</f>
        <v>International TV Shows</v>
      </c>
      <c r="N2116" s="7" t="str">
        <f aca="false">IF(B2116="Movie",IFERROR(VALUE(LEFT(I2116,FIND(" ",I2116)-1)),""),"")</f>
        <v/>
      </c>
      <c r="O2116" s="7" t="n">
        <f aca="false">IF(B2116="TV Show",IFERROR(VALUE(LEFT(I2116,FIND(" ",I2116)-1)),""),"")</f>
        <v>1</v>
      </c>
      <c r="P2116" s="7" t="n">
        <f aca="false">IF(K2116="","",K2116-G2116)</f>
        <v>1</v>
      </c>
    </row>
    <row r="2117" customFormat="false" ht="15" hidden="false" customHeight="false" outlineLevel="0" collapsed="false">
      <c r="A2117" s="7" t="n">
        <v>81048554</v>
      </c>
      <c r="B2117" s="7" t="s">
        <v>68</v>
      </c>
      <c r="C2117" s="7" t="s">
        <v>4671</v>
      </c>
      <c r="D2117" s="7" t="s">
        <v>4672</v>
      </c>
      <c r="E2117" s="7" t="s">
        <v>27</v>
      </c>
      <c r="F2117" s="7" t="s">
        <v>4667</v>
      </c>
      <c r="G2117" s="7" t="n">
        <v>2018</v>
      </c>
      <c r="H2117" s="7" t="s">
        <v>50</v>
      </c>
      <c r="I2117" s="7" t="s">
        <v>451</v>
      </c>
      <c r="J2117" s="7" t="s">
        <v>188</v>
      </c>
      <c r="K2117" s="7" t="n">
        <f aca="false">IFERROR(VALUE(RIGHT(TRIM(F2117),4)),"")</f>
        <v>2019</v>
      </c>
      <c r="L2117" s="7" t="str">
        <f aca="false">IF(TRIM(E2117)="","Unknown",IFERROR(LEFT(TRIM(E2117),FIND(",",TRIM(E2117))-1),TRIM(E2117)))</f>
        <v>India</v>
      </c>
      <c r="M2117" s="7" t="str">
        <f aca="false">IFERROR(LEFT(J2117,FIND(",",J2117)-1),J2117)</f>
        <v>Dramas</v>
      </c>
      <c r="N2117" s="7" t="n">
        <f aca="false">IF(B2117="Movie",IFERROR(VALUE(LEFT(I2117,FIND(" ",I2117)-1)),""),"")</f>
        <v>97</v>
      </c>
      <c r="O2117" s="7" t="str">
        <f aca="false">IF(B2117="TV Show",IFERROR(VALUE(LEFT(I2117,FIND(" ",I2117)-1)),""),"")</f>
        <v/>
      </c>
      <c r="P2117" s="7" t="n">
        <f aca="false">IF(K2117="","",K2117-G2117)</f>
        <v>1</v>
      </c>
    </row>
    <row r="2118" customFormat="false" ht="15" hidden="false" customHeight="false" outlineLevel="0" collapsed="false">
      <c r="A2118" s="7" t="n">
        <v>81002451</v>
      </c>
      <c r="B2118" s="7" t="s">
        <v>78</v>
      </c>
      <c r="C2118" s="7" t="s">
        <v>4673</v>
      </c>
      <c r="E2118" s="7" t="s">
        <v>30</v>
      </c>
      <c r="F2118" s="7" t="s">
        <v>4667</v>
      </c>
      <c r="G2118" s="7" t="n">
        <v>2019</v>
      </c>
      <c r="H2118" s="7" t="s">
        <v>48</v>
      </c>
      <c r="I2118" s="7" t="s">
        <v>82</v>
      </c>
      <c r="J2118" s="7" t="s">
        <v>314</v>
      </c>
      <c r="K2118" s="7" t="n">
        <f aca="false">IFERROR(VALUE(RIGHT(TRIM(F2118),4)),"")</f>
        <v>2019</v>
      </c>
      <c r="L2118" s="7" t="str">
        <f aca="false">IF(TRIM(E2118)="","Unknown",IFERROR(LEFT(TRIM(E2118),FIND(",",TRIM(E2118))-1),TRIM(E2118)))</f>
        <v>Japan</v>
      </c>
      <c r="M2118" s="7" t="str">
        <f aca="false">IFERROR(LEFT(J2118,FIND(",",J2118)-1),J2118)</f>
        <v>International TV Shows</v>
      </c>
      <c r="N2118" s="7" t="str">
        <f aca="false">IF(B2118="Movie",IFERROR(VALUE(LEFT(I2118,FIND(" ",I2118)-1)),""),"")</f>
        <v/>
      </c>
      <c r="O2118" s="7" t="n">
        <f aca="false">IF(B2118="TV Show",IFERROR(VALUE(LEFT(I2118,FIND(" ",I2118)-1)),""),"")</f>
        <v>1</v>
      </c>
      <c r="P2118" s="7" t="n">
        <f aca="false">IF(K2118="","",K2118-G2118)</f>
        <v>0</v>
      </c>
    </row>
    <row r="2119" customFormat="false" ht="15" hidden="false" customHeight="false" outlineLevel="0" collapsed="false">
      <c r="A2119" s="7" t="n">
        <v>80144983</v>
      </c>
      <c r="B2119" s="7" t="s">
        <v>68</v>
      </c>
      <c r="C2119" s="7" t="s">
        <v>4674</v>
      </c>
      <c r="D2119" s="7" t="s">
        <v>4675</v>
      </c>
      <c r="E2119" s="7" t="s">
        <v>26</v>
      </c>
      <c r="F2119" s="7" t="s">
        <v>4676</v>
      </c>
      <c r="G2119" s="7" t="n">
        <v>2016</v>
      </c>
      <c r="H2119" s="7" t="s">
        <v>49</v>
      </c>
      <c r="I2119" s="7" t="s">
        <v>421</v>
      </c>
      <c r="J2119" s="7" t="s">
        <v>39</v>
      </c>
      <c r="K2119" s="7" t="n">
        <f aca="false">IFERROR(VALUE(RIGHT(TRIM(F2119),4)),"")</f>
        <v>2018</v>
      </c>
      <c r="L2119" s="7" t="str">
        <f aca="false">IF(TRIM(E2119)="","Unknown",IFERROR(LEFT(TRIM(E2119),FIND(",",TRIM(E2119))-1),TRIM(E2119)))</f>
        <v>United States</v>
      </c>
      <c r="M2119" s="7" t="str">
        <f aca="false">IFERROR(LEFT(J2119,FIND(",",J2119)-1),J2119)</f>
        <v>Documentaries</v>
      </c>
      <c r="N2119" s="7" t="n">
        <f aca="false">IF(B2119="Movie",IFERROR(VALUE(LEFT(I2119,FIND(" ",I2119)-1)),""),"")</f>
        <v>75</v>
      </c>
      <c r="O2119" s="7" t="str">
        <f aca="false">IF(B2119="TV Show",IFERROR(VALUE(LEFT(I2119,FIND(" ",I2119)-1)),""),"")</f>
        <v/>
      </c>
      <c r="P2119" s="7" t="n">
        <f aca="false">IF(K2119="","",K2119-G2119)</f>
        <v>2</v>
      </c>
    </row>
    <row r="2120" customFormat="false" ht="15" hidden="false" customHeight="false" outlineLevel="0" collapsed="false">
      <c r="A2120" s="7" t="n">
        <v>80170245</v>
      </c>
      <c r="B2120" s="7" t="s">
        <v>78</v>
      </c>
      <c r="C2120" s="7" t="s">
        <v>4677</v>
      </c>
      <c r="E2120" s="7" t="s">
        <v>97</v>
      </c>
      <c r="F2120" s="7" t="s">
        <v>4678</v>
      </c>
      <c r="G2120" s="7" t="n">
        <v>2015</v>
      </c>
      <c r="H2120" s="7" t="s">
        <v>48</v>
      </c>
      <c r="I2120" s="7" t="s">
        <v>82</v>
      </c>
      <c r="J2120" s="7" t="s">
        <v>824</v>
      </c>
      <c r="K2120" s="7" t="n">
        <f aca="false">IFERROR(VALUE(RIGHT(TRIM(F2120),4)),"")</f>
        <v>2017</v>
      </c>
      <c r="L2120" s="7" t="str">
        <f aca="false">IF(TRIM(E2120)="","Unknown",IFERROR(LEFT(TRIM(E2120),FIND(",",TRIM(E2120))-1),TRIM(E2120)))</f>
        <v>Chile</v>
      </c>
      <c r="M2120" s="7" t="str">
        <f aca="false">IFERROR(LEFT(J2120,FIND(",",J2120)-1),J2120)</f>
        <v>International TV Shows</v>
      </c>
      <c r="N2120" s="7" t="str">
        <f aca="false">IF(B2120="Movie",IFERROR(VALUE(LEFT(I2120,FIND(" ",I2120)-1)),""),"")</f>
        <v/>
      </c>
      <c r="O2120" s="7" t="n">
        <f aca="false">IF(B2120="TV Show",IFERROR(VALUE(LEFT(I2120,FIND(" ",I2120)-1)),""),"")</f>
        <v>1</v>
      </c>
      <c r="P2120" s="7" t="n">
        <f aca="false">IF(K2120="","",K2120-G2120)</f>
        <v>2</v>
      </c>
    </row>
    <row r="2121" customFormat="false" ht="15" hidden="false" customHeight="false" outlineLevel="0" collapsed="false">
      <c r="A2121" s="7" t="n">
        <v>80117291</v>
      </c>
      <c r="B2121" s="7" t="s">
        <v>78</v>
      </c>
      <c r="C2121" s="7" t="s">
        <v>4679</v>
      </c>
      <c r="E2121" s="7" t="s">
        <v>30</v>
      </c>
      <c r="F2121" s="7" t="s">
        <v>4678</v>
      </c>
      <c r="G2121" s="7" t="n">
        <v>2015</v>
      </c>
      <c r="H2121" s="7" t="s">
        <v>49</v>
      </c>
      <c r="I2121" s="7" t="s">
        <v>82</v>
      </c>
      <c r="J2121" s="7" t="s">
        <v>1850</v>
      </c>
      <c r="K2121" s="7" t="n">
        <f aca="false">IFERROR(VALUE(RIGHT(TRIM(F2121),4)),"")</f>
        <v>2017</v>
      </c>
      <c r="L2121" s="7" t="str">
        <f aca="false">IF(TRIM(E2121)="","Unknown",IFERROR(LEFT(TRIM(E2121),FIND(",",TRIM(E2121))-1),TRIM(E2121)))</f>
        <v>Japan</v>
      </c>
      <c r="M2121" s="7" t="str">
        <f aca="false">IFERROR(LEFT(J2121,FIND(",",J2121)-1),J2121)</f>
        <v>Anime Series</v>
      </c>
      <c r="N2121" s="7" t="str">
        <f aca="false">IF(B2121="Movie",IFERROR(VALUE(LEFT(I2121,FIND(" ",I2121)-1)),""),"")</f>
        <v/>
      </c>
      <c r="O2121" s="7" t="n">
        <f aca="false">IF(B2121="TV Show",IFERROR(VALUE(LEFT(I2121,FIND(" ",I2121)-1)),""),"")</f>
        <v>1</v>
      </c>
      <c r="P2121" s="7" t="n">
        <f aca="false">IF(K2121="","",K2121-G2121)</f>
        <v>2</v>
      </c>
    </row>
    <row r="2122" customFormat="false" ht="15" hidden="false" customHeight="false" outlineLevel="0" collapsed="false">
      <c r="A2122" s="7" t="n">
        <v>70105459</v>
      </c>
      <c r="B2122" s="7" t="s">
        <v>68</v>
      </c>
      <c r="C2122" s="7" t="s">
        <v>4680</v>
      </c>
      <c r="D2122" s="7" t="s">
        <v>1834</v>
      </c>
      <c r="E2122" s="7" t="s">
        <v>27</v>
      </c>
      <c r="F2122" s="7" t="s">
        <v>4681</v>
      </c>
      <c r="G2122" s="7" t="n">
        <v>2008</v>
      </c>
      <c r="H2122" s="7" t="s">
        <v>48</v>
      </c>
      <c r="I2122" s="7" t="s">
        <v>237</v>
      </c>
      <c r="J2122" s="7" t="s">
        <v>2939</v>
      </c>
      <c r="K2122" s="7" t="n">
        <f aca="false">IFERROR(VALUE(RIGHT(TRIM(F2122),4)),"")</f>
        <v>2019</v>
      </c>
      <c r="L2122" s="7" t="str">
        <f aca="false">IF(TRIM(E2122)="","Unknown",IFERROR(LEFT(TRIM(E2122),FIND(",",TRIM(E2122))-1),TRIM(E2122)))</f>
        <v>India</v>
      </c>
      <c r="M2122" s="7" t="str">
        <f aca="false">IFERROR(LEFT(J2122,FIND(",",J2122)-1),J2122)</f>
        <v>Action &amp; Adventure</v>
      </c>
      <c r="N2122" s="7" t="n">
        <f aca="false">IF(B2122="Movie",IFERROR(VALUE(LEFT(I2122,FIND(" ",I2122)-1)),""),"")</f>
        <v>116</v>
      </c>
      <c r="O2122" s="7" t="str">
        <f aca="false">IF(B2122="TV Show",IFERROR(VALUE(LEFT(I2122,FIND(" ",I2122)-1)),""),"")</f>
        <v/>
      </c>
      <c r="P2122" s="7" t="n">
        <f aca="false">IF(K2122="","",K2122-G2122)</f>
        <v>11</v>
      </c>
    </row>
    <row r="2123" customFormat="false" ht="15" hidden="false" customHeight="false" outlineLevel="0" collapsed="false">
      <c r="A2123" s="7" t="n">
        <v>80207444</v>
      </c>
      <c r="B2123" s="7" t="s">
        <v>68</v>
      </c>
      <c r="C2123" s="7" t="s">
        <v>4682</v>
      </c>
      <c r="D2123" s="7" t="s">
        <v>4683</v>
      </c>
      <c r="E2123" s="7" t="s">
        <v>27</v>
      </c>
      <c r="F2123" s="7" t="s">
        <v>4681</v>
      </c>
      <c r="G2123" s="7" t="n">
        <v>2016</v>
      </c>
      <c r="H2123" s="7" t="s">
        <v>49</v>
      </c>
      <c r="I2123" s="7" t="s">
        <v>524</v>
      </c>
      <c r="J2123" s="7" t="s">
        <v>198</v>
      </c>
      <c r="K2123" s="7" t="n">
        <f aca="false">IFERROR(VALUE(RIGHT(TRIM(F2123),4)),"")</f>
        <v>2019</v>
      </c>
      <c r="L2123" s="7" t="str">
        <f aca="false">IF(TRIM(E2123)="","Unknown",IFERROR(LEFT(TRIM(E2123),FIND(",",TRIM(E2123))-1),TRIM(E2123)))</f>
        <v>India</v>
      </c>
      <c r="M2123" s="7" t="str">
        <f aca="false">IFERROR(LEFT(J2123,FIND(",",J2123)-1),J2123)</f>
        <v>Comedies</v>
      </c>
      <c r="N2123" s="7" t="n">
        <f aca="false">IF(B2123="Movie",IFERROR(VALUE(LEFT(I2123,FIND(" ",I2123)-1)),""),"")</f>
        <v>83</v>
      </c>
      <c r="O2123" s="7" t="str">
        <f aca="false">IF(B2123="TV Show",IFERROR(VALUE(LEFT(I2123,FIND(" ",I2123)-1)),""),"")</f>
        <v/>
      </c>
      <c r="P2123" s="7" t="n">
        <f aca="false">IF(K2123="","",K2123-G2123)</f>
        <v>3</v>
      </c>
    </row>
    <row r="2124" customFormat="false" ht="15" hidden="false" customHeight="false" outlineLevel="0" collapsed="false">
      <c r="A2124" s="7" t="n">
        <v>81033516</v>
      </c>
      <c r="B2124" s="7" t="s">
        <v>68</v>
      </c>
      <c r="C2124" s="7" t="s">
        <v>4684</v>
      </c>
      <c r="D2124" s="7" t="s">
        <v>4685</v>
      </c>
      <c r="E2124" s="7" t="s">
        <v>30</v>
      </c>
      <c r="F2124" s="7" t="s">
        <v>4681</v>
      </c>
      <c r="G2124" s="7" t="n">
        <v>2018</v>
      </c>
      <c r="H2124" s="7" t="s">
        <v>48</v>
      </c>
      <c r="I2124" s="7" t="s">
        <v>1270</v>
      </c>
      <c r="J2124" s="7" t="s">
        <v>304</v>
      </c>
      <c r="K2124" s="7" t="n">
        <f aca="false">IFERROR(VALUE(RIGHT(TRIM(F2124),4)),"")</f>
        <v>2019</v>
      </c>
      <c r="L2124" s="7" t="str">
        <f aca="false">IF(TRIM(E2124)="","Unknown",IFERROR(LEFT(TRIM(E2124),FIND(",",TRIM(E2124))-1),TRIM(E2124)))</f>
        <v>Japan</v>
      </c>
      <c r="M2124" s="7" t="str">
        <f aca="false">IFERROR(LEFT(J2124,FIND(",",J2124)-1),J2124)</f>
        <v>Dramas</v>
      </c>
      <c r="N2124" s="7" t="n">
        <f aca="false">IF(B2124="Movie",IFERROR(VALUE(LEFT(I2124,FIND(" ",I2124)-1)),""),"")</f>
        <v>118</v>
      </c>
      <c r="O2124" s="7" t="str">
        <f aca="false">IF(B2124="TV Show",IFERROR(VALUE(LEFT(I2124,FIND(" ",I2124)-1)),""),"")</f>
        <v/>
      </c>
      <c r="P2124" s="7" t="n">
        <f aca="false">IF(K2124="","",K2124-G2124)</f>
        <v>1</v>
      </c>
    </row>
    <row r="2125" customFormat="false" ht="15" hidden="false" customHeight="false" outlineLevel="0" collapsed="false">
      <c r="A2125" s="7" t="n">
        <v>81075235</v>
      </c>
      <c r="B2125" s="7" t="s">
        <v>68</v>
      </c>
      <c r="C2125" s="7" t="s">
        <v>4686</v>
      </c>
      <c r="D2125" s="7" t="s">
        <v>4687</v>
      </c>
      <c r="E2125" s="7" t="s">
        <v>27</v>
      </c>
      <c r="F2125" s="7" t="s">
        <v>4681</v>
      </c>
      <c r="G2125" s="7" t="n">
        <v>2018</v>
      </c>
      <c r="H2125" s="7" t="s">
        <v>48</v>
      </c>
      <c r="I2125" s="7" t="s">
        <v>1066</v>
      </c>
      <c r="J2125" s="7" t="s">
        <v>112</v>
      </c>
      <c r="K2125" s="7" t="n">
        <f aca="false">IFERROR(VALUE(RIGHT(TRIM(F2125),4)),"")</f>
        <v>2019</v>
      </c>
      <c r="L2125" s="7" t="str">
        <f aca="false">IF(TRIM(E2125)="","Unknown",IFERROR(LEFT(TRIM(E2125),FIND(",",TRIM(E2125))-1),TRIM(E2125)))</f>
        <v>India</v>
      </c>
      <c r="M2125" s="7" t="str">
        <f aca="false">IFERROR(LEFT(J2125,FIND(",",J2125)-1),J2125)</f>
        <v>Action &amp; Adventure</v>
      </c>
      <c r="N2125" s="7" t="n">
        <f aca="false">IF(B2125="Movie",IFERROR(VALUE(LEFT(I2125,FIND(" ",I2125)-1)),""),"")</f>
        <v>162</v>
      </c>
      <c r="O2125" s="7" t="str">
        <f aca="false">IF(B2125="TV Show",IFERROR(VALUE(LEFT(I2125,FIND(" ",I2125)-1)),""),"")</f>
        <v/>
      </c>
      <c r="P2125" s="7" t="n">
        <f aca="false">IF(K2125="","",K2125-G2125)</f>
        <v>1</v>
      </c>
    </row>
    <row r="2126" customFormat="false" ht="15" hidden="false" customHeight="false" outlineLevel="0" collapsed="false">
      <c r="A2126" s="7" t="n">
        <v>81072516</v>
      </c>
      <c r="B2126" s="7" t="s">
        <v>68</v>
      </c>
      <c r="C2126" s="7" t="s">
        <v>4686</v>
      </c>
      <c r="D2126" s="7" t="s">
        <v>4687</v>
      </c>
      <c r="E2126" s="7" t="s">
        <v>27</v>
      </c>
      <c r="F2126" s="7" t="s">
        <v>4681</v>
      </c>
      <c r="G2126" s="7" t="n">
        <v>2018</v>
      </c>
      <c r="H2126" s="7" t="s">
        <v>48</v>
      </c>
      <c r="I2126" s="7" t="s">
        <v>1066</v>
      </c>
      <c r="J2126" s="7" t="s">
        <v>112</v>
      </c>
      <c r="K2126" s="7" t="n">
        <f aca="false">IFERROR(VALUE(RIGHT(TRIM(F2126),4)),"")</f>
        <v>2019</v>
      </c>
      <c r="L2126" s="7" t="str">
        <f aca="false">IF(TRIM(E2126)="","Unknown",IFERROR(LEFT(TRIM(E2126),FIND(",",TRIM(E2126))-1),TRIM(E2126)))</f>
        <v>India</v>
      </c>
      <c r="M2126" s="7" t="str">
        <f aca="false">IFERROR(LEFT(J2126,FIND(",",J2126)-1),J2126)</f>
        <v>Action &amp; Adventure</v>
      </c>
      <c r="N2126" s="7" t="n">
        <f aca="false">IF(B2126="Movie",IFERROR(VALUE(LEFT(I2126,FIND(" ",I2126)-1)),""),"")</f>
        <v>162</v>
      </c>
      <c r="O2126" s="7" t="str">
        <f aca="false">IF(B2126="TV Show",IFERROR(VALUE(LEFT(I2126,FIND(" ",I2126)-1)),""),"")</f>
        <v/>
      </c>
      <c r="P2126" s="7" t="n">
        <f aca="false">IF(K2126="","",K2126-G2126)</f>
        <v>1</v>
      </c>
    </row>
    <row r="2127" customFormat="false" ht="15" hidden="false" customHeight="false" outlineLevel="0" collapsed="false">
      <c r="A2127" s="7" t="n">
        <v>70283202</v>
      </c>
      <c r="B2127" s="7" t="s">
        <v>68</v>
      </c>
      <c r="C2127" s="7" t="s">
        <v>4688</v>
      </c>
      <c r="D2127" s="7" t="s">
        <v>4539</v>
      </c>
      <c r="E2127" s="7" t="s">
        <v>2033</v>
      </c>
      <c r="F2127" s="7" t="s">
        <v>4681</v>
      </c>
      <c r="G2127" s="7" t="n">
        <v>2013</v>
      </c>
      <c r="H2127" s="7" t="s">
        <v>52</v>
      </c>
      <c r="I2127" s="7" t="s">
        <v>235</v>
      </c>
      <c r="J2127" s="7" t="s">
        <v>251</v>
      </c>
      <c r="K2127" s="7" t="n">
        <f aca="false">IFERROR(VALUE(RIGHT(TRIM(F2127),4)),"")</f>
        <v>2019</v>
      </c>
      <c r="L2127" s="7" t="str">
        <f aca="false">IF(TRIM(E2127)="","Unknown",IFERROR(LEFT(TRIM(E2127),FIND(",",TRIM(E2127))-1),TRIM(E2127)))</f>
        <v>United States</v>
      </c>
      <c r="M2127" s="7" t="str">
        <f aca="false">IFERROR(LEFT(J2127,FIND(",",J2127)-1),J2127)</f>
        <v>Comedies</v>
      </c>
      <c r="N2127" s="7" t="n">
        <f aca="false">IF(B2127="Movie",IFERROR(VALUE(LEFT(I2127,FIND(" ",I2127)-1)),""),"")</f>
        <v>126</v>
      </c>
      <c r="O2127" s="7" t="str">
        <f aca="false">IF(B2127="TV Show",IFERROR(VALUE(LEFT(I2127,FIND(" ",I2127)-1)),""),"")</f>
        <v/>
      </c>
      <c r="P2127" s="7" t="n">
        <f aca="false">IF(K2127="","",K2127-G2127)</f>
        <v>6</v>
      </c>
    </row>
    <row r="2128" customFormat="false" ht="15" hidden="false" customHeight="false" outlineLevel="0" collapsed="false">
      <c r="A2128" s="7" t="n">
        <v>70140447</v>
      </c>
      <c r="B2128" s="7" t="s">
        <v>78</v>
      </c>
      <c r="C2128" s="7" t="s">
        <v>4689</v>
      </c>
      <c r="E2128" s="7" t="s">
        <v>2367</v>
      </c>
      <c r="F2128" s="7" t="s">
        <v>4681</v>
      </c>
      <c r="G2128" s="7" t="n">
        <v>2013</v>
      </c>
      <c r="H2128" s="7" t="s">
        <v>49</v>
      </c>
      <c r="I2128" s="7" t="s">
        <v>82</v>
      </c>
      <c r="J2128" s="7" t="s">
        <v>289</v>
      </c>
      <c r="K2128" s="7" t="n">
        <f aca="false">IFERROR(VALUE(RIGHT(TRIM(F2128),4)),"")</f>
        <v>2019</v>
      </c>
      <c r="L2128" s="7" t="str">
        <f aca="false">IF(TRIM(E2128)="","Unknown",IFERROR(LEFT(TRIM(E2128),FIND(",",TRIM(E2128))-1),TRIM(E2128)))</f>
        <v>United States</v>
      </c>
      <c r="M2128" s="7" t="str">
        <f aca="false">IFERROR(LEFT(J2128,FIND(",",J2128)-1),J2128)</f>
        <v>TV Comedies</v>
      </c>
      <c r="N2128" s="7" t="str">
        <f aca="false">IF(B2128="Movie",IFERROR(VALUE(LEFT(I2128,FIND(" ",I2128)-1)),""),"")</f>
        <v/>
      </c>
      <c r="O2128" s="7" t="n">
        <f aca="false">IF(B2128="TV Show",IFERROR(VALUE(LEFT(I2128,FIND(" ",I2128)-1)),""),"")</f>
        <v>1</v>
      </c>
      <c r="P2128" s="7" t="n">
        <f aca="false">IF(K2128="","",K2128-G2128)</f>
        <v>6</v>
      </c>
    </row>
    <row r="2129" customFormat="false" ht="15" hidden="false" customHeight="false" outlineLevel="0" collapsed="false">
      <c r="A2129" s="7" t="n">
        <v>80156212</v>
      </c>
      <c r="B2129" s="7" t="s">
        <v>68</v>
      </c>
      <c r="C2129" s="7" t="s">
        <v>4690</v>
      </c>
      <c r="D2129" s="7" t="s">
        <v>4330</v>
      </c>
      <c r="E2129" s="7" t="s">
        <v>26</v>
      </c>
      <c r="F2129" s="7" t="s">
        <v>4681</v>
      </c>
      <c r="G2129" s="7" t="n">
        <v>2016</v>
      </c>
      <c r="H2129" s="7" t="s">
        <v>51</v>
      </c>
      <c r="I2129" s="7" t="s">
        <v>790</v>
      </c>
      <c r="J2129" s="7" t="s">
        <v>37</v>
      </c>
      <c r="K2129" s="7" t="n">
        <f aca="false">IFERROR(VALUE(RIGHT(TRIM(F2129),4)),"")</f>
        <v>2019</v>
      </c>
      <c r="L2129" s="7" t="str">
        <f aca="false">IF(TRIM(E2129)="","Unknown",IFERROR(LEFT(TRIM(E2129),FIND(",",TRIM(E2129))-1),TRIM(E2129)))</f>
        <v>United States</v>
      </c>
      <c r="M2129" s="7" t="str">
        <f aca="false">IFERROR(LEFT(J2129,FIND(",",J2129)-1),J2129)</f>
        <v>Dramas</v>
      </c>
      <c r="N2129" s="7" t="n">
        <f aca="false">IF(B2129="Movie",IFERROR(VALUE(LEFT(I2129,FIND(" ",I2129)-1)),""),"")</f>
        <v>109</v>
      </c>
      <c r="O2129" s="7" t="str">
        <f aca="false">IF(B2129="TV Show",IFERROR(VALUE(LEFT(I2129,FIND(" ",I2129)-1)),""),"")</f>
        <v/>
      </c>
      <c r="P2129" s="7" t="n">
        <f aca="false">IF(K2129="","",K2129-G2129)</f>
        <v>3</v>
      </c>
    </row>
    <row r="2130" customFormat="false" ht="15" hidden="false" customHeight="false" outlineLevel="0" collapsed="false">
      <c r="A2130" s="7" t="n">
        <v>70296742</v>
      </c>
      <c r="B2130" s="7" t="s">
        <v>68</v>
      </c>
      <c r="C2130" s="7" t="s">
        <v>4691</v>
      </c>
      <c r="D2130" s="7" t="s">
        <v>4692</v>
      </c>
      <c r="E2130" s="7" t="s">
        <v>27</v>
      </c>
      <c r="F2130" s="7" t="s">
        <v>4681</v>
      </c>
      <c r="G2130" s="7" t="n">
        <v>2013</v>
      </c>
      <c r="H2130" s="7" t="s">
        <v>49</v>
      </c>
      <c r="I2130" s="7" t="s">
        <v>790</v>
      </c>
      <c r="J2130" s="7" t="s">
        <v>217</v>
      </c>
      <c r="K2130" s="7" t="n">
        <f aca="false">IFERROR(VALUE(RIGHT(TRIM(F2130),4)),"")</f>
        <v>2019</v>
      </c>
      <c r="L2130" s="7" t="str">
        <f aca="false">IF(TRIM(E2130)="","Unknown",IFERROR(LEFT(TRIM(E2130),FIND(",",TRIM(E2130))-1),TRIM(E2130)))</f>
        <v>India</v>
      </c>
      <c r="M2130" s="7" t="str">
        <f aca="false">IFERROR(LEFT(J2130,FIND(",",J2130)-1),J2130)</f>
        <v>Comedies</v>
      </c>
      <c r="N2130" s="7" t="n">
        <f aca="false">IF(B2130="Movie",IFERROR(VALUE(LEFT(I2130,FIND(" ",I2130)-1)),""),"")</f>
        <v>109</v>
      </c>
      <c r="O2130" s="7" t="str">
        <f aca="false">IF(B2130="TV Show",IFERROR(VALUE(LEFT(I2130,FIND(" ",I2130)-1)),""),"")</f>
        <v/>
      </c>
      <c r="P2130" s="7" t="n">
        <f aca="false">IF(K2130="","",K2130-G2130)</f>
        <v>6</v>
      </c>
    </row>
    <row r="2131" customFormat="false" ht="15" hidden="false" customHeight="false" outlineLevel="0" collapsed="false">
      <c r="A2131" s="7" t="n">
        <v>81059944</v>
      </c>
      <c r="B2131" s="7" t="s">
        <v>68</v>
      </c>
      <c r="C2131" s="7" t="s">
        <v>4693</v>
      </c>
      <c r="D2131" s="7" t="s">
        <v>4694</v>
      </c>
      <c r="E2131" s="7" t="s">
        <v>4695</v>
      </c>
      <c r="F2131" s="7" t="s">
        <v>4681</v>
      </c>
      <c r="G2131" s="7" t="n">
        <v>2018</v>
      </c>
      <c r="H2131" s="7" t="s">
        <v>48</v>
      </c>
      <c r="I2131" s="7" t="s">
        <v>357</v>
      </c>
      <c r="J2131" s="7" t="s">
        <v>341</v>
      </c>
      <c r="K2131" s="7" t="n">
        <f aca="false">IFERROR(VALUE(RIGHT(TRIM(F2131),4)),"")</f>
        <v>2019</v>
      </c>
      <c r="L2131" s="7" t="str">
        <f aca="false">IF(TRIM(E2131)="","Unknown",IFERROR(LEFT(TRIM(E2131),FIND(",",TRIM(E2131))-1),TRIM(E2131)))</f>
        <v>Austria</v>
      </c>
      <c r="M2131" s="7" t="str">
        <f aca="false">IFERROR(LEFT(J2131,FIND(",",J2131)-1),J2131)</f>
        <v>Documentaries</v>
      </c>
      <c r="N2131" s="7" t="n">
        <f aca="false">IF(B2131="Movie",IFERROR(VALUE(LEFT(I2131,FIND(" ",I2131)-1)),""),"")</f>
        <v>89</v>
      </c>
      <c r="O2131" s="7" t="str">
        <f aca="false">IF(B2131="TV Show",IFERROR(VALUE(LEFT(I2131,FIND(" ",I2131)-1)),""),"")</f>
        <v/>
      </c>
      <c r="P2131" s="7" t="n">
        <f aca="false">IF(K2131="","",K2131-G2131)</f>
        <v>1</v>
      </c>
    </row>
    <row r="2132" customFormat="false" ht="15" hidden="false" customHeight="false" outlineLevel="0" collapsed="false">
      <c r="A2132" s="7" t="n">
        <v>80095531</v>
      </c>
      <c r="B2132" s="7" t="s">
        <v>68</v>
      </c>
      <c r="C2132" s="7" t="s">
        <v>4696</v>
      </c>
      <c r="D2132" s="7" t="s">
        <v>4697</v>
      </c>
      <c r="E2132" s="7" t="s">
        <v>27</v>
      </c>
      <c r="F2132" s="7" t="s">
        <v>4681</v>
      </c>
      <c r="G2132" s="7" t="n">
        <v>2015</v>
      </c>
      <c r="H2132" s="7" t="s">
        <v>48</v>
      </c>
      <c r="I2132" s="7" t="s">
        <v>326</v>
      </c>
      <c r="J2132" s="7" t="s">
        <v>1042</v>
      </c>
      <c r="K2132" s="7" t="n">
        <f aca="false">IFERROR(VALUE(RIGHT(TRIM(F2132),4)),"")</f>
        <v>2019</v>
      </c>
      <c r="L2132" s="7" t="str">
        <f aca="false">IF(TRIM(E2132)="","Unknown",IFERROR(LEFT(TRIM(E2132),FIND(",",TRIM(E2132))-1),TRIM(E2132)))</f>
        <v>India</v>
      </c>
      <c r="M2132" s="7" t="str">
        <f aca="false">IFERROR(LEFT(J2132,FIND(",",J2132)-1),J2132)</f>
        <v>Dramas</v>
      </c>
      <c r="N2132" s="7" t="n">
        <f aca="false">IF(B2132="Movie",IFERROR(VALUE(LEFT(I2132,FIND(" ",I2132)-1)),""),"")</f>
        <v>111</v>
      </c>
      <c r="O2132" s="7" t="str">
        <f aca="false">IF(B2132="TV Show",IFERROR(VALUE(LEFT(I2132,FIND(" ",I2132)-1)),""),"")</f>
        <v/>
      </c>
      <c r="P2132" s="7" t="n">
        <f aca="false">IF(K2132="","",K2132-G2132)</f>
        <v>4</v>
      </c>
    </row>
    <row r="2133" customFormat="false" ht="15" hidden="false" customHeight="false" outlineLevel="0" collapsed="false">
      <c r="A2133" s="7" t="n">
        <v>80097594</v>
      </c>
      <c r="B2133" s="7" t="s">
        <v>78</v>
      </c>
      <c r="C2133" s="7" t="s">
        <v>4698</v>
      </c>
      <c r="E2133" s="7" t="s">
        <v>30</v>
      </c>
      <c r="F2133" s="7" t="s">
        <v>4699</v>
      </c>
      <c r="G2133" s="7" t="n">
        <v>2018</v>
      </c>
      <c r="H2133" s="7" t="s">
        <v>48</v>
      </c>
      <c r="I2133" s="7" t="s">
        <v>82</v>
      </c>
      <c r="J2133" s="7" t="s">
        <v>1850</v>
      </c>
      <c r="K2133" s="7" t="n">
        <f aca="false">IFERROR(VALUE(RIGHT(TRIM(F2133),4)),"")</f>
        <v>2018</v>
      </c>
      <c r="L2133" s="7" t="str">
        <f aca="false">IF(TRIM(E2133)="","Unknown",IFERROR(LEFT(TRIM(E2133),FIND(",",TRIM(E2133))-1),TRIM(E2133)))</f>
        <v>Japan</v>
      </c>
      <c r="M2133" s="7" t="str">
        <f aca="false">IFERROR(LEFT(J2133,FIND(",",J2133)-1),J2133)</f>
        <v>Anime Series</v>
      </c>
      <c r="N2133" s="7" t="str">
        <f aca="false">IF(B2133="Movie",IFERROR(VALUE(LEFT(I2133,FIND(" ",I2133)-1)),""),"")</f>
        <v/>
      </c>
      <c r="O2133" s="7" t="n">
        <f aca="false">IF(B2133="TV Show",IFERROR(VALUE(LEFT(I2133,FIND(" ",I2133)-1)),""),"")</f>
        <v>1</v>
      </c>
      <c r="P2133" s="7" t="n">
        <f aca="false">IF(K2133="","",K2133-G2133)</f>
        <v>0</v>
      </c>
    </row>
    <row r="2134" customFormat="false" ht="15" hidden="false" customHeight="false" outlineLevel="0" collapsed="false">
      <c r="A2134" s="7" t="n">
        <v>80156688</v>
      </c>
      <c r="B2134" s="7" t="s">
        <v>78</v>
      </c>
      <c r="C2134" s="7" t="s">
        <v>4700</v>
      </c>
      <c r="E2134" s="7" t="s">
        <v>26</v>
      </c>
      <c r="F2134" s="7" t="s">
        <v>4699</v>
      </c>
      <c r="G2134" s="7" t="n">
        <v>2018</v>
      </c>
      <c r="H2134" s="7" t="s">
        <v>48</v>
      </c>
      <c r="I2134" s="7" t="s">
        <v>82</v>
      </c>
      <c r="J2134" s="7" t="s">
        <v>100</v>
      </c>
      <c r="K2134" s="7" t="n">
        <f aca="false">IFERROR(VALUE(RIGHT(TRIM(F2134),4)),"")</f>
        <v>2018</v>
      </c>
      <c r="L2134" s="7" t="str">
        <f aca="false">IF(TRIM(E2134)="","Unknown",IFERROR(LEFT(TRIM(E2134),FIND(",",TRIM(E2134))-1),TRIM(E2134)))</f>
        <v>United States</v>
      </c>
      <c r="M2134" s="7" t="str">
        <f aca="false">IFERROR(LEFT(J2134,FIND(",",J2134)-1),J2134)</f>
        <v>Docuseries</v>
      </c>
      <c r="N2134" s="7" t="str">
        <f aca="false">IF(B2134="Movie",IFERROR(VALUE(LEFT(I2134,FIND(" ",I2134)-1)),""),"")</f>
        <v/>
      </c>
      <c r="O2134" s="7" t="n">
        <f aca="false">IF(B2134="TV Show",IFERROR(VALUE(LEFT(I2134,FIND(" ",I2134)-1)),""),"")</f>
        <v>1</v>
      </c>
      <c r="P2134" s="7" t="n">
        <f aca="false">IF(K2134="","",K2134-G2134)</f>
        <v>0</v>
      </c>
    </row>
    <row r="2135" customFormat="false" ht="15" hidden="false" customHeight="false" outlineLevel="0" collapsed="false">
      <c r="A2135" s="7" t="n">
        <v>80192139</v>
      </c>
      <c r="B2135" s="7" t="s">
        <v>68</v>
      </c>
      <c r="C2135" s="7" t="s">
        <v>4701</v>
      </c>
      <c r="D2135" s="7" t="s">
        <v>3118</v>
      </c>
      <c r="E2135" s="7" t="s">
        <v>1113</v>
      </c>
      <c r="F2135" s="7" t="s">
        <v>4699</v>
      </c>
      <c r="G2135" s="7" t="n">
        <v>2018</v>
      </c>
      <c r="H2135" s="7" t="s">
        <v>48</v>
      </c>
      <c r="I2135" s="7" t="s">
        <v>1642</v>
      </c>
      <c r="J2135" s="7" t="s">
        <v>45</v>
      </c>
      <c r="K2135" s="7" t="n">
        <f aca="false">IFERROR(VALUE(RIGHT(TRIM(F2135),4)),"")</f>
        <v>2018</v>
      </c>
      <c r="L2135" s="7" t="str">
        <f aca="false">IF(TRIM(E2135)="","Unknown",IFERROR(LEFT(TRIM(E2135),FIND(",",TRIM(E2135))-1),TRIM(E2135)))</f>
        <v>Argentina</v>
      </c>
      <c r="M2135" s="7" t="str">
        <f aca="false">IFERROR(LEFT(J2135,FIND(",",J2135)-1),J2135)</f>
        <v>Stand-Up Comedy</v>
      </c>
      <c r="N2135" s="7" t="n">
        <f aca="false">IF(B2135="Movie",IFERROR(VALUE(LEFT(I2135,FIND(" ",I2135)-1)),""),"")</f>
        <v>51</v>
      </c>
      <c r="O2135" s="7" t="str">
        <f aca="false">IF(B2135="TV Show",IFERROR(VALUE(LEFT(I2135,FIND(" ",I2135)-1)),""),"")</f>
        <v/>
      </c>
      <c r="P2135" s="7" t="n">
        <f aca="false">IF(K2135="","",K2135-G2135)</f>
        <v>0</v>
      </c>
    </row>
    <row r="2136" customFormat="false" ht="15" hidden="false" customHeight="false" outlineLevel="0" collapsed="false">
      <c r="A2136" s="7" t="n">
        <v>80192063</v>
      </c>
      <c r="B2136" s="7" t="s">
        <v>68</v>
      </c>
      <c r="C2136" s="7" t="s">
        <v>4702</v>
      </c>
      <c r="D2136" s="7" t="s">
        <v>3118</v>
      </c>
      <c r="E2136" s="7" t="s">
        <v>97</v>
      </c>
      <c r="F2136" s="7" t="s">
        <v>4699</v>
      </c>
      <c r="G2136" s="7" t="n">
        <v>2018</v>
      </c>
      <c r="H2136" s="7" t="s">
        <v>48</v>
      </c>
      <c r="I2136" s="7" t="s">
        <v>628</v>
      </c>
      <c r="J2136" s="7" t="s">
        <v>45</v>
      </c>
      <c r="K2136" s="7" t="n">
        <f aca="false">IFERROR(VALUE(RIGHT(TRIM(F2136),4)),"")</f>
        <v>2018</v>
      </c>
      <c r="L2136" s="7" t="str">
        <f aca="false">IF(TRIM(E2136)="","Unknown",IFERROR(LEFT(TRIM(E2136),FIND(",",TRIM(E2136))-1),TRIM(E2136)))</f>
        <v>Chile</v>
      </c>
      <c r="M2136" s="7" t="str">
        <f aca="false">IFERROR(LEFT(J2136,FIND(",",J2136)-1),J2136)</f>
        <v>Stand-Up Comedy</v>
      </c>
      <c r="N2136" s="7" t="n">
        <f aca="false">IF(B2136="Movie",IFERROR(VALUE(LEFT(I2136,FIND(" ",I2136)-1)),""),"")</f>
        <v>69</v>
      </c>
      <c r="O2136" s="7" t="str">
        <f aca="false">IF(B2136="TV Show",IFERROR(VALUE(LEFT(I2136,FIND(" ",I2136)-1)),""),"")</f>
        <v/>
      </c>
      <c r="P2136" s="7" t="n">
        <f aca="false">IF(K2136="","",K2136-G2136)</f>
        <v>0</v>
      </c>
    </row>
    <row r="2137" customFormat="false" ht="15" hidden="false" customHeight="false" outlineLevel="0" collapsed="false">
      <c r="A2137" s="7" t="n">
        <v>80218656</v>
      </c>
      <c r="B2137" s="7" t="s">
        <v>68</v>
      </c>
      <c r="C2137" s="7" t="s">
        <v>4703</v>
      </c>
      <c r="D2137" s="7" t="s">
        <v>4704</v>
      </c>
      <c r="E2137" s="7" t="s">
        <v>29</v>
      </c>
      <c r="F2137" s="7" t="s">
        <v>4699</v>
      </c>
      <c r="G2137" s="7" t="n">
        <v>2017</v>
      </c>
      <c r="H2137" s="7" t="s">
        <v>48</v>
      </c>
      <c r="I2137" s="7" t="s">
        <v>417</v>
      </c>
      <c r="J2137" s="7" t="s">
        <v>169</v>
      </c>
      <c r="K2137" s="7" t="n">
        <f aca="false">IFERROR(VALUE(RIGHT(TRIM(F2137),4)),"")</f>
        <v>2018</v>
      </c>
      <c r="L2137" s="7" t="str">
        <f aca="false">IF(TRIM(E2137)="","Unknown",IFERROR(LEFT(TRIM(E2137),FIND(",",TRIM(E2137))-1),TRIM(E2137)))</f>
        <v>Canada</v>
      </c>
      <c r="M2137" s="7" t="str">
        <f aca="false">IFERROR(LEFT(J2137,FIND(",",J2137)-1),J2137)</f>
        <v>Horror Movies</v>
      </c>
      <c r="N2137" s="7" t="n">
        <f aca="false">IF(B2137="Movie",IFERROR(VALUE(LEFT(I2137,FIND(" ",I2137)-1)),""),"")</f>
        <v>104</v>
      </c>
      <c r="O2137" s="7" t="str">
        <f aca="false">IF(B2137="TV Show",IFERROR(VALUE(LEFT(I2137,FIND(" ",I2137)-1)),""),"")</f>
        <v/>
      </c>
      <c r="P2137" s="7" t="n">
        <f aca="false">IF(K2137="","",K2137-G2137)</f>
        <v>1</v>
      </c>
    </row>
    <row r="2138" customFormat="false" ht="15" hidden="false" customHeight="false" outlineLevel="0" collapsed="false">
      <c r="A2138" s="7" t="n">
        <v>80095806</v>
      </c>
      <c r="B2138" s="7" t="s">
        <v>68</v>
      </c>
      <c r="C2138" s="7" t="s">
        <v>4705</v>
      </c>
      <c r="D2138" s="7" t="s">
        <v>4706</v>
      </c>
      <c r="E2138" s="7" t="s">
        <v>26</v>
      </c>
      <c r="F2138" s="7" t="s">
        <v>4707</v>
      </c>
      <c r="G2138" s="7" t="n">
        <v>2015</v>
      </c>
      <c r="H2138" s="7" t="s">
        <v>48</v>
      </c>
      <c r="I2138" s="7" t="s">
        <v>330</v>
      </c>
      <c r="J2138" s="7" t="s">
        <v>509</v>
      </c>
      <c r="K2138" s="7" t="n">
        <f aca="false">IFERROR(VALUE(RIGHT(TRIM(F2138),4)),"")</f>
        <v>2017</v>
      </c>
      <c r="L2138" s="7" t="str">
        <f aca="false">IF(TRIM(E2138)="","Unknown",IFERROR(LEFT(TRIM(E2138),FIND(",",TRIM(E2138))-1),TRIM(E2138)))</f>
        <v>United States</v>
      </c>
      <c r="M2138" s="7" t="str">
        <f aca="false">IFERROR(LEFT(J2138,FIND(",",J2138)-1),J2138)</f>
        <v>Documentaries</v>
      </c>
      <c r="N2138" s="7" t="n">
        <f aca="false">IF(B2138="Movie",IFERROR(VALUE(LEFT(I2138,FIND(" ",I2138)-1)),""),"")</f>
        <v>103</v>
      </c>
      <c r="O2138" s="7" t="str">
        <f aca="false">IF(B2138="TV Show",IFERROR(VALUE(LEFT(I2138,FIND(" ",I2138)-1)),""),"")</f>
        <v/>
      </c>
      <c r="P2138" s="7" t="n">
        <f aca="false">IF(K2138="","",K2138-G2138)</f>
        <v>2</v>
      </c>
    </row>
    <row r="2139" customFormat="false" ht="15" hidden="false" customHeight="false" outlineLevel="0" collapsed="false">
      <c r="A2139" s="7" t="n">
        <v>80013550</v>
      </c>
      <c r="B2139" s="7" t="s">
        <v>68</v>
      </c>
      <c r="C2139" s="7" t="s">
        <v>4708</v>
      </c>
      <c r="D2139" s="7" t="s">
        <v>4709</v>
      </c>
      <c r="E2139" s="7" t="s">
        <v>4710</v>
      </c>
      <c r="F2139" s="7" t="s">
        <v>4707</v>
      </c>
      <c r="G2139" s="7" t="n">
        <v>2014</v>
      </c>
      <c r="H2139" s="7" t="s">
        <v>51</v>
      </c>
      <c r="I2139" s="7" t="s">
        <v>311</v>
      </c>
      <c r="J2139" s="7" t="s">
        <v>188</v>
      </c>
      <c r="K2139" s="7" t="n">
        <f aca="false">IFERROR(VALUE(RIGHT(TRIM(F2139),4)),"")</f>
        <v>2017</v>
      </c>
      <c r="L2139" s="7" t="str">
        <f aca="false">IF(TRIM(E2139)="","Unknown",IFERROR(LEFT(TRIM(E2139),FIND(",",TRIM(E2139))-1),TRIM(E2139)))</f>
        <v>Denmark</v>
      </c>
      <c r="M2139" s="7" t="str">
        <f aca="false">IFERROR(LEFT(J2139,FIND(",",J2139)-1),J2139)</f>
        <v>Dramas</v>
      </c>
      <c r="N2139" s="7" t="n">
        <f aca="false">IF(B2139="Movie",IFERROR(VALUE(LEFT(I2139,FIND(" ",I2139)-1)),""),"")</f>
        <v>92</v>
      </c>
      <c r="O2139" s="7" t="str">
        <f aca="false">IF(B2139="TV Show",IFERROR(VALUE(LEFT(I2139,FIND(" ",I2139)-1)),""),"")</f>
        <v/>
      </c>
      <c r="P2139" s="7" t="n">
        <f aca="false">IF(K2139="","",K2139-G2139)</f>
        <v>3</v>
      </c>
    </row>
    <row r="2140" customFormat="false" ht="15" hidden="false" customHeight="false" outlineLevel="0" collapsed="false">
      <c r="A2140" s="7" t="n">
        <v>80058979</v>
      </c>
      <c r="B2140" s="7" t="s">
        <v>68</v>
      </c>
      <c r="C2140" s="7" t="s">
        <v>4711</v>
      </c>
      <c r="D2140" s="7" t="s">
        <v>4712</v>
      </c>
      <c r="E2140" s="7" t="s">
        <v>26</v>
      </c>
      <c r="F2140" s="7" t="s">
        <v>4713</v>
      </c>
      <c r="G2140" s="7" t="n">
        <v>2015</v>
      </c>
      <c r="H2140" s="7" t="s">
        <v>50</v>
      </c>
      <c r="I2140" s="7" t="s">
        <v>311</v>
      </c>
      <c r="J2140" s="7" t="s">
        <v>39</v>
      </c>
      <c r="K2140" s="7" t="n">
        <f aca="false">IFERROR(VALUE(RIGHT(TRIM(F2140),4)),"")</f>
        <v>2016</v>
      </c>
      <c r="L2140" s="7" t="str">
        <f aca="false">IF(TRIM(E2140)="","Unknown",IFERROR(LEFT(TRIM(E2140),FIND(",",TRIM(E2140))-1),TRIM(E2140)))</f>
        <v>United States</v>
      </c>
      <c r="M2140" s="7" t="str">
        <f aca="false">IFERROR(LEFT(J2140,FIND(",",J2140)-1),J2140)</f>
        <v>Documentaries</v>
      </c>
      <c r="N2140" s="7" t="n">
        <f aca="false">IF(B2140="Movie",IFERROR(VALUE(LEFT(I2140,FIND(" ",I2140)-1)),""),"")</f>
        <v>92</v>
      </c>
      <c r="O2140" s="7" t="str">
        <f aca="false">IF(B2140="TV Show",IFERROR(VALUE(LEFT(I2140,FIND(" ",I2140)-1)),""),"")</f>
        <v/>
      </c>
      <c r="P2140" s="7" t="n">
        <f aca="false">IF(K2140="","",K2140-G2140)</f>
        <v>1</v>
      </c>
    </row>
    <row r="2141" customFormat="false" ht="15" hidden="false" customHeight="false" outlineLevel="0" collapsed="false">
      <c r="A2141" s="7" t="n">
        <v>81037077</v>
      </c>
      <c r="B2141" s="7" t="s">
        <v>68</v>
      </c>
      <c r="C2141" s="7" t="s">
        <v>4714</v>
      </c>
      <c r="D2141" s="7" t="s">
        <v>4362</v>
      </c>
      <c r="E2141" s="7" t="s">
        <v>26</v>
      </c>
      <c r="F2141" s="7" t="s">
        <v>4715</v>
      </c>
      <c r="G2141" s="7" t="n">
        <v>2019</v>
      </c>
      <c r="H2141" s="7" t="s">
        <v>48</v>
      </c>
      <c r="I2141" s="7" t="s">
        <v>123</v>
      </c>
      <c r="J2141" s="7" t="s">
        <v>45</v>
      </c>
      <c r="K2141" s="7" t="n">
        <f aca="false">IFERROR(VALUE(RIGHT(TRIM(F2141),4)),"")</f>
        <v>2019</v>
      </c>
      <c r="L2141" s="7" t="str">
        <f aca="false">IF(TRIM(E2141)="","Unknown",IFERROR(LEFT(TRIM(E2141),FIND(",",TRIM(E2141))-1),TRIM(E2141)))</f>
        <v>United States</v>
      </c>
      <c r="M2141" s="7" t="str">
        <f aca="false">IFERROR(LEFT(J2141,FIND(",",J2141)-1),J2141)</f>
        <v>Stand-Up Comedy</v>
      </c>
      <c r="N2141" s="7" t="n">
        <f aca="false">IF(B2141="Movie",IFERROR(VALUE(LEFT(I2141,FIND(" ",I2141)-1)),""),"")</f>
        <v>61</v>
      </c>
      <c r="O2141" s="7" t="str">
        <f aca="false">IF(B2141="TV Show",IFERROR(VALUE(LEFT(I2141,FIND(" ",I2141)-1)),""),"")</f>
        <v/>
      </c>
      <c r="P2141" s="7" t="n">
        <f aca="false">IF(K2141="","",K2141-G2141)</f>
        <v>0</v>
      </c>
    </row>
    <row r="2142" customFormat="false" ht="15" hidden="false" customHeight="false" outlineLevel="0" collapsed="false">
      <c r="A2142" s="7" t="n">
        <v>81054383</v>
      </c>
      <c r="B2142" s="7" t="s">
        <v>68</v>
      </c>
      <c r="C2142" s="7" t="s">
        <v>4716</v>
      </c>
      <c r="D2142" s="7" t="s">
        <v>4717</v>
      </c>
      <c r="E2142" s="7" t="s">
        <v>26</v>
      </c>
      <c r="F2142" s="7" t="s">
        <v>4715</v>
      </c>
      <c r="G2142" s="7" t="n">
        <v>2018</v>
      </c>
      <c r="H2142" s="7" t="s">
        <v>48</v>
      </c>
      <c r="I2142" s="7" t="s">
        <v>494</v>
      </c>
      <c r="J2142" s="7" t="s">
        <v>39</v>
      </c>
      <c r="K2142" s="7" t="n">
        <f aca="false">IFERROR(VALUE(RIGHT(TRIM(F2142),4)),"")</f>
        <v>2019</v>
      </c>
      <c r="L2142" s="7" t="str">
        <f aca="false">IF(TRIM(E2142)="","Unknown",IFERROR(LEFT(TRIM(E2142),FIND(",",TRIM(E2142))-1),TRIM(E2142)))</f>
        <v>United States</v>
      </c>
      <c r="M2142" s="7" t="str">
        <f aca="false">IFERROR(LEFT(J2142,FIND(",",J2142)-1),J2142)</f>
        <v>Documentaries</v>
      </c>
      <c r="N2142" s="7" t="n">
        <f aca="false">IF(B2142="Movie",IFERROR(VALUE(LEFT(I2142,FIND(" ",I2142)-1)),""),"")</f>
        <v>87</v>
      </c>
      <c r="O2142" s="7" t="str">
        <f aca="false">IF(B2142="TV Show",IFERROR(VALUE(LEFT(I2142,FIND(" ",I2142)-1)),""),"")</f>
        <v/>
      </c>
      <c r="P2142" s="7" t="n">
        <f aca="false">IF(K2142="","",K2142-G2142)</f>
        <v>1</v>
      </c>
    </row>
    <row r="2143" customFormat="false" ht="15" hidden="false" customHeight="false" outlineLevel="0" collapsed="false">
      <c r="A2143" s="7" t="n">
        <v>81047798</v>
      </c>
      <c r="B2143" s="7" t="s">
        <v>68</v>
      </c>
      <c r="C2143" s="7" t="s">
        <v>4718</v>
      </c>
      <c r="D2143" s="7" t="s">
        <v>4719</v>
      </c>
      <c r="E2143" s="7" t="s">
        <v>26</v>
      </c>
      <c r="F2143" s="7" t="s">
        <v>4715</v>
      </c>
      <c r="G2143" s="7" t="n">
        <v>2018</v>
      </c>
      <c r="H2143" s="7" t="s">
        <v>49</v>
      </c>
      <c r="I2143" s="7" t="s">
        <v>451</v>
      </c>
      <c r="J2143" s="7" t="s">
        <v>1762</v>
      </c>
      <c r="K2143" s="7" t="n">
        <f aca="false">IFERROR(VALUE(RIGHT(TRIM(F2143),4)),"")</f>
        <v>2019</v>
      </c>
      <c r="L2143" s="7" t="str">
        <f aca="false">IF(TRIM(E2143)="","Unknown",IFERROR(LEFT(TRIM(E2143),FIND(",",TRIM(E2143))-1),TRIM(E2143)))</f>
        <v>United States</v>
      </c>
      <c r="M2143" s="7" t="str">
        <f aca="false">IFERROR(LEFT(J2143,FIND(",",J2143)-1),J2143)</f>
        <v>Dramas</v>
      </c>
      <c r="N2143" s="7" t="n">
        <f aca="false">IF(B2143="Movie",IFERROR(VALUE(LEFT(I2143,FIND(" ",I2143)-1)),""),"")</f>
        <v>97</v>
      </c>
      <c r="O2143" s="7" t="str">
        <f aca="false">IF(B2143="TV Show",IFERROR(VALUE(LEFT(I2143,FIND(" ",I2143)-1)),""),"")</f>
        <v/>
      </c>
      <c r="P2143" s="7" t="n">
        <f aca="false">IF(K2143="","",K2143-G2143)</f>
        <v>1</v>
      </c>
    </row>
    <row r="2144" customFormat="false" ht="15" hidden="false" customHeight="false" outlineLevel="0" collapsed="false">
      <c r="A2144" s="7" t="n">
        <v>80189216</v>
      </c>
      <c r="B2144" s="7" t="s">
        <v>68</v>
      </c>
      <c r="C2144" s="7" t="s">
        <v>4720</v>
      </c>
      <c r="D2144" s="7" t="s">
        <v>4721</v>
      </c>
      <c r="E2144" s="7" t="s">
        <v>26</v>
      </c>
      <c r="F2144" s="7" t="s">
        <v>4722</v>
      </c>
      <c r="G2144" s="7" t="n">
        <v>2017</v>
      </c>
      <c r="H2144" s="7" t="s">
        <v>51</v>
      </c>
      <c r="I2144" s="7" t="s">
        <v>330</v>
      </c>
      <c r="J2144" s="7" t="s">
        <v>370</v>
      </c>
      <c r="K2144" s="7" t="n">
        <f aca="false">IFERROR(VALUE(RIGHT(TRIM(F2144),4)),"")</f>
        <v>2018</v>
      </c>
      <c r="L2144" s="7" t="str">
        <f aca="false">IF(TRIM(E2144)="","Unknown",IFERROR(LEFT(TRIM(E2144),FIND(",",TRIM(E2144))-1),TRIM(E2144)))</f>
        <v>United States</v>
      </c>
      <c r="M2144" s="7" t="str">
        <f aca="false">IFERROR(LEFT(J2144,FIND(",",J2144)-1),J2144)</f>
        <v>Action &amp; Adventure</v>
      </c>
      <c r="N2144" s="7" t="n">
        <f aca="false">IF(B2144="Movie",IFERROR(VALUE(LEFT(I2144,FIND(" ",I2144)-1)),""),"")</f>
        <v>103</v>
      </c>
      <c r="O2144" s="7" t="str">
        <f aca="false">IF(B2144="TV Show",IFERROR(VALUE(LEFT(I2144,FIND(" ",I2144)-1)),""),"")</f>
        <v/>
      </c>
      <c r="P2144" s="7" t="n">
        <f aca="false">IF(K2144="","",K2144-G2144)</f>
        <v>1</v>
      </c>
    </row>
    <row r="2145" customFormat="false" ht="15" hidden="false" customHeight="false" outlineLevel="0" collapsed="false">
      <c r="A2145" s="7" t="n">
        <v>80092781</v>
      </c>
      <c r="B2145" s="7" t="s">
        <v>68</v>
      </c>
      <c r="C2145" s="7" t="s">
        <v>4723</v>
      </c>
      <c r="D2145" s="7" t="s">
        <v>1331</v>
      </c>
      <c r="E2145" s="7" t="s">
        <v>29</v>
      </c>
      <c r="F2145" s="7" t="s">
        <v>4724</v>
      </c>
      <c r="G2145" s="7" t="n">
        <v>2016</v>
      </c>
      <c r="H2145" s="7" t="s">
        <v>54</v>
      </c>
      <c r="I2145" s="7" t="s">
        <v>524</v>
      </c>
      <c r="J2145" s="7" t="s">
        <v>74</v>
      </c>
      <c r="K2145" s="7" t="n">
        <f aca="false">IFERROR(VALUE(RIGHT(TRIM(F2145),4)),"")</f>
        <v>2016</v>
      </c>
      <c r="L2145" s="7" t="str">
        <f aca="false">IF(TRIM(E2145)="","Unknown",IFERROR(LEFT(TRIM(E2145),FIND(",",TRIM(E2145))-1),TRIM(E2145)))</f>
        <v>Canada</v>
      </c>
      <c r="M2145" s="7" t="str">
        <f aca="false">IFERROR(LEFT(J2145,FIND(",",J2145)-1),J2145)</f>
        <v>Children &amp; Family Movies</v>
      </c>
      <c r="N2145" s="7" t="n">
        <f aca="false">IF(B2145="Movie",IFERROR(VALUE(LEFT(I2145,FIND(" ",I2145)-1)),""),"")</f>
        <v>83</v>
      </c>
      <c r="O2145" s="7" t="str">
        <f aca="false">IF(B2145="TV Show",IFERROR(VALUE(LEFT(I2145,FIND(" ",I2145)-1)),""),"")</f>
        <v/>
      </c>
      <c r="P2145" s="7" t="n">
        <f aca="false">IF(K2145="","",K2145-G2145)</f>
        <v>0</v>
      </c>
    </row>
    <row r="2146" customFormat="false" ht="15" hidden="false" customHeight="false" outlineLevel="0" collapsed="false">
      <c r="A2146" s="7" t="n">
        <v>81019338</v>
      </c>
      <c r="B2146" s="7" t="s">
        <v>68</v>
      </c>
      <c r="C2146" s="7" t="s">
        <v>4725</v>
      </c>
      <c r="D2146" s="7" t="s">
        <v>4726</v>
      </c>
      <c r="E2146" s="7" t="s">
        <v>26</v>
      </c>
      <c r="F2146" s="7" t="s">
        <v>4727</v>
      </c>
      <c r="G2146" s="7" t="n">
        <v>2018</v>
      </c>
      <c r="H2146" s="7" t="s">
        <v>51</v>
      </c>
      <c r="I2146" s="7" t="s">
        <v>512</v>
      </c>
      <c r="J2146" s="7" t="s">
        <v>198</v>
      </c>
      <c r="K2146" s="7" t="n">
        <f aca="false">IFERROR(VALUE(RIGHT(TRIM(F2146),4)),"")</f>
        <v>2019</v>
      </c>
      <c r="L2146" s="7" t="str">
        <f aca="false">IF(TRIM(E2146)="","Unknown",IFERROR(LEFT(TRIM(E2146),FIND(",",TRIM(E2146))-1),TRIM(E2146)))</f>
        <v>United States</v>
      </c>
      <c r="M2146" s="7" t="str">
        <f aca="false">IFERROR(LEFT(J2146,FIND(",",J2146)-1),J2146)</f>
        <v>Comedies</v>
      </c>
      <c r="N2146" s="7" t="n">
        <f aca="false">IF(B2146="Movie",IFERROR(VALUE(LEFT(I2146,FIND(" ",I2146)-1)),""),"")</f>
        <v>101</v>
      </c>
      <c r="O2146" s="7" t="str">
        <f aca="false">IF(B2146="TV Show",IFERROR(VALUE(LEFT(I2146,FIND(" ",I2146)-1)),""),"")</f>
        <v/>
      </c>
      <c r="P2146" s="7" t="n">
        <f aca="false">IF(K2146="","",K2146-G2146)</f>
        <v>1</v>
      </c>
    </row>
    <row r="2147" customFormat="false" ht="15" hidden="false" customHeight="false" outlineLevel="0" collapsed="false">
      <c r="A2147" s="7" t="n">
        <v>80132964</v>
      </c>
      <c r="B2147" s="7" t="s">
        <v>68</v>
      </c>
      <c r="C2147" s="7" t="s">
        <v>4728</v>
      </c>
      <c r="D2147" s="7" t="s">
        <v>4729</v>
      </c>
      <c r="E2147" s="7" t="s">
        <v>26</v>
      </c>
      <c r="F2147" s="7" t="s">
        <v>4730</v>
      </c>
      <c r="G2147" s="7" t="n">
        <v>2016</v>
      </c>
      <c r="H2147" s="7" t="s">
        <v>49</v>
      </c>
      <c r="I2147" s="7" t="s">
        <v>451</v>
      </c>
      <c r="J2147" s="7" t="s">
        <v>39</v>
      </c>
      <c r="K2147" s="7" t="n">
        <f aca="false">IFERROR(VALUE(RIGHT(TRIM(F2147),4)),"")</f>
        <v>2017</v>
      </c>
      <c r="L2147" s="7" t="str">
        <f aca="false">IF(TRIM(E2147)="","Unknown",IFERROR(LEFT(TRIM(E2147),FIND(",",TRIM(E2147))-1),TRIM(E2147)))</f>
        <v>United States</v>
      </c>
      <c r="M2147" s="7" t="str">
        <f aca="false">IFERROR(LEFT(J2147,FIND(",",J2147)-1),J2147)</f>
        <v>Documentaries</v>
      </c>
      <c r="N2147" s="7" t="n">
        <f aca="false">IF(B2147="Movie",IFERROR(VALUE(LEFT(I2147,FIND(" ",I2147)-1)),""),"")</f>
        <v>97</v>
      </c>
      <c r="O2147" s="7" t="str">
        <f aca="false">IF(B2147="TV Show",IFERROR(VALUE(LEFT(I2147,FIND(" ",I2147)-1)),""),"")</f>
        <v/>
      </c>
      <c r="P2147" s="7" t="n">
        <f aca="false">IF(K2147="","",K2147-G2147)</f>
        <v>1</v>
      </c>
    </row>
    <row r="2148" customFormat="false" ht="15" hidden="false" customHeight="false" outlineLevel="0" collapsed="false">
      <c r="A2148" s="7" t="n">
        <v>80117824</v>
      </c>
      <c r="B2148" s="7" t="s">
        <v>68</v>
      </c>
      <c r="C2148" s="7" t="s">
        <v>4731</v>
      </c>
      <c r="D2148" s="7" t="s">
        <v>4732</v>
      </c>
      <c r="E2148" s="7" t="s">
        <v>32</v>
      </c>
      <c r="F2148" s="7" t="s">
        <v>4730</v>
      </c>
      <c r="G2148" s="7" t="n">
        <v>2016</v>
      </c>
      <c r="H2148" s="7" t="s">
        <v>48</v>
      </c>
      <c r="I2148" s="7" t="s">
        <v>1270</v>
      </c>
      <c r="J2148" s="7" t="s">
        <v>3644</v>
      </c>
      <c r="K2148" s="7" t="n">
        <f aca="false">IFERROR(VALUE(RIGHT(TRIM(F2148),4)),"")</f>
        <v>2017</v>
      </c>
      <c r="L2148" s="7" t="str">
        <f aca="false">IF(TRIM(E2148)="","Unknown",IFERROR(LEFT(TRIM(E2148),FIND(",",TRIM(E2148))-1),TRIM(E2148)))</f>
        <v>South Korea</v>
      </c>
      <c r="M2148" s="7" t="str">
        <f aca="false">IFERROR(LEFT(J2148,FIND(",",J2148)-1),J2148)</f>
        <v>Action &amp; Adventure</v>
      </c>
      <c r="N2148" s="7" t="n">
        <f aca="false">IF(B2148="Movie",IFERROR(VALUE(LEFT(I2148,FIND(" ",I2148)-1)),""),"")</f>
        <v>118</v>
      </c>
      <c r="O2148" s="7" t="str">
        <f aca="false">IF(B2148="TV Show",IFERROR(VALUE(LEFT(I2148,FIND(" ",I2148)-1)),""),"")</f>
        <v/>
      </c>
      <c r="P2148" s="7" t="n">
        <f aca="false">IF(K2148="","",K2148-G2148)</f>
        <v>1</v>
      </c>
    </row>
    <row r="2149" customFormat="false" ht="15" hidden="false" customHeight="false" outlineLevel="0" collapsed="false">
      <c r="A2149" s="7" t="n">
        <v>80058460</v>
      </c>
      <c r="B2149" s="7" t="s">
        <v>68</v>
      </c>
      <c r="C2149" s="7" t="s">
        <v>4733</v>
      </c>
      <c r="D2149" s="7" t="s">
        <v>4734</v>
      </c>
      <c r="E2149" s="7" t="s">
        <v>230</v>
      </c>
      <c r="F2149" s="7" t="s">
        <v>4735</v>
      </c>
      <c r="G2149" s="7" t="n">
        <v>2015</v>
      </c>
      <c r="H2149" s="7" t="s">
        <v>51</v>
      </c>
      <c r="I2149" s="7" t="s">
        <v>451</v>
      </c>
      <c r="J2149" s="7" t="s">
        <v>1059</v>
      </c>
      <c r="K2149" s="7" t="n">
        <f aca="false">IFERROR(VALUE(RIGHT(TRIM(F2149),4)),"")</f>
        <v>2016</v>
      </c>
      <c r="L2149" s="7" t="str">
        <f aca="false">IF(TRIM(E2149)="","Unknown",IFERROR(LEFT(TRIM(E2149),FIND(",",TRIM(E2149))-1),TRIM(E2149)))</f>
        <v>United States</v>
      </c>
      <c r="M2149" s="7" t="str">
        <f aca="false">IFERROR(LEFT(J2149,FIND(",",J2149)-1),J2149)</f>
        <v>Comedies</v>
      </c>
      <c r="N2149" s="7" t="n">
        <f aca="false">IF(B2149="Movie",IFERROR(VALUE(LEFT(I2149,FIND(" ",I2149)-1)),""),"")</f>
        <v>97</v>
      </c>
      <c r="O2149" s="7" t="str">
        <f aca="false">IF(B2149="TV Show",IFERROR(VALUE(LEFT(I2149,FIND(" ",I2149)-1)),""),"")</f>
        <v/>
      </c>
      <c r="P2149" s="7" t="n">
        <f aca="false">IF(K2149="","",K2149-G2149)</f>
        <v>1</v>
      </c>
    </row>
    <row r="2150" customFormat="false" ht="15" hidden="false" customHeight="false" outlineLevel="0" collapsed="false">
      <c r="A2150" s="7" t="n">
        <v>80076467</v>
      </c>
      <c r="B2150" s="7" t="s">
        <v>68</v>
      </c>
      <c r="C2150" s="7" t="s">
        <v>4736</v>
      </c>
      <c r="D2150" s="7" t="s">
        <v>4737</v>
      </c>
      <c r="E2150" s="7" t="s">
        <v>28</v>
      </c>
      <c r="F2150" s="7" t="s">
        <v>4735</v>
      </c>
      <c r="G2150" s="7" t="n">
        <v>2016</v>
      </c>
      <c r="H2150" s="7" t="s">
        <v>48</v>
      </c>
      <c r="I2150" s="7" t="s">
        <v>117</v>
      </c>
      <c r="J2150" s="7" t="s">
        <v>45</v>
      </c>
      <c r="K2150" s="7" t="n">
        <f aca="false">IFERROR(VALUE(RIGHT(TRIM(F2150),4)),"")</f>
        <v>2016</v>
      </c>
      <c r="L2150" s="7" t="str">
        <f aca="false">IF(TRIM(E2150)="","Unknown",IFERROR(LEFT(TRIM(E2150),FIND(",",TRIM(E2150))-1),TRIM(E2150)))</f>
        <v>United Kingdom</v>
      </c>
      <c r="M2150" s="7" t="str">
        <f aca="false">IFERROR(LEFT(J2150,FIND(",",J2150)-1),J2150)</f>
        <v>Stand-Up Comedy</v>
      </c>
      <c r="N2150" s="7" t="n">
        <f aca="false">IF(B2150="Movie",IFERROR(VALUE(LEFT(I2150,FIND(" ",I2150)-1)),""),"")</f>
        <v>62</v>
      </c>
      <c r="O2150" s="7" t="str">
        <f aca="false">IF(B2150="TV Show",IFERROR(VALUE(LEFT(I2150,FIND(" ",I2150)-1)),""),"")</f>
        <v/>
      </c>
      <c r="P2150" s="7" t="n">
        <f aca="false">IF(K2150="","",K2150-G2150)</f>
        <v>0</v>
      </c>
    </row>
    <row r="2151" customFormat="false" ht="15" hidden="false" customHeight="false" outlineLevel="0" collapsed="false">
      <c r="A2151" s="7" t="n">
        <v>80049951</v>
      </c>
      <c r="B2151" s="7" t="s">
        <v>68</v>
      </c>
      <c r="C2151" s="7" t="s">
        <v>4738</v>
      </c>
      <c r="D2151" s="7" t="s">
        <v>4739</v>
      </c>
      <c r="E2151" s="7" t="s">
        <v>28</v>
      </c>
      <c r="F2151" s="7" t="s">
        <v>4735</v>
      </c>
      <c r="G2151" s="7" t="n">
        <v>2016</v>
      </c>
      <c r="H2151" s="7" t="s">
        <v>49</v>
      </c>
      <c r="I2151" s="7" t="s">
        <v>613</v>
      </c>
      <c r="J2151" s="7" t="s">
        <v>341</v>
      </c>
      <c r="K2151" s="7" t="n">
        <f aca="false">IFERROR(VALUE(RIGHT(TRIM(F2151),4)),"")</f>
        <v>2016</v>
      </c>
      <c r="L2151" s="7" t="str">
        <f aca="false">IF(TRIM(E2151)="","Unknown",IFERROR(LEFT(TRIM(E2151),FIND(",",TRIM(E2151))-1),TRIM(E2151)))</f>
        <v>United Kingdom</v>
      </c>
      <c r="M2151" s="7" t="str">
        <f aca="false">IFERROR(LEFT(J2151,FIND(",",J2151)-1),J2151)</f>
        <v>Documentaries</v>
      </c>
      <c r="N2151" s="7" t="n">
        <f aca="false">IF(B2151="Movie",IFERROR(VALUE(LEFT(I2151,FIND(" ",I2151)-1)),""),"")</f>
        <v>84</v>
      </c>
      <c r="O2151" s="7" t="str">
        <f aca="false">IF(B2151="TV Show",IFERROR(VALUE(LEFT(I2151,FIND(" ",I2151)-1)),""),"")</f>
        <v/>
      </c>
      <c r="P2151" s="7" t="n">
        <f aca="false">IF(K2151="","",K2151-G2151)</f>
        <v>0</v>
      </c>
    </row>
    <row r="2152" customFormat="false" ht="15" hidden="false" customHeight="false" outlineLevel="0" collapsed="false">
      <c r="A2152" s="7" t="n">
        <v>80031800</v>
      </c>
      <c r="B2152" s="7" t="s">
        <v>68</v>
      </c>
      <c r="C2152" s="7" t="s">
        <v>4740</v>
      </c>
      <c r="D2152" s="7" t="s">
        <v>4741</v>
      </c>
      <c r="E2152" s="7" t="s">
        <v>26</v>
      </c>
      <c r="F2152" s="7" t="s">
        <v>4735</v>
      </c>
      <c r="G2152" s="7" t="n">
        <v>2016</v>
      </c>
      <c r="H2152" s="7" t="s">
        <v>50</v>
      </c>
      <c r="I2152" s="7" t="s">
        <v>73</v>
      </c>
      <c r="J2152" s="7" t="s">
        <v>4742</v>
      </c>
      <c r="K2152" s="7" t="n">
        <f aca="false">IFERROR(VALUE(RIGHT(TRIM(F2152),4)),"")</f>
        <v>2016</v>
      </c>
      <c r="L2152" s="7" t="str">
        <f aca="false">IF(TRIM(E2152)="","Unknown",IFERROR(LEFT(TRIM(E2152),FIND(",",TRIM(E2152))-1),TRIM(E2152)))</f>
        <v>United States</v>
      </c>
      <c r="M2152" s="7" t="str">
        <f aca="false">IFERROR(LEFT(J2152,FIND(",",J2152)-1),J2152)</f>
        <v>Children &amp; Family Movies</v>
      </c>
      <c r="N2152" s="7" t="n">
        <f aca="false">IF(B2152="Movie",IFERROR(VALUE(LEFT(I2152,FIND(" ",I2152)-1)),""),"")</f>
        <v>90</v>
      </c>
      <c r="O2152" s="7" t="str">
        <f aca="false">IF(B2152="TV Show",IFERROR(VALUE(LEFT(I2152,FIND(" ",I2152)-1)),""),"")</f>
        <v/>
      </c>
      <c r="P2152" s="7" t="n">
        <f aca="false">IF(K2152="","",K2152-G2152)</f>
        <v>0</v>
      </c>
    </row>
    <row r="2153" customFormat="false" ht="15" hidden="false" customHeight="false" outlineLevel="0" collapsed="false">
      <c r="A2153" s="7" t="n">
        <v>80017171</v>
      </c>
      <c r="B2153" s="7" t="s">
        <v>68</v>
      </c>
      <c r="C2153" s="7" t="s">
        <v>4743</v>
      </c>
      <c r="D2153" s="7" t="s">
        <v>4744</v>
      </c>
      <c r="E2153" s="7" t="s">
        <v>26</v>
      </c>
      <c r="F2153" s="7" t="s">
        <v>4745</v>
      </c>
      <c r="G2153" s="7" t="n">
        <v>2014</v>
      </c>
      <c r="H2153" s="7" t="s">
        <v>52</v>
      </c>
      <c r="I2153" s="7" t="s">
        <v>311</v>
      </c>
      <c r="J2153" s="7" t="s">
        <v>198</v>
      </c>
      <c r="K2153" s="7" t="n">
        <f aca="false">IFERROR(VALUE(RIGHT(TRIM(F2153),4)),"")</f>
        <v>2019</v>
      </c>
      <c r="L2153" s="7" t="str">
        <f aca="false">IF(TRIM(E2153)="","Unknown",IFERROR(LEFT(TRIM(E2153),FIND(",",TRIM(E2153))-1),TRIM(E2153)))</f>
        <v>United States</v>
      </c>
      <c r="M2153" s="7" t="str">
        <f aca="false">IFERROR(LEFT(J2153,FIND(",",J2153)-1),J2153)</f>
        <v>Comedies</v>
      </c>
      <c r="N2153" s="7" t="n">
        <f aca="false">IF(B2153="Movie",IFERROR(VALUE(LEFT(I2153,FIND(" ",I2153)-1)),""),"")</f>
        <v>92</v>
      </c>
      <c r="O2153" s="7" t="str">
        <f aca="false">IF(B2153="TV Show",IFERROR(VALUE(LEFT(I2153,FIND(" ",I2153)-1)),""),"")</f>
        <v/>
      </c>
      <c r="P2153" s="7" t="n">
        <f aca="false">IF(K2153="","",K2153-G2153)</f>
        <v>5</v>
      </c>
    </row>
    <row r="2154" customFormat="false" ht="15" hidden="false" customHeight="false" outlineLevel="0" collapsed="false">
      <c r="A2154" s="7" t="n">
        <v>81045888</v>
      </c>
      <c r="B2154" s="7" t="s">
        <v>78</v>
      </c>
      <c r="C2154" s="7" t="s">
        <v>4746</v>
      </c>
      <c r="E2154" s="7" t="s">
        <v>970</v>
      </c>
      <c r="F2154" s="7" t="s">
        <v>4745</v>
      </c>
      <c r="G2154" s="7" t="n">
        <v>2019</v>
      </c>
      <c r="H2154" s="7" t="s">
        <v>48</v>
      </c>
      <c r="I2154" s="7" t="s">
        <v>82</v>
      </c>
      <c r="J2154" s="7" t="s">
        <v>158</v>
      </c>
      <c r="K2154" s="7" t="n">
        <f aca="false">IFERROR(VALUE(RIGHT(TRIM(F2154),4)),"")</f>
        <v>2019</v>
      </c>
      <c r="L2154" s="7" t="str">
        <f aca="false">IF(TRIM(E2154)="","Unknown",IFERROR(LEFT(TRIM(E2154),FIND(",",TRIM(E2154))-1),TRIM(E2154)))</f>
        <v>Taiwan</v>
      </c>
      <c r="M2154" s="7" t="str">
        <f aca="false">IFERROR(LEFT(J2154,FIND(",",J2154)-1),J2154)</f>
        <v>International TV Shows</v>
      </c>
      <c r="N2154" s="7" t="str">
        <f aca="false">IF(B2154="Movie",IFERROR(VALUE(LEFT(I2154,FIND(" ",I2154)-1)),""),"")</f>
        <v/>
      </c>
      <c r="O2154" s="7" t="n">
        <f aca="false">IF(B2154="TV Show",IFERROR(VALUE(LEFT(I2154,FIND(" ",I2154)-1)),""),"")</f>
        <v>1</v>
      </c>
      <c r="P2154" s="7" t="n">
        <f aca="false">IF(K2154="","",K2154-G2154)</f>
        <v>0</v>
      </c>
    </row>
    <row r="2155" customFormat="false" ht="15" hidden="false" customHeight="false" outlineLevel="0" collapsed="false">
      <c r="A2155" s="7" t="n">
        <v>80108984</v>
      </c>
      <c r="B2155" s="7" t="s">
        <v>68</v>
      </c>
      <c r="C2155" s="7" t="s">
        <v>4747</v>
      </c>
      <c r="D2155" s="7" t="s">
        <v>4748</v>
      </c>
      <c r="E2155" s="7" t="s">
        <v>26</v>
      </c>
      <c r="F2155" s="7" t="s">
        <v>4749</v>
      </c>
      <c r="G2155" s="7" t="n">
        <v>2017</v>
      </c>
      <c r="H2155" s="7" t="s">
        <v>49</v>
      </c>
      <c r="I2155" s="7" t="s">
        <v>311</v>
      </c>
      <c r="J2155" s="7" t="s">
        <v>198</v>
      </c>
      <c r="K2155" s="7" t="n">
        <f aca="false">IFERROR(VALUE(RIGHT(TRIM(F2155),4)),"")</f>
        <v>2017</v>
      </c>
      <c r="L2155" s="7" t="str">
        <f aca="false">IF(TRIM(E2155)="","Unknown",IFERROR(LEFT(TRIM(E2155),FIND(",",TRIM(E2155))-1),TRIM(E2155)))</f>
        <v>United States</v>
      </c>
      <c r="M2155" s="7" t="str">
        <f aca="false">IFERROR(LEFT(J2155,FIND(",",J2155)-1),J2155)</f>
        <v>Comedies</v>
      </c>
      <c r="N2155" s="7" t="n">
        <f aca="false">IF(B2155="Movie",IFERROR(VALUE(LEFT(I2155,FIND(" ",I2155)-1)),""),"")</f>
        <v>92</v>
      </c>
      <c r="O2155" s="7" t="str">
        <f aca="false">IF(B2155="TV Show",IFERROR(VALUE(LEFT(I2155,FIND(" ",I2155)-1)),""),"")</f>
        <v/>
      </c>
      <c r="P2155" s="7" t="n">
        <f aca="false">IF(K2155="","",K2155-G2155)</f>
        <v>0</v>
      </c>
    </row>
    <row r="2156" customFormat="false" ht="15" hidden="false" customHeight="false" outlineLevel="0" collapsed="false">
      <c r="A2156" s="7" t="n">
        <v>80113090</v>
      </c>
      <c r="B2156" s="7" t="s">
        <v>78</v>
      </c>
      <c r="C2156" s="7" t="s">
        <v>4750</v>
      </c>
      <c r="E2156" s="7" t="s">
        <v>26</v>
      </c>
      <c r="F2156" s="7" t="s">
        <v>4749</v>
      </c>
      <c r="G2156" s="7" t="n">
        <v>2017</v>
      </c>
      <c r="H2156" s="7" t="s">
        <v>119</v>
      </c>
      <c r="I2156" s="7" t="s">
        <v>82</v>
      </c>
      <c r="J2156" s="7" t="s">
        <v>44</v>
      </c>
      <c r="K2156" s="7" t="n">
        <f aca="false">IFERROR(VALUE(RIGHT(TRIM(F2156),4)),"")</f>
        <v>2017</v>
      </c>
      <c r="L2156" s="7" t="str">
        <f aca="false">IF(TRIM(E2156)="","Unknown",IFERROR(LEFT(TRIM(E2156),FIND(",",TRIM(E2156))-1),TRIM(E2156)))</f>
        <v>United States</v>
      </c>
      <c r="M2156" s="7" t="str">
        <f aca="false">IFERROR(LEFT(J2156,FIND(",",J2156)-1),J2156)</f>
        <v>Kids' TV</v>
      </c>
      <c r="N2156" s="7" t="str">
        <f aca="false">IF(B2156="Movie",IFERROR(VALUE(LEFT(I2156,FIND(" ",I2156)-1)),""),"")</f>
        <v/>
      </c>
      <c r="O2156" s="7" t="n">
        <f aca="false">IF(B2156="TV Show",IFERROR(VALUE(LEFT(I2156,FIND(" ",I2156)-1)),""),"")</f>
        <v>1</v>
      </c>
      <c r="P2156" s="7" t="n">
        <f aca="false">IF(K2156="","",K2156-G2156)</f>
        <v>0</v>
      </c>
    </row>
    <row r="2157" customFormat="false" ht="15" hidden="false" customHeight="false" outlineLevel="0" collapsed="false">
      <c r="A2157" s="7" t="n">
        <v>80135296</v>
      </c>
      <c r="B2157" s="7" t="s">
        <v>68</v>
      </c>
      <c r="C2157" s="7" t="s">
        <v>4751</v>
      </c>
      <c r="D2157" s="7" t="s">
        <v>4752</v>
      </c>
      <c r="E2157" s="7" t="s">
        <v>4753</v>
      </c>
      <c r="F2157" s="7" t="s">
        <v>4749</v>
      </c>
      <c r="G2157" s="7" t="n">
        <v>2016</v>
      </c>
      <c r="H2157" s="7" t="s">
        <v>50</v>
      </c>
      <c r="I2157" s="7" t="s">
        <v>470</v>
      </c>
      <c r="J2157" s="7" t="s">
        <v>39</v>
      </c>
      <c r="K2157" s="7" t="n">
        <f aca="false">IFERROR(VALUE(RIGHT(TRIM(F2157),4)),"")</f>
        <v>2017</v>
      </c>
      <c r="L2157" s="7" t="str">
        <f aca="false">IF(TRIM(E2157)="","Unknown",IFERROR(LEFT(TRIM(E2157),FIND(",",TRIM(E2157))-1),TRIM(E2157)))</f>
        <v>United States</v>
      </c>
      <c r="M2157" s="7" t="str">
        <f aca="false">IFERROR(LEFT(J2157,FIND(",",J2157)-1),J2157)</f>
        <v>Documentaries</v>
      </c>
      <c r="N2157" s="7" t="n">
        <f aca="false">IF(B2157="Movie",IFERROR(VALUE(LEFT(I2157,FIND(" ",I2157)-1)),""),"")</f>
        <v>91</v>
      </c>
      <c r="O2157" s="7" t="str">
        <f aca="false">IF(B2157="TV Show",IFERROR(VALUE(LEFT(I2157,FIND(" ",I2157)-1)),""),"")</f>
        <v/>
      </c>
      <c r="P2157" s="7" t="n">
        <f aca="false">IF(K2157="","",K2157-G2157)</f>
        <v>1</v>
      </c>
    </row>
    <row r="2158" customFormat="false" ht="15" hidden="false" customHeight="false" outlineLevel="0" collapsed="false">
      <c r="A2158" s="7" t="n">
        <v>80158577</v>
      </c>
      <c r="B2158" s="7" t="s">
        <v>68</v>
      </c>
      <c r="C2158" s="7" t="s">
        <v>4754</v>
      </c>
      <c r="D2158" s="7" t="s">
        <v>4755</v>
      </c>
      <c r="E2158" s="7" t="s">
        <v>32</v>
      </c>
      <c r="F2158" s="7" t="s">
        <v>4749</v>
      </c>
      <c r="G2158" s="7" t="n">
        <v>2016</v>
      </c>
      <c r="H2158" s="7" t="s">
        <v>48</v>
      </c>
      <c r="I2158" s="7" t="s">
        <v>749</v>
      </c>
      <c r="J2158" s="7" t="s">
        <v>182</v>
      </c>
      <c r="K2158" s="7" t="n">
        <f aca="false">IFERROR(VALUE(RIGHT(TRIM(F2158),4)),"")</f>
        <v>2017</v>
      </c>
      <c r="L2158" s="7" t="str">
        <f aca="false">IF(TRIM(E2158)="","Unknown",IFERROR(LEFT(TRIM(E2158),FIND(",",TRIM(E2158))-1),TRIM(E2158)))</f>
        <v>South Korea</v>
      </c>
      <c r="M2158" s="7" t="str">
        <f aca="false">IFERROR(LEFT(J2158,FIND(",",J2158)-1),J2158)</f>
        <v>Dramas</v>
      </c>
      <c r="N2158" s="7" t="n">
        <f aca="false">IF(B2158="Movie",IFERROR(VALUE(LEFT(I2158,FIND(" ",I2158)-1)),""),"")</f>
        <v>137</v>
      </c>
      <c r="O2158" s="7" t="str">
        <f aca="false">IF(B2158="TV Show",IFERROR(VALUE(LEFT(I2158,FIND(" ",I2158)-1)),""),"")</f>
        <v/>
      </c>
      <c r="P2158" s="7" t="n">
        <f aca="false">IF(K2158="","",K2158-G2158)</f>
        <v>1</v>
      </c>
    </row>
    <row r="2159" customFormat="false" ht="15" hidden="false" customHeight="false" outlineLevel="0" collapsed="false">
      <c r="A2159" s="7" t="n">
        <v>80132738</v>
      </c>
      <c r="B2159" s="7" t="s">
        <v>78</v>
      </c>
      <c r="C2159" s="7" t="s">
        <v>4756</v>
      </c>
      <c r="E2159" s="7" t="s">
        <v>30</v>
      </c>
      <c r="F2159" s="7" t="s">
        <v>4749</v>
      </c>
      <c r="G2159" s="7" t="n">
        <v>2017</v>
      </c>
      <c r="H2159" s="7" t="s">
        <v>50</v>
      </c>
      <c r="I2159" s="7" t="s">
        <v>82</v>
      </c>
      <c r="J2159" s="7" t="s">
        <v>344</v>
      </c>
      <c r="K2159" s="7" t="n">
        <f aca="false">IFERROR(VALUE(RIGHT(TRIM(F2159),4)),"")</f>
        <v>2017</v>
      </c>
      <c r="L2159" s="7" t="str">
        <f aca="false">IF(TRIM(E2159)="","Unknown",IFERROR(LEFT(TRIM(E2159),FIND(",",TRIM(E2159))-1),TRIM(E2159)))</f>
        <v>Japan</v>
      </c>
      <c r="M2159" s="7" t="str">
        <f aca="false">IFERROR(LEFT(J2159,FIND(",",J2159)-1),J2159)</f>
        <v>International TV Shows</v>
      </c>
      <c r="N2159" s="7" t="str">
        <f aca="false">IF(B2159="Movie",IFERROR(VALUE(LEFT(I2159,FIND(" ",I2159)-1)),""),"")</f>
        <v/>
      </c>
      <c r="O2159" s="7" t="n">
        <f aca="false">IF(B2159="TV Show",IFERROR(VALUE(LEFT(I2159,FIND(" ",I2159)-1)),""),"")</f>
        <v>1</v>
      </c>
      <c r="P2159" s="7" t="n">
        <f aca="false">IF(K2159="","",K2159-G2159)</f>
        <v>0</v>
      </c>
    </row>
    <row r="2160" customFormat="false" ht="15" hidden="false" customHeight="false" outlineLevel="0" collapsed="false">
      <c r="A2160" s="7" t="n">
        <v>70175439</v>
      </c>
      <c r="B2160" s="7" t="s">
        <v>68</v>
      </c>
      <c r="C2160" s="7" t="s">
        <v>4757</v>
      </c>
      <c r="D2160" s="7" t="s">
        <v>4758</v>
      </c>
      <c r="E2160" s="7" t="s">
        <v>4759</v>
      </c>
      <c r="F2160" s="7" t="s">
        <v>4760</v>
      </c>
      <c r="G2160" s="7" t="n">
        <v>2011</v>
      </c>
      <c r="H2160" s="7" t="s">
        <v>52</v>
      </c>
      <c r="I2160" s="7" t="s">
        <v>869</v>
      </c>
      <c r="J2160" s="7" t="s">
        <v>304</v>
      </c>
      <c r="K2160" s="7" t="n">
        <f aca="false">IFERROR(VALUE(RIGHT(TRIM(F2160),4)),"")</f>
        <v>2019</v>
      </c>
      <c r="L2160" s="7" t="str">
        <f aca="false">IF(TRIM(E2160)="","Unknown",IFERROR(LEFT(TRIM(E2160),FIND(",",TRIM(E2160))-1),TRIM(E2160)))</f>
        <v>Iran</v>
      </c>
      <c r="M2160" s="7" t="str">
        <f aca="false">IFERROR(LEFT(J2160,FIND(",",J2160)-1),J2160)</f>
        <v>Dramas</v>
      </c>
      <c r="N2160" s="7" t="n">
        <f aca="false">IF(B2160="Movie",IFERROR(VALUE(LEFT(I2160,FIND(" ",I2160)-1)),""),"")</f>
        <v>123</v>
      </c>
      <c r="O2160" s="7" t="str">
        <f aca="false">IF(B2160="TV Show",IFERROR(VALUE(LEFT(I2160,FIND(" ",I2160)-1)),""),"")</f>
        <v/>
      </c>
      <c r="P2160" s="7" t="n">
        <f aca="false">IF(K2160="","",K2160-G2160)</f>
        <v>8</v>
      </c>
    </row>
    <row r="2161" customFormat="false" ht="15" hidden="false" customHeight="false" outlineLevel="0" collapsed="false">
      <c r="A2161" s="7" t="n">
        <v>80204923</v>
      </c>
      <c r="B2161" s="7" t="s">
        <v>68</v>
      </c>
      <c r="C2161" s="7" t="s">
        <v>4374</v>
      </c>
      <c r="D2161" s="7" t="s">
        <v>4761</v>
      </c>
      <c r="E2161" s="7" t="s">
        <v>4762</v>
      </c>
      <c r="F2161" s="7" t="s">
        <v>4763</v>
      </c>
      <c r="G2161" s="7" t="n">
        <v>2018</v>
      </c>
      <c r="H2161" s="7" t="s">
        <v>50</v>
      </c>
      <c r="I2161" s="7" t="s">
        <v>494</v>
      </c>
      <c r="J2161" s="7" t="s">
        <v>295</v>
      </c>
      <c r="K2161" s="7" t="n">
        <f aca="false">IFERROR(VALUE(RIGHT(TRIM(F2161),4)),"")</f>
        <v>2018</v>
      </c>
      <c r="L2161" s="7" t="str">
        <f aca="false">IF(TRIM(E2161)="","Unknown",IFERROR(LEFT(TRIM(E2161),FIND(",",TRIM(E2161))-1),TRIM(E2161)))</f>
        <v>United Arab Emirates</v>
      </c>
      <c r="M2161" s="7" t="str">
        <f aca="false">IFERROR(LEFT(J2161,FIND(",",J2161)-1),J2161)</f>
        <v>Children &amp; Family Movies</v>
      </c>
      <c r="N2161" s="7" t="n">
        <f aca="false">IF(B2161="Movie",IFERROR(VALUE(LEFT(I2161,FIND(" ",I2161)-1)),""),"")</f>
        <v>87</v>
      </c>
      <c r="O2161" s="7" t="str">
        <f aca="false">IF(B2161="TV Show",IFERROR(VALUE(LEFT(I2161,FIND(" ",I2161)-1)),""),"")</f>
        <v/>
      </c>
      <c r="P2161" s="7" t="n">
        <f aca="false">IF(K2161="","",K2161-G2161)</f>
        <v>0</v>
      </c>
    </row>
    <row r="2162" customFormat="false" ht="15" hidden="false" customHeight="false" outlineLevel="0" collapsed="false">
      <c r="A2162" s="7" t="n">
        <v>80112916</v>
      </c>
      <c r="B2162" s="7" t="s">
        <v>78</v>
      </c>
      <c r="C2162" s="7" t="s">
        <v>4764</v>
      </c>
      <c r="E2162" s="7" t="s">
        <v>1113</v>
      </c>
      <c r="F2162" s="7" t="s">
        <v>4763</v>
      </c>
      <c r="G2162" s="7" t="n">
        <v>2018</v>
      </c>
      <c r="H2162" s="7" t="s">
        <v>48</v>
      </c>
      <c r="I2162" s="7" t="s">
        <v>82</v>
      </c>
      <c r="J2162" s="7" t="s">
        <v>824</v>
      </c>
      <c r="K2162" s="7" t="n">
        <f aca="false">IFERROR(VALUE(RIGHT(TRIM(F2162),4)),"")</f>
        <v>2018</v>
      </c>
      <c r="L2162" s="7" t="str">
        <f aca="false">IF(TRIM(E2162)="","Unknown",IFERROR(LEFT(TRIM(E2162),FIND(",",TRIM(E2162))-1),TRIM(E2162)))</f>
        <v>Argentina</v>
      </c>
      <c r="M2162" s="7" t="str">
        <f aca="false">IFERROR(LEFT(J2162,FIND(",",J2162)-1),J2162)</f>
        <v>International TV Shows</v>
      </c>
      <c r="N2162" s="7" t="str">
        <f aca="false">IF(B2162="Movie",IFERROR(VALUE(LEFT(I2162,FIND(" ",I2162)-1)),""),"")</f>
        <v/>
      </c>
      <c r="O2162" s="7" t="n">
        <f aca="false">IF(B2162="TV Show",IFERROR(VALUE(LEFT(I2162,FIND(" ",I2162)-1)),""),"")</f>
        <v>1</v>
      </c>
      <c r="P2162" s="7" t="n">
        <f aca="false">IF(K2162="","",K2162-G2162)</f>
        <v>0</v>
      </c>
    </row>
    <row r="2163" customFormat="false" ht="15" hidden="false" customHeight="false" outlineLevel="0" collapsed="false">
      <c r="A2163" s="7" t="n">
        <v>80117831</v>
      </c>
      <c r="B2163" s="7" t="s">
        <v>68</v>
      </c>
      <c r="C2163" s="7" t="s">
        <v>4765</v>
      </c>
      <c r="D2163" s="7" t="s">
        <v>4766</v>
      </c>
      <c r="E2163" s="7" t="s">
        <v>26</v>
      </c>
      <c r="F2163" s="7" t="s">
        <v>4763</v>
      </c>
      <c r="G2163" s="7" t="n">
        <v>2018</v>
      </c>
      <c r="H2163" s="7" t="s">
        <v>49</v>
      </c>
      <c r="I2163" s="7" t="s">
        <v>264</v>
      </c>
      <c r="J2163" s="7" t="s">
        <v>39</v>
      </c>
      <c r="K2163" s="7" t="n">
        <f aca="false">IFERROR(VALUE(RIGHT(TRIM(F2163),4)),"")</f>
        <v>2018</v>
      </c>
      <c r="L2163" s="7" t="str">
        <f aca="false">IF(TRIM(E2163)="","Unknown",IFERROR(LEFT(TRIM(E2163),FIND(",",TRIM(E2163))-1),TRIM(E2163)))</f>
        <v>United States</v>
      </c>
      <c r="M2163" s="7" t="str">
        <f aca="false">IFERROR(LEFT(J2163,FIND(",",J2163)-1),J2163)</f>
        <v>Documentaries</v>
      </c>
      <c r="N2163" s="7" t="n">
        <f aca="false">IF(B2163="Movie",IFERROR(VALUE(LEFT(I2163,FIND(" ",I2163)-1)),""),"")</f>
        <v>88</v>
      </c>
      <c r="O2163" s="7" t="str">
        <f aca="false">IF(B2163="TV Show",IFERROR(VALUE(LEFT(I2163,FIND(" ",I2163)-1)),""),"")</f>
        <v/>
      </c>
      <c r="P2163" s="7" t="n">
        <f aca="false">IF(K2163="","",K2163-G2163)</f>
        <v>0</v>
      </c>
    </row>
    <row r="2164" customFormat="false" ht="15" hidden="false" customHeight="false" outlineLevel="0" collapsed="false">
      <c r="A2164" s="7" t="n">
        <v>80145240</v>
      </c>
      <c r="B2164" s="7" t="s">
        <v>78</v>
      </c>
      <c r="C2164" s="7" t="s">
        <v>4767</v>
      </c>
      <c r="E2164" s="7" t="s">
        <v>26</v>
      </c>
      <c r="F2164" s="7" t="s">
        <v>4763</v>
      </c>
      <c r="G2164" s="7" t="n">
        <v>2018</v>
      </c>
      <c r="H2164" s="7" t="s">
        <v>48</v>
      </c>
      <c r="I2164" s="7" t="s">
        <v>82</v>
      </c>
      <c r="J2164" s="7" t="s">
        <v>696</v>
      </c>
      <c r="K2164" s="7" t="n">
        <f aca="false">IFERROR(VALUE(RIGHT(TRIM(F2164),4)),"")</f>
        <v>2018</v>
      </c>
      <c r="L2164" s="7" t="str">
        <f aca="false">IF(TRIM(E2164)="","Unknown",IFERROR(LEFT(TRIM(E2164),FIND(",",TRIM(E2164))-1),TRIM(E2164)))</f>
        <v>United States</v>
      </c>
      <c r="M2164" s="7" t="str">
        <f aca="false">IFERROR(LEFT(J2164,FIND(",",J2164)-1),J2164)</f>
        <v>Crime TV Shows</v>
      </c>
      <c r="N2164" s="7" t="str">
        <f aca="false">IF(B2164="Movie",IFERROR(VALUE(LEFT(I2164,FIND(" ",I2164)-1)),""),"")</f>
        <v/>
      </c>
      <c r="O2164" s="7" t="n">
        <f aca="false">IF(B2164="TV Show",IFERROR(VALUE(LEFT(I2164,FIND(" ",I2164)-1)),""),"")</f>
        <v>1</v>
      </c>
      <c r="P2164" s="7" t="n">
        <f aca="false">IF(K2164="","",K2164-G2164)</f>
        <v>0</v>
      </c>
    </row>
    <row r="2165" customFormat="false" ht="15" hidden="false" customHeight="false" outlineLevel="0" collapsed="false">
      <c r="A2165" s="7" t="n">
        <v>80223734</v>
      </c>
      <c r="B2165" s="7" t="s">
        <v>68</v>
      </c>
      <c r="C2165" s="7" t="s">
        <v>4768</v>
      </c>
      <c r="D2165" s="7" t="s">
        <v>4769</v>
      </c>
      <c r="F2165" s="7" t="s">
        <v>4763</v>
      </c>
      <c r="G2165" s="7" t="n">
        <v>2018</v>
      </c>
      <c r="H2165" s="7" t="s">
        <v>48</v>
      </c>
      <c r="I2165" s="7" t="s">
        <v>551</v>
      </c>
      <c r="J2165" s="7" t="s">
        <v>45</v>
      </c>
      <c r="K2165" s="7" t="n">
        <f aca="false">IFERROR(VALUE(RIGHT(TRIM(F2165),4)),"")</f>
        <v>2018</v>
      </c>
      <c r="L2165" s="7" t="str">
        <f aca="false">IF(TRIM(E2165)="","Unknown",IFERROR(LEFT(TRIM(E2165),FIND(",",TRIM(E2165))-1),TRIM(E2165)))</f>
        <v>Unknown</v>
      </c>
      <c r="M2165" s="7" t="str">
        <f aca="false">IFERROR(LEFT(J2165,FIND(",",J2165)-1),J2165)</f>
        <v>Stand-Up Comedy</v>
      </c>
      <c r="N2165" s="7" t="n">
        <f aca="false">IF(B2165="Movie",IFERROR(VALUE(LEFT(I2165,FIND(" ",I2165)-1)),""),"")</f>
        <v>63</v>
      </c>
      <c r="O2165" s="7" t="str">
        <f aca="false">IF(B2165="TV Show",IFERROR(VALUE(LEFT(I2165,FIND(" ",I2165)-1)),""),"")</f>
        <v/>
      </c>
      <c r="P2165" s="7" t="n">
        <f aca="false">IF(K2165="","",K2165-G2165)</f>
        <v>0</v>
      </c>
    </row>
    <row r="2166" customFormat="false" ht="15" hidden="false" customHeight="false" outlineLevel="0" collapsed="false">
      <c r="A2166" s="7" t="n">
        <v>70307848</v>
      </c>
      <c r="B2166" s="7" t="s">
        <v>68</v>
      </c>
      <c r="C2166" s="7" t="s">
        <v>4770</v>
      </c>
      <c r="D2166" s="7" t="s">
        <v>4771</v>
      </c>
      <c r="E2166" s="7" t="s">
        <v>26</v>
      </c>
      <c r="F2166" s="7" t="s">
        <v>4772</v>
      </c>
      <c r="G2166" s="7" t="n">
        <v>2014</v>
      </c>
      <c r="H2166" s="7" t="s">
        <v>51</v>
      </c>
      <c r="I2166" s="7" t="s">
        <v>451</v>
      </c>
      <c r="J2166" s="7" t="s">
        <v>2761</v>
      </c>
      <c r="K2166" s="7" t="n">
        <f aca="false">IFERROR(VALUE(RIGHT(TRIM(F2166),4)),"")</f>
        <v>2017</v>
      </c>
      <c r="L2166" s="7" t="str">
        <f aca="false">IF(TRIM(E2166)="","Unknown",IFERROR(LEFT(TRIM(E2166),FIND(",",TRIM(E2166))-1),TRIM(E2166)))</f>
        <v>United States</v>
      </c>
      <c r="M2166" s="7" t="str">
        <f aca="false">IFERROR(LEFT(J2166,FIND(",",J2166)-1),J2166)</f>
        <v>Comedies</v>
      </c>
      <c r="N2166" s="7" t="n">
        <f aca="false">IF(B2166="Movie",IFERROR(VALUE(LEFT(I2166,FIND(" ",I2166)-1)),""),"")</f>
        <v>97</v>
      </c>
      <c r="O2166" s="7" t="str">
        <f aca="false">IF(B2166="TV Show",IFERROR(VALUE(LEFT(I2166,FIND(" ",I2166)-1)),""),"")</f>
        <v/>
      </c>
      <c r="P2166" s="7" t="n">
        <f aca="false">IF(K2166="","",K2166-G2166)</f>
        <v>3</v>
      </c>
    </row>
    <row r="2167" customFormat="false" ht="15" hidden="false" customHeight="false" outlineLevel="0" collapsed="false">
      <c r="A2167" s="7" t="n">
        <v>70105599</v>
      </c>
      <c r="B2167" s="7" t="s">
        <v>68</v>
      </c>
      <c r="C2167" s="7" t="s">
        <v>4773</v>
      </c>
      <c r="D2167" s="7" t="s">
        <v>4774</v>
      </c>
      <c r="E2167" s="7" t="s">
        <v>26</v>
      </c>
      <c r="F2167" s="7" t="s">
        <v>4772</v>
      </c>
      <c r="G2167" s="7" t="n">
        <v>2009</v>
      </c>
      <c r="H2167" s="7" t="s">
        <v>54</v>
      </c>
      <c r="I2167" s="7" t="s">
        <v>512</v>
      </c>
      <c r="J2167" s="7" t="s">
        <v>42</v>
      </c>
      <c r="K2167" s="7" t="n">
        <f aca="false">IFERROR(VALUE(RIGHT(TRIM(F2167),4)),"")</f>
        <v>2017</v>
      </c>
      <c r="L2167" s="7" t="str">
        <f aca="false">IF(TRIM(E2167)="","Unknown",IFERROR(LEFT(TRIM(E2167),FIND(",",TRIM(E2167))-1),TRIM(E2167)))</f>
        <v>United States</v>
      </c>
      <c r="M2167" s="7" t="str">
        <f aca="false">IFERROR(LEFT(J2167,FIND(",",J2167)-1),J2167)</f>
        <v>Children &amp; Family Movies</v>
      </c>
      <c r="N2167" s="7" t="n">
        <f aca="false">IF(B2167="Movie",IFERROR(VALUE(LEFT(I2167,FIND(" ",I2167)-1)),""),"")</f>
        <v>101</v>
      </c>
      <c r="O2167" s="7" t="str">
        <f aca="false">IF(B2167="TV Show",IFERROR(VALUE(LEFT(I2167,FIND(" ",I2167)-1)),""),"")</f>
        <v/>
      </c>
      <c r="P2167" s="7" t="n">
        <f aca="false">IF(K2167="","",K2167-G2167)</f>
        <v>8</v>
      </c>
    </row>
    <row r="2168" customFormat="false" ht="15" hidden="false" customHeight="false" outlineLevel="0" collapsed="false">
      <c r="A2168" s="7" t="n">
        <v>80114919</v>
      </c>
      <c r="B2168" s="7" t="s">
        <v>78</v>
      </c>
      <c r="C2168" s="7" t="s">
        <v>4775</v>
      </c>
      <c r="E2168" s="7" t="s">
        <v>4776</v>
      </c>
      <c r="F2168" s="7" t="s">
        <v>4772</v>
      </c>
      <c r="G2168" s="7" t="n">
        <v>2017</v>
      </c>
      <c r="H2168" s="7" t="s">
        <v>49</v>
      </c>
      <c r="I2168" s="7" t="s">
        <v>82</v>
      </c>
      <c r="J2168" s="7" t="s">
        <v>402</v>
      </c>
      <c r="K2168" s="7" t="n">
        <f aca="false">IFERROR(VALUE(RIGHT(TRIM(F2168),4)),"")</f>
        <v>2017</v>
      </c>
      <c r="L2168" s="7" t="str">
        <f aca="false">IF(TRIM(E2168)="","Unknown",IFERROR(LEFT(TRIM(E2168),FIND(",",TRIM(E2168))-1),TRIM(E2168)))</f>
        <v>Belgium</v>
      </c>
      <c r="M2168" s="7" t="str">
        <f aca="false">IFERROR(LEFT(J2168,FIND(",",J2168)-1),J2168)</f>
        <v>Crime TV Shows</v>
      </c>
      <c r="N2168" s="7" t="str">
        <f aca="false">IF(B2168="Movie",IFERROR(VALUE(LEFT(I2168,FIND(" ",I2168)-1)),""),"")</f>
        <v/>
      </c>
      <c r="O2168" s="7" t="n">
        <f aca="false">IF(B2168="TV Show",IFERROR(VALUE(LEFT(I2168,FIND(" ",I2168)-1)),""),"")</f>
        <v>1</v>
      </c>
      <c r="P2168" s="7" t="n">
        <f aca="false">IF(K2168="","",K2168-G2168)</f>
        <v>0</v>
      </c>
    </row>
    <row r="2169" customFormat="false" ht="15" hidden="false" customHeight="false" outlineLevel="0" collapsed="false">
      <c r="A2169" s="7" t="n">
        <v>60029366</v>
      </c>
      <c r="B2169" s="7" t="s">
        <v>68</v>
      </c>
      <c r="C2169" s="7" t="s">
        <v>4777</v>
      </c>
      <c r="D2169" s="7" t="s">
        <v>4778</v>
      </c>
      <c r="E2169" s="7" t="s">
        <v>4779</v>
      </c>
      <c r="F2169" s="7" t="s">
        <v>4772</v>
      </c>
      <c r="G2169" s="7" t="n">
        <v>1992</v>
      </c>
      <c r="H2169" s="7" t="s">
        <v>54</v>
      </c>
      <c r="I2169" s="7" t="s">
        <v>1832</v>
      </c>
      <c r="J2169" s="7" t="s">
        <v>2820</v>
      </c>
      <c r="K2169" s="7" t="n">
        <f aca="false">IFERROR(VALUE(RIGHT(TRIM(F2169),4)),"")</f>
        <v>2017</v>
      </c>
      <c r="L2169" s="7" t="str">
        <f aca="false">IF(TRIM(E2169)="","Unknown",IFERROR(LEFT(TRIM(E2169),FIND(",",TRIM(E2169))-1),TRIM(E2169)))</f>
        <v>United Kingdom</v>
      </c>
      <c r="M2169" s="7" t="str">
        <f aca="false">IFERROR(LEFT(J2169,FIND(",",J2169)-1),J2169)</f>
        <v>Classic Movies</v>
      </c>
      <c r="N2169" s="7" t="n">
        <f aca="false">IF(B2169="Movie",IFERROR(VALUE(LEFT(I2169,FIND(" ",I2169)-1)),""),"")</f>
        <v>143</v>
      </c>
      <c r="O2169" s="7" t="str">
        <f aca="false">IF(B2169="TV Show",IFERROR(VALUE(LEFT(I2169,FIND(" ",I2169)-1)),""),"")</f>
        <v/>
      </c>
      <c r="P2169" s="7" t="n">
        <f aca="false">IF(K2169="","",K2169-G2169)</f>
        <v>25</v>
      </c>
    </row>
    <row r="2170" customFormat="false" ht="15" hidden="false" customHeight="false" outlineLevel="0" collapsed="false">
      <c r="A2170" s="7" t="n">
        <v>80100260</v>
      </c>
      <c r="B2170" s="7" t="s">
        <v>68</v>
      </c>
      <c r="C2170" s="7" t="s">
        <v>4780</v>
      </c>
      <c r="D2170" s="7" t="s">
        <v>3994</v>
      </c>
      <c r="E2170" s="7" t="s">
        <v>26</v>
      </c>
      <c r="F2170" s="7" t="s">
        <v>4772</v>
      </c>
      <c r="G2170" s="7" t="n">
        <v>2016</v>
      </c>
      <c r="H2170" s="7" t="s">
        <v>51</v>
      </c>
      <c r="I2170" s="7" t="s">
        <v>451</v>
      </c>
      <c r="J2170" s="7" t="s">
        <v>40</v>
      </c>
      <c r="K2170" s="7" t="n">
        <f aca="false">IFERROR(VALUE(RIGHT(TRIM(F2170),4)),"")</f>
        <v>2017</v>
      </c>
      <c r="L2170" s="7" t="str">
        <f aca="false">IF(TRIM(E2170)="","Unknown",IFERROR(LEFT(TRIM(E2170),FIND(",",TRIM(E2170))-1),TRIM(E2170)))</f>
        <v>United States</v>
      </c>
      <c r="M2170" s="7" t="str">
        <f aca="false">IFERROR(LEFT(J2170,FIND(",",J2170)-1),J2170)</f>
        <v>Action &amp; Adventure</v>
      </c>
      <c r="N2170" s="7" t="n">
        <f aca="false">IF(B2170="Movie",IFERROR(VALUE(LEFT(I2170,FIND(" ",I2170)-1)),""),"")</f>
        <v>97</v>
      </c>
      <c r="O2170" s="7" t="str">
        <f aca="false">IF(B2170="TV Show",IFERROR(VALUE(LEFT(I2170,FIND(" ",I2170)-1)),""),"")</f>
        <v/>
      </c>
      <c r="P2170" s="7" t="n">
        <f aca="false">IF(K2170="","",K2170-G2170)</f>
        <v>1</v>
      </c>
    </row>
    <row r="2171" customFormat="false" ht="15" hidden="false" customHeight="false" outlineLevel="0" collapsed="false">
      <c r="A2171" s="7" t="n">
        <v>80017170</v>
      </c>
      <c r="B2171" s="7" t="s">
        <v>68</v>
      </c>
      <c r="C2171" s="7" t="s">
        <v>4781</v>
      </c>
      <c r="D2171" s="7" t="s">
        <v>4782</v>
      </c>
      <c r="E2171" s="7" t="s">
        <v>28</v>
      </c>
      <c r="F2171" s="7" t="s">
        <v>4772</v>
      </c>
      <c r="G2171" s="7" t="n">
        <v>2014</v>
      </c>
      <c r="H2171" s="7" t="s">
        <v>51</v>
      </c>
      <c r="I2171" s="7" t="s">
        <v>294</v>
      </c>
      <c r="J2171" s="7" t="s">
        <v>304</v>
      </c>
      <c r="K2171" s="7" t="n">
        <f aca="false">IFERROR(VALUE(RIGHT(TRIM(F2171),4)),"")</f>
        <v>2017</v>
      </c>
      <c r="L2171" s="7" t="str">
        <f aca="false">IF(TRIM(E2171)="","Unknown",IFERROR(LEFT(TRIM(E2171),FIND(",",TRIM(E2171))-1),TRIM(E2171)))</f>
        <v>United Kingdom</v>
      </c>
      <c r="M2171" s="7" t="str">
        <f aca="false">IFERROR(LEFT(J2171,FIND(",",J2171)-1),J2171)</f>
        <v>Dramas</v>
      </c>
      <c r="N2171" s="7" t="n">
        <f aca="false">IF(B2171="Movie",IFERROR(VALUE(LEFT(I2171,FIND(" ",I2171)-1)),""),"")</f>
        <v>107</v>
      </c>
      <c r="O2171" s="7" t="str">
        <f aca="false">IF(B2171="TV Show",IFERROR(VALUE(LEFT(I2171,FIND(" ",I2171)-1)),""),"")</f>
        <v/>
      </c>
      <c r="P2171" s="7" t="n">
        <f aca="false">IF(K2171="","",K2171-G2171)</f>
        <v>3</v>
      </c>
    </row>
    <row r="2172" customFormat="false" ht="15" hidden="false" customHeight="false" outlineLevel="0" collapsed="false">
      <c r="A2172" s="7" t="n">
        <v>70028197</v>
      </c>
      <c r="B2172" s="7" t="s">
        <v>68</v>
      </c>
      <c r="C2172" s="7" t="s">
        <v>4783</v>
      </c>
      <c r="D2172" s="7" t="s">
        <v>4784</v>
      </c>
      <c r="E2172" s="7" t="s">
        <v>26</v>
      </c>
      <c r="F2172" s="7" t="s">
        <v>4785</v>
      </c>
      <c r="G2172" s="7" t="n">
        <v>2005</v>
      </c>
      <c r="H2172" s="7" t="s">
        <v>612</v>
      </c>
      <c r="I2172" s="7" t="s">
        <v>437</v>
      </c>
      <c r="J2172" s="7" t="s">
        <v>74</v>
      </c>
      <c r="K2172" s="7" t="n">
        <f aca="false">IFERROR(VALUE(RIGHT(TRIM(F2172),4)),"")</f>
        <v>2016</v>
      </c>
      <c r="L2172" s="7" t="str">
        <f aca="false">IF(TRIM(E2172)="","Unknown",IFERROR(LEFT(TRIM(E2172),FIND(",",TRIM(E2172))-1),TRIM(E2172)))</f>
        <v>United States</v>
      </c>
      <c r="M2172" s="7" t="str">
        <f aca="false">IFERROR(LEFT(J2172,FIND(",",J2172)-1),J2172)</f>
        <v>Children &amp; Family Movies</v>
      </c>
      <c r="N2172" s="7" t="n">
        <f aca="false">IF(B2172="Movie",IFERROR(VALUE(LEFT(I2172,FIND(" ",I2172)-1)),""),"")</f>
        <v>82</v>
      </c>
      <c r="O2172" s="7" t="str">
        <f aca="false">IF(B2172="TV Show",IFERROR(VALUE(LEFT(I2172,FIND(" ",I2172)-1)),""),"")</f>
        <v/>
      </c>
      <c r="P2172" s="7" t="n">
        <f aca="false">IF(K2172="","",K2172-G2172)</f>
        <v>11</v>
      </c>
    </row>
    <row r="2173" customFormat="false" ht="15" hidden="false" customHeight="false" outlineLevel="0" collapsed="false">
      <c r="A2173" s="7" t="n">
        <v>81013990</v>
      </c>
      <c r="B2173" s="7" t="s">
        <v>68</v>
      </c>
      <c r="C2173" s="7" t="s">
        <v>4786</v>
      </c>
      <c r="D2173" s="7" t="s">
        <v>4787</v>
      </c>
      <c r="E2173" s="7" t="s">
        <v>4788</v>
      </c>
      <c r="F2173" s="7" t="s">
        <v>4789</v>
      </c>
      <c r="G2173" s="7" t="n">
        <v>2018</v>
      </c>
      <c r="H2173" s="7" t="s">
        <v>49</v>
      </c>
      <c r="I2173" s="7" t="s">
        <v>268</v>
      </c>
      <c r="J2173" s="7" t="s">
        <v>217</v>
      </c>
      <c r="K2173" s="7" t="n">
        <f aca="false">IFERROR(VALUE(RIGHT(TRIM(F2173),4)),"")</f>
        <v>2019</v>
      </c>
      <c r="L2173" s="7" t="str">
        <f aca="false">IF(TRIM(E2173)="","Unknown",IFERROR(LEFT(TRIM(E2173),FIND(",",TRIM(E2173))-1),TRIM(E2173)))</f>
        <v>United Arab Emirates</v>
      </c>
      <c r="M2173" s="7" t="str">
        <f aca="false">IFERROR(LEFT(J2173,FIND(",",J2173)-1),J2173)</f>
        <v>Comedies</v>
      </c>
      <c r="N2173" s="7" t="n">
        <f aca="false">IF(B2173="Movie",IFERROR(VALUE(LEFT(I2173,FIND(" ",I2173)-1)),""),"")</f>
        <v>108</v>
      </c>
      <c r="O2173" s="7" t="str">
        <f aca="false">IF(B2173="TV Show",IFERROR(VALUE(LEFT(I2173,FIND(" ",I2173)-1)),""),"")</f>
        <v/>
      </c>
      <c r="P2173" s="7" t="n">
        <f aca="false">IF(K2173="","",K2173-G2173)</f>
        <v>1</v>
      </c>
    </row>
    <row r="2174" customFormat="false" ht="15" hidden="false" customHeight="false" outlineLevel="0" collapsed="false">
      <c r="A2174" s="7" t="n">
        <v>80171678</v>
      </c>
      <c r="B2174" s="7" t="s">
        <v>68</v>
      </c>
      <c r="C2174" s="7" t="s">
        <v>4790</v>
      </c>
      <c r="D2174" s="7" t="s">
        <v>4791</v>
      </c>
      <c r="E2174" s="7" t="s">
        <v>129</v>
      </c>
      <c r="F2174" s="7" t="s">
        <v>4789</v>
      </c>
      <c r="G2174" s="7" t="n">
        <v>2017</v>
      </c>
      <c r="H2174" s="7" t="s">
        <v>48</v>
      </c>
      <c r="I2174" s="7" t="s">
        <v>417</v>
      </c>
      <c r="J2174" s="7" t="s">
        <v>322</v>
      </c>
      <c r="K2174" s="7" t="n">
        <f aca="false">IFERROR(VALUE(RIGHT(TRIM(F2174),4)),"")</f>
        <v>2019</v>
      </c>
      <c r="L2174" s="7" t="str">
        <f aca="false">IF(TRIM(E2174)="","Unknown",IFERROR(LEFT(TRIM(E2174),FIND(",",TRIM(E2174))-1),TRIM(E2174)))</f>
        <v>France</v>
      </c>
      <c r="M2174" s="7" t="str">
        <f aca="false">IFERROR(LEFT(J2174,FIND(",",J2174)-1),J2174)</f>
        <v>Action &amp; Adventure</v>
      </c>
      <c r="N2174" s="7" t="n">
        <f aca="false">IF(B2174="Movie",IFERROR(VALUE(LEFT(I2174,FIND(" ",I2174)-1)),""),"")</f>
        <v>104</v>
      </c>
      <c r="O2174" s="7" t="str">
        <f aca="false">IF(B2174="TV Show",IFERROR(VALUE(LEFT(I2174,FIND(" ",I2174)-1)),""),"")</f>
        <v/>
      </c>
      <c r="P2174" s="7" t="n">
        <f aca="false">IF(K2174="","",K2174-G2174)</f>
        <v>2</v>
      </c>
    </row>
    <row r="2175" customFormat="false" ht="15" hidden="false" customHeight="false" outlineLevel="0" collapsed="false">
      <c r="A2175" s="7" t="n">
        <v>81074015</v>
      </c>
      <c r="B2175" s="7" t="s">
        <v>68</v>
      </c>
      <c r="C2175" s="7" t="s">
        <v>4792</v>
      </c>
      <c r="D2175" s="7" t="s">
        <v>535</v>
      </c>
      <c r="E2175" s="7" t="s">
        <v>527</v>
      </c>
      <c r="F2175" s="7" t="s">
        <v>4789</v>
      </c>
      <c r="G2175" s="7" t="n">
        <v>2018</v>
      </c>
      <c r="H2175" s="7" t="s">
        <v>49</v>
      </c>
      <c r="I2175" s="7" t="s">
        <v>134</v>
      </c>
      <c r="J2175" s="7" t="s">
        <v>217</v>
      </c>
      <c r="K2175" s="7" t="n">
        <f aca="false">IFERROR(VALUE(RIGHT(TRIM(F2175),4)),"")</f>
        <v>2019</v>
      </c>
      <c r="L2175" s="7" t="str">
        <f aca="false">IF(TRIM(E2175)="","Unknown",IFERROR(LEFT(TRIM(E2175),FIND(",",TRIM(E2175))-1),TRIM(E2175)))</f>
        <v>Nigeria</v>
      </c>
      <c r="M2175" s="7" t="str">
        <f aca="false">IFERROR(LEFT(J2175,FIND(",",J2175)-1),J2175)</f>
        <v>Comedies</v>
      </c>
      <c r="N2175" s="7" t="n">
        <f aca="false">IF(B2175="Movie",IFERROR(VALUE(LEFT(I2175,FIND(" ",I2175)-1)),""),"")</f>
        <v>98</v>
      </c>
      <c r="O2175" s="7" t="str">
        <f aca="false">IF(B2175="TV Show",IFERROR(VALUE(LEFT(I2175,FIND(" ",I2175)-1)),""),"")</f>
        <v/>
      </c>
      <c r="P2175" s="7" t="n">
        <f aca="false">IF(K2175="","",K2175-G2175)</f>
        <v>1</v>
      </c>
    </row>
    <row r="2176" customFormat="false" ht="15" hidden="false" customHeight="false" outlineLevel="0" collapsed="false">
      <c r="A2176" s="7" t="n">
        <v>81041273</v>
      </c>
      <c r="B2176" s="7" t="s">
        <v>68</v>
      </c>
      <c r="C2176" s="7" t="s">
        <v>4793</v>
      </c>
      <c r="D2176" s="7" t="s">
        <v>3881</v>
      </c>
      <c r="E2176" s="7" t="s">
        <v>855</v>
      </c>
      <c r="F2176" s="7" t="s">
        <v>4789</v>
      </c>
      <c r="G2176" s="7" t="n">
        <v>2019</v>
      </c>
      <c r="H2176" s="7" t="s">
        <v>48</v>
      </c>
      <c r="I2176" s="7" t="s">
        <v>120</v>
      </c>
      <c r="J2176" s="7" t="s">
        <v>45</v>
      </c>
      <c r="K2176" s="7" t="n">
        <f aca="false">IFERROR(VALUE(RIGHT(TRIM(F2176),4)),"")</f>
        <v>2019</v>
      </c>
      <c r="L2176" s="7" t="str">
        <f aca="false">IF(TRIM(E2176)="","Unknown",IFERROR(LEFT(TRIM(E2176),FIND(",",TRIM(E2176))-1),TRIM(E2176)))</f>
        <v>Italy</v>
      </c>
      <c r="M2176" s="7" t="str">
        <f aca="false">IFERROR(LEFT(J2176,FIND(",",J2176)-1),J2176)</f>
        <v>Stand-Up Comedy</v>
      </c>
      <c r="N2176" s="7" t="n">
        <f aca="false">IF(B2176="Movie",IFERROR(VALUE(LEFT(I2176,FIND(" ",I2176)-1)),""),"")</f>
        <v>65</v>
      </c>
      <c r="O2176" s="7" t="str">
        <f aca="false">IF(B2176="TV Show",IFERROR(VALUE(LEFT(I2176,FIND(" ",I2176)-1)),""),"")</f>
        <v/>
      </c>
      <c r="P2176" s="7" t="n">
        <f aca="false">IF(K2176="","",K2176-G2176)</f>
        <v>0</v>
      </c>
    </row>
    <row r="2177" customFormat="false" ht="15" hidden="false" customHeight="false" outlineLevel="0" collapsed="false">
      <c r="A2177" s="7" t="n">
        <v>70108985</v>
      </c>
      <c r="B2177" s="7" t="s">
        <v>68</v>
      </c>
      <c r="C2177" s="7" t="s">
        <v>4794</v>
      </c>
      <c r="D2177" s="7" t="s">
        <v>4795</v>
      </c>
      <c r="E2177" s="7" t="s">
        <v>26</v>
      </c>
      <c r="F2177" s="7" t="s">
        <v>4789</v>
      </c>
      <c r="G2177" s="7" t="n">
        <v>2009</v>
      </c>
      <c r="H2177" s="7" t="s">
        <v>54</v>
      </c>
      <c r="I2177" s="7" t="s">
        <v>264</v>
      </c>
      <c r="J2177" s="7" t="s">
        <v>74</v>
      </c>
      <c r="K2177" s="7" t="n">
        <f aca="false">IFERROR(VALUE(RIGHT(TRIM(F2177),4)),"")</f>
        <v>2019</v>
      </c>
      <c r="L2177" s="7" t="str">
        <f aca="false">IF(TRIM(E2177)="","Unknown",IFERROR(LEFT(TRIM(E2177),FIND(",",TRIM(E2177))-1),TRIM(E2177)))</f>
        <v>United States</v>
      </c>
      <c r="M2177" s="7" t="str">
        <f aca="false">IFERROR(LEFT(J2177,FIND(",",J2177)-1),J2177)</f>
        <v>Children &amp; Family Movies</v>
      </c>
      <c r="N2177" s="7" t="n">
        <f aca="false">IF(B2177="Movie",IFERROR(VALUE(LEFT(I2177,FIND(" ",I2177)-1)),""),"")</f>
        <v>88</v>
      </c>
      <c r="O2177" s="7" t="str">
        <f aca="false">IF(B2177="TV Show",IFERROR(VALUE(LEFT(I2177,FIND(" ",I2177)-1)),""),"")</f>
        <v/>
      </c>
      <c r="P2177" s="7" t="n">
        <f aca="false">IF(K2177="","",K2177-G2177)</f>
        <v>10</v>
      </c>
    </row>
    <row r="2178" customFormat="false" ht="15" hidden="false" customHeight="false" outlineLevel="0" collapsed="false">
      <c r="A2178" s="7" t="n">
        <v>81004374</v>
      </c>
      <c r="B2178" s="7" t="s">
        <v>68</v>
      </c>
      <c r="C2178" s="7" t="s">
        <v>4796</v>
      </c>
      <c r="D2178" s="7" t="s">
        <v>4797</v>
      </c>
      <c r="E2178" s="7" t="s">
        <v>3693</v>
      </c>
      <c r="F2178" s="7" t="s">
        <v>4789</v>
      </c>
      <c r="G2178" s="7" t="n">
        <v>2018</v>
      </c>
      <c r="H2178" s="7" t="s">
        <v>51</v>
      </c>
      <c r="I2178" s="7" t="s">
        <v>173</v>
      </c>
      <c r="J2178" s="7" t="s">
        <v>3175</v>
      </c>
      <c r="K2178" s="7" t="n">
        <f aca="false">IFERROR(VALUE(RIGHT(TRIM(F2178),4)),"")</f>
        <v>2019</v>
      </c>
      <c r="L2178" s="7" t="str">
        <f aca="false">IF(TRIM(E2178)="","Unknown",IFERROR(LEFT(TRIM(E2178),FIND(",",TRIM(E2178))-1),TRIM(E2178)))</f>
        <v>Belgium</v>
      </c>
      <c r="M2178" s="7" t="str">
        <f aca="false">IFERROR(LEFT(J2178,FIND(",",J2178)-1),J2178)</f>
        <v>Dramas</v>
      </c>
      <c r="N2178" s="7" t="n">
        <f aca="false">IF(B2178="Movie",IFERROR(VALUE(LEFT(I2178,FIND(" ",I2178)-1)),""),"")</f>
        <v>106</v>
      </c>
      <c r="O2178" s="7" t="str">
        <f aca="false">IF(B2178="TV Show",IFERROR(VALUE(LEFT(I2178,FIND(" ",I2178)-1)),""),"")</f>
        <v/>
      </c>
      <c r="P2178" s="7" t="n">
        <f aca="false">IF(K2178="","",K2178-G2178)</f>
        <v>1</v>
      </c>
    </row>
    <row r="2179" customFormat="false" ht="15" hidden="false" customHeight="false" outlineLevel="0" collapsed="false">
      <c r="A2179" s="7" t="n">
        <v>80988860</v>
      </c>
      <c r="B2179" s="7" t="s">
        <v>78</v>
      </c>
      <c r="C2179" s="7" t="s">
        <v>4798</v>
      </c>
      <c r="E2179" s="7" t="s">
        <v>33</v>
      </c>
      <c r="F2179" s="7" t="s">
        <v>4789</v>
      </c>
      <c r="G2179" s="7" t="n">
        <v>2018</v>
      </c>
      <c r="H2179" s="7" t="s">
        <v>48</v>
      </c>
      <c r="I2179" s="7" t="s">
        <v>82</v>
      </c>
      <c r="J2179" s="7" t="s">
        <v>314</v>
      </c>
      <c r="K2179" s="7" t="n">
        <f aca="false">IFERROR(VALUE(RIGHT(TRIM(F2179),4)),"")</f>
        <v>2019</v>
      </c>
      <c r="L2179" s="7" t="str">
        <f aca="false">IF(TRIM(E2179)="","Unknown",IFERROR(LEFT(TRIM(E2179),FIND(",",TRIM(E2179))-1),TRIM(E2179)))</f>
        <v>Spain</v>
      </c>
      <c r="M2179" s="7" t="str">
        <f aca="false">IFERROR(LEFT(J2179,FIND(",",J2179)-1),J2179)</f>
        <v>International TV Shows</v>
      </c>
      <c r="N2179" s="7" t="str">
        <f aca="false">IF(B2179="Movie",IFERROR(VALUE(LEFT(I2179,FIND(" ",I2179)-1)),""),"")</f>
        <v/>
      </c>
      <c r="O2179" s="7" t="n">
        <f aca="false">IF(B2179="TV Show",IFERROR(VALUE(LEFT(I2179,FIND(" ",I2179)-1)),""),"")</f>
        <v>1</v>
      </c>
      <c r="P2179" s="7" t="n">
        <f aca="false">IF(K2179="","",K2179-G2179)</f>
        <v>1</v>
      </c>
    </row>
    <row r="2180" customFormat="false" ht="15" hidden="false" customHeight="false" outlineLevel="0" collapsed="false">
      <c r="A2180" s="7" t="n">
        <v>70045356</v>
      </c>
      <c r="B2180" s="7" t="s">
        <v>68</v>
      </c>
      <c r="C2180" s="7" t="s">
        <v>4799</v>
      </c>
      <c r="D2180" s="7" t="s">
        <v>660</v>
      </c>
      <c r="E2180" s="7" t="s">
        <v>26</v>
      </c>
      <c r="F2180" s="7" t="s">
        <v>4789</v>
      </c>
      <c r="G2180" s="7" t="n">
        <v>2006</v>
      </c>
      <c r="H2180" s="7" t="s">
        <v>53</v>
      </c>
      <c r="I2180" s="7" t="s">
        <v>628</v>
      </c>
      <c r="J2180" s="7" t="s">
        <v>45</v>
      </c>
      <c r="K2180" s="7" t="n">
        <f aca="false">IFERROR(VALUE(RIGHT(TRIM(F2180),4)),"")</f>
        <v>2019</v>
      </c>
      <c r="L2180" s="7" t="str">
        <f aca="false">IF(TRIM(E2180)="","Unknown",IFERROR(LEFT(TRIM(E2180),FIND(",",TRIM(E2180))-1),TRIM(E2180)))</f>
        <v>United States</v>
      </c>
      <c r="M2180" s="7" t="str">
        <f aca="false">IFERROR(LEFT(J2180,FIND(",",J2180)-1),J2180)</f>
        <v>Stand-Up Comedy</v>
      </c>
      <c r="N2180" s="7" t="n">
        <f aca="false">IF(B2180="Movie",IFERROR(VALUE(LEFT(I2180,FIND(" ",I2180)-1)),""),"")</f>
        <v>69</v>
      </c>
      <c r="O2180" s="7" t="str">
        <f aca="false">IF(B2180="TV Show",IFERROR(VALUE(LEFT(I2180,FIND(" ",I2180)-1)),""),"")</f>
        <v/>
      </c>
      <c r="P2180" s="7" t="n">
        <f aca="false">IF(K2180="","",K2180-G2180)</f>
        <v>13</v>
      </c>
    </row>
    <row r="2181" customFormat="false" ht="15" hidden="false" customHeight="false" outlineLevel="0" collapsed="false">
      <c r="A2181" s="7" t="n">
        <v>70203594</v>
      </c>
      <c r="B2181" s="7" t="s">
        <v>68</v>
      </c>
      <c r="C2181" s="7" t="s">
        <v>4800</v>
      </c>
      <c r="D2181" s="7" t="s">
        <v>4801</v>
      </c>
      <c r="E2181" s="7" t="s">
        <v>26</v>
      </c>
      <c r="F2181" s="7" t="s">
        <v>4789</v>
      </c>
      <c r="G2181" s="7" t="n">
        <v>2011</v>
      </c>
      <c r="H2181" s="7" t="s">
        <v>48</v>
      </c>
      <c r="I2181" s="7" t="s">
        <v>451</v>
      </c>
      <c r="J2181" s="7" t="s">
        <v>45</v>
      </c>
      <c r="K2181" s="7" t="n">
        <f aca="false">IFERROR(VALUE(RIGHT(TRIM(F2181),4)),"")</f>
        <v>2019</v>
      </c>
      <c r="L2181" s="7" t="str">
        <f aca="false">IF(TRIM(E2181)="","Unknown",IFERROR(LEFT(TRIM(E2181),FIND(",",TRIM(E2181))-1),TRIM(E2181)))</f>
        <v>United States</v>
      </c>
      <c r="M2181" s="7" t="str">
        <f aca="false">IFERROR(LEFT(J2181,FIND(",",J2181)-1),J2181)</f>
        <v>Stand-Up Comedy</v>
      </c>
      <c r="N2181" s="7" t="n">
        <f aca="false">IF(B2181="Movie",IFERROR(VALUE(LEFT(I2181,FIND(" ",I2181)-1)),""),"")</f>
        <v>97</v>
      </c>
      <c r="O2181" s="7" t="str">
        <f aca="false">IF(B2181="TV Show",IFERROR(VALUE(LEFT(I2181,FIND(" ",I2181)-1)),""),"")</f>
        <v/>
      </c>
      <c r="P2181" s="7" t="n">
        <f aca="false">IF(K2181="","",K2181-G2181)</f>
        <v>8</v>
      </c>
    </row>
    <row r="2182" customFormat="false" ht="15" hidden="false" customHeight="false" outlineLevel="0" collapsed="false">
      <c r="A2182" s="7" t="n">
        <v>70253171</v>
      </c>
      <c r="B2182" s="7" t="s">
        <v>68</v>
      </c>
      <c r="C2182" s="7" t="s">
        <v>4802</v>
      </c>
      <c r="D2182" s="7" t="s">
        <v>660</v>
      </c>
      <c r="E2182" s="7" t="s">
        <v>26</v>
      </c>
      <c r="F2182" s="7" t="s">
        <v>4789</v>
      </c>
      <c r="G2182" s="7" t="n">
        <v>2012</v>
      </c>
      <c r="H2182" s="7" t="s">
        <v>48</v>
      </c>
      <c r="I2182" s="7" t="s">
        <v>154</v>
      </c>
      <c r="J2182" s="7" t="s">
        <v>45</v>
      </c>
      <c r="K2182" s="7" t="n">
        <f aca="false">IFERROR(VALUE(RIGHT(TRIM(F2182),4)),"")</f>
        <v>2019</v>
      </c>
      <c r="L2182" s="7" t="str">
        <f aca="false">IF(TRIM(E2182)="","Unknown",IFERROR(LEFT(TRIM(E2182),FIND(",",TRIM(E2182))-1),TRIM(E2182)))</f>
        <v>United States</v>
      </c>
      <c r="M2182" s="7" t="str">
        <f aca="false">IFERROR(LEFT(J2182,FIND(",",J2182)-1),J2182)</f>
        <v>Stand-Up Comedy</v>
      </c>
      <c r="N2182" s="7" t="n">
        <f aca="false">IF(B2182="Movie",IFERROR(VALUE(LEFT(I2182,FIND(" ",I2182)-1)),""),"")</f>
        <v>80</v>
      </c>
      <c r="O2182" s="7" t="str">
        <f aca="false">IF(B2182="TV Show",IFERROR(VALUE(LEFT(I2182,FIND(" ",I2182)-1)),""),"")</f>
        <v/>
      </c>
      <c r="P2182" s="7" t="n">
        <f aca="false">IF(K2182="","",K2182-G2182)</f>
        <v>7</v>
      </c>
    </row>
    <row r="2183" customFormat="false" ht="15" hidden="false" customHeight="false" outlineLevel="0" collapsed="false">
      <c r="A2183" s="7" t="n">
        <v>70109657</v>
      </c>
      <c r="B2183" s="7" t="s">
        <v>68</v>
      </c>
      <c r="C2183" s="7" t="s">
        <v>4803</v>
      </c>
      <c r="D2183" s="7" t="s">
        <v>860</v>
      </c>
      <c r="E2183" s="7" t="s">
        <v>26</v>
      </c>
      <c r="F2183" s="7" t="s">
        <v>4789</v>
      </c>
      <c r="G2183" s="7" t="n">
        <v>2008</v>
      </c>
      <c r="H2183" s="7" t="s">
        <v>48</v>
      </c>
      <c r="I2183" s="7" t="s">
        <v>340</v>
      </c>
      <c r="J2183" s="7" t="s">
        <v>45</v>
      </c>
      <c r="K2183" s="7" t="n">
        <f aca="false">IFERROR(VALUE(RIGHT(TRIM(F2183),4)),"")</f>
        <v>2019</v>
      </c>
      <c r="L2183" s="7" t="str">
        <f aca="false">IF(TRIM(E2183)="","Unknown",IFERROR(LEFT(TRIM(E2183),FIND(",",TRIM(E2183))-1),TRIM(E2183)))</f>
        <v>United States</v>
      </c>
      <c r="M2183" s="7" t="str">
        <f aca="false">IFERROR(LEFT(J2183,FIND(",",J2183)-1),J2183)</f>
        <v>Stand-Up Comedy</v>
      </c>
      <c r="N2183" s="7" t="n">
        <f aca="false">IF(B2183="Movie",IFERROR(VALUE(LEFT(I2183,FIND(" ",I2183)-1)),""),"")</f>
        <v>85</v>
      </c>
      <c r="O2183" s="7" t="str">
        <f aca="false">IF(B2183="TV Show",IFERROR(VALUE(LEFT(I2183,FIND(" ",I2183)-1)),""),"")</f>
        <v/>
      </c>
      <c r="P2183" s="7" t="n">
        <f aca="false">IF(K2183="","",K2183-G2183)</f>
        <v>11</v>
      </c>
    </row>
    <row r="2184" customFormat="false" ht="15" hidden="false" customHeight="false" outlineLevel="0" collapsed="false">
      <c r="A2184" s="7" t="n">
        <v>70020728</v>
      </c>
      <c r="B2184" s="7" t="s">
        <v>68</v>
      </c>
      <c r="C2184" s="7" t="s">
        <v>4804</v>
      </c>
      <c r="D2184" s="7" t="s">
        <v>4805</v>
      </c>
      <c r="E2184" s="7" t="s">
        <v>429</v>
      </c>
      <c r="F2184" s="7" t="s">
        <v>4789</v>
      </c>
      <c r="G2184" s="7" t="n">
        <v>2004</v>
      </c>
      <c r="H2184" s="7" t="s">
        <v>51</v>
      </c>
      <c r="I2184" s="7" t="s">
        <v>87</v>
      </c>
      <c r="J2184" s="7" t="s">
        <v>678</v>
      </c>
      <c r="K2184" s="7" t="n">
        <f aca="false">IFERROR(VALUE(RIGHT(TRIM(F2184),4)),"")</f>
        <v>2019</v>
      </c>
      <c r="L2184" s="7" t="str">
        <f aca="false">IF(TRIM(E2184)="","Unknown",IFERROR(LEFT(TRIM(E2184),FIND(",",TRIM(E2184))-1),TRIM(E2184)))</f>
        <v>Hong Kong</v>
      </c>
      <c r="M2184" s="7" t="str">
        <f aca="false">IFERROR(LEFT(J2184,FIND(",",J2184)-1),J2184)</f>
        <v>Action &amp; Adventure</v>
      </c>
      <c r="N2184" s="7" t="n">
        <f aca="false">IF(B2184="Movie",IFERROR(VALUE(LEFT(I2184,FIND(" ",I2184)-1)),""),"")</f>
        <v>99</v>
      </c>
      <c r="O2184" s="7" t="str">
        <f aca="false">IF(B2184="TV Show",IFERROR(VALUE(LEFT(I2184,FIND(" ",I2184)-1)),""),"")</f>
        <v/>
      </c>
      <c r="P2184" s="7" t="n">
        <f aca="false">IF(K2184="","",K2184-G2184)</f>
        <v>15</v>
      </c>
    </row>
    <row r="2185" customFormat="false" ht="15" hidden="false" customHeight="false" outlineLevel="0" collapsed="false">
      <c r="A2185" s="7" t="n">
        <v>81024308</v>
      </c>
      <c r="B2185" s="7" t="s">
        <v>68</v>
      </c>
      <c r="C2185" s="7" t="s">
        <v>4806</v>
      </c>
      <c r="D2185" s="7" t="s">
        <v>4807</v>
      </c>
      <c r="E2185" s="7" t="s">
        <v>4808</v>
      </c>
      <c r="F2185" s="7" t="s">
        <v>4789</v>
      </c>
      <c r="G2185" s="7" t="n">
        <v>2018</v>
      </c>
      <c r="H2185" s="7" t="s">
        <v>49</v>
      </c>
      <c r="I2185" s="7" t="s">
        <v>134</v>
      </c>
      <c r="J2185" s="7" t="s">
        <v>1085</v>
      </c>
      <c r="K2185" s="7" t="n">
        <f aca="false">IFERROR(VALUE(RIGHT(TRIM(F2185),4)),"")</f>
        <v>2019</v>
      </c>
      <c r="L2185" s="7" t="str">
        <f aca="false">IF(TRIM(E2185)="","Unknown",IFERROR(LEFT(TRIM(E2185),FIND(",",TRIM(E2185))-1),TRIM(E2185)))</f>
        <v>United States</v>
      </c>
      <c r="M2185" s="7" t="str">
        <f aca="false">IFERROR(LEFT(J2185,FIND(",",J2185)-1),J2185)</f>
        <v>Documentaries</v>
      </c>
      <c r="N2185" s="7" t="n">
        <f aca="false">IF(B2185="Movie",IFERROR(VALUE(LEFT(I2185,FIND(" ",I2185)-1)),""),"")</f>
        <v>98</v>
      </c>
      <c r="O2185" s="7" t="str">
        <f aca="false">IF(B2185="TV Show",IFERROR(VALUE(LEFT(I2185,FIND(" ",I2185)-1)),""),"")</f>
        <v/>
      </c>
      <c r="P2185" s="7" t="n">
        <f aca="false">IF(K2185="","",K2185-G2185)</f>
        <v>1</v>
      </c>
    </row>
    <row r="2186" customFormat="false" ht="15" hidden="false" customHeight="false" outlineLevel="0" collapsed="false">
      <c r="A2186" s="7" t="n">
        <v>80174608</v>
      </c>
      <c r="B2186" s="7" t="s">
        <v>78</v>
      </c>
      <c r="C2186" s="7" t="s">
        <v>4809</v>
      </c>
      <c r="E2186" s="7" t="s">
        <v>26</v>
      </c>
      <c r="F2186" s="7" t="s">
        <v>4789</v>
      </c>
      <c r="G2186" s="7" t="n">
        <v>2019</v>
      </c>
      <c r="H2186" s="7" t="s">
        <v>48</v>
      </c>
      <c r="I2186" s="7" t="s">
        <v>82</v>
      </c>
      <c r="J2186" s="7" t="s">
        <v>4810</v>
      </c>
      <c r="K2186" s="7" t="n">
        <f aca="false">IFERROR(VALUE(RIGHT(TRIM(F2186),4)),"")</f>
        <v>2019</v>
      </c>
      <c r="L2186" s="7" t="str">
        <f aca="false">IF(TRIM(E2186)="","Unknown",IFERROR(LEFT(TRIM(E2186),FIND(",",TRIM(E2186))-1),TRIM(E2186)))</f>
        <v>United States</v>
      </c>
      <c r="M2186" s="7" t="str">
        <f aca="false">IFERROR(LEFT(J2186,FIND(",",J2186)-1),J2186)</f>
        <v>TV Action &amp; Adventure</v>
      </c>
      <c r="N2186" s="7" t="str">
        <f aca="false">IF(B2186="Movie",IFERROR(VALUE(LEFT(I2186,FIND(" ",I2186)-1)),""),"")</f>
        <v/>
      </c>
      <c r="O2186" s="7" t="n">
        <f aca="false">IF(B2186="TV Show",IFERROR(VALUE(LEFT(I2186,FIND(" ",I2186)-1)),""),"")</f>
        <v>1</v>
      </c>
      <c r="P2186" s="7" t="n">
        <f aca="false">IF(K2186="","",K2186-G2186)</f>
        <v>0</v>
      </c>
    </row>
    <row r="2187" customFormat="false" ht="15" hidden="false" customHeight="false" outlineLevel="0" collapsed="false">
      <c r="A2187" s="7" t="n">
        <v>81049381</v>
      </c>
      <c r="B2187" s="7" t="s">
        <v>78</v>
      </c>
      <c r="C2187" s="7" t="s">
        <v>4811</v>
      </c>
      <c r="F2187" s="7" t="s">
        <v>4789</v>
      </c>
      <c r="G2187" s="7" t="n">
        <v>2018</v>
      </c>
      <c r="H2187" s="7" t="s">
        <v>49</v>
      </c>
      <c r="I2187" s="7" t="s">
        <v>82</v>
      </c>
      <c r="J2187" s="7" t="s">
        <v>344</v>
      </c>
      <c r="K2187" s="7" t="n">
        <f aca="false">IFERROR(VALUE(RIGHT(TRIM(F2187),4)),"")</f>
        <v>2019</v>
      </c>
      <c r="L2187" s="7" t="str">
        <f aca="false">IF(TRIM(E2187)="","Unknown",IFERROR(LEFT(TRIM(E2187),FIND(",",TRIM(E2187))-1),TRIM(E2187)))</f>
        <v>Unknown</v>
      </c>
      <c r="M2187" s="7" t="str">
        <f aca="false">IFERROR(LEFT(J2187,FIND(",",J2187)-1),J2187)</f>
        <v>International TV Shows</v>
      </c>
      <c r="N2187" s="7" t="str">
        <f aca="false">IF(B2187="Movie",IFERROR(VALUE(LEFT(I2187,FIND(" ",I2187)-1)),""),"")</f>
        <v/>
      </c>
      <c r="O2187" s="7" t="n">
        <f aca="false">IF(B2187="TV Show",IFERROR(VALUE(LEFT(I2187,FIND(" ",I2187)-1)),""),"")</f>
        <v>1</v>
      </c>
      <c r="P2187" s="7" t="n">
        <f aca="false">IF(K2187="","",K2187-G2187)</f>
        <v>1</v>
      </c>
    </row>
    <row r="2188" customFormat="false" ht="15" hidden="false" customHeight="false" outlineLevel="0" collapsed="false">
      <c r="A2188" s="7" t="n">
        <v>81031178</v>
      </c>
      <c r="B2188" s="7" t="s">
        <v>68</v>
      </c>
      <c r="C2188" s="7" t="s">
        <v>4812</v>
      </c>
      <c r="D2188" s="7" t="s">
        <v>4813</v>
      </c>
      <c r="E2188" s="7" t="s">
        <v>1178</v>
      </c>
      <c r="F2188" s="7" t="s">
        <v>4789</v>
      </c>
      <c r="G2188" s="7" t="n">
        <v>2018</v>
      </c>
      <c r="H2188" s="7" t="s">
        <v>49</v>
      </c>
      <c r="I2188" s="7" t="s">
        <v>1405</v>
      </c>
      <c r="J2188" s="7" t="s">
        <v>112</v>
      </c>
      <c r="K2188" s="7" t="n">
        <f aca="false">IFERROR(VALUE(RIGHT(TRIM(F2188),4)),"")</f>
        <v>2019</v>
      </c>
      <c r="L2188" s="7" t="str">
        <f aca="false">IF(TRIM(E2188)="","Unknown",IFERROR(LEFT(TRIM(E2188),FIND(",",TRIM(E2188))-1),TRIM(E2188)))</f>
        <v>Malaysia</v>
      </c>
      <c r="M2188" s="7" t="str">
        <f aca="false">IFERROR(LEFT(J2188,FIND(",",J2188)-1),J2188)</f>
        <v>Action &amp; Adventure</v>
      </c>
      <c r="N2188" s="7" t="n">
        <f aca="false">IF(B2188="Movie",IFERROR(VALUE(LEFT(I2188,FIND(" ",I2188)-1)),""),"")</f>
        <v>115</v>
      </c>
      <c r="O2188" s="7" t="str">
        <f aca="false">IF(B2188="TV Show",IFERROR(VALUE(LEFT(I2188,FIND(" ",I2188)-1)),""),"")</f>
        <v/>
      </c>
      <c r="P2188" s="7" t="n">
        <f aca="false">IF(K2188="","",K2188-G2188)</f>
        <v>1</v>
      </c>
    </row>
    <row r="2189" customFormat="false" ht="15" hidden="false" customHeight="false" outlineLevel="0" collapsed="false">
      <c r="A2189" s="7" t="n">
        <v>80194956</v>
      </c>
      <c r="B2189" s="7" t="s">
        <v>78</v>
      </c>
      <c r="C2189" s="7" t="s">
        <v>4814</v>
      </c>
      <c r="F2189" s="7" t="s">
        <v>4789</v>
      </c>
      <c r="G2189" s="7" t="n">
        <v>2019</v>
      </c>
      <c r="H2189" s="7" t="s">
        <v>49</v>
      </c>
      <c r="I2189" s="7" t="s">
        <v>82</v>
      </c>
      <c r="J2189" s="7" t="s">
        <v>696</v>
      </c>
      <c r="K2189" s="7" t="n">
        <f aca="false">IFERROR(VALUE(RIGHT(TRIM(F2189),4)),"")</f>
        <v>2019</v>
      </c>
      <c r="L2189" s="7" t="str">
        <f aca="false">IF(TRIM(E2189)="","Unknown",IFERROR(LEFT(TRIM(E2189),FIND(",",TRIM(E2189))-1),TRIM(E2189)))</f>
        <v>Unknown</v>
      </c>
      <c r="M2189" s="7" t="str">
        <f aca="false">IFERROR(LEFT(J2189,FIND(",",J2189)-1),J2189)</f>
        <v>Crime TV Shows</v>
      </c>
      <c r="N2189" s="7" t="str">
        <f aca="false">IF(B2189="Movie",IFERROR(VALUE(LEFT(I2189,FIND(" ",I2189)-1)),""),"")</f>
        <v/>
      </c>
      <c r="O2189" s="7" t="n">
        <f aca="false">IF(B2189="TV Show",IFERROR(VALUE(LEFT(I2189,FIND(" ",I2189)-1)),""),"")</f>
        <v>1</v>
      </c>
      <c r="P2189" s="7" t="n">
        <f aca="false">IF(K2189="","",K2189-G2189)</f>
        <v>0</v>
      </c>
    </row>
    <row r="2190" customFormat="false" ht="15" hidden="false" customHeight="false" outlineLevel="0" collapsed="false">
      <c r="A2190" s="7" t="n">
        <v>70056425</v>
      </c>
      <c r="B2190" s="7" t="s">
        <v>68</v>
      </c>
      <c r="C2190" s="7" t="s">
        <v>4815</v>
      </c>
      <c r="D2190" s="7" t="s">
        <v>4816</v>
      </c>
      <c r="E2190" s="7" t="s">
        <v>1081</v>
      </c>
      <c r="F2190" s="7" t="s">
        <v>4789</v>
      </c>
      <c r="G2190" s="7" t="n">
        <v>2006</v>
      </c>
      <c r="H2190" s="7" t="s">
        <v>51</v>
      </c>
      <c r="I2190" s="7" t="s">
        <v>919</v>
      </c>
      <c r="J2190" s="7" t="s">
        <v>182</v>
      </c>
      <c r="K2190" s="7" t="n">
        <f aca="false">IFERROR(VALUE(RIGHT(TRIM(F2190),4)),"")</f>
        <v>2019</v>
      </c>
      <c r="L2190" s="7" t="str">
        <f aca="false">IF(TRIM(E2190)="","Unknown",IFERROR(LEFT(TRIM(E2190),FIND(",",TRIM(E2190))-1),TRIM(E2190)))</f>
        <v>Germany</v>
      </c>
      <c r="M2190" s="7" t="str">
        <f aca="false">IFERROR(LEFT(J2190,FIND(",",J2190)-1),J2190)</f>
        <v>Dramas</v>
      </c>
      <c r="N2190" s="7" t="n">
        <f aca="false">IF(B2190="Movie",IFERROR(VALUE(LEFT(I2190,FIND(" ",I2190)-1)),""),"")</f>
        <v>138</v>
      </c>
      <c r="O2190" s="7" t="str">
        <f aca="false">IF(B2190="TV Show",IFERROR(VALUE(LEFT(I2190,FIND(" ",I2190)-1)),""),"")</f>
        <v/>
      </c>
      <c r="P2190" s="7" t="n">
        <f aca="false">IF(K2190="","",K2190-G2190)</f>
        <v>13</v>
      </c>
    </row>
    <row r="2191" customFormat="false" ht="15" hidden="false" customHeight="false" outlineLevel="0" collapsed="false">
      <c r="A2191" s="7" t="n">
        <v>81050198</v>
      </c>
      <c r="B2191" s="7" t="s">
        <v>68</v>
      </c>
      <c r="C2191" s="7" t="s">
        <v>4817</v>
      </c>
      <c r="D2191" s="7" t="s">
        <v>4818</v>
      </c>
      <c r="E2191" s="7" t="s">
        <v>26</v>
      </c>
      <c r="F2191" s="7" t="s">
        <v>4789</v>
      </c>
      <c r="G2191" s="7" t="n">
        <v>2017</v>
      </c>
      <c r="H2191" s="7" t="s">
        <v>49</v>
      </c>
      <c r="I2191" s="7" t="s">
        <v>73</v>
      </c>
      <c r="J2191" s="7" t="s">
        <v>811</v>
      </c>
      <c r="K2191" s="7" t="n">
        <f aca="false">IFERROR(VALUE(RIGHT(TRIM(F2191),4)),"")</f>
        <v>2019</v>
      </c>
      <c r="L2191" s="7" t="str">
        <f aca="false">IF(TRIM(E2191)="","Unknown",IFERROR(LEFT(TRIM(E2191),FIND(",",TRIM(E2191))-1),TRIM(E2191)))</f>
        <v>United States</v>
      </c>
      <c r="M2191" s="7" t="str">
        <f aca="false">IFERROR(LEFT(J2191,FIND(",",J2191)-1),J2191)</f>
        <v>Thrillers</v>
      </c>
      <c r="N2191" s="7" t="n">
        <f aca="false">IF(B2191="Movie",IFERROR(VALUE(LEFT(I2191,FIND(" ",I2191)-1)),""),"")</f>
        <v>90</v>
      </c>
      <c r="O2191" s="7" t="str">
        <f aca="false">IF(B2191="TV Show",IFERROR(VALUE(LEFT(I2191,FIND(" ",I2191)-1)),""),"")</f>
        <v/>
      </c>
      <c r="P2191" s="7" t="n">
        <f aca="false">IF(K2191="","",K2191-G2191)</f>
        <v>2</v>
      </c>
    </row>
    <row r="2192" customFormat="false" ht="15" hidden="false" customHeight="false" outlineLevel="0" collapsed="false">
      <c r="A2192" s="7" t="n">
        <v>80156538</v>
      </c>
      <c r="B2192" s="7" t="s">
        <v>78</v>
      </c>
      <c r="C2192" s="7" t="s">
        <v>4819</v>
      </c>
      <c r="E2192" s="7" t="s">
        <v>4820</v>
      </c>
      <c r="F2192" s="7" t="s">
        <v>4789</v>
      </c>
      <c r="G2192" s="7" t="n">
        <v>2018</v>
      </c>
      <c r="H2192" s="7" t="s">
        <v>49</v>
      </c>
      <c r="I2192" s="7" t="s">
        <v>82</v>
      </c>
      <c r="J2192" s="7" t="s">
        <v>1969</v>
      </c>
      <c r="K2192" s="7" t="n">
        <f aca="false">IFERROR(VALUE(RIGHT(TRIM(F2192),4)),"")</f>
        <v>2019</v>
      </c>
      <c r="L2192" s="7" t="str">
        <f aca="false">IF(TRIM(E2192)="","Unknown",IFERROR(LEFT(TRIM(E2192),FIND(",",TRIM(E2192))-1),TRIM(E2192)))</f>
        <v>United Kingdom</v>
      </c>
      <c r="M2192" s="7" t="str">
        <f aca="false">IFERROR(LEFT(J2192,FIND(",",J2192)-1),J2192)</f>
        <v>British TV Shows</v>
      </c>
      <c r="N2192" s="7" t="str">
        <f aca="false">IF(B2192="Movie",IFERROR(VALUE(LEFT(I2192,FIND(" ",I2192)-1)),""),"")</f>
        <v/>
      </c>
      <c r="O2192" s="7" t="n">
        <f aca="false">IF(B2192="TV Show",IFERROR(VALUE(LEFT(I2192,FIND(" ",I2192)-1)),""),"")</f>
        <v>1</v>
      </c>
      <c r="P2192" s="7" t="n">
        <f aca="false">IF(K2192="","",K2192-G2192)</f>
        <v>1</v>
      </c>
    </row>
    <row r="2193" customFormat="false" ht="15" hidden="false" customHeight="false" outlineLevel="0" collapsed="false">
      <c r="A2193" s="7" t="n">
        <v>80124723</v>
      </c>
      <c r="B2193" s="7" t="s">
        <v>78</v>
      </c>
      <c r="C2193" s="7" t="s">
        <v>4821</v>
      </c>
      <c r="E2193" s="7" t="s">
        <v>28</v>
      </c>
      <c r="F2193" s="7" t="s">
        <v>4789</v>
      </c>
      <c r="G2193" s="7" t="n">
        <v>2019</v>
      </c>
      <c r="H2193" s="7" t="s">
        <v>48</v>
      </c>
      <c r="I2193" s="7" t="s">
        <v>82</v>
      </c>
      <c r="J2193" s="7" t="s">
        <v>4309</v>
      </c>
      <c r="K2193" s="7" t="n">
        <f aca="false">IFERROR(VALUE(RIGHT(TRIM(F2193),4)),"")</f>
        <v>2019</v>
      </c>
      <c r="L2193" s="7" t="str">
        <f aca="false">IF(TRIM(E2193)="","Unknown",IFERROR(LEFT(TRIM(E2193),FIND(",",TRIM(E2193))-1),TRIM(E2193)))</f>
        <v>United Kingdom</v>
      </c>
      <c r="M2193" s="7" t="str">
        <f aca="false">IFERROR(LEFT(J2193,FIND(",",J2193)-1),J2193)</f>
        <v>British TV Shows</v>
      </c>
      <c r="N2193" s="7" t="str">
        <f aca="false">IF(B2193="Movie",IFERROR(VALUE(LEFT(I2193,FIND(" ",I2193)-1)),""),"")</f>
        <v/>
      </c>
      <c r="O2193" s="7" t="n">
        <f aca="false">IF(B2193="TV Show",IFERROR(VALUE(LEFT(I2193,FIND(" ",I2193)-1)),""),"")</f>
        <v>1</v>
      </c>
      <c r="P2193" s="7" t="n">
        <f aca="false">IF(K2193="","",K2193-G2193)</f>
        <v>0</v>
      </c>
    </row>
    <row r="2194" customFormat="false" ht="15" hidden="false" customHeight="false" outlineLevel="0" collapsed="false">
      <c r="A2194" s="7" t="n">
        <v>81034771</v>
      </c>
      <c r="B2194" s="7" t="s">
        <v>68</v>
      </c>
      <c r="C2194" s="7" t="s">
        <v>4822</v>
      </c>
      <c r="D2194" s="7" t="s">
        <v>4823</v>
      </c>
      <c r="E2194" s="7" t="s">
        <v>26</v>
      </c>
      <c r="F2194" s="7" t="s">
        <v>4789</v>
      </c>
      <c r="G2194" s="7" t="n">
        <v>2018</v>
      </c>
      <c r="H2194" s="7" t="s">
        <v>49</v>
      </c>
      <c r="I2194" s="7" t="s">
        <v>212</v>
      </c>
      <c r="J2194" s="7" t="s">
        <v>950</v>
      </c>
      <c r="K2194" s="7" t="n">
        <f aca="false">IFERROR(VALUE(RIGHT(TRIM(F2194),4)),"")</f>
        <v>2019</v>
      </c>
      <c r="L2194" s="7" t="str">
        <f aca="false">IF(TRIM(E2194)="","Unknown",IFERROR(LEFT(TRIM(E2194),FIND(",",TRIM(E2194))-1),TRIM(E2194)))</f>
        <v>United States</v>
      </c>
      <c r="M2194" s="7" t="str">
        <f aca="false">IFERROR(LEFT(J2194,FIND(",",J2194)-1),J2194)</f>
        <v>Horror Movies</v>
      </c>
      <c r="N2194" s="7" t="n">
        <f aca="false">IF(B2194="Movie",IFERROR(VALUE(LEFT(I2194,FIND(" ",I2194)-1)),""),"")</f>
        <v>86</v>
      </c>
      <c r="O2194" s="7" t="str">
        <f aca="false">IF(B2194="TV Show",IFERROR(VALUE(LEFT(I2194,FIND(" ",I2194)-1)),""),"")</f>
        <v/>
      </c>
      <c r="P2194" s="7" t="n">
        <f aca="false">IF(K2194="","",K2194-G2194)</f>
        <v>1</v>
      </c>
    </row>
    <row r="2195" customFormat="false" ht="15" hidden="false" customHeight="false" outlineLevel="0" collapsed="false">
      <c r="A2195" s="7" t="n">
        <v>80239442</v>
      </c>
      <c r="B2195" s="7" t="s">
        <v>68</v>
      </c>
      <c r="C2195" s="7" t="s">
        <v>4824</v>
      </c>
      <c r="D2195" s="7" t="s">
        <v>4825</v>
      </c>
      <c r="E2195" s="7" t="s">
        <v>27</v>
      </c>
      <c r="F2195" s="7" t="s">
        <v>4826</v>
      </c>
      <c r="G2195" s="7" t="n">
        <v>2017</v>
      </c>
      <c r="H2195" s="7" t="s">
        <v>49</v>
      </c>
      <c r="I2195" s="7" t="s">
        <v>378</v>
      </c>
      <c r="J2195" s="7" t="s">
        <v>304</v>
      </c>
      <c r="K2195" s="7" t="n">
        <f aca="false">IFERROR(VALUE(RIGHT(TRIM(F2195),4)),"")</f>
        <v>2018</v>
      </c>
      <c r="L2195" s="7" t="str">
        <f aca="false">IF(TRIM(E2195)="","Unknown",IFERROR(LEFT(TRIM(E2195),FIND(",",TRIM(E2195))-1),TRIM(E2195)))</f>
        <v>India</v>
      </c>
      <c r="M2195" s="7" t="str">
        <f aca="false">IFERROR(LEFT(J2195,FIND(",",J2195)-1),J2195)</f>
        <v>Dramas</v>
      </c>
      <c r="N2195" s="7" t="n">
        <f aca="false">IF(B2195="Movie",IFERROR(VALUE(LEFT(I2195,FIND(" ",I2195)-1)),""),"")</f>
        <v>127</v>
      </c>
      <c r="O2195" s="7" t="str">
        <f aca="false">IF(B2195="TV Show",IFERROR(VALUE(LEFT(I2195,FIND(" ",I2195)-1)),""),"")</f>
        <v/>
      </c>
      <c r="P2195" s="7" t="n">
        <f aca="false">IF(K2195="","",K2195-G2195)</f>
        <v>1</v>
      </c>
    </row>
    <row r="2196" customFormat="false" ht="15" hidden="false" customHeight="false" outlineLevel="0" collapsed="false">
      <c r="A2196" s="7" t="n">
        <v>80238299</v>
      </c>
      <c r="B2196" s="7" t="s">
        <v>68</v>
      </c>
      <c r="C2196" s="7" t="s">
        <v>4827</v>
      </c>
      <c r="D2196" s="7" t="s">
        <v>4828</v>
      </c>
      <c r="E2196" s="7" t="s">
        <v>27</v>
      </c>
      <c r="F2196" s="7" t="s">
        <v>4826</v>
      </c>
      <c r="G2196" s="7" t="n">
        <v>2010</v>
      </c>
      <c r="H2196" s="7" t="s">
        <v>49</v>
      </c>
      <c r="I2196" s="7" t="s">
        <v>2053</v>
      </c>
      <c r="J2196" s="7" t="s">
        <v>217</v>
      </c>
      <c r="K2196" s="7" t="n">
        <f aca="false">IFERROR(VALUE(RIGHT(TRIM(F2196),4)),"")</f>
        <v>2018</v>
      </c>
      <c r="L2196" s="7" t="str">
        <f aca="false">IF(TRIM(E2196)="","Unknown",IFERROR(LEFT(TRIM(E2196),FIND(",",TRIM(E2196))-1),TRIM(E2196)))</f>
        <v>India</v>
      </c>
      <c r="M2196" s="7" t="str">
        <f aca="false">IFERROR(LEFT(J2196,FIND(",",J2196)-1),J2196)</f>
        <v>Comedies</v>
      </c>
      <c r="N2196" s="7" t="n">
        <f aca="false">IF(B2196="Movie",IFERROR(VALUE(LEFT(I2196,FIND(" ",I2196)-1)),""),"")</f>
        <v>129</v>
      </c>
      <c r="O2196" s="7" t="str">
        <f aca="false">IF(B2196="TV Show",IFERROR(VALUE(LEFT(I2196,FIND(" ",I2196)-1)),""),"")</f>
        <v/>
      </c>
      <c r="P2196" s="7" t="n">
        <f aca="false">IF(K2196="","",K2196-G2196)</f>
        <v>8</v>
      </c>
    </row>
    <row r="2197" customFormat="false" ht="15" hidden="false" customHeight="false" outlineLevel="0" collapsed="false">
      <c r="A2197" s="7" t="n">
        <v>80201814</v>
      </c>
      <c r="B2197" s="7" t="s">
        <v>68</v>
      </c>
      <c r="C2197" s="7" t="s">
        <v>4829</v>
      </c>
      <c r="D2197" s="7" t="s">
        <v>4830</v>
      </c>
      <c r="E2197" s="7" t="s">
        <v>27</v>
      </c>
      <c r="F2197" s="7" t="s">
        <v>4826</v>
      </c>
      <c r="G2197" s="7" t="n">
        <v>2009</v>
      </c>
      <c r="H2197" s="7" t="s">
        <v>50</v>
      </c>
      <c r="I2197" s="7" t="s">
        <v>2551</v>
      </c>
      <c r="J2197" s="7" t="s">
        <v>188</v>
      </c>
      <c r="K2197" s="7" t="n">
        <f aca="false">IFERROR(VALUE(RIGHT(TRIM(F2197),4)),"")</f>
        <v>2018</v>
      </c>
      <c r="L2197" s="7" t="str">
        <f aca="false">IF(TRIM(E2197)="","Unknown",IFERROR(LEFT(TRIM(E2197),FIND(",",TRIM(E2197))-1),TRIM(E2197)))</f>
        <v>India</v>
      </c>
      <c r="M2197" s="7" t="str">
        <f aca="false">IFERROR(LEFT(J2197,FIND(",",J2197)-1),J2197)</f>
        <v>Dramas</v>
      </c>
      <c r="N2197" s="7" t="n">
        <f aca="false">IF(B2197="Movie",IFERROR(VALUE(LEFT(I2197,FIND(" ",I2197)-1)),""),"")</f>
        <v>120</v>
      </c>
      <c r="O2197" s="7" t="str">
        <f aca="false">IF(B2197="TV Show",IFERROR(VALUE(LEFT(I2197,FIND(" ",I2197)-1)),""),"")</f>
        <v/>
      </c>
      <c r="P2197" s="7" t="n">
        <f aca="false">IF(K2197="","",K2197-G2197)</f>
        <v>9</v>
      </c>
    </row>
    <row r="2198" customFormat="false" ht="15" hidden="false" customHeight="false" outlineLevel="0" collapsed="false">
      <c r="A2198" s="7" t="n">
        <v>80201604</v>
      </c>
      <c r="B2198" s="7" t="s">
        <v>68</v>
      </c>
      <c r="C2198" s="7" t="s">
        <v>4831</v>
      </c>
      <c r="E2198" s="7" t="s">
        <v>27</v>
      </c>
      <c r="F2198" s="7" t="s">
        <v>4826</v>
      </c>
      <c r="G2198" s="7" t="n">
        <v>2010</v>
      </c>
      <c r="H2198" s="7" t="s">
        <v>49</v>
      </c>
      <c r="I2198" s="7" t="s">
        <v>919</v>
      </c>
      <c r="J2198" s="7" t="s">
        <v>217</v>
      </c>
      <c r="K2198" s="7" t="n">
        <f aca="false">IFERROR(VALUE(RIGHT(TRIM(F2198),4)),"")</f>
        <v>2018</v>
      </c>
      <c r="L2198" s="7" t="str">
        <f aca="false">IF(TRIM(E2198)="","Unknown",IFERROR(LEFT(TRIM(E2198),FIND(",",TRIM(E2198))-1),TRIM(E2198)))</f>
        <v>India</v>
      </c>
      <c r="M2198" s="7" t="str">
        <f aca="false">IFERROR(LEFT(J2198,FIND(",",J2198)-1),J2198)</f>
        <v>Comedies</v>
      </c>
      <c r="N2198" s="7" t="n">
        <f aca="false">IF(B2198="Movie",IFERROR(VALUE(LEFT(I2198,FIND(" ",I2198)-1)),""),"")</f>
        <v>138</v>
      </c>
      <c r="O2198" s="7" t="str">
        <f aca="false">IF(B2198="TV Show",IFERROR(VALUE(LEFT(I2198,FIND(" ",I2198)-1)),""),"")</f>
        <v/>
      </c>
      <c r="P2198" s="7" t="n">
        <f aca="false">IF(K2198="","",K2198-G2198)</f>
        <v>8</v>
      </c>
    </row>
    <row r="2199" customFormat="false" ht="15" hidden="false" customHeight="false" outlineLevel="0" collapsed="false">
      <c r="A2199" s="7" t="n">
        <v>80192244</v>
      </c>
      <c r="B2199" s="7" t="s">
        <v>68</v>
      </c>
      <c r="C2199" s="7" t="s">
        <v>4832</v>
      </c>
      <c r="D2199" s="7" t="s">
        <v>4833</v>
      </c>
      <c r="E2199" s="7" t="s">
        <v>30</v>
      </c>
      <c r="F2199" s="7" t="s">
        <v>4826</v>
      </c>
      <c r="G2199" s="7" t="n">
        <v>2016</v>
      </c>
      <c r="H2199" s="7" t="s">
        <v>52</v>
      </c>
      <c r="I2199" s="7" t="s">
        <v>2053</v>
      </c>
      <c r="J2199" s="7" t="s">
        <v>4834</v>
      </c>
      <c r="K2199" s="7" t="n">
        <f aca="false">IFERROR(VALUE(RIGHT(TRIM(F2199),4)),"")</f>
        <v>2018</v>
      </c>
      <c r="L2199" s="7" t="str">
        <f aca="false">IF(TRIM(E2199)="","Unknown",IFERROR(LEFT(TRIM(E2199),FIND(",",TRIM(E2199))-1),TRIM(E2199)))</f>
        <v>Japan</v>
      </c>
      <c r="M2199" s="7" t="str">
        <f aca="false">IFERROR(LEFT(J2199,FIND(",",J2199)-1),J2199)</f>
        <v>Anime Features</v>
      </c>
      <c r="N2199" s="7" t="n">
        <f aca="false">IF(B2199="Movie",IFERROR(VALUE(LEFT(I2199,FIND(" ",I2199)-1)),""),"")</f>
        <v>129</v>
      </c>
      <c r="O2199" s="7" t="str">
        <f aca="false">IF(B2199="TV Show",IFERROR(VALUE(LEFT(I2199,FIND(" ",I2199)-1)),""),"")</f>
        <v/>
      </c>
      <c r="P2199" s="7" t="n">
        <f aca="false">IF(K2199="","",K2199-G2199)</f>
        <v>2</v>
      </c>
    </row>
    <row r="2200" customFormat="false" ht="15" hidden="false" customHeight="false" outlineLevel="0" collapsed="false">
      <c r="A2200" s="7" t="n">
        <v>80235957</v>
      </c>
      <c r="B2200" s="7" t="s">
        <v>68</v>
      </c>
      <c r="C2200" s="7" t="s">
        <v>4835</v>
      </c>
      <c r="D2200" s="7" t="s">
        <v>4836</v>
      </c>
      <c r="E2200" s="7" t="s">
        <v>27</v>
      </c>
      <c r="F2200" s="7" t="s">
        <v>4826</v>
      </c>
      <c r="G2200" s="7" t="n">
        <v>2010</v>
      </c>
      <c r="H2200" s="7" t="s">
        <v>49</v>
      </c>
      <c r="I2200" s="7" t="s">
        <v>749</v>
      </c>
      <c r="J2200" s="7" t="s">
        <v>217</v>
      </c>
      <c r="K2200" s="7" t="n">
        <f aca="false">IFERROR(VALUE(RIGHT(TRIM(F2200),4)),"")</f>
        <v>2018</v>
      </c>
      <c r="L2200" s="7" t="str">
        <f aca="false">IF(TRIM(E2200)="","Unknown",IFERROR(LEFT(TRIM(E2200),FIND(",",TRIM(E2200))-1),TRIM(E2200)))</f>
        <v>India</v>
      </c>
      <c r="M2200" s="7" t="str">
        <f aca="false">IFERROR(LEFT(J2200,FIND(",",J2200)-1),J2200)</f>
        <v>Comedies</v>
      </c>
      <c r="N2200" s="7" t="n">
        <f aca="false">IF(B2200="Movie",IFERROR(VALUE(LEFT(I2200,FIND(" ",I2200)-1)),""),"")</f>
        <v>137</v>
      </c>
      <c r="O2200" s="7" t="str">
        <f aca="false">IF(B2200="TV Show",IFERROR(VALUE(LEFT(I2200,FIND(" ",I2200)-1)),""),"")</f>
        <v/>
      </c>
      <c r="P2200" s="7" t="n">
        <f aca="false">IF(K2200="","",K2200-G2200)</f>
        <v>8</v>
      </c>
    </row>
    <row r="2201" customFormat="false" ht="15" hidden="false" customHeight="false" outlineLevel="0" collapsed="false">
      <c r="A2201" s="7" t="n">
        <v>80226021</v>
      </c>
      <c r="B2201" s="7" t="s">
        <v>68</v>
      </c>
      <c r="C2201" s="7" t="s">
        <v>4837</v>
      </c>
      <c r="D2201" s="7" t="s">
        <v>4838</v>
      </c>
      <c r="E2201" s="7" t="s">
        <v>4839</v>
      </c>
      <c r="F2201" s="7" t="s">
        <v>4826</v>
      </c>
      <c r="G2201" s="7" t="n">
        <v>2016</v>
      </c>
      <c r="H2201" s="7" t="s">
        <v>48</v>
      </c>
      <c r="I2201" s="7" t="s">
        <v>470</v>
      </c>
      <c r="J2201" s="7" t="s">
        <v>217</v>
      </c>
      <c r="K2201" s="7" t="n">
        <f aca="false">IFERROR(VALUE(RIGHT(TRIM(F2201),4)),"")</f>
        <v>2018</v>
      </c>
      <c r="L2201" s="7" t="str">
        <f aca="false">IF(TRIM(E2201)="","Unknown",IFERROR(LEFT(TRIM(E2201),FIND(",",TRIM(E2201))-1),TRIM(E2201)))</f>
        <v>Sweden</v>
      </c>
      <c r="M2201" s="7" t="str">
        <f aca="false">IFERROR(LEFT(J2201,FIND(",",J2201)-1),J2201)</f>
        <v>Comedies</v>
      </c>
      <c r="N2201" s="7" t="n">
        <f aca="false">IF(B2201="Movie",IFERROR(VALUE(LEFT(I2201,FIND(" ",I2201)-1)),""),"")</f>
        <v>91</v>
      </c>
      <c r="O2201" s="7" t="str">
        <f aca="false">IF(B2201="TV Show",IFERROR(VALUE(LEFT(I2201,FIND(" ",I2201)-1)),""),"")</f>
        <v/>
      </c>
      <c r="P2201" s="7" t="n">
        <f aca="false">IF(K2201="","",K2201-G2201)</f>
        <v>2</v>
      </c>
    </row>
    <row r="2202" customFormat="false" ht="15" hidden="false" customHeight="false" outlineLevel="0" collapsed="false">
      <c r="A2202" s="7" t="n">
        <v>80235139</v>
      </c>
      <c r="B2202" s="7" t="s">
        <v>78</v>
      </c>
      <c r="C2202" s="7" t="s">
        <v>4840</v>
      </c>
      <c r="E2202" s="7" t="s">
        <v>27</v>
      </c>
      <c r="F2202" s="7" t="s">
        <v>4826</v>
      </c>
      <c r="G2202" s="7" t="n">
        <v>2011</v>
      </c>
      <c r="H2202" s="7" t="s">
        <v>49</v>
      </c>
      <c r="I2202" s="7" t="s">
        <v>82</v>
      </c>
      <c r="J2202" s="7" t="s">
        <v>402</v>
      </c>
      <c r="K2202" s="7" t="n">
        <f aca="false">IFERROR(VALUE(RIGHT(TRIM(F2202),4)),"")</f>
        <v>2018</v>
      </c>
      <c r="L2202" s="7" t="str">
        <f aca="false">IF(TRIM(E2202)="","Unknown",IFERROR(LEFT(TRIM(E2202),FIND(",",TRIM(E2202))-1),TRIM(E2202)))</f>
        <v>India</v>
      </c>
      <c r="M2202" s="7" t="str">
        <f aca="false">IFERROR(LEFT(J2202,FIND(",",J2202)-1),J2202)</f>
        <v>Crime TV Shows</v>
      </c>
      <c r="N2202" s="7" t="str">
        <f aca="false">IF(B2202="Movie",IFERROR(VALUE(LEFT(I2202,FIND(" ",I2202)-1)),""),"")</f>
        <v/>
      </c>
      <c r="O2202" s="7" t="n">
        <f aca="false">IF(B2202="TV Show",IFERROR(VALUE(LEFT(I2202,FIND(" ",I2202)-1)),""),"")</f>
        <v>1</v>
      </c>
      <c r="P2202" s="7" t="n">
        <f aca="false">IF(K2202="","",K2202-G2202)</f>
        <v>7</v>
      </c>
    </row>
    <row r="2203" customFormat="false" ht="15" hidden="false" customHeight="false" outlineLevel="0" collapsed="false">
      <c r="A2203" s="7" t="n">
        <v>80147758</v>
      </c>
      <c r="B2203" s="7" t="s">
        <v>68</v>
      </c>
      <c r="C2203" s="7" t="s">
        <v>4841</v>
      </c>
      <c r="D2203" s="7" t="s">
        <v>4842</v>
      </c>
      <c r="E2203" s="7" t="s">
        <v>4843</v>
      </c>
      <c r="F2203" s="7" t="s">
        <v>4826</v>
      </c>
      <c r="G2203" s="7" t="n">
        <v>2016</v>
      </c>
      <c r="H2203" s="7" t="s">
        <v>48</v>
      </c>
      <c r="I2203" s="7" t="s">
        <v>330</v>
      </c>
      <c r="J2203" s="7" t="s">
        <v>112</v>
      </c>
      <c r="K2203" s="7" t="n">
        <f aca="false">IFERROR(VALUE(RIGHT(TRIM(F2203),4)),"")</f>
        <v>2018</v>
      </c>
      <c r="L2203" s="7" t="str">
        <f aca="false">IF(TRIM(E2203)="","Unknown",IFERROR(LEFT(TRIM(E2203),FIND(",",TRIM(E2203))-1),TRIM(E2203)))</f>
        <v>Hungary</v>
      </c>
      <c r="M2203" s="7" t="str">
        <f aca="false">IFERROR(LEFT(J2203,FIND(",",J2203)-1),J2203)</f>
        <v>Action &amp; Adventure</v>
      </c>
      <c r="N2203" s="7" t="n">
        <f aca="false">IF(B2203="Movie",IFERROR(VALUE(LEFT(I2203,FIND(" ",I2203)-1)),""),"")</f>
        <v>103</v>
      </c>
      <c r="O2203" s="7" t="str">
        <f aca="false">IF(B2203="TV Show",IFERROR(VALUE(LEFT(I2203,FIND(" ",I2203)-1)),""),"")</f>
        <v/>
      </c>
      <c r="P2203" s="7" t="n">
        <f aca="false">IF(K2203="","",K2203-G2203)</f>
        <v>2</v>
      </c>
    </row>
    <row r="2204" customFormat="false" ht="15" hidden="false" customHeight="false" outlineLevel="0" collapsed="false">
      <c r="A2204" s="7" t="n">
        <v>80201608</v>
      </c>
      <c r="B2204" s="7" t="s">
        <v>68</v>
      </c>
      <c r="C2204" s="7" t="s">
        <v>4844</v>
      </c>
      <c r="D2204" s="7" t="s">
        <v>4845</v>
      </c>
      <c r="E2204" s="7" t="s">
        <v>27</v>
      </c>
      <c r="F2204" s="7" t="s">
        <v>4826</v>
      </c>
      <c r="G2204" s="7" t="n">
        <v>2010</v>
      </c>
      <c r="H2204" s="7" t="s">
        <v>48</v>
      </c>
      <c r="I2204" s="7" t="s">
        <v>1817</v>
      </c>
      <c r="J2204" s="7" t="s">
        <v>304</v>
      </c>
      <c r="K2204" s="7" t="n">
        <f aca="false">IFERROR(VALUE(RIGHT(TRIM(F2204),4)),"")</f>
        <v>2018</v>
      </c>
      <c r="L2204" s="7" t="str">
        <f aca="false">IF(TRIM(E2204)="","Unknown",IFERROR(LEFT(TRIM(E2204),FIND(",",TRIM(E2204))-1),TRIM(E2204)))</f>
        <v>India</v>
      </c>
      <c r="M2204" s="7" t="str">
        <f aca="false">IFERROR(LEFT(J2204,FIND(",",J2204)-1),J2204)</f>
        <v>Dramas</v>
      </c>
      <c r="N2204" s="7" t="n">
        <f aca="false">IF(B2204="Movie",IFERROR(VALUE(LEFT(I2204,FIND(" ",I2204)-1)),""),"")</f>
        <v>145</v>
      </c>
      <c r="O2204" s="7" t="str">
        <f aca="false">IF(B2204="TV Show",IFERROR(VALUE(LEFT(I2204,FIND(" ",I2204)-1)),""),"")</f>
        <v/>
      </c>
      <c r="P2204" s="7" t="n">
        <f aca="false">IF(K2204="","",K2204-G2204)</f>
        <v>8</v>
      </c>
    </row>
    <row r="2205" customFormat="false" ht="15" hidden="false" customHeight="false" outlineLevel="0" collapsed="false">
      <c r="A2205" s="7" t="n">
        <v>80241537</v>
      </c>
      <c r="B2205" s="7" t="s">
        <v>68</v>
      </c>
      <c r="C2205" s="7" t="s">
        <v>4846</v>
      </c>
      <c r="D2205" s="7" t="s">
        <v>4847</v>
      </c>
      <c r="E2205" s="7" t="s">
        <v>35</v>
      </c>
      <c r="F2205" s="7" t="s">
        <v>4826</v>
      </c>
      <c r="G2205" s="7" t="n">
        <v>2016</v>
      </c>
      <c r="H2205" s="7" t="s">
        <v>55</v>
      </c>
      <c r="I2205" s="7" t="s">
        <v>1653</v>
      </c>
      <c r="J2205" s="7" t="s">
        <v>74</v>
      </c>
      <c r="K2205" s="7" t="n">
        <f aca="false">IFERROR(VALUE(RIGHT(TRIM(F2205),4)),"")</f>
        <v>2018</v>
      </c>
      <c r="L2205" s="7" t="str">
        <f aca="false">IF(TRIM(E2205)="","Unknown",IFERROR(LEFT(TRIM(E2205),FIND(",",TRIM(E2205))-1),TRIM(E2205)))</f>
        <v>Australia</v>
      </c>
      <c r="M2205" s="7" t="str">
        <f aca="false">IFERROR(LEFT(J2205,FIND(",",J2205)-1),J2205)</f>
        <v>Children &amp; Family Movies</v>
      </c>
      <c r="N2205" s="7" t="n">
        <f aca="false">IF(B2205="Movie",IFERROR(VALUE(LEFT(I2205,FIND(" ",I2205)-1)),""),"")</f>
        <v>23</v>
      </c>
      <c r="O2205" s="7" t="str">
        <f aca="false">IF(B2205="TV Show",IFERROR(VALUE(LEFT(I2205,FIND(" ",I2205)-1)),""),"")</f>
        <v/>
      </c>
      <c r="P2205" s="7" t="n">
        <f aca="false">IF(K2205="","",K2205-G2205)</f>
        <v>2</v>
      </c>
    </row>
    <row r="2206" customFormat="false" ht="15" hidden="false" customHeight="false" outlineLevel="0" collapsed="false">
      <c r="A2206" s="7" t="n">
        <v>80241616</v>
      </c>
      <c r="B2206" s="7" t="s">
        <v>68</v>
      </c>
      <c r="C2206" s="7" t="s">
        <v>4848</v>
      </c>
      <c r="D2206" s="7" t="s">
        <v>4849</v>
      </c>
      <c r="E2206" s="7" t="s">
        <v>35</v>
      </c>
      <c r="F2206" s="7" t="s">
        <v>4826</v>
      </c>
      <c r="G2206" s="7" t="n">
        <v>2016</v>
      </c>
      <c r="H2206" s="7" t="s">
        <v>55</v>
      </c>
      <c r="I2206" s="7" t="s">
        <v>843</v>
      </c>
      <c r="J2206" s="7" t="s">
        <v>74</v>
      </c>
      <c r="K2206" s="7" t="n">
        <f aca="false">IFERROR(VALUE(RIGHT(TRIM(F2206),4)),"")</f>
        <v>2018</v>
      </c>
      <c r="L2206" s="7" t="str">
        <f aca="false">IF(TRIM(E2206)="","Unknown",IFERROR(LEFT(TRIM(E2206),FIND(",",TRIM(E2206))-1),TRIM(E2206)))</f>
        <v>Australia</v>
      </c>
      <c r="M2206" s="7" t="str">
        <f aca="false">IFERROR(LEFT(J2206,FIND(",",J2206)-1),J2206)</f>
        <v>Children &amp; Family Movies</v>
      </c>
      <c r="N2206" s="7" t="n">
        <f aca="false">IF(B2206="Movie",IFERROR(VALUE(LEFT(I2206,FIND(" ",I2206)-1)),""),"")</f>
        <v>25</v>
      </c>
      <c r="O2206" s="7" t="str">
        <f aca="false">IF(B2206="TV Show",IFERROR(VALUE(LEFT(I2206,FIND(" ",I2206)-1)),""),"")</f>
        <v/>
      </c>
      <c r="P2206" s="7" t="n">
        <f aca="false">IF(K2206="","",K2206-G2206)</f>
        <v>2</v>
      </c>
    </row>
    <row r="2207" customFormat="false" ht="15" hidden="false" customHeight="false" outlineLevel="0" collapsed="false">
      <c r="A2207" s="7" t="n">
        <v>80239642</v>
      </c>
      <c r="B2207" s="7" t="s">
        <v>68</v>
      </c>
      <c r="C2207" s="7" t="s">
        <v>4850</v>
      </c>
      <c r="D2207" s="7" t="s">
        <v>4851</v>
      </c>
      <c r="E2207" s="7" t="s">
        <v>26</v>
      </c>
      <c r="F2207" s="7" t="s">
        <v>4826</v>
      </c>
      <c r="G2207" s="7" t="n">
        <v>2016</v>
      </c>
      <c r="H2207" s="7" t="s">
        <v>49</v>
      </c>
      <c r="I2207" s="7" t="s">
        <v>311</v>
      </c>
      <c r="J2207" s="7" t="s">
        <v>150</v>
      </c>
      <c r="K2207" s="7" t="n">
        <f aca="false">IFERROR(VALUE(RIGHT(TRIM(F2207),4)),"")</f>
        <v>2018</v>
      </c>
      <c r="L2207" s="7" t="str">
        <f aca="false">IF(TRIM(E2207)="","Unknown",IFERROR(LEFT(TRIM(E2207),FIND(",",TRIM(E2207))-1),TRIM(E2207)))</f>
        <v>United States</v>
      </c>
      <c r="M2207" s="7" t="str">
        <f aca="false">IFERROR(LEFT(J2207,FIND(",",J2207)-1),J2207)</f>
        <v>Dramas</v>
      </c>
      <c r="N2207" s="7" t="n">
        <f aca="false">IF(B2207="Movie",IFERROR(VALUE(LEFT(I2207,FIND(" ",I2207)-1)),""),"")</f>
        <v>92</v>
      </c>
      <c r="O2207" s="7" t="str">
        <f aca="false">IF(B2207="TV Show",IFERROR(VALUE(LEFT(I2207,FIND(" ",I2207)-1)),""),"")</f>
        <v/>
      </c>
      <c r="P2207" s="7" t="n">
        <f aca="false">IF(K2207="","",K2207-G2207)</f>
        <v>2</v>
      </c>
    </row>
    <row r="2208" customFormat="false" ht="15" hidden="false" customHeight="false" outlineLevel="0" collapsed="false">
      <c r="A2208" s="7" t="n">
        <v>80239988</v>
      </c>
      <c r="B2208" s="7" t="s">
        <v>68</v>
      </c>
      <c r="C2208" s="7" t="s">
        <v>4852</v>
      </c>
      <c r="D2208" s="7" t="s">
        <v>4853</v>
      </c>
      <c r="E2208" s="7" t="s">
        <v>27</v>
      </c>
      <c r="F2208" s="7" t="s">
        <v>4826</v>
      </c>
      <c r="G2208" s="7" t="n">
        <v>2016</v>
      </c>
      <c r="H2208" s="7" t="s">
        <v>49</v>
      </c>
      <c r="I2208" s="7" t="s">
        <v>524</v>
      </c>
      <c r="J2208" s="7" t="s">
        <v>341</v>
      </c>
      <c r="K2208" s="7" t="n">
        <f aca="false">IFERROR(VALUE(RIGHT(TRIM(F2208),4)),"")</f>
        <v>2018</v>
      </c>
      <c r="L2208" s="7" t="str">
        <f aca="false">IF(TRIM(E2208)="","Unknown",IFERROR(LEFT(TRIM(E2208),FIND(",",TRIM(E2208))-1),TRIM(E2208)))</f>
        <v>India</v>
      </c>
      <c r="M2208" s="7" t="str">
        <f aca="false">IFERROR(LEFT(J2208,FIND(",",J2208)-1),J2208)</f>
        <v>Documentaries</v>
      </c>
      <c r="N2208" s="7" t="n">
        <f aca="false">IF(B2208="Movie",IFERROR(VALUE(LEFT(I2208,FIND(" ",I2208)-1)),""),"")</f>
        <v>83</v>
      </c>
      <c r="O2208" s="7" t="str">
        <f aca="false">IF(B2208="TV Show",IFERROR(VALUE(LEFT(I2208,FIND(" ",I2208)-1)),""),"")</f>
        <v/>
      </c>
      <c r="P2208" s="7" t="n">
        <f aca="false">IF(K2208="","",K2208-G2208)</f>
        <v>2</v>
      </c>
    </row>
    <row r="2209" customFormat="false" ht="15" hidden="false" customHeight="false" outlineLevel="0" collapsed="false">
      <c r="A2209" s="7" t="n">
        <v>80173925</v>
      </c>
      <c r="B2209" s="7" t="s">
        <v>78</v>
      </c>
      <c r="C2209" s="7" t="s">
        <v>4854</v>
      </c>
      <c r="E2209" s="7" t="s">
        <v>26</v>
      </c>
      <c r="F2209" s="7" t="s">
        <v>4826</v>
      </c>
      <c r="G2209" s="7" t="n">
        <v>1999</v>
      </c>
      <c r="H2209" s="7" t="s">
        <v>49</v>
      </c>
      <c r="I2209" s="7" t="s">
        <v>82</v>
      </c>
      <c r="J2209" s="7" t="s">
        <v>4855</v>
      </c>
      <c r="K2209" s="7" t="n">
        <f aca="false">IFERROR(VALUE(RIGHT(TRIM(F2209),4)),"")</f>
        <v>2018</v>
      </c>
      <c r="L2209" s="7" t="str">
        <f aca="false">IF(TRIM(E2209)="","Unknown",IFERROR(LEFT(TRIM(E2209),FIND(",",TRIM(E2209))-1),TRIM(E2209)))</f>
        <v>United States</v>
      </c>
      <c r="M2209" s="7" t="str">
        <f aca="false">IFERROR(LEFT(J2209,FIND(",",J2209)-1),J2209)</f>
        <v>TV Comedies</v>
      </c>
      <c r="N2209" s="7" t="str">
        <f aca="false">IF(B2209="Movie",IFERROR(VALUE(LEFT(I2209,FIND(" ",I2209)-1)),""),"")</f>
        <v/>
      </c>
      <c r="O2209" s="7" t="n">
        <f aca="false">IF(B2209="TV Show",IFERROR(VALUE(LEFT(I2209,FIND(" ",I2209)-1)),""),"")</f>
        <v>1</v>
      </c>
      <c r="P2209" s="7" t="n">
        <f aca="false">IF(K2209="","",K2209-G2209)</f>
        <v>19</v>
      </c>
    </row>
    <row r="2210" customFormat="false" ht="15" hidden="false" customHeight="false" outlineLevel="0" collapsed="false">
      <c r="A2210" s="7" t="n">
        <v>70041893</v>
      </c>
      <c r="B2210" s="7" t="s">
        <v>68</v>
      </c>
      <c r="C2210" s="7" t="s">
        <v>4856</v>
      </c>
      <c r="D2210" s="7" t="s">
        <v>4857</v>
      </c>
      <c r="E2210" s="7" t="s">
        <v>1113</v>
      </c>
      <c r="F2210" s="7" t="s">
        <v>4826</v>
      </c>
      <c r="G2210" s="7" t="n">
        <v>1998</v>
      </c>
      <c r="H2210" s="7" t="s">
        <v>48</v>
      </c>
      <c r="I2210" s="7" t="s">
        <v>467</v>
      </c>
      <c r="J2210" s="7" t="s">
        <v>304</v>
      </c>
      <c r="K2210" s="7" t="n">
        <f aca="false">IFERROR(VALUE(RIGHT(TRIM(F2210),4)),"")</f>
        <v>2018</v>
      </c>
      <c r="L2210" s="7" t="str">
        <f aca="false">IF(TRIM(E2210)="","Unknown",IFERROR(LEFT(TRIM(E2210),FIND(",",TRIM(E2210))-1),TRIM(E2210)))</f>
        <v>Argentina</v>
      </c>
      <c r="M2210" s="7" t="str">
        <f aca="false">IFERROR(LEFT(J2210,FIND(",",J2210)-1),J2210)</f>
        <v>Dramas</v>
      </c>
      <c r="N2210" s="7" t="n">
        <f aca="false">IF(B2210="Movie",IFERROR(VALUE(LEFT(I2210,FIND(" ",I2210)-1)),""),"")</f>
        <v>81</v>
      </c>
      <c r="O2210" s="7" t="str">
        <f aca="false">IF(B2210="TV Show",IFERROR(VALUE(LEFT(I2210,FIND(" ",I2210)-1)),""),"")</f>
        <v/>
      </c>
      <c r="P2210" s="7" t="n">
        <f aca="false">IF(K2210="","",K2210-G2210)</f>
        <v>20</v>
      </c>
    </row>
    <row r="2211" customFormat="false" ht="15" hidden="false" customHeight="false" outlineLevel="0" collapsed="false">
      <c r="A2211" s="7" t="n">
        <v>80238298</v>
      </c>
      <c r="B2211" s="7" t="s">
        <v>68</v>
      </c>
      <c r="C2211" s="7" t="s">
        <v>4858</v>
      </c>
      <c r="D2211" s="7" t="s">
        <v>4859</v>
      </c>
      <c r="E2211" s="7" t="s">
        <v>27</v>
      </c>
      <c r="F2211" s="7" t="s">
        <v>4826</v>
      </c>
      <c r="G2211" s="7" t="n">
        <v>2010</v>
      </c>
      <c r="H2211" s="7" t="s">
        <v>48</v>
      </c>
      <c r="I2211" s="7" t="s">
        <v>1405</v>
      </c>
      <c r="J2211" s="7" t="s">
        <v>1014</v>
      </c>
      <c r="K2211" s="7" t="n">
        <f aca="false">IFERROR(VALUE(RIGHT(TRIM(F2211),4)),"")</f>
        <v>2018</v>
      </c>
      <c r="L2211" s="7" t="str">
        <f aca="false">IF(TRIM(E2211)="","Unknown",IFERROR(LEFT(TRIM(E2211),FIND(",",TRIM(E2211))-1),TRIM(E2211)))</f>
        <v>India</v>
      </c>
      <c r="M2211" s="7" t="str">
        <f aca="false">IFERROR(LEFT(J2211,FIND(",",J2211)-1),J2211)</f>
        <v>Horror Movies</v>
      </c>
      <c r="N2211" s="7" t="n">
        <f aca="false">IF(B2211="Movie",IFERROR(VALUE(LEFT(I2211,FIND(" ",I2211)-1)),""),"")</f>
        <v>115</v>
      </c>
      <c r="O2211" s="7" t="str">
        <f aca="false">IF(B2211="TV Show",IFERROR(VALUE(LEFT(I2211,FIND(" ",I2211)-1)),""),"")</f>
        <v/>
      </c>
      <c r="P2211" s="7" t="n">
        <f aca="false">IF(K2211="","",K2211-G2211)</f>
        <v>8</v>
      </c>
    </row>
    <row r="2212" customFormat="false" ht="15" hidden="false" customHeight="false" outlineLevel="0" collapsed="false">
      <c r="A2212" s="7" t="n">
        <v>80234795</v>
      </c>
      <c r="B2212" s="7" t="s">
        <v>78</v>
      </c>
      <c r="C2212" s="7" t="s">
        <v>4860</v>
      </c>
      <c r="E2212" s="7" t="s">
        <v>27</v>
      </c>
      <c r="F2212" s="7" t="s">
        <v>4826</v>
      </c>
      <c r="G2212" s="7" t="n">
        <v>2010</v>
      </c>
      <c r="H2212" s="7" t="s">
        <v>49</v>
      </c>
      <c r="I2212" s="7" t="s">
        <v>82</v>
      </c>
      <c r="J2212" s="7" t="s">
        <v>158</v>
      </c>
      <c r="K2212" s="7" t="n">
        <f aca="false">IFERROR(VALUE(RIGHT(TRIM(F2212),4)),"")</f>
        <v>2018</v>
      </c>
      <c r="L2212" s="7" t="str">
        <f aca="false">IF(TRIM(E2212)="","Unknown",IFERROR(LEFT(TRIM(E2212),FIND(",",TRIM(E2212))-1),TRIM(E2212)))</f>
        <v>India</v>
      </c>
      <c r="M2212" s="7" t="str">
        <f aca="false">IFERROR(LEFT(J2212,FIND(",",J2212)-1),J2212)</f>
        <v>International TV Shows</v>
      </c>
      <c r="N2212" s="7" t="str">
        <f aca="false">IF(B2212="Movie",IFERROR(VALUE(LEFT(I2212,FIND(" ",I2212)-1)),""),"")</f>
        <v/>
      </c>
      <c r="O2212" s="7" t="n">
        <f aca="false">IF(B2212="TV Show",IFERROR(VALUE(LEFT(I2212,FIND(" ",I2212)-1)),""),"")</f>
        <v>1</v>
      </c>
      <c r="P2212" s="7" t="n">
        <f aca="false">IF(K2212="","",K2212-G2212)</f>
        <v>8</v>
      </c>
    </row>
    <row r="2213" customFormat="false" ht="15" hidden="false" customHeight="false" outlineLevel="0" collapsed="false">
      <c r="A2213" s="7" t="n">
        <v>80238400</v>
      </c>
      <c r="B2213" s="7" t="s">
        <v>68</v>
      </c>
      <c r="C2213" s="7" t="s">
        <v>4861</v>
      </c>
      <c r="D2213" s="7" t="s">
        <v>4862</v>
      </c>
      <c r="E2213" s="7" t="s">
        <v>27</v>
      </c>
      <c r="F2213" s="7" t="s">
        <v>4826</v>
      </c>
      <c r="G2213" s="7" t="n">
        <v>2012</v>
      </c>
      <c r="H2213" s="7" t="s">
        <v>49</v>
      </c>
      <c r="I2213" s="7" t="s">
        <v>1777</v>
      </c>
      <c r="J2213" s="7" t="s">
        <v>1042</v>
      </c>
      <c r="K2213" s="7" t="n">
        <f aca="false">IFERROR(VALUE(RIGHT(TRIM(F2213),4)),"")</f>
        <v>2018</v>
      </c>
      <c r="L2213" s="7" t="str">
        <f aca="false">IF(TRIM(E2213)="","Unknown",IFERROR(LEFT(TRIM(E2213),FIND(",",TRIM(E2213))-1),TRIM(E2213)))</f>
        <v>India</v>
      </c>
      <c r="M2213" s="7" t="str">
        <f aca="false">IFERROR(LEFT(J2213,FIND(",",J2213)-1),J2213)</f>
        <v>Dramas</v>
      </c>
      <c r="N2213" s="7" t="n">
        <f aca="false">IF(B2213="Movie",IFERROR(VALUE(LEFT(I2213,FIND(" ",I2213)-1)),""),"")</f>
        <v>150</v>
      </c>
      <c r="O2213" s="7" t="str">
        <f aca="false">IF(B2213="TV Show",IFERROR(VALUE(LEFT(I2213,FIND(" ",I2213)-1)),""),"")</f>
        <v/>
      </c>
      <c r="P2213" s="7" t="n">
        <f aca="false">IF(K2213="","",K2213-G2213)</f>
        <v>6</v>
      </c>
    </row>
    <row r="2214" customFormat="false" ht="15" hidden="false" customHeight="false" outlineLevel="0" collapsed="false">
      <c r="A2214" s="7" t="n">
        <v>80215154</v>
      </c>
      <c r="B2214" s="7" t="s">
        <v>78</v>
      </c>
      <c r="C2214" s="7" t="s">
        <v>4863</v>
      </c>
      <c r="E2214" s="7" t="s">
        <v>963</v>
      </c>
      <c r="F2214" s="7" t="s">
        <v>4826</v>
      </c>
      <c r="G2214" s="7" t="n">
        <v>2016</v>
      </c>
      <c r="H2214" s="7" t="s">
        <v>48</v>
      </c>
      <c r="I2214" s="7" t="s">
        <v>82</v>
      </c>
      <c r="J2214" s="7" t="s">
        <v>314</v>
      </c>
      <c r="K2214" s="7" t="n">
        <f aca="false">IFERROR(VALUE(RIGHT(TRIM(F2214),4)),"")</f>
        <v>2018</v>
      </c>
      <c r="L2214" s="7" t="str">
        <f aca="false">IF(TRIM(E2214)="","Unknown",IFERROR(LEFT(TRIM(E2214),FIND(",",TRIM(E2214))-1),TRIM(E2214)))</f>
        <v>Egypt</v>
      </c>
      <c r="M2214" s="7" t="str">
        <f aca="false">IFERROR(LEFT(J2214,FIND(",",J2214)-1),J2214)</f>
        <v>International TV Shows</v>
      </c>
      <c r="N2214" s="7" t="str">
        <f aca="false">IF(B2214="Movie",IFERROR(VALUE(LEFT(I2214,FIND(" ",I2214)-1)),""),"")</f>
        <v/>
      </c>
      <c r="O2214" s="7" t="n">
        <f aca="false">IF(B2214="TV Show",IFERROR(VALUE(LEFT(I2214,FIND(" ",I2214)-1)),""),"")</f>
        <v>1</v>
      </c>
      <c r="P2214" s="7" t="n">
        <f aca="false">IF(K2214="","",K2214-G2214)</f>
        <v>2</v>
      </c>
    </row>
    <row r="2215" customFormat="false" ht="15" hidden="false" customHeight="false" outlineLevel="0" collapsed="false">
      <c r="A2215" s="7" t="n">
        <v>80239738</v>
      </c>
      <c r="B2215" s="7" t="s">
        <v>68</v>
      </c>
      <c r="C2215" s="7" t="s">
        <v>4864</v>
      </c>
      <c r="D2215" s="7" t="s">
        <v>4865</v>
      </c>
      <c r="E2215" s="7" t="s">
        <v>27</v>
      </c>
      <c r="F2215" s="7" t="s">
        <v>4826</v>
      </c>
      <c r="G2215" s="7" t="n">
        <v>2010</v>
      </c>
      <c r="H2215" s="7" t="s">
        <v>49</v>
      </c>
      <c r="I2215" s="7" t="s">
        <v>173</v>
      </c>
      <c r="J2215" s="7" t="s">
        <v>304</v>
      </c>
      <c r="K2215" s="7" t="n">
        <f aca="false">IFERROR(VALUE(RIGHT(TRIM(F2215),4)),"")</f>
        <v>2018</v>
      </c>
      <c r="L2215" s="7" t="str">
        <f aca="false">IF(TRIM(E2215)="","Unknown",IFERROR(LEFT(TRIM(E2215),FIND(",",TRIM(E2215))-1),TRIM(E2215)))</f>
        <v>India</v>
      </c>
      <c r="M2215" s="7" t="str">
        <f aca="false">IFERROR(LEFT(J2215,FIND(",",J2215)-1),J2215)</f>
        <v>Dramas</v>
      </c>
      <c r="N2215" s="7" t="n">
        <f aca="false">IF(B2215="Movie",IFERROR(VALUE(LEFT(I2215,FIND(" ",I2215)-1)),""),"")</f>
        <v>106</v>
      </c>
      <c r="O2215" s="7" t="str">
        <f aca="false">IF(B2215="TV Show",IFERROR(VALUE(LEFT(I2215,FIND(" ",I2215)-1)),""),"")</f>
        <v/>
      </c>
      <c r="P2215" s="7" t="n">
        <f aca="false">IF(K2215="","",K2215-G2215)</f>
        <v>8</v>
      </c>
    </row>
    <row r="2216" customFormat="false" ht="15" hidden="false" customHeight="false" outlineLevel="0" collapsed="false">
      <c r="A2216" s="7" t="n">
        <v>80206360</v>
      </c>
      <c r="B2216" s="7" t="s">
        <v>78</v>
      </c>
      <c r="C2216" s="7" t="s">
        <v>4866</v>
      </c>
      <c r="E2216" s="7" t="s">
        <v>4776</v>
      </c>
      <c r="F2216" s="7" t="s">
        <v>4826</v>
      </c>
      <c r="G2216" s="7" t="n">
        <v>2017</v>
      </c>
      <c r="H2216" s="7" t="s">
        <v>48</v>
      </c>
      <c r="I2216" s="7" t="s">
        <v>82</v>
      </c>
      <c r="J2216" s="7" t="s">
        <v>3308</v>
      </c>
      <c r="K2216" s="7" t="n">
        <f aca="false">IFERROR(VALUE(RIGHT(TRIM(F2216),4)),"")</f>
        <v>2018</v>
      </c>
      <c r="L2216" s="7" t="str">
        <f aca="false">IF(TRIM(E2216)="","Unknown",IFERROR(LEFT(TRIM(E2216),FIND(",",TRIM(E2216))-1),TRIM(E2216)))</f>
        <v>Belgium</v>
      </c>
      <c r="M2216" s="7" t="str">
        <f aca="false">IFERROR(LEFT(J2216,FIND(",",J2216)-1),J2216)</f>
        <v>International TV Shows</v>
      </c>
      <c r="N2216" s="7" t="str">
        <f aca="false">IF(B2216="Movie",IFERROR(VALUE(LEFT(I2216,FIND(" ",I2216)-1)),""),"")</f>
        <v/>
      </c>
      <c r="O2216" s="7" t="n">
        <f aca="false">IF(B2216="TV Show",IFERROR(VALUE(LEFT(I2216,FIND(" ",I2216)-1)),""),"")</f>
        <v>1</v>
      </c>
      <c r="P2216" s="7" t="n">
        <f aca="false">IF(K2216="","",K2216-G2216)</f>
        <v>1</v>
      </c>
    </row>
    <row r="2217" customFormat="false" ht="15" hidden="false" customHeight="false" outlineLevel="0" collapsed="false">
      <c r="A2217" s="7" t="n">
        <v>80237300</v>
      </c>
      <c r="B2217" s="7" t="s">
        <v>68</v>
      </c>
      <c r="C2217" s="7" t="s">
        <v>4867</v>
      </c>
      <c r="D2217" s="7" t="s">
        <v>4868</v>
      </c>
      <c r="E2217" s="7" t="s">
        <v>772</v>
      </c>
      <c r="F2217" s="7" t="s">
        <v>4826</v>
      </c>
      <c r="G2217" s="7" t="n">
        <v>2017</v>
      </c>
      <c r="H2217" s="7" t="s">
        <v>48</v>
      </c>
      <c r="I2217" s="7" t="s">
        <v>1405</v>
      </c>
      <c r="J2217" s="7" t="s">
        <v>304</v>
      </c>
      <c r="K2217" s="7" t="n">
        <f aca="false">IFERROR(VALUE(RIGHT(TRIM(F2217),4)),"")</f>
        <v>2018</v>
      </c>
      <c r="L2217" s="7" t="str">
        <f aca="false">IF(TRIM(E2217)="","Unknown",IFERROR(LEFT(TRIM(E2217),FIND(",",TRIM(E2217))-1),TRIM(E2217)))</f>
        <v>Poland</v>
      </c>
      <c r="M2217" s="7" t="str">
        <f aca="false">IFERROR(LEFT(J2217,FIND(",",J2217)-1),J2217)</f>
        <v>Dramas</v>
      </c>
      <c r="N2217" s="7" t="n">
        <f aca="false">IF(B2217="Movie",IFERROR(VALUE(LEFT(I2217,FIND(" ",I2217)-1)),""),"")</f>
        <v>115</v>
      </c>
      <c r="O2217" s="7" t="str">
        <f aca="false">IF(B2217="TV Show",IFERROR(VALUE(LEFT(I2217,FIND(" ",I2217)-1)),""),"")</f>
        <v/>
      </c>
      <c r="P2217" s="7" t="n">
        <f aca="false">IF(K2217="","",K2217-G2217)</f>
        <v>1</v>
      </c>
    </row>
    <row r="2218" customFormat="false" ht="15" hidden="false" customHeight="false" outlineLevel="0" collapsed="false">
      <c r="A2218" s="7" t="n">
        <v>60021758</v>
      </c>
      <c r="B2218" s="7" t="s">
        <v>68</v>
      </c>
      <c r="C2218" s="7" t="s">
        <v>4869</v>
      </c>
      <c r="D2218" s="7" t="s">
        <v>4870</v>
      </c>
      <c r="E2218" s="7" t="s">
        <v>27</v>
      </c>
      <c r="F2218" s="7" t="s">
        <v>4871</v>
      </c>
      <c r="G2218" s="7" t="n">
        <v>2001</v>
      </c>
      <c r="H2218" s="7" t="s">
        <v>51</v>
      </c>
      <c r="I2218" s="7" t="s">
        <v>1449</v>
      </c>
      <c r="J2218" s="7" t="s">
        <v>112</v>
      </c>
      <c r="K2218" s="7" t="n">
        <f aca="false">IFERROR(VALUE(RIGHT(TRIM(F2218),4)),"")</f>
        <v>2017</v>
      </c>
      <c r="L2218" s="7" t="str">
        <f aca="false">IF(TRIM(E2218)="","Unknown",IFERROR(LEFT(TRIM(E2218),FIND(",",TRIM(E2218))-1),TRIM(E2218)))</f>
        <v>India</v>
      </c>
      <c r="M2218" s="7" t="str">
        <f aca="false">IFERROR(LEFT(J2218,FIND(",",J2218)-1),J2218)</f>
        <v>Action &amp; Adventure</v>
      </c>
      <c r="N2218" s="7" t="n">
        <f aca="false">IF(B2218="Movie",IFERROR(VALUE(LEFT(I2218,FIND(" ",I2218)-1)),""),"")</f>
        <v>168</v>
      </c>
      <c r="O2218" s="7" t="str">
        <f aca="false">IF(B2218="TV Show",IFERROR(VALUE(LEFT(I2218,FIND(" ",I2218)-1)),""),"")</f>
        <v/>
      </c>
      <c r="P2218" s="7" t="n">
        <f aca="false">IF(K2218="","",K2218-G2218)</f>
        <v>16</v>
      </c>
    </row>
    <row r="2219" customFormat="false" ht="15" hidden="false" customHeight="false" outlineLevel="0" collapsed="false">
      <c r="A2219" s="7" t="n">
        <v>70095265</v>
      </c>
      <c r="B2219" s="7" t="s">
        <v>68</v>
      </c>
      <c r="C2219" s="7" t="s">
        <v>4872</v>
      </c>
      <c r="D2219" s="7" t="s">
        <v>3473</v>
      </c>
      <c r="E2219" s="7" t="s">
        <v>29</v>
      </c>
      <c r="F2219" s="7" t="s">
        <v>4871</v>
      </c>
      <c r="G2219" s="7" t="n">
        <v>2006</v>
      </c>
      <c r="H2219" s="7" t="s">
        <v>51</v>
      </c>
      <c r="I2219" s="7" t="s">
        <v>386</v>
      </c>
      <c r="J2219" s="7" t="s">
        <v>139</v>
      </c>
      <c r="K2219" s="7" t="n">
        <f aca="false">IFERROR(VALUE(RIGHT(TRIM(F2219),4)),"")</f>
        <v>2017</v>
      </c>
      <c r="L2219" s="7" t="str">
        <f aca="false">IF(TRIM(E2219)="","Unknown",IFERROR(LEFT(TRIM(E2219),FIND(",",TRIM(E2219))-1),TRIM(E2219)))</f>
        <v>Canada</v>
      </c>
      <c r="M2219" s="7" t="str">
        <f aca="false">IFERROR(LEFT(J2219,FIND(",",J2219)-1),J2219)</f>
        <v>Action &amp; Adventure</v>
      </c>
      <c r="N2219" s="7" t="n">
        <f aca="false">IF(B2219="Movie",IFERROR(VALUE(LEFT(I2219,FIND(" ",I2219)-1)),""),"")</f>
        <v>117</v>
      </c>
      <c r="O2219" s="7" t="str">
        <f aca="false">IF(B2219="TV Show",IFERROR(VALUE(LEFT(I2219,FIND(" ",I2219)-1)),""),"")</f>
        <v/>
      </c>
      <c r="P2219" s="7" t="n">
        <f aca="false">IF(K2219="","",K2219-G2219)</f>
        <v>11</v>
      </c>
    </row>
    <row r="2220" customFormat="false" ht="15" hidden="false" customHeight="false" outlineLevel="0" collapsed="false">
      <c r="A2220" s="7" t="n">
        <v>80164075</v>
      </c>
      <c r="B2220" s="7" t="s">
        <v>68</v>
      </c>
      <c r="C2220" s="7" t="s">
        <v>4873</v>
      </c>
      <c r="D2220" s="7" t="s">
        <v>4874</v>
      </c>
      <c r="E2220" s="7" t="s">
        <v>31</v>
      </c>
      <c r="F2220" s="7" t="s">
        <v>4871</v>
      </c>
      <c r="G2220" s="7" t="n">
        <v>2016</v>
      </c>
      <c r="H2220" s="7" t="s">
        <v>48</v>
      </c>
      <c r="I2220" s="7" t="s">
        <v>330</v>
      </c>
      <c r="J2220" s="7" t="s">
        <v>974</v>
      </c>
      <c r="K2220" s="7" t="n">
        <f aca="false">IFERROR(VALUE(RIGHT(TRIM(F2220),4)),"")</f>
        <v>2017</v>
      </c>
      <c r="L2220" s="7" t="str">
        <f aca="false">IF(TRIM(E2220)="","Unknown",IFERROR(LEFT(TRIM(E2220),FIND(",",TRIM(E2220))-1),TRIM(E2220)))</f>
        <v>France</v>
      </c>
      <c r="M2220" s="7" t="str">
        <f aca="false">IFERROR(LEFT(J2220,FIND(",",J2220)-1),J2220)</f>
        <v>Documentaries</v>
      </c>
      <c r="N2220" s="7" t="n">
        <f aca="false">IF(B2220="Movie",IFERROR(VALUE(LEFT(I2220,FIND(" ",I2220)-1)),""),"")</f>
        <v>103</v>
      </c>
      <c r="O2220" s="7" t="str">
        <f aca="false">IF(B2220="TV Show",IFERROR(VALUE(LEFT(I2220,FIND(" ",I2220)-1)),""),"")</f>
        <v/>
      </c>
      <c r="P2220" s="7" t="n">
        <f aca="false">IF(K2220="","",K2220-G2220)</f>
        <v>1</v>
      </c>
    </row>
    <row r="2221" customFormat="false" ht="15" hidden="false" customHeight="false" outlineLevel="0" collapsed="false">
      <c r="A2221" s="7" t="n">
        <v>80117240</v>
      </c>
      <c r="B2221" s="7" t="s">
        <v>68</v>
      </c>
      <c r="C2221" s="7" t="s">
        <v>4875</v>
      </c>
      <c r="D2221" s="7" t="s">
        <v>4876</v>
      </c>
      <c r="E2221" s="7" t="s">
        <v>26</v>
      </c>
      <c r="F2221" s="7" t="s">
        <v>4871</v>
      </c>
      <c r="G2221" s="7" t="n">
        <v>2016</v>
      </c>
      <c r="H2221" s="7" t="s">
        <v>53</v>
      </c>
      <c r="I2221" s="7" t="s">
        <v>154</v>
      </c>
      <c r="J2221" s="7" t="s">
        <v>150</v>
      </c>
      <c r="K2221" s="7" t="n">
        <f aca="false">IFERROR(VALUE(RIGHT(TRIM(F2221),4)),"")</f>
        <v>2017</v>
      </c>
      <c r="L2221" s="7" t="str">
        <f aca="false">IF(TRIM(E2221)="","Unknown",IFERROR(LEFT(TRIM(E2221),FIND(",",TRIM(E2221))-1),TRIM(E2221)))</f>
        <v>United States</v>
      </c>
      <c r="M2221" s="7" t="str">
        <f aca="false">IFERROR(LEFT(J2221,FIND(",",J2221)-1),J2221)</f>
        <v>Dramas</v>
      </c>
      <c r="N2221" s="7" t="n">
        <f aca="false">IF(B2221="Movie",IFERROR(VALUE(LEFT(I2221,FIND(" ",I2221)-1)),""),"")</f>
        <v>80</v>
      </c>
      <c r="O2221" s="7" t="str">
        <f aca="false">IF(B2221="TV Show",IFERROR(VALUE(LEFT(I2221,FIND(" ",I2221)-1)),""),"")</f>
        <v/>
      </c>
      <c r="P2221" s="7" t="n">
        <f aca="false">IF(K2221="","",K2221-G2221)</f>
        <v>1</v>
      </c>
    </row>
    <row r="2222" customFormat="false" ht="15" hidden="false" customHeight="false" outlineLevel="0" collapsed="false">
      <c r="A2222" s="7" t="n">
        <v>80098842</v>
      </c>
      <c r="B2222" s="7" t="s">
        <v>68</v>
      </c>
      <c r="C2222" s="7" t="s">
        <v>4877</v>
      </c>
      <c r="D2222" s="7" t="s">
        <v>4878</v>
      </c>
      <c r="E2222" s="7" t="s">
        <v>28</v>
      </c>
      <c r="F2222" s="7" t="s">
        <v>4871</v>
      </c>
      <c r="G2222" s="7" t="n">
        <v>2016</v>
      </c>
      <c r="H2222" s="7" t="s">
        <v>50</v>
      </c>
      <c r="I2222" s="7" t="s">
        <v>494</v>
      </c>
      <c r="J2222" s="7" t="s">
        <v>4879</v>
      </c>
      <c r="K2222" s="7" t="n">
        <f aca="false">IFERROR(VALUE(RIGHT(TRIM(F2222),4)),"")</f>
        <v>2017</v>
      </c>
      <c r="L2222" s="7" t="str">
        <f aca="false">IF(TRIM(E2222)="","Unknown",IFERROR(LEFT(TRIM(E2222),FIND(",",TRIM(E2222))-1),TRIM(E2222)))</f>
        <v>United Kingdom</v>
      </c>
      <c r="M2222" s="7" t="str">
        <f aca="false">IFERROR(LEFT(J2222,FIND(",",J2222)-1),J2222)</f>
        <v>Documentaries</v>
      </c>
      <c r="N2222" s="7" t="n">
        <f aca="false">IF(B2222="Movie",IFERROR(VALUE(LEFT(I2222,FIND(" ",I2222)-1)),""),"")</f>
        <v>87</v>
      </c>
      <c r="O2222" s="7" t="str">
        <f aca="false">IF(B2222="TV Show",IFERROR(VALUE(LEFT(I2222,FIND(" ",I2222)-1)),""),"")</f>
        <v/>
      </c>
      <c r="P2222" s="7" t="n">
        <f aca="false">IF(K2222="","",K2222-G2222)</f>
        <v>1</v>
      </c>
    </row>
    <row r="2223" customFormat="false" ht="15" hidden="false" customHeight="false" outlineLevel="0" collapsed="false">
      <c r="A2223" s="7" t="n">
        <v>80156935</v>
      </c>
      <c r="B2223" s="7" t="s">
        <v>68</v>
      </c>
      <c r="C2223" s="7" t="s">
        <v>4880</v>
      </c>
      <c r="D2223" s="7" t="s">
        <v>4881</v>
      </c>
      <c r="E2223" s="7" t="s">
        <v>27</v>
      </c>
      <c r="F2223" s="7" t="s">
        <v>4871</v>
      </c>
      <c r="G2223" s="7" t="n">
        <v>2001</v>
      </c>
      <c r="H2223" s="7" t="s">
        <v>49</v>
      </c>
      <c r="I2223" s="7" t="s">
        <v>1094</v>
      </c>
      <c r="J2223" s="7" t="s">
        <v>4035</v>
      </c>
      <c r="K2223" s="7" t="n">
        <f aca="false">IFERROR(VALUE(RIGHT(TRIM(F2223),4)),"")</f>
        <v>2017</v>
      </c>
      <c r="L2223" s="7" t="str">
        <f aca="false">IF(TRIM(E2223)="","Unknown",IFERROR(LEFT(TRIM(E2223),FIND(",",TRIM(E2223))-1),TRIM(E2223)))</f>
        <v>India</v>
      </c>
      <c r="M2223" s="7" t="str">
        <f aca="false">IFERROR(LEFT(J2223,FIND(",",J2223)-1),J2223)</f>
        <v>Action &amp; Adventure</v>
      </c>
      <c r="N2223" s="7" t="n">
        <f aca="false">IF(B2223="Movie",IFERROR(VALUE(LEFT(I2223,FIND(" ",I2223)-1)),""),"")</f>
        <v>160</v>
      </c>
      <c r="O2223" s="7" t="str">
        <f aca="false">IF(B2223="TV Show",IFERROR(VALUE(LEFT(I2223,FIND(" ",I2223)-1)),""),"")</f>
        <v/>
      </c>
      <c r="P2223" s="7" t="n">
        <f aca="false">IF(K2223="","",K2223-G2223)</f>
        <v>16</v>
      </c>
    </row>
    <row r="2224" customFormat="false" ht="15" hidden="false" customHeight="false" outlineLevel="0" collapsed="false">
      <c r="A2224" s="7" t="n">
        <v>80102080</v>
      </c>
      <c r="B2224" s="7" t="s">
        <v>68</v>
      </c>
      <c r="C2224" s="7" t="s">
        <v>4882</v>
      </c>
      <c r="D2224" s="7" t="s">
        <v>4883</v>
      </c>
      <c r="E2224" s="7" t="s">
        <v>27</v>
      </c>
      <c r="F2224" s="7" t="s">
        <v>4871</v>
      </c>
      <c r="G2224" s="7" t="n">
        <v>2014</v>
      </c>
      <c r="H2224" s="7" t="s">
        <v>50</v>
      </c>
      <c r="I2224" s="7" t="s">
        <v>264</v>
      </c>
      <c r="J2224" s="7" t="s">
        <v>304</v>
      </c>
      <c r="K2224" s="7" t="n">
        <f aca="false">IFERROR(VALUE(RIGHT(TRIM(F2224),4)),"")</f>
        <v>2017</v>
      </c>
      <c r="L2224" s="7" t="str">
        <f aca="false">IF(TRIM(E2224)="","Unknown",IFERROR(LEFT(TRIM(E2224),FIND(",",TRIM(E2224))-1),TRIM(E2224)))</f>
        <v>India</v>
      </c>
      <c r="M2224" s="7" t="str">
        <f aca="false">IFERROR(LEFT(J2224,FIND(",",J2224)-1),J2224)</f>
        <v>Dramas</v>
      </c>
      <c r="N2224" s="7" t="n">
        <f aca="false">IF(B2224="Movie",IFERROR(VALUE(LEFT(I2224,FIND(" ",I2224)-1)),""),"")</f>
        <v>88</v>
      </c>
      <c r="O2224" s="7" t="str">
        <f aca="false">IF(B2224="TV Show",IFERROR(VALUE(LEFT(I2224,FIND(" ",I2224)-1)),""),"")</f>
        <v/>
      </c>
      <c r="P2224" s="7" t="n">
        <f aca="false">IF(K2224="","",K2224-G2224)</f>
        <v>3</v>
      </c>
    </row>
    <row r="2225" customFormat="false" ht="15" hidden="false" customHeight="false" outlineLevel="0" collapsed="false">
      <c r="A2225" s="7" t="n">
        <v>80092884</v>
      </c>
      <c r="B2225" s="7" t="s">
        <v>68</v>
      </c>
      <c r="C2225" s="7" t="s">
        <v>4884</v>
      </c>
      <c r="D2225" s="7" t="s">
        <v>4885</v>
      </c>
      <c r="E2225" s="7" t="s">
        <v>4886</v>
      </c>
      <c r="F2225" s="7" t="s">
        <v>4871</v>
      </c>
      <c r="G2225" s="7" t="n">
        <v>2014</v>
      </c>
      <c r="H2225" s="7" t="s">
        <v>48</v>
      </c>
      <c r="I2225" s="7" t="s">
        <v>340</v>
      </c>
      <c r="J2225" s="7" t="s">
        <v>188</v>
      </c>
      <c r="K2225" s="7" t="n">
        <f aca="false">IFERROR(VALUE(RIGHT(TRIM(F2225),4)),"")</f>
        <v>2017</v>
      </c>
      <c r="L2225" s="7" t="str">
        <f aca="false">IF(TRIM(E2225)="","Unknown",IFERROR(LEFT(TRIM(E2225),FIND(",",TRIM(E2225))-1),TRIM(E2225)))</f>
        <v>India</v>
      </c>
      <c r="M2225" s="7" t="str">
        <f aca="false">IFERROR(LEFT(J2225,FIND(",",J2225)-1),J2225)</f>
        <v>Dramas</v>
      </c>
      <c r="N2225" s="7" t="n">
        <f aca="false">IF(B2225="Movie",IFERROR(VALUE(LEFT(I2225,FIND(" ",I2225)-1)),""),"")</f>
        <v>85</v>
      </c>
      <c r="O2225" s="7" t="str">
        <f aca="false">IF(B2225="TV Show",IFERROR(VALUE(LEFT(I2225,FIND(" ",I2225)-1)),""),"")</f>
        <v/>
      </c>
      <c r="P2225" s="7" t="n">
        <f aca="false">IF(K2225="","",K2225-G2225)</f>
        <v>3</v>
      </c>
    </row>
    <row r="2226" customFormat="false" ht="15" hidden="false" customHeight="false" outlineLevel="0" collapsed="false">
      <c r="A2226" s="7" t="n">
        <v>80023794</v>
      </c>
      <c r="B2226" s="7" t="s">
        <v>68</v>
      </c>
      <c r="C2226" s="7" t="s">
        <v>4887</v>
      </c>
      <c r="D2226" s="7" t="s">
        <v>4888</v>
      </c>
      <c r="F2226" s="7" t="s">
        <v>4889</v>
      </c>
      <c r="G2226" s="7" t="n">
        <v>2014</v>
      </c>
      <c r="H2226" s="7" t="s">
        <v>50</v>
      </c>
      <c r="I2226" s="7" t="s">
        <v>162</v>
      </c>
      <c r="J2226" s="7" t="s">
        <v>1085</v>
      </c>
      <c r="K2226" s="7" t="n">
        <f aca="false">IFERROR(VALUE(RIGHT(TRIM(F2226),4)),"")</f>
        <v>2015</v>
      </c>
      <c r="L2226" s="7" t="str">
        <f aca="false">IF(TRIM(E2226)="","Unknown",IFERROR(LEFT(TRIM(E2226),FIND(",",TRIM(E2226))-1),TRIM(E2226)))</f>
        <v>Unknown</v>
      </c>
      <c r="M2226" s="7" t="str">
        <f aca="false">IFERROR(LEFT(J2226,FIND(",",J2226)-1),J2226)</f>
        <v>Documentaries</v>
      </c>
      <c r="N2226" s="7" t="n">
        <f aca="false">IF(B2226="Movie",IFERROR(VALUE(LEFT(I2226,FIND(" ",I2226)-1)),""),"")</f>
        <v>77</v>
      </c>
      <c r="O2226" s="7" t="str">
        <f aca="false">IF(B2226="TV Show",IFERROR(VALUE(LEFT(I2226,FIND(" ",I2226)-1)),""),"")</f>
        <v/>
      </c>
      <c r="P2226" s="7" t="n">
        <f aca="false">IF(K2226="","",K2226-G2226)</f>
        <v>1</v>
      </c>
    </row>
    <row r="2227" customFormat="false" ht="15" hidden="false" customHeight="false" outlineLevel="0" collapsed="false">
      <c r="A2227" s="7" t="n">
        <v>70230417</v>
      </c>
      <c r="B2227" s="7" t="s">
        <v>78</v>
      </c>
      <c r="C2227" s="7" t="s">
        <v>4890</v>
      </c>
      <c r="E2227" s="7" t="s">
        <v>31</v>
      </c>
      <c r="F2227" s="7" t="s">
        <v>4889</v>
      </c>
      <c r="G2227" s="7" t="n">
        <v>2011</v>
      </c>
      <c r="H2227" s="7" t="s">
        <v>226</v>
      </c>
      <c r="I2227" s="7" t="s">
        <v>82</v>
      </c>
      <c r="J2227" s="7" t="s">
        <v>44</v>
      </c>
      <c r="K2227" s="7" t="n">
        <f aca="false">IFERROR(VALUE(RIGHT(TRIM(F2227),4)),"")</f>
        <v>2015</v>
      </c>
      <c r="L2227" s="7" t="str">
        <f aca="false">IF(TRIM(E2227)="","Unknown",IFERROR(LEFT(TRIM(E2227),FIND(",",TRIM(E2227))-1),TRIM(E2227)))</f>
        <v>France</v>
      </c>
      <c r="M2227" s="7" t="str">
        <f aca="false">IFERROR(LEFT(J2227,FIND(",",J2227)-1),J2227)</f>
        <v>Kids' TV</v>
      </c>
      <c r="N2227" s="7" t="str">
        <f aca="false">IF(B2227="Movie",IFERROR(VALUE(LEFT(I2227,FIND(" ",I2227)-1)),""),"")</f>
        <v/>
      </c>
      <c r="O2227" s="7" t="n">
        <f aca="false">IF(B2227="TV Show",IFERROR(VALUE(LEFT(I2227,FIND(" ",I2227)-1)),""),"")</f>
        <v>1</v>
      </c>
      <c r="P2227" s="7" t="n">
        <f aca="false">IF(K2227="","",K2227-G2227)</f>
        <v>4</v>
      </c>
    </row>
    <row r="2228" customFormat="false" ht="15" hidden="false" customHeight="false" outlineLevel="0" collapsed="false">
      <c r="A2228" s="7" t="n">
        <v>81060041</v>
      </c>
      <c r="B2228" s="7" t="s">
        <v>68</v>
      </c>
      <c r="C2228" s="7" t="s">
        <v>4891</v>
      </c>
      <c r="D2228" s="7" t="s">
        <v>4892</v>
      </c>
      <c r="E2228" s="7" t="s">
        <v>26</v>
      </c>
      <c r="F2228" s="7" t="s">
        <v>4893</v>
      </c>
      <c r="G2228" s="7" t="n">
        <v>2017</v>
      </c>
      <c r="H2228" s="7" t="s">
        <v>48</v>
      </c>
      <c r="I2228" s="7" t="s">
        <v>73</v>
      </c>
      <c r="J2228" s="7" t="s">
        <v>3855</v>
      </c>
      <c r="K2228" s="7" t="n">
        <f aca="false">IFERROR(VALUE(RIGHT(TRIM(F2228),4)),"")</f>
        <v>2019</v>
      </c>
      <c r="L2228" s="7" t="str">
        <f aca="false">IF(TRIM(E2228)="","Unknown",IFERROR(LEFT(TRIM(E2228),FIND(",",TRIM(E2228))-1),TRIM(E2228)))</f>
        <v>United States</v>
      </c>
      <c r="M2228" s="7" t="str">
        <f aca="false">IFERROR(LEFT(J2228,FIND(",",J2228)-1),J2228)</f>
        <v>Dramas</v>
      </c>
      <c r="N2228" s="7" t="n">
        <f aca="false">IF(B2228="Movie",IFERROR(VALUE(LEFT(I2228,FIND(" ",I2228)-1)),""),"")</f>
        <v>90</v>
      </c>
      <c r="O2228" s="7" t="str">
        <f aca="false">IF(B2228="TV Show",IFERROR(VALUE(LEFT(I2228,FIND(" ",I2228)-1)),""),"")</f>
        <v/>
      </c>
      <c r="P2228" s="7" t="n">
        <f aca="false">IF(K2228="","",K2228-G2228)</f>
        <v>2</v>
      </c>
    </row>
    <row r="2229" customFormat="false" ht="15" hidden="false" customHeight="false" outlineLevel="0" collapsed="false">
      <c r="A2229" s="7" t="n">
        <v>70090072</v>
      </c>
      <c r="B2229" s="7" t="s">
        <v>68</v>
      </c>
      <c r="C2229" s="7" t="s">
        <v>4894</v>
      </c>
      <c r="D2229" s="7" t="s">
        <v>4650</v>
      </c>
      <c r="E2229" s="7" t="s">
        <v>1269</v>
      </c>
      <c r="F2229" s="7" t="s">
        <v>4893</v>
      </c>
      <c r="G2229" s="7" t="n">
        <v>2007</v>
      </c>
      <c r="H2229" s="7" t="s">
        <v>49</v>
      </c>
      <c r="I2229" s="7" t="s">
        <v>386</v>
      </c>
      <c r="J2229" s="7" t="s">
        <v>240</v>
      </c>
      <c r="K2229" s="7" t="n">
        <f aca="false">IFERROR(VALUE(RIGHT(TRIM(F2229),4)),"")</f>
        <v>2019</v>
      </c>
      <c r="L2229" s="7" t="str">
        <f aca="false">IF(TRIM(E2229)="","Unknown",IFERROR(LEFT(TRIM(E2229),FIND(",",TRIM(E2229))-1),TRIM(E2229)))</f>
        <v>Philippines</v>
      </c>
      <c r="M2229" s="7" t="str">
        <f aca="false">IFERROR(LEFT(J2229,FIND(",",J2229)-1),J2229)</f>
        <v>Dramas</v>
      </c>
      <c r="N2229" s="7" t="n">
        <f aca="false">IF(B2229="Movie",IFERROR(VALUE(LEFT(I2229,FIND(" ",I2229)-1)),""),"")</f>
        <v>117</v>
      </c>
      <c r="O2229" s="7" t="str">
        <f aca="false">IF(B2229="TV Show",IFERROR(VALUE(LEFT(I2229,FIND(" ",I2229)-1)),""),"")</f>
        <v/>
      </c>
      <c r="P2229" s="7" t="n">
        <f aca="false">IF(K2229="","",K2229-G2229)</f>
        <v>12</v>
      </c>
    </row>
    <row r="2230" customFormat="false" ht="15" hidden="false" customHeight="false" outlineLevel="0" collapsed="false">
      <c r="A2230" s="7" t="n">
        <v>80145621</v>
      </c>
      <c r="B2230" s="7" t="s">
        <v>68</v>
      </c>
      <c r="C2230" s="7" t="s">
        <v>4895</v>
      </c>
      <c r="D2230" s="7" t="s">
        <v>4348</v>
      </c>
      <c r="E2230" s="7" t="s">
        <v>1269</v>
      </c>
      <c r="F2230" s="7" t="s">
        <v>4893</v>
      </c>
      <c r="G2230" s="7" t="n">
        <v>2016</v>
      </c>
      <c r="H2230" s="7" t="s">
        <v>49</v>
      </c>
      <c r="I2230" s="7" t="s">
        <v>755</v>
      </c>
      <c r="J2230" s="7" t="s">
        <v>240</v>
      </c>
      <c r="K2230" s="7" t="n">
        <f aca="false">IFERROR(VALUE(RIGHT(TRIM(F2230),4)),"")</f>
        <v>2019</v>
      </c>
      <c r="L2230" s="7" t="str">
        <f aca="false">IF(TRIM(E2230)="","Unknown",IFERROR(LEFT(TRIM(E2230),FIND(",",TRIM(E2230))-1),TRIM(E2230)))</f>
        <v>Philippines</v>
      </c>
      <c r="M2230" s="7" t="str">
        <f aca="false">IFERROR(LEFT(J2230,FIND(",",J2230)-1),J2230)</f>
        <v>Dramas</v>
      </c>
      <c r="N2230" s="7" t="n">
        <f aca="false">IF(B2230="Movie",IFERROR(VALUE(LEFT(I2230,FIND(" ",I2230)-1)),""),"")</f>
        <v>132</v>
      </c>
      <c r="O2230" s="7" t="str">
        <f aca="false">IF(B2230="TV Show",IFERROR(VALUE(LEFT(I2230,FIND(" ",I2230)-1)),""),"")</f>
        <v/>
      </c>
      <c r="P2230" s="7" t="n">
        <f aca="false">IF(K2230="","",K2230-G2230)</f>
        <v>3</v>
      </c>
    </row>
    <row r="2231" customFormat="false" ht="15" hidden="false" customHeight="false" outlineLevel="0" collapsed="false">
      <c r="A2231" s="7" t="n">
        <v>80100268</v>
      </c>
      <c r="B2231" s="7" t="s">
        <v>68</v>
      </c>
      <c r="C2231" s="7" t="s">
        <v>4896</v>
      </c>
      <c r="D2231" s="7" t="s">
        <v>4646</v>
      </c>
      <c r="E2231" s="7" t="s">
        <v>1269</v>
      </c>
      <c r="F2231" s="7" t="s">
        <v>4893</v>
      </c>
      <c r="G2231" s="7" t="n">
        <v>2016</v>
      </c>
      <c r="H2231" s="7" t="s">
        <v>48</v>
      </c>
      <c r="I2231" s="7" t="s">
        <v>378</v>
      </c>
      <c r="J2231" s="7" t="s">
        <v>217</v>
      </c>
      <c r="K2231" s="7" t="n">
        <f aca="false">IFERROR(VALUE(RIGHT(TRIM(F2231),4)),"")</f>
        <v>2019</v>
      </c>
      <c r="L2231" s="7" t="str">
        <f aca="false">IF(TRIM(E2231)="","Unknown",IFERROR(LEFT(TRIM(E2231),FIND(",",TRIM(E2231))-1),TRIM(E2231)))</f>
        <v>Philippines</v>
      </c>
      <c r="M2231" s="7" t="str">
        <f aca="false">IFERROR(LEFT(J2231,FIND(",",J2231)-1),J2231)</f>
        <v>Comedies</v>
      </c>
      <c r="N2231" s="7" t="n">
        <f aca="false">IF(B2231="Movie",IFERROR(VALUE(LEFT(I2231,FIND(" ",I2231)-1)),""),"")</f>
        <v>127</v>
      </c>
      <c r="O2231" s="7" t="str">
        <f aca="false">IF(B2231="TV Show",IFERROR(VALUE(LEFT(I2231,FIND(" ",I2231)-1)),""),"")</f>
        <v/>
      </c>
      <c r="P2231" s="7" t="n">
        <f aca="false">IF(K2231="","",K2231-G2231)</f>
        <v>3</v>
      </c>
    </row>
    <row r="2232" customFormat="false" ht="15" hidden="false" customHeight="false" outlineLevel="0" collapsed="false">
      <c r="A2232" s="7" t="n">
        <v>80206696</v>
      </c>
      <c r="B2232" s="7" t="s">
        <v>68</v>
      </c>
      <c r="C2232" s="7" t="s">
        <v>4897</v>
      </c>
      <c r="D2232" s="7" t="s">
        <v>4653</v>
      </c>
      <c r="E2232" s="7" t="s">
        <v>1269</v>
      </c>
      <c r="F2232" s="7" t="s">
        <v>4893</v>
      </c>
      <c r="G2232" s="7" t="n">
        <v>2017</v>
      </c>
      <c r="H2232" s="7" t="s">
        <v>49</v>
      </c>
      <c r="I2232" s="7" t="s">
        <v>194</v>
      </c>
      <c r="J2232" s="7" t="s">
        <v>426</v>
      </c>
      <c r="K2232" s="7" t="n">
        <f aca="false">IFERROR(VALUE(RIGHT(TRIM(F2232),4)),"")</f>
        <v>2019</v>
      </c>
      <c r="L2232" s="7" t="str">
        <f aca="false">IF(TRIM(E2232)="","Unknown",IFERROR(LEFT(TRIM(E2232),FIND(",",TRIM(E2232))-1),TRIM(E2232)))</f>
        <v>Philippines</v>
      </c>
      <c r="M2232" s="7" t="str">
        <f aca="false">IFERROR(LEFT(J2232,FIND(",",J2232)-1),J2232)</f>
        <v>International Movies</v>
      </c>
      <c r="N2232" s="7" t="n">
        <f aca="false">IF(B2232="Movie",IFERROR(VALUE(LEFT(I2232,FIND(" ",I2232)-1)),""),"")</f>
        <v>125</v>
      </c>
      <c r="O2232" s="7" t="str">
        <f aca="false">IF(B2232="TV Show",IFERROR(VALUE(LEFT(I2232,FIND(" ",I2232)-1)),""),"")</f>
        <v/>
      </c>
      <c r="P2232" s="7" t="n">
        <f aca="false">IF(K2232="","",K2232-G2232)</f>
        <v>2</v>
      </c>
    </row>
    <row r="2233" customFormat="false" ht="15" hidden="false" customHeight="false" outlineLevel="0" collapsed="false">
      <c r="A2233" s="7" t="n">
        <v>81010870</v>
      </c>
      <c r="B2233" s="7" t="s">
        <v>68</v>
      </c>
      <c r="C2233" s="7" t="s">
        <v>4898</v>
      </c>
      <c r="D2233" s="7" t="s">
        <v>4899</v>
      </c>
      <c r="E2233" s="7" t="s">
        <v>1269</v>
      </c>
      <c r="F2233" s="7" t="s">
        <v>4893</v>
      </c>
      <c r="G2233" s="7" t="n">
        <v>2017</v>
      </c>
      <c r="H2233" s="7" t="s">
        <v>48</v>
      </c>
      <c r="I2233" s="7" t="s">
        <v>261</v>
      </c>
      <c r="J2233" s="7" t="s">
        <v>217</v>
      </c>
      <c r="K2233" s="7" t="n">
        <f aca="false">IFERROR(VALUE(RIGHT(TRIM(F2233),4)),"")</f>
        <v>2019</v>
      </c>
      <c r="L2233" s="7" t="str">
        <f aca="false">IF(TRIM(E2233)="","Unknown",IFERROR(LEFT(TRIM(E2233),FIND(",",TRIM(E2233))-1),TRIM(E2233)))</f>
        <v>Philippines</v>
      </c>
      <c r="M2233" s="7" t="str">
        <f aca="false">IFERROR(LEFT(J2233,FIND(",",J2233)-1),J2233)</f>
        <v>Comedies</v>
      </c>
      <c r="N2233" s="7" t="n">
        <f aca="false">IF(B2233="Movie",IFERROR(VALUE(LEFT(I2233,FIND(" ",I2233)-1)),""),"")</f>
        <v>128</v>
      </c>
      <c r="O2233" s="7" t="str">
        <f aca="false">IF(B2233="TV Show",IFERROR(VALUE(LEFT(I2233,FIND(" ",I2233)-1)),""),"")</f>
        <v/>
      </c>
      <c r="P2233" s="7" t="n">
        <f aca="false">IF(K2233="","",K2233-G2233)</f>
        <v>2</v>
      </c>
    </row>
    <row r="2234" customFormat="false" ht="15" hidden="false" customHeight="false" outlineLevel="0" collapsed="false">
      <c r="A2234" s="7" t="n">
        <v>80226234</v>
      </c>
      <c r="B2234" s="7" t="s">
        <v>68</v>
      </c>
      <c r="C2234" s="7" t="s">
        <v>4900</v>
      </c>
      <c r="D2234" s="7" t="s">
        <v>4901</v>
      </c>
      <c r="E2234" s="7" t="s">
        <v>32</v>
      </c>
      <c r="F2234" s="7" t="s">
        <v>4902</v>
      </c>
      <c r="G2234" s="7" t="n">
        <v>2018</v>
      </c>
      <c r="H2234" s="7" t="s">
        <v>48</v>
      </c>
      <c r="I2234" s="7" t="s">
        <v>879</v>
      </c>
      <c r="J2234" s="7" t="s">
        <v>112</v>
      </c>
      <c r="K2234" s="7" t="n">
        <f aca="false">IFERROR(VALUE(RIGHT(TRIM(F2234),4)),"")</f>
        <v>2018</v>
      </c>
      <c r="L2234" s="7" t="str">
        <f aca="false">IF(TRIM(E2234)="","Unknown",IFERROR(LEFT(TRIM(E2234),FIND(",",TRIM(E2234))-1),TRIM(E2234)))</f>
        <v>South Korea</v>
      </c>
      <c r="M2234" s="7" t="str">
        <f aca="false">IFERROR(LEFT(J2234,FIND(",",J2234)-1),J2234)</f>
        <v>Action &amp; Adventure</v>
      </c>
      <c r="N2234" s="7" t="n">
        <f aca="false">IF(B2234="Movie",IFERROR(VALUE(LEFT(I2234,FIND(" ",I2234)-1)),""),"")</f>
        <v>140</v>
      </c>
      <c r="O2234" s="7" t="str">
        <f aca="false">IF(B2234="TV Show",IFERROR(VALUE(LEFT(I2234,FIND(" ",I2234)-1)),""),"")</f>
        <v/>
      </c>
      <c r="P2234" s="7" t="n">
        <f aca="false">IF(K2234="","",K2234-G2234)</f>
        <v>0</v>
      </c>
    </row>
    <row r="2235" customFormat="false" ht="15" hidden="false" customHeight="false" outlineLevel="0" collapsed="false">
      <c r="A2235" s="7" t="n">
        <v>80081274</v>
      </c>
      <c r="B2235" s="7" t="s">
        <v>68</v>
      </c>
      <c r="C2235" s="7" t="s">
        <v>4903</v>
      </c>
      <c r="D2235" s="7" t="s">
        <v>4904</v>
      </c>
      <c r="E2235" s="7" t="s">
        <v>4905</v>
      </c>
      <c r="F2235" s="7" t="s">
        <v>4906</v>
      </c>
      <c r="G2235" s="7" t="n">
        <v>2015</v>
      </c>
      <c r="H2235" s="7" t="s">
        <v>48</v>
      </c>
      <c r="I2235" s="7" t="s">
        <v>417</v>
      </c>
      <c r="J2235" s="7" t="s">
        <v>188</v>
      </c>
      <c r="K2235" s="7" t="n">
        <f aca="false">IFERROR(VALUE(RIGHT(TRIM(F2235),4)),"")</f>
        <v>2017</v>
      </c>
      <c r="L2235" s="7" t="str">
        <f aca="false">IF(TRIM(E2235)="","Unknown",IFERROR(LEFT(TRIM(E2235),FIND(",",TRIM(E2235))-1),TRIM(E2235)))</f>
        <v>India</v>
      </c>
      <c r="M2235" s="7" t="str">
        <f aca="false">IFERROR(LEFT(J2235,FIND(",",J2235)-1),J2235)</f>
        <v>Dramas</v>
      </c>
      <c r="N2235" s="7" t="n">
        <f aca="false">IF(B2235="Movie",IFERROR(VALUE(LEFT(I2235,FIND(" ",I2235)-1)),""),"")</f>
        <v>104</v>
      </c>
      <c r="O2235" s="7" t="str">
        <f aca="false">IF(B2235="TV Show",IFERROR(VALUE(LEFT(I2235,FIND(" ",I2235)-1)),""),"")</f>
        <v/>
      </c>
      <c r="P2235" s="7" t="n">
        <f aca="false">IF(K2235="","",K2235-G2235)</f>
        <v>2</v>
      </c>
    </row>
    <row r="2236" customFormat="false" ht="15" hidden="false" customHeight="false" outlineLevel="0" collapsed="false">
      <c r="A2236" s="7" t="n">
        <v>80170845</v>
      </c>
      <c r="B2236" s="7" t="s">
        <v>78</v>
      </c>
      <c r="C2236" s="7" t="s">
        <v>4907</v>
      </c>
      <c r="E2236" s="7" t="s">
        <v>26</v>
      </c>
      <c r="F2236" s="7" t="s">
        <v>4906</v>
      </c>
      <c r="G2236" s="7" t="n">
        <v>2016</v>
      </c>
      <c r="H2236" s="7" t="s">
        <v>50</v>
      </c>
      <c r="I2236" s="7" t="s">
        <v>82</v>
      </c>
      <c r="J2236" s="7" t="s">
        <v>4908</v>
      </c>
      <c r="K2236" s="7" t="n">
        <f aca="false">IFERROR(VALUE(RIGHT(TRIM(F2236),4)),"")</f>
        <v>2017</v>
      </c>
      <c r="L2236" s="7" t="str">
        <f aca="false">IF(TRIM(E2236)="","Unknown",IFERROR(LEFT(TRIM(E2236),FIND(",",TRIM(E2236))-1),TRIM(E2236)))</f>
        <v>United States</v>
      </c>
      <c r="M2236" s="7" t="str">
        <f aca="false">IFERROR(LEFT(J2236,FIND(",",J2236)-1),J2236)</f>
        <v>Reality TV</v>
      </c>
      <c r="N2236" s="7" t="str">
        <f aca="false">IF(B2236="Movie",IFERROR(VALUE(LEFT(I2236,FIND(" ",I2236)-1)),""),"")</f>
        <v/>
      </c>
      <c r="O2236" s="7" t="n">
        <f aca="false">IF(B2236="TV Show",IFERROR(VALUE(LEFT(I2236,FIND(" ",I2236)-1)),""),"")</f>
        <v>1</v>
      </c>
      <c r="P2236" s="7" t="n">
        <f aca="false">IF(K2236="","",K2236-G2236)</f>
        <v>1</v>
      </c>
    </row>
    <row r="2237" customFormat="false" ht="15" hidden="false" customHeight="false" outlineLevel="0" collapsed="false">
      <c r="A2237" s="7" t="n">
        <v>80134967</v>
      </c>
      <c r="B2237" s="7" t="s">
        <v>68</v>
      </c>
      <c r="C2237" s="7" t="s">
        <v>4909</v>
      </c>
      <c r="D2237" s="7" t="s">
        <v>2163</v>
      </c>
      <c r="E2237" s="7" t="s">
        <v>26</v>
      </c>
      <c r="F2237" s="7" t="s">
        <v>4906</v>
      </c>
      <c r="G2237" s="7" t="n">
        <v>2017</v>
      </c>
      <c r="H2237" s="7" t="s">
        <v>48</v>
      </c>
      <c r="I2237" s="7" t="s">
        <v>117</v>
      </c>
      <c r="J2237" s="7" t="s">
        <v>45</v>
      </c>
      <c r="K2237" s="7" t="n">
        <f aca="false">IFERROR(VALUE(RIGHT(TRIM(F2237),4)),"")</f>
        <v>2017</v>
      </c>
      <c r="L2237" s="7" t="str">
        <f aca="false">IF(TRIM(E2237)="","Unknown",IFERROR(LEFT(TRIM(E2237),FIND(",",TRIM(E2237))-1),TRIM(E2237)))</f>
        <v>United States</v>
      </c>
      <c r="M2237" s="7" t="str">
        <f aca="false">IFERROR(LEFT(J2237,FIND(",",J2237)-1),J2237)</f>
        <v>Stand-Up Comedy</v>
      </c>
      <c r="N2237" s="7" t="n">
        <f aca="false">IF(B2237="Movie",IFERROR(VALUE(LEFT(I2237,FIND(" ",I2237)-1)),""),"")</f>
        <v>62</v>
      </c>
      <c r="O2237" s="7" t="str">
        <f aca="false">IF(B2237="TV Show",IFERROR(VALUE(LEFT(I2237,FIND(" ",I2237)-1)),""),"")</f>
        <v/>
      </c>
      <c r="P2237" s="7" t="n">
        <f aca="false">IF(K2237="","",K2237-G2237)</f>
        <v>0</v>
      </c>
    </row>
    <row r="2238" customFormat="false" ht="15" hidden="false" customHeight="false" outlineLevel="0" collapsed="false">
      <c r="A2238" s="7" t="n">
        <v>70210484</v>
      </c>
      <c r="B2238" s="7" t="s">
        <v>78</v>
      </c>
      <c r="C2238" s="7" t="s">
        <v>4910</v>
      </c>
      <c r="E2238" s="7" t="s">
        <v>26</v>
      </c>
      <c r="F2238" s="7" t="s">
        <v>4906</v>
      </c>
      <c r="G2238" s="7" t="n">
        <v>1996</v>
      </c>
      <c r="H2238" s="7" t="s">
        <v>50</v>
      </c>
      <c r="I2238" s="7" t="s">
        <v>82</v>
      </c>
      <c r="J2238" s="7" t="s">
        <v>164</v>
      </c>
      <c r="K2238" s="7" t="n">
        <f aca="false">IFERROR(VALUE(RIGHT(TRIM(F2238),4)),"")</f>
        <v>2017</v>
      </c>
      <c r="L2238" s="7" t="str">
        <f aca="false">IF(TRIM(E2238)="","Unknown",IFERROR(LEFT(TRIM(E2238),FIND(",",TRIM(E2238))-1),TRIM(E2238)))</f>
        <v>United States</v>
      </c>
      <c r="M2238" s="7" t="str">
        <f aca="false">IFERROR(LEFT(J2238,FIND(",",J2238)-1),J2238)</f>
        <v>Docuseries</v>
      </c>
      <c r="N2238" s="7" t="str">
        <f aca="false">IF(B2238="Movie",IFERROR(VALUE(LEFT(I2238,FIND(" ",I2238)-1)),""),"")</f>
        <v/>
      </c>
      <c r="O2238" s="7" t="n">
        <f aca="false">IF(B2238="TV Show",IFERROR(VALUE(LEFT(I2238,FIND(" ",I2238)-1)),""),"")</f>
        <v>1</v>
      </c>
      <c r="P2238" s="7" t="n">
        <f aca="false">IF(K2238="","",K2238-G2238)</f>
        <v>21</v>
      </c>
    </row>
    <row r="2239" customFormat="false" ht="15" hidden="false" customHeight="false" outlineLevel="0" collapsed="false">
      <c r="A2239" s="7" t="n">
        <v>81049544</v>
      </c>
      <c r="B2239" s="7" t="s">
        <v>78</v>
      </c>
      <c r="C2239" s="7" t="s">
        <v>4911</v>
      </c>
      <c r="E2239" s="7" t="s">
        <v>963</v>
      </c>
      <c r="F2239" s="7" t="s">
        <v>4912</v>
      </c>
      <c r="G2239" s="7" t="n">
        <v>2018</v>
      </c>
      <c r="H2239" s="7" t="s">
        <v>49</v>
      </c>
      <c r="I2239" s="7" t="s">
        <v>82</v>
      </c>
      <c r="J2239" s="7" t="s">
        <v>3308</v>
      </c>
      <c r="K2239" s="7" t="n">
        <f aca="false">IFERROR(VALUE(RIGHT(TRIM(F2239),4)),"")</f>
        <v>2019</v>
      </c>
      <c r="L2239" s="7" t="str">
        <f aca="false">IF(TRIM(E2239)="","Unknown",IFERROR(LEFT(TRIM(E2239),FIND(",",TRIM(E2239))-1),TRIM(E2239)))</f>
        <v>Egypt</v>
      </c>
      <c r="M2239" s="7" t="str">
        <f aca="false">IFERROR(LEFT(J2239,FIND(",",J2239)-1),J2239)</f>
        <v>International TV Shows</v>
      </c>
      <c r="N2239" s="7" t="str">
        <f aca="false">IF(B2239="Movie",IFERROR(VALUE(LEFT(I2239,FIND(" ",I2239)-1)),""),"")</f>
        <v/>
      </c>
      <c r="O2239" s="7" t="n">
        <f aca="false">IF(B2239="TV Show",IFERROR(VALUE(LEFT(I2239,FIND(" ",I2239)-1)),""),"")</f>
        <v>1</v>
      </c>
      <c r="P2239" s="7" t="n">
        <f aca="false">IF(K2239="","",K2239-G2239)</f>
        <v>1</v>
      </c>
    </row>
    <row r="2240" customFormat="false" ht="15" hidden="false" customHeight="false" outlineLevel="0" collapsed="false">
      <c r="A2240" s="7" t="n">
        <v>81049511</v>
      </c>
      <c r="B2240" s="7" t="s">
        <v>78</v>
      </c>
      <c r="C2240" s="7" t="s">
        <v>4913</v>
      </c>
      <c r="E2240" s="7" t="s">
        <v>963</v>
      </c>
      <c r="F2240" s="7" t="s">
        <v>4912</v>
      </c>
      <c r="G2240" s="7" t="n">
        <v>2018</v>
      </c>
      <c r="H2240" s="7" t="s">
        <v>49</v>
      </c>
      <c r="I2240" s="7" t="s">
        <v>82</v>
      </c>
      <c r="J2240" s="7" t="s">
        <v>2687</v>
      </c>
      <c r="K2240" s="7" t="n">
        <f aca="false">IFERROR(VALUE(RIGHT(TRIM(F2240),4)),"")</f>
        <v>2019</v>
      </c>
      <c r="L2240" s="7" t="str">
        <f aca="false">IF(TRIM(E2240)="","Unknown",IFERROR(LEFT(TRIM(E2240),FIND(",",TRIM(E2240))-1),TRIM(E2240)))</f>
        <v>Egypt</v>
      </c>
      <c r="M2240" s="7" t="str">
        <f aca="false">IFERROR(LEFT(J2240,FIND(",",J2240)-1),J2240)</f>
        <v>International TV Shows</v>
      </c>
      <c r="N2240" s="7" t="str">
        <f aca="false">IF(B2240="Movie",IFERROR(VALUE(LEFT(I2240,FIND(" ",I2240)-1)),""),"")</f>
        <v/>
      </c>
      <c r="O2240" s="7" t="n">
        <f aca="false">IF(B2240="TV Show",IFERROR(VALUE(LEFT(I2240,FIND(" ",I2240)-1)),""),"")</f>
        <v>1</v>
      </c>
      <c r="P2240" s="7" t="n">
        <f aca="false">IF(K2240="","",K2240-G2240)</f>
        <v>1</v>
      </c>
    </row>
    <row r="2241" customFormat="false" ht="15" hidden="false" customHeight="false" outlineLevel="0" collapsed="false">
      <c r="A2241" s="7" t="n">
        <v>80192187</v>
      </c>
      <c r="B2241" s="7" t="s">
        <v>68</v>
      </c>
      <c r="C2241" s="7" t="s">
        <v>4914</v>
      </c>
      <c r="D2241" s="7" t="s">
        <v>4915</v>
      </c>
      <c r="E2241" s="7" t="s">
        <v>26</v>
      </c>
      <c r="F2241" s="7" t="s">
        <v>4912</v>
      </c>
      <c r="G2241" s="7" t="n">
        <v>2019</v>
      </c>
      <c r="H2241" s="7" t="s">
        <v>51</v>
      </c>
      <c r="I2241" s="7" t="s">
        <v>235</v>
      </c>
      <c r="J2241" s="7" t="s">
        <v>40</v>
      </c>
      <c r="K2241" s="7" t="n">
        <f aca="false">IFERROR(VALUE(RIGHT(TRIM(F2241),4)),"")</f>
        <v>2019</v>
      </c>
      <c r="L2241" s="7" t="str">
        <f aca="false">IF(TRIM(E2241)="","Unknown",IFERROR(LEFT(TRIM(E2241),FIND(",",TRIM(E2241))-1),TRIM(E2241)))</f>
        <v>United States</v>
      </c>
      <c r="M2241" s="7" t="str">
        <f aca="false">IFERROR(LEFT(J2241,FIND(",",J2241)-1),J2241)</f>
        <v>Action &amp; Adventure</v>
      </c>
      <c r="N2241" s="7" t="n">
        <f aca="false">IF(B2241="Movie",IFERROR(VALUE(LEFT(I2241,FIND(" ",I2241)-1)),""),"")</f>
        <v>126</v>
      </c>
      <c r="O2241" s="7" t="str">
        <f aca="false">IF(B2241="TV Show",IFERROR(VALUE(LEFT(I2241,FIND(" ",I2241)-1)),""),"")</f>
        <v/>
      </c>
      <c r="P2241" s="7" t="n">
        <f aca="false">IF(K2241="","",K2241-G2241)</f>
        <v>0</v>
      </c>
    </row>
    <row r="2242" customFormat="false" ht="15" hidden="false" customHeight="false" outlineLevel="0" collapsed="false">
      <c r="A2242" s="7" t="n">
        <v>80174917</v>
      </c>
      <c r="B2242" s="7" t="s">
        <v>78</v>
      </c>
      <c r="C2242" s="7" t="s">
        <v>4916</v>
      </c>
      <c r="E2242" s="7" t="s">
        <v>30</v>
      </c>
      <c r="F2242" s="7" t="s">
        <v>4917</v>
      </c>
      <c r="G2242" s="7" t="n">
        <v>2017</v>
      </c>
      <c r="H2242" s="7" t="s">
        <v>48</v>
      </c>
      <c r="I2242" s="7" t="s">
        <v>82</v>
      </c>
      <c r="J2242" s="7" t="s">
        <v>542</v>
      </c>
      <c r="K2242" s="7" t="n">
        <f aca="false">IFERROR(VALUE(RIGHT(TRIM(F2242),4)),"")</f>
        <v>2018</v>
      </c>
      <c r="L2242" s="7" t="str">
        <f aca="false">IF(TRIM(E2242)="","Unknown",IFERROR(LEFT(TRIM(E2242),FIND(",",TRIM(E2242))-1),TRIM(E2242)))</f>
        <v>Japan</v>
      </c>
      <c r="M2242" s="7" t="str">
        <f aca="false">IFERROR(LEFT(J2242,FIND(",",J2242)-1),J2242)</f>
        <v>Anime Series</v>
      </c>
      <c r="N2242" s="7" t="str">
        <f aca="false">IF(B2242="Movie",IFERROR(VALUE(LEFT(I2242,FIND(" ",I2242)-1)),""),"")</f>
        <v/>
      </c>
      <c r="O2242" s="7" t="n">
        <f aca="false">IF(B2242="TV Show",IFERROR(VALUE(LEFT(I2242,FIND(" ",I2242)-1)),""),"")</f>
        <v>1</v>
      </c>
      <c r="P2242" s="7" t="n">
        <f aca="false">IF(K2242="","",K2242-G2242)</f>
        <v>1</v>
      </c>
    </row>
    <row r="2243" customFormat="false" ht="15" hidden="false" customHeight="false" outlineLevel="0" collapsed="false">
      <c r="A2243" s="7" t="n">
        <v>80189653</v>
      </c>
      <c r="B2243" s="7" t="s">
        <v>68</v>
      </c>
      <c r="C2243" s="7" t="s">
        <v>4918</v>
      </c>
      <c r="D2243" s="7" t="s">
        <v>4919</v>
      </c>
      <c r="E2243" s="7" t="s">
        <v>28</v>
      </c>
      <c r="F2243" s="7" t="s">
        <v>4917</v>
      </c>
      <c r="G2243" s="7" t="n">
        <v>2018</v>
      </c>
      <c r="H2243" s="7" t="s">
        <v>48</v>
      </c>
      <c r="I2243" s="7" t="s">
        <v>143</v>
      </c>
      <c r="J2243" s="7" t="s">
        <v>45</v>
      </c>
      <c r="K2243" s="7" t="n">
        <f aca="false">IFERROR(VALUE(RIGHT(TRIM(F2243),4)),"")</f>
        <v>2018</v>
      </c>
      <c r="L2243" s="7" t="str">
        <f aca="false">IF(TRIM(E2243)="","Unknown",IFERROR(LEFT(TRIM(E2243),FIND(",",TRIM(E2243))-1),TRIM(E2243)))</f>
        <v>United Kingdom</v>
      </c>
      <c r="M2243" s="7" t="str">
        <f aca="false">IFERROR(LEFT(J2243,FIND(",",J2243)-1),J2243)</f>
        <v>Stand-Up Comedy</v>
      </c>
      <c r="N2243" s="7" t="n">
        <f aca="false">IF(B2243="Movie",IFERROR(VALUE(LEFT(I2243,FIND(" ",I2243)-1)),""),"")</f>
        <v>79</v>
      </c>
      <c r="O2243" s="7" t="str">
        <f aca="false">IF(B2243="TV Show",IFERROR(VALUE(LEFT(I2243,FIND(" ",I2243)-1)),""),"")</f>
        <v/>
      </c>
      <c r="P2243" s="7" t="n">
        <f aca="false">IF(K2243="","",K2243-G2243)</f>
        <v>0</v>
      </c>
    </row>
    <row r="2244" customFormat="false" ht="15" hidden="false" customHeight="false" outlineLevel="0" collapsed="false">
      <c r="A2244" s="7" t="n">
        <v>80135585</v>
      </c>
      <c r="B2244" s="7" t="s">
        <v>68</v>
      </c>
      <c r="C2244" s="7" t="s">
        <v>4920</v>
      </c>
      <c r="D2244" s="7" t="s">
        <v>4921</v>
      </c>
      <c r="E2244" s="7" t="s">
        <v>26</v>
      </c>
      <c r="F2244" s="7" t="s">
        <v>4917</v>
      </c>
      <c r="G2244" s="7" t="n">
        <v>2018</v>
      </c>
      <c r="H2244" s="7" t="s">
        <v>81</v>
      </c>
      <c r="I2244" s="7" t="s">
        <v>417</v>
      </c>
      <c r="J2244" s="7" t="s">
        <v>42</v>
      </c>
      <c r="K2244" s="7" t="n">
        <f aca="false">IFERROR(VALUE(RIGHT(TRIM(F2244),4)),"")</f>
        <v>2018</v>
      </c>
      <c r="L2244" s="7" t="str">
        <f aca="false">IF(TRIM(E2244)="","Unknown",IFERROR(LEFT(TRIM(E2244),FIND(",",TRIM(E2244))-1),TRIM(E2244)))</f>
        <v>United States</v>
      </c>
      <c r="M2244" s="7" t="str">
        <f aca="false">IFERROR(LEFT(J2244,FIND(",",J2244)-1),J2244)</f>
        <v>Children &amp; Family Movies</v>
      </c>
      <c r="N2244" s="7" t="n">
        <f aca="false">IF(B2244="Movie",IFERROR(VALUE(LEFT(I2244,FIND(" ",I2244)-1)),""),"")</f>
        <v>104</v>
      </c>
      <c r="O2244" s="7" t="str">
        <f aca="false">IF(B2244="TV Show",IFERROR(VALUE(LEFT(I2244,FIND(" ",I2244)-1)),""),"")</f>
        <v/>
      </c>
      <c r="P2244" s="7" t="n">
        <f aca="false">IF(K2244="","",K2244-G2244)</f>
        <v>0</v>
      </c>
    </row>
    <row r="2245" customFormat="false" ht="15" hidden="false" customHeight="false" outlineLevel="0" collapsed="false">
      <c r="A2245" s="7" t="n">
        <v>80094387</v>
      </c>
      <c r="B2245" s="7" t="s">
        <v>78</v>
      </c>
      <c r="C2245" s="7" t="s">
        <v>4922</v>
      </c>
      <c r="E2245" s="7" t="s">
        <v>32</v>
      </c>
      <c r="F2245" s="7" t="s">
        <v>4923</v>
      </c>
      <c r="G2245" s="7" t="n">
        <v>2010</v>
      </c>
      <c r="H2245" s="7" t="s">
        <v>48</v>
      </c>
      <c r="I2245" s="7" t="s">
        <v>82</v>
      </c>
      <c r="J2245" s="7" t="s">
        <v>1877</v>
      </c>
      <c r="K2245" s="7" t="n">
        <f aca="false">IFERROR(VALUE(RIGHT(TRIM(F2245),4)),"")</f>
        <v>2019</v>
      </c>
      <c r="L2245" s="7" t="str">
        <f aca="false">IF(TRIM(E2245)="","Unknown",IFERROR(LEFT(TRIM(E2245),FIND(",",TRIM(E2245))-1),TRIM(E2245)))</f>
        <v>South Korea</v>
      </c>
      <c r="M2245" s="7" t="str">
        <f aca="false">IFERROR(LEFT(J2245,FIND(",",J2245)-1),J2245)</f>
        <v>Crime TV Shows</v>
      </c>
      <c r="N2245" s="7" t="str">
        <f aca="false">IF(B2245="Movie",IFERROR(VALUE(LEFT(I2245,FIND(" ",I2245)-1)),""),"")</f>
        <v/>
      </c>
      <c r="O2245" s="7" t="n">
        <f aca="false">IF(B2245="TV Show",IFERROR(VALUE(LEFT(I2245,FIND(" ",I2245)-1)),""),"")</f>
        <v>1</v>
      </c>
      <c r="P2245" s="7" t="n">
        <f aca="false">IF(K2245="","",K2245-G2245)</f>
        <v>9</v>
      </c>
    </row>
    <row r="2246" customFormat="false" ht="15" hidden="false" customHeight="false" outlineLevel="0" collapsed="false">
      <c r="A2246" s="7" t="n">
        <v>80094386</v>
      </c>
      <c r="B2246" s="7" t="s">
        <v>78</v>
      </c>
      <c r="C2246" s="7" t="s">
        <v>4924</v>
      </c>
      <c r="E2246" s="7" t="s">
        <v>32</v>
      </c>
      <c r="F2246" s="7" t="s">
        <v>4923</v>
      </c>
      <c r="G2246" s="7" t="n">
        <v>2009</v>
      </c>
      <c r="H2246" s="7" t="s">
        <v>49</v>
      </c>
      <c r="I2246" s="7" t="s">
        <v>82</v>
      </c>
      <c r="J2246" s="7" t="s">
        <v>637</v>
      </c>
      <c r="K2246" s="7" t="n">
        <f aca="false">IFERROR(VALUE(RIGHT(TRIM(F2246),4)),"")</f>
        <v>2019</v>
      </c>
      <c r="L2246" s="7" t="str">
        <f aca="false">IF(TRIM(E2246)="","Unknown",IFERROR(LEFT(TRIM(E2246),FIND(",",TRIM(E2246))-1),TRIM(E2246)))</f>
        <v>South Korea</v>
      </c>
      <c r="M2246" s="7" t="str">
        <f aca="false">IFERROR(LEFT(J2246,FIND(",",J2246)-1),J2246)</f>
        <v>International TV Shows</v>
      </c>
      <c r="N2246" s="7" t="str">
        <f aca="false">IF(B2246="Movie",IFERROR(VALUE(LEFT(I2246,FIND(" ",I2246)-1)),""),"")</f>
        <v/>
      </c>
      <c r="O2246" s="7" t="n">
        <f aca="false">IF(B2246="TV Show",IFERROR(VALUE(LEFT(I2246,FIND(" ",I2246)-1)),""),"")</f>
        <v>1</v>
      </c>
      <c r="P2246" s="7" t="n">
        <f aca="false">IF(K2246="","",K2246-G2246)</f>
        <v>10</v>
      </c>
    </row>
    <row r="2247" customFormat="false" ht="15" hidden="false" customHeight="false" outlineLevel="0" collapsed="false">
      <c r="A2247" s="7" t="n">
        <v>80214087</v>
      </c>
      <c r="B2247" s="7" t="s">
        <v>68</v>
      </c>
      <c r="C2247" s="7" t="s">
        <v>4925</v>
      </c>
      <c r="D2247" s="7" t="s">
        <v>1466</v>
      </c>
      <c r="F2247" s="7" t="s">
        <v>4923</v>
      </c>
      <c r="G2247" s="7" t="n">
        <v>2019</v>
      </c>
      <c r="H2247" s="7" t="s">
        <v>48</v>
      </c>
      <c r="I2247" s="7" t="s">
        <v>114</v>
      </c>
      <c r="J2247" s="7" t="s">
        <v>45</v>
      </c>
      <c r="K2247" s="7" t="n">
        <f aca="false">IFERROR(VALUE(RIGHT(TRIM(F2247),4)),"")</f>
        <v>2019</v>
      </c>
      <c r="L2247" s="7" t="str">
        <f aca="false">IF(TRIM(E2247)="","Unknown",IFERROR(LEFT(TRIM(E2247),FIND(",",TRIM(E2247))-1),TRIM(E2247)))</f>
        <v>Unknown</v>
      </c>
      <c r="M2247" s="7" t="str">
        <f aca="false">IFERROR(LEFT(J2247,FIND(",",J2247)-1),J2247)</f>
        <v>Stand-Up Comedy</v>
      </c>
      <c r="N2247" s="7" t="n">
        <f aca="false">IF(B2247="Movie",IFERROR(VALUE(LEFT(I2247,FIND(" ",I2247)-1)),""),"")</f>
        <v>58</v>
      </c>
      <c r="O2247" s="7" t="str">
        <f aca="false">IF(B2247="TV Show",IFERROR(VALUE(LEFT(I2247,FIND(" ",I2247)-1)),""),"")</f>
        <v/>
      </c>
      <c r="P2247" s="7" t="n">
        <f aca="false">IF(K2247="","",K2247-G2247)</f>
        <v>0</v>
      </c>
    </row>
    <row r="2248" customFormat="false" ht="15" hidden="false" customHeight="false" outlineLevel="0" collapsed="false">
      <c r="A2248" s="7" t="n">
        <v>80216664</v>
      </c>
      <c r="B2248" s="7" t="s">
        <v>68</v>
      </c>
      <c r="C2248" s="7" t="s">
        <v>4926</v>
      </c>
      <c r="D2248" s="7" t="s">
        <v>4927</v>
      </c>
      <c r="E2248" s="7" t="s">
        <v>26</v>
      </c>
      <c r="F2248" s="7" t="s">
        <v>4928</v>
      </c>
      <c r="G2248" s="7" t="n">
        <v>2017</v>
      </c>
      <c r="H2248" s="7" t="s">
        <v>48</v>
      </c>
      <c r="I2248" s="7" t="s">
        <v>734</v>
      </c>
      <c r="J2248" s="7" t="s">
        <v>1927</v>
      </c>
      <c r="K2248" s="7" t="n">
        <f aca="false">IFERROR(VALUE(RIGHT(TRIM(F2248),4)),"")</f>
        <v>2018</v>
      </c>
      <c r="L2248" s="7" t="str">
        <f aca="false">IF(TRIM(E2248)="","Unknown",IFERROR(LEFT(TRIM(E2248),FIND(",",TRIM(E2248))-1),TRIM(E2248)))</f>
        <v>United States</v>
      </c>
      <c r="M2248" s="7" t="str">
        <f aca="false">IFERROR(LEFT(J2248,FIND(",",J2248)-1),J2248)</f>
        <v>Music &amp; Musicals</v>
      </c>
      <c r="N2248" s="7" t="n">
        <f aca="false">IF(B2248="Movie",IFERROR(VALUE(LEFT(I2248,FIND(" ",I2248)-1)),""),"")</f>
        <v>52</v>
      </c>
      <c r="O2248" s="7" t="str">
        <f aca="false">IF(B2248="TV Show",IFERROR(VALUE(LEFT(I2248,FIND(" ",I2248)-1)),""),"")</f>
        <v/>
      </c>
      <c r="P2248" s="7" t="n">
        <f aca="false">IF(K2248="","",K2248-G2248)</f>
        <v>1</v>
      </c>
    </row>
    <row r="2249" customFormat="false" ht="15" hidden="false" customHeight="false" outlineLevel="0" collapsed="false">
      <c r="A2249" s="7" t="n">
        <v>80017535</v>
      </c>
      <c r="B2249" s="7" t="s">
        <v>68</v>
      </c>
      <c r="C2249" s="7" t="s">
        <v>4929</v>
      </c>
      <c r="D2249" s="7" t="s">
        <v>4930</v>
      </c>
      <c r="E2249" s="7" t="s">
        <v>26</v>
      </c>
      <c r="F2249" s="7" t="s">
        <v>4928</v>
      </c>
      <c r="G2249" s="7" t="n">
        <v>2017</v>
      </c>
      <c r="H2249" s="7" t="s">
        <v>48</v>
      </c>
      <c r="I2249" s="7" t="s">
        <v>73</v>
      </c>
      <c r="J2249" s="7" t="s">
        <v>40</v>
      </c>
      <c r="K2249" s="7" t="n">
        <f aca="false">IFERROR(VALUE(RIGHT(TRIM(F2249),4)),"")</f>
        <v>2018</v>
      </c>
      <c r="L2249" s="7" t="str">
        <f aca="false">IF(TRIM(E2249)="","Unknown",IFERROR(LEFT(TRIM(E2249),FIND(",",TRIM(E2249))-1),TRIM(E2249)))</f>
        <v>United States</v>
      </c>
      <c r="M2249" s="7" t="str">
        <f aca="false">IFERROR(LEFT(J2249,FIND(",",J2249)-1),J2249)</f>
        <v>Action &amp; Adventure</v>
      </c>
      <c r="N2249" s="7" t="n">
        <f aca="false">IF(B2249="Movie",IFERROR(VALUE(LEFT(I2249,FIND(" ",I2249)-1)),""),"")</f>
        <v>90</v>
      </c>
      <c r="O2249" s="7" t="str">
        <f aca="false">IF(B2249="TV Show",IFERROR(VALUE(LEFT(I2249,FIND(" ",I2249)-1)),""),"")</f>
        <v/>
      </c>
      <c r="P2249" s="7" t="n">
        <f aca="false">IF(K2249="","",K2249-G2249)</f>
        <v>1</v>
      </c>
    </row>
    <row r="2250" customFormat="false" ht="15" hidden="false" customHeight="false" outlineLevel="0" collapsed="false">
      <c r="A2250" s="7" t="n">
        <v>81049674</v>
      </c>
      <c r="B2250" s="7" t="s">
        <v>78</v>
      </c>
      <c r="C2250" s="7" t="s">
        <v>4931</v>
      </c>
      <c r="E2250" s="7" t="s">
        <v>963</v>
      </c>
      <c r="F2250" s="7" t="s">
        <v>4932</v>
      </c>
      <c r="G2250" s="7" t="n">
        <v>2018</v>
      </c>
      <c r="H2250" s="7" t="s">
        <v>49</v>
      </c>
      <c r="I2250" s="7" t="s">
        <v>82</v>
      </c>
      <c r="J2250" s="7" t="s">
        <v>314</v>
      </c>
      <c r="K2250" s="7" t="n">
        <f aca="false">IFERROR(VALUE(RIGHT(TRIM(F2250),4)),"")</f>
        <v>2019</v>
      </c>
      <c r="L2250" s="7" t="str">
        <f aca="false">IF(TRIM(E2250)="","Unknown",IFERROR(LEFT(TRIM(E2250),FIND(",",TRIM(E2250))-1),TRIM(E2250)))</f>
        <v>Egypt</v>
      </c>
      <c r="M2250" s="7" t="str">
        <f aca="false">IFERROR(LEFT(J2250,FIND(",",J2250)-1),J2250)</f>
        <v>International TV Shows</v>
      </c>
      <c r="N2250" s="7" t="str">
        <f aca="false">IF(B2250="Movie",IFERROR(VALUE(LEFT(I2250,FIND(" ",I2250)-1)),""),"")</f>
        <v/>
      </c>
      <c r="O2250" s="7" t="n">
        <f aca="false">IF(B2250="TV Show",IFERROR(VALUE(LEFT(I2250,FIND(" ",I2250)-1)),""),"")</f>
        <v>1</v>
      </c>
      <c r="P2250" s="7" t="n">
        <f aca="false">IF(K2250="","",K2250-G2250)</f>
        <v>1</v>
      </c>
    </row>
    <row r="2251" customFormat="false" ht="15" hidden="false" customHeight="false" outlineLevel="0" collapsed="false">
      <c r="A2251" s="7" t="n">
        <v>81049707</v>
      </c>
      <c r="B2251" s="7" t="s">
        <v>78</v>
      </c>
      <c r="C2251" s="7" t="s">
        <v>4933</v>
      </c>
      <c r="E2251" s="7" t="s">
        <v>963</v>
      </c>
      <c r="F2251" s="7" t="s">
        <v>4932</v>
      </c>
      <c r="G2251" s="7" t="n">
        <v>2017</v>
      </c>
      <c r="H2251" s="7" t="s">
        <v>48</v>
      </c>
      <c r="I2251" s="7" t="s">
        <v>82</v>
      </c>
      <c r="J2251" s="7" t="s">
        <v>344</v>
      </c>
      <c r="K2251" s="7" t="n">
        <f aca="false">IFERROR(VALUE(RIGHT(TRIM(F2251),4)),"")</f>
        <v>2019</v>
      </c>
      <c r="L2251" s="7" t="str">
        <f aca="false">IF(TRIM(E2251)="","Unknown",IFERROR(LEFT(TRIM(E2251),FIND(",",TRIM(E2251))-1),TRIM(E2251)))</f>
        <v>Egypt</v>
      </c>
      <c r="M2251" s="7" t="str">
        <f aca="false">IFERROR(LEFT(J2251,FIND(",",J2251)-1),J2251)</f>
        <v>International TV Shows</v>
      </c>
      <c r="N2251" s="7" t="str">
        <f aca="false">IF(B2251="Movie",IFERROR(VALUE(LEFT(I2251,FIND(" ",I2251)-1)),""),"")</f>
        <v/>
      </c>
      <c r="O2251" s="7" t="n">
        <f aca="false">IF(B2251="TV Show",IFERROR(VALUE(LEFT(I2251,FIND(" ",I2251)-1)),""),"")</f>
        <v>1</v>
      </c>
      <c r="P2251" s="7" t="n">
        <f aca="false">IF(K2251="","",K2251-G2251)</f>
        <v>2</v>
      </c>
    </row>
    <row r="2252" customFormat="false" ht="15" hidden="false" customHeight="false" outlineLevel="0" collapsed="false">
      <c r="A2252" s="7" t="n">
        <v>80219917</v>
      </c>
      <c r="B2252" s="7" t="s">
        <v>68</v>
      </c>
      <c r="C2252" s="7" t="s">
        <v>4934</v>
      </c>
      <c r="D2252" s="7" t="s">
        <v>4935</v>
      </c>
      <c r="E2252" s="7" t="s">
        <v>2713</v>
      </c>
      <c r="F2252" s="7" t="s">
        <v>4936</v>
      </c>
      <c r="G2252" s="7" t="n">
        <v>2017</v>
      </c>
      <c r="H2252" s="7" t="s">
        <v>48</v>
      </c>
      <c r="I2252" s="7" t="s">
        <v>524</v>
      </c>
      <c r="J2252" s="7" t="s">
        <v>811</v>
      </c>
      <c r="K2252" s="7" t="n">
        <f aca="false">IFERROR(VALUE(RIGHT(TRIM(F2252),4)),"")</f>
        <v>2018</v>
      </c>
      <c r="L2252" s="7" t="str">
        <f aca="false">IF(TRIM(E2252)="","Unknown",IFERROR(LEFT(TRIM(E2252),FIND(",",TRIM(E2252))-1),TRIM(E2252)))</f>
        <v>Singapore</v>
      </c>
      <c r="M2252" s="7" t="str">
        <f aca="false">IFERROR(LEFT(J2252,FIND(",",J2252)-1),J2252)</f>
        <v>Thrillers</v>
      </c>
      <c r="N2252" s="7" t="n">
        <f aca="false">IF(B2252="Movie",IFERROR(VALUE(LEFT(I2252,FIND(" ",I2252)-1)),""),"")</f>
        <v>83</v>
      </c>
      <c r="O2252" s="7" t="str">
        <f aca="false">IF(B2252="TV Show",IFERROR(VALUE(LEFT(I2252,FIND(" ",I2252)-1)),""),"")</f>
        <v/>
      </c>
      <c r="P2252" s="7" t="n">
        <f aca="false">IF(K2252="","",K2252-G2252)</f>
        <v>1</v>
      </c>
    </row>
    <row r="2253" customFormat="false" ht="15" hidden="false" customHeight="false" outlineLevel="0" collapsed="false">
      <c r="A2253" s="7" t="n">
        <v>80174144</v>
      </c>
      <c r="B2253" s="7" t="s">
        <v>68</v>
      </c>
      <c r="C2253" s="7" t="s">
        <v>4937</v>
      </c>
      <c r="D2253" s="7" t="s">
        <v>4938</v>
      </c>
      <c r="E2253" s="7" t="s">
        <v>26</v>
      </c>
      <c r="F2253" s="7" t="s">
        <v>4936</v>
      </c>
      <c r="G2253" s="7" t="n">
        <v>2017</v>
      </c>
      <c r="H2253" s="7" t="s">
        <v>51</v>
      </c>
      <c r="I2253" s="7" t="s">
        <v>451</v>
      </c>
      <c r="J2253" s="7" t="s">
        <v>198</v>
      </c>
      <c r="K2253" s="7" t="n">
        <f aca="false">IFERROR(VALUE(RIGHT(TRIM(F2253),4)),"")</f>
        <v>2018</v>
      </c>
      <c r="L2253" s="7" t="str">
        <f aca="false">IF(TRIM(E2253)="","Unknown",IFERROR(LEFT(TRIM(E2253),FIND(",",TRIM(E2253))-1),TRIM(E2253)))</f>
        <v>United States</v>
      </c>
      <c r="M2253" s="7" t="str">
        <f aca="false">IFERROR(LEFT(J2253,FIND(",",J2253)-1),J2253)</f>
        <v>Comedies</v>
      </c>
      <c r="N2253" s="7" t="n">
        <f aca="false">IF(B2253="Movie",IFERROR(VALUE(LEFT(I2253,FIND(" ",I2253)-1)),""),"")</f>
        <v>97</v>
      </c>
      <c r="O2253" s="7" t="str">
        <f aca="false">IF(B2253="TV Show",IFERROR(VALUE(LEFT(I2253,FIND(" ",I2253)-1)),""),"")</f>
        <v/>
      </c>
      <c r="P2253" s="7" t="n">
        <f aca="false">IF(K2253="","",K2253-G2253)</f>
        <v>1</v>
      </c>
    </row>
    <row r="2254" customFormat="false" ht="15" hidden="false" customHeight="false" outlineLevel="0" collapsed="false">
      <c r="A2254" s="7" t="n">
        <v>80073289</v>
      </c>
      <c r="B2254" s="7" t="s">
        <v>78</v>
      </c>
      <c r="C2254" s="7" t="s">
        <v>4939</v>
      </c>
      <c r="E2254" s="7" t="s">
        <v>26</v>
      </c>
      <c r="F2254" s="7" t="s">
        <v>4940</v>
      </c>
      <c r="G2254" s="7" t="n">
        <v>2016</v>
      </c>
      <c r="H2254" s="7" t="s">
        <v>48</v>
      </c>
      <c r="I2254" s="7" t="s">
        <v>82</v>
      </c>
      <c r="J2254" s="7" t="s">
        <v>289</v>
      </c>
      <c r="K2254" s="7" t="n">
        <f aca="false">IFERROR(VALUE(RIGHT(TRIM(F2254),4)),"")</f>
        <v>2016</v>
      </c>
      <c r="L2254" s="7" t="str">
        <f aca="false">IF(TRIM(E2254)="","Unknown",IFERROR(LEFT(TRIM(E2254),FIND(",",TRIM(E2254))-1),TRIM(E2254)))</f>
        <v>United States</v>
      </c>
      <c r="M2254" s="7" t="str">
        <f aca="false">IFERROR(LEFT(J2254,FIND(",",J2254)-1),J2254)</f>
        <v>TV Comedies</v>
      </c>
      <c r="N2254" s="7" t="str">
        <f aca="false">IF(B2254="Movie",IFERROR(VALUE(LEFT(I2254,FIND(" ",I2254)-1)),""),"")</f>
        <v/>
      </c>
      <c r="O2254" s="7" t="n">
        <f aca="false">IF(B2254="TV Show",IFERROR(VALUE(LEFT(I2254,FIND(" ",I2254)-1)),""),"")</f>
        <v>1</v>
      </c>
      <c r="P2254" s="7" t="n">
        <f aca="false">IF(K2254="","",K2254-G2254)</f>
        <v>0</v>
      </c>
    </row>
    <row r="2255" customFormat="false" ht="15" hidden="false" customHeight="false" outlineLevel="0" collapsed="false">
      <c r="A2255" s="7" t="n">
        <v>80220677</v>
      </c>
      <c r="B2255" s="7" t="s">
        <v>68</v>
      </c>
      <c r="C2255" s="7" t="s">
        <v>4941</v>
      </c>
      <c r="D2255" s="7" t="s">
        <v>4942</v>
      </c>
      <c r="E2255" s="7" t="s">
        <v>719</v>
      </c>
      <c r="F2255" s="7" t="s">
        <v>4943</v>
      </c>
      <c r="G2255" s="7" t="n">
        <v>2017</v>
      </c>
      <c r="H2255" s="7" t="s">
        <v>48</v>
      </c>
      <c r="I2255" s="7" t="s">
        <v>340</v>
      </c>
      <c r="J2255" s="7" t="s">
        <v>265</v>
      </c>
      <c r="K2255" s="7" t="n">
        <f aca="false">IFERROR(VALUE(RIGHT(TRIM(F2255),4)),"")</f>
        <v>2018</v>
      </c>
      <c r="L2255" s="7" t="str">
        <f aca="false">IF(TRIM(E2255)="","Unknown",IFERROR(LEFT(TRIM(E2255),FIND(",",TRIM(E2255))-1),TRIM(E2255)))</f>
        <v>Ireland</v>
      </c>
      <c r="M2255" s="7" t="str">
        <f aca="false">IFERROR(LEFT(J2255,FIND(",",J2255)-1),J2255)</f>
        <v>Horror Movies</v>
      </c>
      <c r="N2255" s="7" t="n">
        <f aca="false">IF(B2255="Movie",IFERROR(VALUE(LEFT(I2255,FIND(" ",I2255)-1)),""),"")</f>
        <v>85</v>
      </c>
      <c r="O2255" s="7" t="str">
        <f aca="false">IF(B2255="TV Show",IFERROR(VALUE(LEFT(I2255,FIND(" ",I2255)-1)),""),"")</f>
        <v/>
      </c>
      <c r="P2255" s="7" t="n">
        <f aca="false">IF(K2255="","",K2255-G2255)</f>
        <v>1</v>
      </c>
    </row>
    <row r="2256" customFormat="false" ht="15" hidden="false" customHeight="false" outlineLevel="0" collapsed="false">
      <c r="A2256" s="7" t="n">
        <v>80229829</v>
      </c>
      <c r="B2256" s="7" t="s">
        <v>68</v>
      </c>
      <c r="C2256" s="7" t="s">
        <v>4944</v>
      </c>
      <c r="D2256" s="7" t="s">
        <v>4945</v>
      </c>
      <c r="E2256" s="7" t="s">
        <v>4946</v>
      </c>
      <c r="F2256" s="7" t="s">
        <v>4943</v>
      </c>
      <c r="G2256" s="7" t="n">
        <v>2017</v>
      </c>
      <c r="H2256" s="7" t="s">
        <v>48</v>
      </c>
      <c r="I2256" s="7" t="s">
        <v>628</v>
      </c>
      <c r="J2256" s="7" t="s">
        <v>188</v>
      </c>
      <c r="K2256" s="7" t="n">
        <f aca="false">IFERROR(VALUE(RIGHT(TRIM(F2256),4)),"")</f>
        <v>2018</v>
      </c>
      <c r="L2256" s="7" t="str">
        <f aca="false">IF(TRIM(E2256)="","Unknown",IFERROR(LEFT(TRIM(E2256),FIND(",",TRIM(E2256))-1),TRIM(E2256)))</f>
        <v>Guatemala</v>
      </c>
      <c r="M2256" s="7" t="str">
        <f aca="false">IFERROR(LEFT(J2256,FIND(",",J2256)-1),J2256)</f>
        <v>Dramas</v>
      </c>
      <c r="N2256" s="7" t="n">
        <f aca="false">IF(B2256="Movie",IFERROR(VALUE(LEFT(I2256,FIND(" ",I2256)-1)),""),"")</f>
        <v>69</v>
      </c>
      <c r="O2256" s="7" t="str">
        <f aca="false">IF(B2256="TV Show",IFERROR(VALUE(LEFT(I2256,FIND(" ",I2256)-1)),""),"")</f>
        <v/>
      </c>
      <c r="P2256" s="7" t="n">
        <f aca="false">IF(K2256="","",K2256-G2256)</f>
        <v>1</v>
      </c>
    </row>
    <row r="2257" customFormat="false" ht="15" hidden="false" customHeight="false" outlineLevel="0" collapsed="false">
      <c r="A2257" s="7" t="n">
        <v>80141173</v>
      </c>
      <c r="B2257" s="7" t="s">
        <v>68</v>
      </c>
      <c r="C2257" s="7" t="s">
        <v>4947</v>
      </c>
      <c r="D2257" s="7" t="s">
        <v>4948</v>
      </c>
      <c r="E2257" s="7" t="s">
        <v>4949</v>
      </c>
      <c r="F2257" s="7" t="s">
        <v>4950</v>
      </c>
      <c r="G2257" s="7" t="n">
        <v>2016</v>
      </c>
      <c r="H2257" s="7" t="s">
        <v>48</v>
      </c>
      <c r="I2257" s="7" t="s">
        <v>790</v>
      </c>
      <c r="J2257" s="7" t="s">
        <v>1003</v>
      </c>
      <c r="K2257" s="7" t="n">
        <f aca="false">IFERROR(VALUE(RIGHT(TRIM(F2257),4)),"")</f>
        <v>2017</v>
      </c>
      <c r="L2257" s="7" t="str">
        <f aca="false">IF(TRIM(E2257)="","Unknown",IFERROR(LEFT(TRIM(E2257),FIND(",",TRIM(E2257))-1),TRIM(E2257)))</f>
        <v>Portugal</v>
      </c>
      <c r="M2257" s="7" t="str">
        <f aca="false">IFERROR(LEFT(J2257,FIND(",",J2257)-1),J2257)</f>
        <v>Dramas</v>
      </c>
      <c r="N2257" s="7" t="n">
        <f aca="false">IF(B2257="Movie",IFERROR(VALUE(LEFT(I2257,FIND(" ",I2257)-1)),""),"")</f>
        <v>109</v>
      </c>
      <c r="O2257" s="7" t="str">
        <f aca="false">IF(B2257="TV Show",IFERROR(VALUE(LEFT(I2257,FIND(" ",I2257)-1)),""),"")</f>
        <v/>
      </c>
      <c r="P2257" s="7" t="n">
        <f aca="false">IF(K2257="","",K2257-G2257)</f>
        <v>1</v>
      </c>
    </row>
    <row r="2258" customFormat="false" ht="15" hidden="false" customHeight="false" outlineLevel="0" collapsed="false">
      <c r="A2258" s="7" t="n">
        <v>80134515</v>
      </c>
      <c r="B2258" s="7" t="s">
        <v>68</v>
      </c>
      <c r="C2258" s="7" t="s">
        <v>4951</v>
      </c>
      <c r="D2258" s="7" t="s">
        <v>4952</v>
      </c>
      <c r="E2258" s="7" t="s">
        <v>396</v>
      </c>
      <c r="F2258" s="7" t="s">
        <v>4950</v>
      </c>
      <c r="G2258" s="7" t="n">
        <v>2015</v>
      </c>
      <c r="H2258" s="7" t="s">
        <v>49</v>
      </c>
      <c r="I2258" s="7" t="s">
        <v>330</v>
      </c>
      <c r="J2258" s="7" t="s">
        <v>206</v>
      </c>
      <c r="K2258" s="7" t="n">
        <f aca="false">IFERROR(VALUE(RIGHT(TRIM(F2258),4)),"")</f>
        <v>2017</v>
      </c>
      <c r="L2258" s="7" t="str">
        <f aca="false">IF(TRIM(E2258)="","Unknown",IFERROR(LEFT(TRIM(E2258),FIND(",",TRIM(E2258))-1),TRIM(E2258)))</f>
        <v>Turkey</v>
      </c>
      <c r="M2258" s="7" t="str">
        <f aca="false">IFERROR(LEFT(J2258,FIND(",",J2258)-1),J2258)</f>
        <v>Comedies</v>
      </c>
      <c r="N2258" s="7" t="n">
        <f aca="false">IF(B2258="Movie",IFERROR(VALUE(LEFT(I2258,FIND(" ",I2258)-1)),""),"")</f>
        <v>103</v>
      </c>
      <c r="O2258" s="7" t="str">
        <f aca="false">IF(B2258="TV Show",IFERROR(VALUE(LEFT(I2258,FIND(" ",I2258)-1)),""),"")</f>
        <v/>
      </c>
      <c r="P2258" s="7" t="n">
        <f aca="false">IF(K2258="","",K2258-G2258)</f>
        <v>2</v>
      </c>
    </row>
    <row r="2259" customFormat="false" ht="15" hidden="false" customHeight="false" outlineLevel="0" collapsed="false">
      <c r="A2259" s="7" t="n">
        <v>80134521</v>
      </c>
      <c r="B2259" s="7" t="s">
        <v>68</v>
      </c>
      <c r="C2259" s="7" t="s">
        <v>4953</v>
      </c>
      <c r="D2259" s="7" t="s">
        <v>1933</v>
      </c>
      <c r="E2259" s="7" t="s">
        <v>396</v>
      </c>
      <c r="F2259" s="7" t="s">
        <v>4950</v>
      </c>
      <c r="G2259" s="7" t="n">
        <v>2012</v>
      </c>
      <c r="H2259" s="7" t="s">
        <v>49</v>
      </c>
      <c r="I2259" s="7" t="s">
        <v>87</v>
      </c>
      <c r="J2259" s="7" t="s">
        <v>1841</v>
      </c>
      <c r="K2259" s="7" t="n">
        <f aca="false">IFERROR(VALUE(RIGHT(TRIM(F2259),4)),"")</f>
        <v>2017</v>
      </c>
      <c r="L2259" s="7" t="str">
        <f aca="false">IF(TRIM(E2259)="","Unknown",IFERROR(LEFT(TRIM(E2259),FIND(",",TRIM(E2259))-1),TRIM(E2259)))</f>
        <v>Turkey</v>
      </c>
      <c r="M2259" s="7" t="str">
        <f aca="false">IFERROR(LEFT(J2259,FIND(",",J2259)-1),J2259)</f>
        <v>Comedies</v>
      </c>
      <c r="N2259" s="7" t="n">
        <f aca="false">IF(B2259="Movie",IFERROR(VALUE(LEFT(I2259,FIND(" ",I2259)-1)),""),"")</f>
        <v>99</v>
      </c>
      <c r="O2259" s="7" t="str">
        <f aca="false">IF(B2259="TV Show",IFERROR(VALUE(LEFT(I2259,FIND(" ",I2259)-1)),""),"")</f>
        <v/>
      </c>
      <c r="P2259" s="7" t="n">
        <f aca="false">IF(K2259="","",K2259-G2259)</f>
        <v>5</v>
      </c>
    </row>
    <row r="2260" customFormat="false" ht="15" hidden="false" customHeight="false" outlineLevel="0" collapsed="false">
      <c r="A2260" s="7" t="n">
        <v>80081170</v>
      </c>
      <c r="B2260" s="7" t="s">
        <v>78</v>
      </c>
      <c r="C2260" s="7" t="s">
        <v>4954</v>
      </c>
      <c r="E2260" s="7" t="s">
        <v>26</v>
      </c>
      <c r="F2260" s="7" t="s">
        <v>4950</v>
      </c>
      <c r="G2260" s="7" t="n">
        <v>2017</v>
      </c>
      <c r="H2260" s="7" t="s">
        <v>50</v>
      </c>
      <c r="I2260" s="7" t="s">
        <v>82</v>
      </c>
      <c r="J2260" s="7" t="s">
        <v>191</v>
      </c>
      <c r="K2260" s="7" t="n">
        <f aca="false">IFERROR(VALUE(RIGHT(TRIM(F2260),4)),"")</f>
        <v>2017</v>
      </c>
      <c r="L2260" s="7" t="str">
        <f aca="false">IF(TRIM(E2260)="","Unknown",IFERROR(LEFT(TRIM(E2260),FIND(",",TRIM(E2260))-1),TRIM(E2260)))</f>
        <v>United States</v>
      </c>
      <c r="M2260" s="7" t="str">
        <f aca="false">IFERROR(LEFT(J2260,FIND(",",J2260)-1),J2260)</f>
        <v>Kids' TV</v>
      </c>
      <c r="N2260" s="7" t="str">
        <f aca="false">IF(B2260="Movie",IFERROR(VALUE(LEFT(I2260,FIND(" ",I2260)-1)),""),"")</f>
        <v/>
      </c>
      <c r="O2260" s="7" t="n">
        <f aca="false">IF(B2260="TV Show",IFERROR(VALUE(LEFT(I2260,FIND(" ",I2260)-1)),""),"")</f>
        <v>1</v>
      </c>
      <c r="P2260" s="7" t="n">
        <f aca="false">IF(K2260="","",K2260-G2260)</f>
        <v>0</v>
      </c>
    </row>
    <row r="2261" customFormat="false" ht="15" hidden="false" customHeight="false" outlineLevel="0" collapsed="false">
      <c r="A2261" s="7" t="n">
        <v>80097003</v>
      </c>
      <c r="B2261" s="7" t="s">
        <v>68</v>
      </c>
      <c r="C2261" s="7" t="s">
        <v>4955</v>
      </c>
      <c r="D2261" s="7" t="s">
        <v>4956</v>
      </c>
      <c r="E2261" s="7" t="s">
        <v>26</v>
      </c>
      <c r="F2261" s="7" t="s">
        <v>4950</v>
      </c>
      <c r="G2261" s="7" t="n">
        <v>2017</v>
      </c>
      <c r="H2261" s="7" t="s">
        <v>48</v>
      </c>
      <c r="I2261" s="7" t="s">
        <v>181</v>
      </c>
      <c r="J2261" s="7" t="s">
        <v>150</v>
      </c>
      <c r="K2261" s="7" t="n">
        <f aca="false">IFERROR(VALUE(RIGHT(TRIM(F2261),4)),"")</f>
        <v>2017</v>
      </c>
      <c r="L2261" s="7" t="str">
        <f aca="false">IF(TRIM(E2261)="","Unknown",IFERROR(LEFT(TRIM(E2261),FIND(",",TRIM(E2261))-1),TRIM(E2261)))</f>
        <v>United States</v>
      </c>
      <c r="M2261" s="7" t="str">
        <f aca="false">IFERROR(LEFT(J2261,FIND(",",J2261)-1),J2261)</f>
        <v>Dramas</v>
      </c>
      <c r="N2261" s="7" t="n">
        <f aca="false">IF(B2261="Movie",IFERROR(VALUE(LEFT(I2261,FIND(" ",I2261)-1)),""),"")</f>
        <v>102</v>
      </c>
      <c r="O2261" s="7" t="str">
        <f aca="false">IF(B2261="TV Show",IFERROR(VALUE(LEFT(I2261,FIND(" ",I2261)-1)),""),"")</f>
        <v/>
      </c>
      <c r="P2261" s="7" t="n">
        <f aca="false">IF(K2261="","",K2261-G2261)</f>
        <v>0</v>
      </c>
    </row>
    <row r="2262" customFormat="false" ht="15" hidden="false" customHeight="false" outlineLevel="0" collapsed="false">
      <c r="A2262" s="7" t="n">
        <v>80134516</v>
      </c>
      <c r="B2262" s="7" t="s">
        <v>68</v>
      </c>
      <c r="C2262" s="7" t="s">
        <v>4957</v>
      </c>
      <c r="D2262" s="7" t="s">
        <v>4958</v>
      </c>
      <c r="E2262" s="7" t="s">
        <v>396</v>
      </c>
      <c r="F2262" s="7" t="s">
        <v>4950</v>
      </c>
      <c r="G2262" s="7" t="n">
        <v>2015</v>
      </c>
      <c r="H2262" s="7" t="s">
        <v>49</v>
      </c>
      <c r="I2262" s="7" t="s">
        <v>451</v>
      </c>
      <c r="J2262" s="7" t="s">
        <v>202</v>
      </c>
      <c r="K2262" s="7" t="n">
        <f aca="false">IFERROR(VALUE(RIGHT(TRIM(F2262),4)),"")</f>
        <v>2017</v>
      </c>
      <c r="L2262" s="7" t="str">
        <f aca="false">IF(TRIM(E2262)="","Unknown",IFERROR(LEFT(TRIM(E2262),FIND(",",TRIM(E2262))-1),TRIM(E2262)))</f>
        <v>Turkey</v>
      </c>
      <c r="M2262" s="7" t="str">
        <f aca="false">IFERROR(LEFT(J2262,FIND(",",J2262)-1),J2262)</f>
        <v>Comedies</v>
      </c>
      <c r="N2262" s="7" t="n">
        <f aca="false">IF(B2262="Movie",IFERROR(VALUE(LEFT(I2262,FIND(" ",I2262)-1)),""),"")</f>
        <v>97</v>
      </c>
      <c r="O2262" s="7" t="str">
        <f aca="false">IF(B2262="TV Show",IFERROR(VALUE(LEFT(I2262,FIND(" ",I2262)-1)),""),"")</f>
        <v/>
      </c>
      <c r="P2262" s="7" t="n">
        <f aca="false">IF(K2262="","",K2262-G2262)</f>
        <v>2</v>
      </c>
    </row>
    <row r="2263" customFormat="false" ht="15" hidden="false" customHeight="false" outlineLevel="0" collapsed="false">
      <c r="A2263" s="7" t="n">
        <v>80134606</v>
      </c>
      <c r="B2263" s="7" t="s">
        <v>68</v>
      </c>
      <c r="C2263" s="7" t="s">
        <v>4959</v>
      </c>
      <c r="D2263" s="7" t="s">
        <v>1417</v>
      </c>
      <c r="E2263" s="7" t="s">
        <v>396</v>
      </c>
      <c r="F2263" s="7" t="s">
        <v>4950</v>
      </c>
      <c r="G2263" s="7" t="n">
        <v>2010</v>
      </c>
      <c r="H2263" s="7" t="s">
        <v>48</v>
      </c>
      <c r="I2263" s="7" t="s">
        <v>87</v>
      </c>
      <c r="J2263" s="7" t="s">
        <v>202</v>
      </c>
      <c r="K2263" s="7" t="n">
        <f aca="false">IFERROR(VALUE(RIGHT(TRIM(F2263),4)),"")</f>
        <v>2017</v>
      </c>
      <c r="L2263" s="7" t="str">
        <f aca="false">IF(TRIM(E2263)="","Unknown",IFERROR(LEFT(TRIM(E2263),FIND(",",TRIM(E2263))-1),TRIM(E2263)))</f>
        <v>Turkey</v>
      </c>
      <c r="M2263" s="7" t="str">
        <f aca="false">IFERROR(LEFT(J2263,FIND(",",J2263)-1),J2263)</f>
        <v>Comedies</v>
      </c>
      <c r="N2263" s="7" t="n">
        <f aca="false">IF(B2263="Movie",IFERROR(VALUE(LEFT(I2263,FIND(" ",I2263)-1)),""),"")</f>
        <v>99</v>
      </c>
      <c r="O2263" s="7" t="str">
        <f aca="false">IF(B2263="TV Show",IFERROR(VALUE(LEFT(I2263,FIND(" ",I2263)-1)),""),"")</f>
        <v/>
      </c>
      <c r="P2263" s="7" t="n">
        <f aca="false">IF(K2263="","",K2263-G2263)</f>
        <v>7</v>
      </c>
    </row>
    <row r="2264" customFormat="false" ht="15" hidden="false" customHeight="false" outlineLevel="0" collapsed="false">
      <c r="A2264" s="7" t="n">
        <v>80134518</v>
      </c>
      <c r="B2264" s="7" t="s">
        <v>68</v>
      </c>
      <c r="C2264" s="7" t="s">
        <v>4960</v>
      </c>
      <c r="D2264" s="7" t="s">
        <v>4961</v>
      </c>
      <c r="E2264" s="7" t="s">
        <v>396</v>
      </c>
      <c r="F2264" s="7" t="s">
        <v>4950</v>
      </c>
      <c r="G2264" s="7" t="n">
        <v>2016</v>
      </c>
      <c r="H2264" s="7" t="s">
        <v>49</v>
      </c>
      <c r="I2264" s="7" t="s">
        <v>512</v>
      </c>
      <c r="J2264" s="7" t="s">
        <v>202</v>
      </c>
      <c r="K2264" s="7" t="n">
        <f aca="false">IFERROR(VALUE(RIGHT(TRIM(F2264),4)),"")</f>
        <v>2017</v>
      </c>
      <c r="L2264" s="7" t="str">
        <f aca="false">IF(TRIM(E2264)="","Unknown",IFERROR(LEFT(TRIM(E2264),FIND(",",TRIM(E2264))-1),TRIM(E2264)))</f>
        <v>Turkey</v>
      </c>
      <c r="M2264" s="7" t="str">
        <f aca="false">IFERROR(LEFT(J2264,FIND(",",J2264)-1),J2264)</f>
        <v>Comedies</v>
      </c>
      <c r="N2264" s="7" t="n">
        <f aca="false">IF(B2264="Movie",IFERROR(VALUE(LEFT(I2264,FIND(" ",I2264)-1)),""),"")</f>
        <v>101</v>
      </c>
      <c r="O2264" s="7" t="str">
        <f aca="false">IF(B2264="TV Show",IFERROR(VALUE(LEFT(I2264,FIND(" ",I2264)-1)),""),"")</f>
        <v/>
      </c>
      <c r="P2264" s="7" t="n">
        <f aca="false">IF(K2264="","",K2264-G2264)</f>
        <v>1</v>
      </c>
    </row>
    <row r="2265" customFormat="false" ht="15" hidden="false" customHeight="false" outlineLevel="0" collapsed="false">
      <c r="A2265" s="7" t="n">
        <v>80134330</v>
      </c>
      <c r="B2265" s="7" t="s">
        <v>68</v>
      </c>
      <c r="C2265" s="7" t="s">
        <v>4962</v>
      </c>
      <c r="D2265" s="7" t="s">
        <v>1933</v>
      </c>
      <c r="E2265" s="7" t="s">
        <v>396</v>
      </c>
      <c r="F2265" s="7" t="s">
        <v>4950</v>
      </c>
      <c r="G2265" s="7" t="n">
        <v>2014</v>
      </c>
      <c r="H2265" s="7" t="s">
        <v>49</v>
      </c>
      <c r="I2265" s="7" t="s">
        <v>181</v>
      </c>
      <c r="J2265" s="7" t="s">
        <v>206</v>
      </c>
      <c r="K2265" s="7" t="n">
        <f aca="false">IFERROR(VALUE(RIGHT(TRIM(F2265),4)),"")</f>
        <v>2017</v>
      </c>
      <c r="L2265" s="7" t="str">
        <f aca="false">IF(TRIM(E2265)="","Unknown",IFERROR(LEFT(TRIM(E2265),FIND(",",TRIM(E2265))-1),TRIM(E2265)))</f>
        <v>Turkey</v>
      </c>
      <c r="M2265" s="7" t="str">
        <f aca="false">IFERROR(LEFT(J2265,FIND(",",J2265)-1),J2265)</f>
        <v>Comedies</v>
      </c>
      <c r="N2265" s="7" t="n">
        <f aca="false">IF(B2265="Movie",IFERROR(VALUE(LEFT(I2265,FIND(" ",I2265)-1)),""),"")</f>
        <v>102</v>
      </c>
      <c r="O2265" s="7" t="str">
        <f aca="false">IF(B2265="TV Show",IFERROR(VALUE(LEFT(I2265,FIND(" ",I2265)-1)),""),"")</f>
        <v/>
      </c>
      <c r="P2265" s="7" t="n">
        <f aca="false">IF(K2265="","",K2265-G2265)</f>
        <v>3</v>
      </c>
    </row>
    <row r="2266" customFormat="false" ht="15" hidden="false" customHeight="false" outlineLevel="0" collapsed="false">
      <c r="A2266" s="7" t="n">
        <v>80038298</v>
      </c>
      <c r="B2266" s="7" t="s">
        <v>68</v>
      </c>
      <c r="C2266" s="7" t="s">
        <v>4963</v>
      </c>
      <c r="D2266" s="7" t="s">
        <v>4964</v>
      </c>
      <c r="E2266" s="7" t="s">
        <v>396</v>
      </c>
      <c r="F2266" s="7" t="s">
        <v>4950</v>
      </c>
      <c r="G2266" s="7" t="n">
        <v>2013</v>
      </c>
      <c r="H2266" s="7" t="s">
        <v>50</v>
      </c>
      <c r="I2266" s="7" t="s">
        <v>181</v>
      </c>
      <c r="J2266" s="7" t="s">
        <v>202</v>
      </c>
      <c r="K2266" s="7" t="n">
        <f aca="false">IFERROR(VALUE(RIGHT(TRIM(F2266),4)),"")</f>
        <v>2017</v>
      </c>
      <c r="L2266" s="7" t="str">
        <f aca="false">IF(TRIM(E2266)="","Unknown",IFERROR(LEFT(TRIM(E2266),FIND(",",TRIM(E2266))-1),TRIM(E2266)))</f>
        <v>Turkey</v>
      </c>
      <c r="M2266" s="7" t="str">
        <f aca="false">IFERROR(LEFT(J2266,FIND(",",J2266)-1),J2266)</f>
        <v>Comedies</v>
      </c>
      <c r="N2266" s="7" t="n">
        <f aca="false">IF(B2266="Movie",IFERROR(VALUE(LEFT(I2266,FIND(" ",I2266)-1)),""),"")</f>
        <v>102</v>
      </c>
      <c r="O2266" s="7" t="str">
        <f aca="false">IF(B2266="TV Show",IFERROR(VALUE(LEFT(I2266,FIND(" ",I2266)-1)),""),"")</f>
        <v/>
      </c>
      <c r="P2266" s="7" t="n">
        <f aca="false">IF(K2266="","",K2266-G2266)</f>
        <v>4</v>
      </c>
    </row>
    <row r="2267" customFormat="false" ht="15" hidden="false" customHeight="false" outlineLevel="0" collapsed="false">
      <c r="A2267" s="7" t="n">
        <v>80134500</v>
      </c>
      <c r="B2267" s="7" t="s">
        <v>68</v>
      </c>
      <c r="C2267" s="7" t="s">
        <v>4965</v>
      </c>
      <c r="D2267" s="7" t="s">
        <v>4966</v>
      </c>
      <c r="E2267" s="7" t="s">
        <v>396</v>
      </c>
      <c r="F2267" s="7" t="s">
        <v>4950</v>
      </c>
      <c r="G2267" s="7" t="n">
        <v>2015</v>
      </c>
      <c r="H2267" s="7" t="s">
        <v>48</v>
      </c>
      <c r="I2267" s="7" t="s">
        <v>294</v>
      </c>
      <c r="J2267" s="7" t="s">
        <v>202</v>
      </c>
      <c r="K2267" s="7" t="n">
        <f aca="false">IFERROR(VALUE(RIGHT(TRIM(F2267),4)),"")</f>
        <v>2017</v>
      </c>
      <c r="L2267" s="7" t="str">
        <f aca="false">IF(TRIM(E2267)="","Unknown",IFERROR(LEFT(TRIM(E2267),FIND(",",TRIM(E2267))-1),TRIM(E2267)))</f>
        <v>Turkey</v>
      </c>
      <c r="M2267" s="7" t="str">
        <f aca="false">IFERROR(LEFT(J2267,FIND(",",J2267)-1),J2267)</f>
        <v>Comedies</v>
      </c>
      <c r="N2267" s="7" t="n">
        <f aca="false">IF(B2267="Movie",IFERROR(VALUE(LEFT(I2267,FIND(" ",I2267)-1)),""),"")</f>
        <v>107</v>
      </c>
      <c r="O2267" s="7" t="str">
        <f aca="false">IF(B2267="TV Show",IFERROR(VALUE(LEFT(I2267,FIND(" ",I2267)-1)),""),"")</f>
        <v/>
      </c>
      <c r="P2267" s="7" t="n">
        <f aca="false">IF(K2267="","",K2267-G2267)</f>
        <v>2</v>
      </c>
    </row>
    <row r="2268" customFormat="false" ht="15" hidden="false" customHeight="false" outlineLevel="0" collapsed="false">
      <c r="A2268" s="7" t="n">
        <v>80038353</v>
      </c>
      <c r="B2268" s="7" t="s">
        <v>68</v>
      </c>
      <c r="C2268" s="7" t="s">
        <v>4967</v>
      </c>
      <c r="D2268" s="7" t="s">
        <v>1933</v>
      </c>
      <c r="E2268" s="7" t="s">
        <v>396</v>
      </c>
      <c r="F2268" s="7" t="s">
        <v>4950</v>
      </c>
      <c r="G2268" s="7" t="n">
        <v>2010</v>
      </c>
      <c r="H2268" s="7" t="s">
        <v>48</v>
      </c>
      <c r="I2268" s="7" t="s">
        <v>87</v>
      </c>
      <c r="J2268" s="7" t="s">
        <v>202</v>
      </c>
      <c r="K2268" s="7" t="n">
        <f aca="false">IFERROR(VALUE(RIGHT(TRIM(F2268),4)),"")</f>
        <v>2017</v>
      </c>
      <c r="L2268" s="7" t="str">
        <f aca="false">IF(TRIM(E2268)="","Unknown",IFERROR(LEFT(TRIM(E2268),FIND(",",TRIM(E2268))-1),TRIM(E2268)))</f>
        <v>Turkey</v>
      </c>
      <c r="M2268" s="7" t="str">
        <f aca="false">IFERROR(LEFT(J2268,FIND(",",J2268)-1),J2268)</f>
        <v>Comedies</v>
      </c>
      <c r="N2268" s="7" t="n">
        <f aca="false">IF(B2268="Movie",IFERROR(VALUE(LEFT(I2268,FIND(" ",I2268)-1)),""),"")</f>
        <v>99</v>
      </c>
      <c r="O2268" s="7" t="str">
        <f aca="false">IF(B2268="TV Show",IFERROR(VALUE(LEFT(I2268,FIND(" ",I2268)-1)),""),"")</f>
        <v/>
      </c>
      <c r="P2268" s="7" t="n">
        <f aca="false">IF(K2268="","",K2268-G2268)</f>
        <v>7</v>
      </c>
    </row>
    <row r="2269" customFormat="false" ht="15" hidden="false" customHeight="false" outlineLevel="0" collapsed="false">
      <c r="A2269" s="7" t="n">
        <v>80038354</v>
      </c>
      <c r="B2269" s="7" t="s">
        <v>68</v>
      </c>
      <c r="C2269" s="7" t="s">
        <v>4968</v>
      </c>
      <c r="D2269" s="7" t="s">
        <v>1933</v>
      </c>
      <c r="E2269" s="7" t="s">
        <v>396</v>
      </c>
      <c r="F2269" s="7" t="s">
        <v>4950</v>
      </c>
      <c r="G2269" s="7" t="n">
        <v>2011</v>
      </c>
      <c r="H2269" s="7" t="s">
        <v>50</v>
      </c>
      <c r="I2269" s="7" t="s">
        <v>173</v>
      </c>
      <c r="J2269" s="7" t="s">
        <v>206</v>
      </c>
      <c r="K2269" s="7" t="n">
        <f aca="false">IFERROR(VALUE(RIGHT(TRIM(F2269),4)),"")</f>
        <v>2017</v>
      </c>
      <c r="L2269" s="7" t="str">
        <f aca="false">IF(TRIM(E2269)="","Unknown",IFERROR(LEFT(TRIM(E2269),FIND(",",TRIM(E2269))-1),TRIM(E2269)))</f>
        <v>Turkey</v>
      </c>
      <c r="M2269" s="7" t="str">
        <f aca="false">IFERROR(LEFT(J2269,FIND(",",J2269)-1),J2269)</f>
        <v>Comedies</v>
      </c>
      <c r="N2269" s="7" t="n">
        <f aca="false">IF(B2269="Movie",IFERROR(VALUE(LEFT(I2269,FIND(" ",I2269)-1)),""),"")</f>
        <v>106</v>
      </c>
      <c r="O2269" s="7" t="str">
        <f aca="false">IF(B2269="TV Show",IFERROR(VALUE(LEFT(I2269,FIND(" ",I2269)-1)),""),"")</f>
        <v/>
      </c>
      <c r="P2269" s="7" t="n">
        <f aca="false">IF(K2269="","",K2269-G2269)</f>
        <v>6</v>
      </c>
    </row>
    <row r="2270" customFormat="false" ht="15" hidden="false" customHeight="false" outlineLevel="0" collapsed="false">
      <c r="A2270" s="7" t="n">
        <v>80038439</v>
      </c>
      <c r="B2270" s="7" t="s">
        <v>68</v>
      </c>
      <c r="C2270" s="7" t="s">
        <v>4969</v>
      </c>
      <c r="D2270" s="7" t="s">
        <v>1933</v>
      </c>
      <c r="E2270" s="7" t="s">
        <v>396</v>
      </c>
      <c r="F2270" s="7" t="s">
        <v>4950</v>
      </c>
      <c r="G2270" s="7" t="n">
        <v>2014</v>
      </c>
      <c r="H2270" s="7" t="s">
        <v>50</v>
      </c>
      <c r="I2270" s="7" t="s">
        <v>330</v>
      </c>
      <c r="J2270" s="7" t="s">
        <v>202</v>
      </c>
      <c r="K2270" s="7" t="n">
        <f aca="false">IFERROR(VALUE(RIGHT(TRIM(F2270),4)),"")</f>
        <v>2017</v>
      </c>
      <c r="L2270" s="7" t="str">
        <f aca="false">IF(TRIM(E2270)="","Unknown",IFERROR(LEFT(TRIM(E2270),FIND(",",TRIM(E2270))-1),TRIM(E2270)))</f>
        <v>Turkey</v>
      </c>
      <c r="M2270" s="7" t="str">
        <f aca="false">IFERROR(LEFT(J2270,FIND(",",J2270)-1),J2270)</f>
        <v>Comedies</v>
      </c>
      <c r="N2270" s="7" t="n">
        <f aca="false">IF(B2270="Movie",IFERROR(VALUE(LEFT(I2270,FIND(" ",I2270)-1)),""),"")</f>
        <v>103</v>
      </c>
      <c r="O2270" s="7" t="str">
        <f aca="false">IF(B2270="TV Show",IFERROR(VALUE(LEFT(I2270,FIND(" ",I2270)-1)),""),"")</f>
        <v/>
      </c>
      <c r="P2270" s="7" t="n">
        <f aca="false">IF(K2270="","",K2270-G2270)</f>
        <v>3</v>
      </c>
    </row>
    <row r="2271" customFormat="false" ht="15" hidden="false" customHeight="false" outlineLevel="0" collapsed="false">
      <c r="A2271" s="7" t="n">
        <v>80038440</v>
      </c>
      <c r="B2271" s="7" t="s">
        <v>68</v>
      </c>
      <c r="C2271" s="7" t="s">
        <v>4970</v>
      </c>
      <c r="D2271" s="7" t="s">
        <v>4971</v>
      </c>
      <c r="E2271" s="7" t="s">
        <v>396</v>
      </c>
      <c r="F2271" s="7" t="s">
        <v>4950</v>
      </c>
      <c r="G2271" s="7" t="n">
        <v>2004</v>
      </c>
      <c r="H2271" s="7" t="s">
        <v>48</v>
      </c>
      <c r="I2271" s="7" t="s">
        <v>869</v>
      </c>
      <c r="J2271" s="7" t="s">
        <v>139</v>
      </c>
      <c r="K2271" s="7" t="n">
        <f aca="false">IFERROR(VALUE(RIGHT(TRIM(F2271),4)),"")</f>
        <v>2017</v>
      </c>
      <c r="L2271" s="7" t="str">
        <f aca="false">IF(TRIM(E2271)="","Unknown",IFERROR(LEFT(TRIM(E2271),FIND(",",TRIM(E2271))-1),TRIM(E2271)))</f>
        <v>Turkey</v>
      </c>
      <c r="M2271" s="7" t="str">
        <f aca="false">IFERROR(LEFT(J2271,FIND(",",J2271)-1),J2271)</f>
        <v>Action &amp; Adventure</v>
      </c>
      <c r="N2271" s="7" t="n">
        <f aca="false">IF(B2271="Movie",IFERROR(VALUE(LEFT(I2271,FIND(" ",I2271)-1)),""),"")</f>
        <v>123</v>
      </c>
      <c r="O2271" s="7" t="str">
        <f aca="false">IF(B2271="TV Show",IFERROR(VALUE(LEFT(I2271,FIND(" ",I2271)-1)),""),"")</f>
        <v/>
      </c>
      <c r="P2271" s="7" t="n">
        <f aca="false">IF(K2271="","",K2271-G2271)</f>
        <v>13</v>
      </c>
    </row>
    <row r="2272" customFormat="false" ht="15" hidden="false" customHeight="false" outlineLevel="0" collapsed="false">
      <c r="A2272" s="7" t="n">
        <v>80134604</v>
      </c>
      <c r="B2272" s="7" t="s">
        <v>68</v>
      </c>
      <c r="C2272" s="7" t="s">
        <v>4972</v>
      </c>
      <c r="D2272" s="7" t="s">
        <v>204</v>
      </c>
      <c r="E2272" s="7" t="s">
        <v>396</v>
      </c>
      <c r="F2272" s="7" t="s">
        <v>4950</v>
      </c>
      <c r="G2272" s="7" t="n">
        <v>2015</v>
      </c>
      <c r="H2272" s="7" t="s">
        <v>49</v>
      </c>
      <c r="I2272" s="7" t="s">
        <v>134</v>
      </c>
      <c r="J2272" s="7" t="s">
        <v>217</v>
      </c>
      <c r="K2272" s="7" t="n">
        <f aca="false">IFERROR(VALUE(RIGHT(TRIM(F2272),4)),"")</f>
        <v>2017</v>
      </c>
      <c r="L2272" s="7" t="str">
        <f aca="false">IF(TRIM(E2272)="","Unknown",IFERROR(LEFT(TRIM(E2272),FIND(",",TRIM(E2272))-1),TRIM(E2272)))</f>
        <v>Turkey</v>
      </c>
      <c r="M2272" s="7" t="str">
        <f aca="false">IFERROR(LEFT(J2272,FIND(",",J2272)-1),J2272)</f>
        <v>Comedies</v>
      </c>
      <c r="N2272" s="7" t="n">
        <f aca="false">IF(B2272="Movie",IFERROR(VALUE(LEFT(I2272,FIND(" ",I2272)-1)),""),"")</f>
        <v>98</v>
      </c>
      <c r="O2272" s="7" t="str">
        <f aca="false">IF(B2272="TV Show",IFERROR(VALUE(LEFT(I2272,FIND(" ",I2272)-1)),""),"")</f>
        <v/>
      </c>
      <c r="P2272" s="7" t="n">
        <f aca="false">IF(K2272="","",K2272-G2272)</f>
        <v>2</v>
      </c>
    </row>
    <row r="2273" customFormat="false" ht="15" hidden="false" customHeight="false" outlineLevel="0" collapsed="false">
      <c r="A2273" s="7" t="n">
        <v>80134524</v>
      </c>
      <c r="B2273" s="7" t="s">
        <v>68</v>
      </c>
      <c r="C2273" s="7" t="s">
        <v>4973</v>
      </c>
      <c r="D2273" s="7" t="s">
        <v>4974</v>
      </c>
      <c r="E2273" s="7" t="s">
        <v>396</v>
      </c>
      <c r="F2273" s="7" t="s">
        <v>4950</v>
      </c>
      <c r="G2273" s="7" t="n">
        <v>2006</v>
      </c>
      <c r="H2273" s="7" t="s">
        <v>48</v>
      </c>
      <c r="I2273" s="7" t="s">
        <v>1270</v>
      </c>
      <c r="J2273" s="7" t="s">
        <v>217</v>
      </c>
      <c r="K2273" s="7" t="n">
        <f aca="false">IFERROR(VALUE(RIGHT(TRIM(F2273),4)),"")</f>
        <v>2017</v>
      </c>
      <c r="L2273" s="7" t="str">
        <f aca="false">IF(TRIM(E2273)="","Unknown",IFERROR(LEFT(TRIM(E2273),FIND(",",TRIM(E2273))-1),TRIM(E2273)))</f>
        <v>Turkey</v>
      </c>
      <c r="M2273" s="7" t="str">
        <f aca="false">IFERROR(LEFT(J2273,FIND(",",J2273)-1),J2273)</f>
        <v>Comedies</v>
      </c>
      <c r="N2273" s="7" t="n">
        <f aca="false">IF(B2273="Movie",IFERROR(VALUE(LEFT(I2273,FIND(" ",I2273)-1)),""),"")</f>
        <v>118</v>
      </c>
      <c r="O2273" s="7" t="str">
        <f aca="false">IF(B2273="TV Show",IFERROR(VALUE(LEFT(I2273,FIND(" ",I2273)-1)),""),"")</f>
        <v/>
      </c>
      <c r="P2273" s="7" t="n">
        <f aca="false">IF(K2273="","",K2273-G2273)</f>
        <v>11</v>
      </c>
    </row>
    <row r="2274" customFormat="false" ht="15" hidden="false" customHeight="false" outlineLevel="0" collapsed="false">
      <c r="A2274" s="7" t="n">
        <v>80038355</v>
      </c>
      <c r="B2274" s="7" t="s">
        <v>68</v>
      </c>
      <c r="C2274" s="7" t="s">
        <v>4975</v>
      </c>
      <c r="D2274" s="7" t="s">
        <v>4976</v>
      </c>
      <c r="E2274" s="7" t="s">
        <v>396</v>
      </c>
      <c r="F2274" s="7" t="s">
        <v>4950</v>
      </c>
      <c r="G2274" s="7" t="n">
        <v>2013</v>
      </c>
      <c r="H2274" s="7" t="s">
        <v>48</v>
      </c>
      <c r="I2274" s="7" t="s">
        <v>205</v>
      </c>
      <c r="J2274" s="7" t="s">
        <v>202</v>
      </c>
      <c r="K2274" s="7" t="n">
        <f aca="false">IFERROR(VALUE(RIGHT(TRIM(F2274),4)),"")</f>
        <v>2017</v>
      </c>
      <c r="L2274" s="7" t="str">
        <f aca="false">IF(TRIM(E2274)="","Unknown",IFERROR(LEFT(TRIM(E2274),FIND(",",TRIM(E2274))-1),TRIM(E2274)))</f>
        <v>Turkey</v>
      </c>
      <c r="M2274" s="7" t="str">
        <f aca="false">IFERROR(LEFT(J2274,FIND(",",J2274)-1),J2274)</f>
        <v>Comedies</v>
      </c>
      <c r="N2274" s="7" t="n">
        <f aca="false">IF(B2274="Movie",IFERROR(VALUE(LEFT(I2274,FIND(" ",I2274)-1)),""),"")</f>
        <v>100</v>
      </c>
      <c r="O2274" s="7" t="str">
        <f aca="false">IF(B2274="TV Show",IFERROR(VALUE(LEFT(I2274,FIND(" ",I2274)-1)),""),"")</f>
        <v/>
      </c>
      <c r="P2274" s="7" t="n">
        <f aca="false">IF(K2274="","",K2274-G2274)</f>
        <v>4</v>
      </c>
    </row>
    <row r="2275" customFormat="false" ht="15" hidden="false" customHeight="false" outlineLevel="0" collapsed="false">
      <c r="A2275" s="7" t="n">
        <v>80038441</v>
      </c>
      <c r="B2275" s="7" t="s">
        <v>68</v>
      </c>
      <c r="C2275" s="7" t="s">
        <v>4977</v>
      </c>
      <c r="D2275" s="7" t="s">
        <v>4976</v>
      </c>
      <c r="E2275" s="7" t="s">
        <v>396</v>
      </c>
      <c r="F2275" s="7" t="s">
        <v>4950</v>
      </c>
      <c r="G2275" s="7" t="n">
        <v>2013</v>
      </c>
      <c r="H2275" s="7" t="s">
        <v>49</v>
      </c>
      <c r="I2275" s="7" t="s">
        <v>512</v>
      </c>
      <c r="J2275" s="7" t="s">
        <v>202</v>
      </c>
      <c r="K2275" s="7" t="n">
        <f aca="false">IFERROR(VALUE(RIGHT(TRIM(F2275),4)),"")</f>
        <v>2017</v>
      </c>
      <c r="L2275" s="7" t="str">
        <f aca="false">IF(TRIM(E2275)="","Unknown",IFERROR(LEFT(TRIM(E2275),FIND(",",TRIM(E2275))-1),TRIM(E2275)))</f>
        <v>Turkey</v>
      </c>
      <c r="M2275" s="7" t="str">
        <f aca="false">IFERROR(LEFT(J2275,FIND(",",J2275)-1),J2275)</f>
        <v>Comedies</v>
      </c>
      <c r="N2275" s="7" t="n">
        <f aca="false">IF(B2275="Movie",IFERROR(VALUE(LEFT(I2275,FIND(" ",I2275)-1)),""),"")</f>
        <v>101</v>
      </c>
      <c r="O2275" s="7" t="str">
        <f aca="false">IF(B2275="TV Show",IFERROR(VALUE(LEFT(I2275,FIND(" ",I2275)-1)),""),"")</f>
        <v/>
      </c>
      <c r="P2275" s="7" t="n">
        <f aca="false">IF(K2275="","",K2275-G2275)</f>
        <v>4</v>
      </c>
    </row>
    <row r="2276" customFormat="false" ht="15" hidden="false" customHeight="false" outlineLevel="0" collapsed="false">
      <c r="A2276" s="7" t="n">
        <v>80134433</v>
      </c>
      <c r="B2276" s="7" t="s">
        <v>68</v>
      </c>
      <c r="C2276" s="7" t="s">
        <v>4978</v>
      </c>
      <c r="D2276" s="7" t="s">
        <v>4979</v>
      </c>
      <c r="E2276" s="7" t="s">
        <v>396</v>
      </c>
      <c r="F2276" s="7" t="s">
        <v>4950</v>
      </c>
      <c r="G2276" s="7" t="n">
        <v>2014</v>
      </c>
      <c r="H2276" s="7" t="s">
        <v>49</v>
      </c>
      <c r="I2276" s="7" t="s">
        <v>330</v>
      </c>
      <c r="J2276" s="7" t="s">
        <v>240</v>
      </c>
      <c r="K2276" s="7" t="n">
        <f aca="false">IFERROR(VALUE(RIGHT(TRIM(F2276),4)),"")</f>
        <v>2017</v>
      </c>
      <c r="L2276" s="7" t="str">
        <f aca="false">IF(TRIM(E2276)="","Unknown",IFERROR(LEFT(TRIM(E2276),FIND(",",TRIM(E2276))-1),TRIM(E2276)))</f>
        <v>Turkey</v>
      </c>
      <c r="M2276" s="7" t="str">
        <f aca="false">IFERROR(LEFT(J2276,FIND(",",J2276)-1),J2276)</f>
        <v>Dramas</v>
      </c>
      <c r="N2276" s="7" t="n">
        <f aca="false">IF(B2276="Movie",IFERROR(VALUE(LEFT(I2276,FIND(" ",I2276)-1)),""),"")</f>
        <v>103</v>
      </c>
      <c r="O2276" s="7" t="str">
        <f aca="false">IF(B2276="TV Show",IFERROR(VALUE(LEFT(I2276,FIND(" ",I2276)-1)),""),"")</f>
        <v/>
      </c>
      <c r="P2276" s="7" t="n">
        <f aca="false">IF(K2276="","",K2276-G2276)</f>
        <v>3</v>
      </c>
    </row>
    <row r="2277" customFormat="false" ht="15" hidden="false" customHeight="false" outlineLevel="0" collapsed="false">
      <c r="A2277" s="7" t="n">
        <v>80134436</v>
      </c>
      <c r="B2277" s="7" t="s">
        <v>68</v>
      </c>
      <c r="C2277" s="7" t="s">
        <v>4980</v>
      </c>
      <c r="D2277" s="7" t="s">
        <v>4952</v>
      </c>
      <c r="E2277" s="7" t="s">
        <v>396</v>
      </c>
      <c r="F2277" s="7" t="s">
        <v>4950</v>
      </c>
      <c r="G2277" s="7" t="n">
        <v>2015</v>
      </c>
      <c r="H2277" s="7" t="s">
        <v>49</v>
      </c>
      <c r="I2277" s="7" t="s">
        <v>512</v>
      </c>
      <c r="J2277" s="7" t="s">
        <v>202</v>
      </c>
      <c r="K2277" s="7" t="n">
        <f aca="false">IFERROR(VALUE(RIGHT(TRIM(F2277),4)),"")</f>
        <v>2017</v>
      </c>
      <c r="L2277" s="7" t="str">
        <f aca="false">IF(TRIM(E2277)="","Unknown",IFERROR(LEFT(TRIM(E2277),FIND(",",TRIM(E2277))-1),TRIM(E2277)))</f>
        <v>Turkey</v>
      </c>
      <c r="M2277" s="7" t="str">
        <f aca="false">IFERROR(LEFT(J2277,FIND(",",J2277)-1),J2277)</f>
        <v>Comedies</v>
      </c>
      <c r="N2277" s="7" t="n">
        <f aca="false">IF(B2277="Movie",IFERROR(VALUE(LEFT(I2277,FIND(" ",I2277)-1)),""),"")</f>
        <v>101</v>
      </c>
      <c r="O2277" s="7" t="str">
        <f aca="false">IF(B2277="TV Show",IFERROR(VALUE(LEFT(I2277,FIND(" ",I2277)-1)),""),"")</f>
        <v/>
      </c>
      <c r="P2277" s="7" t="n">
        <f aca="false">IF(K2277="","",K2277-G2277)</f>
        <v>2</v>
      </c>
    </row>
    <row r="2278" customFormat="false" ht="15" hidden="false" customHeight="false" outlineLevel="0" collapsed="false">
      <c r="A2278" s="7" t="n">
        <v>80134514</v>
      </c>
      <c r="B2278" s="7" t="s">
        <v>68</v>
      </c>
      <c r="C2278" s="7" t="s">
        <v>4981</v>
      </c>
      <c r="D2278" s="7" t="s">
        <v>819</v>
      </c>
      <c r="E2278" s="7" t="s">
        <v>396</v>
      </c>
      <c r="F2278" s="7" t="s">
        <v>4950</v>
      </c>
      <c r="G2278" s="7" t="n">
        <v>2015</v>
      </c>
      <c r="H2278" s="7" t="s">
        <v>49</v>
      </c>
      <c r="I2278" s="7" t="s">
        <v>417</v>
      </c>
      <c r="J2278" s="7" t="s">
        <v>206</v>
      </c>
      <c r="K2278" s="7" t="n">
        <f aca="false">IFERROR(VALUE(RIGHT(TRIM(F2278),4)),"")</f>
        <v>2017</v>
      </c>
      <c r="L2278" s="7" t="str">
        <f aca="false">IF(TRIM(E2278)="","Unknown",IFERROR(LEFT(TRIM(E2278),FIND(",",TRIM(E2278))-1),TRIM(E2278)))</f>
        <v>Turkey</v>
      </c>
      <c r="M2278" s="7" t="str">
        <f aca="false">IFERROR(LEFT(J2278,FIND(",",J2278)-1),J2278)</f>
        <v>Comedies</v>
      </c>
      <c r="N2278" s="7" t="n">
        <f aca="false">IF(B2278="Movie",IFERROR(VALUE(LEFT(I2278,FIND(" ",I2278)-1)),""),"")</f>
        <v>104</v>
      </c>
      <c r="O2278" s="7" t="str">
        <f aca="false">IF(B2278="TV Show",IFERROR(VALUE(LEFT(I2278,FIND(" ",I2278)-1)),""),"")</f>
        <v/>
      </c>
      <c r="P2278" s="7" t="n">
        <f aca="false">IF(K2278="","",K2278-G2278)</f>
        <v>2</v>
      </c>
    </row>
    <row r="2279" customFormat="false" ht="15" hidden="false" customHeight="false" outlineLevel="0" collapsed="false">
      <c r="A2279" s="7" t="n">
        <v>80134398</v>
      </c>
      <c r="B2279" s="7" t="s">
        <v>68</v>
      </c>
      <c r="C2279" s="7" t="s">
        <v>4982</v>
      </c>
      <c r="D2279" s="7" t="s">
        <v>819</v>
      </c>
      <c r="E2279" s="7" t="s">
        <v>396</v>
      </c>
      <c r="F2279" s="7" t="s">
        <v>4950</v>
      </c>
      <c r="G2279" s="7" t="n">
        <v>2016</v>
      </c>
      <c r="H2279" s="7" t="s">
        <v>49</v>
      </c>
      <c r="I2279" s="7" t="s">
        <v>417</v>
      </c>
      <c r="J2279" s="7" t="s">
        <v>206</v>
      </c>
      <c r="K2279" s="7" t="n">
        <f aca="false">IFERROR(VALUE(RIGHT(TRIM(F2279),4)),"")</f>
        <v>2017</v>
      </c>
      <c r="L2279" s="7" t="str">
        <f aca="false">IF(TRIM(E2279)="","Unknown",IFERROR(LEFT(TRIM(E2279),FIND(",",TRIM(E2279))-1),TRIM(E2279)))</f>
        <v>Turkey</v>
      </c>
      <c r="M2279" s="7" t="str">
        <f aca="false">IFERROR(LEFT(J2279,FIND(",",J2279)-1),J2279)</f>
        <v>Comedies</v>
      </c>
      <c r="N2279" s="7" t="n">
        <f aca="false">IF(B2279="Movie",IFERROR(VALUE(LEFT(I2279,FIND(" ",I2279)-1)),""),"")</f>
        <v>104</v>
      </c>
      <c r="O2279" s="7" t="str">
        <f aca="false">IF(B2279="TV Show",IFERROR(VALUE(LEFT(I2279,FIND(" ",I2279)-1)),""),"")</f>
        <v/>
      </c>
      <c r="P2279" s="7" t="n">
        <f aca="false">IF(K2279="","",K2279-G2279)</f>
        <v>1</v>
      </c>
    </row>
    <row r="2280" customFormat="false" ht="15" hidden="false" customHeight="false" outlineLevel="0" collapsed="false">
      <c r="A2280" s="7" t="n">
        <v>80134520</v>
      </c>
      <c r="B2280" s="7" t="s">
        <v>68</v>
      </c>
      <c r="C2280" s="7" t="s">
        <v>4983</v>
      </c>
      <c r="D2280" s="7" t="s">
        <v>4984</v>
      </c>
      <c r="E2280" s="7" t="s">
        <v>396</v>
      </c>
      <c r="F2280" s="7" t="s">
        <v>4950</v>
      </c>
      <c r="G2280" s="7" t="n">
        <v>2012</v>
      </c>
      <c r="H2280" s="7" t="s">
        <v>48</v>
      </c>
      <c r="I2280" s="7" t="s">
        <v>205</v>
      </c>
      <c r="J2280" s="7" t="s">
        <v>217</v>
      </c>
      <c r="K2280" s="7" t="n">
        <f aca="false">IFERROR(VALUE(RIGHT(TRIM(F2280),4)),"")</f>
        <v>2017</v>
      </c>
      <c r="L2280" s="7" t="str">
        <f aca="false">IF(TRIM(E2280)="","Unknown",IFERROR(LEFT(TRIM(E2280),FIND(",",TRIM(E2280))-1),TRIM(E2280)))</f>
        <v>Turkey</v>
      </c>
      <c r="M2280" s="7" t="str">
        <f aca="false">IFERROR(LEFT(J2280,FIND(",",J2280)-1),J2280)</f>
        <v>Comedies</v>
      </c>
      <c r="N2280" s="7" t="n">
        <f aca="false">IF(B2280="Movie",IFERROR(VALUE(LEFT(I2280,FIND(" ",I2280)-1)),""),"")</f>
        <v>100</v>
      </c>
      <c r="O2280" s="7" t="str">
        <f aca="false">IF(B2280="TV Show",IFERROR(VALUE(LEFT(I2280,FIND(" ",I2280)-1)),""),"")</f>
        <v/>
      </c>
      <c r="P2280" s="7" t="n">
        <f aca="false">IF(K2280="","",K2280-G2280)</f>
        <v>5</v>
      </c>
    </row>
    <row r="2281" customFormat="false" ht="15" hidden="false" customHeight="false" outlineLevel="0" collapsed="false">
      <c r="A2281" s="7" t="n">
        <v>80134420</v>
      </c>
      <c r="B2281" s="7" t="s">
        <v>68</v>
      </c>
      <c r="C2281" s="7" t="s">
        <v>4985</v>
      </c>
      <c r="D2281" s="7" t="s">
        <v>319</v>
      </c>
      <c r="E2281" s="7" t="s">
        <v>396</v>
      </c>
      <c r="F2281" s="7" t="s">
        <v>4950</v>
      </c>
      <c r="G2281" s="7" t="n">
        <v>2015</v>
      </c>
      <c r="H2281" s="7" t="s">
        <v>49</v>
      </c>
      <c r="I2281" s="7" t="s">
        <v>2183</v>
      </c>
      <c r="J2281" s="7" t="s">
        <v>304</v>
      </c>
      <c r="K2281" s="7" t="n">
        <f aca="false">IFERROR(VALUE(RIGHT(TRIM(F2281),4)),"")</f>
        <v>2017</v>
      </c>
      <c r="L2281" s="7" t="str">
        <f aca="false">IF(TRIM(E2281)="","Unknown",IFERROR(LEFT(TRIM(E2281),FIND(",",TRIM(E2281))-1),TRIM(E2281)))</f>
        <v>Turkey</v>
      </c>
      <c r="M2281" s="7" t="str">
        <f aca="false">IFERROR(LEFT(J2281,FIND(",",J2281)-1),J2281)</f>
        <v>Dramas</v>
      </c>
      <c r="N2281" s="7" t="n">
        <f aca="false">IF(B2281="Movie",IFERROR(VALUE(LEFT(I2281,FIND(" ",I2281)-1)),""),"")</f>
        <v>136</v>
      </c>
      <c r="O2281" s="7" t="str">
        <f aca="false">IF(B2281="TV Show",IFERROR(VALUE(LEFT(I2281,FIND(" ",I2281)-1)),""),"")</f>
        <v/>
      </c>
      <c r="P2281" s="7" t="n">
        <f aca="false">IF(K2281="","",K2281-G2281)</f>
        <v>2</v>
      </c>
    </row>
    <row r="2282" customFormat="false" ht="15" hidden="false" customHeight="false" outlineLevel="0" collapsed="false">
      <c r="A2282" s="7" t="n">
        <v>80134501</v>
      </c>
      <c r="B2282" s="7" t="s">
        <v>68</v>
      </c>
      <c r="C2282" s="7" t="s">
        <v>4986</v>
      </c>
      <c r="D2282" s="7" t="s">
        <v>1933</v>
      </c>
      <c r="E2282" s="7" t="s">
        <v>396</v>
      </c>
      <c r="F2282" s="7" t="s">
        <v>4950</v>
      </c>
      <c r="G2282" s="7" t="n">
        <v>2015</v>
      </c>
      <c r="H2282" s="7" t="s">
        <v>49</v>
      </c>
      <c r="I2282" s="7" t="s">
        <v>181</v>
      </c>
      <c r="J2282" s="7" t="s">
        <v>202</v>
      </c>
      <c r="K2282" s="7" t="n">
        <f aca="false">IFERROR(VALUE(RIGHT(TRIM(F2282),4)),"")</f>
        <v>2017</v>
      </c>
      <c r="L2282" s="7" t="str">
        <f aca="false">IF(TRIM(E2282)="","Unknown",IFERROR(LEFT(TRIM(E2282),FIND(",",TRIM(E2282))-1),TRIM(E2282)))</f>
        <v>Turkey</v>
      </c>
      <c r="M2282" s="7" t="str">
        <f aca="false">IFERROR(LEFT(J2282,FIND(",",J2282)-1),J2282)</f>
        <v>Comedies</v>
      </c>
      <c r="N2282" s="7" t="n">
        <f aca="false">IF(B2282="Movie",IFERROR(VALUE(LEFT(I2282,FIND(" ",I2282)-1)),""),"")</f>
        <v>102</v>
      </c>
      <c r="O2282" s="7" t="str">
        <f aca="false">IF(B2282="TV Show",IFERROR(VALUE(LEFT(I2282,FIND(" ",I2282)-1)),""),"")</f>
        <v/>
      </c>
      <c r="P2282" s="7" t="n">
        <f aca="false">IF(K2282="","",K2282-G2282)</f>
        <v>2</v>
      </c>
    </row>
    <row r="2283" customFormat="false" ht="15" hidden="false" customHeight="false" outlineLevel="0" collapsed="false">
      <c r="A2283" s="7" t="n">
        <v>80161700</v>
      </c>
      <c r="B2283" s="7" t="s">
        <v>78</v>
      </c>
      <c r="C2283" s="7" t="s">
        <v>4987</v>
      </c>
      <c r="E2283" s="7" t="s">
        <v>32</v>
      </c>
      <c r="F2283" s="7" t="s">
        <v>4950</v>
      </c>
      <c r="G2283" s="7" t="n">
        <v>2016</v>
      </c>
      <c r="H2283" s="7" t="s">
        <v>49</v>
      </c>
      <c r="I2283" s="7" t="s">
        <v>82</v>
      </c>
      <c r="J2283" s="7" t="s">
        <v>637</v>
      </c>
      <c r="K2283" s="7" t="n">
        <f aca="false">IFERROR(VALUE(RIGHT(TRIM(F2283),4)),"")</f>
        <v>2017</v>
      </c>
      <c r="L2283" s="7" t="str">
        <f aca="false">IF(TRIM(E2283)="","Unknown",IFERROR(LEFT(TRIM(E2283),FIND(",",TRIM(E2283))-1),TRIM(E2283)))</f>
        <v>South Korea</v>
      </c>
      <c r="M2283" s="7" t="str">
        <f aca="false">IFERROR(LEFT(J2283,FIND(",",J2283)-1),J2283)</f>
        <v>International TV Shows</v>
      </c>
      <c r="N2283" s="7" t="str">
        <f aca="false">IF(B2283="Movie",IFERROR(VALUE(LEFT(I2283,FIND(" ",I2283)-1)),""),"")</f>
        <v/>
      </c>
      <c r="O2283" s="7" t="n">
        <f aca="false">IF(B2283="TV Show",IFERROR(VALUE(LEFT(I2283,FIND(" ",I2283)-1)),""),"")</f>
        <v>1</v>
      </c>
      <c r="P2283" s="7" t="n">
        <f aca="false">IF(K2283="","",K2283-G2283)</f>
        <v>1</v>
      </c>
    </row>
    <row r="2284" customFormat="false" ht="15" hidden="false" customHeight="false" outlineLevel="0" collapsed="false">
      <c r="A2284" s="7" t="n">
        <v>80134399</v>
      </c>
      <c r="B2284" s="7" t="s">
        <v>68</v>
      </c>
      <c r="C2284" s="7" t="s">
        <v>4988</v>
      </c>
      <c r="D2284" s="7" t="s">
        <v>819</v>
      </c>
      <c r="E2284" s="7" t="s">
        <v>396</v>
      </c>
      <c r="F2284" s="7" t="s">
        <v>4950</v>
      </c>
      <c r="G2284" s="7" t="n">
        <v>2014</v>
      </c>
      <c r="H2284" s="7" t="s">
        <v>48</v>
      </c>
      <c r="I2284" s="7" t="s">
        <v>820</v>
      </c>
      <c r="J2284" s="7" t="s">
        <v>206</v>
      </c>
      <c r="K2284" s="7" t="n">
        <f aca="false">IFERROR(VALUE(RIGHT(TRIM(F2284),4)),"")</f>
        <v>2017</v>
      </c>
      <c r="L2284" s="7" t="str">
        <f aca="false">IF(TRIM(E2284)="","Unknown",IFERROR(LEFT(TRIM(E2284),FIND(",",TRIM(E2284))-1),TRIM(E2284)))</f>
        <v>Turkey</v>
      </c>
      <c r="M2284" s="7" t="str">
        <f aca="false">IFERROR(LEFT(J2284,FIND(",",J2284)-1),J2284)</f>
        <v>Comedies</v>
      </c>
      <c r="N2284" s="7" t="n">
        <f aca="false">IF(B2284="Movie",IFERROR(VALUE(LEFT(I2284,FIND(" ",I2284)-1)),""),"")</f>
        <v>105</v>
      </c>
      <c r="O2284" s="7" t="str">
        <f aca="false">IF(B2284="TV Show",IFERROR(VALUE(LEFT(I2284,FIND(" ",I2284)-1)),""),"")</f>
        <v/>
      </c>
      <c r="P2284" s="7" t="n">
        <f aca="false">IF(K2284="","",K2284-G2284)</f>
        <v>3</v>
      </c>
    </row>
    <row r="2285" customFormat="false" ht="15" hidden="false" customHeight="false" outlineLevel="0" collapsed="false">
      <c r="A2285" s="7" t="n">
        <v>80160127</v>
      </c>
      <c r="B2285" s="7" t="s">
        <v>68</v>
      </c>
      <c r="C2285" s="7" t="s">
        <v>4989</v>
      </c>
      <c r="D2285" s="7" t="s">
        <v>4990</v>
      </c>
      <c r="F2285" s="7" t="s">
        <v>4950</v>
      </c>
      <c r="G2285" s="7" t="n">
        <v>2016</v>
      </c>
      <c r="H2285" s="7" t="s">
        <v>50</v>
      </c>
      <c r="I2285" s="7" t="s">
        <v>373</v>
      </c>
      <c r="J2285" s="7" t="s">
        <v>39</v>
      </c>
      <c r="K2285" s="7" t="n">
        <f aca="false">IFERROR(VALUE(RIGHT(TRIM(F2285),4)),"")</f>
        <v>2017</v>
      </c>
      <c r="L2285" s="7" t="str">
        <f aca="false">IF(TRIM(E2285)="","Unknown",IFERROR(LEFT(TRIM(E2285),FIND(",",TRIM(E2285))-1),TRIM(E2285)))</f>
        <v>Unknown</v>
      </c>
      <c r="M2285" s="7" t="str">
        <f aca="false">IFERROR(LEFT(J2285,FIND(",",J2285)-1),J2285)</f>
        <v>Documentaries</v>
      </c>
      <c r="N2285" s="7" t="n">
        <f aca="false">IF(B2285="Movie",IFERROR(VALUE(LEFT(I2285,FIND(" ",I2285)-1)),""),"")</f>
        <v>24</v>
      </c>
      <c r="O2285" s="7" t="str">
        <f aca="false">IF(B2285="TV Show",IFERROR(VALUE(LEFT(I2285,FIND(" ",I2285)-1)),""),"")</f>
        <v/>
      </c>
      <c r="P2285" s="7" t="n">
        <f aca="false">IF(K2285="","",K2285-G2285)</f>
        <v>1</v>
      </c>
    </row>
    <row r="2286" customFormat="false" ht="15" hidden="false" customHeight="false" outlineLevel="0" collapsed="false">
      <c r="A2286" s="7" t="n">
        <v>80134438</v>
      </c>
      <c r="B2286" s="7" t="s">
        <v>68</v>
      </c>
      <c r="C2286" s="7" t="s">
        <v>4991</v>
      </c>
      <c r="D2286" s="7" t="s">
        <v>4992</v>
      </c>
      <c r="E2286" s="7" t="s">
        <v>396</v>
      </c>
      <c r="F2286" s="7" t="s">
        <v>4950</v>
      </c>
      <c r="G2286" s="7" t="n">
        <v>2010</v>
      </c>
      <c r="H2286" s="7" t="s">
        <v>53</v>
      </c>
      <c r="I2286" s="7" t="s">
        <v>93</v>
      </c>
      <c r="J2286" s="7" t="s">
        <v>206</v>
      </c>
      <c r="K2286" s="7" t="n">
        <f aca="false">IFERROR(VALUE(RIGHT(TRIM(F2286),4)),"")</f>
        <v>2017</v>
      </c>
      <c r="L2286" s="7" t="str">
        <f aca="false">IF(TRIM(E2286)="","Unknown",IFERROR(LEFT(TRIM(E2286),FIND(",",TRIM(E2286))-1),TRIM(E2286)))</f>
        <v>Turkey</v>
      </c>
      <c r="M2286" s="7" t="str">
        <f aca="false">IFERROR(LEFT(J2286,FIND(",",J2286)-1),J2286)</f>
        <v>Comedies</v>
      </c>
      <c r="N2286" s="7" t="n">
        <f aca="false">IF(B2286="Movie",IFERROR(VALUE(LEFT(I2286,FIND(" ",I2286)-1)),""),"")</f>
        <v>110</v>
      </c>
      <c r="O2286" s="7" t="str">
        <f aca="false">IF(B2286="TV Show",IFERROR(VALUE(LEFT(I2286,FIND(" ",I2286)-1)),""),"")</f>
        <v/>
      </c>
      <c r="P2286" s="7" t="n">
        <f aca="false">IF(K2286="","",K2286-G2286)</f>
        <v>7</v>
      </c>
    </row>
    <row r="2287" customFormat="false" ht="15" hidden="false" customHeight="false" outlineLevel="0" collapsed="false">
      <c r="A2287" s="7" t="n">
        <v>80134435</v>
      </c>
      <c r="B2287" s="7" t="s">
        <v>68</v>
      </c>
      <c r="C2287" s="7" t="s">
        <v>4993</v>
      </c>
      <c r="D2287" s="7" t="s">
        <v>4994</v>
      </c>
      <c r="E2287" s="7" t="s">
        <v>396</v>
      </c>
      <c r="F2287" s="7" t="s">
        <v>4950</v>
      </c>
      <c r="G2287" s="7" t="n">
        <v>2013</v>
      </c>
      <c r="H2287" s="7" t="s">
        <v>49</v>
      </c>
      <c r="I2287" s="7" t="s">
        <v>820</v>
      </c>
      <c r="J2287" s="7" t="s">
        <v>206</v>
      </c>
      <c r="K2287" s="7" t="n">
        <f aca="false">IFERROR(VALUE(RIGHT(TRIM(F2287),4)),"")</f>
        <v>2017</v>
      </c>
      <c r="L2287" s="7" t="str">
        <f aca="false">IF(TRIM(E2287)="","Unknown",IFERROR(LEFT(TRIM(E2287),FIND(",",TRIM(E2287))-1),TRIM(E2287)))</f>
        <v>Turkey</v>
      </c>
      <c r="M2287" s="7" t="str">
        <f aca="false">IFERROR(LEFT(J2287,FIND(",",J2287)-1),J2287)</f>
        <v>Comedies</v>
      </c>
      <c r="N2287" s="7" t="n">
        <f aca="false">IF(B2287="Movie",IFERROR(VALUE(LEFT(I2287,FIND(" ",I2287)-1)),""),"")</f>
        <v>105</v>
      </c>
      <c r="O2287" s="7" t="str">
        <f aca="false">IF(B2287="TV Show",IFERROR(VALUE(LEFT(I2287,FIND(" ",I2287)-1)),""),"")</f>
        <v/>
      </c>
      <c r="P2287" s="7" t="n">
        <f aca="false">IF(K2287="","",K2287-G2287)</f>
        <v>4</v>
      </c>
    </row>
    <row r="2288" customFormat="false" ht="15" hidden="false" customHeight="false" outlineLevel="0" collapsed="false">
      <c r="A2288" s="7" t="n">
        <v>80134519</v>
      </c>
      <c r="B2288" s="7" t="s">
        <v>68</v>
      </c>
      <c r="C2288" s="7" t="s">
        <v>4995</v>
      </c>
      <c r="D2288" s="7" t="s">
        <v>4996</v>
      </c>
      <c r="E2288" s="7" t="s">
        <v>396</v>
      </c>
      <c r="F2288" s="7" t="s">
        <v>4950</v>
      </c>
      <c r="G2288" s="7" t="n">
        <v>2014</v>
      </c>
      <c r="H2288" s="7" t="s">
        <v>48</v>
      </c>
      <c r="I2288" s="7" t="s">
        <v>820</v>
      </c>
      <c r="J2288" s="7" t="s">
        <v>240</v>
      </c>
      <c r="K2288" s="7" t="n">
        <f aca="false">IFERROR(VALUE(RIGHT(TRIM(F2288),4)),"")</f>
        <v>2017</v>
      </c>
      <c r="L2288" s="7" t="str">
        <f aca="false">IF(TRIM(E2288)="","Unknown",IFERROR(LEFT(TRIM(E2288),FIND(",",TRIM(E2288))-1),TRIM(E2288)))</f>
        <v>Turkey</v>
      </c>
      <c r="M2288" s="7" t="str">
        <f aca="false">IFERROR(LEFT(J2288,FIND(",",J2288)-1),J2288)</f>
        <v>Dramas</v>
      </c>
      <c r="N2288" s="7" t="n">
        <f aca="false">IF(B2288="Movie",IFERROR(VALUE(LEFT(I2288,FIND(" ",I2288)-1)),""),"")</f>
        <v>105</v>
      </c>
      <c r="O2288" s="7" t="str">
        <f aca="false">IF(B2288="TV Show",IFERROR(VALUE(LEFT(I2288,FIND(" ",I2288)-1)),""),"")</f>
        <v/>
      </c>
      <c r="P2288" s="7" t="n">
        <f aca="false">IF(K2288="","",K2288-G2288)</f>
        <v>3</v>
      </c>
    </row>
    <row r="2289" customFormat="false" ht="15" hidden="false" customHeight="false" outlineLevel="0" collapsed="false">
      <c r="A2289" s="7" t="n">
        <v>80134434</v>
      </c>
      <c r="B2289" s="7" t="s">
        <v>68</v>
      </c>
      <c r="C2289" s="7" t="s">
        <v>4997</v>
      </c>
      <c r="D2289" s="7" t="s">
        <v>1417</v>
      </c>
      <c r="E2289" s="7" t="s">
        <v>396</v>
      </c>
      <c r="F2289" s="7" t="s">
        <v>4950</v>
      </c>
      <c r="G2289" s="7" t="n">
        <v>2012</v>
      </c>
      <c r="H2289" s="7" t="s">
        <v>49</v>
      </c>
      <c r="I2289" s="7" t="s">
        <v>181</v>
      </c>
      <c r="J2289" s="7" t="s">
        <v>202</v>
      </c>
      <c r="K2289" s="7" t="n">
        <f aca="false">IFERROR(VALUE(RIGHT(TRIM(F2289),4)),"")</f>
        <v>2017</v>
      </c>
      <c r="L2289" s="7" t="str">
        <f aca="false">IF(TRIM(E2289)="","Unknown",IFERROR(LEFT(TRIM(E2289),FIND(",",TRIM(E2289))-1),TRIM(E2289)))</f>
        <v>Turkey</v>
      </c>
      <c r="M2289" s="7" t="str">
        <f aca="false">IFERROR(LEFT(J2289,FIND(",",J2289)-1),J2289)</f>
        <v>Comedies</v>
      </c>
      <c r="N2289" s="7" t="n">
        <f aca="false">IF(B2289="Movie",IFERROR(VALUE(LEFT(I2289,FIND(" ",I2289)-1)),""),"")</f>
        <v>102</v>
      </c>
      <c r="O2289" s="7" t="str">
        <f aca="false">IF(B2289="TV Show",IFERROR(VALUE(LEFT(I2289,FIND(" ",I2289)-1)),""),"")</f>
        <v/>
      </c>
      <c r="P2289" s="7" t="n">
        <f aca="false">IF(K2289="","",K2289-G2289)</f>
        <v>5</v>
      </c>
    </row>
    <row r="2290" customFormat="false" ht="15" hidden="false" customHeight="false" outlineLevel="0" collapsed="false">
      <c r="A2290" s="7" t="n">
        <v>80160357</v>
      </c>
      <c r="B2290" s="7" t="s">
        <v>68</v>
      </c>
      <c r="C2290" s="7" t="s">
        <v>4998</v>
      </c>
      <c r="D2290" s="7" t="s">
        <v>4999</v>
      </c>
      <c r="E2290" s="7" t="s">
        <v>31</v>
      </c>
      <c r="F2290" s="7" t="s">
        <v>4950</v>
      </c>
      <c r="G2290" s="7" t="n">
        <v>2015</v>
      </c>
      <c r="H2290" s="7" t="s">
        <v>48</v>
      </c>
      <c r="I2290" s="7" t="s">
        <v>134</v>
      </c>
      <c r="J2290" s="7" t="s">
        <v>240</v>
      </c>
      <c r="K2290" s="7" t="n">
        <f aca="false">IFERROR(VALUE(RIGHT(TRIM(F2290),4)),"")</f>
        <v>2017</v>
      </c>
      <c r="L2290" s="7" t="str">
        <f aca="false">IF(TRIM(E2290)="","Unknown",IFERROR(LEFT(TRIM(E2290),FIND(",",TRIM(E2290))-1),TRIM(E2290)))</f>
        <v>France</v>
      </c>
      <c r="M2290" s="7" t="str">
        <f aca="false">IFERROR(LEFT(J2290,FIND(",",J2290)-1),J2290)</f>
        <v>Dramas</v>
      </c>
      <c r="N2290" s="7" t="n">
        <f aca="false">IF(B2290="Movie",IFERROR(VALUE(LEFT(I2290,FIND(" ",I2290)-1)),""),"")</f>
        <v>98</v>
      </c>
      <c r="O2290" s="7" t="str">
        <f aca="false">IF(B2290="TV Show",IFERROR(VALUE(LEFT(I2290,FIND(" ",I2290)-1)),""),"")</f>
        <v/>
      </c>
      <c r="P2290" s="7" t="n">
        <f aca="false">IF(K2290="","",K2290-G2290)</f>
        <v>2</v>
      </c>
    </row>
    <row r="2291" customFormat="false" ht="15" hidden="false" customHeight="false" outlineLevel="0" collapsed="false">
      <c r="A2291" s="7" t="n">
        <v>70299745</v>
      </c>
      <c r="B2291" s="7" t="s">
        <v>68</v>
      </c>
      <c r="C2291" s="7" t="s">
        <v>5000</v>
      </c>
      <c r="D2291" s="7" t="s">
        <v>1683</v>
      </c>
      <c r="E2291" s="7" t="s">
        <v>396</v>
      </c>
      <c r="F2291" s="7" t="s">
        <v>4950</v>
      </c>
      <c r="G2291" s="7" t="n">
        <v>2013</v>
      </c>
      <c r="H2291" s="7" t="s">
        <v>50</v>
      </c>
      <c r="I2291" s="7" t="s">
        <v>1270</v>
      </c>
      <c r="J2291" s="7" t="s">
        <v>240</v>
      </c>
      <c r="K2291" s="7" t="n">
        <f aca="false">IFERROR(VALUE(RIGHT(TRIM(F2291),4)),"")</f>
        <v>2017</v>
      </c>
      <c r="L2291" s="7" t="str">
        <f aca="false">IF(TRIM(E2291)="","Unknown",IFERROR(LEFT(TRIM(E2291),FIND(",",TRIM(E2291))-1),TRIM(E2291)))</f>
        <v>Turkey</v>
      </c>
      <c r="M2291" s="7" t="str">
        <f aca="false">IFERROR(LEFT(J2291,FIND(",",J2291)-1),J2291)</f>
        <v>Dramas</v>
      </c>
      <c r="N2291" s="7" t="n">
        <f aca="false">IF(B2291="Movie",IFERROR(VALUE(LEFT(I2291,FIND(" ",I2291)-1)),""),"")</f>
        <v>118</v>
      </c>
      <c r="O2291" s="7" t="str">
        <f aca="false">IF(B2291="TV Show",IFERROR(VALUE(LEFT(I2291,FIND(" ",I2291)-1)),""),"")</f>
        <v/>
      </c>
      <c r="P2291" s="7" t="n">
        <f aca="false">IF(K2291="","",K2291-G2291)</f>
        <v>4</v>
      </c>
    </row>
    <row r="2292" customFormat="false" ht="15" hidden="false" customHeight="false" outlineLevel="0" collapsed="false">
      <c r="A2292" s="7" t="n">
        <v>80038527</v>
      </c>
      <c r="B2292" s="7" t="s">
        <v>68</v>
      </c>
      <c r="C2292" s="7" t="s">
        <v>5001</v>
      </c>
      <c r="D2292" s="7" t="s">
        <v>5002</v>
      </c>
      <c r="E2292" s="7" t="s">
        <v>396</v>
      </c>
      <c r="F2292" s="7" t="s">
        <v>4950</v>
      </c>
      <c r="G2292" s="7" t="n">
        <v>2001</v>
      </c>
      <c r="H2292" s="7" t="s">
        <v>53</v>
      </c>
      <c r="I2292" s="7" t="s">
        <v>173</v>
      </c>
      <c r="J2292" s="7" t="s">
        <v>217</v>
      </c>
      <c r="K2292" s="7" t="n">
        <f aca="false">IFERROR(VALUE(RIGHT(TRIM(F2292),4)),"")</f>
        <v>2017</v>
      </c>
      <c r="L2292" s="7" t="str">
        <f aca="false">IF(TRIM(E2292)="","Unknown",IFERROR(LEFT(TRIM(E2292),FIND(",",TRIM(E2292))-1),TRIM(E2292)))</f>
        <v>Turkey</v>
      </c>
      <c r="M2292" s="7" t="str">
        <f aca="false">IFERROR(LEFT(J2292,FIND(",",J2292)-1),J2292)</f>
        <v>Comedies</v>
      </c>
      <c r="N2292" s="7" t="n">
        <f aca="false">IF(B2292="Movie",IFERROR(VALUE(LEFT(I2292,FIND(" ",I2292)-1)),""),"")</f>
        <v>106</v>
      </c>
      <c r="O2292" s="7" t="str">
        <f aca="false">IF(B2292="TV Show",IFERROR(VALUE(LEFT(I2292,FIND(" ",I2292)-1)),""),"")</f>
        <v/>
      </c>
      <c r="P2292" s="7" t="n">
        <f aca="false">IF(K2292="","",K2292-G2292)</f>
        <v>16</v>
      </c>
    </row>
    <row r="2293" customFormat="false" ht="15" hidden="false" customHeight="false" outlineLevel="0" collapsed="false">
      <c r="A2293" s="7" t="n">
        <v>80038445</v>
      </c>
      <c r="B2293" s="7" t="s">
        <v>68</v>
      </c>
      <c r="C2293" s="7" t="s">
        <v>5003</v>
      </c>
      <c r="D2293" s="7" t="s">
        <v>1683</v>
      </c>
      <c r="E2293" s="7" t="s">
        <v>396</v>
      </c>
      <c r="F2293" s="7" t="s">
        <v>4950</v>
      </c>
      <c r="G2293" s="7" t="n">
        <v>2004</v>
      </c>
      <c r="H2293" s="7" t="s">
        <v>53</v>
      </c>
      <c r="I2293" s="7" t="s">
        <v>173</v>
      </c>
      <c r="J2293" s="7" t="s">
        <v>217</v>
      </c>
      <c r="K2293" s="7" t="n">
        <f aca="false">IFERROR(VALUE(RIGHT(TRIM(F2293),4)),"")</f>
        <v>2017</v>
      </c>
      <c r="L2293" s="7" t="str">
        <f aca="false">IF(TRIM(E2293)="","Unknown",IFERROR(LEFT(TRIM(E2293),FIND(",",TRIM(E2293))-1),TRIM(E2293)))</f>
        <v>Turkey</v>
      </c>
      <c r="M2293" s="7" t="str">
        <f aca="false">IFERROR(LEFT(J2293,FIND(",",J2293)-1),J2293)</f>
        <v>Comedies</v>
      </c>
      <c r="N2293" s="7" t="n">
        <f aca="false">IF(B2293="Movie",IFERROR(VALUE(LEFT(I2293,FIND(" ",I2293)-1)),""),"")</f>
        <v>106</v>
      </c>
      <c r="O2293" s="7" t="str">
        <f aca="false">IF(B2293="TV Show",IFERROR(VALUE(LEFT(I2293,FIND(" ",I2293)-1)),""),"")</f>
        <v/>
      </c>
      <c r="P2293" s="7" t="n">
        <f aca="false">IF(K2293="","",K2293-G2293)</f>
        <v>13</v>
      </c>
    </row>
    <row r="2294" customFormat="false" ht="15" hidden="false" customHeight="false" outlineLevel="0" collapsed="false">
      <c r="A2294" s="7" t="n">
        <v>81059183</v>
      </c>
      <c r="B2294" s="7" t="s">
        <v>68</v>
      </c>
      <c r="C2294" s="7" t="s">
        <v>5004</v>
      </c>
      <c r="D2294" s="7" t="s">
        <v>5005</v>
      </c>
      <c r="E2294" s="7" t="s">
        <v>167</v>
      </c>
      <c r="F2294" s="7" t="s">
        <v>5006</v>
      </c>
      <c r="G2294" s="7" t="n">
        <v>2018</v>
      </c>
      <c r="H2294" s="7" t="s">
        <v>49</v>
      </c>
      <c r="I2294" s="7" t="s">
        <v>357</v>
      </c>
      <c r="J2294" s="7" t="s">
        <v>974</v>
      </c>
      <c r="K2294" s="7" t="n">
        <f aca="false">IFERROR(VALUE(RIGHT(TRIM(F2294),4)),"")</f>
        <v>2019</v>
      </c>
      <c r="L2294" s="7" t="str">
        <f aca="false">IF(TRIM(E2294)="","Unknown",IFERROR(LEFT(TRIM(E2294),FIND(",",TRIM(E2294))-1),TRIM(E2294)))</f>
        <v>Thailand</v>
      </c>
      <c r="M2294" s="7" t="str">
        <f aca="false">IFERROR(LEFT(J2294,FIND(",",J2294)-1),J2294)</f>
        <v>Documentaries</v>
      </c>
      <c r="N2294" s="7" t="n">
        <f aca="false">IF(B2294="Movie",IFERROR(VALUE(LEFT(I2294,FIND(" ",I2294)-1)),""),"")</f>
        <v>89</v>
      </c>
      <c r="O2294" s="7" t="str">
        <f aca="false">IF(B2294="TV Show",IFERROR(VALUE(LEFT(I2294,FIND(" ",I2294)-1)),""),"")</f>
        <v/>
      </c>
      <c r="P2294" s="7" t="n">
        <f aca="false">IF(K2294="","",K2294-G2294)</f>
        <v>1</v>
      </c>
    </row>
    <row r="2295" customFormat="false" ht="15" hidden="false" customHeight="false" outlineLevel="0" collapsed="false">
      <c r="A2295" s="7" t="n">
        <v>81024332</v>
      </c>
      <c r="B2295" s="7" t="s">
        <v>68</v>
      </c>
      <c r="C2295" s="7" t="s">
        <v>5007</v>
      </c>
      <c r="D2295" s="7" t="s">
        <v>5008</v>
      </c>
      <c r="E2295" s="7" t="s">
        <v>26</v>
      </c>
      <c r="F2295" s="7" t="s">
        <v>5006</v>
      </c>
      <c r="G2295" s="7" t="n">
        <v>2018</v>
      </c>
      <c r="H2295" s="7" t="s">
        <v>50</v>
      </c>
      <c r="I2295" s="7" t="s">
        <v>451</v>
      </c>
      <c r="J2295" s="7" t="s">
        <v>1558</v>
      </c>
      <c r="K2295" s="7" t="n">
        <f aca="false">IFERROR(VALUE(RIGHT(TRIM(F2295),4)),"")</f>
        <v>2019</v>
      </c>
      <c r="L2295" s="7" t="str">
        <f aca="false">IF(TRIM(E2295)="","Unknown",IFERROR(LEFT(TRIM(E2295),FIND(",",TRIM(E2295))-1),TRIM(E2295)))</f>
        <v>United States</v>
      </c>
      <c r="M2295" s="7" t="str">
        <f aca="false">IFERROR(LEFT(J2295,FIND(",",J2295)-1),J2295)</f>
        <v>Dramas</v>
      </c>
      <c r="N2295" s="7" t="n">
        <f aca="false">IF(B2295="Movie",IFERROR(VALUE(LEFT(I2295,FIND(" ",I2295)-1)),""),"")</f>
        <v>97</v>
      </c>
      <c r="O2295" s="7" t="str">
        <f aca="false">IF(B2295="TV Show",IFERROR(VALUE(LEFT(I2295,FIND(" ",I2295)-1)),""),"")</f>
        <v/>
      </c>
      <c r="P2295" s="7" t="n">
        <f aca="false">IF(K2295="","",K2295-G2295)</f>
        <v>1</v>
      </c>
    </row>
    <row r="2296" customFormat="false" ht="15" hidden="false" customHeight="false" outlineLevel="0" collapsed="false">
      <c r="A2296" s="7" t="n">
        <v>81059444</v>
      </c>
      <c r="B2296" s="7" t="s">
        <v>68</v>
      </c>
      <c r="C2296" s="7" t="s">
        <v>5009</v>
      </c>
      <c r="D2296" s="7" t="s">
        <v>5010</v>
      </c>
      <c r="E2296" s="7" t="s">
        <v>167</v>
      </c>
      <c r="F2296" s="7" t="s">
        <v>5006</v>
      </c>
      <c r="G2296" s="7" t="n">
        <v>2018</v>
      </c>
      <c r="H2296" s="7" t="s">
        <v>50</v>
      </c>
      <c r="I2296" s="7" t="s">
        <v>268</v>
      </c>
      <c r="J2296" s="7" t="s">
        <v>699</v>
      </c>
      <c r="K2296" s="7" t="n">
        <f aca="false">IFERROR(VALUE(RIGHT(TRIM(F2296),4)),"")</f>
        <v>2019</v>
      </c>
      <c r="L2296" s="7" t="str">
        <f aca="false">IF(TRIM(E2296)="","Unknown",IFERROR(LEFT(TRIM(E2296),FIND(",",TRIM(E2296))-1),TRIM(E2296)))</f>
        <v>Thailand</v>
      </c>
      <c r="M2296" s="7" t="str">
        <f aca="false">IFERROR(LEFT(J2296,FIND(",",J2296)-1),J2296)</f>
        <v>Documentaries</v>
      </c>
      <c r="N2296" s="7" t="n">
        <f aca="false">IF(B2296="Movie",IFERROR(VALUE(LEFT(I2296,FIND(" ",I2296)-1)),""),"")</f>
        <v>108</v>
      </c>
      <c r="O2296" s="7" t="str">
        <f aca="false">IF(B2296="TV Show",IFERROR(VALUE(LEFT(I2296,FIND(" ",I2296)-1)),""),"")</f>
        <v/>
      </c>
      <c r="P2296" s="7" t="n">
        <f aca="false">IF(K2296="","",K2296-G2296)</f>
        <v>1</v>
      </c>
    </row>
    <row r="2297" customFormat="false" ht="15" hidden="false" customHeight="false" outlineLevel="0" collapsed="false">
      <c r="A2297" s="7" t="n">
        <v>80987464</v>
      </c>
      <c r="B2297" s="7" t="s">
        <v>68</v>
      </c>
      <c r="C2297" s="7" t="s">
        <v>5011</v>
      </c>
      <c r="D2297" s="7" t="s">
        <v>5012</v>
      </c>
      <c r="E2297" s="7" t="s">
        <v>129</v>
      </c>
      <c r="F2297" s="7" t="s">
        <v>5006</v>
      </c>
      <c r="G2297" s="7" t="n">
        <v>2018</v>
      </c>
      <c r="H2297" s="7" t="s">
        <v>48</v>
      </c>
      <c r="I2297" s="7" t="s">
        <v>330</v>
      </c>
      <c r="J2297" s="7" t="s">
        <v>202</v>
      </c>
      <c r="K2297" s="7" t="n">
        <f aca="false">IFERROR(VALUE(RIGHT(TRIM(F2297),4)),"")</f>
        <v>2019</v>
      </c>
      <c r="L2297" s="7" t="str">
        <f aca="false">IF(TRIM(E2297)="","Unknown",IFERROR(LEFT(TRIM(E2297),FIND(",",TRIM(E2297))-1),TRIM(E2297)))</f>
        <v>France</v>
      </c>
      <c r="M2297" s="7" t="str">
        <f aca="false">IFERROR(LEFT(J2297,FIND(",",J2297)-1),J2297)</f>
        <v>Comedies</v>
      </c>
      <c r="N2297" s="7" t="n">
        <f aca="false">IF(B2297="Movie",IFERROR(VALUE(LEFT(I2297,FIND(" ",I2297)-1)),""),"")</f>
        <v>103</v>
      </c>
      <c r="O2297" s="7" t="str">
        <f aca="false">IF(B2297="TV Show",IFERROR(VALUE(LEFT(I2297,FIND(" ",I2297)-1)),""),"")</f>
        <v/>
      </c>
      <c r="P2297" s="7" t="n">
        <f aca="false">IF(K2297="","",K2297-G2297)</f>
        <v>1</v>
      </c>
    </row>
    <row r="2298" customFormat="false" ht="15" hidden="false" customHeight="false" outlineLevel="0" collapsed="false">
      <c r="A2298" s="7" t="n">
        <v>80156925</v>
      </c>
      <c r="B2298" s="7" t="s">
        <v>68</v>
      </c>
      <c r="C2298" s="7" t="s">
        <v>5013</v>
      </c>
      <c r="D2298" s="7" t="s">
        <v>5014</v>
      </c>
      <c r="E2298" s="7" t="s">
        <v>26</v>
      </c>
      <c r="F2298" s="7" t="s">
        <v>5006</v>
      </c>
      <c r="G2298" s="7" t="n">
        <v>2015</v>
      </c>
      <c r="H2298" s="7" t="s">
        <v>226</v>
      </c>
      <c r="I2298" s="7" t="s">
        <v>264</v>
      </c>
      <c r="J2298" s="7" t="s">
        <v>2536</v>
      </c>
      <c r="K2298" s="7" t="n">
        <f aca="false">IFERROR(VALUE(RIGHT(TRIM(F2298),4)),"")</f>
        <v>2019</v>
      </c>
      <c r="L2298" s="7" t="str">
        <f aca="false">IF(TRIM(E2298)="","Unknown",IFERROR(LEFT(TRIM(E2298),FIND(",",TRIM(E2298))-1),TRIM(E2298)))</f>
        <v>United States</v>
      </c>
      <c r="M2298" s="7" t="str">
        <f aca="false">IFERROR(LEFT(J2298,FIND(",",J2298)-1),J2298)</f>
        <v>Children &amp; Family Movies</v>
      </c>
      <c r="N2298" s="7" t="n">
        <f aca="false">IF(B2298="Movie",IFERROR(VALUE(LEFT(I2298,FIND(" ",I2298)-1)),""),"")</f>
        <v>88</v>
      </c>
      <c r="O2298" s="7" t="str">
        <f aca="false">IF(B2298="TV Show",IFERROR(VALUE(LEFT(I2298,FIND(" ",I2298)-1)),""),"")</f>
        <v/>
      </c>
      <c r="P2298" s="7" t="n">
        <f aca="false">IF(K2298="","",K2298-G2298)</f>
        <v>4</v>
      </c>
    </row>
    <row r="2299" customFormat="false" ht="15" hidden="false" customHeight="false" outlineLevel="0" collapsed="false">
      <c r="A2299" s="7" t="n">
        <v>80222770</v>
      </c>
      <c r="B2299" s="7" t="s">
        <v>78</v>
      </c>
      <c r="C2299" s="7" t="s">
        <v>5015</v>
      </c>
      <c r="E2299" s="7" t="s">
        <v>27</v>
      </c>
      <c r="F2299" s="7" t="s">
        <v>5006</v>
      </c>
      <c r="G2299" s="7" t="n">
        <v>2019</v>
      </c>
      <c r="H2299" s="7" t="s">
        <v>48</v>
      </c>
      <c r="I2299" s="7" t="s">
        <v>82</v>
      </c>
      <c r="J2299" s="7" t="s">
        <v>773</v>
      </c>
      <c r="K2299" s="7" t="n">
        <f aca="false">IFERROR(VALUE(RIGHT(TRIM(F2299),4)),"")</f>
        <v>2019</v>
      </c>
      <c r="L2299" s="7" t="str">
        <f aca="false">IF(TRIM(E2299)="","Unknown",IFERROR(LEFT(TRIM(E2299),FIND(",",TRIM(E2299))-1),TRIM(E2299)))</f>
        <v>India</v>
      </c>
      <c r="M2299" s="7" t="str">
        <f aca="false">IFERROR(LEFT(J2299,FIND(",",J2299)-1),J2299)</f>
        <v>Docuseries</v>
      </c>
      <c r="N2299" s="7" t="str">
        <f aca="false">IF(B2299="Movie",IFERROR(VALUE(LEFT(I2299,FIND(" ",I2299)-1)),""),"")</f>
        <v/>
      </c>
      <c r="O2299" s="7" t="n">
        <f aca="false">IF(B2299="TV Show",IFERROR(VALUE(LEFT(I2299,FIND(" ",I2299)-1)),""),"")</f>
        <v>1</v>
      </c>
      <c r="P2299" s="7" t="n">
        <f aca="false">IF(K2299="","",K2299-G2299)</f>
        <v>0</v>
      </c>
    </row>
    <row r="2300" customFormat="false" ht="15" hidden="false" customHeight="false" outlineLevel="0" collapsed="false">
      <c r="A2300" s="7" t="n">
        <v>60002907</v>
      </c>
      <c r="B2300" s="7" t="s">
        <v>68</v>
      </c>
      <c r="C2300" s="7" t="s">
        <v>5016</v>
      </c>
      <c r="D2300" s="7" t="s">
        <v>5017</v>
      </c>
      <c r="E2300" s="7" t="s">
        <v>5018</v>
      </c>
      <c r="F2300" s="7" t="s">
        <v>5006</v>
      </c>
      <c r="G2300" s="7" t="n">
        <v>2000</v>
      </c>
      <c r="H2300" s="7" t="s">
        <v>52</v>
      </c>
      <c r="I2300" s="7" t="s">
        <v>2551</v>
      </c>
      <c r="J2300" s="7" t="s">
        <v>1827</v>
      </c>
      <c r="K2300" s="7" t="n">
        <f aca="false">IFERROR(VALUE(RIGHT(TRIM(F2300),4)),"")</f>
        <v>2019</v>
      </c>
      <c r="L2300" s="7" t="str">
        <f aca="false">IF(TRIM(E2300)="","Unknown",IFERROR(LEFT(TRIM(E2300),FIND(",",TRIM(E2300))-1),TRIM(E2300)))</f>
        <v>Taiwan</v>
      </c>
      <c r="M2300" s="7" t="str">
        <f aca="false">IFERROR(LEFT(J2300,FIND(",",J2300)-1),J2300)</f>
        <v>Action &amp; Adventure</v>
      </c>
      <c r="N2300" s="7" t="n">
        <f aca="false">IF(B2300="Movie",IFERROR(VALUE(LEFT(I2300,FIND(" ",I2300)-1)),""),"")</f>
        <v>120</v>
      </c>
      <c r="O2300" s="7" t="str">
        <f aca="false">IF(B2300="TV Show",IFERROR(VALUE(LEFT(I2300,FIND(" ",I2300)-1)),""),"")</f>
        <v/>
      </c>
      <c r="P2300" s="7" t="n">
        <f aca="false">IF(K2300="","",K2300-G2300)</f>
        <v>19</v>
      </c>
    </row>
    <row r="2301" customFormat="false" ht="15" hidden="false" customHeight="false" outlineLevel="0" collapsed="false">
      <c r="A2301" s="7" t="n">
        <v>80207473</v>
      </c>
      <c r="B2301" s="7" t="s">
        <v>68</v>
      </c>
      <c r="C2301" s="7" t="s">
        <v>5019</v>
      </c>
      <c r="D2301" s="7" t="s">
        <v>5020</v>
      </c>
      <c r="E2301" s="7" t="s">
        <v>28</v>
      </c>
      <c r="F2301" s="7" t="s">
        <v>5006</v>
      </c>
      <c r="G2301" s="7" t="n">
        <v>2018</v>
      </c>
      <c r="H2301" s="7" t="s">
        <v>48</v>
      </c>
      <c r="I2301" s="7" t="s">
        <v>73</v>
      </c>
      <c r="J2301" s="7" t="s">
        <v>38</v>
      </c>
      <c r="K2301" s="7" t="n">
        <f aca="false">IFERROR(VALUE(RIGHT(TRIM(F2301),4)),"")</f>
        <v>2019</v>
      </c>
      <c r="L2301" s="7" t="str">
        <f aca="false">IF(TRIM(E2301)="","Unknown",IFERROR(LEFT(TRIM(E2301),FIND(",",TRIM(E2301))-1),TRIM(E2301)))</f>
        <v>United Kingdom</v>
      </c>
      <c r="M2301" s="7" t="str">
        <f aca="false">IFERROR(LEFT(J2301,FIND(",",J2301)-1),J2301)</f>
        <v>Comedies</v>
      </c>
      <c r="N2301" s="7" t="n">
        <f aca="false">IF(B2301="Movie",IFERROR(VALUE(LEFT(I2301,FIND(" ",I2301)-1)),""),"")</f>
        <v>90</v>
      </c>
      <c r="O2301" s="7" t="str">
        <f aca="false">IF(B2301="TV Show",IFERROR(VALUE(LEFT(I2301,FIND(" ",I2301)-1)),""),"")</f>
        <v/>
      </c>
      <c r="P2301" s="7" t="n">
        <f aca="false">IF(K2301="","",K2301-G2301)</f>
        <v>1</v>
      </c>
    </row>
    <row r="2302" customFormat="false" ht="15" hidden="false" customHeight="false" outlineLevel="0" collapsed="false">
      <c r="A2302" s="7" t="n">
        <v>80001101</v>
      </c>
      <c r="B2302" s="7" t="s">
        <v>78</v>
      </c>
      <c r="C2302" s="7" t="s">
        <v>5021</v>
      </c>
      <c r="E2302" s="7" t="s">
        <v>26</v>
      </c>
      <c r="F2302" s="7" t="s">
        <v>5006</v>
      </c>
      <c r="G2302" s="7" t="n">
        <v>2013</v>
      </c>
      <c r="H2302" s="7" t="s">
        <v>49</v>
      </c>
      <c r="I2302" s="7" t="s">
        <v>82</v>
      </c>
      <c r="J2302" s="7" t="s">
        <v>5022</v>
      </c>
      <c r="K2302" s="7" t="n">
        <f aca="false">IFERROR(VALUE(RIGHT(TRIM(F2302),4)),"")</f>
        <v>2019</v>
      </c>
      <c r="L2302" s="7" t="str">
        <f aca="false">IF(TRIM(E2302)="","Unknown",IFERROR(LEFT(TRIM(E2302),FIND(",",TRIM(E2302))-1),TRIM(E2302)))</f>
        <v>United States</v>
      </c>
      <c r="M2302" s="7" t="str">
        <f aca="false">IFERROR(LEFT(J2302,FIND(",",J2302)-1),J2302)</f>
        <v>Reality TV</v>
      </c>
      <c r="N2302" s="7" t="str">
        <f aca="false">IF(B2302="Movie",IFERROR(VALUE(LEFT(I2302,FIND(" ",I2302)-1)),""),"")</f>
        <v/>
      </c>
      <c r="O2302" s="7" t="n">
        <f aca="false">IF(B2302="TV Show",IFERROR(VALUE(LEFT(I2302,FIND(" ",I2302)-1)),""),"")</f>
        <v>1</v>
      </c>
      <c r="P2302" s="7" t="n">
        <f aca="false">IF(K2302="","",K2302-G2302)</f>
        <v>6</v>
      </c>
    </row>
    <row r="2303" customFormat="false" ht="15" hidden="false" customHeight="false" outlineLevel="0" collapsed="false">
      <c r="A2303" s="7" t="n">
        <v>80990534</v>
      </c>
      <c r="B2303" s="7" t="s">
        <v>68</v>
      </c>
      <c r="C2303" s="7" t="s">
        <v>5023</v>
      </c>
      <c r="D2303" s="7" t="s">
        <v>5024</v>
      </c>
      <c r="E2303" s="7" t="s">
        <v>26</v>
      </c>
      <c r="F2303" s="7" t="s">
        <v>5006</v>
      </c>
      <c r="G2303" s="7" t="n">
        <v>2018</v>
      </c>
      <c r="H2303" s="7" t="s">
        <v>48</v>
      </c>
      <c r="I2303" s="7" t="s">
        <v>87</v>
      </c>
      <c r="J2303" s="7" t="s">
        <v>652</v>
      </c>
      <c r="K2303" s="7" t="n">
        <f aca="false">IFERROR(VALUE(RIGHT(TRIM(F2303),4)),"")</f>
        <v>2019</v>
      </c>
      <c r="L2303" s="7" t="str">
        <f aca="false">IF(TRIM(E2303)="","Unknown",IFERROR(LEFT(TRIM(E2303),FIND(",",TRIM(E2303))-1),TRIM(E2303)))</f>
        <v>United States</v>
      </c>
      <c r="M2303" s="7" t="str">
        <f aca="false">IFERROR(LEFT(J2303,FIND(",",J2303)-1),J2303)</f>
        <v>Horror Movies</v>
      </c>
      <c r="N2303" s="7" t="n">
        <f aca="false">IF(B2303="Movie",IFERROR(VALUE(LEFT(I2303,FIND(" ",I2303)-1)),""),"")</f>
        <v>99</v>
      </c>
      <c r="O2303" s="7" t="str">
        <f aca="false">IF(B2303="TV Show",IFERROR(VALUE(LEFT(I2303,FIND(" ",I2303)-1)),""),"")</f>
        <v/>
      </c>
      <c r="P2303" s="7" t="n">
        <f aca="false">IF(K2303="","",K2303-G2303)</f>
        <v>1</v>
      </c>
    </row>
    <row r="2304" customFormat="false" ht="15" hidden="false" customHeight="false" outlineLevel="0" collapsed="false">
      <c r="A2304" s="7" t="n">
        <v>70111265</v>
      </c>
      <c r="B2304" s="7" t="s">
        <v>68</v>
      </c>
      <c r="C2304" s="7" t="s">
        <v>5025</v>
      </c>
      <c r="D2304" s="7" t="s">
        <v>5026</v>
      </c>
      <c r="E2304" s="7" t="s">
        <v>26</v>
      </c>
      <c r="F2304" s="7" t="s">
        <v>5006</v>
      </c>
      <c r="G2304" s="7" t="n">
        <v>2009</v>
      </c>
      <c r="H2304" s="7" t="s">
        <v>52</v>
      </c>
      <c r="I2304" s="7" t="s">
        <v>524</v>
      </c>
      <c r="J2304" s="7" t="s">
        <v>276</v>
      </c>
      <c r="K2304" s="7" t="n">
        <f aca="false">IFERROR(VALUE(RIGHT(TRIM(F2304),4)),"")</f>
        <v>2019</v>
      </c>
      <c r="L2304" s="7" t="str">
        <f aca="false">IF(TRIM(E2304)="","Unknown",IFERROR(LEFT(TRIM(E2304),FIND(",",TRIM(E2304))-1),TRIM(E2304)))</f>
        <v>United States</v>
      </c>
      <c r="M2304" s="7" t="str">
        <f aca="false">IFERROR(LEFT(J2304,FIND(",",J2304)-1),J2304)</f>
        <v>Action &amp; Adventure</v>
      </c>
      <c r="N2304" s="7" t="n">
        <f aca="false">IF(B2304="Movie",IFERROR(VALUE(LEFT(I2304,FIND(" ",I2304)-1)),""),"")</f>
        <v>83</v>
      </c>
      <c r="O2304" s="7" t="str">
        <f aca="false">IF(B2304="TV Show",IFERROR(VALUE(LEFT(I2304,FIND(" ",I2304)-1)),""),"")</f>
        <v/>
      </c>
      <c r="P2304" s="7" t="n">
        <f aca="false">IF(K2304="","",K2304-G2304)</f>
        <v>10</v>
      </c>
    </row>
    <row r="2305" customFormat="false" ht="15" hidden="false" customHeight="false" outlineLevel="0" collapsed="false">
      <c r="A2305" s="7" t="n">
        <v>70024098</v>
      </c>
      <c r="B2305" s="7" t="s">
        <v>68</v>
      </c>
      <c r="C2305" s="7" t="s">
        <v>5027</v>
      </c>
      <c r="D2305" s="7" t="s">
        <v>5028</v>
      </c>
      <c r="E2305" s="7" t="s">
        <v>26</v>
      </c>
      <c r="F2305" s="7" t="s">
        <v>5006</v>
      </c>
      <c r="G2305" s="7" t="n">
        <v>2005</v>
      </c>
      <c r="H2305" s="7" t="s">
        <v>51</v>
      </c>
      <c r="I2305" s="7" t="s">
        <v>294</v>
      </c>
      <c r="J2305" s="7" t="s">
        <v>198</v>
      </c>
      <c r="K2305" s="7" t="n">
        <f aca="false">IFERROR(VALUE(RIGHT(TRIM(F2305),4)),"")</f>
        <v>2019</v>
      </c>
      <c r="L2305" s="7" t="str">
        <f aca="false">IF(TRIM(E2305)="","Unknown",IFERROR(LEFT(TRIM(E2305),FIND(",",TRIM(E2305))-1),TRIM(E2305)))</f>
        <v>United States</v>
      </c>
      <c r="M2305" s="7" t="str">
        <f aca="false">IFERROR(LEFT(J2305,FIND(",",J2305)-1),J2305)</f>
        <v>Comedies</v>
      </c>
      <c r="N2305" s="7" t="n">
        <f aca="false">IF(B2305="Movie",IFERROR(VALUE(LEFT(I2305,FIND(" ",I2305)-1)),""),"")</f>
        <v>107</v>
      </c>
      <c r="O2305" s="7" t="str">
        <f aca="false">IF(B2305="TV Show",IFERROR(VALUE(LEFT(I2305,FIND(" ",I2305)-1)),""),"")</f>
        <v/>
      </c>
      <c r="P2305" s="7" t="n">
        <f aca="false">IF(K2305="","",K2305-G2305)</f>
        <v>14</v>
      </c>
    </row>
    <row r="2306" customFormat="false" ht="15" hidden="false" customHeight="false" outlineLevel="0" collapsed="false">
      <c r="A2306" s="7" t="n">
        <v>80071907</v>
      </c>
      <c r="B2306" s="7" t="s">
        <v>68</v>
      </c>
      <c r="C2306" s="7" t="s">
        <v>5029</v>
      </c>
      <c r="D2306" s="7" t="s">
        <v>5030</v>
      </c>
      <c r="E2306" s="7" t="s">
        <v>28</v>
      </c>
      <c r="F2306" s="7" t="s">
        <v>5006</v>
      </c>
      <c r="G2306" s="7" t="n">
        <v>2014</v>
      </c>
      <c r="H2306" s="7" t="s">
        <v>51</v>
      </c>
      <c r="I2306" s="7" t="s">
        <v>790</v>
      </c>
      <c r="J2306" s="7" t="s">
        <v>520</v>
      </c>
      <c r="K2306" s="7" t="n">
        <f aca="false">IFERROR(VALUE(RIGHT(TRIM(F2306),4)),"")</f>
        <v>2019</v>
      </c>
      <c r="L2306" s="7" t="str">
        <f aca="false">IF(TRIM(E2306)="","Unknown",IFERROR(LEFT(TRIM(E2306),FIND(",",TRIM(E2306))-1),TRIM(E2306)))</f>
        <v>United Kingdom</v>
      </c>
      <c r="M2306" s="7" t="str">
        <f aca="false">IFERROR(LEFT(J2306,FIND(",",J2306)-1),J2306)</f>
        <v>Dramas</v>
      </c>
      <c r="N2306" s="7" t="n">
        <f aca="false">IF(B2306="Movie",IFERROR(VALUE(LEFT(I2306,FIND(" ",I2306)-1)),""),"")</f>
        <v>109</v>
      </c>
      <c r="O2306" s="7" t="str">
        <f aca="false">IF(B2306="TV Show",IFERROR(VALUE(LEFT(I2306,FIND(" ",I2306)-1)),""),"")</f>
        <v/>
      </c>
      <c r="P2306" s="7" t="n">
        <f aca="false">IF(K2306="","",K2306-G2306)</f>
        <v>5</v>
      </c>
    </row>
    <row r="2307" customFormat="false" ht="15" hidden="false" customHeight="false" outlineLevel="0" collapsed="false">
      <c r="A2307" s="7" t="n">
        <v>70020730</v>
      </c>
      <c r="B2307" s="7" t="s">
        <v>68</v>
      </c>
      <c r="C2307" s="7" t="s">
        <v>5031</v>
      </c>
      <c r="D2307" s="7" t="s">
        <v>5032</v>
      </c>
      <c r="E2307" s="7" t="s">
        <v>28</v>
      </c>
      <c r="F2307" s="7" t="s">
        <v>5006</v>
      </c>
      <c r="G2307" s="7" t="n">
        <v>2004</v>
      </c>
      <c r="H2307" s="7" t="s">
        <v>51</v>
      </c>
      <c r="I2307" s="7" t="s">
        <v>820</v>
      </c>
      <c r="J2307" s="7" t="s">
        <v>513</v>
      </c>
      <c r="K2307" s="7" t="n">
        <f aca="false">IFERROR(VALUE(RIGHT(TRIM(F2307),4)),"")</f>
        <v>2019</v>
      </c>
      <c r="L2307" s="7" t="str">
        <f aca="false">IF(TRIM(E2307)="","Unknown",IFERROR(LEFT(TRIM(E2307),FIND(",",TRIM(E2307))-1),TRIM(E2307)))</f>
        <v>United Kingdom</v>
      </c>
      <c r="M2307" s="7" t="str">
        <f aca="false">IFERROR(LEFT(J2307,FIND(",",J2307)-1),J2307)</f>
        <v>Independent Movies</v>
      </c>
      <c r="N2307" s="7" t="n">
        <f aca="false">IF(B2307="Movie",IFERROR(VALUE(LEFT(I2307,FIND(" ",I2307)-1)),""),"")</f>
        <v>105</v>
      </c>
      <c r="O2307" s="7" t="str">
        <f aca="false">IF(B2307="TV Show",IFERROR(VALUE(LEFT(I2307,FIND(" ",I2307)-1)),""),"")</f>
        <v/>
      </c>
      <c r="P2307" s="7" t="n">
        <f aca="false">IF(K2307="","",K2307-G2307)</f>
        <v>15</v>
      </c>
    </row>
    <row r="2308" customFormat="false" ht="15" hidden="false" customHeight="false" outlineLevel="0" collapsed="false">
      <c r="A2308" s="7" t="n">
        <v>80198306</v>
      </c>
      <c r="B2308" s="7" t="s">
        <v>78</v>
      </c>
      <c r="C2308" s="7" t="s">
        <v>5033</v>
      </c>
      <c r="F2308" s="7" t="s">
        <v>5006</v>
      </c>
      <c r="G2308" s="7" t="n">
        <v>2019</v>
      </c>
      <c r="H2308" s="7" t="s">
        <v>48</v>
      </c>
      <c r="I2308" s="7" t="s">
        <v>82</v>
      </c>
      <c r="J2308" s="7" t="s">
        <v>164</v>
      </c>
      <c r="K2308" s="7" t="n">
        <f aca="false">IFERROR(VALUE(RIGHT(TRIM(F2308),4)),"")</f>
        <v>2019</v>
      </c>
      <c r="L2308" s="7" t="str">
        <f aca="false">IF(TRIM(E2308)="","Unknown",IFERROR(LEFT(TRIM(E2308),FIND(",",TRIM(E2308))-1),TRIM(E2308)))</f>
        <v>Unknown</v>
      </c>
      <c r="M2308" s="7" t="str">
        <f aca="false">IFERROR(LEFT(J2308,FIND(",",J2308)-1),J2308)</f>
        <v>Docuseries</v>
      </c>
      <c r="N2308" s="7" t="str">
        <f aca="false">IF(B2308="Movie",IFERROR(VALUE(LEFT(I2308,FIND(" ",I2308)-1)),""),"")</f>
        <v/>
      </c>
      <c r="O2308" s="7" t="n">
        <f aca="false">IF(B2308="TV Show",IFERROR(VALUE(LEFT(I2308,FIND(" ",I2308)-1)),""),"")</f>
        <v>1</v>
      </c>
      <c r="P2308" s="7" t="n">
        <f aca="false">IF(K2308="","",K2308-G2308)</f>
        <v>0</v>
      </c>
    </row>
    <row r="2309" customFormat="false" ht="15" hidden="false" customHeight="false" outlineLevel="0" collapsed="false">
      <c r="A2309" s="7" t="n">
        <v>80202258</v>
      </c>
      <c r="B2309" s="7" t="s">
        <v>78</v>
      </c>
      <c r="C2309" s="7" t="s">
        <v>5034</v>
      </c>
      <c r="E2309" s="7" t="s">
        <v>29</v>
      </c>
      <c r="F2309" s="7" t="s">
        <v>5006</v>
      </c>
      <c r="G2309" s="7" t="n">
        <v>2019</v>
      </c>
      <c r="H2309" s="7" t="s">
        <v>49</v>
      </c>
      <c r="I2309" s="7" t="s">
        <v>82</v>
      </c>
      <c r="J2309" s="7" t="s">
        <v>2704</v>
      </c>
      <c r="K2309" s="7" t="n">
        <f aca="false">IFERROR(VALUE(RIGHT(TRIM(F2309),4)),"")</f>
        <v>2019</v>
      </c>
      <c r="L2309" s="7" t="str">
        <f aca="false">IF(TRIM(E2309)="","Unknown",IFERROR(LEFT(TRIM(E2309),FIND(",",TRIM(E2309))-1),TRIM(E2309)))</f>
        <v>Canada</v>
      </c>
      <c r="M2309" s="7" t="str">
        <f aca="false">IFERROR(LEFT(J2309,FIND(",",J2309)-1),J2309)</f>
        <v>TV Dramas</v>
      </c>
      <c r="N2309" s="7" t="str">
        <f aca="false">IF(B2309="Movie",IFERROR(VALUE(LEFT(I2309,FIND(" ",I2309)-1)),""),"")</f>
        <v/>
      </c>
      <c r="O2309" s="7" t="n">
        <f aca="false">IF(B2309="TV Show",IFERROR(VALUE(LEFT(I2309,FIND(" ",I2309)-1)),""),"")</f>
        <v>1</v>
      </c>
      <c r="P2309" s="7" t="n">
        <f aca="false">IF(K2309="","",K2309-G2309)</f>
        <v>0</v>
      </c>
    </row>
    <row r="2310" customFormat="false" ht="15" hidden="false" customHeight="false" outlineLevel="0" collapsed="false">
      <c r="A2310" s="7" t="n">
        <v>80057137</v>
      </c>
      <c r="B2310" s="7" t="s">
        <v>68</v>
      </c>
      <c r="C2310" s="7" t="s">
        <v>5035</v>
      </c>
      <c r="D2310" s="7" t="s">
        <v>5036</v>
      </c>
      <c r="E2310" s="7" t="s">
        <v>29</v>
      </c>
      <c r="F2310" s="7" t="s">
        <v>5006</v>
      </c>
      <c r="G2310" s="7" t="n">
        <v>2014</v>
      </c>
      <c r="H2310" s="7" t="s">
        <v>226</v>
      </c>
      <c r="I2310" s="7" t="s">
        <v>494</v>
      </c>
      <c r="J2310" s="7" t="s">
        <v>74</v>
      </c>
      <c r="K2310" s="7" t="n">
        <f aca="false">IFERROR(VALUE(RIGHT(TRIM(F2310),4)),"")</f>
        <v>2019</v>
      </c>
      <c r="L2310" s="7" t="str">
        <f aca="false">IF(TRIM(E2310)="","Unknown",IFERROR(LEFT(TRIM(E2310),FIND(",",TRIM(E2310))-1),TRIM(E2310)))</f>
        <v>Canada</v>
      </c>
      <c r="M2310" s="7" t="str">
        <f aca="false">IFERROR(LEFT(J2310,FIND(",",J2310)-1),J2310)</f>
        <v>Children &amp; Family Movies</v>
      </c>
      <c r="N2310" s="7" t="n">
        <f aca="false">IF(B2310="Movie",IFERROR(VALUE(LEFT(I2310,FIND(" ",I2310)-1)),""),"")</f>
        <v>87</v>
      </c>
      <c r="O2310" s="7" t="str">
        <f aca="false">IF(B2310="TV Show",IFERROR(VALUE(LEFT(I2310,FIND(" ",I2310)-1)),""),"")</f>
        <v/>
      </c>
      <c r="P2310" s="7" t="n">
        <f aca="false">IF(K2310="","",K2310-G2310)</f>
        <v>5</v>
      </c>
    </row>
    <row r="2311" customFormat="false" ht="15" hidden="false" customHeight="false" outlineLevel="0" collapsed="false">
      <c r="A2311" s="7" t="n">
        <v>81045720</v>
      </c>
      <c r="B2311" s="7" t="s">
        <v>68</v>
      </c>
      <c r="C2311" s="7" t="s">
        <v>5037</v>
      </c>
      <c r="D2311" s="7" t="s">
        <v>5038</v>
      </c>
      <c r="E2311" s="7" t="s">
        <v>905</v>
      </c>
      <c r="F2311" s="7" t="s">
        <v>5006</v>
      </c>
      <c r="G2311" s="7" t="n">
        <v>2018</v>
      </c>
      <c r="H2311" s="7" t="s">
        <v>48</v>
      </c>
      <c r="I2311" s="7" t="s">
        <v>272</v>
      </c>
      <c r="J2311" s="7" t="s">
        <v>1014</v>
      </c>
      <c r="K2311" s="7" t="n">
        <f aca="false">IFERROR(VALUE(RIGHT(TRIM(F2311),4)),"")</f>
        <v>2019</v>
      </c>
      <c r="L2311" s="7" t="str">
        <f aca="false">IF(TRIM(E2311)="","Unknown",IFERROR(LEFT(TRIM(E2311),FIND(",",TRIM(E2311))-1),TRIM(E2311)))</f>
        <v>United States</v>
      </c>
      <c r="M2311" s="7" t="str">
        <f aca="false">IFERROR(LEFT(J2311,FIND(",",J2311)-1),J2311)</f>
        <v>Horror Movies</v>
      </c>
      <c r="N2311" s="7" t="n">
        <f aca="false">IF(B2311="Movie",IFERROR(VALUE(LEFT(I2311,FIND(" ",I2311)-1)),""),"")</f>
        <v>93</v>
      </c>
      <c r="O2311" s="7" t="str">
        <f aca="false">IF(B2311="TV Show",IFERROR(VALUE(LEFT(I2311,FIND(" ",I2311)-1)),""),"")</f>
        <v/>
      </c>
      <c r="P2311" s="7" t="n">
        <f aca="false">IF(K2311="","",K2311-G2311)</f>
        <v>1</v>
      </c>
    </row>
    <row r="2312" customFormat="false" ht="15" hidden="false" customHeight="false" outlineLevel="0" collapsed="false">
      <c r="A2312" s="7" t="n">
        <v>70236016</v>
      </c>
      <c r="B2312" s="7" t="s">
        <v>68</v>
      </c>
      <c r="C2312" s="7" t="s">
        <v>5039</v>
      </c>
      <c r="D2312" s="7" t="s">
        <v>5040</v>
      </c>
      <c r="E2312" s="7" t="s">
        <v>26</v>
      </c>
      <c r="F2312" s="7" t="s">
        <v>5006</v>
      </c>
      <c r="G2312" s="7" t="n">
        <v>2012</v>
      </c>
      <c r="H2312" s="7" t="s">
        <v>226</v>
      </c>
      <c r="I2312" s="7" t="s">
        <v>73</v>
      </c>
      <c r="J2312" s="7" t="s">
        <v>74</v>
      </c>
      <c r="K2312" s="7" t="n">
        <f aca="false">IFERROR(VALUE(RIGHT(TRIM(F2312),4)),"")</f>
        <v>2019</v>
      </c>
      <c r="L2312" s="7" t="str">
        <f aca="false">IF(TRIM(E2312)="","Unknown",IFERROR(LEFT(TRIM(E2312),FIND(",",TRIM(E2312))-1),TRIM(E2312)))</f>
        <v>United States</v>
      </c>
      <c r="M2312" s="7" t="str">
        <f aca="false">IFERROR(LEFT(J2312,FIND(",",J2312)-1),J2312)</f>
        <v>Children &amp; Family Movies</v>
      </c>
      <c r="N2312" s="7" t="n">
        <f aca="false">IF(B2312="Movie",IFERROR(VALUE(LEFT(I2312,FIND(" ",I2312)-1)),""),"")</f>
        <v>90</v>
      </c>
      <c r="O2312" s="7" t="str">
        <f aca="false">IF(B2312="TV Show",IFERROR(VALUE(LEFT(I2312,FIND(" ",I2312)-1)),""),"")</f>
        <v/>
      </c>
      <c r="P2312" s="7" t="n">
        <f aca="false">IF(K2312="","",K2312-G2312)</f>
        <v>7</v>
      </c>
    </row>
    <row r="2313" customFormat="false" ht="15" hidden="false" customHeight="false" outlineLevel="0" collapsed="false">
      <c r="A2313" s="7" t="n">
        <v>81069249</v>
      </c>
      <c r="B2313" s="7" t="s">
        <v>68</v>
      </c>
      <c r="C2313" s="7" t="s">
        <v>5041</v>
      </c>
      <c r="D2313" s="7" t="s">
        <v>5042</v>
      </c>
      <c r="E2313" s="7" t="s">
        <v>29</v>
      </c>
      <c r="F2313" s="7" t="s">
        <v>5006</v>
      </c>
      <c r="G2313" s="7" t="n">
        <v>2017</v>
      </c>
      <c r="H2313" s="7" t="s">
        <v>48</v>
      </c>
      <c r="I2313" s="7" t="s">
        <v>357</v>
      </c>
      <c r="J2313" s="7" t="s">
        <v>1533</v>
      </c>
      <c r="K2313" s="7" t="n">
        <f aca="false">IFERROR(VALUE(RIGHT(TRIM(F2313),4)),"")</f>
        <v>2019</v>
      </c>
      <c r="L2313" s="7" t="str">
        <f aca="false">IF(TRIM(E2313)="","Unknown",IFERROR(LEFT(TRIM(E2313),FIND(",",TRIM(E2313))-1),TRIM(E2313)))</f>
        <v>Canada</v>
      </c>
      <c r="M2313" s="7" t="str">
        <f aca="false">IFERROR(LEFT(J2313,FIND(",",J2313)-1),J2313)</f>
        <v>Comedies</v>
      </c>
      <c r="N2313" s="7" t="n">
        <f aca="false">IF(B2313="Movie",IFERROR(VALUE(LEFT(I2313,FIND(" ",I2313)-1)),""),"")</f>
        <v>89</v>
      </c>
      <c r="O2313" s="7" t="str">
        <f aca="false">IF(B2313="TV Show",IFERROR(VALUE(LEFT(I2313,FIND(" ",I2313)-1)),""),"")</f>
        <v/>
      </c>
      <c r="P2313" s="7" t="n">
        <f aca="false">IF(K2313="","",K2313-G2313)</f>
        <v>2</v>
      </c>
    </row>
    <row r="2314" customFormat="false" ht="15" hidden="false" customHeight="false" outlineLevel="0" collapsed="false">
      <c r="A2314" s="7" t="n">
        <v>81083971</v>
      </c>
      <c r="B2314" s="7" t="s">
        <v>68</v>
      </c>
      <c r="C2314" s="7" t="s">
        <v>5043</v>
      </c>
      <c r="D2314" s="7" t="s">
        <v>5044</v>
      </c>
      <c r="E2314" s="7" t="s">
        <v>27</v>
      </c>
      <c r="F2314" s="7" t="s">
        <v>5006</v>
      </c>
      <c r="G2314" s="7" t="n">
        <v>2018</v>
      </c>
      <c r="H2314" s="7" t="s">
        <v>49</v>
      </c>
      <c r="I2314" s="7" t="s">
        <v>1707</v>
      </c>
      <c r="J2314" s="7" t="s">
        <v>1042</v>
      </c>
      <c r="K2314" s="7" t="n">
        <f aca="false">IFERROR(VALUE(RIGHT(TRIM(F2314),4)),"")</f>
        <v>2019</v>
      </c>
      <c r="L2314" s="7" t="str">
        <f aca="false">IF(TRIM(E2314)="","Unknown",IFERROR(LEFT(TRIM(E2314),FIND(",",TRIM(E2314))-1),TRIM(E2314)))</f>
        <v>India</v>
      </c>
      <c r="M2314" s="7" t="str">
        <f aca="false">IFERROR(LEFT(J2314,FIND(",",J2314)-1),J2314)</f>
        <v>Dramas</v>
      </c>
      <c r="N2314" s="7" t="n">
        <f aca="false">IF(B2314="Movie",IFERROR(VALUE(LEFT(I2314,FIND(" ",I2314)-1)),""),"")</f>
        <v>131</v>
      </c>
      <c r="O2314" s="7" t="str">
        <f aca="false">IF(B2314="TV Show",IFERROR(VALUE(LEFT(I2314,FIND(" ",I2314)-1)),""),"")</f>
        <v/>
      </c>
      <c r="P2314" s="7" t="n">
        <f aca="false">IF(K2314="","",K2314-G2314)</f>
        <v>1</v>
      </c>
    </row>
    <row r="2315" customFormat="false" ht="15" hidden="false" customHeight="false" outlineLevel="0" collapsed="false">
      <c r="A2315" s="7" t="n">
        <v>80200047</v>
      </c>
      <c r="B2315" s="7" t="s">
        <v>68</v>
      </c>
      <c r="C2315" s="7" t="s">
        <v>5045</v>
      </c>
      <c r="D2315" s="7" t="s">
        <v>5046</v>
      </c>
      <c r="E2315" s="7" t="s">
        <v>5047</v>
      </c>
      <c r="F2315" s="7" t="s">
        <v>5006</v>
      </c>
      <c r="G2315" s="7" t="n">
        <v>2019</v>
      </c>
      <c r="H2315" s="7" t="s">
        <v>49</v>
      </c>
      <c r="I2315" s="7" t="s">
        <v>187</v>
      </c>
      <c r="J2315" s="7" t="s">
        <v>5048</v>
      </c>
      <c r="K2315" s="7" t="n">
        <f aca="false">IFERROR(VALUE(RIGHT(TRIM(F2315),4)),"")</f>
        <v>2019</v>
      </c>
      <c r="L2315" s="7" t="str">
        <f aca="false">IF(TRIM(E2315)="","Unknown",IFERROR(LEFT(TRIM(E2315),FIND(",",TRIM(E2315))-1),TRIM(E2315)))</f>
        <v>United Kingdom</v>
      </c>
      <c r="M2315" s="7" t="str">
        <f aca="false">IFERROR(LEFT(J2315,FIND(",",J2315)-1),J2315)</f>
        <v>Children &amp; Family Movies</v>
      </c>
      <c r="N2315" s="7" t="n">
        <f aca="false">IF(B2315="Movie",IFERROR(VALUE(LEFT(I2315,FIND(" ",I2315)-1)),""),"")</f>
        <v>114</v>
      </c>
      <c r="O2315" s="7" t="str">
        <f aca="false">IF(B2315="TV Show",IFERROR(VALUE(LEFT(I2315,FIND(" ",I2315)-1)),""),"")</f>
        <v/>
      </c>
      <c r="P2315" s="7" t="n">
        <f aca="false">IF(K2315="","",K2315-G2315)</f>
        <v>0</v>
      </c>
    </row>
    <row r="2316" customFormat="false" ht="15" hidden="false" customHeight="false" outlineLevel="0" collapsed="false">
      <c r="A2316" s="7" t="n">
        <v>80156772</v>
      </c>
      <c r="B2316" s="7" t="s">
        <v>68</v>
      </c>
      <c r="C2316" s="7" t="s">
        <v>5049</v>
      </c>
      <c r="D2316" s="7" t="s">
        <v>5050</v>
      </c>
      <c r="E2316" s="7" t="s">
        <v>26</v>
      </c>
      <c r="F2316" s="7" t="s">
        <v>5006</v>
      </c>
      <c r="G2316" s="7" t="n">
        <v>2016</v>
      </c>
      <c r="H2316" s="7" t="s">
        <v>50</v>
      </c>
      <c r="I2316" s="7" t="s">
        <v>311</v>
      </c>
      <c r="J2316" s="7" t="s">
        <v>74</v>
      </c>
      <c r="K2316" s="7" t="n">
        <f aca="false">IFERROR(VALUE(RIGHT(TRIM(F2316),4)),"")</f>
        <v>2019</v>
      </c>
      <c r="L2316" s="7" t="str">
        <f aca="false">IF(TRIM(E2316)="","Unknown",IFERROR(LEFT(TRIM(E2316),FIND(",",TRIM(E2316))-1),TRIM(E2316)))</f>
        <v>United States</v>
      </c>
      <c r="M2316" s="7" t="str">
        <f aca="false">IFERROR(LEFT(J2316,FIND(",",J2316)-1),J2316)</f>
        <v>Children &amp; Family Movies</v>
      </c>
      <c r="N2316" s="7" t="n">
        <f aca="false">IF(B2316="Movie",IFERROR(VALUE(LEFT(I2316,FIND(" ",I2316)-1)),""),"")</f>
        <v>92</v>
      </c>
      <c r="O2316" s="7" t="str">
        <f aca="false">IF(B2316="TV Show",IFERROR(VALUE(LEFT(I2316,FIND(" ",I2316)-1)),""),"")</f>
        <v/>
      </c>
      <c r="P2316" s="7" t="n">
        <f aca="false">IF(K2316="","",K2316-G2316)</f>
        <v>3</v>
      </c>
    </row>
    <row r="2317" customFormat="false" ht="15" hidden="false" customHeight="false" outlineLevel="0" collapsed="false">
      <c r="A2317" s="7" t="n">
        <v>81016361</v>
      </c>
      <c r="B2317" s="7" t="s">
        <v>68</v>
      </c>
      <c r="C2317" s="7" t="s">
        <v>5051</v>
      </c>
      <c r="D2317" s="7" t="s">
        <v>5052</v>
      </c>
      <c r="E2317" s="7" t="s">
        <v>3075</v>
      </c>
      <c r="F2317" s="7" t="s">
        <v>5006</v>
      </c>
      <c r="G2317" s="7" t="n">
        <v>2018</v>
      </c>
      <c r="H2317" s="7" t="s">
        <v>226</v>
      </c>
      <c r="I2317" s="7" t="s">
        <v>421</v>
      </c>
      <c r="J2317" s="7" t="s">
        <v>42</v>
      </c>
      <c r="K2317" s="7" t="n">
        <f aca="false">IFERROR(VALUE(RIGHT(TRIM(F2317),4)),"")</f>
        <v>2019</v>
      </c>
      <c r="L2317" s="7" t="str">
        <f aca="false">IF(TRIM(E2317)="","Unknown",IFERROR(LEFT(TRIM(E2317),FIND(",",TRIM(E2317))-1),TRIM(E2317)))</f>
        <v>Denmark</v>
      </c>
      <c r="M2317" s="7" t="str">
        <f aca="false">IFERROR(LEFT(J2317,FIND(",",J2317)-1),J2317)</f>
        <v>Children &amp; Family Movies</v>
      </c>
      <c r="N2317" s="7" t="n">
        <f aca="false">IF(B2317="Movie",IFERROR(VALUE(LEFT(I2317,FIND(" ",I2317)-1)),""),"")</f>
        <v>75</v>
      </c>
      <c r="O2317" s="7" t="str">
        <f aca="false">IF(B2317="TV Show",IFERROR(VALUE(LEFT(I2317,FIND(" ",I2317)-1)),""),"")</f>
        <v/>
      </c>
      <c r="P2317" s="7" t="n">
        <f aca="false">IF(K2317="","",K2317-G2317)</f>
        <v>1</v>
      </c>
    </row>
    <row r="2318" customFormat="false" ht="15" hidden="false" customHeight="false" outlineLevel="0" collapsed="false">
      <c r="A2318" s="7" t="n">
        <v>81055395</v>
      </c>
      <c r="B2318" s="7" t="s">
        <v>68</v>
      </c>
      <c r="C2318" s="7" t="s">
        <v>5053</v>
      </c>
      <c r="D2318" s="7" t="s">
        <v>5054</v>
      </c>
      <c r="E2318" s="7" t="s">
        <v>5055</v>
      </c>
      <c r="F2318" s="7" t="s">
        <v>5006</v>
      </c>
      <c r="G2318" s="7" t="n">
        <v>2018</v>
      </c>
      <c r="H2318" s="7" t="s">
        <v>48</v>
      </c>
      <c r="I2318" s="7" t="s">
        <v>294</v>
      </c>
      <c r="J2318" s="7" t="s">
        <v>322</v>
      </c>
      <c r="K2318" s="7" t="n">
        <f aca="false">IFERROR(VALUE(RIGHT(TRIM(F2318),4)),"")</f>
        <v>2019</v>
      </c>
      <c r="L2318" s="7" t="str">
        <f aca="false">IF(TRIM(E2318)="","Unknown",IFERROR(LEFT(TRIM(E2318),FIND(",",TRIM(E2318))-1),TRIM(E2318)))</f>
        <v>Paraguay</v>
      </c>
      <c r="M2318" s="7" t="str">
        <f aca="false">IFERROR(LEFT(J2318,FIND(",",J2318)-1),J2318)</f>
        <v>Action &amp; Adventure</v>
      </c>
      <c r="N2318" s="7" t="n">
        <f aca="false">IF(B2318="Movie",IFERROR(VALUE(LEFT(I2318,FIND(" ",I2318)-1)),""),"")</f>
        <v>107</v>
      </c>
      <c r="O2318" s="7" t="str">
        <f aca="false">IF(B2318="TV Show",IFERROR(VALUE(LEFT(I2318,FIND(" ",I2318)-1)),""),"")</f>
        <v/>
      </c>
      <c r="P2318" s="7" t="n">
        <f aca="false">IF(K2318="","",K2318-G2318)</f>
        <v>1</v>
      </c>
    </row>
    <row r="2319" customFormat="false" ht="15" hidden="false" customHeight="false" outlineLevel="0" collapsed="false">
      <c r="A2319" s="7" t="n">
        <v>70077556</v>
      </c>
      <c r="B2319" s="7" t="s">
        <v>68</v>
      </c>
      <c r="C2319" s="7" t="s">
        <v>5056</v>
      </c>
      <c r="D2319" s="7" t="s">
        <v>5057</v>
      </c>
      <c r="E2319" s="7" t="s">
        <v>26</v>
      </c>
      <c r="F2319" s="7" t="s">
        <v>5006</v>
      </c>
      <c r="G2319" s="7" t="n">
        <v>2008</v>
      </c>
      <c r="H2319" s="7" t="s">
        <v>54</v>
      </c>
      <c r="I2319" s="7" t="s">
        <v>451</v>
      </c>
      <c r="J2319" s="7" t="s">
        <v>42</v>
      </c>
      <c r="K2319" s="7" t="n">
        <f aca="false">IFERROR(VALUE(RIGHT(TRIM(F2319),4)),"")</f>
        <v>2019</v>
      </c>
      <c r="L2319" s="7" t="str">
        <f aca="false">IF(TRIM(E2319)="","Unknown",IFERROR(LEFT(TRIM(E2319),FIND(",",TRIM(E2319))-1),TRIM(E2319)))</f>
        <v>United States</v>
      </c>
      <c r="M2319" s="7" t="str">
        <f aca="false">IFERROR(LEFT(J2319,FIND(",",J2319)-1),J2319)</f>
        <v>Children &amp; Family Movies</v>
      </c>
      <c r="N2319" s="7" t="n">
        <f aca="false">IF(B2319="Movie",IFERROR(VALUE(LEFT(I2319,FIND(" ",I2319)-1)),""),"")</f>
        <v>97</v>
      </c>
      <c r="O2319" s="7" t="str">
        <f aca="false">IF(B2319="TV Show",IFERROR(VALUE(LEFT(I2319,FIND(" ",I2319)-1)),""),"")</f>
        <v/>
      </c>
      <c r="P2319" s="7" t="n">
        <f aca="false">IF(K2319="","",K2319-G2319)</f>
        <v>11</v>
      </c>
    </row>
    <row r="2320" customFormat="false" ht="15" hidden="false" customHeight="false" outlineLevel="0" collapsed="false">
      <c r="A2320" s="7" t="n">
        <v>80994738</v>
      </c>
      <c r="B2320" s="7" t="s">
        <v>78</v>
      </c>
      <c r="C2320" s="7" t="s">
        <v>5058</v>
      </c>
      <c r="E2320" s="7" t="s">
        <v>167</v>
      </c>
      <c r="F2320" s="7" t="s">
        <v>5006</v>
      </c>
      <c r="G2320" s="7" t="n">
        <v>2014</v>
      </c>
      <c r="H2320" s="7" t="s">
        <v>48</v>
      </c>
      <c r="I2320" s="7" t="s">
        <v>82</v>
      </c>
      <c r="J2320" s="7" t="s">
        <v>4128</v>
      </c>
      <c r="K2320" s="7" t="n">
        <f aca="false">IFERROR(VALUE(RIGHT(TRIM(F2320),4)),"")</f>
        <v>2019</v>
      </c>
      <c r="L2320" s="7" t="str">
        <f aca="false">IF(TRIM(E2320)="","Unknown",IFERROR(LEFT(TRIM(E2320),FIND(",",TRIM(E2320))-1),TRIM(E2320)))</f>
        <v>Thailand</v>
      </c>
      <c r="M2320" s="7" t="str">
        <f aca="false">IFERROR(LEFT(J2320,FIND(",",J2320)-1),J2320)</f>
        <v>International TV Shows</v>
      </c>
      <c r="N2320" s="7" t="str">
        <f aca="false">IF(B2320="Movie",IFERROR(VALUE(LEFT(I2320,FIND(" ",I2320)-1)),""),"")</f>
        <v/>
      </c>
      <c r="O2320" s="7" t="n">
        <f aca="false">IF(B2320="TV Show",IFERROR(VALUE(LEFT(I2320,FIND(" ",I2320)-1)),""),"")</f>
        <v>1</v>
      </c>
      <c r="P2320" s="7" t="n">
        <f aca="false">IF(K2320="","",K2320-G2320)</f>
        <v>5</v>
      </c>
    </row>
    <row r="2321" customFormat="false" ht="15" hidden="false" customHeight="false" outlineLevel="0" collapsed="false">
      <c r="A2321" s="7" t="n">
        <v>70100412</v>
      </c>
      <c r="B2321" s="7" t="s">
        <v>68</v>
      </c>
      <c r="C2321" s="7" t="s">
        <v>5059</v>
      </c>
      <c r="D2321" s="7" t="s">
        <v>5060</v>
      </c>
      <c r="E2321" s="7" t="s">
        <v>905</v>
      </c>
      <c r="F2321" s="7" t="s">
        <v>5006</v>
      </c>
      <c r="G2321" s="7" t="n">
        <v>2008</v>
      </c>
      <c r="H2321" s="7" t="s">
        <v>51</v>
      </c>
      <c r="I2321" s="7" t="s">
        <v>73</v>
      </c>
      <c r="J2321" s="7" t="s">
        <v>1085</v>
      </c>
      <c r="K2321" s="7" t="n">
        <f aca="false">IFERROR(VALUE(RIGHT(TRIM(F2321),4)),"")</f>
        <v>2019</v>
      </c>
      <c r="L2321" s="7" t="str">
        <f aca="false">IF(TRIM(E2321)="","Unknown",IFERROR(LEFT(TRIM(E2321),FIND(",",TRIM(E2321))-1),TRIM(E2321)))</f>
        <v>United States</v>
      </c>
      <c r="M2321" s="7" t="str">
        <f aca="false">IFERROR(LEFT(J2321,FIND(",",J2321)-1),J2321)</f>
        <v>Documentaries</v>
      </c>
      <c r="N2321" s="7" t="n">
        <f aca="false">IF(B2321="Movie",IFERROR(VALUE(LEFT(I2321,FIND(" ",I2321)-1)),""),"")</f>
        <v>90</v>
      </c>
      <c r="O2321" s="7" t="str">
        <f aca="false">IF(B2321="TV Show",IFERROR(VALUE(LEFT(I2321,FIND(" ",I2321)-1)),""),"")</f>
        <v/>
      </c>
      <c r="P2321" s="7" t="n">
        <f aca="false">IF(K2321="","",K2321-G2321)</f>
        <v>11</v>
      </c>
    </row>
    <row r="2322" customFormat="false" ht="15" hidden="false" customHeight="false" outlineLevel="0" collapsed="false">
      <c r="A2322" s="7" t="n">
        <v>60021299</v>
      </c>
      <c r="B2322" s="7" t="s">
        <v>68</v>
      </c>
      <c r="C2322" s="7" t="s">
        <v>5061</v>
      </c>
      <c r="D2322" s="7" t="s">
        <v>5062</v>
      </c>
      <c r="E2322" s="7" t="s">
        <v>26</v>
      </c>
      <c r="F2322" s="7" t="s">
        <v>5006</v>
      </c>
      <c r="G2322" s="7" t="n">
        <v>2001</v>
      </c>
      <c r="H2322" s="7" t="s">
        <v>51</v>
      </c>
      <c r="I2322" s="7" t="s">
        <v>134</v>
      </c>
      <c r="J2322" s="7" t="s">
        <v>4024</v>
      </c>
      <c r="K2322" s="7" t="n">
        <f aca="false">IFERROR(VALUE(RIGHT(TRIM(F2322),4)),"")</f>
        <v>2019</v>
      </c>
      <c r="L2322" s="7" t="str">
        <f aca="false">IF(TRIM(E2322)="","Unknown",IFERROR(LEFT(TRIM(E2322),FIND(",",TRIM(E2322))-1),TRIM(E2322)))</f>
        <v>United States</v>
      </c>
      <c r="M2322" s="7" t="str">
        <f aca="false">IFERROR(LEFT(J2322,FIND(",",J2322)-1),J2322)</f>
        <v>Comedies</v>
      </c>
      <c r="N2322" s="7" t="n">
        <f aca="false">IF(B2322="Movie",IFERROR(VALUE(LEFT(I2322,FIND(" ",I2322)-1)),""),"")</f>
        <v>98</v>
      </c>
      <c r="O2322" s="7" t="str">
        <f aca="false">IF(B2322="TV Show",IFERROR(VALUE(LEFT(I2322,FIND(" ",I2322)-1)),""),"")</f>
        <v/>
      </c>
      <c r="P2322" s="7" t="n">
        <f aca="false">IF(K2322="","",K2322-G2322)</f>
        <v>18</v>
      </c>
    </row>
    <row r="2323" customFormat="false" ht="15" hidden="false" customHeight="false" outlineLevel="0" collapsed="false">
      <c r="A2323" s="7" t="n">
        <v>70129374</v>
      </c>
      <c r="B2323" s="7" t="s">
        <v>68</v>
      </c>
      <c r="C2323" s="7" t="s">
        <v>5063</v>
      </c>
      <c r="D2323" s="7" t="s">
        <v>5064</v>
      </c>
      <c r="E2323" s="7" t="s">
        <v>26</v>
      </c>
      <c r="F2323" s="7" t="s">
        <v>5006</v>
      </c>
      <c r="G2323" s="7" t="n">
        <v>2010</v>
      </c>
      <c r="H2323" s="7" t="s">
        <v>51</v>
      </c>
      <c r="I2323" s="7" t="s">
        <v>205</v>
      </c>
      <c r="J2323" s="7" t="s">
        <v>150</v>
      </c>
      <c r="K2323" s="7" t="n">
        <f aca="false">IFERROR(VALUE(RIGHT(TRIM(F2323),4)),"")</f>
        <v>2019</v>
      </c>
      <c r="L2323" s="7" t="str">
        <f aca="false">IF(TRIM(E2323)="","Unknown",IFERROR(LEFT(TRIM(E2323),FIND(",",TRIM(E2323))-1),TRIM(E2323)))</f>
        <v>United States</v>
      </c>
      <c r="M2323" s="7" t="str">
        <f aca="false">IFERROR(LEFT(J2323,FIND(",",J2323)-1),J2323)</f>
        <v>Dramas</v>
      </c>
      <c r="N2323" s="7" t="n">
        <f aca="false">IF(B2323="Movie",IFERROR(VALUE(LEFT(I2323,FIND(" ",I2323)-1)),""),"")</f>
        <v>100</v>
      </c>
      <c r="O2323" s="7" t="str">
        <f aca="false">IF(B2323="TV Show",IFERROR(VALUE(LEFT(I2323,FIND(" ",I2323)-1)),""),"")</f>
        <v/>
      </c>
      <c r="P2323" s="7" t="n">
        <f aca="false">IF(K2323="","",K2323-G2323)</f>
        <v>9</v>
      </c>
    </row>
    <row r="2324" customFormat="false" ht="15" hidden="false" customHeight="false" outlineLevel="0" collapsed="false">
      <c r="A2324" s="7" t="n">
        <v>80167647</v>
      </c>
      <c r="B2324" s="7" t="s">
        <v>68</v>
      </c>
      <c r="C2324" s="7" t="s">
        <v>5065</v>
      </c>
      <c r="D2324" s="7" t="s">
        <v>5066</v>
      </c>
      <c r="E2324" s="7" t="s">
        <v>1265</v>
      </c>
      <c r="F2324" s="7" t="s">
        <v>5006</v>
      </c>
      <c r="G2324" s="7" t="n">
        <v>2018</v>
      </c>
      <c r="H2324" s="7" t="s">
        <v>48</v>
      </c>
      <c r="I2324" s="7" t="s">
        <v>330</v>
      </c>
      <c r="J2324" s="7" t="s">
        <v>182</v>
      </c>
      <c r="K2324" s="7" t="n">
        <f aca="false">IFERROR(VALUE(RIGHT(TRIM(F2324),4)),"")</f>
        <v>2019</v>
      </c>
      <c r="L2324" s="7" t="str">
        <f aca="false">IF(TRIM(E2324)="","Unknown",IFERROR(LEFT(TRIM(E2324),FIND(",",TRIM(E2324))-1),TRIM(E2324)))</f>
        <v>Spain</v>
      </c>
      <c r="M2324" s="7" t="str">
        <f aca="false">IFERROR(LEFT(J2324,FIND(",",J2324)-1),J2324)</f>
        <v>Dramas</v>
      </c>
      <c r="N2324" s="7" t="n">
        <f aca="false">IF(B2324="Movie",IFERROR(VALUE(LEFT(I2324,FIND(" ",I2324)-1)),""),"")</f>
        <v>103</v>
      </c>
      <c r="O2324" s="7" t="str">
        <f aca="false">IF(B2324="TV Show",IFERROR(VALUE(LEFT(I2324,FIND(" ",I2324)-1)),""),"")</f>
        <v/>
      </c>
      <c r="P2324" s="7" t="n">
        <f aca="false">IF(K2324="","",K2324-G2324)</f>
        <v>1</v>
      </c>
    </row>
    <row r="2325" customFormat="false" ht="15" hidden="false" customHeight="false" outlineLevel="0" collapsed="false">
      <c r="A2325" s="7" t="n">
        <v>80215076</v>
      </c>
      <c r="B2325" s="7" t="s">
        <v>78</v>
      </c>
      <c r="C2325" s="7" t="s">
        <v>5067</v>
      </c>
      <c r="E2325" s="7" t="s">
        <v>29</v>
      </c>
      <c r="F2325" s="7" t="s">
        <v>5068</v>
      </c>
      <c r="G2325" s="7" t="n">
        <v>2017</v>
      </c>
      <c r="H2325" s="7" t="s">
        <v>48</v>
      </c>
      <c r="I2325" s="7" t="s">
        <v>82</v>
      </c>
      <c r="J2325" s="7" t="s">
        <v>402</v>
      </c>
      <c r="K2325" s="7" t="n">
        <f aca="false">IFERROR(VALUE(RIGHT(TRIM(F2325),4)),"")</f>
        <v>2018</v>
      </c>
      <c r="L2325" s="7" t="str">
        <f aca="false">IF(TRIM(E2325)="","Unknown",IFERROR(LEFT(TRIM(E2325),FIND(",",TRIM(E2325))-1),TRIM(E2325)))</f>
        <v>Canada</v>
      </c>
      <c r="M2325" s="7" t="str">
        <f aca="false">IFERROR(LEFT(J2325,FIND(",",J2325)-1),J2325)</f>
        <v>Crime TV Shows</v>
      </c>
      <c r="N2325" s="7" t="str">
        <f aca="false">IF(B2325="Movie",IFERROR(VALUE(LEFT(I2325,FIND(" ",I2325)-1)),""),"")</f>
        <v/>
      </c>
      <c r="O2325" s="7" t="n">
        <f aca="false">IF(B2325="TV Show",IFERROR(VALUE(LEFT(I2325,FIND(" ",I2325)-1)),""),"")</f>
        <v>1</v>
      </c>
      <c r="P2325" s="7" t="n">
        <f aca="false">IF(K2325="","",K2325-G2325)</f>
        <v>1</v>
      </c>
    </row>
    <row r="2326" customFormat="false" ht="15" hidden="false" customHeight="false" outlineLevel="0" collapsed="false">
      <c r="A2326" s="7" t="n">
        <v>80184973</v>
      </c>
      <c r="B2326" s="7" t="s">
        <v>68</v>
      </c>
      <c r="C2326" s="7" t="s">
        <v>5069</v>
      </c>
      <c r="D2326" s="7" t="s">
        <v>5070</v>
      </c>
      <c r="E2326" s="7" t="s">
        <v>26</v>
      </c>
      <c r="F2326" s="7" t="s">
        <v>5068</v>
      </c>
      <c r="G2326" s="7" t="n">
        <v>2016</v>
      </c>
      <c r="H2326" s="7" t="s">
        <v>48</v>
      </c>
      <c r="I2326" s="7" t="s">
        <v>512</v>
      </c>
      <c r="J2326" s="7" t="s">
        <v>2969</v>
      </c>
      <c r="K2326" s="7" t="n">
        <f aca="false">IFERROR(VALUE(RIGHT(TRIM(F2326),4)),"")</f>
        <v>2018</v>
      </c>
      <c r="L2326" s="7" t="str">
        <f aca="false">IF(TRIM(E2326)="","Unknown",IFERROR(LEFT(TRIM(E2326),FIND(",",TRIM(E2326))-1),TRIM(E2326)))</f>
        <v>United States</v>
      </c>
      <c r="M2326" s="7" t="str">
        <f aca="false">IFERROR(LEFT(J2326,FIND(",",J2326)-1),J2326)</f>
        <v>Action &amp; Adventure</v>
      </c>
      <c r="N2326" s="7" t="n">
        <f aca="false">IF(B2326="Movie",IFERROR(VALUE(LEFT(I2326,FIND(" ",I2326)-1)),""),"")</f>
        <v>101</v>
      </c>
      <c r="O2326" s="7" t="str">
        <f aca="false">IF(B2326="TV Show",IFERROR(VALUE(LEFT(I2326,FIND(" ",I2326)-1)),""),"")</f>
        <v/>
      </c>
      <c r="P2326" s="7" t="n">
        <f aca="false">IF(K2326="","",K2326-G2326)</f>
        <v>2</v>
      </c>
    </row>
    <row r="2327" customFormat="false" ht="15" hidden="false" customHeight="false" outlineLevel="0" collapsed="false">
      <c r="A2327" s="7" t="n">
        <v>80203919</v>
      </c>
      <c r="B2327" s="7" t="s">
        <v>68</v>
      </c>
      <c r="C2327" s="7" t="s">
        <v>5071</v>
      </c>
      <c r="E2327" s="7" t="s">
        <v>26</v>
      </c>
      <c r="F2327" s="7" t="s">
        <v>5068</v>
      </c>
      <c r="G2327" s="7" t="n">
        <v>2018</v>
      </c>
      <c r="H2327" s="7" t="s">
        <v>48</v>
      </c>
      <c r="I2327" s="7" t="s">
        <v>1757</v>
      </c>
      <c r="J2327" s="7" t="s">
        <v>45</v>
      </c>
      <c r="K2327" s="7" t="n">
        <f aca="false">IFERROR(VALUE(RIGHT(TRIM(F2327),4)),"")</f>
        <v>2018</v>
      </c>
      <c r="L2327" s="7" t="str">
        <f aca="false">IF(TRIM(E2327)="","Unknown",IFERROR(LEFT(TRIM(E2327),FIND(",",TRIM(E2327))-1),TRIM(E2327)))</f>
        <v>United States</v>
      </c>
      <c r="M2327" s="7" t="str">
        <f aca="false">IFERROR(LEFT(J2327,FIND(",",J2327)-1),J2327)</f>
        <v>Stand-Up Comedy</v>
      </c>
      <c r="N2327" s="7" t="n">
        <f aca="false">IF(B2327="Movie",IFERROR(VALUE(LEFT(I2327,FIND(" ",I2327)-1)),""),"")</f>
        <v>59</v>
      </c>
      <c r="O2327" s="7" t="str">
        <f aca="false">IF(B2327="TV Show",IFERROR(VALUE(LEFT(I2327,FIND(" ",I2327)-1)),""),"")</f>
        <v/>
      </c>
      <c r="P2327" s="7" t="n">
        <f aca="false">IF(K2327="","",K2327-G2327)</f>
        <v>0</v>
      </c>
    </row>
    <row r="2328" customFormat="false" ht="15" hidden="false" customHeight="false" outlineLevel="0" collapsed="false">
      <c r="A2328" s="7" t="n">
        <v>70229921</v>
      </c>
      <c r="B2328" s="7" t="s">
        <v>68</v>
      </c>
      <c r="C2328" s="7" t="s">
        <v>5072</v>
      </c>
      <c r="D2328" s="7" t="s">
        <v>4766</v>
      </c>
      <c r="E2328" s="7" t="s">
        <v>26</v>
      </c>
      <c r="F2328" s="7" t="s">
        <v>5068</v>
      </c>
      <c r="G2328" s="7" t="n">
        <v>2012</v>
      </c>
      <c r="H2328" s="7" t="s">
        <v>51</v>
      </c>
      <c r="I2328" s="7" t="s">
        <v>470</v>
      </c>
      <c r="J2328" s="7" t="s">
        <v>39</v>
      </c>
      <c r="K2328" s="7" t="n">
        <f aca="false">IFERROR(VALUE(RIGHT(TRIM(F2328),4)),"")</f>
        <v>2018</v>
      </c>
      <c r="L2328" s="7" t="str">
        <f aca="false">IF(TRIM(E2328)="","Unknown",IFERROR(LEFT(TRIM(E2328),FIND(",",TRIM(E2328))-1),TRIM(E2328)))</f>
        <v>United States</v>
      </c>
      <c r="M2328" s="7" t="str">
        <f aca="false">IFERROR(LEFT(J2328,FIND(",",J2328)-1),J2328)</f>
        <v>Documentaries</v>
      </c>
      <c r="N2328" s="7" t="n">
        <f aca="false">IF(B2328="Movie",IFERROR(VALUE(LEFT(I2328,FIND(" ",I2328)-1)),""),"")</f>
        <v>91</v>
      </c>
      <c r="O2328" s="7" t="str">
        <f aca="false">IF(B2328="TV Show",IFERROR(VALUE(LEFT(I2328,FIND(" ",I2328)-1)),""),"")</f>
        <v/>
      </c>
      <c r="P2328" s="7" t="n">
        <f aca="false">IF(K2328="","",K2328-G2328)</f>
        <v>6</v>
      </c>
    </row>
    <row r="2329" customFormat="false" ht="15" hidden="false" customHeight="false" outlineLevel="0" collapsed="false">
      <c r="A2329" s="7" t="n">
        <v>70021551</v>
      </c>
      <c r="B2329" s="7" t="s">
        <v>68</v>
      </c>
      <c r="C2329" s="7" t="s">
        <v>5073</v>
      </c>
      <c r="D2329" s="7" t="s">
        <v>2223</v>
      </c>
      <c r="E2329" s="7" t="s">
        <v>27</v>
      </c>
      <c r="F2329" s="7" t="s">
        <v>5068</v>
      </c>
      <c r="G2329" s="7" t="n">
        <v>2004</v>
      </c>
      <c r="H2329" s="7" t="s">
        <v>49</v>
      </c>
      <c r="I2329" s="7" t="s">
        <v>722</v>
      </c>
      <c r="J2329" s="7" t="s">
        <v>1520</v>
      </c>
      <c r="K2329" s="7" t="n">
        <f aca="false">IFERROR(VALUE(RIGHT(TRIM(F2329),4)),"")</f>
        <v>2018</v>
      </c>
      <c r="L2329" s="7" t="str">
        <f aca="false">IF(TRIM(E2329)="","Unknown",IFERROR(LEFT(TRIM(E2329),FIND(",",TRIM(E2329))-1),TRIM(E2329)))</f>
        <v>India</v>
      </c>
      <c r="M2329" s="7" t="str">
        <f aca="false">IFERROR(LEFT(J2329,FIND(",",J2329)-1),J2329)</f>
        <v>International Movies</v>
      </c>
      <c r="N2329" s="7" t="n">
        <f aca="false">IF(B2329="Movie",IFERROR(VALUE(LEFT(I2329,FIND(" ",I2329)-1)),""),"")</f>
        <v>153</v>
      </c>
      <c r="O2329" s="7" t="str">
        <f aca="false">IF(B2329="TV Show",IFERROR(VALUE(LEFT(I2329,FIND(" ",I2329)-1)),""),"")</f>
        <v/>
      </c>
      <c r="P2329" s="7" t="n">
        <f aca="false">IF(K2329="","",K2329-G2329)</f>
        <v>14</v>
      </c>
    </row>
    <row r="2330" customFormat="false" ht="15" hidden="false" customHeight="false" outlineLevel="0" collapsed="false">
      <c r="A2330" s="7" t="n">
        <v>80236167</v>
      </c>
      <c r="B2330" s="7" t="s">
        <v>68</v>
      </c>
      <c r="C2330" s="7" t="s">
        <v>5074</v>
      </c>
      <c r="D2330" s="7" t="s">
        <v>5075</v>
      </c>
      <c r="E2330" s="7" t="s">
        <v>27</v>
      </c>
      <c r="F2330" s="7" t="s">
        <v>5068</v>
      </c>
      <c r="G2330" s="7" t="n">
        <v>2016</v>
      </c>
      <c r="H2330" s="7" t="s">
        <v>49</v>
      </c>
      <c r="I2330" s="7" t="s">
        <v>123</v>
      </c>
      <c r="J2330" s="7" t="s">
        <v>341</v>
      </c>
      <c r="K2330" s="7" t="n">
        <f aca="false">IFERROR(VALUE(RIGHT(TRIM(F2330),4)),"")</f>
        <v>2018</v>
      </c>
      <c r="L2330" s="7" t="str">
        <f aca="false">IF(TRIM(E2330)="","Unknown",IFERROR(LEFT(TRIM(E2330),FIND(",",TRIM(E2330))-1),TRIM(E2330)))</f>
        <v>India</v>
      </c>
      <c r="M2330" s="7" t="str">
        <f aca="false">IFERROR(LEFT(J2330,FIND(",",J2330)-1),J2330)</f>
        <v>Documentaries</v>
      </c>
      <c r="N2330" s="7" t="n">
        <f aca="false">IF(B2330="Movie",IFERROR(VALUE(LEFT(I2330,FIND(" ",I2330)-1)),""),"")</f>
        <v>61</v>
      </c>
      <c r="O2330" s="7" t="str">
        <f aca="false">IF(B2330="TV Show",IFERROR(VALUE(LEFT(I2330,FIND(" ",I2330)-1)),""),"")</f>
        <v/>
      </c>
      <c r="P2330" s="7" t="n">
        <f aca="false">IF(K2330="","",K2330-G2330)</f>
        <v>2</v>
      </c>
    </row>
    <row r="2331" customFormat="false" ht="15" hidden="false" customHeight="false" outlineLevel="0" collapsed="false">
      <c r="A2331" s="7" t="n">
        <v>80175151</v>
      </c>
      <c r="B2331" s="7" t="s">
        <v>68</v>
      </c>
      <c r="C2331" s="7" t="s">
        <v>5076</v>
      </c>
      <c r="D2331" s="7" t="s">
        <v>5077</v>
      </c>
      <c r="E2331" s="7" t="s">
        <v>259</v>
      </c>
      <c r="F2331" s="7" t="s">
        <v>5068</v>
      </c>
      <c r="G2331" s="7" t="n">
        <v>2017</v>
      </c>
      <c r="H2331" s="7" t="s">
        <v>49</v>
      </c>
      <c r="I2331" s="7" t="s">
        <v>921</v>
      </c>
      <c r="J2331" s="7" t="s">
        <v>426</v>
      </c>
      <c r="K2331" s="7" t="n">
        <f aca="false">IFERROR(VALUE(RIGHT(TRIM(F2331),4)),"")</f>
        <v>2018</v>
      </c>
      <c r="L2331" s="7" t="str">
        <f aca="false">IF(TRIM(E2331)="","Unknown",IFERROR(LEFT(TRIM(E2331),FIND(",",TRIM(E2331))-1),TRIM(E2331)))</f>
        <v>Pakistan</v>
      </c>
      <c r="M2331" s="7" t="str">
        <f aca="false">IFERROR(LEFT(J2331,FIND(",",J2331)-1),J2331)</f>
        <v>International Movies</v>
      </c>
      <c r="N2331" s="7" t="n">
        <f aca="false">IF(B2331="Movie",IFERROR(VALUE(LEFT(I2331,FIND(" ",I2331)-1)),""),"")</f>
        <v>149</v>
      </c>
      <c r="O2331" s="7" t="str">
        <f aca="false">IF(B2331="TV Show",IFERROR(VALUE(LEFT(I2331,FIND(" ",I2331)-1)),""),"")</f>
        <v/>
      </c>
      <c r="P2331" s="7" t="n">
        <f aca="false">IF(K2331="","",K2331-G2331)</f>
        <v>1</v>
      </c>
    </row>
    <row r="2332" customFormat="false" ht="15" hidden="false" customHeight="false" outlineLevel="0" collapsed="false">
      <c r="A2332" s="7" t="n">
        <v>80232404</v>
      </c>
      <c r="B2332" s="7" t="s">
        <v>68</v>
      </c>
      <c r="C2332" s="7" t="s">
        <v>5078</v>
      </c>
      <c r="D2332" s="7" t="s">
        <v>5079</v>
      </c>
      <c r="E2332" s="7" t="s">
        <v>26</v>
      </c>
      <c r="F2332" s="7" t="s">
        <v>5068</v>
      </c>
      <c r="G2332" s="7" t="n">
        <v>2018</v>
      </c>
      <c r="H2332" s="7" t="s">
        <v>48</v>
      </c>
      <c r="I2332" s="7" t="s">
        <v>77</v>
      </c>
      <c r="J2332" s="7" t="s">
        <v>2969</v>
      </c>
      <c r="K2332" s="7" t="n">
        <f aca="false">IFERROR(VALUE(RIGHT(TRIM(F2332),4)),"")</f>
        <v>2018</v>
      </c>
      <c r="L2332" s="7" t="str">
        <f aca="false">IF(TRIM(E2332)="","Unknown",IFERROR(LEFT(TRIM(E2332),FIND(",",TRIM(E2332))-1),TRIM(E2332)))</f>
        <v>United States</v>
      </c>
      <c r="M2332" s="7" t="str">
        <f aca="false">IFERROR(LEFT(J2332,FIND(",",J2332)-1),J2332)</f>
        <v>Action &amp; Adventure</v>
      </c>
      <c r="N2332" s="7" t="n">
        <f aca="false">IF(B2332="Movie",IFERROR(VALUE(LEFT(I2332,FIND(" ",I2332)-1)),""),"")</f>
        <v>94</v>
      </c>
      <c r="O2332" s="7" t="str">
        <f aca="false">IF(B2332="TV Show",IFERROR(VALUE(LEFT(I2332,FIND(" ",I2332)-1)),""),"")</f>
        <v/>
      </c>
      <c r="P2332" s="7" t="n">
        <f aca="false">IF(K2332="","",K2332-G2332)</f>
        <v>0</v>
      </c>
    </row>
    <row r="2333" customFormat="false" ht="15" hidden="false" customHeight="false" outlineLevel="0" collapsed="false">
      <c r="A2333" s="7" t="n">
        <v>60036746</v>
      </c>
      <c r="B2333" s="7" t="s">
        <v>68</v>
      </c>
      <c r="C2333" s="7" t="s">
        <v>5080</v>
      </c>
      <c r="D2333" s="7" t="s">
        <v>5081</v>
      </c>
      <c r="E2333" s="7" t="s">
        <v>27</v>
      </c>
      <c r="F2333" s="7" t="s">
        <v>5068</v>
      </c>
      <c r="G2333" s="7" t="n">
        <v>2003</v>
      </c>
      <c r="H2333" s="7" t="s">
        <v>48</v>
      </c>
      <c r="I2333" s="7" t="s">
        <v>143</v>
      </c>
      <c r="J2333" s="7" t="s">
        <v>112</v>
      </c>
      <c r="K2333" s="7" t="n">
        <f aca="false">IFERROR(VALUE(RIGHT(TRIM(F2333),4)),"")</f>
        <v>2018</v>
      </c>
      <c r="L2333" s="7" t="str">
        <f aca="false">IF(TRIM(E2333)="","Unknown",IFERROR(LEFT(TRIM(E2333),FIND(",",TRIM(E2333))-1),TRIM(E2333)))</f>
        <v>India</v>
      </c>
      <c r="M2333" s="7" t="str">
        <f aca="false">IFERROR(LEFT(J2333,FIND(",",J2333)-1),J2333)</f>
        <v>Action &amp; Adventure</v>
      </c>
      <c r="N2333" s="7" t="n">
        <f aca="false">IF(B2333="Movie",IFERROR(VALUE(LEFT(I2333,FIND(" ",I2333)-1)),""),"")</f>
        <v>79</v>
      </c>
      <c r="O2333" s="7" t="str">
        <f aca="false">IF(B2333="TV Show",IFERROR(VALUE(LEFT(I2333,FIND(" ",I2333)-1)),""),"")</f>
        <v/>
      </c>
      <c r="P2333" s="7" t="n">
        <f aca="false">IF(K2333="","",K2333-G2333)</f>
        <v>15</v>
      </c>
    </row>
    <row r="2334" customFormat="false" ht="15" hidden="false" customHeight="false" outlineLevel="0" collapsed="false">
      <c r="A2334" s="7" t="n">
        <v>60036613</v>
      </c>
      <c r="B2334" s="7" t="s">
        <v>68</v>
      </c>
      <c r="C2334" s="7" t="s">
        <v>5082</v>
      </c>
      <c r="D2334" s="7" t="s">
        <v>1834</v>
      </c>
      <c r="E2334" s="7" t="s">
        <v>27</v>
      </c>
      <c r="F2334" s="7" t="s">
        <v>5068</v>
      </c>
      <c r="G2334" s="7" t="n">
        <v>2002</v>
      </c>
      <c r="H2334" s="7" t="s">
        <v>48</v>
      </c>
      <c r="I2334" s="7" t="s">
        <v>749</v>
      </c>
      <c r="J2334" s="7" t="s">
        <v>112</v>
      </c>
      <c r="K2334" s="7" t="n">
        <f aca="false">IFERROR(VALUE(RIGHT(TRIM(F2334),4)),"")</f>
        <v>2018</v>
      </c>
      <c r="L2334" s="7" t="str">
        <f aca="false">IF(TRIM(E2334)="","Unknown",IFERROR(LEFT(TRIM(E2334),FIND(",",TRIM(E2334))-1),TRIM(E2334)))</f>
        <v>India</v>
      </c>
      <c r="M2334" s="7" t="str">
        <f aca="false">IFERROR(LEFT(J2334,FIND(",",J2334)-1),J2334)</f>
        <v>Action &amp; Adventure</v>
      </c>
      <c r="N2334" s="7" t="n">
        <f aca="false">IF(B2334="Movie",IFERROR(VALUE(LEFT(I2334,FIND(" ",I2334)-1)),""),"")</f>
        <v>137</v>
      </c>
      <c r="O2334" s="7" t="str">
        <f aca="false">IF(B2334="TV Show",IFERROR(VALUE(LEFT(I2334,FIND(" ",I2334)-1)),""),"")</f>
        <v/>
      </c>
      <c r="P2334" s="7" t="n">
        <f aca="false">IF(K2334="","",K2334-G2334)</f>
        <v>16</v>
      </c>
    </row>
    <row r="2335" customFormat="false" ht="15" hidden="false" customHeight="false" outlineLevel="0" collapsed="false">
      <c r="A2335" s="7" t="n">
        <v>80219180</v>
      </c>
      <c r="B2335" s="7" t="s">
        <v>78</v>
      </c>
      <c r="C2335" s="7" t="s">
        <v>5083</v>
      </c>
      <c r="E2335" s="7" t="s">
        <v>27</v>
      </c>
      <c r="F2335" s="7" t="s">
        <v>5068</v>
      </c>
      <c r="G2335" s="7" t="n">
        <v>2015</v>
      </c>
      <c r="H2335" s="7" t="s">
        <v>48</v>
      </c>
      <c r="I2335" s="7" t="s">
        <v>82</v>
      </c>
      <c r="J2335" s="7" t="s">
        <v>5084</v>
      </c>
      <c r="K2335" s="7" t="n">
        <f aca="false">IFERROR(VALUE(RIGHT(TRIM(F2335),4)),"")</f>
        <v>2018</v>
      </c>
      <c r="L2335" s="7" t="str">
        <f aca="false">IF(TRIM(E2335)="","Unknown",IFERROR(LEFT(TRIM(E2335),FIND(",",TRIM(E2335))-1),TRIM(E2335)))</f>
        <v>India</v>
      </c>
      <c r="M2335" s="7" t="str">
        <f aca="false">IFERROR(LEFT(J2335,FIND(",",J2335)-1),J2335)</f>
        <v>International TV Shows</v>
      </c>
      <c r="N2335" s="7" t="str">
        <f aca="false">IF(B2335="Movie",IFERROR(VALUE(LEFT(I2335,FIND(" ",I2335)-1)),""),"")</f>
        <v/>
      </c>
      <c r="O2335" s="7" t="n">
        <f aca="false">IF(B2335="TV Show",IFERROR(VALUE(LEFT(I2335,FIND(" ",I2335)-1)),""),"")</f>
        <v>1</v>
      </c>
      <c r="P2335" s="7" t="n">
        <f aca="false">IF(K2335="","",K2335-G2335)</f>
        <v>3</v>
      </c>
    </row>
    <row r="2336" customFormat="false" ht="15" hidden="false" customHeight="false" outlineLevel="0" collapsed="false">
      <c r="A2336" s="7" t="n">
        <v>80214584</v>
      </c>
      <c r="B2336" s="7" t="s">
        <v>68</v>
      </c>
      <c r="C2336" s="7" t="s">
        <v>5085</v>
      </c>
      <c r="D2336" s="7" t="s">
        <v>5086</v>
      </c>
      <c r="E2336" s="7" t="s">
        <v>28</v>
      </c>
      <c r="F2336" s="7" t="s">
        <v>5068</v>
      </c>
      <c r="G2336" s="7" t="n">
        <v>2017</v>
      </c>
      <c r="H2336" s="7" t="s">
        <v>48</v>
      </c>
      <c r="I2336" s="7" t="s">
        <v>3882</v>
      </c>
      <c r="J2336" s="7" t="s">
        <v>5087</v>
      </c>
      <c r="K2336" s="7" t="n">
        <f aca="false">IFERROR(VALUE(RIGHT(TRIM(F2336),4)),"")</f>
        <v>2018</v>
      </c>
      <c r="L2336" s="7" t="str">
        <f aca="false">IF(TRIM(E2336)="","Unknown",IFERROR(LEFT(TRIM(E2336),FIND(",",TRIM(E2336))-1),TRIM(E2336)))</f>
        <v>United Kingdom</v>
      </c>
      <c r="M2336" s="7" t="str">
        <f aca="false">IFERROR(LEFT(J2336,FIND(",",J2336)-1),J2336)</f>
        <v>International Movies</v>
      </c>
      <c r="N2336" s="7" t="n">
        <f aca="false">IF(B2336="Movie",IFERROR(VALUE(LEFT(I2336,FIND(" ",I2336)-1)),""),"")</f>
        <v>53</v>
      </c>
      <c r="O2336" s="7" t="str">
        <f aca="false">IF(B2336="TV Show",IFERROR(VALUE(LEFT(I2336,FIND(" ",I2336)-1)),""),"")</f>
        <v/>
      </c>
      <c r="P2336" s="7" t="n">
        <f aca="false">IF(K2336="","",K2336-G2336)</f>
        <v>1</v>
      </c>
    </row>
    <row r="2337" customFormat="false" ht="15" hidden="false" customHeight="false" outlineLevel="0" collapsed="false">
      <c r="A2337" s="7" t="n">
        <v>17671454</v>
      </c>
      <c r="B2337" s="7" t="s">
        <v>68</v>
      </c>
      <c r="C2337" s="7" t="s">
        <v>5088</v>
      </c>
      <c r="D2337" s="7" t="s">
        <v>5089</v>
      </c>
      <c r="E2337" s="7" t="s">
        <v>27</v>
      </c>
      <c r="F2337" s="7" t="s">
        <v>5068</v>
      </c>
      <c r="G2337" s="7" t="n">
        <v>1998</v>
      </c>
      <c r="H2337" s="7" t="s">
        <v>49</v>
      </c>
      <c r="I2337" s="7" t="s">
        <v>2794</v>
      </c>
      <c r="J2337" s="7" t="s">
        <v>240</v>
      </c>
      <c r="K2337" s="7" t="n">
        <f aca="false">IFERROR(VALUE(RIGHT(TRIM(F2337),4)),"")</f>
        <v>2018</v>
      </c>
      <c r="L2337" s="7" t="str">
        <f aca="false">IF(TRIM(E2337)="","Unknown",IFERROR(LEFT(TRIM(E2337),FIND(",",TRIM(E2337))-1),TRIM(E2337)))</f>
        <v>India</v>
      </c>
      <c r="M2337" s="7" t="str">
        <f aca="false">IFERROR(LEFT(J2337,FIND(",",J2337)-1),J2337)</f>
        <v>Dramas</v>
      </c>
      <c r="N2337" s="7" t="n">
        <f aca="false">IF(B2337="Movie",IFERROR(VALUE(LEFT(I2337,FIND(" ",I2337)-1)),""),"")</f>
        <v>166</v>
      </c>
      <c r="O2337" s="7" t="str">
        <f aca="false">IF(B2337="TV Show",IFERROR(VALUE(LEFT(I2337,FIND(" ",I2337)-1)),""),"")</f>
        <v/>
      </c>
      <c r="P2337" s="7" t="n">
        <f aca="false">IF(K2337="","",K2337-G2337)</f>
        <v>20</v>
      </c>
    </row>
    <row r="2338" customFormat="false" ht="15" hidden="false" customHeight="false" outlineLevel="0" collapsed="false">
      <c r="A2338" s="7" t="n">
        <v>60036617</v>
      </c>
      <c r="B2338" s="7" t="s">
        <v>68</v>
      </c>
      <c r="C2338" s="7" t="s">
        <v>5090</v>
      </c>
      <c r="D2338" s="7" t="s">
        <v>5091</v>
      </c>
      <c r="E2338" s="7" t="s">
        <v>27</v>
      </c>
      <c r="F2338" s="7" t="s">
        <v>5068</v>
      </c>
      <c r="G2338" s="7" t="n">
        <v>2003</v>
      </c>
      <c r="H2338" s="7" t="s">
        <v>49</v>
      </c>
      <c r="I2338" s="7" t="s">
        <v>1066</v>
      </c>
      <c r="J2338" s="7" t="s">
        <v>112</v>
      </c>
      <c r="K2338" s="7" t="n">
        <f aca="false">IFERROR(VALUE(RIGHT(TRIM(F2338),4)),"")</f>
        <v>2018</v>
      </c>
      <c r="L2338" s="7" t="str">
        <f aca="false">IF(TRIM(E2338)="","Unknown",IFERROR(LEFT(TRIM(E2338),FIND(",",TRIM(E2338))-1),TRIM(E2338)))</f>
        <v>India</v>
      </c>
      <c r="M2338" s="7" t="str">
        <f aca="false">IFERROR(LEFT(J2338,FIND(",",J2338)-1),J2338)</f>
        <v>Action &amp; Adventure</v>
      </c>
      <c r="N2338" s="7" t="n">
        <f aca="false">IF(B2338="Movie",IFERROR(VALUE(LEFT(I2338,FIND(" ",I2338)-1)),""),"")</f>
        <v>162</v>
      </c>
      <c r="O2338" s="7" t="str">
        <f aca="false">IF(B2338="TV Show",IFERROR(VALUE(LEFT(I2338,FIND(" ",I2338)-1)),""),"")</f>
        <v/>
      </c>
      <c r="P2338" s="7" t="n">
        <f aca="false">IF(K2338="","",K2338-G2338)</f>
        <v>15</v>
      </c>
    </row>
    <row r="2339" customFormat="false" ht="15" hidden="false" customHeight="false" outlineLevel="0" collapsed="false">
      <c r="A2339" s="7" t="n">
        <v>80230555</v>
      </c>
      <c r="B2339" s="7" t="s">
        <v>68</v>
      </c>
      <c r="C2339" s="7" t="s">
        <v>5092</v>
      </c>
      <c r="D2339" s="7" t="s">
        <v>5093</v>
      </c>
      <c r="F2339" s="7" t="s">
        <v>5068</v>
      </c>
      <c r="G2339" s="7" t="n">
        <v>2015</v>
      </c>
      <c r="H2339" s="7" t="s">
        <v>49</v>
      </c>
      <c r="I2339" s="7" t="s">
        <v>311</v>
      </c>
      <c r="J2339" s="7" t="s">
        <v>341</v>
      </c>
      <c r="K2339" s="7" t="n">
        <f aca="false">IFERROR(VALUE(RIGHT(TRIM(F2339),4)),"")</f>
        <v>2018</v>
      </c>
      <c r="L2339" s="7" t="str">
        <f aca="false">IF(TRIM(E2339)="","Unknown",IFERROR(LEFT(TRIM(E2339),FIND(",",TRIM(E2339))-1),TRIM(E2339)))</f>
        <v>Unknown</v>
      </c>
      <c r="M2339" s="7" t="str">
        <f aca="false">IFERROR(LEFT(J2339,FIND(",",J2339)-1),J2339)</f>
        <v>Documentaries</v>
      </c>
      <c r="N2339" s="7" t="n">
        <f aca="false">IF(B2339="Movie",IFERROR(VALUE(LEFT(I2339,FIND(" ",I2339)-1)),""),"")</f>
        <v>92</v>
      </c>
      <c r="O2339" s="7" t="str">
        <f aca="false">IF(B2339="TV Show",IFERROR(VALUE(LEFT(I2339,FIND(" ",I2339)-1)),""),"")</f>
        <v/>
      </c>
      <c r="P2339" s="7" t="n">
        <f aca="false">IF(K2339="","",K2339-G2339)</f>
        <v>3</v>
      </c>
    </row>
    <row r="2340" customFormat="false" ht="15" hidden="false" customHeight="false" outlineLevel="0" collapsed="false">
      <c r="A2340" s="7" t="n">
        <v>70294790</v>
      </c>
      <c r="B2340" s="7" t="s">
        <v>68</v>
      </c>
      <c r="C2340" s="7" t="s">
        <v>5094</v>
      </c>
      <c r="D2340" s="7" t="s">
        <v>5095</v>
      </c>
      <c r="E2340" s="7" t="s">
        <v>27</v>
      </c>
      <c r="F2340" s="7" t="s">
        <v>5068</v>
      </c>
      <c r="G2340" s="7" t="n">
        <v>2013</v>
      </c>
      <c r="H2340" s="7" t="s">
        <v>48</v>
      </c>
      <c r="I2340" s="7" t="s">
        <v>272</v>
      </c>
      <c r="J2340" s="7" t="s">
        <v>457</v>
      </c>
      <c r="K2340" s="7" t="n">
        <f aca="false">IFERROR(VALUE(RIGHT(TRIM(F2340),4)),"")</f>
        <v>2018</v>
      </c>
      <c r="L2340" s="7" t="str">
        <f aca="false">IF(TRIM(E2340)="","Unknown",IFERROR(LEFT(TRIM(E2340),FIND(",",TRIM(E2340))-1),TRIM(E2340)))</f>
        <v>India</v>
      </c>
      <c r="M2340" s="7" t="str">
        <f aca="false">IFERROR(LEFT(J2340,FIND(",",J2340)-1),J2340)</f>
        <v>Comedies</v>
      </c>
      <c r="N2340" s="7" t="n">
        <f aca="false">IF(B2340="Movie",IFERROR(VALUE(LEFT(I2340,FIND(" ",I2340)-1)),""),"")</f>
        <v>93</v>
      </c>
      <c r="O2340" s="7" t="str">
        <f aca="false">IF(B2340="TV Show",IFERROR(VALUE(LEFT(I2340,FIND(" ",I2340)-1)),""),"")</f>
        <v/>
      </c>
      <c r="P2340" s="7" t="n">
        <f aca="false">IF(K2340="","",K2340-G2340)</f>
        <v>5</v>
      </c>
    </row>
    <row r="2341" customFormat="false" ht="15" hidden="false" customHeight="false" outlineLevel="0" collapsed="false">
      <c r="A2341" s="7" t="n">
        <v>70063017</v>
      </c>
      <c r="B2341" s="7" t="s">
        <v>68</v>
      </c>
      <c r="C2341" s="7" t="s">
        <v>5096</v>
      </c>
      <c r="D2341" s="7" t="s">
        <v>5089</v>
      </c>
      <c r="E2341" s="7" t="s">
        <v>27</v>
      </c>
      <c r="F2341" s="7" t="s">
        <v>5068</v>
      </c>
      <c r="G2341" s="7" t="n">
        <v>2007</v>
      </c>
      <c r="H2341" s="7" t="s">
        <v>49</v>
      </c>
      <c r="I2341" s="7" t="s">
        <v>1062</v>
      </c>
      <c r="J2341" s="7" t="s">
        <v>304</v>
      </c>
      <c r="K2341" s="7" t="n">
        <f aca="false">IFERROR(VALUE(RIGHT(TRIM(F2341),4)),"")</f>
        <v>2018</v>
      </c>
      <c r="L2341" s="7" t="str">
        <f aca="false">IF(TRIM(E2341)="","Unknown",IFERROR(LEFT(TRIM(E2341),FIND(",",TRIM(E2341))-1),TRIM(E2341)))</f>
        <v>India</v>
      </c>
      <c r="M2341" s="7" t="str">
        <f aca="false">IFERROR(LEFT(J2341,FIND(",",J2341)-1),J2341)</f>
        <v>Dramas</v>
      </c>
      <c r="N2341" s="7" t="n">
        <f aca="false">IF(B2341="Movie",IFERROR(VALUE(LEFT(I2341,FIND(" ",I2341)-1)),""),"")</f>
        <v>155</v>
      </c>
      <c r="O2341" s="7" t="str">
        <f aca="false">IF(B2341="TV Show",IFERROR(VALUE(LEFT(I2341,FIND(" ",I2341)-1)),""),"")</f>
        <v/>
      </c>
      <c r="P2341" s="7" t="n">
        <f aca="false">IF(K2341="","",K2341-G2341)</f>
        <v>11</v>
      </c>
    </row>
    <row r="2342" customFormat="false" ht="15" hidden="false" customHeight="false" outlineLevel="0" collapsed="false">
      <c r="A2342" s="7" t="n">
        <v>60003401</v>
      </c>
      <c r="B2342" s="7" t="s">
        <v>68</v>
      </c>
      <c r="C2342" s="7" t="s">
        <v>5097</v>
      </c>
      <c r="D2342" s="7" t="s">
        <v>1524</v>
      </c>
      <c r="E2342" s="7" t="s">
        <v>27</v>
      </c>
      <c r="F2342" s="7" t="s">
        <v>5068</v>
      </c>
      <c r="G2342" s="7" t="n">
        <v>2000</v>
      </c>
      <c r="H2342" s="7" t="s">
        <v>49</v>
      </c>
      <c r="I2342" s="7" t="s">
        <v>1822</v>
      </c>
      <c r="J2342" s="7" t="s">
        <v>1042</v>
      </c>
      <c r="K2342" s="7" t="n">
        <f aca="false">IFERROR(VALUE(RIGHT(TRIM(F2342),4)),"")</f>
        <v>2018</v>
      </c>
      <c r="L2342" s="7" t="str">
        <f aca="false">IF(TRIM(E2342)="","Unknown",IFERROR(LEFT(TRIM(E2342),FIND(",",TRIM(E2342))-1),TRIM(E2342)))</f>
        <v>India</v>
      </c>
      <c r="M2342" s="7" t="str">
        <f aca="false">IFERROR(LEFT(J2342,FIND(",",J2342)-1),J2342)</f>
        <v>Dramas</v>
      </c>
      <c r="N2342" s="7" t="n">
        <f aca="false">IF(B2342="Movie",IFERROR(VALUE(LEFT(I2342,FIND(" ",I2342)-1)),""),"")</f>
        <v>158</v>
      </c>
      <c r="O2342" s="7" t="str">
        <f aca="false">IF(B2342="TV Show",IFERROR(VALUE(LEFT(I2342,FIND(" ",I2342)-1)),""),"")</f>
        <v/>
      </c>
      <c r="P2342" s="7" t="n">
        <f aca="false">IF(K2342="","",K2342-G2342)</f>
        <v>18</v>
      </c>
    </row>
    <row r="2343" customFormat="false" ht="15" hidden="false" customHeight="false" outlineLevel="0" collapsed="false">
      <c r="A2343" s="7" t="n">
        <v>80224605</v>
      </c>
      <c r="B2343" s="7" t="s">
        <v>68</v>
      </c>
      <c r="C2343" s="7" t="s">
        <v>5098</v>
      </c>
      <c r="D2343" s="7" t="s">
        <v>5099</v>
      </c>
      <c r="E2343" s="7" t="s">
        <v>28</v>
      </c>
      <c r="F2343" s="7" t="s">
        <v>5068</v>
      </c>
      <c r="G2343" s="7" t="n">
        <v>2017</v>
      </c>
      <c r="H2343" s="7" t="s">
        <v>226</v>
      </c>
      <c r="I2343" s="7" t="s">
        <v>919</v>
      </c>
      <c r="J2343" s="7" t="s">
        <v>1956</v>
      </c>
      <c r="K2343" s="7" t="n">
        <f aca="false">IFERROR(VALUE(RIGHT(TRIM(F2343),4)),"")</f>
        <v>2018</v>
      </c>
      <c r="L2343" s="7" t="str">
        <f aca="false">IF(TRIM(E2343)="","Unknown",IFERROR(LEFT(TRIM(E2343),FIND(",",TRIM(E2343))-1),TRIM(E2343)))</f>
        <v>United Kingdom</v>
      </c>
      <c r="M2343" s="7" t="str">
        <f aca="false">IFERROR(LEFT(J2343,FIND(",",J2343)-1),J2343)</f>
        <v>International Movies</v>
      </c>
      <c r="N2343" s="7" t="n">
        <f aca="false">IF(B2343="Movie",IFERROR(VALUE(LEFT(I2343,FIND(" ",I2343)-1)),""),"")</f>
        <v>138</v>
      </c>
      <c r="O2343" s="7" t="str">
        <f aca="false">IF(B2343="TV Show",IFERROR(VALUE(LEFT(I2343,FIND(" ",I2343)-1)),""),"")</f>
        <v/>
      </c>
      <c r="P2343" s="7" t="n">
        <f aca="false">IF(K2343="","",K2343-G2343)</f>
        <v>1</v>
      </c>
    </row>
    <row r="2344" customFormat="false" ht="15" hidden="false" customHeight="false" outlineLevel="0" collapsed="false">
      <c r="A2344" s="7" t="n">
        <v>70021253</v>
      </c>
      <c r="B2344" s="7" t="s">
        <v>68</v>
      </c>
      <c r="C2344" s="7" t="s">
        <v>5100</v>
      </c>
      <c r="D2344" s="7" t="s">
        <v>3902</v>
      </c>
      <c r="E2344" s="7" t="s">
        <v>27</v>
      </c>
      <c r="F2344" s="7" t="s">
        <v>5068</v>
      </c>
      <c r="G2344" s="7" t="n">
        <v>1999</v>
      </c>
      <c r="H2344" s="7" t="s">
        <v>50</v>
      </c>
      <c r="I2344" s="7" t="s">
        <v>1041</v>
      </c>
      <c r="J2344" s="7" t="s">
        <v>4035</v>
      </c>
      <c r="K2344" s="7" t="n">
        <f aca="false">IFERROR(VALUE(RIGHT(TRIM(F2344),4)),"")</f>
        <v>2018</v>
      </c>
      <c r="L2344" s="7" t="str">
        <f aca="false">IF(TRIM(E2344)="","Unknown",IFERROR(LEFT(TRIM(E2344),FIND(",",TRIM(E2344))-1),TRIM(E2344)))</f>
        <v>India</v>
      </c>
      <c r="M2344" s="7" t="str">
        <f aca="false">IFERROR(LEFT(J2344,FIND(",",J2344)-1),J2344)</f>
        <v>Action &amp; Adventure</v>
      </c>
      <c r="N2344" s="7" t="n">
        <f aca="false">IF(B2344="Movie",IFERROR(VALUE(LEFT(I2344,FIND(" ",I2344)-1)),""),"")</f>
        <v>151</v>
      </c>
      <c r="O2344" s="7" t="str">
        <f aca="false">IF(B2344="TV Show",IFERROR(VALUE(LEFT(I2344,FIND(" ",I2344)-1)),""),"")</f>
        <v/>
      </c>
      <c r="P2344" s="7" t="n">
        <f aca="false">IF(K2344="","",K2344-G2344)</f>
        <v>19</v>
      </c>
    </row>
    <row r="2345" customFormat="false" ht="15" hidden="false" customHeight="false" outlineLevel="0" collapsed="false">
      <c r="A2345" s="7" t="n">
        <v>70138498</v>
      </c>
      <c r="B2345" s="7" t="s">
        <v>68</v>
      </c>
      <c r="C2345" s="7" t="s">
        <v>5101</v>
      </c>
      <c r="D2345" s="7" t="s">
        <v>5102</v>
      </c>
      <c r="E2345" s="7" t="s">
        <v>27</v>
      </c>
      <c r="F2345" s="7" t="s">
        <v>5068</v>
      </c>
      <c r="G2345" s="7" t="n">
        <v>2010</v>
      </c>
      <c r="H2345" s="7" t="s">
        <v>49</v>
      </c>
      <c r="I2345" s="7" t="s">
        <v>138</v>
      </c>
      <c r="J2345" s="7" t="s">
        <v>1014</v>
      </c>
      <c r="K2345" s="7" t="n">
        <f aca="false">IFERROR(VALUE(RIGHT(TRIM(F2345),4)),"")</f>
        <v>2018</v>
      </c>
      <c r="L2345" s="7" t="str">
        <f aca="false">IF(TRIM(E2345)="","Unknown",IFERROR(LEFT(TRIM(E2345),FIND(",",TRIM(E2345))-1),TRIM(E2345)))</f>
        <v>India</v>
      </c>
      <c r="M2345" s="7" t="str">
        <f aca="false">IFERROR(LEFT(J2345,FIND(",",J2345)-1),J2345)</f>
        <v>Horror Movies</v>
      </c>
      <c r="N2345" s="7" t="n">
        <f aca="false">IF(B2345="Movie",IFERROR(VALUE(LEFT(I2345,FIND(" ",I2345)-1)),""),"")</f>
        <v>96</v>
      </c>
      <c r="O2345" s="7" t="str">
        <f aca="false">IF(B2345="TV Show",IFERROR(VALUE(LEFT(I2345,FIND(" ",I2345)-1)),""),"")</f>
        <v/>
      </c>
      <c r="P2345" s="7" t="n">
        <f aca="false">IF(K2345="","",K2345-G2345)</f>
        <v>8</v>
      </c>
    </row>
    <row r="2346" customFormat="false" ht="15" hidden="false" customHeight="false" outlineLevel="0" collapsed="false">
      <c r="A2346" s="7" t="n">
        <v>80188099</v>
      </c>
      <c r="B2346" s="7" t="s">
        <v>68</v>
      </c>
      <c r="C2346" s="7" t="s">
        <v>5103</v>
      </c>
      <c r="D2346" s="7" t="s">
        <v>5104</v>
      </c>
      <c r="E2346" s="7" t="s">
        <v>317</v>
      </c>
      <c r="F2346" s="7" t="s">
        <v>5068</v>
      </c>
      <c r="G2346" s="7" t="n">
        <v>2017</v>
      </c>
      <c r="H2346" s="7" t="s">
        <v>51</v>
      </c>
      <c r="I2346" s="7" t="s">
        <v>173</v>
      </c>
      <c r="J2346" s="7" t="s">
        <v>811</v>
      </c>
      <c r="K2346" s="7" t="n">
        <f aca="false">IFERROR(VALUE(RIGHT(TRIM(F2346),4)),"")</f>
        <v>2018</v>
      </c>
      <c r="L2346" s="7" t="str">
        <f aca="false">IF(TRIM(E2346)="","Unknown",IFERROR(LEFT(TRIM(E2346),FIND(",",TRIM(E2346))-1),TRIM(E2346)))</f>
        <v>United Kingdom</v>
      </c>
      <c r="M2346" s="7" t="str">
        <f aca="false">IFERROR(LEFT(J2346,FIND(",",J2346)-1),J2346)</f>
        <v>Thrillers</v>
      </c>
      <c r="N2346" s="7" t="n">
        <f aca="false">IF(B2346="Movie",IFERROR(VALUE(LEFT(I2346,FIND(" ",I2346)-1)),""),"")</f>
        <v>106</v>
      </c>
      <c r="O2346" s="7" t="str">
        <f aca="false">IF(B2346="TV Show",IFERROR(VALUE(LEFT(I2346,FIND(" ",I2346)-1)),""),"")</f>
        <v/>
      </c>
      <c r="P2346" s="7" t="n">
        <f aca="false">IF(K2346="","",K2346-G2346)</f>
        <v>1</v>
      </c>
    </row>
    <row r="2347" customFormat="false" ht="15" hidden="false" customHeight="false" outlineLevel="0" collapsed="false">
      <c r="A2347" s="7" t="n">
        <v>70025303</v>
      </c>
      <c r="B2347" s="7" t="s">
        <v>68</v>
      </c>
      <c r="C2347" s="7" t="s">
        <v>5105</v>
      </c>
      <c r="D2347" s="7" t="s">
        <v>5106</v>
      </c>
      <c r="E2347" s="7" t="s">
        <v>27</v>
      </c>
      <c r="F2347" s="7" t="s">
        <v>5068</v>
      </c>
      <c r="G2347" s="7" t="n">
        <v>2005</v>
      </c>
      <c r="H2347" s="7" t="s">
        <v>49</v>
      </c>
      <c r="I2347" s="7" t="s">
        <v>727</v>
      </c>
      <c r="J2347" s="7" t="s">
        <v>112</v>
      </c>
      <c r="K2347" s="7" t="n">
        <f aca="false">IFERROR(VALUE(RIGHT(TRIM(F2347),4)),"")</f>
        <v>2018</v>
      </c>
      <c r="L2347" s="7" t="str">
        <f aca="false">IF(TRIM(E2347)="","Unknown",IFERROR(LEFT(TRIM(E2347),FIND(",",TRIM(E2347))-1),TRIM(E2347)))</f>
        <v>India</v>
      </c>
      <c r="M2347" s="7" t="str">
        <f aca="false">IFERROR(LEFT(J2347,FIND(",",J2347)-1),J2347)</f>
        <v>Action &amp; Adventure</v>
      </c>
      <c r="N2347" s="7" t="n">
        <f aca="false">IF(B2347="Movie",IFERROR(VALUE(LEFT(I2347,FIND(" ",I2347)-1)),""),"")</f>
        <v>141</v>
      </c>
      <c r="O2347" s="7" t="str">
        <f aca="false">IF(B2347="TV Show",IFERROR(VALUE(LEFT(I2347,FIND(" ",I2347)-1)),""),"")</f>
        <v/>
      </c>
      <c r="P2347" s="7" t="n">
        <f aca="false">IF(K2347="","",K2347-G2347)</f>
        <v>13</v>
      </c>
    </row>
    <row r="2348" customFormat="false" ht="15" hidden="false" customHeight="false" outlineLevel="0" collapsed="false">
      <c r="A2348" s="7" t="n">
        <v>70048905</v>
      </c>
      <c r="B2348" s="7" t="s">
        <v>68</v>
      </c>
      <c r="C2348" s="7" t="s">
        <v>5107</v>
      </c>
      <c r="D2348" s="7" t="s">
        <v>1514</v>
      </c>
      <c r="E2348" s="7" t="s">
        <v>27</v>
      </c>
      <c r="F2348" s="7" t="s">
        <v>5068</v>
      </c>
      <c r="G2348" s="7" t="n">
        <v>2006</v>
      </c>
      <c r="H2348" s="7" t="s">
        <v>55</v>
      </c>
      <c r="I2348" s="7" t="s">
        <v>378</v>
      </c>
      <c r="J2348" s="7" t="s">
        <v>188</v>
      </c>
      <c r="K2348" s="7" t="n">
        <f aca="false">IFERROR(VALUE(RIGHT(TRIM(F2348),4)),"")</f>
        <v>2018</v>
      </c>
      <c r="L2348" s="7" t="str">
        <f aca="false">IF(TRIM(E2348)="","Unknown",IFERROR(LEFT(TRIM(E2348),FIND(",",TRIM(E2348))-1),TRIM(E2348)))</f>
        <v>India</v>
      </c>
      <c r="M2348" s="7" t="str">
        <f aca="false">IFERROR(LEFT(J2348,FIND(",",J2348)-1),J2348)</f>
        <v>Dramas</v>
      </c>
      <c r="N2348" s="7" t="n">
        <f aca="false">IF(B2348="Movie",IFERROR(VALUE(LEFT(I2348,FIND(" ",I2348)-1)),""),"")</f>
        <v>127</v>
      </c>
      <c r="O2348" s="7" t="str">
        <f aca="false">IF(B2348="TV Show",IFERROR(VALUE(LEFT(I2348,FIND(" ",I2348)-1)),""),"")</f>
        <v/>
      </c>
      <c r="P2348" s="7" t="n">
        <f aca="false">IF(K2348="","",K2348-G2348)</f>
        <v>12</v>
      </c>
    </row>
    <row r="2349" customFormat="false" ht="15" hidden="false" customHeight="false" outlineLevel="0" collapsed="false">
      <c r="A2349" s="7" t="n">
        <v>80223227</v>
      </c>
      <c r="B2349" s="7" t="s">
        <v>68</v>
      </c>
      <c r="C2349" s="7" t="s">
        <v>5108</v>
      </c>
      <c r="D2349" s="7" t="s">
        <v>5109</v>
      </c>
      <c r="E2349" s="7" t="s">
        <v>27</v>
      </c>
      <c r="F2349" s="7" t="s">
        <v>5068</v>
      </c>
      <c r="G2349" s="7" t="n">
        <v>2015</v>
      </c>
      <c r="H2349" s="7" t="s">
        <v>49</v>
      </c>
      <c r="I2349" s="7" t="s">
        <v>247</v>
      </c>
      <c r="J2349" s="7" t="s">
        <v>240</v>
      </c>
      <c r="K2349" s="7" t="n">
        <f aca="false">IFERROR(VALUE(RIGHT(TRIM(F2349),4)),"")</f>
        <v>2018</v>
      </c>
      <c r="L2349" s="7" t="str">
        <f aca="false">IF(TRIM(E2349)="","Unknown",IFERROR(LEFT(TRIM(E2349),FIND(",",TRIM(E2349))-1),TRIM(E2349)))</f>
        <v>India</v>
      </c>
      <c r="M2349" s="7" t="str">
        <f aca="false">IFERROR(LEFT(J2349,FIND(",",J2349)-1),J2349)</f>
        <v>Dramas</v>
      </c>
      <c r="N2349" s="7" t="n">
        <f aca="false">IF(B2349="Movie",IFERROR(VALUE(LEFT(I2349,FIND(" ",I2349)-1)),""),"")</f>
        <v>130</v>
      </c>
      <c r="O2349" s="7" t="str">
        <f aca="false">IF(B2349="TV Show",IFERROR(VALUE(LEFT(I2349,FIND(" ",I2349)-1)),""),"")</f>
        <v/>
      </c>
      <c r="P2349" s="7" t="n">
        <f aca="false">IF(K2349="","",K2349-G2349)</f>
        <v>3</v>
      </c>
    </row>
    <row r="2350" customFormat="false" ht="15" hidden="false" customHeight="false" outlineLevel="0" collapsed="false">
      <c r="A2350" s="7" t="n">
        <v>80223195</v>
      </c>
      <c r="B2350" s="7" t="s">
        <v>68</v>
      </c>
      <c r="C2350" s="7" t="s">
        <v>5110</v>
      </c>
      <c r="D2350" s="7" t="s">
        <v>5111</v>
      </c>
      <c r="E2350" s="7" t="s">
        <v>27</v>
      </c>
      <c r="F2350" s="7" t="s">
        <v>5068</v>
      </c>
      <c r="G2350" s="7" t="n">
        <v>2013</v>
      </c>
      <c r="H2350" s="7" t="s">
        <v>48</v>
      </c>
      <c r="I2350" s="7" t="s">
        <v>879</v>
      </c>
      <c r="J2350" s="7" t="s">
        <v>1042</v>
      </c>
      <c r="K2350" s="7" t="n">
        <f aca="false">IFERROR(VALUE(RIGHT(TRIM(F2350),4)),"")</f>
        <v>2018</v>
      </c>
      <c r="L2350" s="7" t="str">
        <f aca="false">IF(TRIM(E2350)="","Unknown",IFERROR(LEFT(TRIM(E2350),FIND(",",TRIM(E2350))-1),TRIM(E2350)))</f>
        <v>India</v>
      </c>
      <c r="M2350" s="7" t="str">
        <f aca="false">IFERROR(LEFT(J2350,FIND(",",J2350)-1),J2350)</f>
        <v>Dramas</v>
      </c>
      <c r="N2350" s="7" t="n">
        <f aca="false">IF(B2350="Movie",IFERROR(VALUE(LEFT(I2350,FIND(" ",I2350)-1)),""),"")</f>
        <v>140</v>
      </c>
      <c r="O2350" s="7" t="str">
        <f aca="false">IF(B2350="TV Show",IFERROR(VALUE(LEFT(I2350,FIND(" ",I2350)-1)),""),"")</f>
        <v/>
      </c>
      <c r="P2350" s="7" t="n">
        <f aca="false">IF(K2350="","",K2350-G2350)</f>
        <v>5</v>
      </c>
    </row>
    <row r="2351" customFormat="false" ht="15" hidden="false" customHeight="false" outlineLevel="0" collapsed="false">
      <c r="A2351" s="7" t="n">
        <v>80236906</v>
      </c>
      <c r="B2351" s="7" t="s">
        <v>68</v>
      </c>
      <c r="C2351" s="7" t="s">
        <v>5112</v>
      </c>
      <c r="D2351" s="7" t="s">
        <v>3902</v>
      </c>
      <c r="E2351" s="7" t="s">
        <v>27</v>
      </c>
      <c r="F2351" s="7" t="s">
        <v>5068</v>
      </c>
      <c r="G2351" s="7" t="n">
        <v>2017</v>
      </c>
      <c r="H2351" s="7" t="s">
        <v>49</v>
      </c>
      <c r="I2351" s="7" t="s">
        <v>1817</v>
      </c>
      <c r="J2351" s="7" t="s">
        <v>139</v>
      </c>
      <c r="K2351" s="7" t="n">
        <f aca="false">IFERROR(VALUE(RIGHT(TRIM(F2351),4)),"")</f>
        <v>2018</v>
      </c>
      <c r="L2351" s="7" t="str">
        <f aca="false">IF(TRIM(E2351)="","Unknown",IFERROR(LEFT(TRIM(E2351),FIND(",",TRIM(E2351))-1),TRIM(E2351)))</f>
        <v>India</v>
      </c>
      <c r="M2351" s="7" t="str">
        <f aca="false">IFERROR(LEFT(J2351,FIND(",",J2351)-1),J2351)</f>
        <v>Action &amp; Adventure</v>
      </c>
      <c r="N2351" s="7" t="n">
        <f aca="false">IF(B2351="Movie",IFERROR(VALUE(LEFT(I2351,FIND(" ",I2351)-1)),""),"")</f>
        <v>145</v>
      </c>
      <c r="O2351" s="7" t="str">
        <f aca="false">IF(B2351="TV Show",IFERROR(VALUE(LEFT(I2351,FIND(" ",I2351)-1)),""),"")</f>
        <v/>
      </c>
      <c r="P2351" s="7" t="n">
        <f aca="false">IF(K2351="","",K2351-G2351)</f>
        <v>1</v>
      </c>
    </row>
    <row r="2352" customFormat="false" ht="15" hidden="false" customHeight="false" outlineLevel="0" collapsed="false">
      <c r="A2352" s="7" t="n">
        <v>80238297</v>
      </c>
      <c r="B2352" s="7" t="s">
        <v>68</v>
      </c>
      <c r="C2352" s="7" t="s">
        <v>5113</v>
      </c>
      <c r="D2352" s="7" t="s">
        <v>5114</v>
      </c>
      <c r="E2352" s="7" t="s">
        <v>27</v>
      </c>
      <c r="F2352" s="7" t="s">
        <v>5068</v>
      </c>
      <c r="G2352" s="7" t="n">
        <v>2015</v>
      </c>
      <c r="H2352" s="7" t="s">
        <v>49</v>
      </c>
      <c r="I2352" s="7" t="s">
        <v>755</v>
      </c>
      <c r="J2352" s="7" t="s">
        <v>240</v>
      </c>
      <c r="K2352" s="7" t="n">
        <f aca="false">IFERROR(VALUE(RIGHT(TRIM(F2352),4)),"")</f>
        <v>2018</v>
      </c>
      <c r="L2352" s="7" t="str">
        <f aca="false">IF(TRIM(E2352)="","Unknown",IFERROR(LEFT(TRIM(E2352),FIND(",",TRIM(E2352))-1),TRIM(E2352)))</f>
        <v>India</v>
      </c>
      <c r="M2352" s="7" t="str">
        <f aca="false">IFERROR(LEFT(J2352,FIND(",",J2352)-1),J2352)</f>
        <v>Dramas</v>
      </c>
      <c r="N2352" s="7" t="n">
        <f aca="false">IF(B2352="Movie",IFERROR(VALUE(LEFT(I2352,FIND(" ",I2352)-1)),""),"")</f>
        <v>132</v>
      </c>
      <c r="O2352" s="7" t="str">
        <f aca="false">IF(B2352="TV Show",IFERROR(VALUE(LEFT(I2352,FIND(" ",I2352)-1)),""),"")</f>
        <v/>
      </c>
      <c r="P2352" s="7" t="n">
        <f aca="false">IF(K2352="","",K2352-G2352)</f>
        <v>3</v>
      </c>
    </row>
    <row r="2353" customFormat="false" ht="15" hidden="false" customHeight="false" outlineLevel="0" collapsed="false">
      <c r="A2353" s="7" t="n">
        <v>80235958</v>
      </c>
      <c r="B2353" s="7" t="s">
        <v>68</v>
      </c>
      <c r="C2353" s="7" t="s">
        <v>5115</v>
      </c>
      <c r="D2353" s="7" t="s">
        <v>5116</v>
      </c>
      <c r="E2353" s="7" t="s">
        <v>27</v>
      </c>
      <c r="F2353" s="7" t="s">
        <v>5068</v>
      </c>
      <c r="G2353" s="7" t="n">
        <v>2017</v>
      </c>
      <c r="H2353" s="7" t="s">
        <v>49</v>
      </c>
      <c r="I2353" s="7" t="s">
        <v>689</v>
      </c>
      <c r="J2353" s="7" t="s">
        <v>188</v>
      </c>
      <c r="K2353" s="7" t="n">
        <f aca="false">IFERROR(VALUE(RIGHT(TRIM(F2353),4)),"")</f>
        <v>2018</v>
      </c>
      <c r="L2353" s="7" t="str">
        <f aca="false">IF(TRIM(E2353)="","Unknown",IFERROR(LEFT(TRIM(E2353),FIND(",",TRIM(E2353))-1),TRIM(E2353)))</f>
        <v>India</v>
      </c>
      <c r="M2353" s="7" t="str">
        <f aca="false">IFERROR(LEFT(J2353,FIND(",",J2353)-1),J2353)</f>
        <v>Dramas</v>
      </c>
      <c r="N2353" s="7" t="n">
        <f aca="false">IF(B2353="Movie",IFERROR(VALUE(LEFT(I2353,FIND(" ",I2353)-1)),""),"")</f>
        <v>41</v>
      </c>
      <c r="O2353" s="7" t="str">
        <f aca="false">IF(B2353="TV Show",IFERROR(VALUE(LEFT(I2353,FIND(" ",I2353)-1)),""),"")</f>
        <v/>
      </c>
      <c r="P2353" s="7" t="n">
        <f aca="false">IF(K2353="","",K2353-G2353)</f>
        <v>1</v>
      </c>
    </row>
    <row r="2354" customFormat="false" ht="15" hidden="false" customHeight="false" outlineLevel="0" collapsed="false">
      <c r="A2354" s="7" t="n">
        <v>80238296</v>
      </c>
      <c r="B2354" s="7" t="s">
        <v>68</v>
      </c>
      <c r="C2354" s="7" t="s">
        <v>5117</v>
      </c>
      <c r="E2354" s="7" t="s">
        <v>27</v>
      </c>
      <c r="F2354" s="7" t="s">
        <v>5068</v>
      </c>
      <c r="G2354" s="7" t="n">
        <v>2017</v>
      </c>
      <c r="H2354" s="7" t="s">
        <v>49</v>
      </c>
      <c r="I2354" s="7" t="s">
        <v>93</v>
      </c>
      <c r="J2354" s="7" t="s">
        <v>1014</v>
      </c>
      <c r="K2354" s="7" t="n">
        <f aca="false">IFERROR(VALUE(RIGHT(TRIM(F2354),4)),"")</f>
        <v>2018</v>
      </c>
      <c r="L2354" s="7" t="str">
        <f aca="false">IF(TRIM(E2354)="","Unknown",IFERROR(LEFT(TRIM(E2354),FIND(",",TRIM(E2354))-1),TRIM(E2354)))</f>
        <v>India</v>
      </c>
      <c r="M2354" s="7" t="str">
        <f aca="false">IFERROR(LEFT(J2354,FIND(",",J2354)-1),J2354)</f>
        <v>Horror Movies</v>
      </c>
      <c r="N2354" s="7" t="n">
        <f aca="false">IF(B2354="Movie",IFERROR(VALUE(LEFT(I2354,FIND(" ",I2354)-1)),""),"")</f>
        <v>110</v>
      </c>
      <c r="O2354" s="7" t="str">
        <f aca="false">IF(B2354="TV Show",IFERROR(VALUE(LEFT(I2354,FIND(" ",I2354)-1)),""),"")</f>
        <v/>
      </c>
      <c r="P2354" s="7" t="n">
        <f aca="false">IF(K2354="","",K2354-G2354)</f>
        <v>1</v>
      </c>
    </row>
    <row r="2355" customFormat="false" ht="15" hidden="false" customHeight="false" outlineLevel="0" collapsed="false">
      <c r="A2355" s="7" t="n">
        <v>17969262</v>
      </c>
      <c r="B2355" s="7" t="s">
        <v>68</v>
      </c>
      <c r="C2355" s="7" t="s">
        <v>5118</v>
      </c>
      <c r="D2355" s="7" t="s">
        <v>5119</v>
      </c>
      <c r="E2355" s="7" t="s">
        <v>27</v>
      </c>
      <c r="F2355" s="7" t="s">
        <v>5068</v>
      </c>
      <c r="G2355" s="7" t="n">
        <v>1993</v>
      </c>
      <c r="H2355" s="7" t="s">
        <v>49</v>
      </c>
      <c r="I2355" s="7" t="s">
        <v>5120</v>
      </c>
      <c r="J2355" s="7" t="s">
        <v>112</v>
      </c>
      <c r="K2355" s="7" t="n">
        <f aca="false">IFERROR(VALUE(RIGHT(TRIM(F2355),4)),"")</f>
        <v>2018</v>
      </c>
      <c r="L2355" s="7" t="str">
        <f aca="false">IF(TRIM(E2355)="","Unknown",IFERROR(LEFT(TRIM(E2355),FIND(",",TRIM(E2355))-1),TRIM(E2355)))</f>
        <v>India</v>
      </c>
      <c r="M2355" s="7" t="str">
        <f aca="false">IFERROR(LEFT(J2355,FIND(",",J2355)-1),J2355)</f>
        <v>Action &amp; Adventure</v>
      </c>
      <c r="N2355" s="7" t="n">
        <f aca="false">IF(B2355="Movie",IFERROR(VALUE(LEFT(I2355,FIND(" ",I2355)-1)),""),"")</f>
        <v>170</v>
      </c>
      <c r="O2355" s="7" t="str">
        <f aca="false">IF(B2355="TV Show",IFERROR(VALUE(LEFT(I2355,FIND(" ",I2355)-1)),""),"")</f>
        <v/>
      </c>
      <c r="P2355" s="7" t="n">
        <f aca="false">IF(K2355="","",K2355-G2355)</f>
        <v>25</v>
      </c>
    </row>
    <row r="2356" customFormat="false" ht="15" hidden="false" customHeight="false" outlineLevel="0" collapsed="false">
      <c r="A2356" s="7" t="n">
        <v>80223317</v>
      </c>
      <c r="B2356" s="7" t="s">
        <v>68</v>
      </c>
      <c r="C2356" s="7" t="s">
        <v>5121</v>
      </c>
      <c r="D2356" s="7" t="s">
        <v>5122</v>
      </c>
      <c r="E2356" s="7" t="s">
        <v>27</v>
      </c>
      <c r="F2356" s="7" t="s">
        <v>5068</v>
      </c>
      <c r="G2356" s="7" t="n">
        <v>2003</v>
      </c>
      <c r="H2356" s="7" t="s">
        <v>49</v>
      </c>
      <c r="I2356" s="7" t="s">
        <v>779</v>
      </c>
      <c r="J2356" s="7" t="s">
        <v>457</v>
      </c>
      <c r="K2356" s="7" t="n">
        <f aca="false">IFERROR(VALUE(RIGHT(TRIM(F2356),4)),"")</f>
        <v>2018</v>
      </c>
      <c r="L2356" s="7" t="str">
        <f aca="false">IF(TRIM(E2356)="","Unknown",IFERROR(LEFT(TRIM(E2356),FIND(",",TRIM(E2356))-1),TRIM(E2356)))</f>
        <v>India</v>
      </c>
      <c r="M2356" s="7" t="str">
        <f aca="false">IFERROR(LEFT(J2356,FIND(",",J2356)-1),J2356)</f>
        <v>Comedies</v>
      </c>
      <c r="N2356" s="7" t="n">
        <f aca="false">IF(B2356="Movie",IFERROR(VALUE(LEFT(I2356,FIND(" ",I2356)-1)),""),"")</f>
        <v>157</v>
      </c>
      <c r="O2356" s="7" t="str">
        <f aca="false">IF(B2356="TV Show",IFERROR(VALUE(LEFT(I2356,FIND(" ",I2356)-1)),""),"")</f>
        <v/>
      </c>
      <c r="P2356" s="7" t="n">
        <f aca="false">IF(K2356="","",K2356-G2356)</f>
        <v>15</v>
      </c>
    </row>
    <row r="2357" customFormat="false" ht="15" hidden="false" customHeight="false" outlineLevel="0" collapsed="false">
      <c r="A2357" s="7" t="n">
        <v>70012334</v>
      </c>
      <c r="B2357" s="7" t="s">
        <v>68</v>
      </c>
      <c r="C2357" s="7" t="s">
        <v>5123</v>
      </c>
      <c r="D2357" s="7" t="s">
        <v>5124</v>
      </c>
      <c r="E2357" s="7" t="s">
        <v>27</v>
      </c>
      <c r="F2357" s="7" t="s">
        <v>5068</v>
      </c>
      <c r="G2357" s="7" t="n">
        <v>2004</v>
      </c>
      <c r="H2357" s="7" t="s">
        <v>50</v>
      </c>
      <c r="I2357" s="7" t="s">
        <v>3951</v>
      </c>
      <c r="J2357" s="7" t="s">
        <v>426</v>
      </c>
      <c r="K2357" s="7" t="n">
        <f aca="false">IFERROR(VALUE(RIGHT(TRIM(F2357),4)),"")</f>
        <v>2018</v>
      </c>
      <c r="L2357" s="7" t="str">
        <f aca="false">IF(TRIM(E2357)="","Unknown",IFERROR(LEFT(TRIM(E2357),FIND(",",TRIM(E2357))-1),TRIM(E2357)))</f>
        <v>India</v>
      </c>
      <c r="M2357" s="7" t="str">
        <f aca="false">IFERROR(LEFT(J2357,FIND(",",J2357)-1),J2357)</f>
        <v>International Movies</v>
      </c>
      <c r="N2357" s="7" t="n">
        <f aca="false">IF(B2357="Movie",IFERROR(VALUE(LEFT(I2357,FIND(" ",I2357)-1)),""),"")</f>
        <v>165</v>
      </c>
      <c r="O2357" s="7" t="str">
        <f aca="false">IF(B2357="TV Show",IFERROR(VALUE(LEFT(I2357,FIND(" ",I2357)-1)),""),"")</f>
        <v/>
      </c>
      <c r="P2357" s="7" t="n">
        <f aca="false">IF(K2357="","",K2357-G2357)</f>
        <v>14</v>
      </c>
    </row>
    <row r="2358" customFormat="false" ht="15" hidden="false" customHeight="false" outlineLevel="0" collapsed="false">
      <c r="A2358" s="7" t="n">
        <v>80184131</v>
      </c>
      <c r="B2358" s="7" t="s">
        <v>68</v>
      </c>
      <c r="C2358" s="7" t="s">
        <v>5125</v>
      </c>
      <c r="D2358" s="7" t="s">
        <v>5126</v>
      </c>
      <c r="E2358" s="7" t="s">
        <v>26</v>
      </c>
      <c r="F2358" s="7" t="s">
        <v>5068</v>
      </c>
      <c r="G2358" s="7" t="n">
        <v>2017</v>
      </c>
      <c r="H2358" s="7" t="s">
        <v>51</v>
      </c>
      <c r="I2358" s="7" t="s">
        <v>187</v>
      </c>
      <c r="J2358" s="7" t="s">
        <v>39</v>
      </c>
      <c r="K2358" s="7" t="n">
        <f aca="false">IFERROR(VALUE(RIGHT(TRIM(F2358),4)),"")</f>
        <v>2018</v>
      </c>
      <c r="L2358" s="7" t="str">
        <f aca="false">IF(TRIM(E2358)="","Unknown",IFERROR(LEFT(TRIM(E2358),FIND(",",TRIM(E2358))-1),TRIM(E2358)))</f>
        <v>United States</v>
      </c>
      <c r="M2358" s="7" t="str">
        <f aca="false">IFERROR(LEFT(J2358,FIND(",",J2358)-1),J2358)</f>
        <v>Documentaries</v>
      </c>
      <c r="N2358" s="7" t="n">
        <f aca="false">IF(B2358="Movie",IFERROR(VALUE(LEFT(I2358,FIND(" ",I2358)-1)),""),"")</f>
        <v>114</v>
      </c>
      <c r="O2358" s="7" t="str">
        <f aca="false">IF(B2358="TV Show",IFERROR(VALUE(LEFT(I2358,FIND(" ",I2358)-1)),""),"")</f>
        <v/>
      </c>
      <c r="P2358" s="7" t="n">
        <f aca="false">IF(K2358="","",K2358-G2358)</f>
        <v>1</v>
      </c>
    </row>
    <row r="2359" customFormat="false" ht="15" hidden="false" customHeight="false" outlineLevel="0" collapsed="false">
      <c r="A2359" s="7" t="n">
        <v>80106947</v>
      </c>
      <c r="B2359" s="7" t="s">
        <v>68</v>
      </c>
      <c r="C2359" s="7" t="s">
        <v>5127</v>
      </c>
      <c r="D2359" s="7" t="s">
        <v>5128</v>
      </c>
      <c r="E2359" s="7" t="s">
        <v>27</v>
      </c>
      <c r="F2359" s="7" t="s">
        <v>5068</v>
      </c>
      <c r="G2359" s="7" t="n">
        <v>2016</v>
      </c>
      <c r="H2359" s="7" t="s">
        <v>49</v>
      </c>
      <c r="I2359" s="7" t="s">
        <v>1832</v>
      </c>
      <c r="J2359" s="7" t="s">
        <v>182</v>
      </c>
      <c r="K2359" s="7" t="n">
        <f aca="false">IFERROR(VALUE(RIGHT(TRIM(F2359),4)),"")</f>
        <v>2018</v>
      </c>
      <c r="L2359" s="7" t="str">
        <f aca="false">IF(TRIM(E2359)="","Unknown",IFERROR(LEFT(TRIM(E2359),FIND(",",TRIM(E2359))-1),TRIM(E2359)))</f>
        <v>India</v>
      </c>
      <c r="M2359" s="7" t="str">
        <f aca="false">IFERROR(LEFT(J2359,FIND(",",J2359)-1),J2359)</f>
        <v>Dramas</v>
      </c>
      <c r="N2359" s="7" t="n">
        <f aca="false">IF(B2359="Movie",IFERROR(VALUE(LEFT(I2359,FIND(" ",I2359)-1)),""),"")</f>
        <v>143</v>
      </c>
      <c r="O2359" s="7" t="str">
        <f aca="false">IF(B2359="TV Show",IFERROR(VALUE(LEFT(I2359,FIND(" ",I2359)-1)),""),"")</f>
        <v/>
      </c>
      <c r="P2359" s="7" t="n">
        <f aca="false">IF(K2359="","",K2359-G2359)</f>
        <v>2</v>
      </c>
    </row>
    <row r="2360" customFormat="false" ht="15" hidden="false" customHeight="false" outlineLevel="0" collapsed="false">
      <c r="A2360" s="7" t="n">
        <v>80082014</v>
      </c>
      <c r="B2360" s="7" t="s">
        <v>68</v>
      </c>
      <c r="C2360" s="7" t="s">
        <v>5129</v>
      </c>
      <c r="D2360" s="7" t="s">
        <v>5130</v>
      </c>
      <c r="E2360" s="7" t="s">
        <v>26</v>
      </c>
      <c r="F2360" s="7" t="s">
        <v>5068</v>
      </c>
      <c r="G2360" s="7" t="n">
        <v>2016</v>
      </c>
      <c r="H2360" s="7" t="s">
        <v>51</v>
      </c>
      <c r="I2360" s="7" t="s">
        <v>173</v>
      </c>
      <c r="J2360" s="7" t="s">
        <v>269</v>
      </c>
      <c r="K2360" s="7" t="n">
        <f aca="false">IFERROR(VALUE(RIGHT(TRIM(F2360),4)),"")</f>
        <v>2018</v>
      </c>
      <c r="L2360" s="7" t="str">
        <f aca="false">IF(TRIM(E2360)="","Unknown",IFERROR(LEFT(TRIM(E2360),FIND(",",TRIM(E2360))-1),TRIM(E2360)))</f>
        <v>United States</v>
      </c>
      <c r="M2360" s="7" t="str">
        <f aca="false">IFERROR(LEFT(J2360,FIND(",",J2360)-1),J2360)</f>
        <v>Dramas</v>
      </c>
      <c r="N2360" s="7" t="n">
        <f aca="false">IF(B2360="Movie",IFERROR(VALUE(LEFT(I2360,FIND(" ",I2360)-1)),""),"")</f>
        <v>106</v>
      </c>
      <c r="O2360" s="7" t="str">
        <f aca="false">IF(B2360="TV Show",IFERROR(VALUE(LEFT(I2360,FIND(" ",I2360)-1)),""),"")</f>
        <v/>
      </c>
      <c r="P2360" s="7" t="n">
        <f aca="false">IF(K2360="","",K2360-G2360)</f>
        <v>2</v>
      </c>
    </row>
    <row r="2361" customFormat="false" ht="15" hidden="false" customHeight="false" outlineLevel="0" collapsed="false">
      <c r="A2361" s="7" t="n">
        <v>80235325</v>
      </c>
      <c r="B2361" s="7" t="s">
        <v>78</v>
      </c>
      <c r="C2361" s="7" t="s">
        <v>5131</v>
      </c>
      <c r="E2361" s="7" t="s">
        <v>27</v>
      </c>
      <c r="F2361" s="7" t="s">
        <v>5068</v>
      </c>
      <c r="G2361" s="7" t="n">
        <v>2010</v>
      </c>
      <c r="H2361" s="7" t="s">
        <v>49</v>
      </c>
      <c r="I2361" s="7" t="s">
        <v>82</v>
      </c>
      <c r="J2361" s="7" t="s">
        <v>1357</v>
      </c>
      <c r="K2361" s="7" t="n">
        <f aca="false">IFERROR(VALUE(RIGHT(TRIM(F2361),4)),"")</f>
        <v>2018</v>
      </c>
      <c r="L2361" s="7" t="str">
        <f aca="false">IF(TRIM(E2361)="","Unknown",IFERROR(LEFT(TRIM(E2361),FIND(",",TRIM(E2361))-1),TRIM(E2361)))</f>
        <v>India</v>
      </c>
      <c r="M2361" s="7" t="str">
        <f aca="false">IFERROR(LEFT(J2361,FIND(",",J2361)-1),J2361)</f>
        <v>International TV Shows</v>
      </c>
      <c r="N2361" s="7" t="str">
        <f aca="false">IF(B2361="Movie",IFERROR(VALUE(LEFT(I2361,FIND(" ",I2361)-1)),""),"")</f>
        <v/>
      </c>
      <c r="O2361" s="7" t="n">
        <f aca="false">IF(B2361="TV Show",IFERROR(VALUE(LEFT(I2361,FIND(" ",I2361)-1)),""),"")</f>
        <v>1</v>
      </c>
      <c r="P2361" s="7" t="n">
        <f aca="false">IF(K2361="","",K2361-G2361)</f>
        <v>8</v>
      </c>
    </row>
    <row r="2362" customFormat="false" ht="15" hidden="false" customHeight="false" outlineLevel="0" collapsed="false">
      <c r="A2362" s="7" t="n">
        <v>70291094</v>
      </c>
      <c r="B2362" s="7" t="s">
        <v>68</v>
      </c>
      <c r="C2362" s="7" t="s">
        <v>5132</v>
      </c>
      <c r="D2362" s="7" t="s">
        <v>5133</v>
      </c>
      <c r="E2362" s="7" t="s">
        <v>26</v>
      </c>
      <c r="F2362" s="7" t="s">
        <v>5068</v>
      </c>
      <c r="G2362" s="7" t="n">
        <v>2013</v>
      </c>
      <c r="H2362" s="7" t="s">
        <v>55</v>
      </c>
      <c r="I2362" s="7" t="s">
        <v>1191</v>
      </c>
      <c r="J2362" s="7" t="s">
        <v>42</v>
      </c>
      <c r="K2362" s="7" t="n">
        <f aca="false">IFERROR(VALUE(RIGHT(TRIM(F2362),4)),"")</f>
        <v>2018</v>
      </c>
      <c r="L2362" s="7" t="str">
        <f aca="false">IF(TRIM(E2362)="","Unknown",IFERROR(LEFT(TRIM(E2362),FIND(",",TRIM(E2362))-1),TRIM(E2362)))</f>
        <v>United States</v>
      </c>
      <c r="M2362" s="7" t="str">
        <f aca="false">IFERROR(LEFT(J2362,FIND(",",J2362)-1),J2362)</f>
        <v>Children &amp; Family Movies</v>
      </c>
      <c r="N2362" s="7" t="n">
        <f aca="false">IF(B2362="Movie",IFERROR(VALUE(LEFT(I2362,FIND(" ",I2362)-1)),""),"")</f>
        <v>73</v>
      </c>
      <c r="O2362" s="7" t="str">
        <f aca="false">IF(B2362="TV Show",IFERROR(VALUE(LEFT(I2362,FIND(" ",I2362)-1)),""),"")</f>
        <v/>
      </c>
      <c r="P2362" s="7" t="n">
        <f aca="false">IF(K2362="","",K2362-G2362)</f>
        <v>5</v>
      </c>
    </row>
    <row r="2363" customFormat="false" ht="15" hidden="false" customHeight="false" outlineLevel="0" collapsed="false">
      <c r="A2363" s="7" t="n">
        <v>70250369</v>
      </c>
      <c r="B2363" s="7" t="s">
        <v>68</v>
      </c>
      <c r="C2363" s="7" t="s">
        <v>5134</v>
      </c>
      <c r="D2363" s="7" t="s">
        <v>5135</v>
      </c>
      <c r="E2363" s="7" t="s">
        <v>26</v>
      </c>
      <c r="F2363" s="7" t="s">
        <v>5068</v>
      </c>
      <c r="G2363" s="7" t="n">
        <v>2012</v>
      </c>
      <c r="H2363" s="7" t="s">
        <v>55</v>
      </c>
      <c r="I2363" s="7" t="s">
        <v>861</v>
      </c>
      <c r="J2363" s="7" t="s">
        <v>42</v>
      </c>
      <c r="K2363" s="7" t="n">
        <f aca="false">IFERROR(VALUE(RIGHT(TRIM(F2363),4)),"")</f>
        <v>2018</v>
      </c>
      <c r="L2363" s="7" t="str">
        <f aca="false">IF(TRIM(E2363)="","Unknown",IFERROR(LEFT(TRIM(E2363),FIND(",",TRIM(E2363))-1),TRIM(E2363)))</f>
        <v>United States</v>
      </c>
      <c r="M2363" s="7" t="str">
        <f aca="false">IFERROR(LEFT(J2363,FIND(",",J2363)-1),J2363)</f>
        <v>Children &amp; Family Movies</v>
      </c>
      <c r="N2363" s="7" t="n">
        <f aca="false">IF(B2363="Movie",IFERROR(VALUE(LEFT(I2363,FIND(" ",I2363)-1)),""),"")</f>
        <v>71</v>
      </c>
      <c r="O2363" s="7" t="str">
        <f aca="false">IF(B2363="TV Show",IFERROR(VALUE(LEFT(I2363,FIND(" ",I2363)-1)),""),"")</f>
        <v/>
      </c>
      <c r="P2363" s="7" t="n">
        <f aca="false">IF(K2363="","",K2363-G2363)</f>
        <v>6</v>
      </c>
    </row>
    <row r="2364" customFormat="false" ht="15" hidden="false" customHeight="false" outlineLevel="0" collapsed="false">
      <c r="A2364" s="7" t="n">
        <v>80223230</v>
      </c>
      <c r="B2364" s="7" t="s">
        <v>68</v>
      </c>
      <c r="C2364" s="7" t="s">
        <v>5136</v>
      </c>
      <c r="D2364" s="7" t="s">
        <v>1528</v>
      </c>
      <c r="E2364" s="7" t="s">
        <v>27</v>
      </c>
      <c r="F2364" s="7" t="s">
        <v>5068</v>
      </c>
      <c r="G2364" s="7" t="n">
        <v>2005</v>
      </c>
      <c r="H2364" s="7" t="s">
        <v>50</v>
      </c>
      <c r="I2364" s="7" t="s">
        <v>1557</v>
      </c>
      <c r="J2364" s="7" t="s">
        <v>202</v>
      </c>
      <c r="K2364" s="7" t="n">
        <f aca="false">IFERROR(VALUE(RIGHT(TRIM(F2364),4)),"")</f>
        <v>2018</v>
      </c>
      <c r="L2364" s="7" t="str">
        <f aca="false">IF(TRIM(E2364)="","Unknown",IFERROR(LEFT(TRIM(E2364),FIND(",",TRIM(E2364))-1),TRIM(E2364)))</f>
        <v>India</v>
      </c>
      <c r="M2364" s="7" t="str">
        <f aca="false">IFERROR(LEFT(J2364,FIND(",",J2364)-1),J2364)</f>
        <v>Comedies</v>
      </c>
      <c r="N2364" s="7" t="n">
        <f aca="false">IF(B2364="Movie",IFERROR(VALUE(LEFT(I2364,FIND(" ",I2364)-1)),""),"")</f>
        <v>161</v>
      </c>
      <c r="O2364" s="7" t="str">
        <f aca="false">IF(B2364="TV Show",IFERROR(VALUE(LEFT(I2364,FIND(" ",I2364)-1)),""),"")</f>
        <v/>
      </c>
      <c r="P2364" s="7" t="n">
        <f aca="false">IF(K2364="","",K2364-G2364)</f>
        <v>13</v>
      </c>
    </row>
    <row r="2365" customFormat="false" ht="15" hidden="false" customHeight="false" outlineLevel="0" collapsed="false">
      <c r="A2365" s="7" t="n">
        <v>80059049</v>
      </c>
      <c r="B2365" s="7" t="s">
        <v>68</v>
      </c>
      <c r="C2365" s="7" t="s">
        <v>5137</v>
      </c>
      <c r="D2365" s="7" t="s">
        <v>5119</v>
      </c>
      <c r="E2365" s="7" t="s">
        <v>27</v>
      </c>
      <c r="F2365" s="7" t="s">
        <v>5068</v>
      </c>
      <c r="G2365" s="7" t="n">
        <v>1997</v>
      </c>
      <c r="H2365" s="7" t="s">
        <v>49</v>
      </c>
      <c r="I2365" s="7" t="s">
        <v>5138</v>
      </c>
      <c r="J2365" s="7" t="s">
        <v>240</v>
      </c>
      <c r="K2365" s="7" t="n">
        <f aca="false">IFERROR(VALUE(RIGHT(TRIM(F2365),4)),"")</f>
        <v>2018</v>
      </c>
      <c r="L2365" s="7" t="str">
        <f aca="false">IF(TRIM(E2365)="","Unknown",IFERROR(LEFT(TRIM(E2365),FIND(",",TRIM(E2365))-1),TRIM(E2365)))</f>
        <v>India</v>
      </c>
      <c r="M2365" s="7" t="str">
        <f aca="false">IFERROR(LEFT(J2365,FIND(",",J2365)-1),J2365)</f>
        <v>Dramas</v>
      </c>
      <c r="N2365" s="7" t="n">
        <f aca="false">IF(B2365="Movie",IFERROR(VALUE(LEFT(I2365,FIND(" ",I2365)-1)),""),"")</f>
        <v>187</v>
      </c>
      <c r="O2365" s="7" t="str">
        <f aca="false">IF(B2365="TV Show",IFERROR(VALUE(LEFT(I2365,FIND(" ",I2365)-1)),""),"")</f>
        <v/>
      </c>
      <c r="P2365" s="7" t="n">
        <f aca="false">IF(K2365="","",K2365-G2365)</f>
        <v>21</v>
      </c>
    </row>
    <row r="2366" customFormat="false" ht="15" hidden="false" customHeight="false" outlineLevel="0" collapsed="false">
      <c r="A2366" s="7" t="n">
        <v>60032008</v>
      </c>
      <c r="B2366" s="7" t="s">
        <v>68</v>
      </c>
      <c r="C2366" s="7" t="s">
        <v>5139</v>
      </c>
      <c r="D2366" s="7" t="s">
        <v>4845</v>
      </c>
      <c r="E2366" s="7" t="s">
        <v>27</v>
      </c>
      <c r="F2366" s="7" t="s">
        <v>5068</v>
      </c>
      <c r="G2366" s="7" t="n">
        <v>2002</v>
      </c>
      <c r="H2366" s="7" t="s">
        <v>48</v>
      </c>
      <c r="I2366" s="7" t="s">
        <v>378</v>
      </c>
      <c r="J2366" s="7" t="s">
        <v>1042</v>
      </c>
      <c r="K2366" s="7" t="n">
        <f aca="false">IFERROR(VALUE(RIGHT(TRIM(F2366),4)),"")</f>
        <v>2018</v>
      </c>
      <c r="L2366" s="7" t="str">
        <f aca="false">IF(TRIM(E2366)="","Unknown",IFERROR(LEFT(TRIM(E2366),FIND(",",TRIM(E2366))-1),TRIM(E2366)))</f>
        <v>India</v>
      </c>
      <c r="M2366" s="7" t="str">
        <f aca="false">IFERROR(LEFT(J2366,FIND(",",J2366)-1),J2366)</f>
        <v>Dramas</v>
      </c>
      <c r="N2366" s="7" t="n">
        <f aca="false">IF(B2366="Movie",IFERROR(VALUE(LEFT(I2366,FIND(" ",I2366)-1)),""),"")</f>
        <v>127</v>
      </c>
      <c r="O2366" s="7" t="str">
        <f aca="false">IF(B2366="TV Show",IFERROR(VALUE(LEFT(I2366,FIND(" ",I2366)-1)),""),"")</f>
        <v/>
      </c>
      <c r="P2366" s="7" t="n">
        <f aca="false">IF(K2366="","",K2366-G2366)</f>
        <v>16</v>
      </c>
    </row>
    <row r="2367" customFormat="false" ht="15" hidden="false" customHeight="false" outlineLevel="0" collapsed="false">
      <c r="A2367" s="7" t="n">
        <v>60037397</v>
      </c>
      <c r="B2367" s="7" t="s">
        <v>68</v>
      </c>
      <c r="C2367" s="7" t="s">
        <v>5140</v>
      </c>
      <c r="D2367" s="7" t="s">
        <v>3920</v>
      </c>
      <c r="E2367" s="7" t="s">
        <v>27</v>
      </c>
      <c r="F2367" s="7" t="s">
        <v>5068</v>
      </c>
      <c r="G2367" s="7" t="n">
        <v>2000</v>
      </c>
      <c r="H2367" s="7" t="s">
        <v>49</v>
      </c>
      <c r="I2367" s="7" t="s">
        <v>3951</v>
      </c>
      <c r="J2367" s="7" t="s">
        <v>112</v>
      </c>
      <c r="K2367" s="7" t="n">
        <f aca="false">IFERROR(VALUE(RIGHT(TRIM(F2367),4)),"")</f>
        <v>2018</v>
      </c>
      <c r="L2367" s="7" t="str">
        <f aca="false">IF(TRIM(E2367)="","Unknown",IFERROR(LEFT(TRIM(E2367),FIND(",",TRIM(E2367))-1),TRIM(E2367)))</f>
        <v>India</v>
      </c>
      <c r="M2367" s="7" t="str">
        <f aca="false">IFERROR(LEFT(J2367,FIND(",",J2367)-1),J2367)</f>
        <v>Action &amp; Adventure</v>
      </c>
      <c r="N2367" s="7" t="n">
        <f aca="false">IF(B2367="Movie",IFERROR(VALUE(LEFT(I2367,FIND(" ",I2367)-1)),""),"")</f>
        <v>165</v>
      </c>
      <c r="O2367" s="7" t="str">
        <f aca="false">IF(B2367="TV Show",IFERROR(VALUE(LEFT(I2367,FIND(" ",I2367)-1)),""),"")</f>
        <v/>
      </c>
      <c r="P2367" s="7" t="n">
        <f aca="false">IF(K2367="","",K2367-G2367)</f>
        <v>18</v>
      </c>
    </row>
    <row r="2368" customFormat="false" ht="15" hidden="false" customHeight="false" outlineLevel="0" collapsed="false">
      <c r="A2368" s="7" t="n">
        <v>80223228</v>
      </c>
      <c r="B2368" s="7" t="s">
        <v>68</v>
      </c>
      <c r="C2368" s="7" t="s">
        <v>5141</v>
      </c>
      <c r="D2368" s="7" t="s">
        <v>5142</v>
      </c>
      <c r="E2368" s="7" t="s">
        <v>27</v>
      </c>
      <c r="F2368" s="7" t="s">
        <v>5068</v>
      </c>
      <c r="G2368" s="7" t="n">
        <v>2015</v>
      </c>
      <c r="H2368" s="7" t="s">
        <v>49</v>
      </c>
      <c r="I2368" s="7" t="s">
        <v>386</v>
      </c>
      <c r="J2368" s="7" t="s">
        <v>304</v>
      </c>
      <c r="K2368" s="7" t="n">
        <f aca="false">IFERROR(VALUE(RIGHT(TRIM(F2368),4)),"")</f>
        <v>2018</v>
      </c>
      <c r="L2368" s="7" t="str">
        <f aca="false">IF(TRIM(E2368)="","Unknown",IFERROR(LEFT(TRIM(E2368),FIND(",",TRIM(E2368))-1),TRIM(E2368)))</f>
        <v>India</v>
      </c>
      <c r="M2368" s="7" t="str">
        <f aca="false">IFERROR(LEFT(J2368,FIND(",",J2368)-1),J2368)</f>
        <v>Dramas</v>
      </c>
      <c r="N2368" s="7" t="n">
        <f aca="false">IF(B2368="Movie",IFERROR(VALUE(LEFT(I2368,FIND(" ",I2368)-1)),""),"")</f>
        <v>117</v>
      </c>
      <c r="O2368" s="7" t="str">
        <f aca="false">IF(B2368="TV Show",IFERROR(VALUE(LEFT(I2368,FIND(" ",I2368)-1)),""),"")</f>
        <v/>
      </c>
      <c r="P2368" s="7" t="n">
        <f aca="false">IF(K2368="","",K2368-G2368)</f>
        <v>3</v>
      </c>
    </row>
    <row r="2369" customFormat="false" ht="15" hidden="false" customHeight="false" outlineLevel="0" collapsed="false">
      <c r="A2369" s="7" t="n">
        <v>70001082</v>
      </c>
      <c r="B2369" s="7" t="s">
        <v>68</v>
      </c>
      <c r="C2369" s="7" t="s">
        <v>5143</v>
      </c>
      <c r="D2369" s="7" t="s">
        <v>5144</v>
      </c>
      <c r="E2369" s="7" t="s">
        <v>27</v>
      </c>
      <c r="F2369" s="7" t="s">
        <v>5068</v>
      </c>
      <c r="G2369" s="7" t="n">
        <v>2004</v>
      </c>
      <c r="H2369" s="7" t="s">
        <v>49</v>
      </c>
      <c r="I2369" s="7" t="s">
        <v>2192</v>
      </c>
      <c r="J2369" s="7" t="s">
        <v>2221</v>
      </c>
      <c r="K2369" s="7" t="n">
        <f aca="false">IFERROR(VALUE(RIGHT(TRIM(F2369),4)),"")</f>
        <v>2018</v>
      </c>
      <c r="L2369" s="7" t="str">
        <f aca="false">IF(TRIM(E2369)="","Unknown",IFERROR(LEFT(TRIM(E2369),FIND(",",TRIM(E2369))-1),TRIM(E2369)))</f>
        <v>India</v>
      </c>
      <c r="M2369" s="7" t="str">
        <f aca="false">IFERROR(LEFT(J2369,FIND(",",J2369)-1),J2369)</f>
        <v>Action &amp; Adventure</v>
      </c>
      <c r="N2369" s="7" t="n">
        <f aca="false">IF(B2369="Movie",IFERROR(VALUE(LEFT(I2369,FIND(" ",I2369)-1)),""),"")</f>
        <v>134</v>
      </c>
      <c r="O2369" s="7" t="str">
        <f aca="false">IF(B2369="TV Show",IFERROR(VALUE(LEFT(I2369,FIND(" ",I2369)-1)),""),"")</f>
        <v/>
      </c>
      <c r="P2369" s="7" t="n">
        <f aca="false">IF(K2369="","",K2369-G2369)</f>
        <v>14</v>
      </c>
    </row>
    <row r="2370" customFormat="false" ht="15" hidden="false" customHeight="false" outlineLevel="0" collapsed="false">
      <c r="A2370" s="7" t="n">
        <v>80238291</v>
      </c>
      <c r="B2370" s="7" t="s">
        <v>68</v>
      </c>
      <c r="C2370" s="7" t="s">
        <v>5145</v>
      </c>
      <c r="D2370" s="7" t="s">
        <v>5146</v>
      </c>
      <c r="E2370" s="7" t="s">
        <v>27</v>
      </c>
      <c r="F2370" s="7" t="s">
        <v>5068</v>
      </c>
      <c r="G2370" s="7" t="n">
        <v>2017</v>
      </c>
      <c r="H2370" s="7" t="s">
        <v>49</v>
      </c>
      <c r="I2370" s="7" t="s">
        <v>237</v>
      </c>
      <c r="J2370" s="7" t="s">
        <v>304</v>
      </c>
      <c r="K2370" s="7" t="n">
        <f aca="false">IFERROR(VALUE(RIGHT(TRIM(F2370),4)),"")</f>
        <v>2018</v>
      </c>
      <c r="L2370" s="7" t="str">
        <f aca="false">IF(TRIM(E2370)="","Unknown",IFERROR(LEFT(TRIM(E2370),FIND(",",TRIM(E2370))-1),TRIM(E2370)))</f>
        <v>India</v>
      </c>
      <c r="M2370" s="7" t="str">
        <f aca="false">IFERROR(LEFT(J2370,FIND(",",J2370)-1),J2370)</f>
        <v>Dramas</v>
      </c>
      <c r="N2370" s="7" t="n">
        <f aca="false">IF(B2370="Movie",IFERROR(VALUE(LEFT(I2370,FIND(" ",I2370)-1)),""),"")</f>
        <v>116</v>
      </c>
      <c r="O2370" s="7" t="str">
        <f aca="false">IF(B2370="TV Show",IFERROR(VALUE(LEFT(I2370,FIND(" ",I2370)-1)),""),"")</f>
        <v/>
      </c>
      <c r="P2370" s="7" t="n">
        <f aca="false">IF(K2370="","",K2370-G2370)</f>
        <v>1</v>
      </c>
    </row>
    <row r="2371" customFormat="false" ht="15" hidden="false" customHeight="false" outlineLevel="0" collapsed="false">
      <c r="A2371" s="7" t="n">
        <v>80158247</v>
      </c>
      <c r="B2371" s="7" t="s">
        <v>68</v>
      </c>
      <c r="C2371" s="7" t="s">
        <v>5147</v>
      </c>
      <c r="D2371" s="7" t="s">
        <v>5148</v>
      </c>
      <c r="E2371" s="7" t="s">
        <v>1081</v>
      </c>
      <c r="F2371" s="7" t="s">
        <v>5068</v>
      </c>
      <c r="G2371" s="7" t="n">
        <v>2016</v>
      </c>
      <c r="H2371" s="7" t="s">
        <v>49</v>
      </c>
      <c r="I2371" s="7" t="s">
        <v>77</v>
      </c>
      <c r="J2371" s="7" t="s">
        <v>202</v>
      </c>
      <c r="K2371" s="7" t="n">
        <f aca="false">IFERROR(VALUE(RIGHT(TRIM(F2371),4)),"")</f>
        <v>2018</v>
      </c>
      <c r="L2371" s="7" t="str">
        <f aca="false">IF(TRIM(E2371)="","Unknown",IFERROR(LEFT(TRIM(E2371),FIND(",",TRIM(E2371))-1),TRIM(E2371)))</f>
        <v>Germany</v>
      </c>
      <c r="M2371" s="7" t="str">
        <f aca="false">IFERROR(LEFT(J2371,FIND(",",J2371)-1),J2371)</f>
        <v>Comedies</v>
      </c>
      <c r="N2371" s="7" t="n">
        <f aca="false">IF(B2371="Movie",IFERROR(VALUE(LEFT(I2371,FIND(" ",I2371)-1)),""),"")</f>
        <v>94</v>
      </c>
      <c r="O2371" s="7" t="str">
        <f aca="false">IF(B2371="TV Show",IFERROR(VALUE(LEFT(I2371,FIND(" ",I2371)-1)),""),"")</f>
        <v/>
      </c>
      <c r="P2371" s="7" t="n">
        <f aca="false">IF(K2371="","",K2371-G2371)</f>
        <v>2</v>
      </c>
    </row>
    <row r="2372" customFormat="false" ht="15" hidden="false" customHeight="false" outlineLevel="0" collapsed="false">
      <c r="A2372" s="7" t="n">
        <v>60035875</v>
      </c>
      <c r="B2372" s="7" t="s">
        <v>68</v>
      </c>
      <c r="C2372" s="7" t="s">
        <v>5149</v>
      </c>
      <c r="D2372" s="7" t="s">
        <v>5150</v>
      </c>
      <c r="E2372" s="7" t="s">
        <v>27</v>
      </c>
      <c r="F2372" s="7" t="s">
        <v>5068</v>
      </c>
      <c r="G2372" s="7" t="n">
        <v>2002</v>
      </c>
      <c r="H2372" s="7" t="s">
        <v>48</v>
      </c>
      <c r="I2372" s="7" t="s">
        <v>1449</v>
      </c>
      <c r="J2372" s="7" t="s">
        <v>182</v>
      </c>
      <c r="K2372" s="7" t="n">
        <f aca="false">IFERROR(VALUE(RIGHT(TRIM(F2372),4)),"")</f>
        <v>2018</v>
      </c>
      <c r="L2372" s="7" t="str">
        <f aca="false">IF(TRIM(E2372)="","Unknown",IFERROR(LEFT(TRIM(E2372),FIND(",",TRIM(E2372))-1),TRIM(E2372)))</f>
        <v>India</v>
      </c>
      <c r="M2372" s="7" t="str">
        <f aca="false">IFERROR(LEFT(J2372,FIND(",",J2372)-1),J2372)</f>
        <v>Dramas</v>
      </c>
      <c r="N2372" s="7" t="n">
        <f aca="false">IF(B2372="Movie",IFERROR(VALUE(LEFT(I2372,FIND(" ",I2372)-1)),""),"")</f>
        <v>168</v>
      </c>
      <c r="O2372" s="7" t="str">
        <f aca="false">IF(B2372="TV Show",IFERROR(VALUE(LEFT(I2372,FIND(" ",I2372)-1)),""),"")</f>
        <v/>
      </c>
      <c r="P2372" s="7" t="n">
        <f aca="false">IF(K2372="","",K2372-G2372)</f>
        <v>16</v>
      </c>
    </row>
    <row r="2373" customFormat="false" ht="15" hidden="false" customHeight="false" outlineLevel="0" collapsed="false">
      <c r="A2373" s="7" t="n">
        <v>70244982</v>
      </c>
      <c r="B2373" s="7" t="s">
        <v>68</v>
      </c>
      <c r="C2373" s="7" t="s">
        <v>5151</v>
      </c>
      <c r="D2373" s="7" t="s">
        <v>3388</v>
      </c>
      <c r="E2373" s="7" t="s">
        <v>27</v>
      </c>
      <c r="F2373" s="7" t="s">
        <v>5068</v>
      </c>
      <c r="G2373" s="7" t="n">
        <v>2012</v>
      </c>
      <c r="H2373" s="7" t="s">
        <v>49</v>
      </c>
      <c r="I2373" s="7" t="s">
        <v>790</v>
      </c>
      <c r="J2373" s="7" t="s">
        <v>188</v>
      </c>
      <c r="K2373" s="7" t="n">
        <f aca="false">IFERROR(VALUE(RIGHT(TRIM(F2373),4)),"")</f>
        <v>2018</v>
      </c>
      <c r="L2373" s="7" t="str">
        <f aca="false">IF(TRIM(E2373)="","Unknown",IFERROR(LEFT(TRIM(E2373),FIND(",",TRIM(E2373))-1),TRIM(E2373)))</f>
        <v>India</v>
      </c>
      <c r="M2373" s="7" t="str">
        <f aca="false">IFERROR(LEFT(J2373,FIND(",",J2373)-1),J2373)</f>
        <v>Dramas</v>
      </c>
      <c r="N2373" s="7" t="n">
        <f aca="false">IF(B2373="Movie",IFERROR(VALUE(LEFT(I2373,FIND(" ",I2373)-1)),""),"")</f>
        <v>109</v>
      </c>
      <c r="O2373" s="7" t="str">
        <f aca="false">IF(B2373="TV Show",IFERROR(VALUE(LEFT(I2373,FIND(" ",I2373)-1)),""),"")</f>
        <v/>
      </c>
      <c r="P2373" s="7" t="n">
        <f aca="false">IF(K2373="","",K2373-G2373)</f>
        <v>6</v>
      </c>
    </row>
    <row r="2374" customFormat="false" ht="15" hidden="false" customHeight="false" outlineLevel="0" collapsed="false">
      <c r="A2374" s="7" t="n">
        <v>70065769</v>
      </c>
      <c r="B2374" s="7" t="s">
        <v>68</v>
      </c>
      <c r="C2374" s="7" t="s">
        <v>5152</v>
      </c>
      <c r="D2374" s="7" t="s">
        <v>5153</v>
      </c>
      <c r="E2374" s="7" t="s">
        <v>27</v>
      </c>
      <c r="F2374" s="7" t="s">
        <v>5068</v>
      </c>
      <c r="G2374" s="7" t="n">
        <v>2002</v>
      </c>
      <c r="H2374" s="7" t="s">
        <v>50</v>
      </c>
      <c r="I2374" s="7" t="s">
        <v>1026</v>
      </c>
      <c r="J2374" s="7" t="s">
        <v>457</v>
      </c>
      <c r="K2374" s="7" t="n">
        <f aca="false">IFERROR(VALUE(RIGHT(TRIM(F2374),4)),"")</f>
        <v>2018</v>
      </c>
      <c r="L2374" s="7" t="str">
        <f aca="false">IF(TRIM(E2374)="","Unknown",IFERROR(LEFT(TRIM(E2374),FIND(",",TRIM(E2374))-1),TRIM(E2374)))</f>
        <v>India</v>
      </c>
      <c r="M2374" s="7" t="str">
        <f aca="false">IFERROR(LEFT(J2374,FIND(",",J2374)-1),J2374)</f>
        <v>Comedies</v>
      </c>
      <c r="N2374" s="7" t="n">
        <f aca="false">IF(B2374="Movie",IFERROR(VALUE(LEFT(I2374,FIND(" ",I2374)-1)),""),"")</f>
        <v>148</v>
      </c>
      <c r="O2374" s="7" t="str">
        <f aca="false">IF(B2374="TV Show",IFERROR(VALUE(LEFT(I2374,FIND(" ",I2374)-1)),""),"")</f>
        <v/>
      </c>
      <c r="P2374" s="7" t="n">
        <f aca="false">IF(K2374="","",K2374-G2374)</f>
        <v>16</v>
      </c>
    </row>
    <row r="2375" customFormat="false" ht="15" hidden="false" customHeight="false" outlineLevel="0" collapsed="false">
      <c r="A2375" s="7" t="n">
        <v>70099702</v>
      </c>
      <c r="B2375" s="7" t="s">
        <v>68</v>
      </c>
      <c r="C2375" s="7" t="s">
        <v>5154</v>
      </c>
      <c r="D2375" s="7" t="s">
        <v>5155</v>
      </c>
      <c r="E2375" s="7" t="s">
        <v>27</v>
      </c>
      <c r="F2375" s="7" t="s">
        <v>5068</v>
      </c>
      <c r="G2375" s="7" t="n">
        <v>2008</v>
      </c>
      <c r="H2375" s="7" t="s">
        <v>49</v>
      </c>
      <c r="I2375" s="7" t="s">
        <v>130</v>
      </c>
      <c r="J2375" s="7" t="s">
        <v>304</v>
      </c>
      <c r="K2375" s="7" t="n">
        <f aca="false">IFERROR(VALUE(RIGHT(TRIM(F2375),4)),"")</f>
        <v>2018</v>
      </c>
      <c r="L2375" s="7" t="str">
        <f aca="false">IF(TRIM(E2375)="","Unknown",IFERROR(LEFT(TRIM(E2375),FIND(",",TRIM(E2375))-1),TRIM(E2375)))</f>
        <v>India</v>
      </c>
      <c r="M2375" s="7" t="str">
        <f aca="false">IFERROR(LEFT(J2375,FIND(",",J2375)-1),J2375)</f>
        <v>Dramas</v>
      </c>
      <c r="N2375" s="7" t="n">
        <f aca="false">IF(B2375="Movie",IFERROR(VALUE(LEFT(I2375,FIND(" ",I2375)-1)),""),"")</f>
        <v>135</v>
      </c>
      <c r="O2375" s="7" t="str">
        <f aca="false">IF(B2375="TV Show",IFERROR(VALUE(LEFT(I2375,FIND(" ",I2375)-1)),""),"")</f>
        <v/>
      </c>
      <c r="P2375" s="7" t="n">
        <f aca="false">IF(K2375="","",K2375-G2375)</f>
        <v>10</v>
      </c>
    </row>
    <row r="2376" customFormat="false" ht="15" hidden="false" customHeight="false" outlineLevel="0" collapsed="false">
      <c r="A2376" s="7" t="n">
        <v>80238637</v>
      </c>
      <c r="B2376" s="7" t="s">
        <v>68</v>
      </c>
      <c r="C2376" s="7" t="s">
        <v>5156</v>
      </c>
      <c r="D2376" s="7" t="s">
        <v>5157</v>
      </c>
      <c r="E2376" s="7" t="s">
        <v>27</v>
      </c>
      <c r="F2376" s="7" t="s">
        <v>5068</v>
      </c>
      <c r="G2376" s="7" t="n">
        <v>2017</v>
      </c>
      <c r="H2376" s="7" t="s">
        <v>50</v>
      </c>
      <c r="I2376" s="7" t="s">
        <v>378</v>
      </c>
      <c r="J2376" s="7" t="s">
        <v>240</v>
      </c>
      <c r="K2376" s="7" t="n">
        <f aca="false">IFERROR(VALUE(RIGHT(TRIM(F2376),4)),"")</f>
        <v>2018</v>
      </c>
      <c r="L2376" s="7" t="str">
        <f aca="false">IF(TRIM(E2376)="","Unknown",IFERROR(LEFT(TRIM(E2376),FIND(",",TRIM(E2376))-1),TRIM(E2376)))</f>
        <v>India</v>
      </c>
      <c r="M2376" s="7" t="str">
        <f aca="false">IFERROR(LEFT(J2376,FIND(",",J2376)-1),J2376)</f>
        <v>Dramas</v>
      </c>
      <c r="N2376" s="7" t="n">
        <f aca="false">IF(B2376="Movie",IFERROR(VALUE(LEFT(I2376,FIND(" ",I2376)-1)),""),"")</f>
        <v>127</v>
      </c>
      <c r="O2376" s="7" t="str">
        <f aca="false">IF(B2376="TV Show",IFERROR(VALUE(LEFT(I2376,FIND(" ",I2376)-1)),""),"")</f>
        <v/>
      </c>
      <c r="P2376" s="7" t="n">
        <f aca="false">IF(K2376="","",K2376-G2376)</f>
        <v>1</v>
      </c>
    </row>
    <row r="2377" customFormat="false" ht="15" hidden="false" customHeight="false" outlineLevel="0" collapsed="false">
      <c r="A2377" s="7" t="n">
        <v>80188777</v>
      </c>
      <c r="B2377" s="7" t="s">
        <v>68</v>
      </c>
      <c r="C2377" s="7" t="s">
        <v>5158</v>
      </c>
      <c r="D2377" s="7" t="s">
        <v>5159</v>
      </c>
      <c r="E2377" s="7" t="s">
        <v>2212</v>
      </c>
      <c r="F2377" s="7" t="s">
        <v>5068</v>
      </c>
      <c r="G2377" s="7" t="n">
        <v>2017</v>
      </c>
      <c r="H2377" s="7" t="s">
        <v>49</v>
      </c>
      <c r="I2377" s="7" t="s">
        <v>1405</v>
      </c>
      <c r="J2377" s="7" t="s">
        <v>182</v>
      </c>
      <c r="K2377" s="7" t="n">
        <f aca="false">IFERROR(VALUE(RIGHT(TRIM(F2377),4)),"")</f>
        <v>2018</v>
      </c>
      <c r="L2377" s="7" t="str">
        <f aca="false">IF(TRIM(E2377)="","Unknown",IFERROR(LEFT(TRIM(E2377),FIND(",",TRIM(E2377))-1),TRIM(E2377)))</f>
        <v>India</v>
      </c>
      <c r="M2377" s="7" t="str">
        <f aca="false">IFERROR(LEFT(J2377,FIND(",",J2377)-1),J2377)</f>
        <v>Dramas</v>
      </c>
      <c r="N2377" s="7" t="n">
        <f aca="false">IF(B2377="Movie",IFERROR(VALUE(LEFT(I2377,FIND(" ",I2377)-1)),""),"")</f>
        <v>115</v>
      </c>
      <c r="O2377" s="7" t="str">
        <f aca="false">IF(B2377="TV Show",IFERROR(VALUE(LEFT(I2377,FIND(" ",I2377)-1)),""),"")</f>
        <v/>
      </c>
      <c r="P2377" s="7" t="n">
        <f aca="false">IF(K2377="","",K2377-G2377)</f>
        <v>1</v>
      </c>
    </row>
    <row r="2378" customFormat="false" ht="15" hidden="false" customHeight="false" outlineLevel="0" collapsed="false">
      <c r="A2378" s="7" t="n">
        <v>80238293</v>
      </c>
      <c r="B2378" s="7" t="s">
        <v>68</v>
      </c>
      <c r="C2378" s="7" t="s">
        <v>5160</v>
      </c>
      <c r="D2378" s="7" t="s">
        <v>4267</v>
      </c>
      <c r="E2378" s="7" t="s">
        <v>27</v>
      </c>
      <c r="F2378" s="7" t="s">
        <v>5068</v>
      </c>
      <c r="G2378" s="7" t="n">
        <v>2017</v>
      </c>
      <c r="H2378" s="7" t="s">
        <v>49</v>
      </c>
      <c r="I2378" s="7" t="s">
        <v>1777</v>
      </c>
      <c r="J2378" s="7" t="s">
        <v>304</v>
      </c>
      <c r="K2378" s="7" t="n">
        <f aca="false">IFERROR(VALUE(RIGHT(TRIM(F2378),4)),"")</f>
        <v>2018</v>
      </c>
      <c r="L2378" s="7" t="str">
        <f aca="false">IF(TRIM(E2378)="","Unknown",IFERROR(LEFT(TRIM(E2378),FIND(",",TRIM(E2378))-1),TRIM(E2378)))</f>
        <v>India</v>
      </c>
      <c r="M2378" s="7" t="str">
        <f aca="false">IFERROR(LEFT(J2378,FIND(",",J2378)-1),J2378)</f>
        <v>Dramas</v>
      </c>
      <c r="N2378" s="7" t="n">
        <f aca="false">IF(B2378="Movie",IFERROR(VALUE(LEFT(I2378,FIND(" ",I2378)-1)),""),"")</f>
        <v>150</v>
      </c>
      <c r="O2378" s="7" t="str">
        <f aca="false">IF(B2378="TV Show",IFERROR(VALUE(LEFT(I2378,FIND(" ",I2378)-1)),""),"")</f>
        <v/>
      </c>
      <c r="P2378" s="7" t="n">
        <f aca="false">IF(K2378="","",K2378-G2378)</f>
        <v>1</v>
      </c>
    </row>
    <row r="2379" customFormat="false" ht="15" hidden="false" customHeight="false" outlineLevel="0" collapsed="false">
      <c r="A2379" s="7" t="n">
        <v>80132381</v>
      </c>
      <c r="B2379" s="7" t="s">
        <v>68</v>
      </c>
      <c r="C2379" s="7" t="s">
        <v>5161</v>
      </c>
      <c r="D2379" s="7" t="s">
        <v>5162</v>
      </c>
      <c r="E2379" s="7" t="s">
        <v>33</v>
      </c>
      <c r="F2379" s="7" t="s">
        <v>5068</v>
      </c>
      <c r="G2379" s="7" t="n">
        <v>2017</v>
      </c>
      <c r="H2379" s="7" t="s">
        <v>48</v>
      </c>
      <c r="I2379" s="7" t="s">
        <v>494</v>
      </c>
      <c r="J2379" s="7" t="s">
        <v>1000</v>
      </c>
      <c r="K2379" s="7" t="n">
        <f aca="false">IFERROR(VALUE(RIGHT(TRIM(F2379),4)),"")</f>
        <v>2018</v>
      </c>
      <c r="L2379" s="7" t="str">
        <f aca="false">IF(TRIM(E2379)="","Unknown",IFERROR(LEFT(TRIM(E2379),FIND(",",TRIM(E2379))-1),TRIM(E2379)))</f>
        <v>Spain</v>
      </c>
      <c r="M2379" s="7" t="str">
        <f aca="false">IFERROR(LEFT(J2379,FIND(",",J2379)-1),J2379)</f>
        <v>Comedies</v>
      </c>
      <c r="N2379" s="7" t="n">
        <f aca="false">IF(B2379="Movie",IFERROR(VALUE(LEFT(I2379,FIND(" ",I2379)-1)),""),"")</f>
        <v>87</v>
      </c>
      <c r="O2379" s="7" t="str">
        <f aca="false">IF(B2379="TV Show",IFERROR(VALUE(LEFT(I2379,FIND(" ",I2379)-1)),""),"")</f>
        <v/>
      </c>
      <c r="P2379" s="7" t="n">
        <f aca="false">IF(K2379="","",K2379-G2379)</f>
        <v>1</v>
      </c>
    </row>
    <row r="2380" customFormat="false" ht="15" hidden="false" customHeight="false" outlineLevel="0" collapsed="false">
      <c r="A2380" s="7" t="n">
        <v>80023851</v>
      </c>
      <c r="B2380" s="7" t="s">
        <v>68</v>
      </c>
      <c r="C2380" s="7" t="s">
        <v>5163</v>
      </c>
      <c r="D2380" s="7" t="s">
        <v>5095</v>
      </c>
      <c r="E2380" s="7" t="s">
        <v>27</v>
      </c>
      <c r="F2380" s="7" t="s">
        <v>5068</v>
      </c>
      <c r="G2380" s="7" t="n">
        <v>2014</v>
      </c>
      <c r="H2380" s="7" t="s">
        <v>50</v>
      </c>
      <c r="I2380" s="7" t="s">
        <v>378</v>
      </c>
      <c r="J2380" s="7" t="s">
        <v>217</v>
      </c>
      <c r="K2380" s="7" t="n">
        <f aca="false">IFERROR(VALUE(RIGHT(TRIM(F2380),4)),"")</f>
        <v>2018</v>
      </c>
      <c r="L2380" s="7" t="str">
        <f aca="false">IF(TRIM(E2380)="","Unknown",IFERROR(LEFT(TRIM(E2380),FIND(",",TRIM(E2380))-1),TRIM(E2380)))</f>
        <v>India</v>
      </c>
      <c r="M2380" s="7" t="str">
        <f aca="false">IFERROR(LEFT(J2380,FIND(",",J2380)-1),J2380)</f>
        <v>Comedies</v>
      </c>
      <c r="N2380" s="7" t="n">
        <f aca="false">IF(B2380="Movie",IFERROR(VALUE(LEFT(I2380,FIND(" ",I2380)-1)),""),"")</f>
        <v>127</v>
      </c>
      <c r="O2380" s="7" t="str">
        <f aca="false">IF(B2380="TV Show",IFERROR(VALUE(LEFT(I2380,FIND(" ",I2380)-1)),""),"")</f>
        <v/>
      </c>
      <c r="P2380" s="7" t="n">
        <f aca="false">IF(K2380="","",K2380-G2380)</f>
        <v>4</v>
      </c>
    </row>
    <row r="2381" customFormat="false" ht="15" hidden="false" customHeight="false" outlineLevel="0" collapsed="false">
      <c r="A2381" s="7" t="n">
        <v>70019491</v>
      </c>
      <c r="B2381" s="7" t="s">
        <v>68</v>
      </c>
      <c r="C2381" s="7" t="s">
        <v>5164</v>
      </c>
      <c r="D2381" s="7" t="s">
        <v>2154</v>
      </c>
      <c r="E2381" s="7" t="s">
        <v>27</v>
      </c>
      <c r="F2381" s="7" t="s">
        <v>5068</v>
      </c>
      <c r="G2381" s="7" t="n">
        <v>2004</v>
      </c>
      <c r="H2381" s="7" t="s">
        <v>50</v>
      </c>
      <c r="I2381" s="7" t="s">
        <v>3239</v>
      </c>
      <c r="J2381" s="7" t="s">
        <v>304</v>
      </c>
      <c r="K2381" s="7" t="n">
        <f aca="false">IFERROR(VALUE(RIGHT(TRIM(F2381),4)),"")</f>
        <v>2018</v>
      </c>
      <c r="L2381" s="7" t="str">
        <f aca="false">IF(TRIM(E2381)="","Unknown",IFERROR(LEFT(TRIM(E2381),FIND(",",TRIM(E2381))-1),TRIM(E2381)))</f>
        <v>India</v>
      </c>
      <c r="M2381" s="7" t="str">
        <f aca="false">IFERROR(LEFT(J2381,FIND(",",J2381)-1),J2381)</f>
        <v>Dramas</v>
      </c>
      <c r="N2381" s="7" t="n">
        <f aca="false">IF(B2381="Movie",IFERROR(VALUE(LEFT(I2381,FIND(" ",I2381)-1)),""),"")</f>
        <v>185</v>
      </c>
      <c r="O2381" s="7" t="str">
        <f aca="false">IF(B2381="TV Show",IFERROR(VALUE(LEFT(I2381,FIND(" ",I2381)-1)),""),"")</f>
        <v/>
      </c>
      <c r="P2381" s="7" t="n">
        <f aca="false">IF(K2381="","",K2381-G2381)</f>
        <v>14</v>
      </c>
    </row>
    <row r="2382" customFormat="false" ht="15" hidden="false" customHeight="false" outlineLevel="0" collapsed="false">
      <c r="A2382" s="7" t="n">
        <v>70304187</v>
      </c>
      <c r="B2382" s="7" t="s">
        <v>68</v>
      </c>
      <c r="C2382" s="7" t="s">
        <v>5165</v>
      </c>
      <c r="D2382" s="7" t="s">
        <v>5166</v>
      </c>
      <c r="E2382" s="7" t="s">
        <v>29</v>
      </c>
      <c r="F2382" s="7" t="s">
        <v>5068</v>
      </c>
      <c r="G2382" s="7" t="n">
        <v>2014</v>
      </c>
      <c r="H2382" s="7" t="s">
        <v>48</v>
      </c>
      <c r="I2382" s="7" t="s">
        <v>421</v>
      </c>
      <c r="J2382" s="7" t="s">
        <v>202</v>
      </c>
      <c r="K2382" s="7" t="n">
        <f aca="false">IFERROR(VALUE(RIGHT(TRIM(F2382),4)),"")</f>
        <v>2018</v>
      </c>
      <c r="L2382" s="7" t="str">
        <f aca="false">IF(TRIM(E2382)="","Unknown",IFERROR(LEFT(TRIM(E2382),FIND(",",TRIM(E2382))-1),TRIM(E2382)))</f>
        <v>Canada</v>
      </c>
      <c r="M2382" s="7" t="str">
        <f aca="false">IFERROR(LEFT(J2382,FIND(",",J2382)-1),J2382)</f>
        <v>Comedies</v>
      </c>
      <c r="N2382" s="7" t="n">
        <f aca="false">IF(B2382="Movie",IFERROR(VALUE(LEFT(I2382,FIND(" ",I2382)-1)),""),"")</f>
        <v>75</v>
      </c>
      <c r="O2382" s="7" t="str">
        <f aca="false">IF(B2382="TV Show",IFERROR(VALUE(LEFT(I2382,FIND(" ",I2382)-1)),""),"")</f>
        <v/>
      </c>
      <c r="P2382" s="7" t="n">
        <f aca="false">IF(K2382="","",K2382-G2382)</f>
        <v>4</v>
      </c>
    </row>
    <row r="2383" customFormat="false" ht="15" hidden="false" customHeight="false" outlineLevel="0" collapsed="false">
      <c r="A2383" s="7" t="n">
        <v>60001670</v>
      </c>
      <c r="B2383" s="7" t="s">
        <v>68</v>
      </c>
      <c r="C2383" s="7" t="s">
        <v>5167</v>
      </c>
      <c r="D2383" s="7" t="s">
        <v>5119</v>
      </c>
      <c r="E2383" s="7" t="s">
        <v>27</v>
      </c>
      <c r="F2383" s="7" t="s">
        <v>5068</v>
      </c>
      <c r="G2383" s="7" t="n">
        <v>1999</v>
      </c>
      <c r="H2383" s="7" t="s">
        <v>50</v>
      </c>
      <c r="I2383" s="7" t="s">
        <v>4263</v>
      </c>
      <c r="J2383" s="7" t="s">
        <v>1042</v>
      </c>
      <c r="K2383" s="7" t="n">
        <f aca="false">IFERROR(VALUE(RIGHT(TRIM(F2383),4)),"")</f>
        <v>2018</v>
      </c>
      <c r="L2383" s="7" t="str">
        <f aca="false">IF(TRIM(E2383)="","Unknown",IFERROR(LEFT(TRIM(E2383),FIND(",",TRIM(E2383))-1),TRIM(E2383)))</f>
        <v>India</v>
      </c>
      <c r="M2383" s="7" t="str">
        <f aca="false">IFERROR(LEFT(J2383,FIND(",",J2383)-1),J2383)</f>
        <v>Dramas</v>
      </c>
      <c r="N2383" s="7" t="n">
        <f aca="false">IF(B2383="Movie",IFERROR(VALUE(LEFT(I2383,FIND(" ",I2383)-1)),""),"")</f>
        <v>177</v>
      </c>
      <c r="O2383" s="7" t="str">
        <f aca="false">IF(B2383="TV Show",IFERROR(VALUE(LEFT(I2383,FIND(" ",I2383)-1)),""),"")</f>
        <v/>
      </c>
      <c r="P2383" s="7" t="n">
        <f aca="false">IF(K2383="","",K2383-G2383)</f>
        <v>19</v>
      </c>
    </row>
    <row r="2384" customFormat="false" ht="15" hidden="false" customHeight="false" outlineLevel="0" collapsed="false">
      <c r="A2384" s="7" t="n">
        <v>80196367</v>
      </c>
      <c r="B2384" s="7" t="s">
        <v>68</v>
      </c>
      <c r="C2384" s="7" t="s">
        <v>5168</v>
      </c>
      <c r="D2384" s="7" t="s">
        <v>5169</v>
      </c>
      <c r="E2384" s="7" t="s">
        <v>31</v>
      </c>
      <c r="F2384" s="7" t="s">
        <v>5068</v>
      </c>
      <c r="G2384" s="7" t="n">
        <v>2015</v>
      </c>
      <c r="H2384" s="7" t="s">
        <v>48</v>
      </c>
      <c r="I2384" s="7" t="s">
        <v>467</v>
      </c>
      <c r="J2384" s="7" t="s">
        <v>358</v>
      </c>
      <c r="K2384" s="7" t="n">
        <f aca="false">IFERROR(VALUE(RIGHT(TRIM(F2384),4)),"")</f>
        <v>2018</v>
      </c>
      <c r="L2384" s="7" t="str">
        <f aca="false">IF(TRIM(E2384)="","Unknown",IFERROR(LEFT(TRIM(E2384),FIND(",",TRIM(E2384))-1),TRIM(E2384)))</f>
        <v>France</v>
      </c>
      <c r="M2384" s="7" t="str">
        <f aca="false">IFERROR(LEFT(J2384,FIND(",",J2384)-1),J2384)</f>
        <v>International Movies</v>
      </c>
      <c r="N2384" s="7" t="n">
        <f aca="false">IF(B2384="Movie",IFERROR(VALUE(LEFT(I2384,FIND(" ",I2384)-1)),""),"")</f>
        <v>81</v>
      </c>
      <c r="O2384" s="7" t="str">
        <f aca="false">IF(B2384="TV Show",IFERROR(VALUE(LEFT(I2384,FIND(" ",I2384)-1)),""),"")</f>
        <v/>
      </c>
      <c r="P2384" s="7" t="n">
        <f aca="false">IF(K2384="","",K2384-G2384)</f>
        <v>3</v>
      </c>
    </row>
    <row r="2385" customFormat="false" ht="15" hidden="false" customHeight="false" outlineLevel="0" collapsed="false">
      <c r="A2385" s="7" t="n">
        <v>70134669</v>
      </c>
      <c r="B2385" s="7" t="s">
        <v>68</v>
      </c>
      <c r="C2385" s="7" t="s">
        <v>5170</v>
      </c>
      <c r="D2385" s="7" t="s">
        <v>2556</v>
      </c>
      <c r="E2385" s="7" t="s">
        <v>27</v>
      </c>
      <c r="F2385" s="7" t="s">
        <v>5068</v>
      </c>
      <c r="G2385" s="7" t="n">
        <v>2010</v>
      </c>
      <c r="H2385" s="7" t="s">
        <v>50</v>
      </c>
      <c r="I2385" s="7" t="s">
        <v>749</v>
      </c>
      <c r="J2385" s="7" t="s">
        <v>182</v>
      </c>
      <c r="K2385" s="7" t="n">
        <f aca="false">IFERROR(VALUE(RIGHT(TRIM(F2385),4)),"")</f>
        <v>2018</v>
      </c>
      <c r="L2385" s="7" t="str">
        <f aca="false">IF(TRIM(E2385)="","Unknown",IFERROR(LEFT(TRIM(E2385),FIND(",",TRIM(E2385))-1),TRIM(E2385)))</f>
        <v>India</v>
      </c>
      <c r="M2385" s="7" t="str">
        <f aca="false">IFERROR(LEFT(J2385,FIND(",",J2385)-1),J2385)</f>
        <v>Dramas</v>
      </c>
      <c r="N2385" s="7" t="n">
        <f aca="false">IF(B2385="Movie",IFERROR(VALUE(LEFT(I2385,FIND(" ",I2385)-1)),""),"")</f>
        <v>137</v>
      </c>
      <c r="O2385" s="7" t="str">
        <f aca="false">IF(B2385="TV Show",IFERROR(VALUE(LEFT(I2385,FIND(" ",I2385)-1)),""),"")</f>
        <v/>
      </c>
      <c r="P2385" s="7" t="n">
        <f aca="false">IF(K2385="","",K2385-G2385)</f>
        <v>8</v>
      </c>
    </row>
    <row r="2386" customFormat="false" ht="15" hidden="false" customHeight="false" outlineLevel="0" collapsed="false">
      <c r="A2386" s="7" t="n">
        <v>80202728</v>
      </c>
      <c r="B2386" s="7" t="s">
        <v>68</v>
      </c>
      <c r="C2386" s="7" t="s">
        <v>5171</v>
      </c>
      <c r="D2386" s="7" t="s">
        <v>5172</v>
      </c>
      <c r="E2386" s="7" t="s">
        <v>5173</v>
      </c>
      <c r="F2386" s="7" t="s">
        <v>5068</v>
      </c>
      <c r="G2386" s="7" t="n">
        <v>2017</v>
      </c>
      <c r="H2386" s="7" t="s">
        <v>51</v>
      </c>
      <c r="I2386" s="7" t="s">
        <v>1270</v>
      </c>
      <c r="J2386" s="7" t="s">
        <v>37</v>
      </c>
      <c r="K2386" s="7" t="n">
        <f aca="false">IFERROR(VALUE(RIGHT(TRIM(F2386),4)),"")</f>
        <v>2018</v>
      </c>
      <c r="L2386" s="7" t="str">
        <f aca="false">IF(TRIM(E2386)="","Unknown",IFERROR(LEFT(TRIM(E2386),FIND(",",TRIM(E2386))-1),TRIM(E2386)))</f>
        <v>Somalia</v>
      </c>
      <c r="M2386" s="7" t="str">
        <f aca="false">IFERROR(LEFT(J2386,FIND(",",J2386)-1),J2386)</f>
        <v>Dramas</v>
      </c>
      <c r="N2386" s="7" t="n">
        <f aca="false">IF(B2386="Movie",IFERROR(VALUE(LEFT(I2386,FIND(" ",I2386)-1)),""),"")</f>
        <v>118</v>
      </c>
      <c r="O2386" s="7" t="str">
        <f aca="false">IF(B2386="TV Show",IFERROR(VALUE(LEFT(I2386,FIND(" ",I2386)-1)),""),"")</f>
        <v/>
      </c>
      <c r="P2386" s="7" t="n">
        <f aca="false">IF(K2386="","",K2386-G2386)</f>
        <v>1</v>
      </c>
    </row>
    <row r="2387" customFormat="false" ht="15" hidden="false" customHeight="false" outlineLevel="0" collapsed="false">
      <c r="A2387" s="7" t="n">
        <v>80238294</v>
      </c>
      <c r="B2387" s="7" t="s">
        <v>68</v>
      </c>
      <c r="C2387" s="7" t="s">
        <v>5174</v>
      </c>
      <c r="D2387" s="7" t="s">
        <v>5175</v>
      </c>
      <c r="E2387" s="7" t="s">
        <v>27</v>
      </c>
      <c r="F2387" s="7" t="s">
        <v>5068</v>
      </c>
      <c r="G2387" s="7" t="n">
        <v>2015</v>
      </c>
      <c r="H2387" s="7" t="s">
        <v>48</v>
      </c>
      <c r="I2387" s="7" t="s">
        <v>549</v>
      </c>
      <c r="J2387" s="7" t="s">
        <v>182</v>
      </c>
      <c r="K2387" s="7" t="n">
        <f aca="false">IFERROR(VALUE(RIGHT(TRIM(F2387),4)),"")</f>
        <v>2018</v>
      </c>
      <c r="L2387" s="7" t="str">
        <f aca="false">IF(TRIM(E2387)="","Unknown",IFERROR(LEFT(TRIM(E2387),FIND(",",TRIM(E2387))-1),TRIM(E2387)))</f>
        <v>India</v>
      </c>
      <c r="M2387" s="7" t="str">
        <f aca="false">IFERROR(LEFT(J2387,FIND(",",J2387)-1),J2387)</f>
        <v>Dramas</v>
      </c>
      <c r="N2387" s="7" t="n">
        <f aca="false">IF(B2387="Movie",IFERROR(VALUE(LEFT(I2387,FIND(" ",I2387)-1)),""),"")</f>
        <v>124</v>
      </c>
      <c r="O2387" s="7" t="str">
        <f aca="false">IF(B2387="TV Show",IFERROR(VALUE(LEFT(I2387,FIND(" ",I2387)-1)),""),"")</f>
        <v/>
      </c>
      <c r="P2387" s="7" t="n">
        <f aca="false">IF(K2387="","",K2387-G2387)</f>
        <v>3</v>
      </c>
    </row>
    <row r="2388" customFormat="false" ht="15" hidden="false" customHeight="false" outlineLevel="0" collapsed="false">
      <c r="A2388" s="7" t="n">
        <v>80023853</v>
      </c>
      <c r="B2388" s="7" t="s">
        <v>68</v>
      </c>
      <c r="C2388" s="7" t="s">
        <v>5176</v>
      </c>
      <c r="D2388" s="7" t="s">
        <v>2530</v>
      </c>
      <c r="E2388" s="7" t="s">
        <v>27</v>
      </c>
      <c r="F2388" s="7" t="s">
        <v>5068</v>
      </c>
      <c r="G2388" s="7" t="n">
        <v>2014</v>
      </c>
      <c r="H2388" s="7" t="s">
        <v>48</v>
      </c>
      <c r="I2388" s="7" t="s">
        <v>869</v>
      </c>
      <c r="J2388" s="7" t="s">
        <v>457</v>
      </c>
      <c r="K2388" s="7" t="n">
        <f aca="false">IFERROR(VALUE(RIGHT(TRIM(F2388),4)),"")</f>
        <v>2018</v>
      </c>
      <c r="L2388" s="7" t="str">
        <f aca="false">IF(TRIM(E2388)="","Unknown",IFERROR(LEFT(TRIM(E2388),FIND(",",TRIM(E2388))-1),TRIM(E2388)))</f>
        <v>India</v>
      </c>
      <c r="M2388" s="7" t="str">
        <f aca="false">IFERROR(LEFT(J2388,FIND(",",J2388)-1),J2388)</f>
        <v>Comedies</v>
      </c>
      <c r="N2388" s="7" t="n">
        <f aca="false">IF(B2388="Movie",IFERROR(VALUE(LEFT(I2388,FIND(" ",I2388)-1)),""),"")</f>
        <v>123</v>
      </c>
      <c r="O2388" s="7" t="str">
        <f aca="false">IF(B2388="TV Show",IFERROR(VALUE(LEFT(I2388,FIND(" ",I2388)-1)),""),"")</f>
        <v/>
      </c>
      <c r="P2388" s="7" t="n">
        <f aca="false">IF(K2388="","",K2388-G2388)</f>
        <v>4</v>
      </c>
    </row>
    <row r="2389" customFormat="false" ht="15" hidden="false" customHeight="false" outlineLevel="0" collapsed="false">
      <c r="A2389" s="7" t="n">
        <v>80244078</v>
      </c>
      <c r="B2389" s="7" t="s">
        <v>68</v>
      </c>
      <c r="C2389" s="7" t="s">
        <v>5177</v>
      </c>
      <c r="D2389" s="7" t="s">
        <v>3022</v>
      </c>
      <c r="E2389" s="7" t="s">
        <v>27</v>
      </c>
      <c r="F2389" s="7" t="s">
        <v>5068</v>
      </c>
      <c r="G2389" s="7" t="n">
        <v>2017</v>
      </c>
      <c r="H2389" s="7" t="s">
        <v>48</v>
      </c>
      <c r="I2389" s="7" t="s">
        <v>73</v>
      </c>
      <c r="J2389" s="7" t="s">
        <v>304</v>
      </c>
      <c r="K2389" s="7" t="n">
        <f aca="false">IFERROR(VALUE(RIGHT(TRIM(F2389),4)),"")</f>
        <v>2018</v>
      </c>
      <c r="L2389" s="7" t="str">
        <f aca="false">IF(TRIM(E2389)="","Unknown",IFERROR(LEFT(TRIM(E2389),FIND(",",TRIM(E2389))-1),TRIM(E2389)))</f>
        <v>India</v>
      </c>
      <c r="M2389" s="7" t="str">
        <f aca="false">IFERROR(LEFT(J2389,FIND(",",J2389)-1),J2389)</f>
        <v>Dramas</v>
      </c>
      <c r="N2389" s="7" t="n">
        <f aca="false">IF(B2389="Movie",IFERROR(VALUE(LEFT(I2389,FIND(" ",I2389)-1)),""),"")</f>
        <v>90</v>
      </c>
      <c r="O2389" s="7" t="str">
        <f aca="false">IF(B2389="TV Show",IFERROR(VALUE(LEFT(I2389,FIND(" ",I2389)-1)),""),"")</f>
        <v/>
      </c>
      <c r="P2389" s="7" t="n">
        <f aca="false">IF(K2389="","",K2389-G2389)</f>
        <v>1</v>
      </c>
    </row>
    <row r="2390" customFormat="false" ht="15" hidden="false" customHeight="false" outlineLevel="0" collapsed="false">
      <c r="A2390" s="7" t="n">
        <v>80238292</v>
      </c>
      <c r="B2390" s="7" t="s">
        <v>68</v>
      </c>
      <c r="C2390" s="7" t="s">
        <v>5177</v>
      </c>
      <c r="D2390" s="7" t="s">
        <v>3022</v>
      </c>
      <c r="E2390" s="7" t="s">
        <v>27</v>
      </c>
      <c r="F2390" s="7" t="s">
        <v>5068</v>
      </c>
      <c r="G2390" s="7" t="n">
        <v>2015</v>
      </c>
      <c r="H2390" s="7" t="s">
        <v>48</v>
      </c>
      <c r="I2390" s="7" t="s">
        <v>470</v>
      </c>
      <c r="J2390" s="7" t="s">
        <v>304</v>
      </c>
      <c r="K2390" s="7" t="n">
        <f aca="false">IFERROR(VALUE(RIGHT(TRIM(F2390),4)),"")</f>
        <v>2018</v>
      </c>
      <c r="L2390" s="7" t="str">
        <f aca="false">IF(TRIM(E2390)="","Unknown",IFERROR(LEFT(TRIM(E2390),FIND(",",TRIM(E2390))-1),TRIM(E2390)))</f>
        <v>India</v>
      </c>
      <c r="M2390" s="7" t="str">
        <f aca="false">IFERROR(LEFT(J2390,FIND(",",J2390)-1),J2390)</f>
        <v>Dramas</v>
      </c>
      <c r="N2390" s="7" t="n">
        <f aca="false">IF(B2390="Movie",IFERROR(VALUE(LEFT(I2390,FIND(" ",I2390)-1)),""),"")</f>
        <v>91</v>
      </c>
      <c r="O2390" s="7" t="str">
        <f aca="false">IF(B2390="TV Show",IFERROR(VALUE(LEFT(I2390,FIND(" ",I2390)-1)),""),"")</f>
        <v/>
      </c>
      <c r="P2390" s="7" t="n">
        <f aca="false">IF(K2390="","",K2390-G2390)</f>
        <v>3</v>
      </c>
    </row>
    <row r="2391" customFormat="false" ht="15" hidden="false" customHeight="false" outlineLevel="0" collapsed="false">
      <c r="A2391" s="7" t="n">
        <v>80238190</v>
      </c>
      <c r="B2391" s="7" t="s">
        <v>68</v>
      </c>
      <c r="C2391" s="7" t="s">
        <v>5178</v>
      </c>
      <c r="D2391" s="7" t="s">
        <v>5179</v>
      </c>
      <c r="E2391" s="7" t="s">
        <v>27</v>
      </c>
      <c r="F2391" s="7" t="s">
        <v>5068</v>
      </c>
      <c r="G2391" s="7" t="n">
        <v>2016</v>
      </c>
      <c r="H2391" s="7" t="s">
        <v>49</v>
      </c>
      <c r="I2391" s="7" t="s">
        <v>494</v>
      </c>
      <c r="J2391" s="7" t="s">
        <v>188</v>
      </c>
      <c r="K2391" s="7" t="n">
        <f aca="false">IFERROR(VALUE(RIGHT(TRIM(F2391),4)),"")</f>
        <v>2018</v>
      </c>
      <c r="L2391" s="7" t="str">
        <f aca="false">IF(TRIM(E2391)="","Unknown",IFERROR(LEFT(TRIM(E2391),FIND(",",TRIM(E2391))-1),TRIM(E2391)))</f>
        <v>India</v>
      </c>
      <c r="M2391" s="7" t="str">
        <f aca="false">IFERROR(LEFT(J2391,FIND(",",J2391)-1),J2391)</f>
        <v>Dramas</v>
      </c>
      <c r="N2391" s="7" t="n">
        <f aca="false">IF(B2391="Movie",IFERROR(VALUE(LEFT(I2391,FIND(" ",I2391)-1)),""),"")</f>
        <v>87</v>
      </c>
      <c r="O2391" s="7" t="str">
        <f aca="false">IF(B2391="TV Show",IFERROR(VALUE(LEFT(I2391,FIND(" ",I2391)-1)),""),"")</f>
        <v/>
      </c>
      <c r="P2391" s="7" t="n">
        <f aca="false">IF(K2391="","",K2391-G2391)</f>
        <v>2</v>
      </c>
    </row>
    <row r="2392" customFormat="false" ht="15" hidden="false" customHeight="false" outlineLevel="0" collapsed="false">
      <c r="A2392" s="7" t="n">
        <v>70304188</v>
      </c>
      <c r="B2392" s="7" t="s">
        <v>68</v>
      </c>
      <c r="C2392" s="7" t="s">
        <v>5180</v>
      </c>
      <c r="D2392" s="7" t="s">
        <v>5166</v>
      </c>
      <c r="E2392" s="7" t="s">
        <v>29</v>
      </c>
      <c r="F2392" s="7" t="s">
        <v>5068</v>
      </c>
      <c r="G2392" s="7" t="n">
        <v>2014</v>
      </c>
      <c r="H2392" s="7" t="s">
        <v>53</v>
      </c>
      <c r="I2392" s="7" t="s">
        <v>357</v>
      </c>
      <c r="J2392" s="7" t="s">
        <v>10</v>
      </c>
      <c r="K2392" s="7" t="n">
        <f aca="false">IFERROR(VALUE(RIGHT(TRIM(F2392),4)),"")</f>
        <v>2018</v>
      </c>
      <c r="L2392" s="7" t="str">
        <f aca="false">IF(TRIM(E2392)="","Unknown",IFERROR(LEFT(TRIM(E2392),FIND(",",TRIM(E2392))-1),TRIM(E2392)))</f>
        <v>Canada</v>
      </c>
      <c r="M2392" s="7" t="str">
        <f aca="false">IFERROR(LEFT(J2392,FIND(",",J2392)-1),J2392)</f>
        <v>Movies</v>
      </c>
      <c r="N2392" s="7" t="n">
        <f aca="false">IF(B2392="Movie",IFERROR(VALUE(LEFT(I2392,FIND(" ",I2392)-1)),""),"")</f>
        <v>89</v>
      </c>
      <c r="O2392" s="7" t="str">
        <f aca="false">IF(B2392="TV Show",IFERROR(VALUE(LEFT(I2392,FIND(" ",I2392)-1)),""),"")</f>
        <v/>
      </c>
      <c r="P2392" s="7" t="n">
        <f aca="false">IF(K2392="","",K2392-G2392)</f>
        <v>4</v>
      </c>
    </row>
    <row r="2393" customFormat="false" ht="15" hidden="false" customHeight="false" outlineLevel="0" collapsed="false">
      <c r="A2393" s="7" t="n">
        <v>70304186</v>
      </c>
      <c r="B2393" s="7" t="s">
        <v>68</v>
      </c>
      <c r="C2393" s="7" t="s">
        <v>5181</v>
      </c>
      <c r="D2393" s="7" t="s">
        <v>5166</v>
      </c>
      <c r="E2393" s="7" t="s">
        <v>29</v>
      </c>
      <c r="F2393" s="7" t="s">
        <v>5068</v>
      </c>
      <c r="G2393" s="7" t="n">
        <v>2014</v>
      </c>
      <c r="H2393" s="7" t="s">
        <v>53</v>
      </c>
      <c r="I2393" s="7" t="s">
        <v>467</v>
      </c>
      <c r="J2393" s="7" t="s">
        <v>10</v>
      </c>
      <c r="K2393" s="7" t="n">
        <f aca="false">IFERROR(VALUE(RIGHT(TRIM(F2393),4)),"")</f>
        <v>2018</v>
      </c>
      <c r="L2393" s="7" t="str">
        <f aca="false">IF(TRIM(E2393)="","Unknown",IFERROR(LEFT(TRIM(E2393),FIND(",",TRIM(E2393))-1),TRIM(E2393)))</f>
        <v>Canada</v>
      </c>
      <c r="M2393" s="7" t="str">
        <f aca="false">IFERROR(LEFT(J2393,FIND(",",J2393)-1),J2393)</f>
        <v>Movies</v>
      </c>
      <c r="N2393" s="7" t="n">
        <f aca="false">IF(B2393="Movie",IFERROR(VALUE(LEFT(I2393,FIND(" ",I2393)-1)),""),"")</f>
        <v>81</v>
      </c>
      <c r="O2393" s="7" t="str">
        <f aca="false">IF(B2393="TV Show",IFERROR(VALUE(LEFT(I2393,FIND(" ",I2393)-1)),""),"")</f>
        <v/>
      </c>
      <c r="P2393" s="7" t="n">
        <f aca="false">IF(K2393="","",K2393-G2393)</f>
        <v>4</v>
      </c>
    </row>
    <row r="2394" customFormat="false" ht="15" hidden="false" customHeight="false" outlineLevel="0" collapsed="false">
      <c r="A2394" s="7" t="n">
        <v>70304189</v>
      </c>
      <c r="B2394" s="7" t="s">
        <v>68</v>
      </c>
      <c r="C2394" s="7" t="s">
        <v>5182</v>
      </c>
      <c r="D2394" s="7" t="s">
        <v>4508</v>
      </c>
      <c r="E2394" s="7" t="s">
        <v>29</v>
      </c>
      <c r="F2394" s="7" t="s">
        <v>5068</v>
      </c>
      <c r="G2394" s="7" t="n">
        <v>2008</v>
      </c>
      <c r="H2394" s="7" t="s">
        <v>48</v>
      </c>
      <c r="I2394" s="7" t="s">
        <v>935</v>
      </c>
      <c r="J2394" s="7" t="s">
        <v>941</v>
      </c>
      <c r="K2394" s="7" t="n">
        <f aca="false">IFERROR(VALUE(RIGHT(TRIM(F2394),4)),"")</f>
        <v>2018</v>
      </c>
      <c r="L2394" s="7" t="str">
        <f aca="false">IF(TRIM(E2394)="","Unknown",IFERROR(LEFT(TRIM(E2394),FIND(",",TRIM(E2394))-1),TRIM(E2394)))</f>
        <v>Canada</v>
      </c>
      <c r="M2394" s="7" t="str">
        <f aca="false">IFERROR(LEFT(J2394,FIND(",",J2394)-1),J2394)</f>
        <v>Comedies</v>
      </c>
      <c r="N2394" s="7" t="n">
        <f aca="false">IF(B2394="Movie",IFERROR(VALUE(LEFT(I2394,FIND(" ",I2394)-1)),""),"")</f>
        <v>47</v>
      </c>
      <c r="O2394" s="7" t="str">
        <f aca="false">IF(B2394="TV Show",IFERROR(VALUE(LEFT(I2394,FIND(" ",I2394)-1)),""),"")</f>
        <v/>
      </c>
      <c r="P2394" s="7" t="n">
        <f aca="false">IF(K2394="","",K2394-G2394)</f>
        <v>10</v>
      </c>
    </row>
    <row r="2395" customFormat="false" ht="15" hidden="false" customHeight="false" outlineLevel="0" collapsed="false">
      <c r="A2395" s="7" t="n">
        <v>70143440</v>
      </c>
      <c r="B2395" s="7" t="s">
        <v>68</v>
      </c>
      <c r="C2395" s="7" t="s">
        <v>5183</v>
      </c>
      <c r="D2395" s="7" t="s">
        <v>4508</v>
      </c>
      <c r="E2395" s="7" t="s">
        <v>29</v>
      </c>
      <c r="F2395" s="7" t="s">
        <v>5068</v>
      </c>
      <c r="G2395" s="7" t="n">
        <v>2004</v>
      </c>
      <c r="H2395" s="7" t="s">
        <v>48</v>
      </c>
      <c r="I2395" s="7" t="s">
        <v>1175</v>
      </c>
      <c r="J2395" s="7" t="s">
        <v>10</v>
      </c>
      <c r="K2395" s="7" t="n">
        <f aca="false">IFERROR(VALUE(RIGHT(TRIM(F2395),4)),"")</f>
        <v>2018</v>
      </c>
      <c r="L2395" s="7" t="str">
        <f aca="false">IF(TRIM(E2395)="","Unknown",IFERROR(LEFT(TRIM(E2395),FIND(",",TRIM(E2395))-1),TRIM(E2395)))</f>
        <v>Canada</v>
      </c>
      <c r="M2395" s="7" t="str">
        <f aca="false">IFERROR(LEFT(J2395,FIND(",",J2395)-1),J2395)</f>
        <v>Movies</v>
      </c>
      <c r="N2395" s="7" t="n">
        <f aca="false">IF(B2395="Movie",IFERROR(VALUE(LEFT(I2395,FIND(" ",I2395)-1)),""),"")</f>
        <v>46</v>
      </c>
      <c r="O2395" s="7" t="str">
        <f aca="false">IF(B2395="TV Show",IFERROR(VALUE(LEFT(I2395,FIND(" ",I2395)-1)),""),"")</f>
        <v/>
      </c>
      <c r="P2395" s="7" t="n">
        <f aca="false">IF(K2395="","",K2395-G2395)</f>
        <v>14</v>
      </c>
    </row>
    <row r="2396" customFormat="false" ht="15" hidden="false" customHeight="false" outlineLevel="0" collapsed="false">
      <c r="A2396" s="7" t="n">
        <v>20717860</v>
      </c>
      <c r="B2396" s="7" t="s">
        <v>68</v>
      </c>
      <c r="C2396" s="7" t="s">
        <v>5184</v>
      </c>
      <c r="D2396" s="7" t="s">
        <v>5185</v>
      </c>
      <c r="E2396" s="7" t="s">
        <v>27</v>
      </c>
      <c r="F2396" s="7" t="s">
        <v>5068</v>
      </c>
      <c r="G2396" s="7" t="n">
        <v>1995</v>
      </c>
      <c r="H2396" s="7" t="s">
        <v>50</v>
      </c>
      <c r="I2396" s="7" t="s">
        <v>5186</v>
      </c>
      <c r="J2396" s="7" t="s">
        <v>112</v>
      </c>
      <c r="K2396" s="7" t="n">
        <f aca="false">IFERROR(VALUE(RIGHT(TRIM(F2396),4)),"")</f>
        <v>2018</v>
      </c>
      <c r="L2396" s="7" t="str">
        <f aca="false">IF(TRIM(E2396)="","Unknown",IFERROR(LEFT(TRIM(E2396),FIND(",",TRIM(E2396))-1),TRIM(E2396)))</f>
        <v>India</v>
      </c>
      <c r="M2396" s="7" t="str">
        <f aca="false">IFERROR(LEFT(J2396,FIND(",",J2396)-1),J2396)</f>
        <v>Action &amp; Adventure</v>
      </c>
      <c r="N2396" s="7" t="n">
        <f aca="false">IF(B2396="Movie",IFERROR(VALUE(LEFT(I2396,FIND(" ",I2396)-1)),""),"")</f>
        <v>173</v>
      </c>
      <c r="O2396" s="7" t="str">
        <f aca="false">IF(B2396="TV Show",IFERROR(VALUE(LEFT(I2396,FIND(" ",I2396)-1)),""),"")</f>
        <v/>
      </c>
      <c r="P2396" s="7" t="n">
        <f aca="false">IF(K2396="","",K2396-G2396)</f>
        <v>23</v>
      </c>
    </row>
    <row r="2397" customFormat="false" ht="15" hidden="false" customHeight="false" outlineLevel="0" collapsed="false">
      <c r="A2397" s="7" t="n">
        <v>80201833</v>
      </c>
      <c r="B2397" s="7" t="s">
        <v>68</v>
      </c>
      <c r="C2397" s="7" t="s">
        <v>5187</v>
      </c>
      <c r="D2397" s="7" t="s">
        <v>5188</v>
      </c>
      <c r="E2397" s="7" t="s">
        <v>26</v>
      </c>
      <c r="F2397" s="7" t="s">
        <v>5068</v>
      </c>
      <c r="G2397" s="7" t="n">
        <v>2017</v>
      </c>
      <c r="H2397" s="7" t="s">
        <v>51</v>
      </c>
      <c r="I2397" s="7" t="s">
        <v>268</v>
      </c>
      <c r="J2397" s="7" t="s">
        <v>37</v>
      </c>
      <c r="K2397" s="7" t="n">
        <f aca="false">IFERROR(VALUE(RIGHT(TRIM(F2397),4)),"")</f>
        <v>2018</v>
      </c>
      <c r="L2397" s="7" t="str">
        <f aca="false">IF(TRIM(E2397)="","Unknown",IFERROR(LEFT(TRIM(E2397),FIND(",",TRIM(E2397))-1),TRIM(E2397)))</f>
        <v>United States</v>
      </c>
      <c r="M2397" s="7" t="str">
        <f aca="false">IFERROR(LEFT(J2397,FIND(",",J2397)-1),J2397)</f>
        <v>Dramas</v>
      </c>
      <c r="N2397" s="7" t="n">
        <f aca="false">IF(B2397="Movie",IFERROR(VALUE(LEFT(I2397,FIND(" ",I2397)-1)),""),"")</f>
        <v>108</v>
      </c>
      <c r="O2397" s="7" t="str">
        <f aca="false">IF(B2397="TV Show",IFERROR(VALUE(LEFT(I2397,FIND(" ",I2397)-1)),""),"")</f>
        <v/>
      </c>
      <c r="P2397" s="7" t="n">
        <f aca="false">IF(K2397="","",K2397-G2397)</f>
        <v>1</v>
      </c>
    </row>
    <row r="2398" customFormat="false" ht="15" hidden="false" customHeight="false" outlineLevel="0" collapsed="false">
      <c r="A2398" s="7" t="n">
        <v>80238295</v>
      </c>
      <c r="B2398" s="7" t="s">
        <v>68</v>
      </c>
      <c r="C2398" s="7" t="s">
        <v>5189</v>
      </c>
      <c r="D2398" s="7" t="s">
        <v>5190</v>
      </c>
      <c r="E2398" s="7" t="s">
        <v>27</v>
      </c>
      <c r="F2398" s="7" t="s">
        <v>5068</v>
      </c>
      <c r="G2398" s="7" t="n">
        <v>2016</v>
      </c>
      <c r="H2398" s="7" t="s">
        <v>49</v>
      </c>
      <c r="I2398" s="7" t="s">
        <v>194</v>
      </c>
      <c r="J2398" s="7" t="s">
        <v>1000</v>
      </c>
      <c r="K2398" s="7" t="n">
        <f aca="false">IFERROR(VALUE(RIGHT(TRIM(F2398),4)),"")</f>
        <v>2018</v>
      </c>
      <c r="L2398" s="7" t="str">
        <f aca="false">IF(TRIM(E2398)="","Unknown",IFERROR(LEFT(TRIM(E2398),FIND(",",TRIM(E2398))-1),TRIM(E2398)))</f>
        <v>India</v>
      </c>
      <c r="M2398" s="7" t="str">
        <f aca="false">IFERROR(LEFT(J2398,FIND(",",J2398)-1),J2398)</f>
        <v>Comedies</v>
      </c>
      <c r="N2398" s="7" t="n">
        <f aca="false">IF(B2398="Movie",IFERROR(VALUE(LEFT(I2398,FIND(" ",I2398)-1)),""),"")</f>
        <v>125</v>
      </c>
      <c r="O2398" s="7" t="str">
        <f aca="false">IF(B2398="TV Show",IFERROR(VALUE(LEFT(I2398,FIND(" ",I2398)-1)),""),"")</f>
        <v/>
      </c>
      <c r="P2398" s="7" t="n">
        <f aca="false">IF(K2398="","",K2398-G2398)</f>
        <v>2</v>
      </c>
    </row>
    <row r="2399" customFormat="false" ht="15" hidden="false" customHeight="false" outlineLevel="0" collapsed="false">
      <c r="A2399" s="7" t="n">
        <v>80223190</v>
      </c>
      <c r="B2399" s="7" t="s">
        <v>68</v>
      </c>
      <c r="C2399" s="7" t="s">
        <v>5191</v>
      </c>
      <c r="D2399" s="7" t="s">
        <v>5192</v>
      </c>
      <c r="E2399" s="7" t="s">
        <v>27</v>
      </c>
      <c r="F2399" s="7" t="s">
        <v>5068</v>
      </c>
      <c r="G2399" s="7" t="n">
        <v>2015</v>
      </c>
      <c r="H2399" s="7" t="s">
        <v>48</v>
      </c>
      <c r="I2399" s="7" t="s">
        <v>549</v>
      </c>
      <c r="J2399" s="7" t="s">
        <v>202</v>
      </c>
      <c r="K2399" s="7" t="n">
        <f aca="false">IFERROR(VALUE(RIGHT(TRIM(F2399),4)),"")</f>
        <v>2018</v>
      </c>
      <c r="L2399" s="7" t="str">
        <f aca="false">IF(TRIM(E2399)="","Unknown",IFERROR(LEFT(TRIM(E2399),FIND(",",TRIM(E2399))-1),TRIM(E2399)))</f>
        <v>India</v>
      </c>
      <c r="M2399" s="7" t="str">
        <f aca="false">IFERROR(LEFT(J2399,FIND(",",J2399)-1),J2399)</f>
        <v>Comedies</v>
      </c>
      <c r="N2399" s="7" t="n">
        <f aca="false">IF(B2399="Movie",IFERROR(VALUE(LEFT(I2399,FIND(" ",I2399)-1)),""),"")</f>
        <v>124</v>
      </c>
      <c r="O2399" s="7" t="str">
        <f aca="false">IF(B2399="TV Show",IFERROR(VALUE(LEFT(I2399,FIND(" ",I2399)-1)),""),"")</f>
        <v/>
      </c>
      <c r="P2399" s="7" t="n">
        <f aca="false">IF(K2399="","",K2399-G2399)</f>
        <v>3</v>
      </c>
    </row>
    <row r="2400" customFormat="false" ht="15" hidden="false" customHeight="false" outlineLevel="0" collapsed="false">
      <c r="A2400" s="7" t="n">
        <v>70125935</v>
      </c>
      <c r="B2400" s="7" t="s">
        <v>68</v>
      </c>
      <c r="C2400" s="7" t="s">
        <v>5193</v>
      </c>
      <c r="D2400" s="7" t="s">
        <v>5194</v>
      </c>
      <c r="E2400" s="7" t="s">
        <v>27</v>
      </c>
      <c r="F2400" s="7" t="s">
        <v>5068</v>
      </c>
      <c r="G2400" s="7" t="n">
        <v>2008</v>
      </c>
      <c r="H2400" s="7" t="s">
        <v>48</v>
      </c>
      <c r="I2400" s="7" t="s">
        <v>749</v>
      </c>
      <c r="J2400" s="7" t="s">
        <v>188</v>
      </c>
      <c r="K2400" s="7" t="n">
        <f aca="false">IFERROR(VALUE(RIGHT(TRIM(F2400),4)),"")</f>
        <v>2018</v>
      </c>
      <c r="L2400" s="7" t="str">
        <f aca="false">IF(TRIM(E2400)="","Unknown",IFERROR(LEFT(TRIM(E2400),FIND(",",TRIM(E2400))-1),TRIM(E2400)))</f>
        <v>India</v>
      </c>
      <c r="M2400" s="7" t="str">
        <f aca="false">IFERROR(LEFT(J2400,FIND(",",J2400)-1),J2400)</f>
        <v>Dramas</v>
      </c>
      <c r="N2400" s="7" t="n">
        <f aca="false">IF(B2400="Movie",IFERROR(VALUE(LEFT(I2400,FIND(" ",I2400)-1)),""),"")</f>
        <v>137</v>
      </c>
      <c r="O2400" s="7" t="str">
        <f aca="false">IF(B2400="TV Show",IFERROR(VALUE(LEFT(I2400,FIND(" ",I2400)-1)),""),"")</f>
        <v/>
      </c>
      <c r="P2400" s="7" t="n">
        <f aca="false">IF(K2400="","",K2400-G2400)</f>
        <v>10</v>
      </c>
    </row>
    <row r="2401" customFormat="false" ht="15" hidden="false" customHeight="false" outlineLevel="0" collapsed="false">
      <c r="A2401" s="7" t="n">
        <v>60021903</v>
      </c>
      <c r="B2401" s="7" t="s">
        <v>68</v>
      </c>
      <c r="C2401" s="7" t="s">
        <v>5195</v>
      </c>
      <c r="D2401" s="7" t="s">
        <v>5119</v>
      </c>
      <c r="E2401" s="7" t="s">
        <v>27</v>
      </c>
      <c r="F2401" s="7" t="s">
        <v>5068</v>
      </c>
      <c r="G2401" s="7" t="n">
        <v>2001</v>
      </c>
      <c r="H2401" s="7" t="s">
        <v>49</v>
      </c>
      <c r="I2401" s="7" t="s">
        <v>608</v>
      </c>
      <c r="J2401" s="7" t="s">
        <v>240</v>
      </c>
      <c r="K2401" s="7" t="n">
        <f aca="false">IFERROR(VALUE(RIGHT(TRIM(F2401),4)),"")</f>
        <v>2018</v>
      </c>
      <c r="L2401" s="7" t="str">
        <f aca="false">IF(TRIM(E2401)="","Unknown",IFERROR(LEFT(TRIM(E2401),FIND(",",TRIM(E2401))-1),TRIM(E2401)))</f>
        <v>India</v>
      </c>
      <c r="M2401" s="7" t="str">
        <f aca="false">IFERROR(LEFT(J2401,FIND(",",J2401)-1),J2401)</f>
        <v>Dramas</v>
      </c>
      <c r="N2401" s="7" t="n">
        <f aca="false">IF(B2401="Movie",IFERROR(VALUE(LEFT(I2401,FIND(" ",I2401)-1)),""),"")</f>
        <v>171</v>
      </c>
      <c r="O2401" s="7" t="str">
        <f aca="false">IF(B2401="TV Show",IFERROR(VALUE(LEFT(I2401,FIND(" ",I2401)-1)),""),"")</f>
        <v/>
      </c>
      <c r="P2401" s="7" t="n">
        <f aca="false">IF(K2401="","",K2401-G2401)</f>
        <v>17</v>
      </c>
    </row>
    <row r="2402" customFormat="false" ht="15" hidden="false" customHeight="false" outlineLevel="0" collapsed="false">
      <c r="A2402" s="7" t="n">
        <v>70001564</v>
      </c>
      <c r="B2402" s="7" t="s">
        <v>68</v>
      </c>
      <c r="C2402" s="7" t="s">
        <v>5196</v>
      </c>
      <c r="D2402" s="7" t="s">
        <v>5089</v>
      </c>
      <c r="E2402" s="7" t="s">
        <v>27</v>
      </c>
      <c r="F2402" s="7" t="s">
        <v>5068</v>
      </c>
      <c r="G2402" s="7" t="n">
        <v>2004</v>
      </c>
      <c r="H2402" s="7" t="s">
        <v>48</v>
      </c>
      <c r="I2402" s="7" t="s">
        <v>1094</v>
      </c>
      <c r="J2402" s="7" t="s">
        <v>304</v>
      </c>
      <c r="K2402" s="7" t="n">
        <f aca="false">IFERROR(VALUE(RIGHT(TRIM(F2402),4)),"")</f>
        <v>2018</v>
      </c>
      <c r="L2402" s="7" t="str">
        <f aca="false">IF(TRIM(E2402)="","Unknown",IFERROR(LEFT(TRIM(E2402),FIND(",",TRIM(E2402))-1),TRIM(E2402)))</f>
        <v>India</v>
      </c>
      <c r="M2402" s="7" t="str">
        <f aca="false">IFERROR(LEFT(J2402,FIND(",",J2402)-1),J2402)</f>
        <v>Dramas</v>
      </c>
      <c r="N2402" s="7" t="n">
        <f aca="false">IF(B2402="Movie",IFERROR(VALUE(LEFT(I2402,FIND(" ",I2402)-1)),""),"")</f>
        <v>160</v>
      </c>
      <c r="O2402" s="7" t="str">
        <f aca="false">IF(B2402="TV Show",IFERROR(VALUE(LEFT(I2402,FIND(" ",I2402)-1)),""),"")</f>
        <v/>
      </c>
      <c r="P2402" s="7" t="n">
        <f aca="false">IF(K2402="","",K2402-G2402)</f>
        <v>14</v>
      </c>
    </row>
    <row r="2403" customFormat="false" ht="15" hidden="false" customHeight="false" outlineLevel="0" collapsed="false">
      <c r="A2403" s="7" t="n">
        <v>80172593</v>
      </c>
      <c r="B2403" s="7" t="s">
        <v>78</v>
      </c>
      <c r="C2403" s="7" t="s">
        <v>5197</v>
      </c>
      <c r="E2403" s="7" t="s">
        <v>26</v>
      </c>
      <c r="F2403" s="7" t="s">
        <v>5198</v>
      </c>
      <c r="G2403" s="7" t="n">
        <v>2016</v>
      </c>
      <c r="H2403" s="7" t="s">
        <v>50</v>
      </c>
      <c r="I2403" s="7" t="s">
        <v>82</v>
      </c>
      <c r="J2403" s="7" t="s">
        <v>1969</v>
      </c>
      <c r="K2403" s="7" t="n">
        <f aca="false">IFERROR(VALUE(RIGHT(TRIM(F2403),4)),"")</f>
        <v>2017</v>
      </c>
      <c r="L2403" s="7" t="str">
        <f aca="false">IF(TRIM(E2403)="","Unknown",IFERROR(LEFT(TRIM(E2403),FIND(",",TRIM(E2403))-1),TRIM(E2403)))</f>
        <v>United States</v>
      </c>
      <c r="M2403" s="7" t="str">
        <f aca="false">IFERROR(LEFT(J2403,FIND(",",J2403)-1),J2403)</f>
        <v>British TV Shows</v>
      </c>
      <c r="N2403" s="7" t="str">
        <f aca="false">IF(B2403="Movie",IFERROR(VALUE(LEFT(I2403,FIND(" ",I2403)-1)),""),"")</f>
        <v/>
      </c>
      <c r="O2403" s="7" t="n">
        <f aca="false">IF(B2403="TV Show",IFERROR(VALUE(LEFT(I2403,FIND(" ",I2403)-1)),""),"")</f>
        <v>1</v>
      </c>
      <c r="P2403" s="7" t="n">
        <f aca="false">IF(K2403="","",K2403-G2403)</f>
        <v>1</v>
      </c>
    </row>
    <row r="2404" customFormat="false" ht="15" hidden="false" customHeight="false" outlineLevel="0" collapsed="false">
      <c r="A2404" s="7" t="n">
        <v>80135631</v>
      </c>
      <c r="B2404" s="7" t="s">
        <v>68</v>
      </c>
      <c r="C2404" s="7" t="s">
        <v>5199</v>
      </c>
      <c r="D2404" s="7" t="s">
        <v>5200</v>
      </c>
      <c r="E2404" s="7" t="s">
        <v>1081</v>
      </c>
      <c r="F2404" s="7" t="s">
        <v>5198</v>
      </c>
      <c r="G2404" s="7" t="n">
        <v>2013</v>
      </c>
      <c r="H2404" s="7" t="s">
        <v>226</v>
      </c>
      <c r="I2404" s="7" t="s">
        <v>734</v>
      </c>
      <c r="J2404" s="7" t="s">
        <v>341</v>
      </c>
      <c r="K2404" s="7" t="n">
        <f aca="false">IFERROR(VALUE(RIGHT(TRIM(F2404),4)),"")</f>
        <v>2017</v>
      </c>
      <c r="L2404" s="7" t="str">
        <f aca="false">IF(TRIM(E2404)="","Unknown",IFERROR(LEFT(TRIM(E2404),FIND(",",TRIM(E2404))-1),TRIM(E2404)))</f>
        <v>Germany</v>
      </c>
      <c r="M2404" s="7" t="str">
        <f aca="false">IFERROR(LEFT(J2404,FIND(",",J2404)-1),J2404)</f>
        <v>Documentaries</v>
      </c>
      <c r="N2404" s="7" t="n">
        <f aca="false">IF(B2404="Movie",IFERROR(VALUE(LEFT(I2404,FIND(" ",I2404)-1)),""),"")</f>
        <v>52</v>
      </c>
      <c r="O2404" s="7" t="str">
        <f aca="false">IF(B2404="TV Show",IFERROR(VALUE(LEFT(I2404,FIND(" ",I2404)-1)),""),"")</f>
        <v/>
      </c>
      <c r="P2404" s="7" t="n">
        <f aca="false">IF(K2404="","",K2404-G2404)</f>
        <v>4</v>
      </c>
    </row>
    <row r="2405" customFormat="false" ht="15" hidden="false" customHeight="false" outlineLevel="0" collapsed="false">
      <c r="A2405" s="7" t="n">
        <v>80135586</v>
      </c>
      <c r="B2405" s="7" t="s">
        <v>68</v>
      </c>
      <c r="C2405" s="7" t="s">
        <v>5201</v>
      </c>
      <c r="E2405" s="7" t="s">
        <v>26</v>
      </c>
      <c r="F2405" s="7" t="s">
        <v>5198</v>
      </c>
      <c r="G2405" s="7" t="n">
        <v>2013</v>
      </c>
      <c r="H2405" s="7" t="s">
        <v>226</v>
      </c>
      <c r="I2405" s="7" t="s">
        <v>734</v>
      </c>
      <c r="J2405" s="7" t="s">
        <v>1711</v>
      </c>
      <c r="K2405" s="7" t="n">
        <f aca="false">IFERROR(VALUE(RIGHT(TRIM(F2405),4)),"")</f>
        <v>2017</v>
      </c>
      <c r="L2405" s="7" t="str">
        <f aca="false">IF(TRIM(E2405)="","Unknown",IFERROR(LEFT(TRIM(E2405),FIND(",",TRIM(E2405))-1),TRIM(E2405)))</f>
        <v>United States</v>
      </c>
      <c r="M2405" s="7" t="str">
        <f aca="false">IFERROR(LEFT(J2405,FIND(",",J2405)-1),J2405)</f>
        <v>Children &amp; Family Movies</v>
      </c>
      <c r="N2405" s="7" t="n">
        <f aca="false">IF(B2405="Movie",IFERROR(VALUE(LEFT(I2405,FIND(" ",I2405)-1)),""),"")</f>
        <v>52</v>
      </c>
      <c r="O2405" s="7" t="str">
        <f aca="false">IF(B2405="TV Show",IFERROR(VALUE(LEFT(I2405,FIND(" ",I2405)-1)),""),"")</f>
        <v/>
      </c>
      <c r="P2405" s="7" t="n">
        <f aca="false">IF(K2405="","",K2405-G2405)</f>
        <v>4</v>
      </c>
    </row>
    <row r="2406" customFormat="false" ht="15" hidden="false" customHeight="false" outlineLevel="0" collapsed="false">
      <c r="A2406" s="7" t="n">
        <v>70175127</v>
      </c>
      <c r="B2406" s="7" t="s">
        <v>68</v>
      </c>
      <c r="C2406" s="7" t="s">
        <v>5202</v>
      </c>
      <c r="D2406" s="7" t="s">
        <v>5203</v>
      </c>
      <c r="E2406" s="7" t="s">
        <v>5204</v>
      </c>
      <c r="F2406" s="7" t="s">
        <v>5198</v>
      </c>
      <c r="G2406" s="7" t="n">
        <v>2010</v>
      </c>
      <c r="H2406" s="7" t="s">
        <v>226</v>
      </c>
      <c r="I2406" s="7" t="s">
        <v>494</v>
      </c>
      <c r="J2406" s="7" t="s">
        <v>341</v>
      </c>
      <c r="K2406" s="7" t="n">
        <f aca="false">IFERROR(VALUE(RIGHT(TRIM(F2406),4)),"")</f>
        <v>2017</v>
      </c>
      <c r="L2406" s="7" t="str">
        <f aca="false">IF(TRIM(E2406)="","Unknown",IFERROR(LEFT(TRIM(E2406),FIND(",",TRIM(E2406))-1),TRIM(E2406)))</f>
        <v>Germany</v>
      </c>
      <c r="M2406" s="7" t="str">
        <f aca="false">IFERROR(LEFT(J2406,FIND(",",J2406)-1),J2406)</f>
        <v>Documentaries</v>
      </c>
      <c r="N2406" s="7" t="n">
        <f aca="false">IF(B2406="Movie",IFERROR(VALUE(LEFT(I2406,FIND(" ",I2406)-1)),""),"")</f>
        <v>87</v>
      </c>
      <c r="O2406" s="7" t="str">
        <f aca="false">IF(B2406="TV Show",IFERROR(VALUE(LEFT(I2406,FIND(" ",I2406)-1)),""),"")</f>
        <v/>
      </c>
      <c r="P2406" s="7" t="n">
        <f aca="false">IF(K2406="","",K2406-G2406)</f>
        <v>7</v>
      </c>
    </row>
    <row r="2407" customFormat="false" ht="15" hidden="false" customHeight="false" outlineLevel="0" collapsed="false">
      <c r="A2407" s="7" t="n">
        <v>80038168</v>
      </c>
      <c r="B2407" s="7" t="s">
        <v>78</v>
      </c>
      <c r="C2407" s="7" t="s">
        <v>5205</v>
      </c>
      <c r="E2407" s="7" t="s">
        <v>28</v>
      </c>
      <c r="F2407" s="7" t="s">
        <v>5198</v>
      </c>
      <c r="G2407" s="7" t="n">
        <v>2015</v>
      </c>
      <c r="H2407" s="7" t="s">
        <v>50</v>
      </c>
      <c r="I2407" s="7" t="s">
        <v>82</v>
      </c>
      <c r="J2407" s="7" t="s">
        <v>1969</v>
      </c>
      <c r="K2407" s="7" t="n">
        <f aca="false">IFERROR(VALUE(RIGHT(TRIM(F2407),4)),"")</f>
        <v>2017</v>
      </c>
      <c r="L2407" s="7" t="str">
        <f aca="false">IF(TRIM(E2407)="","Unknown",IFERROR(LEFT(TRIM(E2407),FIND(",",TRIM(E2407))-1),TRIM(E2407)))</f>
        <v>United Kingdom</v>
      </c>
      <c r="M2407" s="7" t="str">
        <f aca="false">IFERROR(LEFT(J2407,FIND(",",J2407)-1),J2407)</f>
        <v>British TV Shows</v>
      </c>
      <c r="N2407" s="7" t="str">
        <f aca="false">IF(B2407="Movie",IFERROR(VALUE(LEFT(I2407,FIND(" ",I2407)-1)),""),"")</f>
        <v/>
      </c>
      <c r="O2407" s="7" t="n">
        <f aca="false">IF(B2407="TV Show",IFERROR(VALUE(LEFT(I2407,FIND(" ",I2407)-1)),""),"")</f>
        <v>1</v>
      </c>
      <c r="P2407" s="7" t="n">
        <f aca="false">IF(K2407="","",K2407-G2407)</f>
        <v>2</v>
      </c>
    </row>
    <row r="2408" customFormat="false" ht="15" hidden="false" customHeight="false" outlineLevel="0" collapsed="false">
      <c r="A2408" s="7" t="n">
        <v>80172474</v>
      </c>
      <c r="B2408" s="7" t="s">
        <v>78</v>
      </c>
      <c r="C2408" s="7" t="s">
        <v>5206</v>
      </c>
      <c r="E2408" s="7" t="s">
        <v>28</v>
      </c>
      <c r="F2408" s="7" t="s">
        <v>5198</v>
      </c>
      <c r="G2408" s="7" t="n">
        <v>2016</v>
      </c>
      <c r="H2408" s="7" t="s">
        <v>50</v>
      </c>
      <c r="I2408" s="7" t="s">
        <v>82</v>
      </c>
      <c r="J2408" s="7" t="s">
        <v>1969</v>
      </c>
      <c r="K2408" s="7" t="n">
        <f aca="false">IFERROR(VALUE(RIGHT(TRIM(F2408),4)),"")</f>
        <v>2017</v>
      </c>
      <c r="L2408" s="7" t="str">
        <f aca="false">IF(TRIM(E2408)="","Unknown",IFERROR(LEFT(TRIM(E2408),FIND(",",TRIM(E2408))-1),TRIM(E2408)))</f>
        <v>United Kingdom</v>
      </c>
      <c r="M2408" s="7" t="str">
        <f aca="false">IFERROR(LEFT(J2408,FIND(",",J2408)-1),J2408)</f>
        <v>British TV Shows</v>
      </c>
      <c r="N2408" s="7" t="str">
        <f aca="false">IF(B2408="Movie",IFERROR(VALUE(LEFT(I2408,FIND(" ",I2408)-1)),""),"")</f>
        <v/>
      </c>
      <c r="O2408" s="7" t="n">
        <f aca="false">IF(B2408="TV Show",IFERROR(VALUE(LEFT(I2408,FIND(" ",I2408)-1)),""),"")</f>
        <v>1</v>
      </c>
      <c r="P2408" s="7" t="n">
        <f aca="false">IF(K2408="","",K2408-G2408)</f>
        <v>1</v>
      </c>
    </row>
    <row r="2409" customFormat="false" ht="15" hidden="false" customHeight="false" outlineLevel="0" collapsed="false">
      <c r="A2409" s="7" t="n">
        <v>80172475</v>
      </c>
      <c r="B2409" s="7" t="s">
        <v>78</v>
      </c>
      <c r="C2409" s="7" t="s">
        <v>5207</v>
      </c>
      <c r="E2409" s="7" t="s">
        <v>28</v>
      </c>
      <c r="F2409" s="7" t="s">
        <v>5198</v>
      </c>
      <c r="G2409" s="7" t="n">
        <v>2015</v>
      </c>
      <c r="H2409" s="7" t="s">
        <v>50</v>
      </c>
      <c r="I2409" s="7" t="s">
        <v>82</v>
      </c>
      <c r="J2409" s="7" t="s">
        <v>1969</v>
      </c>
      <c r="K2409" s="7" t="n">
        <f aca="false">IFERROR(VALUE(RIGHT(TRIM(F2409),4)),"")</f>
        <v>2017</v>
      </c>
      <c r="L2409" s="7" t="str">
        <f aca="false">IF(TRIM(E2409)="","Unknown",IFERROR(LEFT(TRIM(E2409),FIND(",",TRIM(E2409))-1),TRIM(E2409)))</f>
        <v>United Kingdom</v>
      </c>
      <c r="M2409" s="7" t="str">
        <f aca="false">IFERROR(LEFT(J2409,FIND(",",J2409)-1),J2409)</f>
        <v>British TV Shows</v>
      </c>
      <c r="N2409" s="7" t="str">
        <f aca="false">IF(B2409="Movie",IFERROR(VALUE(LEFT(I2409,FIND(" ",I2409)-1)),""),"")</f>
        <v/>
      </c>
      <c r="O2409" s="7" t="n">
        <f aca="false">IF(B2409="TV Show",IFERROR(VALUE(LEFT(I2409,FIND(" ",I2409)-1)),""),"")</f>
        <v>1</v>
      </c>
      <c r="P2409" s="7" t="n">
        <f aca="false">IF(K2409="","",K2409-G2409)</f>
        <v>2</v>
      </c>
    </row>
    <row r="2410" customFormat="false" ht="15" hidden="false" customHeight="false" outlineLevel="0" collapsed="false">
      <c r="A2410" s="7" t="n">
        <v>80135587</v>
      </c>
      <c r="B2410" s="7" t="s">
        <v>78</v>
      </c>
      <c r="C2410" s="7" t="s">
        <v>5208</v>
      </c>
      <c r="E2410" s="7" t="s">
        <v>28</v>
      </c>
      <c r="F2410" s="7" t="s">
        <v>5198</v>
      </c>
      <c r="G2410" s="7" t="n">
        <v>2014</v>
      </c>
      <c r="H2410" s="7" t="s">
        <v>50</v>
      </c>
      <c r="I2410" s="7" t="s">
        <v>82</v>
      </c>
      <c r="J2410" s="7" t="s">
        <v>1637</v>
      </c>
      <c r="K2410" s="7" t="n">
        <f aca="false">IFERROR(VALUE(RIGHT(TRIM(F2410),4)),"")</f>
        <v>2017</v>
      </c>
      <c r="L2410" s="7" t="str">
        <f aca="false">IF(TRIM(E2410)="","Unknown",IFERROR(LEFT(TRIM(E2410),FIND(",",TRIM(E2410))-1),TRIM(E2410)))</f>
        <v>United Kingdom</v>
      </c>
      <c r="M2410" s="7" t="str">
        <f aca="false">IFERROR(LEFT(J2410,FIND(",",J2410)-1),J2410)</f>
        <v>Docuseries</v>
      </c>
      <c r="N2410" s="7" t="str">
        <f aca="false">IF(B2410="Movie",IFERROR(VALUE(LEFT(I2410,FIND(" ",I2410)-1)),""),"")</f>
        <v/>
      </c>
      <c r="O2410" s="7" t="n">
        <f aca="false">IF(B2410="TV Show",IFERROR(VALUE(LEFT(I2410,FIND(" ",I2410)-1)),""),"")</f>
        <v>1</v>
      </c>
      <c r="P2410" s="7" t="n">
        <f aca="false">IF(K2410="","",K2410-G2410)</f>
        <v>3</v>
      </c>
    </row>
    <row r="2411" customFormat="false" ht="15" hidden="false" customHeight="false" outlineLevel="0" collapsed="false">
      <c r="A2411" s="7" t="n">
        <v>80172471</v>
      </c>
      <c r="B2411" s="7" t="s">
        <v>68</v>
      </c>
      <c r="C2411" s="7" t="s">
        <v>5209</v>
      </c>
      <c r="D2411" s="7" t="s">
        <v>5210</v>
      </c>
      <c r="E2411" s="7" t="s">
        <v>28</v>
      </c>
      <c r="F2411" s="7" t="s">
        <v>5198</v>
      </c>
      <c r="G2411" s="7" t="n">
        <v>2016</v>
      </c>
      <c r="H2411" s="7" t="s">
        <v>226</v>
      </c>
      <c r="I2411" s="7" t="s">
        <v>1599</v>
      </c>
      <c r="J2411" s="7" t="s">
        <v>39</v>
      </c>
      <c r="K2411" s="7" t="n">
        <f aca="false">IFERROR(VALUE(RIGHT(TRIM(F2411),4)),"")</f>
        <v>2017</v>
      </c>
      <c r="L2411" s="7" t="str">
        <f aca="false">IF(TRIM(E2411)="","Unknown",IFERROR(LEFT(TRIM(E2411),FIND(",",TRIM(E2411))-1),TRIM(E2411)))</f>
        <v>United Kingdom</v>
      </c>
      <c r="M2411" s="7" t="str">
        <f aca="false">IFERROR(LEFT(J2411,FIND(",",J2411)-1),J2411)</f>
        <v>Documentaries</v>
      </c>
      <c r="N2411" s="7" t="n">
        <f aca="false">IF(B2411="Movie",IFERROR(VALUE(LEFT(I2411,FIND(" ",I2411)-1)),""),"")</f>
        <v>56</v>
      </c>
      <c r="O2411" s="7" t="str">
        <f aca="false">IF(B2411="TV Show",IFERROR(VALUE(LEFT(I2411,FIND(" ",I2411)-1)),""),"")</f>
        <v/>
      </c>
      <c r="P2411" s="7" t="n">
        <f aca="false">IF(K2411="","",K2411-G2411)</f>
        <v>1</v>
      </c>
    </row>
    <row r="2412" customFormat="false" ht="15" hidden="false" customHeight="false" outlineLevel="0" collapsed="false">
      <c r="A2412" s="7" t="n">
        <v>80121845</v>
      </c>
      <c r="B2412" s="7" t="s">
        <v>78</v>
      </c>
      <c r="C2412" s="7" t="s">
        <v>5211</v>
      </c>
      <c r="F2412" s="7" t="s">
        <v>5198</v>
      </c>
      <c r="G2412" s="7" t="n">
        <v>2010</v>
      </c>
      <c r="H2412" s="7" t="s">
        <v>50</v>
      </c>
      <c r="I2412" s="7" t="s">
        <v>82</v>
      </c>
      <c r="J2412" s="7" t="s">
        <v>344</v>
      </c>
      <c r="K2412" s="7" t="n">
        <f aca="false">IFERROR(VALUE(RIGHT(TRIM(F2412),4)),"")</f>
        <v>2017</v>
      </c>
      <c r="L2412" s="7" t="str">
        <f aca="false">IF(TRIM(E2412)="","Unknown",IFERROR(LEFT(TRIM(E2412),FIND(",",TRIM(E2412))-1),TRIM(E2412)))</f>
        <v>Unknown</v>
      </c>
      <c r="M2412" s="7" t="str">
        <f aca="false">IFERROR(LEFT(J2412,FIND(",",J2412)-1),J2412)</f>
        <v>International TV Shows</v>
      </c>
      <c r="N2412" s="7" t="str">
        <f aca="false">IF(B2412="Movie",IFERROR(VALUE(LEFT(I2412,FIND(" ",I2412)-1)),""),"")</f>
        <v/>
      </c>
      <c r="O2412" s="7" t="n">
        <f aca="false">IF(B2412="TV Show",IFERROR(VALUE(LEFT(I2412,FIND(" ",I2412)-1)),""),"")</f>
        <v>1</v>
      </c>
      <c r="P2412" s="7" t="n">
        <f aca="false">IF(K2412="","",K2412-G2412)</f>
        <v>7</v>
      </c>
    </row>
    <row r="2413" customFormat="false" ht="15" hidden="false" customHeight="false" outlineLevel="0" collapsed="false">
      <c r="A2413" s="7" t="n">
        <v>80144119</v>
      </c>
      <c r="B2413" s="7" t="s">
        <v>68</v>
      </c>
      <c r="C2413" s="7" t="s">
        <v>5212</v>
      </c>
      <c r="D2413" s="7" t="s">
        <v>5213</v>
      </c>
      <c r="E2413" s="7" t="s">
        <v>855</v>
      </c>
      <c r="F2413" s="7" t="s">
        <v>5198</v>
      </c>
      <c r="G2413" s="7" t="n">
        <v>2015</v>
      </c>
      <c r="I2413" s="7" t="s">
        <v>1405</v>
      </c>
      <c r="J2413" s="7" t="s">
        <v>37</v>
      </c>
      <c r="K2413" s="7" t="n">
        <f aca="false">IFERROR(VALUE(RIGHT(TRIM(F2413),4)),"")</f>
        <v>2017</v>
      </c>
      <c r="L2413" s="7" t="str">
        <f aca="false">IF(TRIM(E2413)="","Unknown",IFERROR(LEFT(TRIM(E2413),FIND(",",TRIM(E2413))-1),TRIM(E2413)))</f>
        <v>Italy</v>
      </c>
      <c r="M2413" s="7" t="str">
        <f aca="false">IFERROR(LEFT(J2413,FIND(",",J2413)-1),J2413)</f>
        <v>Dramas</v>
      </c>
      <c r="N2413" s="7" t="n">
        <f aca="false">IF(B2413="Movie",IFERROR(VALUE(LEFT(I2413,FIND(" ",I2413)-1)),""),"")</f>
        <v>115</v>
      </c>
      <c r="O2413" s="7" t="str">
        <f aca="false">IF(B2413="TV Show",IFERROR(VALUE(LEFT(I2413,FIND(" ",I2413)-1)),""),"")</f>
        <v/>
      </c>
      <c r="P2413" s="7" t="n">
        <f aca="false">IF(K2413="","",K2413-G2413)</f>
        <v>2</v>
      </c>
    </row>
    <row r="2414" customFormat="false" ht="15" hidden="false" customHeight="false" outlineLevel="0" collapsed="false">
      <c r="A2414" s="7" t="n">
        <v>80097072</v>
      </c>
      <c r="B2414" s="7" t="s">
        <v>78</v>
      </c>
      <c r="C2414" s="7" t="s">
        <v>5214</v>
      </c>
      <c r="E2414" s="7" t="s">
        <v>26</v>
      </c>
      <c r="F2414" s="7" t="s">
        <v>5198</v>
      </c>
      <c r="G2414" s="7" t="n">
        <v>2016</v>
      </c>
      <c r="H2414" s="7" t="s">
        <v>226</v>
      </c>
      <c r="I2414" s="7" t="s">
        <v>82</v>
      </c>
      <c r="J2414" s="7" t="s">
        <v>100</v>
      </c>
      <c r="K2414" s="7" t="n">
        <f aca="false">IFERROR(VALUE(RIGHT(TRIM(F2414),4)),"")</f>
        <v>2017</v>
      </c>
      <c r="L2414" s="7" t="str">
        <f aca="false">IF(TRIM(E2414)="","Unknown",IFERROR(LEFT(TRIM(E2414),FIND(",",TRIM(E2414))-1),TRIM(E2414)))</f>
        <v>United States</v>
      </c>
      <c r="M2414" s="7" t="str">
        <f aca="false">IFERROR(LEFT(J2414,FIND(",",J2414)-1),J2414)</f>
        <v>Docuseries</v>
      </c>
      <c r="N2414" s="7" t="str">
        <f aca="false">IF(B2414="Movie",IFERROR(VALUE(LEFT(I2414,FIND(" ",I2414)-1)),""),"")</f>
        <v/>
      </c>
      <c r="O2414" s="7" t="n">
        <f aca="false">IF(B2414="TV Show",IFERROR(VALUE(LEFT(I2414,FIND(" ",I2414)-1)),""),"")</f>
        <v>1</v>
      </c>
      <c r="P2414" s="7" t="n">
        <f aca="false">IF(K2414="","",K2414-G2414)</f>
        <v>1</v>
      </c>
    </row>
    <row r="2415" customFormat="false" ht="15" hidden="false" customHeight="false" outlineLevel="0" collapsed="false">
      <c r="A2415" s="7" t="n">
        <v>80172468</v>
      </c>
      <c r="B2415" s="7" t="s">
        <v>68</v>
      </c>
      <c r="C2415" s="7" t="s">
        <v>5215</v>
      </c>
      <c r="E2415" s="7" t="s">
        <v>26</v>
      </c>
      <c r="F2415" s="7" t="s">
        <v>5198</v>
      </c>
      <c r="G2415" s="7" t="n">
        <v>2016</v>
      </c>
      <c r="H2415" s="7" t="s">
        <v>226</v>
      </c>
      <c r="I2415" s="7" t="s">
        <v>3882</v>
      </c>
      <c r="J2415" s="7" t="s">
        <v>39</v>
      </c>
      <c r="K2415" s="7" t="n">
        <f aca="false">IFERROR(VALUE(RIGHT(TRIM(F2415),4)),"")</f>
        <v>2017</v>
      </c>
      <c r="L2415" s="7" t="str">
        <f aca="false">IF(TRIM(E2415)="","Unknown",IFERROR(LEFT(TRIM(E2415),FIND(",",TRIM(E2415))-1),TRIM(E2415)))</f>
        <v>United States</v>
      </c>
      <c r="M2415" s="7" t="str">
        <f aca="false">IFERROR(LEFT(J2415,FIND(",",J2415)-1),J2415)</f>
        <v>Documentaries</v>
      </c>
      <c r="N2415" s="7" t="n">
        <f aca="false">IF(B2415="Movie",IFERROR(VALUE(LEFT(I2415,FIND(" ",I2415)-1)),""),"")</f>
        <v>53</v>
      </c>
      <c r="O2415" s="7" t="str">
        <f aca="false">IF(B2415="TV Show",IFERROR(VALUE(LEFT(I2415,FIND(" ",I2415)-1)),""),"")</f>
        <v/>
      </c>
      <c r="P2415" s="7" t="n">
        <f aca="false">IF(K2415="","",K2415-G2415)</f>
        <v>1</v>
      </c>
    </row>
    <row r="2416" customFormat="false" ht="15" hidden="false" customHeight="false" outlineLevel="0" collapsed="false">
      <c r="A2416" s="7" t="n">
        <v>80165917</v>
      </c>
      <c r="B2416" s="7" t="s">
        <v>68</v>
      </c>
      <c r="C2416" s="7" t="s">
        <v>5216</v>
      </c>
      <c r="D2416" s="7" t="s">
        <v>5217</v>
      </c>
      <c r="E2416" s="7" t="s">
        <v>27</v>
      </c>
      <c r="F2416" s="7" t="s">
        <v>5198</v>
      </c>
      <c r="G2416" s="7" t="n">
        <v>2016</v>
      </c>
      <c r="H2416" s="7" t="s">
        <v>53</v>
      </c>
      <c r="I2416" s="7" t="s">
        <v>77</v>
      </c>
      <c r="J2416" s="7" t="s">
        <v>240</v>
      </c>
      <c r="K2416" s="7" t="n">
        <f aca="false">IFERROR(VALUE(RIGHT(TRIM(F2416),4)),"")</f>
        <v>2017</v>
      </c>
      <c r="L2416" s="7" t="str">
        <f aca="false">IF(TRIM(E2416)="","Unknown",IFERROR(LEFT(TRIM(E2416),FIND(",",TRIM(E2416))-1),TRIM(E2416)))</f>
        <v>India</v>
      </c>
      <c r="M2416" s="7" t="str">
        <f aca="false">IFERROR(LEFT(J2416,FIND(",",J2416)-1),J2416)</f>
        <v>Dramas</v>
      </c>
      <c r="N2416" s="7" t="n">
        <f aca="false">IF(B2416="Movie",IFERROR(VALUE(LEFT(I2416,FIND(" ",I2416)-1)),""),"")</f>
        <v>94</v>
      </c>
      <c r="O2416" s="7" t="str">
        <f aca="false">IF(B2416="TV Show",IFERROR(VALUE(LEFT(I2416,FIND(" ",I2416)-1)),""),"")</f>
        <v/>
      </c>
      <c r="P2416" s="7" t="n">
        <f aca="false">IF(K2416="","",K2416-G2416)</f>
        <v>1</v>
      </c>
    </row>
    <row r="2417" customFormat="false" ht="15" hidden="false" customHeight="false" outlineLevel="0" collapsed="false">
      <c r="A2417" s="7" t="n">
        <v>70155788</v>
      </c>
      <c r="B2417" s="7" t="s">
        <v>68</v>
      </c>
      <c r="C2417" s="7" t="s">
        <v>5218</v>
      </c>
      <c r="D2417" s="7" t="s">
        <v>5219</v>
      </c>
      <c r="E2417" s="7" t="s">
        <v>27</v>
      </c>
      <c r="F2417" s="7" t="s">
        <v>5198</v>
      </c>
      <c r="G2417" s="7" t="n">
        <v>2016</v>
      </c>
      <c r="H2417" s="7" t="s">
        <v>53</v>
      </c>
      <c r="I2417" s="7" t="s">
        <v>1270</v>
      </c>
      <c r="J2417" s="7" t="s">
        <v>304</v>
      </c>
      <c r="K2417" s="7" t="n">
        <f aca="false">IFERROR(VALUE(RIGHT(TRIM(F2417),4)),"")</f>
        <v>2017</v>
      </c>
      <c r="L2417" s="7" t="str">
        <f aca="false">IF(TRIM(E2417)="","Unknown",IFERROR(LEFT(TRIM(E2417),FIND(",",TRIM(E2417))-1),TRIM(E2417)))</f>
        <v>India</v>
      </c>
      <c r="M2417" s="7" t="str">
        <f aca="false">IFERROR(LEFT(J2417,FIND(",",J2417)-1),J2417)</f>
        <v>Dramas</v>
      </c>
      <c r="N2417" s="7" t="n">
        <f aca="false">IF(B2417="Movie",IFERROR(VALUE(LEFT(I2417,FIND(" ",I2417)-1)),""),"")</f>
        <v>118</v>
      </c>
      <c r="O2417" s="7" t="str">
        <f aca="false">IF(B2417="TV Show",IFERROR(VALUE(LEFT(I2417,FIND(" ",I2417)-1)),""),"")</f>
        <v/>
      </c>
      <c r="P2417" s="7" t="n">
        <f aca="false">IF(K2417="","",K2417-G2417)</f>
        <v>1</v>
      </c>
    </row>
    <row r="2418" customFormat="false" ht="15" hidden="false" customHeight="false" outlineLevel="0" collapsed="false">
      <c r="A2418" s="7" t="n">
        <v>80119382</v>
      </c>
      <c r="B2418" s="7" t="s">
        <v>78</v>
      </c>
      <c r="C2418" s="7" t="s">
        <v>5220</v>
      </c>
      <c r="E2418" s="7" t="s">
        <v>5221</v>
      </c>
      <c r="F2418" s="7" t="s">
        <v>5198</v>
      </c>
      <c r="G2418" s="7" t="n">
        <v>2015</v>
      </c>
      <c r="H2418" s="7" t="s">
        <v>49</v>
      </c>
      <c r="I2418" s="7" t="s">
        <v>82</v>
      </c>
      <c r="J2418" s="7" t="s">
        <v>1357</v>
      </c>
      <c r="K2418" s="7" t="n">
        <f aca="false">IFERROR(VALUE(RIGHT(TRIM(F2418),4)),"")</f>
        <v>2017</v>
      </c>
      <c r="L2418" s="7" t="str">
        <f aca="false">IF(TRIM(E2418)="","Unknown",IFERROR(LEFT(TRIM(E2418),FIND(",",TRIM(E2418))-1),TRIM(E2418)))</f>
        <v>Ukraine</v>
      </c>
      <c r="M2418" s="7" t="str">
        <f aca="false">IFERROR(LEFT(J2418,FIND(",",J2418)-1),J2418)</f>
        <v>International TV Shows</v>
      </c>
      <c r="N2418" s="7" t="str">
        <f aca="false">IF(B2418="Movie",IFERROR(VALUE(LEFT(I2418,FIND(" ",I2418)-1)),""),"")</f>
        <v/>
      </c>
      <c r="O2418" s="7" t="n">
        <f aca="false">IF(B2418="TV Show",IFERROR(VALUE(LEFT(I2418,FIND(" ",I2418)-1)),""),"")</f>
        <v>1</v>
      </c>
      <c r="P2418" s="7" t="n">
        <f aca="false">IF(K2418="","",K2418-G2418)</f>
        <v>2</v>
      </c>
    </row>
    <row r="2419" customFormat="false" ht="15" hidden="false" customHeight="false" outlineLevel="0" collapsed="false">
      <c r="A2419" s="7" t="n">
        <v>80172470</v>
      </c>
      <c r="B2419" s="7" t="s">
        <v>78</v>
      </c>
      <c r="C2419" s="7" t="s">
        <v>5222</v>
      </c>
      <c r="E2419" s="7" t="s">
        <v>28</v>
      </c>
      <c r="F2419" s="7" t="s">
        <v>5198</v>
      </c>
      <c r="G2419" s="7" t="n">
        <v>2016</v>
      </c>
      <c r="H2419" s="7" t="s">
        <v>50</v>
      </c>
      <c r="I2419" s="7" t="s">
        <v>82</v>
      </c>
      <c r="J2419" s="7" t="s">
        <v>1969</v>
      </c>
      <c r="K2419" s="7" t="n">
        <f aca="false">IFERROR(VALUE(RIGHT(TRIM(F2419),4)),"")</f>
        <v>2017</v>
      </c>
      <c r="L2419" s="7" t="str">
        <f aca="false">IF(TRIM(E2419)="","Unknown",IFERROR(LEFT(TRIM(E2419),FIND(",",TRIM(E2419))-1),TRIM(E2419)))</f>
        <v>United Kingdom</v>
      </c>
      <c r="M2419" s="7" t="str">
        <f aca="false">IFERROR(LEFT(J2419,FIND(",",J2419)-1),J2419)</f>
        <v>British TV Shows</v>
      </c>
      <c r="N2419" s="7" t="str">
        <f aca="false">IF(B2419="Movie",IFERROR(VALUE(LEFT(I2419,FIND(" ",I2419)-1)),""),"")</f>
        <v/>
      </c>
      <c r="O2419" s="7" t="n">
        <f aca="false">IF(B2419="TV Show",IFERROR(VALUE(LEFT(I2419,FIND(" ",I2419)-1)),""),"")</f>
        <v>1</v>
      </c>
      <c r="P2419" s="7" t="n">
        <f aca="false">IF(K2419="","",K2419-G2419)</f>
        <v>1</v>
      </c>
    </row>
    <row r="2420" customFormat="false" ht="15" hidden="false" customHeight="false" outlineLevel="0" collapsed="false">
      <c r="A2420" s="7" t="n">
        <v>80134814</v>
      </c>
      <c r="B2420" s="7" t="s">
        <v>68</v>
      </c>
      <c r="C2420" s="7" t="s">
        <v>5223</v>
      </c>
      <c r="D2420" s="7" t="s">
        <v>5224</v>
      </c>
      <c r="E2420" s="7" t="s">
        <v>26</v>
      </c>
      <c r="F2420" s="7" t="s">
        <v>5198</v>
      </c>
      <c r="G2420" s="7" t="n">
        <v>2016</v>
      </c>
      <c r="H2420" s="7" t="s">
        <v>226</v>
      </c>
      <c r="I2420" s="7" t="s">
        <v>311</v>
      </c>
      <c r="J2420" s="7" t="s">
        <v>39</v>
      </c>
      <c r="K2420" s="7" t="n">
        <f aca="false">IFERROR(VALUE(RIGHT(TRIM(F2420),4)),"")</f>
        <v>2017</v>
      </c>
      <c r="L2420" s="7" t="str">
        <f aca="false">IF(TRIM(E2420)="","Unknown",IFERROR(LEFT(TRIM(E2420),FIND(",",TRIM(E2420))-1),TRIM(E2420)))</f>
        <v>United States</v>
      </c>
      <c r="M2420" s="7" t="str">
        <f aca="false">IFERROR(LEFT(J2420,FIND(",",J2420)-1),J2420)</f>
        <v>Documentaries</v>
      </c>
      <c r="N2420" s="7" t="n">
        <f aca="false">IF(B2420="Movie",IFERROR(VALUE(LEFT(I2420,FIND(" ",I2420)-1)),""),"")</f>
        <v>92</v>
      </c>
      <c r="O2420" s="7" t="str">
        <f aca="false">IF(B2420="TV Show",IFERROR(VALUE(LEFT(I2420,FIND(" ",I2420)-1)),""),"")</f>
        <v/>
      </c>
      <c r="P2420" s="7" t="n">
        <f aca="false">IF(K2420="","",K2420-G2420)</f>
        <v>1</v>
      </c>
    </row>
    <row r="2421" customFormat="false" ht="15" hidden="false" customHeight="false" outlineLevel="0" collapsed="false">
      <c r="A2421" s="7" t="n">
        <v>80103424</v>
      </c>
      <c r="B2421" s="7" t="s">
        <v>68</v>
      </c>
      <c r="C2421" s="7" t="s">
        <v>2237</v>
      </c>
      <c r="D2421" s="7" t="s">
        <v>5225</v>
      </c>
      <c r="E2421" s="7" t="s">
        <v>3923</v>
      </c>
      <c r="F2421" s="7" t="s">
        <v>5198</v>
      </c>
      <c r="G2421" s="7" t="n">
        <v>2016</v>
      </c>
      <c r="H2421" s="7" t="s">
        <v>48</v>
      </c>
      <c r="I2421" s="7" t="s">
        <v>134</v>
      </c>
      <c r="J2421" s="7" t="s">
        <v>1003</v>
      </c>
      <c r="K2421" s="7" t="n">
        <f aca="false">IFERROR(VALUE(RIGHT(TRIM(F2421),4)),"")</f>
        <v>2017</v>
      </c>
      <c r="L2421" s="7" t="str">
        <f aca="false">IF(TRIM(E2421)="","Unknown",IFERROR(LEFT(TRIM(E2421),FIND(",",TRIM(E2421))-1),TRIM(E2421)))</f>
        <v>Argentina</v>
      </c>
      <c r="M2421" s="7" t="str">
        <f aca="false">IFERROR(LEFT(J2421,FIND(",",J2421)-1),J2421)</f>
        <v>Dramas</v>
      </c>
      <c r="N2421" s="7" t="n">
        <f aca="false">IF(B2421="Movie",IFERROR(VALUE(LEFT(I2421,FIND(" ",I2421)-1)),""),"")</f>
        <v>98</v>
      </c>
      <c r="O2421" s="7" t="str">
        <f aca="false">IF(B2421="TV Show",IFERROR(VALUE(LEFT(I2421,FIND(" ",I2421)-1)),""),"")</f>
        <v/>
      </c>
      <c r="P2421" s="7" t="n">
        <f aca="false">IF(K2421="","",K2421-G2421)</f>
        <v>1</v>
      </c>
    </row>
    <row r="2422" customFormat="false" ht="15" hidden="false" customHeight="false" outlineLevel="0" collapsed="false">
      <c r="A2422" s="7" t="n">
        <v>80158817</v>
      </c>
      <c r="B2422" s="7" t="s">
        <v>78</v>
      </c>
      <c r="C2422" s="7" t="s">
        <v>5226</v>
      </c>
      <c r="E2422" s="7" t="s">
        <v>32</v>
      </c>
      <c r="F2422" s="7" t="s">
        <v>5198</v>
      </c>
      <c r="G2422" s="7" t="n">
        <v>2016</v>
      </c>
      <c r="H2422" s="7" t="s">
        <v>49</v>
      </c>
      <c r="I2422" s="7" t="s">
        <v>82</v>
      </c>
      <c r="J2422" s="7" t="s">
        <v>537</v>
      </c>
      <c r="K2422" s="7" t="n">
        <f aca="false">IFERROR(VALUE(RIGHT(TRIM(F2422),4)),"")</f>
        <v>2017</v>
      </c>
      <c r="L2422" s="7" t="str">
        <f aca="false">IF(TRIM(E2422)="","Unknown",IFERROR(LEFT(TRIM(E2422),FIND(",",TRIM(E2422))-1),TRIM(E2422)))</f>
        <v>South Korea</v>
      </c>
      <c r="M2422" s="7" t="str">
        <f aca="false">IFERROR(LEFT(J2422,FIND(",",J2422)-1),J2422)</f>
        <v>International TV Shows</v>
      </c>
      <c r="N2422" s="7" t="str">
        <f aca="false">IF(B2422="Movie",IFERROR(VALUE(LEFT(I2422,FIND(" ",I2422)-1)),""),"")</f>
        <v/>
      </c>
      <c r="O2422" s="7" t="n">
        <f aca="false">IF(B2422="TV Show",IFERROR(VALUE(LEFT(I2422,FIND(" ",I2422)-1)),""),"")</f>
        <v>1</v>
      </c>
      <c r="P2422" s="7" t="n">
        <f aca="false">IF(K2422="","",K2422-G2422)</f>
        <v>1</v>
      </c>
    </row>
    <row r="2423" customFormat="false" ht="15" hidden="false" customHeight="false" outlineLevel="0" collapsed="false">
      <c r="A2423" s="7" t="n">
        <v>70285730</v>
      </c>
      <c r="B2423" s="7" t="s">
        <v>68</v>
      </c>
      <c r="C2423" s="7" t="s">
        <v>5227</v>
      </c>
      <c r="D2423" s="7" t="s">
        <v>2130</v>
      </c>
      <c r="E2423" s="7" t="s">
        <v>27</v>
      </c>
      <c r="F2423" s="7" t="s">
        <v>5198</v>
      </c>
      <c r="G2423" s="7" t="n">
        <v>2013</v>
      </c>
      <c r="H2423" s="7" t="s">
        <v>53</v>
      </c>
      <c r="I2423" s="7" t="s">
        <v>194</v>
      </c>
      <c r="J2423" s="7" t="s">
        <v>182</v>
      </c>
      <c r="K2423" s="7" t="n">
        <f aca="false">IFERROR(VALUE(RIGHT(TRIM(F2423),4)),"")</f>
        <v>2017</v>
      </c>
      <c r="L2423" s="7" t="str">
        <f aca="false">IF(TRIM(E2423)="","Unknown",IFERROR(LEFT(TRIM(E2423),FIND(",",TRIM(E2423))-1),TRIM(E2423)))</f>
        <v>India</v>
      </c>
      <c r="M2423" s="7" t="str">
        <f aca="false">IFERROR(LEFT(J2423,FIND(",",J2423)-1),J2423)</f>
        <v>Dramas</v>
      </c>
      <c r="N2423" s="7" t="n">
        <f aca="false">IF(B2423="Movie",IFERROR(VALUE(LEFT(I2423,FIND(" ",I2423)-1)),""),"")</f>
        <v>125</v>
      </c>
      <c r="O2423" s="7" t="str">
        <f aca="false">IF(B2423="TV Show",IFERROR(VALUE(LEFT(I2423,FIND(" ",I2423)-1)),""),"")</f>
        <v/>
      </c>
      <c r="P2423" s="7" t="n">
        <f aca="false">IF(K2423="","",K2423-G2423)</f>
        <v>4</v>
      </c>
    </row>
    <row r="2424" customFormat="false" ht="15" hidden="false" customHeight="false" outlineLevel="0" collapsed="false">
      <c r="A2424" s="7" t="n">
        <v>80172469</v>
      </c>
      <c r="B2424" s="7" t="s">
        <v>68</v>
      </c>
      <c r="C2424" s="7" t="s">
        <v>5228</v>
      </c>
      <c r="D2424" s="7" t="s">
        <v>5229</v>
      </c>
      <c r="E2424" s="7" t="s">
        <v>26</v>
      </c>
      <c r="F2424" s="7" t="s">
        <v>5198</v>
      </c>
      <c r="G2424" s="7" t="n">
        <v>2016</v>
      </c>
      <c r="H2424" s="7" t="s">
        <v>50</v>
      </c>
      <c r="I2424" s="7" t="s">
        <v>146</v>
      </c>
      <c r="J2424" s="7" t="s">
        <v>39</v>
      </c>
      <c r="K2424" s="7" t="n">
        <f aca="false">IFERROR(VALUE(RIGHT(TRIM(F2424),4)),"")</f>
        <v>2017</v>
      </c>
      <c r="L2424" s="7" t="str">
        <f aca="false">IF(TRIM(E2424)="","Unknown",IFERROR(LEFT(TRIM(E2424),FIND(",",TRIM(E2424))-1),TRIM(E2424)))</f>
        <v>United States</v>
      </c>
      <c r="M2424" s="7" t="str">
        <f aca="false">IFERROR(LEFT(J2424,FIND(",",J2424)-1),J2424)</f>
        <v>Documentaries</v>
      </c>
      <c r="N2424" s="7" t="n">
        <f aca="false">IF(B2424="Movie",IFERROR(VALUE(LEFT(I2424,FIND(" ",I2424)-1)),""),"")</f>
        <v>113</v>
      </c>
      <c r="O2424" s="7" t="str">
        <f aca="false">IF(B2424="TV Show",IFERROR(VALUE(LEFT(I2424,FIND(" ",I2424)-1)),""),"")</f>
        <v/>
      </c>
      <c r="P2424" s="7" t="n">
        <f aca="false">IF(K2424="","",K2424-G2424)</f>
        <v>1</v>
      </c>
    </row>
    <row r="2425" customFormat="false" ht="15" hidden="false" customHeight="false" outlineLevel="0" collapsed="false">
      <c r="A2425" s="7" t="n">
        <v>80097530</v>
      </c>
      <c r="B2425" s="7" t="s">
        <v>68</v>
      </c>
      <c r="C2425" s="7" t="s">
        <v>5230</v>
      </c>
      <c r="D2425" s="7" t="s">
        <v>5231</v>
      </c>
      <c r="E2425" s="7" t="s">
        <v>26</v>
      </c>
      <c r="F2425" s="7" t="s">
        <v>5232</v>
      </c>
      <c r="G2425" s="7" t="n">
        <v>2016</v>
      </c>
      <c r="H2425" s="7" t="s">
        <v>51</v>
      </c>
      <c r="I2425" s="7" t="s">
        <v>73</v>
      </c>
      <c r="J2425" s="7" t="s">
        <v>38</v>
      </c>
      <c r="K2425" s="7" t="n">
        <f aca="false">IFERROR(VALUE(RIGHT(TRIM(F2425),4)),"")</f>
        <v>2016</v>
      </c>
      <c r="L2425" s="7" t="str">
        <f aca="false">IF(TRIM(E2425)="","Unknown",IFERROR(LEFT(TRIM(E2425),FIND(",",TRIM(E2425))-1),TRIM(E2425)))</f>
        <v>United States</v>
      </c>
      <c r="M2425" s="7" t="str">
        <f aca="false">IFERROR(LEFT(J2425,FIND(",",J2425)-1),J2425)</f>
        <v>Comedies</v>
      </c>
      <c r="N2425" s="7" t="n">
        <f aca="false">IF(B2425="Movie",IFERROR(VALUE(LEFT(I2425,FIND(" ",I2425)-1)),""),"")</f>
        <v>90</v>
      </c>
      <c r="O2425" s="7" t="str">
        <f aca="false">IF(B2425="TV Show",IFERROR(VALUE(LEFT(I2425,FIND(" ",I2425)-1)),""),"")</f>
        <v/>
      </c>
      <c r="P2425" s="7" t="n">
        <f aca="false">IF(K2425="","",K2425-G2425)</f>
        <v>0</v>
      </c>
    </row>
    <row r="2426" customFormat="false" ht="15" hidden="false" customHeight="false" outlineLevel="0" collapsed="false">
      <c r="A2426" s="7" t="n">
        <v>80092404</v>
      </c>
      <c r="B2426" s="7" t="s">
        <v>68</v>
      </c>
      <c r="C2426" s="7" t="s">
        <v>5233</v>
      </c>
      <c r="D2426" s="7" t="s">
        <v>5234</v>
      </c>
      <c r="E2426" s="7" t="s">
        <v>26</v>
      </c>
      <c r="F2426" s="7" t="s">
        <v>5232</v>
      </c>
      <c r="G2426" s="7" t="n">
        <v>2016</v>
      </c>
      <c r="H2426" s="7" t="s">
        <v>53</v>
      </c>
      <c r="I2426" s="7" t="s">
        <v>272</v>
      </c>
      <c r="J2426" s="7" t="s">
        <v>38</v>
      </c>
      <c r="K2426" s="7" t="n">
        <f aca="false">IFERROR(VALUE(RIGHT(TRIM(F2426),4)),"")</f>
        <v>2016</v>
      </c>
      <c r="L2426" s="7" t="str">
        <f aca="false">IF(TRIM(E2426)="","Unknown",IFERROR(LEFT(TRIM(E2426),FIND(",",TRIM(E2426))-1),TRIM(E2426)))</f>
        <v>United States</v>
      </c>
      <c r="M2426" s="7" t="str">
        <f aca="false">IFERROR(LEFT(J2426,FIND(",",J2426)-1),J2426)</f>
        <v>Comedies</v>
      </c>
      <c r="N2426" s="7" t="n">
        <f aca="false">IF(B2426="Movie",IFERROR(VALUE(LEFT(I2426,FIND(" ",I2426)-1)),""),"")</f>
        <v>93</v>
      </c>
      <c r="O2426" s="7" t="str">
        <f aca="false">IF(B2426="TV Show",IFERROR(VALUE(LEFT(I2426,FIND(" ",I2426)-1)),""),"")</f>
        <v/>
      </c>
      <c r="P2426" s="7" t="n">
        <f aca="false">IF(K2426="","",K2426-G2426)</f>
        <v>0</v>
      </c>
    </row>
    <row r="2427" customFormat="false" ht="15" hidden="false" customHeight="false" outlineLevel="0" collapsed="false">
      <c r="A2427" s="7" t="n">
        <v>80092850</v>
      </c>
      <c r="B2427" s="7" t="s">
        <v>68</v>
      </c>
      <c r="C2427" s="7" t="s">
        <v>5235</v>
      </c>
      <c r="D2427" s="7" t="s">
        <v>5236</v>
      </c>
      <c r="E2427" s="7" t="s">
        <v>33</v>
      </c>
      <c r="F2427" s="7" t="s">
        <v>5232</v>
      </c>
      <c r="G2427" s="7" t="n">
        <v>2015</v>
      </c>
      <c r="H2427" s="7" t="s">
        <v>53</v>
      </c>
      <c r="I2427" s="7" t="s">
        <v>470</v>
      </c>
      <c r="J2427" s="7" t="s">
        <v>206</v>
      </c>
      <c r="K2427" s="7" t="n">
        <f aca="false">IFERROR(VALUE(RIGHT(TRIM(F2427),4)),"")</f>
        <v>2016</v>
      </c>
      <c r="L2427" s="7" t="str">
        <f aca="false">IF(TRIM(E2427)="","Unknown",IFERROR(LEFT(TRIM(E2427),FIND(",",TRIM(E2427))-1),TRIM(E2427)))</f>
        <v>Spain</v>
      </c>
      <c r="M2427" s="7" t="str">
        <f aca="false">IFERROR(LEFT(J2427,FIND(",",J2427)-1),J2427)</f>
        <v>Comedies</v>
      </c>
      <c r="N2427" s="7" t="n">
        <f aca="false">IF(B2427="Movie",IFERROR(VALUE(LEFT(I2427,FIND(" ",I2427)-1)),""),"")</f>
        <v>91</v>
      </c>
      <c r="O2427" s="7" t="str">
        <f aca="false">IF(B2427="TV Show",IFERROR(VALUE(LEFT(I2427,FIND(" ",I2427)-1)),""),"")</f>
        <v/>
      </c>
      <c r="P2427" s="7" t="n">
        <f aca="false">IF(K2427="","",K2427-G2427)</f>
        <v>1</v>
      </c>
    </row>
    <row r="2428" customFormat="false" ht="15" hidden="false" customHeight="false" outlineLevel="0" collapsed="false">
      <c r="A2428" s="7" t="n">
        <v>80093127</v>
      </c>
      <c r="B2428" s="7" t="s">
        <v>68</v>
      </c>
      <c r="C2428" s="7" t="s">
        <v>5237</v>
      </c>
      <c r="D2428" s="7" t="s">
        <v>1264</v>
      </c>
      <c r="E2428" s="7" t="s">
        <v>33</v>
      </c>
      <c r="F2428" s="7" t="s">
        <v>5232</v>
      </c>
      <c r="G2428" s="7" t="n">
        <v>2015</v>
      </c>
      <c r="H2428" s="7" t="s">
        <v>53</v>
      </c>
      <c r="I2428" s="7" t="s">
        <v>205</v>
      </c>
      <c r="J2428" s="7" t="s">
        <v>358</v>
      </c>
      <c r="K2428" s="7" t="n">
        <f aca="false">IFERROR(VALUE(RIGHT(TRIM(F2428),4)),"")</f>
        <v>2016</v>
      </c>
      <c r="L2428" s="7" t="str">
        <f aca="false">IF(TRIM(E2428)="","Unknown",IFERROR(LEFT(TRIM(E2428),FIND(",",TRIM(E2428))-1),TRIM(E2428)))</f>
        <v>Spain</v>
      </c>
      <c r="M2428" s="7" t="str">
        <f aca="false">IFERROR(LEFT(J2428,FIND(",",J2428)-1),J2428)</f>
        <v>International Movies</v>
      </c>
      <c r="N2428" s="7" t="n">
        <f aca="false">IF(B2428="Movie",IFERROR(VALUE(LEFT(I2428,FIND(" ",I2428)-1)),""),"")</f>
        <v>100</v>
      </c>
      <c r="O2428" s="7" t="str">
        <f aca="false">IF(B2428="TV Show",IFERROR(VALUE(LEFT(I2428,FIND(" ",I2428)-1)),""),"")</f>
        <v/>
      </c>
      <c r="P2428" s="7" t="n">
        <f aca="false">IF(K2428="","",K2428-G2428)</f>
        <v>1</v>
      </c>
    </row>
    <row r="2429" customFormat="false" ht="15" hidden="false" customHeight="false" outlineLevel="0" collapsed="false">
      <c r="A2429" s="7" t="n">
        <v>80041089</v>
      </c>
      <c r="B2429" s="7" t="s">
        <v>78</v>
      </c>
      <c r="C2429" s="7" t="s">
        <v>5238</v>
      </c>
      <c r="E2429" s="7" t="s">
        <v>30</v>
      </c>
      <c r="F2429" s="7" t="s">
        <v>5232</v>
      </c>
      <c r="G2429" s="7" t="n">
        <v>2014</v>
      </c>
      <c r="H2429" s="7" t="s">
        <v>50</v>
      </c>
      <c r="I2429" s="7" t="s">
        <v>82</v>
      </c>
      <c r="J2429" s="7" t="s">
        <v>1253</v>
      </c>
      <c r="K2429" s="7" t="n">
        <f aca="false">IFERROR(VALUE(RIGHT(TRIM(F2429),4)),"")</f>
        <v>2016</v>
      </c>
      <c r="L2429" s="7" t="str">
        <f aca="false">IF(TRIM(E2429)="","Unknown",IFERROR(LEFT(TRIM(E2429),FIND(",",TRIM(E2429))-1),TRIM(E2429)))</f>
        <v>Japan</v>
      </c>
      <c r="M2429" s="7" t="str">
        <f aca="false">IFERROR(LEFT(J2429,FIND(",",J2429)-1),J2429)</f>
        <v>Anime Series</v>
      </c>
      <c r="N2429" s="7" t="str">
        <f aca="false">IF(B2429="Movie",IFERROR(VALUE(LEFT(I2429,FIND(" ",I2429)-1)),""),"")</f>
        <v/>
      </c>
      <c r="O2429" s="7" t="n">
        <f aca="false">IF(B2429="TV Show",IFERROR(VALUE(LEFT(I2429,FIND(" ",I2429)-1)),""),"")</f>
        <v>1</v>
      </c>
      <c r="P2429" s="7" t="n">
        <f aca="false">IF(K2429="","",K2429-G2429)</f>
        <v>2</v>
      </c>
    </row>
    <row r="2430" customFormat="false" ht="15" hidden="false" customHeight="false" outlineLevel="0" collapsed="false">
      <c r="A2430" s="7" t="n">
        <v>80178564</v>
      </c>
      <c r="B2430" s="7" t="s">
        <v>78</v>
      </c>
      <c r="C2430" s="7" t="s">
        <v>5239</v>
      </c>
      <c r="E2430" s="7" t="s">
        <v>32</v>
      </c>
      <c r="F2430" s="7" t="s">
        <v>5240</v>
      </c>
      <c r="G2430" s="7" t="n">
        <v>2017</v>
      </c>
      <c r="H2430" s="7" t="s">
        <v>48</v>
      </c>
      <c r="I2430" s="7" t="s">
        <v>82</v>
      </c>
      <c r="J2430" s="7" t="s">
        <v>637</v>
      </c>
      <c r="K2430" s="7" t="n">
        <f aca="false">IFERROR(VALUE(RIGHT(TRIM(F2430),4)),"")</f>
        <v>2017</v>
      </c>
      <c r="L2430" s="7" t="str">
        <f aca="false">IF(TRIM(E2430)="","Unknown",IFERROR(LEFT(TRIM(E2430),FIND(",",TRIM(E2430))-1),TRIM(E2430)))</f>
        <v>South Korea</v>
      </c>
      <c r="M2430" s="7" t="str">
        <f aca="false">IFERROR(LEFT(J2430,FIND(",",J2430)-1),J2430)</f>
        <v>International TV Shows</v>
      </c>
      <c r="N2430" s="7" t="str">
        <f aca="false">IF(B2430="Movie",IFERROR(VALUE(LEFT(I2430,FIND(" ",I2430)-1)),""),"")</f>
        <v/>
      </c>
      <c r="O2430" s="7" t="n">
        <f aca="false">IF(B2430="TV Show",IFERROR(VALUE(LEFT(I2430,FIND(" ",I2430)-1)),""),"")</f>
        <v>1</v>
      </c>
      <c r="P2430" s="7" t="n">
        <f aca="false">IF(K2430="","",K2430-G2430)</f>
        <v>0</v>
      </c>
    </row>
    <row r="2431" customFormat="false" ht="15" hidden="false" customHeight="false" outlineLevel="0" collapsed="false">
      <c r="A2431" s="7" t="n">
        <v>80103734</v>
      </c>
      <c r="B2431" s="7" t="s">
        <v>68</v>
      </c>
      <c r="C2431" s="7" t="s">
        <v>5241</v>
      </c>
      <c r="D2431" s="7" t="s">
        <v>5242</v>
      </c>
      <c r="E2431" s="7" t="s">
        <v>619</v>
      </c>
      <c r="F2431" s="7" t="s">
        <v>5240</v>
      </c>
      <c r="G2431" s="7" t="n">
        <v>2017</v>
      </c>
      <c r="H2431" s="7" t="s">
        <v>48</v>
      </c>
      <c r="I2431" s="7" t="s">
        <v>494</v>
      </c>
      <c r="J2431" s="7" t="s">
        <v>520</v>
      </c>
      <c r="K2431" s="7" t="n">
        <f aca="false">IFERROR(VALUE(RIGHT(TRIM(F2431),4)),"")</f>
        <v>2017</v>
      </c>
      <c r="L2431" s="7" t="str">
        <f aca="false">IF(TRIM(E2431)="","Unknown",IFERROR(LEFT(TRIM(E2431),FIND(",",TRIM(E2431))-1),TRIM(E2431)))</f>
        <v>Canada</v>
      </c>
      <c r="M2431" s="7" t="str">
        <f aca="false">IFERROR(LEFT(J2431,FIND(",",J2431)-1),J2431)</f>
        <v>Dramas</v>
      </c>
      <c r="N2431" s="7" t="n">
        <f aca="false">IF(B2431="Movie",IFERROR(VALUE(LEFT(I2431,FIND(" ",I2431)-1)),""),"")</f>
        <v>87</v>
      </c>
      <c r="O2431" s="7" t="str">
        <f aca="false">IF(B2431="TV Show",IFERROR(VALUE(LEFT(I2431,FIND(" ",I2431)-1)),""),"")</f>
        <v/>
      </c>
      <c r="P2431" s="7" t="n">
        <f aca="false">IF(K2431="","",K2431-G2431)</f>
        <v>0</v>
      </c>
    </row>
    <row r="2432" customFormat="false" ht="15" hidden="false" customHeight="false" outlineLevel="0" collapsed="false">
      <c r="A2432" s="7" t="n">
        <v>81061410</v>
      </c>
      <c r="B2432" s="7" t="s">
        <v>68</v>
      </c>
      <c r="C2432" s="7" t="s">
        <v>5243</v>
      </c>
      <c r="D2432" s="7" t="s">
        <v>5244</v>
      </c>
      <c r="E2432" s="7" t="s">
        <v>26</v>
      </c>
      <c r="F2432" s="7" t="s">
        <v>5245</v>
      </c>
      <c r="G2432" s="7" t="n">
        <v>2019</v>
      </c>
      <c r="H2432" s="7" t="s">
        <v>48</v>
      </c>
      <c r="I2432" s="7" t="s">
        <v>73</v>
      </c>
      <c r="J2432" s="7" t="s">
        <v>977</v>
      </c>
      <c r="K2432" s="7" t="n">
        <f aca="false">IFERROR(VALUE(RIGHT(TRIM(F2432),4)),"")</f>
        <v>2019</v>
      </c>
      <c r="L2432" s="7" t="str">
        <f aca="false">IF(TRIM(E2432)="","Unknown",IFERROR(LEFT(TRIM(E2432),FIND(",",TRIM(E2432))-1),TRIM(E2432)))</f>
        <v>United States</v>
      </c>
      <c r="M2432" s="7" t="str">
        <f aca="false">IFERROR(LEFT(J2432,FIND(",",J2432)-1),J2432)</f>
        <v>Independent Movies</v>
      </c>
      <c r="N2432" s="7" t="n">
        <f aca="false">IF(B2432="Movie",IFERROR(VALUE(LEFT(I2432,FIND(" ",I2432)-1)),""),"")</f>
        <v>90</v>
      </c>
      <c r="O2432" s="7" t="str">
        <f aca="false">IF(B2432="TV Show",IFERROR(VALUE(LEFT(I2432,FIND(" ",I2432)-1)),""),"")</f>
        <v/>
      </c>
      <c r="P2432" s="7" t="n">
        <f aca="false">IF(K2432="","",K2432-G2432)</f>
        <v>0</v>
      </c>
    </row>
    <row r="2433" customFormat="false" ht="15" hidden="false" customHeight="false" outlineLevel="0" collapsed="false">
      <c r="A2433" s="7" t="n">
        <v>80202465</v>
      </c>
      <c r="B2433" s="7" t="s">
        <v>68</v>
      </c>
      <c r="C2433" s="7" t="s">
        <v>5246</v>
      </c>
      <c r="E2433" s="7" t="s">
        <v>1081</v>
      </c>
      <c r="F2433" s="7" t="s">
        <v>5245</v>
      </c>
      <c r="G2433" s="7" t="n">
        <v>2019</v>
      </c>
      <c r="H2433" s="7" t="s">
        <v>51</v>
      </c>
      <c r="I2433" s="7" t="s">
        <v>2551</v>
      </c>
      <c r="J2433" s="7" t="s">
        <v>240</v>
      </c>
      <c r="K2433" s="7" t="n">
        <f aca="false">IFERROR(VALUE(RIGHT(TRIM(F2433),4)),"")</f>
        <v>2019</v>
      </c>
      <c r="L2433" s="7" t="str">
        <f aca="false">IF(TRIM(E2433)="","Unknown",IFERROR(LEFT(TRIM(E2433),FIND(",",TRIM(E2433))-1),TRIM(E2433)))</f>
        <v>Germany</v>
      </c>
      <c r="M2433" s="7" t="str">
        <f aca="false">IFERROR(LEFT(J2433,FIND(",",J2433)-1),J2433)</f>
        <v>Dramas</v>
      </c>
      <c r="N2433" s="7" t="n">
        <f aca="false">IF(B2433="Movie",IFERROR(VALUE(LEFT(I2433,FIND(" ",I2433)-1)),""),"")</f>
        <v>120</v>
      </c>
      <c r="O2433" s="7" t="str">
        <f aca="false">IF(B2433="TV Show",IFERROR(VALUE(LEFT(I2433,FIND(" ",I2433)-1)),""),"")</f>
        <v/>
      </c>
      <c r="P2433" s="7" t="n">
        <f aca="false">IF(K2433="","",K2433-G2433)</f>
        <v>0</v>
      </c>
    </row>
    <row r="2434" customFormat="false" ht="15" hidden="false" customHeight="false" outlineLevel="0" collapsed="false">
      <c r="A2434" s="7" t="n">
        <v>60024935</v>
      </c>
      <c r="B2434" s="7" t="s">
        <v>68</v>
      </c>
      <c r="C2434" s="7" t="s">
        <v>5247</v>
      </c>
      <c r="D2434" s="7" t="s">
        <v>5248</v>
      </c>
      <c r="E2434" s="7" t="s">
        <v>26</v>
      </c>
      <c r="F2434" s="7" t="s">
        <v>5245</v>
      </c>
      <c r="G2434" s="7" t="n">
        <v>2002</v>
      </c>
      <c r="H2434" s="7" t="s">
        <v>51</v>
      </c>
      <c r="I2434" s="7" t="s">
        <v>294</v>
      </c>
      <c r="J2434" s="7" t="s">
        <v>2243</v>
      </c>
      <c r="K2434" s="7" t="n">
        <f aca="false">IFERROR(VALUE(RIGHT(TRIM(F2434),4)),"")</f>
        <v>2019</v>
      </c>
      <c r="L2434" s="7" t="str">
        <f aca="false">IF(TRIM(E2434)="","Unknown",IFERROR(LEFT(TRIM(E2434),FIND(",",TRIM(E2434))-1),TRIM(E2434)))</f>
        <v>United States</v>
      </c>
      <c r="M2434" s="7" t="str">
        <f aca="false">IFERROR(LEFT(J2434,FIND(",",J2434)-1),J2434)</f>
        <v>Action &amp; Adventure</v>
      </c>
      <c r="N2434" s="7" t="n">
        <f aca="false">IF(B2434="Movie",IFERROR(VALUE(LEFT(I2434,FIND(" ",I2434)-1)),""),"")</f>
        <v>107</v>
      </c>
      <c r="O2434" s="7" t="str">
        <f aca="false">IF(B2434="TV Show",IFERROR(VALUE(LEFT(I2434,FIND(" ",I2434)-1)),""),"")</f>
        <v/>
      </c>
      <c r="P2434" s="7" t="n">
        <f aca="false">IF(K2434="","",K2434-G2434)</f>
        <v>17</v>
      </c>
    </row>
    <row r="2435" customFormat="false" ht="15" hidden="false" customHeight="false" outlineLevel="0" collapsed="false">
      <c r="A2435" s="7" t="n">
        <v>80168189</v>
      </c>
      <c r="B2435" s="7" t="s">
        <v>68</v>
      </c>
      <c r="C2435" s="7" t="s">
        <v>5249</v>
      </c>
      <c r="D2435" s="7" t="s">
        <v>5250</v>
      </c>
      <c r="E2435" s="7" t="s">
        <v>26</v>
      </c>
      <c r="F2435" s="7" t="s">
        <v>5251</v>
      </c>
      <c r="G2435" s="7" t="n">
        <v>2018</v>
      </c>
      <c r="H2435" s="7" t="s">
        <v>48</v>
      </c>
      <c r="I2435" s="7" t="s">
        <v>205</v>
      </c>
      <c r="J2435" s="7" t="s">
        <v>198</v>
      </c>
      <c r="K2435" s="7" t="n">
        <f aca="false">IFERROR(VALUE(RIGHT(TRIM(F2435),4)),"")</f>
        <v>2018</v>
      </c>
      <c r="L2435" s="7" t="str">
        <f aca="false">IF(TRIM(E2435)="","Unknown",IFERROR(LEFT(TRIM(E2435),FIND(",",TRIM(E2435))-1),TRIM(E2435)))</f>
        <v>United States</v>
      </c>
      <c r="M2435" s="7" t="str">
        <f aca="false">IFERROR(LEFT(J2435,FIND(",",J2435)-1),J2435)</f>
        <v>Comedies</v>
      </c>
      <c r="N2435" s="7" t="n">
        <f aca="false">IF(B2435="Movie",IFERROR(VALUE(LEFT(I2435,FIND(" ",I2435)-1)),""),"")</f>
        <v>100</v>
      </c>
      <c r="O2435" s="7" t="str">
        <f aca="false">IF(B2435="TV Show",IFERROR(VALUE(LEFT(I2435,FIND(" ",I2435)-1)),""),"")</f>
        <v/>
      </c>
      <c r="P2435" s="7" t="n">
        <f aca="false">IF(K2435="","",K2435-G2435)</f>
        <v>0</v>
      </c>
    </row>
    <row r="2436" customFormat="false" ht="15" hidden="false" customHeight="false" outlineLevel="0" collapsed="false">
      <c r="A2436" s="7" t="n">
        <v>80244709</v>
      </c>
      <c r="B2436" s="7" t="s">
        <v>68</v>
      </c>
      <c r="C2436" s="7" t="s">
        <v>5252</v>
      </c>
      <c r="D2436" s="7" t="s">
        <v>5253</v>
      </c>
      <c r="E2436" s="7" t="s">
        <v>35</v>
      </c>
      <c r="F2436" s="7" t="s">
        <v>5251</v>
      </c>
      <c r="G2436" s="7" t="n">
        <v>2018</v>
      </c>
      <c r="H2436" s="7" t="s">
        <v>48</v>
      </c>
      <c r="I2436" s="7" t="s">
        <v>93</v>
      </c>
      <c r="J2436" s="7" t="s">
        <v>1000</v>
      </c>
      <c r="K2436" s="7" t="n">
        <f aca="false">IFERROR(VALUE(RIGHT(TRIM(F2436),4)),"")</f>
        <v>2018</v>
      </c>
      <c r="L2436" s="7" t="str">
        <f aca="false">IF(TRIM(E2436)="","Unknown",IFERROR(LEFT(TRIM(E2436),FIND(",",TRIM(E2436))-1),TRIM(E2436)))</f>
        <v>Australia</v>
      </c>
      <c r="M2436" s="7" t="str">
        <f aca="false">IFERROR(LEFT(J2436,FIND(",",J2436)-1),J2436)</f>
        <v>Comedies</v>
      </c>
      <c r="N2436" s="7" t="n">
        <f aca="false">IF(B2436="Movie",IFERROR(VALUE(LEFT(I2436,FIND(" ",I2436)-1)),""),"")</f>
        <v>110</v>
      </c>
      <c r="O2436" s="7" t="str">
        <f aca="false">IF(B2436="TV Show",IFERROR(VALUE(LEFT(I2436,FIND(" ",I2436)-1)),""),"")</f>
        <v/>
      </c>
      <c r="P2436" s="7" t="n">
        <f aca="false">IF(K2436="","",K2436-G2436)</f>
        <v>0</v>
      </c>
    </row>
    <row r="2437" customFormat="false" ht="15" hidden="false" customHeight="false" outlineLevel="0" collapsed="false">
      <c r="A2437" s="7" t="n">
        <v>80194946</v>
      </c>
      <c r="B2437" s="7" t="s">
        <v>68</v>
      </c>
      <c r="C2437" s="7" t="s">
        <v>5254</v>
      </c>
      <c r="D2437" s="7" t="s">
        <v>5255</v>
      </c>
      <c r="E2437" s="7" t="s">
        <v>34</v>
      </c>
      <c r="F2437" s="7" t="s">
        <v>5251</v>
      </c>
      <c r="G2437" s="7" t="n">
        <v>2018</v>
      </c>
      <c r="H2437" s="7" t="s">
        <v>48</v>
      </c>
      <c r="I2437" s="7" t="s">
        <v>1317</v>
      </c>
      <c r="J2437" s="7" t="s">
        <v>45</v>
      </c>
      <c r="K2437" s="7" t="n">
        <f aca="false">IFERROR(VALUE(RIGHT(TRIM(F2437),4)),"")</f>
        <v>2018</v>
      </c>
      <c r="L2437" s="7" t="str">
        <f aca="false">IF(TRIM(E2437)="","Unknown",IFERROR(LEFT(TRIM(E2437),FIND(",",TRIM(E2437))-1),TRIM(E2437)))</f>
        <v>Mexico</v>
      </c>
      <c r="M2437" s="7" t="str">
        <f aca="false">IFERROR(LEFT(J2437,FIND(",",J2437)-1),J2437)</f>
        <v>Stand-Up Comedy</v>
      </c>
      <c r="N2437" s="7" t="n">
        <f aca="false">IF(B2437="Movie",IFERROR(VALUE(LEFT(I2437,FIND(" ",I2437)-1)),""),"")</f>
        <v>66</v>
      </c>
      <c r="O2437" s="7" t="str">
        <f aca="false">IF(B2437="TV Show",IFERROR(VALUE(LEFT(I2437,FIND(" ",I2437)-1)),""),"")</f>
        <v/>
      </c>
      <c r="P2437" s="7" t="n">
        <f aca="false">IF(K2437="","",K2437-G2437)</f>
        <v>0</v>
      </c>
    </row>
    <row r="2438" customFormat="false" ht="15" hidden="false" customHeight="false" outlineLevel="0" collapsed="false">
      <c r="A2438" s="7" t="n">
        <v>80147919</v>
      </c>
      <c r="B2438" s="7" t="s">
        <v>78</v>
      </c>
      <c r="C2438" s="7" t="s">
        <v>5256</v>
      </c>
      <c r="E2438" s="7" t="s">
        <v>29</v>
      </c>
      <c r="F2438" s="7" t="s">
        <v>5251</v>
      </c>
      <c r="G2438" s="7" t="n">
        <v>2018</v>
      </c>
      <c r="H2438" s="7" t="s">
        <v>81</v>
      </c>
      <c r="I2438" s="7" t="s">
        <v>82</v>
      </c>
      <c r="J2438" s="7" t="s">
        <v>1717</v>
      </c>
      <c r="K2438" s="7" t="n">
        <f aca="false">IFERROR(VALUE(RIGHT(TRIM(F2438),4)),"")</f>
        <v>2018</v>
      </c>
      <c r="L2438" s="7" t="str">
        <f aca="false">IF(TRIM(E2438)="","Unknown",IFERROR(LEFT(TRIM(E2438),FIND(",",TRIM(E2438))-1),TRIM(E2438)))</f>
        <v>Canada</v>
      </c>
      <c r="M2438" s="7" t="str">
        <f aca="false">IFERROR(LEFT(J2438,FIND(",",J2438)-1),J2438)</f>
        <v>Kids' TV</v>
      </c>
      <c r="N2438" s="7" t="str">
        <f aca="false">IF(B2438="Movie",IFERROR(VALUE(LEFT(I2438,FIND(" ",I2438)-1)),""),"")</f>
        <v/>
      </c>
      <c r="O2438" s="7" t="n">
        <f aca="false">IF(B2438="TV Show",IFERROR(VALUE(LEFT(I2438,FIND(" ",I2438)-1)),""),"")</f>
        <v>1</v>
      </c>
      <c r="P2438" s="7" t="n">
        <f aca="false">IF(K2438="","",K2438-G2438)</f>
        <v>0</v>
      </c>
    </row>
    <row r="2439" customFormat="false" ht="15" hidden="false" customHeight="false" outlineLevel="0" collapsed="false">
      <c r="A2439" s="7" t="n">
        <v>80233441</v>
      </c>
      <c r="B2439" s="7" t="s">
        <v>78</v>
      </c>
      <c r="C2439" s="7" t="s">
        <v>5257</v>
      </c>
      <c r="E2439" s="7" t="s">
        <v>31</v>
      </c>
      <c r="F2439" s="7" t="s">
        <v>5251</v>
      </c>
      <c r="G2439" s="7" t="n">
        <v>2018</v>
      </c>
      <c r="H2439" s="7" t="s">
        <v>48</v>
      </c>
      <c r="I2439" s="7" t="s">
        <v>82</v>
      </c>
      <c r="J2439" s="7" t="s">
        <v>3850</v>
      </c>
      <c r="K2439" s="7" t="n">
        <f aca="false">IFERROR(VALUE(RIGHT(TRIM(F2439),4)),"")</f>
        <v>2018</v>
      </c>
      <c r="L2439" s="7" t="str">
        <f aca="false">IF(TRIM(E2439)="","Unknown",IFERROR(LEFT(TRIM(E2439),FIND(",",TRIM(E2439))-1),TRIM(E2439)))</f>
        <v>France</v>
      </c>
      <c r="M2439" s="7" t="str">
        <f aca="false">IFERROR(LEFT(J2439,FIND(",",J2439)-1),J2439)</f>
        <v>Crime TV Shows</v>
      </c>
      <c r="N2439" s="7" t="str">
        <f aca="false">IF(B2439="Movie",IFERROR(VALUE(LEFT(I2439,FIND(" ",I2439)-1)),""),"")</f>
        <v/>
      </c>
      <c r="O2439" s="7" t="n">
        <f aca="false">IF(B2439="TV Show",IFERROR(VALUE(LEFT(I2439,FIND(" ",I2439)-1)),""),"")</f>
        <v>1</v>
      </c>
      <c r="P2439" s="7" t="n">
        <f aca="false">IF(K2439="","",K2439-G2439)</f>
        <v>0</v>
      </c>
    </row>
    <row r="2440" customFormat="false" ht="15" hidden="false" customHeight="false" outlineLevel="0" collapsed="false">
      <c r="A2440" s="7" t="n">
        <v>80159025</v>
      </c>
      <c r="B2440" s="7" t="s">
        <v>68</v>
      </c>
      <c r="C2440" s="7" t="s">
        <v>5258</v>
      </c>
      <c r="D2440" s="7" t="s">
        <v>5259</v>
      </c>
      <c r="E2440" s="7" t="s">
        <v>1113</v>
      </c>
      <c r="F2440" s="7" t="s">
        <v>5260</v>
      </c>
      <c r="G2440" s="7" t="n">
        <v>2016</v>
      </c>
      <c r="H2440" s="7" t="s">
        <v>48</v>
      </c>
      <c r="I2440" s="7" t="s">
        <v>613</v>
      </c>
      <c r="J2440" s="7" t="s">
        <v>1014</v>
      </c>
      <c r="K2440" s="7" t="n">
        <f aca="false">IFERROR(VALUE(RIGHT(TRIM(F2440),4)),"")</f>
        <v>2017</v>
      </c>
      <c r="L2440" s="7" t="str">
        <f aca="false">IF(TRIM(E2440)="","Unknown",IFERROR(LEFT(TRIM(E2440),FIND(",",TRIM(E2440))-1),TRIM(E2440)))</f>
        <v>Argentina</v>
      </c>
      <c r="M2440" s="7" t="str">
        <f aca="false">IFERROR(LEFT(J2440,FIND(",",J2440)-1),J2440)</f>
        <v>Horror Movies</v>
      </c>
      <c r="N2440" s="7" t="n">
        <f aca="false">IF(B2440="Movie",IFERROR(VALUE(LEFT(I2440,FIND(" ",I2440)-1)),""),"")</f>
        <v>84</v>
      </c>
      <c r="O2440" s="7" t="str">
        <f aca="false">IF(B2440="TV Show",IFERROR(VALUE(LEFT(I2440,FIND(" ",I2440)-1)),""),"")</f>
        <v/>
      </c>
      <c r="P2440" s="7" t="n">
        <f aca="false">IF(K2440="","",K2440-G2440)</f>
        <v>1</v>
      </c>
    </row>
    <row r="2441" customFormat="false" ht="15" hidden="false" customHeight="false" outlineLevel="0" collapsed="false">
      <c r="A2441" s="7" t="n">
        <v>81025973</v>
      </c>
      <c r="B2441" s="7" t="s">
        <v>68</v>
      </c>
      <c r="C2441" s="7" t="s">
        <v>5261</v>
      </c>
      <c r="D2441" s="7" t="s">
        <v>4076</v>
      </c>
      <c r="E2441" s="7" t="s">
        <v>5262</v>
      </c>
      <c r="F2441" s="7" t="s">
        <v>5263</v>
      </c>
      <c r="G2441" s="7" t="n">
        <v>2018</v>
      </c>
      <c r="H2441" s="7" t="s">
        <v>48</v>
      </c>
      <c r="I2441" s="7" t="s">
        <v>1221</v>
      </c>
      <c r="J2441" s="7" t="s">
        <v>188</v>
      </c>
      <c r="K2441" s="7" t="n">
        <f aca="false">IFERROR(VALUE(RIGHT(TRIM(F2441),4)),"")</f>
        <v>2019</v>
      </c>
      <c r="L2441" s="7" t="str">
        <f aca="false">IF(TRIM(E2441)="","Unknown",IFERROR(LEFT(TRIM(E2441),FIND(",",TRIM(E2441))-1),TRIM(E2441)))</f>
        <v>Uruguay</v>
      </c>
      <c r="M2441" s="7" t="str">
        <f aca="false">IFERROR(LEFT(J2441,FIND(",",J2441)-1),J2441)</f>
        <v>Dramas</v>
      </c>
      <c r="N2441" s="7" t="n">
        <f aca="false">IF(B2441="Movie",IFERROR(VALUE(LEFT(I2441,FIND(" ",I2441)-1)),""),"")</f>
        <v>74</v>
      </c>
      <c r="O2441" s="7" t="str">
        <f aca="false">IF(B2441="TV Show",IFERROR(VALUE(LEFT(I2441,FIND(" ",I2441)-1)),""),"")</f>
        <v/>
      </c>
      <c r="P2441" s="7" t="n">
        <f aca="false">IF(K2441="","",K2441-G2441)</f>
        <v>1</v>
      </c>
    </row>
    <row r="2442" customFormat="false" ht="15" hidden="false" customHeight="false" outlineLevel="0" collapsed="false">
      <c r="A2442" s="7" t="n">
        <v>80121387</v>
      </c>
      <c r="B2442" s="7" t="s">
        <v>68</v>
      </c>
      <c r="C2442" s="7" t="s">
        <v>5264</v>
      </c>
      <c r="D2442" s="7" t="s">
        <v>5265</v>
      </c>
      <c r="E2442" s="7" t="s">
        <v>33</v>
      </c>
      <c r="F2442" s="7" t="s">
        <v>5263</v>
      </c>
      <c r="G2442" s="7" t="n">
        <v>2019</v>
      </c>
      <c r="H2442" s="7" t="s">
        <v>48</v>
      </c>
      <c r="I2442" s="7" t="s">
        <v>519</v>
      </c>
      <c r="J2442" s="7" t="s">
        <v>3175</v>
      </c>
      <c r="K2442" s="7" t="n">
        <f aca="false">IFERROR(VALUE(RIGHT(TRIM(F2442),4)),"")</f>
        <v>2019</v>
      </c>
      <c r="L2442" s="7" t="str">
        <f aca="false">IF(TRIM(E2442)="","Unknown",IFERROR(LEFT(TRIM(E2442),FIND(",",TRIM(E2442))-1),TRIM(E2442)))</f>
        <v>Spain</v>
      </c>
      <c r="M2442" s="7" t="str">
        <f aca="false">IFERROR(LEFT(J2442,FIND(",",J2442)-1),J2442)</f>
        <v>Dramas</v>
      </c>
      <c r="N2442" s="7" t="n">
        <f aca="false">IF(B2442="Movie",IFERROR(VALUE(LEFT(I2442,FIND(" ",I2442)-1)),""),"")</f>
        <v>119</v>
      </c>
      <c r="O2442" s="7" t="str">
        <f aca="false">IF(B2442="TV Show",IFERROR(VALUE(LEFT(I2442,FIND(" ",I2442)-1)),""),"")</f>
        <v/>
      </c>
      <c r="P2442" s="7" t="n">
        <f aca="false">IF(K2442="","",K2442-G2442)</f>
        <v>0</v>
      </c>
    </row>
    <row r="2443" customFormat="false" ht="15" hidden="false" customHeight="false" outlineLevel="0" collapsed="false">
      <c r="A2443" s="7" t="n">
        <v>80227090</v>
      </c>
      <c r="B2443" s="7" t="s">
        <v>68</v>
      </c>
      <c r="C2443" s="7" t="s">
        <v>5266</v>
      </c>
      <c r="D2443" s="7" t="s">
        <v>5267</v>
      </c>
      <c r="E2443" s="7" t="s">
        <v>35</v>
      </c>
      <c r="F2443" s="7" t="s">
        <v>5263</v>
      </c>
      <c r="G2443" s="7" t="n">
        <v>2019</v>
      </c>
      <c r="H2443" s="7" t="s">
        <v>49</v>
      </c>
      <c r="I2443" s="7" t="s">
        <v>187</v>
      </c>
      <c r="J2443" s="7" t="s">
        <v>94</v>
      </c>
      <c r="K2443" s="7" t="n">
        <f aca="false">IFERROR(VALUE(RIGHT(TRIM(F2443),4)),"")</f>
        <v>2019</v>
      </c>
      <c r="L2443" s="7" t="str">
        <f aca="false">IF(TRIM(E2443)="","Unknown",IFERROR(LEFT(TRIM(E2443),FIND(",",TRIM(E2443))-1),TRIM(E2443)))</f>
        <v>Australia</v>
      </c>
      <c r="M2443" s="7" t="str">
        <f aca="false">IFERROR(LEFT(J2443,FIND(",",J2443)-1),J2443)</f>
        <v>International Movies</v>
      </c>
      <c r="N2443" s="7" t="n">
        <f aca="false">IF(B2443="Movie",IFERROR(VALUE(LEFT(I2443,FIND(" ",I2443)-1)),""),"")</f>
        <v>114</v>
      </c>
      <c r="O2443" s="7" t="str">
        <f aca="false">IF(B2443="TV Show",IFERROR(VALUE(LEFT(I2443,FIND(" ",I2443)-1)),""),"")</f>
        <v/>
      </c>
      <c r="P2443" s="7" t="n">
        <f aca="false">IF(K2443="","",K2443-G2443)</f>
        <v>0</v>
      </c>
    </row>
    <row r="2444" customFormat="false" ht="15" hidden="false" customHeight="false" outlineLevel="0" collapsed="false">
      <c r="A2444" s="7" t="n">
        <v>81113918</v>
      </c>
      <c r="B2444" s="7" t="s">
        <v>68</v>
      </c>
      <c r="C2444" s="7" t="s">
        <v>5268</v>
      </c>
      <c r="D2444" s="7" t="s">
        <v>5269</v>
      </c>
      <c r="E2444" s="7" t="s">
        <v>27</v>
      </c>
      <c r="F2444" s="7" t="s">
        <v>5263</v>
      </c>
      <c r="G2444" s="7" t="n">
        <v>2019</v>
      </c>
      <c r="H2444" s="7" t="s">
        <v>49</v>
      </c>
      <c r="I2444" s="7" t="s">
        <v>194</v>
      </c>
      <c r="J2444" s="7" t="s">
        <v>206</v>
      </c>
      <c r="K2444" s="7" t="n">
        <f aca="false">IFERROR(VALUE(RIGHT(TRIM(F2444),4)),"")</f>
        <v>2019</v>
      </c>
      <c r="L2444" s="7" t="str">
        <f aca="false">IF(TRIM(E2444)="","Unknown",IFERROR(LEFT(TRIM(E2444),FIND(",",TRIM(E2444))-1),TRIM(E2444)))</f>
        <v>India</v>
      </c>
      <c r="M2444" s="7" t="str">
        <f aca="false">IFERROR(LEFT(J2444,FIND(",",J2444)-1),J2444)</f>
        <v>Comedies</v>
      </c>
      <c r="N2444" s="7" t="n">
        <f aca="false">IF(B2444="Movie",IFERROR(VALUE(LEFT(I2444,FIND(" ",I2444)-1)),""),"")</f>
        <v>125</v>
      </c>
      <c r="O2444" s="7" t="str">
        <f aca="false">IF(B2444="TV Show",IFERROR(VALUE(LEFT(I2444,FIND(" ",I2444)-1)),""),"")</f>
        <v/>
      </c>
      <c r="P2444" s="7" t="n">
        <f aca="false">IF(K2444="","",K2444-G2444)</f>
        <v>0</v>
      </c>
    </row>
    <row r="2445" customFormat="false" ht="15" hidden="false" customHeight="false" outlineLevel="0" collapsed="false">
      <c r="A2445" s="7" t="n">
        <v>81029736</v>
      </c>
      <c r="B2445" s="7" t="s">
        <v>68</v>
      </c>
      <c r="C2445" s="7" t="s">
        <v>5270</v>
      </c>
      <c r="D2445" s="7" t="s">
        <v>5271</v>
      </c>
      <c r="E2445" s="7" t="s">
        <v>5272</v>
      </c>
      <c r="F2445" s="7" t="s">
        <v>5263</v>
      </c>
      <c r="G2445" s="7" t="n">
        <v>2019</v>
      </c>
      <c r="H2445" s="7" t="s">
        <v>54</v>
      </c>
      <c r="I2445" s="7" t="s">
        <v>861</v>
      </c>
      <c r="J2445" s="7" t="s">
        <v>42</v>
      </c>
      <c r="K2445" s="7" t="n">
        <f aca="false">IFERROR(VALUE(RIGHT(TRIM(F2445),4)),"")</f>
        <v>2019</v>
      </c>
      <c r="L2445" s="7" t="str">
        <f aca="false">IF(TRIM(E2445)="","Unknown",IFERROR(LEFT(TRIM(E2445),FIND(",",TRIM(E2445))-1),TRIM(E2445)))</f>
        <v>France</v>
      </c>
      <c r="M2445" s="7" t="str">
        <f aca="false">IFERROR(LEFT(J2445,FIND(",",J2445)-1),J2445)</f>
        <v>Children &amp; Family Movies</v>
      </c>
      <c r="N2445" s="7" t="n">
        <f aca="false">IF(B2445="Movie",IFERROR(VALUE(LEFT(I2445,FIND(" ",I2445)-1)),""),"")</f>
        <v>71</v>
      </c>
      <c r="O2445" s="7" t="str">
        <f aca="false">IF(B2445="TV Show",IFERROR(VALUE(LEFT(I2445,FIND(" ",I2445)-1)),""),"")</f>
        <v/>
      </c>
      <c r="P2445" s="7" t="n">
        <f aca="false">IF(K2445="","",K2445-G2445)</f>
        <v>0</v>
      </c>
    </row>
    <row r="2446" customFormat="false" ht="15" hidden="false" customHeight="false" outlineLevel="0" collapsed="false">
      <c r="A2446" s="7" t="n">
        <v>81051688</v>
      </c>
      <c r="B2446" s="7" t="s">
        <v>68</v>
      </c>
      <c r="C2446" s="7" t="s">
        <v>5273</v>
      </c>
      <c r="D2446" s="7" t="s">
        <v>5274</v>
      </c>
      <c r="E2446" s="7" t="s">
        <v>1081</v>
      </c>
      <c r="F2446" s="7" t="s">
        <v>5263</v>
      </c>
      <c r="G2446" s="7" t="n">
        <v>2019</v>
      </c>
      <c r="H2446" s="7" t="s">
        <v>50</v>
      </c>
      <c r="I2446" s="7" t="s">
        <v>93</v>
      </c>
      <c r="J2446" s="7" t="s">
        <v>1539</v>
      </c>
      <c r="K2446" s="7" t="n">
        <f aca="false">IFERROR(VALUE(RIGHT(TRIM(F2446),4)),"")</f>
        <v>2019</v>
      </c>
      <c r="L2446" s="7" t="str">
        <f aca="false">IF(TRIM(E2446)="","Unknown",IFERROR(LEFT(TRIM(E2446),FIND(",",TRIM(E2446))-1),TRIM(E2446)))</f>
        <v>Germany</v>
      </c>
      <c r="M2446" s="7" t="str">
        <f aca="false">IFERROR(LEFT(J2446,FIND(",",J2446)-1),J2446)</f>
        <v>Children &amp; Family Movies</v>
      </c>
      <c r="N2446" s="7" t="n">
        <f aca="false">IF(B2446="Movie",IFERROR(VALUE(LEFT(I2446,FIND(" ",I2446)-1)),""),"")</f>
        <v>110</v>
      </c>
      <c r="O2446" s="7" t="str">
        <f aca="false">IF(B2446="TV Show",IFERROR(VALUE(LEFT(I2446,FIND(" ",I2446)-1)),""),"")</f>
        <v/>
      </c>
      <c r="P2446" s="7" t="n">
        <f aca="false">IF(K2446="","",K2446-G2446)</f>
        <v>0</v>
      </c>
    </row>
    <row r="2447" customFormat="false" ht="15" hidden="false" customHeight="false" outlineLevel="0" collapsed="false">
      <c r="A2447" s="7" t="n">
        <v>81113921</v>
      </c>
      <c r="B2447" s="7" t="s">
        <v>68</v>
      </c>
      <c r="C2447" s="7" t="s">
        <v>5275</v>
      </c>
      <c r="D2447" s="7" t="s">
        <v>5276</v>
      </c>
      <c r="E2447" s="7" t="s">
        <v>27</v>
      </c>
      <c r="F2447" s="7" t="s">
        <v>5263</v>
      </c>
      <c r="G2447" s="7" t="n">
        <v>2018</v>
      </c>
      <c r="H2447" s="7" t="s">
        <v>48</v>
      </c>
      <c r="I2447" s="7" t="s">
        <v>378</v>
      </c>
      <c r="J2447" s="7" t="s">
        <v>4547</v>
      </c>
      <c r="K2447" s="7" t="n">
        <f aca="false">IFERROR(VALUE(RIGHT(TRIM(F2447),4)),"")</f>
        <v>2019</v>
      </c>
      <c r="L2447" s="7" t="str">
        <f aca="false">IF(TRIM(E2447)="","Unknown",IFERROR(LEFT(TRIM(E2447),FIND(",",TRIM(E2447))-1),TRIM(E2447)))</f>
        <v>India</v>
      </c>
      <c r="M2447" s="7" t="str">
        <f aca="false">IFERROR(LEFT(J2447,FIND(",",J2447)-1),J2447)</f>
        <v>Comedies</v>
      </c>
      <c r="N2447" s="7" t="n">
        <f aca="false">IF(B2447="Movie",IFERROR(VALUE(LEFT(I2447,FIND(" ",I2447)-1)),""),"")</f>
        <v>127</v>
      </c>
      <c r="O2447" s="7" t="str">
        <f aca="false">IF(B2447="TV Show",IFERROR(VALUE(LEFT(I2447,FIND(" ",I2447)-1)),""),"")</f>
        <v/>
      </c>
      <c r="P2447" s="7" t="n">
        <f aca="false">IF(K2447="","",K2447-G2447)</f>
        <v>1</v>
      </c>
    </row>
    <row r="2448" customFormat="false" ht="15" hidden="false" customHeight="false" outlineLevel="0" collapsed="false">
      <c r="A2448" s="7" t="n">
        <v>81006334</v>
      </c>
      <c r="B2448" s="7" t="s">
        <v>78</v>
      </c>
      <c r="C2448" s="7" t="s">
        <v>5277</v>
      </c>
      <c r="E2448" s="7" t="s">
        <v>26</v>
      </c>
      <c r="F2448" s="7" t="s">
        <v>5263</v>
      </c>
      <c r="G2448" s="7" t="n">
        <v>2019</v>
      </c>
      <c r="H2448" s="7" t="s">
        <v>119</v>
      </c>
      <c r="I2448" s="7" t="s">
        <v>82</v>
      </c>
      <c r="J2448" s="7" t="s">
        <v>44</v>
      </c>
      <c r="K2448" s="7" t="n">
        <f aca="false">IFERROR(VALUE(RIGHT(TRIM(F2448),4)),"")</f>
        <v>2019</v>
      </c>
      <c r="L2448" s="7" t="str">
        <f aca="false">IF(TRIM(E2448)="","Unknown",IFERROR(LEFT(TRIM(E2448),FIND(",",TRIM(E2448))-1),TRIM(E2448)))</f>
        <v>United States</v>
      </c>
      <c r="M2448" s="7" t="str">
        <f aca="false">IFERROR(LEFT(J2448,FIND(",",J2448)-1),J2448)</f>
        <v>Kids' TV</v>
      </c>
      <c r="N2448" s="7" t="str">
        <f aca="false">IF(B2448="Movie",IFERROR(VALUE(LEFT(I2448,FIND(" ",I2448)-1)),""),"")</f>
        <v/>
      </c>
      <c r="O2448" s="7" t="n">
        <f aca="false">IF(B2448="TV Show",IFERROR(VALUE(LEFT(I2448,FIND(" ",I2448)-1)),""),"")</f>
        <v>1</v>
      </c>
      <c r="P2448" s="7" t="n">
        <f aca="false">IF(K2448="","",K2448-G2448)</f>
        <v>0</v>
      </c>
    </row>
    <row r="2449" customFormat="false" ht="15" hidden="false" customHeight="false" outlineLevel="0" collapsed="false">
      <c r="A2449" s="7" t="n">
        <v>80211563</v>
      </c>
      <c r="B2449" s="7" t="s">
        <v>78</v>
      </c>
      <c r="C2449" s="7" t="s">
        <v>5278</v>
      </c>
      <c r="E2449" s="7" t="s">
        <v>26</v>
      </c>
      <c r="F2449" s="7" t="s">
        <v>5263</v>
      </c>
      <c r="G2449" s="7" t="n">
        <v>2019</v>
      </c>
      <c r="H2449" s="7" t="s">
        <v>48</v>
      </c>
      <c r="I2449" s="7" t="s">
        <v>82</v>
      </c>
      <c r="J2449" s="7" t="s">
        <v>2704</v>
      </c>
      <c r="K2449" s="7" t="n">
        <f aca="false">IFERROR(VALUE(RIGHT(TRIM(F2449),4)),"")</f>
        <v>2019</v>
      </c>
      <c r="L2449" s="7" t="str">
        <f aca="false">IF(TRIM(E2449)="","Unknown",IFERROR(LEFT(TRIM(E2449),FIND(",",TRIM(E2449))-1),TRIM(E2449)))</f>
        <v>United States</v>
      </c>
      <c r="M2449" s="7" t="str">
        <f aca="false">IFERROR(LEFT(J2449,FIND(",",J2449)-1),J2449)</f>
        <v>TV Dramas</v>
      </c>
      <c r="N2449" s="7" t="str">
        <f aca="false">IF(B2449="Movie",IFERROR(VALUE(LEFT(I2449,FIND(" ",I2449)-1)),""),"")</f>
        <v/>
      </c>
      <c r="O2449" s="7" t="n">
        <f aca="false">IF(B2449="TV Show",IFERROR(VALUE(LEFT(I2449,FIND(" ",I2449)-1)),""),"")</f>
        <v>1</v>
      </c>
      <c r="P2449" s="7" t="n">
        <f aca="false">IF(K2449="","",K2449-G2449)</f>
        <v>0</v>
      </c>
    </row>
    <row r="2450" customFormat="false" ht="15" hidden="false" customHeight="false" outlineLevel="0" collapsed="false">
      <c r="A2450" s="7" t="n">
        <v>80173387</v>
      </c>
      <c r="B2450" s="7" t="s">
        <v>68</v>
      </c>
      <c r="C2450" s="7" t="s">
        <v>5279</v>
      </c>
      <c r="D2450" s="7" t="s">
        <v>5280</v>
      </c>
      <c r="E2450" s="7" t="s">
        <v>26</v>
      </c>
      <c r="F2450" s="7" t="s">
        <v>5263</v>
      </c>
      <c r="G2450" s="7" t="n">
        <v>2019</v>
      </c>
      <c r="H2450" s="7" t="s">
        <v>48</v>
      </c>
      <c r="I2450" s="7" t="s">
        <v>1270</v>
      </c>
      <c r="J2450" s="7" t="s">
        <v>509</v>
      </c>
      <c r="K2450" s="7" t="n">
        <f aca="false">IFERROR(VALUE(RIGHT(TRIM(F2450),4)),"")</f>
        <v>2019</v>
      </c>
      <c r="L2450" s="7" t="str">
        <f aca="false">IF(TRIM(E2450)="","Unknown",IFERROR(LEFT(TRIM(E2450),FIND(",",TRIM(E2450))-1),TRIM(E2450)))</f>
        <v>United States</v>
      </c>
      <c r="M2450" s="7" t="str">
        <f aca="false">IFERROR(LEFT(J2450,FIND(",",J2450)-1),J2450)</f>
        <v>Documentaries</v>
      </c>
      <c r="N2450" s="7" t="n">
        <f aca="false">IF(B2450="Movie",IFERROR(VALUE(LEFT(I2450,FIND(" ",I2450)-1)),""),"")</f>
        <v>118</v>
      </c>
      <c r="O2450" s="7" t="str">
        <f aca="false">IF(B2450="TV Show",IFERROR(VALUE(LEFT(I2450,FIND(" ",I2450)-1)),""),"")</f>
        <v/>
      </c>
      <c r="P2450" s="7" t="n">
        <f aca="false">IF(K2450="","",K2450-G2450)</f>
        <v>0</v>
      </c>
    </row>
    <row r="2451" customFormat="false" ht="15" hidden="false" customHeight="false" outlineLevel="0" collapsed="false">
      <c r="A2451" s="7" t="n">
        <v>81013112</v>
      </c>
      <c r="B2451" s="7" t="s">
        <v>68</v>
      </c>
      <c r="C2451" s="7" t="s">
        <v>5281</v>
      </c>
      <c r="D2451" s="7" t="s">
        <v>5282</v>
      </c>
      <c r="E2451" s="7" t="s">
        <v>26</v>
      </c>
      <c r="F2451" s="7" t="s">
        <v>5263</v>
      </c>
      <c r="G2451" s="7" t="n">
        <v>2018</v>
      </c>
      <c r="H2451" s="7" t="s">
        <v>48</v>
      </c>
      <c r="I2451" s="7" t="s">
        <v>73</v>
      </c>
      <c r="J2451" s="7" t="s">
        <v>1085</v>
      </c>
      <c r="K2451" s="7" t="n">
        <f aca="false">IFERROR(VALUE(RIGHT(TRIM(F2451),4)),"")</f>
        <v>2019</v>
      </c>
      <c r="L2451" s="7" t="str">
        <f aca="false">IF(TRIM(E2451)="","Unknown",IFERROR(LEFT(TRIM(E2451),FIND(",",TRIM(E2451))-1),TRIM(E2451)))</f>
        <v>United States</v>
      </c>
      <c r="M2451" s="7" t="str">
        <f aca="false">IFERROR(LEFT(J2451,FIND(",",J2451)-1),J2451)</f>
        <v>Documentaries</v>
      </c>
      <c r="N2451" s="7" t="n">
        <f aca="false">IF(B2451="Movie",IFERROR(VALUE(LEFT(I2451,FIND(" ",I2451)-1)),""),"")</f>
        <v>90</v>
      </c>
      <c r="O2451" s="7" t="str">
        <f aca="false">IF(B2451="TV Show",IFERROR(VALUE(LEFT(I2451,FIND(" ",I2451)-1)),""),"")</f>
        <v/>
      </c>
      <c r="P2451" s="7" t="n">
        <f aca="false">IF(K2451="","",K2451-G2451)</f>
        <v>1</v>
      </c>
    </row>
    <row r="2452" customFormat="false" ht="15" hidden="false" customHeight="false" outlineLevel="0" collapsed="false">
      <c r="A2452" s="7" t="n">
        <v>70290904</v>
      </c>
      <c r="B2452" s="7" t="s">
        <v>68</v>
      </c>
      <c r="C2452" s="7" t="s">
        <v>5283</v>
      </c>
      <c r="D2452" s="7" t="s">
        <v>5284</v>
      </c>
      <c r="E2452" s="7" t="s">
        <v>27</v>
      </c>
      <c r="F2452" s="7" t="s">
        <v>5285</v>
      </c>
      <c r="G2452" s="7" t="n">
        <v>2013</v>
      </c>
      <c r="H2452" s="7" t="s">
        <v>53</v>
      </c>
      <c r="I2452" s="7" t="s">
        <v>87</v>
      </c>
      <c r="J2452" s="7" t="s">
        <v>188</v>
      </c>
      <c r="K2452" s="7" t="n">
        <f aca="false">IFERROR(VALUE(RIGHT(TRIM(F2452),4)),"")</f>
        <v>2018</v>
      </c>
      <c r="L2452" s="7" t="str">
        <f aca="false">IF(TRIM(E2452)="","Unknown",IFERROR(LEFT(TRIM(E2452),FIND(",",TRIM(E2452))-1),TRIM(E2452)))</f>
        <v>India</v>
      </c>
      <c r="M2452" s="7" t="str">
        <f aca="false">IFERROR(LEFT(J2452,FIND(",",J2452)-1),J2452)</f>
        <v>Dramas</v>
      </c>
      <c r="N2452" s="7" t="n">
        <f aca="false">IF(B2452="Movie",IFERROR(VALUE(LEFT(I2452,FIND(" ",I2452)-1)),""),"")</f>
        <v>99</v>
      </c>
      <c r="O2452" s="7" t="str">
        <f aca="false">IF(B2452="TV Show",IFERROR(VALUE(LEFT(I2452,FIND(" ",I2452)-1)),""),"")</f>
        <v/>
      </c>
      <c r="P2452" s="7" t="n">
        <f aca="false">IF(K2452="","",K2452-G2452)</f>
        <v>5</v>
      </c>
    </row>
    <row r="2453" customFormat="false" ht="15" hidden="false" customHeight="false" outlineLevel="0" collapsed="false">
      <c r="A2453" s="7" t="n">
        <v>80225953</v>
      </c>
      <c r="B2453" s="7" t="s">
        <v>78</v>
      </c>
      <c r="C2453" s="7" t="s">
        <v>5286</v>
      </c>
      <c r="F2453" s="7" t="s">
        <v>5285</v>
      </c>
      <c r="G2453" s="7" t="n">
        <v>2016</v>
      </c>
      <c r="H2453" s="7" t="s">
        <v>55</v>
      </c>
      <c r="I2453" s="7" t="s">
        <v>82</v>
      </c>
      <c r="J2453" s="7" t="s">
        <v>44</v>
      </c>
      <c r="K2453" s="7" t="n">
        <f aca="false">IFERROR(VALUE(RIGHT(TRIM(F2453),4)),"")</f>
        <v>2018</v>
      </c>
      <c r="L2453" s="7" t="str">
        <f aca="false">IF(TRIM(E2453)="","Unknown",IFERROR(LEFT(TRIM(E2453),FIND(",",TRIM(E2453))-1),TRIM(E2453)))</f>
        <v>Unknown</v>
      </c>
      <c r="M2453" s="7" t="str">
        <f aca="false">IFERROR(LEFT(J2453,FIND(",",J2453)-1),J2453)</f>
        <v>Kids' TV</v>
      </c>
      <c r="N2453" s="7" t="str">
        <f aca="false">IF(B2453="Movie",IFERROR(VALUE(LEFT(I2453,FIND(" ",I2453)-1)),""),"")</f>
        <v/>
      </c>
      <c r="O2453" s="7" t="n">
        <f aca="false">IF(B2453="TV Show",IFERROR(VALUE(LEFT(I2453,FIND(" ",I2453)-1)),""),"")</f>
        <v>1</v>
      </c>
      <c r="P2453" s="7" t="n">
        <f aca="false">IF(K2453="","",K2453-G2453)</f>
        <v>2</v>
      </c>
    </row>
    <row r="2454" customFormat="false" ht="15" hidden="false" customHeight="false" outlineLevel="0" collapsed="false">
      <c r="A2454" s="7" t="n">
        <v>70294793</v>
      </c>
      <c r="B2454" s="7" t="s">
        <v>68</v>
      </c>
      <c r="C2454" s="7" t="s">
        <v>5287</v>
      </c>
      <c r="D2454" s="7" t="s">
        <v>5288</v>
      </c>
      <c r="E2454" s="7" t="s">
        <v>26</v>
      </c>
      <c r="F2454" s="7" t="s">
        <v>5289</v>
      </c>
      <c r="G2454" s="7" t="n">
        <v>2013</v>
      </c>
      <c r="H2454" s="7" t="s">
        <v>51</v>
      </c>
      <c r="I2454" s="7" t="s">
        <v>77</v>
      </c>
      <c r="J2454" s="7" t="s">
        <v>155</v>
      </c>
      <c r="K2454" s="7" t="n">
        <f aca="false">IFERROR(VALUE(RIGHT(TRIM(F2454),4)),"")</f>
        <v>2019</v>
      </c>
      <c r="L2454" s="7" t="str">
        <f aca="false">IF(TRIM(E2454)="","Unknown",IFERROR(LEFT(TRIM(E2454),FIND(",",TRIM(E2454))-1),TRIM(E2454)))</f>
        <v>United States</v>
      </c>
      <c r="M2454" s="7" t="str">
        <f aca="false">IFERROR(LEFT(J2454,FIND(",",J2454)-1),J2454)</f>
        <v>Dramas</v>
      </c>
      <c r="N2454" s="7" t="n">
        <f aca="false">IF(B2454="Movie",IFERROR(VALUE(LEFT(I2454,FIND(" ",I2454)-1)),""),"")</f>
        <v>94</v>
      </c>
      <c r="O2454" s="7" t="str">
        <f aca="false">IF(B2454="TV Show",IFERROR(VALUE(LEFT(I2454,FIND(" ",I2454)-1)),""),"")</f>
        <v/>
      </c>
      <c r="P2454" s="7" t="n">
        <f aca="false">IF(K2454="","",K2454-G2454)</f>
        <v>6</v>
      </c>
    </row>
    <row r="2455" customFormat="false" ht="15" hidden="false" customHeight="false" outlineLevel="0" collapsed="false">
      <c r="A2455" s="7" t="n">
        <v>81030855</v>
      </c>
      <c r="B2455" s="7" t="s">
        <v>68</v>
      </c>
      <c r="C2455" s="7" t="s">
        <v>5290</v>
      </c>
      <c r="D2455" s="7" t="s">
        <v>5291</v>
      </c>
      <c r="E2455" s="7" t="s">
        <v>1081</v>
      </c>
      <c r="F2455" s="7" t="s">
        <v>5289</v>
      </c>
      <c r="G2455" s="7" t="n">
        <v>2019</v>
      </c>
      <c r="H2455" s="7" t="s">
        <v>48</v>
      </c>
      <c r="I2455" s="7" t="s">
        <v>73</v>
      </c>
      <c r="J2455" s="7" t="s">
        <v>304</v>
      </c>
      <c r="K2455" s="7" t="n">
        <f aca="false">IFERROR(VALUE(RIGHT(TRIM(F2455),4)),"")</f>
        <v>2019</v>
      </c>
      <c r="L2455" s="7" t="str">
        <f aca="false">IF(TRIM(E2455)="","Unknown",IFERROR(LEFT(TRIM(E2455),FIND(",",TRIM(E2455))-1),TRIM(E2455)))</f>
        <v>Germany</v>
      </c>
      <c r="M2455" s="7" t="str">
        <f aca="false">IFERROR(LEFT(J2455,FIND(",",J2455)-1),J2455)</f>
        <v>Dramas</v>
      </c>
      <c r="N2455" s="7" t="n">
        <f aca="false">IF(B2455="Movie",IFERROR(VALUE(LEFT(I2455,FIND(" ",I2455)-1)),""),"")</f>
        <v>90</v>
      </c>
      <c r="O2455" s="7" t="str">
        <f aca="false">IF(B2455="TV Show",IFERROR(VALUE(LEFT(I2455,FIND(" ",I2455)-1)),""),"")</f>
        <v/>
      </c>
      <c r="P2455" s="7" t="n">
        <f aca="false">IF(K2455="","",K2455-G2455)</f>
        <v>0</v>
      </c>
    </row>
    <row r="2456" customFormat="false" ht="15" hidden="false" customHeight="false" outlineLevel="0" collapsed="false">
      <c r="A2456" s="7" t="n">
        <v>81035852</v>
      </c>
      <c r="B2456" s="7" t="s">
        <v>68</v>
      </c>
      <c r="C2456" s="7" t="s">
        <v>5292</v>
      </c>
      <c r="D2456" s="7" t="s">
        <v>5293</v>
      </c>
      <c r="F2456" s="7" t="s">
        <v>5289</v>
      </c>
      <c r="G2456" s="7" t="n">
        <v>2014</v>
      </c>
      <c r="H2456" s="7" t="s">
        <v>49</v>
      </c>
      <c r="I2456" s="7" t="s">
        <v>134</v>
      </c>
      <c r="J2456" s="7" t="s">
        <v>202</v>
      </c>
      <c r="K2456" s="7" t="n">
        <f aca="false">IFERROR(VALUE(RIGHT(TRIM(F2456),4)),"")</f>
        <v>2019</v>
      </c>
      <c r="L2456" s="7" t="str">
        <f aca="false">IF(TRIM(E2456)="","Unknown",IFERROR(LEFT(TRIM(E2456),FIND(",",TRIM(E2456))-1),TRIM(E2456)))</f>
        <v>Unknown</v>
      </c>
      <c r="M2456" s="7" t="str">
        <f aca="false">IFERROR(LEFT(J2456,FIND(",",J2456)-1),J2456)</f>
        <v>Comedies</v>
      </c>
      <c r="N2456" s="7" t="n">
        <f aca="false">IF(B2456="Movie",IFERROR(VALUE(LEFT(I2456,FIND(" ",I2456)-1)),""),"")</f>
        <v>98</v>
      </c>
      <c r="O2456" s="7" t="str">
        <f aca="false">IF(B2456="TV Show",IFERROR(VALUE(LEFT(I2456,FIND(" ",I2456)-1)),""),"")</f>
        <v/>
      </c>
      <c r="P2456" s="7" t="n">
        <f aca="false">IF(K2456="","",K2456-G2456)</f>
        <v>5</v>
      </c>
    </row>
    <row r="2457" customFormat="false" ht="15" hidden="false" customHeight="false" outlineLevel="0" collapsed="false">
      <c r="A2457" s="7" t="n">
        <v>80079473</v>
      </c>
      <c r="B2457" s="7" t="s">
        <v>68</v>
      </c>
      <c r="C2457" s="7" t="s">
        <v>5294</v>
      </c>
      <c r="D2457" s="7" t="s">
        <v>5295</v>
      </c>
      <c r="E2457" s="7" t="s">
        <v>26</v>
      </c>
      <c r="F2457" s="7" t="s">
        <v>5289</v>
      </c>
      <c r="G2457" s="7" t="n">
        <v>2016</v>
      </c>
      <c r="H2457" s="7" t="s">
        <v>51</v>
      </c>
      <c r="I2457" s="7" t="s">
        <v>134</v>
      </c>
      <c r="J2457" s="7" t="s">
        <v>147</v>
      </c>
      <c r="K2457" s="7" t="n">
        <f aca="false">IFERROR(VALUE(RIGHT(TRIM(F2457),4)),"")</f>
        <v>2019</v>
      </c>
      <c r="L2457" s="7" t="str">
        <f aca="false">IF(TRIM(E2457)="","Unknown",IFERROR(LEFT(TRIM(E2457),FIND(",",TRIM(E2457))-1),TRIM(E2457)))</f>
        <v>United States</v>
      </c>
      <c r="M2457" s="7" t="str">
        <f aca="false">IFERROR(LEFT(J2457,FIND(",",J2457)-1),J2457)</f>
        <v>Horror Movies</v>
      </c>
      <c r="N2457" s="7" t="n">
        <f aca="false">IF(B2457="Movie",IFERROR(VALUE(LEFT(I2457,FIND(" ",I2457)-1)),""),"")</f>
        <v>98</v>
      </c>
      <c r="O2457" s="7" t="str">
        <f aca="false">IF(B2457="TV Show",IFERROR(VALUE(LEFT(I2457,FIND(" ",I2457)-1)),""),"")</f>
        <v/>
      </c>
      <c r="P2457" s="7" t="n">
        <f aca="false">IF(K2457="","",K2457-G2457)</f>
        <v>3</v>
      </c>
    </row>
    <row r="2458" customFormat="false" ht="15" hidden="false" customHeight="false" outlineLevel="0" collapsed="false">
      <c r="A2458" s="7" t="n">
        <v>80018328</v>
      </c>
      <c r="B2458" s="7" t="s">
        <v>68</v>
      </c>
      <c r="C2458" s="7" t="s">
        <v>5296</v>
      </c>
      <c r="D2458" s="7" t="s">
        <v>5297</v>
      </c>
      <c r="E2458" s="7" t="s">
        <v>26</v>
      </c>
      <c r="F2458" s="7" t="s">
        <v>5289</v>
      </c>
      <c r="G2458" s="7" t="n">
        <v>2014</v>
      </c>
      <c r="H2458" s="7" t="s">
        <v>54</v>
      </c>
      <c r="I2458" s="7" t="s">
        <v>87</v>
      </c>
      <c r="J2458" s="7" t="s">
        <v>5298</v>
      </c>
      <c r="K2458" s="7" t="n">
        <f aca="false">IFERROR(VALUE(RIGHT(TRIM(F2458),4)),"")</f>
        <v>2019</v>
      </c>
      <c r="L2458" s="7" t="str">
        <f aca="false">IF(TRIM(E2458)="","Unknown",IFERROR(LEFT(TRIM(E2458),FIND(",",TRIM(E2458))-1),TRIM(E2458)))</f>
        <v>United States</v>
      </c>
      <c r="M2458" s="7" t="str">
        <f aca="false">IFERROR(LEFT(J2458,FIND(",",J2458)-1),J2458)</f>
        <v>Comedies</v>
      </c>
      <c r="N2458" s="7" t="n">
        <f aca="false">IF(B2458="Movie",IFERROR(VALUE(LEFT(I2458,FIND(" ",I2458)-1)),""),"")</f>
        <v>99</v>
      </c>
      <c r="O2458" s="7" t="str">
        <f aca="false">IF(B2458="TV Show",IFERROR(VALUE(LEFT(I2458,FIND(" ",I2458)-1)),""),"")</f>
        <v/>
      </c>
      <c r="P2458" s="7" t="n">
        <f aca="false">IF(K2458="","",K2458-G2458)</f>
        <v>5</v>
      </c>
    </row>
    <row r="2459" customFormat="false" ht="15" hidden="false" customHeight="false" outlineLevel="0" collapsed="false">
      <c r="A2459" s="7" t="n">
        <v>80996787</v>
      </c>
      <c r="B2459" s="7" t="s">
        <v>68</v>
      </c>
      <c r="C2459" s="7" t="s">
        <v>5299</v>
      </c>
      <c r="D2459" s="7" t="s">
        <v>4758</v>
      </c>
      <c r="E2459" s="7" t="s">
        <v>5300</v>
      </c>
      <c r="F2459" s="7" t="s">
        <v>5289</v>
      </c>
      <c r="G2459" s="7" t="n">
        <v>2019</v>
      </c>
      <c r="H2459" s="7" t="s">
        <v>51</v>
      </c>
      <c r="I2459" s="7" t="s">
        <v>201</v>
      </c>
      <c r="J2459" s="7" t="s">
        <v>182</v>
      </c>
      <c r="K2459" s="7" t="n">
        <f aca="false">IFERROR(VALUE(RIGHT(TRIM(F2459),4)),"")</f>
        <v>2019</v>
      </c>
      <c r="L2459" s="7" t="str">
        <f aca="false">IF(TRIM(E2459)="","Unknown",IFERROR(LEFT(TRIM(E2459),FIND(",",TRIM(E2459))-1),TRIM(E2459)))</f>
        <v>Spain</v>
      </c>
      <c r="M2459" s="7" t="str">
        <f aca="false">IFERROR(LEFT(J2459,FIND(",",J2459)-1),J2459)</f>
        <v>Dramas</v>
      </c>
      <c r="N2459" s="7" t="n">
        <f aca="false">IF(B2459="Movie",IFERROR(VALUE(LEFT(I2459,FIND(" ",I2459)-1)),""),"")</f>
        <v>133</v>
      </c>
      <c r="O2459" s="7" t="str">
        <f aca="false">IF(B2459="TV Show",IFERROR(VALUE(LEFT(I2459,FIND(" ",I2459)-1)),""),"")</f>
        <v/>
      </c>
      <c r="P2459" s="7" t="n">
        <f aca="false">IF(K2459="","",K2459-G2459)</f>
        <v>0</v>
      </c>
    </row>
    <row r="2460" customFormat="false" ht="15" hidden="false" customHeight="false" outlineLevel="0" collapsed="false">
      <c r="A2460" s="7" t="n">
        <v>81035881</v>
      </c>
      <c r="B2460" s="7" t="s">
        <v>68</v>
      </c>
      <c r="C2460" s="7" t="s">
        <v>5301</v>
      </c>
      <c r="D2460" s="7" t="s">
        <v>5302</v>
      </c>
      <c r="E2460" s="7" t="s">
        <v>963</v>
      </c>
      <c r="F2460" s="7" t="s">
        <v>5289</v>
      </c>
      <c r="G2460" s="7" t="n">
        <v>2017</v>
      </c>
      <c r="H2460" s="7" t="s">
        <v>48</v>
      </c>
      <c r="I2460" s="7" t="s">
        <v>77</v>
      </c>
      <c r="J2460" s="7" t="s">
        <v>202</v>
      </c>
      <c r="K2460" s="7" t="n">
        <f aca="false">IFERROR(VALUE(RIGHT(TRIM(F2460),4)),"")</f>
        <v>2019</v>
      </c>
      <c r="L2460" s="7" t="str">
        <f aca="false">IF(TRIM(E2460)="","Unknown",IFERROR(LEFT(TRIM(E2460),FIND(",",TRIM(E2460))-1),TRIM(E2460)))</f>
        <v>Egypt</v>
      </c>
      <c r="M2460" s="7" t="str">
        <f aca="false">IFERROR(LEFT(J2460,FIND(",",J2460)-1),J2460)</f>
        <v>Comedies</v>
      </c>
      <c r="N2460" s="7" t="n">
        <f aca="false">IF(B2460="Movie",IFERROR(VALUE(LEFT(I2460,FIND(" ",I2460)-1)),""),"")</f>
        <v>94</v>
      </c>
      <c r="O2460" s="7" t="str">
        <f aca="false">IF(B2460="TV Show",IFERROR(VALUE(LEFT(I2460,FIND(" ",I2460)-1)),""),"")</f>
        <v/>
      </c>
      <c r="P2460" s="7" t="n">
        <f aca="false">IF(K2460="","",K2460-G2460)</f>
        <v>2</v>
      </c>
    </row>
    <row r="2461" customFormat="false" ht="15" hidden="false" customHeight="false" outlineLevel="0" collapsed="false">
      <c r="A2461" s="7" t="n">
        <v>81035843</v>
      </c>
      <c r="B2461" s="7" t="s">
        <v>68</v>
      </c>
      <c r="C2461" s="7" t="s">
        <v>5303</v>
      </c>
      <c r="D2461" s="7" t="s">
        <v>3526</v>
      </c>
      <c r="E2461" s="7" t="s">
        <v>963</v>
      </c>
      <c r="F2461" s="7" t="s">
        <v>5289</v>
      </c>
      <c r="G2461" s="7" t="n">
        <v>2016</v>
      </c>
      <c r="H2461" s="7" t="s">
        <v>48</v>
      </c>
      <c r="I2461" s="7" t="s">
        <v>237</v>
      </c>
      <c r="J2461" s="7" t="s">
        <v>202</v>
      </c>
      <c r="K2461" s="7" t="n">
        <f aca="false">IFERROR(VALUE(RIGHT(TRIM(F2461),4)),"")</f>
        <v>2019</v>
      </c>
      <c r="L2461" s="7" t="str">
        <f aca="false">IF(TRIM(E2461)="","Unknown",IFERROR(LEFT(TRIM(E2461),FIND(",",TRIM(E2461))-1),TRIM(E2461)))</f>
        <v>Egypt</v>
      </c>
      <c r="M2461" s="7" t="str">
        <f aca="false">IFERROR(LEFT(J2461,FIND(",",J2461)-1),J2461)</f>
        <v>Comedies</v>
      </c>
      <c r="N2461" s="7" t="n">
        <f aca="false">IF(B2461="Movie",IFERROR(VALUE(LEFT(I2461,FIND(" ",I2461)-1)),""),"")</f>
        <v>116</v>
      </c>
      <c r="O2461" s="7" t="str">
        <f aca="false">IF(B2461="TV Show",IFERROR(VALUE(LEFT(I2461,FIND(" ",I2461)-1)),""),"")</f>
        <v/>
      </c>
      <c r="P2461" s="7" t="n">
        <f aca="false">IF(K2461="","",K2461-G2461)</f>
        <v>3</v>
      </c>
    </row>
    <row r="2462" customFormat="false" ht="15" hidden="false" customHeight="false" outlineLevel="0" collapsed="false">
      <c r="A2462" s="7" t="n">
        <v>81035837</v>
      </c>
      <c r="B2462" s="7" t="s">
        <v>68</v>
      </c>
      <c r="C2462" s="7" t="s">
        <v>5304</v>
      </c>
      <c r="D2462" s="7" t="s">
        <v>5305</v>
      </c>
      <c r="E2462" s="7" t="s">
        <v>963</v>
      </c>
      <c r="F2462" s="7" t="s">
        <v>5289</v>
      </c>
      <c r="G2462" s="7" t="n">
        <v>2017</v>
      </c>
      <c r="H2462" s="7" t="s">
        <v>49</v>
      </c>
      <c r="I2462" s="7" t="s">
        <v>272</v>
      </c>
      <c r="J2462" s="7" t="s">
        <v>986</v>
      </c>
      <c r="K2462" s="7" t="n">
        <f aca="false">IFERROR(VALUE(RIGHT(TRIM(F2462),4)),"")</f>
        <v>2019</v>
      </c>
      <c r="L2462" s="7" t="str">
        <f aca="false">IF(TRIM(E2462)="","Unknown",IFERROR(LEFT(TRIM(E2462),FIND(",",TRIM(E2462))-1),TRIM(E2462)))</f>
        <v>Egypt</v>
      </c>
      <c r="M2462" s="7" t="str">
        <f aca="false">IFERROR(LEFT(J2462,FIND(",",J2462)-1),J2462)</f>
        <v>Children &amp; Family Movies</v>
      </c>
      <c r="N2462" s="7" t="n">
        <f aca="false">IF(B2462="Movie",IFERROR(VALUE(LEFT(I2462,FIND(" ",I2462)-1)),""),"")</f>
        <v>93</v>
      </c>
      <c r="O2462" s="7" t="str">
        <f aca="false">IF(B2462="TV Show",IFERROR(VALUE(LEFT(I2462,FIND(" ",I2462)-1)),""),"")</f>
        <v/>
      </c>
      <c r="P2462" s="7" t="n">
        <f aca="false">IF(K2462="","",K2462-G2462)</f>
        <v>2</v>
      </c>
    </row>
    <row r="2463" customFormat="false" ht="15" hidden="false" customHeight="false" outlineLevel="0" collapsed="false">
      <c r="A2463" s="7" t="n">
        <v>80039136</v>
      </c>
      <c r="B2463" s="7" t="s">
        <v>68</v>
      </c>
      <c r="C2463" s="7" t="s">
        <v>5306</v>
      </c>
      <c r="D2463" s="7" t="s">
        <v>5307</v>
      </c>
      <c r="E2463" s="7" t="s">
        <v>31</v>
      </c>
      <c r="F2463" s="7" t="s">
        <v>5289</v>
      </c>
      <c r="G2463" s="7" t="n">
        <v>1974</v>
      </c>
      <c r="H2463" s="7" t="s">
        <v>966</v>
      </c>
      <c r="I2463" s="7" t="s">
        <v>330</v>
      </c>
      <c r="J2463" s="7" t="s">
        <v>240</v>
      </c>
      <c r="K2463" s="7" t="n">
        <f aca="false">IFERROR(VALUE(RIGHT(TRIM(F2463),4)),"")</f>
        <v>2019</v>
      </c>
      <c r="L2463" s="7" t="str">
        <f aca="false">IF(TRIM(E2463)="","Unknown",IFERROR(LEFT(TRIM(E2463),FIND(",",TRIM(E2463))-1),TRIM(E2463)))</f>
        <v>France</v>
      </c>
      <c r="M2463" s="7" t="str">
        <f aca="false">IFERROR(LEFT(J2463,FIND(",",J2463)-1),J2463)</f>
        <v>Dramas</v>
      </c>
      <c r="N2463" s="7" t="n">
        <f aca="false">IF(B2463="Movie",IFERROR(VALUE(LEFT(I2463,FIND(" ",I2463)-1)),""),"")</f>
        <v>103</v>
      </c>
      <c r="O2463" s="7" t="str">
        <f aca="false">IF(B2463="TV Show",IFERROR(VALUE(LEFT(I2463,FIND(" ",I2463)-1)),""),"")</f>
        <v/>
      </c>
      <c r="P2463" s="7" t="n">
        <f aca="false">IF(K2463="","",K2463-G2463)</f>
        <v>45</v>
      </c>
    </row>
    <row r="2464" customFormat="false" ht="15" hidden="false" customHeight="false" outlineLevel="0" collapsed="false">
      <c r="A2464" s="7" t="n">
        <v>81035884</v>
      </c>
      <c r="B2464" s="7" t="s">
        <v>68</v>
      </c>
      <c r="C2464" s="7" t="s">
        <v>5308</v>
      </c>
      <c r="D2464" s="7" t="s">
        <v>5309</v>
      </c>
      <c r="E2464" s="7" t="s">
        <v>963</v>
      </c>
      <c r="F2464" s="7" t="s">
        <v>5289</v>
      </c>
      <c r="G2464" s="7" t="n">
        <v>2017</v>
      </c>
      <c r="H2464" s="7" t="s">
        <v>49</v>
      </c>
      <c r="I2464" s="7" t="s">
        <v>613</v>
      </c>
      <c r="J2464" s="7" t="s">
        <v>457</v>
      </c>
      <c r="K2464" s="7" t="n">
        <f aca="false">IFERROR(VALUE(RIGHT(TRIM(F2464),4)),"")</f>
        <v>2019</v>
      </c>
      <c r="L2464" s="7" t="str">
        <f aca="false">IF(TRIM(E2464)="","Unknown",IFERROR(LEFT(TRIM(E2464),FIND(",",TRIM(E2464))-1),TRIM(E2464)))</f>
        <v>Egypt</v>
      </c>
      <c r="M2464" s="7" t="str">
        <f aca="false">IFERROR(LEFT(J2464,FIND(",",J2464)-1),J2464)</f>
        <v>Comedies</v>
      </c>
      <c r="N2464" s="7" t="n">
        <f aca="false">IF(B2464="Movie",IFERROR(VALUE(LEFT(I2464,FIND(" ",I2464)-1)),""),"")</f>
        <v>84</v>
      </c>
      <c r="O2464" s="7" t="str">
        <f aca="false">IF(B2464="TV Show",IFERROR(VALUE(LEFT(I2464,FIND(" ",I2464)-1)),""),"")</f>
        <v/>
      </c>
      <c r="P2464" s="7" t="n">
        <f aca="false">IF(K2464="","",K2464-G2464)</f>
        <v>2</v>
      </c>
    </row>
    <row r="2465" customFormat="false" ht="15" hidden="false" customHeight="false" outlineLevel="0" collapsed="false">
      <c r="A2465" s="7" t="n">
        <v>81035863</v>
      </c>
      <c r="B2465" s="7" t="s">
        <v>68</v>
      </c>
      <c r="C2465" s="7" t="s">
        <v>5310</v>
      </c>
      <c r="D2465" s="7" t="s">
        <v>5311</v>
      </c>
      <c r="E2465" s="7" t="s">
        <v>963</v>
      </c>
      <c r="F2465" s="7" t="s">
        <v>5289</v>
      </c>
      <c r="G2465" s="7" t="n">
        <v>2012</v>
      </c>
      <c r="H2465" s="7" t="s">
        <v>49</v>
      </c>
      <c r="I2465" s="7" t="s">
        <v>73</v>
      </c>
      <c r="J2465" s="7" t="s">
        <v>202</v>
      </c>
      <c r="K2465" s="7" t="n">
        <f aca="false">IFERROR(VALUE(RIGHT(TRIM(F2465),4)),"")</f>
        <v>2019</v>
      </c>
      <c r="L2465" s="7" t="str">
        <f aca="false">IF(TRIM(E2465)="","Unknown",IFERROR(LEFT(TRIM(E2465),FIND(",",TRIM(E2465))-1),TRIM(E2465)))</f>
        <v>Egypt</v>
      </c>
      <c r="M2465" s="7" t="str">
        <f aca="false">IFERROR(LEFT(J2465,FIND(",",J2465)-1),J2465)</f>
        <v>Comedies</v>
      </c>
      <c r="N2465" s="7" t="n">
        <f aca="false">IF(B2465="Movie",IFERROR(VALUE(LEFT(I2465,FIND(" ",I2465)-1)),""),"")</f>
        <v>90</v>
      </c>
      <c r="O2465" s="7" t="str">
        <f aca="false">IF(B2465="TV Show",IFERROR(VALUE(LEFT(I2465,FIND(" ",I2465)-1)),""),"")</f>
        <v/>
      </c>
      <c r="P2465" s="7" t="n">
        <f aca="false">IF(K2465="","",K2465-G2465)</f>
        <v>7</v>
      </c>
    </row>
    <row r="2466" customFormat="false" ht="15" hidden="false" customHeight="false" outlineLevel="0" collapsed="false">
      <c r="A2466" s="7" t="n">
        <v>81035858</v>
      </c>
      <c r="B2466" s="7" t="s">
        <v>68</v>
      </c>
      <c r="C2466" s="7" t="s">
        <v>5312</v>
      </c>
      <c r="D2466" s="7" t="s">
        <v>5313</v>
      </c>
      <c r="E2466" s="7" t="s">
        <v>963</v>
      </c>
      <c r="F2466" s="7" t="s">
        <v>5289</v>
      </c>
      <c r="G2466" s="7" t="n">
        <v>2013</v>
      </c>
      <c r="H2466" s="7" t="s">
        <v>49</v>
      </c>
      <c r="I2466" s="7" t="s">
        <v>294</v>
      </c>
      <c r="J2466" s="7" t="s">
        <v>202</v>
      </c>
      <c r="K2466" s="7" t="n">
        <f aca="false">IFERROR(VALUE(RIGHT(TRIM(F2466),4)),"")</f>
        <v>2019</v>
      </c>
      <c r="L2466" s="7" t="str">
        <f aca="false">IF(TRIM(E2466)="","Unknown",IFERROR(LEFT(TRIM(E2466),FIND(",",TRIM(E2466))-1),TRIM(E2466)))</f>
        <v>Egypt</v>
      </c>
      <c r="M2466" s="7" t="str">
        <f aca="false">IFERROR(LEFT(J2466,FIND(",",J2466)-1),J2466)</f>
        <v>Comedies</v>
      </c>
      <c r="N2466" s="7" t="n">
        <f aca="false">IF(B2466="Movie",IFERROR(VALUE(LEFT(I2466,FIND(" ",I2466)-1)),""),"")</f>
        <v>107</v>
      </c>
      <c r="O2466" s="7" t="str">
        <f aca="false">IF(B2466="TV Show",IFERROR(VALUE(LEFT(I2466,FIND(" ",I2466)-1)),""),"")</f>
        <v/>
      </c>
      <c r="P2466" s="7" t="n">
        <f aca="false">IF(K2466="","",K2466-G2466)</f>
        <v>6</v>
      </c>
    </row>
    <row r="2467" customFormat="false" ht="15" hidden="false" customHeight="false" outlineLevel="0" collapsed="false">
      <c r="A2467" s="7" t="n">
        <v>81035882</v>
      </c>
      <c r="B2467" s="7" t="s">
        <v>68</v>
      </c>
      <c r="C2467" s="7" t="s">
        <v>5314</v>
      </c>
      <c r="D2467" s="7" t="s">
        <v>5311</v>
      </c>
      <c r="E2467" s="7" t="s">
        <v>963</v>
      </c>
      <c r="F2467" s="7" t="s">
        <v>5289</v>
      </c>
      <c r="G2467" s="7" t="n">
        <v>2018</v>
      </c>
      <c r="H2467" s="7" t="s">
        <v>49</v>
      </c>
      <c r="I2467" s="7" t="s">
        <v>357</v>
      </c>
      <c r="J2467" s="7" t="s">
        <v>202</v>
      </c>
      <c r="K2467" s="7" t="n">
        <f aca="false">IFERROR(VALUE(RIGHT(TRIM(F2467),4)),"")</f>
        <v>2019</v>
      </c>
      <c r="L2467" s="7" t="str">
        <f aca="false">IF(TRIM(E2467)="","Unknown",IFERROR(LEFT(TRIM(E2467),FIND(",",TRIM(E2467))-1),TRIM(E2467)))</f>
        <v>Egypt</v>
      </c>
      <c r="M2467" s="7" t="str">
        <f aca="false">IFERROR(LEFT(J2467,FIND(",",J2467)-1),J2467)</f>
        <v>Comedies</v>
      </c>
      <c r="N2467" s="7" t="n">
        <f aca="false">IF(B2467="Movie",IFERROR(VALUE(LEFT(I2467,FIND(" ",I2467)-1)),""),"")</f>
        <v>89</v>
      </c>
      <c r="O2467" s="7" t="str">
        <f aca="false">IF(B2467="TV Show",IFERROR(VALUE(LEFT(I2467,FIND(" ",I2467)-1)),""),"")</f>
        <v/>
      </c>
      <c r="P2467" s="7" t="n">
        <f aca="false">IF(K2467="","",K2467-G2467)</f>
        <v>1</v>
      </c>
    </row>
    <row r="2468" customFormat="false" ht="15" hidden="false" customHeight="false" outlineLevel="0" collapsed="false">
      <c r="A2468" s="7" t="n">
        <v>81035847</v>
      </c>
      <c r="B2468" s="7" t="s">
        <v>68</v>
      </c>
      <c r="C2468" s="7" t="s">
        <v>5315</v>
      </c>
      <c r="D2468" s="7" t="s">
        <v>5316</v>
      </c>
      <c r="F2468" s="7" t="s">
        <v>5289</v>
      </c>
      <c r="G2468" s="7" t="n">
        <v>2015</v>
      </c>
      <c r="H2468" s="7" t="s">
        <v>48</v>
      </c>
      <c r="I2468" s="7" t="s">
        <v>73</v>
      </c>
      <c r="J2468" s="7" t="s">
        <v>304</v>
      </c>
      <c r="K2468" s="7" t="n">
        <f aca="false">IFERROR(VALUE(RIGHT(TRIM(F2468),4)),"")</f>
        <v>2019</v>
      </c>
      <c r="L2468" s="7" t="str">
        <f aca="false">IF(TRIM(E2468)="","Unknown",IFERROR(LEFT(TRIM(E2468),FIND(",",TRIM(E2468))-1),TRIM(E2468)))</f>
        <v>Unknown</v>
      </c>
      <c r="M2468" s="7" t="str">
        <f aca="false">IFERROR(LEFT(J2468,FIND(",",J2468)-1),J2468)</f>
        <v>Dramas</v>
      </c>
      <c r="N2468" s="7" t="n">
        <f aca="false">IF(B2468="Movie",IFERROR(VALUE(LEFT(I2468,FIND(" ",I2468)-1)),""),"")</f>
        <v>90</v>
      </c>
      <c r="O2468" s="7" t="str">
        <f aca="false">IF(B2468="TV Show",IFERROR(VALUE(LEFT(I2468,FIND(" ",I2468)-1)),""),"")</f>
        <v/>
      </c>
      <c r="P2468" s="7" t="n">
        <f aca="false">IF(K2468="","",K2468-G2468)</f>
        <v>4</v>
      </c>
    </row>
    <row r="2469" customFormat="false" ht="15" hidden="false" customHeight="false" outlineLevel="0" collapsed="false">
      <c r="A2469" s="7" t="n">
        <v>81035859</v>
      </c>
      <c r="B2469" s="7" t="s">
        <v>68</v>
      </c>
      <c r="C2469" s="7" t="s">
        <v>5317</v>
      </c>
      <c r="D2469" s="7" t="s">
        <v>5318</v>
      </c>
      <c r="E2469" s="7" t="s">
        <v>963</v>
      </c>
      <c r="F2469" s="7" t="s">
        <v>5289</v>
      </c>
      <c r="G2469" s="7" t="n">
        <v>2013</v>
      </c>
      <c r="H2469" s="7" t="s">
        <v>49</v>
      </c>
      <c r="I2469" s="7" t="s">
        <v>138</v>
      </c>
      <c r="J2469" s="7" t="s">
        <v>304</v>
      </c>
      <c r="K2469" s="7" t="n">
        <f aca="false">IFERROR(VALUE(RIGHT(TRIM(F2469),4)),"")</f>
        <v>2019</v>
      </c>
      <c r="L2469" s="7" t="str">
        <f aca="false">IF(TRIM(E2469)="","Unknown",IFERROR(LEFT(TRIM(E2469),FIND(",",TRIM(E2469))-1),TRIM(E2469)))</f>
        <v>Egypt</v>
      </c>
      <c r="M2469" s="7" t="str">
        <f aca="false">IFERROR(LEFT(J2469,FIND(",",J2469)-1),J2469)</f>
        <v>Dramas</v>
      </c>
      <c r="N2469" s="7" t="n">
        <f aca="false">IF(B2469="Movie",IFERROR(VALUE(LEFT(I2469,FIND(" ",I2469)-1)),""),"")</f>
        <v>96</v>
      </c>
      <c r="O2469" s="7" t="str">
        <f aca="false">IF(B2469="TV Show",IFERROR(VALUE(LEFT(I2469,FIND(" ",I2469)-1)),""),"")</f>
        <v/>
      </c>
      <c r="P2469" s="7" t="n">
        <f aca="false">IF(K2469="","",K2469-G2469)</f>
        <v>6</v>
      </c>
    </row>
    <row r="2470" customFormat="false" ht="15" hidden="false" customHeight="false" outlineLevel="0" collapsed="false">
      <c r="A2470" s="7" t="n">
        <v>80223226</v>
      </c>
      <c r="B2470" s="7" t="s">
        <v>68</v>
      </c>
      <c r="C2470" s="7" t="s">
        <v>5319</v>
      </c>
      <c r="D2470" s="7" t="s">
        <v>2986</v>
      </c>
      <c r="E2470" s="7" t="s">
        <v>30</v>
      </c>
      <c r="F2470" s="7" t="s">
        <v>5320</v>
      </c>
      <c r="G2470" s="7" t="n">
        <v>2016</v>
      </c>
      <c r="H2470" s="7" t="s">
        <v>49</v>
      </c>
      <c r="I2470" s="7" t="s">
        <v>247</v>
      </c>
      <c r="J2470" s="7" t="s">
        <v>5321</v>
      </c>
      <c r="K2470" s="7" t="n">
        <f aca="false">IFERROR(VALUE(RIGHT(TRIM(F2470),4)),"")</f>
        <v>2019</v>
      </c>
      <c r="L2470" s="7" t="str">
        <f aca="false">IF(TRIM(E2470)="","Unknown",IFERROR(LEFT(TRIM(E2470),FIND(",",TRIM(E2470))-1),TRIM(E2470)))</f>
        <v>Japan</v>
      </c>
      <c r="M2470" s="7" t="str">
        <f aca="false">IFERROR(LEFT(J2470,FIND(",",J2470)-1),J2470)</f>
        <v>Anime Features</v>
      </c>
      <c r="N2470" s="7" t="n">
        <f aca="false">IF(B2470="Movie",IFERROR(VALUE(LEFT(I2470,FIND(" ",I2470)-1)),""),"")</f>
        <v>130</v>
      </c>
      <c r="O2470" s="7" t="str">
        <f aca="false">IF(B2470="TV Show",IFERROR(VALUE(LEFT(I2470,FIND(" ",I2470)-1)),""),"")</f>
        <v/>
      </c>
      <c r="P2470" s="7" t="n">
        <f aca="false">IF(K2470="","",K2470-G2470)</f>
        <v>3</v>
      </c>
    </row>
    <row r="2471" customFormat="false" ht="15" hidden="false" customHeight="false" outlineLevel="0" collapsed="false">
      <c r="A2471" s="7" t="n">
        <v>81076055</v>
      </c>
      <c r="B2471" s="7" t="s">
        <v>68</v>
      </c>
      <c r="C2471" s="7" t="s">
        <v>5322</v>
      </c>
      <c r="D2471" s="7" t="s">
        <v>5323</v>
      </c>
      <c r="E2471" s="7" t="s">
        <v>26</v>
      </c>
      <c r="F2471" s="7" t="s">
        <v>5320</v>
      </c>
      <c r="G2471" s="7" t="n">
        <v>2019</v>
      </c>
      <c r="H2471" s="7" t="s">
        <v>50</v>
      </c>
      <c r="I2471" s="7" t="s">
        <v>73</v>
      </c>
      <c r="J2471" s="7" t="s">
        <v>42</v>
      </c>
      <c r="K2471" s="7" t="n">
        <f aca="false">IFERROR(VALUE(RIGHT(TRIM(F2471),4)),"")</f>
        <v>2019</v>
      </c>
      <c r="L2471" s="7" t="str">
        <f aca="false">IF(TRIM(E2471)="","Unknown",IFERROR(LEFT(TRIM(E2471),FIND(",",TRIM(E2471))-1),TRIM(E2471)))</f>
        <v>United States</v>
      </c>
      <c r="M2471" s="7" t="str">
        <f aca="false">IFERROR(LEFT(J2471,FIND(",",J2471)-1),J2471)</f>
        <v>Children &amp; Family Movies</v>
      </c>
      <c r="N2471" s="7" t="n">
        <f aca="false">IF(B2471="Movie",IFERROR(VALUE(LEFT(I2471,FIND(" ",I2471)-1)),""),"")</f>
        <v>90</v>
      </c>
      <c r="O2471" s="7" t="str">
        <f aca="false">IF(B2471="TV Show",IFERROR(VALUE(LEFT(I2471,FIND(" ",I2471)-1)),""),"")</f>
        <v/>
      </c>
      <c r="P2471" s="7" t="n">
        <f aca="false">IF(K2471="","",K2471-G2471)</f>
        <v>0</v>
      </c>
    </row>
    <row r="2472" customFormat="false" ht="15" hidden="false" customHeight="false" outlineLevel="0" collapsed="false">
      <c r="A2472" s="7" t="n">
        <v>80996790</v>
      </c>
      <c r="B2472" s="7" t="s">
        <v>68</v>
      </c>
      <c r="C2472" s="7" t="s">
        <v>5324</v>
      </c>
      <c r="D2472" s="7" t="s">
        <v>5325</v>
      </c>
      <c r="E2472" s="7" t="s">
        <v>5326</v>
      </c>
      <c r="F2472" s="7" t="s">
        <v>5320</v>
      </c>
      <c r="G2472" s="7" t="n">
        <v>2018</v>
      </c>
      <c r="H2472" s="7" t="s">
        <v>54</v>
      </c>
      <c r="I2472" s="7" t="s">
        <v>212</v>
      </c>
      <c r="J2472" s="7" t="s">
        <v>74</v>
      </c>
      <c r="K2472" s="7" t="n">
        <f aca="false">IFERROR(VALUE(RIGHT(TRIM(F2472),4)),"")</f>
        <v>2019</v>
      </c>
      <c r="L2472" s="7" t="str">
        <f aca="false">IF(TRIM(E2472)="","Unknown",IFERROR(LEFT(TRIM(E2472),FIND(",",TRIM(E2472))-1),TRIM(E2472)))</f>
        <v>France</v>
      </c>
      <c r="M2472" s="7" t="str">
        <f aca="false">IFERROR(LEFT(J2472,FIND(",",J2472)-1),J2472)</f>
        <v>Children &amp; Family Movies</v>
      </c>
      <c r="N2472" s="7" t="n">
        <f aca="false">IF(B2472="Movie",IFERROR(VALUE(LEFT(I2472,FIND(" ",I2472)-1)),""),"")</f>
        <v>86</v>
      </c>
      <c r="O2472" s="7" t="str">
        <f aca="false">IF(B2472="TV Show",IFERROR(VALUE(LEFT(I2472,FIND(" ",I2472)-1)),""),"")</f>
        <v/>
      </c>
      <c r="P2472" s="7" t="n">
        <f aca="false">IF(K2472="","",K2472-G2472)</f>
        <v>1</v>
      </c>
    </row>
    <row r="2473" customFormat="false" ht="15" hidden="false" customHeight="false" outlineLevel="0" collapsed="false">
      <c r="A2473" s="7" t="n">
        <v>70181716</v>
      </c>
      <c r="B2473" s="7" t="s">
        <v>68</v>
      </c>
      <c r="C2473" s="7" t="s">
        <v>5327</v>
      </c>
      <c r="D2473" s="7" t="s">
        <v>5328</v>
      </c>
      <c r="E2473" s="7" t="s">
        <v>26</v>
      </c>
      <c r="F2473" s="7" t="s">
        <v>5320</v>
      </c>
      <c r="G2473" s="7" t="n">
        <v>2011</v>
      </c>
      <c r="H2473" s="7" t="s">
        <v>54</v>
      </c>
      <c r="I2473" s="7" t="s">
        <v>143</v>
      </c>
      <c r="J2473" s="7" t="s">
        <v>39</v>
      </c>
      <c r="K2473" s="7" t="n">
        <f aca="false">IFERROR(VALUE(RIGHT(TRIM(F2473),4)),"")</f>
        <v>2019</v>
      </c>
      <c r="L2473" s="7" t="str">
        <f aca="false">IF(TRIM(E2473)="","Unknown",IFERROR(LEFT(TRIM(E2473),FIND(",",TRIM(E2473))-1),TRIM(E2473)))</f>
        <v>United States</v>
      </c>
      <c r="M2473" s="7" t="str">
        <f aca="false">IFERROR(LEFT(J2473,FIND(",",J2473)-1),J2473)</f>
        <v>Documentaries</v>
      </c>
      <c r="N2473" s="7" t="n">
        <f aca="false">IF(B2473="Movie",IFERROR(VALUE(LEFT(I2473,FIND(" ",I2473)-1)),""),"")</f>
        <v>79</v>
      </c>
      <c r="O2473" s="7" t="str">
        <f aca="false">IF(B2473="TV Show",IFERROR(VALUE(LEFT(I2473,FIND(" ",I2473)-1)),""),"")</f>
        <v/>
      </c>
      <c r="P2473" s="7" t="n">
        <f aca="false">IF(K2473="","",K2473-G2473)</f>
        <v>8</v>
      </c>
    </row>
    <row r="2474" customFormat="false" ht="15" hidden="false" customHeight="false" outlineLevel="0" collapsed="false">
      <c r="A2474" s="7" t="n">
        <v>70270388</v>
      </c>
      <c r="B2474" s="7" t="s">
        <v>68</v>
      </c>
      <c r="C2474" s="7" t="s">
        <v>5329</v>
      </c>
      <c r="D2474" s="7" t="s">
        <v>5330</v>
      </c>
      <c r="E2474" s="7" t="s">
        <v>26</v>
      </c>
      <c r="F2474" s="7" t="s">
        <v>5320</v>
      </c>
      <c r="G2474" s="7" t="n">
        <v>2013</v>
      </c>
      <c r="H2474" s="7" t="s">
        <v>48</v>
      </c>
      <c r="I2474" s="7" t="s">
        <v>272</v>
      </c>
      <c r="J2474" s="7" t="s">
        <v>950</v>
      </c>
      <c r="K2474" s="7" t="n">
        <f aca="false">IFERROR(VALUE(RIGHT(TRIM(F2474),4)),"")</f>
        <v>2019</v>
      </c>
      <c r="L2474" s="7" t="str">
        <f aca="false">IF(TRIM(E2474)="","Unknown",IFERROR(LEFT(TRIM(E2474),FIND(",",TRIM(E2474))-1),TRIM(E2474)))</f>
        <v>United States</v>
      </c>
      <c r="M2474" s="7" t="str">
        <f aca="false">IFERROR(LEFT(J2474,FIND(",",J2474)-1),J2474)</f>
        <v>Horror Movies</v>
      </c>
      <c r="N2474" s="7" t="n">
        <f aca="false">IF(B2474="Movie",IFERROR(VALUE(LEFT(I2474,FIND(" ",I2474)-1)),""),"")</f>
        <v>93</v>
      </c>
      <c r="O2474" s="7" t="str">
        <f aca="false">IF(B2474="TV Show",IFERROR(VALUE(LEFT(I2474,FIND(" ",I2474)-1)),""),"")</f>
        <v/>
      </c>
      <c r="P2474" s="7" t="n">
        <f aca="false">IF(K2474="","",K2474-G2474)</f>
        <v>6</v>
      </c>
    </row>
    <row r="2475" customFormat="false" ht="15" hidden="false" customHeight="false" outlineLevel="0" collapsed="false">
      <c r="A2475" s="7" t="n">
        <v>80186608</v>
      </c>
      <c r="B2475" s="7" t="s">
        <v>68</v>
      </c>
      <c r="C2475" s="7" t="s">
        <v>5331</v>
      </c>
      <c r="D2475" s="7" t="s">
        <v>5332</v>
      </c>
      <c r="E2475" s="7" t="s">
        <v>26</v>
      </c>
      <c r="F2475" s="7" t="s">
        <v>5333</v>
      </c>
      <c r="G2475" s="7" t="n">
        <v>2017</v>
      </c>
      <c r="H2475" s="7" t="s">
        <v>52</v>
      </c>
      <c r="I2475" s="7" t="s">
        <v>1707</v>
      </c>
      <c r="J2475" s="7" t="s">
        <v>1628</v>
      </c>
      <c r="K2475" s="7" t="n">
        <f aca="false">IFERROR(VALUE(RIGHT(TRIM(F2475),4)),"")</f>
        <v>2018</v>
      </c>
      <c r="L2475" s="7" t="str">
        <f aca="false">IF(TRIM(E2475)="","Unknown",IFERROR(LEFT(TRIM(E2475),FIND(",",TRIM(E2475))-1),TRIM(E2475)))</f>
        <v>United States</v>
      </c>
      <c r="M2475" s="7" t="str">
        <f aca="false">IFERROR(LEFT(J2475,FIND(",",J2475)-1),J2475)</f>
        <v>Action &amp; Adventure</v>
      </c>
      <c r="N2475" s="7" t="n">
        <f aca="false">IF(B2475="Movie",IFERROR(VALUE(LEFT(I2475,FIND(" ",I2475)-1)),""),"")</f>
        <v>131</v>
      </c>
      <c r="O2475" s="7" t="str">
        <f aca="false">IF(B2475="TV Show",IFERROR(VALUE(LEFT(I2475,FIND(" ",I2475)-1)),""),"")</f>
        <v/>
      </c>
      <c r="P2475" s="7" t="n">
        <f aca="false">IF(K2475="","",K2475-G2475)</f>
        <v>1</v>
      </c>
    </row>
    <row r="2476" customFormat="false" ht="15" hidden="false" customHeight="false" outlineLevel="0" collapsed="false">
      <c r="A2476" s="7" t="n">
        <v>80042309</v>
      </c>
      <c r="B2476" s="7" t="s">
        <v>68</v>
      </c>
      <c r="C2476" s="7" t="s">
        <v>5334</v>
      </c>
      <c r="D2476" s="7" t="s">
        <v>5335</v>
      </c>
      <c r="E2476" s="7" t="s">
        <v>5336</v>
      </c>
      <c r="F2476" s="7" t="s">
        <v>5337</v>
      </c>
      <c r="G2476" s="7" t="n">
        <v>2014</v>
      </c>
      <c r="H2476" s="7" t="s">
        <v>48</v>
      </c>
      <c r="I2476" s="7" t="s">
        <v>294</v>
      </c>
      <c r="J2476" s="7" t="s">
        <v>240</v>
      </c>
      <c r="K2476" s="7" t="n">
        <f aca="false">IFERROR(VALUE(RIGHT(TRIM(F2476),4)),"")</f>
        <v>2017</v>
      </c>
      <c r="L2476" s="7" t="str">
        <f aca="false">IF(TRIM(E2476)="","Unknown",IFERROR(LEFT(TRIM(E2476),FIND(",",TRIM(E2476))-1),TRIM(E2476)))</f>
        <v>United Kingdom</v>
      </c>
      <c r="M2476" s="7" t="str">
        <f aca="false">IFERROR(LEFT(J2476,FIND(",",J2476)-1),J2476)</f>
        <v>Dramas</v>
      </c>
      <c r="N2476" s="7" t="n">
        <f aca="false">IF(B2476="Movie",IFERROR(VALUE(LEFT(I2476,FIND(" ",I2476)-1)),""),"")</f>
        <v>107</v>
      </c>
      <c r="O2476" s="7" t="str">
        <f aca="false">IF(B2476="TV Show",IFERROR(VALUE(LEFT(I2476,FIND(" ",I2476)-1)),""),"")</f>
        <v/>
      </c>
      <c r="P2476" s="7" t="n">
        <f aca="false">IF(K2476="","",K2476-G2476)</f>
        <v>3</v>
      </c>
    </row>
    <row r="2477" customFormat="false" ht="15" hidden="false" customHeight="false" outlineLevel="0" collapsed="false">
      <c r="A2477" s="7" t="n">
        <v>80169554</v>
      </c>
      <c r="B2477" s="7" t="s">
        <v>68</v>
      </c>
      <c r="C2477" s="7" t="s">
        <v>5338</v>
      </c>
      <c r="D2477" s="7" t="s">
        <v>5339</v>
      </c>
      <c r="E2477" s="7" t="s">
        <v>27</v>
      </c>
      <c r="F2477" s="7" t="s">
        <v>5337</v>
      </c>
      <c r="G2477" s="7" t="n">
        <v>2017</v>
      </c>
      <c r="H2477" s="7" t="s">
        <v>49</v>
      </c>
      <c r="I2477" s="7" t="s">
        <v>386</v>
      </c>
      <c r="J2477" s="7" t="s">
        <v>5340</v>
      </c>
      <c r="K2477" s="7" t="n">
        <f aca="false">IFERROR(VALUE(RIGHT(TRIM(F2477),4)),"")</f>
        <v>2017</v>
      </c>
      <c r="L2477" s="7" t="str">
        <f aca="false">IF(TRIM(E2477)="","Unknown",IFERROR(LEFT(TRIM(E2477),FIND(",",TRIM(E2477))-1),TRIM(E2477)))</f>
        <v>India</v>
      </c>
      <c r="M2477" s="7" t="str">
        <f aca="false">IFERROR(LEFT(J2477,FIND(",",J2477)-1),J2477)</f>
        <v>Children &amp; Family Movies</v>
      </c>
      <c r="N2477" s="7" t="n">
        <f aca="false">IF(B2477="Movie",IFERROR(VALUE(LEFT(I2477,FIND(" ",I2477)-1)),""),"")</f>
        <v>117</v>
      </c>
      <c r="O2477" s="7" t="str">
        <f aca="false">IF(B2477="TV Show",IFERROR(VALUE(LEFT(I2477,FIND(" ",I2477)-1)),""),"")</f>
        <v/>
      </c>
      <c r="P2477" s="7" t="n">
        <f aca="false">IF(K2477="","",K2477-G2477)</f>
        <v>0</v>
      </c>
    </row>
    <row r="2478" customFormat="false" ht="15" hidden="false" customHeight="false" outlineLevel="0" collapsed="false">
      <c r="A2478" s="7" t="n">
        <v>80114804</v>
      </c>
      <c r="B2478" s="7" t="s">
        <v>68</v>
      </c>
      <c r="C2478" s="7" t="s">
        <v>5341</v>
      </c>
      <c r="D2478" s="7" t="s">
        <v>5342</v>
      </c>
      <c r="E2478" s="7" t="s">
        <v>868</v>
      </c>
      <c r="F2478" s="7" t="s">
        <v>5343</v>
      </c>
      <c r="G2478" s="7" t="n">
        <v>2015</v>
      </c>
      <c r="H2478" s="7" t="s">
        <v>48</v>
      </c>
      <c r="I2478" s="7" t="s">
        <v>5344</v>
      </c>
      <c r="J2478" s="7" t="s">
        <v>2458</v>
      </c>
      <c r="K2478" s="7" t="n">
        <f aca="false">IFERROR(VALUE(RIGHT(TRIM(F2478),4)),"")</f>
        <v>2019</v>
      </c>
      <c r="L2478" s="7" t="str">
        <f aca="false">IF(TRIM(E2478)="","Unknown",IFERROR(LEFT(TRIM(E2478),FIND(",",TRIM(E2478))-1),TRIM(E2478)))</f>
        <v>Netherlands</v>
      </c>
      <c r="M2478" s="7" t="str">
        <f aca="false">IFERROR(LEFT(J2478,FIND(",",J2478)-1),J2478)</f>
        <v>Dramas</v>
      </c>
      <c r="N2478" s="7" t="n">
        <f aca="false">IF(B2478="Movie",IFERROR(VALUE(LEFT(I2478,FIND(" ",I2478)-1)),""),"")</f>
        <v>12</v>
      </c>
      <c r="O2478" s="7" t="str">
        <f aca="false">IF(B2478="TV Show",IFERROR(VALUE(LEFT(I2478,FIND(" ",I2478)-1)),""),"")</f>
        <v/>
      </c>
      <c r="P2478" s="7" t="n">
        <f aca="false">IF(K2478="","",K2478-G2478)</f>
        <v>4</v>
      </c>
    </row>
    <row r="2479" customFormat="false" ht="15" hidden="false" customHeight="false" outlineLevel="0" collapsed="false">
      <c r="A2479" s="7" t="n">
        <v>80237423</v>
      </c>
      <c r="B2479" s="7" t="s">
        <v>68</v>
      </c>
      <c r="C2479" s="7" t="s">
        <v>5345</v>
      </c>
      <c r="D2479" s="7" t="s">
        <v>2518</v>
      </c>
      <c r="E2479" s="7" t="s">
        <v>26</v>
      </c>
      <c r="F2479" s="7" t="s">
        <v>5343</v>
      </c>
      <c r="G2479" s="7" t="n">
        <v>2019</v>
      </c>
      <c r="H2479" s="7" t="s">
        <v>49</v>
      </c>
      <c r="I2479" s="7" t="s">
        <v>117</v>
      </c>
      <c r="J2479" s="7" t="s">
        <v>45</v>
      </c>
      <c r="K2479" s="7" t="n">
        <f aca="false">IFERROR(VALUE(RIGHT(TRIM(F2479),4)),"")</f>
        <v>2019</v>
      </c>
      <c r="L2479" s="7" t="str">
        <f aca="false">IF(TRIM(E2479)="","Unknown",IFERROR(LEFT(TRIM(E2479),FIND(",",TRIM(E2479))-1),TRIM(E2479)))</f>
        <v>United States</v>
      </c>
      <c r="M2479" s="7" t="str">
        <f aca="false">IFERROR(LEFT(J2479,FIND(",",J2479)-1),J2479)</f>
        <v>Stand-Up Comedy</v>
      </c>
      <c r="N2479" s="7" t="n">
        <f aca="false">IF(B2479="Movie",IFERROR(VALUE(LEFT(I2479,FIND(" ",I2479)-1)),""),"")</f>
        <v>62</v>
      </c>
      <c r="O2479" s="7" t="str">
        <f aca="false">IF(B2479="TV Show",IFERROR(VALUE(LEFT(I2479,FIND(" ",I2479)-1)),""),"")</f>
        <v/>
      </c>
      <c r="P2479" s="7" t="n">
        <f aca="false">IF(K2479="","",K2479-G2479)</f>
        <v>0</v>
      </c>
    </row>
    <row r="2480" customFormat="false" ht="15" hidden="false" customHeight="false" outlineLevel="0" collapsed="false">
      <c r="A2480" s="7" t="n">
        <v>70304298</v>
      </c>
      <c r="B2480" s="7" t="s">
        <v>68</v>
      </c>
      <c r="C2480" s="7" t="s">
        <v>5346</v>
      </c>
      <c r="D2480" s="7" t="s">
        <v>5347</v>
      </c>
      <c r="E2480" s="7" t="s">
        <v>26</v>
      </c>
      <c r="F2480" s="7" t="s">
        <v>5343</v>
      </c>
      <c r="G2480" s="7" t="n">
        <v>2014</v>
      </c>
      <c r="H2480" s="7" t="s">
        <v>55</v>
      </c>
      <c r="I2480" s="7" t="s">
        <v>5348</v>
      </c>
      <c r="J2480" s="7" t="s">
        <v>1931</v>
      </c>
      <c r="K2480" s="7" t="n">
        <f aca="false">IFERROR(VALUE(RIGHT(TRIM(F2480),4)),"")</f>
        <v>2019</v>
      </c>
      <c r="L2480" s="7" t="str">
        <f aca="false">IF(TRIM(E2480)="","Unknown",IFERROR(LEFT(TRIM(E2480),FIND(",",TRIM(E2480))-1),TRIM(E2480)))</f>
        <v>United States</v>
      </c>
      <c r="M2480" s="7" t="str">
        <f aca="false">IFERROR(LEFT(J2480,FIND(",",J2480)-1),J2480)</f>
        <v>Children &amp; Family Movies</v>
      </c>
      <c r="N2480" s="7" t="n">
        <f aca="false">IF(B2480="Movie",IFERROR(VALUE(LEFT(I2480,FIND(" ",I2480)-1)),""),"")</f>
        <v>3</v>
      </c>
      <c r="O2480" s="7" t="str">
        <f aca="false">IF(B2480="TV Show",IFERROR(VALUE(LEFT(I2480,FIND(" ",I2480)-1)),""),"")</f>
        <v/>
      </c>
      <c r="P2480" s="7" t="n">
        <f aca="false">IF(K2480="","",K2480-G2480)</f>
        <v>5</v>
      </c>
    </row>
    <row r="2481" customFormat="false" ht="15" hidden="false" customHeight="false" outlineLevel="0" collapsed="false">
      <c r="A2481" s="7" t="n">
        <v>70117293</v>
      </c>
      <c r="B2481" s="7" t="s">
        <v>68</v>
      </c>
      <c r="C2481" s="7" t="s">
        <v>5349</v>
      </c>
      <c r="D2481" s="7" t="s">
        <v>5350</v>
      </c>
      <c r="E2481" s="7" t="s">
        <v>293</v>
      </c>
      <c r="F2481" s="7" t="s">
        <v>5343</v>
      </c>
      <c r="G2481" s="7" t="n">
        <v>2009</v>
      </c>
      <c r="H2481" s="7" t="s">
        <v>51</v>
      </c>
      <c r="I2481" s="7" t="s">
        <v>77</v>
      </c>
      <c r="J2481" s="7" t="s">
        <v>38</v>
      </c>
      <c r="K2481" s="7" t="n">
        <f aca="false">IFERROR(VALUE(RIGHT(TRIM(F2481),4)),"")</f>
        <v>2019</v>
      </c>
      <c r="L2481" s="7" t="str">
        <f aca="false">IF(TRIM(E2481)="","Unknown",IFERROR(LEFT(TRIM(E2481),FIND(",",TRIM(E2481))-1),TRIM(E2481)))</f>
        <v>United States</v>
      </c>
      <c r="M2481" s="7" t="str">
        <f aca="false">IFERROR(LEFT(J2481,FIND(",",J2481)-1),J2481)</f>
        <v>Comedies</v>
      </c>
      <c r="N2481" s="7" t="n">
        <f aca="false">IF(B2481="Movie",IFERROR(VALUE(LEFT(I2481,FIND(" ",I2481)-1)),""),"")</f>
        <v>94</v>
      </c>
      <c r="O2481" s="7" t="str">
        <f aca="false">IF(B2481="TV Show",IFERROR(VALUE(LEFT(I2481,FIND(" ",I2481)-1)),""),"")</f>
        <v/>
      </c>
      <c r="P2481" s="7" t="n">
        <f aca="false">IF(K2481="","",K2481-G2481)</f>
        <v>10</v>
      </c>
    </row>
    <row r="2482" customFormat="false" ht="15" hidden="false" customHeight="false" outlineLevel="0" collapsed="false">
      <c r="A2482" s="7" t="n">
        <v>80241689</v>
      </c>
      <c r="B2482" s="7" t="s">
        <v>78</v>
      </c>
      <c r="C2482" s="7" t="s">
        <v>5351</v>
      </c>
      <c r="F2482" s="7" t="s">
        <v>5352</v>
      </c>
      <c r="G2482" s="7" t="n">
        <v>2016</v>
      </c>
      <c r="H2482" s="7" t="s">
        <v>48</v>
      </c>
      <c r="I2482" s="7" t="s">
        <v>82</v>
      </c>
      <c r="J2482" s="7" t="s">
        <v>158</v>
      </c>
      <c r="K2482" s="7" t="n">
        <f aca="false">IFERROR(VALUE(RIGHT(TRIM(F2482),4)),"")</f>
        <v>2018</v>
      </c>
      <c r="L2482" s="7" t="str">
        <f aca="false">IF(TRIM(E2482)="","Unknown",IFERROR(LEFT(TRIM(E2482),FIND(",",TRIM(E2482))-1),TRIM(E2482)))</f>
        <v>Unknown</v>
      </c>
      <c r="M2482" s="7" t="str">
        <f aca="false">IFERROR(LEFT(J2482,FIND(",",J2482)-1),J2482)</f>
        <v>International TV Shows</v>
      </c>
      <c r="N2482" s="7" t="str">
        <f aca="false">IF(B2482="Movie",IFERROR(VALUE(LEFT(I2482,FIND(" ",I2482)-1)),""),"")</f>
        <v/>
      </c>
      <c r="O2482" s="7" t="n">
        <f aca="false">IF(B2482="TV Show",IFERROR(VALUE(LEFT(I2482,FIND(" ",I2482)-1)),""),"")</f>
        <v>1</v>
      </c>
      <c r="P2482" s="7" t="n">
        <f aca="false">IF(K2482="","",K2482-G2482)</f>
        <v>2</v>
      </c>
    </row>
    <row r="2483" customFormat="false" ht="15" hidden="false" customHeight="false" outlineLevel="0" collapsed="false">
      <c r="A2483" s="7" t="n">
        <v>80121841</v>
      </c>
      <c r="B2483" s="7" t="s">
        <v>68</v>
      </c>
      <c r="C2483" s="7" t="s">
        <v>5353</v>
      </c>
      <c r="D2483" s="7" t="s">
        <v>5354</v>
      </c>
      <c r="E2483" s="7" t="s">
        <v>26</v>
      </c>
      <c r="F2483" s="7" t="s">
        <v>5352</v>
      </c>
      <c r="G2483" s="7" t="n">
        <v>2017</v>
      </c>
      <c r="H2483" s="7" t="s">
        <v>54</v>
      </c>
      <c r="I2483" s="7" t="s">
        <v>212</v>
      </c>
      <c r="J2483" s="7" t="s">
        <v>5355</v>
      </c>
      <c r="K2483" s="7" t="n">
        <f aca="false">IFERROR(VALUE(RIGHT(TRIM(F2483),4)),"")</f>
        <v>2018</v>
      </c>
      <c r="L2483" s="7" t="str">
        <f aca="false">IF(TRIM(E2483)="","Unknown",IFERROR(LEFT(TRIM(E2483),FIND(",",TRIM(E2483))-1),TRIM(E2483)))</f>
        <v>United States</v>
      </c>
      <c r="M2483" s="7" t="str">
        <f aca="false">IFERROR(LEFT(J2483,FIND(",",J2483)-1),J2483)</f>
        <v>Children &amp; Family Movies</v>
      </c>
      <c r="N2483" s="7" t="n">
        <f aca="false">IF(B2483="Movie",IFERROR(VALUE(LEFT(I2483,FIND(" ",I2483)-1)),""),"")</f>
        <v>86</v>
      </c>
      <c r="O2483" s="7" t="str">
        <f aca="false">IF(B2483="TV Show",IFERROR(VALUE(LEFT(I2483,FIND(" ",I2483)-1)),""),"")</f>
        <v/>
      </c>
      <c r="P2483" s="7" t="n">
        <f aca="false">IF(K2483="","",K2483-G2483)</f>
        <v>1</v>
      </c>
    </row>
    <row r="2484" customFormat="false" ht="15" hidden="false" customHeight="false" outlineLevel="0" collapsed="false">
      <c r="A2484" s="7" t="n">
        <v>81093122</v>
      </c>
      <c r="B2484" s="7" t="s">
        <v>68</v>
      </c>
      <c r="C2484" s="7" t="s">
        <v>5356</v>
      </c>
      <c r="D2484" s="7" t="s">
        <v>5357</v>
      </c>
      <c r="E2484" s="7" t="s">
        <v>167</v>
      </c>
      <c r="F2484" s="7" t="s">
        <v>5358</v>
      </c>
      <c r="G2484" s="7" t="n">
        <v>2019</v>
      </c>
      <c r="H2484" s="7" t="s">
        <v>48</v>
      </c>
      <c r="I2484" s="7" t="s">
        <v>232</v>
      </c>
      <c r="J2484" s="7" t="s">
        <v>5359</v>
      </c>
      <c r="K2484" s="7" t="n">
        <f aca="false">IFERROR(VALUE(RIGHT(TRIM(F2484),4)),"")</f>
        <v>2019</v>
      </c>
      <c r="L2484" s="7" t="str">
        <f aca="false">IF(TRIM(E2484)="","Unknown",IFERROR(LEFT(TRIM(E2484),FIND(",",TRIM(E2484))-1),TRIM(E2484)))</f>
        <v>Thailand</v>
      </c>
      <c r="M2484" s="7" t="str">
        <f aca="false">IFERROR(LEFT(J2484,FIND(",",J2484)-1),J2484)</f>
        <v>Horror Movies</v>
      </c>
      <c r="N2484" s="7" t="n">
        <f aca="false">IF(B2484="Movie",IFERROR(VALUE(LEFT(I2484,FIND(" ",I2484)-1)),""),"")</f>
        <v>122</v>
      </c>
      <c r="O2484" s="7" t="str">
        <f aca="false">IF(B2484="TV Show",IFERROR(VALUE(LEFT(I2484,FIND(" ",I2484)-1)),""),"")</f>
        <v/>
      </c>
      <c r="P2484" s="7" t="n">
        <f aca="false">IF(K2484="","",K2484-G2484)</f>
        <v>0</v>
      </c>
    </row>
    <row r="2485" customFormat="false" ht="15" hidden="false" customHeight="false" outlineLevel="0" collapsed="false">
      <c r="A2485" s="7" t="n">
        <v>70293788</v>
      </c>
      <c r="B2485" s="7" t="s">
        <v>68</v>
      </c>
      <c r="C2485" s="7" t="s">
        <v>5360</v>
      </c>
      <c r="D2485" s="7" t="s">
        <v>5361</v>
      </c>
      <c r="E2485" s="7" t="s">
        <v>26</v>
      </c>
      <c r="F2485" s="7" t="s">
        <v>5358</v>
      </c>
      <c r="G2485" s="7" t="n">
        <v>2013</v>
      </c>
      <c r="H2485" s="7" t="s">
        <v>51</v>
      </c>
      <c r="I2485" s="7" t="s">
        <v>146</v>
      </c>
      <c r="J2485" s="7" t="s">
        <v>520</v>
      </c>
      <c r="K2485" s="7" t="n">
        <f aca="false">IFERROR(VALUE(RIGHT(TRIM(F2485),4)),"")</f>
        <v>2019</v>
      </c>
      <c r="L2485" s="7" t="str">
        <f aca="false">IF(TRIM(E2485)="","Unknown",IFERROR(LEFT(TRIM(E2485),FIND(",",TRIM(E2485))-1),TRIM(E2485)))</f>
        <v>United States</v>
      </c>
      <c r="M2485" s="7" t="str">
        <f aca="false">IFERROR(LEFT(J2485,FIND(",",J2485)-1),J2485)</f>
        <v>Dramas</v>
      </c>
      <c r="N2485" s="7" t="n">
        <f aca="false">IF(B2485="Movie",IFERROR(VALUE(LEFT(I2485,FIND(" ",I2485)-1)),""),"")</f>
        <v>113</v>
      </c>
      <c r="O2485" s="7" t="str">
        <f aca="false">IF(B2485="TV Show",IFERROR(VALUE(LEFT(I2485,FIND(" ",I2485)-1)),""),"")</f>
        <v/>
      </c>
      <c r="P2485" s="7" t="n">
        <f aca="false">IF(K2485="","",K2485-G2485)</f>
        <v>6</v>
      </c>
    </row>
    <row r="2486" customFormat="false" ht="15" hidden="false" customHeight="false" outlineLevel="0" collapsed="false">
      <c r="A2486" s="7" t="n">
        <v>81039384</v>
      </c>
      <c r="B2486" s="7" t="s">
        <v>68</v>
      </c>
      <c r="C2486" s="7" t="s">
        <v>5362</v>
      </c>
      <c r="D2486" s="7" t="s">
        <v>5363</v>
      </c>
      <c r="E2486" s="7" t="s">
        <v>27</v>
      </c>
      <c r="F2486" s="7" t="s">
        <v>5358</v>
      </c>
      <c r="G2486" s="7" t="n">
        <v>2019</v>
      </c>
      <c r="H2486" s="7" t="s">
        <v>49</v>
      </c>
      <c r="I2486" s="7" t="s">
        <v>727</v>
      </c>
      <c r="J2486" s="7" t="s">
        <v>182</v>
      </c>
      <c r="K2486" s="7" t="n">
        <f aca="false">IFERROR(VALUE(RIGHT(TRIM(F2486),4)),"")</f>
        <v>2019</v>
      </c>
      <c r="L2486" s="7" t="str">
        <f aca="false">IF(TRIM(E2486)="","Unknown",IFERROR(LEFT(TRIM(E2486),FIND(",",TRIM(E2486))-1),TRIM(E2486)))</f>
        <v>India</v>
      </c>
      <c r="M2486" s="7" t="str">
        <f aca="false">IFERROR(LEFT(J2486,FIND(",",J2486)-1),J2486)</f>
        <v>Dramas</v>
      </c>
      <c r="N2486" s="7" t="n">
        <f aca="false">IF(B2486="Movie",IFERROR(VALUE(LEFT(I2486,FIND(" ",I2486)-1)),""),"")</f>
        <v>141</v>
      </c>
      <c r="O2486" s="7" t="str">
        <f aca="false">IF(B2486="TV Show",IFERROR(VALUE(LEFT(I2486,FIND(" ",I2486)-1)),""),"")</f>
        <v/>
      </c>
      <c r="P2486" s="7" t="n">
        <f aca="false">IF(K2486="","",K2486-G2486)</f>
        <v>0</v>
      </c>
    </row>
    <row r="2487" customFormat="false" ht="15" hidden="false" customHeight="false" outlineLevel="0" collapsed="false">
      <c r="A2487" s="7" t="n">
        <v>70245034</v>
      </c>
      <c r="B2487" s="7" t="s">
        <v>68</v>
      </c>
      <c r="C2487" s="7" t="s">
        <v>5364</v>
      </c>
      <c r="D2487" s="7" t="s">
        <v>1621</v>
      </c>
      <c r="E2487" s="7" t="s">
        <v>26</v>
      </c>
      <c r="F2487" s="7" t="s">
        <v>5365</v>
      </c>
      <c r="G2487" s="7" t="n">
        <v>2012</v>
      </c>
      <c r="H2487" s="7" t="s">
        <v>53</v>
      </c>
      <c r="I2487" s="7" t="s">
        <v>628</v>
      </c>
      <c r="J2487" s="7" t="s">
        <v>45</v>
      </c>
      <c r="K2487" s="7" t="n">
        <f aca="false">IFERROR(VALUE(RIGHT(TRIM(F2487),4)),"")</f>
        <v>2018</v>
      </c>
      <c r="L2487" s="7" t="str">
        <f aca="false">IF(TRIM(E2487)="","Unknown",IFERROR(LEFT(TRIM(E2487),FIND(",",TRIM(E2487))-1),TRIM(E2487)))</f>
        <v>United States</v>
      </c>
      <c r="M2487" s="7" t="str">
        <f aca="false">IFERROR(LEFT(J2487,FIND(",",J2487)-1),J2487)</f>
        <v>Stand-Up Comedy</v>
      </c>
      <c r="N2487" s="7" t="n">
        <f aca="false">IF(B2487="Movie",IFERROR(VALUE(LEFT(I2487,FIND(" ",I2487)-1)),""),"")</f>
        <v>69</v>
      </c>
      <c r="O2487" s="7" t="str">
        <f aca="false">IF(B2487="TV Show",IFERROR(VALUE(LEFT(I2487,FIND(" ",I2487)-1)),""),"")</f>
        <v/>
      </c>
      <c r="P2487" s="7" t="n">
        <f aca="false">IF(K2487="","",K2487-G2487)</f>
        <v>6</v>
      </c>
    </row>
    <row r="2488" customFormat="false" ht="15" hidden="false" customHeight="false" outlineLevel="0" collapsed="false">
      <c r="A2488" s="7" t="n">
        <v>80220676</v>
      </c>
      <c r="B2488" s="7" t="s">
        <v>68</v>
      </c>
      <c r="C2488" s="7" t="s">
        <v>5366</v>
      </c>
      <c r="D2488" s="7" t="s">
        <v>5367</v>
      </c>
      <c r="E2488" s="7" t="s">
        <v>26</v>
      </c>
      <c r="F2488" s="7" t="s">
        <v>5365</v>
      </c>
      <c r="G2488" s="7" t="n">
        <v>2017</v>
      </c>
      <c r="H2488" s="7" t="s">
        <v>48</v>
      </c>
      <c r="I2488" s="7" t="s">
        <v>311</v>
      </c>
      <c r="J2488" s="7" t="s">
        <v>5368</v>
      </c>
      <c r="K2488" s="7" t="n">
        <f aca="false">IFERROR(VALUE(RIGHT(TRIM(F2488),4)),"")</f>
        <v>2018</v>
      </c>
      <c r="L2488" s="7" t="str">
        <f aca="false">IF(TRIM(E2488)="","Unknown",IFERROR(LEFT(TRIM(E2488),FIND(",",TRIM(E2488))-1),TRIM(E2488)))</f>
        <v>United States</v>
      </c>
      <c r="M2488" s="7" t="str">
        <f aca="false">IFERROR(LEFT(J2488,FIND(",",J2488)-1),J2488)</f>
        <v>Action &amp; Adventure</v>
      </c>
      <c r="N2488" s="7" t="n">
        <f aca="false">IF(B2488="Movie",IFERROR(VALUE(LEFT(I2488,FIND(" ",I2488)-1)),""),"")</f>
        <v>92</v>
      </c>
      <c r="O2488" s="7" t="str">
        <f aca="false">IF(B2488="TV Show",IFERROR(VALUE(LEFT(I2488,FIND(" ",I2488)-1)),""),"")</f>
        <v/>
      </c>
      <c r="P2488" s="7" t="n">
        <f aca="false">IF(K2488="","",K2488-G2488)</f>
        <v>1</v>
      </c>
    </row>
    <row r="2489" customFormat="false" ht="15" hidden="false" customHeight="false" outlineLevel="0" collapsed="false">
      <c r="A2489" s="7" t="n">
        <v>80173623</v>
      </c>
      <c r="B2489" s="7" t="s">
        <v>78</v>
      </c>
      <c r="C2489" s="7" t="s">
        <v>5369</v>
      </c>
      <c r="E2489" s="7" t="s">
        <v>26</v>
      </c>
      <c r="F2489" s="7" t="s">
        <v>5365</v>
      </c>
      <c r="G2489" s="7" t="n">
        <v>2017</v>
      </c>
      <c r="H2489" s="7" t="s">
        <v>49</v>
      </c>
      <c r="I2489" s="7" t="s">
        <v>82</v>
      </c>
      <c r="J2489" s="7" t="s">
        <v>282</v>
      </c>
      <c r="K2489" s="7" t="n">
        <f aca="false">IFERROR(VALUE(RIGHT(TRIM(F2489),4)),"")</f>
        <v>2018</v>
      </c>
      <c r="L2489" s="7" t="str">
        <f aca="false">IF(TRIM(E2489)="","Unknown",IFERROR(LEFT(TRIM(E2489),FIND(",",TRIM(E2489))-1),TRIM(E2489)))</f>
        <v>United States</v>
      </c>
      <c r="M2489" s="7" t="str">
        <f aca="false">IFERROR(LEFT(J2489,FIND(",",J2489)-1),J2489)</f>
        <v>Crime TV Shows</v>
      </c>
      <c r="N2489" s="7" t="str">
        <f aca="false">IF(B2489="Movie",IFERROR(VALUE(LEFT(I2489,FIND(" ",I2489)-1)),""),"")</f>
        <v/>
      </c>
      <c r="O2489" s="7" t="n">
        <f aca="false">IF(B2489="TV Show",IFERROR(VALUE(LEFT(I2489,FIND(" ",I2489)-1)),""),"")</f>
        <v>1</v>
      </c>
      <c r="P2489" s="7" t="n">
        <f aca="false">IF(K2489="","",K2489-G2489)</f>
        <v>1</v>
      </c>
    </row>
    <row r="2490" customFormat="false" ht="15" hidden="false" customHeight="false" outlineLevel="0" collapsed="false">
      <c r="A2490" s="7" t="n">
        <v>80109341</v>
      </c>
      <c r="B2490" s="7" t="s">
        <v>68</v>
      </c>
      <c r="C2490" s="7" t="s">
        <v>5370</v>
      </c>
      <c r="D2490" s="7" t="s">
        <v>5371</v>
      </c>
      <c r="E2490" s="7" t="s">
        <v>33</v>
      </c>
      <c r="F2490" s="7" t="s">
        <v>5365</v>
      </c>
      <c r="G2490" s="7" t="n">
        <v>2017</v>
      </c>
      <c r="H2490" s="7" t="s">
        <v>48</v>
      </c>
      <c r="I2490" s="7" t="s">
        <v>73</v>
      </c>
      <c r="J2490" s="7" t="s">
        <v>2725</v>
      </c>
      <c r="K2490" s="7" t="n">
        <f aca="false">IFERROR(VALUE(RIGHT(TRIM(F2490),4)),"")</f>
        <v>2018</v>
      </c>
      <c r="L2490" s="7" t="str">
        <f aca="false">IF(TRIM(E2490)="","Unknown",IFERROR(LEFT(TRIM(E2490),FIND(",",TRIM(E2490))-1),TRIM(E2490)))</f>
        <v>Spain</v>
      </c>
      <c r="M2490" s="7" t="str">
        <f aca="false">IFERROR(LEFT(J2490,FIND(",",J2490)-1),J2490)</f>
        <v>Horror Movies</v>
      </c>
      <c r="N2490" s="7" t="n">
        <f aca="false">IF(B2490="Movie",IFERROR(VALUE(LEFT(I2490,FIND(" ",I2490)-1)),""),"")</f>
        <v>90</v>
      </c>
      <c r="O2490" s="7" t="str">
        <f aca="false">IF(B2490="TV Show",IFERROR(VALUE(LEFT(I2490,FIND(" ",I2490)-1)),""),"")</f>
        <v/>
      </c>
      <c r="P2490" s="7" t="n">
        <f aca="false">IF(K2490="","",K2490-G2490)</f>
        <v>1</v>
      </c>
    </row>
    <row r="2491" customFormat="false" ht="15" hidden="false" customHeight="false" outlineLevel="0" collapsed="false">
      <c r="A2491" s="7" t="n">
        <v>80127764</v>
      </c>
      <c r="B2491" s="7" t="s">
        <v>68</v>
      </c>
      <c r="C2491" s="7" t="s">
        <v>5372</v>
      </c>
      <c r="D2491" s="7" t="s">
        <v>5373</v>
      </c>
      <c r="E2491" s="7" t="s">
        <v>33</v>
      </c>
      <c r="F2491" s="7" t="s">
        <v>5374</v>
      </c>
      <c r="G2491" s="7" t="n">
        <v>2015</v>
      </c>
      <c r="H2491" s="7" t="s">
        <v>54</v>
      </c>
      <c r="I2491" s="7" t="s">
        <v>73</v>
      </c>
      <c r="J2491" s="7" t="s">
        <v>5375</v>
      </c>
      <c r="K2491" s="7" t="n">
        <f aca="false">IFERROR(VALUE(RIGHT(TRIM(F2491),4)),"")</f>
        <v>2017</v>
      </c>
      <c r="L2491" s="7" t="str">
        <f aca="false">IF(TRIM(E2491)="","Unknown",IFERROR(LEFT(TRIM(E2491),FIND(",",TRIM(E2491))-1),TRIM(E2491)))</f>
        <v>Spain</v>
      </c>
      <c r="M2491" s="7" t="str">
        <f aca="false">IFERROR(LEFT(J2491,FIND(",",J2491)-1),J2491)</f>
        <v>Documentaries</v>
      </c>
      <c r="N2491" s="7" t="n">
        <f aca="false">IF(B2491="Movie",IFERROR(VALUE(LEFT(I2491,FIND(" ",I2491)-1)),""),"")</f>
        <v>90</v>
      </c>
      <c r="O2491" s="7" t="str">
        <f aca="false">IF(B2491="TV Show",IFERROR(VALUE(LEFT(I2491,FIND(" ",I2491)-1)),""),"")</f>
        <v/>
      </c>
      <c r="P2491" s="7" t="n">
        <f aca="false">IF(K2491="","",K2491-G2491)</f>
        <v>2</v>
      </c>
    </row>
    <row r="2492" customFormat="false" ht="15" hidden="false" customHeight="false" outlineLevel="0" collapsed="false">
      <c r="A2492" s="7" t="n">
        <v>80095411</v>
      </c>
      <c r="B2492" s="7" t="s">
        <v>78</v>
      </c>
      <c r="C2492" s="7" t="s">
        <v>5376</v>
      </c>
      <c r="E2492" s="7" t="s">
        <v>293</v>
      </c>
      <c r="F2492" s="7" t="s">
        <v>5374</v>
      </c>
      <c r="G2492" s="7" t="n">
        <v>2017</v>
      </c>
      <c r="H2492" s="7" t="s">
        <v>48</v>
      </c>
      <c r="I2492" s="7" t="s">
        <v>82</v>
      </c>
      <c r="J2492" s="7" t="s">
        <v>2704</v>
      </c>
      <c r="K2492" s="7" t="n">
        <f aca="false">IFERROR(VALUE(RIGHT(TRIM(F2492),4)),"")</f>
        <v>2017</v>
      </c>
      <c r="L2492" s="7" t="str">
        <f aca="false">IF(TRIM(E2492)="","Unknown",IFERROR(LEFT(TRIM(E2492),FIND(",",TRIM(E2492))-1),TRIM(E2492)))</f>
        <v>United States</v>
      </c>
      <c r="M2492" s="7" t="str">
        <f aca="false">IFERROR(LEFT(J2492,FIND(",",J2492)-1),J2492)</f>
        <v>TV Dramas</v>
      </c>
      <c r="N2492" s="7" t="str">
        <f aca="false">IF(B2492="Movie",IFERROR(VALUE(LEFT(I2492,FIND(" ",I2492)-1)),""),"")</f>
        <v/>
      </c>
      <c r="O2492" s="7" t="n">
        <f aca="false">IF(B2492="TV Show",IFERROR(VALUE(LEFT(I2492,FIND(" ",I2492)-1)),""),"")</f>
        <v>1</v>
      </c>
      <c r="P2492" s="7" t="n">
        <f aca="false">IF(K2492="","",K2492-G2492)</f>
        <v>0</v>
      </c>
    </row>
    <row r="2493" customFormat="false" ht="15" hidden="false" customHeight="false" outlineLevel="0" collapsed="false">
      <c r="A2493" s="7" t="n">
        <v>80190144</v>
      </c>
      <c r="B2493" s="7" t="s">
        <v>68</v>
      </c>
      <c r="C2493" s="7" t="s">
        <v>5377</v>
      </c>
      <c r="D2493" s="7" t="s">
        <v>5378</v>
      </c>
      <c r="E2493" s="7" t="s">
        <v>26</v>
      </c>
      <c r="F2493" s="7" t="s">
        <v>5374</v>
      </c>
      <c r="G2493" s="7" t="n">
        <v>2016</v>
      </c>
      <c r="H2493" s="7" t="s">
        <v>49</v>
      </c>
      <c r="I2493" s="7" t="s">
        <v>143</v>
      </c>
      <c r="J2493" s="7" t="s">
        <v>39</v>
      </c>
      <c r="K2493" s="7" t="n">
        <f aca="false">IFERROR(VALUE(RIGHT(TRIM(F2493),4)),"")</f>
        <v>2017</v>
      </c>
      <c r="L2493" s="7" t="str">
        <f aca="false">IF(TRIM(E2493)="","Unknown",IFERROR(LEFT(TRIM(E2493),FIND(",",TRIM(E2493))-1),TRIM(E2493)))</f>
        <v>United States</v>
      </c>
      <c r="M2493" s="7" t="str">
        <f aca="false">IFERROR(LEFT(J2493,FIND(",",J2493)-1),J2493)</f>
        <v>Documentaries</v>
      </c>
      <c r="N2493" s="7" t="n">
        <f aca="false">IF(B2493="Movie",IFERROR(VALUE(LEFT(I2493,FIND(" ",I2493)-1)),""),"")</f>
        <v>79</v>
      </c>
      <c r="O2493" s="7" t="str">
        <f aca="false">IF(B2493="TV Show",IFERROR(VALUE(LEFT(I2493,FIND(" ",I2493)-1)),""),"")</f>
        <v/>
      </c>
      <c r="P2493" s="7" t="n">
        <f aca="false">IF(K2493="","",K2493-G2493)</f>
        <v>1</v>
      </c>
    </row>
    <row r="2494" customFormat="false" ht="15" hidden="false" customHeight="false" outlineLevel="0" collapsed="false">
      <c r="A2494" s="7" t="n">
        <v>80039644</v>
      </c>
      <c r="B2494" s="7" t="s">
        <v>68</v>
      </c>
      <c r="C2494" s="7" t="s">
        <v>5379</v>
      </c>
      <c r="D2494" s="7" t="s">
        <v>5380</v>
      </c>
      <c r="E2494" s="7" t="s">
        <v>26</v>
      </c>
      <c r="F2494" s="7" t="s">
        <v>5381</v>
      </c>
      <c r="G2494" s="7" t="n">
        <v>2015</v>
      </c>
      <c r="H2494" s="7" t="s">
        <v>53</v>
      </c>
      <c r="I2494" s="7" t="s">
        <v>613</v>
      </c>
      <c r="J2494" s="7" t="s">
        <v>39</v>
      </c>
      <c r="K2494" s="7" t="n">
        <f aca="false">IFERROR(VALUE(RIGHT(TRIM(F2494),4)),"")</f>
        <v>2016</v>
      </c>
      <c r="L2494" s="7" t="str">
        <f aca="false">IF(TRIM(E2494)="","Unknown",IFERROR(LEFT(TRIM(E2494),FIND(",",TRIM(E2494))-1),TRIM(E2494)))</f>
        <v>United States</v>
      </c>
      <c r="M2494" s="7" t="str">
        <f aca="false">IFERROR(LEFT(J2494,FIND(",",J2494)-1),J2494)</f>
        <v>Documentaries</v>
      </c>
      <c r="N2494" s="7" t="n">
        <f aca="false">IF(B2494="Movie",IFERROR(VALUE(LEFT(I2494,FIND(" ",I2494)-1)),""),"")</f>
        <v>84</v>
      </c>
      <c r="O2494" s="7" t="str">
        <f aca="false">IF(B2494="TV Show",IFERROR(VALUE(LEFT(I2494,FIND(" ",I2494)-1)),""),"")</f>
        <v/>
      </c>
      <c r="P2494" s="7" t="n">
        <f aca="false">IF(K2494="","",K2494-G2494)</f>
        <v>1</v>
      </c>
    </row>
    <row r="2495" customFormat="false" ht="15" hidden="false" customHeight="false" outlineLevel="0" collapsed="false">
      <c r="A2495" s="7" t="n">
        <v>80052790</v>
      </c>
      <c r="B2495" s="7" t="s">
        <v>68</v>
      </c>
      <c r="C2495" s="7" t="s">
        <v>5382</v>
      </c>
      <c r="D2495" s="7" t="s">
        <v>3662</v>
      </c>
      <c r="E2495" s="7" t="s">
        <v>28</v>
      </c>
      <c r="F2495" s="7" t="s">
        <v>5381</v>
      </c>
      <c r="G2495" s="7" t="n">
        <v>2015</v>
      </c>
      <c r="H2495" s="7" t="s">
        <v>49</v>
      </c>
      <c r="I2495" s="7" t="s">
        <v>470</v>
      </c>
      <c r="J2495" s="7" t="s">
        <v>974</v>
      </c>
      <c r="K2495" s="7" t="n">
        <f aca="false">IFERROR(VALUE(RIGHT(TRIM(F2495),4)),"")</f>
        <v>2016</v>
      </c>
      <c r="L2495" s="7" t="str">
        <f aca="false">IF(TRIM(E2495)="","Unknown",IFERROR(LEFT(TRIM(E2495),FIND(",",TRIM(E2495))-1),TRIM(E2495)))</f>
        <v>United Kingdom</v>
      </c>
      <c r="M2495" s="7" t="str">
        <f aca="false">IFERROR(LEFT(J2495,FIND(",",J2495)-1),J2495)</f>
        <v>Documentaries</v>
      </c>
      <c r="N2495" s="7" t="n">
        <f aca="false">IF(B2495="Movie",IFERROR(VALUE(LEFT(I2495,FIND(" ",I2495)-1)),""),"")</f>
        <v>91</v>
      </c>
      <c r="O2495" s="7" t="str">
        <f aca="false">IF(B2495="TV Show",IFERROR(VALUE(LEFT(I2495,FIND(" ",I2495)-1)),""),"")</f>
        <v/>
      </c>
      <c r="P2495" s="7" t="n">
        <f aca="false">IF(K2495="","",K2495-G2495)</f>
        <v>1</v>
      </c>
    </row>
    <row r="2496" customFormat="false" ht="15" hidden="false" customHeight="false" outlineLevel="0" collapsed="false">
      <c r="A2496" s="7" t="n">
        <v>80244783</v>
      </c>
      <c r="B2496" s="7" t="s">
        <v>78</v>
      </c>
      <c r="C2496" s="7" t="s">
        <v>5383</v>
      </c>
      <c r="E2496" s="7" t="s">
        <v>26</v>
      </c>
      <c r="F2496" s="7" t="s">
        <v>5384</v>
      </c>
      <c r="G2496" s="7" t="n">
        <v>2019</v>
      </c>
      <c r="H2496" s="7" t="s">
        <v>226</v>
      </c>
      <c r="I2496" s="7" t="s">
        <v>82</v>
      </c>
      <c r="J2496" s="7" t="s">
        <v>2425</v>
      </c>
      <c r="K2496" s="7" t="n">
        <f aca="false">IFERROR(VALUE(RIGHT(TRIM(F2496),4)),"")</f>
        <v>2019</v>
      </c>
      <c r="L2496" s="7" t="str">
        <f aca="false">IF(TRIM(E2496)="","Unknown",IFERROR(LEFT(TRIM(E2496),FIND(",",TRIM(E2496))-1),TRIM(E2496)))</f>
        <v>United States</v>
      </c>
      <c r="M2496" s="7" t="str">
        <f aca="false">IFERROR(LEFT(J2496,FIND(",",J2496)-1),J2496)</f>
        <v>Kids' TV</v>
      </c>
      <c r="N2496" s="7" t="str">
        <f aca="false">IF(B2496="Movie",IFERROR(VALUE(LEFT(I2496,FIND(" ",I2496)-1)),""),"")</f>
        <v/>
      </c>
      <c r="O2496" s="7" t="n">
        <f aca="false">IF(B2496="TV Show",IFERROR(VALUE(LEFT(I2496,FIND(" ",I2496)-1)),""),"")</f>
        <v>1</v>
      </c>
      <c r="P2496" s="7" t="n">
        <f aca="false">IF(K2496="","",K2496-G2496)</f>
        <v>0</v>
      </c>
    </row>
    <row r="2497" customFormat="false" ht="15" hidden="false" customHeight="false" outlineLevel="0" collapsed="false">
      <c r="A2497" s="7" t="n">
        <v>80144311</v>
      </c>
      <c r="B2497" s="7" t="s">
        <v>68</v>
      </c>
      <c r="C2497" s="7" t="s">
        <v>5385</v>
      </c>
      <c r="D2497" s="7" t="s">
        <v>5386</v>
      </c>
      <c r="E2497" s="7" t="s">
        <v>34</v>
      </c>
      <c r="F2497" s="7" t="s">
        <v>5387</v>
      </c>
      <c r="G2497" s="7" t="n">
        <v>2016</v>
      </c>
      <c r="H2497" s="7" t="s">
        <v>48</v>
      </c>
      <c r="I2497" s="7" t="s">
        <v>357</v>
      </c>
      <c r="J2497" s="7" t="s">
        <v>217</v>
      </c>
      <c r="K2497" s="7" t="n">
        <f aca="false">IFERROR(VALUE(RIGHT(TRIM(F2497),4)),"")</f>
        <v>2017</v>
      </c>
      <c r="L2497" s="7" t="str">
        <f aca="false">IF(TRIM(E2497)="","Unknown",IFERROR(LEFT(TRIM(E2497),FIND(",",TRIM(E2497))-1),TRIM(E2497)))</f>
        <v>Mexico</v>
      </c>
      <c r="M2497" s="7" t="str">
        <f aca="false">IFERROR(LEFT(J2497,FIND(",",J2497)-1),J2497)</f>
        <v>Comedies</v>
      </c>
      <c r="N2497" s="7" t="n">
        <f aca="false">IF(B2497="Movie",IFERROR(VALUE(LEFT(I2497,FIND(" ",I2497)-1)),""),"")</f>
        <v>89</v>
      </c>
      <c r="O2497" s="7" t="str">
        <f aca="false">IF(B2497="TV Show",IFERROR(VALUE(LEFT(I2497,FIND(" ",I2497)-1)),""),"")</f>
        <v/>
      </c>
      <c r="P2497" s="7" t="n">
        <f aca="false">IF(K2497="","",K2497-G2497)</f>
        <v>1</v>
      </c>
    </row>
    <row r="2498" customFormat="false" ht="15" hidden="false" customHeight="false" outlineLevel="0" collapsed="false">
      <c r="A2498" s="7" t="n">
        <v>80109145</v>
      </c>
      <c r="B2498" s="7" t="s">
        <v>68</v>
      </c>
      <c r="C2498" s="7" t="s">
        <v>5388</v>
      </c>
      <c r="D2498" s="7" t="s">
        <v>5389</v>
      </c>
      <c r="E2498" s="7" t="s">
        <v>362</v>
      </c>
      <c r="F2498" s="7" t="s">
        <v>5387</v>
      </c>
      <c r="G2498" s="7" t="n">
        <v>2016</v>
      </c>
      <c r="H2498" s="7" t="s">
        <v>48</v>
      </c>
      <c r="I2498" s="7" t="s">
        <v>519</v>
      </c>
      <c r="J2498" s="7" t="s">
        <v>322</v>
      </c>
      <c r="K2498" s="7" t="n">
        <f aca="false">IFERROR(VALUE(RIGHT(TRIM(F2498),4)),"")</f>
        <v>2017</v>
      </c>
      <c r="L2498" s="7" t="str">
        <f aca="false">IF(TRIM(E2498)="","Unknown",IFERROR(LEFT(TRIM(E2498),FIND(",",TRIM(E2498))-1),TRIM(E2498)))</f>
        <v>Indonesia</v>
      </c>
      <c r="M2498" s="7" t="str">
        <f aca="false">IFERROR(LEFT(J2498,FIND(",",J2498)-1),J2498)</f>
        <v>Action &amp; Adventure</v>
      </c>
      <c r="N2498" s="7" t="n">
        <f aca="false">IF(B2498="Movie",IFERROR(VALUE(LEFT(I2498,FIND(" ",I2498)-1)),""),"")</f>
        <v>119</v>
      </c>
      <c r="O2498" s="7" t="str">
        <f aca="false">IF(B2498="TV Show",IFERROR(VALUE(LEFT(I2498,FIND(" ",I2498)-1)),""),"")</f>
        <v/>
      </c>
      <c r="P2498" s="7" t="n">
        <f aca="false">IF(K2498="","",K2498-G2498)</f>
        <v>1</v>
      </c>
    </row>
    <row r="2499" customFormat="false" ht="15" hidden="false" customHeight="false" outlineLevel="0" collapsed="false">
      <c r="A2499" s="7" t="n">
        <v>80117455</v>
      </c>
      <c r="B2499" s="7" t="s">
        <v>68</v>
      </c>
      <c r="C2499" s="7" t="s">
        <v>5390</v>
      </c>
      <c r="D2499" s="7" t="s">
        <v>5391</v>
      </c>
      <c r="E2499" s="7" t="s">
        <v>429</v>
      </c>
      <c r="F2499" s="7" t="s">
        <v>5387</v>
      </c>
      <c r="G2499" s="7" t="n">
        <v>2016</v>
      </c>
      <c r="H2499" s="7" t="s">
        <v>48</v>
      </c>
      <c r="I2499" s="7" t="s">
        <v>264</v>
      </c>
      <c r="J2499" s="7" t="s">
        <v>322</v>
      </c>
      <c r="K2499" s="7" t="n">
        <f aca="false">IFERROR(VALUE(RIGHT(TRIM(F2499),4)),"")</f>
        <v>2017</v>
      </c>
      <c r="L2499" s="7" t="str">
        <f aca="false">IF(TRIM(E2499)="","Unknown",IFERROR(LEFT(TRIM(E2499),FIND(",",TRIM(E2499))-1),TRIM(E2499)))</f>
        <v>Hong Kong</v>
      </c>
      <c r="M2499" s="7" t="str">
        <f aca="false">IFERROR(LEFT(J2499,FIND(",",J2499)-1),J2499)</f>
        <v>Action &amp; Adventure</v>
      </c>
      <c r="N2499" s="7" t="n">
        <f aca="false">IF(B2499="Movie",IFERROR(VALUE(LEFT(I2499,FIND(" ",I2499)-1)),""),"")</f>
        <v>88</v>
      </c>
      <c r="O2499" s="7" t="str">
        <f aca="false">IF(B2499="TV Show",IFERROR(VALUE(LEFT(I2499,FIND(" ",I2499)-1)),""),"")</f>
        <v/>
      </c>
      <c r="P2499" s="7" t="n">
        <f aca="false">IF(K2499="","",K2499-G2499)</f>
        <v>1</v>
      </c>
    </row>
    <row r="2500" customFormat="false" ht="15" hidden="false" customHeight="false" outlineLevel="0" collapsed="false">
      <c r="A2500" s="7" t="n">
        <v>80132626</v>
      </c>
      <c r="B2500" s="7" t="s">
        <v>68</v>
      </c>
      <c r="C2500" s="7" t="s">
        <v>1286</v>
      </c>
      <c r="D2500" s="7" t="s">
        <v>5392</v>
      </c>
      <c r="E2500" s="7" t="s">
        <v>32</v>
      </c>
      <c r="F2500" s="7" t="s">
        <v>5387</v>
      </c>
      <c r="G2500" s="7" t="n">
        <v>2016</v>
      </c>
      <c r="H2500" s="7" t="s">
        <v>49</v>
      </c>
      <c r="I2500" s="7" t="s">
        <v>235</v>
      </c>
      <c r="J2500" s="7" t="s">
        <v>182</v>
      </c>
      <c r="K2500" s="7" t="n">
        <f aca="false">IFERROR(VALUE(RIGHT(TRIM(F2500),4)),"")</f>
        <v>2017</v>
      </c>
      <c r="L2500" s="7" t="str">
        <f aca="false">IF(TRIM(E2500)="","Unknown",IFERROR(LEFT(TRIM(E2500),FIND(",",TRIM(E2500))-1),TRIM(E2500)))</f>
        <v>South Korea</v>
      </c>
      <c r="M2500" s="7" t="str">
        <f aca="false">IFERROR(LEFT(J2500,FIND(",",J2500)-1),J2500)</f>
        <v>Dramas</v>
      </c>
      <c r="N2500" s="7" t="n">
        <f aca="false">IF(B2500="Movie",IFERROR(VALUE(LEFT(I2500,FIND(" ",I2500)-1)),""),"")</f>
        <v>126</v>
      </c>
      <c r="O2500" s="7" t="str">
        <f aca="false">IF(B2500="TV Show",IFERROR(VALUE(LEFT(I2500,FIND(" ",I2500)-1)),""),"")</f>
        <v/>
      </c>
      <c r="P2500" s="7" t="n">
        <f aca="false">IF(K2500="","",K2500-G2500)</f>
        <v>1</v>
      </c>
    </row>
    <row r="2501" customFormat="false" ht="15" hidden="false" customHeight="false" outlineLevel="0" collapsed="false">
      <c r="A2501" s="7" t="n">
        <v>80106124</v>
      </c>
      <c r="B2501" s="7" t="s">
        <v>68</v>
      </c>
      <c r="C2501" s="7" t="s">
        <v>5393</v>
      </c>
      <c r="D2501" s="7" t="s">
        <v>5394</v>
      </c>
      <c r="E2501" s="7" t="s">
        <v>26</v>
      </c>
      <c r="F2501" s="7" t="s">
        <v>5395</v>
      </c>
      <c r="G2501" s="7" t="n">
        <v>2016</v>
      </c>
      <c r="H2501" s="7" t="s">
        <v>48</v>
      </c>
      <c r="I2501" s="7" t="s">
        <v>98</v>
      </c>
      <c r="J2501" s="7" t="s">
        <v>5396</v>
      </c>
      <c r="K2501" s="7" t="n">
        <f aca="false">IFERROR(VALUE(RIGHT(TRIM(F2501),4)),"")</f>
        <v>2016</v>
      </c>
      <c r="L2501" s="7" t="str">
        <f aca="false">IF(TRIM(E2501)="","Unknown",IFERROR(LEFT(TRIM(E2501),FIND(",",TRIM(E2501))-1),TRIM(E2501)))</f>
        <v>United States</v>
      </c>
      <c r="M2501" s="7" t="str">
        <f aca="false">IFERROR(LEFT(J2501,FIND(",",J2501)-1),J2501)</f>
        <v>Music &amp; Musicals</v>
      </c>
      <c r="N2501" s="7" t="n">
        <f aca="false">IF(B2501="Movie",IFERROR(VALUE(LEFT(I2501,FIND(" ",I2501)-1)),""),"")</f>
        <v>60</v>
      </c>
      <c r="O2501" s="7" t="str">
        <f aca="false">IF(B2501="TV Show",IFERROR(VALUE(LEFT(I2501,FIND(" ",I2501)-1)),""),"")</f>
        <v/>
      </c>
      <c r="P2501" s="7" t="n">
        <f aca="false">IF(K2501="","",K2501-G2501)</f>
        <v>0</v>
      </c>
    </row>
    <row r="2502" customFormat="false" ht="15" hidden="false" customHeight="false" outlineLevel="0" collapsed="false">
      <c r="A2502" s="7" t="n">
        <v>81145270</v>
      </c>
      <c r="B2502" s="7" t="s">
        <v>68</v>
      </c>
      <c r="C2502" s="7" t="s">
        <v>5397</v>
      </c>
      <c r="D2502" s="7" t="s">
        <v>5398</v>
      </c>
      <c r="E2502" s="7" t="s">
        <v>26</v>
      </c>
      <c r="F2502" s="7" t="s">
        <v>5399</v>
      </c>
      <c r="G2502" s="7" t="n">
        <v>2018</v>
      </c>
      <c r="H2502" s="7" t="s">
        <v>48</v>
      </c>
      <c r="I2502" s="7" t="s">
        <v>467</v>
      </c>
      <c r="J2502" s="7" t="s">
        <v>5400</v>
      </c>
      <c r="K2502" s="7" t="n">
        <f aca="false">IFERROR(VALUE(RIGHT(TRIM(F2502),4)),"")</f>
        <v>2019</v>
      </c>
      <c r="L2502" s="7" t="str">
        <f aca="false">IF(TRIM(E2502)="","Unknown",IFERROR(LEFT(TRIM(E2502),FIND(",",TRIM(E2502))-1),TRIM(E2502)))</f>
        <v>United States</v>
      </c>
      <c r="M2502" s="7" t="str">
        <f aca="false">IFERROR(LEFT(J2502,FIND(",",J2502)-1),J2502)</f>
        <v>Romantic Movies</v>
      </c>
      <c r="N2502" s="7" t="n">
        <f aca="false">IF(B2502="Movie",IFERROR(VALUE(LEFT(I2502,FIND(" ",I2502)-1)),""),"")</f>
        <v>81</v>
      </c>
      <c r="O2502" s="7" t="str">
        <f aca="false">IF(B2502="TV Show",IFERROR(VALUE(LEFT(I2502,FIND(" ",I2502)-1)),""),"")</f>
        <v/>
      </c>
      <c r="P2502" s="7" t="n">
        <f aca="false">IF(K2502="","",K2502-G2502)</f>
        <v>1</v>
      </c>
    </row>
    <row r="2503" customFormat="false" ht="15" hidden="false" customHeight="false" outlineLevel="0" collapsed="false">
      <c r="A2503" s="7" t="n">
        <v>81128584</v>
      </c>
      <c r="B2503" s="7" t="s">
        <v>68</v>
      </c>
      <c r="C2503" s="7" t="s">
        <v>5401</v>
      </c>
      <c r="D2503" s="7" t="s">
        <v>5402</v>
      </c>
      <c r="E2503" s="7" t="s">
        <v>27</v>
      </c>
      <c r="F2503" s="7" t="s">
        <v>5399</v>
      </c>
      <c r="G2503" s="7" t="n">
        <v>2019</v>
      </c>
      <c r="H2503" s="7" t="s">
        <v>48</v>
      </c>
      <c r="I2503" s="7" t="s">
        <v>5403</v>
      </c>
      <c r="J2503" s="7" t="s">
        <v>217</v>
      </c>
      <c r="K2503" s="7" t="n">
        <f aca="false">IFERROR(VALUE(RIGHT(TRIM(F2503),4)),"")</f>
        <v>2019</v>
      </c>
      <c r="L2503" s="7" t="str">
        <f aca="false">IF(TRIM(E2503)="","Unknown",IFERROR(LEFT(TRIM(E2503),FIND(",",TRIM(E2503))-1),TRIM(E2503)))</f>
        <v>India</v>
      </c>
      <c r="M2503" s="7" t="str">
        <f aca="false">IFERROR(LEFT(J2503,FIND(",",J2503)-1),J2503)</f>
        <v>Comedies</v>
      </c>
      <c r="N2503" s="7" t="n">
        <f aca="false">IF(B2503="Movie",IFERROR(VALUE(LEFT(I2503,FIND(" ",I2503)-1)),""),"")</f>
        <v>176</v>
      </c>
      <c r="O2503" s="7" t="str">
        <f aca="false">IF(B2503="TV Show",IFERROR(VALUE(LEFT(I2503,FIND(" ",I2503)-1)),""),"")</f>
        <v/>
      </c>
      <c r="P2503" s="7" t="n">
        <f aca="false">IF(K2503="","",K2503-G2503)</f>
        <v>0</v>
      </c>
    </row>
    <row r="2504" customFormat="false" ht="15" hidden="false" customHeight="false" outlineLevel="0" collapsed="false">
      <c r="A2504" s="7" t="n">
        <v>80198478</v>
      </c>
      <c r="B2504" s="7" t="s">
        <v>68</v>
      </c>
      <c r="C2504" s="7" t="s">
        <v>5404</v>
      </c>
      <c r="D2504" s="7" t="s">
        <v>5405</v>
      </c>
      <c r="E2504" s="7" t="s">
        <v>28</v>
      </c>
      <c r="F2504" s="7" t="s">
        <v>5406</v>
      </c>
      <c r="G2504" s="7" t="n">
        <v>2018</v>
      </c>
      <c r="H2504" s="7" t="s">
        <v>48</v>
      </c>
      <c r="I2504" s="7" t="s">
        <v>512</v>
      </c>
      <c r="J2504" s="7" t="s">
        <v>182</v>
      </c>
      <c r="K2504" s="7" t="n">
        <f aca="false">IFERROR(VALUE(RIGHT(TRIM(F2504),4)),"")</f>
        <v>2018</v>
      </c>
      <c r="L2504" s="7" t="str">
        <f aca="false">IF(TRIM(E2504)="","Unknown",IFERROR(LEFT(TRIM(E2504),FIND(",",TRIM(E2504))-1),TRIM(E2504)))</f>
        <v>United Kingdom</v>
      </c>
      <c r="M2504" s="7" t="str">
        <f aca="false">IFERROR(LEFT(J2504,FIND(",",J2504)-1),J2504)</f>
        <v>Dramas</v>
      </c>
      <c r="N2504" s="7" t="n">
        <f aca="false">IF(B2504="Movie",IFERROR(VALUE(LEFT(I2504,FIND(" ",I2504)-1)),""),"")</f>
        <v>101</v>
      </c>
      <c r="O2504" s="7" t="str">
        <f aca="false">IF(B2504="TV Show",IFERROR(VALUE(LEFT(I2504,FIND(" ",I2504)-1)),""),"")</f>
        <v/>
      </c>
      <c r="P2504" s="7" t="n">
        <f aca="false">IF(K2504="","",K2504-G2504)</f>
        <v>0</v>
      </c>
    </row>
    <row r="2505" customFormat="false" ht="15" hidden="false" customHeight="false" outlineLevel="0" collapsed="false">
      <c r="A2505" s="7" t="n">
        <v>80195811</v>
      </c>
      <c r="B2505" s="7" t="s">
        <v>78</v>
      </c>
      <c r="C2505" s="7" t="s">
        <v>5407</v>
      </c>
      <c r="E2505" s="7" t="s">
        <v>28</v>
      </c>
      <c r="F2505" s="7" t="s">
        <v>5406</v>
      </c>
      <c r="G2505" s="7" t="n">
        <v>2018</v>
      </c>
      <c r="H2505" s="7" t="s">
        <v>48</v>
      </c>
      <c r="I2505" s="7" t="s">
        <v>82</v>
      </c>
      <c r="J2505" s="7" t="s">
        <v>716</v>
      </c>
      <c r="K2505" s="7" t="n">
        <f aca="false">IFERROR(VALUE(RIGHT(TRIM(F2505),4)),"")</f>
        <v>2018</v>
      </c>
      <c r="L2505" s="7" t="str">
        <f aca="false">IF(TRIM(E2505)="","Unknown",IFERROR(LEFT(TRIM(E2505),FIND(",",TRIM(E2505))-1),TRIM(E2505)))</f>
        <v>United Kingdom</v>
      </c>
      <c r="M2505" s="7" t="str">
        <f aca="false">IFERROR(LEFT(J2505,FIND(",",J2505)-1),J2505)</f>
        <v>British TV Shows</v>
      </c>
      <c r="N2505" s="7" t="str">
        <f aca="false">IF(B2505="Movie",IFERROR(VALUE(LEFT(I2505,FIND(" ",I2505)-1)),""),"")</f>
        <v/>
      </c>
      <c r="O2505" s="7" t="n">
        <f aca="false">IF(B2505="TV Show",IFERROR(VALUE(LEFT(I2505,FIND(" ",I2505)-1)),""),"")</f>
        <v>1</v>
      </c>
      <c r="P2505" s="7" t="n">
        <f aca="false">IF(K2505="","",K2505-G2505)</f>
        <v>0</v>
      </c>
    </row>
    <row r="2506" customFormat="false" ht="15" hidden="false" customHeight="false" outlineLevel="0" collapsed="false">
      <c r="A2506" s="7" t="n">
        <v>80191989</v>
      </c>
      <c r="B2506" s="7" t="s">
        <v>68</v>
      </c>
      <c r="C2506" s="7" t="s">
        <v>5408</v>
      </c>
      <c r="D2506" s="7" t="s">
        <v>3118</v>
      </c>
      <c r="E2506" s="7" t="s">
        <v>97</v>
      </c>
      <c r="F2506" s="7" t="s">
        <v>5406</v>
      </c>
      <c r="G2506" s="7" t="n">
        <v>2018</v>
      </c>
      <c r="H2506" s="7" t="s">
        <v>48</v>
      </c>
      <c r="I2506" s="7" t="s">
        <v>162</v>
      </c>
      <c r="J2506" s="7" t="s">
        <v>45</v>
      </c>
      <c r="K2506" s="7" t="n">
        <f aca="false">IFERROR(VALUE(RIGHT(TRIM(F2506),4)),"")</f>
        <v>2018</v>
      </c>
      <c r="L2506" s="7" t="str">
        <f aca="false">IF(TRIM(E2506)="","Unknown",IFERROR(LEFT(TRIM(E2506),FIND(",",TRIM(E2506))-1),TRIM(E2506)))</f>
        <v>Chile</v>
      </c>
      <c r="M2506" s="7" t="str">
        <f aca="false">IFERROR(LEFT(J2506,FIND(",",J2506)-1),J2506)</f>
        <v>Stand-Up Comedy</v>
      </c>
      <c r="N2506" s="7" t="n">
        <f aca="false">IF(B2506="Movie",IFERROR(VALUE(LEFT(I2506,FIND(" ",I2506)-1)),""),"")</f>
        <v>77</v>
      </c>
      <c r="O2506" s="7" t="str">
        <f aca="false">IF(B2506="TV Show",IFERROR(VALUE(LEFT(I2506,FIND(" ",I2506)-1)),""),"")</f>
        <v/>
      </c>
      <c r="P2506" s="7" t="n">
        <f aca="false">IF(K2506="","",K2506-G2506)</f>
        <v>0</v>
      </c>
    </row>
    <row r="2507" customFormat="false" ht="15" hidden="false" customHeight="false" outlineLevel="0" collapsed="false">
      <c r="A2507" s="7" t="n">
        <v>80097225</v>
      </c>
      <c r="B2507" s="7" t="s">
        <v>78</v>
      </c>
      <c r="C2507" s="7" t="s">
        <v>5409</v>
      </c>
      <c r="E2507" s="7" t="s">
        <v>317</v>
      </c>
      <c r="F2507" s="7" t="s">
        <v>5406</v>
      </c>
      <c r="G2507" s="7" t="n">
        <v>2018</v>
      </c>
      <c r="H2507" s="7" t="s">
        <v>48</v>
      </c>
      <c r="I2507" s="7" t="s">
        <v>82</v>
      </c>
      <c r="J2507" s="7" t="s">
        <v>563</v>
      </c>
      <c r="K2507" s="7" t="n">
        <f aca="false">IFERROR(VALUE(RIGHT(TRIM(F2507),4)),"")</f>
        <v>2018</v>
      </c>
      <c r="L2507" s="7" t="str">
        <f aca="false">IF(TRIM(E2507)="","Unknown",IFERROR(LEFT(TRIM(E2507),FIND(",",TRIM(E2507))-1),TRIM(E2507)))</f>
        <v>United Kingdom</v>
      </c>
      <c r="M2507" s="7" t="str">
        <f aca="false">IFERROR(LEFT(J2507,FIND(",",J2507)-1),J2507)</f>
        <v>British TV Shows</v>
      </c>
      <c r="N2507" s="7" t="str">
        <f aca="false">IF(B2507="Movie",IFERROR(VALUE(LEFT(I2507,FIND(" ",I2507)-1)),""),"")</f>
        <v/>
      </c>
      <c r="O2507" s="7" t="n">
        <f aca="false">IF(B2507="TV Show",IFERROR(VALUE(LEFT(I2507,FIND(" ",I2507)-1)),""),"")</f>
        <v>1</v>
      </c>
      <c r="P2507" s="7" t="n">
        <f aca="false">IF(K2507="","",K2507-G2507)</f>
        <v>0</v>
      </c>
    </row>
    <row r="2508" customFormat="false" ht="15" hidden="false" customHeight="false" outlineLevel="0" collapsed="false">
      <c r="A2508" s="7" t="n">
        <v>80242720</v>
      </c>
      <c r="B2508" s="7" t="s">
        <v>78</v>
      </c>
      <c r="C2508" s="7" t="s">
        <v>5410</v>
      </c>
      <c r="F2508" s="7" t="s">
        <v>5406</v>
      </c>
      <c r="G2508" s="7" t="n">
        <v>2015</v>
      </c>
      <c r="H2508" s="7" t="s">
        <v>48</v>
      </c>
      <c r="I2508" s="7" t="s">
        <v>82</v>
      </c>
      <c r="J2508" s="7" t="s">
        <v>4526</v>
      </c>
      <c r="K2508" s="7" t="n">
        <f aca="false">IFERROR(VALUE(RIGHT(TRIM(F2508),4)),"")</f>
        <v>2018</v>
      </c>
      <c r="L2508" s="7" t="str">
        <f aca="false">IF(TRIM(E2508)="","Unknown",IFERROR(LEFT(TRIM(E2508),FIND(",",TRIM(E2508))-1),TRIM(E2508)))</f>
        <v>Unknown</v>
      </c>
      <c r="M2508" s="7" t="str">
        <f aca="false">IFERROR(LEFT(J2508,FIND(",",J2508)-1),J2508)</f>
        <v>International TV Shows</v>
      </c>
      <c r="N2508" s="7" t="str">
        <f aca="false">IF(B2508="Movie",IFERROR(VALUE(LEFT(I2508,FIND(" ",I2508)-1)),""),"")</f>
        <v/>
      </c>
      <c r="O2508" s="7" t="n">
        <f aca="false">IF(B2508="TV Show",IFERROR(VALUE(LEFT(I2508,FIND(" ",I2508)-1)),""),"")</f>
        <v>1</v>
      </c>
      <c r="P2508" s="7" t="n">
        <f aca="false">IF(K2508="","",K2508-G2508)</f>
        <v>3</v>
      </c>
    </row>
    <row r="2509" customFormat="false" ht="15" hidden="false" customHeight="false" outlineLevel="0" collapsed="false">
      <c r="A2509" s="7" t="n">
        <v>80238434</v>
      </c>
      <c r="B2509" s="7" t="s">
        <v>68</v>
      </c>
      <c r="C2509" s="7" t="s">
        <v>5411</v>
      </c>
      <c r="D2509" s="7" t="s">
        <v>5412</v>
      </c>
      <c r="E2509" s="7" t="s">
        <v>5413</v>
      </c>
      <c r="F2509" s="7" t="s">
        <v>5406</v>
      </c>
      <c r="G2509" s="7" t="n">
        <v>2018</v>
      </c>
      <c r="H2509" s="7" t="s">
        <v>49</v>
      </c>
      <c r="I2509" s="7" t="s">
        <v>357</v>
      </c>
      <c r="J2509" s="7" t="s">
        <v>217</v>
      </c>
      <c r="K2509" s="7" t="n">
        <f aca="false">IFERROR(VALUE(RIGHT(TRIM(F2509),4)),"")</f>
        <v>2018</v>
      </c>
      <c r="L2509" s="7" t="str">
        <f aca="false">IF(TRIM(E2509)="","Unknown",IFERROR(LEFT(TRIM(E2509),FIND(",",TRIM(E2509))-1),TRIM(E2509)))</f>
        <v>Colombia</v>
      </c>
      <c r="M2509" s="7" t="str">
        <f aca="false">IFERROR(LEFT(J2509,FIND(",",J2509)-1),J2509)</f>
        <v>Comedies</v>
      </c>
      <c r="N2509" s="7" t="n">
        <f aca="false">IF(B2509="Movie",IFERROR(VALUE(LEFT(I2509,FIND(" ",I2509)-1)),""),"")</f>
        <v>89</v>
      </c>
      <c r="O2509" s="7" t="str">
        <f aca="false">IF(B2509="TV Show",IFERROR(VALUE(LEFT(I2509,FIND(" ",I2509)-1)),""),"")</f>
        <v/>
      </c>
      <c r="P2509" s="7" t="n">
        <f aca="false">IF(K2509="","",K2509-G2509)</f>
        <v>0</v>
      </c>
    </row>
    <row r="2510" customFormat="false" ht="15" hidden="false" customHeight="false" outlineLevel="0" collapsed="false">
      <c r="A2510" s="7" t="n">
        <v>80177782</v>
      </c>
      <c r="B2510" s="7" t="s">
        <v>68</v>
      </c>
      <c r="C2510" s="7" t="s">
        <v>5414</v>
      </c>
      <c r="D2510" s="7" t="s">
        <v>857</v>
      </c>
      <c r="E2510" s="7" t="s">
        <v>26</v>
      </c>
      <c r="F2510" s="7" t="s">
        <v>5406</v>
      </c>
      <c r="G2510" s="7" t="n">
        <v>2018</v>
      </c>
      <c r="H2510" s="7" t="s">
        <v>48</v>
      </c>
      <c r="I2510" s="7" t="s">
        <v>73</v>
      </c>
      <c r="J2510" s="7" t="s">
        <v>39</v>
      </c>
      <c r="K2510" s="7" t="n">
        <f aca="false">IFERROR(VALUE(RIGHT(TRIM(F2510),4)),"")</f>
        <v>2018</v>
      </c>
      <c r="L2510" s="7" t="str">
        <f aca="false">IF(TRIM(E2510)="","Unknown",IFERROR(LEFT(TRIM(E2510),FIND(",",TRIM(E2510))-1),TRIM(E2510)))</f>
        <v>United States</v>
      </c>
      <c r="M2510" s="7" t="str">
        <f aca="false">IFERROR(LEFT(J2510,FIND(",",J2510)-1),J2510)</f>
        <v>Documentaries</v>
      </c>
      <c r="N2510" s="7" t="n">
        <f aca="false">IF(B2510="Movie",IFERROR(VALUE(LEFT(I2510,FIND(" ",I2510)-1)),""),"")</f>
        <v>90</v>
      </c>
      <c r="O2510" s="7" t="str">
        <f aca="false">IF(B2510="TV Show",IFERROR(VALUE(LEFT(I2510,FIND(" ",I2510)-1)),""),"")</f>
        <v/>
      </c>
      <c r="P2510" s="7" t="n">
        <f aca="false">IF(K2510="","",K2510-G2510)</f>
        <v>0</v>
      </c>
    </row>
    <row r="2511" customFormat="false" ht="15" hidden="false" customHeight="false" outlineLevel="0" collapsed="false">
      <c r="A2511" s="7" t="n">
        <v>80217569</v>
      </c>
      <c r="B2511" s="7" t="s">
        <v>68</v>
      </c>
      <c r="C2511" s="7" t="s">
        <v>5415</v>
      </c>
      <c r="D2511" s="7" t="s">
        <v>5416</v>
      </c>
      <c r="E2511" s="7" t="s">
        <v>26</v>
      </c>
      <c r="F2511" s="7" t="s">
        <v>5406</v>
      </c>
      <c r="G2511" s="7" t="n">
        <v>2018</v>
      </c>
      <c r="H2511" s="7" t="s">
        <v>51</v>
      </c>
      <c r="I2511" s="7" t="s">
        <v>134</v>
      </c>
      <c r="J2511" s="7" t="s">
        <v>2034</v>
      </c>
      <c r="K2511" s="7" t="n">
        <f aca="false">IFERROR(VALUE(RIGHT(TRIM(F2511),4)),"")</f>
        <v>2018</v>
      </c>
      <c r="L2511" s="7" t="str">
        <f aca="false">IF(TRIM(E2511)="","Unknown",IFERROR(LEFT(TRIM(E2511),FIND(",",TRIM(E2511))-1),TRIM(E2511)))</f>
        <v>United States</v>
      </c>
      <c r="M2511" s="7" t="str">
        <f aca="false">IFERROR(LEFT(J2511,FIND(",",J2511)-1),J2511)</f>
        <v>Sci-Fi &amp; Fantasy</v>
      </c>
      <c r="N2511" s="7" t="n">
        <f aca="false">IF(B2511="Movie",IFERROR(VALUE(LEFT(I2511,FIND(" ",I2511)-1)),""),"")</f>
        <v>98</v>
      </c>
      <c r="O2511" s="7" t="str">
        <f aca="false">IF(B2511="TV Show",IFERROR(VALUE(LEFT(I2511,FIND(" ",I2511)-1)),""),"")</f>
        <v/>
      </c>
      <c r="P2511" s="7" t="n">
        <f aca="false">IF(K2511="","",K2511-G2511)</f>
        <v>0</v>
      </c>
    </row>
    <row r="2512" customFormat="false" ht="15" hidden="false" customHeight="false" outlineLevel="0" collapsed="false">
      <c r="A2512" s="7" t="n">
        <v>80240691</v>
      </c>
      <c r="B2512" s="7" t="s">
        <v>78</v>
      </c>
      <c r="C2512" s="7" t="s">
        <v>5417</v>
      </c>
      <c r="E2512" s="7" t="s">
        <v>31</v>
      </c>
      <c r="F2512" s="7" t="s">
        <v>5406</v>
      </c>
      <c r="G2512" s="7" t="n">
        <v>2017</v>
      </c>
      <c r="H2512" s="7" t="s">
        <v>48</v>
      </c>
      <c r="I2512" s="7" t="s">
        <v>82</v>
      </c>
      <c r="J2512" s="7" t="s">
        <v>402</v>
      </c>
      <c r="K2512" s="7" t="n">
        <f aca="false">IFERROR(VALUE(RIGHT(TRIM(F2512),4)),"")</f>
        <v>2018</v>
      </c>
      <c r="L2512" s="7" t="str">
        <f aca="false">IF(TRIM(E2512)="","Unknown",IFERROR(LEFT(TRIM(E2512),FIND(",",TRIM(E2512))-1),TRIM(E2512)))</f>
        <v>France</v>
      </c>
      <c r="M2512" s="7" t="str">
        <f aca="false">IFERROR(LEFT(J2512,FIND(",",J2512)-1),J2512)</f>
        <v>Crime TV Shows</v>
      </c>
      <c r="N2512" s="7" t="str">
        <f aca="false">IF(B2512="Movie",IFERROR(VALUE(LEFT(I2512,FIND(" ",I2512)-1)),""),"")</f>
        <v/>
      </c>
      <c r="O2512" s="7" t="n">
        <f aca="false">IF(B2512="TV Show",IFERROR(VALUE(LEFT(I2512,FIND(" ",I2512)-1)),""),"")</f>
        <v>1</v>
      </c>
      <c r="P2512" s="7" t="n">
        <f aca="false">IF(K2512="","",K2512-G2512)</f>
        <v>1</v>
      </c>
    </row>
    <row r="2513" customFormat="false" ht="15" hidden="false" customHeight="false" outlineLevel="0" collapsed="false">
      <c r="A2513" s="7" t="n">
        <v>80015210</v>
      </c>
      <c r="B2513" s="7" t="s">
        <v>68</v>
      </c>
      <c r="C2513" s="7" t="s">
        <v>5418</v>
      </c>
      <c r="D2513" s="7" t="s">
        <v>5419</v>
      </c>
      <c r="E2513" s="7" t="s">
        <v>26</v>
      </c>
      <c r="F2513" s="7" t="s">
        <v>5420</v>
      </c>
      <c r="G2513" s="7" t="n">
        <v>2015</v>
      </c>
      <c r="H2513" s="7" t="s">
        <v>53</v>
      </c>
      <c r="I2513" s="7" t="s">
        <v>628</v>
      </c>
      <c r="J2513" s="7" t="s">
        <v>45</v>
      </c>
      <c r="K2513" s="7" t="n">
        <f aca="false">IFERROR(VALUE(RIGHT(TRIM(F2513),4)),"")</f>
        <v>2015</v>
      </c>
      <c r="L2513" s="7" t="str">
        <f aca="false">IF(TRIM(E2513)="","Unknown",IFERROR(LEFT(TRIM(E2513),FIND(",",TRIM(E2513))-1),TRIM(E2513)))</f>
        <v>United States</v>
      </c>
      <c r="M2513" s="7" t="str">
        <f aca="false">IFERROR(LEFT(J2513,FIND(",",J2513)-1),J2513)</f>
        <v>Stand-Up Comedy</v>
      </c>
      <c r="N2513" s="7" t="n">
        <f aca="false">IF(B2513="Movie",IFERROR(VALUE(LEFT(I2513,FIND(" ",I2513)-1)),""),"")</f>
        <v>69</v>
      </c>
      <c r="O2513" s="7" t="str">
        <f aca="false">IF(B2513="TV Show",IFERROR(VALUE(LEFT(I2513,FIND(" ",I2513)-1)),""),"")</f>
        <v/>
      </c>
      <c r="P2513" s="7" t="n">
        <f aca="false">IF(K2513="","",K2513-G2513)</f>
        <v>0</v>
      </c>
    </row>
    <row r="2514" customFormat="false" ht="15" hidden="false" customHeight="false" outlineLevel="0" collapsed="false">
      <c r="A2514" s="7" t="n">
        <v>80134080</v>
      </c>
      <c r="B2514" s="7" t="s">
        <v>68</v>
      </c>
      <c r="C2514" s="7" t="s">
        <v>5421</v>
      </c>
      <c r="D2514" s="7" t="s">
        <v>5422</v>
      </c>
      <c r="E2514" s="7" t="s">
        <v>26</v>
      </c>
      <c r="F2514" s="7" t="s">
        <v>5423</v>
      </c>
      <c r="G2514" s="7" t="n">
        <v>2016</v>
      </c>
      <c r="H2514" s="7" t="s">
        <v>51</v>
      </c>
      <c r="I2514" s="7" t="s">
        <v>519</v>
      </c>
      <c r="J2514" s="7" t="s">
        <v>150</v>
      </c>
      <c r="K2514" s="7" t="n">
        <f aca="false">IFERROR(VALUE(RIGHT(TRIM(F2514),4)),"")</f>
        <v>2019</v>
      </c>
      <c r="L2514" s="7" t="str">
        <f aca="false">IF(TRIM(E2514)="","Unknown",IFERROR(LEFT(TRIM(E2514),FIND(",",TRIM(E2514))-1),TRIM(E2514)))</f>
        <v>United States</v>
      </c>
      <c r="M2514" s="7" t="str">
        <f aca="false">IFERROR(LEFT(J2514,FIND(",",J2514)-1),J2514)</f>
        <v>Dramas</v>
      </c>
      <c r="N2514" s="7" t="n">
        <f aca="false">IF(B2514="Movie",IFERROR(VALUE(LEFT(I2514,FIND(" ",I2514)-1)),""),"")</f>
        <v>119</v>
      </c>
      <c r="O2514" s="7" t="str">
        <f aca="false">IF(B2514="TV Show",IFERROR(VALUE(LEFT(I2514,FIND(" ",I2514)-1)),""),"")</f>
        <v/>
      </c>
      <c r="P2514" s="7" t="n">
        <f aca="false">IF(K2514="","",K2514-G2514)</f>
        <v>3</v>
      </c>
    </row>
    <row r="2515" customFormat="false" ht="15" hidden="false" customHeight="false" outlineLevel="0" collapsed="false">
      <c r="A2515" s="7" t="n">
        <v>80183051</v>
      </c>
      <c r="B2515" s="7" t="s">
        <v>78</v>
      </c>
      <c r="C2515" s="7" t="s">
        <v>5424</v>
      </c>
      <c r="F2515" s="7" t="s">
        <v>5423</v>
      </c>
      <c r="G2515" s="7" t="n">
        <v>2019</v>
      </c>
      <c r="H2515" s="7" t="s">
        <v>48</v>
      </c>
      <c r="I2515" s="7" t="s">
        <v>82</v>
      </c>
      <c r="J2515" s="7" t="s">
        <v>542</v>
      </c>
      <c r="K2515" s="7" t="n">
        <f aca="false">IFERROR(VALUE(RIGHT(TRIM(F2515),4)),"")</f>
        <v>2019</v>
      </c>
      <c r="L2515" s="7" t="str">
        <f aca="false">IF(TRIM(E2515)="","Unknown",IFERROR(LEFT(TRIM(E2515),FIND(",",TRIM(E2515))-1),TRIM(E2515)))</f>
        <v>Unknown</v>
      </c>
      <c r="M2515" s="7" t="str">
        <f aca="false">IFERROR(LEFT(J2515,FIND(",",J2515)-1),J2515)</f>
        <v>Anime Series</v>
      </c>
      <c r="N2515" s="7" t="str">
        <f aca="false">IF(B2515="Movie",IFERROR(VALUE(LEFT(I2515,FIND(" ",I2515)-1)),""),"")</f>
        <v/>
      </c>
      <c r="O2515" s="7" t="n">
        <f aca="false">IF(B2515="TV Show",IFERROR(VALUE(LEFT(I2515,FIND(" ",I2515)-1)),""),"")</f>
        <v>1</v>
      </c>
      <c r="P2515" s="7" t="n">
        <f aca="false">IF(K2515="","",K2515-G2515)</f>
        <v>0</v>
      </c>
    </row>
    <row r="2516" customFormat="false" ht="15" hidden="false" customHeight="false" outlineLevel="0" collapsed="false">
      <c r="A2516" s="7" t="n">
        <v>81130373</v>
      </c>
      <c r="B2516" s="7" t="s">
        <v>68</v>
      </c>
      <c r="C2516" s="7" t="s">
        <v>5425</v>
      </c>
      <c r="D2516" s="7" t="s">
        <v>5426</v>
      </c>
      <c r="E2516" s="7" t="s">
        <v>5427</v>
      </c>
      <c r="F2516" s="7" t="s">
        <v>5423</v>
      </c>
      <c r="G2516" s="7" t="n">
        <v>2018</v>
      </c>
      <c r="H2516" s="7" t="s">
        <v>49</v>
      </c>
      <c r="I2516" s="7" t="s">
        <v>1191</v>
      </c>
      <c r="J2516" s="7" t="s">
        <v>341</v>
      </c>
      <c r="K2516" s="7" t="n">
        <f aca="false">IFERROR(VALUE(RIGHT(TRIM(F2516),4)),"")</f>
        <v>2019</v>
      </c>
      <c r="L2516" s="7" t="str">
        <f aca="false">IF(TRIM(E2516)="","Unknown",IFERROR(LEFT(TRIM(E2516),FIND(",",TRIM(E2516))-1),TRIM(E2516)))</f>
        <v>Dominican Republic</v>
      </c>
      <c r="M2516" s="7" t="str">
        <f aca="false">IFERROR(LEFT(J2516,FIND(",",J2516)-1),J2516)</f>
        <v>Documentaries</v>
      </c>
      <c r="N2516" s="7" t="n">
        <f aca="false">IF(B2516="Movie",IFERROR(VALUE(LEFT(I2516,FIND(" ",I2516)-1)),""),"")</f>
        <v>73</v>
      </c>
      <c r="O2516" s="7" t="str">
        <f aca="false">IF(B2516="TV Show",IFERROR(VALUE(LEFT(I2516,FIND(" ",I2516)-1)),""),"")</f>
        <v/>
      </c>
      <c r="P2516" s="7" t="n">
        <f aca="false">IF(K2516="","",K2516-G2516)</f>
        <v>1</v>
      </c>
    </row>
    <row r="2517" customFormat="false" ht="15" hidden="false" customHeight="false" outlineLevel="0" collapsed="false">
      <c r="A2517" s="7" t="n">
        <v>80245117</v>
      </c>
      <c r="B2517" s="7" t="s">
        <v>78</v>
      </c>
      <c r="C2517" s="7" t="s">
        <v>5428</v>
      </c>
      <c r="E2517" s="7" t="s">
        <v>26</v>
      </c>
      <c r="F2517" s="7" t="s">
        <v>5423</v>
      </c>
      <c r="G2517" s="7" t="n">
        <v>2019</v>
      </c>
      <c r="H2517" s="7" t="s">
        <v>48</v>
      </c>
      <c r="I2517" s="7" t="s">
        <v>82</v>
      </c>
      <c r="J2517" s="7" t="s">
        <v>5429</v>
      </c>
      <c r="K2517" s="7" t="n">
        <f aca="false">IFERROR(VALUE(RIGHT(TRIM(F2517),4)),"")</f>
        <v>2019</v>
      </c>
      <c r="L2517" s="7" t="str">
        <f aca="false">IF(TRIM(E2517)="","Unknown",IFERROR(LEFT(TRIM(E2517),FIND(",",TRIM(E2517))-1),TRIM(E2517)))</f>
        <v>United States</v>
      </c>
      <c r="M2517" s="7" t="str">
        <f aca="false">IFERROR(LEFT(J2517,FIND(",",J2517)-1),J2517)</f>
        <v>Crime TV Shows</v>
      </c>
      <c r="N2517" s="7" t="str">
        <f aca="false">IF(B2517="Movie",IFERROR(VALUE(LEFT(I2517,FIND(" ",I2517)-1)),""),"")</f>
        <v/>
      </c>
      <c r="O2517" s="7" t="n">
        <f aca="false">IF(B2517="TV Show",IFERROR(VALUE(LEFT(I2517,FIND(" ",I2517)-1)),""),"")</f>
        <v>1</v>
      </c>
      <c r="P2517" s="7" t="n">
        <f aca="false">IF(K2517="","",K2517-G2517)</f>
        <v>0</v>
      </c>
    </row>
    <row r="2518" customFormat="false" ht="15" hidden="false" customHeight="false" outlineLevel="0" collapsed="false">
      <c r="A2518" s="7" t="n">
        <v>81010818</v>
      </c>
      <c r="B2518" s="7" t="s">
        <v>78</v>
      </c>
      <c r="C2518" s="7" t="s">
        <v>5430</v>
      </c>
      <c r="E2518" s="7" t="s">
        <v>31</v>
      </c>
      <c r="F2518" s="7" t="s">
        <v>5423</v>
      </c>
      <c r="G2518" s="7" t="n">
        <v>2019</v>
      </c>
      <c r="H2518" s="7" t="s">
        <v>48</v>
      </c>
      <c r="I2518" s="7" t="s">
        <v>82</v>
      </c>
      <c r="J2518" s="7" t="s">
        <v>335</v>
      </c>
      <c r="K2518" s="7" t="n">
        <f aca="false">IFERROR(VALUE(RIGHT(TRIM(F2518),4)),"")</f>
        <v>2019</v>
      </c>
      <c r="L2518" s="7" t="str">
        <f aca="false">IF(TRIM(E2518)="","Unknown",IFERROR(LEFT(TRIM(E2518),FIND(",",TRIM(E2518))-1),TRIM(E2518)))</f>
        <v>France</v>
      </c>
      <c r="M2518" s="7" t="str">
        <f aca="false">IFERROR(LEFT(J2518,FIND(",",J2518)-1),J2518)</f>
        <v>International TV Shows</v>
      </c>
      <c r="N2518" s="7" t="str">
        <f aca="false">IF(B2518="Movie",IFERROR(VALUE(LEFT(I2518,FIND(" ",I2518)-1)),""),"")</f>
        <v/>
      </c>
      <c r="O2518" s="7" t="n">
        <f aca="false">IF(B2518="TV Show",IFERROR(VALUE(LEFT(I2518,FIND(" ",I2518)-1)),""),"")</f>
        <v>1</v>
      </c>
      <c r="P2518" s="7" t="n">
        <f aca="false">IF(K2518="","",K2518-G2518)</f>
        <v>0</v>
      </c>
    </row>
    <row r="2519" customFormat="false" ht="15" hidden="false" customHeight="false" outlineLevel="0" collapsed="false">
      <c r="A2519" s="7" t="n">
        <v>81091378</v>
      </c>
      <c r="B2519" s="7" t="s">
        <v>68</v>
      </c>
      <c r="C2519" s="7" t="s">
        <v>5431</v>
      </c>
      <c r="D2519" s="7" t="s">
        <v>5432</v>
      </c>
      <c r="E2519" s="7" t="s">
        <v>34</v>
      </c>
      <c r="F2519" s="7" t="s">
        <v>5423</v>
      </c>
      <c r="G2519" s="7" t="n">
        <v>2017</v>
      </c>
      <c r="H2519" s="7" t="s">
        <v>48</v>
      </c>
      <c r="I2519" s="7" t="s">
        <v>494</v>
      </c>
      <c r="J2519" s="7" t="s">
        <v>367</v>
      </c>
      <c r="K2519" s="7" t="n">
        <f aca="false">IFERROR(VALUE(RIGHT(TRIM(F2519),4)),"")</f>
        <v>2019</v>
      </c>
      <c r="L2519" s="7" t="str">
        <f aca="false">IF(TRIM(E2519)="","Unknown",IFERROR(LEFT(TRIM(E2519),FIND(",",TRIM(E2519))-1),TRIM(E2519)))</f>
        <v>Mexico</v>
      </c>
      <c r="M2519" s="7" t="str">
        <f aca="false">IFERROR(LEFT(J2519,FIND(",",J2519)-1),J2519)</f>
        <v>Action &amp; Adventure</v>
      </c>
      <c r="N2519" s="7" t="n">
        <f aca="false">IF(B2519="Movie",IFERROR(VALUE(LEFT(I2519,FIND(" ",I2519)-1)),""),"")</f>
        <v>87</v>
      </c>
      <c r="O2519" s="7" t="str">
        <f aca="false">IF(B2519="TV Show",IFERROR(VALUE(LEFT(I2519,FIND(" ",I2519)-1)),""),"")</f>
        <v/>
      </c>
      <c r="P2519" s="7" t="n">
        <f aca="false">IF(K2519="","",K2519-G2519)</f>
        <v>2</v>
      </c>
    </row>
    <row r="2520" customFormat="false" ht="15" hidden="false" customHeight="false" outlineLevel="0" collapsed="false">
      <c r="A2520" s="7" t="n">
        <v>81136964</v>
      </c>
      <c r="B2520" s="7" t="s">
        <v>68</v>
      </c>
      <c r="C2520" s="7" t="s">
        <v>5433</v>
      </c>
      <c r="D2520" s="7" t="s">
        <v>5434</v>
      </c>
      <c r="E2520" s="7" t="s">
        <v>26</v>
      </c>
      <c r="F2520" s="7" t="s">
        <v>5423</v>
      </c>
      <c r="G2520" s="7" t="n">
        <v>2019</v>
      </c>
      <c r="H2520" s="7" t="s">
        <v>49</v>
      </c>
      <c r="I2520" s="7" t="s">
        <v>264</v>
      </c>
      <c r="J2520" s="7" t="s">
        <v>811</v>
      </c>
      <c r="K2520" s="7" t="n">
        <f aca="false">IFERROR(VALUE(RIGHT(TRIM(F2520),4)),"")</f>
        <v>2019</v>
      </c>
      <c r="L2520" s="7" t="str">
        <f aca="false">IF(TRIM(E2520)="","Unknown",IFERROR(LEFT(TRIM(E2520),FIND(",",TRIM(E2520))-1),TRIM(E2520)))</f>
        <v>United States</v>
      </c>
      <c r="M2520" s="7" t="str">
        <f aca="false">IFERROR(LEFT(J2520,FIND(",",J2520)-1),J2520)</f>
        <v>Thrillers</v>
      </c>
      <c r="N2520" s="7" t="n">
        <f aca="false">IF(B2520="Movie",IFERROR(VALUE(LEFT(I2520,FIND(" ",I2520)-1)),""),"")</f>
        <v>88</v>
      </c>
      <c r="O2520" s="7" t="str">
        <f aca="false">IF(B2520="TV Show",IFERROR(VALUE(LEFT(I2520,FIND(" ",I2520)-1)),""),"")</f>
        <v/>
      </c>
      <c r="P2520" s="7" t="n">
        <f aca="false">IF(K2520="","",K2520-G2520)</f>
        <v>0</v>
      </c>
    </row>
    <row r="2521" customFormat="false" ht="15" hidden="false" customHeight="false" outlineLevel="0" collapsed="false">
      <c r="A2521" s="7" t="n">
        <v>81088332</v>
      </c>
      <c r="B2521" s="7" t="s">
        <v>78</v>
      </c>
      <c r="C2521" s="7" t="s">
        <v>5435</v>
      </c>
      <c r="F2521" s="7" t="s">
        <v>5423</v>
      </c>
      <c r="G2521" s="7" t="n">
        <v>2019</v>
      </c>
      <c r="H2521" s="7" t="s">
        <v>55</v>
      </c>
      <c r="I2521" s="7" t="s">
        <v>82</v>
      </c>
      <c r="J2521" s="7" t="s">
        <v>44</v>
      </c>
      <c r="K2521" s="7" t="n">
        <f aca="false">IFERROR(VALUE(RIGHT(TRIM(F2521),4)),"")</f>
        <v>2019</v>
      </c>
      <c r="L2521" s="7" t="str">
        <f aca="false">IF(TRIM(E2521)="","Unknown",IFERROR(LEFT(TRIM(E2521),FIND(",",TRIM(E2521))-1),TRIM(E2521)))</f>
        <v>Unknown</v>
      </c>
      <c r="M2521" s="7" t="str">
        <f aca="false">IFERROR(LEFT(J2521,FIND(",",J2521)-1),J2521)</f>
        <v>Kids' TV</v>
      </c>
      <c r="N2521" s="7" t="str">
        <f aca="false">IF(B2521="Movie",IFERROR(VALUE(LEFT(I2521,FIND(" ",I2521)-1)),""),"")</f>
        <v/>
      </c>
      <c r="O2521" s="7" t="n">
        <f aca="false">IF(B2521="TV Show",IFERROR(VALUE(LEFT(I2521,FIND(" ",I2521)-1)),""),"")</f>
        <v>1</v>
      </c>
      <c r="P2521" s="7" t="n">
        <f aca="false">IF(K2521="","",K2521-G2521)</f>
        <v>0</v>
      </c>
    </row>
    <row r="2522" customFormat="false" ht="15" hidden="false" customHeight="false" outlineLevel="0" collapsed="false">
      <c r="A2522" s="7" t="n">
        <v>81121055</v>
      </c>
      <c r="B2522" s="7" t="s">
        <v>78</v>
      </c>
      <c r="C2522" s="7" t="s">
        <v>5436</v>
      </c>
      <c r="E2522" s="7" t="s">
        <v>317</v>
      </c>
      <c r="F2522" s="7" t="s">
        <v>5423</v>
      </c>
      <c r="G2522" s="7" t="n">
        <v>1993</v>
      </c>
      <c r="H2522" s="7" t="s">
        <v>48</v>
      </c>
      <c r="I2522" s="7" t="s">
        <v>82</v>
      </c>
      <c r="J2522" s="7" t="s">
        <v>2704</v>
      </c>
      <c r="K2522" s="7" t="n">
        <f aca="false">IFERROR(VALUE(RIGHT(TRIM(F2522),4)),"")</f>
        <v>2019</v>
      </c>
      <c r="L2522" s="7" t="str">
        <f aca="false">IF(TRIM(E2522)="","Unknown",IFERROR(LEFT(TRIM(E2522),FIND(",",TRIM(E2522))-1),TRIM(E2522)))</f>
        <v>United Kingdom</v>
      </c>
      <c r="M2522" s="7" t="str">
        <f aca="false">IFERROR(LEFT(J2522,FIND(",",J2522)-1),J2522)</f>
        <v>TV Dramas</v>
      </c>
      <c r="N2522" s="7" t="str">
        <f aca="false">IF(B2522="Movie",IFERROR(VALUE(LEFT(I2522,FIND(" ",I2522)-1)),""),"")</f>
        <v/>
      </c>
      <c r="O2522" s="7" t="n">
        <f aca="false">IF(B2522="TV Show",IFERROR(VALUE(LEFT(I2522,FIND(" ",I2522)-1)),""),"")</f>
        <v>1</v>
      </c>
      <c r="P2522" s="7" t="n">
        <f aca="false">IF(K2522="","",K2522-G2522)</f>
        <v>26</v>
      </c>
    </row>
    <row r="2523" customFormat="false" ht="15" hidden="false" customHeight="false" outlineLevel="0" collapsed="false">
      <c r="A2523" s="7" t="n">
        <v>80233215</v>
      </c>
      <c r="B2523" s="7" t="s">
        <v>78</v>
      </c>
      <c r="C2523" s="7" t="s">
        <v>5437</v>
      </c>
      <c r="D2523" s="7" t="s">
        <v>5438</v>
      </c>
      <c r="E2523" s="7" t="s">
        <v>325</v>
      </c>
      <c r="F2523" s="7" t="s">
        <v>5423</v>
      </c>
      <c r="G2523" s="7" t="n">
        <v>2019</v>
      </c>
      <c r="H2523" s="7" t="s">
        <v>48</v>
      </c>
      <c r="I2523" s="7" t="s">
        <v>82</v>
      </c>
      <c r="J2523" s="7" t="s">
        <v>3308</v>
      </c>
      <c r="K2523" s="7" t="n">
        <f aca="false">IFERROR(VALUE(RIGHT(TRIM(F2523),4)),"")</f>
        <v>2019</v>
      </c>
      <c r="L2523" s="7" t="str">
        <f aca="false">IF(TRIM(E2523)="","Unknown",IFERROR(LEFT(TRIM(E2523),FIND(",",TRIM(E2523))-1),TRIM(E2523)))</f>
        <v>Brazil</v>
      </c>
      <c r="M2523" s="7" t="str">
        <f aca="false">IFERROR(LEFT(J2523,FIND(",",J2523)-1),J2523)</f>
        <v>International TV Shows</v>
      </c>
      <c r="N2523" s="7" t="str">
        <f aca="false">IF(B2523="Movie",IFERROR(VALUE(LEFT(I2523,FIND(" ",I2523)-1)),""),"")</f>
        <v/>
      </c>
      <c r="O2523" s="7" t="n">
        <f aca="false">IF(B2523="TV Show",IFERROR(VALUE(LEFT(I2523,FIND(" ",I2523)-1)),""),"")</f>
        <v>1</v>
      </c>
      <c r="P2523" s="7" t="n">
        <f aca="false">IF(K2523="","",K2523-G2523)</f>
        <v>0</v>
      </c>
    </row>
    <row r="2524" customFormat="false" ht="15" hidden="false" customHeight="false" outlineLevel="0" collapsed="false">
      <c r="A2524" s="7" t="n">
        <v>80241779</v>
      </c>
      <c r="B2524" s="7" t="s">
        <v>68</v>
      </c>
      <c r="C2524" s="7" t="s">
        <v>5439</v>
      </c>
      <c r="D2524" s="7" t="s">
        <v>5440</v>
      </c>
      <c r="E2524" s="7" t="s">
        <v>29</v>
      </c>
      <c r="F2524" s="7" t="s">
        <v>5441</v>
      </c>
      <c r="G2524" s="7" t="n">
        <v>2018</v>
      </c>
      <c r="H2524" s="7" t="s">
        <v>48</v>
      </c>
      <c r="I2524" s="7" t="s">
        <v>264</v>
      </c>
      <c r="J2524" s="7" t="s">
        <v>1000</v>
      </c>
      <c r="K2524" s="7" t="n">
        <f aca="false">IFERROR(VALUE(RIGHT(TRIM(F2524),4)),"")</f>
        <v>2018</v>
      </c>
      <c r="L2524" s="7" t="str">
        <f aca="false">IF(TRIM(E2524)="","Unknown",IFERROR(LEFT(TRIM(E2524),FIND(",",TRIM(E2524))-1),TRIM(E2524)))</f>
        <v>Canada</v>
      </c>
      <c r="M2524" s="7" t="str">
        <f aca="false">IFERROR(LEFT(J2524,FIND(",",J2524)-1),J2524)</f>
        <v>Comedies</v>
      </c>
      <c r="N2524" s="7" t="n">
        <f aca="false">IF(B2524="Movie",IFERROR(VALUE(LEFT(I2524,FIND(" ",I2524)-1)),""),"")</f>
        <v>88</v>
      </c>
      <c r="O2524" s="7" t="str">
        <f aca="false">IF(B2524="TV Show",IFERROR(VALUE(LEFT(I2524,FIND(" ",I2524)-1)),""),"")</f>
        <v/>
      </c>
      <c r="P2524" s="7" t="n">
        <f aca="false">IF(K2524="","",K2524-G2524)</f>
        <v>0</v>
      </c>
    </row>
    <row r="2525" customFormat="false" ht="15" hidden="false" customHeight="false" outlineLevel="0" collapsed="false">
      <c r="A2525" s="7" t="n">
        <v>80091936</v>
      </c>
      <c r="B2525" s="7" t="s">
        <v>68</v>
      </c>
      <c r="C2525" s="7" t="s">
        <v>5442</v>
      </c>
      <c r="D2525" s="7" t="s">
        <v>4107</v>
      </c>
      <c r="E2525" s="7" t="s">
        <v>5443</v>
      </c>
      <c r="F2525" s="7" t="s">
        <v>5444</v>
      </c>
      <c r="G2525" s="7" t="n">
        <v>2017</v>
      </c>
      <c r="H2525" s="7" t="s">
        <v>48</v>
      </c>
      <c r="I2525" s="7" t="s">
        <v>505</v>
      </c>
      <c r="J2525" s="7" t="s">
        <v>4035</v>
      </c>
      <c r="K2525" s="7" t="n">
        <f aca="false">IFERROR(VALUE(RIGHT(TRIM(F2525),4)),"")</f>
        <v>2017</v>
      </c>
      <c r="L2525" s="7" t="str">
        <f aca="false">IF(TRIM(E2525)="","Unknown",IFERROR(LEFT(TRIM(E2525),FIND(",",TRIM(E2525))-1),TRIM(E2525)))</f>
        <v>South Korea</v>
      </c>
      <c r="M2525" s="7" t="str">
        <f aca="false">IFERROR(LEFT(J2525,FIND(",",J2525)-1),J2525)</f>
        <v>Action &amp; Adventure</v>
      </c>
      <c r="N2525" s="7" t="n">
        <f aca="false">IF(B2525="Movie",IFERROR(VALUE(LEFT(I2525,FIND(" ",I2525)-1)),""),"")</f>
        <v>121</v>
      </c>
      <c r="O2525" s="7" t="str">
        <f aca="false">IF(B2525="TV Show",IFERROR(VALUE(LEFT(I2525,FIND(" ",I2525)-1)),""),"")</f>
        <v/>
      </c>
      <c r="P2525" s="7" t="n">
        <f aca="false">IF(K2525="","",K2525-G2525)</f>
        <v>0</v>
      </c>
    </row>
    <row r="2526" customFormat="false" ht="15" hidden="false" customHeight="false" outlineLevel="0" collapsed="false">
      <c r="A2526" s="7" t="n">
        <v>81110498</v>
      </c>
      <c r="B2526" s="7" t="s">
        <v>68</v>
      </c>
      <c r="C2526" s="7" t="s">
        <v>5445</v>
      </c>
      <c r="D2526" s="7" t="s">
        <v>5446</v>
      </c>
      <c r="E2526" s="7" t="s">
        <v>28</v>
      </c>
      <c r="F2526" s="7" t="s">
        <v>5447</v>
      </c>
      <c r="G2526" s="7" t="n">
        <v>2019</v>
      </c>
      <c r="H2526" s="7" t="s">
        <v>50</v>
      </c>
      <c r="I2526" s="7" t="s">
        <v>5448</v>
      </c>
      <c r="J2526" s="7" t="s">
        <v>5449</v>
      </c>
      <c r="K2526" s="7" t="n">
        <f aca="false">IFERROR(VALUE(RIGHT(TRIM(F2526),4)),"")</f>
        <v>2019</v>
      </c>
      <c r="L2526" s="7" t="str">
        <f aca="false">IF(TRIM(E2526)="","Unknown",IFERROR(LEFT(TRIM(E2526),FIND(",",TRIM(E2526))-1),TRIM(E2526)))</f>
        <v>United Kingdom</v>
      </c>
      <c r="M2526" s="7" t="str">
        <f aca="false">IFERROR(LEFT(J2526,FIND(",",J2526)-1),J2526)</f>
        <v>Dramas</v>
      </c>
      <c r="N2526" s="7" t="n">
        <f aca="false">IF(B2526="Movie",IFERROR(VALUE(LEFT(I2526,FIND(" ",I2526)-1)),""),"")</f>
        <v>15</v>
      </c>
      <c r="O2526" s="7" t="str">
        <f aca="false">IF(B2526="TV Show",IFERROR(VALUE(LEFT(I2526,FIND(" ",I2526)-1)),""),"")</f>
        <v/>
      </c>
      <c r="P2526" s="7" t="n">
        <f aca="false">IF(K2526="","",K2526-G2526)</f>
        <v>0</v>
      </c>
    </row>
    <row r="2527" customFormat="false" ht="15" hidden="false" customHeight="false" outlineLevel="0" collapsed="false">
      <c r="A2527" s="7" t="n">
        <v>81081051</v>
      </c>
      <c r="B2527" s="7" t="s">
        <v>78</v>
      </c>
      <c r="C2527" s="7" t="s">
        <v>5450</v>
      </c>
      <c r="F2527" s="7" t="s">
        <v>5447</v>
      </c>
      <c r="G2527" s="7" t="n">
        <v>2019</v>
      </c>
      <c r="H2527" s="7" t="s">
        <v>48</v>
      </c>
      <c r="I2527" s="7" t="s">
        <v>82</v>
      </c>
      <c r="J2527" s="7" t="s">
        <v>3638</v>
      </c>
      <c r="K2527" s="7" t="n">
        <f aca="false">IFERROR(VALUE(RIGHT(TRIM(F2527),4)),"")</f>
        <v>2019</v>
      </c>
      <c r="L2527" s="7" t="str">
        <f aca="false">IF(TRIM(E2527)="","Unknown",IFERROR(LEFT(TRIM(E2527),FIND(",",TRIM(E2527))-1),TRIM(E2527)))</f>
        <v>Unknown</v>
      </c>
      <c r="M2527" s="7" t="str">
        <f aca="false">IFERROR(LEFT(J2527,FIND(",",J2527)-1),J2527)</f>
        <v>Crime TV Shows</v>
      </c>
      <c r="N2527" s="7" t="str">
        <f aca="false">IF(B2527="Movie",IFERROR(VALUE(LEFT(I2527,FIND(" ",I2527)-1)),""),"")</f>
        <v/>
      </c>
      <c r="O2527" s="7" t="n">
        <f aca="false">IF(B2527="TV Show",IFERROR(VALUE(LEFT(I2527,FIND(" ",I2527)-1)),""),"")</f>
        <v>1</v>
      </c>
      <c r="P2527" s="7" t="n">
        <f aca="false">IF(K2527="","",K2527-G2527)</f>
        <v>0</v>
      </c>
    </row>
    <row r="2528" customFormat="false" ht="15" hidden="false" customHeight="false" outlineLevel="0" collapsed="false">
      <c r="A2528" s="7" t="n">
        <v>81060096</v>
      </c>
      <c r="B2528" s="7" t="s">
        <v>68</v>
      </c>
      <c r="C2528" s="7" t="s">
        <v>5451</v>
      </c>
      <c r="D2528" s="7" t="s">
        <v>5452</v>
      </c>
      <c r="E2528" s="7" t="s">
        <v>34</v>
      </c>
      <c r="F2528" s="7" t="s">
        <v>5447</v>
      </c>
      <c r="G2528" s="7" t="n">
        <v>2019</v>
      </c>
      <c r="H2528" s="7" t="s">
        <v>48</v>
      </c>
      <c r="I2528" s="7" t="s">
        <v>1595</v>
      </c>
      <c r="J2528" s="7" t="s">
        <v>45</v>
      </c>
      <c r="K2528" s="7" t="n">
        <f aca="false">IFERROR(VALUE(RIGHT(TRIM(F2528),4)),"")</f>
        <v>2019</v>
      </c>
      <c r="L2528" s="7" t="str">
        <f aca="false">IF(TRIM(E2528)="","Unknown",IFERROR(LEFT(TRIM(E2528),FIND(",",TRIM(E2528))-1),TRIM(E2528)))</f>
        <v>Mexico</v>
      </c>
      <c r="M2528" s="7" t="str">
        <f aca="false">IFERROR(LEFT(J2528,FIND(",",J2528)-1),J2528)</f>
        <v>Stand-Up Comedy</v>
      </c>
      <c r="N2528" s="7" t="n">
        <f aca="false">IF(B2528="Movie",IFERROR(VALUE(LEFT(I2528,FIND(" ",I2528)-1)),""),"")</f>
        <v>55</v>
      </c>
      <c r="O2528" s="7" t="str">
        <f aca="false">IF(B2528="TV Show",IFERROR(VALUE(LEFT(I2528,FIND(" ",I2528)-1)),""),"")</f>
        <v/>
      </c>
      <c r="P2528" s="7" t="n">
        <f aca="false">IF(K2528="","",K2528-G2528)</f>
        <v>0</v>
      </c>
    </row>
    <row r="2529" customFormat="false" ht="15" hidden="false" customHeight="false" outlineLevel="0" collapsed="false">
      <c r="A2529" s="7" t="n">
        <v>80994807</v>
      </c>
      <c r="B2529" s="7" t="s">
        <v>68</v>
      </c>
      <c r="C2529" s="7" t="s">
        <v>5453</v>
      </c>
      <c r="D2529" s="7" t="s">
        <v>5454</v>
      </c>
      <c r="E2529" s="7" t="s">
        <v>905</v>
      </c>
      <c r="F2529" s="7" t="s">
        <v>5455</v>
      </c>
      <c r="G2529" s="7" t="n">
        <v>2014</v>
      </c>
      <c r="H2529" s="7" t="s">
        <v>226</v>
      </c>
      <c r="I2529" s="7" t="s">
        <v>5456</v>
      </c>
      <c r="J2529" s="7" t="s">
        <v>1085</v>
      </c>
      <c r="K2529" s="7" t="n">
        <f aca="false">IFERROR(VALUE(RIGHT(TRIM(F2529),4)),"")</f>
        <v>2018</v>
      </c>
      <c r="L2529" s="7" t="str">
        <f aca="false">IF(TRIM(E2529)="","Unknown",IFERROR(LEFT(TRIM(E2529),FIND(",",TRIM(E2529))-1),TRIM(E2529)))</f>
        <v>United States</v>
      </c>
      <c r="M2529" s="7" t="str">
        <f aca="false">IFERROR(LEFT(J2529,FIND(",",J2529)-1),J2529)</f>
        <v>Documentaries</v>
      </c>
      <c r="N2529" s="7" t="n">
        <f aca="false">IF(B2529="Movie",IFERROR(VALUE(LEFT(I2529,FIND(" ",I2529)-1)),""),"")</f>
        <v>49</v>
      </c>
      <c r="O2529" s="7" t="str">
        <f aca="false">IF(B2529="TV Show",IFERROR(VALUE(LEFT(I2529,FIND(" ",I2529)-1)),""),"")</f>
        <v/>
      </c>
      <c r="P2529" s="7" t="n">
        <f aca="false">IF(K2529="","",K2529-G2529)</f>
        <v>4</v>
      </c>
    </row>
    <row r="2530" customFormat="false" ht="15" hidden="false" customHeight="false" outlineLevel="0" collapsed="false">
      <c r="A2530" s="7" t="n">
        <v>80133553</v>
      </c>
      <c r="B2530" s="7" t="s">
        <v>68</v>
      </c>
      <c r="C2530" s="7" t="s">
        <v>5457</v>
      </c>
      <c r="D2530" s="7" t="s">
        <v>5458</v>
      </c>
      <c r="E2530" s="7" t="s">
        <v>26</v>
      </c>
      <c r="F2530" s="7" t="s">
        <v>5459</v>
      </c>
      <c r="G2530" s="7" t="n">
        <v>2017</v>
      </c>
      <c r="H2530" s="7" t="s">
        <v>48</v>
      </c>
      <c r="I2530" s="7" t="s">
        <v>1317</v>
      </c>
      <c r="J2530" s="7" t="s">
        <v>45</v>
      </c>
      <c r="K2530" s="7" t="n">
        <f aca="false">IFERROR(VALUE(RIGHT(TRIM(F2530),4)),"")</f>
        <v>2017</v>
      </c>
      <c r="L2530" s="7" t="str">
        <f aca="false">IF(TRIM(E2530)="","Unknown",IFERROR(LEFT(TRIM(E2530),FIND(",",TRIM(E2530))-1),TRIM(E2530)))</f>
        <v>United States</v>
      </c>
      <c r="M2530" s="7" t="str">
        <f aca="false">IFERROR(LEFT(J2530,FIND(",",J2530)-1),J2530)</f>
        <v>Stand-Up Comedy</v>
      </c>
      <c r="N2530" s="7" t="n">
        <f aca="false">IF(B2530="Movie",IFERROR(VALUE(LEFT(I2530,FIND(" ",I2530)-1)),""),"")</f>
        <v>66</v>
      </c>
      <c r="O2530" s="7" t="str">
        <f aca="false">IF(B2530="TV Show",IFERROR(VALUE(LEFT(I2530,FIND(" ",I2530)-1)),""),"")</f>
        <v/>
      </c>
      <c r="P2530" s="7" t="n">
        <f aca="false">IF(K2530="","",K2530-G2530)</f>
        <v>0</v>
      </c>
    </row>
    <row r="2531" customFormat="false" ht="15" hidden="false" customHeight="false" outlineLevel="0" collapsed="false">
      <c r="A2531" s="7" t="n">
        <v>81092491</v>
      </c>
      <c r="B2531" s="7" t="s">
        <v>68</v>
      </c>
      <c r="C2531" s="7" t="s">
        <v>5460</v>
      </c>
      <c r="E2531" s="7" t="s">
        <v>30</v>
      </c>
      <c r="F2531" s="7" t="s">
        <v>5461</v>
      </c>
      <c r="G2531" s="7" t="n">
        <v>2018</v>
      </c>
      <c r="H2531" s="7" t="s">
        <v>50</v>
      </c>
      <c r="I2531" s="7" t="s">
        <v>727</v>
      </c>
      <c r="J2531" s="7" t="s">
        <v>1956</v>
      </c>
      <c r="K2531" s="7" t="n">
        <f aca="false">IFERROR(VALUE(RIGHT(TRIM(F2531),4)),"")</f>
        <v>2019</v>
      </c>
      <c r="L2531" s="7" t="str">
        <f aca="false">IF(TRIM(E2531)="","Unknown",IFERROR(LEFT(TRIM(E2531),FIND(",",TRIM(E2531))-1),TRIM(E2531)))</f>
        <v>Japan</v>
      </c>
      <c r="M2531" s="7" t="str">
        <f aca="false">IFERROR(LEFT(J2531,FIND(",",J2531)-1),J2531)</f>
        <v>International Movies</v>
      </c>
      <c r="N2531" s="7" t="n">
        <f aca="false">IF(B2531="Movie",IFERROR(VALUE(LEFT(I2531,FIND(" ",I2531)-1)),""),"")</f>
        <v>141</v>
      </c>
      <c r="O2531" s="7" t="str">
        <f aca="false">IF(B2531="TV Show",IFERROR(VALUE(LEFT(I2531,FIND(" ",I2531)-1)),""),"")</f>
        <v/>
      </c>
      <c r="P2531" s="7" t="n">
        <f aca="false">IF(K2531="","",K2531-G2531)</f>
        <v>1</v>
      </c>
    </row>
    <row r="2532" customFormat="false" ht="15" hidden="false" customHeight="false" outlineLevel="0" collapsed="false">
      <c r="A2532" s="7" t="n">
        <v>70236020</v>
      </c>
      <c r="B2532" s="7" t="s">
        <v>68</v>
      </c>
      <c r="C2532" s="7" t="s">
        <v>5462</v>
      </c>
      <c r="D2532" s="7" t="s">
        <v>5463</v>
      </c>
      <c r="E2532" s="7" t="s">
        <v>27</v>
      </c>
      <c r="F2532" s="7" t="s">
        <v>5461</v>
      </c>
      <c r="G2532" s="7" t="n">
        <v>2012</v>
      </c>
      <c r="H2532" s="7" t="s">
        <v>49</v>
      </c>
      <c r="I2532" s="7" t="s">
        <v>232</v>
      </c>
      <c r="J2532" s="7" t="s">
        <v>5464</v>
      </c>
      <c r="K2532" s="7" t="n">
        <f aca="false">IFERROR(VALUE(RIGHT(TRIM(F2532),4)),"")</f>
        <v>2019</v>
      </c>
      <c r="L2532" s="7" t="str">
        <f aca="false">IF(TRIM(E2532)="","Unknown",IFERROR(LEFT(TRIM(E2532),FIND(",",TRIM(E2532))-1),TRIM(E2532)))</f>
        <v>India</v>
      </c>
      <c r="M2532" s="7" t="str">
        <f aca="false">IFERROR(LEFT(J2532,FIND(",",J2532)-1),J2532)</f>
        <v>International Movies</v>
      </c>
      <c r="N2532" s="7" t="n">
        <f aca="false">IF(B2532="Movie",IFERROR(VALUE(LEFT(I2532,FIND(" ",I2532)-1)),""),"")</f>
        <v>122</v>
      </c>
      <c r="O2532" s="7" t="str">
        <f aca="false">IF(B2532="TV Show",IFERROR(VALUE(LEFT(I2532,FIND(" ",I2532)-1)),""),"")</f>
        <v/>
      </c>
      <c r="P2532" s="7" t="n">
        <f aca="false">IF(K2532="","",K2532-G2532)</f>
        <v>7</v>
      </c>
    </row>
    <row r="2533" customFormat="false" ht="15" hidden="false" customHeight="false" outlineLevel="0" collapsed="false">
      <c r="A2533" s="7" t="n">
        <v>81002747</v>
      </c>
      <c r="B2533" s="7" t="s">
        <v>68</v>
      </c>
      <c r="C2533" s="7" t="s">
        <v>5465</v>
      </c>
      <c r="D2533" s="7" t="s">
        <v>5466</v>
      </c>
      <c r="E2533" s="7" t="s">
        <v>26</v>
      </c>
      <c r="F2533" s="7" t="s">
        <v>5461</v>
      </c>
      <c r="G2533" s="7" t="n">
        <v>2018</v>
      </c>
      <c r="H2533" s="7" t="s">
        <v>54</v>
      </c>
      <c r="I2533" s="7" t="s">
        <v>386</v>
      </c>
      <c r="J2533" s="7" t="s">
        <v>967</v>
      </c>
      <c r="K2533" s="7" t="n">
        <f aca="false">IFERROR(VALUE(RIGHT(TRIM(F2533),4)),"")</f>
        <v>2019</v>
      </c>
      <c r="L2533" s="7" t="str">
        <f aca="false">IF(TRIM(E2533)="","Unknown",IFERROR(LEFT(TRIM(E2533),FIND(",",TRIM(E2533))-1),TRIM(E2533)))</f>
        <v>United States</v>
      </c>
      <c r="M2533" s="7" t="str">
        <f aca="false">IFERROR(LEFT(J2533,FIND(",",J2533)-1),J2533)</f>
        <v>Action &amp; Adventure</v>
      </c>
      <c r="N2533" s="7" t="n">
        <f aca="false">IF(B2533="Movie",IFERROR(VALUE(LEFT(I2533,FIND(" ",I2533)-1)),""),"")</f>
        <v>117</v>
      </c>
      <c r="O2533" s="7" t="str">
        <f aca="false">IF(B2533="TV Show",IFERROR(VALUE(LEFT(I2533,FIND(" ",I2533)-1)),""),"")</f>
        <v/>
      </c>
      <c r="P2533" s="7" t="n">
        <f aca="false">IF(K2533="","",K2533-G2533)</f>
        <v>1</v>
      </c>
    </row>
    <row r="2534" customFormat="false" ht="15" hidden="false" customHeight="false" outlineLevel="0" collapsed="false">
      <c r="A2534" s="7" t="n">
        <v>81075239</v>
      </c>
      <c r="B2534" s="7" t="s">
        <v>68</v>
      </c>
      <c r="C2534" s="7" t="s">
        <v>5467</v>
      </c>
      <c r="D2534" s="7" t="s">
        <v>5468</v>
      </c>
      <c r="E2534" s="7" t="s">
        <v>5469</v>
      </c>
      <c r="F2534" s="7" t="s">
        <v>5461</v>
      </c>
      <c r="G2534" s="7" t="n">
        <v>2018</v>
      </c>
      <c r="H2534" s="7" t="s">
        <v>48</v>
      </c>
      <c r="I2534" s="7" t="s">
        <v>111</v>
      </c>
      <c r="J2534" s="7" t="s">
        <v>2725</v>
      </c>
      <c r="K2534" s="7" t="n">
        <f aca="false">IFERROR(VALUE(RIGHT(TRIM(F2534),4)),"")</f>
        <v>2019</v>
      </c>
      <c r="L2534" s="7" t="str">
        <f aca="false">IF(TRIM(E2534)="","Unknown",IFERROR(LEFT(TRIM(E2534),FIND(",",TRIM(E2534))-1),TRIM(E2534)))</f>
        <v>Israel</v>
      </c>
      <c r="M2534" s="7" t="str">
        <f aca="false">IFERROR(LEFT(J2534,FIND(",",J2534)-1),J2534)</f>
        <v>Horror Movies</v>
      </c>
      <c r="N2534" s="7" t="n">
        <f aca="false">IF(B2534="Movie",IFERROR(VALUE(LEFT(I2534,FIND(" ",I2534)-1)),""),"")</f>
        <v>95</v>
      </c>
      <c r="O2534" s="7" t="str">
        <f aca="false">IF(B2534="TV Show",IFERROR(VALUE(LEFT(I2534,FIND(" ",I2534)-1)),""),"")</f>
        <v/>
      </c>
      <c r="P2534" s="7" t="n">
        <f aca="false">IF(K2534="","",K2534-G2534)</f>
        <v>1</v>
      </c>
    </row>
    <row r="2535" customFormat="false" ht="15" hidden="false" customHeight="false" outlineLevel="0" collapsed="false">
      <c r="A2535" s="7" t="n">
        <v>81108230</v>
      </c>
      <c r="B2535" s="7" t="s">
        <v>68</v>
      </c>
      <c r="C2535" s="7" t="s">
        <v>5470</v>
      </c>
      <c r="D2535" s="7" t="s">
        <v>5471</v>
      </c>
      <c r="E2535" s="7" t="s">
        <v>27</v>
      </c>
      <c r="F2535" s="7" t="s">
        <v>5461</v>
      </c>
      <c r="G2535" s="7" t="n">
        <v>2019</v>
      </c>
      <c r="H2535" s="7" t="s">
        <v>49</v>
      </c>
      <c r="I2535" s="7" t="s">
        <v>790</v>
      </c>
      <c r="J2535" s="7" t="s">
        <v>341</v>
      </c>
      <c r="K2535" s="7" t="n">
        <f aca="false">IFERROR(VALUE(RIGHT(TRIM(F2535),4)),"")</f>
        <v>2019</v>
      </c>
      <c r="L2535" s="7" t="str">
        <f aca="false">IF(TRIM(E2535)="","Unknown",IFERROR(LEFT(TRIM(E2535),FIND(",",TRIM(E2535))-1),TRIM(E2535)))</f>
        <v>India</v>
      </c>
      <c r="M2535" s="7" t="str">
        <f aca="false">IFERROR(LEFT(J2535,FIND(",",J2535)-1),J2535)</f>
        <v>Documentaries</v>
      </c>
      <c r="N2535" s="7" t="n">
        <f aca="false">IF(B2535="Movie",IFERROR(VALUE(LEFT(I2535,FIND(" ",I2535)-1)),""),"")</f>
        <v>109</v>
      </c>
      <c r="O2535" s="7" t="str">
        <f aca="false">IF(B2535="TV Show",IFERROR(VALUE(LEFT(I2535,FIND(" ",I2535)-1)),""),"")</f>
        <v/>
      </c>
      <c r="P2535" s="7" t="n">
        <f aca="false">IF(K2535="","",K2535-G2535)</f>
        <v>0</v>
      </c>
    </row>
    <row r="2536" customFormat="false" ht="15" hidden="false" customHeight="false" outlineLevel="0" collapsed="false">
      <c r="A2536" s="7" t="n">
        <v>80165918</v>
      </c>
      <c r="B2536" s="7" t="s">
        <v>78</v>
      </c>
      <c r="C2536" s="7" t="s">
        <v>5472</v>
      </c>
      <c r="F2536" s="7" t="s">
        <v>5473</v>
      </c>
      <c r="G2536" s="7" t="n">
        <v>2017</v>
      </c>
      <c r="H2536" s="7" t="s">
        <v>55</v>
      </c>
      <c r="I2536" s="7" t="s">
        <v>82</v>
      </c>
      <c r="J2536" s="7" t="s">
        <v>191</v>
      </c>
      <c r="K2536" s="7" t="n">
        <f aca="false">IFERROR(VALUE(RIGHT(TRIM(F2536),4)),"")</f>
        <v>2018</v>
      </c>
      <c r="L2536" s="7" t="str">
        <f aca="false">IF(TRIM(E2536)="","Unknown",IFERROR(LEFT(TRIM(E2536),FIND(",",TRIM(E2536))-1),TRIM(E2536)))</f>
        <v>Unknown</v>
      </c>
      <c r="M2536" s="7" t="str">
        <f aca="false">IFERROR(LEFT(J2536,FIND(",",J2536)-1),J2536)</f>
        <v>Kids' TV</v>
      </c>
      <c r="N2536" s="7" t="str">
        <f aca="false">IF(B2536="Movie",IFERROR(VALUE(LEFT(I2536,FIND(" ",I2536)-1)),""),"")</f>
        <v/>
      </c>
      <c r="O2536" s="7" t="n">
        <f aca="false">IF(B2536="TV Show",IFERROR(VALUE(LEFT(I2536,FIND(" ",I2536)-1)),""),"")</f>
        <v>1</v>
      </c>
      <c r="P2536" s="7" t="n">
        <f aca="false">IF(K2536="","",K2536-G2536)</f>
        <v>1</v>
      </c>
    </row>
    <row r="2537" customFormat="false" ht="15" hidden="false" customHeight="false" outlineLevel="0" collapsed="false">
      <c r="A2537" s="7" t="n">
        <v>80192018</v>
      </c>
      <c r="B2537" s="7" t="s">
        <v>68</v>
      </c>
      <c r="C2537" s="7" t="s">
        <v>5474</v>
      </c>
      <c r="D2537" s="7" t="s">
        <v>976</v>
      </c>
      <c r="E2537" s="7" t="s">
        <v>26</v>
      </c>
      <c r="F2537" s="7" t="s">
        <v>5473</v>
      </c>
      <c r="G2537" s="7" t="n">
        <v>2017</v>
      </c>
      <c r="H2537" s="7" t="s">
        <v>52</v>
      </c>
      <c r="I2537" s="7" t="s">
        <v>490</v>
      </c>
      <c r="J2537" s="7" t="s">
        <v>5475</v>
      </c>
      <c r="K2537" s="7" t="n">
        <f aca="false">IFERROR(VALUE(RIGHT(TRIM(F2537),4)),"")</f>
        <v>2018</v>
      </c>
      <c r="L2537" s="7" t="str">
        <f aca="false">IF(TRIM(E2537)="","Unknown",IFERROR(LEFT(TRIM(E2537),FIND(",",TRIM(E2537))-1),TRIM(E2537)))</f>
        <v>United States</v>
      </c>
      <c r="M2537" s="7" t="str">
        <f aca="false">IFERROR(LEFT(J2537,FIND(",",J2537)-1),J2537)</f>
        <v>Action &amp; Adventure</v>
      </c>
      <c r="N2537" s="7" t="n">
        <f aca="false">IF(B2537="Movie",IFERROR(VALUE(LEFT(I2537,FIND(" ",I2537)-1)),""),"")</f>
        <v>152</v>
      </c>
      <c r="O2537" s="7" t="str">
        <f aca="false">IF(B2537="TV Show",IFERROR(VALUE(LEFT(I2537,FIND(" ",I2537)-1)),""),"")</f>
        <v/>
      </c>
      <c r="P2537" s="7" t="n">
        <f aca="false">IF(K2537="","",K2537-G2537)</f>
        <v>1</v>
      </c>
    </row>
    <row r="2538" customFormat="false" ht="15" hidden="false" customHeight="false" outlineLevel="0" collapsed="false">
      <c r="A2538" s="7" t="n">
        <v>80200015</v>
      </c>
      <c r="B2538" s="7" t="s">
        <v>68</v>
      </c>
      <c r="C2538" s="7" t="s">
        <v>5476</v>
      </c>
      <c r="D2538" s="7" t="s">
        <v>2163</v>
      </c>
      <c r="E2538" s="7" t="s">
        <v>26</v>
      </c>
      <c r="F2538" s="7" t="s">
        <v>5473</v>
      </c>
      <c r="G2538" s="7" t="n">
        <v>2018</v>
      </c>
      <c r="H2538" s="7" t="s">
        <v>48</v>
      </c>
      <c r="I2538" s="7" t="s">
        <v>1317</v>
      </c>
      <c r="J2538" s="7" t="s">
        <v>45</v>
      </c>
      <c r="K2538" s="7" t="n">
        <f aca="false">IFERROR(VALUE(RIGHT(TRIM(F2538),4)),"")</f>
        <v>2018</v>
      </c>
      <c r="L2538" s="7" t="str">
        <f aca="false">IF(TRIM(E2538)="","Unknown",IFERROR(LEFT(TRIM(E2538),FIND(",",TRIM(E2538))-1),TRIM(E2538)))</f>
        <v>United States</v>
      </c>
      <c r="M2538" s="7" t="str">
        <f aca="false">IFERROR(LEFT(J2538,FIND(",",J2538)-1),J2538)</f>
        <v>Stand-Up Comedy</v>
      </c>
      <c r="N2538" s="7" t="n">
        <f aca="false">IF(B2538="Movie",IFERROR(VALUE(LEFT(I2538,FIND(" ",I2538)-1)),""),"")</f>
        <v>66</v>
      </c>
      <c r="O2538" s="7" t="str">
        <f aca="false">IF(B2538="TV Show",IFERROR(VALUE(LEFT(I2538,FIND(" ",I2538)-1)),""),"")</f>
        <v/>
      </c>
      <c r="P2538" s="7" t="n">
        <f aca="false">IF(K2538="","",K2538-G2538)</f>
        <v>0</v>
      </c>
    </row>
    <row r="2539" customFormat="false" ht="15" hidden="false" customHeight="false" outlineLevel="0" collapsed="false">
      <c r="A2539" s="7" t="n">
        <v>80161640</v>
      </c>
      <c r="B2539" s="7" t="s">
        <v>68</v>
      </c>
      <c r="C2539" s="7" t="s">
        <v>5477</v>
      </c>
      <c r="D2539" s="7" t="s">
        <v>5478</v>
      </c>
      <c r="E2539" s="7" t="s">
        <v>26</v>
      </c>
      <c r="F2539" s="7" t="s">
        <v>5479</v>
      </c>
      <c r="G2539" s="7" t="n">
        <v>2015</v>
      </c>
      <c r="H2539" s="7" t="s">
        <v>48</v>
      </c>
      <c r="I2539" s="7" t="s">
        <v>181</v>
      </c>
      <c r="J2539" s="7" t="s">
        <v>5480</v>
      </c>
      <c r="K2539" s="7" t="n">
        <f aca="false">IFERROR(VALUE(RIGHT(TRIM(F2539),4)),"")</f>
        <v>2017</v>
      </c>
      <c r="L2539" s="7" t="str">
        <f aca="false">IF(TRIM(E2539)="","Unknown",IFERROR(LEFT(TRIM(E2539),FIND(",",TRIM(E2539))-1),TRIM(E2539)))</f>
        <v>United States</v>
      </c>
      <c r="M2539" s="7" t="str">
        <f aca="false">IFERROR(LEFT(J2539,FIND(",",J2539)-1),J2539)</f>
        <v>Dramas</v>
      </c>
      <c r="N2539" s="7" t="n">
        <f aca="false">IF(B2539="Movie",IFERROR(VALUE(LEFT(I2539,FIND(" ",I2539)-1)),""),"")</f>
        <v>102</v>
      </c>
      <c r="O2539" s="7" t="str">
        <f aca="false">IF(B2539="TV Show",IFERROR(VALUE(LEFT(I2539,FIND(" ",I2539)-1)),""),"")</f>
        <v/>
      </c>
      <c r="P2539" s="7" t="n">
        <f aca="false">IF(K2539="","",K2539-G2539)</f>
        <v>2</v>
      </c>
    </row>
    <row r="2540" customFormat="false" ht="15" hidden="false" customHeight="false" outlineLevel="0" collapsed="false">
      <c r="A2540" s="7" t="n">
        <v>80108952</v>
      </c>
      <c r="B2540" s="7" t="s">
        <v>68</v>
      </c>
      <c r="C2540" s="7" t="s">
        <v>5481</v>
      </c>
      <c r="D2540" s="7" t="s">
        <v>5482</v>
      </c>
      <c r="E2540" s="7" t="s">
        <v>5483</v>
      </c>
      <c r="F2540" s="7" t="s">
        <v>5479</v>
      </c>
      <c r="G2540" s="7" t="n">
        <v>2016</v>
      </c>
      <c r="H2540" s="7" t="s">
        <v>51</v>
      </c>
      <c r="I2540" s="7" t="s">
        <v>268</v>
      </c>
      <c r="J2540" s="7" t="s">
        <v>304</v>
      </c>
      <c r="K2540" s="7" t="n">
        <f aca="false">IFERROR(VALUE(RIGHT(TRIM(F2540),4)),"")</f>
        <v>2017</v>
      </c>
      <c r="L2540" s="7" t="str">
        <f aca="false">IF(TRIM(E2540)="","Unknown",IFERROR(LEFT(TRIM(E2540),FIND(",",TRIM(E2540))-1),TRIM(E2540)))</f>
        <v>Chile</v>
      </c>
      <c r="M2540" s="7" t="str">
        <f aca="false">IFERROR(LEFT(J2540,FIND(",",J2540)-1),J2540)</f>
        <v>Dramas</v>
      </c>
      <c r="N2540" s="7" t="n">
        <f aca="false">IF(B2540="Movie",IFERROR(VALUE(LEFT(I2540,FIND(" ",I2540)-1)),""),"")</f>
        <v>108</v>
      </c>
      <c r="O2540" s="7" t="str">
        <f aca="false">IF(B2540="TV Show",IFERROR(VALUE(LEFT(I2540,FIND(" ",I2540)-1)),""),"")</f>
        <v/>
      </c>
      <c r="P2540" s="7" t="n">
        <f aca="false">IF(K2540="","",K2540-G2540)</f>
        <v>1</v>
      </c>
    </row>
    <row r="2541" customFormat="false" ht="15" hidden="false" customHeight="false" outlineLevel="0" collapsed="false">
      <c r="A2541" s="7" t="n">
        <v>70308063</v>
      </c>
      <c r="B2541" s="7" t="s">
        <v>68</v>
      </c>
      <c r="C2541" s="7" t="s">
        <v>5484</v>
      </c>
      <c r="D2541" s="7" t="s">
        <v>5485</v>
      </c>
      <c r="E2541" s="7" t="s">
        <v>26</v>
      </c>
      <c r="F2541" s="7" t="s">
        <v>5486</v>
      </c>
      <c r="G2541" s="7" t="n">
        <v>2015</v>
      </c>
      <c r="H2541" s="7" t="s">
        <v>53</v>
      </c>
      <c r="I2541" s="7" t="s">
        <v>330</v>
      </c>
      <c r="J2541" s="7" t="s">
        <v>509</v>
      </c>
      <c r="K2541" s="7" t="n">
        <f aca="false">IFERROR(VALUE(RIGHT(TRIM(F2541),4)),"")</f>
        <v>2015</v>
      </c>
      <c r="L2541" s="7" t="str">
        <f aca="false">IF(TRIM(E2541)="","Unknown",IFERROR(LEFT(TRIM(E2541),FIND(",",TRIM(E2541))-1),TRIM(E2541)))</f>
        <v>United States</v>
      </c>
      <c r="M2541" s="7" t="str">
        <f aca="false">IFERROR(LEFT(J2541,FIND(",",J2541)-1),J2541)</f>
        <v>Documentaries</v>
      </c>
      <c r="N2541" s="7" t="n">
        <f aca="false">IF(B2541="Movie",IFERROR(VALUE(LEFT(I2541,FIND(" ",I2541)-1)),""),"")</f>
        <v>103</v>
      </c>
      <c r="O2541" s="7" t="str">
        <f aca="false">IF(B2541="TV Show",IFERROR(VALUE(LEFT(I2541,FIND(" ",I2541)-1)),""),"")</f>
        <v/>
      </c>
      <c r="P2541" s="7" t="n">
        <f aca="false">IF(K2541="","",K2541-G2541)</f>
        <v>0</v>
      </c>
    </row>
    <row r="2542" customFormat="false" ht="15" hidden="false" customHeight="false" outlineLevel="0" collapsed="false">
      <c r="A2542" s="7" t="n">
        <v>80996192</v>
      </c>
      <c r="B2542" s="7" t="s">
        <v>68</v>
      </c>
      <c r="C2542" s="7" t="s">
        <v>5487</v>
      </c>
      <c r="D2542" s="7" t="s">
        <v>5488</v>
      </c>
      <c r="E2542" s="7" t="s">
        <v>26</v>
      </c>
      <c r="F2542" s="7" t="s">
        <v>5489</v>
      </c>
      <c r="G2542" s="7" t="n">
        <v>2019</v>
      </c>
      <c r="H2542" s="7" t="s">
        <v>48</v>
      </c>
      <c r="I2542" s="7" t="s">
        <v>551</v>
      </c>
      <c r="J2542" s="7" t="s">
        <v>45</v>
      </c>
      <c r="K2542" s="7" t="n">
        <f aca="false">IFERROR(VALUE(RIGHT(TRIM(F2542),4)),"")</f>
        <v>2019</v>
      </c>
      <c r="L2542" s="7" t="str">
        <f aca="false">IF(TRIM(E2542)="","Unknown",IFERROR(LEFT(TRIM(E2542),FIND(",",TRIM(E2542))-1),TRIM(E2542)))</f>
        <v>United States</v>
      </c>
      <c r="M2542" s="7" t="str">
        <f aca="false">IFERROR(LEFT(J2542,FIND(",",J2542)-1),J2542)</f>
        <v>Stand-Up Comedy</v>
      </c>
      <c r="N2542" s="7" t="n">
        <f aca="false">IF(B2542="Movie",IFERROR(VALUE(LEFT(I2542,FIND(" ",I2542)-1)),""),"")</f>
        <v>63</v>
      </c>
      <c r="O2542" s="7" t="str">
        <f aca="false">IF(B2542="TV Show",IFERROR(VALUE(LEFT(I2542,FIND(" ",I2542)-1)),""),"")</f>
        <v/>
      </c>
      <c r="P2542" s="7" t="n">
        <f aca="false">IF(K2542="","",K2542-G2542)</f>
        <v>0</v>
      </c>
    </row>
    <row r="2543" customFormat="false" ht="15" hidden="false" customHeight="false" outlineLevel="0" collapsed="false">
      <c r="A2543" s="7" t="n">
        <v>81090899</v>
      </c>
      <c r="B2543" s="7" t="s">
        <v>68</v>
      </c>
      <c r="C2543" s="7" t="s">
        <v>5490</v>
      </c>
      <c r="D2543" s="7" t="s">
        <v>5491</v>
      </c>
      <c r="E2543" s="7" t="s">
        <v>29</v>
      </c>
      <c r="F2543" s="7" t="s">
        <v>5489</v>
      </c>
      <c r="G2543" s="7" t="n">
        <v>2018</v>
      </c>
      <c r="H2543" s="7" t="s">
        <v>48</v>
      </c>
      <c r="I2543" s="7" t="s">
        <v>1191</v>
      </c>
      <c r="J2543" s="7" t="s">
        <v>37</v>
      </c>
      <c r="K2543" s="7" t="n">
        <f aca="false">IFERROR(VALUE(RIGHT(TRIM(F2543),4)),"")</f>
        <v>2019</v>
      </c>
      <c r="L2543" s="7" t="str">
        <f aca="false">IF(TRIM(E2543)="","Unknown",IFERROR(LEFT(TRIM(E2543),FIND(",",TRIM(E2543))-1),TRIM(E2543)))</f>
        <v>Canada</v>
      </c>
      <c r="M2543" s="7" t="str">
        <f aca="false">IFERROR(LEFT(J2543,FIND(",",J2543)-1),J2543)</f>
        <v>Dramas</v>
      </c>
      <c r="N2543" s="7" t="n">
        <f aca="false">IF(B2543="Movie",IFERROR(VALUE(LEFT(I2543,FIND(" ",I2543)-1)),""),"")</f>
        <v>73</v>
      </c>
      <c r="O2543" s="7" t="str">
        <f aca="false">IF(B2543="TV Show",IFERROR(VALUE(LEFT(I2543,FIND(" ",I2543)-1)),""),"")</f>
        <v/>
      </c>
      <c r="P2543" s="7" t="n">
        <f aca="false">IF(K2543="","",K2543-G2543)</f>
        <v>1</v>
      </c>
    </row>
    <row r="2544" customFormat="false" ht="15" hidden="false" customHeight="false" outlineLevel="0" collapsed="false">
      <c r="A2544" s="7" t="n">
        <v>81095399</v>
      </c>
      <c r="B2544" s="7" t="s">
        <v>68</v>
      </c>
      <c r="C2544" s="7" t="s">
        <v>5492</v>
      </c>
      <c r="D2544" s="7" t="s">
        <v>5493</v>
      </c>
      <c r="E2544" s="7" t="s">
        <v>27</v>
      </c>
      <c r="F2544" s="7" t="s">
        <v>5489</v>
      </c>
      <c r="G2544" s="7" t="n">
        <v>2018</v>
      </c>
      <c r="H2544" s="7" t="s">
        <v>48</v>
      </c>
      <c r="I2544" s="7" t="s">
        <v>294</v>
      </c>
      <c r="J2544" s="7" t="s">
        <v>188</v>
      </c>
      <c r="K2544" s="7" t="n">
        <f aca="false">IFERROR(VALUE(RIGHT(TRIM(F2544),4)),"")</f>
        <v>2019</v>
      </c>
      <c r="L2544" s="7" t="str">
        <f aca="false">IF(TRIM(E2544)="","Unknown",IFERROR(LEFT(TRIM(E2544),FIND(",",TRIM(E2544))-1),TRIM(E2544)))</f>
        <v>India</v>
      </c>
      <c r="M2544" s="7" t="str">
        <f aca="false">IFERROR(LEFT(J2544,FIND(",",J2544)-1),J2544)</f>
        <v>Dramas</v>
      </c>
      <c r="N2544" s="7" t="n">
        <f aca="false">IF(B2544="Movie",IFERROR(VALUE(LEFT(I2544,FIND(" ",I2544)-1)),""),"")</f>
        <v>107</v>
      </c>
      <c r="O2544" s="7" t="str">
        <f aca="false">IF(B2544="TV Show",IFERROR(VALUE(LEFT(I2544,FIND(" ",I2544)-1)),""),"")</f>
        <v/>
      </c>
      <c r="P2544" s="7" t="n">
        <f aca="false">IF(K2544="","",K2544-G2544)</f>
        <v>1</v>
      </c>
    </row>
    <row r="2545" customFormat="false" ht="15" hidden="false" customHeight="false" outlineLevel="0" collapsed="false">
      <c r="A2545" s="7" t="n">
        <v>80996455</v>
      </c>
      <c r="B2545" s="7" t="s">
        <v>78</v>
      </c>
      <c r="C2545" s="7" t="s">
        <v>5494</v>
      </c>
      <c r="E2545" s="7" t="s">
        <v>325</v>
      </c>
      <c r="F2545" s="7" t="s">
        <v>5495</v>
      </c>
      <c r="G2545" s="7" t="n">
        <v>2018</v>
      </c>
      <c r="H2545" s="7" t="s">
        <v>48</v>
      </c>
      <c r="I2545" s="7" t="s">
        <v>82</v>
      </c>
      <c r="J2545" s="7" t="s">
        <v>1357</v>
      </c>
      <c r="K2545" s="7" t="n">
        <f aca="false">IFERROR(VALUE(RIGHT(TRIM(F2545),4)),"")</f>
        <v>2018</v>
      </c>
      <c r="L2545" s="7" t="str">
        <f aca="false">IF(TRIM(E2545)="","Unknown",IFERROR(LEFT(TRIM(E2545),FIND(",",TRIM(E2545))-1),TRIM(E2545)))</f>
        <v>Brazil</v>
      </c>
      <c r="M2545" s="7" t="str">
        <f aca="false">IFERROR(LEFT(J2545,FIND(",",J2545)-1),J2545)</f>
        <v>International TV Shows</v>
      </c>
      <c r="N2545" s="7" t="str">
        <f aca="false">IF(B2545="Movie",IFERROR(VALUE(LEFT(I2545,FIND(" ",I2545)-1)),""),"")</f>
        <v/>
      </c>
      <c r="O2545" s="7" t="n">
        <f aca="false">IF(B2545="TV Show",IFERROR(VALUE(LEFT(I2545,FIND(" ",I2545)-1)),""),"")</f>
        <v>1</v>
      </c>
      <c r="P2545" s="7" t="n">
        <f aca="false">IF(K2545="","",K2545-G2545)</f>
        <v>0</v>
      </c>
    </row>
    <row r="2546" customFormat="false" ht="15" hidden="false" customHeight="false" outlineLevel="0" collapsed="false">
      <c r="A2546" s="7" t="n">
        <v>80038207</v>
      </c>
      <c r="B2546" s="7" t="s">
        <v>68</v>
      </c>
      <c r="C2546" s="7" t="s">
        <v>5496</v>
      </c>
      <c r="D2546" s="7" t="s">
        <v>5497</v>
      </c>
      <c r="E2546" s="7" t="s">
        <v>30</v>
      </c>
      <c r="F2546" s="7" t="s">
        <v>5495</v>
      </c>
      <c r="G2546" s="7" t="n">
        <v>2014</v>
      </c>
      <c r="H2546" s="7" t="s">
        <v>49</v>
      </c>
      <c r="I2546" s="7" t="s">
        <v>330</v>
      </c>
      <c r="J2546" s="7" t="s">
        <v>1845</v>
      </c>
      <c r="K2546" s="7" t="n">
        <f aca="false">IFERROR(VALUE(RIGHT(TRIM(F2546),4)),"")</f>
        <v>2018</v>
      </c>
      <c r="L2546" s="7" t="str">
        <f aca="false">IF(TRIM(E2546)="","Unknown",IFERROR(LEFT(TRIM(E2546),FIND(",",TRIM(E2546))-1),TRIM(E2546)))</f>
        <v>Japan</v>
      </c>
      <c r="M2546" s="7" t="str">
        <f aca="false">IFERROR(LEFT(J2546,FIND(",",J2546)-1),J2546)</f>
        <v>Action &amp; Adventure</v>
      </c>
      <c r="N2546" s="7" t="n">
        <f aca="false">IF(B2546="Movie",IFERROR(VALUE(LEFT(I2546,FIND(" ",I2546)-1)),""),"")</f>
        <v>103</v>
      </c>
      <c r="O2546" s="7" t="str">
        <f aca="false">IF(B2546="TV Show",IFERROR(VALUE(LEFT(I2546,FIND(" ",I2546)-1)),""),"")</f>
        <v/>
      </c>
      <c r="P2546" s="7" t="n">
        <f aca="false">IF(K2546="","",K2546-G2546)</f>
        <v>4</v>
      </c>
    </row>
    <row r="2547" customFormat="false" ht="15" hidden="false" customHeight="false" outlineLevel="0" collapsed="false">
      <c r="A2547" s="7" t="n">
        <v>80171598</v>
      </c>
      <c r="B2547" s="7" t="s">
        <v>68</v>
      </c>
      <c r="C2547" s="7" t="s">
        <v>5498</v>
      </c>
      <c r="D2547" s="7" t="s">
        <v>5499</v>
      </c>
      <c r="E2547" s="7" t="s">
        <v>27</v>
      </c>
      <c r="F2547" s="7" t="s">
        <v>5500</v>
      </c>
      <c r="G2547" s="7" t="n">
        <v>2017</v>
      </c>
      <c r="H2547" s="7" t="s">
        <v>50</v>
      </c>
      <c r="I2547" s="7" t="s">
        <v>594</v>
      </c>
      <c r="J2547" s="7" t="s">
        <v>304</v>
      </c>
      <c r="K2547" s="7" t="n">
        <f aca="false">IFERROR(VALUE(RIGHT(TRIM(F2547),4)),"")</f>
        <v>2017</v>
      </c>
      <c r="L2547" s="7" t="str">
        <f aca="false">IF(TRIM(E2547)="","Unknown",IFERROR(LEFT(TRIM(E2547),FIND(",",TRIM(E2547))-1),TRIM(E2547)))</f>
        <v>India</v>
      </c>
      <c r="M2547" s="7" t="str">
        <f aca="false">IFERROR(LEFT(J2547,FIND(",",J2547)-1),J2547)</f>
        <v>Dramas</v>
      </c>
      <c r="N2547" s="7" t="n">
        <f aca="false">IF(B2547="Movie",IFERROR(VALUE(LEFT(I2547,FIND(" ",I2547)-1)),""),"")</f>
        <v>139</v>
      </c>
      <c r="O2547" s="7" t="str">
        <f aca="false">IF(B2547="TV Show",IFERROR(VALUE(LEFT(I2547,FIND(" ",I2547)-1)),""),"")</f>
        <v/>
      </c>
      <c r="P2547" s="7" t="n">
        <f aca="false">IF(K2547="","",K2547-G2547)</f>
        <v>0</v>
      </c>
    </row>
    <row r="2548" customFormat="false" ht="15" hidden="false" customHeight="false" outlineLevel="0" collapsed="false">
      <c r="A2548" s="7" t="n">
        <v>80160994</v>
      </c>
      <c r="B2548" s="7" t="s">
        <v>68</v>
      </c>
      <c r="C2548" s="7" t="s">
        <v>5501</v>
      </c>
      <c r="D2548" s="7" t="s">
        <v>5502</v>
      </c>
      <c r="E2548" s="7" t="s">
        <v>31</v>
      </c>
      <c r="F2548" s="7" t="s">
        <v>5503</v>
      </c>
      <c r="G2548" s="7" t="n">
        <v>2018</v>
      </c>
      <c r="H2548" s="7" t="s">
        <v>48</v>
      </c>
      <c r="I2548" s="7" t="s">
        <v>111</v>
      </c>
      <c r="J2548" s="7" t="s">
        <v>2869</v>
      </c>
      <c r="K2548" s="7" t="n">
        <f aca="false">IFERROR(VALUE(RIGHT(TRIM(F2548),4)),"")</f>
        <v>2018</v>
      </c>
      <c r="L2548" s="7" t="str">
        <f aca="false">IF(TRIM(E2548)="","Unknown",IFERROR(LEFT(TRIM(E2548),FIND(",",TRIM(E2548))-1),TRIM(E2548)))</f>
        <v>France</v>
      </c>
      <c r="M2548" s="7" t="str">
        <f aca="false">IFERROR(LEFT(J2548,FIND(",",J2548)-1),J2548)</f>
        <v>Comedies</v>
      </c>
      <c r="N2548" s="7" t="n">
        <f aca="false">IF(B2548="Movie",IFERROR(VALUE(LEFT(I2548,FIND(" ",I2548)-1)),""),"")</f>
        <v>95</v>
      </c>
      <c r="O2548" s="7" t="str">
        <f aca="false">IF(B2548="TV Show",IFERROR(VALUE(LEFT(I2548,FIND(" ",I2548)-1)),""),"")</f>
        <v/>
      </c>
      <c r="P2548" s="7" t="n">
        <f aca="false">IF(K2548="","",K2548-G2548)</f>
        <v>0</v>
      </c>
    </row>
    <row r="2549" customFormat="false" ht="15" hidden="false" customHeight="false" outlineLevel="0" collapsed="false">
      <c r="A2549" s="7" t="n">
        <v>80191356</v>
      </c>
      <c r="B2549" s="7" t="s">
        <v>68</v>
      </c>
      <c r="C2549" s="7" t="s">
        <v>5504</v>
      </c>
      <c r="D2549" s="7" t="s">
        <v>5505</v>
      </c>
      <c r="E2549" s="7" t="s">
        <v>29</v>
      </c>
      <c r="F2549" s="7" t="s">
        <v>5506</v>
      </c>
      <c r="G2549" s="7" t="n">
        <v>2016</v>
      </c>
      <c r="H2549" s="7" t="s">
        <v>50</v>
      </c>
      <c r="I2549" s="7" t="s">
        <v>470</v>
      </c>
      <c r="J2549" s="7" t="s">
        <v>74</v>
      </c>
      <c r="K2549" s="7" t="n">
        <f aca="false">IFERROR(VALUE(RIGHT(TRIM(F2549),4)),"")</f>
        <v>2017</v>
      </c>
      <c r="L2549" s="7" t="str">
        <f aca="false">IF(TRIM(E2549)="","Unknown",IFERROR(LEFT(TRIM(E2549),FIND(",",TRIM(E2549))-1),TRIM(E2549)))</f>
        <v>Canada</v>
      </c>
      <c r="M2549" s="7" t="str">
        <f aca="false">IFERROR(LEFT(J2549,FIND(",",J2549)-1),J2549)</f>
        <v>Children &amp; Family Movies</v>
      </c>
      <c r="N2549" s="7" t="n">
        <f aca="false">IF(B2549="Movie",IFERROR(VALUE(LEFT(I2549,FIND(" ",I2549)-1)),""),"")</f>
        <v>91</v>
      </c>
      <c r="O2549" s="7" t="str">
        <f aca="false">IF(B2549="TV Show",IFERROR(VALUE(LEFT(I2549,FIND(" ",I2549)-1)),""),"")</f>
        <v/>
      </c>
      <c r="P2549" s="7" t="n">
        <f aca="false">IF(K2549="","",K2549-G2549)</f>
        <v>1</v>
      </c>
    </row>
    <row r="2550" customFormat="false" ht="15" hidden="false" customHeight="false" outlineLevel="0" collapsed="false">
      <c r="A2550" s="7" t="n">
        <v>80191357</v>
      </c>
      <c r="B2550" s="7" t="s">
        <v>68</v>
      </c>
      <c r="C2550" s="7" t="s">
        <v>5507</v>
      </c>
      <c r="D2550" s="7" t="s">
        <v>5505</v>
      </c>
      <c r="E2550" s="7" t="s">
        <v>29</v>
      </c>
      <c r="F2550" s="7" t="s">
        <v>5506</v>
      </c>
      <c r="G2550" s="7" t="n">
        <v>2017</v>
      </c>
      <c r="H2550" s="7" t="s">
        <v>50</v>
      </c>
      <c r="I2550" s="7" t="s">
        <v>73</v>
      </c>
      <c r="J2550" s="7" t="s">
        <v>74</v>
      </c>
      <c r="K2550" s="7" t="n">
        <f aca="false">IFERROR(VALUE(RIGHT(TRIM(F2550),4)),"")</f>
        <v>2017</v>
      </c>
      <c r="L2550" s="7" t="str">
        <f aca="false">IF(TRIM(E2550)="","Unknown",IFERROR(LEFT(TRIM(E2550),FIND(",",TRIM(E2550))-1),TRIM(E2550)))</f>
        <v>Canada</v>
      </c>
      <c r="M2550" s="7" t="str">
        <f aca="false">IFERROR(LEFT(J2550,FIND(",",J2550)-1),J2550)</f>
        <v>Children &amp; Family Movies</v>
      </c>
      <c r="N2550" s="7" t="n">
        <f aca="false">IF(B2550="Movie",IFERROR(VALUE(LEFT(I2550,FIND(" ",I2550)-1)),""),"")</f>
        <v>90</v>
      </c>
      <c r="O2550" s="7" t="str">
        <f aca="false">IF(B2550="TV Show",IFERROR(VALUE(LEFT(I2550,FIND(" ",I2550)-1)),""),"")</f>
        <v/>
      </c>
      <c r="P2550" s="7" t="n">
        <f aca="false">IF(K2550="","",K2550-G2550)</f>
        <v>0</v>
      </c>
    </row>
    <row r="2551" customFormat="false" ht="15" hidden="false" customHeight="false" outlineLevel="0" collapsed="false">
      <c r="A2551" s="7" t="n">
        <v>80087548</v>
      </c>
      <c r="B2551" s="7" t="s">
        <v>78</v>
      </c>
      <c r="C2551" s="7" t="s">
        <v>5508</v>
      </c>
      <c r="E2551" s="7" t="s">
        <v>29</v>
      </c>
      <c r="F2551" s="7" t="s">
        <v>5509</v>
      </c>
      <c r="G2551" s="7" t="n">
        <v>2016</v>
      </c>
      <c r="H2551" s="7" t="s">
        <v>119</v>
      </c>
      <c r="I2551" s="7" t="s">
        <v>82</v>
      </c>
      <c r="J2551" s="7" t="s">
        <v>44</v>
      </c>
      <c r="K2551" s="7" t="n">
        <f aca="false">IFERROR(VALUE(RIGHT(TRIM(F2551),4)),"")</f>
        <v>2016</v>
      </c>
      <c r="L2551" s="7" t="str">
        <f aca="false">IF(TRIM(E2551)="","Unknown",IFERROR(LEFT(TRIM(E2551),FIND(",",TRIM(E2551))-1),TRIM(E2551)))</f>
        <v>Canada</v>
      </c>
      <c r="M2551" s="7" t="str">
        <f aca="false">IFERROR(LEFT(J2551,FIND(",",J2551)-1),J2551)</f>
        <v>Kids' TV</v>
      </c>
      <c r="N2551" s="7" t="str">
        <f aca="false">IF(B2551="Movie",IFERROR(VALUE(LEFT(I2551,FIND(" ",I2551)-1)),""),"")</f>
        <v/>
      </c>
      <c r="O2551" s="7" t="n">
        <f aca="false">IF(B2551="TV Show",IFERROR(VALUE(LEFT(I2551,FIND(" ",I2551)-1)),""),"")</f>
        <v>1</v>
      </c>
      <c r="P2551" s="7" t="n">
        <f aca="false">IF(K2551="","",K2551-G2551)</f>
        <v>0</v>
      </c>
    </row>
    <row r="2552" customFormat="false" ht="15" hidden="false" customHeight="false" outlineLevel="0" collapsed="false">
      <c r="A2552" s="7" t="n">
        <v>80097641</v>
      </c>
      <c r="B2552" s="7" t="s">
        <v>68</v>
      </c>
      <c r="C2552" s="7" t="s">
        <v>5510</v>
      </c>
      <c r="D2552" s="7" t="s">
        <v>3118</v>
      </c>
      <c r="E2552" s="7" t="s">
        <v>34</v>
      </c>
      <c r="F2552" s="7" t="s">
        <v>5509</v>
      </c>
      <c r="G2552" s="7" t="n">
        <v>2016</v>
      </c>
      <c r="H2552" s="7" t="s">
        <v>48</v>
      </c>
      <c r="I2552" s="7" t="s">
        <v>154</v>
      </c>
      <c r="J2552" s="7" t="s">
        <v>45</v>
      </c>
      <c r="K2552" s="7" t="n">
        <f aca="false">IFERROR(VALUE(RIGHT(TRIM(F2552),4)),"")</f>
        <v>2016</v>
      </c>
      <c r="L2552" s="7" t="str">
        <f aca="false">IF(TRIM(E2552)="","Unknown",IFERROR(LEFT(TRIM(E2552),FIND(",",TRIM(E2552))-1),TRIM(E2552)))</f>
        <v>Mexico</v>
      </c>
      <c r="M2552" s="7" t="str">
        <f aca="false">IFERROR(LEFT(J2552,FIND(",",J2552)-1),J2552)</f>
        <v>Stand-Up Comedy</v>
      </c>
      <c r="N2552" s="7" t="n">
        <f aca="false">IF(B2552="Movie",IFERROR(VALUE(LEFT(I2552,FIND(" ",I2552)-1)),""),"")</f>
        <v>80</v>
      </c>
      <c r="O2552" s="7" t="str">
        <f aca="false">IF(B2552="TV Show",IFERROR(VALUE(LEFT(I2552,FIND(" ",I2552)-1)),""),"")</f>
        <v/>
      </c>
      <c r="P2552" s="7" t="n">
        <f aca="false">IF(K2552="","",K2552-G2552)</f>
        <v>0</v>
      </c>
    </row>
    <row r="2553" customFormat="false" ht="15" hidden="false" customHeight="false" outlineLevel="0" collapsed="false">
      <c r="A2553" s="7" t="n">
        <v>80097349</v>
      </c>
      <c r="B2553" s="7" t="s">
        <v>68</v>
      </c>
      <c r="C2553" s="7" t="s">
        <v>5511</v>
      </c>
      <c r="D2553" s="7" t="s">
        <v>5512</v>
      </c>
      <c r="E2553" s="7" t="s">
        <v>26</v>
      </c>
      <c r="F2553" s="7" t="s">
        <v>5509</v>
      </c>
      <c r="G2553" s="7" t="n">
        <v>2016</v>
      </c>
      <c r="H2553" s="7" t="s">
        <v>48</v>
      </c>
      <c r="I2553" s="7" t="s">
        <v>451</v>
      </c>
      <c r="J2553" s="7" t="s">
        <v>198</v>
      </c>
      <c r="K2553" s="7" t="n">
        <f aca="false">IFERROR(VALUE(RIGHT(TRIM(F2553),4)),"")</f>
        <v>2016</v>
      </c>
      <c r="L2553" s="7" t="str">
        <f aca="false">IF(TRIM(E2553)="","Unknown",IFERROR(LEFT(TRIM(E2553),FIND(",",TRIM(E2553))-1),TRIM(E2553)))</f>
        <v>United States</v>
      </c>
      <c r="M2553" s="7" t="str">
        <f aca="false">IFERROR(LEFT(J2553,FIND(",",J2553)-1),J2553)</f>
        <v>Comedies</v>
      </c>
      <c r="N2553" s="7" t="n">
        <f aca="false">IF(B2553="Movie",IFERROR(VALUE(LEFT(I2553,FIND(" ",I2553)-1)),""),"")</f>
        <v>97</v>
      </c>
      <c r="O2553" s="7" t="str">
        <f aca="false">IF(B2553="TV Show",IFERROR(VALUE(LEFT(I2553,FIND(" ",I2553)-1)),""),"")</f>
        <v/>
      </c>
      <c r="P2553" s="7" t="n">
        <f aca="false">IF(K2553="","",K2553-G2553)</f>
        <v>0</v>
      </c>
    </row>
    <row r="2554" customFormat="false" ht="15" hidden="false" customHeight="false" outlineLevel="0" collapsed="false">
      <c r="A2554" s="7" t="n">
        <v>81055402</v>
      </c>
      <c r="B2554" s="7" t="s">
        <v>68</v>
      </c>
      <c r="C2554" s="7" t="s">
        <v>5513</v>
      </c>
      <c r="D2554" s="7" t="s">
        <v>5514</v>
      </c>
      <c r="E2554" s="7" t="s">
        <v>26</v>
      </c>
      <c r="F2554" s="7" t="s">
        <v>5515</v>
      </c>
      <c r="G2554" s="7" t="n">
        <v>2019</v>
      </c>
      <c r="H2554" s="7" t="s">
        <v>50</v>
      </c>
      <c r="I2554" s="7" t="s">
        <v>494</v>
      </c>
      <c r="J2554" s="7" t="s">
        <v>5516</v>
      </c>
      <c r="K2554" s="7" t="n">
        <f aca="false">IFERROR(VALUE(RIGHT(TRIM(F2554),4)),"")</f>
        <v>2019</v>
      </c>
      <c r="L2554" s="7" t="str">
        <f aca="false">IF(TRIM(E2554)="","Unknown",IFERROR(LEFT(TRIM(E2554),FIND(",",TRIM(E2554))-1),TRIM(E2554)))</f>
        <v>United States</v>
      </c>
      <c r="M2554" s="7" t="str">
        <f aca="false">IFERROR(LEFT(J2554,FIND(",",J2554)-1),J2554)</f>
        <v>Documentaries</v>
      </c>
      <c r="N2554" s="7" t="n">
        <f aca="false">IF(B2554="Movie",IFERROR(VALUE(LEFT(I2554,FIND(" ",I2554)-1)),""),"")</f>
        <v>87</v>
      </c>
      <c r="O2554" s="7" t="str">
        <f aca="false">IF(B2554="TV Show",IFERROR(VALUE(LEFT(I2554,FIND(" ",I2554)-1)),""),"")</f>
        <v/>
      </c>
      <c r="P2554" s="7" t="n">
        <f aca="false">IF(K2554="","",K2554-G2554)</f>
        <v>0</v>
      </c>
    </row>
    <row r="2555" customFormat="false" ht="15" hidden="false" customHeight="false" outlineLevel="0" collapsed="false">
      <c r="A2555" s="7" t="n">
        <v>80231602</v>
      </c>
      <c r="B2555" s="7" t="s">
        <v>68</v>
      </c>
      <c r="C2555" s="7" t="s">
        <v>5517</v>
      </c>
      <c r="D2555" s="7" t="s">
        <v>5518</v>
      </c>
      <c r="E2555" s="7" t="s">
        <v>28</v>
      </c>
      <c r="F2555" s="7" t="s">
        <v>5519</v>
      </c>
      <c r="G2555" s="7" t="n">
        <v>2014</v>
      </c>
      <c r="H2555" s="7" t="s">
        <v>48</v>
      </c>
      <c r="I2555" s="7" t="s">
        <v>143</v>
      </c>
      <c r="J2555" s="7" t="s">
        <v>2725</v>
      </c>
      <c r="K2555" s="7" t="n">
        <f aca="false">IFERROR(VALUE(RIGHT(TRIM(F2555),4)),"")</f>
        <v>2018</v>
      </c>
      <c r="L2555" s="7" t="str">
        <f aca="false">IF(TRIM(E2555)="","Unknown",IFERROR(LEFT(TRIM(E2555),FIND(",",TRIM(E2555))-1),TRIM(E2555)))</f>
        <v>United Kingdom</v>
      </c>
      <c r="M2555" s="7" t="str">
        <f aca="false">IFERROR(LEFT(J2555,FIND(",",J2555)-1),J2555)</f>
        <v>Horror Movies</v>
      </c>
      <c r="N2555" s="7" t="n">
        <f aca="false">IF(B2555="Movie",IFERROR(VALUE(LEFT(I2555,FIND(" ",I2555)-1)),""),"")</f>
        <v>79</v>
      </c>
      <c r="O2555" s="7" t="str">
        <f aca="false">IF(B2555="TV Show",IFERROR(VALUE(LEFT(I2555,FIND(" ",I2555)-1)),""),"")</f>
        <v/>
      </c>
      <c r="P2555" s="7" t="n">
        <f aca="false">IF(K2555="","",K2555-G2555)</f>
        <v>4</v>
      </c>
    </row>
    <row r="2556" customFormat="false" ht="15" hidden="false" customHeight="false" outlineLevel="0" collapsed="false">
      <c r="A2556" s="7" t="n">
        <v>80179900</v>
      </c>
      <c r="B2556" s="7" t="s">
        <v>78</v>
      </c>
      <c r="C2556" s="7" t="s">
        <v>5520</v>
      </c>
      <c r="E2556" s="7" t="s">
        <v>26</v>
      </c>
      <c r="F2556" s="7" t="s">
        <v>5519</v>
      </c>
      <c r="G2556" s="7" t="n">
        <v>2018</v>
      </c>
      <c r="H2556" s="7" t="s">
        <v>49</v>
      </c>
      <c r="I2556" s="7" t="s">
        <v>82</v>
      </c>
      <c r="J2556" s="7" t="s">
        <v>2704</v>
      </c>
      <c r="K2556" s="7" t="n">
        <f aca="false">IFERROR(VALUE(RIGHT(TRIM(F2556),4)),"")</f>
        <v>2018</v>
      </c>
      <c r="L2556" s="7" t="str">
        <f aca="false">IF(TRIM(E2556)="","Unknown",IFERROR(LEFT(TRIM(E2556),FIND(",",TRIM(E2556))-1),TRIM(E2556)))</f>
        <v>United States</v>
      </c>
      <c r="M2556" s="7" t="str">
        <f aca="false">IFERROR(LEFT(J2556,FIND(",",J2556)-1),J2556)</f>
        <v>TV Dramas</v>
      </c>
      <c r="N2556" s="7" t="str">
        <f aca="false">IF(B2556="Movie",IFERROR(VALUE(LEFT(I2556,FIND(" ",I2556)-1)),""),"")</f>
        <v/>
      </c>
      <c r="O2556" s="7" t="n">
        <f aca="false">IF(B2556="TV Show",IFERROR(VALUE(LEFT(I2556,FIND(" ",I2556)-1)),""),"")</f>
        <v>1</v>
      </c>
      <c r="P2556" s="7" t="n">
        <f aca="false">IF(K2556="","",K2556-G2556)</f>
        <v>0</v>
      </c>
    </row>
    <row r="2557" customFormat="false" ht="15" hidden="false" customHeight="false" outlineLevel="0" collapsed="false">
      <c r="A2557" s="7" t="n">
        <v>26009364</v>
      </c>
      <c r="B2557" s="7" t="s">
        <v>68</v>
      </c>
      <c r="C2557" s="7" t="s">
        <v>5521</v>
      </c>
      <c r="D2557" s="7" t="s">
        <v>5522</v>
      </c>
      <c r="E2557" s="7" t="s">
        <v>26</v>
      </c>
      <c r="F2557" s="7" t="s">
        <v>5519</v>
      </c>
      <c r="G2557" s="7" t="n">
        <v>1999</v>
      </c>
      <c r="H2557" s="7" t="s">
        <v>612</v>
      </c>
      <c r="I2557" s="7" t="s">
        <v>357</v>
      </c>
      <c r="J2557" s="7" t="s">
        <v>42</v>
      </c>
      <c r="K2557" s="7" t="n">
        <f aca="false">IFERROR(VALUE(RIGHT(TRIM(F2557),4)),"")</f>
        <v>2018</v>
      </c>
      <c r="L2557" s="7" t="str">
        <f aca="false">IF(TRIM(E2557)="","Unknown",IFERROR(LEFT(TRIM(E2557),FIND(",",TRIM(E2557))-1),TRIM(E2557)))</f>
        <v>United States</v>
      </c>
      <c r="M2557" s="7" t="str">
        <f aca="false">IFERROR(LEFT(J2557,FIND(",",J2557)-1),J2557)</f>
        <v>Children &amp; Family Movies</v>
      </c>
      <c r="N2557" s="7" t="n">
        <f aca="false">IF(B2557="Movie",IFERROR(VALUE(LEFT(I2557,FIND(" ",I2557)-1)),""),"")</f>
        <v>89</v>
      </c>
      <c r="O2557" s="7" t="str">
        <f aca="false">IF(B2557="TV Show",IFERROR(VALUE(LEFT(I2557,FIND(" ",I2557)-1)),""),"")</f>
        <v/>
      </c>
      <c r="P2557" s="7" t="n">
        <f aca="false">IF(K2557="","",K2557-G2557)</f>
        <v>19</v>
      </c>
    </row>
    <row r="2558" customFormat="false" ht="15" hidden="false" customHeight="false" outlineLevel="0" collapsed="false">
      <c r="A2558" s="7" t="n">
        <v>80231601</v>
      </c>
      <c r="B2558" s="7" t="s">
        <v>68</v>
      </c>
      <c r="C2558" s="7" t="s">
        <v>5523</v>
      </c>
      <c r="E2558" s="7" t="s">
        <v>28</v>
      </c>
      <c r="F2558" s="7" t="s">
        <v>5519</v>
      </c>
      <c r="G2558" s="7" t="n">
        <v>2016</v>
      </c>
      <c r="H2558" s="7" t="s">
        <v>48</v>
      </c>
      <c r="I2558" s="7" t="s">
        <v>421</v>
      </c>
      <c r="J2558" s="7" t="s">
        <v>367</v>
      </c>
      <c r="K2558" s="7" t="n">
        <f aca="false">IFERROR(VALUE(RIGHT(TRIM(F2558),4)),"")</f>
        <v>2018</v>
      </c>
      <c r="L2558" s="7" t="str">
        <f aca="false">IF(TRIM(E2558)="","Unknown",IFERROR(LEFT(TRIM(E2558),FIND(",",TRIM(E2558))-1),TRIM(E2558)))</f>
        <v>United Kingdom</v>
      </c>
      <c r="M2558" s="7" t="str">
        <f aca="false">IFERROR(LEFT(J2558,FIND(",",J2558)-1),J2558)</f>
        <v>Action &amp; Adventure</v>
      </c>
      <c r="N2558" s="7" t="n">
        <f aca="false">IF(B2558="Movie",IFERROR(VALUE(LEFT(I2558,FIND(" ",I2558)-1)),""),"")</f>
        <v>75</v>
      </c>
      <c r="O2558" s="7" t="str">
        <f aca="false">IF(B2558="TV Show",IFERROR(VALUE(LEFT(I2558,FIND(" ",I2558)-1)),""),"")</f>
        <v/>
      </c>
      <c r="P2558" s="7" t="n">
        <f aca="false">IF(K2558="","",K2558-G2558)</f>
        <v>2</v>
      </c>
    </row>
    <row r="2559" customFormat="false" ht="15" hidden="false" customHeight="false" outlineLevel="0" collapsed="false">
      <c r="A2559" s="7" t="n">
        <v>80237975</v>
      </c>
      <c r="B2559" s="7" t="s">
        <v>78</v>
      </c>
      <c r="C2559" s="7" t="s">
        <v>5524</v>
      </c>
      <c r="F2559" s="7" t="s">
        <v>5519</v>
      </c>
      <c r="G2559" s="7" t="n">
        <v>2016</v>
      </c>
      <c r="H2559" s="7" t="s">
        <v>119</v>
      </c>
      <c r="I2559" s="7" t="s">
        <v>82</v>
      </c>
      <c r="J2559" s="7" t="s">
        <v>44</v>
      </c>
      <c r="K2559" s="7" t="n">
        <f aca="false">IFERROR(VALUE(RIGHT(TRIM(F2559),4)),"")</f>
        <v>2018</v>
      </c>
      <c r="L2559" s="7" t="str">
        <f aca="false">IF(TRIM(E2559)="","Unknown",IFERROR(LEFT(TRIM(E2559),FIND(",",TRIM(E2559))-1),TRIM(E2559)))</f>
        <v>Unknown</v>
      </c>
      <c r="M2559" s="7" t="str">
        <f aca="false">IFERROR(LEFT(J2559,FIND(",",J2559)-1),J2559)</f>
        <v>Kids' TV</v>
      </c>
      <c r="N2559" s="7" t="str">
        <f aca="false">IF(B2559="Movie",IFERROR(VALUE(LEFT(I2559,FIND(" ",I2559)-1)),""),"")</f>
        <v/>
      </c>
      <c r="O2559" s="7" t="n">
        <f aca="false">IF(B2559="TV Show",IFERROR(VALUE(LEFT(I2559,FIND(" ",I2559)-1)),""),"")</f>
        <v>1</v>
      </c>
      <c r="P2559" s="7" t="n">
        <f aca="false">IF(K2559="","",K2559-G2559)</f>
        <v>2</v>
      </c>
    </row>
    <row r="2560" customFormat="false" ht="15" hidden="false" customHeight="false" outlineLevel="0" collapsed="false">
      <c r="A2560" s="7" t="n">
        <v>80238351</v>
      </c>
      <c r="B2560" s="7" t="s">
        <v>68</v>
      </c>
      <c r="C2560" s="7" t="s">
        <v>5525</v>
      </c>
      <c r="E2560" s="7" t="s">
        <v>5526</v>
      </c>
      <c r="F2560" s="7" t="s">
        <v>5519</v>
      </c>
      <c r="G2560" s="7" t="n">
        <v>2015</v>
      </c>
      <c r="H2560" s="7" t="s">
        <v>119</v>
      </c>
      <c r="I2560" s="7" t="s">
        <v>107</v>
      </c>
      <c r="J2560" s="7" t="s">
        <v>42</v>
      </c>
      <c r="K2560" s="7" t="n">
        <f aca="false">IFERROR(VALUE(RIGHT(TRIM(F2560),4)),"")</f>
        <v>2018</v>
      </c>
      <c r="L2560" s="7" t="str">
        <f aca="false">IF(TRIM(E2560)="","Unknown",IFERROR(LEFT(TRIM(E2560),FIND(",",TRIM(E2560))-1),TRIM(E2560)))</f>
        <v>Russia</v>
      </c>
      <c r="M2560" s="7" t="str">
        <f aca="false">IFERROR(LEFT(J2560,FIND(",",J2560)-1),J2560)</f>
        <v>Children &amp; Family Movies</v>
      </c>
      <c r="N2560" s="7" t="n">
        <f aca="false">IF(B2560="Movie",IFERROR(VALUE(LEFT(I2560,FIND(" ",I2560)-1)),""),"")</f>
        <v>78</v>
      </c>
      <c r="O2560" s="7" t="str">
        <f aca="false">IF(B2560="TV Show",IFERROR(VALUE(LEFT(I2560,FIND(" ",I2560)-1)),""),"")</f>
        <v/>
      </c>
      <c r="P2560" s="7" t="n">
        <f aca="false">IF(K2560="","",K2560-G2560)</f>
        <v>3</v>
      </c>
    </row>
    <row r="2561" customFormat="false" ht="15" hidden="false" customHeight="false" outlineLevel="0" collapsed="false">
      <c r="A2561" s="7" t="n">
        <v>80143794</v>
      </c>
      <c r="B2561" s="7" t="s">
        <v>68</v>
      </c>
      <c r="C2561" s="7" t="s">
        <v>5527</v>
      </c>
      <c r="D2561" s="7" t="s">
        <v>5528</v>
      </c>
      <c r="E2561" s="7" t="s">
        <v>26</v>
      </c>
      <c r="F2561" s="7" t="s">
        <v>5529</v>
      </c>
      <c r="G2561" s="7" t="n">
        <v>2016</v>
      </c>
      <c r="H2561" s="7" t="s">
        <v>48</v>
      </c>
      <c r="I2561" s="7" t="s">
        <v>467</v>
      </c>
      <c r="J2561" s="7" t="s">
        <v>39</v>
      </c>
      <c r="K2561" s="7" t="n">
        <f aca="false">IFERROR(VALUE(RIGHT(TRIM(F2561),4)),"")</f>
        <v>2017</v>
      </c>
      <c r="L2561" s="7" t="str">
        <f aca="false">IF(TRIM(E2561)="","Unknown",IFERROR(LEFT(TRIM(E2561),FIND(",",TRIM(E2561))-1),TRIM(E2561)))</f>
        <v>United States</v>
      </c>
      <c r="M2561" s="7" t="str">
        <f aca="false">IFERROR(LEFT(J2561,FIND(",",J2561)-1),J2561)</f>
        <v>Documentaries</v>
      </c>
      <c r="N2561" s="7" t="n">
        <f aca="false">IF(B2561="Movie",IFERROR(VALUE(LEFT(I2561,FIND(" ",I2561)-1)),""),"")</f>
        <v>81</v>
      </c>
      <c r="O2561" s="7" t="str">
        <f aca="false">IF(B2561="TV Show",IFERROR(VALUE(LEFT(I2561,FIND(" ",I2561)-1)),""),"")</f>
        <v/>
      </c>
      <c r="P2561" s="7" t="n">
        <f aca="false">IF(K2561="","",K2561-G2561)</f>
        <v>1</v>
      </c>
    </row>
    <row r="2562" customFormat="false" ht="15" hidden="false" customHeight="false" outlineLevel="0" collapsed="false">
      <c r="A2562" s="7" t="n">
        <v>80168227</v>
      </c>
      <c r="B2562" s="7" t="s">
        <v>68</v>
      </c>
      <c r="C2562" s="7" t="s">
        <v>5530</v>
      </c>
      <c r="D2562" s="7" t="s">
        <v>5531</v>
      </c>
      <c r="E2562" s="7" t="s">
        <v>5532</v>
      </c>
      <c r="F2562" s="7" t="s">
        <v>5529</v>
      </c>
      <c r="G2562" s="7" t="n">
        <v>2017</v>
      </c>
      <c r="H2562" s="7" t="s">
        <v>49</v>
      </c>
      <c r="I2562" s="7" t="s">
        <v>138</v>
      </c>
      <c r="J2562" s="7" t="s">
        <v>39</v>
      </c>
      <c r="K2562" s="7" t="n">
        <f aca="false">IFERROR(VALUE(RIGHT(TRIM(F2562),4)),"")</f>
        <v>2017</v>
      </c>
      <c r="L2562" s="7" t="str">
        <f aca="false">IF(TRIM(E2562)="","Unknown",IFERROR(LEFT(TRIM(E2562),FIND(",",TRIM(E2562))-1),TRIM(E2562)))</f>
        <v>Netherlands</v>
      </c>
      <c r="M2562" s="7" t="str">
        <f aca="false">IFERROR(LEFT(J2562,FIND(",",J2562)-1),J2562)</f>
        <v>Documentaries</v>
      </c>
      <c r="N2562" s="7" t="n">
        <f aca="false">IF(B2562="Movie",IFERROR(VALUE(LEFT(I2562,FIND(" ",I2562)-1)),""),"")</f>
        <v>96</v>
      </c>
      <c r="O2562" s="7" t="str">
        <f aca="false">IF(B2562="TV Show",IFERROR(VALUE(LEFT(I2562,FIND(" ",I2562)-1)),""),"")</f>
        <v/>
      </c>
      <c r="P2562" s="7" t="n">
        <f aca="false">IF(K2562="","",K2562-G2562)</f>
        <v>0</v>
      </c>
    </row>
    <row r="2563" customFormat="false" ht="15" hidden="false" customHeight="false" outlineLevel="0" collapsed="false">
      <c r="A2563" s="7" t="n">
        <v>70026432</v>
      </c>
      <c r="B2563" s="7" t="s">
        <v>68</v>
      </c>
      <c r="C2563" s="7" t="s">
        <v>5533</v>
      </c>
      <c r="D2563" s="7" t="s">
        <v>5534</v>
      </c>
      <c r="E2563" s="7" t="s">
        <v>26</v>
      </c>
      <c r="F2563" s="7" t="s">
        <v>5529</v>
      </c>
      <c r="G2563" s="7" t="n">
        <v>2005</v>
      </c>
      <c r="H2563" s="7" t="s">
        <v>612</v>
      </c>
      <c r="I2563" s="7" t="s">
        <v>348</v>
      </c>
      <c r="J2563" s="7" t="s">
        <v>42</v>
      </c>
      <c r="K2563" s="7" t="n">
        <f aca="false">IFERROR(VALUE(RIGHT(TRIM(F2563),4)),"")</f>
        <v>2017</v>
      </c>
      <c r="L2563" s="7" t="str">
        <f aca="false">IF(TRIM(E2563)="","Unknown",IFERROR(LEFT(TRIM(E2563),FIND(",",TRIM(E2563))-1),TRIM(E2563)))</f>
        <v>United States</v>
      </c>
      <c r="M2563" s="7" t="str">
        <f aca="false">IFERROR(LEFT(J2563,FIND(",",J2563)-1),J2563)</f>
        <v>Children &amp; Family Movies</v>
      </c>
      <c r="N2563" s="7" t="n">
        <f aca="false">IF(B2563="Movie",IFERROR(VALUE(LEFT(I2563,FIND(" ",I2563)-1)),""),"")</f>
        <v>72</v>
      </c>
      <c r="O2563" s="7" t="str">
        <f aca="false">IF(B2563="TV Show",IFERROR(VALUE(LEFT(I2563,FIND(" ",I2563)-1)),""),"")</f>
        <v/>
      </c>
      <c r="P2563" s="7" t="n">
        <f aca="false">IF(K2563="","",K2563-G2563)</f>
        <v>12</v>
      </c>
    </row>
    <row r="2564" customFormat="false" ht="15" hidden="false" customHeight="false" outlineLevel="0" collapsed="false">
      <c r="A2564" s="7" t="n">
        <v>80155477</v>
      </c>
      <c r="B2564" s="7" t="s">
        <v>68</v>
      </c>
      <c r="C2564" s="7" t="s">
        <v>5535</v>
      </c>
      <c r="D2564" s="7" t="s">
        <v>5536</v>
      </c>
      <c r="E2564" s="7" t="s">
        <v>26</v>
      </c>
      <c r="F2564" s="7" t="s">
        <v>5529</v>
      </c>
      <c r="G2564" s="7" t="n">
        <v>2017</v>
      </c>
      <c r="H2564" s="7" t="s">
        <v>48</v>
      </c>
      <c r="I2564" s="7" t="s">
        <v>357</v>
      </c>
      <c r="J2564" s="7" t="s">
        <v>597</v>
      </c>
      <c r="K2564" s="7" t="n">
        <f aca="false">IFERROR(VALUE(RIGHT(TRIM(F2564),4)),"")</f>
        <v>2017</v>
      </c>
      <c r="L2564" s="7" t="str">
        <f aca="false">IF(TRIM(E2564)="","Unknown",IFERROR(LEFT(TRIM(E2564),FIND(",",TRIM(E2564))-1),TRIM(E2564)))</f>
        <v>United States</v>
      </c>
      <c r="M2564" s="7" t="str">
        <f aca="false">IFERROR(LEFT(J2564,FIND(",",J2564)-1),J2564)</f>
        <v>Dramas</v>
      </c>
      <c r="N2564" s="7" t="n">
        <f aca="false">IF(B2564="Movie",IFERROR(VALUE(LEFT(I2564,FIND(" ",I2564)-1)),""),"")</f>
        <v>89</v>
      </c>
      <c r="O2564" s="7" t="str">
        <f aca="false">IF(B2564="TV Show",IFERROR(VALUE(LEFT(I2564,FIND(" ",I2564)-1)),""),"")</f>
        <v/>
      </c>
      <c r="P2564" s="7" t="n">
        <f aca="false">IF(K2564="","",K2564-G2564)</f>
        <v>0</v>
      </c>
    </row>
    <row r="2565" customFormat="false" ht="15" hidden="false" customHeight="false" outlineLevel="0" collapsed="false">
      <c r="A2565" s="7" t="n">
        <v>80038420</v>
      </c>
      <c r="B2565" s="7" t="s">
        <v>68</v>
      </c>
      <c r="C2565" s="7" t="s">
        <v>5537</v>
      </c>
      <c r="D2565" s="7" t="s">
        <v>5538</v>
      </c>
      <c r="E2565" s="7" t="s">
        <v>26</v>
      </c>
      <c r="F2565" s="7" t="s">
        <v>5539</v>
      </c>
      <c r="G2565" s="7" t="n">
        <v>2015</v>
      </c>
      <c r="H2565" s="7" t="s">
        <v>53</v>
      </c>
      <c r="I2565" s="7" t="s">
        <v>311</v>
      </c>
      <c r="J2565" s="7" t="s">
        <v>1762</v>
      </c>
      <c r="K2565" s="7" t="n">
        <f aca="false">IFERROR(VALUE(RIGHT(TRIM(F2565),4)),"")</f>
        <v>2015</v>
      </c>
      <c r="L2565" s="7" t="str">
        <f aca="false">IF(TRIM(E2565)="","Unknown",IFERROR(LEFT(TRIM(E2565),FIND(",",TRIM(E2565))-1),TRIM(E2565)))</f>
        <v>United States</v>
      </c>
      <c r="M2565" s="7" t="str">
        <f aca="false">IFERROR(LEFT(J2565,FIND(",",J2565)-1),J2565)</f>
        <v>Dramas</v>
      </c>
      <c r="N2565" s="7" t="n">
        <f aca="false">IF(B2565="Movie",IFERROR(VALUE(LEFT(I2565,FIND(" ",I2565)-1)),""),"")</f>
        <v>92</v>
      </c>
      <c r="O2565" s="7" t="str">
        <f aca="false">IF(B2565="TV Show",IFERROR(VALUE(LEFT(I2565,FIND(" ",I2565)-1)),""),"")</f>
        <v/>
      </c>
      <c r="P2565" s="7" t="n">
        <f aca="false">IF(K2565="","",K2565-G2565)</f>
        <v>0</v>
      </c>
    </row>
    <row r="2566" customFormat="false" ht="15" hidden="false" customHeight="false" outlineLevel="0" collapsed="false">
      <c r="A2566" s="7" t="n">
        <v>81035849</v>
      </c>
      <c r="B2566" s="7" t="s">
        <v>68</v>
      </c>
      <c r="C2566" s="7" t="s">
        <v>5540</v>
      </c>
      <c r="D2566" s="7" t="s">
        <v>962</v>
      </c>
      <c r="E2566" s="7" t="s">
        <v>963</v>
      </c>
      <c r="F2566" s="7" t="s">
        <v>5541</v>
      </c>
      <c r="G2566" s="7" t="n">
        <v>2014</v>
      </c>
      <c r="H2566" s="7" t="s">
        <v>49</v>
      </c>
      <c r="I2566" s="7" t="s">
        <v>87</v>
      </c>
      <c r="J2566" s="7" t="s">
        <v>304</v>
      </c>
      <c r="K2566" s="7" t="n">
        <f aca="false">IFERROR(VALUE(RIGHT(TRIM(F2566),4)),"")</f>
        <v>2019</v>
      </c>
      <c r="L2566" s="7" t="str">
        <f aca="false">IF(TRIM(E2566)="","Unknown",IFERROR(LEFT(TRIM(E2566),FIND(",",TRIM(E2566))-1),TRIM(E2566)))</f>
        <v>Egypt</v>
      </c>
      <c r="M2566" s="7" t="str">
        <f aca="false">IFERROR(LEFT(J2566,FIND(",",J2566)-1),J2566)</f>
        <v>Dramas</v>
      </c>
      <c r="N2566" s="7" t="n">
        <f aca="false">IF(B2566="Movie",IFERROR(VALUE(LEFT(I2566,FIND(" ",I2566)-1)),""),"")</f>
        <v>99</v>
      </c>
      <c r="O2566" s="7" t="str">
        <f aca="false">IF(B2566="TV Show",IFERROR(VALUE(LEFT(I2566,FIND(" ",I2566)-1)),""),"")</f>
        <v/>
      </c>
      <c r="P2566" s="7" t="n">
        <f aca="false">IF(K2566="","",K2566-G2566)</f>
        <v>5</v>
      </c>
    </row>
    <row r="2567" customFormat="false" ht="15" hidden="false" customHeight="false" outlineLevel="0" collapsed="false">
      <c r="A2567" s="7" t="n">
        <v>80195901</v>
      </c>
      <c r="B2567" s="7" t="s">
        <v>68</v>
      </c>
      <c r="C2567" s="7" t="s">
        <v>5542</v>
      </c>
      <c r="D2567" s="7" t="s">
        <v>5543</v>
      </c>
      <c r="E2567" s="7" t="s">
        <v>5544</v>
      </c>
      <c r="F2567" s="7" t="s">
        <v>5541</v>
      </c>
      <c r="G2567" s="7" t="n">
        <v>2019</v>
      </c>
      <c r="H2567" s="7" t="s">
        <v>53</v>
      </c>
      <c r="I2567" s="7" t="s">
        <v>138</v>
      </c>
      <c r="J2567" s="7" t="s">
        <v>322</v>
      </c>
      <c r="K2567" s="7" t="n">
        <f aca="false">IFERROR(VALUE(RIGHT(TRIM(F2567),4)),"")</f>
        <v>2019</v>
      </c>
      <c r="L2567" s="7" t="str">
        <f aca="false">IF(TRIM(E2567)="","Unknown",IFERROR(LEFT(TRIM(E2567),FIND(",",TRIM(E2567))-1),TRIM(E2567)))</f>
        <v>Thailand</v>
      </c>
      <c r="M2567" s="7" t="str">
        <f aca="false">IFERROR(LEFT(J2567,FIND(",",J2567)-1),J2567)</f>
        <v>Action &amp; Adventure</v>
      </c>
      <c r="N2567" s="7" t="n">
        <f aca="false">IF(B2567="Movie",IFERROR(VALUE(LEFT(I2567,FIND(" ",I2567)-1)),""),"")</f>
        <v>96</v>
      </c>
      <c r="O2567" s="7" t="str">
        <f aca="false">IF(B2567="TV Show",IFERROR(VALUE(LEFT(I2567,FIND(" ",I2567)-1)),""),"")</f>
        <v/>
      </c>
      <c r="P2567" s="7" t="n">
        <f aca="false">IF(K2567="","",K2567-G2567)</f>
        <v>0</v>
      </c>
    </row>
    <row r="2568" customFormat="false" ht="15" hidden="false" customHeight="false" outlineLevel="0" collapsed="false">
      <c r="A2568" s="7" t="n">
        <v>80128245</v>
      </c>
      <c r="B2568" s="7" t="s">
        <v>68</v>
      </c>
      <c r="C2568" s="7" t="s">
        <v>5545</v>
      </c>
      <c r="D2568" s="7" t="s">
        <v>5546</v>
      </c>
      <c r="E2568" s="7" t="s">
        <v>5547</v>
      </c>
      <c r="F2568" s="7" t="s">
        <v>5548</v>
      </c>
      <c r="G2568" s="7" t="n">
        <v>2016</v>
      </c>
      <c r="H2568" s="7" t="s">
        <v>52</v>
      </c>
      <c r="I2568" s="7" t="s">
        <v>357</v>
      </c>
      <c r="J2568" s="7" t="s">
        <v>188</v>
      </c>
      <c r="K2568" s="7" t="n">
        <f aca="false">IFERROR(VALUE(RIGHT(TRIM(F2568),4)),"")</f>
        <v>2018</v>
      </c>
      <c r="L2568" s="7" t="str">
        <f aca="false">IF(TRIM(E2568)="","Unknown",IFERROR(LEFT(TRIM(E2568),FIND(",",TRIM(E2568))-1),TRIM(E2568)))</f>
        <v>United States</v>
      </c>
      <c r="M2568" s="7" t="str">
        <f aca="false">IFERROR(LEFT(J2568,FIND(",",J2568)-1),J2568)</f>
        <v>Dramas</v>
      </c>
      <c r="N2568" s="7" t="n">
        <f aca="false">IF(B2568="Movie",IFERROR(VALUE(LEFT(I2568,FIND(" ",I2568)-1)),""),"")</f>
        <v>89</v>
      </c>
      <c r="O2568" s="7" t="str">
        <f aca="false">IF(B2568="TV Show",IFERROR(VALUE(LEFT(I2568,FIND(" ",I2568)-1)),""),"")</f>
        <v/>
      </c>
      <c r="P2568" s="7" t="n">
        <f aca="false">IF(K2568="","",K2568-G2568)</f>
        <v>2</v>
      </c>
    </row>
    <row r="2569" customFormat="false" ht="15" hidden="false" customHeight="false" outlineLevel="0" collapsed="false">
      <c r="A2569" s="7" t="n">
        <v>80988793</v>
      </c>
      <c r="B2569" s="7" t="s">
        <v>78</v>
      </c>
      <c r="C2569" s="7" t="s">
        <v>5549</v>
      </c>
      <c r="E2569" s="7" t="s">
        <v>26</v>
      </c>
      <c r="F2569" s="7" t="s">
        <v>5548</v>
      </c>
      <c r="G2569" s="7" t="n">
        <v>2018</v>
      </c>
      <c r="H2569" s="7" t="s">
        <v>48</v>
      </c>
      <c r="I2569" s="7" t="s">
        <v>82</v>
      </c>
      <c r="J2569" s="7" t="s">
        <v>701</v>
      </c>
      <c r="K2569" s="7" t="n">
        <f aca="false">IFERROR(VALUE(RIGHT(TRIM(F2569),4)),"")</f>
        <v>2018</v>
      </c>
      <c r="L2569" s="7" t="str">
        <f aca="false">IF(TRIM(E2569)="","Unknown",IFERROR(LEFT(TRIM(E2569),FIND(",",TRIM(E2569))-1),TRIM(E2569)))</f>
        <v>United States</v>
      </c>
      <c r="M2569" s="7" t="str">
        <f aca="false">IFERROR(LEFT(J2569,FIND(",",J2569)-1),J2569)</f>
        <v>Reality TV</v>
      </c>
      <c r="N2569" s="7" t="str">
        <f aca="false">IF(B2569="Movie",IFERROR(VALUE(LEFT(I2569,FIND(" ",I2569)-1)),""),"")</f>
        <v/>
      </c>
      <c r="O2569" s="7" t="n">
        <f aca="false">IF(B2569="TV Show",IFERROR(VALUE(LEFT(I2569,FIND(" ",I2569)-1)),""),"")</f>
        <v>1</v>
      </c>
      <c r="P2569" s="7" t="n">
        <f aca="false">IF(K2569="","",K2569-G2569)</f>
        <v>0</v>
      </c>
    </row>
    <row r="2570" customFormat="false" ht="15" hidden="false" customHeight="false" outlineLevel="0" collapsed="false">
      <c r="A2570" s="7" t="n">
        <v>80219802</v>
      </c>
      <c r="B2570" s="7" t="s">
        <v>68</v>
      </c>
      <c r="C2570" s="7" t="s">
        <v>5550</v>
      </c>
      <c r="E2570" s="7" t="s">
        <v>28</v>
      </c>
      <c r="F2570" s="7" t="s">
        <v>5548</v>
      </c>
      <c r="G2570" s="7" t="n">
        <v>2018</v>
      </c>
      <c r="H2570" s="7" t="s">
        <v>48</v>
      </c>
      <c r="I2570" s="7" t="s">
        <v>1221</v>
      </c>
      <c r="J2570" s="7" t="s">
        <v>1427</v>
      </c>
      <c r="K2570" s="7" t="n">
        <f aca="false">IFERROR(VALUE(RIGHT(TRIM(F2570),4)),"")</f>
        <v>2018</v>
      </c>
      <c r="L2570" s="7" t="str">
        <f aca="false">IF(TRIM(E2570)="","Unknown",IFERROR(LEFT(TRIM(E2570),FIND(",",TRIM(E2570))-1),TRIM(E2570)))</f>
        <v>United Kingdom</v>
      </c>
      <c r="M2570" s="7" t="str">
        <f aca="false">IFERROR(LEFT(J2570,FIND(",",J2570)-1),J2570)</f>
        <v>International Movies</v>
      </c>
      <c r="N2570" s="7" t="n">
        <f aca="false">IF(B2570="Movie",IFERROR(VALUE(LEFT(I2570,FIND(" ",I2570)-1)),""),"")</f>
        <v>74</v>
      </c>
      <c r="O2570" s="7" t="str">
        <f aca="false">IF(B2570="TV Show",IFERROR(VALUE(LEFT(I2570,FIND(" ",I2570)-1)),""),"")</f>
        <v/>
      </c>
      <c r="P2570" s="7" t="n">
        <f aca="false">IF(K2570="","",K2570-G2570)</f>
        <v>0</v>
      </c>
    </row>
    <row r="2571" customFormat="false" ht="15" hidden="false" customHeight="false" outlineLevel="0" collapsed="false">
      <c r="A2571" s="7" t="n">
        <v>80993655</v>
      </c>
      <c r="B2571" s="7" t="s">
        <v>68</v>
      </c>
      <c r="C2571" s="7" t="s">
        <v>5551</v>
      </c>
      <c r="D2571" s="7" t="s">
        <v>5552</v>
      </c>
      <c r="E2571" s="7" t="s">
        <v>366</v>
      </c>
      <c r="F2571" s="7" t="s">
        <v>5548</v>
      </c>
      <c r="G2571" s="7" t="n">
        <v>2018</v>
      </c>
      <c r="H2571" s="7" t="s">
        <v>48</v>
      </c>
      <c r="I2571" s="7" t="s">
        <v>519</v>
      </c>
      <c r="J2571" s="7" t="s">
        <v>240</v>
      </c>
      <c r="K2571" s="7" t="n">
        <f aca="false">IFERROR(VALUE(RIGHT(TRIM(F2571),4)),"")</f>
        <v>2018</v>
      </c>
      <c r="L2571" s="7" t="str">
        <f aca="false">IF(TRIM(E2571)="","Unknown",IFERROR(LEFT(TRIM(E2571),FIND(",",TRIM(E2571))-1),TRIM(E2571)))</f>
        <v>China</v>
      </c>
      <c r="M2571" s="7" t="str">
        <f aca="false">IFERROR(LEFT(J2571,FIND(",",J2571)-1),J2571)</f>
        <v>Dramas</v>
      </c>
      <c r="N2571" s="7" t="n">
        <f aca="false">IF(B2571="Movie",IFERROR(VALUE(LEFT(I2571,FIND(" ",I2571)-1)),""),"")</f>
        <v>119</v>
      </c>
      <c r="O2571" s="7" t="str">
        <f aca="false">IF(B2571="TV Show",IFERROR(VALUE(LEFT(I2571,FIND(" ",I2571)-1)),""),"")</f>
        <v/>
      </c>
      <c r="P2571" s="7" t="n">
        <f aca="false">IF(K2571="","",K2571-G2571)</f>
        <v>0</v>
      </c>
    </row>
    <row r="2572" customFormat="false" ht="15" hidden="false" customHeight="false" outlineLevel="0" collapsed="false">
      <c r="A2572" s="7" t="n">
        <v>80167644</v>
      </c>
      <c r="B2572" s="7" t="s">
        <v>68</v>
      </c>
      <c r="C2572" s="7" t="s">
        <v>5553</v>
      </c>
      <c r="D2572" s="7" t="s">
        <v>5554</v>
      </c>
      <c r="E2572" s="7" t="s">
        <v>5555</v>
      </c>
      <c r="F2572" s="7" t="s">
        <v>5556</v>
      </c>
      <c r="G2572" s="7" t="n">
        <v>2017</v>
      </c>
      <c r="H2572" s="7" t="s">
        <v>49</v>
      </c>
      <c r="I2572" s="7" t="s">
        <v>311</v>
      </c>
      <c r="J2572" s="7" t="s">
        <v>1762</v>
      </c>
      <c r="K2572" s="7" t="n">
        <f aca="false">IFERROR(VALUE(RIGHT(TRIM(F2572),4)),"")</f>
        <v>2017</v>
      </c>
      <c r="L2572" s="7" t="str">
        <f aca="false">IF(TRIM(E2572)="","Unknown",IFERROR(LEFT(TRIM(E2572),FIND(",",TRIM(E2572))-1),TRIM(E2572)))</f>
        <v>United States</v>
      </c>
      <c r="M2572" s="7" t="str">
        <f aca="false">IFERROR(LEFT(J2572,FIND(",",J2572)-1),J2572)</f>
        <v>Dramas</v>
      </c>
      <c r="N2572" s="7" t="n">
        <f aca="false">IF(B2572="Movie",IFERROR(VALUE(LEFT(I2572,FIND(" ",I2572)-1)),""),"")</f>
        <v>92</v>
      </c>
      <c r="O2572" s="7" t="str">
        <f aca="false">IF(B2572="TV Show",IFERROR(VALUE(LEFT(I2572,FIND(" ",I2572)-1)),""),"")</f>
        <v/>
      </c>
      <c r="P2572" s="7" t="n">
        <f aca="false">IF(K2572="","",K2572-G2572)</f>
        <v>0</v>
      </c>
    </row>
    <row r="2573" customFormat="false" ht="15" hidden="false" customHeight="false" outlineLevel="0" collapsed="false">
      <c r="A2573" s="7" t="n">
        <v>80027041</v>
      </c>
      <c r="B2573" s="7" t="s">
        <v>68</v>
      </c>
      <c r="C2573" s="7" t="s">
        <v>5557</v>
      </c>
      <c r="D2573" s="7" t="s">
        <v>5558</v>
      </c>
      <c r="E2573" s="7" t="s">
        <v>619</v>
      </c>
      <c r="F2573" s="7" t="s">
        <v>5556</v>
      </c>
      <c r="G2573" s="7" t="n">
        <v>2017</v>
      </c>
      <c r="H2573" s="7" t="s">
        <v>51</v>
      </c>
      <c r="I2573" s="7" t="s">
        <v>467</v>
      </c>
      <c r="J2573" s="7" t="s">
        <v>265</v>
      </c>
      <c r="K2573" s="7" t="n">
        <f aca="false">IFERROR(VALUE(RIGHT(TRIM(F2573),4)),"")</f>
        <v>2017</v>
      </c>
      <c r="L2573" s="7" t="str">
        <f aca="false">IF(TRIM(E2573)="","Unknown",IFERROR(LEFT(TRIM(E2573),FIND(",",TRIM(E2573))-1),TRIM(E2573)))</f>
        <v>Canada</v>
      </c>
      <c r="M2573" s="7" t="str">
        <f aca="false">IFERROR(LEFT(J2573,FIND(",",J2573)-1),J2573)</f>
        <v>Horror Movies</v>
      </c>
      <c r="N2573" s="7" t="n">
        <f aca="false">IF(B2573="Movie",IFERROR(VALUE(LEFT(I2573,FIND(" ",I2573)-1)),""),"")</f>
        <v>81</v>
      </c>
      <c r="O2573" s="7" t="str">
        <f aca="false">IF(B2573="TV Show",IFERROR(VALUE(LEFT(I2573,FIND(" ",I2573)-1)),""),"")</f>
        <v/>
      </c>
      <c r="P2573" s="7" t="n">
        <f aca="false">IF(K2573="","",K2573-G2573)</f>
        <v>0</v>
      </c>
    </row>
    <row r="2574" customFormat="false" ht="15" hidden="false" customHeight="false" outlineLevel="0" collapsed="false">
      <c r="A2574" s="7" t="n">
        <v>81018067</v>
      </c>
      <c r="B2574" s="7" t="s">
        <v>68</v>
      </c>
      <c r="C2574" s="7" t="s">
        <v>5559</v>
      </c>
      <c r="D2574" s="7" t="s">
        <v>5560</v>
      </c>
      <c r="E2574" s="7" t="s">
        <v>5561</v>
      </c>
      <c r="F2574" s="7" t="s">
        <v>5562</v>
      </c>
      <c r="G2574" s="7" t="n">
        <v>2019</v>
      </c>
      <c r="H2574" s="7" t="s">
        <v>48</v>
      </c>
      <c r="I2574" s="7" t="s">
        <v>146</v>
      </c>
      <c r="J2574" s="7" t="s">
        <v>188</v>
      </c>
      <c r="K2574" s="7" t="n">
        <f aca="false">IFERROR(VALUE(RIGHT(TRIM(F2574),4)),"")</f>
        <v>2019</v>
      </c>
      <c r="L2574" s="7" t="str">
        <f aca="false">IF(TRIM(E2574)="","Unknown",IFERROR(LEFT(TRIM(E2574),FIND(",",TRIM(E2574))-1),TRIM(E2574)))</f>
        <v>Argentina</v>
      </c>
      <c r="M2574" s="7" t="str">
        <f aca="false">IFERROR(LEFT(J2574,FIND(",",J2574)-1),J2574)</f>
        <v>Dramas</v>
      </c>
      <c r="N2574" s="7" t="n">
        <f aca="false">IF(B2574="Movie",IFERROR(VALUE(LEFT(I2574,FIND(" ",I2574)-1)),""),"")</f>
        <v>113</v>
      </c>
      <c r="O2574" s="7" t="str">
        <f aca="false">IF(B2574="TV Show",IFERROR(VALUE(LEFT(I2574,FIND(" ",I2574)-1)),""),"")</f>
        <v/>
      </c>
      <c r="P2574" s="7" t="n">
        <f aca="false">IF(K2574="","",K2574-G2574)</f>
        <v>0</v>
      </c>
    </row>
    <row r="2575" customFormat="false" ht="15" hidden="false" customHeight="false" outlineLevel="0" collapsed="false">
      <c r="A2575" s="7" t="n">
        <v>80220422</v>
      </c>
      <c r="B2575" s="7" t="s">
        <v>78</v>
      </c>
      <c r="C2575" s="7" t="s">
        <v>5563</v>
      </c>
      <c r="D2575" s="7" t="s">
        <v>5564</v>
      </c>
      <c r="E2575" s="7" t="s">
        <v>1397</v>
      </c>
      <c r="F2575" s="7" t="s">
        <v>5562</v>
      </c>
      <c r="G2575" s="7" t="n">
        <v>2019</v>
      </c>
      <c r="H2575" s="7" t="s">
        <v>48</v>
      </c>
      <c r="I2575" s="7" t="s">
        <v>82</v>
      </c>
      <c r="J2575" s="7" t="s">
        <v>2521</v>
      </c>
      <c r="K2575" s="7" t="n">
        <f aca="false">IFERROR(VALUE(RIGHT(TRIM(F2575),4)),"")</f>
        <v>2019</v>
      </c>
      <c r="L2575" s="7" t="str">
        <f aca="false">IF(TRIM(E2575)="","Unknown",IFERROR(LEFT(TRIM(E2575),FIND(",",TRIM(E2575))-1),TRIM(E2575)))</f>
        <v>Colombia</v>
      </c>
      <c r="M2575" s="7" t="str">
        <f aca="false">IFERROR(LEFT(J2575,FIND(",",J2575)-1),J2575)</f>
        <v>International TV Shows</v>
      </c>
      <c r="N2575" s="7" t="str">
        <f aca="false">IF(B2575="Movie",IFERROR(VALUE(LEFT(I2575,FIND(" ",I2575)-1)),""),"")</f>
        <v/>
      </c>
      <c r="O2575" s="7" t="n">
        <f aca="false">IF(B2575="TV Show",IFERROR(VALUE(LEFT(I2575,FIND(" ",I2575)-1)),""),"")</f>
        <v>1</v>
      </c>
      <c r="P2575" s="7" t="n">
        <f aca="false">IF(K2575="","",K2575-G2575)</f>
        <v>0</v>
      </c>
    </row>
    <row r="2576" customFormat="false" ht="15" hidden="false" customHeight="false" outlineLevel="0" collapsed="false">
      <c r="A2576" s="7" t="n">
        <v>81033473</v>
      </c>
      <c r="B2576" s="7" t="s">
        <v>68</v>
      </c>
      <c r="C2576" s="7" t="s">
        <v>5565</v>
      </c>
      <c r="D2576" s="7" t="s">
        <v>5566</v>
      </c>
      <c r="E2576" s="7" t="s">
        <v>30</v>
      </c>
      <c r="F2576" s="7" t="s">
        <v>5562</v>
      </c>
      <c r="G2576" s="7" t="n">
        <v>1998</v>
      </c>
      <c r="H2576" s="7" t="s">
        <v>49</v>
      </c>
      <c r="I2576" s="7" t="s">
        <v>628</v>
      </c>
      <c r="J2576" s="7" t="s">
        <v>1032</v>
      </c>
      <c r="K2576" s="7" t="n">
        <f aca="false">IFERROR(VALUE(RIGHT(TRIM(F2576),4)),"")</f>
        <v>2019</v>
      </c>
      <c r="L2576" s="7" t="str">
        <f aca="false">IF(TRIM(E2576)="","Unknown",IFERROR(LEFT(TRIM(E2576),FIND(",",TRIM(E2576))-1),TRIM(E2576)))</f>
        <v>Japan</v>
      </c>
      <c r="M2576" s="7" t="str">
        <f aca="false">IFERROR(LEFT(J2576,FIND(",",J2576)-1),J2576)</f>
        <v>Action &amp; Adventure</v>
      </c>
      <c r="N2576" s="7" t="n">
        <f aca="false">IF(B2576="Movie",IFERROR(VALUE(LEFT(I2576,FIND(" ",I2576)-1)),""),"")</f>
        <v>69</v>
      </c>
      <c r="O2576" s="7" t="str">
        <f aca="false">IF(B2576="TV Show",IFERROR(VALUE(LEFT(I2576,FIND(" ",I2576)-1)),""),"")</f>
        <v/>
      </c>
      <c r="P2576" s="7" t="n">
        <f aca="false">IF(K2576="","",K2576-G2576)</f>
        <v>21</v>
      </c>
    </row>
    <row r="2577" customFormat="false" ht="15" hidden="false" customHeight="false" outlineLevel="0" collapsed="false">
      <c r="A2577" s="7" t="n">
        <v>81035870</v>
      </c>
      <c r="B2577" s="7" t="s">
        <v>68</v>
      </c>
      <c r="C2577" s="7" t="s">
        <v>5567</v>
      </c>
      <c r="D2577" s="7" t="s">
        <v>5568</v>
      </c>
      <c r="E2577" s="7" t="s">
        <v>963</v>
      </c>
      <c r="F2577" s="7" t="s">
        <v>5562</v>
      </c>
      <c r="G2577" s="7" t="n">
        <v>2012</v>
      </c>
      <c r="H2577" s="7" t="s">
        <v>48</v>
      </c>
      <c r="I2577" s="7" t="s">
        <v>87</v>
      </c>
      <c r="J2577" s="7" t="s">
        <v>304</v>
      </c>
      <c r="K2577" s="7" t="n">
        <f aca="false">IFERROR(VALUE(RIGHT(TRIM(F2577),4)),"")</f>
        <v>2019</v>
      </c>
      <c r="L2577" s="7" t="str">
        <f aca="false">IF(TRIM(E2577)="","Unknown",IFERROR(LEFT(TRIM(E2577),FIND(",",TRIM(E2577))-1),TRIM(E2577)))</f>
        <v>Egypt</v>
      </c>
      <c r="M2577" s="7" t="str">
        <f aca="false">IFERROR(LEFT(J2577,FIND(",",J2577)-1),J2577)</f>
        <v>Dramas</v>
      </c>
      <c r="N2577" s="7" t="n">
        <f aca="false">IF(B2577="Movie",IFERROR(VALUE(LEFT(I2577,FIND(" ",I2577)-1)),""),"")</f>
        <v>99</v>
      </c>
      <c r="O2577" s="7" t="str">
        <f aca="false">IF(B2577="TV Show",IFERROR(VALUE(LEFT(I2577,FIND(" ",I2577)-1)),""),"")</f>
        <v/>
      </c>
      <c r="P2577" s="7" t="n">
        <f aca="false">IF(K2577="","",K2577-G2577)</f>
        <v>7</v>
      </c>
    </row>
    <row r="2578" customFormat="false" ht="15" hidden="false" customHeight="false" outlineLevel="0" collapsed="false">
      <c r="A2578" s="7" t="n">
        <v>80993087</v>
      </c>
      <c r="B2578" s="7" t="s">
        <v>78</v>
      </c>
      <c r="C2578" s="7" t="s">
        <v>5569</v>
      </c>
      <c r="F2578" s="7" t="s">
        <v>5562</v>
      </c>
      <c r="G2578" s="7" t="n">
        <v>2016</v>
      </c>
      <c r="H2578" s="7" t="s">
        <v>49</v>
      </c>
      <c r="I2578" s="7" t="s">
        <v>82</v>
      </c>
      <c r="J2578" s="7" t="s">
        <v>158</v>
      </c>
      <c r="K2578" s="7" t="n">
        <f aca="false">IFERROR(VALUE(RIGHT(TRIM(F2578),4)),"")</f>
        <v>2019</v>
      </c>
      <c r="L2578" s="7" t="str">
        <f aca="false">IF(TRIM(E2578)="","Unknown",IFERROR(LEFT(TRIM(E2578),FIND(",",TRIM(E2578))-1),TRIM(E2578)))</f>
        <v>Unknown</v>
      </c>
      <c r="M2578" s="7" t="str">
        <f aca="false">IFERROR(LEFT(J2578,FIND(",",J2578)-1),J2578)</f>
        <v>International TV Shows</v>
      </c>
      <c r="N2578" s="7" t="str">
        <f aca="false">IF(B2578="Movie",IFERROR(VALUE(LEFT(I2578,FIND(" ",I2578)-1)),""),"")</f>
        <v/>
      </c>
      <c r="O2578" s="7" t="n">
        <f aca="false">IF(B2578="TV Show",IFERROR(VALUE(LEFT(I2578,FIND(" ",I2578)-1)),""),"")</f>
        <v>1</v>
      </c>
      <c r="P2578" s="7" t="n">
        <f aca="false">IF(K2578="","",K2578-G2578)</f>
        <v>3</v>
      </c>
    </row>
    <row r="2579" customFormat="false" ht="15" hidden="false" customHeight="false" outlineLevel="0" collapsed="false">
      <c r="A2579" s="7" t="n">
        <v>80209013</v>
      </c>
      <c r="B2579" s="7" t="s">
        <v>78</v>
      </c>
      <c r="C2579" s="7" t="s">
        <v>5570</v>
      </c>
      <c r="E2579" s="7" t="s">
        <v>26</v>
      </c>
      <c r="F2579" s="7" t="s">
        <v>5562</v>
      </c>
      <c r="G2579" s="7" t="n">
        <v>2019</v>
      </c>
      <c r="H2579" s="7" t="s">
        <v>49</v>
      </c>
      <c r="I2579" s="7" t="s">
        <v>82</v>
      </c>
      <c r="J2579" s="7" t="s">
        <v>289</v>
      </c>
      <c r="K2579" s="7" t="n">
        <f aca="false">IFERROR(VALUE(RIGHT(TRIM(F2579),4)),"")</f>
        <v>2019</v>
      </c>
      <c r="L2579" s="7" t="str">
        <f aca="false">IF(TRIM(E2579)="","Unknown",IFERROR(LEFT(TRIM(E2579),FIND(",",TRIM(E2579))-1),TRIM(E2579)))</f>
        <v>United States</v>
      </c>
      <c r="M2579" s="7" t="str">
        <f aca="false">IFERROR(LEFT(J2579,FIND(",",J2579)-1),J2579)</f>
        <v>TV Comedies</v>
      </c>
      <c r="N2579" s="7" t="str">
        <f aca="false">IF(B2579="Movie",IFERROR(VALUE(LEFT(I2579,FIND(" ",I2579)-1)),""),"")</f>
        <v/>
      </c>
      <c r="O2579" s="7" t="n">
        <f aca="false">IF(B2579="TV Show",IFERROR(VALUE(LEFT(I2579,FIND(" ",I2579)-1)),""),"")</f>
        <v>1</v>
      </c>
      <c r="P2579" s="7" t="n">
        <f aca="false">IF(K2579="","",K2579-G2579)</f>
        <v>0</v>
      </c>
    </row>
    <row r="2580" customFormat="false" ht="15" hidden="false" customHeight="false" outlineLevel="0" collapsed="false">
      <c r="A2580" s="7" t="n">
        <v>81033445</v>
      </c>
      <c r="B2580" s="7" t="s">
        <v>78</v>
      </c>
      <c r="C2580" s="7" t="s">
        <v>5571</v>
      </c>
      <c r="E2580" s="7" t="s">
        <v>30</v>
      </c>
      <c r="F2580" s="7" t="s">
        <v>5562</v>
      </c>
      <c r="G2580" s="7" t="n">
        <v>1995</v>
      </c>
      <c r="H2580" s="7" t="s">
        <v>49</v>
      </c>
      <c r="I2580" s="7" t="s">
        <v>82</v>
      </c>
      <c r="J2580" s="7" t="s">
        <v>542</v>
      </c>
      <c r="K2580" s="7" t="n">
        <f aca="false">IFERROR(VALUE(RIGHT(TRIM(F2580),4)),"")</f>
        <v>2019</v>
      </c>
      <c r="L2580" s="7" t="str">
        <f aca="false">IF(TRIM(E2580)="","Unknown",IFERROR(LEFT(TRIM(E2580),FIND(",",TRIM(E2580))-1),TRIM(E2580)))</f>
        <v>Japan</v>
      </c>
      <c r="M2580" s="7" t="str">
        <f aca="false">IFERROR(LEFT(J2580,FIND(",",J2580)-1),J2580)</f>
        <v>Anime Series</v>
      </c>
      <c r="N2580" s="7" t="str">
        <f aca="false">IF(B2580="Movie",IFERROR(VALUE(LEFT(I2580,FIND(" ",I2580)-1)),""),"")</f>
        <v/>
      </c>
      <c r="O2580" s="7" t="n">
        <f aca="false">IF(B2580="TV Show",IFERROR(VALUE(LEFT(I2580,FIND(" ",I2580)-1)),""),"")</f>
        <v>1</v>
      </c>
      <c r="P2580" s="7" t="n">
        <f aca="false">IF(K2580="","",K2580-G2580)</f>
        <v>24</v>
      </c>
    </row>
    <row r="2581" customFormat="false" ht="15" hidden="false" customHeight="false" outlineLevel="0" collapsed="false">
      <c r="A2581" s="7" t="n">
        <v>60024788</v>
      </c>
      <c r="B2581" s="7" t="s">
        <v>68</v>
      </c>
      <c r="C2581" s="7" t="s">
        <v>5572</v>
      </c>
      <c r="D2581" s="7" t="s">
        <v>5573</v>
      </c>
      <c r="E2581" s="7" t="s">
        <v>30</v>
      </c>
      <c r="F2581" s="7" t="s">
        <v>5562</v>
      </c>
      <c r="G2581" s="7" t="n">
        <v>1997</v>
      </c>
      <c r="H2581" s="7" t="s">
        <v>49</v>
      </c>
      <c r="I2581" s="7" t="s">
        <v>494</v>
      </c>
      <c r="J2581" s="7" t="s">
        <v>1032</v>
      </c>
      <c r="K2581" s="7" t="n">
        <f aca="false">IFERROR(VALUE(RIGHT(TRIM(F2581),4)),"")</f>
        <v>2019</v>
      </c>
      <c r="L2581" s="7" t="str">
        <f aca="false">IF(TRIM(E2581)="","Unknown",IFERROR(LEFT(TRIM(E2581),FIND(",",TRIM(E2581))-1),TRIM(E2581)))</f>
        <v>Japan</v>
      </c>
      <c r="M2581" s="7" t="str">
        <f aca="false">IFERROR(LEFT(J2581,FIND(",",J2581)-1),J2581)</f>
        <v>Action &amp; Adventure</v>
      </c>
      <c r="N2581" s="7" t="n">
        <f aca="false">IF(B2581="Movie",IFERROR(VALUE(LEFT(I2581,FIND(" ",I2581)-1)),""),"")</f>
        <v>87</v>
      </c>
      <c r="O2581" s="7" t="str">
        <f aca="false">IF(B2581="TV Show",IFERROR(VALUE(LEFT(I2581,FIND(" ",I2581)-1)),""),"")</f>
        <v/>
      </c>
      <c r="P2581" s="7" t="n">
        <f aca="false">IF(K2581="","",K2581-G2581)</f>
        <v>22</v>
      </c>
    </row>
    <row r="2582" customFormat="false" ht="15" hidden="false" customHeight="false" outlineLevel="0" collapsed="false">
      <c r="A2582" s="7" t="n">
        <v>80166185</v>
      </c>
      <c r="B2582" s="7" t="s">
        <v>68</v>
      </c>
      <c r="C2582" s="7" t="s">
        <v>5574</v>
      </c>
      <c r="D2582" s="7" t="s">
        <v>5575</v>
      </c>
      <c r="E2582" s="7" t="s">
        <v>27</v>
      </c>
      <c r="F2582" s="7" t="s">
        <v>5576</v>
      </c>
      <c r="G2582" s="7" t="n">
        <v>2016</v>
      </c>
      <c r="H2582" s="7" t="s">
        <v>50</v>
      </c>
      <c r="I2582" s="7" t="s">
        <v>1557</v>
      </c>
      <c r="J2582" s="7" t="s">
        <v>1003</v>
      </c>
      <c r="K2582" s="7" t="n">
        <f aca="false">IFERROR(VALUE(RIGHT(TRIM(F2582),4)),"")</f>
        <v>2017</v>
      </c>
      <c r="L2582" s="7" t="str">
        <f aca="false">IF(TRIM(E2582)="","Unknown",IFERROR(LEFT(TRIM(E2582),FIND(",",TRIM(E2582))-1),TRIM(E2582)))</f>
        <v>India</v>
      </c>
      <c r="M2582" s="7" t="str">
        <f aca="false">IFERROR(LEFT(J2582,FIND(",",J2582)-1),J2582)</f>
        <v>Dramas</v>
      </c>
      <c r="N2582" s="7" t="n">
        <f aca="false">IF(B2582="Movie",IFERROR(VALUE(LEFT(I2582,FIND(" ",I2582)-1)),""),"")</f>
        <v>161</v>
      </c>
      <c r="O2582" s="7" t="str">
        <f aca="false">IF(B2582="TV Show",IFERROR(VALUE(LEFT(I2582,FIND(" ",I2582)-1)),""),"")</f>
        <v/>
      </c>
      <c r="P2582" s="7" t="n">
        <f aca="false">IF(K2582="","",K2582-G2582)</f>
        <v>1</v>
      </c>
    </row>
    <row r="2583" customFormat="false" ht="15" hidden="false" customHeight="false" outlineLevel="0" collapsed="false">
      <c r="A2583" s="7" t="n">
        <v>81035868</v>
      </c>
      <c r="B2583" s="7" t="s">
        <v>68</v>
      </c>
      <c r="C2583" s="7" t="s">
        <v>5577</v>
      </c>
      <c r="D2583" s="7" t="s">
        <v>5578</v>
      </c>
      <c r="F2583" s="7" t="s">
        <v>5579</v>
      </c>
      <c r="G2583" s="7" t="n">
        <v>2014</v>
      </c>
      <c r="H2583" s="7" t="s">
        <v>48</v>
      </c>
      <c r="I2583" s="7" t="s">
        <v>340</v>
      </c>
      <c r="J2583" s="7" t="s">
        <v>217</v>
      </c>
      <c r="K2583" s="7" t="n">
        <f aca="false">IFERROR(VALUE(RIGHT(TRIM(F2583),4)),"")</f>
        <v>2019</v>
      </c>
      <c r="L2583" s="7" t="str">
        <f aca="false">IF(TRIM(E2583)="","Unknown",IFERROR(LEFT(TRIM(E2583),FIND(",",TRIM(E2583))-1),TRIM(E2583)))</f>
        <v>Unknown</v>
      </c>
      <c r="M2583" s="7" t="str">
        <f aca="false">IFERROR(LEFT(J2583,FIND(",",J2583)-1),J2583)</f>
        <v>Comedies</v>
      </c>
      <c r="N2583" s="7" t="n">
        <f aca="false">IF(B2583="Movie",IFERROR(VALUE(LEFT(I2583,FIND(" ",I2583)-1)),""),"")</f>
        <v>85</v>
      </c>
      <c r="O2583" s="7" t="str">
        <f aca="false">IF(B2583="TV Show",IFERROR(VALUE(LEFT(I2583,FIND(" ",I2583)-1)),""),"")</f>
        <v/>
      </c>
      <c r="P2583" s="7" t="n">
        <f aca="false">IF(K2583="","",K2583-G2583)</f>
        <v>5</v>
      </c>
    </row>
    <row r="2584" customFormat="false" ht="15" hidden="false" customHeight="false" outlineLevel="0" collapsed="false">
      <c r="A2584" s="7" t="n">
        <v>81035877</v>
      </c>
      <c r="B2584" s="7" t="s">
        <v>68</v>
      </c>
      <c r="C2584" s="7" t="s">
        <v>5580</v>
      </c>
      <c r="D2584" s="7" t="s">
        <v>5581</v>
      </c>
      <c r="E2584" s="7" t="s">
        <v>963</v>
      </c>
      <c r="F2584" s="7" t="s">
        <v>5579</v>
      </c>
      <c r="G2584" s="7" t="n">
        <v>2010</v>
      </c>
      <c r="H2584" s="7" t="s">
        <v>49</v>
      </c>
      <c r="I2584" s="7" t="s">
        <v>168</v>
      </c>
      <c r="J2584" s="7" t="s">
        <v>206</v>
      </c>
      <c r="K2584" s="7" t="n">
        <f aca="false">IFERROR(VALUE(RIGHT(TRIM(F2584),4)),"")</f>
        <v>2019</v>
      </c>
      <c r="L2584" s="7" t="str">
        <f aca="false">IF(TRIM(E2584)="","Unknown",IFERROR(LEFT(TRIM(E2584),FIND(",",TRIM(E2584))-1),TRIM(E2584)))</f>
        <v>Egypt</v>
      </c>
      <c r="M2584" s="7" t="str">
        <f aca="false">IFERROR(LEFT(J2584,FIND(",",J2584)-1),J2584)</f>
        <v>Comedies</v>
      </c>
      <c r="N2584" s="7" t="n">
        <f aca="false">IF(B2584="Movie",IFERROR(VALUE(LEFT(I2584,FIND(" ",I2584)-1)),""),"")</f>
        <v>112</v>
      </c>
      <c r="O2584" s="7" t="str">
        <f aca="false">IF(B2584="TV Show",IFERROR(VALUE(LEFT(I2584,FIND(" ",I2584)-1)),""),"")</f>
        <v/>
      </c>
      <c r="P2584" s="7" t="n">
        <f aca="false">IF(K2584="","",K2584-G2584)</f>
        <v>9</v>
      </c>
    </row>
    <row r="2585" customFormat="false" ht="15" hidden="false" customHeight="false" outlineLevel="0" collapsed="false">
      <c r="A2585" s="7" t="n">
        <v>81131274</v>
      </c>
      <c r="B2585" s="7" t="s">
        <v>68</v>
      </c>
      <c r="C2585" s="7" t="s">
        <v>5582</v>
      </c>
      <c r="D2585" s="7" t="s">
        <v>5583</v>
      </c>
      <c r="E2585" s="7" t="s">
        <v>27</v>
      </c>
      <c r="F2585" s="7" t="s">
        <v>5579</v>
      </c>
      <c r="G2585" s="7" t="n">
        <v>2019</v>
      </c>
      <c r="H2585" s="7" t="s">
        <v>48</v>
      </c>
      <c r="I2585" s="7" t="s">
        <v>237</v>
      </c>
      <c r="J2585" s="7" t="s">
        <v>2725</v>
      </c>
      <c r="K2585" s="7" t="n">
        <f aca="false">IFERROR(VALUE(RIGHT(TRIM(F2585),4)),"")</f>
        <v>2019</v>
      </c>
      <c r="L2585" s="7" t="str">
        <f aca="false">IF(TRIM(E2585)="","Unknown",IFERROR(LEFT(TRIM(E2585),FIND(",",TRIM(E2585))-1),TRIM(E2585)))</f>
        <v>India</v>
      </c>
      <c r="M2585" s="7" t="str">
        <f aca="false">IFERROR(LEFT(J2585,FIND(",",J2585)-1),J2585)</f>
        <v>Horror Movies</v>
      </c>
      <c r="N2585" s="7" t="n">
        <f aca="false">IF(B2585="Movie",IFERROR(VALUE(LEFT(I2585,FIND(" ",I2585)-1)),""),"")</f>
        <v>116</v>
      </c>
      <c r="O2585" s="7" t="str">
        <f aca="false">IF(B2585="TV Show",IFERROR(VALUE(LEFT(I2585,FIND(" ",I2585)-1)),""),"")</f>
        <v/>
      </c>
      <c r="P2585" s="7" t="n">
        <f aca="false">IF(K2585="","",K2585-G2585)</f>
        <v>0</v>
      </c>
    </row>
    <row r="2586" customFormat="false" ht="15" hidden="false" customHeight="false" outlineLevel="0" collapsed="false">
      <c r="A2586" s="7" t="n">
        <v>81035876</v>
      </c>
      <c r="B2586" s="7" t="s">
        <v>68</v>
      </c>
      <c r="C2586" s="7" t="s">
        <v>5584</v>
      </c>
      <c r="D2586" s="7" t="s">
        <v>3528</v>
      </c>
      <c r="E2586" s="7" t="s">
        <v>963</v>
      </c>
      <c r="F2586" s="7" t="s">
        <v>5579</v>
      </c>
      <c r="G2586" s="7" t="n">
        <v>2011</v>
      </c>
      <c r="H2586" s="7" t="s">
        <v>48</v>
      </c>
      <c r="I2586" s="7" t="s">
        <v>87</v>
      </c>
      <c r="J2586" s="7" t="s">
        <v>304</v>
      </c>
      <c r="K2586" s="7" t="n">
        <f aca="false">IFERROR(VALUE(RIGHT(TRIM(F2586),4)),"")</f>
        <v>2019</v>
      </c>
      <c r="L2586" s="7" t="str">
        <f aca="false">IF(TRIM(E2586)="","Unknown",IFERROR(LEFT(TRIM(E2586),FIND(",",TRIM(E2586))-1),TRIM(E2586)))</f>
        <v>Egypt</v>
      </c>
      <c r="M2586" s="7" t="str">
        <f aca="false">IFERROR(LEFT(J2586,FIND(",",J2586)-1),J2586)</f>
        <v>Dramas</v>
      </c>
      <c r="N2586" s="7" t="n">
        <f aca="false">IF(B2586="Movie",IFERROR(VALUE(LEFT(I2586,FIND(" ",I2586)-1)),""),"")</f>
        <v>99</v>
      </c>
      <c r="O2586" s="7" t="str">
        <f aca="false">IF(B2586="TV Show",IFERROR(VALUE(LEFT(I2586,FIND(" ",I2586)-1)),""),"")</f>
        <v/>
      </c>
      <c r="P2586" s="7" t="n">
        <f aca="false">IF(K2586="","",K2586-G2586)</f>
        <v>8</v>
      </c>
    </row>
    <row r="2587" customFormat="false" ht="15" hidden="false" customHeight="false" outlineLevel="0" collapsed="false">
      <c r="A2587" s="7" t="n">
        <v>81035875</v>
      </c>
      <c r="B2587" s="7" t="s">
        <v>68</v>
      </c>
      <c r="C2587" s="7" t="s">
        <v>5585</v>
      </c>
      <c r="D2587" s="7" t="s">
        <v>5586</v>
      </c>
      <c r="E2587" s="7" t="s">
        <v>963</v>
      </c>
      <c r="F2587" s="7" t="s">
        <v>5579</v>
      </c>
      <c r="G2587" s="7" t="n">
        <v>2010</v>
      </c>
      <c r="H2587" s="7" t="s">
        <v>48</v>
      </c>
      <c r="I2587" s="7" t="s">
        <v>512</v>
      </c>
      <c r="J2587" s="7" t="s">
        <v>304</v>
      </c>
      <c r="K2587" s="7" t="n">
        <f aca="false">IFERROR(VALUE(RIGHT(TRIM(F2587),4)),"")</f>
        <v>2019</v>
      </c>
      <c r="L2587" s="7" t="str">
        <f aca="false">IF(TRIM(E2587)="","Unknown",IFERROR(LEFT(TRIM(E2587),FIND(",",TRIM(E2587))-1),TRIM(E2587)))</f>
        <v>Egypt</v>
      </c>
      <c r="M2587" s="7" t="str">
        <f aca="false">IFERROR(LEFT(J2587,FIND(",",J2587)-1),J2587)</f>
        <v>Dramas</v>
      </c>
      <c r="N2587" s="7" t="n">
        <f aca="false">IF(B2587="Movie",IFERROR(VALUE(LEFT(I2587,FIND(" ",I2587)-1)),""),"")</f>
        <v>101</v>
      </c>
      <c r="O2587" s="7" t="str">
        <f aca="false">IF(B2587="TV Show",IFERROR(VALUE(LEFT(I2587,FIND(" ",I2587)-1)),""),"")</f>
        <v/>
      </c>
      <c r="P2587" s="7" t="n">
        <f aca="false">IF(K2587="","",K2587-G2587)</f>
        <v>9</v>
      </c>
    </row>
    <row r="2588" customFormat="false" ht="15" hidden="false" customHeight="false" outlineLevel="0" collapsed="false">
      <c r="A2588" s="7" t="n">
        <v>81035866</v>
      </c>
      <c r="B2588" s="7" t="s">
        <v>68</v>
      </c>
      <c r="C2588" s="7" t="s">
        <v>5587</v>
      </c>
      <c r="D2588" s="7" t="s">
        <v>5588</v>
      </c>
      <c r="F2588" s="7" t="s">
        <v>5579</v>
      </c>
      <c r="G2588" s="7" t="n">
        <v>2012</v>
      </c>
      <c r="H2588" s="7" t="s">
        <v>48</v>
      </c>
      <c r="I2588" s="7" t="s">
        <v>93</v>
      </c>
      <c r="J2588" s="7" t="s">
        <v>202</v>
      </c>
      <c r="K2588" s="7" t="n">
        <f aca="false">IFERROR(VALUE(RIGHT(TRIM(F2588),4)),"")</f>
        <v>2019</v>
      </c>
      <c r="L2588" s="7" t="str">
        <f aca="false">IF(TRIM(E2588)="","Unknown",IFERROR(LEFT(TRIM(E2588),FIND(",",TRIM(E2588))-1),TRIM(E2588)))</f>
        <v>Unknown</v>
      </c>
      <c r="M2588" s="7" t="str">
        <f aca="false">IFERROR(LEFT(J2588,FIND(",",J2588)-1),J2588)</f>
        <v>Comedies</v>
      </c>
      <c r="N2588" s="7" t="n">
        <f aca="false">IF(B2588="Movie",IFERROR(VALUE(LEFT(I2588,FIND(" ",I2588)-1)),""),"")</f>
        <v>110</v>
      </c>
      <c r="O2588" s="7" t="str">
        <f aca="false">IF(B2588="TV Show",IFERROR(VALUE(LEFT(I2588,FIND(" ",I2588)-1)),""),"")</f>
        <v/>
      </c>
      <c r="P2588" s="7" t="n">
        <f aca="false">IF(K2588="","",K2588-G2588)</f>
        <v>7</v>
      </c>
    </row>
    <row r="2589" customFormat="false" ht="15" hidden="false" customHeight="false" outlineLevel="0" collapsed="false">
      <c r="A2589" s="7" t="n">
        <v>81027187</v>
      </c>
      <c r="B2589" s="7" t="s">
        <v>68</v>
      </c>
      <c r="C2589" s="7" t="s">
        <v>5589</v>
      </c>
      <c r="D2589" s="7" t="s">
        <v>5590</v>
      </c>
      <c r="E2589" s="7" t="s">
        <v>31</v>
      </c>
      <c r="F2589" s="7" t="s">
        <v>5579</v>
      </c>
      <c r="G2589" s="7" t="n">
        <v>2019</v>
      </c>
      <c r="H2589" s="7" t="s">
        <v>49</v>
      </c>
      <c r="I2589" s="7" t="s">
        <v>237</v>
      </c>
      <c r="J2589" s="7" t="s">
        <v>182</v>
      </c>
      <c r="K2589" s="7" t="n">
        <f aca="false">IFERROR(VALUE(RIGHT(TRIM(F2589),4)),"")</f>
        <v>2019</v>
      </c>
      <c r="L2589" s="7" t="str">
        <f aca="false">IF(TRIM(E2589)="","Unknown",IFERROR(LEFT(TRIM(E2589),FIND(",",TRIM(E2589))-1),TRIM(E2589)))</f>
        <v>France</v>
      </c>
      <c r="M2589" s="7" t="str">
        <f aca="false">IFERROR(LEFT(J2589,FIND(",",J2589)-1),J2589)</f>
        <v>Dramas</v>
      </c>
      <c r="N2589" s="7" t="n">
        <f aca="false">IF(B2589="Movie",IFERROR(VALUE(LEFT(I2589,FIND(" ",I2589)-1)),""),"")</f>
        <v>116</v>
      </c>
      <c r="O2589" s="7" t="str">
        <f aca="false">IF(B2589="TV Show",IFERROR(VALUE(LEFT(I2589,FIND(" ",I2589)-1)),""),"")</f>
        <v/>
      </c>
      <c r="P2589" s="7" t="n">
        <f aca="false">IF(K2589="","",K2589-G2589)</f>
        <v>0</v>
      </c>
    </row>
    <row r="2590" customFormat="false" ht="15" hidden="false" customHeight="false" outlineLevel="0" collapsed="false">
      <c r="A2590" s="7" t="n">
        <v>81035879</v>
      </c>
      <c r="B2590" s="7" t="s">
        <v>68</v>
      </c>
      <c r="C2590" s="7" t="s">
        <v>5591</v>
      </c>
      <c r="D2590" s="7" t="s">
        <v>962</v>
      </c>
      <c r="F2590" s="7" t="s">
        <v>5579</v>
      </c>
      <c r="G2590" s="7" t="n">
        <v>2010</v>
      </c>
      <c r="H2590" s="7" t="s">
        <v>48</v>
      </c>
      <c r="I2590" s="7" t="s">
        <v>138</v>
      </c>
      <c r="J2590" s="7" t="s">
        <v>217</v>
      </c>
      <c r="K2590" s="7" t="n">
        <f aca="false">IFERROR(VALUE(RIGHT(TRIM(F2590),4)),"")</f>
        <v>2019</v>
      </c>
      <c r="L2590" s="7" t="str">
        <f aca="false">IF(TRIM(E2590)="","Unknown",IFERROR(LEFT(TRIM(E2590),FIND(",",TRIM(E2590))-1),TRIM(E2590)))</f>
        <v>Unknown</v>
      </c>
      <c r="M2590" s="7" t="str">
        <f aca="false">IFERROR(LEFT(J2590,FIND(",",J2590)-1),J2590)</f>
        <v>Comedies</v>
      </c>
      <c r="N2590" s="7" t="n">
        <f aca="false">IF(B2590="Movie",IFERROR(VALUE(LEFT(I2590,FIND(" ",I2590)-1)),""),"")</f>
        <v>96</v>
      </c>
      <c r="O2590" s="7" t="str">
        <f aca="false">IF(B2590="TV Show",IFERROR(VALUE(LEFT(I2590,FIND(" ",I2590)-1)),""),"")</f>
        <v/>
      </c>
      <c r="P2590" s="7" t="n">
        <f aca="false">IF(K2590="","",K2590-G2590)</f>
        <v>9</v>
      </c>
    </row>
    <row r="2591" customFormat="false" ht="15" hidden="false" customHeight="false" outlineLevel="0" collapsed="false">
      <c r="A2591" s="7" t="n">
        <v>81035871</v>
      </c>
      <c r="B2591" s="7" t="s">
        <v>68</v>
      </c>
      <c r="C2591" s="7" t="s">
        <v>5592</v>
      </c>
      <c r="D2591" s="7" t="s">
        <v>5593</v>
      </c>
      <c r="E2591" s="7" t="s">
        <v>963</v>
      </c>
      <c r="F2591" s="7" t="s">
        <v>5579</v>
      </c>
      <c r="G2591" s="7" t="n">
        <v>2011</v>
      </c>
      <c r="H2591" s="7" t="s">
        <v>49</v>
      </c>
      <c r="I2591" s="7" t="s">
        <v>524</v>
      </c>
      <c r="J2591" s="7" t="s">
        <v>358</v>
      </c>
      <c r="K2591" s="7" t="n">
        <f aca="false">IFERROR(VALUE(RIGHT(TRIM(F2591),4)),"")</f>
        <v>2019</v>
      </c>
      <c r="L2591" s="7" t="str">
        <f aca="false">IF(TRIM(E2591)="","Unknown",IFERROR(LEFT(TRIM(E2591),FIND(",",TRIM(E2591))-1),TRIM(E2591)))</f>
        <v>Egypt</v>
      </c>
      <c r="M2591" s="7" t="str">
        <f aca="false">IFERROR(LEFT(J2591,FIND(",",J2591)-1),J2591)</f>
        <v>International Movies</v>
      </c>
      <c r="N2591" s="7" t="n">
        <f aca="false">IF(B2591="Movie",IFERROR(VALUE(LEFT(I2591,FIND(" ",I2591)-1)),""),"")</f>
        <v>83</v>
      </c>
      <c r="O2591" s="7" t="str">
        <f aca="false">IF(B2591="TV Show",IFERROR(VALUE(LEFT(I2591,FIND(" ",I2591)-1)),""),"")</f>
        <v/>
      </c>
      <c r="P2591" s="7" t="n">
        <f aca="false">IF(K2591="","",K2591-G2591)</f>
        <v>8</v>
      </c>
    </row>
    <row r="2592" customFormat="false" ht="15" hidden="false" customHeight="false" outlineLevel="0" collapsed="false">
      <c r="A2592" s="7" t="n">
        <v>80997770</v>
      </c>
      <c r="B2592" s="7" t="s">
        <v>78</v>
      </c>
      <c r="C2592" s="7" t="s">
        <v>5594</v>
      </c>
      <c r="D2592" s="7" t="s">
        <v>5595</v>
      </c>
      <c r="E2592" s="7" t="s">
        <v>26</v>
      </c>
      <c r="F2592" s="7" t="s">
        <v>5596</v>
      </c>
      <c r="G2592" s="7" t="n">
        <v>2017</v>
      </c>
      <c r="H2592" s="7" t="s">
        <v>48</v>
      </c>
      <c r="I2592" s="7" t="s">
        <v>82</v>
      </c>
      <c r="J2592" s="7" t="s">
        <v>164</v>
      </c>
      <c r="K2592" s="7" t="n">
        <f aca="false">IFERROR(VALUE(RIGHT(TRIM(F2592),4)),"")</f>
        <v>2018</v>
      </c>
      <c r="L2592" s="7" t="str">
        <f aca="false">IF(TRIM(E2592)="","Unknown",IFERROR(LEFT(TRIM(E2592),FIND(",",TRIM(E2592))-1),TRIM(E2592)))</f>
        <v>United States</v>
      </c>
      <c r="M2592" s="7" t="str">
        <f aca="false">IFERROR(LEFT(J2592,FIND(",",J2592)-1),J2592)</f>
        <v>Docuseries</v>
      </c>
      <c r="N2592" s="7" t="str">
        <f aca="false">IF(B2592="Movie",IFERROR(VALUE(LEFT(I2592,FIND(" ",I2592)-1)),""),"")</f>
        <v/>
      </c>
      <c r="O2592" s="7" t="n">
        <f aca="false">IF(B2592="TV Show",IFERROR(VALUE(LEFT(I2592,FIND(" ",I2592)-1)),""),"")</f>
        <v>1</v>
      </c>
      <c r="P2592" s="7" t="n">
        <f aca="false">IF(K2592="","",K2592-G2592)</f>
        <v>1</v>
      </c>
    </row>
    <row r="2593" customFormat="false" ht="15" hidden="false" customHeight="false" outlineLevel="0" collapsed="false">
      <c r="A2593" s="7" t="n">
        <v>80173234</v>
      </c>
      <c r="B2593" s="7" t="s">
        <v>68</v>
      </c>
      <c r="C2593" s="7" t="s">
        <v>5597</v>
      </c>
      <c r="D2593" s="7" t="s">
        <v>5598</v>
      </c>
      <c r="E2593" s="7" t="s">
        <v>28</v>
      </c>
      <c r="F2593" s="7" t="s">
        <v>5599</v>
      </c>
      <c r="G2593" s="7" t="n">
        <v>2015</v>
      </c>
      <c r="H2593" s="7" t="s">
        <v>48</v>
      </c>
      <c r="I2593" s="7" t="s">
        <v>311</v>
      </c>
      <c r="J2593" s="7" t="s">
        <v>217</v>
      </c>
      <c r="K2593" s="7" t="n">
        <f aca="false">IFERROR(VALUE(RIGHT(TRIM(F2593),4)),"")</f>
        <v>2017</v>
      </c>
      <c r="L2593" s="7" t="str">
        <f aca="false">IF(TRIM(E2593)="","Unknown",IFERROR(LEFT(TRIM(E2593),FIND(",",TRIM(E2593))-1),TRIM(E2593)))</f>
        <v>United Kingdom</v>
      </c>
      <c r="M2593" s="7" t="str">
        <f aca="false">IFERROR(LEFT(J2593,FIND(",",J2593)-1),J2593)</f>
        <v>Comedies</v>
      </c>
      <c r="N2593" s="7" t="n">
        <f aca="false">IF(B2593="Movie",IFERROR(VALUE(LEFT(I2593,FIND(" ",I2593)-1)),""),"")</f>
        <v>92</v>
      </c>
      <c r="O2593" s="7" t="str">
        <f aca="false">IF(B2593="TV Show",IFERROR(VALUE(LEFT(I2593,FIND(" ",I2593)-1)),""),"")</f>
        <v/>
      </c>
      <c r="P2593" s="7" t="n">
        <f aca="false">IF(K2593="","",K2593-G2593)</f>
        <v>2</v>
      </c>
    </row>
    <row r="2594" customFormat="false" ht="15" hidden="false" customHeight="false" outlineLevel="0" collapsed="false">
      <c r="A2594" s="7" t="n">
        <v>80151644</v>
      </c>
      <c r="B2594" s="7" t="s">
        <v>68</v>
      </c>
      <c r="C2594" s="7" t="s">
        <v>5600</v>
      </c>
      <c r="D2594" s="7" t="s">
        <v>5601</v>
      </c>
      <c r="E2594" s="7" t="s">
        <v>26</v>
      </c>
      <c r="F2594" s="7" t="s">
        <v>5599</v>
      </c>
      <c r="G2594" s="7" t="n">
        <v>2017</v>
      </c>
      <c r="H2594" s="7" t="s">
        <v>55</v>
      </c>
      <c r="I2594" s="7" t="s">
        <v>373</v>
      </c>
      <c r="J2594" s="7" t="s">
        <v>74</v>
      </c>
      <c r="K2594" s="7" t="n">
        <f aca="false">IFERROR(VALUE(RIGHT(TRIM(F2594),4)),"")</f>
        <v>2017</v>
      </c>
      <c r="L2594" s="7" t="str">
        <f aca="false">IF(TRIM(E2594)="","Unknown",IFERROR(LEFT(TRIM(E2594),FIND(",",TRIM(E2594))-1),TRIM(E2594)))</f>
        <v>United States</v>
      </c>
      <c r="M2594" s="7" t="str">
        <f aca="false">IFERROR(LEFT(J2594,FIND(",",J2594)-1),J2594)</f>
        <v>Children &amp; Family Movies</v>
      </c>
      <c r="N2594" s="7" t="n">
        <f aca="false">IF(B2594="Movie",IFERROR(VALUE(LEFT(I2594,FIND(" ",I2594)-1)),""),"")</f>
        <v>24</v>
      </c>
      <c r="O2594" s="7" t="str">
        <f aca="false">IF(B2594="TV Show",IFERROR(VALUE(LEFT(I2594,FIND(" ",I2594)-1)),""),"")</f>
        <v/>
      </c>
      <c r="P2594" s="7" t="n">
        <f aca="false">IF(K2594="","",K2594-G2594)</f>
        <v>0</v>
      </c>
    </row>
    <row r="2595" customFormat="false" ht="15" hidden="false" customHeight="false" outlineLevel="0" collapsed="false">
      <c r="A2595" s="7" t="n">
        <v>80185223</v>
      </c>
      <c r="B2595" s="7" t="s">
        <v>68</v>
      </c>
      <c r="C2595" s="7" t="s">
        <v>5602</v>
      </c>
      <c r="D2595" s="7" t="s">
        <v>5603</v>
      </c>
      <c r="E2595" s="7" t="s">
        <v>26</v>
      </c>
      <c r="F2595" s="7" t="s">
        <v>5599</v>
      </c>
      <c r="G2595" s="7" t="n">
        <v>2017</v>
      </c>
      <c r="H2595" s="7" t="s">
        <v>48</v>
      </c>
      <c r="I2595" s="7" t="s">
        <v>1317</v>
      </c>
      <c r="J2595" s="7" t="s">
        <v>45</v>
      </c>
      <c r="K2595" s="7" t="n">
        <f aca="false">IFERROR(VALUE(RIGHT(TRIM(F2595),4)),"")</f>
        <v>2017</v>
      </c>
      <c r="L2595" s="7" t="str">
        <f aca="false">IF(TRIM(E2595)="","Unknown",IFERROR(LEFT(TRIM(E2595),FIND(",",TRIM(E2595))-1),TRIM(E2595)))</f>
        <v>United States</v>
      </c>
      <c r="M2595" s="7" t="str">
        <f aca="false">IFERROR(LEFT(J2595,FIND(",",J2595)-1),J2595)</f>
        <v>Stand-Up Comedy</v>
      </c>
      <c r="N2595" s="7" t="n">
        <f aca="false">IF(B2595="Movie",IFERROR(VALUE(LEFT(I2595,FIND(" ",I2595)-1)),""),"")</f>
        <v>66</v>
      </c>
      <c r="O2595" s="7" t="str">
        <f aca="false">IF(B2595="TV Show",IFERROR(VALUE(LEFT(I2595,FIND(" ",I2595)-1)),""),"")</f>
        <v/>
      </c>
      <c r="P2595" s="7" t="n">
        <f aca="false">IF(K2595="","",K2595-G2595)</f>
        <v>0</v>
      </c>
    </row>
    <row r="2596" customFormat="false" ht="15" hidden="false" customHeight="false" outlineLevel="0" collapsed="false">
      <c r="A2596" s="7" t="n">
        <v>80005588</v>
      </c>
      <c r="B2596" s="7" t="s">
        <v>78</v>
      </c>
      <c r="C2596" s="7" t="s">
        <v>5604</v>
      </c>
      <c r="E2596" s="7" t="s">
        <v>28</v>
      </c>
      <c r="F2596" s="7" t="s">
        <v>5605</v>
      </c>
      <c r="G2596" s="7" t="n">
        <v>2014</v>
      </c>
      <c r="H2596" s="7" t="s">
        <v>49</v>
      </c>
      <c r="I2596" s="7" t="s">
        <v>82</v>
      </c>
      <c r="J2596" s="7" t="s">
        <v>1969</v>
      </c>
      <c r="K2596" s="7" t="n">
        <f aca="false">IFERROR(VALUE(RIGHT(TRIM(F2596),4)),"")</f>
        <v>2016</v>
      </c>
      <c r="L2596" s="7" t="str">
        <f aca="false">IF(TRIM(E2596)="","Unknown",IFERROR(LEFT(TRIM(E2596),FIND(",",TRIM(E2596))-1),TRIM(E2596)))</f>
        <v>United Kingdom</v>
      </c>
      <c r="M2596" s="7" t="str">
        <f aca="false">IFERROR(LEFT(J2596,FIND(",",J2596)-1),J2596)</f>
        <v>British TV Shows</v>
      </c>
      <c r="N2596" s="7" t="str">
        <f aca="false">IF(B2596="Movie",IFERROR(VALUE(LEFT(I2596,FIND(" ",I2596)-1)),""),"")</f>
        <v/>
      </c>
      <c r="O2596" s="7" t="n">
        <f aca="false">IF(B2596="TV Show",IFERROR(VALUE(LEFT(I2596,FIND(" ",I2596)-1)),""),"")</f>
        <v>1</v>
      </c>
      <c r="P2596" s="7" t="n">
        <f aca="false">IF(K2596="","",K2596-G2596)</f>
        <v>2</v>
      </c>
    </row>
    <row r="2597" customFormat="false" ht="15" hidden="false" customHeight="false" outlineLevel="0" collapsed="false">
      <c r="A2597" s="7" t="n">
        <v>81028895</v>
      </c>
      <c r="B2597" s="7" t="s">
        <v>78</v>
      </c>
      <c r="C2597" s="7" t="s">
        <v>5606</v>
      </c>
      <c r="E2597" s="7" t="s">
        <v>32</v>
      </c>
      <c r="F2597" s="7" t="s">
        <v>5607</v>
      </c>
      <c r="G2597" s="7" t="n">
        <v>2019</v>
      </c>
      <c r="H2597" s="7" t="s">
        <v>49</v>
      </c>
      <c r="I2597" s="7" t="s">
        <v>82</v>
      </c>
      <c r="J2597" s="7" t="s">
        <v>537</v>
      </c>
      <c r="K2597" s="7" t="n">
        <f aca="false">IFERROR(VALUE(RIGHT(TRIM(F2597),4)),"")</f>
        <v>2019</v>
      </c>
      <c r="L2597" s="7" t="str">
        <f aca="false">IF(TRIM(E2597)="","Unknown",IFERROR(LEFT(TRIM(E2597),FIND(",",TRIM(E2597))-1),TRIM(E2597)))</f>
        <v>South Korea</v>
      </c>
      <c r="M2597" s="7" t="str">
        <f aca="false">IFERROR(LEFT(J2597,FIND(",",J2597)-1),J2597)</f>
        <v>International TV Shows</v>
      </c>
      <c r="N2597" s="7" t="str">
        <f aca="false">IF(B2597="Movie",IFERROR(VALUE(LEFT(I2597,FIND(" ",I2597)-1)),""),"")</f>
        <v/>
      </c>
      <c r="O2597" s="7" t="n">
        <f aca="false">IF(B2597="TV Show",IFERROR(VALUE(LEFT(I2597,FIND(" ",I2597)-1)),""),"")</f>
        <v>1</v>
      </c>
      <c r="P2597" s="7" t="n">
        <f aca="false">IF(K2597="","",K2597-G2597)</f>
        <v>0</v>
      </c>
    </row>
    <row r="2598" customFormat="false" ht="15" hidden="false" customHeight="false" outlineLevel="0" collapsed="false">
      <c r="A2598" s="7" t="n">
        <v>70038131</v>
      </c>
      <c r="B2598" s="7" t="s">
        <v>68</v>
      </c>
      <c r="C2598" s="7" t="s">
        <v>5608</v>
      </c>
      <c r="D2598" s="7" t="s">
        <v>5609</v>
      </c>
      <c r="E2598" s="7" t="s">
        <v>5610</v>
      </c>
      <c r="F2598" s="7" t="s">
        <v>5607</v>
      </c>
      <c r="G2598" s="7" t="n">
        <v>2005</v>
      </c>
      <c r="H2598" s="7" t="s">
        <v>54</v>
      </c>
      <c r="I2598" s="7" t="s">
        <v>272</v>
      </c>
      <c r="J2598" s="7" t="s">
        <v>37</v>
      </c>
      <c r="K2598" s="7" t="n">
        <f aca="false">IFERROR(VALUE(RIGHT(TRIM(F2598),4)),"")</f>
        <v>2019</v>
      </c>
      <c r="L2598" s="7" t="str">
        <f aca="false">IF(TRIM(E2598)="","Unknown",IFERROR(LEFT(TRIM(E2598),FIND(",",TRIM(E2598))-1),TRIM(E2598)))</f>
        <v>United States</v>
      </c>
      <c r="M2598" s="7" t="str">
        <f aca="false">IFERROR(LEFT(J2598,FIND(",",J2598)-1),J2598)</f>
        <v>Dramas</v>
      </c>
      <c r="N2598" s="7" t="n">
        <f aca="false">IF(B2598="Movie",IFERROR(VALUE(LEFT(I2598,FIND(" ",I2598)-1)),""),"")</f>
        <v>93</v>
      </c>
      <c r="O2598" s="7" t="str">
        <f aca="false">IF(B2598="TV Show",IFERROR(VALUE(LEFT(I2598,FIND(" ",I2598)-1)),""),"")</f>
        <v/>
      </c>
      <c r="P2598" s="7" t="n">
        <f aca="false">IF(K2598="","",K2598-G2598)</f>
        <v>14</v>
      </c>
    </row>
    <row r="2599" customFormat="false" ht="15" hidden="false" customHeight="false" outlineLevel="0" collapsed="false">
      <c r="A2599" s="7" t="n">
        <v>81110386</v>
      </c>
      <c r="B2599" s="7" t="s">
        <v>68</v>
      </c>
      <c r="C2599" s="7" t="s">
        <v>5611</v>
      </c>
      <c r="D2599" s="7" t="s">
        <v>5612</v>
      </c>
      <c r="E2599" s="7" t="s">
        <v>27</v>
      </c>
      <c r="F2599" s="7" t="s">
        <v>5607</v>
      </c>
      <c r="G2599" s="7" t="n">
        <v>2019</v>
      </c>
      <c r="H2599" s="7" t="s">
        <v>49</v>
      </c>
      <c r="I2599" s="7" t="s">
        <v>187</v>
      </c>
      <c r="J2599" s="7" t="s">
        <v>304</v>
      </c>
      <c r="K2599" s="7" t="n">
        <f aca="false">IFERROR(VALUE(RIGHT(TRIM(F2599),4)),"")</f>
        <v>2019</v>
      </c>
      <c r="L2599" s="7" t="str">
        <f aca="false">IF(TRIM(E2599)="","Unknown",IFERROR(LEFT(TRIM(E2599),FIND(",",TRIM(E2599))-1),TRIM(E2599)))</f>
        <v>India</v>
      </c>
      <c r="M2599" s="7" t="str">
        <f aca="false">IFERROR(LEFT(J2599,FIND(",",J2599)-1),J2599)</f>
        <v>Dramas</v>
      </c>
      <c r="N2599" s="7" t="n">
        <f aca="false">IF(B2599="Movie",IFERROR(VALUE(LEFT(I2599,FIND(" ",I2599)-1)),""),"")</f>
        <v>114</v>
      </c>
      <c r="O2599" s="7" t="str">
        <f aca="false">IF(B2599="TV Show",IFERROR(VALUE(LEFT(I2599,FIND(" ",I2599)-1)),""),"")</f>
        <v/>
      </c>
      <c r="P2599" s="7" t="n">
        <f aca="false">IF(K2599="","",K2599-G2599)</f>
        <v>0</v>
      </c>
    </row>
    <row r="2600" customFormat="false" ht="15" hidden="false" customHeight="false" outlineLevel="0" collapsed="false">
      <c r="A2600" s="7" t="n">
        <v>80108430</v>
      </c>
      <c r="B2600" s="7" t="s">
        <v>68</v>
      </c>
      <c r="C2600" s="7" t="s">
        <v>5613</v>
      </c>
      <c r="D2600" s="7" t="s">
        <v>5614</v>
      </c>
      <c r="E2600" s="7" t="s">
        <v>26</v>
      </c>
      <c r="F2600" s="7" t="s">
        <v>5607</v>
      </c>
      <c r="G2600" s="7" t="n">
        <v>2016</v>
      </c>
      <c r="H2600" s="7" t="s">
        <v>51</v>
      </c>
      <c r="I2600" s="7" t="s">
        <v>93</v>
      </c>
      <c r="J2600" s="7" t="s">
        <v>37</v>
      </c>
      <c r="K2600" s="7" t="n">
        <f aca="false">IFERROR(VALUE(RIGHT(TRIM(F2600),4)),"")</f>
        <v>2019</v>
      </c>
      <c r="L2600" s="7" t="str">
        <f aca="false">IF(TRIM(E2600)="","Unknown",IFERROR(LEFT(TRIM(E2600),FIND(",",TRIM(E2600))-1),TRIM(E2600)))</f>
        <v>United States</v>
      </c>
      <c r="M2600" s="7" t="str">
        <f aca="false">IFERROR(LEFT(J2600,FIND(",",J2600)-1),J2600)</f>
        <v>Dramas</v>
      </c>
      <c r="N2600" s="7" t="n">
        <f aca="false">IF(B2600="Movie",IFERROR(VALUE(LEFT(I2600,FIND(" ",I2600)-1)),""),"")</f>
        <v>110</v>
      </c>
      <c r="O2600" s="7" t="str">
        <f aca="false">IF(B2600="TV Show",IFERROR(VALUE(LEFT(I2600,FIND(" ",I2600)-1)),""),"")</f>
        <v/>
      </c>
      <c r="P2600" s="7" t="n">
        <f aca="false">IF(K2600="","",K2600-G2600)</f>
        <v>3</v>
      </c>
    </row>
    <row r="2601" customFormat="false" ht="15" hidden="false" customHeight="false" outlineLevel="0" collapsed="false">
      <c r="A2601" s="7" t="n">
        <v>70135893</v>
      </c>
      <c r="B2601" s="7" t="s">
        <v>68</v>
      </c>
      <c r="C2601" s="7" t="s">
        <v>5615</v>
      </c>
      <c r="D2601" s="7" t="s">
        <v>5616</v>
      </c>
      <c r="E2601" s="7" t="s">
        <v>5617</v>
      </c>
      <c r="F2601" s="7" t="s">
        <v>5618</v>
      </c>
      <c r="G2601" s="7" t="n">
        <v>2010</v>
      </c>
      <c r="H2601" s="7" t="s">
        <v>51</v>
      </c>
      <c r="I2601" s="7" t="s">
        <v>1270</v>
      </c>
      <c r="J2601" s="7" t="s">
        <v>304</v>
      </c>
      <c r="K2601" s="7" t="n">
        <f aca="false">IFERROR(VALUE(RIGHT(TRIM(F2601),4)),"")</f>
        <v>2018</v>
      </c>
      <c r="L2601" s="7" t="str">
        <f aca="false">IF(TRIM(E2601)="","Unknown",IFERROR(LEFT(TRIM(E2601),FIND(",",TRIM(E2601))-1),TRIM(E2601)))</f>
        <v>United Kingdom</v>
      </c>
      <c r="M2601" s="7" t="str">
        <f aca="false">IFERROR(LEFT(J2601,FIND(",",J2601)-1),J2601)</f>
        <v>Dramas</v>
      </c>
      <c r="N2601" s="7" t="n">
        <f aca="false">IF(B2601="Movie",IFERROR(VALUE(LEFT(I2601,FIND(" ",I2601)-1)),""),"")</f>
        <v>118</v>
      </c>
      <c r="O2601" s="7" t="str">
        <f aca="false">IF(B2601="TV Show",IFERROR(VALUE(LEFT(I2601,FIND(" ",I2601)-1)),""),"")</f>
        <v/>
      </c>
      <c r="P2601" s="7" t="n">
        <f aca="false">IF(K2601="","",K2601-G2601)</f>
        <v>8</v>
      </c>
    </row>
    <row r="2602" customFormat="false" ht="15" hidden="false" customHeight="false" outlineLevel="0" collapsed="false">
      <c r="A2602" s="7" t="n">
        <v>80121844</v>
      </c>
      <c r="B2602" s="7" t="s">
        <v>68</v>
      </c>
      <c r="C2602" s="7" t="s">
        <v>5619</v>
      </c>
      <c r="D2602" s="7" t="s">
        <v>5620</v>
      </c>
      <c r="E2602" s="7" t="s">
        <v>33</v>
      </c>
      <c r="F2602" s="7" t="s">
        <v>5621</v>
      </c>
      <c r="G2602" s="7" t="n">
        <v>2016</v>
      </c>
      <c r="H2602" s="7" t="s">
        <v>51</v>
      </c>
      <c r="I2602" s="7" t="s">
        <v>247</v>
      </c>
      <c r="J2602" s="7" t="s">
        <v>304</v>
      </c>
      <c r="K2602" s="7" t="n">
        <f aca="false">IFERROR(VALUE(RIGHT(TRIM(F2602),4)),"")</f>
        <v>2017</v>
      </c>
      <c r="L2602" s="7" t="str">
        <f aca="false">IF(TRIM(E2602)="","Unknown",IFERROR(LEFT(TRIM(E2602),FIND(",",TRIM(E2602))-1),TRIM(E2602)))</f>
        <v>Spain</v>
      </c>
      <c r="M2602" s="7" t="str">
        <f aca="false">IFERROR(LEFT(J2602,FIND(",",J2602)-1),J2602)</f>
        <v>Dramas</v>
      </c>
      <c r="N2602" s="7" t="n">
        <f aca="false">IF(B2602="Movie",IFERROR(VALUE(LEFT(I2602,FIND(" ",I2602)-1)),""),"")</f>
        <v>130</v>
      </c>
      <c r="O2602" s="7" t="str">
        <f aca="false">IF(B2602="TV Show",IFERROR(VALUE(LEFT(I2602,FIND(" ",I2602)-1)),""),"")</f>
        <v/>
      </c>
      <c r="P2602" s="7" t="n">
        <f aca="false">IF(K2602="","",K2602-G2602)</f>
        <v>1</v>
      </c>
    </row>
    <row r="2603" customFormat="false" ht="15" hidden="false" customHeight="false" outlineLevel="0" collapsed="false">
      <c r="A2603" s="7" t="n">
        <v>80133117</v>
      </c>
      <c r="B2603" s="7" t="s">
        <v>78</v>
      </c>
      <c r="C2603" s="7" t="s">
        <v>5622</v>
      </c>
      <c r="E2603" s="7" t="s">
        <v>28</v>
      </c>
      <c r="F2603" s="7" t="s">
        <v>5621</v>
      </c>
      <c r="G2603" s="7" t="n">
        <v>2016</v>
      </c>
      <c r="H2603" s="7" t="s">
        <v>48</v>
      </c>
      <c r="I2603" s="7" t="s">
        <v>82</v>
      </c>
      <c r="J2603" s="7" t="s">
        <v>1666</v>
      </c>
      <c r="K2603" s="7" t="n">
        <f aca="false">IFERROR(VALUE(RIGHT(TRIM(F2603),4)),"")</f>
        <v>2017</v>
      </c>
      <c r="L2603" s="7" t="str">
        <f aca="false">IF(TRIM(E2603)="","Unknown",IFERROR(LEFT(TRIM(E2603),FIND(",",TRIM(E2603))-1),TRIM(E2603)))</f>
        <v>United Kingdom</v>
      </c>
      <c r="M2603" s="7" t="str">
        <f aca="false">IFERROR(LEFT(J2603,FIND(",",J2603)-1),J2603)</f>
        <v>British TV Shows</v>
      </c>
      <c r="N2603" s="7" t="str">
        <f aca="false">IF(B2603="Movie",IFERROR(VALUE(LEFT(I2603,FIND(" ",I2603)-1)),""),"")</f>
        <v/>
      </c>
      <c r="O2603" s="7" t="n">
        <f aca="false">IF(B2603="TV Show",IFERROR(VALUE(LEFT(I2603,FIND(" ",I2603)-1)),""),"")</f>
        <v>1</v>
      </c>
      <c r="P2603" s="7" t="n">
        <f aca="false">IF(K2603="","",K2603-G2603)</f>
        <v>1</v>
      </c>
    </row>
    <row r="2604" customFormat="false" ht="15" hidden="false" customHeight="false" outlineLevel="0" collapsed="false">
      <c r="A2604" s="7" t="n">
        <v>80158750</v>
      </c>
      <c r="B2604" s="7" t="s">
        <v>68</v>
      </c>
      <c r="C2604" s="7" t="s">
        <v>5623</v>
      </c>
      <c r="D2604" s="7" t="s">
        <v>5624</v>
      </c>
      <c r="E2604" s="7" t="s">
        <v>32</v>
      </c>
      <c r="F2604" s="7" t="s">
        <v>5621</v>
      </c>
      <c r="G2604" s="7" t="n">
        <v>2017</v>
      </c>
      <c r="H2604" s="7" t="s">
        <v>48</v>
      </c>
      <c r="I2604" s="7" t="s">
        <v>181</v>
      </c>
      <c r="J2604" s="7" t="s">
        <v>94</v>
      </c>
      <c r="K2604" s="7" t="n">
        <f aca="false">IFERROR(VALUE(RIGHT(TRIM(F2604),4)),"")</f>
        <v>2017</v>
      </c>
      <c r="L2604" s="7" t="str">
        <f aca="false">IF(TRIM(E2604)="","Unknown",IFERROR(LEFT(TRIM(E2604),FIND(",",TRIM(E2604))-1),TRIM(E2604)))</f>
        <v>South Korea</v>
      </c>
      <c r="M2604" s="7" t="str">
        <f aca="false">IFERROR(LEFT(J2604,FIND(",",J2604)-1),J2604)</f>
        <v>International Movies</v>
      </c>
      <c r="N2604" s="7" t="n">
        <f aca="false">IF(B2604="Movie",IFERROR(VALUE(LEFT(I2604,FIND(" ",I2604)-1)),""),"")</f>
        <v>102</v>
      </c>
      <c r="O2604" s="7" t="str">
        <f aca="false">IF(B2604="TV Show",IFERROR(VALUE(LEFT(I2604,FIND(" ",I2604)-1)),""),"")</f>
        <v/>
      </c>
      <c r="P2604" s="7" t="n">
        <f aca="false">IF(K2604="","",K2604-G2604)</f>
        <v>0</v>
      </c>
    </row>
    <row r="2605" customFormat="false" ht="15" hidden="false" customHeight="false" outlineLevel="0" collapsed="false">
      <c r="A2605" s="7" t="n">
        <v>80176840</v>
      </c>
      <c r="B2605" s="7" t="s">
        <v>78</v>
      </c>
      <c r="C2605" s="7" t="s">
        <v>5625</v>
      </c>
      <c r="F2605" s="7" t="s">
        <v>5621</v>
      </c>
      <c r="G2605" s="7" t="n">
        <v>2015</v>
      </c>
      <c r="H2605" s="7" t="s">
        <v>50</v>
      </c>
      <c r="I2605" s="7" t="s">
        <v>82</v>
      </c>
      <c r="J2605" s="7" t="s">
        <v>3844</v>
      </c>
      <c r="K2605" s="7" t="n">
        <f aca="false">IFERROR(VALUE(RIGHT(TRIM(F2605),4)),"")</f>
        <v>2017</v>
      </c>
      <c r="L2605" s="7" t="str">
        <f aca="false">IF(TRIM(E2605)="","Unknown",IFERROR(LEFT(TRIM(E2605),FIND(",",TRIM(E2605))-1),TRIM(E2605)))</f>
        <v>Unknown</v>
      </c>
      <c r="M2605" s="7" t="str">
        <f aca="false">IFERROR(LEFT(J2605,FIND(",",J2605)-1),J2605)</f>
        <v>International TV Shows</v>
      </c>
      <c r="N2605" s="7" t="str">
        <f aca="false">IF(B2605="Movie",IFERROR(VALUE(LEFT(I2605,FIND(" ",I2605)-1)),""),"")</f>
        <v/>
      </c>
      <c r="O2605" s="7" t="n">
        <f aca="false">IF(B2605="TV Show",IFERROR(VALUE(LEFT(I2605,FIND(" ",I2605)-1)),""),"")</f>
        <v>1</v>
      </c>
      <c r="P2605" s="7" t="n">
        <f aca="false">IF(K2605="","",K2605-G2605)</f>
        <v>2</v>
      </c>
    </row>
    <row r="2606" customFormat="false" ht="15" hidden="false" customHeight="false" outlineLevel="0" collapsed="false">
      <c r="A2606" s="7" t="n">
        <v>80095626</v>
      </c>
      <c r="B2606" s="7" t="s">
        <v>78</v>
      </c>
      <c r="C2606" s="7" t="s">
        <v>5626</v>
      </c>
      <c r="E2606" s="7" t="s">
        <v>30</v>
      </c>
      <c r="F2606" s="7" t="s">
        <v>5627</v>
      </c>
      <c r="G2606" s="7" t="n">
        <v>2016</v>
      </c>
      <c r="H2606" s="7" t="s">
        <v>48</v>
      </c>
      <c r="I2606" s="7" t="s">
        <v>82</v>
      </c>
      <c r="J2606" s="7" t="s">
        <v>344</v>
      </c>
      <c r="K2606" s="7" t="n">
        <f aca="false">IFERROR(VALUE(RIGHT(TRIM(F2606),4)),"")</f>
        <v>2016</v>
      </c>
      <c r="L2606" s="7" t="str">
        <f aca="false">IF(TRIM(E2606)="","Unknown",IFERROR(LEFT(TRIM(E2606),FIND(",",TRIM(E2606))-1),TRIM(E2606)))</f>
        <v>Japan</v>
      </c>
      <c r="M2606" s="7" t="str">
        <f aca="false">IFERROR(LEFT(J2606,FIND(",",J2606)-1),J2606)</f>
        <v>International TV Shows</v>
      </c>
      <c r="N2606" s="7" t="str">
        <f aca="false">IF(B2606="Movie",IFERROR(VALUE(LEFT(I2606,FIND(" ",I2606)-1)),""),"")</f>
        <v/>
      </c>
      <c r="O2606" s="7" t="n">
        <f aca="false">IF(B2606="TV Show",IFERROR(VALUE(LEFT(I2606,FIND(" ",I2606)-1)),""),"")</f>
        <v>1</v>
      </c>
      <c r="P2606" s="7" t="n">
        <f aca="false">IF(K2606="","",K2606-G2606)</f>
        <v>0</v>
      </c>
    </row>
    <row r="2607" customFormat="false" ht="15" hidden="false" customHeight="false" outlineLevel="0" collapsed="false">
      <c r="A2607" s="7" t="n">
        <v>80216302</v>
      </c>
      <c r="B2607" s="7" t="s">
        <v>68</v>
      </c>
      <c r="C2607" s="7" t="s">
        <v>5628</v>
      </c>
      <c r="D2607" s="7" t="s">
        <v>5629</v>
      </c>
      <c r="E2607" s="7" t="s">
        <v>26</v>
      </c>
      <c r="F2607" s="7" t="s">
        <v>5630</v>
      </c>
      <c r="G2607" s="7" t="n">
        <v>2019</v>
      </c>
      <c r="H2607" s="7" t="s">
        <v>48</v>
      </c>
      <c r="I2607" s="7" t="s">
        <v>93</v>
      </c>
      <c r="J2607" s="7" t="s">
        <v>5449</v>
      </c>
      <c r="K2607" s="7" t="n">
        <f aca="false">IFERROR(VALUE(RIGHT(TRIM(F2607),4)),"")</f>
        <v>2019</v>
      </c>
      <c r="L2607" s="7" t="str">
        <f aca="false">IF(TRIM(E2607)="","Unknown",IFERROR(LEFT(TRIM(E2607),FIND(",",TRIM(E2607))-1),TRIM(E2607)))</f>
        <v>United States</v>
      </c>
      <c r="M2607" s="7" t="str">
        <f aca="false">IFERROR(LEFT(J2607,FIND(",",J2607)-1),J2607)</f>
        <v>Dramas</v>
      </c>
      <c r="N2607" s="7" t="n">
        <f aca="false">IF(B2607="Movie",IFERROR(VALUE(LEFT(I2607,FIND(" ",I2607)-1)),""),"")</f>
        <v>110</v>
      </c>
      <c r="O2607" s="7" t="str">
        <f aca="false">IF(B2607="TV Show",IFERROR(VALUE(LEFT(I2607,FIND(" ",I2607)-1)),""),"")</f>
        <v/>
      </c>
      <c r="P2607" s="7" t="n">
        <f aca="false">IF(K2607="","",K2607-G2607)</f>
        <v>0</v>
      </c>
    </row>
    <row r="2608" customFormat="false" ht="15" hidden="false" customHeight="false" outlineLevel="0" collapsed="false">
      <c r="A2608" s="7" t="n">
        <v>81105525</v>
      </c>
      <c r="B2608" s="7" t="s">
        <v>68</v>
      </c>
      <c r="C2608" s="7" t="s">
        <v>5631</v>
      </c>
      <c r="D2608" s="7" t="s">
        <v>5632</v>
      </c>
      <c r="E2608" s="7" t="s">
        <v>5633</v>
      </c>
      <c r="F2608" s="7" t="s">
        <v>5630</v>
      </c>
      <c r="G2608" s="7" t="n">
        <v>2018</v>
      </c>
      <c r="H2608" s="7" t="s">
        <v>49</v>
      </c>
      <c r="I2608" s="7" t="s">
        <v>212</v>
      </c>
      <c r="J2608" s="7" t="s">
        <v>39</v>
      </c>
      <c r="K2608" s="7" t="n">
        <f aca="false">IFERROR(VALUE(RIGHT(TRIM(F2608),4)),"")</f>
        <v>2019</v>
      </c>
      <c r="L2608" s="7" t="str">
        <f aca="false">IF(TRIM(E2608)="","Unknown",IFERROR(LEFT(TRIM(E2608),FIND(",",TRIM(E2608))-1),TRIM(E2608)))</f>
        <v>Germany</v>
      </c>
      <c r="M2608" s="7" t="str">
        <f aca="false">IFERROR(LEFT(J2608,FIND(",",J2608)-1),J2608)</f>
        <v>Documentaries</v>
      </c>
      <c r="N2608" s="7" t="n">
        <f aca="false">IF(B2608="Movie",IFERROR(VALUE(LEFT(I2608,FIND(" ",I2608)-1)),""),"")</f>
        <v>86</v>
      </c>
      <c r="O2608" s="7" t="str">
        <f aca="false">IF(B2608="TV Show",IFERROR(VALUE(LEFT(I2608,FIND(" ",I2608)-1)),""),"")</f>
        <v/>
      </c>
      <c r="P2608" s="7" t="n">
        <f aca="false">IF(K2608="","",K2608-G2608)</f>
        <v>1</v>
      </c>
    </row>
    <row r="2609" customFormat="false" ht="15" hidden="false" customHeight="false" outlineLevel="0" collapsed="false">
      <c r="A2609" s="7" t="n">
        <v>81017094</v>
      </c>
      <c r="B2609" s="7" t="s">
        <v>68</v>
      </c>
      <c r="C2609" s="7" t="s">
        <v>5634</v>
      </c>
      <c r="D2609" s="7" t="s">
        <v>5635</v>
      </c>
      <c r="E2609" s="7" t="s">
        <v>26</v>
      </c>
      <c r="F2609" s="7" t="s">
        <v>5630</v>
      </c>
      <c r="G2609" s="7" t="n">
        <v>2018</v>
      </c>
      <c r="H2609" s="7" t="s">
        <v>49</v>
      </c>
      <c r="I2609" s="7" t="s">
        <v>93</v>
      </c>
      <c r="J2609" s="7" t="s">
        <v>269</v>
      </c>
      <c r="K2609" s="7" t="n">
        <f aca="false">IFERROR(VALUE(RIGHT(TRIM(F2609),4)),"")</f>
        <v>2019</v>
      </c>
      <c r="L2609" s="7" t="str">
        <f aca="false">IF(TRIM(E2609)="","Unknown",IFERROR(LEFT(TRIM(E2609),FIND(",",TRIM(E2609))-1),TRIM(E2609)))</f>
        <v>United States</v>
      </c>
      <c r="M2609" s="7" t="str">
        <f aca="false">IFERROR(LEFT(J2609,FIND(",",J2609)-1),J2609)</f>
        <v>Dramas</v>
      </c>
      <c r="N2609" s="7" t="n">
        <f aca="false">IF(B2609="Movie",IFERROR(VALUE(LEFT(I2609,FIND(" ",I2609)-1)),""),"")</f>
        <v>110</v>
      </c>
      <c r="O2609" s="7" t="str">
        <f aca="false">IF(B2609="TV Show",IFERROR(VALUE(LEFT(I2609,FIND(" ",I2609)-1)),""),"")</f>
        <v/>
      </c>
      <c r="P2609" s="7" t="n">
        <f aca="false">IF(K2609="","",K2609-G2609)</f>
        <v>1</v>
      </c>
    </row>
    <row r="2610" customFormat="false" ht="15" hidden="false" customHeight="false" outlineLevel="0" collapsed="false">
      <c r="A2610" s="7" t="n">
        <v>80190535</v>
      </c>
      <c r="B2610" s="7" t="s">
        <v>68</v>
      </c>
      <c r="C2610" s="7" t="s">
        <v>5636</v>
      </c>
      <c r="D2610" s="7" t="s">
        <v>897</v>
      </c>
      <c r="E2610" s="7" t="s">
        <v>325</v>
      </c>
      <c r="F2610" s="7" t="s">
        <v>5630</v>
      </c>
      <c r="G2610" s="7" t="n">
        <v>2019</v>
      </c>
      <c r="H2610" s="7" t="s">
        <v>49</v>
      </c>
      <c r="I2610" s="7" t="s">
        <v>232</v>
      </c>
      <c r="J2610" s="7" t="s">
        <v>341</v>
      </c>
      <c r="K2610" s="7" t="n">
        <f aca="false">IFERROR(VALUE(RIGHT(TRIM(F2610),4)),"")</f>
        <v>2019</v>
      </c>
      <c r="L2610" s="7" t="str">
        <f aca="false">IF(TRIM(E2610)="","Unknown",IFERROR(LEFT(TRIM(E2610),FIND(",",TRIM(E2610))-1),TRIM(E2610)))</f>
        <v>Brazil</v>
      </c>
      <c r="M2610" s="7" t="str">
        <f aca="false">IFERROR(LEFT(J2610,FIND(",",J2610)-1),J2610)</f>
        <v>Documentaries</v>
      </c>
      <c r="N2610" s="7" t="n">
        <f aca="false">IF(B2610="Movie",IFERROR(VALUE(LEFT(I2610,FIND(" ",I2610)-1)),""),"")</f>
        <v>122</v>
      </c>
      <c r="O2610" s="7" t="str">
        <f aca="false">IF(B2610="TV Show",IFERROR(VALUE(LEFT(I2610,FIND(" ",I2610)-1)),""),"")</f>
        <v/>
      </c>
      <c r="P2610" s="7" t="n">
        <f aca="false">IF(K2610="","",K2610-G2610)</f>
        <v>0</v>
      </c>
    </row>
    <row r="2611" customFormat="false" ht="15" hidden="false" customHeight="false" outlineLevel="0" collapsed="false">
      <c r="A2611" s="7" t="n">
        <v>80241071</v>
      </c>
      <c r="B2611" s="7" t="s">
        <v>68</v>
      </c>
      <c r="C2611" s="7" t="s">
        <v>5637</v>
      </c>
      <c r="D2611" s="7" t="s">
        <v>5638</v>
      </c>
      <c r="E2611" s="7" t="s">
        <v>28</v>
      </c>
      <c r="F2611" s="7" t="s">
        <v>5630</v>
      </c>
      <c r="G2611" s="7" t="n">
        <v>2018</v>
      </c>
      <c r="H2611" s="7" t="s">
        <v>48</v>
      </c>
      <c r="I2611" s="7" t="s">
        <v>87</v>
      </c>
      <c r="J2611" s="7" t="s">
        <v>37</v>
      </c>
      <c r="K2611" s="7" t="n">
        <f aca="false">IFERROR(VALUE(RIGHT(TRIM(F2611),4)),"")</f>
        <v>2019</v>
      </c>
      <c r="L2611" s="7" t="str">
        <f aca="false">IF(TRIM(E2611)="","Unknown",IFERROR(LEFT(TRIM(E2611),FIND(",",TRIM(E2611))-1),TRIM(E2611)))</f>
        <v>United Kingdom</v>
      </c>
      <c r="M2611" s="7" t="str">
        <f aca="false">IFERROR(LEFT(J2611,FIND(",",J2611)-1),J2611)</f>
        <v>Dramas</v>
      </c>
      <c r="N2611" s="7" t="n">
        <f aca="false">IF(B2611="Movie",IFERROR(VALUE(LEFT(I2611,FIND(" ",I2611)-1)),""),"")</f>
        <v>99</v>
      </c>
      <c r="O2611" s="7" t="str">
        <f aca="false">IF(B2611="TV Show",IFERROR(VALUE(LEFT(I2611,FIND(" ",I2611)-1)),""),"")</f>
        <v/>
      </c>
      <c r="P2611" s="7" t="n">
        <f aca="false">IF(K2611="","",K2611-G2611)</f>
        <v>1</v>
      </c>
    </row>
    <row r="2612" customFormat="false" ht="15" hidden="false" customHeight="false" outlineLevel="0" collapsed="false">
      <c r="A2612" s="7" t="n">
        <v>80233611</v>
      </c>
      <c r="B2612" s="7" t="s">
        <v>68</v>
      </c>
      <c r="C2612" s="7" t="s">
        <v>5639</v>
      </c>
      <c r="D2612" s="7" t="s">
        <v>5640</v>
      </c>
      <c r="E2612" s="7" t="s">
        <v>35</v>
      </c>
      <c r="F2612" s="7" t="s">
        <v>5641</v>
      </c>
      <c r="G2612" s="7" t="n">
        <v>2018</v>
      </c>
      <c r="H2612" s="7" t="s">
        <v>48</v>
      </c>
      <c r="I2612" s="7" t="s">
        <v>254</v>
      </c>
      <c r="J2612" s="7" t="s">
        <v>45</v>
      </c>
      <c r="K2612" s="7" t="n">
        <f aca="false">IFERROR(VALUE(RIGHT(TRIM(F2612),4)),"")</f>
        <v>2018</v>
      </c>
      <c r="L2612" s="7" t="str">
        <f aca="false">IF(TRIM(E2612)="","Unknown",IFERROR(LEFT(TRIM(E2612),FIND(",",TRIM(E2612))-1),TRIM(E2612)))</f>
        <v>Australia</v>
      </c>
      <c r="M2612" s="7" t="str">
        <f aca="false">IFERROR(LEFT(J2612,FIND(",",J2612)-1),J2612)</f>
        <v>Stand-Up Comedy</v>
      </c>
      <c r="N2612" s="7" t="n">
        <f aca="false">IF(B2612="Movie",IFERROR(VALUE(LEFT(I2612,FIND(" ",I2612)-1)),""),"")</f>
        <v>70</v>
      </c>
      <c r="O2612" s="7" t="str">
        <f aca="false">IF(B2612="TV Show",IFERROR(VALUE(LEFT(I2612,FIND(" ",I2612)-1)),""),"")</f>
        <v/>
      </c>
      <c r="P2612" s="7" t="n">
        <f aca="false">IF(K2612="","",K2612-G2612)</f>
        <v>0</v>
      </c>
    </row>
    <row r="2613" customFormat="false" ht="15" hidden="false" customHeight="false" outlineLevel="0" collapsed="false">
      <c r="A2613" s="7" t="n">
        <v>80993106</v>
      </c>
      <c r="B2613" s="7" t="s">
        <v>78</v>
      </c>
      <c r="C2613" s="7" t="s">
        <v>5642</v>
      </c>
      <c r="F2613" s="7" t="s">
        <v>5641</v>
      </c>
      <c r="G2613" s="7" t="n">
        <v>2017</v>
      </c>
      <c r="H2613" s="7" t="s">
        <v>48</v>
      </c>
      <c r="I2613" s="7" t="s">
        <v>82</v>
      </c>
      <c r="J2613" s="7" t="s">
        <v>2916</v>
      </c>
      <c r="K2613" s="7" t="n">
        <f aca="false">IFERROR(VALUE(RIGHT(TRIM(F2613),4)),"")</f>
        <v>2018</v>
      </c>
      <c r="L2613" s="7" t="str">
        <f aca="false">IF(TRIM(E2613)="","Unknown",IFERROR(LEFT(TRIM(E2613),FIND(",",TRIM(E2613))-1),TRIM(E2613)))</f>
        <v>Unknown</v>
      </c>
      <c r="M2613" s="7" t="str">
        <f aca="false">IFERROR(LEFT(J2613,FIND(",",J2613)-1),J2613)</f>
        <v>International TV Shows</v>
      </c>
      <c r="N2613" s="7" t="str">
        <f aca="false">IF(B2613="Movie",IFERROR(VALUE(LEFT(I2613,FIND(" ",I2613)-1)),""),"")</f>
        <v/>
      </c>
      <c r="O2613" s="7" t="n">
        <f aca="false">IF(B2613="TV Show",IFERROR(VALUE(LEFT(I2613,FIND(" ",I2613)-1)),""),"")</f>
        <v>1</v>
      </c>
      <c r="P2613" s="7" t="n">
        <f aca="false">IF(K2613="","",K2613-G2613)</f>
        <v>1</v>
      </c>
    </row>
    <row r="2614" customFormat="false" ht="15" hidden="false" customHeight="false" outlineLevel="0" collapsed="false">
      <c r="A2614" s="7" t="n">
        <v>80160814</v>
      </c>
      <c r="B2614" s="7" t="s">
        <v>68</v>
      </c>
      <c r="C2614" s="7" t="s">
        <v>5643</v>
      </c>
      <c r="D2614" s="7" t="s">
        <v>5644</v>
      </c>
      <c r="E2614" s="7" t="s">
        <v>34</v>
      </c>
      <c r="F2614" s="7" t="s">
        <v>5645</v>
      </c>
      <c r="G2614" s="7" t="n">
        <v>2014</v>
      </c>
      <c r="H2614" s="7" t="s">
        <v>48</v>
      </c>
      <c r="I2614" s="7" t="s">
        <v>205</v>
      </c>
      <c r="J2614" s="7" t="s">
        <v>94</v>
      </c>
      <c r="K2614" s="7" t="n">
        <f aca="false">IFERROR(VALUE(RIGHT(TRIM(F2614),4)),"")</f>
        <v>2017</v>
      </c>
      <c r="L2614" s="7" t="str">
        <f aca="false">IF(TRIM(E2614)="","Unknown",IFERROR(LEFT(TRIM(E2614),FIND(",",TRIM(E2614))-1),TRIM(E2614)))</f>
        <v>Mexico</v>
      </c>
      <c r="M2614" s="7" t="str">
        <f aca="false">IFERROR(LEFT(J2614,FIND(",",J2614)-1),J2614)</f>
        <v>International Movies</v>
      </c>
      <c r="N2614" s="7" t="n">
        <f aca="false">IF(B2614="Movie",IFERROR(VALUE(LEFT(I2614,FIND(" ",I2614)-1)),""),"")</f>
        <v>100</v>
      </c>
      <c r="O2614" s="7" t="str">
        <f aca="false">IF(B2614="TV Show",IFERROR(VALUE(LEFT(I2614,FIND(" ",I2614)-1)),""),"")</f>
        <v/>
      </c>
      <c r="P2614" s="7" t="n">
        <f aca="false">IF(K2614="","",K2614-G2614)</f>
        <v>3</v>
      </c>
    </row>
    <row r="2615" customFormat="false" ht="15" hidden="false" customHeight="false" outlineLevel="0" collapsed="false">
      <c r="A2615" s="7" t="n">
        <v>80993404</v>
      </c>
      <c r="B2615" s="7" t="s">
        <v>68</v>
      </c>
      <c r="C2615" s="7" t="s">
        <v>5646</v>
      </c>
      <c r="D2615" s="7" t="s">
        <v>1621</v>
      </c>
      <c r="E2615" s="7" t="s">
        <v>26</v>
      </c>
      <c r="F2615" s="7" t="s">
        <v>5647</v>
      </c>
      <c r="G2615" s="7" t="n">
        <v>2019</v>
      </c>
      <c r="H2615" s="7" t="s">
        <v>48</v>
      </c>
      <c r="I2615" s="7" t="s">
        <v>1757</v>
      </c>
      <c r="J2615" s="7" t="s">
        <v>45</v>
      </c>
      <c r="K2615" s="7" t="n">
        <f aca="false">IFERROR(VALUE(RIGHT(TRIM(F2615),4)),"")</f>
        <v>2019</v>
      </c>
      <c r="L2615" s="7" t="str">
        <f aca="false">IF(TRIM(E2615)="","Unknown",IFERROR(LEFT(TRIM(E2615),FIND(",",TRIM(E2615))-1),TRIM(E2615)))</f>
        <v>United States</v>
      </c>
      <c r="M2615" s="7" t="str">
        <f aca="false">IFERROR(LEFT(J2615,FIND(",",J2615)-1),J2615)</f>
        <v>Stand-Up Comedy</v>
      </c>
      <c r="N2615" s="7" t="n">
        <f aca="false">IF(B2615="Movie",IFERROR(VALUE(LEFT(I2615,FIND(" ",I2615)-1)),""),"")</f>
        <v>59</v>
      </c>
      <c r="O2615" s="7" t="str">
        <f aca="false">IF(B2615="TV Show",IFERROR(VALUE(LEFT(I2615,FIND(" ",I2615)-1)),""),"")</f>
        <v/>
      </c>
      <c r="P2615" s="7" t="n">
        <f aca="false">IF(K2615="","",K2615-G2615)</f>
        <v>0</v>
      </c>
    </row>
    <row r="2616" customFormat="false" ht="15" hidden="false" customHeight="false" outlineLevel="0" collapsed="false">
      <c r="A2616" s="7" t="n">
        <v>81092781</v>
      </c>
      <c r="B2616" s="7" t="s">
        <v>68</v>
      </c>
      <c r="C2616" s="7" t="s">
        <v>5648</v>
      </c>
      <c r="D2616" s="7" t="s">
        <v>5649</v>
      </c>
      <c r="F2616" s="7" t="s">
        <v>5647</v>
      </c>
      <c r="G2616" s="7" t="n">
        <v>2018</v>
      </c>
      <c r="H2616" s="7" t="s">
        <v>81</v>
      </c>
      <c r="I2616" s="7" t="s">
        <v>120</v>
      </c>
      <c r="J2616" s="7" t="s">
        <v>42</v>
      </c>
      <c r="K2616" s="7" t="n">
        <f aca="false">IFERROR(VALUE(RIGHT(TRIM(F2616),4)),"")</f>
        <v>2019</v>
      </c>
      <c r="L2616" s="7" t="str">
        <f aca="false">IF(TRIM(E2616)="","Unknown",IFERROR(LEFT(TRIM(E2616),FIND(",",TRIM(E2616))-1),TRIM(E2616)))</f>
        <v>Unknown</v>
      </c>
      <c r="M2616" s="7" t="str">
        <f aca="false">IFERROR(LEFT(J2616,FIND(",",J2616)-1),J2616)</f>
        <v>Children &amp; Family Movies</v>
      </c>
      <c r="N2616" s="7" t="n">
        <f aca="false">IF(B2616="Movie",IFERROR(VALUE(LEFT(I2616,FIND(" ",I2616)-1)),""),"")</f>
        <v>65</v>
      </c>
      <c r="O2616" s="7" t="str">
        <f aca="false">IF(B2616="TV Show",IFERROR(VALUE(LEFT(I2616,FIND(" ",I2616)-1)),""),"")</f>
        <v/>
      </c>
      <c r="P2616" s="7" t="n">
        <f aca="false">IF(K2616="","",K2616-G2616)</f>
        <v>1</v>
      </c>
    </row>
    <row r="2617" customFormat="false" ht="15" hidden="false" customHeight="false" outlineLevel="0" collapsed="false">
      <c r="A2617" s="7" t="n">
        <v>81001090</v>
      </c>
      <c r="B2617" s="7" t="s">
        <v>68</v>
      </c>
      <c r="C2617" s="7" t="s">
        <v>5650</v>
      </c>
      <c r="D2617" s="7" t="s">
        <v>5651</v>
      </c>
      <c r="E2617" s="7" t="s">
        <v>26</v>
      </c>
      <c r="F2617" s="7" t="s">
        <v>5647</v>
      </c>
      <c r="G2617" s="7" t="n">
        <v>2018</v>
      </c>
      <c r="H2617" s="7" t="s">
        <v>51</v>
      </c>
      <c r="I2617" s="7" t="s">
        <v>235</v>
      </c>
      <c r="J2617" s="7" t="s">
        <v>40</v>
      </c>
      <c r="K2617" s="7" t="n">
        <f aca="false">IFERROR(VALUE(RIGHT(TRIM(F2617),4)),"")</f>
        <v>2019</v>
      </c>
      <c r="L2617" s="7" t="str">
        <f aca="false">IF(TRIM(E2617)="","Unknown",IFERROR(LEFT(TRIM(E2617),FIND(",",TRIM(E2617))-1),TRIM(E2617)))</f>
        <v>United States</v>
      </c>
      <c r="M2617" s="7" t="str">
        <f aca="false">IFERROR(LEFT(J2617,FIND(",",J2617)-1),J2617)</f>
        <v>Action &amp; Adventure</v>
      </c>
      <c r="N2617" s="7" t="n">
        <f aca="false">IF(B2617="Movie",IFERROR(VALUE(LEFT(I2617,FIND(" ",I2617)-1)),""),"")</f>
        <v>126</v>
      </c>
      <c r="O2617" s="7" t="str">
        <f aca="false">IF(B2617="TV Show",IFERROR(VALUE(LEFT(I2617,FIND(" ",I2617)-1)),""),"")</f>
        <v/>
      </c>
      <c r="P2617" s="7" t="n">
        <f aca="false">IF(K2617="","",K2617-G2617)</f>
        <v>1</v>
      </c>
    </row>
    <row r="2618" customFormat="false" ht="15" hidden="false" customHeight="false" outlineLevel="0" collapsed="false">
      <c r="A2618" s="7" t="n">
        <v>81083891</v>
      </c>
      <c r="B2618" s="7" t="s">
        <v>68</v>
      </c>
      <c r="C2618" s="7" t="s">
        <v>5652</v>
      </c>
      <c r="D2618" s="7" t="s">
        <v>5653</v>
      </c>
      <c r="E2618" s="7" t="s">
        <v>26</v>
      </c>
      <c r="F2618" s="7" t="s">
        <v>5647</v>
      </c>
      <c r="G2618" s="7" t="n">
        <v>2018</v>
      </c>
      <c r="H2618" s="7" t="s">
        <v>48</v>
      </c>
      <c r="I2618" s="7" t="s">
        <v>451</v>
      </c>
      <c r="J2618" s="7" t="s">
        <v>39</v>
      </c>
      <c r="K2618" s="7" t="n">
        <f aca="false">IFERROR(VALUE(RIGHT(TRIM(F2618),4)),"")</f>
        <v>2019</v>
      </c>
      <c r="L2618" s="7" t="str">
        <f aca="false">IF(TRIM(E2618)="","Unknown",IFERROR(LEFT(TRIM(E2618),FIND(",",TRIM(E2618))-1),TRIM(E2618)))</f>
        <v>United States</v>
      </c>
      <c r="M2618" s="7" t="str">
        <f aca="false">IFERROR(LEFT(J2618,FIND(",",J2618)-1),J2618)</f>
        <v>Documentaries</v>
      </c>
      <c r="N2618" s="7" t="n">
        <f aca="false">IF(B2618="Movie",IFERROR(VALUE(LEFT(I2618,FIND(" ",I2618)-1)),""),"")</f>
        <v>97</v>
      </c>
      <c r="O2618" s="7" t="str">
        <f aca="false">IF(B2618="TV Show",IFERROR(VALUE(LEFT(I2618,FIND(" ",I2618)-1)),""),"")</f>
        <v/>
      </c>
      <c r="P2618" s="7" t="n">
        <f aca="false">IF(K2618="","",K2618-G2618)</f>
        <v>1</v>
      </c>
    </row>
    <row r="2619" customFormat="false" ht="15" hidden="false" customHeight="false" outlineLevel="0" collapsed="false">
      <c r="A2619" s="7" t="n">
        <v>81092782</v>
      </c>
      <c r="B2619" s="7" t="s">
        <v>68</v>
      </c>
      <c r="C2619" s="7" t="s">
        <v>5654</v>
      </c>
      <c r="D2619" s="7" t="s">
        <v>4045</v>
      </c>
      <c r="F2619" s="7" t="s">
        <v>5647</v>
      </c>
      <c r="G2619" s="7" t="n">
        <v>2018</v>
      </c>
      <c r="H2619" s="7" t="s">
        <v>81</v>
      </c>
      <c r="I2619" s="7" t="s">
        <v>1020</v>
      </c>
      <c r="J2619" s="7" t="s">
        <v>42</v>
      </c>
      <c r="K2619" s="7" t="n">
        <f aca="false">IFERROR(VALUE(RIGHT(TRIM(F2619),4)),"")</f>
        <v>2019</v>
      </c>
      <c r="L2619" s="7" t="str">
        <f aca="false">IF(TRIM(E2619)="","Unknown",IFERROR(LEFT(TRIM(E2619),FIND(",",TRIM(E2619))-1),TRIM(E2619)))</f>
        <v>Unknown</v>
      </c>
      <c r="M2619" s="7" t="str">
        <f aca="false">IFERROR(LEFT(J2619,FIND(",",J2619)-1),J2619)</f>
        <v>Children &amp; Family Movies</v>
      </c>
      <c r="N2619" s="7" t="n">
        <f aca="false">IF(B2619="Movie",IFERROR(VALUE(LEFT(I2619,FIND(" ",I2619)-1)),""),"")</f>
        <v>68</v>
      </c>
      <c r="O2619" s="7" t="str">
        <f aca="false">IF(B2619="TV Show",IFERROR(VALUE(LEFT(I2619,FIND(" ",I2619)-1)),""),"")</f>
        <v/>
      </c>
      <c r="P2619" s="7" t="n">
        <f aca="false">IF(K2619="","",K2619-G2619)</f>
        <v>1</v>
      </c>
    </row>
    <row r="2620" customFormat="false" ht="15" hidden="false" customHeight="false" outlineLevel="0" collapsed="false">
      <c r="A2620" s="7" t="n">
        <v>81092780</v>
      </c>
      <c r="B2620" s="7" t="s">
        <v>68</v>
      </c>
      <c r="C2620" s="7" t="s">
        <v>5655</v>
      </c>
      <c r="D2620" s="7" t="s">
        <v>5649</v>
      </c>
      <c r="F2620" s="7" t="s">
        <v>5647</v>
      </c>
      <c r="G2620" s="7" t="n">
        <v>2018</v>
      </c>
      <c r="H2620" s="7" t="s">
        <v>81</v>
      </c>
      <c r="I2620" s="7" t="s">
        <v>120</v>
      </c>
      <c r="J2620" s="7" t="s">
        <v>42</v>
      </c>
      <c r="K2620" s="7" t="n">
        <f aca="false">IFERROR(VALUE(RIGHT(TRIM(F2620),4)),"")</f>
        <v>2019</v>
      </c>
      <c r="L2620" s="7" t="str">
        <f aca="false">IF(TRIM(E2620)="","Unknown",IFERROR(LEFT(TRIM(E2620),FIND(",",TRIM(E2620))-1),TRIM(E2620)))</f>
        <v>Unknown</v>
      </c>
      <c r="M2620" s="7" t="str">
        <f aca="false">IFERROR(LEFT(J2620,FIND(",",J2620)-1),J2620)</f>
        <v>Children &amp; Family Movies</v>
      </c>
      <c r="N2620" s="7" t="n">
        <f aca="false">IF(B2620="Movie",IFERROR(VALUE(LEFT(I2620,FIND(" ",I2620)-1)),""),"")</f>
        <v>65</v>
      </c>
      <c r="O2620" s="7" t="str">
        <f aca="false">IF(B2620="TV Show",IFERROR(VALUE(LEFT(I2620,FIND(" ",I2620)-1)),""),"")</f>
        <v/>
      </c>
      <c r="P2620" s="7" t="n">
        <f aca="false">IF(K2620="","",K2620-G2620)</f>
        <v>1</v>
      </c>
    </row>
    <row r="2621" customFormat="false" ht="15" hidden="false" customHeight="false" outlineLevel="0" collapsed="false">
      <c r="A2621" s="7" t="n">
        <v>81092783</v>
      </c>
      <c r="B2621" s="7" t="s">
        <v>68</v>
      </c>
      <c r="C2621" s="7" t="s">
        <v>5656</v>
      </c>
      <c r="D2621" s="7" t="s">
        <v>5657</v>
      </c>
      <c r="F2621" s="7" t="s">
        <v>5647</v>
      </c>
      <c r="G2621" s="7" t="n">
        <v>2018</v>
      </c>
      <c r="H2621" s="7" t="s">
        <v>81</v>
      </c>
      <c r="I2621" s="7" t="s">
        <v>551</v>
      </c>
      <c r="J2621" s="7" t="s">
        <v>42</v>
      </c>
      <c r="K2621" s="7" t="n">
        <f aca="false">IFERROR(VALUE(RIGHT(TRIM(F2621),4)),"")</f>
        <v>2019</v>
      </c>
      <c r="L2621" s="7" t="str">
        <f aca="false">IF(TRIM(E2621)="","Unknown",IFERROR(LEFT(TRIM(E2621),FIND(",",TRIM(E2621))-1),TRIM(E2621)))</f>
        <v>Unknown</v>
      </c>
      <c r="M2621" s="7" t="str">
        <f aca="false">IFERROR(LEFT(J2621,FIND(",",J2621)-1),J2621)</f>
        <v>Children &amp; Family Movies</v>
      </c>
      <c r="N2621" s="7" t="n">
        <f aca="false">IF(B2621="Movie",IFERROR(VALUE(LEFT(I2621,FIND(" ",I2621)-1)),""),"")</f>
        <v>63</v>
      </c>
      <c r="O2621" s="7" t="str">
        <f aca="false">IF(B2621="TV Show",IFERROR(VALUE(LEFT(I2621,FIND(" ",I2621)-1)),""),"")</f>
        <v/>
      </c>
      <c r="P2621" s="7" t="n">
        <f aca="false">IF(K2621="","",K2621-G2621)</f>
        <v>1</v>
      </c>
    </row>
    <row r="2622" customFormat="false" ht="15" hidden="false" customHeight="false" outlineLevel="0" collapsed="false">
      <c r="A2622" s="7" t="n">
        <v>81136963</v>
      </c>
      <c r="B2622" s="7" t="s">
        <v>68</v>
      </c>
      <c r="C2622" s="7" t="s">
        <v>5658</v>
      </c>
      <c r="D2622" s="7" t="s">
        <v>5659</v>
      </c>
      <c r="E2622" s="7" t="s">
        <v>29</v>
      </c>
      <c r="F2622" s="7" t="s">
        <v>5647</v>
      </c>
      <c r="G2622" s="7" t="n">
        <v>2017</v>
      </c>
      <c r="H2622" s="7" t="s">
        <v>49</v>
      </c>
      <c r="I2622" s="7" t="s">
        <v>357</v>
      </c>
      <c r="J2622" s="7" t="s">
        <v>811</v>
      </c>
      <c r="K2622" s="7" t="n">
        <f aca="false">IFERROR(VALUE(RIGHT(TRIM(F2622),4)),"")</f>
        <v>2019</v>
      </c>
      <c r="L2622" s="7" t="str">
        <f aca="false">IF(TRIM(E2622)="","Unknown",IFERROR(LEFT(TRIM(E2622),FIND(",",TRIM(E2622))-1),TRIM(E2622)))</f>
        <v>Canada</v>
      </c>
      <c r="M2622" s="7" t="str">
        <f aca="false">IFERROR(LEFT(J2622,FIND(",",J2622)-1),J2622)</f>
        <v>Thrillers</v>
      </c>
      <c r="N2622" s="7" t="n">
        <f aca="false">IF(B2622="Movie",IFERROR(VALUE(LEFT(I2622,FIND(" ",I2622)-1)),""),"")</f>
        <v>89</v>
      </c>
      <c r="O2622" s="7" t="str">
        <f aca="false">IF(B2622="TV Show",IFERROR(VALUE(LEFT(I2622,FIND(" ",I2622)-1)),""),"")</f>
        <v/>
      </c>
      <c r="P2622" s="7" t="n">
        <f aca="false">IF(K2622="","",K2622-G2622)</f>
        <v>2</v>
      </c>
    </row>
    <row r="2623" customFormat="false" ht="15" hidden="false" customHeight="false" outlineLevel="0" collapsed="false">
      <c r="A2623" s="7" t="n">
        <v>80195801</v>
      </c>
      <c r="B2623" s="7" t="s">
        <v>78</v>
      </c>
      <c r="C2623" s="7" t="s">
        <v>5660</v>
      </c>
      <c r="E2623" s="7" t="s">
        <v>26</v>
      </c>
      <c r="F2623" s="7" t="s">
        <v>5661</v>
      </c>
      <c r="G2623" s="7" t="n">
        <v>2018</v>
      </c>
      <c r="H2623" s="7" t="s">
        <v>48</v>
      </c>
      <c r="I2623" s="7" t="s">
        <v>82</v>
      </c>
      <c r="J2623" s="7" t="s">
        <v>4526</v>
      </c>
      <c r="K2623" s="7" t="n">
        <f aca="false">IFERROR(VALUE(RIGHT(TRIM(F2623),4)),"")</f>
        <v>2018</v>
      </c>
      <c r="L2623" s="7" t="str">
        <f aca="false">IF(TRIM(E2623)="","Unknown",IFERROR(LEFT(TRIM(E2623),FIND(",",TRIM(E2623))-1),TRIM(E2623)))</f>
        <v>United States</v>
      </c>
      <c r="M2623" s="7" t="str">
        <f aca="false">IFERROR(LEFT(J2623,FIND(",",J2623)-1),J2623)</f>
        <v>International TV Shows</v>
      </c>
      <c r="N2623" s="7" t="str">
        <f aca="false">IF(B2623="Movie",IFERROR(VALUE(LEFT(I2623,FIND(" ",I2623)-1)),""),"")</f>
        <v/>
      </c>
      <c r="O2623" s="7" t="n">
        <f aca="false">IF(B2623="TV Show",IFERROR(VALUE(LEFT(I2623,FIND(" ",I2623)-1)),""),"")</f>
        <v>1</v>
      </c>
      <c r="P2623" s="7" t="n">
        <f aca="false">IF(K2623="","",K2623-G2623)</f>
        <v>0</v>
      </c>
    </row>
    <row r="2624" customFormat="false" ht="15" hidden="false" customHeight="false" outlineLevel="0" collapsed="false">
      <c r="A2624" s="7" t="n">
        <v>80999727</v>
      </c>
      <c r="B2624" s="7" t="s">
        <v>78</v>
      </c>
      <c r="C2624" s="7" t="s">
        <v>5662</v>
      </c>
      <c r="F2624" s="7" t="s">
        <v>5661</v>
      </c>
      <c r="G2624" s="7" t="n">
        <v>2018</v>
      </c>
      <c r="H2624" s="7" t="s">
        <v>48</v>
      </c>
      <c r="I2624" s="7" t="s">
        <v>82</v>
      </c>
      <c r="J2624" s="7" t="s">
        <v>4526</v>
      </c>
      <c r="K2624" s="7" t="n">
        <f aca="false">IFERROR(VALUE(RIGHT(TRIM(F2624),4)),"")</f>
        <v>2018</v>
      </c>
      <c r="L2624" s="7" t="str">
        <f aca="false">IF(TRIM(E2624)="","Unknown",IFERROR(LEFT(TRIM(E2624),FIND(",",TRIM(E2624))-1),TRIM(E2624)))</f>
        <v>Unknown</v>
      </c>
      <c r="M2624" s="7" t="str">
        <f aca="false">IFERROR(LEFT(J2624,FIND(",",J2624)-1),J2624)</f>
        <v>International TV Shows</v>
      </c>
      <c r="N2624" s="7" t="str">
        <f aca="false">IF(B2624="Movie",IFERROR(VALUE(LEFT(I2624,FIND(" ",I2624)-1)),""),"")</f>
        <v/>
      </c>
      <c r="O2624" s="7" t="n">
        <f aca="false">IF(B2624="TV Show",IFERROR(VALUE(LEFT(I2624,FIND(" ",I2624)-1)),""),"")</f>
        <v>1</v>
      </c>
      <c r="P2624" s="7" t="n">
        <f aca="false">IF(K2624="","",K2624-G2624)</f>
        <v>0</v>
      </c>
    </row>
    <row r="2625" customFormat="false" ht="15" hidden="false" customHeight="false" outlineLevel="0" collapsed="false">
      <c r="A2625" s="7" t="n">
        <v>80993088</v>
      </c>
      <c r="B2625" s="7" t="s">
        <v>78</v>
      </c>
      <c r="C2625" s="7" t="s">
        <v>5663</v>
      </c>
      <c r="F2625" s="7" t="s">
        <v>5661</v>
      </c>
      <c r="G2625" s="7" t="n">
        <v>2016</v>
      </c>
      <c r="H2625" s="7" t="s">
        <v>48</v>
      </c>
      <c r="I2625" s="7" t="s">
        <v>82</v>
      </c>
      <c r="J2625" s="7" t="s">
        <v>335</v>
      </c>
      <c r="K2625" s="7" t="n">
        <f aca="false">IFERROR(VALUE(RIGHT(TRIM(F2625),4)),"")</f>
        <v>2018</v>
      </c>
      <c r="L2625" s="7" t="str">
        <f aca="false">IF(TRIM(E2625)="","Unknown",IFERROR(LEFT(TRIM(E2625),FIND(",",TRIM(E2625))-1),TRIM(E2625)))</f>
        <v>Unknown</v>
      </c>
      <c r="M2625" s="7" t="str">
        <f aca="false">IFERROR(LEFT(J2625,FIND(",",J2625)-1),J2625)</f>
        <v>International TV Shows</v>
      </c>
      <c r="N2625" s="7" t="str">
        <f aca="false">IF(B2625="Movie",IFERROR(VALUE(LEFT(I2625,FIND(" ",I2625)-1)),""),"")</f>
        <v/>
      </c>
      <c r="O2625" s="7" t="n">
        <f aca="false">IF(B2625="TV Show",IFERROR(VALUE(LEFT(I2625,FIND(" ",I2625)-1)),""),"")</f>
        <v>1</v>
      </c>
      <c r="P2625" s="7" t="n">
        <f aca="false">IF(K2625="","",K2625-G2625)</f>
        <v>2</v>
      </c>
    </row>
    <row r="2626" customFormat="false" ht="15" hidden="false" customHeight="false" outlineLevel="0" collapsed="false">
      <c r="A2626" s="7" t="n">
        <v>80076698</v>
      </c>
      <c r="B2626" s="7" t="s">
        <v>68</v>
      </c>
      <c r="C2626" s="7" t="s">
        <v>5664</v>
      </c>
      <c r="D2626" s="7" t="s">
        <v>1367</v>
      </c>
      <c r="E2626" s="7" t="s">
        <v>2476</v>
      </c>
      <c r="F2626" s="7" t="s">
        <v>5665</v>
      </c>
      <c r="G2626" s="7" t="n">
        <v>2015</v>
      </c>
      <c r="H2626" s="7" t="s">
        <v>52</v>
      </c>
      <c r="I2626" s="7" t="s">
        <v>820</v>
      </c>
      <c r="J2626" s="7" t="s">
        <v>112</v>
      </c>
      <c r="K2626" s="7" t="n">
        <f aca="false">IFERROR(VALUE(RIGHT(TRIM(F2626),4)),"")</f>
        <v>2016</v>
      </c>
      <c r="L2626" s="7" t="str">
        <f aca="false">IF(TRIM(E2626)="","Unknown",IFERROR(LEFT(TRIM(E2626),FIND(",",TRIM(E2626))-1),TRIM(E2626)))</f>
        <v>China</v>
      </c>
      <c r="M2626" s="7" t="str">
        <f aca="false">IFERROR(LEFT(J2626,FIND(",",J2626)-1),J2626)</f>
        <v>Action &amp; Adventure</v>
      </c>
      <c r="N2626" s="7" t="n">
        <f aca="false">IF(B2626="Movie",IFERROR(VALUE(LEFT(I2626,FIND(" ",I2626)-1)),""),"")</f>
        <v>105</v>
      </c>
      <c r="O2626" s="7" t="str">
        <f aca="false">IF(B2626="TV Show",IFERROR(VALUE(LEFT(I2626,FIND(" ",I2626)-1)),""),"")</f>
        <v/>
      </c>
      <c r="P2626" s="7" t="n">
        <f aca="false">IF(K2626="","",K2626-G2626)</f>
        <v>1</v>
      </c>
    </row>
    <row r="2627" customFormat="false" ht="15" hidden="false" customHeight="false" outlineLevel="0" collapsed="false">
      <c r="A2627" s="7" t="n">
        <v>80038159</v>
      </c>
      <c r="B2627" s="7" t="s">
        <v>68</v>
      </c>
      <c r="C2627" s="7" t="s">
        <v>5666</v>
      </c>
      <c r="D2627" s="7" t="s">
        <v>5667</v>
      </c>
      <c r="E2627" s="7" t="s">
        <v>26</v>
      </c>
      <c r="F2627" s="7" t="s">
        <v>5668</v>
      </c>
      <c r="G2627" s="7" t="n">
        <v>2015</v>
      </c>
      <c r="H2627" s="7" t="s">
        <v>51</v>
      </c>
      <c r="I2627" s="7" t="s">
        <v>232</v>
      </c>
      <c r="J2627" s="7" t="s">
        <v>520</v>
      </c>
      <c r="K2627" s="7" t="n">
        <f aca="false">IFERROR(VALUE(RIGHT(TRIM(F2627),4)),"")</f>
        <v>2017</v>
      </c>
      <c r="L2627" s="7" t="str">
        <f aca="false">IF(TRIM(E2627)="","Unknown",IFERROR(LEFT(TRIM(E2627),FIND(",",TRIM(E2627))-1),TRIM(E2627)))</f>
        <v>United States</v>
      </c>
      <c r="M2627" s="7" t="str">
        <f aca="false">IFERROR(LEFT(J2627,FIND(",",J2627)-1),J2627)</f>
        <v>Dramas</v>
      </c>
      <c r="N2627" s="7" t="n">
        <f aca="false">IF(B2627="Movie",IFERROR(VALUE(LEFT(I2627,FIND(" ",I2627)-1)),""),"")</f>
        <v>122</v>
      </c>
      <c r="O2627" s="7" t="str">
        <f aca="false">IF(B2627="TV Show",IFERROR(VALUE(LEFT(I2627,FIND(" ",I2627)-1)),""),"")</f>
        <v/>
      </c>
      <c r="P2627" s="7" t="n">
        <f aca="false">IF(K2627="","",K2627-G2627)</f>
        <v>2</v>
      </c>
    </row>
    <row r="2628" customFormat="false" ht="15" hidden="false" customHeight="false" outlineLevel="0" collapsed="false">
      <c r="A2628" s="7" t="n">
        <v>80037691</v>
      </c>
      <c r="B2628" s="7" t="s">
        <v>68</v>
      </c>
      <c r="C2628" s="7" t="s">
        <v>5669</v>
      </c>
      <c r="D2628" s="7" t="s">
        <v>5670</v>
      </c>
      <c r="E2628" s="7" t="s">
        <v>26</v>
      </c>
      <c r="F2628" s="7" t="s">
        <v>5671</v>
      </c>
      <c r="G2628" s="7" t="n">
        <v>2015</v>
      </c>
      <c r="H2628" s="7" t="s">
        <v>51</v>
      </c>
      <c r="I2628" s="7" t="s">
        <v>264</v>
      </c>
      <c r="J2628" s="7" t="s">
        <v>811</v>
      </c>
      <c r="K2628" s="7" t="n">
        <f aca="false">IFERROR(VALUE(RIGHT(TRIM(F2628),4)),"")</f>
        <v>2019</v>
      </c>
      <c r="L2628" s="7" t="str">
        <f aca="false">IF(TRIM(E2628)="","Unknown",IFERROR(LEFT(TRIM(E2628),FIND(",",TRIM(E2628))-1),TRIM(E2628)))</f>
        <v>United States</v>
      </c>
      <c r="M2628" s="7" t="str">
        <f aca="false">IFERROR(LEFT(J2628,FIND(",",J2628)-1),J2628)</f>
        <v>Thrillers</v>
      </c>
      <c r="N2628" s="7" t="n">
        <f aca="false">IF(B2628="Movie",IFERROR(VALUE(LEFT(I2628,FIND(" ",I2628)-1)),""),"")</f>
        <v>88</v>
      </c>
      <c r="O2628" s="7" t="str">
        <f aca="false">IF(B2628="TV Show",IFERROR(VALUE(LEFT(I2628,FIND(" ",I2628)-1)),""),"")</f>
        <v/>
      </c>
      <c r="P2628" s="7" t="n">
        <f aca="false">IF(K2628="","",K2628-G2628)</f>
        <v>4</v>
      </c>
    </row>
    <row r="2629" customFormat="false" ht="15" hidden="false" customHeight="false" outlineLevel="0" collapsed="false">
      <c r="A2629" s="7" t="n">
        <v>80998296</v>
      </c>
      <c r="B2629" s="7" t="s">
        <v>68</v>
      </c>
      <c r="C2629" s="7" t="s">
        <v>5672</v>
      </c>
      <c r="D2629" s="7" t="s">
        <v>5673</v>
      </c>
      <c r="E2629" s="7" t="s">
        <v>1081</v>
      </c>
      <c r="F2629" s="7" t="s">
        <v>5671</v>
      </c>
      <c r="G2629" s="7" t="n">
        <v>2018</v>
      </c>
      <c r="H2629" s="7" t="s">
        <v>48</v>
      </c>
      <c r="I2629" s="7" t="s">
        <v>470</v>
      </c>
      <c r="J2629" s="7" t="s">
        <v>198</v>
      </c>
      <c r="K2629" s="7" t="n">
        <f aca="false">IFERROR(VALUE(RIGHT(TRIM(F2629),4)),"")</f>
        <v>2019</v>
      </c>
      <c r="L2629" s="7" t="str">
        <f aca="false">IF(TRIM(E2629)="","Unknown",IFERROR(LEFT(TRIM(E2629),FIND(",",TRIM(E2629))-1),TRIM(E2629)))</f>
        <v>Germany</v>
      </c>
      <c r="M2629" s="7" t="str">
        <f aca="false">IFERROR(LEFT(J2629,FIND(",",J2629)-1),J2629)</f>
        <v>Comedies</v>
      </c>
      <c r="N2629" s="7" t="n">
        <f aca="false">IF(B2629="Movie",IFERROR(VALUE(LEFT(I2629,FIND(" ",I2629)-1)),""),"")</f>
        <v>91</v>
      </c>
      <c r="O2629" s="7" t="str">
        <f aca="false">IF(B2629="TV Show",IFERROR(VALUE(LEFT(I2629,FIND(" ",I2629)-1)),""),"")</f>
        <v/>
      </c>
      <c r="P2629" s="7" t="n">
        <f aca="false">IF(K2629="","",K2629-G2629)</f>
        <v>1</v>
      </c>
    </row>
    <row r="2630" customFormat="false" ht="15" hidden="false" customHeight="false" outlineLevel="0" collapsed="false">
      <c r="A2630" s="7" t="n">
        <v>80049873</v>
      </c>
      <c r="B2630" s="7" t="s">
        <v>68</v>
      </c>
      <c r="C2630" s="7" t="s">
        <v>5674</v>
      </c>
      <c r="D2630" s="7" t="s">
        <v>5675</v>
      </c>
      <c r="E2630" s="7" t="s">
        <v>26</v>
      </c>
      <c r="F2630" s="7" t="s">
        <v>5676</v>
      </c>
      <c r="G2630" s="7" t="n">
        <v>2017</v>
      </c>
      <c r="H2630" s="7" t="s">
        <v>48</v>
      </c>
      <c r="I2630" s="7" t="s">
        <v>470</v>
      </c>
      <c r="J2630" s="7" t="s">
        <v>1085</v>
      </c>
      <c r="K2630" s="7" t="n">
        <f aca="false">IFERROR(VALUE(RIGHT(TRIM(F2630),4)),"")</f>
        <v>2017</v>
      </c>
      <c r="L2630" s="7" t="str">
        <f aca="false">IF(TRIM(E2630)="","Unknown",IFERROR(LEFT(TRIM(E2630),FIND(",",TRIM(E2630))-1),TRIM(E2630)))</f>
        <v>United States</v>
      </c>
      <c r="M2630" s="7" t="str">
        <f aca="false">IFERROR(LEFT(J2630,FIND(",",J2630)-1),J2630)</f>
        <v>Documentaries</v>
      </c>
      <c r="N2630" s="7" t="n">
        <f aca="false">IF(B2630="Movie",IFERROR(VALUE(LEFT(I2630,FIND(" ",I2630)-1)),""),"")</f>
        <v>91</v>
      </c>
      <c r="O2630" s="7" t="str">
        <f aca="false">IF(B2630="TV Show",IFERROR(VALUE(LEFT(I2630,FIND(" ",I2630)-1)),""),"")</f>
        <v/>
      </c>
      <c r="P2630" s="7" t="n">
        <f aca="false">IF(K2630="","",K2630-G2630)</f>
        <v>0</v>
      </c>
    </row>
    <row r="2631" customFormat="false" ht="15" hidden="false" customHeight="false" outlineLevel="0" collapsed="false">
      <c r="A2631" s="7" t="n">
        <v>80094358</v>
      </c>
      <c r="B2631" s="7" t="s">
        <v>68</v>
      </c>
      <c r="C2631" s="7" t="s">
        <v>5677</v>
      </c>
      <c r="D2631" s="7" t="s">
        <v>5678</v>
      </c>
      <c r="E2631" s="7" t="s">
        <v>5679</v>
      </c>
      <c r="F2631" s="7" t="s">
        <v>5676</v>
      </c>
      <c r="G2631" s="7" t="n">
        <v>2015</v>
      </c>
      <c r="H2631" s="7" t="s">
        <v>50</v>
      </c>
      <c r="I2631" s="7" t="s">
        <v>467</v>
      </c>
      <c r="J2631" s="7" t="s">
        <v>1085</v>
      </c>
      <c r="K2631" s="7" t="n">
        <f aca="false">IFERROR(VALUE(RIGHT(TRIM(F2631),4)),"")</f>
        <v>2017</v>
      </c>
      <c r="L2631" s="7" t="str">
        <f aca="false">IF(TRIM(E2631)="","Unknown",IFERROR(LEFT(TRIM(E2631),FIND(",",TRIM(E2631))-1),TRIM(E2631)))</f>
        <v>United States</v>
      </c>
      <c r="M2631" s="7" t="str">
        <f aca="false">IFERROR(LEFT(J2631,FIND(",",J2631)-1),J2631)</f>
        <v>Documentaries</v>
      </c>
      <c r="N2631" s="7" t="n">
        <f aca="false">IF(B2631="Movie",IFERROR(VALUE(LEFT(I2631,FIND(" ",I2631)-1)),""),"")</f>
        <v>81</v>
      </c>
      <c r="O2631" s="7" t="str">
        <f aca="false">IF(B2631="TV Show",IFERROR(VALUE(LEFT(I2631,FIND(" ",I2631)-1)),""),"")</f>
        <v/>
      </c>
      <c r="P2631" s="7" t="n">
        <f aca="false">IF(K2631="","",K2631-G2631)</f>
        <v>2</v>
      </c>
    </row>
    <row r="2632" customFormat="false" ht="15" hidden="false" customHeight="false" outlineLevel="0" collapsed="false">
      <c r="A2632" s="7" t="n">
        <v>80174177</v>
      </c>
      <c r="B2632" s="7" t="s">
        <v>68</v>
      </c>
      <c r="C2632" s="7" t="s">
        <v>5680</v>
      </c>
      <c r="D2632" s="7" t="s">
        <v>775</v>
      </c>
      <c r="E2632" s="7" t="s">
        <v>26</v>
      </c>
      <c r="F2632" s="7" t="s">
        <v>5676</v>
      </c>
      <c r="G2632" s="7" t="n">
        <v>2017</v>
      </c>
      <c r="H2632" s="7" t="s">
        <v>50</v>
      </c>
      <c r="I2632" s="7" t="s">
        <v>311</v>
      </c>
      <c r="J2632" s="7" t="s">
        <v>39</v>
      </c>
      <c r="K2632" s="7" t="n">
        <f aca="false">IFERROR(VALUE(RIGHT(TRIM(F2632),4)),"")</f>
        <v>2017</v>
      </c>
      <c r="L2632" s="7" t="str">
        <f aca="false">IF(TRIM(E2632)="","Unknown",IFERROR(LEFT(TRIM(E2632),FIND(",",TRIM(E2632))-1),TRIM(E2632)))</f>
        <v>United States</v>
      </c>
      <c r="M2632" s="7" t="str">
        <f aca="false">IFERROR(LEFT(J2632,FIND(",",J2632)-1),J2632)</f>
        <v>Documentaries</v>
      </c>
      <c r="N2632" s="7" t="n">
        <f aca="false">IF(B2632="Movie",IFERROR(VALUE(LEFT(I2632,FIND(" ",I2632)-1)),""),"")</f>
        <v>92</v>
      </c>
      <c r="O2632" s="7" t="str">
        <f aca="false">IF(B2632="TV Show",IFERROR(VALUE(LEFT(I2632,FIND(" ",I2632)-1)),""),"")</f>
        <v/>
      </c>
      <c r="P2632" s="7" t="n">
        <f aca="false">IF(K2632="","",K2632-G2632)</f>
        <v>0</v>
      </c>
    </row>
    <row r="2633" customFormat="false" ht="15" hidden="false" customHeight="false" outlineLevel="0" collapsed="false">
      <c r="A2633" s="7" t="n">
        <v>81123051</v>
      </c>
      <c r="B2633" s="7" t="s">
        <v>68</v>
      </c>
      <c r="C2633" s="7" t="s">
        <v>5681</v>
      </c>
      <c r="D2633" s="7" t="s">
        <v>5682</v>
      </c>
      <c r="E2633" s="7" t="s">
        <v>29</v>
      </c>
      <c r="F2633" s="7" t="s">
        <v>5683</v>
      </c>
      <c r="G2633" s="7" t="n">
        <v>2018</v>
      </c>
      <c r="H2633" s="7" t="s">
        <v>49</v>
      </c>
      <c r="I2633" s="7" t="s">
        <v>3882</v>
      </c>
      <c r="J2633" s="7" t="s">
        <v>5516</v>
      </c>
      <c r="K2633" s="7" t="n">
        <f aca="false">IFERROR(VALUE(RIGHT(TRIM(F2633),4)),"")</f>
        <v>2019</v>
      </c>
      <c r="L2633" s="7" t="str">
        <f aca="false">IF(TRIM(E2633)="","Unknown",IFERROR(LEFT(TRIM(E2633),FIND(",",TRIM(E2633))-1),TRIM(E2633)))</f>
        <v>Canada</v>
      </c>
      <c r="M2633" s="7" t="str">
        <f aca="false">IFERROR(LEFT(J2633,FIND(",",J2633)-1),J2633)</f>
        <v>Documentaries</v>
      </c>
      <c r="N2633" s="7" t="n">
        <f aca="false">IF(B2633="Movie",IFERROR(VALUE(LEFT(I2633,FIND(" ",I2633)-1)),""),"")</f>
        <v>53</v>
      </c>
      <c r="O2633" s="7" t="str">
        <f aca="false">IF(B2633="TV Show",IFERROR(VALUE(LEFT(I2633,FIND(" ",I2633)-1)),""),"")</f>
        <v/>
      </c>
      <c r="P2633" s="7" t="n">
        <f aca="false">IF(K2633="","",K2633-G2633)</f>
        <v>1</v>
      </c>
    </row>
    <row r="2634" customFormat="false" ht="15" hidden="false" customHeight="false" outlineLevel="0" collapsed="false">
      <c r="A2634" s="7" t="n">
        <v>81081067</v>
      </c>
      <c r="B2634" s="7" t="s">
        <v>78</v>
      </c>
      <c r="C2634" s="7" t="s">
        <v>5684</v>
      </c>
      <c r="F2634" s="7" t="s">
        <v>5683</v>
      </c>
      <c r="G2634" s="7" t="n">
        <v>2019</v>
      </c>
      <c r="H2634" s="7" t="s">
        <v>48</v>
      </c>
      <c r="I2634" s="7" t="s">
        <v>82</v>
      </c>
      <c r="J2634" s="7" t="s">
        <v>344</v>
      </c>
      <c r="K2634" s="7" t="n">
        <f aca="false">IFERROR(VALUE(RIGHT(TRIM(F2634),4)),"")</f>
        <v>2019</v>
      </c>
      <c r="L2634" s="7" t="str">
        <f aca="false">IF(TRIM(E2634)="","Unknown",IFERROR(LEFT(TRIM(E2634),FIND(",",TRIM(E2634))-1),TRIM(E2634)))</f>
        <v>Unknown</v>
      </c>
      <c r="M2634" s="7" t="str">
        <f aca="false">IFERROR(LEFT(J2634,FIND(",",J2634)-1),J2634)</f>
        <v>International TV Shows</v>
      </c>
      <c r="N2634" s="7" t="str">
        <f aca="false">IF(B2634="Movie",IFERROR(VALUE(LEFT(I2634,FIND(" ",I2634)-1)),""),"")</f>
        <v/>
      </c>
      <c r="O2634" s="7" t="n">
        <f aca="false">IF(B2634="TV Show",IFERROR(VALUE(LEFT(I2634,FIND(" ",I2634)-1)),""),"")</f>
        <v>1</v>
      </c>
      <c r="P2634" s="7" t="n">
        <f aca="false">IF(K2634="","",K2634-G2634)</f>
        <v>0</v>
      </c>
    </row>
    <row r="2635" customFormat="false" ht="15" hidden="false" customHeight="false" outlineLevel="0" collapsed="false">
      <c r="A2635" s="7" t="n">
        <v>70305217</v>
      </c>
      <c r="B2635" s="7" t="s">
        <v>78</v>
      </c>
      <c r="C2635" s="7" t="s">
        <v>5685</v>
      </c>
      <c r="E2635" s="7" t="s">
        <v>30</v>
      </c>
      <c r="F2635" s="7" t="s">
        <v>5683</v>
      </c>
      <c r="G2635" s="7" t="n">
        <v>2014</v>
      </c>
      <c r="H2635" s="7" t="s">
        <v>48</v>
      </c>
      <c r="I2635" s="7" t="s">
        <v>82</v>
      </c>
      <c r="J2635" s="7" t="s">
        <v>542</v>
      </c>
      <c r="K2635" s="7" t="n">
        <f aca="false">IFERROR(VALUE(RIGHT(TRIM(F2635),4)),"")</f>
        <v>2019</v>
      </c>
      <c r="L2635" s="7" t="str">
        <f aca="false">IF(TRIM(E2635)="","Unknown",IFERROR(LEFT(TRIM(E2635),FIND(",",TRIM(E2635))-1),TRIM(E2635)))</f>
        <v>Japan</v>
      </c>
      <c r="M2635" s="7" t="str">
        <f aca="false">IFERROR(LEFT(J2635,FIND(",",J2635)-1),J2635)</f>
        <v>Anime Series</v>
      </c>
      <c r="N2635" s="7" t="str">
        <f aca="false">IF(B2635="Movie",IFERROR(VALUE(LEFT(I2635,FIND(" ",I2635)-1)),""),"")</f>
        <v/>
      </c>
      <c r="O2635" s="7" t="n">
        <f aca="false">IF(B2635="TV Show",IFERROR(VALUE(LEFT(I2635,FIND(" ",I2635)-1)),""),"")</f>
        <v>1</v>
      </c>
      <c r="P2635" s="7" t="n">
        <f aca="false">IF(K2635="","",K2635-G2635)</f>
        <v>5</v>
      </c>
    </row>
    <row r="2636" customFormat="false" ht="15" hidden="false" customHeight="false" outlineLevel="0" collapsed="false">
      <c r="A2636" s="7" t="n">
        <v>81034980</v>
      </c>
      <c r="B2636" s="7" t="s">
        <v>68</v>
      </c>
      <c r="C2636" s="7" t="s">
        <v>5686</v>
      </c>
      <c r="D2636" s="7" t="s">
        <v>5687</v>
      </c>
      <c r="E2636" s="7" t="s">
        <v>5688</v>
      </c>
      <c r="F2636" s="7" t="s">
        <v>5683</v>
      </c>
      <c r="G2636" s="7" t="n">
        <v>2019</v>
      </c>
      <c r="H2636" s="7" t="s">
        <v>50</v>
      </c>
      <c r="I2636" s="7" t="s">
        <v>333</v>
      </c>
      <c r="J2636" s="7" t="s">
        <v>39</v>
      </c>
      <c r="K2636" s="7" t="n">
        <f aca="false">IFERROR(VALUE(RIGHT(TRIM(F2636),4)),"")</f>
        <v>2019</v>
      </c>
      <c r="L2636" s="7" t="str">
        <f aca="false">IF(TRIM(E2636)="","Unknown",IFERROR(LEFT(TRIM(E2636),FIND(",",TRIM(E2636))-1),TRIM(E2636)))</f>
        <v>Sweden</v>
      </c>
      <c r="M2636" s="7" t="str">
        <f aca="false">IFERROR(LEFT(J2636,FIND(",",J2636)-1),J2636)</f>
        <v>Documentaries</v>
      </c>
      <c r="N2636" s="7" t="n">
        <f aca="false">IF(B2636="Movie",IFERROR(VALUE(LEFT(I2636,FIND(" ",I2636)-1)),""),"")</f>
        <v>40</v>
      </c>
      <c r="O2636" s="7" t="str">
        <f aca="false">IF(B2636="TV Show",IFERROR(VALUE(LEFT(I2636,FIND(" ",I2636)-1)),""),"")</f>
        <v/>
      </c>
      <c r="P2636" s="7" t="n">
        <f aca="false">IF(K2636="","",K2636-G2636)</f>
        <v>0</v>
      </c>
    </row>
    <row r="2637" customFormat="false" ht="15" hidden="false" customHeight="false" outlineLevel="0" collapsed="false">
      <c r="A2637" s="7" t="n">
        <v>81123052</v>
      </c>
      <c r="B2637" s="7" t="s">
        <v>68</v>
      </c>
      <c r="C2637" s="7" t="s">
        <v>5689</v>
      </c>
      <c r="D2637" s="7" t="s">
        <v>5690</v>
      </c>
      <c r="E2637" s="7" t="s">
        <v>27</v>
      </c>
      <c r="F2637" s="7" t="s">
        <v>5683</v>
      </c>
      <c r="G2637" s="7" t="n">
        <v>2019</v>
      </c>
      <c r="H2637" s="7" t="s">
        <v>49</v>
      </c>
      <c r="I2637" s="7" t="s">
        <v>146</v>
      </c>
      <c r="J2637" s="7" t="s">
        <v>206</v>
      </c>
      <c r="K2637" s="7" t="n">
        <f aca="false">IFERROR(VALUE(RIGHT(TRIM(F2637),4)),"")</f>
        <v>2019</v>
      </c>
      <c r="L2637" s="7" t="str">
        <f aca="false">IF(TRIM(E2637)="","Unknown",IFERROR(LEFT(TRIM(E2637),FIND(",",TRIM(E2637))-1),TRIM(E2637)))</f>
        <v>India</v>
      </c>
      <c r="M2637" s="7" t="str">
        <f aca="false">IFERROR(LEFT(J2637,FIND(",",J2637)-1),J2637)</f>
        <v>Comedies</v>
      </c>
      <c r="N2637" s="7" t="n">
        <f aca="false">IF(B2637="Movie",IFERROR(VALUE(LEFT(I2637,FIND(" ",I2637)-1)),""),"")</f>
        <v>113</v>
      </c>
      <c r="O2637" s="7" t="str">
        <f aca="false">IF(B2637="TV Show",IFERROR(VALUE(LEFT(I2637,FIND(" ",I2637)-1)),""),"")</f>
        <v/>
      </c>
      <c r="P2637" s="7" t="n">
        <f aca="false">IF(K2637="","",K2637-G2637)</f>
        <v>0</v>
      </c>
    </row>
    <row r="2638" customFormat="false" ht="15" hidden="false" customHeight="false" outlineLevel="0" collapsed="false">
      <c r="A2638" s="7" t="n">
        <v>81035887</v>
      </c>
      <c r="B2638" s="7" t="s">
        <v>68</v>
      </c>
      <c r="C2638" s="7" t="s">
        <v>5691</v>
      </c>
      <c r="D2638" s="7" t="s">
        <v>5692</v>
      </c>
      <c r="E2638" s="7" t="s">
        <v>963</v>
      </c>
      <c r="F2638" s="7" t="s">
        <v>5683</v>
      </c>
      <c r="G2638" s="7" t="n">
        <v>2017</v>
      </c>
      <c r="H2638" s="7" t="s">
        <v>48</v>
      </c>
      <c r="I2638" s="7" t="s">
        <v>386</v>
      </c>
      <c r="J2638" s="7" t="s">
        <v>202</v>
      </c>
      <c r="K2638" s="7" t="n">
        <f aca="false">IFERROR(VALUE(RIGHT(TRIM(F2638),4)),"")</f>
        <v>2019</v>
      </c>
      <c r="L2638" s="7" t="str">
        <f aca="false">IF(TRIM(E2638)="","Unknown",IFERROR(LEFT(TRIM(E2638),FIND(",",TRIM(E2638))-1),TRIM(E2638)))</f>
        <v>Egypt</v>
      </c>
      <c r="M2638" s="7" t="str">
        <f aca="false">IFERROR(LEFT(J2638,FIND(",",J2638)-1),J2638)</f>
        <v>Comedies</v>
      </c>
      <c r="N2638" s="7" t="n">
        <f aca="false">IF(B2638="Movie",IFERROR(VALUE(LEFT(I2638,FIND(" ",I2638)-1)),""),"")</f>
        <v>117</v>
      </c>
      <c r="O2638" s="7" t="str">
        <f aca="false">IF(B2638="TV Show",IFERROR(VALUE(LEFT(I2638,FIND(" ",I2638)-1)),""),"")</f>
        <v/>
      </c>
      <c r="P2638" s="7" t="n">
        <f aca="false">IF(K2638="","",K2638-G2638)</f>
        <v>2</v>
      </c>
    </row>
    <row r="2639" customFormat="false" ht="15" hidden="false" customHeight="false" outlineLevel="0" collapsed="false">
      <c r="A2639" s="7" t="n">
        <v>81113927</v>
      </c>
      <c r="B2639" s="7" t="s">
        <v>68</v>
      </c>
      <c r="C2639" s="7" t="s">
        <v>5693</v>
      </c>
      <c r="D2639" s="7" t="s">
        <v>5694</v>
      </c>
      <c r="E2639" s="7" t="s">
        <v>27</v>
      </c>
      <c r="F2639" s="7" t="s">
        <v>5683</v>
      </c>
      <c r="G2639" s="7" t="n">
        <v>2018</v>
      </c>
      <c r="H2639" s="7" t="s">
        <v>49</v>
      </c>
      <c r="I2639" s="7" t="s">
        <v>73</v>
      </c>
      <c r="J2639" s="7" t="s">
        <v>188</v>
      </c>
      <c r="K2639" s="7" t="n">
        <f aca="false">IFERROR(VALUE(RIGHT(TRIM(F2639),4)),"")</f>
        <v>2019</v>
      </c>
      <c r="L2639" s="7" t="str">
        <f aca="false">IF(TRIM(E2639)="","Unknown",IFERROR(LEFT(TRIM(E2639),FIND(",",TRIM(E2639))-1),TRIM(E2639)))</f>
        <v>India</v>
      </c>
      <c r="M2639" s="7" t="str">
        <f aca="false">IFERROR(LEFT(J2639,FIND(",",J2639)-1),J2639)</f>
        <v>Dramas</v>
      </c>
      <c r="N2639" s="7" t="n">
        <f aca="false">IF(B2639="Movie",IFERROR(VALUE(LEFT(I2639,FIND(" ",I2639)-1)),""),"")</f>
        <v>90</v>
      </c>
      <c r="O2639" s="7" t="str">
        <f aca="false">IF(B2639="TV Show",IFERROR(VALUE(LEFT(I2639,FIND(" ",I2639)-1)),""),"")</f>
        <v/>
      </c>
      <c r="P2639" s="7" t="n">
        <f aca="false">IF(K2639="","",K2639-G2639)</f>
        <v>1</v>
      </c>
    </row>
    <row r="2640" customFormat="false" ht="15" hidden="false" customHeight="false" outlineLevel="0" collapsed="false">
      <c r="A2640" s="7" t="n">
        <v>70302572</v>
      </c>
      <c r="B2640" s="7" t="s">
        <v>78</v>
      </c>
      <c r="C2640" s="7" t="s">
        <v>5695</v>
      </c>
      <c r="E2640" s="7" t="s">
        <v>30</v>
      </c>
      <c r="F2640" s="7" t="s">
        <v>5683</v>
      </c>
      <c r="G2640" s="7" t="n">
        <v>2011</v>
      </c>
      <c r="H2640" s="7" t="s">
        <v>49</v>
      </c>
      <c r="I2640" s="7" t="s">
        <v>82</v>
      </c>
      <c r="J2640" s="7" t="s">
        <v>542</v>
      </c>
      <c r="K2640" s="7" t="n">
        <f aca="false">IFERROR(VALUE(RIGHT(TRIM(F2640),4)),"")</f>
        <v>2019</v>
      </c>
      <c r="L2640" s="7" t="str">
        <f aca="false">IF(TRIM(E2640)="","Unknown",IFERROR(LEFT(TRIM(E2640),FIND(",",TRIM(E2640))-1),TRIM(E2640)))</f>
        <v>Japan</v>
      </c>
      <c r="M2640" s="7" t="str">
        <f aca="false">IFERROR(LEFT(J2640,FIND(",",J2640)-1),J2640)</f>
        <v>Anime Series</v>
      </c>
      <c r="N2640" s="7" t="str">
        <f aca="false">IF(B2640="Movie",IFERROR(VALUE(LEFT(I2640,FIND(" ",I2640)-1)),""),"")</f>
        <v/>
      </c>
      <c r="O2640" s="7" t="n">
        <f aca="false">IF(B2640="TV Show",IFERROR(VALUE(LEFT(I2640,FIND(" ",I2640)-1)),""),"")</f>
        <v>1</v>
      </c>
      <c r="P2640" s="7" t="n">
        <f aca="false">IF(K2640="","",K2640-G2640)</f>
        <v>8</v>
      </c>
    </row>
    <row r="2641" customFormat="false" ht="15" hidden="false" customHeight="false" outlineLevel="0" collapsed="false">
      <c r="A2641" s="7" t="n">
        <v>81108280</v>
      </c>
      <c r="B2641" s="7" t="s">
        <v>78</v>
      </c>
      <c r="C2641" s="7" t="s">
        <v>5696</v>
      </c>
      <c r="E2641" s="7" t="s">
        <v>366</v>
      </c>
      <c r="F2641" s="7" t="s">
        <v>5683</v>
      </c>
      <c r="G2641" s="7" t="n">
        <v>2019</v>
      </c>
      <c r="H2641" s="7" t="s">
        <v>49</v>
      </c>
      <c r="I2641" s="7" t="s">
        <v>82</v>
      </c>
      <c r="J2641" s="7" t="s">
        <v>158</v>
      </c>
      <c r="K2641" s="7" t="n">
        <f aca="false">IFERROR(VALUE(RIGHT(TRIM(F2641),4)),"")</f>
        <v>2019</v>
      </c>
      <c r="L2641" s="7" t="str">
        <f aca="false">IF(TRIM(E2641)="","Unknown",IFERROR(LEFT(TRIM(E2641),FIND(",",TRIM(E2641))-1),TRIM(E2641)))</f>
        <v>China</v>
      </c>
      <c r="M2641" s="7" t="str">
        <f aca="false">IFERROR(LEFT(J2641,FIND(",",J2641)-1),J2641)</f>
        <v>International TV Shows</v>
      </c>
      <c r="N2641" s="7" t="str">
        <f aca="false">IF(B2641="Movie",IFERROR(VALUE(LEFT(I2641,FIND(" ",I2641)-1)),""),"")</f>
        <v/>
      </c>
      <c r="O2641" s="7" t="n">
        <f aca="false">IF(B2641="TV Show",IFERROR(VALUE(LEFT(I2641,FIND(" ",I2641)-1)),""),"")</f>
        <v>1</v>
      </c>
      <c r="P2641" s="7" t="n">
        <f aca="false">IF(K2641="","",K2641-G2641)</f>
        <v>0</v>
      </c>
    </row>
    <row r="2642" customFormat="false" ht="15" hidden="false" customHeight="false" outlineLevel="0" collapsed="false">
      <c r="A2642" s="7" t="n">
        <v>80213115</v>
      </c>
      <c r="B2642" s="7" t="s">
        <v>78</v>
      </c>
      <c r="C2642" s="7" t="s">
        <v>5697</v>
      </c>
      <c r="D2642" s="7" t="s">
        <v>5698</v>
      </c>
      <c r="E2642" s="7" t="s">
        <v>33</v>
      </c>
      <c r="F2642" s="7" t="s">
        <v>5683</v>
      </c>
      <c r="G2642" s="7" t="n">
        <v>2019</v>
      </c>
      <c r="H2642" s="7" t="s">
        <v>48</v>
      </c>
      <c r="I2642" s="7" t="s">
        <v>82</v>
      </c>
      <c r="J2642" s="7" t="s">
        <v>1402</v>
      </c>
      <c r="K2642" s="7" t="n">
        <f aca="false">IFERROR(VALUE(RIGHT(TRIM(F2642),4)),"")</f>
        <v>2019</v>
      </c>
      <c r="L2642" s="7" t="str">
        <f aca="false">IF(TRIM(E2642)="","Unknown",IFERROR(LEFT(TRIM(E2642),FIND(",",TRIM(E2642))-1),TRIM(E2642)))</f>
        <v>Spain</v>
      </c>
      <c r="M2642" s="7" t="str">
        <f aca="false">IFERROR(LEFT(J2642,FIND(",",J2642)-1),J2642)</f>
        <v>Crime TV Shows</v>
      </c>
      <c r="N2642" s="7" t="str">
        <f aca="false">IF(B2642="Movie",IFERROR(VALUE(LEFT(I2642,FIND(" ",I2642)-1)),""),"")</f>
        <v/>
      </c>
      <c r="O2642" s="7" t="n">
        <f aca="false">IF(B2642="TV Show",IFERROR(VALUE(LEFT(I2642,FIND(" ",I2642)-1)),""),"")</f>
        <v>1</v>
      </c>
      <c r="P2642" s="7" t="n">
        <f aca="false">IF(K2642="","",K2642-G2642)</f>
        <v>0</v>
      </c>
    </row>
    <row r="2643" customFormat="false" ht="15" hidden="false" customHeight="false" outlineLevel="0" collapsed="false">
      <c r="A2643" s="7" t="n">
        <v>81027195</v>
      </c>
      <c r="B2643" s="7" t="s">
        <v>78</v>
      </c>
      <c r="C2643" s="7" t="s">
        <v>5699</v>
      </c>
      <c r="E2643" s="7" t="s">
        <v>4776</v>
      </c>
      <c r="F2643" s="7" t="s">
        <v>5683</v>
      </c>
      <c r="G2643" s="7" t="n">
        <v>2017</v>
      </c>
      <c r="H2643" s="7" t="s">
        <v>48</v>
      </c>
      <c r="I2643" s="7" t="s">
        <v>82</v>
      </c>
      <c r="J2643" s="7" t="s">
        <v>402</v>
      </c>
      <c r="K2643" s="7" t="n">
        <f aca="false">IFERROR(VALUE(RIGHT(TRIM(F2643),4)),"")</f>
        <v>2019</v>
      </c>
      <c r="L2643" s="7" t="str">
        <f aca="false">IF(TRIM(E2643)="","Unknown",IFERROR(LEFT(TRIM(E2643),FIND(",",TRIM(E2643))-1),TRIM(E2643)))</f>
        <v>Belgium</v>
      </c>
      <c r="M2643" s="7" t="str">
        <f aca="false">IFERROR(LEFT(J2643,FIND(",",J2643)-1),J2643)</f>
        <v>Crime TV Shows</v>
      </c>
      <c r="N2643" s="7" t="str">
        <f aca="false">IF(B2643="Movie",IFERROR(VALUE(LEFT(I2643,FIND(" ",I2643)-1)),""),"")</f>
        <v/>
      </c>
      <c r="O2643" s="7" t="n">
        <f aca="false">IF(B2643="TV Show",IFERROR(VALUE(LEFT(I2643,FIND(" ",I2643)-1)),""),"")</f>
        <v>1</v>
      </c>
      <c r="P2643" s="7" t="n">
        <f aca="false">IF(K2643="","",K2643-G2643)</f>
        <v>2</v>
      </c>
    </row>
    <row r="2644" customFormat="false" ht="15" hidden="false" customHeight="false" outlineLevel="0" collapsed="false">
      <c r="A2644" s="7" t="n">
        <v>70074315</v>
      </c>
      <c r="B2644" s="7" t="s">
        <v>68</v>
      </c>
      <c r="C2644" s="7" t="s">
        <v>5700</v>
      </c>
      <c r="D2644" s="7" t="s">
        <v>1107</v>
      </c>
      <c r="E2644" s="7" t="s">
        <v>1113</v>
      </c>
      <c r="F2644" s="7" t="s">
        <v>5701</v>
      </c>
      <c r="G2644" s="7" t="n">
        <v>2006</v>
      </c>
      <c r="H2644" s="7" t="s">
        <v>51</v>
      </c>
      <c r="I2644" s="7" t="s">
        <v>417</v>
      </c>
      <c r="J2644" s="7" t="s">
        <v>182</v>
      </c>
      <c r="K2644" s="7" t="n">
        <f aca="false">IFERROR(VALUE(RIGHT(TRIM(F2644),4)),"")</f>
        <v>2018</v>
      </c>
      <c r="L2644" s="7" t="str">
        <f aca="false">IF(TRIM(E2644)="","Unknown",IFERROR(LEFT(TRIM(E2644),FIND(",",TRIM(E2644))-1),TRIM(E2644)))</f>
        <v>Argentina</v>
      </c>
      <c r="M2644" s="7" t="str">
        <f aca="false">IFERROR(LEFT(J2644,FIND(",",J2644)-1),J2644)</f>
        <v>Dramas</v>
      </c>
      <c r="N2644" s="7" t="n">
        <f aca="false">IF(B2644="Movie",IFERROR(VALUE(LEFT(I2644,FIND(" ",I2644)-1)),""),"")</f>
        <v>104</v>
      </c>
      <c r="O2644" s="7" t="str">
        <f aca="false">IF(B2644="TV Show",IFERROR(VALUE(LEFT(I2644,FIND(" ",I2644)-1)),""),"")</f>
        <v/>
      </c>
      <c r="P2644" s="7" t="n">
        <f aca="false">IF(K2644="","",K2644-G2644)</f>
        <v>12</v>
      </c>
    </row>
    <row r="2645" customFormat="false" ht="15" hidden="false" customHeight="false" outlineLevel="0" collapsed="false">
      <c r="A2645" s="7" t="n">
        <v>81002885</v>
      </c>
      <c r="B2645" s="7" t="s">
        <v>68</v>
      </c>
      <c r="C2645" s="7" t="s">
        <v>5702</v>
      </c>
      <c r="D2645" s="7" t="s">
        <v>5703</v>
      </c>
      <c r="F2645" s="7" t="s">
        <v>5701</v>
      </c>
      <c r="G2645" s="7" t="n">
        <v>2018</v>
      </c>
      <c r="H2645" s="7" t="s">
        <v>226</v>
      </c>
      <c r="I2645" s="7" t="s">
        <v>1446</v>
      </c>
      <c r="J2645" s="7" t="s">
        <v>341</v>
      </c>
      <c r="K2645" s="7" t="n">
        <f aca="false">IFERROR(VALUE(RIGHT(TRIM(F2645),4)),"")</f>
        <v>2018</v>
      </c>
      <c r="L2645" s="7" t="str">
        <f aca="false">IF(TRIM(E2645)="","Unknown",IFERROR(LEFT(TRIM(E2645),FIND(",",TRIM(E2645))-1),TRIM(E2645)))</f>
        <v>Unknown</v>
      </c>
      <c r="M2645" s="7" t="str">
        <f aca="false">IFERROR(LEFT(J2645,FIND(",",J2645)-1),J2645)</f>
        <v>Documentaries</v>
      </c>
      <c r="N2645" s="7" t="n">
        <f aca="false">IF(B2645="Movie",IFERROR(VALUE(LEFT(I2645,FIND(" ",I2645)-1)),""),"")</f>
        <v>48</v>
      </c>
      <c r="O2645" s="7" t="str">
        <f aca="false">IF(B2645="TV Show",IFERROR(VALUE(LEFT(I2645,FIND(" ",I2645)-1)),""),"")</f>
        <v/>
      </c>
      <c r="P2645" s="7" t="n">
        <f aca="false">IF(K2645="","",K2645-G2645)</f>
        <v>0</v>
      </c>
    </row>
    <row r="2646" customFormat="false" ht="15" hidden="false" customHeight="false" outlineLevel="0" collapsed="false">
      <c r="A2646" s="7" t="n">
        <v>80991033</v>
      </c>
      <c r="B2646" s="7" t="s">
        <v>68</v>
      </c>
      <c r="C2646" s="7" t="s">
        <v>5704</v>
      </c>
      <c r="D2646" s="7" t="s">
        <v>5705</v>
      </c>
      <c r="E2646" s="7" t="s">
        <v>27</v>
      </c>
      <c r="F2646" s="7" t="s">
        <v>5701</v>
      </c>
      <c r="G2646" s="7" t="n">
        <v>2018</v>
      </c>
      <c r="H2646" s="7" t="s">
        <v>48</v>
      </c>
      <c r="I2646" s="7" t="s">
        <v>505</v>
      </c>
      <c r="J2646" s="7" t="s">
        <v>217</v>
      </c>
      <c r="K2646" s="7" t="n">
        <f aca="false">IFERROR(VALUE(RIGHT(TRIM(F2646),4)),"")</f>
        <v>2018</v>
      </c>
      <c r="L2646" s="7" t="str">
        <f aca="false">IF(TRIM(E2646)="","Unknown",IFERROR(LEFT(TRIM(E2646),FIND(",",TRIM(E2646))-1),TRIM(E2646)))</f>
        <v>India</v>
      </c>
      <c r="M2646" s="7" t="str">
        <f aca="false">IFERROR(LEFT(J2646,FIND(",",J2646)-1),J2646)</f>
        <v>Comedies</v>
      </c>
      <c r="N2646" s="7" t="n">
        <f aca="false">IF(B2646="Movie",IFERROR(VALUE(LEFT(I2646,FIND(" ",I2646)-1)),""),"")</f>
        <v>121</v>
      </c>
      <c r="O2646" s="7" t="str">
        <f aca="false">IF(B2646="TV Show",IFERROR(VALUE(LEFT(I2646,FIND(" ",I2646)-1)),""),"")</f>
        <v/>
      </c>
      <c r="P2646" s="7" t="n">
        <f aca="false">IF(K2646="","",K2646-G2646)</f>
        <v>0</v>
      </c>
    </row>
    <row r="2647" customFormat="false" ht="15" hidden="false" customHeight="false" outlineLevel="0" collapsed="false">
      <c r="A2647" s="7" t="n">
        <v>80244547</v>
      </c>
      <c r="B2647" s="7" t="s">
        <v>68</v>
      </c>
      <c r="C2647" s="7" t="s">
        <v>5706</v>
      </c>
      <c r="D2647" s="7" t="s">
        <v>5707</v>
      </c>
      <c r="E2647" s="7" t="s">
        <v>5469</v>
      </c>
      <c r="F2647" s="7" t="s">
        <v>5701</v>
      </c>
      <c r="G2647" s="7" t="n">
        <v>2018</v>
      </c>
      <c r="H2647" s="7" t="s">
        <v>48</v>
      </c>
      <c r="I2647" s="7" t="s">
        <v>173</v>
      </c>
      <c r="J2647" s="7" t="s">
        <v>202</v>
      </c>
      <c r="K2647" s="7" t="n">
        <f aca="false">IFERROR(VALUE(RIGHT(TRIM(F2647),4)),"")</f>
        <v>2018</v>
      </c>
      <c r="L2647" s="7" t="str">
        <f aca="false">IF(TRIM(E2647)="","Unknown",IFERROR(LEFT(TRIM(E2647),FIND(",",TRIM(E2647))-1),TRIM(E2647)))</f>
        <v>Israel</v>
      </c>
      <c r="M2647" s="7" t="str">
        <f aca="false">IFERROR(LEFT(J2647,FIND(",",J2647)-1),J2647)</f>
        <v>Comedies</v>
      </c>
      <c r="N2647" s="7" t="n">
        <f aca="false">IF(B2647="Movie",IFERROR(VALUE(LEFT(I2647,FIND(" ",I2647)-1)),""),"")</f>
        <v>106</v>
      </c>
      <c r="O2647" s="7" t="str">
        <f aca="false">IF(B2647="TV Show",IFERROR(VALUE(LEFT(I2647,FIND(" ",I2647)-1)),""),"")</f>
        <v/>
      </c>
      <c r="P2647" s="7" t="n">
        <f aca="false">IF(K2647="","",K2647-G2647)</f>
        <v>0</v>
      </c>
    </row>
    <row r="2648" customFormat="false" ht="15" hidden="false" customHeight="false" outlineLevel="0" collapsed="false">
      <c r="A2648" s="7" t="n">
        <v>80991025</v>
      </c>
      <c r="B2648" s="7" t="s">
        <v>68</v>
      </c>
      <c r="C2648" s="7" t="s">
        <v>5708</v>
      </c>
      <c r="D2648" s="7" t="s">
        <v>5709</v>
      </c>
      <c r="E2648" s="7" t="s">
        <v>1552</v>
      </c>
      <c r="F2648" s="7" t="s">
        <v>5701</v>
      </c>
      <c r="G2648" s="7" t="n">
        <v>2017</v>
      </c>
      <c r="H2648" s="7" t="s">
        <v>226</v>
      </c>
      <c r="I2648" s="7" t="s">
        <v>1221</v>
      </c>
      <c r="J2648" s="7" t="s">
        <v>341</v>
      </c>
      <c r="K2648" s="7" t="n">
        <f aca="false">IFERROR(VALUE(RIGHT(TRIM(F2648),4)),"")</f>
        <v>2018</v>
      </c>
      <c r="L2648" s="7" t="str">
        <f aca="false">IF(TRIM(E2648)="","Unknown",IFERROR(LEFT(TRIM(E2648),FIND(",",TRIM(E2648))-1),TRIM(E2648)))</f>
        <v>Peru</v>
      </c>
      <c r="M2648" s="7" t="str">
        <f aca="false">IFERROR(LEFT(J2648,FIND(",",J2648)-1),J2648)</f>
        <v>Documentaries</v>
      </c>
      <c r="N2648" s="7" t="n">
        <f aca="false">IF(B2648="Movie",IFERROR(VALUE(LEFT(I2648,FIND(" ",I2648)-1)),""),"")</f>
        <v>74</v>
      </c>
      <c r="O2648" s="7" t="str">
        <f aca="false">IF(B2648="TV Show",IFERROR(VALUE(LEFT(I2648,FIND(" ",I2648)-1)),""),"")</f>
        <v/>
      </c>
      <c r="P2648" s="7" t="n">
        <f aca="false">IF(K2648="","",K2648-G2648)</f>
        <v>1</v>
      </c>
    </row>
    <row r="2649" customFormat="false" ht="15" hidden="false" customHeight="false" outlineLevel="0" collapsed="false">
      <c r="A2649" s="7" t="n">
        <v>80184100</v>
      </c>
      <c r="B2649" s="7" t="s">
        <v>68</v>
      </c>
      <c r="C2649" s="7" t="s">
        <v>5710</v>
      </c>
      <c r="D2649" s="7" t="s">
        <v>5711</v>
      </c>
      <c r="E2649" s="7" t="s">
        <v>26</v>
      </c>
      <c r="F2649" s="7" t="s">
        <v>5701</v>
      </c>
      <c r="G2649" s="7" t="n">
        <v>2018</v>
      </c>
      <c r="H2649" s="7" t="s">
        <v>49</v>
      </c>
      <c r="I2649" s="7" t="s">
        <v>173</v>
      </c>
      <c r="J2649" s="7" t="s">
        <v>177</v>
      </c>
      <c r="K2649" s="7" t="n">
        <f aca="false">IFERROR(VALUE(RIGHT(TRIM(F2649),4)),"")</f>
        <v>2018</v>
      </c>
      <c r="L2649" s="7" t="str">
        <f aca="false">IF(TRIM(E2649)="","Unknown",IFERROR(LEFT(TRIM(E2649),FIND(",",TRIM(E2649))-1),TRIM(E2649)))</f>
        <v>United States</v>
      </c>
      <c r="M2649" s="7" t="str">
        <f aca="false">IFERROR(LEFT(J2649,FIND(",",J2649)-1),J2649)</f>
        <v>Comedies</v>
      </c>
      <c r="N2649" s="7" t="n">
        <f aca="false">IF(B2649="Movie",IFERROR(VALUE(LEFT(I2649,FIND(" ",I2649)-1)),""),"")</f>
        <v>106</v>
      </c>
      <c r="O2649" s="7" t="str">
        <f aca="false">IF(B2649="TV Show",IFERROR(VALUE(LEFT(I2649,FIND(" ",I2649)-1)),""),"")</f>
        <v/>
      </c>
      <c r="P2649" s="7" t="n">
        <f aca="false">IF(K2649="","",K2649-G2649)</f>
        <v>0</v>
      </c>
    </row>
    <row r="2650" customFormat="false" ht="15" hidden="false" customHeight="false" outlineLevel="0" collapsed="false">
      <c r="A2650" s="7" t="n">
        <v>80131280</v>
      </c>
      <c r="B2650" s="7" t="s">
        <v>68</v>
      </c>
      <c r="C2650" s="7" t="s">
        <v>5712</v>
      </c>
      <c r="D2650" s="7" t="s">
        <v>5713</v>
      </c>
      <c r="E2650" s="7" t="s">
        <v>33</v>
      </c>
      <c r="F2650" s="7" t="s">
        <v>5701</v>
      </c>
      <c r="G2650" s="7" t="n">
        <v>2017</v>
      </c>
      <c r="H2650" s="7" t="s">
        <v>49</v>
      </c>
      <c r="I2650" s="7" t="s">
        <v>146</v>
      </c>
      <c r="J2650" s="7" t="s">
        <v>188</v>
      </c>
      <c r="K2650" s="7" t="n">
        <f aca="false">IFERROR(VALUE(RIGHT(TRIM(F2650),4)),"")</f>
        <v>2018</v>
      </c>
      <c r="L2650" s="7" t="str">
        <f aca="false">IF(TRIM(E2650)="","Unknown",IFERROR(LEFT(TRIM(E2650),FIND(",",TRIM(E2650))-1),TRIM(E2650)))</f>
        <v>Spain</v>
      </c>
      <c r="M2650" s="7" t="str">
        <f aca="false">IFERROR(LEFT(J2650,FIND(",",J2650)-1),J2650)</f>
        <v>Dramas</v>
      </c>
      <c r="N2650" s="7" t="n">
        <f aca="false">IF(B2650="Movie",IFERROR(VALUE(LEFT(I2650,FIND(" ",I2650)-1)),""),"")</f>
        <v>113</v>
      </c>
      <c r="O2650" s="7" t="str">
        <f aca="false">IF(B2650="TV Show",IFERROR(VALUE(LEFT(I2650,FIND(" ",I2650)-1)),""),"")</f>
        <v/>
      </c>
      <c r="P2650" s="7" t="n">
        <f aca="false">IF(K2650="","",K2650-G2650)</f>
        <v>1</v>
      </c>
    </row>
    <row r="2651" customFormat="false" ht="15" hidden="false" customHeight="false" outlineLevel="0" collapsed="false">
      <c r="A2651" s="7" t="n">
        <v>80991026</v>
      </c>
      <c r="B2651" s="7" t="s">
        <v>68</v>
      </c>
      <c r="C2651" s="7" t="s">
        <v>5714</v>
      </c>
      <c r="D2651" s="7" t="s">
        <v>5715</v>
      </c>
      <c r="E2651" s="7" t="s">
        <v>5716</v>
      </c>
      <c r="F2651" s="7" t="s">
        <v>5701</v>
      </c>
      <c r="G2651" s="7" t="n">
        <v>2017</v>
      </c>
      <c r="H2651" s="7" t="s">
        <v>48</v>
      </c>
      <c r="I2651" s="7" t="s">
        <v>519</v>
      </c>
      <c r="J2651" s="7" t="s">
        <v>304</v>
      </c>
      <c r="K2651" s="7" t="n">
        <f aca="false">IFERROR(VALUE(RIGHT(TRIM(F2651),4)),"")</f>
        <v>2018</v>
      </c>
      <c r="L2651" s="7" t="str">
        <f aca="false">IF(TRIM(E2651)="","Unknown",IFERROR(LEFT(TRIM(E2651),FIND(",",TRIM(E2651))-1),TRIM(E2651)))</f>
        <v>Chile</v>
      </c>
      <c r="M2651" s="7" t="str">
        <f aca="false">IFERROR(LEFT(J2651,FIND(",",J2651)-1),J2651)</f>
        <v>Dramas</v>
      </c>
      <c r="N2651" s="7" t="n">
        <f aca="false">IF(B2651="Movie",IFERROR(VALUE(LEFT(I2651,FIND(" ",I2651)-1)),""),"")</f>
        <v>119</v>
      </c>
      <c r="O2651" s="7" t="str">
        <f aca="false">IF(B2651="TV Show",IFERROR(VALUE(LEFT(I2651,FIND(" ",I2651)-1)),""),"")</f>
        <v/>
      </c>
      <c r="P2651" s="7" t="n">
        <f aca="false">IF(K2651="","",K2651-G2651)</f>
        <v>1</v>
      </c>
    </row>
    <row r="2652" customFormat="false" ht="15" hidden="false" customHeight="false" outlineLevel="0" collapsed="false">
      <c r="A2652" s="7" t="n">
        <v>80243582</v>
      </c>
      <c r="B2652" s="7" t="s">
        <v>78</v>
      </c>
      <c r="C2652" s="7" t="s">
        <v>5717</v>
      </c>
      <c r="F2652" s="7" t="s">
        <v>5701</v>
      </c>
      <c r="G2652" s="7" t="n">
        <v>2018</v>
      </c>
      <c r="H2652" s="7" t="s">
        <v>119</v>
      </c>
      <c r="I2652" s="7" t="s">
        <v>82</v>
      </c>
      <c r="J2652" s="7" t="s">
        <v>44</v>
      </c>
      <c r="K2652" s="7" t="n">
        <f aca="false">IFERROR(VALUE(RIGHT(TRIM(F2652),4)),"")</f>
        <v>2018</v>
      </c>
      <c r="L2652" s="7" t="str">
        <f aca="false">IF(TRIM(E2652)="","Unknown",IFERROR(LEFT(TRIM(E2652),FIND(",",TRIM(E2652))-1),TRIM(E2652)))</f>
        <v>Unknown</v>
      </c>
      <c r="M2652" s="7" t="str">
        <f aca="false">IFERROR(LEFT(J2652,FIND(",",J2652)-1),J2652)</f>
        <v>Kids' TV</v>
      </c>
      <c r="N2652" s="7" t="str">
        <f aca="false">IF(B2652="Movie",IFERROR(VALUE(LEFT(I2652,FIND(" ",I2652)-1)),""),"")</f>
        <v/>
      </c>
      <c r="O2652" s="7" t="n">
        <f aca="false">IF(B2652="TV Show",IFERROR(VALUE(LEFT(I2652,FIND(" ",I2652)-1)),""),"")</f>
        <v>1</v>
      </c>
      <c r="P2652" s="7" t="n">
        <f aca="false">IF(K2652="","",K2652-G2652)</f>
        <v>0</v>
      </c>
    </row>
    <row r="2653" customFormat="false" ht="15" hidden="false" customHeight="false" outlineLevel="0" collapsed="false">
      <c r="A2653" s="7" t="n">
        <v>80243473</v>
      </c>
      <c r="B2653" s="7" t="s">
        <v>78</v>
      </c>
      <c r="C2653" s="7" t="s">
        <v>5718</v>
      </c>
      <c r="F2653" s="7" t="s">
        <v>5701</v>
      </c>
      <c r="G2653" s="7" t="n">
        <v>2018</v>
      </c>
      <c r="H2653" s="7" t="s">
        <v>119</v>
      </c>
      <c r="I2653" s="7" t="s">
        <v>82</v>
      </c>
      <c r="J2653" s="7" t="s">
        <v>44</v>
      </c>
      <c r="K2653" s="7" t="n">
        <f aca="false">IFERROR(VALUE(RIGHT(TRIM(F2653),4)),"")</f>
        <v>2018</v>
      </c>
      <c r="L2653" s="7" t="str">
        <f aca="false">IF(TRIM(E2653)="","Unknown",IFERROR(LEFT(TRIM(E2653),FIND(",",TRIM(E2653))-1),TRIM(E2653)))</f>
        <v>Unknown</v>
      </c>
      <c r="M2653" s="7" t="str">
        <f aca="false">IFERROR(LEFT(J2653,FIND(",",J2653)-1),J2653)</f>
        <v>Kids' TV</v>
      </c>
      <c r="N2653" s="7" t="str">
        <f aca="false">IF(B2653="Movie",IFERROR(VALUE(LEFT(I2653,FIND(" ",I2653)-1)),""),"")</f>
        <v/>
      </c>
      <c r="O2653" s="7" t="n">
        <f aca="false">IF(B2653="TV Show",IFERROR(VALUE(LEFT(I2653,FIND(" ",I2653)-1)),""),"")</f>
        <v>1</v>
      </c>
      <c r="P2653" s="7" t="n">
        <f aca="false">IF(K2653="","",K2653-G2653)</f>
        <v>0</v>
      </c>
    </row>
    <row r="2654" customFormat="false" ht="15" hidden="false" customHeight="false" outlineLevel="0" collapsed="false">
      <c r="A2654" s="7" t="n">
        <v>80164206</v>
      </c>
      <c r="B2654" s="7" t="s">
        <v>68</v>
      </c>
      <c r="C2654" s="7" t="s">
        <v>5719</v>
      </c>
      <c r="D2654" s="7" t="s">
        <v>5720</v>
      </c>
      <c r="E2654" s="7" t="s">
        <v>1063</v>
      </c>
      <c r="F2654" s="7" t="s">
        <v>5721</v>
      </c>
      <c r="G2654" s="7" t="n">
        <v>2016</v>
      </c>
      <c r="H2654" s="7" t="s">
        <v>48</v>
      </c>
      <c r="I2654" s="7" t="s">
        <v>162</v>
      </c>
      <c r="J2654" s="7" t="s">
        <v>5722</v>
      </c>
      <c r="K2654" s="7" t="n">
        <f aca="false">IFERROR(VALUE(RIGHT(TRIM(F2654),4)),"")</f>
        <v>2017</v>
      </c>
      <c r="L2654" s="7" t="str">
        <f aca="false">IF(TRIM(E2654)="","Unknown",IFERROR(LEFT(TRIM(E2654),FIND(",",TRIM(E2654))-1),TRIM(E2654)))</f>
        <v>Norway</v>
      </c>
      <c r="M2654" s="7" t="str">
        <f aca="false">IFERROR(LEFT(J2654,FIND(",",J2654)-1),J2654)</f>
        <v>Action &amp; Adventure</v>
      </c>
      <c r="N2654" s="7" t="n">
        <f aca="false">IF(B2654="Movie",IFERROR(VALUE(LEFT(I2654,FIND(" ",I2654)-1)),""),"")</f>
        <v>77</v>
      </c>
      <c r="O2654" s="7" t="str">
        <f aca="false">IF(B2654="TV Show",IFERROR(VALUE(LEFT(I2654,FIND(" ",I2654)-1)),""),"")</f>
        <v/>
      </c>
      <c r="P2654" s="7" t="n">
        <f aca="false">IF(K2654="","",K2654-G2654)</f>
        <v>1</v>
      </c>
    </row>
    <row r="2655" customFormat="false" ht="15" hidden="false" customHeight="false" outlineLevel="0" collapsed="false">
      <c r="A2655" s="7" t="n">
        <v>80187684</v>
      </c>
      <c r="B2655" s="7" t="s">
        <v>68</v>
      </c>
      <c r="C2655" s="7" t="s">
        <v>5723</v>
      </c>
      <c r="D2655" s="7" t="s">
        <v>5724</v>
      </c>
      <c r="E2655" s="7" t="s">
        <v>27</v>
      </c>
      <c r="F2655" s="7" t="s">
        <v>5721</v>
      </c>
      <c r="G2655" s="7" t="n">
        <v>2017</v>
      </c>
      <c r="H2655" s="7" t="s">
        <v>50</v>
      </c>
      <c r="I2655" s="7" t="s">
        <v>417</v>
      </c>
      <c r="J2655" s="7" t="s">
        <v>217</v>
      </c>
      <c r="K2655" s="7" t="n">
        <f aca="false">IFERROR(VALUE(RIGHT(TRIM(F2655),4)),"")</f>
        <v>2017</v>
      </c>
      <c r="L2655" s="7" t="str">
        <f aca="false">IF(TRIM(E2655)="","Unknown",IFERROR(LEFT(TRIM(E2655),FIND(",",TRIM(E2655))-1),TRIM(E2655)))</f>
        <v>India</v>
      </c>
      <c r="M2655" s="7" t="str">
        <f aca="false">IFERROR(LEFT(J2655,FIND(",",J2655)-1),J2655)</f>
        <v>Comedies</v>
      </c>
      <c r="N2655" s="7" t="n">
        <f aca="false">IF(B2655="Movie",IFERROR(VALUE(LEFT(I2655,FIND(" ",I2655)-1)),""),"")</f>
        <v>104</v>
      </c>
      <c r="O2655" s="7" t="str">
        <f aca="false">IF(B2655="TV Show",IFERROR(VALUE(LEFT(I2655,FIND(" ",I2655)-1)),""),"")</f>
        <v/>
      </c>
      <c r="P2655" s="7" t="n">
        <f aca="false">IF(K2655="","",K2655-G2655)</f>
        <v>0</v>
      </c>
    </row>
    <row r="2656" customFormat="false" ht="15" hidden="false" customHeight="false" outlineLevel="0" collapsed="false">
      <c r="A2656" s="7" t="n">
        <v>80160726</v>
      </c>
      <c r="B2656" s="7" t="s">
        <v>68</v>
      </c>
      <c r="C2656" s="7" t="s">
        <v>5725</v>
      </c>
      <c r="D2656" s="7" t="s">
        <v>5726</v>
      </c>
      <c r="E2656" s="7" t="s">
        <v>325</v>
      </c>
      <c r="F2656" s="7" t="s">
        <v>5721</v>
      </c>
      <c r="G2656" s="7" t="n">
        <v>2017</v>
      </c>
      <c r="H2656" s="7" t="s">
        <v>48</v>
      </c>
      <c r="I2656" s="7" t="s">
        <v>1191</v>
      </c>
      <c r="J2656" s="7" t="s">
        <v>45</v>
      </c>
      <c r="K2656" s="7" t="n">
        <f aca="false">IFERROR(VALUE(RIGHT(TRIM(F2656),4)),"")</f>
        <v>2017</v>
      </c>
      <c r="L2656" s="7" t="str">
        <f aca="false">IF(TRIM(E2656)="","Unknown",IFERROR(LEFT(TRIM(E2656),FIND(",",TRIM(E2656))-1),TRIM(E2656)))</f>
        <v>Brazil</v>
      </c>
      <c r="M2656" s="7" t="str">
        <f aca="false">IFERROR(LEFT(J2656,FIND(",",J2656)-1),J2656)</f>
        <v>Stand-Up Comedy</v>
      </c>
      <c r="N2656" s="7" t="n">
        <f aca="false">IF(B2656="Movie",IFERROR(VALUE(LEFT(I2656,FIND(" ",I2656)-1)),""),"")</f>
        <v>73</v>
      </c>
      <c r="O2656" s="7" t="str">
        <f aca="false">IF(B2656="TV Show",IFERROR(VALUE(LEFT(I2656,FIND(" ",I2656)-1)),""),"")</f>
        <v/>
      </c>
      <c r="P2656" s="7" t="n">
        <f aca="false">IF(K2656="","",K2656-G2656)</f>
        <v>0</v>
      </c>
    </row>
    <row r="2657" customFormat="false" ht="15" hidden="false" customHeight="false" outlineLevel="0" collapsed="false">
      <c r="A2657" s="7" t="n">
        <v>80104706</v>
      </c>
      <c r="B2657" s="7" t="s">
        <v>68</v>
      </c>
      <c r="C2657" s="7" t="s">
        <v>5727</v>
      </c>
      <c r="D2657" s="7" t="s">
        <v>5728</v>
      </c>
      <c r="E2657" s="7" t="s">
        <v>5729</v>
      </c>
      <c r="F2657" s="7" t="s">
        <v>5721</v>
      </c>
      <c r="G2657" s="7" t="n">
        <v>2015</v>
      </c>
      <c r="H2657" s="7" t="s">
        <v>49</v>
      </c>
      <c r="I2657" s="7" t="s">
        <v>181</v>
      </c>
      <c r="J2657" s="7" t="s">
        <v>341</v>
      </c>
      <c r="K2657" s="7" t="n">
        <f aca="false">IFERROR(VALUE(RIGHT(TRIM(F2657),4)),"")</f>
        <v>2017</v>
      </c>
      <c r="L2657" s="7" t="str">
        <f aca="false">IF(TRIM(E2657)="","Unknown",IFERROR(LEFT(TRIM(E2657),FIND(",",TRIM(E2657))-1),TRIM(E2657)))</f>
        <v>Israel</v>
      </c>
      <c r="M2657" s="7" t="str">
        <f aca="false">IFERROR(LEFT(J2657,FIND(",",J2657)-1),J2657)</f>
        <v>Documentaries</v>
      </c>
      <c r="N2657" s="7" t="n">
        <f aca="false">IF(B2657="Movie",IFERROR(VALUE(LEFT(I2657,FIND(" ",I2657)-1)),""),"")</f>
        <v>102</v>
      </c>
      <c r="O2657" s="7" t="str">
        <f aca="false">IF(B2657="TV Show",IFERROR(VALUE(LEFT(I2657,FIND(" ",I2657)-1)),""),"")</f>
        <v/>
      </c>
      <c r="P2657" s="7" t="n">
        <f aca="false">IF(K2657="","",K2657-G2657)</f>
        <v>2</v>
      </c>
    </row>
    <row r="2658" customFormat="false" ht="15" hidden="false" customHeight="false" outlineLevel="0" collapsed="false">
      <c r="A2658" s="7" t="n">
        <v>80172284</v>
      </c>
      <c r="B2658" s="7" t="s">
        <v>68</v>
      </c>
      <c r="C2658" s="7" t="s">
        <v>5730</v>
      </c>
      <c r="D2658" s="7" t="s">
        <v>5731</v>
      </c>
      <c r="E2658" s="7" t="s">
        <v>855</v>
      </c>
      <c r="F2658" s="7" t="s">
        <v>5721</v>
      </c>
      <c r="G2658" s="7" t="n">
        <v>2016</v>
      </c>
      <c r="H2658" s="7" t="s">
        <v>48</v>
      </c>
      <c r="I2658" s="7" t="s">
        <v>437</v>
      </c>
      <c r="J2658" s="7" t="s">
        <v>341</v>
      </c>
      <c r="K2658" s="7" t="n">
        <f aca="false">IFERROR(VALUE(RIGHT(TRIM(F2658),4)),"")</f>
        <v>2017</v>
      </c>
      <c r="L2658" s="7" t="str">
        <f aca="false">IF(TRIM(E2658)="","Unknown",IFERROR(LEFT(TRIM(E2658),FIND(",",TRIM(E2658))-1),TRIM(E2658)))</f>
        <v>Italy</v>
      </c>
      <c r="M2658" s="7" t="str">
        <f aca="false">IFERROR(LEFT(J2658,FIND(",",J2658)-1),J2658)</f>
        <v>Documentaries</v>
      </c>
      <c r="N2658" s="7" t="n">
        <f aca="false">IF(B2658="Movie",IFERROR(VALUE(LEFT(I2658,FIND(" ",I2658)-1)),""),"")</f>
        <v>82</v>
      </c>
      <c r="O2658" s="7" t="str">
        <f aca="false">IF(B2658="TV Show",IFERROR(VALUE(LEFT(I2658,FIND(" ",I2658)-1)),""),"")</f>
        <v/>
      </c>
      <c r="P2658" s="7" t="n">
        <f aca="false">IF(K2658="","",K2658-G2658)</f>
        <v>1</v>
      </c>
    </row>
    <row r="2659" customFormat="false" ht="15" hidden="false" customHeight="false" outlineLevel="0" collapsed="false">
      <c r="A2659" s="7" t="n">
        <v>80158770</v>
      </c>
      <c r="B2659" s="7" t="s">
        <v>68</v>
      </c>
      <c r="C2659" s="7" t="s">
        <v>5732</v>
      </c>
      <c r="D2659" s="7" t="s">
        <v>5733</v>
      </c>
      <c r="E2659" s="7" t="s">
        <v>28</v>
      </c>
      <c r="F2659" s="7" t="s">
        <v>5721</v>
      </c>
      <c r="G2659" s="7" t="n">
        <v>2017</v>
      </c>
      <c r="H2659" s="7" t="s">
        <v>49</v>
      </c>
      <c r="I2659" s="7" t="s">
        <v>935</v>
      </c>
      <c r="J2659" s="7" t="s">
        <v>39</v>
      </c>
      <c r="K2659" s="7" t="n">
        <f aca="false">IFERROR(VALUE(RIGHT(TRIM(F2659),4)),"")</f>
        <v>2017</v>
      </c>
      <c r="L2659" s="7" t="str">
        <f aca="false">IF(TRIM(E2659)="","Unknown",IFERROR(LEFT(TRIM(E2659),FIND(",",TRIM(E2659))-1),TRIM(E2659)))</f>
        <v>United Kingdom</v>
      </c>
      <c r="M2659" s="7" t="str">
        <f aca="false">IFERROR(LEFT(J2659,FIND(",",J2659)-1),J2659)</f>
        <v>Documentaries</v>
      </c>
      <c r="N2659" s="7" t="n">
        <f aca="false">IF(B2659="Movie",IFERROR(VALUE(LEFT(I2659,FIND(" ",I2659)-1)),""),"")</f>
        <v>47</v>
      </c>
      <c r="O2659" s="7" t="str">
        <f aca="false">IF(B2659="TV Show",IFERROR(VALUE(LEFT(I2659,FIND(" ",I2659)-1)),""),"")</f>
        <v/>
      </c>
      <c r="P2659" s="7" t="n">
        <f aca="false">IF(K2659="","",K2659-G2659)</f>
        <v>0</v>
      </c>
    </row>
    <row r="2660" customFormat="false" ht="15" hidden="false" customHeight="false" outlineLevel="0" collapsed="false">
      <c r="A2660" s="7" t="n">
        <v>70302844</v>
      </c>
      <c r="B2660" s="7" t="s">
        <v>68</v>
      </c>
      <c r="C2660" s="7" t="s">
        <v>5734</v>
      </c>
      <c r="D2660" s="7" t="s">
        <v>5735</v>
      </c>
      <c r="E2660" s="7" t="s">
        <v>26</v>
      </c>
      <c r="F2660" s="7" t="s">
        <v>5736</v>
      </c>
      <c r="G2660" s="7" t="n">
        <v>2014</v>
      </c>
      <c r="H2660" s="7" t="s">
        <v>612</v>
      </c>
      <c r="I2660" s="7" t="s">
        <v>107</v>
      </c>
      <c r="J2660" s="7" t="s">
        <v>42</v>
      </c>
      <c r="K2660" s="7" t="n">
        <f aca="false">IFERROR(VALUE(RIGHT(TRIM(F2660),4)),"")</f>
        <v>2014</v>
      </c>
      <c r="L2660" s="7" t="str">
        <f aca="false">IF(TRIM(E2660)="","Unknown",IFERROR(LEFT(TRIM(E2660),FIND(",",TRIM(E2660))-1),TRIM(E2660)))</f>
        <v>United States</v>
      </c>
      <c r="M2660" s="7" t="str">
        <f aca="false">IFERROR(LEFT(J2660,FIND(",",J2660)-1),J2660)</f>
        <v>Children &amp; Family Movies</v>
      </c>
      <c r="N2660" s="7" t="n">
        <f aca="false">IF(B2660="Movie",IFERROR(VALUE(LEFT(I2660,FIND(" ",I2660)-1)),""),"")</f>
        <v>78</v>
      </c>
      <c r="O2660" s="7" t="str">
        <f aca="false">IF(B2660="TV Show",IFERROR(VALUE(LEFT(I2660,FIND(" ",I2660)-1)),""),"")</f>
        <v/>
      </c>
      <c r="P2660" s="7" t="n">
        <f aca="false">IF(K2660="","",K2660-G2660)</f>
        <v>0</v>
      </c>
    </row>
    <row r="2661" customFormat="false" ht="15" hidden="false" customHeight="false" outlineLevel="0" collapsed="false">
      <c r="A2661" s="7" t="n">
        <v>80213322</v>
      </c>
      <c r="B2661" s="7" t="s">
        <v>78</v>
      </c>
      <c r="C2661" s="7" t="s">
        <v>5737</v>
      </c>
      <c r="E2661" s="7" t="s">
        <v>26</v>
      </c>
      <c r="F2661" s="7" t="s">
        <v>5738</v>
      </c>
      <c r="G2661" s="7" t="n">
        <v>2019</v>
      </c>
      <c r="H2661" s="7" t="s">
        <v>50</v>
      </c>
      <c r="I2661" s="7" t="s">
        <v>82</v>
      </c>
      <c r="J2661" s="7" t="s">
        <v>701</v>
      </c>
      <c r="K2661" s="7" t="n">
        <f aca="false">IFERROR(VALUE(RIGHT(TRIM(F2661),4)),"")</f>
        <v>2019</v>
      </c>
      <c r="L2661" s="7" t="str">
        <f aca="false">IF(TRIM(E2661)="","Unknown",IFERROR(LEFT(TRIM(E2661),FIND(",",TRIM(E2661))-1),TRIM(E2661)))</f>
        <v>United States</v>
      </c>
      <c r="M2661" s="7" t="str">
        <f aca="false">IFERROR(LEFT(J2661,FIND(",",J2661)-1),J2661)</f>
        <v>Reality TV</v>
      </c>
      <c r="N2661" s="7" t="str">
        <f aca="false">IF(B2661="Movie",IFERROR(VALUE(LEFT(I2661,FIND(" ",I2661)-1)),""),"")</f>
        <v/>
      </c>
      <c r="O2661" s="7" t="n">
        <f aca="false">IF(B2661="TV Show",IFERROR(VALUE(LEFT(I2661,FIND(" ",I2661)-1)),""),"")</f>
        <v>1</v>
      </c>
      <c r="P2661" s="7" t="n">
        <f aca="false">IF(K2661="","",K2661-G2661)</f>
        <v>0</v>
      </c>
    </row>
    <row r="2662" customFormat="false" ht="15" hidden="false" customHeight="false" outlineLevel="0" collapsed="false">
      <c r="A2662" s="7" t="n">
        <v>80245601</v>
      </c>
      <c r="B2662" s="7" t="s">
        <v>68</v>
      </c>
      <c r="C2662" s="7" t="s">
        <v>5739</v>
      </c>
      <c r="D2662" s="7" t="s">
        <v>5740</v>
      </c>
      <c r="E2662" s="7" t="s">
        <v>325</v>
      </c>
      <c r="F2662" s="7" t="s">
        <v>5738</v>
      </c>
      <c r="G2662" s="7" t="n">
        <v>2019</v>
      </c>
      <c r="H2662" s="7" t="s">
        <v>50</v>
      </c>
      <c r="I2662" s="7" t="s">
        <v>111</v>
      </c>
      <c r="J2662" s="7" t="s">
        <v>74</v>
      </c>
      <c r="K2662" s="7" t="n">
        <f aca="false">IFERROR(VALUE(RIGHT(TRIM(F2662),4)),"")</f>
        <v>2019</v>
      </c>
      <c r="L2662" s="7" t="str">
        <f aca="false">IF(TRIM(E2662)="","Unknown",IFERROR(LEFT(TRIM(E2662),FIND(",",TRIM(E2662))-1),TRIM(E2662)))</f>
        <v>Brazil</v>
      </c>
      <c r="M2662" s="7" t="str">
        <f aca="false">IFERROR(LEFT(J2662,FIND(",",J2662)-1),J2662)</f>
        <v>Children &amp; Family Movies</v>
      </c>
      <c r="N2662" s="7" t="n">
        <f aca="false">IF(B2662="Movie",IFERROR(VALUE(LEFT(I2662,FIND(" ",I2662)-1)),""),"")</f>
        <v>95</v>
      </c>
      <c r="O2662" s="7" t="str">
        <f aca="false">IF(B2662="TV Show",IFERROR(VALUE(LEFT(I2662,FIND(" ",I2662)-1)),""),"")</f>
        <v/>
      </c>
      <c r="P2662" s="7" t="n">
        <f aca="false">IF(K2662="","",K2662-G2662)</f>
        <v>0</v>
      </c>
    </row>
    <row r="2663" customFormat="false" ht="15" hidden="false" customHeight="false" outlineLevel="0" collapsed="false">
      <c r="A2663" s="7" t="n">
        <v>80222951</v>
      </c>
      <c r="B2663" s="7" t="s">
        <v>78</v>
      </c>
      <c r="C2663" s="7" t="s">
        <v>5741</v>
      </c>
      <c r="E2663" s="7" t="s">
        <v>27</v>
      </c>
      <c r="F2663" s="7" t="s">
        <v>5738</v>
      </c>
      <c r="G2663" s="7" t="n">
        <v>2019</v>
      </c>
      <c r="H2663" s="7" t="s">
        <v>48</v>
      </c>
      <c r="I2663" s="7" t="s">
        <v>82</v>
      </c>
      <c r="J2663" s="7" t="s">
        <v>3308</v>
      </c>
      <c r="K2663" s="7" t="n">
        <f aca="false">IFERROR(VALUE(RIGHT(TRIM(F2663),4)),"")</f>
        <v>2019</v>
      </c>
      <c r="L2663" s="7" t="str">
        <f aca="false">IF(TRIM(E2663)="","Unknown",IFERROR(LEFT(TRIM(E2663),FIND(",",TRIM(E2663))-1),TRIM(E2663)))</f>
        <v>India</v>
      </c>
      <c r="M2663" s="7" t="str">
        <f aca="false">IFERROR(LEFT(J2663,FIND(",",J2663)-1),J2663)</f>
        <v>International TV Shows</v>
      </c>
      <c r="N2663" s="7" t="str">
        <f aca="false">IF(B2663="Movie",IFERROR(VALUE(LEFT(I2663,FIND(" ",I2663)-1)),""),"")</f>
        <v/>
      </c>
      <c r="O2663" s="7" t="n">
        <f aca="false">IF(B2663="TV Show",IFERROR(VALUE(LEFT(I2663,FIND(" ",I2663)-1)),""),"")</f>
        <v>1</v>
      </c>
      <c r="P2663" s="7" t="n">
        <f aca="false">IF(K2663="","",K2663-G2663)</f>
        <v>0</v>
      </c>
    </row>
    <row r="2664" customFormat="false" ht="15" hidden="false" customHeight="false" outlineLevel="0" collapsed="false">
      <c r="A2664" s="7" t="n">
        <v>80242619</v>
      </c>
      <c r="B2664" s="7" t="s">
        <v>68</v>
      </c>
      <c r="C2664" s="7" t="s">
        <v>5742</v>
      </c>
      <c r="D2664" s="7" t="s">
        <v>4607</v>
      </c>
      <c r="E2664" s="7" t="s">
        <v>26</v>
      </c>
      <c r="F2664" s="7" t="s">
        <v>5738</v>
      </c>
      <c r="G2664" s="7" t="n">
        <v>2019</v>
      </c>
      <c r="H2664" s="7" t="s">
        <v>52</v>
      </c>
      <c r="I2664" s="7" t="s">
        <v>134</v>
      </c>
      <c r="J2664" s="7" t="s">
        <v>38</v>
      </c>
      <c r="K2664" s="7" t="n">
        <f aca="false">IFERROR(VALUE(RIGHT(TRIM(F2664),4)),"")</f>
        <v>2019</v>
      </c>
      <c r="L2664" s="7" t="str">
        <f aca="false">IF(TRIM(E2664)="","Unknown",IFERROR(LEFT(TRIM(E2664),FIND(",",TRIM(E2664))-1),TRIM(E2664)))</f>
        <v>United States</v>
      </c>
      <c r="M2664" s="7" t="str">
        <f aca="false">IFERROR(LEFT(J2664,FIND(",",J2664)-1),J2664)</f>
        <v>Comedies</v>
      </c>
      <c r="N2664" s="7" t="n">
        <f aca="false">IF(B2664="Movie",IFERROR(VALUE(LEFT(I2664,FIND(" ",I2664)-1)),""),"")</f>
        <v>98</v>
      </c>
      <c r="O2664" s="7" t="str">
        <f aca="false">IF(B2664="TV Show",IFERROR(VALUE(LEFT(I2664,FIND(" ",I2664)-1)),""),"")</f>
        <v/>
      </c>
      <c r="P2664" s="7" t="n">
        <f aca="false">IF(K2664="","",K2664-G2664)</f>
        <v>0</v>
      </c>
    </row>
    <row r="2665" customFormat="false" ht="15" hidden="false" customHeight="false" outlineLevel="0" collapsed="false">
      <c r="A2665" s="7" t="n">
        <v>80230561</v>
      </c>
      <c r="B2665" s="7" t="s">
        <v>78</v>
      </c>
      <c r="C2665" s="7" t="s">
        <v>5743</v>
      </c>
      <c r="E2665" s="7" t="s">
        <v>26</v>
      </c>
      <c r="F2665" s="7" t="s">
        <v>5738</v>
      </c>
      <c r="G2665" s="7" t="n">
        <v>2019</v>
      </c>
      <c r="H2665" s="7" t="s">
        <v>48</v>
      </c>
      <c r="I2665" s="7" t="s">
        <v>82</v>
      </c>
      <c r="J2665" s="7" t="s">
        <v>4059</v>
      </c>
      <c r="K2665" s="7" t="n">
        <f aca="false">IFERROR(VALUE(RIGHT(TRIM(F2665),4)),"")</f>
        <v>2019</v>
      </c>
      <c r="L2665" s="7" t="str">
        <f aca="false">IF(TRIM(E2665)="","Unknown",IFERROR(LEFT(TRIM(E2665),FIND(",",TRIM(E2665))-1),TRIM(E2665)))</f>
        <v>United States</v>
      </c>
      <c r="M2665" s="7" t="str">
        <f aca="false">IFERROR(LEFT(J2665,FIND(",",J2665)-1),J2665)</f>
        <v>TV Dramas</v>
      </c>
      <c r="N2665" s="7" t="str">
        <f aca="false">IF(B2665="Movie",IFERROR(VALUE(LEFT(I2665,FIND(" ",I2665)-1)),""),"")</f>
        <v/>
      </c>
      <c r="O2665" s="7" t="n">
        <f aca="false">IF(B2665="TV Show",IFERROR(VALUE(LEFT(I2665,FIND(" ",I2665)-1)),""),"")</f>
        <v>1</v>
      </c>
      <c r="P2665" s="7" t="n">
        <f aca="false">IF(K2665="","",K2665-G2665)</f>
        <v>0</v>
      </c>
    </row>
    <row r="2666" customFormat="false" ht="15" hidden="false" customHeight="false" outlineLevel="0" collapsed="false">
      <c r="A2666" s="7" t="n">
        <v>80238711</v>
      </c>
      <c r="B2666" s="7" t="s">
        <v>78</v>
      </c>
      <c r="C2666" s="7" t="s">
        <v>5744</v>
      </c>
      <c r="E2666" s="7" t="s">
        <v>34</v>
      </c>
      <c r="F2666" s="7" t="s">
        <v>5738</v>
      </c>
      <c r="G2666" s="7" t="n">
        <v>2019</v>
      </c>
      <c r="H2666" s="7" t="s">
        <v>48</v>
      </c>
      <c r="I2666" s="7" t="s">
        <v>82</v>
      </c>
      <c r="J2666" s="7" t="s">
        <v>89</v>
      </c>
      <c r="K2666" s="7" t="n">
        <f aca="false">IFERROR(VALUE(RIGHT(TRIM(F2666),4)),"")</f>
        <v>2019</v>
      </c>
      <c r="L2666" s="7" t="str">
        <f aca="false">IF(TRIM(E2666)="","Unknown",IFERROR(LEFT(TRIM(E2666),FIND(",",TRIM(E2666))-1),TRIM(E2666)))</f>
        <v>Mexico</v>
      </c>
      <c r="M2666" s="7" t="str">
        <f aca="false">IFERROR(LEFT(J2666,FIND(",",J2666)-1),J2666)</f>
        <v>Crime TV Shows</v>
      </c>
      <c r="N2666" s="7" t="str">
        <f aca="false">IF(B2666="Movie",IFERROR(VALUE(LEFT(I2666,FIND(" ",I2666)-1)),""),"")</f>
        <v/>
      </c>
      <c r="O2666" s="7" t="n">
        <f aca="false">IF(B2666="TV Show",IFERROR(VALUE(LEFT(I2666,FIND(" ",I2666)-1)),""),"")</f>
        <v>1</v>
      </c>
      <c r="P2666" s="7" t="n">
        <f aca="false">IF(K2666="","",K2666-G2666)</f>
        <v>0</v>
      </c>
    </row>
    <row r="2667" customFormat="false" ht="15" hidden="false" customHeight="false" outlineLevel="0" collapsed="false">
      <c r="A2667" s="7" t="n">
        <v>70267830</v>
      </c>
      <c r="B2667" s="7" t="s">
        <v>68</v>
      </c>
      <c r="C2667" s="7" t="s">
        <v>5745</v>
      </c>
      <c r="D2667" s="7" t="s">
        <v>5746</v>
      </c>
      <c r="E2667" s="7" t="s">
        <v>26</v>
      </c>
      <c r="F2667" s="7" t="s">
        <v>5747</v>
      </c>
      <c r="G2667" s="7" t="n">
        <v>2013</v>
      </c>
      <c r="H2667" s="7" t="s">
        <v>51</v>
      </c>
      <c r="I2667" s="7" t="s">
        <v>437</v>
      </c>
      <c r="J2667" s="7" t="s">
        <v>39</v>
      </c>
      <c r="K2667" s="7" t="n">
        <f aca="false">IFERROR(VALUE(RIGHT(TRIM(F2667),4)),"")</f>
        <v>2018</v>
      </c>
      <c r="L2667" s="7" t="str">
        <f aca="false">IF(TRIM(E2667)="","Unknown",IFERROR(LEFT(TRIM(E2667),FIND(",",TRIM(E2667))-1),TRIM(E2667)))</f>
        <v>United States</v>
      </c>
      <c r="M2667" s="7" t="str">
        <f aca="false">IFERROR(LEFT(J2667,FIND(",",J2667)-1),J2667)</f>
        <v>Documentaries</v>
      </c>
      <c r="N2667" s="7" t="n">
        <f aca="false">IF(B2667="Movie",IFERROR(VALUE(LEFT(I2667,FIND(" ",I2667)-1)),""),"")</f>
        <v>82</v>
      </c>
      <c r="O2667" s="7" t="str">
        <f aca="false">IF(B2667="TV Show",IFERROR(VALUE(LEFT(I2667,FIND(" ",I2667)-1)),""),"")</f>
        <v/>
      </c>
      <c r="P2667" s="7" t="n">
        <f aca="false">IF(K2667="","",K2667-G2667)</f>
        <v>5</v>
      </c>
    </row>
    <row r="2668" customFormat="false" ht="15" hidden="false" customHeight="false" outlineLevel="0" collapsed="false">
      <c r="A2668" s="7" t="n">
        <v>81035853</v>
      </c>
      <c r="B2668" s="7" t="s">
        <v>68</v>
      </c>
      <c r="C2668" s="7" t="s">
        <v>5748</v>
      </c>
      <c r="D2668" s="7" t="s">
        <v>5749</v>
      </c>
      <c r="F2668" s="7" t="s">
        <v>5750</v>
      </c>
      <c r="G2668" s="7" t="n">
        <v>2014</v>
      </c>
      <c r="H2668" s="7" t="s">
        <v>48</v>
      </c>
      <c r="I2668" s="7" t="s">
        <v>451</v>
      </c>
      <c r="J2668" s="7" t="s">
        <v>304</v>
      </c>
      <c r="K2668" s="7" t="n">
        <f aca="false">IFERROR(VALUE(RIGHT(TRIM(F2668),4)),"")</f>
        <v>2019</v>
      </c>
      <c r="L2668" s="7" t="str">
        <f aca="false">IF(TRIM(E2668)="","Unknown",IFERROR(LEFT(TRIM(E2668),FIND(",",TRIM(E2668))-1),TRIM(E2668)))</f>
        <v>Unknown</v>
      </c>
      <c r="M2668" s="7" t="str">
        <f aca="false">IFERROR(LEFT(J2668,FIND(",",J2668)-1),J2668)</f>
        <v>Dramas</v>
      </c>
      <c r="N2668" s="7" t="n">
        <f aca="false">IF(B2668="Movie",IFERROR(VALUE(LEFT(I2668,FIND(" ",I2668)-1)),""),"")</f>
        <v>97</v>
      </c>
      <c r="O2668" s="7" t="str">
        <f aca="false">IF(B2668="TV Show",IFERROR(VALUE(LEFT(I2668,FIND(" ",I2668)-1)),""),"")</f>
        <v/>
      </c>
      <c r="P2668" s="7" t="n">
        <f aca="false">IF(K2668="","",K2668-G2668)</f>
        <v>5</v>
      </c>
    </row>
    <row r="2669" customFormat="false" ht="15" hidden="false" customHeight="false" outlineLevel="0" collapsed="false">
      <c r="A2669" s="7" t="n">
        <v>81035841</v>
      </c>
      <c r="B2669" s="7" t="s">
        <v>68</v>
      </c>
      <c r="C2669" s="7" t="s">
        <v>5751</v>
      </c>
      <c r="D2669" s="7" t="s">
        <v>5581</v>
      </c>
      <c r="E2669" s="7" t="s">
        <v>963</v>
      </c>
      <c r="F2669" s="7" t="s">
        <v>5750</v>
      </c>
      <c r="G2669" s="7" t="n">
        <v>2016</v>
      </c>
      <c r="H2669" s="7" t="s">
        <v>49</v>
      </c>
      <c r="I2669" s="7" t="s">
        <v>181</v>
      </c>
      <c r="J2669" s="7" t="s">
        <v>202</v>
      </c>
      <c r="K2669" s="7" t="n">
        <f aca="false">IFERROR(VALUE(RIGHT(TRIM(F2669),4)),"")</f>
        <v>2019</v>
      </c>
      <c r="L2669" s="7" t="str">
        <f aca="false">IF(TRIM(E2669)="","Unknown",IFERROR(LEFT(TRIM(E2669),FIND(",",TRIM(E2669))-1),TRIM(E2669)))</f>
        <v>Egypt</v>
      </c>
      <c r="M2669" s="7" t="str">
        <f aca="false">IFERROR(LEFT(J2669,FIND(",",J2669)-1),J2669)</f>
        <v>Comedies</v>
      </c>
      <c r="N2669" s="7" t="n">
        <f aca="false">IF(B2669="Movie",IFERROR(VALUE(LEFT(I2669,FIND(" ",I2669)-1)),""),"")</f>
        <v>102</v>
      </c>
      <c r="O2669" s="7" t="str">
        <f aca="false">IF(B2669="TV Show",IFERROR(VALUE(LEFT(I2669,FIND(" ",I2669)-1)),""),"")</f>
        <v/>
      </c>
      <c r="P2669" s="7" t="n">
        <f aca="false">IF(K2669="","",K2669-G2669)</f>
        <v>3</v>
      </c>
    </row>
    <row r="2670" customFormat="false" ht="15" hidden="false" customHeight="false" outlineLevel="0" collapsed="false">
      <c r="A2670" s="7" t="n">
        <v>80220816</v>
      </c>
      <c r="B2670" s="7" t="s">
        <v>78</v>
      </c>
      <c r="C2670" s="7" t="s">
        <v>5752</v>
      </c>
      <c r="E2670" s="7" t="s">
        <v>5753</v>
      </c>
      <c r="F2670" s="7" t="s">
        <v>5750</v>
      </c>
      <c r="G2670" s="7" t="n">
        <v>2019</v>
      </c>
      <c r="H2670" s="7" t="s">
        <v>48</v>
      </c>
      <c r="I2670" s="7" t="s">
        <v>82</v>
      </c>
      <c r="J2670" s="7" t="s">
        <v>3308</v>
      </c>
      <c r="K2670" s="7" t="n">
        <f aca="false">IFERROR(VALUE(RIGHT(TRIM(F2670),4)),"")</f>
        <v>2019</v>
      </c>
      <c r="L2670" s="7" t="str">
        <f aca="false">IF(TRIM(E2670)="","Unknown",IFERROR(LEFT(TRIM(E2670),FIND(",",TRIM(E2670))-1),TRIM(E2670)))</f>
        <v>Lebanon</v>
      </c>
      <c r="M2670" s="7" t="str">
        <f aca="false">IFERROR(LEFT(J2670,FIND(",",J2670)-1),J2670)</f>
        <v>International TV Shows</v>
      </c>
      <c r="N2670" s="7" t="str">
        <f aca="false">IF(B2670="Movie",IFERROR(VALUE(LEFT(I2670,FIND(" ",I2670)-1)),""),"")</f>
        <v/>
      </c>
      <c r="O2670" s="7" t="n">
        <f aca="false">IF(B2670="TV Show",IFERROR(VALUE(LEFT(I2670,FIND(" ",I2670)-1)),""),"")</f>
        <v>1</v>
      </c>
      <c r="P2670" s="7" t="n">
        <f aca="false">IF(K2670="","",K2670-G2670)</f>
        <v>0</v>
      </c>
    </row>
    <row r="2671" customFormat="false" ht="15" hidden="false" customHeight="false" outlineLevel="0" collapsed="false">
      <c r="A2671" s="7" t="n">
        <v>81147766</v>
      </c>
      <c r="B2671" s="7" t="s">
        <v>68</v>
      </c>
      <c r="C2671" s="7" t="s">
        <v>5754</v>
      </c>
      <c r="D2671" s="7" t="s">
        <v>5755</v>
      </c>
      <c r="E2671" s="7" t="s">
        <v>26</v>
      </c>
      <c r="F2671" s="7" t="s">
        <v>5750</v>
      </c>
      <c r="G2671" s="7" t="n">
        <v>2019</v>
      </c>
      <c r="H2671" s="7" t="s">
        <v>49</v>
      </c>
      <c r="I2671" s="7" t="s">
        <v>123</v>
      </c>
      <c r="J2671" s="7" t="s">
        <v>39</v>
      </c>
      <c r="K2671" s="7" t="n">
        <f aca="false">IFERROR(VALUE(RIGHT(TRIM(F2671),4)),"")</f>
        <v>2019</v>
      </c>
      <c r="L2671" s="7" t="str">
        <f aca="false">IF(TRIM(E2671)="","Unknown",IFERROR(LEFT(TRIM(E2671),FIND(",",TRIM(E2671))-1),TRIM(E2671)))</f>
        <v>United States</v>
      </c>
      <c r="M2671" s="7" t="str">
        <f aca="false">IFERROR(LEFT(J2671,FIND(",",J2671)-1),J2671)</f>
        <v>Documentaries</v>
      </c>
      <c r="N2671" s="7" t="n">
        <f aca="false">IF(B2671="Movie",IFERROR(VALUE(LEFT(I2671,FIND(" ",I2671)-1)),""),"")</f>
        <v>61</v>
      </c>
      <c r="O2671" s="7" t="str">
        <f aca="false">IF(B2671="TV Show",IFERROR(VALUE(LEFT(I2671,FIND(" ",I2671)-1)),""),"")</f>
        <v/>
      </c>
      <c r="P2671" s="7" t="n">
        <f aca="false">IF(K2671="","",K2671-G2671)</f>
        <v>0</v>
      </c>
    </row>
    <row r="2672" customFormat="false" ht="15" hidden="false" customHeight="false" outlineLevel="0" collapsed="false">
      <c r="A2672" s="7" t="n">
        <v>81035889</v>
      </c>
      <c r="B2672" s="7" t="s">
        <v>68</v>
      </c>
      <c r="C2672" s="7" t="s">
        <v>5756</v>
      </c>
      <c r="D2672" s="7" t="s">
        <v>5305</v>
      </c>
      <c r="E2672" s="7" t="s">
        <v>963</v>
      </c>
      <c r="F2672" s="7" t="s">
        <v>5750</v>
      </c>
      <c r="G2672" s="7" t="n">
        <v>2018</v>
      </c>
      <c r="H2672" s="7" t="s">
        <v>48</v>
      </c>
      <c r="I2672" s="7" t="s">
        <v>272</v>
      </c>
      <c r="J2672" s="7" t="s">
        <v>206</v>
      </c>
      <c r="K2672" s="7" t="n">
        <f aca="false">IFERROR(VALUE(RIGHT(TRIM(F2672),4)),"")</f>
        <v>2019</v>
      </c>
      <c r="L2672" s="7" t="str">
        <f aca="false">IF(TRIM(E2672)="","Unknown",IFERROR(LEFT(TRIM(E2672),FIND(",",TRIM(E2672))-1),TRIM(E2672)))</f>
        <v>Egypt</v>
      </c>
      <c r="M2672" s="7" t="str">
        <f aca="false">IFERROR(LEFT(J2672,FIND(",",J2672)-1),J2672)</f>
        <v>Comedies</v>
      </c>
      <c r="N2672" s="7" t="n">
        <f aca="false">IF(B2672="Movie",IFERROR(VALUE(LEFT(I2672,FIND(" ",I2672)-1)),""),"")</f>
        <v>93</v>
      </c>
      <c r="O2672" s="7" t="str">
        <f aca="false">IF(B2672="TV Show",IFERROR(VALUE(LEFT(I2672,FIND(" ",I2672)-1)),""),"")</f>
        <v/>
      </c>
      <c r="P2672" s="7" t="n">
        <f aca="false">IF(K2672="","",K2672-G2672)</f>
        <v>1</v>
      </c>
    </row>
    <row r="2673" customFormat="false" ht="15" hidden="false" customHeight="false" outlineLevel="0" collapsed="false">
      <c r="A2673" s="7" t="n">
        <v>81088277</v>
      </c>
      <c r="B2673" s="7" t="s">
        <v>68</v>
      </c>
      <c r="C2673" s="7" t="s">
        <v>5757</v>
      </c>
      <c r="D2673" s="7" t="s">
        <v>380</v>
      </c>
      <c r="E2673" s="7" t="s">
        <v>362</v>
      </c>
      <c r="F2673" s="7" t="s">
        <v>5750</v>
      </c>
      <c r="G2673" s="7" t="n">
        <v>2019</v>
      </c>
      <c r="H2673" s="7" t="s">
        <v>48</v>
      </c>
      <c r="I2673" s="7" t="s">
        <v>386</v>
      </c>
      <c r="J2673" s="7" t="s">
        <v>169</v>
      </c>
      <c r="K2673" s="7" t="n">
        <f aca="false">IFERROR(VALUE(RIGHT(TRIM(F2673),4)),"")</f>
        <v>2019</v>
      </c>
      <c r="L2673" s="7" t="str">
        <f aca="false">IF(TRIM(E2673)="","Unknown",IFERROR(LEFT(TRIM(E2673),FIND(",",TRIM(E2673))-1),TRIM(E2673)))</f>
        <v>Indonesia</v>
      </c>
      <c r="M2673" s="7" t="str">
        <f aca="false">IFERROR(LEFT(J2673,FIND(",",J2673)-1),J2673)</f>
        <v>Horror Movies</v>
      </c>
      <c r="N2673" s="7" t="n">
        <f aca="false">IF(B2673="Movie",IFERROR(VALUE(LEFT(I2673,FIND(" ",I2673)-1)),""),"")</f>
        <v>117</v>
      </c>
      <c r="O2673" s="7" t="str">
        <f aca="false">IF(B2673="TV Show",IFERROR(VALUE(LEFT(I2673,FIND(" ",I2673)-1)),""),"")</f>
        <v/>
      </c>
      <c r="P2673" s="7" t="n">
        <f aca="false">IF(K2673="","",K2673-G2673)</f>
        <v>0</v>
      </c>
    </row>
    <row r="2674" customFormat="false" ht="15" hidden="false" customHeight="false" outlineLevel="0" collapsed="false">
      <c r="A2674" s="7" t="n">
        <v>81035874</v>
      </c>
      <c r="B2674" s="7" t="s">
        <v>68</v>
      </c>
      <c r="C2674" s="7" t="s">
        <v>5758</v>
      </c>
      <c r="D2674" s="7" t="s">
        <v>3526</v>
      </c>
      <c r="E2674" s="7" t="s">
        <v>963</v>
      </c>
      <c r="F2674" s="7" t="s">
        <v>5750</v>
      </c>
      <c r="G2674" s="7" t="n">
        <v>2010</v>
      </c>
      <c r="H2674" s="7" t="s">
        <v>49</v>
      </c>
      <c r="I2674" s="7" t="s">
        <v>268</v>
      </c>
      <c r="J2674" s="7" t="s">
        <v>217</v>
      </c>
      <c r="K2674" s="7" t="n">
        <f aca="false">IFERROR(VALUE(RIGHT(TRIM(F2674),4)),"")</f>
        <v>2019</v>
      </c>
      <c r="L2674" s="7" t="str">
        <f aca="false">IF(TRIM(E2674)="","Unknown",IFERROR(LEFT(TRIM(E2674),FIND(",",TRIM(E2674))-1),TRIM(E2674)))</f>
        <v>Egypt</v>
      </c>
      <c r="M2674" s="7" t="str">
        <f aca="false">IFERROR(LEFT(J2674,FIND(",",J2674)-1),J2674)</f>
        <v>Comedies</v>
      </c>
      <c r="N2674" s="7" t="n">
        <f aca="false">IF(B2674="Movie",IFERROR(VALUE(LEFT(I2674,FIND(" ",I2674)-1)),""),"")</f>
        <v>108</v>
      </c>
      <c r="O2674" s="7" t="str">
        <f aca="false">IF(B2674="TV Show",IFERROR(VALUE(LEFT(I2674,FIND(" ",I2674)-1)),""),"")</f>
        <v/>
      </c>
      <c r="P2674" s="7" t="n">
        <f aca="false">IF(K2674="","",K2674-G2674)</f>
        <v>9</v>
      </c>
    </row>
    <row r="2675" customFormat="false" ht="15" hidden="false" customHeight="false" outlineLevel="0" collapsed="false">
      <c r="A2675" s="7" t="n">
        <v>81035883</v>
      </c>
      <c r="B2675" s="7" t="s">
        <v>68</v>
      </c>
      <c r="C2675" s="7" t="s">
        <v>5759</v>
      </c>
      <c r="D2675" s="7" t="s">
        <v>5760</v>
      </c>
      <c r="E2675" s="7" t="s">
        <v>963</v>
      </c>
      <c r="F2675" s="7" t="s">
        <v>5750</v>
      </c>
      <c r="G2675" s="7" t="n">
        <v>2017</v>
      </c>
      <c r="H2675" s="7" t="s">
        <v>48</v>
      </c>
      <c r="I2675" s="7" t="s">
        <v>235</v>
      </c>
      <c r="J2675" s="7" t="s">
        <v>112</v>
      </c>
      <c r="K2675" s="7" t="n">
        <f aca="false">IFERROR(VALUE(RIGHT(TRIM(F2675),4)),"")</f>
        <v>2019</v>
      </c>
      <c r="L2675" s="7" t="str">
        <f aca="false">IF(TRIM(E2675)="","Unknown",IFERROR(LEFT(TRIM(E2675),FIND(",",TRIM(E2675))-1),TRIM(E2675)))</f>
        <v>Egypt</v>
      </c>
      <c r="M2675" s="7" t="str">
        <f aca="false">IFERROR(LEFT(J2675,FIND(",",J2675)-1),J2675)</f>
        <v>Action &amp; Adventure</v>
      </c>
      <c r="N2675" s="7" t="n">
        <f aca="false">IF(B2675="Movie",IFERROR(VALUE(LEFT(I2675,FIND(" ",I2675)-1)),""),"")</f>
        <v>126</v>
      </c>
      <c r="O2675" s="7" t="str">
        <f aca="false">IF(B2675="TV Show",IFERROR(VALUE(LEFT(I2675,FIND(" ",I2675)-1)),""),"")</f>
        <v/>
      </c>
      <c r="P2675" s="7" t="n">
        <f aca="false">IF(K2675="","",K2675-G2675)</f>
        <v>2</v>
      </c>
    </row>
    <row r="2676" customFormat="false" ht="15" hidden="false" customHeight="false" outlineLevel="0" collapsed="false">
      <c r="A2676" s="7" t="n">
        <v>81035848</v>
      </c>
      <c r="B2676" s="7" t="s">
        <v>68</v>
      </c>
      <c r="C2676" s="7" t="s">
        <v>5761</v>
      </c>
      <c r="D2676" s="7" t="s">
        <v>5762</v>
      </c>
      <c r="E2676" s="7" t="s">
        <v>963</v>
      </c>
      <c r="F2676" s="7" t="s">
        <v>5750</v>
      </c>
      <c r="G2676" s="7" t="n">
        <v>2011</v>
      </c>
      <c r="H2676" s="7" t="s">
        <v>49</v>
      </c>
      <c r="I2676" s="7" t="s">
        <v>272</v>
      </c>
      <c r="J2676" s="7" t="s">
        <v>240</v>
      </c>
      <c r="K2676" s="7" t="n">
        <f aca="false">IFERROR(VALUE(RIGHT(TRIM(F2676),4)),"")</f>
        <v>2019</v>
      </c>
      <c r="L2676" s="7" t="str">
        <f aca="false">IF(TRIM(E2676)="","Unknown",IFERROR(LEFT(TRIM(E2676),FIND(",",TRIM(E2676))-1),TRIM(E2676)))</f>
        <v>Egypt</v>
      </c>
      <c r="M2676" s="7" t="str">
        <f aca="false">IFERROR(LEFT(J2676,FIND(",",J2676)-1),J2676)</f>
        <v>Dramas</v>
      </c>
      <c r="N2676" s="7" t="n">
        <f aca="false">IF(B2676="Movie",IFERROR(VALUE(LEFT(I2676,FIND(" ",I2676)-1)),""),"")</f>
        <v>93</v>
      </c>
      <c r="O2676" s="7" t="str">
        <f aca="false">IF(B2676="TV Show",IFERROR(VALUE(LEFT(I2676,FIND(" ",I2676)-1)),""),"")</f>
        <v/>
      </c>
      <c r="P2676" s="7" t="n">
        <f aca="false">IF(K2676="","",K2676-G2676)</f>
        <v>8</v>
      </c>
    </row>
    <row r="2677" customFormat="false" ht="15" hidden="false" customHeight="false" outlineLevel="0" collapsed="false">
      <c r="A2677" s="7" t="n">
        <v>80176756</v>
      </c>
      <c r="B2677" s="7" t="s">
        <v>68</v>
      </c>
      <c r="C2677" s="7" t="s">
        <v>5763</v>
      </c>
      <c r="D2677" s="7" t="s">
        <v>5764</v>
      </c>
      <c r="E2677" s="7" t="s">
        <v>26</v>
      </c>
      <c r="F2677" s="7" t="s">
        <v>5765</v>
      </c>
      <c r="G2677" s="7" t="n">
        <v>2017</v>
      </c>
      <c r="H2677" s="7" t="s">
        <v>52</v>
      </c>
      <c r="I2677" s="7" t="s">
        <v>134</v>
      </c>
      <c r="J2677" s="7" t="s">
        <v>276</v>
      </c>
      <c r="K2677" s="7" t="n">
        <f aca="false">IFERROR(VALUE(RIGHT(TRIM(F2677),4)),"")</f>
        <v>2017</v>
      </c>
      <c r="L2677" s="7" t="str">
        <f aca="false">IF(TRIM(E2677)="","Unknown",IFERROR(LEFT(TRIM(E2677),FIND(",",TRIM(E2677))-1),TRIM(E2677)))</f>
        <v>United States</v>
      </c>
      <c r="M2677" s="7" t="str">
        <f aca="false">IFERROR(LEFT(J2677,FIND(",",J2677)-1),J2677)</f>
        <v>Action &amp; Adventure</v>
      </c>
      <c r="N2677" s="7" t="n">
        <f aca="false">IF(B2677="Movie",IFERROR(VALUE(LEFT(I2677,FIND(" ",I2677)-1)),""),"")</f>
        <v>98</v>
      </c>
      <c r="O2677" s="7" t="str">
        <f aca="false">IF(B2677="TV Show",IFERROR(VALUE(LEFT(I2677,FIND(" ",I2677)-1)),""),"")</f>
        <v/>
      </c>
      <c r="P2677" s="7" t="n">
        <f aca="false">IF(K2677="","",K2677-G2677)</f>
        <v>0</v>
      </c>
    </row>
    <row r="2678" customFormat="false" ht="15" hidden="false" customHeight="false" outlineLevel="0" collapsed="false">
      <c r="A2678" s="7" t="n">
        <v>80168221</v>
      </c>
      <c r="B2678" s="7" t="s">
        <v>68</v>
      </c>
      <c r="C2678" s="7" t="s">
        <v>5766</v>
      </c>
      <c r="D2678" s="7" t="s">
        <v>5767</v>
      </c>
      <c r="E2678" s="7" t="s">
        <v>26</v>
      </c>
      <c r="F2678" s="7" t="s">
        <v>5765</v>
      </c>
      <c r="G2678" s="7" t="n">
        <v>2017</v>
      </c>
      <c r="H2678" s="7" t="s">
        <v>48</v>
      </c>
      <c r="I2678" s="7" t="s">
        <v>181</v>
      </c>
      <c r="J2678" s="7" t="s">
        <v>45</v>
      </c>
      <c r="K2678" s="7" t="n">
        <f aca="false">IFERROR(VALUE(RIGHT(TRIM(F2678),4)),"")</f>
        <v>2017</v>
      </c>
      <c r="L2678" s="7" t="str">
        <f aca="false">IF(TRIM(E2678)="","Unknown",IFERROR(LEFT(TRIM(E2678),FIND(",",TRIM(E2678))-1),TRIM(E2678)))</f>
        <v>United States</v>
      </c>
      <c r="M2678" s="7" t="str">
        <f aca="false">IFERROR(LEFT(J2678,FIND(",",J2678)-1),J2678)</f>
        <v>Stand-Up Comedy</v>
      </c>
      <c r="N2678" s="7" t="n">
        <f aca="false">IF(B2678="Movie",IFERROR(VALUE(LEFT(I2678,FIND(" ",I2678)-1)),""),"")</f>
        <v>102</v>
      </c>
      <c r="O2678" s="7" t="str">
        <f aca="false">IF(B2678="TV Show",IFERROR(VALUE(LEFT(I2678,FIND(" ",I2678)-1)),""),"")</f>
        <v/>
      </c>
      <c r="P2678" s="7" t="n">
        <f aca="false">IF(K2678="","",K2678-G2678)</f>
        <v>0</v>
      </c>
    </row>
    <row r="2679" customFormat="false" ht="15" hidden="false" customHeight="false" outlineLevel="0" collapsed="false">
      <c r="A2679" s="7" t="n">
        <v>70261178</v>
      </c>
      <c r="B2679" s="7" t="s">
        <v>68</v>
      </c>
      <c r="C2679" s="7" t="s">
        <v>5768</v>
      </c>
      <c r="D2679" s="7" t="s">
        <v>5769</v>
      </c>
      <c r="E2679" s="7" t="s">
        <v>26</v>
      </c>
      <c r="F2679" s="7" t="s">
        <v>5770</v>
      </c>
      <c r="G2679" s="7" t="n">
        <v>2012</v>
      </c>
      <c r="H2679" s="7" t="s">
        <v>51</v>
      </c>
      <c r="I2679" s="7" t="s">
        <v>138</v>
      </c>
      <c r="J2679" s="7" t="s">
        <v>509</v>
      </c>
      <c r="K2679" s="7" t="n">
        <f aca="false">IFERROR(VALUE(RIGHT(TRIM(F2679),4)),"")</f>
        <v>2016</v>
      </c>
      <c r="L2679" s="7" t="str">
        <f aca="false">IF(TRIM(E2679)="","Unknown",IFERROR(LEFT(TRIM(E2679),FIND(",",TRIM(E2679))-1),TRIM(E2679)))</f>
        <v>United States</v>
      </c>
      <c r="M2679" s="7" t="str">
        <f aca="false">IFERROR(LEFT(J2679,FIND(",",J2679)-1),J2679)</f>
        <v>Documentaries</v>
      </c>
      <c r="N2679" s="7" t="n">
        <f aca="false">IF(B2679="Movie",IFERROR(VALUE(LEFT(I2679,FIND(" ",I2679)-1)),""),"")</f>
        <v>96</v>
      </c>
      <c r="O2679" s="7" t="str">
        <f aca="false">IF(B2679="TV Show",IFERROR(VALUE(LEFT(I2679,FIND(" ",I2679)-1)),""),"")</f>
        <v/>
      </c>
      <c r="P2679" s="7" t="n">
        <f aca="false">IF(K2679="","",K2679-G2679)</f>
        <v>4</v>
      </c>
    </row>
    <row r="2680" customFormat="false" ht="15" hidden="false" customHeight="false" outlineLevel="0" collapsed="false">
      <c r="A2680" s="7" t="n">
        <v>81002929</v>
      </c>
      <c r="B2680" s="7" t="s">
        <v>68</v>
      </c>
      <c r="C2680" s="7" t="s">
        <v>5771</v>
      </c>
      <c r="D2680" s="7" t="s">
        <v>2163</v>
      </c>
      <c r="E2680" s="7" t="s">
        <v>26</v>
      </c>
      <c r="F2680" s="7" t="s">
        <v>5772</v>
      </c>
      <c r="G2680" s="7" t="n">
        <v>2019</v>
      </c>
      <c r="H2680" s="7" t="s">
        <v>48</v>
      </c>
      <c r="I2680" s="7" t="s">
        <v>98</v>
      </c>
      <c r="J2680" s="7" t="s">
        <v>45</v>
      </c>
      <c r="K2680" s="7" t="n">
        <f aca="false">IFERROR(VALUE(RIGHT(TRIM(F2680),4)),"")</f>
        <v>2019</v>
      </c>
      <c r="L2680" s="7" t="str">
        <f aca="false">IF(TRIM(E2680)="","Unknown",IFERROR(LEFT(TRIM(E2680),FIND(",",TRIM(E2680))-1),TRIM(E2680)))</f>
        <v>United States</v>
      </c>
      <c r="M2680" s="7" t="str">
        <f aca="false">IFERROR(LEFT(J2680,FIND(",",J2680)-1),J2680)</f>
        <v>Stand-Up Comedy</v>
      </c>
      <c r="N2680" s="7" t="n">
        <f aca="false">IF(B2680="Movie",IFERROR(VALUE(LEFT(I2680,FIND(" ",I2680)-1)),""),"")</f>
        <v>60</v>
      </c>
      <c r="O2680" s="7" t="str">
        <f aca="false">IF(B2680="TV Show",IFERROR(VALUE(LEFT(I2680,FIND(" ",I2680)-1)),""),"")</f>
        <v/>
      </c>
      <c r="P2680" s="7" t="n">
        <f aca="false">IF(K2680="","",K2680-G2680)</f>
        <v>0</v>
      </c>
    </row>
    <row r="2681" customFormat="false" ht="15" hidden="false" customHeight="false" outlineLevel="0" collapsed="false">
      <c r="A2681" s="7" t="n">
        <v>80221016</v>
      </c>
      <c r="B2681" s="7" t="s">
        <v>68</v>
      </c>
      <c r="C2681" s="7" t="s">
        <v>5773</v>
      </c>
      <c r="D2681" s="7" t="s">
        <v>2052</v>
      </c>
      <c r="E2681" s="7" t="s">
        <v>26</v>
      </c>
      <c r="F2681" s="7" t="s">
        <v>5772</v>
      </c>
      <c r="G2681" s="7" t="n">
        <v>2019</v>
      </c>
      <c r="H2681" s="7" t="s">
        <v>48</v>
      </c>
      <c r="I2681" s="7" t="s">
        <v>197</v>
      </c>
      <c r="J2681" s="7" t="s">
        <v>509</v>
      </c>
      <c r="K2681" s="7" t="n">
        <f aca="false">IFERROR(VALUE(RIGHT(TRIM(F2681),4)),"")</f>
        <v>2019</v>
      </c>
      <c r="L2681" s="7" t="str">
        <f aca="false">IF(TRIM(E2681)="","Unknown",IFERROR(LEFT(TRIM(E2681),FIND(",",TRIM(E2681))-1),TRIM(E2681)))</f>
        <v>United States</v>
      </c>
      <c r="M2681" s="7" t="str">
        <f aca="false">IFERROR(LEFT(J2681,FIND(",",J2681)-1),J2681)</f>
        <v>Documentaries</v>
      </c>
      <c r="N2681" s="7" t="n">
        <f aca="false">IF(B2681="Movie",IFERROR(VALUE(LEFT(I2681,FIND(" ",I2681)-1)),""),"")</f>
        <v>142</v>
      </c>
      <c r="O2681" s="7" t="str">
        <f aca="false">IF(B2681="TV Show",IFERROR(VALUE(LEFT(I2681,FIND(" ",I2681)-1)),""),"")</f>
        <v/>
      </c>
      <c r="P2681" s="7" t="n">
        <f aca="false">IF(K2681="","",K2681-G2681)</f>
        <v>0</v>
      </c>
    </row>
    <row r="2682" customFormat="false" ht="15" hidden="false" customHeight="false" outlineLevel="0" collapsed="false">
      <c r="A2682" s="7" t="n">
        <v>80994442</v>
      </c>
      <c r="B2682" s="7" t="s">
        <v>68</v>
      </c>
      <c r="C2682" s="7" t="s">
        <v>5774</v>
      </c>
      <c r="E2682" s="7" t="s">
        <v>325</v>
      </c>
      <c r="F2682" s="7" t="s">
        <v>5775</v>
      </c>
      <c r="G2682" s="7" t="n">
        <v>2017</v>
      </c>
      <c r="H2682" s="7" t="s">
        <v>50</v>
      </c>
      <c r="I2682" s="7" t="s">
        <v>661</v>
      </c>
      <c r="J2682" s="7" t="s">
        <v>341</v>
      </c>
      <c r="K2682" s="7" t="n">
        <f aca="false">IFERROR(VALUE(RIGHT(TRIM(F2682),4)),"")</f>
        <v>2018</v>
      </c>
      <c r="L2682" s="7" t="str">
        <f aca="false">IF(TRIM(E2682)="","Unknown",IFERROR(LEFT(TRIM(E2682),FIND(",",TRIM(E2682))-1),TRIM(E2682)))</f>
        <v>Brazil</v>
      </c>
      <c r="M2682" s="7" t="str">
        <f aca="false">IFERROR(LEFT(J2682,FIND(",",J2682)-1),J2682)</f>
        <v>Documentaries</v>
      </c>
      <c r="N2682" s="7" t="n">
        <f aca="false">IF(B2682="Movie",IFERROR(VALUE(LEFT(I2682,FIND(" ",I2682)-1)),""),"")</f>
        <v>76</v>
      </c>
      <c r="O2682" s="7" t="str">
        <f aca="false">IF(B2682="TV Show",IFERROR(VALUE(LEFT(I2682,FIND(" ",I2682)-1)),""),"")</f>
        <v/>
      </c>
      <c r="P2682" s="7" t="n">
        <f aca="false">IF(K2682="","",K2682-G2682)</f>
        <v>1</v>
      </c>
    </row>
    <row r="2683" customFormat="false" ht="15" hidden="false" customHeight="false" outlineLevel="0" collapsed="false">
      <c r="A2683" s="7" t="n">
        <v>80222188</v>
      </c>
      <c r="B2683" s="7" t="s">
        <v>68</v>
      </c>
      <c r="C2683" s="7" t="s">
        <v>5776</v>
      </c>
      <c r="D2683" s="7" t="s">
        <v>5777</v>
      </c>
      <c r="E2683" s="7" t="s">
        <v>26</v>
      </c>
      <c r="F2683" s="7" t="s">
        <v>5775</v>
      </c>
      <c r="G2683" s="7" t="n">
        <v>2017</v>
      </c>
      <c r="H2683" s="7" t="s">
        <v>49</v>
      </c>
      <c r="I2683" s="7" t="s">
        <v>111</v>
      </c>
      <c r="J2683" s="7" t="s">
        <v>1558</v>
      </c>
      <c r="K2683" s="7" t="n">
        <f aca="false">IFERROR(VALUE(RIGHT(TRIM(F2683),4)),"")</f>
        <v>2018</v>
      </c>
      <c r="L2683" s="7" t="str">
        <f aca="false">IF(TRIM(E2683)="","Unknown",IFERROR(LEFT(TRIM(E2683),FIND(",",TRIM(E2683))-1),TRIM(E2683)))</f>
        <v>United States</v>
      </c>
      <c r="M2683" s="7" t="str">
        <f aca="false">IFERROR(LEFT(J2683,FIND(",",J2683)-1),J2683)</f>
        <v>Dramas</v>
      </c>
      <c r="N2683" s="7" t="n">
        <f aca="false">IF(B2683="Movie",IFERROR(VALUE(LEFT(I2683,FIND(" ",I2683)-1)),""),"")</f>
        <v>95</v>
      </c>
      <c r="O2683" s="7" t="str">
        <f aca="false">IF(B2683="TV Show",IFERROR(VALUE(LEFT(I2683,FIND(" ",I2683)-1)),""),"")</f>
        <v/>
      </c>
      <c r="P2683" s="7" t="n">
        <f aca="false">IF(K2683="","",K2683-G2683)</f>
        <v>1</v>
      </c>
    </row>
    <row r="2684" customFormat="false" ht="15" hidden="false" customHeight="false" outlineLevel="0" collapsed="false">
      <c r="A2684" s="7" t="n">
        <v>80221640</v>
      </c>
      <c r="B2684" s="7" t="s">
        <v>68</v>
      </c>
      <c r="C2684" s="7" t="s">
        <v>5778</v>
      </c>
      <c r="D2684" s="7" t="s">
        <v>5779</v>
      </c>
      <c r="E2684" s="7" t="s">
        <v>26</v>
      </c>
      <c r="F2684" s="7" t="s">
        <v>5780</v>
      </c>
      <c r="G2684" s="7" t="n">
        <v>2018</v>
      </c>
      <c r="H2684" s="7" t="s">
        <v>54</v>
      </c>
      <c r="I2684" s="7" t="s">
        <v>146</v>
      </c>
      <c r="J2684" s="7" t="s">
        <v>74</v>
      </c>
      <c r="K2684" s="7" t="n">
        <f aca="false">IFERROR(VALUE(RIGHT(TRIM(F2684),4)),"")</f>
        <v>2019</v>
      </c>
      <c r="L2684" s="7" t="str">
        <f aca="false">IF(TRIM(E2684)="","Unknown",IFERROR(LEFT(TRIM(E2684),FIND(",",TRIM(E2684))-1),TRIM(E2684)))</f>
        <v>United States</v>
      </c>
      <c r="M2684" s="7" t="str">
        <f aca="false">IFERROR(LEFT(J2684,FIND(",",J2684)-1),J2684)</f>
        <v>Children &amp; Family Movies</v>
      </c>
      <c r="N2684" s="7" t="n">
        <f aca="false">IF(B2684="Movie",IFERROR(VALUE(LEFT(I2684,FIND(" ",I2684)-1)),""),"")</f>
        <v>113</v>
      </c>
      <c r="O2684" s="7" t="str">
        <f aca="false">IF(B2684="TV Show",IFERROR(VALUE(LEFT(I2684,FIND(" ",I2684)-1)),""),"")</f>
        <v/>
      </c>
      <c r="P2684" s="7" t="n">
        <f aca="false">IF(K2684="","",K2684-G2684)</f>
        <v>1</v>
      </c>
    </row>
    <row r="2685" customFormat="false" ht="15" hidden="false" customHeight="false" outlineLevel="0" collapsed="false">
      <c r="A2685" s="7" t="n">
        <v>81044608</v>
      </c>
      <c r="B2685" s="7" t="s">
        <v>78</v>
      </c>
      <c r="C2685" s="7" t="s">
        <v>5781</v>
      </c>
      <c r="E2685" s="7" t="s">
        <v>1178</v>
      </c>
      <c r="F2685" s="7" t="s">
        <v>5782</v>
      </c>
      <c r="G2685" s="7" t="n">
        <v>2007</v>
      </c>
      <c r="H2685" s="7" t="s">
        <v>119</v>
      </c>
      <c r="I2685" s="7" t="s">
        <v>82</v>
      </c>
      <c r="J2685" s="7" t="s">
        <v>44</v>
      </c>
      <c r="K2685" s="7" t="n">
        <f aca="false">IFERROR(VALUE(RIGHT(TRIM(F2685),4)),"")</f>
        <v>2019</v>
      </c>
      <c r="L2685" s="7" t="str">
        <f aca="false">IF(TRIM(E2685)="","Unknown",IFERROR(LEFT(TRIM(E2685),FIND(",",TRIM(E2685))-1),TRIM(E2685)))</f>
        <v>Malaysia</v>
      </c>
      <c r="M2685" s="7" t="str">
        <f aca="false">IFERROR(LEFT(J2685,FIND(",",J2685)-1),J2685)</f>
        <v>Kids' TV</v>
      </c>
      <c r="N2685" s="7" t="str">
        <f aca="false">IF(B2685="Movie",IFERROR(VALUE(LEFT(I2685,FIND(" ",I2685)-1)),""),"")</f>
        <v/>
      </c>
      <c r="O2685" s="7" t="n">
        <f aca="false">IF(B2685="TV Show",IFERROR(VALUE(LEFT(I2685,FIND(" ",I2685)-1)),""),"")</f>
        <v>1</v>
      </c>
      <c r="P2685" s="7" t="n">
        <f aca="false">IF(K2685="","",K2685-G2685)</f>
        <v>12</v>
      </c>
    </row>
    <row r="2686" customFormat="false" ht="15" hidden="false" customHeight="false" outlineLevel="0" collapsed="false">
      <c r="A2686" s="7" t="n">
        <v>80163409</v>
      </c>
      <c r="B2686" s="7" t="s">
        <v>78</v>
      </c>
      <c r="C2686" s="7" t="s">
        <v>5783</v>
      </c>
      <c r="F2686" s="7" t="s">
        <v>5784</v>
      </c>
      <c r="G2686" s="7" t="n">
        <v>2016</v>
      </c>
      <c r="H2686" s="7" t="s">
        <v>49</v>
      </c>
      <c r="I2686" s="7" t="s">
        <v>82</v>
      </c>
      <c r="J2686" s="7" t="s">
        <v>637</v>
      </c>
      <c r="K2686" s="7" t="n">
        <f aca="false">IFERROR(VALUE(RIGHT(TRIM(F2686),4)),"")</f>
        <v>2017</v>
      </c>
      <c r="L2686" s="7" t="str">
        <f aca="false">IF(TRIM(E2686)="","Unknown",IFERROR(LEFT(TRIM(E2686),FIND(",",TRIM(E2686))-1),TRIM(E2686)))</f>
        <v>Unknown</v>
      </c>
      <c r="M2686" s="7" t="str">
        <f aca="false">IFERROR(LEFT(J2686,FIND(",",J2686)-1),J2686)</f>
        <v>International TV Shows</v>
      </c>
      <c r="N2686" s="7" t="str">
        <f aca="false">IF(B2686="Movie",IFERROR(VALUE(LEFT(I2686,FIND(" ",I2686)-1)),""),"")</f>
        <v/>
      </c>
      <c r="O2686" s="7" t="n">
        <f aca="false">IF(B2686="TV Show",IFERROR(VALUE(LEFT(I2686,FIND(" ",I2686)-1)),""),"")</f>
        <v>1</v>
      </c>
      <c r="P2686" s="7" t="n">
        <f aca="false">IF(K2686="","",K2686-G2686)</f>
        <v>1</v>
      </c>
    </row>
    <row r="2687" customFormat="false" ht="15" hidden="false" customHeight="false" outlineLevel="0" collapsed="false">
      <c r="A2687" s="7" t="n">
        <v>60001104</v>
      </c>
      <c r="B2687" s="7" t="s">
        <v>68</v>
      </c>
      <c r="C2687" s="7" t="s">
        <v>5785</v>
      </c>
      <c r="D2687" s="7" t="s">
        <v>5786</v>
      </c>
      <c r="E2687" s="7" t="s">
        <v>317</v>
      </c>
      <c r="F2687" s="7" t="s">
        <v>5784</v>
      </c>
      <c r="G2687" s="7" t="n">
        <v>1991</v>
      </c>
      <c r="H2687" s="7" t="s">
        <v>53</v>
      </c>
      <c r="I2687" s="7" t="s">
        <v>168</v>
      </c>
      <c r="J2687" s="7" t="s">
        <v>2820</v>
      </c>
      <c r="K2687" s="7" t="n">
        <f aca="false">IFERROR(VALUE(RIGHT(TRIM(F2687),4)),"")</f>
        <v>2017</v>
      </c>
      <c r="L2687" s="7" t="str">
        <f aca="false">IF(TRIM(E2687)="","Unknown",IFERROR(LEFT(TRIM(E2687),FIND(",",TRIM(E2687))-1),TRIM(E2687)))</f>
        <v>United Kingdom</v>
      </c>
      <c r="M2687" s="7" t="str">
        <f aca="false">IFERROR(LEFT(J2687,FIND(",",J2687)-1),J2687)</f>
        <v>Classic Movies</v>
      </c>
      <c r="N2687" s="7" t="n">
        <f aca="false">IF(B2687="Movie",IFERROR(VALUE(LEFT(I2687,FIND(" ",I2687)-1)),""),"")</f>
        <v>112</v>
      </c>
      <c r="O2687" s="7" t="str">
        <f aca="false">IF(B2687="TV Show",IFERROR(VALUE(LEFT(I2687,FIND(" ",I2687)-1)),""),"")</f>
        <v/>
      </c>
      <c r="P2687" s="7" t="n">
        <f aca="false">IF(K2687="","",K2687-G2687)</f>
        <v>26</v>
      </c>
    </row>
    <row r="2688" customFormat="false" ht="15" hidden="false" customHeight="false" outlineLevel="0" collapsed="false">
      <c r="A2688" s="7" t="n">
        <v>80132601</v>
      </c>
      <c r="B2688" s="7" t="s">
        <v>68</v>
      </c>
      <c r="C2688" s="7" t="s">
        <v>5787</v>
      </c>
      <c r="D2688" s="7" t="s">
        <v>5788</v>
      </c>
      <c r="E2688" s="7" t="s">
        <v>26</v>
      </c>
      <c r="F2688" s="7" t="s">
        <v>5784</v>
      </c>
      <c r="G2688" s="7" t="n">
        <v>2016</v>
      </c>
      <c r="H2688" s="7" t="s">
        <v>48</v>
      </c>
      <c r="I2688" s="7" t="s">
        <v>340</v>
      </c>
      <c r="J2688" s="7" t="s">
        <v>147</v>
      </c>
      <c r="K2688" s="7" t="n">
        <f aca="false">IFERROR(VALUE(RIGHT(TRIM(F2688),4)),"")</f>
        <v>2017</v>
      </c>
      <c r="L2688" s="7" t="str">
        <f aca="false">IF(TRIM(E2688)="","Unknown",IFERROR(LEFT(TRIM(E2688),FIND(",",TRIM(E2688))-1),TRIM(E2688)))</f>
        <v>United States</v>
      </c>
      <c r="M2688" s="7" t="str">
        <f aca="false">IFERROR(LEFT(J2688,FIND(",",J2688)-1),J2688)</f>
        <v>Horror Movies</v>
      </c>
      <c r="N2688" s="7" t="n">
        <f aca="false">IF(B2688="Movie",IFERROR(VALUE(LEFT(I2688,FIND(" ",I2688)-1)),""),"")</f>
        <v>85</v>
      </c>
      <c r="O2688" s="7" t="str">
        <f aca="false">IF(B2688="TV Show",IFERROR(VALUE(LEFT(I2688,FIND(" ",I2688)-1)),""),"")</f>
        <v/>
      </c>
      <c r="P2688" s="7" t="n">
        <f aca="false">IF(K2688="","",K2688-G2688)</f>
        <v>1</v>
      </c>
    </row>
    <row r="2689" customFormat="false" ht="15" hidden="false" customHeight="false" outlineLevel="0" collapsed="false">
      <c r="A2689" s="7" t="n">
        <v>80163277</v>
      </c>
      <c r="B2689" s="7" t="s">
        <v>78</v>
      </c>
      <c r="C2689" s="7" t="s">
        <v>5789</v>
      </c>
      <c r="E2689" s="7" t="s">
        <v>32</v>
      </c>
      <c r="F2689" s="7" t="s">
        <v>5784</v>
      </c>
      <c r="G2689" s="7" t="n">
        <v>2016</v>
      </c>
      <c r="H2689" s="7" t="s">
        <v>49</v>
      </c>
      <c r="I2689" s="7" t="s">
        <v>82</v>
      </c>
      <c r="J2689" s="7" t="s">
        <v>637</v>
      </c>
      <c r="K2689" s="7" t="n">
        <f aca="false">IFERROR(VALUE(RIGHT(TRIM(F2689),4)),"")</f>
        <v>2017</v>
      </c>
      <c r="L2689" s="7" t="str">
        <f aca="false">IF(TRIM(E2689)="","Unknown",IFERROR(LEFT(TRIM(E2689),FIND(",",TRIM(E2689))-1),TRIM(E2689)))</f>
        <v>South Korea</v>
      </c>
      <c r="M2689" s="7" t="str">
        <f aca="false">IFERROR(LEFT(J2689,FIND(",",J2689)-1),J2689)</f>
        <v>International TV Shows</v>
      </c>
      <c r="N2689" s="7" t="str">
        <f aca="false">IF(B2689="Movie",IFERROR(VALUE(LEFT(I2689,FIND(" ",I2689)-1)),""),"")</f>
        <v/>
      </c>
      <c r="O2689" s="7" t="n">
        <f aca="false">IF(B2689="TV Show",IFERROR(VALUE(LEFT(I2689,FIND(" ",I2689)-1)),""),"")</f>
        <v>1</v>
      </c>
      <c r="P2689" s="7" t="n">
        <f aca="false">IF(K2689="","",K2689-G2689)</f>
        <v>1</v>
      </c>
    </row>
    <row r="2690" customFormat="false" ht="15" hidden="false" customHeight="false" outlineLevel="0" collapsed="false">
      <c r="A2690" s="7" t="n">
        <v>80176866</v>
      </c>
      <c r="B2690" s="7" t="s">
        <v>78</v>
      </c>
      <c r="C2690" s="7" t="s">
        <v>5790</v>
      </c>
      <c r="D2690" s="7" t="s">
        <v>5791</v>
      </c>
      <c r="E2690" s="7" t="s">
        <v>32</v>
      </c>
      <c r="F2690" s="7" t="s">
        <v>5784</v>
      </c>
      <c r="G2690" s="7" t="n">
        <v>2017</v>
      </c>
      <c r="H2690" s="7" t="s">
        <v>49</v>
      </c>
      <c r="I2690" s="7" t="s">
        <v>82</v>
      </c>
      <c r="J2690" s="7" t="s">
        <v>1877</v>
      </c>
      <c r="K2690" s="7" t="n">
        <f aca="false">IFERROR(VALUE(RIGHT(TRIM(F2690),4)),"")</f>
        <v>2017</v>
      </c>
      <c r="L2690" s="7" t="str">
        <f aca="false">IF(TRIM(E2690)="","Unknown",IFERROR(LEFT(TRIM(E2690),FIND(",",TRIM(E2690))-1),TRIM(E2690)))</f>
        <v>South Korea</v>
      </c>
      <c r="M2690" s="7" t="str">
        <f aca="false">IFERROR(LEFT(J2690,FIND(",",J2690)-1),J2690)</f>
        <v>Crime TV Shows</v>
      </c>
      <c r="N2690" s="7" t="str">
        <f aca="false">IF(B2690="Movie",IFERROR(VALUE(LEFT(I2690,FIND(" ",I2690)-1)),""),"")</f>
        <v/>
      </c>
      <c r="O2690" s="7" t="n">
        <f aca="false">IF(B2690="TV Show",IFERROR(VALUE(LEFT(I2690,FIND(" ",I2690)-1)),""),"")</f>
        <v>1</v>
      </c>
      <c r="P2690" s="7" t="n">
        <f aca="false">IF(K2690="","",K2690-G2690)</f>
        <v>0</v>
      </c>
    </row>
    <row r="2691" customFormat="false" ht="15" hidden="false" customHeight="false" outlineLevel="0" collapsed="false">
      <c r="A2691" s="7" t="n">
        <v>80162114</v>
      </c>
      <c r="B2691" s="7" t="s">
        <v>78</v>
      </c>
      <c r="C2691" s="7" t="s">
        <v>5792</v>
      </c>
      <c r="E2691" s="7" t="s">
        <v>32</v>
      </c>
      <c r="F2691" s="7" t="s">
        <v>5784</v>
      </c>
      <c r="G2691" s="7" t="n">
        <v>2016</v>
      </c>
      <c r="H2691" s="7" t="s">
        <v>49</v>
      </c>
      <c r="I2691" s="7" t="s">
        <v>82</v>
      </c>
      <c r="J2691" s="7" t="s">
        <v>1877</v>
      </c>
      <c r="K2691" s="7" t="n">
        <f aca="false">IFERROR(VALUE(RIGHT(TRIM(F2691),4)),"")</f>
        <v>2017</v>
      </c>
      <c r="L2691" s="7" t="str">
        <f aca="false">IF(TRIM(E2691)="","Unknown",IFERROR(LEFT(TRIM(E2691),FIND(",",TRIM(E2691))-1),TRIM(E2691)))</f>
        <v>South Korea</v>
      </c>
      <c r="M2691" s="7" t="str">
        <f aca="false">IFERROR(LEFT(J2691,FIND(",",J2691)-1),J2691)</f>
        <v>Crime TV Shows</v>
      </c>
      <c r="N2691" s="7" t="str">
        <f aca="false">IF(B2691="Movie",IFERROR(VALUE(LEFT(I2691,FIND(" ",I2691)-1)),""),"")</f>
        <v/>
      </c>
      <c r="O2691" s="7" t="n">
        <f aca="false">IF(B2691="TV Show",IFERROR(VALUE(LEFT(I2691,FIND(" ",I2691)-1)),""),"")</f>
        <v>1</v>
      </c>
      <c r="P2691" s="7" t="n">
        <f aca="false">IF(K2691="","",K2691-G2691)</f>
        <v>1</v>
      </c>
    </row>
    <row r="2692" customFormat="false" ht="15" hidden="false" customHeight="false" outlineLevel="0" collapsed="false">
      <c r="A2692" s="7" t="n">
        <v>80163369</v>
      </c>
      <c r="B2692" s="7" t="s">
        <v>78</v>
      </c>
      <c r="C2692" s="7" t="s">
        <v>5793</v>
      </c>
      <c r="E2692" s="7" t="s">
        <v>366</v>
      </c>
      <c r="F2692" s="7" t="s">
        <v>5784</v>
      </c>
      <c r="G2692" s="7" t="n">
        <v>2015</v>
      </c>
      <c r="H2692" s="7" t="s">
        <v>49</v>
      </c>
      <c r="I2692" s="7" t="s">
        <v>82</v>
      </c>
      <c r="J2692" s="7" t="s">
        <v>314</v>
      </c>
      <c r="K2692" s="7" t="n">
        <f aca="false">IFERROR(VALUE(RIGHT(TRIM(F2692),4)),"")</f>
        <v>2017</v>
      </c>
      <c r="L2692" s="7" t="str">
        <f aca="false">IF(TRIM(E2692)="","Unknown",IFERROR(LEFT(TRIM(E2692),FIND(",",TRIM(E2692))-1),TRIM(E2692)))</f>
        <v>China</v>
      </c>
      <c r="M2692" s="7" t="str">
        <f aca="false">IFERROR(LEFT(J2692,FIND(",",J2692)-1),J2692)</f>
        <v>International TV Shows</v>
      </c>
      <c r="N2692" s="7" t="str">
        <f aca="false">IF(B2692="Movie",IFERROR(VALUE(LEFT(I2692,FIND(" ",I2692)-1)),""),"")</f>
        <v/>
      </c>
      <c r="O2692" s="7" t="n">
        <f aca="false">IF(B2692="TV Show",IFERROR(VALUE(LEFT(I2692,FIND(" ",I2692)-1)),""),"")</f>
        <v>1</v>
      </c>
      <c r="P2692" s="7" t="n">
        <f aca="false">IF(K2692="","",K2692-G2692)</f>
        <v>2</v>
      </c>
    </row>
    <row r="2693" customFormat="false" ht="15" hidden="false" customHeight="false" outlineLevel="0" collapsed="false">
      <c r="A2693" s="7" t="n">
        <v>80114989</v>
      </c>
      <c r="B2693" s="7" t="s">
        <v>68</v>
      </c>
      <c r="C2693" s="7" t="s">
        <v>5794</v>
      </c>
      <c r="D2693" s="7" t="s">
        <v>5795</v>
      </c>
      <c r="E2693" s="7" t="s">
        <v>2476</v>
      </c>
      <c r="F2693" s="7" t="s">
        <v>5784</v>
      </c>
      <c r="G2693" s="7" t="n">
        <v>2016</v>
      </c>
      <c r="H2693" s="7" t="s">
        <v>48</v>
      </c>
      <c r="I2693" s="7" t="s">
        <v>268</v>
      </c>
      <c r="J2693" s="7" t="s">
        <v>112</v>
      </c>
      <c r="K2693" s="7" t="n">
        <f aca="false">IFERROR(VALUE(RIGHT(TRIM(F2693),4)),"")</f>
        <v>2017</v>
      </c>
      <c r="L2693" s="7" t="str">
        <f aca="false">IF(TRIM(E2693)="","Unknown",IFERROR(LEFT(TRIM(E2693),FIND(",",TRIM(E2693))-1),TRIM(E2693)))</f>
        <v>China</v>
      </c>
      <c r="M2693" s="7" t="str">
        <f aca="false">IFERROR(LEFT(J2693,FIND(",",J2693)-1),J2693)</f>
        <v>Action &amp; Adventure</v>
      </c>
      <c r="N2693" s="7" t="n">
        <f aca="false">IF(B2693="Movie",IFERROR(VALUE(LEFT(I2693,FIND(" ",I2693)-1)),""),"")</f>
        <v>108</v>
      </c>
      <c r="O2693" s="7" t="str">
        <f aca="false">IF(B2693="TV Show",IFERROR(VALUE(LEFT(I2693,FIND(" ",I2693)-1)),""),"")</f>
        <v/>
      </c>
      <c r="P2693" s="7" t="n">
        <f aca="false">IF(K2693="","",K2693-G2693)</f>
        <v>1</v>
      </c>
    </row>
    <row r="2694" customFormat="false" ht="15" hidden="false" customHeight="false" outlineLevel="0" collapsed="false">
      <c r="A2694" s="7" t="n">
        <v>80163266</v>
      </c>
      <c r="B2694" s="7" t="s">
        <v>78</v>
      </c>
      <c r="C2694" s="7" t="s">
        <v>5796</v>
      </c>
      <c r="E2694" s="7" t="s">
        <v>32</v>
      </c>
      <c r="F2694" s="7" t="s">
        <v>5784</v>
      </c>
      <c r="G2694" s="7" t="n">
        <v>2016</v>
      </c>
      <c r="H2694" s="7" t="s">
        <v>49</v>
      </c>
      <c r="I2694" s="7" t="s">
        <v>82</v>
      </c>
      <c r="J2694" s="7" t="s">
        <v>852</v>
      </c>
      <c r="K2694" s="7" t="n">
        <f aca="false">IFERROR(VALUE(RIGHT(TRIM(F2694),4)),"")</f>
        <v>2017</v>
      </c>
      <c r="L2694" s="7" t="str">
        <f aca="false">IF(TRIM(E2694)="","Unknown",IFERROR(LEFT(TRIM(E2694),FIND(",",TRIM(E2694))-1),TRIM(E2694)))</f>
        <v>South Korea</v>
      </c>
      <c r="M2694" s="7" t="str">
        <f aca="false">IFERROR(LEFT(J2694,FIND(",",J2694)-1),J2694)</f>
        <v>International TV Shows</v>
      </c>
      <c r="N2694" s="7" t="str">
        <f aca="false">IF(B2694="Movie",IFERROR(VALUE(LEFT(I2694,FIND(" ",I2694)-1)),""),"")</f>
        <v/>
      </c>
      <c r="O2694" s="7" t="n">
        <f aca="false">IF(B2694="TV Show",IFERROR(VALUE(LEFT(I2694,FIND(" ",I2694)-1)),""),"")</f>
        <v>1</v>
      </c>
      <c r="P2694" s="7" t="n">
        <f aca="false">IF(K2694="","",K2694-G2694)</f>
        <v>1</v>
      </c>
    </row>
    <row r="2695" customFormat="false" ht="15" hidden="false" customHeight="false" outlineLevel="0" collapsed="false">
      <c r="A2695" s="7" t="n">
        <v>81092768</v>
      </c>
      <c r="B2695" s="7" t="s">
        <v>68</v>
      </c>
      <c r="C2695" s="7" t="s">
        <v>5797</v>
      </c>
      <c r="D2695" s="7" t="s">
        <v>5798</v>
      </c>
      <c r="E2695" s="7" t="s">
        <v>5799</v>
      </c>
      <c r="F2695" s="7" t="s">
        <v>5800</v>
      </c>
      <c r="G2695" s="7" t="n">
        <v>2014</v>
      </c>
      <c r="H2695" s="7" t="s">
        <v>48</v>
      </c>
      <c r="I2695" s="7" t="s">
        <v>194</v>
      </c>
      <c r="J2695" s="7" t="s">
        <v>217</v>
      </c>
      <c r="K2695" s="7" t="n">
        <f aca="false">IFERROR(VALUE(RIGHT(TRIM(F2695),4)),"")</f>
        <v>2019</v>
      </c>
      <c r="L2695" s="7" t="str">
        <f aca="false">IF(TRIM(E2695)="","Unknown",IFERROR(LEFT(TRIM(E2695),FIND(",",TRIM(E2695))-1),TRIM(E2695)))</f>
        <v>Romania</v>
      </c>
      <c r="M2695" s="7" t="str">
        <f aca="false">IFERROR(LEFT(J2695,FIND(",",J2695)-1),J2695)</f>
        <v>Comedies</v>
      </c>
      <c r="N2695" s="7" t="n">
        <f aca="false">IF(B2695="Movie",IFERROR(VALUE(LEFT(I2695,FIND(" ",I2695)-1)),""),"")</f>
        <v>125</v>
      </c>
      <c r="O2695" s="7" t="str">
        <f aca="false">IF(B2695="TV Show",IFERROR(VALUE(LEFT(I2695,FIND(" ",I2695)-1)),""),"")</f>
        <v/>
      </c>
      <c r="P2695" s="7" t="n">
        <f aca="false">IF(K2695="","",K2695-G2695)</f>
        <v>5</v>
      </c>
    </row>
    <row r="2696" customFormat="false" ht="15" hidden="false" customHeight="false" outlineLevel="0" collapsed="false">
      <c r="A2696" s="7" t="n">
        <v>81092766</v>
      </c>
      <c r="B2696" s="7" t="s">
        <v>68</v>
      </c>
      <c r="C2696" s="7" t="s">
        <v>5801</v>
      </c>
      <c r="D2696" s="7" t="s">
        <v>5798</v>
      </c>
      <c r="E2696" s="7" t="s">
        <v>5799</v>
      </c>
      <c r="F2696" s="7" t="s">
        <v>5800</v>
      </c>
      <c r="G2696" s="7" t="n">
        <v>2016</v>
      </c>
      <c r="H2696" s="7" t="s">
        <v>48</v>
      </c>
      <c r="I2696" s="7" t="s">
        <v>519</v>
      </c>
      <c r="J2696" s="7" t="s">
        <v>217</v>
      </c>
      <c r="K2696" s="7" t="n">
        <f aca="false">IFERROR(VALUE(RIGHT(TRIM(F2696),4)),"")</f>
        <v>2019</v>
      </c>
      <c r="L2696" s="7" t="str">
        <f aca="false">IF(TRIM(E2696)="","Unknown",IFERROR(LEFT(TRIM(E2696),FIND(",",TRIM(E2696))-1),TRIM(E2696)))</f>
        <v>Romania</v>
      </c>
      <c r="M2696" s="7" t="str">
        <f aca="false">IFERROR(LEFT(J2696,FIND(",",J2696)-1),J2696)</f>
        <v>Comedies</v>
      </c>
      <c r="N2696" s="7" t="n">
        <f aca="false">IF(B2696="Movie",IFERROR(VALUE(LEFT(I2696,FIND(" ",I2696)-1)),""),"")</f>
        <v>119</v>
      </c>
      <c r="O2696" s="7" t="str">
        <f aca="false">IF(B2696="TV Show",IFERROR(VALUE(LEFT(I2696,FIND(" ",I2696)-1)),""),"")</f>
        <v/>
      </c>
      <c r="P2696" s="7" t="n">
        <f aca="false">IF(K2696="","",K2696-G2696)</f>
        <v>3</v>
      </c>
    </row>
    <row r="2697" customFormat="false" ht="15" hidden="false" customHeight="false" outlineLevel="0" collapsed="false">
      <c r="A2697" s="7" t="n">
        <v>70060018</v>
      </c>
      <c r="B2697" s="7" t="s">
        <v>68</v>
      </c>
      <c r="C2697" s="7" t="s">
        <v>5802</v>
      </c>
      <c r="D2697" s="7" t="s">
        <v>5803</v>
      </c>
      <c r="E2697" s="7" t="s">
        <v>4187</v>
      </c>
      <c r="F2697" s="7" t="s">
        <v>5800</v>
      </c>
      <c r="G2697" s="7" t="n">
        <v>2008</v>
      </c>
      <c r="H2697" s="7" t="s">
        <v>52</v>
      </c>
      <c r="I2697" s="7" t="s">
        <v>790</v>
      </c>
      <c r="J2697" s="7" t="s">
        <v>40</v>
      </c>
      <c r="K2697" s="7" t="n">
        <f aca="false">IFERROR(VALUE(RIGHT(TRIM(F2697),4)),"")</f>
        <v>2019</v>
      </c>
      <c r="L2697" s="7" t="str">
        <f aca="false">IF(TRIM(E2697)="","Unknown",IFERROR(LEFT(TRIM(E2697),FIND(",",TRIM(E2697))-1),TRIM(E2697)))</f>
        <v>United States</v>
      </c>
      <c r="M2697" s="7" t="str">
        <f aca="false">IFERROR(LEFT(J2697,FIND(",",J2697)-1),J2697)</f>
        <v>Action &amp; Adventure</v>
      </c>
      <c r="N2697" s="7" t="n">
        <f aca="false">IF(B2697="Movie",IFERROR(VALUE(LEFT(I2697,FIND(" ",I2697)-1)),""),"")</f>
        <v>109</v>
      </c>
      <c r="O2697" s="7" t="str">
        <f aca="false">IF(B2697="TV Show",IFERROR(VALUE(LEFT(I2697,FIND(" ",I2697)-1)),""),"")</f>
        <v/>
      </c>
      <c r="P2697" s="7" t="n">
        <f aca="false">IF(K2697="","",K2697-G2697)</f>
        <v>11</v>
      </c>
    </row>
    <row r="2698" customFormat="false" ht="15" hidden="false" customHeight="false" outlineLevel="0" collapsed="false">
      <c r="A2698" s="7" t="n">
        <v>70202141</v>
      </c>
      <c r="B2698" s="7" t="s">
        <v>68</v>
      </c>
      <c r="C2698" s="7" t="s">
        <v>5804</v>
      </c>
      <c r="D2698" s="7" t="s">
        <v>5805</v>
      </c>
      <c r="E2698" s="7" t="s">
        <v>26</v>
      </c>
      <c r="F2698" s="7" t="s">
        <v>5800</v>
      </c>
      <c r="G2698" s="7" t="n">
        <v>2011</v>
      </c>
      <c r="H2698" s="7" t="s">
        <v>51</v>
      </c>
      <c r="I2698" s="7" t="s">
        <v>205</v>
      </c>
      <c r="J2698" s="7" t="s">
        <v>198</v>
      </c>
      <c r="K2698" s="7" t="n">
        <f aca="false">IFERROR(VALUE(RIGHT(TRIM(F2698),4)),"")</f>
        <v>2019</v>
      </c>
      <c r="L2698" s="7" t="str">
        <f aca="false">IF(TRIM(E2698)="","Unknown",IFERROR(LEFT(TRIM(E2698),FIND(",",TRIM(E2698))-1),TRIM(E2698)))</f>
        <v>United States</v>
      </c>
      <c r="M2698" s="7" t="str">
        <f aca="false">IFERROR(LEFT(J2698,FIND(",",J2698)-1),J2698)</f>
        <v>Comedies</v>
      </c>
      <c r="N2698" s="7" t="n">
        <f aca="false">IF(B2698="Movie",IFERROR(VALUE(LEFT(I2698,FIND(" ",I2698)-1)),""),"")</f>
        <v>100</v>
      </c>
      <c r="O2698" s="7" t="str">
        <f aca="false">IF(B2698="TV Show",IFERROR(VALUE(LEFT(I2698,FIND(" ",I2698)-1)),""),"")</f>
        <v/>
      </c>
      <c r="P2698" s="7" t="n">
        <f aca="false">IF(K2698="","",K2698-G2698)</f>
        <v>8</v>
      </c>
    </row>
    <row r="2699" customFormat="false" ht="15" hidden="false" customHeight="false" outlineLevel="0" collapsed="false">
      <c r="A2699" s="7" t="n">
        <v>80188935</v>
      </c>
      <c r="B2699" s="7" t="s">
        <v>78</v>
      </c>
      <c r="C2699" s="7" t="s">
        <v>5806</v>
      </c>
      <c r="E2699" s="7" t="s">
        <v>970</v>
      </c>
      <c r="F2699" s="7" t="s">
        <v>5800</v>
      </c>
      <c r="G2699" s="7" t="n">
        <v>2019</v>
      </c>
      <c r="H2699" s="7" t="s">
        <v>49</v>
      </c>
      <c r="I2699" s="7" t="s">
        <v>82</v>
      </c>
      <c r="J2699" s="7" t="s">
        <v>344</v>
      </c>
      <c r="K2699" s="7" t="n">
        <f aca="false">IFERROR(VALUE(RIGHT(TRIM(F2699),4)),"")</f>
        <v>2019</v>
      </c>
      <c r="L2699" s="7" t="str">
        <f aca="false">IF(TRIM(E2699)="","Unknown",IFERROR(LEFT(TRIM(E2699),FIND(",",TRIM(E2699))-1),TRIM(E2699)))</f>
        <v>Taiwan</v>
      </c>
      <c r="M2699" s="7" t="str">
        <f aca="false">IFERROR(LEFT(J2699,FIND(",",J2699)-1),J2699)</f>
        <v>International TV Shows</v>
      </c>
      <c r="N2699" s="7" t="str">
        <f aca="false">IF(B2699="Movie",IFERROR(VALUE(LEFT(I2699,FIND(" ",I2699)-1)),""),"")</f>
        <v/>
      </c>
      <c r="O2699" s="7" t="n">
        <f aca="false">IF(B2699="TV Show",IFERROR(VALUE(LEFT(I2699,FIND(" ",I2699)-1)),""),"")</f>
        <v>1</v>
      </c>
      <c r="P2699" s="7" t="n">
        <f aca="false">IF(K2699="","",K2699-G2699)</f>
        <v>0</v>
      </c>
    </row>
    <row r="2700" customFormat="false" ht="15" hidden="false" customHeight="false" outlineLevel="0" collapsed="false">
      <c r="A2700" s="7" t="n">
        <v>81032375</v>
      </c>
      <c r="B2700" s="7" t="s">
        <v>68</v>
      </c>
      <c r="C2700" s="7" t="s">
        <v>5807</v>
      </c>
      <c r="D2700" s="7" t="s">
        <v>5808</v>
      </c>
      <c r="E2700" s="7" t="s">
        <v>26</v>
      </c>
      <c r="F2700" s="7" t="s">
        <v>5800</v>
      </c>
      <c r="G2700" s="7" t="n">
        <v>2018</v>
      </c>
      <c r="H2700" s="7" t="s">
        <v>48</v>
      </c>
      <c r="I2700" s="7" t="s">
        <v>134</v>
      </c>
      <c r="J2700" s="7" t="s">
        <v>977</v>
      </c>
      <c r="K2700" s="7" t="n">
        <f aca="false">IFERROR(VALUE(RIGHT(TRIM(F2700),4)),"")</f>
        <v>2019</v>
      </c>
      <c r="L2700" s="7" t="str">
        <f aca="false">IF(TRIM(E2700)="","Unknown",IFERROR(LEFT(TRIM(E2700),FIND(",",TRIM(E2700))-1),TRIM(E2700)))</f>
        <v>United States</v>
      </c>
      <c r="M2700" s="7" t="str">
        <f aca="false">IFERROR(LEFT(J2700,FIND(",",J2700)-1),J2700)</f>
        <v>Independent Movies</v>
      </c>
      <c r="N2700" s="7" t="n">
        <f aca="false">IF(B2700="Movie",IFERROR(VALUE(LEFT(I2700,FIND(" ",I2700)-1)),""),"")</f>
        <v>98</v>
      </c>
      <c r="O2700" s="7" t="str">
        <f aca="false">IF(B2700="TV Show",IFERROR(VALUE(LEFT(I2700,FIND(" ",I2700)-1)),""),"")</f>
        <v/>
      </c>
      <c r="P2700" s="7" t="n">
        <f aca="false">IF(K2700="","",K2700-G2700)</f>
        <v>1</v>
      </c>
    </row>
    <row r="2701" customFormat="false" ht="15" hidden="false" customHeight="false" outlineLevel="0" collapsed="false">
      <c r="A2701" s="7" t="n">
        <v>352989</v>
      </c>
      <c r="B2701" s="7" t="s">
        <v>68</v>
      </c>
      <c r="C2701" s="7" t="s">
        <v>5809</v>
      </c>
      <c r="D2701" s="7" t="s">
        <v>355</v>
      </c>
      <c r="E2701" s="7" t="s">
        <v>26</v>
      </c>
      <c r="F2701" s="7" t="s">
        <v>5800</v>
      </c>
      <c r="G2701" s="7" t="n">
        <v>1976</v>
      </c>
      <c r="H2701" s="7" t="s">
        <v>51</v>
      </c>
      <c r="I2701" s="7" t="s">
        <v>134</v>
      </c>
      <c r="J2701" s="7" t="s">
        <v>5810</v>
      </c>
      <c r="K2701" s="7" t="n">
        <f aca="false">IFERROR(VALUE(RIGHT(TRIM(F2701),4)),"")</f>
        <v>2019</v>
      </c>
      <c r="L2701" s="7" t="str">
        <f aca="false">IF(TRIM(E2701)="","Unknown",IFERROR(LEFT(TRIM(E2701),FIND(",",TRIM(E2701))-1),TRIM(E2701)))</f>
        <v>United States</v>
      </c>
      <c r="M2701" s="7" t="str">
        <f aca="false">IFERROR(LEFT(J2701,FIND(",",J2701)-1),J2701)</f>
        <v>Classic Movies</v>
      </c>
      <c r="N2701" s="7" t="n">
        <f aca="false">IF(B2701="Movie",IFERROR(VALUE(LEFT(I2701,FIND(" ",I2701)-1)),""),"")</f>
        <v>98</v>
      </c>
      <c r="O2701" s="7" t="str">
        <f aca="false">IF(B2701="TV Show",IFERROR(VALUE(LEFT(I2701,FIND(" ",I2701)-1)),""),"")</f>
        <v/>
      </c>
      <c r="P2701" s="7" t="n">
        <f aca="false">IF(K2701="","",K2701-G2701)</f>
        <v>43</v>
      </c>
    </row>
    <row r="2702" customFormat="false" ht="15" hidden="false" customHeight="false" outlineLevel="0" collapsed="false">
      <c r="A2702" s="7" t="n">
        <v>81034775</v>
      </c>
      <c r="B2702" s="7" t="s">
        <v>78</v>
      </c>
      <c r="C2702" s="7" t="s">
        <v>5811</v>
      </c>
      <c r="E2702" s="7" t="s">
        <v>1335</v>
      </c>
      <c r="F2702" s="7" t="s">
        <v>5800</v>
      </c>
      <c r="G2702" s="7" t="n">
        <v>2018</v>
      </c>
      <c r="H2702" s="7" t="s">
        <v>48</v>
      </c>
      <c r="I2702" s="7" t="s">
        <v>82</v>
      </c>
      <c r="J2702" s="7" t="s">
        <v>5812</v>
      </c>
      <c r="K2702" s="7" t="n">
        <f aca="false">IFERROR(VALUE(RIGHT(TRIM(F2702),4)),"")</f>
        <v>2019</v>
      </c>
      <c r="L2702" s="7" t="str">
        <f aca="false">IF(TRIM(E2702)="","Unknown",IFERROR(LEFT(TRIM(E2702),FIND(",",TRIM(E2702))-1),TRIM(E2702)))</f>
        <v>Mexico</v>
      </c>
      <c r="M2702" s="7" t="str">
        <f aca="false">IFERROR(LEFT(J2702,FIND(",",J2702)-1),J2702)</f>
        <v>Crime TV Shows</v>
      </c>
      <c r="N2702" s="7" t="str">
        <f aca="false">IF(B2702="Movie",IFERROR(VALUE(LEFT(I2702,FIND(" ",I2702)-1)),""),"")</f>
        <v/>
      </c>
      <c r="O2702" s="7" t="n">
        <f aca="false">IF(B2702="TV Show",IFERROR(VALUE(LEFT(I2702,FIND(" ",I2702)-1)),""),"")</f>
        <v>1</v>
      </c>
      <c r="P2702" s="7" t="n">
        <f aca="false">IF(K2702="","",K2702-G2702)</f>
        <v>1</v>
      </c>
    </row>
    <row r="2703" customFormat="false" ht="15" hidden="false" customHeight="false" outlineLevel="0" collapsed="false">
      <c r="A2703" s="7" t="n">
        <v>81062606</v>
      </c>
      <c r="B2703" s="7" t="s">
        <v>68</v>
      </c>
      <c r="C2703" s="7" t="s">
        <v>5813</v>
      </c>
      <c r="D2703" s="7" t="s">
        <v>5814</v>
      </c>
      <c r="E2703" s="7" t="s">
        <v>27</v>
      </c>
      <c r="F2703" s="7" t="s">
        <v>5800</v>
      </c>
      <c r="G2703" s="7" t="n">
        <v>2017</v>
      </c>
      <c r="H2703" s="7" t="s">
        <v>48</v>
      </c>
      <c r="I2703" s="7" t="s">
        <v>261</v>
      </c>
      <c r="J2703" s="7" t="s">
        <v>188</v>
      </c>
      <c r="K2703" s="7" t="n">
        <f aca="false">IFERROR(VALUE(RIGHT(TRIM(F2703),4)),"")</f>
        <v>2019</v>
      </c>
      <c r="L2703" s="7" t="str">
        <f aca="false">IF(TRIM(E2703)="","Unknown",IFERROR(LEFT(TRIM(E2703),FIND(",",TRIM(E2703))-1),TRIM(E2703)))</f>
        <v>India</v>
      </c>
      <c r="M2703" s="7" t="str">
        <f aca="false">IFERROR(LEFT(J2703,FIND(",",J2703)-1),J2703)</f>
        <v>Dramas</v>
      </c>
      <c r="N2703" s="7" t="n">
        <f aca="false">IF(B2703="Movie",IFERROR(VALUE(LEFT(I2703,FIND(" ",I2703)-1)),""),"")</f>
        <v>128</v>
      </c>
      <c r="O2703" s="7" t="str">
        <f aca="false">IF(B2703="TV Show",IFERROR(VALUE(LEFT(I2703,FIND(" ",I2703)-1)),""),"")</f>
        <v/>
      </c>
      <c r="P2703" s="7" t="n">
        <f aca="false">IF(K2703="","",K2703-G2703)</f>
        <v>2</v>
      </c>
    </row>
    <row r="2704" customFormat="false" ht="15" hidden="false" customHeight="false" outlineLevel="0" collapsed="false">
      <c r="A2704" s="7" t="n">
        <v>81077795</v>
      </c>
      <c r="B2704" s="7" t="s">
        <v>68</v>
      </c>
      <c r="C2704" s="7" t="s">
        <v>5815</v>
      </c>
      <c r="D2704" s="7" t="s">
        <v>5816</v>
      </c>
      <c r="E2704" s="7" t="s">
        <v>26</v>
      </c>
      <c r="F2704" s="7" t="s">
        <v>5800</v>
      </c>
      <c r="G2704" s="7" t="n">
        <v>2018</v>
      </c>
      <c r="H2704" s="7" t="s">
        <v>50</v>
      </c>
      <c r="I2704" s="7" t="s">
        <v>524</v>
      </c>
      <c r="J2704" s="7" t="s">
        <v>1211</v>
      </c>
      <c r="K2704" s="7" t="n">
        <f aca="false">IFERROR(VALUE(RIGHT(TRIM(F2704),4)),"")</f>
        <v>2019</v>
      </c>
      <c r="L2704" s="7" t="str">
        <f aca="false">IF(TRIM(E2704)="","Unknown",IFERROR(LEFT(TRIM(E2704),FIND(",",TRIM(E2704))-1),TRIM(E2704)))</f>
        <v>United States</v>
      </c>
      <c r="M2704" s="7" t="str">
        <f aca="false">IFERROR(LEFT(J2704,FIND(",",J2704)-1),J2704)</f>
        <v>Documentaries</v>
      </c>
      <c r="N2704" s="7" t="n">
        <f aca="false">IF(B2704="Movie",IFERROR(VALUE(LEFT(I2704,FIND(" ",I2704)-1)),""),"")</f>
        <v>83</v>
      </c>
      <c r="O2704" s="7" t="str">
        <f aca="false">IF(B2704="TV Show",IFERROR(VALUE(LEFT(I2704,FIND(" ",I2704)-1)),""),"")</f>
        <v/>
      </c>
      <c r="P2704" s="7" t="n">
        <f aca="false">IF(K2704="","",K2704-G2704)</f>
        <v>1</v>
      </c>
    </row>
    <row r="2705" customFormat="false" ht="15" hidden="false" customHeight="false" outlineLevel="0" collapsed="false">
      <c r="A2705" s="7" t="n">
        <v>81092767</v>
      </c>
      <c r="B2705" s="7" t="s">
        <v>68</v>
      </c>
      <c r="C2705" s="7" t="s">
        <v>5817</v>
      </c>
      <c r="D2705" s="7" t="s">
        <v>5798</v>
      </c>
      <c r="E2705" s="7" t="s">
        <v>5799</v>
      </c>
      <c r="F2705" s="7" t="s">
        <v>5800</v>
      </c>
      <c r="G2705" s="7" t="n">
        <v>2015</v>
      </c>
      <c r="H2705" s="7" t="s">
        <v>48</v>
      </c>
      <c r="I2705" s="7" t="s">
        <v>820</v>
      </c>
      <c r="J2705" s="7" t="s">
        <v>426</v>
      </c>
      <c r="K2705" s="7" t="n">
        <f aca="false">IFERROR(VALUE(RIGHT(TRIM(F2705),4)),"")</f>
        <v>2019</v>
      </c>
      <c r="L2705" s="7" t="str">
        <f aca="false">IF(TRIM(E2705)="","Unknown",IFERROR(LEFT(TRIM(E2705),FIND(",",TRIM(E2705))-1),TRIM(E2705)))</f>
        <v>Romania</v>
      </c>
      <c r="M2705" s="7" t="str">
        <f aca="false">IFERROR(LEFT(J2705,FIND(",",J2705)-1),J2705)</f>
        <v>International Movies</v>
      </c>
      <c r="N2705" s="7" t="n">
        <f aca="false">IF(B2705="Movie",IFERROR(VALUE(LEFT(I2705,FIND(" ",I2705)-1)),""),"")</f>
        <v>105</v>
      </c>
      <c r="O2705" s="7" t="str">
        <f aca="false">IF(B2705="TV Show",IFERROR(VALUE(LEFT(I2705,FIND(" ",I2705)-1)),""),"")</f>
        <v/>
      </c>
      <c r="P2705" s="7" t="n">
        <f aca="false">IF(K2705="","",K2705-G2705)</f>
        <v>4</v>
      </c>
    </row>
    <row r="2706" customFormat="false" ht="15" hidden="false" customHeight="false" outlineLevel="0" collapsed="false">
      <c r="A2706" s="7" t="n">
        <v>81092909</v>
      </c>
      <c r="B2706" s="7" t="s">
        <v>68</v>
      </c>
      <c r="C2706" s="7" t="s">
        <v>5818</v>
      </c>
      <c r="D2706" s="7" t="s">
        <v>5798</v>
      </c>
      <c r="E2706" s="7" t="s">
        <v>5799</v>
      </c>
      <c r="F2706" s="7" t="s">
        <v>5800</v>
      </c>
      <c r="G2706" s="7" t="n">
        <v>2019</v>
      </c>
      <c r="H2706" s="7" t="s">
        <v>48</v>
      </c>
      <c r="I2706" s="7" t="s">
        <v>790</v>
      </c>
      <c r="J2706" s="7" t="s">
        <v>202</v>
      </c>
      <c r="K2706" s="7" t="n">
        <f aca="false">IFERROR(VALUE(RIGHT(TRIM(F2706),4)),"")</f>
        <v>2019</v>
      </c>
      <c r="L2706" s="7" t="str">
        <f aca="false">IF(TRIM(E2706)="","Unknown",IFERROR(LEFT(TRIM(E2706),FIND(",",TRIM(E2706))-1),TRIM(E2706)))</f>
        <v>Romania</v>
      </c>
      <c r="M2706" s="7" t="str">
        <f aca="false">IFERROR(LEFT(J2706,FIND(",",J2706)-1),J2706)</f>
        <v>Comedies</v>
      </c>
      <c r="N2706" s="7" t="n">
        <f aca="false">IF(B2706="Movie",IFERROR(VALUE(LEFT(I2706,FIND(" ",I2706)-1)),""),"")</f>
        <v>109</v>
      </c>
      <c r="O2706" s="7" t="str">
        <f aca="false">IF(B2706="TV Show",IFERROR(VALUE(LEFT(I2706,FIND(" ",I2706)-1)),""),"")</f>
        <v/>
      </c>
      <c r="P2706" s="7" t="n">
        <f aca="false">IF(K2706="","",K2706-G2706)</f>
        <v>0</v>
      </c>
    </row>
    <row r="2707" customFormat="false" ht="15" hidden="false" customHeight="false" outlineLevel="0" collapsed="false">
      <c r="A2707" s="7" t="n">
        <v>81070008</v>
      </c>
      <c r="B2707" s="7" t="s">
        <v>68</v>
      </c>
      <c r="C2707" s="7" t="s">
        <v>5819</v>
      </c>
      <c r="D2707" s="7" t="s">
        <v>5820</v>
      </c>
      <c r="E2707" s="7" t="s">
        <v>29</v>
      </c>
      <c r="F2707" s="7" t="s">
        <v>5800</v>
      </c>
      <c r="G2707" s="7" t="n">
        <v>2019</v>
      </c>
      <c r="H2707" s="7" t="s">
        <v>49</v>
      </c>
      <c r="I2707" s="7" t="s">
        <v>524</v>
      </c>
      <c r="J2707" s="7" t="s">
        <v>39</v>
      </c>
      <c r="K2707" s="7" t="n">
        <f aca="false">IFERROR(VALUE(RIGHT(TRIM(F2707),4)),"")</f>
        <v>2019</v>
      </c>
      <c r="L2707" s="7" t="str">
        <f aca="false">IF(TRIM(E2707)="","Unknown",IFERROR(LEFT(TRIM(E2707),FIND(",",TRIM(E2707))-1),TRIM(E2707)))</f>
        <v>Canada</v>
      </c>
      <c r="M2707" s="7" t="str">
        <f aca="false">IFERROR(LEFT(J2707,FIND(",",J2707)-1),J2707)</f>
        <v>Documentaries</v>
      </c>
      <c r="N2707" s="7" t="n">
        <f aca="false">IF(B2707="Movie",IFERROR(VALUE(LEFT(I2707,FIND(" ",I2707)-1)),""),"")</f>
        <v>83</v>
      </c>
      <c r="O2707" s="7" t="str">
        <f aca="false">IF(B2707="TV Show",IFERROR(VALUE(LEFT(I2707,FIND(" ",I2707)-1)),""),"")</f>
        <v/>
      </c>
      <c r="P2707" s="7" t="n">
        <f aca="false">IF(K2707="","",K2707-G2707)</f>
        <v>0</v>
      </c>
    </row>
    <row r="2708" customFormat="false" ht="15" hidden="false" customHeight="false" outlineLevel="0" collapsed="false">
      <c r="A2708" s="7" t="n">
        <v>70098605</v>
      </c>
      <c r="B2708" s="7" t="s">
        <v>68</v>
      </c>
      <c r="C2708" s="7" t="s">
        <v>5821</v>
      </c>
      <c r="D2708" s="7" t="s">
        <v>5822</v>
      </c>
      <c r="E2708" s="7" t="s">
        <v>26</v>
      </c>
      <c r="F2708" s="7" t="s">
        <v>5800</v>
      </c>
      <c r="G2708" s="7" t="n">
        <v>2008</v>
      </c>
      <c r="H2708" s="7" t="s">
        <v>51</v>
      </c>
      <c r="I2708" s="7" t="s">
        <v>512</v>
      </c>
      <c r="J2708" s="7" t="s">
        <v>597</v>
      </c>
      <c r="K2708" s="7" t="n">
        <f aca="false">IFERROR(VALUE(RIGHT(TRIM(F2708),4)),"")</f>
        <v>2019</v>
      </c>
      <c r="L2708" s="7" t="str">
        <f aca="false">IF(TRIM(E2708)="","Unknown",IFERROR(LEFT(TRIM(E2708),FIND(",",TRIM(E2708))-1),TRIM(E2708)))</f>
        <v>United States</v>
      </c>
      <c r="M2708" s="7" t="str">
        <f aca="false">IFERROR(LEFT(J2708,FIND(",",J2708)-1),J2708)</f>
        <v>Dramas</v>
      </c>
      <c r="N2708" s="7" t="n">
        <f aca="false">IF(B2708="Movie",IFERROR(VALUE(LEFT(I2708,FIND(" ",I2708)-1)),""),"")</f>
        <v>101</v>
      </c>
      <c r="O2708" s="7" t="str">
        <f aca="false">IF(B2708="TV Show",IFERROR(VALUE(LEFT(I2708,FIND(" ",I2708)-1)),""),"")</f>
        <v/>
      </c>
      <c r="P2708" s="7" t="n">
        <f aca="false">IF(K2708="","",K2708-G2708)</f>
        <v>11</v>
      </c>
    </row>
    <row r="2709" customFormat="false" ht="15" hidden="false" customHeight="false" outlineLevel="0" collapsed="false">
      <c r="A2709" s="7" t="n">
        <v>81077539</v>
      </c>
      <c r="B2709" s="7" t="s">
        <v>68</v>
      </c>
      <c r="C2709" s="7" t="s">
        <v>5823</v>
      </c>
      <c r="D2709" s="7" t="s">
        <v>5824</v>
      </c>
      <c r="E2709" s="7" t="s">
        <v>26</v>
      </c>
      <c r="F2709" s="7" t="s">
        <v>5800</v>
      </c>
      <c r="G2709" s="7" t="n">
        <v>2018</v>
      </c>
      <c r="H2709" s="7" t="s">
        <v>49</v>
      </c>
      <c r="I2709" s="7" t="s">
        <v>107</v>
      </c>
      <c r="J2709" s="7" t="s">
        <v>509</v>
      </c>
      <c r="K2709" s="7" t="n">
        <f aca="false">IFERROR(VALUE(RIGHT(TRIM(F2709),4)),"")</f>
        <v>2019</v>
      </c>
      <c r="L2709" s="7" t="str">
        <f aca="false">IF(TRIM(E2709)="","Unknown",IFERROR(LEFT(TRIM(E2709),FIND(",",TRIM(E2709))-1),TRIM(E2709)))</f>
        <v>United States</v>
      </c>
      <c r="M2709" s="7" t="str">
        <f aca="false">IFERROR(LEFT(J2709,FIND(",",J2709)-1),J2709)</f>
        <v>Documentaries</v>
      </c>
      <c r="N2709" s="7" t="n">
        <f aca="false">IF(B2709="Movie",IFERROR(VALUE(LEFT(I2709,FIND(" ",I2709)-1)),""),"")</f>
        <v>78</v>
      </c>
      <c r="O2709" s="7" t="str">
        <f aca="false">IF(B2709="TV Show",IFERROR(VALUE(LEFT(I2709,FIND(" ",I2709)-1)),""),"")</f>
        <v/>
      </c>
      <c r="P2709" s="7" t="n">
        <f aca="false">IF(K2709="","",K2709-G2709)</f>
        <v>1</v>
      </c>
    </row>
    <row r="2710" customFormat="false" ht="15" hidden="false" customHeight="false" outlineLevel="0" collapsed="false">
      <c r="A2710" s="7" t="n">
        <v>20129240</v>
      </c>
      <c r="B2710" s="7" t="s">
        <v>68</v>
      </c>
      <c r="C2710" s="7" t="s">
        <v>5825</v>
      </c>
      <c r="D2710" s="7" t="s">
        <v>2912</v>
      </c>
      <c r="E2710" s="7" t="s">
        <v>26</v>
      </c>
      <c r="F2710" s="7" t="s">
        <v>5800</v>
      </c>
      <c r="G2710" s="7" t="n">
        <v>1998</v>
      </c>
      <c r="H2710" s="7" t="s">
        <v>52</v>
      </c>
      <c r="I2710" s="7" t="s">
        <v>93</v>
      </c>
      <c r="J2710" s="7" t="s">
        <v>1628</v>
      </c>
      <c r="K2710" s="7" t="n">
        <f aca="false">IFERROR(VALUE(RIGHT(TRIM(F2710),4)),"")</f>
        <v>2019</v>
      </c>
      <c r="L2710" s="7" t="str">
        <f aca="false">IF(TRIM(E2710)="","Unknown",IFERROR(LEFT(TRIM(E2710),FIND(",",TRIM(E2710))-1),TRIM(E2710)))</f>
        <v>United States</v>
      </c>
      <c r="M2710" s="7" t="str">
        <f aca="false">IFERROR(LEFT(J2710,FIND(",",J2710)-1),J2710)</f>
        <v>Action &amp; Adventure</v>
      </c>
      <c r="N2710" s="7" t="n">
        <f aca="false">IF(B2710="Movie",IFERROR(VALUE(LEFT(I2710,FIND(" ",I2710)-1)),""),"")</f>
        <v>110</v>
      </c>
      <c r="O2710" s="7" t="str">
        <f aca="false">IF(B2710="TV Show",IFERROR(VALUE(LEFT(I2710,FIND(" ",I2710)-1)),""),"")</f>
        <v/>
      </c>
      <c r="P2710" s="7" t="n">
        <f aca="false">IF(K2710="","",K2710-G2710)</f>
        <v>21</v>
      </c>
    </row>
    <row r="2711" customFormat="false" ht="15" hidden="false" customHeight="false" outlineLevel="0" collapsed="false">
      <c r="A2711" s="7" t="n">
        <v>70108017</v>
      </c>
      <c r="B2711" s="7" t="s">
        <v>68</v>
      </c>
      <c r="C2711" s="7" t="s">
        <v>5826</v>
      </c>
      <c r="D2711" s="7" t="s">
        <v>5827</v>
      </c>
      <c r="E2711" s="7" t="s">
        <v>26</v>
      </c>
      <c r="F2711" s="7" t="s">
        <v>5800</v>
      </c>
      <c r="G2711" s="7" t="n">
        <v>2009</v>
      </c>
      <c r="H2711" s="7" t="s">
        <v>52</v>
      </c>
      <c r="I2711" s="7" t="s">
        <v>237</v>
      </c>
      <c r="J2711" s="7" t="s">
        <v>2034</v>
      </c>
      <c r="K2711" s="7" t="n">
        <f aca="false">IFERROR(VALUE(RIGHT(TRIM(F2711),4)),"")</f>
        <v>2019</v>
      </c>
      <c r="L2711" s="7" t="str">
        <f aca="false">IF(TRIM(E2711)="","Unknown",IFERROR(LEFT(TRIM(E2711),FIND(",",TRIM(E2711))-1),TRIM(E2711)))</f>
        <v>United States</v>
      </c>
      <c r="M2711" s="7" t="str">
        <f aca="false">IFERROR(LEFT(J2711,FIND(",",J2711)-1),J2711)</f>
        <v>Sci-Fi &amp; Fantasy</v>
      </c>
      <c r="N2711" s="7" t="n">
        <f aca="false">IF(B2711="Movie",IFERROR(VALUE(LEFT(I2711,FIND(" ",I2711)-1)),""),"")</f>
        <v>116</v>
      </c>
      <c r="O2711" s="7" t="str">
        <f aca="false">IF(B2711="TV Show",IFERROR(VALUE(LEFT(I2711,FIND(" ",I2711)-1)),""),"")</f>
        <v/>
      </c>
      <c r="P2711" s="7" t="n">
        <f aca="false">IF(K2711="","",K2711-G2711)</f>
        <v>10</v>
      </c>
    </row>
    <row r="2712" customFormat="false" ht="15" hidden="false" customHeight="false" outlineLevel="0" collapsed="false">
      <c r="A2712" s="7" t="n">
        <v>70011219</v>
      </c>
      <c r="B2712" s="7" t="s">
        <v>68</v>
      </c>
      <c r="C2712" s="7" t="s">
        <v>5828</v>
      </c>
      <c r="D2712" s="7" t="s">
        <v>5829</v>
      </c>
      <c r="E2712" s="7" t="s">
        <v>317</v>
      </c>
      <c r="F2712" s="7" t="s">
        <v>5800</v>
      </c>
      <c r="G2712" s="7" t="n">
        <v>2004</v>
      </c>
      <c r="H2712" s="7" t="s">
        <v>52</v>
      </c>
      <c r="I2712" s="7" t="s">
        <v>727</v>
      </c>
      <c r="J2712" s="7" t="s">
        <v>5830</v>
      </c>
      <c r="K2712" s="7" t="n">
        <f aca="false">IFERROR(VALUE(RIGHT(TRIM(F2712),4)),"")</f>
        <v>2019</v>
      </c>
      <c r="L2712" s="7" t="str">
        <f aca="false">IF(TRIM(E2712)="","Unknown",IFERROR(LEFT(TRIM(E2712),FIND(",",TRIM(E2712))-1),TRIM(E2712)))</f>
        <v>United Kingdom</v>
      </c>
      <c r="M2712" s="7" t="str">
        <f aca="false">IFERROR(LEFT(J2712,FIND(",",J2712)-1),J2712)</f>
        <v>Dramas</v>
      </c>
      <c r="N2712" s="7" t="n">
        <f aca="false">IF(B2712="Movie",IFERROR(VALUE(LEFT(I2712,FIND(" ",I2712)-1)),""),"")</f>
        <v>141</v>
      </c>
      <c r="O2712" s="7" t="str">
        <f aca="false">IF(B2712="TV Show",IFERROR(VALUE(LEFT(I2712,FIND(" ",I2712)-1)),""),"")</f>
        <v/>
      </c>
      <c r="P2712" s="7" t="n">
        <f aca="false">IF(K2712="","",K2712-G2712)</f>
        <v>15</v>
      </c>
    </row>
    <row r="2713" customFormat="false" ht="15" hidden="false" customHeight="false" outlineLevel="0" collapsed="false">
      <c r="A2713" s="7" t="n">
        <v>80097424</v>
      </c>
      <c r="B2713" s="7" t="s">
        <v>68</v>
      </c>
      <c r="C2713" s="7" t="s">
        <v>5831</v>
      </c>
      <c r="D2713" s="7" t="s">
        <v>5832</v>
      </c>
      <c r="E2713" s="7" t="s">
        <v>26</v>
      </c>
      <c r="F2713" s="7" t="s">
        <v>5800</v>
      </c>
      <c r="G2713" s="7" t="n">
        <v>2016</v>
      </c>
      <c r="H2713" s="7" t="s">
        <v>52</v>
      </c>
      <c r="I2713" s="7" t="s">
        <v>2551</v>
      </c>
      <c r="J2713" s="7" t="s">
        <v>5833</v>
      </c>
      <c r="K2713" s="7" t="n">
        <f aca="false">IFERROR(VALUE(RIGHT(TRIM(F2713),4)),"")</f>
        <v>2019</v>
      </c>
      <c r="L2713" s="7" t="str">
        <f aca="false">IF(TRIM(E2713)="","Unknown",IFERROR(LEFT(TRIM(E2713),FIND(",",TRIM(E2713))-1),TRIM(E2713)))</f>
        <v>United States</v>
      </c>
      <c r="M2713" s="7" t="str">
        <f aca="false">IFERROR(LEFT(J2713,FIND(",",J2713)-1),J2713)</f>
        <v>Action &amp; Adventure</v>
      </c>
      <c r="N2713" s="7" t="n">
        <f aca="false">IF(B2713="Movie",IFERROR(VALUE(LEFT(I2713,FIND(" ",I2713)-1)),""),"")</f>
        <v>120</v>
      </c>
      <c r="O2713" s="7" t="str">
        <f aca="false">IF(B2713="TV Show",IFERROR(VALUE(LEFT(I2713,FIND(" ",I2713)-1)),""),"")</f>
        <v/>
      </c>
      <c r="P2713" s="7" t="n">
        <f aca="false">IF(K2713="","",K2713-G2713)</f>
        <v>3</v>
      </c>
    </row>
    <row r="2714" customFormat="false" ht="15" hidden="false" customHeight="false" outlineLevel="0" collapsed="false">
      <c r="A2714" s="7" t="n">
        <v>80203143</v>
      </c>
      <c r="B2714" s="7" t="s">
        <v>68</v>
      </c>
      <c r="C2714" s="7" t="s">
        <v>5834</v>
      </c>
      <c r="D2714" s="7" t="s">
        <v>5835</v>
      </c>
      <c r="E2714" s="7" t="s">
        <v>26</v>
      </c>
      <c r="F2714" s="7" t="s">
        <v>5800</v>
      </c>
      <c r="G2714" s="7" t="n">
        <v>2019</v>
      </c>
      <c r="H2714" s="7" t="s">
        <v>49</v>
      </c>
      <c r="I2714" s="7" t="s">
        <v>451</v>
      </c>
      <c r="J2714" s="7" t="s">
        <v>198</v>
      </c>
      <c r="K2714" s="7" t="n">
        <f aca="false">IFERROR(VALUE(RIGHT(TRIM(F2714),4)),"")</f>
        <v>2019</v>
      </c>
      <c r="L2714" s="7" t="str">
        <f aca="false">IF(TRIM(E2714)="","Unknown",IFERROR(LEFT(TRIM(E2714),FIND(",",TRIM(E2714))-1),TRIM(E2714)))</f>
        <v>United States</v>
      </c>
      <c r="M2714" s="7" t="str">
        <f aca="false">IFERROR(LEFT(J2714,FIND(",",J2714)-1),J2714)</f>
        <v>Comedies</v>
      </c>
      <c r="N2714" s="7" t="n">
        <f aca="false">IF(B2714="Movie",IFERROR(VALUE(LEFT(I2714,FIND(" ",I2714)-1)),""),"")</f>
        <v>97</v>
      </c>
      <c r="O2714" s="7" t="str">
        <f aca="false">IF(B2714="TV Show",IFERROR(VALUE(LEFT(I2714,FIND(" ",I2714)-1)),""),"")</f>
        <v/>
      </c>
      <c r="P2714" s="7" t="n">
        <f aca="false">IF(K2714="","",K2714-G2714)</f>
        <v>0</v>
      </c>
    </row>
    <row r="2715" customFormat="false" ht="15" hidden="false" customHeight="false" outlineLevel="0" collapsed="false">
      <c r="A2715" s="7" t="n">
        <v>81068732</v>
      </c>
      <c r="B2715" s="7" t="s">
        <v>68</v>
      </c>
      <c r="C2715" s="7" t="s">
        <v>5836</v>
      </c>
      <c r="D2715" s="7" t="s">
        <v>5837</v>
      </c>
      <c r="E2715" s="7" t="s">
        <v>411</v>
      </c>
      <c r="F2715" s="7" t="s">
        <v>5800</v>
      </c>
      <c r="G2715" s="7" t="n">
        <v>2019</v>
      </c>
      <c r="H2715" s="7" t="s">
        <v>49</v>
      </c>
      <c r="I2715" s="7" t="s">
        <v>790</v>
      </c>
      <c r="J2715" s="7" t="s">
        <v>5838</v>
      </c>
      <c r="K2715" s="7" t="n">
        <f aca="false">IFERROR(VALUE(RIGHT(TRIM(F2715),4)),"")</f>
        <v>2019</v>
      </c>
      <c r="L2715" s="7" t="str">
        <f aca="false">IF(TRIM(E2715)="","Unknown",IFERROR(LEFT(TRIM(E2715),FIND(",",TRIM(E2715))-1),TRIM(E2715)))</f>
        <v>Hong Kong</v>
      </c>
      <c r="M2715" s="7" t="str">
        <f aca="false">IFERROR(LEFT(J2715,FIND(",",J2715)-1),J2715)</f>
        <v>Action &amp; Adventure</v>
      </c>
      <c r="N2715" s="7" t="n">
        <f aca="false">IF(B2715="Movie",IFERROR(VALUE(LEFT(I2715,FIND(" ",I2715)-1)),""),"")</f>
        <v>109</v>
      </c>
      <c r="O2715" s="7" t="str">
        <f aca="false">IF(B2715="TV Show",IFERROR(VALUE(LEFT(I2715,FIND(" ",I2715)-1)),""),"")</f>
        <v/>
      </c>
      <c r="P2715" s="7" t="n">
        <f aca="false">IF(K2715="","",K2715-G2715)</f>
        <v>0</v>
      </c>
    </row>
    <row r="2716" customFormat="false" ht="15" hidden="false" customHeight="false" outlineLevel="0" collapsed="false">
      <c r="A2716" s="7" t="n">
        <v>60026155</v>
      </c>
      <c r="B2716" s="7" t="s">
        <v>68</v>
      </c>
      <c r="C2716" s="7" t="s">
        <v>5839</v>
      </c>
      <c r="D2716" s="7" t="s">
        <v>5840</v>
      </c>
      <c r="E2716" s="7" t="s">
        <v>26</v>
      </c>
      <c r="F2716" s="7" t="s">
        <v>5800</v>
      </c>
      <c r="G2716" s="7" t="n">
        <v>2003</v>
      </c>
      <c r="H2716" s="7" t="s">
        <v>54</v>
      </c>
      <c r="I2716" s="7" t="s">
        <v>820</v>
      </c>
      <c r="J2716" s="7" t="s">
        <v>74</v>
      </c>
      <c r="K2716" s="7" t="n">
        <f aca="false">IFERROR(VALUE(RIGHT(TRIM(F2716),4)),"")</f>
        <v>2019</v>
      </c>
      <c r="L2716" s="7" t="str">
        <f aca="false">IF(TRIM(E2716)="","Unknown",IFERROR(LEFT(TRIM(E2716),FIND(",",TRIM(E2716))-1),TRIM(E2716)))</f>
        <v>United States</v>
      </c>
      <c r="M2716" s="7" t="str">
        <f aca="false">IFERROR(LEFT(J2716,FIND(",",J2716)-1),J2716)</f>
        <v>Children &amp; Family Movies</v>
      </c>
      <c r="N2716" s="7" t="n">
        <f aca="false">IF(B2716="Movie",IFERROR(VALUE(LEFT(I2716,FIND(" ",I2716)-1)),""),"")</f>
        <v>105</v>
      </c>
      <c r="O2716" s="7" t="str">
        <f aca="false">IF(B2716="TV Show",IFERROR(VALUE(LEFT(I2716,FIND(" ",I2716)-1)),""),"")</f>
        <v/>
      </c>
      <c r="P2716" s="7" t="n">
        <f aca="false">IF(K2716="","",K2716-G2716)</f>
        <v>16</v>
      </c>
    </row>
    <row r="2717" customFormat="false" ht="15" hidden="false" customHeight="false" outlineLevel="0" collapsed="false">
      <c r="A2717" s="7" t="n">
        <v>80994443</v>
      </c>
      <c r="B2717" s="7" t="s">
        <v>68</v>
      </c>
      <c r="C2717" s="7" t="s">
        <v>5841</v>
      </c>
      <c r="D2717" s="7" t="s">
        <v>5842</v>
      </c>
      <c r="E2717" s="7" t="s">
        <v>27</v>
      </c>
      <c r="F2717" s="7" t="s">
        <v>5843</v>
      </c>
      <c r="G2717" s="7" t="n">
        <v>2017</v>
      </c>
      <c r="H2717" s="7" t="s">
        <v>49</v>
      </c>
      <c r="I2717" s="7" t="s">
        <v>235</v>
      </c>
      <c r="J2717" s="7" t="s">
        <v>304</v>
      </c>
      <c r="K2717" s="7" t="n">
        <f aca="false">IFERROR(VALUE(RIGHT(TRIM(F2717),4)),"")</f>
        <v>2018</v>
      </c>
      <c r="L2717" s="7" t="str">
        <f aca="false">IF(TRIM(E2717)="","Unknown",IFERROR(LEFT(TRIM(E2717),FIND(",",TRIM(E2717))-1),TRIM(E2717)))</f>
        <v>India</v>
      </c>
      <c r="M2717" s="7" t="str">
        <f aca="false">IFERROR(LEFT(J2717,FIND(",",J2717)-1),J2717)</f>
        <v>Dramas</v>
      </c>
      <c r="N2717" s="7" t="n">
        <f aca="false">IF(B2717="Movie",IFERROR(VALUE(LEFT(I2717,FIND(" ",I2717)-1)),""),"")</f>
        <v>126</v>
      </c>
      <c r="O2717" s="7" t="str">
        <f aca="false">IF(B2717="TV Show",IFERROR(VALUE(LEFT(I2717,FIND(" ",I2717)-1)),""),"")</f>
        <v/>
      </c>
      <c r="P2717" s="7" t="n">
        <f aca="false">IF(K2717="","",K2717-G2717)</f>
        <v>1</v>
      </c>
    </row>
    <row r="2718" customFormat="false" ht="15" hidden="false" customHeight="false" outlineLevel="0" collapsed="false">
      <c r="A2718" s="7" t="n">
        <v>80245442</v>
      </c>
      <c r="B2718" s="7" t="s">
        <v>68</v>
      </c>
      <c r="C2718" s="7" t="s">
        <v>5844</v>
      </c>
      <c r="D2718" s="7" t="s">
        <v>5845</v>
      </c>
      <c r="E2718" s="7" t="s">
        <v>167</v>
      </c>
      <c r="F2718" s="7" t="s">
        <v>5843</v>
      </c>
      <c r="G2718" s="7" t="n">
        <v>2017</v>
      </c>
      <c r="H2718" s="7" t="s">
        <v>48</v>
      </c>
      <c r="I2718" s="7" t="s">
        <v>247</v>
      </c>
      <c r="J2718" s="7" t="s">
        <v>358</v>
      </c>
      <c r="K2718" s="7" t="n">
        <f aca="false">IFERROR(VALUE(RIGHT(TRIM(F2718),4)),"")</f>
        <v>2018</v>
      </c>
      <c r="L2718" s="7" t="str">
        <f aca="false">IF(TRIM(E2718)="","Unknown",IFERROR(LEFT(TRIM(E2718),FIND(",",TRIM(E2718))-1),TRIM(E2718)))</f>
        <v>Thailand</v>
      </c>
      <c r="M2718" s="7" t="str">
        <f aca="false">IFERROR(LEFT(J2718,FIND(",",J2718)-1),J2718)</f>
        <v>International Movies</v>
      </c>
      <c r="N2718" s="7" t="n">
        <f aca="false">IF(B2718="Movie",IFERROR(VALUE(LEFT(I2718,FIND(" ",I2718)-1)),""),"")</f>
        <v>130</v>
      </c>
      <c r="O2718" s="7" t="str">
        <f aca="false">IF(B2718="TV Show",IFERROR(VALUE(LEFT(I2718,FIND(" ",I2718)-1)),""),"")</f>
        <v/>
      </c>
      <c r="P2718" s="7" t="n">
        <f aca="false">IF(K2718="","",K2718-G2718)</f>
        <v>1</v>
      </c>
    </row>
    <row r="2719" customFormat="false" ht="15" hidden="false" customHeight="false" outlineLevel="0" collapsed="false">
      <c r="A2719" s="7" t="n">
        <v>80190515</v>
      </c>
      <c r="B2719" s="7" t="s">
        <v>68</v>
      </c>
      <c r="C2719" s="7" t="s">
        <v>5846</v>
      </c>
      <c r="D2719" s="7" t="s">
        <v>5847</v>
      </c>
      <c r="E2719" s="7" t="s">
        <v>5848</v>
      </c>
      <c r="F2719" s="7" t="s">
        <v>5843</v>
      </c>
      <c r="G2719" s="7" t="n">
        <v>2017</v>
      </c>
      <c r="H2719" s="7" t="s">
        <v>48</v>
      </c>
      <c r="I2719" s="7" t="s">
        <v>87</v>
      </c>
      <c r="J2719" s="7" t="s">
        <v>39</v>
      </c>
      <c r="K2719" s="7" t="n">
        <f aca="false">IFERROR(VALUE(RIGHT(TRIM(F2719),4)),"")</f>
        <v>2018</v>
      </c>
      <c r="L2719" s="7" t="str">
        <f aca="false">IF(TRIM(E2719)="","Unknown",IFERROR(LEFT(TRIM(E2719),FIND(",",TRIM(E2719))-1),TRIM(E2719)))</f>
        <v>Denmark</v>
      </c>
      <c r="M2719" s="7" t="str">
        <f aca="false">IFERROR(LEFT(J2719,FIND(",",J2719)-1),J2719)</f>
        <v>Documentaries</v>
      </c>
      <c r="N2719" s="7" t="n">
        <f aca="false">IF(B2719="Movie",IFERROR(VALUE(LEFT(I2719,FIND(" ",I2719)-1)),""),"")</f>
        <v>99</v>
      </c>
      <c r="O2719" s="7" t="str">
        <f aca="false">IF(B2719="TV Show",IFERROR(VALUE(LEFT(I2719,FIND(" ",I2719)-1)),""),"")</f>
        <v/>
      </c>
      <c r="P2719" s="7" t="n">
        <f aca="false">IF(K2719="","",K2719-G2719)</f>
        <v>1</v>
      </c>
    </row>
    <row r="2720" customFormat="false" ht="15" hidden="false" customHeight="false" outlineLevel="0" collapsed="false">
      <c r="A2720" s="7" t="n">
        <v>80229216</v>
      </c>
      <c r="B2720" s="7" t="s">
        <v>78</v>
      </c>
      <c r="C2720" s="7" t="s">
        <v>5849</v>
      </c>
      <c r="E2720" s="7" t="s">
        <v>27</v>
      </c>
      <c r="F2720" s="7" t="s">
        <v>5843</v>
      </c>
      <c r="G2720" s="7" t="n">
        <v>2018</v>
      </c>
      <c r="H2720" s="7" t="s">
        <v>49</v>
      </c>
      <c r="I2720" s="7" t="s">
        <v>82</v>
      </c>
      <c r="J2720" s="7" t="s">
        <v>344</v>
      </c>
      <c r="K2720" s="7" t="n">
        <f aca="false">IFERROR(VALUE(RIGHT(TRIM(F2720),4)),"")</f>
        <v>2018</v>
      </c>
      <c r="L2720" s="7" t="str">
        <f aca="false">IF(TRIM(E2720)="","Unknown",IFERROR(LEFT(TRIM(E2720),FIND(",",TRIM(E2720))-1),TRIM(E2720)))</f>
        <v>India</v>
      </c>
      <c r="M2720" s="7" t="str">
        <f aca="false">IFERROR(LEFT(J2720,FIND(",",J2720)-1),J2720)</f>
        <v>International TV Shows</v>
      </c>
      <c r="N2720" s="7" t="str">
        <f aca="false">IF(B2720="Movie",IFERROR(VALUE(LEFT(I2720,FIND(" ",I2720)-1)),""),"")</f>
        <v/>
      </c>
      <c r="O2720" s="7" t="n">
        <f aca="false">IF(B2720="TV Show",IFERROR(VALUE(LEFT(I2720,FIND(" ",I2720)-1)),""),"")</f>
        <v>1</v>
      </c>
      <c r="P2720" s="7" t="n">
        <f aca="false">IF(K2720="","",K2720-G2720)</f>
        <v>0</v>
      </c>
    </row>
    <row r="2721" customFormat="false" ht="15" hidden="false" customHeight="false" outlineLevel="0" collapsed="false">
      <c r="A2721" s="7" t="n">
        <v>80048218</v>
      </c>
      <c r="B2721" s="7" t="s">
        <v>68</v>
      </c>
      <c r="C2721" s="7" t="s">
        <v>5850</v>
      </c>
      <c r="D2721" s="7" t="s">
        <v>5851</v>
      </c>
      <c r="E2721" s="7" t="s">
        <v>2690</v>
      </c>
      <c r="F2721" s="7" t="s">
        <v>5843</v>
      </c>
      <c r="G2721" s="7" t="n">
        <v>2015</v>
      </c>
      <c r="H2721" s="7" t="s">
        <v>52</v>
      </c>
      <c r="I2721" s="7" t="s">
        <v>357</v>
      </c>
      <c r="J2721" s="7" t="s">
        <v>39</v>
      </c>
      <c r="K2721" s="7" t="n">
        <f aca="false">IFERROR(VALUE(RIGHT(TRIM(F2721),4)),"")</f>
        <v>2018</v>
      </c>
      <c r="L2721" s="7" t="str">
        <f aca="false">IF(TRIM(E2721)="","Unknown",IFERROR(LEFT(TRIM(E2721),FIND(",",TRIM(E2721))-1),TRIM(E2721)))</f>
        <v>United States</v>
      </c>
      <c r="M2721" s="7" t="str">
        <f aca="false">IFERROR(LEFT(J2721,FIND(",",J2721)-1),J2721)</f>
        <v>Documentaries</v>
      </c>
      <c r="N2721" s="7" t="n">
        <f aca="false">IF(B2721="Movie",IFERROR(VALUE(LEFT(I2721,FIND(" ",I2721)-1)),""),"")</f>
        <v>89</v>
      </c>
      <c r="O2721" s="7" t="str">
        <f aca="false">IF(B2721="TV Show",IFERROR(VALUE(LEFT(I2721,FIND(" ",I2721)-1)),""),"")</f>
        <v/>
      </c>
      <c r="P2721" s="7" t="n">
        <f aca="false">IF(K2721="","",K2721-G2721)</f>
        <v>3</v>
      </c>
    </row>
    <row r="2722" customFormat="false" ht="15" hidden="false" customHeight="false" outlineLevel="0" collapsed="false">
      <c r="A2722" s="7" t="n">
        <v>60033300</v>
      </c>
      <c r="B2722" s="7" t="s">
        <v>68</v>
      </c>
      <c r="C2722" s="7" t="s">
        <v>5852</v>
      </c>
      <c r="D2722" s="7" t="s">
        <v>5853</v>
      </c>
      <c r="E2722" s="7" t="s">
        <v>619</v>
      </c>
      <c r="F2722" s="7" t="s">
        <v>5843</v>
      </c>
      <c r="G2722" s="7" t="n">
        <v>2004</v>
      </c>
      <c r="H2722" s="7" t="s">
        <v>54</v>
      </c>
      <c r="I2722" s="7" t="s">
        <v>2183</v>
      </c>
      <c r="J2722" s="7" t="s">
        <v>1134</v>
      </c>
      <c r="K2722" s="7" t="n">
        <f aca="false">IFERROR(VALUE(RIGHT(TRIM(F2722),4)),"")</f>
        <v>2018</v>
      </c>
      <c r="L2722" s="7" t="str">
        <f aca="false">IF(TRIM(E2722)="","Unknown",IFERROR(LEFT(TRIM(E2722),FIND(",",TRIM(E2722))-1),TRIM(E2722)))</f>
        <v>Canada</v>
      </c>
      <c r="M2722" s="7" t="str">
        <f aca="false">IFERROR(LEFT(J2722,FIND(",",J2722)-1),J2722)</f>
        <v>Children &amp; Family Movies</v>
      </c>
      <c r="N2722" s="7" t="n">
        <f aca="false">IF(B2722="Movie",IFERROR(VALUE(LEFT(I2722,FIND(" ",I2722)-1)),""),"")</f>
        <v>136</v>
      </c>
      <c r="O2722" s="7" t="str">
        <f aca="false">IF(B2722="TV Show",IFERROR(VALUE(LEFT(I2722,FIND(" ",I2722)-1)),""),"")</f>
        <v/>
      </c>
      <c r="P2722" s="7" t="n">
        <f aca="false">IF(K2722="","",K2722-G2722)</f>
        <v>14</v>
      </c>
    </row>
    <row r="2723" customFormat="false" ht="15" hidden="false" customHeight="false" outlineLevel="0" collapsed="false">
      <c r="A2723" s="7" t="n">
        <v>70011206</v>
      </c>
      <c r="B2723" s="7" t="s">
        <v>68</v>
      </c>
      <c r="C2723" s="7" t="s">
        <v>5854</v>
      </c>
      <c r="D2723" s="7" t="s">
        <v>5855</v>
      </c>
      <c r="E2723" s="7" t="s">
        <v>26</v>
      </c>
      <c r="F2723" s="7" t="s">
        <v>5843</v>
      </c>
      <c r="G2723" s="7" t="n">
        <v>2004</v>
      </c>
      <c r="H2723" s="7" t="s">
        <v>54</v>
      </c>
      <c r="I2723" s="7" t="s">
        <v>1707</v>
      </c>
      <c r="J2723" s="7" t="s">
        <v>5856</v>
      </c>
      <c r="K2723" s="7" t="n">
        <f aca="false">IFERROR(VALUE(RIGHT(TRIM(F2723),4)),"")</f>
        <v>2018</v>
      </c>
      <c r="L2723" s="7" t="str">
        <f aca="false">IF(TRIM(E2723)="","Unknown",IFERROR(LEFT(TRIM(E2723),FIND(",",TRIM(E2723))-1),TRIM(E2723)))</f>
        <v>United States</v>
      </c>
      <c r="M2723" s="7" t="str">
        <f aca="false">IFERROR(LEFT(J2723,FIND(",",J2723)-1),J2723)</f>
        <v>Action &amp; Adventure</v>
      </c>
      <c r="N2723" s="7" t="n">
        <f aca="false">IF(B2723="Movie",IFERROR(VALUE(LEFT(I2723,FIND(" ",I2723)-1)),""),"")</f>
        <v>131</v>
      </c>
      <c r="O2723" s="7" t="str">
        <f aca="false">IF(B2723="TV Show",IFERROR(VALUE(LEFT(I2723,FIND(" ",I2723)-1)),""),"")</f>
        <v/>
      </c>
      <c r="P2723" s="7" t="n">
        <f aca="false">IF(K2723="","",K2723-G2723)</f>
        <v>14</v>
      </c>
    </row>
    <row r="2724" customFormat="false" ht="15" hidden="false" customHeight="false" outlineLevel="0" collapsed="false">
      <c r="A2724" s="7" t="n">
        <v>80998558</v>
      </c>
      <c r="B2724" s="7" t="s">
        <v>68</v>
      </c>
      <c r="C2724" s="7" t="s">
        <v>5857</v>
      </c>
      <c r="D2724" s="7" t="s">
        <v>4845</v>
      </c>
      <c r="E2724" s="7" t="s">
        <v>27</v>
      </c>
      <c r="F2724" s="7" t="s">
        <v>5843</v>
      </c>
      <c r="G2724" s="7" t="n">
        <v>2016</v>
      </c>
      <c r="H2724" s="7" t="s">
        <v>49</v>
      </c>
      <c r="I2724" s="7" t="s">
        <v>3951</v>
      </c>
      <c r="J2724" s="7" t="s">
        <v>304</v>
      </c>
      <c r="K2724" s="7" t="n">
        <f aca="false">IFERROR(VALUE(RIGHT(TRIM(F2724),4)),"")</f>
        <v>2018</v>
      </c>
      <c r="L2724" s="7" t="str">
        <f aca="false">IF(TRIM(E2724)="","Unknown",IFERROR(LEFT(TRIM(E2724),FIND(",",TRIM(E2724))-1),TRIM(E2724)))</f>
        <v>India</v>
      </c>
      <c r="M2724" s="7" t="str">
        <f aca="false">IFERROR(LEFT(J2724,FIND(",",J2724)-1),J2724)</f>
        <v>Dramas</v>
      </c>
      <c r="N2724" s="7" t="n">
        <f aca="false">IF(B2724="Movie",IFERROR(VALUE(LEFT(I2724,FIND(" ",I2724)-1)),""),"")</f>
        <v>165</v>
      </c>
      <c r="O2724" s="7" t="str">
        <f aca="false">IF(B2724="TV Show",IFERROR(VALUE(LEFT(I2724,FIND(" ",I2724)-1)),""),"")</f>
        <v/>
      </c>
      <c r="P2724" s="7" t="n">
        <f aca="false">IF(K2724="","",K2724-G2724)</f>
        <v>2</v>
      </c>
    </row>
    <row r="2725" customFormat="false" ht="15" hidden="false" customHeight="false" outlineLevel="0" collapsed="false">
      <c r="A2725" s="7" t="n">
        <v>80190097</v>
      </c>
      <c r="B2725" s="7" t="s">
        <v>78</v>
      </c>
      <c r="C2725" s="7" t="s">
        <v>5858</v>
      </c>
      <c r="E2725" s="7" t="s">
        <v>31</v>
      </c>
      <c r="F2725" s="7" t="s">
        <v>5843</v>
      </c>
      <c r="G2725" s="7" t="n">
        <v>2018</v>
      </c>
      <c r="H2725" s="7" t="s">
        <v>48</v>
      </c>
      <c r="I2725" s="7" t="s">
        <v>82</v>
      </c>
      <c r="J2725" s="7" t="s">
        <v>773</v>
      </c>
      <c r="K2725" s="7" t="n">
        <f aca="false">IFERROR(VALUE(RIGHT(TRIM(F2725),4)),"")</f>
        <v>2018</v>
      </c>
      <c r="L2725" s="7" t="str">
        <f aca="false">IF(TRIM(E2725)="","Unknown",IFERROR(LEFT(TRIM(E2725),FIND(",",TRIM(E2725))-1),TRIM(E2725)))</f>
        <v>France</v>
      </c>
      <c r="M2725" s="7" t="str">
        <f aca="false">IFERROR(LEFT(J2725,FIND(",",J2725)-1),J2725)</f>
        <v>Docuseries</v>
      </c>
      <c r="N2725" s="7" t="str">
        <f aca="false">IF(B2725="Movie",IFERROR(VALUE(LEFT(I2725,FIND(" ",I2725)-1)),""),"")</f>
        <v/>
      </c>
      <c r="O2725" s="7" t="n">
        <f aca="false">IF(B2725="TV Show",IFERROR(VALUE(LEFT(I2725,FIND(" ",I2725)-1)),""),"")</f>
        <v>1</v>
      </c>
      <c r="P2725" s="7" t="n">
        <f aca="false">IF(K2725="","",K2725-G2725)</f>
        <v>0</v>
      </c>
    </row>
    <row r="2726" customFormat="false" ht="15" hidden="false" customHeight="false" outlineLevel="0" collapsed="false">
      <c r="A2726" s="7" t="n">
        <v>80168167</v>
      </c>
      <c r="B2726" s="7" t="s">
        <v>68</v>
      </c>
      <c r="C2726" s="7" t="s">
        <v>5859</v>
      </c>
      <c r="D2726" s="7" t="s">
        <v>253</v>
      </c>
      <c r="E2726" s="7" t="s">
        <v>26</v>
      </c>
      <c r="F2726" s="7" t="s">
        <v>5843</v>
      </c>
      <c r="G2726" s="7" t="n">
        <v>2018</v>
      </c>
      <c r="H2726" s="7" t="s">
        <v>48</v>
      </c>
      <c r="I2726" s="7" t="s">
        <v>93</v>
      </c>
      <c r="J2726" s="7" t="s">
        <v>150</v>
      </c>
      <c r="K2726" s="7" t="n">
        <f aca="false">IFERROR(VALUE(RIGHT(TRIM(F2726),4)),"")</f>
        <v>2018</v>
      </c>
      <c r="L2726" s="7" t="str">
        <f aca="false">IF(TRIM(E2726)="","Unknown",IFERROR(LEFT(TRIM(E2726),FIND(",",TRIM(E2726))-1),TRIM(E2726)))</f>
        <v>United States</v>
      </c>
      <c r="M2726" s="7" t="str">
        <f aca="false">IFERROR(LEFT(J2726,FIND(",",J2726)-1),J2726)</f>
        <v>Dramas</v>
      </c>
      <c r="N2726" s="7" t="n">
        <f aca="false">IF(B2726="Movie",IFERROR(VALUE(LEFT(I2726,FIND(" ",I2726)-1)),""),"")</f>
        <v>110</v>
      </c>
      <c r="O2726" s="7" t="str">
        <f aca="false">IF(B2726="TV Show",IFERROR(VALUE(LEFT(I2726,FIND(" ",I2726)-1)),""),"")</f>
        <v/>
      </c>
      <c r="P2726" s="7" t="n">
        <f aca="false">IF(K2726="","",K2726-G2726)</f>
        <v>0</v>
      </c>
    </row>
    <row r="2727" customFormat="false" ht="15" hidden="false" customHeight="false" outlineLevel="0" collapsed="false">
      <c r="A2727" s="7" t="n">
        <v>80245626</v>
      </c>
      <c r="B2727" s="7" t="s">
        <v>68</v>
      </c>
      <c r="C2727" s="7" t="s">
        <v>5860</v>
      </c>
      <c r="D2727" s="7" t="s">
        <v>5861</v>
      </c>
      <c r="E2727" s="7" t="s">
        <v>1081</v>
      </c>
      <c r="F2727" s="7" t="s">
        <v>5843</v>
      </c>
      <c r="G2727" s="7" t="n">
        <v>2015</v>
      </c>
      <c r="H2727" s="7" t="s">
        <v>48</v>
      </c>
      <c r="I2727" s="7" t="s">
        <v>340</v>
      </c>
      <c r="J2727" s="7" t="s">
        <v>974</v>
      </c>
      <c r="K2727" s="7" t="n">
        <f aca="false">IFERROR(VALUE(RIGHT(TRIM(F2727),4)),"")</f>
        <v>2018</v>
      </c>
      <c r="L2727" s="7" t="str">
        <f aca="false">IF(TRIM(E2727)="","Unknown",IFERROR(LEFT(TRIM(E2727),FIND(",",TRIM(E2727))-1),TRIM(E2727)))</f>
        <v>Germany</v>
      </c>
      <c r="M2727" s="7" t="str">
        <f aca="false">IFERROR(LEFT(J2727,FIND(",",J2727)-1),J2727)</f>
        <v>Documentaries</v>
      </c>
      <c r="N2727" s="7" t="n">
        <f aca="false">IF(B2727="Movie",IFERROR(VALUE(LEFT(I2727,FIND(" ",I2727)-1)),""),"")</f>
        <v>85</v>
      </c>
      <c r="O2727" s="7" t="str">
        <f aca="false">IF(B2727="TV Show",IFERROR(VALUE(LEFT(I2727,FIND(" ",I2727)-1)),""),"")</f>
        <v/>
      </c>
      <c r="P2727" s="7" t="n">
        <f aca="false">IF(K2727="","",K2727-G2727)</f>
        <v>3</v>
      </c>
    </row>
    <row r="2728" customFormat="false" ht="15" hidden="false" customHeight="false" outlineLevel="0" collapsed="false">
      <c r="A2728" s="7" t="n">
        <v>80196584</v>
      </c>
      <c r="B2728" s="7" t="s">
        <v>68</v>
      </c>
      <c r="C2728" s="7" t="s">
        <v>5862</v>
      </c>
      <c r="D2728" s="7" t="s">
        <v>5863</v>
      </c>
      <c r="E2728" s="7" t="s">
        <v>5864</v>
      </c>
      <c r="F2728" s="7" t="s">
        <v>5843</v>
      </c>
      <c r="G2728" s="7" t="n">
        <v>2017</v>
      </c>
      <c r="H2728" s="7" t="s">
        <v>52</v>
      </c>
      <c r="I2728" s="7" t="s">
        <v>311</v>
      </c>
      <c r="J2728" s="7" t="s">
        <v>2243</v>
      </c>
      <c r="K2728" s="7" t="n">
        <f aca="false">IFERROR(VALUE(RIGHT(TRIM(F2728),4)),"")</f>
        <v>2018</v>
      </c>
      <c r="L2728" s="7" t="str">
        <f aca="false">IF(TRIM(E2728)="","Unknown",IFERROR(LEFT(TRIM(E2728),FIND(",",TRIM(E2728))-1),TRIM(E2728)))</f>
        <v>Switzerland</v>
      </c>
      <c r="M2728" s="7" t="str">
        <f aca="false">IFERROR(LEFT(J2728,FIND(",",J2728)-1),J2728)</f>
        <v>Action &amp; Adventure</v>
      </c>
      <c r="N2728" s="7" t="n">
        <f aca="false">IF(B2728="Movie",IFERROR(VALUE(LEFT(I2728,FIND(" ",I2728)-1)),""),"")</f>
        <v>92</v>
      </c>
      <c r="O2728" s="7" t="str">
        <f aca="false">IF(B2728="TV Show",IFERROR(VALUE(LEFT(I2728,FIND(" ",I2728)-1)),""),"")</f>
        <v/>
      </c>
      <c r="P2728" s="7" t="n">
        <f aca="false">IF(K2728="","",K2728-G2728)</f>
        <v>1</v>
      </c>
    </row>
    <row r="2729" customFormat="false" ht="15" hidden="false" customHeight="false" outlineLevel="0" collapsed="false">
      <c r="A2729" s="7" t="n">
        <v>80157084</v>
      </c>
      <c r="B2729" s="7" t="s">
        <v>68</v>
      </c>
      <c r="C2729" s="7" t="s">
        <v>5865</v>
      </c>
      <c r="D2729" s="7" t="s">
        <v>1068</v>
      </c>
      <c r="E2729" s="7" t="s">
        <v>27</v>
      </c>
      <c r="F2729" s="7" t="s">
        <v>5866</v>
      </c>
      <c r="G2729" s="7" t="n">
        <v>1993</v>
      </c>
      <c r="H2729" s="7" t="s">
        <v>49</v>
      </c>
      <c r="I2729" s="7" t="s">
        <v>1955</v>
      </c>
      <c r="J2729" s="7" t="s">
        <v>1042</v>
      </c>
      <c r="K2729" s="7" t="n">
        <f aca="false">IFERROR(VALUE(RIGHT(TRIM(F2729),4)),"")</f>
        <v>2017</v>
      </c>
      <c r="L2729" s="7" t="str">
        <f aca="false">IF(TRIM(E2729)="","Unknown",IFERROR(LEFT(TRIM(E2729),FIND(",",TRIM(E2729))-1),TRIM(E2729)))</f>
        <v>India</v>
      </c>
      <c r="M2729" s="7" t="str">
        <f aca="false">IFERROR(LEFT(J2729,FIND(",",J2729)-1),J2729)</f>
        <v>Dramas</v>
      </c>
      <c r="N2729" s="7" t="n">
        <f aca="false">IF(B2729="Movie",IFERROR(VALUE(LEFT(I2729,FIND(" ",I2729)-1)),""),"")</f>
        <v>154</v>
      </c>
      <c r="O2729" s="7" t="str">
        <f aca="false">IF(B2729="TV Show",IFERROR(VALUE(LEFT(I2729,FIND(" ",I2729)-1)),""),"")</f>
        <v/>
      </c>
      <c r="P2729" s="7" t="n">
        <f aca="false">IF(K2729="","",K2729-G2729)</f>
        <v>24</v>
      </c>
    </row>
    <row r="2730" customFormat="false" ht="15" hidden="false" customHeight="false" outlineLevel="0" collapsed="false">
      <c r="A2730" s="7" t="n">
        <v>80158580</v>
      </c>
      <c r="B2730" s="7" t="s">
        <v>68</v>
      </c>
      <c r="C2730" s="7" t="s">
        <v>5867</v>
      </c>
      <c r="D2730" s="7" t="s">
        <v>4236</v>
      </c>
      <c r="E2730" s="7" t="s">
        <v>28</v>
      </c>
      <c r="F2730" s="7" t="s">
        <v>5866</v>
      </c>
      <c r="G2730" s="7" t="n">
        <v>2017</v>
      </c>
      <c r="H2730" s="7" t="s">
        <v>50</v>
      </c>
      <c r="I2730" s="7" t="s">
        <v>2198</v>
      </c>
      <c r="J2730" s="7" t="s">
        <v>39</v>
      </c>
      <c r="K2730" s="7" t="n">
        <f aca="false">IFERROR(VALUE(RIGHT(TRIM(F2730),4)),"")</f>
        <v>2017</v>
      </c>
      <c r="L2730" s="7" t="str">
        <f aca="false">IF(TRIM(E2730)="","Unknown",IFERROR(LEFT(TRIM(E2730),FIND(",",TRIM(E2730))-1),TRIM(E2730)))</f>
        <v>United Kingdom</v>
      </c>
      <c r="M2730" s="7" t="str">
        <f aca="false">IFERROR(LEFT(J2730,FIND(",",J2730)-1),J2730)</f>
        <v>Documentaries</v>
      </c>
      <c r="N2730" s="7" t="n">
        <f aca="false">IF(B2730="Movie",IFERROR(VALUE(LEFT(I2730,FIND(" ",I2730)-1)),""),"")</f>
        <v>44</v>
      </c>
      <c r="O2730" s="7" t="str">
        <f aca="false">IF(B2730="TV Show",IFERROR(VALUE(LEFT(I2730,FIND(" ",I2730)-1)),""),"")</f>
        <v/>
      </c>
      <c r="P2730" s="7" t="n">
        <f aca="false">IF(K2730="","",K2730-G2730)</f>
        <v>0</v>
      </c>
    </row>
    <row r="2731" customFormat="false" ht="15" hidden="false" customHeight="false" outlineLevel="0" collapsed="false">
      <c r="A2731" s="7" t="n">
        <v>80108609</v>
      </c>
      <c r="B2731" s="7" t="s">
        <v>68</v>
      </c>
      <c r="C2731" s="7" t="s">
        <v>5868</v>
      </c>
      <c r="D2731" s="7" t="s">
        <v>5869</v>
      </c>
      <c r="E2731" s="7" t="s">
        <v>26</v>
      </c>
      <c r="F2731" s="7" t="s">
        <v>5866</v>
      </c>
      <c r="G2731" s="7" t="n">
        <v>2017</v>
      </c>
      <c r="H2731" s="7" t="s">
        <v>50</v>
      </c>
      <c r="I2731" s="7" t="s">
        <v>417</v>
      </c>
      <c r="J2731" s="7" t="s">
        <v>39</v>
      </c>
      <c r="K2731" s="7" t="n">
        <f aca="false">IFERROR(VALUE(RIGHT(TRIM(F2731),4)),"")</f>
        <v>2017</v>
      </c>
      <c r="L2731" s="7" t="str">
        <f aca="false">IF(TRIM(E2731)="","Unknown",IFERROR(LEFT(TRIM(E2731),FIND(",",TRIM(E2731))-1),TRIM(E2731)))</f>
        <v>United States</v>
      </c>
      <c r="M2731" s="7" t="str">
        <f aca="false">IFERROR(LEFT(J2731,FIND(",",J2731)-1),J2731)</f>
        <v>Documentaries</v>
      </c>
      <c r="N2731" s="7" t="n">
        <f aca="false">IF(B2731="Movie",IFERROR(VALUE(LEFT(I2731,FIND(" ",I2731)-1)),""),"")</f>
        <v>104</v>
      </c>
      <c r="O2731" s="7" t="str">
        <f aca="false">IF(B2731="TV Show",IFERROR(VALUE(LEFT(I2731,FIND(" ",I2731)-1)),""),"")</f>
        <v/>
      </c>
      <c r="P2731" s="7" t="n">
        <f aca="false">IF(K2731="","",K2731-G2731)</f>
        <v>0</v>
      </c>
    </row>
    <row r="2732" customFormat="false" ht="15" hidden="false" customHeight="false" outlineLevel="0" collapsed="false">
      <c r="A2732" s="7" t="n">
        <v>80173267</v>
      </c>
      <c r="B2732" s="7" t="s">
        <v>68</v>
      </c>
      <c r="C2732" s="7" t="s">
        <v>5870</v>
      </c>
      <c r="D2732" s="7" t="s">
        <v>5871</v>
      </c>
      <c r="E2732" s="7" t="s">
        <v>26</v>
      </c>
      <c r="F2732" s="7" t="s">
        <v>5866</v>
      </c>
      <c r="G2732" s="7" t="n">
        <v>2017</v>
      </c>
      <c r="H2732" s="7" t="s">
        <v>48</v>
      </c>
      <c r="I2732" s="7" t="s">
        <v>661</v>
      </c>
      <c r="J2732" s="7" t="s">
        <v>39</v>
      </c>
      <c r="K2732" s="7" t="n">
        <f aca="false">IFERROR(VALUE(RIGHT(TRIM(F2732),4)),"")</f>
        <v>2017</v>
      </c>
      <c r="L2732" s="7" t="str">
        <f aca="false">IF(TRIM(E2732)="","Unknown",IFERROR(LEFT(TRIM(E2732),FIND(",",TRIM(E2732))-1),TRIM(E2732)))</f>
        <v>United States</v>
      </c>
      <c r="M2732" s="7" t="str">
        <f aca="false">IFERROR(LEFT(J2732,FIND(",",J2732)-1),J2732)</f>
        <v>Documentaries</v>
      </c>
      <c r="N2732" s="7" t="n">
        <f aca="false">IF(B2732="Movie",IFERROR(VALUE(LEFT(I2732,FIND(" ",I2732)-1)),""),"")</f>
        <v>76</v>
      </c>
      <c r="O2732" s="7" t="str">
        <f aca="false">IF(B2732="TV Show",IFERROR(VALUE(LEFT(I2732,FIND(" ",I2732)-1)),""),"")</f>
        <v/>
      </c>
      <c r="P2732" s="7" t="n">
        <f aca="false">IF(K2732="","",K2732-G2732)</f>
        <v>0</v>
      </c>
    </row>
    <row r="2733" customFormat="false" ht="15" hidden="false" customHeight="false" outlineLevel="0" collapsed="false">
      <c r="A2733" s="7" t="n">
        <v>80144804</v>
      </c>
      <c r="B2733" s="7" t="s">
        <v>68</v>
      </c>
      <c r="C2733" s="7" t="s">
        <v>5872</v>
      </c>
      <c r="D2733" s="7" t="s">
        <v>5873</v>
      </c>
      <c r="E2733" s="7" t="s">
        <v>26</v>
      </c>
      <c r="F2733" s="7" t="s">
        <v>5866</v>
      </c>
      <c r="G2733" s="7" t="n">
        <v>2016</v>
      </c>
      <c r="H2733" s="7" t="s">
        <v>48</v>
      </c>
      <c r="I2733" s="7" t="s">
        <v>138</v>
      </c>
      <c r="J2733" s="7" t="s">
        <v>1533</v>
      </c>
      <c r="K2733" s="7" t="n">
        <f aca="false">IFERROR(VALUE(RIGHT(TRIM(F2733),4)),"")</f>
        <v>2017</v>
      </c>
      <c r="L2733" s="7" t="str">
        <f aca="false">IF(TRIM(E2733)="","Unknown",IFERROR(LEFT(TRIM(E2733),FIND(",",TRIM(E2733))-1),TRIM(E2733)))</f>
        <v>United States</v>
      </c>
      <c r="M2733" s="7" t="str">
        <f aca="false">IFERROR(LEFT(J2733,FIND(",",J2733)-1),J2733)</f>
        <v>Comedies</v>
      </c>
      <c r="N2733" s="7" t="n">
        <f aca="false">IF(B2733="Movie",IFERROR(VALUE(LEFT(I2733,FIND(" ",I2733)-1)),""),"")</f>
        <v>96</v>
      </c>
      <c r="O2733" s="7" t="str">
        <f aca="false">IF(B2733="TV Show",IFERROR(VALUE(LEFT(I2733,FIND(" ",I2733)-1)),""),"")</f>
        <v/>
      </c>
      <c r="P2733" s="7" t="n">
        <f aca="false">IF(K2733="","",K2733-G2733)</f>
        <v>1</v>
      </c>
    </row>
    <row r="2734" customFormat="false" ht="15" hidden="false" customHeight="false" outlineLevel="0" collapsed="false">
      <c r="A2734" s="7" t="n">
        <v>80139214</v>
      </c>
      <c r="B2734" s="7" t="s">
        <v>68</v>
      </c>
      <c r="C2734" s="7" t="s">
        <v>5874</v>
      </c>
      <c r="D2734" s="7" t="s">
        <v>5875</v>
      </c>
      <c r="F2734" s="7" t="s">
        <v>5866</v>
      </c>
      <c r="G2734" s="7" t="n">
        <v>2017</v>
      </c>
      <c r="H2734" s="7" t="s">
        <v>48</v>
      </c>
      <c r="I2734" s="7" t="s">
        <v>551</v>
      </c>
      <c r="J2734" s="7" t="s">
        <v>45</v>
      </c>
      <c r="K2734" s="7" t="n">
        <f aca="false">IFERROR(VALUE(RIGHT(TRIM(F2734),4)),"")</f>
        <v>2017</v>
      </c>
      <c r="L2734" s="7" t="str">
        <f aca="false">IF(TRIM(E2734)="","Unknown",IFERROR(LEFT(TRIM(E2734),FIND(",",TRIM(E2734))-1),TRIM(E2734)))</f>
        <v>Unknown</v>
      </c>
      <c r="M2734" s="7" t="str">
        <f aca="false">IFERROR(LEFT(J2734,FIND(",",J2734)-1),J2734)</f>
        <v>Stand-Up Comedy</v>
      </c>
      <c r="N2734" s="7" t="n">
        <f aca="false">IF(B2734="Movie",IFERROR(VALUE(LEFT(I2734,FIND(" ",I2734)-1)),""),"")</f>
        <v>63</v>
      </c>
      <c r="O2734" s="7" t="str">
        <f aca="false">IF(B2734="TV Show",IFERROR(VALUE(LEFT(I2734,FIND(" ",I2734)-1)),""),"")</f>
        <v/>
      </c>
      <c r="P2734" s="7" t="n">
        <f aca="false">IF(K2734="","",K2734-G2734)</f>
        <v>0</v>
      </c>
    </row>
    <row r="2735" customFormat="false" ht="15" hidden="false" customHeight="false" outlineLevel="0" collapsed="false">
      <c r="A2735" s="7" t="n">
        <v>80106038</v>
      </c>
      <c r="B2735" s="7" t="s">
        <v>68</v>
      </c>
      <c r="C2735" s="7" t="s">
        <v>5876</v>
      </c>
      <c r="D2735" s="7" t="s">
        <v>5877</v>
      </c>
      <c r="E2735" s="7" t="s">
        <v>5878</v>
      </c>
      <c r="F2735" s="7" t="s">
        <v>5866</v>
      </c>
      <c r="G2735" s="7" t="n">
        <v>2016</v>
      </c>
      <c r="H2735" s="7" t="s">
        <v>48</v>
      </c>
      <c r="I2735" s="7" t="s">
        <v>268</v>
      </c>
      <c r="J2735" s="7" t="s">
        <v>304</v>
      </c>
      <c r="K2735" s="7" t="n">
        <f aca="false">IFERROR(VALUE(RIGHT(TRIM(F2735),4)),"")</f>
        <v>2017</v>
      </c>
      <c r="L2735" s="7" t="str">
        <f aca="false">IF(TRIM(E2735)="","Unknown",IFERROR(LEFT(TRIM(E2735),FIND(",",TRIM(E2735))-1),TRIM(E2735)))</f>
        <v>Finland</v>
      </c>
      <c r="M2735" s="7" t="str">
        <f aca="false">IFERROR(LEFT(J2735,FIND(",",J2735)-1),J2735)</f>
        <v>Dramas</v>
      </c>
      <c r="N2735" s="7" t="n">
        <f aca="false">IF(B2735="Movie",IFERROR(VALUE(LEFT(I2735,FIND(" ",I2735)-1)),""),"")</f>
        <v>108</v>
      </c>
      <c r="O2735" s="7" t="str">
        <f aca="false">IF(B2735="TV Show",IFERROR(VALUE(LEFT(I2735,FIND(" ",I2735)-1)),""),"")</f>
        <v/>
      </c>
      <c r="P2735" s="7" t="n">
        <f aca="false">IF(K2735="","",K2735-G2735)</f>
        <v>1</v>
      </c>
    </row>
    <row r="2736" customFormat="false" ht="15" hidden="false" customHeight="false" outlineLevel="0" collapsed="false">
      <c r="A2736" s="7" t="n">
        <v>80122189</v>
      </c>
      <c r="B2736" s="7" t="s">
        <v>78</v>
      </c>
      <c r="C2736" s="7" t="s">
        <v>5879</v>
      </c>
      <c r="E2736" s="7" t="s">
        <v>27</v>
      </c>
      <c r="F2736" s="7" t="s">
        <v>5866</v>
      </c>
      <c r="G2736" s="7" t="n">
        <v>2015</v>
      </c>
      <c r="H2736" s="7" t="s">
        <v>48</v>
      </c>
      <c r="I2736" s="7" t="s">
        <v>82</v>
      </c>
      <c r="J2736" s="7" t="s">
        <v>5084</v>
      </c>
      <c r="K2736" s="7" t="n">
        <f aca="false">IFERROR(VALUE(RIGHT(TRIM(F2736),4)),"")</f>
        <v>2017</v>
      </c>
      <c r="L2736" s="7" t="str">
        <f aca="false">IF(TRIM(E2736)="","Unknown",IFERROR(LEFT(TRIM(E2736),FIND(",",TRIM(E2736))-1),TRIM(E2736)))</f>
        <v>India</v>
      </c>
      <c r="M2736" s="7" t="str">
        <f aca="false">IFERROR(LEFT(J2736,FIND(",",J2736)-1),J2736)</f>
        <v>International TV Shows</v>
      </c>
      <c r="N2736" s="7" t="str">
        <f aca="false">IF(B2736="Movie",IFERROR(VALUE(LEFT(I2736,FIND(" ",I2736)-1)),""),"")</f>
        <v/>
      </c>
      <c r="O2736" s="7" t="n">
        <f aca="false">IF(B2736="TV Show",IFERROR(VALUE(LEFT(I2736,FIND(" ",I2736)-1)),""),"")</f>
        <v>1</v>
      </c>
      <c r="P2736" s="7" t="n">
        <f aca="false">IF(K2736="","",K2736-G2736)</f>
        <v>2</v>
      </c>
    </row>
    <row r="2737" customFormat="false" ht="15" hidden="false" customHeight="false" outlineLevel="0" collapsed="false">
      <c r="A2737" s="7" t="n">
        <v>60000901</v>
      </c>
      <c r="B2737" s="7" t="s">
        <v>68</v>
      </c>
      <c r="C2737" s="7" t="s">
        <v>5880</v>
      </c>
      <c r="D2737" s="7" t="s">
        <v>5881</v>
      </c>
      <c r="E2737" s="7" t="s">
        <v>26</v>
      </c>
      <c r="F2737" s="7" t="s">
        <v>5866</v>
      </c>
      <c r="G2737" s="7" t="n">
        <v>2000</v>
      </c>
      <c r="H2737" s="7" t="s">
        <v>54</v>
      </c>
      <c r="I2737" s="7" t="s">
        <v>820</v>
      </c>
      <c r="J2737" s="7" t="s">
        <v>74</v>
      </c>
      <c r="K2737" s="7" t="n">
        <f aca="false">IFERROR(VALUE(RIGHT(TRIM(F2737),4)),"")</f>
        <v>2017</v>
      </c>
      <c r="L2737" s="7" t="str">
        <f aca="false">IF(TRIM(E2737)="","Unknown",IFERROR(LEFT(TRIM(E2737),FIND(",",TRIM(E2737))-1),TRIM(E2737)))</f>
        <v>United States</v>
      </c>
      <c r="M2737" s="7" t="str">
        <f aca="false">IFERROR(LEFT(J2737,FIND(",",J2737)-1),J2737)</f>
        <v>Children &amp; Family Movies</v>
      </c>
      <c r="N2737" s="7" t="n">
        <f aca="false">IF(B2737="Movie",IFERROR(VALUE(LEFT(I2737,FIND(" ",I2737)-1)),""),"")</f>
        <v>105</v>
      </c>
      <c r="O2737" s="7" t="str">
        <f aca="false">IF(B2737="TV Show",IFERROR(VALUE(LEFT(I2737,FIND(" ",I2737)-1)),""),"")</f>
        <v/>
      </c>
      <c r="P2737" s="7" t="n">
        <f aca="false">IF(K2737="","",K2737-G2737)</f>
        <v>17</v>
      </c>
    </row>
    <row r="2738" customFormat="false" ht="15" hidden="false" customHeight="false" outlineLevel="0" collapsed="false">
      <c r="A2738" s="7" t="n">
        <v>80158769</v>
      </c>
      <c r="B2738" s="7" t="s">
        <v>68</v>
      </c>
      <c r="C2738" s="7" t="s">
        <v>5882</v>
      </c>
      <c r="D2738" s="7" t="s">
        <v>5733</v>
      </c>
      <c r="E2738" s="7" t="s">
        <v>28</v>
      </c>
      <c r="F2738" s="7" t="s">
        <v>5866</v>
      </c>
      <c r="G2738" s="7" t="n">
        <v>2017</v>
      </c>
      <c r="H2738" s="7" t="s">
        <v>49</v>
      </c>
      <c r="I2738" s="7" t="s">
        <v>935</v>
      </c>
      <c r="J2738" s="7" t="s">
        <v>39</v>
      </c>
      <c r="K2738" s="7" t="n">
        <f aca="false">IFERROR(VALUE(RIGHT(TRIM(F2738),4)),"")</f>
        <v>2017</v>
      </c>
      <c r="L2738" s="7" t="str">
        <f aca="false">IF(TRIM(E2738)="","Unknown",IFERROR(LEFT(TRIM(E2738),FIND(",",TRIM(E2738))-1),TRIM(E2738)))</f>
        <v>United Kingdom</v>
      </c>
      <c r="M2738" s="7" t="str">
        <f aca="false">IFERROR(LEFT(J2738,FIND(",",J2738)-1),J2738)</f>
        <v>Documentaries</v>
      </c>
      <c r="N2738" s="7" t="n">
        <f aca="false">IF(B2738="Movie",IFERROR(VALUE(LEFT(I2738,FIND(" ",I2738)-1)),""),"")</f>
        <v>47</v>
      </c>
      <c r="O2738" s="7" t="str">
        <f aca="false">IF(B2738="TV Show",IFERROR(VALUE(LEFT(I2738,FIND(" ",I2738)-1)),""),"")</f>
        <v/>
      </c>
      <c r="P2738" s="7" t="n">
        <f aca="false">IF(K2738="","",K2738-G2738)</f>
        <v>0</v>
      </c>
    </row>
    <row r="2739" customFormat="false" ht="15" hidden="false" customHeight="false" outlineLevel="0" collapsed="false">
      <c r="A2739" s="7" t="n">
        <v>80158579</v>
      </c>
      <c r="B2739" s="7" t="s">
        <v>68</v>
      </c>
      <c r="C2739" s="7" t="s">
        <v>5883</v>
      </c>
      <c r="D2739" s="7" t="s">
        <v>4236</v>
      </c>
      <c r="E2739" s="7" t="s">
        <v>28</v>
      </c>
      <c r="F2739" s="7" t="s">
        <v>5866</v>
      </c>
      <c r="G2739" s="7" t="n">
        <v>2017</v>
      </c>
      <c r="H2739" s="7" t="s">
        <v>50</v>
      </c>
      <c r="I2739" s="7" t="s">
        <v>2198</v>
      </c>
      <c r="J2739" s="7" t="s">
        <v>39</v>
      </c>
      <c r="K2739" s="7" t="n">
        <f aca="false">IFERROR(VALUE(RIGHT(TRIM(F2739),4)),"")</f>
        <v>2017</v>
      </c>
      <c r="L2739" s="7" t="str">
        <f aca="false">IF(TRIM(E2739)="","Unknown",IFERROR(LEFT(TRIM(E2739),FIND(",",TRIM(E2739))-1),TRIM(E2739)))</f>
        <v>United Kingdom</v>
      </c>
      <c r="M2739" s="7" t="str">
        <f aca="false">IFERROR(LEFT(J2739,FIND(",",J2739)-1),J2739)</f>
        <v>Documentaries</v>
      </c>
      <c r="N2739" s="7" t="n">
        <f aca="false">IF(B2739="Movie",IFERROR(VALUE(LEFT(I2739,FIND(" ",I2739)-1)),""),"")</f>
        <v>44</v>
      </c>
      <c r="O2739" s="7" t="str">
        <f aca="false">IF(B2739="TV Show",IFERROR(VALUE(LEFT(I2739,FIND(" ",I2739)-1)),""),"")</f>
        <v/>
      </c>
      <c r="P2739" s="7" t="n">
        <f aca="false">IF(K2739="","",K2739-G2739)</f>
        <v>0</v>
      </c>
    </row>
    <row r="2740" customFormat="false" ht="15" hidden="false" customHeight="false" outlineLevel="0" collapsed="false">
      <c r="A2740" s="7" t="n">
        <v>80121872</v>
      </c>
      <c r="B2740" s="7" t="s">
        <v>78</v>
      </c>
      <c r="C2740" s="7" t="s">
        <v>5884</v>
      </c>
      <c r="E2740" s="7" t="s">
        <v>27</v>
      </c>
      <c r="F2740" s="7" t="s">
        <v>5866</v>
      </c>
      <c r="G2740" s="7" t="n">
        <v>2009</v>
      </c>
      <c r="H2740" s="7" t="s">
        <v>49</v>
      </c>
      <c r="I2740" s="7" t="s">
        <v>82</v>
      </c>
      <c r="J2740" s="7" t="s">
        <v>344</v>
      </c>
      <c r="K2740" s="7" t="n">
        <f aca="false">IFERROR(VALUE(RIGHT(TRIM(F2740),4)),"")</f>
        <v>2017</v>
      </c>
      <c r="L2740" s="7" t="str">
        <f aca="false">IF(TRIM(E2740)="","Unknown",IFERROR(LEFT(TRIM(E2740),FIND(",",TRIM(E2740))-1),TRIM(E2740)))</f>
        <v>India</v>
      </c>
      <c r="M2740" s="7" t="str">
        <f aca="false">IFERROR(LEFT(J2740,FIND(",",J2740)-1),J2740)</f>
        <v>International TV Shows</v>
      </c>
      <c r="N2740" s="7" t="str">
        <f aca="false">IF(B2740="Movie",IFERROR(VALUE(LEFT(I2740,FIND(" ",I2740)-1)),""),"")</f>
        <v/>
      </c>
      <c r="O2740" s="7" t="n">
        <f aca="false">IF(B2740="TV Show",IFERROR(VALUE(LEFT(I2740,FIND(" ",I2740)-1)),""),"")</f>
        <v>1</v>
      </c>
      <c r="P2740" s="7" t="n">
        <f aca="false">IF(K2740="","",K2740-G2740)</f>
        <v>8</v>
      </c>
    </row>
    <row r="2741" customFormat="false" ht="15" hidden="false" customHeight="false" outlineLevel="0" collapsed="false">
      <c r="A2741" s="7" t="n">
        <v>80158920</v>
      </c>
      <c r="B2741" s="7" t="s">
        <v>68</v>
      </c>
      <c r="C2741" s="7" t="s">
        <v>5885</v>
      </c>
      <c r="D2741" s="7" t="s">
        <v>5886</v>
      </c>
      <c r="E2741" s="7" t="s">
        <v>27</v>
      </c>
      <c r="F2741" s="7" t="s">
        <v>5866</v>
      </c>
      <c r="G2741" s="7" t="n">
        <v>2015</v>
      </c>
      <c r="H2741" s="7" t="s">
        <v>48</v>
      </c>
      <c r="I2741" s="7" t="s">
        <v>790</v>
      </c>
      <c r="J2741" s="7" t="s">
        <v>188</v>
      </c>
      <c r="K2741" s="7" t="n">
        <f aca="false">IFERROR(VALUE(RIGHT(TRIM(F2741),4)),"")</f>
        <v>2017</v>
      </c>
      <c r="L2741" s="7" t="str">
        <f aca="false">IF(TRIM(E2741)="","Unknown",IFERROR(LEFT(TRIM(E2741),FIND(",",TRIM(E2741))-1),TRIM(E2741)))</f>
        <v>India</v>
      </c>
      <c r="M2741" s="7" t="str">
        <f aca="false">IFERROR(LEFT(J2741,FIND(",",J2741)-1),J2741)</f>
        <v>Dramas</v>
      </c>
      <c r="N2741" s="7" t="n">
        <f aca="false">IF(B2741="Movie",IFERROR(VALUE(LEFT(I2741,FIND(" ",I2741)-1)),""),"")</f>
        <v>109</v>
      </c>
      <c r="O2741" s="7" t="str">
        <f aca="false">IF(B2741="TV Show",IFERROR(VALUE(LEFT(I2741,FIND(" ",I2741)-1)),""),"")</f>
        <v/>
      </c>
      <c r="P2741" s="7" t="n">
        <f aca="false">IF(K2741="","",K2741-G2741)</f>
        <v>2</v>
      </c>
    </row>
    <row r="2742" customFormat="false" ht="15" hidden="false" customHeight="false" outlineLevel="0" collapsed="false">
      <c r="A2742" s="7" t="n">
        <v>80107736</v>
      </c>
      <c r="B2742" s="7" t="s">
        <v>68</v>
      </c>
      <c r="C2742" s="7" t="s">
        <v>5887</v>
      </c>
      <c r="D2742" s="7" t="s">
        <v>5888</v>
      </c>
      <c r="E2742" s="7" t="s">
        <v>26</v>
      </c>
      <c r="F2742" s="7" t="s">
        <v>5866</v>
      </c>
      <c r="G2742" s="7" t="n">
        <v>2016</v>
      </c>
      <c r="H2742" s="7" t="s">
        <v>49</v>
      </c>
      <c r="I2742" s="7" t="s">
        <v>357</v>
      </c>
      <c r="J2742" s="7" t="s">
        <v>198</v>
      </c>
      <c r="K2742" s="7" t="n">
        <f aca="false">IFERROR(VALUE(RIGHT(TRIM(F2742),4)),"")</f>
        <v>2017</v>
      </c>
      <c r="L2742" s="7" t="str">
        <f aca="false">IF(TRIM(E2742)="","Unknown",IFERROR(LEFT(TRIM(E2742),FIND(",",TRIM(E2742))-1),TRIM(E2742)))</f>
        <v>United States</v>
      </c>
      <c r="M2742" s="7" t="str">
        <f aca="false">IFERROR(LEFT(J2742,FIND(",",J2742)-1),J2742)</f>
        <v>Comedies</v>
      </c>
      <c r="N2742" s="7" t="n">
        <f aca="false">IF(B2742="Movie",IFERROR(VALUE(LEFT(I2742,FIND(" ",I2742)-1)),""),"")</f>
        <v>89</v>
      </c>
      <c r="O2742" s="7" t="str">
        <f aca="false">IF(B2742="TV Show",IFERROR(VALUE(LEFT(I2742,FIND(" ",I2742)-1)),""),"")</f>
        <v/>
      </c>
      <c r="P2742" s="7" t="n">
        <f aca="false">IF(K2742="","",K2742-G2742)</f>
        <v>1</v>
      </c>
    </row>
    <row r="2743" customFormat="false" ht="15" hidden="false" customHeight="false" outlineLevel="0" collapsed="false">
      <c r="A2743" s="7" t="n">
        <v>80148967</v>
      </c>
      <c r="B2743" s="7" t="s">
        <v>68</v>
      </c>
      <c r="C2743" s="7" t="s">
        <v>5889</v>
      </c>
      <c r="D2743" s="7" t="s">
        <v>5890</v>
      </c>
      <c r="E2743" s="7" t="s">
        <v>325</v>
      </c>
      <c r="F2743" s="7" t="s">
        <v>5866</v>
      </c>
      <c r="G2743" s="7" t="n">
        <v>2017</v>
      </c>
      <c r="H2743" s="7" t="s">
        <v>48</v>
      </c>
      <c r="I2743" s="7" t="s">
        <v>311</v>
      </c>
      <c r="J2743" s="7" t="s">
        <v>206</v>
      </c>
      <c r="K2743" s="7" t="n">
        <f aca="false">IFERROR(VALUE(RIGHT(TRIM(F2743),4)),"")</f>
        <v>2017</v>
      </c>
      <c r="L2743" s="7" t="str">
        <f aca="false">IF(TRIM(E2743)="","Unknown",IFERROR(LEFT(TRIM(E2743),FIND(",",TRIM(E2743))-1),TRIM(E2743)))</f>
        <v>Brazil</v>
      </c>
      <c r="M2743" s="7" t="str">
        <f aca="false">IFERROR(LEFT(J2743,FIND(",",J2743)-1),J2743)</f>
        <v>Comedies</v>
      </c>
      <c r="N2743" s="7" t="n">
        <f aca="false">IF(B2743="Movie",IFERROR(VALUE(LEFT(I2743,FIND(" ",I2743)-1)),""),"")</f>
        <v>92</v>
      </c>
      <c r="O2743" s="7" t="str">
        <f aca="false">IF(B2743="TV Show",IFERROR(VALUE(LEFT(I2743,FIND(" ",I2743)-1)),""),"")</f>
        <v/>
      </c>
      <c r="P2743" s="7" t="n">
        <f aca="false">IF(K2743="","",K2743-G2743)</f>
        <v>0</v>
      </c>
    </row>
    <row r="2744" customFormat="false" ht="15" hidden="false" customHeight="false" outlineLevel="0" collapsed="false">
      <c r="A2744" s="7" t="n">
        <v>70057994</v>
      </c>
      <c r="B2744" s="7" t="s">
        <v>68</v>
      </c>
      <c r="C2744" s="7" t="s">
        <v>5891</v>
      </c>
      <c r="D2744" s="7" t="s">
        <v>3744</v>
      </c>
      <c r="E2744" s="7" t="s">
        <v>5892</v>
      </c>
      <c r="F2744" s="7" t="s">
        <v>5866</v>
      </c>
      <c r="G2744" s="7" t="n">
        <v>1993</v>
      </c>
      <c r="H2744" s="7" t="s">
        <v>53</v>
      </c>
      <c r="I2744" s="7" t="s">
        <v>232</v>
      </c>
      <c r="J2744" s="7" t="s">
        <v>1042</v>
      </c>
      <c r="K2744" s="7" t="n">
        <f aca="false">IFERROR(VALUE(RIGHT(TRIM(F2744),4)),"")</f>
        <v>2017</v>
      </c>
      <c r="L2744" s="7" t="str">
        <f aca="false">IF(TRIM(E2744)="","Unknown",IFERROR(LEFT(TRIM(E2744),FIND(",",TRIM(E2744))-1),TRIM(E2744)))</f>
        <v>France</v>
      </c>
      <c r="M2744" s="7" t="str">
        <f aca="false">IFERROR(LEFT(J2744,FIND(",",J2744)-1),J2744)</f>
        <v>Dramas</v>
      </c>
      <c r="N2744" s="7" t="n">
        <f aca="false">IF(B2744="Movie",IFERROR(VALUE(LEFT(I2744,FIND(" ",I2744)-1)),""),"")</f>
        <v>122</v>
      </c>
      <c r="O2744" s="7" t="str">
        <f aca="false">IF(B2744="TV Show",IFERROR(VALUE(LEFT(I2744,FIND(" ",I2744)-1)),""),"")</f>
        <v/>
      </c>
      <c r="P2744" s="7" t="n">
        <f aca="false">IF(K2744="","",K2744-G2744)</f>
        <v>24</v>
      </c>
    </row>
    <row r="2745" customFormat="false" ht="15" hidden="false" customHeight="false" outlineLevel="0" collapsed="false">
      <c r="A2745" s="7" t="n">
        <v>80186862</v>
      </c>
      <c r="B2745" s="7" t="s">
        <v>68</v>
      </c>
      <c r="C2745" s="7" t="s">
        <v>5893</v>
      </c>
      <c r="D2745" s="7" t="s">
        <v>5894</v>
      </c>
      <c r="E2745" s="7" t="s">
        <v>619</v>
      </c>
      <c r="F2745" s="7" t="s">
        <v>5866</v>
      </c>
      <c r="G2745" s="7" t="n">
        <v>2017</v>
      </c>
      <c r="H2745" s="7" t="s">
        <v>50</v>
      </c>
      <c r="I2745" s="7" t="s">
        <v>4163</v>
      </c>
      <c r="J2745" s="7" t="s">
        <v>3848</v>
      </c>
      <c r="K2745" s="7" t="n">
        <f aca="false">IFERROR(VALUE(RIGHT(TRIM(F2745),4)),"")</f>
        <v>2017</v>
      </c>
      <c r="L2745" s="7" t="str">
        <f aca="false">IF(TRIM(E2745)="","Unknown",IFERROR(LEFT(TRIM(E2745),FIND(",",TRIM(E2745))-1),TRIM(E2745)))</f>
        <v>Canada</v>
      </c>
      <c r="M2745" s="7" t="str">
        <f aca="false">IFERROR(LEFT(J2745,FIND(",",J2745)-1),J2745)</f>
        <v>Documentaries</v>
      </c>
      <c r="N2745" s="7" t="n">
        <f aca="false">IF(B2745="Movie",IFERROR(VALUE(LEFT(I2745,FIND(" ",I2745)-1)),""),"")</f>
        <v>19</v>
      </c>
      <c r="O2745" s="7" t="str">
        <f aca="false">IF(B2745="TV Show",IFERROR(VALUE(LEFT(I2745,FIND(" ",I2745)-1)),""),"")</f>
        <v/>
      </c>
      <c r="P2745" s="7" t="n">
        <f aca="false">IF(K2745="","",K2745-G2745)</f>
        <v>0</v>
      </c>
    </row>
    <row r="2746" customFormat="false" ht="15" hidden="false" customHeight="false" outlineLevel="0" collapsed="false">
      <c r="A2746" s="7" t="n">
        <v>80157207</v>
      </c>
      <c r="B2746" s="7" t="s">
        <v>78</v>
      </c>
      <c r="C2746" s="7" t="s">
        <v>5895</v>
      </c>
      <c r="F2746" s="7" t="s">
        <v>5866</v>
      </c>
      <c r="G2746" s="7" t="n">
        <v>2015</v>
      </c>
      <c r="H2746" s="7" t="s">
        <v>49</v>
      </c>
      <c r="I2746" s="7" t="s">
        <v>82</v>
      </c>
      <c r="J2746" s="7" t="s">
        <v>402</v>
      </c>
      <c r="K2746" s="7" t="n">
        <f aca="false">IFERROR(VALUE(RIGHT(TRIM(F2746),4)),"")</f>
        <v>2017</v>
      </c>
      <c r="L2746" s="7" t="str">
        <f aca="false">IF(TRIM(E2746)="","Unknown",IFERROR(LEFT(TRIM(E2746),FIND(",",TRIM(E2746))-1),TRIM(E2746)))</f>
        <v>Unknown</v>
      </c>
      <c r="M2746" s="7" t="str">
        <f aca="false">IFERROR(LEFT(J2746,FIND(",",J2746)-1),J2746)</f>
        <v>Crime TV Shows</v>
      </c>
      <c r="N2746" s="7" t="str">
        <f aca="false">IF(B2746="Movie",IFERROR(VALUE(LEFT(I2746,FIND(" ",I2746)-1)),""),"")</f>
        <v/>
      </c>
      <c r="O2746" s="7" t="n">
        <f aca="false">IF(B2746="TV Show",IFERROR(VALUE(LEFT(I2746,FIND(" ",I2746)-1)),""),"")</f>
        <v>1</v>
      </c>
      <c r="P2746" s="7" t="n">
        <f aca="false">IF(K2746="","",K2746-G2746)</f>
        <v>2</v>
      </c>
    </row>
    <row r="2747" customFormat="false" ht="15" hidden="false" customHeight="false" outlineLevel="0" collapsed="false">
      <c r="A2747" s="7" t="n">
        <v>80176449</v>
      </c>
      <c r="B2747" s="7" t="s">
        <v>78</v>
      </c>
      <c r="C2747" s="7" t="s">
        <v>5896</v>
      </c>
      <c r="F2747" s="7" t="s">
        <v>5866</v>
      </c>
      <c r="G2747" s="7" t="n">
        <v>2016</v>
      </c>
      <c r="H2747" s="7" t="s">
        <v>55</v>
      </c>
      <c r="I2747" s="7" t="s">
        <v>82</v>
      </c>
      <c r="J2747" s="7" t="s">
        <v>1686</v>
      </c>
      <c r="K2747" s="7" t="n">
        <f aca="false">IFERROR(VALUE(RIGHT(TRIM(F2747),4)),"")</f>
        <v>2017</v>
      </c>
      <c r="L2747" s="7" t="str">
        <f aca="false">IF(TRIM(E2747)="","Unknown",IFERROR(LEFT(TRIM(E2747),FIND(",",TRIM(E2747))-1),TRIM(E2747)))</f>
        <v>Unknown</v>
      </c>
      <c r="M2747" s="7" t="str">
        <f aca="false">IFERROR(LEFT(J2747,FIND(",",J2747)-1),J2747)</f>
        <v>Kids' TV</v>
      </c>
      <c r="N2747" s="7" t="str">
        <f aca="false">IF(B2747="Movie",IFERROR(VALUE(LEFT(I2747,FIND(" ",I2747)-1)),""),"")</f>
        <v/>
      </c>
      <c r="O2747" s="7" t="n">
        <f aca="false">IF(B2747="TV Show",IFERROR(VALUE(LEFT(I2747,FIND(" ",I2747)-1)),""),"")</f>
        <v>1</v>
      </c>
      <c r="P2747" s="7" t="n">
        <f aca="false">IF(K2747="","",K2747-G2747)</f>
        <v>1</v>
      </c>
    </row>
    <row r="2748" customFormat="false" ht="15" hidden="false" customHeight="false" outlineLevel="0" collapsed="false">
      <c r="A2748" s="7" t="n">
        <v>80156937</v>
      </c>
      <c r="B2748" s="7" t="s">
        <v>68</v>
      </c>
      <c r="C2748" s="7" t="s">
        <v>5897</v>
      </c>
      <c r="D2748" s="7" t="s">
        <v>3744</v>
      </c>
      <c r="E2748" s="7" t="s">
        <v>27</v>
      </c>
      <c r="F2748" s="7" t="s">
        <v>5866</v>
      </c>
      <c r="G2748" s="7" t="n">
        <v>1995</v>
      </c>
      <c r="H2748" s="7" t="s">
        <v>49</v>
      </c>
      <c r="I2748" s="7" t="s">
        <v>1955</v>
      </c>
      <c r="J2748" s="7" t="s">
        <v>139</v>
      </c>
      <c r="K2748" s="7" t="n">
        <f aca="false">IFERROR(VALUE(RIGHT(TRIM(F2748),4)),"")</f>
        <v>2017</v>
      </c>
      <c r="L2748" s="7" t="str">
        <f aca="false">IF(TRIM(E2748)="","Unknown",IFERROR(LEFT(TRIM(E2748),FIND(",",TRIM(E2748))-1),TRIM(E2748)))</f>
        <v>India</v>
      </c>
      <c r="M2748" s="7" t="str">
        <f aca="false">IFERROR(LEFT(J2748,FIND(",",J2748)-1),J2748)</f>
        <v>Action &amp; Adventure</v>
      </c>
      <c r="N2748" s="7" t="n">
        <f aca="false">IF(B2748="Movie",IFERROR(VALUE(LEFT(I2748,FIND(" ",I2748)-1)),""),"")</f>
        <v>154</v>
      </c>
      <c r="O2748" s="7" t="str">
        <f aca="false">IF(B2748="TV Show",IFERROR(VALUE(LEFT(I2748,FIND(" ",I2748)-1)),""),"")</f>
        <v/>
      </c>
      <c r="P2748" s="7" t="n">
        <f aca="false">IF(K2748="","",K2748-G2748)</f>
        <v>22</v>
      </c>
    </row>
    <row r="2749" customFormat="false" ht="15" hidden="false" customHeight="false" outlineLevel="0" collapsed="false">
      <c r="A2749" s="7" t="n">
        <v>80035684</v>
      </c>
      <c r="B2749" s="7" t="s">
        <v>78</v>
      </c>
      <c r="C2749" s="7" t="s">
        <v>5898</v>
      </c>
      <c r="E2749" s="7" t="s">
        <v>1397</v>
      </c>
      <c r="F2749" s="7" t="s">
        <v>5866</v>
      </c>
      <c r="G2749" s="7" t="n">
        <v>2012</v>
      </c>
      <c r="H2749" s="7" t="s">
        <v>48</v>
      </c>
      <c r="I2749" s="7" t="s">
        <v>82</v>
      </c>
      <c r="J2749" s="7" t="s">
        <v>89</v>
      </c>
      <c r="K2749" s="7" t="n">
        <f aca="false">IFERROR(VALUE(RIGHT(TRIM(F2749),4)),"")</f>
        <v>2017</v>
      </c>
      <c r="L2749" s="7" t="str">
        <f aca="false">IF(TRIM(E2749)="","Unknown",IFERROR(LEFT(TRIM(E2749),FIND(",",TRIM(E2749))-1),TRIM(E2749)))</f>
        <v>Colombia</v>
      </c>
      <c r="M2749" s="7" t="str">
        <f aca="false">IFERROR(LEFT(J2749,FIND(",",J2749)-1),J2749)</f>
        <v>Crime TV Shows</v>
      </c>
      <c r="N2749" s="7" t="str">
        <f aca="false">IF(B2749="Movie",IFERROR(VALUE(LEFT(I2749,FIND(" ",I2749)-1)),""),"")</f>
        <v/>
      </c>
      <c r="O2749" s="7" t="n">
        <f aca="false">IF(B2749="TV Show",IFERROR(VALUE(LEFT(I2749,FIND(" ",I2749)-1)),""),"")</f>
        <v>1</v>
      </c>
      <c r="P2749" s="7" t="n">
        <f aca="false">IF(K2749="","",K2749-G2749)</f>
        <v>5</v>
      </c>
    </row>
    <row r="2750" customFormat="false" ht="15" hidden="false" customHeight="false" outlineLevel="0" collapsed="false">
      <c r="A2750" s="7" t="n">
        <v>80175277</v>
      </c>
      <c r="B2750" s="7" t="s">
        <v>78</v>
      </c>
      <c r="C2750" s="7" t="s">
        <v>5899</v>
      </c>
      <c r="F2750" s="7" t="s">
        <v>5866</v>
      </c>
      <c r="G2750" s="7" t="n">
        <v>2016</v>
      </c>
      <c r="H2750" s="7" t="s">
        <v>55</v>
      </c>
      <c r="I2750" s="7" t="s">
        <v>82</v>
      </c>
      <c r="J2750" s="7" t="s">
        <v>1686</v>
      </c>
      <c r="K2750" s="7" t="n">
        <f aca="false">IFERROR(VALUE(RIGHT(TRIM(F2750),4)),"")</f>
        <v>2017</v>
      </c>
      <c r="L2750" s="7" t="str">
        <f aca="false">IF(TRIM(E2750)="","Unknown",IFERROR(LEFT(TRIM(E2750),FIND(",",TRIM(E2750))-1),TRIM(E2750)))</f>
        <v>Unknown</v>
      </c>
      <c r="M2750" s="7" t="str">
        <f aca="false">IFERROR(LEFT(J2750,FIND(",",J2750)-1),J2750)</f>
        <v>Kids' TV</v>
      </c>
      <c r="N2750" s="7" t="str">
        <f aca="false">IF(B2750="Movie",IFERROR(VALUE(LEFT(I2750,FIND(" ",I2750)-1)),""),"")</f>
        <v/>
      </c>
      <c r="O2750" s="7" t="n">
        <f aca="false">IF(B2750="TV Show",IFERROR(VALUE(LEFT(I2750,FIND(" ",I2750)-1)),""),"")</f>
        <v>1</v>
      </c>
      <c r="P2750" s="7" t="n">
        <f aca="false">IF(K2750="","",K2750-G2750)</f>
        <v>1</v>
      </c>
    </row>
    <row r="2751" customFormat="false" ht="15" hidden="false" customHeight="false" outlineLevel="0" collapsed="false">
      <c r="A2751" s="7" t="n">
        <v>80158546</v>
      </c>
      <c r="B2751" s="7" t="s">
        <v>68</v>
      </c>
      <c r="C2751" s="7" t="s">
        <v>5900</v>
      </c>
      <c r="D2751" s="7" t="s">
        <v>5901</v>
      </c>
      <c r="E2751" s="7" t="s">
        <v>27</v>
      </c>
      <c r="F2751" s="7" t="s">
        <v>5866</v>
      </c>
      <c r="G2751" s="7" t="n">
        <v>1969</v>
      </c>
      <c r="H2751" s="7" t="s">
        <v>49</v>
      </c>
      <c r="I2751" s="7" t="s">
        <v>490</v>
      </c>
      <c r="J2751" s="7" t="s">
        <v>240</v>
      </c>
      <c r="K2751" s="7" t="n">
        <f aca="false">IFERROR(VALUE(RIGHT(TRIM(F2751),4)),"")</f>
        <v>2017</v>
      </c>
      <c r="L2751" s="7" t="str">
        <f aca="false">IF(TRIM(E2751)="","Unknown",IFERROR(LEFT(TRIM(E2751),FIND(",",TRIM(E2751))-1),TRIM(E2751)))</f>
        <v>India</v>
      </c>
      <c r="M2751" s="7" t="str">
        <f aca="false">IFERROR(LEFT(J2751,FIND(",",J2751)-1),J2751)</f>
        <v>Dramas</v>
      </c>
      <c r="N2751" s="7" t="n">
        <f aca="false">IF(B2751="Movie",IFERROR(VALUE(LEFT(I2751,FIND(" ",I2751)-1)),""),"")</f>
        <v>152</v>
      </c>
      <c r="O2751" s="7" t="str">
        <f aca="false">IF(B2751="TV Show",IFERROR(VALUE(LEFT(I2751,FIND(" ",I2751)-1)),""),"")</f>
        <v/>
      </c>
      <c r="P2751" s="7" t="n">
        <f aca="false">IF(K2751="","",K2751-G2751)</f>
        <v>48</v>
      </c>
    </row>
    <row r="2752" customFormat="false" ht="15" hidden="false" customHeight="false" outlineLevel="0" collapsed="false">
      <c r="A2752" s="7" t="n">
        <v>80156936</v>
      </c>
      <c r="B2752" s="7" t="s">
        <v>68</v>
      </c>
      <c r="C2752" s="7" t="s">
        <v>5902</v>
      </c>
      <c r="D2752" s="7" t="s">
        <v>1068</v>
      </c>
      <c r="E2752" s="7" t="s">
        <v>27</v>
      </c>
      <c r="F2752" s="7" t="s">
        <v>5866</v>
      </c>
      <c r="G2752" s="7" t="n">
        <v>1998</v>
      </c>
      <c r="H2752" s="7" t="s">
        <v>49</v>
      </c>
      <c r="I2752" s="7" t="s">
        <v>1557</v>
      </c>
      <c r="J2752" s="7" t="s">
        <v>304</v>
      </c>
      <c r="K2752" s="7" t="n">
        <f aca="false">IFERROR(VALUE(RIGHT(TRIM(F2752),4)),"")</f>
        <v>2017</v>
      </c>
      <c r="L2752" s="7" t="str">
        <f aca="false">IF(TRIM(E2752)="","Unknown",IFERROR(LEFT(TRIM(E2752),FIND(",",TRIM(E2752))-1),TRIM(E2752)))</f>
        <v>India</v>
      </c>
      <c r="M2752" s="7" t="str">
        <f aca="false">IFERROR(LEFT(J2752,FIND(",",J2752)-1),J2752)</f>
        <v>Dramas</v>
      </c>
      <c r="N2752" s="7" t="n">
        <f aca="false">IF(B2752="Movie",IFERROR(VALUE(LEFT(I2752,FIND(" ",I2752)-1)),""),"")</f>
        <v>161</v>
      </c>
      <c r="O2752" s="7" t="str">
        <f aca="false">IF(B2752="TV Show",IFERROR(VALUE(LEFT(I2752,FIND(" ",I2752)-1)),""),"")</f>
        <v/>
      </c>
      <c r="P2752" s="7" t="n">
        <f aca="false">IF(K2752="","",K2752-G2752)</f>
        <v>19</v>
      </c>
    </row>
    <row r="2753" customFormat="false" ht="15" hidden="false" customHeight="false" outlineLevel="0" collapsed="false">
      <c r="A2753" s="7" t="n">
        <v>80121871</v>
      </c>
      <c r="B2753" s="7" t="s">
        <v>78</v>
      </c>
      <c r="C2753" s="7" t="s">
        <v>5903</v>
      </c>
      <c r="F2753" s="7" t="s">
        <v>5866</v>
      </c>
      <c r="G2753" s="7" t="n">
        <v>2012</v>
      </c>
      <c r="H2753" s="7" t="s">
        <v>49</v>
      </c>
      <c r="I2753" s="7" t="s">
        <v>82</v>
      </c>
      <c r="J2753" s="7" t="s">
        <v>314</v>
      </c>
      <c r="K2753" s="7" t="n">
        <f aca="false">IFERROR(VALUE(RIGHT(TRIM(F2753),4)),"")</f>
        <v>2017</v>
      </c>
      <c r="L2753" s="7" t="str">
        <f aca="false">IF(TRIM(E2753)="","Unknown",IFERROR(LEFT(TRIM(E2753),FIND(",",TRIM(E2753))-1),TRIM(E2753)))</f>
        <v>Unknown</v>
      </c>
      <c r="M2753" s="7" t="str">
        <f aca="false">IFERROR(LEFT(J2753,FIND(",",J2753)-1),J2753)</f>
        <v>International TV Shows</v>
      </c>
      <c r="N2753" s="7" t="str">
        <f aca="false">IF(B2753="Movie",IFERROR(VALUE(LEFT(I2753,FIND(" ",I2753)-1)),""),"")</f>
        <v/>
      </c>
      <c r="O2753" s="7" t="n">
        <f aca="false">IF(B2753="TV Show",IFERROR(VALUE(LEFT(I2753,FIND(" ",I2753)-1)),""),"")</f>
        <v>1</v>
      </c>
      <c r="P2753" s="7" t="n">
        <f aca="false">IF(K2753="","",K2753-G2753)</f>
        <v>5</v>
      </c>
    </row>
    <row r="2754" customFormat="false" ht="15" hidden="false" customHeight="false" outlineLevel="0" collapsed="false">
      <c r="A2754" s="7" t="n">
        <v>80121843</v>
      </c>
      <c r="B2754" s="7" t="s">
        <v>68</v>
      </c>
      <c r="C2754" s="7" t="s">
        <v>5904</v>
      </c>
      <c r="D2754" s="7" t="s">
        <v>5905</v>
      </c>
      <c r="E2754" s="7" t="s">
        <v>33</v>
      </c>
      <c r="F2754" s="7" t="s">
        <v>5866</v>
      </c>
      <c r="G2754" s="7" t="n">
        <v>2016</v>
      </c>
      <c r="H2754" s="7" t="s">
        <v>49</v>
      </c>
      <c r="I2754" s="7" t="s">
        <v>869</v>
      </c>
      <c r="J2754" s="7" t="s">
        <v>182</v>
      </c>
      <c r="K2754" s="7" t="n">
        <f aca="false">IFERROR(VALUE(RIGHT(TRIM(F2754),4)),"")</f>
        <v>2017</v>
      </c>
      <c r="L2754" s="7" t="str">
        <f aca="false">IF(TRIM(E2754)="","Unknown",IFERROR(LEFT(TRIM(E2754),FIND(",",TRIM(E2754))-1),TRIM(E2754)))</f>
        <v>Spain</v>
      </c>
      <c r="M2754" s="7" t="str">
        <f aca="false">IFERROR(LEFT(J2754,FIND(",",J2754)-1),J2754)</f>
        <v>Dramas</v>
      </c>
      <c r="N2754" s="7" t="n">
        <f aca="false">IF(B2754="Movie",IFERROR(VALUE(LEFT(I2754,FIND(" ",I2754)-1)),""),"")</f>
        <v>123</v>
      </c>
      <c r="O2754" s="7" t="str">
        <f aca="false">IF(B2754="TV Show",IFERROR(VALUE(LEFT(I2754,FIND(" ",I2754)-1)),""),"")</f>
        <v/>
      </c>
      <c r="P2754" s="7" t="n">
        <f aca="false">IF(K2754="","",K2754-G2754)</f>
        <v>1</v>
      </c>
    </row>
    <row r="2755" customFormat="false" ht="15" hidden="false" customHeight="false" outlineLevel="0" collapsed="false">
      <c r="A2755" s="7" t="n">
        <v>80124091</v>
      </c>
      <c r="B2755" s="7" t="s">
        <v>78</v>
      </c>
      <c r="C2755" s="7" t="s">
        <v>5906</v>
      </c>
      <c r="E2755" s="7" t="s">
        <v>3075</v>
      </c>
      <c r="F2755" s="7" t="s">
        <v>5866</v>
      </c>
      <c r="G2755" s="7" t="n">
        <v>2016</v>
      </c>
      <c r="H2755" s="7" t="s">
        <v>48</v>
      </c>
      <c r="I2755" s="7" t="s">
        <v>82</v>
      </c>
      <c r="J2755" s="7" t="s">
        <v>344</v>
      </c>
      <c r="K2755" s="7" t="n">
        <f aca="false">IFERROR(VALUE(RIGHT(TRIM(F2755),4)),"")</f>
        <v>2017</v>
      </c>
      <c r="L2755" s="7" t="str">
        <f aca="false">IF(TRIM(E2755)="","Unknown",IFERROR(LEFT(TRIM(E2755),FIND(",",TRIM(E2755))-1),TRIM(E2755)))</f>
        <v>Denmark</v>
      </c>
      <c r="M2755" s="7" t="str">
        <f aca="false">IFERROR(LEFT(J2755,FIND(",",J2755)-1),J2755)</f>
        <v>International TV Shows</v>
      </c>
      <c r="N2755" s="7" t="str">
        <f aca="false">IF(B2755="Movie",IFERROR(VALUE(LEFT(I2755,FIND(" ",I2755)-1)),""),"")</f>
        <v/>
      </c>
      <c r="O2755" s="7" t="n">
        <f aca="false">IF(B2755="TV Show",IFERROR(VALUE(LEFT(I2755,FIND(" ",I2755)-1)),""),"")</f>
        <v>1</v>
      </c>
      <c r="P2755" s="7" t="n">
        <f aca="false">IF(K2755="","",K2755-G2755)</f>
        <v>1</v>
      </c>
    </row>
    <row r="2756" customFormat="false" ht="15" hidden="false" customHeight="false" outlineLevel="0" collapsed="false">
      <c r="A2756" s="7" t="n">
        <v>80157244</v>
      </c>
      <c r="B2756" s="7" t="s">
        <v>78</v>
      </c>
      <c r="C2756" s="7" t="s">
        <v>5907</v>
      </c>
      <c r="E2756" s="7" t="s">
        <v>1819</v>
      </c>
      <c r="F2756" s="7" t="s">
        <v>5866</v>
      </c>
      <c r="G2756" s="7" t="n">
        <v>2016</v>
      </c>
      <c r="H2756" s="7" t="s">
        <v>49</v>
      </c>
      <c r="I2756" s="7" t="s">
        <v>82</v>
      </c>
      <c r="J2756" s="7" t="s">
        <v>344</v>
      </c>
      <c r="K2756" s="7" t="n">
        <f aca="false">IFERROR(VALUE(RIGHT(TRIM(F2756),4)),"")</f>
        <v>2017</v>
      </c>
      <c r="L2756" s="7" t="str">
        <f aca="false">IF(TRIM(E2756)="","Unknown",IFERROR(LEFT(TRIM(E2756),FIND(",",TRIM(E2756))-1),TRIM(E2756)))</f>
        <v>Singapore</v>
      </c>
      <c r="M2756" s="7" t="str">
        <f aca="false">IFERROR(LEFT(J2756,FIND(",",J2756)-1),J2756)</f>
        <v>International TV Shows</v>
      </c>
      <c r="N2756" s="7" t="str">
        <f aca="false">IF(B2756="Movie",IFERROR(VALUE(LEFT(I2756,FIND(" ",I2756)-1)),""),"")</f>
        <v/>
      </c>
      <c r="O2756" s="7" t="n">
        <f aca="false">IF(B2756="TV Show",IFERROR(VALUE(LEFT(I2756,FIND(" ",I2756)-1)),""),"")</f>
        <v>1</v>
      </c>
      <c r="P2756" s="7" t="n">
        <f aca="false">IF(K2756="","",K2756-G2756)</f>
        <v>1</v>
      </c>
    </row>
    <row r="2757" customFormat="false" ht="15" hidden="false" customHeight="false" outlineLevel="0" collapsed="false">
      <c r="A2757" s="7" t="n">
        <v>80122238</v>
      </c>
      <c r="B2757" s="7" t="s">
        <v>78</v>
      </c>
      <c r="C2757" s="7" t="s">
        <v>5908</v>
      </c>
      <c r="E2757" s="7" t="s">
        <v>27</v>
      </c>
      <c r="F2757" s="7" t="s">
        <v>5866</v>
      </c>
      <c r="G2757" s="7" t="n">
        <v>2016</v>
      </c>
      <c r="H2757" s="7" t="s">
        <v>226</v>
      </c>
      <c r="I2757" s="7" t="s">
        <v>82</v>
      </c>
      <c r="J2757" s="7" t="s">
        <v>773</v>
      </c>
      <c r="K2757" s="7" t="n">
        <f aca="false">IFERROR(VALUE(RIGHT(TRIM(F2757),4)),"")</f>
        <v>2017</v>
      </c>
      <c r="L2757" s="7" t="str">
        <f aca="false">IF(TRIM(E2757)="","Unknown",IFERROR(LEFT(TRIM(E2757),FIND(",",TRIM(E2757))-1),TRIM(E2757)))</f>
        <v>India</v>
      </c>
      <c r="M2757" s="7" t="str">
        <f aca="false">IFERROR(LEFT(J2757,FIND(",",J2757)-1),J2757)</f>
        <v>Docuseries</v>
      </c>
      <c r="N2757" s="7" t="str">
        <f aca="false">IF(B2757="Movie",IFERROR(VALUE(LEFT(I2757,FIND(" ",I2757)-1)),""),"")</f>
        <v/>
      </c>
      <c r="O2757" s="7" t="n">
        <f aca="false">IF(B2757="TV Show",IFERROR(VALUE(LEFT(I2757,FIND(" ",I2757)-1)),""),"")</f>
        <v>1</v>
      </c>
      <c r="P2757" s="7" t="n">
        <f aca="false">IF(K2757="","",K2757-G2757)</f>
        <v>1</v>
      </c>
    </row>
    <row r="2758" customFormat="false" ht="15" hidden="false" customHeight="false" outlineLevel="0" collapsed="false">
      <c r="A2758" s="7" t="n">
        <v>80158581</v>
      </c>
      <c r="B2758" s="7" t="s">
        <v>68</v>
      </c>
      <c r="C2758" s="7" t="s">
        <v>5909</v>
      </c>
      <c r="D2758" s="7" t="s">
        <v>4236</v>
      </c>
      <c r="E2758" s="7" t="s">
        <v>28</v>
      </c>
      <c r="F2758" s="7" t="s">
        <v>5866</v>
      </c>
      <c r="G2758" s="7" t="n">
        <v>2017</v>
      </c>
      <c r="H2758" s="7" t="s">
        <v>50</v>
      </c>
      <c r="I2758" s="7" t="s">
        <v>2198</v>
      </c>
      <c r="J2758" s="7" t="s">
        <v>39</v>
      </c>
      <c r="K2758" s="7" t="n">
        <f aca="false">IFERROR(VALUE(RIGHT(TRIM(F2758),4)),"")</f>
        <v>2017</v>
      </c>
      <c r="L2758" s="7" t="str">
        <f aca="false">IF(TRIM(E2758)="","Unknown",IFERROR(LEFT(TRIM(E2758),FIND(",",TRIM(E2758))-1),TRIM(E2758)))</f>
        <v>United Kingdom</v>
      </c>
      <c r="M2758" s="7" t="str">
        <f aca="false">IFERROR(LEFT(J2758,FIND(",",J2758)-1),J2758)</f>
        <v>Documentaries</v>
      </c>
      <c r="N2758" s="7" t="n">
        <f aca="false">IF(B2758="Movie",IFERROR(VALUE(LEFT(I2758,FIND(" ",I2758)-1)),""),"")</f>
        <v>44</v>
      </c>
      <c r="O2758" s="7" t="str">
        <f aca="false">IF(B2758="TV Show",IFERROR(VALUE(LEFT(I2758,FIND(" ",I2758)-1)),""),"")</f>
        <v/>
      </c>
      <c r="P2758" s="7" t="n">
        <f aca="false">IF(K2758="","",K2758-G2758)</f>
        <v>0</v>
      </c>
    </row>
    <row r="2759" customFormat="false" ht="15" hidden="false" customHeight="false" outlineLevel="0" collapsed="false">
      <c r="A2759" s="7" t="n">
        <v>60023237</v>
      </c>
      <c r="B2759" s="7" t="s">
        <v>68</v>
      </c>
      <c r="C2759" s="7" t="s">
        <v>5910</v>
      </c>
      <c r="D2759" s="7" t="s">
        <v>999</v>
      </c>
      <c r="E2759" s="7" t="s">
        <v>34</v>
      </c>
      <c r="F2759" s="7" t="s">
        <v>5866</v>
      </c>
      <c r="G2759" s="7" t="n">
        <v>2001</v>
      </c>
      <c r="H2759" s="7" t="s">
        <v>51</v>
      </c>
      <c r="I2759" s="7" t="s">
        <v>173</v>
      </c>
      <c r="J2759" s="7" t="s">
        <v>188</v>
      </c>
      <c r="K2759" s="7" t="n">
        <f aca="false">IFERROR(VALUE(RIGHT(TRIM(F2759),4)),"")</f>
        <v>2017</v>
      </c>
      <c r="L2759" s="7" t="str">
        <f aca="false">IF(TRIM(E2759)="","Unknown",IFERROR(LEFT(TRIM(E2759),FIND(",",TRIM(E2759))-1),TRIM(E2759)))</f>
        <v>Mexico</v>
      </c>
      <c r="M2759" s="7" t="str">
        <f aca="false">IFERROR(LEFT(J2759,FIND(",",J2759)-1),J2759)</f>
        <v>Dramas</v>
      </c>
      <c r="N2759" s="7" t="n">
        <f aca="false">IF(B2759="Movie",IFERROR(VALUE(LEFT(I2759,FIND(" ",I2759)-1)),""),"")</f>
        <v>106</v>
      </c>
      <c r="O2759" s="7" t="str">
        <f aca="false">IF(B2759="TV Show",IFERROR(VALUE(LEFT(I2759,FIND(" ",I2759)-1)),""),"")</f>
        <v/>
      </c>
      <c r="P2759" s="7" t="n">
        <f aca="false">IF(K2759="","",K2759-G2759)</f>
        <v>16</v>
      </c>
    </row>
    <row r="2760" customFormat="false" ht="15" hidden="false" customHeight="false" outlineLevel="0" collapsed="false">
      <c r="A2760" s="7" t="n">
        <v>80104022</v>
      </c>
      <c r="B2760" s="7" t="s">
        <v>78</v>
      </c>
      <c r="C2760" s="7" t="s">
        <v>5911</v>
      </c>
      <c r="E2760" s="7" t="s">
        <v>35</v>
      </c>
      <c r="F2760" s="7" t="s">
        <v>5912</v>
      </c>
      <c r="G2760" s="7" t="n">
        <v>2016</v>
      </c>
      <c r="H2760" s="7" t="s">
        <v>226</v>
      </c>
      <c r="I2760" s="7" t="s">
        <v>82</v>
      </c>
      <c r="J2760" s="7" t="s">
        <v>1637</v>
      </c>
      <c r="K2760" s="7" t="n">
        <f aca="false">IFERROR(VALUE(RIGHT(TRIM(F2760),4)),"")</f>
        <v>2016</v>
      </c>
      <c r="L2760" s="7" t="str">
        <f aca="false">IF(TRIM(E2760)="","Unknown",IFERROR(LEFT(TRIM(E2760),FIND(",",TRIM(E2760))-1),TRIM(E2760)))</f>
        <v>Australia</v>
      </c>
      <c r="M2760" s="7" t="str">
        <f aca="false">IFERROR(LEFT(J2760,FIND(",",J2760)-1),J2760)</f>
        <v>Docuseries</v>
      </c>
      <c r="N2760" s="7" t="str">
        <f aca="false">IF(B2760="Movie",IFERROR(VALUE(LEFT(I2760,FIND(" ",I2760)-1)),""),"")</f>
        <v/>
      </c>
      <c r="O2760" s="7" t="n">
        <f aca="false">IF(B2760="TV Show",IFERROR(VALUE(LEFT(I2760,FIND(" ",I2760)-1)),""),"")</f>
        <v>1</v>
      </c>
      <c r="P2760" s="7" t="n">
        <f aca="false">IF(K2760="","",K2760-G2760)</f>
        <v>0</v>
      </c>
    </row>
    <row r="2761" customFormat="false" ht="15" hidden="false" customHeight="false" outlineLevel="0" collapsed="false">
      <c r="A2761" s="7" t="n">
        <v>80103006</v>
      </c>
      <c r="B2761" s="7" t="s">
        <v>78</v>
      </c>
      <c r="C2761" s="7" t="s">
        <v>5913</v>
      </c>
      <c r="E2761" s="7" t="s">
        <v>35</v>
      </c>
      <c r="F2761" s="7" t="s">
        <v>5912</v>
      </c>
      <c r="G2761" s="7" t="n">
        <v>2016</v>
      </c>
      <c r="H2761" s="7" t="s">
        <v>50</v>
      </c>
      <c r="I2761" s="7" t="s">
        <v>82</v>
      </c>
      <c r="J2761" s="7" t="s">
        <v>1637</v>
      </c>
      <c r="K2761" s="7" t="n">
        <f aca="false">IFERROR(VALUE(RIGHT(TRIM(F2761),4)),"")</f>
        <v>2016</v>
      </c>
      <c r="L2761" s="7" t="str">
        <f aca="false">IF(TRIM(E2761)="","Unknown",IFERROR(LEFT(TRIM(E2761),FIND(",",TRIM(E2761))-1),TRIM(E2761)))</f>
        <v>Australia</v>
      </c>
      <c r="M2761" s="7" t="str">
        <f aca="false">IFERROR(LEFT(J2761,FIND(",",J2761)-1),J2761)</f>
        <v>Docuseries</v>
      </c>
      <c r="N2761" s="7" t="str">
        <f aca="false">IF(B2761="Movie",IFERROR(VALUE(LEFT(I2761,FIND(" ",I2761)-1)),""),"")</f>
        <v/>
      </c>
      <c r="O2761" s="7" t="n">
        <f aca="false">IF(B2761="TV Show",IFERROR(VALUE(LEFT(I2761,FIND(" ",I2761)-1)),""),"")</f>
        <v>1</v>
      </c>
      <c r="P2761" s="7" t="n">
        <f aca="false">IF(K2761="","",K2761-G2761)</f>
        <v>0</v>
      </c>
    </row>
    <row r="2762" customFormat="false" ht="15" hidden="false" customHeight="false" outlineLevel="0" collapsed="false">
      <c r="A2762" s="7" t="n">
        <v>80104041</v>
      </c>
      <c r="B2762" s="7" t="s">
        <v>68</v>
      </c>
      <c r="C2762" s="7" t="s">
        <v>5914</v>
      </c>
      <c r="D2762" s="7" t="s">
        <v>5915</v>
      </c>
      <c r="E2762" s="7" t="s">
        <v>33</v>
      </c>
      <c r="F2762" s="7" t="s">
        <v>5912</v>
      </c>
      <c r="G2762" s="7" t="n">
        <v>2015</v>
      </c>
      <c r="H2762" s="7" t="s">
        <v>49</v>
      </c>
      <c r="I2762" s="7" t="s">
        <v>143</v>
      </c>
      <c r="J2762" s="7" t="s">
        <v>341</v>
      </c>
      <c r="K2762" s="7" t="n">
        <f aca="false">IFERROR(VALUE(RIGHT(TRIM(F2762),4)),"")</f>
        <v>2016</v>
      </c>
      <c r="L2762" s="7" t="str">
        <f aca="false">IF(TRIM(E2762)="","Unknown",IFERROR(LEFT(TRIM(E2762),FIND(",",TRIM(E2762))-1),TRIM(E2762)))</f>
        <v>Spain</v>
      </c>
      <c r="M2762" s="7" t="str">
        <f aca="false">IFERROR(LEFT(J2762,FIND(",",J2762)-1),J2762)</f>
        <v>Documentaries</v>
      </c>
      <c r="N2762" s="7" t="n">
        <f aca="false">IF(B2762="Movie",IFERROR(VALUE(LEFT(I2762,FIND(" ",I2762)-1)),""),"")</f>
        <v>79</v>
      </c>
      <c r="O2762" s="7" t="str">
        <f aca="false">IF(B2762="TV Show",IFERROR(VALUE(LEFT(I2762,FIND(" ",I2762)-1)),""),"")</f>
        <v/>
      </c>
      <c r="P2762" s="7" t="n">
        <f aca="false">IF(K2762="","",K2762-G2762)</f>
        <v>1</v>
      </c>
    </row>
    <row r="2763" customFormat="false" ht="15" hidden="false" customHeight="false" outlineLevel="0" collapsed="false">
      <c r="A2763" s="7" t="n">
        <v>80097532</v>
      </c>
      <c r="B2763" s="7" t="s">
        <v>78</v>
      </c>
      <c r="C2763" s="7" t="s">
        <v>5916</v>
      </c>
      <c r="F2763" s="7" t="s">
        <v>5912</v>
      </c>
      <c r="G2763" s="7" t="n">
        <v>1991</v>
      </c>
      <c r="H2763" s="7" t="s">
        <v>226</v>
      </c>
      <c r="I2763" s="7" t="s">
        <v>82</v>
      </c>
      <c r="J2763" s="7" t="s">
        <v>2695</v>
      </c>
      <c r="K2763" s="7" t="n">
        <f aca="false">IFERROR(VALUE(RIGHT(TRIM(F2763),4)),"")</f>
        <v>2016</v>
      </c>
      <c r="L2763" s="7" t="str">
        <f aca="false">IF(TRIM(E2763)="","Unknown",IFERROR(LEFT(TRIM(E2763),FIND(",",TRIM(E2763))-1),TRIM(E2763)))</f>
        <v>Unknown</v>
      </c>
      <c r="M2763" s="7" t="str">
        <f aca="false">IFERROR(LEFT(J2763,FIND(",",J2763)-1),J2763)</f>
        <v>TV Shows</v>
      </c>
      <c r="N2763" s="7" t="str">
        <f aca="false">IF(B2763="Movie",IFERROR(VALUE(LEFT(I2763,FIND(" ",I2763)-1)),""),"")</f>
        <v/>
      </c>
      <c r="O2763" s="7" t="n">
        <f aca="false">IF(B2763="TV Show",IFERROR(VALUE(LEFT(I2763,FIND(" ",I2763)-1)),""),"")</f>
        <v>1</v>
      </c>
      <c r="P2763" s="7" t="n">
        <f aca="false">IF(K2763="","",K2763-G2763)</f>
        <v>25</v>
      </c>
    </row>
    <row r="2764" customFormat="false" ht="15" hidden="false" customHeight="false" outlineLevel="0" collapsed="false">
      <c r="A2764" s="7" t="n">
        <v>80105085</v>
      </c>
      <c r="B2764" s="7" t="s">
        <v>78</v>
      </c>
      <c r="C2764" s="7" t="s">
        <v>5917</v>
      </c>
      <c r="E2764" s="7" t="s">
        <v>4839</v>
      </c>
      <c r="F2764" s="7" t="s">
        <v>5912</v>
      </c>
      <c r="G2764" s="7" t="n">
        <v>2016</v>
      </c>
      <c r="H2764" s="7" t="s">
        <v>48</v>
      </c>
      <c r="I2764" s="7" t="s">
        <v>82</v>
      </c>
      <c r="J2764" s="7" t="s">
        <v>5918</v>
      </c>
      <c r="K2764" s="7" t="n">
        <f aca="false">IFERROR(VALUE(RIGHT(TRIM(F2764),4)),"")</f>
        <v>2016</v>
      </c>
      <c r="L2764" s="7" t="str">
        <f aca="false">IF(TRIM(E2764)="","Unknown",IFERROR(LEFT(TRIM(E2764),FIND(",",TRIM(E2764))-1),TRIM(E2764)))</f>
        <v>Sweden</v>
      </c>
      <c r="M2764" s="7" t="str">
        <f aca="false">IFERROR(LEFT(J2764,FIND(",",J2764)-1),J2764)</f>
        <v>Crime TV Shows</v>
      </c>
      <c r="N2764" s="7" t="str">
        <f aca="false">IF(B2764="Movie",IFERROR(VALUE(LEFT(I2764,FIND(" ",I2764)-1)),""),"")</f>
        <v/>
      </c>
      <c r="O2764" s="7" t="n">
        <f aca="false">IF(B2764="TV Show",IFERROR(VALUE(LEFT(I2764,FIND(" ",I2764)-1)),""),"")</f>
        <v>1</v>
      </c>
      <c r="P2764" s="7" t="n">
        <f aca="false">IF(K2764="","",K2764-G2764)</f>
        <v>0</v>
      </c>
    </row>
    <row r="2765" customFormat="false" ht="15" hidden="false" customHeight="false" outlineLevel="0" collapsed="false">
      <c r="A2765" s="7" t="n">
        <v>80093213</v>
      </c>
      <c r="B2765" s="7" t="s">
        <v>68</v>
      </c>
      <c r="C2765" s="7" t="s">
        <v>5919</v>
      </c>
      <c r="D2765" s="7" t="s">
        <v>4584</v>
      </c>
      <c r="E2765" s="7" t="s">
        <v>33</v>
      </c>
      <c r="F2765" s="7" t="s">
        <v>5912</v>
      </c>
      <c r="G2765" s="7" t="n">
        <v>2015</v>
      </c>
      <c r="H2765" s="7" t="s">
        <v>48</v>
      </c>
      <c r="I2765" s="7" t="s">
        <v>272</v>
      </c>
      <c r="J2765" s="7" t="s">
        <v>139</v>
      </c>
      <c r="K2765" s="7" t="n">
        <f aca="false">IFERROR(VALUE(RIGHT(TRIM(F2765),4)),"")</f>
        <v>2016</v>
      </c>
      <c r="L2765" s="7" t="str">
        <f aca="false">IF(TRIM(E2765)="","Unknown",IFERROR(LEFT(TRIM(E2765),FIND(",",TRIM(E2765))-1),TRIM(E2765)))</f>
        <v>Spain</v>
      </c>
      <c r="M2765" s="7" t="str">
        <f aca="false">IFERROR(LEFT(J2765,FIND(",",J2765)-1),J2765)</f>
        <v>Action &amp; Adventure</v>
      </c>
      <c r="N2765" s="7" t="n">
        <f aca="false">IF(B2765="Movie",IFERROR(VALUE(LEFT(I2765,FIND(" ",I2765)-1)),""),"")</f>
        <v>93</v>
      </c>
      <c r="O2765" s="7" t="str">
        <f aca="false">IF(B2765="TV Show",IFERROR(VALUE(LEFT(I2765,FIND(" ",I2765)-1)),""),"")</f>
        <v/>
      </c>
      <c r="P2765" s="7" t="n">
        <f aca="false">IF(K2765="","",K2765-G2765)</f>
        <v>1</v>
      </c>
    </row>
    <row r="2766" customFormat="false" ht="15" hidden="false" customHeight="false" outlineLevel="0" collapsed="false">
      <c r="A2766" s="7" t="n">
        <v>80099305</v>
      </c>
      <c r="B2766" s="7" t="s">
        <v>68</v>
      </c>
      <c r="C2766" s="7" t="s">
        <v>5920</v>
      </c>
      <c r="D2766" s="7" t="s">
        <v>5921</v>
      </c>
      <c r="E2766" s="7" t="s">
        <v>28</v>
      </c>
      <c r="F2766" s="7" t="s">
        <v>5912</v>
      </c>
      <c r="G2766" s="7" t="n">
        <v>2015</v>
      </c>
      <c r="H2766" s="7" t="s">
        <v>48</v>
      </c>
      <c r="I2766" s="7" t="s">
        <v>111</v>
      </c>
      <c r="J2766" s="7" t="s">
        <v>341</v>
      </c>
      <c r="K2766" s="7" t="n">
        <f aca="false">IFERROR(VALUE(RIGHT(TRIM(F2766),4)),"")</f>
        <v>2016</v>
      </c>
      <c r="L2766" s="7" t="str">
        <f aca="false">IF(TRIM(E2766)="","Unknown",IFERROR(LEFT(TRIM(E2766),FIND(",",TRIM(E2766))-1),TRIM(E2766)))</f>
        <v>United Kingdom</v>
      </c>
      <c r="M2766" s="7" t="str">
        <f aca="false">IFERROR(LEFT(J2766,FIND(",",J2766)-1),J2766)</f>
        <v>Documentaries</v>
      </c>
      <c r="N2766" s="7" t="n">
        <f aca="false">IF(B2766="Movie",IFERROR(VALUE(LEFT(I2766,FIND(" ",I2766)-1)),""),"")</f>
        <v>95</v>
      </c>
      <c r="O2766" s="7" t="str">
        <f aca="false">IF(B2766="TV Show",IFERROR(VALUE(LEFT(I2766,FIND(" ",I2766)-1)),""),"")</f>
        <v/>
      </c>
      <c r="P2766" s="7" t="n">
        <f aca="false">IF(K2766="","",K2766-G2766)</f>
        <v>1</v>
      </c>
    </row>
    <row r="2767" customFormat="false" ht="15" hidden="false" customHeight="false" outlineLevel="0" collapsed="false">
      <c r="A2767" s="7" t="n">
        <v>80103623</v>
      </c>
      <c r="B2767" s="7" t="s">
        <v>68</v>
      </c>
      <c r="C2767" s="7" t="s">
        <v>5922</v>
      </c>
      <c r="D2767" s="7" t="s">
        <v>5923</v>
      </c>
      <c r="E2767" s="7" t="s">
        <v>33</v>
      </c>
      <c r="F2767" s="7" t="s">
        <v>5912</v>
      </c>
      <c r="G2767" s="7" t="n">
        <v>2015</v>
      </c>
      <c r="H2767" s="7" t="s">
        <v>53</v>
      </c>
      <c r="I2767" s="7" t="s">
        <v>87</v>
      </c>
      <c r="J2767" s="7" t="s">
        <v>304</v>
      </c>
      <c r="K2767" s="7" t="n">
        <f aca="false">IFERROR(VALUE(RIGHT(TRIM(F2767),4)),"")</f>
        <v>2016</v>
      </c>
      <c r="L2767" s="7" t="str">
        <f aca="false">IF(TRIM(E2767)="","Unknown",IFERROR(LEFT(TRIM(E2767),FIND(",",TRIM(E2767))-1),TRIM(E2767)))</f>
        <v>Spain</v>
      </c>
      <c r="M2767" s="7" t="str">
        <f aca="false">IFERROR(LEFT(J2767,FIND(",",J2767)-1),J2767)</f>
        <v>Dramas</v>
      </c>
      <c r="N2767" s="7" t="n">
        <f aca="false">IF(B2767="Movie",IFERROR(VALUE(LEFT(I2767,FIND(" ",I2767)-1)),""),"")</f>
        <v>99</v>
      </c>
      <c r="O2767" s="7" t="str">
        <f aca="false">IF(B2767="TV Show",IFERROR(VALUE(LEFT(I2767,FIND(" ",I2767)-1)),""),"")</f>
        <v/>
      </c>
      <c r="P2767" s="7" t="n">
        <f aca="false">IF(K2767="","",K2767-G2767)</f>
        <v>1</v>
      </c>
    </row>
    <row r="2768" customFormat="false" ht="15" hidden="false" customHeight="false" outlineLevel="0" collapsed="false">
      <c r="A2768" s="7" t="n">
        <v>80032640</v>
      </c>
      <c r="B2768" s="7" t="s">
        <v>68</v>
      </c>
      <c r="C2768" s="7" t="s">
        <v>5924</v>
      </c>
      <c r="D2768" s="7" t="s">
        <v>5925</v>
      </c>
      <c r="E2768" s="7" t="s">
        <v>34</v>
      </c>
      <c r="F2768" s="7" t="s">
        <v>5926</v>
      </c>
      <c r="G2768" s="7" t="n">
        <v>2014</v>
      </c>
      <c r="H2768" s="7" t="s">
        <v>53</v>
      </c>
      <c r="I2768" s="7" t="s">
        <v>1832</v>
      </c>
      <c r="J2768" s="7" t="s">
        <v>217</v>
      </c>
      <c r="K2768" s="7" t="n">
        <f aca="false">IFERROR(VALUE(RIGHT(TRIM(F2768),4)),"")</f>
        <v>2015</v>
      </c>
      <c r="L2768" s="7" t="str">
        <f aca="false">IF(TRIM(E2768)="","Unknown",IFERROR(LEFT(TRIM(E2768),FIND(",",TRIM(E2768))-1),TRIM(E2768)))</f>
        <v>Mexico</v>
      </c>
      <c r="M2768" s="7" t="str">
        <f aca="false">IFERROR(LEFT(J2768,FIND(",",J2768)-1),J2768)</f>
        <v>Comedies</v>
      </c>
      <c r="N2768" s="7" t="n">
        <f aca="false">IF(B2768="Movie",IFERROR(VALUE(LEFT(I2768,FIND(" ",I2768)-1)),""),"")</f>
        <v>143</v>
      </c>
      <c r="O2768" s="7" t="str">
        <f aca="false">IF(B2768="TV Show",IFERROR(VALUE(LEFT(I2768,FIND(" ",I2768)-1)),""),"")</f>
        <v/>
      </c>
      <c r="P2768" s="7" t="n">
        <f aca="false">IF(K2768="","",K2768-G2768)</f>
        <v>1</v>
      </c>
    </row>
    <row r="2769" customFormat="false" ht="15" hidden="false" customHeight="false" outlineLevel="0" collapsed="false">
      <c r="A2769" s="7" t="n">
        <v>81098589</v>
      </c>
      <c r="B2769" s="7" t="s">
        <v>68</v>
      </c>
      <c r="C2769" s="7" t="s">
        <v>5927</v>
      </c>
      <c r="D2769" s="7" t="s">
        <v>5928</v>
      </c>
      <c r="E2769" s="7" t="s">
        <v>26</v>
      </c>
      <c r="F2769" s="7" t="s">
        <v>5929</v>
      </c>
      <c r="G2769" s="7" t="n">
        <v>2019</v>
      </c>
      <c r="H2769" s="7" t="s">
        <v>48</v>
      </c>
      <c r="I2769" s="7" t="s">
        <v>120</v>
      </c>
      <c r="J2769" s="7" t="s">
        <v>45</v>
      </c>
      <c r="K2769" s="7" t="n">
        <f aca="false">IFERROR(VALUE(RIGHT(TRIM(F2769),4)),"")</f>
        <v>2019</v>
      </c>
      <c r="L2769" s="7" t="str">
        <f aca="false">IF(TRIM(E2769)="","Unknown",IFERROR(LEFT(TRIM(E2769),FIND(",",TRIM(E2769))-1),TRIM(E2769)))</f>
        <v>United States</v>
      </c>
      <c r="M2769" s="7" t="str">
        <f aca="false">IFERROR(LEFT(J2769,FIND(",",J2769)-1),J2769)</f>
        <v>Stand-Up Comedy</v>
      </c>
      <c r="N2769" s="7" t="n">
        <f aca="false">IF(B2769="Movie",IFERROR(VALUE(LEFT(I2769,FIND(" ",I2769)-1)),""),"")</f>
        <v>65</v>
      </c>
      <c r="O2769" s="7" t="str">
        <f aca="false">IF(B2769="TV Show",IFERROR(VALUE(LEFT(I2769,FIND(" ",I2769)-1)),""),"")</f>
        <v/>
      </c>
      <c r="P2769" s="7" t="n">
        <f aca="false">IF(K2769="","",K2769-G2769)</f>
        <v>0</v>
      </c>
    </row>
    <row r="2770" customFormat="false" ht="15" hidden="false" customHeight="false" outlineLevel="0" collapsed="false">
      <c r="A2770" s="7" t="n">
        <v>80221446</v>
      </c>
      <c r="B2770" s="7" t="s">
        <v>68</v>
      </c>
      <c r="C2770" s="7" t="s">
        <v>5930</v>
      </c>
      <c r="D2770" s="7" t="s">
        <v>5931</v>
      </c>
      <c r="E2770" s="7" t="s">
        <v>293</v>
      </c>
      <c r="F2770" s="7" t="s">
        <v>5929</v>
      </c>
      <c r="G2770" s="7" t="n">
        <v>2018</v>
      </c>
      <c r="H2770" s="7" t="s">
        <v>54</v>
      </c>
      <c r="I2770" s="7" t="s">
        <v>1707</v>
      </c>
      <c r="J2770" s="7" t="s">
        <v>349</v>
      </c>
      <c r="K2770" s="7" t="n">
        <f aca="false">IFERROR(VALUE(RIGHT(TRIM(F2770),4)),"")</f>
        <v>2019</v>
      </c>
      <c r="L2770" s="7" t="str">
        <f aca="false">IF(TRIM(E2770)="","Unknown",IFERROR(LEFT(TRIM(E2770),FIND(",",TRIM(E2770))-1),TRIM(E2770)))</f>
        <v>United States</v>
      </c>
      <c r="M2770" s="7" t="str">
        <f aca="false">IFERROR(LEFT(J2770,FIND(",",J2770)-1),J2770)</f>
        <v>Children &amp; Family Movies</v>
      </c>
      <c r="N2770" s="7" t="n">
        <f aca="false">IF(B2770="Movie",IFERROR(VALUE(LEFT(I2770,FIND(" ",I2770)-1)),""),"")</f>
        <v>131</v>
      </c>
      <c r="O2770" s="7" t="str">
        <f aca="false">IF(B2770="TV Show",IFERROR(VALUE(LEFT(I2770,FIND(" ",I2770)-1)),""),"")</f>
        <v/>
      </c>
      <c r="P2770" s="7" t="n">
        <f aca="false">IF(K2770="","",K2770-G2770)</f>
        <v>1</v>
      </c>
    </row>
    <row r="2771" customFormat="false" ht="15" hidden="false" customHeight="false" outlineLevel="0" collapsed="false">
      <c r="A2771" s="7" t="n">
        <v>81088333</v>
      </c>
      <c r="B2771" s="7" t="s">
        <v>78</v>
      </c>
      <c r="C2771" s="7" t="s">
        <v>5932</v>
      </c>
      <c r="F2771" s="7" t="s">
        <v>5933</v>
      </c>
      <c r="G2771" s="7" t="n">
        <v>2019</v>
      </c>
      <c r="H2771" s="7" t="s">
        <v>81</v>
      </c>
      <c r="I2771" s="7" t="s">
        <v>82</v>
      </c>
      <c r="J2771" s="7" t="s">
        <v>44</v>
      </c>
      <c r="K2771" s="7" t="n">
        <f aca="false">IFERROR(VALUE(RIGHT(TRIM(F2771),4)),"")</f>
        <v>2019</v>
      </c>
      <c r="L2771" s="7" t="str">
        <f aca="false">IF(TRIM(E2771)="","Unknown",IFERROR(LEFT(TRIM(E2771),FIND(",",TRIM(E2771))-1),TRIM(E2771)))</f>
        <v>Unknown</v>
      </c>
      <c r="M2771" s="7" t="str">
        <f aca="false">IFERROR(LEFT(J2771,FIND(",",J2771)-1),J2771)</f>
        <v>Kids' TV</v>
      </c>
      <c r="N2771" s="7" t="str">
        <f aca="false">IF(B2771="Movie",IFERROR(VALUE(LEFT(I2771,FIND(" ",I2771)-1)),""),"")</f>
        <v/>
      </c>
      <c r="O2771" s="7" t="n">
        <f aca="false">IF(B2771="TV Show",IFERROR(VALUE(LEFT(I2771,FIND(" ",I2771)-1)),""),"")</f>
        <v>1</v>
      </c>
      <c r="P2771" s="7" t="n">
        <f aca="false">IF(K2771="","",K2771-G2771)</f>
        <v>0</v>
      </c>
    </row>
    <row r="2772" customFormat="false" ht="15" hidden="false" customHeight="false" outlineLevel="0" collapsed="false">
      <c r="A2772" s="7" t="n">
        <v>80991107</v>
      </c>
      <c r="B2772" s="7" t="s">
        <v>78</v>
      </c>
      <c r="C2772" s="7" t="s">
        <v>5934</v>
      </c>
      <c r="D2772" s="7" t="s">
        <v>5935</v>
      </c>
      <c r="E2772" s="7" t="s">
        <v>32</v>
      </c>
      <c r="F2772" s="7" t="s">
        <v>5936</v>
      </c>
      <c r="G2772" s="7" t="n">
        <v>2018</v>
      </c>
      <c r="H2772" s="7" t="s">
        <v>48</v>
      </c>
      <c r="I2772" s="7" t="s">
        <v>82</v>
      </c>
      <c r="J2772" s="7" t="s">
        <v>637</v>
      </c>
      <c r="K2772" s="7" t="n">
        <f aca="false">IFERROR(VALUE(RIGHT(TRIM(F2772),4)),"")</f>
        <v>2018</v>
      </c>
      <c r="L2772" s="7" t="str">
        <f aca="false">IF(TRIM(E2772)="","Unknown",IFERROR(LEFT(TRIM(E2772),FIND(",",TRIM(E2772))-1),TRIM(E2772)))</f>
        <v>South Korea</v>
      </c>
      <c r="M2772" s="7" t="str">
        <f aca="false">IFERROR(LEFT(J2772,FIND(",",J2772)-1),J2772)</f>
        <v>International TV Shows</v>
      </c>
      <c r="N2772" s="7" t="str">
        <f aca="false">IF(B2772="Movie",IFERROR(VALUE(LEFT(I2772,FIND(" ",I2772)-1)),""),"")</f>
        <v/>
      </c>
      <c r="O2772" s="7" t="n">
        <f aca="false">IF(B2772="TV Show",IFERROR(VALUE(LEFT(I2772,FIND(" ",I2772)-1)),""),"")</f>
        <v>1</v>
      </c>
      <c r="P2772" s="7" t="n">
        <f aca="false">IF(K2772="","",K2772-G2772)</f>
        <v>0</v>
      </c>
    </row>
    <row r="2773" customFormat="false" ht="15" hidden="false" customHeight="false" outlineLevel="0" collapsed="false">
      <c r="A2773" s="7" t="n">
        <v>80048977</v>
      </c>
      <c r="B2773" s="7" t="s">
        <v>68</v>
      </c>
      <c r="C2773" s="7" t="s">
        <v>5937</v>
      </c>
      <c r="D2773" s="7" t="s">
        <v>5938</v>
      </c>
      <c r="E2773" s="7" t="s">
        <v>26</v>
      </c>
      <c r="F2773" s="7" t="s">
        <v>5939</v>
      </c>
      <c r="G2773" s="7" t="n">
        <v>2015</v>
      </c>
      <c r="H2773" s="7" t="s">
        <v>53</v>
      </c>
      <c r="I2773" s="7" t="s">
        <v>205</v>
      </c>
      <c r="J2773" s="7" t="s">
        <v>950</v>
      </c>
      <c r="K2773" s="7" t="n">
        <f aca="false">IFERROR(VALUE(RIGHT(TRIM(F2773),4)),"")</f>
        <v>2016</v>
      </c>
      <c r="L2773" s="7" t="str">
        <f aca="false">IF(TRIM(E2773)="","Unknown",IFERROR(LEFT(TRIM(E2773),FIND(",",TRIM(E2773))-1),TRIM(E2773)))</f>
        <v>United States</v>
      </c>
      <c r="M2773" s="7" t="str">
        <f aca="false">IFERROR(LEFT(J2773,FIND(",",J2773)-1),J2773)</f>
        <v>Horror Movies</v>
      </c>
      <c r="N2773" s="7" t="n">
        <f aca="false">IF(B2773="Movie",IFERROR(VALUE(LEFT(I2773,FIND(" ",I2773)-1)),""),"")</f>
        <v>100</v>
      </c>
      <c r="O2773" s="7" t="str">
        <f aca="false">IF(B2773="TV Show",IFERROR(VALUE(LEFT(I2773,FIND(" ",I2773)-1)),""),"")</f>
        <v/>
      </c>
      <c r="P2773" s="7" t="n">
        <f aca="false">IF(K2773="","",K2773-G2773)</f>
        <v>1</v>
      </c>
    </row>
    <row r="2774" customFormat="false" ht="15" hidden="false" customHeight="false" outlineLevel="0" collapsed="false">
      <c r="A2774" s="7" t="n">
        <v>70189282</v>
      </c>
      <c r="B2774" s="7" t="s">
        <v>68</v>
      </c>
      <c r="C2774" s="7" t="s">
        <v>5940</v>
      </c>
      <c r="D2774" s="7" t="s">
        <v>5941</v>
      </c>
      <c r="E2774" s="7" t="s">
        <v>279</v>
      </c>
      <c r="F2774" s="7" t="s">
        <v>5942</v>
      </c>
      <c r="G2774" s="7" t="n">
        <v>2011</v>
      </c>
      <c r="H2774" s="7" t="s">
        <v>52</v>
      </c>
      <c r="I2774" s="7" t="s">
        <v>820</v>
      </c>
      <c r="J2774" s="7" t="s">
        <v>304</v>
      </c>
      <c r="K2774" s="7" t="n">
        <f aca="false">IFERROR(VALUE(RIGHT(TRIM(F2774),4)),"")</f>
        <v>2019</v>
      </c>
      <c r="L2774" s="7" t="str">
        <f aca="false">IF(TRIM(E2774)="","Unknown",IFERROR(LEFT(TRIM(E2774),FIND(",",TRIM(E2774))-1),TRIM(E2774)))</f>
        <v>United Kingdom</v>
      </c>
      <c r="M2774" s="7" t="str">
        <f aca="false">IFERROR(LEFT(J2774,FIND(",",J2774)-1),J2774)</f>
        <v>Dramas</v>
      </c>
      <c r="N2774" s="7" t="n">
        <f aca="false">IF(B2774="Movie",IFERROR(VALUE(LEFT(I2774,FIND(" ",I2774)-1)),""),"")</f>
        <v>105</v>
      </c>
      <c r="O2774" s="7" t="str">
        <f aca="false">IF(B2774="TV Show",IFERROR(VALUE(LEFT(I2774,FIND(" ",I2774)-1)),""),"")</f>
        <v/>
      </c>
      <c r="P2774" s="7" t="n">
        <f aca="false">IF(K2774="","",K2774-G2774)</f>
        <v>8</v>
      </c>
    </row>
    <row r="2775" customFormat="false" ht="15" hidden="false" customHeight="false" outlineLevel="0" collapsed="false">
      <c r="A2775" s="7" t="n">
        <v>80119249</v>
      </c>
      <c r="B2775" s="7" t="s">
        <v>68</v>
      </c>
      <c r="C2775" s="7" t="s">
        <v>5943</v>
      </c>
      <c r="D2775" s="7" t="s">
        <v>5944</v>
      </c>
      <c r="E2775" s="7" t="s">
        <v>26</v>
      </c>
      <c r="F2775" s="7" t="s">
        <v>5945</v>
      </c>
      <c r="G2775" s="7" t="n">
        <v>2017</v>
      </c>
      <c r="H2775" s="7" t="s">
        <v>49</v>
      </c>
      <c r="I2775" s="7" t="s">
        <v>820</v>
      </c>
      <c r="J2775" s="7" t="s">
        <v>1298</v>
      </c>
      <c r="K2775" s="7" t="n">
        <f aca="false">IFERROR(VALUE(RIGHT(TRIM(F2775),4)),"")</f>
        <v>2017</v>
      </c>
      <c r="L2775" s="7" t="str">
        <f aca="false">IF(TRIM(E2775)="","Unknown",IFERROR(LEFT(TRIM(E2775),FIND(",",TRIM(E2775))-1),TRIM(E2775)))</f>
        <v>United States</v>
      </c>
      <c r="M2775" s="7" t="str">
        <f aca="false">IFERROR(LEFT(J2775,FIND(",",J2775)-1),J2775)</f>
        <v>Dramas</v>
      </c>
      <c r="N2775" s="7" t="n">
        <f aca="false">IF(B2775="Movie",IFERROR(VALUE(LEFT(I2775,FIND(" ",I2775)-1)),""),"")</f>
        <v>105</v>
      </c>
      <c r="O2775" s="7" t="str">
        <f aca="false">IF(B2775="TV Show",IFERROR(VALUE(LEFT(I2775,FIND(" ",I2775)-1)),""),"")</f>
        <v/>
      </c>
      <c r="P2775" s="7" t="n">
        <f aca="false">IF(K2775="","",K2775-G2775)</f>
        <v>0</v>
      </c>
    </row>
    <row r="2776" customFormat="false" ht="15" hidden="false" customHeight="false" outlineLevel="0" collapsed="false">
      <c r="A2776" s="7" t="n">
        <v>80160516</v>
      </c>
      <c r="B2776" s="7" t="s">
        <v>78</v>
      </c>
      <c r="C2776" s="7" t="s">
        <v>5946</v>
      </c>
      <c r="E2776" s="7" t="s">
        <v>366</v>
      </c>
      <c r="F2776" s="7" t="s">
        <v>5945</v>
      </c>
      <c r="G2776" s="7" t="n">
        <v>2015</v>
      </c>
      <c r="H2776" s="7" t="s">
        <v>50</v>
      </c>
      <c r="I2776" s="7" t="s">
        <v>82</v>
      </c>
      <c r="J2776" s="7" t="s">
        <v>314</v>
      </c>
      <c r="K2776" s="7" t="n">
        <f aca="false">IFERROR(VALUE(RIGHT(TRIM(F2776),4)),"")</f>
        <v>2017</v>
      </c>
      <c r="L2776" s="7" t="str">
        <f aca="false">IF(TRIM(E2776)="","Unknown",IFERROR(LEFT(TRIM(E2776),FIND(",",TRIM(E2776))-1),TRIM(E2776)))</f>
        <v>China</v>
      </c>
      <c r="M2776" s="7" t="str">
        <f aca="false">IFERROR(LEFT(J2776,FIND(",",J2776)-1),J2776)</f>
        <v>International TV Shows</v>
      </c>
      <c r="N2776" s="7" t="str">
        <f aca="false">IF(B2776="Movie",IFERROR(VALUE(LEFT(I2776,FIND(" ",I2776)-1)),""),"")</f>
        <v/>
      </c>
      <c r="O2776" s="7" t="n">
        <f aca="false">IF(B2776="TV Show",IFERROR(VALUE(LEFT(I2776,FIND(" ",I2776)-1)),""),"")</f>
        <v>1</v>
      </c>
      <c r="P2776" s="7" t="n">
        <f aca="false">IF(K2776="","",K2776-G2776)</f>
        <v>2</v>
      </c>
    </row>
    <row r="2777" customFormat="false" ht="15" hidden="false" customHeight="false" outlineLevel="0" collapsed="false">
      <c r="A2777" s="7" t="n">
        <v>80160391</v>
      </c>
      <c r="B2777" s="7" t="s">
        <v>78</v>
      </c>
      <c r="C2777" s="7" t="s">
        <v>5947</v>
      </c>
      <c r="F2777" s="7" t="s">
        <v>5945</v>
      </c>
      <c r="G2777" s="7" t="n">
        <v>2012</v>
      </c>
      <c r="H2777" s="7" t="s">
        <v>49</v>
      </c>
      <c r="I2777" s="7" t="s">
        <v>82</v>
      </c>
      <c r="J2777" s="7" t="s">
        <v>344</v>
      </c>
      <c r="K2777" s="7" t="n">
        <f aca="false">IFERROR(VALUE(RIGHT(TRIM(F2777),4)),"")</f>
        <v>2017</v>
      </c>
      <c r="L2777" s="7" t="str">
        <f aca="false">IF(TRIM(E2777)="","Unknown",IFERROR(LEFT(TRIM(E2777),FIND(",",TRIM(E2777))-1),TRIM(E2777)))</f>
        <v>Unknown</v>
      </c>
      <c r="M2777" s="7" t="str">
        <f aca="false">IFERROR(LEFT(J2777,FIND(",",J2777)-1),J2777)</f>
        <v>International TV Shows</v>
      </c>
      <c r="N2777" s="7" t="str">
        <f aca="false">IF(B2777="Movie",IFERROR(VALUE(LEFT(I2777,FIND(" ",I2777)-1)),""),"")</f>
        <v/>
      </c>
      <c r="O2777" s="7" t="n">
        <f aca="false">IF(B2777="TV Show",IFERROR(VALUE(LEFT(I2777,FIND(" ",I2777)-1)),""),"")</f>
        <v>1</v>
      </c>
      <c r="P2777" s="7" t="n">
        <f aca="false">IF(K2777="","",K2777-G2777)</f>
        <v>5</v>
      </c>
    </row>
    <row r="2778" customFormat="false" ht="15" hidden="false" customHeight="false" outlineLevel="0" collapsed="false">
      <c r="A2778" s="7" t="n">
        <v>80160597</v>
      </c>
      <c r="B2778" s="7" t="s">
        <v>78</v>
      </c>
      <c r="C2778" s="7" t="s">
        <v>5948</v>
      </c>
      <c r="E2778" s="7" t="s">
        <v>366</v>
      </c>
      <c r="F2778" s="7" t="s">
        <v>5945</v>
      </c>
      <c r="G2778" s="7" t="n">
        <v>2012</v>
      </c>
      <c r="H2778" s="7" t="s">
        <v>49</v>
      </c>
      <c r="I2778" s="7" t="s">
        <v>82</v>
      </c>
      <c r="J2778" s="7" t="s">
        <v>344</v>
      </c>
      <c r="K2778" s="7" t="n">
        <f aca="false">IFERROR(VALUE(RIGHT(TRIM(F2778),4)),"")</f>
        <v>2017</v>
      </c>
      <c r="L2778" s="7" t="str">
        <f aca="false">IF(TRIM(E2778)="","Unknown",IFERROR(LEFT(TRIM(E2778),FIND(",",TRIM(E2778))-1),TRIM(E2778)))</f>
        <v>China</v>
      </c>
      <c r="M2778" s="7" t="str">
        <f aca="false">IFERROR(LEFT(J2778,FIND(",",J2778)-1),J2778)</f>
        <v>International TV Shows</v>
      </c>
      <c r="N2778" s="7" t="str">
        <f aca="false">IF(B2778="Movie",IFERROR(VALUE(LEFT(I2778,FIND(" ",I2778)-1)),""),"")</f>
        <v/>
      </c>
      <c r="O2778" s="7" t="n">
        <f aca="false">IF(B2778="TV Show",IFERROR(VALUE(LEFT(I2778,FIND(" ",I2778)-1)),""),"")</f>
        <v>1</v>
      </c>
      <c r="P2778" s="7" t="n">
        <f aca="false">IF(K2778="","",K2778-G2778)</f>
        <v>5</v>
      </c>
    </row>
    <row r="2779" customFormat="false" ht="15" hidden="false" customHeight="false" outlineLevel="0" collapsed="false">
      <c r="A2779" s="7" t="n">
        <v>80117747</v>
      </c>
      <c r="B2779" s="7" t="s">
        <v>68</v>
      </c>
      <c r="C2779" s="7" t="s">
        <v>5949</v>
      </c>
      <c r="D2779" s="7" t="s">
        <v>5950</v>
      </c>
      <c r="E2779" s="7" t="s">
        <v>26</v>
      </c>
      <c r="F2779" s="7" t="s">
        <v>5945</v>
      </c>
      <c r="G2779" s="7" t="n">
        <v>2017</v>
      </c>
      <c r="H2779" s="7" t="s">
        <v>48</v>
      </c>
      <c r="I2779" s="7" t="s">
        <v>613</v>
      </c>
      <c r="J2779" s="7" t="s">
        <v>1533</v>
      </c>
      <c r="K2779" s="7" t="n">
        <f aca="false">IFERROR(VALUE(RIGHT(TRIM(F2779),4)),"")</f>
        <v>2017</v>
      </c>
      <c r="L2779" s="7" t="str">
        <f aca="false">IF(TRIM(E2779)="","Unknown",IFERROR(LEFT(TRIM(E2779),FIND(",",TRIM(E2779))-1),TRIM(E2779)))</f>
        <v>United States</v>
      </c>
      <c r="M2779" s="7" t="str">
        <f aca="false">IFERROR(LEFT(J2779,FIND(",",J2779)-1),J2779)</f>
        <v>Comedies</v>
      </c>
      <c r="N2779" s="7" t="n">
        <f aca="false">IF(B2779="Movie",IFERROR(VALUE(LEFT(I2779,FIND(" ",I2779)-1)),""),"")</f>
        <v>84</v>
      </c>
      <c r="O2779" s="7" t="str">
        <f aca="false">IF(B2779="TV Show",IFERROR(VALUE(LEFT(I2779,FIND(" ",I2779)-1)),""),"")</f>
        <v/>
      </c>
      <c r="P2779" s="7" t="n">
        <f aca="false">IF(K2779="","",K2779-G2779)</f>
        <v>0</v>
      </c>
    </row>
    <row r="2780" customFormat="false" ht="15" hidden="false" customHeight="false" outlineLevel="0" collapsed="false">
      <c r="A2780" s="7" t="n">
        <v>70228154</v>
      </c>
      <c r="B2780" s="7" t="s">
        <v>78</v>
      </c>
      <c r="C2780" s="7" t="s">
        <v>5951</v>
      </c>
      <c r="E2780" s="7" t="s">
        <v>366</v>
      </c>
      <c r="F2780" s="7" t="s">
        <v>5945</v>
      </c>
      <c r="G2780" s="7" t="n">
        <v>2008</v>
      </c>
      <c r="H2780" s="7" t="s">
        <v>53</v>
      </c>
      <c r="I2780" s="7" t="s">
        <v>82</v>
      </c>
      <c r="J2780" s="7" t="s">
        <v>393</v>
      </c>
      <c r="K2780" s="7" t="n">
        <f aca="false">IFERROR(VALUE(RIGHT(TRIM(F2780),4)),"")</f>
        <v>2017</v>
      </c>
      <c r="L2780" s="7" t="str">
        <f aca="false">IF(TRIM(E2780)="","Unknown",IFERROR(LEFT(TRIM(E2780),FIND(",",TRIM(E2780))-1),TRIM(E2780)))</f>
        <v>China</v>
      </c>
      <c r="M2780" s="7" t="str">
        <f aca="false">IFERROR(LEFT(J2780,FIND(",",J2780)-1),J2780)</f>
        <v>International TV Shows</v>
      </c>
      <c r="N2780" s="7" t="str">
        <f aca="false">IF(B2780="Movie",IFERROR(VALUE(LEFT(I2780,FIND(" ",I2780)-1)),""),"")</f>
        <v/>
      </c>
      <c r="O2780" s="7" t="n">
        <f aca="false">IF(B2780="TV Show",IFERROR(VALUE(LEFT(I2780,FIND(" ",I2780)-1)),""),"")</f>
        <v>1</v>
      </c>
      <c r="P2780" s="7" t="n">
        <f aca="false">IF(K2780="","",K2780-G2780)</f>
        <v>9</v>
      </c>
    </row>
    <row r="2781" customFormat="false" ht="15" hidden="false" customHeight="false" outlineLevel="0" collapsed="false">
      <c r="A2781" s="7" t="n">
        <v>80104622</v>
      </c>
      <c r="B2781" s="7" t="s">
        <v>78</v>
      </c>
      <c r="C2781" s="7" t="s">
        <v>5952</v>
      </c>
      <c r="E2781" s="7" t="s">
        <v>1081</v>
      </c>
      <c r="F2781" s="7" t="s">
        <v>5953</v>
      </c>
      <c r="G2781" s="7" t="n">
        <v>2016</v>
      </c>
      <c r="H2781" s="7" t="s">
        <v>48</v>
      </c>
      <c r="I2781" s="7" t="s">
        <v>82</v>
      </c>
      <c r="J2781" s="7" t="s">
        <v>402</v>
      </c>
      <c r="K2781" s="7" t="n">
        <f aca="false">IFERROR(VALUE(RIGHT(TRIM(F2781),4)),"")</f>
        <v>2016</v>
      </c>
      <c r="L2781" s="7" t="str">
        <f aca="false">IF(TRIM(E2781)="","Unknown",IFERROR(LEFT(TRIM(E2781),FIND(",",TRIM(E2781))-1),TRIM(E2781)))</f>
        <v>Germany</v>
      </c>
      <c r="M2781" s="7" t="str">
        <f aca="false">IFERROR(LEFT(J2781,FIND(",",J2781)-1),J2781)</f>
        <v>Crime TV Shows</v>
      </c>
      <c r="N2781" s="7" t="str">
        <f aca="false">IF(B2781="Movie",IFERROR(VALUE(LEFT(I2781,FIND(" ",I2781)-1)),""),"")</f>
        <v/>
      </c>
      <c r="O2781" s="7" t="n">
        <f aca="false">IF(B2781="TV Show",IFERROR(VALUE(LEFT(I2781,FIND(" ",I2781)-1)),""),"")</f>
        <v>1</v>
      </c>
      <c r="P2781" s="7" t="n">
        <f aca="false">IF(K2781="","",K2781-G2781)</f>
        <v>0</v>
      </c>
    </row>
    <row r="2782" customFormat="false" ht="15" hidden="false" customHeight="false" outlineLevel="0" collapsed="false">
      <c r="A2782" s="7" t="n">
        <v>80004286</v>
      </c>
      <c r="B2782" s="7" t="s">
        <v>68</v>
      </c>
      <c r="C2782" s="7" t="s">
        <v>5954</v>
      </c>
      <c r="D2782" s="7" t="s">
        <v>5955</v>
      </c>
      <c r="E2782" s="7" t="s">
        <v>26</v>
      </c>
      <c r="F2782" s="7" t="s">
        <v>5956</v>
      </c>
      <c r="G2782" s="7" t="n">
        <v>2013</v>
      </c>
      <c r="H2782" s="7" t="s">
        <v>226</v>
      </c>
      <c r="I2782" s="7" t="s">
        <v>98</v>
      </c>
      <c r="J2782" s="7" t="s">
        <v>42</v>
      </c>
      <c r="K2782" s="7" t="n">
        <f aca="false">IFERROR(VALUE(RIGHT(TRIM(F2782),4)),"")</f>
        <v>2015</v>
      </c>
      <c r="L2782" s="7" t="str">
        <f aca="false">IF(TRIM(E2782)="","Unknown",IFERROR(LEFT(TRIM(E2782),FIND(",",TRIM(E2782))-1),TRIM(E2782)))</f>
        <v>United States</v>
      </c>
      <c r="M2782" s="7" t="str">
        <f aca="false">IFERROR(LEFT(J2782,FIND(",",J2782)-1),J2782)</f>
        <v>Children &amp; Family Movies</v>
      </c>
      <c r="N2782" s="7" t="n">
        <f aca="false">IF(B2782="Movie",IFERROR(VALUE(LEFT(I2782,FIND(" ",I2782)-1)),""),"")</f>
        <v>60</v>
      </c>
      <c r="O2782" s="7" t="str">
        <f aca="false">IF(B2782="TV Show",IFERROR(VALUE(LEFT(I2782,FIND(" ",I2782)-1)),""),"")</f>
        <v/>
      </c>
      <c r="P2782" s="7" t="n">
        <f aca="false">IF(K2782="","",K2782-G2782)</f>
        <v>2</v>
      </c>
    </row>
    <row r="2783" customFormat="false" ht="15" hidden="false" customHeight="false" outlineLevel="0" collapsed="false">
      <c r="A2783" s="7" t="n">
        <v>81039323</v>
      </c>
      <c r="B2783" s="7" t="s">
        <v>68</v>
      </c>
      <c r="C2783" s="7" t="s">
        <v>5957</v>
      </c>
      <c r="D2783" s="7" t="s">
        <v>5958</v>
      </c>
      <c r="E2783" s="7" t="s">
        <v>5959</v>
      </c>
      <c r="F2783" s="7" t="s">
        <v>5960</v>
      </c>
      <c r="G2783" s="7" t="n">
        <v>2017</v>
      </c>
      <c r="H2783" s="7" t="s">
        <v>48</v>
      </c>
      <c r="I2783" s="7" t="s">
        <v>519</v>
      </c>
      <c r="J2783" s="7" t="s">
        <v>182</v>
      </c>
      <c r="K2783" s="7" t="n">
        <f aca="false">IFERROR(VALUE(RIGHT(TRIM(F2783),4)),"")</f>
        <v>2019</v>
      </c>
      <c r="L2783" s="7" t="str">
        <f aca="false">IF(TRIM(E2783)="","Unknown",IFERROR(LEFT(TRIM(E2783),FIND(",",TRIM(E2783))-1),TRIM(E2783)))</f>
        <v>Italy</v>
      </c>
      <c r="M2783" s="7" t="str">
        <f aca="false">IFERROR(LEFT(J2783,FIND(",",J2783)-1),J2783)</f>
        <v>Dramas</v>
      </c>
      <c r="N2783" s="7" t="n">
        <f aca="false">IF(B2783="Movie",IFERROR(VALUE(LEFT(I2783,FIND(" ",I2783)-1)),""),"")</f>
        <v>119</v>
      </c>
      <c r="O2783" s="7" t="str">
        <f aca="false">IF(B2783="TV Show",IFERROR(VALUE(LEFT(I2783,FIND(" ",I2783)-1)),""),"")</f>
        <v/>
      </c>
      <c r="P2783" s="7" t="n">
        <f aca="false">IF(K2783="","",K2783-G2783)</f>
        <v>2</v>
      </c>
    </row>
    <row r="2784" customFormat="false" ht="15" hidden="false" customHeight="false" outlineLevel="0" collapsed="false">
      <c r="A2784" s="7" t="n">
        <v>81001804</v>
      </c>
      <c r="B2784" s="7" t="s">
        <v>68</v>
      </c>
      <c r="C2784" s="7" t="s">
        <v>5961</v>
      </c>
      <c r="E2784" s="7" t="s">
        <v>33</v>
      </c>
      <c r="F2784" s="7" t="s">
        <v>5962</v>
      </c>
      <c r="G2784" s="7" t="n">
        <v>2018</v>
      </c>
      <c r="H2784" s="7" t="s">
        <v>49</v>
      </c>
      <c r="I2784" s="7" t="s">
        <v>272</v>
      </c>
      <c r="J2784" s="7" t="s">
        <v>341</v>
      </c>
      <c r="K2784" s="7" t="n">
        <f aca="false">IFERROR(VALUE(RIGHT(TRIM(F2784),4)),"")</f>
        <v>2018</v>
      </c>
      <c r="L2784" s="7" t="str">
        <f aca="false">IF(TRIM(E2784)="","Unknown",IFERROR(LEFT(TRIM(E2784),FIND(",",TRIM(E2784))-1),TRIM(E2784)))</f>
        <v>Spain</v>
      </c>
      <c r="M2784" s="7" t="str">
        <f aca="false">IFERROR(LEFT(J2784,FIND(",",J2784)-1),J2784)</f>
        <v>Documentaries</v>
      </c>
      <c r="N2784" s="7" t="n">
        <f aca="false">IF(B2784="Movie",IFERROR(VALUE(LEFT(I2784,FIND(" ",I2784)-1)),""),"")</f>
        <v>93</v>
      </c>
      <c r="O2784" s="7" t="str">
        <f aca="false">IF(B2784="TV Show",IFERROR(VALUE(LEFT(I2784,FIND(" ",I2784)-1)),""),"")</f>
        <v/>
      </c>
      <c r="P2784" s="7" t="n">
        <f aca="false">IF(K2784="","",K2784-G2784)</f>
        <v>0</v>
      </c>
    </row>
    <row r="2785" customFormat="false" ht="15" hidden="false" customHeight="false" outlineLevel="0" collapsed="false">
      <c r="A2785" s="7" t="n">
        <v>80192064</v>
      </c>
      <c r="B2785" s="7" t="s">
        <v>68</v>
      </c>
      <c r="C2785" s="7" t="s">
        <v>5963</v>
      </c>
      <c r="D2785" s="7" t="s">
        <v>3118</v>
      </c>
      <c r="E2785" s="7" t="s">
        <v>1113</v>
      </c>
      <c r="F2785" s="7" t="s">
        <v>5962</v>
      </c>
      <c r="G2785" s="7" t="n">
        <v>2018</v>
      </c>
      <c r="H2785" s="7" t="s">
        <v>49</v>
      </c>
      <c r="I2785" s="7" t="s">
        <v>1317</v>
      </c>
      <c r="J2785" s="7" t="s">
        <v>45</v>
      </c>
      <c r="K2785" s="7" t="n">
        <f aca="false">IFERROR(VALUE(RIGHT(TRIM(F2785),4)),"")</f>
        <v>2018</v>
      </c>
      <c r="L2785" s="7" t="str">
        <f aca="false">IF(TRIM(E2785)="","Unknown",IFERROR(LEFT(TRIM(E2785),FIND(",",TRIM(E2785))-1),TRIM(E2785)))</f>
        <v>Argentina</v>
      </c>
      <c r="M2785" s="7" t="str">
        <f aca="false">IFERROR(LEFT(J2785,FIND(",",J2785)-1),J2785)</f>
        <v>Stand-Up Comedy</v>
      </c>
      <c r="N2785" s="7" t="n">
        <f aca="false">IF(B2785="Movie",IFERROR(VALUE(LEFT(I2785,FIND(" ",I2785)-1)),""),"")</f>
        <v>66</v>
      </c>
      <c r="O2785" s="7" t="str">
        <f aca="false">IF(B2785="TV Show",IFERROR(VALUE(LEFT(I2785,FIND(" ",I2785)-1)),""),"")</f>
        <v/>
      </c>
      <c r="P2785" s="7" t="n">
        <f aca="false">IF(K2785="","",K2785-G2785)</f>
        <v>0</v>
      </c>
    </row>
    <row r="2786" customFormat="false" ht="15" hidden="false" customHeight="false" outlineLevel="0" collapsed="false">
      <c r="A2786" s="7" t="n">
        <v>80176715</v>
      </c>
      <c r="B2786" s="7" t="s">
        <v>68</v>
      </c>
      <c r="C2786" s="7" t="s">
        <v>5964</v>
      </c>
      <c r="D2786" s="7" t="s">
        <v>5965</v>
      </c>
      <c r="E2786" s="7" t="s">
        <v>26</v>
      </c>
      <c r="F2786" s="7" t="s">
        <v>5962</v>
      </c>
      <c r="G2786" s="7" t="n">
        <v>2018</v>
      </c>
      <c r="H2786" s="7" t="s">
        <v>49</v>
      </c>
      <c r="I2786" s="7" t="s">
        <v>524</v>
      </c>
      <c r="J2786" s="7" t="s">
        <v>4035</v>
      </c>
      <c r="K2786" s="7" t="n">
        <f aca="false">IFERROR(VALUE(RIGHT(TRIM(F2786),4)),"")</f>
        <v>2018</v>
      </c>
      <c r="L2786" s="7" t="str">
        <f aca="false">IF(TRIM(E2786)="","Unknown",IFERROR(LEFT(TRIM(E2786),FIND(",",TRIM(E2786))-1),TRIM(E2786)))</f>
        <v>United States</v>
      </c>
      <c r="M2786" s="7" t="str">
        <f aca="false">IFERROR(LEFT(J2786,FIND(",",J2786)-1),J2786)</f>
        <v>Action &amp; Adventure</v>
      </c>
      <c r="N2786" s="7" t="n">
        <f aca="false">IF(B2786="Movie",IFERROR(VALUE(LEFT(I2786,FIND(" ",I2786)-1)),""),"")</f>
        <v>83</v>
      </c>
      <c r="O2786" s="7" t="str">
        <f aca="false">IF(B2786="TV Show",IFERROR(VALUE(LEFT(I2786,FIND(" ",I2786)-1)),""),"")</f>
        <v/>
      </c>
      <c r="P2786" s="7" t="n">
        <f aca="false">IF(K2786="","",K2786-G2786)</f>
        <v>0</v>
      </c>
    </row>
    <row r="2787" customFormat="false" ht="15" hidden="false" customHeight="false" outlineLevel="0" collapsed="false">
      <c r="A2787" s="7" t="n">
        <v>80168029</v>
      </c>
      <c r="B2787" s="7" t="s">
        <v>68</v>
      </c>
      <c r="C2787" s="7" t="s">
        <v>5966</v>
      </c>
      <c r="D2787" s="7" t="s">
        <v>5967</v>
      </c>
      <c r="E2787" s="7" t="s">
        <v>33</v>
      </c>
      <c r="F2787" s="7" t="s">
        <v>5962</v>
      </c>
      <c r="G2787" s="7" t="n">
        <v>2018</v>
      </c>
      <c r="H2787" s="7" t="s">
        <v>49</v>
      </c>
      <c r="I2787" s="7" t="s">
        <v>93</v>
      </c>
      <c r="J2787" s="7" t="s">
        <v>188</v>
      </c>
      <c r="K2787" s="7" t="n">
        <f aca="false">IFERROR(VALUE(RIGHT(TRIM(F2787),4)),"")</f>
        <v>2018</v>
      </c>
      <c r="L2787" s="7" t="str">
        <f aca="false">IF(TRIM(E2787)="","Unknown",IFERROR(LEFT(TRIM(E2787),FIND(",",TRIM(E2787))-1),TRIM(E2787)))</f>
        <v>Spain</v>
      </c>
      <c r="M2787" s="7" t="str">
        <f aca="false">IFERROR(LEFT(J2787,FIND(",",J2787)-1),J2787)</f>
        <v>Dramas</v>
      </c>
      <c r="N2787" s="7" t="n">
        <f aca="false">IF(B2787="Movie",IFERROR(VALUE(LEFT(I2787,FIND(" ",I2787)-1)),""),"")</f>
        <v>110</v>
      </c>
      <c r="O2787" s="7" t="str">
        <f aca="false">IF(B2787="TV Show",IFERROR(VALUE(LEFT(I2787,FIND(" ",I2787)-1)),""),"")</f>
        <v/>
      </c>
      <c r="P2787" s="7" t="n">
        <f aca="false">IF(K2787="","",K2787-G2787)</f>
        <v>0</v>
      </c>
    </row>
    <row r="2788" customFormat="false" ht="15" hidden="false" customHeight="false" outlineLevel="0" collapsed="false">
      <c r="A2788" s="7" t="n">
        <v>80245121</v>
      </c>
      <c r="B2788" s="7" t="s">
        <v>68</v>
      </c>
      <c r="C2788" s="7" t="s">
        <v>5968</v>
      </c>
      <c r="D2788" s="7" t="s">
        <v>5969</v>
      </c>
      <c r="E2788" s="7" t="s">
        <v>5970</v>
      </c>
      <c r="F2788" s="7" t="s">
        <v>5962</v>
      </c>
      <c r="G2788" s="7" t="n">
        <v>2018</v>
      </c>
      <c r="H2788" s="7" t="s">
        <v>50</v>
      </c>
      <c r="I2788" s="7" t="s">
        <v>264</v>
      </c>
      <c r="J2788" s="7" t="s">
        <v>295</v>
      </c>
      <c r="K2788" s="7" t="n">
        <f aca="false">IFERROR(VALUE(RIGHT(TRIM(F2788),4)),"")</f>
        <v>2018</v>
      </c>
      <c r="L2788" s="7" t="str">
        <f aca="false">IF(TRIM(E2788)="","Unknown",IFERROR(LEFT(TRIM(E2788),FIND(",",TRIM(E2788))-1),TRIM(E2788)))</f>
        <v>France</v>
      </c>
      <c r="M2788" s="7" t="str">
        <f aca="false">IFERROR(LEFT(J2788,FIND(",",J2788)-1),J2788)</f>
        <v>Children &amp; Family Movies</v>
      </c>
      <c r="N2788" s="7" t="n">
        <f aca="false">IF(B2788="Movie",IFERROR(VALUE(LEFT(I2788,FIND(" ",I2788)-1)),""),"")</f>
        <v>88</v>
      </c>
      <c r="O2788" s="7" t="str">
        <f aca="false">IF(B2788="TV Show",IFERROR(VALUE(LEFT(I2788,FIND(" ",I2788)-1)),""),"")</f>
        <v/>
      </c>
      <c r="P2788" s="7" t="n">
        <f aca="false">IF(K2788="","",K2788-G2788)</f>
        <v>0</v>
      </c>
    </row>
    <row r="2789" customFormat="false" ht="15" hidden="false" customHeight="false" outlineLevel="0" collapsed="false">
      <c r="A2789" s="7" t="n">
        <v>80177339</v>
      </c>
      <c r="B2789" s="7" t="s">
        <v>68</v>
      </c>
      <c r="C2789" s="7" t="s">
        <v>5971</v>
      </c>
      <c r="D2789" s="7" t="s">
        <v>5972</v>
      </c>
      <c r="E2789" s="7" t="s">
        <v>27</v>
      </c>
      <c r="F2789" s="7" t="s">
        <v>5973</v>
      </c>
      <c r="G2789" s="7" t="n">
        <v>2016</v>
      </c>
      <c r="H2789" s="7" t="s">
        <v>81</v>
      </c>
      <c r="I2789" s="7" t="s">
        <v>790</v>
      </c>
      <c r="J2789" s="7" t="s">
        <v>74</v>
      </c>
      <c r="K2789" s="7" t="n">
        <f aca="false">IFERROR(VALUE(RIGHT(TRIM(F2789),4)),"")</f>
        <v>2017</v>
      </c>
      <c r="L2789" s="7" t="str">
        <f aca="false">IF(TRIM(E2789)="","Unknown",IFERROR(LEFT(TRIM(E2789),FIND(",",TRIM(E2789))-1),TRIM(E2789)))</f>
        <v>India</v>
      </c>
      <c r="M2789" s="7" t="str">
        <f aca="false">IFERROR(LEFT(J2789,FIND(",",J2789)-1),J2789)</f>
        <v>Children &amp; Family Movies</v>
      </c>
      <c r="N2789" s="7" t="n">
        <f aca="false">IF(B2789="Movie",IFERROR(VALUE(LEFT(I2789,FIND(" ",I2789)-1)),""),"")</f>
        <v>109</v>
      </c>
      <c r="O2789" s="7" t="str">
        <f aca="false">IF(B2789="TV Show",IFERROR(VALUE(LEFT(I2789,FIND(" ",I2789)-1)),""),"")</f>
        <v/>
      </c>
      <c r="P2789" s="7" t="n">
        <f aca="false">IF(K2789="","",K2789-G2789)</f>
        <v>1</v>
      </c>
    </row>
    <row r="2790" customFormat="false" ht="15" hidden="false" customHeight="false" outlineLevel="0" collapsed="false">
      <c r="A2790" s="7" t="n">
        <v>80170277</v>
      </c>
      <c r="B2790" s="7" t="s">
        <v>68</v>
      </c>
      <c r="C2790" s="7" t="s">
        <v>5974</v>
      </c>
      <c r="D2790" s="7" t="s">
        <v>5975</v>
      </c>
      <c r="E2790" s="7" t="s">
        <v>26</v>
      </c>
      <c r="F2790" s="7" t="s">
        <v>5973</v>
      </c>
      <c r="G2790" s="7" t="n">
        <v>2017</v>
      </c>
      <c r="H2790" s="7" t="s">
        <v>52</v>
      </c>
      <c r="I2790" s="7" t="s">
        <v>138</v>
      </c>
      <c r="J2790" s="7" t="s">
        <v>198</v>
      </c>
      <c r="K2790" s="7" t="n">
        <f aca="false">IFERROR(VALUE(RIGHT(TRIM(F2790),4)),"")</f>
        <v>2017</v>
      </c>
      <c r="L2790" s="7" t="str">
        <f aca="false">IF(TRIM(E2790)="","Unknown",IFERROR(LEFT(TRIM(E2790),FIND(",",TRIM(E2790))-1),TRIM(E2790)))</f>
        <v>United States</v>
      </c>
      <c r="M2790" s="7" t="str">
        <f aca="false">IFERROR(LEFT(J2790,FIND(",",J2790)-1),J2790)</f>
        <v>Comedies</v>
      </c>
      <c r="N2790" s="7" t="n">
        <f aca="false">IF(B2790="Movie",IFERROR(VALUE(LEFT(I2790,FIND(" ",I2790)-1)),""),"")</f>
        <v>96</v>
      </c>
      <c r="O2790" s="7" t="str">
        <f aca="false">IF(B2790="TV Show",IFERROR(VALUE(LEFT(I2790,FIND(" ",I2790)-1)),""),"")</f>
        <v/>
      </c>
      <c r="P2790" s="7" t="n">
        <f aca="false">IF(K2790="","",K2790-G2790)</f>
        <v>0</v>
      </c>
    </row>
    <row r="2791" customFormat="false" ht="15" hidden="false" customHeight="false" outlineLevel="0" collapsed="false">
      <c r="A2791" s="7" t="n">
        <v>80097355</v>
      </c>
      <c r="B2791" s="7" t="s">
        <v>68</v>
      </c>
      <c r="C2791" s="7" t="s">
        <v>5976</v>
      </c>
      <c r="D2791" s="7" t="s">
        <v>983</v>
      </c>
      <c r="E2791" s="7" t="s">
        <v>5977</v>
      </c>
      <c r="F2791" s="7" t="s">
        <v>5978</v>
      </c>
      <c r="G2791" s="7" t="n">
        <v>2016</v>
      </c>
      <c r="H2791" s="7" t="s">
        <v>48</v>
      </c>
      <c r="I2791" s="7" t="s">
        <v>138</v>
      </c>
      <c r="J2791" s="7" t="s">
        <v>1000</v>
      </c>
      <c r="K2791" s="7" t="n">
        <f aca="false">IFERROR(VALUE(RIGHT(TRIM(F2791),4)),"")</f>
        <v>2016</v>
      </c>
      <c r="L2791" s="7" t="str">
        <f aca="false">IF(TRIM(E2791)="","Unknown",IFERROR(LEFT(TRIM(E2791),FIND(",",TRIM(E2791))-1),TRIM(E2791)))</f>
        <v>India</v>
      </c>
      <c r="M2791" s="7" t="str">
        <f aca="false">IFERROR(LEFT(J2791,FIND(",",J2791)-1),J2791)</f>
        <v>Comedies</v>
      </c>
      <c r="N2791" s="7" t="n">
        <f aca="false">IF(B2791="Movie",IFERROR(VALUE(LEFT(I2791,FIND(" ",I2791)-1)),""),"")</f>
        <v>96</v>
      </c>
      <c r="O2791" s="7" t="str">
        <f aca="false">IF(B2791="TV Show",IFERROR(VALUE(LEFT(I2791,FIND(" ",I2791)-1)),""),"")</f>
        <v/>
      </c>
      <c r="P2791" s="7" t="n">
        <f aca="false">IF(K2791="","",K2791-G2791)</f>
        <v>0</v>
      </c>
    </row>
    <row r="2792" customFormat="false" ht="15" hidden="false" customHeight="false" outlineLevel="0" collapsed="false">
      <c r="A2792" s="7" t="n">
        <v>81078217</v>
      </c>
      <c r="B2792" s="7" t="s">
        <v>78</v>
      </c>
      <c r="C2792" s="7" t="s">
        <v>5979</v>
      </c>
      <c r="E2792" s="7" t="s">
        <v>26</v>
      </c>
      <c r="F2792" s="7" t="s">
        <v>5980</v>
      </c>
      <c r="G2792" s="7" t="n">
        <v>2019</v>
      </c>
      <c r="H2792" s="7" t="s">
        <v>49</v>
      </c>
      <c r="I2792" s="7" t="s">
        <v>82</v>
      </c>
      <c r="J2792" s="7" t="s">
        <v>834</v>
      </c>
      <c r="K2792" s="7" t="n">
        <f aca="false">IFERROR(VALUE(RIGHT(TRIM(F2792),4)),"")</f>
        <v>2019</v>
      </c>
      <c r="L2792" s="7" t="str">
        <f aca="false">IF(TRIM(E2792)="","Unknown",IFERROR(LEFT(TRIM(E2792),FIND(",",TRIM(E2792))-1),TRIM(E2792)))</f>
        <v>United States</v>
      </c>
      <c r="M2792" s="7" t="str">
        <f aca="false">IFERROR(LEFT(J2792,FIND(",",J2792)-1),J2792)</f>
        <v>Crime TV Shows</v>
      </c>
      <c r="N2792" s="7" t="str">
        <f aca="false">IF(B2792="Movie",IFERROR(VALUE(LEFT(I2792,FIND(" ",I2792)-1)),""),"")</f>
        <v/>
      </c>
      <c r="O2792" s="7" t="n">
        <f aca="false">IF(B2792="TV Show",IFERROR(VALUE(LEFT(I2792,FIND(" ",I2792)-1)),""),"")</f>
        <v>1</v>
      </c>
      <c r="P2792" s="7" t="n">
        <f aca="false">IF(K2792="","",K2792-G2792)</f>
        <v>0</v>
      </c>
    </row>
    <row r="2793" customFormat="false" ht="15" hidden="false" customHeight="false" outlineLevel="0" collapsed="false">
      <c r="A2793" s="7" t="n">
        <v>80223153</v>
      </c>
      <c r="B2793" s="7" t="s">
        <v>68</v>
      </c>
      <c r="C2793" s="7" t="s">
        <v>5981</v>
      </c>
      <c r="D2793" s="7" t="s">
        <v>5982</v>
      </c>
      <c r="E2793" s="7" t="s">
        <v>1113</v>
      </c>
      <c r="F2793" s="7" t="s">
        <v>5980</v>
      </c>
      <c r="G2793" s="7" t="n">
        <v>2019</v>
      </c>
      <c r="H2793" s="7" t="s">
        <v>226</v>
      </c>
      <c r="I2793" s="7" t="s">
        <v>820</v>
      </c>
      <c r="J2793" s="7" t="s">
        <v>974</v>
      </c>
      <c r="K2793" s="7" t="n">
        <f aca="false">IFERROR(VALUE(RIGHT(TRIM(F2793),4)),"")</f>
        <v>2019</v>
      </c>
      <c r="L2793" s="7" t="str">
        <f aca="false">IF(TRIM(E2793)="","Unknown",IFERROR(LEFT(TRIM(E2793),FIND(",",TRIM(E2793))-1),TRIM(E2793)))</f>
        <v>Argentina</v>
      </c>
      <c r="M2793" s="7" t="str">
        <f aca="false">IFERROR(LEFT(J2793,FIND(",",J2793)-1),J2793)</f>
        <v>Documentaries</v>
      </c>
      <c r="N2793" s="7" t="n">
        <f aca="false">IF(B2793="Movie",IFERROR(VALUE(LEFT(I2793,FIND(" ",I2793)-1)),""),"")</f>
        <v>105</v>
      </c>
      <c r="O2793" s="7" t="str">
        <f aca="false">IF(B2793="TV Show",IFERROR(VALUE(LEFT(I2793,FIND(" ",I2793)-1)),""),"")</f>
        <v/>
      </c>
      <c r="P2793" s="7" t="n">
        <f aca="false">IF(K2793="","",K2793-G2793)</f>
        <v>0</v>
      </c>
    </row>
    <row r="2794" customFormat="false" ht="15" hidden="false" customHeight="false" outlineLevel="0" collapsed="false">
      <c r="A2794" s="7" t="n">
        <v>81108281</v>
      </c>
      <c r="B2794" s="7" t="s">
        <v>78</v>
      </c>
      <c r="C2794" s="7" t="s">
        <v>5983</v>
      </c>
      <c r="F2794" s="7" t="s">
        <v>5980</v>
      </c>
      <c r="G2794" s="7" t="n">
        <v>2019</v>
      </c>
      <c r="H2794" s="7" t="s">
        <v>49</v>
      </c>
      <c r="I2794" s="7" t="s">
        <v>82</v>
      </c>
      <c r="J2794" s="7" t="s">
        <v>314</v>
      </c>
      <c r="K2794" s="7" t="n">
        <f aca="false">IFERROR(VALUE(RIGHT(TRIM(F2794),4)),"")</f>
        <v>2019</v>
      </c>
      <c r="L2794" s="7" t="str">
        <f aca="false">IF(TRIM(E2794)="","Unknown",IFERROR(LEFT(TRIM(E2794),FIND(",",TRIM(E2794))-1),TRIM(E2794)))</f>
        <v>Unknown</v>
      </c>
      <c r="M2794" s="7" t="str">
        <f aca="false">IFERROR(LEFT(J2794,FIND(",",J2794)-1),J2794)</f>
        <v>International TV Shows</v>
      </c>
      <c r="N2794" s="7" t="str">
        <f aca="false">IF(B2794="Movie",IFERROR(VALUE(LEFT(I2794,FIND(" ",I2794)-1)),""),"")</f>
        <v/>
      </c>
      <c r="O2794" s="7" t="n">
        <f aca="false">IF(B2794="TV Show",IFERROR(VALUE(LEFT(I2794,FIND(" ",I2794)-1)),""),"")</f>
        <v>1</v>
      </c>
      <c r="P2794" s="7" t="n">
        <f aca="false">IF(K2794="","",K2794-G2794)</f>
        <v>0</v>
      </c>
    </row>
    <row r="2795" customFormat="false" ht="15" hidden="false" customHeight="false" outlineLevel="0" collapsed="false">
      <c r="A2795" s="7" t="n">
        <v>70122316</v>
      </c>
      <c r="B2795" s="7" t="s">
        <v>68</v>
      </c>
      <c r="C2795" s="7" t="s">
        <v>5984</v>
      </c>
      <c r="D2795" s="7" t="s">
        <v>3928</v>
      </c>
      <c r="E2795" s="7" t="s">
        <v>26</v>
      </c>
      <c r="F2795" s="7" t="s">
        <v>5985</v>
      </c>
      <c r="G2795" s="7" t="n">
        <v>2010</v>
      </c>
      <c r="H2795" s="7" t="s">
        <v>51</v>
      </c>
      <c r="I2795" s="7" t="s">
        <v>168</v>
      </c>
      <c r="J2795" s="7" t="s">
        <v>155</v>
      </c>
      <c r="K2795" s="7" t="n">
        <f aca="false">IFERROR(VALUE(RIGHT(TRIM(F2795),4)),"")</f>
        <v>2018</v>
      </c>
      <c r="L2795" s="7" t="str">
        <f aca="false">IF(TRIM(E2795)="","Unknown",IFERROR(LEFT(TRIM(E2795),FIND(",",TRIM(E2795))-1),TRIM(E2795)))</f>
        <v>United States</v>
      </c>
      <c r="M2795" s="7" t="str">
        <f aca="false">IFERROR(LEFT(J2795,FIND(",",J2795)-1),J2795)</f>
        <v>Dramas</v>
      </c>
      <c r="N2795" s="7" t="n">
        <f aca="false">IF(B2795="Movie",IFERROR(VALUE(LEFT(I2795,FIND(" ",I2795)-1)),""),"")</f>
        <v>112</v>
      </c>
      <c r="O2795" s="7" t="str">
        <f aca="false">IF(B2795="TV Show",IFERROR(VALUE(LEFT(I2795,FIND(" ",I2795)-1)),""),"")</f>
        <v/>
      </c>
      <c r="P2795" s="7" t="n">
        <f aca="false">IF(K2795="","",K2795-G2795)</f>
        <v>8</v>
      </c>
    </row>
    <row r="2796" customFormat="false" ht="15" hidden="false" customHeight="false" outlineLevel="0" collapsed="false">
      <c r="A2796" s="7" t="n">
        <v>80102266</v>
      </c>
      <c r="B2796" s="7" t="s">
        <v>78</v>
      </c>
      <c r="C2796" s="7" t="s">
        <v>5986</v>
      </c>
      <c r="E2796" s="7" t="s">
        <v>27</v>
      </c>
      <c r="F2796" s="7" t="s">
        <v>5985</v>
      </c>
      <c r="G2796" s="7" t="n">
        <v>2014</v>
      </c>
      <c r="H2796" s="7" t="s">
        <v>49</v>
      </c>
      <c r="I2796" s="7" t="s">
        <v>82</v>
      </c>
      <c r="J2796" s="7" t="s">
        <v>3542</v>
      </c>
      <c r="K2796" s="7" t="n">
        <f aca="false">IFERROR(VALUE(RIGHT(TRIM(F2796),4)),"")</f>
        <v>2018</v>
      </c>
      <c r="L2796" s="7" t="str">
        <f aca="false">IF(TRIM(E2796)="","Unknown",IFERROR(LEFT(TRIM(E2796),FIND(",",TRIM(E2796))-1),TRIM(E2796)))</f>
        <v>India</v>
      </c>
      <c r="M2796" s="7" t="str">
        <f aca="false">IFERROR(LEFT(J2796,FIND(",",J2796)-1),J2796)</f>
        <v>International TV Shows</v>
      </c>
      <c r="N2796" s="7" t="str">
        <f aca="false">IF(B2796="Movie",IFERROR(VALUE(LEFT(I2796,FIND(" ",I2796)-1)),""),"")</f>
        <v/>
      </c>
      <c r="O2796" s="7" t="n">
        <f aca="false">IF(B2796="TV Show",IFERROR(VALUE(LEFT(I2796,FIND(" ",I2796)-1)),""),"")</f>
        <v>1</v>
      </c>
      <c r="P2796" s="7" t="n">
        <f aca="false">IF(K2796="","",K2796-G2796)</f>
        <v>4</v>
      </c>
    </row>
    <row r="2797" customFormat="false" ht="15" hidden="false" customHeight="false" outlineLevel="0" collapsed="false">
      <c r="A2797" s="7" t="n">
        <v>80102162</v>
      </c>
      <c r="B2797" s="7" t="s">
        <v>78</v>
      </c>
      <c r="C2797" s="7" t="s">
        <v>5987</v>
      </c>
      <c r="E2797" s="7" t="s">
        <v>27</v>
      </c>
      <c r="F2797" s="7" t="s">
        <v>5985</v>
      </c>
      <c r="G2797" s="7" t="n">
        <v>2014</v>
      </c>
      <c r="H2797" s="7" t="s">
        <v>226</v>
      </c>
      <c r="I2797" s="7" t="s">
        <v>82</v>
      </c>
      <c r="J2797" s="7" t="s">
        <v>773</v>
      </c>
      <c r="K2797" s="7" t="n">
        <f aca="false">IFERROR(VALUE(RIGHT(TRIM(F2797),4)),"")</f>
        <v>2018</v>
      </c>
      <c r="L2797" s="7" t="str">
        <f aca="false">IF(TRIM(E2797)="","Unknown",IFERROR(LEFT(TRIM(E2797),FIND(",",TRIM(E2797))-1),TRIM(E2797)))</f>
        <v>India</v>
      </c>
      <c r="M2797" s="7" t="str">
        <f aca="false">IFERROR(LEFT(J2797,FIND(",",J2797)-1),J2797)</f>
        <v>Docuseries</v>
      </c>
      <c r="N2797" s="7" t="str">
        <f aca="false">IF(B2797="Movie",IFERROR(VALUE(LEFT(I2797,FIND(" ",I2797)-1)),""),"")</f>
        <v/>
      </c>
      <c r="O2797" s="7" t="n">
        <f aca="false">IF(B2797="TV Show",IFERROR(VALUE(LEFT(I2797,FIND(" ",I2797)-1)),""),"")</f>
        <v>1</v>
      </c>
      <c r="P2797" s="7" t="n">
        <f aca="false">IF(K2797="","",K2797-G2797)</f>
        <v>4</v>
      </c>
    </row>
    <row r="2798" customFormat="false" ht="15" hidden="false" customHeight="false" outlineLevel="0" collapsed="false">
      <c r="A2798" s="7" t="n">
        <v>80102160</v>
      </c>
      <c r="B2798" s="7" t="s">
        <v>78</v>
      </c>
      <c r="C2798" s="7" t="s">
        <v>5988</v>
      </c>
      <c r="D2798" s="7" t="s">
        <v>2151</v>
      </c>
      <c r="E2798" s="7" t="s">
        <v>27</v>
      </c>
      <c r="F2798" s="7" t="s">
        <v>5985</v>
      </c>
      <c r="G2798" s="7" t="n">
        <v>2015</v>
      </c>
      <c r="H2798" s="7" t="s">
        <v>49</v>
      </c>
      <c r="I2798" s="7" t="s">
        <v>82</v>
      </c>
      <c r="J2798" s="7" t="s">
        <v>344</v>
      </c>
      <c r="K2798" s="7" t="n">
        <f aca="false">IFERROR(VALUE(RIGHT(TRIM(F2798),4)),"")</f>
        <v>2018</v>
      </c>
      <c r="L2798" s="7" t="str">
        <f aca="false">IF(TRIM(E2798)="","Unknown",IFERROR(LEFT(TRIM(E2798),FIND(",",TRIM(E2798))-1),TRIM(E2798)))</f>
        <v>India</v>
      </c>
      <c r="M2798" s="7" t="str">
        <f aca="false">IFERROR(LEFT(J2798,FIND(",",J2798)-1),J2798)</f>
        <v>International TV Shows</v>
      </c>
      <c r="N2798" s="7" t="str">
        <f aca="false">IF(B2798="Movie",IFERROR(VALUE(LEFT(I2798,FIND(" ",I2798)-1)),""),"")</f>
        <v/>
      </c>
      <c r="O2798" s="7" t="n">
        <f aca="false">IF(B2798="TV Show",IFERROR(VALUE(LEFT(I2798,FIND(" ",I2798)-1)),""),"")</f>
        <v>1</v>
      </c>
      <c r="P2798" s="7" t="n">
        <f aca="false">IF(K2798="","",K2798-G2798)</f>
        <v>3</v>
      </c>
    </row>
    <row r="2799" customFormat="false" ht="15" hidden="false" customHeight="false" outlineLevel="0" collapsed="false">
      <c r="A2799" s="7" t="n">
        <v>80076160</v>
      </c>
      <c r="B2799" s="7" t="s">
        <v>68</v>
      </c>
      <c r="C2799" s="7" t="s">
        <v>5989</v>
      </c>
      <c r="D2799" s="7" t="s">
        <v>703</v>
      </c>
      <c r="E2799" s="7" t="s">
        <v>26</v>
      </c>
      <c r="F2799" s="7" t="s">
        <v>5990</v>
      </c>
      <c r="G2799" s="7" t="n">
        <v>2016</v>
      </c>
      <c r="H2799" s="7" t="s">
        <v>53</v>
      </c>
      <c r="I2799" s="7" t="s">
        <v>333</v>
      </c>
      <c r="J2799" s="7" t="s">
        <v>39</v>
      </c>
      <c r="K2799" s="7" t="n">
        <f aca="false">IFERROR(VALUE(RIGHT(TRIM(F2799),4)),"")</f>
        <v>2019</v>
      </c>
      <c r="L2799" s="7" t="str">
        <f aca="false">IF(TRIM(E2799)="","Unknown",IFERROR(LEFT(TRIM(E2799),FIND(",",TRIM(E2799))-1),TRIM(E2799)))</f>
        <v>United States</v>
      </c>
      <c r="M2799" s="7" t="str">
        <f aca="false">IFERROR(LEFT(J2799,FIND(",",J2799)-1),J2799)</f>
        <v>Documentaries</v>
      </c>
      <c r="N2799" s="7" t="n">
        <f aca="false">IF(B2799="Movie",IFERROR(VALUE(LEFT(I2799,FIND(" ",I2799)-1)),""),"")</f>
        <v>40</v>
      </c>
      <c r="O2799" s="7" t="str">
        <f aca="false">IF(B2799="TV Show",IFERROR(VALUE(LEFT(I2799,FIND(" ",I2799)-1)),""),"")</f>
        <v/>
      </c>
      <c r="P2799" s="7" t="n">
        <f aca="false">IF(K2799="","",K2799-G2799)</f>
        <v>3</v>
      </c>
    </row>
    <row r="2800" customFormat="false" ht="15" hidden="false" customHeight="false" outlineLevel="0" collapsed="false">
      <c r="A2800" s="7" t="n">
        <v>80099089</v>
      </c>
      <c r="B2800" s="7" t="s">
        <v>68</v>
      </c>
      <c r="C2800" s="7" t="s">
        <v>5991</v>
      </c>
      <c r="D2800" s="7" t="s">
        <v>5992</v>
      </c>
      <c r="E2800" s="7" t="s">
        <v>5993</v>
      </c>
      <c r="F2800" s="7" t="s">
        <v>5990</v>
      </c>
      <c r="G2800" s="7" t="n">
        <v>2016</v>
      </c>
      <c r="H2800" s="7" t="s">
        <v>52</v>
      </c>
      <c r="I2800" s="7" t="s">
        <v>294</v>
      </c>
      <c r="J2800" s="7" t="s">
        <v>967</v>
      </c>
      <c r="K2800" s="7" t="n">
        <f aca="false">IFERROR(VALUE(RIGHT(TRIM(F2800),4)),"")</f>
        <v>2019</v>
      </c>
      <c r="L2800" s="7" t="str">
        <f aca="false">IF(TRIM(E2800)="","Unknown",IFERROR(LEFT(TRIM(E2800),FIND(",",TRIM(E2800))-1),TRIM(E2800)))</f>
        <v>China</v>
      </c>
      <c r="M2800" s="7" t="str">
        <f aca="false">IFERROR(LEFT(J2800,FIND(",",J2800)-1),J2800)</f>
        <v>Action &amp; Adventure</v>
      </c>
      <c r="N2800" s="7" t="n">
        <f aca="false">IF(B2800="Movie",IFERROR(VALUE(LEFT(I2800,FIND(" ",I2800)-1)),""),"")</f>
        <v>107</v>
      </c>
      <c r="O2800" s="7" t="str">
        <f aca="false">IF(B2800="TV Show",IFERROR(VALUE(LEFT(I2800,FIND(" ",I2800)-1)),""),"")</f>
        <v/>
      </c>
      <c r="P2800" s="7" t="n">
        <f aca="false">IF(K2800="","",K2800-G2800)</f>
        <v>3</v>
      </c>
    </row>
    <row r="2801" customFormat="false" ht="15" hidden="false" customHeight="false" outlineLevel="0" collapsed="false">
      <c r="A2801" s="7" t="n">
        <v>70303706</v>
      </c>
      <c r="B2801" s="7" t="s">
        <v>68</v>
      </c>
      <c r="C2801" s="7" t="s">
        <v>5994</v>
      </c>
      <c r="D2801" s="7" t="s">
        <v>3400</v>
      </c>
      <c r="E2801" s="7" t="s">
        <v>26</v>
      </c>
      <c r="F2801" s="7" t="s">
        <v>5995</v>
      </c>
      <c r="G2801" s="7" t="n">
        <v>2013</v>
      </c>
      <c r="H2801" s="7" t="s">
        <v>53</v>
      </c>
      <c r="I2801" s="7" t="s">
        <v>162</v>
      </c>
      <c r="J2801" s="7" t="s">
        <v>45</v>
      </c>
      <c r="K2801" s="7" t="n">
        <f aca="false">IFERROR(VALUE(RIGHT(TRIM(F2801),4)),"")</f>
        <v>2018</v>
      </c>
      <c r="L2801" s="7" t="str">
        <f aca="false">IF(TRIM(E2801)="","Unknown",IFERROR(LEFT(TRIM(E2801),FIND(",",TRIM(E2801))-1),TRIM(E2801)))</f>
        <v>United States</v>
      </c>
      <c r="M2801" s="7" t="str">
        <f aca="false">IFERROR(LEFT(J2801,FIND(",",J2801)-1),J2801)</f>
        <v>Stand-Up Comedy</v>
      </c>
      <c r="N2801" s="7" t="n">
        <f aca="false">IF(B2801="Movie",IFERROR(VALUE(LEFT(I2801,FIND(" ",I2801)-1)),""),"")</f>
        <v>77</v>
      </c>
      <c r="O2801" s="7" t="str">
        <f aca="false">IF(B2801="TV Show",IFERROR(VALUE(LEFT(I2801,FIND(" ",I2801)-1)),""),"")</f>
        <v/>
      </c>
      <c r="P2801" s="7" t="n">
        <f aca="false">IF(K2801="","",K2801-G2801)</f>
        <v>5</v>
      </c>
    </row>
    <row r="2802" customFormat="false" ht="15" hidden="false" customHeight="false" outlineLevel="0" collapsed="false">
      <c r="A2802" s="7" t="n">
        <v>80195243</v>
      </c>
      <c r="B2802" s="7" t="s">
        <v>68</v>
      </c>
      <c r="C2802" s="7" t="s">
        <v>5996</v>
      </c>
      <c r="D2802" s="7" t="s">
        <v>5997</v>
      </c>
      <c r="E2802" s="7" t="s">
        <v>26</v>
      </c>
      <c r="F2802" s="7" t="s">
        <v>5998</v>
      </c>
      <c r="G2802" s="7" t="n">
        <v>2016</v>
      </c>
      <c r="H2802" s="7" t="s">
        <v>49</v>
      </c>
      <c r="I2802" s="7" t="s">
        <v>107</v>
      </c>
      <c r="J2802" s="7" t="s">
        <v>39</v>
      </c>
      <c r="K2802" s="7" t="n">
        <f aca="false">IFERROR(VALUE(RIGHT(TRIM(F2802),4)),"")</f>
        <v>2017</v>
      </c>
      <c r="L2802" s="7" t="str">
        <f aca="false">IF(TRIM(E2802)="","Unknown",IFERROR(LEFT(TRIM(E2802),FIND(",",TRIM(E2802))-1),TRIM(E2802)))</f>
        <v>United States</v>
      </c>
      <c r="M2802" s="7" t="str">
        <f aca="false">IFERROR(LEFT(J2802,FIND(",",J2802)-1),J2802)</f>
        <v>Documentaries</v>
      </c>
      <c r="N2802" s="7" t="n">
        <f aca="false">IF(B2802="Movie",IFERROR(VALUE(LEFT(I2802,FIND(" ",I2802)-1)),""),"")</f>
        <v>78</v>
      </c>
      <c r="O2802" s="7" t="str">
        <f aca="false">IF(B2802="TV Show",IFERROR(VALUE(LEFT(I2802,FIND(" ",I2802)-1)),""),"")</f>
        <v/>
      </c>
      <c r="P2802" s="7" t="n">
        <f aca="false">IF(K2802="","",K2802-G2802)</f>
        <v>1</v>
      </c>
    </row>
    <row r="2803" customFormat="false" ht="15" hidden="false" customHeight="false" outlineLevel="0" collapsed="false">
      <c r="A2803" s="7" t="n">
        <v>80236408</v>
      </c>
      <c r="B2803" s="7" t="s">
        <v>78</v>
      </c>
      <c r="C2803" s="7" t="s">
        <v>5999</v>
      </c>
      <c r="F2803" s="7" t="s">
        <v>6000</v>
      </c>
      <c r="G2803" s="7" t="n">
        <v>2018</v>
      </c>
      <c r="H2803" s="7" t="s">
        <v>49</v>
      </c>
      <c r="I2803" s="7" t="s">
        <v>82</v>
      </c>
      <c r="J2803" s="7" t="s">
        <v>314</v>
      </c>
      <c r="K2803" s="7" t="n">
        <f aca="false">IFERROR(VALUE(RIGHT(TRIM(F2803),4)),"")</f>
        <v>2019</v>
      </c>
      <c r="L2803" s="7" t="str">
        <f aca="false">IF(TRIM(E2803)="","Unknown",IFERROR(LEFT(TRIM(E2803),FIND(",",TRIM(E2803))-1),TRIM(E2803)))</f>
        <v>Unknown</v>
      </c>
      <c r="M2803" s="7" t="str">
        <f aca="false">IFERROR(LEFT(J2803,FIND(",",J2803)-1),J2803)</f>
        <v>International TV Shows</v>
      </c>
      <c r="N2803" s="7" t="str">
        <f aca="false">IF(B2803="Movie",IFERROR(VALUE(LEFT(I2803,FIND(" ",I2803)-1)),""),"")</f>
        <v/>
      </c>
      <c r="O2803" s="7" t="n">
        <f aca="false">IF(B2803="TV Show",IFERROR(VALUE(LEFT(I2803,FIND(" ",I2803)-1)),""),"")</f>
        <v>1</v>
      </c>
      <c r="P2803" s="7" t="n">
        <f aca="false">IF(K2803="","",K2803-G2803)</f>
        <v>1</v>
      </c>
    </row>
    <row r="2804" customFormat="false" ht="15" hidden="false" customHeight="false" outlineLevel="0" collapsed="false">
      <c r="A2804" s="7" t="n">
        <v>81039161</v>
      </c>
      <c r="B2804" s="7" t="s">
        <v>68</v>
      </c>
      <c r="C2804" s="7" t="s">
        <v>6001</v>
      </c>
      <c r="D2804" s="7" t="s">
        <v>6002</v>
      </c>
      <c r="E2804" s="7" t="s">
        <v>6003</v>
      </c>
      <c r="F2804" s="7" t="s">
        <v>6000</v>
      </c>
      <c r="G2804" s="7" t="n">
        <v>2018</v>
      </c>
      <c r="H2804" s="7" t="s">
        <v>50</v>
      </c>
      <c r="I2804" s="7" t="s">
        <v>73</v>
      </c>
      <c r="J2804" s="7" t="s">
        <v>304</v>
      </c>
      <c r="K2804" s="7" t="n">
        <f aca="false">IFERROR(VALUE(RIGHT(TRIM(F2804),4)),"")</f>
        <v>2019</v>
      </c>
      <c r="L2804" s="7" t="str">
        <f aca="false">IF(TRIM(E2804)="","Unknown",IFERROR(LEFT(TRIM(E2804),FIND(",",TRIM(E2804))-1),TRIM(E2804)))</f>
        <v>Singapore</v>
      </c>
      <c r="M2804" s="7" t="str">
        <f aca="false">IFERROR(LEFT(J2804,FIND(",",J2804)-1),J2804)</f>
        <v>Dramas</v>
      </c>
      <c r="N2804" s="7" t="n">
        <f aca="false">IF(B2804="Movie",IFERROR(VALUE(LEFT(I2804,FIND(" ",I2804)-1)),""),"")</f>
        <v>90</v>
      </c>
      <c r="O2804" s="7" t="str">
        <f aca="false">IF(B2804="TV Show",IFERROR(VALUE(LEFT(I2804,FIND(" ",I2804)-1)),""),"")</f>
        <v/>
      </c>
      <c r="P2804" s="7" t="n">
        <f aca="false">IF(K2804="","",K2804-G2804)</f>
        <v>1</v>
      </c>
    </row>
    <row r="2805" customFormat="false" ht="15" hidden="false" customHeight="false" outlineLevel="0" collapsed="false">
      <c r="A2805" s="7" t="n">
        <v>80240537</v>
      </c>
      <c r="B2805" s="7" t="s">
        <v>68</v>
      </c>
      <c r="C2805" s="7" t="s">
        <v>6004</v>
      </c>
      <c r="D2805" s="7" t="s">
        <v>6005</v>
      </c>
      <c r="E2805" s="7" t="s">
        <v>619</v>
      </c>
      <c r="F2805" s="7" t="s">
        <v>6000</v>
      </c>
      <c r="G2805" s="7" t="n">
        <v>2019</v>
      </c>
      <c r="H2805" s="7" t="s">
        <v>48</v>
      </c>
      <c r="I2805" s="7" t="s">
        <v>247</v>
      </c>
      <c r="J2805" s="7" t="s">
        <v>597</v>
      </c>
      <c r="K2805" s="7" t="n">
        <f aca="false">IFERROR(VALUE(RIGHT(TRIM(F2805),4)),"")</f>
        <v>2019</v>
      </c>
      <c r="L2805" s="7" t="str">
        <f aca="false">IF(TRIM(E2805)="","Unknown",IFERROR(LEFT(TRIM(E2805),FIND(",",TRIM(E2805))-1),TRIM(E2805)))</f>
        <v>Canada</v>
      </c>
      <c r="M2805" s="7" t="str">
        <f aca="false">IFERROR(LEFT(J2805,FIND(",",J2805)-1),J2805)</f>
        <v>Dramas</v>
      </c>
      <c r="N2805" s="7" t="n">
        <f aca="false">IF(B2805="Movie",IFERROR(VALUE(LEFT(I2805,FIND(" ",I2805)-1)),""),"")</f>
        <v>130</v>
      </c>
      <c r="O2805" s="7" t="str">
        <f aca="false">IF(B2805="TV Show",IFERROR(VALUE(LEFT(I2805,FIND(" ",I2805)-1)),""),"")</f>
        <v/>
      </c>
      <c r="P2805" s="7" t="n">
        <f aca="false">IF(K2805="","",K2805-G2805)</f>
        <v>0</v>
      </c>
    </row>
    <row r="2806" customFormat="false" ht="15" hidden="false" customHeight="false" outlineLevel="0" collapsed="false">
      <c r="A2806" s="7" t="n">
        <v>80997870</v>
      </c>
      <c r="B2806" s="7" t="s">
        <v>68</v>
      </c>
      <c r="C2806" s="7" t="s">
        <v>6006</v>
      </c>
      <c r="D2806" s="7" t="s">
        <v>6007</v>
      </c>
      <c r="E2806" s="7" t="s">
        <v>411</v>
      </c>
      <c r="F2806" s="7" t="s">
        <v>6008</v>
      </c>
      <c r="G2806" s="7" t="n">
        <v>1978</v>
      </c>
      <c r="H2806" s="7" t="s">
        <v>48</v>
      </c>
      <c r="I2806" s="7" t="s">
        <v>264</v>
      </c>
      <c r="J2806" s="7" t="s">
        <v>322</v>
      </c>
      <c r="K2806" s="7" t="n">
        <f aca="false">IFERROR(VALUE(RIGHT(TRIM(F2806),4)),"")</f>
        <v>2018</v>
      </c>
      <c r="L2806" s="7" t="str">
        <f aca="false">IF(TRIM(E2806)="","Unknown",IFERROR(LEFT(TRIM(E2806),FIND(",",TRIM(E2806))-1),TRIM(E2806)))</f>
        <v>Hong Kong</v>
      </c>
      <c r="M2806" s="7" t="str">
        <f aca="false">IFERROR(LEFT(J2806,FIND(",",J2806)-1),J2806)</f>
        <v>Action &amp; Adventure</v>
      </c>
      <c r="N2806" s="7" t="n">
        <f aca="false">IF(B2806="Movie",IFERROR(VALUE(LEFT(I2806,FIND(" ",I2806)-1)),""),"")</f>
        <v>88</v>
      </c>
      <c r="O2806" s="7" t="str">
        <f aca="false">IF(B2806="TV Show",IFERROR(VALUE(LEFT(I2806,FIND(" ",I2806)-1)),""),"")</f>
        <v/>
      </c>
      <c r="P2806" s="7" t="n">
        <f aca="false">IF(K2806="","",K2806-G2806)</f>
        <v>40</v>
      </c>
    </row>
    <row r="2807" customFormat="false" ht="15" hidden="false" customHeight="false" outlineLevel="0" collapsed="false">
      <c r="A2807" s="7" t="n">
        <v>80244539</v>
      </c>
      <c r="B2807" s="7" t="s">
        <v>78</v>
      </c>
      <c r="C2807" s="7" t="s">
        <v>6009</v>
      </c>
      <c r="F2807" s="7" t="s">
        <v>6008</v>
      </c>
      <c r="G2807" s="7" t="n">
        <v>2015</v>
      </c>
      <c r="H2807" s="7" t="s">
        <v>49</v>
      </c>
      <c r="I2807" s="7" t="s">
        <v>82</v>
      </c>
      <c r="J2807" s="7" t="s">
        <v>314</v>
      </c>
      <c r="K2807" s="7" t="n">
        <f aca="false">IFERROR(VALUE(RIGHT(TRIM(F2807),4)),"")</f>
        <v>2018</v>
      </c>
      <c r="L2807" s="7" t="str">
        <f aca="false">IF(TRIM(E2807)="","Unknown",IFERROR(LEFT(TRIM(E2807),FIND(",",TRIM(E2807))-1),TRIM(E2807)))</f>
        <v>Unknown</v>
      </c>
      <c r="M2807" s="7" t="str">
        <f aca="false">IFERROR(LEFT(J2807,FIND(",",J2807)-1),J2807)</f>
        <v>International TV Shows</v>
      </c>
      <c r="N2807" s="7" t="str">
        <f aca="false">IF(B2807="Movie",IFERROR(VALUE(LEFT(I2807,FIND(" ",I2807)-1)),""),"")</f>
        <v/>
      </c>
      <c r="O2807" s="7" t="n">
        <f aca="false">IF(B2807="TV Show",IFERROR(VALUE(LEFT(I2807,FIND(" ",I2807)-1)),""),"")</f>
        <v>1</v>
      </c>
      <c r="P2807" s="7" t="n">
        <f aca="false">IF(K2807="","",K2807-G2807)</f>
        <v>3</v>
      </c>
    </row>
    <row r="2808" customFormat="false" ht="15" hidden="false" customHeight="false" outlineLevel="0" collapsed="false">
      <c r="A2808" s="7" t="n">
        <v>60001377</v>
      </c>
      <c r="B2808" s="7" t="s">
        <v>68</v>
      </c>
      <c r="C2808" s="7" t="s">
        <v>6010</v>
      </c>
      <c r="D2808" s="7" t="s">
        <v>658</v>
      </c>
      <c r="E2808" s="7" t="s">
        <v>411</v>
      </c>
      <c r="F2808" s="7" t="s">
        <v>6008</v>
      </c>
      <c r="G2808" s="7" t="n">
        <v>1978</v>
      </c>
      <c r="H2808" s="7" t="s">
        <v>51</v>
      </c>
      <c r="I2808" s="7" t="s">
        <v>451</v>
      </c>
      <c r="J2808" s="7" t="s">
        <v>4109</v>
      </c>
      <c r="K2808" s="7" t="n">
        <f aca="false">IFERROR(VALUE(RIGHT(TRIM(F2808),4)),"")</f>
        <v>2018</v>
      </c>
      <c r="L2808" s="7" t="str">
        <f aca="false">IF(TRIM(E2808)="","Unknown",IFERROR(LEFT(TRIM(E2808),FIND(",",TRIM(E2808))-1),TRIM(E2808)))</f>
        <v>Hong Kong</v>
      </c>
      <c r="M2808" s="7" t="str">
        <f aca="false">IFERROR(LEFT(J2808,FIND(",",J2808)-1),J2808)</f>
        <v>Action &amp; Adventure</v>
      </c>
      <c r="N2808" s="7" t="n">
        <f aca="false">IF(B2808="Movie",IFERROR(VALUE(LEFT(I2808,FIND(" ",I2808)-1)),""),"")</f>
        <v>97</v>
      </c>
      <c r="O2808" s="7" t="str">
        <f aca="false">IF(B2808="TV Show",IFERROR(VALUE(LEFT(I2808,FIND(" ",I2808)-1)),""),"")</f>
        <v/>
      </c>
      <c r="P2808" s="7" t="n">
        <f aca="false">IF(K2808="","",K2808-G2808)</f>
        <v>40</v>
      </c>
    </row>
    <row r="2809" customFormat="false" ht="15" hidden="false" customHeight="false" outlineLevel="0" collapsed="false">
      <c r="A2809" s="7" t="n">
        <v>80039813</v>
      </c>
      <c r="B2809" s="7" t="s">
        <v>78</v>
      </c>
      <c r="C2809" s="7" t="s">
        <v>5061</v>
      </c>
      <c r="E2809" s="7" t="s">
        <v>26</v>
      </c>
      <c r="F2809" s="7" t="s">
        <v>6011</v>
      </c>
      <c r="G2809" s="7" t="n">
        <v>2015</v>
      </c>
      <c r="H2809" s="7" t="s">
        <v>48</v>
      </c>
      <c r="I2809" s="7" t="s">
        <v>82</v>
      </c>
      <c r="J2809" s="7" t="s">
        <v>289</v>
      </c>
      <c r="K2809" s="7" t="n">
        <f aca="false">IFERROR(VALUE(RIGHT(TRIM(F2809),4)),"")</f>
        <v>2015</v>
      </c>
      <c r="L2809" s="7" t="str">
        <f aca="false">IF(TRIM(E2809)="","Unknown",IFERROR(LEFT(TRIM(E2809),FIND(",",TRIM(E2809))-1),TRIM(E2809)))</f>
        <v>United States</v>
      </c>
      <c r="M2809" s="7" t="str">
        <f aca="false">IFERROR(LEFT(J2809,FIND(",",J2809)-1),J2809)</f>
        <v>TV Comedies</v>
      </c>
      <c r="N2809" s="7" t="str">
        <f aca="false">IF(B2809="Movie",IFERROR(VALUE(LEFT(I2809,FIND(" ",I2809)-1)),""),"")</f>
        <v/>
      </c>
      <c r="O2809" s="7" t="n">
        <f aca="false">IF(B2809="TV Show",IFERROR(VALUE(LEFT(I2809,FIND(" ",I2809)-1)),""),"")</f>
        <v>1</v>
      </c>
      <c r="P2809" s="7" t="n">
        <f aca="false">IF(K2809="","",K2809-G2809)</f>
        <v>0</v>
      </c>
    </row>
    <row r="2810" customFormat="false" ht="15" hidden="false" customHeight="false" outlineLevel="0" collapsed="false">
      <c r="A2810" s="7" t="n">
        <v>81151899</v>
      </c>
      <c r="B2810" s="7" t="s">
        <v>78</v>
      </c>
      <c r="C2810" s="7" t="s">
        <v>6012</v>
      </c>
      <c r="D2810" s="7" t="s">
        <v>6013</v>
      </c>
      <c r="E2810" s="7" t="s">
        <v>27</v>
      </c>
      <c r="F2810" s="7" t="s">
        <v>6014</v>
      </c>
      <c r="G2810" s="7" t="n">
        <v>2019</v>
      </c>
      <c r="H2810" s="7" t="s">
        <v>49</v>
      </c>
      <c r="I2810" s="7" t="s">
        <v>82</v>
      </c>
      <c r="J2810" s="7" t="s">
        <v>2695</v>
      </c>
      <c r="K2810" s="7" t="n">
        <f aca="false">IFERROR(VALUE(RIGHT(TRIM(F2810),4)),"")</f>
        <v>2019</v>
      </c>
      <c r="L2810" s="7" t="str">
        <f aca="false">IF(TRIM(E2810)="","Unknown",IFERROR(LEFT(TRIM(E2810),FIND(",",TRIM(E2810))-1),TRIM(E2810)))</f>
        <v>India</v>
      </c>
      <c r="M2810" s="7" t="str">
        <f aca="false">IFERROR(LEFT(J2810,FIND(",",J2810)-1),J2810)</f>
        <v>TV Shows</v>
      </c>
      <c r="N2810" s="7" t="str">
        <f aca="false">IF(B2810="Movie",IFERROR(VALUE(LEFT(I2810,FIND(" ",I2810)-1)),""),"")</f>
        <v/>
      </c>
      <c r="O2810" s="7" t="n">
        <f aca="false">IF(B2810="TV Show",IFERROR(VALUE(LEFT(I2810,FIND(" ",I2810)-1)),""),"")</f>
        <v>1</v>
      </c>
      <c r="P2810" s="7" t="n">
        <f aca="false">IF(K2810="","",K2810-G2810)</f>
        <v>0</v>
      </c>
    </row>
    <row r="2811" customFormat="false" ht="15" hidden="false" customHeight="false" outlineLevel="0" collapsed="false">
      <c r="A2811" s="7" t="n">
        <v>81030976</v>
      </c>
      <c r="B2811" s="7" t="s">
        <v>68</v>
      </c>
      <c r="C2811" s="7" t="s">
        <v>6015</v>
      </c>
      <c r="D2811" s="7" t="s">
        <v>6016</v>
      </c>
      <c r="F2811" s="7" t="s">
        <v>6014</v>
      </c>
      <c r="G2811" s="7" t="n">
        <v>2019</v>
      </c>
      <c r="H2811" s="7" t="s">
        <v>48</v>
      </c>
      <c r="I2811" s="7" t="s">
        <v>524</v>
      </c>
      <c r="J2811" s="7" t="s">
        <v>358</v>
      </c>
      <c r="K2811" s="7" t="n">
        <f aca="false">IFERROR(VALUE(RIGHT(TRIM(F2811),4)),"")</f>
        <v>2019</v>
      </c>
      <c r="L2811" s="7" t="str">
        <f aca="false">IF(TRIM(E2811)="","Unknown",IFERROR(LEFT(TRIM(E2811),FIND(",",TRIM(E2811))-1),TRIM(E2811)))</f>
        <v>Unknown</v>
      </c>
      <c r="M2811" s="7" t="str">
        <f aca="false">IFERROR(LEFT(J2811,FIND(",",J2811)-1),J2811)</f>
        <v>International Movies</v>
      </c>
      <c r="N2811" s="7" t="n">
        <f aca="false">IF(B2811="Movie",IFERROR(VALUE(LEFT(I2811,FIND(" ",I2811)-1)),""),"")</f>
        <v>83</v>
      </c>
      <c r="O2811" s="7" t="str">
        <f aca="false">IF(B2811="TV Show",IFERROR(VALUE(LEFT(I2811,FIND(" ",I2811)-1)),""),"")</f>
        <v/>
      </c>
      <c r="P2811" s="7" t="n">
        <f aca="false">IF(K2811="","",K2811-G2811)</f>
        <v>0</v>
      </c>
    </row>
    <row r="2812" customFormat="false" ht="15" hidden="false" customHeight="false" outlineLevel="0" collapsed="false">
      <c r="A2812" s="7" t="n">
        <v>81017011</v>
      </c>
      <c r="B2812" s="7" t="s">
        <v>68</v>
      </c>
      <c r="C2812" s="7" t="s">
        <v>6017</v>
      </c>
      <c r="D2812" s="7" t="s">
        <v>6018</v>
      </c>
      <c r="E2812" s="7" t="s">
        <v>29</v>
      </c>
      <c r="F2812" s="7" t="s">
        <v>6014</v>
      </c>
      <c r="G2812" s="7" t="n">
        <v>2019</v>
      </c>
      <c r="H2812" s="7" t="s">
        <v>48</v>
      </c>
      <c r="I2812" s="7" t="s">
        <v>87</v>
      </c>
      <c r="J2812" s="7" t="s">
        <v>811</v>
      </c>
      <c r="K2812" s="7" t="n">
        <f aca="false">IFERROR(VALUE(RIGHT(TRIM(F2812),4)),"")</f>
        <v>2019</v>
      </c>
      <c r="L2812" s="7" t="str">
        <f aca="false">IF(TRIM(E2812)="","Unknown",IFERROR(LEFT(TRIM(E2812),FIND(",",TRIM(E2812))-1),TRIM(E2812)))</f>
        <v>Canada</v>
      </c>
      <c r="M2812" s="7" t="str">
        <f aca="false">IFERROR(LEFT(J2812,FIND(",",J2812)-1),J2812)</f>
        <v>Thrillers</v>
      </c>
      <c r="N2812" s="7" t="n">
        <f aca="false">IF(B2812="Movie",IFERROR(VALUE(LEFT(I2812,FIND(" ",I2812)-1)),""),"")</f>
        <v>99</v>
      </c>
      <c r="O2812" s="7" t="str">
        <f aca="false">IF(B2812="TV Show",IFERROR(VALUE(LEFT(I2812,FIND(" ",I2812)-1)),""),"")</f>
        <v/>
      </c>
      <c r="P2812" s="7" t="n">
        <f aca="false">IF(K2812="","",K2812-G2812)</f>
        <v>0</v>
      </c>
    </row>
    <row r="2813" customFormat="false" ht="15" hidden="false" customHeight="false" outlineLevel="0" collapsed="false">
      <c r="A2813" s="7" t="n">
        <v>80213715</v>
      </c>
      <c r="B2813" s="7" t="s">
        <v>68</v>
      </c>
      <c r="C2813" s="7" t="s">
        <v>6019</v>
      </c>
      <c r="D2813" s="7" t="s">
        <v>2518</v>
      </c>
      <c r="F2813" s="7" t="s">
        <v>6014</v>
      </c>
      <c r="G2813" s="7" t="n">
        <v>2019</v>
      </c>
      <c r="H2813" s="7" t="s">
        <v>48</v>
      </c>
      <c r="I2813" s="7" t="s">
        <v>1757</v>
      </c>
      <c r="J2813" s="7" t="s">
        <v>45</v>
      </c>
      <c r="K2813" s="7" t="n">
        <f aca="false">IFERROR(VALUE(RIGHT(TRIM(F2813),4)),"")</f>
        <v>2019</v>
      </c>
      <c r="L2813" s="7" t="str">
        <f aca="false">IF(TRIM(E2813)="","Unknown",IFERROR(LEFT(TRIM(E2813),FIND(",",TRIM(E2813))-1),TRIM(E2813)))</f>
        <v>Unknown</v>
      </c>
      <c r="M2813" s="7" t="str">
        <f aca="false">IFERROR(LEFT(J2813,FIND(",",J2813)-1),J2813)</f>
        <v>Stand-Up Comedy</v>
      </c>
      <c r="N2813" s="7" t="n">
        <f aca="false">IF(B2813="Movie",IFERROR(VALUE(LEFT(I2813,FIND(" ",I2813)-1)),""),"")</f>
        <v>59</v>
      </c>
      <c r="O2813" s="7" t="str">
        <f aca="false">IF(B2813="TV Show",IFERROR(VALUE(LEFT(I2813,FIND(" ",I2813)-1)),""),"")</f>
        <v/>
      </c>
      <c r="P2813" s="7" t="n">
        <f aca="false">IF(K2813="","",K2813-G2813)</f>
        <v>0</v>
      </c>
    </row>
    <row r="2814" customFormat="false" ht="15" hidden="false" customHeight="false" outlineLevel="0" collapsed="false">
      <c r="A2814" s="7" t="n">
        <v>80999990</v>
      </c>
      <c r="B2814" s="7" t="s">
        <v>68</v>
      </c>
      <c r="C2814" s="7" t="s">
        <v>6020</v>
      </c>
      <c r="D2814" s="7" t="s">
        <v>6021</v>
      </c>
      <c r="E2814" s="7" t="s">
        <v>167</v>
      </c>
      <c r="F2814" s="7" t="s">
        <v>6022</v>
      </c>
      <c r="G2814" s="7" t="n">
        <v>2008</v>
      </c>
      <c r="H2814" s="7" t="s">
        <v>49</v>
      </c>
      <c r="I2814" s="7" t="s">
        <v>311</v>
      </c>
      <c r="J2814" s="7" t="s">
        <v>6023</v>
      </c>
      <c r="K2814" s="7" t="n">
        <f aca="false">IFERROR(VALUE(RIGHT(TRIM(F2814),4)),"")</f>
        <v>2018</v>
      </c>
      <c r="L2814" s="7" t="str">
        <f aca="false">IF(TRIM(E2814)="","Unknown",IFERROR(LEFT(TRIM(E2814),FIND(",",TRIM(E2814))-1),TRIM(E2814)))</f>
        <v>Thailand</v>
      </c>
      <c r="M2814" s="7" t="str">
        <f aca="false">IFERROR(LEFT(J2814,FIND(",",J2814)-1),J2814)</f>
        <v>Comedies</v>
      </c>
      <c r="N2814" s="7" t="n">
        <f aca="false">IF(B2814="Movie",IFERROR(VALUE(LEFT(I2814,FIND(" ",I2814)-1)),""),"")</f>
        <v>92</v>
      </c>
      <c r="O2814" s="7" t="str">
        <f aca="false">IF(B2814="TV Show",IFERROR(VALUE(LEFT(I2814,FIND(" ",I2814)-1)),""),"")</f>
        <v/>
      </c>
      <c r="P2814" s="7" t="n">
        <f aca="false">IF(K2814="","",K2814-G2814)</f>
        <v>10</v>
      </c>
    </row>
    <row r="2815" customFormat="false" ht="15" hidden="false" customHeight="false" outlineLevel="0" collapsed="false">
      <c r="A2815" s="7" t="n">
        <v>80999991</v>
      </c>
      <c r="B2815" s="7" t="s">
        <v>68</v>
      </c>
      <c r="C2815" s="7" t="s">
        <v>6024</v>
      </c>
      <c r="D2815" s="7" t="s">
        <v>6021</v>
      </c>
      <c r="E2815" s="7" t="s">
        <v>167</v>
      </c>
      <c r="F2815" s="7" t="s">
        <v>6022</v>
      </c>
      <c r="G2815" s="7" t="n">
        <v>2010</v>
      </c>
      <c r="H2815" s="7" t="s">
        <v>49</v>
      </c>
      <c r="I2815" s="7" t="s">
        <v>181</v>
      </c>
      <c r="J2815" s="7" t="s">
        <v>6023</v>
      </c>
      <c r="K2815" s="7" t="n">
        <f aca="false">IFERROR(VALUE(RIGHT(TRIM(F2815),4)),"")</f>
        <v>2018</v>
      </c>
      <c r="L2815" s="7" t="str">
        <f aca="false">IF(TRIM(E2815)="","Unknown",IFERROR(LEFT(TRIM(E2815),FIND(",",TRIM(E2815))-1),TRIM(E2815)))</f>
        <v>Thailand</v>
      </c>
      <c r="M2815" s="7" t="str">
        <f aca="false">IFERROR(LEFT(J2815,FIND(",",J2815)-1),J2815)</f>
        <v>Comedies</v>
      </c>
      <c r="N2815" s="7" t="n">
        <f aca="false">IF(B2815="Movie",IFERROR(VALUE(LEFT(I2815,FIND(" ",I2815)-1)),""),"")</f>
        <v>102</v>
      </c>
      <c r="O2815" s="7" t="str">
        <f aca="false">IF(B2815="TV Show",IFERROR(VALUE(LEFT(I2815,FIND(" ",I2815)-1)),""),"")</f>
        <v/>
      </c>
      <c r="P2815" s="7" t="n">
        <f aca="false">IF(K2815="","",K2815-G2815)</f>
        <v>8</v>
      </c>
    </row>
    <row r="2816" customFormat="false" ht="15" hidden="false" customHeight="false" outlineLevel="0" collapsed="false">
      <c r="A2816" s="7" t="n">
        <v>81000000</v>
      </c>
      <c r="B2816" s="7" t="s">
        <v>68</v>
      </c>
      <c r="C2816" s="7" t="s">
        <v>6025</v>
      </c>
      <c r="D2816" s="7" t="s">
        <v>6026</v>
      </c>
      <c r="E2816" s="7" t="s">
        <v>167</v>
      </c>
      <c r="F2816" s="7" t="s">
        <v>6022</v>
      </c>
      <c r="G2816" s="7" t="n">
        <v>2011</v>
      </c>
      <c r="H2816" s="7" t="s">
        <v>48</v>
      </c>
      <c r="I2816" s="7" t="s">
        <v>272</v>
      </c>
      <c r="J2816" s="7" t="s">
        <v>169</v>
      </c>
      <c r="K2816" s="7" t="n">
        <f aca="false">IFERROR(VALUE(RIGHT(TRIM(F2816),4)),"")</f>
        <v>2018</v>
      </c>
      <c r="L2816" s="7" t="str">
        <f aca="false">IF(TRIM(E2816)="","Unknown",IFERROR(LEFT(TRIM(E2816),FIND(",",TRIM(E2816))-1),TRIM(E2816)))</f>
        <v>Thailand</v>
      </c>
      <c r="M2816" s="7" t="str">
        <f aca="false">IFERROR(LEFT(J2816,FIND(",",J2816)-1),J2816)</f>
        <v>Horror Movies</v>
      </c>
      <c r="N2816" s="7" t="n">
        <f aca="false">IF(B2816="Movie",IFERROR(VALUE(LEFT(I2816,FIND(" ",I2816)-1)),""),"")</f>
        <v>93</v>
      </c>
      <c r="O2816" s="7" t="str">
        <f aca="false">IF(B2816="TV Show",IFERROR(VALUE(LEFT(I2816,FIND(" ",I2816)-1)),""),"")</f>
        <v/>
      </c>
      <c r="P2816" s="7" t="n">
        <f aca="false">IF(K2816="","",K2816-G2816)</f>
        <v>7</v>
      </c>
    </row>
    <row r="2817" customFormat="false" ht="15" hidden="false" customHeight="false" outlineLevel="0" collapsed="false">
      <c r="A2817" s="7" t="n">
        <v>80162192</v>
      </c>
      <c r="B2817" s="7" t="s">
        <v>68</v>
      </c>
      <c r="C2817" s="7" t="s">
        <v>6027</v>
      </c>
      <c r="D2817" s="7" t="s">
        <v>6028</v>
      </c>
      <c r="E2817" s="7" t="s">
        <v>34</v>
      </c>
      <c r="F2817" s="7" t="s">
        <v>6029</v>
      </c>
      <c r="G2817" s="7" t="n">
        <v>2017</v>
      </c>
      <c r="H2817" s="7" t="s">
        <v>48</v>
      </c>
      <c r="I2817" s="7" t="s">
        <v>330</v>
      </c>
      <c r="J2817" s="7" t="s">
        <v>188</v>
      </c>
      <c r="K2817" s="7" t="n">
        <f aca="false">IFERROR(VALUE(RIGHT(TRIM(F2817),4)),"")</f>
        <v>2017</v>
      </c>
      <c r="L2817" s="7" t="str">
        <f aca="false">IF(TRIM(E2817)="","Unknown",IFERROR(LEFT(TRIM(E2817),FIND(",",TRIM(E2817))-1),TRIM(E2817)))</f>
        <v>Mexico</v>
      </c>
      <c r="M2817" s="7" t="str">
        <f aca="false">IFERROR(LEFT(J2817,FIND(",",J2817)-1),J2817)</f>
        <v>Dramas</v>
      </c>
      <c r="N2817" s="7" t="n">
        <f aca="false">IF(B2817="Movie",IFERROR(VALUE(LEFT(I2817,FIND(" ",I2817)-1)),""),"")</f>
        <v>103</v>
      </c>
      <c r="O2817" s="7" t="str">
        <f aca="false">IF(B2817="TV Show",IFERROR(VALUE(LEFT(I2817,FIND(" ",I2817)-1)),""),"")</f>
        <v/>
      </c>
      <c r="P2817" s="7" t="n">
        <f aca="false">IF(K2817="","",K2817-G2817)</f>
        <v>0</v>
      </c>
    </row>
    <row r="2818" customFormat="false" ht="15" hidden="false" customHeight="false" outlineLevel="0" collapsed="false">
      <c r="A2818" s="7" t="n">
        <v>80211648</v>
      </c>
      <c r="B2818" s="7" t="s">
        <v>78</v>
      </c>
      <c r="C2818" s="7" t="s">
        <v>6030</v>
      </c>
      <c r="E2818" s="7" t="s">
        <v>26</v>
      </c>
      <c r="F2818" s="7" t="s">
        <v>6031</v>
      </c>
      <c r="G2818" s="7" t="n">
        <v>2019</v>
      </c>
      <c r="H2818" s="7" t="s">
        <v>48</v>
      </c>
      <c r="I2818" s="7" t="s">
        <v>82</v>
      </c>
      <c r="J2818" s="7" t="s">
        <v>2412</v>
      </c>
      <c r="K2818" s="7" t="n">
        <f aca="false">IFERROR(VALUE(RIGHT(TRIM(F2818),4)),"")</f>
        <v>2019</v>
      </c>
      <c r="L2818" s="7" t="str">
        <f aca="false">IF(TRIM(E2818)="","Unknown",IFERROR(LEFT(TRIM(E2818),FIND(",",TRIM(E2818))-1),TRIM(E2818)))</f>
        <v>United States</v>
      </c>
      <c r="M2818" s="7" t="str">
        <f aca="false">IFERROR(LEFT(J2818,FIND(",",J2818)-1),J2818)</f>
        <v>Docuseries</v>
      </c>
      <c r="N2818" s="7" t="str">
        <f aca="false">IF(B2818="Movie",IFERROR(VALUE(LEFT(I2818,FIND(" ",I2818)-1)),""),"")</f>
        <v/>
      </c>
      <c r="O2818" s="7" t="n">
        <f aca="false">IF(B2818="TV Show",IFERROR(VALUE(LEFT(I2818,FIND(" ",I2818)-1)),""),"")</f>
        <v>1</v>
      </c>
      <c r="P2818" s="7" t="n">
        <f aca="false">IF(K2818="","",K2818-G2818)</f>
        <v>0</v>
      </c>
    </row>
    <row r="2819" customFormat="false" ht="15" hidden="false" customHeight="false" outlineLevel="0" collapsed="false">
      <c r="A2819" s="7" t="n">
        <v>70074100</v>
      </c>
      <c r="B2819" s="7" t="s">
        <v>68</v>
      </c>
      <c r="C2819" s="7" t="s">
        <v>6032</v>
      </c>
      <c r="D2819" s="7" t="s">
        <v>5805</v>
      </c>
      <c r="E2819" s="7" t="s">
        <v>26</v>
      </c>
      <c r="F2819" s="7" t="s">
        <v>6033</v>
      </c>
      <c r="G2819" s="7" t="n">
        <v>2006</v>
      </c>
      <c r="H2819" s="7" t="s">
        <v>51</v>
      </c>
      <c r="I2819" s="7" t="s">
        <v>470</v>
      </c>
      <c r="J2819" s="7" t="s">
        <v>265</v>
      </c>
      <c r="K2819" s="7" t="n">
        <f aca="false">IFERROR(VALUE(RIGHT(TRIM(F2819),4)),"")</f>
        <v>2018</v>
      </c>
      <c r="L2819" s="7" t="str">
        <f aca="false">IF(TRIM(E2819)="","Unknown",IFERROR(LEFT(TRIM(E2819),FIND(",",TRIM(E2819))-1),TRIM(E2819)))</f>
        <v>United States</v>
      </c>
      <c r="M2819" s="7" t="str">
        <f aca="false">IFERROR(LEFT(J2819,FIND(",",J2819)-1),J2819)</f>
        <v>Horror Movies</v>
      </c>
      <c r="N2819" s="7" t="n">
        <f aca="false">IF(B2819="Movie",IFERROR(VALUE(LEFT(I2819,FIND(" ",I2819)-1)),""),"")</f>
        <v>91</v>
      </c>
      <c r="O2819" s="7" t="str">
        <f aca="false">IF(B2819="TV Show",IFERROR(VALUE(LEFT(I2819,FIND(" ",I2819)-1)),""),"")</f>
        <v/>
      </c>
      <c r="P2819" s="7" t="n">
        <f aca="false">IF(K2819="","",K2819-G2819)</f>
        <v>12</v>
      </c>
    </row>
    <row r="2820" customFormat="false" ht="15" hidden="false" customHeight="false" outlineLevel="0" collapsed="false">
      <c r="A2820" s="7" t="n">
        <v>70224969</v>
      </c>
      <c r="B2820" s="7" t="s">
        <v>68</v>
      </c>
      <c r="C2820" s="7" t="s">
        <v>6034</v>
      </c>
      <c r="D2820" s="7" t="s">
        <v>6035</v>
      </c>
      <c r="E2820" s="7" t="s">
        <v>26</v>
      </c>
      <c r="F2820" s="7" t="s">
        <v>6033</v>
      </c>
      <c r="G2820" s="7" t="n">
        <v>2012</v>
      </c>
      <c r="H2820" s="7" t="s">
        <v>53</v>
      </c>
      <c r="I2820" s="7" t="s">
        <v>114</v>
      </c>
      <c r="J2820" s="7" t="s">
        <v>45</v>
      </c>
      <c r="K2820" s="7" t="n">
        <f aca="false">IFERROR(VALUE(RIGHT(TRIM(F2820),4)),"")</f>
        <v>2018</v>
      </c>
      <c r="L2820" s="7" t="str">
        <f aca="false">IF(TRIM(E2820)="","Unknown",IFERROR(LEFT(TRIM(E2820),FIND(",",TRIM(E2820))-1),TRIM(E2820)))</f>
        <v>United States</v>
      </c>
      <c r="M2820" s="7" t="str">
        <f aca="false">IFERROR(LEFT(J2820,FIND(",",J2820)-1),J2820)</f>
        <v>Stand-Up Comedy</v>
      </c>
      <c r="N2820" s="7" t="n">
        <f aca="false">IF(B2820="Movie",IFERROR(VALUE(LEFT(I2820,FIND(" ",I2820)-1)),""),"")</f>
        <v>58</v>
      </c>
      <c r="O2820" s="7" t="str">
        <f aca="false">IF(B2820="TV Show",IFERROR(VALUE(LEFT(I2820,FIND(" ",I2820)-1)),""),"")</f>
        <v/>
      </c>
      <c r="P2820" s="7" t="n">
        <f aca="false">IF(K2820="","",K2820-G2820)</f>
        <v>6</v>
      </c>
    </row>
    <row r="2821" customFormat="false" ht="15" hidden="false" customHeight="false" outlineLevel="0" collapsed="false">
      <c r="A2821" s="7" t="n">
        <v>70261273</v>
      </c>
      <c r="B2821" s="7" t="s">
        <v>68</v>
      </c>
      <c r="C2821" s="7" t="s">
        <v>6036</v>
      </c>
      <c r="D2821" s="7" t="s">
        <v>6035</v>
      </c>
      <c r="E2821" s="7" t="s">
        <v>26</v>
      </c>
      <c r="F2821" s="7" t="s">
        <v>6033</v>
      </c>
      <c r="G2821" s="7" t="n">
        <v>2012</v>
      </c>
      <c r="H2821" s="7" t="s">
        <v>48</v>
      </c>
      <c r="I2821" s="7" t="s">
        <v>628</v>
      </c>
      <c r="J2821" s="7" t="s">
        <v>45</v>
      </c>
      <c r="K2821" s="7" t="n">
        <f aca="false">IFERROR(VALUE(RIGHT(TRIM(F2821),4)),"")</f>
        <v>2018</v>
      </c>
      <c r="L2821" s="7" t="str">
        <f aca="false">IF(TRIM(E2821)="","Unknown",IFERROR(LEFT(TRIM(E2821),FIND(",",TRIM(E2821))-1),TRIM(E2821)))</f>
        <v>United States</v>
      </c>
      <c r="M2821" s="7" t="str">
        <f aca="false">IFERROR(LEFT(J2821,FIND(",",J2821)-1),J2821)</f>
        <v>Stand-Up Comedy</v>
      </c>
      <c r="N2821" s="7" t="n">
        <f aca="false">IF(B2821="Movie",IFERROR(VALUE(LEFT(I2821,FIND(" ",I2821)-1)),""),"")</f>
        <v>69</v>
      </c>
      <c r="O2821" s="7" t="str">
        <f aca="false">IF(B2821="TV Show",IFERROR(VALUE(LEFT(I2821,FIND(" ",I2821)-1)),""),"")</f>
        <v/>
      </c>
      <c r="P2821" s="7" t="n">
        <f aca="false">IF(K2821="","",K2821-G2821)</f>
        <v>6</v>
      </c>
    </row>
    <row r="2822" customFormat="false" ht="15" hidden="false" customHeight="false" outlineLevel="0" collapsed="false">
      <c r="A2822" s="7" t="n">
        <v>70250364</v>
      </c>
      <c r="B2822" s="7" t="s">
        <v>68</v>
      </c>
      <c r="C2822" s="7" t="s">
        <v>6037</v>
      </c>
      <c r="D2822" s="7" t="s">
        <v>2518</v>
      </c>
      <c r="E2822" s="7" t="s">
        <v>26</v>
      </c>
      <c r="F2822" s="7" t="s">
        <v>6033</v>
      </c>
      <c r="G2822" s="7" t="n">
        <v>2012</v>
      </c>
      <c r="H2822" s="7" t="s">
        <v>53</v>
      </c>
      <c r="I2822" s="7" t="s">
        <v>123</v>
      </c>
      <c r="J2822" s="7" t="s">
        <v>45</v>
      </c>
      <c r="K2822" s="7" t="n">
        <f aca="false">IFERROR(VALUE(RIGHT(TRIM(F2822),4)),"")</f>
        <v>2018</v>
      </c>
      <c r="L2822" s="7" t="str">
        <f aca="false">IF(TRIM(E2822)="","Unknown",IFERROR(LEFT(TRIM(E2822),FIND(",",TRIM(E2822))-1),TRIM(E2822)))</f>
        <v>United States</v>
      </c>
      <c r="M2822" s="7" t="str">
        <f aca="false">IFERROR(LEFT(J2822,FIND(",",J2822)-1),J2822)</f>
        <v>Stand-Up Comedy</v>
      </c>
      <c r="N2822" s="7" t="n">
        <f aca="false">IF(B2822="Movie",IFERROR(VALUE(LEFT(I2822,FIND(" ",I2822)-1)),""),"")</f>
        <v>61</v>
      </c>
      <c r="O2822" s="7" t="str">
        <f aca="false">IF(B2822="TV Show",IFERROR(VALUE(LEFT(I2822,FIND(" ",I2822)-1)),""),"")</f>
        <v/>
      </c>
      <c r="P2822" s="7" t="n">
        <f aca="false">IF(K2822="","",K2822-G2822)</f>
        <v>6</v>
      </c>
    </row>
    <row r="2823" customFormat="false" ht="15" hidden="false" customHeight="false" outlineLevel="0" collapsed="false">
      <c r="A2823" s="7" t="n">
        <v>80198632</v>
      </c>
      <c r="B2823" s="7" t="s">
        <v>68</v>
      </c>
      <c r="C2823" s="7" t="s">
        <v>6038</v>
      </c>
      <c r="D2823" s="7" t="s">
        <v>6039</v>
      </c>
      <c r="E2823" s="7" t="s">
        <v>6040</v>
      </c>
      <c r="F2823" s="7" t="s">
        <v>6041</v>
      </c>
      <c r="G2823" s="7" t="n">
        <v>2019</v>
      </c>
      <c r="H2823" s="7" t="s">
        <v>48</v>
      </c>
      <c r="I2823" s="7" t="s">
        <v>294</v>
      </c>
      <c r="J2823" s="7" t="s">
        <v>370</v>
      </c>
      <c r="K2823" s="7" t="n">
        <f aca="false">IFERROR(VALUE(RIGHT(TRIM(F2823),4)),"")</f>
        <v>2019</v>
      </c>
      <c r="L2823" s="7" t="str">
        <f aca="false">IF(TRIM(E2823)="","Unknown",IFERROR(LEFT(TRIM(E2823),FIND(",",TRIM(E2823))-1),TRIM(E2823)))</f>
        <v>United Kingdom</v>
      </c>
      <c r="M2823" s="7" t="str">
        <f aca="false">IFERROR(LEFT(J2823,FIND(",",J2823)-1),J2823)</f>
        <v>Action &amp; Adventure</v>
      </c>
      <c r="N2823" s="7" t="n">
        <f aca="false">IF(B2823="Movie",IFERROR(VALUE(LEFT(I2823,FIND(" ",I2823)-1)),""),"")</f>
        <v>107</v>
      </c>
      <c r="O2823" s="7" t="str">
        <f aca="false">IF(B2823="TV Show",IFERROR(VALUE(LEFT(I2823,FIND(" ",I2823)-1)),""),"")</f>
        <v/>
      </c>
      <c r="P2823" s="7" t="n">
        <f aca="false">IF(K2823="","",K2823-G2823)</f>
        <v>0</v>
      </c>
    </row>
    <row r="2824" customFormat="false" ht="15" hidden="false" customHeight="false" outlineLevel="0" collapsed="false">
      <c r="A2824" s="7" t="n">
        <v>70143241</v>
      </c>
      <c r="B2824" s="7" t="s">
        <v>68</v>
      </c>
      <c r="C2824" s="7" t="s">
        <v>6042</v>
      </c>
      <c r="D2824" s="7" t="s">
        <v>6043</v>
      </c>
      <c r="F2824" s="7" t="s">
        <v>6041</v>
      </c>
      <c r="G2824" s="7" t="n">
        <v>2013</v>
      </c>
      <c r="H2824" s="7" t="s">
        <v>54</v>
      </c>
      <c r="I2824" s="7" t="s">
        <v>87</v>
      </c>
      <c r="J2824" s="7" t="s">
        <v>74</v>
      </c>
      <c r="K2824" s="7" t="n">
        <f aca="false">IFERROR(VALUE(RIGHT(TRIM(F2824),4)),"")</f>
        <v>2019</v>
      </c>
      <c r="L2824" s="7" t="str">
        <f aca="false">IF(TRIM(E2824)="","Unknown",IFERROR(LEFT(TRIM(E2824),FIND(",",TRIM(E2824))-1),TRIM(E2824)))</f>
        <v>Unknown</v>
      </c>
      <c r="M2824" s="7" t="str">
        <f aca="false">IFERROR(LEFT(J2824,FIND(",",J2824)-1),J2824)</f>
        <v>Children &amp; Family Movies</v>
      </c>
      <c r="N2824" s="7" t="n">
        <f aca="false">IF(B2824="Movie",IFERROR(VALUE(LEFT(I2824,FIND(" ",I2824)-1)),""),"")</f>
        <v>99</v>
      </c>
      <c r="O2824" s="7" t="str">
        <f aca="false">IF(B2824="TV Show",IFERROR(VALUE(LEFT(I2824,FIND(" ",I2824)-1)),""),"")</f>
        <v/>
      </c>
      <c r="P2824" s="7" t="n">
        <f aca="false">IF(K2824="","",K2824-G2824)</f>
        <v>6</v>
      </c>
    </row>
    <row r="2825" customFormat="false" ht="15" hidden="false" customHeight="false" outlineLevel="0" collapsed="false">
      <c r="A2825" s="7" t="n">
        <v>80210294</v>
      </c>
      <c r="B2825" s="7" t="s">
        <v>78</v>
      </c>
      <c r="C2825" s="7" t="s">
        <v>6044</v>
      </c>
      <c r="E2825" s="7" t="s">
        <v>26</v>
      </c>
      <c r="F2825" s="7" t="s">
        <v>6041</v>
      </c>
      <c r="G2825" s="7" t="n">
        <v>2019</v>
      </c>
      <c r="H2825" s="7" t="s">
        <v>55</v>
      </c>
      <c r="I2825" s="7" t="s">
        <v>82</v>
      </c>
      <c r="J2825" s="7" t="s">
        <v>44</v>
      </c>
      <c r="K2825" s="7" t="n">
        <f aca="false">IFERROR(VALUE(RIGHT(TRIM(F2825),4)),"")</f>
        <v>2019</v>
      </c>
      <c r="L2825" s="7" t="str">
        <f aca="false">IF(TRIM(E2825)="","Unknown",IFERROR(LEFT(TRIM(E2825),FIND(",",TRIM(E2825))-1),TRIM(E2825)))</f>
        <v>United States</v>
      </c>
      <c r="M2825" s="7" t="str">
        <f aca="false">IFERROR(LEFT(J2825,FIND(",",J2825)-1),J2825)</f>
        <v>Kids' TV</v>
      </c>
      <c r="N2825" s="7" t="str">
        <f aca="false">IF(B2825="Movie",IFERROR(VALUE(LEFT(I2825,FIND(" ",I2825)-1)),""),"")</f>
        <v/>
      </c>
      <c r="O2825" s="7" t="n">
        <f aca="false">IF(B2825="TV Show",IFERROR(VALUE(LEFT(I2825,FIND(" ",I2825)-1)),""),"")</f>
        <v>1</v>
      </c>
      <c r="P2825" s="7" t="n">
        <f aca="false">IF(K2825="","",K2825-G2825)</f>
        <v>0</v>
      </c>
    </row>
    <row r="2826" customFormat="false" ht="15" hidden="false" customHeight="false" outlineLevel="0" collapsed="false">
      <c r="A2826" s="7" t="n">
        <v>70278933</v>
      </c>
      <c r="B2826" s="7" t="s">
        <v>68</v>
      </c>
      <c r="C2826" s="7" t="s">
        <v>6045</v>
      </c>
      <c r="D2826" s="7" t="s">
        <v>5928</v>
      </c>
      <c r="E2826" s="7" t="s">
        <v>26</v>
      </c>
      <c r="F2826" s="7" t="s">
        <v>6046</v>
      </c>
      <c r="G2826" s="7" t="n">
        <v>2013</v>
      </c>
      <c r="H2826" s="7" t="s">
        <v>51</v>
      </c>
      <c r="I2826" s="7" t="s">
        <v>235</v>
      </c>
      <c r="J2826" s="7" t="s">
        <v>946</v>
      </c>
      <c r="K2826" s="7" t="n">
        <f aca="false">IFERROR(VALUE(RIGHT(TRIM(F2826),4)),"")</f>
        <v>2018</v>
      </c>
      <c r="L2826" s="7" t="str">
        <f aca="false">IF(TRIM(E2826)="","Unknown",IFERROR(LEFT(TRIM(E2826),FIND(",",TRIM(E2826))-1),TRIM(E2826)))</f>
        <v>United States</v>
      </c>
      <c r="M2826" s="7" t="str">
        <f aca="false">IFERROR(LEFT(J2826,FIND(",",J2826)-1),J2826)</f>
        <v>Dramas</v>
      </c>
      <c r="N2826" s="7" t="n">
        <f aca="false">IF(B2826="Movie",IFERROR(VALUE(LEFT(I2826,FIND(" ",I2826)-1)),""),"")</f>
        <v>126</v>
      </c>
      <c r="O2826" s="7" t="str">
        <f aca="false">IF(B2826="TV Show",IFERROR(VALUE(LEFT(I2826,FIND(" ",I2826)-1)),""),"")</f>
        <v/>
      </c>
      <c r="P2826" s="7" t="n">
        <f aca="false">IF(K2826="","",K2826-G2826)</f>
        <v>5</v>
      </c>
    </row>
    <row r="2827" customFormat="false" ht="15" hidden="false" customHeight="false" outlineLevel="0" collapsed="false">
      <c r="A2827" s="7" t="n">
        <v>80093198</v>
      </c>
      <c r="B2827" s="7" t="s">
        <v>68</v>
      </c>
      <c r="C2827" s="7" t="s">
        <v>6047</v>
      </c>
      <c r="D2827" s="7" t="s">
        <v>6048</v>
      </c>
      <c r="E2827" s="7" t="s">
        <v>26</v>
      </c>
      <c r="F2827" s="7" t="s">
        <v>6049</v>
      </c>
      <c r="G2827" s="7" t="n">
        <v>2016</v>
      </c>
      <c r="H2827" s="7" t="s">
        <v>48</v>
      </c>
      <c r="I2827" s="7" t="s">
        <v>168</v>
      </c>
      <c r="J2827" s="7" t="s">
        <v>150</v>
      </c>
      <c r="K2827" s="7" t="n">
        <f aca="false">IFERROR(VALUE(RIGHT(TRIM(F2827),4)),"")</f>
        <v>2016</v>
      </c>
      <c r="L2827" s="7" t="str">
        <f aca="false">IF(TRIM(E2827)="","Unknown",IFERROR(LEFT(TRIM(E2827),FIND(",",TRIM(E2827))-1),TRIM(E2827)))</f>
        <v>United States</v>
      </c>
      <c r="M2827" s="7" t="str">
        <f aca="false">IFERROR(LEFT(J2827,FIND(",",J2827)-1),J2827)</f>
        <v>Dramas</v>
      </c>
      <c r="N2827" s="7" t="n">
        <f aca="false">IF(B2827="Movie",IFERROR(VALUE(LEFT(I2827,FIND(" ",I2827)-1)),""),"")</f>
        <v>112</v>
      </c>
      <c r="O2827" s="7" t="str">
        <f aca="false">IF(B2827="TV Show",IFERROR(VALUE(LEFT(I2827,FIND(" ",I2827)-1)),""),"")</f>
        <v/>
      </c>
      <c r="P2827" s="7" t="n">
        <f aca="false">IF(K2827="","",K2827-G2827)</f>
        <v>0</v>
      </c>
    </row>
    <row r="2828" customFormat="false" ht="15" hidden="false" customHeight="false" outlineLevel="0" collapsed="false">
      <c r="A2828" s="7" t="n">
        <v>81018141</v>
      </c>
      <c r="B2828" s="7" t="s">
        <v>68</v>
      </c>
      <c r="C2828" s="7" t="s">
        <v>6050</v>
      </c>
      <c r="D2828" s="7" t="s">
        <v>6051</v>
      </c>
      <c r="E2828" s="7" t="s">
        <v>35</v>
      </c>
      <c r="F2828" s="7" t="s">
        <v>6052</v>
      </c>
      <c r="G2828" s="7" t="n">
        <v>2005</v>
      </c>
      <c r="H2828" s="7" t="s">
        <v>49</v>
      </c>
      <c r="I2828" s="7" t="s">
        <v>437</v>
      </c>
      <c r="J2828" s="7" t="s">
        <v>10</v>
      </c>
      <c r="K2828" s="7" t="n">
        <f aca="false">IFERROR(VALUE(RIGHT(TRIM(F2828),4)),"")</f>
        <v>2018</v>
      </c>
      <c r="L2828" s="7" t="str">
        <f aca="false">IF(TRIM(E2828)="","Unknown",IFERROR(LEFT(TRIM(E2828),FIND(",",TRIM(E2828))-1),TRIM(E2828)))</f>
        <v>Australia</v>
      </c>
      <c r="M2828" s="7" t="str">
        <f aca="false">IFERROR(LEFT(J2828,FIND(",",J2828)-1),J2828)</f>
        <v>Movies</v>
      </c>
      <c r="N2828" s="7" t="n">
        <f aca="false">IF(B2828="Movie",IFERROR(VALUE(LEFT(I2828,FIND(" ",I2828)-1)),""),"")</f>
        <v>82</v>
      </c>
      <c r="O2828" s="7" t="str">
        <f aca="false">IF(B2828="TV Show",IFERROR(VALUE(LEFT(I2828,FIND(" ",I2828)-1)),""),"")</f>
        <v/>
      </c>
      <c r="P2828" s="7" t="n">
        <f aca="false">IF(K2828="","",K2828-G2828)</f>
        <v>13</v>
      </c>
    </row>
    <row r="2829" customFormat="false" ht="15" hidden="false" customHeight="false" outlineLevel="0" collapsed="false">
      <c r="A2829" s="7" t="n">
        <v>81015524</v>
      </c>
      <c r="B2829" s="7" t="s">
        <v>68</v>
      </c>
      <c r="C2829" s="7" t="s">
        <v>6053</v>
      </c>
      <c r="D2829" s="7" t="s">
        <v>6051</v>
      </c>
      <c r="E2829" s="7" t="s">
        <v>35</v>
      </c>
      <c r="F2829" s="7" t="s">
        <v>6052</v>
      </c>
      <c r="G2829" s="7" t="n">
        <v>2012</v>
      </c>
      <c r="H2829" s="7" t="s">
        <v>49</v>
      </c>
      <c r="I2829" s="7" t="s">
        <v>212</v>
      </c>
      <c r="J2829" s="7" t="s">
        <v>38</v>
      </c>
      <c r="K2829" s="7" t="n">
        <f aca="false">IFERROR(VALUE(RIGHT(TRIM(F2829),4)),"")</f>
        <v>2018</v>
      </c>
      <c r="L2829" s="7" t="str">
        <f aca="false">IF(TRIM(E2829)="","Unknown",IFERROR(LEFT(TRIM(E2829),FIND(",",TRIM(E2829))-1),TRIM(E2829)))</f>
        <v>Australia</v>
      </c>
      <c r="M2829" s="7" t="str">
        <f aca="false">IFERROR(LEFT(J2829,FIND(",",J2829)-1),J2829)</f>
        <v>Comedies</v>
      </c>
      <c r="N2829" s="7" t="n">
        <f aca="false">IF(B2829="Movie",IFERROR(VALUE(LEFT(I2829,FIND(" ",I2829)-1)),""),"")</f>
        <v>86</v>
      </c>
      <c r="O2829" s="7" t="str">
        <f aca="false">IF(B2829="TV Show",IFERROR(VALUE(LEFT(I2829,FIND(" ",I2829)-1)),""),"")</f>
        <v/>
      </c>
      <c r="P2829" s="7" t="n">
        <f aca="false">IF(K2829="","",K2829-G2829)</f>
        <v>6</v>
      </c>
    </row>
    <row r="2830" customFormat="false" ht="15" hidden="false" customHeight="false" outlineLevel="0" collapsed="false">
      <c r="A2830" s="7" t="n">
        <v>70124965</v>
      </c>
      <c r="B2830" s="7" t="s">
        <v>68</v>
      </c>
      <c r="C2830" s="7" t="s">
        <v>6054</v>
      </c>
      <c r="D2830" s="7" t="s">
        <v>6055</v>
      </c>
      <c r="E2830" s="7" t="s">
        <v>26</v>
      </c>
      <c r="F2830" s="7" t="s">
        <v>6052</v>
      </c>
      <c r="G2830" s="7" t="n">
        <v>2010</v>
      </c>
      <c r="H2830" s="7" t="s">
        <v>51</v>
      </c>
      <c r="I2830" s="7" t="s">
        <v>820</v>
      </c>
      <c r="J2830" s="7" t="s">
        <v>150</v>
      </c>
      <c r="K2830" s="7" t="n">
        <f aca="false">IFERROR(VALUE(RIGHT(TRIM(F2830),4)),"")</f>
        <v>2018</v>
      </c>
      <c r="L2830" s="7" t="str">
        <f aca="false">IF(TRIM(E2830)="","Unknown",IFERROR(LEFT(TRIM(E2830),FIND(",",TRIM(E2830))-1),TRIM(E2830)))</f>
        <v>United States</v>
      </c>
      <c r="M2830" s="7" t="str">
        <f aca="false">IFERROR(LEFT(J2830,FIND(",",J2830)-1),J2830)</f>
        <v>Dramas</v>
      </c>
      <c r="N2830" s="7" t="n">
        <f aca="false">IF(B2830="Movie",IFERROR(VALUE(LEFT(I2830,FIND(" ",I2830)-1)),""),"")</f>
        <v>105</v>
      </c>
      <c r="O2830" s="7" t="str">
        <f aca="false">IF(B2830="TV Show",IFERROR(VALUE(LEFT(I2830,FIND(" ",I2830)-1)),""),"")</f>
        <v/>
      </c>
      <c r="P2830" s="7" t="n">
        <f aca="false">IF(K2830="","",K2830-G2830)</f>
        <v>8</v>
      </c>
    </row>
    <row r="2831" customFormat="false" ht="15" hidden="false" customHeight="false" outlineLevel="0" collapsed="false">
      <c r="A2831" s="7" t="n">
        <v>80999107</v>
      </c>
      <c r="B2831" s="7" t="s">
        <v>68</v>
      </c>
      <c r="C2831" s="7" t="s">
        <v>6056</v>
      </c>
      <c r="D2831" s="7" t="s">
        <v>6057</v>
      </c>
      <c r="E2831" s="7" t="s">
        <v>411</v>
      </c>
      <c r="F2831" s="7" t="s">
        <v>6052</v>
      </c>
      <c r="G2831" s="7" t="n">
        <v>1975</v>
      </c>
      <c r="H2831" s="7" t="s">
        <v>48</v>
      </c>
      <c r="I2831" s="7" t="s">
        <v>512</v>
      </c>
      <c r="J2831" s="7" t="s">
        <v>112</v>
      </c>
      <c r="K2831" s="7" t="n">
        <f aca="false">IFERROR(VALUE(RIGHT(TRIM(F2831),4)),"")</f>
        <v>2018</v>
      </c>
      <c r="L2831" s="7" t="str">
        <f aca="false">IF(TRIM(E2831)="","Unknown",IFERROR(LEFT(TRIM(E2831),FIND(",",TRIM(E2831))-1),TRIM(E2831)))</f>
        <v>Hong Kong</v>
      </c>
      <c r="M2831" s="7" t="str">
        <f aca="false">IFERROR(LEFT(J2831,FIND(",",J2831)-1),J2831)</f>
        <v>Action &amp; Adventure</v>
      </c>
      <c r="N2831" s="7" t="n">
        <f aca="false">IF(B2831="Movie",IFERROR(VALUE(LEFT(I2831,FIND(" ",I2831)-1)),""),"")</f>
        <v>101</v>
      </c>
      <c r="O2831" s="7" t="str">
        <f aca="false">IF(B2831="TV Show",IFERROR(VALUE(LEFT(I2831,FIND(" ",I2831)-1)),""),"")</f>
        <v/>
      </c>
      <c r="P2831" s="7" t="n">
        <f aca="false">IF(K2831="","",K2831-G2831)</f>
        <v>43</v>
      </c>
    </row>
    <row r="2832" customFormat="false" ht="15" hidden="false" customHeight="false" outlineLevel="0" collapsed="false">
      <c r="A2832" s="7" t="n">
        <v>80992365</v>
      </c>
      <c r="B2832" s="7" t="s">
        <v>68</v>
      </c>
      <c r="C2832" s="7" t="s">
        <v>6058</v>
      </c>
      <c r="D2832" s="7" t="s">
        <v>6059</v>
      </c>
      <c r="E2832" s="7" t="s">
        <v>129</v>
      </c>
      <c r="F2832" s="7" t="s">
        <v>6052</v>
      </c>
      <c r="G2832" s="7" t="n">
        <v>2017</v>
      </c>
      <c r="H2832" s="7" t="s">
        <v>48</v>
      </c>
      <c r="I2832" s="7" t="s">
        <v>205</v>
      </c>
      <c r="J2832" s="7" t="s">
        <v>486</v>
      </c>
      <c r="K2832" s="7" t="n">
        <f aca="false">IFERROR(VALUE(RIGHT(TRIM(F2832),4)),"")</f>
        <v>2018</v>
      </c>
      <c r="L2832" s="7" t="str">
        <f aca="false">IF(TRIM(E2832)="","Unknown",IFERROR(LEFT(TRIM(E2832),FIND(",",TRIM(E2832))-1),TRIM(E2832)))</f>
        <v>France</v>
      </c>
      <c r="M2832" s="7" t="str">
        <f aca="false">IFERROR(LEFT(J2832,FIND(",",J2832)-1),J2832)</f>
        <v>Comedies</v>
      </c>
      <c r="N2832" s="7" t="n">
        <f aca="false">IF(B2832="Movie",IFERROR(VALUE(LEFT(I2832,FIND(" ",I2832)-1)),""),"")</f>
        <v>100</v>
      </c>
      <c r="O2832" s="7" t="str">
        <f aca="false">IF(B2832="TV Show",IFERROR(VALUE(LEFT(I2832,FIND(" ",I2832)-1)),""),"")</f>
        <v/>
      </c>
      <c r="P2832" s="7" t="n">
        <f aca="false">IF(K2832="","",K2832-G2832)</f>
        <v>1</v>
      </c>
    </row>
    <row r="2833" customFormat="false" ht="15" hidden="false" customHeight="false" outlineLevel="0" collapsed="false">
      <c r="A2833" s="7" t="n">
        <v>80092926</v>
      </c>
      <c r="B2833" s="7" t="s">
        <v>78</v>
      </c>
      <c r="C2833" s="7" t="s">
        <v>6060</v>
      </c>
      <c r="D2833" s="7" t="s">
        <v>6061</v>
      </c>
      <c r="E2833" s="7" t="s">
        <v>26</v>
      </c>
      <c r="F2833" s="7" t="s">
        <v>6062</v>
      </c>
      <c r="G2833" s="7" t="n">
        <v>2017</v>
      </c>
      <c r="H2833" s="7" t="s">
        <v>50</v>
      </c>
      <c r="I2833" s="7" t="s">
        <v>82</v>
      </c>
      <c r="J2833" s="7" t="s">
        <v>164</v>
      </c>
      <c r="K2833" s="7" t="n">
        <f aca="false">IFERROR(VALUE(RIGHT(TRIM(F2833),4)),"")</f>
        <v>2017</v>
      </c>
      <c r="L2833" s="7" t="str">
        <f aca="false">IF(TRIM(E2833)="","Unknown",IFERROR(LEFT(TRIM(E2833),FIND(",",TRIM(E2833))-1),TRIM(E2833)))</f>
        <v>United States</v>
      </c>
      <c r="M2833" s="7" t="str">
        <f aca="false">IFERROR(LEFT(J2833,FIND(",",J2833)-1),J2833)</f>
        <v>Docuseries</v>
      </c>
      <c r="N2833" s="7" t="str">
        <f aca="false">IF(B2833="Movie",IFERROR(VALUE(LEFT(I2833,FIND(" ",I2833)-1)),""),"")</f>
        <v/>
      </c>
      <c r="O2833" s="7" t="n">
        <f aca="false">IF(B2833="TV Show",IFERROR(VALUE(LEFT(I2833,FIND(" ",I2833)-1)),""),"")</f>
        <v>1</v>
      </c>
      <c r="P2833" s="7" t="n">
        <f aca="false">IF(K2833="","",K2833-G2833)</f>
        <v>0</v>
      </c>
    </row>
    <row r="2834" customFormat="false" ht="15" hidden="false" customHeight="false" outlineLevel="0" collapsed="false">
      <c r="A2834" s="7" t="n">
        <v>80195835</v>
      </c>
      <c r="B2834" s="7" t="s">
        <v>68</v>
      </c>
      <c r="C2834" s="7" t="s">
        <v>6063</v>
      </c>
      <c r="D2834" s="7" t="s">
        <v>6064</v>
      </c>
      <c r="E2834" s="7" t="s">
        <v>28</v>
      </c>
      <c r="F2834" s="7" t="s">
        <v>6062</v>
      </c>
      <c r="G2834" s="7" t="n">
        <v>2017</v>
      </c>
      <c r="H2834" s="7" t="s">
        <v>50</v>
      </c>
      <c r="I2834" s="7" t="s">
        <v>272</v>
      </c>
      <c r="J2834" s="7" t="s">
        <v>39</v>
      </c>
      <c r="K2834" s="7" t="n">
        <f aca="false">IFERROR(VALUE(RIGHT(TRIM(F2834),4)),"")</f>
        <v>2017</v>
      </c>
      <c r="L2834" s="7" t="str">
        <f aca="false">IF(TRIM(E2834)="","Unknown",IFERROR(LEFT(TRIM(E2834),FIND(",",TRIM(E2834))-1),TRIM(E2834)))</f>
        <v>United Kingdom</v>
      </c>
      <c r="M2834" s="7" t="str">
        <f aca="false">IFERROR(LEFT(J2834,FIND(",",J2834)-1),J2834)</f>
        <v>Documentaries</v>
      </c>
      <c r="N2834" s="7" t="n">
        <f aca="false">IF(B2834="Movie",IFERROR(VALUE(LEFT(I2834,FIND(" ",I2834)-1)),""),"")</f>
        <v>93</v>
      </c>
      <c r="O2834" s="7" t="str">
        <f aca="false">IF(B2834="TV Show",IFERROR(VALUE(LEFT(I2834,FIND(" ",I2834)-1)),""),"")</f>
        <v/>
      </c>
      <c r="P2834" s="7" t="n">
        <f aca="false">IF(K2834="","",K2834-G2834)</f>
        <v>0</v>
      </c>
    </row>
    <row r="2835" customFormat="false" ht="15" hidden="false" customHeight="false" outlineLevel="0" collapsed="false">
      <c r="A2835" s="7" t="n">
        <v>80171022</v>
      </c>
      <c r="B2835" s="7" t="s">
        <v>68</v>
      </c>
      <c r="C2835" s="7" t="s">
        <v>6065</v>
      </c>
      <c r="D2835" s="7" t="s">
        <v>6066</v>
      </c>
      <c r="E2835" s="7" t="s">
        <v>26</v>
      </c>
      <c r="F2835" s="7" t="s">
        <v>6062</v>
      </c>
      <c r="G2835" s="7" t="n">
        <v>2017</v>
      </c>
      <c r="H2835" s="7" t="s">
        <v>48</v>
      </c>
      <c r="I2835" s="7" t="s">
        <v>613</v>
      </c>
      <c r="J2835" s="7" t="s">
        <v>135</v>
      </c>
      <c r="K2835" s="7" t="n">
        <f aca="false">IFERROR(VALUE(RIGHT(TRIM(F2835),4)),"")</f>
        <v>2017</v>
      </c>
      <c r="L2835" s="7" t="str">
        <f aca="false">IF(TRIM(E2835)="","Unknown",IFERROR(LEFT(TRIM(E2835),FIND(",",TRIM(E2835))-1),TRIM(E2835)))</f>
        <v>United States</v>
      </c>
      <c r="M2835" s="7" t="str">
        <f aca="false">IFERROR(LEFT(J2835,FIND(",",J2835)-1),J2835)</f>
        <v>Comedies</v>
      </c>
      <c r="N2835" s="7" t="n">
        <f aca="false">IF(B2835="Movie",IFERROR(VALUE(LEFT(I2835,FIND(" ",I2835)-1)),""),"")</f>
        <v>84</v>
      </c>
      <c r="O2835" s="7" t="str">
        <f aca="false">IF(B2835="TV Show",IFERROR(VALUE(LEFT(I2835,FIND(" ",I2835)-1)),""),"")</f>
        <v/>
      </c>
      <c r="P2835" s="7" t="n">
        <f aca="false">IF(K2835="","",K2835-G2835)</f>
        <v>0</v>
      </c>
    </row>
    <row r="2836" customFormat="false" ht="15" hidden="false" customHeight="false" outlineLevel="0" collapsed="false">
      <c r="A2836" s="7" t="n">
        <v>80192135</v>
      </c>
      <c r="B2836" s="7" t="s">
        <v>68</v>
      </c>
      <c r="C2836" s="7" t="s">
        <v>6067</v>
      </c>
      <c r="D2836" s="7" t="s">
        <v>3118</v>
      </c>
      <c r="E2836" s="7" t="s">
        <v>34</v>
      </c>
      <c r="F2836" s="7" t="s">
        <v>6068</v>
      </c>
      <c r="G2836" s="7" t="n">
        <v>2018</v>
      </c>
      <c r="H2836" s="7" t="s">
        <v>48</v>
      </c>
      <c r="I2836" s="7" t="s">
        <v>1164</v>
      </c>
      <c r="J2836" s="7" t="s">
        <v>45</v>
      </c>
      <c r="K2836" s="7" t="n">
        <f aca="false">IFERROR(VALUE(RIGHT(TRIM(F2836),4)),"")</f>
        <v>2018</v>
      </c>
      <c r="L2836" s="7" t="str">
        <f aca="false">IF(TRIM(E2836)="","Unknown",IFERROR(LEFT(TRIM(E2836),FIND(",",TRIM(E2836))-1),TRIM(E2836)))</f>
        <v>Mexico</v>
      </c>
      <c r="M2836" s="7" t="str">
        <f aca="false">IFERROR(LEFT(J2836,FIND(",",J2836)-1),J2836)</f>
        <v>Stand-Up Comedy</v>
      </c>
      <c r="N2836" s="7" t="n">
        <f aca="false">IF(B2836="Movie",IFERROR(VALUE(LEFT(I2836,FIND(" ",I2836)-1)),""),"")</f>
        <v>57</v>
      </c>
      <c r="O2836" s="7" t="str">
        <f aca="false">IF(B2836="TV Show",IFERROR(VALUE(LEFT(I2836,FIND(" ",I2836)-1)),""),"")</f>
        <v/>
      </c>
      <c r="P2836" s="7" t="n">
        <f aca="false">IF(K2836="","",K2836-G2836)</f>
        <v>0</v>
      </c>
    </row>
    <row r="2837" customFormat="false" ht="15" hidden="false" customHeight="false" outlineLevel="0" collapsed="false">
      <c r="A2837" s="7" t="n">
        <v>80236421</v>
      </c>
      <c r="B2837" s="7" t="s">
        <v>68</v>
      </c>
      <c r="C2837" s="7" t="s">
        <v>6069</v>
      </c>
      <c r="D2837" s="7" t="s">
        <v>6070</v>
      </c>
      <c r="E2837" s="7" t="s">
        <v>26</v>
      </c>
      <c r="F2837" s="7" t="s">
        <v>6068</v>
      </c>
      <c r="G2837" s="7" t="n">
        <v>2018</v>
      </c>
      <c r="H2837" s="7" t="s">
        <v>48</v>
      </c>
      <c r="I2837" s="7" t="s">
        <v>111</v>
      </c>
      <c r="J2837" s="7" t="s">
        <v>2243</v>
      </c>
      <c r="K2837" s="7" t="n">
        <f aca="false">IFERROR(VALUE(RIGHT(TRIM(F2837),4)),"")</f>
        <v>2018</v>
      </c>
      <c r="L2837" s="7" t="str">
        <f aca="false">IF(TRIM(E2837)="","Unknown",IFERROR(LEFT(TRIM(E2837),FIND(",",TRIM(E2837))-1),TRIM(E2837)))</f>
        <v>United States</v>
      </c>
      <c r="M2837" s="7" t="str">
        <f aca="false">IFERROR(LEFT(J2837,FIND(",",J2837)-1),J2837)</f>
        <v>Action &amp; Adventure</v>
      </c>
      <c r="N2837" s="7" t="n">
        <f aca="false">IF(B2837="Movie",IFERROR(VALUE(LEFT(I2837,FIND(" ",I2837)-1)),""),"")</f>
        <v>95</v>
      </c>
      <c r="O2837" s="7" t="str">
        <f aca="false">IF(B2837="TV Show",IFERROR(VALUE(LEFT(I2837,FIND(" ",I2837)-1)),""),"")</f>
        <v/>
      </c>
      <c r="P2837" s="7" t="n">
        <f aca="false">IF(K2837="","",K2837-G2837)</f>
        <v>0</v>
      </c>
    </row>
    <row r="2838" customFormat="false" ht="15" hidden="false" customHeight="false" outlineLevel="0" collapsed="false">
      <c r="A2838" s="7" t="n">
        <v>80242950</v>
      </c>
      <c r="B2838" s="7" t="s">
        <v>78</v>
      </c>
      <c r="C2838" s="7" t="s">
        <v>6071</v>
      </c>
      <c r="E2838" s="7" t="s">
        <v>30</v>
      </c>
      <c r="F2838" s="7" t="s">
        <v>6068</v>
      </c>
      <c r="G2838" s="7" t="n">
        <v>2018</v>
      </c>
      <c r="H2838" s="7" t="s">
        <v>48</v>
      </c>
      <c r="I2838" s="7" t="s">
        <v>82</v>
      </c>
      <c r="J2838" s="7" t="s">
        <v>588</v>
      </c>
      <c r="K2838" s="7" t="n">
        <f aca="false">IFERROR(VALUE(RIGHT(TRIM(F2838),4)),"")</f>
        <v>2018</v>
      </c>
      <c r="L2838" s="7" t="str">
        <f aca="false">IF(TRIM(E2838)="","Unknown",IFERROR(LEFT(TRIM(E2838),FIND(",",TRIM(E2838))-1),TRIM(E2838)))</f>
        <v>Japan</v>
      </c>
      <c r="M2838" s="7" t="str">
        <f aca="false">IFERROR(LEFT(J2838,FIND(",",J2838)-1),J2838)</f>
        <v>Crime TV Shows</v>
      </c>
      <c r="N2838" s="7" t="str">
        <f aca="false">IF(B2838="Movie",IFERROR(VALUE(LEFT(I2838,FIND(" ",I2838)-1)),""),"")</f>
        <v/>
      </c>
      <c r="O2838" s="7" t="n">
        <f aca="false">IF(B2838="TV Show",IFERROR(VALUE(LEFT(I2838,FIND(" ",I2838)-1)),""),"")</f>
        <v>1</v>
      </c>
      <c r="P2838" s="7" t="n">
        <f aca="false">IF(K2838="","",K2838-G2838)</f>
        <v>0</v>
      </c>
    </row>
    <row r="2839" customFormat="false" ht="15" hidden="false" customHeight="false" outlineLevel="0" collapsed="false">
      <c r="A2839" s="7" t="n">
        <v>80170862</v>
      </c>
      <c r="B2839" s="7" t="s">
        <v>68</v>
      </c>
      <c r="C2839" s="7" t="s">
        <v>6072</v>
      </c>
      <c r="D2839" s="7" t="s">
        <v>6073</v>
      </c>
      <c r="E2839" s="7" t="s">
        <v>1182</v>
      </c>
      <c r="F2839" s="7" t="s">
        <v>6068</v>
      </c>
      <c r="G2839" s="7" t="n">
        <v>2018</v>
      </c>
      <c r="H2839" s="7" t="s">
        <v>49</v>
      </c>
      <c r="I2839" s="7" t="s">
        <v>512</v>
      </c>
      <c r="J2839" s="7" t="s">
        <v>39</v>
      </c>
      <c r="K2839" s="7" t="n">
        <f aca="false">IFERROR(VALUE(RIGHT(TRIM(F2839),4)),"")</f>
        <v>2018</v>
      </c>
      <c r="L2839" s="7" t="str">
        <f aca="false">IF(TRIM(E2839)="","Unknown",IFERROR(LEFT(TRIM(E2839),FIND(",",TRIM(E2839))-1),TRIM(E2839)))</f>
        <v>Australia</v>
      </c>
      <c r="M2839" s="7" t="str">
        <f aca="false">IFERROR(LEFT(J2839,FIND(",",J2839)-1),J2839)</f>
        <v>Documentaries</v>
      </c>
      <c r="N2839" s="7" t="n">
        <f aca="false">IF(B2839="Movie",IFERROR(VALUE(LEFT(I2839,FIND(" ",I2839)-1)),""),"")</f>
        <v>101</v>
      </c>
      <c r="O2839" s="7" t="str">
        <f aca="false">IF(B2839="TV Show",IFERROR(VALUE(LEFT(I2839,FIND(" ",I2839)-1)),""),"")</f>
        <v/>
      </c>
      <c r="P2839" s="7" t="n">
        <f aca="false">IF(K2839="","",K2839-G2839)</f>
        <v>0</v>
      </c>
    </row>
    <row r="2840" customFormat="false" ht="15" hidden="false" customHeight="false" outlineLevel="0" collapsed="false">
      <c r="A2840" s="7" t="n">
        <v>80212251</v>
      </c>
      <c r="B2840" s="7" t="s">
        <v>78</v>
      </c>
      <c r="C2840" s="7" t="s">
        <v>6074</v>
      </c>
      <c r="E2840" s="7" t="s">
        <v>33</v>
      </c>
      <c r="F2840" s="7" t="s">
        <v>6068</v>
      </c>
      <c r="G2840" s="7" t="n">
        <v>2018</v>
      </c>
      <c r="H2840" s="7" t="s">
        <v>48</v>
      </c>
      <c r="I2840" s="7" t="s">
        <v>82</v>
      </c>
      <c r="J2840" s="7" t="s">
        <v>335</v>
      </c>
      <c r="K2840" s="7" t="n">
        <f aca="false">IFERROR(VALUE(RIGHT(TRIM(F2840),4)),"")</f>
        <v>2018</v>
      </c>
      <c r="L2840" s="7" t="str">
        <f aca="false">IF(TRIM(E2840)="","Unknown",IFERROR(LEFT(TRIM(E2840),FIND(",",TRIM(E2840))-1),TRIM(E2840)))</f>
        <v>Spain</v>
      </c>
      <c r="M2840" s="7" t="str">
        <f aca="false">IFERROR(LEFT(J2840,FIND(",",J2840)-1),J2840)</f>
        <v>International TV Shows</v>
      </c>
      <c r="N2840" s="7" t="str">
        <f aca="false">IF(B2840="Movie",IFERROR(VALUE(LEFT(I2840,FIND(" ",I2840)-1)),""),"")</f>
        <v/>
      </c>
      <c r="O2840" s="7" t="n">
        <f aca="false">IF(B2840="TV Show",IFERROR(VALUE(LEFT(I2840,FIND(" ",I2840)-1)),""),"")</f>
        <v>1</v>
      </c>
      <c r="P2840" s="7" t="n">
        <f aca="false">IF(K2840="","",K2840-G2840)</f>
        <v>0</v>
      </c>
    </row>
    <row r="2841" customFormat="false" ht="15" hidden="false" customHeight="false" outlineLevel="0" collapsed="false">
      <c r="A2841" s="7" t="n">
        <v>81092331</v>
      </c>
      <c r="B2841" s="7" t="s">
        <v>68</v>
      </c>
      <c r="C2841" s="7" t="s">
        <v>6075</v>
      </c>
      <c r="D2841" s="7" t="s">
        <v>6076</v>
      </c>
      <c r="E2841" s="7" t="s">
        <v>26</v>
      </c>
      <c r="F2841" s="7" t="s">
        <v>6077</v>
      </c>
      <c r="G2841" s="7" t="n">
        <v>2018</v>
      </c>
      <c r="H2841" s="7" t="s">
        <v>48</v>
      </c>
      <c r="I2841" s="7" t="s">
        <v>77</v>
      </c>
      <c r="J2841" s="7" t="s">
        <v>652</v>
      </c>
      <c r="K2841" s="7" t="n">
        <f aca="false">IFERROR(VALUE(RIGHT(TRIM(F2841),4)),"")</f>
        <v>2019</v>
      </c>
      <c r="L2841" s="7" t="str">
        <f aca="false">IF(TRIM(E2841)="","Unknown",IFERROR(LEFT(TRIM(E2841),FIND(",",TRIM(E2841))-1),TRIM(E2841)))</f>
        <v>United States</v>
      </c>
      <c r="M2841" s="7" t="str">
        <f aca="false">IFERROR(LEFT(J2841,FIND(",",J2841)-1),J2841)</f>
        <v>Horror Movies</v>
      </c>
      <c r="N2841" s="7" t="n">
        <f aca="false">IF(B2841="Movie",IFERROR(VALUE(LEFT(I2841,FIND(" ",I2841)-1)),""),"")</f>
        <v>94</v>
      </c>
      <c r="O2841" s="7" t="str">
        <f aca="false">IF(B2841="TV Show",IFERROR(VALUE(LEFT(I2841,FIND(" ",I2841)-1)),""),"")</f>
        <v/>
      </c>
      <c r="P2841" s="7" t="n">
        <f aca="false">IF(K2841="","",K2841-G2841)</f>
        <v>1</v>
      </c>
    </row>
    <row r="2842" customFormat="false" ht="15" hidden="false" customHeight="false" outlineLevel="0" collapsed="false">
      <c r="A2842" s="7" t="n">
        <v>80173485</v>
      </c>
      <c r="B2842" s="7" t="s">
        <v>68</v>
      </c>
      <c r="C2842" s="7" t="s">
        <v>6078</v>
      </c>
      <c r="D2842" s="7" t="s">
        <v>6079</v>
      </c>
      <c r="E2842" s="7" t="s">
        <v>33</v>
      </c>
      <c r="F2842" s="7" t="s">
        <v>6077</v>
      </c>
      <c r="G2842" s="7" t="n">
        <v>2018</v>
      </c>
      <c r="H2842" s="7" t="s">
        <v>48</v>
      </c>
      <c r="I2842" s="7" t="s">
        <v>326</v>
      </c>
      <c r="J2842" s="7" t="s">
        <v>188</v>
      </c>
      <c r="K2842" s="7" t="n">
        <f aca="false">IFERROR(VALUE(RIGHT(TRIM(F2842),4)),"")</f>
        <v>2019</v>
      </c>
      <c r="L2842" s="7" t="str">
        <f aca="false">IF(TRIM(E2842)="","Unknown",IFERROR(LEFT(TRIM(E2842),FIND(",",TRIM(E2842))-1),TRIM(E2842)))</f>
        <v>Spain</v>
      </c>
      <c r="M2842" s="7" t="str">
        <f aca="false">IFERROR(LEFT(J2842,FIND(",",J2842)-1),J2842)</f>
        <v>Dramas</v>
      </c>
      <c r="N2842" s="7" t="n">
        <f aca="false">IF(B2842="Movie",IFERROR(VALUE(LEFT(I2842,FIND(" ",I2842)-1)),""),"")</f>
        <v>111</v>
      </c>
      <c r="O2842" s="7" t="str">
        <f aca="false">IF(B2842="TV Show",IFERROR(VALUE(LEFT(I2842,FIND(" ",I2842)-1)),""),"")</f>
        <v/>
      </c>
      <c r="P2842" s="7" t="n">
        <f aca="false">IF(K2842="","",K2842-G2842)</f>
        <v>1</v>
      </c>
    </row>
    <row r="2843" customFormat="false" ht="15" hidden="false" customHeight="false" outlineLevel="0" collapsed="false">
      <c r="A2843" s="7" t="n">
        <v>81028404</v>
      </c>
      <c r="B2843" s="7" t="s">
        <v>68</v>
      </c>
      <c r="C2843" s="7" t="s">
        <v>6080</v>
      </c>
      <c r="D2843" s="7" t="s">
        <v>4573</v>
      </c>
      <c r="E2843" s="7" t="s">
        <v>6081</v>
      </c>
      <c r="F2843" s="7" t="s">
        <v>6077</v>
      </c>
      <c r="G2843" s="7" t="n">
        <v>2019</v>
      </c>
      <c r="H2843" s="7" t="s">
        <v>49</v>
      </c>
      <c r="I2843" s="7" t="s">
        <v>205</v>
      </c>
      <c r="J2843" s="7" t="s">
        <v>169</v>
      </c>
      <c r="K2843" s="7" t="n">
        <f aca="false">IFERROR(VALUE(RIGHT(TRIM(F2843),4)),"")</f>
        <v>2019</v>
      </c>
      <c r="L2843" s="7" t="str">
        <f aca="false">IF(TRIM(E2843)="","Unknown",IFERROR(LEFT(TRIM(E2843),FIND(",",TRIM(E2843))-1),TRIM(E2843)))</f>
        <v>Philippines</v>
      </c>
      <c r="M2843" s="7" t="str">
        <f aca="false">IFERROR(LEFT(J2843,FIND(",",J2843)-1),J2843)</f>
        <v>Horror Movies</v>
      </c>
      <c r="N2843" s="7" t="n">
        <f aca="false">IF(B2843="Movie",IFERROR(VALUE(LEFT(I2843,FIND(" ",I2843)-1)),""),"")</f>
        <v>100</v>
      </c>
      <c r="O2843" s="7" t="str">
        <f aca="false">IF(B2843="TV Show",IFERROR(VALUE(LEFT(I2843,FIND(" ",I2843)-1)),""),"")</f>
        <v/>
      </c>
      <c r="P2843" s="7" t="n">
        <f aca="false">IF(K2843="","",K2843-G2843)</f>
        <v>0</v>
      </c>
    </row>
    <row r="2844" customFormat="false" ht="15" hidden="false" customHeight="false" outlineLevel="0" collapsed="false">
      <c r="A2844" s="7" t="n">
        <v>81032626</v>
      </c>
      <c r="B2844" s="7" t="s">
        <v>78</v>
      </c>
      <c r="C2844" s="7" t="s">
        <v>6082</v>
      </c>
      <c r="E2844" s="7" t="s">
        <v>28</v>
      </c>
      <c r="F2844" s="7" t="s">
        <v>6077</v>
      </c>
      <c r="G2844" s="7" t="n">
        <v>2015</v>
      </c>
      <c r="H2844" s="7" t="s">
        <v>226</v>
      </c>
      <c r="I2844" s="7" t="s">
        <v>82</v>
      </c>
      <c r="J2844" s="7" t="s">
        <v>668</v>
      </c>
      <c r="K2844" s="7" t="n">
        <f aca="false">IFERROR(VALUE(RIGHT(TRIM(F2844),4)),"")</f>
        <v>2019</v>
      </c>
      <c r="L2844" s="7" t="str">
        <f aca="false">IF(TRIM(E2844)="","Unknown",IFERROR(LEFT(TRIM(E2844),FIND(",",TRIM(E2844))-1),TRIM(E2844)))</f>
        <v>United Kingdom</v>
      </c>
      <c r="M2844" s="7" t="str">
        <f aca="false">IFERROR(LEFT(J2844,FIND(",",J2844)-1),J2844)</f>
        <v>British TV Shows</v>
      </c>
      <c r="N2844" s="7" t="str">
        <f aca="false">IF(B2844="Movie",IFERROR(VALUE(LEFT(I2844,FIND(" ",I2844)-1)),""),"")</f>
        <v/>
      </c>
      <c r="O2844" s="7" t="n">
        <f aca="false">IF(B2844="TV Show",IFERROR(VALUE(LEFT(I2844,FIND(" ",I2844)-1)),""),"")</f>
        <v>1</v>
      </c>
      <c r="P2844" s="7" t="n">
        <f aca="false">IF(K2844="","",K2844-G2844)</f>
        <v>4</v>
      </c>
    </row>
    <row r="2845" customFormat="false" ht="15" hidden="false" customHeight="false" outlineLevel="0" collapsed="false">
      <c r="A2845" s="7" t="n">
        <v>80198508</v>
      </c>
      <c r="B2845" s="7" t="s">
        <v>68</v>
      </c>
      <c r="C2845" s="7" t="s">
        <v>6083</v>
      </c>
      <c r="D2845" s="7" t="s">
        <v>6084</v>
      </c>
      <c r="E2845" s="7" t="s">
        <v>129</v>
      </c>
      <c r="F2845" s="7" t="s">
        <v>6077</v>
      </c>
      <c r="G2845" s="7" t="n">
        <v>2019</v>
      </c>
      <c r="H2845" s="7" t="s">
        <v>48</v>
      </c>
      <c r="I2845" s="7" t="s">
        <v>162</v>
      </c>
      <c r="J2845" s="7" t="s">
        <v>486</v>
      </c>
      <c r="K2845" s="7" t="n">
        <f aca="false">IFERROR(VALUE(RIGHT(TRIM(F2845),4)),"")</f>
        <v>2019</v>
      </c>
      <c r="L2845" s="7" t="str">
        <f aca="false">IF(TRIM(E2845)="","Unknown",IFERROR(LEFT(TRIM(E2845),FIND(",",TRIM(E2845))-1),TRIM(E2845)))</f>
        <v>France</v>
      </c>
      <c r="M2845" s="7" t="str">
        <f aca="false">IFERROR(LEFT(J2845,FIND(",",J2845)-1),J2845)</f>
        <v>Comedies</v>
      </c>
      <c r="N2845" s="7" t="n">
        <f aca="false">IF(B2845="Movie",IFERROR(VALUE(LEFT(I2845,FIND(" ",I2845)-1)),""),"")</f>
        <v>77</v>
      </c>
      <c r="O2845" s="7" t="str">
        <f aca="false">IF(B2845="TV Show",IFERROR(VALUE(LEFT(I2845,FIND(" ",I2845)-1)),""),"")</f>
        <v/>
      </c>
      <c r="P2845" s="7" t="n">
        <f aca="false">IF(K2845="","",K2845-G2845)</f>
        <v>0</v>
      </c>
    </row>
    <row r="2846" customFormat="false" ht="15" hidden="false" customHeight="false" outlineLevel="0" collapsed="false">
      <c r="A2846" s="7" t="n">
        <v>80228239</v>
      </c>
      <c r="B2846" s="7" t="s">
        <v>68</v>
      </c>
      <c r="C2846" s="7" t="s">
        <v>6085</v>
      </c>
      <c r="D2846" s="7" t="s">
        <v>6086</v>
      </c>
      <c r="E2846" s="7" t="s">
        <v>28</v>
      </c>
      <c r="F2846" s="7" t="s">
        <v>6077</v>
      </c>
      <c r="G2846" s="7" t="n">
        <v>2015</v>
      </c>
      <c r="H2846" s="7" t="s">
        <v>226</v>
      </c>
      <c r="I2846" s="7" t="s">
        <v>1164</v>
      </c>
      <c r="J2846" s="7" t="s">
        <v>341</v>
      </c>
      <c r="K2846" s="7" t="n">
        <f aca="false">IFERROR(VALUE(RIGHT(TRIM(F2846),4)),"")</f>
        <v>2019</v>
      </c>
      <c r="L2846" s="7" t="str">
        <f aca="false">IF(TRIM(E2846)="","Unknown",IFERROR(LEFT(TRIM(E2846),FIND(",",TRIM(E2846))-1),TRIM(E2846)))</f>
        <v>United Kingdom</v>
      </c>
      <c r="M2846" s="7" t="str">
        <f aca="false">IFERROR(LEFT(J2846,FIND(",",J2846)-1),J2846)</f>
        <v>Documentaries</v>
      </c>
      <c r="N2846" s="7" t="n">
        <f aca="false">IF(B2846="Movie",IFERROR(VALUE(LEFT(I2846,FIND(" ",I2846)-1)),""),"")</f>
        <v>57</v>
      </c>
      <c r="O2846" s="7" t="str">
        <f aca="false">IF(B2846="TV Show",IFERROR(VALUE(LEFT(I2846,FIND(" ",I2846)-1)),""),"")</f>
        <v/>
      </c>
      <c r="P2846" s="7" t="n">
        <f aca="false">IF(K2846="","",K2846-G2846)</f>
        <v>4</v>
      </c>
    </row>
    <row r="2847" customFormat="false" ht="15" hidden="false" customHeight="false" outlineLevel="0" collapsed="false">
      <c r="A2847" s="7" t="n">
        <v>80233104</v>
      </c>
      <c r="B2847" s="7" t="s">
        <v>78</v>
      </c>
      <c r="C2847" s="7" t="s">
        <v>6087</v>
      </c>
      <c r="E2847" s="7" t="s">
        <v>28</v>
      </c>
      <c r="F2847" s="7" t="s">
        <v>6077</v>
      </c>
      <c r="G2847" s="7" t="n">
        <v>2013</v>
      </c>
      <c r="H2847" s="7" t="s">
        <v>226</v>
      </c>
      <c r="I2847" s="7" t="s">
        <v>82</v>
      </c>
      <c r="J2847" s="7" t="s">
        <v>716</v>
      </c>
      <c r="K2847" s="7" t="n">
        <f aca="false">IFERROR(VALUE(RIGHT(TRIM(F2847),4)),"")</f>
        <v>2019</v>
      </c>
      <c r="L2847" s="7" t="str">
        <f aca="false">IF(TRIM(E2847)="","Unknown",IFERROR(LEFT(TRIM(E2847),FIND(",",TRIM(E2847))-1),TRIM(E2847)))</f>
        <v>United Kingdom</v>
      </c>
      <c r="M2847" s="7" t="str">
        <f aca="false">IFERROR(LEFT(J2847,FIND(",",J2847)-1),J2847)</f>
        <v>British TV Shows</v>
      </c>
      <c r="N2847" s="7" t="str">
        <f aca="false">IF(B2847="Movie",IFERROR(VALUE(LEFT(I2847,FIND(" ",I2847)-1)),""),"")</f>
        <v/>
      </c>
      <c r="O2847" s="7" t="n">
        <f aca="false">IF(B2847="TV Show",IFERROR(VALUE(LEFT(I2847,FIND(" ",I2847)-1)),""),"")</f>
        <v>1</v>
      </c>
      <c r="P2847" s="7" t="n">
        <f aca="false">IF(K2847="","",K2847-G2847)</f>
        <v>6</v>
      </c>
    </row>
    <row r="2848" customFormat="false" ht="15" hidden="false" customHeight="false" outlineLevel="0" collapsed="false">
      <c r="A2848" s="7" t="n">
        <v>80228129</v>
      </c>
      <c r="B2848" s="7" t="s">
        <v>78</v>
      </c>
      <c r="C2848" s="7" t="s">
        <v>6088</v>
      </c>
      <c r="E2848" s="7" t="s">
        <v>28</v>
      </c>
      <c r="F2848" s="7" t="s">
        <v>6077</v>
      </c>
      <c r="G2848" s="7" t="n">
        <v>2016</v>
      </c>
      <c r="H2848" s="7" t="s">
        <v>49</v>
      </c>
      <c r="I2848" s="7" t="s">
        <v>82</v>
      </c>
      <c r="J2848" s="7" t="s">
        <v>716</v>
      </c>
      <c r="K2848" s="7" t="n">
        <f aca="false">IFERROR(VALUE(RIGHT(TRIM(F2848),4)),"")</f>
        <v>2019</v>
      </c>
      <c r="L2848" s="7" t="str">
        <f aca="false">IF(TRIM(E2848)="","Unknown",IFERROR(LEFT(TRIM(E2848),FIND(",",TRIM(E2848))-1),TRIM(E2848)))</f>
        <v>United Kingdom</v>
      </c>
      <c r="M2848" s="7" t="str">
        <f aca="false">IFERROR(LEFT(J2848,FIND(",",J2848)-1),J2848)</f>
        <v>British TV Shows</v>
      </c>
      <c r="N2848" s="7" t="str">
        <f aca="false">IF(B2848="Movie",IFERROR(VALUE(LEFT(I2848,FIND(" ",I2848)-1)),""),"")</f>
        <v/>
      </c>
      <c r="O2848" s="7" t="n">
        <f aca="false">IF(B2848="TV Show",IFERROR(VALUE(LEFT(I2848,FIND(" ",I2848)-1)),""),"")</f>
        <v>1</v>
      </c>
      <c r="P2848" s="7" t="n">
        <f aca="false">IF(K2848="","",K2848-G2848)</f>
        <v>3</v>
      </c>
    </row>
    <row r="2849" customFormat="false" ht="15" hidden="false" customHeight="false" outlineLevel="0" collapsed="false">
      <c r="A2849" s="7" t="n">
        <v>81032669</v>
      </c>
      <c r="B2849" s="7" t="s">
        <v>78</v>
      </c>
      <c r="C2849" s="7" t="s">
        <v>6089</v>
      </c>
      <c r="D2849" s="7" t="s">
        <v>6090</v>
      </c>
      <c r="E2849" s="7" t="s">
        <v>28</v>
      </c>
      <c r="F2849" s="7" t="s">
        <v>6077</v>
      </c>
      <c r="G2849" s="7" t="n">
        <v>2013</v>
      </c>
      <c r="H2849" s="7" t="s">
        <v>226</v>
      </c>
      <c r="I2849" s="7" t="s">
        <v>82</v>
      </c>
      <c r="J2849" s="7" t="s">
        <v>306</v>
      </c>
      <c r="K2849" s="7" t="n">
        <f aca="false">IFERROR(VALUE(RIGHT(TRIM(F2849),4)),"")</f>
        <v>2019</v>
      </c>
      <c r="L2849" s="7" t="str">
        <f aca="false">IF(TRIM(E2849)="","Unknown",IFERROR(LEFT(TRIM(E2849),FIND(",",TRIM(E2849))-1),TRIM(E2849)))</f>
        <v>United Kingdom</v>
      </c>
      <c r="M2849" s="7" t="str">
        <f aca="false">IFERROR(LEFT(J2849,FIND(",",J2849)-1),J2849)</f>
        <v>British TV Shows</v>
      </c>
      <c r="N2849" s="7" t="str">
        <f aca="false">IF(B2849="Movie",IFERROR(VALUE(LEFT(I2849,FIND(" ",I2849)-1)),""),"")</f>
        <v/>
      </c>
      <c r="O2849" s="7" t="n">
        <f aca="false">IF(B2849="TV Show",IFERROR(VALUE(LEFT(I2849,FIND(" ",I2849)-1)),""),"")</f>
        <v>1</v>
      </c>
      <c r="P2849" s="7" t="n">
        <f aca="false">IF(K2849="","",K2849-G2849)</f>
        <v>6</v>
      </c>
    </row>
    <row r="2850" customFormat="false" ht="15" hidden="false" customHeight="false" outlineLevel="0" collapsed="false">
      <c r="A2850" s="7" t="n">
        <v>81032659</v>
      </c>
      <c r="B2850" s="7" t="s">
        <v>78</v>
      </c>
      <c r="C2850" s="7" t="s">
        <v>6091</v>
      </c>
      <c r="E2850" s="7" t="s">
        <v>28</v>
      </c>
      <c r="F2850" s="7" t="s">
        <v>6077</v>
      </c>
      <c r="G2850" s="7" t="n">
        <v>2011</v>
      </c>
      <c r="H2850" s="7" t="s">
        <v>226</v>
      </c>
      <c r="I2850" s="7" t="s">
        <v>82</v>
      </c>
      <c r="J2850" s="7" t="s">
        <v>306</v>
      </c>
      <c r="K2850" s="7" t="n">
        <f aca="false">IFERROR(VALUE(RIGHT(TRIM(F2850),4)),"")</f>
        <v>2019</v>
      </c>
      <c r="L2850" s="7" t="str">
        <f aca="false">IF(TRIM(E2850)="","Unknown",IFERROR(LEFT(TRIM(E2850),FIND(",",TRIM(E2850))-1),TRIM(E2850)))</f>
        <v>United Kingdom</v>
      </c>
      <c r="M2850" s="7" t="str">
        <f aca="false">IFERROR(LEFT(J2850,FIND(",",J2850)-1),J2850)</f>
        <v>British TV Shows</v>
      </c>
      <c r="N2850" s="7" t="str">
        <f aca="false">IF(B2850="Movie",IFERROR(VALUE(LEFT(I2850,FIND(" ",I2850)-1)),""),"")</f>
        <v/>
      </c>
      <c r="O2850" s="7" t="n">
        <f aca="false">IF(B2850="TV Show",IFERROR(VALUE(LEFT(I2850,FIND(" ",I2850)-1)),""),"")</f>
        <v>1</v>
      </c>
      <c r="P2850" s="7" t="n">
        <f aca="false">IF(K2850="","",K2850-G2850)</f>
        <v>8</v>
      </c>
    </row>
    <row r="2851" customFormat="false" ht="15" hidden="false" customHeight="false" outlineLevel="0" collapsed="false">
      <c r="A2851" s="7" t="n">
        <v>80155932</v>
      </c>
      <c r="B2851" s="7" t="s">
        <v>68</v>
      </c>
      <c r="C2851" s="7" t="s">
        <v>6092</v>
      </c>
      <c r="D2851" s="7" t="s">
        <v>6093</v>
      </c>
      <c r="E2851" s="7" t="s">
        <v>317</v>
      </c>
      <c r="F2851" s="7" t="s">
        <v>6077</v>
      </c>
      <c r="G2851" s="7" t="n">
        <v>2016</v>
      </c>
      <c r="H2851" s="7" t="s">
        <v>51</v>
      </c>
      <c r="I2851" s="7" t="s">
        <v>294</v>
      </c>
      <c r="J2851" s="7" t="s">
        <v>269</v>
      </c>
      <c r="K2851" s="7" t="n">
        <f aca="false">IFERROR(VALUE(RIGHT(TRIM(F2851),4)),"")</f>
        <v>2019</v>
      </c>
      <c r="L2851" s="7" t="str">
        <f aca="false">IF(TRIM(E2851)="","Unknown",IFERROR(LEFT(TRIM(E2851),FIND(",",TRIM(E2851))-1),TRIM(E2851)))</f>
        <v>United Kingdom</v>
      </c>
      <c r="M2851" s="7" t="str">
        <f aca="false">IFERROR(LEFT(J2851,FIND(",",J2851)-1),J2851)</f>
        <v>Dramas</v>
      </c>
      <c r="N2851" s="7" t="n">
        <f aca="false">IF(B2851="Movie",IFERROR(VALUE(LEFT(I2851,FIND(" ",I2851)-1)),""),"")</f>
        <v>107</v>
      </c>
      <c r="O2851" s="7" t="str">
        <f aca="false">IF(B2851="TV Show",IFERROR(VALUE(LEFT(I2851,FIND(" ",I2851)-1)),""),"")</f>
        <v/>
      </c>
      <c r="P2851" s="7" t="n">
        <f aca="false">IF(K2851="","",K2851-G2851)</f>
        <v>3</v>
      </c>
    </row>
    <row r="2852" customFormat="false" ht="15" hidden="false" customHeight="false" outlineLevel="0" collapsed="false">
      <c r="A2852" s="7" t="n">
        <v>80994020</v>
      </c>
      <c r="B2852" s="7" t="s">
        <v>68</v>
      </c>
      <c r="C2852" s="7" t="s">
        <v>6094</v>
      </c>
      <c r="D2852" s="7" t="s">
        <v>6095</v>
      </c>
      <c r="E2852" s="7" t="s">
        <v>1113</v>
      </c>
      <c r="F2852" s="7" t="s">
        <v>6077</v>
      </c>
      <c r="G2852" s="7" t="n">
        <v>2019</v>
      </c>
      <c r="H2852" s="7" t="s">
        <v>48</v>
      </c>
      <c r="I2852" s="7" t="s">
        <v>272</v>
      </c>
      <c r="J2852" s="7" t="s">
        <v>188</v>
      </c>
      <c r="K2852" s="7" t="n">
        <f aca="false">IFERROR(VALUE(RIGHT(TRIM(F2852),4)),"")</f>
        <v>2019</v>
      </c>
      <c r="L2852" s="7" t="str">
        <f aca="false">IF(TRIM(E2852)="","Unknown",IFERROR(LEFT(TRIM(E2852),FIND(",",TRIM(E2852))-1),TRIM(E2852)))</f>
        <v>Argentina</v>
      </c>
      <c r="M2852" s="7" t="str">
        <f aca="false">IFERROR(LEFT(J2852,FIND(",",J2852)-1),J2852)</f>
        <v>Dramas</v>
      </c>
      <c r="N2852" s="7" t="n">
        <f aca="false">IF(B2852="Movie",IFERROR(VALUE(LEFT(I2852,FIND(" ",I2852)-1)),""),"")</f>
        <v>93</v>
      </c>
      <c r="O2852" s="7" t="str">
        <f aca="false">IF(B2852="TV Show",IFERROR(VALUE(LEFT(I2852,FIND(" ",I2852)-1)),""),"")</f>
        <v/>
      </c>
      <c r="P2852" s="7" t="n">
        <f aca="false">IF(K2852="","",K2852-G2852)</f>
        <v>0</v>
      </c>
    </row>
    <row r="2853" customFormat="false" ht="15" hidden="false" customHeight="false" outlineLevel="0" collapsed="false">
      <c r="A2853" s="7" t="n">
        <v>80049094</v>
      </c>
      <c r="B2853" s="7" t="s">
        <v>68</v>
      </c>
      <c r="C2853" s="7" t="s">
        <v>6096</v>
      </c>
      <c r="D2853" s="7" t="s">
        <v>2061</v>
      </c>
      <c r="E2853" s="7" t="s">
        <v>28</v>
      </c>
      <c r="F2853" s="7" t="s">
        <v>6097</v>
      </c>
      <c r="G2853" s="7" t="n">
        <v>2015</v>
      </c>
      <c r="H2853" s="7" t="s">
        <v>51</v>
      </c>
      <c r="I2853" s="7" t="s">
        <v>261</v>
      </c>
      <c r="J2853" s="7" t="s">
        <v>699</v>
      </c>
      <c r="K2853" s="7" t="n">
        <f aca="false">IFERROR(VALUE(RIGHT(TRIM(F2853),4)),"")</f>
        <v>2018</v>
      </c>
      <c r="L2853" s="7" t="str">
        <f aca="false">IF(TRIM(E2853)="","Unknown",IFERROR(LEFT(TRIM(E2853),FIND(",",TRIM(E2853))-1),TRIM(E2853)))</f>
        <v>United Kingdom</v>
      </c>
      <c r="M2853" s="7" t="str">
        <f aca="false">IFERROR(LEFT(J2853,FIND(",",J2853)-1),J2853)</f>
        <v>Documentaries</v>
      </c>
      <c r="N2853" s="7" t="n">
        <f aca="false">IF(B2853="Movie",IFERROR(VALUE(LEFT(I2853,FIND(" ",I2853)-1)),""),"")</f>
        <v>128</v>
      </c>
      <c r="O2853" s="7" t="str">
        <f aca="false">IF(B2853="TV Show",IFERROR(VALUE(LEFT(I2853,FIND(" ",I2853)-1)),""),"")</f>
        <v/>
      </c>
      <c r="P2853" s="7" t="n">
        <f aca="false">IF(K2853="","",K2853-G2853)</f>
        <v>3</v>
      </c>
    </row>
    <row r="2854" customFormat="false" ht="15" hidden="false" customHeight="false" outlineLevel="0" collapsed="false">
      <c r="A2854" s="7" t="n">
        <v>80049177</v>
      </c>
      <c r="B2854" s="7" t="s">
        <v>68</v>
      </c>
      <c r="C2854" s="7" t="s">
        <v>6098</v>
      </c>
      <c r="D2854" s="7" t="s">
        <v>6099</v>
      </c>
      <c r="E2854" s="7" t="s">
        <v>26</v>
      </c>
      <c r="F2854" s="7" t="s">
        <v>6097</v>
      </c>
      <c r="G2854" s="7" t="n">
        <v>2015</v>
      </c>
      <c r="H2854" s="7" t="s">
        <v>52</v>
      </c>
      <c r="I2854" s="7" t="s">
        <v>87</v>
      </c>
      <c r="J2854" s="7" t="s">
        <v>967</v>
      </c>
      <c r="K2854" s="7" t="n">
        <f aca="false">IFERROR(VALUE(RIGHT(TRIM(F2854),4)),"")</f>
        <v>2018</v>
      </c>
      <c r="L2854" s="7" t="str">
        <f aca="false">IF(TRIM(E2854)="","Unknown",IFERROR(LEFT(TRIM(E2854),FIND(",",TRIM(E2854))-1),TRIM(E2854)))</f>
        <v>United States</v>
      </c>
      <c r="M2854" s="7" t="str">
        <f aca="false">IFERROR(LEFT(J2854,FIND(",",J2854)-1),J2854)</f>
        <v>Action &amp; Adventure</v>
      </c>
      <c r="N2854" s="7" t="n">
        <f aca="false">IF(B2854="Movie",IFERROR(VALUE(LEFT(I2854,FIND(" ",I2854)-1)),""),"")</f>
        <v>99</v>
      </c>
      <c r="O2854" s="7" t="str">
        <f aca="false">IF(B2854="TV Show",IFERROR(VALUE(LEFT(I2854,FIND(" ",I2854)-1)),""),"")</f>
        <v/>
      </c>
      <c r="P2854" s="7" t="n">
        <f aca="false">IF(K2854="","",K2854-G2854)</f>
        <v>3</v>
      </c>
    </row>
    <row r="2855" customFormat="false" ht="15" hidden="false" customHeight="false" outlineLevel="0" collapsed="false">
      <c r="A2855" s="7" t="n">
        <v>80025495</v>
      </c>
      <c r="B2855" s="7" t="s">
        <v>68</v>
      </c>
      <c r="C2855" s="7" t="s">
        <v>6100</v>
      </c>
      <c r="D2855" s="7" t="s">
        <v>533</v>
      </c>
      <c r="E2855" s="7" t="s">
        <v>3311</v>
      </c>
      <c r="F2855" s="7" t="s">
        <v>6097</v>
      </c>
      <c r="G2855" s="7" t="n">
        <v>2015</v>
      </c>
      <c r="H2855" s="7" t="s">
        <v>51</v>
      </c>
      <c r="I2855" s="7" t="s">
        <v>146</v>
      </c>
      <c r="J2855" s="7" t="s">
        <v>182</v>
      </c>
      <c r="K2855" s="7" t="n">
        <f aca="false">IFERROR(VALUE(RIGHT(TRIM(F2855),4)),"")</f>
        <v>2018</v>
      </c>
      <c r="L2855" s="7" t="str">
        <f aca="false">IF(TRIM(E2855)="","Unknown",IFERROR(LEFT(TRIM(E2855),FIND(",",TRIM(E2855))-1),TRIM(E2855)))</f>
        <v>United States</v>
      </c>
      <c r="M2855" s="7" t="str">
        <f aca="false">IFERROR(LEFT(J2855,FIND(",",J2855)-1),J2855)</f>
        <v>Dramas</v>
      </c>
      <c r="N2855" s="7" t="n">
        <f aca="false">IF(B2855="Movie",IFERROR(VALUE(LEFT(I2855,FIND(" ",I2855)-1)),""),"")</f>
        <v>113</v>
      </c>
      <c r="O2855" s="7" t="str">
        <f aca="false">IF(B2855="TV Show",IFERROR(VALUE(LEFT(I2855,FIND(" ",I2855)-1)),""),"")</f>
        <v/>
      </c>
      <c r="P2855" s="7" t="n">
        <f aca="false">IF(K2855="","",K2855-G2855)</f>
        <v>3</v>
      </c>
    </row>
    <row r="2856" customFormat="false" ht="15" hidden="false" customHeight="false" outlineLevel="0" collapsed="false">
      <c r="A2856" s="7" t="n">
        <v>80023689</v>
      </c>
      <c r="B2856" s="7" t="s">
        <v>68</v>
      </c>
      <c r="C2856" s="7" t="s">
        <v>6101</v>
      </c>
      <c r="D2856" s="7" t="s">
        <v>6102</v>
      </c>
      <c r="E2856" s="7" t="s">
        <v>28</v>
      </c>
      <c r="F2856" s="7" t="s">
        <v>6097</v>
      </c>
      <c r="G2856" s="7" t="n">
        <v>2015</v>
      </c>
      <c r="H2856" s="7" t="s">
        <v>51</v>
      </c>
      <c r="I2856" s="7" t="s">
        <v>268</v>
      </c>
      <c r="J2856" s="7" t="s">
        <v>188</v>
      </c>
      <c r="K2856" s="7" t="n">
        <f aca="false">IFERROR(VALUE(RIGHT(TRIM(F2856),4)),"")</f>
        <v>2018</v>
      </c>
      <c r="L2856" s="7" t="str">
        <f aca="false">IF(TRIM(E2856)="","Unknown",IFERROR(LEFT(TRIM(E2856),FIND(",",TRIM(E2856))-1),TRIM(E2856)))</f>
        <v>United Kingdom</v>
      </c>
      <c r="M2856" s="7" t="str">
        <f aca="false">IFERROR(LEFT(J2856,FIND(",",J2856)-1),J2856)</f>
        <v>Dramas</v>
      </c>
      <c r="N2856" s="7" t="n">
        <f aca="false">IF(B2856="Movie",IFERROR(VALUE(LEFT(I2856,FIND(" ",I2856)-1)),""),"")</f>
        <v>108</v>
      </c>
      <c r="O2856" s="7" t="str">
        <f aca="false">IF(B2856="TV Show",IFERROR(VALUE(LEFT(I2856,FIND(" ",I2856)-1)),""),"")</f>
        <v/>
      </c>
      <c r="P2856" s="7" t="n">
        <f aca="false">IF(K2856="","",K2856-G2856)</f>
        <v>3</v>
      </c>
    </row>
    <row r="2857" customFormat="false" ht="15" hidden="false" customHeight="false" outlineLevel="0" collapsed="false">
      <c r="A2857" s="7" t="n">
        <v>70278930</v>
      </c>
      <c r="B2857" s="7" t="s">
        <v>68</v>
      </c>
      <c r="C2857" s="7" t="s">
        <v>6103</v>
      </c>
      <c r="D2857" s="7" t="s">
        <v>6104</v>
      </c>
      <c r="E2857" s="7" t="s">
        <v>6105</v>
      </c>
      <c r="F2857" s="7" t="s">
        <v>6097</v>
      </c>
      <c r="G2857" s="7" t="n">
        <v>2013</v>
      </c>
      <c r="H2857" s="7" t="s">
        <v>51</v>
      </c>
      <c r="I2857" s="7" t="s">
        <v>820</v>
      </c>
      <c r="J2857" s="7" t="s">
        <v>370</v>
      </c>
      <c r="K2857" s="7" t="n">
        <f aca="false">IFERROR(VALUE(RIGHT(TRIM(F2857),4)),"")</f>
        <v>2018</v>
      </c>
      <c r="L2857" s="7" t="str">
        <f aca="false">IF(TRIM(E2857)="","Unknown",IFERROR(LEFT(TRIM(E2857),FIND(",",TRIM(E2857))-1),TRIM(E2857)))</f>
        <v>United States</v>
      </c>
      <c r="M2857" s="7" t="str">
        <f aca="false">IFERROR(LEFT(J2857,FIND(",",J2857)-1),J2857)</f>
        <v>Action &amp; Adventure</v>
      </c>
      <c r="N2857" s="7" t="n">
        <f aca="false">IF(B2857="Movie",IFERROR(VALUE(LEFT(I2857,FIND(" ",I2857)-1)),""),"")</f>
        <v>105</v>
      </c>
      <c r="O2857" s="7" t="str">
        <f aca="false">IF(B2857="TV Show",IFERROR(VALUE(LEFT(I2857,FIND(" ",I2857)-1)),""),"")</f>
        <v/>
      </c>
      <c r="P2857" s="7" t="n">
        <f aca="false">IF(K2857="","",K2857-G2857)</f>
        <v>5</v>
      </c>
    </row>
    <row r="2858" customFormat="false" ht="15" hidden="false" customHeight="false" outlineLevel="0" collapsed="false">
      <c r="A2858" s="7" t="n">
        <v>80038337</v>
      </c>
      <c r="B2858" s="7" t="s">
        <v>68</v>
      </c>
      <c r="C2858" s="7" t="s">
        <v>6106</v>
      </c>
      <c r="D2858" s="7" t="s">
        <v>6107</v>
      </c>
      <c r="E2858" s="7" t="s">
        <v>26</v>
      </c>
      <c r="F2858" s="7" t="s">
        <v>6097</v>
      </c>
      <c r="G2858" s="7" t="n">
        <v>2015</v>
      </c>
      <c r="H2858" s="7" t="s">
        <v>51</v>
      </c>
      <c r="I2858" s="7" t="s">
        <v>790</v>
      </c>
      <c r="J2858" s="7" t="s">
        <v>150</v>
      </c>
      <c r="K2858" s="7" t="n">
        <f aca="false">IFERROR(VALUE(RIGHT(TRIM(F2858),4)),"")</f>
        <v>2018</v>
      </c>
      <c r="L2858" s="7" t="str">
        <f aca="false">IF(TRIM(E2858)="","Unknown",IFERROR(LEFT(TRIM(E2858),FIND(",",TRIM(E2858))-1),TRIM(E2858)))</f>
        <v>United States</v>
      </c>
      <c r="M2858" s="7" t="str">
        <f aca="false">IFERROR(LEFT(J2858,FIND(",",J2858)-1),J2858)</f>
        <v>Dramas</v>
      </c>
      <c r="N2858" s="7" t="n">
        <f aca="false">IF(B2858="Movie",IFERROR(VALUE(LEFT(I2858,FIND(" ",I2858)-1)),""),"")</f>
        <v>109</v>
      </c>
      <c r="O2858" s="7" t="str">
        <f aca="false">IF(B2858="TV Show",IFERROR(VALUE(LEFT(I2858,FIND(" ",I2858)-1)),""),"")</f>
        <v/>
      </c>
      <c r="P2858" s="7" t="n">
        <f aca="false">IF(K2858="","",K2858-G2858)</f>
        <v>3</v>
      </c>
    </row>
    <row r="2859" customFormat="false" ht="15" hidden="false" customHeight="false" outlineLevel="0" collapsed="false">
      <c r="A2859" s="7" t="n">
        <v>80053475</v>
      </c>
      <c r="B2859" s="7" t="s">
        <v>68</v>
      </c>
      <c r="C2859" s="7" t="s">
        <v>6108</v>
      </c>
      <c r="D2859" s="7" t="s">
        <v>6109</v>
      </c>
      <c r="E2859" s="7" t="s">
        <v>26</v>
      </c>
      <c r="F2859" s="7" t="s">
        <v>6097</v>
      </c>
      <c r="G2859" s="7" t="n">
        <v>2015</v>
      </c>
      <c r="H2859" s="7" t="s">
        <v>51</v>
      </c>
      <c r="I2859" s="7" t="s">
        <v>272</v>
      </c>
      <c r="J2859" s="7" t="s">
        <v>520</v>
      </c>
      <c r="K2859" s="7" t="n">
        <f aca="false">IFERROR(VALUE(RIGHT(TRIM(F2859),4)),"")</f>
        <v>2018</v>
      </c>
      <c r="L2859" s="7" t="str">
        <f aca="false">IF(TRIM(E2859)="","Unknown",IFERROR(LEFT(TRIM(E2859),FIND(",",TRIM(E2859))-1),TRIM(E2859)))</f>
        <v>United States</v>
      </c>
      <c r="M2859" s="7" t="str">
        <f aca="false">IFERROR(LEFT(J2859,FIND(",",J2859)-1),J2859)</f>
        <v>Dramas</v>
      </c>
      <c r="N2859" s="7" t="n">
        <f aca="false">IF(B2859="Movie",IFERROR(VALUE(LEFT(I2859,FIND(" ",I2859)-1)),""),"")</f>
        <v>93</v>
      </c>
      <c r="O2859" s="7" t="str">
        <f aca="false">IF(B2859="TV Show",IFERROR(VALUE(LEFT(I2859,FIND(" ",I2859)-1)),""),"")</f>
        <v/>
      </c>
      <c r="P2859" s="7" t="n">
        <f aca="false">IF(K2859="","",K2859-G2859)</f>
        <v>3</v>
      </c>
    </row>
    <row r="2860" customFormat="false" ht="15" hidden="false" customHeight="false" outlineLevel="0" collapsed="false">
      <c r="A2860" s="7" t="n">
        <v>80999986</v>
      </c>
      <c r="B2860" s="7" t="s">
        <v>68</v>
      </c>
      <c r="C2860" s="7" t="s">
        <v>6110</v>
      </c>
      <c r="D2860" s="7" t="s">
        <v>6111</v>
      </c>
      <c r="E2860" s="7" t="s">
        <v>167</v>
      </c>
      <c r="F2860" s="7" t="s">
        <v>6097</v>
      </c>
      <c r="G2860" s="7" t="n">
        <v>2007</v>
      </c>
      <c r="H2860" s="7" t="s">
        <v>49</v>
      </c>
      <c r="I2860" s="7" t="s">
        <v>437</v>
      </c>
      <c r="J2860" s="7" t="s">
        <v>322</v>
      </c>
      <c r="K2860" s="7" t="n">
        <f aca="false">IFERROR(VALUE(RIGHT(TRIM(F2860),4)),"")</f>
        <v>2018</v>
      </c>
      <c r="L2860" s="7" t="str">
        <f aca="false">IF(TRIM(E2860)="","Unknown",IFERROR(LEFT(TRIM(E2860),FIND(",",TRIM(E2860))-1),TRIM(E2860)))</f>
        <v>Thailand</v>
      </c>
      <c r="M2860" s="7" t="str">
        <f aca="false">IFERROR(LEFT(J2860,FIND(",",J2860)-1),J2860)</f>
        <v>Action &amp; Adventure</v>
      </c>
      <c r="N2860" s="7" t="n">
        <f aca="false">IF(B2860="Movie",IFERROR(VALUE(LEFT(I2860,FIND(" ",I2860)-1)),""),"")</f>
        <v>82</v>
      </c>
      <c r="O2860" s="7" t="str">
        <f aca="false">IF(B2860="TV Show",IFERROR(VALUE(LEFT(I2860,FIND(" ",I2860)-1)),""),"")</f>
        <v/>
      </c>
      <c r="P2860" s="7" t="n">
        <f aca="false">IF(K2860="","",K2860-G2860)</f>
        <v>11</v>
      </c>
    </row>
    <row r="2861" customFormat="false" ht="15" hidden="false" customHeight="false" outlineLevel="0" collapsed="false">
      <c r="A2861" s="7" t="n">
        <v>80022605</v>
      </c>
      <c r="B2861" s="7" t="s">
        <v>68</v>
      </c>
      <c r="C2861" s="7" t="s">
        <v>6112</v>
      </c>
      <c r="D2861" s="7" t="s">
        <v>6113</v>
      </c>
      <c r="E2861" s="7" t="s">
        <v>6114</v>
      </c>
      <c r="F2861" s="7" t="s">
        <v>6097</v>
      </c>
      <c r="G2861" s="7" t="n">
        <v>2015</v>
      </c>
      <c r="H2861" s="7" t="s">
        <v>51</v>
      </c>
      <c r="I2861" s="7" t="s">
        <v>111</v>
      </c>
      <c r="J2861" s="7" t="s">
        <v>370</v>
      </c>
      <c r="K2861" s="7" t="n">
        <f aca="false">IFERROR(VALUE(RIGHT(TRIM(F2861),4)),"")</f>
        <v>2018</v>
      </c>
      <c r="L2861" s="7" t="str">
        <f aca="false">IF(TRIM(E2861)="","Unknown",IFERROR(LEFT(TRIM(E2861),FIND(",",TRIM(E2861))-1),TRIM(E2861)))</f>
        <v>Canada</v>
      </c>
      <c r="M2861" s="7" t="str">
        <f aca="false">IFERROR(LEFT(J2861,FIND(",",J2861)-1),J2861)</f>
        <v>Action &amp; Adventure</v>
      </c>
      <c r="N2861" s="7" t="n">
        <f aca="false">IF(B2861="Movie",IFERROR(VALUE(LEFT(I2861,FIND(" ",I2861)-1)),""),"")</f>
        <v>95</v>
      </c>
      <c r="O2861" s="7" t="str">
        <f aca="false">IF(B2861="TV Show",IFERROR(VALUE(LEFT(I2861,FIND(" ",I2861)-1)),""),"")</f>
        <v/>
      </c>
      <c r="P2861" s="7" t="n">
        <f aca="false">IF(K2861="","",K2861-G2861)</f>
        <v>3</v>
      </c>
    </row>
    <row r="2862" customFormat="false" ht="15" hidden="false" customHeight="false" outlineLevel="0" collapsed="false">
      <c r="A2862" s="7" t="n">
        <v>80029901</v>
      </c>
      <c r="B2862" s="7" t="s">
        <v>68</v>
      </c>
      <c r="C2862" s="7" t="s">
        <v>6115</v>
      </c>
      <c r="D2862" s="7" t="s">
        <v>6116</v>
      </c>
      <c r="E2862" s="7" t="s">
        <v>6117</v>
      </c>
      <c r="F2862" s="7" t="s">
        <v>6097</v>
      </c>
      <c r="G2862" s="7" t="n">
        <v>2015</v>
      </c>
      <c r="H2862" s="7" t="s">
        <v>51</v>
      </c>
      <c r="I2862" s="7" t="s">
        <v>613</v>
      </c>
      <c r="J2862" s="7" t="s">
        <v>112</v>
      </c>
      <c r="K2862" s="7" t="n">
        <f aca="false">IFERROR(VALUE(RIGHT(TRIM(F2862),4)),"")</f>
        <v>2018</v>
      </c>
      <c r="L2862" s="7" t="str">
        <f aca="false">IF(TRIM(E2862)="","Unknown",IFERROR(LEFT(TRIM(E2862),FIND(",",TRIM(E2862))-1),TRIM(E2862)))</f>
        <v>United Kingdom</v>
      </c>
      <c r="M2862" s="7" t="str">
        <f aca="false">IFERROR(LEFT(J2862,FIND(",",J2862)-1),J2862)</f>
        <v>Action &amp; Adventure</v>
      </c>
      <c r="N2862" s="7" t="n">
        <f aca="false">IF(B2862="Movie",IFERROR(VALUE(LEFT(I2862,FIND(" ",I2862)-1)),""),"")</f>
        <v>84</v>
      </c>
      <c r="O2862" s="7" t="str">
        <f aca="false">IF(B2862="TV Show",IFERROR(VALUE(LEFT(I2862,FIND(" ",I2862)-1)),""),"")</f>
        <v/>
      </c>
      <c r="P2862" s="7" t="n">
        <f aca="false">IF(K2862="","",K2862-G2862)</f>
        <v>3</v>
      </c>
    </row>
    <row r="2863" customFormat="false" ht="15" hidden="false" customHeight="false" outlineLevel="0" collapsed="false">
      <c r="A2863" s="7" t="n">
        <v>80037478</v>
      </c>
      <c r="B2863" s="7" t="s">
        <v>68</v>
      </c>
      <c r="C2863" s="7" t="s">
        <v>6118</v>
      </c>
      <c r="D2863" s="7" t="s">
        <v>6119</v>
      </c>
      <c r="E2863" s="7" t="s">
        <v>26</v>
      </c>
      <c r="F2863" s="7" t="s">
        <v>6097</v>
      </c>
      <c r="G2863" s="7" t="n">
        <v>2015</v>
      </c>
      <c r="H2863" s="7" t="s">
        <v>51</v>
      </c>
      <c r="I2863" s="7" t="s">
        <v>173</v>
      </c>
      <c r="J2863" s="7" t="s">
        <v>150</v>
      </c>
      <c r="K2863" s="7" t="n">
        <f aca="false">IFERROR(VALUE(RIGHT(TRIM(F2863),4)),"")</f>
        <v>2018</v>
      </c>
      <c r="L2863" s="7" t="str">
        <f aca="false">IF(TRIM(E2863)="","Unknown",IFERROR(LEFT(TRIM(E2863),FIND(",",TRIM(E2863))-1),TRIM(E2863)))</f>
        <v>United States</v>
      </c>
      <c r="M2863" s="7" t="str">
        <f aca="false">IFERROR(LEFT(J2863,FIND(",",J2863)-1),J2863)</f>
        <v>Dramas</v>
      </c>
      <c r="N2863" s="7" t="n">
        <f aca="false">IF(B2863="Movie",IFERROR(VALUE(LEFT(I2863,FIND(" ",I2863)-1)),""),"")</f>
        <v>106</v>
      </c>
      <c r="O2863" s="7" t="str">
        <f aca="false">IF(B2863="TV Show",IFERROR(VALUE(LEFT(I2863,FIND(" ",I2863)-1)),""),"")</f>
        <v/>
      </c>
      <c r="P2863" s="7" t="n">
        <f aca="false">IF(K2863="","",K2863-G2863)</f>
        <v>3</v>
      </c>
    </row>
    <row r="2864" customFormat="false" ht="15" hidden="false" customHeight="false" outlineLevel="0" collapsed="false">
      <c r="A2864" s="7" t="n">
        <v>80236236</v>
      </c>
      <c r="B2864" s="7" t="s">
        <v>78</v>
      </c>
      <c r="C2864" s="7" t="s">
        <v>6120</v>
      </c>
      <c r="E2864" s="7" t="s">
        <v>26</v>
      </c>
      <c r="F2864" s="7" t="s">
        <v>6121</v>
      </c>
      <c r="G2864" s="7" t="n">
        <v>2019</v>
      </c>
      <c r="H2864" s="7" t="s">
        <v>48</v>
      </c>
      <c r="I2864" s="7" t="s">
        <v>82</v>
      </c>
      <c r="J2864" s="7" t="s">
        <v>6122</v>
      </c>
      <c r="K2864" s="7" t="n">
        <f aca="false">IFERROR(VALUE(RIGHT(TRIM(F2864),4)),"")</f>
        <v>2019</v>
      </c>
      <c r="L2864" s="7" t="str">
        <f aca="false">IF(TRIM(E2864)="","Unknown",IFERROR(LEFT(TRIM(E2864),FIND(",",TRIM(E2864))-1),TRIM(E2864)))</f>
        <v>United States</v>
      </c>
      <c r="M2864" s="7" t="str">
        <f aca="false">IFERROR(LEFT(J2864,FIND(",",J2864)-1),J2864)</f>
        <v>TV Action &amp; Adventure</v>
      </c>
      <c r="N2864" s="7" t="str">
        <f aca="false">IF(B2864="Movie",IFERROR(VALUE(LEFT(I2864,FIND(" ",I2864)-1)),""),"")</f>
        <v/>
      </c>
      <c r="O2864" s="7" t="n">
        <f aca="false">IF(B2864="TV Show",IFERROR(VALUE(LEFT(I2864,FIND(" ",I2864)-1)),""),"")</f>
        <v>1</v>
      </c>
      <c r="P2864" s="7" t="n">
        <f aca="false">IF(K2864="","",K2864-G2864)</f>
        <v>0</v>
      </c>
    </row>
    <row r="2865" customFormat="false" ht="15" hidden="false" customHeight="false" outlineLevel="0" collapsed="false">
      <c r="A2865" s="7" t="n">
        <v>80007777</v>
      </c>
      <c r="B2865" s="7" t="s">
        <v>68</v>
      </c>
      <c r="C2865" s="7" t="s">
        <v>6123</v>
      </c>
      <c r="D2865" s="7" t="s">
        <v>6124</v>
      </c>
      <c r="E2865" s="7" t="s">
        <v>167</v>
      </c>
      <c r="F2865" s="7" t="s">
        <v>6125</v>
      </c>
      <c r="G2865" s="7" t="n">
        <v>2010</v>
      </c>
      <c r="H2865" s="7" t="s">
        <v>48</v>
      </c>
      <c r="I2865" s="7" t="s">
        <v>232</v>
      </c>
      <c r="J2865" s="7" t="s">
        <v>322</v>
      </c>
      <c r="K2865" s="7" t="n">
        <f aca="false">IFERROR(VALUE(RIGHT(TRIM(F2865),4)),"")</f>
        <v>2018</v>
      </c>
      <c r="L2865" s="7" t="str">
        <f aca="false">IF(TRIM(E2865)="","Unknown",IFERROR(LEFT(TRIM(E2865),FIND(",",TRIM(E2865))-1),TRIM(E2865)))</f>
        <v>Thailand</v>
      </c>
      <c r="M2865" s="7" t="str">
        <f aca="false">IFERROR(LEFT(J2865,FIND(",",J2865)-1),J2865)</f>
        <v>Action &amp; Adventure</v>
      </c>
      <c r="N2865" s="7" t="n">
        <f aca="false">IF(B2865="Movie",IFERROR(VALUE(LEFT(I2865,FIND(" ",I2865)-1)),""),"")</f>
        <v>122</v>
      </c>
      <c r="O2865" s="7" t="str">
        <f aca="false">IF(B2865="TV Show",IFERROR(VALUE(LEFT(I2865,FIND(" ",I2865)-1)),""),"")</f>
        <v/>
      </c>
      <c r="P2865" s="7" t="n">
        <f aca="false">IF(K2865="","",K2865-G2865)</f>
        <v>8</v>
      </c>
    </row>
    <row r="2866" customFormat="false" ht="15" hidden="false" customHeight="false" outlineLevel="0" collapsed="false">
      <c r="A2866" s="7" t="n">
        <v>80999987</v>
      </c>
      <c r="B2866" s="7" t="s">
        <v>68</v>
      </c>
      <c r="C2866" s="7" t="s">
        <v>6126</v>
      </c>
      <c r="D2866" s="7" t="s">
        <v>6127</v>
      </c>
      <c r="E2866" s="7" t="s">
        <v>167</v>
      </c>
      <c r="F2866" s="7" t="s">
        <v>6125</v>
      </c>
      <c r="G2866" s="7" t="n">
        <v>2012</v>
      </c>
      <c r="H2866" s="7" t="s">
        <v>48</v>
      </c>
      <c r="I2866" s="7" t="s">
        <v>268</v>
      </c>
      <c r="J2866" s="7" t="s">
        <v>112</v>
      </c>
      <c r="K2866" s="7" t="n">
        <f aca="false">IFERROR(VALUE(RIGHT(TRIM(F2866),4)),"")</f>
        <v>2018</v>
      </c>
      <c r="L2866" s="7" t="str">
        <f aca="false">IF(TRIM(E2866)="","Unknown",IFERROR(LEFT(TRIM(E2866),FIND(",",TRIM(E2866))-1),TRIM(E2866)))</f>
        <v>Thailand</v>
      </c>
      <c r="M2866" s="7" t="str">
        <f aca="false">IFERROR(LEFT(J2866,FIND(",",J2866)-1),J2866)</f>
        <v>Action &amp; Adventure</v>
      </c>
      <c r="N2866" s="7" t="n">
        <f aca="false">IF(B2866="Movie",IFERROR(VALUE(LEFT(I2866,FIND(" ",I2866)-1)),""),"")</f>
        <v>108</v>
      </c>
      <c r="O2866" s="7" t="str">
        <f aca="false">IF(B2866="TV Show",IFERROR(VALUE(LEFT(I2866,FIND(" ",I2866)-1)),""),"")</f>
        <v/>
      </c>
      <c r="P2866" s="7" t="n">
        <f aca="false">IF(K2866="","",K2866-G2866)</f>
        <v>6</v>
      </c>
    </row>
    <row r="2867" customFormat="false" ht="15" hidden="false" customHeight="false" outlineLevel="0" collapsed="false">
      <c r="A2867" s="7" t="n">
        <v>81000015</v>
      </c>
      <c r="B2867" s="7" t="s">
        <v>68</v>
      </c>
      <c r="C2867" s="7" t="s">
        <v>2739</v>
      </c>
      <c r="D2867" s="7" t="s">
        <v>6026</v>
      </c>
      <c r="E2867" s="7" t="s">
        <v>167</v>
      </c>
      <c r="F2867" s="7" t="s">
        <v>6125</v>
      </c>
      <c r="G2867" s="7" t="n">
        <v>2009</v>
      </c>
      <c r="H2867" s="7" t="s">
        <v>49</v>
      </c>
      <c r="I2867" s="7" t="s">
        <v>77</v>
      </c>
      <c r="J2867" s="7" t="s">
        <v>486</v>
      </c>
      <c r="K2867" s="7" t="n">
        <f aca="false">IFERROR(VALUE(RIGHT(TRIM(F2867),4)),"")</f>
        <v>2018</v>
      </c>
      <c r="L2867" s="7" t="str">
        <f aca="false">IF(TRIM(E2867)="","Unknown",IFERROR(LEFT(TRIM(E2867),FIND(",",TRIM(E2867))-1),TRIM(E2867)))</f>
        <v>Thailand</v>
      </c>
      <c r="M2867" s="7" t="str">
        <f aca="false">IFERROR(LEFT(J2867,FIND(",",J2867)-1),J2867)</f>
        <v>Comedies</v>
      </c>
      <c r="N2867" s="7" t="n">
        <f aca="false">IF(B2867="Movie",IFERROR(VALUE(LEFT(I2867,FIND(" ",I2867)-1)),""),"")</f>
        <v>94</v>
      </c>
      <c r="O2867" s="7" t="str">
        <f aca="false">IF(B2867="TV Show",IFERROR(VALUE(LEFT(I2867,FIND(" ",I2867)-1)),""),"")</f>
        <v/>
      </c>
      <c r="P2867" s="7" t="n">
        <f aca="false">IF(K2867="","",K2867-G2867)</f>
        <v>9</v>
      </c>
    </row>
    <row r="2868" customFormat="false" ht="15" hidden="false" customHeight="false" outlineLevel="0" collapsed="false">
      <c r="A2868" s="7" t="n">
        <v>80999982</v>
      </c>
      <c r="B2868" s="7" t="s">
        <v>68</v>
      </c>
      <c r="C2868" s="7" t="s">
        <v>6128</v>
      </c>
      <c r="D2868" s="7" t="s">
        <v>6026</v>
      </c>
      <c r="E2868" s="7" t="s">
        <v>167</v>
      </c>
      <c r="F2868" s="7" t="s">
        <v>6125</v>
      </c>
      <c r="G2868" s="7" t="n">
        <v>2011</v>
      </c>
      <c r="H2868" s="7" t="s">
        <v>48</v>
      </c>
      <c r="I2868" s="7" t="s">
        <v>330</v>
      </c>
      <c r="J2868" s="7" t="s">
        <v>486</v>
      </c>
      <c r="K2868" s="7" t="n">
        <f aca="false">IFERROR(VALUE(RIGHT(TRIM(F2868),4)),"")</f>
        <v>2018</v>
      </c>
      <c r="L2868" s="7" t="str">
        <f aca="false">IF(TRIM(E2868)="","Unknown",IFERROR(LEFT(TRIM(E2868),FIND(",",TRIM(E2868))-1),TRIM(E2868)))</f>
        <v>Thailand</v>
      </c>
      <c r="M2868" s="7" t="str">
        <f aca="false">IFERROR(LEFT(J2868,FIND(",",J2868)-1),J2868)</f>
        <v>Comedies</v>
      </c>
      <c r="N2868" s="7" t="n">
        <f aca="false">IF(B2868="Movie",IFERROR(VALUE(LEFT(I2868,FIND(" ",I2868)-1)),""),"")</f>
        <v>103</v>
      </c>
      <c r="O2868" s="7" t="str">
        <f aca="false">IF(B2868="TV Show",IFERROR(VALUE(LEFT(I2868,FIND(" ",I2868)-1)),""),"")</f>
        <v/>
      </c>
      <c r="P2868" s="7" t="n">
        <f aca="false">IF(K2868="","",K2868-G2868)</f>
        <v>7</v>
      </c>
    </row>
    <row r="2869" customFormat="false" ht="15" hidden="false" customHeight="false" outlineLevel="0" collapsed="false">
      <c r="A2869" s="7" t="n">
        <v>80999984</v>
      </c>
      <c r="B2869" s="7" t="s">
        <v>68</v>
      </c>
      <c r="C2869" s="7" t="s">
        <v>6129</v>
      </c>
      <c r="D2869" s="7" t="s">
        <v>6026</v>
      </c>
      <c r="F2869" s="7" t="s">
        <v>6125</v>
      </c>
      <c r="G2869" s="7" t="n">
        <v>2015</v>
      </c>
      <c r="H2869" s="7" t="s">
        <v>48</v>
      </c>
      <c r="I2869" s="7" t="s">
        <v>173</v>
      </c>
      <c r="J2869" s="7" t="s">
        <v>486</v>
      </c>
      <c r="K2869" s="7" t="n">
        <f aca="false">IFERROR(VALUE(RIGHT(TRIM(F2869),4)),"")</f>
        <v>2018</v>
      </c>
      <c r="L2869" s="7" t="str">
        <f aca="false">IF(TRIM(E2869)="","Unknown",IFERROR(LEFT(TRIM(E2869),FIND(",",TRIM(E2869))-1),TRIM(E2869)))</f>
        <v>Unknown</v>
      </c>
      <c r="M2869" s="7" t="str">
        <f aca="false">IFERROR(LEFT(J2869,FIND(",",J2869)-1),J2869)</f>
        <v>Comedies</v>
      </c>
      <c r="N2869" s="7" t="n">
        <f aca="false">IF(B2869="Movie",IFERROR(VALUE(LEFT(I2869,FIND(" ",I2869)-1)),""),"")</f>
        <v>106</v>
      </c>
      <c r="O2869" s="7" t="str">
        <f aca="false">IF(B2869="TV Show",IFERROR(VALUE(LEFT(I2869,FIND(" ",I2869)-1)),""),"")</f>
        <v/>
      </c>
      <c r="P2869" s="7" t="n">
        <f aca="false">IF(K2869="","",K2869-G2869)</f>
        <v>3</v>
      </c>
    </row>
    <row r="2870" customFormat="false" ht="15" hidden="false" customHeight="false" outlineLevel="0" collapsed="false">
      <c r="A2870" s="7" t="n">
        <v>81005453</v>
      </c>
      <c r="B2870" s="7" t="s">
        <v>68</v>
      </c>
      <c r="C2870" s="7" t="s">
        <v>6130</v>
      </c>
      <c r="D2870" s="7" t="s">
        <v>2530</v>
      </c>
      <c r="E2870" s="7" t="s">
        <v>27</v>
      </c>
      <c r="F2870" s="7" t="s">
        <v>6125</v>
      </c>
      <c r="G2870" s="7" t="n">
        <v>2018</v>
      </c>
      <c r="H2870" s="7" t="s">
        <v>49</v>
      </c>
      <c r="I2870" s="7" t="s">
        <v>549</v>
      </c>
      <c r="J2870" s="7" t="s">
        <v>304</v>
      </c>
      <c r="K2870" s="7" t="n">
        <f aca="false">IFERROR(VALUE(RIGHT(TRIM(F2870),4)),"")</f>
        <v>2018</v>
      </c>
      <c r="L2870" s="7" t="str">
        <f aca="false">IF(TRIM(E2870)="","Unknown",IFERROR(LEFT(TRIM(E2870),FIND(",",TRIM(E2870))-1),TRIM(E2870)))</f>
        <v>India</v>
      </c>
      <c r="M2870" s="7" t="str">
        <f aca="false">IFERROR(LEFT(J2870,FIND(",",J2870)-1),J2870)</f>
        <v>Dramas</v>
      </c>
      <c r="N2870" s="7" t="n">
        <f aca="false">IF(B2870="Movie",IFERROR(VALUE(LEFT(I2870,FIND(" ",I2870)-1)),""),"")</f>
        <v>124</v>
      </c>
      <c r="O2870" s="7" t="str">
        <f aca="false">IF(B2870="TV Show",IFERROR(VALUE(LEFT(I2870,FIND(" ",I2870)-1)),""),"")</f>
        <v/>
      </c>
      <c r="P2870" s="7" t="n">
        <f aca="false">IF(K2870="","",K2870-G2870)</f>
        <v>0</v>
      </c>
    </row>
    <row r="2871" customFormat="false" ht="15" hidden="false" customHeight="false" outlineLevel="0" collapsed="false">
      <c r="A2871" s="7" t="n">
        <v>80999989</v>
      </c>
      <c r="B2871" s="7" t="s">
        <v>68</v>
      </c>
      <c r="C2871" s="7" t="s">
        <v>6131</v>
      </c>
      <c r="D2871" s="7" t="s">
        <v>6021</v>
      </c>
      <c r="E2871" s="7" t="s">
        <v>167</v>
      </c>
      <c r="F2871" s="7" t="s">
        <v>6125</v>
      </c>
      <c r="G2871" s="7" t="n">
        <v>2005</v>
      </c>
      <c r="H2871" s="7" t="s">
        <v>49</v>
      </c>
      <c r="I2871" s="7" t="s">
        <v>311</v>
      </c>
      <c r="J2871" s="7" t="s">
        <v>6023</v>
      </c>
      <c r="K2871" s="7" t="n">
        <f aca="false">IFERROR(VALUE(RIGHT(TRIM(F2871),4)),"")</f>
        <v>2018</v>
      </c>
      <c r="L2871" s="7" t="str">
        <f aca="false">IF(TRIM(E2871)="","Unknown",IFERROR(LEFT(TRIM(E2871),FIND(",",TRIM(E2871))-1),TRIM(E2871)))</f>
        <v>Thailand</v>
      </c>
      <c r="M2871" s="7" t="str">
        <f aca="false">IFERROR(LEFT(J2871,FIND(",",J2871)-1),J2871)</f>
        <v>Comedies</v>
      </c>
      <c r="N2871" s="7" t="n">
        <f aca="false">IF(B2871="Movie",IFERROR(VALUE(LEFT(I2871,FIND(" ",I2871)-1)),""),"")</f>
        <v>92</v>
      </c>
      <c r="O2871" s="7" t="str">
        <f aca="false">IF(B2871="TV Show",IFERROR(VALUE(LEFT(I2871,FIND(" ",I2871)-1)),""),"")</f>
        <v/>
      </c>
      <c r="P2871" s="7" t="n">
        <f aca="false">IF(K2871="","",K2871-G2871)</f>
        <v>13</v>
      </c>
    </row>
    <row r="2872" customFormat="false" ht="15" hidden="false" customHeight="false" outlineLevel="0" collapsed="false">
      <c r="A2872" s="7" t="n">
        <v>70218312</v>
      </c>
      <c r="B2872" s="7" t="s">
        <v>68</v>
      </c>
      <c r="C2872" s="7" t="s">
        <v>6132</v>
      </c>
      <c r="D2872" s="7" t="s">
        <v>6133</v>
      </c>
      <c r="E2872" s="7" t="s">
        <v>167</v>
      </c>
      <c r="F2872" s="7" t="s">
        <v>6125</v>
      </c>
      <c r="G2872" s="7" t="n">
        <v>2007</v>
      </c>
      <c r="H2872" s="7" t="s">
        <v>53</v>
      </c>
      <c r="I2872" s="7" t="s">
        <v>264</v>
      </c>
      <c r="J2872" s="7" t="s">
        <v>169</v>
      </c>
      <c r="K2872" s="7" t="n">
        <f aca="false">IFERROR(VALUE(RIGHT(TRIM(F2872),4)),"")</f>
        <v>2018</v>
      </c>
      <c r="L2872" s="7" t="str">
        <f aca="false">IF(TRIM(E2872)="","Unknown",IFERROR(LEFT(TRIM(E2872),FIND(",",TRIM(E2872))-1),TRIM(E2872)))</f>
        <v>Thailand</v>
      </c>
      <c r="M2872" s="7" t="str">
        <f aca="false">IFERROR(LEFT(J2872,FIND(",",J2872)-1),J2872)</f>
        <v>Horror Movies</v>
      </c>
      <c r="N2872" s="7" t="n">
        <f aca="false">IF(B2872="Movie",IFERROR(VALUE(LEFT(I2872,FIND(" ",I2872)-1)),""),"")</f>
        <v>88</v>
      </c>
      <c r="O2872" s="7" t="str">
        <f aca="false">IF(B2872="TV Show",IFERROR(VALUE(LEFT(I2872,FIND(" ",I2872)-1)),""),"")</f>
        <v/>
      </c>
      <c r="P2872" s="7" t="n">
        <f aca="false">IF(K2872="","",K2872-G2872)</f>
        <v>11</v>
      </c>
    </row>
    <row r="2873" customFormat="false" ht="15" hidden="false" customHeight="false" outlineLevel="0" collapsed="false">
      <c r="A2873" s="7" t="n">
        <v>81006594</v>
      </c>
      <c r="B2873" s="7" t="s">
        <v>68</v>
      </c>
      <c r="C2873" s="7" t="s">
        <v>6134</v>
      </c>
      <c r="D2873" s="7" t="s">
        <v>6135</v>
      </c>
      <c r="E2873" s="7" t="s">
        <v>6136</v>
      </c>
      <c r="F2873" s="7" t="s">
        <v>6125</v>
      </c>
      <c r="G2873" s="7" t="n">
        <v>2018</v>
      </c>
      <c r="H2873" s="7" t="s">
        <v>54</v>
      </c>
      <c r="I2873" s="7" t="s">
        <v>1020</v>
      </c>
      <c r="J2873" s="7" t="s">
        <v>39</v>
      </c>
      <c r="K2873" s="7" t="n">
        <f aca="false">IFERROR(VALUE(RIGHT(TRIM(F2873),4)),"")</f>
        <v>2018</v>
      </c>
      <c r="L2873" s="7" t="str">
        <f aca="false">IF(TRIM(E2873)="","Unknown",IFERROR(LEFT(TRIM(E2873),FIND(",",TRIM(E2873))-1),TRIM(E2873)))</f>
        <v>United States</v>
      </c>
      <c r="M2873" s="7" t="str">
        <f aca="false">IFERROR(LEFT(J2873,FIND(",",J2873)-1),J2873)</f>
        <v>Documentaries</v>
      </c>
      <c r="N2873" s="7" t="n">
        <f aca="false">IF(B2873="Movie",IFERROR(VALUE(LEFT(I2873,FIND(" ",I2873)-1)),""),"")</f>
        <v>68</v>
      </c>
      <c r="O2873" s="7" t="str">
        <f aca="false">IF(B2873="TV Show",IFERROR(VALUE(LEFT(I2873,FIND(" ",I2873)-1)),""),"")</f>
        <v/>
      </c>
      <c r="P2873" s="7" t="n">
        <f aca="false">IF(K2873="","",K2873-G2873)</f>
        <v>0</v>
      </c>
    </row>
    <row r="2874" customFormat="false" ht="15" hidden="false" customHeight="false" outlineLevel="0" collapsed="false">
      <c r="A2874" s="7" t="n">
        <v>80185321</v>
      </c>
      <c r="B2874" s="7" t="s">
        <v>68</v>
      </c>
      <c r="C2874" s="7" t="s">
        <v>6137</v>
      </c>
      <c r="D2874" s="7" t="s">
        <v>6138</v>
      </c>
      <c r="E2874" s="7" t="s">
        <v>26</v>
      </c>
      <c r="F2874" s="7" t="s">
        <v>6139</v>
      </c>
      <c r="G2874" s="7" t="n">
        <v>2017</v>
      </c>
      <c r="H2874" s="7" t="s">
        <v>48</v>
      </c>
      <c r="I2874" s="7" t="s">
        <v>876</v>
      </c>
      <c r="J2874" s="7" t="s">
        <v>45</v>
      </c>
      <c r="K2874" s="7" t="n">
        <f aca="false">IFERROR(VALUE(RIGHT(TRIM(F2874),4)),"")</f>
        <v>2017</v>
      </c>
      <c r="L2874" s="7" t="str">
        <f aca="false">IF(TRIM(E2874)="","Unknown",IFERROR(LEFT(TRIM(E2874),FIND(",",TRIM(E2874))-1),TRIM(E2874)))</f>
        <v>United States</v>
      </c>
      <c r="M2874" s="7" t="str">
        <f aca="false">IFERROR(LEFT(J2874,FIND(",",J2874)-1),J2874)</f>
        <v>Stand-Up Comedy</v>
      </c>
      <c r="N2874" s="7" t="n">
        <f aca="false">IF(B2874="Movie",IFERROR(VALUE(LEFT(I2874,FIND(" ",I2874)-1)),""),"")</f>
        <v>67</v>
      </c>
      <c r="O2874" s="7" t="str">
        <f aca="false">IF(B2874="TV Show",IFERROR(VALUE(LEFT(I2874,FIND(" ",I2874)-1)),""),"")</f>
        <v/>
      </c>
      <c r="P2874" s="7" t="n">
        <f aca="false">IF(K2874="","",K2874-G2874)</f>
        <v>0</v>
      </c>
    </row>
    <row r="2875" customFormat="false" ht="15" hidden="false" customHeight="false" outlineLevel="0" collapsed="false">
      <c r="A2875" s="7" t="n">
        <v>70298116</v>
      </c>
      <c r="B2875" s="7" t="s">
        <v>68</v>
      </c>
      <c r="C2875" s="7" t="s">
        <v>6140</v>
      </c>
      <c r="D2875" s="7" t="s">
        <v>6141</v>
      </c>
      <c r="E2875" s="7" t="s">
        <v>26</v>
      </c>
      <c r="F2875" s="7" t="s">
        <v>6142</v>
      </c>
      <c r="G2875" s="7" t="n">
        <v>2014</v>
      </c>
      <c r="H2875" s="7" t="s">
        <v>49</v>
      </c>
      <c r="I2875" s="7" t="s">
        <v>494</v>
      </c>
      <c r="J2875" s="7" t="s">
        <v>811</v>
      </c>
      <c r="K2875" s="7" t="n">
        <f aca="false">IFERROR(VALUE(RIGHT(TRIM(F2875),4)),"")</f>
        <v>2016</v>
      </c>
      <c r="L2875" s="7" t="str">
        <f aca="false">IF(TRIM(E2875)="","Unknown",IFERROR(LEFT(TRIM(E2875),FIND(",",TRIM(E2875))-1),TRIM(E2875)))</f>
        <v>United States</v>
      </c>
      <c r="M2875" s="7" t="str">
        <f aca="false">IFERROR(LEFT(J2875,FIND(",",J2875)-1),J2875)</f>
        <v>Thrillers</v>
      </c>
      <c r="N2875" s="7" t="n">
        <f aca="false">IF(B2875="Movie",IFERROR(VALUE(LEFT(I2875,FIND(" ",I2875)-1)),""),"")</f>
        <v>87</v>
      </c>
      <c r="O2875" s="7" t="str">
        <f aca="false">IF(B2875="TV Show",IFERROR(VALUE(LEFT(I2875,FIND(" ",I2875)-1)),""),"")</f>
        <v/>
      </c>
      <c r="P2875" s="7" t="n">
        <f aca="false">IF(K2875="","",K2875-G2875)</f>
        <v>2</v>
      </c>
    </row>
    <row r="2876" customFormat="false" ht="15" hidden="false" customHeight="false" outlineLevel="0" collapsed="false">
      <c r="A2876" s="7" t="n">
        <v>80117542</v>
      </c>
      <c r="B2876" s="7" t="s">
        <v>68</v>
      </c>
      <c r="C2876" s="7" t="s">
        <v>6143</v>
      </c>
      <c r="D2876" s="7" t="s">
        <v>6144</v>
      </c>
      <c r="E2876" s="7" t="s">
        <v>26</v>
      </c>
      <c r="F2876" s="7" t="s">
        <v>6145</v>
      </c>
      <c r="G2876" s="7" t="n">
        <v>2019</v>
      </c>
      <c r="H2876" s="7" t="s">
        <v>48</v>
      </c>
      <c r="I2876" s="7" t="s">
        <v>187</v>
      </c>
      <c r="J2876" s="7" t="s">
        <v>39</v>
      </c>
      <c r="K2876" s="7" t="n">
        <f aca="false">IFERROR(VALUE(RIGHT(TRIM(F2876),4)),"")</f>
        <v>2019</v>
      </c>
      <c r="L2876" s="7" t="str">
        <f aca="false">IF(TRIM(E2876)="","Unknown",IFERROR(LEFT(TRIM(E2876),FIND(",",TRIM(E2876))-1),TRIM(E2876)))</f>
        <v>United States</v>
      </c>
      <c r="M2876" s="7" t="str">
        <f aca="false">IFERROR(LEFT(J2876,FIND(",",J2876)-1),J2876)</f>
        <v>Documentaries</v>
      </c>
      <c r="N2876" s="7" t="n">
        <f aca="false">IF(B2876="Movie",IFERROR(VALUE(LEFT(I2876,FIND(" ",I2876)-1)),""),"")</f>
        <v>114</v>
      </c>
      <c r="O2876" s="7" t="str">
        <f aca="false">IF(B2876="TV Show",IFERROR(VALUE(LEFT(I2876,FIND(" ",I2876)-1)),""),"")</f>
        <v/>
      </c>
      <c r="P2876" s="7" t="n">
        <f aca="false">IF(K2876="","",K2876-G2876)</f>
        <v>0</v>
      </c>
    </row>
    <row r="2877" customFormat="false" ht="15" hidden="false" customHeight="false" outlineLevel="0" collapsed="false">
      <c r="A2877" s="7" t="n">
        <v>80213658</v>
      </c>
      <c r="B2877" s="7" t="s">
        <v>68</v>
      </c>
      <c r="C2877" s="7" t="s">
        <v>6146</v>
      </c>
      <c r="D2877" s="7" t="s">
        <v>2887</v>
      </c>
      <c r="E2877" s="7" t="s">
        <v>26</v>
      </c>
      <c r="F2877" s="7" t="s">
        <v>6147</v>
      </c>
      <c r="G2877" s="7" t="n">
        <v>2018</v>
      </c>
      <c r="H2877" s="7" t="s">
        <v>48</v>
      </c>
      <c r="I2877" s="7" t="s">
        <v>348</v>
      </c>
      <c r="J2877" s="7" t="s">
        <v>45</v>
      </c>
      <c r="K2877" s="7" t="n">
        <f aca="false">IFERROR(VALUE(RIGHT(TRIM(F2877),4)),"")</f>
        <v>2018</v>
      </c>
      <c r="L2877" s="7" t="str">
        <f aca="false">IF(TRIM(E2877)="","Unknown",IFERROR(LEFT(TRIM(E2877),FIND(",",TRIM(E2877))-1),TRIM(E2877)))</f>
        <v>United States</v>
      </c>
      <c r="M2877" s="7" t="str">
        <f aca="false">IFERROR(LEFT(J2877,FIND(",",J2877)-1),J2877)</f>
        <v>Stand-Up Comedy</v>
      </c>
      <c r="N2877" s="7" t="n">
        <f aca="false">IF(B2877="Movie",IFERROR(VALUE(LEFT(I2877,FIND(" ",I2877)-1)),""),"")</f>
        <v>72</v>
      </c>
      <c r="O2877" s="7" t="str">
        <f aca="false">IF(B2877="TV Show",IFERROR(VALUE(LEFT(I2877,FIND(" ",I2877)-1)),""),"")</f>
        <v/>
      </c>
      <c r="P2877" s="7" t="n">
        <f aca="false">IF(K2877="","",K2877-G2877)</f>
        <v>0</v>
      </c>
    </row>
    <row r="2878" customFormat="false" ht="15" hidden="false" customHeight="false" outlineLevel="0" collapsed="false">
      <c r="A2878" s="7" t="n">
        <v>80232989</v>
      </c>
      <c r="B2878" s="7" t="s">
        <v>68</v>
      </c>
      <c r="C2878" s="7" t="s">
        <v>6148</v>
      </c>
      <c r="D2878" s="7" t="s">
        <v>6149</v>
      </c>
      <c r="E2878" s="7" t="s">
        <v>33</v>
      </c>
      <c r="F2878" s="7" t="s">
        <v>6147</v>
      </c>
      <c r="G2878" s="7" t="n">
        <v>2018</v>
      </c>
      <c r="H2878" s="7" t="s">
        <v>48</v>
      </c>
      <c r="I2878" s="7" t="s">
        <v>272</v>
      </c>
      <c r="J2878" s="7" t="s">
        <v>358</v>
      </c>
      <c r="K2878" s="7" t="n">
        <f aca="false">IFERROR(VALUE(RIGHT(TRIM(F2878),4)),"")</f>
        <v>2018</v>
      </c>
      <c r="L2878" s="7" t="str">
        <f aca="false">IF(TRIM(E2878)="","Unknown",IFERROR(LEFT(TRIM(E2878),FIND(",",TRIM(E2878))-1),TRIM(E2878)))</f>
        <v>Spain</v>
      </c>
      <c r="M2878" s="7" t="str">
        <f aca="false">IFERROR(LEFT(J2878,FIND(",",J2878)-1),J2878)</f>
        <v>International Movies</v>
      </c>
      <c r="N2878" s="7" t="n">
        <f aca="false">IF(B2878="Movie",IFERROR(VALUE(LEFT(I2878,FIND(" ",I2878)-1)),""),"")</f>
        <v>93</v>
      </c>
      <c r="O2878" s="7" t="str">
        <f aca="false">IF(B2878="TV Show",IFERROR(VALUE(LEFT(I2878,FIND(" ",I2878)-1)),""),"")</f>
        <v/>
      </c>
      <c r="P2878" s="7" t="n">
        <f aca="false">IF(K2878="","",K2878-G2878)</f>
        <v>0</v>
      </c>
    </row>
    <row r="2879" customFormat="false" ht="15" hidden="false" customHeight="false" outlineLevel="0" collapsed="false">
      <c r="A2879" s="7" t="n">
        <v>80014857</v>
      </c>
      <c r="B2879" s="7" t="s">
        <v>68</v>
      </c>
      <c r="C2879" s="7" t="s">
        <v>6150</v>
      </c>
      <c r="D2879" s="7" t="s">
        <v>2253</v>
      </c>
      <c r="E2879" s="7" t="s">
        <v>26</v>
      </c>
      <c r="F2879" s="7" t="s">
        <v>6147</v>
      </c>
      <c r="G2879" s="7" t="n">
        <v>2014</v>
      </c>
      <c r="H2879" s="7" t="s">
        <v>51</v>
      </c>
      <c r="I2879" s="7" t="s">
        <v>181</v>
      </c>
      <c r="J2879" s="7" t="s">
        <v>265</v>
      </c>
      <c r="K2879" s="7" t="n">
        <f aca="false">IFERROR(VALUE(RIGHT(TRIM(F2879),4)),"")</f>
        <v>2018</v>
      </c>
      <c r="L2879" s="7" t="str">
        <f aca="false">IF(TRIM(E2879)="","Unknown",IFERROR(LEFT(TRIM(E2879),FIND(",",TRIM(E2879))-1),TRIM(E2879)))</f>
        <v>United States</v>
      </c>
      <c r="M2879" s="7" t="str">
        <f aca="false">IFERROR(LEFT(J2879,FIND(",",J2879)-1),J2879)</f>
        <v>Horror Movies</v>
      </c>
      <c r="N2879" s="7" t="n">
        <f aca="false">IF(B2879="Movie",IFERROR(VALUE(LEFT(I2879,FIND(" ",I2879)-1)),""),"")</f>
        <v>102</v>
      </c>
      <c r="O2879" s="7" t="str">
        <f aca="false">IF(B2879="TV Show",IFERROR(VALUE(LEFT(I2879,FIND(" ",I2879)-1)),""),"")</f>
        <v/>
      </c>
      <c r="P2879" s="7" t="n">
        <f aca="false">IF(K2879="","",K2879-G2879)</f>
        <v>4</v>
      </c>
    </row>
    <row r="2880" customFormat="false" ht="15" hidden="false" customHeight="false" outlineLevel="0" collapsed="false">
      <c r="A2880" s="7" t="n">
        <v>80147988</v>
      </c>
      <c r="B2880" s="7" t="s">
        <v>68</v>
      </c>
      <c r="C2880" s="7" t="s">
        <v>6151</v>
      </c>
      <c r="D2880" s="7" t="s">
        <v>6152</v>
      </c>
      <c r="E2880" s="7" t="s">
        <v>5688</v>
      </c>
      <c r="F2880" s="7" t="s">
        <v>6153</v>
      </c>
      <c r="G2880" s="7" t="n">
        <v>2016</v>
      </c>
      <c r="H2880" s="7" t="s">
        <v>49</v>
      </c>
      <c r="I2880" s="7" t="s">
        <v>470</v>
      </c>
      <c r="J2880" s="7" t="s">
        <v>509</v>
      </c>
      <c r="K2880" s="7" t="n">
        <f aca="false">IFERROR(VALUE(RIGHT(TRIM(F2880),4)),"")</f>
        <v>2017</v>
      </c>
      <c r="L2880" s="7" t="str">
        <f aca="false">IF(TRIM(E2880)="","Unknown",IFERROR(LEFT(TRIM(E2880),FIND(",",TRIM(E2880))-1),TRIM(E2880)))</f>
        <v>Sweden</v>
      </c>
      <c r="M2880" s="7" t="str">
        <f aca="false">IFERROR(LEFT(J2880,FIND(",",J2880)-1),J2880)</f>
        <v>Documentaries</v>
      </c>
      <c r="N2880" s="7" t="n">
        <f aca="false">IF(B2880="Movie",IFERROR(VALUE(LEFT(I2880,FIND(" ",I2880)-1)),""),"")</f>
        <v>91</v>
      </c>
      <c r="O2880" s="7" t="str">
        <f aca="false">IF(B2880="TV Show",IFERROR(VALUE(LEFT(I2880,FIND(" ",I2880)-1)),""),"")</f>
        <v/>
      </c>
      <c r="P2880" s="7" t="n">
        <f aca="false">IF(K2880="","",K2880-G2880)</f>
        <v>1</v>
      </c>
    </row>
    <row r="2881" customFormat="false" ht="15" hidden="false" customHeight="false" outlineLevel="0" collapsed="false">
      <c r="A2881" s="7" t="n">
        <v>80145512</v>
      </c>
      <c r="B2881" s="7" t="s">
        <v>68</v>
      </c>
      <c r="C2881" s="7" t="s">
        <v>6154</v>
      </c>
      <c r="D2881" s="7" t="s">
        <v>6155</v>
      </c>
      <c r="E2881" s="7" t="s">
        <v>26</v>
      </c>
      <c r="F2881" s="7" t="s">
        <v>6153</v>
      </c>
      <c r="G2881" s="7" t="n">
        <v>2015</v>
      </c>
      <c r="H2881" s="7" t="s">
        <v>52</v>
      </c>
      <c r="I2881" s="7" t="s">
        <v>93</v>
      </c>
      <c r="J2881" s="7" t="s">
        <v>37</v>
      </c>
      <c r="K2881" s="7" t="n">
        <f aca="false">IFERROR(VALUE(RIGHT(TRIM(F2881),4)),"")</f>
        <v>2017</v>
      </c>
      <c r="L2881" s="7" t="str">
        <f aca="false">IF(TRIM(E2881)="","Unknown",IFERROR(LEFT(TRIM(E2881),FIND(",",TRIM(E2881))-1),TRIM(E2881)))</f>
        <v>United States</v>
      </c>
      <c r="M2881" s="7" t="str">
        <f aca="false">IFERROR(LEFT(J2881,FIND(",",J2881)-1),J2881)</f>
        <v>Dramas</v>
      </c>
      <c r="N2881" s="7" t="n">
        <f aca="false">IF(B2881="Movie",IFERROR(VALUE(LEFT(I2881,FIND(" ",I2881)-1)),""),"")</f>
        <v>110</v>
      </c>
      <c r="O2881" s="7" t="str">
        <f aca="false">IF(B2881="TV Show",IFERROR(VALUE(LEFT(I2881,FIND(" ",I2881)-1)),""),"")</f>
        <v/>
      </c>
      <c r="P2881" s="7" t="n">
        <f aca="false">IF(K2881="","",K2881-G2881)</f>
        <v>2</v>
      </c>
    </row>
    <row r="2882" customFormat="false" ht="15" hidden="false" customHeight="false" outlineLevel="0" collapsed="false">
      <c r="A2882" s="7" t="n">
        <v>81128790</v>
      </c>
      <c r="B2882" s="7" t="s">
        <v>78</v>
      </c>
      <c r="C2882" s="7" t="s">
        <v>6156</v>
      </c>
      <c r="F2882" s="7" t="s">
        <v>6157</v>
      </c>
      <c r="G2882" s="7" t="n">
        <v>2019</v>
      </c>
      <c r="H2882" s="7" t="s">
        <v>50</v>
      </c>
      <c r="I2882" s="7" t="s">
        <v>82</v>
      </c>
      <c r="J2882" s="7" t="s">
        <v>41</v>
      </c>
      <c r="K2882" s="7" t="n">
        <f aca="false">IFERROR(VALUE(RIGHT(TRIM(F2882),4)),"")</f>
        <v>2019</v>
      </c>
      <c r="L2882" s="7" t="str">
        <f aca="false">IF(TRIM(E2882)="","Unknown",IFERROR(LEFT(TRIM(E2882),FIND(",",TRIM(E2882))-1),TRIM(E2882)))</f>
        <v>Unknown</v>
      </c>
      <c r="M2882" s="7" t="str">
        <f aca="false">IFERROR(LEFT(J2882,FIND(",",J2882)-1),J2882)</f>
        <v>International TV Shows</v>
      </c>
      <c r="N2882" s="7" t="str">
        <f aca="false">IF(B2882="Movie",IFERROR(VALUE(LEFT(I2882,FIND(" ",I2882)-1)),""),"")</f>
        <v/>
      </c>
      <c r="O2882" s="7" t="n">
        <f aca="false">IF(B2882="TV Show",IFERROR(VALUE(LEFT(I2882,FIND(" ",I2882)-1)),""),"")</f>
        <v>1</v>
      </c>
      <c r="P2882" s="7" t="n">
        <f aca="false">IF(K2882="","",K2882-G2882)</f>
        <v>0</v>
      </c>
    </row>
    <row r="2883" customFormat="false" ht="15" hidden="false" customHeight="false" outlineLevel="0" collapsed="false">
      <c r="A2883" s="7" t="n">
        <v>80225024</v>
      </c>
      <c r="B2883" s="7" t="s">
        <v>68</v>
      </c>
      <c r="C2883" s="7" t="s">
        <v>6158</v>
      </c>
      <c r="D2883" s="7" t="s">
        <v>3155</v>
      </c>
      <c r="E2883" s="7" t="s">
        <v>26</v>
      </c>
      <c r="F2883" s="7" t="s">
        <v>6157</v>
      </c>
      <c r="G2883" s="7" t="n">
        <v>2018</v>
      </c>
      <c r="H2883" s="7" t="s">
        <v>49</v>
      </c>
      <c r="I2883" s="7" t="s">
        <v>330</v>
      </c>
      <c r="J2883" s="7" t="s">
        <v>177</v>
      </c>
      <c r="K2883" s="7" t="n">
        <f aca="false">IFERROR(VALUE(RIGHT(TRIM(F2883),4)),"")</f>
        <v>2019</v>
      </c>
      <c r="L2883" s="7" t="str">
        <f aca="false">IF(TRIM(E2883)="","Unknown",IFERROR(LEFT(TRIM(E2883),FIND(",",TRIM(E2883))-1),TRIM(E2883)))</f>
        <v>United States</v>
      </c>
      <c r="M2883" s="7" t="str">
        <f aca="false">IFERROR(LEFT(J2883,FIND(",",J2883)-1),J2883)</f>
        <v>Comedies</v>
      </c>
      <c r="N2883" s="7" t="n">
        <f aca="false">IF(B2883="Movie",IFERROR(VALUE(LEFT(I2883,FIND(" ",I2883)-1)),""),"")</f>
        <v>103</v>
      </c>
      <c r="O2883" s="7" t="str">
        <f aca="false">IF(B2883="TV Show",IFERROR(VALUE(LEFT(I2883,FIND(" ",I2883)-1)),""),"")</f>
        <v/>
      </c>
      <c r="P2883" s="7" t="n">
        <f aca="false">IF(K2883="","",K2883-G2883)</f>
        <v>1</v>
      </c>
    </row>
    <row r="2884" customFormat="false" ht="15" hidden="false" customHeight="false" outlineLevel="0" collapsed="false">
      <c r="A2884" s="7" t="n">
        <v>80204616</v>
      </c>
      <c r="B2884" s="7" t="s">
        <v>68</v>
      </c>
      <c r="C2884" s="7" t="s">
        <v>6159</v>
      </c>
      <c r="D2884" s="7" t="s">
        <v>6160</v>
      </c>
      <c r="E2884" s="7" t="s">
        <v>2793</v>
      </c>
      <c r="F2884" s="7" t="s">
        <v>6161</v>
      </c>
      <c r="G2884" s="7" t="n">
        <v>2017</v>
      </c>
      <c r="H2884" s="7" t="s">
        <v>49</v>
      </c>
      <c r="I2884" s="7" t="s">
        <v>628</v>
      </c>
      <c r="J2884" s="7" t="s">
        <v>6162</v>
      </c>
      <c r="K2884" s="7" t="n">
        <f aca="false">IFERROR(VALUE(RIGHT(TRIM(F2884),4)),"")</f>
        <v>2018</v>
      </c>
      <c r="L2884" s="7" t="str">
        <f aca="false">IF(TRIM(E2884)="","Unknown",IFERROR(LEFT(TRIM(E2884),FIND(",",TRIM(E2884))-1),TRIM(E2884)))</f>
        <v>Italy</v>
      </c>
      <c r="M2884" s="7" t="str">
        <f aca="false">IFERROR(LEFT(J2884,FIND(",",J2884)-1),J2884)</f>
        <v>Documentaries</v>
      </c>
      <c r="N2884" s="7" t="n">
        <f aca="false">IF(B2884="Movie",IFERROR(VALUE(LEFT(I2884,FIND(" ",I2884)-1)),""),"")</f>
        <v>69</v>
      </c>
      <c r="O2884" s="7" t="str">
        <f aca="false">IF(B2884="TV Show",IFERROR(VALUE(LEFT(I2884,FIND(" ",I2884)-1)),""),"")</f>
        <v/>
      </c>
      <c r="P2884" s="7" t="n">
        <f aca="false">IF(K2884="","",K2884-G2884)</f>
        <v>1</v>
      </c>
    </row>
    <row r="2885" customFormat="false" ht="15" hidden="false" customHeight="false" outlineLevel="0" collapsed="false">
      <c r="A2885" s="7" t="n">
        <v>70108777</v>
      </c>
      <c r="B2885" s="7" t="s">
        <v>68</v>
      </c>
      <c r="C2885" s="7" t="s">
        <v>6163</v>
      </c>
      <c r="D2885" s="7" t="s">
        <v>1448</v>
      </c>
      <c r="E2885" s="7" t="s">
        <v>2057</v>
      </c>
      <c r="F2885" s="7" t="s">
        <v>6164</v>
      </c>
      <c r="G2885" s="7" t="n">
        <v>2009</v>
      </c>
      <c r="H2885" s="7" t="s">
        <v>51</v>
      </c>
      <c r="I2885" s="7" t="s">
        <v>722</v>
      </c>
      <c r="J2885" s="7" t="s">
        <v>40</v>
      </c>
      <c r="K2885" s="7" t="n">
        <f aca="false">IFERROR(VALUE(RIGHT(TRIM(F2885),4)),"")</f>
        <v>2019</v>
      </c>
      <c r="L2885" s="7" t="str">
        <f aca="false">IF(TRIM(E2885)="","Unknown",IFERROR(LEFT(TRIM(E2885),FIND(",",TRIM(E2885))-1),TRIM(E2885)))</f>
        <v>Germany</v>
      </c>
      <c r="M2885" s="7" t="str">
        <f aca="false">IFERROR(LEFT(J2885,FIND(",",J2885)-1),J2885)</f>
        <v>Action &amp; Adventure</v>
      </c>
      <c r="N2885" s="7" t="n">
        <f aca="false">IF(B2885="Movie",IFERROR(VALUE(LEFT(I2885,FIND(" ",I2885)-1)),""),"")</f>
        <v>153</v>
      </c>
      <c r="O2885" s="7" t="str">
        <f aca="false">IF(B2885="TV Show",IFERROR(VALUE(LEFT(I2885,FIND(" ",I2885)-1)),""),"")</f>
        <v/>
      </c>
      <c r="P2885" s="7" t="n">
        <f aca="false">IF(K2885="","",K2885-G2885)</f>
        <v>10</v>
      </c>
    </row>
    <row r="2886" customFormat="false" ht="15" hidden="false" customHeight="false" outlineLevel="0" collapsed="false">
      <c r="A2886" s="7" t="n">
        <v>80217743</v>
      </c>
      <c r="B2886" s="7" t="s">
        <v>78</v>
      </c>
      <c r="C2886" s="7" t="s">
        <v>6165</v>
      </c>
      <c r="E2886" s="7" t="s">
        <v>28</v>
      </c>
      <c r="F2886" s="7" t="s">
        <v>6164</v>
      </c>
      <c r="G2886" s="7" t="n">
        <v>2017</v>
      </c>
      <c r="H2886" s="7" t="s">
        <v>49</v>
      </c>
      <c r="I2886" s="7" t="s">
        <v>82</v>
      </c>
      <c r="J2886" s="7" t="s">
        <v>716</v>
      </c>
      <c r="K2886" s="7" t="n">
        <f aca="false">IFERROR(VALUE(RIGHT(TRIM(F2886),4)),"")</f>
        <v>2019</v>
      </c>
      <c r="L2886" s="7" t="str">
        <f aca="false">IF(TRIM(E2886)="","Unknown",IFERROR(LEFT(TRIM(E2886),FIND(",",TRIM(E2886))-1),TRIM(E2886)))</f>
        <v>United Kingdom</v>
      </c>
      <c r="M2886" s="7" t="str">
        <f aca="false">IFERROR(LEFT(J2886,FIND(",",J2886)-1),J2886)</f>
        <v>British TV Shows</v>
      </c>
      <c r="N2886" s="7" t="str">
        <f aca="false">IF(B2886="Movie",IFERROR(VALUE(LEFT(I2886,FIND(" ",I2886)-1)),""),"")</f>
        <v/>
      </c>
      <c r="O2886" s="7" t="n">
        <f aca="false">IF(B2886="TV Show",IFERROR(VALUE(LEFT(I2886,FIND(" ",I2886)-1)),""),"")</f>
        <v>1</v>
      </c>
      <c r="P2886" s="7" t="n">
        <f aca="false">IF(K2886="","",K2886-G2886)</f>
        <v>2</v>
      </c>
    </row>
    <row r="2887" customFormat="false" ht="15" hidden="false" customHeight="false" outlineLevel="0" collapsed="false">
      <c r="A2887" s="7" t="n">
        <v>80233419</v>
      </c>
      <c r="B2887" s="7" t="s">
        <v>78</v>
      </c>
      <c r="C2887" s="7" t="s">
        <v>6166</v>
      </c>
      <c r="E2887" s="7" t="s">
        <v>26</v>
      </c>
      <c r="F2887" s="7" t="s">
        <v>6164</v>
      </c>
      <c r="G2887" s="7" t="n">
        <v>2015</v>
      </c>
      <c r="H2887" s="7" t="s">
        <v>48</v>
      </c>
      <c r="I2887" s="7" t="s">
        <v>82</v>
      </c>
      <c r="J2887" s="7" t="s">
        <v>884</v>
      </c>
      <c r="K2887" s="7" t="n">
        <f aca="false">IFERROR(VALUE(RIGHT(TRIM(F2887),4)),"")</f>
        <v>2019</v>
      </c>
      <c r="L2887" s="7" t="str">
        <f aca="false">IF(TRIM(E2887)="","Unknown",IFERROR(LEFT(TRIM(E2887),FIND(",",TRIM(E2887))-1),TRIM(E2887)))</f>
        <v>United States</v>
      </c>
      <c r="M2887" s="7" t="str">
        <f aca="false">IFERROR(LEFT(J2887,FIND(",",J2887)-1),J2887)</f>
        <v>International TV Shows</v>
      </c>
      <c r="N2887" s="7" t="str">
        <f aca="false">IF(B2887="Movie",IFERROR(VALUE(LEFT(I2887,FIND(" ",I2887)-1)),""),"")</f>
        <v/>
      </c>
      <c r="O2887" s="7" t="n">
        <f aca="false">IF(B2887="TV Show",IFERROR(VALUE(LEFT(I2887,FIND(" ",I2887)-1)),""),"")</f>
        <v>1</v>
      </c>
      <c r="P2887" s="7" t="n">
        <f aca="false">IF(K2887="","",K2887-G2887)</f>
        <v>4</v>
      </c>
    </row>
    <row r="2888" customFormat="false" ht="15" hidden="false" customHeight="false" outlineLevel="0" collapsed="false">
      <c r="A2888" s="7" t="n">
        <v>70259259</v>
      </c>
      <c r="B2888" s="7" t="s">
        <v>68</v>
      </c>
      <c r="C2888" s="7" t="s">
        <v>6167</v>
      </c>
      <c r="D2888" s="7" t="s">
        <v>6168</v>
      </c>
      <c r="E2888" s="7" t="s">
        <v>6169</v>
      </c>
      <c r="F2888" s="7" t="s">
        <v>6164</v>
      </c>
      <c r="G2888" s="7" t="n">
        <v>2012</v>
      </c>
      <c r="H2888" s="7" t="s">
        <v>52</v>
      </c>
      <c r="I2888" s="7" t="s">
        <v>77</v>
      </c>
      <c r="J2888" s="7" t="s">
        <v>198</v>
      </c>
      <c r="K2888" s="7" t="n">
        <f aca="false">IFERROR(VALUE(RIGHT(TRIM(F2888),4)),"")</f>
        <v>2019</v>
      </c>
      <c r="L2888" s="7" t="str">
        <f aca="false">IF(TRIM(E2888)="","Unknown",IFERROR(LEFT(TRIM(E2888),FIND(",",TRIM(E2888))-1),TRIM(E2888)))</f>
        <v>United Kingdom</v>
      </c>
      <c r="M2888" s="7" t="str">
        <f aca="false">IFERROR(LEFT(J2888,FIND(",",J2888)-1),J2888)</f>
        <v>Comedies</v>
      </c>
      <c r="N2888" s="7" t="n">
        <f aca="false">IF(B2888="Movie",IFERROR(VALUE(LEFT(I2888,FIND(" ",I2888)-1)),""),"")</f>
        <v>94</v>
      </c>
      <c r="O2888" s="7" t="str">
        <f aca="false">IF(B2888="TV Show",IFERROR(VALUE(LEFT(I2888,FIND(" ",I2888)-1)),""),"")</f>
        <v/>
      </c>
      <c r="P2888" s="7" t="n">
        <f aca="false">IF(K2888="","",K2888-G2888)</f>
        <v>7</v>
      </c>
    </row>
    <row r="2889" customFormat="false" ht="15" hidden="false" customHeight="false" outlineLevel="0" collapsed="false">
      <c r="A2889" s="7" t="n">
        <v>80017021</v>
      </c>
      <c r="B2889" s="7" t="s">
        <v>68</v>
      </c>
      <c r="C2889" s="7" t="s">
        <v>6170</v>
      </c>
      <c r="D2889" s="7" t="s">
        <v>4915</v>
      </c>
      <c r="E2889" s="7" t="s">
        <v>4762</v>
      </c>
      <c r="F2889" s="7" t="s">
        <v>6171</v>
      </c>
      <c r="G2889" s="7" t="n">
        <v>2014</v>
      </c>
      <c r="H2889" s="7" t="s">
        <v>51</v>
      </c>
      <c r="I2889" s="7" t="s">
        <v>194</v>
      </c>
      <c r="J2889" s="7" t="s">
        <v>597</v>
      </c>
      <c r="K2889" s="7" t="n">
        <f aca="false">IFERROR(VALUE(RIGHT(TRIM(F2889),4)),"")</f>
        <v>2018</v>
      </c>
      <c r="L2889" s="7" t="str">
        <f aca="false">IF(TRIM(E2889)="","Unknown",IFERROR(LEFT(TRIM(E2889),FIND(",",TRIM(E2889))-1),TRIM(E2889)))</f>
        <v>United Arab Emirates</v>
      </c>
      <c r="M2889" s="7" t="str">
        <f aca="false">IFERROR(LEFT(J2889,FIND(",",J2889)-1),J2889)</f>
        <v>Dramas</v>
      </c>
      <c r="N2889" s="7" t="n">
        <f aca="false">IF(B2889="Movie",IFERROR(VALUE(LEFT(I2889,FIND(" ",I2889)-1)),""),"")</f>
        <v>125</v>
      </c>
      <c r="O2889" s="7" t="str">
        <f aca="false">IF(B2889="TV Show",IFERROR(VALUE(LEFT(I2889,FIND(" ",I2889)-1)),""),"")</f>
        <v/>
      </c>
      <c r="P2889" s="7" t="n">
        <f aca="false">IF(K2889="","",K2889-G2889)</f>
        <v>4</v>
      </c>
    </row>
    <row r="2890" customFormat="false" ht="15" hidden="false" customHeight="false" outlineLevel="0" collapsed="false">
      <c r="A2890" s="7" t="n">
        <v>70099615</v>
      </c>
      <c r="B2890" s="7" t="s">
        <v>68</v>
      </c>
      <c r="C2890" s="7" t="s">
        <v>6172</v>
      </c>
      <c r="D2890" s="7" t="s">
        <v>6173</v>
      </c>
      <c r="E2890" s="7" t="s">
        <v>26</v>
      </c>
      <c r="F2890" s="7" t="s">
        <v>6171</v>
      </c>
      <c r="G2890" s="7" t="n">
        <v>2008</v>
      </c>
      <c r="H2890" s="7" t="s">
        <v>54</v>
      </c>
      <c r="I2890" s="7" t="s">
        <v>87</v>
      </c>
      <c r="J2890" s="7" t="s">
        <v>74</v>
      </c>
      <c r="K2890" s="7" t="n">
        <f aca="false">IFERROR(VALUE(RIGHT(TRIM(F2890),4)),"")</f>
        <v>2018</v>
      </c>
      <c r="L2890" s="7" t="str">
        <f aca="false">IF(TRIM(E2890)="","Unknown",IFERROR(LEFT(TRIM(E2890),FIND(",",TRIM(E2890))-1),TRIM(E2890)))</f>
        <v>United States</v>
      </c>
      <c r="M2890" s="7" t="str">
        <f aca="false">IFERROR(LEFT(J2890,FIND(",",J2890)-1),J2890)</f>
        <v>Children &amp; Family Movies</v>
      </c>
      <c r="N2890" s="7" t="n">
        <f aca="false">IF(B2890="Movie",IFERROR(VALUE(LEFT(I2890,FIND(" ",I2890)-1)),""),"")</f>
        <v>99</v>
      </c>
      <c r="O2890" s="7" t="str">
        <f aca="false">IF(B2890="TV Show",IFERROR(VALUE(LEFT(I2890,FIND(" ",I2890)-1)),""),"")</f>
        <v/>
      </c>
      <c r="P2890" s="7" t="n">
        <f aca="false">IF(K2890="","",K2890-G2890)</f>
        <v>10</v>
      </c>
    </row>
    <row r="2891" customFormat="false" ht="15" hidden="false" customHeight="false" outlineLevel="0" collapsed="false">
      <c r="A2891" s="7" t="n">
        <v>70034607</v>
      </c>
      <c r="B2891" s="7" t="s">
        <v>68</v>
      </c>
      <c r="C2891" s="7" t="s">
        <v>6174</v>
      </c>
      <c r="D2891" s="7" t="s">
        <v>4262</v>
      </c>
      <c r="E2891" s="7" t="s">
        <v>27</v>
      </c>
      <c r="F2891" s="7" t="s">
        <v>6175</v>
      </c>
      <c r="G2891" s="7" t="n">
        <v>2005</v>
      </c>
      <c r="H2891" s="7" t="s">
        <v>50</v>
      </c>
      <c r="I2891" s="7" t="s">
        <v>921</v>
      </c>
      <c r="J2891" s="7" t="s">
        <v>240</v>
      </c>
      <c r="K2891" s="7" t="n">
        <f aca="false">IFERROR(VALUE(RIGHT(TRIM(F2891),4)),"")</f>
        <v>2019</v>
      </c>
      <c r="L2891" s="7" t="str">
        <f aca="false">IF(TRIM(E2891)="","Unknown",IFERROR(LEFT(TRIM(E2891),FIND(",",TRIM(E2891))-1),TRIM(E2891)))</f>
        <v>India</v>
      </c>
      <c r="M2891" s="7" t="str">
        <f aca="false">IFERROR(LEFT(J2891,FIND(",",J2891)-1),J2891)</f>
        <v>Dramas</v>
      </c>
      <c r="N2891" s="7" t="n">
        <f aca="false">IF(B2891="Movie",IFERROR(VALUE(LEFT(I2891,FIND(" ",I2891)-1)),""),"")</f>
        <v>149</v>
      </c>
      <c r="O2891" s="7" t="str">
        <f aca="false">IF(B2891="TV Show",IFERROR(VALUE(LEFT(I2891,FIND(" ",I2891)-1)),""),"")</f>
        <v/>
      </c>
      <c r="P2891" s="7" t="n">
        <f aca="false">IF(K2891="","",K2891-G2891)</f>
        <v>14</v>
      </c>
    </row>
    <row r="2892" customFormat="false" ht="15" hidden="false" customHeight="false" outlineLevel="0" collapsed="false">
      <c r="A2892" s="7" t="n">
        <v>70118801</v>
      </c>
      <c r="B2892" s="7" t="s">
        <v>68</v>
      </c>
      <c r="C2892" s="7" t="s">
        <v>6176</v>
      </c>
      <c r="D2892" s="7" t="s">
        <v>6177</v>
      </c>
      <c r="E2892" s="7" t="s">
        <v>2476</v>
      </c>
      <c r="F2892" s="7" t="s">
        <v>6175</v>
      </c>
      <c r="G2892" s="7" t="n">
        <v>2008</v>
      </c>
      <c r="H2892" s="7" t="s">
        <v>48</v>
      </c>
      <c r="I2892" s="7" t="s">
        <v>326</v>
      </c>
      <c r="J2892" s="7" t="s">
        <v>322</v>
      </c>
      <c r="K2892" s="7" t="n">
        <f aca="false">IFERROR(VALUE(RIGHT(TRIM(F2892),4)),"")</f>
        <v>2019</v>
      </c>
      <c r="L2892" s="7" t="str">
        <f aca="false">IF(TRIM(E2892)="","Unknown",IFERROR(LEFT(TRIM(E2892),FIND(",",TRIM(E2892))-1),TRIM(E2892)))</f>
        <v>China</v>
      </c>
      <c r="M2892" s="7" t="str">
        <f aca="false">IFERROR(LEFT(J2892,FIND(",",J2892)-1),J2892)</f>
        <v>Action &amp; Adventure</v>
      </c>
      <c r="N2892" s="7" t="n">
        <f aca="false">IF(B2892="Movie",IFERROR(VALUE(LEFT(I2892,FIND(" ",I2892)-1)),""),"")</f>
        <v>111</v>
      </c>
      <c r="O2892" s="7" t="str">
        <f aca="false">IF(B2892="TV Show",IFERROR(VALUE(LEFT(I2892,FIND(" ",I2892)-1)),""),"")</f>
        <v/>
      </c>
      <c r="P2892" s="7" t="n">
        <f aca="false">IF(K2892="","",K2892-G2892)</f>
        <v>11</v>
      </c>
    </row>
    <row r="2893" customFormat="false" ht="15" hidden="false" customHeight="false" outlineLevel="0" collapsed="false">
      <c r="A2893" s="7" t="n">
        <v>80213654</v>
      </c>
      <c r="B2893" s="7" t="s">
        <v>68</v>
      </c>
      <c r="C2893" s="7" t="s">
        <v>6178</v>
      </c>
      <c r="D2893" s="7" t="s">
        <v>1151</v>
      </c>
      <c r="E2893" s="7" t="s">
        <v>26</v>
      </c>
      <c r="F2893" s="7" t="s">
        <v>6175</v>
      </c>
      <c r="G2893" s="7" t="n">
        <v>2018</v>
      </c>
      <c r="H2893" s="7" t="s">
        <v>48</v>
      </c>
      <c r="I2893" s="7" t="s">
        <v>114</v>
      </c>
      <c r="J2893" s="7" t="s">
        <v>45</v>
      </c>
      <c r="K2893" s="7" t="n">
        <f aca="false">IFERROR(VALUE(RIGHT(TRIM(F2893),4)),"")</f>
        <v>2019</v>
      </c>
      <c r="L2893" s="7" t="str">
        <f aca="false">IF(TRIM(E2893)="","Unknown",IFERROR(LEFT(TRIM(E2893),FIND(",",TRIM(E2893))-1),TRIM(E2893)))</f>
        <v>United States</v>
      </c>
      <c r="M2893" s="7" t="str">
        <f aca="false">IFERROR(LEFT(J2893,FIND(",",J2893)-1),J2893)</f>
        <v>Stand-Up Comedy</v>
      </c>
      <c r="N2893" s="7" t="n">
        <f aca="false">IF(B2893="Movie",IFERROR(VALUE(LEFT(I2893,FIND(" ",I2893)-1)),""),"")</f>
        <v>58</v>
      </c>
      <c r="O2893" s="7" t="str">
        <f aca="false">IF(B2893="TV Show",IFERROR(VALUE(LEFT(I2893,FIND(" ",I2893)-1)),""),"")</f>
        <v/>
      </c>
      <c r="P2893" s="7" t="n">
        <f aca="false">IF(K2893="","",K2893-G2893)</f>
        <v>1</v>
      </c>
    </row>
    <row r="2894" customFormat="false" ht="15" hidden="false" customHeight="false" outlineLevel="0" collapsed="false">
      <c r="A2894" s="7" t="n">
        <v>80158802</v>
      </c>
      <c r="B2894" s="7" t="s">
        <v>68</v>
      </c>
      <c r="C2894" s="7" t="s">
        <v>6179</v>
      </c>
      <c r="D2894" s="7" t="s">
        <v>6180</v>
      </c>
      <c r="E2894" s="7" t="s">
        <v>26</v>
      </c>
      <c r="F2894" s="7" t="s">
        <v>6175</v>
      </c>
      <c r="G2894" s="7" t="n">
        <v>2018</v>
      </c>
      <c r="H2894" s="7" t="s">
        <v>48</v>
      </c>
      <c r="I2894" s="7" t="s">
        <v>1599</v>
      </c>
      <c r="J2894" s="7" t="s">
        <v>45</v>
      </c>
      <c r="K2894" s="7" t="n">
        <f aca="false">IFERROR(VALUE(RIGHT(TRIM(F2894),4)),"")</f>
        <v>2019</v>
      </c>
      <c r="L2894" s="7" t="str">
        <f aca="false">IF(TRIM(E2894)="","Unknown",IFERROR(LEFT(TRIM(E2894),FIND(",",TRIM(E2894))-1),TRIM(E2894)))</f>
        <v>United States</v>
      </c>
      <c r="M2894" s="7" t="str">
        <f aca="false">IFERROR(LEFT(J2894,FIND(",",J2894)-1),J2894)</f>
        <v>Stand-Up Comedy</v>
      </c>
      <c r="N2894" s="7" t="n">
        <f aca="false">IF(B2894="Movie",IFERROR(VALUE(LEFT(I2894,FIND(" ",I2894)-1)),""),"")</f>
        <v>56</v>
      </c>
      <c r="O2894" s="7" t="str">
        <f aca="false">IF(B2894="TV Show",IFERROR(VALUE(LEFT(I2894,FIND(" ",I2894)-1)),""),"")</f>
        <v/>
      </c>
      <c r="P2894" s="7" t="n">
        <f aca="false">IF(K2894="","",K2894-G2894)</f>
        <v>1</v>
      </c>
    </row>
    <row r="2895" customFormat="false" ht="15" hidden="false" customHeight="false" outlineLevel="0" collapsed="false">
      <c r="A2895" s="7" t="n">
        <v>70117354</v>
      </c>
      <c r="B2895" s="7" t="s">
        <v>68</v>
      </c>
      <c r="C2895" s="7" t="s">
        <v>6181</v>
      </c>
      <c r="D2895" s="7" t="s">
        <v>2626</v>
      </c>
      <c r="E2895" s="7" t="s">
        <v>411</v>
      </c>
      <c r="F2895" s="7" t="s">
        <v>6175</v>
      </c>
      <c r="G2895" s="7" t="n">
        <v>2008</v>
      </c>
      <c r="H2895" s="7" t="s">
        <v>48</v>
      </c>
      <c r="I2895" s="7" t="s">
        <v>93</v>
      </c>
      <c r="J2895" s="7" t="s">
        <v>322</v>
      </c>
      <c r="K2895" s="7" t="n">
        <f aca="false">IFERROR(VALUE(RIGHT(TRIM(F2895),4)),"")</f>
        <v>2019</v>
      </c>
      <c r="L2895" s="7" t="str">
        <f aca="false">IF(TRIM(E2895)="","Unknown",IFERROR(LEFT(TRIM(E2895),FIND(",",TRIM(E2895))-1),TRIM(E2895)))</f>
        <v>Hong Kong</v>
      </c>
      <c r="M2895" s="7" t="str">
        <f aca="false">IFERROR(LEFT(J2895,FIND(",",J2895)-1),J2895)</f>
        <v>Action &amp; Adventure</v>
      </c>
      <c r="N2895" s="7" t="n">
        <f aca="false">IF(B2895="Movie",IFERROR(VALUE(LEFT(I2895,FIND(" ",I2895)-1)),""),"")</f>
        <v>110</v>
      </c>
      <c r="O2895" s="7" t="str">
        <f aca="false">IF(B2895="TV Show",IFERROR(VALUE(LEFT(I2895,FIND(" ",I2895)-1)),""),"")</f>
        <v/>
      </c>
      <c r="P2895" s="7" t="n">
        <f aca="false">IF(K2895="","",K2895-G2895)</f>
        <v>11</v>
      </c>
    </row>
    <row r="2896" customFormat="false" ht="15" hidden="false" customHeight="false" outlineLevel="0" collapsed="false">
      <c r="A2896" s="7" t="n">
        <v>81036524</v>
      </c>
      <c r="B2896" s="7" t="s">
        <v>68</v>
      </c>
      <c r="C2896" s="7" t="s">
        <v>6182</v>
      </c>
      <c r="D2896" s="7" t="s">
        <v>6183</v>
      </c>
      <c r="E2896" s="7" t="s">
        <v>411</v>
      </c>
      <c r="F2896" s="7" t="s">
        <v>6175</v>
      </c>
      <c r="G2896" s="7" t="n">
        <v>2013</v>
      </c>
      <c r="H2896" s="7" t="s">
        <v>49</v>
      </c>
      <c r="I2896" s="7" t="s">
        <v>134</v>
      </c>
      <c r="J2896" s="7" t="s">
        <v>202</v>
      </c>
      <c r="K2896" s="7" t="n">
        <f aca="false">IFERROR(VALUE(RIGHT(TRIM(F2896),4)),"")</f>
        <v>2019</v>
      </c>
      <c r="L2896" s="7" t="str">
        <f aca="false">IF(TRIM(E2896)="","Unknown",IFERROR(LEFT(TRIM(E2896),FIND(",",TRIM(E2896))-1),TRIM(E2896)))</f>
        <v>Hong Kong</v>
      </c>
      <c r="M2896" s="7" t="str">
        <f aca="false">IFERROR(LEFT(J2896,FIND(",",J2896)-1),J2896)</f>
        <v>Comedies</v>
      </c>
      <c r="N2896" s="7" t="n">
        <f aca="false">IF(B2896="Movie",IFERROR(VALUE(LEFT(I2896,FIND(" ",I2896)-1)),""),"")</f>
        <v>98</v>
      </c>
      <c r="O2896" s="7" t="str">
        <f aca="false">IF(B2896="TV Show",IFERROR(VALUE(LEFT(I2896,FIND(" ",I2896)-1)),""),"")</f>
        <v/>
      </c>
      <c r="P2896" s="7" t="n">
        <f aca="false">IF(K2896="","",K2896-G2896)</f>
        <v>6</v>
      </c>
    </row>
    <row r="2897" customFormat="false" ht="15" hidden="false" customHeight="false" outlineLevel="0" collapsed="false">
      <c r="A2897" s="7" t="n">
        <v>70025372</v>
      </c>
      <c r="B2897" s="7" t="s">
        <v>68</v>
      </c>
      <c r="C2897" s="7" t="s">
        <v>6184</v>
      </c>
      <c r="D2897" s="7" t="s">
        <v>6185</v>
      </c>
      <c r="E2897" s="7" t="s">
        <v>429</v>
      </c>
      <c r="F2897" s="7" t="s">
        <v>6175</v>
      </c>
      <c r="G2897" s="7" t="n">
        <v>2004</v>
      </c>
      <c r="H2897" s="7" t="s">
        <v>49</v>
      </c>
      <c r="I2897" s="7" t="s">
        <v>173</v>
      </c>
      <c r="J2897" s="7" t="s">
        <v>139</v>
      </c>
      <c r="K2897" s="7" t="n">
        <f aca="false">IFERROR(VALUE(RIGHT(TRIM(F2897),4)),"")</f>
        <v>2019</v>
      </c>
      <c r="L2897" s="7" t="str">
        <f aca="false">IF(TRIM(E2897)="","Unknown",IFERROR(LEFT(TRIM(E2897),FIND(",",TRIM(E2897))-1),TRIM(E2897)))</f>
        <v>Hong Kong</v>
      </c>
      <c r="M2897" s="7" t="str">
        <f aca="false">IFERROR(LEFT(J2897,FIND(",",J2897)-1),J2897)</f>
        <v>Action &amp; Adventure</v>
      </c>
      <c r="N2897" s="7" t="n">
        <f aca="false">IF(B2897="Movie",IFERROR(VALUE(LEFT(I2897,FIND(" ",I2897)-1)),""),"")</f>
        <v>106</v>
      </c>
      <c r="O2897" s="7" t="str">
        <f aca="false">IF(B2897="TV Show",IFERROR(VALUE(LEFT(I2897,FIND(" ",I2897)-1)),""),"")</f>
        <v/>
      </c>
      <c r="P2897" s="7" t="n">
        <f aca="false">IF(K2897="","",K2897-G2897)</f>
        <v>15</v>
      </c>
    </row>
    <row r="2898" customFormat="false" ht="15" hidden="false" customHeight="false" outlineLevel="0" collapsed="false">
      <c r="A2898" s="7" t="n">
        <v>70123160</v>
      </c>
      <c r="B2898" s="7" t="s">
        <v>68</v>
      </c>
      <c r="C2898" s="7" t="s">
        <v>6186</v>
      </c>
      <c r="D2898" s="7" t="s">
        <v>6187</v>
      </c>
      <c r="E2898" s="7" t="s">
        <v>429</v>
      </c>
      <c r="F2898" s="7" t="s">
        <v>6175</v>
      </c>
      <c r="G2898" s="7" t="n">
        <v>2007</v>
      </c>
      <c r="H2898" s="7" t="s">
        <v>49</v>
      </c>
      <c r="I2898" s="7" t="s">
        <v>181</v>
      </c>
      <c r="J2898" s="7" t="s">
        <v>322</v>
      </c>
      <c r="K2898" s="7" t="n">
        <f aca="false">IFERROR(VALUE(RIGHT(TRIM(F2898),4)),"")</f>
        <v>2019</v>
      </c>
      <c r="L2898" s="7" t="str">
        <f aca="false">IF(TRIM(E2898)="","Unknown",IFERROR(LEFT(TRIM(E2898),FIND(",",TRIM(E2898))-1),TRIM(E2898)))</f>
        <v>Hong Kong</v>
      </c>
      <c r="M2898" s="7" t="str">
        <f aca="false">IFERROR(LEFT(J2898,FIND(",",J2898)-1),J2898)</f>
        <v>Action &amp; Adventure</v>
      </c>
      <c r="N2898" s="7" t="n">
        <f aca="false">IF(B2898="Movie",IFERROR(VALUE(LEFT(I2898,FIND(" ",I2898)-1)),""),"")</f>
        <v>102</v>
      </c>
      <c r="O2898" s="7" t="str">
        <f aca="false">IF(B2898="TV Show",IFERROR(VALUE(LEFT(I2898,FIND(" ",I2898)-1)),""),"")</f>
        <v/>
      </c>
      <c r="P2898" s="7" t="n">
        <f aca="false">IF(K2898="","",K2898-G2898)</f>
        <v>12</v>
      </c>
    </row>
    <row r="2899" customFormat="false" ht="15" hidden="false" customHeight="false" outlineLevel="0" collapsed="false">
      <c r="A2899" s="7" t="n">
        <v>70299270</v>
      </c>
      <c r="B2899" s="7" t="s">
        <v>68</v>
      </c>
      <c r="C2899" s="7" t="s">
        <v>6188</v>
      </c>
      <c r="D2899" s="7" t="s">
        <v>6189</v>
      </c>
      <c r="E2899" s="7" t="s">
        <v>26</v>
      </c>
      <c r="F2899" s="7" t="s">
        <v>6190</v>
      </c>
      <c r="G2899" s="7" t="n">
        <v>2014</v>
      </c>
      <c r="H2899" s="7" t="s">
        <v>51</v>
      </c>
      <c r="I2899" s="7" t="s">
        <v>357</v>
      </c>
      <c r="J2899" s="7" t="s">
        <v>4547</v>
      </c>
      <c r="K2899" s="7" t="n">
        <f aca="false">IFERROR(VALUE(RIGHT(TRIM(F2899),4)),"")</f>
        <v>2018</v>
      </c>
      <c r="L2899" s="7" t="str">
        <f aca="false">IF(TRIM(E2899)="","Unknown",IFERROR(LEFT(TRIM(E2899),FIND(",",TRIM(E2899))-1),TRIM(E2899)))</f>
        <v>United States</v>
      </c>
      <c r="M2899" s="7" t="str">
        <f aca="false">IFERROR(LEFT(J2899,FIND(",",J2899)-1),J2899)</f>
        <v>Comedies</v>
      </c>
      <c r="N2899" s="7" t="n">
        <f aca="false">IF(B2899="Movie",IFERROR(VALUE(LEFT(I2899,FIND(" ",I2899)-1)),""),"")</f>
        <v>89</v>
      </c>
      <c r="O2899" s="7" t="str">
        <f aca="false">IF(B2899="TV Show",IFERROR(VALUE(LEFT(I2899,FIND(" ",I2899)-1)),""),"")</f>
        <v/>
      </c>
      <c r="P2899" s="7" t="n">
        <f aca="false">IF(K2899="","",K2899-G2899)</f>
        <v>4</v>
      </c>
    </row>
    <row r="2900" customFormat="false" ht="15" hidden="false" customHeight="false" outlineLevel="0" collapsed="false">
      <c r="A2900" s="7" t="n">
        <v>80017280</v>
      </c>
      <c r="B2900" s="7" t="s">
        <v>68</v>
      </c>
      <c r="C2900" s="7" t="s">
        <v>6191</v>
      </c>
      <c r="D2900" s="7" t="s">
        <v>6192</v>
      </c>
      <c r="E2900" s="7" t="s">
        <v>3172</v>
      </c>
      <c r="F2900" s="7" t="s">
        <v>6190</v>
      </c>
      <c r="G2900" s="7" t="n">
        <v>2014</v>
      </c>
      <c r="H2900" s="7" t="s">
        <v>51</v>
      </c>
      <c r="I2900" s="7" t="s">
        <v>111</v>
      </c>
      <c r="J2900" s="7" t="s">
        <v>2939</v>
      </c>
      <c r="K2900" s="7" t="n">
        <f aca="false">IFERROR(VALUE(RIGHT(TRIM(F2900),4)),"")</f>
        <v>2018</v>
      </c>
      <c r="L2900" s="7" t="str">
        <f aca="false">IF(TRIM(E2900)="","Unknown",IFERROR(LEFT(TRIM(E2900),FIND(",",TRIM(E2900))-1),TRIM(E2900)))</f>
        <v>Hong Kong</v>
      </c>
      <c r="M2900" s="7" t="str">
        <f aca="false">IFERROR(LEFT(J2900,FIND(",",J2900)-1),J2900)</f>
        <v>Action &amp; Adventure</v>
      </c>
      <c r="N2900" s="7" t="n">
        <f aca="false">IF(B2900="Movie",IFERROR(VALUE(LEFT(I2900,FIND(" ",I2900)-1)),""),"")</f>
        <v>95</v>
      </c>
      <c r="O2900" s="7" t="str">
        <f aca="false">IF(B2900="TV Show",IFERROR(VALUE(LEFT(I2900,FIND(" ",I2900)-1)),""),"")</f>
        <v/>
      </c>
      <c r="P2900" s="7" t="n">
        <f aca="false">IF(K2900="","",K2900-G2900)</f>
        <v>4</v>
      </c>
    </row>
    <row r="2901" customFormat="false" ht="15" hidden="false" customHeight="false" outlineLevel="0" collapsed="false">
      <c r="A2901" s="7" t="n">
        <v>80155863</v>
      </c>
      <c r="B2901" s="7" t="s">
        <v>68</v>
      </c>
      <c r="C2901" s="7" t="s">
        <v>6193</v>
      </c>
      <c r="D2901" s="7" t="s">
        <v>3305</v>
      </c>
      <c r="E2901" s="7" t="s">
        <v>28</v>
      </c>
      <c r="F2901" s="7" t="s">
        <v>6194</v>
      </c>
      <c r="G2901" s="7" t="n">
        <v>2016</v>
      </c>
      <c r="H2901" s="7" t="s">
        <v>48</v>
      </c>
      <c r="I2901" s="7" t="s">
        <v>93</v>
      </c>
      <c r="J2901" s="7" t="s">
        <v>182</v>
      </c>
      <c r="K2901" s="7" t="n">
        <f aca="false">IFERROR(VALUE(RIGHT(TRIM(F2901),4)),"")</f>
        <v>2017</v>
      </c>
      <c r="L2901" s="7" t="str">
        <f aca="false">IF(TRIM(E2901)="","Unknown",IFERROR(LEFT(TRIM(E2901),FIND(",",TRIM(E2901))-1),TRIM(E2901)))</f>
        <v>United Kingdom</v>
      </c>
      <c r="M2901" s="7" t="str">
        <f aca="false">IFERROR(LEFT(J2901,FIND(",",J2901)-1),J2901)</f>
        <v>Dramas</v>
      </c>
      <c r="N2901" s="7" t="n">
        <f aca="false">IF(B2901="Movie",IFERROR(VALUE(LEFT(I2901,FIND(" ",I2901)-1)),""),"")</f>
        <v>110</v>
      </c>
      <c r="O2901" s="7" t="str">
        <f aca="false">IF(B2901="TV Show",IFERROR(VALUE(LEFT(I2901,FIND(" ",I2901)-1)),""),"")</f>
        <v/>
      </c>
      <c r="P2901" s="7" t="n">
        <f aca="false">IF(K2901="","",K2901-G2901)</f>
        <v>1</v>
      </c>
    </row>
    <row r="2902" customFormat="false" ht="15" hidden="false" customHeight="false" outlineLevel="0" collapsed="false">
      <c r="A2902" s="7" t="n">
        <v>80107087</v>
      </c>
      <c r="B2902" s="7" t="s">
        <v>68</v>
      </c>
      <c r="C2902" s="7" t="s">
        <v>6195</v>
      </c>
      <c r="D2902" s="7" t="s">
        <v>6196</v>
      </c>
      <c r="E2902" s="7" t="s">
        <v>26</v>
      </c>
      <c r="F2902" s="7" t="s">
        <v>6197</v>
      </c>
      <c r="G2902" s="7" t="n">
        <v>2016</v>
      </c>
      <c r="H2902" s="7" t="s">
        <v>49</v>
      </c>
      <c r="I2902" s="7" t="s">
        <v>494</v>
      </c>
      <c r="J2902" s="7" t="s">
        <v>38</v>
      </c>
      <c r="K2902" s="7" t="n">
        <f aca="false">IFERROR(VALUE(RIGHT(TRIM(F2902),4)),"")</f>
        <v>2016</v>
      </c>
      <c r="L2902" s="7" t="str">
        <f aca="false">IF(TRIM(E2902)="","Unknown",IFERROR(LEFT(TRIM(E2902),FIND(",",TRIM(E2902))-1),TRIM(E2902)))</f>
        <v>United States</v>
      </c>
      <c r="M2902" s="7" t="str">
        <f aca="false">IFERROR(LEFT(J2902,FIND(",",J2902)-1),J2902)</f>
        <v>Comedies</v>
      </c>
      <c r="N2902" s="7" t="n">
        <f aca="false">IF(B2902="Movie",IFERROR(VALUE(LEFT(I2902,FIND(" ",I2902)-1)),""),"")</f>
        <v>87</v>
      </c>
      <c r="O2902" s="7" t="str">
        <f aca="false">IF(B2902="TV Show",IFERROR(VALUE(LEFT(I2902,FIND(" ",I2902)-1)),""),"")</f>
        <v/>
      </c>
      <c r="P2902" s="7" t="n">
        <f aca="false">IF(K2902="","",K2902-G2902)</f>
        <v>0</v>
      </c>
    </row>
    <row r="2903" customFormat="false" ht="15" hidden="false" customHeight="false" outlineLevel="0" collapsed="false">
      <c r="A2903" s="7" t="n">
        <v>81035840</v>
      </c>
      <c r="B2903" s="7" t="s">
        <v>68</v>
      </c>
      <c r="C2903" s="7" t="s">
        <v>6198</v>
      </c>
      <c r="D2903" s="7" t="s">
        <v>6199</v>
      </c>
      <c r="E2903" s="7" t="s">
        <v>963</v>
      </c>
      <c r="F2903" s="7" t="s">
        <v>6200</v>
      </c>
      <c r="G2903" s="7" t="n">
        <v>2017</v>
      </c>
      <c r="H2903" s="7" t="s">
        <v>49</v>
      </c>
      <c r="I2903" s="7" t="s">
        <v>272</v>
      </c>
      <c r="J2903" s="7" t="s">
        <v>457</v>
      </c>
      <c r="K2903" s="7" t="n">
        <f aca="false">IFERROR(VALUE(RIGHT(TRIM(F2903),4)),"")</f>
        <v>2019</v>
      </c>
      <c r="L2903" s="7" t="str">
        <f aca="false">IF(TRIM(E2903)="","Unknown",IFERROR(LEFT(TRIM(E2903),FIND(",",TRIM(E2903))-1),TRIM(E2903)))</f>
        <v>Egypt</v>
      </c>
      <c r="M2903" s="7" t="str">
        <f aca="false">IFERROR(LEFT(J2903,FIND(",",J2903)-1),J2903)</f>
        <v>Comedies</v>
      </c>
      <c r="N2903" s="7" t="n">
        <f aca="false">IF(B2903="Movie",IFERROR(VALUE(LEFT(I2903,FIND(" ",I2903)-1)),""),"")</f>
        <v>93</v>
      </c>
      <c r="O2903" s="7" t="str">
        <f aca="false">IF(B2903="TV Show",IFERROR(VALUE(LEFT(I2903,FIND(" ",I2903)-1)),""),"")</f>
        <v/>
      </c>
      <c r="P2903" s="7" t="n">
        <f aca="false">IF(K2903="","",K2903-G2903)</f>
        <v>2</v>
      </c>
    </row>
    <row r="2904" customFormat="false" ht="15" hidden="false" customHeight="false" outlineLevel="0" collapsed="false">
      <c r="A2904" s="7" t="n">
        <v>81144516</v>
      </c>
      <c r="B2904" s="7" t="s">
        <v>78</v>
      </c>
      <c r="C2904" s="7" t="s">
        <v>6201</v>
      </c>
      <c r="F2904" s="7" t="s">
        <v>6200</v>
      </c>
      <c r="G2904" s="7" t="n">
        <v>2019</v>
      </c>
      <c r="H2904" s="7" t="s">
        <v>48</v>
      </c>
      <c r="I2904" s="7" t="s">
        <v>82</v>
      </c>
      <c r="J2904" s="7" t="s">
        <v>314</v>
      </c>
      <c r="K2904" s="7" t="n">
        <f aca="false">IFERROR(VALUE(RIGHT(TRIM(F2904),4)),"")</f>
        <v>2019</v>
      </c>
      <c r="L2904" s="7" t="str">
        <f aca="false">IF(TRIM(E2904)="","Unknown",IFERROR(LEFT(TRIM(E2904),FIND(",",TRIM(E2904))-1),TRIM(E2904)))</f>
        <v>Unknown</v>
      </c>
      <c r="M2904" s="7" t="str">
        <f aca="false">IFERROR(LEFT(J2904,FIND(",",J2904)-1),J2904)</f>
        <v>International TV Shows</v>
      </c>
      <c r="N2904" s="7" t="str">
        <f aca="false">IF(B2904="Movie",IFERROR(VALUE(LEFT(I2904,FIND(" ",I2904)-1)),""),"")</f>
        <v/>
      </c>
      <c r="O2904" s="7" t="n">
        <f aca="false">IF(B2904="TV Show",IFERROR(VALUE(LEFT(I2904,FIND(" ",I2904)-1)),""),"")</f>
        <v>1</v>
      </c>
      <c r="P2904" s="7" t="n">
        <f aca="false">IF(K2904="","",K2904-G2904)</f>
        <v>0</v>
      </c>
    </row>
    <row r="2905" customFormat="false" ht="15" hidden="false" customHeight="false" outlineLevel="0" collapsed="false">
      <c r="A2905" s="7" t="n">
        <v>80184067</v>
      </c>
      <c r="B2905" s="7" t="s">
        <v>78</v>
      </c>
      <c r="C2905" s="7" t="s">
        <v>6202</v>
      </c>
      <c r="E2905" s="7" t="s">
        <v>28</v>
      </c>
      <c r="F2905" s="7" t="s">
        <v>6203</v>
      </c>
      <c r="G2905" s="7" t="n">
        <v>2018</v>
      </c>
      <c r="H2905" s="7" t="s">
        <v>50</v>
      </c>
      <c r="I2905" s="7" t="s">
        <v>82</v>
      </c>
      <c r="J2905" s="7" t="s">
        <v>716</v>
      </c>
      <c r="K2905" s="7" t="n">
        <f aca="false">IFERROR(VALUE(RIGHT(TRIM(F2905),4)),"")</f>
        <v>2018</v>
      </c>
      <c r="L2905" s="7" t="str">
        <f aca="false">IF(TRIM(E2905)="","Unknown",IFERROR(LEFT(TRIM(E2905),FIND(",",TRIM(E2905))-1),TRIM(E2905)))</f>
        <v>United Kingdom</v>
      </c>
      <c r="M2905" s="7" t="str">
        <f aca="false">IFERROR(LEFT(J2905,FIND(",",J2905)-1),J2905)</f>
        <v>British TV Shows</v>
      </c>
      <c r="N2905" s="7" t="str">
        <f aca="false">IF(B2905="Movie",IFERROR(VALUE(LEFT(I2905,FIND(" ",I2905)-1)),""),"")</f>
        <v/>
      </c>
      <c r="O2905" s="7" t="n">
        <f aca="false">IF(B2905="TV Show",IFERROR(VALUE(LEFT(I2905,FIND(" ",I2905)-1)),""),"")</f>
        <v>1</v>
      </c>
      <c r="P2905" s="7" t="n">
        <f aca="false">IF(K2905="","",K2905-G2905)</f>
        <v>0</v>
      </c>
    </row>
    <row r="2906" customFormat="false" ht="15" hidden="false" customHeight="false" outlineLevel="0" collapsed="false">
      <c r="A2906" s="7" t="n">
        <v>80189791</v>
      </c>
      <c r="B2906" s="7" t="s">
        <v>78</v>
      </c>
      <c r="C2906" s="7" t="s">
        <v>6204</v>
      </c>
      <c r="E2906" s="7" t="s">
        <v>1790</v>
      </c>
      <c r="F2906" s="7" t="s">
        <v>6203</v>
      </c>
      <c r="G2906" s="7" t="n">
        <v>2018</v>
      </c>
      <c r="H2906" s="7" t="s">
        <v>48</v>
      </c>
      <c r="I2906" s="7" t="s">
        <v>82</v>
      </c>
      <c r="J2906" s="7" t="s">
        <v>773</v>
      </c>
      <c r="K2906" s="7" t="n">
        <f aca="false">IFERROR(VALUE(RIGHT(TRIM(F2906),4)),"")</f>
        <v>2018</v>
      </c>
      <c r="L2906" s="7" t="str">
        <f aca="false">IF(TRIM(E2906)="","Unknown",IFERROR(LEFT(TRIM(E2906),FIND(",",TRIM(E2906))-1),TRIM(E2906)))</f>
        <v>New Zealand</v>
      </c>
      <c r="M2906" s="7" t="str">
        <f aca="false">IFERROR(LEFT(J2906,FIND(",",J2906)-1),J2906)</f>
        <v>Docuseries</v>
      </c>
      <c r="N2906" s="7" t="str">
        <f aca="false">IF(B2906="Movie",IFERROR(VALUE(LEFT(I2906,FIND(" ",I2906)-1)),""),"")</f>
        <v/>
      </c>
      <c r="O2906" s="7" t="n">
        <f aca="false">IF(B2906="TV Show",IFERROR(VALUE(LEFT(I2906,FIND(" ",I2906)-1)),""),"")</f>
        <v>1</v>
      </c>
      <c r="P2906" s="7" t="n">
        <f aca="false">IF(K2906="","",K2906-G2906)</f>
        <v>0</v>
      </c>
    </row>
    <row r="2907" customFormat="false" ht="15" hidden="false" customHeight="false" outlineLevel="0" collapsed="false">
      <c r="A2907" s="7" t="n">
        <v>80195962</v>
      </c>
      <c r="B2907" s="7" t="s">
        <v>68</v>
      </c>
      <c r="C2907" s="7" t="s">
        <v>6205</v>
      </c>
      <c r="D2907" s="7" t="s">
        <v>6206</v>
      </c>
      <c r="E2907" s="7" t="s">
        <v>6207</v>
      </c>
      <c r="F2907" s="7" t="s">
        <v>6203</v>
      </c>
      <c r="G2907" s="7" t="n">
        <v>2018</v>
      </c>
      <c r="H2907" s="7" t="s">
        <v>54</v>
      </c>
      <c r="I2907" s="7" t="s">
        <v>311</v>
      </c>
      <c r="J2907" s="7" t="s">
        <v>74</v>
      </c>
      <c r="K2907" s="7" t="n">
        <f aca="false">IFERROR(VALUE(RIGHT(TRIM(F2907),4)),"")</f>
        <v>2018</v>
      </c>
      <c r="L2907" s="7" t="str">
        <f aca="false">IF(TRIM(E2907)="","Unknown",IFERROR(LEFT(TRIM(E2907),FIND(",",TRIM(E2907))-1),TRIM(E2907)))</f>
        <v>China</v>
      </c>
      <c r="M2907" s="7" t="str">
        <f aca="false">IFERROR(LEFT(J2907,FIND(",",J2907)-1),J2907)</f>
        <v>Children &amp; Family Movies</v>
      </c>
      <c r="N2907" s="7" t="n">
        <f aca="false">IF(B2907="Movie",IFERROR(VALUE(LEFT(I2907,FIND(" ",I2907)-1)),""),"")</f>
        <v>92</v>
      </c>
      <c r="O2907" s="7" t="str">
        <f aca="false">IF(B2907="TV Show",IFERROR(VALUE(LEFT(I2907,FIND(" ",I2907)-1)),""),"")</f>
        <v/>
      </c>
      <c r="P2907" s="7" t="n">
        <f aca="false">IF(K2907="","",K2907-G2907)</f>
        <v>0</v>
      </c>
    </row>
    <row r="2908" customFormat="false" ht="15" hidden="false" customHeight="false" outlineLevel="0" collapsed="false">
      <c r="A2908" s="7" t="n">
        <v>80185070</v>
      </c>
      <c r="B2908" s="7" t="s">
        <v>68</v>
      </c>
      <c r="C2908" s="7" t="s">
        <v>6208</v>
      </c>
      <c r="E2908" s="7" t="s">
        <v>26</v>
      </c>
      <c r="F2908" s="7" t="s">
        <v>6203</v>
      </c>
      <c r="G2908" s="7" t="n">
        <v>2018</v>
      </c>
      <c r="H2908" s="7" t="s">
        <v>49</v>
      </c>
      <c r="I2908" s="7" t="s">
        <v>111</v>
      </c>
      <c r="J2908" s="7" t="s">
        <v>38</v>
      </c>
      <c r="K2908" s="7" t="n">
        <f aca="false">IFERROR(VALUE(RIGHT(TRIM(F2908),4)),"")</f>
        <v>2018</v>
      </c>
      <c r="L2908" s="7" t="str">
        <f aca="false">IF(TRIM(E2908)="","Unknown",IFERROR(LEFT(TRIM(E2908),FIND(",",TRIM(E2908))-1),TRIM(E2908)))</f>
        <v>United States</v>
      </c>
      <c r="M2908" s="7" t="str">
        <f aca="false">IFERROR(LEFT(J2908,FIND(",",J2908)-1),J2908)</f>
        <v>Comedies</v>
      </c>
      <c r="N2908" s="7" t="n">
        <f aca="false">IF(B2908="Movie",IFERROR(VALUE(LEFT(I2908,FIND(" ",I2908)-1)),""),"")</f>
        <v>95</v>
      </c>
      <c r="O2908" s="7" t="str">
        <f aca="false">IF(B2908="TV Show",IFERROR(VALUE(LEFT(I2908,FIND(" ",I2908)-1)),""),"")</f>
        <v/>
      </c>
      <c r="P2908" s="7" t="n">
        <f aca="false">IF(K2908="","",K2908-G2908)</f>
        <v>0</v>
      </c>
    </row>
    <row r="2909" customFormat="false" ht="15" hidden="false" customHeight="false" outlineLevel="0" collapsed="false">
      <c r="A2909" s="7" t="n">
        <v>80138672</v>
      </c>
      <c r="B2909" s="7" t="s">
        <v>78</v>
      </c>
      <c r="C2909" s="7" t="s">
        <v>6209</v>
      </c>
      <c r="E2909" s="7" t="s">
        <v>30</v>
      </c>
      <c r="F2909" s="7" t="s">
        <v>6203</v>
      </c>
      <c r="G2909" s="7" t="n">
        <v>2018</v>
      </c>
      <c r="H2909" s="7" t="s">
        <v>48</v>
      </c>
      <c r="I2909" s="7" t="s">
        <v>82</v>
      </c>
      <c r="J2909" s="7" t="s">
        <v>335</v>
      </c>
      <c r="K2909" s="7" t="n">
        <f aca="false">IFERROR(VALUE(RIGHT(TRIM(F2909),4)),"")</f>
        <v>2018</v>
      </c>
      <c r="L2909" s="7" t="str">
        <f aca="false">IF(TRIM(E2909)="","Unknown",IFERROR(LEFT(TRIM(E2909),FIND(",",TRIM(E2909))-1),TRIM(E2909)))</f>
        <v>Japan</v>
      </c>
      <c r="M2909" s="7" t="str">
        <f aca="false">IFERROR(LEFT(J2909,FIND(",",J2909)-1),J2909)</f>
        <v>International TV Shows</v>
      </c>
      <c r="N2909" s="7" t="str">
        <f aca="false">IF(B2909="Movie",IFERROR(VALUE(LEFT(I2909,FIND(" ",I2909)-1)),""),"")</f>
        <v/>
      </c>
      <c r="O2909" s="7" t="n">
        <f aca="false">IF(B2909="TV Show",IFERROR(VALUE(LEFT(I2909,FIND(" ",I2909)-1)),""),"")</f>
        <v>1</v>
      </c>
      <c r="P2909" s="7" t="n">
        <f aca="false">IF(K2909="","",K2909-G2909)</f>
        <v>0</v>
      </c>
    </row>
    <row r="2910" customFormat="false" ht="15" hidden="false" customHeight="false" outlineLevel="0" collapsed="false">
      <c r="A2910" s="7" t="n">
        <v>80186829</v>
      </c>
      <c r="B2910" s="7" t="s">
        <v>68</v>
      </c>
      <c r="C2910" s="7" t="s">
        <v>6210</v>
      </c>
      <c r="D2910" s="7" t="s">
        <v>6211</v>
      </c>
      <c r="E2910" s="7" t="s">
        <v>325</v>
      </c>
      <c r="F2910" s="7" t="s">
        <v>6203</v>
      </c>
      <c r="G2910" s="7" t="n">
        <v>2018</v>
      </c>
      <c r="H2910" s="7" t="s">
        <v>54</v>
      </c>
      <c r="I2910" s="7" t="s">
        <v>201</v>
      </c>
      <c r="J2910" s="7" t="s">
        <v>1703</v>
      </c>
      <c r="K2910" s="7" t="n">
        <f aca="false">IFERROR(VALUE(RIGHT(TRIM(F2910),4)),"")</f>
        <v>2018</v>
      </c>
      <c r="L2910" s="7" t="str">
        <f aca="false">IF(TRIM(E2910)="","Unknown",IFERROR(LEFT(TRIM(E2910),FIND(",",TRIM(E2910))-1),TRIM(E2910)))</f>
        <v>Brazil</v>
      </c>
      <c r="M2910" s="7" t="str">
        <f aca="false">IFERROR(LEFT(J2910,FIND(",",J2910)-1),J2910)</f>
        <v>Dramas</v>
      </c>
      <c r="N2910" s="7" t="n">
        <f aca="false">IF(B2910="Movie",IFERROR(VALUE(LEFT(I2910,FIND(" ",I2910)-1)),""),"")</f>
        <v>133</v>
      </c>
      <c r="O2910" s="7" t="str">
        <f aca="false">IF(B2910="TV Show",IFERROR(VALUE(LEFT(I2910,FIND(" ",I2910)-1)),""),"")</f>
        <v/>
      </c>
      <c r="P2910" s="7" t="n">
        <f aca="false">IF(K2910="","",K2910-G2910)</f>
        <v>0</v>
      </c>
    </row>
    <row r="2911" customFormat="false" ht="15" hidden="false" customHeight="false" outlineLevel="0" collapsed="false">
      <c r="A2911" s="7" t="n">
        <v>80013547</v>
      </c>
      <c r="B2911" s="7" t="s">
        <v>68</v>
      </c>
      <c r="C2911" s="7" t="s">
        <v>6212</v>
      </c>
      <c r="D2911" s="7" t="s">
        <v>6113</v>
      </c>
      <c r="E2911" s="7" t="s">
        <v>29</v>
      </c>
      <c r="F2911" s="7" t="s">
        <v>6203</v>
      </c>
      <c r="G2911" s="7" t="n">
        <v>2014</v>
      </c>
      <c r="H2911" s="7" t="s">
        <v>51</v>
      </c>
      <c r="I2911" s="7" t="s">
        <v>168</v>
      </c>
      <c r="J2911" s="7" t="s">
        <v>597</v>
      </c>
      <c r="K2911" s="7" t="n">
        <f aca="false">IFERROR(VALUE(RIGHT(TRIM(F2911),4)),"")</f>
        <v>2018</v>
      </c>
      <c r="L2911" s="7" t="str">
        <f aca="false">IF(TRIM(E2911)="","Unknown",IFERROR(LEFT(TRIM(E2911),FIND(",",TRIM(E2911))-1),TRIM(E2911)))</f>
        <v>Canada</v>
      </c>
      <c r="M2911" s="7" t="str">
        <f aca="false">IFERROR(LEFT(J2911,FIND(",",J2911)-1),J2911)</f>
        <v>Dramas</v>
      </c>
      <c r="N2911" s="7" t="n">
        <f aca="false">IF(B2911="Movie",IFERROR(VALUE(LEFT(I2911,FIND(" ",I2911)-1)),""),"")</f>
        <v>112</v>
      </c>
      <c r="O2911" s="7" t="str">
        <f aca="false">IF(B2911="TV Show",IFERROR(VALUE(LEFT(I2911,FIND(" ",I2911)-1)),""),"")</f>
        <v/>
      </c>
      <c r="P2911" s="7" t="n">
        <f aca="false">IF(K2911="","",K2911-G2911)</f>
        <v>4</v>
      </c>
    </row>
    <row r="2912" customFormat="false" ht="15" hidden="false" customHeight="false" outlineLevel="0" collapsed="false">
      <c r="A2912" s="7" t="n">
        <v>80115874</v>
      </c>
      <c r="B2912" s="7" t="s">
        <v>68</v>
      </c>
      <c r="C2912" s="7" t="s">
        <v>6213</v>
      </c>
      <c r="D2912" s="7" t="s">
        <v>6214</v>
      </c>
      <c r="E2912" s="7" t="s">
        <v>6215</v>
      </c>
      <c r="F2912" s="7" t="s">
        <v>6216</v>
      </c>
      <c r="G2912" s="7" t="n">
        <v>2016</v>
      </c>
      <c r="H2912" s="7" t="s">
        <v>49</v>
      </c>
      <c r="I2912" s="7" t="s">
        <v>613</v>
      </c>
      <c r="J2912" s="7" t="s">
        <v>1000</v>
      </c>
      <c r="K2912" s="7" t="n">
        <f aca="false">IFERROR(VALUE(RIGHT(TRIM(F2912),4)),"")</f>
        <v>2017</v>
      </c>
      <c r="L2912" s="7" t="str">
        <f aca="false">IF(TRIM(E2912)="","Unknown",IFERROR(LEFT(TRIM(E2912),FIND(",",TRIM(E2912))-1),TRIM(E2912)))</f>
        <v>Slovenia</v>
      </c>
      <c r="M2912" s="7" t="str">
        <f aca="false">IFERROR(LEFT(J2912,FIND(",",J2912)-1),J2912)</f>
        <v>Comedies</v>
      </c>
      <c r="N2912" s="7" t="n">
        <f aca="false">IF(B2912="Movie",IFERROR(VALUE(LEFT(I2912,FIND(" ",I2912)-1)),""),"")</f>
        <v>84</v>
      </c>
      <c r="O2912" s="7" t="str">
        <f aca="false">IF(B2912="TV Show",IFERROR(VALUE(LEFT(I2912,FIND(" ",I2912)-1)),""),"")</f>
        <v/>
      </c>
      <c r="P2912" s="7" t="n">
        <f aca="false">IF(K2912="","",K2912-G2912)</f>
        <v>1</v>
      </c>
    </row>
    <row r="2913" customFormat="false" ht="15" hidden="false" customHeight="false" outlineLevel="0" collapsed="false">
      <c r="A2913" s="7" t="n">
        <v>80191000</v>
      </c>
      <c r="B2913" s="7" t="s">
        <v>78</v>
      </c>
      <c r="C2913" s="7" t="s">
        <v>6217</v>
      </c>
      <c r="E2913" s="7" t="s">
        <v>4839</v>
      </c>
      <c r="F2913" s="7" t="s">
        <v>6216</v>
      </c>
      <c r="G2913" s="7" t="n">
        <v>2017</v>
      </c>
      <c r="H2913" s="7" t="s">
        <v>48</v>
      </c>
      <c r="I2913" s="7" t="s">
        <v>82</v>
      </c>
      <c r="J2913" s="7" t="s">
        <v>335</v>
      </c>
      <c r="K2913" s="7" t="n">
        <f aca="false">IFERROR(VALUE(RIGHT(TRIM(F2913),4)),"")</f>
        <v>2017</v>
      </c>
      <c r="L2913" s="7" t="str">
        <f aca="false">IF(TRIM(E2913)="","Unknown",IFERROR(LEFT(TRIM(E2913),FIND(",",TRIM(E2913))-1),TRIM(E2913)))</f>
        <v>Sweden</v>
      </c>
      <c r="M2913" s="7" t="str">
        <f aca="false">IFERROR(LEFT(J2913,FIND(",",J2913)-1),J2913)</f>
        <v>International TV Shows</v>
      </c>
      <c r="N2913" s="7" t="str">
        <f aca="false">IF(B2913="Movie",IFERROR(VALUE(LEFT(I2913,FIND(" ",I2913)-1)),""),"")</f>
        <v/>
      </c>
      <c r="O2913" s="7" t="n">
        <f aca="false">IF(B2913="TV Show",IFERROR(VALUE(LEFT(I2913,FIND(" ",I2913)-1)),""),"")</f>
        <v>1</v>
      </c>
      <c r="P2913" s="7" t="n">
        <f aca="false">IF(K2913="","",K2913-G2913)</f>
        <v>0</v>
      </c>
    </row>
    <row r="2914" customFormat="false" ht="15" hidden="false" customHeight="false" outlineLevel="0" collapsed="false">
      <c r="A2914" s="7" t="n">
        <v>70242629</v>
      </c>
      <c r="B2914" s="7" t="s">
        <v>78</v>
      </c>
      <c r="C2914" s="7" t="s">
        <v>6218</v>
      </c>
      <c r="E2914" s="7" t="s">
        <v>26</v>
      </c>
      <c r="F2914" s="7" t="s">
        <v>6219</v>
      </c>
      <c r="G2914" s="7" t="n">
        <v>2011</v>
      </c>
      <c r="H2914" s="7" t="s">
        <v>50</v>
      </c>
      <c r="I2914" s="7" t="s">
        <v>82</v>
      </c>
      <c r="J2914" s="7" t="s">
        <v>6220</v>
      </c>
      <c r="K2914" s="7" t="n">
        <f aca="false">IFERROR(VALUE(RIGHT(TRIM(F2914),4)),"")</f>
        <v>2012</v>
      </c>
      <c r="L2914" s="7" t="str">
        <f aca="false">IF(TRIM(E2914)="","Unknown",IFERROR(LEFT(TRIM(E2914),FIND(",",TRIM(E2914))-1),TRIM(E2914)))</f>
        <v>United States</v>
      </c>
      <c r="M2914" s="7" t="str">
        <f aca="false">IFERROR(LEFT(J2914,FIND(",",J2914)-1),J2914)</f>
        <v>Kids' TV</v>
      </c>
      <c r="N2914" s="7" t="str">
        <f aca="false">IF(B2914="Movie",IFERROR(VALUE(LEFT(I2914,FIND(" ",I2914)-1)),""),"")</f>
        <v/>
      </c>
      <c r="O2914" s="7" t="n">
        <f aca="false">IF(B2914="TV Show",IFERROR(VALUE(LEFT(I2914,FIND(" ",I2914)-1)),""),"")</f>
        <v>1</v>
      </c>
      <c r="P2914" s="7" t="n">
        <f aca="false">IF(K2914="","",K2914-G2914)</f>
        <v>1</v>
      </c>
    </row>
    <row r="2915" customFormat="false" ht="15" hidden="false" customHeight="false" outlineLevel="0" collapsed="false">
      <c r="A2915" s="7" t="n">
        <v>80242137</v>
      </c>
      <c r="B2915" s="7" t="s">
        <v>78</v>
      </c>
      <c r="C2915" s="7" t="s">
        <v>6221</v>
      </c>
      <c r="E2915" s="7" t="s">
        <v>167</v>
      </c>
      <c r="F2915" s="7" t="s">
        <v>6222</v>
      </c>
      <c r="G2915" s="7" t="n">
        <v>2019</v>
      </c>
      <c r="H2915" s="7" t="s">
        <v>49</v>
      </c>
      <c r="I2915" s="7" t="s">
        <v>82</v>
      </c>
      <c r="J2915" s="7" t="s">
        <v>314</v>
      </c>
      <c r="K2915" s="7" t="n">
        <f aca="false">IFERROR(VALUE(RIGHT(TRIM(F2915),4)),"")</f>
        <v>2019</v>
      </c>
      <c r="L2915" s="7" t="str">
        <f aca="false">IF(TRIM(E2915)="","Unknown",IFERROR(LEFT(TRIM(E2915),FIND(",",TRIM(E2915))-1),TRIM(E2915)))</f>
        <v>Thailand</v>
      </c>
      <c r="M2915" s="7" t="str">
        <f aca="false">IFERROR(LEFT(J2915,FIND(",",J2915)-1),J2915)</f>
        <v>International TV Shows</v>
      </c>
      <c r="N2915" s="7" t="str">
        <f aca="false">IF(B2915="Movie",IFERROR(VALUE(LEFT(I2915,FIND(" ",I2915)-1)),""),"")</f>
        <v/>
      </c>
      <c r="O2915" s="7" t="n">
        <f aca="false">IF(B2915="TV Show",IFERROR(VALUE(LEFT(I2915,FIND(" ",I2915)-1)),""),"")</f>
        <v>1</v>
      </c>
      <c r="P2915" s="7" t="n">
        <f aca="false">IF(K2915="","",K2915-G2915)</f>
        <v>0</v>
      </c>
    </row>
    <row r="2916" customFormat="false" ht="15" hidden="false" customHeight="false" outlineLevel="0" collapsed="false">
      <c r="A2916" s="7" t="n">
        <v>80241590</v>
      </c>
      <c r="B2916" s="7" t="s">
        <v>78</v>
      </c>
      <c r="C2916" s="7" t="s">
        <v>6223</v>
      </c>
      <c r="E2916" s="7" t="s">
        <v>167</v>
      </c>
      <c r="F2916" s="7" t="s">
        <v>6222</v>
      </c>
      <c r="G2916" s="7" t="n">
        <v>2019</v>
      </c>
      <c r="H2916" s="7" t="s">
        <v>49</v>
      </c>
      <c r="I2916" s="7" t="s">
        <v>82</v>
      </c>
      <c r="J2916" s="7" t="s">
        <v>314</v>
      </c>
      <c r="K2916" s="7" t="n">
        <f aca="false">IFERROR(VALUE(RIGHT(TRIM(F2916),4)),"")</f>
        <v>2019</v>
      </c>
      <c r="L2916" s="7" t="str">
        <f aca="false">IF(TRIM(E2916)="","Unknown",IFERROR(LEFT(TRIM(E2916),FIND(",",TRIM(E2916))-1),TRIM(E2916)))</f>
        <v>Thailand</v>
      </c>
      <c r="M2916" s="7" t="str">
        <f aca="false">IFERROR(LEFT(J2916,FIND(",",J2916)-1),J2916)</f>
        <v>International TV Shows</v>
      </c>
      <c r="N2916" s="7" t="str">
        <f aca="false">IF(B2916="Movie",IFERROR(VALUE(LEFT(I2916,FIND(" ",I2916)-1)),""),"")</f>
        <v/>
      </c>
      <c r="O2916" s="7" t="n">
        <f aca="false">IF(B2916="TV Show",IFERROR(VALUE(LEFT(I2916,FIND(" ",I2916)-1)),""),"")</f>
        <v>1</v>
      </c>
      <c r="P2916" s="7" t="n">
        <f aca="false">IF(K2916="","",K2916-G2916)</f>
        <v>0</v>
      </c>
    </row>
    <row r="2917" customFormat="false" ht="15" hidden="false" customHeight="false" outlineLevel="0" collapsed="false">
      <c r="A2917" s="7" t="n">
        <v>81072109</v>
      </c>
      <c r="B2917" s="7" t="s">
        <v>78</v>
      </c>
      <c r="C2917" s="7" t="s">
        <v>6224</v>
      </c>
      <c r="E2917" s="7" t="s">
        <v>32</v>
      </c>
      <c r="F2917" s="7" t="s">
        <v>6222</v>
      </c>
      <c r="G2917" s="7" t="n">
        <v>2019</v>
      </c>
      <c r="H2917" s="7" t="s">
        <v>49</v>
      </c>
      <c r="I2917" s="7" t="s">
        <v>82</v>
      </c>
      <c r="J2917" s="7" t="s">
        <v>852</v>
      </c>
      <c r="K2917" s="7" t="n">
        <f aca="false">IFERROR(VALUE(RIGHT(TRIM(F2917),4)),"")</f>
        <v>2019</v>
      </c>
      <c r="L2917" s="7" t="str">
        <f aca="false">IF(TRIM(E2917)="","Unknown",IFERROR(LEFT(TRIM(E2917),FIND(",",TRIM(E2917))-1),TRIM(E2917)))</f>
        <v>South Korea</v>
      </c>
      <c r="M2917" s="7" t="str">
        <f aca="false">IFERROR(LEFT(J2917,FIND(",",J2917)-1),J2917)</f>
        <v>International TV Shows</v>
      </c>
      <c r="N2917" s="7" t="str">
        <f aca="false">IF(B2917="Movie",IFERROR(VALUE(LEFT(I2917,FIND(" ",I2917)-1)),""),"")</f>
        <v/>
      </c>
      <c r="O2917" s="7" t="n">
        <f aca="false">IF(B2917="TV Show",IFERROR(VALUE(LEFT(I2917,FIND(" ",I2917)-1)),""),"")</f>
        <v>1</v>
      </c>
      <c r="P2917" s="7" t="n">
        <f aca="false">IF(K2917="","",K2917-G2917)</f>
        <v>0</v>
      </c>
    </row>
    <row r="2918" customFormat="false" ht="15" hidden="false" customHeight="false" outlineLevel="0" collapsed="false">
      <c r="A2918" s="7" t="n">
        <v>80244472</v>
      </c>
      <c r="B2918" s="7" t="s">
        <v>68</v>
      </c>
      <c r="C2918" s="7" t="s">
        <v>6225</v>
      </c>
      <c r="D2918" s="7" t="s">
        <v>5253</v>
      </c>
      <c r="E2918" s="7" t="s">
        <v>6226</v>
      </c>
      <c r="F2918" s="7" t="s">
        <v>6227</v>
      </c>
      <c r="G2918" s="7" t="n">
        <v>2017</v>
      </c>
      <c r="H2918" s="7" t="s">
        <v>50</v>
      </c>
      <c r="I2918" s="7" t="s">
        <v>205</v>
      </c>
      <c r="J2918" s="7" t="s">
        <v>304</v>
      </c>
      <c r="K2918" s="7" t="n">
        <f aca="false">IFERROR(VALUE(RIGHT(TRIM(F2918),4)),"")</f>
        <v>2018</v>
      </c>
      <c r="L2918" s="7" t="str">
        <f aca="false">IF(TRIM(E2918)="","Unknown",IFERROR(LEFT(TRIM(E2918),FIND(",",TRIM(E2918))-1),TRIM(E2918)))</f>
        <v>Germany</v>
      </c>
      <c r="M2918" s="7" t="str">
        <f aca="false">IFERROR(LEFT(J2918,FIND(",",J2918)-1),J2918)</f>
        <v>Dramas</v>
      </c>
      <c r="N2918" s="7" t="n">
        <f aca="false">IF(B2918="Movie",IFERROR(VALUE(LEFT(I2918,FIND(" ",I2918)-1)),""),"")</f>
        <v>100</v>
      </c>
      <c r="O2918" s="7" t="str">
        <f aca="false">IF(B2918="TV Show",IFERROR(VALUE(LEFT(I2918,FIND(" ",I2918)-1)),""),"")</f>
        <v/>
      </c>
      <c r="P2918" s="7" t="n">
        <f aca="false">IF(K2918="","",K2918-G2918)</f>
        <v>1</v>
      </c>
    </row>
    <row r="2919" customFormat="false" ht="15" hidden="false" customHeight="false" outlineLevel="0" collapsed="false">
      <c r="A2919" s="7" t="n">
        <v>80190463</v>
      </c>
      <c r="B2919" s="7" t="s">
        <v>68</v>
      </c>
      <c r="C2919" s="7" t="s">
        <v>6228</v>
      </c>
      <c r="D2919" s="7" t="s">
        <v>6229</v>
      </c>
      <c r="E2919" s="7" t="s">
        <v>6230</v>
      </c>
      <c r="F2919" s="7" t="s">
        <v>6227</v>
      </c>
      <c r="G2919" s="7" t="n">
        <v>2018</v>
      </c>
      <c r="H2919" s="7" t="s">
        <v>50</v>
      </c>
      <c r="I2919" s="7" t="s">
        <v>264</v>
      </c>
      <c r="J2919" s="7" t="s">
        <v>217</v>
      </c>
      <c r="K2919" s="7" t="n">
        <f aca="false">IFERROR(VALUE(RIGHT(TRIM(F2919),4)),"")</f>
        <v>2018</v>
      </c>
      <c r="L2919" s="7" t="str">
        <f aca="false">IF(TRIM(E2919)="","Unknown",IFERROR(LEFT(TRIM(E2919),FIND(",",TRIM(E2919))-1),TRIM(E2919)))</f>
        <v>China</v>
      </c>
      <c r="M2919" s="7" t="str">
        <f aca="false">IFERROR(LEFT(J2919,FIND(",",J2919)-1),J2919)</f>
        <v>Comedies</v>
      </c>
      <c r="N2919" s="7" t="n">
        <f aca="false">IF(B2919="Movie",IFERROR(VALUE(LEFT(I2919,FIND(" ",I2919)-1)),""),"")</f>
        <v>88</v>
      </c>
      <c r="O2919" s="7" t="str">
        <f aca="false">IF(B2919="TV Show",IFERROR(VALUE(LEFT(I2919,FIND(" ",I2919)-1)),""),"")</f>
        <v/>
      </c>
      <c r="P2919" s="7" t="n">
        <f aca="false">IF(K2919="","",K2919-G2919)</f>
        <v>0</v>
      </c>
    </row>
    <row r="2920" customFormat="false" ht="15" hidden="false" customHeight="false" outlineLevel="0" collapsed="false">
      <c r="A2920" s="7" t="n">
        <v>80164164</v>
      </c>
      <c r="B2920" s="7" t="s">
        <v>68</v>
      </c>
      <c r="C2920" s="7" t="s">
        <v>6231</v>
      </c>
      <c r="D2920" s="7" t="s">
        <v>6232</v>
      </c>
      <c r="E2920" s="7" t="s">
        <v>6233</v>
      </c>
      <c r="F2920" s="7" t="s">
        <v>6234</v>
      </c>
      <c r="G2920" s="7" t="n">
        <v>2014</v>
      </c>
      <c r="H2920" s="7" t="s">
        <v>48</v>
      </c>
      <c r="I2920" s="7" t="s">
        <v>524</v>
      </c>
      <c r="J2920" s="7" t="s">
        <v>322</v>
      </c>
      <c r="K2920" s="7" t="n">
        <f aca="false">IFERROR(VALUE(RIGHT(TRIM(F2920),4)),"")</f>
        <v>2017</v>
      </c>
      <c r="L2920" s="7" t="str">
        <f aca="false">IF(TRIM(E2920)="","Unknown",IFERROR(LEFT(TRIM(E2920),FIND(",",TRIM(E2920))-1),TRIM(E2920)))</f>
        <v>Russia</v>
      </c>
      <c r="M2920" s="7" t="str">
        <f aca="false">IFERROR(LEFT(J2920,FIND(",",J2920)-1),J2920)</f>
        <v>Action &amp; Adventure</v>
      </c>
      <c r="N2920" s="7" t="n">
        <f aca="false">IF(B2920="Movie",IFERROR(VALUE(LEFT(I2920,FIND(" ",I2920)-1)),""),"")</f>
        <v>83</v>
      </c>
      <c r="O2920" s="7" t="str">
        <f aca="false">IF(B2920="TV Show",IFERROR(VALUE(LEFT(I2920,FIND(" ",I2920)-1)),""),"")</f>
        <v/>
      </c>
      <c r="P2920" s="7" t="n">
        <f aca="false">IF(K2920="","",K2920-G2920)</f>
        <v>3</v>
      </c>
    </row>
    <row r="2921" customFormat="false" ht="15" hidden="false" customHeight="false" outlineLevel="0" collapsed="false">
      <c r="A2921" s="7" t="n">
        <v>80997613</v>
      </c>
      <c r="B2921" s="7" t="s">
        <v>68</v>
      </c>
      <c r="C2921" s="7" t="s">
        <v>6235</v>
      </c>
      <c r="D2921" s="7" t="s">
        <v>6236</v>
      </c>
      <c r="E2921" s="7" t="s">
        <v>33</v>
      </c>
      <c r="F2921" s="7" t="s">
        <v>6237</v>
      </c>
      <c r="G2921" s="7" t="n">
        <v>2019</v>
      </c>
      <c r="H2921" s="7" t="s">
        <v>48</v>
      </c>
      <c r="I2921" s="7" t="s">
        <v>467</v>
      </c>
      <c r="J2921" s="7" t="s">
        <v>202</v>
      </c>
      <c r="K2921" s="7" t="n">
        <f aca="false">IFERROR(VALUE(RIGHT(TRIM(F2921),4)),"")</f>
        <v>2019</v>
      </c>
      <c r="L2921" s="7" t="str">
        <f aca="false">IF(TRIM(E2921)="","Unknown",IFERROR(LEFT(TRIM(E2921),FIND(",",TRIM(E2921))-1),TRIM(E2921)))</f>
        <v>Spain</v>
      </c>
      <c r="M2921" s="7" t="str">
        <f aca="false">IFERROR(LEFT(J2921,FIND(",",J2921)-1),J2921)</f>
        <v>Comedies</v>
      </c>
      <c r="N2921" s="7" t="n">
        <f aca="false">IF(B2921="Movie",IFERROR(VALUE(LEFT(I2921,FIND(" ",I2921)-1)),""),"")</f>
        <v>81</v>
      </c>
      <c r="O2921" s="7" t="str">
        <f aca="false">IF(B2921="TV Show",IFERROR(VALUE(LEFT(I2921,FIND(" ",I2921)-1)),""),"")</f>
        <v/>
      </c>
      <c r="P2921" s="7" t="n">
        <f aca="false">IF(K2921="","",K2921-G2921)</f>
        <v>0</v>
      </c>
    </row>
    <row r="2922" customFormat="false" ht="15" hidden="false" customHeight="false" outlineLevel="0" collapsed="false">
      <c r="A2922" s="7" t="n">
        <v>81092325</v>
      </c>
      <c r="B2922" s="7" t="s">
        <v>68</v>
      </c>
      <c r="C2922" s="7" t="s">
        <v>6238</v>
      </c>
      <c r="D2922" s="7" t="s">
        <v>6239</v>
      </c>
      <c r="E2922" s="7" t="s">
        <v>26</v>
      </c>
      <c r="F2922" s="7" t="s">
        <v>6237</v>
      </c>
      <c r="G2922" s="7" t="n">
        <v>2018</v>
      </c>
      <c r="H2922" s="7" t="s">
        <v>49</v>
      </c>
      <c r="I2922" s="7" t="s">
        <v>162</v>
      </c>
      <c r="J2922" s="7" t="s">
        <v>1085</v>
      </c>
      <c r="K2922" s="7" t="n">
        <f aca="false">IFERROR(VALUE(RIGHT(TRIM(F2922),4)),"")</f>
        <v>2019</v>
      </c>
      <c r="L2922" s="7" t="str">
        <f aca="false">IF(TRIM(E2922)="","Unknown",IFERROR(LEFT(TRIM(E2922),FIND(",",TRIM(E2922))-1),TRIM(E2922)))</f>
        <v>United States</v>
      </c>
      <c r="M2922" s="7" t="str">
        <f aca="false">IFERROR(LEFT(J2922,FIND(",",J2922)-1),J2922)</f>
        <v>Documentaries</v>
      </c>
      <c r="N2922" s="7" t="n">
        <f aca="false">IF(B2922="Movie",IFERROR(VALUE(LEFT(I2922,FIND(" ",I2922)-1)),""),"")</f>
        <v>77</v>
      </c>
      <c r="O2922" s="7" t="str">
        <f aca="false">IF(B2922="TV Show",IFERROR(VALUE(LEFT(I2922,FIND(" ",I2922)-1)),""),"")</f>
        <v/>
      </c>
      <c r="P2922" s="7" t="n">
        <f aca="false">IF(K2922="","",K2922-G2922)</f>
        <v>1</v>
      </c>
    </row>
    <row r="2923" customFormat="false" ht="15" hidden="false" customHeight="false" outlineLevel="0" collapsed="false">
      <c r="A2923" s="7" t="n">
        <v>80186926</v>
      </c>
      <c r="B2923" s="7" t="s">
        <v>78</v>
      </c>
      <c r="C2923" s="7" t="s">
        <v>6240</v>
      </c>
      <c r="E2923" s="7" t="s">
        <v>30</v>
      </c>
      <c r="F2923" s="7" t="s">
        <v>6237</v>
      </c>
      <c r="G2923" s="7" t="n">
        <v>2019</v>
      </c>
      <c r="H2923" s="7" t="s">
        <v>49</v>
      </c>
      <c r="I2923" s="7" t="s">
        <v>82</v>
      </c>
      <c r="J2923" s="7" t="s">
        <v>542</v>
      </c>
      <c r="K2923" s="7" t="n">
        <f aca="false">IFERROR(VALUE(RIGHT(TRIM(F2923),4)),"")</f>
        <v>2019</v>
      </c>
      <c r="L2923" s="7" t="str">
        <f aca="false">IF(TRIM(E2923)="","Unknown",IFERROR(LEFT(TRIM(E2923),FIND(",",TRIM(E2923))-1),TRIM(E2923)))</f>
        <v>Japan</v>
      </c>
      <c r="M2923" s="7" t="str">
        <f aca="false">IFERROR(LEFT(J2923,FIND(",",J2923)-1),J2923)</f>
        <v>Anime Series</v>
      </c>
      <c r="N2923" s="7" t="str">
        <f aca="false">IF(B2923="Movie",IFERROR(VALUE(LEFT(I2923,FIND(" ",I2923)-1)),""),"")</f>
        <v/>
      </c>
      <c r="O2923" s="7" t="n">
        <f aca="false">IF(B2923="TV Show",IFERROR(VALUE(LEFT(I2923,FIND(" ",I2923)-1)),""),"")</f>
        <v>1</v>
      </c>
      <c r="P2923" s="7" t="n">
        <f aca="false">IF(K2923="","",K2923-G2923)</f>
        <v>0</v>
      </c>
    </row>
    <row r="2924" customFormat="false" ht="15" hidden="false" customHeight="false" outlineLevel="0" collapsed="false">
      <c r="A2924" s="7" t="n">
        <v>80996338</v>
      </c>
      <c r="B2924" s="7" t="s">
        <v>78</v>
      </c>
      <c r="C2924" s="7" t="s">
        <v>6241</v>
      </c>
      <c r="E2924" s="7" t="s">
        <v>27</v>
      </c>
      <c r="F2924" s="7" t="s">
        <v>6237</v>
      </c>
      <c r="G2924" s="7" t="n">
        <v>2019</v>
      </c>
      <c r="H2924" s="7" t="s">
        <v>48</v>
      </c>
      <c r="I2924" s="7" t="s">
        <v>82</v>
      </c>
      <c r="J2924" s="7" t="s">
        <v>4128</v>
      </c>
      <c r="K2924" s="7" t="n">
        <f aca="false">IFERROR(VALUE(RIGHT(TRIM(F2924),4)),"")</f>
        <v>2019</v>
      </c>
      <c r="L2924" s="7" t="str">
        <f aca="false">IF(TRIM(E2924)="","Unknown",IFERROR(LEFT(TRIM(E2924),FIND(",",TRIM(E2924))-1),TRIM(E2924)))</f>
        <v>India</v>
      </c>
      <c r="M2924" s="7" t="str">
        <f aca="false">IFERROR(LEFT(J2924,FIND(",",J2924)-1),J2924)</f>
        <v>International TV Shows</v>
      </c>
      <c r="N2924" s="7" t="str">
        <f aca="false">IF(B2924="Movie",IFERROR(VALUE(LEFT(I2924,FIND(" ",I2924)-1)),""),"")</f>
        <v/>
      </c>
      <c r="O2924" s="7" t="n">
        <f aca="false">IF(B2924="TV Show",IFERROR(VALUE(LEFT(I2924,FIND(" ",I2924)-1)),""),"")</f>
        <v>1</v>
      </c>
      <c r="P2924" s="7" t="n">
        <f aca="false">IF(K2924="","",K2924-G2924)</f>
        <v>0</v>
      </c>
    </row>
    <row r="2925" customFormat="false" ht="15" hidden="false" customHeight="false" outlineLevel="0" collapsed="false">
      <c r="A2925" s="7" t="n">
        <v>80230423</v>
      </c>
      <c r="B2925" s="7" t="s">
        <v>68</v>
      </c>
      <c r="C2925" s="7" t="s">
        <v>6242</v>
      </c>
      <c r="E2925" s="7" t="s">
        <v>33</v>
      </c>
      <c r="F2925" s="7" t="s">
        <v>6243</v>
      </c>
      <c r="G2925" s="7" t="n">
        <v>2018</v>
      </c>
      <c r="H2925" s="7" t="s">
        <v>48</v>
      </c>
      <c r="I2925" s="7" t="s">
        <v>340</v>
      </c>
      <c r="J2925" s="7" t="s">
        <v>202</v>
      </c>
      <c r="K2925" s="7" t="n">
        <f aca="false">IFERROR(VALUE(RIGHT(TRIM(F2925),4)),"")</f>
        <v>2018</v>
      </c>
      <c r="L2925" s="7" t="str">
        <f aca="false">IF(TRIM(E2925)="","Unknown",IFERROR(LEFT(TRIM(E2925),FIND(",",TRIM(E2925))-1),TRIM(E2925)))</f>
        <v>Spain</v>
      </c>
      <c r="M2925" s="7" t="str">
        <f aca="false">IFERROR(LEFT(J2925,FIND(",",J2925)-1),J2925)</f>
        <v>Comedies</v>
      </c>
      <c r="N2925" s="7" t="n">
        <f aca="false">IF(B2925="Movie",IFERROR(VALUE(LEFT(I2925,FIND(" ",I2925)-1)),""),"")</f>
        <v>85</v>
      </c>
      <c r="O2925" s="7" t="str">
        <f aca="false">IF(B2925="TV Show",IFERROR(VALUE(LEFT(I2925,FIND(" ",I2925)-1)),""),"")</f>
        <v/>
      </c>
      <c r="P2925" s="7" t="n">
        <f aca="false">IF(K2925="","",K2925-G2925)</f>
        <v>0</v>
      </c>
    </row>
    <row r="2926" customFormat="false" ht="15" hidden="false" customHeight="false" outlineLevel="0" collapsed="false">
      <c r="A2926" s="7" t="n">
        <v>70053885</v>
      </c>
      <c r="B2926" s="7" t="s">
        <v>68</v>
      </c>
      <c r="C2926" s="7" t="s">
        <v>6244</v>
      </c>
      <c r="D2926" s="7" t="s">
        <v>6245</v>
      </c>
      <c r="E2926" s="7" t="s">
        <v>26</v>
      </c>
      <c r="F2926" s="7" t="s">
        <v>6243</v>
      </c>
      <c r="G2926" s="7" t="n">
        <v>2006</v>
      </c>
      <c r="H2926" s="7" t="s">
        <v>53</v>
      </c>
      <c r="I2926" s="7" t="s">
        <v>340</v>
      </c>
      <c r="J2926" s="7" t="s">
        <v>45</v>
      </c>
      <c r="K2926" s="7" t="n">
        <f aca="false">IFERROR(VALUE(RIGHT(TRIM(F2926),4)),"")</f>
        <v>2018</v>
      </c>
      <c r="L2926" s="7" t="str">
        <f aca="false">IF(TRIM(E2926)="","Unknown",IFERROR(LEFT(TRIM(E2926),FIND(",",TRIM(E2926))-1),TRIM(E2926)))</f>
        <v>United States</v>
      </c>
      <c r="M2926" s="7" t="str">
        <f aca="false">IFERROR(LEFT(J2926,FIND(",",J2926)-1),J2926)</f>
        <v>Stand-Up Comedy</v>
      </c>
      <c r="N2926" s="7" t="n">
        <f aca="false">IF(B2926="Movie",IFERROR(VALUE(LEFT(I2926,FIND(" ",I2926)-1)),""),"")</f>
        <v>85</v>
      </c>
      <c r="O2926" s="7" t="str">
        <f aca="false">IF(B2926="TV Show",IFERROR(VALUE(LEFT(I2926,FIND(" ",I2926)-1)),""),"")</f>
        <v/>
      </c>
      <c r="P2926" s="7" t="n">
        <f aca="false">IF(K2926="","",K2926-G2926)</f>
        <v>12</v>
      </c>
    </row>
    <row r="2927" customFormat="false" ht="15" hidden="false" customHeight="false" outlineLevel="0" collapsed="false">
      <c r="A2927" s="7" t="n">
        <v>70301275</v>
      </c>
      <c r="B2927" s="7" t="s">
        <v>68</v>
      </c>
      <c r="C2927" s="7" t="s">
        <v>6246</v>
      </c>
      <c r="D2927" s="7" t="s">
        <v>1500</v>
      </c>
      <c r="E2927" s="7" t="s">
        <v>26</v>
      </c>
      <c r="F2927" s="7" t="s">
        <v>6243</v>
      </c>
      <c r="G2927" s="7" t="n">
        <v>2014</v>
      </c>
      <c r="H2927" s="7" t="s">
        <v>51</v>
      </c>
      <c r="I2927" s="7" t="s">
        <v>613</v>
      </c>
      <c r="J2927" s="7" t="s">
        <v>198</v>
      </c>
      <c r="K2927" s="7" t="n">
        <f aca="false">IFERROR(VALUE(RIGHT(TRIM(F2927),4)),"")</f>
        <v>2018</v>
      </c>
      <c r="L2927" s="7" t="str">
        <f aca="false">IF(TRIM(E2927)="","Unknown",IFERROR(LEFT(TRIM(E2927),FIND(",",TRIM(E2927))-1),TRIM(E2927)))</f>
        <v>United States</v>
      </c>
      <c r="M2927" s="7" t="str">
        <f aca="false">IFERROR(LEFT(J2927,FIND(",",J2927)-1),J2927)</f>
        <v>Comedies</v>
      </c>
      <c r="N2927" s="7" t="n">
        <f aca="false">IF(B2927="Movie",IFERROR(VALUE(LEFT(I2927,FIND(" ",I2927)-1)),""),"")</f>
        <v>84</v>
      </c>
      <c r="O2927" s="7" t="str">
        <f aca="false">IF(B2927="TV Show",IFERROR(VALUE(LEFT(I2927,FIND(" ",I2927)-1)),""),"")</f>
        <v/>
      </c>
      <c r="P2927" s="7" t="n">
        <f aca="false">IF(K2927="","",K2927-G2927)</f>
        <v>4</v>
      </c>
    </row>
    <row r="2928" customFormat="false" ht="15" hidden="false" customHeight="false" outlineLevel="0" collapsed="false">
      <c r="A2928" s="7" t="n">
        <v>80073823</v>
      </c>
      <c r="B2928" s="7" t="s">
        <v>68</v>
      </c>
      <c r="C2928" s="7" t="s">
        <v>6247</v>
      </c>
      <c r="D2928" s="7" t="s">
        <v>6248</v>
      </c>
      <c r="E2928" s="7" t="s">
        <v>6249</v>
      </c>
      <c r="F2928" s="7" t="s">
        <v>6243</v>
      </c>
      <c r="G2928" s="7" t="n">
        <v>2015</v>
      </c>
      <c r="H2928" s="7" t="s">
        <v>51</v>
      </c>
      <c r="I2928" s="7" t="s">
        <v>1270</v>
      </c>
      <c r="J2928" s="7" t="s">
        <v>150</v>
      </c>
      <c r="K2928" s="7" t="n">
        <f aca="false">IFERROR(VALUE(RIGHT(TRIM(F2928),4)),"")</f>
        <v>2018</v>
      </c>
      <c r="L2928" s="7" t="str">
        <f aca="false">IF(TRIM(E2928)="","Unknown",IFERROR(LEFT(TRIM(E2928),FIND(",",TRIM(E2928))-1),TRIM(E2928)))</f>
        <v>Ireland</v>
      </c>
      <c r="M2928" s="7" t="str">
        <f aca="false">IFERROR(LEFT(J2928,FIND(",",J2928)-1),J2928)</f>
        <v>Dramas</v>
      </c>
      <c r="N2928" s="7" t="n">
        <f aca="false">IF(B2928="Movie",IFERROR(VALUE(LEFT(I2928,FIND(" ",I2928)-1)),""),"")</f>
        <v>118</v>
      </c>
      <c r="O2928" s="7" t="str">
        <f aca="false">IF(B2928="TV Show",IFERROR(VALUE(LEFT(I2928,FIND(" ",I2928)-1)),""),"")</f>
        <v/>
      </c>
      <c r="P2928" s="7" t="n">
        <f aca="false">IF(K2928="","",K2928-G2928)</f>
        <v>3</v>
      </c>
    </row>
    <row r="2929" customFormat="false" ht="15" hidden="false" customHeight="false" outlineLevel="0" collapsed="false">
      <c r="A2929" s="7" t="n">
        <v>70299859</v>
      </c>
      <c r="B2929" s="7" t="s">
        <v>68</v>
      </c>
      <c r="C2929" s="7" t="s">
        <v>6250</v>
      </c>
      <c r="D2929" s="7" t="s">
        <v>253</v>
      </c>
      <c r="E2929" s="7" t="s">
        <v>26</v>
      </c>
      <c r="F2929" s="7" t="s">
        <v>6243</v>
      </c>
      <c r="G2929" s="7" t="n">
        <v>2014</v>
      </c>
      <c r="H2929" s="7" t="s">
        <v>51</v>
      </c>
      <c r="I2929" s="7" t="s">
        <v>87</v>
      </c>
      <c r="J2929" s="7" t="s">
        <v>198</v>
      </c>
      <c r="K2929" s="7" t="n">
        <f aca="false">IFERROR(VALUE(RIGHT(TRIM(F2929),4)),"")</f>
        <v>2018</v>
      </c>
      <c r="L2929" s="7" t="str">
        <f aca="false">IF(TRIM(E2929)="","Unknown",IFERROR(LEFT(TRIM(E2929),FIND(",",TRIM(E2929))-1),TRIM(E2929)))</f>
        <v>United States</v>
      </c>
      <c r="M2929" s="7" t="str">
        <f aca="false">IFERROR(LEFT(J2929,FIND(",",J2929)-1),J2929)</f>
        <v>Comedies</v>
      </c>
      <c r="N2929" s="7" t="n">
        <f aca="false">IF(B2929="Movie",IFERROR(VALUE(LEFT(I2929,FIND(" ",I2929)-1)),""),"")</f>
        <v>99</v>
      </c>
      <c r="O2929" s="7" t="str">
        <f aca="false">IF(B2929="TV Show",IFERROR(VALUE(LEFT(I2929,FIND(" ",I2929)-1)),""),"")</f>
        <v/>
      </c>
      <c r="P2929" s="7" t="n">
        <f aca="false">IF(K2929="","",K2929-G2929)</f>
        <v>4</v>
      </c>
    </row>
    <row r="2930" customFormat="false" ht="15" hidden="false" customHeight="false" outlineLevel="0" collapsed="false">
      <c r="A2930" s="7" t="n">
        <v>80027378</v>
      </c>
      <c r="B2930" s="7" t="s">
        <v>68</v>
      </c>
      <c r="C2930" s="7" t="s">
        <v>6251</v>
      </c>
      <c r="D2930" s="7" t="s">
        <v>6252</v>
      </c>
      <c r="E2930" s="7" t="s">
        <v>6253</v>
      </c>
      <c r="F2930" s="7" t="s">
        <v>6243</v>
      </c>
      <c r="G2930" s="7" t="n">
        <v>2014</v>
      </c>
      <c r="H2930" s="7" t="s">
        <v>51</v>
      </c>
      <c r="I2930" s="7" t="s">
        <v>790</v>
      </c>
      <c r="J2930" s="7" t="s">
        <v>2939</v>
      </c>
      <c r="K2930" s="7" t="n">
        <f aca="false">IFERROR(VALUE(RIGHT(TRIM(F2930),4)),"")</f>
        <v>2018</v>
      </c>
      <c r="L2930" s="7" t="str">
        <f aca="false">IF(TRIM(E2930)="","Unknown",IFERROR(LEFT(TRIM(E2930),FIND(",",TRIM(E2930))-1),TRIM(E2930)))</f>
        <v>Australia</v>
      </c>
      <c r="M2930" s="7" t="str">
        <f aca="false">IFERROR(LEFT(J2930,FIND(",",J2930)-1),J2930)</f>
        <v>Action &amp; Adventure</v>
      </c>
      <c r="N2930" s="7" t="n">
        <f aca="false">IF(B2930="Movie",IFERROR(VALUE(LEFT(I2930,FIND(" ",I2930)-1)),""),"")</f>
        <v>109</v>
      </c>
      <c r="O2930" s="7" t="str">
        <f aca="false">IF(B2930="TV Show",IFERROR(VALUE(LEFT(I2930,FIND(" ",I2930)-1)),""),"")</f>
        <v/>
      </c>
      <c r="P2930" s="7" t="n">
        <f aca="false">IF(K2930="","",K2930-G2930)</f>
        <v>4</v>
      </c>
    </row>
    <row r="2931" customFormat="false" ht="15" hidden="false" customHeight="false" outlineLevel="0" collapsed="false">
      <c r="A2931" s="7" t="n">
        <v>70266679</v>
      </c>
      <c r="B2931" s="7" t="s">
        <v>68</v>
      </c>
      <c r="C2931" s="7" t="s">
        <v>6254</v>
      </c>
      <c r="D2931" s="7" t="s">
        <v>3287</v>
      </c>
      <c r="E2931" s="7" t="s">
        <v>1182</v>
      </c>
      <c r="F2931" s="7" t="s">
        <v>6243</v>
      </c>
      <c r="G2931" s="7" t="n">
        <v>2014</v>
      </c>
      <c r="H2931" s="7" t="s">
        <v>51</v>
      </c>
      <c r="I2931" s="7" t="s">
        <v>330</v>
      </c>
      <c r="J2931" s="7" t="s">
        <v>358</v>
      </c>
      <c r="K2931" s="7" t="n">
        <f aca="false">IFERROR(VALUE(RIGHT(TRIM(F2931),4)),"")</f>
        <v>2018</v>
      </c>
      <c r="L2931" s="7" t="str">
        <f aca="false">IF(TRIM(E2931)="","Unknown",IFERROR(LEFT(TRIM(E2931),FIND(",",TRIM(E2931))-1),TRIM(E2931)))</f>
        <v>Australia</v>
      </c>
      <c r="M2931" s="7" t="str">
        <f aca="false">IFERROR(LEFT(J2931,FIND(",",J2931)-1),J2931)</f>
        <v>International Movies</v>
      </c>
      <c r="N2931" s="7" t="n">
        <f aca="false">IF(B2931="Movie",IFERROR(VALUE(LEFT(I2931,FIND(" ",I2931)-1)),""),"")</f>
        <v>103</v>
      </c>
      <c r="O2931" s="7" t="str">
        <f aca="false">IF(B2931="TV Show",IFERROR(VALUE(LEFT(I2931,FIND(" ",I2931)-1)),""),"")</f>
        <v/>
      </c>
      <c r="P2931" s="7" t="n">
        <f aca="false">IF(K2931="","",K2931-G2931)</f>
        <v>4</v>
      </c>
    </row>
    <row r="2932" customFormat="false" ht="15" hidden="false" customHeight="false" outlineLevel="0" collapsed="false">
      <c r="A2932" s="7" t="n">
        <v>1005494</v>
      </c>
      <c r="B2932" s="7" t="s">
        <v>68</v>
      </c>
      <c r="C2932" s="7" t="s">
        <v>6255</v>
      </c>
      <c r="D2932" s="7" t="s">
        <v>2877</v>
      </c>
      <c r="E2932" s="7" t="s">
        <v>26</v>
      </c>
      <c r="F2932" s="7" t="s">
        <v>6243</v>
      </c>
      <c r="G2932" s="7" t="n">
        <v>1946</v>
      </c>
      <c r="H2932" s="7" t="s">
        <v>50</v>
      </c>
      <c r="I2932" s="7" t="s">
        <v>77</v>
      </c>
      <c r="J2932" s="7" t="s">
        <v>6256</v>
      </c>
      <c r="K2932" s="7" t="n">
        <f aca="false">IFERROR(VALUE(RIGHT(TRIM(F2932),4)),"")</f>
        <v>2018</v>
      </c>
      <c r="L2932" s="7" t="str">
        <f aca="false">IF(TRIM(E2932)="","Unknown",IFERROR(LEFT(TRIM(E2932),FIND(",",TRIM(E2932))-1),TRIM(E2932)))</f>
        <v>United States</v>
      </c>
      <c r="M2932" s="7" t="str">
        <f aca="false">IFERROR(LEFT(J2932,FIND(",",J2932)-1),J2932)</f>
        <v>Classic Movies</v>
      </c>
      <c r="N2932" s="7" t="n">
        <f aca="false">IF(B2932="Movie",IFERROR(VALUE(LEFT(I2932,FIND(" ",I2932)-1)),""),"")</f>
        <v>94</v>
      </c>
      <c r="O2932" s="7" t="str">
        <f aca="false">IF(B2932="TV Show",IFERROR(VALUE(LEFT(I2932,FIND(" ",I2932)-1)),""),"")</f>
        <v/>
      </c>
      <c r="P2932" s="7" t="n">
        <f aca="false">IF(K2932="","",K2932-G2932)</f>
        <v>72</v>
      </c>
    </row>
    <row r="2933" customFormat="false" ht="15" hidden="false" customHeight="false" outlineLevel="0" collapsed="false">
      <c r="A2933" s="7" t="n">
        <v>81116487</v>
      </c>
      <c r="B2933" s="7" t="s">
        <v>78</v>
      </c>
      <c r="C2933" s="7" t="s">
        <v>6257</v>
      </c>
      <c r="E2933" s="7" t="s">
        <v>32</v>
      </c>
      <c r="F2933" s="7" t="s">
        <v>6258</v>
      </c>
      <c r="G2933" s="7" t="n">
        <v>2019</v>
      </c>
      <c r="H2933" s="7" t="s">
        <v>49</v>
      </c>
      <c r="I2933" s="7" t="s">
        <v>82</v>
      </c>
      <c r="J2933" s="7" t="s">
        <v>637</v>
      </c>
      <c r="K2933" s="7" t="n">
        <f aca="false">IFERROR(VALUE(RIGHT(TRIM(F2933),4)),"")</f>
        <v>2019</v>
      </c>
      <c r="L2933" s="7" t="str">
        <f aca="false">IF(TRIM(E2933)="","Unknown",IFERROR(LEFT(TRIM(E2933),FIND(",",TRIM(E2933))-1),TRIM(E2933)))</f>
        <v>South Korea</v>
      </c>
      <c r="M2933" s="7" t="str">
        <f aca="false">IFERROR(LEFT(J2933,FIND(",",J2933)-1),J2933)</f>
        <v>International TV Shows</v>
      </c>
      <c r="N2933" s="7" t="str">
        <f aca="false">IF(B2933="Movie",IFERROR(VALUE(LEFT(I2933,FIND(" ",I2933)-1)),""),"")</f>
        <v/>
      </c>
      <c r="O2933" s="7" t="n">
        <f aca="false">IF(B2933="TV Show",IFERROR(VALUE(LEFT(I2933,FIND(" ",I2933)-1)),""),"")</f>
        <v>1</v>
      </c>
      <c r="P2933" s="7" t="n">
        <f aca="false">IF(K2933="","",K2933-G2933)</f>
        <v>0</v>
      </c>
    </row>
    <row r="2934" customFormat="false" ht="15" hidden="false" customHeight="false" outlineLevel="0" collapsed="false">
      <c r="A2934" s="7" t="n">
        <v>80998968</v>
      </c>
      <c r="B2934" s="7" t="s">
        <v>68</v>
      </c>
      <c r="C2934" s="7" t="s">
        <v>6259</v>
      </c>
      <c r="D2934" s="7" t="s">
        <v>6260</v>
      </c>
      <c r="E2934" s="7" t="s">
        <v>26</v>
      </c>
      <c r="F2934" s="7" t="s">
        <v>6258</v>
      </c>
      <c r="G2934" s="7" t="n">
        <v>2019</v>
      </c>
      <c r="H2934" s="7" t="s">
        <v>49</v>
      </c>
      <c r="I2934" s="7" t="s">
        <v>134</v>
      </c>
      <c r="J2934" s="7" t="s">
        <v>811</v>
      </c>
      <c r="K2934" s="7" t="n">
        <f aca="false">IFERROR(VALUE(RIGHT(TRIM(F2934),4)),"")</f>
        <v>2019</v>
      </c>
      <c r="L2934" s="7" t="str">
        <f aca="false">IF(TRIM(E2934)="","Unknown",IFERROR(LEFT(TRIM(E2934),FIND(",",TRIM(E2934))-1),TRIM(E2934)))</f>
        <v>United States</v>
      </c>
      <c r="M2934" s="7" t="str">
        <f aca="false">IFERROR(LEFT(J2934,FIND(",",J2934)-1),J2934)</f>
        <v>Thrillers</v>
      </c>
      <c r="N2934" s="7" t="n">
        <f aca="false">IF(B2934="Movie",IFERROR(VALUE(LEFT(I2934,FIND(" ",I2934)-1)),""),"")</f>
        <v>98</v>
      </c>
      <c r="O2934" s="7" t="str">
        <f aca="false">IF(B2934="TV Show",IFERROR(VALUE(LEFT(I2934,FIND(" ",I2934)-1)),""),"")</f>
        <v/>
      </c>
      <c r="P2934" s="7" t="n">
        <f aca="false">IF(K2934="","",K2934-G2934)</f>
        <v>0</v>
      </c>
    </row>
    <row r="2935" customFormat="false" ht="15" hidden="false" customHeight="false" outlineLevel="0" collapsed="false">
      <c r="A2935" s="7" t="n">
        <v>70272893</v>
      </c>
      <c r="B2935" s="7" t="s">
        <v>68</v>
      </c>
      <c r="C2935" s="7" t="s">
        <v>6261</v>
      </c>
      <c r="D2935" s="7" t="s">
        <v>6262</v>
      </c>
      <c r="E2935" s="7" t="s">
        <v>26</v>
      </c>
      <c r="F2935" s="7" t="s">
        <v>6258</v>
      </c>
      <c r="G2935" s="7" t="n">
        <v>2013</v>
      </c>
      <c r="H2935" s="7" t="s">
        <v>51</v>
      </c>
      <c r="I2935" s="7" t="s">
        <v>451</v>
      </c>
      <c r="J2935" s="7" t="s">
        <v>150</v>
      </c>
      <c r="K2935" s="7" t="n">
        <f aca="false">IFERROR(VALUE(RIGHT(TRIM(F2935),4)),"")</f>
        <v>2019</v>
      </c>
      <c r="L2935" s="7" t="str">
        <f aca="false">IF(TRIM(E2935)="","Unknown",IFERROR(LEFT(TRIM(E2935),FIND(",",TRIM(E2935))-1),TRIM(E2935)))</f>
        <v>United States</v>
      </c>
      <c r="M2935" s="7" t="str">
        <f aca="false">IFERROR(LEFT(J2935,FIND(",",J2935)-1),J2935)</f>
        <v>Dramas</v>
      </c>
      <c r="N2935" s="7" t="n">
        <f aca="false">IF(B2935="Movie",IFERROR(VALUE(LEFT(I2935,FIND(" ",I2935)-1)),""),"")</f>
        <v>97</v>
      </c>
      <c r="O2935" s="7" t="str">
        <f aca="false">IF(B2935="TV Show",IFERROR(VALUE(LEFT(I2935,FIND(" ",I2935)-1)),""),"")</f>
        <v/>
      </c>
      <c r="P2935" s="7" t="n">
        <f aca="false">IF(K2935="","",K2935-G2935)</f>
        <v>6</v>
      </c>
    </row>
    <row r="2936" customFormat="false" ht="15" hidden="false" customHeight="false" outlineLevel="0" collapsed="false">
      <c r="A2936" s="7" t="n">
        <v>80233223</v>
      </c>
      <c r="B2936" s="7" t="s">
        <v>78</v>
      </c>
      <c r="C2936" s="7" t="s">
        <v>6263</v>
      </c>
      <c r="E2936" s="7" t="s">
        <v>33</v>
      </c>
      <c r="F2936" s="7" t="s">
        <v>6264</v>
      </c>
      <c r="G2936" s="7" t="n">
        <v>2018</v>
      </c>
      <c r="H2936" s="7" t="s">
        <v>49</v>
      </c>
      <c r="I2936" s="7" t="s">
        <v>82</v>
      </c>
      <c r="J2936" s="7" t="s">
        <v>792</v>
      </c>
      <c r="K2936" s="7" t="n">
        <f aca="false">IFERROR(VALUE(RIGHT(TRIM(F2936),4)),"")</f>
        <v>2018</v>
      </c>
      <c r="L2936" s="7" t="str">
        <f aca="false">IF(TRIM(E2936)="","Unknown",IFERROR(LEFT(TRIM(E2936),FIND(",",TRIM(E2936))-1),TRIM(E2936)))</f>
        <v>Spain</v>
      </c>
      <c r="M2936" s="7" t="str">
        <f aca="false">IFERROR(LEFT(J2936,FIND(",",J2936)-1),J2936)</f>
        <v>Docuseries</v>
      </c>
      <c r="N2936" s="7" t="str">
        <f aca="false">IF(B2936="Movie",IFERROR(VALUE(LEFT(I2936,FIND(" ",I2936)-1)),""),"")</f>
        <v/>
      </c>
      <c r="O2936" s="7" t="n">
        <f aca="false">IF(B2936="TV Show",IFERROR(VALUE(LEFT(I2936,FIND(" ",I2936)-1)),""),"")</f>
        <v>1</v>
      </c>
      <c r="P2936" s="7" t="n">
        <f aca="false">IF(K2936="","",K2936-G2936)</f>
        <v>0</v>
      </c>
    </row>
    <row r="2937" customFormat="false" ht="15" hidden="false" customHeight="false" outlineLevel="0" collapsed="false">
      <c r="A2937" s="7" t="n">
        <v>80232891</v>
      </c>
      <c r="B2937" s="7" t="s">
        <v>68</v>
      </c>
      <c r="C2937" s="7" t="s">
        <v>6265</v>
      </c>
      <c r="D2937" s="7" t="s">
        <v>6266</v>
      </c>
      <c r="E2937" s="7" t="s">
        <v>33</v>
      </c>
      <c r="F2937" s="7" t="s">
        <v>6264</v>
      </c>
      <c r="G2937" s="7" t="n">
        <v>2018</v>
      </c>
      <c r="H2937" s="7" t="s">
        <v>49</v>
      </c>
      <c r="I2937" s="7" t="s">
        <v>820</v>
      </c>
      <c r="J2937" s="7" t="s">
        <v>699</v>
      </c>
      <c r="K2937" s="7" t="n">
        <f aca="false">IFERROR(VALUE(RIGHT(TRIM(F2937),4)),"")</f>
        <v>2018</v>
      </c>
      <c r="L2937" s="7" t="str">
        <f aca="false">IF(TRIM(E2937)="","Unknown",IFERROR(LEFT(TRIM(E2937),FIND(",",TRIM(E2937))-1),TRIM(E2937)))</f>
        <v>Spain</v>
      </c>
      <c r="M2937" s="7" t="str">
        <f aca="false">IFERROR(LEFT(J2937,FIND(",",J2937)-1),J2937)</f>
        <v>Documentaries</v>
      </c>
      <c r="N2937" s="7" t="n">
        <f aca="false">IF(B2937="Movie",IFERROR(VALUE(LEFT(I2937,FIND(" ",I2937)-1)),""),"")</f>
        <v>105</v>
      </c>
      <c r="O2937" s="7" t="str">
        <f aca="false">IF(B2937="TV Show",IFERROR(VALUE(LEFT(I2937,FIND(" ",I2937)-1)),""),"")</f>
        <v/>
      </c>
      <c r="P2937" s="7" t="n">
        <f aca="false">IF(K2937="","",K2937-G2937)</f>
        <v>0</v>
      </c>
    </row>
    <row r="2938" customFormat="false" ht="15" hidden="false" customHeight="false" outlineLevel="0" collapsed="false">
      <c r="A2938" s="7" t="n">
        <v>80180376</v>
      </c>
      <c r="B2938" s="7" t="s">
        <v>68</v>
      </c>
      <c r="C2938" s="7" t="s">
        <v>6267</v>
      </c>
      <c r="D2938" s="7" t="s">
        <v>6268</v>
      </c>
      <c r="E2938" s="7" t="s">
        <v>30</v>
      </c>
      <c r="F2938" s="7" t="s">
        <v>6264</v>
      </c>
      <c r="G2938" s="7" t="n">
        <v>2018</v>
      </c>
      <c r="H2938" s="7" t="s">
        <v>49</v>
      </c>
      <c r="I2938" s="7" t="s">
        <v>512</v>
      </c>
      <c r="J2938" s="7" t="s">
        <v>1032</v>
      </c>
      <c r="K2938" s="7" t="n">
        <f aca="false">IFERROR(VALUE(RIGHT(TRIM(F2938),4)),"")</f>
        <v>2018</v>
      </c>
      <c r="L2938" s="7" t="str">
        <f aca="false">IF(TRIM(E2938)="","Unknown",IFERROR(LEFT(TRIM(E2938),FIND(",",TRIM(E2938))-1),TRIM(E2938)))</f>
        <v>Japan</v>
      </c>
      <c r="M2938" s="7" t="str">
        <f aca="false">IFERROR(LEFT(J2938,FIND(",",J2938)-1),J2938)</f>
        <v>Action &amp; Adventure</v>
      </c>
      <c r="N2938" s="7" t="n">
        <f aca="false">IF(B2938="Movie",IFERROR(VALUE(LEFT(I2938,FIND(" ",I2938)-1)),""),"")</f>
        <v>101</v>
      </c>
      <c r="O2938" s="7" t="str">
        <f aca="false">IF(B2938="TV Show",IFERROR(VALUE(LEFT(I2938,FIND(" ",I2938)-1)),""),"")</f>
        <v/>
      </c>
      <c r="P2938" s="7" t="n">
        <f aca="false">IF(K2938="","",K2938-G2938)</f>
        <v>0</v>
      </c>
    </row>
    <row r="2939" customFormat="false" ht="15" hidden="false" customHeight="false" outlineLevel="0" collapsed="false">
      <c r="A2939" s="7" t="n">
        <v>80183329</v>
      </c>
      <c r="B2939" s="7" t="s">
        <v>68</v>
      </c>
      <c r="C2939" s="7" t="s">
        <v>6269</v>
      </c>
      <c r="D2939" s="7" t="s">
        <v>6270</v>
      </c>
      <c r="E2939" s="7" t="s">
        <v>27</v>
      </c>
      <c r="F2939" s="7" t="s">
        <v>6271</v>
      </c>
      <c r="G2939" s="7" t="n">
        <v>2017</v>
      </c>
      <c r="H2939" s="7" t="s">
        <v>48</v>
      </c>
      <c r="I2939" s="7" t="s">
        <v>551</v>
      </c>
      <c r="J2939" s="7" t="s">
        <v>45</v>
      </c>
      <c r="K2939" s="7" t="n">
        <f aca="false">IFERROR(VALUE(RIGHT(TRIM(F2939),4)),"")</f>
        <v>2017</v>
      </c>
      <c r="L2939" s="7" t="str">
        <f aca="false">IF(TRIM(E2939)="","Unknown",IFERROR(LEFT(TRIM(E2939),FIND(",",TRIM(E2939))-1),TRIM(E2939)))</f>
        <v>India</v>
      </c>
      <c r="M2939" s="7" t="str">
        <f aca="false">IFERROR(LEFT(J2939,FIND(",",J2939)-1),J2939)</f>
        <v>Stand-Up Comedy</v>
      </c>
      <c r="N2939" s="7" t="n">
        <f aca="false">IF(B2939="Movie",IFERROR(VALUE(LEFT(I2939,FIND(" ",I2939)-1)),""),"")</f>
        <v>63</v>
      </c>
      <c r="O2939" s="7" t="str">
        <f aca="false">IF(B2939="TV Show",IFERROR(VALUE(LEFT(I2939,FIND(" ",I2939)-1)),""),"")</f>
        <v/>
      </c>
      <c r="P2939" s="7" t="n">
        <f aca="false">IF(K2939="","",K2939-G2939)</f>
        <v>0</v>
      </c>
    </row>
    <row r="2940" customFormat="false" ht="15" hidden="false" customHeight="false" outlineLevel="0" collapsed="false">
      <c r="A2940" s="7" t="n">
        <v>80192842</v>
      </c>
      <c r="B2940" s="7" t="s">
        <v>78</v>
      </c>
      <c r="C2940" s="7" t="s">
        <v>6272</v>
      </c>
      <c r="D2940" s="7" t="s">
        <v>6273</v>
      </c>
      <c r="E2940" s="7" t="s">
        <v>26</v>
      </c>
      <c r="F2940" s="7" t="s">
        <v>6271</v>
      </c>
      <c r="G2940" s="7" t="n">
        <v>2017</v>
      </c>
      <c r="H2940" s="7" t="s">
        <v>48</v>
      </c>
      <c r="I2940" s="7" t="s">
        <v>82</v>
      </c>
      <c r="J2940" s="7" t="s">
        <v>6274</v>
      </c>
      <c r="K2940" s="7" t="n">
        <f aca="false">IFERROR(VALUE(RIGHT(TRIM(F2940),4)),"")</f>
        <v>2017</v>
      </c>
      <c r="L2940" s="7" t="str">
        <f aca="false">IF(TRIM(E2940)="","Unknown",IFERROR(LEFT(TRIM(E2940),FIND(",",TRIM(E2940))-1),TRIM(E2940)))</f>
        <v>United States</v>
      </c>
      <c r="M2940" s="7" t="str">
        <f aca="false">IFERROR(LEFT(J2940,FIND(",",J2940)-1),J2940)</f>
        <v>Stand-Up Comedy &amp; Talk Shows</v>
      </c>
      <c r="N2940" s="7" t="str">
        <f aca="false">IF(B2940="Movie",IFERROR(VALUE(LEFT(I2940,FIND(" ",I2940)-1)),""),"")</f>
        <v/>
      </c>
      <c r="O2940" s="7" t="n">
        <f aca="false">IF(B2940="TV Show",IFERROR(VALUE(LEFT(I2940,FIND(" ",I2940)-1)),""),"")</f>
        <v>1</v>
      </c>
      <c r="P2940" s="7" t="n">
        <f aca="false">IF(K2940="","",K2940-G2940)</f>
        <v>0</v>
      </c>
    </row>
    <row r="2941" customFormat="false" ht="15" hidden="false" customHeight="false" outlineLevel="0" collapsed="false">
      <c r="A2941" s="7" t="n">
        <v>80154884</v>
      </c>
      <c r="B2941" s="7" t="s">
        <v>68</v>
      </c>
      <c r="C2941" s="7" t="s">
        <v>6275</v>
      </c>
      <c r="D2941" s="7" t="s">
        <v>6276</v>
      </c>
      <c r="E2941" s="7" t="s">
        <v>29</v>
      </c>
      <c r="F2941" s="7" t="s">
        <v>6271</v>
      </c>
      <c r="G2941" s="7" t="n">
        <v>2016</v>
      </c>
      <c r="H2941" s="7" t="s">
        <v>50</v>
      </c>
      <c r="I2941" s="7" t="s">
        <v>77</v>
      </c>
      <c r="J2941" s="7" t="s">
        <v>39</v>
      </c>
      <c r="K2941" s="7" t="n">
        <f aca="false">IFERROR(VALUE(RIGHT(TRIM(F2941),4)),"")</f>
        <v>2017</v>
      </c>
      <c r="L2941" s="7" t="str">
        <f aca="false">IF(TRIM(E2941)="","Unknown",IFERROR(LEFT(TRIM(E2941),FIND(",",TRIM(E2941))-1),TRIM(E2941)))</f>
        <v>Canada</v>
      </c>
      <c r="M2941" s="7" t="str">
        <f aca="false">IFERROR(LEFT(J2941,FIND(",",J2941)-1),J2941)</f>
        <v>Documentaries</v>
      </c>
      <c r="N2941" s="7" t="n">
        <f aca="false">IF(B2941="Movie",IFERROR(VALUE(LEFT(I2941,FIND(" ",I2941)-1)),""),"")</f>
        <v>94</v>
      </c>
      <c r="O2941" s="7" t="str">
        <f aca="false">IF(B2941="TV Show",IFERROR(VALUE(LEFT(I2941,FIND(" ",I2941)-1)),""),"")</f>
        <v/>
      </c>
      <c r="P2941" s="7" t="n">
        <f aca="false">IF(K2941="","",K2941-G2941)</f>
        <v>1</v>
      </c>
    </row>
    <row r="2942" customFormat="false" ht="15" hidden="false" customHeight="false" outlineLevel="0" collapsed="false">
      <c r="A2942" s="7" t="n">
        <v>81113926</v>
      </c>
      <c r="B2942" s="7" t="s">
        <v>68</v>
      </c>
      <c r="C2942" s="7" t="s">
        <v>6277</v>
      </c>
      <c r="D2942" s="7" t="s">
        <v>4862</v>
      </c>
      <c r="E2942" s="7" t="s">
        <v>27</v>
      </c>
      <c r="F2942" s="7" t="s">
        <v>6278</v>
      </c>
      <c r="G2942" s="7" t="n">
        <v>2018</v>
      </c>
      <c r="H2942" s="7" t="s">
        <v>49</v>
      </c>
      <c r="I2942" s="7" t="s">
        <v>2183</v>
      </c>
      <c r="J2942" s="7" t="s">
        <v>112</v>
      </c>
      <c r="K2942" s="7" t="n">
        <f aca="false">IFERROR(VALUE(RIGHT(TRIM(F2942),4)),"")</f>
        <v>2019</v>
      </c>
      <c r="L2942" s="7" t="str">
        <f aca="false">IF(TRIM(E2942)="","Unknown",IFERROR(LEFT(TRIM(E2942),FIND(",",TRIM(E2942))-1),TRIM(E2942)))</f>
        <v>India</v>
      </c>
      <c r="M2942" s="7" t="str">
        <f aca="false">IFERROR(LEFT(J2942,FIND(",",J2942)-1),J2942)</f>
        <v>Action &amp; Adventure</v>
      </c>
      <c r="N2942" s="7" t="n">
        <f aca="false">IF(B2942="Movie",IFERROR(VALUE(LEFT(I2942,FIND(" ",I2942)-1)),""),"")</f>
        <v>136</v>
      </c>
      <c r="O2942" s="7" t="str">
        <f aca="false">IF(B2942="TV Show",IFERROR(VALUE(LEFT(I2942,FIND(" ",I2942)-1)),""),"")</f>
        <v/>
      </c>
      <c r="P2942" s="7" t="n">
        <f aca="false">IF(K2942="","",K2942-G2942)</f>
        <v>1</v>
      </c>
    </row>
    <row r="2943" customFormat="false" ht="15" hidden="false" customHeight="false" outlineLevel="0" collapsed="false">
      <c r="A2943" s="7" t="n">
        <v>80993627</v>
      </c>
      <c r="B2943" s="7" t="s">
        <v>78</v>
      </c>
      <c r="C2943" s="7" t="s">
        <v>6279</v>
      </c>
      <c r="E2943" s="7" t="s">
        <v>366</v>
      </c>
      <c r="F2943" s="7" t="s">
        <v>6278</v>
      </c>
      <c r="G2943" s="7" t="n">
        <v>2019</v>
      </c>
      <c r="H2943" s="7" t="s">
        <v>49</v>
      </c>
      <c r="I2943" s="7" t="s">
        <v>82</v>
      </c>
      <c r="J2943" s="7" t="s">
        <v>314</v>
      </c>
      <c r="K2943" s="7" t="n">
        <f aca="false">IFERROR(VALUE(RIGHT(TRIM(F2943),4)),"")</f>
        <v>2019</v>
      </c>
      <c r="L2943" s="7" t="str">
        <f aca="false">IF(TRIM(E2943)="","Unknown",IFERROR(LEFT(TRIM(E2943),FIND(",",TRIM(E2943))-1),TRIM(E2943)))</f>
        <v>China</v>
      </c>
      <c r="M2943" s="7" t="str">
        <f aca="false">IFERROR(LEFT(J2943,FIND(",",J2943)-1),J2943)</f>
        <v>International TV Shows</v>
      </c>
      <c r="N2943" s="7" t="str">
        <f aca="false">IF(B2943="Movie",IFERROR(VALUE(LEFT(I2943,FIND(" ",I2943)-1)),""),"")</f>
        <v/>
      </c>
      <c r="O2943" s="7" t="n">
        <f aca="false">IF(B2943="TV Show",IFERROR(VALUE(LEFT(I2943,FIND(" ",I2943)-1)),""),"")</f>
        <v>1</v>
      </c>
      <c r="P2943" s="7" t="n">
        <f aca="false">IF(K2943="","",K2943-G2943)</f>
        <v>0</v>
      </c>
    </row>
    <row r="2944" customFormat="false" ht="15" hidden="false" customHeight="false" outlineLevel="0" collapsed="false">
      <c r="A2944" s="7" t="n">
        <v>80217130</v>
      </c>
      <c r="B2944" s="7" t="s">
        <v>68</v>
      </c>
      <c r="C2944" s="7" t="s">
        <v>6280</v>
      </c>
      <c r="D2944" s="7" t="s">
        <v>6281</v>
      </c>
      <c r="E2944" s="7" t="s">
        <v>30</v>
      </c>
      <c r="F2944" s="7" t="s">
        <v>6282</v>
      </c>
      <c r="G2944" s="7" t="n">
        <v>2018</v>
      </c>
      <c r="H2944" s="7" t="s">
        <v>54</v>
      </c>
      <c r="I2944" s="7" t="s">
        <v>330</v>
      </c>
      <c r="J2944" s="7" t="s">
        <v>6283</v>
      </c>
      <c r="K2944" s="7" t="n">
        <f aca="false">IFERROR(VALUE(RIGHT(TRIM(F2944),4)),"")</f>
        <v>2018</v>
      </c>
      <c r="L2944" s="7" t="str">
        <f aca="false">IF(TRIM(E2944)="","Unknown",IFERROR(LEFT(TRIM(E2944),FIND(",",TRIM(E2944))-1),TRIM(E2944)))</f>
        <v>Japan</v>
      </c>
      <c r="M2944" s="7" t="str">
        <f aca="false">IFERROR(LEFT(J2944,FIND(",",J2944)-1),J2944)</f>
        <v>Anime Features</v>
      </c>
      <c r="N2944" s="7" t="n">
        <f aca="false">IF(B2944="Movie",IFERROR(VALUE(LEFT(I2944,FIND(" ",I2944)-1)),""),"")</f>
        <v>103</v>
      </c>
      <c r="O2944" s="7" t="str">
        <f aca="false">IF(B2944="TV Show",IFERROR(VALUE(LEFT(I2944,FIND(" ",I2944)-1)),""),"")</f>
        <v/>
      </c>
      <c r="P2944" s="7" t="n">
        <f aca="false">IF(K2944="","",K2944-G2944)</f>
        <v>0</v>
      </c>
    </row>
    <row r="2945" customFormat="false" ht="15" hidden="false" customHeight="false" outlineLevel="0" collapsed="false">
      <c r="A2945" s="7" t="n">
        <v>80167460</v>
      </c>
      <c r="B2945" s="7" t="s">
        <v>68</v>
      </c>
      <c r="C2945" s="7" t="s">
        <v>6284</v>
      </c>
      <c r="D2945" s="7" t="s">
        <v>6285</v>
      </c>
      <c r="E2945" s="7" t="s">
        <v>33</v>
      </c>
      <c r="F2945" s="7" t="s">
        <v>6286</v>
      </c>
      <c r="G2945" s="7" t="n">
        <v>2017</v>
      </c>
      <c r="H2945" s="7" t="s">
        <v>48</v>
      </c>
      <c r="I2945" s="7" t="s">
        <v>237</v>
      </c>
      <c r="J2945" s="7" t="s">
        <v>304</v>
      </c>
      <c r="K2945" s="7" t="n">
        <f aca="false">IFERROR(VALUE(RIGHT(TRIM(F2945),4)),"")</f>
        <v>2017</v>
      </c>
      <c r="L2945" s="7" t="str">
        <f aca="false">IF(TRIM(E2945)="","Unknown",IFERROR(LEFT(TRIM(E2945),FIND(",",TRIM(E2945))-1),TRIM(E2945)))</f>
        <v>Spain</v>
      </c>
      <c r="M2945" s="7" t="str">
        <f aca="false">IFERROR(LEFT(J2945,FIND(",",J2945)-1),J2945)</f>
        <v>Dramas</v>
      </c>
      <c r="N2945" s="7" t="n">
        <f aca="false">IF(B2945="Movie",IFERROR(VALUE(LEFT(I2945,FIND(" ",I2945)-1)),""),"")</f>
        <v>116</v>
      </c>
      <c r="O2945" s="7" t="str">
        <f aca="false">IF(B2945="TV Show",IFERROR(VALUE(LEFT(I2945,FIND(" ",I2945)-1)),""),"")</f>
        <v/>
      </c>
      <c r="P2945" s="7" t="n">
        <f aca="false">IF(K2945="","",K2945-G2945)</f>
        <v>0</v>
      </c>
    </row>
    <row r="2946" customFormat="false" ht="15" hidden="false" customHeight="false" outlineLevel="0" collapsed="false">
      <c r="A2946" s="7" t="n">
        <v>80028208</v>
      </c>
      <c r="B2946" s="7" t="s">
        <v>68</v>
      </c>
      <c r="C2946" s="7" t="s">
        <v>6287</v>
      </c>
      <c r="D2946" s="7" t="s">
        <v>6288</v>
      </c>
      <c r="E2946" s="7" t="s">
        <v>26</v>
      </c>
      <c r="F2946" s="7" t="s">
        <v>6289</v>
      </c>
      <c r="G2946" s="7" t="n">
        <v>2015</v>
      </c>
      <c r="H2946" s="7" t="s">
        <v>49</v>
      </c>
      <c r="I2946" s="7" t="s">
        <v>311</v>
      </c>
      <c r="J2946" s="7" t="s">
        <v>1501</v>
      </c>
      <c r="K2946" s="7" t="n">
        <f aca="false">IFERROR(VALUE(RIGHT(TRIM(F2946),4)),"")</f>
        <v>2015</v>
      </c>
      <c r="L2946" s="7" t="str">
        <f aca="false">IF(TRIM(E2946)="","Unknown",IFERROR(LEFT(TRIM(E2946),FIND(",",TRIM(E2946))-1),TRIM(E2946)))</f>
        <v>United States</v>
      </c>
      <c r="M2946" s="7" t="str">
        <f aca="false">IFERROR(LEFT(J2946,FIND(",",J2946)-1),J2946)</f>
        <v>Documentaries</v>
      </c>
      <c r="N2946" s="7" t="n">
        <f aca="false">IF(B2946="Movie",IFERROR(VALUE(LEFT(I2946,FIND(" ",I2946)-1)),""),"")</f>
        <v>92</v>
      </c>
      <c r="O2946" s="7" t="str">
        <f aca="false">IF(B2946="TV Show",IFERROR(VALUE(LEFT(I2946,FIND(" ",I2946)-1)),""),"")</f>
        <v/>
      </c>
      <c r="P2946" s="7" t="n">
        <f aca="false">IF(K2946="","",K2946-G2946)</f>
        <v>0</v>
      </c>
    </row>
    <row r="2947" customFormat="false" ht="15" hidden="false" customHeight="false" outlineLevel="0" collapsed="false">
      <c r="A2947" s="7" t="n">
        <v>81155782</v>
      </c>
      <c r="B2947" s="7" t="s">
        <v>68</v>
      </c>
      <c r="C2947" s="7" t="s">
        <v>6290</v>
      </c>
      <c r="D2947" s="7" t="s">
        <v>6291</v>
      </c>
      <c r="E2947" s="7" t="s">
        <v>27</v>
      </c>
      <c r="F2947" s="7" t="s">
        <v>6292</v>
      </c>
      <c r="G2947" s="7" t="n">
        <v>2018</v>
      </c>
      <c r="H2947" s="7" t="s">
        <v>50</v>
      </c>
      <c r="I2947" s="7" t="s">
        <v>1557</v>
      </c>
      <c r="J2947" s="7" t="s">
        <v>304</v>
      </c>
      <c r="K2947" s="7" t="n">
        <f aca="false">IFERROR(VALUE(RIGHT(TRIM(F2947),4)),"")</f>
        <v>2019</v>
      </c>
      <c r="L2947" s="7" t="str">
        <f aca="false">IF(TRIM(E2947)="","Unknown",IFERROR(LEFT(TRIM(E2947),FIND(",",TRIM(E2947))-1),TRIM(E2947)))</f>
        <v>India</v>
      </c>
      <c r="M2947" s="7" t="str">
        <f aca="false">IFERROR(LEFT(J2947,FIND(",",J2947)-1),J2947)</f>
        <v>Dramas</v>
      </c>
      <c r="N2947" s="7" t="n">
        <f aca="false">IF(B2947="Movie",IFERROR(VALUE(LEFT(I2947,FIND(" ",I2947)-1)),""),"")</f>
        <v>161</v>
      </c>
      <c r="O2947" s="7" t="str">
        <f aca="false">IF(B2947="TV Show",IFERROR(VALUE(LEFT(I2947,FIND(" ",I2947)-1)),""),"")</f>
        <v/>
      </c>
      <c r="P2947" s="7" t="n">
        <f aca="false">IF(K2947="","",K2947-G2947)</f>
        <v>1</v>
      </c>
    </row>
    <row r="2948" customFormat="false" ht="15" hidden="false" customHeight="false" outlineLevel="0" collapsed="false">
      <c r="A2948" s="7" t="n">
        <v>81003981</v>
      </c>
      <c r="B2948" s="7" t="s">
        <v>68</v>
      </c>
      <c r="C2948" s="7" t="s">
        <v>6293</v>
      </c>
      <c r="D2948" s="7" t="s">
        <v>6138</v>
      </c>
      <c r="E2948" s="7" t="s">
        <v>26</v>
      </c>
      <c r="F2948" s="7" t="s">
        <v>6292</v>
      </c>
      <c r="G2948" s="7" t="n">
        <v>2019</v>
      </c>
      <c r="H2948" s="7" t="s">
        <v>49</v>
      </c>
      <c r="I2948" s="7" t="s">
        <v>4461</v>
      </c>
      <c r="J2948" s="7" t="s">
        <v>38</v>
      </c>
      <c r="K2948" s="7" t="n">
        <f aca="false">IFERROR(VALUE(RIGHT(TRIM(F2948),4)),"")</f>
        <v>2019</v>
      </c>
      <c r="L2948" s="7" t="str">
        <f aca="false">IF(TRIM(E2948)="","Unknown",IFERROR(LEFT(TRIM(E2948),FIND(",",TRIM(E2948))-1),TRIM(E2948)))</f>
        <v>United States</v>
      </c>
      <c r="M2948" s="7" t="str">
        <f aca="false">IFERROR(LEFT(J2948,FIND(",",J2948)-1),J2948)</f>
        <v>Comedies</v>
      </c>
      <c r="N2948" s="7" t="n">
        <f aca="false">IF(B2948="Movie",IFERROR(VALUE(LEFT(I2948,FIND(" ",I2948)-1)),""),"")</f>
        <v>32</v>
      </c>
      <c r="O2948" s="7" t="str">
        <f aca="false">IF(B2948="TV Show",IFERROR(VALUE(LEFT(I2948,FIND(" ",I2948)-1)),""),"")</f>
        <v/>
      </c>
      <c r="P2948" s="7" t="n">
        <f aca="false">IF(K2948="","",K2948-G2948)</f>
        <v>0</v>
      </c>
    </row>
    <row r="2949" customFormat="false" ht="15" hidden="false" customHeight="false" outlineLevel="0" collapsed="false">
      <c r="A2949" s="7" t="n">
        <v>81151313</v>
      </c>
      <c r="B2949" s="7" t="s">
        <v>68</v>
      </c>
      <c r="C2949" s="7" t="s">
        <v>6294</v>
      </c>
      <c r="D2949" s="7" t="s">
        <v>6295</v>
      </c>
      <c r="E2949" s="7" t="s">
        <v>29</v>
      </c>
      <c r="F2949" s="7" t="s">
        <v>6292</v>
      </c>
      <c r="G2949" s="7" t="n">
        <v>2018</v>
      </c>
      <c r="H2949" s="7" t="s">
        <v>48</v>
      </c>
      <c r="I2949" s="7" t="s">
        <v>212</v>
      </c>
      <c r="J2949" s="7" t="s">
        <v>1085</v>
      </c>
      <c r="K2949" s="7" t="n">
        <f aca="false">IFERROR(VALUE(RIGHT(TRIM(F2949),4)),"")</f>
        <v>2019</v>
      </c>
      <c r="L2949" s="7" t="str">
        <f aca="false">IF(TRIM(E2949)="","Unknown",IFERROR(LEFT(TRIM(E2949),FIND(",",TRIM(E2949))-1),TRIM(E2949)))</f>
        <v>Canada</v>
      </c>
      <c r="M2949" s="7" t="str">
        <f aca="false">IFERROR(LEFT(J2949,FIND(",",J2949)-1),J2949)</f>
        <v>Documentaries</v>
      </c>
      <c r="N2949" s="7" t="n">
        <f aca="false">IF(B2949="Movie",IFERROR(VALUE(LEFT(I2949,FIND(" ",I2949)-1)),""),"")</f>
        <v>86</v>
      </c>
      <c r="O2949" s="7" t="str">
        <f aca="false">IF(B2949="TV Show",IFERROR(VALUE(LEFT(I2949,FIND(" ",I2949)-1)),""),"")</f>
        <v/>
      </c>
      <c r="P2949" s="7" t="n">
        <f aca="false">IF(K2949="","",K2949-G2949)</f>
        <v>1</v>
      </c>
    </row>
    <row r="2950" customFormat="false" ht="15" hidden="false" customHeight="false" outlineLevel="0" collapsed="false">
      <c r="A2950" s="7" t="n">
        <v>70042688</v>
      </c>
      <c r="B2950" s="7" t="s">
        <v>68</v>
      </c>
      <c r="C2950" s="7" t="s">
        <v>6296</v>
      </c>
      <c r="D2950" s="7" t="s">
        <v>6297</v>
      </c>
      <c r="E2950" s="7" t="s">
        <v>26</v>
      </c>
      <c r="F2950" s="7" t="s">
        <v>6292</v>
      </c>
      <c r="G2950" s="7" t="n">
        <v>2006</v>
      </c>
      <c r="H2950" s="7" t="s">
        <v>52</v>
      </c>
      <c r="I2950" s="7" t="s">
        <v>294</v>
      </c>
      <c r="J2950" s="7" t="s">
        <v>2761</v>
      </c>
      <c r="K2950" s="7" t="n">
        <f aca="false">IFERROR(VALUE(RIGHT(TRIM(F2950),4)),"")</f>
        <v>2019</v>
      </c>
      <c r="L2950" s="7" t="str">
        <f aca="false">IF(TRIM(E2950)="","Unknown",IFERROR(LEFT(TRIM(E2950),FIND(",",TRIM(E2950))-1),TRIM(E2950)))</f>
        <v>United States</v>
      </c>
      <c r="M2950" s="7" t="str">
        <f aca="false">IFERROR(LEFT(J2950,FIND(",",J2950)-1),J2950)</f>
        <v>Comedies</v>
      </c>
      <c r="N2950" s="7" t="n">
        <f aca="false">IF(B2950="Movie",IFERROR(VALUE(LEFT(I2950,FIND(" ",I2950)-1)),""),"")</f>
        <v>107</v>
      </c>
      <c r="O2950" s="7" t="str">
        <f aca="false">IF(B2950="TV Show",IFERROR(VALUE(LEFT(I2950,FIND(" ",I2950)-1)),""),"")</f>
        <v/>
      </c>
      <c r="P2950" s="7" t="n">
        <f aca="false">IF(K2950="","",K2950-G2950)</f>
        <v>13</v>
      </c>
    </row>
    <row r="2951" customFormat="false" ht="15" hidden="false" customHeight="false" outlineLevel="0" collapsed="false">
      <c r="A2951" s="7" t="n">
        <v>70109429</v>
      </c>
      <c r="B2951" s="7" t="s">
        <v>68</v>
      </c>
      <c r="C2951" s="7" t="s">
        <v>6298</v>
      </c>
      <c r="D2951" s="7" t="s">
        <v>6299</v>
      </c>
      <c r="E2951" s="7" t="s">
        <v>26</v>
      </c>
      <c r="F2951" s="7" t="s">
        <v>6292</v>
      </c>
      <c r="G2951" s="7" t="n">
        <v>2009</v>
      </c>
      <c r="H2951" s="7" t="s">
        <v>612</v>
      </c>
      <c r="I2951" s="7" t="s">
        <v>134</v>
      </c>
      <c r="J2951" s="7" t="s">
        <v>42</v>
      </c>
      <c r="K2951" s="7" t="n">
        <f aca="false">IFERROR(VALUE(RIGHT(TRIM(F2951),4)),"")</f>
        <v>2019</v>
      </c>
      <c r="L2951" s="7" t="str">
        <f aca="false">IF(TRIM(E2951)="","Unknown",IFERROR(LEFT(TRIM(E2951),FIND(",",TRIM(E2951))-1),TRIM(E2951)))</f>
        <v>United States</v>
      </c>
      <c r="M2951" s="7" t="str">
        <f aca="false">IFERROR(LEFT(J2951,FIND(",",J2951)-1),J2951)</f>
        <v>Children &amp; Family Movies</v>
      </c>
      <c r="N2951" s="7" t="n">
        <f aca="false">IF(B2951="Movie",IFERROR(VALUE(LEFT(I2951,FIND(" ",I2951)-1)),""),"")</f>
        <v>98</v>
      </c>
      <c r="O2951" s="7" t="str">
        <f aca="false">IF(B2951="TV Show",IFERROR(VALUE(LEFT(I2951,FIND(" ",I2951)-1)),""),"")</f>
        <v/>
      </c>
      <c r="P2951" s="7" t="n">
        <f aca="false">IF(K2951="","",K2951-G2951)</f>
        <v>10</v>
      </c>
    </row>
    <row r="2952" customFormat="false" ht="15" hidden="false" customHeight="false" outlineLevel="0" collapsed="false">
      <c r="A2952" s="7" t="n">
        <v>81011993</v>
      </c>
      <c r="B2952" s="7" t="s">
        <v>68</v>
      </c>
      <c r="C2952" s="7" t="s">
        <v>6300</v>
      </c>
      <c r="D2952" s="7" t="s">
        <v>6301</v>
      </c>
      <c r="E2952" s="7" t="s">
        <v>26</v>
      </c>
      <c r="F2952" s="7" t="s">
        <v>6292</v>
      </c>
      <c r="G2952" s="7" t="n">
        <v>2018</v>
      </c>
      <c r="H2952" s="7" t="s">
        <v>49</v>
      </c>
      <c r="I2952" s="7" t="s">
        <v>524</v>
      </c>
      <c r="J2952" s="7" t="s">
        <v>811</v>
      </c>
      <c r="K2952" s="7" t="n">
        <f aca="false">IFERROR(VALUE(RIGHT(TRIM(F2952),4)),"")</f>
        <v>2019</v>
      </c>
      <c r="L2952" s="7" t="str">
        <f aca="false">IF(TRIM(E2952)="","Unknown",IFERROR(LEFT(TRIM(E2952),FIND(",",TRIM(E2952))-1),TRIM(E2952)))</f>
        <v>United States</v>
      </c>
      <c r="M2952" s="7" t="str">
        <f aca="false">IFERROR(LEFT(J2952,FIND(",",J2952)-1),J2952)</f>
        <v>Thrillers</v>
      </c>
      <c r="N2952" s="7" t="n">
        <f aca="false">IF(B2952="Movie",IFERROR(VALUE(LEFT(I2952,FIND(" ",I2952)-1)),""),"")</f>
        <v>83</v>
      </c>
      <c r="O2952" s="7" t="str">
        <f aca="false">IF(B2952="TV Show",IFERROR(VALUE(LEFT(I2952,FIND(" ",I2952)-1)),""),"")</f>
        <v/>
      </c>
      <c r="P2952" s="7" t="n">
        <f aca="false">IF(K2952="","",K2952-G2952)</f>
        <v>1</v>
      </c>
    </row>
    <row r="2953" customFormat="false" ht="15" hidden="false" customHeight="false" outlineLevel="0" collapsed="false">
      <c r="A2953" s="7" t="n">
        <v>70201870</v>
      </c>
      <c r="B2953" s="7" t="s">
        <v>78</v>
      </c>
      <c r="C2953" s="7" t="s">
        <v>6302</v>
      </c>
      <c r="E2953" s="7" t="s">
        <v>30</v>
      </c>
      <c r="F2953" s="7" t="s">
        <v>6303</v>
      </c>
      <c r="G2953" s="7" t="n">
        <v>2010</v>
      </c>
      <c r="H2953" s="7" t="s">
        <v>49</v>
      </c>
      <c r="I2953" s="7" t="s">
        <v>82</v>
      </c>
      <c r="J2953" s="7" t="s">
        <v>542</v>
      </c>
      <c r="K2953" s="7" t="n">
        <f aca="false">IFERROR(VALUE(RIGHT(TRIM(F2953),4)),"")</f>
        <v>2019</v>
      </c>
      <c r="L2953" s="7" t="str">
        <f aca="false">IF(TRIM(E2953)="","Unknown",IFERROR(LEFT(TRIM(E2953),FIND(",",TRIM(E2953))-1),TRIM(E2953)))</f>
        <v>Japan</v>
      </c>
      <c r="M2953" s="7" t="str">
        <f aca="false">IFERROR(LEFT(J2953,FIND(",",J2953)-1),J2953)</f>
        <v>Anime Series</v>
      </c>
      <c r="N2953" s="7" t="str">
        <f aca="false">IF(B2953="Movie",IFERROR(VALUE(LEFT(I2953,FIND(" ",I2953)-1)),""),"")</f>
        <v/>
      </c>
      <c r="O2953" s="7" t="n">
        <f aca="false">IF(B2953="TV Show",IFERROR(VALUE(LEFT(I2953,FIND(" ",I2953)-1)),""),"")</f>
        <v>1</v>
      </c>
      <c r="P2953" s="7" t="n">
        <f aca="false">IF(K2953="","",K2953-G2953)</f>
        <v>9</v>
      </c>
    </row>
    <row r="2954" customFormat="false" ht="15" hidden="false" customHeight="false" outlineLevel="0" collapsed="false">
      <c r="A2954" s="7" t="n">
        <v>80075178</v>
      </c>
      <c r="B2954" s="7" t="s">
        <v>78</v>
      </c>
      <c r="C2954" s="7" t="s">
        <v>6304</v>
      </c>
      <c r="E2954" s="7" t="s">
        <v>30</v>
      </c>
      <c r="F2954" s="7" t="s">
        <v>6303</v>
      </c>
      <c r="G2954" s="7" t="n">
        <v>2011</v>
      </c>
      <c r="H2954" s="7" t="s">
        <v>50</v>
      </c>
      <c r="I2954" s="7" t="s">
        <v>82</v>
      </c>
      <c r="J2954" s="7" t="s">
        <v>3042</v>
      </c>
      <c r="K2954" s="7" t="n">
        <f aca="false">IFERROR(VALUE(RIGHT(TRIM(F2954),4)),"")</f>
        <v>2019</v>
      </c>
      <c r="L2954" s="7" t="str">
        <f aca="false">IF(TRIM(E2954)="","Unknown",IFERROR(LEFT(TRIM(E2954),FIND(",",TRIM(E2954))-1),TRIM(E2954)))</f>
        <v>Japan</v>
      </c>
      <c r="M2954" s="7" t="str">
        <f aca="false">IFERROR(LEFT(J2954,FIND(",",J2954)-1),J2954)</f>
        <v>Anime Series</v>
      </c>
      <c r="N2954" s="7" t="str">
        <f aca="false">IF(B2954="Movie",IFERROR(VALUE(LEFT(I2954,FIND(" ",I2954)-1)),""),"")</f>
        <v/>
      </c>
      <c r="O2954" s="7" t="n">
        <f aca="false">IF(B2954="TV Show",IFERROR(VALUE(LEFT(I2954,FIND(" ",I2954)-1)),""),"")</f>
        <v>1</v>
      </c>
      <c r="P2954" s="7" t="n">
        <f aca="false">IF(K2954="","",K2954-G2954)</f>
        <v>8</v>
      </c>
    </row>
    <row r="2955" customFormat="false" ht="15" hidden="false" customHeight="false" outlineLevel="0" collapsed="false">
      <c r="A2955" s="7" t="n">
        <v>80145805</v>
      </c>
      <c r="B2955" s="7" t="s">
        <v>78</v>
      </c>
      <c r="C2955" s="7" t="s">
        <v>6305</v>
      </c>
      <c r="E2955" s="7" t="s">
        <v>30</v>
      </c>
      <c r="F2955" s="7" t="s">
        <v>6303</v>
      </c>
      <c r="G2955" s="7" t="n">
        <v>2015</v>
      </c>
      <c r="H2955" s="7" t="s">
        <v>48</v>
      </c>
      <c r="I2955" s="7" t="s">
        <v>82</v>
      </c>
      <c r="J2955" s="7" t="s">
        <v>542</v>
      </c>
      <c r="K2955" s="7" t="n">
        <f aca="false">IFERROR(VALUE(RIGHT(TRIM(F2955),4)),"")</f>
        <v>2019</v>
      </c>
      <c r="L2955" s="7" t="str">
        <f aca="false">IF(TRIM(E2955)="","Unknown",IFERROR(LEFT(TRIM(E2955),FIND(",",TRIM(E2955))-1),TRIM(E2955)))</f>
        <v>Japan</v>
      </c>
      <c r="M2955" s="7" t="str">
        <f aca="false">IFERROR(LEFT(J2955,FIND(",",J2955)-1),J2955)</f>
        <v>Anime Series</v>
      </c>
      <c r="N2955" s="7" t="str">
        <f aca="false">IF(B2955="Movie",IFERROR(VALUE(LEFT(I2955,FIND(" ",I2955)-1)),""),"")</f>
        <v/>
      </c>
      <c r="O2955" s="7" t="n">
        <f aca="false">IF(B2955="TV Show",IFERROR(VALUE(LEFT(I2955,FIND(" ",I2955)-1)),""),"")</f>
        <v>1</v>
      </c>
      <c r="P2955" s="7" t="n">
        <f aca="false">IF(K2955="","",K2955-G2955)</f>
        <v>4</v>
      </c>
    </row>
    <row r="2956" customFormat="false" ht="15" hidden="false" customHeight="false" outlineLevel="0" collapsed="false">
      <c r="A2956" s="7" t="n">
        <v>80214010</v>
      </c>
      <c r="B2956" s="7" t="s">
        <v>78</v>
      </c>
      <c r="C2956" s="7" t="s">
        <v>6306</v>
      </c>
      <c r="E2956" s="7" t="s">
        <v>30</v>
      </c>
      <c r="F2956" s="7" t="s">
        <v>6303</v>
      </c>
      <c r="G2956" s="7" t="n">
        <v>2017</v>
      </c>
      <c r="H2956" s="7" t="s">
        <v>49</v>
      </c>
      <c r="I2956" s="7" t="s">
        <v>82</v>
      </c>
      <c r="J2956" s="7" t="s">
        <v>542</v>
      </c>
      <c r="K2956" s="7" t="n">
        <f aca="false">IFERROR(VALUE(RIGHT(TRIM(F2956),4)),"")</f>
        <v>2019</v>
      </c>
      <c r="L2956" s="7" t="str">
        <f aca="false">IF(TRIM(E2956)="","Unknown",IFERROR(LEFT(TRIM(E2956),FIND(",",TRIM(E2956))-1),TRIM(E2956)))</f>
        <v>Japan</v>
      </c>
      <c r="M2956" s="7" t="str">
        <f aca="false">IFERROR(LEFT(J2956,FIND(",",J2956)-1),J2956)</f>
        <v>Anime Series</v>
      </c>
      <c r="N2956" s="7" t="str">
        <f aca="false">IF(B2956="Movie",IFERROR(VALUE(LEFT(I2956,FIND(" ",I2956)-1)),""),"")</f>
        <v/>
      </c>
      <c r="O2956" s="7" t="n">
        <f aca="false">IF(B2956="TV Show",IFERROR(VALUE(LEFT(I2956,FIND(" ",I2956)-1)),""),"")</f>
        <v>1</v>
      </c>
      <c r="P2956" s="7" t="n">
        <f aca="false">IF(K2956="","",K2956-G2956)</f>
        <v>2</v>
      </c>
    </row>
    <row r="2957" customFormat="false" ht="15" hidden="false" customHeight="false" outlineLevel="0" collapsed="false">
      <c r="A2957" s="7" t="n">
        <v>81154166</v>
      </c>
      <c r="B2957" s="7" t="s">
        <v>78</v>
      </c>
      <c r="C2957" s="7" t="s">
        <v>6307</v>
      </c>
      <c r="E2957" s="7" t="s">
        <v>31</v>
      </c>
      <c r="F2957" s="7" t="s">
        <v>6303</v>
      </c>
      <c r="G2957" s="7" t="n">
        <v>2017</v>
      </c>
      <c r="H2957" s="7" t="s">
        <v>55</v>
      </c>
      <c r="I2957" s="7" t="s">
        <v>82</v>
      </c>
      <c r="J2957" s="7" t="s">
        <v>191</v>
      </c>
      <c r="K2957" s="7" t="n">
        <f aca="false">IFERROR(VALUE(RIGHT(TRIM(F2957),4)),"")</f>
        <v>2019</v>
      </c>
      <c r="L2957" s="7" t="str">
        <f aca="false">IF(TRIM(E2957)="","Unknown",IFERROR(LEFT(TRIM(E2957),FIND(",",TRIM(E2957))-1),TRIM(E2957)))</f>
        <v>France</v>
      </c>
      <c r="M2957" s="7" t="str">
        <f aca="false">IFERROR(LEFT(J2957,FIND(",",J2957)-1),J2957)</f>
        <v>Kids' TV</v>
      </c>
      <c r="N2957" s="7" t="str">
        <f aca="false">IF(B2957="Movie",IFERROR(VALUE(LEFT(I2957,FIND(" ",I2957)-1)),""),"")</f>
        <v/>
      </c>
      <c r="O2957" s="7" t="n">
        <f aca="false">IF(B2957="TV Show",IFERROR(VALUE(LEFT(I2957,FIND(" ",I2957)-1)),""),"")</f>
        <v>1</v>
      </c>
      <c r="P2957" s="7" t="n">
        <f aca="false">IF(K2957="","",K2957-G2957)</f>
        <v>2</v>
      </c>
    </row>
    <row r="2958" customFormat="false" ht="15" hidden="false" customHeight="false" outlineLevel="0" collapsed="false">
      <c r="A2958" s="7" t="n">
        <v>81153373</v>
      </c>
      <c r="B2958" s="7" t="s">
        <v>68</v>
      </c>
      <c r="C2958" s="7" t="s">
        <v>6308</v>
      </c>
      <c r="D2958" s="7" t="s">
        <v>6309</v>
      </c>
      <c r="E2958" s="7" t="s">
        <v>26</v>
      </c>
      <c r="F2958" s="7" t="s">
        <v>6303</v>
      </c>
      <c r="G2958" s="7" t="n">
        <v>2018</v>
      </c>
      <c r="H2958" s="7" t="s">
        <v>48</v>
      </c>
      <c r="I2958" s="7" t="s">
        <v>162</v>
      </c>
      <c r="J2958" s="7" t="s">
        <v>597</v>
      </c>
      <c r="K2958" s="7" t="n">
        <f aca="false">IFERROR(VALUE(RIGHT(TRIM(F2958),4)),"")</f>
        <v>2019</v>
      </c>
      <c r="L2958" s="7" t="str">
        <f aca="false">IF(TRIM(E2958)="","Unknown",IFERROR(LEFT(TRIM(E2958),FIND(",",TRIM(E2958))-1),TRIM(E2958)))</f>
        <v>United States</v>
      </c>
      <c r="M2958" s="7" t="str">
        <f aca="false">IFERROR(LEFT(J2958,FIND(",",J2958)-1),J2958)</f>
        <v>Dramas</v>
      </c>
      <c r="N2958" s="7" t="n">
        <f aca="false">IF(B2958="Movie",IFERROR(VALUE(LEFT(I2958,FIND(" ",I2958)-1)),""),"")</f>
        <v>77</v>
      </c>
      <c r="O2958" s="7" t="str">
        <f aca="false">IF(B2958="TV Show",IFERROR(VALUE(LEFT(I2958,FIND(" ",I2958)-1)),""),"")</f>
        <v/>
      </c>
      <c r="P2958" s="7" t="n">
        <f aca="false">IF(K2958="","",K2958-G2958)</f>
        <v>1</v>
      </c>
    </row>
    <row r="2959" customFormat="false" ht="15" hidden="false" customHeight="false" outlineLevel="0" collapsed="false">
      <c r="A2959" s="7" t="n">
        <v>70262783</v>
      </c>
      <c r="B2959" s="7" t="s">
        <v>68</v>
      </c>
      <c r="C2959" s="7" t="s">
        <v>6310</v>
      </c>
      <c r="D2959" s="7" t="s">
        <v>6311</v>
      </c>
      <c r="E2959" s="7" t="s">
        <v>26</v>
      </c>
      <c r="F2959" s="7" t="s">
        <v>6312</v>
      </c>
      <c r="G2959" s="7" t="n">
        <v>2012</v>
      </c>
      <c r="H2959" s="7" t="s">
        <v>51</v>
      </c>
      <c r="I2959" s="7" t="s">
        <v>212</v>
      </c>
      <c r="J2959" s="7" t="s">
        <v>1533</v>
      </c>
      <c r="K2959" s="7" t="n">
        <f aca="false">IFERROR(VALUE(RIGHT(TRIM(F2959),4)),"")</f>
        <v>2018</v>
      </c>
      <c r="L2959" s="7" t="str">
        <f aca="false">IF(TRIM(E2959)="","Unknown",IFERROR(LEFT(TRIM(E2959),FIND(",",TRIM(E2959))-1),TRIM(E2959)))</f>
        <v>United States</v>
      </c>
      <c r="M2959" s="7" t="str">
        <f aca="false">IFERROR(LEFT(J2959,FIND(",",J2959)-1),J2959)</f>
        <v>Comedies</v>
      </c>
      <c r="N2959" s="7" t="n">
        <f aca="false">IF(B2959="Movie",IFERROR(VALUE(LEFT(I2959,FIND(" ",I2959)-1)),""),"")</f>
        <v>86</v>
      </c>
      <c r="O2959" s="7" t="str">
        <f aca="false">IF(B2959="TV Show",IFERROR(VALUE(LEFT(I2959,FIND(" ",I2959)-1)),""),"")</f>
        <v/>
      </c>
      <c r="P2959" s="7" t="n">
        <f aca="false">IF(K2959="","",K2959-G2959)</f>
        <v>6</v>
      </c>
    </row>
    <row r="2960" customFormat="false" ht="15" hidden="false" customHeight="false" outlineLevel="0" collapsed="false">
      <c r="A2960" s="7" t="n">
        <v>70293661</v>
      </c>
      <c r="B2960" s="7" t="s">
        <v>68</v>
      </c>
      <c r="C2960" s="7" t="s">
        <v>6313</v>
      </c>
      <c r="D2960" s="7" t="s">
        <v>6314</v>
      </c>
      <c r="E2960" s="7" t="s">
        <v>6315</v>
      </c>
      <c r="F2960" s="7" t="s">
        <v>6312</v>
      </c>
      <c r="G2960" s="7" t="n">
        <v>2013</v>
      </c>
      <c r="H2960" s="7" t="s">
        <v>51</v>
      </c>
      <c r="I2960" s="7" t="s">
        <v>470</v>
      </c>
      <c r="J2960" s="7" t="s">
        <v>977</v>
      </c>
      <c r="K2960" s="7" t="n">
        <f aca="false">IFERROR(VALUE(RIGHT(TRIM(F2960),4)),"")</f>
        <v>2018</v>
      </c>
      <c r="L2960" s="7" t="str">
        <f aca="false">IF(TRIM(E2960)="","Unknown",IFERROR(LEFT(TRIM(E2960),FIND(",",TRIM(E2960))-1),TRIM(E2960)))</f>
        <v>Canada</v>
      </c>
      <c r="M2960" s="7" t="str">
        <f aca="false">IFERROR(LEFT(J2960,FIND(",",J2960)-1),J2960)</f>
        <v>Independent Movies</v>
      </c>
      <c r="N2960" s="7" t="n">
        <f aca="false">IF(B2960="Movie",IFERROR(VALUE(LEFT(I2960,FIND(" ",I2960)-1)),""),"")</f>
        <v>91</v>
      </c>
      <c r="O2960" s="7" t="str">
        <f aca="false">IF(B2960="TV Show",IFERROR(VALUE(LEFT(I2960,FIND(" ",I2960)-1)),""),"")</f>
        <v/>
      </c>
      <c r="P2960" s="7" t="n">
        <f aca="false">IF(K2960="","",K2960-G2960)</f>
        <v>5</v>
      </c>
    </row>
    <row r="2961" customFormat="false" ht="15" hidden="false" customHeight="false" outlineLevel="0" collapsed="false">
      <c r="A2961" s="7" t="n">
        <v>70266171</v>
      </c>
      <c r="B2961" s="7" t="s">
        <v>68</v>
      </c>
      <c r="C2961" s="7" t="s">
        <v>6316</v>
      </c>
      <c r="D2961" s="7" t="s">
        <v>6317</v>
      </c>
      <c r="E2961" s="7" t="s">
        <v>1113</v>
      </c>
      <c r="F2961" s="7" t="s">
        <v>6312</v>
      </c>
      <c r="G2961" s="7" t="n">
        <v>1985</v>
      </c>
      <c r="H2961" s="7" t="s">
        <v>53</v>
      </c>
      <c r="I2961" s="7" t="s">
        <v>111</v>
      </c>
      <c r="J2961" s="7" t="s">
        <v>2082</v>
      </c>
      <c r="K2961" s="7" t="n">
        <f aca="false">IFERROR(VALUE(RIGHT(TRIM(F2961),4)),"")</f>
        <v>2018</v>
      </c>
      <c r="L2961" s="7" t="str">
        <f aca="false">IF(TRIM(E2961)="","Unknown",IFERROR(LEFT(TRIM(E2961),FIND(",",TRIM(E2961))-1),TRIM(E2961)))</f>
        <v>Argentina</v>
      </c>
      <c r="M2961" s="7" t="str">
        <f aca="false">IFERROR(LEFT(J2961,FIND(",",J2961)-1),J2961)</f>
        <v>Comedies</v>
      </c>
      <c r="N2961" s="7" t="n">
        <f aca="false">IF(B2961="Movie",IFERROR(VALUE(LEFT(I2961,FIND(" ",I2961)-1)),""),"")</f>
        <v>95</v>
      </c>
      <c r="O2961" s="7" t="str">
        <f aca="false">IF(B2961="TV Show",IFERROR(VALUE(LEFT(I2961,FIND(" ",I2961)-1)),""),"")</f>
        <v/>
      </c>
      <c r="P2961" s="7" t="n">
        <f aca="false">IF(K2961="","",K2961-G2961)</f>
        <v>33</v>
      </c>
    </row>
    <row r="2962" customFormat="false" ht="15" hidden="false" customHeight="false" outlineLevel="0" collapsed="false">
      <c r="A2962" s="7" t="n">
        <v>80095718</v>
      </c>
      <c r="B2962" s="7" t="s">
        <v>68</v>
      </c>
      <c r="C2962" s="7" t="s">
        <v>6318</v>
      </c>
      <c r="D2962" s="7" t="s">
        <v>6319</v>
      </c>
      <c r="E2962" s="7" t="s">
        <v>26</v>
      </c>
      <c r="F2962" s="7" t="s">
        <v>6312</v>
      </c>
      <c r="G2962" s="7" t="n">
        <v>2016</v>
      </c>
      <c r="H2962" s="7" t="s">
        <v>54</v>
      </c>
      <c r="I2962" s="7" t="s">
        <v>87</v>
      </c>
      <c r="J2962" s="7" t="s">
        <v>974</v>
      </c>
      <c r="K2962" s="7" t="n">
        <f aca="false">IFERROR(VALUE(RIGHT(TRIM(F2962),4)),"")</f>
        <v>2018</v>
      </c>
      <c r="L2962" s="7" t="str">
        <f aca="false">IF(TRIM(E2962)="","Unknown",IFERROR(LEFT(TRIM(E2962),FIND(",",TRIM(E2962))-1),TRIM(E2962)))</f>
        <v>United States</v>
      </c>
      <c r="M2962" s="7" t="str">
        <f aca="false">IFERROR(LEFT(J2962,FIND(",",J2962)-1),J2962)</f>
        <v>Documentaries</v>
      </c>
      <c r="N2962" s="7" t="n">
        <f aca="false">IF(B2962="Movie",IFERROR(VALUE(LEFT(I2962,FIND(" ",I2962)-1)),""),"")</f>
        <v>99</v>
      </c>
      <c r="O2962" s="7" t="str">
        <f aca="false">IF(B2962="TV Show",IFERROR(VALUE(LEFT(I2962,FIND(" ",I2962)-1)),""),"")</f>
        <v/>
      </c>
      <c r="P2962" s="7" t="n">
        <f aca="false">IF(K2962="","",K2962-G2962)</f>
        <v>2</v>
      </c>
    </row>
    <row r="2963" customFormat="false" ht="15" hidden="false" customHeight="false" outlineLevel="0" collapsed="false">
      <c r="A2963" s="7" t="n">
        <v>70257413</v>
      </c>
      <c r="B2963" s="7" t="s">
        <v>68</v>
      </c>
      <c r="C2963" s="7" t="s">
        <v>6320</v>
      </c>
      <c r="D2963" s="7" t="s">
        <v>6321</v>
      </c>
      <c r="E2963" s="7" t="s">
        <v>6322</v>
      </c>
      <c r="F2963" s="7" t="s">
        <v>6312</v>
      </c>
      <c r="G2963" s="7" t="n">
        <v>2012</v>
      </c>
      <c r="H2963" s="7" t="s">
        <v>52</v>
      </c>
      <c r="I2963" s="7" t="s">
        <v>73</v>
      </c>
      <c r="J2963" s="7" t="s">
        <v>150</v>
      </c>
      <c r="K2963" s="7" t="n">
        <f aca="false">IFERROR(VALUE(RIGHT(TRIM(F2963),4)),"")</f>
        <v>2018</v>
      </c>
      <c r="L2963" s="7" t="str">
        <f aca="false">IF(TRIM(E2963)="","Unknown",IFERROR(LEFT(TRIM(E2963),FIND(",",TRIM(E2963))-1),TRIM(E2963)))</f>
        <v>United Kingdom</v>
      </c>
      <c r="M2963" s="7" t="str">
        <f aca="false">IFERROR(LEFT(J2963,FIND(",",J2963)-1),J2963)</f>
        <v>Dramas</v>
      </c>
      <c r="N2963" s="7" t="n">
        <f aca="false">IF(B2963="Movie",IFERROR(VALUE(LEFT(I2963,FIND(" ",I2963)-1)),""),"")</f>
        <v>90</v>
      </c>
      <c r="O2963" s="7" t="str">
        <f aca="false">IF(B2963="TV Show",IFERROR(VALUE(LEFT(I2963,FIND(" ",I2963)-1)),""),"")</f>
        <v/>
      </c>
      <c r="P2963" s="7" t="n">
        <f aca="false">IF(K2963="","",K2963-G2963)</f>
        <v>6</v>
      </c>
    </row>
    <row r="2964" customFormat="false" ht="15" hidden="false" customHeight="false" outlineLevel="0" collapsed="false">
      <c r="A2964" s="7" t="n">
        <v>80988262</v>
      </c>
      <c r="B2964" s="7" t="s">
        <v>68</v>
      </c>
      <c r="C2964" s="7" t="s">
        <v>6323</v>
      </c>
      <c r="D2964" s="7" t="s">
        <v>6324</v>
      </c>
      <c r="E2964" s="7" t="s">
        <v>35</v>
      </c>
      <c r="F2964" s="7" t="s">
        <v>6312</v>
      </c>
      <c r="G2964" s="7" t="n">
        <v>2018</v>
      </c>
      <c r="H2964" s="7" t="s">
        <v>226</v>
      </c>
      <c r="I2964" s="7" t="s">
        <v>264</v>
      </c>
      <c r="J2964" s="7" t="s">
        <v>1539</v>
      </c>
      <c r="K2964" s="7" t="n">
        <f aca="false">IFERROR(VALUE(RIGHT(TRIM(F2964),4)),"")</f>
        <v>2018</v>
      </c>
      <c r="L2964" s="7" t="str">
        <f aca="false">IF(TRIM(E2964)="","Unknown",IFERROR(LEFT(TRIM(E2964),FIND(",",TRIM(E2964))-1),TRIM(E2964)))</f>
        <v>Australia</v>
      </c>
      <c r="M2964" s="7" t="str">
        <f aca="false">IFERROR(LEFT(J2964,FIND(",",J2964)-1),J2964)</f>
        <v>Children &amp; Family Movies</v>
      </c>
      <c r="N2964" s="7" t="n">
        <f aca="false">IF(B2964="Movie",IFERROR(VALUE(LEFT(I2964,FIND(" ",I2964)-1)),""),"")</f>
        <v>88</v>
      </c>
      <c r="O2964" s="7" t="str">
        <f aca="false">IF(B2964="TV Show",IFERROR(VALUE(LEFT(I2964,FIND(" ",I2964)-1)),""),"")</f>
        <v/>
      </c>
      <c r="P2964" s="7" t="n">
        <f aca="false">IF(K2964="","",K2964-G2964)</f>
        <v>0</v>
      </c>
    </row>
    <row r="2965" customFormat="false" ht="15" hidden="false" customHeight="false" outlineLevel="0" collapsed="false">
      <c r="A2965" s="7" t="n">
        <v>70295189</v>
      </c>
      <c r="B2965" s="7" t="s">
        <v>68</v>
      </c>
      <c r="C2965" s="7" t="s">
        <v>6325</v>
      </c>
      <c r="D2965" s="7" t="s">
        <v>6326</v>
      </c>
      <c r="E2965" s="7" t="s">
        <v>317</v>
      </c>
      <c r="F2965" s="7" t="s">
        <v>6312</v>
      </c>
      <c r="G2965" s="7" t="n">
        <v>2013</v>
      </c>
      <c r="H2965" s="7" t="s">
        <v>51</v>
      </c>
      <c r="I2965" s="7" t="s">
        <v>340</v>
      </c>
      <c r="J2965" s="7" t="s">
        <v>150</v>
      </c>
      <c r="K2965" s="7" t="n">
        <f aca="false">IFERROR(VALUE(RIGHT(TRIM(F2965),4)),"")</f>
        <v>2018</v>
      </c>
      <c r="L2965" s="7" t="str">
        <f aca="false">IF(TRIM(E2965)="","Unknown",IFERROR(LEFT(TRIM(E2965),FIND(",",TRIM(E2965))-1),TRIM(E2965)))</f>
        <v>United Kingdom</v>
      </c>
      <c r="M2965" s="7" t="str">
        <f aca="false">IFERROR(LEFT(J2965,FIND(",",J2965)-1),J2965)</f>
        <v>Dramas</v>
      </c>
      <c r="N2965" s="7" t="n">
        <f aca="false">IF(B2965="Movie",IFERROR(VALUE(LEFT(I2965,FIND(" ",I2965)-1)),""),"")</f>
        <v>85</v>
      </c>
      <c r="O2965" s="7" t="str">
        <f aca="false">IF(B2965="TV Show",IFERROR(VALUE(LEFT(I2965,FIND(" ",I2965)-1)),""),"")</f>
        <v/>
      </c>
      <c r="P2965" s="7" t="n">
        <f aca="false">IF(K2965="","",K2965-G2965)</f>
        <v>5</v>
      </c>
    </row>
    <row r="2966" customFormat="false" ht="15" hidden="false" customHeight="false" outlineLevel="0" collapsed="false">
      <c r="A2966" s="7" t="n">
        <v>80993684</v>
      </c>
      <c r="B2966" s="7" t="s">
        <v>68</v>
      </c>
      <c r="C2966" s="7" t="s">
        <v>6327</v>
      </c>
      <c r="D2966" s="7" t="s">
        <v>6328</v>
      </c>
      <c r="E2966" s="7" t="s">
        <v>1113</v>
      </c>
      <c r="F2966" s="7" t="s">
        <v>6312</v>
      </c>
      <c r="G2966" s="7" t="n">
        <v>2016</v>
      </c>
      <c r="H2966" s="7" t="s">
        <v>50</v>
      </c>
      <c r="I2966" s="7" t="s">
        <v>134</v>
      </c>
      <c r="J2966" s="7" t="s">
        <v>974</v>
      </c>
      <c r="K2966" s="7" t="n">
        <f aca="false">IFERROR(VALUE(RIGHT(TRIM(F2966),4)),"")</f>
        <v>2018</v>
      </c>
      <c r="L2966" s="7" t="str">
        <f aca="false">IF(TRIM(E2966)="","Unknown",IFERROR(LEFT(TRIM(E2966),FIND(",",TRIM(E2966))-1),TRIM(E2966)))</f>
        <v>Argentina</v>
      </c>
      <c r="M2966" s="7" t="str">
        <f aca="false">IFERROR(LEFT(J2966,FIND(",",J2966)-1),J2966)</f>
        <v>Documentaries</v>
      </c>
      <c r="N2966" s="7" t="n">
        <f aca="false">IF(B2966="Movie",IFERROR(VALUE(LEFT(I2966,FIND(" ",I2966)-1)),""),"")</f>
        <v>98</v>
      </c>
      <c r="O2966" s="7" t="str">
        <f aca="false">IF(B2966="TV Show",IFERROR(VALUE(LEFT(I2966,FIND(" ",I2966)-1)),""),"")</f>
        <v/>
      </c>
      <c r="P2966" s="7" t="n">
        <f aca="false">IF(K2966="","",K2966-G2966)</f>
        <v>2</v>
      </c>
    </row>
    <row r="2967" customFormat="false" ht="15" hidden="false" customHeight="false" outlineLevel="0" collapsed="false">
      <c r="A2967" s="7" t="n">
        <v>70257860</v>
      </c>
      <c r="B2967" s="7" t="s">
        <v>68</v>
      </c>
      <c r="C2967" s="7" t="s">
        <v>6329</v>
      </c>
      <c r="D2967" s="7" t="s">
        <v>6330</v>
      </c>
      <c r="E2967" s="7" t="s">
        <v>905</v>
      </c>
      <c r="F2967" s="7" t="s">
        <v>6312</v>
      </c>
      <c r="G2967" s="7" t="n">
        <v>2012</v>
      </c>
      <c r="H2967" s="7" t="s">
        <v>51</v>
      </c>
      <c r="I2967" s="7" t="s">
        <v>77</v>
      </c>
      <c r="J2967" s="7" t="s">
        <v>893</v>
      </c>
      <c r="K2967" s="7" t="n">
        <f aca="false">IFERROR(VALUE(RIGHT(TRIM(F2967),4)),"")</f>
        <v>2018</v>
      </c>
      <c r="L2967" s="7" t="str">
        <f aca="false">IF(TRIM(E2967)="","Unknown",IFERROR(LEFT(TRIM(E2967),FIND(",",TRIM(E2967))-1),TRIM(E2967)))</f>
        <v>United States</v>
      </c>
      <c r="M2967" s="7" t="str">
        <f aca="false">IFERROR(LEFT(J2967,FIND(",",J2967)-1),J2967)</f>
        <v>Comedies</v>
      </c>
      <c r="N2967" s="7" t="n">
        <f aca="false">IF(B2967="Movie",IFERROR(VALUE(LEFT(I2967,FIND(" ",I2967)-1)),""),"")</f>
        <v>94</v>
      </c>
      <c r="O2967" s="7" t="str">
        <f aca="false">IF(B2967="TV Show",IFERROR(VALUE(LEFT(I2967,FIND(" ",I2967)-1)),""),"")</f>
        <v/>
      </c>
      <c r="P2967" s="7" t="n">
        <f aca="false">IF(K2967="","",K2967-G2967)</f>
        <v>6</v>
      </c>
    </row>
    <row r="2968" customFormat="false" ht="15" hidden="false" customHeight="false" outlineLevel="0" collapsed="false">
      <c r="A2968" s="7" t="n">
        <v>80998908</v>
      </c>
      <c r="B2968" s="7" t="s">
        <v>68</v>
      </c>
      <c r="C2968" s="7" t="s">
        <v>6331</v>
      </c>
      <c r="D2968" s="7" t="s">
        <v>6332</v>
      </c>
      <c r="E2968" s="7" t="s">
        <v>5864</v>
      </c>
      <c r="F2968" s="7" t="s">
        <v>6312</v>
      </c>
      <c r="G2968" s="7" t="n">
        <v>2018</v>
      </c>
      <c r="H2968" s="7" t="s">
        <v>49</v>
      </c>
      <c r="I2968" s="7" t="s">
        <v>861</v>
      </c>
      <c r="J2968" s="7" t="s">
        <v>39</v>
      </c>
      <c r="K2968" s="7" t="n">
        <f aca="false">IFERROR(VALUE(RIGHT(TRIM(F2968),4)),"")</f>
        <v>2018</v>
      </c>
      <c r="L2968" s="7" t="str">
        <f aca="false">IF(TRIM(E2968)="","Unknown",IFERROR(LEFT(TRIM(E2968),FIND(",",TRIM(E2968))-1),TRIM(E2968)))</f>
        <v>Switzerland</v>
      </c>
      <c r="M2968" s="7" t="str">
        <f aca="false">IFERROR(LEFT(J2968,FIND(",",J2968)-1),J2968)</f>
        <v>Documentaries</v>
      </c>
      <c r="N2968" s="7" t="n">
        <f aca="false">IF(B2968="Movie",IFERROR(VALUE(LEFT(I2968,FIND(" ",I2968)-1)),""),"")</f>
        <v>71</v>
      </c>
      <c r="O2968" s="7" t="str">
        <f aca="false">IF(B2968="TV Show",IFERROR(VALUE(LEFT(I2968,FIND(" ",I2968)-1)),""),"")</f>
        <v/>
      </c>
      <c r="P2968" s="7" t="n">
        <f aca="false">IF(K2968="","",K2968-G2968)</f>
        <v>0</v>
      </c>
    </row>
    <row r="2969" customFormat="false" ht="15" hidden="false" customHeight="false" outlineLevel="0" collapsed="false">
      <c r="A2969" s="7" t="n">
        <v>70171835</v>
      </c>
      <c r="B2969" s="7" t="s">
        <v>68</v>
      </c>
      <c r="C2969" s="7" t="s">
        <v>6333</v>
      </c>
      <c r="D2969" s="7" t="s">
        <v>4870</v>
      </c>
      <c r="E2969" s="7" t="s">
        <v>27</v>
      </c>
      <c r="F2969" s="7" t="s">
        <v>6312</v>
      </c>
      <c r="G2969" s="7" t="n">
        <v>2008</v>
      </c>
      <c r="H2969" s="7" t="s">
        <v>49</v>
      </c>
      <c r="I2969" s="7" t="s">
        <v>111</v>
      </c>
      <c r="J2969" s="7" t="s">
        <v>304</v>
      </c>
      <c r="K2969" s="7" t="n">
        <f aca="false">IFERROR(VALUE(RIGHT(TRIM(F2969),4)),"")</f>
        <v>2018</v>
      </c>
      <c r="L2969" s="7" t="str">
        <f aca="false">IF(TRIM(E2969)="","Unknown",IFERROR(LEFT(TRIM(E2969),FIND(",",TRIM(E2969))-1),TRIM(E2969)))</f>
        <v>India</v>
      </c>
      <c r="M2969" s="7" t="str">
        <f aca="false">IFERROR(LEFT(J2969,FIND(",",J2969)-1),J2969)</f>
        <v>Dramas</v>
      </c>
      <c r="N2969" s="7" t="n">
        <f aca="false">IF(B2969="Movie",IFERROR(VALUE(LEFT(I2969,FIND(" ",I2969)-1)),""),"")</f>
        <v>95</v>
      </c>
      <c r="O2969" s="7" t="str">
        <f aca="false">IF(B2969="TV Show",IFERROR(VALUE(LEFT(I2969,FIND(" ",I2969)-1)),""),"")</f>
        <v/>
      </c>
      <c r="P2969" s="7" t="n">
        <f aca="false">IF(K2969="","",K2969-G2969)</f>
        <v>10</v>
      </c>
    </row>
    <row r="2970" customFormat="false" ht="15" hidden="false" customHeight="false" outlineLevel="0" collapsed="false">
      <c r="A2970" s="7" t="n">
        <v>81005401</v>
      </c>
      <c r="B2970" s="7" t="s">
        <v>68</v>
      </c>
      <c r="C2970" s="7" t="s">
        <v>6334</v>
      </c>
      <c r="E2970" s="7" t="s">
        <v>1097</v>
      </c>
      <c r="F2970" s="7" t="s">
        <v>6312</v>
      </c>
      <c r="G2970" s="7" t="n">
        <v>1993</v>
      </c>
      <c r="H2970" s="7" t="s">
        <v>48</v>
      </c>
      <c r="I2970" s="7" t="s">
        <v>549</v>
      </c>
      <c r="J2970" s="7" t="s">
        <v>2026</v>
      </c>
      <c r="K2970" s="7" t="n">
        <f aca="false">IFERROR(VALUE(RIGHT(TRIM(F2970),4)),"")</f>
        <v>2018</v>
      </c>
      <c r="L2970" s="7" t="str">
        <f aca="false">IF(TRIM(E2970)="","Unknown",IFERROR(LEFT(TRIM(E2970),FIND(",",TRIM(E2970))-1),TRIM(E2970)))</f>
        <v>Argentina</v>
      </c>
      <c r="M2970" s="7" t="str">
        <f aca="false">IFERROR(LEFT(J2970,FIND(",",J2970)-1),J2970)</f>
        <v>Classic Movies</v>
      </c>
      <c r="N2970" s="7" t="n">
        <f aca="false">IF(B2970="Movie",IFERROR(VALUE(LEFT(I2970,FIND(" ",I2970)-1)),""),"")</f>
        <v>124</v>
      </c>
      <c r="O2970" s="7" t="str">
        <f aca="false">IF(B2970="TV Show",IFERROR(VALUE(LEFT(I2970,FIND(" ",I2970)-1)),""),"")</f>
        <v/>
      </c>
      <c r="P2970" s="7" t="n">
        <f aca="false">IF(K2970="","",K2970-G2970)</f>
        <v>25</v>
      </c>
    </row>
    <row r="2971" customFormat="false" ht="15" hidden="false" customHeight="false" outlineLevel="0" collapsed="false">
      <c r="A2971" s="7" t="n">
        <v>80993650</v>
      </c>
      <c r="B2971" s="7" t="s">
        <v>68</v>
      </c>
      <c r="C2971" s="7" t="s">
        <v>6335</v>
      </c>
      <c r="D2971" s="7" t="s">
        <v>6336</v>
      </c>
      <c r="E2971" s="7" t="s">
        <v>6337</v>
      </c>
      <c r="F2971" s="7" t="s">
        <v>6312</v>
      </c>
      <c r="G2971" s="7" t="n">
        <v>2017</v>
      </c>
      <c r="H2971" s="7" t="s">
        <v>48</v>
      </c>
      <c r="I2971" s="7" t="s">
        <v>268</v>
      </c>
      <c r="J2971" s="7" t="s">
        <v>304</v>
      </c>
      <c r="K2971" s="7" t="n">
        <f aca="false">IFERROR(VALUE(RIGHT(TRIM(F2971),4)),"")</f>
        <v>2018</v>
      </c>
      <c r="L2971" s="7" t="str">
        <f aca="false">IF(TRIM(E2971)="","Unknown",IFERROR(LEFT(TRIM(E2971),FIND(",",TRIM(E2971))-1),TRIM(E2971)))</f>
        <v>Argentina</v>
      </c>
      <c r="M2971" s="7" t="str">
        <f aca="false">IFERROR(LEFT(J2971,FIND(",",J2971)-1),J2971)</f>
        <v>Dramas</v>
      </c>
      <c r="N2971" s="7" t="n">
        <f aca="false">IF(B2971="Movie",IFERROR(VALUE(LEFT(I2971,FIND(" ",I2971)-1)),""),"")</f>
        <v>108</v>
      </c>
      <c r="O2971" s="7" t="str">
        <f aca="false">IF(B2971="TV Show",IFERROR(VALUE(LEFT(I2971,FIND(" ",I2971)-1)),""),"")</f>
        <v/>
      </c>
      <c r="P2971" s="7" t="n">
        <f aca="false">IF(K2971="","",K2971-G2971)</f>
        <v>1</v>
      </c>
    </row>
    <row r="2972" customFormat="false" ht="15" hidden="false" customHeight="false" outlineLevel="0" collapsed="false">
      <c r="A2972" s="7" t="n">
        <v>80049979</v>
      </c>
      <c r="B2972" s="7" t="s">
        <v>68</v>
      </c>
      <c r="C2972" s="7" t="s">
        <v>6338</v>
      </c>
      <c r="D2972" s="7" t="s">
        <v>6339</v>
      </c>
      <c r="E2972" s="7" t="s">
        <v>26</v>
      </c>
      <c r="F2972" s="7" t="s">
        <v>6312</v>
      </c>
      <c r="G2972" s="7" t="n">
        <v>2015</v>
      </c>
      <c r="H2972" s="7" t="s">
        <v>51</v>
      </c>
      <c r="I2972" s="7" t="s">
        <v>494</v>
      </c>
      <c r="J2972" s="7" t="s">
        <v>597</v>
      </c>
      <c r="K2972" s="7" t="n">
        <f aca="false">IFERROR(VALUE(RIGHT(TRIM(F2972),4)),"")</f>
        <v>2018</v>
      </c>
      <c r="L2972" s="7" t="str">
        <f aca="false">IF(TRIM(E2972)="","Unknown",IFERROR(LEFT(TRIM(E2972),FIND(",",TRIM(E2972))-1),TRIM(E2972)))</f>
        <v>United States</v>
      </c>
      <c r="M2972" s="7" t="str">
        <f aca="false">IFERROR(LEFT(J2972,FIND(",",J2972)-1),J2972)</f>
        <v>Dramas</v>
      </c>
      <c r="N2972" s="7" t="n">
        <f aca="false">IF(B2972="Movie",IFERROR(VALUE(LEFT(I2972,FIND(" ",I2972)-1)),""),"")</f>
        <v>87</v>
      </c>
      <c r="O2972" s="7" t="str">
        <f aca="false">IF(B2972="TV Show",IFERROR(VALUE(LEFT(I2972,FIND(" ",I2972)-1)),""),"")</f>
        <v/>
      </c>
      <c r="P2972" s="7" t="n">
        <f aca="false">IF(K2972="","",K2972-G2972)</f>
        <v>3</v>
      </c>
    </row>
    <row r="2973" customFormat="false" ht="15" hidden="false" customHeight="false" outlineLevel="0" collapsed="false">
      <c r="A2973" s="7" t="n">
        <v>70267439</v>
      </c>
      <c r="B2973" s="7" t="s">
        <v>68</v>
      </c>
      <c r="C2973" s="7" t="s">
        <v>6340</v>
      </c>
      <c r="D2973" s="7" t="s">
        <v>6119</v>
      </c>
      <c r="E2973" s="7" t="s">
        <v>26</v>
      </c>
      <c r="F2973" s="7" t="s">
        <v>6312</v>
      </c>
      <c r="G2973" s="7" t="n">
        <v>2013</v>
      </c>
      <c r="H2973" s="7" t="s">
        <v>51</v>
      </c>
      <c r="I2973" s="7" t="s">
        <v>111</v>
      </c>
      <c r="J2973" s="7" t="s">
        <v>155</v>
      </c>
      <c r="K2973" s="7" t="n">
        <f aca="false">IFERROR(VALUE(RIGHT(TRIM(F2973),4)),"")</f>
        <v>2018</v>
      </c>
      <c r="L2973" s="7" t="str">
        <f aca="false">IF(TRIM(E2973)="","Unknown",IFERROR(LEFT(TRIM(E2973),FIND(",",TRIM(E2973))-1),TRIM(E2973)))</f>
        <v>United States</v>
      </c>
      <c r="M2973" s="7" t="str">
        <f aca="false">IFERROR(LEFT(J2973,FIND(",",J2973)-1),J2973)</f>
        <v>Dramas</v>
      </c>
      <c r="N2973" s="7" t="n">
        <f aca="false">IF(B2973="Movie",IFERROR(VALUE(LEFT(I2973,FIND(" ",I2973)-1)),""),"")</f>
        <v>95</v>
      </c>
      <c r="O2973" s="7" t="str">
        <f aca="false">IF(B2973="TV Show",IFERROR(VALUE(LEFT(I2973,FIND(" ",I2973)-1)),""),"")</f>
        <v/>
      </c>
      <c r="P2973" s="7" t="n">
        <f aca="false">IF(K2973="","",K2973-G2973)</f>
        <v>5</v>
      </c>
    </row>
    <row r="2974" customFormat="false" ht="15" hidden="false" customHeight="false" outlineLevel="0" collapsed="false">
      <c r="A2974" s="7" t="n">
        <v>70293812</v>
      </c>
      <c r="B2974" s="7" t="s">
        <v>68</v>
      </c>
      <c r="C2974" s="7" t="s">
        <v>6341</v>
      </c>
      <c r="D2974" s="7" t="s">
        <v>6342</v>
      </c>
      <c r="E2974" s="7" t="s">
        <v>6343</v>
      </c>
      <c r="F2974" s="7" t="s">
        <v>6312</v>
      </c>
      <c r="G2974" s="7" t="n">
        <v>2013</v>
      </c>
      <c r="H2974" s="7" t="s">
        <v>51</v>
      </c>
      <c r="I2974" s="7" t="s">
        <v>268</v>
      </c>
      <c r="J2974" s="7" t="s">
        <v>188</v>
      </c>
      <c r="K2974" s="7" t="n">
        <f aca="false">IFERROR(VALUE(RIGHT(TRIM(F2974),4)),"")</f>
        <v>2018</v>
      </c>
      <c r="L2974" s="7" t="str">
        <f aca="false">IF(TRIM(E2974)="","Unknown",IFERROR(LEFT(TRIM(E2974),FIND(",",TRIM(E2974))-1),TRIM(E2974)))</f>
        <v>Switzerland</v>
      </c>
      <c r="M2974" s="7" t="str">
        <f aca="false">IFERROR(LEFT(J2974,FIND(",",J2974)-1),J2974)</f>
        <v>Dramas</v>
      </c>
      <c r="N2974" s="7" t="n">
        <f aca="false">IF(B2974="Movie",IFERROR(VALUE(LEFT(I2974,FIND(" ",I2974)-1)),""),"")</f>
        <v>108</v>
      </c>
      <c r="O2974" s="7" t="str">
        <f aca="false">IF(B2974="TV Show",IFERROR(VALUE(LEFT(I2974,FIND(" ",I2974)-1)),""),"")</f>
        <v/>
      </c>
      <c r="P2974" s="7" t="n">
        <f aca="false">IF(K2974="","",K2974-G2974)</f>
        <v>5</v>
      </c>
    </row>
    <row r="2975" customFormat="false" ht="15" hidden="false" customHeight="false" outlineLevel="0" collapsed="false">
      <c r="A2975" s="7" t="n">
        <v>80113589</v>
      </c>
      <c r="B2975" s="7" t="s">
        <v>68</v>
      </c>
      <c r="C2975" s="7" t="s">
        <v>6344</v>
      </c>
      <c r="D2975" s="7" t="s">
        <v>6345</v>
      </c>
      <c r="E2975" s="7" t="s">
        <v>33</v>
      </c>
      <c r="F2975" s="7" t="s">
        <v>6346</v>
      </c>
      <c r="G2975" s="7" t="n">
        <v>2017</v>
      </c>
      <c r="H2975" s="7" t="s">
        <v>48</v>
      </c>
      <c r="I2975" s="7" t="s">
        <v>417</v>
      </c>
      <c r="J2975" s="7" t="s">
        <v>240</v>
      </c>
      <c r="K2975" s="7" t="n">
        <f aca="false">IFERROR(VALUE(RIGHT(TRIM(F2975),4)),"")</f>
        <v>2017</v>
      </c>
      <c r="L2975" s="7" t="str">
        <f aca="false">IF(TRIM(E2975)="","Unknown",IFERROR(LEFT(TRIM(E2975),FIND(",",TRIM(E2975))-1),TRIM(E2975)))</f>
        <v>Spain</v>
      </c>
      <c r="M2975" s="7" t="str">
        <f aca="false">IFERROR(LEFT(J2975,FIND(",",J2975)-1),J2975)</f>
        <v>Dramas</v>
      </c>
      <c r="N2975" s="7" t="n">
        <f aca="false">IF(B2975="Movie",IFERROR(VALUE(LEFT(I2975,FIND(" ",I2975)-1)),""),"")</f>
        <v>104</v>
      </c>
      <c r="O2975" s="7" t="str">
        <f aca="false">IF(B2975="TV Show",IFERROR(VALUE(LEFT(I2975,FIND(" ",I2975)-1)),""),"")</f>
        <v/>
      </c>
      <c r="P2975" s="7" t="n">
        <f aca="false">IF(K2975="","",K2975-G2975)</f>
        <v>0</v>
      </c>
    </row>
    <row r="2976" customFormat="false" ht="15" hidden="false" customHeight="false" outlineLevel="0" collapsed="false">
      <c r="A2976" s="7" t="n">
        <v>70298393</v>
      </c>
      <c r="B2976" s="7" t="s">
        <v>68</v>
      </c>
      <c r="C2976" s="7" t="s">
        <v>6347</v>
      </c>
      <c r="D2976" s="7" t="s">
        <v>6348</v>
      </c>
      <c r="E2976" s="7" t="s">
        <v>27</v>
      </c>
      <c r="F2976" s="7" t="s">
        <v>6346</v>
      </c>
      <c r="G2976" s="7" t="n">
        <v>2013</v>
      </c>
      <c r="H2976" s="7" t="s">
        <v>49</v>
      </c>
      <c r="I2976" s="7" t="s">
        <v>1832</v>
      </c>
      <c r="J2976" s="7" t="s">
        <v>112</v>
      </c>
      <c r="K2976" s="7" t="n">
        <f aca="false">IFERROR(VALUE(RIGHT(TRIM(F2976),4)),"")</f>
        <v>2017</v>
      </c>
      <c r="L2976" s="7" t="str">
        <f aca="false">IF(TRIM(E2976)="","Unknown",IFERROR(LEFT(TRIM(E2976),FIND(",",TRIM(E2976))-1),TRIM(E2976)))</f>
        <v>India</v>
      </c>
      <c r="M2976" s="7" t="str">
        <f aca="false">IFERROR(LEFT(J2976,FIND(",",J2976)-1),J2976)</f>
        <v>Action &amp; Adventure</v>
      </c>
      <c r="N2976" s="7" t="n">
        <f aca="false">IF(B2976="Movie",IFERROR(VALUE(LEFT(I2976,FIND(" ",I2976)-1)),""),"")</f>
        <v>143</v>
      </c>
      <c r="O2976" s="7" t="str">
        <f aca="false">IF(B2976="TV Show",IFERROR(VALUE(LEFT(I2976,FIND(" ",I2976)-1)),""),"")</f>
        <v/>
      </c>
      <c r="P2976" s="7" t="n">
        <f aca="false">IF(K2976="","",K2976-G2976)</f>
        <v>4</v>
      </c>
    </row>
    <row r="2977" customFormat="false" ht="15" hidden="false" customHeight="false" outlineLevel="0" collapsed="false">
      <c r="A2977" s="7" t="n">
        <v>80191557</v>
      </c>
      <c r="B2977" s="7" t="s">
        <v>68</v>
      </c>
      <c r="C2977" s="7" t="s">
        <v>6349</v>
      </c>
      <c r="D2977" s="7" t="s">
        <v>6350</v>
      </c>
      <c r="E2977" s="7" t="s">
        <v>27</v>
      </c>
      <c r="F2977" s="7" t="s">
        <v>6346</v>
      </c>
      <c r="G2977" s="7" t="n">
        <v>2014</v>
      </c>
      <c r="H2977" s="7" t="s">
        <v>49</v>
      </c>
      <c r="I2977" s="7" t="s">
        <v>237</v>
      </c>
      <c r="J2977" s="7" t="s">
        <v>304</v>
      </c>
      <c r="K2977" s="7" t="n">
        <f aca="false">IFERROR(VALUE(RIGHT(TRIM(F2977),4)),"")</f>
        <v>2017</v>
      </c>
      <c r="L2977" s="7" t="str">
        <f aca="false">IF(TRIM(E2977)="","Unknown",IFERROR(LEFT(TRIM(E2977),FIND(",",TRIM(E2977))-1),TRIM(E2977)))</f>
        <v>India</v>
      </c>
      <c r="M2977" s="7" t="str">
        <f aca="false">IFERROR(LEFT(J2977,FIND(",",J2977)-1),J2977)</f>
        <v>Dramas</v>
      </c>
      <c r="N2977" s="7" t="n">
        <f aca="false">IF(B2977="Movie",IFERROR(VALUE(LEFT(I2977,FIND(" ",I2977)-1)),""),"")</f>
        <v>116</v>
      </c>
      <c r="O2977" s="7" t="str">
        <f aca="false">IF(B2977="TV Show",IFERROR(VALUE(LEFT(I2977,FIND(" ",I2977)-1)),""),"")</f>
        <v/>
      </c>
      <c r="P2977" s="7" t="n">
        <f aca="false">IF(K2977="","",K2977-G2977)</f>
        <v>3</v>
      </c>
    </row>
    <row r="2978" customFormat="false" ht="15" hidden="false" customHeight="false" outlineLevel="0" collapsed="false">
      <c r="A2978" s="7" t="n">
        <v>80096585</v>
      </c>
      <c r="B2978" s="7" t="s">
        <v>68</v>
      </c>
      <c r="C2978" s="7" t="s">
        <v>6351</v>
      </c>
      <c r="D2978" s="7" t="s">
        <v>6352</v>
      </c>
      <c r="E2978" s="7" t="s">
        <v>26</v>
      </c>
      <c r="F2978" s="7" t="s">
        <v>6353</v>
      </c>
      <c r="G2978" s="7" t="n">
        <v>2016</v>
      </c>
      <c r="H2978" s="7" t="s">
        <v>53</v>
      </c>
      <c r="I2978" s="7" t="s">
        <v>173</v>
      </c>
      <c r="J2978" s="7" t="s">
        <v>1059</v>
      </c>
      <c r="K2978" s="7" t="n">
        <f aca="false">IFERROR(VALUE(RIGHT(TRIM(F2978),4)),"")</f>
        <v>2016</v>
      </c>
      <c r="L2978" s="7" t="str">
        <f aca="false">IF(TRIM(E2978)="","Unknown",IFERROR(LEFT(TRIM(E2978),FIND(",",TRIM(E2978))-1),TRIM(E2978)))</f>
        <v>United States</v>
      </c>
      <c r="M2978" s="7" t="str">
        <f aca="false">IFERROR(LEFT(J2978,FIND(",",J2978)-1),J2978)</f>
        <v>Comedies</v>
      </c>
      <c r="N2978" s="7" t="n">
        <f aca="false">IF(B2978="Movie",IFERROR(VALUE(LEFT(I2978,FIND(" ",I2978)-1)),""),"")</f>
        <v>106</v>
      </c>
      <c r="O2978" s="7" t="str">
        <f aca="false">IF(B2978="TV Show",IFERROR(VALUE(LEFT(I2978,FIND(" ",I2978)-1)),""),"")</f>
        <v/>
      </c>
      <c r="P2978" s="7" t="n">
        <f aca="false">IF(K2978="","",K2978-G2978)</f>
        <v>0</v>
      </c>
    </row>
    <row r="2979" customFormat="false" ht="15" hidden="false" customHeight="false" outlineLevel="0" collapsed="false">
      <c r="A2979" s="7" t="n">
        <v>80106928</v>
      </c>
      <c r="B2979" s="7" t="s">
        <v>68</v>
      </c>
      <c r="C2979" s="7" t="s">
        <v>6354</v>
      </c>
      <c r="D2979" s="7" t="s">
        <v>6355</v>
      </c>
      <c r="E2979" s="7" t="s">
        <v>6356</v>
      </c>
      <c r="F2979" s="7" t="s">
        <v>6353</v>
      </c>
      <c r="G2979" s="7" t="n">
        <v>2015</v>
      </c>
      <c r="H2979" s="7" t="s">
        <v>53</v>
      </c>
      <c r="I2979" s="7" t="s">
        <v>205</v>
      </c>
      <c r="J2979" s="7" t="s">
        <v>1841</v>
      </c>
      <c r="K2979" s="7" t="n">
        <f aca="false">IFERROR(VALUE(RIGHT(TRIM(F2979),4)),"")</f>
        <v>2016</v>
      </c>
      <c r="L2979" s="7" t="str">
        <f aca="false">IF(TRIM(E2979)="","Unknown",IFERROR(LEFT(TRIM(E2979),FIND(",",TRIM(E2979))-1),TRIM(E2979)))</f>
        <v>Argentina</v>
      </c>
      <c r="M2979" s="7" t="str">
        <f aca="false">IFERROR(LEFT(J2979,FIND(",",J2979)-1),J2979)</f>
        <v>Comedies</v>
      </c>
      <c r="N2979" s="7" t="n">
        <f aca="false">IF(B2979="Movie",IFERROR(VALUE(LEFT(I2979,FIND(" ",I2979)-1)),""),"")</f>
        <v>100</v>
      </c>
      <c r="O2979" s="7" t="str">
        <f aca="false">IF(B2979="TV Show",IFERROR(VALUE(LEFT(I2979,FIND(" ",I2979)-1)),""),"")</f>
        <v/>
      </c>
      <c r="P2979" s="7" t="n">
        <f aca="false">IF(K2979="","",K2979-G2979)</f>
        <v>1</v>
      </c>
    </row>
    <row r="2980" customFormat="false" ht="15" hidden="false" customHeight="false" outlineLevel="0" collapsed="false">
      <c r="A2980" s="7" t="n">
        <v>80064459</v>
      </c>
      <c r="B2980" s="7" t="s">
        <v>68</v>
      </c>
      <c r="C2980" s="7" t="s">
        <v>6357</v>
      </c>
      <c r="D2980" s="7" t="s">
        <v>6358</v>
      </c>
      <c r="E2980" s="7" t="s">
        <v>26</v>
      </c>
      <c r="F2980" s="7" t="s">
        <v>6353</v>
      </c>
      <c r="G2980" s="7" t="n">
        <v>2016</v>
      </c>
      <c r="H2980" s="7" t="s">
        <v>48</v>
      </c>
      <c r="I2980" s="7" t="s">
        <v>512</v>
      </c>
      <c r="J2980" s="7" t="s">
        <v>597</v>
      </c>
      <c r="K2980" s="7" t="n">
        <f aca="false">IFERROR(VALUE(RIGHT(TRIM(F2980),4)),"")</f>
        <v>2016</v>
      </c>
      <c r="L2980" s="7" t="str">
        <f aca="false">IF(TRIM(E2980)="","Unknown",IFERROR(LEFT(TRIM(E2980),FIND(",",TRIM(E2980))-1),TRIM(E2980)))</f>
        <v>United States</v>
      </c>
      <c r="M2980" s="7" t="str">
        <f aca="false">IFERROR(LEFT(J2980,FIND(",",J2980)-1),J2980)</f>
        <v>Dramas</v>
      </c>
      <c r="N2980" s="7" t="n">
        <f aca="false">IF(B2980="Movie",IFERROR(VALUE(LEFT(I2980,FIND(" ",I2980)-1)),""),"")</f>
        <v>101</v>
      </c>
      <c r="O2980" s="7" t="str">
        <f aca="false">IF(B2980="TV Show",IFERROR(VALUE(LEFT(I2980,FIND(" ",I2980)-1)),""),"")</f>
        <v/>
      </c>
      <c r="P2980" s="7" t="n">
        <f aca="false">IF(K2980="","",K2980-G2980)</f>
        <v>0</v>
      </c>
    </row>
    <row r="2981" customFormat="false" ht="15" hidden="false" customHeight="false" outlineLevel="0" collapsed="false">
      <c r="A2981" s="7" t="n">
        <v>80102204</v>
      </c>
      <c r="B2981" s="7" t="s">
        <v>68</v>
      </c>
      <c r="C2981" s="7" t="s">
        <v>6359</v>
      </c>
      <c r="D2981" s="7" t="s">
        <v>3683</v>
      </c>
      <c r="E2981" s="7" t="s">
        <v>26</v>
      </c>
      <c r="F2981" s="7" t="s">
        <v>6353</v>
      </c>
      <c r="G2981" s="7" t="n">
        <v>2016</v>
      </c>
      <c r="H2981" s="7" t="s">
        <v>48</v>
      </c>
      <c r="I2981" s="7" t="s">
        <v>386</v>
      </c>
      <c r="J2981" s="7" t="s">
        <v>39</v>
      </c>
      <c r="K2981" s="7" t="n">
        <f aca="false">IFERROR(VALUE(RIGHT(TRIM(F2981),4)),"")</f>
        <v>2016</v>
      </c>
      <c r="L2981" s="7" t="str">
        <f aca="false">IF(TRIM(E2981)="","Unknown",IFERROR(LEFT(TRIM(E2981),FIND(",",TRIM(E2981))-1),TRIM(E2981)))</f>
        <v>United States</v>
      </c>
      <c r="M2981" s="7" t="str">
        <f aca="false">IFERROR(LEFT(J2981,FIND(",",J2981)-1),J2981)</f>
        <v>Documentaries</v>
      </c>
      <c r="N2981" s="7" t="n">
        <f aca="false">IF(B2981="Movie",IFERROR(VALUE(LEFT(I2981,FIND(" ",I2981)-1)),""),"")</f>
        <v>117</v>
      </c>
      <c r="O2981" s="7" t="str">
        <f aca="false">IF(B2981="TV Show",IFERROR(VALUE(LEFT(I2981,FIND(" ",I2981)-1)),""),"")</f>
        <v/>
      </c>
      <c r="P2981" s="7" t="n">
        <f aca="false">IF(K2981="","",K2981-G2981)</f>
        <v>0</v>
      </c>
    </row>
    <row r="2982" customFormat="false" ht="15" hidden="false" customHeight="false" outlineLevel="0" collapsed="false">
      <c r="A2982" s="7" t="n">
        <v>80014996</v>
      </c>
      <c r="B2982" s="7" t="s">
        <v>68</v>
      </c>
      <c r="C2982" s="7" t="s">
        <v>6360</v>
      </c>
      <c r="D2982" s="7" t="s">
        <v>6361</v>
      </c>
      <c r="E2982" s="7" t="s">
        <v>1081</v>
      </c>
      <c r="F2982" s="7" t="s">
        <v>6362</v>
      </c>
      <c r="G2982" s="7" t="n">
        <v>2013</v>
      </c>
      <c r="H2982" s="7" t="s">
        <v>51</v>
      </c>
      <c r="I2982" s="7" t="s">
        <v>1062</v>
      </c>
      <c r="J2982" s="7" t="s">
        <v>112</v>
      </c>
      <c r="K2982" s="7" t="n">
        <f aca="false">IFERROR(VALUE(RIGHT(TRIM(F2982),4)),"")</f>
        <v>2015</v>
      </c>
      <c r="L2982" s="7" t="str">
        <f aca="false">IF(TRIM(E2982)="","Unknown",IFERROR(LEFT(TRIM(E2982),FIND(",",TRIM(E2982))-1),TRIM(E2982)))</f>
        <v>Germany</v>
      </c>
      <c r="M2982" s="7" t="str">
        <f aca="false">IFERROR(LEFT(J2982,FIND(",",J2982)-1),J2982)</f>
        <v>Action &amp; Adventure</v>
      </c>
      <c r="N2982" s="7" t="n">
        <f aca="false">IF(B2982="Movie",IFERROR(VALUE(LEFT(I2982,FIND(" ",I2982)-1)),""),"")</f>
        <v>155</v>
      </c>
      <c r="O2982" s="7" t="str">
        <f aca="false">IF(B2982="TV Show",IFERROR(VALUE(LEFT(I2982,FIND(" ",I2982)-1)),""),"")</f>
        <v/>
      </c>
      <c r="P2982" s="7" t="n">
        <f aca="false">IF(K2982="","",K2982-G2982)</f>
        <v>2</v>
      </c>
    </row>
    <row r="2983" customFormat="false" ht="15" hidden="false" customHeight="false" outlineLevel="0" collapsed="false">
      <c r="A2983" s="7" t="n">
        <v>60003082</v>
      </c>
      <c r="B2983" s="7" t="s">
        <v>68</v>
      </c>
      <c r="C2983" s="7" t="s">
        <v>6363</v>
      </c>
      <c r="D2983" s="7" t="s">
        <v>6364</v>
      </c>
      <c r="E2983" s="7" t="s">
        <v>26</v>
      </c>
      <c r="F2983" s="7" t="s">
        <v>6365</v>
      </c>
      <c r="G2983" s="7" t="n">
        <v>1954</v>
      </c>
      <c r="H2983" s="7" t="s">
        <v>226</v>
      </c>
      <c r="I2983" s="7" t="s">
        <v>2551</v>
      </c>
      <c r="J2983" s="7" t="s">
        <v>6366</v>
      </c>
      <c r="K2983" s="7" t="n">
        <f aca="false">IFERROR(VALUE(RIGHT(TRIM(F2983),4)),"")</f>
        <v>2012</v>
      </c>
      <c r="L2983" s="7" t="str">
        <f aca="false">IF(TRIM(E2983)="","Unknown",IFERROR(LEFT(TRIM(E2983),FIND(",",TRIM(E2983))-1),TRIM(E2983)))</f>
        <v>United States</v>
      </c>
      <c r="M2983" s="7" t="str">
        <f aca="false">IFERROR(LEFT(J2983,FIND(",",J2983)-1),J2983)</f>
        <v>Children &amp; Family Movies</v>
      </c>
      <c r="N2983" s="7" t="n">
        <f aca="false">IF(B2983="Movie",IFERROR(VALUE(LEFT(I2983,FIND(" ",I2983)-1)),""),"")</f>
        <v>120</v>
      </c>
      <c r="O2983" s="7" t="str">
        <f aca="false">IF(B2983="TV Show",IFERROR(VALUE(LEFT(I2983,FIND(" ",I2983)-1)),""),"")</f>
        <v/>
      </c>
      <c r="P2983" s="7" t="n">
        <f aca="false">IF(K2983="","",K2983-G2983)</f>
        <v>58</v>
      </c>
    </row>
    <row r="2984" customFormat="false" ht="15" hidden="false" customHeight="false" outlineLevel="0" collapsed="false">
      <c r="A2984" s="7" t="n">
        <v>80244246</v>
      </c>
      <c r="B2984" s="7" t="s">
        <v>78</v>
      </c>
      <c r="C2984" s="7" t="s">
        <v>6367</v>
      </c>
      <c r="F2984" s="7" t="s">
        <v>6368</v>
      </c>
      <c r="G2984" s="7" t="n">
        <v>2016</v>
      </c>
      <c r="H2984" s="7" t="s">
        <v>49</v>
      </c>
      <c r="I2984" s="7" t="s">
        <v>82</v>
      </c>
      <c r="J2984" s="7" t="s">
        <v>3542</v>
      </c>
      <c r="K2984" s="7" t="n">
        <f aca="false">IFERROR(VALUE(RIGHT(TRIM(F2984),4)),"")</f>
        <v>2018</v>
      </c>
      <c r="L2984" s="7" t="str">
        <f aca="false">IF(TRIM(E2984)="","Unknown",IFERROR(LEFT(TRIM(E2984),FIND(",",TRIM(E2984))-1),TRIM(E2984)))</f>
        <v>Unknown</v>
      </c>
      <c r="M2984" s="7" t="str">
        <f aca="false">IFERROR(LEFT(J2984,FIND(",",J2984)-1),J2984)</f>
        <v>International TV Shows</v>
      </c>
      <c r="N2984" s="7" t="str">
        <f aca="false">IF(B2984="Movie",IFERROR(VALUE(LEFT(I2984,FIND(" ",I2984)-1)),""),"")</f>
        <v/>
      </c>
      <c r="O2984" s="7" t="n">
        <f aca="false">IF(B2984="TV Show",IFERROR(VALUE(LEFT(I2984,FIND(" ",I2984)-1)),""),"")</f>
        <v>1</v>
      </c>
      <c r="P2984" s="7" t="n">
        <f aca="false">IF(K2984="","",K2984-G2984)</f>
        <v>2</v>
      </c>
    </row>
    <row r="2985" customFormat="false" ht="15" hidden="false" customHeight="false" outlineLevel="0" collapsed="false">
      <c r="A2985" s="7" t="n">
        <v>80081277</v>
      </c>
      <c r="B2985" s="7" t="s">
        <v>68</v>
      </c>
      <c r="C2985" s="7" t="s">
        <v>6369</v>
      </c>
      <c r="D2985" s="7" t="s">
        <v>6370</v>
      </c>
      <c r="E2985" s="7" t="s">
        <v>6371</v>
      </c>
      <c r="F2985" s="7" t="s">
        <v>6368</v>
      </c>
      <c r="G2985" s="7" t="n">
        <v>2015</v>
      </c>
      <c r="H2985" s="7" t="s">
        <v>51</v>
      </c>
      <c r="I2985" s="7" t="s">
        <v>93</v>
      </c>
      <c r="J2985" s="7" t="s">
        <v>188</v>
      </c>
      <c r="K2985" s="7" t="n">
        <f aca="false">IFERROR(VALUE(RIGHT(TRIM(F2985),4)),"")</f>
        <v>2018</v>
      </c>
      <c r="L2985" s="7" t="str">
        <f aca="false">IF(TRIM(E2985)="","Unknown",IFERROR(LEFT(TRIM(E2985),FIND(",",TRIM(E2985))-1),TRIM(E2985)))</f>
        <v>Germany</v>
      </c>
      <c r="M2985" s="7" t="str">
        <f aca="false">IFERROR(LEFT(J2985,FIND(",",J2985)-1),J2985)</f>
        <v>Dramas</v>
      </c>
      <c r="N2985" s="7" t="n">
        <f aca="false">IF(B2985="Movie",IFERROR(VALUE(LEFT(I2985,FIND(" ",I2985)-1)),""),"")</f>
        <v>110</v>
      </c>
      <c r="O2985" s="7" t="str">
        <f aca="false">IF(B2985="TV Show",IFERROR(VALUE(LEFT(I2985,FIND(" ",I2985)-1)),""),"")</f>
        <v/>
      </c>
      <c r="P2985" s="7" t="n">
        <f aca="false">IF(K2985="","",K2985-G2985)</f>
        <v>3</v>
      </c>
    </row>
    <row r="2986" customFormat="false" ht="15" hidden="false" customHeight="false" outlineLevel="0" collapsed="false">
      <c r="A2986" s="7" t="n">
        <v>81005504</v>
      </c>
      <c r="B2986" s="7" t="s">
        <v>78</v>
      </c>
      <c r="C2986" s="7" t="s">
        <v>6372</v>
      </c>
      <c r="E2986" s="7" t="s">
        <v>366</v>
      </c>
      <c r="F2986" s="7" t="s">
        <v>6368</v>
      </c>
      <c r="G2986" s="7" t="n">
        <v>2018</v>
      </c>
      <c r="H2986" s="7" t="s">
        <v>50</v>
      </c>
      <c r="I2986" s="7" t="s">
        <v>82</v>
      </c>
      <c r="J2986" s="7" t="s">
        <v>314</v>
      </c>
      <c r="K2986" s="7" t="n">
        <f aca="false">IFERROR(VALUE(RIGHT(TRIM(F2986),4)),"")</f>
        <v>2018</v>
      </c>
      <c r="L2986" s="7" t="str">
        <f aca="false">IF(TRIM(E2986)="","Unknown",IFERROR(LEFT(TRIM(E2986),FIND(",",TRIM(E2986))-1),TRIM(E2986)))</f>
        <v>China</v>
      </c>
      <c r="M2986" s="7" t="str">
        <f aca="false">IFERROR(LEFT(J2986,FIND(",",J2986)-1),J2986)</f>
        <v>International TV Shows</v>
      </c>
      <c r="N2986" s="7" t="str">
        <f aca="false">IF(B2986="Movie",IFERROR(VALUE(LEFT(I2986,FIND(" ",I2986)-1)),""),"")</f>
        <v/>
      </c>
      <c r="O2986" s="7" t="n">
        <f aca="false">IF(B2986="TV Show",IFERROR(VALUE(LEFT(I2986,FIND(" ",I2986)-1)),""),"")</f>
        <v>1</v>
      </c>
      <c r="P2986" s="7" t="n">
        <f aca="false">IF(K2986="","",K2986-G2986)</f>
        <v>0</v>
      </c>
    </row>
    <row r="2987" customFormat="false" ht="15" hidden="false" customHeight="false" outlineLevel="0" collapsed="false">
      <c r="A2987" s="7" t="n">
        <v>80149064</v>
      </c>
      <c r="B2987" s="7" t="s">
        <v>68</v>
      </c>
      <c r="C2987" s="7" t="s">
        <v>6373</v>
      </c>
      <c r="D2987" s="7" t="s">
        <v>6374</v>
      </c>
      <c r="E2987" s="7" t="s">
        <v>26</v>
      </c>
      <c r="F2987" s="7" t="s">
        <v>6375</v>
      </c>
      <c r="G2987" s="7" t="n">
        <v>2017</v>
      </c>
      <c r="H2987" s="7" t="s">
        <v>50</v>
      </c>
      <c r="I2987" s="7" t="s">
        <v>1325</v>
      </c>
      <c r="J2987" s="7" t="s">
        <v>10</v>
      </c>
      <c r="K2987" s="7" t="n">
        <f aca="false">IFERROR(VALUE(RIGHT(TRIM(F2987),4)),"")</f>
        <v>2017</v>
      </c>
      <c r="L2987" s="7" t="str">
        <f aca="false">IF(TRIM(E2987)="","Unknown",IFERROR(LEFT(TRIM(E2987),FIND(",",TRIM(E2987))-1),TRIM(E2987)))</f>
        <v>United States</v>
      </c>
      <c r="M2987" s="7" t="str">
        <f aca="false">IFERROR(LEFT(J2987,FIND(",",J2987)-1),J2987)</f>
        <v>Movies</v>
      </c>
      <c r="N2987" s="7" t="n">
        <f aca="false">IF(B2987="Movie",IFERROR(VALUE(LEFT(I2987,FIND(" ",I2987)-1)),""),"")</f>
        <v>14</v>
      </c>
      <c r="O2987" s="7" t="str">
        <f aca="false">IF(B2987="TV Show",IFERROR(VALUE(LEFT(I2987,FIND(" ",I2987)-1)),""),"")</f>
        <v/>
      </c>
      <c r="P2987" s="7" t="n">
        <f aca="false">IF(K2987="","",K2987-G2987)</f>
        <v>0</v>
      </c>
    </row>
    <row r="2988" customFormat="false" ht="15" hidden="false" customHeight="false" outlineLevel="0" collapsed="false">
      <c r="A2988" s="7" t="n">
        <v>80168188</v>
      </c>
      <c r="B2988" s="7" t="s">
        <v>68</v>
      </c>
      <c r="C2988" s="7" t="s">
        <v>6376</v>
      </c>
      <c r="D2988" s="7" t="s">
        <v>6377</v>
      </c>
      <c r="E2988" s="7" t="s">
        <v>26</v>
      </c>
      <c r="F2988" s="7" t="s">
        <v>6375</v>
      </c>
      <c r="G2988" s="7" t="n">
        <v>2017</v>
      </c>
      <c r="H2988" s="7" t="s">
        <v>50</v>
      </c>
      <c r="I2988" s="7" t="s">
        <v>357</v>
      </c>
      <c r="J2988" s="7" t="s">
        <v>39</v>
      </c>
      <c r="K2988" s="7" t="n">
        <f aca="false">IFERROR(VALUE(RIGHT(TRIM(F2988),4)),"")</f>
        <v>2017</v>
      </c>
      <c r="L2988" s="7" t="str">
        <f aca="false">IF(TRIM(E2988)="","Unknown",IFERROR(LEFT(TRIM(E2988),FIND(",",TRIM(E2988))-1),TRIM(E2988)))</f>
        <v>United States</v>
      </c>
      <c r="M2988" s="7" t="str">
        <f aca="false">IFERROR(LEFT(J2988,FIND(",",J2988)-1),J2988)</f>
        <v>Documentaries</v>
      </c>
      <c r="N2988" s="7" t="n">
        <f aca="false">IF(B2988="Movie",IFERROR(VALUE(LEFT(I2988,FIND(" ",I2988)-1)),""),"")</f>
        <v>89</v>
      </c>
      <c r="O2988" s="7" t="str">
        <f aca="false">IF(B2988="TV Show",IFERROR(VALUE(LEFT(I2988,FIND(" ",I2988)-1)),""),"")</f>
        <v/>
      </c>
      <c r="P2988" s="7" t="n">
        <f aca="false">IF(K2988="","",K2988-G2988)</f>
        <v>0</v>
      </c>
    </row>
    <row r="2989" customFormat="false" ht="15" hidden="false" customHeight="false" outlineLevel="0" collapsed="false">
      <c r="A2989" s="7" t="n">
        <v>80171659</v>
      </c>
      <c r="B2989" s="7" t="s">
        <v>68</v>
      </c>
      <c r="C2989" s="7" t="s">
        <v>6378</v>
      </c>
      <c r="D2989" s="7" t="s">
        <v>6379</v>
      </c>
      <c r="E2989" s="7" t="s">
        <v>26</v>
      </c>
      <c r="F2989" s="7" t="s">
        <v>6375</v>
      </c>
      <c r="G2989" s="7" t="n">
        <v>2017</v>
      </c>
      <c r="H2989" s="7" t="s">
        <v>48</v>
      </c>
      <c r="I2989" s="7" t="s">
        <v>268</v>
      </c>
      <c r="J2989" s="7" t="s">
        <v>150</v>
      </c>
      <c r="K2989" s="7" t="n">
        <f aca="false">IFERROR(VALUE(RIGHT(TRIM(F2989),4)),"")</f>
        <v>2017</v>
      </c>
      <c r="L2989" s="7" t="str">
        <f aca="false">IF(TRIM(E2989)="","Unknown",IFERROR(LEFT(TRIM(E2989),FIND(",",TRIM(E2989))-1),TRIM(E2989)))</f>
        <v>United States</v>
      </c>
      <c r="M2989" s="7" t="str">
        <f aca="false">IFERROR(LEFT(J2989,FIND(",",J2989)-1),J2989)</f>
        <v>Dramas</v>
      </c>
      <c r="N2989" s="7" t="n">
        <f aca="false">IF(B2989="Movie",IFERROR(VALUE(LEFT(I2989,FIND(" ",I2989)-1)),""),"")</f>
        <v>108</v>
      </c>
      <c r="O2989" s="7" t="str">
        <f aca="false">IF(B2989="TV Show",IFERROR(VALUE(LEFT(I2989,FIND(" ",I2989)-1)),""),"")</f>
        <v/>
      </c>
      <c r="P2989" s="7" t="n">
        <f aca="false">IF(K2989="","",K2989-G2989)</f>
        <v>0</v>
      </c>
    </row>
    <row r="2990" customFormat="false" ht="15" hidden="false" customHeight="false" outlineLevel="0" collapsed="false">
      <c r="A2990" s="7" t="n">
        <v>80097221</v>
      </c>
      <c r="B2990" s="7" t="s">
        <v>68</v>
      </c>
      <c r="C2990" s="7" t="s">
        <v>6380</v>
      </c>
      <c r="D2990" s="7" t="s">
        <v>6381</v>
      </c>
      <c r="E2990" s="7" t="s">
        <v>29</v>
      </c>
      <c r="F2990" s="7" t="s">
        <v>6382</v>
      </c>
      <c r="G2990" s="7" t="n">
        <v>2015</v>
      </c>
      <c r="H2990" s="7" t="s">
        <v>51</v>
      </c>
      <c r="I2990" s="7" t="s">
        <v>187</v>
      </c>
      <c r="J2990" s="7" t="s">
        <v>40</v>
      </c>
      <c r="K2990" s="7" t="n">
        <f aca="false">IFERROR(VALUE(RIGHT(TRIM(F2990),4)),"")</f>
        <v>2016</v>
      </c>
      <c r="L2990" s="7" t="str">
        <f aca="false">IF(TRIM(E2990)="","Unknown",IFERROR(LEFT(TRIM(E2990),FIND(",",TRIM(E2990))-1),TRIM(E2990)))</f>
        <v>Canada</v>
      </c>
      <c r="M2990" s="7" t="str">
        <f aca="false">IFERROR(LEFT(J2990,FIND(",",J2990)-1),J2990)</f>
        <v>Action &amp; Adventure</v>
      </c>
      <c r="N2990" s="7" t="n">
        <f aca="false">IF(B2990="Movie",IFERROR(VALUE(LEFT(I2990,FIND(" ",I2990)-1)),""),"")</f>
        <v>114</v>
      </c>
      <c r="O2990" s="7" t="str">
        <f aca="false">IF(B2990="TV Show",IFERROR(VALUE(LEFT(I2990,FIND(" ",I2990)-1)),""),"")</f>
        <v/>
      </c>
      <c r="P2990" s="7" t="n">
        <f aca="false">IF(K2990="","",K2990-G2990)</f>
        <v>1</v>
      </c>
    </row>
    <row r="2991" customFormat="false" ht="15" hidden="false" customHeight="false" outlineLevel="0" collapsed="false">
      <c r="A2991" s="7" t="n">
        <v>80103331</v>
      </c>
      <c r="B2991" s="7" t="s">
        <v>78</v>
      </c>
      <c r="C2991" s="7" t="s">
        <v>6383</v>
      </c>
      <c r="E2991" s="7" t="s">
        <v>30</v>
      </c>
      <c r="F2991" s="7" t="s">
        <v>6382</v>
      </c>
      <c r="G2991" s="7" t="n">
        <v>2016</v>
      </c>
      <c r="H2991" s="7" t="s">
        <v>49</v>
      </c>
      <c r="I2991" s="7" t="s">
        <v>82</v>
      </c>
      <c r="J2991" s="7" t="s">
        <v>542</v>
      </c>
      <c r="K2991" s="7" t="n">
        <f aca="false">IFERROR(VALUE(RIGHT(TRIM(F2991),4)),"")</f>
        <v>2016</v>
      </c>
      <c r="L2991" s="7" t="str">
        <f aca="false">IF(TRIM(E2991)="","Unknown",IFERROR(LEFT(TRIM(E2991),FIND(",",TRIM(E2991))-1),TRIM(E2991)))</f>
        <v>Japan</v>
      </c>
      <c r="M2991" s="7" t="str">
        <f aca="false">IFERROR(LEFT(J2991,FIND(",",J2991)-1),J2991)</f>
        <v>Anime Series</v>
      </c>
      <c r="N2991" s="7" t="str">
        <f aca="false">IF(B2991="Movie",IFERROR(VALUE(LEFT(I2991,FIND(" ",I2991)-1)),""),"")</f>
        <v/>
      </c>
      <c r="O2991" s="7" t="n">
        <f aca="false">IF(B2991="TV Show",IFERROR(VALUE(LEFT(I2991,FIND(" ",I2991)-1)),""),"")</f>
        <v>1</v>
      </c>
      <c r="P2991" s="7" t="n">
        <f aca="false">IF(K2991="","",K2991-G2991)</f>
        <v>0</v>
      </c>
    </row>
    <row r="2992" customFormat="false" ht="15" hidden="false" customHeight="false" outlineLevel="0" collapsed="false">
      <c r="A2992" s="7" t="n">
        <v>70306646</v>
      </c>
      <c r="B2992" s="7" t="s">
        <v>68</v>
      </c>
      <c r="C2992" s="7" t="s">
        <v>6384</v>
      </c>
      <c r="D2992" s="7" t="s">
        <v>6385</v>
      </c>
      <c r="E2992" s="7" t="s">
        <v>26</v>
      </c>
      <c r="F2992" s="7" t="s">
        <v>6386</v>
      </c>
      <c r="G2992" s="7" t="n">
        <v>2014</v>
      </c>
      <c r="H2992" s="7" t="s">
        <v>51</v>
      </c>
      <c r="I2992" s="7" t="s">
        <v>107</v>
      </c>
      <c r="J2992" s="7" t="s">
        <v>950</v>
      </c>
      <c r="K2992" s="7" t="n">
        <f aca="false">IFERROR(VALUE(RIGHT(TRIM(F2992),4)),"")</f>
        <v>2015</v>
      </c>
      <c r="L2992" s="7" t="str">
        <f aca="false">IF(TRIM(E2992)="","Unknown",IFERROR(LEFT(TRIM(E2992),FIND(",",TRIM(E2992))-1),TRIM(E2992)))</f>
        <v>United States</v>
      </c>
      <c r="M2992" s="7" t="str">
        <f aca="false">IFERROR(LEFT(J2992,FIND(",",J2992)-1),J2992)</f>
        <v>Horror Movies</v>
      </c>
      <c r="N2992" s="7" t="n">
        <f aca="false">IF(B2992="Movie",IFERROR(VALUE(LEFT(I2992,FIND(" ",I2992)-1)),""),"")</f>
        <v>78</v>
      </c>
      <c r="O2992" s="7" t="str">
        <f aca="false">IF(B2992="TV Show",IFERROR(VALUE(LEFT(I2992,FIND(" ",I2992)-1)),""),"")</f>
        <v/>
      </c>
      <c r="P2992" s="7" t="n">
        <f aca="false">IF(K2992="","",K2992-G2992)</f>
        <v>1</v>
      </c>
    </row>
    <row r="2993" customFormat="false" ht="15" hidden="false" customHeight="false" outlineLevel="0" collapsed="false">
      <c r="A2993" s="7" t="n">
        <v>81011936</v>
      </c>
      <c r="B2993" s="7" t="s">
        <v>68</v>
      </c>
      <c r="C2993" s="7" t="s">
        <v>6387</v>
      </c>
      <c r="D2993" s="7" t="s">
        <v>6388</v>
      </c>
      <c r="E2993" s="7" t="s">
        <v>31</v>
      </c>
      <c r="F2993" s="7" t="s">
        <v>6389</v>
      </c>
      <c r="G2993" s="7" t="n">
        <v>2018</v>
      </c>
      <c r="H2993" s="7" t="s">
        <v>48</v>
      </c>
      <c r="I2993" s="7" t="s">
        <v>201</v>
      </c>
      <c r="J2993" s="7" t="s">
        <v>188</v>
      </c>
      <c r="K2993" s="7" t="n">
        <f aca="false">IFERROR(VALUE(RIGHT(TRIM(F2993),4)),"")</f>
        <v>2019</v>
      </c>
      <c r="L2993" s="7" t="str">
        <f aca="false">IF(TRIM(E2993)="","Unknown",IFERROR(LEFT(TRIM(E2993),FIND(",",TRIM(E2993))-1),TRIM(E2993)))</f>
        <v>France</v>
      </c>
      <c r="M2993" s="7" t="str">
        <f aca="false">IFERROR(LEFT(J2993,FIND(",",J2993)-1),J2993)</f>
        <v>Dramas</v>
      </c>
      <c r="N2993" s="7" t="n">
        <f aca="false">IF(B2993="Movie",IFERROR(VALUE(LEFT(I2993,FIND(" ",I2993)-1)),""),"")</f>
        <v>133</v>
      </c>
      <c r="O2993" s="7" t="str">
        <f aca="false">IF(B2993="TV Show",IFERROR(VALUE(LEFT(I2993,FIND(" ",I2993)-1)),""),"")</f>
        <v/>
      </c>
      <c r="P2993" s="7" t="n">
        <f aca="false">IF(K2993="","",K2993-G2993)</f>
        <v>1</v>
      </c>
    </row>
    <row r="2994" customFormat="false" ht="15" hidden="false" customHeight="false" outlineLevel="0" collapsed="false">
      <c r="A2994" s="7" t="n">
        <v>80244363</v>
      </c>
      <c r="B2994" s="7" t="s">
        <v>78</v>
      </c>
      <c r="C2994" s="7" t="s">
        <v>6390</v>
      </c>
      <c r="F2994" s="7" t="s">
        <v>6391</v>
      </c>
      <c r="G2994" s="7" t="n">
        <v>2016</v>
      </c>
      <c r="H2994" s="7" t="s">
        <v>49</v>
      </c>
      <c r="I2994" s="7" t="s">
        <v>82</v>
      </c>
      <c r="J2994" s="7" t="s">
        <v>588</v>
      </c>
      <c r="K2994" s="7" t="n">
        <f aca="false">IFERROR(VALUE(RIGHT(TRIM(F2994),4)),"")</f>
        <v>2018</v>
      </c>
      <c r="L2994" s="7" t="str">
        <f aca="false">IF(TRIM(E2994)="","Unknown",IFERROR(LEFT(TRIM(E2994),FIND(",",TRIM(E2994))-1),TRIM(E2994)))</f>
        <v>Unknown</v>
      </c>
      <c r="M2994" s="7" t="str">
        <f aca="false">IFERROR(LEFT(J2994,FIND(",",J2994)-1),J2994)</f>
        <v>Crime TV Shows</v>
      </c>
      <c r="N2994" s="7" t="str">
        <f aca="false">IF(B2994="Movie",IFERROR(VALUE(LEFT(I2994,FIND(" ",I2994)-1)),""),"")</f>
        <v/>
      </c>
      <c r="O2994" s="7" t="n">
        <f aca="false">IF(B2994="TV Show",IFERROR(VALUE(LEFT(I2994,FIND(" ",I2994)-1)),""),"")</f>
        <v>1</v>
      </c>
      <c r="P2994" s="7" t="n">
        <f aca="false">IF(K2994="","",K2994-G2994)</f>
        <v>2</v>
      </c>
    </row>
    <row r="2995" customFormat="false" ht="15" hidden="false" customHeight="false" outlineLevel="0" collapsed="false">
      <c r="A2995" s="7" t="n">
        <v>80167481</v>
      </c>
      <c r="B2995" s="7" t="s">
        <v>68</v>
      </c>
      <c r="C2995" s="7" t="s">
        <v>6392</v>
      </c>
      <c r="D2995" s="7" t="s">
        <v>6393</v>
      </c>
      <c r="E2995" s="7" t="s">
        <v>26</v>
      </c>
      <c r="F2995" s="7" t="s">
        <v>6391</v>
      </c>
      <c r="G2995" s="7" t="n">
        <v>2018</v>
      </c>
      <c r="H2995" s="7" t="s">
        <v>48</v>
      </c>
      <c r="I2995" s="7" t="s">
        <v>146</v>
      </c>
      <c r="J2995" s="7" t="s">
        <v>276</v>
      </c>
      <c r="K2995" s="7" t="n">
        <f aca="false">IFERROR(VALUE(RIGHT(TRIM(F2995),4)),"")</f>
        <v>2018</v>
      </c>
      <c r="L2995" s="7" t="str">
        <f aca="false">IF(TRIM(E2995)="","Unknown",IFERROR(LEFT(TRIM(E2995),FIND(",",TRIM(E2995))-1),TRIM(E2995)))</f>
        <v>United States</v>
      </c>
      <c r="M2995" s="7" t="str">
        <f aca="false">IFERROR(LEFT(J2995,FIND(",",J2995)-1),J2995)</f>
        <v>Action &amp; Adventure</v>
      </c>
      <c r="N2995" s="7" t="n">
        <f aca="false">IF(B2995="Movie",IFERROR(VALUE(LEFT(I2995,FIND(" ",I2995)-1)),""),"")</f>
        <v>113</v>
      </c>
      <c r="O2995" s="7" t="str">
        <f aca="false">IF(B2995="TV Show",IFERROR(VALUE(LEFT(I2995,FIND(" ",I2995)-1)),""),"")</f>
        <v/>
      </c>
      <c r="P2995" s="7" t="n">
        <f aca="false">IF(K2995="","",K2995-G2995)</f>
        <v>0</v>
      </c>
    </row>
    <row r="2996" customFormat="false" ht="15" hidden="false" customHeight="false" outlineLevel="0" collapsed="false">
      <c r="A2996" s="7" t="n">
        <v>80214743</v>
      </c>
      <c r="B2996" s="7" t="s">
        <v>68</v>
      </c>
      <c r="C2996" s="7" t="s">
        <v>6394</v>
      </c>
      <c r="D2996" s="7" t="s">
        <v>6395</v>
      </c>
      <c r="E2996" s="7" t="s">
        <v>26</v>
      </c>
      <c r="F2996" s="7" t="s">
        <v>6391</v>
      </c>
      <c r="G2996" s="7" t="n">
        <v>2018</v>
      </c>
      <c r="H2996" s="7" t="s">
        <v>48</v>
      </c>
      <c r="I2996" s="7" t="s">
        <v>861</v>
      </c>
      <c r="J2996" s="7" t="s">
        <v>45</v>
      </c>
      <c r="K2996" s="7" t="n">
        <f aca="false">IFERROR(VALUE(RIGHT(TRIM(F2996),4)),"")</f>
        <v>2018</v>
      </c>
      <c r="L2996" s="7" t="str">
        <f aca="false">IF(TRIM(E2996)="","Unknown",IFERROR(LEFT(TRIM(E2996),FIND(",",TRIM(E2996))-1),TRIM(E2996)))</f>
        <v>United States</v>
      </c>
      <c r="M2996" s="7" t="str">
        <f aca="false">IFERROR(LEFT(J2996,FIND(",",J2996)-1),J2996)</f>
        <v>Stand-Up Comedy</v>
      </c>
      <c r="N2996" s="7" t="n">
        <f aca="false">IF(B2996="Movie",IFERROR(VALUE(LEFT(I2996,FIND(" ",I2996)-1)),""),"")</f>
        <v>71</v>
      </c>
      <c r="O2996" s="7" t="str">
        <f aca="false">IF(B2996="TV Show",IFERROR(VALUE(LEFT(I2996,FIND(" ",I2996)-1)),""),"")</f>
        <v/>
      </c>
      <c r="P2996" s="7" t="n">
        <f aca="false">IF(K2996="","",K2996-G2996)</f>
        <v>0</v>
      </c>
    </row>
    <row r="2997" customFormat="false" ht="15" hidden="false" customHeight="false" outlineLevel="0" collapsed="false">
      <c r="A2997" s="7" t="n">
        <v>70270773</v>
      </c>
      <c r="B2997" s="7" t="s">
        <v>68</v>
      </c>
      <c r="C2997" s="7" t="s">
        <v>6396</v>
      </c>
      <c r="D2997" s="7" t="s">
        <v>2161</v>
      </c>
      <c r="E2997" s="7" t="s">
        <v>26</v>
      </c>
      <c r="F2997" s="7" t="s">
        <v>6391</v>
      </c>
      <c r="G2997" s="7" t="n">
        <v>2013</v>
      </c>
      <c r="H2997" s="7" t="s">
        <v>51</v>
      </c>
      <c r="I2997" s="7" t="s">
        <v>421</v>
      </c>
      <c r="J2997" s="7" t="s">
        <v>45</v>
      </c>
      <c r="K2997" s="7" t="n">
        <f aca="false">IFERROR(VALUE(RIGHT(TRIM(F2997),4)),"")</f>
        <v>2018</v>
      </c>
      <c r="L2997" s="7" t="str">
        <f aca="false">IF(TRIM(E2997)="","Unknown",IFERROR(LEFT(TRIM(E2997),FIND(",",TRIM(E2997))-1),TRIM(E2997)))</f>
        <v>United States</v>
      </c>
      <c r="M2997" s="7" t="str">
        <f aca="false">IFERROR(LEFT(J2997,FIND(",",J2997)-1),J2997)</f>
        <v>Stand-Up Comedy</v>
      </c>
      <c r="N2997" s="7" t="n">
        <f aca="false">IF(B2997="Movie",IFERROR(VALUE(LEFT(I2997,FIND(" ",I2997)-1)),""),"")</f>
        <v>75</v>
      </c>
      <c r="O2997" s="7" t="str">
        <f aca="false">IF(B2997="TV Show",IFERROR(VALUE(LEFT(I2997,FIND(" ",I2997)-1)),""),"")</f>
        <v/>
      </c>
      <c r="P2997" s="7" t="n">
        <f aca="false">IF(K2997="","",K2997-G2997)</f>
        <v>5</v>
      </c>
    </row>
    <row r="2998" customFormat="false" ht="15" hidden="false" customHeight="false" outlineLevel="0" collapsed="false">
      <c r="A2998" s="7" t="n">
        <v>80991827</v>
      </c>
      <c r="B2998" s="7" t="s">
        <v>68</v>
      </c>
      <c r="C2998" s="7" t="s">
        <v>6397</v>
      </c>
      <c r="D2998" s="7" t="s">
        <v>6398</v>
      </c>
      <c r="E2998" s="7" t="s">
        <v>34</v>
      </c>
      <c r="F2998" s="7" t="s">
        <v>6391</v>
      </c>
      <c r="G2998" s="7" t="n">
        <v>2018</v>
      </c>
      <c r="H2998" s="7" t="s">
        <v>48</v>
      </c>
      <c r="I2998" s="7" t="s">
        <v>421</v>
      </c>
      <c r="J2998" s="7" t="s">
        <v>2725</v>
      </c>
      <c r="K2998" s="7" t="n">
        <f aca="false">IFERROR(VALUE(RIGHT(TRIM(F2998),4)),"")</f>
        <v>2018</v>
      </c>
      <c r="L2998" s="7" t="str">
        <f aca="false">IF(TRIM(E2998)="","Unknown",IFERROR(LEFT(TRIM(E2998),FIND(",",TRIM(E2998))-1),TRIM(E2998)))</f>
        <v>Mexico</v>
      </c>
      <c r="M2998" s="7" t="str">
        <f aca="false">IFERROR(LEFT(J2998,FIND(",",J2998)-1),J2998)</f>
        <v>Horror Movies</v>
      </c>
      <c r="N2998" s="7" t="n">
        <f aca="false">IF(B2998="Movie",IFERROR(VALUE(LEFT(I2998,FIND(" ",I2998)-1)),""),"")</f>
        <v>75</v>
      </c>
      <c r="O2998" s="7" t="str">
        <f aca="false">IF(B2998="TV Show",IFERROR(VALUE(LEFT(I2998,FIND(" ",I2998)-1)),""),"")</f>
        <v/>
      </c>
      <c r="P2998" s="7" t="n">
        <f aca="false">IF(K2998="","",K2998-G2998)</f>
        <v>0</v>
      </c>
    </row>
    <row r="2999" customFormat="false" ht="15" hidden="false" customHeight="false" outlineLevel="0" collapsed="false">
      <c r="A2999" s="7" t="n">
        <v>70300666</v>
      </c>
      <c r="B2999" s="7" t="s">
        <v>68</v>
      </c>
      <c r="C2999" s="7" t="s">
        <v>6399</v>
      </c>
      <c r="D2999" s="7" t="s">
        <v>6400</v>
      </c>
      <c r="E2999" s="7" t="s">
        <v>26</v>
      </c>
      <c r="F2999" s="7" t="s">
        <v>6391</v>
      </c>
      <c r="G2999" s="7" t="n">
        <v>2014</v>
      </c>
      <c r="H2999" s="7" t="s">
        <v>52</v>
      </c>
      <c r="I2999" s="7" t="s">
        <v>451</v>
      </c>
      <c r="J2999" s="7" t="s">
        <v>2034</v>
      </c>
      <c r="K2999" s="7" t="n">
        <f aca="false">IFERROR(VALUE(RIGHT(TRIM(F2999),4)),"")</f>
        <v>2018</v>
      </c>
      <c r="L2999" s="7" t="str">
        <f aca="false">IF(TRIM(E2999)="","Unknown",IFERROR(LEFT(TRIM(E2999),FIND(",",TRIM(E2999))-1),TRIM(E2999)))</f>
        <v>United States</v>
      </c>
      <c r="M2999" s="7" t="str">
        <f aca="false">IFERROR(LEFT(J2999,FIND(",",J2999)-1),J2999)</f>
        <v>Sci-Fi &amp; Fantasy</v>
      </c>
      <c r="N2999" s="7" t="n">
        <f aca="false">IF(B2999="Movie",IFERROR(VALUE(LEFT(I2999,FIND(" ",I2999)-1)),""),"")</f>
        <v>97</v>
      </c>
      <c r="O2999" s="7" t="str">
        <f aca="false">IF(B2999="TV Show",IFERROR(VALUE(LEFT(I2999,FIND(" ",I2999)-1)),""),"")</f>
        <v/>
      </c>
      <c r="P2999" s="7" t="n">
        <f aca="false">IF(K2999="","",K2999-G2999)</f>
        <v>4</v>
      </c>
    </row>
    <row r="3000" customFormat="false" ht="15" hidden="false" customHeight="false" outlineLevel="0" collapsed="false">
      <c r="A3000" s="7" t="n">
        <v>80044126</v>
      </c>
      <c r="B3000" s="7" t="s">
        <v>68</v>
      </c>
      <c r="C3000" s="7" t="s">
        <v>6401</v>
      </c>
      <c r="D3000" s="7" t="s">
        <v>1151</v>
      </c>
      <c r="E3000" s="7" t="s">
        <v>26</v>
      </c>
      <c r="F3000" s="7" t="s">
        <v>6402</v>
      </c>
      <c r="G3000" s="7" t="n">
        <v>2014</v>
      </c>
      <c r="H3000" s="7" t="s">
        <v>48</v>
      </c>
      <c r="I3000" s="7" t="s">
        <v>1757</v>
      </c>
      <c r="J3000" s="7" t="s">
        <v>45</v>
      </c>
      <c r="K3000" s="7" t="n">
        <f aca="false">IFERROR(VALUE(RIGHT(TRIM(F3000),4)),"")</f>
        <v>2017</v>
      </c>
      <c r="L3000" s="7" t="str">
        <f aca="false">IF(TRIM(E3000)="","Unknown",IFERROR(LEFT(TRIM(E3000),FIND(",",TRIM(E3000))-1),TRIM(E3000)))</f>
        <v>United States</v>
      </c>
      <c r="M3000" s="7" t="str">
        <f aca="false">IFERROR(LEFT(J3000,FIND(",",J3000)-1),J3000)</f>
        <v>Stand-Up Comedy</v>
      </c>
      <c r="N3000" s="7" t="n">
        <f aca="false">IF(B3000="Movie",IFERROR(VALUE(LEFT(I3000,FIND(" ",I3000)-1)),""),"")</f>
        <v>59</v>
      </c>
      <c r="O3000" s="7" t="str">
        <f aca="false">IF(B3000="TV Show",IFERROR(VALUE(LEFT(I3000,FIND(" ",I3000)-1)),""),"")</f>
        <v/>
      </c>
      <c r="P3000" s="7" t="n">
        <f aca="false">IF(K3000="","",K3000-G3000)</f>
        <v>3</v>
      </c>
    </row>
    <row r="3001" customFormat="false" ht="15" hidden="false" customHeight="false" outlineLevel="0" collapsed="false">
      <c r="A3001" s="7" t="n">
        <v>80148179</v>
      </c>
      <c r="B3001" s="7" t="s">
        <v>68</v>
      </c>
      <c r="C3001" s="7" t="s">
        <v>6403</v>
      </c>
      <c r="D3001" s="7" t="s">
        <v>6404</v>
      </c>
      <c r="E3001" s="7" t="s">
        <v>28</v>
      </c>
      <c r="F3001" s="7" t="s">
        <v>6402</v>
      </c>
      <c r="G3001" s="7" t="n">
        <v>2015</v>
      </c>
      <c r="H3001" s="7" t="s">
        <v>48</v>
      </c>
      <c r="I3001" s="7" t="s">
        <v>87</v>
      </c>
      <c r="J3001" s="7" t="s">
        <v>39</v>
      </c>
      <c r="K3001" s="7" t="n">
        <f aca="false">IFERROR(VALUE(RIGHT(TRIM(F3001),4)),"")</f>
        <v>2017</v>
      </c>
      <c r="L3001" s="7" t="str">
        <f aca="false">IF(TRIM(E3001)="","Unknown",IFERROR(LEFT(TRIM(E3001),FIND(",",TRIM(E3001))-1),TRIM(E3001)))</f>
        <v>United Kingdom</v>
      </c>
      <c r="M3001" s="7" t="str">
        <f aca="false">IFERROR(LEFT(J3001,FIND(",",J3001)-1),J3001)</f>
        <v>Documentaries</v>
      </c>
      <c r="N3001" s="7" t="n">
        <f aca="false">IF(B3001="Movie",IFERROR(VALUE(LEFT(I3001,FIND(" ",I3001)-1)),""),"")</f>
        <v>99</v>
      </c>
      <c r="O3001" s="7" t="str">
        <f aca="false">IF(B3001="TV Show",IFERROR(VALUE(LEFT(I3001,FIND(" ",I3001)-1)),""),"")</f>
        <v/>
      </c>
      <c r="P3001" s="7" t="n">
        <f aca="false">IF(K3001="","",K3001-G3001)</f>
        <v>2</v>
      </c>
    </row>
    <row r="3002" customFormat="false" ht="15" hidden="false" customHeight="false" outlineLevel="0" collapsed="false">
      <c r="A3002" s="7" t="n">
        <v>70301023</v>
      </c>
      <c r="B3002" s="7" t="s">
        <v>68</v>
      </c>
      <c r="C3002" s="7" t="s">
        <v>6405</v>
      </c>
      <c r="D3002" s="7" t="s">
        <v>1151</v>
      </c>
      <c r="E3002" s="7" t="s">
        <v>26</v>
      </c>
      <c r="F3002" s="7" t="s">
        <v>6402</v>
      </c>
      <c r="G3002" s="7" t="n">
        <v>2014</v>
      </c>
      <c r="H3002" s="7" t="s">
        <v>48</v>
      </c>
      <c r="I3002" s="7" t="s">
        <v>1221</v>
      </c>
      <c r="J3002" s="7" t="s">
        <v>45</v>
      </c>
      <c r="K3002" s="7" t="n">
        <f aca="false">IFERROR(VALUE(RIGHT(TRIM(F3002),4)),"")</f>
        <v>2017</v>
      </c>
      <c r="L3002" s="7" t="str">
        <f aca="false">IF(TRIM(E3002)="","Unknown",IFERROR(LEFT(TRIM(E3002),FIND(",",TRIM(E3002))-1),TRIM(E3002)))</f>
        <v>United States</v>
      </c>
      <c r="M3002" s="7" t="str">
        <f aca="false">IFERROR(LEFT(J3002,FIND(",",J3002)-1),J3002)</f>
        <v>Stand-Up Comedy</v>
      </c>
      <c r="N3002" s="7" t="n">
        <f aca="false">IF(B3002="Movie",IFERROR(VALUE(LEFT(I3002,FIND(" ",I3002)-1)),""),"")</f>
        <v>74</v>
      </c>
      <c r="O3002" s="7" t="str">
        <f aca="false">IF(B3002="TV Show",IFERROR(VALUE(LEFT(I3002,FIND(" ",I3002)-1)),""),"")</f>
        <v/>
      </c>
      <c r="P3002" s="7" t="n">
        <f aca="false">IF(K3002="","",K3002-G3002)</f>
        <v>3</v>
      </c>
    </row>
    <row r="3003" customFormat="false" ht="15" hidden="false" customHeight="false" outlineLevel="0" collapsed="false">
      <c r="A3003" s="7" t="n">
        <v>80221109</v>
      </c>
      <c r="B3003" s="7" t="s">
        <v>68</v>
      </c>
      <c r="C3003" s="7" t="s">
        <v>6406</v>
      </c>
      <c r="D3003" s="7" t="s">
        <v>6407</v>
      </c>
      <c r="E3003" s="7" t="s">
        <v>33</v>
      </c>
      <c r="F3003" s="7" t="s">
        <v>6408</v>
      </c>
      <c r="G3003" s="7" t="n">
        <v>2019</v>
      </c>
      <c r="H3003" s="7" t="s">
        <v>48</v>
      </c>
      <c r="I3003" s="7" t="s">
        <v>820</v>
      </c>
      <c r="J3003" s="7" t="s">
        <v>198</v>
      </c>
      <c r="K3003" s="7" t="n">
        <f aca="false">IFERROR(VALUE(RIGHT(TRIM(F3003),4)),"")</f>
        <v>2019</v>
      </c>
      <c r="L3003" s="7" t="str">
        <f aca="false">IF(TRIM(E3003)="","Unknown",IFERROR(LEFT(TRIM(E3003),FIND(",",TRIM(E3003))-1),TRIM(E3003)))</f>
        <v>Spain</v>
      </c>
      <c r="M3003" s="7" t="str">
        <f aca="false">IFERROR(LEFT(J3003,FIND(",",J3003)-1),J3003)</f>
        <v>Comedies</v>
      </c>
      <c r="N3003" s="7" t="n">
        <f aca="false">IF(B3003="Movie",IFERROR(VALUE(LEFT(I3003,FIND(" ",I3003)-1)),""),"")</f>
        <v>105</v>
      </c>
      <c r="O3003" s="7" t="str">
        <f aca="false">IF(B3003="TV Show",IFERROR(VALUE(LEFT(I3003,FIND(" ",I3003)-1)),""),"")</f>
        <v/>
      </c>
      <c r="P3003" s="7" t="n">
        <f aca="false">IF(K3003="","",K3003-G3003)</f>
        <v>0</v>
      </c>
    </row>
    <row r="3004" customFormat="false" ht="15" hidden="false" customHeight="false" outlineLevel="0" collapsed="false">
      <c r="A3004" s="7" t="n">
        <v>80221942</v>
      </c>
      <c r="B3004" s="7" t="s">
        <v>78</v>
      </c>
      <c r="C3004" s="7" t="s">
        <v>6409</v>
      </c>
      <c r="E3004" s="7" t="s">
        <v>28</v>
      </c>
      <c r="F3004" s="7" t="s">
        <v>6408</v>
      </c>
      <c r="G3004" s="7" t="n">
        <v>2017</v>
      </c>
      <c r="H3004" s="7" t="s">
        <v>48</v>
      </c>
      <c r="I3004" s="7" t="s">
        <v>82</v>
      </c>
      <c r="J3004" s="7" t="s">
        <v>6410</v>
      </c>
      <c r="K3004" s="7" t="n">
        <f aca="false">IFERROR(VALUE(RIGHT(TRIM(F3004),4)),"")</f>
        <v>2019</v>
      </c>
      <c r="L3004" s="7" t="str">
        <f aca="false">IF(TRIM(E3004)="","Unknown",IFERROR(LEFT(TRIM(E3004),FIND(",",TRIM(E3004))-1),TRIM(E3004)))</f>
        <v>United Kingdom</v>
      </c>
      <c r="M3004" s="7" t="str">
        <f aca="false">IFERROR(LEFT(J3004,FIND(",",J3004)-1),J3004)</f>
        <v>British TV Shows</v>
      </c>
      <c r="N3004" s="7" t="str">
        <f aca="false">IF(B3004="Movie",IFERROR(VALUE(LEFT(I3004,FIND(" ",I3004)-1)),""),"")</f>
        <v/>
      </c>
      <c r="O3004" s="7" t="n">
        <f aca="false">IF(B3004="TV Show",IFERROR(VALUE(LEFT(I3004,FIND(" ",I3004)-1)),""),"")</f>
        <v>1</v>
      </c>
      <c r="P3004" s="7" t="n">
        <f aca="false">IF(K3004="","",K3004-G3004)</f>
        <v>2</v>
      </c>
    </row>
    <row r="3005" customFormat="false" ht="15" hidden="false" customHeight="false" outlineLevel="0" collapsed="false">
      <c r="A3005" s="7" t="n">
        <v>80221943</v>
      </c>
      <c r="B3005" s="7" t="s">
        <v>78</v>
      </c>
      <c r="C3005" s="7" t="s">
        <v>6411</v>
      </c>
      <c r="E3005" s="7" t="s">
        <v>28</v>
      </c>
      <c r="F3005" s="7" t="s">
        <v>6408</v>
      </c>
      <c r="G3005" s="7" t="n">
        <v>2014</v>
      </c>
      <c r="H3005" s="7" t="s">
        <v>50</v>
      </c>
      <c r="I3005" s="7" t="s">
        <v>82</v>
      </c>
      <c r="J3005" s="7" t="s">
        <v>306</v>
      </c>
      <c r="K3005" s="7" t="n">
        <f aca="false">IFERROR(VALUE(RIGHT(TRIM(F3005),4)),"")</f>
        <v>2019</v>
      </c>
      <c r="L3005" s="7" t="str">
        <f aca="false">IF(TRIM(E3005)="","Unknown",IFERROR(LEFT(TRIM(E3005),FIND(",",TRIM(E3005))-1),TRIM(E3005)))</f>
        <v>United Kingdom</v>
      </c>
      <c r="M3005" s="7" t="str">
        <f aca="false">IFERROR(LEFT(J3005,FIND(",",J3005)-1),J3005)</f>
        <v>British TV Shows</v>
      </c>
      <c r="N3005" s="7" t="str">
        <f aca="false">IF(B3005="Movie",IFERROR(VALUE(LEFT(I3005,FIND(" ",I3005)-1)),""),"")</f>
        <v/>
      </c>
      <c r="O3005" s="7" t="n">
        <f aca="false">IF(B3005="TV Show",IFERROR(VALUE(LEFT(I3005,FIND(" ",I3005)-1)),""),"")</f>
        <v>1</v>
      </c>
      <c r="P3005" s="7" t="n">
        <f aca="false">IF(K3005="","",K3005-G3005)</f>
        <v>5</v>
      </c>
    </row>
    <row r="3006" customFormat="false" ht="15" hidden="false" customHeight="false" outlineLevel="0" collapsed="false">
      <c r="A3006" s="7" t="n">
        <v>81145271</v>
      </c>
      <c r="B3006" s="7" t="s">
        <v>68</v>
      </c>
      <c r="C3006" s="7" t="s">
        <v>6412</v>
      </c>
      <c r="D3006" s="7" t="s">
        <v>6413</v>
      </c>
      <c r="E3006" s="7" t="s">
        <v>26</v>
      </c>
      <c r="F3006" s="7" t="s">
        <v>6408</v>
      </c>
      <c r="G3006" s="7" t="n">
        <v>2019</v>
      </c>
      <c r="H3006" s="7" t="s">
        <v>48</v>
      </c>
      <c r="I3006" s="7" t="s">
        <v>143</v>
      </c>
      <c r="J3006" s="7" t="s">
        <v>37</v>
      </c>
      <c r="K3006" s="7" t="n">
        <f aca="false">IFERROR(VALUE(RIGHT(TRIM(F3006),4)),"")</f>
        <v>2019</v>
      </c>
      <c r="L3006" s="7" t="str">
        <f aca="false">IF(TRIM(E3006)="","Unknown",IFERROR(LEFT(TRIM(E3006),FIND(",",TRIM(E3006))-1),TRIM(E3006)))</f>
        <v>United States</v>
      </c>
      <c r="M3006" s="7" t="str">
        <f aca="false">IFERROR(LEFT(J3006,FIND(",",J3006)-1),J3006)</f>
        <v>Dramas</v>
      </c>
      <c r="N3006" s="7" t="n">
        <f aca="false">IF(B3006="Movie",IFERROR(VALUE(LEFT(I3006,FIND(" ",I3006)-1)),""),"")</f>
        <v>79</v>
      </c>
      <c r="O3006" s="7" t="str">
        <f aca="false">IF(B3006="TV Show",IFERROR(VALUE(LEFT(I3006,FIND(" ",I3006)-1)),""),"")</f>
        <v/>
      </c>
      <c r="P3006" s="7" t="n">
        <f aca="false">IF(K3006="","",K3006-G3006)</f>
        <v>0</v>
      </c>
    </row>
    <row r="3007" customFormat="false" ht="15" hidden="false" customHeight="false" outlineLevel="0" collapsed="false">
      <c r="A3007" s="7" t="n">
        <v>80215147</v>
      </c>
      <c r="B3007" s="7" t="s">
        <v>78</v>
      </c>
      <c r="C3007" s="7" t="s">
        <v>6414</v>
      </c>
      <c r="E3007" s="7" t="s">
        <v>29</v>
      </c>
      <c r="F3007" s="7" t="s">
        <v>6408</v>
      </c>
      <c r="G3007" s="7" t="n">
        <v>2019</v>
      </c>
      <c r="H3007" s="7" t="s">
        <v>50</v>
      </c>
      <c r="I3007" s="7" t="s">
        <v>82</v>
      </c>
      <c r="J3007" s="7" t="s">
        <v>884</v>
      </c>
      <c r="K3007" s="7" t="n">
        <f aca="false">IFERROR(VALUE(RIGHT(TRIM(F3007),4)),"")</f>
        <v>2019</v>
      </c>
      <c r="L3007" s="7" t="str">
        <f aca="false">IF(TRIM(E3007)="","Unknown",IFERROR(LEFT(TRIM(E3007),FIND(",",TRIM(E3007))-1),TRIM(E3007)))</f>
        <v>Canada</v>
      </c>
      <c r="M3007" s="7" t="str">
        <f aca="false">IFERROR(LEFT(J3007,FIND(",",J3007)-1),J3007)</f>
        <v>International TV Shows</v>
      </c>
      <c r="N3007" s="7" t="str">
        <f aca="false">IF(B3007="Movie",IFERROR(VALUE(LEFT(I3007,FIND(" ",I3007)-1)),""),"")</f>
        <v/>
      </c>
      <c r="O3007" s="7" t="n">
        <f aca="false">IF(B3007="TV Show",IFERROR(VALUE(LEFT(I3007,FIND(" ",I3007)-1)),""),"")</f>
        <v>1</v>
      </c>
      <c r="P3007" s="7" t="n">
        <f aca="false">IF(K3007="","",K3007-G3007)</f>
        <v>0</v>
      </c>
    </row>
    <row r="3008" customFormat="false" ht="15" hidden="false" customHeight="false" outlineLevel="0" collapsed="false">
      <c r="A3008" s="7" t="n">
        <v>81024041</v>
      </c>
      <c r="B3008" s="7" t="s">
        <v>68</v>
      </c>
      <c r="C3008" s="7" t="s">
        <v>6415</v>
      </c>
      <c r="D3008" s="7" t="s">
        <v>6416</v>
      </c>
      <c r="E3008" s="7" t="s">
        <v>6417</v>
      </c>
      <c r="F3008" s="7" t="s">
        <v>6408</v>
      </c>
      <c r="G3008" s="7" t="n">
        <v>2018</v>
      </c>
      <c r="H3008" s="7" t="s">
        <v>48</v>
      </c>
      <c r="I3008" s="7" t="s">
        <v>173</v>
      </c>
      <c r="J3008" s="7" t="s">
        <v>188</v>
      </c>
      <c r="K3008" s="7" t="n">
        <f aca="false">IFERROR(VALUE(RIGHT(TRIM(F3008),4)),"")</f>
        <v>2019</v>
      </c>
      <c r="L3008" s="7" t="str">
        <f aca="false">IF(TRIM(E3008)="","Unknown",IFERROR(LEFT(TRIM(E3008),FIND(",",TRIM(E3008))-1),TRIM(E3008)))</f>
        <v>Taiwan</v>
      </c>
      <c r="M3008" s="7" t="str">
        <f aca="false">IFERROR(LEFT(J3008,FIND(",",J3008)-1),J3008)</f>
        <v>Dramas</v>
      </c>
      <c r="N3008" s="7" t="n">
        <f aca="false">IF(B3008="Movie",IFERROR(VALUE(LEFT(I3008,FIND(" ",I3008)-1)),""),"")</f>
        <v>106</v>
      </c>
      <c r="O3008" s="7" t="str">
        <f aca="false">IF(B3008="TV Show",IFERROR(VALUE(LEFT(I3008,FIND(" ",I3008)-1)),""),"")</f>
        <v/>
      </c>
      <c r="P3008" s="7" t="n">
        <f aca="false">IF(K3008="","",K3008-G3008)</f>
        <v>1</v>
      </c>
    </row>
    <row r="3009" customFormat="false" ht="15" hidden="false" customHeight="false" outlineLevel="0" collapsed="false">
      <c r="A3009" s="7" t="n">
        <v>80222071</v>
      </c>
      <c r="B3009" s="7" t="s">
        <v>78</v>
      </c>
      <c r="C3009" s="7" t="s">
        <v>6418</v>
      </c>
      <c r="E3009" s="7" t="s">
        <v>28</v>
      </c>
      <c r="F3009" s="7" t="s">
        <v>6408</v>
      </c>
      <c r="G3009" s="7" t="n">
        <v>2016</v>
      </c>
      <c r="H3009" s="7" t="s">
        <v>49</v>
      </c>
      <c r="I3009" s="7" t="s">
        <v>82</v>
      </c>
      <c r="J3009" s="7" t="s">
        <v>668</v>
      </c>
      <c r="K3009" s="7" t="n">
        <f aca="false">IFERROR(VALUE(RIGHT(TRIM(F3009),4)),"")</f>
        <v>2019</v>
      </c>
      <c r="L3009" s="7" t="str">
        <f aca="false">IF(TRIM(E3009)="","Unknown",IFERROR(LEFT(TRIM(E3009),FIND(",",TRIM(E3009))-1),TRIM(E3009)))</f>
        <v>United Kingdom</v>
      </c>
      <c r="M3009" s="7" t="str">
        <f aca="false">IFERROR(LEFT(J3009,FIND(",",J3009)-1),J3009)</f>
        <v>British TV Shows</v>
      </c>
      <c r="N3009" s="7" t="str">
        <f aca="false">IF(B3009="Movie",IFERROR(VALUE(LEFT(I3009,FIND(" ",I3009)-1)),""),"")</f>
        <v/>
      </c>
      <c r="O3009" s="7" t="n">
        <f aca="false">IF(B3009="TV Show",IFERROR(VALUE(LEFT(I3009,FIND(" ",I3009)-1)),""),"")</f>
        <v>1</v>
      </c>
      <c r="P3009" s="7" t="n">
        <f aca="false">IF(K3009="","",K3009-G3009)</f>
        <v>3</v>
      </c>
    </row>
    <row r="3010" customFormat="false" ht="15" hidden="false" customHeight="false" outlineLevel="0" collapsed="false">
      <c r="A3010" s="7" t="n">
        <v>80210245</v>
      </c>
      <c r="B3010" s="7" t="s">
        <v>78</v>
      </c>
      <c r="C3010" s="7" t="s">
        <v>6419</v>
      </c>
      <c r="F3010" s="7" t="s">
        <v>6408</v>
      </c>
      <c r="G3010" s="7" t="n">
        <v>2019</v>
      </c>
      <c r="H3010" s="7" t="s">
        <v>48</v>
      </c>
      <c r="I3010" s="7" t="s">
        <v>82</v>
      </c>
      <c r="J3010" s="7" t="s">
        <v>884</v>
      </c>
      <c r="K3010" s="7" t="n">
        <f aca="false">IFERROR(VALUE(RIGHT(TRIM(F3010),4)),"")</f>
        <v>2019</v>
      </c>
      <c r="L3010" s="7" t="str">
        <f aca="false">IF(TRIM(E3010)="","Unknown",IFERROR(LEFT(TRIM(E3010),FIND(",",TRIM(E3010))-1),TRIM(E3010)))</f>
        <v>Unknown</v>
      </c>
      <c r="M3010" s="7" t="str">
        <f aca="false">IFERROR(LEFT(J3010,FIND(",",J3010)-1),J3010)</f>
        <v>International TV Shows</v>
      </c>
      <c r="N3010" s="7" t="str">
        <f aca="false">IF(B3010="Movie",IFERROR(VALUE(LEFT(I3010,FIND(" ",I3010)-1)),""),"")</f>
        <v/>
      </c>
      <c r="O3010" s="7" t="n">
        <f aca="false">IF(B3010="TV Show",IFERROR(VALUE(LEFT(I3010,FIND(" ",I3010)-1)),""),"")</f>
        <v>1</v>
      </c>
      <c r="P3010" s="7" t="n">
        <f aca="false">IF(K3010="","",K3010-G3010)</f>
        <v>0</v>
      </c>
    </row>
    <row r="3011" customFormat="false" ht="15" hidden="false" customHeight="false" outlineLevel="0" collapsed="false">
      <c r="A3011" s="7" t="n">
        <v>80224312</v>
      </c>
      <c r="B3011" s="7" t="s">
        <v>78</v>
      </c>
      <c r="C3011" s="7" t="s">
        <v>6420</v>
      </c>
      <c r="E3011" s="7" t="s">
        <v>35</v>
      </c>
      <c r="F3011" s="7" t="s">
        <v>6408</v>
      </c>
      <c r="G3011" s="7" t="n">
        <v>2016</v>
      </c>
      <c r="H3011" s="7" t="s">
        <v>50</v>
      </c>
      <c r="I3011" s="7" t="s">
        <v>82</v>
      </c>
      <c r="J3011" s="7" t="s">
        <v>1122</v>
      </c>
      <c r="K3011" s="7" t="n">
        <f aca="false">IFERROR(VALUE(RIGHT(TRIM(F3011),4)),"")</f>
        <v>2019</v>
      </c>
      <c r="L3011" s="7" t="str">
        <f aca="false">IF(TRIM(E3011)="","Unknown",IFERROR(LEFT(TRIM(E3011),FIND(",",TRIM(E3011))-1),TRIM(E3011)))</f>
        <v>Australia</v>
      </c>
      <c r="M3011" s="7" t="str">
        <f aca="false">IFERROR(LEFT(J3011,FIND(",",J3011)-1),J3011)</f>
        <v>British TV Shows</v>
      </c>
      <c r="N3011" s="7" t="str">
        <f aca="false">IF(B3011="Movie",IFERROR(VALUE(LEFT(I3011,FIND(" ",I3011)-1)),""),"")</f>
        <v/>
      </c>
      <c r="O3011" s="7" t="n">
        <f aca="false">IF(B3011="TV Show",IFERROR(VALUE(LEFT(I3011,FIND(" ",I3011)-1)),""),"")</f>
        <v>1</v>
      </c>
      <c r="P3011" s="7" t="n">
        <f aca="false">IF(K3011="","",K3011-G3011)</f>
        <v>3</v>
      </c>
    </row>
    <row r="3012" customFormat="false" ht="15" hidden="false" customHeight="false" outlineLevel="0" collapsed="false">
      <c r="A3012" s="7" t="n">
        <v>81044248</v>
      </c>
      <c r="B3012" s="7" t="s">
        <v>68</v>
      </c>
      <c r="C3012" s="7" t="s">
        <v>6421</v>
      </c>
      <c r="D3012" s="7" t="s">
        <v>6422</v>
      </c>
      <c r="E3012" s="7" t="s">
        <v>1081</v>
      </c>
      <c r="F3012" s="7" t="s">
        <v>6408</v>
      </c>
      <c r="G3012" s="7" t="n">
        <v>2019</v>
      </c>
      <c r="H3012" s="7" t="s">
        <v>48</v>
      </c>
      <c r="I3012" s="7" t="s">
        <v>73</v>
      </c>
      <c r="J3012" s="7" t="s">
        <v>182</v>
      </c>
      <c r="K3012" s="7" t="n">
        <f aca="false">IFERROR(VALUE(RIGHT(TRIM(F3012),4)),"")</f>
        <v>2019</v>
      </c>
      <c r="L3012" s="7" t="str">
        <f aca="false">IF(TRIM(E3012)="","Unknown",IFERROR(LEFT(TRIM(E3012),FIND(",",TRIM(E3012))-1),TRIM(E3012)))</f>
        <v>Germany</v>
      </c>
      <c r="M3012" s="7" t="str">
        <f aca="false">IFERROR(LEFT(J3012,FIND(",",J3012)-1),J3012)</f>
        <v>Dramas</v>
      </c>
      <c r="N3012" s="7" t="n">
        <f aca="false">IF(B3012="Movie",IFERROR(VALUE(LEFT(I3012,FIND(" ",I3012)-1)),""),"")</f>
        <v>90</v>
      </c>
      <c r="O3012" s="7" t="str">
        <f aca="false">IF(B3012="TV Show",IFERROR(VALUE(LEFT(I3012,FIND(" ",I3012)-1)),""),"")</f>
        <v/>
      </c>
      <c r="P3012" s="7" t="n">
        <f aca="false">IF(K3012="","",K3012-G3012)</f>
        <v>0</v>
      </c>
    </row>
    <row r="3013" customFormat="false" ht="15" hidden="false" customHeight="false" outlineLevel="0" collapsed="false">
      <c r="A3013" s="7" t="n">
        <v>80191236</v>
      </c>
      <c r="B3013" s="7" t="s">
        <v>78</v>
      </c>
      <c r="C3013" s="7" t="s">
        <v>6423</v>
      </c>
      <c r="E3013" s="7" t="s">
        <v>34</v>
      </c>
      <c r="F3013" s="7" t="s">
        <v>6408</v>
      </c>
      <c r="G3013" s="7" t="n">
        <v>2018</v>
      </c>
      <c r="H3013" s="7" t="s">
        <v>48</v>
      </c>
      <c r="I3013" s="7" t="s">
        <v>82</v>
      </c>
      <c r="J3013" s="7" t="s">
        <v>824</v>
      </c>
      <c r="K3013" s="7" t="n">
        <f aca="false">IFERROR(VALUE(RIGHT(TRIM(F3013),4)),"")</f>
        <v>2019</v>
      </c>
      <c r="L3013" s="7" t="str">
        <f aca="false">IF(TRIM(E3013)="","Unknown",IFERROR(LEFT(TRIM(E3013),FIND(",",TRIM(E3013))-1),TRIM(E3013)))</f>
        <v>Mexico</v>
      </c>
      <c r="M3013" s="7" t="str">
        <f aca="false">IFERROR(LEFT(J3013,FIND(",",J3013)-1),J3013)</f>
        <v>International TV Shows</v>
      </c>
      <c r="N3013" s="7" t="str">
        <f aca="false">IF(B3013="Movie",IFERROR(VALUE(LEFT(I3013,FIND(" ",I3013)-1)),""),"")</f>
        <v/>
      </c>
      <c r="O3013" s="7" t="n">
        <f aca="false">IF(B3013="TV Show",IFERROR(VALUE(LEFT(I3013,FIND(" ",I3013)-1)),""),"")</f>
        <v>1</v>
      </c>
      <c r="P3013" s="7" t="n">
        <f aca="false">IF(K3013="","",K3013-G3013)</f>
        <v>1</v>
      </c>
    </row>
    <row r="3014" customFormat="false" ht="15" hidden="false" customHeight="false" outlineLevel="0" collapsed="false">
      <c r="A3014" s="7" t="n">
        <v>80224314</v>
      </c>
      <c r="B3014" s="7" t="s">
        <v>78</v>
      </c>
      <c r="C3014" s="7" t="s">
        <v>6424</v>
      </c>
      <c r="E3014" s="7" t="s">
        <v>28</v>
      </c>
      <c r="F3014" s="7" t="s">
        <v>6408</v>
      </c>
      <c r="G3014" s="7" t="n">
        <v>2013</v>
      </c>
      <c r="H3014" s="7" t="s">
        <v>226</v>
      </c>
      <c r="I3014" s="7" t="s">
        <v>82</v>
      </c>
      <c r="J3014" s="7" t="s">
        <v>306</v>
      </c>
      <c r="K3014" s="7" t="n">
        <f aca="false">IFERROR(VALUE(RIGHT(TRIM(F3014),4)),"")</f>
        <v>2019</v>
      </c>
      <c r="L3014" s="7" t="str">
        <f aca="false">IF(TRIM(E3014)="","Unknown",IFERROR(LEFT(TRIM(E3014),FIND(",",TRIM(E3014))-1),TRIM(E3014)))</f>
        <v>United Kingdom</v>
      </c>
      <c r="M3014" s="7" t="str">
        <f aca="false">IFERROR(LEFT(J3014,FIND(",",J3014)-1),J3014)</f>
        <v>British TV Shows</v>
      </c>
      <c r="N3014" s="7" t="str">
        <f aca="false">IF(B3014="Movie",IFERROR(VALUE(LEFT(I3014,FIND(" ",I3014)-1)),""),"")</f>
        <v/>
      </c>
      <c r="O3014" s="7" t="n">
        <f aca="false">IF(B3014="TV Show",IFERROR(VALUE(LEFT(I3014,FIND(" ",I3014)-1)),""),"")</f>
        <v>1</v>
      </c>
      <c r="P3014" s="7" t="n">
        <f aca="false">IF(K3014="","",K3014-G3014)</f>
        <v>6</v>
      </c>
    </row>
    <row r="3015" customFormat="false" ht="15" hidden="false" customHeight="false" outlineLevel="0" collapsed="false">
      <c r="A3015" s="7" t="n">
        <v>80224184</v>
      </c>
      <c r="B3015" s="7" t="s">
        <v>78</v>
      </c>
      <c r="C3015" s="7" t="s">
        <v>6425</v>
      </c>
      <c r="E3015" s="7" t="s">
        <v>35</v>
      </c>
      <c r="F3015" s="7" t="s">
        <v>6408</v>
      </c>
      <c r="G3015" s="7" t="n">
        <v>2012</v>
      </c>
      <c r="H3015" s="7" t="s">
        <v>50</v>
      </c>
      <c r="I3015" s="7" t="s">
        <v>82</v>
      </c>
      <c r="J3015" s="7" t="s">
        <v>701</v>
      </c>
      <c r="K3015" s="7" t="n">
        <f aca="false">IFERROR(VALUE(RIGHT(TRIM(F3015),4)),"")</f>
        <v>2019</v>
      </c>
      <c r="L3015" s="7" t="str">
        <f aca="false">IF(TRIM(E3015)="","Unknown",IFERROR(LEFT(TRIM(E3015),FIND(",",TRIM(E3015))-1),TRIM(E3015)))</f>
        <v>Australia</v>
      </c>
      <c r="M3015" s="7" t="str">
        <f aca="false">IFERROR(LEFT(J3015,FIND(",",J3015)-1),J3015)</f>
        <v>Reality TV</v>
      </c>
      <c r="N3015" s="7" t="str">
        <f aca="false">IF(B3015="Movie",IFERROR(VALUE(LEFT(I3015,FIND(" ",I3015)-1)),""),"")</f>
        <v/>
      </c>
      <c r="O3015" s="7" t="n">
        <f aca="false">IF(B3015="TV Show",IFERROR(VALUE(LEFT(I3015,FIND(" ",I3015)-1)),""),"")</f>
        <v>1</v>
      </c>
      <c r="P3015" s="7" t="n">
        <f aca="false">IF(K3015="","",K3015-G3015)</f>
        <v>7</v>
      </c>
    </row>
    <row r="3016" customFormat="false" ht="15" hidden="false" customHeight="false" outlineLevel="0" collapsed="false">
      <c r="A3016" s="7" t="n">
        <v>80224602</v>
      </c>
      <c r="B3016" s="7" t="s">
        <v>78</v>
      </c>
      <c r="C3016" s="7" t="s">
        <v>6426</v>
      </c>
      <c r="F3016" s="7" t="s">
        <v>6408</v>
      </c>
      <c r="G3016" s="7" t="n">
        <v>2015</v>
      </c>
      <c r="H3016" s="7" t="s">
        <v>50</v>
      </c>
      <c r="I3016" s="7" t="s">
        <v>82</v>
      </c>
      <c r="J3016" s="7" t="s">
        <v>716</v>
      </c>
      <c r="K3016" s="7" t="n">
        <f aca="false">IFERROR(VALUE(RIGHT(TRIM(F3016),4)),"")</f>
        <v>2019</v>
      </c>
      <c r="L3016" s="7" t="str">
        <f aca="false">IF(TRIM(E3016)="","Unknown",IFERROR(LEFT(TRIM(E3016),FIND(",",TRIM(E3016))-1),TRIM(E3016)))</f>
        <v>Unknown</v>
      </c>
      <c r="M3016" s="7" t="str">
        <f aca="false">IFERROR(LEFT(J3016,FIND(",",J3016)-1),J3016)</f>
        <v>British TV Shows</v>
      </c>
      <c r="N3016" s="7" t="str">
        <f aca="false">IF(B3016="Movie",IFERROR(VALUE(LEFT(I3016,FIND(" ",I3016)-1)),""),"")</f>
        <v/>
      </c>
      <c r="O3016" s="7" t="n">
        <f aca="false">IF(B3016="TV Show",IFERROR(VALUE(LEFT(I3016,FIND(" ",I3016)-1)),""),"")</f>
        <v>1</v>
      </c>
      <c r="P3016" s="7" t="n">
        <f aca="false">IF(K3016="","",K3016-G3016)</f>
        <v>4</v>
      </c>
    </row>
    <row r="3017" customFormat="false" ht="15" hidden="false" customHeight="false" outlineLevel="0" collapsed="false">
      <c r="A3017" s="7" t="n">
        <v>81094069</v>
      </c>
      <c r="B3017" s="7" t="s">
        <v>78</v>
      </c>
      <c r="C3017" s="7" t="s">
        <v>6427</v>
      </c>
      <c r="E3017" s="7" t="s">
        <v>32</v>
      </c>
      <c r="F3017" s="7" t="s">
        <v>6408</v>
      </c>
      <c r="G3017" s="7" t="n">
        <v>2019</v>
      </c>
      <c r="H3017" s="7" t="s">
        <v>49</v>
      </c>
      <c r="I3017" s="7" t="s">
        <v>82</v>
      </c>
      <c r="J3017" s="7" t="s">
        <v>637</v>
      </c>
      <c r="K3017" s="7" t="n">
        <f aca="false">IFERROR(VALUE(RIGHT(TRIM(F3017),4)),"")</f>
        <v>2019</v>
      </c>
      <c r="L3017" s="7" t="str">
        <f aca="false">IF(TRIM(E3017)="","Unknown",IFERROR(LEFT(TRIM(E3017),FIND(",",TRIM(E3017))-1),TRIM(E3017)))</f>
        <v>South Korea</v>
      </c>
      <c r="M3017" s="7" t="str">
        <f aca="false">IFERROR(LEFT(J3017,FIND(",",J3017)-1),J3017)</f>
        <v>International TV Shows</v>
      </c>
      <c r="N3017" s="7" t="str">
        <f aca="false">IF(B3017="Movie",IFERROR(VALUE(LEFT(I3017,FIND(" ",I3017)-1)),""),"")</f>
        <v/>
      </c>
      <c r="O3017" s="7" t="n">
        <f aca="false">IF(B3017="TV Show",IFERROR(VALUE(LEFT(I3017,FIND(" ",I3017)-1)),""),"")</f>
        <v>1</v>
      </c>
      <c r="P3017" s="7" t="n">
        <f aca="false">IF(K3017="","",K3017-G3017)</f>
        <v>0</v>
      </c>
    </row>
    <row r="3018" customFormat="false" ht="15" hidden="false" customHeight="false" outlineLevel="0" collapsed="false">
      <c r="A3018" s="7" t="n">
        <v>81094893</v>
      </c>
      <c r="B3018" s="7" t="s">
        <v>78</v>
      </c>
      <c r="C3018" s="7" t="s">
        <v>6428</v>
      </c>
      <c r="F3018" s="7" t="s">
        <v>6408</v>
      </c>
      <c r="G3018" s="7" t="n">
        <v>2019</v>
      </c>
      <c r="H3018" s="7" t="s">
        <v>49</v>
      </c>
      <c r="I3018" s="7" t="s">
        <v>82</v>
      </c>
      <c r="J3018" s="7" t="s">
        <v>6429</v>
      </c>
      <c r="K3018" s="7" t="n">
        <f aca="false">IFERROR(VALUE(RIGHT(TRIM(F3018),4)),"")</f>
        <v>2019</v>
      </c>
      <c r="L3018" s="7" t="str">
        <f aca="false">IF(TRIM(E3018)="","Unknown",IFERROR(LEFT(TRIM(E3018),FIND(",",TRIM(E3018))-1),TRIM(E3018)))</f>
        <v>Unknown</v>
      </c>
      <c r="M3018" s="7" t="str">
        <f aca="false">IFERROR(LEFT(J3018,FIND(",",J3018)-1),J3018)</f>
        <v>International TV Shows</v>
      </c>
      <c r="N3018" s="7" t="str">
        <f aca="false">IF(B3018="Movie",IFERROR(VALUE(LEFT(I3018,FIND(" ",I3018)-1)),""),"")</f>
        <v/>
      </c>
      <c r="O3018" s="7" t="n">
        <f aca="false">IF(B3018="TV Show",IFERROR(VALUE(LEFT(I3018,FIND(" ",I3018)-1)),""),"")</f>
        <v>1</v>
      </c>
      <c r="P3018" s="7" t="n">
        <f aca="false">IF(K3018="","",K3018-G3018)</f>
        <v>0</v>
      </c>
    </row>
    <row r="3019" customFormat="false" ht="15" hidden="false" customHeight="false" outlineLevel="0" collapsed="false">
      <c r="A3019" s="7" t="n">
        <v>80221677</v>
      </c>
      <c r="B3019" s="7" t="s">
        <v>68</v>
      </c>
      <c r="C3019" s="7" t="s">
        <v>6430</v>
      </c>
      <c r="D3019" s="7" t="s">
        <v>6431</v>
      </c>
      <c r="E3019" s="7" t="s">
        <v>949</v>
      </c>
      <c r="F3019" s="7" t="s">
        <v>6408</v>
      </c>
      <c r="G3019" s="7" t="n">
        <v>2019</v>
      </c>
      <c r="H3019" s="7" t="s">
        <v>48</v>
      </c>
      <c r="I3019" s="7" t="s">
        <v>494</v>
      </c>
      <c r="J3019" s="7" t="s">
        <v>40</v>
      </c>
      <c r="K3019" s="7" t="n">
        <f aca="false">IFERROR(VALUE(RIGHT(TRIM(F3019),4)),"")</f>
        <v>2019</v>
      </c>
      <c r="L3019" s="7" t="str">
        <f aca="false">IF(TRIM(E3019)="","Unknown",IFERROR(LEFT(TRIM(E3019),FIND(",",TRIM(E3019))-1),TRIM(E3019)))</f>
        <v>France</v>
      </c>
      <c r="M3019" s="7" t="str">
        <f aca="false">IFERROR(LEFT(J3019,FIND(",",J3019)-1),J3019)</f>
        <v>Action &amp; Adventure</v>
      </c>
      <c r="N3019" s="7" t="n">
        <f aca="false">IF(B3019="Movie",IFERROR(VALUE(LEFT(I3019,FIND(" ",I3019)-1)),""),"")</f>
        <v>87</v>
      </c>
      <c r="O3019" s="7" t="str">
        <f aca="false">IF(B3019="TV Show",IFERROR(VALUE(LEFT(I3019,FIND(" ",I3019)-1)),""),"")</f>
        <v/>
      </c>
      <c r="P3019" s="7" t="n">
        <f aca="false">IF(K3019="","",K3019-G3019)</f>
        <v>0</v>
      </c>
    </row>
    <row r="3020" customFormat="false" ht="15" hidden="false" customHeight="false" outlineLevel="0" collapsed="false">
      <c r="A3020" s="7" t="n">
        <v>70084221</v>
      </c>
      <c r="B3020" s="7" t="s">
        <v>68</v>
      </c>
      <c r="C3020" s="7" t="s">
        <v>6432</v>
      </c>
      <c r="D3020" s="7" t="s">
        <v>6433</v>
      </c>
      <c r="E3020" s="7" t="s">
        <v>26</v>
      </c>
      <c r="F3020" s="7" t="s">
        <v>6408</v>
      </c>
      <c r="G3020" s="7" t="n">
        <v>2008</v>
      </c>
      <c r="H3020" s="7" t="s">
        <v>51</v>
      </c>
      <c r="I3020" s="7" t="s">
        <v>111</v>
      </c>
      <c r="J3020" s="7" t="s">
        <v>198</v>
      </c>
      <c r="K3020" s="7" t="n">
        <f aca="false">IFERROR(VALUE(RIGHT(TRIM(F3020),4)),"")</f>
        <v>2019</v>
      </c>
      <c r="L3020" s="7" t="str">
        <f aca="false">IF(TRIM(E3020)="","Unknown",IFERROR(LEFT(TRIM(E3020),FIND(",",TRIM(E3020))-1),TRIM(E3020)))</f>
        <v>United States</v>
      </c>
      <c r="M3020" s="7" t="str">
        <f aca="false">IFERROR(LEFT(J3020,FIND(",",J3020)-1),J3020)</f>
        <v>Comedies</v>
      </c>
      <c r="N3020" s="7" t="n">
        <f aca="false">IF(B3020="Movie",IFERROR(VALUE(LEFT(I3020,FIND(" ",I3020)-1)),""),"")</f>
        <v>95</v>
      </c>
      <c r="O3020" s="7" t="str">
        <f aca="false">IF(B3020="TV Show",IFERROR(VALUE(LEFT(I3020,FIND(" ",I3020)-1)),""),"")</f>
        <v/>
      </c>
      <c r="P3020" s="7" t="n">
        <f aca="false">IF(K3020="","",K3020-G3020)</f>
        <v>11</v>
      </c>
    </row>
    <row r="3021" customFormat="false" ht="15" hidden="false" customHeight="false" outlineLevel="0" collapsed="false">
      <c r="A3021" s="7" t="n">
        <v>81040704</v>
      </c>
      <c r="B3021" s="7" t="s">
        <v>78</v>
      </c>
      <c r="C3021" s="7" t="s">
        <v>6434</v>
      </c>
      <c r="E3021" s="7" t="s">
        <v>26</v>
      </c>
      <c r="F3021" s="7" t="s">
        <v>6408</v>
      </c>
      <c r="G3021" s="7" t="n">
        <v>2019</v>
      </c>
      <c r="H3021" s="7" t="s">
        <v>50</v>
      </c>
      <c r="I3021" s="7" t="s">
        <v>82</v>
      </c>
      <c r="J3021" s="7" t="s">
        <v>2965</v>
      </c>
      <c r="K3021" s="7" t="n">
        <f aca="false">IFERROR(VALUE(RIGHT(TRIM(F3021),4)),"")</f>
        <v>2019</v>
      </c>
      <c r="L3021" s="7" t="str">
        <f aca="false">IF(TRIM(E3021)="","Unknown",IFERROR(LEFT(TRIM(E3021),FIND(",",TRIM(E3021))-1),TRIM(E3021)))</f>
        <v>United States</v>
      </c>
      <c r="M3021" s="7" t="str">
        <f aca="false">IFERROR(LEFT(J3021,FIND(",",J3021)-1),J3021)</f>
        <v>Docuseries</v>
      </c>
      <c r="N3021" s="7" t="str">
        <f aca="false">IF(B3021="Movie",IFERROR(VALUE(LEFT(I3021,FIND(" ",I3021)-1)),""),"")</f>
        <v/>
      </c>
      <c r="O3021" s="7" t="n">
        <f aca="false">IF(B3021="TV Show",IFERROR(VALUE(LEFT(I3021,FIND(" ",I3021)-1)),""),"")</f>
        <v>1</v>
      </c>
      <c r="P3021" s="7" t="n">
        <f aca="false">IF(K3021="","",K3021-G3021)</f>
        <v>0</v>
      </c>
    </row>
    <row r="3022" customFormat="false" ht="15" hidden="false" customHeight="false" outlineLevel="0" collapsed="false">
      <c r="A3022" s="7" t="n">
        <v>80234791</v>
      </c>
      <c r="B3022" s="7" t="s">
        <v>68</v>
      </c>
      <c r="C3022" s="7" t="s">
        <v>6435</v>
      </c>
      <c r="D3022" s="7" t="s">
        <v>6436</v>
      </c>
      <c r="E3022" s="7" t="s">
        <v>6437</v>
      </c>
      <c r="F3022" s="7" t="s">
        <v>6408</v>
      </c>
      <c r="G3022" s="7" t="n">
        <v>2017</v>
      </c>
      <c r="H3022" s="7" t="s">
        <v>49</v>
      </c>
      <c r="I3022" s="7" t="s">
        <v>470</v>
      </c>
      <c r="J3022" s="7" t="s">
        <v>341</v>
      </c>
      <c r="K3022" s="7" t="n">
        <f aca="false">IFERROR(VALUE(RIGHT(TRIM(F3022),4)),"")</f>
        <v>2019</v>
      </c>
      <c r="L3022" s="7" t="str">
        <f aca="false">IF(TRIM(E3022)="","Unknown",IFERROR(LEFT(TRIM(E3022),FIND(",",TRIM(E3022))-1),TRIM(E3022)))</f>
        <v>Germany</v>
      </c>
      <c r="M3022" s="7" t="str">
        <f aca="false">IFERROR(LEFT(J3022,FIND(",",J3022)-1),J3022)</f>
        <v>Documentaries</v>
      </c>
      <c r="N3022" s="7" t="n">
        <f aca="false">IF(B3022="Movie",IFERROR(VALUE(LEFT(I3022,FIND(" ",I3022)-1)),""),"")</f>
        <v>91</v>
      </c>
      <c r="O3022" s="7" t="str">
        <f aca="false">IF(B3022="TV Show",IFERROR(VALUE(LEFT(I3022,FIND(" ",I3022)-1)),""),"")</f>
        <v/>
      </c>
      <c r="P3022" s="7" t="n">
        <f aca="false">IF(K3022="","",K3022-G3022)</f>
        <v>2</v>
      </c>
    </row>
    <row r="3023" customFormat="false" ht="15" hidden="false" customHeight="false" outlineLevel="0" collapsed="false">
      <c r="A3023" s="7" t="n">
        <v>81056491</v>
      </c>
      <c r="B3023" s="7" t="s">
        <v>78</v>
      </c>
      <c r="C3023" s="7" t="s">
        <v>6438</v>
      </c>
      <c r="F3023" s="7" t="s">
        <v>6408</v>
      </c>
      <c r="G3023" s="7" t="n">
        <v>2019</v>
      </c>
      <c r="H3023" s="7" t="s">
        <v>119</v>
      </c>
      <c r="I3023" s="7" t="s">
        <v>82</v>
      </c>
      <c r="J3023" s="7" t="s">
        <v>44</v>
      </c>
      <c r="K3023" s="7" t="n">
        <f aca="false">IFERROR(VALUE(RIGHT(TRIM(F3023),4)),"")</f>
        <v>2019</v>
      </c>
      <c r="L3023" s="7" t="str">
        <f aca="false">IF(TRIM(E3023)="","Unknown",IFERROR(LEFT(TRIM(E3023),FIND(",",TRIM(E3023))-1),TRIM(E3023)))</f>
        <v>Unknown</v>
      </c>
      <c r="M3023" s="7" t="str">
        <f aca="false">IFERROR(LEFT(J3023,FIND(",",J3023)-1),J3023)</f>
        <v>Kids' TV</v>
      </c>
      <c r="N3023" s="7" t="str">
        <f aca="false">IF(B3023="Movie",IFERROR(VALUE(LEFT(I3023,FIND(" ",I3023)-1)),""),"")</f>
        <v/>
      </c>
      <c r="O3023" s="7" t="n">
        <f aca="false">IF(B3023="TV Show",IFERROR(VALUE(LEFT(I3023,FIND(" ",I3023)-1)),""),"")</f>
        <v>1</v>
      </c>
      <c r="P3023" s="7" t="n">
        <f aca="false">IF(K3023="","",K3023-G3023)</f>
        <v>0</v>
      </c>
    </row>
    <row r="3024" customFormat="false" ht="15" hidden="false" customHeight="false" outlineLevel="0" collapsed="false">
      <c r="A3024" s="7" t="n">
        <v>80120200</v>
      </c>
      <c r="B3024" s="7" t="s">
        <v>78</v>
      </c>
      <c r="C3024" s="7" t="s">
        <v>6439</v>
      </c>
      <c r="D3024" s="7" t="s">
        <v>6440</v>
      </c>
      <c r="E3024" s="7" t="s">
        <v>396</v>
      </c>
      <c r="F3024" s="7" t="s">
        <v>6441</v>
      </c>
      <c r="G3024" s="7" t="n">
        <v>2015</v>
      </c>
      <c r="H3024" s="7" t="s">
        <v>49</v>
      </c>
      <c r="I3024" s="7" t="s">
        <v>82</v>
      </c>
      <c r="J3024" s="7" t="s">
        <v>208</v>
      </c>
      <c r="K3024" s="7" t="n">
        <f aca="false">IFERROR(VALUE(RIGHT(TRIM(F3024),4)),"")</f>
        <v>2017</v>
      </c>
      <c r="L3024" s="7" t="str">
        <f aca="false">IF(TRIM(E3024)="","Unknown",IFERROR(LEFT(TRIM(E3024),FIND(",",TRIM(E3024))-1),TRIM(E3024)))</f>
        <v>Turkey</v>
      </c>
      <c r="M3024" s="7" t="str">
        <f aca="false">IFERROR(LEFT(J3024,FIND(",",J3024)-1),J3024)</f>
        <v>International TV Shows</v>
      </c>
      <c r="N3024" s="7" t="str">
        <f aca="false">IF(B3024="Movie",IFERROR(VALUE(LEFT(I3024,FIND(" ",I3024)-1)),""),"")</f>
        <v/>
      </c>
      <c r="O3024" s="7" t="n">
        <f aca="false">IF(B3024="TV Show",IFERROR(VALUE(LEFT(I3024,FIND(" ",I3024)-1)),""),"")</f>
        <v>1</v>
      </c>
      <c r="P3024" s="7" t="n">
        <f aca="false">IF(K3024="","",K3024-G3024)</f>
        <v>2</v>
      </c>
    </row>
    <row r="3025" customFormat="false" ht="15" hidden="false" customHeight="false" outlineLevel="0" collapsed="false">
      <c r="A3025" s="7" t="n">
        <v>81088331</v>
      </c>
      <c r="B3025" s="7" t="s">
        <v>78</v>
      </c>
      <c r="C3025" s="7" t="s">
        <v>6442</v>
      </c>
      <c r="E3025" s="7" t="s">
        <v>27</v>
      </c>
      <c r="F3025" s="7" t="s">
        <v>6443</v>
      </c>
      <c r="G3025" s="7" t="n">
        <v>2019</v>
      </c>
      <c r="H3025" s="7" t="s">
        <v>55</v>
      </c>
      <c r="I3025" s="7" t="s">
        <v>82</v>
      </c>
      <c r="J3025" s="7" t="s">
        <v>44</v>
      </c>
      <c r="K3025" s="7" t="n">
        <f aca="false">IFERROR(VALUE(RIGHT(TRIM(F3025),4)),"")</f>
        <v>2019</v>
      </c>
      <c r="L3025" s="7" t="str">
        <f aca="false">IF(TRIM(E3025)="","Unknown",IFERROR(LEFT(TRIM(E3025),FIND(",",TRIM(E3025))-1),TRIM(E3025)))</f>
        <v>India</v>
      </c>
      <c r="M3025" s="7" t="str">
        <f aca="false">IFERROR(LEFT(J3025,FIND(",",J3025)-1),J3025)</f>
        <v>Kids' TV</v>
      </c>
      <c r="N3025" s="7" t="str">
        <f aca="false">IF(B3025="Movie",IFERROR(VALUE(LEFT(I3025,FIND(" ",I3025)-1)),""),"")</f>
        <v/>
      </c>
      <c r="O3025" s="7" t="n">
        <f aca="false">IF(B3025="TV Show",IFERROR(VALUE(LEFT(I3025,FIND(" ",I3025)-1)),""),"")</f>
        <v>1</v>
      </c>
      <c r="P3025" s="7" t="n">
        <f aca="false">IF(K3025="","",K3025-G3025)</f>
        <v>0</v>
      </c>
    </row>
    <row r="3026" customFormat="false" ht="15" hidden="false" customHeight="false" outlineLevel="0" collapsed="false">
      <c r="A3026" s="7" t="n">
        <v>80234451</v>
      </c>
      <c r="B3026" s="7" t="s">
        <v>78</v>
      </c>
      <c r="C3026" s="7" t="s">
        <v>6444</v>
      </c>
      <c r="E3026" s="7" t="s">
        <v>26</v>
      </c>
      <c r="F3026" s="7" t="s">
        <v>6443</v>
      </c>
      <c r="G3026" s="7" t="n">
        <v>2019</v>
      </c>
      <c r="H3026" s="7" t="s">
        <v>50</v>
      </c>
      <c r="I3026" s="7" t="s">
        <v>82</v>
      </c>
      <c r="J3026" s="7" t="s">
        <v>289</v>
      </c>
      <c r="K3026" s="7" t="n">
        <f aca="false">IFERROR(VALUE(RIGHT(TRIM(F3026),4)),"")</f>
        <v>2019</v>
      </c>
      <c r="L3026" s="7" t="str">
        <f aca="false">IF(TRIM(E3026)="","Unknown",IFERROR(LEFT(TRIM(E3026),FIND(",",TRIM(E3026))-1),TRIM(E3026)))</f>
        <v>United States</v>
      </c>
      <c r="M3026" s="7" t="str">
        <f aca="false">IFERROR(LEFT(J3026,FIND(",",J3026)-1),J3026)</f>
        <v>TV Comedies</v>
      </c>
      <c r="N3026" s="7" t="str">
        <f aca="false">IF(B3026="Movie",IFERROR(VALUE(LEFT(I3026,FIND(" ",I3026)-1)),""),"")</f>
        <v/>
      </c>
      <c r="O3026" s="7" t="n">
        <f aca="false">IF(B3026="TV Show",IFERROR(VALUE(LEFT(I3026,FIND(" ",I3026)-1)),""),"")</f>
        <v>1</v>
      </c>
      <c r="P3026" s="7" t="n">
        <f aca="false">IF(K3026="","",K3026-G3026)</f>
        <v>0</v>
      </c>
    </row>
    <row r="3027" customFormat="false" ht="15" hidden="false" customHeight="false" outlineLevel="0" collapsed="false">
      <c r="A3027" s="7" t="n">
        <v>80995079</v>
      </c>
      <c r="B3027" s="7" t="s">
        <v>68</v>
      </c>
      <c r="C3027" s="7" t="s">
        <v>6445</v>
      </c>
      <c r="F3027" s="7" t="s">
        <v>6443</v>
      </c>
      <c r="G3027" s="7" t="n">
        <v>2019</v>
      </c>
      <c r="H3027" s="7" t="s">
        <v>55</v>
      </c>
      <c r="I3027" s="7" t="s">
        <v>876</v>
      </c>
      <c r="J3027" s="7" t="s">
        <v>74</v>
      </c>
      <c r="K3027" s="7" t="n">
        <f aca="false">IFERROR(VALUE(RIGHT(TRIM(F3027),4)),"")</f>
        <v>2019</v>
      </c>
      <c r="L3027" s="7" t="str">
        <f aca="false">IF(TRIM(E3027)="","Unknown",IFERROR(LEFT(TRIM(E3027),FIND(",",TRIM(E3027))-1),TRIM(E3027)))</f>
        <v>Unknown</v>
      </c>
      <c r="M3027" s="7" t="str">
        <f aca="false">IFERROR(LEFT(J3027,FIND(",",J3027)-1),J3027)</f>
        <v>Children &amp; Family Movies</v>
      </c>
      <c r="N3027" s="7" t="n">
        <f aca="false">IF(B3027="Movie",IFERROR(VALUE(LEFT(I3027,FIND(" ",I3027)-1)),""),"")</f>
        <v>67</v>
      </c>
      <c r="O3027" s="7" t="str">
        <f aca="false">IF(B3027="TV Show",IFERROR(VALUE(LEFT(I3027,FIND(" ",I3027)-1)),""),"")</f>
        <v/>
      </c>
      <c r="P3027" s="7" t="n">
        <f aca="false">IF(K3027="","",K3027-G3027)</f>
        <v>0</v>
      </c>
    </row>
    <row r="3028" customFormat="false" ht="15" hidden="false" customHeight="false" outlineLevel="0" collapsed="false">
      <c r="A3028" s="7" t="n">
        <v>81036520</v>
      </c>
      <c r="B3028" s="7" t="s">
        <v>68</v>
      </c>
      <c r="C3028" s="7" t="s">
        <v>6446</v>
      </c>
      <c r="D3028" s="7" t="s">
        <v>6447</v>
      </c>
      <c r="E3028" s="7" t="s">
        <v>33</v>
      </c>
      <c r="F3028" s="7" t="s">
        <v>6443</v>
      </c>
      <c r="G3028" s="7" t="n">
        <v>2019</v>
      </c>
      <c r="H3028" s="7" t="s">
        <v>49</v>
      </c>
      <c r="I3028" s="7" t="s">
        <v>173</v>
      </c>
      <c r="J3028" s="7" t="s">
        <v>699</v>
      </c>
      <c r="K3028" s="7" t="n">
        <f aca="false">IFERROR(VALUE(RIGHT(TRIM(F3028),4)),"")</f>
        <v>2019</v>
      </c>
      <c r="L3028" s="7" t="str">
        <f aca="false">IF(TRIM(E3028)="","Unknown",IFERROR(LEFT(TRIM(E3028),FIND(",",TRIM(E3028))-1),TRIM(E3028)))</f>
        <v>Spain</v>
      </c>
      <c r="M3028" s="7" t="str">
        <f aca="false">IFERROR(LEFT(J3028,FIND(",",J3028)-1),J3028)</f>
        <v>Documentaries</v>
      </c>
      <c r="N3028" s="7" t="n">
        <f aca="false">IF(B3028="Movie",IFERROR(VALUE(LEFT(I3028,FIND(" ",I3028)-1)),""),"")</f>
        <v>106</v>
      </c>
      <c r="O3028" s="7" t="str">
        <f aca="false">IF(B3028="TV Show",IFERROR(VALUE(LEFT(I3028,FIND(" ",I3028)-1)),""),"")</f>
        <v/>
      </c>
      <c r="P3028" s="7" t="n">
        <f aca="false">IF(K3028="","",K3028-G3028)</f>
        <v>0</v>
      </c>
    </row>
    <row r="3029" customFormat="false" ht="15" hidden="false" customHeight="false" outlineLevel="0" collapsed="false">
      <c r="A3029" s="7" t="n">
        <v>80180224</v>
      </c>
      <c r="B3029" s="7" t="s">
        <v>68</v>
      </c>
      <c r="C3029" s="7" t="s">
        <v>5551</v>
      </c>
      <c r="D3029" s="7" t="s">
        <v>6448</v>
      </c>
      <c r="E3029" s="7" t="s">
        <v>28</v>
      </c>
      <c r="F3029" s="7" t="s">
        <v>6449</v>
      </c>
      <c r="G3029" s="7" t="n">
        <v>2017</v>
      </c>
      <c r="H3029" s="7" t="s">
        <v>48</v>
      </c>
      <c r="I3029" s="7" t="s">
        <v>524</v>
      </c>
      <c r="J3029" s="7" t="s">
        <v>182</v>
      </c>
      <c r="K3029" s="7" t="n">
        <f aca="false">IFERROR(VALUE(RIGHT(TRIM(F3029),4)),"")</f>
        <v>2018</v>
      </c>
      <c r="L3029" s="7" t="str">
        <f aca="false">IF(TRIM(E3029)="","Unknown",IFERROR(LEFT(TRIM(E3029),FIND(",",TRIM(E3029))-1),TRIM(E3029)))</f>
        <v>United Kingdom</v>
      </c>
      <c r="M3029" s="7" t="str">
        <f aca="false">IFERROR(LEFT(J3029,FIND(",",J3029)-1),J3029)</f>
        <v>Dramas</v>
      </c>
      <c r="N3029" s="7" t="n">
        <f aca="false">IF(B3029="Movie",IFERROR(VALUE(LEFT(I3029,FIND(" ",I3029)-1)),""),"")</f>
        <v>83</v>
      </c>
      <c r="O3029" s="7" t="str">
        <f aca="false">IF(B3029="TV Show",IFERROR(VALUE(LEFT(I3029,FIND(" ",I3029)-1)),""),"")</f>
        <v/>
      </c>
      <c r="P3029" s="7" t="n">
        <f aca="false">IF(K3029="","",K3029-G3029)</f>
        <v>1</v>
      </c>
    </row>
    <row r="3030" customFormat="false" ht="15" hidden="false" customHeight="false" outlineLevel="0" collapsed="false">
      <c r="A3030" s="7" t="n">
        <v>70299904</v>
      </c>
      <c r="B3030" s="7" t="s">
        <v>68</v>
      </c>
      <c r="C3030" s="7" t="s">
        <v>6450</v>
      </c>
      <c r="D3030" s="7" t="s">
        <v>6451</v>
      </c>
      <c r="E3030" s="7" t="s">
        <v>26</v>
      </c>
      <c r="F3030" s="7" t="s">
        <v>6452</v>
      </c>
      <c r="G3030" s="7" t="n">
        <v>2014</v>
      </c>
      <c r="H3030" s="7" t="s">
        <v>53</v>
      </c>
      <c r="I3030" s="7" t="s">
        <v>154</v>
      </c>
      <c r="J3030" s="7" t="s">
        <v>1085</v>
      </c>
      <c r="K3030" s="7" t="n">
        <f aca="false">IFERROR(VALUE(RIGHT(TRIM(F3030),4)),"")</f>
        <v>2014</v>
      </c>
      <c r="L3030" s="7" t="str">
        <f aca="false">IF(TRIM(E3030)="","Unknown",IFERROR(LEFT(TRIM(E3030),FIND(",",TRIM(E3030))-1),TRIM(E3030)))</f>
        <v>United States</v>
      </c>
      <c r="M3030" s="7" t="str">
        <f aca="false">IFERROR(LEFT(J3030,FIND(",",J3030)-1),J3030)</f>
        <v>Documentaries</v>
      </c>
      <c r="N3030" s="7" t="n">
        <f aca="false">IF(B3030="Movie",IFERROR(VALUE(LEFT(I3030,FIND(" ",I3030)-1)),""),"")</f>
        <v>80</v>
      </c>
      <c r="O3030" s="7" t="str">
        <f aca="false">IF(B3030="TV Show",IFERROR(VALUE(LEFT(I3030,FIND(" ",I3030)-1)),""),"")</f>
        <v/>
      </c>
      <c r="P3030" s="7" t="n">
        <f aca="false">IF(K3030="","",K3030-G3030)</f>
        <v>0</v>
      </c>
    </row>
    <row r="3031" customFormat="false" ht="15" hidden="false" customHeight="false" outlineLevel="0" collapsed="false">
      <c r="A3031" s="7" t="n">
        <v>80171125</v>
      </c>
      <c r="B3031" s="7" t="s">
        <v>68</v>
      </c>
      <c r="C3031" s="7" t="s">
        <v>6453</v>
      </c>
      <c r="D3031" s="7" t="s">
        <v>6454</v>
      </c>
      <c r="E3031" s="7" t="s">
        <v>279</v>
      </c>
      <c r="F3031" s="7" t="s">
        <v>6455</v>
      </c>
      <c r="G3031" s="7" t="n">
        <v>2016</v>
      </c>
      <c r="H3031" s="7" t="s">
        <v>966</v>
      </c>
      <c r="I3031" s="7" t="s">
        <v>330</v>
      </c>
      <c r="J3031" s="7" t="s">
        <v>240</v>
      </c>
      <c r="K3031" s="7" t="n">
        <f aca="false">IFERROR(VALUE(RIGHT(TRIM(F3031),4)),"")</f>
        <v>2017</v>
      </c>
      <c r="L3031" s="7" t="str">
        <f aca="false">IF(TRIM(E3031)="","Unknown",IFERROR(LEFT(TRIM(E3031),FIND(",",TRIM(E3031))-1),TRIM(E3031)))</f>
        <v>United Kingdom</v>
      </c>
      <c r="M3031" s="7" t="str">
        <f aca="false">IFERROR(LEFT(J3031,FIND(",",J3031)-1),J3031)</f>
        <v>Dramas</v>
      </c>
      <c r="N3031" s="7" t="n">
        <f aca="false">IF(B3031="Movie",IFERROR(VALUE(LEFT(I3031,FIND(" ",I3031)-1)),""),"")</f>
        <v>103</v>
      </c>
      <c r="O3031" s="7" t="str">
        <f aca="false">IF(B3031="TV Show",IFERROR(VALUE(LEFT(I3031,FIND(" ",I3031)-1)),""),"")</f>
        <v/>
      </c>
      <c r="P3031" s="7" t="n">
        <f aca="false">IF(K3031="","",K3031-G3031)</f>
        <v>1</v>
      </c>
    </row>
    <row r="3032" customFormat="false" ht="15" hidden="false" customHeight="false" outlineLevel="0" collapsed="false">
      <c r="A3032" s="7" t="n">
        <v>80106989</v>
      </c>
      <c r="B3032" s="7" t="s">
        <v>68</v>
      </c>
      <c r="C3032" s="7" t="s">
        <v>6456</v>
      </c>
      <c r="D3032" s="7" t="s">
        <v>6457</v>
      </c>
      <c r="E3032" s="7" t="s">
        <v>6458</v>
      </c>
      <c r="F3032" s="7" t="s">
        <v>6459</v>
      </c>
      <c r="G3032" s="7" t="n">
        <v>2015</v>
      </c>
      <c r="H3032" s="7" t="s">
        <v>53</v>
      </c>
      <c r="I3032" s="7" t="s">
        <v>77</v>
      </c>
      <c r="J3032" s="7" t="s">
        <v>1003</v>
      </c>
      <c r="K3032" s="7" t="n">
        <f aca="false">IFERROR(VALUE(RIGHT(TRIM(F3032),4)),"")</f>
        <v>2016</v>
      </c>
      <c r="L3032" s="7" t="str">
        <f aca="false">IF(TRIM(E3032)="","Unknown",IFERROR(LEFT(TRIM(E3032),FIND(",",TRIM(E3032))-1),TRIM(E3032)))</f>
        <v>Denmark</v>
      </c>
      <c r="M3032" s="7" t="str">
        <f aca="false">IFERROR(LEFT(J3032,FIND(",",J3032)-1),J3032)</f>
        <v>Dramas</v>
      </c>
      <c r="N3032" s="7" t="n">
        <f aca="false">IF(B3032="Movie",IFERROR(VALUE(LEFT(I3032,FIND(" ",I3032)-1)),""),"")</f>
        <v>94</v>
      </c>
      <c r="O3032" s="7" t="str">
        <f aca="false">IF(B3032="TV Show",IFERROR(VALUE(LEFT(I3032,FIND(" ",I3032)-1)),""),"")</f>
        <v/>
      </c>
      <c r="P3032" s="7" t="n">
        <f aca="false">IF(K3032="","",K3032-G3032)</f>
        <v>1</v>
      </c>
    </row>
    <row r="3033" customFormat="false" ht="15" hidden="false" customHeight="false" outlineLevel="0" collapsed="false">
      <c r="A3033" s="7" t="n">
        <v>80044731</v>
      </c>
      <c r="B3033" s="7" t="s">
        <v>68</v>
      </c>
      <c r="C3033" s="7" t="s">
        <v>6460</v>
      </c>
      <c r="D3033" s="7" t="s">
        <v>6461</v>
      </c>
      <c r="E3033" s="7" t="s">
        <v>26</v>
      </c>
      <c r="F3033" s="7" t="s">
        <v>6462</v>
      </c>
      <c r="G3033" s="7" t="n">
        <v>2015</v>
      </c>
      <c r="H3033" s="7" t="s">
        <v>48</v>
      </c>
      <c r="I3033" s="7" t="s">
        <v>311</v>
      </c>
      <c r="J3033" s="7" t="s">
        <v>45</v>
      </c>
      <c r="K3033" s="7" t="n">
        <f aca="false">IFERROR(VALUE(RIGHT(TRIM(F3033),4)),"")</f>
        <v>2015</v>
      </c>
      <c r="L3033" s="7" t="str">
        <f aca="false">IF(TRIM(E3033)="","Unknown",IFERROR(LEFT(TRIM(E3033),FIND(",",TRIM(E3033))-1),TRIM(E3033)))</f>
        <v>United States</v>
      </c>
      <c r="M3033" s="7" t="str">
        <f aca="false">IFERROR(LEFT(J3033,FIND(",",J3033)-1),J3033)</f>
        <v>Stand-Up Comedy</v>
      </c>
      <c r="N3033" s="7" t="n">
        <f aca="false">IF(B3033="Movie",IFERROR(VALUE(LEFT(I3033,FIND(" ",I3033)-1)),""),"")</f>
        <v>92</v>
      </c>
      <c r="O3033" s="7" t="str">
        <f aca="false">IF(B3033="TV Show",IFERROR(VALUE(LEFT(I3033,FIND(" ",I3033)-1)),""),"")</f>
        <v/>
      </c>
      <c r="P3033" s="7" t="n">
        <f aca="false">IF(K3033="","",K3033-G3033)</f>
        <v>0</v>
      </c>
    </row>
    <row r="3034" customFormat="false" ht="15" hidden="false" customHeight="false" outlineLevel="0" collapsed="false">
      <c r="A3034" s="7" t="n">
        <v>60010069</v>
      </c>
      <c r="B3034" s="7" t="s">
        <v>68</v>
      </c>
      <c r="C3034" s="7" t="s">
        <v>6463</v>
      </c>
      <c r="D3034" s="7" t="s">
        <v>2052</v>
      </c>
      <c r="E3034" s="7" t="s">
        <v>26</v>
      </c>
      <c r="F3034" s="7" t="s">
        <v>6464</v>
      </c>
      <c r="G3034" s="7" t="n">
        <v>1974</v>
      </c>
      <c r="H3034" s="7" t="s">
        <v>54</v>
      </c>
      <c r="I3034" s="7" t="s">
        <v>168</v>
      </c>
      <c r="J3034" s="7" t="s">
        <v>6465</v>
      </c>
      <c r="K3034" s="7" t="n">
        <f aca="false">IFERROR(VALUE(RIGHT(TRIM(F3034),4)),"")</f>
        <v>2019</v>
      </c>
      <c r="L3034" s="7" t="str">
        <f aca="false">IF(TRIM(E3034)="","Unknown",IFERROR(LEFT(TRIM(E3034),FIND(",",TRIM(E3034))-1),TRIM(E3034)))</f>
        <v>United States</v>
      </c>
      <c r="M3034" s="7" t="str">
        <f aca="false">IFERROR(LEFT(J3034,FIND(",",J3034)-1),J3034)</f>
        <v>Classic Movies</v>
      </c>
      <c r="N3034" s="7" t="n">
        <f aca="false">IF(B3034="Movie",IFERROR(VALUE(LEFT(I3034,FIND(" ",I3034)-1)),""),"")</f>
        <v>112</v>
      </c>
      <c r="O3034" s="7" t="str">
        <f aca="false">IF(B3034="TV Show",IFERROR(VALUE(LEFT(I3034,FIND(" ",I3034)-1)),""),"")</f>
        <v/>
      </c>
      <c r="P3034" s="7" t="n">
        <f aca="false">IF(K3034="","",K3034-G3034)</f>
        <v>45</v>
      </c>
    </row>
    <row r="3035" customFormat="false" ht="15" hidden="false" customHeight="false" outlineLevel="0" collapsed="false">
      <c r="A3035" s="7" t="n">
        <v>70241791</v>
      </c>
      <c r="B3035" s="7" t="s">
        <v>78</v>
      </c>
      <c r="C3035" s="7" t="s">
        <v>6466</v>
      </c>
      <c r="E3035" s="7" t="s">
        <v>26</v>
      </c>
      <c r="F3035" s="7" t="s">
        <v>6464</v>
      </c>
      <c r="G3035" s="7" t="n">
        <v>2008</v>
      </c>
      <c r="H3035" s="7" t="s">
        <v>50</v>
      </c>
      <c r="I3035" s="7" t="s">
        <v>82</v>
      </c>
      <c r="J3035" s="7" t="s">
        <v>2425</v>
      </c>
      <c r="K3035" s="7" t="n">
        <f aca="false">IFERROR(VALUE(RIGHT(TRIM(F3035),4)),"")</f>
        <v>2019</v>
      </c>
      <c r="L3035" s="7" t="str">
        <f aca="false">IF(TRIM(E3035)="","Unknown",IFERROR(LEFT(TRIM(E3035),FIND(",",TRIM(E3035))-1),TRIM(E3035)))</f>
        <v>United States</v>
      </c>
      <c r="M3035" s="7" t="str">
        <f aca="false">IFERROR(LEFT(J3035,FIND(",",J3035)-1),J3035)</f>
        <v>Kids' TV</v>
      </c>
      <c r="N3035" s="7" t="str">
        <f aca="false">IF(B3035="Movie",IFERROR(VALUE(LEFT(I3035,FIND(" ",I3035)-1)),""),"")</f>
        <v/>
      </c>
      <c r="O3035" s="7" t="n">
        <f aca="false">IF(B3035="TV Show",IFERROR(VALUE(LEFT(I3035,FIND(" ",I3035)-1)),""),"")</f>
        <v>1</v>
      </c>
      <c r="P3035" s="7" t="n">
        <f aca="false">IF(K3035="","",K3035-G3035)</f>
        <v>11</v>
      </c>
    </row>
    <row r="3036" customFormat="false" ht="15" hidden="false" customHeight="false" outlineLevel="0" collapsed="false">
      <c r="A3036" s="7" t="n">
        <v>81099997</v>
      </c>
      <c r="B3036" s="7" t="s">
        <v>78</v>
      </c>
      <c r="C3036" s="7" t="s">
        <v>6467</v>
      </c>
      <c r="E3036" s="7" t="s">
        <v>32</v>
      </c>
      <c r="F3036" s="7" t="s">
        <v>6464</v>
      </c>
      <c r="G3036" s="7" t="n">
        <v>2016</v>
      </c>
      <c r="H3036" s="7" t="s">
        <v>55</v>
      </c>
      <c r="I3036" s="7" t="s">
        <v>82</v>
      </c>
      <c r="J3036" s="7" t="s">
        <v>1686</v>
      </c>
      <c r="K3036" s="7" t="n">
        <f aca="false">IFERROR(VALUE(RIGHT(TRIM(F3036),4)),"")</f>
        <v>2019</v>
      </c>
      <c r="L3036" s="7" t="str">
        <f aca="false">IF(TRIM(E3036)="","Unknown",IFERROR(LEFT(TRIM(E3036),FIND(",",TRIM(E3036))-1),TRIM(E3036)))</f>
        <v>South Korea</v>
      </c>
      <c r="M3036" s="7" t="str">
        <f aca="false">IFERROR(LEFT(J3036,FIND(",",J3036)-1),J3036)</f>
        <v>Kids' TV</v>
      </c>
      <c r="N3036" s="7" t="str">
        <f aca="false">IF(B3036="Movie",IFERROR(VALUE(LEFT(I3036,FIND(" ",I3036)-1)),""),"")</f>
        <v/>
      </c>
      <c r="O3036" s="7" t="n">
        <f aca="false">IF(B3036="TV Show",IFERROR(VALUE(LEFT(I3036,FIND(" ",I3036)-1)),""),"")</f>
        <v>1</v>
      </c>
      <c r="P3036" s="7" t="n">
        <f aca="false">IF(K3036="","",K3036-G3036)</f>
        <v>3</v>
      </c>
    </row>
    <row r="3037" customFormat="false" ht="15" hidden="false" customHeight="false" outlineLevel="0" collapsed="false">
      <c r="A3037" s="7" t="n">
        <v>70084148</v>
      </c>
      <c r="B3037" s="7" t="s">
        <v>68</v>
      </c>
      <c r="C3037" s="7" t="s">
        <v>6468</v>
      </c>
      <c r="D3037" s="7" t="s">
        <v>6469</v>
      </c>
      <c r="E3037" s="7" t="s">
        <v>26</v>
      </c>
      <c r="F3037" s="7" t="s">
        <v>6464</v>
      </c>
      <c r="G3037" s="7" t="n">
        <v>2008</v>
      </c>
      <c r="H3037" s="7" t="s">
        <v>51</v>
      </c>
      <c r="I3037" s="7" t="s">
        <v>451</v>
      </c>
      <c r="J3037" s="7" t="s">
        <v>150</v>
      </c>
      <c r="K3037" s="7" t="n">
        <f aca="false">IFERROR(VALUE(RIGHT(TRIM(F3037),4)),"")</f>
        <v>2019</v>
      </c>
      <c r="L3037" s="7" t="str">
        <f aca="false">IF(TRIM(E3037)="","Unknown",IFERROR(LEFT(TRIM(E3037),FIND(",",TRIM(E3037))-1),TRIM(E3037)))</f>
        <v>United States</v>
      </c>
      <c r="M3037" s="7" t="str">
        <f aca="false">IFERROR(LEFT(J3037,FIND(",",J3037)-1),J3037)</f>
        <v>Dramas</v>
      </c>
      <c r="N3037" s="7" t="n">
        <f aca="false">IF(B3037="Movie",IFERROR(VALUE(LEFT(I3037,FIND(" ",I3037)-1)),""),"")</f>
        <v>97</v>
      </c>
      <c r="O3037" s="7" t="str">
        <f aca="false">IF(B3037="TV Show",IFERROR(VALUE(LEFT(I3037,FIND(" ",I3037)-1)),""),"")</f>
        <v/>
      </c>
      <c r="P3037" s="7" t="n">
        <f aca="false">IF(K3037="","",K3037-G3037)</f>
        <v>11</v>
      </c>
    </row>
    <row r="3038" customFormat="false" ht="15" hidden="false" customHeight="false" outlineLevel="0" collapsed="false">
      <c r="A3038" s="7" t="n">
        <v>70101345</v>
      </c>
      <c r="B3038" s="7" t="s">
        <v>68</v>
      </c>
      <c r="C3038" s="7" t="s">
        <v>6470</v>
      </c>
      <c r="D3038" s="7" t="s">
        <v>6471</v>
      </c>
      <c r="E3038" s="7" t="s">
        <v>6472</v>
      </c>
      <c r="F3038" s="7" t="s">
        <v>6464</v>
      </c>
      <c r="G3038" s="7" t="n">
        <v>2008</v>
      </c>
      <c r="H3038" s="7" t="s">
        <v>54</v>
      </c>
      <c r="I3038" s="7" t="s">
        <v>173</v>
      </c>
      <c r="J3038" s="7" t="s">
        <v>5475</v>
      </c>
      <c r="K3038" s="7" t="n">
        <f aca="false">IFERROR(VALUE(RIGHT(TRIM(F3038),4)),"")</f>
        <v>2019</v>
      </c>
      <c r="L3038" s="7" t="str">
        <f aca="false">IF(TRIM(E3038)="","Unknown",IFERROR(LEFT(TRIM(E3038),FIND(",",TRIM(E3038))-1),TRIM(E3038)))</f>
        <v>Germany</v>
      </c>
      <c r="M3038" s="7" t="str">
        <f aca="false">IFERROR(LEFT(J3038,FIND(",",J3038)-1),J3038)</f>
        <v>Action &amp; Adventure</v>
      </c>
      <c r="N3038" s="7" t="n">
        <f aca="false">IF(B3038="Movie",IFERROR(VALUE(LEFT(I3038,FIND(" ",I3038)-1)),""),"")</f>
        <v>106</v>
      </c>
      <c r="O3038" s="7" t="str">
        <f aca="false">IF(B3038="TV Show",IFERROR(VALUE(LEFT(I3038,FIND(" ",I3038)-1)),""),"")</f>
        <v/>
      </c>
      <c r="P3038" s="7" t="n">
        <f aca="false">IF(K3038="","",K3038-G3038)</f>
        <v>11</v>
      </c>
    </row>
    <row r="3039" customFormat="false" ht="15" hidden="false" customHeight="false" outlineLevel="0" collapsed="false">
      <c r="A3039" s="7" t="n">
        <v>80189451</v>
      </c>
      <c r="B3039" s="7" t="s">
        <v>78</v>
      </c>
      <c r="C3039" s="7" t="s">
        <v>6473</v>
      </c>
      <c r="E3039" s="7" t="s">
        <v>26</v>
      </c>
      <c r="F3039" s="7" t="s">
        <v>6464</v>
      </c>
      <c r="G3039" s="7" t="n">
        <v>2015</v>
      </c>
      <c r="H3039" s="7" t="s">
        <v>49</v>
      </c>
      <c r="I3039" s="7" t="s">
        <v>82</v>
      </c>
      <c r="J3039" s="7" t="s">
        <v>696</v>
      </c>
      <c r="K3039" s="7" t="n">
        <f aca="false">IFERROR(VALUE(RIGHT(TRIM(F3039),4)),"")</f>
        <v>2019</v>
      </c>
      <c r="L3039" s="7" t="str">
        <f aca="false">IF(TRIM(E3039)="","Unknown",IFERROR(LEFT(TRIM(E3039),FIND(",",TRIM(E3039))-1),TRIM(E3039)))</f>
        <v>United States</v>
      </c>
      <c r="M3039" s="7" t="str">
        <f aca="false">IFERROR(LEFT(J3039,FIND(",",J3039)-1),J3039)</f>
        <v>Crime TV Shows</v>
      </c>
      <c r="N3039" s="7" t="str">
        <f aca="false">IF(B3039="Movie",IFERROR(VALUE(LEFT(I3039,FIND(" ",I3039)-1)),""),"")</f>
        <v/>
      </c>
      <c r="O3039" s="7" t="n">
        <f aca="false">IF(B3039="TV Show",IFERROR(VALUE(LEFT(I3039,FIND(" ",I3039)-1)),""),"")</f>
        <v>1</v>
      </c>
      <c r="P3039" s="7" t="n">
        <f aca="false">IF(K3039="","",K3039-G3039)</f>
        <v>4</v>
      </c>
    </row>
    <row r="3040" customFormat="false" ht="15" hidden="false" customHeight="false" outlineLevel="0" collapsed="false">
      <c r="A3040" s="7" t="n">
        <v>80238020</v>
      </c>
      <c r="B3040" s="7" t="s">
        <v>68</v>
      </c>
      <c r="C3040" s="7" t="s">
        <v>6474</v>
      </c>
      <c r="D3040" s="7" t="s">
        <v>3807</v>
      </c>
      <c r="E3040" s="7" t="s">
        <v>26</v>
      </c>
      <c r="F3040" s="7" t="s">
        <v>6464</v>
      </c>
      <c r="G3040" s="7" t="n">
        <v>2019</v>
      </c>
      <c r="H3040" s="7" t="s">
        <v>48</v>
      </c>
      <c r="I3040" s="7" t="s">
        <v>1317</v>
      </c>
      <c r="J3040" s="7" t="s">
        <v>45</v>
      </c>
      <c r="K3040" s="7" t="n">
        <f aca="false">IFERROR(VALUE(RIGHT(TRIM(F3040),4)),"")</f>
        <v>2019</v>
      </c>
      <c r="L3040" s="7" t="str">
        <f aca="false">IF(TRIM(E3040)="","Unknown",IFERROR(LEFT(TRIM(E3040),FIND(",",TRIM(E3040))-1),TRIM(E3040)))</f>
        <v>United States</v>
      </c>
      <c r="M3040" s="7" t="str">
        <f aca="false">IFERROR(LEFT(J3040,FIND(",",J3040)-1),J3040)</f>
        <v>Stand-Up Comedy</v>
      </c>
      <c r="N3040" s="7" t="n">
        <f aca="false">IF(B3040="Movie",IFERROR(VALUE(LEFT(I3040,FIND(" ",I3040)-1)),""),"")</f>
        <v>66</v>
      </c>
      <c r="O3040" s="7" t="str">
        <f aca="false">IF(B3040="TV Show",IFERROR(VALUE(LEFT(I3040,FIND(" ",I3040)-1)),""),"")</f>
        <v/>
      </c>
      <c r="P3040" s="7" t="n">
        <f aca="false">IF(K3040="","",K3040-G3040)</f>
        <v>0</v>
      </c>
    </row>
    <row r="3041" customFormat="false" ht="15" hidden="false" customHeight="false" outlineLevel="0" collapsed="false">
      <c r="A3041" s="7" t="n">
        <v>70128697</v>
      </c>
      <c r="B3041" s="7" t="s">
        <v>68</v>
      </c>
      <c r="C3041" s="7" t="s">
        <v>6475</v>
      </c>
      <c r="D3041" s="7" t="s">
        <v>6476</v>
      </c>
      <c r="E3041" s="7" t="s">
        <v>26</v>
      </c>
      <c r="F3041" s="7" t="s">
        <v>6464</v>
      </c>
      <c r="G3041" s="7" t="n">
        <v>2011</v>
      </c>
      <c r="H3041" s="7" t="s">
        <v>51</v>
      </c>
      <c r="I3041" s="7" t="s">
        <v>173</v>
      </c>
      <c r="J3041" s="7" t="s">
        <v>2939</v>
      </c>
      <c r="K3041" s="7" t="n">
        <f aca="false">IFERROR(VALUE(RIGHT(TRIM(F3041),4)),"")</f>
        <v>2019</v>
      </c>
      <c r="L3041" s="7" t="str">
        <f aca="false">IF(TRIM(E3041)="","Unknown",IFERROR(LEFT(TRIM(E3041),FIND(",",TRIM(E3041))-1),TRIM(E3041)))</f>
        <v>United States</v>
      </c>
      <c r="M3041" s="7" t="str">
        <f aca="false">IFERROR(LEFT(J3041,FIND(",",J3041)-1),J3041)</f>
        <v>Action &amp; Adventure</v>
      </c>
      <c r="N3041" s="7" t="n">
        <f aca="false">IF(B3041="Movie",IFERROR(VALUE(LEFT(I3041,FIND(" ",I3041)-1)),""),"")</f>
        <v>106</v>
      </c>
      <c r="O3041" s="7" t="str">
        <f aca="false">IF(B3041="TV Show",IFERROR(VALUE(LEFT(I3041,FIND(" ",I3041)-1)),""),"")</f>
        <v/>
      </c>
      <c r="P3041" s="7" t="n">
        <f aca="false">IF(K3041="","",K3041-G3041)</f>
        <v>8</v>
      </c>
    </row>
    <row r="3042" customFormat="false" ht="15" hidden="false" customHeight="false" outlineLevel="0" collapsed="false">
      <c r="A3042" s="7" t="n">
        <v>70044688</v>
      </c>
      <c r="B3042" s="7" t="s">
        <v>68</v>
      </c>
      <c r="C3042" s="7" t="s">
        <v>6477</v>
      </c>
      <c r="D3042" s="7" t="s">
        <v>6478</v>
      </c>
      <c r="E3042" s="7" t="s">
        <v>26</v>
      </c>
      <c r="F3042" s="7" t="s">
        <v>6464</v>
      </c>
      <c r="G3042" s="7" t="n">
        <v>2006</v>
      </c>
      <c r="H3042" s="7" t="s">
        <v>52</v>
      </c>
      <c r="I3042" s="7" t="s">
        <v>93</v>
      </c>
      <c r="J3042" s="7" t="s">
        <v>2034</v>
      </c>
      <c r="K3042" s="7" t="n">
        <f aca="false">IFERROR(VALUE(RIGHT(TRIM(F3042),4)),"")</f>
        <v>2019</v>
      </c>
      <c r="L3042" s="7" t="str">
        <f aca="false">IF(TRIM(E3042)="","Unknown",IFERROR(LEFT(TRIM(E3042),FIND(",",TRIM(E3042))-1),TRIM(E3042)))</f>
        <v>United States</v>
      </c>
      <c r="M3042" s="7" t="str">
        <f aca="false">IFERROR(LEFT(J3042,FIND(",",J3042)-1),J3042)</f>
        <v>Sci-Fi &amp; Fantasy</v>
      </c>
      <c r="N3042" s="7" t="n">
        <f aca="false">IF(B3042="Movie",IFERROR(VALUE(LEFT(I3042,FIND(" ",I3042)-1)),""),"")</f>
        <v>110</v>
      </c>
      <c r="O3042" s="7" t="str">
        <f aca="false">IF(B3042="TV Show",IFERROR(VALUE(LEFT(I3042,FIND(" ",I3042)-1)),""),"")</f>
        <v/>
      </c>
      <c r="P3042" s="7" t="n">
        <f aca="false">IF(K3042="","",K3042-G3042)</f>
        <v>13</v>
      </c>
    </row>
    <row r="3043" customFormat="false" ht="15" hidden="false" customHeight="false" outlineLevel="0" collapsed="false">
      <c r="A3043" s="7" t="n">
        <v>60035622</v>
      </c>
      <c r="B3043" s="7" t="s">
        <v>68</v>
      </c>
      <c r="C3043" s="7" t="s">
        <v>6479</v>
      </c>
      <c r="D3043" s="7" t="s">
        <v>6480</v>
      </c>
      <c r="E3043" s="7" t="s">
        <v>26</v>
      </c>
      <c r="F3043" s="7" t="s">
        <v>6464</v>
      </c>
      <c r="G3043" s="7" t="n">
        <v>1989</v>
      </c>
      <c r="H3043" s="7" t="s">
        <v>54</v>
      </c>
      <c r="I3043" s="7" t="s">
        <v>181</v>
      </c>
      <c r="J3043" s="7" t="s">
        <v>74</v>
      </c>
      <c r="K3043" s="7" t="n">
        <f aca="false">IFERROR(VALUE(RIGHT(TRIM(F3043),4)),"")</f>
        <v>2019</v>
      </c>
      <c r="L3043" s="7" t="str">
        <f aca="false">IF(TRIM(E3043)="","Unknown",IFERROR(LEFT(TRIM(E3043),FIND(",",TRIM(E3043))-1),TRIM(E3043)))</f>
        <v>United States</v>
      </c>
      <c r="M3043" s="7" t="str">
        <f aca="false">IFERROR(LEFT(J3043,FIND(",",J3043)-1),J3043)</f>
        <v>Children &amp; Family Movies</v>
      </c>
      <c r="N3043" s="7" t="n">
        <f aca="false">IF(B3043="Movie",IFERROR(VALUE(LEFT(I3043,FIND(" ",I3043)-1)),""),"")</f>
        <v>102</v>
      </c>
      <c r="O3043" s="7" t="str">
        <f aca="false">IF(B3043="TV Show",IFERROR(VALUE(LEFT(I3043,FIND(" ",I3043)-1)),""),"")</f>
        <v/>
      </c>
      <c r="P3043" s="7" t="n">
        <f aca="false">IF(K3043="","",K3043-G3043)</f>
        <v>30</v>
      </c>
    </row>
    <row r="3044" customFormat="false" ht="15" hidden="false" customHeight="false" outlineLevel="0" collapsed="false">
      <c r="A3044" s="7" t="n">
        <v>80117079</v>
      </c>
      <c r="B3044" s="7" t="s">
        <v>68</v>
      </c>
      <c r="C3044" s="7" t="s">
        <v>6481</v>
      </c>
      <c r="D3044" s="7" t="s">
        <v>6482</v>
      </c>
      <c r="E3044" s="7" t="s">
        <v>29</v>
      </c>
      <c r="F3044" s="7" t="s">
        <v>6464</v>
      </c>
      <c r="G3044" s="7" t="n">
        <v>2016</v>
      </c>
      <c r="H3044" s="7" t="s">
        <v>51</v>
      </c>
      <c r="I3044" s="7" t="s">
        <v>820</v>
      </c>
      <c r="J3044" s="7" t="s">
        <v>520</v>
      </c>
      <c r="K3044" s="7" t="n">
        <f aca="false">IFERROR(VALUE(RIGHT(TRIM(F3044),4)),"")</f>
        <v>2019</v>
      </c>
      <c r="L3044" s="7" t="str">
        <f aca="false">IF(TRIM(E3044)="","Unknown",IFERROR(LEFT(TRIM(E3044),FIND(",",TRIM(E3044))-1),TRIM(E3044)))</f>
        <v>Canada</v>
      </c>
      <c r="M3044" s="7" t="str">
        <f aca="false">IFERROR(LEFT(J3044,FIND(",",J3044)-1),J3044)</f>
        <v>Dramas</v>
      </c>
      <c r="N3044" s="7" t="n">
        <f aca="false">IF(B3044="Movie",IFERROR(VALUE(LEFT(I3044,FIND(" ",I3044)-1)),""),"")</f>
        <v>105</v>
      </c>
      <c r="O3044" s="7" t="str">
        <f aca="false">IF(B3044="TV Show",IFERROR(VALUE(LEFT(I3044,FIND(" ",I3044)-1)),""),"")</f>
        <v/>
      </c>
      <c r="P3044" s="7" t="n">
        <f aca="false">IF(K3044="","",K3044-G3044)</f>
        <v>3</v>
      </c>
    </row>
    <row r="3045" customFormat="false" ht="15" hidden="false" customHeight="false" outlineLevel="0" collapsed="false">
      <c r="A3045" s="7" t="n">
        <v>70001958</v>
      </c>
      <c r="B3045" s="7" t="s">
        <v>68</v>
      </c>
      <c r="C3045" s="7" t="s">
        <v>6483</v>
      </c>
      <c r="D3045" s="7" t="s">
        <v>2052</v>
      </c>
      <c r="E3045" s="7" t="s">
        <v>26</v>
      </c>
      <c r="F3045" s="7" t="s">
        <v>6464</v>
      </c>
      <c r="G3045" s="7" t="n">
        <v>1973</v>
      </c>
      <c r="H3045" s="7" t="s">
        <v>51</v>
      </c>
      <c r="I3045" s="7" t="s">
        <v>168</v>
      </c>
      <c r="J3045" s="7" t="s">
        <v>2820</v>
      </c>
      <c r="K3045" s="7" t="n">
        <f aca="false">IFERROR(VALUE(RIGHT(TRIM(F3045),4)),"")</f>
        <v>2019</v>
      </c>
      <c r="L3045" s="7" t="str">
        <f aca="false">IF(TRIM(E3045)="","Unknown",IFERROR(LEFT(TRIM(E3045),FIND(",",TRIM(E3045))-1),TRIM(E3045)))</f>
        <v>United States</v>
      </c>
      <c r="M3045" s="7" t="str">
        <f aca="false">IFERROR(LEFT(J3045,FIND(",",J3045)-1),J3045)</f>
        <v>Classic Movies</v>
      </c>
      <c r="N3045" s="7" t="n">
        <f aca="false">IF(B3045="Movie",IFERROR(VALUE(LEFT(I3045,FIND(" ",I3045)-1)),""),"")</f>
        <v>112</v>
      </c>
      <c r="O3045" s="7" t="str">
        <f aca="false">IF(B3045="TV Show",IFERROR(VALUE(LEFT(I3045,FIND(" ",I3045)-1)),""),"")</f>
        <v/>
      </c>
      <c r="P3045" s="7" t="n">
        <f aca="false">IF(K3045="","",K3045-G3045)</f>
        <v>46</v>
      </c>
    </row>
    <row r="3046" customFormat="false" ht="15" hidden="false" customHeight="false" outlineLevel="0" collapsed="false">
      <c r="A3046" s="7" t="n">
        <v>81099996</v>
      </c>
      <c r="B3046" s="7" t="s">
        <v>78</v>
      </c>
      <c r="C3046" s="7" t="s">
        <v>6484</v>
      </c>
      <c r="E3046" s="7" t="s">
        <v>31</v>
      </c>
      <c r="F3046" s="7" t="s">
        <v>6464</v>
      </c>
      <c r="G3046" s="7" t="n">
        <v>2015</v>
      </c>
      <c r="H3046" s="7" t="s">
        <v>119</v>
      </c>
      <c r="I3046" s="7" t="s">
        <v>82</v>
      </c>
      <c r="J3046" s="7" t="s">
        <v>44</v>
      </c>
      <c r="K3046" s="7" t="n">
        <f aca="false">IFERROR(VALUE(RIGHT(TRIM(F3046),4)),"")</f>
        <v>2019</v>
      </c>
      <c r="L3046" s="7" t="str">
        <f aca="false">IF(TRIM(E3046)="","Unknown",IFERROR(LEFT(TRIM(E3046),FIND(",",TRIM(E3046))-1),TRIM(E3046)))</f>
        <v>France</v>
      </c>
      <c r="M3046" s="7" t="str">
        <f aca="false">IFERROR(LEFT(J3046,FIND(",",J3046)-1),J3046)</f>
        <v>Kids' TV</v>
      </c>
      <c r="N3046" s="7" t="str">
        <f aca="false">IF(B3046="Movie",IFERROR(VALUE(LEFT(I3046,FIND(" ",I3046)-1)),""),"")</f>
        <v/>
      </c>
      <c r="O3046" s="7" t="n">
        <f aca="false">IF(B3046="TV Show",IFERROR(VALUE(LEFT(I3046,FIND(" ",I3046)-1)),""),"")</f>
        <v>1</v>
      </c>
      <c r="P3046" s="7" t="n">
        <f aca="false">IF(K3046="","",K3046-G3046)</f>
        <v>4</v>
      </c>
    </row>
    <row r="3047" customFormat="false" ht="15" hidden="false" customHeight="false" outlineLevel="0" collapsed="false">
      <c r="A3047" s="7" t="n">
        <v>70066433</v>
      </c>
      <c r="B3047" s="7" t="s">
        <v>68</v>
      </c>
      <c r="C3047" s="7" t="s">
        <v>6485</v>
      </c>
      <c r="D3047" s="7" t="s">
        <v>1982</v>
      </c>
      <c r="E3047" s="7" t="s">
        <v>26</v>
      </c>
      <c r="F3047" s="7" t="s">
        <v>6464</v>
      </c>
      <c r="G3047" s="7" t="n">
        <v>2007</v>
      </c>
      <c r="H3047" s="7" t="s">
        <v>52</v>
      </c>
      <c r="I3047" s="7" t="s">
        <v>138</v>
      </c>
      <c r="J3047" s="7" t="s">
        <v>276</v>
      </c>
      <c r="K3047" s="7" t="n">
        <f aca="false">IFERROR(VALUE(RIGHT(TRIM(F3047),4)),"")</f>
        <v>2019</v>
      </c>
      <c r="L3047" s="7" t="str">
        <f aca="false">IF(TRIM(E3047)="","Unknown",IFERROR(LEFT(TRIM(E3047),FIND(",",TRIM(E3047))-1),TRIM(E3047)))</f>
        <v>United States</v>
      </c>
      <c r="M3047" s="7" t="str">
        <f aca="false">IFERROR(LEFT(J3047,FIND(",",J3047)-1),J3047)</f>
        <v>Action &amp; Adventure</v>
      </c>
      <c r="N3047" s="7" t="n">
        <f aca="false">IF(B3047="Movie",IFERROR(VALUE(LEFT(I3047,FIND(" ",I3047)-1)),""),"")</f>
        <v>96</v>
      </c>
      <c r="O3047" s="7" t="str">
        <f aca="false">IF(B3047="TV Show",IFERROR(VALUE(LEFT(I3047,FIND(" ",I3047)-1)),""),"")</f>
        <v/>
      </c>
      <c r="P3047" s="7" t="n">
        <f aca="false">IF(K3047="","",K3047-G3047)</f>
        <v>12</v>
      </c>
    </row>
    <row r="3048" customFormat="false" ht="15" hidden="false" customHeight="false" outlineLevel="0" collapsed="false">
      <c r="A3048" s="7" t="n">
        <v>70098899</v>
      </c>
      <c r="B3048" s="7" t="s">
        <v>68</v>
      </c>
      <c r="C3048" s="7" t="s">
        <v>6486</v>
      </c>
      <c r="D3048" s="7" t="s">
        <v>6487</v>
      </c>
      <c r="E3048" s="7" t="s">
        <v>918</v>
      </c>
      <c r="F3048" s="7" t="s">
        <v>6464</v>
      </c>
      <c r="G3048" s="7" t="n">
        <v>2008</v>
      </c>
      <c r="H3048" s="7" t="s">
        <v>52</v>
      </c>
      <c r="I3048" s="7" t="s">
        <v>451</v>
      </c>
      <c r="J3048" s="7" t="s">
        <v>269</v>
      </c>
      <c r="K3048" s="7" t="n">
        <f aca="false">IFERROR(VALUE(RIGHT(TRIM(F3048),4)),"")</f>
        <v>2019</v>
      </c>
      <c r="L3048" s="7" t="str">
        <f aca="false">IF(TRIM(E3048)="","Unknown",IFERROR(LEFT(TRIM(E3048),FIND(",",TRIM(E3048))-1),TRIM(E3048)))</f>
        <v>United States</v>
      </c>
      <c r="M3048" s="7" t="str">
        <f aca="false">IFERROR(LEFT(J3048,FIND(",",J3048)-1),J3048)</f>
        <v>Dramas</v>
      </c>
      <c r="N3048" s="7" t="n">
        <f aca="false">IF(B3048="Movie",IFERROR(VALUE(LEFT(I3048,FIND(" ",I3048)-1)),""),"")</f>
        <v>97</v>
      </c>
      <c r="O3048" s="7" t="str">
        <f aca="false">IF(B3048="TV Show",IFERROR(VALUE(LEFT(I3048,FIND(" ",I3048)-1)),""),"")</f>
        <v/>
      </c>
      <c r="P3048" s="7" t="n">
        <f aca="false">IF(K3048="","",K3048-G3048)</f>
        <v>11</v>
      </c>
    </row>
    <row r="3049" customFormat="false" ht="15" hidden="false" customHeight="false" outlineLevel="0" collapsed="false">
      <c r="A3049" s="7" t="n">
        <v>81121171</v>
      </c>
      <c r="B3049" s="7" t="s">
        <v>68</v>
      </c>
      <c r="C3049" s="7" t="s">
        <v>6488</v>
      </c>
      <c r="E3049" s="7" t="s">
        <v>26</v>
      </c>
      <c r="F3049" s="7" t="s">
        <v>6464</v>
      </c>
      <c r="G3049" s="7" t="n">
        <v>2017</v>
      </c>
      <c r="H3049" s="7" t="s">
        <v>226</v>
      </c>
      <c r="I3049" s="7" t="s">
        <v>3882</v>
      </c>
      <c r="J3049" s="7" t="s">
        <v>3601</v>
      </c>
      <c r="K3049" s="7" t="n">
        <f aca="false">IFERROR(VALUE(RIGHT(TRIM(F3049),4)),"")</f>
        <v>2019</v>
      </c>
      <c r="L3049" s="7" t="str">
        <f aca="false">IF(TRIM(E3049)="","Unknown",IFERROR(LEFT(TRIM(E3049),FIND(",",TRIM(E3049))-1),TRIM(E3049)))</f>
        <v>United States</v>
      </c>
      <c r="M3049" s="7" t="str">
        <f aca="false">IFERROR(LEFT(J3049,FIND(",",J3049)-1),J3049)</f>
        <v>Children &amp; Family Movies</v>
      </c>
      <c r="N3049" s="7" t="n">
        <f aca="false">IF(B3049="Movie",IFERROR(VALUE(LEFT(I3049,FIND(" ",I3049)-1)),""),"")</f>
        <v>53</v>
      </c>
      <c r="O3049" s="7" t="str">
        <f aca="false">IF(B3049="TV Show",IFERROR(VALUE(LEFT(I3049,FIND(" ",I3049)-1)),""),"")</f>
        <v/>
      </c>
      <c r="P3049" s="7" t="n">
        <f aca="false">IF(K3049="","",K3049-G3049)</f>
        <v>2</v>
      </c>
    </row>
    <row r="3050" customFormat="false" ht="15" hidden="false" customHeight="false" outlineLevel="0" collapsed="false">
      <c r="A3050" s="7" t="n">
        <v>81121172</v>
      </c>
      <c r="B3050" s="7" t="s">
        <v>68</v>
      </c>
      <c r="C3050" s="7" t="s">
        <v>6489</v>
      </c>
      <c r="D3050" s="7" t="s">
        <v>6490</v>
      </c>
      <c r="E3050" s="7" t="s">
        <v>26</v>
      </c>
      <c r="F3050" s="7" t="s">
        <v>6464</v>
      </c>
      <c r="G3050" s="7" t="n">
        <v>2018</v>
      </c>
      <c r="H3050" s="7" t="s">
        <v>226</v>
      </c>
      <c r="I3050" s="7" t="s">
        <v>146</v>
      </c>
      <c r="J3050" s="7" t="s">
        <v>39</v>
      </c>
      <c r="K3050" s="7" t="n">
        <f aca="false">IFERROR(VALUE(RIGHT(TRIM(F3050),4)),"")</f>
        <v>2019</v>
      </c>
      <c r="L3050" s="7" t="str">
        <f aca="false">IF(TRIM(E3050)="","Unknown",IFERROR(LEFT(TRIM(E3050),FIND(",",TRIM(E3050))-1),TRIM(E3050)))</f>
        <v>United States</v>
      </c>
      <c r="M3050" s="7" t="str">
        <f aca="false">IFERROR(LEFT(J3050,FIND(",",J3050)-1),J3050)</f>
        <v>Documentaries</v>
      </c>
      <c r="N3050" s="7" t="n">
        <f aca="false">IF(B3050="Movie",IFERROR(VALUE(LEFT(I3050,FIND(" ",I3050)-1)),""),"")</f>
        <v>113</v>
      </c>
      <c r="O3050" s="7" t="str">
        <f aca="false">IF(B3050="TV Show",IFERROR(VALUE(LEFT(I3050,FIND(" ",I3050)-1)),""),"")</f>
        <v/>
      </c>
      <c r="P3050" s="7" t="n">
        <f aca="false">IF(K3050="","",K3050-G3050)</f>
        <v>1</v>
      </c>
    </row>
    <row r="3051" customFormat="false" ht="15" hidden="false" customHeight="false" outlineLevel="0" collapsed="false">
      <c r="A3051" s="7" t="n">
        <v>81121173</v>
      </c>
      <c r="B3051" s="7" t="s">
        <v>68</v>
      </c>
      <c r="C3051" s="7" t="s">
        <v>6491</v>
      </c>
      <c r="D3051" s="7" t="s">
        <v>6492</v>
      </c>
      <c r="E3051" s="7" t="s">
        <v>26</v>
      </c>
      <c r="F3051" s="7" t="s">
        <v>6464</v>
      </c>
      <c r="G3051" s="7" t="n">
        <v>2017</v>
      </c>
      <c r="H3051" s="7" t="s">
        <v>50</v>
      </c>
      <c r="I3051" s="7" t="s">
        <v>3882</v>
      </c>
      <c r="J3051" s="7" t="s">
        <v>39</v>
      </c>
      <c r="K3051" s="7" t="n">
        <f aca="false">IFERROR(VALUE(RIGHT(TRIM(F3051),4)),"")</f>
        <v>2019</v>
      </c>
      <c r="L3051" s="7" t="str">
        <f aca="false">IF(TRIM(E3051)="","Unknown",IFERROR(LEFT(TRIM(E3051),FIND(",",TRIM(E3051))-1),TRIM(E3051)))</f>
        <v>United States</v>
      </c>
      <c r="M3051" s="7" t="str">
        <f aca="false">IFERROR(LEFT(J3051,FIND(",",J3051)-1),J3051)</f>
        <v>Documentaries</v>
      </c>
      <c r="N3051" s="7" t="n">
        <f aca="false">IF(B3051="Movie",IFERROR(VALUE(LEFT(I3051,FIND(" ",I3051)-1)),""),"")</f>
        <v>53</v>
      </c>
      <c r="O3051" s="7" t="str">
        <f aca="false">IF(B3051="TV Show",IFERROR(VALUE(LEFT(I3051,FIND(" ",I3051)-1)),""),"")</f>
        <v/>
      </c>
      <c r="P3051" s="7" t="n">
        <f aca="false">IF(K3051="","",K3051-G3051)</f>
        <v>2</v>
      </c>
    </row>
    <row r="3052" customFormat="false" ht="15" hidden="false" customHeight="false" outlineLevel="0" collapsed="false">
      <c r="A3052" s="7" t="n">
        <v>81121174</v>
      </c>
      <c r="B3052" s="7" t="s">
        <v>68</v>
      </c>
      <c r="C3052" s="7" t="s">
        <v>6493</v>
      </c>
      <c r="D3052" s="7" t="s">
        <v>6494</v>
      </c>
      <c r="E3052" s="7" t="s">
        <v>26</v>
      </c>
      <c r="F3052" s="7" t="s">
        <v>6464</v>
      </c>
      <c r="G3052" s="7" t="n">
        <v>2017</v>
      </c>
      <c r="H3052" s="7" t="s">
        <v>50</v>
      </c>
      <c r="I3052" s="7" t="s">
        <v>1028</v>
      </c>
      <c r="J3052" s="7" t="s">
        <v>39</v>
      </c>
      <c r="K3052" s="7" t="n">
        <f aca="false">IFERROR(VALUE(RIGHT(TRIM(F3052),4)),"")</f>
        <v>2019</v>
      </c>
      <c r="L3052" s="7" t="str">
        <f aca="false">IF(TRIM(E3052)="","Unknown",IFERROR(LEFT(TRIM(E3052),FIND(",",TRIM(E3052))-1),TRIM(E3052)))</f>
        <v>United States</v>
      </c>
      <c r="M3052" s="7" t="str">
        <f aca="false">IFERROR(LEFT(J3052,FIND(",",J3052)-1),J3052)</f>
        <v>Documentaries</v>
      </c>
      <c r="N3052" s="7" t="n">
        <f aca="false">IF(B3052="Movie",IFERROR(VALUE(LEFT(I3052,FIND(" ",I3052)-1)),""),"")</f>
        <v>54</v>
      </c>
      <c r="O3052" s="7" t="str">
        <f aca="false">IF(B3052="TV Show",IFERROR(VALUE(LEFT(I3052,FIND(" ",I3052)-1)),""),"")</f>
        <v/>
      </c>
      <c r="P3052" s="7" t="n">
        <f aca="false">IF(K3052="","",K3052-G3052)</f>
        <v>2</v>
      </c>
    </row>
    <row r="3053" customFormat="false" ht="15" hidden="false" customHeight="false" outlineLevel="0" collapsed="false">
      <c r="A3053" s="7" t="n">
        <v>81121175</v>
      </c>
      <c r="B3053" s="7" t="s">
        <v>68</v>
      </c>
      <c r="C3053" s="7" t="s">
        <v>6495</v>
      </c>
      <c r="D3053" s="7" t="s">
        <v>6496</v>
      </c>
      <c r="E3053" s="7" t="s">
        <v>26</v>
      </c>
      <c r="F3053" s="7" t="s">
        <v>6464</v>
      </c>
      <c r="G3053" s="7" t="n">
        <v>2017</v>
      </c>
      <c r="H3053" s="7" t="s">
        <v>50</v>
      </c>
      <c r="I3053" s="7" t="s">
        <v>3882</v>
      </c>
      <c r="J3053" s="7" t="s">
        <v>39</v>
      </c>
      <c r="K3053" s="7" t="n">
        <f aca="false">IFERROR(VALUE(RIGHT(TRIM(F3053),4)),"")</f>
        <v>2019</v>
      </c>
      <c r="L3053" s="7" t="str">
        <f aca="false">IF(TRIM(E3053)="","Unknown",IFERROR(LEFT(TRIM(E3053),FIND(",",TRIM(E3053))-1),TRIM(E3053)))</f>
        <v>United States</v>
      </c>
      <c r="M3053" s="7" t="str">
        <f aca="false">IFERROR(LEFT(J3053,FIND(",",J3053)-1),J3053)</f>
        <v>Documentaries</v>
      </c>
      <c r="N3053" s="7" t="n">
        <f aca="false">IF(B3053="Movie",IFERROR(VALUE(LEFT(I3053,FIND(" ",I3053)-1)),""),"")</f>
        <v>53</v>
      </c>
      <c r="O3053" s="7" t="str">
        <f aca="false">IF(B3053="TV Show",IFERROR(VALUE(LEFT(I3053,FIND(" ",I3053)-1)),""),"")</f>
        <v/>
      </c>
      <c r="P3053" s="7" t="n">
        <f aca="false">IF(K3053="","",K3053-G3053)</f>
        <v>2</v>
      </c>
    </row>
    <row r="3054" customFormat="false" ht="15" hidden="false" customHeight="false" outlineLevel="0" collapsed="false">
      <c r="A3054" s="7" t="n">
        <v>81121176</v>
      </c>
      <c r="B3054" s="7" t="s">
        <v>68</v>
      </c>
      <c r="C3054" s="7" t="s">
        <v>6497</v>
      </c>
      <c r="D3054" s="7" t="s">
        <v>6498</v>
      </c>
      <c r="E3054" s="7" t="s">
        <v>26</v>
      </c>
      <c r="F3054" s="7" t="s">
        <v>6464</v>
      </c>
      <c r="G3054" s="7" t="n">
        <v>2017</v>
      </c>
      <c r="H3054" s="7" t="s">
        <v>226</v>
      </c>
      <c r="I3054" s="7" t="s">
        <v>1028</v>
      </c>
      <c r="J3054" s="7" t="s">
        <v>39</v>
      </c>
      <c r="K3054" s="7" t="n">
        <f aca="false">IFERROR(VALUE(RIGHT(TRIM(F3054),4)),"")</f>
        <v>2019</v>
      </c>
      <c r="L3054" s="7" t="str">
        <f aca="false">IF(TRIM(E3054)="","Unknown",IFERROR(LEFT(TRIM(E3054),FIND(",",TRIM(E3054))-1),TRIM(E3054)))</f>
        <v>United States</v>
      </c>
      <c r="M3054" s="7" t="str">
        <f aca="false">IFERROR(LEFT(J3054,FIND(",",J3054)-1),J3054)</f>
        <v>Documentaries</v>
      </c>
      <c r="N3054" s="7" t="n">
        <f aca="false">IF(B3054="Movie",IFERROR(VALUE(LEFT(I3054,FIND(" ",I3054)-1)),""),"")</f>
        <v>54</v>
      </c>
      <c r="O3054" s="7" t="str">
        <f aca="false">IF(B3054="TV Show",IFERROR(VALUE(LEFT(I3054,FIND(" ",I3054)-1)),""),"")</f>
        <v/>
      </c>
      <c r="P3054" s="7" t="n">
        <f aca="false">IF(K3054="","",K3054-G3054)</f>
        <v>2</v>
      </c>
    </row>
    <row r="3055" customFormat="false" ht="15" hidden="false" customHeight="false" outlineLevel="0" collapsed="false">
      <c r="A3055" s="7" t="n">
        <v>81121177</v>
      </c>
      <c r="B3055" s="7" t="s">
        <v>68</v>
      </c>
      <c r="C3055" s="7" t="s">
        <v>6499</v>
      </c>
      <c r="D3055" s="7" t="s">
        <v>6500</v>
      </c>
      <c r="E3055" s="7" t="s">
        <v>26</v>
      </c>
      <c r="F3055" s="7" t="s">
        <v>6464</v>
      </c>
      <c r="G3055" s="7" t="n">
        <v>2018</v>
      </c>
      <c r="H3055" s="7" t="s">
        <v>49</v>
      </c>
      <c r="I3055" s="7" t="s">
        <v>146</v>
      </c>
      <c r="J3055" s="7" t="s">
        <v>39</v>
      </c>
      <c r="K3055" s="7" t="n">
        <f aca="false">IFERROR(VALUE(RIGHT(TRIM(F3055),4)),"")</f>
        <v>2019</v>
      </c>
      <c r="L3055" s="7" t="str">
        <f aca="false">IF(TRIM(E3055)="","Unknown",IFERROR(LEFT(TRIM(E3055),FIND(",",TRIM(E3055))-1),TRIM(E3055)))</f>
        <v>United States</v>
      </c>
      <c r="M3055" s="7" t="str">
        <f aca="false">IFERROR(LEFT(J3055,FIND(",",J3055)-1),J3055)</f>
        <v>Documentaries</v>
      </c>
      <c r="N3055" s="7" t="n">
        <f aca="false">IF(B3055="Movie",IFERROR(VALUE(LEFT(I3055,FIND(" ",I3055)-1)),""),"")</f>
        <v>113</v>
      </c>
      <c r="O3055" s="7" t="str">
        <f aca="false">IF(B3055="TV Show",IFERROR(VALUE(LEFT(I3055,FIND(" ",I3055)-1)),""),"")</f>
        <v/>
      </c>
      <c r="P3055" s="7" t="n">
        <f aca="false">IF(K3055="","",K3055-G3055)</f>
        <v>1</v>
      </c>
    </row>
    <row r="3056" customFormat="false" ht="15" hidden="false" customHeight="false" outlineLevel="0" collapsed="false">
      <c r="A3056" s="7" t="n">
        <v>81121178</v>
      </c>
      <c r="B3056" s="7" t="s">
        <v>68</v>
      </c>
      <c r="C3056" s="7" t="s">
        <v>6501</v>
      </c>
      <c r="D3056" s="7" t="s">
        <v>6492</v>
      </c>
      <c r="E3056" s="7" t="s">
        <v>26</v>
      </c>
      <c r="F3056" s="7" t="s">
        <v>6464</v>
      </c>
      <c r="G3056" s="7" t="n">
        <v>2017</v>
      </c>
      <c r="H3056" s="7" t="s">
        <v>226</v>
      </c>
      <c r="I3056" s="7" t="s">
        <v>3882</v>
      </c>
      <c r="J3056" s="7" t="s">
        <v>39</v>
      </c>
      <c r="K3056" s="7" t="n">
        <f aca="false">IFERROR(VALUE(RIGHT(TRIM(F3056),4)),"")</f>
        <v>2019</v>
      </c>
      <c r="L3056" s="7" t="str">
        <f aca="false">IF(TRIM(E3056)="","Unknown",IFERROR(LEFT(TRIM(E3056),FIND(",",TRIM(E3056))-1),TRIM(E3056)))</f>
        <v>United States</v>
      </c>
      <c r="M3056" s="7" t="str">
        <f aca="false">IFERROR(LEFT(J3056,FIND(",",J3056)-1),J3056)</f>
        <v>Documentaries</v>
      </c>
      <c r="N3056" s="7" t="n">
        <f aca="false">IF(B3056="Movie",IFERROR(VALUE(LEFT(I3056,FIND(" ",I3056)-1)),""),"")</f>
        <v>53</v>
      </c>
      <c r="O3056" s="7" t="str">
        <f aca="false">IF(B3056="TV Show",IFERROR(VALUE(LEFT(I3056,FIND(" ",I3056)-1)),""),"")</f>
        <v/>
      </c>
      <c r="P3056" s="7" t="n">
        <f aca="false">IF(K3056="","",K3056-G3056)</f>
        <v>2</v>
      </c>
    </row>
    <row r="3057" customFormat="false" ht="15" hidden="false" customHeight="false" outlineLevel="0" collapsed="false">
      <c r="A3057" s="7" t="n">
        <v>81121179</v>
      </c>
      <c r="B3057" s="7" t="s">
        <v>68</v>
      </c>
      <c r="C3057" s="7" t="s">
        <v>6502</v>
      </c>
      <c r="D3057" s="7" t="s">
        <v>6503</v>
      </c>
      <c r="E3057" s="7" t="s">
        <v>26</v>
      </c>
      <c r="F3057" s="7" t="s">
        <v>6464</v>
      </c>
      <c r="G3057" s="7" t="n">
        <v>2017</v>
      </c>
      <c r="H3057" s="7" t="s">
        <v>50</v>
      </c>
      <c r="I3057" s="7" t="s">
        <v>3882</v>
      </c>
      <c r="J3057" s="7" t="s">
        <v>39</v>
      </c>
      <c r="K3057" s="7" t="n">
        <f aca="false">IFERROR(VALUE(RIGHT(TRIM(F3057),4)),"")</f>
        <v>2019</v>
      </c>
      <c r="L3057" s="7" t="str">
        <f aca="false">IF(TRIM(E3057)="","Unknown",IFERROR(LEFT(TRIM(E3057),FIND(",",TRIM(E3057))-1),TRIM(E3057)))</f>
        <v>United States</v>
      </c>
      <c r="M3057" s="7" t="str">
        <f aca="false">IFERROR(LEFT(J3057,FIND(",",J3057)-1),J3057)</f>
        <v>Documentaries</v>
      </c>
      <c r="N3057" s="7" t="n">
        <f aca="false">IF(B3057="Movie",IFERROR(VALUE(LEFT(I3057,FIND(" ",I3057)-1)),""),"")</f>
        <v>53</v>
      </c>
      <c r="O3057" s="7" t="str">
        <f aca="false">IF(B3057="TV Show",IFERROR(VALUE(LEFT(I3057,FIND(" ",I3057)-1)),""),"")</f>
        <v/>
      </c>
      <c r="P3057" s="7" t="n">
        <f aca="false">IF(K3057="","",K3057-G3057)</f>
        <v>2</v>
      </c>
    </row>
    <row r="3058" customFormat="false" ht="15" hidden="false" customHeight="false" outlineLevel="0" collapsed="false">
      <c r="A3058" s="7" t="n">
        <v>81121180</v>
      </c>
      <c r="B3058" s="7" t="s">
        <v>68</v>
      </c>
      <c r="C3058" s="7" t="s">
        <v>6504</v>
      </c>
      <c r="D3058" s="7" t="s">
        <v>6505</v>
      </c>
      <c r="E3058" s="7" t="s">
        <v>26</v>
      </c>
      <c r="F3058" s="7" t="s">
        <v>6464</v>
      </c>
      <c r="G3058" s="7" t="n">
        <v>2018</v>
      </c>
      <c r="H3058" s="7" t="s">
        <v>50</v>
      </c>
      <c r="I3058" s="7" t="s">
        <v>3882</v>
      </c>
      <c r="J3058" s="7" t="s">
        <v>39</v>
      </c>
      <c r="K3058" s="7" t="n">
        <f aca="false">IFERROR(VALUE(RIGHT(TRIM(F3058),4)),"")</f>
        <v>2019</v>
      </c>
      <c r="L3058" s="7" t="str">
        <f aca="false">IF(TRIM(E3058)="","Unknown",IFERROR(LEFT(TRIM(E3058),FIND(",",TRIM(E3058))-1),TRIM(E3058)))</f>
        <v>United States</v>
      </c>
      <c r="M3058" s="7" t="str">
        <f aca="false">IFERROR(LEFT(J3058,FIND(",",J3058)-1),J3058)</f>
        <v>Documentaries</v>
      </c>
      <c r="N3058" s="7" t="n">
        <f aca="false">IF(B3058="Movie",IFERROR(VALUE(LEFT(I3058,FIND(" ",I3058)-1)),""),"")</f>
        <v>53</v>
      </c>
      <c r="O3058" s="7" t="str">
        <f aca="false">IF(B3058="TV Show",IFERROR(VALUE(LEFT(I3058,FIND(" ",I3058)-1)),""),"")</f>
        <v/>
      </c>
      <c r="P3058" s="7" t="n">
        <f aca="false">IF(K3058="","",K3058-G3058)</f>
        <v>1</v>
      </c>
    </row>
    <row r="3059" customFormat="false" ht="15" hidden="false" customHeight="false" outlineLevel="0" collapsed="false">
      <c r="A3059" s="7" t="n">
        <v>81121181</v>
      </c>
      <c r="B3059" s="7" t="s">
        <v>68</v>
      </c>
      <c r="C3059" s="7" t="s">
        <v>6506</v>
      </c>
      <c r="D3059" s="7" t="s">
        <v>6507</v>
      </c>
      <c r="E3059" s="7" t="s">
        <v>26</v>
      </c>
      <c r="F3059" s="7" t="s">
        <v>6464</v>
      </c>
      <c r="G3059" s="7" t="n">
        <v>2017</v>
      </c>
      <c r="H3059" s="7" t="s">
        <v>49</v>
      </c>
      <c r="I3059" s="7" t="s">
        <v>1028</v>
      </c>
      <c r="J3059" s="7" t="s">
        <v>39</v>
      </c>
      <c r="K3059" s="7" t="n">
        <f aca="false">IFERROR(VALUE(RIGHT(TRIM(F3059),4)),"")</f>
        <v>2019</v>
      </c>
      <c r="L3059" s="7" t="str">
        <f aca="false">IF(TRIM(E3059)="","Unknown",IFERROR(LEFT(TRIM(E3059),FIND(",",TRIM(E3059))-1),TRIM(E3059)))</f>
        <v>United States</v>
      </c>
      <c r="M3059" s="7" t="str">
        <f aca="false">IFERROR(LEFT(J3059,FIND(",",J3059)-1),J3059)</f>
        <v>Documentaries</v>
      </c>
      <c r="N3059" s="7" t="n">
        <f aca="false">IF(B3059="Movie",IFERROR(VALUE(LEFT(I3059,FIND(" ",I3059)-1)),""),"")</f>
        <v>54</v>
      </c>
      <c r="O3059" s="7" t="str">
        <f aca="false">IF(B3059="TV Show",IFERROR(VALUE(LEFT(I3059,FIND(" ",I3059)-1)),""),"")</f>
        <v/>
      </c>
      <c r="P3059" s="7" t="n">
        <f aca="false">IF(K3059="","",K3059-G3059)</f>
        <v>2</v>
      </c>
    </row>
    <row r="3060" customFormat="false" ht="15" hidden="false" customHeight="false" outlineLevel="0" collapsed="false">
      <c r="A3060" s="7" t="n">
        <v>81121182</v>
      </c>
      <c r="B3060" s="7" t="s">
        <v>68</v>
      </c>
      <c r="C3060" s="7" t="s">
        <v>6508</v>
      </c>
      <c r="E3060" s="7" t="s">
        <v>26</v>
      </c>
      <c r="F3060" s="7" t="s">
        <v>6464</v>
      </c>
      <c r="G3060" s="7" t="n">
        <v>2017</v>
      </c>
      <c r="H3060" s="7" t="s">
        <v>50</v>
      </c>
      <c r="I3060" s="7" t="s">
        <v>1028</v>
      </c>
      <c r="J3060" s="7" t="s">
        <v>39</v>
      </c>
      <c r="K3060" s="7" t="n">
        <f aca="false">IFERROR(VALUE(RIGHT(TRIM(F3060),4)),"")</f>
        <v>2019</v>
      </c>
      <c r="L3060" s="7" t="str">
        <f aca="false">IF(TRIM(E3060)="","Unknown",IFERROR(LEFT(TRIM(E3060),FIND(",",TRIM(E3060))-1),TRIM(E3060)))</f>
        <v>United States</v>
      </c>
      <c r="M3060" s="7" t="str">
        <f aca="false">IFERROR(LEFT(J3060,FIND(",",J3060)-1),J3060)</f>
        <v>Documentaries</v>
      </c>
      <c r="N3060" s="7" t="n">
        <f aca="false">IF(B3060="Movie",IFERROR(VALUE(LEFT(I3060,FIND(" ",I3060)-1)),""),"")</f>
        <v>54</v>
      </c>
      <c r="O3060" s="7" t="str">
        <f aca="false">IF(B3060="TV Show",IFERROR(VALUE(LEFT(I3060,FIND(" ",I3060)-1)),""),"")</f>
        <v/>
      </c>
      <c r="P3060" s="7" t="n">
        <f aca="false">IF(K3060="","",K3060-G3060)</f>
        <v>2</v>
      </c>
    </row>
    <row r="3061" customFormat="false" ht="15" hidden="false" customHeight="false" outlineLevel="0" collapsed="false">
      <c r="A3061" s="7" t="n">
        <v>81121183</v>
      </c>
      <c r="B3061" s="7" t="s">
        <v>68</v>
      </c>
      <c r="C3061" s="7" t="s">
        <v>6509</v>
      </c>
      <c r="D3061" s="7" t="s">
        <v>6510</v>
      </c>
      <c r="E3061" s="7" t="s">
        <v>26</v>
      </c>
      <c r="F3061" s="7" t="s">
        <v>6464</v>
      </c>
      <c r="G3061" s="7" t="n">
        <v>2017</v>
      </c>
      <c r="H3061" s="7" t="s">
        <v>50</v>
      </c>
      <c r="I3061" s="7" t="s">
        <v>734</v>
      </c>
      <c r="J3061" s="7" t="s">
        <v>39</v>
      </c>
      <c r="K3061" s="7" t="n">
        <f aca="false">IFERROR(VALUE(RIGHT(TRIM(F3061),4)),"")</f>
        <v>2019</v>
      </c>
      <c r="L3061" s="7" t="str">
        <f aca="false">IF(TRIM(E3061)="","Unknown",IFERROR(LEFT(TRIM(E3061),FIND(",",TRIM(E3061))-1),TRIM(E3061)))</f>
        <v>United States</v>
      </c>
      <c r="M3061" s="7" t="str">
        <f aca="false">IFERROR(LEFT(J3061,FIND(",",J3061)-1),J3061)</f>
        <v>Documentaries</v>
      </c>
      <c r="N3061" s="7" t="n">
        <f aca="false">IF(B3061="Movie",IFERROR(VALUE(LEFT(I3061,FIND(" ",I3061)-1)),""),"")</f>
        <v>52</v>
      </c>
      <c r="O3061" s="7" t="str">
        <f aca="false">IF(B3061="TV Show",IFERROR(VALUE(LEFT(I3061,FIND(" ",I3061)-1)),""),"")</f>
        <v/>
      </c>
      <c r="P3061" s="7" t="n">
        <f aca="false">IF(K3061="","",K3061-G3061)</f>
        <v>2</v>
      </c>
    </row>
    <row r="3062" customFormat="false" ht="15" hidden="false" customHeight="false" outlineLevel="0" collapsed="false">
      <c r="A3062" s="7" t="n">
        <v>81121184</v>
      </c>
      <c r="B3062" s="7" t="s">
        <v>68</v>
      </c>
      <c r="C3062" s="7" t="s">
        <v>6511</v>
      </c>
      <c r="D3062" s="7" t="s">
        <v>6510</v>
      </c>
      <c r="E3062" s="7" t="s">
        <v>26</v>
      </c>
      <c r="F3062" s="7" t="s">
        <v>6464</v>
      </c>
      <c r="G3062" s="7" t="n">
        <v>2017</v>
      </c>
      <c r="H3062" s="7" t="s">
        <v>50</v>
      </c>
      <c r="I3062" s="7" t="s">
        <v>1028</v>
      </c>
      <c r="J3062" s="7" t="s">
        <v>39</v>
      </c>
      <c r="K3062" s="7" t="n">
        <f aca="false">IFERROR(VALUE(RIGHT(TRIM(F3062),4)),"")</f>
        <v>2019</v>
      </c>
      <c r="L3062" s="7" t="str">
        <f aca="false">IF(TRIM(E3062)="","Unknown",IFERROR(LEFT(TRIM(E3062),FIND(",",TRIM(E3062))-1),TRIM(E3062)))</f>
        <v>United States</v>
      </c>
      <c r="M3062" s="7" t="str">
        <f aca="false">IFERROR(LEFT(J3062,FIND(",",J3062)-1),J3062)</f>
        <v>Documentaries</v>
      </c>
      <c r="N3062" s="7" t="n">
        <f aca="false">IF(B3062="Movie",IFERROR(VALUE(LEFT(I3062,FIND(" ",I3062)-1)),""),"")</f>
        <v>54</v>
      </c>
      <c r="O3062" s="7" t="str">
        <f aca="false">IF(B3062="TV Show",IFERROR(VALUE(LEFT(I3062,FIND(" ",I3062)-1)),""),"")</f>
        <v/>
      </c>
      <c r="P3062" s="7" t="n">
        <f aca="false">IF(K3062="","",K3062-G3062)</f>
        <v>2</v>
      </c>
    </row>
    <row r="3063" customFormat="false" ht="15" hidden="false" customHeight="false" outlineLevel="0" collapsed="false">
      <c r="A3063" s="7" t="n">
        <v>81121185</v>
      </c>
      <c r="B3063" s="7" t="s">
        <v>68</v>
      </c>
      <c r="C3063" s="7" t="s">
        <v>6512</v>
      </c>
      <c r="D3063" s="7" t="s">
        <v>6513</v>
      </c>
      <c r="E3063" s="7" t="s">
        <v>26</v>
      </c>
      <c r="F3063" s="7" t="s">
        <v>6464</v>
      </c>
      <c r="G3063" s="7" t="n">
        <v>2017</v>
      </c>
      <c r="H3063" s="7" t="s">
        <v>50</v>
      </c>
      <c r="I3063" s="7" t="s">
        <v>1028</v>
      </c>
      <c r="J3063" s="7" t="s">
        <v>39</v>
      </c>
      <c r="K3063" s="7" t="n">
        <f aca="false">IFERROR(VALUE(RIGHT(TRIM(F3063),4)),"")</f>
        <v>2019</v>
      </c>
      <c r="L3063" s="7" t="str">
        <f aca="false">IF(TRIM(E3063)="","Unknown",IFERROR(LEFT(TRIM(E3063),FIND(",",TRIM(E3063))-1),TRIM(E3063)))</f>
        <v>United States</v>
      </c>
      <c r="M3063" s="7" t="str">
        <f aca="false">IFERROR(LEFT(J3063,FIND(",",J3063)-1),J3063)</f>
        <v>Documentaries</v>
      </c>
      <c r="N3063" s="7" t="n">
        <f aca="false">IF(B3063="Movie",IFERROR(VALUE(LEFT(I3063,FIND(" ",I3063)-1)),""),"")</f>
        <v>54</v>
      </c>
      <c r="O3063" s="7" t="str">
        <f aca="false">IF(B3063="TV Show",IFERROR(VALUE(LEFT(I3063,FIND(" ",I3063)-1)),""),"")</f>
        <v/>
      </c>
      <c r="P3063" s="7" t="n">
        <f aca="false">IF(K3063="","",K3063-G3063)</f>
        <v>2</v>
      </c>
    </row>
    <row r="3064" customFormat="false" ht="15" hidden="false" customHeight="false" outlineLevel="0" collapsed="false">
      <c r="A3064" s="7" t="n">
        <v>81121186</v>
      </c>
      <c r="B3064" s="7" t="s">
        <v>68</v>
      </c>
      <c r="C3064" s="7" t="s">
        <v>6514</v>
      </c>
      <c r="D3064" s="7" t="s">
        <v>6515</v>
      </c>
      <c r="E3064" s="7" t="s">
        <v>26</v>
      </c>
      <c r="F3064" s="7" t="s">
        <v>6464</v>
      </c>
      <c r="G3064" s="7" t="n">
        <v>2018</v>
      </c>
      <c r="H3064" s="7" t="s">
        <v>226</v>
      </c>
      <c r="I3064" s="7" t="s">
        <v>3882</v>
      </c>
      <c r="J3064" s="7" t="s">
        <v>39</v>
      </c>
      <c r="K3064" s="7" t="n">
        <f aca="false">IFERROR(VALUE(RIGHT(TRIM(F3064),4)),"")</f>
        <v>2019</v>
      </c>
      <c r="L3064" s="7" t="str">
        <f aca="false">IF(TRIM(E3064)="","Unknown",IFERROR(LEFT(TRIM(E3064),FIND(",",TRIM(E3064))-1),TRIM(E3064)))</f>
        <v>United States</v>
      </c>
      <c r="M3064" s="7" t="str">
        <f aca="false">IFERROR(LEFT(J3064,FIND(",",J3064)-1),J3064)</f>
        <v>Documentaries</v>
      </c>
      <c r="N3064" s="7" t="n">
        <f aca="false">IF(B3064="Movie",IFERROR(VALUE(LEFT(I3064,FIND(" ",I3064)-1)),""),"")</f>
        <v>53</v>
      </c>
      <c r="O3064" s="7" t="str">
        <f aca="false">IF(B3064="TV Show",IFERROR(VALUE(LEFT(I3064,FIND(" ",I3064)-1)),""),"")</f>
        <v/>
      </c>
      <c r="P3064" s="7" t="n">
        <f aca="false">IF(K3064="","",K3064-G3064)</f>
        <v>1</v>
      </c>
    </row>
    <row r="3065" customFormat="false" ht="15" hidden="false" customHeight="false" outlineLevel="0" collapsed="false">
      <c r="A3065" s="7" t="n">
        <v>81121187</v>
      </c>
      <c r="B3065" s="7" t="s">
        <v>68</v>
      </c>
      <c r="C3065" s="7" t="s">
        <v>6516</v>
      </c>
      <c r="D3065" s="7" t="s">
        <v>6517</v>
      </c>
      <c r="E3065" s="7" t="s">
        <v>26</v>
      </c>
      <c r="F3065" s="7" t="s">
        <v>6464</v>
      </c>
      <c r="G3065" s="7" t="n">
        <v>2017</v>
      </c>
      <c r="H3065" s="7" t="s">
        <v>50</v>
      </c>
      <c r="I3065" s="7" t="s">
        <v>3882</v>
      </c>
      <c r="J3065" s="7" t="s">
        <v>39</v>
      </c>
      <c r="K3065" s="7" t="n">
        <f aca="false">IFERROR(VALUE(RIGHT(TRIM(F3065),4)),"")</f>
        <v>2019</v>
      </c>
      <c r="L3065" s="7" t="str">
        <f aca="false">IF(TRIM(E3065)="","Unknown",IFERROR(LEFT(TRIM(E3065),FIND(",",TRIM(E3065))-1),TRIM(E3065)))</f>
        <v>United States</v>
      </c>
      <c r="M3065" s="7" t="str">
        <f aca="false">IFERROR(LEFT(J3065,FIND(",",J3065)-1),J3065)</f>
        <v>Documentaries</v>
      </c>
      <c r="N3065" s="7" t="n">
        <f aca="false">IF(B3065="Movie",IFERROR(VALUE(LEFT(I3065,FIND(" ",I3065)-1)),""),"")</f>
        <v>53</v>
      </c>
      <c r="O3065" s="7" t="str">
        <f aca="false">IF(B3065="TV Show",IFERROR(VALUE(LEFT(I3065,FIND(" ",I3065)-1)),""),"")</f>
        <v/>
      </c>
      <c r="P3065" s="7" t="n">
        <f aca="false">IF(K3065="","",K3065-G3065)</f>
        <v>2</v>
      </c>
    </row>
    <row r="3066" customFormat="false" ht="15" hidden="false" customHeight="false" outlineLevel="0" collapsed="false">
      <c r="A3066" s="7" t="n">
        <v>81121188</v>
      </c>
      <c r="B3066" s="7" t="s">
        <v>68</v>
      </c>
      <c r="C3066" s="7" t="s">
        <v>6518</v>
      </c>
      <c r="D3066" s="7" t="s">
        <v>6519</v>
      </c>
      <c r="E3066" s="7" t="s">
        <v>26</v>
      </c>
      <c r="F3066" s="7" t="s">
        <v>6464</v>
      </c>
      <c r="G3066" s="7" t="n">
        <v>2018</v>
      </c>
      <c r="H3066" s="7" t="s">
        <v>50</v>
      </c>
      <c r="I3066" s="7" t="s">
        <v>3882</v>
      </c>
      <c r="J3066" s="7" t="s">
        <v>39</v>
      </c>
      <c r="K3066" s="7" t="n">
        <f aca="false">IFERROR(VALUE(RIGHT(TRIM(F3066),4)),"")</f>
        <v>2019</v>
      </c>
      <c r="L3066" s="7" t="str">
        <f aca="false">IF(TRIM(E3066)="","Unknown",IFERROR(LEFT(TRIM(E3066),FIND(",",TRIM(E3066))-1),TRIM(E3066)))</f>
        <v>United States</v>
      </c>
      <c r="M3066" s="7" t="str">
        <f aca="false">IFERROR(LEFT(J3066,FIND(",",J3066)-1),J3066)</f>
        <v>Documentaries</v>
      </c>
      <c r="N3066" s="7" t="n">
        <f aca="false">IF(B3066="Movie",IFERROR(VALUE(LEFT(I3066,FIND(" ",I3066)-1)),""),"")</f>
        <v>53</v>
      </c>
      <c r="O3066" s="7" t="str">
        <f aca="false">IF(B3066="TV Show",IFERROR(VALUE(LEFT(I3066,FIND(" ",I3066)-1)),""),"")</f>
        <v/>
      </c>
      <c r="P3066" s="7" t="n">
        <f aca="false">IF(K3066="","",K3066-G3066)</f>
        <v>1</v>
      </c>
    </row>
    <row r="3067" customFormat="false" ht="15" hidden="false" customHeight="false" outlineLevel="0" collapsed="false">
      <c r="A3067" s="7" t="n">
        <v>81121189</v>
      </c>
      <c r="B3067" s="7" t="s">
        <v>68</v>
      </c>
      <c r="C3067" s="7" t="s">
        <v>6520</v>
      </c>
      <c r="D3067" s="7" t="s">
        <v>6521</v>
      </c>
      <c r="E3067" s="7" t="s">
        <v>26</v>
      </c>
      <c r="F3067" s="7" t="s">
        <v>6464</v>
      </c>
      <c r="G3067" s="7" t="n">
        <v>2018</v>
      </c>
      <c r="H3067" s="7" t="s">
        <v>50</v>
      </c>
      <c r="I3067" s="7" t="s">
        <v>146</v>
      </c>
      <c r="J3067" s="7" t="s">
        <v>39</v>
      </c>
      <c r="K3067" s="7" t="n">
        <f aca="false">IFERROR(VALUE(RIGHT(TRIM(F3067),4)),"")</f>
        <v>2019</v>
      </c>
      <c r="L3067" s="7" t="str">
        <f aca="false">IF(TRIM(E3067)="","Unknown",IFERROR(LEFT(TRIM(E3067),FIND(",",TRIM(E3067))-1),TRIM(E3067)))</f>
        <v>United States</v>
      </c>
      <c r="M3067" s="7" t="str">
        <f aca="false">IFERROR(LEFT(J3067,FIND(",",J3067)-1),J3067)</f>
        <v>Documentaries</v>
      </c>
      <c r="N3067" s="7" t="n">
        <f aca="false">IF(B3067="Movie",IFERROR(VALUE(LEFT(I3067,FIND(" ",I3067)-1)),""),"")</f>
        <v>113</v>
      </c>
      <c r="O3067" s="7" t="str">
        <f aca="false">IF(B3067="TV Show",IFERROR(VALUE(LEFT(I3067,FIND(" ",I3067)-1)),""),"")</f>
        <v/>
      </c>
      <c r="P3067" s="7" t="n">
        <f aca="false">IF(K3067="","",K3067-G3067)</f>
        <v>1</v>
      </c>
    </row>
    <row r="3068" customFormat="false" ht="15" hidden="false" customHeight="false" outlineLevel="0" collapsed="false">
      <c r="A3068" s="7" t="n">
        <v>70265211</v>
      </c>
      <c r="B3068" s="7" t="s">
        <v>68</v>
      </c>
      <c r="C3068" s="7" t="s">
        <v>6522</v>
      </c>
      <c r="D3068" s="7" t="s">
        <v>6523</v>
      </c>
      <c r="E3068" s="7" t="s">
        <v>26</v>
      </c>
      <c r="F3068" s="7" t="s">
        <v>6464</v>
      </c>
      <c r="G3068" s="7" t="n">
        <v>2012</v>
      </c>
      <c r="H3068" s="7" t="s">
        <v>226</v>
      </c>
      <c r="I3068" s="7" t="s">
        <v>3882</v>
      </c>
      <c r="J3068" s="7" t="s">
        <v>10</v>
      </c>
      <c r="K3068" s="7" t="n">
        <f aca="false">IFERROR(VALUE(RIGHT(TRIM(F3068),4)),"")</f>
        <v>2019</v>
      </c>
      <c r="L3068" s="7" t="str">
        <f aca="false">IF(TRIM(E3068)="","Unknown",IFERROR(LEFT(TRIM(E3068),FIND(",",TRIM(E3068))-1),TRIM(E3068)))</f>
        <v>United States</v>
      </c>
      <c r="M3068" s="7" t="str">
        <f aca="false">IFERROR(LEFT(J3068,FIND(",",J3068)-1),J3068)</f>
        <v>Movies</v>
      </c>
      <c r="N3068" s="7" t="n">
        <f aca="false">IF(B3068="Movie",IFERROR(VALUE(LEFT(I3068,FIND(" ",I3068)-1)),""),"")</f>
        <v>53</v>
      </c>
      <c r="O3068" s="7" t="str">
        <f aca="false">IF(B3068="TV Show",IFERROR(VALUE(LEFT(I3068,FIND(" ",I3068)-1)),""),"")</f>
        <v/>
      </c>
      <c r="P3068" s="7" t="n">
        <f aca="false">IF(K3068="","",K3068-G3068)</f>
        <v>7</v>
      </c>
    </row>
    <row r="3069" customFormat="false" ht="15" hidden="false" customHeight="false" outlineLevel="0" collapsed="false">
      <c r="A3069" s="7" t="n">
        <v>70109689</v>
      </c>
      <c r="B3069" s="7" t="s">
        <v>68</v>
      </c>
      <c r="C3069" s="7" t="s">
        <v>6524</v>
      </c>
      <c r="D3069" s="7" t="s">
        <v>4522</v>
      </c>
      <c r="E3069" s="7" t="s">
        <v>26</v>
      </c>
      <c r="F3069" s="7" t="s">
        <v>6464</v>
      </c>
      <c r="G3069" s="7" t="n">
        <v>2009</v>
      </c>
      <c r="H3069" s="7" t="s">
        <v>54</v>
      </c>
      <c r="I3069" s="7" t="s">
        <v>470</v>
      </c>
      <c r="J3069" s="7" t="s">
        <v>967</v>
      </c>
      <c r="K3069" s="7" t="n">
        <f aca="false">IFERROR(VALUE(RIGHT(TRIM(F3069),4)),"")</f>
        <v>2019</v>
      </c>
      <c r="L3069" s="7" t="str">
        <f aca="false">IF(TRIM(E3069)="","Unknown",IFERROR(LEFT(TRIM(E3069),FIND(",",TRIM(E3069))-1),TRIM(E3069)))</f>
        <v>United States</v>
      </c>
      <c r="M3069" s="7" t="str">
        <f aca="false">IFERROR(LEFT(J3069,FIND(",",J3069)-1),J3069)</f>
        <v>Action &amp; Adventure</v>
      </c>
      <c r="N3069" s="7" t="n">
        <f aca="false">IF(B3069="Movie",IFERROR(VALUE(LEFT(I3069,FIND(" ",I3069)-1)),""),"")</f>
        <v>91</v>
      </c>
      <c r="O3069" s="7" t="str">
        <f aca="false">IF(B3069="TV Show",IFERROR(VALUE(LEFT(I3069,FIND(" ",I3069)-1)),""),"")</f>
        <v/>
      </c>
      <c r="P3069" s="7" t="n">
        <f aca="false">IF(K3069="","",K3069-G3069)</f>
        <v>10</v>
      </c>
    </row>
    <row r="3070" customFormat="false" ht="15" hidden="false" customHeight="false" outlineLevel="0" collapsed="false">
      <c r="A3070" s="7" t="n">
        <v>855084</v>
      </c>
      <c r="B3070" s="7" t="s">
        <v>68</v>
      </c>
      <c r="C3070" s="7" t="s">
        <v>6525</v>
      </c>
      <c r="D3070" s="7" t="s">
        <v>931</v>
      </c>
      <c r="E3070" s="7" t="s">
        <v>26</v>
      </c>
      <c r="F3070" s="7" t="s">
        <v>6464</v>
      </c>
      <c r="G3070" s="7" t="n">
        <v>1993</v>
      </c>
      <c r="H3070" s="7" t="s">
        <v>52</v>
      </c>
      <c r="I3070" s="7" t="s">
        <v>235</v>
      </c>
      <c r="J3070" s="7" t="s">
        <v>6526</v>
      </c>
      <c r="K3070" s="7" t="n">
        <f aca="false">IFERROR(VALUE(RIGHT(TRIM(F3070),4)),"")</f>
        <v>2019</v>
      </c>
      <c r="L3070" s="7" t="str">
        <f aca="false">IF(TRIM(E3070)="","Unknown",IFERROR(LEFT(TRIM(E3070),FIND(",",TRIM(E3070))-1),TRIM(E3070)))</f>
        <v>United States</v>
      </c>
      <c r="M3070" s="7" t="str">
        <f aca="false">IFERROR(LEFT(J3070,FIND(",",J3070)-1),J3070)</f>
        <v>Classic Movies</v>
      </c>
      <c r="N3070" s="7" t="n">
        <f aca="false">IF(B3070="Movie",IFERROR(VALUE(LEFT(I3070,FIND(" ",I3070)-1)),""),"")</f>
        <v>126</v>
      </c>
      <c r="O3070" s="7" t="str">
        <f aca="false">IF(B3070="TV Show",IFERROR(VALUE(LEFT(I3070,FIND(" ",I3070)-1)),""),"")</f>
        <v/>
      </c>
      <c r="P3070" s="7" t="n">
        <f aca="false">IF(K3070="","",K3070-G3070)</f>
        <v>26</v>
      </c>
    </row>
    <row r="3071" customFormat="false" ht="15" hidden="false" customHeight="false" outlineLevel="0" collapsed="false">
      <c r="A3071" s="7" t="n">
        <v>80005772</v>
      </c>
      <c r="B3071" s="7" t="s">
        <v>78</v>
      </c>
      <c r="C3071" s="7" t="s">
        <v>6527</v>
      </c>
      <c r="E3071" s="7" t="s">
        <v>31</v>
      </c>
      <c r="F3071" s="7" t="s">
        <v>6464</v>
      </c>
      <c r="G3071" s="7" t="n">
        <v>2018</v>
      </c>
      <c r="H3071" s="7" t="s">
        <v>55</v>
      </c>
      <c r="I3071" s="7" t="s">
        <v>82</v>
      </c>
      <c r="J3071" s="7" t="s">
        <v>191</v>
      </c>
      <c r="K3071" s="7" t="n">
        <f aca="false">IFERROR(VALUE(RIGHT(TRIM(F3071),4)),"")</f>
        <v>2019</v>
      </c>
      <c r="L3071" s="7" t="str">
        <f aca="false">IF(TRIM(E3071)="","Unknown",IFERROR(LEFT(TRIM(E3071),FIND(",",TRIM(E3071))-1),TRIM(E3071)))</f>
        <v>France</v>
      </c>
      <c r="M3071" s="7" t="str">
        <f aca="false">IFERROR(LEFT(J3071,FIND(",",J3071)-1),J3071)</f>
        <v>Kids' TV</v>
      </c>
      <c r="N3071" s="7" t="str">
        <f aca="false">IF(B3071="Movie",IFERROR(VALUE(LEFT(I3071,FIND(" ",I3071)-1)),""),"")</f>
        <v/>
      </c>
      <c r="O3071" s="7" t="n">
        <f aca="false">IF(B3071="TV Show",IFERROR(VALUE(LEFT(I3071,FIND(" ",I3071)-1)),""),"")</f>
        <v>1</v>
      </c>
      <c r="P3071" s="7" t="n">
        <f aca="false">IF(K3071="","",K3071-G3071)</f>
        <v>1</v>
      </c>
    </row>
    <row r="3072" customFormat="false" ht="15" hidden="false" customHeight="false" outlineLevel="0" collapsed="false">
      <c r="A3072" s="7" t="n">
        <v>70105369</v>
      </c>
      <c r="B3072" s="7" t="s">
        <v>68</v>
      </c>
      <c r="C3072" s="7" t="s">
        <v>6528</v>
      </c>
      <c r="D3072" s="7" t="s">
        <v>6529</v>
      </c>
      <c r="E3072" s="7" t="s">
        <v>26</v>
      </c>
      <c r="F3072" s="7" t="s">
        <v>6464</v>
      </c>
      <c r="G3072" s="7" t="n">
        <v>2009</v>
      </c>
      <c r="H3072" s="7" t="s">
        <v>54</v>
      </c>
      <c r="I3072" s="7" t="s">
        <v>87</v>
      </c>
      <c r="J3072" s="7" t="s">
        <v>42</v>
      </c>
      <c r="K3072" s="7" t="n">
        <f aca="false">IFERROR(VALUE(RIGHT(TRIM(F3072),4)),"")</f>
        <v>2019</v>
      </c>
      <c r="L3072" s="7" t="str">
        <f aca="false">IF(TRIM(E3072)="","Unknown",IFERROR(LEFT(TRIM(E3072),FIND(",",TRIM(E3072))-1),TRIM(E3072)))</f>
        <v>United States</v>
      </c>
      <c r="M3072" s="7" t="str">
        <f aca="false">IFERROR(LEFT(J3072,FIND(",",J3072)-1),J3072)</f>
        <v>Children &amp; Family Movies</v>
      </c>
      <c r="N3072" s="7" t="n">
        <f aca="false">IF(B3072="Movie",IFERROR(VALUE(LEFT(I3072,FIND(" ",I3072)-1)),""),"")</f>
        <v>99</v>
      </c>
      <c r="O3072" s="7" t="str">
        <f aca="false">IF(B3072="TV Show",IFERROR(VALUE(LEFT(I3072,FIND(" ",I3072)-1)),""),"")</f>
        <v/>
      </c>
      <c r="P3072" s="7" t="n">
        <f aca="false">IF(K3072="","",K3072-G3072)</f>
        <v>10</v>
      </c>
    </row>
    <row r="3073" customFormat="false" ht="15" hidden="false" customHeight="false" outlineLevel="0" collapsed="false">
      <c r="A3073" s="7" t="n">
        <v>60029369</v>
      </c>
      <c r="B3073" s="7" t="s">
        <v>68</v>
      </c>
      <c r="C3073" s="7" t="s">
        <v>6530</v>
      </c>
      <c r="D3073" s="7" t="s">
        <v>6531</v>
      </c>
      <c r="E3073" s="7" t="s">
        <v>26</v>
      </c>
      <c r="F3073" s="7" t="s">
        <v>6464</v>
      </c>
      <c r="G3073" s="7" t="n">
        <v>1988</v>
      </c>
      <c r="H3073" s="7" t="s">
        <v>51</v>
      </c>
      <c r="I3073" s="7" t="s">
        <v>2192</v>
      </c>
      <c r="J3073" s="7" t="s">
        <v>3151</v>
      </c>
      <c r="K3073" s="7" t="n">
        <f aca="false">IFERROR(VALUE(RIGHT(TRIM(F3073),4)),"")</f>
        <v>2019</v>
      </c>
      <c r="L3073" s="7" t="str">
        <f aca="false">IF(TRIM(E3073)="","Unknown",IFERROR(LEFT(TRIM(E3073),FIND(",",TRIM(E3073))-1),TRIM(E3073)))</f>
        <v>United States</v>
      </c>
      <c r="M3073" s="7" t="str">
        <f aca="false">IFERROR(LEFT(J3073,FIND(",",J3073)-1),J3073)</f>
        <v>Classic Movies</v>
      </c>
      <c r="N3073" s="7" t="n">
        <f aca="false">IF(B3073="Movie",IFERROR(VALUE(LEFT(I3073,FIND(" ",I3073)-1)),""),"")</f>
        <v>134</v>
      </c>
      <c r="O3073" s="7" t="str">
        <f aca="false">IF(B3073="TV Show",IFERROR(VALUE(LEFT(I3073,FIND(" ",I3073)-1)),""),"")</f>
        <v/>
      </c>
      <c r="P3073" s="7" t="n">
        <f aca="false">IF(K3073="","",K3073-G3073)</f>
        <v>31</v>
      </c>
    </row>
    <row r="3074" customFormat="false" ht="15" hidden="false" customHeight="false" outlineLevel="0" collapsed="false">
      <c r="A3074" s="7" t="n">
        <v>81086718</v>
      </c>
      <c r="B3074" s="7" t="s">
        <v>78</v>
      </c>
      <c r="C3074" s="7" t="s">
        <v>6532</v>
      </c>
      <c r="E3074" s="7" t="s">
        <v>30</v>
      </c>
      <c r="F3074" s="7" t="s">
        <v>6464</v>
      </c>
      <c r="G3074" s="7" t="n">
        <v>2018</v>
      </c>
      <c r="H3074" s="7" t="s">
        <v>48</v>
      </c>
      <c r="I3074" s="7" t="s">
        <v>82</v>
      </c>
      <c r="J3074" s="7" t="s">
        <v>2368</v>
      </c>
      <c r="K3074" s="7" t="n">
        <f aca="false">IFERROR(VALUE(RIGHT(TRIM(F3074),4)),"")</f>
        <v>2019</v>
      </c>
      <c r="L3074" s="7" t="str">
        <f aca="false">IF(TRIM(E3074)="","Unknown",IFERROR(LEFT(TRIM(E3074),FIND(",",TRIM(E3074))-1),TRIM(E3074)))</f>
        <v>Japan</v>
      </c>
      <c r="M3074" s="7" t="str">
        <f aca="false">IFERROR(LEFT(J3074,FIND(",",J3074)-1),J3074)</f>
        <v>Anime Series</v>
      </c>
      <c r="N3074" s="7" t="str">
        <f aca="false">IF(B3074="Movie",IFERROR(VALUE(LEFT(I3074,FIND(" ",I3074)-1)),""),"")</f>
        <v/>
      </c>
      <c r="O3074" s="7" t="n">
        <f aca="false">IF(B3074="TV Show",IFERROR(VALUE(LEFT(I3074,FIND(" ",I3074)-1)),""),"")</f>
        <v>1</v>
      </c>
      <c r="P3074" s="7" t="n">
        <f aca="false">IF(K3074="","",K3074-G3074)</f>
        <v>1</v>
      </c>
    </row>
    <row r="3075" customFormat="false" ht="15" hidden="false" customHeight="false" outlineLevel="0" collapsed="false">
      <c r="A3075" s="7" t="n">
        <v>80005738</v>
      </c>
      <c r="B3075" s="7" t="s">
        <v>68</v>
      </c>
      <c r="C3075" s="7" t="s">
        <v>6533</v>
      </c>
      <c r="D3075" s="7" t="s">
        <v>6534</v>
      </c>
      <c r="E3075" s="7" t="s">
        <v>28</v>
      </c>
      <c r="F3075" s="7" t="s">
        <v>6464</v>
      </c>
      <c r="G3075" s="7" t="n">
        <v>2012</v>
      </c>
      <c r="H3075" s="7" t="s">
        <v>612</v>
      </c>
      <c r="I3075" s="7" t="s">
        <v>6535</v>
      </c>
      <c r="J3075" s="7" t="s">
        <v>6536</v>
      </c>
      <c r="K3075" s="7" t="n">
        <f aca="false">IFERROR(VALUE(RIGHT(TRIM(F3075),4)),"")</f>
        <v>2019</v>
      </c>
      <c r="L3075" s="7" t="str">
        <f aca="false">IF(TRIM(E3075)="","Unknown",IFERROR(LEFT(TRIM(E3075),FIND(",",TRIM(E3075))-1),TRIM(E3075)))</f>
        <v>United Kingdom</v>
      </c>
      <c r="M3075" s="7" t="str">
        <f aca="false">IFERROR(LEFT(J3075,FIND(",",J3075)-1),J3075)</f>
        <v>Children &amp; Family Movies</v>
      </c>
      <c r="N3075" s="7" t="n">
        <f aca="false">IF(B3075="Movie",IFERROR(VALUE(LEFT(I3075,FIND(" ",I3075)-1)),""),"")</f>
        <v>26</v>
      </c>
      <c r="O3075" s="7" t="str">
        <f aca="false">IF(B3075="TV Show",IFERROR(VALUE(LEFT(I3075,FIND(" ",I3075)-1)),""),"")</f>
        <v/>
      </c>
      <c r="P3075" s="7" t="n">
        <f aca="false">IF(K3075="","",K3075-G3075)</f>
        <v>7</v>
      </c>
    </row>
    <row r="3076" customFormat="false" ht="15" hidden="false" customHeight="false" outlineLevel="0" collapsed="false">
      <c r="A3076" s="7" t="n">
        <v>60000415</v>
      </c>
      <c r="B3076" s="7" t="s">
        <v>68</v>
      </c>
      <c r="C3076" s="7" t="s">
        <v>6537</v>
      </c>
      <c r="D3076" s="7" t="s">
        <v>2059</v>
      </c>
      <c r="E3076" s="7" t="s">
        <v>26</v>
      </c>
      <c r="F3076" s="7" t="s">
        <v>6464</v>
      </c>
      <c r="G3076" s="7" t="n">
        <v>2000</v>
      </c>
      <c r="H3076" s="7" t="s">
        <v>51</v>
      </c>
      <c r="I3076" s="7" t="s">
        <v>386</v>
      </c>
      <c r="J3076" s="7" t="s">
        <v>265</v>
      </c>
      <c r="K3076" s="7" t="n">
        <f aca="false">IFERROR(VALUE(RIGHT(TRIM(F3076),4)),"")</f>
        <v>2019</v>
      </c>
      <c r="L3076" s="7" t="str">
        <f aca="false">IF(TRIM(E3076)="","Unknown",IFERROR(LEFT(TRIM(E3076),FIND(",",TRIM(E3076))-1),TRIM(E3076)))</f>
        <v>United States</v>
      </c>
      <c r="M3076" s="7" t="str">
        <f aca="false">IFERROR(LEFT(J3076,FIND(",",J3076)-1),J3076)</f>
        <v>Horror Movies</v>
      </c>
      <c r="N3076" s="7" t="n">
        <f aca="false">IF(B3076="Movie",IFERROR(VALUE(LEFT(I3076,FIND(" ",I3076)-1)),""),"")</f>
        <v>117</v>
      </c>
      <c r="O3076" s="7" t="str">
        <f aca="false">IF(B3076="TV Show",IFERROR(VALUE(LEFT(I3076,FIND(" ",I3076)-1)),""),"")</f>
        <v/>
      </c>
      <c r="P3076" s="7" t="n">
        <f aca="false">IF(K3076="","",K3076-G3076)</f>
        <v>19</v>
      </c>
    </row>
    <row r="3077" customFormat="false" ht="15" hidden="false" customHeight="false" outlineLevel="0" collapsed="false">
      <c r="A3077" s="7" t="n">
        <v>70112731</v>
      </c>
      <c r="B3077" s="7" t="s">
        <v>68</v>
      </c>
      <c r="C3077" s="7" t="s">
        <v>6538</v>
      </c>
      <c r="D3077" s="7" t="s">
        <v>4325</v>
      </c>
      <c r="E3077" s="7" t="s">
        <v>2690</v>
      </c>
      <c r="F3077" s="7" t="s">
        <v>6464</v>
      </c>
      <c r="G3077" s="7" t="n">
        <v>2009</v>
      </c>
      <c r="H3077" s="7" t="s">
        <v>54</v>
      </c>
      <c r="I3077" s="7" t="s">
        <v>357</v>
      </c>
      <c r="J3077" s="7" t="s">
        <v>74</v>
      </c>
      <c r="K3077" s="7" t="n">
        <f aca="false">IFERROR(VALUE(RIGHT(TRIM(F3077),4)),"")</f>
        <v>2019</v>
      </c>
      <c r="L3077" s="7" t="str">
        <f aca="false">IF(TRIM(E3077)="","Unknown",IFERROR(LEFT(TRIM(E3077),FIND(",",TRIM(E3077))-1),TRIM(E3077)))</f>
        <v>United States</v>
      </c>
      <c r="M3077" s="7" t="str">
        <f aca="false">IFERROR(LEFT(J3077,FIND(",",J3077)-1),J3077)</f>
        <v>Children &amp; Family Movies</v>
      </c>
      <c r="N3077" s="7" t="n">
        <f aca="false">IF(B3077="Movie",IFERROR(VALUE(LEFT(I3077,FIND(" ",I3077)-1)),""),"")</f>
        <v>89</v>
      </c>
      <c r="O3077" s="7" t="str">
        <f aca="false">IF(B3077="TV Show",IFERROR(VALUE(LEFT(I3077,FIND(" ",I3077)-1)),""),"")</f>
        <v/>
      </c>
      <c r="P3077" s="7" t="n">
        <f aca="false">IF(K3077="","",K3077-G3077)</f>
        <v>10</v>
      </c>
    </row>
    <row r="3078" customFormat="false" ht="15" hidden="false" customHeight="false" outlineLevel="0" collapsed="false">
      <c r="A3078" s="7" t="n">
        <v>81130297</v>
      </c>
      <c r="B3078" s="7" t="s">
        <v>68</v>
      </c>
      <c r="C3078" s="7" t="s">
        <v>6539</v>
      </c>
      <c r="D3078" s="7" t="s">
        <v>6540</v>
      </c>
      <c r="E3078" s="7" t="s">
        <v>26</v>
      </c>
      <c r="F3078" s="7" t="s">
        <v>6464</v>
      </c>
      <c r="G3078" s="7" t="n">
        <v>2019</v>
      </c>
      <c r="H3078" s="7" t="s">
        <v>48</v>
      </c>
      <c r="I3078" s="7" t="s">
        <v>77</v>
      </c>
      <c r="J3078" s="7" t="s">
        <v>652</v>
      </c>
      <c r="K3078" s="7" t="n">
        <f aca="false">IFERROR(VALUE(RIGHT(TRIM(F3078),4)),"")</f>
        <v>2019</v>
      </c>
      <c r="L3078" s="7" t="str">
        <f aca="false">IF(TRIM(E3078)="","Unknown",IFERROR(LEFT(TRIM(E3078),FIND(",",TRIM(E3078))-1),TRIM(E3078)))</f>
        <v>United States</v>
      </c>
      <c r="M3078" s="7" t="str">
        <f aca="false">IFERROR(LEFT(J3078,FIND(",",J3078)-1),J3078)</f>
        <v>Horror Movies</v>
      </c>
      <c r="N3078" s="7" t="n">
        <f aca="false">IF(B3078="Movie",IFERROR(VALUE(LEFT(I3078,FIND(" ",I3078)-1)),""),"")</f>
        <v>94</v>
      </c>
      <c r="O3078" s="7" t="str">
        <f aca="false">IF(B3078="TV Show",IFERROR(VALUE(LEFT(I3078,FIND(" ",I3078)-1)),""),"")</f>
        <v/>
      </c>
      <c r="P3078" s="7" t="n">
        <f aca="false">IF(K3078="","",K3078-G3078)</f>
        <v>0</v>
      </c>
    </row>
    <row r="3079" customFormat="false" ht="15" hidden="false" customHeight="false" outlineLevel="0" collapsed="false">
      <c r="A3079" s="7" t="n">
        <v>60033320</v>
      </c>
      <c r="B3079" s="7" t="s">
        <v>68</v>
      </c>
      <c r="C3079" s="7" t="s">
        <v>6541</v>
      </c>
      <c r="D3079" s="7" t="s">
        <v>6542</v>
      </c>
      <c r="E3079" s="7" t="s">
        <v>26</v>
      </c>
      <c r="F3079" s="7" t="s">
        <v>6464</v>
      </c>
      <c r="G3079" s="7" t="n">
        <v>2004</v>
      </c>
      <c r="H3079" s="7" t="s">
        <v>52</v>
      </c>
      <c r="I3079" s="7" t="s">
        <v>512</v>
      </c>
      <c r="J3079" s="7" t="s">
        <v>967</v>
      </c>
      <c r="K3079" s="7" t="n">
        <f aca="false">IFERROR(VALUE(RIGHT(TRIM(F3079),4)),"")</f>
        <v>2019</v>
      </c>
      <c r="L3079" s="7" t="str">
        <f aca="false">IF(TRIM(E3079)="","Unknown",IFERROR(LEFT(TRIM(E3079),FIND(",",TRIM(E3079))-1),TRIM(E3079)))</f>
        <v>United States</v>
      </c>
      <c r="M3079" s="7" t="str">
        <f aca="false">IFERROR(LEFT(J3079,FIND(",",J3079)-1),J3079)</f>
        <v>Action &amp; Adventure</v>
      </c>
      <c r="N3079" s="7" t="n">
        <f aca="false">IF(B3079="Movie",IFERROR(VALUE(LEFT(I3079,FIND(" ",I3079)-1)),""),"")</f>
        <v>101</v>
      </c>
      <c r="O3079" s="7" t="str">
        <f aca="false">IF(B3079="TV Show",IFERROR(VALUE(LEFT(I3079,FIND(" ",I3079)-1)),""),"")</f>
        <v/>
      </c>
      <c r="P3079" s="7" t="n">
        <f aca="false">IF(K3079="","",K3079-G3079)</f>
        <v>15</v>
      </c>
    </row>
    <row r="3080" customFormat="false" ht="15" hidden="false" customHeight="false" outlineLevel="0" collapsed="false">
      <c r="A3080" s="7" t="n">
        <v>81100120</v>
      </c>
      <c r="B3080" s="7" t="s">
        <v>78</v>
      </c>
      <c r="C3080" s="7" t="s">
        <v>6543</v>
      </c>
      <c r="F3080" s="7" t="s">
        <v>6464</v>
      </c>
      <c r="G3080" s="7" t="n">
        <v>2017</v>
      </c>
      <c r="H3080" s="7" t="s">
        <v>55</v>
      </c>
      <c r="I3080" s="7" t="s">
        <v>82</v>
      </c>
      <c r="J3080" s="7" t="s">
        <v>1686</v>
      </c>
      <c r="K3080" s="7" t="n">
        <f aca="false">IFERROR(VALUE(RIGHT(TRIM(F3080),4)),"")</f>
        <v>2019</v>
      </c>
      <c r="L3080" s="7" t="str">
        <f aca="false">IF(TRIM(E3080)="","Unknown",IFERROR(LEFT(TRIM(E3080),FIND(",",TRIM(E3080))-1),TRIM(E3080)))</f>
        <v>Unknown</v>
      </c>
      <c r="M3080" s="7" t="str">
        <f aca="false">IFERROR(LEFT(J3080,FIND(",",J3080)-1),J3080)</f>
        <v>Kids' TV</v>
      </c>
      <c r="N3080" s="7" t="str">
        <f aca="false">IF(B3080="Movie",IFERROR(VALUE(LEFT(I3080,FIND(" ",I3080)-1)),""),"")</f>
        <v/>
      </c>
      <c r="O3080" s="7" t="n">
        <f aca="false">IF(B3080="TV Show",IFERROR(VALUE(LEFT(I3080,FIND(" ",I3080)-1)),""),"")</f>
        <v>1</v>
      </c>
      <c r="P3080" s="7" t="n">
        <f aca="false">IF(K3080="","",K3080-G3080)</f>
        <v>2</v>
      </c>
    </row>
    <row r="3081" customFormat="false" ht="15" hidden="false" customHeight="false" outlineLevel="0" collapsed="false">
      <c r="A3081" s="7" t="n">
        <v>81060038</v>
      </c>
      <c r="B3081" s="7" t="s">
        <v>68</v>
      </c>
      <c r="C3081" s="7" t="s">
        <v>6544</v>
      </c>
      <c r="D3081" s="7" t="s">
        <v>6545</v>
      </c>
      <c r="E3081" s="7" t="s">
        <v>26</v>
      </c>
      <c r="F3081" s="7" t="s">
        <v>6464</v>
      </c>
      <c r="G3081" s="7" t="n">
        <v>2018</v>
      </c>
      <c r="H3081" s="7" t="s">
        <v>49</v>
      </c>
      <c r="I3081" s="7" t="s">
        <v>77</v>
      </c>
      <c r="J3081" s="7" t="s">
        <v>38</v>
      </c>
      <c r="K3081" s="7" t="n">
        <f aca="false">IFERROR(VALUE(RIGHT(TRIM(F3081),4)),"")</f>
        <v>2019</v>
      </c>
      <c r="L3081" s="7" t="str">
        <f aca="false">IF(TRIM(E3081)="","Unknown",IFERROR(LEFT(TRIM(E3081),FIND(",",TRIM(E3081))-1),TRIM(E3081)))</f>
        <v>United States</v>
      </c>
      <c r="M3081" s="7" t="str">
        <f aca="false">IFERROR(LEFT(J3081,FIND(",",J3081)-1),J3081)</f>
        <v>Comedies</v>
      </c>
      <c r="N3081" s="7" t="n">
        <f aca="false">IF(B3081="Movie",IFERROR(VALUE(LEFT(I3081,FIND(" ",I3081)-1)),""),"")</f>
        <v>94</v>
      </c>
      <c r="O3081" s="7" t="str">
        <f aca="false">IF(B3081="TV Show",IFERROR(VALUE(LEFT(I3081,FIND(" ",I3081)-1)),""),"")</f>
        <v/>
      </c>
      <c r="P3081" s="7" t="n">
        <f aca="false">IF(K3081="","",K3081-G3081)</f>
        <v>1</v>
      </c>
    </row>
    <row r="3082" customFormat="false" ht="15" hidden="false" customHeight="false" outlineLevel="0" collapsed="false">
      <c r="A3082" s="7" t="n">
        <v>60020745</v>
      </c>
      <c r="B3082" s="7" t="s">
        <v>68</v>
      </c>
      <c r="C3082" s="7" t="s">
        <v>6546</v>
      </c>
      <c r="D3082" s="7" t="s">
        <v>6547</v>
      </c>
      <c r="E3082" s="7" t="s">
        <v>26</v>
      </c>
      <c r="F3082" s="7" t="s">
        <v>6464</v>
      </c>
      <c r="G3082" s="7" t="n">
        <v>2001</v>
      </c>
      <c r="H3082" s="7" t="s">
        <v>51</v>
      </c>
      <c r="I3082" s="7" t="s">
        <v>87</v>
      </c>
      <c r="J3082" s="7" t="s">
        <v>40</v>
      </c>
      <c r="K3082" s="7" t="n">
        <f aca="false">IFERROR(VALUE(RIGHT(TRIM(F3082),4)),"")</f>
        <v>2019</v>
      </c>
      <c r="L3082" s="7" t="str">
        <f aca="false">IF(TRIM(E3082)="","Unknown",IFERROR(LEFT(TRIM(E3082),FIND(",",TRIM(E3082))-1),TRIM(E3082)))</f>
        <v>United States</v>
      </c>
      <c r="M3082" s="7" t="str">
        <f aca="false">IFERROR(LEFT(J3082,FIND(",",J3082)-1),J3082)</f>
        <v>Action &amp; Adventure</v>
      </c>
      <c r="N3082" s="7" t="n">
        <f aca="false">IF(B3082="Movie",IFERROR(VALUE(LEFT(I3082,FIND(" ",I3082)-1)),""),"")</f>
        <v>99</v>
      </c>
      <c r="O3082" s="7" t="str">
        <f aca="false">IF(B3082="TV Show",IFERROR(VALUE(LEFT(I3082,FIND(" ",I3082)-1)),""),"")</f>
        <v/>
      </c>
      <c r="P3082" s="7" t="n">
        <f aca="false">IF(K3082="","",K3082-G3082)</f>
        <v>18</v>
      </c>
    </row>
    <row r="3083" customFormat="false" ht="15" hidden="false" customHeight="false" outlineLevel="0" collapsed="false">
      <c r="A3083" s="7" t="n">
        <v>18907685</v>
      </c>
      <c r="B3083" s="7" t="s">
        <v>68</v>
      </c>
      <c r="C3083" s="7" t="s">
        <v>6548</v>
      </c>
      <c r="D3083" s="7" t="s">
        <v>2052</v>
      </c>
      <c r="E3083" s="7" t="s">
        <v>26</v>
      </c>
      <c r="F3083" s="7" t="s">
        <v>6464</v>
      </c>
      <c r="G3083" s="7" t="n">
        <v>1976</v>
      </c>
      <c r="H3083" s="7" t="s">
        <v>51</v>
      </c>
      <c r="I3083" s="7" t="s">
        <v>187</v>
      </c>
      <c r="J3083" s="7" t="s">
        <v>6256</v>
      </c>
      <c r="K3083" s="7" t="n">
        <f aca="false">IFERROR(VALUE(RIGHT(TRIM(F3083),4)),"")</f>
        <v>2019</v>
      </c>
      <c r="L3083" s="7" t="str">
        <f aca="false">IF(TRIM(E3083)="","Unknown",IFERROR(LEFT(TRIM(E3083),FIND(",",TRIM(E3083))-1),TRIM(E3083)))</f>
        <v>United States</v>
      </c>
      <c r="M3083" s="7" t="str">
        <f aca="false">IFERROR(LEFT(J3083,FIND(",",J3083)-1),J3083)</f>
        <v>Classic Movies</v>
      </c>
      <c r="N3083" s="7" t="n">
        <f aca="false">IF(B3083="Movie",IFERROR(VALUE(LEFT(I3083,FIND(" ",I3083)-1)),""),"")</f>
        <v>114</v>
      </c>
      <c r="O3083" s="7" t="str">
        <f aca="false">IF(B3083="TV Show",IFERROR(VALUE(LEFT(I3083,FIND(" ",I3083)-1)),""),"")</f>
        <v/>
      </c>
      <c r="P3083" s="7" t="n">
        <f aca="false">IF(K3083="","",K3083-G3083)</f>
        <v>43</v>
      </c>
    </row>
    <row r="3084" customFormat="false" ht="15" hidden="false" customHeight="false" outlineLevel="0" collapsed="false">
      <c r="A3084" s="7" t="n">
        <v>81113468</v>
      </c>
      <c r="B3084" s="7" t="s">
        <v>68</v>
      </c>
      <c r="C3084" s="7" t="s">
        <v>6549</v>
      </c>
      <c r="D3084" s="7" t="s">
        <v>6550</v>
      </c>
      <c r="E3084" s="7" t="s">
        <v>26</v>
      </c>
      <c r="F3084" s="7" t="s">
        <v>6464</v>
      </c>
      <c r="G3084" s="7" t="n">
        <v>2016</v>
      </c>
      <c r="H3084" s="7" t="s">
        <v>55</v>
      </c>
      <c r="I3084" s="7" t="s">
        <v>1446</v>
      </c>
      <c r="J3084" s="7" t="s">
        <v>42</v>
      </c>
      <c r="K3084" s="7" t="n">
        <f aca="false">IFERROR(VALUE(RIGHT(TRIM(F3084),4)),"")</f>
        <v>2019</v>
      </c>
      <c r="L3084" s="7" t="str">
        <f aca="false">IF(TRIM(E3084)="","Unknown",IFERROR(LEFT(TRIM(E3084),FIND(",",TRIM(E3084))-1),TRIM(E3084)))</f>
        <v>United States</v>
      </c>
      <c r="M3084" s="7" t="str">
        <f aca="false">IFERROR(LEFT(J3084,FIND(",",J3084)-1),J3084)</f>
        <v>Children &amp; Family Movies</v>
      </c>
      <c r="N3084" s="7" t="n">
        <f aca="false">IF(B3084="Movie",IFERROR(VALUE(LEFT(I3084,FIND(" ",I3084)-1)),""),"")</f>
        <v>48</v>
      </c>
      <c r="O3084" s="7" t="str">
        <f aca="false">IF(B3084="TV Show",IFERROR(VALUE(LEFT(I3084,FIND(" ",I3084)-1)),""),"")</f>
        <v/>
      </c>
      <c r="P3084" s="7" t="n">
        <f aca="false">IF(K3084="","",K3084-G3084)</f>
        <v>3</v>
      </c>
    </row>
    <row r="3085" customFormat="false" ht="15" hidden="false" customHeight="false" outlineLevel="0" collapsed="false">
      <c r="A3085" s="7" t="n">
        <v>81017506</v>
      </c>
      <c r="B3085" s="7" t="s">
        <v>68</v>
      </c>
      <c r="C3085" s="7" t="s">
        <v>6551</v>
      </c>
      <c r="D3085" s="7" t="s">
        <v>6552</v>
      </c>
      <c r="E3085" s="7" t="s">
        <v>29</v>
      </c>
      <c r="F3085" s="7" t="s">
        <v>6464</v>
      </c>
      <c r="G3085" s="7" t="n">
        <v>2018</v>
      </c>
      <c r="H3085" s="7" t="s">
        <v>49</v>
      </c>
      <c r="I3085" s="7" t="s">
        <v>107</v>
      </c>
      <c r="J3085" s="7" t="s">
        <v>341</v>
      </c>
      <c r="K3085" s="7" t="n">
        <f aca="false">IFERROR(VALUE(RIGHT(TRIM(F3085),4)),"")</f>
        <v>2019</v>
      </c>
      <c r="L3085" s="7" t="str">
        <f aca="false">IF(TRIM(E3085)="","Unknown",IFERROR(LEFT(TRIM(E3085),FIND(",",TRIM(E3085))-1),TRIM(E3085)))</f>
        <v>Canada</v>
      </c>
      <c r="M3085" s="7" t="str">
        <f aca="false">IFERROR(LEFT(J3085,FIND(",",J3085)-1),J3085)</f>
        <v>Documentaries</v>
      </c>
      <c r="N3085" s="7" t="n">
        <f aca="false">IF(B3085="Movie",IFERROR(VALUE(LEFT(I3085,FIND(" ",I3085)-1)),""),"")</f>
        <v>78</v>
      </c>
      <c r="O3085" s="7" t="str">
        <f aca="false">IF(B3085="TV Show",IFERROR(VALUE(LEFT(I3085,FIND(" ",I3085)-1)),""),"")</f>
        <v/>
      </c>
      <c r="P3085" s="7" t="n">
        <f aca="false">IF(K3085="","",K3085-G3085)</f>
        <v>1</v>
      </c>
    </row>
    <row r="3086" customFormat="false" ht="15" hidden="false" customHeight="false" outlineLevel="0" collapsed="false">
      <c r="A3086" s="7" t="n">
        <v>70114342</v>
      </c>
      <c r="B3086" s="7" t="s">
        <v>68</v>
      </c>
      <c r="C3086" s="7" t="s">
        <v>6553</v>
      </c>
      <c r="D3086" s="7" t="s">
        <v>6554</v>
      </c>
      <c r="E3086" s="7" t="s">
        <v>26</v>
      </c>
      <c r="F3086" s="7" t="s">
        <v>6464</v>
      </c>
      <c r="G3086" s="7" t="n">
        <v>2010</v>
      </c>
      <c r="H3086" s="7" t="s">
        <v>51</v>
      </c>
      <c r="I3086" s="7" t="s">
        <v>1270</v>
      </c>
      <c r="J3086" s="7" t="s">
        <v>276</v>
      </c>
      <c r="K3086" s="7" t="n">
        <f aca="false">IFERROR(VALUE(RIGHT(TRIM(F3086),4)),"")</f>
        <v>2019</v>
      </c>
      <c r="L3086" s="7" t="str">
        <f aca="false">IF(TRIM(E3086)="","Unknown",IFERROR(LEFT(TRIM(E3086),FIND(",",TRIM(E3086))-1),TRIM(E3086)))</f>
        <v>United States</v>
      </c>
      <c r="M3086" s="7" t="str">
        <f aca="false">IFERROR(LEFT(J3086,FIND(",",J3086)-1),J3086)</f>
        <v>Action &amp; Adventure</v>
      </c>
      <c r="N3086" s="7" t="n">
        <f aca="false">IF(B3086="Movie",IFERROR(VALUE(LEFT(I3086,FIND(" ",I3086)-1)),""),"")</f>
        <v>118</v>
      </c>
      <c r="O3086" s="7" t="str">
        <f aca="false">IF(B3086="TV Show",IFERROR(VALUE(LEFT(I3086,FIND(" ",I3086)-1)),""),"")</f>
        <v/>
      </c>
      <c r="P3086" s="7" t="n">
        <f aca="false">IF(K3086="","",K3086-G3086)</f>
        <v>9</v>
      </c>
    </row>
    <row r="3087" customFormat="false" ht="15" hidden="false" customHeight="false" outlineLevel="0" collapsed="false">
      <c r="A3087" s="7" t="n">
        <v>70021661</v>
      </c>
      <c r="B3087" s="7" t="s">
        <v>68</v>
      </c>
      <c r="C3087" s="7" t="s">
        <v>6555</v>
      </c>
      <c r="D3087" s="7" t="s">
        <v>3181</v>
      </c>
      <c r="E3087" s="7" t="s">
        <v>6556</v>
      </c>
      <c r="F3087" s="7" t="s">
        <v>6464</v>
      </c>
      <c r="G3087" s="7" t="n">
        <v>2005</v>
      </c>
      <c r="H3087" s="7" t="s">
        <v>52</v>
      </c>
      <c r="I3087" s="7" t="s">
        <v>519</v>
      </c>
      <c r="J3087" s="7" t="s">
        <v>276</v>
      </c>
      <c r="K3087" s="7" t="n">
        <f aca="false">IFERROR(VALUE(RIGHT(TRIM(F3087),4)),"")</f>
        <v>2019</v>
      </c>
      <c r="L3087" s="7" t="str">
        <f aca="false">IF(TRIM(E3087)="","Unknown",IFERROR(LEFT(TRIM(E3087),FIND(",",TRIM(E3087))-1),TRIM(E3087)))</f>
        <v>United States</v>
      </c>
      <c r="M3087" s="7" t="str">
        <f aca="false">IFERROR(LEFT(J3087,FIND(",",J3087)-1),J3087)</f>
        <v>Action &amp; Adventure</v>
      </c>
      <c r="N3087" s="7" t="n">
        <f aca="false">IF(B3087="Movie",IFERROR(VALUE(LEFT(I3087,FIND(" ",I3087)-1)),""),"")</f>
        <v>119</v>
      </c>
      <c r="O3087" s="7" t="str">
        <f aca="false">IF(B3087="TV Show",IFERROR(VALUE(LEFT(I3087,FIND(" ",I3087)-1)),""),"")</f>
        <v/>
      </c>
      <c r="P3087" s="7" t="n">
        <f aca="false">IF(K3087="","",K3087-G3087)</f>
        <v>14</v>
      </c>
    </row>
    <row r="3088" customFormat="false" ht="15" hidden="false" customHeight="false" outlineLevel="0" collapsed="false">
      <c r="A3088" s="7" t="n">
        <v>70084795</v>
      </c>
      <c r="B3088" s="7" t="s">
        <v>68</v>
      </c>
      <c r="C3088" s="7" t="s">
        <v>6557</v>
      </c>
      <c r="D3088" s="7" t="s">
        <v>6558</v>
      </c>
      <c r="E3088" s="7" t="s">
        <v>1714</v>
      </c>
      <c r="F3088" s="7" t="s">
        <v>6464</v>
      </c>
      <c r="G3088" s="7" t="n">
        <v>2008</v>
      </c>
      <c r="H3088" s="7" t="s">
        <v>52</v>
      </c>
      <c r="I3088" s="7" t="s">
        <v>417</v>
      </c>
      <c r="J3088" s="7" t="s">
        <v>276</v>
      </c>
      <c r="K3088" s="7" t="n">
        <f aca="false">IFERROR(VALUE(RIGHT(TRIM(F3088),4)),"")</f>
        <v>2019</v>
      </c>
      <c r="L3088" s="7" t="str">
        <f aca="false">IF(TRIM(E3088)="","Unknown",IFERROR(LEFT(TRIM(E3088),FIND(",",TRIM(E3088))-1),TRIM(E3088)))</f>
        <v>United States</v>
      </c>
      <c r="M3088" s="7" t="str">
        <f aca="false">IFERROR(LEFT(J3088,FIND(",",J3088)-1),J3088)</f>
        <v>Action &amp; Adventure</v>
      </c>
      <c r="N3088" s="7" t="n">
        <f aca="false">IF(B3088="Movie",IFERROR(VALUE(LEFT(I3088,FIND(" ",I3088)-1)),""),"")</f>
        <v>104</v>
      </c>
      <c r="O3088" s="7" t="str">
        <f aca="false">IF(B3088="TV Show",IFERROR(VALUE(LEFT(I3088,FIND(" ",I3088)-1)),""),"")</f>
        <v/>
      </c>
      <c r="P3088" s="7" t="n">
        <f aca="false">IF(K3088="","",K3088-G3088)</f>
        <v>11</v>
      </c>
    </row>
    <row r="3089" customFormat="false" ht="15" hidden="false" customHeight="false" outlineLevel="0" collapsed="false">
      <c r="A3089" s="7" t="n">
        <v>60027701</v>
      </c>
      <c r="B3089" s="7" t="s">
        <v>68</v>
      </c>
      <c r="C3089" s="7" t="s">
        <v>6559</v>
      </c>
      <c r="D3089" s="7" t="s">
        <v>6560</v>
      </c>
      <c r="E3089" s="7" t="s">
        <v>1983</v>
      </c>
      <c r="F3089" s="7" t="s">
        <v>6464</v>
      </c>
      <c r="G3089" s="7" t="n">
        <v>2003</v>
      </c>
      <c r="H3089" s="7" t="s">
        <v>52</v>
      </c>
      <c r="I3089" s="7" t="s">
        <v>134</v>
      </c>
      <c r="J3089" s="7" t="s">
        <v>967</v>
      </c>
      <c r="K3089" s="7" t="n">
        <f aca="false">IFERROR(VALUE(RIGHT(TRIM(F3089),4)),"")</f>
        <v>2019</v>
      </c>
      <c r="L3089" s="7" t="str">
        <f aca="false">IF(TRIM(E3089)="","Unknown",IFERROR(LEFT(TRIM(E3089),FIND(",",TRIM(E3089))-1),TRIM(E3089)))</f>
        <v>United States</v>
      </c>
      <c r="M3089" s="7" t="str">
        <f aca="false">IFERROR(LEFT(J3089,FIND(",",J3089)-1),J3089)</f>
        <v>Action &amp; Adventure</v>
      </c>
      <c r="N3089" s="7" t="n">
        <f aca="false">IF(B3089="Movie",IFERROR(VALUE(LEFT(I3089,FIND(" ",I3089)-1)),""),"")</f>
        <v>98</v>
      </c>
      <c r="O3089" s="7" t="str">
        <f aca="false">IF(B3089="TV Show",IFERROR(VALUE(LEFT(I3089,FIND(" ",I3089)-1)),""),"")</f>
        <v/>
      </c>
      <c r="P3089" s="7" t="n">
        <f aca="false">IF(K3089="","",K3089-G3089)</f>
        <v>16</v>
      </c>
    </row>
    <row r="3090" customFormat="false" ht="15" hidden="false" customHeight="false" outlineLevel="0" collapsed="false">
      <c r="A3090" s="7" t="n">
        <v>70021654</v>
      </c>
      <c r="B3090" s="7" t="s">
        <v>68</v>
      </c>
      <c r="C3090" s="7" t="s">
        <v>6561</v>
      </c>
      <c r="D3090" s="7" t="s">
        <v>6562</v>
      </c>
      <c r="E3090" s="7" t="s">
        <v>1401</v>
      </c>
      <c r="F3090" s="7" t="s">
        <v>6464</v>
      </c>
      <c r="G3090" s="7" t="n">
        <v>2006</v>
      </c>
      <c r="H3090" s="7" t="s">
        <v>54</v>
      </c>
      <c r="I3090" s="7" t="s">
        <v>272</v>
      </c>
      <c r="J3090" s="7" t="s">
        <v>74</v>
      </c>
      <c r="K3090" s="7" t="n">
        <f aca="false">IFERROR(VALUE(RIGHT(TRIM(F3090),4)),"")</f>
        <v>2019</v>
      </c>
      <c r="L3090" s="7" t="str">
        <f aca="false">IF(TRIM(E3090)="","Unknown",IFERROR(LEFT(TRIM(E3090),FIND(",",TRIM(E3090))-1),TRIM(E3090)))</f>
        <v>United States</v>
      </c>
      <c r="M3090" s="7" t="str">
        <f aca="false">IFERROR(LEFT(J3090,FIND(",",J3090)-1),J3090)</f>
        <v>Children &amp; Family Movies</v>
      </c>
      <c r="N3090" s="7" t="n">
        <f aca="false">IF(B3090="Movie",IFERROR(VALUE(LEFT(I3090,FIND(" ",I3090)-1)),""),"")</f>
        <v>93</v>
      </c>
      <c r="O3090" s="7" t="str">
        <f aca="false">IF(B3090="TV Show",IFERROR(VALUE(LEFT(I3090,FIND(" ",I3090)-1)),""),"")</f>
        <v/>
      </c>
      <c r="P3090" s="7" t="n">
        <f aca="false">IF(K3090="","",K3090-G3090)</f>
        <v>13</v>
      </c>
    </row>
    <row r="3091" customFormat="false" ht="15" hidden="false" customHeight="false" outlineLevel="0" collapsed="false">
      <c r="A3091" s="7" t="n">
        <v>81099976</v>
      </c>
      <c r="B3091" s="7" t="s">
        <v>78</v>
      </c>
      <c r="C3091" s="7" t="s">
        <v>6563</v>
      </c>
      <c r="F3091" s="7" t="s">
        <v>6464</v>
      </c>
      <c r="G3091" s="7" t="n">
        <v>2018</v>
      </c>
      <c r="H3091" s="7" t="s">
        <v>119</v>
      </c>
      <c r="I3091" s="7" t="s">
        <v>82</v>
      </c>
      <c r="J3091" s="7" t="s">
        <v>1686</v>
      </c>
      <c r="K3091" s="7" t="n">
        <f aca="false">IFERROR(VALUE(RIGHT(TRIM(F3091),4)),"")</f>
        <v>2019</v>
      </c>
      <c r="L3091" s="7" t="str">
        <f aca="false">IF(TRIM(E3091)="","Unknown",IFERROR(LEFT(TRIM(E3091),FIND(",",TRIM(E3091))-1),TRIM(E3091)))</f>
        <v>Unknown</v>
      </c>
      <c r="M3091" s="7" t="str">
        <f aca="false">IFERROR(LEFT(J3091,FIND(",",J3091)-1),J3091)</f>
        <v>Kids' TV</v>
      </c>
      <c r="N3091" s="7" t="str">
        <f aca="false">IF(B3091="Movie",IFERROR(VALUE(LEFT(I3091,FIND(" ",I3091)-1)),""),"")</f>
        <v/>
      </c>
      <c r="O3091" s="7" t="n">
        <f aca="false">IF(B3091="TV Show",IFERROR(VALUE(LEFT(I3091,FIND(" ",I3091)-1)),""),"")</f>
        <v>1</v>
      </c>
      <c r="P3091" s="7" t="n">
        <f aca="false">IF(K3091="","",K3091-G3091)</f>
        <v>1</v>
      </c>
    </row>
    <row r="3092" customFormat="false" ht="15" hidden="false" customHeight="false" outlineLevel="0" collapsed="false">
      <c r="A3092" s="7" t="n">
        <v>81077862</v>
      </c>
      <c r="B3092" s="7" t="s">
        <v>68</v>
      </c>
      <c r="C3092" s="7" t="s">
        <v>6564</v>
      </c>
      <c r="D3092" s="7" t="s">
        <v>3869</v>
      </c>
      <c r="E3092" s="7" t="s">
        <v>1808</v>
      </c>
      <c r="F3092" s="7" t="s">
        <v>6464</v>
      </c>
      <c r="G3092" s="7" t="n">
        <v>2013</v>
      </c>
      <c r="H3092" s="7" t="s">
        <v>49</v>
      </c>
      <c r="I3092" s="7" t="s">
        <v>123</v>
      </c>
      <c r="J3092" s="7" t="s">
        <v>341</v>
      </c>
      <c r="K3092" s="7" t="n">
        <f aca="false">IFERROR(VALUE(RIGHT(TRIM(F3092),4)),"")</f>
        <v>2019</v>
      </c>
      <c r="L3092" s="7" t="str">
        <f aca="false">IF(TRIM(E3092)="","Unknown",IFERROR(LEFT(TRIM(E3092),FIND(",",TRIM(E3092))-1),TRIM(E3092)))</f>
        <v>United States</v>
      </c>
      <c r="M3092" s="7" t="str">
        <f aca="false">IFERROR(LEFT(J3092,FIND(",",J3092)-1),J3092)</f>
        <v>Documentaries</v>
      </c>
      <c r="N3092" s="7" t="n">
        <f aca="false">IF(B3092="Movie",IFERROR(VALUE(LEFT(I3092,FIND(" ",I3092)-1)),""),"")</f>
        <v>61</v>
      </c>
      <c r="O3092" s="7" t="str">
        <f aca="false">IF(B3092="TV Show",IFERROR(VALUE(LEFT(I3092,FIND(" ",I3092)-1)),""),"")</f>
        <v/>
      </c>
      <c r="P3092" s="7" t="n">
        <f aca="false">IF(K3092="","",K3092-G3092)</f>
        <v>6</v>
      </c>
    </row>
    <row r="3093" customFormat="false" ht="15" hidden="false" customHeight="false" outlineLevel="0" collapsed="false">
      <c r="A3093" s="7" t="n">
        <v>70001777</v>
      </c>
      <c r="B3093" s="7" t="s">
        <v>68</v>
      </c>
      <c r="C3093" s="7" t="s">
        <v>6565</v>
      </c>
      <c r="D3093" s="7" t="s">
        <v>2052</v>
      </c>
      <c r="E3093" s="7" t="s">
        <v>26</v>
      </c>
      <c r="F3093" s="7" t="s">
        <v>6464</v>
      </c>
      <c r="G3093" s="7" t="n">
        <v>1967</v>
      </c>
      <c r="H3093" s="7" t="s">
        <v>51</v>
      </c>
      <c r="I3093" s="7" t="s">
        <v>73</v>
      </c>
      <c r="J3093" s="7" t="s">
        <v>2820</v>
      </c>
      <c r="K3093" s="7" t="n">
        <f aca="false">IFERROR(VALUE(RIGHT(TRIM(F3093),4)),"")</f>
        <v>2019</v>
      </c>
      <c r="L3093" s="7" t="str">
        <f aca="false">IF(TRIM(E3093)="","Unknown",IFERROR(LEFT(TRIM(E3093),FIND(",",TRIM(E3093))-1),TRIM(E3093)))</f>
        <v>United States</v>
      </c>
      <c r="M3093" s="7" t="str">
        <f aca="false">IFERROR(LEFT(J3093,FIND(",",J3093)-1),J3093)</f>
        <v>Classic Movies</v>
      </c>
      <c r="N3093" s="7" t="n">
        <f aca="false">IF(B3093="Movie",IFERROR(VALUE(LEFT(I3093,FIND(" ",I3093)-1)),""),"")</f>
        <v>90</v>
      </c>
      <c r="O3093" s="7" t="str">
        <f aca="false">IF(B3093="TV Show",IFERROR(VALUE(LEFT(I3093,FIND(" ",I3093)-1)),""),"")</f>
        <v/>
      </c>
      <c r="P3093" s="7" t="n">
        <f aca="false">IF(K3093="","",K3093-G3093)</f>
        <v>52</v>
      </c>
    </row>
    <row r="3094" customFormat="false" ht="15" hidden="false" customHeight="false" outlineLevel="0" collapsed="false">
      <c r="A3094" s="7" t="n">
        <v>80182447</v>
      </c>
      <c r="B3094" s="7" t="s">
        <v>68</v>
      </c>
      <c r="C3094" s="7" t="s">
        <v>6566</v>
      </c>
      <c r="D3094" s="7" t="s">
        <v>6567</v>
      </c>
      <c r="E3094" s="7" t="s">
        <v>27</v>
      </c>
      <c r="F3094" s="7" t="s">
        <v>6568</v>
      </c>
      <c r="G3094" s="7" t="n">
        <v>2017</v>
      </c>
      <c r="H3094" s="7" t="s">
        <v>49</v>
      </c>
      <c r="I3094" s="7" t="s">
        <v>261</v>
      </c>
      <c r="J3094" s="7" t="s">
        <v>4035</v>
      </c>
      <c r="K3094" s="7" t="n">
        <f aca="false">IFERROR(VALUE(RIGHT(TRIM(F3094),4)),"")</f>
        <v>2018</v>
      </c>
      <c r="L3094" s="7" t="str">
        <f aca="false">IF(TRIM(E3094)="","Unknown",IFERROR(LEFT(TRIM(E3094),FIND(",",TRIM(E3094))-1),TRIM(E3094)))</f>
        <v>India</v>
      </c>
      <c r="M3094" s="7" t="str">
        <f aca="false">IFERROR(LEFT(J3094,FIND(",",J3094)-1),J3094)</f>
        <v>Action &amp; Adventure</v>
      </c>
      <c r="N3094" s="7" t="n">
        <f aca="false">IF(B3094="Movie",IFERROR(VALUE(LEFT(I3094,FIND(" ",I3094)-1)),""),"")</f>
        <v>128</v>
      </c>
      <c r="O3094" s="7" t="str">
        <f aca="false">IF(B3094="TV Show",IFERROR(VALUE(LEFT(I3094,FIND(" ",I3094)-1)),""),"")</f>
        <v/>
      </c>
      <c r="P3094" s="7" t="n">
        <f aca="false">IF(K3094="","",K3094-G3094)</f>
        <v>1</v>
      </c>
    </row>
    <row r="3095" customFormat="false" ht="15" hidden="false" customHeight="false" outlineLevel="0" collapsed="false">
      <c r="A3095" s="7" t="n">
        <v>70055855</v>
      </c>
      <c r="B3095" s="7" t="s">
        <v>68</v>
      </c>
      <c r="C3095" s="7" t="s">
        <v>6569</v>
      </c>
      <c r="D3095" s="7" t="s">
        <v>6570</v>
      </c>
      <c r="E3095" s="7" t="s">
        <v>27</v>
      </c>
      <c r="F3095" s="7" t="s">
        <v>6568</v>
      </c>
      <c r="G3095" s="7" t="n">
        <v>2006</v>
      </c>
      <c r="H3095" s="7" t="s">
        <v>49</v>
      </c>
      <c r="I3095" s="7" t="s">
        <v>232</v>
      </c>
      <c r="J3095" s="7" t="s">
        <v>217</v>
      </c>
      <c r="K3095" s="7" t="n">
        <f aca="false">IFERROR(VALUE(RIGHT(TRIM(F3095),4)),"")</f>
        <v>2018</v>
      </c>
      <c r="L3095" s="7" t="str">
        <f aca="false">IF(TRIM(E3095)="","Unknown",IFERROR(LEFT(TRIM(E3095),FIND(",",TRIM(E3095))-1),TRIM(E3095)))</f>
        <v>India</v>
      </c>
      <c r="M3095" s="7" t="str">
        <f aca="false">IFERROR(LEFT(J3095,FIND(",",J3095)-1),J3095)</f>
        <v>Comedies</v>
      </c>
      <c r="N3095" s="7" t="n">
        <f aca="false">IF(B3095="Movie",IFERROR(VALUE(LEFT(I3095,FIND(" ",I3095)-1)),""),"")</f>
        <v>122</v>
      </c>
      <c r="O3095" s="7" t="str">
        <f aca="false">IF(B3095="TV Show",IFERROR(VALUE(LEFT(I3095,FIND(" ",I3095)-1)),""),"")</f>
        <v/>
      </c>
      <c r="P3095" s="7" t="n">
        <f aca="false">IF(K3095="","",K3095-G3095)</f>
        <v>12</v>
      </c>
    </row>
    <row r="3096" customFormat="false" ht="15" hidden="false" customHeight="false" outlineLevel="0" collapsed="false">
      <c r="A3096" s="7" t="n">
        <v>70295560</v>
      </c>
      <c r="B3096" s="7" t="s">
        <v>68</v>
      </c>
      <c r="C3096" s="7" t="s">
        <v>6571</v>
      </c>
      <c r="D3096" s="7" t="s">
        <v>5394</v>
      </c>
      <c r="E3096" s="7" t="s">
        <v>26</v>
      </c>
      <c r="F3096" s="7" t="s">
        <v>6568</v>
      </c>
      <c r="G3096" s="7" t="n">
        <v>2013</v>
      </c>
      <c r="H3096" s="7" t="s">
        <v>48</v>
      </c>
      <c r="I3096" s="7" t="s">
        <v>98</v>
      </c>
      <c r="J3096" s="7" t="s">
        <v>45</v>
      </c>
      <c r="K3096" s="7" t="n">
        <f aca="false">IFERROR(VALUE(RIGHT(TRIM(F3096),4)),"")</f>
        <v>2018</v>
      </c>
      <c r="L3096" s="7" t="str">
        <f aca="false">IF(TRIM(E3096)="","Unknown",IFERROR(LEFT(TRIM(E3096),FIND(",",TRIM(E3096))-1),TRIM(E3096)))</f>
        <v>United States</v>
      </c>
      <c r="M3096" s="7" t="str">
        <f aca="false">IFERROR(LEFT(J3096,FIND(",",J3096)-1),J3096)</f>
        <v>Stand-Up Comedy</v>
      </c>
      <c r="N3096" s="7" t="n">
        <f aca="false">IF(B3096="Movie",IFERROR(VALUE(LEFT(I3096,FIND(" ",I3096)-1)),""),"")</f>
        <v>60</v>
      </c>
      <c r="O3096" s="7" t="str">
        <f aca="false">IF(B3096="TV Show",IFERROR(VALUE(LEFT(I3096,FIND(" ",I3096)-1)),""),"")</f>
        <v/>
      </c>
      <c r="P3096" s="7" t="n">
        <f aca="false">IF(K3096="","",K3096-G3096)</f>
        <v>5</v>
      </c>
    </row>
    <row r="3097" customFormat="false" ht="15" hidden="false" customHeight="false" outlineLevel="0" collapsed="false">
      <c r="A3097" s="7" t="n">
        <v>80994575</v>
      </c>
      <c r="B3097" s="7" t="s">
        <v>68</v>
      </c>
      <c r="C3097" s="7" t="s">
        <v>6572</v>
      </c>
      <c r="D3097" s="7" t="s">
        <v>6573</v>
      </c>
      <c r="E3097" s="7" t="s">
        <v>27</v>
      </c>
      <c r="F3097" s="7" t="s">
        <v>6568</v>
      </c>
      <c r="G3097" s="7" t="n">
        <v>2017</v>
      </c>
      <c r="H3097" s="7" t="s">
        <v>49</v>
      </c>
      <c r="I3097" s="7" t="s">
        <v>235</v>
      </c>
      <c r="J3097" s="7" t="s">
        <v>217</v>
      </c>
      <c r="K3097" s="7" t="n">
        <f aca="false">IFERROR(VALUE(RIGHT(TRIM(F3097),4)),"")</f>
        <v>2018</v>
      </c>
      <c r="L3097" s="7" t="str">
        <f aca="false">IF(TRIM(E3097)="","Unknown",IFERROR(LEFT(TRIM(E3097),FIND(",",TRIM(E3097))-1),TRIM(E3097)))</f>
        <v>India</v>
      </c>
      <c r="M3097" s="7" t="str">
        <f aca="false">IFERROR(LEFT(J3097,FIND(",",J3097)-1),J3097)</f>
        <v>Comedies</v>
      </c>
      <c r="N3097" s="7" t="n">
        <f aca="false">IF(B3097="Movie",IFERROR(VALUE(LEFT(I3097,FIND(" ",I3097)-1)),""),"")</f>
        <v>126</v>
      </c>
      <c r="O3097" s="7" t="str">
        <f aca="false">IF(B3097="TV Show",IFERROR(VALUE(LEFT(I3097,FIND(" ",I3097)-1)),""),"")</f>
        <v/>
      </c>
      <c r="P3097" s="7" t="n">
        <f aca="false">IF(K3097="","",K3097-G3097)</f>
        <v>1</v>
      </c>
    </row>
    <row r="3098" customFormat="false" ht="15" hidden="false" customHeight="false" outlineLevel="0" collapsed="false">
      <c r="A3098" s="7" t="n">
        <v>60036112</v>
      </c>
      <c r="B3098" s="7" t="s">
        <v>68</v>
      </c>
      <c r="C3098" s="7" t="s">
        <v>6574</v>
      </c>
      <c r="D3098" s="7" t="s">
        <v>2172</v>
      </c>
      <c r="E3098" s="7" t="s">
        <v>27</v>
      </c>
      <c r="F3098" s="7" t="s">
        <v>6568</v>
      </c>
      <c r="G3098" s="7" t="n">
        <v>2003</v>
      </c>
      <c r="H3098" s="7" t="s">
        <v>50</v>
      </c>
      <c r="I3098" s="7" t="s">
        <v>2794</v>
      </c>
      <c r="J3098" s="7" t="s">
        <v>240</v>
      </c>
      <c r="K3098" s="7" t="n">
        <f aca="false">IFERROR(VALUE(RIGHT(TRIM(F3098),4)),"")</f>
        <v>2018</v>
      </c>
      <c r="L3098" s="7" t="str">
        <f aca="false">IF(TRIM(E3098)="","Unknown",IFERROR(LEFT(TRIM(E3098),FIND(",",TRIM(E3098))-1),TRIM(E3098)))</f>
        <v>India</v>
      </c>
      <c r="M3098" s="7" t="str">
        <f aca="false">IFERROR(LEFT(J3098,FIND(",",J3098)-1),J3098)</f>
        <v>Dramas</v>
      </c>
      <c r="N3098" s="7" t="n">
        <f aca="false">IF(B3098="Movie",IFERROR(VALUE(LEFT(I3098,FIND(" ",I3098)-1)),""),"")</f>
        <v>166</v>
      </c>
      <c r="O3098" s="7" t="str">
        <f aca="false">IF(B3098="TV Show",IFERROR(VALUE(LEFT(I3098,FIND(" ",I3098)-1)),""),"")</f>
        <v/>
      </c>
      <c r="P3098" s="7" t="n">
        <f aca="false">IF(K3098="","",K3098-G3098)</f>
        <v>15</v>
      </c>
    </row>
    <row r="3099" customFormat="false" ht="15" hidden="false" customHeight="false" outlineLevel="0" collapsed="false">
      <c r="A3099" s="7" t="n">
        <v>80994424</v>
      </c>
      <c r="B3099" s="7" t="s">
        <v>68</v>
      </c>
      <c r="C3099" s="7" t="s">
        <v>6575</v>
      </c>
      <c r="D3099" s="7" t="s">
        <v>6576</v>
      </c>
      <c r="E3099" s="7" t="s">
        <v>27</v>
      </c>
      <c r="F3099" s="7" t="s">
        <v>6568</v>
      </c>
      <c r="G3099" s="7" t="n">
        <v>2017</v>
      </c>
      <c r="H3099" s="7" t="s">
        <v>49</v>
      </c>
      <c r="I3099" s="7" t="s">
        <v>146</v>
      </c>
      <c r="J3099" s="7" t="s">
        <v>202</v>
      </c>
      <c r="K3099" s="7" t="n">
        <f aca="false">IFERROR(VALUE(RIGHT(TRIM(F3099),4)),"")</f>
        <v>2018</v>
      </c>
      <c r="L3099" s="7" t="str">
        <f aca="false">IF(TRIM(E3099)="","Unknown",IFERROR(LEFT(TRIM(E3099),FIND(",",TRIM(E3099))-1),TRIM(E3099)))</f>
        <v>India</v>
      </c>
      <c r="M3099" s="7" t="str">
        <f aca="false">IFERROR(LEFT(J3099,FIND(",",J3099)-1),J3099)</f>
        <v>Comedies</v>
      </c>
      <c r="N3099" s="7" t="n">
        <f aca="false">IF(B3099="Movie",IFERROR(VALUE(LEFT(I3099,FIND(" ",I3099)-1)),""),"")</f>
        <v>113</v>
      </c>
      <c r="O3099" s="7" t="str">
        <f aca="false">IF(B3099="TV Show",IFERROR(VALUE(LEFT(I3099,FIND(" ",I3099)-1)),""),"")</f>
        <v/>
      </c>
      <c r="P3099" s="7" t="n">
        <f aca="false">IF(K3099="","",K3099-G3099)</f>
        <v>1</v>
      </c>
    </row>
    <row r="3100" customFormat="false" ht="15" hidden="false" customHeight="false" outlineLevel="0" collapsed="false">
      <c r="A3100" s="7" t="n">
        <v>80229417</v>
      </c>
      <c r="B3100" s="7" t="s">
        <v>78</v>
      </c>
      <c r="C3100" s="7" t="s">
        <v>6577</v>
      </c>
      <c r="F3100" s="7" t="s">
        <v>6568</v>
      </c>
      <c r="G3100" s="7" t="n">
        <v>2018</v>
      </c>
      <c r="H3100" s="7" t="s">
        <v>49</v>
      </c>
      <c r="I3100" s="7" t="s">
        <v>82</v>
      </c>
      <c r="J3100" s="7" t="s">
        <v>1357</v>
      </c>
      <c r="K3100" s="7" t="n">
        <f aca="false">IFERROR(VALUE(RIGHT(TRIM(F3100),4)),"")</f>
        <v>2018</v>
      </c>
      <c r="L3100" s="7" t="str">
        <f aca="false">IF(TRIM(E3100)="","Unknown",IFERROR(LEFT(TRIM(E3100),FIND(",",TRIM(E3100))-1),TRIM(E3100)))</f>
        <v>Unknown</v>
      </c>
      <c r="M3100" s="7" t="str">
        <f aca="false">IFERROR(LEFT(J3100,FIND(",",J3100)-1),J3100)</f>
        <v>International TV Shows</v>
      </c>
      <c r="N3100" s="7" t="str">
        <f aca="false">IF(B3100="Movie",IFERROR(VALUE(LEFT(I3100,FIND(" ",I3100)-1)),""),"")</f>
        <v/>
      </c>
      <c r="O3100" s="7" t="n">
        <f aca="false">IF(B3100="TV Show",IFERROR(VALUE(LEFT(I3100,FIND(" ",I3100)-1)),""),"")</f>
        <v>1</v>
      </c>
      <c r="P3100" s="7" t="n">
        <f aca="false">IF(K3100="","",K3100-G3100)</f>
        <v>0</v>
      </c>
    </row>
    <row r="3101" customFormat="false" ht="15" hidden="false" customHeight="false" outlineLevel="0" collapsed="false">
      <c r="A3101" s="7" t="n">
        <v>80997402</v>
      </c>
      <c r="B3101" s="7" t="s">
        <v>68</v>
      </c>
      <c r="C3101" s="7" t="s">
        <v>6578</v>
      </c>
      <c r="D3101" s="7" t="s">
        <v>6579</v>
      </c>
      <c r="E3101" s="7" t="s">
        <v>29</v>
      </c>
      <c r="F3101" s="7" t="s">
        <v>6568</v>
      </c>
      <c r="G3101" s="7" t="n">
        <v>2018</v>
      </c>
      <c r="H3101" s="7" t="s">
        <v>49</v>
      </c>
      <c r="I3101" s="7" t="s">
        <v>264</v>
      </c>
      <c r="J3101" s="7" t="s">
        <v>597</v>
      </c>
      <c r="K3101" s="7" t="n">
        <f aca="false">IFERROR(VALUE(RIGHT(TRIM(F3101),4)),"")</f>
        <v>2018</v>
      </c>
      <c r="L3101" s="7" t="str">
        <f aca="false">IF(TRIM(E3101)="","Unknown",IFERROR(LEFT(TRIM(E3101),FIND(",",TRIM(E3101))-1),TRIM(E3101)))</f>
        <v>Canada</v>
      </c>
      <c r="M3101" s="7" t="str">
        <f aca="false">IFERROR(LEFT(J3101,FIND(",",J3101)-1),J3101)</f>
        <v>Dramas</v>
      </c>
      <c r="N3101" s="7" t="n">
        <f aca="false">IF(B3101="Movie",IFERROR(VALUE(LEFT(I3101,FIND(" ",I3101)-1)),""),"")</f>
        <v>88</v>
      </c>
      <c r="O3101" s="7" t="str">
        <f aca="false">IF(B3101="TV Show",IFERROR(VALUE(LEFT(I3101,FIND(" ",I3101)-1)),""),"")</f>
        <v/>
      </c>
      <c r="P3101" s="7" t="n">
        <f aca="false">IF(K3101="","",K3101-G3101)</f>
        <v>0</v>
      </c>
    </row>
    <row r="3102" customFormat="false" ht="15" hidden="false" customHeight="false" outlineLevel="0" collapsed="false">
      <c r="A3102" s="7" t="n">
        <v>80994423</v>
      </c>
      <c r="B3102" s="7" t="s">
        <v>68</v>
      </c>
      <c r="C3102" s="7" t="s">
        <v>6580</v>
      </c>
      <c r="D3102" s="7" t="s">
        <v>6581</v>
      </c>
      <c r="E3102" s="7" t="s">
        <v>27</v>
      </c>
      <c r="F3102" s="7" t="s">
        <v>6568</v>
      </c>
      <c r="G3102" s="7" t="n">
        <v>2017</v>
      </c>
      <c r="H3102" s="7" t="s">
        <v>50</v>
      </c>
      <c r="I3102" s="7" t="s">
        <v>1041</v>
      </c>
      <c r="J3102" s="7" t="s">
        <v>304</v>
      </c>
      <c r="K3102" s="7" t="n">
        <f aca="false">IFERROR(VALUE(RIGHT(TRIM(F3102),4)),"")</f>
        <v>2018</v>
      </c>
      <c r="L3102" s="7" t="str">
        <f aca="false">IF(TRIM(E3102)="","Unknown",IFERROR(LEFT(TRIM(E3102),FIND(",",TRIM(E3102))-1),TRIM(E3102)))</f>
        <v>India</v>
      </c>
      <c r="M3102" s="7" t="str">
        <f aca="false">IFERROR(LEFT(J3102,FIND(",",J3102)-1),J3102)</f>
        <v>Dramas</v>
      </c>
      <c r="N3102" s="7" t="n">
        <f aca="false">IF(B3102="Movie",IFERROR(VALUE(LEFT(I3102,FIND(" ",I3102)-1)),""),"")</f>
        <v>151</v>
      </c>
      <c r="O3102" s="7" t="str">
        <f aca="false">IF(B3102="TV Show",IFERROR(VALUE(LEFT(I3102,FIND(" ",I3102)-1)),""),"")</f>
        <v/>
      </c>
      <c r="P3102" s="7" t="n">
        <f aca="false">IF(K3102="","",K3102-G3102)</f>
        <v>1</v>
      </c>
    </row>
    <row r="3103" customFormat="false" ht="15" hidden="false" customHeight="false" outlineLevel="0" collapsed="false">
      <c r="A3103" s="7" t="n">
        <v>80236278</v>
      </c>
      <c r="B3103" s="7" t="s">
        <v>68</v>
      </c>
      <c r="C3103" s="7" t="s">
        <v>6582</v>
      </c>
      <c r="D3103" s="7" t="s">
        <v>6583</v>
      </c>
      <c r="E3103" s="7" t="s">
        <v>27</v>
      </c>
      <c r="F3103" s="7" t="s">
        <v>6568</v>
      </c>
      <c r="G3103" s="7" t="n">
        <v>2013</v>
      </c>
      <c r="H3103" s="7" t="s">
        <v>49</v>
      </c>
      <c r="I3103" s="7" t="s">
        <v>294</v>
      </c>
      <c r="J3103" s="7" t="s">
        <v>217</v>
      </c>
      <c r="K3103" s="7" t="n">
        <f aca="false">IFERROR(VALUE(RIGHT(TRIM(F3103),4)),"")</f>
        <v>2018</v>
      </c>
      <c r="L3103" s="7" t="str">
        <f aca="false">IF(TRIM(E3103)="","Unknown",IFERROR(LEFT(TRIM(E3103),FIND(",",TRIM(E3103))-1),TRIM(E3103)))</f>
        <v>India</v>
      </c>
      <c r="M3103" s="7" t="str">
        <f aca="false">IFERROR(LEFT(J3103,FIND(",",J3103)-1),J3103)</f>
        <v>Comedies</v>
      </c>
      <c r="N3103" s="7" t="n">
        <f aca="false">IF(B3103="Movie",IFERROR(VALUE(LEFT(I3103,FIND(" ",I3103)-1)),""),"")</f>
        <v>107</v>
      </c>
      <c r="O3103" s="7" t="str">
        <f aca="false">IF(B3103="TV Show",IFERROR(VALUE(LEFT(I3103,FIND(" ",I3103)-1)),""),"")</f>
        <v/>
      </c>
      <c r="P3103" s="7" t="n">
        <f aca="false">IF(K3103="","",K3103-G3103)</f>
        <v>5</v>
      </c>
    </row>
    <row r="3104" customFormat="false" ht="15" hidden="false" customHeight="false" outlineLevel="0" collapsed="false">
      <c r="A3104" s="7" t="n">
        <v>80217136</v>
      </c>
      <c r="B3104" s="7" t="s">
        <v>68</v>
      </c>
      <c r="C3104" s="7" t="s">
        <v>6584</v>
      </c>
      <c r="D3104" s="7" t="s">
        <v>6585</v>
      </c>
      <c r="E3104" s="7" t="s">
        <v>26</v>
      </c>
      <c r="F3104" s="7" t="s">
        <v>6568</v>
      </c>
      <c r="G3104" s="7" t="n">
        <v>2017</v>
      </c>
      <c r="H3104" s="7" t="s">
        <v>226</v>
      </c>
      <c r="I3104" s="7" t="s">
        <v>405</v>
      </c>
      <c r="J3104" s="7" t="s">
        <v>39</v>
      </c>
      <c r="K3104" s="7" t="n">
        <f aca="false">IFERROR(VALUE(RIGHT(TRIM(F3104),4)),"")</f>
        <v>2018</v>
      </c>
      <c r="L3104" s="7" t="str">
        <f aca="false">IF(TRIM(E3104)="","Unknown",IFERROR(LEFT(TRIM(E3104),FIND(",",TRIM(E3104))-1),TRIM(E3104)))</f>
        <v>United States</v>
      </c>
      <c r="M3104" s="7" t="str">
        <f aca="false">IFERROR(LEFT(J3104,FIND(",",J3104)-1),J3104)</f>
        <v>Documentaries</v>
      </c>
      <c r="N3104" s="7" t="n">
        <f aca="false">IF(B3104="Movie",IFERROR(VALUE(LEFT(I3104,FIND(" ",I3104)-1)),""),"")</f>
        <v>42</v>
      </c>
      <c r="O3104" s="7" t="str">
        <f aca="false">IF(B3104="TV Show",IFERROR(VALUE(LEFT(I3104,FIND(" ",I3104)-1)),""),"")</f>
        <v/>
      </c>
      <c r="P3104" s="7" t="n">
        <f aca="false">IF(K3104="","",K3104-G3104)</f>
        <v>1</v>
      </c>
    </row>
    <row r="3105" customFormat="false" ht="15" hidden="false" customHeight="false" outlineLevel="0" collapsed="false">
      <c r="A3105" s="7" t="n">
        <v>80115118</v>
      </c>
      <c r="B3105" s="7" t="s">
        <v>68</v>
      </c>
      <c r="C3105" s="7" t="s">
        <v>6586</v>
      </c>
      <c r="D3105" s="7" t="s">
        <v>6587</v>
      </c>
      <c r="E3105" s="7" t="s">
        <v>26</v>
      </c>
      <c r="F3105" s="7" t="s">
        <v>6568</v>
      </c>
      <c r="G3105" s="7" t="n">
        <v>2018</v>
      </c>
      <c r="H3105" s="7" t="s">
        <v>48</v>
      </c>
      <c r="I3105" s="7" t="s">
        <v>77</v>
      </c>
      <c r="J3105" s="7" t="s">
        <v>566</v>
      </c>
      <c r="K3105" s="7" t="n">
        <f aca="false">IFERROR(VALUE(RIGHT(TRIM(F3105),4)),"")</f>
        <v>2018</v>
      </c>
      <c r="L3105" s="7" t="str">
        <f aca="false">IF(TRIM(E3105)="","Unknown",IFERROR(LEFT(TRIM(E3105),FIND(",",TRIM(E3105))-1),TRIM(E3105)))</f>
        <v>United States</v>
      </c>
      <c r="M3105" s="7" t="str">
        <f aca="false">IFERROR(LEFT(J3105,FIND(",",J3105)-1),J3105)</f>
        <v>Dramas</v>
      </c>
      <c r="N3105" s="7" t="n">
        <f aca="false">IF(B3105="Movie",IFERROR(VALUE(LEFT(I3105,FIND(" ",I3105)-1)),""),"")</f>
        <v>94</v>
      </c>
      <c r="O3105" s="7" t="str">
        <f aca="false">IF(B3105="TV Show",IFERROR(VALUE(LEFT(I3105,FIND(" ",I3105)-1)),""),"")</f>
        <v/>
      </c>
      <c r="P3105" s="7" t="n">
        <f aca="false">IF(K3105="","",K3105-G3105)</f>
        <v>0</v>
      </c>
    </row>
    <row r="3106" customFormat="false" ht="15" hidden="false" customHeight="false" outlineLevel="0" collapsed="false">
      <c r="A3106" s="7" t="n">
        <v>80180851</v>
      </c>
      <c r="B3106" s="7" t="s">
        <v>68</v>
      </c>
      <c r="C3106" s="7" t="s">
        <v>6588</v>
      </c>
      <c r="D3106" s="7" t="s">
        <v>6589</v>
      </c>
      <c r="E3106" s="7" t="s">
        <v>27</v>
      </c>
      <c r="F3106" s="7" t="s">
        <v>6568</v>
      </c>
      <c r="G3106" s="7" t="n">
        <v>2018</v>
      </c>
      <c r="H3106" s="7" t="s">
        <v>50</v>
      </c>
      <c r="I3106" s="7" t="s">
        <v>247</v>
      </c>
      <c r="J3106" s="7" t="s">
        <v>37</v>
      </c>
      <c r="K3106" s="7" t="n">
        <f aca="false">IFERROR(VALUE(RIGHT(TRIM(F3106),4)),"")</f>
        <v>2018</v>
      </c>
      <c r="L3106" s="7" t="str">
        <f aca="false">IF(TRIM(E3106)="","Unknown",IFERROR(LEFT(TRIM(E3106),FIND(",",TRIM(E3106))-1),TRIM(E3106)))</f>
        <v>India</v>
      </c>
      <c r="M3106" s="7" t="str">
        <f aca="false">IFERROR(LEFT(J3106,FIND(",",J3106)-1),J3106)</f>
        <v>Dramas</v>
      </c>
      <c r="N3106" s="7" t="n">
        <f aca="false">IF(B3106="Movie",IFERROR(VALUE(LEFT(I3106,FIND(" ",I3106)-1)),""),"")</f>
        <v>130</v>
      </c>
      <c r="O3106" s="7" t="str">
        <f aca="false">IF(B3106="TV Show",IFERROR(VALUE(LEFT(I3106,FIND(" ",I3106)-1)),""),"")</f>
        <v/>
      </c>
      <c r="P3106" s="7" t="n">
        <f aca="false">IF(K3106="","",K3106-G3106)</f>
        <v>0</v>
      </c>
    </row>
    <row r="3107" customFormat="false" ht="15" hidden="false" customHeight="false" outlineLevel="0" collapsed="false">
      <c r="A3107" s="7" t="n">
        <v>80236279</v>
      </c>
      <c r="B3107" s="7" t="s">
        <v>68</v>
      </c>
      <c r="C3107" s="7" t="s">
        <v>6590</v>
      </c>
      <c r="D3107" s="7" t="s">
        <v>3010</v>
      </c>
      <c r="E3107" s="7" t="s">
        <v>27</v>
      </c>
      <c r="F3107" s="7" t="s">
        <v>6568</v>
      </c>
      <c r="G3107" s="7" t="n">
        <v>2010</v>
      </c>
      <c r="H3107" s="7" t="s">
        <v>50</v>
      </c>
      <c r="I3107" s="7" t="s">
        <v>494</v>
      </c>
      <c r="J3107" s="7" t="s">
        <v>986</v>
      </c>
      <c r="K3107" s="7" t="n">
        <f aca="false">IFERROR(VALUE(RIGHT(TRIM(F3107),4)),"")</f>
        <v>2018</v>
      </c>
      <c r="L3107" s="7" t="str">
        <f aca="false">IF(TRIM(E3107)="","Unknown",IFERROR(LEFT(TRIM(E3107),FIND(",",TRIM(E3107))-1),TRIM(E3107)))</f>
        <v>India</v>
      </c>
      <c r="M3107" s="7" t="str">
        <f aca="false">IFERROR(LEFT(J3107,FIND(",",J3107)-1),J3107)</f>
        <v>Children &amp; Family Movies</v>
      </c>
      <c r="N3107" s="7" t="n">
        <f aca="false">IF(B3107="Movie",IFERROR(VALUE(LEFT(I3107,FIND(" ",I3107)-1)),""),"")</f>
        <v>87</v>
      </c>
      <c r="O3107" s="7" t="str">
        <f aca="false">IF(B3107="TV Show",IFERROR(VALUE(LEFT(I3107,FIND(" ",I3107)-1)),""),"")</f>
        <v/>
      </c>
      <c r="P3107" s="7" t="n">
        <f aca="false">IF(K3107="","",K3107-G3107)</f>
        <v>8</v>
      </c>
    </row>
    <row r="3108" customFormat="false" ht="15" hidden="false" customHeight="false" outlineLevel="0" collapsed="false">
      <c r="A3108" s="7" t="n">
        <v>80994573</v>
      </c>
      <c r="B3108" s="7" t="s">
        <v>68</v>
      </c>
      <c r="C3108" s="7" t="s">
        <v>6591</v>
      </c>
      <c r="D3108" s="7" t="s">
        <v>6592</v>
      </c>
      <c r="E3108" s="7" t="s">
        <v>27</v>
      </c>
      <c r="F3108" s="7" t="s">
        <v>6568</v>
      </c>
      <c r="G3108" s="7" t="n">
        <v>2017</v>
      </c>
      <c r="H3108" s="7" t="s">
        <v>50</v>
      </c>
      <c r="I3108" s="7" t="s">
        <v>237</v>
      </c>
      <c r="J3108" s="7" t="s">
        <v>304</v>
      </c>
      <c r="K3108" s="7" t="n">
        <f aca="false">IFERROR(VALUE(RIGHT(TRIM(F3108),4)),"")</f>
        <v>2018</v>
      </c>
      <c r="L3108" s="7" t="str">
        <f aca="false">IF(TRIM(E3108)="","Unknown",IFERROR(LEFT(TRIM(E3108),FIND(",",TRIM(E3108))-1),TRIM(E3108)))</f>
        <v>India</v>
      </c>
      <c r="M3108" s="7" t="str">
        <f aca="false">IFERROR(LEFT(J3108,FIND(",",J3108)-1),J3108)</f>
        <v>Dramas</v>
      </c>
      <c r="N3108" s="7" t="n">
        <f aca="false">IF(B3108="Movie",IFERROR(VALUE(LEFT(I3108,FIND(" ",I3108)-1)),""),"")</f>
        <v>116</v>
      </c>
      <c r="O3108" s="7" t="str">
        <f aca="false">IF(B3108="TV Show",IFERROR(VALUE(LEFT(I3108,FIND(" ",I3108)-1)),""),"")</f>
        <v/>
      </c>
      <c r="P3108" s="7" t="n">
        <f aca="false">IF(K3108="","",K3108-G3108)</f>
        <v>1</v>
      </c>
    </row>
    <row r="3109" customFormat="false" ht="15" hidden="false" customHeight="false" outlineLevel="0" collapsed="false">
      <c r="A3109" s="7" t="n">
        <v>70057519</v>
      </c>
      <c r="B3109" s="7" t="s">
        <v>68</v>
      </c>
      <c r="C3109" s="7" t="s">
        <v>6593</v>
      </c>
      <c r="D3109" s="7" t="s">
        <v>6594</v>
      </c>
      <c r="E3109" s="7" t="s">
        <v>26</v>
      </c>
      <c r="F3109" s="7" t="s">
        <v>6568</v>
      </c>
      <c r="G3109" s="7" t="n">
        <v>2006</v>
      </c>
      <c r="H3109" s="7" t="s">
        <v>48</v>
      </c>
      <c r="I3109" s="7" t="s">
        <v>162</v>
      </c>
      <c r="J3109" s="7" t="s">
        <v>566</v>
      </c>
      <c r="K3109" s="7" t="n">
        <f aca="false">IFERROR(VALUE(RIGHT(TRIM(F3109),4)),"")</f>
        <v>2018</v>
      </c>
      <c r="L3109" s="7" t="str">
        <f aca="false">IF(TRIM(E3109)="","Unknown",IFERROR(LEFT(TRIM(E3109),FIND(",",TRIM(E3109))-1),TRIM(E3109)))</f>
        <v>United States</v>
      </c>
      <c r="M3109" s="7" t="str">
        <f aca="false">IFERROR(LEFT(J3109,FIND(",",J3109)-1),J3109)</f>
        <v>Dramas</v>
      </c>
      <c r="N3109" s="7" t="n">
        <f aca="false">IF(B3109="Movie",IFERROR(VALUE(LEFT(I3109,FIND(" ",I3109)-1)),""),"")</f>
        <v>77</v>
      </c>
      <c r="O3109" s="7" t="str">
        <f aca="false">IF(B3109="TV Show",IFERROR(VALUE(LEFT(I3109,FIND(" ",I3109)-1)),""),"")</f>
        <v/>
      </c>
      <c r="P3109" s="7" t="n">
        <f aca="false">IF(K3109="","",K3109-G3109)</f>
        <v>12</v>
      </c>
    </row>
    <row r="3110" customFormat="false" ht="15" hidden="false" customHeight="false" outlineLevel="0" collapsed="false">
      <c r="A3110" s="7" t="n">
        <v>80994425</v>
      </c>
      <c r="B3110" s="7" t="s">
        <v>68</v>
      </c>
      <c r="C3110" s="7" t="s">
        <v>6595</v>
      </c>
      <c r="D3110" s="7" t="s">
        <v>6596</v>
      </c>
      <c r="E3110" s="7" t="s">
        <v>27</v>
      </c>
      <c r="F3110" s="7" t="s">
        <v>6568</v>
      </c>
      <c r="G3110" s="7" t="n">
        <v>2017</v>
      </c>
      <c r="H3110" s="7" t="s">
        <v>49</v>
      </c>
      <c r="I3110" s="7" t="s">
        <v>386</v>
      </c>
      <c r="J3110" s="7" t="s">
        <v>358</v>
      </c>
      <c r="K3110" s="7" t="n">
        <f aca="false">IFERROR(VALUE(RIGHT(TRIM(F3110),4)),"")</f>
        <v>2018</v>
      </c>
      <c r="L3110" s="7" t="str">
        <f aca="false">IF(TRIM(E3110)="","Unknown",IFERROR(LEFT(TRIM(E3110),FIND(",",TRIM(E3110))-1),TRIM(E3110)))</f>
        <v>India</v>
      </c>
      <c r="M3110" s="7" t="str">
        <f aca="false">IFERROR(LEFT(J3110,FIND(",",J3110)-1),J3110)</f>
        <v>International Movies</v>
      </c>
      <c r="N3110" s="7" t="n">
        <f aca="false">IF(B3110="Movie",IFERROR(VALUE(LEFT(I3110,FIND(" ",I3110)-1)),""),"")</f>
        <v>117</v>
      </c>
      <c r="O3110" s="7" t="str">
        <f aca="false">IF(B3110="TV Show",IFERROR(VALUE(LEFT(I3110,FIND(" ",I3110)-1)),""),"")</f>
        <v/>
      </c>
      <c r="P3110" s="7" t="n">
        <f aca="false">IF(K3110="","",K3110-G3110)</f>
        <v>1</v>
      </c>
    </row>
    <row r="3111" customFormat="false" ht="15" hidden="false" customHeight="false" outlineLevel="0" collapsed="false">
      <c r="A3111" s="7" t="n">
        <v>60029032</v>
      </c>
      <c r="B3111" s="7" t="s">
        <v>68</v>
      </c>
      <c r="C3111" s="7" t="s">
        <v>6597</v>
      </c>
      <c r="D3111" s="7" t="s">
        <v>6598</v>
      </c>
      <c r="E3111" s="7" t="s">
        <v>26</v>
      </c>
      <c r="F3111" s="7" t="s">
        <v>6568</v>
      </c>
      <c r="G3111" s="7" t="n">
        <v>2003</v>
      </c>
      <c r="H3111" s="7" t="s">
        <v>51</v>
      </c>
      <c r="I3111" s="7" t="s">
        <v>613</v>
      </c>
      <c r="J3111" s="7" t="s">
        <v>198</v>
      </c>
      <c r="K3111" s="7" t="n">
        <f aca="false">IFERROR(VALUE(RIGHT(TRIM(F3111),4)),"")</f>
        <v>2018</v>
      </c>
      <c r="L3111" s="7" t="str">
        <f aca="false">IF(TRIM(E3111)="","Unknown",IFERROR(LEFT(TRIM(E3111),FIND(",",TRIM(E3111))-1),TRIM(E3111)))</f>
        <v>United States</v>
      </c>
      <c r="M3111" s="7" t="str">
        <f aca="false">IFERROR(LEFT(J3111,FIND(",",J3111)-1),J3111)</f>
        <v>Comedies</v>
      </c>
      <c r="N3111" s="7" t="n">
        <f aca="false">IF(B3111="Movie",IFERROR(VALUE(LEFT(I3111,FIND(" ",I3111)-1)),""),"")</f>
        <v>84</v>
      </c>
      <c r="O3111" s="7" t="str">
        <f aca="false">IF(B3111="TV Show",IFERROR(VALUE(LEFT(I3111,FIND(" ",I3111)-1)),""),"")</f>
        <v/>
      </c>
      <c r="P3111" s="7" t="n">
        <f aca="false">IF(K3111="","",K3111-G3111)</f>
        <v>15</v>
      </c>
    </row>
    <row r="3112" customFormat="false" ht="15" hidden="false" customHeight="false" outlineLevel="0" collapsed="false">
      <c r="A3112" s="7" t="n">
        <v>81002211</v>
      </c>
      <c r="B3112" s="7" t="s">
        <v>68</v>
      </c>
      <c r="C3112" s="7" t="s">
        <v>6599</v>
      </c>
      <c r="D3112" s="7" t="s">
        <v>6600</v>
      </c>
      <c r="E3112" s="7" t="s">
        <v>27</v>
      </c>
      <c r="F3112" s="7" t="s">
        <v>6568</v>
      </c>
      <c r="G3112" s="7" t="n">
        <v>2018</v>
      </c>
      <c r="H3112" s="7" t="s">
        <v>49</v>
      </c>
      <c r="I3112" s="7" t="s">
        <v>311</v>
      </c>
      <c r="J3112" s="7" t="s">
        <v>182</v>
      </c>
      <c r="K3112" s="7" t="n">
        <f aca="false">IFERROR(VALUE(RIGHT(TRIM(F3112),4)),"")</f>
        <v>2018</v>
      </c>
      <c r="L3112" s="7" t="str">
        <f aca="false">IF(TRIM(E3112)="","Unknown",IFERROR(LEFT(TRIM(E3112),FIND(",",TRIM(E3112))-1),TRIM(E3112)))</f>
        <v>India</v>
      </c>
      <c r="M3112" s="7" t="str">
        <f aca="false">IFERROR(LEFT(J3112,FIND(",",J3112)-1),J3112)</f>
        <v>Dramas</v>
      </c>
      <c r="N3112" s="7" t="n">
        <f aca="false">IF(B3112="Movie",IFERROR(VALUE(LEFT(I3112,FIND(" ",I3112)-1)),""),"")</f>
        <v>92</v>
      </c>
      <c r="O3112" s="7" t="str">
        <f aca="false">IF(B3112="TV Show",IFERROR(VALUE(LEFT(I3112,FIND(" ",I3112)-1)),""),"")</f>
        <v/>
      </c>
      <c r="P3112" s="7" t="n">
        <f aca="false">IF(K3112="","",K3112-G3112)</f>
        <v>0</v>
      </c>
    </row>
    <row r="3113" customFormat="false" ht="15" hidden="false" customHeight="false" outlineLevel="0" collapsed="false">
      <c r="A3113" s="7" t="n">
        <v>70062158</v>
      </c>
      <c r="B3113" s="7" t="s">
        <v>68</v>
      </c>
      <c r="C3113" s="7" t="s">
        <v>6601</v>
      </c>
      <c r="D3113" s="7" t="s">
        <v>3917</v>
      </c>
      <c r="E3113" s="7" t="s">
        <v>27</v>
      </c>
      <c r="F3113" s="7" t="s">
        <v>6568</v>
      </c>
      <c r="G3113" s="7" t="n">
        <v>2007</v>
      </c>
      <c r="H3113" s="7" t="s">
        <v>50</v>
      </c>
      <c r="I3113" s="7" t="s">
        <v>247</v>
      </c>
      <c r="J3113" s="7" t="s">
        <v>240</v>
      </c>
      <c r="K3113" s="7" t="n">
        <f aca="false">IFERROR(VALUE(RIGHT(TRIM(F3113),4)),"")</f>
        <v>2018</v>
      </c>
      <c r="L3113" s="7" t="str">
        <f aca="false">IF(TRIM(E3113)="","Unknown",IFERROR(LEFT(TRIM(E3113),FIND(",",TRIM(E3113))-1),TRIM(E3113)))</f>
        <v>India</v>
      </c>
      <c r="M3113" s="7" t="str">
        <f aca="false">IFERROR(LEFT(J3113,FIND(",",J3113)-1),J3113)</f>
        <v>Dramas</v>
      </c>
      <c r="N3113" s="7" t="n">
        <f aca="false">IF(B3113="Movie",IFERROR(VALUE(LEFT(I3113,FIND(" ",I3113)-1)),""),"")</f>
        <v>130</v>
      </c>
      <c r="O3113" s="7" t="str">
        <f aca="false">IF(B3113="TV Show",IFERROR(VALUE(LEFT(I3113,FIND(" ",I3113)-1)),""),"")</f>
        <v/>
      </c>
      <c r="P3113" s="7" t="n">
        <f aca="false">IF(K3113="","",K3113-G3113)</f>
        <v>11</v>
      </c>
    </row>
    <row r="3114" customFormat="false" ht="15" hidden="false" customHeight="false" outlineLevel="0" collapsed="false">
      <c r="A3114" s="7" t="n">
        <v>80996343</v>
      </c>
      <c r="B3114" s="7" t="s">
        <v>68</v>
      </c>
      <c r="C3114" s="7" t="s">
        <v>6602</v>
      </c>
      <c r="E3114" s="7" t="s">
        <v>366</v>
      </c>
      <c r="F3114" s="7" t="s">
        <v>6568</v>
      </c>
      <c r="G3114" s="7" t="n">
        <v>2017</v>
      </c>
      <c r="H3114" s="7" t="s">
        <v>50</v>
      </c>
      <c r="I3114" s="7" t="s">
        <v>330</v>
      </c>
      <c r="J3114" s="7" t="s">
        <v>217</v>
      </c>
      <c r="K3114" s="7" t="n">
        <f aca="false">IFERROR(VALUE(RIGHT(TRIM(F3114),4)),"")</f>
        <v>2018</v>
      </c>
      <c r="L3114" s="7" t="str">
        <f aca="false">IF(TRIM(E3114)="","Unknown",IFERROR(LEFT(TRIM(E3114),FIND(",",TRIM(E3114))-1),TRIM(E3114)))</f>
        <v>China</v>
      </c>
      <c r="M3114" s="7" t="str">
        <f aca="false">IFERROR(LEFT(J3114,FIND(",",J3114)-1),J3114)</f>
        <v>Comedies</v>
      </c>
      <c r="N3114" s="7" t="n">
        <f aca="false">IF(B3114="Movie",IFERROR(VALUE(LEFT(I3114,FIND(" ",I3114)-1)),""),"")</f>
        <v>103</v>
      </c>
      <c r="O3114" s="7" t="str">
        <f aca="false">IF(B3114="TV Show",IFERROR(VALUE(LEFT(I3114,FIND(" ",I3114)-1)),""),"")</f>
        <v/>
      </c>
      <c r="P3114" s="7" t="n">
        <f aca="false">IF(K3114="","",K3114-G3114)</f>
        <v>1</v>
      </c>
    </row>
    <row r="3115" customFormat="false" ht="15" hidden="false" customHeight="false" outlineLevel="0" collapsed="false">
      <c r="A3115" s="7" t="n">
        <v>80994419</v>
      </c>
      <c r="B3115" s="7" t="s">
        <v>68</v>
      </c>
      <c r="C3115" s="7" t="s">
        <v>6603</v>
      </c>
      <c r="D3115" s="7" t="s">
        <v>6604</v>
      </c>
      <c r="E3115" s="7" t="s">
        <v>27</v>
      </c>
      <c r="F3115" s="7" t="s">
        <v>6568</v>
      </c>
      <c r="G3115" s="7" t="n">
        <v>2017</v>
      </c>
      <c r="H3115" s="7" t="s">
        <v>48</v>
      </c>
      <c r="I3115" s="7" t="s">
        <v>357</v>
      </c>
      <c r="J3115" s="7" t="s">
        <v>304</v>
      </c>
      <c r="K3115" s="7" t="n">
        <f aca="false">IFERROR(VALUE(RIGHT(TRIM(F3115),4)),"")</f>
        <v>2018</v>
      </c>
      <c r="L3115" s="7" t="str">
        <f aca="false">IF(TRIM(E3115)="","Unknown",IFERROR(LEFT(TRIM(E3115),FIND(",",TRIM(E3115))-1),TRIM(E3115)))</f>
        <v>India</v>
      </c>
      <c r="M3115" s="7" t="str">
        <f aca="false">IFERROR(LEFT(J3115,FIND(",",J3115)-1),J3115)</f>
        <v>Dramas</v>
      </c>
      <c r="N3115" s="7" t="n">
        <f aca="false">IF(B3115="Movie",IFERROR(VALUE(LEFT(I3115,FIND(" ",I3115)-1)),""),"")</f>
        <v>89</v>
      </c>
      <c r="O3115" s="7" t="str">
        <f aca="false">IF(B3115="TV Show",IFERROR(VALUE(LEFT(I3115,FIND(" ",I3115)-1)),""),"")</f>
        <v/>
      </c>
      <c r="P3115" s="7" t="n">
        <f aca="false">IF(K3115="","",K3115-G3115)</f>
        <v>1</v>
      </c>
    </row>
    <row r="3116" customFormat="false" ht="15" hidden="false" customHeight="false" outlineLevel="0" collapsed="false">
      <c r="A3116" s="7" t="n">
        <v>80994426</v>
      </c>
      <c r="B3116" s="7" t="s">
        <v>68</v>
      </c>
      <c r="C3116" s="7" t="s">
        <v>6605</v>
      </c>
      <c r="D3116" s="7" t="s">
        <v>6606</v>
      </c>
      <c r="E3116" s="7" t="s">
        <v>27</v>
      </c>
      <c r="F3116" s="7" t="s">
        <v>6568</v>
      </c>
      <c r="G3116" s="7" t="n">
        <v>2017</v>
      </c>
      <c r="H3116" s="7" t="s">
        <v>50</v>
      </c>
      <c r="I3116" s="7" t="s">
        <v>790</v>
      </c>
      <c r="J3116" s="7" t="s">
        <v>188</v>
      </c>
      <c r="K3116" s="7" t="n">
        <f aca="false">IFERROR(VALUE(RIGHT(TRIM(F3116),4)),"")</f>
        <v>2018</v>
      </c>
      <c r="L3116" s="7" t="str">
        <f aca="false">IF(TRIM(E3116)="","Unknown",IFERROR(LEFT(TRIM(E3116),FIND(",",TRIM(E3116))-1),TRIM(E3116)))</f>
        <v>India</v>
      </c>
      <c r="M3116" s="7" t="str">
        <f aca="false">IFERROR(LEFT(J3116,FIND(",",J3116)-1),J3116)</f>
        <v>Dramas</v>
      </c>
      <c r="N3116" s="7" t="n">
        <f aca="false">IF(B3116="Movie",IFERROR(VALUE(LEFT(I3116,FIND(" ",I3116)-1)),""),"")</f>
        <v>109</v>
      </c>
      <c r="O3116" s="7" t="str">
        <f aca="false">IF(B3116="TV Show",IFERROR(VALUE(LEFT(I3116,FIND(" ",I3116)-1)),""),"")</f>
        <v/>
      </c>
      <c r="P3116" s="7" t="n">
        <f aca="false">IF(K3116="","",K3116-G3116)</f>
        <v>1</v>
      </c>
    </row>
    <row r="3117" customFormat="false" ht="15" hidden="false" customHeight="false" outlineLevel="0" collapsed="false">
      <c r="A3117" s="7" t="n">
        <v>80994574</v>
      </c>
      <c r="B3117" s="7" t="s">
        <v>68</v>
      </c>
      <c r="C3117" s="7" t="s">
        <v>6607</v>
      </c>
      <c r="D3117" s="7" t="s">
        <v>6608</v>
      </c>
      <c r="E3117" s="7" t="s">
        <v>27</v>
      </c>
      <c r="F3117" s="7" t="s">
        <v>6568</v>
      </c>
      <c r="G3117" s="7" t="n">
        <v>2016</v>
      </c>
      <c r="H3117" s="7" t="s">
        <v>49</v>
      </c>
      <c r="I3117" s="7" t="s">
        <v>417</v>
      </c>
      <c r="J3117" s="7" t="s">
        <v>304</v>
      </c>
      <c r="K3117" s="7" t="n">
        <f aca="false">IFERROR(VALUE(RIGHT(TRIM(F3117),4)),"")</f>
        <v>2018</v>
      </c>
      <c r="L3117" s="7" t="str">
        <f aca="false">IF(TRIM(E3117)="","Unknown",IFERROR(LEFT(TRIM(E3117),FIND(",",TRIM(E3117))-1),TRIM(E3117)))</f>
        <v>India</v>
      </c>
      <c r="M3117" s="7" t="str">
        <f aca="false">IFERROR(LEFT(J3117,FIND(",",J3117)-1),J3117)</f>
        <v>Dramas</v>
      </c>
      <c r="N3117" s="7" t="n">
        <f aca="false">IF(B3117="Movie",IFERROR(VALUE(LEFT(I3117,FIND(" ",I3117)-1)),""),"")</f>
        <v>104</v>
      </c>
      <c r="O3117" s="7" t="str">
        <f aca="false">IF(B3117="TV Show",IFERROR(VALUE(LEFT(I3117,FIND(" ",I3117)-1)),""),"")</f>
        <v/>
      </c>
      <c r="P3117" s="7" t="n">
        <f aca="false">IF(K3117="","",K3117-G3117)</f>
        <v>2</v>
      </c>
    </row>
    <row r="3118" customFormat="false" ht="15" hidden="false" customHeight="false" outlineLevel="0" collapsed="false">
      <c r="A3118" s="7" t="n">
        <v>70125939</v>
      </c>
      <c r="B3118" s="7" t="s">
        <v>68</v>
      </c>
      <c r="C3118" s="7" t="s">
        <v>6609</v>
      </c>
      <c r="D3118" s="7" t="s">
        <v>6610</v>
      </c>
      <c r="E3118" s="7" t="s">
        <v>27</v>
      </c>
      <c r="F3118" s="7" t="s">
        <v>6568</v>
      </c>
      <c r="G3118" s="7" t="n">
        <v>2009</v>
      </c>
      <c r="H3118" s="7" t="s">
        <v>49</v>
      </c>
      <c r="I3118" s="7" t="s">
        <v>187</v>
      </c>
      <c r="J3118" s="7" t="s">
        <v>202</v>
      </c>
      <c r="K3118" s="7" t="n">
        <f aca="false">IFERROR(VALUE(RIGHT(TRIM(F3118),4)),"")</f>
        <v>2018</v>
      </c>
      <c r="L3118" s="7" t="str">
        <f aca="false">IF(TRIM(E3118)="","Unknown",IFERROR(LEFT(TRIM(E3118),FIND(",",TRIM(E3118))-1),TRIM(E3118)))</f>
        <v>India</v>
      </c>
      <c r="M3118" s="7" t="str">
        <f aca="false">IFERROR(LEFT(J3118,FIND(",",J3118)-1),J3118)</f>
        <v>Comedies</v>
      </c>
      <c r="N3118" s="7" t="n">
        <f aca="false">IF(B3118="Movie",IFERROR(VALUE(LEFT(I3118,FIND(" ",I3118)-1)),""),"")</f>
        <v>114</v>
      </c>
      <c r="O3118" s="7" t="str">
        <f aca="false">IF(B3118="TV Show",IFERROR(VALUE(LEFT(I3118,FIND(" ",I3118)-1)),""),"")</f>
        <v/>
      </c>
      <c r="P3118" s="7" t="n">
        <f aca="false">IF(K3118="","",K3118-G3118)</f>
        <v>9</v>
      </c>
    </row>
    <row r="3119" customFormat="false" ht="15" hidden="false" customHeight="false" outlineLevel="0" collapsed="false">
      <c r="A3119" s="7" t="n">
        <v>80994420</v>
      </c>
      <c r="B3119" s="7" t="s">
        <v>68</v>
      </c>
      <c r="C3119" s="7" t="s">
        <v>6611</v>
      </c>
      <c r="D3119" s="7" t="s">
        <v>6612</v>
      </c>
      <c r="E3119" s="7" t="s">
        <v>27</v>
      </c>
      <c r="F3119" s="7" t="s">
        <v>6568</v>
      </c>
      <c r="G3119" s="7" t="n">
        <v>2017</v>
      </c>
      <c r="H3119" s="7" t="s">
        <v>49</v>
      </c>
      <c r="I3119" s="7" t="s">
        <v>201</v>
      </c>
      <c r="J3119" s="7" t="s">
        <v>304</v>
      </c>
      <c r="K3119" s="7" t="n">
        <f aca="false">IFERROR(VALUE(RIGHT(TRIM(F3119),4)),"")</f>
        <v>2018</v>
      </c>
      <c r="L3119" s="7" t="str">
        <f aca="false">IF(TRIM(E3119)="","Unknown",IFERROR(LEFT(TRIM(E3119),FIND(",",TRIM(E3119))-1),TRIM(E3119)))</f>
        <v>India</v>
      </c>
      <c r="M3119" s="7" t="str">
        <f aca="false">IFERROR(LEFT(J3119,FIND(",",J3119)-1),J3119)</f>
        <v>Dramas</v>
      </c>
      <c r="N3119" s="7" t="n">
        <f aca="false">IF(B3119="Movie",IFERROR(VALUE(LEFT(I3119,FIND(" ",I3119)-1)),""),"")</f>
        <v>133</v>
      </c>
      <c r="O3119" s="7" t="str">
        <f aca="false">IF(B3119="TV Show",IFERROR(VALUE(LEFT(I3119,FIND(" ",I3119)-1)),""),"")</f>
        <v/>
      </c>
      <c r="P3119" s="7" t="n">
        <f aca="false">IF(K3119="","",K3119-G3119)</f>
        <v>1</v>
      </c>
    </row>
    <row r="3120" customFormat="false" ht="15" hidden="false" customHeight="false" outlineLevel="0" collapsed="false">
      <c r="A3120" s="7" t="n">
        <v>70205125</v>
      </c>
      <c r="B3120" s="7" t="s">
        <v>68</v>
      </c>
      <c r="C3120" s="7" t="s">
        <v>6613</v>
      </c>
      <c r="D3120" s="7" t="s">
        <v>6614</v>
      </c>
      <c r="E3120" s="7" t="s">
        <v>6615</v>
      </c>
      <c r="F3120" s="7" t="s">
        <v>6568</v>
      </c>
      <c r="G3120" s="7" t="n">
        <v>2007</v>
      </c>
      <c r="H3120" s="7" t="s">
        <v>50</v>
      </c>
      <c r="I3120" s="7" t="s">
        <v>512</v>
      </c>
      <c r="J3120" s="7" t="s">
        <v>240</v>
      </c>
      <c r="K3120" s="7" t="n">
        <f aca="false">IFERROR(VALUE(RIGHT(TRIM(F3120),4)),"")</f>
        <v>2018</v>
      </c>
      <c r="L3120" s="7" t="str">
        <f aca="false">IF(TRIM(E3120)="","Unknown",IFERROR(LEFT(TRIM(E3120),FIND(",",TRIM(E3120))-1),TRIM(E3120)))</f>
        <v>Hong Kong</v>
      </c>
      <c r="M3120" s="7" t="str">
        <f aca="false">IFERROR(LEFT(J3120,FIND(",",J3120)-1),J3120)</f>
        <v>Dramas</v>
      </c>
      <c r="N3120" s="7" t="n">
        <f aca="false">IF(B3120="Movie",IFERROR(VALUE(LEFT(I3120,FIND(" ",I3120)-1)),""),"")</f>
        <v>101</v>
      </c>
      <c r="O3120" s="7" t="str">
        <f aca="false">IF(B3120="TV Show",IFERROR(VALUE(LEFT(I3120,FIND(" ",I3120)-1)),""),"")</f>
        <v/>
      </c>
      <c r="P3120" s="7" t="n">
        <f aca="false">IF(K3120="","",K3120-G3120)</f>
        <v>11</v>
      </c>
    </row>
    <row r="3121" customFormat="false" ht="15" hidden="false" customHeight="false" outlineLevel="0" collapsed="false">
      <c r="A3121" s="7" t="n">
        <v>70034610</v>
      </c>
      <c r="B3121" s="7" t="s">
        <v>68</v>
      </c>
      <c r="C3121" s="7" t="s">
        <v>6616</v>
      </c>
      <c r="D3121" s="7" t="s">
        <v>6617</v>
      </c>
      <c r="E3121" s="7" t="s">
        <v>27</v>
      </c>
      <c r="F3121" s="7" t="s">
        <v>6568</v>
      </c>
      <c r="G3121" s="7" t="n">
        <v>2005</v>
      </c>
      <c r="H3121" s="7" t="s">
        <v>50</v>
      </c>
      <c r="I3121" s="7" t="s">
        <v>749</v>
      </c>
      <c r="J3121" s="7" t="s">
        <v>206</v>
      </c>
      <c r="K3121" s="7" t="n">
        <f aca="false">IFERROR(VALUE(RIGHT(TRIM(F3121),4)),"")</f>
        <v>2018</v>
      </c>
      <c r="L3121" s="7" t="str">
        <f aca="false">IF(TRIM(E3121)="","Unknown",IFERROR(LEFT(TRIM(E3121),FIND(",",TRIM(E3121))-1),TRIM(E3121)))</f>
        <v>India</v>
      </c>
      <c r="M3121" s="7" t="str">
        <f aca="false">IFERROR(LEFT(J3121,FIND(",",J3121)-1),J3121)</f>
        <v>Comedies</v>
      </c>
      <c r="N3121" s="7" t="n">
        <f aca="false">IF(B3121="Movie",IFERROR(VALUE(LEFT(I3121,FIND(" ",I3121)-1)),""),"")</f>
        <v>137</v>
      </c>
      <c r="O3121" s="7" t="str">
        <f aca="false">IF(B3121="TV Show",IFERROR(VALUE(LEFT(I3121,FIND(" ",I3121)-1)),""),"")</f>
        <v/>
      </c>
      <c r="P3121" s="7" t="n">
        <f aca="false">IF(K3121="","",K3121-G3121)</f>
        <v>13</v>
      </c>
    </row>
    <row r="3122" customFormat="false" ht="15" hidden="false" customHeight="false" outlineLevel="0" collapsed="false">
      <c r="A3122" s="7" t="n">
        <v>80992111</v>
      </c>
      <c r="B3122" s="7" t="s">
        <v>68</v>
      </c>
      <c r="C3122" s="7" t="s">
        <v>6618</v>
      </c>
      <c r="D3122" s="7" t="s">
        <v>6619</v>
      </c>
      <c r="E3122" s="7" t="s">
        <v>34</v>
      </c>
      <c r="F3122" s="7" t="s">
        <v>6568</v>
      </c>
      <c r="G3122" s="7" t="n">
        <v>2015</v>
      </c>
      <c r="H3122" s="7" t="s">
        <v>48</v>
      </c>
      <c r="I3122" s="7" t="s">
        <v>264</v>
      </c>
      <c r="J3122" s="7" t="s">
        <v>169</v>
      </c>
      <c r="K3122" s="7" t="n">
        <f aca="false">IFERROR(VALUE(RIGHT(TRIM(F3122),4)),"")</f>
        <v>2018</v>
      </c>
      <c r="L3122" s="7" t="str">
        <f aca="false">IF(TRIM(E3122)="","Unknown",IFERROR(LEFT(TRIM(E3122),FIND(",",TRIM(E3122))-1),TRIM(E3122)))</f>
        <v>Mexico</v>
      </c>
      <c r="M3122" s="7" t="str">
        <f aca="false">IFERROR(LEFT(J3122,FIND(",",J3122)-1),J3122)</f>
        <v>Horror Movies</v>
      </c>
      <c r="N3122" s="7" t="n">
        <f aca="false">IF(B3122="Movie",IFERROR(VALUE(LEFT(I3122,FIND(" ",I3122)-1)),""),"")</f>
        <v>88</v>
      </c>
      <c r="O3122" s="7" t="str">
        <f aca="false">IF(B3122="TV Show",IFERROR(VALUE(LEFT(I3122,FIND(" ",I3122)-1)),""),"")</f>
        <v/>
      </c>
      <c r="P3122" s="7" t="n">
        <f aca="false">IF(K3122="","",K3122-G3122)</f>
        <v>3</v>
      </c>
    </row>
    <row r="3123" customFormat="false" ht="15" hidden="false" customHeight="false" outlineLevel="0" collapsed="false">
      <c r="A3123" s="7" t="n">
        <v>80222256</v>
      </c>
      <c r="B3123" s="7" t="s">
        <v>68</v>
      </c>
      <c r="C3123" s="7" t="s">
        <v>6620</v>
      </c>
      <c r="D3123" s="7" t="s">
        <v>6621</v>
      </c>
      <c r="E3123" s="7" t="s">
        <v>26</v>
      </c>
      <c r="F3123" s="7" t="s">
        <v>6568</v>
      </c>
      <c r="G3123" s="7" t="n">
        <v>2018</v>
      </c>
      <c r="H3123" s="7" t="s">
        <v>48</v>
      </c>
      <c r="I3123" s="7" t="s">
        <v>264</v>
      </c>
      <c r="J3123" s="7" t="s">
        <v>6622</v>
      </c>
      <c r="K3123" s="7" t="n">
        <f aca="false">IFERROR(VALUE(RIGHT(TRIM(F3123),4)),"")</f>
        <v>2018</v>
      </c>
      <c r="L3123" s="7" t="str">
        <f aca="false">IF(TRIM(E3123)="","Unknown",IFERROR(LEFT(TRIM(E3123),FIND(",",TRIM(E3123))-1),TRIM(E3123)))</f>
        <v>United States</v>
      </c>
      <c r="M3123" s="7" t="str">
        <f aca="false">IFERROR(LEFT(J3123,FIND(",",J3123)-1),J3123)</f>
        <v>Comedies</v>
      </c>
      <c r="N3123" s="7" t="n">
        <f aca="false">IF(B3123="Movie",IFERROR(VALUE(LEFT(I3123,FIND(" ",I3123)-1)),""),"")</f>
        <v>88</v>
      </c>
      <c r="O3123" s="7" t="str">
        <f aca="false">IF(B3123="TV Show",IFERROR(VALUE(LEFT(I3123,FIND(" ",I3123)-1)),""),"")</f>
        <v/>
      </c>
      <c r="P3123" s="7" t="n">
        <f aca="false">IF(K3123="","",K3123-G3123)</f>
        <v>0</v>
      </c>
    </row>
    <row r="3124" customFormat="false" ht="15" hidden="false" customHeight="false" outlineLevel="0" collapsed="false">
      <c r="A3124" s="7" t="n">
        <v>80206917</v>
      </c>
      <c r="B3124" s="7" t="s">
        <v>68</v>
      </c>
      <c r="C3124" s="7" t="s">
        <v>6623</v>
      </c>
      <c r="D3124" s="7" t="s">
        <v>6624</v>
      </c>
      <c r="E3124" s="7" t="s">
        <v>855</v>
      </c>
      <c r="F3124" s="7" t="s">
        <v>6568</v>
      </c>
      <c r="G3124" s="7" t="n">
        <v>2017</v>
      </c>
      <c r="H3124" s="7" t="s">
        <v>50</v>
      </c>
      <c r="I3124" s="7" t="s">
        <v>1405</v>
      </c>
      <c r="J3124" s="7" t="s">
        <v>1042</v>
      </c>
      <c r="K3124" s="7" t="n">
        <f aca="false">IFERROR(VALUE(RIGHT(TRIM(F3124),4)),"")</f>
        <v>2018</v>
      </c>
      <c r="L3124" s="7" t="str">
        <f aca="false">IF(TRIM(E3124)="","Unknown",IFERROR(LEFT(TRIM(E3124),FIND(",",TRIM(E3124))-1),TRIM(E3124)))</f>
        <v>Italy</v>
      </c>
      <c r="M3124" s="7" t="str">
        <f aca="false">IFERROR(LEFT(J3124,FIND(",",J3124)-1),J3124)</f>
        <v>Dramas</v>
      </c>
      <c r="N3124" s="7" t="n">
        <f aca="false">IF(B3124="Movie",IFERROR(VALUE(LEFT(I3124,FIND(" ",I3124)-1)),""),"")</f>
        <v>115</v>
      </c>
      <c r="O3124" s="7" t="str">
        <f aca="false">IF(B3124="TV Show",IFERROR(VALUE(LEFT(I3124,FIND(" ",I3124)-1)),""),"")</f>
        <v/>
      </c>
      <c r="P3124" s="7" t="n">
        <f aca="false">IF(K3124="","",K3124-G3124)</f>
        <v>1</v>
      </c>
    </row>
    <row r="3125" customFormat="false" ht="15" hidden="false" customHeight="false" outlineLevel="0" collapsed="false">
      <c r="A3125" s="7" t="n">
        <v>80176064</v>
      </c>
      <c r="B3125" s="7" t="s">
        <v>68</v>
      </c>
      <c r="C3125" s="7" t="s">
        <v>6625</v>
      </c>
      <c r="D3125" s="7" t="s">
        <v>6626</v>
      </c>
      <c r="E3125" s="7" t="s">
        <v>26</v>
      </c>
      <c r="F3125" s="7" t="s">
        <v>6568</v>
      </c>
      <c r="G3125" s="7" t="n">
        <v>2017</v>
      </c>
      <c r="H3125" s="7" t="s">
        <v>49</v>
      </c>
      <c r="I3125" s="7" t="s">
        <v>2551</v>
      </c>
      <c r="J3125" s="7" t="s">
        <v>1085</v>
      </c>
      <c r="K3125" s="7" t="n">
        <f aca="false">IFERROR(VALUE(RIGHT(TRIM(F3125),4)),"")</f>
        <v>2018</v>
      </c>
      <c r="L3125" s="7" t="str">
        <f aca="false">IF(TRIM(E3125)="","Unknown",IFERROR(LEFT(TRIM(E3125),FIND(",",TRIM(E3125))-1),TRIM(E3125)))</f>
        <v>United States</v>
      </c>
      <c r="M3125" s="7" t="str">
        <f aca="false">IFERROR(LEFT(J3125,FIND(",",J3125)-1),J3125)</f>
        <v>Documentaries</v>
      </c>
      <c r="N3125" s="7" t="n">
        <f aca="false">IF(B3125="Movie",IFERROR(VALUE(LEFT(I3125,FIND(" ",I3125)-1)),""),"")</f>
        <v>120</v>
      </c>
      <c r="O3125" s="7" t="str">
        <f aca="false">IF(B3125="TV Show",IFERROR(VALUE(LEFT(I3125,FIND(" ",I3125)-1)),""),"")</f>
        <v/>
      </c>
      <c r="P3125" s="7" t="n">
        <f aca="false">IF(K3125="","",K3125-G3125)</f>
        <v>1</v>
      </c>
    </row>
    <row r="3126" customFormat="false" ht="15" hidden="false" customHeight="false" outlineLevel="0" collapsed="false">
      <c r="A3126" s="7" t="n">
        <v>80994421</v>
      </c>
      <c r="B3126" s="7" t="s">
        <v>68</v>
      </c>
      <c r="C3126" s="7" t="s">
        <v>6627</v>
      </c>
      <c r="D3126" s="7" t="s">
        <v>6628</v>
      </c>
      <c r="E3126" s="7" t="s">
        <v>27</v>
      </c>
      <c r="F3126" s="7" t="s">
        <v>6568</v>
      </c>
      <c r="G3126" s="7" t="n">
        <v>2017</v>
      </c>
      <c r="H3126" s="7" t="s">
        <v>49</v>
      </c>
      <c r="I3126" s="7" t="s">
        <v>417</v>
      </c>
      <c r="J3126" s="7" t="s">
        <v>240</v>
      </c>
      <c r="K3126" s="7" t="n">
        <f aca="false">IFERROR(VALUE(RIGHT(TRIM(F3126),4)),"")</f>
        <v>2018</v>
      </c>
      <c r="L3126" s="7" t="str">
        <f aca="false">IF(TRIM(E3126)="","Unknown",IFERROR(LEFT(TRIM(E3126),FIND(",",TRIM(E3126))-1),TRIM(E3126)))</f>
        <v>India</v>
      </c>
      <c r="M3126" s="7" t="str">
        <f aca="false">IFERROR(LEFT(J3126,FIND(",",J3126)-1),J3126)</f>
        <v>Dramas</v>
      </c>
      <c r="N3126" s="7" t="n">
        <f aca="false">IF(B3126="Movie",IFERROR(VALUE(LEFT(I3126,FIND(" ",I3126)-1)),""),"")</f>
        <v>104</v>
      </c>
      <c r="O3126" s="7" t="str">
        <f aca="false">IF(B3126="TV Show",IFERROR(VALUE(LEFT(I3126,FIND(" ",I3126)-1)),""),"")</f>
        <v/>
      </c>
      <c r="P3126" s="7" t="n">
        <f aca="false">IF(K3126="","",K3126-G3126)</f>
        <v>1</v>
      </c>
    </row>
    <row r="3127" customFormat="false" ht="15" hidden="false" customHeight="false" outlineLevel="0" collapsed="false">
      <c r="A3127" s="7" t="n">
        <v>70098332</v>
      </c>
      <c r="B3127" s="7" t="s">
        <v>68</v>
      </c>
      <c r="C3127" s="7" t="s">
        <v>6629</v>
      </c>
      <c r="D3127" s="7" t="s">
        <v>6630</v>
      </c>
      <c r="E3127" s="7" t="s">
        <v>26</v>
      </c>
      <c r="F3127" s="7" t="s">
        <v>6568</v>
      </c>
      <c r="G3127" s="7" t="n">
        <v>2008</v>
      </c>
      <c r="H3127" s="7" t="s">
        <v>52</v>
      </c>
      <c r="I3127" s="7" t="s">
        <v>187</v>
      </c>
      <c r="J3127" s="7" t="s">
        <v>597</v>
      </c>
      <c r="K3127" s="7" t="n">
        <f aca="false">IFERROR(VALUE(RIGHT(TRIM(F3127),4)),"")</f>
        <v>2018</v>
      </c>
      <c r="L3127" s="7" t="str">
        <f aca="false">IF(TRIM(E3127)="","Unknown",IFERROR(LEFT(TRIM(E3127),FIND(",",TRIM(E3127))-1),TRIM(E3127)))</f>
        <v>United States</v>
      </c>
      <c r="M3127" s="7" t="str">
        <f aca="false">IFERROR(LEFT(J3127,FIND(",",J3127)-1),J3127)</f>
        <v>Dramas</v>
      </c>
      <c r="N3127" s="7" t="n">
        <f aca="false">IF(B3127="Movie",IFERROR(VALUE(LEFT(I3127,FIND(" ",I3127)-1)),""),"")</f>
        <v>114</v>
      </c>
      <c r="O3127" s="7" t="str">
        <f aca="false">IF(B3127="TV Show",IFERROR(VALUE(LEFT(I3127,FIND(" ",I3127)-1)),""),"")</f>
        <v/>
      </c>
      <c r="P3127" s="7" t="n">
        <f aca="false">IF(K3127="","",K3127-G3127)</f>
        <v>10</v>
      </c>
    </row>
    <row r="3128" customFormat="false" ht="15" hidden="false" customHeight="false" outlineLevel="0" collapsed="false">
      <c r="A3128" s="7" t="n">
        <v>80236280</v>
      </c>
      <c r="B3128" s="7" t="s">
        <v>68</v>
      </c>
      <c r="C3128" s="7" t="s">
        <v>6631</v>
      </c>
      <c r="D3128" s="7" t="s">
        <v>4223</v>
      </c>
      <c r="E3128" s="7" t="s">
        <v>27</v>
      </c>
      <c r="F3128" s="7" t="s">
        <v>6568</v>
      </c>
      <c r="G3128" s="7" t="n">
        <v>2010</v>
      </c>
      <c r="H3128" s="7" t="s">
        <v>50</v>
      </c>
      <c r="I3128" s="7" t="s">
        <v>261</v>
      </c>
      <c r="J3128" s="7" t="s">
        <v>217</v>
      </c>
      <c r="K3128" s="7" t="n">
        <f aca="false">IFERROR(VALUE(RIGHT(TRIM(F3128),4)),"")</f>
        <v>2018</v>
      </c>
      <c r="L3128" s="7" t="str">
        <f aca="false">IF(TRIM(E3128)="","Unknown",IFERROR(LEFT(TRIM(E3128),FIND(",",TRIM(E3128))-1),TRIM(E3128)))</f>
        <v>India</v>
      </c>
      <c r="M3128" s="7" t="str">
        <f aca="false">IFERROR(LEFT(J3128,FIND(",",J3128)-1),J3128)</f>
        <v>Comedies</v>
      </c>
      <c r="N3128" s="7" t="n">
        <f aca="false">IF(B3128="Movie",IFERROR(VALUE(LEFT(I3128,FIND(" ",I3128)-1)),""),"")</f>
        <v>128</v>
      </c>
      <c r="O3128" s="7" t="str">
        <f aca="false">IF(B3128="TV Show",IFERROR(VALUE(LEFT(I3128,FIND(" ",I3128)-1)),""),"")</f>
        <v/>
      </c>
      <c r="P3128" s="7" t="n">
        <f aca="false">IF(K3128="","",K3128-G3128)</f>
        <v>8</v>
      </c>
    </row>
    <row r="3129" customFormat="false" ht="15" hidden="false" customHeight="false" outlineLevel="0" collapsed="false">
      <c r="A3129" s="7" t="n">
        <v>80994572</v>
      </c>
      <c r="B3129" s="7" t="s">
        <v>68</v>
      </c>
      <c r="C3129" s="7" t="s">
        <v>6632</v>
      </c>
      <c r="D3129" s="7" t="s">
        <v>6633</v>
      </c>
      <c r="E3129" s="7" t="s">
        <v>27</v>
      </c>
      <c r="F3129" s="7" t="s">
        <v>6568</v>
      </c>
      <c r="G3129" s="7" t="n">
        <v>2017</v>
      </c>
      <c r="H3129" s="7" t="s">
        <v>49</v>
      </c>
      <c r="I3129" s="7" t="s">
        <v>194</v>
      </c>
      <c r="J3129" s="7" t="s">
        <v>304</v>
      </c>
      <c r="K3129" s="7" t="n">
        <f aca="false">IFERROR(VALUE(RIGHT(TRIM(F3129),4)),"")</f>
        <v>2018</v>
      </c>
      <c r="L3129" s="7" t="str">
        <f aca="false">IF(TRIM(E3129)="","Unknown",IFERROR(LEFT(TRIM(E3129),FIND(",",TRIM(E3129))-1),TRIM(E3129)))</f>
        <v>India</v>
      </c>
      <c r="M3129" s="7" t="str">
        <f aca="false">IFERROR(LEFT(J3129,FIND(",",J3129)-1),J3129)</f>
        <v>Dramas</v>
      </c>
      <c r="N3129" s="7" t="n">
        <f aca="false">IF(B3129="Movie",IFERROR(VALUE(LEFT(I3129,FIND(" ",I3129)-1)),""),"")</f>
        <v>125</v>
      </c>
      <c r="O3129" s="7" t="str">
        <f aca="false">IF(B3129="TV Show",IFERROR(VALUE(LEFT(I3129,FIND(" ",I3129)-1)),""),"")</f>
        <v/>
      </c>
      <c r="P3129" s="7" t="n">
        <f aca="false">IF(K3129="","",K3129-G3129)</f>
        <v>1</v>
      </c>
    </row>
    <row r="3130" customFormat="false" ht="15" hidden="false" customHeight="false" outlineLevel="0" collapsed="false">
      <c r="A3130" s="7" t="n">
        <v>80217135</v>
      </c>
      <c r="B3130" s="7" t="s">
        <v>68</v>
      </c>
      <c r="C3130" s="7" t="s">
        <v>6634</v>
      </c>
      <c r="D3130" s="7" t="s">
        <v>6585</v>
      </c>
      <c r="E3130" s="7" t="s">
        <v>26</v>
      </c>
      <c r="F3130" s="7" t="s">
        <v>6568</v>
      </c>
      <c r="G3130" s="7" t="n">
        <v>2017</v>
      </c>
      <c r="H3130" s="7" t="s">
        <v>50</v>
      </c>
      <c r="I3130" s="7" t="s">
        <v>447</v>
      </c>
      <c r="J3130" s="7" t="s">
        <v>341</v>
      </c>
      <c r="K3130" s="7" t="n">
        <f aca="false">IFERROR(VALUE(RIGHT(TRIM(F3130),4)),"")</f>
        <v>2018</v>
      </c>
      <c r="L3130" s="7" t="str">
        <f aca="false">IF(TRIM(E3130)="","Unknown",IFERROR(LEFT(TRIM(E3130),FIND(",",TRIM(E3130))-1),TRIM(E3130)))</f>
        <v>United States</v>
      </c>
      <c r="M3130" s="7" t="str">
        <f aca="false">IFERROR(LEFT(J3130,FIND(",",J3130)-1),J3130)</f>
        <v>Documentaries</v>
      </c>
      <c r="N3130" s="7" t="n">
        <f aca="false">IF(B3130="Movie",IFERROR(VALUE(LEFT(I3130,FIND(" ",I3130)-1)),""),"")</f>
        <v>38</v>
      </c>
      <c r="O3130" s="7" t="str">
        <f aca="false">IF(B3130="TV Show",IFERROR(VALUE(LEFT(I3130,FIND(" ",I3130)-1)),""),"")</f>
        <v/>
      </c>
      <c r="P3130" s="7" t="n">
        <f aca="false">IF(K3130="","",K3130-G3130)</f>
        <v>1</v>
      </c>
    </row>
    <row r="3131" customFormat="false" ht="15" hidden="false" customHeight="false" outlineLevel="0" collapsed="false">
      <c r="A3131" s="7" t="n">
        <v>80996349</v>
      </c>
      <c r="B3131" s="7" t="s">
        <v>68</v>
      </c>
      <c r="C3131" s="7" t="s">
        <v>6635</v>
      </c>
      <c r="D3131" s="7" t="s">
        <v>6636</v>
      </c>
      <c r="E3131" s="7" t="s">
        <v>366</v>
      </c>
      <c r="F3131" s="7" t="s">
        <v>6568</v>
      </c>
      <c r="G3131" s="7" t="n">
        <v>2017</v>
      </c>
      <c r="H3131" s="7" t="s">
        <v>50</v>
      </c>
      <c r="I3131" s="7" t="s">
        <v>181</v>
      </c>
      <c r="J3131" s="7" t="s">
        <v>217</v>
      </c>
      <c r="K3131" s="7" t="n">
        <f aca="false">IFERROR(VALUE(RIGHT(TRIM(F3131),4)),"")</f>
        <v>2018</v>
      </c>
      <c r="L3131" s="7" t="str">
        <f aca="false">IF(TRIM(E3131)="","Unknown",IFERROR(LEFT(TRIM(E3131),FIND(",",TRIM(E3131))-1),TRIM(E3131)))</f>
        <v>China</v>
      </c>
      <c r="M3131" s="7" t="str">
        <f aca="false">IFERROR(LEFT(J3131,FIND(",",J3131)-1),J3131)</f>
        <v>Comedies</v>
      </c>
      <c r="N3131" s="7" t="n">
        <f aca="false">IF(B3131="Movie",IFERROR(VALUE(LEFT(I3131,FIND(" ",I3131)-1)),""),"")</f>
        <v>102</v>
      </c>
      <c r="O3131" s="7" t="str">
        <f aca="false">IF(B3131="TV Show",IFERROR(VALUE(LEFT(I3131,FIND(" ",I3131)-1)),""),"")</f>
        <v/>
      </c>
      <c r="P3131" s="7" t="n">
        <f aca="false">IF(K3131="","",K3131-G3131)</f>
        <v>1</v>
      </c>
    </row>
    <row r="3132" customFormat="false" ht="15" hidden="false" customHeight="false" outlineLevel="0" collapsed="false">
      <c r="A3132" s="7" t="n">
        <v>80217120</v>
      </c>
      <c r="B3132" s="7" t="s">
        <v>68</v>
      </c>
      <c r="C3132" s="7" t="s">
        <v>6637</v>
      </c>
      <c r="D3132" s="7" t="s">
        <v>6638</v>
      </c>
      <c r="E3132" s="7" t="s">
        <v>26</v>
      </c>
      <c r="F3132" s="7" t="s">
        <v>6568</v>
      </c>
      <c r="G3132" s="7" t="n">
        <v>2017</v>
      </c>
      <c r="H3132" s="7" t="s">
        <v>48</v>
      </c>
      <c r="I3132" s="7" t="s">
        <v>138</v>
      </c>
      <c r="J3132" s="7" t="s">
        <v>509</v>
      </c>
      <c r="K3132" s="7" t="n">
        <f aca="false">IFERROR(VALUE(RIGHT(TRIM(F3132),4)),"")</f>
        <v>2018</v>
      </c>
      <c r="L3132" s="7" t="str">
        <f aca="false">IF(TRIM(E3132)="","Unknown",IFERROR(LEFT(TRIM(E3132),FIND(",",TRIM(E3132))-1),TRIM(E3132)))</f>
        <v>United States</v>
      </c>
      <c r="M3132" s="7" t="str">
        <f aca="false">IFERROR(LEFT(J3132,FIND(",",J3132)-1),J3132)</f>
        <v>Documentaries</v>
      </c>
      <c r="N3132" s="7" t="n">
        <f aca="false">IF(B3132="Movie",IFERROR(VALUE(LEFT(I3132,FIND(" ",I3132)-1)),""),"")</f>
        <v>96</v>
      </c>
      <c r="O3132" s="7" t="str">
        <f aca="false">IF(B3132="TV Show",IFERROR(VALUE(LEFT(I3132,FIND(" ",I3132)-1)),""),"")</f>
        <v/>
      </c>
      <c r="P3132" s="7" t="n">
        <f aca="false">IF(K3132="","",K3132-G3132)</f>
        <v>1</v>
      </c>
    </row>
    <row r="3133" customFormat="false" ht="15" hidden="false" customHeight="false" outlineLevel="0" collapsed="false">
      <c r="A3133" s="7" t="n">
        <v>80993648</v>
      </c>
      <c r="B3133" s="7" t="s">
        <v>68</v>
      </c>
      <c r="C3133" s="7" t="s">
        <v>6639</v>
      </c>
      <c r="D3133" s="7" t="s">
        <v>6640</v>
      </c>
      <c r="E3133" s="7" t="s">
        <v>27</v>
      </c>
      <c r="F3133" s="7" t="s">
        <v>6568</v>
      </c>
      <c r="G3133" s="7" t="n">
        <v>2018</v>
      </c>
      <c r="H3133" s="7" t="s">
        <v>48</v>
      </c>
      <c r="I3133" s="7" t="s">
        <v>77</v>
      </c>
      <c r="J3133" s="7" t="s">
        <v>188</v>
      </c>
      <c r="K3133" s="7" t="n">
        <f aca="false">IFERROR(VALUE(RIGHT(TRIM(F3133),4)),"")</f>
        <v>2018</v>
      </c>
      <c r="L3133" s="7" t="str">
        <f aca="false">IF(TRIM(E3133)="","Unknown",IFERROR(LEFT(TRIM(E3133),FIND(",",TRIM(E3133))-1),TRIM(E3133)))</f>
        <v>India</v>
      </c>
      <c r="M3133" s="7" t="str">
        <f aca="false">IFERROR(LEFT(J3133,FIND(",",J3133)-1),J3133)</f>
        <v>Dramas</v>
      </c>
      <c r="N3133" s="7" t="n">
        <f aca="false">IF(B3133="Movie",IFERROR(VALUE(LEFT(I3133,FIND(" ",I3133)-1)),""),"")</f>
        <v>94</v>
      </c>
      <c r="O3133" s="7" t="str">
        <f aca="false">IF(B3133="TV Show",IFERROR(VALUE(LEFT(I3133,FIND(" ",I3133)-1)),""),"")</f>
        <v/>
      </c>
      <c r="P3133" s="7" t="n">
        <f aca="false">IF(K3133="","",K3133-G3133)</f>
        <v>0</v>
      </c>
    </row>
    <row r="3134" customFormat="false" ht="15" hidden="false" customHeight="false" outlineLevel="0" collapsed="false">
      <c r="A3134" s="7" t="n">
        <v>70306701</v>
      </c>
      <c r="B3134" s="7" t="s">
        <v>68</v>
      </c>
      <c r="C3134" s="7" t="s">
        <v>6641</v>
      </c>
      <c r="D3134" s="7" t="s">
        <v>6642</v>
      </c>
      <c r="E3134" s="7" t="s">
        <v>26</v>
      </c>
      <c r="F3134" s="7" t="s">
        <v>6643</v>
      </c>
      <c r="G3134" s="7" t="n">
        <v>2014</v>
      </c>
      <c r="H3134" s="7" t="s">
        <v>50</v>
      </c>
      <c r="I3134" s="7" t="s">
        <v>357</v>
      </c>
      <c r="J3134" s="7" t="s">
        <v>269</v>
      </c>
      <c r="K3134" s="7" t="n">
        <f aca="false">IFERROR(VALUE(RIGHT(TRIM(F3134),4)),"")</f>
        <v>2017</v>
      </c>
      <c r="L3134" s="7" t="str">
        <f aca="false">IF(TRIM(E3134)="","Unknown",IFERROR(LEFT(TRIM(E3134),FIND(",",TRIM(E3134))-1),TRIM(E3134)))</f>
        <v>United States</v>
      </c>
      <c r="M3134" s="7" t="str">
        <f aca="false">IFERROR(LEFT(J3134,FIND(",",J3134)-1),J3134)</f>
        <v>Dramas</v>
      </c>
      <c r="N3134" s="7" t="n">
        <f aca="false">IF(B3134="Movie",IFERROR(VALUE(LEFT(I3134,FIND(" ",I3134)-1)),""),"")</f>
        <v>89</v>
      </c>
      <c r="O3134" s="7" t="str">
        <f aca="false">IF(B3134="TV Show",IFERROR(VALUE(LEFT(I3134,FIND(" ",I3134)-1)),""),"")</f>
        <v/>
      </c>
      <c r="P3134" s="7" t="n">
        <f aca="false">IF(K3134="","",K3134-G3134)</f>
        <v>3</v>
      </c>
    </row>
    <row r="3135" customFormat="false" ht="15" hidden="false" customHeight="false" outlineLevel="0" collapsed="false">
      <c r="A3135" s="7" t="n">
        <v>80178940</v>
      </c>
      <c r="B3135" s="7" t="s">
        <v>68</v>
      </c>
      <c r="C3135" s="7" t="s">
        <v>6644</v>
      </c>
      <c r="D3135" s="7" t="s">
        <v>6645</v>
      </c>
      <c r="E3135" s="7" t="s">
        <v>31</v>
      </c>
      <c r="F3135" s="7" t="s">
        <v>6643</v>
      </c>
      <c r="G3135" s="7" t="n">
        <v>2012</v>
      </c>
      <c r="H3135" s="7" t="s">
        <v>50</v>
      </c>
      <c r="I3135" s="7" t="s">
        <v>451</v>
      </c>
      <c r="J3135" s="7" t="s">
        <v>217</v>
      </c>
      <c r="K3135" s="7" t="n">
        <f aca="false">IFERROR(VALUE(RIGHT(TRIM(F3135),4)),"")</f>
        <v>2017</v>
      </c>
      <c r="L3135" s="7" t="str">
        <f aca="false">IF(TRIM(E3135)="","Unknown",IFERROR(LEFT(TRIM(E3135),FIND(",",TRIM(E3135))-1),TRIM(E3135)))</f>
        <v>France</v>
      </c>
      <c r="M3135" s="7" t="str">
        <f aca="false">IFERROR(LEFT(J3135,FIND(",",J3135)-1),J3135)</f>
        <v>Comedies</v>
      </c>
      <c r="N3135" s="7" t="n">
        <f aca="false">IF(B3135="Movie",IFERROR(VALUE(LEFT(I3135,FIND(" ",I3135)-1)),""),"")</f>
        <v>97</v>
      </c>
      <c r="O3135" s="7" t="str">
        <f aca="false">IF(B3135="TV Show",IFERROR(VALUE(LEFT(I3135,FIND(" ",I3135)-1)),""),"")</f>
        <v/>
      </c>
      <c r="P3135" s="7" t="n">
        <f aca="false">IF(K3135="","",K3135-G3135)</f>
        <v>5</v>
      </c>
    </row>
    <row r="3136" customFormat="false" ht="15" hidden="false" customHeight="false" outlineLevel="0" collapsed="false">
      <c r="A3136" s="7" t="n">
        <v>80158301</v>
      </c>
      <c r="B3136" s="7" t="s">
        <v>78</v>
      </c>
      <c r="C3136" s="7" t="s">
        <v>6646</v>
      </c>
      <c r="D3136" s="7" t="s">
        <v>6647</v>
      </c>
      <c r="E3136" s="7" t="s">
        <v>396</v>
      </c>
      <c r="F3136" s="7" t="s">
        <v>6643</v>
      </c>
      <c r="G3136" s="7" t="n">
        <v>2016</v>
      </c>
      <c r="H3136" s="7" t="s">
        <v>49</v>
      </c>
      <c r="I3136" s="7" t="s">
        <v>82</v>
      </c>
      <c r="J3136" s="7" t="s">
        <v>3308</v>
      </c>
      <c r="K3136" s="7" t="n">
        <f aca="false">IFERROR(VALUE(RIGHT(TRIM(F3136),4)),"")</f>
        <v>2017</v>
      </c>
      <c r="L3136" s="7" t="str">
        <f aca="false">IF(TRIM(E3136)="","Unknown",IFERROR(LEFT(TRIM(E3136),FIND(",",TRIM(E3136))-1),TRIM(E3136)))</f>
        <v>Turkey</v>
      </c>
      <c r="M3136" s="7" t="str">
        <f aca="false">IFERROR(LEFT(J3136,FIND(",",J3136)-1),J3136)</f>
        <v>International TV Shows</v>
      </c>
      <c r="N3136" s="7" t="str">
        <f aca="false">IF(B3136="Movie",IFERROR(VALUE(LEFT(I3136,FIND(" ",I3136)-1)),""),"")</f>
        <v/>
      </c>
      <c r="O3136" s="7" t="n">
        <f aca="false">IF(B3136="TV Show",IFERROR(VALUE(LEFT(I3136,FIND(" ",I3136)-1)),""),"")</f>
        <v>1</v>
      </c>
      <c r="P3136" s="7" t="n">
        <f aca="false">IF(K3136="","",K3136-G3136)</f>
        <v>1</v>
      </c>
    </row>
    <row r="3137" customFormat="false" ht="15" hidden="false" customHeight="false" outlineLevel="0" collapsed="false">
      <c r="A3137" s="7" t="n">
        <v>70290905</v>
      </c>
      <c r="B3137" s="7" t="s">
        <v>68</v>
      </c>
      <c r="C3137" s="7" t="s">
        <v>6648</v>
      </c>
      <c r="D3137" s="7" t="s">
        <v>6324</v>
      </c>
      <c r="E3137" s="7" t="s">
        <v>35</v>
      </c>
      <c r="F3137" s="7" t="s">
        <v>6643</v>
      </c>
      <c r="G3137" s="7" t="n">
        <v>2011</v>
      </c>
      <c r="H3137" s="7" t="s">
        <v>54</v>
      </c>
      <c r="I3137" s="7" t="s">
        <v>111</v>
      </c>
      <c r="J3137" s="7" t="s">
        <v>1134</v>
      </c>
      <c r="K3137" s="7" t="n">
        <f aca="false">IFERROR(VALUE(RIGHT(TRIM(F3137),4)),"")</f>
        <v>2017</v>
      </c>
      <c r="L3137" s="7" t="str">
        <f aca="false">IF(TRIM(E3137)="","Unknown",IFERROR(LEFT(TRIM(E3137),FIND(",",TRIM(E3137))-1),TRIM(E3137)))</f>
        <v>Australia</v>
      </c>
      <c r="M3137" s="7" t="str">
        <f aca="false">IFERROR(LEFT(J3137,FIND(",",J3137)-1),J3137)</f>
        <v>Children &amp; Family Movies</v>
      </c>
      <c r="N3137" s="7" t="n">
        <f aca="false">IF(B3137="Movie",IFERROR(VALUE(LEFT(I3137,FIND(" ",I3137)-1)),""),"")</f>
        <v>95</v>
      </c>
      <c r="O3137" s="7" t="str">
        <f aca="false">IF(B3137="TV Show",IFERROR(VALUE(LEFT(I3137,FIND(" ",I3137)-1)),""),"")</f>
        <v/>
      </c>
      <c r="P3137" s="7" t="n">
        <f aca="false">IF(K3137="","",K3137-G3137)</f>
        <v>6</v>
      </c>
    </row>
    <row r="3138" customFormat="false" ht="15" hidden="false" customHeight="false" outlineLevel="0" collapsed="false">
      <c r="A3138" s="7" t="n">
        <v>80156950</v>
      </c>
      <c r="B3138" s="7" t="s">
        <v>78</v>
      </c>
      <c r="C3138" s="7" t="s">
        <v>6649</v>
      </c>
      <c r="E3138" s="7" t="s">
        <v>1819</v>
      </c>
      <c r="F3138" s="7" t="s">
        <v>6643</v>
      </c>
      <c r="G3138" s="7" t="n">
        <v>2014</v>
      </c>
      <c r="H3138" s="7" t="s">
        <v>49</v>
      </c>
      <c r="I3138" s="7" t="s">
        <v>82</v>
      </c>
      <c r="J3138" s="7" t="s">
        <v>402</v>
      </c>
      <c r="K3138" s="7" t="n">
        <f aca="false">IFERROR(VALUE(RIGHT(TRIM(F3138),4)),"")</f>
        <v>2017</v>
      </c>
      <c r="L3138" s="7" t="str">
        <f aca="false">IF(TRIM(E3138)="","Unknown",IFERROR(LEFT(TRIM(E3138),FIND(",",TRIM(E3138))-1),TRIM(E3138)))</f>
        <v>Singapore</v>
      </c>
      <c r="M3138" s="7" t="str">
        <f aca="false">IFERROR(LEFT(J3138,FIND(",",J3138)-1),J3138)</f>
        <v>Crime TV Shows</v>
      </c>
      <c r="N3138" s="7" t="str">
        <f aca="false">IF(B3138="Movie",IFERROR(VALUE(LEFT(I3138,FIND(" ",I3138)-1)),""),"")</f>
        <v/>
      </c>
      <c r="O3138" s="7" t="n">
        <f aca="false">IF(B3138="TV Show",IFERROR(VALUE(LEFT(I3138,FIND(" ",I3138)-1)),""),"")</f>
        <v>1</v>
      </c>
      <c r="P3138" s="7" t="n">
        <f aca="false">IF(K3138="","",K3138-G3138)</f>
        <v>3</v>
      </c>
    </row>
    <row r="3139" customFormat="false" ht="15" hidden="false" customHeight="false" outlineLevel="0" collapsed="false">
      <c r="A3139" s="7" t="n">
        <v>80167699</v>
      </c>
      <c r="B3139" s="7" t="s">
        <v>68</v>
      </c>
      <c r="C3139" s="7" t="s">
        <v>6650</v>
      </c>
      <c r="D3139" s="7" t="s">
        <v>6651</v>
      </c>
      <c r="E3139" s="7" t="s">
        <v>1585</v>
      </c>
      <c r="F3139" s="7" t="s">
        <v>6643</v>
      </c>
      <c r="G3139" s="7" t="n">
        <v>2016</v>
      </c>
      <c r="H3139" s="7" t="s">
        <v>50</v>
      </c>
      <c r="I3139" s="7" t="s">
        <v>173</v>
      </c>
      <c r="J3139" s="7" t="s">
        <v>42</v>
      </c>
      <c r="K3139" s="7" t="n">
        <f aca="false">IFERROR(VALUE(RIGHT(TRIM(F3139),4)),"")</f>
        <v>2017</v>
      </c>
      <c r="L3139" s="7" t="str">
        <f aca="false">IF(TRIM(E3139)="","Unknown",IFERROR(LEFT(TRIM(E3139),FIND(",",TRIM(E3139))-1),TRIM(E3139)))</f>
        <v>United States</v>
      </c>
      <c r="M3139" s="7" t="str">
        <f aca="false">IFERROR(LEFT(J3139,FIND(",",J3139)-1),J3139)</f>
        <v>Children &amp; Family Movies</v>
      </c>
      <c r="N3139" s="7" t="n">
        <f aca="false">IF(B3139="Movie",IFERROR(VALUE(LEFT(I3139,FIND(" ",I3139)-1)),""),"")</f>
        <v>106</v>
      </c>
      <c r="O3139" s="7" t="str">
        <f aca="false">IF(B3139="TV Show",IFERROR(VALUE(LEFT(I3139,FIND(" ",I3139)-1)),""),"")</f>
        <v/>
      </c>
      <c r="P3139" s="7" t="n">
        <f aca="false">IF(K3139="","",K3139-G3139)</f>
        <v>1</v>
      </c>
    </row>
    <row r="3140" customFormat="false" ht="15" hidden="false" customHeight="false" outlineLevel="0" collapsed="false">
      <c r="A3140" s="7" t="n">
        <v>80158390</v>
      </c>
      <c r="B3140" s="7" t="s">
        <v>68</v>
      </c>
      <c r="C3140" s="7" t="s">
        <v>6652</v>
      </c>
      <c r="D3140" s="7" t="s">
        <v>5901</v>
      </c>
      <c r="E3140" s="7" t="s">
        <v>27</v>
      </c>
      <c r="F3140" s="7" t="s">
        <v>6643</v>
      </c>
      <c r="G3140" s="7" t="n">
        <v>1966</v>
      </c>
      <c r="H3140" s="7" t="s">
        <v>50</v>
      </c>
      <c r="I3140" s="7" t="s">
        <v>237</v>
      </c>
      <c r="J3140" s="7" t="s">
        <v>1042</v>
      </c>
      <c r="K3140" s="7" t="n">
        <f aca="false">IFERROR(VALUE(RIGHT(TRIM(F3140),4)),"")</f>
        <v>2017</v>
      </c>
      <c r="L3140" s="7" t="str">
        <f aca="false">IF(TRIM(E3140)="","Unknown",IFERROR(LEFT(TRIM(E3140),FIND(",",TRIM(E3140))-1),TRIM(E3140)))</f>
        <v>India</v>
      </c>
      <c r="M3140" s="7" t="str">
        <f aca="false">IFERROR(LEFT(J3140,FIND(",",J3140)-1),J3140)</f>
        <v>Dramas</v>
      </c>
      <c r="N3140" s="7" t="n">
        <f aca="false">IF(B3140="Movie",IFERROR(VALUE(LEFT(I3140,FIND(" ",I3140)-1)),""),"")</f>
        <v>116</v>
      </c>
      <c r="O3140" s="7" t="str">
        <f aca="false">IF(B3140="TV Show",IFERROR(VALUE(LEFT(I3140,FIND(" ",I3140)-1)),""),"")</f>
        <v/>
      </c>
      <c r="P3140" s="7" t="n">
        <f aca="false">IF(K3140="","",K3140-G3140)</f>
        <v>51</v>
      </c>
    </row>
    <row r="3141" customFormat="false" ht="15" hidden="false" customHeight="false" outlineLevel="0" collapsed="false">
      <c r="A3141" s="7" t="n">
        <v>70294800</v>
      </c>
      <c r="B3141" s="7" t="s">
        <v>78</v>
      </c>
      <c r="C3141" s="7" t="s">
        <v>6653</v>
      </c>
      <c r="E3141" s="7" t="s">
        <v>26</v>
      </c>
      <c r="F3141" s="7" t="s">
        <v>6643</v>
      </c>
      <c r="G3141" s="7" t="n">
        <v>2012</v>
      </c>
      <c r="H3141" s="7" t="s">
        <v>226</v>
      </c>
      <c r="I3141" s="7" t="s">
        <v>82</v>
      </c>
      <c r="J3141" s="7" t="s">
        <v>191</v>
      </c>
      <c r="K3141" s="7" t="n">
        <f aca="false">IFERROR(VALUE(RIGHT(TRIM(F3141),4)),"")</f>
        <v>2017</v>
      </c>
      <c r="L3141" s="7" t="str">
        <f aca="false">IF(TRIM(E3141)="","Unknown",IFERROR(LEFT(TRIM(E3141),FIND(",",TRIM(E3141))-1),TRIM(E3141)))</f>
        <v>United States</v>
      </c>
      <c r="M3141" s="7" t="str">
        <f aca="false">IFERROR(LEFT(J3141,FIND(",",J3141)-1),J3141)</f>
        <v>Kids' TV</v>
      </c>
      <c r="N3141" s="7" t="str">
        <f aca="false">IF(B3141="Movie",IFERROR(VALUE(LEFT(I3141,FIND(" ",I3141)-1)),""),"")</f>
        <v/>
      </c>
      <c r="O3141" s="7" t="n">
        <f aca="false">IF(B3141="TV Show",IFERROR(VALUE(LEFT(I3141,FIND(" ",I3141)-1)),""),"")</f>
        <v>1</v>
      </c>
      <c r="P3141" s="7" t="n">
        <f aca="false">IF(K3141="","",K3141-G3141)</f>
        <v>5</v>
      </c>
    </row>
    <row r="3142" customFormat="false" ht="15" hidden="false" customHeight="false" outlineLevel="0" collapsed="false">
      <c r="A3142" s="7" t="n">
        <v>80184770</v>
      </c>
      <c r="B3142" s="7" t="s">
        <v>68</v>
      </c>
      <c r="C3142" s="7" t="s">
        <v>6654</v>
      </c>
      <c r="D3142" s="7" t="s">
        <v>6655</v>
      </c>
      <c r="E3142" s="7" t="s">
        <v>1097</v>
      </c>
      <c r="F3142" s="7" t="s">
        <v>6643</v>
      </c>
      <c r="G3142" s="7" t="n">
        <v>2017</v>
      </c>
      <c r="H3142" s="7" t="s">
        <v>48</v>
      </c>
      <c r="I3142" s="7" t="s">
        <v>470</v>
      </c>
      <c r="J3142" s="7" t="s">
        <v>182</v>
      </c>
      <c r="K3142" s="7" t="n">
        <f aca="false">IFERROR(VALUE(RIGHT(TRIM(F3142),4)),"")</f>
        <v>2017</v>
      </c>
      <c r="L3142" s="7" t="str">
        <f aca="false">IF(TRIM(E3142)="","Unknown",IFERROR(LEFT(TRIM(E3142),FIND(",",TRIM(E3142))-1),TRIM(E3142)))</f>
        <v>Argentina</v>
      </c>
      <c r="M3142" s="7" t="str">
        <f aca="false">IFERROR(LEFT(J3142,FIND(",",J3142)-1),J3142)</f>
        <v>Dramas</v>
      </c>
      <c r="N3142" s="7" t="n">
        <f aca="false">IF(B3142="Movie",IFERROR(VALUE(LEFT(I3142,FIND(" ",I3142)-1)),""),"")</f>
        <v>91</v>
      </c>
      <c r="O3142" s="7" t="str">
        <f aca="false">IF(B3142="TV Show",IFERROR(VALUE(LEFT(I3142,FIND(" ",I3142)-1)),""),"")</f>
        <v/>
      </c>
      <c r="P3142" s="7" t="n">
        <f aca="false">IF(K3142="","",K3142-G3142)</f>
        <v>0</v>
      </c>
    </row>
    <row r="3143" customFormat="false" ht="15" hidden="false" customHeight="false" outlineLevel="0" collapsed="false">
      <c r="A3143" s="7" t="n">
        <v>80156992</v>
      </c>
      <c r="B3143" s="7" t="s">
        <v>78</v>
      </c>
      <c r="C3143" s="7" t="s">
        <v>6656</v>
      </c>
      <c r="F3143" s="7" t="s">
        <v>6643</v>
      </c>
      <c r="G3143" s="7" t="n">
        <v>2010</v>
      </c>
      <c r="H3143" s="7" t="s">
        <v>49</v>
      </c>
      <c r="I3143" s="7" t="s">
        <v>82</v>
      </c>
      <c r="J3143" s="7" t="s">
        <v>344</v>
      </c>
      <c r="K3143" s="7" t="n">
        <f aca="false">IFERROR(VALUE(RIGHT(TRIM(F3143),4)),"")</f>
        <v>2017</v>
      </c>
      <c r="L3143" s="7" t="str">
        <f aca="false">IF(TRIM(E3143)="","Unknown",IFERROR(LEFT(TRIM(E3143),FIND(",",TRIM(E3143))-1),TRIM(E3143)))</f>
        <v>Unknown</v>
      </c>
      <c r="M3143" s="7" t="str">
        <f aca="false">IFERROR(LEFT(J3143,FIND(",",J3143)-1),J3143)</f>
        <v>International TV Shows</v>
      </c>
      <c r="N3143" s="7" t="str">
        <f aca="false">IF(B3143="Movie",IFERROR(VALUE(LEFT(I3143,FIND(" ",I3143)-1)),""),"")</f>
        <v/>
      </c>
      <c r="O3143" s="7" t="n">
        <f aca="false">IF(B3143="TV Show",IFERROR(VALUE(LEFT(I3143,FIND(" ",I3143)-1)),""),"")</f>
        <v>1</v>
      </c>
      <c r="P3143" s="7" t="n">
        <f aca="false">IF(K3143="","",K3143-G3143)</f>
        <v>7</v>
      </c>
    </row>
    <row r="3144" customFormat="false" ht="15" hidden="false" customHeight="false" outlineLevel="0" collapsed="false">
      <c r="A3144" s="7" t="n">
        <v>80191358</v>
      </c>
      <c r="B3144" s="7" t="s">
        <v>68</v>
      </c>
      <c r="C3144" s="7" t="s">
        <v>6657</v>
      </c>
      <c r="D3144" s="7" t="s">
        <v>5505</v>
      </c>
      <c r="E3144" s="7" t="s">
        <v>29</v>
      </c>
      <c r="F3144" s="7" t="s">
        <v>6643</v>
      </c>
      <c r="G3144" s="7" t="n">
        <v>2017</v>
      </c>
      <c r="H3144" s="7" t="s">
        <v>50</v>
      </c>
      <c r="I3144" s="7" t="s">
        <v>73</v>
      </c>
      <c r="J3144" s="7" t="s">
        <v>74</v>
      </c>
      <c r="K3144" s="7" t="n">
        <f aca="false">IFERROR(VALUE(RIGHT(TRIM(F3144),4)),"")</f>
        <v>2017</v>
      </c>
      <c r="L3144" s="7" t="str">
        <f aca="false">IF(TRIM(E3144)="","Unknown",IFERROR(LEFT(TRIM(E3144),FIND(",",TRIM(E3144))-1),TRIM(E3144)))</f>
        <v>Canada</v>
      </c>
      <c r="M3144" s="7" t="str">
        <f aca="false">IFERROR(LEFT(J3144,FIND(",",J3144)-1),J3144)</f>
        <v>Children &amp; Family Movies</v>
      </c>
      <c r="N3144" s="7" t="n">
        <f aca="false">IF(B3144="Movie",IFERROR(VALUE(LEFT(I3144,FIND(" ",I3144)-1)),""),"")</f>
        <v>90</v>
      </c>
      <c r="O3144" s="7" t="str">
        <f aca="false">IF(B3144="TV Show",IFERROR(VALUE(LEFT(I3144,FIND(" ",I3144)-1)),""),"")</f>
        <v/>
      </c>
      <c r="P3144" s="7" t="n">
        <f aca="false">IF(K3144="","",K3144-G3144)</f>
        <v>0</v>
      </c>
    </row>
    <row r="3145" customFormat="false" ht="15" hidden="false" customHeight="false" outlineLevel="0" collapsed="false">
      <c r="A3145" s="7" t="n">
        <v>80118532</v>
      </c>
      <c r="B3145" s="7" t="s">
        <v>78</v>
      </c>
      <c r="C3145" s="7" t="s">
        <v>6658</v>
      </c>
      <c r="E3145" s="7" t="s">
        <v>35</v>
      </c>
      <c r="F3145" s="7" t="s">
        <v>6643</v>
      </c>
      <c r="G3145" s="7" t="n">
        <v>2016</v>
      </c>
      <c r="H3145" s="7" t="s">
        <v>48</v>
      </c>
      <c r="I3145" s="7" t="s">
        <v>82</v>
      </c>
      <c r="J3145" s="7" t="s">
        <v>402</v>
      </c>
      <c r="K3145" s="7" t="n">
        <f aca="false">IFERROR(VALUE(RIGHT(TRIM(F3145),4)),"")</f>
        <v>2017</v>
      </c>
      <c r="L3145" s="7" t="str">
        <f aca="false">IF(TRIM(E3145)="","Unknown",IFERROR(LEFT(TRIM(E3145),FIND(",",TRIM(E3145))-1),TRIM(E3145)))</f>
        <v>Australia</v>
      </c>
      <c r="M3145" s="7" t="str">
        <f aca="false">IFERROR(LEFT(J3145,FIND(",",J3145)-1),J3145)</f>
        <v>Crime TV Shows</v>
      </c>
      <c r="N3145" s="7" t="str">
        <f aca="false">IF(B3145="Movie",IFERROR(VALUE(LEFT(I3145,FIND(" ",I3145)-1)),""),"")</f>
        <v/>
      </c>
      <c r="O3145" s="7" t="n">
        <f aca="false">IF(B3145="TV Show",IFERROR(VALUE(LEFT(I3145,FIND(" ",I3145)-1)),""),"")</f>
        <v>1</v>
      </c>
      <c r="P3145" s="7" t="n">
        <f aca="false">IF(K3145="","",K3145-G3145)</f>
        <v>1</v>
      </c>
    </row>
    <row r="3146" customFormat="false" ht="15" hidden="false" customHeight="false" outlineLevel="0" collapsed="false">
      <c r="A3146" s="7" t="n">
        <v>80190946</v>
      </c>
      <c r="B3146" s="7" t="s">
        <v>68</v>
      </c>
      <c r="C3146" s="7" t="s">
        <v>6659</v>
      </c>
      <c r="D3146" s="7" t="s">
        <v>6660</v>
      </c>
      <c r="E3146" s="7" t="s">
        <v>868</v>
      </c>
      <c r="F3146" s="7" t="s">
        <v>6643</v>
      </c>
      <c r="G3146" s="7" t="n">
        <v>2018</v>
      </c>
      <c r="H3146" s="7" t="s">
        <v>48</v>
      </c>
      <c r="I3146" s="7" t="s">
        <v>212</v>
      </c>
      <c r="J3146" s="7" t="s">
        <v>45</v>
      </c>
      <c r="K3146" s="7" t="n">
        <f aca="false">IFERROR(VALUE(RIGHT(TRIM(F3146),4)),"")</f>
        <v>2017</v>
      </c>
      <c r="L3146" s="7" t="str">
        <f aca="false">IF(TRIM(E3146)="","Unknown",IFERROR(LEFT(TRIM(E3146),FIND(",",TRIM(E3146))-1),TRIM(E3146)))</f>
        <v>Netherlands</v>
      </c>
      <c r="M3146" s="7" t="str">
        <f aca="false">IFERROR(LEFT(J3146,FIND(",",J3146)-1),J3146)</f>
        <v>Stand-Up Comedy</v>
      </c>
      <c r="N3146" s="7" t="n">
        <f aca="false">IF(B3146="Movie",IFERROR(VALUE(LEFT(I3146,FIND(" ",I3146)-1)),""),"")</f>
        <v>86</v>
      </c>
      <c r="O3146" s="7" t="str">
        <f aca="false">IF(B3146="TV Show",IFERROR(VALUE(LEFT(I3146,FIND(" ",I3146)-1)),""),"")</f>
        <v/>
      </c>
      <c r="P3146" s="7" t="n">
        <f aca="false">IF(K3146="","",K3146-G3146)</f>
        <v>-1</v>
      </c>
    </row>
    <row r="3147" customFormat="false" ht="15" hidden="false" customHeight="false" outlineLevel="0" collapsed="false">
      <c r="A3147" s="7" t="n">
        <v>80107948</v>
      </c>
      <c r="B3147" s="7" t="s">
        <v>68</v>
      </c>
      <c r="C3147" s="7" t="s">
        <v>6661</v>
      </c>
      <c r="D3147" s="7" t="s">
        <v>6662</v>
      </c>
      <c r="E3147" s="7" t="s">
        <v>26</v>
      </c>
      <c r="F3147" s="7" t="s">
        <v>6643</v>
      </c>
      <c r="G3147" s="7" t="n">
        <v>2016</v>
      </c>
      <c r="H3147" s="7" t="s">
        <v>48</v>
      </c>
      <c r="I3147" s="7" t="s">
        <v>451</v>
      </c>
      <c r="J3147" s="7" t="s">
        <v>265</v>
      </c>
      <c r="K3147" s="7" t="n">
        <f aca="false">IFERROR(VALUE(RIGHT(TRIM(F3147),4)),"")</f>
        <v>2017</v>
      </c>
      <c r="L3147" s="7" t="str">
        <f aca="false">IF(TRIM(E3147)="","Unknown",IFERROR(LEFT(TRIM(E3147),FIND(",",TRIM(E3147))-1),TRIM(E3147)))</f>
        <v>United States</v>
      </c>
      <c r="M3147" s="7" t="str">
        <f aca="false">IFERROR(LEFT(J3147,FIND(",",J3147)-1),J3147)</f>
        <v>Horror Movies</v>
      </c>
      <c r="N3147" s="7" t="n">
        <f aca="false">IF(B3147="Movie",IFERROR(VALUE(LEFT(I3147,FIND(" ",I3147)-1)),""),"")</f>
        <v>97</v>
      </c>
      <c r="O3147" s="7" t="str">
        <f aca="false">IF(B3147="TV Show",IFERROR(VALUE(LEFT(I3147,FIND(" ",I3147)-1)),""),"")</f>
        <v/>
      </c>
      <c r="P3147" s="7" t="n">
        <f aca="false">IF(K3147="","",K3147-G3147)</f>
        <v>1</v>
      </c>
    </row>
    <row r="3148" customFormat="false" ht="15" hidden="false" customHeight="false" outlineLevel="0" collapsed="false">
      <c r="A3148" s="7" t="n">
        <v>80094964</v>
      </c>
      <c r="B3148" s="7" t="s">
        <v>68</v>
      </c>
      <c r="C3148" s="7" t="s">
        <v>6663</v>
      </c>
      <c r="D3148" s="7" t="s">
        <v>6664</v>
      </c>
      <c r="E3148" s="7" t="s">
        <v>259</v>
      </c>
      <c r="F3148" s="7" t="s">
        <v>6643</v>
      </c>
      <c r="G3148" s="7" t="n">
        <v>2015</v>
      </c>
      <c r="H3148" s="7" t="s">
        <v>50</v>
      </c>
      <c r="I3148" s="7" t="s">
        <v>5120</v>
      </c>
      <c r="J3148" s="7" t="s">
        <v>240</v>
      </c>
      <c r="K3148" s="7" t="n">
        <f aca="false">IFERROR(VALUE(RIGHT(TRIM(F3148),4)),"")</f>
        <v>2017</v>
      </c>
      <c r="L3148" s="7" t="str">
        <f aca="false">IF(TRIM(E3148)="","Unknown",IFERROR(LEFT(TRIM(E3148),FIND(",",TRIM(E3148))-1),TRIM(E3148)))</f>
        <v>Pakistan</v>
      </c>
      <c r="M3148" s="7" t="str">
        <f aca="false">IFERROR(LEFT(J3148,FIND(",",J3148)-1),J3148)</f>
        <v>Dramas</v>
      </c>
      <c r="N3148" s="7" t="n">
        <f aca="false">IF(B3148="Movie",IFERROR(VALUE(LEFT(I3148,FIND(" ",I3148)-1)),""),"")</f>
        <v>170</v>
      </c>
      <c r="O3148" s="7" t="str">
        <f aca="false">IF(B3148="TV Show",IFERROR(VALUE(LEFT(I3148,FIND(" ",I3148)-1)),""),"")</f>
        <v/>
      </c>
      <c r="P3148" s="7" t="n">
        <f aca="false">IF(K3148="","",K3148-G3148)</f>
        <v>2</v>
      </c>
    </row>
    <row r="3149" customFormat="false" ht="15" hidden="false" customHeight="false" outlineLevel="0" collapsed="false">
      <c r="A3149" s="7" t="n">
        <v>80158481</v>
      </c>
      <c r="B3149" s="7" t="s">
        <v>68</v>
      </c>
      <c r="C3149" s="7" t="s">
        <v>6665</v>
      </c>
      <c r="D3149" s="7" t="s">
        <v>6666</v>
      </c>
      <c r="E3149" s="7" t="s">
        <v>27</v>
      </c>
      <c r="F3149" s="7" t="s">
        <v>6643</v>
      </c>
      <c r="G3149" s="7" t="n">
        <v>1971</v>
      </c>
      <c r="H3149" s="7" t="s">
        <v>50</v>
      </c>
      <c r="I3149" s="7" t="s">
        <v>722</v>
      </c>
      <c r="J3149" s="7" t="s">
        <v>2026</v>
      </c>
      <c r="K3149" s="7" t="n">
        <f aca="false">IFERROR(VALUE(RIGHT(TRIM(F3149),4)),"")</f>
        <v>2017</v>
      </c>
      <c r="L3149" s="7" t="str">
        <f aca="false">IF(TRIM(E3149)="","Unknown",IFERROR(LEFT(TRIM(E3149),FIND(",",TRIM(E3149))-1),TRIM(E3149)))</f>
        <v>India</v>
      </c>
      <c r="M3149" s="7" t="str">
        <f aca="false">IFERROR(LEFT(J3149,FIND(",",J3149)-1),J3149)</f>
        <v>Classic Movies</v>
      </c>
      <c r="N3149" s="7" t="n">
        <f aca="false">IF(B3149="Movie",IFERROR(VALUE(LEFT(I3149,FIND(" ",I3149)-1)),""),"")</f>
        <v>153</v>
      </c>
      <c r="O3149" s="7" t="str">
        <f aca="false">IF(B3149="TV Show",IFERROR(VALUE(LEFT(I3149,FIND(" ",I3149)-1)),""),"")</f>
        <v/>
      </c>
      <c r="P3149" s="7" t="n">
        <f aca="false">IF(K3149="","",K3149-G3149)</f>
        <v>46</v>
      </c>
    </row>
    <row r="3150" customFormat="false" ht="15" hidden="false" customHeight="false" outlineLevel="0" collapsed="false">
      <c r="A3150" s="7" t="n">
        <v>80177684</v>
      </c>
      <c r="B3150" s="7" t="s">
        <v>78</v>
      </c>
      <c r="C3150" s="7" t="s">
        <v>6667</v>
      </c>
      <c r="F3150" s="7" t="s">
        <v>6643</v>
      </c>
      <c r="G3150" s="7" t="n">
        <v>2015</v>
      </c>
      <c r="H3150" s="7" t="s">
        <v>119</v>
      </c>
      <c r="I3150" s="7" t="s">
        <v>82</v>
      </c>
      <c r="J3150" s="7" t="s">
        <v>4493</v>
      </c>
      <c r="K3150" s="7" t="n">
        <f aca="false">IFERROR(VALUE(RIGHT(TRIM(F3150),4)),"")</f>
        <v>2017</v>
      </c>
      <c r="L3150" s="7" t="str">
        <f aca="false">IF(TRIM(E3150)="","Unknown",IFERROR(LEFT(TRIM(E3150),FIND(",",TRIM(E3150))-1),TRIM(E3150)))</f>
        <v>Unknown</v>
      </c>
      <c r="M3150" s="7" t="str">
        <f aca="false">IFERROR(LEFT(J3150,FIND(",",J3150)-1),J3150)</f>
        <v>British TV Shows</v>
      </c>
      <c r="N3150" s="7" t="str">
        <f aca="false">IF(B3150="Movie",IFERROR(VALUE(LEFT(I3150,FIND(" ",I3150)-1)),""),"")</f>
        <v/>
      </c>
      <c r="O3150" s="7" t="n">
        <f aca="false">IF(B3150="TV Show",IFERROR(VALUE(LEFT(I3150,FIND(" ",I3150)-1)),""),"")</f>
        <v>1</v>
      </c>
      <c r="P3150" s="7" t="n">
        <f aca="false">IF(K3150="","",K3150-G3150)</f>
        <v>2</v>
      </c>
    </row>
    <row r="3151" customFormat="false" ht="15" hidden="false" customHeight="false" outlineLevel="0" collapsed="false">
      <c r="A3151" s="7" t="n">
        <v>70299811</v>
      </c>
      <c r="B3151" s="7" t="s">
        <v>68</v>
      </c>
      <c r="C3151" s="7" t="s">
        <v>6668</v>
      </c>
      <c r="D3151" s="7" t="s">
        <v>6669</v>
      </c>
      <c r="E3151" s="7" t="s">
        <v>27</v>
      </c>
      <c r="F3151" s="7" t="s">
        <v>6643</v>
      </c>
      <c r="G3151" s="7" t="n">
        <v>2013</v>
      </c>
      <c r="H3151" s="7" t="s">
        <v>48</v>
      </c>
      <c r="I3151" s="7" t="s">
        <v>417</v>
      </c>
      <c r="J3151" s="7" t="s">
        <v>188</v>
      </c>
      <c r="K3151" s="7" t="n">
        <f aca="false">IFERROR(VALUE(RIGHT(TRIM(F3151),4)),"")</f>
        <v>2017</v>
      </c>
      <c r="L3151" s="7" t="str">
        <f aca="false">IF(TRIM(E3151)="","Unknown",IFERROR(LEFT(TRIM(E3151),FIND(",",TRIM(E3151))-1),TRIM(E3151)))</f>
        <v>India</v>
      </c>
      <c r="M3151" s="7" t="str">
        <f aca="false">IFERROR(LEFT(J3151,FIND(",",J3151)-1),J3151)</f>
        <v>Dramas</v>
      </c>
      <c r="N3151" s="7" t="n">
        <f aca="false">IF(B3151="Movie",IFERROR(VALUE(LEFT(I3151,FIND(" ",I3151)-1)),""),"")</f>
        <v>104</v>
      </c>
      <c r="O3151" s="7" t="str">
        <f aca="false">IF(B3151="TV Show",IFERROR(VALUE(LEFT(I3151,FIND(" ",I3151)-1)),""),"")</f>
        <v/>
      </c>
      <c r="P3151" s="7" t="n">
        <f aca="false">IF(K3151="","",K3151-G3151)</f>
        <v>4</v>
      </c>
    </row>
    <row r="3152" customFormat="false" ht="15" hidden="false" customHeight="false" outlineLevel="0" collapsed="false">
      <c r="A3152" s="7" t="n">
        <v>80116687</v>
      </c>
      <c r="B3152" s="7" t="s">
        <v>78</v>
      </c>
      <c r="C3152" s="7" t="s">
        <v>6670</v>
      </c>
      <c r="E3152" s="7" t="s">
        <v>32</v>
      </c>
      <c r="F3152" s="7" t="s">
        <v>6643</v>
      </c>
      <c r="G3152" s="7" t="n">
        <v>2014</v>
      </c>
      <c r="H3152" s="7" t="s">
        <v>49</v>
      </c>
      <c r="I3152" s="7" t="s">
        <v>82</v>
      </c>
      <c r="J3152" s="7" t="s">
        <v>637</v>
      </c>
      <c r="K3152" s="7" t="n">
        <f aca="false">IFERROR(VALUE(RIGHT(TRIM(F3152),4)),"")</f>
        <v>2017</v>
      </c>
      <c r="L3152" s="7" t="str">
        <f aca="false">IF(TRIM(E3152)="","Unknown",IFERROR(LEFT(TRIM(E3152),FIND(",",TRIM(E3152))-1),TRIM(E3152)))</f>
        <v>South Korea</v>
      </c>
      <c r="M3152" s="7" t="str">
        <f aca="false">IFERROR(LEFT(J3152,FIND(",",J3152)-1),J3152)</f>
        <v>International TV Shows</v>
      </c>
      <c r="N3152" s="7" t="str">
        <f aca="false">IF(B3152="Movie",IFERROR(VALUE(LEFT(I3152,FIND(" ",I3152)-1)),""),"")</f>
        <v/>
      </c>
      <c r="O3152" s="7" t="n">
        <f aca="false">IF(B3152="TV Show",IFERROR(VALUE(LEFT(I3152,FIND(" ",I3152)-1)),""),"")</f>
        <v>1</v>
      </c>
      <c r="P3152" s="7" t="n">
        <f aca="false">IF(K3152="","",K3152-G3152)</f>
        <v>3</v>
      </c>
    </row>
    <row r="3153" customFormat="false" ht="15" hidden="false" customHeight="false" outlineLevel="0" collapsed="false">
      <c r="A3153" s="7" t="n">
        <v>80157457</v>
      </c>
      <c r="B3153" s="7" t="s">
        <v>78</v>
      </c>
      <c r="C3153" s="7" t="s">
        <v>6671</v>
      </c>
      <c r="F3153" s="7" t="s">
        <v>6643</v>
      </c>
      <c r="G3153" s="7" t="n">
        <v>2014</v>
      </c>
      <c r="H3153" s="7" t="s">
        <v>49</v>
      </c>
      <c r="I3153" s="7" t="s">
        <v>82</v>
      </c>
      <c r="J3153" s="7" t="s">
        <v>822</v>
      </c>
      <c r="K3153" s="7" t="n">
        <f aca="false">IFERROR(VALUE(RIGHT(TRIM(F3153),4)),"")</f>
        <v>2017</v>
      </c>
      <c r="L3153" s="7" t="str">
        <f aca="false">IF(TRIM(E3153)="","Unknown",IFERROR(LEFT(TRIM(E3153),FIND(",",TRIM(E3153))-1),TRIM(E3153)))</f>
        <v>Unknown</v>
      </c>
      <c r="M3153" s="7" t="str">
        <f aca="false">IFERROR(LEFT(J3153,FIND(",",J3153)-1),J3153)</f>
        <v>International TV Shows</v>
      </c>
      <c r="N3153" s="7" t="str">
        <f aca="false">IF(B3153="Movie",IFERROR(VALUE(LEFT(I3153,FIND(" ",I3153)-1)),""),"")</f>
        <v/>
      </c>
      <c r="O3153" s="7" t="n">
        <f aca="false">IF(B3153="TV Show",IFERROR(VALUE(LEFT(I3153,FIND(" ",I3153)-1)),""),"")</f>
        <v>1</v>
      </c>
      <c r="P3153" s="7" t="n">
        <f aca="false">IF(K3153="","",K3153-G3153)</f>
        <v>3</v>
      </c>
    </row>
    <row r="3154" customFormat="false" ht="15" hidden="false" customHeight="false" outlineLevel="0" collapsed="false">
      <c r="A3154" s="7" t="n">
        <v>70229498</v>
      </c>
      <c r="B3154" s="7" t="s">
        <v>68</v>
      </c>
      <c r="C3154" s="7" t="s">
        <v>6672</v>
      </c>
      <c r="D3154" s="7" t="s">
        <v>2223</v>
      </c>
      <c r="E3154" s="7" t="s">
        <v>27</v>
      </c>
      <c r="F3154" s="7" t="s">
        <v>6643</v>
      </c>
      <c r="G3154" s="7" t="n">
        <v>2012</v>
      </c>
      <c r="H3154" s="7" t="s">
        <v>49</v>
      </c>
      <c r="I3154" s="7" t="s">
        <v>1066</v>
      </c>
      <c r="J3154" s="7" t="s">
        <v>322</v>
      </c>
      <c r="K3154" s="7" t="n">
        <f aca="false">IFERROR(VALUE(RIGHT(TRIM(F3154),4)),"")</f>
        <v>2017</v>
      </c>
      <c r="L3154" s="7" t="str">
        <f aca="false">IF(TRIM(E3154)="","Unknown",IFERROR(LEFT(TRIM(E3154),FIND(",",TRIM(E3154))-1),TRIM(E3154)))</f>
        <v>India</v>
      </c>
      <c r="M3154" s="7" t="str">
        <f aca="false">IFERROR(LEFT(J3154,FIND(",",J3154)-1),J3154)</f>
        <v>Action &amp; Adventure</v>
      </c>
      <c r="N3154" s="7" t="n">
        <f aca="false">IF(B3154="Movie",IFERROR(VALUE(LEFT(I3154,FIND(" ",I3154)-1)),""),"")</f>
        <v>162</v>
      </c>
      <c r="O3154" s="7" t="str">
        <f aca="false">IF(B3154="TV Show",IFERROR(VALUE(LEFT(I3154,FIND(" ",I3154)-1)),""),"")</f>
        <v/>
      </c>
      <c r="P3154" s="7" t="n">
        <f aca="false">IF(K3154="","",K3154-G3154)</f>
        <v>5</v>
      </c>
    </row>
    <row r="3155" customFormat="false" ht="15" hidden="false" customHeight="false" outlineLevel="0" collapsed="false">
      <c r="A3155" s="7" t="n">
        <v>20257393</v>
      </c>
      <c r="B3155" s="7" t="s">
        <v>68</v>
      </c>
      <c r="C3155" s="7" t="s">
        <v>6673</v>
      </c>
      <c r="D3155" s="7" t="s">
        <v>5901</v>
      </c>
      <c r="E3155" s="7" t="s">
        <v>27</v>
      </c>
      <c r="F3155" s="7" t="s">
        <v>6643</v>
      </c>
      <c r="G3155" s="7" t="n">
        <v>1962</v>
      </c>
      <c r="H3155" s="7" t="s">
        <v>50</v>
      </c>
      <c r="I3155" s="7" t="s">
        <v>383</v>
      </c>
      <c r="J3155" s="7" t="s">
        <v>217</v>
      </c>
      <c r="K3155" s="7" t="n">
        <f aca="false">IFERROR(VALUE(RIGHT(TRIM(F3155),4)),"")</f>
        <v>2017</v>
      </c>
      <c r="L3155" s="7" t="str">
        <f aca="false">IF(TRIM(E3155)="","Unknown",IFERROR(LEFT(TRIM(E3155),FIND(",",TRIM(E3155))-1),TRIM(E3155)))</f>
        <v>India</v>
      </c>
      <c r="M3155" s="7" t="str">
        <f aca="false">IFERROR(LEFT(J3155,FIND(",",J3155)-1),J3155)</f>
        <v>Comedies</v>
      </c>
      <c r="N3155" s="7" t="n">
        <f aca="false">IF(B3155="Movie",IFERROR(VALUE(LEFT(I3155,FIND(" ",I3155)-1)),""),"")</f>
        <v>163</v>
      </c>
      <c r="O3155" s="7" t="str">
        <f aca="false">IF(B3155="TV Show",IFERROR(VALUE(LEFT(I3155,FIND(" ",I3155)-1)),""),"")</f>
        <v/>
      </c>
      <c r="P3155" s="7" t="n">
        <f aca="false">IF(K3155="","",K3155-G3155)</f>
        <v>55</v>
      </c>
    </row>
    <row r="3156" customFormat="false" ht="15" hidden="false" customHeight="false" outlineLevel="0" collapsed="false">
      <c r="A3156" s="7" t="n">
        <v>80159899</v>
      </c>
      <c r="B3156" s="7" t="s">
        <v>78</v>
      </c>
      <c r="C3156" s="7" t="s">
        <v>6674</v>
      </c>
      <c r="F3156" s="7" t="s">
        <v>6643</v>
      </c>
      <c r="G3156" s="7" t="n">
        <v>2014</v>
      </c>
      <c r="H3156" s="7" t="s">
        <v>50</v>
      </c>
      <c r="I3156" s="7" t="s">
        <v>82</v>
      </c>
      <c r="J3156" s="7" t="s">
        <v>314</v>
      </c>
      <c r="K3156" s="7" t="n">
        <f aca="false">IFERROR(VALUE(RIGHT(TRIM(F3156),4)),"")</f>
        <v>2017</v>
      </c>
      <c r="L3156" s="7" t="str">
        <f aca="false">IF(TRIM(E3156)="","Unknown",IFERROR(LEFT(TRIM(E3156),FIND(",",TRIM(E3156))-1),TRIM(E3156)))</f>
        <v>Unknown</v>
      </c>
      <c r="M3156" s="7" t="str">
        <f aca="false">IFERROR(LEFT(J3156,FIND(",",J3156)-1),J3156)</f>
        <v>International TV Shows</v>
      </c>
      <c r="N3156" s="7" t="str">
        <f aca="false">IF(B3156="Movie",IFERROR(VALUE(LEFT(I3156,FIND(" ",I3156)-1)),""),"")</f>
        <v/>
      </c>
      <c r="O3156" s="7" t="n">
        <f aca="false">IF(B3156="TV Show",IFERROR(VALUE(LEFT(I3156,FIND(" ",I3156)-1)),""),"")</f>
        <v>1</v>
      </c>
      <c r="P3156" s="7" t="n">
        <f aca="false">IF(K3156="","",K3156-G3156)</f>
        <v>3</v>
      </c>
    </row>
    <row r="3157" customFormat="false" ht="15" hidden="false" customHeight="false" outlineLevel="0" collapsed="false">
      <c r="A3157" s="7" t="n">
        <v>80093106</v>
      </c>
      <c r="B3157" s="7" t="s">
        <v>68</v>
      </c>
      <c r="C3157" s="7" t="s">
        <v>6675</v>
      </c>
      <c r="D3157" s="7" t="s">
        <v>6676</v>
      </c>
      <c r="E3157" s="7" t="s">
        <v>33</v>
      </c>
      <c r="F3157" s="7" t="s">
        <v>6643</v>
      </c>
      <c r="G3157" s="7" t="n">
        <v>2016</v>
      </c>
      <c r="H3157" s="7" t="s">
        <v>49</v>
      </c>
      <c r="I3157" s="7" t="s">
        <v>173</v>
      </c>
      <c r="J3157" s="7" t="s">
        <v>358</v>
      </c>
      <c r="K3157" s="7" t="n">
        <f aca="false">IFERROR(VALUE(RIGHT(TRIM(F3157),4)),"")</f>
        <v>2017</v>
      </c>
      <c r="L3157" s="7" t="str">
        <f aca="false">IF(TRIM(E3157)="","Unknown",IFERROR(LEFT(TRIM(E3157),FIND(",",TRIM(E3157))-1),TRIM(E3157)))</f>
        <v>Spain</v>
      </c>
      <c r="M3157" s="7" t="str">
        <f aca="false">IFERROR(LEFT(J3157,FIND(",",J3157)-1),J3157)</f>
        <v>International Movies</v>
      </c>
      <c r="N3157" s="7" t="n">
        <f aca="false">IF(B3157="Movie",IFERROR(VALUE(LEFT(I3157,FIND(" ",I3157)-1)),""),"")</f>
        <v>106</v>
      </c>
      <c r="O3157" s="7" t="str">
        <f aca="false">IF(B3157="TV Show",IFERROR(VALUE(LEFT(I3157,FIND(" ",I3157)-1)),""),"")</f>
        <v/>
      </c>
      <c r="P3157" s="7" t="n">
        <f aca="false">IF(K3157="","",K3157-G3157)</f>
        <v>1</v>
      </c>
    </row>
    <row r="3158" customFormat="false" ht="15" hidden="false" customHeight="false" outlineLevel="0" collapsed="false">
      <c r="A3158" s="7" t="n">
        <v>80157567</v>
      </c>
      <c r="B3158" s="7" t="s">
        <v>78</v>
      </c>
      <c r="C3158" s="7" t="s">
        <v>6677</v>
      </c>
      <c r="E3158" s="7" t="s">
        <v>1819</v>
      </c>
      <c r="F3158" s="7" t="s">
        <v>6643</v>
      </c>
      <c r="G3158" s="7" t="n">
        <v>2011</v>
      </c>
      <c r="H3158" s="7" t="s">
        <v>50</v>
      </c>
      <c r="I3158" s="7" t="s">
        <v>82</v>
      </c>
      <c r="J3158" s="7" t="s">
        <v>314</v>
      </c>
      <c r="K3158" s="7" t="n">
        <f aca="false">IFERROR(VALUE(RIGHT(TRIM(F3158),4)),"")</f>
        <v>2017</v>
      </c>
      <c r="L3158" s="7" t="str">
        <f aca="false">IF(TRIM(E3158)="","Unknown",IFERROR(LEFT(TRIM(E3158),FIND(",",TRIM(E3158))-1),TRIM(E3158)))</f>
        <v>Singapore</v>
      </c>
      <c r="M3158" s="7" t="str">
        <f aca="false">IFERROR(LEFT(J3158,FIND(",",J3158)-1),J3158)</f>
        <v>International TV Shows</v>
      </c>
      <c r="N3158" s="7" t="str">
        <f aca="false">IF(B3158="Movie",IFERROR(VALUE(LEFT(I3158,FIND(" ",I3158)-1)),""),"")</f>
        <v/>
      </c>
      <c r="O3158" s="7" t="n">
        <f aca="false">IF(B3158="TV Show",IFERROR(VALUE(LEFT(I3158,FIND(" ",I3158)-1)),""),"")</f>
        <v>1</v>
      </c>
      <c r="P3158" s="7" t="n">
        <f aca="false">IF(K3158="","",K3158-G3158)</f>
        <v>6</v>
      </c>
    </row>
    <row r="3159" customFormat="false" ht="15" hidden="false" customHeight="false" outlineLevel="0" collapsed="false">
      <c r="A3159" s="7" t="n">
        <v>80157390</v>
      </c>
      <c r="B3159" s="7" t="s">
        <v>78</v>
      </c>
      <c r="C3159" s="7" t="s">
        <v>6678</v>
      </c>
      <c r="E3159" s="7" t="s">
        <v>1819</v>
      </c>
      <c r="F3159" s="7" t="s">
        <v>6643</v>
      </c>
      <c r="G3159" s="7" t="n">
        <v>2016</v>
      </c>
      <c r="H3159" s="7" t="s">
        <v>49</v>
      </c>
      <c r="I3159" s="7" t="s">
        <v>82</v>
      </c>
      <c r="J3159" s="7" t="s">
        <v>402</v>
      </c>
      <c r="K3159" s="7" t="n">
        <f aca="false">IFERROR(VALUE(RIGHT(TRIM(F3159),4)),"")</f>
        <v>2017</v>
      </c>
      <c r="L3159" s="7" t="str">
        <f aca="false">IF(TRIM(E3159)="","Unknown",IFERROR(LEFT(TRIM(E3159),FIND(",",TRIM(E3159))-1),TRIM(E3159)))</f>
        <v>Singapore</v>
      </c>
      <c r="M3159" s="7" t="str">
        <f aca="false">IFERROR(LEFT(J3159,FIND(",",J3159)-1),J3159)</f>
        <v>Crime TV Shows</v>
      </c>
      <c r="N3159" s="7" t="str">
        <f aca="false">IF(B3159="Movie",IFERROR(VALUE(LEFT(I3159,FIND(" ",I3159)-1)),""),"")</f>
        <v/>
      </c>
      <c r="O3159" s="7" t="n">
        <f aca="false">IF(B3159="TV Show",IFERROR(VALUE(LEFT(I3159,FIND(" ",I3159)-1)),""),"")</f>
        <v>1</v>
      </c>
      <c r="P3159" s="7" t="n">
        <f aca="false">IF(K3159="","",K3159-G3159)</f>
        <v>1</v>
      </c>
    </row>
    <row r="3160" customFormat="false" ht="15" hidden="false" customHeight="false" outlineLevel="0" collapsed="false">
      <c r="A3160" s="7" t="n">
        <v>80157392</v>
      </c>
      <c r="B3160" s="7" t="s">
        <v>78</v>
      </c>
      <c r="C3160" s="7" t="s">
        <v>6679</v>
      </c>
      <c r="F3160" s="7" t="s">
        <v>6643</v>
      </c>
      <c r="G3160" s="7" t="n">
        <v>2009</v>
      </c>
      <c r="H3160" s="7" t="s">
        <v>49</v>
      </c>
      <c r="I3160" s="7" t="s">
        <v>82</v>
      </c>
      <c r="J3160" s="7" t="s">
        <v>344</v>
      </c>
      <c r="K3160" s="7" t="n">
        <f aca="false">IFERROR(VALUE(RIGHT(TRIM(F3160),4)),"")</f>
        <v>2017</v>
      </c>
      <c r="L3160" s="7" t="str">
        <f aca="false">IF(TRIM(E3160)="","Unknown",IFERROR(LEFT(TRIM(E3160),FIND(",",TRIM(E3160))-1),TRIM(E3160)))</f>
        <v>Unknown</v>
      </c>
      <c r="M3160" s="7" t="str">
        <f aca="false">IFERROR(LEFT(J3160,FIND(",",J3160)-1),J3160)</f>
        <v>International TV Shows</v>
      </c>
      <c r="N3160" s="7" t="str">
        <f aca="false">IF(B3160="Movie",IFERROR(VALUE(LEFT(I3160,FIND(" ",I3160)-1)),""),"")</f>
        <v/>
      </c>
      <c r="O3160" s="7" t="n">
        <f aca="false">IF(B3160="TV Show",IFERROR(VALUE(LEFT(I3160,FIND(" ",I3160)-1)),""),"")</f>
        <v>1</v>
      </c>
      <c r="P3160" s="7" t="n">
        <f aca="false">IF(K3160="","",K3160-G3160)</f>
        <v>8</v>
      </c>
    </row>
    <row r="3161" customFormat="false" ht="15" hidden="false" customHeight="false" outlineLevel="0" collapsed="false">
      <c r="A3161" s="7" t="n">
        <v>80171528</v>
      </c>
      <c r="B3161" s="7" t="s">
        <v>68</v>
      </c>
      <c r="C3161" s="7" t="s">
        <v>6680</v>
      </c>
      <c r="D3161" s="7" t="s">
        <v>6681</v>
      </c>
      <c r="E3161" s="7" t="s">
        <v>366</v>
      </c>
      <c r="F3161" s="7" t="s">
        <v>6643</v>
      </c>
      <c r="G3161" s="7" t="n">
        <v>2016</v>
      </c>
      <c r="H3161" s="7" t="s">
        <v>48</v>
      </c>
      <c r="I3161" s="7" t="s">
        <v>268</v>
      </c>
      <c r="J3161" s="7" t="s">
        <v>182</v>
      </c>
      <c r="K3161" s="7" t="n">
        <f aca="false">IFERROR(VALUE(RIGHT(TRIM(F3161),4)),"")</f>
        <v>2017</v>
      </c>
      <c r="L3161" s="7" t="str">
        <f aca="false">IF(TRIM(E3161)="","Unknown",IFERROR(LEFT(TRIM(E3161),FIND(",",TRIM(E3161))-1),TRIM(E3161)))</f>
        <v>China</v>
      </c>
      <c r="M3161" s="7" t="str">
        <f aca="false">IFERROR(LEFT(J3161,FIND(",",J3161)-1),J3161)</f>
        <v>Dramas</v>
      </c>
      <c r="N3161" s="7" t="n">
        <f aca="false">IF(B3161="Movie",IFERROR(VALUE(LEFT(I3161,FIND(" ",I3161)-1)),""),"")</f>
        <v>108</v>
      </c>
      <c r="O3161" s="7" t="str">
        <f aca="false">IF(B3161="TV Show",IFERROR(VALUE(LEFT(I3161,FIND(" ",I3161)-1)),""),"")</f>
        <v/>
      </c>
      <c r="P3161" s="7" t="n">
        <f aca="false">IF(K3161="","",K3161-G3161)</f>
        <v>1</v>
      </c>
    </row>
    <row r="3162" customFormat="false" ht="15" hidden="false" customHeight="false" outlineLevel="0" collapsed="false">
      <c r="A3162" s="7" t="n">
        <v>80187467</v>
      </c>
      <c r="B3162" s="7" t="s">
        <v>68</v>
      </c>
      <c r="C3162" s="7" t="s">
        <v>6682</v>
      </c>
      <c r="D3162" s="7" t="s">
        <v>6683</v>
      </c>
      <c r="E3162" s="7" t="s">
        <v>259</v>
      </c>
      <c r="F3162" s="7" t="s">
        <v>6643</v>
      </c>
      <c r="G3162" s="7" t="n">
        <v>2013</v>
      </c>
      <c r="H3162" s="7" t="s">
        <v>48</v>
      </c>
      <c r="I3162" s="7" t="s">
        <v>247</v>
      </c>
      <c r="J3162" s="7" t="s">
        <v>322</v>
      </c>
      <c r="K3162" s="7" t="n">
        <f aca="false">IFERROR(VALUE(RIGHT(TRIM(F3162),4)),"")</f>
        <v>2017</v>
      </c>
      <c r="L3162" s="7" t="str">
        <f aca="false">IF(TRIM(E3162)="","Unknown",IFERROR(LEFT(TRIM(E3162),FIND(",",TRIM(E3162))-1),TRIM(E3162)))</f>
        <v>Pakistan</v>
      </c>
      <c r="M3162" s="7" t="str">
        <f aca="false">IFERROR(LEFT(J3162,FIND(",",J3162)-1),J3162)</f>
        <v>Action &amp; Adventure</v>
      </c>
      <c r="N3162" s="7" t="n">
        <f aca="false">IF(B3162="Movie",IFERROR(VALUE(LEFT(I3162,FIND(" ",I3162)-1)),""),"")</f>
        <v>130</v>
      </c>
      <c r="O3162" s="7" t="str">
        <f aca="false">IF(B3162="TV Show",IFERROR(VALUE(LEFT(I3162,FIND(" ",I3162)-1)),""),"")</f>
        <v/>
      </c>
      <c r="P3162" s="7" t="n">
        <f aca="false">IF(K3162="","",K3162-G3162)</f>
        <v>4</v>
      </c>
    </row>
    <row r="3163" customFormat="false" ht="15" hidden="false" customHeight="false" outlineLevel="0" collapsed="false">
      <c r="A3163" s="7" t="n">
        <v>80160125</v>
      </c>
      <c r="B3163" s="7" t="s">
        <v>78</v>
      </c>
      <c r="C3163" s="7" t="s">
        <v>6684</v>
      </c>
      <c r="E3163" s="7" t="s">
        <v>1819</v>
      </c>
      <c r="F3163" s="7" t="s">
        <v>6643</v>
      </c>
      <c r="G3163" s="7" t="n">
        <v>2014</v>
      </c>
      <c r="H3163" s="7" t="s">
        <v>50</v>
      </c>
      <c r="I3163" s="7" t="s">
        <v>82</v>
      </c>
      <c r="J3163" s="7" t="s">
        <v>344</v>
      </c>
      <c r="K3163" s="7" t="n">
        <f aca="false">IFERROR(VALUE(RIGHT(TRIM(F3163),4)),"")</f>
        <v>2017</v>
      </c>
      <c r="L3163" s="7" t="str">
        <f aca="false">IF(TRIM(E3163)="","Unknown",IFERROR(LEFT(TRIM(E3163),FIND(",",TRIM(E3163))-1),TRIM(E3163)))</f>
        <v>Singapore</v>
      </c>
      <c r="M3163" s="7" t="str">
        <f aca="false">IFERROR(LEFT(J3163,FIND(",",J3163)-1),J3163)</f>
        <v>International TV Shows</v>
      </c>
      <c r="N3163" s="7" t="str">
        <f aca="false">IF(B3163="Movie",IFERROR(VALUE(LEFT(I3163,FIND(" ",I3163)-1)),""),"")</f>
        <v/>
      </c>
      <c r="O3163" s="7" t="n">
        <f aca="false">IF(B3163="TV Show",IFERROR(VALUE(LEFT(I3163,FIND(" ",I3163)-1)),""),"")</f>
        <v>1</v>
      </c>
      <c r="P3163" s="7" t="n">
        <f aca="false">IF(K3163="","",K3163-G3163)</f>
        <v>3</v>
      </c>
    </row>
    <row r="3164" customFormat="false" ht="15" hidden="false" customHeight="false" outlineLevel="0" collapsed="false">
      <c r="A3164" s="7" t="n">
        <v>80187323</v>
      </c>
      <c r="B3164" s="7" t="s">
        <v>68</v>
      </c>
      <c r="C3164" s="7" t="s">
        <v>6685</v>
      </c>
      <c r="D3164" s="7" t="s">
        <v>6686</v>
      </c>
      <c r="E3164" s="7" t="s">
        <v>259</v>
      </c>
      <c r="F3164" s="7" t="s">
        <v>6643</v>
      </c>
      <c r="G3164" s="7" t="n">
        <v>2015</v>
      </c>
      <c r="H3164" s="7" t="s">
        <v>49</v>
      </c>
      <c r="I3164" s="7" t="s">
        <v>201</v>
      </c>
      <c r="J3164" s="7" t="s">
        <v>206</v>
      </c>
      <c r="K3164" s="7" t="n">
        <f aca="false">IFERROR(VALUE(RIGHT(TRIM(F3164),4)),"")</f>
        <v>2017</v>
      </c>
      <c r="L3164" s="7" t="str">
        <f aca="false">IF(TRIM(E3164)="","Unknown",IFERROR(LEFT(TRIM(E3164),FIND(",",TRIM(E3164))-1),TRIM(E3164)))</f>
        <v>Pakistan</v>
      </c>
      <c r="M3164" s="7" t="str">
        <f aca="false">IFERROR(LEFT(J3164,FIND(",",J3164)-1),J3164)</f>
        <v>Comedies</v>
      </c>
      <c r="N3164" s="7" t="n">
        <f aca="false">IF(B3164="Movie",IFERROR(VALUE(LEFT(I3164,FIND(" ",I3164)-1)),""),"")</f>
        <v>133</v>
      </c>
      <c r="O3164" s="7" t="str">
        <f aca="false">IF(B3164="TV Show",IFERROR(VALUE(LEFT(I3164,FIND(" ",I3164)-1)),""),"")</f>
        <v/>
      </c>
      <c r="P3164" s="7" t="n">
        <f aca="false">IF(K3164="","",K3164-G3164)</f>
        <v>2</v>
      </c>
    </row>
    <row r="3165" customFormat="false" ht="15" hidden="false" customHeight="false" outlineLevel="0" collapsed="false">
      <c r="A3165" s="7" t="n">
        <v>80157132</v>
      </c>
      <c r="B3165" s="7" t="s">
        <v>68</v>
      </c>
      <c r="C3165" s="7" t="s">
        <v>6687</v>
      </c>
      <c r="D3165" s="7" t="s">
        <v>1068</v>
      </c>
      <c r="E3165" s="7" t="s">
        <v>27</v>
      </c>
      <c r="F3165" s="7" t="s">
        <v>6643</v>
      </c>
      <c r="G3165" s="7" t="n">
        <v>1994</v>
      </c>
      <c r="H3165" s="7" t="s">
        <v>49</v>
      </c>
      <c r="I3165" s="7" t="s">
        <v>1026</v>
      </c>
      <c r="J3165" s="7" t="s">
        <v>304</v>
      </c>
      <c r="K3165" s="7" t="n">
        <f aca="false">IFERROR(VALUE(RIGHT(TRIM(F3165),4)),"")</f>
        <v>2017</v>
      </c>
      <c r="L3165" s="7" t="str">
        <f aca="false">IF(TRIM(E3165)="","Unknown",IFERROR(LEFT(TRIM(E3165),FIND(",",TRIM(E3165))-1),TRIM(E3165)))</f>
        <v>India</v>
      </c>
      <c r="M3165" s="7" t="str">
        <f aca="false">IFERROR(LEFT(J3165,FIND(",",J3165)-1),J3165)</f>
        <v>Dramas</v>
      </c>
      <c r="N3165" s="7" t="n">
        <f aca="false">IF(B3165="Movie",IFERROR(VALUE(LEFT(I3165,FIND(" ",I3165)-1)),""),"")</f>
        <v>148</v>
      </c>
      <c r="O3165" s="7" t="str">
        <f aca="false">IF(B3165="TV Show",IFERROR(VALUE(LEFT(I3165,FIND(" ",I3165)-1)),""),"")</f>
        <v/>
      </c>
      <c r="P3165" s="7" t="n">
        <f aca="false">IF(K3165="","",K3165-G3165)</f>
        <v>23</v>
      </c>
    </row>
    <row r="3166" customFormat="false" ht="15" hidden="false" customHeight="false" outlineLevel="0" collapsed="false">
      <c r="A3166" s="7" t="n">
        <v>80157864</v>
      </c>
      <c r="B3166" s="7" t="s">
        <v>78</v>
      </c>
      <c r="C3166" s="7" t="s">
        <v>6688</v>
      </c>
      <c r="F3166" s="7" t="s">
        <v>6643</v>
      </c>
      <c r="G3166" s="7" t="n">
        <v>2014</v>
      </c>
      <c r="H3166" s="7" t="s">
        <v>50</v>
      </c>
      <c r="I3166" s="7" t="s">
        <v>82</v>
      </c>
      <c r="J3166" s="7" t="s">
        <v>344</v>
      </c>
      <c r="K3166" s="7" t="n">
        <f aca="false">IFERROR(VALUE(RIGHT(TRIM(F3166),4)),"")</f>
        <v>2017</v>
      </c>
      <c r="L3166" s="7" t="str">
        <f aca="false">IF(TRIM(E3166)="","Unknown",IFERROR(LEFT(TRIM(E3166),FIND(",",TRIM(E3166))-1),TRIM(E3166)))</f>
        <v>Unknown</v>
      </c>
      <c r="M3166" s="7" t="str">
        <f aca="false">IFERROR(LEFT(J3166,FIND(",",J3166)-1),J3166)</f>
        <v>International TV Shows</v>
      </c>
      <c r="N3166" s="7" t="str">
        <f aca="false">IF(B3166="Movie",IFERROR(VALUE(LEFT(I3166,FIND(" ",I3166)-1)),""),"")</f>
        <v/>
      </c>
      <c r="O3166" s="7" t="n">
        <f aca="false">IF(B3166="TV Show",IFERROR(VALUE(LEFT(I3166,FIND(" ",I3166)-1)),""),"")</f>
        <v>1</v>
      </c>
      <c r="P3166" s="7" t="n">
        <f aca="false">IF(K3166="","",K3166-G3166)</f>
        <v>3</v>
      </c>
    </row>
    <row r="3167" customFormat="false" ht="15" hidden="false" customHeight="false" outlineLevel="0" collapsed="false">
      <c r="A3167" s="7" t="n">
        <v>80157717</v>
      </c>
      <c r="B3167" s="7" t="s">
        <v>78</v>
      </c>
      <c r="C3167" s="7" t="s">
        <v>6689</v>
      </c>
      <c r="E3167" s="7" t="s">
        <v>1819</v>
      </c>
      <c r="F3167" s="7" t="s">
        <v>6643</v>
      </c>
      <c r="G3167" s="7" t="n">
        <v>2012</v>
      </c>
      <c r="H3167" s="7" t="s">
        <v>50</v>
      </c>
      <c r="I3167" s="7" t="s">
        <v>82</v>
      </c>
      <c r="J3167" s="7" t="s">
        <v>158</v>
      </c>
      <c r="K3167" s="7" t="n">
        <f aca="false">IFERROR(VALUE(RIGHT(TRIM(F3167),4)),"")</f>
        <v>2017</v>
      </c>
      <c r="L3167" s="7" t="str">
        <f aca="false">IF(TRIM(E3167)="","Unknown",IFERROR(LEFT(TRIM(E3167),FIND(",",TRIM(E3167))-1),TRIM(E3167)))</f>
        <v>Singapore</v>
      </c>
      <c r="M3167" s="7" t="str">
        <f aca="false">IFERROR(LEFT(J3167,FIND(",",J3167)-1),J3167)</f>
        <v>International TV Shows</v>
      </c>
      <c r="N3167" s="7" t="str">
        <f aca="false">IF(B3167="Movie",IFERROR(VALUE(LEFT(I3167,FIND(" ",I3167)-1)),""),"")</f>
        <v/>
      </c>
      <c r="O3167" s="7" t="n">
        <f aca="false">IF(B3167="TV Show",IFERROR(VALUE(LEFT(I3167,FIND(" ",I3167)-1)),""),"")</f>
        <v>1</v>
      </c>
      <c r="P3167" s="7" t="n">
        <f aca="false">IF(K3167="","",K3167-G3167)</f>
        <v>5</v>
      </c>
    </row>
    <row r="3168" customFormat="false" ht="15" hidden="false" customHeight="false" outlineLevel="0" collapsed="false">
      <c r="A3168" s="7" t="n">
        <v>80093104</v>
      </c>
      <c r="B3168" s="7" t="s">
        <v>68</v>
      </c>
      <c r="C3168" s="7" t="s">
        <v>6690</v>
      </c>
      <c r="D3168" s="7" t="s">
        <v>6691</v>
      </c>
      <c r="E3168" s="7" t="s">
        <v>33</v>
      </c>
      <c r="F3168" s="7" t="s">
        <v>6643</v>
      </c>
      <c r="G3168" s="7" t="n">
        <v>2016</v>
      </c>
      <c r="H3168" s="7" t="s">
        <v>50</v>
      </c>
      <c r="I3168" s="7" t="s">
        <v>820</v>
      </c>
      <c r="J3168" s="7" t="s">
        <v>74</v>
      </c>
      <c r="K3168" s="7" t="n">
        <f aca="false">IFERROR(VALUE(RIGHT(TRIM(F3168),4)),"")</f>
        <v>2017</v>
      </c>
      <c r="L3168" s="7" t="str">
        <f aca="false">IF(TRIM(E3168)="","Unknown",IFERROR(LEFT(TRIM(E3168),FIND(",",TRIM(E3168))-1),TRIM(E3168)))</f>
        <v>Spain</v>
      </c>
      <c r="M3168" s="7" t="str">
        <f aca="false">IFERROR(LEFT(J3168,FIND(",",J3168)-1),J3168)</f>
        <v>Children &amp; Family Movies</v>
      </c>
      <c r="N3168" s="7" t="n">
        <f aca="false">IF(B3168="Movie",IFERROR(VALUE(LEFT(I3168,FIND(" ",I3168)-1)),""),"")</f>
        <v>105</v>
      </c>
      <c r="O3168" s="7" t="str">
        <f aca="false">IF(B3168="TV Show",IFERROR(VALUE(LEFT(I3168,FIND(" ",I3168)-1)),""),"")</f>
        <v/>
      </c>
      <c r="P3168" s="7" t="n">
        <f aca="false">IF(K3168="","",K3168-G3168)</f>
        <v>1</v>
      </c>
    </row>
    <row r="3169" customFormat="false" ht="15" hidden="false" customHeight="false" outlineLevel="0" collapsed="false">
      <c r="A3169" s="7" t="n">
        <v>80104950</v>
      </c>
      <c r="B3169" s="7" t="s">
        <v>78</v>
      </c>
      <c r="C3169" s="7" t="s">
        <v>2696</v>
      </c>
      <c r="E3169" s="7" t="s">
        <v>31</v>
      </c>
      <c r="F3169" s="7" t="s">
        <v>6692</v>
      </c>
      <c r="G3169" s="7" t="n">
        <v>2016</v>
      </c>
      <c r="H3169" s="7" t="s">
        <v>48</v>
      </c>
      <c r="I3169" s="7" t="s">
        <v>82</v>
      </c>
      <c r="J3169" s="7" t="s">
        <v>402</v>
      </c>
      <c r="K3169" s="7" t="n">
        <f aca="false">IFERROR(VALUE(RIGHT(TRIM(F3169),4)),"")</f>
        <v>2016</v>
      </c>
      <c r="L3169" s="7" t="str">
        <f aca="false">IF(TRIM(E3169)="","Unknown",IFERROR(LEFT(TRIM(E3169),FIND(",",TRIM(E3169))-1),TRIM(E3169)))</f>
        <v>France</v>
      </c>
      <c r="M3169" s="7" t="str">
        <f aca="false">IFERROR(LEFT(J3169,FIND(",",J3169)-1),J3169)</f>
        <v>Crime TV Shows</v>
      </c>
      <c r="N3169" s="7" t="str">
        <f aca="false">IF(B3169="Movie",IFERROR(VALUE(LEFT(I3169,FIND(" ",I3169)-1)),""),"")</f>
        <v/>
      </c>
      <c r="O3169" s="7" t="n">
        <f aca="false">IF(B3169="TV Show",IFERROR(VALUE(LEFT(I3169,FIND(" ",I3169)-1)),""),"")</f>
        <v>1</v>
      </c>
      <c r="P3169" s="7" t="n">
        <f aca="false">IF(K3169="","",K3169-G3169)</f>
        <v>0</v>
      </c>
    </row>
    <row r="3170" customFormat="false" ht="15" hidden="false" customHeight="false" outlineLevel="0" collapsed="false">
      <c r="A3170" s="7" t="n">
        <v>80114498</v>
      </c>
      <c r="B3170" s="7" t="s">
        <v>68</v>
      </c>
      <c r="C3170" s="7" t="s">
        <v>6693</v>
      </c>
      <c r="D3170" s="7" t="s">
        <v>6694</v>
      </c>
      <c r="E3170" s="7" t="s">
        <v>1063</v>
      </c>
      <c r="F3170" s="7" t="s">
        <v>6692</v>
      </c>
      <c r="G3170" s="7" t="n">
        <v>2013</v>
      </c>
      <c r="H3170" s="7" t="s">
        <v>48</v>
      </c>
      <c r="I3170" s="7" t="s">
        <v>114</v>
      </c>
      <c r="J3170" s="7" t="s">
        <v>341</v>
      </c>
      <c r="K3170" s="7" t="n">
        <f aca="false">IFERROR(VALUE(RIGHT(TRIM(F3170),4)),"")</f>
        <v>2016</v>
      </c>
      <c r="L3170" s="7" t="str">
        <f aca="false">IF(TRIM(E3170)="","Unknown",IFERROR(LEFT(TRIM(E3170),FIND(",",TRIM(E3170))-1),TRIM(E3170)))</f>
        <v>Norway</v>
      </c>
      <c r="M3170" s="7" t="str">
        <f aca="false">IFERROR(LEFT(J3170,FIND(",",J3170)-1),J3170)</f>
        <v>Documentaries</v>
      </c>
      <c r="N3170" s="7" t="n">
        <f aca="false">IF(B3170="Movie",IFERROR(VALUE(LEFT(I3170,FIND(" ",I3170)-1)),""),"")</f>
        <v>58</v>
      </c>
      <c r="O3170" s="7" t="str">
        <f aca="false">IF(B3170="TV Show",IFERROR(VALUE(LEFT(I3170,FIND(" ",I3170)-1)),""),"")</f>
        <v/>
      </c>
      <c r="P3170" s="7" t="n">
        <f aca="false">IF(K3170="","",K3170-G3170)</f>
        <v>3</v>
      </c>
    </row>
    <row r="3171" customFormat="false" ht="15" hidden="false" customHeight="false" outlineLevel="0" collapsed="false">
      <c r="A3171" s="7" t="n">
        <v>80036981</v>
      </c>
      <c r="B3171" s="7" t="s">
        <v>78</v>
      </c>
      <c r="C3171" s="7" t="s">
        <v>6695</v>
      </c>
      <c r="E3171" s="7" t="s">
        <v>26</v>
      </c>
      <c r="F3171" s="7" t="s">
        <v>6692</v>
      </c>
      <c r="G3171" s="7" t="n">
        <v>2015</v>
      </c>
      <c r="H3171" s="7" t="s">
        <v>48</v>
      </c>
      <c r="I3171" s="7" t="s">
        <v>82</v>
      </c>
      <c r="J3171" s="7" t="s">
        <v>502</v>
      </c>
      <c r="K3171" s="7" t="n">
        <f aca="false">IFERROR(VALUE(RIGHT(TRIM(F3171),4)),"")</f>
        <v>2016</v>
      </c>
      <c r="L3171" s="7" t="str">
        <f aca="false">IF(TRIM(E3171)="","Unknown",IFERROR(LEFT(TRIM(E3171),FIND(",",TRIM(E3171))-1),TRIM(E3171)))</f>
        <v>United States</v>
      </c>
      <c r="M3171" s="7" t="str">
        <f aca="false">IFERROR(LEFT(J3171,FIND(",",J3171)-1),J3171)</f>
        <v>TV Comedies</v>
      </c>
      <c r="N3171" s="7" t="str">
        <f aca="false">IF(B3171="Movie",IFERROR(VALUE(LEFT(I3171,FIND(" ",I3171)-1)),""),"")</f>
        <v/>
      </c>
      <c r="O3171" s="7" t="n">
        <f aca="false">IF(B3171="TV Show",IFERROR(VALUE(LEFT(I3171,FIND(" ",I3171)-1)),""),"")</f>
        <v>1</v>
      </c>
      <c r="P3171" s="7" t="n">
        <f aca="false">IF(K3171="","",K3171-G3171)</f>
        <v>1</v>
      </c>
    </row>
    <row r="3172" customFormat="false" ht="15" hidden="false" customHeight="false" outlineLevel="0" collapsed="false">
      <c r="A3172" s="7" t="n">
        <v>80106979</v>
      </c>
      <c r="B3172" s="7" t="s">
        <v>68</v>
      </c>
      <c r="C3172" s="7" t="s">
        <v>6696</v>
      </c>
      <c r="D3172" s="7" t="s">
        <v>1172</v>
      </c>
      <c r="E3172" s="7" t="s">
        <v>26</v>
      </c>
      <c r="F3172" s="7" t="s">
        <v>6692</v>
      </c>
      <c r="G3172" s="7" t="n">
        <v>2016</v>
      </c>
      <c r="H3172" s="7" t="s">
        <v>48</v>
      </c>
      <c r="I3172" s="7" t="s">
        <v>494</v>
      </c>
      <c r="J3172" s="7" t="s">
        <v>45</v>
      </c>
      <c r="K3172" s="7" t="n">
        <f aca="false">IFERROR(VALUE(RIGHT(TRIM(F3172),4)),"")</f>
        <v>2016</v>
      </c>
      <c r="L3172" s="7" t="str">
        <f aca="false">IF(TRIM(E3172)="","Unknown",IFERROR(LEFT(TRIM(E3172),FIND(",",TRIM(E3172))-1),TRIM(E3172)))</f>
        <v>United States</v>
      </c>
      <c r="M3172" s="7" t="str">
        <f aca="false">IFERROR(LEFT(J3172,FIND(",",J3172)-1),J3172)</f>
        <v>Stand-Up Comedy</v>
      </c>
      <c r="N3172" s="7" t="n">
        <f aca="false">IF(B3172="Movie",IFERROR(VALUE(LEFT(I3172,FIND(" ",I3172)-1)),""),"")</f>
        <v>87</v>
      </c>
      <c r="O3172" s="7" t="str">
        <f aca="false">IF(B3172="TV Show",IFERROR(VALUE(LEFT(I3172,FIND(" ",I3172)-1)),""),"")</f>
        <v/>
      </c>
      <c r="P3172" s="7" t="n">
        <f aca="false">IF(K3172="","",K3172-G3172)</f>
        <v>0</v>
      </c>
    </row>
    <row r="3173" customFormat="false" ht="15" hidden="false" customHeight="false" outlineLevel="0" collapsed="false">
      <c r="A3173" s="7" t="n">
        <v>80053140</v>
      </c>
      <c r="B3173" s="7" t="s">
        <v>68</v>
      </c>
      <c r="C3173" s="7" t="s">
        <v>6697</v>
      </c>
      <c r="D3173" s="7" t="s">
        <v>6698</v>
      </c>
      <c r="E3173" s="7" t="s">
        <v>26</v>
      </c>
      <c r="F3173" s="7" t="s">
        <v>6692</v>
      </c>
      <c r="G3173" s="7" t="n">
        <v>2015</v>
      </c>
      <c r="H3173" s="7" t="s">
        <v>53</v>
      </c>
      <c r="I3173" s="7" t="s">
        <v>467</v>
      </c>
      <c r="J3173" s="7" t="s">
        <v>150</v>
      </c>
      <c r="K3173" s="7" t="n">
        <f aca="false">IFERROR(VALUE(RIGHT(TRIM(F3173),4)),"")</f>
        <v>2016</v>
      </c>
      <c r="L3173" s="7" t="str">
        <f aca="false">IF(TRIM(E3173)="","Unknown",IFERROR(LEFT(TRIM(E3173),FIND(",",TRIM(E3173))-1),TRIM(E3173)))</f>
        <v>United States</v>
      </c>
      <c r="M3173" s="7" t="str">
        <f aca="false">IFERROR(LEFT(J3173,FIND(",",J3173)-1),J3173)</f>
        <v>Dramas</v>
      </c>
      <c r="N3173" s="7" t="n">
        <f aca="false">IF(B3173="Movie",IFERROR(VALUE(LEFT(I3173,FIND(" ",I3173)-1)),""),"")</f>
        <v>81</v>
      </c>
      <c r="O3173" s="7" t="str">
        <f aca="false">IF(B3173="TV Show",IFERROR(VALUE(LEFT(I3173,FIND(" ",I3173)-1)),""),"")</f>
        <v/>
      </c>
      <c r="P3173" s="7" t="n">
        <f aca="false">IF(K3173="","",K3173-G3173)</f>
        <v>1</v>
      </c>
    </row>
    <row r="3174" customFormat="false" ht="15" hidden="false" customHeight="false" outlineLevel="0" collapsed="false">
      <c r="A3174" s="7" t="n">
        <v>80065182</v>
      </c>
      <c r="B3174" s="7" t="s">
        <v>78</v>
      </c>
      <c r="C3174" s="7" t="s">
        <v>2035</v>
      </c>
      <c r="E3174" s="7" t="s">
        <v>26</v>
      </c>
      <c r="F3174" s="7" t="s">
        <v>6692</v>
      </c>
      <c r="G3174" s="7" t="n">
        <v>2016</v>
      </c>
      <c r="H3174" s="7" t="s">
        <v>49</v>
      </c>
      <c r="I3174" s="7" t="s">
        <v>82</v>
      </c>
      <c r="J3174" s="7" t="s">
        <v>6699</v>
      </c>
      <c r="K3174" s="7" t="n">
        <f aca="false">IFERROR(VALUE(RIGHT(TRIM(F3174),4)),"")</f>
        <v>2016</v>
      </c>
      <c r="L3174" s="7" t="str">
        <f aca="false">IF(TRIM(E3174)="","Unknown",IFERROR(LEFT(TRIM(E3174),FIND(",",TRIM(E3174))-1),TRIM(E3174)))</f>
        <v>United States</v>
      </c>
      <c r="M3174" s="7" t="str">
        <f aca="false">IFERROR(LEFT(J3174,FIND(",",J3174)-1),J3174)</f>
        <v>Crime TV Shows</v>
      </c>
      <c r="N3174" s="7" t="str">
        <f aca="false">IF(B3174="Movie",IFERROR(VALUE(LEFT(I3174,FIND(" ",I3174)-1)),""),"")</f>
        <v/>
      </c>
      <c r="O3174" s="7" t="n">
        <f aca="false">IF(B3174="TV Show",IFERROR(VALUE(LEFT(I3174,FIND(" ",I3174)-1)),""),"")</f>
        <v>1</v>
      </c>
      <c r="P3174" s="7" t="n">
        <f aca="false">IF(K3174="","",K3174-G3174)</f>
        <v>0</v>
      </c>
    </row>
    <row r="3175" customFormat="false" ht="15" hidden="false" customHeight="false" outlineLevel="0" collapsed="false">
      <c r="A3175" s="7" t="n">
        <v>70251160</v>
      </c>
      <c r="B3175" s="7" t="s">
        <v>78</v>
      </c>
      <c r="C3175" s="7" t="s">
        <v>6700</v>
      </c>
      <c r="E3175" s="7" t="s">
        <v>32</v>
      </c>
      <c r="F3175" s="7" t="s">
        <v>6692</v>
      </c>
      <c r="G3175" s="7" t="n">
        <v>2012</v>
      </c>
      <c r="H3175" s="7" t="s">
        <v>50</v>
      </c>
      <c r="I3175" s="7" t="s">
        <v>82</v>
      </c>
      <c r="J3175" s="7" t="s">
        <v>637</v>
      </c>
      <c r="K3175" s="7" t="n">
        <f aca="false">IFERROR(VALUE(RIGHT(TRIM(F3175),4)),"")</f>
        <v>2016</v>
      </c>
      <c r="L3175" s="7" t="str">
        <f aca="false">IF(TRIM(E3175)="","Unknown",IFERROR(LEFT(TRIM(E3175),FIND(",",TRIM(E3175))-1),TRIM(E3175)))</f>
        <v>South Korea</v>
      </c>
      <c r="M3175" s="7" t="str">
        <f aca="false">IFERROR(LEFT(J3175,FIND(",",J3175)-1),J3175)</f>
        <v>International TV Shows</v>
      </c>
      <c r="N3175" s="7" t="str">
        <f aca="false">IF(B3175="Movie",IFERROR(VALUE(LEFT(I3175,FIND(" ",I3175)-1)),""),"")</f>
        <v/>
      </c>
      <c r="O3175" s="7" t="n">
        <f aca="false">IF(B3175="TV Show",IFERROR(VALUE(LEFT(I3175,FIND(" ",I3175)-1)),""),"")</f>
        <v>1</v>
      </c>
      <c r="P3175" s="7" t="n">
        <f aca="false">IF(K3175="","",K3175-G3175)</f>
        <v>4</v>
      </c>
    </row>
    <row r="3176" customFormat="false" ht="15" hidden="false" customHeight="false" outlineLevel="0" collapsed="false">
      <c r="A3176" s="7" t="n">
        <v>80105672</v>
      </c>
      <c r="B3176" s="7" t="s">
        <v>68</v>
      </c>
      <c r="C3176" s="7" t="s">
        <v>6701</v>
      </c>
      <c r="D3176" s="7" t="s">
        <v>6702</v>
      </c>
      <c r="E3176" s="7" t="s">
        <v>527</v>
      </c>
      <c r="F3176" s="7" t="s">
        <v>6692</v>
      </c>
      <c r="G3176" s="7" t="n">
        <v>2015</v>
      </c>
      <c r="H3176" s="7" t="s">
        <v>53</v>
      </c>
      <c r="I3176" s="7" t="s">
        <v>138</v>
      </c>
      <c r="J3176" s="7" t="s">
        <v>304</v>
      </c>
      <c r="K3176" s="7" t="n">
        <f aca="false">IFERROR(VALUE(RIGHT(TRIM(F3176),4)),"")</f>
        <v>2016</v>
      </c>
      <c r="L3176" s="7" t="str">
        <f aca="false">IF(TRIM(E3176)="","Unknown",IFERROR(LEFT(TRIM(E3176),FIND(",",TRIM(E3176))-1),TRIM(E3176)))</f>
        <v>Nigeria</v>
      </c>
      <c r="M3176" s="7" t="str">
        <f aca="false">IFERROR(LEFT(J3176,FIND(",",J3176)-1),J3176)</f>
        <v>Dramas</v>
      </c>
      <c r="N3176" s="7" t="n">
        <f aca="false">IF(B3176="Movie",IFERROR(VALUE(LEFT(I3176,FIND(" ",I3176)-1)),""),"")</f>
        <v>96</v>
      </c>
      <c r="O3176" s="7" t="str">
        <f aca="false">IF(B3176="TV Show",IFERROR(VALUE(LEFT(I3176,FIND(" ",I3176)-1)),""),"")</f>
        <v/>
      </c>
      <c r="P3176" s="7" t="n">
        <f aca="false">IF(K3176="","",K3176-G3176)</f>
        <v>1</v>
      </c>
    </row>
    <row r="3177" customFormat="false" ht="15" hidden="false" customHeight="false" outlineLevel="0" collapsed="false">
      <c r="A3177" s="7" t="n">
        <v>80114700</v>
      </c>
      <c r="B3177" s="7" t="s">
        <v>68</v>
      </c>
      <c r="C3177" s="7" t="s">
        <v>6703</v>
      </c>
      <c r="D3177" s="7" t="s">
        <v>6704</v>
      </c>
      <c r="E3177" s="7" t="s">
        <v>26</v>
      </c>
      <c r="F3177" s="7" t="s">
        <v>6692</v>
      </c>
      <c r="G3177" s="7" t="n">
        <v>2006</v>
      </c>
      <c r="H3177" s="7" t="s">
        <v>50</v>
      </c>
      <c r="I3177" s="7" t="s">
        <v>734</v>
      </c>
      <c r="J3177" s="7" t="s">
        <v>341</v>
      </c>
      <c r="K3177" s="7" t="n">
        <f aca="false">IFERROR(VALUE(RIGHT(TRIM(F3177),4)),"")</f>
        <v>2016</v>
      </c>
      <c r="L3177" s="7" t="str">
        <f aca="false">IF(TRIM(E3177)="","Unknown",IFERROR(LEFT(TRIM(E3177),FIND(",",TRIM(E3177))-1),TRIM(E3177)))</f>
        <v>United States</v>
      </c>
      <c r="M3177" s="7" t="str">
        <f aca="false">IFERROR(LEFT(J3177,FIND(",",J3177)-1),J3177)</f>
        <v>Documentaries</v>
      </c>
      <c r="N3177" s="7" t="n">
        <f aca="false">IF(B3177="Movie",IFERROR(VALUE(LEFT(I3177,FIND(" ",I3177)-1)),""),"")</f>
        <v>52</v>
      </c>
      <c r="O3177" s="7" t="str">
        <f aca="false">IF(B3177="TV Show",IFERROR(VALUE(LEFT(I3177,FIND(" ",I3177)-1)),""),"")</f>
        <v/>
      </c>
      <c r="P3177" s="7" t="n">
        <f aca="false">IF(K3177="","",K3177-G3177)</f>
        <v>10</v>
      </c>
    </row>
    <row r="3178" customFormat="false" ht="15" hidden="false" customHeight="false" outlineLevel="0" collapsed="false">
      <c r="A3178" s="7" t="n">
        <v>80106139</v>
      </c>
      <c r="B3178" s="7" t="s">
        <v>68</v>
      </c>
      <c r="C3178" s="7" t="s">
        <v>6705</v>
      </c>
      <c r="D3178" s="7" t="s">
        <v>6706</v>
      </c>
      <c r="E3178" s="7" t="s">
        <v>5469</v>
      </c>
      <c r="F3178" s="7" t="s">
        <v>6692</v>
      </c>
      <c r="G3178" s="7" t="n">
        <v>2014</v>
      </c>
      <c r="H3178" s="7" t="s">
        <v>53</v>
      </c>
      <c r="I3178" s="7" t="s">
        <v>187</v>
      </c>
      <c r="J3178" s="7" t="s">
        <v>358</v>
      </c>
      <c r="K3178" s="7" t="n">
        <f aca="false">IFERROR(VALUE(RIGHT(TRIM(F3178),4)),"")</f>
        <v>2016</v>
      </c>
      <c r="L3178" s="7" t="str">
        <f aca="false">IF(TRIM(E3178)="","Unknown",IFERROR(LEFT(TRIM(E3178),FIND(",",TRIM(E3178))-1),TRIM(E3178)))</f>
        <v>Israel</v>
      </c>
      <c r="M3178" s="7" t="str">
        <f aca="false">IFERROR(LEFT(J3178,FIND(",",J3178)-1),J3178)</f>
        <v>International Movies</v>
      </c>
      <c r="N3178" s="7" t="n">
        <f aca="false">IF(B3178="Movie",IFERROR(VALUE(LEFT(I3178,FIND(" ",I3178)-1)),""),"")</f>
        <v>114</v>
      </c>
      <c r="O3178" s="7" t="str">
        <f aca="false">IF(B3178="TV Show",IFERROR(VALUE(LEFT(I3178,FIND(" ",I3178)-1)),""),"")</f>
        <v/>
      </c>
      <c r="P3178" s="7" t="n">
        <f aca="false">IF(K3178="","",K3178-G3178)</f>
        <v>2</v>
      </c>
    </row>
    <row r="3179" customFormat="false" ht="15" hidden="false" customHeight="false" outlineLevel="0" collapsed="false">
      <c r="A3179" s="7" t="n">
        <v>80114499</v>
      </c>
      <c r="B3179" s="7" t="s">
        <v>78</v>
      </c>
      <c r="C3179" s="7" t="s">
        <v>6707</v>
      </c>
      <c r="E3179" s="7" t="s">
        <v>1063</v>
      </c>
      <c r="F3179" s="7" t="s">
        <v>6692</v>
      </c>
      <c r="G3179" s="7" t="n">
        <v>2007</v>
      </c>
      <c r="H3179" s="7" t="s">
        <v>50</v>
      </c>
      <c r="I3179" s="7" t="s">
        <v>82</v>
      </c>
      <c r="J3179" s="7" t="s">
        <v>1637</v>
      </c>
      <c r="K3179" s="7" t="n">
        <f aca="false">IFERROR(VALUE(RIGHT(TRIM(F3179),4)),"")</f>
        <v>2016</v>
      </c>
      <c r="L3179" s="7" t="str">
        <f aca="false">IF(TRIM(E3179)="","Unknown",IFERROR(LEFT(TRIM(E3179),FIND(",",TRIM(E3179))-1),TRIM(E3179)))</f>
        <v>Norway</v>
      </c>
      <c r="M3179" s="7" t="str">
        <f aca="false">IFERROR(LEFT(J3179,FIND(",",J3179)-1),J3179)</f>
        <v>Docuseries</v>
      </c>
      <c r="N3179" s="7" t="str">
        <f aca="false">IF(B3179="Movie",IFERROR(VALUE(LEFT(I3179,FIND(" ",I3179)-1)),""),"")</f>
        <v/>
      </c>
      <c r="O3179" s="7" t="n">
        <f aca="false">IF(B3179="TV Show",IFERROR(VALUE(LEFT(I3179,FIND(" ",I3179)-1)),""),"")</f>
        <v>1</v>
      </c>
      <c r="P3179" s="7" t="n">
        <f aca="false">IF(K3179="","",K3179-G3179)</f>
        <v>9</v>
      </c>
    </row>
    <row r="3180" customFormat="false" ht="15" hidden="false" customHeight="false" outlineLevel="0" collapsed="false">
      <c r="A3180" s="7" t="n">
        <v>80108386</v>
      </c>
      <c r="B3180" s="7" t="s">
        <v>68</v>
      </c>
      <c r="C3180" s="7" t="s">
        <v>6708</v>
      </c>
      <c r="D3180" s="7" t="s">
        <v>6709</v>
      </c>
      <c r="E3180" s="7" t="s">
        <v>27</v>
      </c>
      <c r="F3180" s="7" t="s">
        <v>6692</v>
      </c>
      <c r="G3180" s="7" t="n">
        <v>2015</v>
      </c>
      <c r="H3180" s="7" t="s">
        <v>53</v>
      </c>
      <c r="I3180" s="7" t="s">
        <v>820</v>
      </c>
      <c r="J3180" s="7" t="s">
        <v>188</v>
      </c>
      <c r="K3180" s="7" t="n">
        <f aca="false">IFERROR(VALUE(RIGHT(TRIM(F3180),4)),"")</f>
        <v>2016</v>
      </c>
      <c r="L3180" s="7" t="str">
        <f aca="false">IF(TRIM(E3180)="","Unknown",IFERROR(LEFT(TRIM(E3180),FIND(",",TRIM(E3180))-1),TRIM(E3180)))</f>
        <v>India</v>
      </c>
      <c r="M3180" s="7" t="str">
        <f aca="false">IFERROR(LEFT(J3180,FIND(",",J3180)-1),J3180)</f>
        <v>Dramas</v>
      </c>
      <c r="N3180" s="7" t="n">
        <f aca="false">IF(B3180="Movie",IFERROR(VALUE(LEFT(I3180,FIND(" ",I3180)-1)),""),"")</f>
        <v>105</v>
      </c>
      <c r="O3180" s="7" t="str">
        <f aca="false">IF(B3180="TV Show",IFERROR(VALUE(LEFT(I3180,FIND(" ",I3180)-1)),""),"")</f>
        <v/>
      </c>
      <c r="P3180" s="7" t="n">
        <f aca="false">IF(K3180="","",K3180-G3180)</f>
        <v>1</v>
      </c>
    </row>
    <row r="3181" customFormat="false" ht="15" hidden="false" customHeight="false" outlineLevel="0" collapsed="false">
      <c r="A3181" s="7" t="n">
        <v>80085300</v>
      </c>
      <c r="B3181" s="7" t="s">
        <v>68</v>
      </c>
      <c r="C3181" s="7" t="s">
        <v>6710</v>
      </c>
      <c r="D3181" s="7" t="s">
        <v>6711</v>
      </c>
      <c r="E3181" s="7" t="s">
        <v>6712</v>
      </c>
      <c r="F3181" s="7" t="s">
        <v>6692</v>
      </c>
      <c r="G3181" s="7" t="n">
        <v>2015</v>
      </c>
      <c r="H3181" s="7" t="s">
        <v>53</v>
      </c>
      <c r="I3181" s="7" t="s">
        <v>779</v>
      </c>
      <c r="J3181" s="7" t="s">
        <v>304</v>
      </c>
      <c r="K3181" s="7" t="n">
        <f aca="false">IFERROR(VALUE(RIGHT(TRIM(F3181),4)),"")</f>
        <v>2016</v>
      </c>
      <c r="L3181" s="7" t="str">
        <f aca="false">IF(TRIM(E3181)="","Unknown",IFERROR(LEFT(TRIM(E3181),FIND(",",TRIM(E3181))-1),TRIM(E3181)))</f>
        <v>Croatia</v>
      </c>
      <c r="M3181" s="7" t="str">
        <f aca="false">IFERROR(LEFT(J3181,FIND(",",J3181)-1),J3181)</f>
        <v>Dramas</v>
      </c>
      <c r="N3181" s="7" t="n">
        <f aca="false">IF(B3181="Movie",IFERROR(VALUE(LEFT(I3181,FIND(" ",I3181)-1)),""),"")</f>
        <v>157</v>
      </c>
      <c r="O3181" s="7" t="str">
        <f aca="false">IF(B3181="TV Show",IFERROR(VALUE(LEFT(I3181,FIND(" ",I3181)-1)),""),"")</f>
        <v/>
      </c>
      <c r="P3181" s="7" t="n">
        <f aca="false">IF(K3181="","",K3181-G3181)</f>
        <v>1</v>
      </c>
    </row>
    <row r="3182" customFormat="false" ht="15" hidden="false" customHeight="false" outlineLevel="0" collapsed="false">
      <c r="A3182" s="7" t="n">
        <v>81214114</v>
      </c>
      <c r="B3182" s="7" t="s">
        <v>68</v>
      </c>
      <c r="C3182" s="7" t="s">
        <v>6713</v>
      </c>
      <c r="D3182" s="7" t="s">
        <v>1489</v>
      </c>
      <c r="E3182" s="7" t="s">
        <v>26</v>
      </c>
      <c r="F3182" s="7" t="s">
        <v>6714</v>
      </c>
      <c r="G3182" s="7" t="n">
        <v>2020</v>
      </c>
      <c r="H3182" s="7" t="s">
        <v>48</v>
      </c>
      <c r="I3182" s="7" t="s">
        <v>451</v>
      </c>
      <c r="J3182" s="7" t="s">
        <v>967</v>
      </c>
      <c r="K3182" s="7" t="n">
        <f aca="false">IFERROR(VALUE(RIGHT(TRIM(F3182),4)),"")</f>
        <v>2020</v>
      </c>
      <c r="L3182" s="7" t="str">
        <f aca="false">IF(TRIM(E3182)="","Unknown",IFERROR(LEFT(TRIM(E3182),FIND(",",TRIM(E3182))-1),TRIM(E3182)))</f>
        <v>United States</v>
      </c>
      <c r="M3182" s="7" t="str">
        <f aca="false">IFERROR(LEFT(J3182,FIND(",",J3182)-1),J3182)</f>
        <v>Action &amp; Adventure</v>
      </c>
      <c r="N3182" s="7" t="n">
        <f aca="false">IF(B3182="Movie",IFERROR(VALUE(LEFT(I3182,FIND(" ",I3182)-1)),""),"")</f>
        <v>97</v>
      </c>
      <c r="O3182" s="7" t="str">
        <f aca="false">IF(B3182="TV Show",IFERROR(VALUE(LEFT(I3182,FIND(" ",I3182)-1)),""),"")</f>
        <v/>
      </c>
      <c r="P3182" s="7" t="n">
        <f aca="false">IF(K3182="","",K3182-G3182)</f>
        <v>0</v>
      </c>
    </row>
    <row r="3183" customFormat="false" ht="15" hidden="false" customHeight="false" outlineLevel="0" collapsed="false">
      <c r="A3183" s="7" t="n">
        <v>81167492</v>
      </c>
      <c r="B3183" s="7" t="s">
        <v>68</v>
      </c>
      <c r="C3183" s="7" t="s">
        <v>6715</v>
      </c>
      <c r="D3183" s="7" t="s">
        <v>6716</v>
      </c>
      <c r="E3183" s="7" t="s">
        <v>28</v>
      </c>
      <c r="F3183" s="7" t="s">
        <v>6714</v>
      </c>
      <c r="G3183" s="7" t="n">
        <v>2019</v>
      </c>
      <c r="H3183" s="7" t="s">
        <v>49</v>
      </c>
      <c r="I3183" s="7" t="s">
        <v>421</v>
      </c>
      <c r="J3183" s="7" t="s">
        <v>1085</v>
      </c>
      <c r="K3183" s="7" t="n">
        <f aca="false">IFERROR(VALUE(RIGHT(TRIM(F3183),4)),"")</f>
        <v>2020</v>
      </c>
      <c r="L3183" s="7" t="str">
        <f aca="false">IF(TRIM(E3183)="","Unknown",IFERROR(LEFT(TRIM(E3183),FIND(",",TRIM(E3183))-1),TRIM(E3183)))</f>
        <v>United Kingdom</v>
      </c>
      <c r="M3183" s="7" t="str">
        <f aca="false">IFERROR(LEFT(J3183,FIND(",",J3183)-1),J3183)</f>
        <v>Documentaries</v>
      </c>
      <c r="N3183" s="7" t="n">
        <f aca="false">IF(B3183="Movie",IFERROR(VALUE(LEFT(I3183,FIND(" ",I3183)-1)),""),"")</f>
        <v>75</v>
      </c>
      <c r="O3183" s="7" t="str">
        <f aca="false">IF(B3183="TV Show",IFERROR(VALUE(LEFT(I3183,FIND(" ",I3183)-1)),""),"")</f>
        <v/>
      </c>
      <c r="P3183" s="7" t="n">
        <f aca="false">IF(K3183="","",K3183-G3183)</f>
        <v>1</v>
      </c>
    </row>
    <row r="3184" customFormat="false" ht="15" hidden="false" customHeight="false" outlineLevel="0" collapsed="false">
      <c r="A3184" s="7" t="n">
        <v>80198623</v>
      </c>
      <c r="B3184" s="7" t="s">
        <v>68</v>
      </c>
      <c r="C3184" s="7" t="s">
        <v>6717</v>
      </c>
      <c r="D3184" s="7" t="s">
        <v>6268</v>
      </c>
      <c r="E3184" s="7" t="s">
        <v>30</v>
      </c>
      <c r="F3184" s="7" t="s">
        <v>6718</v>
      </c>
      <c r="G3184" s="7" t="n">
        <v>2018</v>
      </c>
      <c r="H3184" s="7" t="s">
        <v>49</v>
      </c>
      <c r="I3184" s="7" t="s">
        <v>470</v>
      </c>
      <c r="J3184" s="7" t="s">
        <v>1032</v>
      </c>
      <c r="K3184" s="7" t="n">
        <f aca="false">IFERROR(VALUE(RIGHT(TRIM(F3184),4)),"")</f>
        <v>2019</v>
      </c>
      <c r="L3184" s="7" t="str">
        <f aca="false">IF(TRIM(E3184)="","Unknown",IFERROR(LEFT(TRIM(E3184),FIND(",",TRIM(E3184))-1),TRIM(E3184)))</f>
        <v>Japan</v>
      </c>
      <c r="M3184" s="7" t="str">
        <f aca="false">IFERROR(LEFT(J3184,FIND(",",J3184)-1),J3184)</f>
        <v>Action &amp; Adventure</v>
      </c>
      <c r="N3184" s="7" t="n">
        <f aca="false">IF(B3184="Movie",IFERROR(VALUE(LEFT(I3184,FIND(" ",I3184)-1)),""),"")</f>
        <v>91</v>
      </c>
      <c r="O3184" s="7" t="str">
        <f aca="false">IF(B3184="TV Show",IFERROR(VALUE(LEFT(I3184,FIND(" ",I3184)-1)),""),"")</f>
        <v/>
      </c>
      <c r="P3184" s="7" t="n">
        <f aca="false">IF(K3184="","",K3184-G3184)</f>
        <v>1</v>
      </c>
    </row>
    <row r="3185" customFormat="false" ht="15" hidden="false" customHeight="false" outlineLevel="0" collapsed="false">
      <c r="A3185" s="7" t="n">
        <v>81062853</v>
      </c>
      <c r="B3185" s="7" t="s">
        <v>68</v>
      </c>
      <c r="C3185" s="7" t="s">
        <v>6719</v>
      </c>
      <c r="D3185" s="7" t="s">
        <v>6720</v>
      </c>
      <c r="E3185" s="7" t="s">
        <v>27</v>
      </c>
      <c r="F3185" s="7" t="s">
        <v>6718</v>
      </c>
      <c r="G3185" s="7" t="n">
        <v>2018</v>
      </c>
      <c r="H3185" s="7" t="s">
        <v>49</v>
      </c>
      <c r="I3185" s="7" t="s">
        <v>386</v>
      </c>
      <c r="J3185" s="7" t="s">
        <v>217</v>
      </c>
      <c r="K3185" s="7" t="n">
        <f aca="false">IFERROR(VALUE(RIGHT(TRIM(F3185),4)),"")</f>
        <v>2019</v>
      </c>
      <c r="L3185" s="7" t="str">
        <f aca="false">IF(TRIM(E3185)="","Unknown",IFERROR(LEFT(TRIM(E3185),FIND(",",TRIM(E3185))-1),TRIM(E3185)))</f>
        <v>India</v>
      </c>
      <c r="M3185" s="7" t="str">
        <f aca="false">IFERROR(LEFT(J3185,FIND(",",J3185)-1),J3185)</f>
        <v>Comedies</v>
      </c>
      <c r="N3185" s="7" t="n">
        <f aca="false">IF(B3185="Movie",IFERROR(VALUE(LEFT(I3185,FIND(" ",I3185)-1)),""),"")</f>
        <v>117</v>
      </c>
      <c r="O3185" s="7" t="str">
        <f aca="false">IF(B3185="TV Show",IFERROR(VALUE(LEFT(I3185,FIND(" ",I3185)-1)),""),"")</f>
        <v/>
      </c>
      <c r="P3185" s="7" t="n">
        <f aca="false">IF(K3185="","",K3185-G3185)</f>
        <v>1</v>
      </c>
    </row>
    <row r="3186" customFormat="false" ht="15" hidden="false" customHeight="false" outlineLevel="0" collapsed="false">
      <c r="A3186" s="7" t="n">
        <v>80220814</v>
      </c>
      <c r="B3186" s="7" t="s">
        <v>68</v>
      </c>
      <c r="C3186" s="7" t="s">
        <v>6721</v>
      </c>
      <c r="D3186" s="7" t="s">
        <v>5881</v>
      </c>
      <c r="E3186" s="7" t="s">
        <v>26</v>
      </c>
      <c r="F3186" s="7" t="s">
        <v>6718</v>
      </c>
      <c r="G3186" s="7" t="n">
        <v>2018</v>
      </c>
      <c r="H3186" s="7" t="s">
        <v>52</v>
      </c>
      <c r="I3186" s="7" t="s">
        <v>130</v>
      </c>
      <c r="J3186" s="7" t="s">
        <v>5475</v>
      </c>
      <c r="K3186" s="7" t="n">
        <f aca="false">IFERROR(VALUE(RIGHT(TRIM(F3186),4)),"")</f>
        <v>2019</v>
      </c>
      <c r="L3186" s="7" t="str">
        <f aca="false">IF(TRIM(E3186)="","Unknown",IFERROR(LEFT(TRIM(E3186),FIND(",",TRIM(E3186))-1),TRIM(E3186)))</f>
        <v>United States</v>
      </c>
      <c r="M3186" s="7" t="str">
        <f aca="false">IFERROR(LEFT(J3186,FIND(",",J3186)-1),J3186)</f>
        <v>Action &amp; Adventure</v>
      </c>
      <c r="N3186" s="7" t="n">
        <f aca="false">IF(B3186="Movie",IFERROR(VALUE(LEFT(I3186,FIND(" ",I3186)-1)),""),"")</f>
        <v>135</v>
      </c>
      <c r="O3186" s="7" t="str">
        <f aca="false">IF(B3186="TV Show",IFERROR(VALUE(LEFT(I3186,FIND(" ",I3186)-1)),""),"")</f>
        <v/>
      </c>
      <c r="P3186" s="7" t="n">
        <f aca="false">IF(K3186="","",K3186-G3186)</f>
        <v>1</v>
      </c>
    </row>
    <row r="3187" customFormat="false" ht="15" hidden="false" customHeight="false" outlineLevel="0" collapsed="false">
      <c r="A3187" s="7" t="n">
        <v>81046962</v>
      </c>
      <c r="B3187" s="7" t="s">
        <v>68</v>
      </c>
      <c r="C3187" s="7" t="s">
        <v>6722</v>
      </c>
      <c r="D3187" s="7" t="s">
        <v>5881</v>
      </c>
      <c r="E3187" s="7" t="s">
        <v>26</v>
      </c>
      <c r="F3187" s="7" t="s">
        <v>6718</v>
      </c>
      <c r="G3187" s="7" t="n">
        <v>2018</v>
      </c>
      <c r="H3187" s="7" t="s">
        <v>52</v>
      </c>
      <c r="I3187" s="7" t="s">
        <v>130</v>
      </c>
      <c r="J3187" s="7" t="s">
        <v>5475</v>
      </c>
      <c r="K3187" s="7" t="n">
        <f aca="false">IFERROR(VALUE(RIGHT(TRIM(F3187),4)),"")</f>
        <v>2019</v>
      </c>
      <c r="L3187" s="7" t="str">
        <f aca="false">IF(TRIM(E3187)="","Unknown",IFERROR(LEFT(TRIM(E3187),FIND(",",TRIM(E3187))-1),TRIM(E3187)))</f>
        <v>United States</v>
      </c>
      <c r="M3187" s="7" t="str">
        <f aca="false">IFERROR(LEFT(J3187,FIND(",",J3187)-1),J3187)</f>
        <v>Action &amp; Adventure</v>
      </c>
      <c r="N3187" s="7" t="n">
        <f aca="false">IF(B3187="Movie",IFERROR(VALUE(LEFT(I3187,FIND(" ",I3187)-1)),""),"")</f>
        <v>135</v>
      </c>
      <c r="O3187" s="7" t="str">
        <f aca="false">IF(B3187="TV Show",IFERROR(VALUE(LEFT(I3187,FIND(" ",I3187)-1)),""),"")</f>
        <v/>
      </c>
      <c r="P3187" s="7" t="n">
        <f aca="false">IF(K3187="","",K3187-G3187)</f>
        <v>1</v>
      </c>
    </row>
    <row r="3188" customFormat="false" ht="15" hidden="false" customHeight="false" outlineLevel="0" collapsed="false">
      <c r="A3188" s="7" t="n">
        <v>80150242</v>
      </c>
      <c r="B3188" s="7" t="s">
        <v>68</v>
      </c>
      <c r="C3188" s="7" t="s">
        <v>6723</v>
      </c>
      <c r="D3188" s="7" t="s">
        <v>6724</v>
      </c>
      <c r="E3188" s="7" t="s">
        <v>230</v>
      </c>
      <c r="F3188" s="7" t="s">
        <v>6718</v>
      </c>
      <c r="G3188" s="7" t="n">
        <v>2016</v>
      </c>
      <c r="H3188" s="7" t="s">
        <v>51</v>
      </c>
      <c r="I3188" s="7" t="s">
        <v>470</v>
      </c>
      <c r="J3188" s="7" t="s">
        <v>652</v>
      </c>
      <c r="K3188" s="7" t="n">
        <f aca="false">IFERROR(VALUE(RIGHT(TRIM(F3188),4)),"")</f>
        <v>2019</v>
      </c>
      <c r="L3188" s="7" t="str">
        <f aca="false">IF(TRIM(E3188)="","Unknown",IFERROR(LEFT(TRIM(E3188),FIND(",",TRIM(E3188))-1),TRIM(E3188)))</f>
        <v>United States</v>
      </c>
      <c r="M3188" s="7" t="str">
        <f aca="false">IFERROR(LEFT(J3188,FIND(",",J3188)-1),J3188)</f>
        <v>Horror Movies</v>
      </c>
      <c r="N3188" s="7" t="n">
        <f aca="false">IF(B3188="Movie",IFERROR(VALUE(LEFT(I3188,FIND(" ",I3188)-1)),""),"")</f>
        <v>91</v>
      </c>
      <c r="O3188" s="7" t="str">
        <f aca="false">IF(B3188="TV Show",IFERROR(VALUE(LEFT(I3188,FIND(" ",I3188)-1)),""),"")</f>
        <v/>
      </c>
      <c r="P3188" s="7" t="n">
        <f aca="false">IF(K3188="","",K3188-G3188)</f>
        <v>3</v>
      </c>
    </row>
    <row r="3189" customFormat="false" ht="15" hidden="false" customHeight="false" outlineLevel="0" collapsed="false">
      <c r="A3189" s="7" t="n">
        <v>80213403</v>
      </c>
      <c r="B3189" s="7" t="s">
        <v>68</v>
      </c>
      <c r="C3189" s="7" t="s">
        <v>6725</v>
      </c>
      <c r="D3189" s="7" t="s">
        <v>6726</v>
      </c>
      <c r="E3189" s="7" t="s">
        <v>26</v>
      </c>
      <c r="F3189" s="7" t="s">
        <v>6727</v>
      </c>
      <c r="G3189" s="7" t="n">
        <v>2017</v>
      </c>
      <c r="H3189" s="7" t="s">
        <v>50</v>
      </c>
      <c r="I3189" s="7" t="s">
        <v>551</v>
      </c>
      <c r="J3189" s="7" t="s">
        <v>39</v>
      </c>
      <c r="K3189" s="7" t="n">
        <f aca="false">IFERROR(VALUE(RIGHT(TRIM(F3189),4)),"")</f>
        <v>2018</v>
      </c>
      <c r="L3189" s="7" t="str">
        <f aca="false">IF(TRIM(E3189)="","Unknown",IFERROR(LEFT(TRIM(E3189),FIND(",",TRIM(E3189))-1),TRIM(E3189)))</f>
        <v>United States</v>
      </c>
      <c r="M3189" s="7" t="str">
        <f aca="false">IFERROR(LEFT(J3189,FIND(",",J3189)-1),J3189)</f>
        <v>Documentaries</v>
      </c>
      <c r="N3189" s="7" t="n">
        <f aca="false">IF(B3189="Movie",IFERROR(VALUE(LEFT(I3189,FIND(" ",I3189)-1)),""),"")</f>
        <v>63</v>
      </c>
      <c r="O3189" s="7" t="str">
        <f aca="false">IF(B3189="TV Show",IFERROR(VALUE(LEFT(I3189,FIND(" ",I3189)-1)),""),"")</f>
        <v/>
      </c>
      <c r="P3189" s="7" t="n">
        <f aca="false">IF(K3189="","",K3189-G3189)</f>
        <v>1</v>
      </c>
    </row>
    <row r="3190" customFormat="false" ht="15" hidden="false" customHeight="false" outlineLevel="0" collapsed="false">
      <c r="A3190" s="7" t="n">
        <v>80233024</v>
      </c>
      <c r="B3190" s="7" t="s">
        <v>68</v>
      </c>
      <c r="C3190" s="7" t="s">
        <v>6728</v>
      </c>
      <c r="D3190" s="7" t="s">
        <v>6729</v>
      </c>
      <c r="E3190" s="7" t="s">
        <v>27</v>
      </c>
      <c r="F3190" s="7" t="s">
        <v>6727</v>
      </c>
      <c r="G3190" s="7" t="n">
        <v>2017</v>
      </c>
      <c r="H3190" s="7" t="s">
        <v>49</v>
      </c>
      <c r="I3190" s="7" t="s">
        <v>130</v>
      </c>
      <c r="J3190" s="7" t="s">
        <v>1014</v>
      </c>
      <c r="K3190" s="7" t="n">
        <f aca="false">IFERROR(VALUE(RIGHT(TRIM(F3190),4)),"")</f>
        <v>2018</v>
      </c>
      <c r="L3190" s="7" t="str">
        <f aca="false">IF(TRIM(E3190)="","Unknown",IFERROR(LEFT(TRIM(E3190),FIND(",",TRIM(E3190))-1),TRIM(E3190)))</f>
        <v>India</v>
      </c>
      <c r="M3190" s="7" t="str">
        <f aca="false">IFERROR(LEFT(J3190,FIND(",",J3190)-1),J3190)</f>
        <v>Horror Movies</v>
      </c>
      <c r="N3190" s="7" t="n">
        <f aca="false">IF(B3190="Movie",IFERROR(VALUE(LEFT(I3190,FIND(" ",I3190)-1)),""),"")</f>
        <v>135</v>
      </c>
      <c r="O3190" s="7" t="str">
        <f aca="false">IF(B3190="TV Show",IFERROR(VALUE(LEFT(I3190,FIND(" ",I3190)-1)),""),"")</f>
        <v/>
      </c>
      <c r="P3190" s="7" t="n">
        <f aca="false">IF(K3190="","",K3190-G3190)</f>
        <v>1</v>
      </c>
    </row>
    <row r="3191" customFormat="false" ht="15" hidden="false" customHeight="false" outlineLevel="0" collapsed="false">
      <c r="A3191" s="7" t="n">
        <v>81039393</v>
      </c>
      <c r="B3191" s="7" t="s">
        <v>78</v>
      </c>
      <c r="C3191" s="7" t="s">
        <v>6730</v>
      </c>
      <c r="E3191" s="7" t="s">
        <v>26</v>
      </c>
      <c r="F3191" s="7" t="s">
        <v>6731</v>
      </c>
      <c r="G3191" s="7" t="n">
        <v>2020</v>
      </c>
      <c r="H3191" s="7" t="s">
        <v>48</v>
      </c>
      <c r="I3191" s="7" t="s">
        <v>82</v>
      </c>
      <c r="J3191" s="7" t="s">
        <v>6732</v>
      </c>
      <c r="K3191" s="7" t="n">
        <f aca="false">IFERROR(VALUE(RIGHT(TRIM(F3191),4)),"")</f>
        <v>2020</v>
      </c>
      <c r="L3191" s="7" t="str">
        <f aca="false">IF(TRIM(E3191)="","Unknown",IFERROR(LEFT(TRIM(E3191),FIND(",",TRIM(E3191))-1),TRIM(E3191)))</f>
        <v>United States</v>
      </c>
      <c r="M3191" s="7" t="str">
        <f aca="false">IFERROR(LEFT(J3191,FIND(",",J3191)-1),J3191)</f>
        <v>Docuseries</v>
      </c>
      <c r="N3191" s="7" t="str">
        <f aca="false">IF(B3191="Movie",IFERROR(VALUE(LEFT(I3191,FIND(" ",I3191)-1)),""),"")</f>
        <v/>
      </c>
      <c r="O3191" s="7" t="n">
        <f aca="false">IF(B3191="TV Show",IFERROR(VALUE(LEFT(I3191,FIND(" ",I3191)-1)),""),"")</f>
        <v>1</v>
      </c>
      <c r="P3191" s="7" t="n">
        <f aca="false">IF(K3191="","",K3191-G3191)</f>
        <v>0</v>
      </c>
    </row>
    <row r="3192" customFormat="false" ht="15" hidden="false" customHeight="false" outlineLevel="0" collapsed="false">
      <c r="A3192" s="7" t="n">
        <v>1193180</v>
      </c>
      <c r="B3192" s="7" t="s">
        <v>68</v>
      </c>
      <c r="C3192" s="7" t="s">
        <v>6733</v>
      </c>
      <c r="D3192" s="7" t="s">
        <v>6734</v>
      </c>
      <c r="E3192" s="7" t="s">
        <v>28</v>
      </c>
      <c r="F3192" s="7" t="s">
        <v>6735</v>
      </c>
      <c r="G3192" s="7" t="n">
        <v>1998</v>
      </c>
      <c r="H3192" s="7" t="s">
        <v>51</v>
      </c>
      <c r="I3192" s="7" t="s">
        <v>111</v>
      </c>
      <c r="J3192" s="7" t="s">
        <v>509</v>
      </c>
      <c r="K3192" s="7" t="n">
        <f aca="false">IFERROR(VALUE(RIGHT(TRIM(F3192),4)),"")</f>
        <v>2019</v>
      </c>
      <c r="L3192" s="7" t="str">
        <f aca="false">IF(TRIM(E3192)="","Unknown",IFERROR(LEFT(TRIM(E3192),FIND(",",TRIM(E3192))-1),TRIM(E3192)))</f>
        <v>United Kingdom</v>
      </c>
      <c r="M3192" s="7" t="str">
        <f aca="false">IFERROR(LEFT(J3192,FIND(",",J3192)-1),J3192)</f>
        <v>Documentaries</v>
      </c>
      <c r="N3192" s="7" t="n">
        <f aca="false">IF(B3192="Movie",IFERROR(VALUE(LEFT(I3192,FIND(" ",I3192)-1)),""),"")</f>
        <v>95</v>
      </c>
      <c r="O3192" s="7" t="str">
        <f aca="false">IF(B3192="TV Show",IFERROR(VALUE(LEFT(I3192,FIND(" ",I3192)-1)),""),"")</f>
        <v/>
      </c>
      <c r="P3192" s="7" t="n">
        <f aca="false">IF(K3192="","",K3192-G3192)</f>
        <v>21</v>
      </c>
    </row>
    <row r="3193" customFormat="false" ht="15" hidden="false" customHeight="false" outlineLevel="0" collapsed="false">
      <c r="A3193" s="7" t="n">
        <v>70251894</v>
      </c>
      <c r="B3193" s="7" t="s">
        <v>68</v>
      </c>
      <c r="C3193" s="7" t="s">
        <v>6736</v>
      </c>
      <c r="D3193" s="7" t="s">
        <v>3519</v>
      </c>
      <c r="E3193" s="7" t="s">
        <v>26</v>
      </c>
      <c r="F3193" s="7" t="s">
        <v>6737</v>
      </c>
      <c r="G3193" s="7" t="n">
        <v>2013</v>
      </c>
      <c r="H3193" s="7" t="s">
        <v>51</v>
      </c>
      <c r="I3193" s="7" t="s">
        <v>168</v>
      </c>
      <c r="J3193" s="7" t="s">
        <v>147</v>
      </c>
      <c r="K3193" s="7" t="n">
        <f aca="false">IFERROR(VALUE(RIGHT(TRIM(F3193),4)),"")</f>
        <v>2018</v>
      </c>
      <c r="L3193" s="7" t="str">
        <f aca="false">IF(TRIM(E3193)="","Unknown",IFERROR(LEFT(TRIM(E3193),FIND(",",TRIM(E3193))-1),TRIM(E3193)))</f>
        <v>United States</v>
      </c>
      <c r="M3193" s="7" t="str">
        <f aca="false">IFERROR(LEFT(J3193,FIND(",",J3193)-1),J3193)</f>
        <v>Horror Movies</v>
      </c>
      <c r="N3193" s="7" t="n">
        <f aca="false">IF(B3193="Movie",IFERROR(VALUE(LEFT(I3193,FIND(" ",I3193)-1)),""),"")</f>
        <v>112</v>
      </c>
      <c r="O3193" s="7" t="str">
        <f aca="false">IF(B3193="TV Show",IFERROR(VALUE(LEFT(I3193,FIND(" ",I3193)-1)),""),"")</f>
        <v/>
      </c>
      <c r="P3193" s="7" t="n">
        <f aca="false">IF(K3193="","",K3193-G3193)</f>
        <v>5</v>
      </c>
    </row>
    <row r="3194" customFormat="false" ht="15" hidden="false" customHeight="false" outlineLevel="0" collapsed="false">
      <c r="A3194" s="7" t="n">
        <v>80180619</v>
      </c>
      <c r="B3194" s="7" t="s">
        <v>78</v>
      </c>
      <c r="C3194" s="7" t="s">
        <v>6738</v>
      </c>
      <c r="F3194" s="7" t="s">
        <v>6737</v>
      </c>
      <c r="G3194" s="7" t="n">
        <v>2016</v>
      </c>
      <c r="H3194" s="7" t="s">
        <v>49</v>
      </c>
      <c r="I3194" s="7" t="s">
        <v>82</v>
      </c>
      <c r="J3194" s="7" t="s">
        <v>158</v>
      </c>
      <c r="K3194" s="7" t="n">
        <f aca="false">IFERROR(VALUE(RIGHT(TRIM(F3194),4)),"")</f>
        <v>2018</v>
      </c>
      <c r="L3194" s="7" t="str">
        <f aca="false">IF(TRIM(E3194)="","Unknown",IFERROR(LEFT(TRIM(E3194),FIND(",",TRIM(E3194))-1),TRIM(E3194)))</f>
        <v>Unknown</v>
      </c>
      <c r="M3194" s="7" t="str">
        <f aca="false">IFERROR(LEFT(J3194,FIND(",",J3194)-1),J3194)</f>
        <v>International TV Shows</v>
      </c>
      <c r="N3194" s="7" t="str">
        <f aca="false">IF(B3194="Movie",IFERROR(VALUE(LEFT(I3194,FIND(" ",I3194)-1)),""),"")</f>
        <v/>
      </c>
      <c r="O3194" s="7" t="n">
        <f aca="false">IF(B3194="TV Show",IFERROR(VALUE(LEFT(I3194,FIND(" ",I3194)-1)),""),"")</f>
        <v>1</v>
      </c>
      <c r="P3194" s="7" t="n">
        <f aca="false">IF(K3194="","",K3194-G3194)</f>
        <v>2</v>
      </c>
    </row>
    <row r="3195" customFormat="false" ht="15" hidden="false" customHeight="false" outlineLevel="0" collapsed="false">
      <c r="A3195" s="7" t="n">
        <v>80077923</v>
      </c>
      <c r="B3195" s="7" t="s">
        <v>68</v>
      </c>
      <c r="C3195" s="7" t="s">
        <v>6739</v>
      </c>
      <c r="D3195" s="7" t="s">
        <v>1621</v>
      </c>
      <c r="E3195" s="7" t="s">
        <v>26</v>
      </c>
      <c r="F3195" s="7" t="s">
        <v>6740</v>
      </c>
      <c r="G3195" s="7" t="n">
        <v>2016</v>
      </c>
      <c r="H3195" s="7" t="s">
        <v>48</v>
      </c>
      <c r="I3195" s="7" t="s">
        <v>1221</v>
      </c>
      <c r="J3195" s="7" t="s">
        <v>45</v>
      </c>
      <c r="K3195" s="7" t="n">
        <f aca="false">IFERROR(VALUE(RIGHT(TRIM(F3195),4)),"")</f>
        <v>2016</v>
      </c>
      <c r="L3195" s="7" t="str">
        <f aca="false">IF(TRIM(E3195)="","Unknown",IFERROR(LEFT(TRIM(E3195),FIND(",",TRIM(E3195))-1),TRIM(E3195)))</f>
        <v>United States</v>
      </c>
      <c r="M3195" s="7" t="str">
        <f aca="false">IFERROR(LEFT(J3195,FIND(",",J3195)-1),J3195)</f>
        <v>Stand-Up Comedy</v>
      </c>
      <c r="N3195" s="7" t="n">
        <f aca="false">IF(B3195="Movie",IFERROR(VALUE(LEFT(I3195,FIND(" ",I3195)-1)),""),"")</f>
        <v>74</v>
      </c>
      <c r="O3195" s="7" t="str">
        <f aca="false">IF(B3195="TV Show",IFERROR(VALUE(LEFT(I3195,FIND(" ",I3195)-1)),""),"")</f>
        <v/>
      </c>
      <c r="P3195" s="7" t="n">
        <f aca="false">IF(K3195="","",K3195-G3195)</f>
        <v>0</v>
      </c>
    </row>
    <row r="3196" customFormat="false" ht="15" hidden="false" customHeight="false" outlineLevel="0" collapsed="false">
      <c r="A3196" s="7" t="n">
        <v>80173542</v>
      </c>
      <c r="B3196" s="7" t="s">
        <v>68</v>
      </c>
      <c r="C3196" s="7" t="s">
        <v>6741</v>
      </c>
      <c r="D3196" s="7" t="s">
        <v>6742</v>
      </c>
      <c r="E3196" s="7" t="s">
        <v>26</v>
      </c>
      <c r="F3196" s="7" t="s">
        <v>6743</v>
      </c>
      <c r="G3196" s="7" t="n">
        <v>2017</v>
      </c>
      <c r="H3196" s="7" t="s">
        <v>51</v>
      </c>
      <c r="I3196" s="7" t="s">
        <v>311</v>
      </c>
      <c r="J3196" s="7" t="s">
        <v>150</v>
      </c>
      <c r="K3196" s="7" t="n">
        <f aca="false">IFERROR(VALUE(RIGHT(TRIM(F3196),4)),"")</f>
        <v>2020</v>
      </c>
      <c r="L3196" s="7" t="str">
        <f aca="false">IF(TRIM(E3196)="","Unknown",IFERROR(LEFT(TRIM(E3196),FIND(",",TRIM(E3196))-1),TRIM(E3196)))</f>
        <v>United States</v>
      </c>
      <c r="M3196" s="7" t="str">
        <f aca="false">IFERROR(LEFT(J3196,FIND(",",J3196)-1),J3196)</f>
        <v>Dramas</v>
      </c>
      <c r="N3196" s="7" t="n">
        <f aca="false">IF(B3196="Movie",IFERROR(VALUE(LEFT(I3196,FIND(" ",I3196)-1)),""),"")</f>
        <v>92</v>
      </c>
      <c r="O3196" s="7" t="str">
        <f aca="false">IF(B3196="TV Show",IFERROR(VALUE(LEFT(I3196,FIND(" ",I3196)-1)),""),"")</f>
        <v/>
      </c>
      <c r="P3196" s="7" t="n">
        <f aca="false">IF(K3196="","",K3196-G3196)</f>
        <v>3</v>
      </c>
    </row>
    <row r="3197" customFormat="false" ht="15" hidden="false" customHeight="false" outlineLevel="0" collapsed="false">
      <c r="A3197" s="7" t="n">
        <v>80233408</v>
      </c>
      <c r="B3197" s="7" t="s">
        <v>68</v>
      </c>
      <c r="C3197" s="7" t="s">
        <v>6744</v>
      </c>
      <c r="D3197" s="7" t="s">
        <v>5236</v>
      </c>
      <c r="E3197" s="7" t="s">
        <v>33</v>
      </c>
      <c r="F3197" s="7" t="s">
        <v>6743</v>
      </c>
      <c r="G3197" s="7" t="n">
        <v>2020</v>
      </c>
      <c r="H3197" s="7" t="s">
        <v>48</v>
      </c>
      <c r="I3197" s="7" t="s">
        <v>181</v>
      </c>
      <c r="J3197" s="7" t="s">
        <v>217</v>
      </c>
      <c r="K3197" s="7" t="n">
        <f aca="false">IFERROR(VALUE(RIGHT(TRIM(F3197),4)),"")</f>
        <v>2020</v>
      </c>
      <c r="L3197" s="7" t="str">
        <f aca="false">IF(TRIM(E3197)="","Unknown",IFERROR(LEFT(TRIM(E3197),FIND(",",TRIM(E3197))-1),TRIM(E3197)))</f>
        <v>Spain</v>
      </c>
      <c r="M3197" s="7" t="str">
        <f aca="false">IFERROR(LEFT(J3197,FIND(",",J3197)-1),J3197)</f>
        <v>Comedies</v>
      </c>
      <c r="N3197" s="7" t="n">
        <f aca="false">IF(B3197="Movie",IFERROR(VALUE(LEFT(I3197,FIND(" ",I3197)-1)),""),"")</f>
        <v>102</v>
      </c>
      <c r="O3197" s="7" t="str">
        <f aca="false">IF(B3197="TV Show",IFERROR(VALUE(LEFT(I3197,FIND(" ",I3197)-1)),""),"")</f>
        <v/>
      </c>
      <c r="P3197" s="7" t="n">
        <f aca="false">IF(K3197="","",K3197-G3197)</f>
        <v>0</v>
      </c>
    </row>
    <row r="3198" customFormat="false" ht="15" hidden="false" customHeight="false" outlineLevel="0" collapsed="false">
      <c r="A3198" s="7" t="n">
        <v>70142888</v>
      </c>
      <c r="B3198" s="7" t="s">
        <v>68</v>
      </c>
      <c r="C3198" s="7" t="s">
        <v>6745</v>
      </c>
      <c r="D3198" s="7" t="s">
        <v>4816</v>
      </c>
      <c r="E3198" s="7" t="s">
        <v>6746</v>
      </c>
      <c r="F3198" s="7" t="s">
        <v>6743</v>
      </c>
      <c r="G3198" s="7" t="n">
        <v>2010</v>
      </c>
      <c r="H3198" s="7" t="s">
        <v>52</v>
      </c>
      <c r="I3198" s="7" t="s">
        <v>330</v>
      </c>
      <c r="J3198" s="7" t="s">
        <v>953</v>
      </c>
      <c r="K3198" s="7" t="n">
        <f aca="false">IFERROR(VALUE(RIGHT(TRIM(F3198),4)),"")</f>
        <v>2020</v>
      </c>
      <c r="L3198" s="7" t="str">
        <f aca="false">IF(TRIM(E3198)="","Unknown",IFERROR(LEFT(TRIM(E3198),FIND(",",TRIM(E3198))-1),TRIM(E3198)))</f>
        <v>United States</v>
      </c>
      <c r="M3198" s="7" t="str">
        <f aca="false">IFERROR(LEFT(J3198,FIND(",",J3198)-1),J3198)</f>
        <v>Action &amp; Adventure</v>
      </c>
      <c r="N3198" s="7" t="n">
        <f aca="false">IF(B3198="Movie",IFERROR(VALUE(LEFT(I3198,FIND(" ",I3198)-1)),""),"")</f>
        <v>103</v>
      </c>
      <c r="O3198" s="7" t="str">
        <f aca="false">IF(B3198="TV Show",IFERROR(VALUE(LEFT(I3198,FIND(" ",I3198)-1)),""),"")</f>
        <v/>
      </c>
      <c r="P3198" s="7" t="n">
        <f aca="false">IF(K3198="","",K3198-G3198)</f>
        <v>10</v>
      </c>
    </row>
    <row r="3199" customFormat="false" ht="15" hidden="false" customHeight="false" outlineLevel="0" collapsed="false">
      <c r="A3199" s="7" t="n">
        <v>81005561</v>
      </c>
      <c r="B3199" s="7" t="s">
        <v>68</v>
      </c>
      <c r="C3199" s="7" t="s">
        <v>6747</v>
      </c>
      <c r="D3199" s="7" t="s">
        <v>6748</v>
      </c>
      <c r="E3199" s="7" t="s">
        <v>29</v>
      </c>
      <c r="F3199" s="7" t="s">
        <v>6749</v>
      </c>
      <c r="G3199" s="7" t="n">
        <v>2018</v>
      </c>
      <c r="H3199" s="7" t="s">
        <v>50</v>
      </c>
      <c r="I3199" s="7" t="s">
        <v>421</v>
      </c>
      <c r="J3199" s="7" t="s">
        <v>341</v>
      </c>
      <c r="K3199" s="7" t="n">
        <f aca="false">IFERROR(VALUE(RIGHT(TRIM(F3199),4)),"")</f>
        <v>2019</v>
      </c>
      <c r="L3199" s="7" t="str">
        <f aca="false">IF(TRIM(E3199)="","Unknown",IFERROR(LEFT(TRIM(E3199),FIND(",",TRIM(E3199))-1),TRIM(E3199)))</f>
        <v>Canada</v>
      </c>
      <c r="M3199" s="7" t="str">
        <f aca="false">IFERROR(LEFT(J3199,FIND(",",J3199)-1),J3199)</f>
        <v>Documentaries</v>
      </c>
      <c r="N3199" s="7" t="n">
        <f aca="false">IF(B3199="Movie",IFERROR(VALUE(LEFT(I3199,FIND(" ",I3199)-1)),""),"")</f>
        <v>75</v>
      </c>
      <c r="O3199" s="7" t="str">
        <f aca="false">IF(B3199="TV Show",IFERROR(VALUE(LEFT(I3199,FIND(" ",I3199)-1)),""),"")</f>
        <v/>
      </c>
      <c r="P3199" s="7" t="n">
        <f aca="false">IF(K3199="","",K3199-G3199)</f>
        <v>1</v>
      </c>
    </row>
    <row r="3200" customFormat="false" ht="15" hidden="false" customHeight="false" outlineLevel="0" collapsed="false">
      <c r="A3200" s="7" t="n">
        <v>81048548</v>
      </c>
      <c r="B3200" s="7" t="s">
        <v>68</v>
      </c>
      <c r="C3200" s="7" t="s">
        <v>6750</v>
      </c>
      <c r="D3200" s="7" t="s">
        <v>6751</v>
      </c>
      <c r="E3200" s="7" t="s">
        <v>6752</v>
      </c>
      <c r="F3200" s="7" t="s">
        <v>6749</v>
      </c>
      <c r="G3200" s="7" t="n">
        <v>2018</v>
      </c>
      <c r="H3200" s="7" t="s">
        <v>49</v>
      </c>
      <c r="I3200" s="7" t="s">
        <v>111</v>
      </c>
      <c r="J3200" s="7" t="s">
        <v>188</v>
      </c>
      <c r="K3200" s="7" t="n">
        <f aca="false">IFERROR(VALUE(RIGHT(TRIM(F3200),4)),"")</f>
        <v>2019</v>
      </c>
      <c r="L3200" s="7" t="str">
        <f aca="false">IF(TRIM(E3200)="","Unknown",IFERROR(LEFT(TRIM(E3200),FIND(",",TRIM(E3200))-1),TRIM(E3200)))</f>
        <v>Bangladesh</v>
      </c>
      <c r="M3200" s="7" t="str">
        <f aca="false">IFERROR(LEFT(J3200,FIND(",",J3200)-1),J3200)</f>
        <v>Dramas</v>
      </c>
      <c r="N3200" s="7" t="n">
        <f aca="false">IF(B3200="Movie",IFERROR(VALUE(LEFT(I3200,FIND(" ",I3200)-1)),""),"")</f>
        <v>95</v>
      </c>
      <c r="O3200" s="7" t="str">
        <f aca="false">IF(B3200="TV Show",IFERROR(VALUE(LEFT(I3200,FIND(" ",I3200)-1)),""),"")</f>
        <v/>
      </c>
      <c r="P3200" s="7" t="n">
        <f aca="false">IF(K3200="","",K3200-G3200)</f>
        <v>1</v>
      </c>
    </row>
    <row r="3201" customFormat="false" ht="15" hidden="false" customHeight="false" outlineLevel="0" collapsed="false">
      <c r="A3201" s="7" t="n">
        <v>81045052</v>
      </c>
      <c r="B3201" s="7" t="s">
        <v>68</v>
      </c>
      <c r="C3201" s="7" t="s">
        <v>6753</v>
      </c>
      <c r="D3201" s="7" t="s">
        <v>6754</v>
      </c>
      <c r="E3201" s="7" t="s">
        <v>6755</v>
      </c>
      <c r="F3201" s="7" t="s">
        <v>6749</v>
      </c>
      <c r="G3201" s="7" t="n">
        <v>2018</v>
      </c>
      <c r="H3201" s="7" t="s">
        <v>50</v>
      </c>
      <c r="I3201" s="7" t="s">
        <v>437</v>
      </c>
      <c r="J3201" s="7" t="s">
        <v>217</v>
      </c>
      <c r="K3201" s="7" t="n">
        <f aca="false">IFERROR(VALUE(RIGHT(TRIM(F3201),4)),"")</f>
        <v>2019</v>
      </c>
      <c r="L3201" s="7" t="str">
        <f aca="false">IF(TRIM(E3201)="","Unknown",IFERROR(LEFT(TRIM(E3201),FIND(",",TRIM(E3201))-1),TRIM(E3201)))</f>
        <v>India</v>
      </c>
      <c r="M3201" s="7" t="str">
        <f aca="false">IFERROR(LEFT(J3201,FIND(",",J3201)-1),J3201)</f>
        <v>Comedies</v>
      </c>
      <c r="N3201" s="7" t="n">
        <f aca="false">IF(B3201="Movie",IFERROR(VALUE(LEFT(I3201,FIND(" ",I3201)-1)),""),"")</f>
        <v>82</v>
      </c>
      <c r="O3201" s="7" t="str">
        <f aca="false">IF(B3201="TV Show",IFERROR(VALUE(LEFT(I3201,FIND(" ",I3201)-1)),""),"")</f>
        <v/>
      </c>
      <c r="P3201" s="7" t="n">
        <f aca="false">IF(K3201="","",K3201-G3201)</f>
        <v>1</v>
      </c>
    </row>
    <row r="3202" customFormat="false" ht="15" hidden="false" customHeight="false" outlineLevel="0" collapsed="false">
      <c r="A3202" s="7" t="n">
        <v>80079428</v>
      </c>
      <c r="B3202" s="7" t="s">
        <v>68</v>
      </c>
      <c r="C3202" s="7" t="s">
        <v>6756</v>
      </c>
      <c r="D3202" s="7" t="s">
        <v>6757</v>
      </c>
      <c r="E3202" s="7" t="s">
        <v>26</v>
      </c>
      <c r="F3202" s="7" t="s">
        <v>6758</v>
      </c>
      <c r="G3202" s="7" t="n">
        <v>2015</v>
      </c>
      <c r="H3202" s="7" t="s">
        <v>48</v>
      </c>
      <c r="I3202" s="7" t="s">
        <v>77</v>
      </c>
      <c r="J3202" s="7" t="s">
        <v>509</v>
      </c>
      <c r="K3202" s="7" t="n">
        <f aca="false">IFERROR(VALUE(RIGHT(TRIM(F3202),4)),"")</f>
        <v>2017</v>
      </c>
      <c r="L3202" s="7" t="str">
        <f aca="false">IF(TRIM(E3202)="","Unknown",IFERROR(LEFT(TRIM(E3202),FIND(",",TRIM(E3202))-1),TRIM(E3202)))</f>
        <v>United States</v>
      </c>
      <c r="M3202" s="7" t="str">
        <f aca="false">IFERROR(LEFT(J3202,FIND(",",J3202)-1),J3202)</f>
        <v>Documentaries</v>
      </c>
      <c r="N3202" s="7" t="n">
        <f aca="false">IF(B3202="Movie",IFERROR(VALUE(LEFT(I3202,FIND(" ",I3202)-1)),""),"")</f>
        <v>94</v>
      </c>
      <c r="O3202" s="7" t="str">
        <f aca="false">IF(B3202="TV Show",IFERROR(VALUE(LEFT(I3202,FIND(" ",I3202)-1)),""),"")</f>
        <v/>
      </c>
      <c r="P3202" s="7" t="n">
        <f aca="false">IF(K3202="","",K3202-G3202)</f>
        <v>2</v>
      </c>
    </row>
    <row r="3203" customFormat="false" ht="15" hidden="false" customHeight="false" outlineLevel="0" collapsed="false">
      <c r="A3203" s="7" t="n">
        <v>80096786</v>
      </c>
      <c r="B3203" s="7" t="s">
        <v>68</v>
      </c>
      <c r="C3203" s="7" t="s">
        <v>6759</v>
      </c>
      <c r="D3203" s="7" t="s">
        <v>6760</v>
      </c>
      <c r="E3203" s="7" t="s">
        <v>6761</v>
      </c>
      <c r="F3203" s="7" t="s">
        <v>6758</v>
      </c>
      <c r="G3203" s="7" t="n">
        <v>2016</v>
      </c>
      <c r="H3203" s="7" t="s">
        <v>52</v>
      </c>
      <c r="I3203" s="7" t="s">
        <v>613</v>
      </c>
      <c r="J3203" s="7" t="s">
        <v>1014</v>
      </c>
      <c r="K3203" s="7" t="n">
        <f aca="false">IFERROR(VALUE(RIGHT(TRIM(F3203),4)),"")</f>
        <v>2017</v>
      </c>
      <c r="L3203" s="7" t="str">
        <f aca="false">IF(TRIM(E3203)="","Unknown",IFERROR(LEFT(TRIM(E3203),FIND(",",TRIM(E3203))-1),TRIM(E3203)))</f>
        <v>United Kingdom</v>
      </c>
      <c r="M3203" s="7" t="str">
        <f aca="false">IFERROR(LEFT(J3203,FIND(",",J3203)-1),J3203)</f>
        <v>Horror Movies</v>
      </c>
      <c r="N3203" s="7" t="n">
        <f aca="false">IF(B3203="Movie",IFERROR(VALUE(LEFT(I3203,FIND(" ",I3203)-1)),""),"")</f>
        <v>84</v>
      </c>
      <c r="O3203" s="7" t="str">
        <f aca="false">IF(B3203="TV Show",IFERROR(VALUE(LEFT(I3203,FIND(" ",I3203)-1)),""),"")</f>
        <v/>
      </c>
      <c r="P3203" s="7" t="n">
        <f aca="false">IF(K3203="","",K3203-G3203)</f>
        <v>1</v>
      </c>
    </row>
    <row r="3204" customFormat="false" ht="15" hidden="false" customHeight="false" outlineLevel="0" collapsed="false">
      <c r="A3204" s="7" t="n">
        <v>80200744</v>
      </c>
      <c r="B3204" s="7" t="s">
        <v>68</v>
      </c>
      <c r="C3204" s="7" t="s">
        <v>6762</v>
      </c>
      <c r="D3204" s="7" t="s">
        <v>6763</v>
      </c>
      <c r="E3204" s="7" t="s">
        <v>230</v>
      </c>
      <c r="F3204" s="7" t="s">
        <v>6764</v>
      </c>
      <c r="G3204" s="7" t="n">
        <v>2016</v>
      </c>
      <c r="H3204" s="7" t="s">
        <v>49</v>
      </c>
      <c r="I3204" s="7" t="s">
        <v>264</v>
      </c>
      <c r="J3204" s="7" t="s">
        <v>39</v>
      </c>
      <c r="K3204" s="7" t="n">
        <f aca="false">IFERROR(VALUE(RIGHT(TRIM(F3204),4)),"")</f>
        <v>2018</v>
      </c>
      <c r="L3204" s="7" t="str">
        <f aca="false">IF(TRIM(E3204)="","Unknown",IFERROR(LEFT(TRIM(E3204),FIND(",",TRIM(E3204))-1),TRIM(E3204)))</f>
        <v>United States</v>
      </c>
      <c r="M3204" s="7" t="str">
        <f aca="false">IFERROR(LEFT(J3204,FIND(",",J3204)-1),J3204)</f>
        <v>Documentaries</v>
      </c>
      <c r="N3204" s="7" t="n">
        <f aca="false">IF(B3204="Movie",IFERROR(VALUE(LEFT(I3204,FIND(" ",I3204)-1)),""),"")</f>
        <v>88</v>
      </c>
      <c r="O3204" s="7" t="str">
        <f aca="false">IF(B3204="TV Show",IFERROR(VALUE(LEFT(I3204,FIND(" ",I3204)-1)),""),"")</f>
        <v/>
      </c>
      <c r="P3204" s="7" t="n">
        <f aca="false">IF(K3204="","",K3204-G3204)</f>
        <v>2</v>
      </c>
    </row>
    <row r="3205" customFormat="false" ht="15" hidden="false" customHeight="false" outlineLevel="0" collapsed="false">
      <c r="A3205" s="7" t="n">
        <v>80097725</v>
      </c>
      <c r="B3205" s="7" t="s">
        <v>68</v>
      </c>
      <c r="C3205" s="7" t="s">
        <v>6765</v>
      </c>
      <c r="D3205" s="7" t="s">
        <v>6766</v>
      </c>
      <c r="E3205" s="7" t="s">
        <v>26</v>
      </c>
      <c r="F3205" s="7" t="s">
        <v>6767</v>
      </c>
      <c r="G3205" s="7" t="n">
        <v>2017</v>
      </c>
      <c r="H3205" s="7" t="s">
        <v>49</v>
      </c>
      <c r="I3205" s="7" t="s">
        <v>134</v>
      </c>
      <c r="J3205" s="7" t="s">
        <v>295</v>
      </c>
      <c r="K3205" s="7" t="n">
        <f aca="false">IFERROR(VALUE(RIGHT(TRIM(F3205),4)),"")</f>
        <v>2017</v>
      </c>
      <c r="L3205" s="7" t="str">
        <f aca="false">IF(TRIM(E3205)="","Unknown",IFERROR(LEFT(TRIM(E3205),FIND(",",TRIM(E3205))-1),TRIM(E3205)))</f>
        <v>United States</v>
      </c>
      <c r="M3205" s="7" t="str">
        <f aca="false">IFERROR(LEFT(J3205,FIND(",",J3205)-1),J3205)</f>
        <v>Children &amp; Family Movies</v>
      </c>
      <c r="N3205" s="7" t="n">
        <f aca="false">IF(B3205="Movie",IFERROR(VALUE(LEFT(I3205,FIND(" ",I3205)-1)),""),"")</f>
        <v>98</v>
      </c>
      <c r="O3205" s="7" t="str">
        <f aca="false">IF(B3205="TV Show",IFERROR(VALUE(LEFT(I3205,FIND(" ",I3205)-1)),""),"")</f>
        <v/>
      </c>
      <c r="P3205" s="7" t="n">
        <f aca="false">IF(K3205="","",K3205-G3205)</f>
        <v>0</v>
      </c>
    </row>
    <row r="3206" customFormat="false" ht="15" hidden="false" customHeight="false" outlineLevel="0" collapsed="false">
      <c r="A3206" s="7" t="n">
        <v>80128657</v>
      </c>
      <c r="B3206" s="7" t="s">
        <v>68</v>
      </c>
      <c r="C3206" s="7" t="s">
        <v>6768</v>
      </c>
      <c r="D3206" s="7" t="s">
        <v>6769</v>
      </c>
      <c r="E3206" s="7" t="s">
        <v>26</v>
      </c>
      <c r="F3206" s="7" t="s">
        <v>6767</v>
      </c>
      <c r="G3206" s="7" t="n">
        <v>2016</v>
      </c>
      <c r="H3206" s="7" t="s">
        <v>50</v>
      </c>
      <c r="I3206" s="7" t="s">
        <v>437</v>
      </c>
      <c r="J3206" s="7" t="s">
        <v>1211</v>
      </c>
      <c r="K3206" s="7" t="n">
        <f aca="false">IFERROR(VALUE(RIGHT(TRIM(F3206),4)),"")</f>
        <v>2017</v>
      </c>
      <c r="L3206" s="7" t="str">
        <f aca="false">IF(TRIM(E3206)="","Unknown",IFERROR(LEFT(TRIM(E3206),FIND(",",TRIM(E3206))-1),TRIM(E3206)))</f>
        <v>United States</v>
      </c>
      <c r="M3206" s="7" t="str">
        <f aca="false">IFERROR(LEFT(J3206,FIND(",",J3206)-1),J3206)</f>
        <v>Documentaries</v>
      </c>
      <c r="N3206" s="7" t="n">
        <f aca="false">IF(B3206="Movie",IFERROR(VALUE(LEFT(I3206,FIND(" ",I3206)-1)),""),"")</f>
        <v>82</v>
      </c>
      <c r="O3206" s="7" t="str">
        <f aca="false">IF(B3206="TV Show",IFERROR(VALUE(LEFT(I3206,FIND(" ",I3206)-1)),""),"")</f>
        <v/>
      </c>
      <c r="P3206" s="7" t="n">
        <f aca="false">IF(K3206="","",K3206-G3206)</f>
        <v>1</v>
      </c>
    </row>
    <row r="3207" customFormat="false" ht="15" hidden="false" customHeight="false" outlineLevel="0" collapsed="false">
      <c r="A3207" s="7" t="n">
        <v>70295415</v>
      </c>
      <c r="B3207" s="7" t="s">
        <v>68</v>
      </c>
      <c r="C3207" s="7" t="s">
        <v>6770</v>
      </c>
      <c r="D3207" s="7" t="s">
        <v>6771</v>
      </c>
      <c r="E3207" s="7" t="s">
        <v>26</v>
      </c>
      <c r="F3207" s="7" t="s">
        <v>6767</v>
      </c>
      <c r="G3207" s="7" t="n">
        <v>2013</v>
      </c>
      <c r="H3207" s="7" t="s">
        <v>81</v>
      </c>
      <c r="I3207" s="7" t="s">
        <v>1727</v>
      </c>
      <c r="J3207" s="7" t="s">
        <v>42</v>
      </c>
      <c r="K3207" s="7" t="n">
        <f aca="false">IFERROR(VALUE(RIGHT(TRIM(F3207),4)),"")</f>
        <v>2017</v>
      </c>
      <c r="L3207" s="7" t="str">
        <f aca="false">IF(TRIM(E3207)="","Unknown",IFERROR(LEFT(TRIM(E3207),FIND(",",TRIM(E3207))-1),TRIM(E3207)))</f>
        <v>United States</v>
      </c>
      <c r="M3207" s="7" t="str">
        <f aca="false">IFERROR(LEFT(J3207,FIND(",",J3207)-1),J3207)</f>
        <v>Children &amp; Family Movies</v>
      </c>
      <c r="N3207" s="7" t="n">
        <f aca="false">IF(B3207="Movie",IFERROR(VALUE(LEFT(I3207,FIND(" ",I3207)-1)),""),"")</f>
        <v>22</v>
      </c>
      <c r="O3207" s="7" t="str">
        <f aca="false">IF(B3207="TV Show",IFERROR(VALUE(LEFT(I3207,FIND(" ",I3207)-1)),""),"")</f>
        <v/>
      </c>
      <c r="P3207" s="7" t="n">
        <f aca="false">IF(K3207="","",K3207-G3207)</f>
        <v>4</v>
      </c>
    </row>
    <row r="3208" customFormat="false" ht="15" hidden="false" customHeight="false" outlineLevel="0" collapsed="false">
      <c r="A3208" s="7" t="n">
        <v>80125627</v>
      </c>
      <c r="B3208" s="7" t="s">
        <v>68</v>
      </c>
      <c r="C3208" s="7" t="s">
        <v>6772</v>
      </c>
      <c r="D3208" s="7" t="s">
        <v>6773</v>
      </c>
      <c r="E3208" s="7" t="s">
        <v>27</v>
      </c>
      <c r="F3208" s="7" t="s">
        <v>6767</v>
      </c>
      <c r="G3208" s="7" t="n">
        <v>2016</v>
      </c>
      <c r="H3208" s="7" t="s">
        <v>49</v>
      </c>
      <c r="I3208" s="7" t="s">
        <v>727</v>
      </c>
      <c r="J3208" s="7" t="s">
        <v>304</v>
      </c>
      <c r="K3208" s="7" t="n">
        <f aca="false">IFERROR(VALUE(RIGHT(TRIM(F3208),4)),"")</f>
        <v>2017</v>
      </c>
      <c r="L3208" s="7" t="str">
        <f aca="false">IF(TRIM(E3208)="","Unknown",IFERROR(LEFT(TRIM(E3208),FIND(",",TRIM(E3208))-1),TRIM(E3208)))</f>
        <v>India</v>
      </c>
      <c r="M3208" s="7" t="str">
        <f aca="false">IFERROR(LEFT(J3208,FIND(",",J3208)-1),J3208)</f>
        <v>Dramas</v>
      </c>
      <c r="N3208" s="7" t="n">
        <f aca="false">IF(B3208="Movie",IFERROR(VALUE(LEFT(I3208,FIND(" ",I3208)-1)),""),"")</f>
        <v>141</v>
      </c>
      <c r="O3208" s="7" t="str">
        <f aca="false">IF(B3208="TV Show",IFERROR(VALUE(LEFT(I3208,FIND(" ",I3208)-1)),""),"")</f>
        <v/>
      </c>
      <c r="P3208" s="7" t="n">
        <f aca="false">IF(K3208="","",K3208-G3208)</f>
        <v>1</v>
      </c>
    </row>
    <row r="3209" customFormat="false" ht="15" hidden="false" customHeight="false" outlineLevel="0" collapsed="false">
      <c r="A3209" s="7" t="n">
        <v>81037970</v>
      </c>
      <c r="B3209" s="7" t="s">
        <v>68</v>
      </c>
      <c r="C3209" s="7" t="s">
        <v>6774</v>
      </c>
      <c r="D3209" s="7" t="s">
        <v>6775</v>
      </c>
      <c r="E3209" s="7" t="s">
        <v>362</v>
      </c>
      <c r="F3209" s="7" t="s">
        <v>6776</v>
      </c>
      <c r="G3209" s="7" t="n">
        <v>2016</v>
      </c>
      <c r="H3209" s="7" t="s">
        <v>50</v>
      </c>
      <c r="I3209" s="7" t="s">
        <v>549</v>
      </c>
      <c r="J3209" s="7" t="s">
        <v>1003</v>
      </c>
      <c r="K3209" s="7" t="n">
        <f aca="false">IFERROR(VALUE(RIGHT(TRIM(F3209),4)),"")</f>
        <v>2019</v>
      </c>
      <c r="L3209" s="7" t="str">
        <f aca="false">IF(TRIM(E3209)="","Unknown",IFERROR(LEFT(TRIM(E3209),FIND(",",TRIM(E3209))-1),TRIM(E3209)))</f>
        <v>Indonesia</v>
      </c>
      <c r="M3209" s="7" t="str">
        <f aca="false">IFERROR(LEFT(J3209,FIND(",",J3209)-1),J3209)</f>
        <v>Dramas</v>
      </c>
      <c r="N3209" s="7" t="n">
        <f aca="false">IF(B3209="Movie",IFERROR(VALUE(LEFT(I3209,FIND(" ",I3209)-1)),""),"")</f>
        <v>124</v>
      </c>
      <c r="O3209" s="7" t="str">
        <f aca="false">IF(B3209="TV Show",IFERROR(VALUE(LEFT(I3209,FIND(" ",I3209)-1)),""),"")</f>
        <v/>
      </c>
      <c r="P3209" s="7" t="n">
        <f aca="false">IF(K3209="","",K3209-G3209)</f>
        <v>3</v>
      </c>
    </row>
    <row r="3210" customFormat="false" ht="15" hidden="false" customHeight="false" outlineLevel="0" collapsed="false">
      <c r="A3210" s="7" t="n">
        <v>81037984</v>
      </c>
      <c r="B3210" s="7" t="s">
        <v>68</v>
      </c>
      <c r="C3210" s="7" t="s">
        <v>6777</v>
      </c>
      <c r="D3210" s="7" t="s">
        <v>6778</v>
      </c>
      <c r="F3210" s="7" t="s">
        <v>6776</v>
      </c>
      <c r="G3210" s="7" t="n">
        <v>2017</v>
      </c>
      <c r="H3210" s="7" t="s">
        <v>48</v>
      </c>
      <c r="I3210" s="7" t="s">
        <v>173</v>
      </c>
      <c r="J3210" s="7" t="s">
        <v>139</v>
      </c>
      <c r="K3210" s="7" t="n">
        <f aca="false">IFERROR(VALUE(RIGHT(TRIM(F3210),4)),"")</f>
        <v>2019</v>
      </c>
      <c r="L3210" s="7" t="str">
        <f aca="false">IF(TRIM(E3210)="","Unknown",IFERROR(LEFT(TRIM(E3210),FIND(",",TRIM(E3210))-1),TRIM(E3210)))</f>
        <v>Unknown</v>
      </c>
      <c r="M3210" s="7" t="str">
        <f aca="false">IFERROR(LEFT(J3210,FIND(",",J3210)-1),J3210)</f>
        <v>Action &amp; Adventure</v>
      </c>
      <c r="N3210" s="7" t="n">
        <f aca="false">IF(B3210="Movie",IFERROR(VALUE(LEFT(I3210,FIND(" ",I3210)-1)),""),"")</f>
        <v>106</v>
      </c>
      <c r="O3210" s="7" t="str">
        <f aca="false">IF(B3210="TV Show",IFERROR(VALUE(LEFT(I3210,FIND(" ",I3210)-1)),""),"")</f>
        <v/>
      </c>
      <c r="P3210" s="7" t="n">
        <f aca="false">IF(K3210="","",K3210-G3210)</f>
        <v>2</v>
      </c>
    </row>
    <row r="3211" customFormat="false" ht="15" hidden="false" customHeight="false" outlineLevel="0" collapsed="false">
      <c r="A3211" s="7" t="n">
        <v>81037986</v>
      </c>
      <c r="B3211" s="7" t="s">
        <v>68</v>
      </c>
      <c r="C3211" s="7" t="s">
        <v>6779</v>
      </c>
      <c r="D3211" s="7" t="s">
        <v>6780</v>
      </c>
      <c r="E3211" s="7" t="s">
        <v>362</v>
      </c>
      <c r="F3211" s="7" t="s">
        <v>6776</v>
      </c>
      <c r="G3211" s="7" t="n">
        <v>2016</v>
      </c>
      <c r="H3211" s="7" t="s">
        <v>49</v>
      </c>
      <c r="I3211" s="7" t="s">
        <v>212</v>
      </c>
      <c r="J3211" s="7" t="s">
        <v>240</v>
      </c>
      <c r="K3211" s="7" t="n">
        <f aca="false">IFERROR(VALUE(RIGHT(TRIM(F3211),4)),"")</f>
        <v>2019</v>
      </c>
      <c r="L3211" s="7" t="str">
        <f aca="false">IF(TRIM(E3211)="","Unknown",IFERROR(LEFT(TRIM(E3211),FIND(",",TRIM(E3211))-1),TRIM(E3211)))</f>
        <v>Indonesia</v>
      </c>
      <c r="M3211" s="7" t="str">
        <f aca="false">IFERROR(LEFT(J3211,FIND(",",J3211)-1),J3211)</f>
        <v>Dramas</v>
      </c>
      <c r="N3211" s="7" t="n">
        <f aca="false">IF(B3211="Movie",IFERROR(VALUE(LEFT(I3211,FIND(" ",I3211)-1)),""),"")</f>
        <v>86</v>
      </c>
      <c r="O3211" s="7" t="str">
        <f aca="false">IF(B3211="TV Show",IFERROR(VALUE(LEFT(I3211,FIND(" ",I3211)-1)),""),"")</f>
        <v/>
      </c>
      <c r="P3211" s="7" t="n">
        <f aca="false">IF(K3211="","",K3211-G3211)</f>
        <v>3</v>
      </c>
    </row>
    <row r="3212" customFormat="false" ht="15" hidden="false" customHeight="false" outlineLevel="0" collapsed="false">
      <c r="A3212" s="7" t="n">
        <v>81037985</v>
      </c>
      <c r="B3212" s="7" t="s">
        <v>68</v>
      </c>
      <c r="C3212" s="7" t="s">
        <v>6781</v>
      </c>
      <c r="D3212" s="7" t="s">
        <v>6782</v>
      </c>
      <c r="E3212" s="7" t="s">
        <v>362</v>
      </c>
      <c r="F3212" s="7" t="s">
        <v>6776</v>
      </c>
      <c r="G3212" s="7" t="n">
        <v>2015</v>
      </c>
      <c r="H3212" s="7" t="s">
        <v>49</v>
      </c>
      <c r="I3212" s="7" t="s">
        <v>1405</v>
      </c>
      <c r="J3212" s="7" t="s">
        <v>206</v>
      </c>
      <c r="K3212" s="7" t="n">
        <f aca="false">IFERROR(VALUE(RIGHT(TRIM(F3212),4)),"")</f>
        <v>2019</v>
      </c>
      <c r="L3212" s="7" t="str">
        <f aca="false">IF(TRIM(E3212)="","Unknown",IFERROR(LEFT(TRIM(E3212),FIND(",",TRIM(E3212))-1),TRIM(E3212)))</f>
        <v>Indonesia</v>
      </c>
      <c r="M3212" s="7" t="str">
        <f aca="false">IFERROR(LEFT(J3212,FIND(",",J3212)-1),J3212)</f>
        <v>Comedies</v>
      </c>
      <c r="N3212" s="7" t="n">
        <f aca="false">IF(B3212="Movie",IFERROR(VALUE(LEFT(I3212,FIND(" ",I3212)-1)),""),"")</f>
        <v>115</v>
      </c>
      <c r="O3212" s="7" t="str">
        <f aca="false">IF(B3212="TV Show",IFERROR(VALUE(LEFT(I3212,FIND(" ",I3212)-1)),""),"")</f>
        <v/>
      </c>
      <c r="P3212" s="7" t="n">
        <f aca="false">IF(K3212="","",K3212-G3212)</f>
        <v>4</v>
      </c>
    </row>
    <row r="3213" customFormat="false" ht="15" hidden="false" customHeight="false" outlineLevel="0" collapsed="false">
      <c r="A3213" s="7" t="n">
        <v>80153895</v>
      </c>
      <c r="B3213" s="7" t="s">
        <v>68</v>
      </c>
      <c r="C3213" s="7" t="s">
        <v>6783</v>
      </c>
      <c r="D3213" s="7" t="s">
        <v>6784</v>
      </c>
      <c r="E3213" s="7" t="s">
        <v>28</v>
      </c>
      <c r="F3213" s="7" t="s">
        <v>6776</v>
      </c>
      <c r="G3213" s="7" t="n">
        <v>2017</v>
      </c>
      <c r="H3213" s="7" t="s">
        <v>48</v>
      </c>
      <c r="I3213" s="7" t="s">
        <v>87</v>
      </c>
      <c r="J3213" s="7" t="s">
        <v>147</v>
      </c>
      <c r="K3213" s="7" t="n">
        <f aca="false">IFERROR(VALUE(RIGHT(TRIM(F3213),4)),"")</f>
        <v>2019</v>
      </c>
      <c r="L3213" s="7" t="str">
        <f aca="false">IF(TRIM(E3213)="","Unknown",IFERROR(LEFT(TRIM(E3213),FIND(",",TRIM(E3213))-1),TRIM(E3213)))</f>
        <v>United Kingdom</v>
      </c>
      <c r="M3213" s="7" t="str">
        <f aca="false">IFERROR(LEFT(J3213,FIND(",",J3213)-1),J3213)</f>
        <v>Horror Movies</v>
      </c>
      <c r="N3213" s="7" t="n">
        <f aca="false">IF(B3213="Movie",IFERROR(VALUE(LEFT(I3213,FIND(" ",I3213)-1)),""),"")</f>
        <v>99</v>
      </c>
      <c r="O3213" s="7" t="str">
        <f aca="false">IF(B3213="TV Show",IFERROR(VALUE(LEFT(I3213,FIND(" ",I3213)-1)),""),"")</f>
        <v/>
      </c>
      <c r="P3213" s="7" t="n">
        <f aca="false">IF(K3213="","",K3213-G3213)</f>
        <v>2</v>
      </c>
    </row>
    <row r="3214" customFormat="false" ht="15" hidden="false" customHeight="false" outlineLevel="0" collapsed="false">
      <c r="A3214" s="7" t="n">
        <v>70026431</v>
      </c>
      <c r="B3214" s="7" t="s">
        <v>68</v>
      </c>
      <c r="C3214" s="7" t="s">
        <v>6785</v>
      </c>
      <c r="D3214" s="7" t="s">
        <v>6786</v>
      </c>
      <c r="E3214" s="7" t="s">
        <v>167</v>
      </c>
      <c r="F3214" s="7" t="s">
        <v>6776</v>
      </c>
      <c r="G3214" s="7" t="n">
        <v>1999</v>
      </c>
      <c r="H3214" s="7" t="s">
        <v>49</v>
      </c>
      <c r="I3214" s="7" t="s">
        <v>512</v>
      </c>
      <c r="J3214" s="7" t="s">
        <v>5359</v>
      </c>
      <c r="K3214" s="7" t="n">
        <f aca="false">IFERROR(VALUE(RIGHT(TRIM(F3214),4)),"")</f>
        <v>2019</v>
      </c>
      <c r="L3214" s="7" t="str">
        <f aca="false">IF(TRIM(E3214)="","Unknown",IFERROR(LEFT(TRIM(E3214),FIND(",",TRIM(E3214))-1),TRIM(E3214)))</f>
        <v>Thailand</v>
      </c>
      <c r="M3214" s="7" t="str">
        <f aca="false">IFERROR(LEFT(J3214,FIND(",",J3214)-1),J3214)</f>
        <v>Horror Movies</v>
      </c>
      <c r="N3214" s="7" t="n">
        <f aca="false">IF(B3214="Movie",IFERROR(VALUE(LEFT(I3214,FIND(" ",I3214)-1)),""),"")</f>
        <v>101</v>
      </c>
      <c r="O3214" s="7" t="str">
        <f aca="false">IF(B3214="TV Show",IFERROR(VALUE(LEFT(I3214,FIND(" ",I3214)-1)),""),"")</f>
        <v/>
      </c>
      <c r="P3214" s="7" t="n">
        <f aca="false">IF(K3214="","",K3214-G3214)</f>
        <v>20</v>
      </c>
    </row>
    <row r="3215" customFormat="false" ht="15" hidden="false" customHeight="false" outlineLevel="0" collapsed="false">
      <c r="A3215" s="7" t="n">
        <v>80020885</v>
      </c>
      <c r="B3215" s="7" t="s">
        <v>68</v>
      </c>
      <c r="C3215" s="7" t="s">
        <v>6787</v>
      </c>
      <c r="D3215" s="7" t="s">
        <v>4560</v>
      </c>
      <c r="E3215" s="7" t="s">
        <v>362</v>
      </c>
      <c r="F3215" s="7" t="s">
        <v>6776</v>
      </c>
      <c r="G3215" s="7" t="n">
        <v>2013</v>
      </c>
      <c r="H3215" s="7" t="s">
        <v>48</v>
      </c>
      <c r="I3215" s="7" t="s">
        <v>197</v>
      </c>
      <c r="J3215" s="7" t="s">
        <v>304</v>
      </c>
      <c r="K3215" s="7" t="n">
        <f aca="false">IFERROR(VALUE(RIGHT(TRIM(F3215),4)),"")</f>
        <v>2019</v>
      </c>
      <c r="L3215" s="7" t="str">
        <f aca="false">IF(TRIM(E3215)="","Unknown",IFERROR(LEFT(TRIM(E3215),FIND(",",TRIM(E3215))-1),TRIM(E3215)))</f>
        <v>Indonesia</v>
      </c>
      <c r="M3215" s="7" t="str">
        <f aca="false">IFERROR(LEFT(J3215,FIND(",",J3215)-1),J3215)</f>
        <v>Dramas</v>
      </c>
      <c r="N3215" s="7" t="n">
        <f aca="false">IF(B3215="Movie",IFERROR(VALUE(LEFT(I3215,FIND(" ",I3215)-1)),""),"")</f>
        <v>142</v>
      </c>
      <c r="O3215" s="7" t="str">
        <f aca="false">IF(B3215="TV Show",IFERROR(VALUE(LEFT(I3215,FIND(" ",I3215)-1)),""),"")</f>
        <v/>
      </c>
      <c r="P3215" s="7" t="n">
        <f aca="false">IF(K3215="","",K3215-G3215)</f>
        <v>6</v>
      </c>
    </row>
    <row r="3216" customFormat="false" ht="15" hidden="false" customHeight="false" outlineLevel="0" collapsed="false">
      <c r="A3216" s="7" t="n">
        <v>80002667</v>
      </c>
      <c r="B3216" s="7" t="s">
        <v>68</v>
      </c>
      <c r="C3216" s="7" t="s">
        <v>6788</v>
      </c>
      <c r="D3216" s="7" t="s">
        <v>328</v>
      </c>
      <c r="E3216" s="7" t="s">
        <v>26</v>
      </c>
      <c r="F3216" s="7" t="s">
        <v>6789</v>
      </c>
      <c r="G3216" s="7" t="n">
        <v>2016</v>
      </c>
      <c r="H3216" s="7" t="s">
        <v>52</v>
      </c>
      <c r="I3216" s="7" t="s">
        <v>451</v>
      </c>
      <c r="J3216" s="7" t="s">
        <v>147</v>
      </c>
      <c r="K3216" s="7" t="n">
        <f aca="false">IFERROR(VALUE(RIGHT(TRIM(F3216),4)),"")</f>
        <v>2018</v>
      </c>
      <c r="L3216" s="7" t="str">
        <f aca="false">IF(TRIM(E3216)="","Unknown",IFERROR(LEFT(TRIM(E3216),FIND(",",TRIM(E3216))-1),TRIM(E3216)))</f>
        <v>United States</v>
      </c>
      <c r="M3216" s="7" t="str">
        <f aca="false">IFERROR(LEFT(J3216,FIND(",",J3216)-1),J3216)</f>
        <v>Horror Movies</v>
      </c>
      <c r="N3216" s="7" t="n">
        <f aca="false">IF(B3216="Movie",IFERROR(VALUE(LEFT(I3216,FIND(" ",I3216)-1)),""),"")</f>
        <v>97</v>
      </c>
      <c r="O3216" s="7" t="str">
        <f aca="false">IF(B3216="TV Show",IFERROR(VALUE(LEFT(I3216,FIND(" ",I3216)-1)),""),"")</f>
        <v/>
      </c>
      <c r="P3216" s="7" t="n">
        <f aca="false">IF(K3216="","",K3216-G3216)</f>
        <v>2</v>
      </c>
    </row>
    <row r="3217" customFormat="false" ht="15" hidden="false" customHeight="false" outlineLevel="0" collapsed="false">
      <c r="A3217" s="7" t="n">
        <v>80174974</v>
      </c>
      <c r="B3217" s="7" t="s">
        <v>78</v>
      </c>
      <c r="C3217" s="7" t="s">
        <v>6790</v>
      </c>
      <c r="D3217" s="7" t="s">
        <v>6791</v>
      </c>
      <c r="E3217" s="7" t="s">
        <v>30</v>
      </c>
      <c r="F3217" s="7" t="s">
        <v>6789</v>
      </c>
      <c r="G3217" s="7" t="n">
        <v>2018</v>
      </c>
      <c r="H3217" s="7" t="s">
        <v>48</v>
      </c>
      <c r="I3217" s="7" t="s">
        <v>82</v>
      </c>
      <c r="J3217" s="7" t="s">
        <v>817</v>
      </c>
      <c r="K3217" s="7" t="n">
        <f aca="false">IFERROR(VALUE(RIGHT(TRIM(F3217),4)),"")</f>
        <v>2018</v>
      </c>
      <c r="L3217" s="7" t="str">
        <f aca="false">IF(TRIM(E3217)="","Unknown",IFERROR(LEFT(TRIM(E3217),FIND(",",TRIM(E3217))-1),TRIM(E3217)))</f>
        <v>Japan</v>
      </c>
      <c r="M3217" s="7" t="str">
        <f aca="false">IFERROR(LEFT(J3217,FIND(",",J3217)-1),J3217)</f>
        <v>Anime Series</v>
      </c>
      <c r="N3217" s="7" t="str">
        <f aca="false">IF(B3217="Movie",IFERROR(VALUE(LEFT(I3217,FIND(" ",I3217)-1)),""),"")</f>
        <v/>
      </c>
      <c r="O3217" s="7" t="n">
        <f aca="false">IF(B3217="TV Show",IFERROR(VALUE(LEFT(I3217,FIND(" ",I3217)-1)),""),"")</f>
        <v>1</v>
      </c>
      <c r="P3217" s="7" t="n">
        <f aca="false">IF(K3217="","",K3217-G3217)</f>
        <v>0</v>
      </c>
    </row>
    <row r="3218" customFormat="false" ht="15" hidden="false" customHeight="false" outlineLevel="0" collapsed="false">
      <c r="A3218" s="7" t="n">
        <v>80213400</v>
      </c>
      <c r="B3218" s="7" t="s">
        <v>68</v>
      </c>
      <c r="C3218" s="7" t="s">
        <v>6792</v>
      </c>
      <c r="D3218" s="7" t="s">
        <v>6793</v>
      </c>
      <c r="E3218" s="7" t="s">
        <v>26</v>
      </c>
      <c r="F3218" s="7" t="s">
        <v>6789</v>
      </c>
      <c r="G3218" s="7" t="n">
        <v>2015</v>
      </c>
      <c r="H3218" s="7" t="s">
        <v>49</v>
      </c>
      <c r="I3218" s="7" t="s">
        <v>524</v>
      </c>
      <c r="J3218" s="7" t="s">
        <v>1533</v>
      </c>
      <c r="K3218" s="7" t="n">
        <f aca="false">IFERROR(VALUE(RIGHT(TRIM(F3218),4)),"")</f>
        <v>2018</v>
      </c>
      <c r="L3218" s="7" t="str">
        <f aca="false">IF(TRIM(E3218)="","Unknown",IFERROR(LEFT(TRIM(E3218),FIND(",",TRIM(E3218))-1),TRIM(E3218)))</f>
        <v>United States</v>
      </c>
      <c r="M3218" s="7" t="str">
        <f aca="false">IFERROR(LEFT(J3218,FIND(",",J3218)-1),J3218)</f>
        <v>Comedies</v>
      </c>
      <c r="N3218" s="7" t="n">
        <f aca="false">IF(B3218="Movie",IFERROR(VALUE(LEFT(I3218,FIND(" ",I3218)-1)),""),"")</f>
        <v>83</v>
      </c>
      <c r="O3218" s="7" t="str">
        <f aca="false">IF(B3218="TV Show",IFERROR(VALUE(LEFT(I3218,FIND(" ",I3218)-1)),""),"")</f>
        <v/>
      </c>
      <c r="P3218" s="7" t="n">
        <f aca="false">IF(K3218="","",K3218-G3218)</f>
        <v>3</v>
      </c>
    </row>
    <row r="3219" customFormat="false" ht="15" hidden="false" customHeight="false" outlineLevel="0" collapsed="false">
      <c r="A3219" s="7" t="n">
        <v>80148595</v>
      </c>
      <c r="B3219" s="7" t="s">
        <v>68</v>
      </c>
      <c r="C3219" s="7" t="s">
        <v>6794</v>
      </c>
      <c r="D3219" s="7" t="s">
        <v>6795</v>
      </c>
      <c r="E3219" s="7" t="s">
        <v>325</v>
      </c>
      <c r="F3219" s="7" t="s">
        <v>6796</v>
      </c>
      <c r="G3219" s="7" t="n">
        <v>2016</v>
      </c>
      <c r="H3219" s="7" t="s">
        <v>53</v>
      </c>
      <c r="I3219" s="7" t="s">
        <v>111</v>
      </c>
      <c r="J3219" s="7" t="s">
        <v>217</v>
      </c>
      <c r="K3219" s="7" t="n">
        <f aca="false">IFERROR(VALUE(RIGHT(TRIM(F3219),4)),"")</f>
        <v>2017</v>
      </c>
      <c r="L3219" s="7" t="str">
        <f aca="false">IF(TRIM(E3219)="","Unknown",IFERROR(LEFT(TRIM(E3219),FIND(",",TRIM(E3219))-1),TRIM(E3219)))</f>
        <v>Brazil</v>
      </c>
      <c r="M3219" s="7" t="str">
        <f aca="false">IFERROR(LEFT(J3219,FIND(",",J3219)-1),J3219)</f>
        <v>Comedies</v>
      </c>
      <c r="N3219" s="7" t="n">
        <f aca="false">IF(B3219="Movie",IFERROR(VALUE(LEFT(I3219,FIND(" ",I3219)-1)),""),"")</f>
        <v>95</v>
      </c>
      <c r="O3219" s="7" t="str">
        <f aca="false">IF(B3219="TV Show",IFERROR(VALUE(LEFT(I3219,FIND(" ",I3219)-1)),""),"")</f>
        <v/>
      </c>
      <c r="P3219" s="7" t="n">
        <f aca="false">IF(K3219="","",K3219-G3219)</f>
        <v>1</v>
      </c>
    </row>
    <row r="3220" customFormat="false" ht="15" hidden="false" customHeight="false" outlineLevel="0" collapsed="false">
      <c r="A3220" s="7" t="n">
        <v>70301484</v>
      </c>
      <c r="B3220" s="7" t="s">
        <v>68</v>
      </c>
      <c r="C3220" s="7" t="s">
        <v>6797</v>
      </c>
      <c r="D3220" s="7" t="s">
        <v>6798</v>
      </c>
      <c r="E3220" s="7" t="s">
        <v>6799</v>
      </c>
      <c r="F3220" s="7" t="s">
        <v>6796</v>
      </c>
      <c r="G3220" s="7" t="n">
        <v>2014</v>
      </c>
      <c r="H3220" s="7" t="s">
        <v>48</v>
      </c>
      <c r="I3220" s="7" t="s">
        <v>386</v>
      </c>
      <c r="J3220" s="7" t="s">
        <v>2582</v>
      </c>
      <c r="K3220" s="7" t="n">
        <f aca="false">IFERROR(VALUE(RIGHT(TRIM(F3220),4)),"")</f>
        <v>2017</v>
      </c>
      <c r="L3220" s="7" t="str">
        <f aca="false">IF(TRIM(E3220)="","Unknown",IFERROR(LEFT(TRIM(E3220),FIND(",",TRIM(E3220))-1),TRIM(E3220)))</f>
        <v>Norway</v>
      </c>
      <c r="M3220" s="7" t="str">
        <f aca="false">IFERROR(LEFT(J3220,FIND(",",J3220)-1),J3220)</f>
        <v>Comedies</v>
      </c>
      <c r="N3220" s="7" t="n">
        <f aca="false">IF(B3220="Movie",IFERROR(VALUE(LEFT(I3220,FIND(" ",I3220)-1)),""),"")</f>
        <v>117</v>
      </c>
      <c r="O3220" s="7" t="str">
        <f aca="false">IF(B3220="TV Show",IFERROR(VALUE(LEFT(I3220,FIND(" ",I3220)-1)),""),"")</f>
        <v/>
      </c>
      <c r="P3220" s="7" t="n">
        <f aca="false">IF(K3220="","",K3220-G3220)</f>
        <v>3</v>
      </c>
    </row>
    <row r="3221" customFormat="false" ht="15" hidden="false" customHeight="false" outlineLevel="0" collapsed="false">
      <c r="A3221" s="7" t="n">
        <v>80038358</v>
      </c>
      <c r="B3221" s="7" t="s">
        <v>68</v>
      </c>
      <c r="C3221" s="7" t="s">
        <v>6800</v>
      </c>
      <c r="D3221" s="7" t="s">
        <v>6801</v>
      </c>
      <c r="E3221" s="7" t="s">
        <v>29</v>
      </c>
      <c r="F3221" s="7" t="s">
        <v>6796</v>
      </c>
      <c r="G3221" s="7" t="n">
        <v>2016</v>
      </c>
      <c r="H3221" s="7" t="s">
        <v>48</v>
      </c>
      <c r="I3221" s="7" t="s">
        <v>205</v>
      </c>
      <c r="J3221" s="7" t="s">
        <v>322</v>
      </c>
      <c r="K3221" s="7" t="n">
        <f aca="false">IFERROR(VALUE(RIGHT(TRIM(F3221),4)),"")</f>
        <v>2017</v>
      </c>
      <c r="L3221" s="7" t="str">
        <f aca="false">IF(TRIM(E3221)="","Unknown",IFERROR(LEFT(TRIM(E3221),FIND(",",TRIM(E3221))-1),TRIM(E3221)))</f>
        <v>Canada</v>
      </c>
      <c r="M3221" s="7" t="str">
        <f aca="false">IFERROR(LEFT(J3221,FIND(",",J3221)-1),J3221)</f>
        <v>Action &amp; Adventure</v>
      </c>
      <c r="N3221" s="7" t="n">
        <f aca="false">IF(B3221="Movie",IFERROR(VALUE(LEFT(I3221,FIND(" ",I3221)-1)),""),"")</f>
        <v>100</v>
      </c>
      <c r="O3221" s="7" t="str">
        <f aca="false">IF(B3221="TV Show",IFERROR(VALUE(LEFT(I3221,FIND(" ",I3221)-1)),""),"")</f>
        <v/>
      </c>
      <c r="P3221" s="7" t="n">
        <f aca="false">IF(K3221="","",K3221-G3221)</f>
        <v>1</v>
      </c>
    </row>
    <row r="3222" customFormat="false" ht="15" hidden="false" customHeight="false" outlineLevel="0" collapsed="false">
      <c r="A3222" s="7" t="n">
        <v>80997687</v>
      </c>
      <c r="B3222" s="7" t="s">
        <v>78</v>
      </c>
      <c r="C3222" s="7" t="s">
        <v>6802</v>
      </c>
      <c r="E3222" s="7" t="s">
        <v>28</v>
      </c>
      <c r="F3222" s="7" t="s">
        <v>6803</v>
      </c>
      <c r="G3222" s="7" t="n">
        <v>2020</v>
      </c>
      <c r="H3222" s="7" t="s">
        <v>49</v>
      </c>
      <c r="I3222" s="7" t="s">
        <v>82</v>
      </c>
      <c r="J3222" s="7" t="s">
        <v>4544</v>
      </c>
      <c r="K3222" s="7" t="n">
        <f aca="false">IFERROR(VALUE(RIGHT(TRIM(F3222),4)),"")</f>
        <v>2020</v>
      </c>
      <c r="L3222" s="7" t="str">
        <f aca="false">IF(TRIM(E3222)="","Unknown",IFERROR(LEFT(TRIM(E3222),FIND(",",TRIM(E3222))-1),TRIM(E3222)))</f>
        <v>United Kingdom</v>
      </c>
      <c r="M3222" s="7" t="str">
        <f aca="false">IFERROR(LEFT(J3222,FIND(",",J3222)-1),J3222)</f>
        <v>British TV Shows</v>
      </c>
      <c r="N3222" s="7" t="str">
        <f aca="false">IF(B3222="Movie",IFERROR(VALUE(LEFT(I3222,FIND(" ",I3222)-1)),""),"")</f>
        <v/>
      </c>
      <c r="O3222" s="7" t="n">
        <f aca="false">IF(B3222="TV Show",IFERROR(VALUE(LEFT(I3222,FIND(" ",I3222)-1)),""),"")</f>
        <v>1</v>
      </c>
      <c r="P3222" s="7" t="n">
        <f aca="false">IF(K3222="","",K3222-G3222)</f>
        <v>0</v>
      </c>
    </row>
    <row r="3223" customFormat="false" ht="15" hidden="false" customHeight="false" outlineLevel="0" collapsed="false">
      <c r="A3223" s="7" t="n">
        <v>80237347</v>
      </c>
      <c r="B3223" s="7" t="s">
        <v>78</v>
      </c>
      <c r="C3223" s="7" t="s">
        <v>6804</v>
      </c>
      <c r="E3223" s="7" t="s">
        <v>26</v>
      </c>
      <c r="F3223" s="7" t="s">
        <v>6803</v>
      </c>
      <c r="G3223" s="7" t="n">
        <v>2020</v>
      </c>
      <c r="H3223" s="7" t="s">
        <v>119</v>
      </c>
      <c r="I3223" s="7" t="s">
        <v>82</v>
      </c>
      <c r="J3223" s="7" t="s">
        <v>44</v>
      </c>
      <c r="K3223" s="7" t="n">
        <f aca="false">IFERROR(VALUE(RIGHT(TRIM(F3223),4)),"")</f>
        <v>2020</v>
      </c>
      <c r="L3223" s="7" t="str">
        <f aca="false">IF(TRIM(E3223)="","Unknown",IFERROR(LEFT(TRIM(E3223),FIND(",",TRIM(E3223))-1),TRIM(E3223)))</f>
        <v>United States</v>
      </c>
      <c r="M3223" s="7" t="str">
        <f aca="false">IFERROR(LEFT(J3223,FIND(",",J3223)-1),J3223)</f>
        <v>Kids' TV</v>
      </c>
      <c r="N3223" s="7" t="str">
        <f aca="false">IF(B3223="Movie",IFERROR(VALUE(LEFT(I3223,FIND(" ",I3223)-1)),""),"")</f>
        <v/>
      </c>
      <c r="O3223" s="7" t="n">
        <f aca="false">IF(B3223="TV Show",IFERROR(VALUE(LEFT(I3223,FIND(" ",I3223)-1)),""),"")</f>
        <v>1</v>
      </c>
      <c r="P3223" s="7" t="n">
        <f aca="false">IF(K3223="","",K3223-G3223)</f>
        <v>0</v>
      </c>
    </row>
    <row r="3224" customFormat="false" ht="15" hidden="false" customHeight="false" outlineLevel="0" collapsed="false">
      <c r="A3224" s="7" t="n">
        <v>80998427</v>
      </c>
      <c r="B3224" s="7" t="s">
        <v>68</v>
      </c>
      <c r="C3224" s="7" t="s">
        <v>6805</v>
      </c>
      <c r="D3224" s="7" t="s">
        <v>6806</v>
      </c>
      <c r="E3224" s="7" t="s">
        <v>6807</v>
      </c>
      <c r="F3224" s="7" t="s">
        <v>6808</v>
      </c>
      <c r="G3224" s="7" t="n">
        <v>2018</v>
      </c>
      <c r="H3224" s="7" t="s">
        <v>49</v>
      </c>
      <c r="I3224" s="7" t="s">
        <v>181</v>
      </c>
      <c r="J3224" s="7" t="s">
        <v>188</v>
      </c>
      <c r="K3224" s="7" t="n">
        <f aca="false">IFERROR(VALUE(RIGHT(TRIM(F3224),4)),"")</f>
        <v>2019</v>
      </c>
      <c r="L3224" s="7" t="str">
        <f aca="false">IF(TRIM(E3224)="","Unknown",IFERROR(LEFT(TRIM(E3224),FIND(",",TRIM(E3224))-1),TRIM(E3224)))</f>
        <v>Iceland</v>
      </c>
      <c r="M3224" s="7" t="str">
        <f aca="false">IFERROR(LEFT(J3224,FIND(",",J3224)-1),J3224)</f>
        <v>Dramas</v>
      </c>
      <c r="N3224" s="7" t="n">
        <f aca="false">IF(B3224="Movie",IFERROR(VALUE(LEFT(I3224,FIND(" ",I3224)-1)),""),"")</f>
        <v>102</v>
      </c>
      <c r="O3224" s="7" t="str">
        <f aca="false">IF(B3224="TV Show",IFERROR(VALUE(LEFT(I3224,FIND(" ",I3224)-1)),""),"")</f>
        <v/>
      </c>
      <c r="P3224" s="7" t="n">
        <f aca="false">IF(K3224="","",K3224-G3224)</f>
        <v>1</v>
      </c>
    </row>
    <row r="3225" customFormat="false" ht="15" hidden="false" customHeight="false" outlineLevel="0" collapsed="false">
      <c r="A3225" s="7" t="n">
        <v>80090370</v>
      </c>
      <c r="B3225" s="7" t="s">
        <v>78</v>
      </c>
      <c r="C3225" s="7" t="s">
        <v>6809</v>
      </c>
      <c r="E3225" s="7" t="s">
        <v>30</v>
      </c>
      <c r="F3225" s="7" t="s">
        <v>6808</v>
      </c>
      <c r="G3225" s="7" t="n">
        <v>2015</v>
      </c>
      <c r="H3225" s="7" t="s">
        <v>49</v>
      </c>
      <c r="I3225" s="7" t="s">
        <v>82</v>
      </c>
      <c r="J3225" s="7" t="s">
        <v>6810</v>
      </c>
      <c r="K3225" s="7" t="n">
        <f aca="false">IFERROR(VALUE(RIGHT(TRIM(F3225),4)),"")</f>
        <v>2019</v>
      </c>
      <c r="L3225" s="7" t="str">
        <f aca="false">IF(TRIM(E3225)="","Unknown",IFERROR(LEFT(TRIM(E3225),FIND(",",TRIM(E3225))-1),TRIM(E3225)))</f>
        <v>Japan</v>
      </c>
      <c r="M3225" s="7" t="str">
        <f aca="false">IFERROR(LEFT(J3225,FIND(",",J3225)-1),J3225)</f>
        <v>Anime Series</v>
      </c>
      <c r="N3225" s="7" t="str">
        <f aca="false">IF(B3225="Movie",IFERROR(VALUE(LEFT(I3225,FIND(" ",I3225)-1)),""),"")</f>
        <v/>
      </c>
      <c r="O3225" s="7" t="n">
        <f aca="false">IF(B3225="TV Show",IFERROR(VALUE(LEFT(I3225,FIND(" ",I3225)-1)),""),"")</f>
        <v>1</v>
      </c>
      <c r="P3225" s="7" t="n">
        <f aca="false">IF(K3225="","",K3225-G3225)</f>
        <v>4</v>
      </c>
    </row>
    <row r="3226" customFormat="false" ht="15" hidden="false" customHeight="false" outlineLevel="0" collapsed="false">
      <c r="A3226" s="7" t="n">
        <v>81000860</v>
      </c>
      <c r="B3226" s="7" t="s">
        <v>68</v>
      </c>
      <c r="C3226" s="7" t="s">
        <v>6811</v>
      </c>
      <c r="D3226" s="7" t="s">
        <v>6812</v>
      </c>
      <c r="F3226" s="7" t="s">
        <v>6808</v>
      </c>
      <c r="G3226" s="7" t="n">
        <v>2018</v>
      </c>
      <c r="H3226" s="7" t="s">
        <v>48</v>
      </c>
      <c r="I3226" s="7" t="s">
        <v>232</v>
      </c>
      <c r="J3226" s="7" t="s">
        <v>1042</v>
      </c>
      <c r="K3226" s="7" t="n">
        <f aca="false">IFERROR(VALUE(RIGHT(TRIM(F3226),4)),"")</f>
        <v>2019</v>
      </c>
      <c r="L3226" s="7" t="str">
        <f aca="false">IF(TRIM(E3226)="","Unknown",IFERROR(LEFT(TRIM(E3226),FIND(",",TRIM(E3226))-1),TRIM(E3226)))</f>
        <v>Unknown</v>
      </c>
      <c r="M3226" s="7" t="str">
        <f aca="false">IFERROR(LEFT(J3226,FIND(",",J3226)-1),J3226)</f>
        <v>Dramas</v>
      </c>
      <c r="N3226" s="7" t="n">
        <f aca="false">IF(B3226="Movie",IFERROR(VALUE(LEFT(I3226,FIND(" ",I3226)-1)),""),"")</f>
        <v>122</v>
      </c>
      <c r="O3226" s="7" t="str">
        <f aca="false">IF(B3226="TV Show",IFERROR(VALUE(LEFT(I3226,FIND(" ",I3226)-1)),""),"")</f>
        <v/>
      </c>
      <c r="P3226" s="7" t="n">
        <f aca="false">IF(K3226="","",K3226-G3226)</f>
        <v>1</v>
      </c>
    </row>
    <row r="3227" customFormat="false" ht="15" hidden="false" customHeight="false" outlineLevel="0" collapsed="false">
      <c r="A3227" s="7" t="n">
        <v>81030789</v>
      </c>
      <c r="B3227" s="7" t="s">
        <v>68</v>
      </c>
      <c r="C3227" s="7" t="s">
        <v>6813</v>
      </c>
      <c r="D3227" s="7" t="s">
        <v>6814</v>
      </c>
      <c r="E3227" s="7" t="s">
        <v>527</v>
      </c>
      <c r="F3227" s="7" t="s">
        <v>6808</v>
      </c>
      <c r="G3227" s="7" t="n">
        <v>2018</v>
      </c>
      <c r="H3227" s="7" t="s">
        <v>50</v>
      </c>
      <c r="I3227" s="7" t="s">
        <v>111</v>
      </c>
      <c r="J3227" s="7" t="s">
        <v>198</v>
      </c>
      <c r="K3227" s="7" t="n">
        <f aca="false">IFERROR(VALUE(RIGHT(TRIM(F3227),4)),"")</f>
        <v>2019</v>
      </c>
      <c r="L3227" s="7" t="str">
        <f aca="false">IF(TRIM(E3227)="","Unknown",IFERROR(LEFT(TRIM(E3227),FIND(",",TRIM(E3227))-1),TRIM(E3227)))</f>
        <v>Nigeria</v>
      </c>
      <c r="M3227" s="7" t="str">
        <f aca="false">IFERROR(LEFT(J3227,FIND(",",J3227)-1),J3227)</f>
        <v>Comedies</v>
      </c>
      <c r="N3227" s="7" t="n">
        <f aca="false">IF(B3227="Movie",IFERROR(VALUE(LEFT(I3227,FIND(" ",I3227)-1)),""),"")</f>
        <v>95</v>
      </c>
      <c r="O3227" s="7" t="str">
        <f aca="false">IF(B3227="TV Show",IFERROR(VALUE(LEFT(I3227,FIND(" ",I3227)-1)),""),"")</f>
        <v/>
      </c>
      <c r="P3227" s="7" t="n">
        <f aca="false">IF(K3227="","",K3227-G3227)</f>
        <v>1</v>
      </c>
    </row>
    <row r="3228" customFormat="false" ht="15" hidden="false" customHeight="false" outlineLevel="0" collapsed="false">
      <c r="A3228" s="7" t="n">
        <v>81020635</v>
      </c>
      <c r="B3228" s="7" t="s">
        <v>78</v>
      </c>
      <c r="C3228" s="7" t="s">
        <v>6815</v>
      </c>
      <c r="F3228" s="7" t="s">
        <v>6808</v>
      </c>
      <c r="G3228" s="7" t="n">
        <v>2017</v>
      </c>
      <c r="H3228" s="7" t="s">
        <v>49</v>
      </c>
      <c r="I3228" s="7" t="s">
        <v>82</v>
      </c>
      <c r="J3228" s="7" t="s">
        <v>314</v>
      </c>
      <c r="K3228" s="7" t="n">
        <f aca="false">IFERROR(VALUE(RIGHT(TRIM(F3228),4)),"")</f>
        <v>2019</v>
      </c>
      <c r="L3228" s="7" t="str">
        <f aca="false">IF(TRIM(E3228)="","Unknown",IFERROR(LEFT(TRIM(E3228),FIND(",",TRIM(E3228))-1),TRIM(E3228)))</f>
        <v>Unknown</v>
      </c>
      <c r="M3228" s="7" t="str">
        <f aca="false">IFERROR(LEFT(J3228,FIND(",",J3228)-1),J3228)</f>
        <v>International TV Shows</v>
      </c>
      <c r="N3228" s="7" t="str">
        <f aca="false">IF(B3228="Movie",IFERROR(VALUE(LEFT(I3228,FIND(" ",I3228)-1)),""),"")</f>
        <v/>
      </c>
      <c r="O3228" s="7" t="n">
        <f aca="false">IF(B3228="TV Show",IFERROR(VALUE(LEFT(I3228,FIND(" ",I3228)-1)),""),"")</f>
        <v>1</v>
      </c>
      <c r="P3228" s="7" t="n">
        <f aca="false">IF(K3228="","",K3228-G3228)</f>
        <v>2</v>
      </c>
    </row>
    <row r="3229" customFormat="false" ht="15" hidden="false" customHeight="false" outlineLevel="0" collapsed="false">
      <c r="A3229" s="7" t="n">
        <v>80134893</v>
      </c>
      <c r="B3229" s="7" t="s">
        <v>68</v>
      </c>
      <c r="C3229" s="7" t="s">
        <v>6816</v>
      </c>
      <c r="D3229" s="7" t="s">
        <v>6817</v>
      </c>
      <c r="E3229" s="7" t="s">
        <v>26</v>
      </c>
      <c r="F3229" s="7" t="s">
        <v>6818</v>
      </c>
      <c r="G3229" s="7" t="n">
        <v>2016</v>
      </c>
      <c r="H3229" s="7" t="s">
        <v>54</v>
      </c>
      <c r="I3229" s="7" t="s">
        <v>421</v>
      </c>
      <c r="J3229" s="7" t="s">
        <v>1931</v>
      </c>
      <c r="K3229" s="7" t="n">
        <f aca="false">IFERROR(VALUE(RIGHT(TRIM(F3229),4)),"")</f>
        <v>2017</v>
      </c>
      <c r="L3229" s="7" t="str">
        <f aca="false">IF(TRIM(E3229)="","Unknown",IFERROR(LEFT(TRIM(E3229),FIND(",",TRIM(E3229))-1),TRIM(E3229)))</f>
        <v>United States</v>
      </c>
      <c r="M3229" s="7" t="str">
        <f aca="false">IFERROR(LEFT(J3229,FIND(",",J3229)-1),J3229)</f>
        <v>Children &amp; Family Movies</v>
      </c>
      <c r="N3229" s="7" t="n">
        <f aca="false">IF(B3229="Movie",IFERROR(VALUE(LEFT(I3229,FIND(" ",I3229)-1)),""),"")</f>
        <v>75</v>
      </c>
      <c r="O3229" s="7" t="str">
        <f aca="false">IF(B3229="TV Show",IFERROR(VALUE(LEFT(I3229,FIND(" ",I3229)-1)),""),"")</f>
        <v/>
      </c>
      <c r="P3229" s="7" t="n">
        <f aca="false">IF(K3229="","",K3229-G3229)</f>
        <v>1</v>
      </c>
    </row>
    <row r="3230" customFormat="false" ht="15" hidden="false" customHeight="false" outlineLevel="0" collapsed="false">
      <c r="A3230" s="7" t="n">
        <v>81047683</v>
      </c>
      <c r="B3230" s="7" t="s">
        <v>68</v>
      </c>
      <c r="C3230" s="7" t="s">
        <v>6819</v>
      </c>
      <c r="D3230" s="7" t="s">
        <v>6820</v>
      </c>
      <c r="E3230" s="7" t="s">
        <v>28</v>
      </c>
      <c r="F3230" s="7" t="s">
        <v>6821</v>
      </c>
      <c r="G3230" s="7" t="n">
        <v>2018</v>
      </c>
      <c r="H3230" s="7" t="s">
        <v>49</v>
      </c>
      <c r="I3230" s="7" t="s">
        <v>311</v>
      </c>
      <c r="J3230" s="7" t="s">
        <v>37</v>
      </c>
      <c r="K3230" s="7" t="n">
        <f aca="false">IFERROR(VALUE(RIGHT(TRIM(F3230),4)),"")</f>
        <v>2019</v>
      </c>
      <c r="L3230" s="7" t="str">
        <f aca="false">IF(TRIM(E3230)="","Unknown",IFERROR(LEFT(TRIM(E3230),FIND(",",TRIM(E3230))-1),TRIM(E3230)))</f>
        <v>United Kingdom</v>
      </c>
      <c r="M3230" s="7" t="str">
        <f aca="false">IFERROR(LEFT(J3230,FIND(",",J3230)-1),J3230)</f>
        <v>Dramas</v>
      </c>
      <c r="N3230" s="7" t="n">
        <f aca="false">IF(B3230="Movie",IFERROR(VALUE(LEFT(I3230,FIND(" ",I3230)-1)),""),"")</f>
        <v>92</v>
      </c>
      <c r="O3230" s="7" t="str">
        <f aca="false">IF(B3230="TV Show",IFERROR(VALUE(LEFT(I3230,FIND(" ",I3230)-1)),""),"")</f>
        <v/>
      </c>
      <c r="P3230" s="7" t="n">
        <f aca="false">IF(K3230="","",K3230-G3230)</f>
        <v>1</v>
      </c>
    </row>
    <row r="3231" customFormat="false" ht="15" hidden="false" customHeight="false" outlineLevel="0" collapsed="false">
      <c r="A3231" s="7" t="n">
        <v>81034697</v>
      </c>
      <c r="B3231" s="7" t="s">
        <v>78</v>
      </c>
      <c r="C3231" s="7" t="s">
        <v>6822</v>
      </c>
      <c r="E3231" s="7" t="s">
        <v>31</v>
      </c>
      <c r="F3231" s="7" t="s">
        <v>6821</v>
      </c>
      <c r="G3231" s="7" t="n">
        <v>2017</v>
      </c>
      <c r="H3231" s="7" t="s">
        <v>48</v>
      </c>
      <c r="I3231" s="7" t="s">
        <v>82</v>
      </c>
      <c r="J3231" s="7" t="s">
        <v>588</v>
      </c>
      <c r="K3231" s="7" t="n">
        <f aca="false">IFERROR(VALUE(RIGHT(TRIM(F3231),4)),"")</f>
        <v>2019</v>
      </c>
      <c r="L3231" s="7" t="str">
        <f aca="false">IF(TRIM(E3231)="","Unknown",IFERROR(LEFT(TRIM(E3231),FIND(",",TRIM(E3231))-1),TRIM(E3231)))</f>
        <v>France</v>
      </c>
      <c r="M3231" s="7" t="str">
        <f aca="false">IFERROR(LEFT(J3231,FIND(",",J3231)-1),J3231)</f>
        <v>Crime TV Shows</v>
      </c>
      <c r="N3231" s="7" t="str">
        <f aca="false">IF(B3231="Movie",IFERROR(VALUE(LEFT(I3231,FIND(" ",I3231)-1)),""),"")</f>
        <v/>
      </c>
      <c r="O3231" s="7" t="n">
        <f aca="false">IF(B3231="TV Show",IFERROR(VALUE(LEFT(I3231,FIND(" ",I3231)-1)),""),"")</f>
        <v>1</v>
      </c>
      <c r="P3231" s="7" t="n">
        <f aca="false">IF(K3231="","",K3231-G3231)</f>
        <v>2</v>
      </c>
    </row>
    <row r="3232" customFormat="false" ht="15" hidden="false" customHeight="false" outlineLevel="0" collapsed="false">
      <c r="A3232" s="7" t="n">
        <v>81049950</v>
      </c>
      <c r="B3232" s="7" t="s">
        <v>68</v>
      </c>
      <c r="C3232" s="7" t="s">
        <v>6823</v>
      </c>
      <c r="D3232" s="7" t="s">
        <v>6824</v>
      </c>
      <c r="E3232" s="7" t="s">
        <v>1178</v>
      </c>
      <c r="F3232" s="7" t="s">
        <v>6821</v>
      </c>
      <c r="G3232" s="7" t="n">
        <v>2018</v>
      </c>
      <c r="H3232" s="7" t="s">
        <v>49</v>
      </c>
      <c r="I3232" s="7" t="s">
        <v>93</v>
      </c>
      <c r="J3232" s="7" t="s">
        <v>486</v>
      </c>
      <c r="K3232" s="7" t="n">
        <f aca="false">IFERROR(VALUE(RIGHT(TRIM(F3232),4)),"")</f>
        <v>2019</v>
      </c>
      <c r="L3232" s="7" t="str">
        <f aca="false">IF(TRIM(E3232)="","Unknown",IFERROR(LEFT(TRIM(E3232),FIND(",",TRIM(E3232))-1),TRIM(E3232)))</f>
        <v>Malaysia</v>
      </c>
      <c r="M3232" s="7" t="str">
        <f aca="false">IFERROR(LEFT(J3232,FIND(",",J3232)-1),J3232)</f>
        <v>Comedies</v>
      </c>
      <c r="N3232" s="7" t="n">
        <f aca="false">IF(B3232="Movie",IFERROR(VALUE(LEFT(I3232,FIND(" ",I3232)-1)),""),"")</f>
        <v>110</v>
      </c>
      <c r="O3232" s="7" t="str">
        <f aca="false">IF(B3232="TV Show",IFERROR(VALUE(LEFT(I3232,FIND(" ",I3232)-1)),""),"")</f>
        <v/>
      </c>
      <c r="P3232" s="7" t="n">
        <f aca="false">IF(K3232="","",K3232-G3232)</f>
        <v>1</v>
      </c>
    </row>
    <row r="3233" customFormat="false" ht="15" hidden="false" customHeight="false" outlineLevel="0" collapsed="false">
      <c r="A3233" s="7" t="n">
        <v>81047677</v>
      </c>
      <c r="B3233" s="7" t="s">
        <v>68</v>
      </c>
      <c r="C3233" s="7" t="s">
        <v>6825</v>
      </c>
      <c r="D3233" s="7" t="s">
        <v>6826</v>
      </c>
      <c r="F3233" s="7" t="s">
        <v>6821</v>
      </c>
      <c r="G3233" s="7" t="n">
        <v>2017</v>
      </c>
      <c r="H3233" s="7" t="s">
        <v>50</v>
      </c>
      <c r="I3233" s="7" t="s">
        <v>173</v>
      </c>
      <c r="J3233" s="7" t="s">
        <v>3601</v>
      </c>
      <c r="K3233" s="7" t="n">
        <f aca="false">IFERROR(VALUE(RIGHT(TRIM(F3233),4)),"")</f>
        <v>2019</v>
      </c>
      <c r="L3233" s="7" t="str">
        <f aca="false">IF(TRIM(E3233)="","Unknown",IFERROR(LEFT(TRIM(E3233),FIND(",",TRIM(E3233))-1),TRIM(E3233)))</f>
        <v>Unknown</v>
      </c>
      <c r="M3233" s="7" t="str">
        <f aca="false">IFERROR(LEFT(J3233,FIND(",",J3233)-1),J3233)</f>
        <v>Children &amp; Family Movies</v>
      </c>
      <c r="N3233" s="7" t="n">
        <f aca="false">IF(B3233="Movie",IFERROR(VALUE(LEFT(I3233,FIND(" ",I3233)-1)),""),"")</f>
        <v>106</v>
      </c>
      <c r="O3233" s="7" t="str">
        <f aca="false">IF(B3233="TV Show",IFERROR(VALUE(LEFT(I3233,FIND(" ",I3233)-1)),""),"")</f>
        <v/>
      </c>
      <c r="P3233" s="7" t="n">
        <f aca="false">IF(K3233="","",K3233-G3233)</f>
        <v>2</v>
      </c>
    </row>
    <row r="3234" customFormat="false" ht="15" hidden="false" customHeight="false" outlineLevel="0" collapsed="false">
      <c r="A3234" s="7" t="n">
        <v>80188596</v>
      </c>
      <c r="B3234" s="7" t="s">
        <v>68</v>
      </c>
      <c r="C3234" s="7" t="s">
        <v>6827</v>
      </c>
      <c r="D3234" s="7" t="s">
        <v>6828</v>
      </c>
      <c r="E3234" s="7" t="s">
        <v>2476</v>
      </c>
      <c r="F3234" s="7" t="s">
        <v>6821</v>
      </c>
      <c r="G3234" s="7" t="n">
        <v>2017</v>
      </c>
      <c r="H3234" s="7" t="s">
        <v>48</v>
      </c>
      <c r="I3234" s="7" t="s">
        <v>2551</v>
      </c>
      <c r="J3234" s="7" t="s">
        <v>217</v>
      </c>
      <c r="K3234" s="7" t="n">
        <f aca="false">IFERROR(VALUE(RIGHT(TRIM(F3234),4)),"")</f>
        <v>2019</v>
      </c>
      <c r="L3234" s="7" t="str">
        <f aca="false">IF(TRIM(E3234)="","Unknown",IFERROR(LEFT(TRIM(E3234),FIND(",",TRIM(E3234))-1),TRIM(E3234)))</f>
        <v>China</v>
      </c>
      <c r="M3234" s="7" t="str">
        <f aca="false">IFERROR(LEFT(J3234,FIND(",",J3234)-1),J3234)</f>
        <v>Comedies</v>
      </c>
      <c r="N3234" s="7" t="n">
        <f aca="false">IF(B3234="Movie",IFERROR(VALUE(LEFT(I3234,FIND(" ",I3234)-1)),""),"")</f>
        <v>120</v>
      </c>
      <c r="O3234" s="7" t="str">
        <f aca="false">IF(B3234="TV Show",IFERROR(VALUE(LEFT(I3234,FIND(" ",I3234)-1)),""),"")</f>
        <v/>
      </c>
      <c r="P3234" s="7" t="n">
        <f aca="false">IF(K3234="","",K3234-G3234)</f>
        <v>2</v>
      </c>
    </row>
    <row r="3235" customFormat="false" ht="15" hidden="false" customHeight="false" outlineLevel="0" collapsed="false">
      <c r="A3235" s="7" t="n">
        <v>80189656</v>
      </c>
      <c r="B3235" s="7" t="s">
        <v>78</v>
      </c>
      <c r="C3235" s="7" t="s">
        <v>6829</v>
      </c>
      <c r="F3235" s="7" t="s">
        <v>6821</v>
      </c>
      <c r="G3235" s="7" t="n">
        <v>2018</v>
      </c>
      <c r="H3235" s="7" t="s">
        <v>119</v>
      </c>
      <c r="I3235" s="7" t="s">
        <v>82</v>
      </c>
      <c r="J3235" s="7" t="s">
        <v>44</v>
      </c>
      <c r="K3235" s="7" t="n">
        <f aca="false">IFERROR(VALUE(RIGHT(TRIM(F3235),4)),"")</f>
        <v>2019</v>
      </c>
      <c r="L3235" s="7" t="str">
        <f aca="false">IF(TRIM(E3235)="","Unknown",IFERROR(LEFT(TRIM(E3235),FIND(",",TRIM(E3235))-1),TRIM(E3235)))</f>
        <v>Unknown</v>
      </c>
      <c r="M3235" s="7" t="str">
        <f aca="false">IFERROR(LEFT(J3235,FIND(",",J3235)-1),J3235)</f>
        <v>Kids' TV</v>
      </c>
      <c r="N3235" s="7" t="str">
        <f aca="false">IF(B3235="Movie",IFERROR(VALUE(LEFT(I3235,FIND(" ",I3235)-1)),""),"")</f>
        <v/>
      </c>
      <c r="O3235" s="7" t="n">
        <f aca="false">IF(B3235="TV Show",IFERROR(VALUE(LEFT(I3235,FIND(" ",I3235)-1)),""),"")</f>
        <v>1</v>
      </c>
      <c r="P3235" s="7" t="n">
        <f aca="false">IF(K3235="","",K3235-G3235)</f>
        <v>1</v>
      </c>
    </row>
    <row r="3236" customFormat="false" ht="15" hidden="false" customHeight="false" outlineLevel="0" collapsed="false">
      <c r="A3236" s="7" t="n">
        <v>81016360</v>
      </c>
      <c r="B3236" s="7" t="s">
        <v>68</v>
      </c>
      <c r="C3236" s="7" t="s">
        <v>6830</v>
      </c>
      <c r="D3236" s="7" t="s">
        <v>6831</v>
      </c>
      <c r="E3236" s="7" t="s">
        <v>26</v>
      </c>
      <c r="F3236" s="7" t="s">
        <v>6821</v>
      </c>
      <c r="G3236" s="7" t="n">
        <v>2018</v>
      </c>
      <c r="H3236" s="7" t="s">
        <v>48</v>
      </c>
      <c r="I3236" s="7" t="s">
        <v>524</v>
      </c>
      <c r="J3236" s="7" t="s">
        <v>1085</v>
      </c>
      <c r="K3236" s="7" t="n">
        <f aca="false">IFERROR(VALUE(RIGHT(TRIM(F3236),4)),"")</f>
        <v>2019</v>
      </c>
      <c r="L3236" s="7" t="str">
        <f aca="false">IF(TRIM(E3236)="","Unknown",IFERROR(LEFT(TRIM(E3236),FIND(",",TRIM(E3236))-1),TRIM(E3236)))</f>
        <v>United States</v>
      </c>
      <c r="M3236" s="7" t="str">
        <f aca="false">IFERROR(LEFT(J3236,FIND(",",J3236)-1),J3236)</f>
        <v>Documentaries</v>
      </c>
      <c r="N3236" s="7" t="n">
        <f aca="false">IF(B3236="Movie",IFERROR(VALUE(LEFT(I3236,FIND(" ",I3236)-1)),""),"")</f>
        <v>83</v>
      </c>
      <c r="O3236" s="7" t="str">
        <f aca="false">IF(B3236="TV Show",IFERROR(VALUE(LEFT(I3236,FIND(" ",I3236)-1)),""),"")</f>
        <v/>
      </c>
      <c r="P3236" s="7" t="n">
        <f aca="false">IF(K3236="","",K3236-G3236)</f>
        <v>1</v>
      </c>
    </row>
    <row r="3237" customFormat="false" ht="15" hidden="false" customHeight="false" outlineLevel="0" collapsed="false">
      <c r="A3237" s="7" t="n">
        <v>70307659</v>
      </c>
      <c r="B3237" s="7" t="s">
        <v>68</v>
      </c>
      <c r="C3237" s="7" t="s">
        <v>6832</v>
      </c>
      <c r="D3237" s="7" t="s">
        <v>2819</v>
      </c>
      <c r="E3237" s="7" t="s">
        <v>6833</v>
      </c>
      <c r="F3237" s="7" t="s">
        <v>6821</v>
      </c>
      <c r="G3237" s="7" t="n">
        <v>2014</v>
      </c>
      <c r="H3237" s="7" t="s">
        <v>54</v>
      </c>
      <c r="I3237" s="7" t="s">
        <v>869</v>
      </c>
      <c r="J3237" s="7" t="s">
        <v>251</v>
      </c>
      <c r="K3237" s="7" t="n">
        <f aca="false">IFERROR(VALUE(RIGHT(TRIM(F3237),4)),"")</f>
        <v>2019</v>
      </c>
      <c r="L3237" s="7" t="str">
        <f aca="false">IF(TRIM(E3237)="","Unknown",IFERROR(LEFT(TRIM(E3237),FIND(",",TRIM(E3237))-1),TRIM(E3237)))</f>
        <v>United States</v>
      </c>
      <c r="M3237" s="7" t="str">
        <f aca="false">IFERROR(LEFT(J3237,FIND(",",J3237)-1),J3237)</f>
        <v>Comedies</v>
      </c>
      <c r="N3237" s="7" t="n">
        <f aca="false">IF(B3237="Movie",IFERROR(VALUE(LEFT(I3237,FIND(" ",I3237)-1)),""),"")</f>
        <v>123</v>
      </c>
      <c r="O3237" s="7" t="str">
        <f aca="false">IF(B3237="TV Show",IFERROR(VALUE(LEFT(I3237,FIND(" ",I3237)-1)),""),"")</f>
        <v/>
      </c>
      <c r="P3237" s="7" t="n">
        <f aca="false">IF(K3237="","",K3237-G3237)</f>
        <v>5</v>
      </c>
    </row>
    <row r="3238" customFormat="false" ht="15" hidden="false" customHeight="false" outlineLevel="0" collapsed="false">
      <c r="A3238" s="7" t="n">
        <v>80224476</v>
      </c>
      <c r="B3238" s="7" t="s">
        <v>68</v>
      </c>
      <c r="C3238" s="7" t="s">
        <v>6834</v>
      </c>
      <c r="D3238" s="7" t="s">
        <v>6835</v>
      </c>
      <c r="E3238" s="7" t="s">
        <v>1081</v>
      </c>
      <c r="F3238" s="7" t="s">
        <v>6836</v>
      </c>
      <c r="G3238" s="7" t="n">
        <v>2017</v>
      </c>
      <c r="H3238" s="7" t="s">
        <v>50</v>
      </c>
      <c r="I3238" s="7" t="s">
        <v>138</v>
      </c>
      <c r="J3238" s="7" t="s">
        <v>341</v>
      </c>
      <c r="K3238" s="7" t="n">
        <f aca="false">IFERROR(VALUE(RIGHT(TRIM(F3238),4)),"")</f>
        <v>2018</v>
      </c>
      <c r="L3238" s="7" t="str">
        <f aca="false">IF(TRIM(E3238)="","Unknown",IFERROR(LEFT(TRIM(E3238),FIND(",",TRIM(E3238))-1),TRIM(E3238)))</f>
        <v>Germany</v>
      </c>
      <c r="M3238" s="7" t="str">
        <f aca="false">IFERROR(LEFT(J3238,FIND(",",J3238)-1),J3238)</f>
        <v>Documentaries</v>
      </c>
      <c r="N3238" s="7" t="n">
        <f aca="false">IF(B3238="Movie",IFERROR(VALUE(LEFT(I3238,FIND(" ",I3238)-1)),""),"")</f>
        <v>96</v>
      </c>
      <c r="O3238" s="7" t="str">
        <f aca="false">IF(B3238="TV Show",IFERROR(VALUE(LEFT(I3238,FIND(" ",I3238)-1)),""),"")</f>
        <v/>
      </c>
      <c r="P3238" s="7" t="n">
        <f aca="false">IF(K3238="","",K3238-G3238)</f>
        <v>1</v>
      </c>
    </row>
    <row r="3239" customFormat="false" ht="15" hidden="false" customHeight="false" outlineLevel="0" collapsed="false">
      <c r="A3239" s="7" t="n">
        <v>80133549</v>
      </c>
      <c r="B3239" s="7" t="s">
        <v>68</v>
      </c>
      <c r="C3239" s="7" t="s">
        <v>6837</v>
      </c>
      <c r="D3239" s="7" t="s">
        <v>1621</v>
      </c>
      <c r="E3239" s="7" t="s">
        <v>26</v>
      </c>
      <c r="F3239" s="7" t="s">
        <v>6838</v>
      </c>
      <c r="G3239" s="7" t="n">
        <v>2017</v>
      </c>
      <c r="H3239" s="7" t="s">
        <v>48</v>
      </c>
      <c r="I3239" s="7" t="s">
        <v>107</v>
      </c>
      <c r="J3239" s="7" t="s">
        <v>45</v>
      </c>
      <c r="K3239" s="7" t="n">
        <f aca="false">IFERROR(VALUE(RIGHT(TRIM(F3239),4)),"")</f>
        <v>2017</v>
      </c>
      <c r="L3239" s="7" t="str">
        <f aca="false">IF(TRIM(E3239)="","Unknown",IFERROR(LEFT(TRIM(E3239),FIND(",",TRIM(E3239))-1),TRIM(E3239)))</f>
        <v>United States</v>
      </c>
      <c r="M3239" s="7" t="str">
        <f aca="false">IFERROR(LEFT(J3239,FIND(",",J3239)-1),J3239)</f>
        <v>Stand-Up Comedy</v>
      </c>
      <c r="N3239" s="7" t="n">
        <f aca="false">IF(B3239="Movie",IFERROR(VALUE(LEFT(I3239,FIND(" ",I3239)-1)),""),"")</f>
        <v>78</v>
      </c>
      <c r="O3239" s="7" t="str">
        <f aca="false">IF(B3239="TV Show",IFERROR(VALUE(LEFT(I3239,FIND(" ",I3239)-1)),""),"")</f>
        <v/>
      </c>
      <c r="P3239" s="7" t="n">
        <f aca="false">IF(K3239="","",K3239-G3239)</f>
        <v>0</v>
      </c>
    </row>
    <row r="3240" customFormat="false" ht="15" hidden="false" customHeight="false" outlineLevel="0" collapsed="false">
      <c r="A3240" s="7" t="n">
        <v>80081958</v>
      </c>
      <c r="B3240" s="7" t="s">
        <v>68</v>
      </c>
      <c r="C3240" s="7" t="s">
        <v>6839</v>
      </c>
      <c r="D3240" s="7" t="s">
        <v>6840</v>
      </c>
      <c r="E3240" s="7" t="s">
        <v>34</v>
      </c>
      <c r="F3240" s="7" t="s">
        <v>6838</v>
      </c>
      <c r="G3240" s="7" t="n">
        <v>2015</v>
      </c>
      <c r="H3240" s="7" t="s">
        <v>53</v>
      </c>
      <c r="I3240" s="7" t="s">
        <v>494</v>
      </c>
      <c r="J3240" s="7" t="s">
        <v>304</v>
      </c>
      <c r="K3240" s="7" t="n">
        <f aca="false">IFERROR(VALUE(RIGHT(TRIM(F3240),4)),"")</f>
        <v>2017</v>
      </c>
      <c r="L3240" s="7" t="str">
        <f aca="false">IF(TRIM(E3240)="","Unknown",IFERROR(LEFT(TRIM(E3240),FIND(",",TRIM(E3240))-1),TRIM(E3240)))</f>
        <v>Mexico</v>
      </c>
      <c r="M3240" s="7" t="str">
        <f aca="false">IFERROR(LEFT(J3240,FIND(",",J3240)-1),J3240)</f>
        <v>Dramas</v>
      </c>
      <c r="N3240" s="7" t="n">
        <f aca="false">IF(B3240="Movie",IFERROR(VALUE(LEFT(I3240,FIND(" ",I3240)-1)),""),"")</f>
        <v>87</v>
      </c>
      <c r="O3240" s="7" t="str">
        <f aca="false">IF(B3240="TV Show",IFERROR(VALUE(LEFT(I3240,FIND(" ",I3240)-1)),""),"")</f>
        <v/>
      </c>
      <c r="P3240" s="7" t="n">
        <f aca="false">IF(K3240="","",K3240-G3240)</f>
        <v>2</v>
      </c>
    </row>
    <row r="3241" customFormat="false" ht="15" hidden="false" customHeight="false" outlineLevel="0" collapsed="false">
      <c r="A3241" s="7" t="n">
        <v>81035398</v>
      </c>
      <c r="B3241" s="7" t="s">
        <v>68</v>
      </c>
      <c r="C3241" s="7" t="s">
        <v>6841</v>
      </c>
      <c r="D3241" s="7" t="s">
        <v>6842</v>
      </c>
      <c r="F3241" s="7" t="s">
        <v>6843</v>
      </c>
      <c r="G3241" s="7" t="n">
        <v>2010</v>
      </c>
      <c r="H3241" s="7" t="s">
        <v>49</v>
      </c>
      <c r="I3241" s="7" t="s">
        <v>1599</v>
      </c>
      <c r="J3241" s="7" t="s">
        <v>304</v>
      </c>
      <c r="K3241" s="7" t="n">
        <f aca="false">IFERROR(VALUE(RIGHT(TRIM(F3241),4)),"")</f>
        <v>2019</v>
      </c>
      <c r="L3241" s="7" t="str">
        <f aca="false">IF(TRIM(E3241)="","Unknown",IFERROR(LEFT(TRIM(E3241),FIND(",",TRIM(E3241))-1),TRIM(E3241)))</f>
        <v>Unknown</v>
      </c>
      <c r="M3241" s="7" t="str">
        <f aca="false">IFERROR(LEFT(J3241,FIND(",",J3241)-1),J3241)</f>
        <v>Dramas</v>
      </c>
      <c r="N3241" s="7" t="n">
        <f aca="false">IF(B3241="Movie",IFERROR(VALUE(LEFT(I3241,FIND(" ",I3241)-1)),""),"")</f>
        <v>56</v>
      </c>
      <c r="O3241" s="7" t="str">
        <f aca="false">IF(B3241="TV Show",IFERROR(VALUE(LEFT(I3241,FIND(" ",I3241)-1)),""),"")</f>
        <v/>
      </c>
      <c r="P3241" s="7" t="n">
        <f aca="false">IF(K3241="","",K3241-G3241)</f>
        <v>9</v>
      </c>
    </row>
    <row r="3242" customFormat="false" ht="15" hidden="false" customHeight="false" outlineLevel="0" collapsed="false">
      <c r="A3242" s="7" t="n">
        <v>70113347</v>
      </c>
      <c r="B3242" s="7" t="s">
        <v>68</v>
      </c>
      <c r="C3242" s="7" t="s">
        <v>6844</v>
      </c>
      <c r="D3242" s="7" t="s">
        <v>6845</v>
      </c>
      <c r="E3242" s="7" t="s">
        <v>27</v>
      </c>
      <c r="F3242" s="7" t="s">
        <v>6843</v>
      </c>
      <c r="G3242" s="7" t="n">
        <v>2008</v>
      </c>
      <c r="H3242" s="7" t="s">
        <v>50</v>
      </c>
      <c r="I3242" s="7" t="s">
        <v>727</v>
      </c>
      <c r="J3242" s="7" t="s">
        <v>1703</v>
      </c>
      <c r="K3242" s="7" t="n">
        <f aca="false">IFERROR(VALUE(RIGHT(TRIM(F3242),4)),"")</f>
        <v>2019</v>
      </c>
      <c r="L3242" s="7" t="str">
        <f aca="false">IF(TRIM(E3242)="","Unknown",IFERROR(LEFT(TRIM(E3242),FIND(",",TRIM(E3242))-1),TRIM(E3242)))</f>
        <v>India</v>
      </c>
      <c r="M3242" s="7" t="str">
        <f aca="false">IFERROR(LEFT(J3242,FIND(",",J3242)-1),J3242)</f>
        <v>Dramas</v>
      </c>
      <c r="N3242" s="7" t="n">
        <f aca="false">IF(B3242="Movie",IFERROR(VALUE(LEFT(I3242,FIND(" ",I3242)-1)),""),"")</f>
        <v>141</v>
      </c>
      <c r="O3242" s="7" t="str">
        <f aca="false">IF(B3242="TV Show",IFERROR(VALUE(LEFT(I3242,FIND(" ",I3242)-1)),""),"")</f>
        <v/>
      </c>
      <c r="P3242" s="7" t="n">
        <f aca="false">IF(K3242="","",K3242-G3242)</f>
        <v>11</v>
      </c>
    </row>
    <row r="3243" customFormat="false" ht="15" hidden="false" customHeight="false" outlineLevel="0" collapsed="false">
      <c r="A3243" s="7" t="n">
        <v>80097389</v>
      </c>
      <c r="B3243" s="7" t="s">
        <v>68</v>
      </c>
      <c r="C3243" s="7" t="s">
        <v>6846</v>
      </c>
      <c r="D3243" s="7" t="s">
        <v>6847</v>
      </c>
      <c r="E3243" s="7" t="s">
        <v>2125</v>
      </c>
      <c r="F3243" s="7" t="s">
        <v>6843</v>
      </c>
      <c r="G3243" s="7" t="n">
        <v>2016</v>
      </c>
      <c r="H3243" s="7" t="s">
        <v>51</v>
      </c>
      <c r="I3243" s="7" t="s">
        <v>451</v>
      </c>
      <c r="J3243" s="7" t="s">
        <v>198</v>
      </c>
      <c r="K3243" s="7" t="n">
        <f aca="false">IFERROR(VALUE(RIGHT(TRIM(F3243),4)),"")</f>
        <v>2019</v>
      </c>
      <c r="L3243" s="7" t="str">
        <f aca="false">IF(TRIM(E3243)="","Unknown",IFERROR(LEFT(TRIM(E3243),FIND(",",TRIM(E3243))-1),TRIM(E3243)))</f>
        <v>United States</v>
      </c>
      <c r="M3243" s="7" t="str">
        <f aca="false">IFERROR(LEFT(J3243,FIND(",",J3243)-1),J3243)</f>
        <v>Comedies</v>
      </c>
      <c r="N3243" s="7" t="n">
        <f aca="false">IF(B3243="Movie",IFERROR(VALUE(LEFT(I3243,FIND(" ",I3243)-1)),""),"")</f>
        <v>97</v>
      </c>
      <c r="O3243" s="7" t="str">
        <f aca="false">IF(B3243="TV Show",IFERROR(VALUE(LEFT(I3243,FIND(" ",I3243)-1)),""),"")</f>
        <v/>
      </c>
      <c r="P3243" s="7" t="n">
        <f aca="false">IF(K3243="","",K3243-G3243)</f>
        <v>3</v>
      </c>
    </row>
    <row r="3244" customFormat="false" ht="15" hidden="false" customHeight="false" outlineLevel="0" collapsed="false">
      <c r="A3244" s="7" t="n">
        <v>80221639</v>
      </c>
      <c r="B3244" s="7" t="s">
        <v>68</v>
      </c>
      <c r="C3244" s="7" t="s">
        <v>6848</v>
      </c>
      <c r="D3244" s="7" t="s">
        <v>6849</v>
      </c>
      <c r="E3244" s="7" t="s">
        <v>26</v>
      </c>
      <c r="F3244" s="7" t="s">
        <v>6843</v>
      </c>
      <c r="G3244" s="7" t="n">
        <v>2018</v>
      </c>
      <c r="H3244" s="7" t="s">
        <v>54</v>
      </c>
      <c r="I3244" s="7" t="s">
        <v>1270</v>
      </c>
      <c r="J3244" s="7" t="s">
        <v>74</v>
      </c>
      <c r="K3244" s="7" t="n">
        <f aca="false">IFERROR(VALUE(RIGHT(TRIM(F3244),4)),"")</f>
        <v>2019</v>
      </c>
      <c r="L3244" s="7" t="str">
        <f aca="false">IF(TRIM(E3244)="","Unknown",IFERROR(LEFT(TRIM(E3244),FIND(",",TRIM(E3244))-1),TRIM(E3244)))</f>
        <v>United States</v>
      </c>
      <c r="M3244" s="7" t="str">
        <f aca="false">IFERROR(LEFT(J3244,FIND(",",J3244)-1),J3244)</f>
        <v>Children &amp; Family Movies</v>
      </c>
      <c r="N3244" s="7" t="n">
        <f aca="false">IF(B3244="Movie",IFERROR(VALUE(LEFT(I3244,FIND(" ",I3244)-1)),""),"")</f>
        <v>118</v>
      </c>
      <c r="O3244" s="7" t="str">
        <f aca="false">IF(B3244="TV Show",IFERROR(VALUE(LEFT(I3244,FIND(" ",I3244)-1)),""),"")</f>
        <v/>
      </c>
      <c r="P3244" s="7" t="n">
        <f aca="false">IF(K3244="","",K3244-G3244)</f>
        <v>1</v>
      </c>
    </row>
    <row r="3245" customFormat="false" ht="15" hidden="false" customHeight="false" outlineLevel="0" collapsed="false">
      <c r="A3245" s="7" t="n">
        <v>70099120</v>
      </c>
      <c r="B3245" s="7" t="s">
        <v>68</v>
      </c>
      <c r="C3245" s="7" t="s">
        <v>6850</v>
      </c>
      <c r="D3245" s="7" t="s">
        <v>6851</v>
      </c>
      <c r="E3245" s="7" t="s">
        <v>26</v>
      </c>
      <c r="F3245" s="7" t="s">
        <v>6843</v>
      </c>
      <c r="G3245" s="7" t="n">
        <v>2008</v>
      </c>
      <c r="H3245" s="7" t="s">
        <v>54</v>
      </c>
      <c r="I3245" s="7" t="s">
        <v>111</v>
      </c>
      <c r="J3245" s="7" t="s">
        <v>6852</v>
      </c>
      <c r="K3245" s="7" t="n">
        <f aca="false">IFERROR(VALUE(RIGHT(TRIM(F3245),4)),"")</f>
        <v>2019</v>
      </c>
      <c r="L3245" s="7" t="str">
        <f aca="false">IF(TRIM(E3245)="","Unknown",IFERROR(LEFT(TRIM(E3245),FIND(",",TRIM(E3245))-1),TRIM(E3245)))</f>
        <v>United States</v>
      </c>
      <c r="M3245" s="7" t="str">
        <f aca="false">IFERROR(LEFT(J3245,FIND(",",J3245)-1),J3245)</f>
        <v>Comedies</v>
      </c>
      <c r="N3245" s="7" t="n">
        <f aca="false">IF(B3245="Movie",IFERROR(VALUE(LEFT(I3245,FIND(" ",I3245)-1)),""),"")</f>
        <v>95</v>
      </c>
      <c r="O3245" s="7" t="str">
        <f aca="false">IF(B3245="TV Show",IFERROR(VALUE(LEFT(I3245,FIND(" ",I3245)-1)),""),"")</f>
        <v/>
      </c>
      <c r="P3245" s="7" t="n">
        <f aca="false">IF(K3245="","",K3245-G3245)</f>
        <v>11</v>
      </c>
    </row>
    <row r="3246" customFormat="false" ht="15" hidden="false" customHeight="false" outlineLevel="0" collapsed="false">
      <c r="A3246" s="7" t="n">
        <v>81024718</v>
      </c>
      <c r="B3246" s="7" t="s">
        <v>68</v>
      </c>
      <c r="C3246" s="7" t="s">
        <v>6853</v>
      </c>
      <c r="D3246" s="7" t="s">
        <v>2207</v>
      </c>
      <c r="E3246" s="7" t="s">
        <v>6854</v>
      </c>
      <c r="F3246" s="7" t="s">
        <v>6843</v>
      </c>
      <c r="G3246" s="7" t="n">
        <v>2010</v>
      </c>
      <c r="H3246" s="7" t="s">
        <v>49</v>
      </c>
      <c r="I3246" s="7" t="s">
        <v>378</v>
      </c>
      <c r="J3246" s="7" t="s">
        <v>1042</v>
      </c>
      <c r="K3246" s="7" t="n">
        <f aca="false">IFERROR(VALUE(RIGHT(TRIM(F3246),4)),"")</f>
        <v>2019</v>
      </c>
      <c r="L3246" s="7" t="str">
        <f aca="false">IF(TRIM(E3246)="","Unknown",IFERROR(LEFT(TRIM(E3246),FIND(",",TRIM(E3246))-1),TRIM(E3246)))</f>
        <v>India</v>
      </c>
      <c r="M3246" s="7" t="str">
        <f aca="false">IFERROR(LEFT(J3246,FIND(",",J3246)-1),J3246)</f>
        <v>Dramas</v>
      </c>
      <c r="N3246" s="7" t="n">
        <f aca="false">IF(B3246="Movie",IFERROR(VALUE(LEFT(I3246,FIND(" ",I3246)-1)),""),"")</f>
        <v>127</v>
      </c>
      <c r="O3246" s="7" t="str">
        <f aca="false">IF(B3246="TV Show",IFERROR(VALUE(LEFT(I3246,FIND(" ",I3246)-1)),""),"")</f>
        <v/>
      </c>
      <c r="P3246" s="7" t="n">
        <f aca="false">IF(K3246="","",K3246-G3246)</f>
        <v>9</v>
      </c>
    </row>
    <row r="3247" customFormat="false" ht="15" hidden="false" customHeight="false" outlineLevel="0" collapsed="false">
      <c r="A3247" s="7" t="n">
        <v>21028726</v>
      </c>
      <c r="B3247" s="7" t="s">
        <v>68</v>
      </c>
      <c r="C3247" s="7" t="s">
        <v>6855</v>
      </c>
      <c r="D3247" s="7" t="s">
        <v>6856</v>
      </c>
      <c r="E3247" s="7" t="s">
        <v>26</v>
      </c>
      <c r="F3247" s="7" t="s">
        <v>6857</v>
      </c>
      <c r="G3247" s="7" t="n">
        <v>1998</v>
      </c>
      <c r="H3247" s="7" t="s">
        <v>226</v>
      </c>
      <c r="I3247" s="7" t="s">
        <v>628</v>
      </c>
      <c r="J3247" s="7" t="s">
        <v>45</v>
      </c>
      <c r="K3247" s="7" t="n">
        <f aca="false">IFERROR(VALUE(RIGHT(TRIM(F3247),4)),"")</f>
        <v>2018</v>
      </c>
      <c r="L3247" s="7" t="str">
        <f aca="false">IF(TRIM(E3247)="","Unknown",IFERROR(LEFT(TRIM(E3247),FIND(",",TRIM(E3247))-1),TRIM(E3247)))</f>
        <v>United States</v>
      </c>
      <c r="M3247" s="7" t="str">
        <f aca="false">IFERROR(LEFT(J3247,FIND(",",J3247)-1),J3247)</f>
        <v>Stand-Up Comedy</v>
      </c>
      <c r="N3247" s="7" t="n">
        <f aca="false">IF(B3247="Movie",IFERROR(VALUE(LEFT(I3247,FIND(" ",I3247)-1)),""),"")</f>
        <v>69</v>
      </c>
      <c r="O3247" s="7" t="str">
        <f aca="false">IF(B3247="TV Show",IFERROR(VALUE(LEFT(I3247,FIND(" ",I3247)-1)),""),"")</f>
        <v/>
      </c>
      <c r="P3247" s="7" t="n">
        <f aca="false">IF(K3247="","",K3247-G3247)</f>
        <v>20</v>
      </c>
    </row>
    <row r="3248" customFormat="false" ht="15" hidden="false" customHeight="false" outlineLevel="0" collapsed="false">
      <c r="A3248" s="7" t="n">
        <v>80019930</v>
      </c>
      <c r="B3248" s="7" t="s">
        <v>68</v>
      </c>
      <c r="C3248" s="7" t="s">
        <v>6858</v>
      </c>
      <c r="D3248" s="7" t="s">
        <v>6859</v>
      </c>
      <c r="E3248" s="7" t="s">
        <v>26</v>
      </c>
      <c r="F3248" s="7" t="s">
        <v>6857</v>
      </c>
      <c r="G3248" s="7" t="n">
        <v>2014</v>
      </c>
      <c r="H3248" s="7" t="s">
        <v>55</v>
      </c>
      <c r="I3248" s="7" t="s">
        <v>1221</v>
      </c>
      <c r="J3248" s="7" t="s">
        <v>42</v>
      </c>
      <c r="K3248" s="7" t="n">
        <f aca="false">IFERROR(VALUE(RIGHT(TRIM(F3248),4)),"")</f>
        <v>2018</v>
      </c>
      <c r="L3248" s="7" t="str">
        <f aca="false">IF(TRIM(E3248)="","Unknown",IFERROR(LEFT(TRIM(E3248),FIND(",",TRIM(E3248))-1),TRIM(E3248)))</f>
        <v>United States</v>
      </c>
      <c r="M3248" s="7" t="str">
        <f aca="false">IFERROR(LEFT(J3248,FIND(",",J3248)-1),J3248)</f>
        <v>Children &amp; Family Movies</v>
      </c>
      <c r="N3248" s="7" t="n">
        <f aca="false">IF(B3248="Movie",IFERROR(VALUE(LEFT(I3248,FIND(" ",I3248)-1)),""),"")</f>
        <v>74</v>
      </c>
      <c r="O3248" s="7" t="str">
        <f aca="false">IF(B3248="TV Show",IFERROR(VALUE(LEFT(I3248,FIND(" ",I3248)-1)),""),"")</f>
        <v/>
      </c>
      <c r="P3248" s="7" t="n">
        <f aca="false">IF(K3248="","",K3248-G3248)</f>
        <v>4</v>
      </c>
    </row>
    <row r="3249" customFormat="false" ht="15" hidden="false" customHeight="false" outlineLevel="0" collapsed="false">
      <c r="A3249" s="7" t="n">
        <v>80141960</v>
      </c>
      <c r="B3249" s="7" t="s">
        <v>78</v>
      </c>
      <c r="C3249" s="7" t="s">
        <v>5237</v>
      </c>
      <c r="E3249" s="7" t="s">
        <v>28</v>
      </c>
      <c r="F3249" s="7" t="s">
        <v>6857</v>
      </c>
      <c r="G3249" s="7" t="n">
        <v>2016</v>
      </c>
      <c r="H3249" s="7" t="s">
        <v>48</v>
      </c>
      <c r="I3249" s="7" t="s">
        <v>82</v>
      </c>
      <c r="J3249" s="7" t="s">
        <v>563</v>
      </c>
      <c r="K3249" s="7" t="n">
        <f aca="false">IFERROR(VALUE(RIGHT(TRIM(F3249),4)),"")</f>
        <v>2018</v>
      </c>
      <c r="L3249" s="7" t="str">
        <f aca="false">IF(TRIM(E3249)="","Unknown",IFERROR(LEFT(TRIM(E3249),FIND(",",TRIM(E3249))-1),TRIM(E3249)))</f>
        <v>United Kingdom</v>
      </c>
      <c r="M3249" s="7" t="str">
        <f aca="false">IFERROR(LEFT(J3249,FIND(",",J3249)-1),J3249)</f>
        <v>British TV Shows</v>
      </c>
      <c r="N3249" s="7" t="str">
        <f aca="false">IF(B3249="Movie",IFERROR(VALUE(LEFT(I3249,FIND(" ",I3249)-1)),""),"")</f>
        <v/>
      </c>
      <c r="O3249" s="7" t="n">
        <f aca="false">IF(B3249="TV Show",IFERROR(VALUE(LEFT(I3249,FIND(" ",I3249)-1)),""),"")</f>
        <v>1</v>
      </c>
      <c r="P3249" s="7" t="n">
        <f aca="false">IF(K3249="","",K3249-G3249)</f>
        <v>2</v>
      </c>
    </row>
    <row r="3250" customFormat="false" ht="15" hidden="false" customHeight="false" outlineLevel="0" collapsed="false">
      <c r="A3250" s="7" t="n">
        <v>80226168</v>
      </c>
      <c r="B3250" s="7" t="s">
        <v>78</v>
      </c>
      <c r="C3250" s="7" t="s">
        <v>6860</v>
      </c>
      <c r="E3250" s="7" t="s">
        <v>32</v>
      </c>
      <c r="F3250" s="7" t="s">
        <v>6857</v>
      </c>
      <c r="G3250" s="7" t="n">
        <v>2017</v>
      </c>
      <c r="H3250" s="7" t="s">
        <v>48</v>
      </c>
      <c r="I3250" s="7" t="s">
        <v>82</v>
      </c>
      <c r="J3250" s="7" t="s">
        <v>852</v>
      </c>
      <c r="K3250" s="7" t="n">
        <f aca="false">IFERROR(VALUE(RIGHT(TRIM(F3250),4)),"")</f>
        <v>2018</v>
      </c>
      <c r="L3250" s="7" t="str">
        <f aca="false">IF(TRIM(E3250)="","Unknown",IFERROR(LEFT(TRIM(E3250),FIND(",",TRIM(E3250))-1),TRIM(E3250)))</f>
        <v>South Korea</v>
      </c>
      <c r="M3250" s="7" t="str">
        <f aca="false">IFERROR(LEFT(J3250,FIND(",",J3250)-1),J3250)</f>
        <v>International TV Shows</v>
      </c>
      <c r="N3250" s="7" t="str">
        <f aca="false">IF(B3250="Movie",IFERROR(VALUE(LEFT(I3250,FIND(" ",I3250)-1)),""),"")</f>
        <v/>
      </c>
      <c r="O3250" s="7" t="n">
        <f aca="false">IF(B3250="TV Show",IFERROR(VALUE(LEFT(I3250,FIND(" ",I3250)-1)),""),"")</f>
        <v>1</v>
      </c>
      <c r="P3250" s="7" t="n">
        <f aca="false">IF(K3250="","",K3250-G3250)</f>
        <v>1</v>
      </c>
    </row>
    <row r="3251" customFormat="false" ht="15" hidden="false" customHeight="false" outlineLevel="0" collapsed="false">
      <c r="A3251" s="7" t="n">
        <v>81006825</v>
      </c>
      <c r="B3251" s="7" t="s">
        <v>68</v>
      </c>
      <c r="C3251" s="7" t="s">
        <v>6861</v>
      </c>
      <c r="D3251" s="7" t="s">
        <v>6862</v>
      </c>
      <c r="E3251" s="7" t="s">
        <v>34</v>
      </c>
      <c r="F3251" s="7" t="s">
        <v>6863</v>
      </c>
      <c r="G3251" s="7" t="n">
        <v>2020</v>
      </c>
      <c r="H3251" s="7" t="s">
        <v>49</v>
      </c>
      <c r="I3251" s="7" t="s">
        <v>73</v>
      </c>
      <c r="J3251" s="7" t="s">
        <v>206</v>
      </c>
      <c r="K3251" s="7" t="n">
        <f aca="false">IFERROR(VALUE(RIGHT(TRIM(F3251),4)),"")</f>
        <v>2020</v>
      </c>
      <c r="L3251" s="7" t="str">
        <f aca="false">IF(TRIM(E3251)="","Unknown",IFERROR(LEFT(TRIM(E3251),FIND(",",TRIM(E3251))-1),TRIM(E3251)))</f>
        <v>Mexico</v>
      </c>
      <c r="M3251" s="7" t="str">
        <f aca="false">IFERROR(LEFT(J3251,FIND(",",J3251)-1),J3251)</f>
        <v>Comedies</v>
      </c>
      <c r="N3251" s="7" t="n">
        <f aca="false">IF(B3251="Movie",IFERROR(VALUE(LEFT(I3251,FIND(" ",I3251)-1)),""),"")</f>
        <v>90</v>
      </c>
      <c r="O3251" s="7" t="str">
        <f aca="false">IF(B3251="TV Show",IFERROR(VALUE(LEFT(I3251,FIND(" ",I3251)-1)),""),"")</f>
        <v/>
      </c>
      <c r="P3251" s="7" t="n">
        <f aca="false">IF(K3251="","",K3251-G3251)</f>
        <v>0</v>
      </c>
    </row>
    <row r="3252" customFormat="false" ht="15" hidden="false" customHeight="false" outlineLevel="0" collapsed="false">
      <c r="A3252" s="7" t="n">
        <v>81213891</v>
      </c>
      <c r="B3252" s="7" t="s">
        <v>68</v>
      </c>
      <c r="C3252" s="7" t="s">
        <v>6864</v>
      </c>
      <c r="D3252" s="7" t="s">
        <v>1528</v>
      </c>
      <c r="E3252" s="7" t="s">
        <v>27</v>
      </c>
      <c r="F3252" s="7" t="s">
        <v>6863</v>
      </c>
      <c r="G3252" s="7" t="n">
        <v>2002</v>
      </c>
      <c r="H3252" s="7" t="s">
        <v>48</v>
      </c>
      <c r="I3252" s="7" t="s">
        <v>2231</v>
      </c>
      <c r="J3252" s="7" t="s">
        <v>358</v>
      </c>
      <c r="K3252" s="7" t="n">
        <f aca="false">IFERROR(VALUE(RIGHT(TRIM(F3252),4)),"")</f>
        <v>2020</v>
      </c>
      <c r="L3252" s="7" t="str">
        <f aca="false">IF(TRIM(E3252)="","Unknown",IFERROR(LEFT(TRIM(E3252),FIND(",",TRIM(E3252))-1),TRIM(E3252)))</f>
        <v>India</v>
      </c>
      <c r="M3252" s="7" t="str">
        <f aca="false">IFERROR(LEFT(J3252,FIND(",",J3252)-1),J3252)</f>
        <v>International Movies</v>
      </c>
      <c r="N3252" s="7" t="n">
        <f aca="false">IF(B3252="Movie",IFERROR(VALUE(LEFT(I3252,FIND(" ",I3252)-1)),""),"")</f>
        <v>156</v>
      </c>
      <c r="O3252" s="7" t="str">
        <f aca="false">IF(B3252="TV Show",IFERROR(VALUE(LEFT(I3252,FIND(" ",I3252)-1)),""),"")</f>
        <v/>
      </c>
      <c r="P3252" s="7" t="n">
        <f aca="false">IF(K3252="","",K3252-G3252)</f>
        <v>18</v>
      </c>
    </row>
    <row r="3253" customFormat="false" ht="15" hidden="false" customHeight="false" outlineLevel="0" collapsed="false">
      <c r="A3253" s="7" t="n">
        <v>498716</v>
      </c>
      <c r="B3253" s="7" t="s">
        <v>68</v>
      </c>
      <c r="C3253" s="7" t="s">
        <v>6865</v>
      </c>
      <c r="D3253" s="7" t="s">
        <v>6866</v>
      </c>
      <c r="E3253" s="7" t="s">
        <v>26</v>
      </c>
      <c r="F3253" s="7" t="s">
        <v>6863</v>
      </c>
      <c r="G3253" s="7" t="n">
        <v>1986</v>
      </c>
      <c r="H3253" s="7" t="s">
        <v>52</v>
      </c>
      <c r="I3253" s="7" t="s">
        <v>330</v>
      </c>
      <c r="J3253" s="7" t="s">
        <v>938</v>
      </c>
      <c r="K3253" s="7" t="n">
        <f aca="false">IFERROR(VALUE(RIGHT(TRIM(F3253),4)),"")</f>
        <v>2020</v>
      </c>
      <c r="L3253" s="7" t="str">
        <f aca="false">IF(TRIM(E3253)="","Unknown",IFERROR(LEFT(TRIM(E3253),FIND(",",TRIM(E3253))-1),TRIM(E3253)))</f>
        <v>United States</v>
      </c>
      <c r="M3253" s="7" t="str">
        <f aca="false">IFERROR(LEFT(J3253,FIND(",",J3253)-1),J3253)</f>
        <v>Classic Movies</v>
      </c>
      <c r="N3253" s="7" t="n">
        <f aca="false">IF(B3253="Movie",IFERROR(VALUE(LEFT(I3253,FIND(" ",I3253)-1)),""),"")</f>
        <v>103</v>
      </c>
      <c r="O3253" s="7" t="str">
        <f aca="false">IF(B3253="TV Show",IFERROR(VALUE(LEFT(I3253,FIND(" ",I3253)-1)),""),"")</f>
        <v/>
      </c>
      <c r="P3253" s="7" t="n">
        <f aca="false">IF(K3253="","",K3253-G3253)</f>
        <v>34</v>
      </c>
    </row>
    <row r="3254" customFormat="false" ht="15" hidden="false" customHeight="false" outlineLevel="0" collapsed="false">
      <c r="A3254" s="7" t="n">
        <v>80220085</v>
      </c>
      <c r="B3254" s="7" t="s">
        <v>68</v>
      </c>
      <c r="C3254" s="7" t="s">
        <v>6867</v>
      </c>
      <c r="D3254" s="7" t="s">
        <v>6868</v>
      </c>
      <c r="E3254" s="7" t="s">
        <v>35</v>
      </c>
      <c r="F3254" s="7" t="s">
        <v>6869</v>
      </c>
      <c r="G3254" s="7" t="n">
        <v>2018</v>
      </c>
      <c r="H3254" s="7" t="s">
        <v>51</v>
      </c>
      <c r="I3254" s="7" t="s">
        <v>2551</v>
      </c>
      <c r="J3254" s="7" t="s">
        <v>276</v>
      </c>
      <c r="K3254" s="7" t="n">
        <f aca="false">IFERROR(VALUE(RIGHT(TRIM(F3254),4)),"")</f>
        <v>2019</v>
      </c>
      <c r="L3254" s="7" t="str">
        <f aca="false">IF(TRIM(E3254)="","Unknown",IFERROR(LEFT(TRIM(E3254),FIND(",",TRIM(E3254))-1),TRIM(E3254)))</f>
        <v>Australia</v>
      </c>
      <c r="M3254" s="7" t="str">
        <f aca="false">IFERROR(LEFT(J3254,FIND(",",J3254)-1),J3254)</f>
        <v>Action &amp; Adventure</v>
      </c>
      <c r="N3254" s="7" t="n">
        <f aca="false">IF(B3254="Movie",IFERROR(VALUE(LEFT(I3254,FIND(" ",I3254)-1)),""),"")</f>
        <v>120</v>
      </c>
      <c r="O3254" s="7" t="str">
        <f aca="false">IF(B3254="TV Show",IFERROR(VALUE(LEFT(I3254,FIND(" ",I3254)-1)),""),"")</f>
        <v/>
      </c>
      <c r="P3254" s="7" t="n">
        <f aca="false">IF(K3254="","",K3254-G3254)</f>
        <v>1</v>
      </c>
    </row>
    <row r="3255" customFormat="false" ht="15" hidden="false" customHeight="false" outlineLevel="0" collapsed="false">
      <c r="A3255" s="7" t="n">
        <v>80244855</v>
      </c>
      <c r="B3255" s="7" t="s">
        <v>68</v>
      </c>
      <c r="C3255" s="7" t="s">
        <v>6870</v>
      </c>
      <c r="D3255" s="7" t="s">
        <v>6871</v>
      </c>
      <c r="E3255" s="7" t="s">
        <v>6872</v>
      </c>
      <c r="F3255" s="7" t="s">
        <v>6869</v>
      </c>
      <c r="G3255" s="7" t="n">
        <v>2018</v>
      </c>
      <c r="H3255" s="7" t="s">
        <v>54</v>
      </c>
      <c r="I3255" s="7" t="s">
        <v>138</v>
      </c>
      <c r="J3255" s="7" t="s">
        <v>5375</v>
      </c>
      <c r="K3255" s="7" t="n">
        <f aca="false">IFERROR(VALUE(RIGHT(TRIM(F3255),4)),"")</f>
        <v>2019</v>
      </c>
      <c r="L3255" s="7" t="str">
        <f aca="false">IF(TRIM(E3255)="","Unknown",IFERROR(LEFT(TRIM(E3255),FIND(",",TRIM(E3255))-1),TRIM(E3255)))</f>
        <v>Switzerland</v>
      </c>
      <c r="M3255" s="7" t="str">
        <f aca="false">IFERROR(LEFT(J3255,FIND(",",J3255)-1),J3255)</f>
        <v>Documentaries</v>
      </c>
      <c r="N3255" s="7" t="n">
        <f aca="false">IF(B3255="Movie",IFERROR(VALUE(LEFT(I3255,FIND(" ",I3255)-1)),""),"")</f>
        <v>96</v>
      </c>
      <c r="O3255" s="7" t="str">
        <f aca="false">IF(B3255="TV Show",IFERROR(VALUE(LEFT(I3255,FIND(" ",I3255)-1)),""),"")</f>
        <v/>
      </c>
      <c r="P3255" s="7" t="n">
        <f aca="false">IF(K3255="","",K3255-G3255)</f>
        <v>1</v>
      </c>
    </row>
    <row r="3256" customFormat="false" ht="15" hidden="false" customHeight="false" outlineLevel="0" collapsed="false">
      <c r="A3256" s="7" t="n">
        <v>80134966</v>
      </c>
      <c r="B3256" s="7" t="s">
        <v>68</v>
      </c>
      <c r="C3256" s="7" t="s">
        <v>6873</v>
      </c>
      <c r="D3256" s="7" t="s">
        <v>3061</v>
      </c>
      <c r="E3256" s="7" t="s">
        <v>26</v>
      </c>
      <c r="F3256" s="7" t="s">
        <v>6874</v>
      </c>
      <c r="G3256" s="7" t="n">
        <v>2017</v>
      </c>
      <c r="H3256" s="7" t="s">
        <v>48</v>
      </c>
      <c r="I3256" s="7" t="s">
        <v>628</v>
      </c>
      <c r="J3256" s="7" t="s">
        <v>45</v>
      </c>
      <c r="K3256" s="7" t="n">
        <f aca="false">IFERROR(VALUE(RIGHT(TRIM(F3256),4)),"")</f>
        <v>2017</v>
      </c>
      <c r="L3256" s="7" t="str">
        <f aca="false">IF(TRIM(E3256)="","Unknown",IFERROR(LEFT(TRIM(E3256),FIND(",",TRIM(E3256))-1),TRIM(E3256)))</f>
        <v>United States</v>
      </c>
      <c r="M3256" s="7" t="str">
        <f aca="false">IFERROR(LEFT(J3256,FIND(",",J3256)-1),J3256)</f>
        <v>Stand-Up Comedy</v>
      </c>
      <c r="N3256" s="7" t="n">
        <f aca="false">IF(B3256="Movie",IFERROR(VALUE(LEFT(I3256,FIND(" ",I3256)-1)),""),"")</f>
        <v>69</v>
      </c>
      <c r="O3256" s="7" t="str">
        <f aca="false">IF(B3256="TV Show",IFERROR(VALUE(LEFT(I3256,FIND(" ",I3256)-1)),""),"")</f>
        <v/>
      </c>
      <c r="P3256" s="7" t="n">
        <f aca="false">IF(K3256="","",K3256-G3256)</f>
        <v>0</v>
      </c>
    </row>
    <row r="3257" customFormat="false" ht="15" hidden="false" customHeight="false" outlineLevel="0" collapsed="false">
      <c r="A3257" s="7" t="n">
        <v>80220813</v>
      </c>
      <c r="B3257" s="7" t="s">
        <v>68</v>
      </c>
      <c r="C3257" s="7" t="s">
        <v>6875</v>
      </c>
      <c r="D3257" s="7" t="s">
        <v>6297</v>
      </c>
      <c r="E3257" s="7" t="s">
        <v>26</v>
      </c>
      <c r="F3257" s="7" t="s">
        <v>6876</v>
      </c>
      <c r="G3257" s="7" t="n">
        <v>2018</v>
      </c>
      <c r="H3257" s="7" t="s">
        <v>52</v>
      </c>
      <c r="I3257" s="7" t="s">
        <v>1270</v>
      </c>
      <c r="J3257" s="7" t="s">
        <v>1628</v>
      </c>
      <c r="K3257" s="7" t="n">
        <f aca="false">IFERROR(VALUE(RIGHT(TRIM(F3257),4)),"")</f>
        <v>2019</v>
      </c>
      <c r="L3257" s="7" t="str">
        <f aca="false">IF(TRIM(E3257)="","Unknown",IFERROR(LEFT(TRIM(E3257),FIND(",",TRIM(E3257))-1),TRIM(E3257)))</f>
        <v>United States</v>
      </c>
      <c r="M3257" s="7" t="str">
        <f aca="false">IFERROR(LEFT(J3257,FIND(",",J3257)-1),J3257)</f>
        <v>Action &amp; Adventure</v>
      </c>
      <c r="N3257" s="7" t="n">
        <f aca="false">IF(B3257="Movie",IFERROR(VALUE(LEFT(I3257,FIND(" ",I3257)-1)),""),"")</f>
        <v>118</v>
      </c>
      <c r="O3257" s="7" t="str">
        <f aca="false">IF(B3257="TV Show",IFERROR(VALUE(LEFT(I3257,FIND(" ",I3257)-1)),""),"")</f>
        <v/>
      </c>
      <c r="P3257" s="7" t="n">
        <f aca="false">IF(K3257="","",K3257-G3257)</f>
        <v>1</v>
      </c>
    </row>
    <row r="3258" customFormat="false" ht="15" hidden="false" customHeight="false" outlineLevel="0" collapsed="false">
      <c r="A3258" s="7" t="n">
        <v>81048561</v>
      </c>
      <c r="B3258" s="7" t="s">
        <v>68</v>
      </c>
      <c r="C3258" s="7" t="s">
        <v>6877</v>
      </c>
      <c r="D3258" s="7" t="s">
        <v>6878</v>
      </c>
      <c r="E3258" s="7" t="s">
        <v>27</v>
      </c>
      <c r="F3258" s="7" t="s">
        <v>6876</v>
      </c>
      <c r="G3258" s="7" t="n">
        <v>2017</v>
      </c>
      <c r="H3258" s="7" t="s">
        <v>49</v>
      </c>
      <c r="I3258" s="7" t="s">
        <v>1221</v>
      </c>
      <c r="J3258" s="7" t="s">
        <v>188</v>
      </c>
      <c r="K3258" s="7" t="n">
        <f aca="false">IFERROR(VALUE(RIGHT(TRIM(F3258),4)),"")</f>
        <v>2019</v>
      </c>
      <c r="L3258" s="7" t="str">
        <f aca="false">IF(TRIM(E3258)="","Unknown",IFERROR(LEFT(TRIM(E3258),FIND(",",TRIM(E3258))-1),TRIM(E3258)))</f>
        <v>India</v>
      </c>
      <c r="M3258" s="7" t="str">
        <f aca="false">IFERROR(LEFT(J3258,FIND(",",J3258)-1),J3258)</f>
        <v>Dramas</v>
      </c>
      <c r="N3258" s="7" t="n">
        <f aca="false">IF(B3258="Movie",IFERROR(VALUE(LEFT(I3258,FIND(" ",I3258)-1)),""),"")</f>
        <v>74</v>
      </c>
      <c r="O3258" s="7" t="str">
        <f aca="false">IF(B3258="TV Show",IFERROR(VALUE(LEFT(I3258,FIND(" ",I3258)-1)),""),"")</f>
        <v/>
      </c>
      <c r="P3258" s="7" t="n">
        <f aca="false">IF(K3258="","",K3258-G3258)</f>
        <v>2</v>
      </c>
    </row>
    <row r="3259" customFormat="false" ht="15" hidden="false" customHeight="false" outlineLevel="0" collapsed="false">
      <c r="A3259" s="7" t="n">
        <v>80237903</v>
      </c>
      <c r="B3259" s="7" t="s">
        <v>68</v>
      </c>
      <c r="C3259" s="7" t="s">
        <v>6879</v>
      </c>
      <c r="D3259" s="7" t="s">
        <v>660</v>
      </c>
      <c r="F3259" s="7" t="s">
        <v>6876</v>
      </c>
      <c r="G3259" s="7" t="n">
        <v>2019</v>
      </c>
      <c r="H3259" s="7" t="s">
        <v>49</v>
      </c>
      <c r="I3259" s="7" t="s">
        <v>470</v>
      </c>
      <c r="J3259" s="7" t="s">
        <v>45</v>
      </c>
      <c r="K3259" s="7" t="n">
        <f aca="false">IFERROR(VALUE(RIGHT(TRIM(F3259),4)),"")</f>
        <v>2019</v>
      </c>
      <c r="L3259" s="7" t="str">
        <f aca="false">IF(TRIM(E3259)="","Unknown",IFERROR(LEFT(TRIM(E3259),FIND(",",TRIM(E3259))-1),TRIM(E3259)))</f>
        <v>Unknown</v>
      </c>
      <c r="M3259" s="7" t="str">
        <f aca="false">IFERROR(LEFT(J3259,FIND(",",J3259)-1),J3259)</f>
        <v>Stand-Up Comedy</v>
      </c>
      <c r="N3259" s="7" t="n">
        <f aca="false">IF(B3259="Movie",IFERROR(VALUE(LEFT(I3259,FIND(" ",I3259)-1)),""),"")</f>
        <v>91</v>
      </c>
      <c r="O3259" s="7" t="str">
        <f aca="false">IF(B3259="TV Show",IFERROR(VALUE(LEFT(I3259,FIND(" ",I3259)-1)),""),"")</f>
        <v/>
      </c>
      <c r="P3259" s="7" t="n">
        <f aca="false">IF(K3259="","",K3259-G3259)</f>
        <v>0</v>
      </c>
    </row>
    <row r="3260" customFormat="false" ht="15" hidden="false" customHeight="false" outlineLevel="0" collapsed="false">
      <c r="A3260" s="7" t="n">
        <v>81026705</v>
      </c>
      <c r="B3260" s="7" t="s">
        <v>68</v>
      </c>
      <c r="C3260" s="7" t="s">
        <v>6880</v>
      </c>
      <c r="D3260" s="7" t="s">
        <v>6881</v>
      </c>
      <c r="E3260" s="7" t="s">
        <v>32</v>
      </c>
      <c r="F3260" s="7" t="s">
        <v>6876</v>
      </c>
      <c r="G3260" s="7" t="n">
        <v>2018</v>
      </c>
      <c r="H3260" s="7" t="s">
        <v>48</v>
      </c>
      <c r="I3260" s="7" t="s">
        <v>749</v>
      </c>
      <c r="J3260" s="7" t="s">
        <v>304</v>
      </c>
      <c r="K3260" s="7" t="n">
        <f aca="false">IFERROR(VALUE(RIGHT(TRIM(F3260),4)),"")</f>
        <v>2019</v>
      </c>
      <c r="L3260" s="7" t="str">
        <f aca="false">IF(TRIM(E3260)="","Unknown",IFERROR(LEFT(TRIM(E3260),FIND(",",TRIM(E3260))-1),TRIM(E3260)))</f>
        <v>South Korea</v>
      </c>
      <c r="M3260" s="7" t="str">
        <f aca="false">IFERROR(LEFT(J3260,FIND(",",J3260)-1),J3260)</f>
        <v>Dramas</v>
      </c>
      <c r="N3260" s="7" t="n">
        <f aca="false">IF(B3260="Movie",IFERROR(VALUE(LEFT(I3260,FIND(" ",I3260)-1)),""),"")</f>
        <v>137</v>
      </c>
      <c r="O3260" s="7" t="str">
        <f aca="false">IF(B3260="TV Show",IFERROR(VALUE(LEFT(I3260,FIND(" ",I3260)-1)),""),"")</f>
        <v/>
      </c>
      <c r="P3260" s="7" t="n">
        <f aca="false">IF(K3260="","",K3260-G3260)</f>
        <v>1</v>
      </c>
    </row>
    <row r="3261" customFormat="false" ht="15" hidden="false" customHeight="false" outlineLevel="0" collapsed="false">
      <c r="A3261" s="7" t="n">
        <v>80244929</v>
      </c>
      <c r="B3261" s="7" t="s">
        <v>78</v>
      </c>
      <c r="C3261" s="7" t="s">
        <v>6882</v>
      </c>
      <c r="E3261" s="7" t="s">
        <v>5469</v>
      </c>
      <c r="F3261" s="7" t="s">
        <v>6876</v>
      </c>
      <c r="G3261" s="7" t="n">
        <v>2017</v>
      </c>
      <c r="H3261" s="7" t="s">
        <v>49</v>
      </c>
      <c r="I3261" s="7" t="s">
        <v>82</v>
      </c>
      <c r="J3261" s="7" t="s">
        <v>773</v>
      </c>
      <c r="K3261" s="7" t="n">
        <f aca="false">IFERROR(VALUE(RIGHT(TRIM(F3261),4)),"")</f>
        <v>2019</v>
      </c>
      <c r="L3261" s="7" t="str">
        <f aca="false">IF(TRIM(E3261)="","Unknown",IFERROR(LEFT(TRIM(E3261),FIND(",",TRIM(E3261))-1),TRIM(E3261)))</f>
        <v>Israel</v>
      </c>
      <c r="M3261" s="7" t="str">
        <f aca="false">IFERROR(LEFT(J3261,FIND(",",J3261)-1),J3261)</f>
        <v>Docuseries</v>
      </c>
      <c r="N3261" s="7" t="str">
        <f aca="false">IF(B3261="Movie",IFERROR(VALUE(LEFT(I3261,FIND(" ",I3261)-1)),""),"")</f>
        <v/>
      </c>
      <c r="O3261" s="7" t="n">
        <f aca="false">IF(B3261="TV Show",IFERROR(VALUE(LEFT(I3261,FIND(" ",I3261)-1)),""),"")</f>
        <v>1</v>
      </c>
      <c r="P3261" s="7" t="n">
        <f aca="false">IF(K3261="","",K3261-G3261)</f>
        <v>2</v>
      </c>
    </row>
    <row r="3262" customFormat="false" ht="15" hidden="false" customHeight="false" outlineLevel="0" collapsed="false">
      <c r="A3262" s="7" t="n">
        <v>80122209</v>
      </c>
      <c r="B3262" s="7" t="s">
        <v>68</v>
      </c>
      <c r="C3262" s="7" t="s">
        <v>6883</v>
      </c>
      <c r="D3262" s="7" t="s">
        <v>5923</v>
      </c>
      <c r="E3262" s="7" t="s">
        <v>33</v>
      </c>
      <c r="F3262" s="7" t="s">
        <v>6876</v>
      </c>
      <c r="G3262" s="7" t="n">
        <v>2018</v>
      </c>
      <c r="H3262" s="7" t="s">
        <v>48</v>
      </c>
      <c r="I3262" s="7" t="s">
        <v>212</v>
      </c>
      <c r="J3262" s="7" t="s">
        <v>2458</v>
      </c>
      <c r="K3262" s="7" t="n">
        <f aca="false">IFERROR(VALUE(RIGHT(TRIM(F3262),4)),"")</f>
        <v>2019</v>
      </c>
      <c r="L3262" s="7" t="str">
        <f aca="false">IF(TRIM(E3262)="","Unknown",IFERROR(LEFT(TRIM(E3262),FIND(",",TRIM(E3262))-1),TRIM(E3262)))</f>
        <v>Spain</v>
      </c>
      <c r="M3262" s="7" t="str">
        <f aca="false">IFERROR(LEFT(J3262,FIND(",",J3262)-1),J3262)</f>
        <v>Dramas</v>
      </c>
      <c r="N3262" s="7" t="n">
        <f aca="false">IF(B3262="Movie",IFERROR(VALUE(LEFT(I3262,FIND(" ",I3262)-1)),""),"")</f>
        <v>86</v>
      </c>
      <c r="O3262" s="7" t="str">
        <f aca="false">IF(B3262="TV Show",IFERROR(VALUE(LEFT(I3262,FIND(" ",I3262)-1)),""),"")</f>
        <v/>
      </c>
      <c r="P3262" s="7" t="n">
        <f aca="false">IF(K3262="","",K3262-G3262)</f>
        <v>1</v>
      </c>
    </row>
    <row r="3263" customFormat="false" ht="15" hidden="false" customHeight="false" outlineLevel="0" collapsed="false">
      <c r="A3263" s="7" t="n">
        <v>80109193</v>
      </c>
      <c r="B3263" s="7" t="s">
        <v>68</v>
      </c>
      <c r="C3263" s="7" t="s">
        <v>6884</v>
      </c>
      <c r="D3263" s="7" t="s">
        <v>6885</v>
      </c>
      <c r="E3263" s="7" t="s">
        <v>33</v>
      </c>
      <c r="F3263" s="7" t="s">
        <v>6886</v>
      </c>
      <c r="G3263" s="7" t="n">
        <v>2017</v>
      </c>
      <c r="H3263" s="7" t="s">
        <v>49</v>
      </c>
      <c r="I3263" s="7" t="s">
        <v>268</v>
      </c>
      <c r="J3263" s="7" t="s">
        <v>6887</v>
      </c>
      <c r="K3263" s="7" t="n">
        <f aca="false">IFERROR(VALUE(RIGHT(TRIM(F3263),4)),"")</f>
        <v>2018</v>
      </c>
      <c r="L3263" s="7" t="str">
        <f aca="false">IF(TRIM(E3263)="","Unknown",IFERROR(LEFT(TRIM(E3263),FIND(",",TRIM(E3263))-1),TRIM(E3263)))</f>
        <v>Spain</v>
      </c>
      <c r="M3263" s="7" t="str">
        <f aca="false">IFERROR(LEFT(J3263,FIND(",",J3263)-1),J3263)</f>
        <v>Comedies</v>
      </c>
      <c r="N3263" s="7" t="n">
        <f aca="false">IF(B3263="Movie",IFERROR(VALUE(LEFT(I3263,FIND(" ",I3263)-1)),""),"")</f>
        <v>108</v>
      </c>
      <c r="O3263" s="7" t="str">
        <f aca="false">IF(B3263="TV Show",IFERROR(VALUE(LEFT(I3263,FIND(" ",I3263)-1)),""),"")</f>
        <v/>
      </c>
      <c r="P3263" s="7" t="n">
        <f aca="false">IF(K3263="","",K3263-G3263)</f>
        <v>1</v>
      </c>
    </row>
    <row r="3264" customFormat="false" ht="15" hidden="false" customHeight="false" outlineLevel="0" collapsed="false">
      <c r="A3264" s="7" t="n">
        <v>80208468</v>
      </c>
      <c r="B3264" s="7" t="s">
        <v>68</v>
      </c>
      <c r="C3264" s="7" t="s">
        <v>6888</v>
      </c>
      <c r="D3264" s="7" t="s">
        <v>1709</v>
      </c>
      <c r="F3264" s="7" t="s">
        <v>6886</v>
      </c>
      <c r="G3264" s="7" t="n">
        <v>2017</v>
      </c>
      <c r="H3264" s="7" t="s">
        <v>48</v>
      </c>
      <c r="I3264" s="7" t="s">
        <v>470</v>
      </c>
      <c r="J3264" s="7" t="s">
        <v>341</v>
      </c>
      <c r="K3264" s="7" t="n">
        <f aca="false">IFERROR(VALUE(RIGHT(TRIM(F3264),4)),"")</f>
        <v>2018</v>
      </c>
      <c r="L3264" s="7" t="str">
        <f aca="false">IF(TRIM(E3264)="","Unknown",IFERROR(LEFT(TRIM(E3264),FIND(",",TRIM(E3264))-1),TRIM(E3264)))</f>
        <v>Unknown</v>
      </c>
      <c r="M3264" s="7" t="str">
        <f aca="false">IFERROR(LEFT(J3264,FIND(",",J3264)-1),J3264)</f>
        <v>Documentaries</v>
      </c>
      <c r="N3264" s="7" t="n">
        <f aca="false">IF(B3264="Movie",IFERROR(VALUE(LEFT(I3264,FIND(" ",I3264)-1)),""),"")</f>
        <v>91</v>
      </c>
      <c r="O3264" s="7" t="str">
        <f aca="false">IF(B3264="TV Show",IFERROR(VALUE(LEFT(I3264,FIND(" ",I3264)-1)),""),"")</f>
        <v/>
      </c>
      <c r="P3264" s="7" t="n">
        <f aca="false">IF(K3264="","",K3264-G3264)</f>
        <v>1</v>
      </c>
    </row>
    <row r="3265" customFormat="false" ht="15" hidden="false" customHeight="false" outlineLevel="0" collapsed="false">
      <c r="A3265" s="7" t="n">
        <v>80214582</v>
      </c>
      <c r="B3265" s="7" t="s">
        <v>68</v>
      </c>
      <c r="C3265" s="7" t="s">
        <v>6889</v>
      </c>
      <c r="D3265" s="7" t="s">
        <v>5653</v>
      </c>
      <c r="E3265" s="7" t="s">
        <v>26</v>
      </c>
      <c r="F3265" s="7" t="s">
        <v>6886</v>
      </c>
      <c r="G3265" s="7" t="n">
        <v>2017</v>
      </c>
      <c r="H3265" s="7" t="s">
        <v>49</v>
      </c>
      <c r="I3265" s="7" t="s">
        <v>1020</v>
      </c>
      <c r="J3265" s="7" t="s">
        <v>39</v>
      </c>
      <c r="K3265" s="7" t="n">
        <f aca="false">IFERROR(VALUE(RIGHT(TRIM(F3265),4)),"")</f>
        <v>2018</v>
      </c>
      <c r="L3265" s="7" t="str">
        <f aca="false">IF(TRIM(E3265)="","Unknown",IFERROR(LEFT(TRIM(E3265),FIND(",",TRIM(E3265))-1),TRIM(E3265)))</f>
        <v>United States</v>
      </c>
      <c r="M3265" s="7" t="str">
        <f aca="false">IFERROR(LEFT(J3265,FIND(",",J3265)-1),J3265)</f>
        <v>Documentaries</v>
      </c>
      <c r="N3265" s="7" t="n">
        <f aca="false">IF(B3265="Movie",IFERROR(VALUE(LEFT(I3265,FIND(" ",I3265)-1)),""),"")</f>
        <v>68</v>
      </c>
      <c r="O3265" s="7" t="str">
        <f aca="false">IF(B3265="TV Show",IFERROR(VALUE(LEFT(I3265,FIND(" ",I3265)-1)),""),"")</f>
        <v/>
      </c>
      <c r="P3265" s="7" t="n">
        <f aca="false">IF(K3265="","",K3265-G3265)</f>
        <v>1</v>
      </c>
    </row>
    <row r="3266" customFormat="false" ht="15" hidden="false" customHeight="false" outlineLevel="0" collapsed="false">
      <c r="A3266" s="7" t="n">
        <v>80168198</v>
      </c>
      <c r="B3266" s="7" t="s">
        <v>68</v>
      </c>
      <c r="C3266" s="7" t="s">
        <v>6890</v>
      </c>
      <c r="D3266" s="7" t="s">
        <v>6891</v>
      </c>
      <c r="E3266" s="7" t="s">
        <v>26</v>
      </c>
      <c r="F3266" s="7" t="s">
        <v>6886</v>
      </c>
      <c r="G3266" s="7" t="n">
        <v>2017</v>
      </c>
      <c r="H3266" s="7" t="s">
        <v>48</v>
      </c>
      <c r="I3266" s="7" t="s">
        <v>311</v>
      </c>
      <c r="J3266" s="7" t="s">
        <v>39</v>
      </c>
      <c r="K3266" s="7" t="n">
        <f aca="false">IFERROR(VALUE(RIGHT(TRIM(F3266),4)),"")</f>
        <v>2018</v>
      </c>
      <c r="L3266" s="7" t="str">
        <f aca="false">IF(TRIM(E3266)="","Unknown",IFERROR(LEFT(TRIM(E3266),FIND(",",TRIM(E3266))-1),TRIM(E3266)))</f>
        <v>United States</v>
      </c>
      <c r="M3266" s="7" t="str">
        <f aca="false">IFERROR(LEFT(J3266,FIND(",",J3266)-1),J3266)</f>
        <v>Documentaries</v>
      </c>
      <c r="N3266" s="7" t="n">
        <f aca="false">IF(B3266="Movie",IFERROR(VALUE(LEFT(I3266,FIND(" ",I3266)-1)),""),"")</f>
        <v>92</v>
      </c>
      <c r="O3266" s="7" t="str">
        <f aca="false">IF(B3266="TV Show",IFERROR(VALUE(LEFT(I3266,FIND(" ",I3266)-1)),""),"")</f>
        <v/>
      </c>
      <c r="P3266" s="7" t="n">
        <f aca="false">IF(K3266="","",K3266-G3266)</f>
        <v>1</v>
      </c>
    </row>
    <row r="3267" customFormat="false" ht="15" hidden="false" customHeight="false" outlineLevel="0" collapsed="false">
      <c r="A3267" s="7" t="n">
        <v>80117940</v>
      </c>
      <c r="B3267" s="7" t="s">
        <v>68</v>
      </c>
      <c r="C3267" s="7" t="s">
        <v>6892</v>
      </c>
      <c r="D3267" s="7" t="s">
        <v>6893</v>
      </c>
      <c r="E3267" s="7" t="s">
        <v>31</v>
      </c>
      <c r="F3267" s="7" t="s">
        <v>6894</v>
      </c>
      <c r="G3267" s="7" t="n">
        <v>2016</v>
      </c>
      <c r="H3267" s="7" t="s">
        <v>49</v>
      </c>
      <c r="I3267" s="7" t="s">
        <v>87</v>
      </c>
      <c r="J3267" s="7" t="s">
        <v>202</v>
      </c>
      <c r="K3267" s="7" t="n">
        <f aca="false">IFERROR(VALUE(RIGHT(TRIM(F3267),4)),"")</f>
        <v>2017</v>
      </c>
      <c r="L3267" s="7" t="str">
        <f aca="false">IF(TRIM(E3267)="","Unknown",IFERROR(LEFT(TRIM(E3267),FIND(",",TRIM(E3267))-1),TRIM(E3267)))</f>
        <v>France</v>
      </c>
      <c r="M3267" s="7" t="str">
        <f aca="false">IFERROR(LEFT(J3267,FIND(",",J3267)-1),J3267)</f>
        <v>Comedies</v>
      </c>
      <c r="N3267" s="7" t="n">
        <f aca="false">IF(B3267="Movie",IFERROR(VALUE(LEFT(I3267,FIND(" ",I3267)-1)),""),"")</f>
        <v>99</v>
      </c>
      <c r="O3267" s="7" t="str">
        <f aca="false">IF(B3267="TV Show",IFERROR(VALUE(LEFT(I3267,FIND(" ",I3267)-1)),""),"")</f>
        <v/>
      </c>
      <c r="P3267" s="7" t="n">
        <f aca="false">IF(K3267="","",K3267-G3267)</f>
        <v>1</v>
      </c>
    </row>
    <row r="3268" customFormat="false" ht="15" hidden="false" customHeight="false" outlineLevel="0" collapsed="false">
      <c r="A3268" s="7" t="n">
        <v>80998786</v>
      </c>
      <c r="B3268" s="7" t="s">
        <v>68</v>
      </c>
      <c r="C3268" s="7" t="s">
        <v>6895</v>
      </c>
      <c r="D3268" s="7" t="s">
        <v>6896</v>
      </c>
      <c r="F3268" s="7" t="s">
        <v>6897</v>
      </c>
      <c r="G3268" s="7" t="n">
        <v>2018</v>
      </c>
      <c r="H3268" s="7" t="s">
        <v>48</v>
      </c>
      <c r="I3268" s="7" t="s">
        <v>173</v>
      </c>
      <c r="J3268" s="7" t="s">
        <v>39</v>
      </c>
      <c r="K3268" s="7" t="n">
        <f aca="false">IFERROR(VALUE(RIGHT(TRIM(F3268),4)),"")</f>
        <v>2019</v>
      </c>
      <c r="L3268" s="7" t="str">
        <f aca="false">IF(TRIM(E3268)="","Unknown",IFERROR(LEFT(TRIM(E3268),FIND(",",TRIM(E3268))-1),TRIM(E3268)))</f>
        <v>Unknown</v>
      </c>
      <c r="M3268" s="7" t="str">
        <f aca="false">IFERROR(LEFT(J3268,FIND(",",J3268)-1),J3268)</f>
        <v>Documentaries</v>
      </c>
      <c r="N3268" s="7" t="n">
        <f aca="false">IF(B3268="Movie",IFERROR(VALUE(LEFT(I3268,FIND(" ",I3268)-1)),""),"")</f>
        <v>106</v>
      </c>
      <c r="O3268" s="7" t="str">
        <f aca="false">IF(B3268="TV Show",IFERROR(VALUE(LEFT(I3268,FIND(" ",I3268)-1)),""),"")</f>
        <v/>
      </c>
      <c r="P3268" s="7" t="n">
        <f aca="false">IF(K3268="","",K3268-G3268)</f>
        <v>1</v>
      </c>
    </row>
    <row r="3269" customFormat="false" ht="15" hidden="false" customHeight="false" outlineLevel="0" collapsed="false">
      <c r="A3269" s="7" t="n">
        <v>81047898</v>
      </c>
      <c r="B3269" s="7" t="s">
        <v>68</v>
      </c>
      <c r="C3269" s="7" t="s">
        <v>6898</v>
      </c>
      <c r="D3269" s="7" t="s">
        <v>6899</v>
      </c>
      <c r="E3269" s="7" t="s">
        <v>6900</v>
      </c>
      <c r="F3269" s="7" t="s">
        <v>6897</v>
      </c>
      <c r="G3269" s="7" t="n">
        <v>2012</v>
      </c>
      <c r="H3269" s="7" t="s">
        <v>49</v>
      </c>
      <c r="I3269" s="7" t="s">
        <v>194</v>
      </c>
      <c r="J3269" s="7" t="s">
        <v>240</v>
      </c>
      <c r="K3269" s="7" t="n">
        <f aca="false">IFERROR(VALUE(RIGHT(TRIM(F3269),4)),"")</f>
        <v>2019</v>
      </c>
      <c r="L3269" s="7" t="str">
        <f aca="false">IF(TRIM(E3269)="","Unknown",IFERROR(LEFT(TRIM(E3269),FIND(",",TRIM(E3269))-1),TRIM(E3269)))</f>
        <v>Indonesia</v>
      </c>
      <c r="M3269" s="7" t="str">
        <f aca="false">IFERROR(LEFT(J3269,FIND(",",J3269)-1),J3269)</f>
        <v>Dramas</v>
      </c>
      <c r="N3269" s="7" t="n">
        <f aca="false">IF(B3269="Movie",IFERROR(VALUE(LEFT(I3269,FIND(" ",I3269)-1)),""),"")</f>
        <v>125</v>
      </c>
      <c r="O3269" s="7" t="str">
        <f aca="false">IF(B3269="TV Show",IFERROR(VALUE(LEFT(I3269,FIND(" ",I3269)-1)),""),"")</f>
        <v/>
      </c>
      <c r="P3269" s="7" t="n">
        <f aca="false">IF(K3269="","",K3269-G3269)</f>
        <v>7</v>
      </c>
    </row>
    <row r="3270" customFormat="false" ht="15" hidden="false" customHeight="false" outlineLevel="0" collapsed="false">
      <c r="A3270" s="7" t="n">
        <v>81057249</v>
      </c>
      <c r="B3270" s="7" t="s">
        <v>68</v>
      </c>
      <c r="C3270" s="7" t="s">
        <v>6901</v>
      </c>
      <c r="D3270" s="7" t="s">
        <v>6902</v>
      </c>
      <c r="E3270" s="7" t="s">
        <v>27</v>
      </c>
      <c r="F3270" s="7" t="s">
        <v>6897</v>
      </c>
      <c r="G3270" s="7" t="n">
        <v>2018</v>
      </c>
      <c r="H3270" s="7" t="s">
        <v>49</v>
      </c>
      <c r="I3270" s="7" t="s">
        <v>187</v>
      </c>
      <c r="J3270" s="7" t="s">
        <v>188</v>
      </c>
      <c r="K3270" s="7" t="n">
        <f aca="false">IFERROR(VALUE(RIGHT(TRIM(F3270),4)),"")</f>
        <v>2019</v>
      </c>
      <c r="L3270" s="7" t="str">
        <f aca="false">IF(TRIM(E3270)="","Unknown",IFERROR(LEFT(TRIM(E3270),FIND(",",TRIM(E3270))-1),TRIM(E3270)))</f>
        <v>India</v>
      </c>
      <c r="M3270" s="7" t="str">
        <f aca="false">IFERROR(LEFT(J3270,FIND(",",J3270)-1),J3270)</f>
        <v>Dramas</v>
      </c>
      <c r="N3270" s="7" t="n">
        <f aca="false">IF(B3270="Movie",IFERROR(VALUE(LEFT(I3270,FIND(" ",I3270)-1)),""),"")</f>
        <v>114</v>
      </c>
      <c r="O3270" s="7" t="str">
        <f aca="false">IF(B3270="TV Show",IFERROR(VALUE(LEFT(I3270,FIND(" ",I3270)-1)),""),"")</f>
        <v/>
      </c>
      <c r="P3270" s="7" t="n">
        <f aca="false">IF(K3270="","",K3270-G3270)</f>
        <v>1</v>
      </c>
    </row>
    <row r="3271" customFormat="false" ht="15" hidden="false" customHeight="false" outlineLevel="0" collapsed="false">
      <c r="A3271" s="7" t="n">
        <v>81047900</v>
      </c>
      <c r="B3271" s="7" t="s">
        <v>68</v>
      </c>
      <c r="C3271" s="7" t="s">
        <v>6903</v>
      </c>
      <c r="D3271" s="7" t="s">
        <v>4560</v>
      </c>
      <c r="E3271" s="7" t="s">
        <v>362</v>
      </c>
      <c r="F3271" s="7" t="s">
        <v>6897</v>
      </c>
      <c r="G3271" s="7" t="n">
        <v>2016</v>
      </c>
      <c r="H3271" s="7" t="s">
        <v>49</v>
      </c>
      <c r="I3271" s="7" t="s">
        <v>1832</v>
      </c>
      <c r="J3271" s="7" t="s">
        <v>304</v>
      </c>
      <c r="K3271" s="7" t="n">
        <f aca="false">IFERROR(VALUE(RIGHT(TRIM(F3271),4)),"")</f>
        <v>2019</v>
      </c>
      <c r="L3271" s="7" t="str">
        <f aca="false">IF(TRIM(E3271)="","Unknown",IFERROR(LEFT(TRIM(E3271),FIND(",",TRIM(E3271))-1),TRIM(E3271)))</f>
        <v>Indonesia</v>
      </c>
      <c r="M3271" s="7" t="str">
        <f aca="false">IFERROR(LEFT(J3271,FIND(",",J3271)-1),J3271)</f>
        <v>Dramas</v>
      </c>
      <c r="N3271" s="7" t="n">
        <f aca="false">IF(B3271="Movie",IFERROR(VALUE(LEFT(I3271,FIND(" ",I3271)-1)),""),"")</f>
        <v>143</v>
      </c>
      <c r="O3271" s="7" t="str">
        <f aca="false">IF(B3271="TV Show",IFERROR(VALUE(LEFT(I3271,FIND(" ",I3271)-1)),""),"")</f>
        <v/>
      </c>
      <c r="P3271" s="7" t="n">
        <f aca="false">IF(K3271="","",K3271-G3271)</f>
        <v>3</v>
      </c>
    </row>
    <row r="3272" customFormat="false" ht="15" hidden="false" customHeight="false" outlineLevel="0" collapsed="false">
      <c r="A3272" s="7" t="n">
        <v>81047899</v>
      </c>
      <c r="B3272" s="7" t="s">
        <v>68</v>
      </c>
      <c r="C3272" s="7" t="s">
        <v>6904</v>
      </c>
      <c r="D3272" s="7" t="s">
        <v>6905</v>
      </c>
      <c r="E3272" s="7" t="s">
        <v>362</v>
      </c>
      <c r="F3272" s="7" t="s">
        <v>6897</v>
      </c>
      <c r="G3272" s="7" t="n">
        <v>2015</v>
      </c>
      <c r="H3272" s="7" t="s">
        <v>49</v>
      </c>
      <c r="I3272" s="7" t="s">
        <v>505</v>
      </c>
      <c r="J3272" s="7" t="s">
        <v>1703</v>
      </c>
      <c r="K3272" s="7" t="n">
        <f aca="false">IFERROR(VALUE(RIGHT(TRIM(F3272),4)),"")</f>
        <v>2019</v>
      </c>
      <c r="L3272" s="7" t="str">
        <f aca="false">IF(TRIM(E3272)="","Unknown",IFERROR(LEFT(TRIM(E3272),FIND(",",TRIM(E3272))-1),TRIM(E3272)))</f>
        <v>Indonesia</v>
      </c>
      <c r="M3272" s="7" t="str">
        <f aca="false">IFERROR(LEFT(J3272,FIND(",",J3272)-1),J3272)</f>
        <v>Dramas</v>
      </c>
      <c r="N3272" s="7" t="n">
        <f aca="false">IF(B3272="Movie",IFERROR(VALUE(LEFT(I3272,FIND(" ",I3272)-1)),""),"")</f>
        <v>121</v>
      </c>
      <c r="O3272" s="7" t="str">
        <f aca="false">IF(B3272="TV Show",IFERROR(VALUE(LEFT(I3272,FIND(" ",I3272)-1)),""),"")</f>
        <v/>
      </c>
      <c r="P3272" s="7" t="n">
        <f aca="false">IF(K3272="","",K3272-G3272)</f>
        <v>4</v>
      </c>
    </row>
    <row r="3273" customFormat="false" ht="15" hidden="false" customHeight="false" outlineLevel="0" collapsed="false">
      <c r="A3273" s="7" t="n">
        <v>81047901</v>
      </c>
      <c r="B3273" s="7" t="s">
        <v>68</v>
      </c>
      <c r="C3273" s="7" t="s">
        <v>6906</v>
      </c>
      <c r="D3273" s="7" t="s">
        <v>6907</v>
      </c>
      <c r="E3273" s="7" t="s">
        <v>362</v>
      </c>
      <c r="F3273" s="7" t="s">
        <v>6897</v>
      </c>
      <c r="G3273" s="7" t="n">
        <v>2017</v>
      </c>
      <c r="H3273" s="7" t="s">
        <v>49</v>
      </c>
      <c r="I3273" s="7" t="s">
        <v>519</v>
      </c>
      <c r="J3273" s="7" t="s">
        <v>1703</v>
      </c>
      <c r="K3273" s="7" t="n">
        <f aca="false">IFERROR(VALUE(RIGHT(TRIM(F3273),4)),"")</f>
        <v>2019</v>
      </c>
      <c r="L3273" s="7" t="str">
        <f aca="false">IF(TRIM(E3273)="","Unknown",IFERROR(LEFT(TRIM(E3273),FIND(",",TRIM(E3273))-1),TRIM(E3273)))</f>
        <v>Indonesia</v>
      </c>
      <c r="M3273" s="7" t="str">
        <f aca="false">IFERROR(LEFT(J3273,FIND(",",J3273)-1),J3273)</f>
        <v>Dramas</v>
      </c>
      <c r="N3273" s="7" t="n">
        <f aca="false">IF(B3273="Movie",IFERROR(VALUE(LEFT(I3273,FIND(" ",I3273)-1)),""),"")</f>
        <v>119</v>
      </c>
      <c r="O3273" s="7" t="str">
        <f aca="false">IF(B3273="TV Show",IFERROR(VALUE(LEFT(I3273,FIND(" ",I3273)-1)),""),"")</f>
        <v/>
      </c>
      <c r="P3273" s="7" t="n">
        <f aca="false">IF(K3273="","",K3273-G3273)</f>
        <v>2</v>
      </c>
    </row>
    <row r="3274" customFormat="false" ht="15" hidden="false" customHeight="false" outlineLevel="0" collapsed="false">
      <c r="A3274" s="7" t="n">
        <v>70261978</v>
      </c>
      <c r="B3274" s="7" t="s">
        <v>78</v>
      </c>
      <c r="C3274" s="7" t="s">
        <v>6908</v>
      </c>
      <c r="D3274" s="7" t="s">
        <v>1971</v>
      </c>
      <c r="E3274" s="7" t="s">
        <v>6909</v>
      </c>
      <c r="F3274" s="7" t="s">
        <v>6910</v>
      </c>
      <c r="G3274" s="7" t="n">
        <v>2011</v>
      </c>
      <c r="H3274" s="7" t="s">
        <v>50</v>
      </c>
      <c r="I3274" s="7" t="s">
        <v>82</v>
      </c>
      <c r="J3274" s="7" t="s">
        <v>306</v>
      </c>
      <c r="K3274" s="7" t="n">
        <f aca="false">IFERROR(VALUE(RIGHT(TRIM(F3274),4)),"")</f>
        <v>2016</v>
      </c>
      <c r="L3274" s="7" t="str">
        <f aca="false">IF(TRIM(E3274)="","Unknown",IFERROR(LEFT(TRIM(E3274),FIND(",",TRIM(E3274))-1),TRIM(E3274)))</f>
        <v>United Kingdom</v>
      </c>
      <c r="M3274" s="7" t="str">
        <f aca="false">IFERROR(LEFT(J3274,FIND(",",J3274)-1),J3274)</f>
        <v>British TV Shows</v>
      </c>
      <c r="N3274" s="7" t="str">
        <f aca="false">IF(B3274="Movie",IFERROR(VALUE(LEFT(I3274,FIND(" ",I3274)-1)),""),"")</f>
        <v/>
      </c>
      <c r="O3274" s="7" t="n">
        <f aca="false">IF(B3274="TV Show",IFERROR(VALUE(LEFT(I3274,FIND(" ",I3274)-1)),""),"")</f>
        <v>1</v>
      </c>
      <c r="P3274" s="7" t="n">
        <f aca="false">IF(K3274="","",K3274-G3274)</f>
        <v>5</v>
      </c>
    </row>
    <row r="3275" customFormat="false" ht="15" hidden="false" customHeight="false" outlineLevel="0" collapsed="false">
      <c r="A3275" s="7" t="n">
        <v>70279637</v>
      </c>
      <c r="B3275" s="7" t="s">
        <v>68</v>
      </c>
      <c r="C3275" s="7" t="s">
        <v>6911</v>
      </c>
      <c r="E3275" s="7" t="s">
        <v>6909</v>
      </c>
      <c r="F3275" s="7" t="s">
        <v>6910</v>
      </c>
      <c r="G3275" s="7" t="n">
        <v>2011</v>
      </c>
      <c r="H3275" s="7" t="s">
        <v>50</v>
      </c>
      <c r="I3275" s="7" t="s">
        <v>935</v>
      </c>
      <c r="J3275" s="7" t="s">
        <v>10</v>
      </c>
      <c r="K3275" s="7" t="n">
        <f aca="false">IFERROR(VALUE(RIGHT(TRIM(F3275),4)),"")</f>
        <v>2016</v>
      </c>
      <c r="L3275" s="7" t="str">
        <f aca="false">IF(TRIM(E3275)="","Unknown",IFERROR(LEFT(TRIM(E3275),FIND(",",TRIM(E3275))-1),TRIM(E3275)))</f>
        <v>United Kingdom</v>
      </c>
      <c r="M3275" s="7" t="str">
        <f aca="false">IFERROR(LEFT(J3275,FIND(",",J3275)-1),J3275)</f>
        <v>Movies</v>
      </c>
      <c r="N3275" s="7" t="n">
        <f aca="false">IF(B3275="Movie",IFERROR(VALUE(LEFT(I3275,FIND(" ",I3275)-1)),""),"")</f>
        <v>47</v>
      </c>
      <c r="O3275" s="7" t="str">
        <f aca="false">IF(B3275="TV Show",IFERROR(VALUE(LEFT(I3275,FIND(" ",I3275)-1)),""),"")</f>
        <v/>
      </c>
      <c r="P3275" s="7" t="n">
        <f aca="false">IF(K3275="","",K3275-G3275)</f>
        <v>5</v>
      </c>
    </row>
    <row r="3276" customFormat="false" ht="15" hidden="false" customHeight="false" outlineLevel="0" collapsed="false">
      <c r="A3276" s="7" t="n">
        <v>80049171</v>
      </c>
      <c r="B3276" s="7" t="s">
        <v>68</v>
      </c>
      <c r="C3276" s="7" t="s">
        <v>6912</v>
      </c>
      <c r="E3276" s="7" t="s">
        <v>6909</v>
      </c>
      <c r="F3276" s="7" t="s">
        <v>6910</v>
      </c>
      <c r="G3276" s="7" t="n">
        <v>2011</v>
      </c>
      <c r="H3276" s="7" t="s">
        <v>50</v>
      </c>
      <c r="I3276" s="7" t="s">
        <v>734</v>
      </c>
      <c r="J3276" s="7" t="s">
        <v>10</v>
      </c>
      <c r="K3276" s="7" t="n">
        <f aca="false">IFERROR(VALUE(RIGHT(TRIM(F3276),4)),"")</f>
        <v>2016</v>
      </c>
      <c r="L3276" s="7" t="str">
        <f aca="false">IF(TRIM(E3276)="","Unknown",IFERROR(LEFT(TRIM(E3276),FIND(",",TRIM(E3276))-1),TRIM(E3276)))</f>
        <v>United Kingdom</v>
      </c>
      <c r="M3276" s="7" t="str">
        <f aca="false">IFERROR(LEFT(J3276,FIND(",",J3276)-1),J3276)</f>
        <v>Movies</v>
      </c>
      <c r="N3276" s="7" t="n">
        <f aca="false">IF(B3276="Movie",IFERROR(VALUE(LEFT(I3276,FIND(" ",I3276)-1)),""),"")</f>
        <v>52</v>
      </c>
      <c r="O3276" s="7" t="str">
        <f aca="false">IF(B3276="TV Show",IFERROR(VALUE(LEFT(I3276,FIND(" ",I3276)-1)),""),"")</f>
        <v/>
      </c>
      <c r="P3276" s="7" t="n">
        <f aca="false">IF(K3276="","",K3276-G3276)</f>
        <v>5</v>
      </c>
    </row>
    <row r="3277" customFormat="false" ht="15" hidden="false" customHeight="false" outlineLevel="0" collapsed="false">
      <c r="A3277" s="7" t="n">
        <v>80048250</v>
      </c>
      <c r="B3277" s="7" t="s">
        <v>78</v>
      </c>
      <c r="C3277" s="7" t="s">
        <v>6913</v>
      </c>
      <c r="E3277" s="7" t="s">
        <v>6909</v>
      </c>
      <c r="F3277" s="7" t="s">
        <v>6910</v>
      </c>
      <c r="G3277" s="7" t="n">
        <v>2012</v>
      </c>
      <c r="H3277" s="7" t="s">
        <v>50</v>
      </c>
      <c r="I3277" s="7" t="s">
        <v>82</v>
      </c>
      <c r="J3277" s="7" t="s">
        <v>1969</v>
      </c>
      <c r="K3277" s="7" t="n">
        <f aca="false">IFERROR(VALUE(RIGHT(TRIM(F3277),4)),"")</f>
        <v>2016</v>
      </c>
      <c r="L3277" s="7" t="str">
        <f aca="false">IF(TRIM(E3277)="","Unknown",IFERROR(LEFT(TRIM(E3277),FIND(",",TRIM(E3277))-1),TRIM(E3277)))</f>
        <v>United Kingdom</v>
      </c>
      <c r="M3277" s="7" t="str">
        <f aca="false">IFERROR(LEFT(J3277,FIND(",",J3277)-1),J3277)</f>
        <v>British TV Shows</v>
      </c>
      <c r="N3277" s="7" t="str">
        <f aca="false">IF(B3277="Movie",IFERROR(VALUE(LEFT(I3277,FIND(" ",I3277)-1)),""),"")</f>
        <v/>
      </c>
      <c r="O3277" s="7" t="n">
        <f aca="false">IF(B3277="TV Show",IFERROR(VALUE(LEFT(I3277,FIND(" ",I3277)-1)),""),"")</f>
        <v>1</v>
      </c>
      <c r="P3277" s="7" t="n">
        <f aca="false">IF(K3277="","",K3277-G3277)</f>
        <v>4</v>
      </c>
    </row>
    <row r="3278" customFormat="false" ht="15" hidden="false" customHeight="false" outlineLevel="0" collapsed="false">
      <c r="A3278" s="7" t="n">
        <v>80189619</v>
      </c>
      <c r="B3278" s="7" t="s">
        <v>78</v>
      </c>
      <c r="C3278" s="7" t="s">
        <v>6914</v>
      </c>
      <c r="F3278" s="7" t="s">
        <v>6915</v>
      </c>
      <c r="G3278" s="7" t="n">
        <v>2018</v>
      </c>
      <c r="H3278" s="7" t="s">
        <v>48</v>
      </c>
      <c r="I3278" s="7" t="s">
        <v>82</v>
      </c>
      <c r="J3278" s="7" t="s">
        <v>344</v>
      </c>
      <c r="K3278" s="7" t="n">
        <f aca="false">IFERROR(VALUE(RIGHT(TRIM(F3278),4)),"")</f>
        <v>2019</v>
      </c>
      <c r="L3278" s="7" t="str">
        <f aca="false">IF(TRIM(E3278)="","Unknown",IFERROR(LEFT(TRIM(E3278),FIND(",",TRIM(E3278))-1),TRIM(E3278)))</f>
        <v>Unknown</v>
      </c>
      <c r="M3278" s="7" t="str">
        <f aca="false">IFERROR(LEFT(J3278,FIND(",",J3278)-1),J3278)</f>
        <v>International TV Shows</v>
      </c>
      <c r="N3278" s="7" t="str">
        <f aca="false">IF(B3278="Movie",IFERROR(VALUE(LEFT(I3278,FIND(" ",I3278)-1)),""),"")</f>
        <v/>
      </c>
      <c r="O3278" s="7" t="n">
        <f aca="false">IF(B3278="TV Show",IFERROR(VALUE(LEFT(I3278,FIND(" ",I3278)-1)),""),"")</f>
        <v>1</v>
      </c>
      <c r="P3278" s="7" t="n">
        <f aca="false">IF(K3278="","",K3278-G3278)</f>
        <v>1</v>
      </c>
    </row>
    <row r="3279" customFormat="false" ht="15" hidden="false" customHeight="false" outlineLevel="0" collapsed="false">
      <c r="A3279" s="7" t="n">
        <v>80099016</v>
      </c>
      <c r="B3279" s="7" t="s">
        <v>68</v>
      </c>
      <c r="C3279" s="7" t="s">
        <v>6916</v>
      </c>
      <c r="D3279" s="7" t="s">
        <v>6917</v>
      </c>
      <c r="E3279" s="7" t="s">
        <v>28</v>
      </c>
      <c r="F3279" s="7" t="s">
        <v>6918</v>
      </c>
      <c r="G3279" s="7" t="n">
        <v>2017</v>
      </c>
      <c r="H3279" s="7" t="s">
        <v>48</v>
      </c>
      <c r="I3279" s="7" t="s">
        <v>470</v>
      </c>
      <c r="J3279" s="7" t="s">
        <v>94</v>
      </c>
      <c r="K3279" s="7" t="n">
        <f aca="false">IFERROR(VALUE(RIGHT(TRIM(F3279),4)),"")</f>
        <v>2017</v>
      </c>
      <c r="L3279" s="7" t="str">
        <f aca="false">IF(TRIM(E3279)="","Unknown",IFERROR(LEFT(TRIM(E3279),FIND(",",TRIM(E3279))-1),TRIM(E3279)))</f>
        <v>United Kingdom</v>
      </c>
      <c r="M3279" s="7" t="str">
        <f aca="false">IFERROR(LEFT(J3279,FIND(",",J3279)-1),J3279)</f>
        <v>International Movies</v>
      </c>
      <c r="N3279" s="7" t="n">
        <f aca="false">IF(B3279="Movie",IFERROR(VALUE(LEFT(I3279,FIND(" ",I3279)-1)),""),"")</f>
        <v>91</v>
      </c>
      <c r="O3279" s="7" t="str">
        <f aca="false">IF(B3279="TV Show",IFERROR(VALUE(LEFT(I3279,FIND(" ",I3279)-1)),""),"")</f>
        <v/>
      </c>
      <c r="P3279" s="7" t="n">
        <f aca="false">IF(K3279="","",K3279-G3279)</f>
        <v>0</v>
      </c>
    </row>
    <row r="3280" customFormat="false" ht="15" hidden="false" customHeight="false" outlineLevel="0" collapsed="false">
      <c r="A3280" s="7" t="n">
        <v>80123792</v>
      </c>
      <c r="B3280" s="7" t="s">
        <v>78</v>
      </c>
      <c r="C3280" s="7" t="s">
        <v>6919</v>
      </c>
      <c r="E3280" s="7" t="s">
        <v>34</v>
      </c>
      <c r="F3280" s="7" t="s">
        <v>6918</v>
      </c>
      <c r="G3280" s="7" t="n">
        <v>2016</v>
      </c>
      <c r="H3280" s="7" t="s">
        <v>49</v>
      </c>
      <c r="I3280" s="7" t="s">
        <v>82</v>
      </c>
      <c r="J3280" s="7" t="s">
        <v>824</v>
      </c>
      <c r="K3280" s="7" t="n">
        <f aca="false">IFERROR(VALUE(RIGHT(TRIM(F3280),4)),"")</f>
        <v>2017</v>
      </c>
      <c r="L3280" s="7" t="str">
        <f aca="false">IF(TRIM(E3280)="","Unknown",IFERROR(LEFT(TRIM(E3280),FIND(",",TRIM(E3280))-1),TRIM(E3280)))</f>
        <v>Mexico</v>
      </c>
      <c r="M3280" s="7" t="str">
        <f aca="false">IFERROR(LEFT(J3280,FIND(",",J3280)-1),J3280)</f>
        <v>International TV Shows</v>
      </c>
      <c r="N3280" s="7" t="str">
        <f aca="false">IF(B3280="Movie",IFERROR(VALUE(LEFT(I3280,FIND(" ",I3280)-1)),""),"")</f>
        <v/>
      </c>
      <c r="O3280" s="7" t="n">
        <f aca="false">IF(B3280="TV Show",IFERROR(VALUE(LEFT(I3280,FIND(" ",I3280)-1)),""),"")</f>
        <v>1</v>
      </c>
      <c r="P3280" s="7" t="n">
        <f aca="false">IF(K3280="","",K3280-G3280)</f>
        <v>1</v>
      </c>
    </row>
    <row r="3281" customFormat="false" ht="15" hidden="false" customHeight="false" outlineLevel="0" collapsed="false">
      <c r="A3281" s="7" t="n">
        <v>80132792</v>
      </c>
      <c r="B3281" s="7" t="s">
        <v>78</v>
      </c>
      <c r="C3281" s="7" t="s">
        <v>6920</v>
      </c>
      <c r="E3281" s="7" t="s">
        <v>5469</v>
      </c>
      <c r="F3281" s="7" t="s">
        <v>6918</v>
      </c>
      <c r="G3281" s="7" t="n">
        <v>2016</v>
      </c>
      <c r="H3281" s="7" t="s">
        <v>48</v>
      </c>
      <c r="I3281" s="7" t="s">
        <v>82</v>
      </c>
      <c r="J3281" s="7" t="s">
        <v>1402</v>
      </c>
      <c r="K3281" s="7" t="n">
        <f aca="false">IFERROR(VALUE(RIGHT(TRIM(F3281),4)),"")</f>
        <v>2017</v>
      </c>
      <c r="L3281" s="7" t="str">
        <f aca="false">IF(TRIM(E3281)="","Unknown",IFERROR(LEFT(TRIM(E3281),FIND(",",TRIM(E3281))-1),TRIM(E3281)))</f>
        <v>Israel</v>
      </c>
      <c r="M3281" s="7" t="str">
        <f aca="false">IFERROR(LEFT(J3281,FIND(",",J3281)-1),J3281)</f>
        <v>Crime TV Shows</v>
      </c>
      <c r="N3281" s="7" t="str">
        <f aca="false">IF(B3281="Movie",IFERROR(VALUE(LEFT(I3281,FIND(" ",I3281)-1)),""),"")</f>
        <v/>
      </c>
      <c r="O3281" s="7" t="n">
        <f aca="false">IF(B3281="TV Show",IFERROR(VALUE(LEFT(I3281,FIND(" ",I3281)-1)),""),"")</f>
        <v>1</v>
      </c>
      <c r="P3281" s="7" t="n">
        <f aca="false">IF(K3281="","",K3281-G3281)</f>
        <v>1</v>
      </c>
    </row>
    <row r="3282" customFormat="false" ht="15" hidden="false" customHeight="false" outlineLevel="0" collapsed="false">
      <c r="A3282" s="7" t="n">
        <v>60024962</v>
      </c>
      <c r="B3282" s="7" t="s">
        <v>68</v>
      </c>
      <c r="C3282" s="7" t="s">
        <v>6921</v>
      </c>
      <c r="D3282" s="7" t="s">
        <v>6734</v>
      </c>
      <c r="E3282" s="7" t="s">
        <v>28</v>
      </c>
      <c r="F3282" s="7" t="s">
        <v>6922</v>
      </c>
      <c r="G3282" s="7" t="n">
        <v>2002</v>
      </c>
      <c r="H3282" s="7" t="s">
        <v>51</v>
      </c>
      <c r="I3282" s="7" t="s">
        <v>268</v>
      </c>
      <c r="J3282" s="7" t="s">
        <v>509</v>
      </c>
      <c r="K3282" s="7" t="n">
        <f aca="false">IFERROR(VALUE(RIGHT(TRIM(F3282),4)),"")</f>
        <v>2019</v>
      </c>
      <c r="L3282" s="7" t="str">
        <f aca="false">IF(TRIM(E3282)="","Unknown",IFERROR(LEFT(TRIM(E3282),FIND(",",TRIM(E3282))-1),TRIM(E3282)))</f>
        <v>United Kingdom</v>
      </c>
      <c r="M3282" s="7" t="str">
        <f aca="false">IFERROR(LEFT(J3282,FIND(",",J3282)-1),J3282)</f>
        <v>Documentaries</v>
      </c>
      <c r="N3282" s="7" t="n">
        <f aca="false">IF(B3282="Movie",IFERROR(VALUE(LEFT(I3282,FIND(" ",I3282)-1)),""),"")</f>
        <v>108</v>
      </c>
      <c r="O3282" s="7" t="str">
        <f aca="false">IF(B3282="TV Show",IFERROR(VALUE(LEFT(I3282,FIND(" ",I3282)-1)),""),"")</f>
        <v/>
      </c>
      <c r="P3282" s="7" t="n">
        <f aca="false">IF(K3282="","",K3282-G3282)</f>
        <v>17</v>
      </c>
    </row>
    <row r="3283" customFormat="false" ht="15" hidden="false" customHeight="false" outlineLevel="0" collapsed="false">
      <c r="A3283" s="7" t="n">
        <v>81031181</v>
      </c>
      <c r="B3283" s="7" t="s">
        <v>68</v>
      </c>
      <c r="C3283" s="7" t="s">
        <v>6923</v>
      </c>
      <c r="D3283" s="7" t="s">
        <v>1268</v>
      </c>
      <c r="E3283" s="7" t="s">
        <v>1269</v>
      </c>
      <c r="F3283" s="7" t="s">
        <v>6922</v>
      </c>
      <c r="G3283" s="7" t="n">
        <v>2018</v>
      </c>
      <c r="H3283" s="7" t="s">
        <v>48</v>
      </c>
      <c r="I3283" s="7" t="s">
        <v>1777</v>
      </c>
      <c r="J3283" s="7" t="s">
        <v>304</v>
      </c>
      <c r="K3283" s="7" t="n">
        <f aca="false">IFERROR(VALUE(RIGHT(TRIM(F3283),4)),"")</f>
        <v>2019</v>
      </c>
      <c r="L3283" s="7" t="str">
        <f aca="false">IF(TRIM(E3283)="","Unknown",IFERROR(LEFT(TRIM(E3283),FIND(",",TRIM(E3283))-1),TRIM(E3283)))</f>
        <v>Philippines</v>
      </c>
      <c r="M3283" s="7" t="str">
        <f aca="false">IFERROR(LEFT(J3283,FIND(",",J3283)-1),J3283)</f>
        <v>Dramas</v>
      </c>
      <c r="N3283" s="7" t="n">
        <f aca="false">IF(B3283="Movie",IFERROR(VALUE(LEFT(I3283,FIND(" ",I3283)-1)),""),"")</f>
        <v>150</v>
      </c>
      <c r="O3283" s="7" t="str">
        <f aca="false">IF(B3283="TV Show",IFERROR(VALUE(LEFT(I3283,FIND(" ",I3283)-1)),""),"")</f>
        <v/>
      </c>
      <c r="P3283" s="7" t="n">
        <f aca="false">IF(K3283="","",K3283-G3283)</f>
        <v>1</v>
      </c>
    </row>
    <row r="3284" customFormat="false" ht="15" hidden="false" customHeight="false" outlineLevel="0" collapsed="false">
      <c r="A3284" s="7" t="n">
        <v>80107084</v>
      </c>
      <c r="B3284" s="7" t="s">
        <v>68</v>
      </c>
      <c r="C3284" s="7" t="s">
        <v>6924</v>
      </c>
      <c r="D3284" s="7" t="s">
        <v>5062</v>
      </c>
      <c r="E3284" s="7" t="s">
        <v>26</v>
      </c>
      <c r="F3284" s="7" t="s">
        <v>6925</v>
      </c>
      <c r="G3284" s="7" t="n">
        <v>2018</v>
      </c>
      <c r="H3284" s="7" t="s">
        <v>48</v>
      </c>
      <c r="I3284" s="7" t="s">
        <v>181</v>
      </c>
      <c r="J3284" s="7" t="s">
        <v>38</v>
      </c>
      <c r="K3284" s="7" t="n">
        <f aca="false">IFERROR(VALUE(RIGHT(TRIM(F3284),4)),"")</f>
        <v>2018</v>
      </c>
      <c r="L3284" s="7" t="str">
        <f aca="false">IF(TRIM(E3284)="","Unknown",IFERROR(LEFT(TRIM(E3284),FIND(",",TRIM(E3284))-1),TRIM(E3284)))</f>
        <v>United States</v>
      </c>
      <c r="M3284" s="7" t="str">
        <f aca="false">IFERROR(LEFT(J3284,FIND(",",J3284)-1),J3284)</f>
        <v>Comedies</v>
      </c>
      <c r="N3284" s="7" t="n">
        <f aca="false">IF(B3284="Movie",IFERROR(VALUE(LEFT(I3284,FIND(" ",I3284)-1)),""),"")</f>
        <v>102</v>
      </c>
      <c r="O3284" s="7" t="str">
        <f aca="false">IF(B3284="TV Show",IFERROR(VALUE(LEFT(I3284,FIND(" ",I3284)-1)),""),"")</f>
        <v/>
      </c>
      <c r="P3284" s="7" t="n">
        <f aca="false">IF(K3284="","",K3284-G3284)</f>
        <v>0</v>
      </c>
    </row>
    <row r="3285" customFormat="false" ht="15" hidden="false" customHeight="false" outlineLevel="0" collapsed="false">
      <c r="A3285" s="7" t="n">
        <v>80118100</v>
      </c>
      <c r="B3285" s="7" t="s">
        <v>78</v>
      </c>
      <c r="C3285" s="7" t="s">
        <v>6926</v>
      </c>
      <c r="E3285" s="7" t="s">
        <v>26</v>
      </c>
      <c r="F3285" s="7" t="s">
        <v>6925</v>
      </c>
      <c r="G3285" s="7" t="n">
        <v>2018</v>
      </c>
      <c r="H3285" s="7" t="s">
        <v>49</v>
      </c>
      <c r="I3285" s="7" t="s">
        <v>82</v>
      </c>
      <c r="J3285" s="7" t="s">
        <v>696</v>
      </c>
      <c r="K3285" s="7" t="n">
        <f aca="false">IFERROR(VALUE(RIGHT(TRIM(F3285),4)),"")</f>
        <v>2018</v>
      </c>
      <c r="L3285" s="7" t="str">
        <f aca="false">IF(TRIM(E3285)="","Unknown",IFERROR(LEFT(TRIM(E3285),FIND(",",TRIM(E3285))-1),TRIM(E3285)))</f>
        <v>United States</v>
      </c>
      <c r="M3285" s="7" t="str">
        <f aca="false">IFERROR(LEFT(J3285,FIND(",",J3285)-1),J3285)</f>
        <v>Crime TV Shows</v>
      </c>
      <c r="N3285" s="7" t="str">
        <f aca="false">IF(B3285="Movie",IFERROR(VALUE(LEFT(I3285,FIND(" ",I3285)-1)),""),"")</f>
        <v/>
      </c>
      <c r="O3285" s="7" t="n">
        <f aca="false">IF(B3285="TV Show",IFERROR(VALUE(LEFT(I3285,FIND(" ",I3285)-1)),""),"")</f>
        <v>1</v>
      </c>
      <c r="P3285" s="7" t="n">
        <f aca="false">IF(K3285="","",K3285-G3285)</f>
        <v>0</v>
      </c>
    </row>
    <row r="3286" customFormat="false" ht="15" hidden="false" customHeight="false" outlineLevel="0" collapsed="false">
      <c r="A3286" s="7" t="n">
        <v>80196589</v>
      </c>
      <c r="B3286" s="7" t="s">
        <v>68</v>
      </c>
      <c r="C3286" s="7" t="s">
        <v>6927</v>
      </c>
      <c r="D3286" s="7" t="s">
        <v>6928</v>
      </c>
      <c r="E3286" s="7" t="s">
        <v>1819</v>
      </c>
      <c r="F3286" s="7" t="s">
        <v>6925</v>
      </c>
      <c r="G3286" s="7" t="n">
        <v>2018</v>
      </c>
      <c r="H3286" s="7" t="s">
        <v>48</v>
      </c>
      <c r="I3286" s="7" t="s">
        <v>123</v>
      </c>
      <c r="J3286" s="7" t="s">
        <v>45</v>
      </c>
      <c r="K3286" s="7" t="n">
        <f aca="false">IFERROR(VALUE(RIGHT(TRIM(F3286),4)),"")</f>
        <v>2018</v>
      </c>
      <c r="L3286" s="7" t="str">
        <f aca="false">IF(TRIM(E3286)="","Unknown",IFERROR(LEFT(TRIM(E3286),FIND(",",TRIM(E3286))-1),TRIM(E3286)))</f>
        <v>Singapore</v>
      </c>
      <c r="M3286" s="7" t="str">
        <f aca="false">IFERROR(LEFT(J3286,FIND(",",J3286)-1),J3286)</f>
        <v>Stand-Up Comedy</v>
      </c>
      <c r="N3286" s="7" t="n">
        <f aca="false">IF(B3286="Movie",IFERROR(VALUE(LEFT(I3286,FIND(" ",I3286)-1)),""),"")</f>
        <v>61</v>
      </c>
      <c r="O3286" s="7" t="str">
        <f aca="false">IF(B3286="TV Show",IFERROR(VALUE(LEFT(I3286,FIND(" ",I3286)-1)),""),"")</f>
        <v/>
      </c>
      <c r="P3286" s="7" t="n">
        <f aca="false">IF(K3286="","",K3286-G3286)</f>
        <v>0</v>
      </c>
    </row>
    <row r="3287" customFormat="false" ht="15" hidden="false" customHeight="false" outlineLevel="0" collapsed="false">
      <c r="A3287" s="7" t="n">
        <v>80183089</v>
      </c>
      <c r="B3287" s="7" t="s">
        <v>68</v>
      </c>
      <c r="C3287" s="7" t="s">
        <v>6929</v>
      </c>
      <c r="E3287" s="7" t="s">
        <v>34</v>
      </c>
      <c r="F3287" s="7" t="s">
        <v>6925</v>
      </c>
      <c r="G3287" s="7" t="n">
        <v>2018</v>
      </c>
      <c r="H3287" s="7" t="s">
        <v>48</v>
      </c>
      <c r="I3287" s="7" t="s">
        <v>1164</v>
      </c>
      <c r="J3287" s="7" t="s">
        <v>45</v>
      </c>
      <c r="K3287" s="7" t="n">
        <f aca="false">IFERROR(VALUE(RIGHT(TRIM(F3287),4)),"")</f>
        <v>2018</v>
      </c>
      <c r="L3287" s="7" t="str">
        <f aca="false">IF(TRIM(E3287)="","Unknown",IFERROR(LEFT(TRIM(E3287),FIND(",",TRIM(E3287))-1),TRIM(E3287)))</f>
        <v>Mexico</v>
      </c>
      <c r="M3287" s="7" t="str">
        <f aca="false">IFERROR(LEFT(J3287,FIND(",",J3287)-1),J3287)</f>
        <v>Stand-Up Comedy</v>
      </c>
      <c r="N3287" s="7" t="n">
        <f aca="false">IF(B3287="Movie",IFERROR(VALUE(LEFT(I3287,FIND(" ",I3287)-1)),""),"")</f>
        <v>57</v>
      </c>
      <c r="O3287" s="7" t="str">
        <f aca="false">IF(B3287="TV Show",IFERROR(VALUE(LEFT(I3287,FIND(" ",I3287)-1)),""),"")</f>
        <v/>
      </c>
      <c r="P3287" s="7" t="n">
        <f aca="false">IF(K3287="","",K3287-G3287)</f>
        <v>0</v>
      </c>
    </row>
    <row r="3288" customFormat="false" ht="15" hidden="false" customHeight="false" outlineLevel="0" collapsed="false">
      <c r="A3288" s="7" t="n">
        <v>80125818</v>
      </c>
      <c r="B3288" s="7" t="s">
        <v>68</v>
      </c>
      <c r="C3288" s="7" t="s">
        <v>6930</v>
      </c>
      <c r="D3288" s="7" t="s">
        <v>6931</v>
      </c>
      <c r="E3288" s="7" t="s">
        <v>31</v>
      </c>
      <c r="F3288" s="7" t="s">
        <v>6925</v>
      </c>
      <c r="G3288" s="7" t="n">
        <v>2014</v>
      </c>
      <c r="H3288" s="7" t="s">
        <v>54</v>
      </c>
      <c r="I3288" s="7" t="s">
        <v>340</v>
      </c>
      <c r="J3288" s="7" t="s">
        <v>42</v>
      </c>
      <c r="K3288" s="7" t="n">
        <f aca="false">IFERROR(VALUE(RIGHT(TRIM(F3288),4)),"")</f>
        <v>2018</v>
      </c>
      <c r="L3288" s="7" t="str">
        <f aca="false">IF(TRIM(E3288)="","Unknown",IFERROR(LEFT(TRIM(E3288),FIND(",",TRIM(E3288))-1),TRIM(E3288)))</f>
        <v>France</v>
      </c>
      <c r="M3288" s="7" t="str">
        <f aca="false">IFERROR(LEFT(J3288,FIND(",",J3288)-1),J3288)</f>
        <v>Children &amp; Family Movies</v>
      </c>
      <c r="N3288" s="7" t="n">
        <f aca="false">IF(B3288="Movie",IFERROR(VALUE(LEFT(I3288,FIND(" ",I3288)-1)),""),"")</f>
        <v>85</v>
      </c>
      <c r="O3288" s="7" t="str">
        <f aca="false">IF(B3288="TV Show",IFERROR(VALUE(LEFT(I3288,FIND(" ",I3288)-1)),""),"")</f>
        <v/>
      </c>
      <c r="P3288" s="7" t="n">
        <f aca="false">IF(K3288="","",K3288-G3288)</f>
        <v>4</v>
      </c>
    </row>
    <row r="3289" customFormat="false" ht="15" hidden="false" customHeight="false" outlineLevel="0" collapsed="false">
      <c r="A3289" s="7" t="n">
        <v>80192138</v>
      </c>
      <c r="B3289" s="7" t="s">
        <v>68</v>
      </c>
      <c r="C3289" s="7" t="s">
        <v>6932</v>
      </c>
      <c r="D3289" s="7" t="s">
        <v>3118</v>
      </c>
      <c r="E3289" s="7" t="s">
        <v>1113</v>
      </c>
      <c r="F3289" s="7" t="s">
        <v>6925</v>
      </c>
      <c r="G3289" s="7" t="n">
        <v>2018</v>
      </c>
      <c r="H3289" s="7" t="s">
        <v>48</v>
      </c>
      <c r="I3289" s="7" t="s">
        <v>5456</v>
      </c>
      <c r="J3289" s="7" t="s">
        <v>45</v>
      </c>
      <c r="K3289" s="7" t="n">
        <f aca="false">IFERROR(VALUE(RIGHT(TRIM(F3289),4)),"")</f>
        <v>2018</v>
      </c>
      <c r="L3289" s="7" t="str">
        <f aca="false">IF(TRIM(E3289)="","Unknown",IFERROR(LEFT(TRIM(E3289),FIND(",",TRIM(E3289))-1),TRIM(E3289)))</f>
        <v>Argentina</v>
      </c>
      <c r="M3289" s="7" t="str">
        <f aca="false">IFERROR(LEFT(J3289,FIND(",",J3289)-1),J3289)</f>
        <v>Stand-Up Comedy</v>
      </c>
      <c r="N3289" s="7" t="n">
        <f aca="false">IF(B3289="Movie",IFERROR(VALUE(LEFT(I3289,FIND(" ",I3289)-1)),""),"")</f>
        <v>49</v>
      </c>
      <c r="O3289" s="7" t="str">
        <f aca="false">IF(B3289="TV Show",IFERROR(VALUE(LEFT(I3289,FIND(" ",I3289)-1)),""),"")</f>
        <v/>
      </c>
      <c r="P3289" s="7" t="n">
        <f aca="false">IF(K3289="","",K3289-G3289)</f>
        <v>0</v>
      </c>
    </row>
    <row r="3290" customFormat="false" ht="15" hidden="false" customHeight="false" outlineLevel="0" collapsed="false">
      <c r="A3290" s="7" t="n">
        <v>80169801</v>
      </c>
      <c r="B3290" s="7" t="s">
        <v>68</v>
      </c>
      <c r="C3290" s="7" t="s">
        <v>6933</v>
      </c>
      <c r="F3290" s="7" t="s">
        <v>6934</v>
      </c>
      <c r="G3290" s="7" t="n">
        <v>2017</v>
      </c>
      <c r="I3290" s="7" t="s">
        <v>6935</v>
      </c>
      <c r="J3290" s="7" t="s">
        <v>10</v>
      </c>
      <c r="K3290" s="7" t="n">
        <f aca="false">IFERROR(VALUE(RIGHT(TRIM(F3290),4)),"")</f>
        <v>2017</v>
      </c>
      <c r="L3290" s="7" t="str">
        <f aca="false">IF(TRIM(E3290)="","Unknown",IFERROR(LEFT(TRIM(E3290),FIND(",",TRIM(E3290))-1),TRIM(E3290)))</f>
        <v>Unknown</v>
      </c>
      <c r="M3290" s="7" t="str">
        <f aca="false">IFERROR(LEFT(J3290,FIND(",",J3290)-1),J3290)</f>
        <v>Movies</v>
      </c>
      <c r="N3290" s="7" t="n">
        <f aca="false">IF(B3290="Movie",IFERROR(VALUE(LEFT(I3290,FIND(" ",I3290)-1)),""),"")</f>
        <v>37</v>
      </c>
      <c r="O3290" s="7" t="str">
        <f aca="false">IF(B3290="TV Show",IFERROR(VALUE(LEFT(I3290,FIND(" ",I3290)-1)),""),"")</f>
        <v/>
      </c>
      <c r="P3290" s="7" t="n">
        <f aca="false">IF(K3290="","",K3290-G3290)</f>
        <v>0</v>
      </c>
    </row>
    <row r="3291" customFormat="false" ht="15" hidden="false" customHeight="false" outlineLevel="0" collapsed="false">
      <c r="A3291" s="7" t="n">
        <v>80239629</v>
      </c>
      <c r="B3291" s="7" t="s">
        <v>68</v>
      </c>
      <c r="C3291" s="7" t="s">
        <v>6936</v>
      </c>
      <c r="D3291" s="7" t="s">
        <v>6937</v>
      </c>
      <c r="E3291" s="7" t="s">
        <v>6938</v>
      </c>
      <c r="F3291" s="7" t="s">
        <v>6939</v>
      </c>
      <c r="G3291" s="7" t="n">
        <v>2018</v>
      </c>
      <c r="H3291" s="7" t="s">
        <v>48</v>
      </c>
      <c r="I3291" s="7" t="s">
        <v>264</v>
      </c>
      <c r="J3291" s="7" t="s">
        <v>169</v>
      </c>
      <c r="K3291" s="7" t="n">
        <f aca="false">IFERROR(VALUE(RIGHT(TRIM(F3291),4)),"")</f>
        <v>2019</v>
      </c>
      <c r="L3291" s="7" t="str">
        <f aca="false">IF(TRIM(E3291)="","Unknown",IFERROR(LEFT(TRIM(E3291),FIND(",",TRIM(E3291))-1),TRIM(E3291)))</f>
        <v>Spain</v>
      </c>
      <c r="M3291" s="7" t="str">
        <f aca="false">IFERROR(LEFT(J3291,FIND(",",J3291)-1),J3291)</f>
        <v>Horror Movies</v>
      </c>
      <c r="N3291" s="7" t="n">
        <f aca="false">IF(B3291="Movie",IFERROR(VALUE(LEFT(I3291,FIND(" ",I3291)-1)),""),"")</f>
        <v>88</v>
      </c>
      <c r="O3291" s="7" t="str">
        <f aca="false">IF(B3291="TV Show",IFERROR(VALUE(LEFT(I3291,FIND(" ",I3291)-1)),""),"")</f>
        <v/>
      </c>
      <c r="P3291" s="7" t="n">
        <f aca="false">IF(K3291="","",K3291-G3291)</f>
        <v>1</v>
      </c>
    </row>
    <row r="3292" customFormat="false" ht="15" hidden="false" customHeight="false" outlineLevel="0" collapsed="false">
      <c r="A3292" s="7" t="n">
        <v>80145141</v>
      </c>
      <c r="B3292" s="7" t="s">
        <v>78</v>
      </c>
      <c r="C3292" s="7" t="s">
        <v>6940</v>
      </c>
      <c r="E3292" s="7" t="s">
        <v>28</v>
      </c>
      <c r="F3292" s="7" t="s">
        <v>6939</v>
      </c>
      <c r="G3292" s="7" t="n">
        <v>2018</v>
      </c>
      <c r="H3292" s="7" t="s">
        <v>48</v>
      </c>
      <c r="I3292" s="7" t="s">
        <v>82</v>
      </c>
      <c r="J3292" s="7" t="s">
        <v>4544</v>
      </c>
      <c r="K3292" s="7" t="n">
        <f aca="false">IFERROR(VALUE(RIGHT(TRIM(F3292),4)),"")</f>
        <v>2019</v>
      </c>
      <c r="L3292" s="7" t="str">
        <f aca="false">IF(TRIM(E3292)="","Unknown",IFERROR(LEFT(TRIM(E3292),FIND(",",TRIM(E3292))-1),TRIM(E3292)))</f>
        <v>United Kingdom</v>
      </c>
      <c r="M3292" s="7" t="str">
        <f aca="false">IFERROR(LEFT(J3292,FIND(",",J3292)-1),J3292)</f>
        <v>British TV Shows</v>
      </c>
      <c r="N3292" s="7" t="str">
        <f aca="false">IF(B3292="Movie",IFERROR(VALUE(LEFT(I3292,FIND(" ",I3292)-1)),""),"")</f>
        <v/>
      </c>
      <c r="O3292" s="7" t="n">
        <f aca="false">IF(B3292="TV Show",IFERROR(VALUE(LEFT(I3292,FIND(" ",I3292)-1)),""),"")</f>
        <v>1</v>
      </c>
      <c r="P3292" s="7" t="n">
        <f aca="false">IF(K3292="","",K3292-G3292)</f>
        <v>1</v>
      </c>
    </row>
    <row r="3293" customFormat="false" ht="15" hidden="false" customHeight="false" outlineLevel="0" collapsed="false">
      <c r="A3293" s="7" t="n">
        <v>80991879</v>
      </c>
      <c r="B3293" s="7" t="s">
        <v>78</v>
      </c>
      <c r="C3293" s="7" t="s">
        <v>6941</v>
      </c>
      <c r="E3293" s="7" t="s">
        <v>33</v>
      </c>
      <c r="F3293" s="7" t="s">
        <v>6939</v>
      </c>
      <c r="G3293" s="7" t="n">
        <v>2019</v>
      </c>
      <c r="H3293" s="7" t="s">
        <v>48</v>
      </c>
      <c r="I3293" s="7" t="s">
        <v>82</v>
      </c>
      <c r="J3293" s="7" t="s">
        <v>1402</v>
      </c>
      <c r="K3293" s="7" t="n">
        <f aca="false">IFERROR(VALUE(RIGHT(TRIM(F3293),4)),"")</f>
        <v>2019</v>
      </c>
      <c r="L3293" s="7" t="str">
        <f aca="false">IF(TRIM(E3293)="","Unknown",IFERROR(LEFT(TRIM(E3293),FIND(",",TRIM(E3293))-1),TRIM(E3293)))</f>
        <v>Spain</v>
      </c>
      <c r="M3293" s="7" t="str">
        <f aca="false">IFERROR(LEFT(J3293,FIND(",",J3293)-1),J3293)</f>
        <v>Crime TV Shows</v>
      </c>
      <c r="N3293" s="7" t="str">
        <f aca="false">IF(B3293="Movie",IFERROR(VALUE(LEFT(I3293,FIND(" ",I3293)-1)),""),"")</f>
        <v/>
      </c>
      <c r="O3293" s="7" t="n">
        <f aca="false">IF(B3293="TV Show",IFERROR(VALUE(LEFT(I3293,FIND(" ",I3293)-1)),""),"")</f>
        <v>1</v>
      </c>
      <c r="P3293" s="7" t="n">
        <f aca="false">IF(K3293="","",K3293-G3293)</f>
        <v>0</v>
      </c>
    </row>
    <row r="3294" customFormat="false" ht="15" hidden="false" customHeight="false" outlineLevel="0" collapsed="false">
      <c r="A3294" s="7" t="n">
        <v>80180171</v>
      </c>
      <c r="B3294" s="7" t="s">
        <v>78</v>
      </c>
      <c r="C3294" s="7" t="s">
        <v>6942</v>
      </c>
      <c r="D3294" s="7" t="s">
        <v>6943</v>
      </c>
      <c r="E3294" s="7" t="s">
        <v>5443</v>
      </c>
      <c r="F3294" s="7" t="s">
        <v>6939</v>
      </c>
      <c r="G3294" s="7" t="n">
        <v>2019</v>
      </c>
      <c r="H3294" s="7" t="s">
        <v>48</v>
      </c>
      <c r="I3294" s="7" t="s">
        <v>82</v>
      </c>
      <c r="J3294" s="7" t="s">
        <v>537</v>
      </c>
      <c r="K3294" s="7" t="n">
        <f aca="false">IFERROR(VALUE(RIGHT(TRIM(F3294),4)),"")</f>
        <v>2019</v>
      </c>
      <c r="L3294" s="7" t="str">
        <f aca="false">IF(TRIM(E3294)="","Unknown",IFERROR(LEFT(TRIM(E3294),FIND(",",TRIM(E3294))-1),TRIM(E3294)))</f>
        <v>South Korea</v>
      </c>
      <c r="M3294" s="7" t="str">
        <f aca="false">IFERROR(LEFT(J3294,FIND(",",J3294)-1),J3294)</f>
        <v>International TV Shows</v>
      </c>
      <c r="N3294" s="7" t="str">
        <f aca="false">IF(B3294="Movie",IFERROR(VALUE(LEFT(I3294,FIND(" ",I3294)-1)),""),"")</f>
        <v/>
      </c>
      <c r="O3294" s="7" t="n">
        <f aca="false">IF(B3294="TV Show",IFERROR(VALUE(LEFT(I3294,FIND(" ",I3294)-1)),""),"")</f>
        <v>1</v>
      </c>
      <c r="P3294" s="7" t="n">
        <f aca="false">IF(K3294="","",K3294-G3294)</f>
        <v>0</v>
      </c>
    </row>
    <row r="3295" customFormat="false" ht="15" hidden="false" customHeight="false" outlineLevel="0" collapsed="false">
      <c r="A3295" s="7" t="n">
        <v>81023638</v>
      </c>
      <c r="B3295" s="7" t="s">
        <v>68</v>
      </c>
      <c r="C3295" s="7" t="s">
        <v>6944</v>
      </c>
      <c r="D3295" s="7" t="s">
        <v>6945</v>
      </c>
      <c r="E3295" s="7" t="s">
        <v>1097</v>
      </c>
      <c r="F3295" s="7" t="s">
        <v>6939</v>
      </c>
      <c r="G3295" s="7" t="n">
        <v>2018</v>
      </c>
      <c r="H3295" s="7" t="s">
        <v>48</v>
      </c>
      <c r="I3295" s="7" t="s">
        <v>820</v>
      </c>
      <c r="J3295" s="7" t="s">
        <v>202</v>
      </c>
      <c r="K3295" s="7" t="n">
        <f aca="false">IFERROR(VALUE(RIGHT(TRIM(F3295),4)),"")</f>
        <v>2019</v>
      </c>
      <c r="L3295" s="7" t="str">
        <f aca="false">IF(TRIM(E3295)="","Unknown",IFERROR(LEFT(TRIM(E3295),FIND(",",TRIM(E3295))-1),TRIM(E3295)))</f>
        <v>Argentina</v>
      </c>
      <c r="M3295" s="7" t="str">
        <f aca="false">IFERROR(LEFT(J3295,FIND(",",J3295)-1),J3295)</f>
        <v>Comedies</v>
      </c>
      <c r="N3295" s="7" t="n">
        <f aca="false">IF(B3295="Movie",IFERROR(VALUE(LEFT(I3295,FIND(" ",I3295)-1)),""),"")</f>
        <v>105</v>
      </c>
      <c r="O3295" s="7" t="str">
        <f aca="false">IF(B3295="TV Show",IFERROR(VALUE(LEFT(I3295,FIND(" ",I3295)-1)),""),"")</f>
        <v/>
      </c>
      <c r="P3295" s="7" t="n">
        <f aca="false">IF(K3295="","",K3295-G3295)</f>
        <v>1</v>
      </c>
    </row>
    <row r="3296" customFormat="false" ht="15" hidden="false" customHeight="false" outlineLevel="0" collapsed="false">
      <c r="A3296" s="7" t="n">
        <v>80223052</v>
      </c>
      <c r="B3296" s="7" t="s">
        <v>68</v>
      </c>
      <c r="C3296" s="7" t="s">
        <v>6946</v>
      </c>
      <c r="E3296" s="7" t="s">
        <v>1996</v>
      </c>
      <c r="F3296" s="7" t="s">
        <v>6939</v>
      </c>
      <c r="G3296" s="7" t="n">
        <v>2019</v>
      </c>
      <c r="H3296" s="7" t="s">
        <v>48</v>
      </c>
      <c r="I3296" s="7" t="s">
        <v>519</v>
      </c>
      <c r="J3296" s="7" t="s">
        <v>322</v>
      </c>
      <c r="K3296" s="7" t="n">
        <f aca="false">IFERROR(VALUE(RIGHT(TRIM(F3296),4)),"")</f>
        <v>2019</v>
      </c>
      <c r="L3296" s="7" t="str">
        <f aca="false">IF(TRIM(E3296)="","Unknown",IFERROR(LEFT(TRIM(E3296),FIND(",",TRIM(E3296))-1),TRIM(E3296)))</f>
        <v>United States</v>
      </c>
      <c r="M3296" s="7" t="str">
        <f aca="false">IFERROR(LEFT(J3296,FIND(",",J3296)-1),J3296)</f>
        <v>Action &amp; Adventure</v>
      </c>
      <c r="N3296" s="7" t="n">
        <f aca="false">IF(B3296="Movie",IFERROR(VALUE(LEFT(I3296,FIND(" ",I3296)-1)),""),"")</f>
        <v>119</v>
      </c>
      <c r="O3296" s="7" t="str">
        <f aca="false">IF(B3296="TV Show",IFERROR(VALUE(LEFT(I3296,FIND(" ",I3296)-1)),""),"")</f>
        <v/>
      </c>
      <c r="P3296" s="7" t="n">
        <f aca="false">IF(K3296="","",K3296-G3296)</f>
        <v>0</v>
      </c>
    </row>
    <row r="3297" customFormat="false" ht="15" hidden="false" customHeight="false" outlineLevel="0" collapsed="false">
      <c r="A3297" s="7" t="n">
        <v>81020577</v>
      </c>
      <c r="B3297" s="7" t="s">
        <v>78</v>
      </c>
      <c r="C3297" s="7" t="s">
        <v>6947</v>
      </c>
      <c r="F3297" s="7" t="s">
        <v>6939</v>
      </c>
      <c r="G3297" s="7" t="n">
        <v>2017</v>
      </c>
      <c r="H3297" s="7" t="s">
        <v>49</v>
      </c>
      <c r="I3297" s="7" t="s">
        <v>82</v>
      </c>
      <c r="J3297" s="7" t="s">
        <v>158</v>
      </c>
      <c r="K3297" s="7" t="n">
        <f aca="false">IFERROR(VALUE(RIGHT(TRIM(F3297),4)),"")</f>
        <v>2019</v>
      </c>
      <c r="L3297" s="7" t="str">
        <f aca="false">IF(TRIM(E3297)="","Unknown",IFERROR(LEFT(TRIM(E3297),FIND(",",TRIM(E3297))-1),TRIM(E3297)))</f>
        <v>Unknown</v>
      </c>
      <c r="M3297" s="7" t="str">
        <f aca="false">IFERROR(LEFT(J3297,FIND(",",J3297)-1),J3297)</f>
        <v>International TV Shows</v>
      </c>
      <c r="N3297" s="7" t="str">
        <f aca="false">IF(B3297="Movie",IFERROR(VALUE(LEFT(I3297,FIND(" ",I3297)-1)),""),"")</f>
        <v/>
      </c>
      <c r="O3297" s="7" t="n">
        <f aca="false">IF(B3297="TV Show",IFERROR(VALUE(LEFT(I3297,FIND(" ",I3297)-1)),""),"")</f>
        <v>1</v>
      </c>
      <c r="P3297" s="7" t="n">
        <f aca="false">IF(K3297="","",K3297-G3297)</f>
        <v>2</v>
      </c>
    </row>
    <row r="3298" customFormat="false" ht="15" hidden="false" customHeight="false" outlineLevel="0" collapsed="false">
      <c r="A3298" s="7" t="n">
        <v>80190283</v>
      </c>
      <c r="B3298" s="7" t="s">
        <v>68</v>
      </c>
      <c r="C3298" s="7" t="s">
        <v>6948</v>
      </c>
      <c r="D3298" s="7" t="s">
        <v>6949</v>
      </c>
      <c r="E3298" s="7" t="s">
        <v>4360</v>
      </c>
      <c r="F3298" s="7" t="s">
        <v>6950</v>
      </c>
      <c r="G3298" s="7" t="n">
        <v>2017</v>
      </c>
      <c r="H3298" s="7" t="s">
        <v>51</v>
      </c>
      <c r="I3298" s="7" t="s">
        <v>494</v>
      </c>
      <c r="J3298" s="7" t="s">
        <v>322</v>
      </c>
      <c r="K3298" s="7" t="n">
        <f aca="false">IFERROR(VALUE(RIGHT(TRIM(F3298),4)),"")</f>
        <v>2018</v>
      </c>
      <c r="L3298" s="7" t="str">
        <f aca="false">IF(TRIM(E3298)="","Unknown",IFERROR(LEFT(TRIM(E3298),FIND(",",TRIM(E3298))-1),TRIM(E3298)))</f>
        <v>Bulgaria</v>
      </c>
      <c r="M3298" s="7" t="str">
        <f aca="false">IFERROR(LEFT(J3298,FIND(",",J3298)-1),J3298)</f>
        <v>Action &amp; Adventure</v>
      </c>
      <c r="N3298" s="7" t="n">
        <f aca="false">IF(B3298="Movie",IFERROR(VALUE(LEFT(I3298,FIND(" ",I3298)-1)),""),"")</f>
        <v>87</v>
      </c>
      <c r="O3298" s="7" t="str">
        <f aca="false">IF(B3298="TV Show",IFERROR(VALUE(LEFT(I3298,FIND(" ",I3298)-1)),""),"")</f>
        <v/>
      </c>
      <c r="P3298" s="7" t="n">
        <f aca="false">IF(K3298="","",K3298-G3298)</f>
        <v>1</v>
      </c>
    </row>
    <row r="3299" customFormat="false" ht="15" hidden="false" customHeight="false" outlineLevel="0" collapsed="false">
      <c r="A3299" s="7" t="n">
        <v>80148920</v>
      </c>
      <c r="B3299" s="7" t="s">
        <v>68</v>
      </c>
      <c r="C3299" s="7" t="s">
        <v>6951</v>
      </c>
      <c r="D3299" s="7" t="s">
        <v>6952</v>
      </c>
      <c r="E3299" s="7" t="s">
        <v>325</v>
      </c>
      <c r="F3299" s="7" t="s">
        <v>6953</v>
      </c>
      <c r="G3299" s="7" t="n">
        <v>2016</v>
      </c>
      <c r="H3299" s="7" t="s">
        <v>48</v>
      </c>
      <c r="I3299" s="7" t="s">
        <v>181</v>
      </c>
      <c r="J3299" s="7" t="s">
        <v>304</v>
      </c>
      <c r="K3299" s="7" t="n">
        <f aca="false">IFERROR(VALUE(RIGHT(TRIM(F3299),4)),"")</f>
        <v>2017</v>
      </c>
      <c r="L3299" s="7" t="str">
        <f aca="false">IF(TRIM(E3299)="","Unknown",IFERROR(LEFT(TRIM(E3299),FIND(",",TRIM(E3299))-1),TRIM(E3299)))</f>
        <v>Brazil</v>
      </c>
      <c r="M3299" s="7" t="str">
        <f aca="false">IFERROR(LEFT(J3299,FIND(",",J3299)-1),J3299)</f>
        <v>Dramas</v>
      </c>
      <c r="N3299" s="7" t="n">
        <f aca="false">IF(B3299="Movie",IFERROR(VALUE(LEFT(I3299,FIND(" ",I3299)-1)),""),"")</f>
        <v>102</v>
      </c>
      <c r="O3299" s="7" t="str">
        <f aca="false">IF(B3299="TV Show",IFERROR(VALUE(LEFT(I3299,FIND(" ",I3299)-1)),""),"")</f>
        <v/>
      </c>
      <c r="P3299" s="7" t="n">
        <f aca="false">IF(K3299="","",K3299-G3299)</f>
        <v>1</v>
      </c>
    </row>
    <row r="3300" customFormat="false" ht="15" hidden="false" customHeight="false" outlineLevel="0" collapsed="false">
      <c r="A3300" s="7" t="n">
        <v>80226612</v>
      </c>
      <c r="B3300" s="7" t="s">
        <v>78</v>
      </c>
      <c r="C3300" s="7" t="s">
        <v>6954</v>
      </c>
      <c r="E3300" s="7" t="s">
        <v>26</v>
      </c>
      <c r="F3300" s="7" t="s">
        <v>6955</v>
      </c>
      <c r="G3300" s="7" t="n">
        <v>2019</v>
      </c>
      <c r="H3300" s="7" t="s">
        <v>48</v>
      </c>
      <c r="I3300" s="7" t="s">
        <v>82</v>
      </c>
      <c r="J3300" s="7" t="s">
        <v>696</v>
      </c>
      <c r="K3300" s="7" t="n">
        <f aca="false">IFERROR(VALUE(RIGHT(TRIM(F3300),4)),"")</f>
        <v>2019</v>
      </c>
      <c r="L3300" s="7" t="str">
        <f aca="false">IF(TRIM(E3300)="","Unknown",IFERROR(LEFT(TRIM(E3300),FIND(",",TRIM(E3300))-1),TRIM(E3300)))</f>
        <v>United States</v>
      </c>
      <c r="M3300" s="7" t="str">
        <f aca="false">IFERROR(LEFT(J3300,FIND(",",J3300)-1),J3300)</f>
        <v>Crime TV Shows</v>
      </c>
      <c r="N3300" s="7" t="str">
        <f aca="false">IF(B3300="Movie",IFERROR(VALUE(LEFT(I3300,FIND(" ",I3300)-1)),""),"")</f>
        <v/>
      </c>
      <c r="O3300" s="7" t="n">
        <f aca="false">IF(B3300="TV Show",IFERROR(VALUE(LEFT(I3300,FIND(" ",I3300)-1)),""),"")</f>
        <v>1</v>
      </c>
      <c r="P3300" s="7" t="n">
        <f aca="false">IF(K3300="","",K3300-G3300)</f>
        <v>0</v>
      </c>
    </row>
    <row r="3301" customFormat="false" ht="15" hidden="false" customHeight="false" outlineLevel="0" collapsed="false">
      <c r="A3301" s="7" t="n">
        <v>80233925</v>
      </c>
      <c r="B3301" s="7" t="s">
        <v>68</v>
      </c>
      <c r="C3301" s="7" t="s">
        <v>6956</v>
      </c>
      <c r="D3301" s="7" t="s">
        <v>6957</v>
      </c>
      <c r="E3301" s="7" t="s">
        <v>26</v>
      </c>
      <c r="F3301" s="7" t="s">
        <v>6955</v>
      </c>
      <c r="G3301" s="7" t="n">
        <v>2018</v>
      </c>
      <c r="H3301" s="7" t="s">
        <v>54</v>
      </c>
      <c r="I3301" s="7" t="s">
        <v>451</v>
      </c>
      <c r="J3301" s="7" t="s">
        <v>74</v>
      </c>
      <c r="K3301" s="7" t="n">
        <f aca="false">IFERROR(VALUE(RIGHT(TRIM(F3301),4)),"")</f>
        <v>2019</v>
      </c>
      <c r="L3301" s="7" t="str">
        <f aca="false">IF(TRIM(E3301)="","Unknown",IFERROR(LEFT(TRIM(E3301),FIND(",",TRIM(E3301))-1),TRIM(E3301)))</f>
        <v>United States</v>
      </c>
      <c r="M3301" s="7" t="str">
        <f aca="false">IFERROR(LEFT(J3301,FIND(",",J3301)-1),J3301)</f>
        <v>Children &amp; Family Movies</v>
      </c>
      <c r="N3301" s="7" t="n">
        <f aca="false">IF(B3301="Movie",IFERROR(VALUE(LEFT(I3301,FIND(" ",I3301)-1)),""),"")</f>
        <v>97</v>
      </c>
      <c r="O3301" s="7" t="str">
        <f aca="false">IF(B3301="TV Show",IFERROR(VALUE(LEFT(I3301,FIND(" ",I3301)-1)),""),"")</f>
        <v/>
      </c>
      <c r="P3301" s="7" t="n">
        <f aca="false">IF(K3301="","",K3301-G3301)</f>
        <v>1</v>
      </c>
    </row>
    <row r="3302" customFormat="false" ht="15" hidden="false" customHeight="false" outlineLevel="0" collapsed="false">
      <c r="A3302" s="7" t="n">
        <v>81021098</v>
      </c>
      <c r="B3302" s="7" t="s">
        <v>68</v>
      </c>
      <c r="C3302" s="7" t="s">
        <v>6958</v>
      </c>
      <c r="D3302" s="7" t="s">
        <v>6959</v>
      </c>
      <c r="E3302" s="7" t="s">
        <v>1113</v>
      </c>
      <c r="F3302" s="7" t="s">
        <v>6955</v>
      </c>
      <c r="G3302" s="7" t="n">
        <v>2018</v>
      </c>
      <c r="H3302" s="7" t="s">
        <v>48</v>
      </c>
      <c r="I3302" s="7" t="s">
        <v>138</v>
      </c>
      <c r="J3302" s="7" t="s">
        <v>1042</v>
      </c>
      <c r="K3302" s="7" t="n">
        <f aca="false">IFERROR(VALUE(RIGHT(TRIM(F3302),4)),"")</f>
        <v>2019</v>
      </c>
      <c r="L3302" s="7" t="str">
        <f aca="false">IF(TRIM(E3302)="","Unknown",IFERROR(LEFT(TRIM(E3302),FIND(",",TRIM(E3302))-1),TRIM(E3302)))</f>
        <v>Argentina</v>
      </c>
      <c r="M3302" s="7" t="str">
        <f aca="false">IFERROR(LEFT(J3302,FIND(",",J3302)-1),J3302)</f>
        <v>Dramas</v>
      </c>
      <c r="N3302" s="7" t="n">
        <f aca="false">IF(B3302="Movie",IFERROR(VALUE(LEFT(I3302,FIND(" ",I3302)-1)),""),"")</f>
        <v>96</v>
      </c>
      <c r="O3302" s="7" t="str">
        <f aca="false">IF(B3302="TV Show",IFERROR(VALUE(LEFT(I3302,FIND(" ",I3302)-1)),""),"")</f>
        <v/>
      </c>
      <c r="P3302" s="7" t="n">
        <f aca="false">IF(K3302="","",K3302-G3302)</f>
        <v>1</v>
      </c>
    </row>
    <row r="3303" customFormat="false" ht="15" hidden="false" customHeight="false" outlineLevel="0" collapsed="false">
      <c r="A3303" s="7" t="n">
        <v>80194737</v>
      </c>
      <c r="B3303" s="7" t="s">
        <v>68</v>
      </c>
      <c r="C3303" s="7" t="s">
        <v>6960</v>
      </c>
      <c r="D3303" s="7" t="s">
        <v>6961</v>
      </c>
      <c r="E3303" s="7" t="s">
        <v>31</v>
      </c>
      <c r="F3303" s="7" t="s">
        <v>6962</v>
      </c>
      <c r="G3303" s="7" t="n">
        <v>2017</v>
      </c>
      <c r="H3303" s="7" t="s">
        <v>48</v>
      </c>
      <c r="I3303" s="7" t="s">
        <v>340</v>
      </c>
      <c r="J3303" s="7" t="s">
        <v>1000</v>
      </c>
      <c r="K3303" s="7" t="n">
        <f aca="false">IFERROR(VALUE(RIGHT(TRIM(F3303),4)),"")</f>
        <v>2018</v>
      </c>
      <c r="L3303" s="7" t="str">
        <f aca="false">IF(TRIM(E3303)="","Unknown",IFERROR(LEFT(TRIM(E3303),FIND(",",TRIM(E3303))-1),TRIM(E3303)))</f>
        <v>France</v>
      </c>
      <c r="M3303" s="7" t="str">
        <f aca="false">IFERROR(LEFT(J3303,FIND(",",J3303)-1),J3303)</f>
        <v>Comedies</v>
      </c>
      <c r="N3303" s="7" t="n">
        <f aca="false">IF(B3303="Movie",IFERROR(VALUE(LEFT(I3303,FIND(" ",I3303)-1)),""),"")</f>
        <v>85</v>
      </c>
      <c r="O3303" s="7" t="str">
        <f aca="false">IF(B3303="TV Show",IFERROR(VALUE(LEFT(I3303,FIND(" ",I3303)-1)),""),"")</f>
        <v/>
      </c>
      <c r="P3303" s="7" t="n">
        <f aca="false">IF(K3303="","",K3303-G3303)</f>
        <v>1</v>
      </c>
    </row>
    <row r="3304" customFormat="false" ht="15" hidden="false" customHeight="false" outlineLevel="0" collapsed="false">
      <c r="A3304" s="7" t="n">
        <v>80214406</v>
      </c>
      <c r="B3304" s="7" t="s">
        <v>78</v>
      </c>
      <c r="C3304" s="7" t="s">
        <v>6963</v>
      </c>
      <c r="E3304" s="7" t="s">
        <v>32</v>
      </c>
      <c r="F3304" s="7" t="s">
        <v>6962</v>
      </c>
      <c r="G3304" s="7" t="n">
        <v>2017</v>
      </c>
      <c r="H3304" s="7" t="s">
        <v>48</v>
      </c>
      <c r="I3304" s="7" t="s">
        <v>82</v>
      </c>
      <c r="J3304" s="7" t="s">
        <v>1231</v>
      </c>
      <c r="K3304" s="7" t="n">
        <f aca="false">IFERROR(VALUE(RIGHT(TRIM(F3304),4)),"")</f>
        <v>2018</v>
      </c>
      <c r="L3304" s="7" t="str">
        <f aca="false">IF(TRIM(E3304)="","Unknown",IFERROR(LEFT(TRIM(E3304),FIND(",",TRIM(E3304))-1),TRIM(E3304)))</f>
        <v>South Korea</v>
      </c>
      <c r="M3304" s="7" t="str">
        <f aca="false">IFERROR(LEFT(J3304,FIND(",",J3304)-1),J3304)</f>
        <v>International TV Shows</v>
      </c>
      <c r="N3304" s="7" t="str">
        <f aca="false">IF(B3304="Movie",IFERROR(VALUE(LEFT(I3304,FIND(" ",I3304)-1)),""),"")</f>
        <v/>
      </c>
      <c r="O3304" s="7" t="n">
        <f aca="false">IF(B3304="TV Show",IFERROR(VALUE(LEFT(I3304,FIND(" ",I3304)-1)),""),"")</f>
        <v>1</v>
      </c>
      <c r="P3304" s="7" t="n">
        <f aca="false">IF(K3304="","",K3304-G3304)</f>
        <v>1</v>
      </c>
    </row>
    <row r="3305" customFormat="false" ht="15" hidden="false" customHeight="false" outlineLevel="0" collapsed="false">
      <c r="A3305" s="7" t="n">
        <v>80192062</v>
      </c>
      <c r="B3305" s="7" t="s">
        <v>68</v>
      </c>
      <c r="C3305" s="7" t="s">
        <v>6964</v>
      </c>
      <c r="D3305" s="7" t="s">
        <v>3118</v>
      </c>
      <c r="E3305" s="7" t="s">
        <v>1397</v>
      </c>
      <c r="F3305" s="7" t="s">
        <v>6962</v>
      </c>
      <c r="G3305" s="7" t="n">
        <v>2018</v>
      </c>
      <c r="H3305" s="7" t="s">
        <v>48</v>
      </c>
      <c r="I3305" s="7" t="s">
        <v>1757</v>
      </c>
      <c r="J3305" s="7" t="s">
        <v>45</v>
      </c>
      <c r="K3305" s="7" t="n">
        <f aca="false">IFERROR(VALUE(RIGHT(TRIM(F3305),4)),"")</f>
        <v>2018</v>
      </c>
      <c r="L3305" s="7" t="str">
        <f aca="false">IF(TRIM(E3305)="","Unknown",IFERROR(LEFT(TRIM(E3305),FIND(",",TRIM(E3305))-1),TRIM(E3305)))</f>
        <v>Colombia</v>
      </c>
      <c r="M3305" s="7" t="str">
        <f aca="false">IFERROR(LEFT(J3305,FIND(",",J3305)-1),J3305)</f>
        <v>Stand-Up Comedy</v>
      </c>
      <c r="N3305" s="7" t="n">
        <f aca="false">IF(B3305="Movie",IFERROR(VALUE(LEFT(I3305,FIND(" ",I3305)-1)),""),"")</f>
        <v>59</v>
      </c>
      <c r="O3305" s="7" t="str">
        <f aca="false">IF(B3305="TV Show",IFERROR(VALUE(LEFT(I3305,FIND(" ",I3305)-1)),""),"")</f>
        <v/>
      </c>
      <c r="P3305" s="7" t="n">
        <f aca="false">IF(K3305="","",K3305-G3305)</f>
        <v>0</v>
      </c>
    </row>
    <row r="3306" customFormat="false" ht="15" hidden="false" customHeight="false" outlineLevel="0" collapsed="false">
      <c r="A3306" s="7" t="n">
        <v>80193614</v>
      </c>
      <c r="B3306" s="7" t="s">
        <v>68</v>
      </c>
      <c r="C3306" s="7" t="s">
        <v>6965</v>
      </c>
      <c r="D3306" s="7" t="s">
        <v>6966</v>
      </c>
      <c r="E3306" s="7" t="s">
        <v>26</v>
      </c>
      <c r="F3306" s="7" t="s">
        <v>6962</v>
      </c>
      <c r="G3306" s="7" t="n">
        <v>2017</v>
      </c>
      <c r="H3306" s="7" t="s">
        <v>52</v>
      </c>
      <c r="I3306" s="7" t="s">
        <v>451</v>
      </c>
      <c r="J3306" s="7" t="s">
        <v>2761</v>
      </c>
      <c r="K3306" s="7" t="n">
        <f aca="false">IFERROR(VALUE(RIGHT(TRIM(F3306),4)),"")</f>
        <v>2018</v>
      </c>
      <c r="L3306" s="7" t="str">
        <f aca="false">IF(TRIM(E3306)="","Unknown",IFERROR(LEFT(TRIM(E3306),FIND(",",TRIM(E3306))-1),TRIM(E3306)))</f>
        <v>United States</v>
      </c>
      <c r="M3306" s="7" t="str">
        <f aca="false">IFERROR(LEFT(J3306,FIND(",",J3306)-1),J3306)</f>
        <v>Comedies</v>
      </c>
      <c r="N3306" s="7" t="n">
        <f aca="false">IF(B3306="Movie",IFERROR(VALUE(LEFT(I3306,FIND(" ",I3306)-1)),""),"")</f>
        <v>97</v>
      </c>
      <c r="O3306" s="7" t="str">
        <f aca="false">IF(B3306="TV Show",IFERROR(VALUE(LEFT(I3306,FIND(" ",I3306)-1)),""),"")</f>
        <v/>
      </c>
      <c r="P3306" s="7" t="n">
        <f aca="false">IF(K3306="","",K3306-G3306)</f>
        <v>1</v>
      </c>
    </row>
    <row r="3307" customFormat="false" ht="15" hidden="false" customHeight="false" outlineLevel="0" collapsed="false">
      <c r="A3307" s="7" t="n">
        <v>80117453</v>
      </c>
      <c r="B3307" s="7" t="s">
        <v>68</v>
      </c>
      <c r="C3307" s="7" t="s">
        <v>6967</v>
      </c>
      <c r="D3307" s="7" t="s">
        <v>2518</v>
      </c>
      <c r="E3307" s="7" t="s">
        <v>26</v>
      </c>
      <c r="F3307" s="7" t="s">
        <v>6968</v>
      </c>
      <c r="G3307" s="7" t="n">
        <v>2017</v>
      </c>
      <c r="H3307" s="7" t="s">
        <v>48</v>
      </c>
      <c r="I3307" s="7" t="s">
        <v>876</v>
      </c>
      <c r="J3307" s="7" t="s">
        <v>45</v>
      </c>
      <c r="K3307" s="7" t="n">
        <f aca="false">IFERROR(VALUE(RIGHT(TRIM(F3307),4)),"")</f>
        <v>2017</v>
      </c>
      <c r="L3307" s="7" t="str">
        <f aca="false">IF(TRIM(E3307)="","Unknown",IFERROR(LEFT(TRIM(E3307),FIND(",",TRIM(E3307))-1),TRIM(E3307)))</f>
        <v>United States</v>
      </c>
      <c r="M3307" s="7" t="str">
        <f aca="false">IFERROR(LEFT(J3307,FIND(",",J3307)-1),J3307)</f>
        <v>Stand-Up Comedy</v>
      </c>
      <c r="N3307" s="7" t="n">
        <f aca="false">IF(B3307="Movie",IFERROR(VALUE(LEFT(I3307,FIND(" ",I3307)-1)),""),"")</f>
        <v>67</v>
      </c>
      <c r="O3307" s="7" t="str">
        <f aca="false">IF(B3307="TV Show",IFERROR(VALUE(LEFT(I3307,FIND(" ",I3307)-1)),""),"")</f>
        <v/>
      </c>
      <c r="P3307" s="7" t="n">
        <f aca="false">IF(K3307="","",K3307-G3307)</f>
        <v>0</v>
      </c>
    </row>
    <row r="3308" customFormat="false" ht="15" hidden="false" customHeight="false" outlineLevel="0" collapsed="false">
      <c r="A3308" s="7" t="n">
        <v>70296733</v>
      </c>
      <c r="B3308" s="7" t="s">
        <v>68</v>
      </c>
      <c r="C3308" s="7" t="s">
        <v>6969</v>
      </c>
      <c r="D3308" s="7" t="s">
        <v>6970</v>
      </c>
      <c r="E3308" s="7" t="s">
        <v>26</v>
      </c>
      <c r="F3308" s="7" t="s">
        <v>6971</v>
      </c>
      <c r="G3308" s="7" t="n">
        <v>2014</v>
      </c>
      <c r="H3308" s="7" t="s">
        <v>50</v>
      </c>
      <c r="I3308" s="7" t="s">
        <v>272</v>
      </c>
      <c r="J3308" s="7" t="s">
        <v>39</v>
      </c>
      <c r="K3308" s="7" t="n">
        <f aca="false">IFERROR(VALUE(RIGHT(TRIM(F3308),4)),"")</f>
        <v>2014</v>
      </c>
      <c r="L3308" s="7" t="str">
        <f aca="false">IF(TRIM(E3308)="","Unknown",IFERROR(LEFT(TRIM(E3308),FIND(",",TRIM(E3308))-1),TRIM(E3308)))</f>
        <v>United States</v>
      </c>
      <c r="M3308" s="7" t="str">
        <f aca="false">IFERROR(LEFT(J3308,FIND(",",J3308)-1),J3308)</f>
        <v>Documentaries</v>
      </c>
      <c r="N3308" s="7" t="n">
        <f aca="false">IF(B3308="Movie",IFERROR(VALUE(LEFT(I3308,FIND(" ",I3308)-1)),""),"")</f>
        <v>93</v>
      </c>
      <c r="O3308" s="7" t="str">
        <f aca="false">IF(B3308="TV Show",IFERROR(VALUE(LEFT(I3308,FIND(" ",I3308)-1)),""),"")</f>
        <v/>
      </c>
      <c r="P3308" s="7" t="n">
        <f aca="false">IF(K3308="","",K3308-G3308)</f>
        <v>0</v>
      </c>
    </row>
    <row r="3309" customFormat="false" ht="15" hidden="false" customHeight="false" outlineLevel="0" collapsed="false">
      <c r="A3309" s="7" t="n">
        <v>81026192</v>
      </c>
      <c r="B3309" s="7" t="s">
        <v>78</v>
      </c>
      <c r="C3309" s="7" t="s">
        <v>6972</v>
      </c>
      <c r="D3309" s="7" t="s">
        <v>6973</v>
      </c>
      <c r="E3309" s="7" t="s">
        <v>396</v>
      </c>
      <c r="F3309" s="7" t="s">
        <v>6974</v>
      </c>
      <c r="G3309" s="7" t="n">
        <v>2017</v>
      </c>
      <c r="H3309" s="7" t="s">
        <v>48</v>
      </c>
      <c r="I3309" s="7" t="s">
        <v>82</v>
      </c>
      <c r="J3309" s="7" t="s">
        <v>402</v>
      </c>
      <c r="K3309" s="7" t="n">
        <f aca="false">IFERROR(VALUE(RIGHT(TRIM(F3309),4)),"")</f>
        <v>2019</v>
      </c>
      <c r="L3309" s="7" t="str">
        <f aca="false">IF(TRIM(E3309)="","Unknown",IFERROR(LEFT(TRIM(E3309),FIND(",",TRIM(E3309))-1),TRIM(E3309)))</f>
        <v>Turkey</v>
      </c>
      <c r="M3309" s="7" t="str">
        <f aca="false">IFERROR(LEFT(J3309,FIND(",",J3309)-1),J3309)</f>
        <v>Crime TV Shows</v>
      </c>
      <c r="N3309" s="7" t="str">
        <f aca="false">IF(B3309="Movie",IFERROR(VALUE(LEFT(I3309,FIND(" ",I3309)-1)),""),"")</f>
        <v/>
      </c>
      <c r="O3309" s="7" t="n">
        <f aca="false">IF(B3309="TV Show",IFERROR(VALUE(LEFT(I3309,FIND(" ",I3309)-1)),""),"")</f>
        <v>1</v>
      </c>
      <c r="P3309" s="7" t="n">
        <f aca="false">IF(K3309="","",K3309-G3309)</f>
        <v>2</v>
      </c>
    </row>
    <row r="3310" customFormat="false" ht="15" hidden="false" customHeight="false" outlineLevel="0" collapsed="false">
      <c r="A3310" s="7" t="n">
        <v>70109891</v>
      </c>
      <c r="B3310" s="7" t="s">
        <v>68</v>
      </c>
      <c r="C3310" s="7" t="s">
        <v>6975</v>
      </c>
      <c r="D3310" s="7" t="s">
        <v>6976</v>
      </c>
      <c r="E3310" s="7" t="s">
        <v>6977</v>
      </c>
      <c r="F3310" s="7" t="s">
        <v>6974</v>
      </c>
      <c r="G3310" s="7" t="n">
        <v>2009</v>
      </c>
      <c r="H3310" s="7" t="s">
        <v>54</v>
      </c>
      <c r="I3310" s="7" t="s">
        <v>470</v>
      </c>
      <c r="J3310" s="7" t="s">
        <v>174</v>
      </c>
      <c r="K3310" s="7" t="n">
        <f aca="false">IFERROR(VALUE(RIGHT(TRIM(F3310),4)),"")</f>
        <v>2019</v>
      </c>
      <c r="L3310" s="7" t="str">
        <f aca="false">IF(TRIM(E3310)="","Unknown",IFERROR(LEFT(TRIM(E3310),FIND(",",TRIM(E3310))-1),TRIM(E3310)))</f>
        <v>Spain</v>
      </c>
      <c r="M3310" s="7" t="str">
        <f aca="false">IFERROR(LEFT(J3310,FIND(",",J3310)-1),J3310)</f>
        <v>Children &amp; Family Movies</v>
      </c>
      <c r="N3310" s="7" t="n">
        <f aca="false">IF(B3310="Movie",IFERROR(VALUE(LEFT(I3310,FIND(" ",I3310)-1)),""),"")</f>
        <v>91</v>
      </c>
      <c r="O3310" s="7" t="str">
        <f aca="false">IF(B3310="TV Show",IFERROR(VALUE(LEFT(I3310,FIND(" ",I3310)-1)),""),"")</f>
        <v/>
      </c>
      <c r="P3310" s="7" t="n">
        <f aca="false">IF(K3310="","",K3310-G3310)</f>
        <v>10</v>
      </c>
    </row>
    <row r="3311" customFormat="false" ht="15" hidden="false" customHeight="false" outlineLevel="0" collapsed="false">
      <c r="A3311" s="7" t="n">
        <v>80003479</v>
      </c>
      <c r="B3311" s="7" t="s">
        <v>68</v>
      </c>
      <c r="C3311" s="7" t="s">
        <v>6978</v>
      </c>
      <c r="D3311" s="7" t="s">
        <v>6979</v>
      </c>
      <c r="E3311" s="7" t="s">
        <v>2476</v>
      </c>
      <c r="F3311" s="7" t="s">
        <v>6980</v>
      </c>
      <c r="G3311" s="7" t="n">
        <v>2014</v>
      </c>
      <c r="H3311" s="7" t="s">
        <v>51</v>
      </c>
      <c r="I3311" s="7" t="s">
        <v>417</v>
      </c>
      <c r="J3311" s="7" t="s">
        <v>367</v>
      </c>
      <c r="K3311" s="7" t="n">
        <f aca="false">IFERROR(VALUE(RIGHT(TRIM(F3311),4)),"")</f>
        <v>2018</v>
      </c>
      <c r="L3311" s="7" t="str">
        <f aca="false">IF(TRIM(E3311)="","Unknown",IFERROR(LEFT(TRIM(E3311),FIND(",",TRIM(E3311))-1),TRIM(E3311)))</f>
        <v>China</v>
      </c>
      <c r="M3311" s="7" t="str">
        <f aca="false">IFERROR(LEFT(J3311,FIND(",",J3311)-1),J3311)</f>
        <v>Action &amp; Adventure</v>
      </c>
      <c r="N3311" s="7" t="n">
        <f aca="false">IF(B3311="Movie",IFERROR(VALUE(LEFT(I3311,FIND(" ",I3311)-1)),""),"")</f>
        <v>104</v>
      </c>
      <c r="O3311" s="7" t="str">
        <f aca="false">IF(B3311="TV Show",IFERROR(VALUE(LEFT(I3311,FIND(" ",I3311)-1)),""),"")</f>
        <v/>
      </c>
      <c r="P3311" s="7" t="n">
        <f aca="false">IF(K3311="","",K3311-G3311)</f>
        <v>4</v>
      </c>
    </row>
    <row r="3312" customFormat="false" ht="15" hidden="false" customHeight="false" outlineLevel="0" collapsed="false">
      <c r="A3312" s="7" t="n">
        <v>80163053</v>
      </c>
      <c r="B3312" s="7" t="s">
        <v>68</v>
      </c>
      <c r="C3312" s="7" t="s">
        <v>6981</v>
      </c>
      <c r="D3312" s="7" t="s">
        <v>6982</v>
      </c>
      <c r="E3312" s="7" t="s">
        <v>26</v>
      </c>
      <c r="F3312" s="7" t="s">
        <v>6980</v>
      </c>
      <c r="G3312" s="7" t="n">
        <v>2016</v>
      </c>
      <c r="H3312" s="7" t="s">
        <v>52</v>
      </c>
      <c r="I3312" s="7" t="s">
        <v>162</v>
      </c>
      <c r="J3312" s="7" t="s">
        <v>1533</v>
      </c>
      <c r="K3312" s="7" t="n">
        <f aca="false">IFERROR(VALUE(RIGHT(TRIM(F3312),4)),"")</f>
        <v>2018</v>
      </c>
      <c r="L3312" s="7" t="str">
        <f aca="false">IF(TRIM(E3312)="","Unknown",IFERROR(LEFT(TRIM(E3312),FIND(",",TRIM(E3312))-1),TRIM(E3312)))</f>
        <v>United States</v>
      </c>
      <c r="M3312" s="7" t="str">
        <f aca="false">IFERROR(LEFT(J3312,FIND(",",J3312)-1),J3312)</f>
        <v>Comedies</v>
      </c>
      <c r="N3312" s="7" t="n">
        <f aca="false">IF(B3312="Movie",IFERROR(VALUE(LEFT(I3312,FIND(" ",I3312)-1)),""),"")</f>
        <v>77</v>
      </c>
      <c r="O3312" s="7" t="str">
        <f aca="false">IF(B3312="TV Show",IFERROR(VALUE(LEFT(I3312,FIND(" ",I3312)-1)),""),"")</f>
        <v/>
      </c>
      <c r="P3312" s="7" t="n">
        <f aca="false">IF(K3312="","",K3312-G3312)</f>
        <v>2</v>
      </c>
    </row>
    <row r="3313" customFormat="false" ht="15" hidden="false" customHeight="false" outlineLevel="0" collapsed="false">
      <c r="A3313" s="7" t="n">
        <v>80208684</v>
      </c>
      <c r="B3313" s="7" t="s">
        <v>68</v>
      </c>
      <c r="C3313" s="7" t="s">
        <v>6983</v>
      </c>
      <c r="D3313" s="7" t="s">
        <v>5603</v>
      </c>
      <c r="E3313" s="7" t="s">
        <v>26</v>
      </c>
      <c r="F3313" s="7" t="s">
        <v>6980</v>
      </c>
      <c r="G3313" s="7" t="n">
        <v>2018</v>
      </c>
      <c r="H3313" s="7" t="s">
        <v>48</v>
      </c>
      <c r="I3313" s="7" t="s">
        <v>551</v>
      </c>
      <c r="J3313" s="7" t="s">
        <v>45</v>
      </c>
      <c r="K3313" s="7" t="n">
        <f aca="false">IFERROR(VALUE(RIGHT(TRIM(F3313),4)),"")</f>
        <v>2018</v>
      </c>
      <c r="L3313" s="7" t="str">
        <f aca="false">IF(TRIM(E3313)="","Unknown",IFERROR(LEFT(TRIM(E3313),FIND(",",TRIM(E3313))-1),TRIM(E3313)))</f>
        <v>United States</v>
      </c>
      <c r="M3313" s="7" t="str">
        <f aca="false">IFERROR(LEFT(J3313,FIND(",",J3313)-1),J3313)</f>
        <v>Stand-Up Comedy</v>
      </c>
      <c r="N3313" s="7" t="n">
        <f aca="false">IF(B3313="Movie",IFERROR(VALUE(LEFT(I3313,FIND(" ",I3313)-1)),""),"")</f>
        <v>63</v>
      </c>
      <c r="O3313" s="7" t="str">
        <f aca="false">IF(B3313="TV Show",IFERROR(VALUE(LEFT(I3313,FIND(" ",I3313)-1)),""),"")</f>
        <v/>
      </c>
      <c r="P3313" s="7" t="n">
        <f aca="false">IF(K3313="","",K3313-G3313)</f>
        <v>0</v>
      </c>
    </row>
    <row r="3314" customFormat="false" ht="15" hidden="false" customHeight="false" outlineLevel="0" collapsed="false">
      <c r="A3314" s="7" t="n">
        <v>80124680</v>
      </c>
      <c r="B3314" s="7" t="s">
        <v>68</v>
      </c>
      <c r="C3314" s="7" t="s">
        <v>6984</v>
      </c>
      <c r="D3314" s="7" t="s">
        <v>6985</v>
      </c>
      <c r="E3314" s="7" t="s">
        <v>31</v>
      </c>
      <c r="F3314" s="7" t="s">
        <v>6986</v>
      </c>
      <c r="G3314" s="7" t="n">
        <v>2017</v>
      </c>
      <c r="H3314" s="7" t="s">
        <v>48</v>
      </c>
      <c r="I3314" s="7" t="s">
        <v>1164</v>
      </c>
      <c r="J3314" s="7" t="s">
        <v>45</v>
      </c>
      <c r="K3314" s="7" t="n">
        <f aca="false">IFERROR(VALUE(RIGHT(TRIM(F3314),4)),"")</f>
        <v>2017</v>
      </c>
      <c r="L3314" s="7" t="str">
        <f aca="false">IF(TRIM(E3314)="","Unknown",IFERROR(LEFT(TRIM(E3314),FIND(",",TRIM(E3314))-1),TRIM(E3314)))</f>
        <v>France</v>
      </c>
      <c r="M3314" s="7" t="str">
        <f aca="false">IFERROR(LEFT(J3314,FIND(",",J3314)-1),J3314)</f>
        <v>Stand-Up Comedy</v>
      </c>
      <c r="N3314" s="7" t="n">
        <f aca="false">IF(B3314="Movie",IFERROR(VALUE(LEFT(I3314,FIND(" ",I3314)-1)),""),"")</f>
        <v>57</v>
      </c>
      <c r="O3314" s="7" t="str">
        <f aca="false">IF(B3314="TV Show",IFERROR(VALUE(LEFT(I3314,FIND(" ",I3314)-1)),""),"")</f>
        <v/>
      </c>
      <c r="P3314" s="7" t="n">
        <f aca="false">IF(K3314="","",K3314-G3314)</f>
        <v>0</v>
      </c>
    </row>
    <row r="3315" customFormat="false" ht="15" hidden="false" customHeight="false" outlineLevel="0" collapsed="false">
      <c r="A3315" s="7" t="n">
        <v>80073486</v>
      </c>
      <c r="B3315" s="7" t="s">
        <v>78</v>
      </c>
      <c r="C3315" s="7" t="s">
        <v>6987</v>
      </c>
      <c r="E3315" s="7" t="s">
        <v>26</v>
      </c>
      <c r="F3315" s="7" t="s">
        <v>6988</v>
      </c>
      <c r="G3315" s="7" t="n">
        <v>2016</v>
      </c>
      <c r="H3315" s="7" t="s">
        <v>48</v>
      </c>
      <c r="I3315" s="7" t="s">
        <v>82</v>
      </c>
      <c r="J3315" s="7" t="s">
        <v>100</v>
      </c>
      <c r="K3315" s="7" t="n">
        <f aca="false">IFERROR(VALUE(RIGHT(TRIM(F3315),4)),"")</f>
        <v>2016</v>
      </c>
      <c r="L3315" s="7" t="str">
        <f aca="false">IF(TRIM(E3315)="","Unknown",IFERROR(LEFT(TRIM(E3315),FIND(",",TRIM(E3315))-1),TRIM(E3315)))</f>
        <v>United States</v>
      </c>
      <c r="M3315" s="7" t="str">
        <f aca="false">IFERROR(LEFT(J3315,FIND(",",J3315)-1),J3315)</f>
        <v>Docuseries</v>
      </c>
      <c r="N3315" s="7" t="str">
        <f aca="false">IF(B3315="Movie",IFERROR(VALUE(LEFT(I3315,FIND(" ",I3315)-1)),""),"")</f>
        <v/>
      </c>
      <c r="O3315" s="7" t="n">
        <f aca="false">IF(B3315="TV Show",IFERROR(VALUE(LEFT(I3315,FIND(" ",I3315)-1)),""),"")</f>
        <v>1</v>
      </c>
      <c r="P3315" s="7" t="n">
        <f aca="false">IF(K3315="","",K3315-G3315)</f>
        <v>0</v>
      </c>
    </row>
    <row r="3316" customFormat="false" ht="15" hidden="false" customHeight="false" outlineLevel="0" collapsed="false">
      <c r="A3316" s="7" t="n">
        <v>70302480</v>
      </c>
      <c r="B3316" s="7" t="s">
        <v>68</v>
      </c>
      <c r="C3316" s="7" t="s">
        <v>6989</v>
      </c>
      <c r="F3316" s="7" t="s">
        <v>6990</v>
      </c>
      <c r="G3316" s="7" t="n">
        <v>2015</v>
      </c>
      <c r="H3316" s="7" t="s">
        <v>48</v>
      </c>
      <c r="I3316" s="7" t="s">
        <v>348</v>
      </c>
      <c r="J3316" s="7" t="s">
        <v>45</v>
      </c>
      <c r="K3316" s="7" t="n">
        <f aca="false">IFERROR(VALUE(RIGHT(TRIM(F3316),4)),"")</f>
        <v>2015</v>
      </c>
      <c r="L3316" s="7" t="str">
        <f aca="false">IF(TRIM(E3316)="","Unknown",IFERROR(LEFT(TRIM(E3316),FIND(",",TRIM(E3316))-1),TRIM(E3316)))</f>
        <v>Unknown</v>
      </c>
      <c r="M3316" s="7" t="str">
        <f aca="false">IFERROR(LEFT(J3316,FIND(",",J3316)-1),J3316)</f>
        <v>Stand-Up Comedy</v>
      </c>
      <c r="N3316" s="7" t="n">
        <f aca="false">IF(B3316="Movie",IFERROR(VALUE(LEFT(I3316,FIND(" ",I3316)-1)),""),"")</f>
        <v>72</v>
      </c>
      <c r="O3316" s="7" t="str">
        <f aca="false">IF(B3316="TV Show",IFERROR(VALUE(LEFT(I3316,FIND(" ",I3316)-1)),""),"")</f>
        <v/>
      </c>
      <c r="P3316" s="7" t="n">
        <f aca="false">IF(K3316="","",K3316-G3316)</f>
        <v>0</v>
      </c>
    </row>
    <row r="3317" customFormat="false" ht="15" hidden="false" customHeight="false" outlineLevel="0" collapsed="false">
      <c r="A3317" s="7" t="n">
        <v>80175405</v>
      </c>
      <c r="B3317" s="7" t="s">
        <v>68</v>
      </c>
      <c r="C3317" s="7" t="s">
        <v>6991</v>
      </c>
      <c r="D3317" s="7" t="s">
        <v>6992</v>
      </c>
      <c r="F3317" s="7" t="s">
        <v>6993</v>
      </c>
      <c r="G3317" s="7" t="n">
        <v>2017</v>
      </c>
      <c r="H3317" s="7" t="s">
        <v>48</v>
      </c>
      <c r="I3317" s="7" t="s">
        <v>628</v>
      </c>
      <c r="J3317" s="7" t="s">
        <v>341</v>
      </c>
      <c r="K3317" s="7" t="n">
        <f aca="false">IFERROR(VALUE(RIGHT(TRIM(F3317),4)),"")</f>
        <v>2018</v>
      </c>
      <c r="L3317" s="7" t="str">
        <f aca="false">IF(TRIM(E3317)="","Unknown",IFERROR(LEFT(TRIM(E3317),FIND(",",TRIM(E3317))-1),TRIM(E3317)))</f>
        <v>Unknown</v>
      </c>
      <c r="M3317" s="7" t="str">
        <f aca="false">IFERROR(LEFT(J3317,FIND(",",J3317)-1),J3317)</f>
        <v>Documentaries</v>
      </c>
      <c r="N3317" s="7" t="n">
        <f aca="false">IF(B3317="Movie",IFERROR(VALUE(LEFT(I3317,FIND(" ",I3317)-1)),""),"")</f>
        <v>69</v>
      </c>
      <c r="O3317" s="7" t="str">
        <f aca="false">IF(B3317="TV Show",IFERROR(VALUE(LEFT(I3317,FIND(" ",I3317)-1)),""),"")</f>
        <v/>
      </c>
      <c r="P3317" s="7" t="n">
        <f aca="false">IF(K3317="","",K3317-G3317)</f>
        <v>1</v>
      </c>
    </row>
    <row r="3318" customFormat="false" ht="15" hidden="false" customHeight="false" outlineLevel="0" collapsed="false">
      <c r="A3318" s="7" t="n">
        <v>80175290</v>
      </c>
      <c r="B3318" s="7" t="s">
        <v>78</v>
      </c>
      <c r="C3318" s="7" t="s">
        <v>6994</v>
      </c>
      <c r="E3318" s="7" t="s">
        <v>26</v>
      </c>
      <c r="F3318" s="7" t="s">
        <v>6993</v>
      </c>
      <c r="G3318" s="7" t="n">
        <v>2016</v>
      </c>
      <c r="H3318" s="7" t="s">
        <v>48</v>
      </c>
      <c r="I3318" s="7" t="s">
        <v>82</v>
      </c>
      <c r="J3318" s="7" t="s">
        <v>696</v>
      </c>
      <c r="K3318" s="7" t="n">
        <f aca="false">IFERROR(VALUE(RIGHT(TRIM(F3318),4)),"")</f>
        <v>2018</v>
      </c>
      <c r="L3318" s="7" t="str">
        <f aca="false">IF(TRIM(E3318)="","Unknown",IFERROR(LEFT(TRIM(E3318),FIND(",",TRIM(E3318))-1),TRIM(E3318)))</f>
        <v>United States</v>
      </c>
      <c r="M3318" s="7" t="str">
        <f aca="false">IFERROR(LEFT(J3318,FIND(",",J3318)-1),J3318)</f>
        <v>Crime TV Shows</v>
      </c>
      <c r="N3318" s="7" t="str">
        <f aca="false">IF(B3318="Movie",IFERROR(VALUE(LEFT(I3318,FIND(" ",I3318)-1)),""),"")</f>
        <v/>
      </c>
      <c r="O3318" s="7" t="n">
        <f aca="false">IF(B3318="TV Show",IFERROR(VALUE(LEFT(I3318,FIND(" ",I3318)-1)),""),"")</f>
        <v>1</v>
      </c>
      <c r="P3318" s="7" t="n">
        <f aca="false">IF(K3318="","",K3318-G3318)</f>
        <v>2</v>
      </c>
    </row>
    <row r="3319" customFormat="false" ht="15" hidden="false" customHeight="false" outlineLevel="0" collapsed="false">
      <c r="A3319" s="7" t="n">
        <v>80214777</v>
      </c>
      <c r="B3319" s="7" t="s">
        <v>68</v>
      </c>
      <c r="C3319" s="7" t="s">
        <v>6995</v>
      </c>
      <c r="D3319" s="7" t="s">
        <v>6395</v>
      </c>
      <c r="E3319" s="7" t="s">
        <v>26</v>
      </c>
      <c r="F3319" s="7" t="s">
        <v>6993</v>
      </c>
      <c r="G3319" s="7" t="n">
        <v>2017</v>
      </c>
      <c r="H3319" s="7" t="s">
        <v>51</v>
      </c>
      <c r="I3319" s="7" t="s">
        <v>212</v>
      </c>
      <c r="J3319" s="7" t="s">
        <v>38</v>
      </c>
      <c r="K3319" s="7" t="n">
        <f aca="false">IFERROR(VALUE(RIGHT(TRIM(F3319),4)),"")</f>
        <v>2018</v>
      </c>
      <c r="L3319" s="7" t="str">
        <f aca="false">IF(TRIM(E3319)="","Unknown",IFERROR(LEFT(TRIM(E3319),FIND(",",TRIM(E3319))-1),TRIM(E3319)))</f>
        <v>United States</v>
      </c>
      <c r="M3319" s="7" t="str">
        <f aca="false">IFERROR(LEFT(J3319,FIND(",",J3319)-1),J3319)</f>
        <v>Comedies</v>
      </c>
      <c r="N3319" s="7" t="n">
        <f aca="false">IF(B3319="Movie",IFERROR(VALUE(LEFT(I3319,FIND(" ",I3319)-1)),""),"")</f>
        <v>86</v>
      </c>
      <c r="O3319" s="7" t="str">
        <f aca="false">IF(B3319="TV Show",IFERROR(VALUE(LEFT(I3319,FIND(" ",I3319)-1)),""),"")</f>
        <v/>
      </c>
      <c r="P3319" s="7" t="n">
        <f aca="false">IF(K3319="","",K3319-G3319)</f>
        <v>1</v>
      </c>
    </row>
    <row r="3320" customFormat="false" ht="15" hidden="false" customHeight="false" outlineLevel="0" collapsed="false">
      <c r="A3320" s="7" t="n">
        <v>80079427</v>
      </c>
      <c r="B3320" s="7" t="s">
        <v>68</v>
      </c>
      <c r="C3320" s="7" t="s">
        <v>6996</v>
      </c>
      <c r="D3320" s="7" t="s">
        <v>3118</v>
      </c>
      <c r="E3320" s="7" t="s">
        <v>34</v>
      </c>
      <c r="F3320" s="7" t="s">
        <v>6997</v>
      </c>
      <c r="G3320" s="7" t="n">
        <v>2016</v>
      </c>
      <c r="H3320" s="7" t="s">
        <v>48</v>
      </c>
      <c r="I3320" s="7" t="s">
        <v>311</v>
      </c>
      <c r="J3320" s="7" t="s">
        <v>45</v>
      </c>
      <c r="K3320" s="7" t="n">
        <f aca="false">IFERROR(VALUE(RIGHT(TRIM(F3320),4)),"")</f>
        <v>2016</v>
      </c>
      <c r="L3320" s="7" t="str">
        <f aca="false">IF(TRIM(E3320)="","Unknown",IFERROR(LEFT(TRIM(E3320),FIND(",",TRIM(E3320))-1),TRIM(E3320)))</f>
        <v>Mexico</v>
      </c>
      <c r="M3320" s="7" t="str">
        <f aca="false">IFERROR(LEFT(J3320,FIND(",",J3320)-1),J3320)</f>
        <v>Stand-Up Comedy</v>
      </c>
      <c r="N3320" s="7" t="n">
        <f aca="false">IF(B3320="Movie",IFERROR(VALUE(LEFT(I3320,FIND(" ",I3320)-1)),""),"")</f>
        <v>92</v>
      </c>
      <c r="O3320" s="7" t="str">
        <f aca="false">IF(B3320="TV Show",IFERROR(VALUE(LEFT(I3320,FIND(" ",I3320)-1)),""),"")</f>
        <v/>
      </c>
      <c r="P3320" s="7" t="n">
        <f aca="false">IF(K3320="","",K3320-G3320)</f>
        <v>0</v>
      </c>
    </row>
    <row r="3321" customFormat="false" ht="15" hidden="false" customHeight="false" outlineLevel="0" collapsed="false">
      <c r="A3321" s="7" t="n">
        <v>81026986</v>
      </c>
      <c r="B3321" s="7" t="s">
        <v>78</v>
      </c>
      <c r="C3321" s="7" t="s">
        <v>6998</v>
      </c>
      <c r="D3321" s="7" t="s">
        <v>6999</v>
      </c>
      <c r="E3321" s="7" t="s">
        <v>960</v>
      </c>
      <c r="F3321" s="7" t="s">
        <v>7000</v>
      </c>
      <c r="G3321" s="7" t="n">
        <v>2018</v>
      </c>
      <c r="H3321" s="7" t="s">
        <v>49</v>
      </c>
      <c r="I3321" s="7" t="s">
        <v>82</v>
      </c>
      <c r="J3321" s="7" t="s">
        <v>402</v>
      </c>
      <c r="K3321" s="7" t="n">
        <f aca="false">IFERROR(VALUE(RIGHT(TRIM(F3321),4)),"")</f>
        <v>2019</v>
      </c>
      <c r="L3321" s="7" t="str">
        <f aca="false">IF(TRIM(E3321)="","Unknown",IFERROR(LEFT(TRIM(E3321),FIND(",",TRIM(E3321))-1),TRIM(E3321)))</f>
        <v>United Arab Emirates</v>
      </c>
      <c r="M3321" s="7" t="str">
        <f aca="false">IFERROR(LEFT(J3321,FIND(",",J3321)-1),J3321)</f>
        <v>Crime TV Shows</v>
      </c>
      <c r="N3321" s="7" t="str">
        <f aca="false">IF(B3321="Movie",IFERROR(VALUE(LEFT(I3321,FIND(" ",I3321)-1)),""),"")</f>
        <v/>
      </c>
      <c r="O3321" s="7" t="n">
        <f aca="false">IF(B3321="TV Show",IFERROR(VALUE(LEFT(I3321,FIND(" ",I3321)-1)),""),"")</f>
        <v>1</v>
      </c>
      <c r="P3321" s="7" t="n">
        <f aca="false">IF(K3321="","",K3321-G3321)</f>
        <v>1</v>
      </c>
    </row>
    <row r="3322" customFormat="false" ht="15" hidden="false" customHeight="false" outlineLevel="0" collapsed="false">
      <c r="A3322" s="7" t="n">
        <v>80216146</v>
      </c>
      <c r="B3322" s="7" t="s">
        <v>78</v>
      </c>
      <c r="C3322" s="7" t="s">
        <v>7001</v>
      </c>
      <c r="E3322" s="7" t="s">
        <v>30</v>
      </c>
      <c r="F3322" s="7" t="s">
        <v>7002</v>
      </c>
      <c r="G3322" s="7" t="n">
        <v>2017</v>
      </c>
      <c r="H3322" s="7" t="s">
        <v>49</v>
      </c>
      <c r="I3322" s="7" t="s">
        <v>82</v>
      </c>
      <c r="J3322" s="7" t="s">
        <v>314</v>
      </c>
      <c r="K3322" s="7" t="n">
        <f aca="false">IFERROR(VALUE(RIGHT(TRIM(F3322),4)),"")</f>
        <v>2018</v>
      </c>
      <c r="L3322" s="7" t="str">
        <f aca="false">IF(TRIM(E3322)="","Unknown",IFERROR(LEFT(TRIM(E3322),FIND(",",TRIM(E3322))-1),TRIM(E3322)))</f>
        <v>Japan</v>
      </c>
      <c r="M3322" s="7" t="str">
        <f aca="false">IFERROR(LEFT(J3322,FIND(",",J3322)-1),J3322)</f>
        <v>International TV Shows</v>
      </c>
      <c r="N3322" s="7" t="str">
        <f aca="false">IF(B3322="Movie",IFERROR(VALUE(LEFT(I3322,FIND(" ",I3322)-1)),""),"")</f>
        <v/>
      </c>
      <c r="O3322" s="7" t="n">
        <f aca="false">IF(B3322="TV Show",IFERROR(VALUE(LEFT(I3322,FIND(" ",I3322)-1)),""),"")</f>
        <v>1</v>
      </c>
      <c r="P3322" s="7" t="n">
        <f aca="false">IF(K3322="","",K3322-G3322)</f>
        <v>1</v>
      </c>
    </row>
    <row r="3323" customFormat="false" ht="15" hidden="false" customHeight="false" outlineLevel="0" collapsed="false">
      <c r="A3323" s="7" t="n">
        <v>80149575</v>
      </c>
      <c r="B3323" s="7" t="s">
        <v>68</v>
      </c>
      <c r="C3323" s="7" t="s">
        <v>7003</v>
      </c>
      <c r="D3323" s="7" t="s">
        <v>7004</v>
      </c>
      <c r="E3323" s="7" t="s">
        <v>1113</v>
      </c>
      <c r="F3323" s="7" t="s">
        <v>7005</v>
      </c>
      <c r="G3323" s="7" t="n">
        <v>2016</v>
      </c>
      <c r="H3323" s="7" t="s">
        <v>53</v>
      </c>
      <c r="I3323" s="7" t="s">
        <v>107</v>
      </c>
      <c r="J3323" s="7" t="s">
        <v>206</v>
      </c>
      <c r="K3323" s="7" t="n">
        <f aca="false">IFERROR(VALUE(RIGHT(TRIM(F3323),4)),"")</f>
        <v>2017</v>
      </c>
      <c r="L3323" s="7" t="str">
        <f aca="false">IF(TRIM(E3323)="","Unknown",IFERROR(LEFT(TRIM(E3323),FIND(",",TRIM(E3323))-1),TRIM(E3323)))</f>
        <v>Argentina</v>
      </c>
      <c r="M3323" s="7" t="str">
        <f aca="false">IFERROR(LEFT(J3323,FIND(",",J3323)-1),J3323)</f>
        <v>Comedies</v>
      </c>
      <c r="N3323" s="7" t="n">
        <f aca="false">IF(B3323="Movie",IFERROR(VALUE(LEFT(I3323,FIND(" ",I3323)-1)),""),"")</f>
        <v>78</v>
      </c>
      <c r="O3323" s="7" t="str">
        <f aca="false">IF(B3323="TV Show",IFERROR(VALUE(LEFT(I3323,FIND(" ",I3323)-1)),""),"")</f>
        <v/>
      </c>
      <c r="P3323" s="7" t="n">
        <f aca="false">IF(K3323="","",K3323-G3323)</f>
        <v>1</v>
      </c>
    </row>
    <row r="3324" customFormat="false" ht="15" hidden="false" customHeight="false" outlineLevel="0" collapsed="false">
      <c r="A3324" s="7" t="n">
        <v>80144448</v>
      </c>
      <c r="B3324" s="7" t="s">
        <v>68</v>
      </c>
      <c r="C3324" s="7" t="s">
        <v>7006</v>
      </c>
      <c r="D3324" s="7" t="s">
        <v>7007</v>
      </c>
      <c r="E3324" s="7" t="s">
        <v>27</v>
      </c>
      <c r="F3324" s="7" t="s">
        <v>7005</v>
      </c>
      <c r="G3324" s="7" t="n">
        <v>2016</v>
      </c>
      <c r="H3324" s="7" t="s">
        <v>53</v>
      </c>
      <c r="I3324" s="7" t="s">
        <v>247</v>
      </c>
      <c r="J3324" s="7" t="s">
        <v>304</v>
      </c>
      <c r="K3324" s="7" t="n">
        <f aca="false">IFERROR(VALUE(RIGHT(TRIM(F3324),4)),"")</f>
        <v>2017</v>
      </c>
      <c r="L3324" s="7" t="str">
        <f aca="false">IF(TRIM(E3324)="","Unknown",IFERROR(LEFT(TRIM(E3324),FIND(",",TRIM(E3324))-1),TRIM(E3324)))</f>
        <v>India</v>
      </c>
      <c r="M3324" s="7" t="str">
        <f aca="false">IFERROR(LEFT(J3324,FIND(",",J3324)-1),J3324)</f>
        <v>Dramas</v>
      </c>
      <c r="N3324" s="7" t="n">
        <f aca="false">IF(B3324="Movie",IFERROR(VALUE(LEFT(I3324,FIND(" ",I3324)-1)),""),"")</f>
        <v>130</v>
      </c>
      <c r="O3324" s="7" t="str">
        <f aca="false">IF(B3324="TV Show",IFERROR(VALUE(LEFT(I3324,FIND(" ",I3324)-1)),""),"")</f>
        <v/>
      </c>
      <c r="P3324" s="7" t="n">
        <f aca="false">IF(K3324="","",K3324-G3324)</f>
        <v>1</v>
      </c>
    </row>
    <row r="3325" customFormat="false" ht="15" hidden="false" customHeight="false" outlineLevel="0" collapsed="false">
      <c r="A3325" s="7" t="n">
        <v>80100936</v>
      </c>
      <c r="B3325" s="7" t="s">
        <v>68</v>
      </c>
      <c r="C3325" s="7" t="s">
        <v>7008</v>
      </c>
      <c r="D3325" s="7" t="s">
        <v>7009</v>
      </c>
      <c r="E3325" s="7" t="s">
        <v>26</v>
      </c>
      <c r="F3325" s="7" t="s">
        <v>7005</v>
      </c>
      <c r="G3325" s="7" t="n">
        <v>2017</v>
      </c>
      <c r="H3325" s="7" t="s">
        <v>48</v>
      </c>
      <c r="I3325" s="7" t="s">
        <v>154</v>
      </c>
      <c r="J3325" s="7" t="s">
        <v>38</v>
      </c>
      <c r="K3325" s="7" t="n">
        <f aca="false">IFERROR(VALUE(RIGHT(TRIM(F3325),4)),"")</f>
        <v>2017</v>
      </c>
      <c r="L3325" s="7" t="str">
        <f aca="false">IF(TRIM(E3325)="","Unknown",IFERROR(LEFT(TRIM(E3325),FIND(",",TRIM(E3325))-1),TRIM(E3325)))</f>
        <v>United States</v>
      </c>
      <c r="M3325" s="7" t="str">
        <f aca="false">IFERROR(LEFT(J3325,FIND(",",J3325)-1),J3325)</f>
        <v>Comedies</v>
      </c>
      <c r="N3325" s="7" t="n">
        <f aca="false">IF(B3325="Movie",IFERROR(VALUE(LEFT(I3325,FIND(" ",I3325)-1)),""),"")</f>
        <v>80</v>
      </c>
      <c r="O3325" s="7" t="str">
        <f aca="false">IF(B3325="TV Show",IFERROR(VALUE(LEFT(I3325,FIND(" ",I3325)-1)),""),"")</f>
        <v/>
      </c>
      <c r="P3325" s="7" t="n">
        <f aca="false">IF(K3325="","",K3325-G3325)</f>
        <v>0</v>
      </c>
    </row>
    <row r="3326" customFormat="false" ht="15" hidden="false" customHeight="false" outlineLevel="0" collapsed="false">
      <c r="A3326" s="7" t="n">
        <v>80192420</v>
      </c>
      <c r="B3326" s="7" t="s">
        <v>68</v>
      </c>
      <c r="C3326" s="7" t="s">
        <v>7010</v>
      </c>
      <c r="D3326" s="7" t="s">
        <v>7011</v>
      </c>
      <c r="E3326" s="7" t="s">
        <v>27</v>
      </c>
      <c r="F3326" s="7" t="s">
        <v>7012</v>
      </c>
      <c r="G3326" s="7" t="n">
        <v>2017</v>
      </c>
      <c r="H3326" s="7" t="s">
        <v>50</v>
      </c>
      <c r="I3326" s="7" t="s">
        <v>2053</v>
      </c>
      <c r="J3326" s="7" t="s">
        <v>240</v>
      </c>
      <c r="K3326" s="7" t="n">
        <f aca="false">IFERROR(VALUE(RIGHT(TRIM(F3326),4)),"")</f>
        <v>2020</v>
      </c>
      <c r="L3326" s="7" t="str">
        <f aca="false">IF(TRIM(E3326)="","Unknown",IFERROR(LEFT(TRIM(E3326),FIND(",",TRIM(E3326))-1),TRIM(E3326)))</f>
        <v>India</v>
      </c>
      <c r="M3326" s="7" t="str">
        <f aca="false">IFERROR(LEFT(J3326,FIND(",",J3326)-1),J3326)</f>
        <v>Dramas</v>
      </c>
      <c r="N3326" s="7" t="n">
        <f aca="false">IF(B3326="Movie",IFERROR(VALUE(LEFT(I3326,FIND(" ",I3326)-1)),""),"")</f>
        <v>129</v>
      </c>
      <c r="O3326" s="7" t="str">
        <f aca="false">IF(B3326="TV Show",IFERROR(VALUE(LEFT(I3326,FIND(" ",I3326)-1)),""),"")</f>
        <v/>
      </c>
      <c r="P3326" s="7" t="n">
        <f aca="false">IF(K3326="","",K3326-G3326)</f>
        <v>3</v>
      </c>
    </row>
    <row r="3327" customFormat="false" ht="15" hidden="false" customHeight="false" outlineLevel="0" collapsed="false">
      <c r="A3327" s="7" t="n">
        <v>81160763</v>
      </c>
      <c r="B3327" s="7" t="s">
        <v>78</v>
      </c>
      <c r="C3327" s="7" t="s">
        <v>7013</v>
      </c>
      <c r="E3327" s="7" t="s">
        <v>26</v>
      </c>
      <c r="F3327" s="7" t="s">
        <v>7012</v>
      </c>
      <c r="G3327" s="7" t="n">
        <v>2020</v>
      </c>
      <c r="H3327" s="7" t="s">
        <v>48</v>
      </c>
      <c r="I3327" s="7" t="s">
        <v>82</v>
      </c>
      <c r="J3327" s="7" t="s">
        <v>100</v>
      </c>
      <c r="K3327" s="7" t="n">
        <f aca="false">IFERROR(VALUE(RIGHT(TRIM(F3327),4)),"")</f>
        <v>2020</v>
      </c>
      <c r="L3327" s="7" t="str">
        <f aca="false">IF(TRIM(E3327)="","Unknown",IFERROR(LEFT(TRIM(E3327),FIND(",",TRIM(E3327))-1),TRIM(E3327)))</f>
        <v>United States</v>
      </c>
      <c r="M3327" s="7" t="str">
        <f aca="false">IFERROR(LEFT(J3327,FIND(",",J3327)-1),J3327)</f>
        <v>Docuseries</v>
      </c>
      <c r="N3327" s="7" t="str">
        <f aca="false">IF(B3327="Movie",IFERROR(VALUE(LEFT(I3327,FIND(" ",I3327)-1)),""),"")</f>
        <v/>
      </c>
      <c r="O3327" s="7" t="n">
        <f aca="false">IF(B3327="TV Show",IFERROR(VALUE(LEFT(I3327,FIND(" ",I3327)-1)),""),"")</f>
        <v>1</v>
      </c>
      <c r="P3327" s="7" t="n">
        <f aca="false">IF(K3327="","",K3327-G3327)</f>
        <v>0</v>
      </c>
    </row>
    <row r="3328" customFormat="false" ht="15" hidden="false" customHeight="false" outlineLevel="0" collapsed="false">
      <c r="A3328" s="7" t="n">
        <v>81054827</v>
      </c>
      <c r="B3328" s="7" t="s">
        <v>78</v>
      </c>
      <c r="C3328" s="7" t="s">
        <v>7014</v>
      </c>
      <c r="E3328" s="7" t="s">
        <v>4776</v>
      </c>
      <c r="F3328" s="7" t="s">
        <v>7012</v>
      </c>
      <c r="G3328" s="7" t="n">
        <v>2019</v>
      </c>
      <c r="H3328" s="7" t="s">
        <v>48</v>
      </c>
      <c r="I3328" s="7" t="s">
        <v>82</v>
      </c>
      <c r="J3328" s="7" t="s">
        <v>393</v>
      </c>
      <c r="K3328" s="7" t="n">
        <f aca="false">IFERROR(VALUE(RIGHT(TRIM(F3328),4)),"")</f>
        <v>2020</v>
      </c>
      <c r="L3328" s="7" t="str">
        <f aca="false">IF(TRIM(E3328)="","Unknown",IFERROR(LEFT(TRIM(E3328),FIND(",",TRIM(E3328))-1),TRIM(E3328)))</f>
        <v>Belgium</v>
      </c>
      <c r="M3328" s="7" t="str">
        <f aca="false">IFERROR(LEFT(J3328,FIND(",",J3328)-1),J3328)</f>
        <v>International TV Shows</v>
      </c>
      <c r="N3328" s="7" t="str">
        <f aca="false">IF(B3328="Movie",IFERROR(VALUE(LEFT(I3328,FIND(" ",I3328)-1)),""),"")</f>
        <v/>
      </c>
      <c r="O3328" s="7" t="n">
        <f aca="false">IF(B3328="TV Show",IFERROR(VALUE(LEFT(I3328,FIND(" ",I3328)-1)),""),"")</f>
        <v>1</v>
      </c>
      <c r="P3328" s="7" t="n">
        <f aca="false">IF(K3328="","",K3328-G3328)</f>
        <v>1</v>
      </c>
    </row>
    <row r="3329" customFormat="false" ht="15" hidden="false" customHeight="false" outlineLevel="0" collapsed="false">
      <c r="A3329" s="7" t="n">
        <v>81020692</v>
      </c>
      <c r="B3329" s="7" t="s">
        <v>78</v>
      </c>
      <c r="C3329" s="7" t="s">
        <v>7015</v>
      </c>
      <c r="F3329" s="7" t="s">
        <v>7016</v>
      </c>
      <c r="G3329" s="7" t="n">
        <v>2013</v>
      </c>
      <c r="H3329" s="7" t="s">
        <v>49</v>
      </c>
      <c r="I3329" s="7" t="s">
        <v>82</v>
      </c>
      <c r="J3329" s="7" t="s">
        <v>314</v>
      </c>
      <c r="K3329" s="7" t="n">
        <f aca="false">IFERROR(VALUE(RIGHT(TRIM(F3329),4)),"")</f>
        <v>2019</v>
      </c>
      <c r="L3329" s="7" t="str">
        <f aca="false">IF(TRIM(E3329)="","Unknown",IFERROR(LEFT(TRIM(E3329),FIND(",",TRIM(E3329))-1),TRIM(E3329)))</f>
        <v>Unknown</v>
      </c>
      <c r="M3329" s="7" t="str">
        <f aca="false">IFERROR(LEFT(J3329,FIND(",",J3329)-1),J3329)</f>
        <v>International TV Shows</v>
      </c>
      <c r="N3329" s="7" t="str">
        <f aca="false">IF(B3329="Movie",IFERROR(VALUE(LEFT(I3329,FIND(" ",I3329)-1)),""),"")</f>
        <v/>
      </c>
      <c r="O3329" s="7" t="n">
        <f aca="false">IF(B3329="TV Show",IFERROR(VALUE(LEFT(I3329,FIND(" ",I3329)-1)),""),"")</f>
        <v>1</v>
      </c>
      <c r="P3329" s="7" t="n">
        <f aca="false">IF(K3329="","",K3329-G3329)</f>
        <v>6</v>
      </c>
    </row>
    <row r="3330" customFormat="false" ht="15" hidden="false" customHeight="false" outlineLevel="0" collapsed="false">
      <c r="A3330" s="7" t="n">
        <v>771476</v>
      </c>
      <c r="B3330" s="7" t="s">
        <v>68</v>
      </c>
      <c r="C3330" s="7" t="s">
        <v>7017</v>
      </c>
      <c r="D3330" s="7" t="s">
        <v>7018</v>
      </c>
      <c r="E3330" s="7" t="s">
        <v>28</v>
      </c>
      <c r="F3330" s="7" t="s">
        <v>7016</v>
      </c>
      <c r="G3330" s="7" t="n">
        <v>1975</v>
      </c>
      <c r="H3330" s="7" t="s">
        <v>54</v>
      </c>
      <c r="I3330" s="7" t="s">
        <v>311</v>
      </c>
      <c r="J3330" s="7" t="s">
        <v>3247</v>
      </c>
      <c r="K3330" s="7" t="n">
        <f aca="false">IFERROR(VALUE(RIGHT(TRIM(F3330),4)),"")</f>
        <v>2019</v>
      </c>
      <c r="L3330" s="7" t="str">
        <f aca="false">IF(TRIM(E3330)="","Unknown",IFERROR(LEFT(TRIM(E3330),FIND(",",TRIM(E3330))-1),TRIM(E3330)))</f>
        <v>United Kingdom</v>
      </c>
      <c r="M3330" s="7" t="str">
        <f aca="false">IFERROR(LEFT(J3330,FIND(",",J3330)-1),J3330)</f>
        <v>Action &amp; Adventure</v>
      </c>
      <c r="N3330" s="7" t="n">
        <f aca="false">IF(B3330="Movie",IFERROR(VALUE(LEFT(I3330,FIND(" ",I3330)-1)),""),"")</f>
        <v>92</v>
      </c>
      <c r="O3330" s="7" t="str">
        <f aca="false">IF(B3330="TV Show",IFERROR(VALUE(LEFT(I3330,FIND(" ",I3330)-1)),""),"")</f>
        <v/>
      </c>
      <c r="P3330" s="7" t="n">
        <f aca="false">IF(K3330="","",K3330-G3330)</f>
        <v>44</v>
      </c>
    </row>
    <row r="3331" customFormat="false" ht="15" hidden="false" customHeight="false" outlineLevel="0" collapsed="false">
      <c r="A3331" s="7" t="n">
        <v>80213401</v>
      </c>
      <c r="B3331" s="7" t="s">
        <v>68</v>
      </c>
      <c r="C3331" s="7" t="s">
        <v>7019</v>
      </c>
      <c r="D3331" s="7" t="s">
        <v>7020</v>
      </c>
      <c r="E3331" s="7" t="s">
        <v>26</v>
      </c>
      <c r="F3331" s="7" t="s">
        <v>7021</v>
      </c>
      <c r="G3331" s="7" t="n">
        <v>2017</v>
      </c>
      <c r="H3331" s="7" t="s">
        <v>48</v>
      </c>
      <c r="I3331" s="7" t="s">
        <v>357</v>
      </c>
      <c r="J3331" s="7" t="s">
        <v>6162</v>
      </c>
      <c r="K3331" s="7" t="n">
        <f aca="false">IFERROR(VALUE(RIGHT(TRIM(F3331),4)),"")</f>
        <v>2018</v>
      </c>
      <c r="L3331" s="7" t="str">
        <f aca="false">IF(TRIM(E3331)="","Unknown",IFERROR(LEFT(TRIM(E3331),FIND(",",TRIM(E3331))-1),TRIM(E3331)))</f>
        <v>United States</v>
      </c>
      <c r="M3331" s="7" t="str">
        <f aca="false">IFERROR(LEFT(J3331,FIND(",",J3331)-1),J3331)</f>
        <v>Documentaries</v>
      </c>
      <c r="N3331" s="7" t="n">
        <f aca="false">IF(B3331="Movie",IFERROR(VALUE(LEFT(I3331,FIND(" ",I3331)-1)),""),"")</f>
        <v>89</v>
      </c>
      <c r="O3331" s="7" t="str">
        <f aca="false">IF(B3331="TV Show",IFERROR(VALUE(LEFT(I3331,FIND(" ",I3331)-1)),""),"")</f>
        <v/>
      </c>
      <c r="P3331" s="7" t="n">
        <f aca="false">IF(K3331="","",K3331-G3331)</f>
        <v>1</v>
      </c>
    </row>
    <row r="3332" customFormat="false" ht="15" hidden="false" customHeight="false" outlineLevel="0" collapsed="false">
      <c r="A3332" s="7" t="n">
        <v>80198056</v>
      </c>
      <c r="B3332" s="7" t="s">
        <v>68</v>
      </c>
      <c r="C3332" s="7" t="s">
        <v>7022</v>
      </c>
      <c r="D3332" s="7" t="s">
        <v>7023</v>
      </c>
      <c r="E3332" s="7" t="s">
        <v>26</v>
      </c>
      <c r="F3332" s="7" t="s">
        <v>7021</v>
      </c>
      <c r="G3332" s="7" t="n">
        <v>2017</v>
      </c>
      <c r="H3332" s="7" t="s">
        <v>49</v>
      </c>
      <c r="I3332" s="7" t="s">
        <v>212</v>
      </c>
      <c r="J3332" s="7" t="s">
        <v>198</v>
      </c>
      <c r="K3332" s="7" t="n">
        <f aca="false">IFERROR(VALUE(RIGHT(TRIM(F3332),4)),"")</f>
        <v>2018</v>
      </c>
      <c r="L3332" s="7" t="str">
        <f aca="false">IF(TRIM(E3332)="","Unknown",IFERROR(LEFT(TRIM(E3332),FIND(",",TRIM(E3332))-1),TRIM(E3332)))</f>
        <v>United States</v>
      </c>
      <c r="M3332" s="7" t="str">
        <f aca="false">IFERROR(LEFT(J3332,FIND(",",J3332)-1),J3332)</f>
        <v>Comedies</v>
      </c>
      <c r="N3332" s="7" t="n">
        <f aca="false">IF(B3332="Movie",IFERROR(VALUE(LEFT(I3332,FIND(" ",I3332)-1)),""),"")</f>
        <v>86</v>
      </c>
      <c r="O3332" s="7" t="str">
        <f aca="false">IF(B3332="TV Show",IFERROR(VALUE(LEFT(I3332,FIND(" ",I3332)-1)),""),"")</f>
        <v/>
      </c>
      <c r="P3332" s="7" t="n">
        <f aca="false">IF(K3332="","",K3332-G3332)</f>
        <v>1</v>
      </c>
    </row>
    <row r="3333" customFormat="false" ht="15" hidden="false" customHeight="false" outlineLevel="0" collapsed="false">
      <c r="A3333" s="7" t="n">
        <v>80208083</v>
      </c>
      <c r="B3333" s="7" t="s">
        <v>68</v>
      </c>
      <c r="C3333" s="7" t="s">
        <v>7024</v>
      </c>
      <c r="D3333" s="7" t="s">
        <v>7025</v>
      </c>
      <c r="E3333" s="7" t="s">
        <v>31</v>
      </c>
      <c r="F3333" s="7" t="s">
        <v>7021</v>
      </c>
      <c r="G3333" s="7" t="n">
        <v>2015</v>
      </c>
      <c r="H3333" s="7" t="s">
        <v>49</v>
      </c>
      <c r="I3333" s="7" t="s">
        <v>734</v>
      </c>
      <c r="J3333" s="7" t="s">
        <v>341</v>
      </c>
      <c r="K3333" s="7" t="n">
        <f aca="false">IFERROR(VALUE(RIGHT(TRIM(F3333),4)),"")</f>
        <v>2018</v>
      </c>
      <c r="L3333" s="7" t="str">
        <f aca="false">IF(TRIM(E3333)="","Unknown",IFERROR(LEFT(TRIM(E3333),FIND(",",TRIM(E3333))-1),TRIM(E3333)))</f>
        <v>France</v>
      </c>
      <c r="M3333" s="7" t="str">
        <f aca="false">IFERROR(LEFT(J3333,FIND(",",J3333)-1),J3333)</f>
        <v>Documentaries</v>
      </c>
      <c r="N3333" s="7" t="n">
        <f aca="false">IF(B3333="Movie",IFERROR(VALUE(LEFT(I3333,FIND(" ",I3333)-1)),""),"")</f>
        <v>52</v>
      </c>
      <c r="O3333" s="7" t="str">
        <f aca="false">IF(B3333="TV Show",IFERROR(VALUE(LEFT(I3333,FIND(" ",I3333)-1)),""),"")</f>
        <v/>
      </c>
      <c r="P3333" s="7" t="n">
        <f aca="false">IF(K3333="","",K3333-G3333)</f>
        <v>3</v>
      </c>
    </row>
    <row r="3334" customFormat="false" ht="15" hidden="false" customHeight="false" outlineLevel="0" collapsed="false">
      <c r="A3334" s="7" t="n">
        <v>80045818</v>
      </c>
      <c r="B3334" s="7" t="s">
        <v>68</v>
      </c>
      <c r="C3334" s="7" t="s">
        <v>7026</v>
      </c>
      <c r="D3334" s="7" t="s">
        <v>7027</v>
      </c>
      <c r="E3334" s="7" t="s">
        <v>28</v>
      </c>
      <c r="F3334" s="7" t="s">
        <v>7028</v>
      </c>
      <c r="G3334" s="7" t="n">
        <v>1994</v>
      </c>
      <c r="H3334" s="7" t="s">
        <v>50</v>
      </c>
      <c r="I3334" s="7" t="s">
        <v>5456</v>
      </c>
      <c r="J3334" s="7" t="s">
        <v>39</v>
      </c>
      <c r="K3334" s="7" t="n">
        <f aca="false">IFERROR(VALUE(RIGHT(TRIM(F3334),4)),"")</f>
        <v>2019</v>
      </c>
      <c r="L3334" s="7" t="str">
        <f aca="false">IF(TRIM(E3334)="","Unknown",IFERROR(LEFT(TRIM(E3334),FIND(",",TRIM(E3334))-1),TRIM(E3334)))</f>
        <v>United Kingdom</v>
      </c>
      <c r="M3334" s="7" t="str">
        <f aca="false">IFERROR(LEFT(J3334,FIND(",",J3334)-1),J3334)</f>
        <v>Documentaries</v>
      </c>
      <c r="N3334" s="7" t="n">
        <f aca="false">IF(B3334="Movie",IFERROR(VALUE(LEFT(I3334,FIND(" ",I3334)-1)),""),"")</f>
        <v>49</v>
      </c>
      <c r="O3334" s="7" t="str">
        <f aca="false">IF(B3334="TV Show",IFERROR(VALUE(LEFT(I3334,FIND(" ",I3334)-1)),""),"")</f>
        <v/>
      </c>
      <c r="P3334" s="7" t="n">
        <f aca="false">IF(K3334="","",K3334-G3334)</f>
        <v>25</v>
      </c>
    </row>
    <row r="3335" customFormat="false" ht="15" hidden="false" customHeight="false" outlineLevel="0" collapsed="false">
      <c r="A3335" s="7" t="n">
        <v>80195429</v>
      </c>
      <c r="B3335" s="7" t="s">
        <v>68</v>
      </c>
      <c r="C3335" s="7" t="s">
        <v>7029</v>
      </c>
      <c r="D3335" s="7" t="s">
        <v>6928</v>
      </c>
      <c r="E3335" s="7" t="s">
        <v>26</v>
      </c>
      <c r="F3335" s="7" t="s">
        <v>7030</v>
      </c>
      <c r="G3335" s="7" t="n">
        <v>2018</v>
      </c>
      <c r="H3335" s="7" t="s">
        <v>50</v>
      </c>
      <c r="I3335" s="7" t="s">
        <v>117</v>
      </c>
      <c r="J3335" s="7" t="s">
        <v>45</v>
      </c>
      <c r="K3335" s="7" t="n">
        <f aca="false">IFERROR(VALUE(RIGHT(TRIM(F3335),4)),"")</f>
        <v>2018</v>
      </c>
      <c r="L3335" s="7" t="str">
        <f aca="false">IF(TRIM(E3335)="","Unknown",IFERROR(LEFT(TRIM(E3335),FIND(",",TRIM(E3335))-1),TRIM(E3335)))</f>
        <v>United States</v>
      </c>
      <c r="M3335" s="7" t="str">
        <f aca="false">IFERROR(LEFT(J3335,FIND(",",J3335)-1),J3335)</f>
        <v>Stand-Up Comedy</v>
      </c>
      <c r="N3335" s="7" t="n">
        <f aca="false">IF(B3335="Movie",IFERROR(VALUE(LEFT(I3335,FIND(" ",I3335)-1)),""),"")</f>
        <v>62</v>
      </c>
      <c r="O3335" s="7" t="str">
        <f aca="false">IF(B3335="TV Show",IFERROR(VALUE(LEFT(I3335,FIND(" ",I3335)-1)),""),"")</f>
        <v/>
      </c>
      <c r="P3335" s="7" t="n">
        <f aca="false">IF(K3335="","",K3335-G3335)</f>
        <v>0</v>
      </c>
    </row>
    <row r="3336" customFormat="false" ht="15" hidden="false" customHeight="false" outlineLevel="0" collapsed="false">
      <c r="A3336" s="7" t="n">
        <v>80158485</v>
      </c>
      <c r="B3336" s="7" t="s">
        <v>68</v>
      </c>
      <c r="C3336" s="7" t="s">
        <v>7031</v>
      </c>
      <c r="D3336" s="7" t="s">
        <v>3249</v>
      </c>
      <c r="E3336" s="7" t="s">
        <v>26</v>
      </c>
      <c r="F3336" s="7" t="s">
        <v>7030</v>
      </c>
      <c r="G3336" s="7" t="n">
        <v>2018</v>
      </c>
      <c r="H3336" s="7" t="s">
        <v>49</v>
      </c>
      <c r="I3336" s="7" t="s">
        <v>268</v>
      </c>
      <c r="J3336" s="7" t="s">
        <v>38</v>
      </c>
      <c r="K3336" s="7" t="n">
        <f aca="false">IFERROR(VALUE(RIGHT(TRIM(F3336),4)),"")</f>
        <v>2018</v>
      </c>
      <c r="L3336" s="7" t="str">
        <f aca="false">IF(TRIM(E3336)="","Unknown",IFERROR(LEFT(TRIM(E3336),FIND(",",TRIM(E3336))-1),TRIM(E3336)))</f>
        <v>United States</v>
      </c>
      <c r="M3336" s="7" t="str">
        <f aca="false">IFERROR(LEFT(J3336,FIND(",",J3336)-1),J3336)</f>
        <v>Comedies</v>
      </c>
      <c r="N3336" s="7" t="n">
        <f aca="false">IF(B3336="Movie",IFERROR(VALUE(LEFT(I3336,FIND(" ",I3336)-1)),""),"")</f>
        <v>108</v>
      </c>
      <c r="O3336" s="7" t="str">
        <f aca="false">IF(B3336="TV Show",IFERROR(VALUE(LEFT(I3336,FIND(" ",I3336)-1)),""),"")</f>
        <v/>
      </c>
      <c r="P3336" s="7" t="n">
        <f aca="false">IF(K3336="","",K3336-G3336)</f>
        <v>0</v>
      </c>
    </row>
    <row r="3337" customFormat="false" ht="15" hidden="false" customHeight="false" outlineLevel="0" collapsed="false">
      <c r="A3337" s="7" t="n">
        <v>80198661</v>
      </c>
      <c r="B3337" s="7" t="s">
        <v>68</v>
      </c>
      <c r="C3337" s="7" t="s">
        <v>7032</v>
      </c>
      <c r="D3337" s="7" t="s">
        <v>7033</v>
      </c>
      <c r="E3337" s="7" t="s">
        <v>26</v>
      </c>
      <c r="F3337" s="7" t="s">
        <v>7030</v>
      </c>
      <c r="G3337" s="7" t="n">
        <v>2018</v>
      </c>
      <c r="H3337" s="7" t="s">
        <v>48</v>
      </c>
      <c r="I3337" s="7" t="s">
        <v>111</v>
      </c>
      <c r="J3337" s="7" t="s">
        <v>147</v>
      </c>
      <c r="K3337" s="7" t="n">
        <f aca="false">IFERROR(VALUE(RIGHT(TRIM(F3337),4)),"")</f>
        <v>2018</v>
      </c>
      <c r="L3337" s="7" t="str">
        <f aca="false">IF(TRIM(E3337)="","Unknown",IFERROR(LEFT(TRIM(E3337),FIND(",",TRIM(E3337))-1),TRIM(E3337)))</f>
        <v>United States</v>
      </c>
      <c r="M3337" s="7" t="str">
        <f aca="false">IFERROR(LEFT(J3337,FIND(",",J3337)-1),J3337)</f>
        <v>Horror Movies</v>
      </c>
      <c r="N3337" s="7" t="n">
        <f aca="false">IF(B3337="Movie",IFERROR(VALUE(LEFT(I3337,FIND(" ",I3337)-1)),""),"")</f>
        <v>95</v>
      </c>
      <c r="O3337" s="7" t="str">
        <f aca="false">IF(B3337="TV Show",IFERROR(VALUE(LEFT(I3337,FIND(" ",I3337)-1)),""),"")</f>
        <v/>
      </c>
      <c r="P3337" s="7" t="n">
        <f aca="false">IF(K3337="","",K3337-G3337)</f>
        <v>0</v>
      </c>
    </row>
    <row r="3338" customFormat="false" ht="15" hidden="false" customHeight="false" outlineLevel="0" collapsed="false">
      <c r="A3338" s="7" t="n">
        <v>80119375</v>
      </c>
      <c r="B3338" s="7" t="s">
        <v>68</v>
      </c>
      <c r="C3338" s="7" t="s">
        <v>7034</v>
      </c>
      <c r="D3338" s="7" t="s">
        <v>7035</v>
      </c>
      <c r="E3338" s="7" t="s">
        <v>26</v>
      </c>
      <c r="F3338" s="7" t="s">
        <v>7036</v>
      </c>
      <c r="G3338" s="7" t="n">
        <v>2016</v>
      </c>
      <c r="H3338" s="7" t="s">
        <v>51</v>
      </c>
      <c r="I3338" s="7" t="s">
        <v>73</v>
      </c>
      <c r="J3338" s="7" t="s">
        <v>1533</v>
      </c>
      <c r="K3338" s="7" t="n">
        <f aca="false">IFERROR(VALUE(RIGHT(TRIM(F3338),4)),"")</f>
        <v>2017</v>
      </c>
      <c r="L3338" s="7" t="str">
        <f aca="false">IF(TRIM(E3338)="","Unknown",IFERROR(LEFT(TRIM(E3338),FIND(",",TRIM(E3338))-1),TRIM(E3338)))</f>
        <v>United States</v>
      </c>
      <c r="M3338" s="7" t="str">
        <f aca="false">IFERROR(LEFT(J3338,FIND(",",J3338)-1),J3338)</f>
        <v>Comedies</v>
      </c>
      <c r="N3338" s="7" t="n">
        <f aca="false">IF(B3338="Movie",IFERROR(VALUE(LEFT(I3338,FIND(" ",I3338)-1)),""),"")</f>
        <v>90</v>
      </c>
      <c r="O3338" s="7" t="str">
        <f aca="false">IF(B3338="TV Show",IFERROR(VALUE(LEFT(I3338,FIND(" ",I3338)-1)),""),"")</f>
        <v/>
      </c>
      <c r="P3338" s="7" t="n">
        <f aca="false">IF(K3338="","",K3338-G3338)</f>
        <v>1</v>
      </c>
    </row>
    <row r="3339" customFormat="false" ht="15" hidden="false" customHeight="false" outlineLevel="0" collapsed="false">
      <c r="A3339" s="7" t="n">
        <v>70271454</v>
      </c>
      <c r="B3339" s="7" t="s">
        <v>68</v>
      </c>
      <c r="C3339" s="7" t="s">
        <v>7037</v>
      </c>
      <c r="D3339" s="7" t="s">
        <v>7038</v>
      </c>
      <c r="E3339" s="7" t="s">
        <v>7039</v>
      </c>
      <c r="F3339" s="7" t="s">
        <v>7040</v>
      </c>
      <c r="G3339" s="7" t="n">
        <v>2013</v>
      </c>
      <c r="H3339" s="7" t="s">
        <v>51</v>
      </c>
      <c r="I3339" s="7" t="s">
        <v>470</v>
      </c>
      <c r="J3339" s="7" t="s">
        <v>150</v>
      </c>
      <c r="K3339" s="7" t="n">
        <f aca="false">IFERROR(VALUE(RIGHT(TRIM(F3339),4)),"")</f>
        <v>2020</v>
      </c>
      <c r="L3339" s="7" t="str">
        <f aca="false">IF(TRIM(E3339)="","Unknown",IFERROR(LEFT(TRIM(E3339),FIND(",",TRIM(E3339))-1),TRIM(E3339)))</f>
        <v>United States</v>
      </c>
      <c r="M3339" s="7" t="str">
        <f aca="false">IFERROR(LEFT(J3339,FIND(",",J3339)-1),J3339)</f>
        <v>Dramas</v>
      </c>
      <c r="N3339" s="7" t="n">
        <f aca="false">IF(B3339="Movie",IFERROR(VALUE(LEFT(I3339,FIND(" ",I3339)-1)),""),"")</f>
        <v>91</v>
      </c>
      <c r="O3339" s="7" t="str">
        <f aca="false">IF(B3339="TV Show",IFERROR(VALUE(LEFT(I3339,FIND(" ",I3339)-1)),""),"")</f>
        <v/>
      </c>
      <c r="P3339" s="7" t="n">
        <f aca="false">IF(K3339="","",K3339-G3339)</f>
        <v>7</v>
      </c>
    </row>
    <row r="3340" customFormat="false" ht="15" hidden="false" customHeight="false" outlineLevel="0" collapsed="false">
      <c r="A3340" s="7" t="n">
        <v>80207371</v>
      </c>
      <c r="B3340" s="7" t="s">
        <v>68</v>
      </c>
      <c r="C3340" s="7" t="s">
        <v>7041</v>
      </c>
      <c r="E3340" s="7" t="s">
        <v>317</v>
      </c>
      <c r="F3340" s="7" t="s">
        <v>7042</v>
      </c>
      <c r="G3340" s="7" t="n">
        <v>2019</v>
      </c>
      <c r="H3340" s="7" t="s">
        <v>48</v>
      </c>
      <c r="I3340" s="7" t="s">
        <v>111</v>
      </c>
      <c r="J3340" s="7" t="s">
        <v>322</v>
      </c>
      <c r="K3340" s="7" t="n">
        <f aca="false">IFERROR(VALUE(RIGHT(TRIM(F3340),4)),"")</f>
        <v>2019</v>
      </c>
      <c r="L3340" s="7" t="str">
        <f aca="false">IF(TRIM(E3340)="","Unknown",IFERROR(LEFT(TRIM(E3340),FIND(",",TRIM(E3340))-1),TRIM(E3340)))</f>
        <v>United Kingdom</v>
      </c>
      <c r="M3340" s="7" t="str">
        <f aca="false">IFERROR(LEFT(J3340,FIND(",",J3340)-1),J3340)</f>
        <v>Action &amp; Adventure</v>
      </c>
      <c r="N3340" s="7" t="n">
        <f aca="false">IF(B3340="Movie",IFERROR(VALUE(LEFT(I3340,FIND(" ",I3340)-1)),""),"")</f>
        <v>95</v>
      </c>
      <c r="O3340" s="7" t="str">
        <f aca="false">IF(B3340="TV Show",IFERROR(VALUE(LEFT(I3340,FIND(" ",I3340)-1)),""),"")</f>
        <v/>
      </c>
      <c r="P3340" s="7" t="n">
        <f aca="false">IF(K3340="","",K3340-G3340)</f>
        <v>0</v>
      </c>
    </row>
    <row r="3341" customFormat="false" ht="15" hidden="false" customHeight="false" outlineLevel="0" collapsed="false">
      <c r="A3341" s="7" t="n">
        <v>81035279</v>
      </c>
      <c r="B3341" s="7" t="s">
        <v>68</v>
      </c>
      <c r="C3341" s="7" t="s">
        <v>7043</v>
      </c>
      <c r="D3341" s="7" t="s">
        <v>2927</v>
      </c>
      <c r="E3341" s="7" t="s">
        <v>26</v>
      </c>
      <c r="F3341" s="7" t="s">
        <v>7042</v>
      </c>
      <c r="G3341" s="7" t="n">
        <v>2019</v>
      </c>
      <c r="H3341" s="7" t="s">
        <v>48</v>
      </c>
      <c r="I3341" s="7" t="s">
        <v>134</v>
      </c>
      <c r="J3341" s="7" t="s">
        <v>39</v>
      </c>
      <c r="K3341" s="7" t="n">
        <f aca="false">IFERROR(VALUE(RIGHT(TRIM(F3341),4)),"")</f>
        <v>2019</v>
      </c>
      <c r="L3341" s="7" t="str">
        <f aca="false">IF(TRIM(E3341)="","Unknown",IFERROR(LEFT(TRIM(E3341),FIND(",",TRIM(E3341))-1),TRIM(E3341)))</f>
        <v>United States</v>
      </c>
      <c r="M3341" s="7" t="str">
        <f aca="false">IFERROR(LEFT(J3341,FIND(",",J3341)-1),J3341)</f>
        <v>Documentaries</v>
      </c>
      <c r="N3341" s="7" t="n">
        <f aca="false">IF(B3341="Movie",IFERROR(VALUE(LEFT(I3341,FIND(" ",I3341)-1)),""),"")</f>
        <v>98</v>
      </c>
      <c r="O3341" s="7" t="str">
        <f aca="false">IF(B3341="TV Show",IFERROR(VALUE(LEFT(I3341,FIND(" ",I3341)-1)),""),"")</f>
        <v/>
      </c>
      <c r="P3341" s="7" t="n">
        <f aca="false">IF(K3341="","",K3341-G3341)</f>
        <v>0</v>
      </c>
    </row>
    <row r="3342" customFormat="false" ht="15" hidden="false" customHeight="false" outlineLevel="0" collapsed="false">
      <c r="A3342" s="7" t="n">
        <v>80134721</v>
      </c>
      <c r="B3342" s="7" t="s">
        <v>68</v>
      </c>
      <c r="C3342" s="7" t="s">
        <v>7044</v>
      </c>
      <c r="D3342" s="7" t="s">
        <v>7045</v>
      </c>
      <c r="E3342" s="7" t="s">
        <v>26</v>
      </c>
      <c r="F3342" s="7" t="s">
        <v>7042</v>
      </c>
      <c r="G3342" s="7" t="n">
        <v>2019</v>
      </c>
      <c r="H3342" s="7" t="s">
        <v>49</v>
      </c>
      <c r="I3342" s="7" t="s">
        <v>138</v>
      </c>
      <c r="J3342" s="7" t="s">
        <v>7046</v>
      </c>
      <c r="K3342" s="7" t="n">
        <f aca="false">IFERROR(VALUE(RIGHT(TRIM(F3342),4)),"")</f>
        <v>2019</v>
      </c>
      <c r="L3342" s="7" t="str">
        <f aca="false">IF(TRIM(E3342)="","Unknown",IFERROR(LEFT(TRIM(E3342),FIND(",",TRIM(E3342))-1),TRIM(E3342)))</f>
        <v>United States</v>
      </c>
      <c r="M3342" s="7" t="str">
        <f aca="false">IFERROR(LEFT(J3342,FIND(",",J3342)-1),J3342)</f>
        <v>Dramas</v>
      </c>
      <c r="N3342" s="7" t="n">
        <f aca="false">IF(B3342="Movie",IFERROR(VALUE(LEFT(I3342,FIND(" ",I3342)-1)),""),"")</f>
        <v>96</v>
      </c>
      <c r="O3342" s="7" t="str">
        <f aca="false">IF(B3342="TV Show",IFERROR(VALUE(LEFT(I3342,FIND(" ",I3342)-1)),""),"")</f>
        <v/>
      </c>
      <c r="P3342" s="7" t="n">
        <f aca="false">IF(K3342="","",K3342-G3342)</f>
        <v>0</v>
      </c>
    </row>
    <row r="3343" customFormat="false" ht="15" hidden="false" customHeight="false" outlineLevel="0" collapsed="false">
      <c r="A3343" s="7" t="n">
        <v>81041182</v>
      </c>
      <c r="B3343" s="7" t="s">
        <v>68</v>
      </c>
      <c r="C3343" s="7" t="s">
        <v>7047</v>
      </c>
      <c r="E3343" s="7" t="s">
        <v>26</v>
      </c>
      <c r="F3343" s="7" t="s">
        <v>7042</v>
      </c>
      <c r="G3343" s="7" t="n">
        <v>2018</v>
      </c>
      <c r="H3343" s="7" t="s">
        <v>7048</v>
      </c>
      <c r="I3343" s="7" t="s">
        <v>524</v>
      </c>
      <c r="J3343" s="7" t="s">
        <v>1533</v>
      </c>
      <c r="K3343" s="7" t="n">
        <f aca="false">IFERROR(VALUE(RIGHT(TRIM(F3343),4)),"")</f>
        <v>2019</v>
      </c>
      <c r="L3343" s="7" t="str">
        <f aca="false">IF(TRIM(E3343)="","Unknown",IFERROR(LEFT(TRIM(E3343),FIND(",",TRIM(E3343))-1),TRIM(E3343)))</f>
        <v>United States</v>
      </c>
      <c r="M3343" s="7" t="str">
        <f aca="false">IFERROR(LEFT(J3343,FIND(",",J3343)-1),J3343)</f>
        <v>Comedies</v>
      </c>
      <c r="N3343" s="7" t="n">
        <f aca="false">IF(B3343="Movie",IFERROR(VALUE(LEFT(I3343,FIND(" ",I3343)-1)),""),"")</f>
        <v>83</v>
      </c>
      <c r="O3343" s="7" t="str">
        <f aca="false">IF(B3343="TV Show",IFERROR(VALUE(LEFT(I3343,FIND(" ",I3343)-1)),""),"")</f>
        <v/>
      </c>
      <c r="P3343" s="7" t="n">
        <f aca="false">IF(K3343="","",K3343-G3343)</f>
        <v>1</v>
      </c>
    </row>
    <row r="3344" customFormat="false" ht="15" hidden="false" customHeight="false" outlineLevel="0" collapsed="false">
      <c r="A3344" s="7" t="n">
        <v>81038575</v>
      </c>
      <c r="B3344" s="7" t="s">
        <v>78</v>
      </c>
      <c r="C3344" s="7" t="s">
        <v>7049</v>
      </c>
      <c r="E3344" s="7" t="s">
        <v>26</v>
      </c>
      <c r="F3344" s="7" t="s">
        <v>7042</v>
      </c>
      <c r="G3344" s="7" t="n">
        <v>2017</v>
      </c>
      <c r="H3344" s="7" t="s">
        <v>50</v>
      </c>
      <c r="I3344" s="7" t="s">
        <v>82</v>
      </c>
      <c r="J3344" s="7" t="s">
        <v>164</v>
      </c>
      <c r="K3344" s="7" t="n">
        <f aca="false">IFERROR(VALUE(RIGHT(TRIM(F3344),4)),"")</f>
        <v>2019</v>
      </c>
      <c r="L3344" s="7" t="str">
        <f aca="false">IF(TRIM(E3344)="","Unknown",IFERROR(LEFT(TRIM(E3344),FIND(",",TRIM(E3344))-1),TRIM(E3344)))</f>
        <v>United States</v>
      </c>
      <c r="M3344" s="7" t="str">
        <f aca="false">IFERROR(LEFT(J3344,FIND(",",J3344)-1),J3344)</f>
        <v>Docuseries</v>
      </c>
      <c r="N3344" s="7" t="str">
        <f aca="false">IF(B3344="Movie",IFERROR(VALUE(LEFT(I3344,FIND(" ",I3344)-1)),""),"")</f>
        <v/>
      </c>
      <c r="O3344" s="7" t="n">
        <f aca="false">IF(B3344="TV Show",IFERROR(VALUE(LEFT(I3344,FIND(" ",I3344)-1)),""),"")</f>
        <v>1</v>
      </c>
      <c r="P3344" s="7" t="n">
        <f aca="false">IF(K3344="","",K3344-G3344)</f>
        <v>2</v>
      </c>
    </row>
    <row r="3345" customFormat="false" ht="15" hidden="false" customHeight="false" outlineLevel="0" collapsed="false">
      <c r="A3345" s="7" t="n">
        <v>81020612</v>
      </c>
      <c r="B3345" s="7" t="s">
        <v>78</v>
      </c>
      <c r="C3345" s="7" t="s">
        <v>7050</v>
      </c>
      <c r="F3345" s="7" t="s">
        <v>7042</v>
      </c>
      <c r="G3345" s="7" t="n">
        <v>2017</v>
      </c>
      <c r="H3345" s="7" t="s">
        <v>49</v>
      </c>
      <c r="I3345" s="7" t="s">
        <v>82</v>
      </c>
      <c r="J3345" s="7" t="s">
        <v>314</v>
      </c>
      <c r="K3345" s="7" t="n">
        <f aca="false">IFERROR(VALUE(RIGHT(TRIM(F3345),4)),"")</f>
        <v>2019</v>
      </c>
      <c r="L3345" s="7" t="str">
        <f aca="false">IF(TRIM(E3345)="","Unknown",IFERROR(LEFT(TRIM(E3345),FIND(",",TRIM(E3345))-1),TRIM(E3345)))</f>
        <v>Unknown</v>
      </c>
      <c r="M3345" s="7" t="str">
        <f aca="false">IFERROR(LEFT(J3345,FIND(",",J3345)-1),J3345)</f>
        <v>International TV Shows</v>
      </c>
      <c r="N3345" s="7" t="str">
        <f aca="false">IF(B3345="Movie",IFERROR(VALUE(LEFT(I3345,FIND(" ",I3345)-1)),""),"")</f>
        <v/>
      </c>
      <c r="O3345" s="7" t="n">
        <f aca="false">IF(B3345="TV Show",IFERROR(VALUE(LEFT(I3345,FIND(" ",I3345)-1)),""),"")</f>
        <v>1</v>
      </c>
      <c r="P3345" s="7" t="n">
        <f aca="false">IF(K3345="","",K3345-G3345)</f>
        <v>2</v>
      </c>
    </row>
    <row r="3346" customFormat="false" ht="15" hidden="false" customHeight="false" outlineLevel="0" collapsed="false">
      <c r="A3346" s="7" t="n">
        <v>81038976</v>
      </c>
      <c r="B3346" s="7" t="s">
        <v>68</v>
      </c>
      <c r="C3346" s="7" t="s">
        <v>7051</v>
      </c>
      <c r="D3346" s="7" t="s">
        <v>7052</v>
      </c>
      <c r="E3346" s="7" t="s">
        <v>325</v>
      </c>
      <c r="F3346" s="7" t="s">
        <v>7042</v>
      </c>
      <c r="G3346" s="7" t="n">
        <v>2018</v>
      </c>
      <c r="H3346" s="7" t="s">
        <v>50</v>
      </c>
      <c r="I3346" s="7" t="s">
        <v>138</v>
      </c>
      <c r="J3346" s="7" t="s">
        <v>341</v>
      </c>
      <c r="K3346" s="7" t="n">
        <f aca="false">IFERROR(VALUE(RIGHT(TRIM(F3346),4)),"")</f>
        <v>2019</v>
      </c>
      <c r="L3346" s="7" t="str">
        <f aca="false">IF(TRIM(E3346)="","Unknown",IFERROR(LEFT(TRIM(E3346),FIND(",",TRIM(E3346))-1),TRIM(E3346)))</f>
        <v>Brazil</v>
      </c>
      <c r="M3346" s="7" t="str">
        <f aca="false">IFERROR(LEFT(J3346,FIND(",",J3346)-1),J3346)</f>
        <v>Documentaries</v>
      </c>
      <c r="N3346" s="7" t="n">
        <f aca="false">IF(B3346="Movie",IFERROR(VALUE(LEFT(I3346,FIND(" ",I3346)-1)),""),"")</f>
        <v>96</v>
      </c>
      <c r="O3346" s="7" t="str">
        <f aca="false">IF(B3346="TV Show",IFERROR(VALUE(LEFT(I3346,FIND(" ",I3346)-1)),""),"")</f>
        <v/>
      </c>
      <c r="P3346" s="7" t="n">
        <f aca="false">IF(K3346="","",K3346-G3346)</f>
        <v>1</v>
      </c>
    </row>
    <row r="3347" customFormat="false" ht="15" hidden="false" customHeight="false" outlineLevel="0" collapsed="false">
      <c r="A3347" s="7" t="n">
        <v>80988257</v>
      </c>
      <c r="B3347" s="7" t="s">
        <v>68</v>
      </c>
      <c r="C3347" s="7" t="s">
        <v>7053</v>
      </c>
      <c r="D3347" s="7" t="s">
        <v>1796</v>
      </c>
      <c r="E3347" s="7" t="s">
        <v>34</v>
      </c>
      <c r="F3347" s="7" t="s">
        <v>7042</v>
      </c>
      <c r="G3347" s="7" t="n">
        <v>2019</v>
      </c>
      <c r="H3347" s="7" t="s">
        <v>48</v>
      </c>
      <c r="I3347" s="7" t="s">
        <v>73</v>
      </c>
      <c r="J3347" s="7" t="s">
        <v>341</v>
      </c>
      <c r="K3347" s="7" t="n">
        <f aca="false">IFERROR(VALUE(RIGHT(TRIM(F3347),4)),"")</f>
        <v>2019</v>
      </c>
      <c r="L3347" s="7" t="str">
        <f aca="false">IF(TRIM(E3347)="","Unknown",IFERROR(LEFT(TRIM(E3347),FIND(",",TRIM(E3347))-1),TRIM(E3347)))</f>
        <v>Mexico</v>
      </c>
      <c r="M3347" s="7" t="str">
        <f aca="false">IFERROR(LEFT(J3347,FIND(",",J3347)-1),J3347)</f>
        <v>Documentaries</v>
      </c>
      <c r="N3347" s="7" t="n">
        <f aca="false">IF(B3347="Movie",IFERROR(VALUE(LEFT(I3347,FIND(" ",I3347)-1)),""),"")</f>
        <v>90</v>
      </c>
      <c r="O3347" s="7" t="str">
        <f aca="false">IF(B3347="TV Show",IFERROR(VALUE(LEFT(I3347,FIND(" ",I3347)-1)),""),"")</f>
        <v/>
      </c>
      <c r="P3347" s="7" t="n">
        <f aca="false">IF(K3347="","",K3347-G3347)</f>
        <v>0</v>
      </c>
    </row>
    <row r="3348" customFormat="false" ht="15" hidden="false" customHeight="false" outlineLevel="0" collapsed="false">
      <c r="A3348" s="7" t="n">
        <v>81023713</v>
      </c>
      <c r="B3348" s="7" t="s">
        <v>68</v>
      </c>
      <c r="C3348" s="7" t="s">
        <v>7054</v>
      </c>
      <c r="D3348" s="7" t="s">
        <v>7055</v>
      </c>
      <c r="E3348" s="7" t="s">
        <v>27</v>
      </c>
      <c r="F3348" s="7" t="s">
        <v>7042</v>
      </c>
      <c r="G3348" s="7" t="n">
        <v>2018</v>
      </c>
      <c r="H3348" s="7" t="s">
        <v>48</v>
      </c>
      <c r="I3348" s="7" t="s">
        <v>451</v>
      </c>
      <c r="J3348" s="7" t="s">
        <v>188</v>
      </c>
      <c r="K3348" s="7" t="n">
        <f aca="false">IFERROR(VALUE(RIGHT(TRIM(F3348),4)),"")</f>
        <v>2019</v>
      </c>
      <c r="L3348" s="7" t="str">
        <f aca="false">IF(TRIM(E3348)="","Unknown",IFERROR(LEFT(TRIM(E3348),FIND(",",TRIM(E3348))-1),TRIM(E3348)))</f>
        <v>India</v>
      </c>
      <c r="M3348" s="7" t="str">
        <f aca="false">IFERROR(LEFT(J3348,FIND(",",J3348)-1),J3348)</f>
        <v>Dramas</v>
      </c>
      <c r="N3348" s="7" t="n">
        <f aca="false">IF(B3348="Movie",IFERROR(VALUE(LEFT(I3348,FIND(" ",I3348)-1)),""),"")</f>
        <v>97</v>
      </c>
      <c r="O3348" s="7" t="str">
        <f aca="false">IF(B3348="TV Show",IFERROR(VALUE(LEFT(I3348,FIND(" ",I3348)-1)),""),"")</f>
        <v/>
      </c>
      <c r="P3348" s="7" t="n">
        <f aca="false">IF(K3348="","",K3348-G3348)</f>
        <v>1</v>
      </c>
    </row>
    <row r="3349" customFormat="false" ht="15" hidden="false" customHeight="false" outlineLevel="0" collapsed="false">
      <c r="A3349" s="7" t="n">
        <v>81038583</v>
      </c>
      <c r="B3349" s="7" t="s">
        <v>78</v>
      </c>
      <c r="C3349" s="7" t="s">
        <v>7056</v>
      </c>
      <c r="F3349" s="7" t="s">
        <v>7042</v>
      </c>
      <c r="G3349" s="7" t="n">
        <v>2018</v>
      </c>
      <c r="H3349" s="7" t="s">
        <v>50</v>
      </c>
      <c r="I3349" s="7" t="s">
        <v>82</v>
      </c>
      <c r="J3349" s="7" t="s">
        <v>773</v>
      </c>
      <c r="K3349" s="7" t="n">
        <f aca="false">IFERROR(VALUE(RIGHT(TRIM(F3349),4)),"")</f>
        <v>2019</v>
      </c>
      <c r="L3349" s="7" t="str">
        <f aca="false">IF(TRIM(E3349)="","Unknown",IFERROR(LEFT(TRIM(E3349),FIND(",",TRIM(E3349))-1),TRIM(E3349)))</f>
        <v>Unknown</v>
      </c>
      <c r="M3349" s="7" t="str">
        <f aca="false">IFERROR(LEFT(J3349,FIND(",",J3349)-1),J3349)</f>
        <v>Docuseries</v>
      </c>
      <c r="N3349" s="7" t="str">
        <f aca="false">IF(B3349="Movie",IFERROR(VALUE(LEFT(I3349,FIND(" ",I3349)-1)),""),"")</f>
        <v/>
      </c>
      <c r="O3349" s="7" t="n">
        <f aca="false">IF(B3349="TV Show",IFERROR(VALUE(LEFT(I3349,FIND(" ",I3349)-1)),""),"")</f>
        <v>1</v>
      </c>
      <c r="P3349" s="7" t="n">
        <f aca="false">IF(K3349="","",K3349-G3349)</f>
        <v>1</v>
      </c>
    </row>
    <row r="3350" customFormat="false" ht="15" hidden="false" customHeight="false" outlineLevel="0" collapsed="false">
      <c r="A3350" s="7" t="n">
        <v>80144442</v>
      </c>
      <c r="B3350" s="7" t="s">
        <v>78</v>
      </c>
      <c r="C3350" s="7" t="s">
        <v>7057</v>
      </c>
      <c r="F3350" s="7" t="s">
        <v>7042</v>
      </c>
      <c r="G3350" s="7" t="n">
        <v>2019</v>
      </c>
      <c r="H3350" s="7" t="s">
        <v>48</v>
      </c>
      <c r="I3350" s="7" t="s">
        <v>82</v>
      </c>
      <c r="J3350" s="7" t="s">
        <v>164</v>
      </c>
      <c r="K3350" s="7" t="n">
        <f aca="false">IFERROR(VALUE(RIGHT(TRIM(F3350),4)),"")</f>
        <v>2019</v>
      </c>
      <c r="L3350" s="7" t="str">
        <f aca="false">IF(TRIM(E3350)="","Unknown",IFERROR(LEFT(TRIM(E3350),FIND(",",TRIM(E3350))-1),TRIM(E3350)))</f>
        <v>Unknown</v>
      </c>
      <c r="M3350" s="7" t="str">
        <f aca="false">IFERROR(LEFT(J3350,FIND(",",J3350)-1),J3350)</f>
        <v>Docuseries</v>
      </c>
      <c r="N3350" s="7" t="str">
        <f aca="false">IF(B3350="Movie",IFERROR(VALUE(LEFT(I3350,FIND(" ",I3350)-1)),""),"")</f>
        <v/>
      </c>
      <c r="O3350" s="7" t="n">
        <f aca="false">IF(B3350="TV Show",IFERROR(VALUE(LEFT(I3350,FIND(" ",I3350)-1)),""),"")</f>
        <v>1</v>
      </c>
      <c r="P3350" s="7" t="n">
        <f aca="false">IF(K3350="","",K3350-G3350)</f>
        <v>0</v>
      </c>
    </row>
    <row r="3351" customFormat="false" ht="15" hidden="false" customHeight="false" outlineLevel="0" collapsed="false">
      <c r="A3351" s="7" t="n">
        <v>80174219</v>
      </c>
      <c r="B3351" s="7" t="s">
        <v>68</v>
      </c>
      <c r="C3351" s="7" t="s">
        <v>7058</v>
      </c>
      <c r="D3351" s="7" t="s">
        <v>7059</v>
      </c>
      <c r="E3351" s="7" t="s">
        <v>28</v>
      </c>
      <c r="F3351" s="7" t="s">
        <v>7060</v>
      </c>
      <c r="G3351" s="7" t="n">
        <v>2017</v>
      </c>
      <c r="H3351" s="7" t="s">
        <v>48</v>
      </c>
      <c r="I3351" s="7" t="s">
        <v>87</v>
      </c>
      <c r="J3351" s="7" t="s">
        <v>513</v>
      </c>
      <c r="K3351" s="7" t="n">
        <f aca="false">IFERROR(VALUE(RIGHT(TRIM(F3351),4)),"")</f>
        <v>2018</v>
      </c>
      <c r="L3351" s="7" t="str">
        <f aca="false">IF(TRIM(E3351)="","Unknown",IFERROR(LEFT(TRIM(E3351),FIND(",",TRIM(E3351))-1),TRIM(E3351)))</f>
        <v>United Kingdom</v>
      </c>
      <c r="M3351" s="7" t="str">
        <f aca="false">IFERROR(LEFT(J3351,FIND(",",J3351)-1),J3351)</f>
        <v>Independent Movies</v>
      </c>
      <c r="N3351" s="7" t="n">
        <f aca="false">IF(B3351="Movie",IFERROR(VALUE(LEFT(I3351,FIND(" ",I3351)-1)),""),"")</f>
        <v>99</v>
      </c>
      <c r="O3351" s="7" t="str">
        <f aca="false">IF(B3351="TV Show",IFERROR(VALUE(LEFT(I3351,FIND(" ",I3351)-1)),""),"")</f>
        <v/>
      </c>
      <c r="P3351" s="7" t="n">
        <f aca="false">IF(K3351="","",K3351-G3351)</f>
        <v>1</v>
      </c>
    </row>
    <row r="3352" customFormat="false" ht="15" hidden="false" customHeight="false" outlineLevel="0" collapsed="false">
      <c r="A3352" s="7" t="n">
        <v>80215322</v>
      </c>
      <c r="B3352" s="7" t="s">
        <v>78</v>
      </c>
      <c r="C3352" s="7" t="s">
        <v>7061</v>
      </c>
      <c r="E3352" s="7" t="s">
        <v>33</v>
      </c>
      <c r="F3352" s="7" t="s">
        <v>7060</v>
      </c>
      <c r="G3352" s="7" t="n">
        <v>2017</v>
      </c>
      <c r="H3352" s="7" t="s">
        <v>48</v>
      </c>
      <c r="I3352" s="7" t="s">
        <v>82</v>
      </c>
      <c r="J3352" s="7" t="s">
        <v>2521</v>
      </c>
      <c r="K3352" s="7" t="n">
        <f aca="false">IFERROR(VALUE(RIGHT(TRIM(F3352),4)),"")</f>
        <v>2018</v>
      </c>
      <c r="L3352" s="7" t="str">
        <f aca="false">IF(TRIM(E3352)="","Unknown",IFERROR(LEFT(TRIM(E3352),FIND(",",TRIM(E3352))-1),TRIM(E3352)))</f>
        <v>Spain</v>
      </c>
      <c r="M3352" s="7" t="str">
        <f aca="false">IFERROR(LEFT(J3352,FIND(",",J3352)-1),J3352)</f>
        <v>International TV Shows</v>
      </c>
      <c r="N3352" s="7" t="str">
        <f aca="false">IF(B3352="Movie",IFERROR(VALUE(LEFT(I3352,FIND(" ",I3352)-1)),""),"")</f>
        <v/>
      </c>
      <c r="O3352" s="7" t="n">
        <f aca="false">IF(B3352="TV Show",IFERROR(VALUE(LEFT(I3352,FIND(" ",I3352)-1)),""),"")</f>
        <v>1</v>
      </c>
      <c r="P3352" s="7" t="n">
        <f aca="false">IF(K3352="","",K3352-G3352)</f>
        <v>1</v>
      </c>
    </row>
    <row r="3353" customFormat="false" ht="15" hidden="false" customHeight="false" outlineLevel="0" collapsed="false">
      <c r="A3353" s="7" t="n">
        <v>80133139</v>
      </c>
      <c r="B3353" s="7" t="s">
        <v>68</v>
      </c>
      <c r="C3353" s="7" t="s">
        <v>7062</v>
      </c>
      <c r="D3353" s="7" t="s">
        <v>7063</v>
      </c>
      <c r="E3353" s="7" t="s">
        <v>26</v>
      </c>
      <c r="F3353" s="7" t="s">
        <v>7064</v>
      </c>
      <c r="G3353" s="7" t="n">
        <v>2016</v>
      </c>
      <c r="H3353" s="7" t="s">
        <v>49</v>
      </c>
      <c r="I3353" s="7" t="s">
        <v>272</v>
      </c>
      <c r="J3353" s="7" t="s">
        <v>39</v>
      </c>
      <c r="K3353" s="7" t="n">
        <f aca="false">IFERROR(VALUE(RIGHT(TRIM(F3353),4)),"")</f>
        <v>2017</v>
      </c>
      <c r="L3353" s="7" t="str">
        <f aca="false">IF(TRIM(E3353)="","Unknown",IFERROR(LEFT(TRIM(E3353),FIND(",",TRIM(E3353))-1),TRIM(E3353)))</f>
        <v>United States</v>
      </c>
      <c r="M3353" s="7" t="str">
        <f aca="false">IFERROR(LEFT(J3353,FIND(",",J3353)-1),J3353)</f>
        <v>Documentaries</v>
      </c>
      <c r="N3353" s="7" t="n">
        <f aca="false">IF(B3353="Movie",IFERROR(VALUE(LEFT(I3353,FIND(" ",I3353)-1)),""),"")</f>
        <v>93</v>
      </c>
      <c r="O3353" s="7" t="str">
        <f aca="false">IF(B3353="TV Show",IFERROR(VALUE(LEFT(I3353,FIND(" ",I3353)-1)),""),"")</f>
        <v/>
      </c>
      <c r="P3353" s="7" t="n">
        <f aca="false">IF(K3353="","",K3353-G3353)</f>
        <v>1</v>
      </c>
    </row>
    <row r="3354" customFormat="false" ht="15" hidden="false" customHeight="false" outlineLevel="0" collapsed="false">
      <c r="A3354" s="7" t="n">
        <v>81127902</v>
      </c>
      <c r="B3354" s="7" t="s">
        <v>68</v>
      </c>
      <c r="C3354" s="7" t="s">
        <v>7065</v>
      </c>
      <c r="D3354" s="7" t="s">
        <v>7066</v>
      </c>
      <c r="F3354" s="7" t="s">
        <v>7067</v>
      </c>
      <c r="G3354" s="7" t="n">
        <v>2020</v>
      </c>
      <c r="H3354" s="7" t="s">
        <v>48</v>
      </c>
      <c r="I3354" s="7" t="s">
        <v>505</v>
      </c>
      <c r="J3354" s="7" t="s">
        <v>597</v>
      </c>
      <c r="K3354" s="7" t="n">
        <f aca="false">IFERROR(VALUE(RIGHT(TRIM(F3354),4)),"")</f>
        <v>2020</v>
      </c>
      <c r="L3354" s="7" t="str">
        <f aca="false">IF(TRIM(E3354)="","Unknown",IFERROR(LEFT(TRIM(E3354),FIND(",",TRIM(E3354))-1),TRIM(E3354)))</f>
        <v>Unknown</v>
      </c>
      <c r="M3354" s="7" t="str">
        <f aca="false">IFERROR(LEFT(J3354,FIND(",",J3354)-1),J3354)</f>
        <v>Dramas</v>
      </c>
      <c r="N3354" s="7" t="n">
        <f aca="false">IF(B3354="Movie",IFERROR(VALUE(LEFT(I3354,FIND(" ",I3354)-1)),""),"")</f>
        <v>121</v>
      </c>
      <c r="O3354" s="7" t="str">
        <f aca="false">IF(B3354="TV Show",IFERROR(VALUE(LEFT(I3354,FIND(" ",I3354)-1)),""),"")</f>
        <v/>
      </c>
      <c r="P3354" s="7" t="n">
        <f aca="false">IF(K3354="","",K3354-G3354)</f>
        <v>0</v>
      </c>
    </row>
    <row r="3355" customFormat="false" ht="15" hidden="false" customHeight="false" outlineLevel="0" collapsed="false">
      <c r="A3355" s="7" t="n">
        <v>80995039</v>
      </c>
      <c r="B3355" s="7" t="s">
        <v>78</v>
      </c>
      <c r="C3355" s="7" t="s">
        <v>7068</v>
      </c>
      <c r="F3355" s="7" t="s">
        <v>7067</v>
      </c>
      <c r="G3355" s="7" t="n">
        <v>2020</v>
      </c>
      <c r="H3355" s="7" t="s">
        <v>48</v>
      </c>
      <c r="I3355" s="7" t="s">
        <v>82</v>
      </c>
      <c r="J3355" s="7" t="s">
        <v>822</v>
      </c>
      <c r="K3355" s="7" t="n">
        <f aca="false">IFERROR(VALUE(RIGHT(TRIM(F3355),4)),"")</f>
        <v>2020</v>
      </c>
      <c r="L3355" s="7" t="str">
        <f aca="false">IF(TRIM(E3355)="","Unknown",IFERROR(LEFT(TRIM(E3355),FIND(",",TRIM(E3355))-1),TRIM(E3355)))</f>
        <v>Unknown</v>
      </c>
      <c r="M3355" s="7" t="str">
        <f aca="false">IFERROR(LEFT(J3355,FIND(",",J3355)-1),J3355)</f>
        <v>International TV Shows</v>
      </c>
      <c r="N3355" s="7" t="str">
        <f aca="false">IF(B3355="Movie",IFERROR(VALUE(LEFT(I3355,FIND(" ",I3355)-1)),""),"")</f>
        <v/>
      </c>
      <c r="O3355" s="7" t="n">
        <f aca="false">IF(B3355="TV Show",IFERROR(VALUE(LEFT(I3355,FIND(" ",I3355)-1)),""),"")</f>
        <v>1</v>
      </c>
      <c r="P3355" s="7" t="n">
        <f aca="false">IF(K3355="","",K3355-G3355)</f>
        <v>0</v>
      </c>
    </row>
    <row r="3356" customFormat="false" ht="15" hidden="false" customHeight="false" outlineLevel="0" collapsed="false">
      <c r="A3356" s="7" t="n">
        <v>81062580</v>
      </c>
      <c r="B3356" s="7" t="s">
        <v>78</v>
      </c>
      <c r="C3356" s="7" t="s">
        <v>7069</v>
      </c>
      <c r="F3356" s="7" t="s">
        <v>7067</v>
      </c>
      <c r="G3356" s="7" t="n">
        <v>2020</v>
      </c>
      <c r="H3356" s="7" t="s">
        <v>49</v>
      </c>
      <c r="I3356" s="7" t="s">
        <v>82</v>
      </c>
      <c r="J3356" s="7" t="s">
        <v>884</v>
      </c>
      <c r="K3356" s="7" t="n">
        <f aca="false">IFERROR(VALUE(RIGHT(TRIM(F3356),4)),"")</f>
        <v>2020</v>
      </c>
      <c r="L3356" s="7" t="str">
        <f aca="false">IF(TRIM(E3356)="","Unknown",IFERROR(LEFT(TRIM(E3356),FIND(",",TRIM(E3356))-1),TRIM(E3356)))</f>
        <v>Unknown</v>
      </c>
      <c r="M3356" s="7" t="str">
        <f aca="false">IFERROR(LEFT(J3356,FIND(",",J3356)-1),J3356)</f>
        <v>International TV Shows</v>
      </c>
      <c r="N3356" s="7" t="str">
        <f aca="false">IF(B3356="Movie",IFERROR(VALUE(LEFT(I3356,FIND(" ",I3356)-1)),""),"")</f>
        <v/>
      </c>
      <c r="O3356" s="7" t="n">
        <f aca="false">IF(B3356="TV Show",IFERROR(VALUE(LEFT(I3356,FIND(" ",I3356)-1)),""),"")</f>
        <v>1</v>
      </c>
      <c r="P3356" s="7" t="n">
        <f aca="false">IF(K3356="","",K3356-G3356)</f>
        <v>0</v>
      </c>
    </row>
    <row r="3357" customFormat="false" ht="15" hidden="false" customHeight="false" outlineLevel="0" collapsed="false">
      <c r="A3357" s="7" t="n">
        <v>80191988</v>
      </c>
      <c r="B3357" s="7" t="s">
        <v>68</v>
      </c>
      <c r="C3357" s="7" t="s">
        <v>7070</v>
      </c>
      <c r="D3357" s="7" t="s">
        <v>3118</v>
      </c>
      <c r="E3357" s="7" t="s">
        <v>1397</v>
      </c>
      <c r="F3357" s="7" t="s">
        <v>7071</v>
      </c>
      <c r="G3357" s="7" t="n">
        <v>2018</v>
      </c>
      <c r="H3357" s="7" t="s">
        <v>48</v>
      </c>
      <c r="I3357" s="7" t="s">
        <v>117</v>
      </c>
      <c r="J3357" s="7" t="s">
        <v>45</v>
      </c>
      <c r="K3357" s="7" t="n">
        <f aca="false">IFERROR(VALUE(RIGHT(TRIM(F3357),4)),"")</f>
        <v>2018</v>
      </c>
      <c r="L3357" s="7" t="str">
        <f aca="false">IF(TRIM(E3357)="","Unknown",IFERROR(LEFT(TRIM(E3357),FIND(",",TRIM(E3357))-1),TRIM(E3357)))</f>
        <v>Colombia</v>
      </c>
      <c r="M3357" s="7" t="str">
        <f aca="false">IFERROR(LEFT(J3357,FIND(",",J3357)-1),J3357)</f>
        <v>Stand-Up Comedy</v>
      </c>
      <c r="N3357" s="7" t="n">
        <f aca="false">IF(B3357="Movie",IFERROR(VALUE(LEFT(I3357,FIND(" ",I3357)-1)),""),"")</f>
        <v>62</v>
      </c>
      <c r="O3357" s="7" t="str">
        <f aca="false">IF(B3357="TV Show",IFERROR(VALUE(LEFT(I3357,FIND(" ",I3357)-1)),""),"")</f>
        <v/>
      </c>
      <c r="P3357" s="7" t="n">
        <f aca="false">IF(K3357="","",K3357-G3357)</f>
        <v>0</v>
      </c>
    </row>
    <row r="3358" customFormat="false" ht="15" hidden="false" customHeight="false" outlineLevel="0" collapsed="false">
      <c r="A3358" s="7" t="n">
        <v>80180373</v>
      </c>
      <c r="B3358" s="7" t="s">
        <v>78</v>
      </c>
      <c r="C3358" s="7" t="s">
        <v>7072</v>
      </c>
      <c r="D3358" s="7" t="s">
        <v>6268</v>
      </c>
      <c r="E3358" s="7" t="s">
        <v>30</v>
      </c>
      <c r="F3358" s="7" t="s">
        <v>7071</v>
      </c>
      <c r="G3358" s="7" t="n">
        <v>2017</v>
      </c>
      <c r="H3358" s="7" t="s">
        <v>49</v>
      </c>
      <c r="I3358" s="7" t="s">
        <v>82</v>
      </c>
      <c r="J3358" s="7" t="s">
        <v>2695</v>
      </c>
      <c r="K3358" s="7" t="n">
        <f aca="false">IFERROR(VALUE(RIGHT(TRIM(F3358),4)),"")</f>
        <v>2018</v>
      </c>
      <c r="L3358" s="7" t="str">
        <f aca="false">IF(TRIM(E3358)="","Unknown",IFERROR(LEFT(TRIM(E3358),FIND(",",TRIM(E3358))-1),TRIM(E3358)))</f>
        <v>Japan</v>
      </c>
      <c r="M3358" s="7" t="str">
        <f aca="false">IFERROR(LEFT(J3358,FIND(",",J3358)-1),J3358)</f>
        <v>TV Shows</v>
      </c>
      <c r="N3358" s="7" t="str">
        <f aca="false">IF(B3358="Movie",IFERROR(VALUE(LEFT(I3358,FIND(" ",I3358)-1)),""),"")</f>
        <v/>
      </c>
      <c r="O3358" s="7" t="n">
        <f aca="false">IF(B3358="TV Show",IFERROR(VALUE(LEFT(I3358,FIND(" ",I3358)-1)),""),"")</f>
        <v>1</v>
      </c>
      <c r="P3358" s="7" t="n">
        <f aca="false">IF(K3358="","",K3358-G3358)</f>
        <v>1</v>
      </c>
    </row>
    <row r="3359" customFormat="false" ht="15" hidden="false" customHeight="false" outlineLevel="0" collapsed="false">
      <c r="A3359" s="7" t="n">
        <v>80117452</v>
      </c>
      <c r="B3359" s="7" t="s">
        <v>68</v>
      </c>
      <c r="C3359" s="7" t="s">
        <v>7073</v>
      </c>
      <c r="D3359" s="7" t="s">
        <v>2484</v>
      </c>
      <c r="E3359" s="7" t="s">
        <v>26</v>
      </c>
      <c r="F3359" s="7" t="s">
        <v>7074</v>
      </c>
      <c r="G3359" s="7" t="n">
        <v>2017</v>
      </c>
      <c r="H3359" s="7" t="s">
        <v>48</v>
      </c>
      <c r="I3359" s="7" t="s">
        <v>1317</v>
      </c>
      <c r="J3359" s="7" t="s">
        <v>45</v>
      </c>
      <c r="K3359" s="7" t="n">
        <f aca="false">IFERROR(VALUE(RIGHT(TRIM(F3359),4)),"")</f>
        <v>2017</v>
      </c>
      <c r="L3359" s="7" t="str">
        <f aca="false">IF(TRIM(E3359)="","Unknown",IFERROR(LEFT(TRIM(E3359),FIND(",",TRIM(E3359))-1),TRIM(E3359)))</f>
        <v>United States</v>
      </c>
      <c r="M3359" s="7" t="str">
        <f aca="false">IFERROR(LEFT(J3359,FIND(",",J3359)-1),J3359)</f>
        <v>Stand-Up Comedy</v>
      </c>
      <c r="N3359" s="7" t="n">
        <f aca="false">IF(B3359="Movie",IFERROR(VALUE(LEFT(I3359,FIND(" ",I3359)-1)),""),"")</f>
        <v>66</v>
      </c>
      <c r="O3359" s="7" t="str">
        <f aca="false">IF(B3359="TV Show",IFERROR(VALUE(LEFT(I3359,FIND(" ",I3359)-1)),""),"")</f>
        <v/>
      </c>
      <c r="P3359" s="7" t="n">
        <f aca="false">IF(K3359="","",K3359-G3359)</f>
        <v>0</v>
      </c>
    </row>
    <row r="3360" customFormat="false" ht="15" hidden="false" customHeight="false" outlineLevel="0" collapsed="false">
      <c r="A3360" s="7" t="n">
        <v>80152003</v>
      </c>
      <c r="B3360" s="7" t="s">
        <v>68</v>
      </c>
      <c r="C3360" s="7" t="s">
        <v>7075</v>
      </c>
      <c r="D3360" s="7" t="s">
        <v>7076</v>
      </c>
      <c r="E3360" s="7" t="s">
        <v>26</v>
      </c>
      <c r="F3360" s="7" t="s">
        <v>7074</v>
      </c>
      <c r="G3360" s="7" t="n">
        <v>2017</v>
      </c>
      <c r="H3360" s="7" t="s">
        <v>51</v>
      </c>
      <c r="I3360" s="7" t="s">
        <v>272</v>
      </c>
      <c r="J3360" s="7" t="s">
        <v>276</v>
      </c>
      <c r="K3360" s="7" t="n">
        <f aca="false">IFERROR(VALUE(RIGHT(TRIM(F3360),4)),"")</f>
        <v>2017</v>
      </c>
      <c r="L3360" s="7" t="str">
        <f aca="false">IF(TRIM(E3360)="","Unknown",IFERROR(LEFT(TRIM(E3360),FIND(",",TRIM(E3360))-1),TRIM(E3360)))</f>
        <v>United States</v>
      </c>
      <c r="M3360" s="7" t="str">
        <f aca="false">IFERROR(LEFT(J3360,FIND(",",J3360)-1),J3360)</f>
        <v>Action &amp; Adventure</v>
      </c>
      <c r="N3360" s="7" t="n">
        <f aca="false">IF(B3360="Movie",IFERROR(VALUE(LEFT(I3360,FIND(" ",I3360)-1)),""),"")</f>
        <v>93</v>
      </c>
      <c r="O3360" s="7" t="str">
        <f aca="false">IF(B3360="TV Show",IFERROR(VALUE(LEFT(I3360,FIND(" ",I3360)-1)),""),"")</f>
        <v/>
      </c>
      <c r="P3360" s="7" t="n">
        <f aca="false">IF(K3360="","",K3360-G3360)</f>
        <v>0</v>
      </c>
    </row>
    <row r="3361" customFormat="false" ht="15" hidden="false" customHeight="false" outlineLevel="0" collapsed="false">
      <c r="A3361" s="7" t="n">
        <v>80126875</v>
      </c>
      <c r="B3361" s="7" t="s">
        <v>78</v>
      </c>
      <c r="C3361" s="7" t="s">
        <v>7077</v>
      </c>
      <c r="E3361" s="7" t="s">
        <v>396</v>
      </c>
      <c r="F3361" s="7" t="s">
        <v>7074</v>
      </c>
      <c r="G3361" s="7" t="n">
        <v>2013</v>
      </c>
      <c r="H3361" s="7" t="s">
        <v>49</v>
      </c>
      <c r="I3361" s="7" t="s">
        <v>82</v>
      </c>
      <c r="J3361" s="7" t="s">
        <v>402</v>
      </c>
      <c r="K3361" s="7" t="n">
        <f aca="false">IFERROR(VALUE(RIGHT(TRIM(F3361),4)),"")</f>
        <v>2017</v>
      </c>
      <c r="L3361" s="7" t="str">
        <f aca="false">IF(TRIM(E3361)="","Unknown",IFERROR(LEFT(TRIM(E3361),FIND(",",TRIM(E3361))-1),TRIM(E3361)))</f>
        <v>Turkey</v>
      </c>
      <c r="M3361" s="7" t="str">
        <f aca="false">IFERROR(LEFT(J3361,FIND(",",J3361)-1),J3361)</f>
        <v>Crime TV Shows</v>
      </c>
      <c r="N3361" s="7" t="str">
        <f aca="false">IF(B3361="Movie",IFERROR(VALUE(LEFT(I3361,FIND(" ",I3361)-1)),""),"")</f>
        <v/>
      </c>
      <c r="O3361" s="7" t="n">
        <f aca="false">IF(B3361="TV Show",IFERROR(VALUE(LEFT(I3361,FIND(" ",I3361)-1)),""),"")</f>
        <v>1</v>
      </c>
      <c r="P3361" s="7" t="n">
        <f aca="false">IF(K3361="","",K3361-G3361)</f>
        <v>4</v>
      </c>
    </row>
    <row r="3362" customFormat="false" ht="15" hidden="false" customHeight="false" outlineLevel="0" collapsed="false">
      <c r="A3362" s="7" t="n">
        <v>70268449</v>
      </c>
      <c r="B3362" s="7" t="s">
        <v>68</v>
      </c>
      <c r="C3362" s="7" t="s">
        <v>7078</v>
      </c>
      <c r="D3362" s="7" t="s">
        <v>7079</v>
      </c>
      <c r="E3362" s="7" t="s">
        <v>7080</v>
      </c>
      <c r="F3362" s="7" t="s">
        <v>7081</v>
      </c>
      <c r="G3362" s="7" t="n">
        <v>2013</v>
      </c>
      <c r="H3362" s="7" t="s">
        <v>48</v>
      </c>
      <c r="I3362" s="7" t="s">
        <v>820</v>
      </c>
      <c r="J3362" s="7" t="s">
        <v>341</v>
      </c>
      <c r="K3362" s="7" t="n">
        <f aca="false">IFERROR(VALUE(RIGHT(TRIM(F3362),4)),"")</f>
        <v>2014</v>
      </c>
      <c r="L3362" s="7" t="str">
        <f aca="false">IF(TRIM(E3362)="","Unknown",IFERROR(LEFT(TRIM(E3362),FIND(",",TRIM(E3362))-1),TRIM(E3362)))</f>
        <v>United Kingdom</v>
      </c>
      <c r="M3362" s="7" t="str">
        <f aca="false">IFERROR(LEFT(J3362,FIND(",",J3362)-1),J3362)</f>
        <v>Documentaries</v>
      </c>
      <c r="N3362" s="7" t="n">
        <f aca="false">IF(B3362="Movie",IFERROR(VALUE(LEFT(I3362,FIND(" ",I3362)-1)),""),"")</f>
        <v>105</v>
      </c>
      <c r="O3362" s="7" t="str">
        <f aca="false">IF(B3362="TV Show",IFERROR(VALUE(LEFT(I3362,FIND(" ",I3362)-1)),""),"")</f>
        <v/>
      </c>
      <c r="P3362" s="7" t="n">
        <f aca="false">IF(K3362="","",K3362-G3362)</f>
        <v>1</v>
      </c>
    </row>
    <row r="3363" customFormat="false" ht="15" hidden="false" customHeight="false" outlineLevel="0" collapsed="false">
      <c r="A3363" s="7" t="n">
        <v>81147285</v>
      </c>
      <c r="B3363" s="7" t="s">
        <v>68</v>
      </c>
      <c r="C3363" s="7" t="s">
        <v>7082</v>
      </c>
      <c r="D3363" s="7" t="s">
        <v>7083</v>
      </c>
      <c r="E3363" s="7" t="s">
        <v>26</v>
      </c>
      <c r="F3363" s="7" t="s">
        <v>7084</v>
      </c>
      <c r="G3363" s="7" t="n">
        <v>2019</v>
      </c>
      <c r="H3363" s="7" t="s">
        <v>48</v>
      </c>
      <c r="I3363" s="7" t="s">
        <v>107</v>
      </c>
      <c r="J3363" s="7" t="s">
        <v>265</v>
      </c>
      <c r="K3363" s="7" t="n">
        <f aca="false">IFERROR(VALUE(RIGHT(TRIM(F3363),4)),"")</f>
        <v>2020</v>
      </c>
      <c r="L3363" s="7" t="str">
        <f aca="false">IF(TRIM(E3363)="","Unknown",IFERROR(LEFT(TRIM(E3363),FIND(",",TRIM(E3363))-1),TRIM(E3363)))</f>
        <v>United States</v>
      </c>
      <c r="M3363" s="7" t="str">
        <f aca="false">IFERROR(LEFT(J3363,FIND(",",J3363)-1),J3363)</f>
        <v>Horror Movies</v>
      </c>
      <c r="N3363" s="7" t="n">
        <f aca="false">IF(B3363="Movie",IFERROR(VALUE(LEFT(I3363,FIND(" ",I3363)-1)),""),"")</f>
        <v>78</v>
      </c>
      <c r="O3363" s="7" t="str">
        <f aca="false">IF(B3363="TV Show",IFERROR(VALUE(LEFT(I3363,FIND(" ",I3363)-1)),""),"")</f>
        <v/>
      </c>
      <c r="P3363" s="7" t="n">
        <f aca="false">IF(K3363="","",K3363-G3363)</f>
        <v>1</v>
      </c>
    </row>
    <row r="3364" customFormat="false" ht="15" hidden="false" customHeight="false" outlineLevel="0" collapsed="false">
      <c r="A3364" s="7" t="n">
        <v>70120142</v>
      </c>
      <c r="B3364" s="7" t="s">
        <v>68</v>
      </c>
      <c r="C3364" s="7" t="s">
        <v>7085</v>
      </c>
      <c r="D3364" s="7" t="s">
        <v>7086</v>
      </c>
      <c r="E3364" s="7" t="s">
        <v>26</v>
      </c>
      <c r="F3364" s="7" t="s">
        <v>7084</v>
      </c>
      <c r="G3364" s="7" t="n">
        <v>2010</v>
      </c>
      <c r="H3364" s="7" t="s">
        <v>51</v>
      </c>
      <c r="I3364" s="7" t="s">
        <v>790</v>
      </c>
      <c r="J3364" s="7" t="s">
        <v>1589</v>
      </c>
      <c r="K3364" s="7" t="n">
        <f aca="false">IFERROR(VALUE(RIGHT(TRIM(F3364),4)),"")</f>
        <v>2020</v>
      </c>
      <c r="L3364" s="7" t="str">
        <f aca="false">IF(TRIM(E3364)="","Unknown",IFERROR(LEFT(TRIM(E3364),FIND(",",TRIM(E3364))-1),TRIM(E3364)))</f>
        <v>United States</v>
      </c>
      <c r="M3364" s="7" t="str">
        <f aca="false">IFERROR(LEFT(J3364,FIND(",",J3364)-1),J3364)</f>
        <v>Comedies</v>
      </c>
      <c r="N3364" s="7" t="n">
        <f aca="false">IF(B3364="Movie",IFERROR(VALUE(LEFT(I3364,FIND(" ",I3364)-1)),""),"")</f>
        <v>109</v>
      </c>
      <c r="O3364" s="7" t="str">
        <f aca="false">IF(B3364="TV Show",IFERROR(VALUE(LEFT(I3364,FIND(" ",I3364)-1)),""),"")</f>
        <v/>
      </c>
      <c r="P3364" s="7" t="n">
        <f aca="false">IF(K3364="","",K3364-G3364)</f>
        <v>10</v>
      </c>
    </row>
    <row r="3365" customFormat="false" ht="15" hidden="false" customHeight="false" outlineLevel="0" collapsed="false">
      <c r="A3365" s="7" t="n">
        <v>80996973</v>
      </c>
      <c r="B3365" s="7" t="s">
        <v>78</v>
      </c>
      <c r="C3365" s="7" t="s">
        <v>7087</v>
      </c>
      <c r="E3365" s="7" t="s">
        <v>366</v>
      </c>
      <c r="F3365" s="7" t="s">
        <v>7084</v>
      </c>
      <c r="G3365" s="7" t="n">
        <v>2020</v>
      </c>
      <c r="H3365" s="7" t="s">
        <v>49</v>
      </c>
      <c r="I3365" s="7" t="s">
        <v>82</v>
      </c>
      <c r="J3365" s="7" t="s">
        <v>3542</v>
      </c>
      <c r="K3365" s="7" t="n">
        <f aca="false">IFERROR(VALUE(RIGHT(TRIM(F3365),4)),"")</f>
        <v>2020</v>
      </c>
      <c r="L3365" s="7" t="str">
        <f aca="false">IF(TRIM(E3365)="","Unknown",IFERROR(LEFT(TRIM(E3365),FIND(",",TRIM(E3365))-1),TRIM(E3365)))</f>
        <v>China</v>
      </c>
      <c r="M3365" s="7" t="str">
        <f aca="false">IFERROR(LEFT(J3365,FIND(",",J3365)-1),J3365)</f>
        <v>International TV Shows</v>
      </c>
      <c r="N3365" s="7" t="str">
        <f aca="false">IF(B3365="Movie",IFERROR(VALUE(LEFT(I3365,FIND(" ",I3365)-1)),""),"")</f>
        <v/>
      </c>
      <c r="O3365" s="7" t="n">
        <f aca="false">IF(B3365="TV Show",IFERROR(VALUE(LEFT(I3365,FIND(" ",I3365)-1)),""),"")</f>
        <v>1</v>
      </c>
      <c r="P3365" s="7" t="n">
        <f aca="false">IF(K3365="","",K3365-G3365)</f>
        <v>0</v>
      </c>
    </row>
    <row r="3366" customFormat="false" ht="15" hidden="false" customHeight="false" outlineLevel="0" collapsed="false">
      <c r="A3366" s="7" t="n">
        <v>70142824</v>
      </c>
      <c r="B3366" s="7" t="s">
        <v>68</v>
      </c>
      <c r="C3366" s="7" t="s">
        <v>7088</v>
      </c>
      <c r="D3366" s="7" t="s">
        <v>7089</v>
      </c>
      <c r="E3366" s="7" t="s">
        <v>7090</v>
      </c>
      <c r="F3366" s="7" t="s">
        <v>7084</v>
      </c>
      <c r="G3366" s="7" t="n">
        <v>2011</v>
      </c>
      <c r="H3366" s="7" t="s">
        <v>54</v>
      </c>
      <c r="I3366" s="7" t="s">
        <v>111</v>
      </c>
      <c r="J3366" s="7" t="s">
        <v>74</v>
      </c>
      <c r="K3366" s="7" t="n">
        <f aca="false">IFERROR(VALUE(RIGHT(TRIM(F3366),4)),"")</f>
        <v>2020</v>
      </c>
      <c r="L3366" s="7" t="str">
        <f aca="false">IF(TRIM(E3366)="","Unknown",IFERROR(LEFT(TRIM(E3366),FIND(",",TRIM(E3366))-1),TRIM(E3366)))</f>
        <v>United States</v>
      </c>
      <c r="M3366" s="7" t="str">
        <f aca="false">IFERROR(LEFT(J3366,FIND(",",J3366)-1),J3366)</f>
        <v>Children &amp; Family Movies</v>
      </c>
      <c r="N3366" s="7" t="n">
        <f aca="false">IF(B3366="Movie",IFERROR(VALUE(LEFT(I3366,FIND(" ",I3366)-1)),""),"")</f>
        <v>95</v>
      </c>
      <c r="O3366" s="7" t="str">
        <f aca="false">IF(B3366="TV Show",IFERROR(VALUE(LEFT(I3366,FIND(" ",I3366)-1)),""),"")</f>
        <v/>
      </c>
      <c r="P3366" s="7" t="n">
        <f aca="false">IF(K3366="","",K3366-G3366)</f>
        <v>9</v>
      </c>
    </row>
    <row r="3367" customFormat="false" ht="15" hidden="false" customHeight="false" outlineLevel="0" collapsed="false">
      <c r="A3367" s="7" t="n">
        <v>81235729</v>
      </c>
      <c r="B3367" s="7" t="s">
        <v>68</v>
      </c>
      <c r="C3367" s="7" t="s">
        <v>7091</v>
      </c>
      <c r="D3367" s="7" t="s">
        <v>7092</v>
      </c>
      <c r="E3367" s="7" t="s">
        <v>26</v>
      </c>
      <c r="F3367" s="7" t="s">
        <v>7084</v>
      </c>
      <c r="G3367" s="7" t="n">
        <v>2019</v>
      </c>
      <c r="H3367" s="7" t="s">
        <v>48</v>
      </c>
      <c r="I3367" s="7" t="s">
        <v>212</v>
      </c>
      <c r="J3367" s="7" t="s">
        <v>150</v>
      </c>
      <c r="K3367" s="7" t="n">
        <f aca="false">IFERROR(VALUE(RIGHT(TRIM(F3367),4)),"")</f>
        <v>2020</v>
      </c>
      <c r="L3367" s="7" t="str">
        <f aca="false">IF(TRIM(E3367)="","Unknown",IFERROR(LEFT(TRIM(E3367),FIND(",",TRIM(E3367))-1),TRIM(E3367)))</f>
        <v>United States</v>
      </c>
      <c r="M3367" s="7" t="str">
        <f aca="false">IFERROR(LEFT(J3367,FIND(",",J3367)-1),J3367)</f>
        <v>Dramas</v>
      </c>
      <c r="N3367" s="7" t="n">
        <f aca="false">IF(B3367="Movie",IFERROR(VALUE(LEFT(I3367,FIND(" ",I3367)-1)),""),"")</f>
        <v>86</v>
      </c>
      <c r="O3367" s="7" t="str">
        <f aca="false">IF(B3367="TV Show",IFERROR(VALUE(LEFT(I3367,FIND(" ",I3367)-1)),""),"")</f>
        <v/>
      </c>
      <c r="P3367" s="7" t="n">
        <f aca="false">IF(K3367="","",K3367-G3367)</f>
        <v>1</v>
      </c>
    </row>
    <row r="3368" customFormat="false" ht="15" hidden="false" customHeight="false" outlineLevel="0" collapsed="false">
      <c r="A3368" s="7" t="n">
        <v>80057599</v>
      </c>
      <c r="B3368" s="7" t="s">
        <v>68</v>
      </c>
      <c r="C3368" s="7" t="s">
        <v>7093</v>
      </c>
      <c r="D3368" s="7" t="s">
        <v>7094</v>
      </c>
      <c r="E3368" s="7" t="s">
        <v>2062</v>
      </c>
      <c r="F3368" s="7" t="s">
        <v>7084</v>
      </c>
      <c r="G3368" s="7" t="n">
        <v>2015</v>
      </c>
      <c r="H3368" s="7" t="s">
        <v>51</v>
      </c>
      <c r="I3368" s="7" t="s">
        <v>755</v>
      </c>
      <c r="J3368" s="7" t="s">
        <v>182</v>
      </c>
      <c r="K3368" s="7" t="n">
        <f aca="false">IFERROR(VALUE(RIGHT(TRIM(F3368),4)),"")</f>
        <v>2020</v>
      </c>
      <c r="L3368" s="7" t="str">
        <f aca="false">IF(TRIM(E3368)="","Unknown",IFERROR(LEFT(TRIM(E3368),FIND(",",TRIM(E3368))-1),TRIM(E3368)))</f>
        <v>United Kingdom</v>
      </c>
      <c r="M3368" s="7" t="str">
        <f aca="false">IFERROR(LEFT(J3368,FIND(",",J3368)-1),J3368)</f>
        <v>Dramas</v>
      </c>
      <c r="N3368" s="7" t="n">
        <f aca="false">IF(B3368="Movie",IFERROR(VALUE(LEFT(I3368,FIND(" ",I3368)-1)),""),"")</f>
        <v>132</v>
      </c>
      <c r="O3368" s="7" t="str">
        <f aca="false">IF(B3368="TV Show",IFERROR(VALUE(LEFT(I3368,FIND(" ",I3368)-1)),""),"")</f>
        <v/>
      </c>
      <c r="P3368" s="7" t="n">
        <f aca="false">IF(K3368="","",K3368-G3368)</f>
        <v>5</v>
      </c>
    </row>
    <row r="3369" customFormat="false" ht="15" hidden="false" customHeight="false" outlineLevel="0" collapsed="false">
      <c r="A3369" s="7" t="n">
        <v>81093113</v>
      </c>
      <c r="B3369" s="7" t="s">
        <v>68</v>
      </c>
      <c r="C3369" s="7" t="s">
        <v>7095</v>
      </c>
      <c r="D3369" s="7" t="s">
        <v>7096</v>
      </c>
      <c r="E3369" s="7" t="s">
        <v>30</v>
      </c>
      <c r="F3369" s="7" t="s">
        <v>7084</v>
      </c>
      <c r="G3369" s="7" t="n">
        <v>2019</v>
      </c>
      <c r="H3369" s="7" t="s">
        <v>49</v>
      </c>
      <c r="I3369" s="7" t="s">
        <v>294</v>
      </c>
      <c r="J3369" s="7" t="s">
        <v>7097</v>
      </c>
      <c r="K3369" s="7" t="n">
        <f aca="false">IFERROR(VALUE(RIGHT(TRIM(F3369),4)),"")</f>
        <v>2020</v>
      </c>
      <c r="L3369" s="7" t="str">
        <f aca="false">IF(TRIM(E3369)="","Unknown",IFERROR(LEFT(TRIM(E3369),FIND(",",TRIM(E3369))-1),TRIM(E3369)))</f>
        <v>Japan</v>
      </c>
      <c r="M3369" s="7" t="str">
        <f aca="false">IFERROR(LEFT(J3369,FIND(",",J3369)-1),J3369)</f>
        <v>Action &amp; Adventure</v>
      </c>
      <c r="N3369" s="7" t="n">
        <f aca="false">IF(B3369="Movie",IFERROR(VALUE(LEFT(I3369,FIND(" ",I3369)-1)),""),"")</f>
        <v>107</v>
      </c>
      <c r="O3369" s="7" t="str">
        <f aca="false">IF(B3369="TV Show",IFERROR(VALUE(LEFT(I3369,FIND(" ",I3369)-1)),""),"")</f>
        <v/>
      </c>
      <c r="P3369" s="7" t="n">
        <f aca="false">IF(K3369="","",K3369-G3369)</f>
        <v>1</v>
      </c>
    </row>
    <row r="3370" customFormat="false" ht="15" hidden="false" customHeight="false" outlineLevel="0" collapsed="false">
      <c r="A3370" s="7" t="n">
        <v>80049358</v>
      </c>
      <c r="B3370" s="7" t="s">
        <v>68</v>
      </c>
      <c r="C3370" s="7" t="s">
        <v>7098</v>
      </c>
      <c r="D3370" s="7" t="s">
        <v>2101</v>
      </c>
      <c r="E3370" s="7" t="s">
        <v>317</v>
      </c>
      <c r="F3370" s="7" t="s">
        <v>7084</v>
      </c>
      <c r="G3370" s="7" t="n">
        <v>2015</v>
      </c>
      <c r="H3370" s="7" t="s">
        <v>51</v>
      </c>
      <c r="I3370" s="7" t="s">
        <v>232</v>
      </c>
      <c r="J3370" s="7" t="s">
        <v>37</v>
      </c>
      <c r="K3370" s="7" t="n">
        <f aca="false">IFERROR(VALUE(RIGHT(TRIM(F3370),4)),"")</f>
        <v>2020</v>
      </c>
      <c r="L3370" s="7" t="str">
        <f aca="false">IF(TRIM(E3370)="","Unknown",IFERROR(LEFT(TRIM(E3370),FIND(",",TRIM(E3370))-1),TRIM(E3370)))</f>
        <v>United Kingdom</v>
      </c>
      <c r="M3370" s="7" t="str">
        <f aca="false">IFERROR(LEFT(J3370,FIND(",",J3370)-1),J3370)</f>
        <v>Dramas</v>
      </c>
      <c r="N3370" s="7" t="n">
        <f aca="false">IF(B3370="Movie",IFERROR(VALUE(LEFT(I3370,FIND(" ",I3370)-1)),""),"")</f>
        <v>122</v>
      </c>
      <c r="O3370" s="7" t="str">
        <f aca="false">IF(B3370="TV Show",IFERROR(VALUE(LEFT(I3370,FIND(" ",I3370)-1)),""),"")</f>
        <v/>
      </c>
      <c r="P3370" s="7" t="n">
        <f aca="false">IF(K3370="","",K3370-G3370)</f>
        <v>5</v>
      </c>
    </row>
    <row r="3371" customFormat="false" ht="15" hidden="false" customHeight="false" outlineLevel="0" collapsed="false">
      <c r="A3371" s="7" t="n">
        <v>81050192</v>
      </c>
      <c r="B3371" s="7" t="s">
        <v>68</v>
      </c>
      <c r="C3371" s="7" t="s">
        <v>7099</v>
      </c>
      <c r="E3371" s="7" t="s">
        <v>26</v>
      </c>
      <c r="F3371" s="7" t="s">
        <v>7100</v>
      </c>
      <c r="G3371" s="7" t="n">
        <v>2018</v>
      </c>
      <c r="H3371" s="7" t="s">
        <v>50</v>
      </c>
      <c r="I3371" s="7" t="s">
        <v>87</v>
      </c>
      <c r="J3371" s="7" t="s">
        <v>37</v>
      </c>
      <c r="K3371" s="7" t="n">
        <f aca="false">IFERROR(VALUE(RIGHT(TRIM(F3371),4)),"")</f>
        <v>2019</v>
      </c>
      <c r="L3371" s="7" t="str">
        <f aca="false">IF(TRIM(E3371)="","Unknown",IFERROR(LEFT(TRIM(E3371),FIND(",",TRIM(E3371))-1),TRIM(E3371)))</f>
        <v>United States</v>
      </c>
      <c r="M3371" s="7" t="str">
        <f aca="false">IFERROR(LEFT(J3371,FIND(",",J3371)-1),J3371)</f>
        <v>Dramas</v>
      </c>
      <c r="N3371" s="7" t="n">
        <f aca="false">IF(B3371="Movie",IFERROR(VALUE(LEFT(I3371,FIND(" ",I3371)-1)),""),"")</f>
        <v>99</v>
      </c>
      <c r="O3371" s="7" t="str">
        <f aca="false">IF(B3371="TV Show",IFERROR(VALUE(LEFT(I3371,FIND(" ",I3371)-1)),""),"")</f>
        <v/>
      </c>
      <c r="P3371" s="7" t="n">
        <f aca="false">IF(K3371="","",K3371-G3371)</f>
        <v>1</v>
      </c>
    </row>
    <row r="3372" customFormat="false" ht="15" hidden="false" customHeight="false" outlineLevel="0" collapsed="false">
      <c r="A3372" s="7" t="n">
        <v>70141971</v>
      </c>
      <c r="B3372" s="7" t="s">
        <v>68</v>
      </c>
      <c r="C3372" s="7" t="s">
        <v>7101</v>
      </c>
      <c r="D3372" s="7" t="s">
        <v>7102</v>
      </c>
      <c r="E3372" s="7" t="s">
        <v>26</v>
      </c>
      <c r="F3372" s="7" t="s">
        <v>7100</v>
      </c>
      <c r="G3372" s="7" t="n">
        <v>2010</v>
      </c>
      <c r="H3372" s="7" t="s">
        <v>52</v>
      </c>
      <c r="I3372" s="7" t="s">
        <v>77</v>
      </c>
      <c r="J3372" s="7" t="s">
        <v>276</v>
      </c>
      <c r="K3372" s="7" t="n">
        <f aca="false">IFERROR(VALUE(RIGHT(TRIM(F3372),4)),"")</f>
        <v>2019</v>
      </c>
      <c r="L3372" s="7" t="str">
        <f aca="false">IF(TRIM(E3372)="","Unknown",IFERROR(LEFT(TRIM(E3372),FIND(",",TRIM(E3372))-1),TRIM(E3372)))</f>
        <v>United States</v>
      </c>
      <c r="M3372" s="7" t="str">
        <f aca="false">IFERROR(LEFT(J3372,FIND(",",J3372)-1),J3372)</f>
        <v>Action &amp; Adventure</v>
      </c>
      <c r="N3372" s="7" t="n">
        <f aca="false">IF(B3372="Movie",IFERROR(VALUE(LEFT(I3372,FIND(" ",I3372)-1)),""),"")</f>
        <v>94</v>
      </c>
      <c r="O3372" s="7" t="str">
        <f aca="false">IF(B3372="TV Show",IFERROR(VALUE(LEFT(I3372,FIND(" ",I3372)-1)),""),"")</f>
        <v/>
      </c>
      <c r="P3372" s="7" t="n">
        <f aca="false">IF(K3372="","",K3372-G3372)</f>
        <v>9</v>
      </c>
    </row>
    <row r="3373" customFormat="false" ht="15" hidden="false" customHeight="false" outlineLevel="0" collapsed="false">
      <c r="A3373" s="7" t="n">
        <v>70114021</v>
      </c>
      <c r="B3373" s="7" t="s">
        <v>68</v>
      </c>
      <c r="C3373" s="7" t="s">
        <v>7103</v>
      </c>
      <c r="D3373" s="7" t="s">
        <v>7104</v>
      </c>
      <c r="E3373" s="7" t="s">
        <v>3311</v>
      </c>
      <c r="F3373" s="7" t="s">
        <v>7105</v>
      </c>
      <c r="G3373" s="7" t="n">
        <v>2009</v>
      </c>
      <c r="H3373" s="7" t="s">
        <v>51</v>
      </c>
      <c r="I3373" s="7" t="s">
        <v>173</v>
      </c>
      <c r="J3373" s="7" t="s">
        <v>1533</v>
      </c>
      <c r="K3373" s="7" t="n">
        <f aca="false">IFERROR(VALUE(RIGHT(TRIM(F3373),4)),"")</f>
        <v>2018</v>
      </c>
      <c r="L3373" s="7" t="str">
        <f aca="false">IF(TRIM(E3373)="","Unknown",IFERROR(LEFT(TRIM(E3373),FIND(",",TRIM(E3373))-1),TRIM(E3373)))</f>
        <v>United States</v>
      </c>
      <c r="M3373" s="7" t="str">
        <f aca="false">IFERROR(LEFT(J3373,FIND(",",J3373)-1),J3373)</f>
        <v>Comedies</v>
      </c>
      <c r="N3373" s="7" t="n">
        <f aca="false">IF(B3373="Movie",IFERROR(VALUE(LEFT(I3373,FIND(" ",I3373)-1)),""),"")</f>
        <v>106</v>
      </c>
      <c r="O3373" s="7" t="str">
        <f aca="false">IF(B3373="TV Show",IFERROR(VALUE(LEFT(I3373,FIND(" ",I3373)-1)),""),"")</f>
        <v/>
      </c>
      <c r="P3373" s="7" t="n">
        <f aca="false">IF(K3373="","",K3373-G3373)</f>
        <v>9</v>
      </c>
    </row>
    <row r="3374" customFormat="false" ht="15" hidden="false" customHeight="false" outlineLevel="0" collapsed="false">
      <c r="A3374" s="7" t="n">
        <v>70275751</v>
      </c>
      <c r="B3374" s="7" t="s">
        <v>68</v>
      </c>
      <c r="C3374" s="7" t="s">
        <v>7106</v>
      </c>
      <c r="D3374" s="7" t="s">
        <v>7107</v>
      </c>
      <c r="E3374" s="7" t="s">
        <v>26</v>
      </c>
      <c r="F3374" s="7" t="s">
        <v>7105</v>
      </c>
      <c r="G3374" s="7" t="n">
        <v>2013</v>
      </c>
      <c r="H3374" s="7" t="s">
        <v>51</v>
      </c>
      <c r="I3374" s="7" t="s">
        <v>386</v>
      </c>
      <c r="J3374" s="7" t="s">
        <v>566</v>
      </c>
      <c r="K3374" s="7" t="n">
        <f aca="false">IFERROR(VALUE(RIGHT(TRIM(F3374),4)),"")</f>
        <v>2018</v>
      </c>
      <c r="L3374" s="7" t="str">
        <f aca="false">IF(TRIM(E3374)="","Unknown",IFERROR(LEFT(TRIM(E3374),FIND(",",TRIM(E3374))-1),TRIM(E3374)))</f>
        <v>United States</v>
      </c>
      <c r="M3374" s="7" t="str">
        <f aca="false">IFERROR(LEFT(J3374,FIND(",",J3374)-1),J3374)</f>
        <v>Dramas</v>
      </c>
      <c r="N3374" s="7" t="n">
        <f aca="false">IF(B3374="Movie",IFERROR(VALUE(LEFT(I3374,FIND(" ",I3374)-1)),""),"")</f>
        <v>117</v>
      </c>
      <c r="O3374" s="7" t="str">
        <f aca="false">IF(B3374="TV Show",IFERROR(VALUE(LEFT(I3374,FIND(" ",I3374)-1)),""),"")</f>
        <v/>
      </c>
      <c r="P3374" s="7" t="n">
        <f aca="false">IF(K3374="","",K3374-G3374)</f>
        <v>5</v>
      </c>
    </row>
    <row r="3375" customFormat="false" ht="15" hidden="false" customHeight="false" outlineLevel="0" collapsed="false">
      <c r="A3375" s="7" t="n">
        <v>80216224</v>
      </c>
      <c r="B3375" s="7" t="s">
        <v>68</v>
      </c>
      <c r="C3375" s="7" t="s">
        <v>7108</v>
      </c>
      <c r="E3375" s="7" t="s">
        <v>26</v>
      </c>
      <c r="F3375" s="7" t="s">
        <v>7105</v>
      </c>
      <c r="G3375" s="7" t="n">
        <v>2018</v>
      </c>
      <c r="H3375" s="7" t="s">
        <v>48</v>
      </c>
      <c r="I3375" s="7" t="s">
        <v>98</v>
      </c>
      <c r="J3375" s="7" t="s">
        <v>45</v>
      </c>
      <c r="K3375" s="7" t="n">
        <f aca="false">IFERROR(VALUE(RIGHT(TRIM(F3375),4)),"")</f>
        <v>2018</v>
      </c>
      <c r="L3375" s="7" t="str">
        <f aca="false">IF(TRIM(E3375)="","Unknown",IFERROR(LEFT(TRIM(E3375),FIND(",",TRIM(E3375))-1),TRIM(E3375)))</f>
        <v>United States</v>
      </c>
      <c r="M3375" s="7" t="str">
        <f aca="false">IFERROR(LEFT(J3375,FIND(",",J3375)-1),J3375)</f>
        <v>Stand-Up Comedy</v>
      </c>
      <c r="N3375" s="7" t="n">
        <f aca="false">IF(B3375="Movie",IFERROR(VALUE(LEFT(I3375,FIND(" ",I3375)-1)),""),"")</f>
        <v>60</v>
      </c>
      <c r="O3375" s="7" t="str">
        <f aca="false">IF(B3375="TV Show",IFERROR(VALUE(LEFT(I3375,FIND(" ",I3375)-1)),""),"")</f>
        <v/>
      </c>
      <c r="P3375" s="7" t="n">
        <f aca="false">IF(K3375="","",K3375-G3375)</f>
        <v>0</v>
      </c>
    </row>
    <row r="3376" customFormat="false" ht="15" hidden="false" customHeight="false" outlineLevel="0" collapsed="false">
      <c r="A3376" s="7" t="n">
        <v>70098902</v>
      </c>
      <c r="B3376" s="7" t="s">
        <v>68</v>
      </c>
      <c r="C3376" s="7" t="s">
        <v>7109</v>
      </c>
      <c r="D3376" s="7" t="s">
        <v>7110</v>
      </c>
      <c r="E3376" s="7" t="s">
        <v>619</v>
      </c>
      <c r="F3376" s="7" t="s">
        <v>7111</v>
      </c>
      <c r="G3376" s="7" t="n">
        <v>2008</v>
      </c>
      <c r="H3376" s="7" t="s">
        <v>52</v>
      </c>
      <c r="I3376" s="7" t="s">
        <v>519</v>
      </c>
      <c r="J3376" s="7" t="s">
        <v>37</v>
      </c>
      <c r="K3376" s="7" t="n">
        <f aca="false">IFERROR(VALUE(RIGHT(TRIM(F3376),4)),"")</f>
        <v>2017</v>
      </c>
      <c r="L3376" s="7" t="str">
        <f aca="false">IF(TRIM(E3376)="","Unknown",IFERROR(LEFT(TRIM(E3376),FIND(",",TRIM(E3376))-1),TRIM(E3376)))</f>
        <v>Canada</v>
      </c>
      <c r="M3376" s="7" t="str">
        <f aca="false">IFERROR(LEFT(J3376,FIND(",",J3376)-1),J3376)</f>
        <v>Dramas</v>
      </c>
      <c r="N3376" s="7" t="n">
        <f aca="false">IF(B3376="Movie",IFERROR(VALUE(LEFT(I3376,FIND(" ",I3376)-1)),""),"")</f>
        <v>119</v>
      </c>
      <c r="O3376" s="7" t="str">
        <f aca="false">IF(B3376="TV Show",IFERROR(VALUE(LEFT(I3376,FIND(" ",I3376)-1)),""),"")</f>
        <v/>
      </c>
      <c r="P3376" s="7" t="n">
        <f aca="false">IF(K3376="","",K3376-G3376)</f>
        <v>9</v>
      </c>
    </row>
    <row r="3377" customFormat="false" ht="15" hidden="false" customHeight="false" outlineLevel="0" collapsed="false">
      <c r="A3377" s="7" t="n">
        <v>80118718</v>
      </c>
      <c r="B3377" s="7" t="s">
        <v>68</v>
      </c>
      <c r="C3377" s="7" t="s">
        <v>7112</v>
      </c>
      <c r="D3377" s="7" t="s">
        <v>7113</v>
      </c>
      <c r="E3377" s="7" t="s">
        <v>7114</v>
      </c>
      <c r="F3377" s="7" t="s">
        <v>7111</v>
      </c>
      <c r="G3377" s="7" t="n">
        <v>2016</v>
      </c>
      <c r="H3377" s="7" t="s">
        <v>48</v>
      </c>
      <c r="I3377" s="7" t="s">
        <v>73</v>
      </c>
      <c r="J3377" s="7" t="s">
        <v>169</v>
      </c>
      <c r="K3377" s="7" t="n">
        <f aca="false">IFERROR(VALUE(RIGHT(TRIM(F3377),4)),"")</f>
        <v>2017</v>
      </c>
      <c r="L3377" s="7" t="str">
        <f aca="false">IF(TRIM(E3377)="","Unknown",IFERROR(LEFT(TRIM(E3377),FIND(",",TRIM(E3377))-1),TRIM(E3377)))</f>
        <v>United Kingdom</v>
      </c>
      <c r="M3377" s="7" t="str">
        <f aca="false">IFERROR(LEFT(J3377,FIND(",",J3377)-1),J3377)</f>
        <v>Horror Movies</v>
      </c>
      <c r="N3377" s="7" t="n">
        <f aca="false">IF(B3377="Movie",IFERROR(VALUE(LEFT(I3377,FIND(" ",I3377)-1)),""),"")</f>
        <v>90</v>
      </c>
      <c r="O3377" s="7" t="str">
        <f aca="false">IF(B3377="TV Show",IFERROR(VALUE(LEFT(I3377,FIND(" ",I3377)-1)),""),"")</f>
        <v/>
      </c>
      <c r="P3377" s="7" t="n">
        <f aca="false">IF(K3377="","",K3377-G3377)</f>
        <v>1</v>
      </c>
    </row>
    <row r="3378" customFormat="false" ht="15" hidden="false" customHeight="false" outlineLevel="0" collapsed="false">
      <c r="A3378" s="7" t="n">
        <v>60022265</v>
      </c>
      <c r="B3378" s="7" t="s">
        <v>68</v>
      </c>
      <c r="C3378" s="7" t="s">
        <v>7115</v>
      </c>
      <c r="D3378" s="7" t="s">
        <v>6562</v>
      </c>
      <c r="E3378" s="7" t="s">
        <v>1996</v>
      </c>
      <c r="F3378" s="7" t="s">
        <v>7116</v>
      </c>
      <c r="G3378" s="7" t="n">
        <v>2002</v>
      </c>
      <c r="H3378" s="7" t="s">
        <v>54</v>
      </c>
      <c r="I3378" s="7" t="s">
        <v>264</v>
      </c>
      <c r="J3378" s="7" t="s">
        <v>74</v>
      </c>
      <c r="K3378" s="7" t="n">
        <f aca="false">IFERROR(VALUE(RIGHT(TRIM(F3378),4)),"")</f>
        <v>2020</v>
      </c>
      <c r="L3378" s="7" t="str">
        <f aca="false">IF(TRIM(E3378)="","Unknown",IFERROR(LEFT(TRIM(E3378),FIND(",",TRIM(E3378))-1),TRIM(E3378)))</f>
        <v>United States</v>
      </c>
      <c r="M3378" s="7" t="str">
        <f aca="false">IFERROR(LEFT(J3378,FIND(",",J3378)-1),J3378)</f>
        <v>Children &amp; Family Movies</v>
      </c>
      <c r="N3378" s="7" t="n">
        <f aca="false">IF(B3378="Movie",IFERROR(VALUE(LEFT(I3378,FIND(" ",I3378)-1)),""),"")</f>
        <v>88</v>
      </c>
      <c r="O3378" s="7" t="str">
        <f aca="false">IF(B3378="TV Show",IFERROR(VALUE(LEFT(I3378,FIND(" ",I3378)-1)),""),"")</f>
        <v/>
      </c>
      <c r="P3378" s="7" t="n">
        <f aca="false">IF(K3378="","",K3378-G3378)</f>
        <v>18</v>
      </c>
    </row>
    <row r="3379" customFormat="false" ht="15" hidden="false" customHeight="false" outlineLevel="0" collapsed="false">
      <c r="A3379" s="7" t="n">
        <v>81026003</v>
      </c>
      <c r="B3379" s="7" t="s">
        <v>68</v>
      </c>
      <c r="C3379" s="7" t="s">
        <v>7117</v>
      </c>
      <c r="D3379" s="7" t="s">
        <v>7118</v>
      </c>
      <c r="E3379" s="7" t="s">
        <v>27</v>
      </c>
      <c r="F3379" s="7" t="s">
        <v>7116</v>
      </c>
      <c r="G3379" s="7" t="n">
        <v>2018</v>
      </c>
      <c r="H3379" s="7" t="s">
        <v>49</v>
      </c>
      <c r="I3379" s="7" t="s">
        <v>111</v>
      </c>
      <c r="J3379" s="7" t="s">
        <v>188</v>
      </c>
      <c r="K3379" s="7" t="n">
        <f aca="false">IFERROR(VALUE(RIGHT(TRIM(F3379),4)),"")</f>
        <v>2020</v>
      </c>
      <c r="L3379" s="7" t="str">
        <f aca="false">IF(TRIM(E3379)="","Unknown",IFERROR(LEFT(TRIM(E3379),FIND(",",TRIM(E3379))-1),TRIM(E3379)))</f>
        <v>India</v>
      </c>
      <c r="M3379" s="7" t="str">
        <f aca="false">IFERROR(LEFT(J3379,FIND(",",J3379)-1),J3379)</f>
        <v>Dramas</v>
      </c>
      <c r="N3379" s="7" t="n">
        <f aca="false">IF(B3379="Movie",IFERROR(VALUE(LEFT(I3379,FIND(" ",I3379)-1)),""),"")</f>
        <v>95</v>
      </c>
      <c r="O3379" s="7" t="str">
        <f aca="false">IF(B3379="TV Show",IFERROR(VALUE(LEFT(I3379,FIND(" ",I3379)-1)),""),"")</f>
        <v/>
      </c>
      <c r="P3379" s="7" t="n">
        <f aca="false">IF(K3379="","",K3379-G3379)</f>
        <v>2</v>
      </c>
    </row>
    <row r="3380" customFormat="false" ht="15" hidden="false" customHeight="false" outlineLevel="0" collapsed="false">
      <c r="A3380" s="7" t="n">
        <v>80997602</v>
      </c>
      <c r="B3380" s="7" t="s">
        <v>68</v>
      </c>
      <c r="C3380" s="7" t="s">
        <v>7119</v>
      </c>
      <c r="D3380" s="7" t="s">
        <v>7120</v>
      </c>
      <c r="E3380" s="7" t="s">
        <v>33</v>
      </c>
      <c r="F3380" s="7" t="s">
        <v>7116</v>
      </c>
      <c r="G3380" s="7" t="n">
        <v>2019</v>
      </c>
      <c r="H3380" s="7" t="s">
        <v>48</v>
      </c>
      <c r="I3380" s="7" t="s">
        <v>268</v>
      </c>
      <c r="J3380" s="7" t="s">
        <v>182</v>
      </c>
      <c r="K3380" s="7" t="n">
        <f aca="false">IFERROR(VALUE(RIGHT(TRIM(F3380),4)),"")</f>
        <v>2020</v>
      </c>
      <c r="L3380" s="7" t="str">
        <f aca="false">IF(TRIM(E3380)="","Unknown",IFERROR(LEFT(TRIM(E3380),FIND(",",TRIM(E3380))-1),TRIM(E3380)))</f>
        <v>Spain</v>
      </c>
      <c r="M3380" s="7" t="str">
        <f aca="false">IFERROR(LEFT(J3380,FIND(",",J3380)-1),J3380)</f>
        <v>Dramas</v>
      </c>
      <c r="N3380" s="7" t="n">
        <f aca="false">IF(B3380="Movie",IFERROR(VALUE(LEFT(I3380,FIND(" ",I3380)-1)),""),"")</f>
        <v>108</v>
      </c>
      <c r="O3380" s="7" t="str">
        <f aca="false">IF(B3380="TV Show",IFERROR(VALUE(LEFT(I3380,FIND(" ",I3380)-1)),""),"")</f>
        <v/>
      </c>
      <c r="P3380" s="7" t="n">
        <f aca="false">IF(K3380="","",K3380-G3380)</f>
        <v>1</v>
      </c>
    </row>
    <row r="3381" customFormat="false" ht="15" hidden="false" customHeight="false" outlineLevel="0" collapsed="false">
      <c r="A3381" s="7" t="n">
        <v>81062828</v>
      </c>
      <c r="B3381" s="7" t="s">
        <v>78</v>
      </c>
      <c r="C3381" s="7" t="s">
        <v>7121</v>
      </c>
      <c r="E3381" s="7" t="s">
        <v>26</v>
      </c>
      <c r="F3381" s="7" t="s">
        <v>7116</v>
      </c>
      <c r="G3381" s="7" t="n">
        <v>2020</v>
      </c>
      <c r="H3381" s="7" t="s">
        <v>48</v>
      </c>
      <c r="I3381" s="7" t="s">
        <v>82</v>
      </c>
      <c r="J3381" s="7" t="s">
        <v>696</v>
      </c>
      <c r="K3381" s="7" t="n">
        <f aca="false">IFERROR(VALUE(RIGHT(TRIM(F3381),4)),"")</f>
        <v>2020</v>
      </c>
      <c r="L3381" s="7" t="str">
        <f aca="false">IF(TRIM(E3381)="","Unknown",IFERROR(LEFT(TRIM(E3381),FIND(",",TRIM(E3381))-1),TRIM(E3381)))</f>
        <v>United States</v>
      </c>
      <c r="M3381" s="7" t="str">
        <f aca="false">IFERROR(LEFT(J3381,FIND(",",J3381)-1),J3381)</f>
        <v>Crime TV Shows</v>
      </c>
      <c r="N3381" s="7" t="str">
        <f aca="false">IF(B3381="Movie",IFERROR(VALUE(LEFT(I3381,FIND(" ",I3381)-1)),""),"")</f>
        <v/>
      </c>
      <c r="O3381" s="7" t="n">
        <f aca="false">IF(B3381="TV Show",IFERROR(VALUE(LEFT(I3381,FIND(" ",I3381)-1)),""),"")</f>
        <v>1</v>
      </c>
      <c r="P3381" s="7" t="n">
        <f aca="false">IF(K3381="","",K3381-G3381)</f>
        <v>0</v>
      </c>
    </row>
    <row r="3382" customFormat="false" ht="15" hidden="false" customHeight="false" outlineLevel="0" collapsed="false">
      <c r="A3382" s="7" t="n">
        <v>80169611</v>
      </c>
      <c r="B3382" s="7" t="s">
        <v>68</v>
      </c>
      <c r="C3382" s="7" t="s">
        <v>7122</v>
      </c>
      <c r="D3382" s="7" t="s">
        <v>7123</v>
      </c>
      <c r="E3382" s="7" t="s">
        <v>2524</v>
      </c>
      <c r="F3382" s="7" t="s">
        <v>7116</v>
      </c>
      <c r="G3382" s="7" t="n">
        <v>2017</v>
      </c>
      <c r="H3382" s="7" t="s">
        <v>51</v>
      </c>
      <c r="I3382" s="7" t="s">
        <v>87</v>
      </c>
      <c r="J3382" s="7" t="s">
        <v>94</v>
      </c>
      <c r="K3382" s="7" t="n">
        <f aca="false">IFERROR(VALUE(RIGHT(TRIM(F3382),4)),"")</f>
        <v>2020</v>
      </c>
      <c r="L3382" s="7" t="str">
        <f aca="false">IF(TRIM(E3382)="","Unknown",IFERROR(LEFT(TRIM(E3382),FIND(",",TRIM(E3382))-1),TRIM(E3382)))</f>
        <v>Austria</v>
      </c>
      <c r="M3382" s="7" t="str">
        <f aca="false">IFERROR(LEFT(J3382,FIND(",",J3382)-1),J3382)</f>
        <v>International Movies</v>
      </c>
      <c r="N3382" s="7" t="n">
        <f aca="false">IF(B3382="Movie",IFERROR(VALUE(LEFT(I3382,FIND(" ",I3382)-1)),""),"")</f>
        <v>99</v>
      </c>
      <c r="O3382" s="7" t="str">
        <f aca="false">IF(B3382="TV Show",IFERROR(VALUE(LEFT(I3382,FIND(" ",I3382)-1)),""),"")</f>
        <v/>
      </c>
      <c r="P3382" s="7" t="n">
        <f aca="false">IF(K3382="","",K3382-G3382)</f>
        <v>3</v>
      </c>
    </row>
    <row r="3383" customFormat="false" ht="15" hidden="false" customHeight="false" outlineLevel="0" collapsed="false">
      <c r="A3383" s="7" t="n">
        <v>81144867</v>
      </c>
      <c r="B3383" s="7" t="s">
        <v>68</v>
      </c>
      <c r="C3383" s="7" t="s">
        <v>7124</v>
      </c>
      <c r="D3383" s="7" t="s">
        <v>7125</v>
      </c>
      <c r="E3383" s="7" t="s">
        <v>26</v>
      </c>
      <c r="F3383" s="7" t="s">
        <v>7116</v>
      </c>
      <c r="G3383" s="7" t="n">
        <v>2019</v>
      </c>
      <c r="H3383" s="7" t="s">
        <v>51</v>
      </c>
      <c r="I3383" s="7" t="s">
        <v>111</v>
      </c>
      <c r="J3383" s="7" t="s">
        <v>37</v>
      </c>
      <c r="K3383" s="7" t="n">
        <f aca="false">IFERROR(VALUE(RIGHT(TRIM(F3383),4)),"")</f>
        <v>2020</v>
      </c>
      <c r="L3383" s="7" t="str">
        <f aca="false">IF(TRIM(E3383)="","Unknown",IFERROR(LEFT(TRIM(E3383),FIND(",",TRIM(E3383))-1),TRIM(E3383)))</f>
        <v>United States</v>
      </c>
      <c r="M3383" s="7" t="str">
        <f aca="false">IFERROR(LEFT(J3383,FIND(",",J3383)-1),J3383)</f>
        <v>Dramas</v>
      </c>
      <c r="N3383" s="7" t="n">
        <f aca="false">IF(B3383="Movie",IFERROR(VALUE(LEFT(I3383,FIND(" ",I3383)-1)),""),"")</f>
        <v>95</v>
      </c>
      <c r="O3383" s="7" t="str">
        <f aca="false">IF(B3383="TV Show",IFERROR(VALUE(LEFT(I3383,FIND(" ",I3383)-1)),""),"")</f>
        <v/>
      </c>
      <c r="P3383" s="7" t="n">
        <f aca="false">IF(K3383="","",K3383-G3383)</f>
        <v>1</v>
      </c>
    </row>
    <row r="3384" customFormat="false" ht="15" hidden="false" customHeight="false" outlineLevel="0" collapsed="false">
      <c r="A3384" s="7" t="n">
        <v>81127333</v>
      </c>
      <c r="B3384" s="7" t="s">
        <v>68</v>
      </c>
      <c r="C3384" s="7" t="s">
        <v>7126</v>
      </c>
      <c r="D3384" s="7" t="s">
        <v>7127</v>
      </c>
      <c r="E3384" s="7" t="s">
        <v>26</v>
      </c>
      <c r="F3384" s="7" t="s">
        <v>7116</v>
      </c>
      <c r="G3384" s="7" t="n">
        <v>2019</v>
      </c>
      <c r="H3384" s="7" t="s">
        <v>48</v>
      </c>
      <c r="I3384" s="7" t="s">
        <v>330</v>
      </c>
      <c r="J3384" s="7" t="s">
        <v>759</v>
      </c>
      <c r="K3384" s="7" t="n">
        <f aca="false">IFERROR(VALUE(RIGHT(TRIM(F3384),4)),"")</f>
        <v>2020</v>
      </c>
      <c r="L3384" s="7" t="str">
        <f aca="false">IF(TRIM(E3384)="","Unknown",IFERROR(LEFT(TRIM(E3384),FIND(",",TRIM(E3384))-1),TRIM(E3384)))</f>
        <v>United States</v>
      </c>
      <c r="M3384" s="7" t="str">
        <f aca="false">IFERROR(LEFT(J3384,FIND(",",J3384)-1),J3384)</f>
        <v>Action &amp; Adventure</v>
      </c>
      <c r="N3384" s="7" t="n">
        <f aca="false">IF(B3384="Movie",IFERROR(VALUE(LEFT(I3384,FIND(" ",I3384)-1)),""),"")</f>
        <v>103</v>
      </c>
      <c r="O3384" s="7" t="str">
        <f aca="false">IF(B3384="TV Show",IFERROR(VALUE(LEFT(I3384,FIND(" ",I3384)-1)),""),"")</f>
        <v/>
      </c>
      <c r="P3384" s="7" t="n">
        <f aca="false">IF(K3384="","",K3384-G3384)</f>
        <v>1</v>
      </c>
    </row>
    <row r="3385" customFormat="false" ht="15" hidden="false" customHeight="false" outlineLevel="0" collapsed="false">
      <c r="A3385" s="7" t="n">
        <v>60000878</v>
      </c>
      <c r="B3385" s="7" t="s">
        <v>68</v>
      </c>
      <c r="C3385" s="7" t="s">
        <v>7128</v>
      </c>
      <c r="D3385" s="7" t="s">
        <v>7129</v>
      </c>
      <c r="E3385" s="7" t="s">
        <v>7130</v>
      </c>
      <c r="F3385" s="7" t="s">
        <v>7116</v>
      </c>
      <c r="G3385" s="7" t="n">
        <v>2000</v>
      </c>
      <c r="H3385" s="7" t="s">
        <v>52</v>
      </c>
      <c r="I3385" s="7" t="s">
        <v>357</v>
      </c>
      <c r="J3385" s="7" t="s">
        <v>4035</v>
      </c>
      <c r="K3385" s="7" t="n">
        <f aca="false">IFERROR(VALUE(RIGHT(TRIM(F3385),4)),"")</f>
        <v>2020</v>
      </c>
      <c r="L3385" s="7" t="str">
        <f aca="false">IF(TRIM(E3385)="","Unknown",IFERROR(LEFT(TRIM(E3385),FIND(",",TRIM(E3385))-1),TRIM(E3385)))</f>
        <v>Germany</v>
      </c>
      <c r="M3385" s="7" t="str">
        <f aca="false">IFERROR(LEFT(J3385,FIND(",",J3385)-1),J3385)</f>
        <v>Action &amp; Adventure</v>
      </c>
      <c r="N3385" s="7" t="n">
        <f aca="false">IF(B3385="Movie",IFERROR(VALUE(LEFT(I3385,FIND(" ",I3385)-1)),""),"")</f>
        <v>89</v>
      </c>
      <c r="O3385" s="7" t="str">
        <f aca="false">IF(B3385="TV Show",IFERROR(VALUE(LEFT(I3385,FIND(" ",I3385)-1)),""),"")</f>
        <v/>
      </c>
      <c r="P3385" s="7" t="n">
        <f aca="false">IF(K3385="","",K3385-G3385)</f>
        <v>20</v>
      </c>
    </row>
    <row r="3386" customFormat="false" ht="15" hidden="false" customHeight="false" outlineLevel="0" collapsed="false">
      <c r="A3386" s="7" t="n">
        <v>81000864</v>
      </c>
      <c r="B3386" s="7" t="s">
        <v>68</v>
      </c>
      <c r="C3386" s="7" t="s">
        <v>7131</v>
      </c>
      <c r="D3386" s="7" t="s">
        <v>7132</v>
      </c>
      <c r="E3386" s="7" t="s">
        <v>26</v>
      </c>
      <c r="F3386" s="7" t="s">
        <v>7133</v>
      </c>
      <c r="G3386" s="7" t="n">
        <v>2017</v>
      </c>
      <c r="H3386" s="7" t="s">
        <v>49</v>
      </c>
      <c r="I3386" s="7" t="s">
        <v>73</v>
      </c>
      <c r="J3386" s="7" t="s">
        <v>39</v>
      </c>
      <c r="K3386" s="7" t="n">
        <f aca="false">IFERROR(VALUE(RIGHT(TRIM(F3386),4)),"")</f>
        <v>2019</v>
      </c>
      <c r="L3386" s="7" t="str">
        <f aca="false">IF(TRIM(E3386)="","Unknown",IFERROR(LEFT(TRIM(E3386),FIND(",",TRIM(E3386))-1),TRIM(E3386)))</f>
        <v>United States</v>
      </c>
      <c r="M3386" s="7" t="str">
        <f aca="false">IFERROR(LEFT(J3386,FIND(",",J3386)-1),J3386)</f>
        <v>Documentaries</v>
      </c>
      <c r="N3386" s="7" t="n">
        <f aca="false">IF(B3386="Movie",IFERROR(VALUE(LEFT(I3386,FIND(" ",I3386)-1)),""),"")</f>
        <v>90</v>
      </c>
      <c r="O3386" s="7" t="str">
        <f aca="false">IF(B3386="TV Show",IFERROR(VALUE(LEFT(I3386,FIND(" ",I3386)-1)),""),"")</f>
        <v/>
      </c>
      <c r="P3386" s="7" t="n">
        <f aca="false">IF(K3386="","",K3386-G3386)</f>
        <v>2</v>
      </c>
    </row>
    <row r="3387" customFormat="false" ht="15" hidden="false" customHeight="false" outlineLevel="0" collapsed="false">
      <c r="A3387" s="7" t="n">
        <v>81047445</v>
      </c>
      <c r="B3387" s="7" t="s">
        <v>68</v>
      </c>
      <c r="C3387" s="7" t="s">
        <v>7134</v>
      </c>
      <c r="D3387" s="7" t="s">
        <v>7135</v>
      </c>
      <c r="E3387" s="7" t="s">
        <v>259</v>
      </c>
      <c r="F3387" s="7" t="s">
        <v>7133</v>
      </c>
      <c r="G3387" s="7" t="n">
        <v>2016</v>
      </c>
      <c r="H3387" s="7" t="s">
        <v>49</v>
      </c>
      <c r="I3387" s="7" t="s">
        <v>264</v>
      </c>
      <c r="J3387" s="7" t="s">
        <v>304</v>
      </c>
      <c r="K3387" s="7" t="n">
        <f aca="false">IFERROR(VALUE(RIGHT(TRIM(F3387),4)),"")</f>
        <v>2019</v>
      </c>
      <c r="L3387" s="7" t="str">
        <f aca="false">IF(TRIM(E3387)="","Unknown",IFERROR(LEFT(TRIM(E3387),FIND(",",TRIM(E3387))-1),TRIM(E3387)))</f>
        <v>Pakistan</v>
      </c>
      <c r="M3387" s="7" t="str">
        <f aca="false">IFERROR(LEFT(J3387,FIND(",",J3387)-1),J3387)</f>
        <v>Dramas</v>
      </c>
      <c r="N3387" s="7" t="n">
        <f aca="false">IF(B3387="Movie",IFERROR(VALUE(LEFT(I3387,FIND(" ",I3387)-1)),""),"")</f>
        <v>88</v>
      </c>
      <c r="O3387" s="7" t="str">
        <f aca="false">IF(B3387="TV Show",IFERROR(VALUE(LEFT(I3387,FIND(" ",I3387)-1)),""),"")</f>
        <v/>
      </c>
      <c r="P3387" s="7" t="n">
        <f aca="false">IF(K3387="","",K3387-G3387)</f>
        <v>3</v>
      </c>
    </row>
    <row r="3388" customFormat="false" ht="15" hidden="false" customHeight="false" outlineLevel="0" collapsed="false">
      <c r="A3388" s="7" t="n">
        <v>81052265</v>
      </c>
      <c r="B3388" s="7" t="s">
        <v>68</v>
      </c>
      <c r="C3388" s="7" t="s">
        <v>7136</v>
      </c>
      <c r="E3388" s="7" t="s">
        <v>27</v>
      </c>
      <c r="F3388" s="7" t="s">
        <v>7133</v>
      </c>
      <c r="G3388" s="7" t="n">
        <v>2018</v>
      </c>
      <c r="H3388" s="7" t="s">
        <v>49</v>
      </c>
      <c r="I3388" s="7" t="s">
        <v>820</v>
      </c>
      <c r="J3388" s="7" t="s">
        <v>2582</v>
      </c>
      <c r="K3388" s="7" t="n">
        <f aca="false">IFERROR(VALUE(RIGHT(TRIM(F3388),4)),"")</f>
        <v>2019</v>
      </c>
      <c r="L3388" s="7" t="str">
        <f aca="false">IF(TRIM(E3388)="","Unknown",IFERROR(LEFT(TRIM(E3388),FIND(",",TRIM(E3388))-1),TRIM(E3388)))</f>
        <v>India</v>
      </c>
      <c r="M3388" s="7" t="str">
        <f aca="false">IFERROR(LEFT(J3388,FIND(",",J3388)-1),J3388)</f>
        <v>Comedies</v>
      </c>
      <c r="N3388" s="7" t="n">
        <f aca="false">IF(B3388="Movie",IFERROR(VALUE(LEFT(I3388,FIND(" ",I3388)-1)),""),"")</f>
        <v>105</v>
      </c>
      <c r="O3388" s="7" t="str">
        <f aca="false">IF(B3388="TV Show",IFERROR(VALUE(LEFT(I3388,FIND(" ",I3388)-1)),""),"")</f>
        <v/>
      </c>
      <c r="P3388" s="7" t="n">
        <f aca="false">IF(K3388="","",K3388-G3388)</f>
        <v>1</v>
      </c>
    </row>
    <row r="3389" customFormat="false" ht="15" hidden="false" customHeight="false" outlineLevel="0" collapsed="false">
      <c r="A3389" s="7" t="n">
        <v>81045085</v>
      </c>
      <c r="B3389" s="7" t="s">
        <v>68</v>
      </c>
      <c r="C3389" s="7" t="s">
        <v>7137</v>
      </c>
      <c r="D3389" s="7" t="s">
        <v>7138</v>
      </c>
      <c r="E3389" s="7" t="s">
        <v>259</v>
      </c>
      <c r="F3389" s="7" t="s">
        <v>7133</v>
      </c>
      <c r="G3389" s="7" t="n">
        <v>2017</v>
      </c>
      <c r="H3389" s="7" t="s">
        <v>49</v>
      </c>
      <c r="I3389" s="7" t="s">
        <v>1270</v>
      </c>
      <c r="J3389" s="7" t="s">
        <v>202</v>
      </c>
      <c r="K3389" s="7" t="n">
        <f aca="false">IFERROR(VALUE(RIGHT(TRIM(F3389),4)),"")</f>
        <v>2019</v>
      </c>
      <c r="L3389" s="7" t="str">
        <f aca="false">IF(TRIM(E3389)="","Unknown",IFERROR(LEFT(TRIM(E3389),FIND(",",TRIM(E3389))-1),TRIM(E3389)))</f>
        <v>Pakistan</v>
      </c>
      <c r="M3389" s="7" t="str">
        <f aca="false">IFERROR(LEFT(J3389,FIND(",",J3389)-1),J3389)</f>
        <v>Comedies</v>
      </c>
      <c r="N3389" s="7" t="n">
        <f aca="false">IF(B3389="Movie",IFERROR(VALUE(LEFT(I3389,FIND(" ",I3389)-1)),""),"")</f>
        <v>118</v>
      </c>
      <c r="O3389" s="7" t="str">
        <f aca="false">IF(B3389="TV Show",IFERROR(VALUE(LEFT(I3389,FIND(" ",I3389)-1)),""),"")</f>
        <v/>
      </c>
      <c r="P3389" s="7" t="n">
        <f aca="false">IF(K3389="","",K3389-G3389)</f>
        <v>2</v>
      </c>
    </row>
    <row r="3390" customFormat="false" ht="15" hidden="false" customHeight="false" outlineLevel="0" collapsed="false">
      <c r="A3390" s="7" t="n">
        <v>81050190</v>
      </c>
      <c r="B3390" s="7" t="s">
        <v>68</v>
      </c>
      <c r="C3390" s="7" t="s">
        <v>7139</v>
      </c>
      <c r="D3390" s="7" t="s">
        <v>7140</v>
      </c>
      <c r="E3390" s="7" t="s">
        <v>26</v>
      </c>
      <c r="F3390" s="7" t="s">
        <v>7133</v>
      </c>
      <c r="G3390" s="7" t="n">
        <v>2019</v>
      </c>
      <c r="H3390" s="7" t="s">
        <v>50</v>
      </c>
      <c r="I3390" s="7" t="s">
        <v>212</v>
      </c>
      <c r="J3390" s="7" t="s">
        <v>977</v>
      </c>
      <c r="K3390" s="7" t="n">
        <f aca="false">IFERROR(VALUE(RIGHT(TRIM(F3390),4)),"")</f>
        <v>2019</v>
      </c>
      <c r="L3390" s="7" t="str">
        <f aca="false">IF(TRIM(E3390)="","Unknown",IFERROR(LEFT(TRIM(E3390),FIND(",",TRIM(E3390))-1),TRIM(E3390)))</f>
        <v>United States</v>
      </c>
      <c r="M3390" s="7" t="str">
        <f aca="false">IFERROR(LEFT(J3390,FIND(",",J3390)-1),J3390)</f>
        <v>Independent Movies</v>
      </c>
      <c r="N3390" s="7" t="n">
        <f aca="false">IF(B3390="Movie",IFERROR(VALUE(LEFT(I3390,FIND(" ",I3390)-1)),""),"")</f>
        <v>86</v>
      </c>
      <c r="O3390" s="7" t="str">
        <f aca="false">IF(B3390="TV Show",IFERROR(VALUE(LEFT(I3390,FIND(" ",I3390)-1)),""),"")</f>
        <v/>
      </c>
      <c r="P3390" s="7" t="n">
        <f aca="false">IF(K3390="","",K3390-G3390)</f>
        <v>0</v>
      </c>
    </row>
    <row r="3391" customFormat="false" ht="15" hidden="false" customHeight="false" outlineLevel="0" collapsed="false">
      <c r="A3391" s="7" t="n">
        <v>81045065</v>
      </c>
      <c r="B3391" s="7" t="s">
        <v>68</v>
      </c>
      <c r="C3391" s="7" t="s">
        <v>7141</v>
      </c>
      <c r="D3391" s="7" t="s">
        <v>7142</v>
      </c>
      <c r="E3391" s="7" t="s">
        <v>27</v>
      </c>
      <c r="F3391" s="7" t="s">
        <v>7133</v>
      </c>
      <c r="G3391" s="7" t="n">
        <v>2018</v>
      </c>
      <c r="H3391" s="7" t="s">
        <v>49</v>
      </c>
      <c r="I3391" s="7" t="s">
        <v>378</v>
      </c>
      <c r="J3391" s="7" t="s">
        <v>358</v>
      </c>
      <c r="K3391" s="7" t="n">
        <f aca="false">IFERROR(VALUE(RIGHT(TRIM(F3391),4)),"")</f>
        <v>2019</v>
      </c>
      <c r="L3391" s="7" t="str">
        <f aca="false">IF(TRIM(E3391)="","Unknown",IFERROR(LEFT(TRIM(E3391),FIND(",",TRIM(E3391))-1),TRIM(E3391)))</f>
        <v>India</v>
      </c>
      <c r="M3391" s="7" t="str">
        <f aca="false">IFERROR(LEFT(J3391,FIND(",",J3391)-1),J3391)</f>
        <v>International Movies</v>
      </c>
      <c r="N3391" s="7" t="n">
        <f aca="false">IF(B3391="Movie",IFERROR(VALUE(LEFT(I3391,FIND(" ",I3391)-1)),""),"")</f>
        <v>127</v>
      </c>
      <c r="O3391" s="7" t="str">
        <f aca="false">IF(B3391="TV Show",IFERROR(VALUE(LEFT(I3391,FIND(" ",I3391)-1)),""),"")</f>
        <v/>
      </c>
      <c r="P3391" s="7" t="n">
        <f aca="false">IF(K3391="","",K3391-G3391)</f>
        <v>1</v>
      </c>
    </row>
    <row r="3392" customFormat="false" ht="15" hidden="false" customHeight="false" outlineLevel="0" collapsed="false">
      <c r="A3392" s="7" t="n">
        <v>70205712</v>
      </c>
      <c r="B3392" s="7" t="s">
        <v>78</v>
      </c>
      <c r="C3392" s="7" t="s">
        <v>7143</v>
      </c>
      <c r="E3392" s="7" t="s">
        <v>34</v>
      </c>
      <c r="F3392" s="7" t="s">
        <v>7133</v>
      </c>
      <c r="G3392" s="7" t="n">
        <v>2010</v>
      </c>
      <c r="H3392" s="7" t="s">
        <v>50</v>
      </c>
      <c r="I3392" s="7" t="s">
        <v>82</v>
      </c>
      <c r="J3392" s="7" t="s">
        <v>7144</v>
      </c>
      <c r="K3392" s="7" t="n">
        <f aca="false">IFERROR(VALUE(RIGHT(TRIM(F3392),4)),"")</f>
        <v>2019</v>
      </c>
      <c r="L3392" s="7" t="str">
        <f aca="false">IF(TRIM(E3392)="","Unknown",IFERROR(LEFT(TRIM(E3392),FIND(",",TRIM(E3392))-1),TRIM(E3392)))</f>
        <v>Mexico</v>
      </c>
      <c r="M3392" s="7" t="str">
        <f aca="false">IFERROR(LEFT(J3392,FIND(",",J3392)-1),J3392)</f>
        <v>Classic &amp; Cult TV</v>
      </c>
      <c r="N3392" s="7" t="str">
        <f aca="false">IF(B3392="Movie",IFERROR(VALUE(LEFT(I3392,FIND(" ",I3392)-1)),""),"")</f>
        <v/>
      </c>
      <c r="O3392" s="7" t="n">
        <f aca="false">IF(B3392="TV Show",IFERROR(VALUE(LEFT(I3392,FIND(" ",I3392)-1)),""),"")</f>
        <v>1</v>
      </c>
      <c r="P3392" s="7" t="n">
        <f aca="false">IF(K3392="","",K3392-G3392)</f>
        <v>9</v>
      </c>
    </row>
    <row r="3393" customFormat="false" ht="15" hidden="false" customHeight="false" outlineLevel="0" collapsed="false">
      <c r="A3393" s="7" t="n">
        <v>80028965</v>
      </c>
      <c r="B3393" s="7" t="s">
        <v>78</v>
      </c>
      <c r="C3393" s="7" t="s">
        <v>7145</v>
      </c>
      <c r="D3393" s="7" t="s">
        <v>7146</v>
      </c>
      <c r="E3393" s="7" t="s">
        <v>3983</v>
      </c>
      <c r="F3393" s="7" t="s">
        <v>7133</v>
      </c>
      <c r="G3393" s="7" t="n">
        <v>2016</v>
      </c>
      <c r="H3393" s="7" t="s">
        <v>49</v>
      </c>
      <c r="I3393" s="7" t="s">
        <v>82</v>
      </c>
      <c r="J3393" s="7" t="s">
        <v>89</v>
      </c>
      <c r="K3393" s="7" t="n">
        <f aca="false">IFERROR(VALUE(RIGHT(TRIM(F3393),4)),"")</f>
        <v>2019</v>
      </c>
      <c r="L3393" s="7" t="str">
        <f aca="false">IF(TRIM(E3393)="","Unknown",IFERROR(LEFT(TRIM(E3393),FIND(",",TRIM(E3393))-1),TRIM(E3393)))</f>
        <v>Colombia</v>
      </c>
      <c r="M3393" s="7" t="str">
        <f aca="false">IFERROR(LEFT(J3393,FIND(",",J3393)-1),J3393)</f>
        <v>Crime TV Shows</v>
      </c>
      <c r="N3393" s="7" t="str">
        <f aca="false">IF(B3393="Movie",IFERROR(VALUE(LEFT(I3393,FIND(" ",I3393)-1)),""),"")</f>
        <v/>
      </c>
      <c r="O3393" s="7" t="n">
        <f aca="false">IF(B3393="TV Show",IFERROR(VALUE(LEFT(I3393,FIND(" ",I3393)-1)),""),"")</f>
        <v>1</v>
      </c>
      <c r="P3393" s="7" t="n">
        <f aca="false">IF(K3393="","",K3393-G3393)</f>
        <v>3</v>
      </c>
    </row>
    <row r="3394" customFormat="false" ht="15" hidden="false" customHeight="false" outlineLevel="0" collapsed="false">
      <c r="A3394" s="7" t="n">
        <v>81020716</v>
      </c>
      <c r="B3394" s="7" t="s">
        <v>78</v>
      </c>
      <c r="C3394" s="7" t="s">
        <v>7147</v>
      </c>
      <c r="E3394" s="7" t="s">
        <v>970</v>
      </c>
      <c r="F3394" s="7" t="s">
        <v>7133</v>
      </c>
      <c r="G3394" s="7" t="n">
        <v>2002</v>
      </c>
      <c r="H3394" s="7" t="s">
        <v>49</v>
      </c>
      <c r="I3394" s="7" t="s">
        <v>82</v>
      </c>
      <c r="J3394" s="7" t="s">
        <v>314</v>
      </c>
      <c r="K3394" s="7" t="n">
        <f aca="false">IFERROR(VALUE(RIGHT(TRIM(F3394),4)),"")</f>
        <v>2019</v>
      </c>
      <c r="L3394" s="7" t="str">
        <f aca="false">IF(TRIM(E3394)="","Unknown",IFERROR(LEFT(TRIM(E3394),FIND(",",TRIM(E3394))-1),TRIM(E3394)))</f>
        <v>Taiwan</v>
      </c>
      <c r="M3394" s="7" t="str">
        <f aca="false">IFERROR(LEFT(J3394,FIND(",",J3394)-1),J3394)</f>
        <v>International TV Shows</v>
      </c>
      <c r="N3394" s="7" t="str">
        <f aca="false">IF(B3394="Movie",IFERROR(VALUE(LEFT(I3394,FIND(" ",I3394)-1)),""),"")</f>
        <v/>
      </c>
      <c r="O3394" s="7" t="n">
        <f aca="false">IF(B3394="TV Show",IFERROR(VALUE(LEFT(I3394,FIND(" ",I3394)-1)),""),"")</f>
        <v>1</v>
      </c>
      <c r="P3394" s="7" t="n">
        <f aca="false">IF(K3394="","",K3394-G3394)</f>
        <v>17</v>
      </c>
    </row>
    <row r="3395" customFormat="false" ht="15" hidden="false" customHeight="false" outlineLevel="0" collapsed="false">
      <c r="A3395" s="7" t="n">
        <v>81050191</v>
      </c>
      <c r="B3395" s="7" t="s">
        <v>68</v>
      </c>
      <c r="C3395" s="7" t="s">
        <v>7148</v>
      </c>
      <c r="D3395" s="7" t="s">
        <v>7149</v>
      </c>
      <c r="E3395" s="7" t="s">
        <v>26</v>
      </c>
      <c r="F3395" s="7" t="s">
        <v>7133</v>
      </c>
      <c r="G3395" s="7" t="n">
        <v>2018</v>
      </c>
      <c r="H3395" s="7" t="s">
        <v>49</v>
      </c>
      <c r="I3395" s="7" t="s">
        <v>264</v>
      </c>
      <c r="J3395" s="7" t="s">
        <v>811</v>
      </c>
      <c r="K3395" s="7" t="n">
        <f aca="false">IFERROR(VALUE(RIGHT(TRIM(F3395),4)),"")</f>
        <v>2019</v>
      </c>
      <c r="L3395" s="7" t="str">
        <f aca="false">IF(TRIM(E3395)="","Unknown",IFERROR(LEFT(TRIM(E3395),FIND(",",TRIM(E3395))-1),TRIM(E3395)))</f>
        <v>United States</v>
      </c>
      <c r="M3395" s="7" t="str">
        <f aca="false">IFERROR(LEFT(J3395,FIND(",",J3395)-1),J3395)</f>
        <v>Thrillers</v>
      </c>
      <c r="N3395" s="7" t="n">
        <f aca="false">IF(B3395="Movie",IFERROR(VALUE(LEFT(I3395,FIND(" ",I3395)-1)),""),"")</f>
        <v>88</v>
      </c>
      <c r="O3395" s="7" t="str">
        <f aca="false">IF(B3395="TV Show",IFERROR(VALUE(LEFT(I3395,FIND(" ",I3395)-1)),""),"")</f>
        <v/>
      </c>
      <c r="P3395" s="7" t="n">
        <f aca="false">IF(K3395="","",K3395-G3395)</f>
        <v>1</v>
      </c>
    </row>
    <row r="3396" customFormat="false" ht="15" hidden="false" customHeight="false" outlineLevel="0" collapsed="false">
      <c r="A3396" s="7" t="n">
        <v>80202078</v>
      </c>
      <c r="B3396" s="7" t="s">
        <v>68</v>
      </c>
      <c r="C3396" s="7" t="s">
        <v>7150</v>
      </c>
      <c r="D3396" s="7" t="s">
        <v>7151</v>
      </c>
      <c r="E3396" s="7" t="s">
        <v>27</v>
      </c>
      <c r="F3396" s="7" t="s">
        <v>7133</v>
      </c>
      <c r="G3396" s="7" t="n">
        <v>2017</v>
      </c>
      <c r="H3396" s="7" t="s">
        <v>49</v>
      </c>
      <c r="I3396" s="7" t="s">
        <v>194</v>
      </c>
      <c r="J3396" s="7" t="s">
        <v>112</v>
      </c>
      <c r="K3396" s="7" t="n">
        <f aca="false">IFERROR(VALUE(RIGHT(TRIM(F3396),4)),"")</f>
        <v>2019</v>
      </c>
      <c r="L3396" s="7" t="str">
        <f aca="false">IF(TRIM(E3396)="","Unknown",IFERROR(LEFT(TRIM(E3396),FIND(",",TRIM(E3396))-1),TRIM(E3396)))</f>
        <v>India</v>
      </c>
      <c r="M3396" s="7" t="str">
        <f aca="false">IFERROR(LEFT(J3396,FIND(",",J3396)-1),J3396)</f>
        <v>Action &amp; Adventure</v>
      </c>
      <c r="N3396" s="7" t="n">
        <f aca="false">IF(B3396="Movie",IFERROR(VALUE(LEFT(I3396,FIND(" ",I3396)-1)),""),"")</f>
        <v>125</v>
      </c>
      <c r="O3396" s="7" t="str">
        <f aca="false">IF(B3396="TV Show",IFERROR(VALUE(LEFT(I3396,FIND(" ",I3396)-1)),""),"")</f>
        <v/>
      </c>
      <c r="P3396" s="7" t="n">
        <f aca="false">IF(K3396="","",K3396-G3396)</f>
        <v>2</v>
      </c>
    </row>
    <row r="3397" customFormat="false" ht="15" hidden="false" customHeight="false" outlineLevel="0" collapsed="false">
      <c r="A3397" s="7" t="n">
        <v>81047446</v>
      </c>
      <c r="B3397" s="7" t="s">
        <v>68</v>
      </c>
      <c r="C3397" s="7" t="s">
        <v>7152</v>
      </c>
      <c r="D3397" s="7" t="s">
        <v>7153</v>
      </c>
      <c r="E3397" s="7" t="s">
        <v>259</v>
      </c>
      <c r="F3397" s="7" t="s">
        <v>7133</v>
      </c>
      <c r="G3397" s="7" t="n">
        <v>2018</v>
      </c>
      <c r="H3397" s="7" t="s">
        <v>49</v>
      </c>
      <c r="I3397" s="7" t="s">
        <v>237</v>
      </c>
      <c r="J3397" s="7" t="s">
        <v>169</v>
      </c>
      <c r="K3397" s="7" t="n">
        <f aca="false">IFERROR(VALUE(RIGHT(TRIM(F3397),4)),"")</f>
        <v>2019</v>
      </c>
      <c r="L3397" s="7" t="str">
        <f aca="false">IF(TRIM(E3397)="","Unknown",IFERROR(LEFT(TRIM(E3397),FIND(",",TRIM(E3397))-1),TRIM(E3397)))</f>
        <v>Pakistan</v>
      </c>
      <c r="M3397" s="7" t="str">
        <f aca="false">IFERROR(LEFT(J3397,FIND(",",J3397)-1),J3397)</f>
        <v>Horror Movies</v>
      </c>
      <c r="N3397" s="7" t="n">
        <f aca="false">IF(B3397="Movie",IFERROR(VALUE(LEFT(I3397,FIND(" ",I3397)-1)),""),"")</f>
        <v>116</v>
      </c>
      <c r="O3397" s="7" t="str">
        <f aca="false">IF(B3397="TV Show",IFERROR(VALUE(LEFT(I3397,FIND(" ",I3397)-1)),""),"")</f>
        <v/>
      </c>
      <c r="P3397" s="7" t="n">
        <f aca="false">IF(K3397="","",K3397-G3397)</f>
        <v>1</v>
      </c>
    </row>
    <row r="3398" customFormat="false" ht="15" hidden="false" customHeight="false" outlineLevel="0" collapsed="false">
      <c r="A3398" s="7" t="n">
        <v>81000511</v>
      </c>
      <c r="B3398" s="7" t="s">
        <v>68</v>
      </c>
      <c r="C3398" s="7" t="s">
        <v>7154</v>
      </c>
      <c r="D3398" s="7" t="s">
        <v>7155</v>
      </c>
      <c r="E3398" s="7" t="s">
        <v>32</v>
      </c>
      <c r="F3398" s="7" t="s">
        <v>7133</v>
      </c>
      <c r="G3398" s="7" t="n">
        <v>2018</v>
      </c>
      <c r="H3398" s="7" t="s">
        <v>48</v>
      </c>
      <c r="I3398" s="7" t="s">
        <v>181</v>
      </c>
      <c r="J3398" s="7" t="s">
        <v>322</v>
      </c>
      <c r="K3398" s="7" t="n">
        <f aca="false">IFERROR(VALUE(RIGHT(TRIM(F3398),4)),"")</f>
        <v>2019</v>
      </c>
      <c r="L3398" s="7" t="str">
        <f aca="false">IF(TRIM(E3398)="","Unknown",IFERROR(LEFT(TRIM(E3398),FIND(",",TRIM(E3398))-1),TRIM(E3398)))</f>
        <v>South Korea</v>
      </c>
      <c r="M3398" s="7" t="str">
        <f aca="false">IFERROR(LEFT(J3398,FIND(",",J3398)-1),J3398)</f>
        <v>Action &amp; Adventure</v>
      </c>
      <c r="N3398" s="7" t="n">
        <f aca="false">IF(B3398="Movie",IFERROR(VALUE(LEFT(I3398,FIND(" ",I3398)-1)),""),"")</f>
        <v>102</v>
      </c>
      <c r="O3398" s="7" t="str">
        <f aca="false">IF(B3398="TV Show",IFERROR(VALUE(LEFT(I3398,FIND(" ",I3398)-1)),""),"")</f>
        <v/>
      </c>
      <c r="P3398" s="7" t="n">
        <f aca="false">IF(K3398="","",K3398-G3398)</f>
        <v>1</v>
      </c>
    </row>
    <row r="3399" customFormat="false" ht="15" hidden="false" customHeight="false" outlineLevel="0" collapsed="false">
      <c r="A3399" s="7" t="n">
        <v>80218104</v>
      </c>
      <c r="B3399" s="7" t="s">
        <v>68</v>
      </c>
      <c r="C3399" s="7" t="s">
        <v>7156</v>
      </c>
      <c r="D3399" s="7" t="s">
        <v>7157</v>
      </c>
      <c r="E3399" s="7" t="s">
        <v>26</v>
      </c>
      <c r="F3399" s="7" t="s">
        <v>7133</v>
      </c>
      <c r="G3399" s="7" t="n">
        <v>2019</v>
      </c>
      <c r="H3399" s="7" t="s">
        <v>48</v>
      </c>
      <c r="I3399" s="7" t="s">
        <v>120</v>
      </c>
      <c r="J3399" s="7" t="s">
        <v>45</v>
      </c>
      <c r="K3399" s="7" t="n">
        <f aca="false">IFERROR(VALUE(RIGHT(TRIM(F3399),4)),"")</f>
        <v>2019</v>
      </c>
      <c r="L3399" s="7" t="str">
        <f aca="false">IF(TRIM(E3399)="","Unknown",IFERROR(LEFT(TRIM(E3399),FIND(",",TRIM(E3399))-1),TRIM(E3399)))</f>
        <v>United States</v>
      </c>
      <c r="M3399" s="7" t="str">
        <f aca="false">IFERROR(LEFT(J3399,FIND(",",J3399)-1),J3399)</f>
        <v>Stand-Up Comedy</v>
      </c>
      <c r="N3399" s="7" t="n">
        <f aca="false">IF(B3399="Movie",IFERROR(VALUE(LEFT(I3399,FIND(" ",I3399)-1)),""),"")</f>
        <v>65</v>
      </c>
      <c r="O3399" s="7" t="str">
        <f aca="false">IF(B3399="TV Show",IFERROR(VALUE(LEFT(I3399,FIND(" ",I3399)-1)),""),"")</f>
        <v/>
      </c>
      <c r="P3399" s="7" t="n">
        <f aca="false">IF(K3399="","",K3399-G3399)</f>
        <v>0</v>
      </c>
    </row>
    <row r="3400" customFormat="false" ht="15" hidden="false" customHeight="false" outlineLevel="0" collapsed="false">
      <c r="A3400" s="7" t="n">
        <v>80997719</v>
      </c>
      <c r="B3400" s="7" t="s">
        <v>68</v>
      </c>
      <c r="C3400" s="7" t="s">
        <v>7158</v>
      </c>
      <c r="D3400" s="7" t="s">
        <v>7159</v>
      </c>
      <c r="E3400" s="7" t="s">
        <v>26</v>
      </c>
      <c r="F3400" s="7" t="s">
        <v>7133</v>
      </c>
      <c r="G3400" s="7" t="n">
        <v>2018</v>
      </c>
      <c r="H3400" s="7" t="s">
        <v>49</v>
      </c>
      <c r="I3400" s="7" t="s">
        <v>264</v>
      </c>
      <c r="J3400" s="7" t="s">
        <v>39</v>
      </c>
      <c r="K3400" s="7" t="n">
        <f aca="false">IFERROR(VALUE(RIGHT(TRIM(F3400),4)),"")</f>
        <v>2019</v>
      </c>
      <c r="L3400" s="7" t="str">
        <f aca="false">IF(TRIM(E3400)="","Unknown",IFERROR(LEFT(TRIM(E3400),FIND(",",TRIM(E3400))-1),TRIM(E3400)))</f>
        <v>United States</v>
      </c>
      <c r="M3400" s="7" t="str">
        <f aca="false">IFERROR(LEFT(J3400,FIND(",",J3400)-1),J3400)</f>
        <v>Documentaries</v>
      </c>
      <c r="N3400" s="7" t="n">
        <f aca="false">IF(B3400="Movie",IFERROR(VALUE(LEFT(I3400,FIND(" ",I3400)-1)),""),"")</f>
        <v>88</v>
      </c>
      <c r="O3400" s="7" t="str">
        <f aca="false">IF(B3400="TV Show",IFERROR(VALUE(LEFT(I3400,FIND(" ",I3400)-1)),""),"")</f>
        <v/>
      </c>
      <c r="P3400" s="7" t="n">
        <f aca="false">IF(K3400="","",K3400-G3400)</f>
        <v>1</v>
      </c>
    </row>
    <row r="3401" customFormat="false" ht="15" hidden="false" customHeight="false" outlineLevel="0" collapsed="false">
      <c r="A3401" s="7" t="n">
        <v>81044856</v>
      </c>
      <c r="B3401" s="7" t="s">
        <v>68</v>
      </c>
      <c r="C3401" s="7" t="s">
        <v>7160</v>
      </c>
      <c r="D3401" s="7" t="s">
        <v>380</v>
      </c>
      <c r="E3401" s="7" t="s">
        <v>362</v>
      </c>
      <c r="F3401" s="7" t="s">
        <v>7133</v>
      </c>
      <c r="G3401" s="7" t="n">
        <v>2016</v>
      </c>
      <c r="H3401" s="7" t="s">
        <v>48</v>
      </c>
      <c r="I3401" s="7" t="s">
        <v>173</v>
      </c>
      <c r="J3401" s="7" t="s">
        <v>169</v>
      </c>
      <c r="K3401" s="7" t="n">
        <f aca="false">IFERROR(VALUE(RIGHT(TRIM(F3401),4)),"")</f>
        <v>2019</v>
      </c>
      <c r="L3401" s="7" t="str">
        <f aca="false">IF(TRIM(E3401)="","Unknown",IFERROR(LEFT(TRIM(E3401),FIND(",",TRIM(E3401))-1),TRIM(E3401)))</f>
        <v>Indonesia</v>
      </c>
      <c r="M3401" s="7" t="str">
        <f aca="false">IFERROR(LEFT(J3401,FIND(",",J3401)-1),J3401)</f>
        <v>Horror Movies</v>
      </c>
      <c r="N3401" s="7" t="n">
        <f aca="false">IF(B3401="Movie",IFERROR(VALUE(LEFT(I3401,FIND(" ",I3401)-1)),""),"")</f>
        <v>106</v>
      </c>
      <c r="O3401" s="7" t="str">
        <f aca="false">IF(B3401="TV Show",IFERROR(VALUE(LEFT(I3401,FIND(" ",I3401)-1)),""),"")</f>
        <v/>
      </c>
      <c r="P3401" s="7" t="n">
        <f aca="false">IF(K3401="","",K3401-G3401)</f>
        <v>3</v>
      </c>
    </row>
    <row r="3402" customFormat="false" ht="15" hidden="false" customHeight="false" outlineLevel="0" collapsed="false">
      <c r="A3402" s="7" t="n">
        <v>81044857</v>
      </c>
      <c r="B3402" s="7" t="s">
        <v>68</v>
      </c>
      <c r="C3402" s="7" t="s">
        <v>7161</v>
      </c>
      <c r="D3402" s="7" t="s">
        <v>380</v>
      </c>
      <c r="E3402" s="7" t="s">
        <v>362</v>
      </c>
      <c r="F3402" s="7" t="s">
        <v>7133</v>
      </c>
      <c r="G3402" s="7" t="n">
        <v>2017</v>
      </c>
      <c r="H3402" s="7" t="s">
        <v>48</v>
      </c>
      <c r="I3402" s="7" t="s">
        <v>386</v>
      </c>
      <c r="J3402" s="7" t="s">
        <v>169</v>
      </c>
      <c r="K3402" s="7" t="n">
        <f aca="false">IFERROR(VALUE(RIGHT(TRIM(F3402),4)),"")</f>
        <v>2019</v>
      </c>
      <c r="L3402" s="7" t="str">
        <f aca="false">IF(TRIM(E3402)="","Unknown",IFERROR(LEFT(TRIM(E3402),FIND(",",TRIM(E3402))-1),TRIM(E3402)))</f>
        <v>Indonesia</v>
      </c>
      <c r="M3402" s="7" t="str">
        <f aca="false">IFERROR(LEFT(J3402,FIND(",",J3402)-1),J3402)</f>
        <v>Horror Movies</v>
      </c>
      <c r="N3402" s="7" t="n">
        <f aca="false">IF(B3402="Movie",IFERROR(VALUE(LEFT(I3402,FIND(" ",I3402)-1)),""),"")</f>
        <v>117</v>
      </c>
      <c r="O3402" s="7" t="str">
        <f aca="false">IF(B3402="TV Show",IFERROR(VALUE(LEFT(I3402,FIND(" ",I3402)-1)),""),"")</f>
        <v/>
      </c>
      <c r="P3402" s="7" t="n">
        <f aca="false">IF(K3402="","",K3402-G3402)</f>
        <v>2</v>
      </c>
    </row>
    <row r="3403" customFormat="false" ht="15" hidden="false" customHeight="false" outlineLevel="0" collapsed="false">
      <c r="A3403" s="7" t="n">
        <v>80154682</v>
      </c>
      <c r="B3403" s="7" t="s">
        <v>68</v>
      </c>
      <c r="C3403" s="7" t="s">
        <v>7162</v>
      </c>
      <c r="D3403" s="7" t="s">
        <v>7163</v>
      </c>
      <c r="E3403" s="7" t="s">
        <v>26</v>
      </c>
      <c r="F3403" s="7" t="s">
        <v>7164</v>
      </c>
      <c r="G3403" s="7" t="n">
        <v>2016</v>
      </c>
      <c r="H3403" s="7" t="s">
        <v>54</v>
      </c>
      <c r="I3403" s="7" t="s">
        <v>77</v>
      </c>
      <c r="J3403" s="7" t="s">
        <v>7046</v>
      </c>
      <c r="K3403" s="7" t="n">
        <f aca="false">IFERROR(VALUE(RIGHT(TRIM(F3403),4)),"")</f>
        <v>2018</v>
      </c>
      <c r="L3403" s="7" t="str">
        <f aca="false">IF(TRIM(E3403)="","Unknown",IFERROR(LEFT(TRIM(E3403),FIND(",",TRIM(E3403))-1),TRIM(E3403)))</f>
        <v>United States</v>
      </c>
      <c r="M3403" s="7" t="str">
        <f aca="false">IFERROR(LEFT(J3403,FIND(",",J3403)-1),J3403)</f>
        <v>Dramas</v>
      </c>
      <c r="N3403" s="7" t="n">
        <f aca="false">IF(B3403="Movie",IFERROR(VALUE(LEFT(I3403,FIND(" ",I3403)-1)),""),"")</f>
        <v>94</v>
      </c>
      <c r="O3403" s="7" t="str">
        <f aca="false">IF(B3403="TV Show",IFERROR(VALUE(LEFT(I3403,FIND(" ",I3403)-1)),""),"")</f>
        <v/>
      </c>
      <c r="P3403" s="7" t="n">
        <f aca="false">IF(K3403="","",K3403-G3403)</f>
        <v>2</v>
      </c>
    </row>
    <row r="3404" customFormat="false" ht="15" hidden="false" customHeight="false" outlineLevel="0" collapsed="false">
      <c r="A3404" s="7" t="n">
        <v>80158543</v>
      </c>
      <c r="B3404" s="7" t="s">
        <v>68</v>
      </c>
      <c r="C3404" s="7" t="s">
        <v>7165</v>
      </c>
      <c r="D3404" s="7" t="s">
        <v>1092</v>
      </c>
      <c r="E3404" s="7" t="s">
        <v>7166</v>
      </c>
      <c r="F3404" s="7" t="s">
        <v>7164</v>
      </c>
      <c r="G3404" s="7" t="n">
        <v>1980</v>
      </c>
      <c r="H3404" s="7" t="s">
        <v>50</v>
      </c>
      <c r="I3404" s="7" t="s">
        <v>1989</v>
      </c>
      <c r="J3404" s="7" t="s">
        <v>367</v>
      </c>
      <c r="K3404" s="7" t="n">
        <f aca="false">IFERROR(VALUE(RIGHT(TRIM(F3404),4)),"")</f>
        <v>2018</v>
      </c>
      <c r="L3404" s="7" t="str">
        <f aca="false">IF(TRIM(E3404)="","Unknown",IFERROR(LEFT(TRIM(E3404),FIND(",",TRIM(E3404))-1),TRIM(E3404)))</f>
        <v>Soviet Union</v>
      </c>
      <c r="M3404" s="7" t="str">
        <f aca="false">IFERROR(LEFT(J3404,FIND(",",J3404)-1),J3404)</f>
        <v>Action &amp; Adventure</v>
      </c>
      <c r="N3404" s="7" t="n">
        <f aca="false">IF(B3404="Movie",IFERROR(VALUE(LEFT(I3404,FIND(" ",I3404)-1)),""),"")</f>
        <v>147</v>
      </c>
      <c r="O3404" s="7" t="str">
        <f aca="false">IF(B3404="TV Show",IFERROR(VALUE(LEFT(I3404,FIND(" ",I3404)-1)),""),"")</f>
        <v/>
      </c>
      <c r="P3404" s="7" t="n">
        <f aca="false">IF(K3404="","",K3404-G3404)</f>
        <v>38</v>
      </c>
    </row>
    <row r="3405" customFormat="false" ht="15" hidden="false" customHeight="false" outlineLevel="0" collapsed="false">
      <c r="A3405" s="7" t="n">
        <v>80216543</v>
      </c>
      <c r="B3405" s="7" t="s">
        <v>68</v>
      </c>
      <c r="C3405" s="7" t="s">
        <v>7167</v>
      </c>
      <c r="D3405" s="7" t="s">
        <v>7168</v>
      </c>
      <c r="E3405" s="7" t="s">
        <v>26</v>
      </c>
      <c r="F3405" s="7" t="s">
        <v>7164</v>
      </c>
      <c r="G3405" s="7" t="n">
        <v>2017</v>
      </c>
      <c r="H3405" s="7" t="s">
        <v>50</v>
      </c>
      <c r="I3405" s="7" t="s">
        <v>77</v>
      </c>
      <c r="J3405" s="7" t="s">
        <v>39</v>
      </c>
      <c r="K3405" s="7" t="n">
        <f aca="false">IFERROR(VALUE(RIGHT(TRIM(F3405),4)),"")</f>
        <v>2018</v>
      </c>
      <c r="L3405" s="7" t="str">
        <f aca="false">IF(TRIM(E3405)="","Unknown",IFERROR(LEFT(TRIM(E3405),FIND(",",TRIM(E3405))-1),TRIM(E3405)))</f>
        <v>United States</v>
      </c>
      <c r="M3405" s="7" t="str">
        <f aca="false">IFERROR(LEFT(J3405,FIND(",",J3405)-1),J3405)</f>
        <v>Documentaries</v>
      </c>
      <c r="N3405" s="7" t="n">
        <f aca="false">IF(B3405="Movie",IFERROR(VALUE(LEFT(I3405,FIND(" ",I3405)-1)),""),"")</f>
        <v>94</v>
      </c>
      <c r="O3405" s="7" t="str">
        <f aca="false">IF(B3405="TV Show",IFERROR(VALUE(LEFT(I3405,FIND(" ",I3405)-1)),""),"")</f>
        <v/>
      </c>
      <c r="P3405" s="7" t="n">
        <f aca="false">IF(K3405="","",K3405-G3405)</f>
        <v>1</v>
      </c>
    </row>
    <row r="3406" customFormat="false" ht="15" hidden="false" customHeight="false" outlineLevel="0" collapsed="false">
      <c r="A3406" s="7" t="n">
        <v>80223136</v>
      </c>
      <c r="B3406" s="7" t="s">
        <v>68</v>
      </c>
      <c r="C3406" s="7" t="s">
        <v>7169</v>
      </c>
      <c r="D3406" s="7" t="s">
        <v>7170</v>
      </c>
      <c r="E3406" s="7" t="s">
        <v>26</v>
      </c>
      <c r="F3406" s="7" t="s">
        <v>7164</v>
      </c>
      <c r="G3406" s="7" t="n">
        <v>2017</v>
      </c>
      <c r="H3406" s="7" t="s">
        <v>48</v>
      </c>
      <c r="I3406" s="7" t="s">
        <v>357</v>
      </c>
      <c r="J3406" s="7" t="s">
        <v>150</v>
      </c>
      <c r="K3406" s="7" t="n">
        <f aca="false">IFERROR(VALUE(RIGHT(TRIM(F3406),4)),"")</f>
        <v>2018</v>
      </c>
      <c r="L3406" s="7" t="str">
        <f aca="false">IF(TRIM(E3406)="","Unknown",IFERROR(LEFT(TRIM(E3406),FIND(",",TRIM(E3406))-1),TRIM(E3406)))</f>
        <v>United States</v>
      </c>
      <c r="M3406" s="7" t="str">
        <f aca="false">IFERROR(LEFT(J3406,FIND(",",J3406)-1),J3406)</f>
        <v>Dramas</v>
      </c>
      <c r="N3406" s="7" t="n">
        <f aca="false">IF(B3406="Movie",IFERROR(VALUE(LEFT(I3406,FIND(" ",I3406)-1)),""),"")</f>
        <v>89</v>
      </c>
      <c r="O3406" s="7" t="str">
        <f aca="false">IF(B3406="TV Show",IFERROR(VALUE(LEFT(I3406,FIND(" ",I3406)-1)),""),"")</f>
        <v/>
      </c>
      <c r="P3406" s="7" t="n">
        <f aca="false">IF(K3406="","",K3406-G3406)</f>
        <v>1</v>
      </c>
    </row>
    <row r="3407" customFormat="false" ht="15" hidden="false" customHeight="false" outlineLevel="0" collapsed="false">
      <c r="A3407" s="7" t="n">
        <v>80189955</v>
      </c>
      <c r="B3407" s="7" t="s">
        <v>68</v>
      </c>
      <c r="C3407" s="7" t="s">
        <v>7171</v>
      </c>
      <c r="D3407" s="7" t="s">
        <v>7172</v>
      </c>
      <c r="E3407" s="7" t="s">
        <v>28</v>
      </c>
      <c r="F3407" s="7" t="s">
        <v>7164</v>
      </c>
      <c r="G3407" s="7" t="n">
        <v>2017</v>
      </c>
      <c r="H3407" s="7" t="s">
        <v>48</v>
      </c>
      <c r="I3407" s="7" t="s">
        <v>357</v>
      </c>
      <c r="J3407" s="7" t="s">
        <v>341</v>
      </c>
      <c r="K3407" s="7" t="n">
        <f aca="false">IFERROR(VALUE(RIGHT(TRIM(F3407),4)),"")</f>
        <v>2018</v>
      </c>
      <c r="L3407" s="7" t="str">
        <f aca="false">IF(TRIM(E3407)="","Unknown",IFERROR(LEFT(TRIM(E3407),FIND(",",TRIM(E3407))-1),TRIM(E3407)))</f>
        <v>United Kingdom</v>
      </c>
      <c r="M3407" s="7" t="str">
        <f aca="false">IFERROR(LEFT(J3407,FIND(",",J3407)-1),J3407)</f>
        <v>Documentaries</v>
      </c>
      <c r="N3407" s="7" t="n">
        <f aca="false">IF(B3407="Movie",IFERROR(VALUE(LEFT(I3407,FIND(" ",I3407)-1)),""),"")</f>
        <v>89</v>
      </c>
      <c r="O3407" s="7" t="str">
        <f aca="false">IF(B3407="TV Show",IFERROR(VALUE(LEFT(I3407,FIND(" ",I3407)-1)),""),"")</f>
        <v/>
      </c>
      <c r="P3407" s="7" t="n">
        <f aca="false">IF(K3407="","",K3407-G3407)</f>
        <v>1</v>
      </c>
    </row>
    <row r="3408" customFormat="false" ht="15" hidden="false" customHeight="false" outlineLevel="0" collapsed="false">
      <c r="A3408" s="7" t="n">
        <v>80195807</v>
      </c>
      <c r="B3408" s="7" t="s">
        <v>68</v>
      </c>
      <c r="C3408" s="7" t="s">
        <v>7173</v>
      </c>
      <c r="D3408" s="7" t="s">
        <v>7174</v>
      </c>
      <c r="E3408" s="7" t="s">
        <v>26</v>
      </c>
      <c r="F3408" s="7" t="s">
        <v>7164</v>
      </c>
      <c r="G3408" s="7" t="n">
        <v>2017</v>
      </c>
      <c r="H3408" s="7" t="s">
        <v>48</v>
      </c>
      <c r="I3408" s="7" t="s">
        <v>357</v>
      </c>
      <c r="J3408" s="7" t="s">
        <v>39</v>
      </c>
      <c r="K3408" s="7" t="n">
        <f aca="false">IFERROR(VALUE(RIGHT(TRIM(F3408),4)),"")</f>
        <v>2018</v>
      </c>
      <c r="L3408" s="7" t="str">
        <f aca="false">IF(TRIM(E3408)="","Unknown",IFERROR(LEFT(TRIM(E3408),FIND(",",TRIM(E3408))-1),TRIM(E3408)))</f>
        <v>United States</v>
      </c>
      <c r="M3408" s="7" t="str">
        <f aca="false">IFERROR(LEFT(J3408,FIND(",",J3408)-1),J3408)</f>
        <v>Documentaries</v>
      </c>
      <c r="N3408" s="7" t="n">
        <f aca="false">IF(B3408="Movie",IFERROR(VALUE(LEFT(I3408,FIND(" ",I3408)-1)),""),"")</f>
        <v>89</v>
      </c>
      <c r="O3408" s="7" t="str">
        <f aca="false">IF(B3408="TV Show",IFERROR(VALUE(LEFT(I3408,FIND(" ",I3408)-1)),""),"")</f>
        <v/>
      </c>
      <c r="P3408" s="7" t="n">
        <f aca="false">IF(K3408="","",K3408-G3408)</f>
        <v>1</v>
      </c>
    </row>
    <row r="3409" customFormat="false" ht="15" hidden="false" customHeight="false" outlineLevel="0" collapsed="false">
      <c r="A3409" s="7" t="n">
        <v>80116307</v>
      </c>
      <c r="B3409" s="7" t="s">
        <v>68</v>
      </c>
      <c r="C3409" s="7" t="s">
        <v>7175</v>
      </c>
      <c r="D3409" s="7" t="s">
        <v>7176</v>
      </c>
      <c r="E3409" s="7" t="s">
        <v>32</v>
      </c>
      <c r="F3409" s="7" t="s">
        <v>7164</v>
      </c>
      <c r="G3409" s="7" t="n">
        <v>2016</v>
      </c>
      <c r="H3409" s="7" t="s">
        <v>53</v>
      </c>
      <c r="I3409" s="7" t="s">
        <v>326</v>
      </c>
      <c r="J3409" s="7" t="s">
        <v>112</v>
      </c>
      <c r="K3409" s="7" t="n">
        <f aca="false">IFERROR(VALUE(RIGHT(TRIM(F3409),4)),"")</f>
        <v>2018</v>
      </c>
      <c r="L3409" s="7" t="str">
        <f aca="false">IF(TRIM(E3409)="","Unknown",IFERROR(LEFT(TRIM(E3409),FIND(",",TRIM(E3409))-1),TRIM(E3409)))</f>
        <v>South Korea</v>
      </c>
      <c r="M3409" s="7" t="str">
        <f aca="false">IFERROR(LEFT(J3409,FIND(",",J3409)-1),J3409)</f>
        <v>Action &amp; Adventure</v>
      </c>
      <c r="N3409" s="7" t="n">
        <f aca="false">IF(B3409="Movie",IFERROR(VALUE(LEFT(I3409,FIND(" ",I3409)-1)),""),"")</f>
        <v>111</v>
      </c>
      <c r="O3409" s="7" t="str">
        <f aca="false">IF(B3409="TV Show",IFERROR(VALUE(LEFT(I3409,FIND(" ",I3409)-1)),""),"")</f>
        <v/>
      </c>
      <c r="P3409" s="7" t="n">
        <f aca="false">IF(K3409="","",K3409-G3409)</f>
        <v>2</v>
      </c>
    </row>
    <row r="3410" customFormat="false" ht="15" hidden="false" customHeight="false" outlineLevel="0" collapsed="false">
      <c r="A3410" s="7" t="n">
        <v>80228321</v>
      </c>
      <c r="B3410" s="7" t="s">
        <v>68</v>
      </c>
      <c r="C3410" s="7" t="s">
        <v>7177</v>
      </c>
      <c r="D3410" s="7" t="s">
        <v>7178</v>
      </c>
      <c r="E3410" s="7" t="s">
        <v>27</v>
      </c>
      <c r="F3410" s="7" t="s">
        <v>7164</v>
      </c>
      <c r="G3410" s="7" t="n">
        <v>2015</v>
      </c>
      <c r="H3410" s="7" t="s">
        <v>49</v>
      </c>
      <c r="I3410" s="7" t="s">
        <v>1270</v>
      </c>
      <c r="J3410" s="7" t="s">
        <v>426</v>
      </c>
      <c r="K3410" s="7" t="n">
        <f aca="false">IFERROR(VALUE(RIGHT(TRIM(F3410),4)),"")</f>
        <v>2018</v>
      </c>
      <c r="L3410" s="7" t="str">
        <f aca="false">IF(TRIM(E3410)="","Unknown",IFERROR(LEFT(TRIM(E3410),FIND(",",TRIM(E3410))-1),TRIM(E3410)))</f>
        <v>India</v>
      </c>
      <c r="M3410" s="7" t="str">
        <f aca="false">IFERROR(LEFT(J3410,FIND(",",J3410)-1),J3410)</f>
        <v>International Movies</v>
      </c>
      <c r="N3410" s="7" t="n">
        <f aca="false">IF(B3410="Movie",IFERROR(VALUE(LEFT(I3410,FIND(" ",I3410)-1)),""),"")</f>
        <v>118</v>
      </c>
      <c r="O3410" s="7" t="str">
        <f aca="false">IF(B3410="TV Show",IFERROR(VALUE(LEFT(I3410,FIND(" ",I3410)-1)),""),"")</f>
        <v/>
      </c>
      <c r="P3410" s="7" t="n">
        <f aca="false">IF(K3410="","",K3410-G3410)</f>
        <v>3</v>
      </c>
    </row>
    <row r="3411" customFormat="false" ht="15" hidden="false" customHeight="false" outlineLevel="0" collapsed="false">
      <c r="A3411" s="7" t="n">
        <v>80156940</v>
      </c>
      <c r="B3411" s="7" t="s">
        <v>68</v>
      </c>
      <c r="C3411" s="7" t="s">
        <v>7179</v>
      </c>
      <c r="D3411" s="7" t="s">
        <v>1025</v>
      </c>
      <c r="E3411" s="7" t="s">
        <v>27</v>
      </c>
      <c r="F3411" s="7" t="s">
        <v>7164</v>
      </c>
      <c r="G3411" s="7" t="n">
        <v>1986</v>
      </c>
      <c r="H3411" s="7" t="s">
        <v>50</v>
      </c>
      <c r="I3411" s="7" t="s">
        <v>722</v>
      </c>
      <c r="J3411" s="7" t="s">
        <v>1042</v>
      </c>
      <c r="K3411" s="7" t="n">
        <f aca="false">IFERROR(VALUE(RIGHT(TRIM(F3411),4)),"")</f>
        <v>2018</v>
      </c>
      <c r="L3411" s="7" t="str">
        <f aca="false">IF(TRIM(E3411)="","Unknown",IFERROR(LEFT(TRIM(E3411),FIND(",",TRIM(E3411))-1),TRIM(E3411)))</f>
        <v>India</v>
      </c>
      <c r="M3411" s="7" t="str">
        <f aca="false">IFERROR(LEFT(J3411,FIND(",",J3411)-1),J3411)</f>
        <v>Dramas</v>
      </c>
      <c r="N3411" s="7" t="n">
        <f aca="false">IF(B3411="Movie",IFERROR(VALUE(LEFT(I3411,FIND(" ",I3411)-1)),""),"")</f>
        <v>153</v>
      </c>
      <c r="O3411" s="7" t="str">
        <f aca="false">IF(B3411="TV Show",IFERROR(VALUE(LEFT(I3411,FIND(" ",I3411)-1)),""),"")</f>
        <v/>
      </c>
      <c r="P3411" s="7" t="n">
        <f aca="false">IF(K3411="","",K3411-G3411)</f>
        <v>32</v>
      </c>
    </row>
    <row r="3412" customFormat="false" ht="15" hidden="false" customHeight="false" outlineLevel="0" collapsed="false">
      <c r="A3412" s="7" t="n">
        <v>80222177</v>
      </c>
      <c r="B3412" s="7" t="s">
        <v>68</v>
      </c>
      <c r="C3412" s="7" t="s">
        <v>7180</v>
      </c>
      <c r="D3412" s="7" t="s">
        <v>7181</v>
      </c>
      <c r="E3412" s="7" t="s">
        <v>1813</v>
      </c>
      <c r="F3412" s="7" t="s">
        <v>7164</v>
      </c>
      <c r="G3412" s="7" t="n">
        <v>2017</v>
      </c>
      <c r="H3412" s="7" t="s">
        <v>55</v>
      </c>
      <c r="I3412" s="7" t="s">
        <v>494</v>
      </c>
      <c r="J3412" s="7" t="s">
        <v>1134</v>
      </c>
      <c r="K3412" s="7" t="n">
        <f aca="false">IFERROR(VALUE(RIGHT(TRIM(F3412),4)),"")</f>
        <v>2018</v>
      </c>
      <c r="L3412" s="7" t="str">
        <f aca="false">IF(TRIM(E3412)="","Unknown",IFERROR(LEFT(TRIM(E3412),FIND(",",TRIM(E3412))-1),TRIM(E3412)))</f>
        <v>Australia</v>
      </c>
      <c r="M3412" s="7" t="str">
        <f aca="false">IFERROR(LEFT(J3412,FIND(",",J3412)-1),J3412)</f>
        <v>Children &amp; Family Movies</v>
      </c>
      <c r="N3412" s="7" t="n">
        <f aca="false">IF(B3412="Movie",IFERROR(VALUE(LEFT(I3412,FIND(" ",I3412)-1)),""),"")</f>
        <v>87</v>
      </c>
      <c r="O3412" s="7" t="str">
        <f aca="false">IF(B3412="TV Show",IFERROR(VALUE(LEFT(I3412,FIND(" ",I3412)-1)),""),"")</f>
        <v/>
      </c>
      <c r="P3412" s="7" t="n">
        <f aca="false">IF(K3412="","",K3412-G3412)</f>
        <v>1</v>
      </c>
    </row>
    <row r="3413" customFormat="false" ht="15" hidden="false" customHeight="false" outlineLevel="0" collapsed="false">
      <c r="A3413" s="7" t="n">
        <v>80224233</v>
      </c>
      <c r="B3413" s="7" t="s">
        <v>68</v>
      </c>
      <c r="C3413" s="7" t="s">
        <v>7182</v>
      </c>
      <c r="D3413" s="7" t="s">
        <v>7183</v>
      </c>
      <c r="E3413" s="7" t="s">
        <v>167</v>
      </c>
      <c r="F3413" s="7" t="s">
        <v>7164</v>
      </c>
      <c r="G3413" s="7" t="n">
        <v>2017</v>
      </c>
      <c r="H3413" s="7" t="s">
        <v>48</v>
      </c>
      <c r="I3413" s="7" t="s">
        <v>232</v>
      </c>
      <c r="J3413" s="7" t="s">
        <v>5838</v>
      </c>
      <c r="K3413" s="7" t="n">
        <f aca="false">IFERROR(VALUE(RIGHT(TRIM(F3413),4)),"")</f>
        <v>2018</v>
      </c>
      <c r="L3413" s="7" t="str">
        <f aca="false">IF(TRIM(E3413)="","Unknown",IFERROR(LEFT(TRIM(E3413),FIND(",",TRIM(E3413))-1),TRIM(E3413)))</f>
        <v>Thailand</v>
      </c>
      <c r="M3413" s="7" t="str">
        <f aca="false">IFERROR(LEFT(J3413,FIND(",",J3413)-1),J3413)</f>
        <v>Action &amp; Adventure</v>
      </c>
      <c r="N3413" s="7" t="n">
        <f aca="false">IF(B3413="Movie",IFERROR(VALUE(LEFT(I3413,FIND(" ",I3413)-1)),""),"")</f>
        <v>122</v>
      </c>
      <c r="O3413" s="7" t="str">
        <f aca="false">IF(B3413="TV Show",IFERROR(VALUE(LEFT(I3413,FIND(" ",I3413)-1)),""),"")</f>
        <v/>
      </c>
      <c r="P3413" s="7" t="n">
        <f aca="false">IF(K3413="","",K3413-G3413)</f>
        <v>1</v>
      </c>
    </row>
    <row r="3414" customFormat="false" ht="15" hidden="false" customHeight="false" outlineLevel="0" collapsed="false">
      <c r="A3414" s="7" t="n">
        <v>80168300</v>
      </c>
      <c r="B3414" s="7" t="s">
        <v>68</v>
      </c>
      <c r="C3414" s="7" t="s">
        <v>7184</v>
      </c>
      <c r="D3414" s="7" t="s">
        <v>7185</v>
      </c>
      <c r="E3414" s="7" t="s">
        <v>317</v>
      </c>
      <c r="F3414" s="7" t="s">
        <v>7164</v>
      </c>
      <c r="G3414" s="7" t="n">
        <v>2017</v>
      </c>
      <c r="H3414" s="7" t="s">
        <v>49</v>
      </c>
      <c r="I3414" s="7" t="s">
        <v>451</v>
      </c>
      <c r="J3414" s="7" t="s">
        <v>39</v>
      </c>
      <c r="K3414" s="7" t="n">
        <f aca="false">IFERROR(VALUE(RIGHT(TRIM(F3414),4)),"")</f>
        <v>2018</v>
      </c>
      <c r="L3414" s="7" t="str">
        <f aca="false">IF(TRIM(E3414)="","Unknown",IFERROR(LEFT(TRIM(E3414),FIND(",",TRIM(E3414))-1),TRIM(E3414)))</f>
        <v>United Kingdom</v>
      </c>
      <c r="M3414" s="7" t="str">
        <f aca="false">IFERROR(LEFT(J3414,FIND(",",J3414)-1),J3414)</f>
        <v>Documentaries</v>
      </c>
      <c r="N3414" s="7" t="n">
        <f aca="false">IF(B3414="Movie",IFERROR(VALUE(LEFT(I3414,FIND(" ",I3414)-1)),""),"")</f>
        <v>97</v>
      </c>
      <c r="O3414" s="7" t="str">
        <f aca="false">IF(B3414="TV Show",IFERROR(VALUE(LEFT(I3414,FIND(" ",I3414)-1)),""),"")</f>
        <v/>
      </c>
      <c r="P3414" s="7" t="n">
        <f aca="false">IF(K3414="","",K3414-G3414)</f>
        <v>1</v>
      </c>
    </row>
    <row r="3415" customFormat="false" ht="15" hidden="false" customHeight="false" outlineLevel="0" collapsed="false">
      <c r="A3415" s="7" t="n">
        <v>80228282</v>
      </c>
      <c r="B3415" s="7" t="s">
        <v>68</v>
      </c>
      <c r="C3415" s="7" t="s">
        <v>7186</v>
      </c>
      <c r="D3415" s="7" t="s">
        <v>7187</v>
      </c>
      <c r="E3415" s="7" t="s">
        <v>27</v>
      </c>
      <c r="F3415" s="7" t="s">
        <v>7164</v>
      </c>
      <c r="G3415" s="7" t="n">
        <v>2017</v>
      </c>
      <c r="H3415" s="7" t="s">
        <v>48</v>
      </c>
      <c r="I3415" s="7" t="s">
        <v>505</v>
      </c>
      <c r="J3415" s="7" t="s">
        <v>188</v>
      </c>
      <c r="K3415" s="7" t="n">
        <f aca="false">IFERROR(VALUE(RIGHT(TRIM(F3415),4)),"")</f>
        <v>2018</v>
      </c>
      <c r="L3415" s="7" t="str">
        <f aca="false">IF(TRIM(E3415)="","Unknown",IFERROR(LEFT(TRIM(E3415),FIND(",",TRIM(E3415))-1),TRIM(E3415)))</f>
        <v>India</v>
      </c>
      <c r="M3415" s="7" t="str">
        <f aca="false">IFERROR(LEFT(J3415,FIND(",",J3415)-1),J3415)</f>
        <v>Dramas</v>
      </c>
      <c r="N3415" s="7" t="n">
        <f aca="false">IF(B3415="Movie",IFERROR(VALUE(LEFT(I3415,FIND(" ",I3415)-1)),""),"")</f>
        <v>121</v>
      </c>
      <c r="O3415" s="7" t="str">
        <f aca="false">IF(B3415="TV Show",IFERROR(VALUE(LEFT(I3415,FIND(" ",I3415)-1)),""),"")</f>
        <v/>
      </c>
      <c r="P3415" s="7" t="n">
        <f aca="false">IF(K3415="","",K3415-G3415)</f>
        <v>1</v>
      </c>
    </row>
    <row r="3416" customFormat="false" ht="15" hidden="false" customHeight="false" outlineLevel="0" collapsed="false">
      <c r="A3416" s="7" t="n">
        <v>70114977</v>
      </c>
      <c r="B3416" s="7" t="s">
        <v>68</v>
      </c>
      <c r="C3416" s="7" t="s">
        <v>7188</v>
      </c>
      <c r="D3416" s="7" t="s">
        <v>7189</v>
      </c>
      <c r="E3416" s="7" t="s">
        <v>1081</v>
      </c>
      <c r="F3416" s="7" t="s">
        <v>7190</v>
      </c>
      <c r="G3416" s="7" t="n">
        <v>2008</v>
      </c>
      <c r="H3416" s="7" t="s">
        <v>53</v>
      </c>
      <c r="I3416" s="7" t="s">
        <v>820</v>
      </c>
      <c r="J3416" s="7" t="s">
        <v>1042</v>
      </c>
      <c r="K3416" s="7" t="n">
        <f aca="false">IFERROR(VALUE(RIGHT(TRIM(F3416),4)),"")</f>
        <v>2017</v>
      </c>
      <c r="L3416" s="7" t="str">
        <f aca="false">IF(TRIM(E3416)="","Unknown",IFERROR(LEFT(TRIM(E3416),FIND(",",TRIM(E3416))-1),TRIM(E3416)))</f>
        <v>Germany</v>
      </c>
      <c r="M3416" s="7" t="str">
        <f aca="false">IFERROR(LEFT(J3416,FIND(",",J3416)-1),J3416)</f>
        <v>Dramas</v>
      </c>
      <c r="N3416" s="7" t="n">
        <f aca="false">IF(B3416="Movie",IFERROR(VALUE(LEFT(I3416,FIND(" ",I3416)-1)),""),"")</f>
        <v>105</v>
      </c>
      <c r="O3416" s="7" t="str">
        <f aca="false">IF(B3416="TV Show",IFERROR(VALUE(LEFT(I3416,FIND(" ",I3416)-1)),""),"")</f>
        <v/>
      </c>
      <c r="P3416" s="7" t="n">
        <f aca="false">IF(K3416="","",K3416-G3416)</f>
        <v>9</v>
      </c>
    </row>
    <row r="3417" customFormat="false" ht="15" hidden="false" customHeight="false" outlineLevel="0" collapsed="false">
      <c r="A3417" s="7" t="n">
        <v>80105342</v>
      </c>
      <c r="B3417" s="7" t="s">
        <v>68</v>
      </c>
      <c r="C3417" s="7" t="s">
        <v>7191</v>
      </c>
      <c r="D3417" s="7" t="s">
        <v>5816</v>
      </c>
      <c r="E3417" s="7" t="s">
        <v>26</v>
      </c>
      <c r="F3417" s="7" t="s">
        <v>7190</v>
      </c>
      <c r="G3417" s="7" t="n">
        <v>2015</v>
      </c>
      <c r="H3417" s="7" t="s">
        <v>50</v>
      </c>
      <c r="I3417" s="7" t="s">
        <v>524</v>
      </c>
      <c r="J3417" s="7" t="s">
        <v>1085</v>
      </c>
      <c r="K3417" s="7" t="n">
        <f aca="false">IFERROR(VALUE(RIGHT(TRIM(F3417),4)),"")</f>
        <v>2017</v>
      </c>
      <c r="L3417" s="7" t="str">
        <f aca="false">IF(TRIM(E3417)="","Unknown",IFERROR(LEFT(TRIM(E3417),FIND(",",TRIM(E3417))-1),TRIM(E3417)))</f>
        <v>United States</v>
      </c>
      <c r="M3417" s="7" t="str">
        <f aca="false">IFERROR(LEFT(J3417,FIND(",",J3417)-1),J3417)</f>
        <v>Documentaries</v>
      </c>
      <c r="N3417" s="7" t="n">
        <f aca="false">IF(B3417="Movie",IFERROR(VALUE(LEFT(I3417,FIND(" ",I3417)-1)),""),"")</f>
        <v>83</v>
      </c>
      <c r="O3417" s="7" t="str">
        <f aca="false">IF(B3417="TV Show",IFERROR(VALUE(LEFT(I3417,FIND(" ",I3417)-1)),""),"")</f>
        <v/>
      </c>
      <c r="P3417" s="7" t="n">
        <f aca="false">IF(K3417="","",K3417-G3417)</f>
        <v>2</v>
      </c>
    </row>
    <row r="3418" customFormat="false" ht="15" hidden="false" customHeight="false" outlineLevel="0" collapsed="false">
      <c r="A3418" s="7" t="n">
        <v>80119140</v>
      </c>
      <c r="B3418" s="7" t="s">
        <v>68</v>
      </c>
      <c r="C3418" s="7" t="s">
        <v>7192</v>
      </c>
      <c r="D3418" s="7" t="s">
        <v>7193</v>
      </c>
      <c r="E3418" s="7" t="s">
        <v>7194</v>
      </c>
      <c r="F3418" s="7" t="s">
        <v>7190</v>
      </c>
      <c r="G3418" s="7" t="n">
        <v>2016</v>
      </c>
      <c r="H3418" s="7" t="s">
        <v>49</v>
      </c>
      <c r="I3418" s="7" t="s">
        <v>138</v>
      </c>
      <c r="J3418" s="7" t="s">
        <v>341</v>
      </c>
      <c r="K3418" s="7" t="n">
        <f aca="false">IFERROR(VALUE(RIGHT(TRIM(F3418),4)),"")</f>
        <v>2017</v>
      </c>
      <c r="L3418" s="7" t="str">
        <f aca="false">IF(TRIM(E3418)="","Unknown",IFERROR(LEFT(TRIM(E3418),FIND(",",TRIM(E3418))-1),TRIM(E3418)))</f>
        <v>Ireland</v>
      </c>
      <c r="M3418" s="7" t="str">
        <f aca="false">IFERROR(LEFT(J3418,FIND(",",J3418)-1),J3418)</f>
        <v>Documentaries</v>
      </c>
      <c r="N3418" s="7" t="n">
        <f aca="false">IF(B3418="Movie",IFERROR(VALUE(LEFT(I3418,FIND(" ",I3418)-1)),""),"")</f>
        <v>96</v>
      </c>
      <c r="O3418" s="7" t="str">
        <f aca="false">IF(B3418="TV Show",IFERROR(VALUE(LEFT(I3418,FIND(" ",I3418)-1)),""),"")</f>
        <v/>
      </c>
      <c r="P3418" s="7" t="n">
        <f aca="false">IF(K3418="","",K3418-G3418)</f>
        <v>1</v>
      </c>
    </row>
    <row r="3419" customFormat="false" ht="15" hidden="false" customHeight="false" outlineLevel="0" collapsed="false">
      <c r="A3419" s="7" t="n">
        <v>70285683</v>
      </c>
      <c r="B3419" s="7" t="s">
        <v>68</v>
      </c>
      <c r="C3419" s="7" t="s">
        <v>7195</v>
      </c>
      <c r="D3419" s="7" t="s">
        <v>7196</v>
      </c>
      <c r="E3419" s="7" t="s">
        <v>26</v>
      </c>
      <c r="F3419" s="7" t="s">
        <v>7190</v>
      </c>
      <c r="G3419" s="7" t="n">
        <v>2013</v>
      </c>
      <c r="H3419" s="7" t="s">
        <v>49</v>
      </c>
      <c r="I3419" s="7" t="s">
        <v>613</v>
      </c>
      <c r="J3419" s="7" t="s">
        <v>150</v>
      </c>
      <c r="K3419" s="7" t="n">
        <f aca="false">IFERROR(VALUE(RIGHT(TRIM(F3419),4)),"")</f>
        <v>2017</v>
      </c>
      <c r="L3419" s="7" t="str">
        <f aca="false">IF(TRIM(E3419)="","Unknown",IFERROR(LEFT(TRIM(E3419),FIND(",",TRIM(E3419))-1),TRIM(E3419)))</f>
        <v>United States</v>
      </c>
      <c r="M3419" s="7" t="str">
        <f aca="false">IFERROR(LEFT(J3419,FIND(",",J3419)-1),J3419)</f>
        <v>Dramas</v>
      </c>
      <c r="N3419" s="7" t="n">
        <f aca="false">IF(B3419="Movie",IFERROR(VALUE(LEFT(I3419,FIND(" ",I3419)-1)),""),"")</f>
        <v>84</v>
      </c>
      <c r="O3419" s="7" t="str">
        <f aca="false">IF(B3419="TV Show",IFERROR(VALUE(LEFT(I3419,FIND(" ",I3419)-1)),""),"")</f>
        <v/>
      </c>
      <c r="P3419" s="7" t="n">
        <f aca="false">IF(K3419="","",K3419-G3419)</f>
        <v>4</v>
      </c>
    </row>
    <row r="3420" customFormat="false" ht="15" hidden="false" customHeight="false" outlineLevel="0" collapsed="false">
      <c r="A3420" s="7" t="n">
        <v>80141338</v>
      </c>
      <c r="B3420" s="7" t="s">
        <v>68</v>
      </c>
      <c r="C3420" s="7" t="s">
        <v>7197</v>
      </c>
      <c r="D3420" s="7" t="s">
        <v>7198</v>
      </c>
      <c r="E3420" s="7" t="s">
        <v>7199</v>
      </c>
      <c r="F3420" s="7" t="s">
        <v>7190</v>
      </c>
      <c r="G3420" s="7" t="n">
        <v>2014</v>
      </c>
      <c r="H3420" s="7" t="s">
        <v>53</v>
      </c>
      <c r="I3420" s="7" t="s">
        <v>134</v>
      </c>
      <c r="J3420" s="7" t="s">
        <v>304</v>
      </c>
      <c r="K3420" s="7" t="n">
        <f aca="false">IFERROR(VALUE(RIGHT(TRIM(F3420),4)),"")</f>
        <v>2017</v>
      </c>
      <c r="L3420" s="7" t="str">
        <f aca="false">IF(TRIM(E3420)="","Unknown",IFERROR(LEFT(TRIM(E3420),FIND(",",TRIM(E3420))-1),TRIM(E3420)))</f>
        <v>Austria</v>
      </c>
      <c r="M3420" s="7" t="str">
        <f aca="false">IFERROR(LEFT(J3420,FIND(",",J3420)-1),J3420)</f>
        <v>Dramas</v>
      </c>
      <c r="N3420" s="7" t="n">
        <f aca="false">IF(B3420="Movie",IFERROR(VALUE(LEFT(I3420,FIND(" ",I3420)-1)),""),"")</f>
        <v>98</v>
      </c>
      <c r="O3420" s="7" t="str">
        <f aca="false">IF(B3420="TV Show",IFERROR(VALUE(LEFT(I3420,FIND(" ",I3420)-1)),""),"")</f>
        <v/>
      </c>
      <c r="P3420" s="7" t="n">
        <f aca="false">IF(K3420="","",K3420-G3420)</f>
        <v>3</v>
      </c>
    </row>
    <row r="3421" customFormat="false" ht="15" hidden="false" customHeight="false" outlineLevel="0" collapsed="false">
      <c r="A3421" s="7" t="n">
        <v>80015154</v>
      </c>
      <c r="B3421" s="7" t="s">
        <v>68</v>
      </c>
      <c r="C3421" s="7" t="s">
        <v>7200</v>
      </c>
      <c r="D3421" s="7" t="s">
        <v>7201</v>
      </c>
      <c r="E3421" s="7" t="s">
        <v>1081</v>
      </c>
      <c r="F3421" s="7" t="s">
        <v>7190</v>
      </c>
      <c r="G3421" s="7" t="n">
        <v>2014</v>
      </c>
      <c r="H3421" s="7" t="s">
        <v>48</v>
      </c>
      <c r="I3421" s="7" t="s">
        <v>470</v>
      </c>
      <c r="J3421" s="7" t="s">
        <v>358</v>
      </c>
      <c r="K3421" s="7" t="n">
        <f aca="false">IFERROR(VALUE(RIGHT(TRIM(F3421),4)),"")</f>
        <v>2017</v>
      </c>
      <c r="L3421" s="7" t="str">
        <f aca="false">IF(TRIM(E3421)="","Unknown",IFERROR(LEFT(TRIM(E3421),FIND(",",TRIM(E3421))-1),TRIM(E3421)))</f>
        <v>Germany</v>
      </c>
      <c r="M3421" s="7" t="str">
        <f aca="false">IFERROR(LEFT(J3421,FIND(",",J3421)-1),J3421)</f>
        <v>International Movies</v>
      </c>
      <c r="N3421" s="7" t="n">
        <f aca="false">IF(B3421="Movie",IFERROR(VALUE(LEFT(I3421,FIND(" ",I3421)-1)),""),"")</f>
        <v>91</v>
      </c>
      <c r="O3421" s="7" t="str">
        <f aca="false">IF(B3421="TV Show",IFERROR(VALUE(LEFT(I3421,FIND(" ",I3421)-1)),""),"")</f>
        <v/>
      </c>
      <c r="P3421" s="7" t="n">
        <f aca="false">IF(K3421="","",K3421-G3421)</f>
        <v>3</v>
      </c>
    </row>
    <row r="3422" customFormat="false" ht="15" hidden="false" customHeight="false" outlineLevel="0" collapsed="false">
      <c r="A3422" s="7" t="n">
        <v>80106440</v>
      </c>
      <c r="B3422" s="7" t="s">
        <v>68</v>
      </c>
      <c r="C3422" s="7" t="s">
        <v>7202</v>
      </c>
      <c r="D3422" s="7" t="s">
        <v>7203</v>
      </c>
      <c r="E3422" s="7" t="s">
        <v>26</v>
      </c>
      <c r="F3422" s="7" t="s">
        <v>7190</v>
      </c>
      <c r="G3422" s="7" t="n">
        <v>2016</v>
      </c>
      <c r="H3422" s="7" t="s">
        <v>48</v>
      </c>
      <c r="I3422" s="7" t="s">
        <v>357</v>
      </c>
      <c r="J3422" s="7" t="s">
        <v>566</v>
      </c>
      <c r="K3422" s="7" t="n">
        <f aca="false">IFERROR(VALUE(RIGHT(TRIM(F3422),4)),"")</f>
        <v>2017</v>
      </c>
      <c r="L3422" s="7" t="str">
        <f aca="false">IF(TRIM(E3422)="","Unknown",IFERROR(LEFT(TRIM(E3422),FIND(",",TRIM(E3422))-1),TRIM(E3422)))</f>
        <v>United States</v>
      </c>
      <c r="M3422" s="7" t="str">
        <f aca="false">IFERROR(LEFT(J3422,FIND(",",J3422)-1),J3422)</f>
        <v>Dramas</v>
      </c>
      <c r="N3422" s="7" t="n">
        <f aca="false">IF(B3422="Movie",IFERROR(VALUE(LEFT(I3422,FIND(" ",I3422)-1)),""),"")</f>
        <v>89</v>
      </c>
      <c r="O3422" s="7" t="str">
        <f aca="false">IF(B3422="TV Show",IFERROR(VALUE(LEFT(I3422,FIND(" ",I3422)-1)),""),"")</f>
        <v/>
      </c>
      <c r="P3422" s="7" t="n">
        <f aca="false">IF(K3422="","",K3422-G3422)</f>
        <v>1</v>
      </c>
    </row>
    <row r="3423" customFormat="false" ht="15" hidden="false" customHeight="false" outlineLevel="0" collapsed="false">
      <c r="A3423" s="7" t="n">
        <v>80128690</v>
      </c>
      <c r="B3423" s="7" t="s">
        <v>68</v>
      </c>
      <c r="C3423" s="7" t="s">
        <v>7204</v>
      </c>
      <c r="D3423" s="7" t="s">
        <v>5644</v>
      </c>
      <c r="E3423" s="7" t="s">
        <v>34</v>
      </c>
      <c r="F3423" s="7" t="s">
        <v>7190</v>
      </c>
      <c r="G3423" s="7" t="n">
        <v>2015</v>
      </c>
      <c r="H3423" s="7" t="s">
        <v>53</v>
      </c>
      <c r="I3423" s="7" t="s">
        <v>73</v>
      </c>
      <c r="J3423" s="7" t="s">
        <v>2725</v>
      </c>
      <c r="K3423" s="7" t="n">
        <f aca="false">IFERROR(VALUE(RIGHT(TRIM(F3423),4)),"")</f>
        <v>2017</v>
      </c>
      <c r="L3423" s="7" t="str">
        <f aca="false">IF(TRIM(E3423)="","Unknown",IFERROR(LEFT(TRIM(E3423),FIND(",",TRIM(E3423))-1),TRIM(E3423)))</f>
        <v>Mexico</v>
      </c>
      <c r="M3423" s="7" t="str">
        <f aca="false">IFERROR(LEFT(J3423,FIND(",",J3423)-1),J3423)</f>
        <v>Horror Movies</v>
      </c>
      <c r="N3423" s="7" t="n">
        <f aca="false">IF(B3423="Movie",IFERROR(VALUE(LEFT(I3423,FIND(" ",I3423)-1)),""),"")</f>
        <v>90</v>
      </c>
      <c r="O3423" s="7" t="str">
        <f aca="false">IF(B3423="TV Show",IFERROR(VALUE(LEFT(I3423,FIND(" ",I3423)-1)),""),"")</f>
        <v/>
      </c>
      <c r="P3423" s="7" t="n">
        <f aca="false">IF(K3423="","",K3423-G3423)</f>
        <v>2</v>
      </c>
    </row>
    <row r="3424" customFormat="false" ht="15" hidden="false" customHeight="false" outlineLevel="0" collapsed="false">
      <c r="A3424" s="7" t="n">
        <v>80156769</v>
      </c>
      <c r="B3424" s="7" t="s">
        <v>68</v>
      </c>
      <c r="C3424" s="7" t="s">
        <v>7205</v>
      </c>
      <c r="E3424" s="7" t="s">
        <v>27</v>
      </c>
      <c r="F3424" s="7" t="s">
        <v>7190</v>
      </c>
      <c r="G3424" s="7" t="n">
        <v>2015</v>
      </c>
      <c r="H3424" s="7" t="s">
        <v>49</v>
      </c>
      <c r="I3424" s="7" t="s">
        <v>357</v>
      </c>
      <c r="J3424" s="7" t="s">
        <v>304</v>
      </c>
      <c r="K3424" s="7" t="n">
        <f aca="false">IFERROR(VALUE(RIGHT(TRIM(F3424),4)),"")</f>
        <v>2017</v>
      </c>
      <c r="L3424" s="7" t="str">
        <f aca="false">IF(TRIM(E3424)="","Unknown",IFERROR(LEFT(TRIM(E3424),FIND(",",TRIM(E3424))-1),TRIM(E3424)))</f>
        <v>India</v>
      </c>
      <c r="M3424" s="7" t="str">
        <f aca="false">IFERROR(LEFT(J3424,FIND(",",J3424)-1),J3424)</f>
        <v>Dramas</v>
      </c>
      <c r="N3424" s="7" t="n">
        <f aca="false">IF(B3424="Movie",IFERROR(VALUE(LEFT(I3424,FIND(" ",I3424)-1)),""),"")</f>
        <v>89</v>
      </c>
      <c r="O3424" s="7" t="str">
        <f aca="false">IF(B3424="TV Show",IFERROR(VALUE(LEFT(I3424,FIND(" ",I3424)-1)),""),"")</f>
        <v/>
      </c>
      <c r="P3424" s="7" t="n">
        <f aca="false">IF(K3424="","",K3424-G3424)</f>
        <v>2</v>
      </c>
    </row>
    <row r="3425" customFormat="false" ht="15" hidden="false" customHeight="false" outlineLevel="0" collapsed="false">
      <c r="A3425" s="7" t="n">
        <v>80141337</v>
      </c>
      <c r="B3425" s="7" t="s">
        <v>68</v>
      </c>
      <c r="C3425" s="7" t="s">
        <v>7206</v>
      </c>
      <c r="D3425" s="7" t="s">
        <v>7207</v>
      </c>
      <c r="E3425" s="7" t="s">
        <v>1081</v>
      </c>
      <c r="F3425" s="7" t="s">
        <v>7190</v>
      </c>
      <c r="G3425" s="7" t="n">
        <v>2014</v>
      </c>
      <c r="H3425" s="7" t="s">
        <v>53</v>
      </c>
      <c r="I3425" s="7" t="s">
        <v>869</v>
      </c>
      <c r="J3425" s="7" t="s">
        <v>304</v>
      </c>
      <c r="K3425" s="7" t="n">
        <f aca="false">IFERROR(VALUE(RIGHT(TRIM(F3425),4)),"")</f>
        <v>2017</v>
      </c>
      <c r="L3425" s="7" t="str">
        <f aca="false">IF(TRIM(E3425)="","Unknown",IFERROR(LEFT(TRIM(E3425),FIND(",",TRIM(E3425))-1),TRIM(E3425)))</f>
        <v>Germany</v>
      </c>
      <c r="M3425" s="7" t="str">
        <f aca="false">IFERROR(LEFT(J3425,FIND(",",J3425)-1),J3425)</f>
        <v>Dramas</v>
      </c>
      <c r="N3425" s="7" t="n">
        <f aca="false">IF(B3425="Movie",IFERROR(VALUE(LEFT(I3425,FIND(" ",I3425)-1)),""),"")</f>
        <v>123</v>
      </c>
      <c r="O3425" s="7" t="str">
        <f aca="false">IF(B3425="TV Show",IFERROR(VALUE(LEFT(I3425,FIND(" ",I3425)-1)),""),"")</f>
        <v/>
      </c>
      <c r="P3425" s="7" t="n">
        <f aca="false">IF(K3425="","",K3425-G3425)</f>
        <v>3</v>
      </c>
    </row>
    <row r="3426" customFormat="false" ht="15" hidden="false" customHeight="false" outlineLevel="0" collapsed="false">
      <c r="A3426" s="7" t="n">
        <v>70118799</v>
      </c>
      <c r="B3426" s="7" t="s">
        <v>68</v>
      </c>
      <c r="C3426" s="7" t="s">
        <v>7208</v>
      </c>
      <c r="D3426" s="7" t="s">
        <v>1367</v>
      </c>
      <c r="E3426" s="7" t="s">
        <v>429</v>
      </c>
      <c r="F3426" s="7" t="s">
        <v>7209</v>
      </c>
      <c r="G3426" s="7" t="n">
        <v>2008</v>
      </c>
      <c r="H3426" s="7" t="s">
        <v>51</v>
      </c>
      <c r="I3426" s="7" t="s">
        <v>294</v>
      </c>
      <c r="J3426" s="7" t="s">
        <v>112</v>
      </c>
      <c r="K3426" s="7" t="n">
        <f aca="false">IFERROR(VALUE(RIGHT(TRIM(F3426),4)),"")</f>
        <v>2016</v>
      </c>
      <c r="L3426" s="7" t="str">
        <f aca="false">IF(TRIM(E3426)="","Unknown",IFERROR(LEFT(TRIM(E3426),FIND(",",TRIM(E3426))-1),TRIM(E3426)))</f>
        <v>Hong Kong</v>
      </c>
      <c r="M3426" s="7" t="str">
        <f aca="false">IFERROR(LEFT(J3426,FIND(",",J3426)-1),J3426)</f>
        <v>Action &amp; Adventure</v>
      </c>
      <c r="N3426" s="7" t="n">
        <f aca="false">IF(B3426="Movie",IFERROR(VALUE(LEFT(I3426,FIND(" ",I3426)-1)),""),"")</f>
        <v>107</v>
      </c>
      <c r="O3426" s="7" t="str">
        <f aca="false">IF(B3426="TV Show",IFERROR(VALUE(LEFT(I3426,FIND(" ",I3426)-1)),""),"")</f>
        <v/>
      </c>
      <c r="P3426" s="7" t="n">
        <f aca="false">IF(K3426="","",K3426-G3426)</f>
        <v>8</v>
      </c>
    </row>
    <row r="3427" customFormat="false" ht="15" hidden="false" customHeight="false" outlineLevel="0" collapsed="false">
      <c r="A3427" s="7" t="n">
        <v>70137753</v>
      </c>
      <c r="B3427" s="7" t="s">
        <v>68</v>
      </c>
      <c r="C3427" s="7" t="s">
        <v>7210</v>
      </c>
      <c r="D3427" s="7" t="s">
        <v>1367</v>
      </c>
      <c r="E3427" s="7" t="s">
        <v>429</v>
      </c>
      <c r="F3427" s="7" t="s">
        <v>7209</v>
      </c>
      <c r="G3427" s="7" t="n">
        <v>2010</v>
      </c>
      <c r="H3427" s="7" t="s">
        <v>51</v>
      </c>
      <c r="I3427" s="7" t="s">
        <v>268</v>
      </c>
      <c r="J3427" s="7" t="s">
        <v>322</v>
      </c>
      <c r="K3427" s="7" t="n">
        <f aca="false">IFERROR(VALUE(RIGHT(TRIM(F3427),4)),"")</f>
        <v>2016</v>
      </c>
      <c r="L3427" s="7" t="str">
        <f aca="false">IF(TRIM(E3427)="","Unknown",IFERROR(LEFT(TRIM(E3427),FIND(",",TRIM(E3427))-1),TRIM(E3427)))</f>
        <v>Hong Kong</v>
      </c>
      <c r="M3427" s="7" t="str">
        <f aca="false">IFERROR(LEFT(J3427,FIND(",",J3427)-1),J3427)</f>
        <v>Action &amp; Adventure</v>
      </c>
      <c r="N3427" s="7" t="n">
        <f aca="false">IF(B3427="Movie",IFERROR(VALUE(LEFT(I3427,FIND(" ",I3427)-1)),""),"")</f>
        <v>108</v>
      </c>
      <c r="O3427" s="7" t="str">
        <f aca="false">IF(B3427="TV Show",IFERROR(VALUE(LEFT(I3427,FIND(" ",I3427)-1)),""),"")</f>
        <v/>
      </c>
      <c r="P3427" s="7" t="n">
        <f aca="false">IF(K3427="","",K3427-G3427)</f>
        <v>6</v>
      </c>
    </row>
    <row r="3428" customFormat="false" ht="15" hidden="false" customHeight="false" outlineLevel="0" collapsed="false">
      <c r="A3428" s="7" t="n">
        <v>80221553</v>
      </c>
      <c r="B3428" s="7" t="s">
        <v>78</v>
      </c>
      <c r="C3428" s="7" t="s">
        <v>7211</v>
      </c>
      <c r="E3428" s="7" t="s">
        <v>26</v>
      </c>
      <c r="F3428" s="7" t="s">
        <v>7212</v>
      </c>
      <c r="G3428" s="7" t="n">
        <v>2020</v>
      </c>
      <c r="H3428" s="7" t="s">
        <v>81</v>
      </c>
      <c r="I3428" s="7" t="s">
        <v>82</v>
      </c>
      <c r="J3428" s="7" t="s">
        <v>191</v>
      </c>
      <c r="K3428" s="7" t="n">
        <f aca="false">IFERROR(VALUE(RIGHT(TRIM(F3428),4)),"")</f>
        <v>2020</v>
      </c>
      <c r="L3428" s="7" t="str">
        <f aca="false">IF(TRIM(E3428)="","Unknown",IFERROR(LEFT(TRIM(E3428),FIND(",",TRIM(E3428))-1),TRIM(E3428)))</f>
        <v>United States</v>
      </c>
      <c r="M3428" s="7" t="str">
        <f aca="false">IFERROR(LEFT(J3428,FIND(",",J3428)-1),J3428)</f>
        <v>Kids' TV</v>
      </c>
      <c r="N3428" s="7" t="str">
        <f aca="false">IF(B3428="Movie",IFERROR(VALUE(LEFT(I3428,FIND(" ",I3428)-1)),""),"")</f>
        <v/>
      </c>
      <c r="O3428" s="7" t="n">
        <f aca="false">IF(B3428="TV Show",IFERROR(VALUE(LEFT(I3428,FIND(" ",I3428)-1)),""),"")</f>
        <v>1</v>
      </c>
      <c r="P3428" s="7" t="n">
        <f aca="false">IF(K3428="","",K3428-G3428)</f>
        <v>0</v>
      </c>
    </row>
    <row r="3429" customFormat="false" ht="15" hidden="false" customHeight="false" outlineLevel="0" collapsed="false">
      <c r="A3429" s="7" t="n">
        <v>81060049</v>
      </c>
      <c r="B3429" s="7" t="s">
        <v>68</v>
      </c>
      <c r="C3429" s="7" t="s">
        <v>7213</v>
      </c>
      <c r="D3429" s="7" t="s">
        <v>7214</v>
      </c>
      <c r="E3429" s="7" t="s">
        <v>26</v>
      </c>
      <c r="F3429" s="7" t="s">
        <v>7212</v>
      </c>
      <c r="G3429" s="7" t="n">
        <v>2020</v>
      </c>
      <c r="H3429" s="7" t="s">
        <v>48</v>
      </c>
      <c r="I3429" s="7" t="s">
        <v>1317</v>
      </c>
      <c r="J3429" s="7" t="s">
        <v>45</v>
      </c>
      <c r="K3429" s="7" t="n">
        <f aca="false">IFERROR(VALUE(RIGHT(TRIM(F3429),4)),"")</f>
        <v>2020</v>
      </c>
      <c r="L3429" s="7" t="str">
        <f aca="false">IF(TRIM(E3429)="","Unknown",IFERROR(LEFT(TRIM(E3429),FIND(",",TRIM(E3429))-1),TRIM(E3429)))</f>
        <v>United States</v>
      </c>
      <c r="M3429" s="7" t="str">
        <f aca="false">IFERROR(LEFT(J3429,FIND(",",J3429)-1),J3429)</f>
        <v>Stand-Up Comedy</v>
      </c>
      <c r="N3429" s="7" t="n">
        <f aca="false">IF(B3429="Movie",IFERROR(VALUE(LEFT(I3429,FIND(" ",I3429)-1)),""),"")</f>
        <v>66</v>
      </c>
      <c r="O3429" s="7" t="str">
        <f aca="false">IF(B3429="TV Show",IFERROR(VALUE(LEFT(I3429,FIND(" ",I3429)-1)),""),"")</f>
        <v/>
      </c>
      <c r="P3429" s="7" t="n">
        <f aca="false">IF(K3429="","",K3429-G3429)</f>
        <v>0</v>
      </c>
    </row>
    <row r="3430" customFormat="false" ht="15" hidden="false" customHeight="false" outlineLevel="0" collapsed="false">
      <c r="A3430" s="7" t="n">
        <v>70244163</v>
      </c>
      <c r="B3430" s="7" t="s">
        <v>68</v>
      </c>
      <c r="C3430" s="7" t="s">
        <v>7215</v>
      </c>
      <c r="D3430" s="7" t="s">
        <v>5446</v>
      </c>
      <c r="E3430" s="7" t="s">
        <v>26</v>
      </c>
      <c r="F3430" s="7" t="s">
        <v>7212</v>
      </c>
      <c r="G3430" s="7" t="n">
        <v>2012</v>
      </c>
      <c r="H3430" s="7" t="s">
        <v>51</v>
      </c>
      <c r="I3430" s="7" t="s">
        <v>749</v>
      </c>
      <c r="J3430" s="7" t="s">
        <v>150</v>
      </c>
      <c r="K3430" s="7" t="n">
        <f aca="false">IFERROR(VALUE(RIGHT(TRIM(F3430),4)),"")</f>
        <v>2020</v>
      </c>
      <c r="L3430" s="7" t="str">
        <f aca="false">IF(TRIM(E3430)="","Unknown",IFERROR(LEFT(TRIM(E3430),FIND(",",TRIM(E3430))-1),TRIM(E3430)))</f>
        <v>United States</v>
      </c>
      <c r="M3430" s="7" t="str">
        <f aca="false">IFERROR(LEFT(J3430,FIND(",",J3430)-1),J3430)</f>
        <v>Dramas</v>
      </c>
      <c r="N3430" s="7" t="n">
        <f aca="false">IF(B3430="Movie",IFERROR(VALUE(LEFT(I3430,FIND(" ",I3430)-1)),""),"")</f>
        <v>137</v>
      </c>
      <c r="O3430" s="7" t="str">
        <f aca="false">IF(B3430="TV Show",IFERROR(VALUE(LEFT(I3430,FIND(" ",I3430)-1)),""),"")</f>
        <v/>
      </c>
      <c r="P3430" s="7" t="n">
        <f aca="false">IF(K3430="","",K3430-G3430)</f>
        <v>8</v>
      </c>
    </row>
    <row r="3431" customFormat="false" ht="15" hidden="false" customHeight="false" outlineLevel="0" collapsed="false">
      <c r="A3431" s="7" t="n">
        <v>81221851</v>
      </c>
      <c r="B3431" s="7" t="s">
        <v>68</v>
      </c>
      <c r="C3431" s="7" t="s">
        <v>7216</v>
      </c>
      <c r="D3431" s="7" t="s">
        <v>7217</v>
      </c>
      <c r="E3431" s="7" t="s">
        <v>772</v>
      </c>
      <c r="F3431" s="7" t="s">
        <v>7212</v>
      </c>
      <c r="G3431" s="7" t="n">
        <v>2019</v>
      </c>
      <c r="H3431" s="7" t="s">
        <v>48</v>
      </c>
      <c r="I3431" s="7" t="s">
        <v>755</v>
      </c>
      <c r="J3431" s="7" t="s">
        <v>112</v>
      </c>
      <c r="K3431" s="7" t="n">
        <f aca="false">IFERROR(VALUE(RIGHT(TRIM(F3431),4)),"")</f>
        <v>2020</v>
      </c>
      <c r="L3431" s="7" t="str">
        <f aca="false">IF(TRIM(E3431)="","Unknown",IFERROR(LEFT(TRIM(E3431),FIND(",",TRIM(E3431))-1),TRIM(E3431)))</f>
        <v>Poland</v>
      </c>
      <c r="M3431" s="7" t="str">
        <f aca="false">IFERROR(LEFT(J3431,FIND(",",J3431)-1),J3431)</f>
        <v>Action &amp; Adventure</v>
      </c>
      <c r="N3431" s="7" t="n">
        <f aca="false">IF(B3431="Movie",IFERROR(VALUE(LEFT(I3431,FIND(" ",I3431)-1)),""),"")</f>
        <v>132</v>
      </c>
      <c r="O3431" s="7" t="str">
        <f aca="false">IF(B3431="TV Show",IFERROR(VALUE(LEFT(I3431,FIND(" ",I3431)-1)),""),"")</f>
        <v/>
      </c>
      <c r="P3431" s="7" t="n">
        <f aca="false">IF(K3431="","",K3431-G3431)</f>
        <v>1</v>
      </c>
    </row>
    <row r="3432" customFormat="false" ht="15" hidden="false" customHeight="false" outlineLevel="0" collapsed="false">
      <c r="A3432" s="7" t="n">
        <v>81009823</v>
      </c>
      <c r="B3432" s="7" t="s">
        <v>68</v>
      </c>
      <c r="C3432" s="7" t="s">
        <v>7218</v>
      </c>
      <c r="D3432" s="7" t="s">
        <v>7219</v>
      </c>
      <c r="E3432" s="7" t="s">
        <v>29</v>
      </c>
      <c r="F3432" s="7" t="s">
        <v>7220</v>
      </c>
      <c r="G3432" s="7" t="n">
        <v>2018</v>
      </c>
      <c r="H3432" s="7" t="s">
        <v>50</v>
      </c>
      <c r="I3432" s="7" t="s">
        <v>470</v>
      </c>
      <c r="J3432" s="7" t="s">
        <v>39</v>
      </c>
      <c r="K3432" s="7" t="n">
        <f aca="false">IFERROR(VALUE(RIGHT(TRIM(F3432),4)),"")</f>
        <v>2019</v>
      </c>
      <c r="L3432" s="7" t="str">
        <f aca="false">IF(TRIM(E3432)="","Unknown",IFERROR(LEFT(TRIM(E3432),FIND(",",TRIM(E3432))-1),TRIM(E3432)))</f>
        <v>Canada</v>
      </c>
      <c r="M3432" s="7" t="str">
        <f aca="false">IFERROR(LEFT(J3432,FIND(",",J3432)-1),J3432)</f>
        <v>Documentaries</v>
      </c>
      <c r="N3432" s="7" t="n">
        <f aca="false">IF(B3432="Movie",IFERROR(VALUE(LEFT(I3432,FIND(" ",I3432)-1)),""),"")</f>
        <v>91</v>
      </c>
      <c r="O3432" s="7" t="str">
        <f aca="false">IF(B3432="TV Show",IFERROR(VALUE(LEFT(I3432,FIND(" ",I3432)-1)),""),"")</f>
        <v/>
      </c>
      <c r="P3432" s="7" t="n">
        <f aca="false">IF(K3432="","",K3432-G3432)</f>
        <v>1</v>
      </c>
    </row>
    <row r="3433" customFormat="false" ht="15" hidden="false" customHeight="false" outlineLevel="0" collapsed="false">
      <c r="A3433" s="7" t="n">
        <v>81020668</v>
      </c>
      <c r="B3433" s="7" t="s">
        <v>78</v>
      </c>
      <c r="C3433" s="7" t="s">
        <v>7221</v>
      </c>
      <c r="E3433" s="7" t="s">
        <v>970</v>
      </c>
      <c r="F3433" s="7" t="s">
        <v>7220</v>
      </c>
      <c r="G3433" s="7" t="n">
        <v>2016</v>
      </c>
      <c r="H3433" s="7" t="s">
        <v>49</v>
      </c>
      <c r="I3433" s="7" t="s">
        <v>82</v>
      </c>
      <c r="J3433" s="7" t="s">
        <v>344</v>
      </c>
      <c r="K3433" s="7" t="n">
        <f aca="false">IFERROR(VALUE(RIGHT(TRIM(F3433),4)),"")</f>
        <v>2019</v>
      </c>
      <c r="L3433" s="7" t="str">
        <f aca="false">IF(TRIM(E3433)="","Unknown",IFERROR(LEFT(TRIM(E3433),FIND(",",TRIM(E3433))-1),TRIM(E3433)))</f>
        <v>Taiwan</v>
      </c>
      <c r="M3433" s="7" t="str">
        <f aca="false">IFERROR(LEFT(J3433,FIND(",",J3433)-1),J3433)</f>
        <v>International TV Shows</v>
      </c>
      <c r="N3433" s="7" t="str">
        <f aca="false">IF(B3433="Movie",IFERROR(VALUE(LEFT(I3433,FIND(" ",I3433)-1)),""),"")</f>
        <v/>
      </c>
      <c r="O3433" s="7" t="n">
        <f aca="false">IF(B3433="TV Show",IFERROR(VALUE(LEFT(I3433,FIND(" ",I3433)-1)),""),"")</f>
        <v>1</v>
      </c>
      <c r="P3433" s="7" t="n">
        <f aca="false">IF(K3433="","",K3433-G3433)</f>
        <v>3</v>
      </c>
    </row>
    <row r="3434" customFormat="false" ht="15" hidden="false" customHeight="false" outlineLevel="0" collapsed="false">
      <c r="A3434" s="7" t="n">
        <v>70298946</v>
      </c>
      <c r="B3434" s="7" t="s">
        <v>68</v>
      </c>
      <c r="C3434" s="7" t="s">
        <v>7222</v>
      </c>
      <c r="D3434" s="7" t="s">
        <v>7223</v>
      </c>
      <c r="E3434" s="7" t="s">
        <v>26</v>
      </c>
      <c r="F3434" s="7" t="s">
        <v>7224</v>
      </c>
      <c r="G3434" s="7" t="n">
        <v>2014</v>
      </c>
      <c r="H3434" s="7" t="s">
        <v>51</v>
      </c>
      <c r="I3434" s="7" t="s">
        <v>386</v>
      </c>
      <c r="J3434" s="7" t="s">
        <v>150</v>
      </c>
      <c r="K3434" s="7" t="n">
        <f aca="false">IFERROR(VALUE(RIGHT(TRIM(F3434),4)),"")</f>
        <v>2017</v>
      </c>
      <c r="L3434" s="7" t="str">
        <f aca="false">IF(TRIM(E3434)="","Unknown",IFERROR(LEFT(TRIM(E3434),FIND(",",TRIM(E3434))-1),TRIM(E3434)))</f>
        <v>United States</v>
      </c>
      <c r="M3434" s="7" t="str">
        <f aca="false">IFERROR(LEFT(J3434,FIND(",",J3434)-1),J3434)</f>
        <v>Dramas</v>
      </c>
      <c r="N3434" s="7" t="n">
        <f aca="false">IF(B3434="Movie",IFERROR(VALUE(LEFT(I3434,FIND(" ",I3434)-1)),""),"")</f>
        <v>117</v>
      </c>
      <c r="O3434" s="7" t="str">
        <f aca="false">IF(B3434="TV Show",IFERROR(VALUE(LEFT(I3434,FIND(" ",I3434)-1)),""),"")</f>
        <v/>
      </c>
      <c r="P3434" s="7" t="n">
        <f aca="false">IF(K3434="","",K3434-G3434)</f>
        <v>3</v>
      </c>
    </row>
    <row r="3435" customFormat="false" ht="15" hidden="false" customHeight="false" outlineLevel="0" collapsed="false">
      <c r="A3435" s="7" t="n">
        <v>80144144</v>
      </c>
      <c r="B3435" s="7" t="s">
        <v>68</v>
      </c>
      <c r="C3435" s="7" t="s">
        <v>7225</v>
      </c>
      <c r="D3435" s="7" t="s">
        <v>7226</v>
      </c>
      <c r="E3435" s="7" t="s">
        <v>34</v>
      </c>
      <c r="F3435" s="7" t="s">
        <v>7224</v>
      </c>
      <c r="G3435" s="7" t="n">
        <v>2016</v>
      </c>
      <c r="H3435" s="7" t="s">
        <v>49</v>
      </c>
      <c r="I3435" s="7" t="s">
        <v>205</v>
      </c>
      <c r="J3435" s="7" t="s">
        <v>240</v>
      </c>
      <c r="K3435" s="7" t="n">
        <f aca="false">IFERROR(VALUE(RIGHT(TRIM(F3435),4)),"")</f>
        <v>2017</v>
      </c>
      <c r="L3435" s="7" t="str">
        <f aca="false">IF(TRIM(E3435)="","Unknown",IFERROR(LEFT(TRIM(E3435),FIND(",",TRIM(E3435))-1),TRIM(E3435)))</f>
        <v>Mexico</v>
      </c>
      <c r="M3435" s="7" t="str">
        <f aca="false">IFERROR(LEFT(J3435,FIND(",",J3435)-1),J3435)</f>
        <v>Dramas</v>
      </c>
      <c r="N3435" s="7" t="n">
        <f aca="false">IF(B3435="Movie",IFERROR(VALUE(LEFT(I3435,FIND(" ",I3435)-1)),""),"")</f>
        <v>100</v>
      </c>
      <c r="O3435" s="7" t="str">
        <f aca="false">IF(B3435="TV Show",IFERROR(VALUE(LEFT(I3435,FIND(" ",I3435)-1)),""),"")</f>
        <v/>
      </c>
      <c r="P3435" s="7" t="n">
        <f aca="false">IF(K3435="","",K3435-G3435)</f>
        <v>1</v>
      </c>
    </row>
    <row r="3436" customFormat="false" ht="15" hidden="false" customHeight="false" outlineLevel="0" collapsed="false">
      <c r="A3436" s="7" t="n">
        <v>80106504</v>
      </c>
      <c r="B3436" s="7" t="s">
        <v>68</v>
      </c>
      <c r="C3436" s="7" t="s">
        <v>7227</v>
      </c>
      <c r="D3436" s="7" t="s">
        <v>7228</v>
      </c>
      <c r="E3436" s="7" t="s">
        <v>26</v>
      </c>
      <c r="F3436" s="7" t="s">
        <v>7224</v>
      </c>
      <c r="G3436" s="7" t="n">
        <v>2016</v>
      </c>
      <c r="H3436" s="7" t="s">
        <v>53</v>
      </c>
      <c r="I3436" s="7" t="s">
        <v>470</v>
      </c>
      <c r="J3436" s="7" t="s">
        <v>198</v>
      </c>
      <c r="K3436" s="7" t="n">
        <f aca="false">IFERROR(VALUE(RIGHT(TRIM(F3436),4)),"")</f>
        <v>2017</v>
      </c>
      <c r="L3436" s="7" t="str">
        <f aca="false">IF(TRIM(E3436)="","Unknown",IFERROR(LEFT(TRIM(E3436),FIND(",",TRIM(E3436))-1),TRIM(E3436)))</f>
        <v>United States</v>
      </c>
      <c r="M3436" s="7" t="str">
        <f aca="false">IFERROR(LEFT(J3436,FIND(",",J3436)-1),J3436)</f>
        <v>Comedies</v>
      </c>
      <c r="N3436" s="7" t="n">
        <f aca="false">IF(B3436="Movie",IFERROR(VALUE(LEFT(I3436,FIND(" ",I3436)-1)),""),"")</f>
        <v>91</v>
      </c>
      <c r="O3436" s="7" t="str">
        <f aca="false">IF(B3436="TV Show",IFERROR(VALUE(LEFT(I3436,FIND(" ",I3436)-1)),""),"")</f>
        <v/>
      </c>
      <c r="P3436" s="7" t="n">
        <f aca="false">IF(K3436="","",K3436-G3436)</f>
        <v>1</v>
      </c>
    </row>
    <row r="3437" customFormat="false" ht="15" hidden="false" customHeight="false" outlineLevel="0" collapsed="false">
      <c r="A3437" s="7" t="n">
        <v>80141335</v>
      </c>
      <c r="B3437" s="7" t="s">
        <v>68</v>
      </c>
      <c r="C3437" s="7" t="s">
        <v>7229</v>
      </c>
      <c r="D3437" s="7" t="s">
        <v>7230</v>
      </c>
      <c r="E3437" s="7" t="s">
        <v>26</v>
      </c>
      <c r="F3437" s="7" t="s">
        <v>7224</v>
      </c>
      <c r="G3437" s="7" t="n">
        <v>2016</v>
      </c>
      <c r="H3437" s="7" t="s">
        <v>53</v>
      </c>
      <c r="I3437" s="7" t="s">
        <v>494</v>
      </c>
      <c r="J3437" s="7" t="s">
        <v>150</v>
      </c>
      <c r="K3437" s="7" t="n">
        <f aca="false">IFERROR(VALUE(RIGHT(TRIM(F3437),4)),"")</f>
        <v>2017</v>
      </c>
      <c r="L3437" s="7" t="str">
        <f aca="false">IF(TRIM(E3437)="","Unknown",IFERROR(LEFT(TRIM(E3437),FIND(",",TRIM(E3437))-1),TRIM(E3437)))</f>
        <v>United States</v>
      </c>
      <c r="M3437" s="7" t="str">
        <f aca="false">IFERROR(LEFT(J3437,FIND(",",J3437)-1),J3437)</f>
        <v>Dramas</v>
      </c>
      <c r="N3437" s="7" t="n">
        <f aca="false">IF(B3437="Movie",IFERROR(VALUE(LEFT(I3437,FIND(" ",I3437)-1)),""),"")</f>
        <v>87</v>
      </c>
      <c r="O3437" s="7" t="str">
        <f aca="false">IF(B3437="TV Show",IFERROR(VALUE(LEFT(I3437,FIND(" ",I3437)-1)),""),"")</f>
        <v/>
      </c>
      <c r="P3437" s="7" t="n">
        <f aca="false">IF(K3437="","",K3437-G3437)</f>
        <v>1</v>
      </c>
    </row>
    <row r="3438" customFormat="false" ht="15" hidden="false" customHeight="false" outlineLevel="0" collapsed="false">
      <c r="A3438" s="7" t="n">
        <v>80239306</v>
      </c>
      <c r="B3438" s="7" t="s">
        <v>78</v>
      </c>
      <c r="C3438" s="7" t="s">
        <v>7231</v>
      </c>
      <c r="F3438" s="7" t="s">
        <v>7232</v>
      </c>
      <c r="G3438" s="7" t="n">
        <v>2020</v>
      </c>
      <c r="H3438" s="7" t="s">
        <v>226</v>
      </c>
      <c r="I3438" s="7" t="s">
        <v>82</v>
      </c>
      <c r="J3438" s="7" t="s">
        <v>7233</v>
      </c>
      <c r="K3438" s="7" t="n">
        <f aca="false">IFERROR(VALUE(RIGHT(TRIM(F3438),4)),"")</f>
        <v>2020</v>
      </c>
      <c r="L3438" s="7" t="str">
        <f aca="false">IF(TRIM(E3438)="","Unknown",IFERROR(LEFT(TRIM(E3438),FIND(",",TRIM(E3438))-1),TRIM(E3438)))</f>
        <v>Unknown</v>
      </c>
      <c r="M3438" s="7" t="str">
        <f aca="false">IFERROR(LEFT(J3438,FIND(",",J3438)-1),J3438)</f>
        <v>Kids' TV</v>
      </c>
      <c r="N3438" s="7" t="str">
        <f aca="false">IF(B3438="Movie",IFERROR(VALUE(LEFT(I3438,FIND(" ",I3438)-1)),""),"")</f>
        <v/>
      </c>
      <c r="O3438" s="7" t="n">
        <f aca="false">IF(B3438="TV Show",IFERROR(VALUE(LEFT(I3438,FIND(" ",I3438)-1)),""),"")</f>
        <v>1</v>
      </c>
      <c r="P3438" s="7" t="n">
        <f aca="false">IF(K3438="","",K3438-G3438)</f>
        <v>0</v>
      </c>
    </row>
    <row r="3439" customFormat="false" ht="15" hidden="false" customHeight="false" outlineLevel="0" collapsed="false">
      <c r="A3439" s="7" t="n">
        <v>80115030</v>
      </c>
      <c r="B3439" s="7" t="s">
        <v>68</v>
      </c>
      <c r="C3439" s="7" t="s">
        <v>7234</v>
      </c>
      <c r="D3439" s="7" t="s">
        <v>7235</v>
      </c>
      <c r="E3439" s="7" t="s">
        <v>26</v>
      </c>
      <c r="F3439" s="7" t="s">
        <v>7232</v>
      </c>
      <c r="G3439" s="7" t="n">
        <v>2016</v>
      </c>
      <c r="H3439" s="7" t="s">
        <v>51</v>
      </c>
      <c r="I3439" s="7" t="s">
        <v>1707</v>
      </c>
      <c r="J3439" s="7" t="s">
        <v>37</v>
      </c>
      <c r="K3439" s="7" t="n">
        <f aca="false">IFERROR(VALUE(RIGHT(TRIM(F3439),4)),"")</f>
        <v>2020</v>
      </c>
      <c r="L3439" s="7" t="str">
        <f aca="false">IF(TRIM(E3439)="","Unknown",IFERROR(LEFT(TRIM(E3439),FIND(",",TRIM(E3439))-1),TRIM(E3439)))</f>
        <v>United States</v>
      </c>
      <c r="M3439" s="7" t="str">
        <f aca="false">IFERROR(LEFT(J3439,FIND(",",J3439)-1),J3439)</f>
        <v>Dramas</v>
      </c>
      <c r="N3439" s="7" t="n">
        <f aca="false">IF(B3439="Movie",IFERROR(VALUE(LEFT(I3439,FIND(" ",I3439)-1)),""),"")</f>
        <v>131</v>
      </c>
      <c r="O3439" s="7" t="str">
        <f aca="false">IF(B3439="TV Show",IFERROR(VALUE(LEFT(I3439,FIND(" ",I3439)-1)),""),"")</f>
        <v/>
      </c>
      <c r="P3439" s="7" t="n">
        <f aca="false">IF(K3439="","",K3439-G3439)</f>
        <v>4</v>
      </c>
    </row>
    <row r="3440" customFormat="false" ht="15" hidden="false" customHeight="false" outlineLevel="0" collapsed="false">
      <c r="A3440" s="7" t="n">
        <v>70291114</v>
      </c>
      <c r="B3440" s="7" t="s">
        <v>68</v>
      </c>
      <c r="C3440" s="7" t="s">
        <v>7236</v>
      </c>
      <c r="D3440" s="7" t="s">
        <v>948</v>
      </c>
      <c r="E3440" s="7" t="s">
        <v>26</v>
      </c>
      <c r="F3440" s="7" t="s">
        <v>7237</v>
      </c>
      <c r="G3440" s="7" t="n">
        <v>2014</v>
      </c>
      <c r="H3440" s="7" t="s">
        <v>51</v>
      </c>
      <c r="I3440" s="7" t="s">
        <v>272</v>
      </c>
      <c r="J3440" s="7" t="s">
        <v>147</v>
      </c>
      <c r="K3440" s="7" t="n">
        <f aca="false">IFERROR(VALUE(RIGHT(TRIM(F3440),4)),"")</f>
        <v>2019</v>
      </c>
      <c r="L3440" s="7" t="str">
        <f aca="false">IF(TRIM(E3440)="","Unknown",IFERROR(LEFT(TRIM(E3440),FIND(",",TRIM(E3440))-1),TRIM(E3440)))</f>
        <v>United States</v>
      </c>
      <c r="M3440" s="7" t="str">
        <f aca="false">IFERROR(LEFT(J3440,FIND(",",J3440)-1),J3440)</f>
        <v>Horror Movies</v>
      </c>
      <c r="N3440" s="7" t="n">
        <f aca="false">IF(B3440="Movie",IFERROR(VALUE(LEFT(I3440,FIND(" ",I3440)-1)),""),"")</f>
        <v>93</v>
      </c>
      <c r="O3440" s="7" t="str">
        <f aca="false">IF(B3440="TV Show",IFERROR(VALUE(LEFT(I3440,FIND(" ",I3440)-1)),""),"")</f>
        <v/>
      </c>
      <c r="P3440" s="7" t="n">
        <f aca="false">IF(K3440="","",K3440-G3440)</f>
        <v>5</v>
      </c>
    </row>
    <row r="3441" customFormat="false" ht="15" hidden="false" customHeight="false" outlineLevel="0" collapsed="false">
      <c r="A3441" s="7" t="n">
        <v>81044299</v>
      </c>
      <c r="B3441" s="7" t="s">
        <v>68</v>
      </c>
      <c r="C3441" s="7" t="s">
        <v>7238</v>
      </c>
      <c r="D3441" s="7" t="s">
        <v>7239</v>
      </c>
      <c r="E3441" s="7" t="s">
        <v>27</v>
      </c>
      <c r="F3441" s="7" t="s">
        <v>7237</v>
      </c>
      <c r="G3441" s="7" t="n">
        <v>2018</v>
      </c>
      <c r="H3441" s="7" t="s">
        <v>49</v>
      </c>
      <c r="I3441" s="7" t="s">
        <v>2183</v>
      </c>
      <c r="J3441" s="7" t="s">
        <v>304</v>
      </c>
      <c r="K3441" s="7" t="n">
        <f aca="false">IFERROR(VALUE(RIGHT(TRIM(F3441),4)),"")</f>
        <v>2019</v>
      </c>
      <c r="L3441" s="7" t="str">
        <f aca="false">IF(TRIM(E3441)="","Unknown",IFERROR(LEFT(TRIM(E3441),FIND(",",TRIM(E3441))-1),TRIM(E3441)))</f>
        <v>India</v>
      </c>
      <c r="M3441" s="7" t="str">
        <f aca="false">IFERROR(LEFT(J3441,FIND(",",J3441)-1),J3441)</f>
        <v>Dramas</v>
      </c>
      <c r="N3441" s="7" t="n">
        <f aca="false">IF(B3441="Movie",IFERROR(VALUE(LEFT(I3441,FIND(" ",I3441)-1)),""),"")</f>
        <v>136</v>
      </c>
      <c r="O3441" s="7" t="str">
        <f aca="false">IF(B3441="TV Show",IFERROR(VALUE(LEFT(I3441,FIND(" ",I3441)-1)),""),"")</f>
        <v/>
      </c>
      <c r="P3441" s="7" t="n">
        <f aca="false">IF(K3441="","",K3441-G3441)</f>
        <v>1</v>
      </c>
    </row>
    <row r="3442" customFormat="false" ht="15" hidden="false" customHeight="false" outlineLevel="0" collapsed="false">
      <c r="A3442" s="7" t="n">
        <v>70113534</v>
      </c>
      <c r="B3442" s="7" t="s">
        <v>68</v>
      </c>
      <c r="C3442" s="7" t="s">
        <v>7240</v>
      </c>
      <c r="D3442" s="7" t="s">
        <v>7241</v>
      </c>
      <c r="E3442" s="7" t="s">
        <v>26</v>
      </c>
      <c r="F3442" s="7" t="s">
        <v>7237</v>
      </c>
      <c r="G3442" s="7" t="n">
        <v>2010</v>
      </c>
      <c r="H3442" s="7" t="s">
        <v>51</v>
      </c>
      <c r="I3442" s="7" t="s">
        <v>237</v>
      </c>
      <c r="J3442" s="7" t="s">
        <v>1383</v>
      </c>
      <c r="K3442" s="7" t="n">
        <f aca="false">IFERROR(VALUE(RIGHT(TRIM(F3442),4)),"")</f>
        <v>2019</v>
      </c>
      <c r="L3442" s="7" t="str">
        <f aca="false">IF(TRIM(E3442)="","Unknown",IFERROR(LEFT(TRIM(E3442),FIND(",",TRIM(E3442))-1),TRIM(E3442)))</f>
        <v>United States</v>
      </c>
      <c r="M3442" s="7" t="str">
        <f aca="false">IFERROR(LEFT(J3442,FIND(",",J3442)-1),J3442)</f>
        <v>Dramas</v>
      </c>
      <c r="N3442" s="7" t="n">
        <f aca="false">IF(B3442="Movie",IFERROR(VALUE(LEFT(I3442,FIND(" ",I3442)-1)),""),"")</f>
        <v>116</v>
      </c>
      <c r="O3442" s="7" t="str">
        <f aca="false">IF(B3442="TV Show",IFERROR(VALUE(LEFT(I3442,FIND(" ",I3442)-1)),""),"")</f>
        <v/>
      </c>
      <c r="P3442" s="7" t="n">
        <f aca="false">IF(K3442="","",K3442-G3442)</f>
        <v>9</v>
      </c>
    </row>
    <row r="3443" customFormat="false" ht="15" hidden="false" customHeight="false" outlineLevel="0" collapsed="false">
      <c r="A3443" s="7" t="n">
        <v>80113667</v>
      </c>
      <c r="B3443" s="7" t="s">
        <v>68</v>
      </c>
      <c r="C3443" s="7" t="s">
        <v>7242</v>
      </c>
      <c r="D3443" s="7" t="s">
        <v>7243</v>
      </c>
      <c r="E3443" s="7" t="s">
        <v>2407</v>
      </c>
      <c r="F3443" s="7" t="s">
        <v>7244</v>
      </c>
      <c r="G3443" s="7" t="n">
        <v>2016</v>
      </c>
      <c r="H3443" s="7" t="s">
        <v>966</v>
      </c>
      <c r="I3443" s="7" t="s">
        <v>216</v>
      </c>
      <c r="J3443" s="7" t="s">
        <v>304</v>
      </c>
      <c r="K3443" s="7" t="n">
        <f aca="false">IFERROR(VALUE(RIGHT(TRIM(F3443),4)),"")</f>
        <v>2017</v>
      </c>
      <c r="L3443" s="7" t="str">
        <f aca="false">IF(TRIM(E3443)="","Unknown",IFERROR(LEFT(TRIM(E3443),FIND(",",TRIM(E3443))-1),TRIM(E3443)))</f>
        <v>Brazil</v>
      </c>
      <c r="M3443" s="7" t="str">
        <f aca="false">IFERROR(LEFT(J3443,FIND(",",J3443)-1),J3443)</f>
        <v>Dramas</v>
      </c>
      <c r="N3443" s="7" t="n">
        <f aca="false">IF(B3443="Movie",IFERROR(VALUE(LEFT(I3443,FIND(" ",I3443)-1)),""),"")</f>
        <v>146</v>
      </c>
      <c r="O3443" s="7" t="str">
        <f aca="false">IF(B3443="TV Show",IFERROR(VALUE(LEFT(I3443,FIND(" ",I3443)-1)),""),"")</f>
        <v/>
      </c>
      <c r="P3443" s="7" t="n">
        <f aca="false">IF(K3443="","",K3443-G3443)</f>
        <v>1</v>
      </c>
    </row>
    <row r="3444" customFormat="false" ht="15" hidden="false" customHeight="false" outlineLevel="0" collapsed="false">
      <c r="A3444" s="7" t="n">
        <v>80137087</v>
      </c>
      <c r="B3444" s="7" t="s">
        <v>68</v>
      </c>
      <c r="C3444" s="7" t="s">
        <v>7245</v>
      </c>
      <c r="D3444" s="7" t="s">
        <v>7246</v>
      </c>
      <c r="E3444" s="7" t="s">
        <v>31</v>
      </c>
      <c r="F3444" s="7" t="s">
        <v>7244</v>
      </c>
      <c r="G3444" s="7" t="n">
        <v>2016</v>
      </c>
      <c r="H3444" s="7" t="s">
        <v>49</v>
      </c>
      <c r="I3444" s="7" t="s">
        <v>437</v>
      </c>
      <c r="J3444" s="7" t="s">
        <v>341</v>
      </c>
      <c r="K3444" s="7" t="n">
        <f aca="false">IFERROR(VALUE(RIGHT(TRIM(F3444),4)),"")</f>
        <v>2017</v>
      </c>
      <c r="L3444" s="7" t="str">
        <f aca="false">IF(TRIM(E3444)="","Unknown",IFERROR(LEFT(TRIM(E3444),FIND(",",TRIM(E3444))-1),TRIM(E3444)))</f>
        <v>France</v>
      </c>
      <c r="M3444" s="7" t="str">
        <f aca="false">IFERROR(LEFT(J3444,FIND(",",J3444)-1),J3444)</f>
        <v>Documentaries</v>
      </c>
      <c r="N3444" s="7" t="n">
        <f aca="false">IF(B3444="Movie",IFERROR(VALUE(LEFT(I3444,FIND(" ",I3444)-1)),""),"")</f>
        <v>82</v>
      </c>
      <c r="O3444" s="7" t="str">
        <f aca="false">IF(B3444="TV Show",IFERROR(VALUE(LEFT(I3444,FIND(" ",I3444)-1)),""),"")</f>
        <v/>
      </c>
      <c r="P3444" s="7" t="n">
        <f aca="false">IF(K3444="","",K3444-G3444)</f>
        <v>1</v>
      </c>
    </row>
    <row r="3445" customFormat="false" ht="15" hidden="false" customHeight="false" outlineLevel="0" collapsed="false">
      <c r="A3445" s="7" t="n">
        <v>80096955</v>
      </c>
      <c r="B3445" s="7" t="s">
        <v>68</v>
      </c>
      <c r="C3445" s="7" t="s">
        <v>7247</v>
      </c>
      <c r="D3445" s="7" t="s">
        <v>7248</v>
      </c>
      <c r="E3445" s="7" t="s">
        <v>26</v>
      </c>
      <c r="F3445" s="7" t="s">
        <v>7244</v>
      </c>
      <c r="G3445" s="7" t="n">
        <v>2017</v>
      </c>
      <c r="H3445" s="7" t="s">
        <v>48</v>
      </c>
      <c r="I3445" s="7" t="s">
        <v>417</v>
      </c>
      <c r="J3445" s="7" t="s">
        <v>147</v>
      </c>
      <c r="K3445" s="7" t="n">
        <f aca="false">IFERROR(VALUE(RIGHT(TRIM(F3445),4)),"")</f>
        <v>2017</v>
      </c>
      <c r="L3445" s="7" t="str">
        <f aca="false">IF(TRIM(E3445)="","Unknown",IFERROR(LEFT(TRIM(E3445),FIND(",",TRIM(E3445))-1),TRIM(E3445)))</f>
        <v>United States</v>
      </c>
      <c r="M3445" s="7" t="str">
        <f aca="false">IFERROR(LEFT(J3445,FIND(",",J3445)-1),J3445)</f>
        <v>Horror Movies</v>
      </c>
      <c r="N3445" s="7" t="n">
        <f aca="false">IF(B3445="Movie",IFERROR(VALUE(LEFT(I3445,FIND(" ",I3445)-1)),""),"")</f>
        <v>104</v>
      </c>
      <c r="O3445" s="7" t="str">
        <f aca="false">IF(B3445="TV Show",IFERROR(VALUE(LEFT(I3445,FIND(" ",I3445)-1)),""),"")</f>
        <v/>
      </c>
      <c r="P3445" s="7" t="n">
        <f aca="false">IF(K3445="","",K3445-G3445)</f>
        <v>0</v>
      </c>
    </row>
    <row r="3446" customFormat="false" ht="15" hidden="false" customHeight="false" outlineLevel="0" collapsed="false">
      <c r="A3446" s="7" t="n">
        <v>80125593</v>
      </c>
      <c r="B3446" s="7" t="s">
        <v>78</v>
      </c>
      <c r="C3446" s="7" t="s">
        <v>7249</v>
      </c>
      <c r="E3446" s="7" t="s">
        <v>1113</v>
      </c>
      <c r="F3446" s="7" t="s">
        <v>7244</v>
      </c>
      <c r="G3446" s="7" t="n">
        <v>2015</v>
      </c>
      <c r="H3446" s="7" t="s">
        <v>48</v>
      </c>
      <c r="I3446" s="7" t="s">
        <v>82</v>
      </c>
      <c r="J3446" s="7" t="s">
        <v>89</v>
      </c>
      <c r="K3446" s="7" t="n">
        <f aca="false">IFERROR(VALUE(RIGHT(TRIM(F3446),4)),"")</f>
        <v>2017</v>
      </c>
      <c r="L3446" s="7" t="str">
        <f aca="false">IF(TRIM(E3446)="","Unknown",IFERROR(LEFT(TRIM(E3446),FIND(",",TRIM(E3446))-1),TRIM(E3446)))</f>
        <v>Argentina</v>
      </c>
      <c r="M3446" s="7" t="str">
        <f aca="false">IFERROR(LEFT(J3446,FIND(",",J3446)-1),J3446)</f>
        <v>Crime TV Shows</v>
      </c>
      <c r="N3446" s="7" t="str">
        <f aca="false">IF(B3446="Movie",IFERROR(VALUE(LEFT(I3446,FIND(" ",I3446)-1)),""),"")</f>
        <v/>
      </c>
      <c r="O3446" s="7" t="n">
        <f aca="false">IF(B3446="TV Show",IFERROR(VALUE(LEFT(I3446,FIND(" ",I3446)-1)),""),"")</f>
        <v>1</v>
      </c>
      <c r="P3446" s="7" t="n">
        <f aca="false">IF(K3446="","",K3446-G3446)</f>
        <v>2</v>
      </c>
    </row>
    <row r="3447" customFormat="false" ht="15" hidden="false" customHeight="false" outlineLevel="0" collapsed="false">
      <c r="A3447" s="7" t="n">
        <v>81173792</v>
      </c>
      <c r="B3447" s="7" t="s">
        <v>68</v>
      </c>
      <c r="C3447" s="7" t="s">
        <v>7250</v>
      </c>
      <c r="D3447" s="7" t="s">
        <v>7251</v>
      </c>
      <c r="E3447" s="7" t="s">
        <v>26</v>
      </c>
      <c r="F3447" s="7" t="s">
        <v>7252</v>
      </c>
      <c r="G3447" s="7" t="n">
        <v>2018</v>
      </c>
      <c r="H3447" s="7" t="s">
        <v>49</v>
      </c>
      <c r="I3447" s="7" t="s">
        <v>1599</v>
      </c>
      <c r="J3447" s="7" t="s">
        <v>39</v>
      </c>
      <c r="K3447" s="7" t="n">
        <f aca="false">IFERROR(VALUE(RIGHT(TRIM(F3447),4)),"")</f>
        <v>2020</v>
      </c>
      <c r="L3447" s="7" t="str">
        <f aca="false">IF(TRIM(E3447)="","Unknown",IFERROR(LEFT(TRIM(E3447),FIND(",",TRIM(E3447))-1),TRIM(E3447)))</f>
        <v>United States</v>
      </c>
      <c r="M3447" s="7" t="str">
        <f aca="false">IFERROR(LEFT(J3447,FIND(",",J3447)-1),J3447)</f>
        <v>Documentaries</v>
      </c>
      <c r="N3447" s="7" t="n">
        <f aca="false">IF(B3447="Movie",IFERROR(VALUE(LEFT(I3447,FIND(" ",I3447)-1)),""),"")</f>
        <v>56</v>
      </c>
      <c r="O3447" s="7" t="str">
        <f aca="false">IF(B3447="TV Show",IFERROR(VALUE(LEFT(I3447,FIND(" ",I3447)-1)),""),"")</f>
        <v/>
      </c>
      <c r="P3447" s="7" t="n">
        <f aca="false">IF(K3447="","",K3447-G3447)</f>
        <v>2</v>
      </c>
    </row>
    <row r="3448" customFormat="false" ht="15" hidden="false" customHeight="false" outlineLevel="0" collapsed="false">
      <c r="A3448" s="7" t="n">
        <v>81113919</v>
      </c>
      <c r="B3448" s="7" t="s">
        <v>68</v>
      </c>
      <c r="C3448" s="7" t="s">
        <v>7253</v>
      </c>
      <c r="D3448" s="7" t="s">
        <v>2340</v>
      </c>
      <c r="E3448" s="7" t="s">
        <v>27</v>
      </c>
      <c r="F3448" s="7" t="s">
        <v>7252</v>
      </c>
      <c r="G3448" s="7" t="n">
        <v>2019</v>
      </c>
      <c r="H3448" s="7" t="s">
        <v>48</v>
      </c>
      <c r="I3448" s="7" t="s">
        <v>261</v>
      </c>
      <c r="J3448" s="7" t="s">
        <v>217</v>
      </c>
      <c r="K3448" s="7" t="n">
        <f aca="false">IFERROR(VALUE(RIGHT(TRIM(F3448),4)),"")</f>
        <v>2020</v>
      </c>
      <c r="L3448" s="7" t="str">
        <f aca="false">IF(TRIM(E3448)="","Unknown",IFERROR(LEFT(TRIM(E3448),FIND(",",TRIM(E3448))-1),TRIM(E3448)))</f>
        <v>India</v>
      </c>
      <c r="M3448" s="7" t="str">
        <f aca="false">IFERROR(LEFT(J3448,FIND(",",J3448)-1),J3448)</f>
        <v>Comedies</v>
      </c>
      <c r="N3448" s="7" t="n">
        <f aca="false">IF(B3448="Movie",IFERROR(VALUE(LEFT(I3448,FIND(" ",I3448)-1)),""),"")</f>
        <v>128</v>
      </c>
      <c r="O3448" s="7" t="str">
        <f aca="false">IF(B3448="TV Show",IFERROR(VALUE(LEFT(I3448,FIND(" ",I3448)-1)),""),"")</f>
        <v/>
      </c>
      <c r="P3448" s="7" t="n">
        <f aca="false">IF(K3448="","",K3448-G3448)</f>
        <v>1</v>
      </c>
    </row>
    <row r="3449" customFormat="false" ht="15" hidden="false" customHeight="false" outlineLevel="0" collapsed="false">
      <c r="A3449" s="7" t="n">
        <v>70065107</v>
      </c>
      <c r="B3449" s="7" t="s">
        <v>68</v>
      </c>
      <c r="C3449" s="7" t="s">
        <v>7254</v>
      </c>
      <c r="D3449" s="7" t="s">
        <v>7255</v>
      </c>
      <c r="E3449" s="7" t="s">
        <v>7256</v>
      </c>
      <c r="F3449" s="7" t="s">
        <v>7257</v>
      </c>
      <c r="G3449" s="7" t="n">
        <v>2007</v>
      </c>
      <c r="H3449" s="7" t="s">
        <v>52</v>
      </c>
      <c r="I3449" s="7" t="s">
        <v>505</v>
      </c>
      <c r="J3449" s="7" t="s">
        <v>269</v>
      </c>
      <c r="K3449" s="7" t="n">
        <f aca="false">IFERROR(VALUE(RIGHT(TRIM(F3449),4)),"")</f>
        <v>2019</v>
      </c>
      <c r="L3449" s="7" t="str">
        <f aca="false">IF(TRIM(E3449)="","Unknown",IFERROR(LEFT(TRIM(E3449),FIND(",",TRIM(E3449))-1),TRIM(E3449)))</f>
        <v>United Kingdom</v>
      </c>
      <c r="M3449" s="7" t="str">
        <f aca="false">IFERROR(LEFT(J3449,FIND(",",J3449)-1),J3449)</f>
        <v>Dramas</v>
      </c>
      <c r="N3449" s="7" t="n">
        <f aca="false">IF(B3449="Movie",IFERROR(VALUE(LEFT(I3449,FIND(" ",I3449)-1)),""),"")</f>
        <v>121</v>
      </c>
      <c r="O3449" s="7" t="str">
        <f aca="false">IF(B3449="TV Show",IFERROR(VALUE(LEFT(I3449,FIND(" ",I3449)-1)),""),"")</f>
        <v/>
      </c>
      <c r="P3449" s="7" t="n">
        <f aca="false">IF(K3449="","",K3449-G3449)</f>
        <v>12</v>
      </c>
    </row>
    <row r="3450" customFormat="false" ht="15" hidden="false" customHeight="false" outlineLevel="0" collapsed="false">
      <c r="A3450" s="7" t="n">
        <v>80990532</v>
      </c>
      <c r="B3450" s="7" t="s">
        <v>68</v>
      </c>
      <c r="C3450" s="7" t="s">
        <v>7258</v>
      </c>
      <c r="D3450" s="7" t="s">
        <v>7259</v>
      </c>
      <c r="E3450" s="7" t="s">
        <v>26</v>
      </c>
      <c r="F3450" s="7" t="s">
        <v>7257</v>
      </c>
      <c r="G3450" s="7" t="n">
        <v>2018</v>
      </c>
      <c r="H3450" s="7" t="s">
        <v>51</v>
      </c>
      <c r="I3450" s="7" t="s">
        <v>357</v>
      </c>
      <c r="J3450" s="7" t="s">
        <v>147</v>
      </c>
      <c r="K3450" s="7" t="n">
        <f aca="false">IFERROR(VALUE(RIGHT(TRIM(F3450),4)),"")</f>
        <v>2019</v>
      </c>
      <c r="L3450" s="7" t="str">
        <f aca="false">IF(TRIM(E3450)="","Unknown",IFERROR(LEFT(TRIM(E3450),FIND(",",TRIM(E3450))-1),TRIM(E3450)))</f>
        <v>United States</v>
      </c>
      <c r="M3450" s="7" t="str">
        <f aca="false">IFERROR(LEFT(J3450,FIND(",",J3450)-1),J3450)</f>
        <v>Horror Movies</v>
      </c>
      <c r="N3450" s="7" t="n">
        <f aca="false">IF(B3450="Movie",IFERROR(VALUE(LEFT(I3450,FIND(" ",I3450)-1)),""),"")</f>
        <v>89</v>
      </c>
      <c r="O3450" s="7" t="str">
        <f aca="false">IF(B3450="TV Show",IFERROR(VALUE(LEFT(I3450,FIND(" ",I3450)-1)),""),"")</f>
        <v/>
      </c>
      <c r="P3450" s="7" t="n">
        <f aca="false">IF(K3450="","",K3450-G3450)</f>
        <v>1</v>
      </c>
    </row>
    <row r="3451" customFormat="false" ht="15" hidden="false" customHeight="false" outlineLevel="0" collapsed="false">
      <c r="A3451" s="7" t="n">
        <v>80108149</v>
      </c>
      <c r="B3451" s="7" t="s">
        <v>68</v>
      </c>
      <c r="C3451" s="7" t="s">
        <v>7260</v>
      </c>
      <c r="D3451" s="7" t="s">
        <v>7261</v>
      </c>
      <c r="E3451" s="7" t="s">
        <v>1223</v>
      </c>
      <c r="F3451" s="7" t="s">
        <v>7262</v>
      </c>
      <c r="G3451" s="7" t="n">
        <v>2017</v>
      </c>
      <c r="H3451" s="7" t="s">
        <v>48</v>
      </c>
      <c r="I3451" s="7" t="s">
        <v>549</v>
      </c>
      <c r="J3451" s="7" t="s">
        <v>304</v>
      </c>
      <c r="K3451" s="7" t="n">
        <f aca="false">IFERROR(VALUE(RIGHT(TRIM(F3451),4)),"")</f>
        <v>2018</v>
      </c>
      <c r="L3451" s="7" t="str">
        <f aca="false">IF(TRIM(E3451)="","Unknown",IFERROR(LEFT(TRIM(E3451),FIND(",",TRIM(E3451))-1),TRIM(E3451)))</f>
        <v>Czech Republic</v>
      </c>
      <c r="M3451" s="7" t="str">
        <f aca="false">IFERROR(LEFT(J3451,FIND(",",J3451)-1),J3451)</f>
        <v>Dramas</v>
      </c>
      <c r="N3451" s="7" t="n">
        <f aca="false">IF(B3451="Movie",IFERROR(VALUE(LEFT(I3451,FIND(" ",I3451)-1)),""),"")</f>
        <v>124</v>
      </c>
      <c r="O3451" s="7" t="str">
        <f aca="false">IF(B3451="TV Show",IFERROR(VALUE(LEFT(I3451,FIND(" ",I3451)-1)),""),"")</f>
        <v/>
      </c>
      <c r="P3451" s="7" t="n">
        <f aca="false">IF(K3451="","",K3451-G3451)</f>
        <v>1</v>
      </c>
    </row>
    <row r="3452" customFormat="false" ht="15" hidden="false" customHeight="false" outlineLevel="0" collapsed="false">
      <c r="A3452" s="7" t="n">
        <v>70120182</v>
      </c>
      <c r="B3452" s="7" t="s">
        <v>68</v>
      </c>
      <c r="C3452" s="7" t="s">
        <v>7263</v>
      </c>
      <c r="D3452" s="7" t="s">
        <v>7264</v>
      </c>
      <c r="E3452" s="7" t="s">
        <v>26</v>
      </c>
      <c r="F3452" s="7" t="s">
        <v>7262</v>
      </c>
      <c r="G3452" s="7" t="n">
        <v>2009</v>
      </c>
      <c r="H3452" s="7" t="s">
        <v>49</v>
      </c>
      <c r="I3452" s="7" t="s">
        <v>1020</v>
      </c>
      <c r="J3452" s="7" t="s">
        <v>509</v>
      </c>
      <c r="K3452" s="7" t="n">
        <f aca="false">IFERROR(VALUE(RIGHT(TRIM(F3452),4)),"")</f>
        <v>2018</v>
      </c>
      <c r="L3452" s="7" t="str">
        <f aca="false">IF(TRIM(E3452)="","Unknown",IFERROR(LEFT(TRIM(E3452),FIND(",",TRIM(E3452))-1),TRIM(E3452)))</f>
        <v>United States</v>
      </c>
      <c r="M3452" s="7" t="str">
        <f aca="false">IFERROR(LEFT(J3452,FIND(",",J3452)-1),J3452)</f>
        <v>Documentaries</v>
      </c>
      <c r="N3452" s="7" t="n">
        <f aca="false">IF(B3452="Movie",IFERROR(VALUE(LEFT(I3452,FIND(" ",I3452)-1)),""),"")</f>
        <v>68</v>
      </c>
      <c r="O3452" s="7" t="str">
        <f aca="false">IF(B3452="TV Show",IFERROR(VALUE(LEFT(I3452,FIND(" ",I3452)-1)),""),"")</f>
        <v/>
      </c>
      <c r="P3452" s="7" t="n">
        <f aca="false">IF(K3452="","",K3452-G3452)</f>
        <v>9</v>
      </c>
    </row>
    <row r="3453" customFormat="false" ht="15" hidden="false" customHeight="false" outlineLevel="0" collapsed="false">
      <c r="A3453" s="7" t="n">
        <v>80173395</v>
      </c>
      <c r="B3453" s="7" t="s">
        <v>68</v>
      </c>
      <c r="C3453" s="7" t="s">
        <v>7265</v>
      </c>
      <c r="D3453" s="7" t="s">
        <v>7266</v>
      </c>
      <c r="E3453" s="7" t="s">
        <v>26</v>
      </c>
      <c r="F3453" s="7" t="s">
        <v>7262</v>
      </c>
      <c r="G3453" s="7" t="n">
        <v>2018</v>
      </c>
      <c r="H3453" s="7" t="s">
        <v>49</v>
      </c>
      <c r="I3453" s="7" t="s">
        <v>77</v>
      </c>
      <c r="J3453" s="7" t="s">
        <v>1533</v>
      </c>
      <c r="K3453" s="7" t="n">
        <f aca="false">IFERROR(VALUE(RIGHT(TRIM(F3453),4)),"")</f>
        <v>2018</v>
      </c>
      <c r="L3453" s="7" t="str">
        <f aca="false">IF(TRIM(E3453)="","Unknown",IFERROR(LEFT(TRIM(E3453),FIND(",",TRIM(E3453))-1),TRIM(E3453)))</f>
        <v>United States</v>
      </c>
      <c r="M3453" s="7" t="str">
        <f aca="false">IFERROR(LEFT(J3453,FIND(",",J3453)-1),J3453)</f>
        <v>Comedies</v>
      </c>
      <c r="N3453" s="7" t="n">
        <f aca="false">IF(B3453="Movie",IFERROR(VALUE(LEFT(I3453,FIND(" ",I3453)-1)),""),"")</f>
        <v>94</v>
      </c>
      <c r="O3453" s="7" t="str">
        <f aca="false">IF(B3453="TV Show",IFERROR(VALUE(LEFT(I3453,FIND(" ",I3453)-1)),""),"")</f>
        <v/>
      </c>
      <c r="P3453" s="7" t="n">
        <f aca="false">IF(K3453="","",K3453-G3453)</f>
        <v>0</v>
      </c>
    </row>
    <row r="3454" customFormat="false" ht="15" hidden="false" customHeight="false" outlineLevel="0" collapsed="false">
      <c r="A3454" s="7" t="n">
        <v>80226236</v>
      </c>
      <c r="B3454" s="7" t="s">
        <v>68</v>
      </c>
      <c r="C3454" s="7" t="s">
        <v>7267</v>
      </c>
      <c r="D3454" s="7" t="s">
        <v>7268</v>
      </c>
      <c r="E3454" s="7" t="s">
        <v>32</v>
      </c>
      <c r="F3454" s="7" t="s">
        <v>7262</v>
      </c>
      <c r="G3454" s="7" t="n">
        <v>2017</v>
      </c>
      <c r="H3454" s="7" t="s">
        <v>48</v>
      </c>
      <c r="I3454" s="7" t="s">
        <v>205</v>
      </c>
      <c r="J3454" s="7" t="s">
        <v>341</v>
      </c>
      <c r="K3454" s="7" t="n">
        <f aca="false">IFERROR(VALUE(RIGHT(TRIM(F3454),4)),"")</f>
        <v>2018</v>
      </c>
      <c r="L3454" s="7" t="str">
        <f aca="false">IF(TRIM(E3454)="","Unknown",IFERROR(LEFT(TRIM(E3454),FIND(",",TRIM(E3454))-1),TRIM(E3454)))</f>
        <v>South Korea</v>
      </c>
      <c r="M3454" s="7" t="str">
        <f aca="false">IFERROR(LEFT(J3454,FIND(",",J3454)-1),J3454)</f>
        <v>Documentaries</v>
      </c>
      <c r="N3454" s="7" t="n">
        <f aca="false">IF(B3454="Movie",IFERROR(VALUE(LEFT(I3454,FIND(" ",I3454)-1)),""),"")</f>
        <v>100</v>
      </c>
      <c r="O3454" s="7" t="str">
        <f aca="false">IF(B3454="TV Show",IFERROR(VALUE(LEFT(I3454,FIND(" ",I3454)-1)),""),"")</f>
        <v/>
      </c>
      <c r="P3454" s="7" t="n">
        <f aca="false">IF(K3454="","",K3454-G3454)</f>
        <v>1</v>
      </c>
    </row>
    <row r="3455" customFormat="false" ht="15" hidden="false" customHeight="false" outlineLevel="0" collapsed="false">
      <c r="A3455" s="7" t="n">
        <v>80187307</v>
      </c>
      <c r="B3455" s="7" t="s">
        <v>68</v>
      </c>
      <c r="C3455" s="7" t="s">
        <v>7269</v>
      </c>
      <c r="D3455" s="7" t="s">
        <v>1621</v>
      </c>
      <c r="E3455" s="7" t="s">
        <v>26</v>
      </c>
      <c r="F3455" s="7" t="s">
        <v>7262</v>
      </c>
      <c r="G3455" s="7" t="n">
        <v>2018</v>
      </c>
      <c r="H3455" s="7" t="s">
        <v>48</v>
      </c>
      <c r="I3455" s="7" t="s">
        <v>861</v>
      </c>
      <c r="J3455" s="7" t="s">
        <v>45</v>
      </c>
      <c r="K3455" s="7" t="n">
        <f aca="false">IFERROR(VALUE(RIGHT(TRIM(F3455),4)),"")</f>
        <v>2018</v>
      </c>
      <c r="L3455" s="7" t="str">
        <f aca="false">IF(TRIM(E3455)="","Unknown",IFERROR(LEFT(TRIM(E3455),FIND(",",TRIM(E3455))-1),TRIM(E3455)))</f>
        <v>United States</v>
      </c>
      <c r="M3455" s="7" t="str">
        <f aca="false">IFERROR(LEFT(J3455,FIND(",",J3455)-1),J3455)</f>
        <v>Stand-Up Comedy</v>
      </c>
      <c r="N3455" s="7" t="n">
        <f aca="false">IF(B3455="Movie",IFERROR(VALUE(LEFT(I3455,FIND(" ",I3455)-1)),""),"")</f>
        <v>71</v>
      </c>
      <c r="O3455" s="7" t="str">
        <f aca="false">IF(B3455="TV Show",IFERROR(VALUE(LEFT(I3455,FIND(" ",I3455)-1)),""),"")</f>
        <v/>
      </c>
      <c r="P3455" s="7" t="n">
        <f aca="false">IF(K3455="","",K3455-G3455)</f>
        <v>0</v>
      </c>
    </row>
    <row r="3456" customFormat="false" ht="15" hidden="false" customHeight="false" outlineLevel="0" collapsed="false">
      <c r="A3456" s="7" t="n">
        <v>80098203</v>
      </c>
      <c r="B3456" s="7" t="s">
        <v>68</v>
      </c>
      <c r="C3456" s="7" t="s">
        <v>7270</v>
      </c>
      <c r="D3456" s="7" t="s">
        <v>7271</v>
      </c>
      <c r="E3456" s="7" t="s">
        <v>7272</v>
      </c>
      <c r="F3456" s="7" t="s">
        <v>7273</v>
      </c>
      <c r="G3456" s="7" t="n">
        <v>2016</v>
      </c>
      <c r="H3456" s="7" t="s">
        <v>54</v>
      </c>
      <c r="I3456" s="7" t="s">
        <v>340</v>
      </c>
      <c r="J3456" s="7" t="s">
        <v>150</v>
      </c>
      <c r="K3456" s="7" t="n">
        <f aca="false">IFERROR(VALUE(RIGHT(TRIM(F3456),4)),"")</f>
        <v>2017</v>
      </c>
      <c r="L3456" s="7" t="str">
        <f aca="false">IF(TRIM(E3456)="","Unknown",IFERROR(LEFT(TRIM(E3456),FIND(",",TRIM(E3456))-1),TRIM(E3456)))</f>
        <v>United States</v>
      </c>
      <c r="M3456" s="7" t="str">
        <f aca="false">IFERROR(LEFT(J3456,FIND(",",J3456)-1),J3456)</f>
        <v>Dramas</v>
      </c>
      <c r="N3456" s="7" t="n">
        <f aca="false">IF(B3456="Movie",IFERROR(VALUE(LEFT(I3456,FIND(" ",I3456)-1)),""),"")</f>
        <v>85</v>
      </c>
      <c r="O3456" s="7" t="str">
        <f aca="false">IF(B3456="TV Show",IFERROR(VALUE(LEFT(I3456,FIND(" ",I3456)-1)),""),"")</f>
        <v/>
      </c>
      <c r="P3456" s="7" t="n">
        <f aca="false">IF(K3456="","",K3456-G3456)</f>
        <v>1</v>
      </c>
    </row>
    <row r="3457" customFormat="false" ht="15" hidden="false" customHeight="false" outlineLevel="0" collapsed="false">
      <c r="A3457" s="7" t="n">
        <v>80081960</v>
      </c>
      <c r="B3457" s="7" t="s">
        <v>68</v>
      </c>
      <c r="C3457" s="7" t="s">
        <v>7274</v>
      </c>
      <c r="D3457" s="7" t="s">
        <v>7275</v>
      </c>
      <c r="E3457" s="7" t="s">
        <v>7276</v>
      </c>
      <c r="F3457" s="7" t="s">
        <v>7273</v>
      </c>
      <c r="G3457" s="7" t="n">
        <v>2015</v>
      </c>
      <c r="H3457" s="7" t="s">
        <v>48</v>
      </c>
      <c r="I3457" s="7" t="s">
        <v>790</v>
      </c>
      <c r="J3457" s="7" t="s">
        <v>217</v>
      </c>
      <c r="K3457" s="7" t="n">
        <f aca="false">IFERROR(VALUE(RIGHT(TRIM(F3457),4)),"")</f>
        <v>2017</v>
      </c>
      <c r="L3457" s="7" t="str">
        <f aca="false">IF(TRIM(E3457)="","Unknown",IFERROR(LEFT(TRIM(E3457),FIND(",",TRIM(E3457))-1),TRIM(E3457)))</f>
        <v>Lebanon</v>
      </c>
      <c r="M3457" s="7" t="str">
        <f aca="false">IFERROR(LEFT(J3457,FIND(",",J3457)-1),J3457)</f>
        <v>Comedies</v>
      </c>
      <c r="N3457" s="7" t="n">
        <f aca="false">IF(B3457="Movie",IFERROR(VALUE(LEFT(I3457,FIND(" ",I3457)-1)),""),"")</f>
        <v>109</v>
      </c>
      <c r="O3457" s="7" t="str">
        <f aca="false">IF(B3457="TV Show",IFERROR(VALUE(LEFT(I3457,FIND(" ",I3457)-1)),""),"")</f>
        <v/>
      </c>
      <c r="P3457" s="7" t="n">
        <f aca="false">IF(K3457="","",K3457-G3457)</f>
        <v>2</v>
      </c>
    </row>
    <row r="3458" customFormat="false" ht="15" hidden="false" customHeight="false" outlineLevel="0" collapsed="false">
      <c r="A3458" s="7" t="n">
        <v>81221873</v>
      </c>
      <c r="B3458" s="7" t="s">
        <v>68</v>
      </c>
      <c r="C3458" s="7" t="s">
        <v>7277</v>
      </c>
      <c r="D3458" s="7" t="s">
        <v>7278</v>
      </c>
      <c r="E3458" s="7" t="s">
        <v>26</v>
      </c>
      <c r="F3458" s="7" t="s">
        <v>7279</v>
      </c>
      <c r="G3458" s="7" t="n">
        <v>2006</v>
      </c>
      <c r="H3458" s="7" t="s">
        <v>54</v>
      </c>
      <c r="I3458" s="7" t="s">
        <v>264</v>
      </c>
      <c r="J3458" s="7" t="s">
        <v>74</v>
      </c>
      <c r="K3458" s="7" t="n">
        <f aca="false">IFERROR(VALUE(RIGHT(TRIM(F3458),4)),"")</f>
        <v>2020</v>
      </c>
      <c r="L3458" s="7" t="str">
        <f aca="false">IF(TRIM(E3458)="","Unknown",IFERROR(LEFT(TRIM(E3458),FIND(",",TRIM(E3458))-1),TRIM(E3458)))</f>
        <v>United States</v>
      </c>
      <c r="M3458" s="7" t="str">
        <f aca="false">IFERROR(LEFT(J3458,FIND(",",J3458)-1),J3458)</f>
        <v>Children &amp; Family Movies</v>
      </c>
      <c r="N3458" s="7" t="n">
        <f aca="false">IF(B3458="Movie",IFERROR(VALUE(LEFT(I3458,FIND(" ",I3458)-1)),""),"")</f>
        <v>88</v>
      </c>
      <c r="O3458" s="7" t="str">
        <f aca="false">IF(B3458="TV Show",IFERROR(VALUE(LEFT(I3458,FIND(" ",I3458)-1)),""),"")</f>
        <v/>
      </c>
      <c r="P3458" s="7" t="n">
        <f aca="false">IF(K3458="","",K3458-G3458)</f>
        <v>14</v>
      </c>
    </row>
    <row r="3459" customFormat="false" ht="15" hidden="false" customHeight="false" outlineLevel="0" collapsed="false">
      <c r="A3459" s="7" t="n">
        <v>81036539</v>
      </c>
      <c r="B3459" s="7" t="s">
        <v>68</v>
      </c>
      <c r="C3459" s="7" t="s">
        <v>7280</v>
      </c>
      <c r="D3459" s="7" t="s">
        <v>7281</v>
      </c>
      <c r="E3459" s="7" t="s">
        <v>1269</v>
      </c>
      <c r="F3459" s="7" t="s">
        <v>7282</v>
      </c>
      <c r="G3459" s="7" t="n">
        <v>2017</v>
      </c>
      <c r="H3459" s="7" t="s">
        <v>49</v>
      </c>
      <c r="I3459" s="7" t="s">
        <v>417</v>
      </c>
      <c r="J3459" s="7" t="s">
        <v>217</v>
      </c>
      <c r="K3459" s="7" t="n">
        <f aca="false">IFERROR(VALUE(RIGHT(TRIM(F3459),4)),"")</f>
        <v>2019</v>
      </c>
      <c r="L3459" s="7" t="str">
        <f aca="false">IF(TRIM(E3459)="","Unknown",IFERROR(LEFT(TRIM(E3459),FIND(",",TRIM(E3459))-1),TRIM(E3459)))</f>
        <v>Philippines</v>
      </c>
      <c r="M3459" s="7" t="str">
        <f aca="false">IFERROR(LEFT(J3459,FIND(",",J3459)-1),J3459)</f>
        <v>Comedies</v>
      </c>
      <c r="N3459" s="7" t="n">
        <f aca="false">IF(B3459="Movie",IFERROR(VALUE(LEFT(I3459,FIND(" ",I3459)-1)),""),"")</f>
        <v>104</v>
      </c>
      <c r="O3459" s="7" t="str">
        <f aca="false">IF(B3459="TV Show",IFERROR(VALUE(LEFT(I3459,FIND(" ",I3459)-1)),""),"")</f>
        <v/>
      </c>
      <c r="P3459" s="7" t="n">
        <f aca="false">IF(K3459="","",K3459-G3459)</f>
        <v>2</v>
      </c>
    </row>
    <row r="3460" customFormat="false" ht="15" hidden="false" customHeight="false" outlineLevel="0" collapsed="false">
      <c r="A3460" s="7" t="n">
        <v>80210995</v>
      </c>
      <c r="B3460" s="7" t="s">
        <v>78</v>
      </c>
      <c r="C3460" s="7" t="s">
        <v>7283</v>
      </c>
      <c r="F3460" s="7" t="s">
        <v>7282</v>
      </c>
      <c r="G3460" s="7" t="n">
        <v>2018</v>
      </c>
      <c r="H3460" s="7" t="s">
        <v>48</v>
      </c>
      <c r="I3460" s="7" t="s">
        <v>82</v>
      </c>
      <c r="J3460" s="7" t="s">
        <v>7284</v>
      </c>
      <c r="K3460" s="7" t="n">
        <f aca="false">IFERROR(VALUE(RIGHT(TRIM(F3460),4)),"")</f>
        <v>2019</v>
      </c>
      <c r="L3460" s="7" t="str">
        <f aca="false">IF(TRIM(E3460)="","Unknown",IFERROR(LEFT(TRIM(E3460),FIND(",",TRIM(E3460))-1),TRIM(E3460)))</f>
        <v>Unknown</v>
      </c>
      <c r="M3460" s="7" t="str">
        <f aca="false">IFERROR(LEFT(J3460,FIND(",",J3460)-1),J3460)</f>
        <v>International TV Shows</v>
      </c>
      <c r="N3460" s="7" t="str">
        <f aca="false">IF(B3460="Movie",IFERROR(VALUE(LEFT(I3460,FIND(" ",I3460)-1)),""),"")</f>
        <v/>
      </c>
      <c r="O3460" s="7" t="n">
        <f aca="false">IF(B3460="TV Show",IFERROR(VALUE(LEFT(I3460,FIND(" ",I3460)-1)),""),"")</f>
        <v>1</v>
      </c>
      <c r="P3460" s="7" t="n">
        <f aca="false">IF(K3460="","",K3460-G3460)</f>
        <v>1</v>
      </c>
    </row>
    <row r="3461" customFormat="false" ht="15" hidden="false" customHeight="false" outlineLevel="0" collapsed="false">
      <c r="A3461" s="7" t="n">
        <v>80191048</v>
      </c>
      <c r="B3461" s="7" t="s">
        <v>68</v>
      </c>
      <c r="C3461" s="7" t="s">
        <v>7285</v>
      </c>
      <c r="D3461" s="7" t="s">
        <v>7286</v>
      </c>
      <c r="F3461" s="7" t="s">
        <v>7282</v>
      </c>
      <c r="G3461" s="7" t="n">
        <v>2019</v>
      </c>
      <c r="H3461" s="7" t="s">
        <v>48</v>
      </c>
      <c r="I3461" s="7" t="s">
        <v>120</v>
      </c>
      <c r="J3461" s="7" t="s">
        <v>509</v>
      </c>
      <c r="K3461" s="7" t="n">
        <f aca="false">IFERROR(VALUE(RIGHT(TRIM(F3461),4)),"")</f>
        <v>2019</v>
      </c>
      <c r="L3461" s="7" t="str">
        <f aca="false">IF(TRIM(E3461)="","Unknown",IFERROR(LEFT(TRIM(E3461),FIND(",",TRIM(E3461))-1),TRIM(E3461)))</f>
        <v>Unknown</v>
      </c>
      <c r="M3461" s="7" t="str">
        <f aca="false">IFERROR(LEFT(J3461,FIND(",",J3461)-1),J3461)</f>
        <v>Documentaries</v>
      </c>
      <c r="N3461" s="7" t="n">
        <f aca="false">IF(B3461="Movie",IFERROR(VALUE(LEFT(I3461,FIND(" ",I3461)-1)),""),"")</f>
        <v>65</v>
      </c>
      <c r="O3461" s="7" t="str">
        <f aca="false">IF(B3461="TV Show",IFERROR(VALUE(LEFT(I3461,FIND(" ",I3461)-1)),""),"")</f>
        <v/>
      </c>
      <c r="P3461" s="7" t="n">
        <f aca="false">IF(K3461="","",K3461-G3461)</f>
        <v>0</v>
      </c>
    </row>
    <row r="3462" customFormat="false" ht="15" hidden="false" customHeight="false" outlineLevel="0" collapsed="false">
      <c r="A3462" s="7" t="n">
        <v>80197526</v>
      </c>
      <c r="B3462" s="7" t="s">
        <v>78</v>
      </c>
      <c r="C3462" s="7" t="s">
        <v>7287</v>
      </c>
      <c r="E3462" s="7" t="s">
        <v>293</v>
      </c>
      <c r="F3462" s="7" t="s">
        <v>7282</v>
      </c>
      <c r="G3462" s="7" t="n">
        <v>2019</v>
      </c>
      <c r="H3462" s="7" t="s">
        <v>48</v>
      </c>
      <c r="I3462" s="7" t="s">
        <v>82</v>
      </c>
      <c r="J3462" s="7" t="s">
        <v>4309</v>
      </c>
      <c r="K3462" s="7" t="n">
        <f aca="false">IFERROR(VALUE(RIGHT(TRIM(F3462),4)),"")</f>
        <v>2019</v>
      </c>
      <c r="L3462" s="7" t="str">
        <f aca="false">IF(TRIM(E3462)="","Unknown",IFERROR(LEFT(TRIM(E3462),FIND(",",TRIM(E3462))-1),TRIM(E3462)))</f>
        <v>United States</v>
      </c>
      <c r="M3462" s="7" t="str">
        <f aca="false">IFERROR(LEFT(J3462,FIND(",",J3462)-1),J3462)</f>
        <v>British TV Shows</v>
      </c>
      <c r="N3462" s="7" t="str">
        <f aca="false">IF(B3462="Movie",IFERROR(VALUE(LEFT(I3462,FIND(" ",I3462)-1)),""),"")</f>
        <v/>
      </c>
      <c r="O3462" s="7" t="n">
        <f aca="false">IF(B3462="TV Show",IFERROR(VALUE(LEFT(I3462,FIND(" ",I3462)-1)),""),"")</f>
        <v>1</v>
      </c>
      <c r="P3462" s="7" t="n">
        <f aca="false">IF(K3462="","",K3462-G3462)</f>
        <v>0</v>
      </c>
    </row>
    <row r="3463" customFormat="false" ht="15" hidden="false" customHeight="false" outlineLevel="0" collapsed="false">
      <c r="A3463" s="7" t="n">
        <v>80245041</v>
      </c>
      <c r="B3463" s="7" t="s">
        <v>68</v>
      </c>
      <c r="C3463" s="7" t="s">
        <v>5160</v>
      </c>
      <c r="D3463" s="7" t="s">
        <v>7288</v>
      </c>
      <c r="E3463" s="7" t="s">
        <v>33</v>
      </c>
      <c r="F3463" s="7" t="s">
        <v>7282</v>
      </c>
      <c r="G3463" s="7" t="n">
        <v>2018</v>
      </c>
      <c r="H3463" s="7" t="s">
        <v>48</v>
      </c>
      <c r="I3463" s="7" t="s">
        <v>470</v>
      </c>
      <c r="J3463" s="7" t="s">
        <v>188</v>
      </c>
      <c r="K3463" s="7" t="n">
        <f aca="false">IFERROR(VALUE(RIGHT(TRIM(F3463),4)),"")</f>
        <v>2019</v>
      </c>
      <c r="L3463" s="7" t="str">
        <f aca="false">IF(TRIM(E3463)="","Unknown",IFERROR(LEFT(TRIM(E3463),FIND(",",TRIM(E3463))-1),TRIM(E3463)))</f>
        <v>Spain</v>
      </c>
      <c r="M3463" s="7" t="str">
        <f aca="false">IFERROR(LEFT(J3463,FIND(",",J3463)-1),J3463)</f>
        <v>Dramas</v>
      </c>
      <c r="N3463" s="7" t="n">
        <f aca="false">IF(B3463="Movie",IFERROR(VALUE(LEFT(I3463,FIND(" ",I3463)-1)),""),"")</f>
        <v>91</v>
      </c>
      <c r="O3463" s="7" t="str">
        <f aca="false">IF(B3463="TV Show",IFERROR(VALUE(LEFT(I3463,FIND(" ",I3463)-1)),""),"")</f>
        <v/>
      </c>
      <c r="P3463" s="7" t="n">
        <f aca="false">IF(K3463="","",K3463-G3463)</f>
        <v>1</v>
      </c>
    </row>
    <row r="3464" customFormat="false" ht="15" hidden="false" customHeight="false" outlineLevel="0" collapsed="false">
      <c r="A3464" s="7" t="n">
        <v>80202273</v>
      </c>
      <c r="B3464" s="7" t="s">
        <v>68</v>
      </c>
      <c r="C3464" s="7" t="s">
        <v>7289</v>
      </c>
      <c r="D3464" s="7" t="s">
        <v>7290</v>
      </c>
      <c r="E3464" s="7" t="s">
        <v>26</v>
      </c>
      <c r="F3464" s="7" t="s">
        <v>7282</v>
      </c>
      <c r="G3464" s="7" t="n">
        <v>2019</v>
      </c>
      <c r="H3464" s="7" t="s">
        <v>48</v>
      </c>
      <c r="I3464" s="7" t="s">
        <v>87</v>
      </c>
      <c r="J3464" s="7" t="s">
        <v>251</v>
      </c>
      <c r="K3464" s="7" t="n">
        <f aca="false">IFERROR(VALUE(RIGHT(TRIM(F3464),4)),"")</f>
        <v>2019</v>
      </c>
      <c r="L3464" s="7" t="str">
        <f aca="false">IF(TRIM(E3464)="","Unknown",IFERROR(LEFT(TRIM(E3464),FIND(",",TRIM(E3464))-1),TRIM(E3464)))</f>
        <v>United States</v>
      </c>
      <c r="M3464" s="7" t="str">
        <f aca="false">IFERROR(LEFT(J3464,FIND(",",J3464)-1),J3464)</f>
        <v>Comedies</v>
      </c>
      <c r="N3464" s="7" t="n">
        <f aca="false">IF(B3464="Movie",IFERROR(VALUE(LEFT(I3464,FIND(" ",I3464)-1)),""),"")</f>
        <v>99</v>
      </c>
      <c r="O3464" s="7" t="str">
        <f aca="false">IF(B3464="TV Show",IFERROR(VALUE(LEFT(I3464,FIND(" ",I3464)-1)),""),"")</f>
        <v/>
      </c>
      <c r="P3464" s="7" t="n">
        <f aca="false">IF(K3464="","",K3464-G3464)</f>
        <v>0</v>
      </c>
    </row>
    <row r="3465" customFormat="false" ht="15" hidden="false" customHeight="false" outlineLevel="0" collapsed="false">
      <c r="A3465" s="7" t="n">
        <v>80170870</v>
      </c>
      <c r="B3465" s="7" t="s">
        <v>68</v>
      </c>
      <c r="C3465" s="7" t="s">
        <v>7291</v>
      </c>
      <c r="D3465" s="7" t="s">
        <v>7292</v>
      </c>
      <c r="E3465" s="7" t="s">
        <v>26</v>
      </c>
      <c r="F3465" s="7" t="s">
        <v>7293</v>
      </c>
      <c r="G3465" s="7" t="n">
        <v>2017</v>
      </c>
      <c r="H3465" s="7" t="s">
        <v>48</v>
      </c>
      <c r="I3465" s="7" t="s">
        <v>661</v>
      </c>
      <c r="J3465" s="7" t="s">
        <v>150</v>
      </c>
      <c r="K3465" s="7" t="n">
        <f aca="false">IFERROR(VALUE(RIGHT(TRIM(F3465),4)),"")</f>
        <v>2018</v>
      </c>
      <c r="L3465" s="7" t="str">
        <f aca="false">IF(TRIM(E3465)="","Unknown",IFERROR(LEFT(TRIM(E3465),FIND(",",TRIM(E3465))-1),TRIM(E3465)))</f>
        <v>United States</v>
      </c>
      <c r="M3465" s="7" t="str">
        <f aca="false">IFERROR(LEFT(J3465,FIND(",",J3465)-1),J3465)</f>
        <v>Dramas</v>
      </c>
      <c r="N3465" s="7" t="n">
        <f aca="false">IF(B3465="Movie",IFERROR(VALUE(LEFT(I3465,FIND(" ",I3465)-1)),""),"")</f>
        <v>76</v>
      </c>
      <c r="O3465" s="7" t="str">
        <f aca="false">IF(B3465="TV Show",IFERROR(VALUE(LEFT(I3465,FIND(" ",I3465)-1)),""),"")</f>
        <v/>
      </c>
      <c r="P3465" s="7" t="n">
        <f aca="false">IF(K3465="","",K3465-G3465)</f>
        <v>1</v>
      </c>
    </row>
    <row r="3466" customFormat="false" ht="15" hidden="false" customHeight="false" outlineLevel="0" collapsed="false">
      <c r="A3466" s="7" t="n">
        <v>80237329</v>
      </c>
      <c r="B3466" s="7" t="s">
        <v>78</v>
      </c>
      <c r="C3466" s="7" t="s">
        <v>7294</v>
      </c>
      <c r="E3466" s="7" t="s">
        <v>26</v>
      </c>
      <c r="F3466" s="7" t="s">
        <v>7295</v>
      </c>
      <c r="G3466" s="7" t="n">
        <v>2020</v>
      </c>
      <c r="H3466" s="7" t="s">
        <v>49</v>
      </c>
      <c r="I3466" s="7" t="s">
        <v>82</v>
      </c>
      <c r="J3466" s="7" t="s">
        <v>502</v>
      </c>
      <c r="K3466" s="7" t="n">
        <f aca="false">IFERROR(VALUE(RIGHT(TRIM(F3466),4)),"")</f>
        <v>2020</v>
      </c>
      <c r="L3466" s="7" t="str">
        <f aca="false">IF(TRIM(E3466)="","Unknown",IFERROR(LEFT(TRIM(E3466),FIND(",",TRIM(E3466))-1),TRIM(E3466)))</f>
        <v>United States</v>
      </c>
      <c r="M3466" s="7" t="str">
        <f aca="false">IFERROR(LEFT(J3466,FIND(",",J3466)-1),J3466)</f>
        <v>TV Comedies</v>
      </c>
      <c r="N3466" s="7" t="str">
        <f aca="false">IF(B3466="Movie",IFERROR(VALUE(LEFT(I3466,FIND(" ",I3466)-1)),""),"")</f>
        <v/>
      </c>
      <c r="O3466" s="7" t="n">
        <f aca="false">IF(B3466="TV Show",IFERROR(VALUE(LEFT(I3466,FIND(" ",I3466)-1)),""),"")</f>
        <v>1</v>
      </c>
      <c r="P3466" s="7" t="n">
        <f aca="false">IF(K3466="","",K3466-G3466)</f>
        <v>0</v>
      </c>
    </row>
    <row r="3467" customFormat="false" ht="15" hidden="false" customHeight="false" outlineLevel="0" collapsed="false">
      <c r="A3467" s="7" t="n">
        <v>80190519</v>
      </c>
      <c r="B3467" s="7" t="s">
        <v>78</v>
      </c>
      <c r="C3467" s="7" t="s">
        <v>7296</v>
      </c>
      <c r="E3467" s="7" t="s">
        <v>28</v>
      </c>
      <c r="F3467" s="7" t="s">
        <v>7295</v>
      </c>
      <c r="G3467" s="7" t="n">
        <v>2019</v>
      </c>
      <c r="H3467" s="7" t="s">
        <v>48</v>
      </c>
      <c r="I3467" s="7" t="s">
        <v>82</v>
      </c>
      <c r="J3467" s="7" t="s">
        <v>563</v>
      </c>
      <c r="K3467" s="7" t="n">
        <f aca="false">IFERROR(VALUE(RIGHT(TRIM(F3467),4)),"")</f>
        <v>2020</v>
      </c>
      <c r="L3467" s="7" t="str">
        <f aca="false">IF(TRIM(E3467)="","Unknown",IFERROR(LEFT(TRIM(E3467),FIND(",",TRIM(E3467))-1),TRIM(E3467)))</f>
        <v>United Kingdom</v>
      </c>
      <c r="M3467" s="7" t="str">
        <f aca="false">IFERROR(LEFT(J3467,FIND(",",J3467)-1),J3467)</f>
        <v>British TV Shows</v>
      </c>
      <c r="N3467" s="7" t="str">
        <f aca="false">IF(B3467="Movie",IFERROR(VALUE(LEFT(I3467,FIND(" ",I3467)-1)),""),"")</f>
        <v/>
      </c>
      <c r="O3467" s="7" t="n">
        <f aca="false">IF(B3467="TV Show",IFERROR(VALUE(LEFT(I3467,FIND(" ",I3467)-1)),""),"")</f>
        <v>1</v>
      </c>
      <c r="P3467" s="7" t="n">
        <f aca="false">IF(K3467="","",K3467-G3467)</f>
        <v>1</v>
      </c>
    </row>
    <row r="3468" customFormat="false" ht="15" hidden="false" customHeight="false" outlineLevel="0" collapsed="false">
      <c r="A3468" s="7" t="n">
        <v>81183491</v>
      </c>
      <c r="B3468" s="7" t="s">
        <v>78</v>
      </c>
      <c r="C3468" s="7" t="s">
        <v>7297</v>
      </c>
      <c r="D3468" s="7" t="s">
        <v>4207</v>
      </c>
      <c r="E3468" s="7" t="s">
        <v>27</v>
      </c>
      <c r="F3468" s="7" t="s">
        <v>7295</v>
      </c>
      <c r="G3468" s="7" t="n">
        <v>2020</v>
      </c>
      <c r="H3468" s="7" t="s">
        <v>48</v>
      </c>
      <c r="I3468" s="7" t="s">
        <v>82</v>
      </c>
      <c r="J3468" s="7" t="s">
        <v>402</v>
      </c>
      <c r="K3468" s="7" t="n">
        <f aca="false">IFERROR(VALUE(RIGHT(TRIM(F3468),4)),"")</f>
        <v>2020</v>
      </c>
      <c r="L3468" s="7" t="str">
        <f aca="false">IF(TRIM(E3468)="","Unknown",IFERROR(LEFT(TRIM(E3468),FIND(",",TRIM(E3468))-1),TRIM(E3468)))</f>
        <v>India</v>
      </c>
      <c r="M3468" s="7" t="str">
        <f aca="false">IFERROR(LEFT(J3468,FIND(",",J3468)-1),J3468)</f>
        <v>Crime TV Shows</v>
      </c>
      <c r="N3468" s="7" t="str">
        <f aca="false">IF(B3468="Movie",IFERROR(VALUE(LEFT(I3468,FIND(" ",I3468)-1)),""),"")</f>
        <v/>
      </c>
      <c r="O3468" s="7" t="n">
        <f aca="false">IF(B3468="TV Show",IFERROR(VALUE(LEFT(I3468,FIND(" ",I3468)-1)),""),"")</f>
        <v>1</v>
      </c>
      <c r="P3468" s="7" t="n">
        <f aca="false">IF(K3468="","",K3468-G3468)</f>
        <v>0</v>
      </c>
    </row>
    <row r="3469" customFormat="false" ht="15" hidden="false" customHeight="false" outlineLevel="0" collapsed="false">
      <c r="A3469" s="7" t="n">
        <v>81011449</v>
      </c>
      <c r="B3469" s="7" t="s">
        <v>78</v>
      </c>
      <c r="C3469" s="7" t="s">
        <v>7298</v>
      </c>
      <c r="E3469" s="7" t="s">
        <v>26</v>
      </c>
      <c r="F3469" s="7" t="s">
        <v>7295</v>
      </c>
      <c r="G3469" s="7" t="n">
        <v>2020</v>
      </c>
      <c r="H3469" s="7" t="s">
        <v>48</v>
      </c>
      <c r="I3469" s="7" t="s">
        <v>82</v>
      </c>
      <c r="J3469" s="7" t="s">
        <v>7299</v>
      </c>
      <c r="K3469" s="7" t="n">
        <f aca="false">IFERROR(VALUE(RIGHT(TRIM(F3469),4)),"")</f>
        <v>2020</v>
      </c>
      <c r="L3469" s="7" t="str">
        <f aca="false">IF(TRIM(E3469)="","Unknown",IFERROR(LEFT(TRIM(E3469),FIND(",",TRIM(E3469))-1),TRIM(E3469)))</f>
        <v>United States</v>
      </c>
      <c r="M3469" s="7" t="str">
        <f aca="false">IFERROR(LEFT(J3469,FIND(",",J3469)-1),J3469)</f>
        <v>Crime TV Shows</v>
      </c>
      <c r="N3469" s="7" t="str">
        <f aca="false">IF(B3469="Movie",IFERROR(VALUE(LEFT(I3469,FIND(" ",I3469)-1)),""),"")</f>
        <v/>
      </c>
      <c r="O3469" s="7" t="n">
        <f aca="false">IF(B3469="TV Show",IFERROR(VALUE(LEFT(I3469,FIND(" ",I3469)-1)),""),"")</f>
        <v>1</v>
      </c>
      <c r="P3469" s="7" t="n">
        <f aca="false">IF(K3469="","",K3469-G3469)</f>
        <v>0</v>
      </c>
    </row>
    <row r="3470" customFormat="false" ht="15" hidden="false" customHeight="false" outlineLevel="0" collapsed="false">
      <c r="A3470" s="7" t="n">
        <v>70253597</v>
      </c>
      <c r="B3470" s="7" t="s">
        <v>68</v>
      </c>
      <c r="C3470" s="7" t="s">
        <v>7300</v>
      </c>
      <c r="D3470" s="7" t="s">
        <v>7301</v>
      </c>
      <c r="E3470" s="7" t="s">
        <v>28</v>
      </c>
      <c r="F3470" s="7" t="s">
        <v>7295</v>
      </c>
      <c r="G3470" s="7" t="n">
        <v>2014</v>
      </c>
      <c r="H3470" s="7" t="s">
        <v>51</v>
      </c>
      <c r="I3470" s="7" t="s">
        <v>519</v>
      </c>
      <c r="J3470" s="7" t="s">
        <v>2939</v>
      </c>
      <c r="K3470" s="7" t="n">
        <f aca="false">IFERROR(VALUE(RIGHT(TRIM(F3470),4)),"")</f>
        <v>2020</v>
      </c>
      <c r="L3470" s="7" t="str">
        <f aca="false">IF(TRIM(E3470)="","Unknown",IFERROR(LEFT(TRIM(E3470),FIND(",",TRIM(E3470))-1),TRIM(E3470)))</f>
        <v>United Kingdom</v>
      </c>
      <c r="M3470" s="7" t="str">
        <f aca="false">IFERROR(LEFT(J3470,FIND(",",J3470)-1),J3470)</f>
        <v>Action &amp; Adventure</v>
      </c>
      <c r="N3470" s="7" t="n">
        <f aca="false">IF(B3470="Movie",IFERROR(VALUE(LEFT(I3470,FIND(" ",I3470)-1)),""),"")</f>
        <v>119</v>
      </c>
      <c r="O3470" s="7" t="str">
        <f aca="false">IF(B3470="TV Show",IFERROR(VALUE(LEFT(I3470,FIND(" ",I3470)-1)),""),"")</f>
        <v/>
      </c>
      <c r="P3470" s="7" t="n">
        <f aca="false">IF(K3470="","",K3470-G3470)</f>
        <v>6</v>
      </c>
    </row>
    <row r="3471" customFormat="false" ht="15" hidden="false" customHeight="false" outlineLevel="0" collapsed="false">
      <c r="A3471" s="7" t="n">
        <v>70199239</v>
      </c>
      <c r="B3471" s="7" t="s">
        <v>68</v>
      </c>
      <c r="C3471" s="7" t="s">
        <v>7302</v>
      </c>
      <c r="D3471" s="7" t="s">
        <v>7303</v>
      </c>
      <c r="E3471" s="7" t="s">
        <v>26</v>
      </c>
      <c r="F3471" s="7" t="s">
        <v>7295</v>
      </c>
      <c r="G3471" s="7" t="n">
        <v>2011</v>
      </c>
      <c r="H3471" s="7" t="s">
        <v>51</v>
      </c>
      <c r="I3471" s="7" t="s">
        <v>340</v>
      </c>
      <c r="J3471" s="7" t="s">
        <v>40</v>
      </c>
      <c r="K3471" s="7" t="n">
        <f aca="false">IFERROR(VALUE(RIGHT(TRIM(F3471),4)),"")</f>
        <v>2020</v>
      </c>
      <c r="L3471" s="7" t="str">
        <f aca="false">IF(TRIM(E3471)="","Unknown",IFERROR(LEFT(TRIM(E3471),FIND(",",TRIM(E3471))-1),TRIM(E3471)))</f>
        <v>United States</v>
      </c>
      <c r="M3471" s="7" t="str">
        <f aca="false">IFERROR(LEFT(J3471,FIND(",",J3471)-1),J3471)</f>
        <v>Action &amp; Adventure</v>
      </c>
      <c r="N3471" s="7" t="n">
        <f aca="false">IF(B3471="Movie",IFERROR(VALUE(LEFT(I3471,FIND(" ",I3471)-1)),""),"")</f>
        <v>85</v>
      </c>
      <c r="O3471" s="7" t="str">
        <f aca="false">IF(B3471="TV Show",IFERROR(VALUE(LEFT(I3471,FIND(" ",I3471)-1)),""),"")</f>
        <v/>
      </c>
      <c r="P3471" s="7" t="n">
        <f aca="false">IF(K3471="","",K3471-G3471)</f>
        <v>9</v>
      </c>
    </row>
    <row r="3472" customFormat="false" ht="15" hidden="false" customHeight="false" outlineLevel="0" collapsed="false">
      <c r="A3472" s="7" t="n">
        <v>80099306</v>
      </c>
      <c r="B3472" s="7" t="s">
        <v>68</v>
      </c>
      <c r="C3472" s="7" t="s">
        <v>7304</v>
      </c>
      <c r="D3472" s="7" t="s">
        <v>7305</v>
      </c>
      <c r="E3472" s="7" t="s">
        <v>26</v>
      </c>
      <c r="F3472" s="7" t="s">
        <v>7295</v>
      </c>
      <c r="G3472" s="7" t="n">
        <v>2016</v>
      </c>
      <c r="H3472" s="7" t="s">
        <v>51</v>
      </c>
      <c r="I3472" s="7" t="s">
        <v>212</v>
      </c>
      <c r="J3472" s="7" t="s">
        <v>370</v>
      </c>
      <c r="K3472" s="7" t="n">
        <f aca="false">IFERROR(VALUE(RIGHT(TRIM(F3472),4)),"")</f>
        <v>2020</v>
      </c>
      <c r="L3472" s="7" t="str">
        <f aca="false">IF(TRIM(E3472)="","Unknown",IFERROR(LEFT(TRIM(E3472),FIND(",",TRIM(E3472))-1),TRIM(E3472)))</f>
        <v>United States</v>
      </c>
      <c r="M3472" s="7" t="str">
        <f aca="false">IFERROR(LEFT(J3472,FIND(",",J3472)-1),J3472)</f>
        <v>Action &amp; Adventure</v>
      </c>
      <c r="N3472" s="7" t="n">
        <f aca="false">IF(B3472="Movie",IFERROR(VALUE(LEFT(I3472,FIND(" ",I3472)-1)),""),"")</f>
        <v>86</v>
      </c>
      <c r="O3472" s="7" t="str">
        <f aca="false">IF(B3472="TV Show",IFERROR(VALUE(LEFT(I3472,FIND(" ",I3472)-1)),""),"")</f>
        <v/>
      </c>
      <c r="P3472" s="7" t="n">
        <f aca="false">IF(K3472="","",K3472-G3472)</f>
        <v>4</v>
      </c>
    </row>
    <row r="3473" customFormat="false" ht="15" hidden="false" customHeight="false" outlineLevel="0" collapsed="false">
      <c r="A3473" s="7" t="n">
        <v>484369</v>
      </c>
      <c r="B3473" s="7" t="s">
        <v>68</v>
      </c>
      <c r="C3473" s="7" t="s">
        <v>7306</v>
      </c>
      <c r="D3473" s="7" t="s">
        <v>2808</v>
      </c>
      <c r="E3473" s="7" t="s">
        <v>26</v>
      </c>
      <c r="F3473" s="7" t="s">
        <v>7295</v>
      </c>
      <c r="G3473" s="7" t="n">
        <v>1981</v>
      </c>
      <c r="H3473" s="7" t="s">
        <v>48</v>
      </c>
      <c r="I3473" s="7" t="s">
        <v>340</v>
      </c>
      <c r="J3473" s="7" t="s">
        <v>5810</v>
      </c>
      <c r="K3473" s="7" t="n">
        <f aca="false">IFERROR(VALUE(RIGHT(TRIM(F3473),4)),"")</f>
        <v>2020</v>
      </c>
      <c r="L3473" s="7" t="str">
        <f aca="false">IF(TRIM(E3473)="","Unknown",IFERROR(LEFT(TRIM(E3473),FIND(",",TRIM(E3473))-1),TRIM(E3473)))</f>
        <v>United States</v>
      </c>
      <c r="M3473" s="7" t="str">
        <f aca="false">IFERROR(LEFT(J3473,FIND(",",J3473)-1),J3473)</f>
        <v>Classic Movies</v>
      </c>
      <c r="N3473" s="7" t="n">
        <f aca="false">IF(B3473="Movie",IFERROR(VALUE(LEFT(I3473,FIND(" ",I3473)-1)),""),"")</f>
        <v>85</v>
      </c>
      <c r="O3473" s="7" t="str">
        <f aca="false">IF(B3473="TV Show",IFERROR(VALUE(LEFT(I3473,FIND(" ",I3473)-1)),""),"")</f>
        <v/>
      </c>
      <c r="P3473" s="7" t="n">
        <f aca="false">IF(K3473="","",K3473-G3473)</f>
        <v>39</v>
      </c>
    </row>
    <row r="3474" customFormat="false" ht="15" hidden="false" customHeight="false" outlineLevel="0" collapsed="false">
      <c r="A3474" s="7" t="n">
        <v>81074060</v>
      </c>
      <c r="B3474" s="7" t="s">
        <v>78</v>
      </c>
      <c r="C3474" s="7" t="s">
        <v>7307</v>
      </c>
      <c r="E3474" s="7" t="s">
        <v>31</v>
      </c>
      <c r="F3474" s="7" t="s">
        <v>7295</v>
      </c>
      <c r="G3474" s="7" t="n">
        <v>2020</v>
      </c>
      <c r="H3474" s="7" t="s">
        <v>48</v>
      </c>
      <c r="I3474" s="7" t="s">
        <v>82</v>
      </c>
      <c r="J3474" s="7" t="s">
        <v>7308</v>
      </c>
      <c r="K3474" s="7" t="n">
        <f aca="false">IFERROR(VALUE(RIGHT(TRIM(F3474),4)),"")</f>
        <v>2020</v>
      </c>
      <c r="L3474" s="7" t="str">
        <f aca="false">IF(TRIM(E3474)="","Unknown",IFERROR(LEFT(TRIM(E3474),FIND(",",TRIM(E3474))-1),TRIM(E3474)))</f>
        <v>France</v>
      </c>
      <c r="M3474" s="7" t="str">
        <f aca="false">IFERROR(LEFT(J3474,FIND(",",J3474)-1),J3474)</f>
        <v>International TV Shows</v>
      </c>
      <c r="N3474" s="7" t="str">
        <f aca="false">IF(B3474="Movie",IFERROR(VALUE(LEFT(I3474,FIND(" ",I3474)-1)),""),"")</f>
        <v/>
      </c>
      <c r="O3474" s="7" t="n">
        <f aca="false">IF(B3474="TV Show",IFERROR(VALUE(LEFT(I3474,FIND(" ",I3474)-1)),""),"")</f>
        <v>1</v>
      </c>
      <c r="P3474" s="7" t="n">
        <f aca="false">IF(K3474="","",K3474-G3474)</f>
        <v>0</v>
      </c>
    </row>
    <row r="3475" customFormat="false" ht="15" hidden="false" customHeight="false" outlineLevel="0" collapsed="false">
      <c r="A3475" s="7" t="n">
        <v>70202600</v>
      </c>
      <c r="B3475" s="7" t="s">
        <v>78</v>
      </c>
      <c r="C3475" s="7" t="s">
        <v>7309</v>
      </c>
      <c r="E3475" s="7" t="s">
        <v>7310</v>
      </c>
      <c r="F3475" s="7" t="s">
        <v>7311</v>
      </c>
      <c r="G3475" s="7" t="n">
        <v>1986</v>
      </c>
      <c r="H3475" s="7" t="s">
        <v>49</v>
      </c>
      <c r="I3475" s="7" t="s">
        <v>82</v>
      </c>
      <c r="J3475" s="7" t="s">
        <v>2704</v>
      </c>
      <c r="K3475" s="7" t="n">
        <f aca="false">IFERROR(VALUE(RIGHT(TRIM(F3475),4)),"")</f>
        <v>2019</v>
      </c>
      <c r="L3475" s="7" t="str">
        <f aca="false">IF(TRIM(E3475)="","Unknown",IFERROR(LEFT(TRIM(E3475),FIND(",",TRIM(E3475))-1),TRIM(E3475)))</f>
        <v>Italy</v>
      </c>
      <c r="M3475" s="7" t="str">
        <f aca="false">IFERROR(LEFT(J3475,FIND(",",J3475)-1),J3475)</f>
        <v>TV Dramas</v>
      </c>
      <c r="N3475" s="7" t="str">
        <f aca="false">IF(B3475="Movie",IFERROR(VALUE(LEFT(I3475,FIND(" ",I3475)-1)),""),"")</f>
        <v/>
      </c>
      <c r="O3475" s="7" t="n">
        <f aca="false">IF(B3475="TV Show",IFERROR(VALUE(LEFT(I3475,FIND(" ",I3475)-1)),""),"")</f>
        <v>1</v>
      </c>
      <c r="P3475" s="7" t="n">
        <f aca="false">IF(K3475="","",K3475-G3475)</f>
        <v>33</v>
      </c>
    </row>
    <row r="3476" customFormat="false" ht="15" hidden="false" customHeight="false" outlineLevel="0" collapsed="false">
      <c r="A3476" s="7" t="n">
        <v>81021294</v>
      </c>
      <c r="B3476" s="7" t="s">
        <v>78</v>
      </c>
      <c r="C3476" s="7" t="s">
        <v>7312</v>
      </c>
      <c r="E3476" s="7" t="s">
        <v>5469</v>
      </c>
      <c r="F3476" s="7" t="s">
        <v>7311</v>
      </c>
      <c r="G3476" s="7" t="n">
        <v>2018</v>
      </c>
      <c r="H3476" s="7" t="s">
        <v>48</v>
      </c>
      <c r="I3476" s="7" t="s">
        <v>82</v>
      </c>
      <c r="J3476" s="7" t="s">
        <v>393</v>
      </c>
      <c r="K3476" s="7" t="n">
        <f aca="false">IFERROR(VALUE(RIGHT(TRIM(F3476),4)),"")</f>
        <v>2019</v>
      </c>
      <c r="L3476" s="7" t="str">
        <f aca="false">IF(TRIM(E3476)="","Unknown",IFERROR(LEFT(TRIM(E3476),FIND(",",TRIM(E3476))-1),TRIM(E3476)))</f>
        <v>Israel</v>
      </c>
      <c r="M3476" s="7" t="str">
        <f aca="false">IFERROR(LEFT(J3476,FIND(",",J3476)-1),J3476)</f>
        <v>International TV Shows</v>
      </c>
      <c r="N3476" s="7" t="str">
        <f aca="false">IF(B3476="Movie",IFERROR(VALUE(LEFT(I3476,FIND(" ",I3476)-1)),""),"")</f>
        <v/>
      </c>
      <c r="O3476" s="7" t="n">
        <f aca="false">IF(B3476="TV Show",IFERROR(VALUE(LEFT(I3476,FIND(" ",I3476)-1)),""),"")</f>
        <v>1</v>
      </c>
      <c r="P3476" s="7" t="n">
        <f aca="false">IF(K3476="","",K3476-G3476)</f>
        <v>1</v>
      </c>
    </row>
    <row r="3477" customFormat="false" ht="15" hidden="false" customHeight="false" outlineLevel="0" collapsed="false">
      <c r="A3477" s="7" t="n">
        <v>80192136</v>
      </c>
      <c r="B3477" s="7" t="s">
        <v>68</v>
      </c>
      <c r="C3477" s="7" t="s">
        <v>7313</v>
      </c>
      <c r="E3477" s="7" t="s">
        <v>1397</v>
      </c>
      <c r="F3477" s="7" t="s">
        <v>7314</v>
      </c>
      <c r="G3477" s="7" t="n">
        <v>2018</v>
      </c>
      <c r="H3477" s="7" t="s">
        <v>48</v>
      </c>
      <c r="I3477" s="7" t="s">
        <v>98</v>
      </c>
      <c r="J3477" s="7" t="s">
        <v>45</v>
      </c>
      <c r="K3477" s="7" t="n">
        <f aca="false">IFERROR(VALUE(RIGHT(TRIM(F3477),4)),"")</f>
        <v>2018</v>
      </c>
      <c r="L3477" s="7" t="str">
        <f aca="false">IF(TRIM(E3477)="","Unknown",IFERROR(LEFT(TRIM(E3477),FIND(",",TRIM(E3477))-1),TRIM(E3477)))</f>
        <v>Colombia</v>
      </c>
      <c r="M3477" s="7" t="str">
        <f aca="false">IFERROR(LEFT(J3477,FIND(",",J3477)-1),J3477)</f>
        <v>Stand-Up Comedy</v>
      </c>
      <c r="N3477" s="7" t="n">
        <f aca="false">IF(B3477="Movie",IFERROR(VALUE(LEFT(I3477,FIND(" ",I3477)-1)),""),"")</f>
        <v>60</v>
      </c>
      <c r="O3477" s="7" t="str">
        <f aca="false">IF(B3477="TV Show",IFERROR(VALUE(LEFT(I3477,FIND(" ",I3477)-1)),""),"")</f>
        <v/>
      </c>
      <c r="P3477" s="7" t="n">
        <f aca="false">IF(K3477="","",K3477-G3477)</f>
        <v>0</v>
      </c>
    </row>
    <row r="3478" customFormat="false" ht="15" hidden="false" customHeight="false" outlineLevel="0" collapsed="false">
      <c r="A3478" s="7" t="n">
        <v>80109128</v>
      </c>
      <c r="B3478" s="7" t="s">
        <v>68</v>
      </c>
      <c r="C3478" s="7" t="s">
        <v>7315</v>
      </c>
      <c r="D3478" s="7" t="s">
        <v>7316</v>
      </c>
      <c r="E3478" s="7" t="s">
        <v>7317</v>
      </c>
      <c r="F3478" s="7" t="s">
        <v>7314</v>
      </c>
      <c r="G3478" s="7" t="n">
        <v>2017</v>
      </c>
      <c r="H3478" s="7" t="s">
        <v>52</v>
      </c>
      <c r="I3478" s="7" t="s">
        <v>357</v>
      </c>
      <c r="J3478" s="7" t="s">
        <v>1014</v>
      </c>
      <c r="K3478" s="7" t="n">
        <f aca="false">IFERROR(VALUE(RIGHT(TRIM(F3478),4)),"")</f>
        <v>2018</v>
      </c>
      <c r="L3478" s="7" t="str">
        <f aca="false">IF(TRIM(E3478)="","Unknown",IFERROR(LEFT(TRIM(E3478),FIND(",",TRIM(E3478))-1),TRIM(E3478)))</f>
        <v>United Kingdom</v>
      </c>
      <c r="M3478" s="7" t="str">
        <f aca="false">IFERROR(LEFT(J3478,FIND(",",J3478)-1),J3478)</f>
        <v>Horror Movies</v>
      </c>
      <c r="N3478" s="7" t="n">
        <f aca="false">IF(B3478="Movie",IFERROR(VALUE(LEFT(I3478,FIND(" ",I3478)-1)),""),"")</f>
        <v>89</v>
      </c>
      <c r="O3478" s="7" t="str">
        <f aca="false">IF(B3478="TV Show",IFERROR(VALUE(LEFT(I3478,FIND(" ",I3478)-1)),""),"")</f>
        <v/>
      </c>
      <c r="P3478" s="7" t="n">
        <f aca="false">IF(K3478="","",K3478-G3478)</f>
        <v>1</v>
      </c>
    </row>
    <row r="3479" customFormat="false" ht="15" hidden="false" customHeight="false" outlineLevel="0" collapsed="false">
      <c r="A3479" s="7" t="n">
        <v>80187188</v>
      </c>
      <c r="B3479" s="7" t="s">
        <v>68</v>
      </c>
      <c r="C3479" s="7" t="s">
        <v>7318</v>
      </c>
      <c r="D3479" s="7" t="s">
        <v>7319</v>
      </c>
      <c r="E3479" s="7" t="s">
        <v>7320</v>
      </c>
      <c r="F3479" s="7" t="s">
        <v>7314</v>
      </c>
      <c r="G3479" s="7" t="n">
        <v>2017</v>
      </c>
      <c r="H3479" s="7" t="s">
        <v>49</v>
      </c>
      <c r="I3479" s="7" t="s">
        <v>311</v>
      </c>
      <c r="J3479" s="7" t="s">
        <v>5516</v>
      </c>
      <c r="K3479" s="7" t="n">
        <f aca="false">IFERROR(VALUE(RIGHT(TRIM(F3479),4)),"")</f>
        <v>2018</v>
      </c>
      <c r="L3479" s="7" t="str">
        <f aca="false">IF(TRIM(E3479)="","Unknown",IFERROR(LEFT(TRIM(E3479),FIND(",",TRIM(E3479))-1),TRIM(E3479)))</f>
        <v>Brazil</v>
      </c>
      <c r="M3479" s="7" t="str">
        <f aca="false">IFERROR(LEFT(J3479,FIND(",",J3479)-1),J3479)</f>
        <v>Documentaries</v>
      </c>
      <c r="N3479" s="7" t="n">
        <f aca="false">IF(B3479="Movie",IFERROR(VALUE(LEFT(I3479,FIND(" ",I3479)-1)),""),"")</f>
        <v>92</v>
      </c>
      <c r="O3479" s="7" t="str">
        <f aca="false">IF(B3479="TV Show",IFERROR(VALUE(LEFT(I3479,FIND(" ",I3479)-1)),""),"")</f>
        <v/>
      </c>
      <c r="P3479" s="7" t="n">
        <f aca="false">IF(K3479="","",K3479-G3479)</f>
        <v>1</v>
      </c>
    </row>
    <row r="3480" customFormat="false" ht="15" hidden="false" customHeight="false" outlineLevel="0" collapsed="false">
      <c r="A3480" s="7" t="n">
        <v>80117811</v>
      </c>
      <c r="B3480" s="7" t="s">
        <v>68</v>
      </c>
      <c r="C3480" s="7" t="s">
        <v>7321</v>
      </c>
      <c r="D3480" s="7" t="s">
        <v>7322</v>
      </c>
      <c r="E3480" s="7" t="s">
        <v>26</v>
      </c>
      <c r="F3480" s="7" t="s">
        <v>7323</v>
      </c>
      <c r="G3480" s="7" t="n">
        <v>2017</v>
      </c>
      <c r="H3480" s="7" t="s">
        <v>49</v>
      </c>
      <c r="I3480" s="7" t="s">
        <v>1221</v>
      </c>
      <c r="J3480" s="7" t="s">
        <v>45</v>
      </c>
      <c r="K3480" s="7" t="n">
        <f aca="false">IFERROR(VALUE(RIGHT(TRIM(F3480),4)),"")</f>
        <v>2017</v>
      </c>
      <c r="L3480" s="7" t="str">
        <f aca="false">IF(TRIM(E3480)="","Unknown",IFERROR(LEFT(TRIM(E3480),FIND(",",TRIM(E3480))-1),TRIM(E3480)))</f>
        <v>United States</v>
      </c>
      <c r="M3480" s="7" t="str">
        <f aca="false">IFERROR(LEFT(J3480,FIND(",",J3480)-1),J3480)</f>
        <v>Stand-Up Comedy</v>
      </c>
      <c r="N3480" s="7" t="n">
        <f aca="false">IF(B3480="Movie",IFERROR(VALUE(LEFT(I3480,FIND(" ",I3480)-1)),""),"")</f>
        <v>74</v>
      </c>
      <c r="O3480" s="7" t="str">
        <f aca="false">IF(B3480="TV Show",IFERROR(VALUE(LEFT(I3480,FIND(" ",I3480)-1)),""),"")</f>
        <v/>
      </c>
      <c r="P3480" s="7" t="n">
        <f aca="false">IF(K3480="","",K3480-G3480)</f>
        <v>0</v>
      </c>
    </row>
    <row r="3481" customFormat="false" ht="15" hidden="false" customHeight="false" outlineLevel="0" collapsed="false">
      <c r="A3481" s="7" t="n">
        <v>80095649</v>
      </c>
      <c r="B3481" s="7" t="s">
        <v>78</v>
      </c>
      <c r="C3481" s="7" t="s">
        <v>7324</v>
      </c>
      <c r="E3481" s="7" t="s">
        <v>26</v>
      </c>
      <c r="F3481" s="7" t="s">
        <v>7323</v>
      </c>
      <c r="G3481" s="7" t="n">
        <v>2017</v>
      </c>
      <c r="H3481" s="7" t="s">
        <v>119</v>
      </c>
      <c r="I3481" s="7" t="s">
        <v>82</v>
      </c>
      <c r="J3481" s="7" t="s">
        <v>191</v>
      </c>
      <c r="K3481" s="7" t="n">
        <f aca="false">IFERROR(VALUE(RIGHT(TRIM(F3481),4)),"")</f>
        <v>2017</v>
      </c>
      <c r="L3481" s="7" t="str">
        <f aca="false">IF(TRIM(E3481)="","Unknown",IFERROR(LEFT(TRIM(E3481),FIND(",",TRIM(E3481))-1),TRIM(E3481)))</f>
        <v>United States</v>
      </c>
      <c r="M3481" s="7" t="str">
        <f aca="false">IFERROR(LEFT(J3481,FIND(",",J3481)-1),J3481)</f>
        <v>Kids' TV</v>
      </c>
      <c r="N3481" s="7" t="str">
        <f aca="false">IF(B3481="Movie",IFERROR(VALUE(LEFT(I3481,FIND(" ",I3481)-1)),""),"")</f>
        <v/>
      </c>
      <c r="O3481" s="7" t="n">
        <f aca="false">IF(B3481="TV Show",IFERROR(VALUE(LEFT(I3481,FIND(" ",I3481)-1)),""),"")</f>
        <v>1</v>
      </c>
      <c r="P3481" s="7" t="n">
        <f aca="false">IF(K3481="","",K3481-G3481)</f>
        <v>0</v>
      </c>
    </row>
    <row r="3482" customFormat="false" ht="15" hidden="false" customHeight="false" outlineLevel="0" collapsed="false">
      <c r="A3482" s="7" t="n">
        <v>70084788</v>
      </c>
      <c r="B3482" s="7" t="s">
        <v>68</v>
      </c>
      <c r="C3482" s="7" t="s">
        <v>7325</v>
      </c>
      <c r="D3482" s="7" t="s">
        <v>7326</v>
      </c>
      <c r="E3482" s="7" t="s">
        <v>26</v>
      </c>
      <c r="F3482" s="7" t="s">
        <v>7327</v>
      </c>
      <c r="G3482" s="7" t="n">
        <v>2008</v>
      </c>
      <c r="H3482" s="7" t="s">
        <v>52</v>
      </c>
      <c r="I3482" s="7" t="s">
        <v>869</v>
      </c>
      <c r="J3482" s="7" t="s">
        <v>37</v>
      </c>
      <c r="K3482" s="7" t="n">
        <f aca="false">IFERROR(VALUE(RIGHT(TRIM(F3482),4)),"")</f>
        <v>2020</v>
      </c>
      <c r="L3482" s="7" t="str">
        <f aca="false">IF(TRIM(E3482)="","Unknown",IFERROR(LEFT(TRIM(E3482),FIND(",",TRIM(E3482))-1),TRIM(E3482)))</f>
        <v>United States</v>
      </c>
      <c r="M3482" s="7" t="str">
        <f aca="false">IFERROR(LEFT(J3482,FIND(",",J3482)-1),J3482)</f>
        <v>Dramas</v>
      </c>
      <c r="N3482" s="7" t="n">
        <f aca="false">IF(B3482="Movie",IFERROR(VALUE(LEFT(I3482,FIND(" ",I3482)-1)),""),"")</f>
        <v>123</v>
      </c>
      <c r="O3482" s="7" t="str">
        <f aca="false">IF(B3482="TV Show",IFERROR(VALUE(LEFT(I3482,FIND(" ",I3482)-1)),""),"")</f>
        <v/>
      </c>
      <c r="P3482" s="7" t="n">
        <f aca="false">IF(K3482="","",K3482-G3482)</f>
        <v>12</v>
      </c>
    </row>
    <row r="3483" customFormat="false" ht="15" hidden="false" customHeight="false" outlineLevel="0" collapsed="false">
      <c r="A3483" s="7" t="n">
        <v>60036237</v>
      </c>
      <c r="B3483" s="7" t="s">
        <v>68</v>
      </c>
      <c r="C3483" s="7" t="s">
        <v>7328</v>
      </c>
      <c r="D3483" s="7" t="s">
        <v>7329</v>
      </c>
      <c r="E3483" s="7" t="s">
        <v>230</v>
      </c>
      <c r="F3483" s="7" t="s">
        <v>7327</v>
      </c>
      <c r="G3483" s="7" t="n">
        <v>2004</v>
      </c>
      <c r="H3483" s="7" t="s">
        <v>54</v>
      </c>
      <c r="I3483" s="7" t="s">
        <v>111</v>
      </c>
      <c r="J3483" s="7" t="s">
        <v>74</v>
      </c>
      <c r="K3483" s="7" t="n">
        <f aca="false">IFERROR(VALUE(RIGHT(TRIM(F3483),4)),"")</f>
        <v>2020</v>
      </c>
      <c r="L3483" s="7" t="str">
        <f aca="false">IF(TRIM(E3483)="","Unknown",IFERROR(LEFT(TRIM(E3483),FIND(",",TRIM(E3483))-1),TRIM(E3483)))</f>
        <v>United States</v>
      </c>
      <c r="M3483" s="7" t="str">
        <f aca="false">IFERROR(LEFT(J3483,FIND(",",J3483)-1),J3483)</f>
        <v>Children &amp; Family Movies</v>
      </c>
      <c r="N3483" s="7" t="n">
        <f aca="false">IF(B3483="Movie",IFERROR(VALUE(LEFT(I3483,FIND(" ",I3483)-1)),""),"")</f>
        <v>95</v>
      </c>
      <c r="O3483" s="7" t="str">
        <f aca="false">IF(B3483="TV Show",IFERROR(VALUE(LEFT(I3483,FIND(" ",I3483)-1)),""),"")</f>
        <v/>
      </c>
      <c r="P3483" s="7" t="n">
        <f aca="false">IF(K3483="","",K3483-G3483)</f>
        <v>16</v>
      </c>
    </row>
    <row r="3484" customFormat="false" ht="15" hidden="false" customHeight="false" outlineLevel="0" collapsed="false">
      <c r="A3484" s="7" t="n">
        <v>80014637</v>
      </c>
      <c r="B3484" s="7" t="s">
        <v>68</v>
      </c>
      <c r="C3484" s="7" t="s">
        <v>7330</v>
      </c>
      <c r="D3484" s="7" t="s">
        <v>1985</v>
      </c>
      <c r="E3484" s="7" t="s">
        <v>3581</v>
      </c>
      <c r="F3484" s="7" t="s">
        <v>7327</v>
      </c>
      <c r="G3484" s="7" t="n">
        <v>2014</v>
      </c>
      <c r="H3484" s="7" t="s">
        <v>55</v>
      </c>
      <c r="I3484" s="7" t="s">
        <v>353</v>
      </c>
      <c r="J3484" s="7" t="s">
        <v>42</v>
      </c>
      <c r="K3484" s="7" t="n">
        <f aca="false">IFERROR(VALUE(RIGHT(TRIM(F3484),4)),"")</f>
        <v>2020</v>
      </c>
      <c r="L3484" s="7" t="str">
        <f aca="false">IF(TRIM(E3484)="","Unknown",IFERROR(LEFT(TRIM(E3484),FIND(",",TRIM(E3484))-1),TRIM(E3484)))</f>
        <v>United States</v>
      </c>
      <c r="M3484" s="7" t="str">
        <f aca="false">IFERROR(LEFT(J3484,FIND(",",J3484)-1),J3484)</f>
        <v>Children &amp; Family Movies</v>
      </c>
      <c r="N3484" s="7" t="n">
        <f aca="false">IF(B3484="Movie",IFERROR(VALUE(LEFT(I3484,FIND(" ",I3484)-1)),""),"")</f>
        <v>45</v>
      </c>
      <c r="O3484" s="7" t="str">
        <f aca="false">IF(B3484="TV Show",IFERROR(VALUE(LEFT(I3484,FIND(" ",I3484)-1)),""),"")</f>
        <v/>
      </c>
      <c r="P3484" s="7" t="n">
        <f aca="false">IF(K3484="","",K3484-G3484)</f>
        <v>6</v>
      </c>
    </row>
    <row r="3485" customFormat="false" ht="15" hidden="false" customHeight="false" outlineLevel="0" collapsed="false">
      <c r="A3485" s="7" t="n">
        <v>60000407</v>
      </c>
      <c r="B3485" s="7" t="s">
        <v>68</v>
      </c>
      <c r="C3485" s="7" t="s">
        <v>7331</v>
      </c>
      <c r="D3485" s="7" t="s">
        <v>3254</v>
      </c>
      <c r="E3485" s="7" t="s">
        <v>26</v>
      </c>
      <c r="F3485" s="7" t="s">
        <v>7327</v>
      </c>
      <c r="G3485" s="7" t="n">
        <v>1999</v>
      </c>
      <c r="H3485" s="7" t="s">
        <v>51</v>
      </c>
      <c r="I3485" s="7" t="s">
        <v>232</v>
      </c>
      <c r="J3485" s="7" t="s">
        <v>37</v>
      </c>
      <c r="K3485" s="7" t="n">
        <f aca="false">IFERROR(VALUE(RIGHT(TRIM(F3485),4)),"")</f>
        <v>2020</v>
      </c>
      <c r="L3485" s="7" t="str">
        <f aca="false">IF(TRIM(E3485)="","Unknown",IFERROR(LEFT(TRIM(E3485),FIND(",",TRIM(E3485))-1),TRIM(E3485)))</f>
        <v>United States</v>
      </c>
      <c r="M3485" s="7" t="str">
        <f aca="false">IFERROR(LEFT(J3485,FIND(",",J3485)-1),J3485)</f>
        <v>Dramas</v>
      </c>
      <c r="N3485" s="7" t="n">
        <f aca="false">IF(B3485="Movie",IFERROR(VALUE(LEFT(I3485,FIND(" ",I3485)-1)),""),"")</f>
        <v>122</v>
      </c>
      <c r="O3485" s="7" t="str">
        <f aca="false">IF(B3485="TV Show",IFERROR(VALUE(LEFT(I3485,FIND(" ",I3485)-1)),""),"")</f>
        <v/>
      </c>
      <c r="P3485" s="7" t="n">
        <f aca="false">IF(K3485="","",K3485-G3485)</f>
        <v>21</v>
      </c>
    </row>
    <row r="3486" customFormat="false" ht="15" hidden="false" customHeight="false" outlineLevel="0" collapsed="false">
      <c r="A3486" s="7" t="n">
        <v>70202138</v>
      </c>
      <c r="B3486" s="7" t="s">
        <v>68</v>
      </c>
      <c r="C3486" s="7" t="s">
        <v>7332</v>
      </c>
      <c r="D3486" s="7" t="s">
        <v>7333</v>
      </c>
      <c r="E3486" s="7" t="s">
        <v>317</v>
      </c>
      <c r="F3486" s="7" t="s">
        <v>7327</v>
      </c>
      <c r="G3486" s="7" t="n">
        <v>2011</v>
      </c>
      <c r="H3486" s="7" t="s">
        <v>54</v>
      </c>
      <c r="I3486" s="7" t="s">
        <v>134</v>
      </c>
      <c r="J3486" s="7" t="s">
        <v>74</v>
      </c>
      <c r="K3486" s="7" t="n">
        <f aca="false">IFERROR(VALUE(RIGHT(TRIM(F3486),4)),"")</f>
        <v>2020</v>
      </c>
      <c r="L3486" s="7" t="str">
        <f aca="false">IF(TRIM(E3486)="","Unknown",IFERROR(LEFT(TRIM(E3486),FIND(",",TRIM(E3486))-1),TRIM(E3486)))</f>
        <v>United Kingdom</v>
      </c>
      <c r="M3486" s="7" t="str">
        <f aca="false">IFERROR(LEFT(J3486,FIND(",",J3486)-1),J3486)</f>
        <v>Children &amp; Family Movies</v>
      </c>
      <c r="N3486" s="7" t="n">
        <f aca="false">IF(B3486="Movie",IFERROR(VALUE(LEFT(I3486,FIND(" ",I3486)-1)),""),"")</f>
        <v>98</v>
      </c>
      <c r="O3486" s="7" t="str">
        <f aca="false">IF(B3486="TV Show",IFERROR(VALUE(LEFT(I3486,FIND(" ",I3486)-1)),""),"")</f>
        <v/>
      </c>
      <c r="P3486" s="7" t="n">
        <f aca="false">IF(K3486="","",K3486-G3486)</f>
        <v>9</v>
      </c>
    </row>
    <row r="3487" customFormat="false" ht="15" hidden="false" customHeight="false" outlineLevel="0" collapsed="false">
      <c r="A3487" s="7" t="n">
        <v>81035731</v>
      </c>
      <c r="B3487" s="7" t="s">
        <v>68</v>
      </c>
      <c r="C3487" s="7" t="s">
        <v>7334</v>
      </c>
      <c r="D3487" s="7" t="s">
        <v>7335</v>
      </c>
      <c r="E3487" s="7" t="s">
        <v>7336</v>
      </c>
      <c r="F3487" s="7" t="s">
        <v>7327</v>
      </c>
      <c r="G3487" s="7" t="n">
        <v>2018</v>
      </c>
      <c r="H3487" s="7" t="s">
        <v>50</v>
      </c>
      <c r="I3487" s="7" t="s">
        <v>173</v>
      </c>
      <c r="J3487" s="7" t="s">
        <v>304</v>
      </c>
      <c r="K3487" s="7" t="n">
        <f aca="false">IFERROR(VALUE(RIGHT(TRIM(F3487),4)),"")</f>
        <v>2020</v>
      </c>
      <c r="L3487" s="7" t="str">
        <f aca="false">IF(TRIM(E3487)="","Unknown",IFERROR(LEFT(TRIM(E3487),FIND(",",TRIM(E3487))-1),TRIM(E3487)))</f>
        <v>Indonesia</v>
      </c>
      <c r="M3487" s="7" t="str">
        <f aca="false">IFERROR(LEFT(J3487,FIND(",",J3487)-1),J3487)</f>
        <v>Dramas</v>
      </c>
      <c r="N3487" s="7" t="n">
        <f aca="false">IF(B3487="Movie",IFERROR(VALUE(LEFT(I3487,FIND(" ",I3487)-1)),""),"")</f>
        <v>106</v>
      </c>
      <c r="O3487" s="7" t="str">
        <f aca="false">IF(B3487="TV Show",IFERROR(VALUE(LEFT(I3487,FIND(" ",I3487)-1)),""),"")</f>
        <v/>
      </c>
      <c r="P3487" s="7" t="n">
        <f aca="false">IF(K3487="","",K3487-G3487)</f>
        <v>2</v>
      </c>
    </row>
    <row r="3488" customFormat="false" ht="15" hidden="false" customHeight="false" outlineLevel="0" collapsed="false">
      <c r="A3488" s="7" t="n">
        <v>1181488</v>
      </c>
      <c r="B3488" s="7" t="s">
        <v>68</v>
      </c>
      <c r="C3488" s="7" t="s">
        <v>7337</v>
      </c>
      <c r="D3488" s="7" t="s">
        <v>7338</v>
      </c>
      <c r="E3488" s="7" t="s">
        <v>26</v>
      </c>
      <c r="F3488" s="7" t="s">
        <v>7327</v>
      </c>
      <c r="G3488" s="7" t="n">
        <v>1997</v>
      </c>
      <c r="H3488" s="7" t="s">
        <v>52</v>
      </c>
      <c r="I3488" s="7" t="s">
        <v>594</v>
      </c>
      <c r="J3488" s="7" t="s">
        <v>177</v>
      </c>
      <c r="K3488" s="7" t="n">
        <f aca="false">IFERROR(VALUE(RIGHT(TRIM(F3488),4)),"")</f>
        <v>2020</v>
      </c>
      <c r="L3488" s="7" t="str">
        <f aca="false">IF(TRIM(E3488)="","Unknown",IFERROR(LEFT(TRIM(E3488),FIND(",",TRIM(E3488))-1),TRIM(E3488)))</f>
        <v>United States</v>
      </c>
      <c r="M3488" s="7" t="str">
        <f aca="false">IFERROR(LEFT(J3488,FIND(",",J3488)-1),J3488)</f>
        <v>Comedies</v>
      </c>
      <c r="N3488" s="7" t="n">
        <f aca="false">IF(B3488="Movie",IFERROR(VALUE(LEFT(I3488,FIND(" ",I3488)-1)),""),"")</f>
        <v>139</v>
      </c>
      <c r="O3488" s="7" t="str">
        <f aca="false">IF(B3488="TV Show",IFERROR(VALUE(LEFT(I3488,FIND(" ",I3488)-1)),""),"")</f>
        <v/>
      </c>
      <c r="P3488" s="7" t="n">
        <f aca="false">IF(K3488="","",K3488-G3488)</f>
        <v>23</v>
      </c>
    </row>
    <row r="3489" customFormat="false" ht="15" hidden="false" customHeight="false" outlineLevel="0" collapsed="false">
      <c r="A3489" s="7" t="n">
        <v>70308046</v>
      </c>
      <c r="B3489" s="7" t="s">
        <v>68</v>
      </c>
      <c r="C3489" s="7" t="s">
        <v>7339</v>
      </c>
      <c r="D3489" s="7" t="s">
        <v>4636</v>
      </c>
      <c r="E3489" s="7" t="s">
        <v>26</v>
      </c>
      <c r="F3489" s="7" t="s">
        <v>7327</v>
      </c>
      <c r="G3489" s="7" t="n">
        <v>2014</v>
      </c>
      <c r="H3489" s="7" t="s">
        <v>48</v>
      </c>
      <c r="I3489" s="7" t="s">
        <v>494</v>
      </c>
      <c r="J3489" s="7" t="s">
        <v>38</v>
      </c>
      <c r="K3489" s="7" t="n">
        <f aca="false">IFERROR(VALUE(RIGHT(TRIM(F3489),4)),"")</f>
        <v>2020</v>
      </c>
      <c r="L3489" s="7" t="str">
        <f aca="false">IF(TRIM(E3489)="","Unknown",IFERROR(LEFT(TRIM(E3489),FIND(",",TRIM(E3489))-1),TRIM(E3489)))</f>
        <v>United States</v>
      </c>
      <c r="M3489" s="7" t="str">
        <f aca="false">IFERROR(LEFT(J3489,FIND(",",J3489)-1),J3489)</f>
        <v>Comedies</v>
      </c>
      <c r="N3489" s="7" t="n">
        <f aca="false">IF(B3489="Movie",IFERROR(VALUE(LEFT(I3489,FIND(" ",I3489)-1)),""),"")</f>
        <v>87</v>
      </c>
      <c r="O3489" s="7" t="str">
        <f aca="false">IF(B3489="TV Show",IFERROR(VALUE(LEFT(I3489,FIND(" ",I3489)-1)),""),"")</f>
        <v/>
      </c>
      <c r="P3489" s="7" t="n">
        <f aca="false">IF(K3489="","",K3489-G3489)</f>
        <v>6</v>
      </c>
    </row>
    <row r="3490" customFormat="false" ht="15" hidden="false" customHeight="false" outlineLevel="0" collapsed="false">
      <c r="A3490" s="7" t="n">
        <v>81167119</v>
      </c>
      <c r="B3490" s="7" t="s">
        <v>78</v>
      </c>
      <c r="C3490" s="7" t="s">
        <v>7340</v>
      </c>
      <c r="E3490" s="7" t="s">
        <v>32</v>
      </c>
      <c r="F3490" s="7" t="s">
        <v>7327</v>
      </c>
      <c r="G3490" s="7" t="n">
        <v>2017</v>
      </c>
      <c r="H3490" s="7" t="s">
        <v>49</v>
      </c>
      <c r="I3490" s="7" t="s">
        <v>82</v>
      </c>
      <c r="J3490" s="7" t="s">
        <v>637</v>
      </c>
      <c r="K3490" s="7" t="n">
        <f aca="false">IFERROR(VALUE(RIGHT(TRIM(F3490),4)),"")</f>
        <v>2020</v>
      </c>
      <c r="L3490" s="7" t="str">
        <f aca="false">IF(TRIM(E3490)="","Unknown",IFERROR(LEFT(TRIM(E3490),FIND(",",TRIM(E3490))-1),TRIM(E3490)))</f>
        <v>South Korea</v>
      </c>
      <c r="M3490" s="7" t="str">
        <f aca="false">IFERROR(LEFT(J3490,FIND(",",J3490)-1),J3490)</f>
        <v>International TV Shows</v>
      </c>
      <c r="N3490" s="7" t="str">
        <f aca="false">IF(B3490="Movie",IFERROR(VALUE(LEFT(I3490,FIND(" ",I3490)-1)),""),"")</f>
        <v/>
      </c>
      <c r="O3490" s="7" t="n">
        <f aca="false">IF(B3490="TV Show",IFERROR(VALUE(LEFT(I3490,FIND(" ",I3490)-1)),""),"")</f>
        <v>1</v>
      </c>
      <c r="P3490" s="7" t="n">
        <f aca="false">IF(K3490="","",K3490-G3490)</f>
        <v>3</v>
      </c>
    </row>
    <row r="3491" customFormat="false" ht="15" hidden="false" customHeight="false" outlineLevel="0" collapsed="false">
      <c r="A3491" s="7" t="n">
        <v>80108158</v>
      </c>
      <c r="B3491" s="7" t="s">
        <v>68</v>
      </c>
      <c r="C3491" s="7" t="s">
        <v>7341</v>
      </c>
      <c r="D3491" s="7" t="s">
        <v>7342</v>
      </c>
      <c r="E3491" s="7" t="s">
        <v>28</v>
      </c>
      <c r="F3491" s="7" t="s">
        <v>7327</v>
      </c>
      <c r="G3491" s="7" t="n">
        <v>2014</v>
      </c>
      <c r="H3491" s="7" t="s">
        <v>49</v>
      </c>
      <c r="I3491" s="7" t="s">
        <v>820</v>
      </c>
      <c r="J3491" s="7" t="s">
        <v>38</v>
      </c>
      <c r="K3491" s="7" t="n">
        <f aca="false">IFERROR(VALUE(RIGHT(TRIM(F3491),4)),"")</f>
        <v>2020</v>
      </c>
      <c r="L3491" s="7" t="str">
        <f aca="false">IF(TRIM(E3491)="","Unknown",IFERROR(LEFT(TRIM(E3491),FIND(",",TRIM(E3491))-1),TRIM(E3491)))</f>
        <v>United Kingdom</v>
      </c>
      <c r="M3491" s="7" t="str">
        <f aca="false">IFERROR(LEFT(J3491,FIND(",",J3491)-1),J3491)</f>
        <v>Comedies</v>
      </c>
      <c r="N3491" s="7" t="n">
        <f aca="false">IF(B3491="Movie",IFERROR(VALUE(LEFT(I3491,FIND(" ",I3491)-1)),""),"")</f>
        <v>105</v>
      </c>
      <c r="O3491" s="7" t="str">
        <f aca="false">IF(B3491="TV Show",IFERROR(VALUE(LEFT(I3491,FIND(" ",I3491)-1)),""),"")</f>
        <v/>
      </c>
      <c r="P3491" s="7" t="n">
        <f aca="false">IF(K3491="","",K3491-G3491)</f>
        <v>6</v>
      </c>
    </row>
    <row r="3492" customFormat="false" ht="15" hidden="false" customHeight="false" outlineLevel="0" collapsed="false">
      <c r="A3492" s="7" t="n">
        <v>60024942</v>
      </c>
      <c r="B3492" s="7" t="s">
        <v>68</v>
      </c>
      <c r="C3492" s="7" t="s">
        <v>7343</v>
      </c>
      <c r="D3492" s="7" t="s">
        <v>2801</v>
      </c>
      <c r="E3492" s="7" t="s">
        <v>230</v>
      </c>
      <c r="F3492" s="7" t="s">
        <v>7327</v>
      </c>
      <c r="G3492" s="7" t="n">
        <v>2002</v>
      </c>
      <c r="H3492" s="7" t="s">
        <v>52</v>
      </c>
      <c r="I3492" s="7" t="s">
        <v>197</v>
      </c>
      <c r="J3492" s="7" t="s">
        <v>37</v>
      </c>
      <c r="K3492" s="7" t="n">
        <f aca="false">IFERROR(VALUE(RIGHT(TRIM(F3492),4)),"")</f>
        <v>2020</v>
      </c>
      <c r="L3492" s="7" t="str">
        <f aca="false">IF(TRIM(E3492)="","Unknown",IFERROR(LEFT(TRIM(E3492),FIND(",",TRIM(E3492))-1),TRIM(E3492)))</f>
        <v>United States</v>
      </c>
      <c r="M3492" s="7" t="str">
        <f aca="false">IFERROR(LEFT(J3492,FIND(",",J3492)-1),J3492)</f>
        <v>Dramas</v>
      </c>
      <c r="N3492" s="7" t="n">
        <f aca="false">IF(B3492="Movie",IFERROR(VALUE(LEFT(I3492,FIND(" ",I3492)-1)),""),"")</f>
        <v>142</v>
      </c>
      <c r="O3492" s="7" t="str">
        <f aca="false">IF(B3492="TV Show",IFERROR(VALUE(LEFT(I3492,FIND(" ",I3492)-1)),""),"")</f>
        <v/>
      </c>
      <c r="P3492" s="7" t="n">
        <f aca="false">IF(K3492="","",K3492-G3492)</f>
        <v>18</v>
      </c>
    </row>
    <row r="3493" customFormat="false" ht="15" hidden="false" customHeight="false" outlineLevel="0" collapsed="false">
      <c r="A3493" s="7" t="n">
        <v>81028791</v>
      </c>
      <c r="B3493" s="7" t="s">
        <v>78</v>
      </c>
      <c r="C3493" s="7" t="s">
        <v>7344</v>
      </c>
      <c r="E3493" s="7" t="s">
        <v>30</v>
      </c>
      <c r="F3493" s="7" t="s">
        <v>7327</v>
      </c>
      <c r="G3493" s="7" t="n">
        <v>2018</v>
      </c>
      <c r="H3493" s="7" t="s">
        <v>49</v>
      </c>
      <c r="I3493" s="7" t="s">
        <v>82</v>
      </c>
      <c r="J3493" s="7" t="s">
        <v>7345</v>
      </c>
      <c r="K3493" s="7" t="n">
        <f aca="false">IFERROR(VALUE(RIGHT(TRIM(F3493),4)),"")</f>
        <v>2020</v>
      </c>
      <c r="L3493" s="7" t="str">
        <f aca="false">IF(TRIM(E3493)="","Unknown",IFERROR(LEFT(TRIM(E3493),FIND(",",TRIM(E3493))-1),TRIM(E3493)))</f>
        <v>Japan</v>
      </c>
      <c r="M3493" s="7" t="str">
        <f aca="false">IFERROR(LEFT(J3493,FIND(",",J3493)-1),J3493)</f>
        <v>Anime Series</v>
      </c>
      <c r="N3493" s="7" t="str">
        <f aca="false">IF(B3493="Movie",IFERROR(VALUE(LEFT(I3493,FIND(" ",I3493)-1)),""),"")</f>
        <v/>
      </c>
      <c r="O3493" s="7" t="n">
        <f aca="false">IF(B3493="TV Show",IFERROR(VALUE(LEFT(I3493,FIND(" ",I3493)-1)),""),"")</f>
        <v>1</v>
      </c>
      <c r="P3493" s="7" t="n">
        <f aca="false">IF(K3493="","",K3493-G3493)</f>
        <v>2</v>
      </c>
    </row>
    <row r="3494" customFormat="false" ht="15" hidden="false" customHeight="false" outlineLevel="0" collapsed="false">
      <c r="A3494" s="7" t="n">
        <v>60000891</v>
      </c>
      <c r="B3494" s="7" t="s">
        <v>68</v>
      </c>
      <c r="C3494" s="7" t="s">
        <v>7346</v>
      </c>
      <c r="D3494" s="7" t="s">
        <v>7347</v>
      </c>
      <c r="E3494" s="7" t="s">
        <v>26</v>
      </c>
      <c r="F3494" s="7" t="s">
        <v>7327</v>
      </c>
      <c r="G3494" s="7" t="n">
        <v>2000</v>
      </c>
      <c r="H3494" s="7" t="s">
        <v>52</v>
      </c>
      <c r="I3494" s="7" t="s">
        <v>237</v>
      </c>
      <c r="J3494" s="7" t="s">
        <v>37</v>
      </c>
      <c r="K3494" s="7" t="n">
        <f aca="false">IFERROR(VALUE(RIGHT(TRIM(F3494),4)),"")</f>
        <v>2020</v>
      </c>
      <c r="L3494" s="7" t="str">
        <f aca="false">IF(TRIM(E3494)="","Unknown",IFERROR(LEFT(TRIM(E3494),FIND(",",TRIM(E3494))-1),TRIM(E3494)))</f>
        <v>United States</v>
      </c>
      <c r="M3494" s="7" t="str">
        <f aca="false">IFERROR(LEFT(J3494,FIND(",",J3494)-1),J3494)</f>
        <v>Dramas</v>
      </c>
      <c r="N3494" s="7" t="n">
        <f aca="false">IF(B3494="Movie",IFERROR(VALUE(LEFT(I3494,FIND(" ",I3494)-1)),""),"")</f>
        <v>116</v>
      </c>
      <c r="O3494" s="7" t="str">
        <f aca="false">IF(B3494="TV Show",IFERROR(VALUE(LEFT(I3494,FIND(" ",I3494)-1)),""),"")</f>
        <v/>
      </c>
      <c r="P3494" s="7" t="n">
        <f aca="false">IF(K3494="","",K3494-G3494)</f>
        <v>20</v>
      </c>
    </row>
    <row r="3495" customFormat="false" ht="15" hidden="false" customHeight="false" outlineLevel="0" collapsed="false">
      <c r="A3495" s="7" t="n">
        <v>70021648</v>
      </c>
      <c r="B3495" s="7" t="s">
        <v>68</v>
      </c>
      <c r="C3495" s="7" t="s">
        <v>7348</v>
      </c>
      <c r="D3495" s="7" t="s">
        <v>7349</v>
      </c>
      <c r="E3495" s="7" t="s">
        <v>317</v>
      </c>
      <c r="F3495" s="7" t="s">
        <v>7327</v>
      </c>
      <c r="G3495" s="7" t="n">
        <v>2005</v>
      </c>
      <c r="H3495" s="7" t="s">
        <v>54</v>
      </c>
      <c r="I3495" s="7" t="s">
        <v>1405</v>
      </c>
      <c r="J3495" s="7" t="s">
        <v>74</v>
      </c>
      <c r="K3495" s="7" t="n">
        <f aca="false">IFERROR(VALUE(RIGHT(TRIM(F3495),4)),"")</f>
        <v>2020</v>
      </c>
      <c r="L3495" s="7" t="str">
        <f aca="false">IF(TRIM(E3495)="","Unknown",IFERROR(LEFT(TRIM(E3495),FIND(",",TRIM(E3495))-1),TRIM(E3495)))</f>
        <v>United Kingdom</v>
      </c>
      <c r="M3495" s="7" t="str">
        <f aca="false">IFERROR(LEFT(J3495,FIND(",",J3495)-1),J3495)</f>
        <v>Children &amp; Family Movies</v>
      </c>
      <c r="N3495" s="7" t="n">
        <f aca="false">IF(B3495="Movie",IFERROR(VALUE(LEFT(I3495,FIND(" ",I3495)-1)),""),"")</f>
        <v>115</v>
      </c>
      <c r="O3495" s="7" t="str">
        <f aca="false">IF(B3495="TV Show",IFERROR(VALUE(LEFT(I3495,FIND(" ",I3495)-1)),""),"")</f>
        <v/>
      </c>
      <c r="P3495" s="7" t="n">
        <f aca="false">IF(K3495="","",K3495-G3495)</f>
        <v>15</v>
      </c>
    </row>
    <row r="3496" customFormat="false" ht="15" hidden="false" customHeight="false" outlineLevel="0" collapsed="false">
      <c r="A3496" s="7" t="n">
        <v>1151188</v>
      </c>
      <c r="B3496" s="7" t="s">
        <v>68</v>
      </c>
      <c r="C3496" s="7" t="s">
        <v>7350</v>
      </c>
      <c r="D3496" s="7" t="s">
        <v>2253</v>
      </c>
      <c r="E3496" s="7" t="s">
        <v>26</v>
      </c>
      <c r="F3496" s="7" t="s">
        <v>7327</v>
      </c>
      <c r="G3496" s="7" t="n">
        <v>1997</v>
      </c>
      <c r="H3496" s="7" t="s">
        <v>51</v>
      </c>
      <c r="I3496" s="7" t="s">
        <v>146</v>
      </c>
      <c r="J3496" s="7" t="s">
        <v>893</v>
      </c>
      <c r="K3496" s="7" t="n">
        <f aca="false">IFERROR(VALUE(RIGHT(TRIM(F3496),4)),"")</f>
        <v>2020</v>
      </c>
      <c r="L3496" s="7" t="str">
        <f aca="false">IF(TRIM(E3496)="","Unknown",IFERROR(LEFT(TRIM(E3496),FIND(",",TRIM(E3496))-1),TRIM(E3496)))</f>
        <v>United States</v>
      </c>
      <c r="M3496" s="7" t="str">
        <f aca="false">IFERROR(LEFT(J3496,FIND(",",J3496)-1),J3496)</f>
        <v>Comedies</v>
      </c>
      <c r="N3496" s="7" t="n">
        <f aca="false">IF(B3496="Movie",IFERROR(VALUE(LEFT(I3496,FIND(" ",I3496)-1)),""),"")</f>
        <v>113</v>
      </c>
      <c r="O3496" s="7" t="str">
        <f aca="false">IF(B3496="TV Show",IFERROR(VALUE(LEFT(I3496,FIND(" ",I3496)-1)),""),"")</f>
        <v/>
      </c>
      <c r="P3496" s="7" t="n">
        <f aca="false">IF(K3496="","",K3496-G3496)</f>
        <v>23</v>
      </c>
    </row>
    <row r="3497" customFormat="false" ht="15" hidden="false" customHeight="false" outlineLevel="0" collapsed="false">
      <c r="A3497" s="7" t="n">
        <v>81184681</v>
      </c>
      <c r="B3497" s="7" t="s">
        <v>78</v>
      </c>
      <c r="C3497" s="7" t="s">
        <v>7351</v>
      </c>
      <c r="F3497" s="7" t="s">
        <v>7327</v>
      </c>
      <c r="G3497" s="7" t="n">
        <v>2019</v>
      </c>
      <c r="H3497" s="7" t="s">
        <v>55</v>
      </c>
      <c r="I3497" s="7" t="s">
        <v>82</v>
      </c>
      <c r="J3497" s="7" t="s">
        <v>44</v>
      </c>
      <c r="K3497" s="7" t="n">
        <f aca="false">IFERROR(VALUE(RIGHT(TRIM(F3497),4)),"")</f>
        <v>2020</v>
      </c>
      <c r="L3497" s="7" t="str">
        <f aca="false">IF(TRIM(E3497)="","Unknown",IFERROR(LEFT(TRIM(E3497),FIND(",",TRIM(E3497))-1),TRIM(E3497)))</f>
        <v>Unknown</v>
      </c>
      <c r="M3497" s="7" t="str">
        <f aca="false">IFERROR(LEFT(J3497,FIND(",",J3497)-1),J3497)</f>
        <v>Kids' TV</v>
      </c>
      <c r="N3497" s="7" t="str">
        <f aca="false">IF(B3497="Movie",IFERROR(VALUE(LEFT(I3497,FIND(" ",I3497)-1)),""),"")</f>
        <v/>
      </c>
      <c r="O3497" s="7" t="n">
        <f aca="false">IF(B3497="TV Show",IFERROR(VALUE(LEFT(I3497,FIND(" ",I3497)-1)),""),"")</f>
        <v>1</v>
      </c>
      <c r="P3497" s="7" t="n">
        <f aca="false">IF(K3497="","",K3497-G3497)</f>
        <v>1</v>
      </c>
    </row>
    <row r="3498" customFormat="false" ht="15" hidden="false" customHeight="false" outlineLevel="0" collapsed="false">
      <c r="A3498" s="7" t="n">
        <v>374651</v>
      </c>
      <c r="B3498" s="7" t="s">
        <v>68</v>
      </c>
      <c r="C3498" s="7" t="s">
        <v>7352</v>
      </c>
      <c r="D3498" s="7" t="s">
        <v>7353</v>
      </c>
      <c r="E3498" s="7" t="s">
        <v>317</v>
      </c>
      <c r="F3498" s="7" t="s">
        <v>7327</v>
      </c>
      <c r="G3498" s="7" t="n">
        <v>1968</v>
      </c>
      <c r="H3498" s="7" t="s">
        <v>612</v>
      </c>
      <c r="I3498" s="7" t="s">
        <v>216</v>
      </c>
      <c r="J3498" s="7" t="s">
        <v>6366</v>
      </c>
      <c r="K3498" s="7" t="n">
        <f aca="false">IFERROR(VALUE(RIGHT(TRIM(F3498),4)),"")</f>
        <v>2020</v>
      </c>
      <c r="L3498" s="7" t="str">
        <f aca="false">IF(TRIM(E3498)="","Unknown",IFERROR(LEFT(TRIM(E3498),FIND(",",TRIM(E3498))-1),TRIM(E3498)))</f>
        <v>United Kingdom</v>
      </c>
      <c r="M3498" s="7" t="str">
        <f aca="false">IFERROR(LEFT(J3498,FIND(",",J3498)-1),J3498)</f>
        <v>Children &amp; Family Movies</v>
      </c>
      <c r="N3498" s="7" t="n">
        <f aca="false">IF(B3498="Movie",IFERROR(VALUE(LEFT(I3498,FIND(" ",I3498)-1)),""),"")</f>
        <v>146</v>
      </c>
      <c r="O3498" s="7" t="str">
        <f aca="false">IF(B3498="TV Show",IFERROR(VALUE(LEFT(I3498,FIND(" ",I3498)-1)),""),"")</f>
        <v/>
      </c>
      <c r="P3498" s="7" t="n">
        <f aca="false">IF(K3498="","",K3498-G3498)</f>
        <v>52</v>
      </c>
    </row>
    <row r="3499" customFormat="false" ht="15" hidden="false" customHeight="false" outlineLevel="0" collapsed="false">
      <c r="A3499" s="7" t="n">
        <v>70124183</v>
      </c>
      <c r="B3499" s="7" t="s">
        <v>68</v>
      </c>
      <c r="C3499" s="7" t="s">
        <v>7354</v>
      </c>
      <c r="D3499" s="7" t="s">
        <v>6113</v>
      </c>
      <c r="E3499" s="7" t="s">
        <v>7355</v>
      </c>
      <c r="F3499" s="7" t="s">
        <v>7327</v>
      </c>
      <c r="G3499" s="7" t="n">
        <v>2009</v>
      </c>
      <c r="H3499" s="7" t="s">
        <v>51</v>
      </c>
      <c r="I3499" s="7" t="s">
        <v>138</v>
      </c>
      <c r="J3499" s="7" t="s">
        <v>977</v>
      </c>
      <c r="K3499" s="7" t="n">
        <f aca="false">IFERROR(VALUE(RIGHT(TRIM(F3499),4)),"")</f>
        <v>2020</v>
      </c>
      <c r="L3499" s="7" t="str">
        <f aca="false">IF(TRIM(E3499)="","Unknown",IFERROR(LEFT(TRIM(E3499),FIND(",",TRIM(E3499))-1),TRIM(E3499)))</f>
        <v>United States</v>
      </c>
      <c r="M3499" s="7" t="str">
        <f aca="false">IFERROR(LEFT(J3499,FIND(",",J3499)-1),J3499)</f>
        <v>Independent Movies</v>
      </c>
      <c r="N3499" s="7" t="n">
        <f aca="false">IF(B3499="Movie",IFERROR(VALUE(LEFT(I3499,FIND(" ",I3499)-1)),""),"")</f>
        <v>96</v>
      </c>
      <c r="O3499" s="7" t="str">
        <f aca="false">IF(B3499="TV Show",IFERROR(VALUE(LEFT(I3499,FIND(" ",I3499)-1)),""),"")</f>
        <v/>
      </c>
      <c r="P3499" s="7" t="n">
        <f aca="false">IF(K3499="","",K3499-G3499)</f>
        <v>11</v>
      </c>
    </row>
    <row r="3500" customFormat="false" ht="15" hidden="false" customHeight="false" outlineLevel="0" collapsed="false">
      <c r="A3500" s="7" t="n">
        <v>60026106</v>
      </c>
      <c r="B3500" s="7" t="s">
        <v>68</v>
      </c>
      <c r="C3500" s="7" t="s">
        <v>7356</v>
      </c>
      <c r="D3500" s="7" t="s">
        <v>7357</v>
      </c>
      <c r="E3500" s="7" t="s">
        <v>7358</v>
      </c>
      <c r="F3500" s="7" t="s">
        <v>7327</v>
      </c>
      <c r="G3500" s="7" t="n">
        <v>2002</v>
      </c>
      <c r="H3500" s="7" t="s">
        <v>51</v>
      </c>
      <c r="I3500" s="7" t="s">
        <v>247</v>
      </c>
      <c r="J3500" s="7" t="s">
        <v>188</v>
      </c>
      <c r="K3500" s="7" t="n">
        <f aca="false">IFERROR(VALUE(RIGHT(TRIM(F3500),4)),"")</f>
        <v>2020</v>
      </c>
      <c r="L3500" s="7" t="str">
        <f aca="false">IF(TRIM(E3500)="","Unknown",IFERROR(LEFT(TRIM(E3500),FIND(",",TRIM(E3500))-1),TRIM(E3500)))</f>
        <v>Brazil</v>
      </c>
      <c r="M3500" s="7" t="str">
        <f aca="false">IFERROR(LEFT(J3500,FIND(",",J3500)-1),J3500)</f>
        <v>Dramas</v>
      </c>
      <c r="N3500" s="7" t="n">
        <f aca="false">IF(B3500="Movie",IFERROR(VALUE(LEFT(I3500,FIND(" ",I3500)-1)),""),"")</f>
        <v>130</v>
      </c>
      <c r="O3500" s="7" t="str">
        <f aca="false">IF(B3500="TV Show",IFERROR(VALUE(LEFT(I3500,FIND(" ",I3500)-1)),""),"")</f>
        <v/>
      </c>
      <c r="P3500" s="7" t="n">
        <f aca="false">IF(K3500="","",K3500-G3500)</f>
        <v>18</v>
      </c>
    </row>
    <row r="3501" customFormat="false" ht="15" hidden="false" customHeight="false" outlineLevel="0" collapsed="false">
      <c r="A3501" s="7" t="n">
        <v>70041162</v>
      </c>
      <c r="B3501" s="7" t="s">
        <v>68</v>
      </c>
      <c r="C3501" s="7" t="s">
        <v>7359</v>
      </c>
      <c r="D3501" s="7" t="s">
        <v>4338</v>
      </c>
      <c r="E3501" s="7" t="s">
        <v>26</v>
      </c>
      <c r="F3501" s="7" t="s">
        <v>7327</v>
      </c>
      <c r="G3501" s="7" t="n">
        <v>2006</v>
      </c>
      <c r="H3501" s="7" t="s">
        <v>52</v>
      </c>
      <c r="I3501" s="7" t="s">
        <v>268</v>
      </c>
      <c r="J3501" s="7" t="s">
        <v>2776</v>
      </c>
      <c r="K3501" s="7" t="n">
        <f aca="false">IFERROR(VALUE(RIGHT(TRIM(F3501),4)),"")</f>
        <v>2020</v>
      </c>
      <c r="L3501" s="7" t="str">
        <f aca="false">IF(TRIM(E3501)="","Unknown",IFERROR(LEFT(TRIM(E3501),FIND(",",TRIM(E3501))-1),TRIM(E3501)))</f>
        <v>United States</v>
      </c>
      <c r="M3501" s="7" t="str">
        <f aca="false">IFERROR(LEFT(J3501,FIND(",",J3501)-1),J3501)</f>
        <v>Comedies</v>
      </c>
      <c r="N3501" s="7" t="n">
        <f aca="false">IF(B3501="Movie",IFERROR(VALUE(LEFT(I3501,FIND(" ",I3501)-1)),""),"")</f>
        <v>108</v>
      </c>
      <c r="O3501" s="7" t="str">
        <f aca="false">IF(B3501="TV Show",IFERROR(VALUE(LEFT(I3501,FIND(" ",I3501)-1)),""),"")</f>
        <v/>
      </c>
      <c r="P3501" s="7" t="n">
        <f aca="false">IF(K3501="","",K3501-G3501)</f>
        <v>14</v>
      </c>
    </row>
    <row r="3502" customFormat="false" ht="15" hidden="false" customHeight="false" outlineLevel="0" collapsed="false">
      <c r="A3502" s="7" t="n">
        <v>70082268</v>
      </c>
      <c r="B3502" s="7" t="s">
        <v>68</v>
      </c>
      <c r="C3502" s="7" t="s">
        <v>7360</v>
      </c>
      <c r="D3502" s="7" t="s">
        <v>7361</v>
      </c>
      <c r="E3502" s="7" t="s">
        <v>26</v>
      </c>
      <c r="F3502" s="7" t="s">
        <v>7327</v>
      </c>
      <c r="G3502" s="7" t="n">
        <v>2008</v>
      </c>
      <c r="H3502" s="7" t="s">
        <v>52</v>
      </c>
      <c r="I3502" s="7" t="s">
        <v>340</v>
      </c>
      <c r="J3502" s="7" t="s">
        <v>3217</v>
      </c>
      <c r="K3502" s="7" t="n">
        <f aca="false">IFERROR(VALUE(RIGHT(TRIM(F3502),4)),"")</f>
        <v>2020</v>
      </c>
      <c r="L3502" s="7" t="str">
        <f aca="false">IF(TRIM(E3502)="","Unknown",IFERROR(LEFT(TRIM(E3502),FIND(",",TRIM(E3502))-1),TRIM(E3502)))</f>
        <v>United States</v>
      </c>
      <c r="M3502" s="7" t="str">
        <f aca="false">IFERROR(LEFT(J3502,FIND(",",J3502)-1),J3502)</f>
        <v>Action &amp; Adventure</v>
      </c>
      <c r="N3502" s="7" t="n">
        <f aca="false">IF(B3502="Movie",IFERROR(VALUE(LEFT(I3502,FIND(" ",I3502)-1)),""),"")</f>
        <v>85</v>
      </c>
      <c r="O3502" s="7" t="str">
        <f aca="false">IF(B3502="TV Show",IFERROR(VALUE(LEFT(I3502,FIND(" ",I3502)-1)),""),"")</f>
        <v/>
      </c>
      <c r="P3502" s="7" t="n">
        <f aca="false">IF(K3502="","",K3502-G3502)</f>
        <v>12</v>
      </c>
    </row>
    <row r="3503" customFormat="false" ht="15" hidden="false" customHeight="false" outlineLevel="0" collapsed="false">
      <c r="A3503" s="7" t="n">
        <v>70019004</v>
      </c>
      <c r="B3503" s="7" t="s">
        <v>68</v>
      </c>
      <c r="C3503" s="7" t="s">
        <v>7362</v>
      </c>
      <c r="D3503" s="7" t="s">
        <v>7363</v>
      </c>
      <c r="E3503" s="7" t="s">
        <v>1996</v>
      </c>
      <c r="F3503" s="7" t="s">
        <v>7327</v>
      </c>
      <c r="G3503" s="7" t="n">
        <v>2005</v>
      </c>
      <c r="H3503" s="7" t="s">
        <v>52</v>
      </c>
      <c r="I3503" s="7" t="s">
        <v>749</v>
      </c>
      <c r="J3503" s="7" t="s">
        <v>1383</v>
      </c>
      <c r="K3503" s="7" t="n">
        <f aca="false">IFERROR(VALUE(RIGHT(TRIM(F3503),4)),"")</f>
        <v>2020</v>
      </c>
      <c r="L3503" s="7" t="str">
        <f aca="false">IF(TRIM(E3503)="","Unknown",IFERROR(LEFT(TRIM(E3503),FIND(",",TRIM(E3503))-1),TRIM(E3503)))</f>
        <v>United States</v>
      </c>
      <c r="M3503" s="7" t="str">
        <f aca="false">IFERROR(LEFT(J3503,FIND(",",J3503)-1),J3503)</f>
        <v>Dramas</v>
      </c>
      <c r="N3503" s="7" t="n">
        <f aca="false">IF(B3503="Movie",IFERROR(VALUE(LEFT(I3503,FIND(" ",I3503)-1)),""),"")</f>
        <v>137</v>
      </c>
      <c r="O3503" s="7" t="str">
        <f aca="false">IF(B3503="TV Show",IFERROR(VALUE(LEFT(I3503,FIND(" ",I3503)-1)),""),"")</f>
        <v/>
      </c>
      <c r="P3503" s="7" t="n">
        <f aca="false">IF(K3503="","",K3503-G3503)</f>
        <v>15</v>
      </c>
    </row>
    <row r="3504" customFormat="false" ht="15" hidden="false" customHeight="false" outlineLevel="0" collapsed="false">
      <c r="A3504" s="7" t="n">
        <v>70128701</v>
      </c>
      <c r="B3504" s="7" t="s">
        <v>68</v>
      </c>
      <c r="C3504" s="7" t="s">
        <v>7364</v>
      </c>
      <c r="D3504" s="7" t="s">
        <v>7365</v>
      </c>
      <c r="E3504" s="7" t="s">
        <v>26</v>
      </c>
      <c r="F3504" s="7" t="s">
        <v>7327</v>
      </c>
      <c r="G3504" s="7" t="n">
        <v>2010</v>
      </c>
      <c r="H3504" s="7" t="s">
        <v>52</v>
      </c>
      <c r="I3504" s="7" t="s">
        <v>1405</v>
      </c>
      <c r="J3504" s="7" t="s">
        <v>38</v>
      </c>
      <c r="K3504" s="7" t="n">
        <f aca="false">IFERROR(VALUE(RIGHT(TRIM(F3504),4)),"")</f>
        <v>2020</v>
      </c>
      <c r="L3504" s="7" t="str">
        <f aca="false">IF(TRIM(E3504)="","Unknown",IFERROR(LEFT(TRIM(E3504),FIND(",",TRIM(E3504))-1),TRIM(E3504)))</f>
        <v>United States</v>
      </c>
      <c r="M3504" s="7" t="str">
        <f aca="false">IFERROR(LEFT(J3504,FIND(",",J3504)-1),J3504)</f>
        <v>Comedies</v>
      </c>
      <c r="N3504" s="7" t="n">
        <f aca="false">IF(B3504="Movie",IFERROR(VALUE(LEFT(I3504,FIND(" ",I3504)-1)),""),"")</f>
        <v>115</v>
      </c>
      <c r="O3504" s="7" t="str">
        <f aca="false">IF(B3504="TV Show",IFERROR(VALUE(LEFT(I3504,FIND(" ",I3504)-1)),""),"")</f>
        <v/>
      </c>
      <c r="P3504" s="7" t="n">
        <f aca="false">IF(K3504="","",K3504-G3504)</f>
        <v>10</v>
      </c>
    </row>
    <row r="3505" customFormat="false" ht="15" hidden="false" customHeight="false" outlineLevel="0" collapsed="false">
      <c r="A3505" s="7" t="n">
        <v>1151721</v>
      </c>
      <c r="B3505" s="7" t="s">
        <v>68</v>
      </c>
      <c r="C3505" s="7" t="s">
        <v>7366</v>
      </c>
      <c r="D3505" s="7" t="s">
        <v>7367</v>
      </c>
      <c r="E3505" s="7" t="s">
        <v>26</v>
      </c>
      <c r="F3505" s="7" t="s">
        <v>7327</v>
      </c>
      <c r="G3505" s="7" t="n">
        <v>1997</v>
      </c>
      <c r="H3505" s="7" t="s">
        <v>51</v>
      </c>
      <c r="I3505" s="7" t="s">
        <v>378</v>
      </c>
      <c r="J3505" s="7" t="s">
        <v>597</v>
      </c>
      <c r="K3505" s="7" t="n">
        <f aca="false">IFERROR(VALUE(RIGHT(TRIM(F3505),4)),"")</f>
        <v>2020</v>
      </c>
      <c r="L3505" s="7" t="str">
        <f aca="false">IF(TRIM(E3505)="","Unknown",IFERROR(LEFT(TRIM(E3505),FIND(",",TRIM(E3505))-1),TRIM(E3505)))</f>
        <v>United States</v>
      </c>
      <c r="M3505" s="7" t="str">
        <f aca="false">IFERROR(LEFT(J3505,FIND(",",J3505)-1),J3505)</f>
        <v>Dramas</v>
      </c>
      <c r="N3505" s="7" t="n">
        <f aca="false">IF(B3505="Movie",IFERROR(VALUE(LEFT(I3505,FIND(" ",I3505)-1)),""),"")</f>
        <v>127</v>
      </c>
      <c r="O3505" s="7" t="str">
        <f aca="false">IF(B3505="TV Show",IFERROR(VALUE(LEFT(I3505,FIND(" ",I3505)-1)),""),"")</f>
        <v/>
      </c>
      <c r="P3505" s="7" t="n">
        <f aca="false">IF(K3505="","",K3505-G3505)</f>
        <v>23</v>
      </c>
    </row>
    <row r="3506" customFormat="false" ht="15" hidden="false" customHeight="false" outlineLevel="0" collapsed="false">
      <c r="A3506" s="7" t="n">
        <v>60029363</v>
      </c>
      <c r="B3506" s="7" t="s">
        <v>68</v>
      </c>
      <c r="C3506" s="7" t="s">
        <v>7368</v>
      </c>
      <c r="D3506" s="7" t="s">
        <v>432</v>
      </c>
      <c r="E3506" s="7" t="s">
        <v>26</v>
      </c>
      <c r="F3506" s="7" t="s">
        <v>7327</v>
      </c>
      <c r="G3506" s="7" t="n">
        <v>1996</v>
      </c>
      <c r="H3506" s="7" t="s">
        <v>52</v>
      </c>
      <c r="I3506" s="7" t="s">
        <v>330</v>
      </c>
      <c r="J3506" s="7" t="s">
        <v>276</v>
      </c>
      <c r="K3506" s="7" t="n">
        <f aca="false">IFERROR(VALUE(RIGHT(TRIM(F3506),4)),"")</f>
        <v>2020</v>
      </c>
      <c r="L3506" s="7" t="str">
        <f aca="false">IF(TRIM(E3506)="","Unknown",IFERROR(LEFT(TRIM(E3506),FIND(",",TRIM(E3506))-1),TRIM(E3506)))</f>
        <v>United States</v>
      </c>
      <c r="M3506" s="7" t="str">
        <f aca="false">IFERROR(LEFT(J3506,FIND(",",J3506)-1),J3506)</f>
        <v>Action &amp; Adventure</v>
      </c>
      <c r="N3506" s="7" t="n">
        <f aca="false">IF(B3506="Movie",IFERROR(VALUE(LEFT(I3506,FIND(" ",I3506)-1)),""),"")</f>
        <v>103</v>
      </c>
      <c r="O3506" s="7" t="str">
        <f aca="false">IF(B3506="TV Show",IFERROR(VALUE(LEFT(I3506,FIND(" ",I3506)-1)),""),"")</f>
        <v/>
      </c>
      <c r="P3506" s="7" t="n">
        <f aca="false">IF(K3506="","",K3506-G3506)</f>
        <v>24</v>
      </c>
    </row>
    <row r="3507" customFormat="false" ht="15" hidden="false" customHeight="false" outlineLevel="0" collapsed="false">
      <c r="A3507" s="7" t="n">
        <v>80032636</v>
      </c>
      <c r="B3507" s="7" t="s">
        <v>68</v>
      </c>
      <c r="C3507" s="7" t="s">
        <v>7369</v>
      </c>
      <c r="D3507" s="7" t="s">
        <v>7370</v>
      </c>
      <c r="E3507" s="7" t="s">
        <v>26</v>
      </c>
      <c r="F3507" s="7" t="s">
        <v>7327</v>
      </c>
      <c r="G3507" s="7" t="n">
        <v>2015</v>
      </c>
      <c r="H3507" s="7" t="s">
        <v>52</v>
      </c>
      <c r="I3507" s="7" t="s">
        <v>451</v>
      </c>
      <c r="J3507" s="7" t="s">
        <v>276</v>
      </c>
      <c r="K3507" s="7" t="n">
        <f aca="false">IFERROR(VALUE(RIGHT(TRIM(F3507),4)),"")</f>
        <v>2020</v>
      </c>
      <c r="L3507" s="7" t="str">
        <f aca="false">IF(TRIM(E3507)="","Unknown",IFERROR(LEFT(TRIM(E3507),FIND(",",TRIM(E3507))-1),TRIM(E3507)))</f>
        <v>United States</v>
      </c>
      <c r="M3507" s="7" t="str">
        <f aca="false">IFERROR(LEFT(J3507,FIND(",",J3507)-1),J3507)</f>
        <v>Action &amp; Adventure</v>
      </c>
      <c r="N3507" s="7" t="n">
        <f aca="false">IF(B3507="Movie",IFERROR(VALUE(LEFT(I3507,FIND(" ",I3507)-1)),""),"")</f>
        <v>97</v>
      </c>
      <c r="O3507" s="7" t="str">
        <f aca="false">IF(B3507="TV Show",IFERROR(VALUE(LEFT(I3507,FIND(" ",I3507)-1)),""),"")</f>
        <v/>
      </c>
      <c r="P3507" s="7" t="n">
        <f aca="false">IF(K3507="","",K3507-G3507)</f>
        <v>5</v>
      </c>
    </row>
    <row r="3508" customFormat="false" ht="15" hidden="false" customHeight="false" outlineLevel="0" collapsed="false">
      <c r="A3508" s="7" t="n">
        <v>60002003</v>
      </c>
      <c r="B3508" s="7" t="s">
        <v>68</v>
      </c>
      <c r="C3508" s="7" t="s">
        <v>7371</v>
      </c>
      <c r="D3508" s="7" t="s">
        <v>7372</v>
      </c>
      <c r="E3508" s="7" t="s">
        <v>26</v>
      </c>
      <c r="F3508" s="7" t="s">
        <v>7327</v>
      </c>
      <c r="G3508" s="7" t="n">
        <v>2000</v>
      </c>
      <c r="H3508" s="7" t="s">
        <v>54</v>
      </c>
      <c r="I3508" s="7" t="s">
        <v>613</v>
      </c>
      <c r="J3508" s="7" t="s">
        <v>276</v>
      </c>
      <c r="K3508" s="7" t="n">
        <f aca="false">IFERROR(VALUE(RIGHT(TRIM(F3508),4)),"")</f>
        <v>2020</v>
      </c>
      <c r="L3508" s="7" t="str">
        <f aca="false">IF(TRIM(E3508)="","Unknown",IFERROR(LEFT(TRIM(E3508),FIND(",",TRIM(E3508))-1),TRIM(E3508)))</f>
        <v>United States</v>
      </c>
      <c r="M3508" s="7" t="str">
        <f aca="false">IFERROR(LEFT(J3508,FIND(",",J3508)-1),J3508)</f>
        <v>Action &amp; Adventure</v>
      </c>
      <c r="N3508" s="7" t="n">
        <f aca="false">IF(B3508="Movie",IFERROR(VALUE(LEFT(I3508,FIND(" ",I3508)-1)),""),"")</f>
        <v>84</v>
      </c>
      <c r="O3508" s="7" t="str">
        <f aca="false">IF(B3508="TV Show",IFERROR(VALUE(LEFT(I3508,FIND(" ",I3508)-1)),""),"")</f>
        <v/>
      </c>
      <c r="P3508" s="7" t="n">
        <f aca="false">IF(K3508="","",K3508-G3508)</f>
        <v>20</v>
      </c>
    </row>
    <row r="3509" customFormat="false" ht="15" hidden="false" customHeight="false" outlineLevel="0" collapsed="false">
      <c r="A3509" s="7" t="n">
        <v>1179574</v>
      </c>
      <c r="B3509" s="7" t="s">
        <v>68</v>
      </c>
      <c r="C3509" s="7" t="s">
        <v>7373</v>
      </c>
      <c r="D3509" s="7" t="s">
        <v>7374</v>
      </c>
      <c r="E3509" s="7" t="s">
        <v>317</v>
      </c>
      <c r="F3509" s="7" t="s">
        <v>7327</v>
      </c>
      <c r="G3509" s="7" t="n">
        <v>1997</v>
      </c>
      <c r="H3509" s="7" t="s">
        <v>51</v>
      </c>
      <c r="I3509" s="7" t="s">
        <v>138</v>
      </c>
      <c r="J3509" s="7" t="s">
        <v>7375</v>
      </c>
      <c r="K3509" s="7" t="n">
        <f aca="false">IFERROR(VALUE(RIGHT(TRIM(F3509),4)),"")</f>
        <v>2020</v>
      </c>
      <c r="L3509" s="7" t="str">
        <f aca="false">IF(TRIM(E3509)="","Unknown",IFERROR(LEFT(TRIM(E3509),FIND(",",TRIM(E3509))-1),TRIM(E3509)))</f>
        <v>United Kingdom</v>
      </c>
      <c r="M3509" s="7" t="str">
        <f aca="false">IFERROR(LEFT(J3509,FIND(",",J3509)-1),J3509)</f>
        <v>Horror Movies</v>
      </c>
      <c r="N3509" s="7" t="n">
        <f aca="false">IF(B3509="Movie",IFERROR(VALUE(LEFT(I3509,FIND(" ",I3509)-1)),""),"")</f>
        <v>96</v>
      </c>
      <c r="O3509" s="7" t="str">
        <f aca="false">IF(B3509="TV Show",IFERROR(VALUE(LEFT(I3509,FIND(" ",I3509)-1)),""),"")</f>
        <v/>
      </c>
      <c r="P3509" s="7" t="n">
        <f aca="false">IF(K3509="","",K3509-G3509)</f>
        <v>23</v>
      </c>
    </row>
    <row r="3510" customFormat="false" ht="15" hidden="false" customHeight="false" outlineLevel="0" collapsed="false">
      <c r="A3510" s="7" t="n">
        <v>81103093</v>
      </c>
      <c r="B3510" s="7" t="s">
        <v>68</v>
      </c>
      <c r="C3510" s="7" t="s">
        <v>7376</v>
      </c>
      <c r="D3510" s="7" t="s">
        <v>6301</v>
      </c>
      <c r="E3510" s="7" t="s">
        <v>26</v>
      </c>
      <c r="F3510" s="7" t="s">
        <v>7327</v>
      </c>
      <c r="G3510" s="7" t="n">
        <v>2019</v>
      </c>
      <c r="H3510" s="7" t="s">
        <v>49</v>
      </c>
      <c r="I3510" s="7" t="s">
        <v>154</v>
      </c>
      <c r="J3510" s="7" t="s">
        <v>38</v>
      </c>
      <c r="K3510" s="7" t="n">
        <f aca="false">IFERROR(VALUE(RIGHT(TRIM(F3510),4)),"")</f>
        <v>2020</v>
      </c>
      <c r="L3510" s="7" t="str">
        <f aca="false">IF(TRIM(E3510)="","Unknown",IFERROR(LEFT(TRIM(E3510),FIND(",",TRIM(E3510))-1),TRIM(E3510)))</f>
        <v>United States</v>
      </c>
      <c r="M3510" s="7" t="str">
        <f aca="false">IFERROR(LEFT(J3510,FIND(",",J3510)-1),J3510)</f>
        <v>Comedies</v>
      </c>
      <c r="N3510" s="7" t="n">
        <f aca="false">IF(B3510="Movie",IFERROR(VALUE(LEFT(I3510,FIND(" ",I3510)-1)),""),"")</f>
        <v>80</v>
      </c>
      <c r="O3510" s="7" t="str">
        <f aca="false">IF(B3510="TV Show",IFERROR(VALUE(LEFT(I3510,FIND(" ",I3510)-1)),""),"")</f>
        <v/>
      </c>
      <c r="P3510" s="7" t="n">
        <f aca="false">IF(K3510="","",K3510-G3510)</f>
        <v>1</v>
      </c>
    </row>
    <row r="3511" customFormat="false" ht="15" hidden="false" customHeight="false" outlineLevel="0" collapsed="false">
      <c r="A3511" s="7" t="n">
        <v>60000393</v>
      </c>
      <c r="B3511" s="7" t="s">
        <v>68</v>
      </c>
      <c r="C3511" s="7" t="s">
        <v>7377</v>
      </c>
      <c r="D3511" s="7" t="s">
        <v>7378</v>
      </c>
      <c r="E3511" s="7" t="s">
        <v>26</v>
      </c>
      <c r="F3511" s="7" t="s">
        <v>7327</v>
      </c>
      <c r="G3511" s="7" t="n">
        <v>2000</v>
      </c>
      <c r="H3511" s="7" t="s">
        <v>51</v>
      </c>
      <c r="I3511" s="7" t="s">
        <v>134</v>
      </c>
      <c r="J3511" s="7" t="s">
        <v>7379</v>
      </c>
      <c r="K3511" s="7" t="n">
        <f aca="false">IFERROR(VALUE(RIGHT(TRIM(F3511),4)),"")</f>
        <v>2020</v>
      </c>
      <c r="L3511" s="7" t="str">
        <f aca="false">IF(TRIM(E3511)="","Unknown",IFERROR(LEFT(TRIM(E3511),FIND(",",TRIM(E3511))-1),TRIM(E3511)))</f>
        <v>United States</v>
      </c>
      <c r="M3511" s="7" t="str">
        <f aca="false">IFERROR(LEFT(J3511,FIND(",",J3511)-1),J3511)</f>
        <v>Cult Movies</v>
      </c>
      <c r="N3511" s="7" t="n">
        <f aca="false">IF(B3511="Movie",IFERROR(VALUE(LEFT(I3511,FIND(" ",I3511)-1)),""),"")</f>
        <v>98</v>
      </c>
      <c r="O3511" s="7" t="str">
        <f aca="false">IF(B3511="TV Show",IFERROR(VALUE(LEFT(I3511,FIND(" ",I3511)-1)),""),"")</f>
        <v/>
      </c>
      <c r="P3511" s="7" t="n">
        <f aca="false">IF(K3511="","",K3511-G3511)</f>
        <v>20</v>
      </c>
    </row>
    <row r="3512" customFormat="false" ht="15" hidden="false" customHeight="false" outlineLevel="0" collapsed="false">
      <c r="A3512" s="7" t="n">
        <v>60026114</v>
      </c>
      <c r="B3512" s="7" t="s">
        <v>68</v>
      </c>
      <c r="C3512" s="7" t="s">
        <v>7380</v>
      </c>
      <c r="D3512" s="7" t="s">
        <v>2861</v>
      </c>
      <c r="E3512" s="7" t="s">
        <v>230</v>
      </c>
      <c r="F3512" s="7" t="s">
        <v>7327</v>
      </c>
      <c r="G3512" s="7" t="n">
        <v>2003</v>
      </c>
      <c r="H3512" s="7" t="s">
        <v>51</v>
      </c>
      <c r="I3512" s="7" t="s">
        <v>73</v>
      </c>
      <c r="J3512" s="7" t="s">
        <v>147</v>
      </c>
      <c r="K3512" s="7" t="n">
        <f aca="false">IFERROR(VALUE(RIGHT(TRIM(F3512),4)),"")</f>
        <v>2020</v>
      </c>
      <c r="L3512" s="7" t="str">
        <f aca="false">IF(TRIM(E3512)="","Unknown",IFERROR(LEFT(TRIM(E3512),FIND(",",TRIM(E3512))-1),TRIM(E3512)))</f>
        <v>United States</v>
      </c>
      <c r="M3512" s="7" t="str">
        <f aca="false">IFERROR(LEFT(J3512,FIND(",",J3512)-1),J3512)</f>
        <v>Horror Movies</v>
      </c>
      <c r="N3512" s="7" t="n">
        <f aca="false">IF(B3512="Movie",IFERROR(VALUE(LEFT(I3512,FIND(" ",I3512)-1)),""),"")</f>
        <v>90</v>
      </c>
      <c r="O3512" s="7" t="str">
        <f aca="false">IF(B3512="TV Show",IFERROR(VALUE(LEFT(I3512,FIND(" ",I3512)-1)),""),"")</f>
        <v/>
      </c>
      <c r="P3512" s="7" t="n">
        <f aca="false">IF(K3512="","",K3512-G3512)</f>
        <v>17</v>
      </c>
    </row>
    <row r="3513" customFormat="false" ht="15" hidden="false" customHeight="false" outlineLevel="0" collapsed="false">
      <c r="A3513" s="7" t="n">
        <v>70042687</v>
      </c>
      <c r="B3513" s="7" t="s">
        <v>68</v>
      </c>
      <c r="C3513" s="7" t="s">
        <v>7381</v>
      </c>
      <c r="D3513" s="7" t="s">
        <v>7378</v>
      </c>
      <c r="E3513" s="7" t="s">
        <v>1996</v>
      </c>
      <c r="F3513" s="7" t="s">
        <v>7327</v>
      </c>
      <c r="G3513" s="7" t="n">
        <v>2006</v>
      </c>
      <c r="H3513" s="7" t="s">
        <v>51</v>
      </c>
      <c r="I3513" s="7" t="s">
        <v>272</v>
      </c>
      <c r="J3513" s="7" t="s">
        <v>265</v>
      </c>
      <c r="K3513" s="7" t="n">
        <f aca="false">IFERROR(VALUE(RIGHT(TRIM(F3513),4)),"")</f>
        <v>2020</v>
      </c>
      <c r="L3513" s="7" t="str">
        <f aca="false">IF(TRIM(E3513)="","Unknown",IFERROR(LEFT(TRIM(E3513),FIND(",",TRIM(E3513))-1),TRIM(E3513)))</f>
        <v>United States</v>
      </c>
      <c r="M3513" s="7" t="str">
        <f aca="false">IFERROR(LEFT(J3513,FIND(",",J3513)-1),J3513)</f>
        <v>Horror Movies</v>
      </c>
      <c r="N3513" s="7" t="n">
        <f aca="false">IF(B3513="Movie",IFERROR(VALUE(LEFT(I3513,FIND(" ",I3513)-1)),""),"")</f>
        <v>93</v>
      </c>
      <c r="O3513" s="7" t="str">
        <f aca="false">IF(B3513="TV Show",IFERROR(VALUE(LEFT(I3513,FIND(" ",I3513)-1)),""),"")</f>
        <v/>
      </c>
      <c r="P3513" s="7" t="n">
        <f aca="false">IF(K3513="","",K3513-G3513)</f>
        <v>14</v>
      </c>
    </row>
    <row r="3514" customFormat="false" ht="15" hidden="false" customHeight="false" outlineLevel="0" collapsed="false">
      <c r="A3514" s="7" t="n">
        <v>523650</v>
      </c>
      <c r="B3514" s="7" t="s">
        <v>68</v>
      </c>
      <c r="C3514" s="7" t="s">
        <v>7382</v>
      </c>
      <c r="D3514" s="7" t="s">
        <v>7383</v>
      </c>
      <c r="E3514" s="7" t="s">
        <v>7384</v>
      </c>
      <c r="F3514" s="7" t="s">
        <v>7327</v>
      </c>
      <c r="G3514" s="7" t="n">
        <v>1993</v>
      </c>
      <c r="H3514" s="7" t="s">
        <v>54</v>
      </c>
      <c r="I3514" s="7" t="s">
        <v>168</v>
      </c>
      <c r="J3514" s="7" t="s">
        <v>295</v>
      </c>
      <c r="K3514" s="7" t="n">
        <f aca="false">IFERROR(VALUE(RIGHT(TRIM(F3514),4)),"")</f>
        <v>2020</v>
      </c>
      <c r="L3514" s="7" t="str">
        <f aca="false">IF(TRIM(E3514)="","Unknown",IFERROR(LEFT(TRIM(E3514),FIND(",",TRIM(E3514))-1),TRIM(E3514)))</f>
        <v>United States</v>
      </c>
      <c r="M3514" s="7" t="str">
        <f aca="false">IFERROR(LEFT(J3514,FIND(",",J3514)-1),J3514)</f>
        <v>Children &amp; Family Movies</v>
      </c>
      <c r="N3514" s="7" t="n">
        <f aca="false">IF(B3514="Movie",IFERROR(VALUE(LEFT(I3514,FIND(" ",I3514)-1)),""),"")</f>
        <v>112</v>
      </c>
      <c r="O3514" s="7" t="str">
        <f aca="false">IF(B3514="TV Show",IFERROR(VALUE(LEFT(I3514,FIND(" ",I3514)-1)),""),"")</f>
        <v/>
      </c>
      <c r="P3514" s="7" t="n">
        <f aca="false">IF(K3514="","",K3514-G3514)</f>
        <v>27</v>
      </c>
    </row>
    <row r="3515" customFormat="false" ht="15" hidden="false" customHeight="false" outlineLevel="0" collapsed="false">
      <c r="A3515" s="7" t="n">
        <v>70104894</v>
      </c>
      <c r="B3515" s="7" t="s">
        <v>68</v>
      </c>
      <c r="C3515" s="7" t="s">
        <v>7385</v>
      </c>
      <c r="D3515" s="7" t="s">
        <v>7386</v>
      </c>
      <c r="E3515" s="7" t="s">
        <v>26</v>
      </c>
      <c r="F3515" s="7" t="s">
        <v>7327</v>
      </c>
      <c r="G3515" s="7" t="n">
        <v>2009</v>
      </c>
      <c r="H3515" s="7" t="s">
        <v>51</v>
      </c>
      <c r="I3515" s="7" t="s">
        <v>451</v>
      </c>
      <c r="J3515" s="7" t="s">
        <v>265</v>
      </c>
      <c r="K3515" s="7" t="n">
        <f aca="false">IFERROR(VALUE(RIGHT(TRIM(F3515),4)),"")</f>
        <v>2020</v>
      </c>
      <c r="L3515" s="7" t="str">
        <f aca="false">IF(TRIM(E3515)="","Unknown",IFERROR(LEFT(TRIM(E3515),FIND(",",TRIM(E3515))-1),TRIM(E3515)))</f>
        <v>United States</v>
      </c>
      <c r="M3515" s="7" t="str">
        <f aca="false">IFERROR(LEFT(J3515,FIND(",",J3515)-1),J3515)</f>
        <v>Horror Movies</v>
      </c>
      <c r="N3515" s="7" t="n">
        <f aca="false">IF(B3515="Movie",IFERROR(VALUE(LEFT(I3515,FIND(" ",I3515)-1)),""),"")</f>
        <v>97</v>
      </c>
      <c r="O3515" s="7" t="str">
        <f aca="false">IF(B3515="TV Show",IFERROR(VALUE(LEFT(I3515,FIND(" ",I3515)-1)),""),"")</f>
        <v/>
      </c>
      <c r="P3515" s="7" t="n">
        <f aca="false">IF(K3515="","",K3515-G3515)</f>
        <v>11</v>
      </c>
    </row>
    <row r="3516" customFormat="false" ht="15" hidden="false" customHeight="false" outlineLevel="0" collapsed="false">
      <c r="A3516" s="7" t="n">
        <v>70081015</v>
      </c>
      <c r="B3516" s="7" t="s">
        <v>68</v>
      </c>
      <c r="C3516" s="7" t="s">
        <v>7387</v>
      </c>
      <c r="D3516" s="7" t="s">
        <v>7388</v>
      </c>
      <c r="F3516" s="7" t="s">
        <v>7327</v>
      </c>
      <c r="G3516" s="7" t="n">
        <v>2007</v>
      </c>
      <c r="H3516" s="7" t="s">
        <v>55</v>
      </c>
      <c r="I3516" s="7" t="s">
        <v>107</v>
      </c>
      <c r="J3516" s="7" t="s">
        <v>74</v>
      </c>
      <c r="K3516" s="7" t="n">
        <f aca="false">IFERROR(VALUE(RIGHT(TRIM(F3516),4)),"")</f>
        <v>2020</v>
      </c>
      <c r="L3516" s="7" t="str">
        <f aca="false">IF(TRIM(E3516)="","Unknown",IFERROR(LEFT(TRIM(E3516),FIND(",",TRIM(E3516))-1),TRIM(E3516)))</f>
        <v>Unknown</v>
      </c>
      <c r="M3516" s="7" t="str">
        <f aca="false">IFERROR(LEFT(J3516,FIND(",",J3516)-1),J3516)</f>
        <v>Children &amp; Family Movies</v>
      </c>
      <c r="N3516" s="7" t="n">
        <f aca="false">IF(B3516="Movie",IFERROR(VALUE(LEFT(I3516,FIND(" ",I3516)-1)),""),"")</f>
        <v>78</v>
      </c>
      <c r="O3516" s="7" t="str">
        <f aca="false">IF(B3516="TV Show",IFERROR(VALUE(LEFT(I3516,FIND(" ",I3516)-1)),""),"")</f>
        <v/>
      </c>
      <c r="P3516" s="7" t="n">
        <f aca="false">IF(K3516="","",K3516-G3516)</f>
        <v>13</v>
      </c>
    </row>
    <row r="3517" customFormat="false" ht="15" hidden="false" customHeight="false" outlineLevel="0" collapsed="false">
      <c r="A3517" s="7" t="n">
        <v>70100448</v>
      </c>
      <c r="B3517" s="7" t="s">
        <v>68</v>
      </c>
      <c r="C3517" s="7" t="s">
        <v>7389</v>
      </c>
      <c r="D3517" s="7" t="s">
        <v>7390</v>
      </c>
      <c r="E3517" s="7" t="s">
        <v>7391</v>
      </c>
      <c r="F3517" s="7" t="s">
        <v>7327</v>
      </c>
      <c r="G3517" s="7" t="n">
        <v>2008</v>
      </c>
      <c r="H3517" s="7" t="s">
        <v>55</v>
      </c>
      <c r="I3517" s="7" t="s">
        <v>143</v>
      </c>
      <c r="J3517" s="7" t="s">
        <v>74</v>
      </c>
      <c r="K3517" s="7" t="n">
        <f aca="false">IFERROR(VALUE(RIGHT(TRIM(F3517),4)),"")</f>
        <v>2020</v>
      </c>
      <c r="L3517" s="7" t="str">
        <f aca="false">IF(TRIM(E3517)="","Unknown",IFERROR(LEFT(TRIM(E3517),FIND(",",TRIM(E3517))-1),TRIM(E3517)))</f>
        <v>United States</v>
      </c>
      <c r="M3517" s="7" t="str">
        <f aca="false">IFERROR(LEFT(J3517,FIND(",",J3517)-1),J3517)</f>
        <v>Children &amp; Family Movies</v>
      </c>
      <c r="N3517" s="7" t="n">
        <f aca="false">IF(B3517="Movie",IFERROR(VALUE(LEFT(I3517,FIND(" ",I3517)-1)),""),"")</f>
        <v>79</v>
      </c>
      <c r="O3517" s="7" t="str">
        <f aca="false">IF(B3517="TV Show",IFERROR(VALUE(LEFT(I3517,FIND(" ",I3517)-1)),""),"")</f>
        <v/>
      </c>
      <c r="P3517" s="7" t="n">
        <f aca="false">IF(K3517="","",K3517-G3517)</f>
        <v>12</v>
      </c>
    </row>
    <row r="3518" customFormat="false" ht="15" hidden="false" customHeight="false" outlineLevel="0" collapsed="false">
      <c r="A3518" s="7" t="n">
        <v>70118155</v>
      </c>
      <c r="B3518" s="7" t="s">
        <v>68</v>
      </c>
      <c r="C3518" s="7" t="s">
        <v>7392</v>
      </c>
      <c r="D3518" s="7" t="s">
        <v>7393</v>
      </c>
      <c r="E3518" s="7" t="s">
        <v>5443</v>
      </c>
      <c r="F3518" s="7" t="s">
        <v>7327</v>
      </c>
      <c r="G3518" s="7" t="n">
        <v>2009</v>
      </c>
      <c r="H3518" s="7" t="s">
        <v>612</v>
      </c>
      <c r="I3518" s="7" t="s">
        <v>107</v>
      </c>
      <c r="J3518" s="7" t="s">
        <v>74</v>
      </c>
      <c r="K3518" s="7" t="n">
        <f aca="false">IFERROR(VALUE(RIGHT(TRIM(F3518),4)),"")</f>
        <v>2020</v>
      </c>
      <c r="L3518" s="7" t="str">
        <f aca="false">IF(TRIM(E3518)="","Unknown",IFERROR(LEFT(TRIM(E3518),FIND(",",TRIM(E3518))-1),TRIM(E3518)))</f>
        <v>South Korea</v>
      </c>
      <c r="M3518" s="7" t="str">
        <f aca="false">IFERROR(LEFT(J3518,FIND(",",J3518)-1),J3518)</f>
        <v>Children &amp; Family Movies</v>
      </c>
      <c r="N3518" s="7" t="n">
        <f aca="false">IF(B3518="Movie",IFERROR(VALUE(LEFT(I3518,FIND(" ",I3518)-1)),""),"")</f>
        <v>78</v>
      </c>
      <c r="O3518" s="7" t="str">
        <f aca="false">IF(B3518="TV Show",IFERROR(VALUE(LEFT(I3518,FIND(" ",I3518)-1)),""),"")</f>
        <v/>
      </c>
      <c r="P3518" s="7" t="n">
        <f aca="false">IF(K3518="","",K3518-G3518)</f>
        <v>11</v>
      </c>
    </row>
    <row r="3519" customFormat="false" ht="15" hidden="false" customHeight="false" outlineLevel="0" collapsed="false">
      <c r="A3519" s="7" t="n">
        <v>70044594</v>
      </c>
      <c r="B3519" s="7" t="s">
        <v>68</v>
      </c>
      <c r="C3519" s="7" t="s">
        <v>7394</v>
      </c>
      <c r="D3519" s="7" t="s">
        <v>7395</v>
      </c>
      <c r="E3519" s="7" t="s">
        <v>918</v>
      </c>
      <c r="F3519" s="7" t="s">
        <v>7327</v>
      </c>
      <c r="G3519" s="7" t="n">
        <v>2007</v>
      </c>
      <c r="H3519" s="7" t="s">
        <v>52</v>
      </c>
      <c r="I3519" s="7" t="s">
        <v>93</v>
      </c>
      <c r="J3519" s="7" t="s">
        <v>276</v>
      </c>
      <c r="K3519" s="7" t="n">
        <f aca="false">IFERROR(VALUE(RIGHT(TRIM(F3519),4)),"")</f>
        <v>2020</v>
      </c>
      <c r="L3519" s="7" t="str">
        <f aca="false">IF(TRIM(E3519)="","Unknown",IFERROR(LEFT(TRIM(E3519),FIND(",",TRIM(E3519))-1),TRIM(E3519)))</f>
        <v>United States</v>
      </c>
      <c r="M3519" s="7" t="str">
        <f aca="false">IFERROR(LEFT(J3519,FIND(",",J3519)-1),J3519)</f>
        <v>Action &amp; Adventure</v>
      </c>
      <c r="N3519" s="7" t="n">
        <f aca="false">IF(B3519="Movie",IFERROR(VALUE(LEFT(I3519,FIND(" ",I3519)-1)),""),"")</f>
        <v>110</v>
      </c>
      <c r="O3519" s="7" t="str">
        <f aca="false">IF(B3519="TV Show",IFERROR(VALUE(LEFT(I3519,FIND(" ",I3519)-1)),""),"")</f>
        <v/>
      </c>
      <c r="P3519" s="7" t="n">
        <f aca="false">IF(K3519="","",K3519-G3519)</f>
        <v>13</v>
      </c>
    </row>
    <row r="3520" customFormat="false" ht="15" hidden="false" customHeight="false" outlineLevel="0" collapsed="false">
      <c r="A3520" s="7" t="n">
        <v>81088083</v>
      </c>
      <c r="B3520" s="7" t="s">
        <v>68</v>
      </c>
      <c r="C3520" s="7" t="s">
        <v>7396</v>
      </c>
      <c r="D3520" s="7" t="s">
        <v>7397</v>
      </c>
      <c r="E3520" s="7" t="s">
        <v>27</v>
      </c>
      <c r="F3520" s="7" t="s">
        <v>7327</v>
      </c>
      <c r="G3520" s="7" t="n">
        <v>2020</v>
      </c>
      <c r="H3520" s="7" t="s">
        <v>48</v>
      </c>
      <c r="I3520" s="7" t="s">
        <v>1817</v>
      </c>
      <c r="J3520" s="7" t="s">
        <v>1014</v>
      </c>
      <c r="K3520" s="7" t="n">
        <f aca="false">IFERROR(VALUE(RIGHT(TRIM(F3520),4)),"")</f>
        <v>2020</v>
      </c>
      <c r="L3520" s="7" t="str">
        <f aca="false">IF(TRIM(E3520)="","Unknown",IFERROR(LEFT(TRIM(E3520),FIND(",",TRIM(E3520))-1),TRIM(E3520)))</f>
        <v>India</v>
      </c>
      <c r="M3520" s="7" t="str">
        <f aca="false">IFERROR(LEFT(J3520,FIND(",",J3520)-1),J3520)</f>
        <v>Horror Movies</v>
      </c>
      <c r="N3520" s="7" t="n">
        <f aca="false">IF(B3520="Movie",IFERROR(VALUE(LEFT(I3520,FIND(" ",I3520)-1)),""),"")</f>
        <v>145</v>
      </c>
      <c r="O3520" s="7" t="str">
        <f aca="false">IF(B3520="TV Show",IFERROR(VALUE(LEFT(I3520,FIND(" ",I3520)-1)),""),"")</f>
        <v/>
      </c>
      <c r="P3520" s="7" t="n">
        <f aca="false">IF(K3520="","",K3520-G3520)</f>
        <v>0</v>
      </c>
    </row>
    <row r="3521" customFormat="false" ht="15" hidden="false" customHeight="false" outlineLevel="0" collapsed="false">
      <c r="A3521" s="7" t="n">
        <v>11819467</v>
      </c>
      <c r="B3521" s="7" t="s">
        <v>68</v>
      </c>
      <c r="C3521" s="7" t="s">
        <v>7072</v>
      </c>
      <c r="D3521" s="7" t="s">
        <v>5803</v>
      </c>
      <c r="E3521" s="7" t="s">
        <v>2367</v>
      </c>
      <c r="F3521" s="7" t="s">
        <v>7327</v>
      </c>
      <c r="G3521" s="7" t="n">
        <v>1998</v>
      </c>
      <c r="H3521" s="7" t="s">
        <v>52</v>
      </c>
      <c r="I3521" s="7" t="s">
        <v>594</v>
      </c>
      <c r="J3521" s="7" t="s">
        <v>276</v>
      </c>
      <c r="K3521" s="7" t="n">
        <f aca="false">IFERROR(VALUE(RIGHT(TRIM(F3521),4)),"")</f>
        <v>2020</v>
      </c>
      <c r="L3521" s="7" t="str">
        <f aca="false">IF(TRIM(E3521)="","Unknown",IFERROR(LEFT(TRIM(E3521),FIND(",",TRIM(E3521))-1),TRIM(E3521)))</f>
        <v>United States</v>
      </c>
      <c r="M3521" s="7" t="str">
        <f aca="false">IFERROR(LEFT(J3521,FIND(",",J3521)-1),J3521)</f>
        <v>Action &amp; Adventure</v>
      </c>
      <c r="N3521" s="7" t="n">
        <f aca="false">IF(B3521="Movie",IFERROR(VALUE(LEFT(I3521,FIND(" ",I3521)-1)),""),"")</f>
        <v>139</v>
      </c>
      <c r="O3521" s="7" t="str">
        <f aca="false">IF(B3521="TV Show",IFERROR(VALUE(LEFT(I3521,FIND(" ",I3521)-1)),""),"")</f>
        <v/>
      </c>
      <c r="P3521" s="7" t="n">
        <f aca="false">IF(K3521="","",K3521-G3521)</f>
        <v>22</v>
      </c>
    </row>
    <row r="3522" customFormat="false" ht="15" hidden="false" customHeight="false" outlineLevel="0" collapsed="false">
      <c r="A3522" s="7" t="n">
        <v>70065096</v>
      </c>
      <c r="B3522" s="7" t="s">
        <v>68</v>
      </c>
      <c r="C3522" s="7" t="s">
        <v>7398</v>
      </c>
      <c r="D3522" s="7" t="s">
        <v>4390</v>
      </c>
      <c r="E3522" s="7" t="s">
        <v>2424</v>
      </c>
      <c r="F3522" s="7" t="s">
        <v>7327</v>
      </c>
      <c r="G3522" s="7" t="n">
        <v>2007</v>
      </c>
      <c r="H3522" s="7" t="s">
        <v>54</v>
      </c>
      <c r="I3522" s="7" t="s">
        <v>237</v>
      </c>
      <c r="J3522" s="7" t="s">
        <v>3593</v>
      </c>
      <c r="K3522" s="7" t="n">
        <f aca="false">IFERROR(VALUE(RIGHT(TRIM(F3522),4)),"")</f>
        <v>2020</v>
      </c>
      <c r="L3522" s="7" t="str">
        <f aca="false">IF(TRIM(E3522)="","Unknown",IFERROR(LEFT(TRIM(E3522),FIND(",",TRIM(E3522))-1),TRIM(E3522)))</f>
        <v>United States</v>
      </c>
      <c r="M3522" s="7" t="str">
        <f aca="false">IFERROR(LEFT(J3522,FIND(",",J3522)-1),J3522)</f>
        <v>Children &amp; Family Movies</v>
      </c>
      <c r="N3522" s="7" t="n">
        <f aca="false">IF(B3522="Movie",IFERROR(VALUE(LEFT(I3522,FIND(" ",I3522)-1)),""),"")</f>
        <v>116</v>
      </c>
      <c r="O3522" s="7" t="str">
        <f aca="false">IF(B3522="TV Show",IFERROR(VALUE(LEFT(I3522,FIND(" ",I3522)-1)),""),"")</f>
        <v/>
      </c>
      <c r="P3522" s="7" t="n">
        <f aca="false">IF(K3522="","",K3522-G3522)</f>
        <v>13</v>
      </c>
    </row>
    <row r="3523" customFormat="false" ht="15" hidden="false" customHeight="false" outlineLevel="0" collapsed="false">
      <c r="A3523" s="7" t="n">
        <v>70000091</v>
      </c>
      <c r="B3523" s="7" t="s">
        <v>68</v>
      </c>
      <c r="C3523" s="7" t="s">
        <v>7399</v>
      </c>
      <c r="D3523" s="7" t="s">
        <v>7400</v>
      </c>
      <c r="E3523" s="7" t="s">
        <v>7401</v>
      </c>
      <c r="F3523" s="7" t="s">
        <v>7327</v>
      </c>
      <c r="G3523" s="7" t="n">
        <v>2004</v>
      </c>
      <c r="H3523" s="7" t="s">
        <v>51</v>
      </c>
      <c r="I3523" s="7" t="s">
        <v>264</v>
      </c>
      <c r="J3523" s="7" t="s">
        <v>941</v>
      </c>
      <c r="K3523" s="7" t="n">
        <f aca="false">IFERROR(VALUE(RIGHT(TRIM(F3523),4)),"")</f>
        <v>2020</v>
      </c>
      <c r="L3523" s="7" t="str">
        <f aca="false">IF(TRIM(E3523)="","Unknown",IFERROR(LEFT(TRIM(E3523),FIND(",",TRIM(E3523))-1),TRIM(E3523)))</f>
        <v>United States</v>
      </c>
      <c r="M3523" s="7" t="str">
        <f aca="false">IFERROR(LEFT(J3523,FIND(",",J3523)-1),J3523)</f>
        <v>Comedies</v>
      </c>
      <c r="N3523" s="7" t="n">
        <f aca="false">IF(B3523="Movie",IFERROR(VALUE(LEFT(I3523,FIND(" ",I3523)-1)),""),"")</f>
        <v>88</v>
      </c>
      <c r="O3523" s="7" t="str">
        <f aca="false">IF(B3523="TV Show",IFERROR(VALUE(LEFT(I3523,FIND(" ",I3523)-1)),""),"")</f>
        <v/>
      </c>
      <c r="P3523" s="7" t="n">
        <f aca="false">IF(K3523="","",K3523-G3523)</f>
        <v>16</v>
      </c>
    </row>
    <row r="3524" customFormat="false" ht="15" hidden="false" customHeight="false" outlineLevel="0" collapsed="false">
      <c r="A3524" s="7" t="n">
        <v>70019506</v>
      </c>
      <c r="B3524" s="7" t="s">
        <v>68</v>
      </c>
      <c r="C3524" s="7" t="s">
        <v>7402</v>
      </c>
      <c r="D3524" s="7" t="s">
        <v>2076</v>
      </c>
      <c r="E3524" s="7" t="s">
        <v>26</v>
      </c>
      <c r="F3524" s="7" t="s">
        <v>7327</v>
      </c>
      <c r="G3524" s="7" t="n">
        <v>2005</v>
      </c>
      <c r="H3524" s="7" t="s">
        <v>52</v>
      </c>
      <c r="I3524" s="7" t="s">
        <v>1270</v>
      </c>
      <c r="J3524" s="7" t="s">
        <v>177</v>
      </c>
      <c r="K3524" s="7" t="n">
        <f aca="false">IFERROR(VALUE(RIGHT(TRIM(F3524),4)),"")</f>
        <v>2020</v>
      </c>
      <c r="L3524" s="7" t="str">
        <f aca="false">IF(TRIM(E3524)="","Unknown",IFERROR(LEFT(TRIM(E3524),FIND(",",TRIM(E3524))-1),TRIM(E3524)))</f>
        <v>United States</v>
      </c>
      <c r="M3524" s="7" t="str">
        <f aca="false">IFERROR(LEFT(J3524,FIND(",",J3524)-1),J3524)</f>
        <v>Comedies</v>
      </c>
      <c r="N3524" s="7" t="n">
        <f aca="false">IF(B3524="Movie",IFERROR(VALUE(LEFT(I3524,FIND(" ",I3524)-1)),""),"")</f>
        <v>118</v>
      </c>
      <c r="O3524" s="7" t="str">
        <f aca="false">IF(B3524="TV Show",IFERROR(VALUE(LEFT(I3524,FIND(" ",I3524)-1)),""),"")</f>
        <v/>
      </c>
      <c r="P3524" s="7" t="n">
        <f aca="false">IF(K3524="","",K3524-G3524)</f>
        <v>15</v>
      </c>
    </row>
    <row r="3525" customFormat="false" ht="15" hidden="false" customHeight="false" outlineLevel="0" collapsed="false">
      <c r="A3525" s="7" t="n">
        <v>70150473</v>
      </c>
      <c r="B3525" s="7" t="s">
        <v>68</v>
      </c>
      <c r="C3525" s="7" t="s">
        <v>7403</v>
      </c>
      <c r="D3525" s="7" t="s">
        <v>4396</v>
      </c>
      <c r="E3525" s="7" t="s">
        <v>29</v>
      </c>
      <c r="F3525" s="7" t="s">
        <v>7327</v>
      </c>
      <c r="G3525" s="7" t="n">
        <v>2010</v>
      </c>
      <c r="H3525" s="7" t="s">
        <v>51</v>
      </c>
      <c r="I3525" s="7" t="s">
        <v>451</v>
      </c>
      <c r="J3525" s="7" t="s">
        <v>40</v>
      </c>
      <c r="K3525" s="7" t="n">
        <f aca="false">IFERROR(VALUE(RIGHT(TRIM(F3525),4)),"")</f>
        <v>2020</v>
      </c>
      <c r="L3525" s="7" t="str">
        <f aca="false">IF(TRIM(E3525)="","Unknown",IFERROR(LEFT(TRIM(E3525),FIND(",",TRIM(E3525))-1),TRIM(E3525)))</f>
        <v>Canada</v>
      </c>
      <c r="M3525" s="7" t="str">
        <f aca="false">IFERROR(LEFT(J3525,FIND(",",J3525)-1),J3525)</f>
        <v>Action &amp; Adventure</v>
      </c>
      <c r="N3525" s="7" t="n">
        <f aca="false">IF(B3525="Movie",IFERROR(VALUE(LEFT(I3525,FIND(" ",I3525)-1)),""),"")</f>
        <v>97</v>
      </c>
      <c r="O3525" s="7" t="str">
        <f aca="false">IF(B3525="TV Show",IFERROR(VALUE(LEFT(I3525,FIND(" ",I3525)-1)),""),"")</f>
        <v/>
      </c>
      <c r="P3525" s="7" t="n">
        <f aca="false">IF(K3525="","",K3525-G3525)</f>
        <v>10</v>
      </c>
    </row>
    <row r="3526" customFormat="false" ht="15" hidden="false" customHeight="false" outlineLevel="0" collapsed="false">
      <c r="A3526" s="7" t="n">
        <v>70131314</v>
      </c>
      <c r="B3526" s="7" t="s">
        <v>68</v>
      </c>
      <c r="C3526" s="7" t="s">
        <v>7404</v>
      </c>
      <c r="D3526" s="7" t="s">
        <v>7405</v>
      </c>
      <c r="E3526" s="7" t="s">
        <v>293</v>
      </c>
      <c r="F3526" s="7" t="s">
        <v>7327</v>
      </c>
      <c r="G3526" s="7" t="n">
        <v>2010</v>
      </c>
      <c r="H3526" s="7" t="s">
        <v>52</v>
      </c>
      <c r="I3526" s="7" t="s">
        <v>1026</v>
      </c>
      <c r="J3526" s="7" t="s">
        <v>3904</v>
      </c>
      <c r="K3526" s="7" t="n">
        <f aca="false">IFERROR(VALUE(RIGHT(TRIM(F3526),4)),"")</f>
        <v>2020</v>
      </c>
      <c r="L3526" s="7" t="str">
        <f aca="false">IF(TRIM(E3526)="","Unknown",IFERROR(LEFT(TRIM(E3526),FIND(",",TRIM(E3526))-1),TRIM(E3526)))</f>
        <v>United States</v>
      </c>
      <c r="M3526" s="7" t="str">
        <f aca="false">IFERROR(LEFT(J3526,FIND(",",J3526)-1),J3526)</f>
        <v>Action &amp; Adventure</v>
      </c>
      <c r="N3526" s="7" t="n">
        <f aca="false">IF(B3526="Movie",IFERROR(VALUE(LEFT(I3526,FIND(" ",I3526)-1)),""),"")</f>
        <v>148</v>
      </c>
      <c r="O3526" s="7" t="str">
        <f aca="false">IF(B3526="TV Show",IFERROR(VALUE(LEFT(I3526,FIND(" ",I3526)-1)),""),"")</f>
        <v/>
      </c>
      <c r="P3526" s="7" t="n">
        <f aca="false">IF(K3526="","",K3526-G3526)</f>
        <v>10</v>
      </c>
    </row>
    <row r="3527" customFormat="false" ht="15" hidden="false" customHeight="false" outlineLevel="0" collapsed="false">
      <c r="A3527" s="7" t="n">
        <v>70284281</v>
      </c>
      <c r="B3527" s="7" t="s">
        <v>68</v>
      </c>
      <c r="C3527" s="7" t="s">
        <v>7406</v>
      </c>
      <c r="D3527" s="7" t="s">
        <v>7407</v>
      </c>
      <c r="E3527" s="7" t="s">
        <v>34</v>
      </c>
      <c r="F3527" s="7" t="s">
        <v>7327</v>
      </c>
      <c r="G3527" s="7" t="n">
        <v>2013</v>
      </c>
      <c r="H3527" s="7" t="s">
        <v>52</v>
      </c>
      <c r="I3527" s="7" t="s">
        <v>232</v>
      </c>
      <c r="J3527" s="7" t="s">
        <v>217</v>
      </c>
      <c r="K3527" s="7" t="n">
        <f aca="false">IFERROR(VALUE(RIGHT(TRIM(F3527),4)),"")</f>
        <v>2020</v>
      </c>
      <c r="L3527" s="7" t="str">
        <f aca="false">IF(TRIM(E3527)="","Unknown",IFERROR(LEFT(TRIM(E3527),FIND(",",TRIM(E3527))-1),TRIM(E3527)))</f>
        <v>Mexico</v>
      </c>
      <c r="M3527" s="7" t="str">
        <f aca="false">IFERROR(LEFT(J3527,FIND(",",J3527)-1),J3527)</f>
        <v>Comedies</v>
      </c>
      <c r="N3527" s="7" t="n">
        <f aca="false">IF(B3527="Movie",IFERROR(VALUE(LEFT(I3527,FIND(" ",I3527)-1)),""),"")</f>
        <v>122</v>
      </c>
      <c r="O3527" s="7" t="str">
        <f aca="false">IF(B3527="TV Show",IFERROR(VALUE(LEFT(I3527,FIND(" ",I3527)-1)),""),"")</f>
        <v/>
      </c>
      <c r="P3527" s="7" t="n">
        <f aca="false">IF(K3527="","",K3527-G3527)</f>
        <v>7</v>
      </c>
    </row>
    <row r="3528" customFormat="false" ht="15" hidden="false" customHeight="false" outlineLevel="0" collapsed="false">
      <c r="A3528" s="7" t="n">
        <v>81084305</v>
      </c>
      <c r="B3528" s="7" t="s">
        <v>68</v>
      </c>
      <c r="C3528" s="7" t="s">
        <v>7408</v>
      </c>
      <c r="D3528" s="7" t="s">
        <v>860</v>
      </c>
      <c r="E3528" s="7" t="s">
        <v>26</v>
      </c>
      <c r="F3528" s="7" t="s">
        <v>7327</v>
      </c>
      <c r="G3528" s="7" t="n">
        <v>2015</v>
      </c>
      <c r="H3528" s="7" t="s">
        <v>48</v>
      </c>
      <c r="I3528" s="7" t="s">
        <v>861</v>
      </c>
      <c r="J3528" s="7" t="s">
        <v>45</v>
      </c>
      <c r="K3528" s="7" t="n">
        <f aca="false">IFERROR(VALUE(RIGHT(TRIM(F3528),4)),"")</f>
        <v>2020</v>
      </c>
      <c r="L3528" s="7" t="str">
        <f aca="false">IF(TRIM(E3528)="","Unknown",IFERROR(LEFT(TRIM(E3528),FIND(",",TRIM(E3528))-1),TRIM(E3528)))</f>
        <v>United States</v>
      </c>
      <c r="M3528" s="7" t="str">
        <f aca="false">IFERROR(LEFT(J3528,FIND(",",J3528)-1),J3528)</f>
        <v>Stand-Up Comedy</v>
      </c>
      <c r="N3528" s="7" t="n">
        <f aca="false">IF(B3528="Movie",IFERROR(VALUE(LEFT(I3528,FIND(" ",I3528)-1)),""),"")</f>
        <v>71</v>
      </c>
      <c r="O3528" s="7" t="str">
        <f aca="false">IF(B3528="TV Show",IFERROR(VALUE(LEFT(I3528,FIND(" ",I3528)-1)),""),"")</f>
        <v/>
      </c>
      <c r="P3528" s="7" t="n">
        <f aca="false">IF(K3528="","",K3528-G3528)</f>
        <v>5</v>
      </c>
    </row>
    <row r="3529" customFormat="false" ht="15" hidden="false" customHeight="false" outlineLevel="0" collapsed="false">
      <c r="A3529" s="7" t="n">
        <v>60021788</v>
      </c>
      <c r="B3529" s="7" t="s">
        <v>68</v>
      </c>
      <c r="C3529" s="7" t="s">
        <v>7409</v>
      </c>
      <c r="D3529" s="7" t="s">
        <v>7410</v>
      </c>
      <c r="E3529" s="7" t="s">
        <v>26</v>
      </c>
      <c r="F3529" s="7" t="s">
        <v>7327</v>
      </c>
      <c r="G3529" s="7" t="n">
        <v>2001</v>
      </c>
      <c r="H3529" s="7" t="s">
        <v>612</v>
      </c>
      <c r="I3529" s="7" t="s">
        <v>524</v>
      </c>
      <c r="J3529" s="7" t="s">
        <v>174</v>
      </c>
      <c r="K3529" s="7" t="n">
        <f aca="false">IFERROR(VALUE(RIGHT(TRIM(F3529),4)),"")</f>
        <v>2020</v>
      </c>
      <c r="L3529" s="7" t="str">
        <f aca="false">IF(TRIM(E3529)="","Unknown",IFERROR(LEFT(TRIM(E3529),FIND(",",TRIM(E3529))-1),TRIM(E3529)))</f>
        <v>United States</v>
      </c>
      <c r="M3529" s="7" t="str">
        <f aca="false">IFERROR(LEFT(J3529,FIND(",",J3529)-1),J3529)</f>
        <v>Children &amp; Family Movies</v>
      </c>
      <c r="N3529" s="7" t="n">
        <f aca="false">IF(B3529="Movie",IFERROR(VALUE(LEFT(I3529,FIND(" ",I3529)-1)),""),"")</f>
        <v>83</v>
      </c>
      <c r="O3529" s="7" t="str">
        <f aca="false">IF(B3529="TV Show",IFERROR(VALUE(LEFT(I3529,FIND(" ",I3529)-1)),""),"")</f>
        <v/>
      </c>
      <c r="P3529" s="7" t="n">
        <f aca="false">IF(K3529="","",K3529-G3529)</f>
        <v>19</v>
      </c>
    </row>
    <row r="3530" customFormat="false" ht="15" hidden="false" customHeight="false" outlineLevel="0" collapsed="false">
      <c r="A3530" s="7" t="n">
        <v>70112732</v>
      </c>
      <c r="B3530" s="7" t="s">
        <v>68</v>
      </c>
      <c r="C3530" s="7" t="s">
        <v>7411</v>
      </c>
      <c r="D3530" s="7" t="s">
        <v>7412</v>
      </c>
      <c r="E3530" s="7" t="s">
        <v>26</v>
      </c>
      <c r="F3530" s="7" t="s">
        <v>7327</v>
      </c>
      <c r="G3530" s="7" t="n">
        <v>2009</v>
      </c>
      <c r="H3530" s="7" t="s">
        <v>52</v>
      </c>
      <c r="I3530" s="7" t="s">
        <v>869</v>
      </c>
      <c r="J3530" s="7" t="s">
        <v>251</v>
      </c>
      <c r="K3530" s="7" t="n">
        <f aca="false">IFERROR(VALUE(RIGHT(TRIM(F3530),4)),"")</f>
        <v>2020</v>
      </c>
      <c r="L3530" s="7" t="str">
        <f aca="false">IF(TRIM(E3530)="","Unknown",IFERROR(LEFT(TRIM(E3530),FIND(",",TRIM(E3530))-1),TRIM(E3530)))</f>
        <v>United States</v>
      </c>
      <c r="M3530" s="7" t="str">
        <f aca="false">IFERROR(LEFT(J3530,FIND(",",J3530)-1),J3530)</f>
        <v>Comedies</v>
      </c>
      <c r="N3530" s="7" t="n">
        <f aca="false">IF(B3530="Movie",IFERROR(VALUE(LEFT(I3530,FIND(" ",I3530)-1)),""),"")</f>
        <v>123</v>
      </c>
      <c r="O3530" s="7" t="str">
        <f aca="false">IF(B3530="TV Show",IFERROR(VALUE(LEFT(I3530,FIND(" ",I3530)-1)),""),"")</f>
        <v/>
      </c>
      <c r="P3530" s="7" t="n">
        <f aca="false">IF(K3530="","",K3530-G3530)</f>
        <v>11</v>
      </c>
    </row>
    <row r="3531" customFormat="false" ht="15" hidden="false" customHeight="false" outlineLevel="0" collapsed="false">
      <c r="A3531" s="7" t="n">
        <v>60021790</v>
      </c>
      <c r="B3531" s="7" t="s">
        <v>68</v>
      </c>
      <c r="C3531" s="7" t="s">
        <v>7413</v>
      </c>
      <c r="D3531" s="7" t="s">
        <v>7414</v>
      </c>
      <c r="E3531" s="7" t="s">
        <v>26</v>
      </c>
      <c r="F3531" s="7" t="s">
        <v>7327</v>
      </c>
      <c r="G3531" s="7" t="n">
        <v>2001</v>
      </c>
      <c r="H3531" s="7" t="s">
        <v>52</v>
      </c>
      <c r="I3531" s="7" t="s">
        <v>1270</v>
      </c>
      <c r="J3531" s="7" t="s">
        <v>177</v>
      </c>
      <c r="K3531" s="7" t="n">
        <f aca="false">IFERROR(VALUE(RIGHT(TRIM(F3531),4)),"")</f>
        <v>2020</v>
      </c>
      <c r="L3531" s="7" t="str">
        <f aca="false">IF(TRIM(E3531)="","Unknown",IFERROR(LEFT(TRIM(E3531),FIND(",",TRIM(E3531))-1),TRIM(E3531)))</f>
        <v>United States</v>
      </c>
      <c r="M3531" s="7" t="str">
        <f aca="false">IFERROR(LEFT(J3531,FIND(",",J3531)-1),J3531)</f>
        <v>Comedies</v>
      </c>
      <c r="N3531" s="7" t="n">
        <f aca="false">IF(B3531="Movie",IFERROR(VALUE(LEFT(I3531,FIND(" ",I3531)-1)),""),"")</f>
        <v>118</v>
      </c>
      <c r="O3531" s="7" t="str">
        <f aca="false">IF(B3531="TV Show",IFERROR(VALUE(LEFT(I3531,FIND(" ",I3531)-1)),""),"")</f>
        <v/>
      </c>
      <c r="P3531" s="7" t="n">
        <f aca="false">IF(K3531="","",K3531-G3531)</f>
        <v>19</v>
      </c>
    </row>
    <row r="3532" customFormat="false" ht="15" hidden="false" customHeight="false" outlineLevel="0" collapsed="false">
      <c r="A3532" s="7" t="n">
        <v>60031236</v>
      </c>
      <c r="B3532" s="7" t="s">
        <v>68</v>
      </c>
      <c r="C3532" s="7" t="s">
        <v>7415</v>
      </c>
      <c r="D3532" s="7" t="s">
        <v>1448</v>
      </c>
      <c r="E3532" s="7" t="s">
        <v>2367</v>
      </c>
      <c r="F3532" s="7" t="s">
        <v>7327</v>
      </c>
      <c r="G3532" s="7" t="n">
        <v>2003</v>
      </c>
      <c r="H3532" s="7" t="s">
        <v>51</v>
      </c>
      <c r="I3532" s="7" t="s">
        <v>326</v>
      </c>
      <c r="J3532" s="7" t="s">
        <v>40</v>
      </c>
      <c r="K3532" s="7" t="n">
        <f aca="false">IFERROR(VALUE(RIGHT(TRIM(F3532),4)),"")</f>
        <v>2020</v>
      </c>
      <c r="L3532" s="7" t="str">
        <f aca="false">IF(TRIM(E3532)="","Unknown",IFERROR(LEFT(TRIM(E3532),FIND(",",TRIM(E3532))-1),TRIM(E3532)))</f>
        <v>United States</v>
      </c>
      <c r="M3532" s="7" t="str">
        <f aca="false">IFERROR(LEFT(J3532,FIND(",",J3532)-1),J3532)</f>
        <v>Action &amp; Adventure</v>
      </c>
      <c r="N3532" s="7" t="n">
        <f aca="false">IF(B3532="Movie",IFERROR(VALUE(LEFT(I3532,FIND(" ",I3532)-1)),""),"")</f>
        <v>111</v>
      </c>
      <c r="O3532" s="7" t="str">
        <f aca="false">IF(B3532="TV Show",IFERROR(VALUE(LEFT(I3532,FIND(" ",I3532)-1)),""),"")</f>
        <v/>
      </c>
      <c r="P3532" s="7" t="n">
        <f aca="false">IF(K3532="","",K3532-G3532)</f>
        <v>17</v>
      </c>
    </row>
    <row r="3533" customFormat="false" ht="15" hidden="false" customHeight="false" outlineLevel="0" collapsed="false">
      <c r="A3533" s="7" t="n">
        <v>60032563</v>
      </c>
      <c r="B3533" s="7" t="s">
        <v>68</v>
      </c>
      <c r="C3533" s="7" t="s">
        <v>7416</v>
      </c>
      <c r="D3533" s="7" t="s">
        <v>1448</v>
      </c>
      <c r="E3533" s="7" t="s">
        <v>26</v>
      </c>
      <c r="F3533" s="7" t="s">
        <v>7327</v>
      </c>
      <c r="G3533" s="7" t="n">
        <v>2004</v>
      </c>
      <c r="H3533" s="7" t="s">
        <v>51</v>
      </c>
      <c r="I3533" s="7" t="s">
        <v>749</v>
      </c>
      <c r="J3533" s="7" t="s">
        <v>40</v>
      </c>
      <c r="K3533" s="7" t="n">
        <f aca="false">IFERROR(VALUE(RIGHT(TRIM(F3533),4)),"")</f>
        <v>2020</v>
      </c>
      <c r="L3533" s="7" t="str">
        <f aca="false">IF(TRIM(E3533)="","Unknown",IFERROR(LEFT(TRIM(E3533),FIND(",",TRIM(E3533))-1),TRIM(E3533)))</f>
        <v>United States</v>
      </c>
      <c r="M3533" s="7" t="str">
        <f aca="false">IFERROR(LEFT(J3533,FIND(",",J3533)-1),J3533)</f>
        <v>Action &amp; Adventure</v>
      </c>
      <c r="N3533" s="7" t="n">
        <f aca="false">IF(B3533="Movie",IFERROR(VALUE(LEFT(I3533,FIND(" ",I3533)-1)),""),"")</f>
        <v>137</v>
      </c>
      <c r="O3533" s="7" t="str">
        <f aca="false">IF(B3533="TV Show",IFERROR(VALUE(LEFT(I3533,FIND(" ",I3533)-1)),""),"")</f>
        <v/>
      </c>
      <c r="P3533" s="7" t="n">
        <f aca="false">IF(K3533="","",K3533-G3533)</f>
        <v>16</v>
      </c>
    </row>
    <row r="3534" customFormat="false" ht="15" hidden="false" customHeight="false" outlineLevel="0" collapsed="false">
      <c r="A3534" s="7" t="n">
        <v>673843</v>
      </c>
      <c r="B3534" s="7" t="s">
        <v>68</v>
      </c>
      <c r="C3534" s="7" t="s">
        <v>7417</v>
      </c>
      <c r="D3534" s="7" t="s">
        <v>7418</v>
      </c>
      <c r="E3534" s="7" t="s">
        <v>26</v>
      </c>
      <c r="F3534" s="7" t="s">
        <v>7327</v>
      </c>
      <c r="G3534" s="7" t="n">
        <v>1996</v>
      </c>
      <c r="H3534" s="7" t="s">
        <v>52</v>
      </c>
      <c r="I3534" s="7" t="s">
        <v>187</v>
      </c>
      <c r="J3534" s="7" t="s">
        <v>7419</v>
      </c>
      <c r="K3534" s="7" t="n">
        <f aca="false">IFERROR(VALUE(RIGHT(TRIM(F3534),4)),"")</f>
        <v>2020</v>
      </c>
      <c r="L3534" s="7" t="str">
        <f aca="false">IF(TRIM(E3534)="","Unknown",IFERROR(LEFT(TRIM(E3534),FIND(",",TRIM(E3534))-1),TRIM(E3534)))</f>
        <v>United States</v>
      </c>
      <c r="M3534" s="7" t="str">
        <f aca="false">IFERROR(LEFT(J3534,FIND(",",J3534)-1),J3534)</f>
        <v>Comedies</v>
      </c>
      <c r="N3534" s="7" t="n">
        <f aca="false">IF(B3534="Movie",IFERROR(VALUE(LEFT(I3534,FIND(" ",I3534)-1)),""),"")</f>
        <v>114</v>
      </c>
      <c r="O3534" s="7" t="str">
        <f aca="false">IF(B3534="TV Show",IFERROR(VALUE(LEFT(I3534,FIND(" ",I3534)-1)),""),"")</f>
        <v/>
      </c>
      <c r="P3534" s="7" t="n">
        <f aca="false">IF(K3534="","",K3534-G3534)</f>
        <v>24</v>
      </c>
    </row>
    <row r="3535" customFormat="false" ht="15" hidden="false" customHeight="false" outlineLevel="0" collapsed="false">
      <c r="A3535" s="7" t="n">
        <v>1180086</v>
      </c>
      <c r="B3535" s="7" t="s">
        <v>68</v>
      </c>
      <c r="C3535" s="7" t="s">
        <v>7420</v>
      </c>
      <c r="D3535" s="7" t="s">
        <v>7421</v>
      </c>
      <c r="E3535" s="7" t="s">
        <v>26</v>
      </c>
      <c r="F3535" s="7" t="s">
        <v>7327</v>
      </c>
      <c r="G3535" s="7" t="n">
        <v>1997</v>
      </c>
      <c r="H3535" s="7" t="s">
        <v>51</v>
      </c>
      <c r="I3535" s="7" t="s">
        <v>237</v>
      </c>
      <c r="J3535" s="7" t="s">
        <v>811</v>
      </c>
      <c r="K3535" s="7" t="n">
        <f aca="false">IFERROR(VALUE(RIGHT(TRIM(F3535),4)),"")</f>
        <v>2020</v>
      </c>
      <c r="L3535" s="7" t="str">
        <f aca="false">IF(TRIM(E3535)="","Unknown",IFERROR(LEFT(TRIM(E3535),FIND(",",TRIM(E3535))-1),TRIM(E3535)))</f>
        <v>United States</v>
      </c>
      <c r="M3535" s="7" t="str">
        <f aca="false">IFERROR(LEFT(J3535,FIND(",",J3535)-1),J3535)</f>
        <v>Thrillers</v>
      </c>
      <c r="N3535" s="7" t="n">
        <f aca="false">IF(B3535="Movie",IFERROR(VALUE(LEFT(I3535,FIND(" ",I3535)-1)),""),"")</f>
        <v>116</v>
      </c>
      <c r="O3535" s="7" t="str">
        <f aca="false">IF(B3535="TV Show",IFERROR(VALUE(LEFT(I3535,FIND(" ",I3535)-1)),""),"")</f>
        <v/>
      </c>
      <c r="P3535" s="7" t="n">
        <f aca="false">IF(K3535="","",K3535-G3535)</f>
        <v>23</v>
      </c>
    </row>
    <row r="3536" customFormat="false" ht="15" hidden="false" customHeight="false" outlineLevel="0" collapsed="false">
      <c r="A3536" s="7" t="n">
        <v>281550</v>
      </c>
      <c r="B3536" s="7" t="s">
        <v>68</v>
      </c>
      <c r="C3536" s="7" t="s">
        <v>7422</v>
      </c>
      <c r="D3536" s="7" t="s">
        <v>7423</v>
      </c>
      <c r="E3536" s="7" t="s">
        <v>26</v>
      </c>
      <c r="F3536" s="7" t="s">
        <v>7327</v>
      </c>
      <c r="G3536" s="7" t="n">
        <v>1987</v>
      </c>
      <c r="H3536" s="7" t="s">
        <v>52</v>
      </c>
      <c r="I3536" s="7" t="s">
        <v>790</v>
      </c>
      <c r="J3536" s="7" t="s">
        <v>7424</v>
      </c>
      <c r="K3536" s="7" t="n">
        <f aca="false">IFERROR(VALUE(RIGHT(TRIM(F3536),4)),"")</f>
        <v>2020</v>
      </c>
      <c r="L3536" s="7" t="str">
        <f aca="false">IF(TRIM(E3536)="","Unknown",IFERROR(LEFT(TRIM(E3536),FIND(",",TRIM(E3536))-1),TRIM(E3536)))</f>
        <v>United States</v>
      </c>
      <c r="M3536" s="7" t="str">
        <f aca="false">IFERROR(LEFT(J3536,FIND(",",J3536)-1),J3536)</f>
        <v>Classic Movies</v>
      </c>
      <c r="N3536" s="7" t="n">
        <f aca="false">IF(B3536="Movie",IFERROR(VALUE(LEFT(I3536,FIND(" ",I3536)-1)),""),"")</f>
        <v>109</v>
      </c>
      <c r="O3536" s="7" t="str">
        <f aca="false">IF(B3536="TV Show",IFERROR(VALUE(LEFT(I3536,FIND(" ",I3536)-1)),""),"")</f>
        <v/>
      </c>
      <c r="P3536" s="7" t="n">
        <f aca="false">IF(K3536="","",K3536-G3536)</f>
        <v>33</v>
      </c>
    </row>
    <row r="3537" customFormat="false" ht="15" hidden="false" customHeight="false" outlineLevel="0" collapsed="false">
      <c r="A3537" s="7" t="n">
        <v>70125232</v>
      </c>
      <c r="B3537" s="7" t="s">
        <v>68</v>
      </c>
      <c r="C3537" s="7" t="s">
        <v>7425</v>
      </c>
      <c r="D3537" s="7" t="s">
        <v>7426</v>
      </c>
      <c r="E3537" s="7" t="s">
        <v>918</v>
      </c>
      <c r="F3537" s="7" t="s">
        <v>7327</v>
      </c>
      <c r="G3537" s="7" t="n">
        <v>2010</v>
      </c>
      <c r="H3537" s="7" t="s">
        <v>54</v>
      </c>
      <c r="I3537" s="7" t="s">
        <v>451</v>
      </c>
      <c r="J3537" s="7" t="s">
        <v>42</v>
      </c>
      <c r="K3537" s="7" t="n">
        <f aca="false">IFERROR(VALUE(RIGHT(TRIM(F3537),4)),"")</f>
        <v>2020</v>
      </c>
      <c r="L3537" s="7" t="str">
        <f aca="false">IF(TRIM(E3537)="","Unknown",IFERROR(LEFT(TRIM(E3537),FIND(",",TRIM(E3537))-1),TRIM(E3537)))</f>
        <v>United States</v>
      </c>
      <c r="M3537" s="7" t="str">
        <f aca="false">IFERROR(LEFT(J3537,FIND(",",J3537)-1),J3537)</f>
        <v>Children &amp; Family Movies</v>
      </c>
      <c r="N3537" s="7" t="n">
        <f aca="false">IF(B3537="Movie",IFERROR(VALUE(LEFT(I3537,FIND(" ",I3537)-1)),""),"")</f>
        <v>97</v>
      </c>
      <c r="O3537" s="7" t="str">
        <f aca="false">IF(B3537="TV Show",IFERROR(VALUE(LEFT(I3537,FIND(" ",I3537)-1)),""),"")</f>
        <v/>
      </c>
      <c r="P3537" s="7" t="n">
        <f aca="false">IF(K3537="","",K3537-G3537)</f>
        <v>10</v>
      </c>
    </row>
    <row r="3538" customFormat="false" ht="15" hidden="false" customHeight="false" outlineLevel="0" collapsed="false">
      <c r="A3538" s="7" t="n">
        <v>81167137</v>
      </c>
      <c r="B3538" s="7" t="s">
        <v>78</v>
      </c>
      <c r="C3538" s="7" t="s">
        <v>7427</v>
      </c>
      <c r="F3538" s="7" t="s">
        <v>7327</v>
      </c>
      <c r="G3538" s="7" t="n">
        <v>2017</v>
      </c>
      <c r="H3538" s="7" t="s">
        <v>49</v>
      </c>
      <c r="I3538" s="7" t="s">
        <v>82</v>
      </c>
      <c r="J3538" s="7" t="s">
        <v>852</v>
      </c>
      <c r="K3538" s="7" t="n">
        <f aca="false">IFERROR(VALUE(RIGHT(TRIM(F3538),4)),"")</f>
        <v>2020</v>
      </c>
      <c r="L3538" s="7" t="str">
        <f aca="false">IF(TRIM(E3538)="","Unknown",IFERROR(LEFT(TRIM(E3538),FIND(",",TRIM(E3538))-1),TRIM(E3538)))</f>
        <v>Unknown</v>
      </c>
      <c r="M3538" s="7" t="str">
        <f aca="false">IFERROR(LEFT(J3538,FIND(",",J3538)-1),J3538)</f>
        <v>International TV Shows</v>
      </c>
      <c r="N3538" s="7" t="str">
        <f aca="false">IF(B3538="Movie",IFERROR(VALUE(LEFT(I3538,FIND(" ",I3538)-1)),""),"")</f>
        <v/>
      </c>
      <c r="O3538" s="7" t="n">
        <f aca="false">IF(B3538="TV Show",IFERROR(VALUE(LEFT(I3538,FIND(" ",I3538)-1)),""),"")</f>
        <v>1</v>
      </c>
      <c r="P3538" s="7" t="n">
        <f aca="false">IF(K3538="","",K3538-G3538)</f>
        <v>3</v>
      </c>
    </row>
    <row r="3539" customFormat="false" ht="15" hidden="false" customHeight="false" outlineLevel="0" collapsed="false">
      <c r="A3539" s="7" t="n">
        <v>81211681</v>
      </c>
      <c r="B3539" s="7" t="s">
        <v>68</v>
      </c>
      <c r="C3539" s="7" t="s">
        <v>7428</v>
      </c>
      <c r="D3539" s="7" t="s">
        <v>2481</v>
      </c>
      <c r="F3539" s="7" t="s">
        <v>7327</v>
      </c>
      <c r="G3539" s="7" t="n">
        <v>2019</v>
      </c>
      <c r="H3539" s="7" t="s">
        <v>55</v>
      </c>
      <c r="I3539" s="7" t="s">
        <v>467</v>
      </c>
      <c r="J3539" s="7" t="s">
        <v>74</v>
      </c>
      <c r="K3539" s="7" t="n">
        <f aca="false">IFERROR(VALUE(RIGHT(TRIM(F3539),4)),"")</f>
        <v>2020</v>
      </c>
      <c r="L3539" s="7" t="str">
        <f aca="false">IF(TRIM(E3539)="","Unknown",IFERROR(LEFT(TRIM(E3539),FIND(",",TRIM(E3539))-1),TRIM(E3539)))</f>
        <v>Unknown</v>
      </c>
      <c r="M3539" s="7" t="str">
        <f aca="false">IFERROR(LEFT(J3539,FIND(",",J3539)-1),J3539)</f>
        <v>Children &amp; Family Movies</v>
      </c>
      <c r="N3539" s="7" t="n">
        <f aca="false">IF(B3539="Movie",IFERROR(VALUE(LEFT(I3539,FIND(" ",I3539)-1)),""),"")</f>
        <v>81</v>
      </c>
      <c r="O3539" s="7" t="str">
        <f aca="false">IF(B3539="TV Show",IFERROR(VALUE(LEFT(I3539,FIND(" ",I3539)-1)),""),"")</f>
        <v/>
      </c>
      <c r="P3539" s="7" t="n">
        <f aca="false">IF(K3539="","",K3539-G3539)</f>
        <v>1</v>
      </c>
    </row>
    <row r="3540" customFormat="false" ht="15" hidden="false" customHeight="false" outlineLevel="0" collapsed="false">
      <c r="A3540" s="7" t="n">
        <v>60000440</v>
      </c>
      <c r="B3540" s="7" t="s">
        <v>68</v>
      </c>
      <c r="C3540" s="7" t="s">
        <v>7429</v>
      </c>
      <c r="D3540" s="7" t="s">
        <v>5446</v>
      </c>
      <c r="E3540" s="7" t="s">
        <v>26</v>
      </c>
      <c r="F3540" s="7" t="s">
        <v>7327</v>
      </c>
      <c r="G3540" s="7" t="n">
        <v>1999</v>
      </c>
      <c r="H3540" s="7" t="s">
        <v>51</v>
      </c>
      <c r="I3540" s="7" t="s">
        <v>7430</v>
      </c>
      <c r="J3540" s="7" t="s">
        <v>150</v>
      </c>
      <c r="K3540" s="7" t="n">
        <f aca="false">IFERROR(VALUE(RIGHT(TRIM(F3540),4)),"")</f>
        <v>2020</v>
      </c>
      <c r="L3540" s="7" t="str">
        <f aca="false">IF(TRIM(E3540)="","Unknown",IFERROR(LEFT(TRIM(E3540),FIND(",",TRIM(E3540))-1),TRIM(E3540)))</f>
        <v>United States</v>
      </c>
      <c r="M3540" s="7" t="str">
        <f aca="false">IFERROR(LEFT(J3540,FIND(",",J3540)-1),J3540)</f>
        <v>Dramas</v>
      </c>
      <c r="N3540" s="7" t="n">
        <f aca="false">IF(B3540="Movie",IFERROR(VALUE(LEFT(I3540,FIND(" ",I3540)-1)),""),"")</f>
        <v>189</v>
      </c>
      <c r="O3540" s="7" t="str">
        <f aca="false">IF(B3540="TV Show",IFERROR(VALUE(LEFT(I3540,FIND(" ",I3540)-1)),""),"")</f>
        <v/>
      </c>
      <c r="P3540" s="7" t="n">
        <f aca="false">IF(K3540="","",K3540-G3540)</f>
        <v>21</v>
      </c>
    </row>
    <row r="3541" customFormat="false" ht="15" hidden="false" customHeight="false" outlineLevel="0" collapsed="false">
      <c r="A3541" s="7" t="n">
        <v>81217437</v>
      </c>
      <c r="B3541" s="7" t="s">
        <v>68</v>
      </c>
      <c r="C3541" s="7" t="s">
        <v>7431</v>
      </c>
      <c r="D3541" s="7" t="s">
        <v>3417</v>
      </c>
      <c r="E3541" s="7" t="s">
        <v>27</v>
      </c>
      <c r="F3541" s="7" t="s">
        <v>7327</v>
      </c>
      <c r="G3541" s="7" t="n">
        <v>1983</v>
      </c>
      <c r="H3541" s="7" t="s">
        <v>48</v>
      </c>
      <c r="I3541" s="7" t="s">
        <v>1062</v>
      </c>
      <c r="J3541" s="7" t="s">
        <v>188</v>
      </c>
      <c r="K3541" s="7" t="n">
        <f aca="false">IFERROR(VALUE(RIGHT(TRIM(F3541),4)),"")</f>
        <v>2020</v>
      </c>
      <c r="L3541" s="7" t="str">
        <f aca="false">IF(TRIM(E3541)="","Unknown",IFERROR(LEFT(TRIM(E3541),FIND(",",TRIM(E3541))-1),TRIM(E3541)))</f>
        <v>India</v>
      </c>
      <c r="M3541" s="7" t="str">
        <f aca="false">IFERROR(LEFT(J3541,FIND(",",J3541)-1),J3541)</f>
        <v>Dramas</v>
      </c>
      <c r="N3541" s="7" t="n">
        <f aca="false">IF(B3541="Movie",IFERROR(VALUE(LEFT(I3541,FIND(" ",I3541)-1)),""),"")</f>
        <v>155</v>
      </c>
      <c r="O3541" s="7" t="str">
        <f aca="false">IF(B3541="TV Show",IFERROR(VALUE(LEFT(I3541,FIND(" ",I3541)-1)),""),"")</f>
        <v/>
      </c>
      <c r="P3541" s="7" t="n">
        <f aca="false">IF(K3541="","",K3541-G3541)</f>
        <v>37</v>
      </c>
    </row>
    <row r="3542" customFormat="false" ht="15" hidden="false" customHeight="false" outlineLevel="0" collapsed="false">
      <c r="A3542" s="7" t="n">
        <v>60000480</v>
      </c>
      <c r="B3542" s="7" t="s">
        <v>68</v>
      </c>
      <c r="C3542" s="7" t="s">
        <v>7432</v>
      </c>
      <c r="D3542" s="7" t="s">
        <v>2457</v>
      </c>
      <c r="E3542" s="7" t="s">
        <v>28</v>
      </c>
      <c r="F3542" s="7" t="s">
        <v>7327</v>
      </c>
      <c r="G3542" s="7" t="n">
        <v>1999</v>
      </c>
      <c r="H3542" s="7" t="s">
        <v>52</v>
      </c>
      <c r="I3542" s="7" t="s">
        <v>168</v>
      </c>
      <c r="J3542" s="7" t="s">
        <v>217</v>
      </c>
      <c r="K3542" s="7" t="n">
        <f aca="false">IFERROR(VALUE(RIGHT(TRIM(F3542),4)),"")</f>
        <v>2020</v>
      </c>
      <c r="L3542" s="7" t="str">
        <f aca="false">IF(TRIM(E3542)="","Unknown",IFERROR(LEFT(TRIM(E3542),FIND(",",TRIM(E3542))-1),TRIM(E3542)))</f>
        <v>United Kingdom</v>
      </c>
      <c r="M3542" s="7" t="str">
        <f aca="false">IFERROR(LEFT(J3542,FIND(",",J3542)-1),J3542)</f>
        <v>Comedies</v>
      </c>
      <c r="N3542" s="7" t="n">
        <f aca="false">IF(B3542="Movie",IFERROR(VALUE(LEFT(I3542,FIND(" ",I3542)-1)),""),"")</f>
        <v>112</v>
      </c>
      <c r="O3542" s="7" t="str">
        <f aca="false">IF(B3542="TV Show",IFERROR(VALUE(LEFT(I3542,FIND(" ",I3542)-1)),""),"")</f>
        <v/>
      </c>
      <c r="P3542" s="7" t="n">
        <f aca="false">IF(K3542="","",K3542-G3542)</f>
        <v>21</v>
      </c>
    </row>
    <row r="3543" customFormat="false" ht="15" hidden="false" customHeight="false" outlineLevel="0" collapsed="false">
      <c r="A3543" s="7" t="n">
        <v>80117557</v>
      </c>
      <c r="B3543" s="7" t="s">
        <v>78</v>
      </c>
      <c r="C3543" s="7" t="s">
        <v>7433</v>
      </c>
      <c r="E3543" s="7" t="s">
        <v>26</v>
      </c>
      <c r="F3543" s="7" t="s">
        <v>7327</v>
      </c>
      <c r="G3543" s="7" t="n">
        <v>2020</v>
      </c>
      <c r="H3543" s="7" t="s">
        <v>48</v>
      </c>
      <c r="I3543" s="7" t="s">
        <v>82</v>
      </c>
      <c r="J3543" s="7" t="s">
        <v>1544</v>
      </c>
      <c r="K3543" s="7" t="n">
        <f aca="false">IFERROR(VALUE(RIGHT(TRIM(F3543),4)),"")</f>
        <v>2020</v>
      </c>
      <c r="L3543" s="7" t="str">
        <f aca="false">IF(TRIM(E3543)="","Unknown",IFERROR(LEFT(TRIM(E3543),FIND(",",TRIM(E3543))-1),TRIM(E3543)))</f>
        <v>United States</v>
      </c>
      <c r="M3543" s="7" t="str">
        <f aca="false">IFERROR(LEFT(J3543,FIND(",",J3543)-1),J3543)</f>
        <v>TV Dramas</v>
      </c>
      <c r="N3543" s="7" t="str">
        <f aca="false">IF(B3543="Movie",IFERROR(VALUE(LEFT(I3543,FIND(" ",I3543)-1)),""),"")</f>
        <v/>
      </c>
      <c r="O3543" s="7" t="n">
        <f aca="false">IF(B3543="TV Show",IFERROR(VALUE(LEFT(I3543,FIND(" ",I3543)-1)),""),"")</f>
        <v>1</v>
      </c>
      <c r="P3543" s="7" t="n">
        <f aca="false">IF(K3543="","",K3543-G3543)</f>
        <v>0</v>
      </c>
    </row>
    <row r="3544" customFormat="false" ht="15" hidden="false" customHeight="false" outlineLevel="0" collapsed="false">
      <c r="A3544" s="7" t="n">
        <v>70021634</v>
      </c>
      <c r="B3544" s="7" t="s">
        <v>68</v>
      </c>
      <c r="C3544" s="7" t="s">
        <v>7434</v>
      </c>
      <c r="D3544" s="7" t="s">
        <v>7326</v>
      </c>
      <c r="E3544" s="7" t="s">
        <v>1996</v>
      </c>
      <c r="F3544" s="7" t="s">
        <v>7327</v>
      </c>
      <c r="G3544" s="7" t="n">
        <v>2005</v>
      </c>
      <c r="H3544" s="7" t="s">
        <v>52</v>
      </c>
      <c r="I3544" s="7" t="s">
        <v>512</v>
      </c>
      <c r="J3544" s="7" t="s">
        <v>177</v>
      </c>
      <c r="K3544" s="7" t="n">
        <f aca="false">IFERROR(VALUE(RIGHT(TRIM(F3544),4)),"")</f>
        <v>2020</v>
      </c>
      <c r="L3544" s="7" t="str">
        <f aca="false">IF(TRIM(E3544)="","Unknown",IFERROR(LEFT(TRIM(E3544),FIND(",",TRIM(E3544))-1),TRIM(E3544)))</f>
        <v>United States</v>
      </c>
      <c r="M3544" s="7" t="str">
        <f aca="false">IFERROR(LEFT(J3544,FIND(",",J3544)-1),J3544)</f>
        <v>Comedies</v>
      </c>
      <c r="N3544" s="7" t="n">
        <f aca="false">IF(B3544="Movie",IFERROR(VALUE(LEFT(I3544,FIND(" ",I3544)-1)),""),"")</f>
        <v>101</v>
      </c>
      <c r="O3544" s="7" t="str">
        <f aca="false">IF(B3544="TV Show",IFERROR(VALUE(LEFT(I3544,FIND(" ",I3544)-1)),""),"")</f>
        <v/>
      </c>
      <c r="P3544" s="7" t="n">
        <f aca="false">IF(K3544="","",K3544-G3544)</f>
        <v>15</v>
      </c>
    </row>
    <row r="3545" customFormat="false" ht="15" hidden="false" customHeight="false" outlineLevel="0" collapsed="false">
      <c r="A3545" s="7" t="n">
        <v>70112500</v>
      </c>
      <c r="B3545" s="7" t="s">
        <v>68</v>
      </c>
      <c r="C3545" s="7" t="s">
        <v>7435</v>
      </c>
      <c r="D3545" s="7" t="s">
        <v>7436</v>
      </c>
      <c r="E3545" s="7" t="s">
        <v>317</v>
      </c>
      <c r="F3545" s="7" t="s">
        <v>7327</v>
      </c>
      <c r="G3545" s="7" t="n">
        <v>2009</v>
      </c>
      <c r="H3545" s="7" t="s">
        <v>51</v>
      </c>
      <c r="I3545" s="7" t="s">
        <v>451</v>
      </c>
      <c r="J3545" s="7" t="s">
        <v>1762</v>
      </c>
      <c r="K3545" s="7" t="n">
        <f aca="false">IFERROR(VALUE(RIGHT(TRIM(F3545),4)),"")</f>
        <v>2020</v>
      </c>
      <c r="L3545" s="7" t="str">
        <f aca="false">IF(TRIM(E3545)="","Unknown",IFERROR(LEFT(TRIM(E3545),FIND(",",TRIM(E3545))-1),TRIM(E3545)))</f>
        <v>United Kingdom</v>
      </c>
      <c r="M3545" s="7" t="str">
        <f aca="false">IFERROR(LEFT(J3545,FIND(",",J3545)-1),J3545)</f>
        <v>Dramas</v>
      </c>
      <c r="N3545" s="7" t="n">
        <f aca="false">IF(B3545="Movie",IFERROR(VALUE(LEFT(I3545,FIND(" ",I3545)-1)),""),"")</f>
        <v>97</v>
      </c>
      <c r="O3545" s="7" t="str">
        <f aca="false">IF(B3545="TV Show",IFERROR(VALUE(LEFT(I3545,FIND(" ",I3545)-1)),""),"")</f>
        <v/>
      </c>
      <c r="P3545" s="7" t="n">
        <f aca="false">IF(K3545="","",K3545-G3545)</f>
        <v>11</v>
      </c>
    </row>
    <row r="3546" customFormat="false" ht="15" hidden="false" customHeight="false" outlineLevel="0" collapsed="false">
      <c r="A3546" s="7" t="n">
        <v>786137</v>
      </c>
      <c r="B3546" s="7" t="s">
        <v>68</v>
      </c>
      <c r="C3546" s="7" t="s">
        <v>7437</v>
      </c>
      <c r="D3546" s="7" t="s">
        <v>7438</v>
      </c>
      <c r="E3546" s="7" t="s">
        <v>26</v>
      </c>
      <c r="F3546" s="7" t="s">
        <v>7327</v>
      </c>
      <c r="G3546" s="7" t="n">
        <v>1991</v>
      </c>
      <c r="H3546" s="7" t="s">
        <v>52</v>
      </c>
      <c r="I3546" s="7" t="s">
        <v>181</v>
      </c>
      <c r="J3546" s="7" t="s">
        <v>37</v>
      </c>
      <c r="K3546" s="7" t="n">
        <f aca="false">IFERROR(VALUE(RIGHT(TRIM(F3546),4)),"")</f>
        <v>2020</v>
      </c>
      <c r="L3546" s="7" t="str">
        <f aca="false">IF(TRIM(E3546)="","Unknown",IFERROR(LEFT(TRIM(E3546),FIND(",",TRIM(E3546))-1),TRIM(E3546)))</f>
        <v>United States</v>
      </c>
      <c r="M3546" s="7" t="str">
        <f aca="false">IFERROR(LEFT(J3546,FIND(",",J3546)-1),J3546)</f>
        <v>Dramas</v>
      </c>
      <c r="N3546" s="7" t="n">
        <f aca="false">IF(B3546="Movie",IFERROR(VALUE(LEFT(I3546,FIND(" ",I3546)-1)),""),"")</f>
        <v>102</v>
      </c>
      <c r="O3546" s="7" t="str">
        <f aca="false">IF(B3546="TV Show",IFERROR(VALUE(LEFT(I3546,FIND(" ",I3546)-1)),""),"")</f>
        <v/>
      </c>
      <c r="P3546" s="7" t="n">
        <f aca="false">IF(K3546="","",K3546-G3546)</f>
        <v>29</v>
      </c>
    </row>
    <row r="3547" customFormat="false" ht="15" hidden="false" customHeight="false" outlineLevel="0" collapsed="false">
      <c r="A3547" s="7" t="n">
        <v>60034568</v>
      </c>
      <c r="B3547" s="7" t="s">
        <v>68</v>
      </c>
      <c r="C3547" s="7" t="s">
        <v>7439</v>
      </c>
      <c r="D3547" s="7" t="s">
        <v>5840</v>
      </c>
      <c r="E3547" s="7" t="s">
        <v>26</v>
      </c>
      <c r="F3547" s="7" t="s">
        <v>7327</v>
      </c>
      <c r="G3547" s="7" t="n">
        <v>2004</v>
      </c>
      <c r="H3547" s="7" t="s">
        <v>54</v>
      </c>
      <c r="I3547" s="7" t="s">
        <v>470</v>
      </c>
      <c r="J3547" s="7" t="s">
        <v>74</v>
      </c>
      <c r="K3547" s="7" t="n">
        <f aca="false">IFERROR(VALUE(RIGHT(TRIM(F3547),4)),"")</f>
        <v>2020</v>
      </c>
      <c r="L3547" s="7" t="str">
        <f aca="false">IF(TRIM(E3547)="","Unknown",IFERROR(LEFT(TRIM(E3547),FIND(",",TRIM(E3547))-1),TRIM(E3547)))</f>
        <v>United States</v>
      </c>
      <c r="M3547" s="7" t="str">
        <f aca="false">IFERROR(LEFT(J3547,FIND(",",J3547)-1),J3547)</f>
        <v>Children &amp; Family Movies</v>
      </c>
      <c r="N3547" s="7" t="n">
        <f aca="false">IF(B3547="Movie",IFERROR(VALUE(LEFT(I3547,FIND(" ",I3547)-1)),""),"")</f>
        <v>91</v>
      </c>
      <c r="O3547" s="7" t="str">
        <f aca="false">IF(B3547="TV Show",IFERROR(VALUE(LEFT(I3547,FIND(" ",I3547)-1)),""),"")</f>
        <v/>
      </c>
      <c r="P3547" s="7" t="n">
        <f aca="false">IF(K3547="","",K3547-G3547)</f>
        <v>16</v>
      </c>
    </row>
    <row r="3548" customFormat="false" ht="15" hidden="false" customHeight="false" outlineLevel="0" collapsed="false">
      <c r="A3548" s="7" t="n">
        <v>80197991</v>
      </c>
      <c r="B3548" s="7" t="s">
        <v>78</v>
      </c>
      <c r="C3548" s="7" t="s">
        <v>7440</v>
      </c>
      <c r="D3548" s="7" t="s">
        <v>7441</v>
      </c>
      <c r="F3548" s="7" t="s">
        <v>7327</v>
      </c>
      <c r="G3548" s="7" t="n">
        <v>2020</v>
      </c>
      <c r="H3548" s="7" t="s">
        <v>48</v>
      </c>
      <c r="I3548" s="7" t="s">
        <v>82</v>
      </c>
      <c r="J3548" s="7" t="s">
        <v>1402</v>
      </c>
      <c r="K3548" s="7" t="n">
        <f aca="false">IFERROR(VALUE(RIGHT(TRIM(F3548),4)),"")</f>
        <v>2020</v>
      </c>
      <c r="L3548" s="7" t="str">
        <f aca="false">IF(TRIM(E3548)="","Unknown",IFERROR(LEFT(TRIM(E3548),FIND(",",TRIM(E3548))-1),TRIM(E3548)))</f>
        <v>Unknown</v>
      </c>
      <c r="M3548" s="7" t="str">
        <f aca="false">IFERROR(LEFT(J3548,FIND(",",J3548)-1),J3548)</f>
        <v>Crime TV Shows</v>
      </c>
      <c r="N3548" s="7" t="str">
        <f aca="false">IF(B3548="Movie",IFERROR(VALUE(LEFT(I3548,FIND(" ",I3548)-1)),""),"")</f>
        <v/>
      </c>
      <c r="O3548" s="7" t="n">
        <f aca="false">IF(B3548="TV Show",IFERROR(VALUE(LEFT(I3548,FIND(" ",I3548)-1)),""),"")</f>
        <v>1</v>
      </c>
      <c r="P3548" s="7" t="n">
        <f aca="false">IF(K3548="","",K3548-G3548)</f>
        <v>0</v>
      </c>
    </row>
    <row r="3549" customFormat="false" ht="15" hidden="false" customHeight="false" outlineLevel="0" collapsed="false">
      <c r="A3549" s="7" t="n">
        <v>70050507</v>
      </c>
      <c r="B3549" s="7" t="s">
        <v>68</v>
      </c>
      <c r="C3549" s="7" t="s">
        <v>7442</v>
      </c>
      <c r="D3549" s="7" t="s">
        <v>7443</v>
      </c>
      <c r="E3549" s="7" t="s">
        <v>7444</v>
      </c>
      <c r="F3549" s="7" t="s">
        <v>7327</v>
      </c>
      <c r="G3549" s="7" t="n">
        <v>2006</v>
      </c>
      <c r="H3549" s="7" t="s">
        <v>51</v>
      </c>
      <c r="I3549" s="7" t="s">
        <v>519</v>
      </c>
      <c r="J3549" s="7" t="s">
        <v>2458</v>
      </c>
      <c r="K3549" s="7" t="n">
        <f aca="false">IFERROR(VALUE(RIGHT(TRIM(F3549),4)),"")</f>
        <v>2020</v>
      </c>
      <c r="L3549" s="7" t="str">
        <f aca="false">IF(TRIM(E3549)="","Unknown",IFERROR(LEFT(TRIM(E3549),FIND(",",TRIM(E3549))-1),TRIM(E3549)))</f>
        <v>Mexico</v>
      </c>
      <c r="M3549" s="7" t="str">
        <f aca="false">IFERROR(LEFT(J3549,FIND(",",J3549)-1),J3549)</f>
        <v>Dramas</v>
      </c>
      <c r="N3549" s="7" t="n">
        <f aca="false">IF(B3549="Movie",IFERROR(VALUE(LEFT(I3549,FIND(" ",I3549)-1)),""),"")</f>
        <v>119</v>
      </c>
      <c r="O3549" s="7" t="str">
        <f aca="false">IF(B3549="TV Show",IFERROR(VALUE(LEFT(I3549,FIND(" ",I3549)-1)),""),"")</f>
        <v/>
      </c>
      <c r="P3549" s="7" t="n">
        <f aca="false">IF(K3549="","",K3549-G3549)</f>
        <v>14</v>
      </c>
    </row>
    <row r="3550" customFormat="false" ht="15" hidden="false" customHeight="false" outlineLevel="0" collapsed="false">
      <c r="A3550" s="7" t="n">
        <v>70125581</v>
      </c>
      <c r="B3550" s="7" t="s">
        <v>68</v>
      </c>
      <c r="C3550" s="7" t="s">
        <v>7445</v>
      </c>
      <c r="D3550" s="7" t="s">
        <v>7446</v>
      </c>
      <c r="E3550" s="7" t="s">
        <v>26</v>
      </c>
      <c r="F3550" s="7" t="s">
        <v>7327</v>
      </c>
      <c r="G3550" s="7" t="n">
        <v>2007</v>
      </c>
      <c r="H3550" s="7" t="s">
        <v>51</v>
      </c>
      <c r="I3550" s="7" t="s">
        <v>212</v>
      </c>
      <c r="J3550" s="7" t="s">
        <v>147</v>
      </c>
      <c r="K3550" s="7" t="n">
        <f aca="false">IFERROR(VALUE(RIGHT(TRIM(F3550),4)),"")</f>
        <v>2020</v>
      </c>
      <c r="L3550" s="7" t="str">
        <f aca="false">IF(TRIM(E3550)="","Unknown",IFERROR(LEFT(TRIM(E3550),FIND(",",TRIM(E3550))-1),TRIM(E3550)))</f>
        <v>United States</v>
      </c>
      <c r="M3550" s="7" t="str">
        <f aca="false">IFERROR(LEFT(J3550,FIND(",",J3550)-1),J3550)</f>
        <v>Horror Movies</v>
      </c>
      <c r="N3550" s="7" t="n">
        <f aca="false">IF(B3550="Movie",IFERROR(VALUE(LEFT(I3550,FIND(" ",I3550)-1)),""),"")</f>
        <v>86</v>
      </c>
      <c r="O3550" s="7" t="str">
        <f aca="false">IF(B3550="TV Show",IFERROR(VALUE(LEFT(I3550,FIND(" ",I3550)-1)),""),"")</f>
        <v/>
      </c>
      <c r="P3550" s="7" t="n">
        <f aca="false">IF(K3550="","",K3550-G3550)</f>
        <v>13</v>
      </c>
    </row>
    <row r="3551" customFormat="false" ht="15" hidden="false" customHeight="false" outlineLevel="0" collapsed="false">
      <c r="A3551" s="7" t="n">
        <v>846071</v>
      </c>
      <c r="B3551" s="7" t="s">
        <v>68</v>
      </c>
      <c r="C3551" s="7" t="s">
        <v>7447</v>
      </c>
      <c r="D3551" s="7" t="s">
        <v>952</v>
      </c>
      <c r="E3551" s="7" t="s">
        <v>26</v>
      </c>
      <c r="F3551" s="7" t="s">
        <v>7327</v>
      </c>
      <c r="G3551" s="7" t="n">
        <v>1992</v>
      </c>
      <c r="H3551" s="7" t="s">
        <v>51</v>
      </c>
      <c r="I3551" s="7" t="s">
        <v>386</v>
      </c>
      <c r="J3551" s="7" t="s">
        <v>40</v>
      </c>
      <c r="K3551" s="7" t="n">
        <f aca="false">IFERROR(VALUE(RIGHT(TRIM(F3551),4)),"")</f>
        <v>2020</v>
      </c>
      <c r="L3551" s="7" t="str">
        <f aca="false">IF(TRIM(E3551)="","Unknown",IFERROR(LEFT(TRIM(E3551),FIND(",",TRIM(E3551))-1),TRIM(E3551)))</f>
        <v>United States</v>
      </c>
      <c r="M3551" s="7" t="str">
        <f aca="false">IFERROR(LEFT(J3551,FIND(",",J3551)-1),J3551)</f>
        <v>Action &amp; Adventure</v>
      </c>
      <c r="N3551" s="7" t="n">
        <f aca="false">IF(B3551="Movie",IFERROR(VALUE(LEFT(I3551,FIND(" ",I3551)-1)),""),"")</f>
        <v>117</v>
      </c>
      <c r="O3551" s="7" t="str">
        <f aca="false">IF(B3551="TV Show",IFERROR(VALUE(LEFT(I3551,FIND(" ",I3551)-1)),""),"")</f>
        <v/>
      </c>
      <c r="P3551" s="7" t="n">
        <f aca="false">IF(K3551="","",K3551-G3551)</f>
        <v>28</v>
      </c>
    </row>
    <row r="3552" customFormat="false" ht="15" hidden="false" customHeight="false" outlineLevel="0" collapsed="false">
      <c r="A3552" s="7" t="n">
        <v>81085364</v>
      </c>
      <c r="B3552" s="7" t="s">
        <v>68</v>
      </c>
      <c r="C3552" s="7" t="s">
        <v>7448</v>
      </c>
      <c r="D3552" s="7" t="s">
        <v>7449</v>
      </c>
      <c r="F3552" s="7" t="s">
        <v>7327</v>
      </c>
      <c r="G3552" s="7" t="n">
        <v>2018</v>
      </c>
      <c r="H3552" s="7" t="s">
        <v>55</v>
      </c>
      <c r="I3552" s="7" t="s">
        <v>134</v>
      </c>
      <c r="J3552" s="7" t="s">
        <v>6283</v>
      </c>
      <c r="K3552" s="7" t="n">
        <f aca="false">IFERROR(VALUE(RIGHT(TRIM(F3552),4)),"")</f>
        <v>2020</v>
      </c>
      <c r="L3552" s="7" t="str">
        <f aca="false">IF(TRIM(E3552)="","Unknown",IFERROR(LEFT(TRIM(E3552),FIND(",",TRIM(E3552))-1),TRIM(E3552)))</f>
        <v>Unknown</v>
      </c>
      <c r="M3552" s="7" t="str">
        <f aca="false">IFERROR(LEFT(J3552,FIND(",",J3552)-1),J3552)</f>
        <v>Anime Features</v>
      </c>
      <c r="N3552" s="7" t="n">
        <f aca="false">IF(B3552="Movie",IFERROR(VALUE(LEFT(I3552,FIND(" ",I3552)-1)),""),"")</f>
        <v>98</v>
      </c>
      <c r="O3552" s="7" t="str">
        <f aca="false">IF(B3552="TV Show",IFERROR(VALUE(LEFT(I3552,FIND(" ",I3552)-1)),""),"")</f>
        <v/>
      </c>
      <c r="P3552" s="7" t="n">
        <f aca="false">IF(K3552="","",K3552-G3552)</f>
        <v>2</v>
      </c>
    </row>
    <row r="3553" customFormat="false" ht="15" hidden="false" customHeight="false" outlineLevel="0" collapsed="false">
      <c r="A3553" s="7" t="n">
        <v>81140307</v>
      </c>
      <c r="B3553" s="7" t="s">
        <v>68</v>
      </c>
      <c r="C3553" s="7" t="s">
        <v>7450</v>
      </c>
      <c r="D3553" s="7" t="s">
        <v>7335</v>
      </c>
      <c r="E3553" s="7" t="s">
        <v>362</v>
      </c>
      <c r="F3553" s="7" t="s">
        <v>7327</v>
      </c>
      <c r="G3553" s="7" t="n">
        <v>2017</v>
      </c>
      <c r="H3553" s="7" t="s">
        <v>49</v>
      </c>
      <c r="I3553" s="7" t="s">
        <v>181</v>
      </c>
      <c r="J3553" s="7" t="s">
        <v>240</v>
      </c>
      <c r="K3553" s="7" t="n">
        <f aca="false">IFERROR(VALUE(RIGHT(TRIM(F3553),4)),"")</f>
        <v>2020</v>
      </c>
      <c r="L3553" s="7" t="str">
        <f aca="false">IF(TRIM(E3553)="","Unknown",IFERROR(LEFT(TRIM(E3553),FIND(",",TRIM(E3553))-1),TRIM(E3553)))</f>
        <v>Indonesia</v>
      </c>
      <c r="M3553" s="7" t="str">
        <f aca="false">IFERROR(LEFT(J3553,FIND(",",J3553)-1),J3553)</f>
        <v>Dramas</v>
      </c>
      <c r="N3553" s="7" t="n">
        <f aca="false">IF(B3553="Movie",IFERROR(VALUE(LEFT(I3553,FIND(" ",I3553)-1)),""),"")</f>
        <v>102</v>
      </c>
      <c r="O3553" s="7" t="str">
        <f aca="false">IF(B3553="TV Show",IFERROR(VALUE(LEFT(I3553,FIND(" ",I3553)-1)),""),"")</f>
        <v/>
      </c>
      <c r="P3553" s="7" t="n">
        <f aca="false">IF(K3553="","",K3553-G3553)</f>
        <v>3</v>
      </c>
    </row>
    <row r="3554" customFormat="false" ht="15" hidden="false" customHeight="false" outlineLevel="0" collapsed="false">
      <c r="A3554" s="7" t="n">
        <v>80188351</v>
      </c>
      <c r="B3554" s="7" t="s">
        <v>78</v>
      </c>
      <c r="C3554" s="7" t="s">
        <v>7451</v>
      </c>
      <c r="F3554" s="7" t="s">
        <v>7327</v>
      </c>
      <c r="G3554" s="7" t="n">
        <v>2015</v>
      </c>
      <c r="H3554" s="7" t="s">
        <v>49</v>
      </c>
      <c r="I3554" s="7" t="s">
        <v>82</v>
      </c>
      <c r="J3554" s="7" t="s">
        <v>637</v>
      </c>
      <c r="K3554" s="7" t="n">
        <f aca="false">IFERROR(VALUE(RIGHT(TRIM(F3554),4)),"")</f>
        <v>2020</v>
      </c>
      <c r="L3554" s="7" t="str">
        <f aca="false">IF(TRIM(E3554)="","Unknown",IFERROR(LEFT(TRIM(E3554),FIND(",",TRIM(E3554))-1),TRIM(E3554)))</f>
        <v>Unknown</v>
      </c>
      <c r="M3554" s="7" t="str">
        <f aca="false">IFERROR(LEFT(J3554,FIND(",",J3554)-1),J3554)</f>
        <v>International TV Shows</v>
      </c>
      <c r="N3554" s="7" t="str">
        <f aca="false">IF(B3554="Movie",IFERROR(VALUE(LEFT(I3554,FIND(" ",I3554)-1)),""),"")</f>
        <v/>
      </c>
      <c r="O3554" s="7" t="n">
        <f aca="false">IF(B3554="TV Show",IFERROR(VALUE(LEFT(I3554,FIND(" ",I3554)-1)),""),"")</f>
        <v>1</v>
      </c>
      <c r="P3554" s="7" t="n">
        <f aca="false">IF(K3554="","",K3554-G3554)</f>
        <v>5</v>
      </c>
    </row>
    <row r="3555" customFormat="false" ht="15" hidden="false" customHeight="false" outlineLevel="0" collapsed="false">
      <c r="A3555" s="7" t="n">
        <v>70128695</v>
      </c>
      <c r="B3555" s="7" t="s">
        <v>68</v>
      </c>
      <c r="C3555" s="7" t="s">
        <v>7452</v>
      </c>
      <c r="D3555" s="7" t="s">
        <v>7374</v>
      </c>
      <c r="E3555" s="7" t="s">
        <v>7453</v>
      </c>
      <c r="F3555" s="7" t="s">
        <v>7327</v>
      </c>
      <c r="G3555" s="7" t="n">
        <v>2010</v>
      </c>
      <c r="H3555" s="7" t="s">
        <v>51</v>
      </c>
      <c r="I3555" s="7" t="s">
        <v>451</v>
      </c>
      <c r="J3555" s="7" t="s">
        <v>3217</v>
      </c>
      <c r="K3555" s="7" t="n">
        <f aca="false">IFERROR(VALUE(RIGHT(TRIM(F3555),4)),"")</f>
        <v>2020</v>
      </c>
      <c r="L3555" s="7" t="str">
        <f aca="false">IF(TRIM(E3555)="","Unknown",IFERROR(LEFT(TRIM(E3555),FIND(",",TRIM(E3555))-1),TRIM(E3555)))</f>
        <v>Germany</v>
      </c>
      <c r="M3555" s="7" t="str">
        <f aca="false">IFERROR(LEFT(J3555,FIND(",",J3555)-1),J3555)</f>
        <v>Action &amp; Adventure</v>
      </c>
      <c r="N3555" s="7" t="n">
        <f aca="false">IF(B3555="Movie",IFERROR(VALUE(LEFT(I3555,FIND(" ",I3555)-1)),""),"")</f>
        <v>97</v>
      </c>
      <c r="O3555" s="7" t="str">
        <f aca="false">IF(B3555="TV Show",IFERROR(VALUE(LEFT(I3555,FIND(" ",I3555)-1)),""),"")</f>
        <v/>
      </c>
      <c r="P3555" s="7" t="n">
        <f aca="false">IF(K3555="","",K3555-G3555)</f>
        <v>10</v>
      </c>
    </row>
    <row r="3556" customFormat="false" ht="15" hidden="false" customHeight="false" outlineLevel="0" collapsed="false">
      <c r="A3556" s="7" t="n">
        <v>80095807</v>
      </c>
      <c r="B3556" s="7" t="s">
        <v>68</v>
      </c>
      <c r="C3556" s="7" t="s">
        <v>7454</v>
      </c>
      <c r="D3556" s="7" t="s">
        <v>7455</v>
      </c>
      <c r="E3556" s="7" t="s">
        <v>26</v>
      </c>
      <c r="F3556" s="7" t="s">
        <v>7327</v>
      </c>
      <c r="G3556" s="7" t="n">
        <v>2015</v>
      </c>
      <c r="H3556" s="7" t="s">
        <v>48</v>
      </c>
      <c r="I3556" s="7" t="s">
        <v>264</v>
      </c>
      <c r="J3556" s="7" t="s">
        <v>40</v>
      </c>
      <c r="K3556" s="7" t="n">
        <f aca="false">IFERROR(VALUE(RIGHT(TRIM(F3556),4)),"")</f>
        <v>2020</v>
      </c>
      <c r="L3556" s="7" t="str">
        <f aca="false">IF(TRIM(E3556)="","Unknown",IFERROR(LEFT(TRIM(E3556),FIND(",",TRIM(E3556))-1),TRIM(E3556)))</f>
        <v>United States</v>
      </c>
      <c r="M3556" s="7" t="str">
        <f aca="false">IFERROR(LEFT(J3556,FIND(",",J3556)-1),J3556)</f>
        <v>Action &amp; Adventure</v>
      </c>
      <c r="N3556" s="7" t="n">
        <f aca="false">IF(B3556="Movie",IFERROR(VALUE(LEFT(I3556,FIND(" ",I3556)-1)),""),"")</f>
        <v>88</v>
      </c>
      <c r="O3556" s="7" t="str">
        <f aca="false">IF(B3556="TV Show",IFERROR(VALUE(LEFT(I3556,FIND(" ",I3556)-1)),""),"")</f>
        <v/>
      </c>
      <c r="P3556" s="7" t="n">
        <f aca="false">IF(K3556="","",K3556-G3556)</f>
        <v>5</v>
      </c>
    </row>
    <row r="3557" customFormat="false" ht="15" hidden="false" customHeight="false" outlineLevel="0" collapsed="false">
      <c r="A3557" s="7" t="n">
        <v>70121008</v>
      </c>
      <c r="B3557" s="7" t="s">
        <v>68</v>
      </c>
      <c r="C3557" s="7" t="s">
        <v>7456</v>
      </c>
      <c r="D3557" s="7" t="s">
        <v>7457</v>
      </c>
      <c r="E3557" s="7" t="s">
        <v>26</v>
      </c>
      <c r="F3557" s="7" t="s">
        <v>7327</v>
      </c>
      <c r="G3557" s="7" t="n">
        <v>2009</v>
      </c>
      <c r="H3557" s="7" t="s">
        <v>51</v>
      </c>
      <c r="I3557" s="7" t="s">
        <v>451</v>
      </c>
      <c r="J3557" s="7" t="s">
        <v>38</v>
      </c>
      <c r="K3557" s="7" t="n">
        <f aca="false">IFERROR(VALUE(RIGHT(TRIM(F3557),4)),"")</f>
        <v>2020</v>
      </c>
      <c r="L3557" s="7" t="str">
        <f aca="false">IF(TRIM(E3557)="","Unknown",IFERROR(LEFT(TRIM(E3557),FIND(",",TRIM(E3557))-1),TRIM(E3557)))</f>
        <v>United States</v>
      </c>
      <c r="M3557" s="7" t="str">
        <f aca="false">IFERROR(LEFT(J3557,FIND(",",J3557)-1),J3557)</f>
        <v>Comedies</v>
      </c>
      <c r="N3557" s="7" t="n">
        <f aca="false">IF(B3557="Movie",IFERROR(VALUE(LEFT(I3557,FIND(" ",I3557)-1)),""),"")</f>
        <v>97</v>
      </c>
      <c r="O3557" s="7" t="str">
        <f aca="false">IF(B3557="TV Show",IFERROR(VALUE(LEFT(I3557,FIND(" ",I3557)-1)),""),"")</f>
        <v/>
      </c>
      <c r="P3557" s="7" t="n">
        <f aca="false">IF(K3557="","",K3557-G3557)</f>
        <v>11</v>
      </c>
    </row>
    <row r="3558" customFormat="false" ht="15" hidden="false" customHeight="false" outlineLevel="0" collapsed="false">
      <c r="A3558" s="7" t="n">
        <v>81167101</v>
      </c>
      <c r="B3558" s="7" t="s">
        <v>78</v>
      </c>
      <c r="C3558" s="7" t="s">
        <v>7458</v>
      </c>
      <c r="F3558" s="7" t="s">
        <v>7327</v>
      </c>
      <c r="G3558" s="7" t="n">
        <v>2017</v>
      </c>
      <c r="H3558" s="7" t="s">
        <v>49</v>
      </c>
      <c r="I3558" s="7" t="s">
        <v>82</v>
      </c>
      <c r="J3558" s="7" t="s">
        <v>852</v>
      </c>
      <c r="K3558" s="7" t="n">
        <f aca="false">IFERROR(VALUE(RIGHT(TRIM(F3558),4)),"")</f>
        <v>2020</v>
      </c>
      <c r="L3558" s="7" t="str">
        <f aca="false">IF(TRIM(E3558)="","Unknown",IFERROR(LEFT(TRIM(E3558),FIND(",",TRIM(E3558))-1),TRIM(E3558)))</f>
        <v>Unknown</v>
      </c>
      <c r="M3558" s="7" t="str">
        <f aca="false">IFERROR(LEFT(J3558,FIND(",",J3558)-1),J3558)</f>
        <v>International TV Shows</v>
      </c>
      <c r="N3558" s="7" t="str">
        <f aca="false">IF(B3558="Movie",IFERROR(VALUE(LEFT(I3558,FIND(" ",I3558)-1)),""),"")</f>
        <v/>
      </c>
      <c r="O3558" s="7" t="n">
        <f aca="false">IF(B3558="TV Show",IFERROR(VALUE(LEFT(I3558,FIND(" ",I3558)-1)),""),"")</f>
        <v>1</v>
      </c>
      <c r="P3558" s="7" t="n">
        <f aca="false">IF(K3558="","",K3558-G3558)</f>
        <v>3</v>
      </c>
    </row>
    <row r="3559" customFormat="false" ht="15" hidden="false" customHeight="false" outlineLevel="0" collapsed="false">
      <c r="A3559" s="7" t="n">
        <v>60000870</v>
      </c>
      <c r="B3559" s="7" t="s">
        <v>68</v>
      </c>
      <c r="C3559" s="7" t="s">
        <v>7459</v>
      </c>
      <c r="D3559" s="7" t="s">
        <v>7460</v>
      </c>
      <c r="E3559" s="7" t="s">
        <v>26</v>
      </c>
      <c r="F3559" s="7" t="s">
        <v>7327</v>
      </c>
      <c r="G3559" s="7" t="n">
        <v>2000</v>
      </c>
      <c r="H3559" s="7" t="s">
        <v>51</v>
      </c>
      <c r="I3559" s="7" t="s">
        <v>264</v>
      </c>
      <c r="J3559" s="7" t="s">
        <v>1059</v>
      </c>
      <c r="K3559" s="7" t="n">
        <f aca="false">IFERROR(VALUE(RIGHT(TRIM(F3559),4)),"")</f>
        <v>2020</v>
      </c>
      <c r="L3559" s="7" t="str">
        <f aca="false">IF(TRIM(E3559)="","Unknown",IFERROR(LEFT(TRIM(E3559),FIND(",",TRIM(E3559))-1),TRIM(E3559)))</f>
        <v>United States</v>
      </c>
      <c r="M3559" s="7" t="str">
        <f aca="false">IFERROR(LEFT(J3559,FIND(",",J3559)-1),J3559)</f>
        <v>Comedies</v>
      </c>
      <c r="N3559" s="7" t="n">
        <f aca="false">IF(B3559="Movie",IFERROR(VALUE(LEFT(I3559,FIND(" ",I3559)-1)),""),"")</f>
        <v>88</v>
      </c>
      <c r="O3559" s="7" t="str">
        <f aca="false">IF(B3559="TV Show",IFERROR(VALUE(LEFT(I3559,FIND(" ",I3559)-1)),""),"")</f>
        <v/>
      </c>
      <c r="P3559" s="7" t="n">
        <f aca="false">IF(K3559="","",K3559-G3559)</f>
        <v>20</v>
      </c>
    </row>
    <row r="3560" customFormat="false" ht="15" hidden="false" customHeight="false" outlineLevel="0" collapsed="false">
      <c r="A3560" s="7" t="n">
        <v>70260512</v>
      </c>
      <c r="B3560" s="7" t="s">
        <v>68</v>
      </c>
      <c r="C3560" s="7" t="s">
        <v>7461</v>
      </c>
      <c r="D3560" s="7" t="s">
        <v>7462</v>
      </c>
      <c r="E3560" s="7" t="s">
        <v>26</v>
      </c>
      <c r="F3560" s="7" t="s">
        <v>7327</v>
      </c>
      <c r="G3560" s="7" t="n">
        <v>2012</v>
      </c>
      <c r="H3560" s="7" t="s">
        <v>48</v>
      </c>
      <c r="I3560" s="7" t="s">
        <v>73</v>
      </c>
      <c r="J3560" s="7" t="s">
        <v>40</v>
      </c>
      <c r="K3560" s="7" t="n">
        <f aca="false">IFERROR(VALUE(RIGHT(TRIM(F3560),4)),"")</f>
        <v>2020</v>
      </c>
      <c r="L3560" s="7" t="str">
        <f aca="false">IF(TRIM(E3560)="","Unknown",IFERROR(LEFT(TRIM(E3560),FIND(",",TRIM(E3560))-1),TRIM(E3560)))</f>
        <v>United States</v>
      </c>
      <c r="M3560" s="7" t="str">
        <f aca="false">IFERROR(LEFT(J3560,FIND(",",J3560)-1),J3560)</f>
        <v>Action &amp; Adventure</v>
      </c>
      <c r="N3560" s="7" t="n">
        <f aca="false">IF(B3560="Movie",IFERROR(VALUE(LEFT(I3560,FIND(" ",I3560)-1)),""),"")</f>
        <v>90</v>
      </c>
      <c r="O3560" s="7" t="str">
        <f aca="false">IF(B3560="TV Show",IFERROR(VALUE(LEFT(I3560,FIND(" ",I3560)-1)),""),"")</f>
        <v/>
      </c>
      <c r="P3560" s="7" t="n">
        <f aca="false">IF(K3560="","",K3560-G3560)</f>
        <v>8</v>
      </c>
    </row>
    <row r="3561" customFormat="false" ht="15" hidden="false" customHeight="false" outlineLevel="0" collapsed="false">
      <c r="A3561" s="7" t="n">
        <v>80135276</v>
      </c>
      <c r="B3561" s="7" t="s">
        <v>68</v>
      </c>
      <c r="C3561" s="7" t="s">
        <v>7463</v>
      </c>
      <c r="D3561" s="7" t="s">
        <v>7464</v>
      </c>
      <c r="E3561" s="7" t="s">
        <v>26</v>
      </c>
      <c r="F3561" s="7" t="s">
        <v>7327</v>
      </c>
      <c r="G3561" s="7" t="n">
        <v>2016</v>
      </c>
      <c r="H3561" s="7" t="s">
        <v>48</v>
      </c>
      <c r="I3561" s="7" t="s">
        <v>524</v>
      </c>
      <c r="J3561" s="7" t="s">
        <v>265</v>
      </c>
      <c r="K3561" s="7" t="n">
        <f aca="false">IFERROR(VALUE(RIGHT(TRIM(F3561),4)),"")</f>
        <v>2020</v>
      </c>
      <c r="L3561" s="7" t="str">
        <f aca="false">IF(TRIM(E3561)="","Unknown",IFERROR(LEFT(TRIM(E3561),FIND(",",TRIM(E3561))-1),TRIM(E3561)))</f>
        <v>United States</v>
      </c>
      <c r="M3561" s="7" t="str">
        <f aca="false">IFERROR(LEFT(J3561,FIND(",",J3561)-1),J3561)</f>
        <v>Horror Movies</v>
      </c>
      <c r="N3561" s="7" t="n">
        <f aca="false">IF(B3561="Movie",IFERROR(VALUE(LEFT(I3561,FIND(" ",I3561)-1)),""),"")</f>
        <v>83</v>
      </c>
      <c r="O3561" s="7" t="str">
        <f aca="false">IF(B3561="TV Show",IFERROR(VALUE(LEFT(I3561,FIND(" ",I3561)-1)),""),"")</f>
        <v/>
      </c>
      <c r="P3561" s="7" t="n">
        <f aca="false">IF(K3561="","",K3561-G3561)</f>
        <v>4</v>
      </c>
    </row>
    <row r="3562" customFormat="false" ht="15" hidden="false" customHeight="false" outlineLevel="0" collapsed="false">
      <c r="A3562" s="7" t="n">
        <v>60035996</v>
      </c>
      <c r="B3562" s="7" t="s">
        <v>68</v>
      </c>
      <c r="C3562" s="7" t="s">
        <v>7465</v>
      </c>
      <c r="D3562" s="7" t="s">
        <v>952</v>
      </c>
      <c r="E3562" s="7" t="s">
        <v>26</v>
      </c>
      <c r="F3562" s="7" t="s">
        <v>7327</v>
      </c>
      <c r="G3562" s="7" t="n">
        <v>1993</v>
      </c>
      <c r="H3562" s="7" t="s">
        <v>51</v>
      </c>
      <c r="I3562" s="7" t="s">
        <v>294</v>
      </c>
      <c r="J3562" s="7" t="s">
        <v>811</v>
      </c>
      <c r="K3562" s="7" t="n">
        <f aca="false">IFERROR(VALUE(RIGHT(TRIM(F3562),4)),"")</f>
        <v>2020</v>
      </c>
      <c r="L3562" s="7" t="str">
        <f aca="false">IF(TRIM(E3562)="","Unknown",IFERROR(LEFT(TRIM(E3562),FIND(",",TRIM(E3562))-1),TRIM(E3562)))</f>
        <v>United States</v>
      </c>
      <c r="M3562" s="7" t="str">
        <f aca="false">IFERROR(LEFT(J3562,FIND(",",J3562)-1),J3562)</f>
        <v>Thrillers</v>
      </c>
      <c r="N3562" s="7" t="n">
        <f aca="false">IF(B3562="Movie",IFERROR(VALUE(LEFT(I3562,FIND(" ",I3562)-1)),""),"")</f>
        <v>107</v>
      </c>
      <c r="O3562" s="7" t="str">
        <f aca="false">IF(B3562="TV Show",IFERROR(VALUE(LEFT(I3562,FIND(" ",I3562)-1)),""),"")</f>
        <v/>
      </c>
      <c r="P3562" s="7" t="n">
        <f aca="false">IF(K3562="","",K3562-G3562)</f>
        <v>27</v>
      </c>
    </row>
    <row r="3563" customFormat="false" ht="15" hidden="false" customHeight="false" outlineLevel="0" collapsed="false">
      <c r="A3563" s="7" t="n">
        <v>60000409</v>
      </c>
      <c r="B3563" s="7" t="s">
        <v>68</v>
      </c>
      <c r="C3563" s="7" t="s">
        <v>7466</v>
      </c>
      <c r="D3563" s="7" t="s">
        <v>7467</v>
      </c>
      <c r="E3563" s="7" t="s">
        <v>26</v>
      </c>
      <c r="F3563" s="7" t="s">
        <v>7327</v>
      </c>
      <c r="G3563" s="7" t="n">
        <v>2000</v>
      </c>
      <c r="H3563" s="7" t="s">
        <v>54</v>
      </c>
      <c r="I3563" s="7" t="s">
        <v>357</v>
      </c>
      <c r="J3563" s="7" t="s">
        <v>74</v>
      </c>
      <c r="K3563" s="7" t="n">
        <f aca="false">IFERROR(VALUE(RIGHT(TRIM(F3563),4)),"")</f>
        <v>2020</v>
      </c>
      <c r="L3563" s="7" t="str">
        <f aca="false">IF(TRIM(E3563)="","Unknown",IFERROR(LEFT(TRIM(E3563),FIND(",",TRIM(E3563))-1),TRIM(E3563)))</f>
        <v>United States</v>
      </c>
      <c r="M3563" s="7" t="str">
        <f aca="false">IFERROR(LEFT(J3563,FIND(",",J3563)-1),J3563)</f>
        <v>Children &amp; Family Movies</v>
      </c>
      <c r="N3563" s="7" t="n">
        <f aca="false">IF(B3563="Movie",IFERROR(VALUE(LEFT(I3563,FIND(" ",I3563)-1)),""),"")</f>
        <v>89</v>
      </c>
      <c r="O3563" s="7" t="str">
        <f aca="false">IF(B3563="TV Show",IFERROR(VALUE(LEFT(I3563,FIND(" ",I3563)-1)),""),"")</f>
        <v/>
      </c>
      <c r="P3563" s="7" t="n">
        <f aca="false">IF(K3563="","",K3563-G3563)</f>
        <v>20</v>
      </c>
    </row>
    <row r="3564" customFormat="false" ht="15" hidden="false" customHeight="false" outlineLevel="0" collapsed="false">
      <c r="A3564" s="7" t="n">
        <v>80201590</v>
      </c>
      <c r="B3564" s="7" t="s">
        <v>78</v>
      </c>
      <c r="C3564" s="7" t="s">
        <v>7468</v>
      </c>
      <c r="F3564" s="7" t="s">
        <v>7327</v>
      </c>
      <c r="G3564" s="7" t="n">
        <v>2020</v>
      </c>
      <c r="H3564" s="7" t="s">
        <v>48</v>
      </c>
      <c r="I3564" s="7" t="s">
        <v>82</v>
      </c>
      <c r="J3564" s="7" t="s">
        <v>2704</v>
      </c>
      <c r="K3564" s="7" t="n">
        <f aca="false">IFERROR(VALUE(RIGHT(TRIM(F3564),4)),"")</f>
        <v>2020</v>
      </c>
      <c r="L3564" s="7" t="str">
        <f aca="false">IF(TRIM(E3564)="","Unknown",IFERROR(LEFT(TRIM(E3564),FIND(",",TRIM(E3564))-1),TRIM(E3564)))</f>
        <v>Unknown</v>
      </c>
      <c r="M3564" s="7" t="str">
        <f aca="false">IFERROR(LEFT(J3564,FIND(",",J3564)-1),J3564)</f>
        <v>TV Dramas</v>
      </c>
      <c r="N3564" s="7" t="str">
        <f aca="false">IF(B3564="Movie",IFERROR(VALUE(LEFT(I3564,FIND(" ",I3564)-1)),""),"")</f>
        <v/>
      </c>
      <c r="O3564" s="7" t="n">
        <f aca="false">IF(B3564="TV Show",IFERROR(VALUE(LEFT(I3564,FIND(" ",I3564)-1)),""),"")</f>
        <v>1</v>
      </c>
      <c r="P3564" s="7" t="n">
        <f aca="false">IF(K3564="","",K3564-G3564)</f>
        <v>0</v>
      </c>
    </row>
    <row r="3565" customFormat="false" ht="15" hidden="false" customHeight="false" outlineLevel="0" collapsed="false">
      <c r="A3565" s="7" t="n">
        <v>60022396</v>
      </c>
      <c r="B3565" s="7" t="s">
        <v>68</v>
      </c>
      <c r="C3565" s="7" t="s">
        <v>7469</v>
      </c>
      <c r="D3565" s="7" t="s">
        <v>7470</v>
      </c>
      <c r="E3565" s="7" t="s">
        <v>7471</v>
      </c>
      <c r="F3565" s="7" t="s">
        <v>7327</v>
      </c>
      <c r="G3565" s="7" t="n">
        <v>1992</v>
      </c>
      <c r="H3565" s="7" t="s">
        <v>54</v>
      </c>
      <c r="I3565" s="7" t="s">
        <v>111</v>
      </c>
      <c r="J3565" s="7" t="s">
        <v>7472</v>
      </c>
      <c r="K3565" s="7" t="n">
        <f aca="false">IFERROR(VALUE(RIGHT(TRIM(F3565),4)),"")</f>
        <v>2020</v>
      </c>
      <c r="L3565" s="7" t="str">
        <f aca="false">IF(TRIM(E3565)="","Unknown",IFERROR(LEFT(TRIM(E3565),FIND(",",TRIM(E3565))-1),TRIM(E3565)))</f>
        <v>Australia</v>
      </c>
      <c r="M3565" s="7" t="str">
        <f aca="false">IFERROR(LEFT(J3565,FIND(",",J3565)-1),J3565)</f>
        <v>Classic Movies</v>
      </c>
      <c r="N3565" s="7" t="n">
        <f aca="false">IF(B3565="Movie",IFERROR(VALUE(LEFT(I3565,FIND(" ",I3565)-1)),""),"")</f>
        <v>95</v>
      </c>
      <c r="O3565" s="7" t="str">
        <f aca="false">IF(B3565="TV Show",IFERROR(VALUE(LEFT(I3565,FIND(" ",I3565)-1)),""),"")</f>
        <v/>
      </c>
      <c r="P3565" s="7" t="n">
        <f aca="false">IF(K3565="","",K3565-G3565)</f>
        <v>28</v>
      </c>
    </row>
    <row r="3566" customFormat="false" ht="15" hidden="false" customHeight="false" outlineLevel="0" collapsed="false">
      <c r="A3566" s="7" t="n">
        <v>28631029</v>
      </c>
      <c r="B3566" s="7" t="s">
        <v>68</v>
      </c>
      <c r="C3566" s="7" t="s">
        <v>7473</v>
      </c>
      <c r="D3566" s="7" t="s">
        <v>6558</v>
      </c>
      <c r="E3566" s="7" t="s">
        <v>2057</v>
      </c>
      <c r="F3566" s="7" t="s">
        <v>7327</v>
      </c>
      <c r="G3566" s="7" t="n">
        <v>1999</v>
      </c>
      <c r="H3566" s="7" t="s">
        <v>54</v>
      </c>
      <c r="I3566" s="7" t="s">
        <v>340</v>
      </c>
      <c r="J3566" s="7" t="s">
        <v>74</v>
      </c>
      <c r="K3566" s="7" t="n">
        <f aca="false">IFERROR(VALUE(RIGHT(TRIM(F3566),4)),"")</f>
        <v>2020</v>
      </c>
      <c r="L3566" s="7" t="str">
        <f aca="false">IF(TRIM(E3566)="","Unknown",IFERROR(LEFT(TRIM(E3566),FIND(",",TRIM(E3566))-1),TRIM(E3566)))</f>
        <v>Germany</v>
      </c>
      <c r="M3566" s="7" t="str">
        <f aca="false">IFERROR(LEFT(J3566,FIND(",",J3566)-1),J3566)</f>
        <v>Children &amp; Family Movies</v>
      </c>
      <c r="N3566" s="7" t="n">
        <f aca="false">IF(B3566="Movie",IFERROR(VALUE(LEFT(I3566,FIND(" ",I3566)-1)),""),"")</f>
        <v>85</v>
      </c>
      <c r="O3566" s="7" t="str">
        <f aca="false">IF(B3566="TV Show",IFERROR(VALUE(LEFT(I3566,FIND(" ",I3566)-1)),""),"")</f>
        <v/>
      </c>
      <c r="P3566" s="7" t="n">
        <f aca="false">IF(K3566="","",K3566-G3566)</f>
        <v>21</v>
      </c>
    </row>
    <row r="3567" customFormat="false" ht="15" hidden="false" customHeight="false" outlineLevel="0" collapsed="false">
      <c r="A3567" s="7" t="n">
        <v>60022058</v>
      </c>
      <c r="B3567" s="7" t="s">
        <v>68</v>
      </c>
      <c r="C3567" s="7" t="s">
        <v>7474</v>
      </c>
      <c r="D3567" s="7" t="s">
        <v>6558</v>
      </c>
      <c r="E3567" s="7" t="s">
        <v>26</v>
      </c>
      <c r="F3567" s="7" t="s">
        <v>7327</v>
      </c>
      <c r="G3567" s="7" t="n">
        <v>2002</v>
      </c>
      <c r="H3567" s="7" t="s">
        <v>54</v>
      </c>
      <c r="I3567" s="7" t="s">
        <v>107</v>
      </c>
      <c r="J3567" s="7" t="s">
        <v>74</v>
      </c>
      <c r="K3567" s="7" t="n">
        <f aca="false">IFERROR(VALUE(RIGHT(TRIM(F3567),4)),"")</f>
        <v>2020</v>
      </c>
      <c r="L3567" s="7" t="str">
        <f aca="false">IF(TRIM(E3567)="","Unknown",IFERROR(LEFT(TRIM(E3567),FIND(",",TRIM(E3567))-1),TRIM(E3567)))</f>
        <v>United States</v>
      </c>
      <c r="M3567" s="7" t="str">
        <f aca="false">IFERROR(LEFT(J3567,FIND(",",J3567)-1),J3567)</f>
        <v>Children &amp; Family Movies</v>
      </c>
      <c r="N3567" s="7" t="n">
        <f aca="false">IF(B3567="Movie",IFERROR(VALUE(LEFT(I3567,FIND(" ",I3567)-1)),""),"")</f>
        <v>78</v>
      </c>
      <c r="O3567" s="7" t="str">
        <f aca="false">IF(B3567="TV Show",IFERROR(VALUE(LEFT(I3567,FIND(" ",I3567)-1)),""),"")</f>
        <v/>
      </c>
      <c r="P3567" s="7" t="n">
        <f aca="false">IF(K3567="","",K3567-G3567)</f>
        <v>18</v>
      </c>
    </row>
    <row r="3568" customFormat="false" ht="15" hidden="false" customHeight="false" outlineLevel="0" collapsed="false">
      <c r="A3568" s="7" t="n">
        <v>70077544</v>
      </c>
      <c r="B3568" s="7" t="s">
        <v>68</v>
      </c>
      <c r="C3568" s="7" t="s">
        <v>7475</v>
      </c>
      <c r="D3568" s="7" t="s">
        <v>7349</v>
      </c>
      <c r="E3568" s="7" t="s">
        <v>293</v>
      </c>
      <c r="F3568" s="7" t="s">
        <v>7327</v>
      </c>
      <c r="G3568" s="7" t="n">
        <v>2007</v>
      </c>
      <c r="H3568" s="7" t="s">
        <v>51</v>
      </c>
      <c r="I3568" s="7" t="s">
        <v>237</v>
      </c>
      <c r="J3568" s="7" t="s">
        <v>7476</v>
      </c>
      <c r="K3568" s="7" t="n">
        <f aca="false">IFERROR(VALUE(RIGHT(TRIM(F3568),4)),"")</f>
        <v>2020</v>
      </c>
      <c r="L3568" s="7" t="str">
        <f aca="false">IF(TRIM(E3568)="","Unknown",IFERROR(LEFT(TRIM(E3568),FIND(",",TRIM(E3568))-1),TRIM(E3568)))</f>
        <v>United States</v>
      </c>
      <c r="M3568" s="7" t="str">
        <f aca="false">IFERROR(LEFT(J3568,FIND(",",J3568)-1),J3568)</f>
        <v>Dramas</v>
      </c>
      <c r="N3568" s="7" t="n">
        <f aca="false">IF(B3568="Movie",IFERROR(VALUE(LEFT(I3568,FIND(" ",I3568)-1)),""),"")</f>
        <v>116</v>
      </c>
      <c r="O3568" s="7" t="str">
        <f aca="false">IF(B3568="TV Show",IFERROR(VALUE(LEFT(I3568,FIND(" ",I3568)-1)),""),"")</f>
        <v/>
      </c>
      <c r="P3568" s="7" t="n">
        <f aca="false">IF(K3568="","",K3568-G3568)</f>
        <v>13</v>
      </c>
    </row>
    <row r="3569" customFormat="false" ht="15" hidden="false" customHeight="false" outlineLevel="0" collapsed="false">
      <c r="A3569" s="7" t="n">
        <v>60023856</v>
      </c>
      <c r="B3569" s="7" t="s">
        <v>68</v>
      </c>
      <c r="C3569" s="7" t="s">
        <v>7477</v>
      </c>
      <c r="D3569" s="7" t="s">
        <v>7478</v>
      </c>
      <c r="E3569" s="7" t="s">
        <v>1100</v>
      </c>
      <c r="F3569" s="7" t="s">
        <v>7327</v>
      </c>
      <c r="G3569" s="7" t="n">
        <v>1991</v>
      </c>
      <c r="H3569" s="7" t="s">
        <v>54</v>
      </c>
      <c r="I3569" s="7" t="s">
        <v>264</v>
      </c>
      <c r="J3569" s="7" t="s">
        <v>74</v>
      </c>
      <c r="K3569" s="7" t="n">
        <f aca="false">IFERROR(VALUE(RIGHT(TRIM(F3569),4)),"")</f>
        <v>2020</v>
      </c>
      <c r="L3569" s="7" t="str">
        <f aca="false">IF(TRIM(E3569)="","Unknown",IFERROR(LEFT(TRIM(E3569),FIND(",",TRIM(E3569))-1),TRIM(E3569)))</f>
        <v>United States</v>
      </c>
      <c r="M3569" s="7" t="str">
        <f aca="false">IFERROR(LEFT(J3569,FIND(",",J3569)-1),J3569)</f>
        <v>Children &amp; Family Movies</v>
      </c>
      <c r="N3569" s="7" t="n">
        <f aca="false">IF(B3569="Movie",IFERROR(VALUE(LEFT(I3569,FIND(" ",I3569)-1)),""),"")</f>
        <v>88</v>
      </c>
      <c r="O3569" s="7" t="str">
        <f aca="false">IF(B3569="TV Show",IFERROR(VALUE(LEFT(I3569,FIND(" ",I3569)-1)),""),"")</f>
        <v/>
      </c>
      <c r="P3569" s="7" t="n">
        <f aca="false">IF(K3569="","",K3569-G3569)</f>
        <v>29</v>
      </c>
    </row>
    <row r="3570" customFormat="false" ht="15" hidden="false" customHeight="false" outlineLevel="0" collapsed="false">
      <c r="A3570" s="7" t="n">
        <v>1029730</v>
      </c>
      <c r="B3570" s="7" t="s">
        <v>68</v>
      </c>
      <c r="C3570" s="7" t="s">
        <v>7479</v>
      </c>
      <c r="D3570" s="7" t="s">
        <v>7480</v>
      </c>
      <c r="F3570" s="7" t="s">
        <v>7327</v>
      </c>
      <c r="G3570" s="7" t="n">
        <v>1990</v>
      </c>
      <c r="H3570" s="7" t="s">
        <v>54</v>
      </c>
      <c r="I3570" s="7" t="s">
        <v>77</v>
      </c>
      <c r="J3570" s="7" t="s">
        <v>967</v>
      </c>
      <c r="K3570" s="7" t="n">
        <f aca="false">IFERROR(VALUE(RIGHT(TRIM(F3570),4)),"")</f>
        <v>2020</v>
      </c>
      <c r="L3570" s="7" t="str">
        <f aca="false">IF(TRIM(E3570)="","Unknown",IFERROR(LEFT(TRIM(E3570),FIND(",",TRIM(E3570))-1),TRIM(E3570)))</f>
        <v>Unknown</v>
      </c>
      <c r="M3570" s="7" t="str">
        <f aca="false">IFERROR(LEFT(J3570,FIND(",",J3570)-1),J3570)</f>
        <v>Action &amp; Adventure</v>
      </c>
      <c r="N3570" s="7" t="n">
        <f aca="false">IF(B3570="Movie",IFERROR(VALUE(LEFT(I3570,FIND(" ",I3570)-1)),""),"")</f>
        <v>94</v>
      </c>
      <c r="O3570" s="7" t="str">
        <f aca="false">IF(B3570="TV Show",IFERROR(VALUE(LEFT(I3570,FIND(" ",I3570)-1)),""),"")</f>
        <v/>
      </c>
      <c r="P3570" s="7" t="n">
        <f aca="false">IF(K3570="","",K3570-G3570)</f>
        <v>30</v>
      </c>
    </row>
    <row r="3571" customFormat="false" ht="15" hidden="false" customHeight="false" outlineLevel="0" collapsed="false">
      <c r="A3571" s="7" t="n">
        <v>60029154</v>
      </c>
      <c r="B3571" s="7" t="s">
        <v>68</v>
      </c>
      <c r="C3571" s="7" t="s">
        <v>7481</v>
      </c>
      <c r="D3571" s="7" t="s">
        <v>1494</v>
      </c>
      <c r="E3571" s="7" t="s">
        <v>7482</v>
      </c>
      <c r="F3571" s="7" t="s">
        <v>7327</v>
      </c>
      <c r="G3571" s="7" t="n">
        <v>2003</v>
      </c>
      <c r="H3571" s="7" t="s">
        <v>51</v>
      </c>
      <c r="I3571" s="7" t="s">
        <v>790</v>
      </c>
      <c r="J3571" s="7" t="s">
        <v>276</v>
      </c>
      <c r="K3571" s="7" t="n">
        <f aca="false">IFERROR(VALUE(RIGHT(TRIM(F3571),4)),"")</f>
        <v>2020</v>
      </c>
      <c r="L3571" s="7" t="str">
        <f aca="false">IF(TRIM(E3571)="","Unknown",IFERROR(LEFT(TRIM(E3571),FIND(",",TRIM(E3571))-1),TRIM(E3571)))</f>
        <v>United States</v>
      </c>
      <c r="M3571" s="7" t="str">
        <f aca="false">IFERROR(LEFT(J3571,FIND(",",J3571)-1),J3571)</f>
        <v>Action &amp; Adventure</v>
      </c>
      <c r="N3571" s="7" t="n">
        <f aca="false">IF(B3571="Movie",IFERROR(VALUE(LEFT(I3571,FIND(" ",I3571)-1)),""),"")</f>
        <v>109</v>
      </c>
      <c r="O3571" s="7" t="str">
        <f aca="false">IF(B3571="TV Show",IFERROR(VALUE(LEFT(I3571,FIND(" ",I3571)-1)),""),"")</f>
        <v/>
      </c>
      <c r="P3571" s="7" t="n">
        <f aca="false">IF(K3571="","",K3571-G3571)</f>
        <v>17</v>
      </c>
    </row>
    <row r="3572" customFormat="false" ht="15" hidden="false" customHeight="false" outlineLevel="0" collapsed="false">
      <c r="A3572" s="7" t="n">
        <v>70103524</v>
      </c>
      <c r="B3572" s="7" t="s">
        <v>68</v>
      </c>
      <c r="C3572" s="7" t="s">
        <v>7483</v>
      </c>
      <c r="D3572" s="7" t="s">
        <v>1894</v>
      </c>
      <c r="E3572" s="7" t="s">
        <v>7484</v>
      </c>
      <c r="F3572" s="7" t="s">
        <v>7327</v>
      </c>
      <c r="G3572" s="7" t="n">
        <v>2009</v>
      </c>
      <c r="H3572" s="7" t="s">
        <v>52</v>
      </c>
      <c r="I3572" s="7" t="s">
        <v>1405</v>
      </c>
      <c r="J3572" s="7" t="s">
        <v>276</v>
      </c>
      <c r="K3572" s="7" t="n">
        <f aca="false">IFERROR(VALUE(RIGHT(TRIM(F3572),4)),"")</f>
        <v>2020</v>
      </c>
      <c r="L3572" s="7" t="str">
        <f aca="false">IF(TRIM(E3572)="","Unknown",IFERROR(LEFT(TRIM(E3572),FIND(",",TRIM(E3572))-1),TRIM(E3572)))</f>
        <v>United States</v>
      </c>
      <c r="M3572" s="7" t="str">
        <f aca="false">IFERROR(LEFT(J3572,FIND(",",J3572)-1),J3572)</f>
        <v>Action &amp; Adventure</v>
      </c>
      <c r="N3572" s="7" t="n">
        <f aca="false">IF(B3572="Movie",IFERROR(VALUE(LEFT(I3572,FIND(" ",I3572)-1)),""),"")</f>
        <v>115</v>
      </c>
      <c r="O3572" s="7" t="str">
        <f aca="false">IF(B3572="TV Show",IFERROR(VALUE(LEFT(I3572,FIND(" ",I3572)-1)),""),"")</f>
        <v/>
      </c>
      <c r="P3572" s="7" t="n">
        <f aca="false">IF(K3572="","",K3572-G3572)</f>
        <v>11</v>
      </c>
    </row>
    <row r="3573" customFormat="false" ht="15" hidden="false" customHeight="false" outlineLevel="0" collapsed="false">
      <c r="A3573" s="7" t="n">
        <v>70021631</v>
      </c>
      <c r="B3573" s="7" t="s">
        <v>68</v>
      </c>
      <c r="C3573" s="7" t="s">
        <v>7485</v>
      </c>
      <c r="D3573" s="7" t="s">
        <v>7486</v>
      </c>
      <c r="E3573" s="7" t="s">
        <v>26</v>
      </c>
      <c r="F3573" s="7" t="s">
        <v>7327</v>
      </c>
      <c r="G3573" s="7" t="n">
        <v>2005</v>
      </c>
      <c r="H3573" s="7" t="s">
        <v>51</v>
      </c>
      <c r="I3573" s="7" t="s">
        <v>357</v>
      </c>
      <c r="J3573" s="7" t="s">
        <v>265</v>
      </c>
      <c r="K3573" s="7" t="n">
        <f aca="false">IFERROR(VALUE(RIGHT(TRIM(F3573),4)),"")</f>
        <v>2020</v>
      </c>
      <c r="L3573" s="7" t="str">
        <f aca="false">IF(TRIM(E3573)="","Unknown",IFERROR(LEFT(TRIM(E3573),FIND(",",TRIM(E3573))-1),TRIM(E3573)))</f>
        <v>United States</v>
      </c>
      <c r="M3573" s="7" t="str">
        <f aca="false">IFERROR(LEFT(J3573,FIND(",",J3573)-1),J3573)</f>
        <v>Horror Movies</v>
      </c>
      <c r="N3573" s="7" t="n">
        <f aca="false">IF(B3573="Movie",IFERROR(VALUE(LEFT(I3573,FIND(" ",I3573)-1)),""),"")</f>
        <v>89</v>
      </c>
      <c r="O3573" s="7" t="str">
        <f aca="false">IF(B3573="TV Show",IFERROR(VALUE(LEFT(I3573,FIND(" ",I3573)-1)),""),"")</f>
        <v/>
      </c>
      <c r="P3573" s="7" t="n">
        <f aca="false">IF(K3573="","",K3573-G3573)</f>
        <v>15</v>
      </c>
    </row>
    <row r="3574" customFormat="false" ht="15" hidden="false" customHeight="false" outlineLevel="0" collapsed="false">
      <c r="A3574" s="7" t="n">
        <v>81012487</v>
      </c>
      <c r="B3574" s="7" t="s">
        <v>78</v>
      </c>
      <c r="C3574" s="7" t="s">
        <v>7487</v>
      </c>
      <c r="F3574" s="7" t="s">
        <v>7327</v>
      </c>
      <c r="G3574" s="7" t="n">
        <v>2017</v>
      </c>
      <c r="H3574" s="7" t="s">
        <v>49</v>
      </c>
      <c r="I3574" s="7" t="s">
        <v>82</v>
      </c>
      <c r="J3574" s="7" t="s">
        <v>637</v>
      </c>
      <c r="K3574" s="7" t="n">
        <f aca="false">IFERROR(VALUE(RIGHT(TRIM(F3574),4)),"")</f>
        <v>2020</v>
      </c>
      <c r="L3574" s="7" t="str">
        <f aca="false">IF(TRIM(E3574)="","Unknown",IFERROR(LEFT(TRIM(E3574),FIND(",",TRIM(E3574))-1),TRIM(E3574)))</f>
        <v>Unknown</v>
      </c>
      <c r="M3574" s="7" t="str">
        <f aca="false">IFERROR(LEFT(J3574,FIND(",",J3574)-1),J3574)</f>
        <v>International TV Shows</v>
      </c>
      <c r="N3574" s="7" t="str">
        <f aca="false">IF(B3574="Movie",IFERROR(VALUE(LEFT(I3574,FIND(" ",I3574)-1)),""),"")</f>
        <v/>
      </c>
      <c r="O3574" s="7" t="n">
        <f aca="false">IF(B3574="TV Show",IFERROR(VALUE(LEFT(I3574,FIND(" ",I3574)-1)),""),"")</f>
        <v>1</v>
      </c>
      <c r="P3574" s="7" t="n">
        <f aca="false">IF(K3574="","",K3574-G3574)</f>
        <v>3</v>
      </c>
    </row>
    <row r="3575" customFormat="false" ht="15" hidden="false" customHeight="false" outlineLevel="0" collapsed="false">
      <c r="A3575" s="7" t="n">
        <v>81044551</v>
      </c>
      <c r="B3575" s="7" t="s">
        <v>78</v>
      </c>
      <c r="C3575" s="7" t="s">
        <v>7488</v>
      </c>
      <c r="F3575" s="7" t="s">
        <v>7327</v>
      </c>
      <c r="G3575" s="7" t="n">
        <v>2020</v>
      </c>
      <c r="H3575" s="7" t="s">
        <v>48</v>
      </c>
      <c r="I3575" s="7" t="s">
        <v>82</v>
      </c>
      <c r="J3575" s="7" t="s">
        <v>701</v>
      </c>
      <c r="K3575" s="7" t="n">
        <f aca="false">IFERROR(VALUE(RIGHT(TRIM(F3575),4)),"")</f>
        <v>2020</v>
      </c>
      <c r="L3575" s="7" t="str">
        <f aca="false">IF(TRIM(E3575)="","Unknown",IFERROR(LEFT(TRIM(E3575),FIND(",",TRIM(E3575))-1),TRIM(E3575)))</f>
        <v>Unknown</v>
      </c>
      <c r="M3575" s="7" t="str">
        <f aca="false">IFERROR(LEFT(J3575,FIND(",",J3575)-1),J3575)</f>
        <v>Reality TV</v>
      </c>
      <c r="N3575" s="7" t="str">
        <f aca="false">IF(B3575="Movie",IFERROR(VALUE(LEFT(I3575,FIND(" ",I3575)-1)),""),"")</f>
        <v/>
      </c>
      <c r="O3575" s="7" t="n">
        <f aca="false">IF(B3575="TV Show",IFERROR(VALUE(LEFT(I3575,FIND(" ",I3575)-1)),""),"")</f>
        <v>1</v>
      </c>
      <c r="P3575" s="7" t="n">
        <f aca="false">IF(K3575="","",K3575-G3575)</f>
        <v>0</v>
      </c>
    </row>
    <row r="3576" customFormat="false" ht="15" hidden="false" customHeight="false" outlineLevel="0" collapsed="false">
      <c r="A3576" s="7" t="n">
        <v>404067</v>
      </c>
      <c r="B3576" s="7" t="s">
        <v>68</v>
      </c>
      <c r="C3576" s="7" t="s">
        <v>7489</v>
      </c>
      <c r="D3576" s="7" t="s">
        <v>6560</v>
      </c>
      <c r="E3576" s="7" t="s">
        <v>26</v>
      </c>
      <c r="F3576" s="7" t="s">
        <v>7327</v>
      </c>
      <c r="G3576" s="7" t="n">
        <v>1996</v>
      </c>
      <c r="H3576" s="7" t="s">
        <v>51</v>
      </c>
      <c r="I3576" s="7" t="s">
        <v>512</v>
      </c>
      <c r="J3576" s="7" t="s">
        <v>147</v>
      </c>
      <c r="K3576" s="7" t="n">
        <f aca="false">IFERROR(VALUE(RIGHT(TRIM(F3576),4)),"")</f>
        <v>2020</v>
      </c>
      <c r="L3576" s="7" t="str">
        <f aca="false">IF(TRIM(E3576)="","Unknown",IFERROR(LEFT(TRIM(E3576),FIND(",",TRIM(E3576))-1),TRIM(E3576)))</f>
        <v>United States</v>
      </c>
      <c r="M3576" s="7" t="str">
        <f aca="false">IFERROR(LEFT(J3576,FIND(",",J3576)-1),J3576)</f>
        <v>Horror Movies</v>
      </c>
      <c r="N3576" s="7" t="n">
        <f aca="false">IF(B3576="Movie",IFERROR(VALUE(LEFT(I3576,FIND(" ",I3576)-1)),""),"")</f>
        <v>101</v>
      </c>
      <c r="O3576" s="7" t="str">
        <f aca="false">IF(B3576="TV Show",IFERROR(VALUE(LEFT(I3576,FIND(" ",I3576)-1)),""),"")</f>
        <v/>
      </c>
      <c r="P3576" s="7" t="n">
        <f aca="false">IF(K3576="","",K3576-G3576)</f>
        <v>24</v>
      </c>
    </row>
    <row r="3577" customFormat="false" ht="15" hidden="false" customHeight="false" outlineLevel="0" collapsed="false">
      <c r="A3577" s="7" t="n">
        <v>70020296</v>
      </c>
      <c r="B3577" s="7" t="s">
        <v>68</v>
      </c>
      <c r="C3577" s="7" t="s">
        <v>7490</v>
      </c>
      <c r="D3577" s="7" t="s">
        <v>3276</v>
      </c>
      <c r="E3577" s="7" t="s">
        <v>4779</v>
      </c>
      <c r="F3577" s="7" t="s">
        <v>7327</v>
      </c>
      <c r="G3577" s="7" t="n">
        <v>1992</v>
      </c>
      <c r="H3577" s="7" t="s">
        <v>51</v>
      </c>
      <c r="I3577" s="7" t="s">
        <v>168</v>
      </c>
      <c r="J3577" s="7" t="s">
        <v>7491</v>
      </c>
      <c r="K3577" s="7" t="n">
        <f aca="false">IFERROR(VALUE(RIGHT(TRIM(F3577),4)),"")</f>
        <v>2020</v>
      </c>
      <c r="L3577" s="7" t="str">
        <f aca="false">IF(TRIM(E3577)="","Unknown",IFERROR(LEFT(TRIM(E3577),FIND(",",TRIM(E3577))-1),TRIM(E3577)))</f>
        <v>United Kingdom</v>
      </c>
      <c r="M3577" s="7" t="str">
        <f aca="false">IFERROR(LEFT(J3577,FIND(",",J3577)-1),J3577)</f>
        <v>Classic Movies</v>
      </c>
      <c r="N3577" s="7" t="n">
        <f aca="false">IF(B3577="Movie",IFERROR(VALUE(LEFT(I3577,FIND(" ",I3577)-1)),""),"")</f>
        <v>112</v>
      </c>
      <c r="O3577" s="7" t="str">
        <f aca="false">IF(B3577="TV Show",IFERROR(VALUE(LEFT(I3577,FIND(" ",I3577)-1)),""),"")</f>
        <v/>
      </c>
      <c r="P3577" s="7" t="n">
        <f aca="false">IF(K3577="","",K3577-G3577)</f>
        <v>28</v>
      </c>
    </row>
    <row r="3578" customFormat="false" ht="15" hidden="false" customHeight="false" outlineLevel="0" collapsed="false">
      <c r="A3578" s="7" t="n">
        <v>70021652</v>
      </c>
      <c r="B3578" s="7" t="s">
        <v>68</v>
      </c>
      <c r="C3578" s="7" t="s">
        <v>7492</v>
      </c>
      <c r="D3578" s="7" t="s">
        <v>7493</v>
      </c>
      <c r="E3578" s="7" t="s">
        <v>26</v>
      </c>
      <c r="F3578" s="7" t="s">
        <v>7327</v>
      </c>
      <c r="G3578" s="7" t="n">
        <v>2005</v>
      </c>
      <c r="H3578" s="7" t="s">
        <v>52</v>
      </c>
      <c r="I3578" s="7" t="s">
        <v>417</v>
      </c>
      <c r="J3578" s="7" t="s">
        <v>967</v>
      </c>
      <c r="K3578" s="7" t="n">
        <f aca="false">IFERROR(VALUE(RIGHT(TRIM(F3578),4)),"")</f>
        <v>2020</v>
      </c>
      <c r="L3578" s="7" t="str">
        <f aca="false">IF(TRIM(E3578)="","Unknown",IFERROR(LEFT(TRIM(E3578),FIND(",",TRIM(E3578))-1),TRIM(E3578)))</f>
        <v>United States</v>
      </c>
      <c r="M3578" s="7" t="str">
        <f aca="false">IFERROR(LEFT(J3578,FIND(",",J3578)-1),J3578)</f>
        <v>Action &amp; Adventure</v>
      </c>
      <c r="N3578" s="7" t="n">
        <f aca="false">IF(B3578="Movie",IFERROR(VALUE(LEFT(I3578,FIND(" ",I3578)-1)),""),"")</f>
        <v>104</v>
      </c>
      <c r="O3578" s="7" t="str">
        <f aca="false">IF(B3578="TV Show",IFERROR(VALUE(LEFT(I3578,FIND(" ",I3578)-1)),""),"")</f>
        <v/>
      </c>
      <c r="P3578" s="7" t="n">
        <f aca="false">IF(K3578="","",K3578-G3578)</f>
        <v>15</v>
      </c>
    </row>
    <row r="3579" customFormat="false" ht="15" hidden="false" customHeight="false" outlineLevel="0" collapsed="false">
      <c r="A3579" s="7" t="n">
        <v>70061763</v>
      </c>
      <c r="B3579" s="7" t="s">
        <v>68</v>
      </c>
      <c r="C3579" s="7" t="s">
        <v>7494</v>
      </c>
      <c r="D3579" s="7" t="s">
        <v>7495</v>
      </c>
      <c r="E3579" s="7" t="s">
        <v>26</v>
      </c>
      <c r="F3579" s="7" t="s">
        <v>7327</v>
      </c>
      <c r="G3579" s="7" t="n">
        <v>2007</v>
      </c>
      <c r="H3579" s="7" t="s">
        <v>51</v>
      </c>
      <c r="I3579" s="7" t="s">
        <v>111</v>
      </c>
      <c r="J3579" s="7" t="s">
        <v>967</v>
      </c>
      <c r="K3579" s="7" t="n">
        <f aca="false">IFERROR(VALUE(RIGHT(TRIM(F3579),4)),"")</f>
        <v>2020</v>
      </c>
      <c r="L3579" s="7" t="str">
        <f aca="false">IF(TRIM(E3579)="","Unknown",IFERROR(LEFT(TRIM(E3579),FIND(",",TRIM(E3579))-1),TRIM(E3579)))</f>
        <v>United States</v>
      </c>
      <c r="M3579" s="7" t="str">
        <f aca="false">IFERROR(LEFT(J3579,FIND(",",J3579)-1),J3579)</f>
        <v>Action &amp; Adventure</v>
      </c>
      <c r="N3579" s="7" t="n">
        <f aca="false">IF(B3579="Movie",IFERROR(VALUE(LEFT(I3579,FIND(" ",I3579)-1)),""),"")</f>
        <v>95</v>
      </c>
      <c r="O3579" s="7" t="str">
        <f aca="false">IF(B3579="TV Show",IFERROR(VALUE(LEFT(I3579,FIND(" ",I3579)-1)),""),"")</f>
        <v/>
      </c>
      <c r="P3579" s="7" t="n">
        <f aca="false">IF(K3579="","",K3579-G3579)</f>
        <v>13</v>
      </c>
    </row>
    <row r="3580" customFormat="false" ht="15" hidden="false" customHeight="false" outlineLevel="0" collapsed="false">
      <c r="A3580" s="7" t="n">
        <v>70113006</v>
      </c>
      <c r="B3580" s="7" t="s">
        <v>68</v>
      </c>
      <c r="C3580" s="7" t="s">
        <v>7496</v>
      </c>
      <c r="D3580" s="7" t="s">
        <v>2861</v>
      </c>
      <c r="E3580" s="7" t="s">
        <v>26</v>
      </c>
      <c r="F3580" s="7" t="s">
        <v>7327</v>
      </c>
      <c r="G3580" s="7" t="n">
        <v>2009</v>
      </c>
      <c r="H3580" s="7" t="s">
        <v>51</v>
      </c>
      <c r="I3580" s="7" t="s">
        <v>437</v>
      </c>
      <c r="J3580" s="7" t="s">
        <v>265</v>
      </c>
      <c r="K3580" s="7" t="n">
        <f aca="false">IFERROR(VALUE(RIGHT(TRIM(F3580),4)),"")</f>
        <v>2020</v>
      </c>
      <c r="L3580" s="7" t="str">
        <f aca="false">IF(TRIM(E3580)="","Unknown",IFERROR(LEFT(TRIM(E3580),FIND(",",TRIM(E3580))-1),TRIM(E3580)))</f>
        <v>United States</v>
      </c>
      <c r="M3580" s="7" t="str">
        <f aca="false">IFERROR(LEFT(J3580,FIND(",",J3580)-1),J3580)</f>
        <v>Horror Movies</v>
      </c>
      <c r="N3580" s="7" t="n">
        <f aca="false">IF(B3580="Movie",IFERROR(VALUE(LEFT(I3580,FIND(" ",I3580)-1)),""),"")</f>
        <v>82</v>
      </c>
      <c r="O3580" s="7" t="str">
        <f aca="false">IF(B3580="TV Show",IFERROR(VALUE(LEFT(I3580,FIND(" ",I3580)-1)),""),"")</f>
        <v/>
      </c>
      <c r="P3580" s="7" t="n">
        <f aca="false">IF(K3580="","",K3580-G3580)</f>
        <v>11</v>
      </c>
    </row>
    <row r="3581" customFormat="false" ht="15" hidden="false" customHeight="false" outlineLevel="0" collapsed="false">
      <c r="A3581" s="7" t="n">
        <v>70105370</v>
      </c>
      <c r="B3581" s="7" t="s">
        <v>68</v>
      </c>
      <c r="C3581" s="7" t="s">
        <v>7497</v>
      </c>
      <c r="D3581" s="7" t="s">
        <v>7498</v>
      </c>
      <c r="E3581" s="7" t="s">
        <v>26</v>
      </c>
      <c r="F3581" s="7" t="s">
        <v>7327</v>
      </c>
      <c r="G3581" s="7" t="n">
        <v>2009</v>
      </c>
      <c r="H3581" s="7" t="s">
        <v>52</v>
      </c>
      <c r="I3581" s="7" t="s">
        <v>87</v>
      </c>
      <c r="J3581" s="7" t="s">
        <v>177</v>
      </c>
      <c r="K3581" s="7" t="n">
        <f aca="false">IFERROR(VALUE(RIGHT(TRIM(F3581),4)),"")</f>
        <v>2020</v>
      </c>
      <c r="L3581" s="7" t="str">
        <f aca="false">IF(TRIM(E3581)="","Unknown",IFERROR(LEFT(TRIM(E3581),FIND(",",TRIM(E3581))-1),TRIM(E3581)))</f>
        <v>United States</v>
      </c>
      <c r="M3581" s="7" t="str">
        <f aca="false">IFERROR(LEFT(J3581,FIND(",",J3581)-1),J3581)</f>
        <v>Comedies</v>
      </c>
      <c r="N3581" s="7" t="n">
        <f aca="false">IF(B3581="Movie",IFERROR(VALUE(LEFT(I3581,FIND(" ",I3581)-1)),""),"")</f>
        <v>99</v>
      </c>
      <c r="O3581" s="7" t="str">
        <f aca="false">IF(B3581="TV Show",IFERROR(VALUE(LEFT(I3581,FIND(" ",I3581)-1)),""),"")</f>
        <v/>
      </c>
      <c r="P3581" s="7" t="n">
        <f aca="false">IF(K3581="","",K3581-G3581)</f>
        <v>11</v>
      </c>
    </row>
    <row r="3582" customFormat="false" ht="15" hidden="false" customHeight="false" outlineLevel="0" collapsed="false">
      <c r="A3582" s="7" t="n">
        <v>60004484</v>
      </c>
      <c r="B3582" s="7" t="s">
        <v>68</v>
      </c>
      <c r="C3582" s="7" t="s">
        <v>7499</v>
      </c>
      <c r="D3582" s="7" t="s">
        <v>7500</v>
      </c>
      <c r="E3582" s="7" t="s">
        <v>7501</v>
      </c>
      <c r="F3582" s="7" t="s">
        <v>7327</v>
      </c>
      <c r="G3582" s="7" t="n">
        <v>2003</v>
      </c>
      <c r="H3582" s="7" t="s">
        <v>52</v>
      </c>
      <c r="I3582" s="7" t="s">
        <v>7502</v>
      </c>
      <c r="J3582" s="7" t="s">
        <v>276</v>
      </c>
      <c r="K3582" s="7" t="n">
        <f aca="false">IFERROR(VALUE(RIGHT(TRIM(F3582),4)),"")</f>
        <v>2020</v>
      </c>
      <c r="L3582" s="7" t="str">
        <f aca="false">IF(TRIM(E3582)="","Unknown",IFERROR(LEFT(TRIM(E3582),FIND(",",TRIM(E3582))-1),TRIM(E3582)))</f>
        <v>New Zealand</v>
      </c>
      <c r="M3582" s="7" t="str">
        <f aca="false">IFERROR(LEFT(J3582,FIND(",",J3582)-1),J3582)</f>
        <v>Action &amp; Adventure</v>
      </c>
      <c r="N3582" s="7" t="n">
        <f aca="false">IF(B3582="Movie",IFERROR(VALUE(LEFT(I3582,FIND(" ",I3582)-1)),""),"")</f>
        <v>201</v>
      </c>
      <c r="O3582" s="7" t="str">
        <f aca="false">IF(B3582="TV Show",IFERROR(VALUE(LEFT(I3582,FIND(" ",I3582)-1)),""),"")</f>
        <v/>
      </c>
      <c r="P3582" s="7" t="n">
        <f aca="false">IF(K3582="","",K3582-G3582)</f>
        <v>17</v>
      </c>
    </row>
    <row r="3583" customFormat="false" ht="15" hidden="false" customHeight="false" outlineLevel="0" collapsed="false">
      <c r="A3583" s="7" t="n">
        <v>60004483</v>
      </c>
      <c r="B3583" s="7" t="s">
        <v>68</v>
      </c>
      <c r="C3583" s="7" t="s">
        <v>7503</v>
      </c>
      <c r="D3583" s="7" t="s">
        <v>7500</v>
      </c>
      <c r="E3583" s="7" t="s">
        <v>7501</v>
      </c>
      <c r="F3583" s="7" t="s">
        <v>7327</v>
      </c>
      <c r="G3583" s="7" t="n">
        <v>2002</v>
      </c>
      <c r="H3583" s="7" t="s">
        <v>52</v>
      </c>
      <c r="I3583" s="7" t="s">
        <v>7504</v>
      </c>
      <c r="J3583" s="7" t="s">
        <v>276</v>
      </c>
      <c r="K3583" s="7" t="n">
        <f aca="false">IFERROR(VALUE(RIGHT(TRIM(F3583),4)),"")</f>
        <v>2020</v>
      </c>
      <c r="L3583" s="7" t="str">
        <f aca="false">IF(TRIM(E3583)="","Unknown",IFERROR(LEFT(TRIM(E3583),FIND(",",TRIM(E3583))-1),TRIM(E3583)))</f>
        <v>New Zealand</v>
      </c>
      <c r="M3583" s="7" t="str">
        <f aca="false">IFERROR(LEFT(J3583,FIND(",",J3583)-1),J3583)</f>
        <v>Action &amp; Adventure</v>
      </c>
      <c r="N3583" s="7" t="n">
        <f aca="false">IF(B3583="Movie",IFERROR(VALUE(LEFT(I3583,FIND(" ",I3583)-1)),""),"")</f>
        <v>179</v>
      </c>
      <c r="O3583" s="7" t="str">
        <f aca="false">IF(B3583="TV Show",IFERROR(VALUE(LEFT(I3583,FIND(" ",I3583)-1)),""),"")</f>
        <v/>
      </c>
      <c r="P3583" s="7" t="n">
        <f aca="false">IF(K3583="","",K3583-G3583)</f>
        <v>18</v>
      </c>
    </row>
    <row r="3584" customFormat="false" ht="15" hidden="false" customHeight="false" outlineLevel="0" collapsed="false">
      <c r="A3584" s="7" t="n">
        <v>5670479</v>
      </c>
      <c r="B3584" s="7" t="s">
        <v>68</v>
      </c>
      <c r="C3584" s="7" t="s">
        <v>7505</v>
      </c>
      <c r="D3584" s="7" t="s">
        <v>7506</v>
      </c>
      <c r="E3584" s="7" t="s">
        <v>7507</v>
      </c>
      <c r="F3584" s="7" t="s">
        <v>7327</v>
      </c>
      <c r="G3584" s="7" t="n">
        <v>1998</v>
      </c>
      <c r="H3584" s="7" t="s">
        <v>52</v>
      </c>
      <c r="I3584" s="7" t="s">
        <v>919</v>
      </c>
      <c r="J3584" s="7" t="s">
        <v>953</v>
      </c>
      <c r="K3584" s="7" t="n">
        <f aca="false">IFERROR(VALUE(RIGHT(TRIM(F3584),4)),"")</f>
        <v>2020</v>
      </c>
      <c r="L3584" s="7" t="str">
        <f aca="false">IF(TRIM(E3584)="","Unknown",IFERROR(LEFT(TRIM(E3584),FIND(",",TRIM(E3584))-1),TRIM(E3584)))</f>
        <v>United States</v>
      </c>
      <c r="M3584" s="7" t="str">
        <f aca="false">IFERROR(LEFT(J3584,FIND(",",J3584)-1),J3584)</f>
        <v>Action &amp; Adventure</v>
      </c>
      <c r="N3584" s="7" t="n">
        <f aca="false">IF(B3584="Movie",IFERROR(VALUE(LEFT(I3584,FIND(" ",I3584)-1)),""),"")</f>
        <v>138</v>
      </c>
      <c r="O3584" s="7" t="str">
        <f aca="false">IF(B3584="TV Show",IFERROR(VALUE(LEFT(I3584,FIND(" ",I3584)-1)),""),"")</f>
        <v/>
      </c>
      <c r="P3584" s="7" t="n">
        <f aca="false">IF(K3584="","",K3584-G3584)</f>
        <v>22</v>
      </c>
    </row>
    <row r="3585" customFormat="false" ht="15" hidden="false" customHeight="false" outlineLevel="0" collapsed="false">
      <c r="A3585" s="7" t="n">
        <v>60001808</v>
      </c>
      <c r="B3585" s="7" t="s">
        <v>68</v>
      </c>
      <c r="C3585" s="7" t="s">
        <v>7508</v>
      </c>
      <c r="D3585" s="7" t="s">
        <v>3331</v>
      </c>
      <c r="F3585" s="7" t="s">
        <v>7327</v>
      </c>
      <c r="G3585" s="7" t="n">
        <v>1991</v>
      </c>
      <c r="H3585" s="7" t="s">
        <v>52</v>
      </c>
      <c r="I3585" s="7" t="s">
        <v>340</v>
      </c>
      <c r="J3585" s="7" t="s">
        <v>38</v>
      </c>
      <c r="K3585" s="7" t="n">
        <f aca="false">IFERROR(VALUE(RIGHT(TRIM(F3585),4)),"")</f>
        <v>2020</v>
      </c>
      <c r="L3585" s="7" t="str">
        <f aca="false">IF(TRIM(E3585)="","Unknown",IFERROR(LEFT(TRIM(E3585),FIND(",",TRIM(E3585))-1),TRIM(E3585)))</f>
        <v>Unknown</v>
      </c>
      <c r="M3585" s="7" t="str">
        <f aca="false">IFERROR(LEFT(J3585,FIND(",",J3585)-1),J3585)</f>
        <v>Comedies</v>
      </c>
      <c r="N3585" s="7" t="n">
        <f aca="false">IF(B3585="Movie",IFERROR(VALUE(LEFT(I3585,FIND(" ",I3585)-1)),""),"")</f>
        <v>85</v>
      </c>
      <c r="O3585" s="7" t="str">
        <f aca="false">IF(B3585="TV Show",IFERROR(VALUE(LEFT(I3585,FIND(" ",I3585)-1)),""),"")</f>
        <v/>
      </c>
      <c r="P3585" s="7" t="n">
        <f aca="false">IF(K3585="","",K3585-G3585)</f>
        <v>29</v>
      </c>
    </row>
    <row r="3586" customFormat="false" ht="15" hidden="false" customHeight="false" outlineLevel="0" collapsed="false">
      <c r="A3586" s="7" t="n">
        <v>60001807</v>
      </c>
      <c r="B3586" s="7" t="s">
        <v>68</v>
      </c>
      <c r="C3586" s="7" t="s">
        <v>7509</v>
      </c>
      <c r="D3586" s="7" t="s">
        <v>3331</v>
      </c>
      <c r="E3586" s="7" t="s">
        <v>26</v>
      </c>
      <c r="F3586" s="7" t="s">
        <v>7327</v>
      </c>
      <c r="G3586" s="7" t="n">
        <v>1988</v>
      </c>
      <c r="H3586" s="7" t="s">
        <v>52</v>
      </c>
      <c r="I3586" s="7" t="s">
        <v>340</v>
      </c>
      <c r="J3586" s="7" t="s">
        <v>941</v>
      </c>
      <c r="K3586" s="7" t="n">
        <f aca="false">IFERROR(VALUE(RIGHT(TRIM(F3586),4)),"")</f>
        <v>2020</v>
      </c>
      <c r="L3586" s="7" t="str">
        <f aca="false">IF(TRIM(E3586)="","Unknown",IFERROR(LEFT(TRIM(E3586),FIND(",",TRIM(E3586))-1),TRIM(E3586)))</f>
        <v>United States</v>
      </c>
      <c r="M3586" s="7" t="str">
        <f aca="false">IFERROR(LEFT(J3586,FIND(",",J3586)-1),J3586)</f>
        <v>Comedies</v>
      </c>
      <c r="N3586" s="7" t="n">
        <f aca="false">IF(B3586="Movie",IFERROR(VALUE(LEFT(I3586,FIND(" ",I3586)-1)),""),"")</f>
        <v>85</v>
      </c>
      <c r="O3586" s="7" t="str">
        <f aca="false">IF(B3586="TV Show",IFERROR(VALUE(LEFT(I3586,FIND(" ",I3586)-1)),""),"")</f>
        <v/>
      </c>
      <c r="P3586" s="7" t="n">
        <f aca="false">IF(K3586="","",K3586-G3586)</f>
        <v>32</v>
      </c>
    </row>
    <row r="3587" customFormat="false" ht="15" hidden="false" customHeight="false" outlineLevel="0" collapsed="false">
      <c r="A3587" s="7" t="n">
        <v>793907</v>
      </c>
      <c r="B3587" s="7" t="s">
        <v>68</v>
      </c>
      <c r="C3587" s="7" t="s">
        <v>7510</v>
      </c>
      <c r="D3587" s="7" t="s">
        <v>6531</v>
      </c>
      <c r="E3587" s="7" t="s">
        <v>26</v>
      </c>
      <c r="F3587" s="7" t="s">
        <v>7327</v>
      </c>
      <c r="G3587" s="7" t="n">
        <v>1984</v>
      </c>
      <c r="H3587" s="7" t="s">
        <v>54</v>
      </c>
      <c r="I3587" s="7" t="s">
        <v>919</v>
      </c>
      <c r="J3587" s="7" t="s">
        <v>2054</v>
      </c>
      <c r="K3587" s="7" t="n">
        <f aca="false">IFERROR(VALUE(RIGHT(TRIM(F3587),4)),"")</f>
        <v>2020</v>
      </c>
      <c r="L3587" s="7" t="str">
        <f aca="false">IF(TRIM(E3587)="","Unknown",IFERROR(LEFT(TRIM(E3587),FIND(",",TRIM(E3587))-1),TRIM(E3587)))</f>
        <v>United States</v>
      </c>
      <c r="M3587" s="7" t="str">
        <f aca="false">IFERROR(LEFT(J3587,FIND(",",J3587)-1),J3587)</f>
        <v>Classic Movies</v>
      </c>
      <c r="N3587" s="7" t="n">
        <f aca="false">IF(B3587="Movie",IFERROR(VALUE(LEFT(I3587,FIND(" ",I3587)-1)),""),"")</f>
        <v>138</v>
      </c>
      <c r="O3587" s="7" t="str">
        <f aca="false">IF(B3587="TV Show",IFERROR(VALUE(LEFT(I3587,FIND(" ",I3587)-1)),""),"")</f>
        <v/>
      </c>
      <c r="P3587" s="7" t="n">
        <f aca="false">IF(K3587="","",K3587-G3587)</f>
        <v>36</v>
      </c>
    </row>
    <row r="3588" customFormat="false" ht="15" hidden="false" customHeight="false" outlineLevel="0" collapsed="false">
      <c r="A3588" s="7" t="n">
        <v>60001854</v>
      </c>
      <c r="B3588" s="7" t="s">
        <v>68</v>
      </c>
      <c r="C3588" s="7" t="s">
        <v>7511</v>
      </c>
      <c r="D3588" s="7" t="s">
        <v>1089</v>
      </c>
      <c r="E3588" s="7" t="s">
        <v>26</v>
      </c>
      <c r="F3588" s="7" t="s">
        <v>7327</v>
      </c>
      <c r="G3588" s="7" t="n">
        <v>2000</v>
      </c>
      <c r="H3588" s="7" t="s">
        <v>51</v>
      </c>
      <c r="I3588" s="7" t="s">
        <v>326</v>
      </c>
      <c r="J3588" s="7" t="s">
        <v>45</v>
      </c>
      <c r="K3588" s="7" t="n">
        <f aca="false">IFERROR(VALUE(RIGHT(TRIM(F3588),4)),"")</f>
        <v>2020</v>
      </c>
      <c r="L3588" s="7" t="str">
        <f aca="false">IF(TRIM(E3588)="","Unknown",IFERROR(LEFT(TRIM(E3588),FIND(",",TRIM(E3588))-1),TRIM(E3588)))</f>
        <v>United States</v>
      </c>
      <c r="M3588" s="7" t="str">
        <f aca="false">IFERROR(LEFT(J3588,FIND(",",J3588)-1),J3588)</f>
        <v>Stand-Up Comedy</v>
      </c>
      <c r="N3588" s="7" t="n">
        <f aca="false">IF(B3588="Movie",IFERROR(VALUE(LEFT(I3588,FIND(" ",I3588)-1)),""),"")</f>
        <v>111</v>
      </c>
      <c r="O3588" s="7" t="str">
        <f aca="false">IF(B3588="TV Show",IFERROR(VALUE(LEFT(I3588,FIND(" ",I3588)-1)),""),"")</f>
        <v/>
      </c>
      <c r="P3588" s="7" t="n">
        <f aca="false">IF(K3588="","",K3588-G3588)</f>
        <v>20</v>
      </c>
    </row>
    <row r="3589" customFormat="false" ht="15" hidden="false" customHeight="false" outlineLevel="0" collapsed="false">
      <c r="A3589" s="7" t="n">
        <v>20159719</v>
      </c>
      <c r="B3589" s="7" t="s">
        <v>68</v>
      </c>
      <c r="C3589" s="7" t="s">
        <v>7512</v>
      </c>
      <c r="D3589" s="7" t="s">
        <v>7513</v>
      </c>
      <c r="E3589" s="7" t="s">
        <v>26</v>
      </c>
      <c r="F3589" s="7" t="s">
        <v>7327</v>
      </c>
      <c r="G3589" s="7" t="n">
        <v>1997</v>
      </c>
      <c r="H3589" s="7" t="s">
        <v>51</v>
      </c>
      <c r="I3589" s="7" t="s">
        <v>549</v>
      </c>
      <c r="J3589" s="7" t="s">
        <v>40</v>
      </c>
      <c r="K3589" s="7" t="n">
        <f aca="false">IFERROR(VALUE(RIGHT(TRIM(F3589),4)),"")</f>
        <v>2020</v>
      </c>
      <c r="L3589" s="7" t="str">
        <f aca="false">IF(TRIM(E3589)="","Unknown",IFERROR(LEFT(TRIM(E3589),FIND(",",TRIM(E3589))-1),TRIM(E3589)))</f>
        <v>United States</v>
      </c>
      <c r="M3589" s="7" t="str">
        <f aca="false">IFERROR(LEFT(J3589,FIND(",",J3589)-1),J3589)</f>
        <v>Action &amp; Adventure</v>
      </c>
      <c r="N3589" s="7" t="n">
        <f aca="false">IF(B3589="Movie",IFERROR(VALUE(LEFT(I3589,FIND(" ",I3589)-1)),""),"")</f>
        <v>124</v>
      </c>
      <c r="O3589" s="7" t="str">
        <f aca="false">IF(B3589="TV Show",IFERROR(VALUE(LEFT(I3589,FIND(" ",I3589)-1)),""),"")</f>
        <v/>
      </c>
      <c r="P3589" s="7" t="n">
        <f aca="false">IF(K3589="","",K3589-G3589)</f>
        <v>23</v>
      </c>
    </row>
    <row r="3590" customFormat="false" ht="15" hidden="false" customHeight="false" outlineLevel="0" collapsed="false">
      <c r="A3590" s="7" t="n">
        <v>60024914</v>
      </c>
      <c r="B3590" s="7" t="s">
        <v>68</v>
      </c>
      <c r="C3590" s="7" t="s">
        <v>7514</v>
      </c>
      <c r="D3590" s="7" t="s">
        <v>7515</v>
      </c>
      <c r="E3590" s="7" t="s">
        <v>26</v>
      </c>
      <c r="F3590" s="7" t="s">
        <v>7327</v>
      </c>
      <c r="G3590" s="7" t="n">
        <v>2002</v>
      </c>
      <c r="H3590" s="7" t="s">
        <v>52</v>
      </c>
      <c r="I3590" s="7" t="s">
        <v>237</v>
      </c>
      <c r="J3590" s="7" t="s">
        <v>147</v>
      </c>
      <c r="K3590" s="7" t="n">
        <f aca="false">IFERROR(VALUE(RIGHT(TRIM(F3590),4)),"")</f>
        <v>2020</v>
      </c>
      <c r="L3590" s="7" t="str">
        <f aca="false">IF(TRIM(E3590)="","Unknown",IFERROR(LEFT(TRIM(E3590),FIND(",",TRIM(E3590))-1),TRIM(E3590)))</f>
        <v>United States</v>
      </c>
      <c r="M3590" s="7" t="str">
        <f aca="false">IFERROR(LEFT(J3590,FIND(",",J3590)-1),J3590)</f>
        <v>Horror Movies</v>
      </c>
      <c r="N3590" s="7" t="n">
        <f aca="false">IF(B3590="Movie",IFERROR(VALUE(LEFT(I3590,FIND(" ",I3590)-1)),""),"")</f>
        <v>116</v>
      </c>
      <c r="O3590" s="7" t="str">
        <f aca="false">IF(B3590="TV Show",IFERROR(VALUE(LEFT(I3590,FIND(" ",I3590)-1)),""),"")</f>
        <v/>
      </c>
      <c r="P3590" s="7" t="n">
        <f aca="false">IF(K3590="","",K3590-G3590)</f>
        <v>18</v>
      </c>
    </row>
    <row r="3591" customFormat="false" ht="15" hidden="false" customHeight="false" outlineLevel="0" collapsed="false">
      <c r="A3591" s="7" t="n">
        <v>60000209</v>
      </c>
      <c r="B3591" s="7" t="s">
        <v>68</v>
      </c>
      <c r="C3591" s="7" t="s">
        <v>7516</v>
      </c>
      <c r="D3591" s="7" t="s">
        <v>7517</v>
      </c>
      <c r="E3591" s="7" t="s">
        <v>26</v>
      </c>
      <c r="F3591" s="7" t="s">
        <v>7327</v>
      </c>
      <c r="G3591" s="7" t="n">
        <v>1999</v>
      </c>
      <c r="H3591" s="7" t="s">
        <v>51</v>
      </c>
      <c r="I3591" s="7" t="s">
        <v>594</v>
      </c>
      <c r="J3591" s="7" t="s">
        <v>597</v>
      </c>
      <c r="K3591" s="7" t="n">
        <f aca="false">IFERROR(VALUE(RIGHT(TRIM(F3591),4)),"")</f>
        <v>2020</v>
      </c>
      <c r="L3591" s="7" t="str">
        <f aca="false">IF(TRIM(E3591)="","Unknown",IFERROR(LEFT(TRIM(E3591),FIND(",",TRIM(E3591))-1),TRIM(E3591)))</f>
        <v>United States</v>
      </c>
      <c r="M3591" s="7" t="str">
        <f aca="false">IFERROR(LEFT(J3591,FIND(",",J3591)-1),J3591)</f>
        <v>Dramas</v>
      </c>
      <c r="N3591" s="7" t="n">
        <f aca="false">IF(B3591="Movie",IFERROR(VALUE(LEFT(I3591,FIND(" ",I3591)-1)),""),"")</f>
        <v>139</v>
      </c>
      <c r="O3591" s="7" t="str">
        <f aca="false">IF(B3591="TV Show",IFERROR(VALUE(LEFT(I3591,FIND(" ",I3591)-1)),""),"")</f>
        <v/>
      </c>
      <c r="P3591" s="7" t="n">
        <f aca="false">IF(K3591="","",K3591-G3591)</f>
        <v>21</v>
      </c>
    </row>
    <row r="3592" customFormat="false" ht="15" hidden="false" customHeight="false" outlineLevel="0" collapsed="false">
      <c r="A3592" s="7" t="n">
        <v>60033108</v>
      </c>
      <c r="B3592" s="7" t="s">
        <v>68</v>
      </c>
      <c r="C3592" s="7" t="s">
        <v>7518</v>
      </c>
      <c r="D3592" s="7" t="s">
        <v>7519</v>
      </c>
      <c r="E3592" s="7" t="s">
        <v>26</v>
      </c>
      <c r="F3592" s="7" t="s">
        <v>7327</v>
      </c>
      <c r="G3592" s="7" t="n">
        <v>1990</v>
      </c>
      <c r="H3592" s="7" t="s">
        <v>52</v>
      </c>
      <c r="I3592" s="7" t="s">
        <v>138</v>
      </c>
      <c r="J3592" s="7" t="s">
        <v>992</v>
      </c>
      <c r="K3592" s="7" t="n">
        <f aca="false">IFERROR(VALUE(RIGHT(TRIM(F3592),4)),"")</f>
        <v>2020</v>
      </c>
      <c r="L3592" s="7" t="str">
        <f aca="false">IF(TRIM(E3592)="","Unknown",IFERROR(LEFT(TRIM(E3592),FIND(",",TRIM(E3592))-1),TRIM(E3592)))</f>
        <v>United States</v>
      </c>
      <c r="M3592" s="7" t="str">
        <f aca="false">IFERROR(LEFT(J3592,FIND(",",J3592)-1),J3592)</f>
        <v>Comedies</v>
      </c>
      <c r="N3592" s="7" t="n">
        <f aca="false">IF(B3592="Movie",IFERROR(VALUE(LEFT(I3592,FIND(" ",I3592)-1)),""),"")</f>
        <v>96</v>
      </c>
      <c r="O3592" s="7" t="str">
        <f aca="false">IF(B3592="TV Show",IFERROR(VALUE(LEFT(I3592,FIND(" ",I3592)-1)),""),"")</f>
        <v/>
      </c>
      <c r="P3592" s="7" t="n">
        <f aca="false">IF(K3592="","",K3592-G3592)</f>
        <v>30</v>
      </c>
    </row>
    <row r="3593" customFormat="false" ht="15" hidden="false" customHeight="false" outlineLevel="0" collapsed="false">
      <c r="A3593" s="7" t="n">
        <v>1064058</v>
      </c>
      <c r="B3593" s="7" t="s">
        <v>68</v>
      </c>
      <c r="C3593" s="7" t="s">
        <v>7520</v>
      </c>
      <c r="D3593" s="7" t="s">
        <v>7521</v>
      </c>
      <c r="F3593" s="7" t="s">
        <v>7327</v>
      </c>
      <c r="G3593" s="7" t="n">
        <v>1995</v>
      </c>
      <c r="H3593" s="7" t="s">
        <v>52</v>
      </c>
      <c r="I3593" s="7" t="s">
        <v>205</v>
      </c>
      <c r="J3593" s="7" t="s">
        <v>7522</v>
      </c>
      <c r="K3593" s="7" t="n">
        <f aca="false">IFERROR(VALUE(RIGHT(TRIM(F3593),4)),"")</f>
        <v>2020</v>
      </c>
      <c r="L3593" s="7" t="str">
        <f aca="false">IF(TRIM(E3593)="","Unknown",IFERROR(LEFT(TRIM(E3593),FIND(",",TRIM(E3593))-1),TRIM(E3593)))</f>
        <v>Unknown</v>
      </c>
      <c r="M3593" s="7" t="str">
        <f aca="false">IFERROR(LEFT(J3593,FIND(",",J3593)-1),J3593)</f>
        <v>Comedies</v>
      </c>
      <c r="N3593" s="7" t="n">
        <f aca="false">IF(B3593="Movie",IFERROR(VALUE(LEFT(I3593,FIND(" ",I3593)-1)),""),"")</f>
        <v>100</v>
      </c>
      <c r="O3593" s="7" t="str">
        <f aca="false">IF(B3593="TV Show",IFERROR(VALUE(LEFT(I3593,FIND(" ",I3593)-1)),""),"")</f>
        <v/>
      </c>
      <c r="P3593" s="7" t="n">
        <f aca="false">IF(K3593="","",K3593-G3593)</f>
        <v>25</v>
      </c>
    </row>
    <row r="3594" customFormat="false" ht="15" hidden="false" customHeight="false" outlineLevel="0" collapsed="false">
      <c r="A3594" s="7" t="n">
        <v>60021377</v>
      </c>
      <c r="B3594" s="7" t="s">
        <v>68</v>
      </c>
      <c r="C3594" s="7" t="s">
        <v>7523</v>
      </c>
      <c r="D3594" s="7" t="s">
        <v>7524</v>
      </c>
      <c r="E3594" s="7" t="s">
        <v>26</v>
      </c>
      <c r="F3594" s="7" t="s">
        <v>7327</v>
      </c>
      <c r="G3594" s="7" t="n">
        <v>2001</v>
      </c>
      <c r="H3594" s="7" t="s">
        <v>54</v>
      </c>
      <c r="I3594" s="7" t="s">
        <v>417</v>
      </c>
      <c r="J3594" s="7" t="s">
        <v>7522</v>
      </c>
      <c r="K3594" s="7" t="n">
        <f aca="false">IFERROR(VALUE(RIGHT(TRIM(F3594),4)),"")</f>
        <v>2020</v>
      </c>
      <c r="L3594" s="7" t="str">
        <f aca="false">IF(TRIM(E3594)="","Unknown",IFERROR(LEFT(TRIM(E3594),FIND(",",TRIM(E3594))-1),TRIM(E3594)))</f>
        <v>United States</v>
      </c>
      <c r="M3594" s="7" t="str">
        <f aca="false">IFERROR(LEFT(J3594,FIND(",",J3594)-1),J3594)</f>
        <v>Comedies</v>
      </c>
      <c r="N3594" s="7" t="n">
        <f aca="false">IF(B3594="Movie",IFERROR(VALUE(LEFT(I3594,FIND(" ",I3594)-1)),""),"")</f>
        <v>104</v>
      </c>
      <c r="O3594" s="7" t="str">
        <f aca="false">IF(B3594="TV Show",IFERROR(VALUE(LEFT(I3594,FIND(" ",I3594)-1)),""),"")</f>
        <v/>
      </c>
      <c r="P3594" s="7" t="n">
        <f aca="false">IF(K3594="","",K3594-G3594)</f>
        <v>19</v>
      </c>
    </row>
    <row r="3595" customFormat="false" ht="15" hidden="false" customHeight="false" outlineLevel="0" collapsed="false">
      <c r="A3595" s="7" t="n">
        <v>60033107</v>
      </c>
      <c r="B3595" s="7" t="s">
        <v>68</v>
      </c>
      <c r="C3595" s="7" t="s">
        <v>7525</v>
      </c>
      <c r="D3595" s="7" t="s">
        <v>7521</v>
      </c>
      <c r="E3595" s="7" t="s">
        <v>26</v>
      </c>
      <c r="F3595" s="7" t="s">
        <v>7327</v>
      </c>
      <c r="G3595" s="7" t="n">
        <v>2004</v>
      </c>
      <c r="H3595" s="7" t="s">
        <v>52</v>
      </c>
      <c r="I3595" s="7" t="s">
        <v>512</v>
      </c>
      <c r="J3595" s="7" t="s">
        <v>7522</v>
      </c>
      <c r="K3595" s="7" t="n">
        <f aca="false">IFERROR(VALUE(RIGHT(TRIM(F3595),4)),"")</f>
        <v>2020</v>
      </c>
      <c r="L3595" s="7" t="str">
        <f aca="false">IF(TRIM(E3595)="","Unknown",IFERROR(LEFT(TRIM(E3595),FIND(",",TRIM(E3595))-1),TRIM(E3595)))</f>
        <v>United States</v>
      </c>
      <c r="M3595" s="7" t="str">
        <f aca="false">IFERROR(LEFT(J3595,FIND(",",J3595)-1),J3595)</f>
        <v>Comedies</v>
      </c>
      <c r="N3595" s="7" t="n">
        <f aca="false">IF(B3595="Movie",IFERROR(VALUE(LEFT(I3595,FIND(" ",I3595)-1)),""),"")</f>
        <v>101</v>
      </c>
      <c r="O3595" s="7" t="str">
        <f aca="false">IF(B3595="TV Show",IFERROR(VALUE(LEFT(I3595,FIND(" ",I3595)-1)),""),"")</f>
        <v/>
      </c>
      <c r="P3595" s="7" t="n">
        <f aca="false">IF(K3595="","",K3595-G3595)</f>
        <v>16</v>
      </c>
    </row>
    <row r="3596" customFormat="false" ht="15" hidden="false" customHeight="false" outlineLevel="0" collapsed="false">
      <c r="A3596" s="7" t="n">
        <v>80066084</v>
      </c>
      <c r="B3596" s="7" t="s">
        <v>68</v>
      </c>
      <c r="C3596" s="7" t="s">
        <v>7526</v>
      </c>
      <c r="D3596" s="7" t="s">
        <v>1489</v>
      </c>
      <c r="E3596" s="7" t="s">
        <v>7527</v>
      </c>
      <c r="F3596" s="7" t="s">
        <v>7327</v>
      </c>
      <c r="G3596" s="7" t="n">
        <v>2015</v>
      </c>
      <c r="H3596" s="7" t="s">
        <v>52</v>
      </c>
      <c r="I3596" s="7" t="s">
        <v>87</v>
      </c>
      <c r="J3596" s="7" t="s">
        <v>7522</v>
      </c>
      <c r="K3596" s="7" t="n">
        <f aca="false">IFERROR(VALUE(RIGHT(TRIM(F3596),4)),"")</f>
        <v>2020</v>
      </c>
      <c r="L3596" s="7" t="str">
        <f aca="false">IF(TRIM(E3596)="","Unknown",IFERROR(LEFT(TRIM(E3596),FIND(",",TRIM(E3596))-1),TRIM(E3596)))</f>
        <v>South Africa</v>
      </c>
      <c r="M3596" s="7" t="str">
        <f aca="false">IFERROR(LEFT(J3596,FIND(",",J3596)-1),J3596)</f>
        <v>Comedies</v>
      </c>
      <c r="N3596" s="7" t="n">
        <f aca="false">IF(B3596="Movie",IFERROR(VALUE(LEFT(I3596,FIND(" ",I3596)-1)),""),"")</f>
        <v>99</v>
      </c>
      <c r="O3596" s="7" t="str">
        <f aca="false">IF(B3596="TV Show",IFERROR(VALUE(LEFT(I3596,FIND(" ",I3596)-1)),""),"")</f>
        <v/>
      </c>
      <c r="P3596" s="7" t="n">
        <f aca="false">IF(K3596="","",K3596-G3596)</f>
        <v>5</v>
      </c>
    </row>
    <row r="3597" customFormat="false" ht="15" hidden="false" customHeight="false" outlineLevel="0" collapsed="false">
      <c r="A3597" s="7" t="n">
        <v>1067876</v>
      </c>
      <c r="B3597" s="7" t="s">
        <v>68</v>
      </c>
      <c r="C3597" s="7" t="s">
        <v>7528</v>
      </c>
      <c r="D3597" s="7" t="s">
        <v>7529</v>
      </c>
      <c r="E3597" s="7" t="s">
        <v>26</v>
      </c>
      <c r="F3597" s="7" t="s">
        <v>7327</v>
      </c>
      <c r="G3597" s="7" t="n">
        <v>1969</v>
      </c>
      <c r="H3597" s="7" t="s">
        <v>612</v>
      </c>
      <c r="I3597" s="7" t="s">
        <v>261</v>
      </c>
      <c r="J3597" s="7" t="s">
        <v>3151</v>
      </c>
      <c r="K3597" s="7" t="n">
        <f aca="false">IFERROR(VALUE(RIGHT(TRIM(F3597),4)),"")</f>
        <v>2020</v>
      </c>
      <c r="L3597" s="7" t="str">
        <f aca="false">IF(TRIM(E3597)="","Unknown",IFERROR(LEFT(TRIM(E3597),FIND(",",TRIM(E3597))-1),TRIM(E3597)))</f>
        <v>United States</v>
      </c>
      <c r="M3597" s="7" t="str">
        <f aca="false">IFERROR(LEFT(J3597,FIND(",",J3597)-1),J3597)</f>
        <v>Classic Movies</v>
      </c>
      <c r="N3597" s="7" t="n">
        <f aca="false">IF(B3597="Movie",IFERROR(VALUE(LEFT(I3597,FIND(" ",I3597)-1)),""),"")</f>
        <v>128</v>
      </c>
      <c r="O3597" s="7" t="str">
        <f aca="false">IF(B3597="TV Show",IFERROR(VALUE(LEFT(I3597,FIND(" ",I3597)-1)),""),"")</f>
        <v/>
      </c>
      <c r="P3597" s="7" t="n">
        <f aca="false">IF(K3597="","",K3597-G3597)</f>
        <v>51</v>
      </c>
    </row>
    <row r="3598" customFormat="false" ht="15" hidden="false" customHeight="false" outlineLevel="0" collapsed="false">
      <c r="A3598" s="7" t="n">
        <v>70117902</v>
      </c>
      <c r="B3598" s="7" t="s">
        <v>68</v>
      </c>
      <c r="C3598" s="7" t="s">
        <v>7530</v>
      </c>
      <c r="D3598" s="7" t="s">
        <v>2825</v>
      </c>
      <c r="E3598" s="7" t="s">
        <v>26</v>
      </c>
      <c r="F3598" s="7" t="s">
        <v>7327</v>
      </c>
      <c r="G3598" s="7" t="n">
        <v>2009</v>
      </c>
      <c r="H3598" s="7" t="s">
        <v>51</v>
      </c>
      <c r="I3598" s="7" t="s">
        <v>93</v>
      </c>
      <c r="J3598" s="7" t="s">
        <v>2761</v>
      </c>
      <c r="K3598" s="7" t="n">
        <f aca="false">IFERROR(VALUE(RIGHT(TRIM(F3598),4)),"")</f>
        <v>2020</v>
      </c>
      <c r="L3598" s="7" t="str">
        <f aca="false">IF(TRIM(E3598)="","Unknown",IFERROR(LEFT(TRIM(E3598),FIND(",",TRIM(E3598))-1),TRIM(E3598)))</f>
        <v>United States</v>
      </c>
      <c r="M3598" s="7" t="str">
        <f aca="false">IFERROR(LEFT(J3598,FIND(",",J3598)-1),J3598)</f>
        <v>Comedies</v>
      </c>
      <c r="N3598" s="7" t="n">
        <f aca="false">IF(B3598="Movie",IFERROR(VALUE(LEFT(I3598,FIND(" ",I3598)-1)),""),"")</f>
        <v>110</v>
      </c>
      <c r="O3598" s="7" t="str">
        <f aca="false">IF(B3598="TV Show",IFERROR(VALUE(LEFT(I3598,FIND(" ",I3598)-1)),""),"")</f>
        <v/>
      </c>
      <c r="P3598" s="7" t="n">
        <f aca="false">IF(K3598="","",K3598-G3598)</f>
        <v>11</v>
      </c>
    </row>
    <row r="3599" customFormat="false" ht="15" hidden="false" customHeight="false" outlineLevel="0" collapsed="false">
      <c r="A3599" s="7" t="n">
        <v>60001396</v>
      </c>
      <c r="B3599" s="7" t="s">
        <v>68</v>
      </c>
      <c r="C3599" s="7" t="s">
        <v>7531</v>
      </c>
      <c r="D3599" s="7" t="s">
        <v>7532</v>
      </c>
      <c r="E3599" s="7" t="s">
        <v>26</v>
      </c>
      <c r="F3599" s="7" t="s">
        <v>7327</v>
      </c>
      <c r="G3599" s="7" t="n">
        <v>2000</v>
      </c>
      <c r="H3599" s="7" t="s">
        <v>52</v>
      </c>
      <c r="I3599" s="7" t="s">
        <v>247</v>
      </c>
      <c r="J3599" s="7" t="s">
        <v>147</v>
      </c>
      <c r="K3599" s="7" t="n">
        <f aca="false">IFERROR(VALUE(RIGHT(TRIM(F3599),4)),"")</f>
        <v>2020</v>
      </c>
      <c r="L3599" s="7" t="str">
        <f aca="false">IF(TRIM(E3599)="","Unknown",IFERROR(LEFT(TRIM(E3599),FIND(",",TRIM(E3599))-1),TRIM(E3599)))</f>
        <v>United States</v>
      </c>
      <c r="M3599" s="7" t="str">
        <f aca="false">IFERROR(LEFT(J3599,FIND(",",J3599)-1),J3599)</f>
        <v>Horror Movies</v>
      </c>
      <c r="N3599" s="7" t="n">
        <f aca="false">IF(B3599="Movie",IFERROR(VALUE(LEFT(I3599,FIND(" ",I3599)-1)),""),"")</f>
        <v>130</v>
      </c>
      <c r="O3599" s="7" t="str">
        <f aca="false">IF(B3599="TV Show",IFERROR(VALUE(LEFT(I3599,FIND(" ",I3599)-1)),""),"")</f>
        <v/>
      </c>
      <c r="P3599" s="7" t="n">
        <f aca="false">IF(K3599="","",K3599-G3599)</f>
        <v>20</v>
      </c>
    </row>
    <row r="3600" customFormat="false" ht="15" hidden="false" customHeight="false" outlineLevel="0" collapsed="false">
      <c r="A3600" s="7" t="n">
        <v>22007250</v>
      </c>
      <c r="B3600" s="7" t="s">
        <v>68</v>
      </c>
      <c r="C3600" s="7" t="s">
        <v>7533</v>
      </c>
      <c r="D3600" s="7" t="s">
        <v>1627</v>
      </c>
      <c r="E3600" s="7" t="s">
        <v>26</v>
      </c>
      <c r="F3600" s="7" t="s">
        <v>7327</v>
      </c>
      <c r="G3600" s="7" t="n">
        <v>1999</v>
      </c>
      <c r="H3600" s="7" t="s">
        <v>52</v>
      </c>
      <c r="I3600" s="7" t="s">
        <v>173</v>
      </c>
      <c r="J3600" s="7" t="s">
        <v>1628</v>
      </c>
      <c r="K3600" s="7" t="n">
        <f aca="false">IFERROR(VALUE(RIGHT(TRIM(F3600),4)),"")</f>
        <v>2020</v>
      </c>
      <c r="L3600" s="7" t="str">
        <f aca="false">IF(TRIM(E3600)="","Unknown",IFERROR(LEFT(TRIM(E3600),FIND(",",TRIM(E3600))-1),TRIM(E3600)))</f>
        <v>United States</v>
      </c>
      <c r="M3600" s="7" t="str">
        <f aca="false">IFERROR(LEFT(J3600,FIND(",",J3600)-1),J3600)</f>
        <v>Action &amp; Adventure</v>
      </c>
      <c r="N3600" s="7" t="n">
        <f aca="false">IF(B3600="Movie",IFERROR(VALUE(LEFT(I3600,FIND(" ",I3600)-1)),""),"")</f>
        <v>106</v>
      </c>
      <c r="O3600" s="7" t="str">
        <f aca="false">IF(B3600="TV Show",IFERROR(VALUE(LEFT(I3600,FIND(" ",I3600)-1)),""),"")</f>
        <v/>
      </c>
      <c r="P3600" s="7" t="n">
        <f aca="false">IF(K3600="","",K3600-G3600)</f>
        <v>21</v>
      </c>
    </row>
    <row r="3601" customFormat="false" ht="15" hidden="false" customHeight="false" outlineLevel="0" collapsed="false">
      <c r="A3601" s="7" t="n">
        <v>60020949</v>
      </c>
      <c r="B3601" s="7" t="s">
        <v>68</v>
      </c>
      <c r="C3601" s="7" t="s">
        <v>7534</v>
      </c>
      <c r="D3601" s="7" t="s">
        <v>7535</v>
      </c>
      <c r="E3601" s="7" t="s">
        <v>7536</v>
      </c>
      <c r="F3601" s="7" t="s">
        <v>7327</v>
      </c>
      <c r="G3601" s="7" t="n">
        <v>1971</v>
      </c>
      <c r="H3601" s="7" t="s">
        <v>612</v>
      </c>
      <c r="I3601" s="7" t="s">
        <v>205</v>
      </c>
      <c r="J3601" s="7" t="s">
        <v>6366</v>
      </c>
      <c r="K3601" s="7" t="n">
        <f aca="false">IFERROR(VALUE(RIGHT(TRIM(F3601),4)),"")</f>
        <v>2020</v>
      </c>
      <c r="L3601" s="7" t="str">
        <f aca="false">IF(TRIM(E3601)="","Unknown",IFERROR(LEFT(TRIM(E3601),FIND(",",TRIM(E3601))-1),TRIM(E3601)))</f>
        <v>United States</v>
      </c>
      <c r="M3601" s="7" t="str">
        <f aca="false">IFERROR(LEFT(J3601,FIND(",",J3601)-1),J3601)</f>
        <v>Children &amp; Family Movies</v>
      </c>
      <c r="N3601" s="7" t="n">
        <f aca="false">IF(B3601="Movie",IFERROR(VALUE(LEFT(I3601,FIND(" ",I3601)-1)),""),"")</f>
        <v>100</v>
      </c>
      <c r="O3601" s="7" t="str">
        <f aca="false">IF(B3601="TV Show",IFERROR(VALUE(LEFT(I3601,FIND(" ",I3601)-1)),""),"")</f>
        <v/>
      </c>
      <c r="P3601" s="7" t="n">
        <f aca="false">IF(K3601="","",K3601-G3601)</f>
        <v>49</v>
      </c>
    </row>
    <row r="3602" customFormat="false" ht="15" hidden="false" customHeight="false" outlineLevel="0" collapsed="false">
      <c r="A3602" s="7" t="n">
        <v>60011597</v>
      </c>
      <c r="B3602" s="7" t="s">
        <v>68</v>
      </c>
      <c r="C3602" s="7" t="s">
        <v>7537</v>
      </c>
      <c r="D3602" s="7" t="s">
        <v>7538</v>
      </c>
      <c r="E3602" s="7" t="s">
        <v>26</v>
      </c>
      <c r="F3602" s="7" t="s">
        <v>7327</v>
      </c>
      <c r="G3602" s="7" t="n">
        <v>1994</v>
      </c>
      <c r="H3602" s="7" t="s">
        <v>52</v>
      </c>
      <c r="I3602" s="7" t="s">
        <v>7539</v>
      </c>
      <c r="J3602" s="7" t="s">
        <v>40</v>
      </c>
      <c r="K3602" s="7" t="n">
        <f aca="false">IFERROR(VALUE(RIGHT(TRIM(F3602),4)),"")</f>
        <v>2020</v>
      </c>
      <c r="L3602" s="7" t="str">
        <f aca="false">IF(TRIM(E3602)="","Unknown",IFERROR(LEFT(TRIM(E3602),FIND(",",TRIM(E3602))-1),TRIM(E3602)))</f>
        <v>United States</v>
      </c>
      <c r="M3602" s="7" t="str">
        <f aca="false">IFERROR(LEFT(J3602,FIND(",",J3602)-1),J3602)</f>
        <v>Action &amp; Adventure</v>
      </c>
      <c r="N3602" s="7" t="n">
        <f aca="false">IF(B3602="Movie",IFERROR(VALUE(LEFT(I3602,FIND(" ",I3602)-1)),""),"")</f>
        <v>191</v>
      </c>
      <c r="O3602" s="7" t="str">
        <f aca="false">IF(B3602="TV Show",IFERROR(VALUE(LEFT(I3602,FIND(" ",I3602)-1)),""),"")</f>
        <v/>
      </c>
      <c r="P3602" s="7" t="n">
        <f aca="false">IF(K3602="","",K3602-G3602)</f>
        <v>26</v>
      </c>
    </row>
    <row r="3603" customFormat="false" ht="15" hidden="false" customHeight="false" outlineLevel="0" collapsed="false">
      <c r="A3603" s="7" t="n">
        <v>70100379</v>
      </c>
      <c r="B3603" s="7" t="s">
        <v>68</v>
      </c>
      <c r="C3603" s="7" t="s">
        <v>7540</v>
      </c>
      <c r="D3603" s="7" t="s">
        <v>6297</v>
      </c>
      <c r="E3603" s="7" t="s">
        <v>293</v>
      </c>
      <c r="F3603" s="7" t="s">
        <v>7327</v>
      </c>
      <c r="G3603" s="7" t="n">
        <v>2008</v>
      </c>
      <c r="H3603" s="7" t="s">
        <v>52</v>
      </c>
      <c r="I3603" s="7" t="s">
        <v>417</v>
      </c>
      <c r="J3603" s="7" t="s">
        <v>177</v>
      </c>
      <c r="K3603" s="7" t="n">
        <f aca="false">IFERROR(VALUE(RIGHT(TRIM(F3603),4)),"")</f>
        <v>2020</v>
      </c>
      <c r="L3603" s="7" t="str">
        <f aca="false">IF(TRIM(E3603)="","Unknown",IFERROR(LEFT(TRIM(E3603),FIND(",",TRIM(E3603))-1),TRIM(E3603)))</f>
        <v>United States</v>
      </c>
      <c r="M3603" s="7" t="str">
        <f aca="false">IFERROR(LEFT(J3603,FIND(",",J3603)-1),J3603)</f>
        <v>Comedies</v>
      </c>
      <c r="N3603" s="7" t="n">
        <f aca="false">IF(B3603="Movie",IFERROR(VALUE(LEFT(I3603,FIND(" ",I3603)-1)),""),"")</f>
        <v>104</v>
      </c>
      <c r="O3603" s="7" t="str">
        <f aca="false">IF(B3603="TV Show",IFERROR(VALUE(LEFT(I3603,FIND(" ",I3603)-1)),""),"")</f>
        <v/>
      </c>
      <c r="P3603" s="7" t="n">
        <f aca="false">IF(K3603="","",K3603-G3603)</f>
        <v>12</v>
      </c>
    </row>
    <row r="3604" customFormat="false" ht="15" hidden="false" customHeight="false" outlineLevel="0" collapsed="false">
      <c r="A3604" s="7" t="n">
        <v>70209245</v>
      </c>
      <c r="B3604" s="7" t="s">
        <v>68</v>
      </c>
      <c r="C3604" s="7" t="s">
        <v>7541</v>
      </c>
      <c r="D3604" s="7" t="s">
        <v>7542</v>
      </c>
      <c r="E3604" s="7" t="s">
        <v>26</v>
      </c>
      <c r="F3604" s="7" t="s">
        <v>7543</v>
      </c>
      <c r="G3604" s="7" t="n">
        <v>2012</v>
      </c>
      <c r="H3604" s="7" t="s">
        <v>48</v>
      </c>
      <c r="I3604" s="7" t="s">
        <v>93</v>
      </c>
      <c r="J3604" s="7" t="s">
        <v>566</v>
      </c>
      <c r="K3604" s="7" t="n">
        <f aca="false">IFERROR(VALUE(RIGHT(TRIM(F3604),4)),"")</f>
        <v>2019</v>
      </c>
      <c r="L3604" s="7" t="str">
        <f aca="false">IF(TRIM(E3604)="","Unknown",IFERROR(LEFT(TRIM(E3604),FIND(",",TRIM(E3604))-1),TRIM(E3604)))</f>
        <v>United States</v>
      </c>
      <c r="M3604" s="7" t="str">
        <f aca="false">IFERROR(LEFT(J3604,FIND(",",J3604)-1),J3604)</f>
        <v>Dramas</v>
      </c>
      <c r="N3604" s="7" t="n">
        <f aca="false">IF(B3604="Movie",IFERROR(VALUE(LEFT(I3604,FIND(" ",I3604)-1)),""),"")</f>
        <v>110</v>
      </c>
      <c r="O3604" s="7" t="str">
        <f aca="false">IF(B3604="TV Show",IFERROR(VALUE(LEFT(I3604,FIND(" ",I3604)-1)),""),"")</f>
        <v/>
      </c>
      <c r="P3604" s="7" t="n">
        <f aca="false">IF(K3604="","",K3604-G3604)</f>
        <v>7</v>
      </c>
    </row>
    <row r="3605" customFormat="false" ht="15" hidden="false" customHeight="false" outlineLevel="0" collapsed="false">
      <c r="A3605" s="7" t="n">
        <v>70045863</v>
      </c>
      <c r="B3605" s="7" t="s">
        <v>68</v>
      </c>
      <c r="C3605" s="7" t="s">
        <v>7544</v>
      </c>
      <c r="D3605" s="7" t="s">
        <v>7545</v>
      </c>
      <c r="E3605" s="7" t="s">
        <v>293</v>
      </c>
      <c r="F3605" s="7" t="s">
        <v>7543</v>
      </c>
      <c r="G3605" s="7" t="n">
        <v>2007</v>
      </c>
      <c r="H3605" s="7" t="s">
        <v>52</v>
      </c>
      <c r="I3605" s="7" t="s">
        <v>201</v>
      </c>
      <c r="J3605" s="7" t="s">
        <v>5830</v>
      </c>
      <c r="K3605" s="7" t="n">
        <f aca="false">IFERROR(VALUE(RIGHT(TRIM(F3605),4)),"")</f>
        <v>2019</v>
      </c>
      <c r="L3605" s="7" t="str">
        <f aca="false">IF(TRIM(E3605)="","Unknown",IFERROR(LEFT(TRIM(E3605),FIND(",",TRIM(E3605))-1),TRIM(E3605)))</f>
        <v>United States</v>
      </c>
      <c r="M3605" s="7" t="str">
        <f aca="false">IFERROR(LEFT(J3605,FIND(",",J3605)-1),J3605)</f>
        <v>Dramas</v>
      </c>
      <c r="N3605" s="7" t="n">
        <f aca="false">IF(B3605="Movie",IFERROR(VALUE(LEFT(I3605,FIND(" ",I3605)-1)),""),"")</f>
        <v>133</v>
      </c>
      <c r="O3605" s="7" t="str">
        <f aca="false">IF(B3605="TV Show",IFERROR(VALUE(LEFT(I3605,FIND(" ",I3605)-1)),""),"")</f>
        <v/>
      </c>
      <c r="P3605" s="7" t="n">
        <f aca="false">IF(K3605="","",K3605-G3605)</f>
        <v>12</v>
      </c>
    </row>
    <row r="3606" customFormat="false" ht="15" hidden="false" customHeight="false" outlineLevel="0" collapsed="false">
      <c r="A3606" s="7" t="n">
        <v>70045866</v>
      </c>
      <c r="B3606" s="7" t="s">
        <v>68</v>
      </c>
      <c r="C3606" s="7" t="s">
        <v>7546</v>
      </c>
      <c r="D3606" s="7" t="s">
        <v>7547</v>
      </c>
      <c r="E3606" s="7" t="s">
        <v>7548</v>
      </c>
      <c r="F3606" s="7" t="s">
        <v>7543</v>
      </c>
      <c r="G3606" s="7" t="n">
        <v>2006</v>
      </c>
      <c r="H3606" s="7" t="s">
        <v>51</v>
      </c>
      <c r="I3606" s="7" t="s">
        <v>1832</v>
      </c>
      <c r="J3606" s="7" t="s">
        <v>150</v>
      </c>
      <c r="K3606" s="7" t="n">
        <f aca="false">IFERROR(VALUE(RIGHT(TRIM(F3606),4)),"")</f>
        <v>2019</v>
      </c>
      <c r="L3606" s="7" t="str">
        <f aca="false">IF(TRIM(E3606)="","Unknown",IFERROR(LEFT(TRIM(E3606),FIND(",",TRIM(E3606))-1),TRIM(E3606)))</f>
        <v>France</v>
      </c>
      <c r="M3606" s="7" t="str">
        <f aca="false">IFERROR(LEFT(J3606,FIND(",",J3606)-1),J3606)</f>
        <v>Dramas</v>
      </c>
      <c r="N3606" s="7" t="n">
        <f aca="false">IF(B3606="Movie",IFERROR(VALUE(LEFT(I3606,FIND(" ",I3606)-1)),""),"")</f>
        <v>143</v>
      </c>
      <c r="O3606" s="7" t="str">
        <f aca="false">IF(B3606="TV Show",IFERROR(VALUE(LEFT(I3606,FIND(" ",I3606)-1)),""),"")</f>
        <v/>
      </c>
      <c r="P3606" s="7" t="n">
        <f aca="false">IF(K3606="","",K3606-G3606)</f>
        <v>13</v>
      </c>
    </row>
    <row r="3607" customFormat="false" ht="15" hidden="false" customHeight="false" outlineLevel="0" collapsed="false">
      <c r="A3607" s="7" t="n">
        <v>80999981</v>
      </c>
      <c r="B3607" s="7" t="s">
        <v>68</v>
      </c>
      <c r="C3607" s="7" t="s">
        <v>7549</v>
      </c>
      <c r="D3607" s="7" t="s">
        <v>7550</v>
      </c>
      <c r="E3607" s="7" t="s">
        <v>167</v>
      </c>
      <c r="F3607" s="7" t="s">
        <v>7543</v>
      </c>
      <c r="G3607" s="7" t="n">
        <v>2015</v>
      </c>
      <c r="H3607" s="7" t="s">
        <v>49</v>
      </c>
      <c r="I3607" s="7" t="s">
        <v>326</v>
      </c>
      <c r="J3607" s="7" t="s">
        <v>206</v>
      </c>
      <c r="K3607" s="7" t="n">
        <f aca="false">IFERROR(VALUE(RIGHT(TRIM(F3607),4)),"")</f>
        <v>2019</v>
      </c>
      <c r="L3607" s="7" t="str">
        <f aca="false">IF(TRIM(E3607)="","Unknown",IFERROR(LEFT(TRIM(E3607),FIND(",",TRIM(E3607))-1),TRIM(E3607)))</f>
        <v>Thailand</v>
      </c>
      <c r="M3607" s="7" t="str">
        <f aca="false">IFERROR(LEFT(J3607,FIND(",",J3607)-1),J3607)</f>
        <v>Comedies</v>
      </c>
      <c r="N3607" s="7" t="n">
        <f aca="false">IF(B3607="Movie",IFERROR(VALUE(LEFT(I3607,FIND(" ",I3607)-1)),""),"")</f>
        <v>111</v>
      </c>
      <c r="O3607" s="7" t="str">
        <f aca="false">IF(B3607="TV Show",IFERROR(VALUE(LEFT(I3607,FIND(" ",I3607)-1)),""),"")</f>
        <v/>
      </c>
      <c r="P3607" s="7" t="n">
        <f aca="false">IF(K3607="","",K3607-G3607)</f>
        <v>4</v>
      </c>
    </row>
    <row r="3608" customFormat="false" ht="15" hidden="false" customHeight="false" outlineLevel="0" collapsed="false">
      <c r="A3608" s="7" t="n">
        <v>60022056</v>
      </c>
      <c r="B3608" s="7" t="s">
        <v>68</v>
      </c>
      <c r="C3608" s="7" t="s">
        <v>7551</v>
      </c>
      <c r="D3608" s="7" t="s">
        <v>7552</v>
      </c>
      <c r="E3608" s="7" t="s">
        <v>293</v>
      </c>
      <c r="F3608" s="7" t="s">
        <v>7543</v>
      </c>
      <c r="G3608" s="7" t="n">
        <v>2001</v>
      </c>
      <c r="H3608" s="7" t="s">
        <v>51</v>
      </c>
      <c r="I3608" s="7" t="s">
        <v>1529</v>
      </c>
      <c r="J3608" s="7" t="s">
        <v>370</v>
      </c>
      <c r="K3608" s="7" t="n">
        <f aca="false">IFERROR(VALUE(RIGHT(TRIM(F3608),4)),"")</f>
        <v>2019</v>
      </c>
      <c r="L3608" s="7" t="str">
        <f aca="false">IF(TRIM(E3608)="","Unknown",IFERROR(LEFT(TRIM(E3608),FIND(",",TRIM(E3608))-1),TRIM(E3608)))</f>
        <v>United States</v>
      </c>
      <c r="M3608" s="7" t="str">
        <f aca="false">IFERROR(LEFT(J3608,FIND(",",J3608)-1),J3608)</f>
        <v>Action &amp; Adventure</v>
      </c>
      <c r="N3608" s="7" t="n">
        <f aca="false">IF(B3608="Movie",IFERROR(VALUE(LEFT(I3608,FIND(" ",I3608)-1)),""),"")</f>
        <v>144</v>
      </c>
      <c r="O3608" s="7" t="str">
        <f aca="false">IF(B3608="TV Show",IFERROR(VALUE(LEFT(I3608,FIND(" ",I3608)-1)),""),"")</f>
        <v/>
      </c>
      <c r="P3608" s="7" t="n">
        <f aca="false">IF(K3608="","",K3608-G3608)</f>
        <v>18</v>
      </c>
    </row>
    <row r="3609" customFormat="false" ht="15" hidden="false" customHeight="false" outlineLevel="0" collapsed="false">
      <c r="A3609" s="7" t="n">
        <v>80016588</v>
      </c>
      <c r="B3609" s="7" t="s">
        <v>68</v>
      </c>
      <c r="C3609" s="7" t="s">
        <v>7553</v>
      </c>
      <c r="D3609" s="7" t="s">
        <v>2506</v>
      </c>
      <c r="E3609" s="7" t="s">
        <v>7527</v>
      </c>
      <c r="F3609" s="7" t="s">
        <v>7543</v>
      </c>
      <c r="G3609" s="7" t="n">
        <v>2015</v>
      </c>
      <c r="H3609" s="7" t="s">
        <v>51</v>
      </c>
      <c r="I3609" s="7" t="s">
        <v>505</v>
      </c>
      <c r="J3609" s="7" t="s">
        <v>276</v>
      </c>
      <c r="K3609" s="7" t="n">
        <f aca="false">IFERROR(VALUE(RIGHT(TRIM(F3609),4)),"")</f>
        <v>2019</v>
      </c>
      <c r="L3609" s="7" t="str">
        <f aca="false">IF(TRIM(E3609)="","Unknown",IFERROR(LEFT(TRIM(E3609),FIND(",",TRIM(E3609))-1),TRIM(E3609)))</f>
        <v>South Africa</v>
      </c>
      <c r="M3609" s="7" t="str">
        <f aca="false">IFERROR(LEFT(J3609,FIND(",",J3609)-1),J3609)</f>
        <v>Action &amp; Adventure</v>
      </c>
      <c r="N3609" s="7" t="n">
        <f aca="false">IF(B3609="Movie",IFERROR(VALUE(LEFT(I3609,FIND(" ",I3609)-1)),""),"")</f>
        <v>121</v>
      </c>
      <c r="O3609" s="7" t="str">
        <f aca="false">IF(B3609="TV Show",IFERROR(VALUE(LEFT(I3609,FIND(" ",I3609)-1)),""),"")</f>
        <v/>
      </c>
      <c r="P3609" s="7" t="n">
        <f aca="false">IF(K3609="","",K3609-G3609)</f>
        <v>4</v>
      </c>
    </row>
    <row r="3610" customFormat="false" ht="15" hidden="false" customHeight="false" outlineLevel="0" collapsed="false">
      <c r="A3610" s="7" t="n">
        <v>70011207</v>
      </c>
      <c r="B3610" s="7" t="s">
        <v>68</v>
      </c>
      <c r="C3610" s="7" t="s">
        <v>7554</v>
      </c>
      <c r="D3610" s="7" t="s">
        <v>7555</v>
      </c>
      <c r="E3610" s="7" t="s">
        <v>26</v>
      </c>
      <c r="F3610" s="7" t="s">
        <v>7543</v>
      </c>
      <c r="G3610" s="7" t="n">
        <v>2004</v>
      </c>
      <c r="H3610" s="7" t="s">
        <v>54</v>
      </c>
      <c r="I3610" s="7" t="s">
        <v>87</v>
      </c>
      <c r="J3610" s="7" t="s">
        <v>74</v>
      </c>
      <c r="K3610" s="7" t="n">
        <f aca="false">IFERROR(VALUE(RIGHT(TRIM(F3610),4)),"")</f>
        <v>2019</v>
      </c>
      <c r="L3610" s="7" t="str">
        <f aca="false">IF(TRIM(E3610)="","Unknown",IFERROR(LEFT(TRIM(E3610),FIND(",",TRIM(E3610))-1),TRIM(E3610)))</f>
        <v>United States</v>
      </c>
      <c r="M3610" s="7" t="str">
        <f aca="false">IFERROR(LEFT(J3610,FIND(",",J3610)-1),J3610)</f>
        <v>Children &amp; Family Movies</v>
      </c>
      <c r="N3610" s="7" t="n">
        <f aca="false">IF(B3610="Movie",IFERROR(VALUE(LEFT(I3610,FIND(" ",I3610)-1)),""),"")</f>
        <v>99</v>
      </c>
      <c r="O3610" s="7" t="str">
        <f aca="false">IF(B3610="TV Show",IFERROR(VALUE(LEFT(I3610,FIND(" ",I3610)-1)),""),"")</f>
        <v/>
      </c>
      <c r="P3610" s="7" t="n">
        <f aca="false">IF(K3610="","",K3610-G3610)</f>
        <v>15</v>
      </c>
    </row>
    <row r="3611" customFormat="false" ht="15" hidden="false" customHeight="false" outlineLevel="0" collapsed="false">
      <c r="A3611" s="7" t="n">
        <v>60027689</v>
      </c>
      <c r="B3611" s="7" t="s">
        <v>68</v>
      </c>
      <c r="C3611" s="7" t="s">
        <v>7556</v>
      </c>
      <c r="D3611" s="7" t="s">
        <v>4522</v>
      </c>
      <c r="E3611" s="7" t="s">
        <v>26</v>
      </c>
      <c r="F3611" s="7" t="s">
        <v>7543</v>
      </c>
      <c r="G3611" s="7" t="n">
        <v>2003</v>
      </c>
      <c r="H3611" s="7" t="s">
        <v>54</v>
      </c>
      <c r="I3611" s="7" t="s">
        <v>272</v>
      </c>
      <c r="J3611" s="7" t="s">
        <v>74</v>
      </c>
      <c r="K3611" s="7" t="n">
        <f aca="false">IFERROR(VALUE(RIGHT(TRIM(F3611),4)),"")</f>
        <v>2019</v>
      </c>
      <c r="L3611" s="7" t="str">
        <f aca="false">IF(TRIM(E3611)="","Unknown",IFERROR(LEFT(TRIM(E3611),FIND(",",TRIM(E3611))-1),TRIM(E3611)))</f>
        <v>United States</v>
      </c>
      <c r="M3611" s="7" t="str">
        <f aca="false">IFERROR(LEFT(J3611,FIND(",",J3611)-1),J3611)</f>
        <v>Children &amp; Family Movies</v>
      </c>
      <c r="N3611" s="7" t="n">
        <f aca="false">IF(B3611="Movie",IFERROR(VALUE(LEFT(I3611,FIND(" ",I3611)-1)),""),"")</f>
        <v>93</v>
      </c>
      <c r="O3611" s="7" t="str">
        <f aca="false">IF(B3611="TV Show",IFERROR(VALUE(LEFT(I3611,FIND(" ",I3611)-1)),""),"")</f>
        <v/>
      </c>
      <c r="P3611" s="7" t="n">
        <f aca="false">IF(K3611="","",K3611-G3611)</f>
        <v>16</v>
      </c>
    </row>
    <row r="3612" customFormat="false" ht="15" hidden="false" customHeight="false" outlineLevel="0" collapsed="false">
      <c r="A3612" s="7" t="n">
        <v>80239710</v>
      </c>
      <c r="B3612" s="7" t="s">
        <v>68</v>
      </c>
      <c r="C3612" s="7" t="s">
        <v>7557</v>
      </c>
      <c r="D3612" s="7" t="s">
        <v>7558</v>
      </c>
      <c r="E3612" s="7" t="s">
        <v>26</v>
      </c>
      <c r="F3612" s="7" t="s">
        <v>7543</v>
      </c>
      <c r="G3612" s="7" t="n">
        <v>2018</v>
      </c>
      <c r="H3612" s="7" t="s">
        <v>51</v>
      </c>
      <c r="I3612" s="7" t="s">
        <v>205</v>
      </c>
      <c r="J3612" s="7" t="s">
        <v>7559</v>
      </c>
      <c r="K3612" s="7" t="n">
        <f aca="false">IFERROR(VALUE(RIGHT(TRIM(F3612),4)),"")</f>
        <v>2019</v>
      </c>
      <c r="L3612" s="7" t="str">
        <f aca="false">IF(TRIM(E3612)="","Unknown",IFERROR(LEFT(TRIM(E3612),FIND(",",TRIM(E3612))-1),TRIM(E3612)))</f>
        <v>United States</v>
      </c>
      <c r="M3612" s="7" t="str">
        <f aca="false">IFERROR(LEFT(J3612,FIND(",",J3612)-1),J3612)</f>
        <v>Independent Movies</v>
      </c>
      <c r="N3612" s="7" t="n">
        <f aca="false">IF(B3612="Movie",IFERROR(VALUE(LEFT(I3612,FIND(" ",I3612)-1)),""),"")</f>
        <v>100</v>
      </c>
      <c r="O3612" s="7" t="str">
        <f aca="false">IF(B3612="TV Show",IFERROR(VALUE(LEFT(I3612,FIND(" ",I3612)-1)),""),"")</f>
        <v/>
      </c>
      <c r="P3612" s="7" t="n">
        <f aca="false">IF(K3612="","",K3612-G3612)</f>
        <v>1</v>
      </c>
    </row>
    <row r="3613" customFormat="false" ht="15" hidden="false" customHeight="false" outlineLevel="0" collapsed="false">
      <c r="A3613" s="7" t="n">
        <v>80177342</v>
      </c>
      <c r="B3613" s="7" t="s">
        <v>78</v>
      </c>
      <c r="C3613" s="7" t="s">
        <v>7560</v>
      </c>
      <c r="E3613" s="7" t="s">
        <v>26</v>
      </c>
      <c r="F3613" s="7" t="s">
        <v>7543</v>
      </c>
      <c r="G3613" s="7" t="n">
        <v>2018</v>
      </c>
      <c r="H3613" s="7" t="s">
        <v>49</v>
      </c>
      <c r="I3613" s="7" t="s">
        <v>82</v>
      </c>
      <c r="J3613" s="7" t="s">
        <v>553</v>
      </c>
      <c r="K3613" s="7" t="n">
        <f aca="false">IFERROR(VALUE(RIGHT(TRIM(F3613),4)),"")</f>
        <v>2019</v>
      </c>
      <c r="L3613" s="7" t="str">
        <f aca="false">IF(TRIM(E3613)="","Unknown",IFERROR(LEFT(TRIM(E3613),FIND(",",TRIM(E3613))-1),TRIM(E3613)))</f>
        <v>United States</v>
      </c>
      <c r="M3613" s="7" t="str">
        <f aca="false">IFERROR(LEFT(J3613,FIND(",",J3613)-1),J3613)</f>
        <v>Crime TV Shows</v>
      </c>
      <c r="N3613" s="7" t="str">
        <f aca="false">IF(B3613="Movie",IFERROR(VALUE(LEFT(I3613,FIND(" ",I3613)-1)),""),"")</f>
        <v/>
      </c>
      <c r="O3613" s="7" t="n">
        <f aca="false">IF(B3613="TV Show",IFERROR(VALUE(LEFT(I3613,FIND(" ",I3613)-1)),""),"")</f>
        <v>1</v>
      </c>
      <c r="P3613" s="7" t="n">
        <f aca="false">IF(K3613="","",K3613-G3613)</f>
        <v>1</v>
      </c>
    </row>
    <row r="3614" customFormat="false" ht="15" hidden="false" customHeight="false" outlineLevel="0" collapsed="false">
      <c r="A3614" s="7" t="n">
        <v>80108616</v>
      </c>
      <c r="B3614" s="7" t="s">
        <v>68</v>
      </c>
      <c r="C3614" s="7" t="s">
        <v>7561</v>
      </c>
      <c r="D3614" s="7" t="s">
        <v>2414</v>
      </c>
      <c r="E3614" s="7" t="s">
        <v>26</v>
      </c>
      <c r="F3614" s="7" t="s">
        <v>7543</v>
      </c>
      <c r="G3614" s="7" t="n">
        <v>2016</v>
      </c>
      <c r="H3614" s="7" t="s">
        <v>51</v>
      </c>
      <c r="I3614" s="7" t="s">
        <v>181</v>
      </c>
      <c r="J3614" s="7" t="s">
        <v>150</v>
      </c>
      <c r="K3614" s="7" t="n">
        <f aca="false">IFERROR(VALUE(RIGHT(TRIM(F3614),4)),"")</f>
        <v>2019</v>
      </c>
      <c r="L3614" s="7" t="str">
        <f aca="false">IF(TRIM(E3614)="","Unknown",IFERROR(LEFT(TRIM(E3614),FIND(",",TRIM(E3614))-1),TRIM(E3614)))</f>
        <v>United States</v>
      </c>
      <c r="M3614" s="7" t="str">
        <f aca="false">IFERROR(LEFT(J3614,FIND(",",J3614)-1),J3614)</f>
        <v>Dramas</v>
      </c>
      <c r="N3614" s="7" t="n">
        <f aca="false">IF(B3614="Movie",IFERROR(VALUE(LEFT(I3614,FIND(" ",I3614)-1)),""),"")</f>
        <v>102</v>
      </c>
      <c r="O3614" s="7" t="str">
        <f aca="false">IF(B3614="TV Show",IFERROR(VALUE(LEFT(I3614,FIND(" ",I3614)-1)),""),"")</f>
        <v/>
      </c>
      <c r="P3614" s="7" t="n">
        <f aca="false">IF(K3614="","",K3614-G3614)</f>
        <v>3</v>
      </c>
    </row>
    <row r="3615" customFormat="false" ht="15" hidden="false" customHeight="false" outlineLevel="0" collapsed="false">
      <c r="A3615" s="7" t="n">
        <v>70084799</v>
      </c>
      <c r="B3615" s="7" t="s">
        <v>68</v>
      </c>
      <c r="C3615" s="7" t="s">
        <v>7562</v>
      </c>
      <c r="D3615" s="7" t="s">
        <v>2801</v>
      </c>
      <c r="E3615" s="7" t="s">
        <v>26</v>
      </c>
      <c r="F3615" s="7" t="s">
        <v>7543</v>
      </c>
      <c r="G3615" s="7" t="n">
        <v>2008</v>
      </c>
      <c r="H3615" s="7" t="s">
        <v>52</v>
      </c>
      <c r="I3615" s="7" t="s">
        <v>869</v>
      </c>
      <c r="J3615" s="7" t="s">
        <v>5475</v>
      </c>
      <c r="K3615" s="7" t="n">
        <f aca="false">IFERROR(VALUE(RIGHT(TRIM(F3615),4)),"")</f>
        <v>2019</v>
      </c>
      <c r="L3615" s="7" t="str">
        <f aca="false">IF(TRIM(E3615)="","Unknown",IFERROR(LEFT(TRIM(E3615),FIND(",",TRIM(E3615))-1),TRIM(E3615)))</f>
        <v>United States</v>
      </c>
      <c r="M3615" s="7" t="str">
        <f aca="false">IFERROR(LEFT(J3615,FIND(",",J3615)-1),J3615)</f>
        <v>Action &amp; Adventure</v>
      </c>
      <c r="N3615" s="7" t="n">
        <f aca="false">IF(B3615="Movie",IFERROR(VALUE(LEFT(I3615,FIND(" ",I3615)-1)),""),"")</f>
        <v>123</v>
      </c>
      <c r="O3615" s="7" t="str">
        <f aca="false">IF(B3615="TV Show",IFERROR(VALUE(LEFT(I3615,FIND(" ",I3615)-1)),""),"")</f>
        <v/>
      </c>
      <c r="P3615" s="7" t="n">
        <f aca="false">IF(K3615="","",K3615-G3615)</f>
        <v>11</v>
      </c>
    </row>
    <row r="3616" customFormat="false" ht="15" hidden="false" customHeight="false" outlineLevel="0" collapsed="false">
      <c r="A3616" s="7" t="n">
        <v>60010487</v>
      </c>
      <c r="B3616" s="7" t="s">
        <v>68</v>
      </c>
      <c r="C3616" s="7" t="s">
        <v>7563</v>
      </c>
      <c r="D3616" s="7" t="s">
        <v>2801</v>
      </c>
      <c r="E3616" s="7" t="s">
        <v>26</v>
      </c>
      <c r="F3616" s="7" t="s">
        <v>7543</v>
      </c>
      <c r="G3616" s="7" t="n">
        <v>1989</v>
      </c>
      <c r="H3616" s="7" t="s">
        <v>52</v>
      </c>
      <c r="I3616" s="7" t="s">
        <v>378</v>
      </c>
      <c r="J3616" s="7" t="s">
        <v>7564</v>
      </c>
      <c r="K3616" s="7" t="n">
        <f aca="false">IFERROR(VALUE(RIGHT(TRIM(F3616),4)),"")</f>
        <v>2019</v>
      </c>
      <c r="L3616" s="7" t="str">
        <f aca="false">IF(TRIM(E3616)="","Unknown",IFERROR(LEFT(TRIM(E3616),FIND(",",TRIM(E3616))-1),TRIM(E3616)))</f>
        <v>United States</v>
      </c>
      <c r="M3616" s="7" t="str">
        <f aca="false">IFERROR(LEFT(J3616,FIND(",",J3616)-1),J3616)</f>
        <v>Action &amp; Adventure</v>
      </c>
      <c r="N3616" s="7" t="n">
        <f aca="false">IF(B3616="Movie",IFERROR(VALUE(LEFT(I3616,FIND(" ",I3616)-1)),""),"")</f>
        <v>127</v>
      </c>
      <c r="O3616" s="7" t="str">
        <f aca="false">IF(B3616="TV Show",IFERROR(VALUE(LEFT(I3616,FIND(" ",I3616)-1)),""),"")</f>
        <v/>
      </c>
      <c r="P3616" s="7" t="n">
        <f aca="false">IF(K3616="","",K3616-G3616)</f>
        <v>30</v>
      </c>
    </row>
    <row r="3617" customFormat="false" ht="15" hidden="false" customHeight="false" outlineLevel="0" collapsed="false">
      <c r="A3617" s="7" t="n">
        <v>60011649</v>
      </c>
      <c r="B3617" s="7" t="s">
        <v>68</v>
      </c>
      <c r="C3617" s="7" t="s">
        <v>7565</v>
      </c>
      <c r="D3617" s="7" t="s">
        <v>2801</v>
      </c>
      <c r="E3617" s="7" t="s">
        <v>26</v>
      </c>
      <c r="F3617" s="7" t="s">
        <v>7543</v>
      </c>
      <c r="G3617" s="7" t="n">
        <v>1981</v>
      </c>
      <c r="H3617" s="7" t="s">
        <v>54</v>
      </c>
      <c r="I3617" s="7" t="s">
        <v>237</v>
      </c>
      <c r="J3617" s="7" t="s">
        <v>7564</v>
      </c>
      <c r="K3617" s="7" t="n">
        <f aca="false">IFERROR(VALUE(RIGHT(TRIM(F3617),4)),"")</f>
        <v>2019</v>
      </c>
      <c r="L3617" s="7" t="str">
        <f aca="false">IF(TRIM(E3617)="","Unknown",IFERROR(LEFT(TRIM(E3617),FIND(",",TRIM(E3617))-1),TRIM(E3617)))</f>
        <v>United States</v>
      </c>
      <c r="M3617" s="7" t="str">
        <f aca="false">IFERROR(LEFT(J3617,FIND(",",J3617)-1),J3617)</f>
        <v>Action &amp; Adventure</v>
      </c>
      <c r="N3617" s="7" t="n">
        <f aca="false">IF(B3617="Movie",IFERROR(VALUE(LEFT(I3617,FIND(" ",I3617)-1)),""),"")</f>
        <v>116</v>
      </c>
      <c r="O3617" s="7" t="str">
        <f aca="false">IF(B3617="TV Show",IFERROR(VALUE(LEFT(I3617,FIND(" ",I3617)-1)),""),"")</f>
        <v/>
      </c>
      <c r="P3617" s="7" t="n">
        <f aca="false">IF(K3617="","",K3617-G3617)</f>
        <v>38</v>
      </c>
    </row>
    <row r="3618" customFormat="false" ht="15" hidden="false" customHeight="false" outlineLevel="0" collapsed="false">
      <c r="A3618" s="7" t="n">
        <v>60010488</v>
      </c>
      <c r="B3618" s="7" t="s">
        <v>68</v>
      </c>
      <c r="C3618" s="7" t="s">
        <v>7566</v>
      </c>
      <c r="D3618" s="7" t="s">
        <v>2801</v>
      </c>
      <c r="E3618" s="7" t="s">
        <v>26</v>
      </c>
      <c r="F3618" s="7" t="s">
        <v>7543</v>
      </c>
      <c r="G3618" s="7" t="n">
        <v>1984</v>
      </c>
      <c r="H3618" s="7" t="s">
        <v>54</v>
      </c>
      <c r="I3618" s="7" t="s">
        <v>519</v>
      </c>
      <c r="J3618" s="7" t="s">
        <v>7564</v>
      </c>
      <c r="K3618" s="7" t="n">
        <f aca="false">IFERROR(VALUE(RIGHT(TRIM(F3618),4)),"")</f>
        <v>2019</v>
      </c>
      <c r="L3618" s="7" t="str">
        <f aca="false">IF(TRIM(E3618)="","Unknown",IFERROR(LEFT(TRIM(E3618),FIND(",",TRIM(E3618))-1),TRIM(E3618)))</f>
        <v>United States</v>
      </c>
      <c r="M3618" s="7" t="str">
        <f aca="false">IFERROR(LEFT(J3618,FIND(",",J3618)-1),J3618)</f>
        <v>Action &amp; Adventure</v>
      </c>
      <c r="N3618" s="7" t="n">
        <f aca="false">IF(B3618="Movie",IFERROR(VALUE(LEFT(I3618,FIND(" ",I3618)-1)),""),"")</f>
        <v>119</v>
      </c>
      <c r="O3618" s="7" t="str">
        <f aca="false">IF(B3618="TV Show",IFERROR(VALUE(LEFT(I3618,FIND(" ",I3618)-1)),""),"")</f>
        <v/>
      </c>
      <c r="P3618" s="7" t="n">
        <f aca="false">IF(K3618="","",K3618-G3618)</f>
        <v>35</v>
      </c>
    </row>
    <row r="3619" customFormat="false" ht="15" hidden="false" customHeight="false" outlineLevel="0" collapsed="false">
      <c r="A3619" s="7" t="n">
        <v>60004476</v>
      </c>
      <c r="B3619" s="7" t="s">
        <v>68</v>
      </c>
      <c r="C3619" s="7" t="s">
        <v>7567</v>
      </c>
      <c r="D3619" s="7" t="s">
        <v>2253</v>
      </c>
      <c r="E3619" s="7" t="s">
        <v>26</v>
      </c>
      <c r="F3619" s="7" t="s">
        <v>7543</v>
      </c>
      <c r="G3619" s="7" t="n">
        <v>2001</v>
      </c>
      <c r="H3619" s="7" t="s">
        <v>51</v>
      </c>
      <c r="I3619" s="7" t="s">
        <v>820</v>
      </c>
      <c r="J3619" s="7" t="s">
        <v>941</v>
      </c>
      <c r="K3619" s="7" t="n">
        <f aca="false">IFERROR(VALUE(RIGHT(TRIM(F3619),4)),"")</f>
        <v>2019</v>
      </c>
      <c r="L3619" s="7" t="str">
        <f aca="false">IF(TRIM(E3619)="","Unknown",IFERROR(LEFT(TRIM(E3619),FIND(",",TRIM(E3619))-1),TRIM(E3619)))</f>
        <v>United States</v>
      </c>
      <c r="M3619" s="7" t="str">
        <f aca="false">IFERROR(LEFT(J3619,FIND(",",J3619)-1),J3619)</f>
        <v>Comedies</v>
      </c>
      <c r="N3619" s="7" t="n">
        <f aca="false">IF(B3619="Movie",IFERROR(VALUE(LEFT(I3619,FIND(" ",I3619)-1)),""),"")</f>
        <v>105</v>
      </c>
      <c r="O3619" s="7" t="str">
        <f aca="false">IF(B3619="TV Show",IFERROR(VALUE(LEFT(I3619,FIND(" ",I3619)-1)),""),"")</f>
        <v/>
      </c>
      <c r="P3619" s="7" t="n">
        <f aca="false">IF(K3619="","",K3619-G3619)</f>
        <v>18</v>
      </c>
    </row>
    <row r="3620" customFormat="false" ht="15" hidden="false" customHeight="false" outlineLevel="0" collapsed="false">
      <c r="A3620" s="7" t="n">
        <v>70299748</v>
      </c>
      <c r="B3620" s="7" t="s">
        <v>68</v>
      </c>
      <c r="C3620" s="7" t="s">
        <v>7568</v>
      </c>
      <c r="D3620" s="7" t="s">
        <v>917</v>
      </c>
      <c r="E3620" s="7" t="s">
        <v>26</v>
      </c>
      <c r="F3620" s="7" t="s">
        <v>7543</v>
      </c>
      <c r="G3620" s="7" t="n">
        <v>2014</v>
      </c>
      <c r="H3620" s="7" t="s">
        <v>51</v>
      </c>
      <c r="I3620" s="7" t="s">
        <v>2192</v>
      </c>
      <c r="J3620" s="7" t="s">
        <v>3267</v>
      </c>
      <c r="K3620" s="7" t="n">
        <f aca="false">IFERROR(VALUE(RIGHT(TRIM(F3620),4)),"")</f>
        <v>2019</v>
      </c>
      <c r="L3620" s="7" t="str">
        <f aca="false">IF(TRIM(E3620)="","Unknown",IFERROR(LEFT(TRIM(E3620),FIND(",",TRIM(E3620))-1),TRIM(E3620)))</f>
        <v>United States</v>
      </c>
      <c r="M3620" s="7" t="str">
        <f aca="false">IFERROR(LEFT(J3620,FIND(",",J3620)-1),J3620)</f>
        <v>Dramas</v>
      </c>
      <c r="N3620" s="7" t="n">
        <f aca="false">IF(B3620="Movie",IFERROR(VALUE(LEFT(I3620,FIND(" ",I3620)-1)),""),"")</f>
        <v>134</v>
      </c>
      <c r="O3620" s="7" t="str">
        <f aca="false">IF(B3620="TV Show",IFERROR(VALUE(LEFT(I3620,FIND(" ",I3620)-1)),""),"")</f>
        <v/>
      </c>
      <c r="P3620" s="7" t="n">
        <f aca="false">IF(K3620="","",K3620-G3620)</f>
        <v>5</v>
      </c>
    </row>
    <row r="3621" customFormat="false" ht="15" hidden="false" customHeight="false" outlineLevel="0" collapsed="false">
      <c r="A3621" s="7" t="n">
        <v>80214621</v>
      </c>
      <c r="B3621" s="7" t="s">
        <v>68</v>
      </c>
      <c r="C3621" s="7" t="s">
        <v>7569</v>
      </c>
      <c r="D3621" s="7" t="s">
        <v>7570</v>
      </c>
      <c r="E3621" s="7" t="s">
        <v>26</v>
      </c>
      <c r="F3621" s="7" t="s">
        <v>7543</v>
      </c>
      <c r="G3621" s="7" t="n">
        <v>2017</v>
      </c>
      <c r="H3621" s="7" t="s">
        <v>48</v>
      </c>
      <c r="I3621" s="7" t="s">
        <v>73</v>
      </c>
      <c r="J3621" s="7" t="s">
        <v>1211</v>
      </c>
      <c r="K3621" s="7" t="n">
        <f aca="false">IFERROR(VALUE(RIGHT(TRIM(F3621),4)),"")</f>
        <v>2019</v>
      </c>
      <c r="L3621" s="7" t="str">
        <f aca="false">IF(TRIM(E3621)="","Unknown",IFERROR(LEFT(TRIM(E3621),FIND(",",TRIM(E3621))-1),TRIM(E3621)))</f>
        <v>United States</v>
      </c>
      <c r="M3621" s="7" t="str">
        <f aca="false">IFERROR(LEFT(J3621,FIND(",",J3621)-1),J3621)</f>
        <v>Documentaries</v>
      </c>
      <c r="N3621" s="7" t="n">
        <f aca="false">IF(B3621="Movie",IFERROR(VALUE(LEFT(I3621,FIND(" ",I3621)-1)),""),"")</f>
        <v>90</v>
      </c>
      <c r="O3621" s="7" t="str">
        <f aca="false">IF(B3621="TV Show",IFERROR(VALUE(LEFT(I3621,FIND(" ",I3621)-1)),""),"")</f>
        <v/>
      </c>
      <c r="P3621" s="7" t="n">
        <f aca="false">IF(K3621="","",K3621-G3621)</f>
        <v>2</v>
      </c>
    </row>
    <row r="3622" customFormat="false" ht="15" hidden="false" customHeight="false" outlineLevel="0" collapsed="false">
      <c r="A3622" s="7" t="n">
        <v>80245709</v>
      </c>
      <c r="B3622" s="7" t="s">
        <v>68</v>
      </c>
      <c r="C3622" s="7" t="s">
        <v>7571</v>
      </c>
      <c r="D3622" s="7" t="s">
        <v>7572</v>
      </c>
      <c r="E3622" s="7" t="s">
        <v>26</v>
      </c>
      <c r="F3622" s="7" t="s">
        <v>7543</v>
      </c>
      <c r="G3622" s="7" t="n">
        <v>2017</v>
      </c>
      <c r="H3622" s="7" t="s">
        <v>51</v>
      </c>
      <c r="I3622" s="7" t="s">
        <v>272</v>
      </c>
      <c r="J3622" s="7" t="s">
        <v>251</v>
      </c>
      <c r="K3622" s="7" t="n">
        <f aca="false">IFERROR(VALUE(RIGHT(TRIM(F3622),4)),"")</f>
        <v>2019</v>
      </c>
      <c r="L3622" s="7" t="str">
        <f aca="false">IF(TRIM(E3622)="","Unknown",IFERROR(LEFT(TRIM(E3622),FIND(",",TRIM(E3622))-1),TRIM(E3622)))</f>
        <v>United States</v>
      </c>
      <c r="M3622" s="7" t="str">
        <f aca="false">IFERROR(LEFT(J3622,FIND(",",J3622)-1),J3622)</f>
        <v>Comedies</v>
      </c>
      <c r="N3622" s="7" t="n">
        <f aca="false">IF(B3622="Movie",IFERROR(VALUE(LEFT(I3622,FIND(" ",I3622)-1)),""),"")</f>
        <v>93</v>
      </c>
      <c r="O3622" s="7" t="str">
        <f aca="false">IF(B3622="TV Show",IFERROR(VALUE(LEFT(I3622,FIND(" ",I3622)-1)),""),"")</f>
        <v/>
      </c>
      <c r="P3622" s="7" t="n">
        <f aca="false">IF(K3622="","",K3622-G3622)</f>
        <v>2</v>
      </c>
    </row>
    <row r="3623" customFormat="false" ht="15" hidden="false" customHeight="false" outlineLevel="0" collapsed="false">
      <c r="A3623" s="7" t="n">
        <v>70117299</v>
      </c>
      <c r="B3623" s="7" t="s">
        <v>68</v>
      </c>
      <c r="C3623" s="7" t="s">
        <v>7573</v>
      </c>
      <c r="D3623" s="7" t="s">
        <v>7574</v>
      </c>
      <c r="E3623" s="7" t="s">
        <v>905</v>
      </c>
      <c r="F3623" s="7" t="s">
        <v>7543</v>
      </c>
      <c r="G3623" s="7" t="n">
        <v>2010</v>
      </c>
      <c r="H3623" s="7" t="s">
        <v>51</v>
      </c>
      <c r="I3623" s="7" t="s">
        <v>272</v>
      </c>
      <c r="J3623" s="7" t="s">
        <v>155</v>
      </c>
      <c r="K3623" s="7" t="n">
        <f aca="false">IFERROR(VALUE(RIGHT(TRIM(F3623),4)),"")</f>
        <v>2019</v>
      </c>
      <c r="L3623" s="7" t="str">
        <f aca="false">IF(TRIM(E3623)="","Unknown",IFERROR(LEFT(TRIM(E3623),FIND(",",TRIM(E3623))-1),TRIM(E3623)))</f>
        <v>United States</v>
      </c>
      <c r="M3623" s="7" t="str">
        <f aca="false">IFERROR(LEFT(J3623,FIND(",",J3623)-1),J3623)</f>
        <v>Dramas</v>
      </c>
      <c r="N3623" s="7" t="n">
        <f aca="false">IF(B3623="Movie",IFERROR(VALUE(LEFT(I3623,FIND(" ",I3623)-1)),""),"")</f>
        <v>93</v>
      </c>
      <c r="O3623" s="7" t="str">
        <f aca="false">IF(B3623="TV Show",IFERROR(VALUE(LEFT(I3623,FIND(" ",I3623)-1)),""),"")</f>
        <v/>
      </c>
      <c r="P3623" s="7" t="n">
        <f aca="false">IF(K3623="","",K3623-G3623)</f>
        <v>9</v>
      </c>
    </row>
    <row r="3624" customFormat="false" ht="15" hidden="false" customHeight="false" outlineLevel="0" collapsed="false">
      <c r="A3624" s="7" t="n">
        <v>16944044</v>
      </c>
      <c r="B3624" s="7" t="s">
        <v>68</v>
      </c>
      <c r="C3624" s="7" t="s">
        <v>7575</v>
      </c>
      <c r="D3624" s="7" t="s">
        <v>7576</v>
      </c>
      <c r="E3624" s="7" t="s">
        <v>28</v>
      </c>
      <c r="F3624" s="7" t="s">
        <v>7543</v>
      </c>
      <c r="G3624" s="7" t="n">
        <v>1998</v>
      </c>
      <c r="H3624" s="7" t="s">
        <v>51</v>
      </c>
      <c r="I3624" s="7" t="s">
        <v>268</v>
      </c>
      <c r="J3624" s="7" t="s">
        <v>213</v>
      </c>
      <c r="K3624" s="7" t="n">
        <f aca="false">IFERROR(VALUE(RIGHT(TRIM(F3624),4)),"")</f>
        <v>2019</v>
      </c>
      <c r="L3624" s="7" t="str">
        <f aca="false">IF(TRIM(E3624)="","Unknown",IFERROR(LEFT(TRIM(E3624),FIND(",",TRIM(E3624))-1),TRIM(E3624)))</f>
        <v>United Kingdom</v>
      </c>
      <c r="M3624" s="7" t="str">
        <f aca="false">IFERROR(LEFT(J3624,FIND(",",J3624)-1),J3624)</f>
        <v>Action &amp; Adventure</v>
      </c>
      <c r="N3624" s="7" t="n">
        <f aca="false">IF(B3624="Movie",IFERROR(VALUE(LEFT(I3624,FIND(" ",I3624)-1)),""),"")</f>
        <v>108</v>
      </c>
      <c r="O3624" s="7" t="str">
        <f aca="false">IF(B3624="TV Show",IFERROR(VALUE(LEFT(I3624,FIND(" ",I3624)-1)),""),"")</f>
        <v/>
      </c>
      <c r="P3624" s="7" t="n">
        <f aca="false">IF(K3624="","",K3624-G3624)</f>
        <v>21</v>
      </c>
    </row>
    <row r="3625" customFormat="false" ht="15" hidden="false" customHeight="false" outlineLevel="0" collapsed="false">
      <c r="A3625" s="7" t="n">
        <v>81045060</v>
      </c>
      <c r="B3625" s="7" t="s">
        <v>68</v>
      </c>
      <c r="C3625" s="7" t="s">
        <v>7577</v>
      </c>
      <c r="D3625" s="7" t="s">
        <v>7578</v>
      </c>
      <c r="E3625" s="7" t="s">
        <v>27</v>
      </c>
      <c r="F3625" s="7" t="s">
        <v>7543</v>
      </c>
      <c r="G3625" s="7" t="n">
        <v>2018</v>
      </c>
      <c r="H3625" s="7" t="s">
        <v>48</v>
      </c>
      <c r="I3625" s="7" t="s">
        <v>1405</v>
      </c>
      <c r="J3625" s="7" t="s">
        <v>188</v>
      </c>
      <c r="K3625" s="7" t="n">
        <f aca="false">IFERROR(VALUE(RIGHT(TRIM(F3625),4)),"")</f>
        <v>2019</v>
      </c>
      <c r="L3625" s="7" t="str">
        <f aca="false">IF(TRIM(E3625)="","Unknown",IFERROR(LEFT(TRIM(E3625),FIND(",",TRIM(E3625))-1),TRIM(E3625)))</f>
        <v>India</v>
      </c>
      <c r="M3625" s="7" t="str">
        <f aca="false">IFERROR(LEFT(J3625,FIND(",",J3625)-1),J3625)</f>
        <v>Dramas</v>
      </c>
      <c r="N3625" s="7" t="n">
        <f aca="false">IF(B3625="Movie",IFERROR(VALUE(LEFT(I3625,FIND(" ",I3625)-1)),""),"")</f>
        <v>115</v>
      </c>
      <c r="O3625" s="7" t="str">
        <f aca="false">IF(B3625="TV Show",IFERROR(VALUE(LEFT(I3625,FIND(" ",I3625)-1)),""),"")</f>
        <v/>
      </c>
      <c r="P3625" s="7" t="n">
        <f aca="false">IF(K3625="","",K3625-G3625)</f>
        <v>1</v>
      </c>
    </row>
    <row r="3626" customFormat="false" ht="15" hidden="false" customHeight="false" outlineLevel="0" collapsed="false">
      <c r="A3626" s="7" t="n">
        <v>60031284</v>
      </c>
      <c r="B3626" s="7" t="s">
        <v>68</v>
      </c>
      <c r="C3626" s="7" t="s">
        <v>7579</v>
      </c>
      <c r="D3626" s="7" t="s">
        <v>7367</v>
      </c>
      <c r="E3626" s="7" t="s">
        <v>26</v>
      </c>
      <c r="F3626" s="7" t="s">
        <v>7543</v>
      </c>
      <c r="G3626" s="7" t="n">
        <v>2003</v>
      </c>
      <c r="H3626" s="7" t="s">
        <v>52</v>
      </c>
      <c r="I3626" s="7" t="s">
        <v>519</v>
      </c>
      <c r="J3626" s="7" t="s">
        <v>37</v>
      </c>
      <c r="K3626" s="7" t="n">
        <f aca="false">IFERROR(VALUE(RIGHT(TRIM(F3626),4)),"")</f>
        <v>2019</v>
      </c>
      <c r="L3626" s="7" t="str">
        <f aca="false">IF(TRIM(E3626)="","Unknown",IFERROR(LEFT(TRIM(E3626),FIND(",",TRIM(E3626))-1),TRIM(E3626)))</f>
        <v>United States</v>
      </c>
      <c r="M3626" s="7" t="str">
        <f aca="false">IFERROR(LEFT(J3626,FIND(",",J3626)-1),J3626)</f>
        <v>Dramas</v>
      </c>
      <c r="N3626" s="7" t="n">
        <f aca="false">IF(B3626="Movie",IFERROR(VALUE(LEFT(I3626,FIND(" ",I3626)-1)),""),"")</f>
        <v>119</v>
      </c>
      <c r="O3626" s="7" t="str">
        <f aca="false">IF(B3626="TV Show",IFERROR(VALUE(LEFT(I3626,FIND(" ",I3626)-1)),""),"")</f>
        <v/>
      </c>
      <c r="P3626" s="7" t="n">
        <f aca="false">IF(K3626="","",K3626-G3626)</f>
        <v>16</v>
      </c>
    </row>
    <row r="3627" customFormat="false" ht="15" hidden="false" customHeight="false" outlineLevel="0" collapsed="false">
      <c r="A3627" s="7" t="n">
        <v>70256512</v>
      </c>
      <c r="B3627" s="7" t="s">
        <v>68</v>
      </c>
      <c r="C3627" s="7" t="s">
        <v>7580</v>
      </c>
      <c r="D3627" s="7" t="s">
        <v>1151</v>
      </c>
      <c r="E3627" s="7" t="s">
        <v>26</v>
      </c>
      <c r="F3627" s="7" t="s">
        <v>7543</v>
      </c>
      <c r="G3627" s="7" t="n">
        <v>2012</v>
      </c>
      <c r="H3627" s="7" t="s">
        <v>48</v>
      </c>
      <c r="I3627" s="7" t="s">
        <v>123</v>
      </c>
      <c r="J3627" s="7" t="s">
        <v>45</v>
      </c>
      <c r="K3627" s="7" t="n">
        <f aca="false">IFERROR(VALUE(RIGHT(TRIM(F3627),4)),"")</f>
        <v>2019</v>
      </c>
      <c r="L3627" s="7" t="str">
        <f aca="false">IF(TRIM(E3627)="","Unknown",IFERROR(LEFT(TRIM(E3627),FIND(",",TRIM(E3627))-1),TRIM(E3627)))</f>
        <v>United States</v>
      </c>
      <c r="M3627" s="7" t="str">
        <f aca="false">IFERROR(LEFT(J3627,FIND(",",J3627)-1),J3627)</f>
        <v>Stand-Up Comedy</v>
      </c>
      <c r="N3627" s="7" t="n">
        <f aca="false">IF(B3627="Movie",IFERROR(VALUE(LEFT(I3627,FIND(" ",I3627)-1)),""),"")</f>
        <v>61</v>
      </c>
      <c r="O3627" s="7" t="str">
        <f aca="false">IF(B3627="TV Show",IFERROR(VALUE(LEFT(I3627,FIND(" ",I3627)-1)),""),"")</f>
        <v/>
      </c>
      <c r="P3627" s="7" t="n">
        <f aca="false">IF(K3627="","",K3627-G3627)</f>
        <v>7</v>
      </c>
    </row>
    <row r="3628" customFormat="false" ht="15" hidden="false" customHeight="false" outlineLevel="0" collapsed="false">
      <c r="A3628" s="7" t="n">
        <v>70058019</v>
      </c>
      <c r="B3628" s="7" t="s">
        <v>68</v>
      </c>
      <c r="C3628" s="7" t="s">
        <v>7581</v>
      </c>
      <c r="D3628" s="7" t="s">
        <v>7582</v>
      </c>
      <c r="E3628" s="7" t="s">
        <v>26</v>
      </c>
      <c r="F3628" s="7" t="s">
        <v>7543</v>
      </c>
      <c r="G3628" s="7" t="n">
        <v>2007</v>
      </c>
      <c r="H3628" s="7" t="s">
        <v>51</v>
      </c>
      <c r="I3628" s="7" t="s">
        <v>790</v>
      </c>
      <c r="J3628" s="7" t="s">
        <v>811</v>
      </c>
      <c r="K3628" s="7" t="n">
        <f aca="false">IFERROR(VALUE(RIGHT(TRIM(F3628),4)),"")</f>
        <v>2019</v>
      </c>
      <c r="L3628" s="7" t="str">
        <f aca="false">IF(TRIM(E3628)="","Unknown",IFERROR(LEFT(TRIM(E3628),FIND(",",TRIM(E3628))-1),TRIM(E3628)))</f>
        <v>United States</v>
      </c>
      <c r="M3628" s="7" t="str">
        <f aca="false">IFERROR(LEFT(J3628,FIND(",",J3628)-1),J3628)</f>
        <v>Thrillers</v>
      </c>
      <c r="N3628" s="7" t="n">
        <f aca="false">IF(B3628="Movie",IFERROR(VALUE(LEFT(I3628,FIND(" ",I3628)-1)),""),"")</f>
        <v>109</v>
      </c>
      <c r="O3628" s="7" t="str">
        <f aca="false">IF(B3628="TV Show",IFERROR(VALUE(LEFT(I3628,FIND(" ",I3628)-1)),""),"")</f>
        <v/>
      </c>
      <c r="P3628" s="7" t="n">
        <f aca="false">IF(K3628="","",K3628-G3628)</f>
        <v>12</v>
      </c>
    </row>
    <row r="3629" customFormat="false" ht="15" hidden="false" customHeight="false" outlineLevel="0" collapsed="false">
      <c r="A3629" s="7" t="n">
        <v>81046846</v>
      </c>
      <c r="B3629" s="7" t="s">
        <v>68</v>
      </c>
      <c r="C3629" s="7" t="s">
        <v>7583</v>
      </c>
      <c r="D3629" s="7" t="s">
        <v>7584</v>
      </c>
      <c r="E3629" s="7" t="s">
        <v>30</v>
      </c>
      <c r="F3629" s="7" t="s">
        <v>7543</v>
      </c>
      <c r="G3629" s="7" t="n">
        <v>2017</v>
      </c>
      <c r="H3629" s="7" t="s">
        <v>55</v>
      </c>
      <c r="I3629" s="7" t="s">
        <v>451</v>
      </c>
      <c r="J3629" s="7" t="s">
        <v>6283</v>
      </c>
      <c r="K3629" s="7" t="n">
        <f aca="false">IFERROR(VALUE(RIGHT(TRIM(F3629),4)),"")</f>
        <v>2019</v>
      </c>
      <c r="L3629" s="7" t="str">
        <f aca="false">IF(TRIM(E3629)="","Unknown",IFERROR(LEFT(TRIM(E3629),FIND(",",TRIM(E3629))-1),TRIM(E3629)))</f>
        <v>Japan</v>
      </c>
      <c r="M3629" s="7" t="str">
        <f aca="false">IFERROR(LEFT(J3629,FIND(",",J3629)-1),J3629)</f>
        <v>Anime Features</v>
      </c>
      <c r="N3629" s="7" t="n">
        <f aca="false">IF(B3629="Movie",IFERROR(VALUE(LEFT(I3629,FIND(" ",I3629)-1)),""),"")</f>
        <v>97</v>
      </c>
      <c r="O3629" s="7" t="str">
        <f aca="false">IF(B3629="TV Show",IFERROR(VALUE(LEFT(I3629,FIND(" ",I3629)-1)),""),"")</f>
        <v/>
      </c>
      <c r="P3629" s="7" t="n">
        <f aca="false">IF(K3629="","",K3629-G3629)</f>
        <v>2</v>
      </c>
    </row>
    <row r="3630" customFormat="false" ht="15" hidden="false" customHeight="false" outlineLevel="0" collapsed="false">
      <c r="A3630" s="7" t="n">
        <v>880640</v>
      </c>
      <c r="B3630" s="7" t="s">
        <v>68</v>
      </c>
      <c r="C3630" s="7" t="s">
        <v>7585</v>
      </c>
      <c r="D3630" s="7" t="s">
        <v>1448</v>
      </c>
      <c r="E3630" s="7" t="s">
        <v>26</v>
      </c>
      <c r="F3630" s="7" t="s">
        <v>7543</v>
      </c>
      <c r="G3630" s="7" t="n">
        <v>1994</v>
      </c>
      <c r="H3630" s="7" t="s">
        <v>51</v>
      </c>
      <c r="I3630" s="7" t="s">
        <v>1955</v>
      </c>
      <c r="J3630" s="7" t="s">
        <v>7586</v>
      </c>
      <c r="K3630" s="7" t="n">
        <f aca="false">IFERROR(VALUE(RIGHT(TRIM(F3630),4)),"")</f>
        <v>2019</v>
      </c>
      <c r="L3630" s="7" t="str">
        <f aca="false">IF(TRIM(E3630)="","Unknown",IFERROR(LEFT(TRIM(E3630),FIND(",",TRIM(E3630))-1),TRIM(E3630)))</f>
        <v>United States</v>
      </c>
      <c r="M3630" s="7" t="str">
        <f aca="false">IFERROR(LEFT(J3630,FIND(",",J3630)-1),J3630)</f>
        <v>Classic Movies</v>
      </c>
      <c r="N3630" s="7" t="n">
        <f aca="false">IF(B3630="Movie",IFERROR(VALUE(LEFT(I3630,FIND(" ",I3630)-1)),""),"")</f>
        <v>154</v>
      </c>
      <c r="O3630" s="7" t="str">
        <f aca="false">IF(B3630="TV Show",IFERROR(VALUE(LEFT(I3630,FIND(" ",I3630)-1)),""),"")</f>
        <v/>
      </c>
      <c r="P3630" s="7" t="n">
        <f aca="false">IF(K3630="","",K3630-G3630)</f>
        <v>25</v>
      </c>
    </row>
    <row r="3631" customFormat="false" ht="15" hidden="false" customHeight="false" outlineLevel="0" collapsed="false">
      <c r="A3631" s="7" t="n">
        <v>81052279</v>
      </c>
      <c r="B3631" s="7" t="s">
        <v>68</v>
      </c>
      <c r="C3631" s="7" t="s">
        <v>7587</v>
      </c>
      <c r="D3631" s="7" t="s">
        <v>7588</v>
      </c>
      <c r="E3631" s="7" t="s">
        <v>27</v>
      </c>
      <c r="F3631" s="7" t="s">
        <v>7543</v>
      </c>
      <c r="G3631" s="7" t="n">
        <v>2017</v>
      </c>
      <c r="H3631" s="7" t="s">
        <v>48</v>
      </c>
      <c r="I3631" s="7" t="s">
        <v>2551</v>
      </c>
      <c r="J3631" s="7" t="s">
        <v>358</v>
      </c>
      <c r="K3631" s="7" t="n">
        <f aca="false">IFERROR(VALUE(RIGHT(TRIM(F3631),4)),"")</f>
        <v>2019</v>
      </c>
      <c r="L3631" s="7" t="str">
        <f aca="false">IF(TRIM(E3631)="","Unknown",IFERROR(LEFT(TRIM(E3631),FIND(",",TRIM(E3631))-1),TRIM(E3631)))</f>
        <v>India</v>
      </c>
      <c r="M3631" s="7" t="str">
        <f aca="false">IFERROR(LEFT(J3631,FIND(",",J3631)-1),J3631)</f>
        <v>International Movies</v>
      </c>
      <c r="N3631" s="7" t="n">
        <f aca="false">IF(B3631="Movie",IFERROR(VALUE(LEFT(I3631,FIND(" ",I3631)-1)),""),"")</f>
        <v>120</v>
      </c>
      <c r="O3631" s="7" t="str">
        <f aca="false">IF(B3631="TV Show",IFERROR(VALUE(LEFT(I3631,FIND(" ",I3631)-1)),""),"")</f>
        <v/>
      </c>
      <c r="P3631" s="7" t="n">
        <f aca="false">IF(K3631="","",K3631-G3631)</f>
        <v>2</v>
      </c>
    </row>
    <row r="3632" customFormat="false" ht="15" hidden="false" customHeight="false" outlineLevel="0" collapsed="false">
      <c r="A3632" s="7" t="n">
        <v>81052277</v>
      </c>
      <c r="B3632" s="7" t="s">
        <v>68</v>
      </c>
      <c r="C3632" s="7" t="s">
        <v>7589</v>
      </c>
      <c r="D3632" s="7" t="s">
        <v>7590</v>
      </c>
      <c r="E3632" s="7" t="s">
        <v>27</v>
      </c>
      <c r="F3632" s="7" t="s">
        <v>7543</v>
      </c>
      <c r="G3632" s="7" t="n">
        <v>2017</v>
      </c>
      <c r="H3632" s="7" t="s">
        <v>49</v>
      </c>
      <c r="I3632" s="7" t="s">
        <v>1026</v>
      </c>
      <c r="J3632" s="7" t="s">
        <v>188</v>
      </c>
      <c r="K3632" s="7" t="n">
        <f aca="false">IFERROR(VALUE(RIGHT(TRIM(F3632),4)),"")</f>
        <v>2019</v>
      </c>
      <c r="L3632" s="7" t="str">
        <f aca="false">IF(TRIM(E3632)="","Unknown",IFERROR(LEFT(TRIM(E3632),FIND(",",TRIM(E3632))-1),TRIM(E3632)))</f>
        <v>India</v>
      </c>
      <c r="M3632" s="7" t="str">
        <f aca="false">IFERROR(LEFT(J3632,FIND(",",J3632)-1),J3632)</f>
        <v>Dramas</v>
      </c>
      <c r="N3632" s="7" t="n">
        <f aca="false">IF(B3632="Movie",IFERROR(VALUE(LEFT(I3632,FIND(" ",I3632)-1)),""),"")</f>
        <v>148</v>
      </c>
      <c r="O3632" s="7" t="str">
        <f aca="false">IF(B3632="TV Show",IFERROR(VALUE(LEFT(I3632,FIND(" ",I3632)-1)),""),"")</f>
        <v/>
      </c>
      <c r="P3632" s="7" t="n">
        <f aca="false">IF(K3632="","",K3632-G3632)</f>
        <v>2</v>
      </c>
    </row>
    <row r="3633" customFormat="false" ht="15" hidden="false" customHeight="false" outlineLevel="0" collapsed="false">
      <c r="A3633" s="7" t="n">
        <v>60026139</v>
      </c>
      <c r="B3633" s="7" t="s">
        <v>68</v>
      </c>
      <c r="C3633" s="7" t="s">
        <v>7591</v>
      </c>
      <c r="D3633" s="7" t="s">
        <v>2122</v>
      </c>
      <c r="E3633" s="7" t="s">
        <v>26</v>
      </c>
      <c r="F3633" s="7" t="s">
        <v>7543</v>
      </c>
      <c r="G3633" s="7" t="n">
        <v>2003</v>
      </c>
      <c r="H3633" s="7" t="s">
        <v>51</v>
      </c>
      <c r="I3633" s="7" t="s">
        <v>505</v>
      </c>
      <c r="J3633" s="7" t="s">
        <v>370</v>
      </c>
      <c r="K3633" s="7" t="n">
        <f aca="false">IFERROR(VALUE(RIGHT(TRIM(F3633),4)),"")</f>
        <v>2019</v>
      </c>
      <c r="L3633" s="7" t="str">
        <f aca="false">IF(TRIM(E3633)="","Unknown",IFERROR(LEFT(TRIM(E3633),FIND(",",TRIM(E3633))-1),TRIM(E3633)))</f>
        <v>United States</v>
      </c>
      <c r="M3633" s="7" t="str">
        <f aca="false">IFERROR(LEFT(J3633,FIND(",",J3633)-1),J3633)</f>
        <v>Action &amp; Adventure</v>
      </c>
      <c r="N3633" s="7" t="n">
        <f aca="false">IF(B3633="Movie",IFERROR(VALUE(LEFT(I3633,FIND(" ",I3633)-1)),""),"")</f>
        <v>121</v>
      </c>
      <c r="O3633" s="7" t="str">
        <f aca="false">IF(B3633="TV Show",IFERROR(VALUE(LEFT(I3633,FIND(" ",I3633)-1)),""),"")</f>
        <v/>
      </c>
      <c r="P3633" s="7" t="n">
        <f aca="false">IF(K3633="","",K3633-G3633)</f>
        <v>16</v>
      </c>
    </row>
    <row r="3634" customFormat="false" ht="15" hidden="false" customHeight="false" outlineLevel="0" collapsed="false">
      <c r="A3634" s="7" t="n">
        <v>70101375</v>
      </c>
      <c r="B3634" s="7" t="s">
        <v>68</v>
      </c>
      <c r="C3634" s="7" t="s">
        <v>7592</v>
      </c>
      <c r="D3634" s="7" t="s">
        <v>7593</v>
      </c>
      <c r="E3634" s="7" t="s">
        <v>317</v>
      </c>
      <c r="F3634" s="7" t="s">
        <v>7543</v>
      </c>
      <c r="G3634" s="7" t="n">
        <v>2008</v>
      </c>
      <c r="H3634" s="7" t="s">
        <v>52</v>
      </c>
      <c r="I3634" s="7" t="s">
        <v>111</v>
      </c>
      <c r="J3634" s="7" t="s">
        <v>188</v>
      </c>
      <c r="K3634" s="7" t="n">
        <f aca="false">IFERROR(VALUE(RIGHT(TRIM(F3634),4)),"")</f>
        <v>2019</v>
      </c>
      <c r="L3634" s="7" t="str">
        <f aca="false">IF(TRIM(E3634)="","Unknown",IFERROR(LEFT(TRIM(E3634),FIND(",",TRIM(E3634))-1),TRIM(E3634)))</f>
        <v>United Kingdom</v>
      </c>
      <c r="M3634" s="7" t="str">
        <f aca="false">IFERROR(LEFT(J3634,FIND(",",J3634)-1),J3634)</f>
        <v>Dramas</v>
      </c>
      <c r="N3634" s="7" t="n">
        <f aca="false">IF(B3634="Movie",IFERROR(VALUE(LEFT(I3634,FIND(" ",I3634)-1)),""),"")</f>
        <v>95</v>
      </c>
      <c r="O3634" s="7" t="str">
        <f aca="false">IF(B3634="TV Show",IFERROR(VALUE(LEFT(I3634,FIND(" ",I3634)-1)),""),"")</f>
        <v/>
      </c>
      <c r="P3634" s="7" t="n">
        <f aca="false">IF(K3634="","",K3634-G3634)</f>
        <v>11</v>
      </c>
    </row>
    <row r="3635" customFormat="false" ht="15" hidden="false" customHeight="false" outlineLevel="0" collapsed="false">
      <c r="A3635" s="7" t="n">
        <v>408911</v>
      </c>
      <c r="B3635" s="7" t="s">
        <v>68</v>
      </c>
      <c r="C3635" s="7" t="s">
        <v>7594</v>
      </c>
      <c r="D3635" s="7" t="s">
        <v>2032</v>
      </c>
      <c r="E3635" s="7" t="s">
        <v>26</v>
      </c>
      <c r="F3635" s="7" t="s">
        <v>7543</v>
      </c>
      <c r="G3635" s="7" t="n">
        <v>1994</v>
      </c>
      <c r="H3635" s="7" t="s">
        <v>51</v>
      </c>
      <c r="I3635" s="7" t="s">
        <v>181</v>
      </c>
      <c r="J3635" s="7" t="s">
        <v>7595</v>
      </c>
      <c r="K3635" s="7" t="n">
        <f aca="false">IFERROR(VALUE(RIGHT(TRIM(F3635),4)),"")</f>
        <v>2019</v>
      </c>
      <c r="L3635" s="7" t="str">
        <f aca="false">IF(TRIM(E3635)="","Unknown",IFERROR(LEFT(TRIM(E3635),FIND(",",TRIM(E3635))-1),TRIM(E3635)))</f>
        <v>United States</v>
      </c>
      <c r="M3635" s="7" t="str">
        <f aca="false">IFERROR(LEFT(J3635,FIND(",",J3635)-1),J3635)</f>
        <v>Action &amp; Adventure</v>
      </c>
      <c r="N3635" s="7" t="n">
        <f aca="false">IF(B3635="Movie",IFERROR(VALUE(LEFT(I3635,FIND(" ",I3635)-1)),""),"")</f>
        <v>102</v>
      </c>
      <c r="O3635" s="7" t="str">
        <f aca="false">IF(B3635="TV Show",IFERROR(VALUE(LEFT(I3635,FIND(" ",I3635)-1)),""),"")</f>
        <v/>
      </c>
      <c r="P3635" s="7" t="n">
        <f aca="false">IF(K3635="","",K3635-G3635)</f>
        <v>25</v>
      </c>
    </row>
    <row r="3636" customFormat="false" ht="15" hidden="false" customHeight="false" outlineLevel="0" collapsed="false">
      <c r="A3636" s="7" t="n">
        <v>80195885</v>
      </c>
      <c r="B3636" s="7" t="s">
        <v>68</v>
      </c>
      <c r="C3636" s="7" t="s">
        <v>7596</v>
      </c>
      <c r="D3636" s="7" t="s">
        <v>7597</v>
      </c>
      <c r="E3636" s="7" t="s">
        <v>28</v>
      </c>
      <c r="F3636" s="7" t="s">
        <v>7543</v>
      </c>
      <c r="G3636" s="7" t="n">
        <v>2016</v>
      </c>
      <c r="H3636" s="7" t="s">
        <v>53</v>
      </c>
      <c r="I3636" s="7" t="s">
        <v>494</v>
      </c>
      <c r="J3636" s="7" t="s">
        <v>566</v>
      </c>
      <c r="K3636" s="7" t="n">
        <f aca="false">IFERROR(VALUE(RIGHT(TRIM(F3636),4)),"")</f>
        <v>2019</v>
      </c>
      <c r="L3636" s="7" t="str">
        <f aca="false">IF(TRIM(E3636)="","Unknown",IFERROR(LEFT(TRIM(E3636),FIND(",",TRIM(E3636))-1),TRIM(E3636)))</f>
        <v>United Kingdom</v>
      </c>
      <c r="M3636" s="7" t="str">
        <f aca="false">IFERROR(LEFT(J3636,FIND(",",J3636)-1),J3636)</f>
        <v>Dramas</v>
      </c>
      <c r="N3636" s="7" t="n">
        <f aca="false">IF(B3636="Movie",IFERROR(VALUE(LEFT(I3636,FIND(" ",I3636)-1)),""),"")</f>
        <v>87</v>
      </c>
      <c r="O3636" s="7" t="str">
        <f aca="false">IF(B3636="TV Show",IFERROR(VALUE(LEFT(I3636,FIND(" ",I3636)-1)),""),"")</f>
        <v/>
      </c>
      <c r="P3636" s="7" t="n">
        <f aca="false">IF(K3636="","",K3636-G3636)</f>
        <v>3</v>
      </c>
    </row>
    <row r="3637" customFormat="false" ht="15" hidden="false" customHeight="false" outlineLevel="0" collapsed="false">
      <c r="A3637" s="7" t="n">
        <v>80209379</v>
      </c>
      <c r="B3637" s="7" t="s">
        <v>78</v>
      </c>
      <c r="C3637" s="7" t="s">
        <v>7598</v>
      </c>
      <c r="E3637" s="7" t="s">
        <v>26</v>
      </c>
      <c r="F3637" s="7" t="s">
        <v>7543</v>
      </c>
      <c r="G3637" s="7" t="n">
        <v>2019</v>
      </c>
      <c r="H3637" s="7" t="s">
        <v>50</v>
      </c>
      <c r="I3637" s="7" t="s">
        <v>82</v>
      </c>
      <c r="J3637" s="7" t="s">
        <v>701</v>
      </c>
      <c r="K3637" s="7" t="n">
        <f aca="false">IFERROR(VALUE(RIGHT(TRIM(F3637),4)),"")</f>
        <v>2019</v>
      </c>
      <c r="L3637" s="7" t="str">
        <f aca="false">IF(TRIM(E3637)="","Unknown",IFERROR(LEFT(TRIM(E3637),FIND(",",TRIM(E3637))-1),TRIM(E3637)))</f>
        <v>United States</v>
      </c>
      <c r="M3637" s="7" t="str">
        <f aca="false">IFERROR(LEFT(J3637,FIND(",",J3637)-1),J3637)</f>
        <v>Reality TV</v>
      </c>
      <c r="N3637" s="7" t="str">
        <f aca="false">IF(B3637="Movie",IFERROR(VALUE(LEFT(I3637,FIND(" ",I3637)-1)),""),"")</f>
        <v/>
      </c>
      <c r="O3637" s="7" t="n">
        <f aca="false">IF(B3637="TV Show",IFERROR(VALUE(LEFT(I3637,FIND(" ",I3637)-1)),""),"")</f>
        <v>1</v>
      </c>
      <c r="P3637" s="7" t="n">
        <f aca="false">IF(K3637="","",K3637-G3637)</f>
        <v>0</v>
      </c>
    </row>
    <row r="3638" customFormat="false" ht="15" hidden="false" customHeight="false" outlineLevel="0" collapsed="false">
      <c r="A3638" s="7" t="n">
        <v>70307648</v>
      </c>
      <c r="B3638" s="7" t="s">
        <v>68</v>
      </c>
      <c r="C3638" s="7" t="s">
        <v>7599</v>
      </c>
      <c r="D3638" s="7" t="s">
        <v>7600</v>
      </c>
      <c r="E3638" s="7" t="s">
        <v>7601</v>
      </c>
      <c r="F3638" s="7" t="s">
        <v>7543</v>
      </c>
      <c r="G3638" s="7" t="n">
        <v>2014</v>
      </c>
      <c r="H3638" s="7" t="s">
        <v>51</v>
      </c>
      <c r="I3638" s="7" t="s">
        <v>187</v>
      </c>
      <c r="J3638" s="7" t="s">
        <v>520</v>
      </c>
      <c r="K3638" s="7" t="n">
        <f aca="false">IFERROR(VALUE(RIGHT(TRIM(F3638),4)),"")</f>
        <v>2019</v>
      </c>
      <c r="L3638" s="7" t="str">
        <f aca="false">IF(TRIM(E3638)="","Unknown",IFERROR(LEFT(TRIM(E3638),FIND(",",TRIM(E3638))-1),TRIM(E3638)))</f>
        <v>United Kingdom</v>
      </c>
      <c r="M3638" s="7" t="str">
        <f aca="false">IFERROR(LEFT(J3638,FIND(",",J3638)-1),J3638)</f>
        <v>Dramas</v>
      </c>
      <c r="N3638" s="7" t="n">
        <f aca="false">IF(B3638="Movie",IFERROR(VALUE(LEFT(I3638,FIND(" ",I3638)-1)),""),"")</f>
        <v>114</v>
      </c>
      <c r="O3638" s="7" t="str">
        <f aca="false">IF(B3638="TV Show",IFERROR(VALUE(LEFT(I3638,FIND(" ",I3638)-1)),""),"")</f>
        <v/>
      </c>
      <c r="P3638" s="7" t="n">
        <f aca="false">IF(K3638="","",K3638-G3638)</f>
        <v>5</v>
      </c>
    </row>
    <row r="3639" customFormat="false" ht="15" hidden="false" customHeight="false" outlineLevel="0" collapsed="false">
      <c r="A3639" s="7" t="n">
        <v>70174741</v>
      </c>
      <c r="B3639" s="7" t="s">
        <v>68</v>
      </c>
      <c r="C3639" s="7" t="s">
        <v>7602</v>
      </c>
      <c r="D3639" s="7" t="s">
        <v>7603</v>
      </c>
      <c r="E3639" s="7" t="s">
        <v>26</v>
      </c>
      <c r="F3639" s="7" t="s">
        <v>7543</v>
      </c>
      <c r="G3639" s="7" t="n">
        <v>2010</v>
      </c>
      <c r="H3639" s="7" t="s">
        <v>48</v>
      </c>
      <c r="I3639" s="7" t="s">
        <v>1446</v>
      </c>
      <c r="J3639" s="7" t="s">
        <v>45</v>
      </c>
      <c r="K3639" s="7" t="n">
        <f aca="false">IFERROR(VALUE(RIGHT(TRIM(F3639),4)),"")</f>
        <v>2019</v>
      </c>
      <c r="L3639" s="7" t="str">
        <f aca="false">IF(TRIM(E3639)="","Unknown",IFERROR(LEFT(TRIM(E3639),FIND(",",TRIM(E3639))-1),TRIM(E3639)))</f>
        <v>United States</v>
      </c>
      <c r="M3639" s="7" t="str">
        <f aca="false">IFERROR(LEFT(J3639,FIND(",",J3639)-1),J3639)</f>
        <v>Stand-Up Comedy</v>
      </c>
      <c r="N3639" s="7" t="n">
        <f aca="false">IF(B3639="Movie",IFERROR(VALUE(LEFT(I3639,FIND(" ",I3639)-1)),""),"")</f>
        <v>48</v>
      </c>
      <c r="O3639" s="7" t="str">
        <f aca="false">IF(B3639="TV Show",IFERROR(VALUE(LEFT(I3639,FIND(" ",I3639)-1)),""),"")</f>
        <v/>
      </c>
      <c r="P3639" s="7" t="n">
        <f aca="false">IF(K3639="","",K3639-G3639)</f>
        <v>9</v>
      </c>
    </row>
    <row r="3640" customFormat="false" ht="15" hidden="false" customHeight="false" outlineLevel="0" collapsed="false">
      <c r="A3640" s="7" t="n">
        <v>60023619</v>
      </c>
      <c r="B3640" s="7" t="s">
        <v>68</v>
      </c>
      <c r="C3640" s="7" t="s">
        <v>7604</v>
      </c>
      <c r="D3640" s="7" t="s">
        <v>432</v>
      </c>
      <c r="E3640" s="7" t="s">
        <v>26</v>
      </c>
      <c r="F3640" s="7" t="s">
        <v>7543</v>
      </c>
      <c r="G3640" s="7" t="n">
        <v>2002</v>
      </c>
      <c r="H3640" s="7" t="s">
        <v>52</v>
      </c>
      <c r="I3640" s="7" t="s">
        <v>549</v>
      </c>
      <c r="J3640" s="7" t="s">
        <v>7605</v>
      </c>
      <c r="K3640" s="7" t="n">
        <f aca="false">IFERROR(VALUE(RIGHT(TRIM(F3640),4)),"")</f>
        <v>2019</v>
      </c>
      <c r="L3640" s="7" t="str">
        <f aca="false">IF(TRIM(E3640)="","Unknown",IFERROR(LEFT(TRIM(E3640),FIND(",",TRIM(E3640))-1),TRIM(E3640)))</f>
        <v>United States</v>
      </c>
      <c r="M3640" s="7" t="str">
        <f aca="false">IFERROR(LEFT(J3640,FIND(",",J3640)-1),J3640)</f>
        <v>Action &amp; Adventure</v>
      </c>
      <c r="N3640" s="7" t="n">
        <f aca="false">IF(B3640="Movie",IFERROR(VALUE(LEFT(I3640,FIND(" ",I3640)-1)),""),"")</f>
        <v>124</v>
      </c>
      <c r="O3640" s="7" t="str">
        <f aca="false">IF(B3640="TV Show",IFERROR(VALUE(LEFT(I3640,FIND(" ",I3640)-1)),""),"")</f>
        <v/>
      </c>
      <c r="P3640" s="7" t="n">
        <f aca="false">IF(K3640="","",K3640-G3640)</f>
        <v>17</v>
      </c>
    </row>
    <row r="3641" customFormat="false" ht="15" hidden="false" customHeight="false" outlineLevel="0" collapsed="false">
      <c r="A3641" s="7" t="n">
        <v>70023960</v>
      </c>
      <c r="B3641" s="7" t="s">
        <v>68</v>
      </c>
      <c r="C3641" s="7" t="s">
        <v>7606</v>
      </c>
      <c r="D3641" s="7" t="s">
        <v>1982</v>
      </c>
      <c r="E3641" s="7" t="s">
        <v>26</v>
      </c>
      <c r="F3641" s="7" t="s">
        <v>7543</v>
      </c>
      <c r="G3641" s="7" t="n">
        <v>2005</v>
      </c>
      <c r="H3641" s="7" t="s">
        <v>52</v>
      </c>
      <c r="I3641" s="7" t="s">
        <v>512</v>
      </c>
      <c r="J3641" s="7" t="s">
        <v>40</v>
      </c>
      <c r="K3641" s="7" t="n">
        <f aca="false">IFERROR(VALUE(RIGHT(TRIM(F3641),4)),"")</f>
        <v>2019</v>
      </c>
      <c r="L3641" s="7" t="str">
        <f aca="false">IF(TRIM(E3641)="","Unknown",IFERROR(LEFT(TRIM(E3641),FIND(",",TRIM(E3641))-1),TRIM(E3641)))</f>
        <v>United States</v>
      </c>
      <c r="M3641" s="7" t="str">
        <f aca="false">IFERROR(LEFT(J3641,FIND(",",J3641)-1),J3641)</f>
        <v>Action &amp; Adventure</v>
      </c>
      <c r="N3641" s="7" t="n">
        <f aca="false">IF(B3641="Movie",IFERROR(VALUE(LEFT(I3641,FIND(" ",I3641)-1)),""),"")</f>
        <v>101</v>
      </c>
      <c r="O3641" s="7" t="str">
        <f aca="false">IF(B3641="TV Show",IFERROR(VALUE(LEFT(I3641,FIND(" ",I3641)-1)),""),"")</f>
        <v/>
      </c>
      <c r="P3641" s="7" t="n">
        <f aca="false">IF(K3641="","",K3641-G3641)</f>
        <v>14</v>
      </c>
    </row>
    <row r="3642" customFormat="false" ht="15" hidden="false" customHeight="false" outlineLevel="0" collapsed="false">
      <c r="A3642" s="7" t="n">
        <v>80201623</v>
      </c>
      <c r="B3642" s="7" t="s">
        <v>68</v>
      </c>
      <c r="C3642" s="7" t="s">
        <v>7607</v>
      </c>
      <c r="D3642" s="7" t="s">
        <v>7608</v>
      </c>
      <c r="E3642" s="7" t="s">
        <v>27</v>
      </c>
      <c r="F3642" s="7" t="s">
        <v>7609</v>
      </c>
      <c r="G3642" s="7" t="n">
        <v>2013</v>
      </c>
      <c r="H3642" s="7" t="s">
        <v>50</v>
      </c>
      <c r="I3642" s="7" t="s">
        <v>235</v>
      </c>
      <c r="J3642" s="7" t="s">
        <v>217</v>
      </c>
      <c r="K3642" s="7" t="n">
        <f aca="false">IFERROR(VALUE(RIGHT(TRIM(F3642),4)),"")</f>
        <v>2018</v>
      </c>
      <c r="L3642" s="7" t="str">
        <f aca="false">IF(TRIM(E3642)="","Unknown",IFERROR(LEFT(TRIM(E3642),FIND(",",TRIM(E3642))-1),TRIM(E3642)))</f>
        <v>India</v>
      </c>
      <c r="M3642" s="7" t="str">
        <f aca="false">IFERROR(LEFT(J3642,FIND(",",J3642)-1),J3642)</f>
        <v>Comedies</v>
      </c>
      <c r="N3642" s="7" t="n">
        <f aca="false">IF(B3642="Movie",IFERROR(VALUE(LEFT(I3642,FIND(" ",I3642)-1)),""),"")</f>
        <v>126</v>
      </c>
      <c r="O3642" s="7" t="str">
        <f aca="false">IF(B3642="TV Show",IFERROR(VALUE(LEFT(I3642,FIND(" ",I3642)-1)),""),"")</f>
        <v/>
      </c>
      <c r="P3642" s="7" t="n">
        <f aca="false">IF(K3642="","",K3642-G3642)</f>
        <v>5</v>
      </c>
    </row>
    <row r="3643" customFormat="false" ht="15" hidden="false" customHeight="false" outlineLevel="0" collapsed="false">
      <c r="A3643" s="7" t="n">
        <v>80202086</v>
      </c>
      <c r="B3643" s="7" t="s">
        <v>68</v>
      </c>
      <c r="C3643" s="7" t="s">
        <v>7610</v>
      </c>
      <c r="D3643" s="7" t="s">
        <v>7611</v>
      </c>
      <c r="E3643" s="7" t="s">
        <v>27</v>
      </c>
      <c r="F3643" s="7" t="s">
        <v>7609</v>
      </c>
      <c r="G3643" s="7" t="n">
        <v>2010</v>
      </c>
      <c r="H3643" s="7" t="s">
        <v>49</v>
      </c>
      <c r="I3643" s="7" t="s">
        <v>201</v>
      </c>
      <c r="J3643" s="7" t="s">
        <v>217</v>
      </c>
      <c r="K3643" s="7" t="n">
        <f aca="false">IFERROR(VALUE(RIGHT(TRIM(F3643),4)),"")</f>
        <v>2018</v>
      </c>
      <c r="L3643" s="7" t="str">
        <f aca="false">IF(TRIM(E3643)="","Unknown",IFERROR(LEFT(TRIM(E3643),FIND(",",TRIM(E3643))-1),TRIM(E3643)))</f>
        <v>India</v>
      </c>
      <c r="M3643" s="7" t="str">
        <f aca="false">IFERROR(LEFT(J3643,FIND(",",J3643)-1),J3643)</f>
        <v>Comedies</v>
      </c>
      <c r="N3643" s="7" t="n">
        <f aca="false">IF(B3643="Movie",IFERROR(VALUE(LEFT(I3643,FIND(" ",I3643)-1)),""),"")</f>
        <v>133</v>
      </c>
      <c r="O3643" s="7" t="str">
        <f aca="false">IF(B3643="TV Show",IFERROR(VALUE(LEFT(I3643,FIND(" ",I3643)-1)),""),"")</f>
        <v/>
      </c>
      <c r="P3643" s="7" t="n">
        <f aca="false">IF(K3643="","",K3643-G3643)</f>
        <v>8</v>
      </c>
    </row>
    <row r="3644" customFormat="false" ht="15" hidden="false" customHeight="false" outlineLevel="0" collapsed="false">
      <c r="A3644" s="7" t="n">
        <v>80190844</v>
      </c>
      <c r="B3644" s="7" t="s">
        <v>68</v>
      </c>
      <c r="C3644" s="7" t="s">
        <v>7612</v>
      </c>
      <c r="D3644" s="7" t="s">
        <v>7613</v>
      </c>
      <c r="E3644" s="7" t="s">
        <v>26</v>
      </c>
      <c r="F3644" s="7" t="s">
        <v>7609</v>
      </c>
      <c r="G3644" s="7" t="n">
        <v>2017</v>
      </c>
      <c r="H3644" s="7" t="s">
        <v>226</v>
      </c>
      <c r="I3644" s="7" t="s">
        <v>73</v>
      </c>
      <c r="J3644" s="7" t="s">
        <v>39</v>
      </c>
      <c r="K3644" s="7" t="n">
        <f aca="false">IFERROR(VALUE(RIGHT(TRIM(F3644),4)),"")</f>
        <v>2018</v>
      </c>
      <c r="L3644" s="7" t="str">
        <f aca="false">IF(TRIM(E3644)="","Unknown",IFERROR(LEFT(TRIM(E3644),FIND(",",TRIM(E3644))-1),TRIM(E3644)))</f>
        <v>United States</v>
      </c>
      <c r="M3644" s="7" t="str">
        <f aca="false">IFERROR(LEFT(J3644,FIND(",",J3644)-1),J3644)</f>
        <v>Documentaries</v>
      </c>
      <c r="N3644" s="7" t="n">
        <f aca="false">IF(B3644="Movie",IFERROR(VALUE(LEFT(I3644,FIND(" ",I3644)-1)),""),"")</f>
        <v>90</v>
      </c>
      <c r="O3644" s="7" t="str">
        <f aca="false">IF(B3644="TV Show",IFERROR(VALUE(LEFT(I3644,FIND(" ",I3644)-1)),""),"")</f>
        <v/>
      </c>
      <c r="P3644" s="7" t="n">
        <f aca="false">IF(K3644="","",K3644-G3644)</f>
        <v>1</v>
      </c>
    </row>
    <row r="3645" customFormat="false" ht="15" hidden="false" customHeight="false" outlineLevel="0" collapsed="false">
      <c r="A3645" s="7" t="n">
        <v>80201626</v>
      </c>
      <c r="B3645" s="7" t="s">
        <v>68</v>
      </c>
      <c r="C3645" s="7" t="s">
        <v>7614</v>
      </c>
      <c r="D3645" s="7" t="s">
        <v>4830</v>
      </c>
      <c r="E3645" s="7" t="s">
        <v>27</v>
      </c>
      <c r="F3645" s="7" t="s">
        <v>7609</v>
      </c>
      <c r="G3645" s="7" t="n">
        <v>2006</v>
      </c>
      <c r="H3645" s="7" t="s">
        <v>49</v>
      </c>
      <c r="I3645" s="7" t="s">
        <v>470</v>
      </c>
      <c r="J3645" s="7" t="s">
        <v>304</v>
      </c>
      <c r="K3645" s="7" t="n">
        <f aca="false">IFERROR(VALUE(RIGHT(TRIM(F3645),4)),"")</f>
        <v>2018</v>
      </c>
      <c r="L3645" s="7" t="str">
        <f aca="false">IF(TRIM(E3645)="","Unknown",IFERROR(LEFT(TRIM(E3645),FIND(",",TRIM(E3645))-1),TRIM(E3645)))</f>
        <v>India</v>
      </c>
      <c r="M3645" s="7" t="str">
        <f aca="false">IFERROR(LEFT(J3645,FIND(",",J3645)-1),J3645)</f>
        <v>Dramas</v>
      </c>
      <c r="N3645" s="7" t="n">
        <f aca="false">IF(B3645="Movie",IFERROR(VALUE(LEFT(I3645,FIND(" ",I3645)-1)),""),"")</f>
        <v>91</v>
      </c>
      <c r="O3645" s="7" t="str">
        <f aca="false">IF(B3645="TV Show",IFERROR(VALUE(LEFT(I3645,FIND(" ",I3645)-1)),""),"")</f>
        <v/>
      </c>
      <c r="P3645" s="7" t="n">
        <f aca="false">IF(K3645="","",K3645-G3645)</f>
        <v>12</v>
      </c>
    </row>
    <row r="3646" customFormat="false" ht="15" hidden="false" customHeight="false" outlineLevel="0" collapsed="false">
      <c r="A3646" s="7" t="n">
        <v>80195653</v>
      </c>
      <c r="B3646" s="7" t="s">
        <v>68</v>
      </c>
      <c r="C3646" s="7" t="s">
        <v>7615</v>
      </c>
      <c r="D3646" s="7" t="s">
        <v>7616</v>
      </c>
      <c r="E3646" s="7" t="s">
        <v>26</v>
      </c>
      <c r="F3646" s="7" t="s">
        <v>7609</v>
      </c>
      <c r="G3646" s="7" t="n">
        <v>2017</v>
      </c>
      <c r="H3646" s="7" t="s">
        <v>226</v>
      </c>
      <c r="I3646" s="7" t="s">
        <v>417</v>
      </c>
      <c r="J3646" s="7" t="s">
        <v>986</v>
      </c>
      <c r="K3646" s="7" t="n">
        <f aca="false">IFERROR(VALUE(RIGHT(TRIM(F3646),4)),"")</f>
        <v>2018</v>
      </c>
      <c r="L3646" s="7" t="str">
        <f aca="false">IF(TRIM(E3646)="","Unknown",IFERROR(LEFT(TRIM(E3646),FIND(",",TRIM(E3646))-1),TRIM(E3646)))</f>
        <v>United States</v>
      </c>
      <c r="M3646" s="7" t="str">
        <f aca="false">IFERROR(LEFT(J3646,FIND(",",J3646)-1),J3646)</f>
        <v>Children &amp; Family Movies</v>
      </c>
      <c r="N3646" s="7" t="n">
        <f aca="false">IF(B3646="Movie",IFERROR(VALUE(LEFT(I3646,FIND(" ",I3646)-1)),""),"")</f>
        <v>104</v>
      </c>
      <c r="O3646" s="7" t="str">
        <f aca="false">IF(B3646="TV Show",IFERROR(VALUE(LEFT(I3646,FIND(" ",I3646)-1)),""),"")</f>
        <v/>
      </c>
      <c r="P3646" s="7" t="n">
        <f aca="false">IF(K3646="","",K3646-G3646)</f>
        <v>1</v>
      </c>
    </row>
    <row r="3647" customFormat="false" ht="15" hidden="false" customHeight="false" outlineLevel="0" collapsed="false">
      <c r="A3647" s="7" t="n">
        <v>80084756</v>
      </c>
      <c r="B3647" s="7" t="s">
        <v>68</v>
      </c>
      <c r="C3647" s="7" t="s">
        <v>7617</v>
      </c>
      <c r="D3647" s="7" t="s">
        <v>7618</v>
      </c>
      <c r="E3647" s="7" t="s">
        <v>7619</v>
      </c>
      <c r="F3647" s="7" t="s">
        <v>7609</v>
      </c>
      <c r="G3647" s="7" t="n">
        <v>2012</v>
      </c>
      <c r="H3647" s="7" t="s">
        <v>53</v>
      </c>
      <c r="I3647" s="7" t="s">
        <v>820</v>
      </c>
      <c r="J3647" s="7" t="s">
        <v>188</v>
      </c>
      <c r="K3647" s="7" t="n">
        <f aca="false">IFERROR(VALUE(RIGHT(TRIM(F3647),4)),"")</f>
        <v>2018</v>
      </c>
      <c r="L3647" s="7" t="str">
        <f aca="false">IF(TRIM(E3647)="","Unknown",IFERROR(LEFT(TRIM(E3647),FIND(",",TRIM(E3647))-1),TRIM(E3647)))</f>
        <v>United States</v>
      </c>
      <c r="M3647" s="7" t="str">
        <f aca="false">IFERROR(LEFT(J3647,FIND(",",J3647)-1),J3647)</f>
        <v>Dramas</v>
      </c>
      <c r="N3647" s="7" t="n">
        <f aca="false">IF(B3647="Movie",IFERROR(VALUE(LEFT(I3647,FIND(" ",I3647)-1)),""),"")</f>
        <v>105</v>
      </c>
      <c r="O3647" s="7" t="str">
        <f aca="false">IF(B3647="TV Show",IFERROR(VALUE(LEFT(I3647,FIND(" ",I3647)-1)),""),"")</f>
        <v/>
      </c>
      <c r="P3647" s="7" t="n">
        <f aca="false">IF(K3647="","",K3647-G3647)</f>
        <v>6</v>
      </c>
    </row>
    <row r="3648" customFormat="false" ht="15" hidden="false" customHeight="false" outlineLevel="0" collapsed="false">
      <c r="A3648" s="7" t="n">
        <v>70117122</v>
      </c>
      <c r="B3648" s="7" t="s">
        <v>68</v>
      </c>
      <c r="C3648" s="7" t="s">
        <v>7620</v>
      </c>
      <c r="D3648" s="7" t="s">
        <v>4830</v>
      </c>
      <c r="E3648" s="7" t="s">
        <v>27</v>
      </c>
      <c r="F3648" s="7" t="s">
        <v>7609</v>
      </c>
      <c r="G3648" s="7" t="n">
        <v>2004</v>
      </c>
      <c r="H3648" s="7" t="s">
        <v>50</v>
      </c>
      <c r="I3648" s="7" t="s">
        <v>869</v>
      </c>
      <c r="J3648" s="7" t="s">
        <v>304</v>
      </c>
      <c r="K3648" s="7" t="n">
        <f aca="false">IFERROR(VALUE(RIGHT(TRIM(F3648),4)),"")</f>
        <v>2018</v>
      </c>
      <c r="L3648" s="7" t="str">
        <f aca="false">IF(TRIM(E3648)="","Unknown",IFERROR(LEFT(TRIM(E3648),FIND(",",TRIM(E3648))-1),TRIM(E3648)))</f>
        <v>India</v>
      </c>
      <c r="M3648" s="7" t="str">
        <f aca="false">IFERROR(LEFT(J3648,FIND(",",J3648)-1),J3648)</f>
        <v>Dramas</v>
      </c>
      <c r="N3648" s="7" t="n">
        <f aca="false">IF(B3648="Movie",IFERROR(VALUE(LEFT(I3648,FIND(" ",I3648)-1)),""),"")</f>
        <v>123</v>
      </c>
      <c r="O3648" s="7" t="str">
        <f aca="false">IF(B3648="TV Show",IFERROR(VALUE(LEFT(I3648,FIND(" ",I3648)-1)),""),"")</f>
        <v/>
      </c>
      <c r="P3648" s="7" t="n">
        <f aca="false">IF(K3648="","",K3648-G3648)</f>
        <v>14</v>
      </c>
    </row>
    <row r="3649" customFormat="false" ht="15" hidden="false" customHeight="false" outlineLevel="0" collapsed="false">
      <c r="A3649" s="7" t="n">
        <v>80197427</v>
      </c>
      <c r="B3649" s="7" t="s">
        <v>68</v>
      </c>
      <c r="C3649" s="7" t="s">
        <v>7621</v>
      </c>
      <c r="D3649" s="7" t="s">
        <v>7622</v>
      </c>
      <c r="E3649" s="7" t="s">
        <v>7623</v>
      </c>
      <c r="F3649" s="7" t="s">
        <v>7609</v>
      </c>
      <c r="G3649" s="7" t="n">
        <v>2017</v>
      </c>
      <c r="H3649" s="7" t="s">
        <v>50</v>
      </c>
      <c r="I3649" s="7" t="s">
        <v>357</v>
      </c>
      <c r="J3649" s="7" t="s">
        <v>341</v>
      </c>
      <c r="K3649" s="7" t="n">
        <f aca="false">IFERROR(VALUE(RIGHT(TRIM(F3649),4)),"")</f>
        <v>2018</v>
      </c>
      <c r="L3649" s="7" t="str">
        <f aca="false">IF(TRIM(E3649)="","Unknown",IFERROR(LEFT(TRIM(E3649),FIND(",",TRIM(E3649))-1),TRIM(E3649)))</f>
        <v>Germany</v>
      </c>
      <c r="M3649" s="7" t="str">
        <f aca="false">IFERROR(LEFT(J3649,FIND(",",J3649)-1),J3649)</f>
        <v>Documentaries</v>
      </c>
      <c r="N3649" s="7" t="n">
        <f aca="false">IF(B3649="Movie",IFERROR(VALUE(LEFT(I3649,FIND(" ",I3649)-1)),""),"")</f>
        <v>89</v>
      </c>
      <c r="O3649" s="7" t="str">
        <f aca="false">IF(B3649="TV Show",IFERROR(VALUE(LEFT(I3649,FIND(" ",I3649)-1)),""),"")</f>
        <v/>
      </c>
      <c r="P3649" s="7" t="n">
        <f aca="false">IF(K3649="","",K3649-G3649)</f>
        <v>1</v>
      </c>
    </row>
    <row r="3650" customFormat="false" ht="15" hidden="false" customHeight="false" outlineLevel="0" collapsed="false">
      <c r="A3650" s="7" t="n">
        <v>80192627</v>
      </c>
      <c r="B3650" s="7" t="s">
        <v>68</v>
      </c>
      <c r="C3650" s="7" t="s">
        <v>7624</v>
      </c>
      <c r="D3650" s="7" t="s">
        <v>3831</v>
      </c>
      <c r="E3650" s="7" t="s">
        <v>7625</v>
      </c>
      <c r="F3650" s="7" t="s">
        <v>7609</v>
      </c>
      <c r="G3650" s="7" t="n">
        <v>2014</v>
      </c>
      <c r="H3650" s="7" t="s">
        <v>49</v>
      </c>
      <c r="I3650" s="7" t="s">
        <v>494</v>
      </c>
      <c r="J3650" s="7" t="s">
        <v>341</v>
      </c>
      <c r="K3650" s="7" t="n">
        <f aca="false">IFERROR(VALUE(RIGHT(TRIM(F3650),4)),"")</f>
        <v>2018</v>
      </c>
      <c r="L3650" s="7" t="str">
        <f aca="false">IF(TRIM(E3650)="","Unknown",IFERROR(LEFT(TRIM(E3650),FIND(",",TRIM(E3650))-1),TRIM(E3650)))</f>
        <v>Canada</v>
      </c>
      <c r="M3650" s="7" t="str">
        <f aca="false">IFERROR(LEFT(J3650,FIND(",",J3650)-1),J3650)</f>
        <v>Documentaries</v>
      </c>
      <c r="N3650" s="7" t="n">
        <f aca="false">IF(B3650="Movie",IFERROR(VALUE(LEFT(I3650,FIND(" ",I3650)-1)),""),"")</f>
        <v>87</v>
      </c>
      <c r="O3650" s="7" t="str">
        <f aca="false">IF(B3650="TV Show",IFERROR(VALUE(LEFT(I3650,FIND(" ",I3650)-1)),""),"")</f>
        <v/>
      </c>
      <c r="P3650" s="7" t="n">
        <f aca="false">IF(K3650="","",K3650-G3650)</f>
        <v>4</v>
      </c>
    </row>
    <row r="3651" customFormat="false" ht="15" hidden="false" customHeight="false" outlineLevel="0" collapsed="false">
      <c r="A3651" s="7" t="n">
        <v>80202713</v>
      </c>
      <c r="B3651" s="7" t="s">
        <v>68</v>
      </c>
      <c r="C3651" s="7" t="s">
        <v>7626</v>
      </c>
      <c r="D3651" s="7" t="s">
        <v>5915</v>
      </c>
      <c r="E3651" s="7" t="s">
        <v>33</v>
      </c>
      <c r="F3651" s="7" t="s">
        <v>7609</v>
      </c>
      <c r="G3651" s="7" t="n">
        <v>2017</v>
      </c>
      <c r="H3651" s="7" t="s">
        <v>49</v>
      </c>
      <c r="I3651" s="7" t="s">
        <v>470</v>
      </c>
      <c r="J3651" s="7" t="s">
        <v>341</v>
      </c>
      <c r="K3651" s="7" t="n">
        <f aca="false">IFERROR(VALUE(RIGHT(TRIM(F3651),4)),"")</f>
        <v>2018</v>
      </c>
      <c r="L3651" s="7" t="str">
        <f aca="false">IF(TRIM(E3651)="","Unknown",IFERROR(LEFT(TRIM(E3651),FIND(",",TRIM(E3651))-1),TRIM(E3651)))</f>
        <v>Spain</v>
      </c>
      <c r="M3651" s="7" t="str">
        <f aca="false">IFERROR(LEFT(J3651,FIND(",",J3651)-1),J3651)</f>
        <v>Documentaries</v>
      </c>
      <c r="N3651" s="7" t="n">
        <f aca="false">IF(B3651="Movie",IFERROR(VALUE(LEFT(I3651,FIND(" ",I3651)-1)),""),"")</f>
        <v>91</v>
      </c>
      <c r="O3651" s="7" t="str">
        <f aca="false">IF(B3651="TV Show",IFERROR(VALUE(LEFT(I3651,FIND(" ",I3651)-1)),""),"")</f>
        <v/>
      </c>
      <c r="P3651" s="7" t="n">
        <f aca="false">IF(K3651="","",K3651-G3651)</f>
        <v>1</v>
      </c>
    </row>
    <row r="3652" customFormat="false" ht="15" hidden="false" customHeight="false" outlineLevel="0" collapsed="false">
      <c r="A3652" s="7" t="n">
        <v>80084454</v>
      </c>
      <c r="B3652" s="7" t="s">
        <v>68</v>
      </c>
      <c r="C3652" s="7" t="s">
        <v>7627</v>
      </c>
      <c r="D3652" s="7" t="s">
        <v>7628</v>
      </c>
      <c r="E3652" s="7" t="s">
        <v>27</v>
      </c>
      <c r="F3652" s="7" t="s">
        <v>7609</v>
      </c>
      <c r="G3652" s="7" t="n">
        <v>2014</v>
      </c>
      <c r="H3652" s="7" t="s">
        <v>53</v>
      </c>
      <c r="I3652" s="7" t="s">
        <v>181</v>
      </c>
      <c r="J3652" s="7" t="s">
        <v>188</v>
      </c>
      <c r="K3652" s="7" t="n">
        <f aca="false">IFERROR(VALUE(RIGHT(TRIM(F3652),4)),"")</f>
        <v>2018</v>
      </c>
      <c r="L3652" s="7" t="str">
        <f aca="false">IF(TRIM(E3652)="","Unknown",IFERROR(LEFT(TRIM(E3652),FIND(",",TRIM(E3652))-1),TRIM(E3652)))</f>
        <v>India</v>
      </c>
      <c r="M3652" s="7" t="str">
        <f aca="false">IFERROR(LEFT(J3652,FIND(",",J3652)-1),J3652)</f>
        <v>Dramas</v>
      </c>
      <c r="N3652" s="7" t="n">
        <f aca="false">IF(B3652="Movie",IFERROR(VALUE(LEFT(I3652,FIND(" ",I3652)-1)),""),"")</f>
        <v>102</v>
      </c>
      <c r="O3652" s="7" t="str">
        <f aca="false">IF(B3652="TV Show",IFERROR(VALUE(LEFT(I3652,FIND(" ",I3652)-1)),""),"")</f>
        <v/>
      </c>
      <c r="P3652" s="7" t="n">
        <f aca="false">IF(K3652="","",K3652-G3652)</f>
        <v>4</v>
      </c>
    </row>
    <row r="3653" customFormat="false" ht="15" hidden="false" customHeight="false" outlineLevel="0" collapsed="false">
      <c r="A3653" s="7" t="n">
        <v>70204980</v>
      </c>
      <c r="B3653" s="7" t="s">
        <v>78</v>
      </c>
      <c r="C3653" s="7" t="s">
        <v>7629</v>
      </c>
      <c r="E3653" s="7" t="s">
        <v>30</v>
      </c>
      <c r="F3653" s="7" t="s">
        <v>7609</v>
      </c>
      <c r="G3653" s="7" t="n">
        <v>2003</v>
      </c>
      <c r="H3653" s="7" t="s">
        <v>49</v>
      </c>
      <c r="I3653" s="7" t="s">
        <v>82</v>
      </c>
      <c r="J3653" s="7" t="s">
        <v>542</v>
      </c>
      <c r="K3653" s="7" t="n">
        <f aca="false">IFERROR(VALUE(RIGHT(TRIM(F3653),4)),"")</f>
        <v>2018</v>
      </c>
      <c r="L3653" s="7" t="str">
        <f aca="false">IF(TRIM(E3653)="","Unknown",IFERROR(LEFT(TRIM(E3653),FIND(",",TRIM(E3653))-1),TRIM(E3653)))</f>
        <v>Japan</v>
      </c>
      <c r="M3653" s="7" t="str">
        <f aca="false">IFERROR(LEFT(J3653,FIND(",",J3653)-1),J3653)</f>
        <v>Anime Series</v>
      </c>
      <c r="N3653" s="7" t="str">
        <f aca="false">IF(B3653="Movie",IFERROR(VALUE(LEFT(I3653,FIND(" ",I3653)-1)),""),"")</f>
        <v/>
      </c>
      <c r="O3653" s="7" t="n">
        <f aca="false">IF(B3653="TV Show",IFERROR(VALUE(LEFT(I3653,FIND(" ",I3653)-1)),""),"")</f>
        <v>1</v>
      </c>
      <c r="P3653" s="7" t="n">
        <f aca="false">IF(K3653="","",K3653-G3653)</f>
        <v>15</v>
      </c>
    </row>
    <row r="3654" customFormat="false" ht="15" hidden="false" customHeight="false" outlineLevel="0" collapsed="false">
      <c r="A3654" s="7" t="n">
        <v>80196217</v>
      </c>
      <c r="B3654" s="7" t="s">
        <v>68</v>
      </c>
      <c r="C3654" s="7" t="s">
        <v>7630</v>
      </c>
      <c r="D3654" s="7" t="s">
        <v>7631</v>
      </c>
      <c r="E3654" s="7" t="s">
        <v>26</v>
      </c>
      <c r="F3654" s="7" t="s">
        <v>7609</v>
      </c>
      <c r="G3654" s="7" t="n">
        <v>2016</v>
      </c>
      <c r="H3654" s="7" t="s">
        <v>48</v>
      </c>
      <c r="I3654" s="7" t="s">
        <v>173</v>
      </c>
      <c r="J3654" s="7" t="s">
        <v>39</v>
      </c>
      <c r="K3654" s="7" t="n">
        <f aca="false">IFERROR(VALUE(RIGHT(TRIM(F3654),4)),"")</f>
        <v>2018</v>
      </c>
      <c r="L3654" s="7" t="str">
        <f aca="false">IF(TRIM(E3654)="","Unknown",IFERROR(LEFT(TRIM(E3654),FIND(",",TRIM(E3654))-1),TRIM(E3654)))</f>
        <v>United States</v>
      </c>
      <c r="M3654" s="7" t="str">
        <f aca="false">IFERROR(LEFT(J3654,FIND(",",J3654)-1),J3654)</f>
        <v>Documentaries</v>
      </c>
      <c r="N3654" s="7" t="n">
        <f aca="false">IF(B3654="Movie",IFERROR(VALUE(LEFT(I3654,FIND(" ",I3654)-1)),""),"")</f>
        <v>106</v>
      </c>
      <c r="O3654" s="7" t="str">
        <f aca="false">IF(B3654="TV Show",IFERROR(VALUE(LEFT(I3654,FIND(" ",I3654)-1)),""),"")</f>
        <v/>
      </c>
      <c r="P3654" s="7" t="n">
        <f aca="false">IF(K3654="","",K3654-G3654)</f>
        <v>2</v>
      </c>
    </row>
    <row r="3655" customFormat="false" ht="15" hidden="false" customHeight="false" outlineLevel="0" collapsed="false">
      <c r="A3655" s="7" t="n">
        <v>80208908</v>
      </c>
      <c r="B3655" s="7" t="s">
        <v>68</v>
      </c>
      <c r="C3655" s="7" t="s">
        <v>7632</v>
      </c>
      <c r="D3655" s="7" t="s">
        <v>7633</v>
      </c>
      <c r="E3655" s="7" t="s">
        <v>527</v>
      </c>
      <c r="F3655" s="7" t="s">
        <v>7609</v>
      </c>
      <c r="G3655" s="7" t="n">
        <v>2016</v>
      </c>
      <c r="H3655" s="7" t="s">
        <v>48</v>
      </c>
      <c r="I3655" s="7" t="s">
        <v>181</v>
      </c>
      <c r="J3655" s="7" t="s">
        <v>1000</v>
      </c>
      <c r="K3655" s="7" t="n">
        <f aca="false">IFERROR(VALUE(RIGHT(TRIM(F3655),4)),"")</f>
        <v>2018</v>
      </c>
      <c r="L3655" s="7" t="str">
        <f aca="false">IF(TRIM(E3655)="","Unknown",IFERROR(LEFT(TRIM(E3655),FIND(",",TRIM(E3655))-1),TRIM(E3655)))</f>
        <v>Nigeria</v>
      </c>
      <c r="M3655" s="7" t="str">
        <f aca="false">IFERROR(LEFT(J3655,FIND(",",J3655)-1),J3655)</f>
        <v>Comedies</v>
      </c>
      <c r="N3655" s="7" t="n">
        <f aca="false">IF(B3655="Movie",IFERROR(VALUE(LEFT(I3655,FIND(" ",I3655)-1)),""),"")</f>
        <v>102</v>
      </c>
      <c r="O3655" s="7" t="str">
        <f aca="false">IF(B3655="TV Show",IFERROR(VALUE(LEFT(I3655,FIND(" ",I3655)-1)),""),"")</f>
        <v/>
      </c>
      <c r="P3655" s="7" t="n">
        <f aca="false">IF(K3655="","",K3655-G3655)</f>
        <v>2</v>
      </c>
    </row>
    <row r="3656" customFormat="false" ht="15" hidden="false" customHeight="false" outlineLevel="0" collapsed="false">
      <c r="A3656" s="7" t="n">
        <v>80167491</v>
      </c>
      <c r="B3656" s="7" t="s">
        <v>68</v>
      </c>
      <c r="C3656" s="7" t="s">
        <v>7634</v>
      </c>
      <c r="D3656" s="7" t="s">
        <v>7635</v>
      </c>
      <c r="E3656" s="7" t="s">
        <v>26</v>
      </c>
      <c r="F3656" s="7" t="s">
        <v>7609</v>
      </c>
      <c r="G3656" s="7" t="n">
        <v>2017</v>
      </c>
      <c r="H3656" s="7" t="s">
        <v>48</v>
      </c>
      <c r="I3656" s="7" t="s">
        <v>470</v>
      </c>
      <c r="J3656" s="7" t="s">
        <v>652</v>
      </c>
      <c r="K3656" s="7" t="n">
        <f aca="false">IFERROR(VALUE(RIGHT(TRIM(F3656),4)),"")</f>
        <v>2018</v>
      </c>
      <c r="L3656" s="7" t="str">
        <f aca="false">IF(TRIM(E3656)="","Unknown",IFERROR(LEFT(TRIM(E3656),FIND(",",TRIM(E3656))-1),TRIM(E3656)))</f>
        <v>United States</v>
      </c>
      <c r="M3656" s="7" t="str">
        <f aca="false">IFERROR(LEFT(J3656,FIND(",",J3656)-1),J3656)</f>
        <v>Horror Movies</v>
      </c>
      <c r="N3656" s="7" t="n">
        <f aca="false">IF(B3656="Movie",IFERROR(VALUE(LEFT(I3656,FIND(" ",I3656)-1)),""),"")</f>
        <v>91</v>
      </c>
      <c r="O3656" s="7" t="str">
        <f aca="false">IF(B3656="TV Show",IFERROR(VALUE(LEFT(I3656,FIND(" ",I3656)-1)),""),"")</f>
        <v/>
      </c>
      <c r="P3656" s="7" t="n">
        <f aca="false">IF(K3656="","",K3656-G3656)</f>
        <v>1</v>
      </c>
    </row>
    <row r="3657" customFormat="false" ht="15" hidden="false" customHeight="false" outlineLevel="0" collapsed="false">
      <c r="A3657" s="7" t="n">
        <v>80206907</v>
      </c>
      <c r="B3657" s="7" t="s">
        <v>68</v>
      </c>
      <c r="C3657" s="7" t="s">
        <v>7636</v>
      </c>
      <c r="D3657" s="7" t="s">
        <v>7637</v>
      </c>
      <c r="E3657" s="7" t="s">
        <v>26</v>
      </c>
      <c r="F3657" s="7" t="s">
        <v>7609</v>
      </c>
      <c r="G3657" s="7" t="n">
        <v>2017</v>
      </c>
      <c r="H3657" s="7" t="s">
        <v>48</v>
      </c>
      <c r="I3657" s="7" t="s">
        <v>494</v>
      </c>
      <c r="J3657" s="7" t="s">
        <v>811</v>
      </c>
      <c r="K3657" s="7" t="n">
        <f aca="false">IFERROR(VALUE(RIGHT(TRIM(F3657),4)),"")</f>
        <v>2018</v>
      </c>
      <c r="L3657" s="7" t="str">
        <f aca="false">IF(TRIM(E3657)="","Unknown",IFERROR(LEFT(TRIM(E3657),FIND(",",TRIM(E3657))-1),TRIM(E3657)))</f>
        <v>United States</v>
      </c>
      <c r="M3657" s="7" t="str">
        <f aca="false">IFERROR(LEFT(J3657,FIND(",",J3657)-1),J3657)</f>
        <v>Thrillers</v>
      </c>
      <c r="N3657" s="7" t="n">
        <f aca="false">IF(B3657="Movie",IFERROR(VALUE(LEFT(I3657,FIND(" ",I3657)-1)),""),"")</f>
        <v>87</v>
      </c>
      <c r="O3657" s="7" t="str">
        <f aca="false">IF(B3657="TV Show",IFERROR(VALUE(LEFT(I3657,FIND(" ",I3657)-1)),""),"")</f>
        <v/>
      </c>
      <c r="P3657" s="7" t="n">
        <f aca="false">IF(K3657="","",K3657-G3657)</f>
        <v>1</v>
      </c>
    </row>
    <row r="3658" customFormat="false" ht="15" hidden="false" customHeight="false" outlineLevel="0" collapsed="false">
      <c r="A3658" s="7" t="n">
        <v>80202905</v>
      </c>
      <c r="B3658" s="7" t="s">
        <v>68</v>
      </c>
      <c r="C3658" s="7" t="s">
        <v>7638</v>
      </c>
      <c r="D3658" s="7" t="s">
        <v>7639</v>
      </c>
      <c r="E3658" s="7" t="s">
        <v>27</v>
      </c>
      <c r="F3658" s="7" t="s">
        <v>7609</v>
      </c>
      <c r="G3658" s="7" t="n">
        <v>2012</v>
      </c>
      <c r="H3658" s="7" t="s">
        <v>49</v>
      </c>
      <c r="I3658" s="7" t="s">
        <v>330</v>
      </c>
      <c r="J3658" s="7" t="s">
        <v>304</v>
      </c>
      <c r="K3658" s="7" t="n">
        <f aca="false">IFERROR(VALUE(RIGHT(TRIM(F3658),4)),"")</f>
        <v>2018</v>
      </c>
      <c r="L3658" s="7" t="str">
        <f aca="false">IF(TRIM(E3658)="","Unknown",IFERROR(LEFT(TRIM(E3658),FIND(",",TRIM(E3658))-1),TRIM(E3658)))</f>
        <v>India</v>
      </c>
      <c r="M3658" s="7" t="str">
        <f aca="false">IFERROR(LEFT(J3658,FIND(",",J3658)-1),J3658)</f>
        <v>Dramas</v>
      </c>
      <c r="N3658" s="7" t="n">
        <f aca="false">IF(B3658="Movie",IFERROR(VALUE(LEFT(I3658,FIND(" ",I3658)-1)),""),"")</f>
        <v>103</v>
      </c>
      <c r="O3658" s="7" t="str">
        <f aca="false">IF(B3658="TV Show",IFERROR(VALUE(LEFT(I3658,FIND(" ",I3658)-1)),""),"")</f>
        <v/>
      </c>
      <c r="P3658" s="7" t="n">
        <f aca="false">IF(K3658="","",K3658-G3658)</f>
        <v>6</v>
      </c>
    </row>
    <row r="3659" customFormat="false" ht="15" hidden="false" customHeight="false" outlineLevel="0" collapsed="false">
      <c r="A3659" s="7" t="n">
        <v>60035870</v>
      </c>
      <c r="B3659" s="7" t="s">
        <v>68</v>
      </c>
      <c r="C3659" s="7" t="s">
        <v>7640</v>
      </c>
      <c r="D3659" s="7" t="s">
        <v>7641</v>
      </c>
      <c r="E3659" s="7" t="s">
        <v>27</v>
      </c>
      <c r="F3659" s="7" t="s">
        <v>7609</v>
      </c>
      <c r="G3659" s="7" t="n">
        <v>1994</v>
      </c>
      <c r="H3659" s="7" t="s">
        <v>53</v>
      </c>
      <c r="I3659" s="7" t="s">
        <v>7642</v>
      </c>
      <c r="J3659" s="7" t="s">
        <v>2026</v>
      </c>
      <c r="K3659" s="7" t="n">
        <f aca="false">IFERROR(VALUE(RIGHT(TRIM(F3659),4)),"")</f>
        <v>2018</v>
      </c>
      <c r="L3659" s="7" t="str">
        <f aca="false">IF(TRIM(E3659)="","Unknown",IFERROR(LEFT(TRIM(E3659),FIND(",",TRIM(E3659))-1),TRIM(E3659)))</f>
        <v>India</v>
      </c>
      <c r="M3659" s="7" t="str">
        <f aca="false">IFERROR(LEFT(J3659,FIND(",",J3659)-1),J3659)</f>
        <v>Classic Movies</v>
      </c>
      <c r="N3659" s="7" t="n">
        <f aca="false">IF(B3659="Movie",IFERROR(VALUE(LEFT(I3659,FIND(" ",I3659)-1)),""),"")</f>
        <v>193</v>
      </c>
      <c r="O3659" s="7" t="str">
        <f aca="false">IF(B3659="TV Show",IFERROR(VALUE(LEFT(I3659,FIND(" ",I3659)-1)),""),"")</f>
        <v/>
      </c>
      <c r="P3659" s="7" t="n">
        <f aca="false">IF(K3659="","",K3659-G3659)</f>
        <v>24</v>
      </c>
    </row>
    <row r="3660" customFormat="false" ht="15" hidden="false" customHeight="false" outlineLevel="0" collapsed="false">
      <c r="A3660" s="7" t="n">
        <v>80074065</v>
      </c>
      <c r="B3660" s="7" t="s">
        <v>68</v>
      </c>
      <c r="C3660" s="7" t="s">
        <v>7643</v>
      </c>
      <c r="D3660" s="7" t="s">
        <v>7641</v>
      </c>
      <c r="E3660" s="7" t="s">
        <v>27</v>
      </c>
      <c r="F3660" s="7" t="s">
        <v>7609</v>
      </c>
      <c r="G3660" s="7" t="n">
        <v>1999</v>
      </c>
      <c r="H3660" s="7" t="s">
        <v>226</v>
      </c>
      <c r="I3660" s="7" t="s">
        <v>5403</v>
      </c>
      <c r="J3660" s="7" t="s">
        <v>1042</v>
      </c>
      <c r="K3660" s="7" t="n">
        <f aca="false">IFERROR(VALUE(RIGHT(TRIM(F3660),4)),"")</f>
        <v>2018</v>
      </c>
      <c r="L3660" s="7" t="str">
        <f aca="false">IF(TRIM(E3660)="","Unknown",IFERROR(LEFT(TRIM(E3660),FIND(",",TRIM(E3660))-1),TRIM(E3660)))</f>
        <v>India</v>
      </c>
      <c r="M3660" s="7" t="str">
        <f aca="false">IFERROR(LEFT(J3660,FIND(",",J3660)-1),J3660)</f>
        <v>Dramas</v>
      </c>
      <c r="N3660" s="7" t="n">
        <f aca="false">IF(B3660="Movie",IFERROR(VALUE(LEFT(I3660,FIND(" ",I3660)-1)),""),"")</f>
        <v>176</v>
      </c>
      <c r="O3660" s="7" t="str">
        <f aca="false">IF(B3660="TV Show",IFERROR(VALUE(LEFT(I3660,FIND(" ",I3660)-1)),""),"")</f>
        <v/>
      </c>
      <c r="P3660" s="7" t="n">
        <f aca="false">IF(K3660="","",K3660-G3660)</f>
        <v>19</v>
      </c>
    </row>
    <row r="3661" customFormat="false" ht="15" hidden="false" customHeight="false" outlineLevel="0" collapsed="false">
      <c r="A3661" s="7" t="n">
        <v>80201809</v>
      </c>
      <c r="B3661" s="7" t="s">
        <v>68</v>
      </c>
      <c r="C3661" s="7" t="s">
        <v>7644</v>
      </c>
      <c r="D3661" s="7" t="s">
        <v>7645</v>
      </c>
      <c r="E3661" s="7" t="s">
        <v>27</v>
      </c>
      <c r="F3661" s="7" t="s">
        <v>7609</v>
      </c>
      <c r="G3661" s="7" t="n">
        <v>2010</v>
      </c>
      <c r="H3661" s="7" t="s">
        <v>49</v>
      </c>
      <c r="I3661" s="7" t="s">
        <v>549</v>
      </c>
      <c r="J3661" s="7" t="s">
        <v>206</v>
      </c>
      <c r="K3661" s="7" t="n">
        <f aca="false">IFERROR(VALUE(RIGHT(TRIM(F3661),4)),"")</f>
        <v>2018</v>
      </c>
      <c r="L3661" s="7" t="str">
        <f aca="false">IF(TRIM(E3661)="","Unknown",IFERROR(LEFT(TRIM(E3661),FIND(",",TRIM(E3661))-1),TRIM(E3661)))</f>
        <v>India</v>
      </c>
      <c r="M3661" s="7" t="str">
        <f aca="false">IFERROR(LEFT(J3661,FIND(",",J3661)-1),J3661)</f>
        <v>Comedies</v>
      </c>
      <c r="N3661" s="7" t="n">
        <f aca="false">IF(B3661="Movie",IFERROR(VALUE(LEFT(I3661,FIND(" ",I3661)-1)),""),"")</f>
        <v>124</v>
      </c>
      <c r="O3661" s="7" t="str">
        <f aca="false">IF(B3661="TV Show",IFERROR(VALUE(LEFT(I3661,FIND(" ",I3661)-1)),""),"")</f>
        <v/>
      </c>
      <c r="P3661" s="7" t="n">
        <f aca="false">IF(K3661="","",K3661-G3661)</f>
        <v>8</v>
      </c>
    </row>
    <row r="3662" customFormat="false" ht="15" hidden="false" customHeight="false" outlineLevel="0" collapsed="false">
      <c r="A3662" s="7" t="n">
        <v>80228146</v>
      </c>
      <c r="B3662" s="7" t="s">
        <v>68</v>
      </c>
      <c r="C3662" s="7" t="s">
        <v>7646</v>
      </c>
      <c r="D3662" s="7" t="s">
        <v>7647</v>
      </c>
      <c r="E3662" s="7" t="s">
        <v>27</v>
      </c>
      <c r="F3662" s="7" t="s">
        <v>7609</v>
      </c>
      <c r="G3662" s="7" t="n">
        <v>2017</v>
      </c>
      <c r="H3662" s="7" t="s">
        <v>48</v>
      </c>
      <c r="I3662" s="7" t="s">
        <v>130</v>
      </c>
      <c r="J3662" s="7" t="s">
        <v>322</v>
      </c>
      <c r="K3662" s="7" t="n">
        <f aca="false">IFERROR(VALUE(RIGHT(TRIM(F3662),4)),"")</f>
        <v>2018</v>
      </c>
      <c r="L3662" s="7" t="str">
        <f aca="false">IF(TRIM(E3662)="","Unknown",IFERROR(LEFT(TRIM(E3662),FIND(",",TRIM(E3662))-1),TRIM(E3662)))</f>
        <v>India</v>
      </c>
      <c r="M3662" s="7" t="str">
        <f aca="false">IFERROR(LEFT(J3662,FIND(",",J3662)-1),J3662)</f>
        <v>Action &amp; Adventure</v>
      </c>
      <c r="N3662" s="7" t="n">
        <f aca="false">IF(B3662="Movie",IFERROR(VALUE(LEFT(I3662,FIND(" ",I3662)-1)),""),"")</f>
        <v>135</v>
      </c>
      <c r="O3662" s="7" t="str">
        <f aca="false">IF(B3662="TV Show",IFERROR(VALUE(LEFT(I3662,FIND(" ",I3662)-1)),""),"")</f>
        <v/>
      </c>
      <c r="P3662" s="7" t="n">
        <f aca="false">IF(K3662="","",K3662-G3662)</f>
        <v>1</v>
      </c>
    </row>
    <row r="3663" customFormat="false" ht="15" hidden="false" customHeight="false" outlineLevel="0" collapsed="false">
      <c r="A3663" s="7" t="n">
        <v>70169918</v>
      </c>
      <c r="B3663" s="7" t="s">
        <v>68</v>
      </c>
      <c r="C3663" s="7" t="s">
        <v>7648</v>
      </c>
      <c r="D3663" s="7" t="s">
        <v>7649</v>
      </c>
      <c r="E3663" s="7" t="s">
        <v>26</v>
      </c>
      <c r="F3663" s="7" t="s">
        <v>7609</v>
      </c>
      <c r="G3663" s="7" t="n">
        <v>2011</v>
      </c>
      <c r="H3663" s="7" t="s">
        <v>612</v>
      </c>
      <c r="I3663" s="7" t="s">
        <v>173</v>
      </c>
      <c r="J3663" s="7" t="s">
        <v>509</v>
      </c>
      <c r="K3663" s="7" t="n">
        <f aca="false">IFERROR(VALUE(RIGHT(TRIM(F3663),4)),"")</f>
        <v>2018</v>
      </c>
      <c r="L3663" s="7" t="str">
        <f aca="false">IF(TRIM(E3663)="","Unknown",IFERROR(LEFT(TRIM(E3663),FIND(",",TRIM(E3663))-1),TRIM(E3663)))</f>
        <v>United States</v>
      </c>
      <c r="M3663" s="7" t="str">
        <f aca="false">IFERROR(LEFT(J3663,FIND(",",J3663)-1),J3663)</f>
        <v>Documentaries</v>
      </c>
      <c r="N3663" s="7" t="n">
        <f aca="false">IF(B3663="Movie",IFERROR(VALUE(LEFT(I3663,FIND(" ",I3663)-1)),""),"")</f>
        <v>106</v>
      </c>
      <c r="O3663" s="7" t="str">
        <f aca="false">IF(B3663="TV Show",IFERROR(VALUE(LEFT(I3663,FIND(" ",I3663)-1)),""),"")</f>
        <v/>
      </c>
      <c r="P3663" s="7" t="n">
        <f aca="false">IF(K3663="","",K3663-G3663)</f>
        <v>7</v>
      </c>
    </row>
    <row r="3664" customFormat="false" ht="15" hidden="false" customHeight="false" outlineLevel="0" collapsed="false">
      <c r="A3664" s="7" t="n">
        <v>80201810</v>
      </c>
      <c r="B3664" s="7" t="s">
        <v>68</v>
      </c>
      <c r="C3664" s="7" t="s">
        <v>7650</v>
      </c>
      <c r="D3664" s="7" t="s">
        <v>7608</v>
      </c>
      <c r="E3664" s="7" t="s">
        <v>27</v>
      </c>
      <c r="F3664" s="7" t="s">
        <v>7609</v>
      </c>
      <c r="G3664" s="7" t="n">
        <v>2005</v>
      </c>
      <c r="H3664" s="7" t="s">
        <v>49</v>
      </c>
      <c r="I3664" s="7" t="s">
        <v>201</v>
      </c>
      <c r="J3664" s="7" t="s">
        <v>217</v>
      </c>
      <c r="K3664" s="7" t="n">
        <f aca="false">IFERROR(VALUE(RIGHT(TRIM(F3664),4)),"")</f>
        <v>2018</v>
      </c>
      <c r="L3664" s="7" t="str">
        <f aca="false">IF(TRIM(E3664)="","Unknown",IFERROR(LEFT(TRIM(E3664),FIND(",",TRIM(E3664))-1),TRIM(E3664)))</f>
        <v>India</v>
      </c>
      <c r="M3664" s="7" t="str">
        <f aca="false">IFERROR(LEFT(J3664,FIND(",",J3664)-1),J3664)</f>
        <v>Comedies</v>
      </c>
      <c r="N3664" s="7" t="n">
        <f aca="false">IF(B3664="Movie",IFERROR(VALUE(LEFT(I3664,FIND(" ",I3664)-1)),""),"")</f>
        <v>133</v>
      </c>
      <c r="O3664" s="7" t="str">
        <f aca="false">IF(B3664="TV Show",IFERROR(VALUE(LEFT(I3664,FIND(" ",I3664)-1)),""),"")</f>
        <v/>
      </c>
      <c r="P3664" s="7" t="n">
        <f aca="false">IF(K3664="","",K3664-G3664)</f>
        <v>13</v>
      </c>
    </row>
    <row r="3665" customFormat="false" ht="15" hidden="false" customHeight="false" outlineLevel="0" collapsed="false">
      <c r="A3665" s="7" t="n">
        <v>80221637</v>
      </c>
      <c r="B3665" s="7" t="s">
        <v>68</v>
      </c>
      <c r="C3665" s="7" t="s">
        <v>7651</v>
      </c>
      <c r="D3665" s="7" t="s">
        <v>7652</v>
      </c>
      <c r="E3665" s="7" t="s">
        <v>4886</v>
      </c>
      <c r="F3665" s="7" t="s">
        <v>7609</v>
      </c>
      <c r="G3665" s="7" t="n">
        <v>2017</v>
      </c>
      <c r="H3665" s="7" t="s">
        <v>50</v>
      </c>
      <c r="I3665" s="7" t="s">
        <v>294</v>
      </c>
      <c r="J3665" s="7" t="s">
        <v>304</v>
      </c>
      <c r="K3665" s="7" t="n">
        <f aca="false">IFERROR(VALUE(RIGHT(TRIM(F3665),4)),"")</f>
        <v>2018</v>
      </c>
      <c r="L3665" s="7" t="str">
        <f aca="false">IF(TRIM(E3665)="","Unknown",IFERROR(LEFT(TRIM(E3665),FIND(",",TRIM(E3665))-1),TRIM(E3665)))</f>
        <v>India</v>
      </c>
      <c r="M3665" s="7" t="str">
        <f aca="false">IFERROR(LEFT(J3665,FIND(",",J3665)-1),J3665)</f>
        <v>Dramas</v>
      </c>
      <c r="N3665" s="7" t="n">
        <f aca="false">IF(B3665="Movie",IFERROR(VALUE(LEFT(I3665,FIND(" ",I3665)-1)),""),"")</f>
        <v>107</v>
      </c>
      <c r="O3665" s="7" t="str">
        <f aca="false">IF(B3665="TV Show",IFERROR(VALUE(LEFT(I3665,FIND(" ",I3665)-1)),""),"")</f>
        <v/>
      </c>
      <c r="P3665" s="7" t="n">
        <f aca="false">IF(K3665="","",K3665-G3665)</f>
        <v>1</v>
      </c>
    </row>
    <row r="3666" customFormat="false" ht="15" hidden="false" customHeight="false" outlineLevel="0" collapsed="false">
      <c r="A3666" s="7" t="n">
        <v>80197301</v>
      </c>
      <c r="B3666" s="7" t="s">
        <v>68</v>
      </c>
      <c r="C3666" s="7" t="s">
        <v>7653</v>
      </c>
      <c r="D3666" s="7" t="s">
        <v>7654</v>
      </c>
      <c r="E3666" s="7" t="s">
        <v>26</v>
      </c>
      <c r="F3666" s="7" t="s">
        <v>7609</v>
      </c>
      <c r="G3666" s="7" t="n">
        <v>2017</v>
      </c>
      <c r="H3666" s="7" t="s">
        <v>48</v>
      </c>
      <c r="I3666" s="7" t="s">
        <v>107</v>
      </c>
      <c r="J3666" s="7" t="s">
        <v>39</v>
      </c>
      <c r="K3666" s="7" t="n">
        <f aca="false">IFERROR(VALUE(RIGHT(TRIM(F3666),4)),"")</f>
        <v>2018</v>
      </c>
      <c r="L3666" s="7" t="str">
        <f aca="false">IF(TRIM(E3666)="","Unknown",IFERROR(LEFT(TRIM(E3666),FIND(",",TRIM(E3666))-1),TRIM(E3666)))</f>
        <v>United States</v>
      </c>
      <c r="M3666" s="7" t="str">
        <f aca="false">IFERROR(LEFT(J3666,FIND(",",J3666)-1),J3666)</f>
        <v>Documentaries</v>
      </c>
      <c r="N3666" s="7" t="n">
        <f aca="false">IF(B3666="Movie",IFERROR(VALUE(LEFT(I3666,FIND(" ",I3666)-1)),""),"")</f>
        <v>78</v>
      </c>
      <c r="O3666" s="7" t="str">
        <f aca="false">IF(B3666="TV Show",IFERROR(VALUE(LEFT(I3666,FIND(" ",I3666)-1)),""),"")</f>
        <v/>
      </c>
      <c r="P3666" s="7" t="n">
        <f aca="false">IF(K3666="","",K3666-G3666)</f>
        <v>1</v>
      </c>
    </row>
    <row r="3667" customFormat="false" ht="15" hidden="false" customHeight="false" outlineLevel="0" collapsed="false">
      <c r="A3667" s="7" t="n">
        <v>19207412</v>
      </c>
      <c r="B3667" s="7" t="s">
        <v>68</v>
      </c>
      <c r="C3667" s="7" t="s">
        <v>7655</v>
      </c>
      <c r="D3667" s="7" t="s">
        <v>7641</v>
      </c>
      <c r="E3667" s="7" t="s">
        <v>27</v>
      </c>
      <c r="F3667" s="7" t="s">
        <v>7609</v>
      </c>
      <c r="G3667" s="7" t="n">
        <v>1989</v>
      </c>
      <c r="H3667" s="7" t="s">
        <v>50</v>
      </c>
      <c r="I3667" s="7" t="s">
        <v>7656</v>
      </c>
      <c r="J3667" s="7" t="s">
        <v>1042</v>
      </c>
      <c r="K3667" s="7" t="n">
        <f aca="false">IFERROR(VALUE(RIGHT(TRIM(F3667),4)),"")</f>
        <v>2018</v>
      </c>
      <c r="L3667" s="7" t="str">
        <f aca="false">IF(TRIM(E3667)="","Unknown",IFERROR(LEFT(TRIM(E3667),FIND(",",TRIM(E3667))-1),TRIM(E3667)))</f>
        <v>India</v>
      </c>
      <c r="M3667" s="7" t="str">
        <f aca="false">IFERROR(LEFT(J3667,FIND(",",J3667)-1),J3667)</f>
        <v>Dramas</v>
      </c>
      <c r="N3667" s="7" t="n">
        <f aca="false">IF(B3667="Movie",IFERROR(VALUE(LEFT(I3667,FIND(" ",I3667)-1)),""),"")</f>
        <v>192</v>
      </c>
      <c r="O3667" s="7" t="str">
        <f aca="false">IF(B3667="TV Show",IFERROR(VALUE(LEFT(I3667,FIND(" ",I3667)-1)),""),"")</f>
        <v/>
      </c>
      <c r="P3667" s="7" t="n">
        <f aca="false">IF(K3667="","",K3667-G3667)</f>
        <v>29</v>
      </c>
    </row>
    <row r="3668" customFormat="false" ht="15" hidden="false" customHeight="false" outlineLevel="0" collapsed="false">
      <c r="A3668" s="7" t="n">
        <v>80217436</v>
      </c>
      <c r="B3668" s="7" t="s">
        <v>68</v>
      </c>
      <c r="C3668" s="7" t="s">
        <v>7657</v>
      </c>
      <c r="D3668" s="7" t="s">
        <v>1555</v>
      </c>
      <c r="E3668" s="7" t="s">
        <v>26</v>
      </c>
      <c r="F3668" s="7" t="s">
        <v>7609</v>
      </c>
      <c r="G3668" s="7" t="n">
        <v>2017</v>
      </c>
      <c r="H3668" s="7" t="s">
        <v>50</v>
      </c>
      <c r="I3668" s="7" t="s">
        <v>1595</v>
      </c>
      <c r="J3668" s="7" t="s">
        <v>5516</v>
      </c>
      <c r="K3668" s="7" t="n">
        <f aca="false">IFERROR(VALUE(RIGHT(TRIM(F3668),4)),"")</f>
        <v>2018</v>
      </c>
      <c r="L3668" s="7" t="str">
        <f aca="false">IF(TRIM(E3668)="","Unknown",IFERROR(LEFT(TRIM(E3668),FIND(",",TRIM(E3668))-1),TRIM(E3668)))</f>
        <v>United States</v>
      </c>
      <c r="M3668" s="7" t="str">
        <f aca="false">IFERROR(LEFT(J3668,FIND(",",J3668)-1),J3668)</f>
        <v>Documentaries</v>
      </c>
      <c r="N3668" s="7" t="n">
        <f aca="false">IF(B3668="Movie",IFERROR(VALUE(LEFT(I3668,FIND(" ",I3668)-1)),""),"")</f>
        <v>55</v>
      </c>
      <c r="O3668" s="7" t="str">
        <f aca="false">IF(B3668="TV Show",IFERROR(VALUE(LEFT(I3668,FIND(" ",I3668)-1)),""),"")</f>
        <v/>
      </c>
      <c r="P3668" s="7" t="n">
        <f aca="false">IF(K3668="","",K3668-G3668)</f>
        <v>1</v>
      </c>
    </row>
    <row r="3669" customFormat="false" ht="15" hidden="false" customHeight="false" outlineLevel="0" collapsed="false">
      <c r="A3669" s="7" t="n">
        <v>80201618</v>
      </c>
      <c r="B3669" s="7" t="s">
        <v>68</v>
      </c>
      <c r="C3669" s="7" t="s">
        <v>7658</v>
      </c>
      <c r="D3669" s="7" t="s">
        <v>7645</v>
      </c>
      <c r="E3669" s="7" t="s">
        <v>27</v>
      </c>
      <c r="F3669" s="7" t="s">
        <v>7609</v>
      </c>
      <c r="G3669" s="7" t="n">
        <v>1988</v>
      </c>
      <c r="H3669" s="7" t="s">
        <v>50</v>
      </c>
      <c r="I3669" s="7" t="s">
        <v>755</v>
      </c>
      <c r="J3669" s="7" t="s">
        <v>206</v>
      </c>
      <c r="K3669" s="7" t="n">
        <f aca="false">IFERROR(VALUE(RIGHT(TRIM(F3669),4)),"")</f>
        <v>2018</v>
      </c>
      <c r="L3669" s="7" t="str">
        <f aca="false">IF(TRIM(E3669)="","Unknown",IFERROR(LEFT(TRIM(E3669),FIND(",",TRIM(E3669))-1),TRIM(E3669)))</f>
        <v>India</v>
      </c>
      <c r="M3669" s="7" t="str">
        <f aca="false">IFERROR(LEFT(J3669,FIND(",",J3669)-1),J3669)</f>
        <v>Comedies</v>
      </c>
      <c r="N3669" s="7" t="n">
        <f aca="false">IF(B3669="Movie",IFERROR(VALUE(LEFT(I3669,FIND(" ",I3669)-1)),""),"")</f>
        <v>132</v>
      </c>
      <c r="O3669" s="7" t="str">
        <f aca="false">IF(B3669="TV Show",IFERROR(VALUE(LEFT(I3669,FIND(" ",I3669)-1)),""),"")</f>
        <v/>
      </c>
      <c r="P3669" s="7" t="n">
        <f aca="false">IF(K3669="","",K3669-G3669)</f>
        <v>30</v>
      </c>
    </row>
    <row r="3670" customFormat="false" ht="15" hidden="false" customHeight="false" outlineLevel="0" collapsed="false">
      <c r="A3670" s="7" t="n">
        <v>70128225</v>
      </c>
      <c r="B3670" s="7" t="s">
        <v>68</v>
      </c>
      <c r="C3670" s="7" t="s">
        <v>7659</v>
      </c>
      <c r="D3670" s="7" t="s">
        <v>7660</v>
      </c>
      <c r="E3670" s="7" t="s">
        <v>27</v>
      </c>
      <c r="F3670" s="7" t="s">
        <v>7609</v>
      </c>
      <c r="G3670" s="7" t="n">
        <v>2009</v>
      </c>
      <c r="H3670" s="7" t="s">
        <v>49</v>
      </c>
      <c r="I3670" s="7" t="s">
        <v>1026</v>
      </c>
      <c r="J3670" s="7" t="s">
        <v>2195</v>
      </c>
      <c r="K3670" s="7" t="n">
        <f aca="false">IFERROR(VALUE(RIGHT(TRIM(F3670),4)),"")</f>
        <v>2018</v>
      </c>
      <c r="L3670" s="7" t="str">
        <f aca="false">IF(TRIM(E3670)="","Unknown",IFERROR(LEFT(TRIM(E3670),FIND(",",TRIM(E3670))-1),TRIM(E3670)))</f>
        <v>India</v>
      </c>
      <c r="M3670" s="7" t="str">
        <f aca="false">IFERROR(LEFT(J3670,FIND(",",J3670)-1),J3670)</f>
        <v>Comedies</v>
      </c>
      <c r="N3670" s="7" t="n">
        <f aca="false">IF(B3670="Movie",IFERROR(VALUE(LEFT(I3670,FIND(" ",I3670)-1)),""),"")</f>
        <v>148</v>
      </c>
      <c r="O3670" s="7" t="str">
        <f aca="false">IF(B3670="TV Show",IFERROR(VALUE(LEFT(I3670,FIND(" ",I3670)-1)),""),"")</f>
        <v/>
      </c>
      <c r="P3670" s="7" t="n">
        <f aca="false">IF(K3670="","",K3670-G3670)</f>
        <v>9</v>
      </c>
    </row>
    <row r="3671" customFormat="false" ht="15" hidden="false" customHeight="false" outlineLevel="0" collapsed="false">
      <c r="A3671" s="7" t="n">
        <v>80020131</v>
      </c>
      <c r="B3671" s="7" t="s">
        <v>68</v>
      </c>
      <c r="C3671" s="7" t="s">
        <v>7661</v>
      </c>
      <c r="D3671" s="7" t="s">
        <v>7662</v>
      </c>
      <c r="E3671" s="7" t="s">
        <v>26</v>
      </c>
      <c r="F3671" s="7" t="s">
        <v>7609</v>
      </c>
      <c r="G3671" s="7" t="n">
        <v>2012</v>
      </c>
      <c r="H3671" s="7" t="s">
        <v>55</v>
      </c>
      <c r="I3671" s="7" t="s">
        <v>1175</v>
      </c>
      <c r="J3671" s="7" t="s">
        <v>42</v>
      </c>
      <c r="K3671" s="7" t="n">
        <f aca="false">IFERROR(VALUE(RIGHT(TRIM(F3671),4)),"")</f>
        <v>2018</v>
      </c>
      <c r="L3671" s="7" t="str">
        <f aca="false">IF(TRIM(E3671)="","Unknown",IFERROR(LEFT(TRIM(E3671),FIND(",",TRIM(E3671))-1),TRIM(E3671)))</f>
        <v>United States</v>
      </c>
      <c r="M3671" s="7" t="str">
        <f aca="false">IFERROR(LEFT(J3671,FIND(",",J3671)-1),J3671)</f>
        <v>Children &amp; Family Movies</v>
      </c>
      <c r="N3671" s="7" t="n">
        <f aca="false">IF(B3671="Movie",IFERROR(VALUE(LEFT(I3671,FIND(" ",I3671)-1)),""),"")</f>
        <v>46</v>
      </c>
      <c r="O3671" s="7" t="str">
        <f aca="false">IF(B3671="TV Show",IFERROR(VALUE(LEFT(I3671,FIND(" ",I3671)-1)),""),"")</f>
        <v/>
      </c>
      <c r="P3671" s="7" t="n">
        <f aca="false">IF(K3671="","",K3671-G3671)</f>
        <v>6</v>
      </c>
    </row>
    <row r="3672" customFormat="false" ht="15" hidden="false" customHeight="false" outlineLevel="0" collapsed="false">
      <c r="A3672" s="7" t="n">
        <v>70286028</v>
      </c>
      <c r="B3672" s="7" t="s">
        <v>68</v>
      </c>
      <c r="C3672" s="7" t="s">
        <v>7663</v>
      </c>
      <c r="D3672" s="7" t="s">
        <v>7664</v>
      </c>
      <c r="E3672" s="7" t="s">
        <v>26</v>
      </c>
      <c r="F3672" s="7" t="s">
        <v>7609</v>
      </c>
      <c r="G3672" s="7" t="n">
        <v>2013</v>
      </c>
      <c r="H3672" s="7" t="s">
        <v>55</v>
      </c>
      <c r="I3672" s="7" t="s">
        <v>1175</v>
      </c>
      <c r="J3672" s="7" t="s">
        <v>42</v>
      </c>
      <c r="K3672" s="7" t="n">
        <f aca="false">IFERROR(VALUE(RIGHT(TRIM(F3672),4)),"")</f>
        <v>2018</v>
      </c>
      <c r="L3672" s="7" t="str">
        <f aca="false">IF(TRIM(E3672)="","Unknown",IFERROR(LEFT(TRIM(E3672),FIND(",",TRIM(E3672))-1),TRIM(E3672)))</f>
        <v>United States</v>
      </c>
      <c r="M3672" s="7" t="str">
        <f aca="false">IFERROR(LEFT(J3672,FIND(",",J3672)-1),J3672)</f>
        <v>Children &amp; Family Movies</v>
      </c>
      <c r="N3672" s="7" t="n">
        <f aca="false">IF(B3672="Movie",IFERROR(VALUE(LEFT(I3672,FIND(" ",I3672)-1)),""),"")</f>
        <v>46</v>
      </c>
      <c r="O3672" s="7" t="str">
        <f aca="false">IF(B3672="TV Show",IFERROR(VALUE(LEFT(I3672,FIND(" ",I3672)-1)),""),"")</f>
        <v/>
      </c>
      <c r="P3672" s="7" t="n">
        <f aca="false">IF(K3672="","",K3672-G3672)</f>
        <v>5</v>
      </c>
    </row>
    <row r="3673" customFormat="false" ht="15" hidden="false" customHeight="false" outlineLevel="0" collapsed="false">
      <c r="A3673" s="7" t="n">
        <v>80020036</v>
      </c>
      <c r="B3673" s="7" t="s">
        <v>68</v>
      </c>
      <c r="C3673" s="7" t="s">
        <v>7665</v>
      </c>
      <c r="D3673" s="7" t="s">
        <v>7666</v>
      </c>
      <c r="E3673" s="7" t="s">
        <v>26</v>
      </c>
      <c r="F3673" s="7" t="s">
        <v>7609</v>
      </c>
      <c r="G3673" s="7" t="n">
        <v>2011</v>
      </c>
      <c r="H3673" s="7" t="s">
        <v>55</v>
      </c>
      <c r="I3673" s="7" t="s">
        <v>1175</v>
      </c>
      <c r="J3673" s="7" t="s">
        <v>42</v>
      </c>
      <c r="K3673" s="7" t="n">
        <f aca="false">IFERROR(VALUE(RIGHT(TRIM(F3673),4)),"")</f>
        <v>2018</v>
      </c>
      <c r="L3673" s="7" t="str">
        <f aca="false">IF(TRIM(E3673)="","Unknown",IFERROR(LEFT(TRIM(E3673),FIND(",",TRIM(E3673))-1),TRIM(E3673)))</f>
        <v>United States</v>
      </c>
      <c r="M3673" s="7" t="str">
        <f aca="false">IFERROR(LEFT(J3673,FIND(",",J3673)-1),J3673)</f>
        <v>Children &amp; Family Movies</v>
      </c>
      <c r="N3673" s="7" t="n">
        <f aca="false">IF(B3673="Movie",IFERROR(VALUE(LEFT(I3673,FIND(" ",I3673)-1)),""),"")</f>
        <v>46</v>
      </c>
      <c r="O3673" s="7" t="str">
        <f aca="false">IF(B3673="TV Show",IFERROR(VALUE(LEFT(I3673,FIND(" ",I3673)-1)),""),"")</f>
        <v/>
      </c>
      <c r="P3673" s="7" t="n">
        <f aca="false">IF(K3673="","",K3673-G3673)</f>
        <v>7</v>
      </c>
    </row>
    <row r="3674" customFormat="false" ht="15" hidden="false" customHeight="false" outlineLevel="0" collapsed="false">
      <c r="A3674" s="7" t="n">
        <v>70301472</v>
      </c>
      <c r="B3674" s="7" t="s">
        <v>68</v>
      </c>
      <c r="C3674" s="7" t="s">
        <v>7667</v>
      </c>
      <c r="D3674" s="7" t="s">
        <v>346</v>
      </c>
      <c r="E3674" s="7" t="s">
        <v>26</v>
      </c>
      <c r="F3674" s="7" t="s">
        <v>7609</v>
      </c>
      <c r="G3674" s="7" t="n">
        <v>2014</v>
      </c>
      <c r="H3674" s="7" t="s">
        <v>55</v>
      </c>
      <c r="I3674" s="7" t="s">
        <v>1221</v>
      </c>
      <c r="J3674" s="7" t="s">
        <v>42</v>
      </c>
      <c r="K3674" s="7" t="n">
        <f aca="false">IFERROR(VALUE(RIGHT(TRIM(F3674),4)),"")</f>
        <v>2018</v>
      </c>
      <c r="L3674" s="7" t="str">
        <f aca="false">IF(TRIM(E3674)="","Unknown",IFERROR(LEFT(TRIM(E3674),FIND(",",TRIM(E3674))-1),TRIM(E3674)))</f>
        <v>United States</v>
      </c>
      <c r="M3674" s="7" t="str">
        <f aca="false">IFERROR(LEFT(J3674,FIND(",",J3674)-1),J3674)</f>
        <v>Children &amp; Family Movies</v>
      </c>
      <c r="N3674" s="7" t="n">
        <f aca="false">IF(B3674="Movie",IFERROR(VALUE(LEFT(I3674,FIND(" ",I3674)-1)),""),"")</f>
        <v>74</v>
      </c>
      <c r="O3674" s="7" t="str">
        <f aca="false">IF(B3674="TV Show",IFERROR(VALUE(LEFT(I3674,FIND(" ",I3674)-1)),""),"")</f>
        <v/>
      </c>
      <c r="P3674" s="7" t="n">
        <f aca="false">IF(K3674="","",K3674-G3674)</f>
        <v>4</v>
      </c>
    </row>
    <row r="3675" customFormat="false" ht="15" hidden="false" customHeight="false" outlineLevel="0" collapsed="false">
      <c r="A3675" s="7" t="n">
        <v>70286029</v>
      </c>
      <c r="B3675" s="7" t="s">
        <v>68</v>
      </c>
      <c r="C3675" s="7" t="s">
        <v>7668</v>
      </c>
      <c r="D3675" s="7" t="s">
        <v>7669</v>
      </c>
      <c r="E3675" s="7" t="s">
        <v>26</v>
      </c>
      <c r="F3675" s="7" t="s">
        <v>7609</v>
      </c>
      <c r="G3675" s="7" t="n">
        <v>2013</v>
      </c>
      <c r="H3675" s="7" t="s">
        <v>55</v>
      </c>
      <c r="I3675" s="7" t="s">
        <v>1175</v>
      </c>
      <c r="J3675" s="7" t="s">
        <v>42</v>
      </c>
      <c r="K3675" s="7" t="n">
        <f aca="false">IFERROR(VALUE(RIGHT(TRIM(F3675),4)),"")</f>
        <v>2018</v>
      </c>
      <c r="L3675" s="7" t="str">
        <f aca="false">IF(TRIM(E3675)="","Unknown",IFERROR(LEFT(TRIM(E3675),FIND(",",TRIM(E3675))-1),TRIM(E3675)))</f>
        <v>United States</v>
      </c>
      <c r="M3675" s="7" t="str">
        <f aca="false">IFERROR(LEFT(J3675,FIND(",",J3675)-1),J3675)</f>
        <v>Children &amp; Family Movies</v>
      </c>
      <c r="N3675" s="7" t="n">
        <f aca="false">IF(B3675="Movie",IFERROR(VALUE(LEFT(I3675,FIND(" ",I3675)-1)),""),"")</f>
        <v>46</v>
      </c>
      <c r="O3675" s="7" t="str">
        <f aca="false">IF(B3675="TV Show",IFERROR(VALUE(LEFT(I3675,FIND(" ",I3675)-1)),""),"")</f>
        <v/>
      </c>
      <c r="P3675" s="7" t="n">
        <f aca="false">IF(K3675="","",K3675-G3675)</f>
        <v>5</v>
      </c>
    </row>
    <row r="3676" customFormat="false" ht="15" hidden="false" customHeight="false" outlineLevel="0" collapsed="false">
      <c r="A3676" s="7" t="n">
        <v>80196138</v>
      </c>
      <c r="B3676" s="7" t="s">
        <v>68</v>
      </c>
      <c r="C3676" s="7" t="s">
        <v>7670</v>
      </c>
      <c r="D3676" s="7" t="s">
        <v>7671</v>
      </c>
      <c r="E3676" s="7" t="s">
        <v>26</v>
      </c>
      <c r="F3676" s="7" t="s">
        <v>7609</v>
      </c>
      <c r="G3676" s="7" t="n">
        <v>2017</v>
      </c>
      <c r="H3676" s="7" t="s">
        <v>49</v>
      </c>
      <c r="I3676" s="7" t="s">
        <v>1644</v>
      </c>
      <c r="J3676" s="7" t="s">
        <v>39</v>
      </c>
      <c r="K3676" s="7" t="n">
        <f aca="false">IFERROR(VALUE(RIGHT(TRIM(F3676),4)),"")</f>
        <v>2018</v>
      </c>
      <c r="L3676" s="7" t="str">
        <f aca="false">IF(TRIM(E3676)="","Unknown",IFERROR(LEFT(TRIM(E3676),FIND(",",TRIM(E3676))-1),TRIM(E3676)))</f>
        <v>United States</v>
      </c>
      <c r="M3676" s="7" t="str">
        <f aca="false">IFERROR(LEFT(J3676,FIND(",",J3676)-1),J3676)</f>
        <v>Documentaries</v>
      </c>
      <c r="N3676" s="7" t="n">
        <f aca="false">IF(B3676="Movie",IFERROR(VALUE(LEFT(I3676,FIND(" ",I3676)-1)),""),"")</f>
        <v>50</v>
      </c>
      <c r="O3676" s="7" t="str">
        <f aca="false">IF(B3676="TV Show",IFERROR(VALUE(LEFT(I3676,FIND(" ",I3676)-1)),""),"")</f>
        <v/>
      </c>
      <c r="P3676" s="7" t="n">
        <f aca="false">IF(K3676="","",K3676-G3676)</f>
        <v>1</v>
      </c>
    </row>
    <row r="3677" customFormat="false" ht="15" hidden="false" customHeight="false" outlineLevel="0" collapsed="false">
      <c r="A3677" s="7" t="n">
        <v>80138615</v>
      </c>
      <c r="B3677" s="7" t="s">
        <v>68</v>
      </c>
      <c r="C3677" s="7" t="s">
        <v>7672</v>
      </c>
      <c r="D3677" s="7" t="s">
        <v>7673</v>
      </c>
      <c r="E3677" s="7" t="s">
        <v>26</v>
      </c>
      <c r="F3677" s="7" t="s">
        <v>7609</v>
      </c>
      <c r="G3677" s="7" t="n">
        <v>2016</v>
      </c>
      <c r="H3677" s="7" t="s">
        <v>48</v>
      </c>
      <c r="I3677" s="7" t="s">
        <v>187</v>
      </c>
      <c r="J3677" s="7" t="s">
        <v>509</v>
      </c>
      <c r="K3677" s="7" t="n">
        <f aca="false">IFERROR(VALUE(RIGHT(TRIM(F3677),4)),"")</f>
        <v>2018</v>
      </c>
      <c r="L3677" s="7" t="str">
        <f aca="false">IF(TRIM(E3677)="","Unknown",IFERROR(LEFT(TRIM(E3677),FIND(",",TRIM(E3677))-1),TRIM(E3677)))</f>
        <v>United States</v>
      </c>
      <c r="M3677" s="7" t="str">
        <f aca="false">IFERROR(LEFT(J3677,FIND(",",J3677)-1),J3677)</f>
        <v>Documentaries</v>
      </c>
      <c r="N3677" s="7" t="n">
        <f aca="false">IF(B3677="Movie",IFERROR(VALUE(LEFT(I3677,FIND(" ",I3677)-1)),""),"")</f>
        <v>114</v>
      </c>
      <c r="O3677" s="7" t="str">
        <f aca="false">IF(B3677="TV Show",IFERROR(VALUE(LEFT(I3677,FIND(" ",I3677)-1)),""),"")</f>
        <v/>
      </c>
      <c r="P3677" s="7" t="n">
        <f aca="false">IF(K3677="","",K3677-G3677)</f>
        <v>2</v>
      </c>
    </row>
    <row r="3678" customFormat="false" ht="15" hidden="false" customHeight="false" outlineLevel="0" collapsed="false">
      <c r="A3678" s="7" t="n">
        <v>70297799</v>
      </c>
      <c r="B3678" s="7" t="s">
        <v>68</v>
      </c>
      <c r="C3678" s="7" t="s">
        <v>7674</v>
      </c>
      <c r="D3678" s="7" t="s">
        <v>7675</v>
      </c>
      <c r="E3678" s="7" t="s">
        <v>7676</v>
      </c>
      <c r="F3678" s="7" t="s">
        <v>7609</v>
      </c>
      <c r="G3678" s="7" t="n">
        <v>2013</v>
      </c>
      <c r="H3678" s="7" t="s">
        <v>53</v>
      </c>
      <c r="I3678" s="7" t="s">
        <v>386</v>
      </c>
      <c r="J3678" s="7" t="s">
        <v>188</v>
      </c>
      <c r="K3678" s="7" t="n">
        <f aca="false">IFERROR(VALUE(RIGHT(TRIM(F3678),4)),"")</f>
        <v>2018</v>
      </c>
      <c r="L3678" s="7" t="str">
        <f aca="false">IF(TRIM(E3678)="","Unknown",IFERROR(LEFT(TRIM(E3678),FIND(",",TRIM(E3678))-1),TRIM(E3678)))</f>
        <v>Denmark</v>
      </c>
      <c r="M3678" s="7" t="str">
        <f aca="false">IFERROR(LEFT(J3678,FIND(",",J3678)-1),J3678)</f>
        <v>Dramas</v>
      </c>
      <c r="N3678" s="7" t="n">
        <f aca="false">IF(B3678="Movie",IFERROR(VALUE(LEFT(I3678,FIND(" ",I3678)-1)),""),"")</f>
        <v>117</v>
      </c>
      <c r="O3678" s="7" t="str">
        <f aca="false">IF(B3678="TV Show",IFERROR(VALUE(LEFT(I3678,FIND(" ",I3678)-1)),""),"")</f>
        <v/>
      </c>
      <c r="P3678" s="7" t="n">
        <f aca="false">IF(K3678="","",K3678-G3678)</f>
        <v>5</v>
      </c>
    </row>
    <row r="3679" customFormat="false" ht="15" hidden="false" customHeight="false" outlineLevel="0" collapsed="false">
      <c r="A3679" s="7" t="n">
        <v>80131236</v>
      </c>
      <c r="B3679" s="7" t="s">
        <v>68</v>
      </c>
      <c r="C3679" s="7" t="s">
        <v>7677</v>
      </c>
      <c r="D3679" s="7" t="s">
        <v>7678</v>
      </c>
      <c r="E3679" s="7" t="s">
        <v>129</v>
      </c>
      <c r="F3679" s="7" t="s">
        <v>7609</v>
      </c>
      <c r="G3679" s="7" t="n">
        <v>2016</v>
      </c>
      <c r="H3679" s="7" t="s">
        <v>48</v>
      </c>
      <c r="I3679" s="7" t="s">
        <v>268</v>
      </c>
      <c r="J3679" s="7" t="s">
        <v>304</v>
      </c>
      <c r="K3679" s="7" t="n">
        <f aca="false">IFERROR(VALUE(RIGHT(TRIM(F3679),4)),"")</f>
        <v>2018</v>
      </c>
      <c r="L3679" s="7" t="str">
        <f aca="false">IF(TRIM(E3679)="","Unknown",IFERROR(LEFT(TRIM(E3679),FIND(",",TRIM(E3679))-1),TRIM(E3679)))</f>
        <v>France</v>
      </c>
      <c r="M3679" s="7" t="str">
        <f aca="false">IFERROR(LEFT(J3679,FIND(",",J3679)-1),J3679)</f>
        <v>Dramas</v>
      </c>
      <c r="N3679" s="7" t="n">
        <f aca="false">IF(B3679="Movie",IFERROR(VALUE(LEFT(I3679,FIND(" ",I3679)-1)),""),"")</f>
        <v>108</v>
      </c>
      <c r="O3679" s="7" t="str">
        <f aca="false">IF(B3679="TV Show",IFERROR(VALUE(LEFT(I3679,FIND(" ",I3679)-1)),""),"")</f>
        <v/>
      </c>
      <c r="P3679" s="7" t="n">
        <f aca="false">IF(K3679="","",K3679-G3679)</f>
        <v>2</v>
      </c>
    </row>
    <row r="3680" customFormat="false" ht="15" hidden="false" customHeight="false" outlineLevel="0" collapsed="false">
      <c r="A3680" s="7" t="n">
        <v>70297439</v>
      </c>
      <c r="B3680" s="7" t="s">
        <v>78</v>
      </c>
      <c r="C3680" s="7" t="s">
        <v>7679</v>
      </c>
      <c r="E3680" s="7" t="s">
        <v>30</v>
      </c>
      <c r="F3680" s="7" t="s">
        <v>7609</v>
      </c>
      <c r="G3680" s="7" t="n">
        <v>2000</v>
      </c>
      <c r="H3680" s="7" t="s">
        <v>119</v>
      </c>
      <c r="I3680" s="7" t="s">
        <v>82</v>
      </c>
      <c r="J3680" s="7" t="s">
        <v>694</v>
      </c>
      <c r="K3680" s="7" t="n">
        <f aca="false">IFERROR(VALUE(RIGHT(TRIM(F3680),4)),"")</f>
        <v>2018</v>
      </c>
      <c r="L3680" s="7" t="str">
        <f aca="false">IF(TRIM(E3680)="","Unknown",IFERROR(LEFT(TRIM(E3680),FIND(",",TRIM(E3680))-1),TRIM(E3680)))</f>
        <v>Japan</v>
      </c>
      <c r="M3680" s="7" t="str">
        <f aca="false">IFERROR(LEFT(J3680,FIND(",",J3680)-1),J3680)</f>
        <v>Anime Series</v>
      </c>
      <c r="N3680" s="7" t="str">
        <f aca="false">IF(B3680="Movie",IFERROR(VALUE(LEFT(I3680,FIND(" ",I3680)-1)),""),"")</f>
        <v/>
      </c>
      <c r="O3680" s="7" t="n">
        <f aca="false">IF(B3680="TV Show",IFERROR(VALUE(LEFT(I3680,FIND(" ",I3680)-1)),""),"")</f>
        <v>1</v>
      </c>
      <c r="P3680" s="7" t="n">
        <f aca="false">IF(K3680="","",K3680-G3680)</f>
        <v>18</v>
      </c>
    </row>
    <row r="3681" customFormat="false" ht="15" hidden="false" customHeight="false" outlineLevel="0" collapsed="false">
      <c r="A3681" s="7" t="n">
        <v>80184547</v>
      </c>
      <c r="B3681" s="7" t="s">
        <v>68</v>
      </c>
      <c r="C3681" s="7" t="s">
        <v>7680</v>
      </c>
      <c r="D3681" s="7" t="s">
        <v>7681</v>
      </c>
      <c r="E3681" s="7" t="s">
        <v>26</v>
      </c>
      <c r="F3681" s="7" t="s">
        <v>7609</v>
      </c>
      <c r="G3681" s="7" t="n">
        <v>2017</v>
      </c>
      <c r="H3681" s="7" t="s">
        <v>48</v>
      </c>
      <c r="I3681" s="7" t="s">
        <v>451</v>
      </c>
      <c r="J3681" s="7" t="s">
        <v>509</v>
      </c>
      <c r="K3681" s="7" t="n">
        <f aca="false">IFERROR(VALUE(RIGHT(TRIM(F3681),4)),"")</f>
        <v>2018</v>
      </c>
      <c r="L3681" s="7" t="str">
        <f aca="false">IF(TRIM(E3681)="","Unknown",IFERROR(LEFT(TRIM(E3681),FIND(",",TRIM(E3681))-1),TRIM(E3681)))</f>
        <v>United States</v>
      </c>
      <c r="M3681" s="7" t="str">
        <f aca="false">IFERROR(LEFT(J3681,FIND(",",J3681)-1),J3681)</f>
        <v>Documentaries</v>
      </c>
      <c r="N3681" s="7" t="n">
        <f aca="false">IF(B3681="Movie",IFERROR(VALUE(LEFT(I3681,FIND(" ",I3681)-1)),""),"")</f>
        <v>97</v>
      </c>
      <c r="O3681" s="7" t="str">
        <f aca="false">IF(B3681="TV Show",IFERROR(VALUE(LEFT(I3681,FIND(" ",I3681)-1)),""),"")</f>
        <v/>
      </c>
      <c r="P3681" s="7" t="n">
        <f aca="false">IF(K3681="","",K3681-G3681)</f>
        <v>1</v>
      </c>
    </row>
    <row r="3682" customFormat="false" ht="15" hidden="false" customHeight="false" outlineLevel="0" collapsed="false">
      <c r="A3682" s="7" t="n">
        <v>70116578</v>
      </c>
      <c r="B3682" s="7" t="s">
        <v>68</v>
      </c>
      <c r="C3682" s="7" t="s">
        <v>7682</v>
      </c>
      <c r="D3682" s="7" t="s">
        <v>7683</v>
      </c>
      <c r="E3682" s="7" t="s">
        <v>27</v>
      </c>
      <c r="F3682" s="7" t="s">
        <v>7609</v>
      </c>
      <c r="G3682" s="7" t="n">
        <v>2008</v>
      </c>
      <c r="H3682" s="7" t="s">
        <v>49</v>
      </c>
      <c r="I3682" s="7" t="s">
        <v>232</v>
      </c>
      <c r="J3682" s="7" t="s">
        <v>217</v>
      </c>
      <c r="K3682" s="7" t="n">
        <f aca="false">IFERROR(VALUE(RIGHT(TRIM(F3682),4)),"")</f>
        <v>2018</v>
      </c>
      <c r="L3682" s="7" t="str">
        <f aca="false">IF(TRIM(E3682)="","Unknown",IFERROR(LEFT(TRIM(E3682),FIND(",",TRIM(E3682))-1),TRIM(E3682)))</f>
        <v>India</v>
      </c>
      <c r="M3682" s="7" t="str">
        <f aca="false">IFERROR(LEFT(J3682,FIND(",",J3682)-1),J3682)</f>
        <v>Comedies</v>
      </c>
      <c r="N3682" s="7" t="n">
        <f aca="false">IF(B3682="Movie",IFERROR(VALUE(LEFT(I3682,FIND(" ",I3682)-1)),""),"")</f>
        <v>122</v>
      </c>
      <c r="O3682" s="7" t="str">
        <f aca="false">IF(B3682="TV Show",IFERROR(VALUE(LEFT(I3682,FIND(" ",I3682)-1)),""),"")</f>
        <v/>
      </c>
      <c r="P3682" s="7" t="n">
        <f aca="false">IF(K3682="","",K3682-G3682)</f>
        <v>10</v>
      </c>
    </row>
    <row r="3683" customFormat="false" ht="15" hidden="false" customHeight="false" outlineLevel="0" collapsed="false">
      <c r="A3683" s="7" t="n">
        <v>80202908</v>
      </c>
      <c r="B3683" s="7" t="s">
        <v>68</v>
      </c>
      <c r="C3683" s="7" t="s">
        <v>7684</v>
      </c>
      <c r="D3683" s="7" t="s">
        <v>7685</v>
      </c>
      <c r="E3683" s="7" t="s">
        <v>27</v>
      </c>
      <c r="F3683" s="7" t="s">
        <v>7609</v>
      </c>
      <c r="G3683" s="7" t="n">
        <v>2011</v>
      </c>
      <c r="H3683" s="7" t="s">
        <v>49</v>
      </c>
      <c r="I3683" s="7" t="s">
        <v>1405</v>
      </c>
      <c r="J3683" s="7" t="s">
        <v>202</v>
      </c>
      <c r="K3683" s="7" t="n">
        <f aca="false">IFERROR(VALUE(RIGHT(TRIM(F3683),4)),"")</f>
        <v>2018</v>
      </c>
      <c r="L3683" s="7" t="str">
        <f aca="false">IF(TRIM(E3683)="","Unknown",IFERROR(LEFT(TRIM(E3683),FIND(",",TRIM(E3683))-1),TRIM(E3683)))</f>
        <v>India</v>
      </c>
      <c r="M3683" s="7" t="str">
        <f aca="false">IFERROR(LEFT(J3683,FIND(",",J3683)-1),J3683)</f>
        <v>Comedies</v>
      </c>
      <c r="N3683" s="7" t="n">
        <f aca="false">IF(B3683="Movie",IFERROR(VALUE(LEFT(I3683,FIND(" ",I3683)-1)),""),"")</f>
        <v>115</v>
      </c>
      <c r="O3683" s="7" t="str">
        <f aca="false">IF(B3683="TV Show",IFERROR(VALUE(LEFT(I3683,FIND(" ",I3683)-1)),""),"")</f>
        <v/>
      </c>
      <c r="P3683" s="7" t="n">
        <f aca="false">IF(K3683="","",K3683-G3683)</f>
        <v>7</v>
      </c>
    </row>
    <row r="3684" customFormat="false" ht="15" hidden="false" customHeight="false" outlineLevel="0" collapsed="false">
      <c r="A3684" s="7" t="n">
        <v>80184135</v>
      </c>
      <c r="B3684" s="7" t="s">
        <v>68</v>
      </c>
      <c r="C3684" s="7" t="s">
        <v>7686</v>
      </c>
      <c r="D3684" s="7" t="s">
        <v>7687</v>
      </c>
      <c r="E3684" s="7" t="s">
        <v>26</v>
      </c>
      <c r="F3684" s="7" t="s">
        <v>7609</v>
      </c>
      <c r="G3684" s="7" t="n">
        <v>2017</v>
      </c>
      <c r="H3684" s="7" t="s">
        <v>48</v>
      </c>
      <c r="I3684" s="7" t="s">
        <v>417</v>
      </c>
      <c r="J3684" s="7" t="s">
        <v>520</v>
      </c>
      <c r="K3684" s="7" t="n">
        <f aca="false">IFERROR(VALUE(RIGHT(TRIM(F3684),4)),"")</f>
        <v>2018</v>
      </c>
      <c r="L3684" s="7" t="str">
        <f aca="false">IF(TRIM(E3684)="","Unknown",IFERROR(LEFT(TRIM(E3684),FIND(",",TRIM(E3684))-1),TRIM(E3684)))</f>
        <v>United States</v>
      </c>
      <c r="M3684" s="7" t="str">
        <f aca="false">IFERROR(LEFT(J3684,FIND(",",J3684)-1),J3684)</f>
        <v>Dramas</v>
      </c>
      <c r="N3684" s="7" t="n">
        <f aca="false">IF(B3684="Movie",IFERROR(VALUE(LEFT(I3684,FIND(" ",I3684)-1)),""),"")</f>
        <v>104</v>
      </c>
      <c r="O3684" s="7" t="str">
        <f aca="false">IF(B3684="TV Show",IFERROR(VALUE(LEFT(I3684,FIND(" ",I3684)-1)),""),"")</f>
        <v/>
      </c>
      <c r="P3684" s="7" t="n">
        <f aca="false">IF(K3684="","",K3684-G3684)</f>
        <v>1</v>
      </c>
    </row>
    <row r="3685" customFormat="false" ht="15" hidden="false" customHeight="false" outlineLevel="0" collapsed="false">
      <c r="A3685" s="7" t="n">
        <v>80139199</v>
      </c>
      <c r="B3685" s="7" t="s">
        <v>68</v>
      </c>
      <c r="C3685" s="7" t="s">
        <v>7688</v>
      </c>
      <c r="D3685" s="7" t="s">
        <v>7689</v>
      </c>
      <c r="E3685" s="7" t="s">
        <v>32</v>
      </c>
      <c r="F3685" s="7" t="s">
        <v>7609</v>
      </c>
      <c r="G3685" s="7" t="n">
        <v>2016</v>
      </c>
      <c r="H3685" s="7" t="s">
        <v>48</v>
      </c>
      <c r="I3685" s="7" t="s">
        <v>879</v>
      </c>
      <c r="J3685" s="7" t="s">
        <v>112</v>
      </c>
      <c r="K3685" s="7" t="n">
        <f aca="false">IFERROR(VALUE(RIGHT(TRIM(F3685),4)),"")</f>
        <v>2018</v>
      </c>
      <c r="L3685" s="7" t="str">
        <f aca="false">IF(TRIM(E3685)="","Unknown",IFERROR(LEFT(TRIM(E3685),FIND(",",TRIM(E3685))-1),TRIM(E3685)))</f>
        <v>South Korea</v>
      </c>
      <c r="M3685" s="7" t="str">
        <f aca="false">IFERROR(LEFT(J3685,FIND(",",J3685)-1),J3685)</f>
        <v>Action &amp; Adventure</v>
      </c>
      <c r="N3685" s="7" t="n">
        <f aca="false">IF(B3685="Movie",IFERROR(VALUE(LEFT(I3685,FIND(" ",I3685)-1)),""),"")</f>
        <v>140</v>
      </c>
      <c r="O3685" s="7" t="str">
        <f aca="false">IF(B3685="TV Show",IFERROR(VALUE(LEFT(I3685,FIND(" ",I3685)-1)),""),"")</f>
        <v/>
      </c>
      <c r="P3685" s="7" t="n">
        <f aca="false">IF(K3685="","",K3685-G3685)</f>
        <v>2</v>
      </c>
    </row>
    <row r="3686" customFormat="false" ht="15" hidden="false" customHeight="false" outlineLevel="0" collapsed="false">
      <c r="A3686" s="7" t="n">
        <v>80208830</v>
      </c>
      <c r="B3686" s="7" t="s">
        <v>68</v>
      </c>
      <c r="C3686" s="7" t="s">
        <v>7690</v>
      </c>
      <c r="D3686" s="7" t="s">
        <v>535</v>
      </c>
      <c r="E3686" s="7" t="s">
        <v>527</v>
      </c>
      <c r="F3686" s="7" t="s">
        <v>7609</v>
      </c>
      <c r="G3686" s="7" t="n">
        <v>2016</v>
      </c>
      <c r="H3686" s="7" t="s">
        <v>48</v>
      </c>
      <c r="I3686" s="7" t="s">
        <v>512</v>
      </c>
      <c r="J3686" s="7" t="s">
        <v>304</v>
      </c>
      <c r="K3686" s="7" t="n">
        <f aca="false">IFERROR(VALUE(RIGHT(TRIM(F3686),4)),"")</f>
        <v>2018</v>
      </c>
      <c r="L3686" s="7" t="str">
        <f aca="false">IF(TRIM(E3686)="","Unknown",IFERROR(LEFT(TRIM(E3686),FIND(",",TRIM(E3686))-1),TRIM(E3686)))</f>
        <v>Nigeria</v>
      </c>
      <c r="M3686" s="7" t="str">
        <f aca="false">IFERROR(LEFT(J3686,FIND(",",J3686)-1),J3686)</f>
        <v>Dramas</v>
      </c>
      <c r="N3686" s="7" t="n">
        <f aca="false">IF(B3686="Movie",IFERROR(VALUE(LEFT(I3686,FIND(" ",I3686)-1)),""),"")</f>
        <v>101</v>
      </c>
      <c r="O3686" s="7" t="str">
        <f aca="false">IF(B3686="TV Show",IFERROR(VALUE(LEFT(I3686,FIND(" ",I3686)-1)),""),"")</f>
        <v/>
      </c>
      <c r="P3686" s="7" t="n">
        <f aca="false">IF(K3686="","",K3686-G3686)</f>
        <v>2</v>
      </c>
    </row>
    <row r="3687" customFormat="false" ht="15" hidden="false" customHeight="false" outlineLevel="0" collapsed="false">
      <c r="A3687" s="7" t="n">
        <v>80201813</v>
      </c>
      <c r="B3687" s="7" t="s">
        <v>68</v>
      </c>
      <c r="C3687" s="7" t="s">
        <v>7691</v>
      </c>
      <c r="D3687" s="7" t="s">
        <v>7692</v>
      </c>
      <c r="E3687" s="7" t="s">
        <v>27</v>
      </c>
      <c r="F3687" s="7" t="s">
        <v>7609</v>
      </c>
      <c r="G3687" s="7" t="n">
        <v>2009</v>
      </c>
      <c r="H3687" s="7" t="s">
        <v>49</v>
      </c>
      <c r="I3687" s="7" t="s">
        <v>87</v>
      </c>
      <c r="J3687" s="7" t="s">
        <v>304</v>
      </c>
      <c r="K3687" s="7" t="n">
        <f aca="false">IFERROR(VALUE(RIGHT(TRIM(F3687),4)),"")</f>
        <v>2018</v>
      </c>
      <c r="L3687" s="7" t="str">
        <f aca="false">IF(TRIM(E3687)="","Unknown",IFERROR(LEFT(TRIM(E3687),FIND(",",TRIM(E3687))-1),TRIM(E3687)))</f>
        <v>India</v>
      </c>
      <c r="M3687" s="7" t="str">
        <f aca="false">IFERROR(LEFT(J3687,FIND(",",J3687)-1),J3687)</f>
        <v>Dramas</v>
      </c>
      <c r="N3687" s="7" t="n">
        <f aca="false">IF(B3687="Movie",IFERROR(VALUE(LEFT(I3687,FIND(" ",I3687)-1)),""),"")</f>
        <v>99</v>
      </c>
      <c r="O3687" s="7" t="str">
        <f aca="false">IF(B3687="TV Show",IFERROR(VALUE(LEFT(I3687,FIND(" ",I3687)-1)),""),"")</f>
        <v/>
      </c>
      <c r="P3687" s="7" t="n">
        <f aca="false">IF(K3687="","",K3687-G3687)</f>
        <v>9</v>
      </c>
    </row>
    <row r="3688" customFormat="false" ht="15" hidden="false" customHeight="false" outlineLevel="0" collapsed="false">
      <c r="A3688" s="7" t="n">
        <v>80186459</v>
      </c>
      <c r="B3688" s="7" t="s">
        <v>78</v>
      </c>
      <c r="C3688" s="7" t="s">
        <v>7693</v>
      </c>
      <c r="E3688" s="7" t="s">
        <v>31</v>
      </c>
      <c r="F3688" s="7" t="s">
        <v>7609</v>
      </c>
      <c r="G3688" s="7" t="n">
        <v>2017</v>
      </c>
      <c r="H3688" s="7" t="s">
        <v>48</v>
      </c>
      <c r="I3688" s="7" t="s">
        <v>82</v>
      </c>
      <c r="J3688" s="7" t="s">
        <v>402</v>
      </c>
      <c r="K3688" s="7" t="n">
        <f aca="false">IFERROR(VALUE(RIGHT(TRIM(F3688),4)),"")</f>
        <v>2018</v>
      </c>
      <c r="L3688" s="7" t="str">
        <f aca="false">IF(TRIM(E3688)="","Unknown",IFERROR(LEFT(TRIM(E3688),FIND(",",TRIM(E3688))-1),TRIM(E3688)))</f>
        <v>France</v>
      </c>
      <c r="M3688" s="7" t="str">
        <f aca="false">IFERROR(LEFT(J3688,FIND(",",J3688)-1),J3688)</f>
        <v>Crime TV Shows</v>
      </c>
      <c r="N3688" s="7" t="str">
        <f aca="false">IF(B3688="Movie",IFERROR(VALUE(LEFT(I3688,FIND(" ",I3688)-1)),""),"")</f>
        <v/>
      </c>
      <c r="O3688" s="7" t="n">
        <f aca="false">IF(B3688="TV Show",IFERROR(VALUE(LEFT(I3688,FIND(" ",I3688)-1)),""),"")</f>
        <v>1</v>
      </c>
      <c r="P3688" s="7" t="n">
        <f aca="false">IF(K3688="","",K3688-G3688)</f>
        <v>1</v>
      </c>
    </row>
    <row r="3689" customFormat="false" ht="15" hidden="false" customHeight="false" outlineLevel="0" collapsed="false">
      <c r="A3689" s="7" t="n">
        <v>80155790</v>
      </c>
      <c r="B3689" s="7" t="s">
        <v>68</v>
      </c>
      <c r="C3689" s="7" t="s">
        <v>7694</v>
      </c>
      <c r="D3689" s="7" t="s">
        <v>7695</v>
      </c>
      <c r="E3689" s="7" t="s">
        <v>1790</v>
      </c>
      <c r="F3689" s="7" t="s">
        <v>7609</v>
      </c>
      <c r="G3689" s="7" t="n">
        <v>2016</v>
      </c>
      <c r="H3689" s="7" t="s">
        <v>48</v>
      </c>
      <c r="I3689" s="7" t="s">
        <v>181</v>
      </c>
      <c r="J3689" s="7" t="s">
        <v>188</v>
      </c>
      <c r="K3689" s="7" t="n">
        <f aca="false">IFERROR(VALUE(RIGHT(TRIM(F3689),4)),"")</f>
        <v>2018</v>
      </c>
      <c r="L3689" s="7" t="str">
        <f aca="false">IF(TRIM(E3689)="","Unknown",IFERROR(LEFT(TRIM(E3689),FIND(",",TRIM(E3689))-1),TRIM(E3689)))</f>
        <v>New Zealand</v>
      </c>
      <c r="M3689" s="7" t="str">
        <f aca="false">IFERROR(LEFT(J3689,FIND(",",J3689)-1),J3689)</f>
        <v>Dramas</v>
      </c>
      <c r="N3689" s="7" t="n">
        <f aca="false">IF(B3689="Movie",IFERROR(VALUE(LEFT(I3689,FIND(" ",I3689)-1)),""),"")</f>
        <v>102</v>
      </c>
      <c r="O3689" s="7" t="str">
        <f aca="false">IF(B3689="TV Show",IFERROR(VALUE(LEFT(I3689,FIND(" ",I3689)-1)),""),"")</f>
        <v/>
      </c>
      <c r="P3689" s="7" t="n">
        <f aca="false">IF(K3689="","",K3689-G3689)</f>
        <v>2</v>
      </c>
    </row>
    <row r="3690" customFormat="false" ht="15" hidden="false" customHeight="false" outlineLevel="0" collapsed="false">
      <c r="A3690" s="7" t="n">
        <v>1065372</v>
      </c>
      <c r="B3690" s="7" t="s">
        <v>68</v>
      </c>
      <c r="C3690" s="7" t="s">
        <v>7696</v>
      </c>
      <c r="D3690" s="7" t="s">
        <v>7697</v>
      </c>
      <c r="E3690" s="7" t="s">
        <v>26</v>
      </c>
      <c r="F3690" s="7" t="s">
        <v>7609</v>
      </c>
      <c r="G3690" s="7" t="n">
        <v>1996</v>
      </c>
      <c r="H3690" s="7" t="s">
        <v>51</v>
      </c>
      <c r="I3690" s="7" t="s">
        <v>77</v>
      </c>
      <c r="J3690" s="7" t="s">
        <v>811</v>
      </c>
      <c r="K3690" s="7" t="n">
        <f aca="false">IFERROR(VALUE(RIGHT(TRIM(F3690),4)),"")</f>
        <v>2018</v>
      </c>
      <c r="L3690" s="7" t="str">
        <f aca="false">IF(TRIM(E3690)="","Unknown",IFERROR(LEFT(TRIM(E3690),FIND(",",TRIM(E3690))-1),TRIM(E3690)))</f>
        <v>United States</v>
      </c>
      <c r="M3690" s="7" t="str">
        <f aca="false">IFERROR(LEFT(J3690,FIND(",",J3690)-1),J3690)</f>
        <v>Thrillers</v>
      </c>
      <c r="N3690" s="7" t="n">
        <f aca="false">IF(B3690="Movie",IFERROR(VALUE(LEFT(I3690,FIND(" ",I3690)-1)),""),"")</f>
        <v>94</v>
      </c>
      <c r="O3690" s="7" t="str">
        <f aca="false">IF(B3690="TV Show",IFERROR(VALUE(LEFT(I3690,FIND(" ",I3690)-1)),""),"")</f>
        <v/>
      </c>
      <c r="P3690" s="7" t="n">
        <f aca="false">IF(K3690="","",K3690-G3690)</f>
        <v>22</v>
      </c>
    </row>
    <row r="3691" customFormat="false" ht="15" hidden="false" customHeight="false" outlineLevel="0" collapsed="false">
      <c r="A3691" s="7" t="n">
        <v>80159566</v>
      </c>
      <c r="B3691" s="7" t="s">
        <v>68</v>
      </c>
      <c r="C3691" s="7" t="s">
        <v>7698</v>
      </c>
      <c r="D3691" s="7" t="s">
        <v>7699</v>
      </c>
      <c r="E3691" s="7" t="s">
        <v>26</v>
      </c>
      <c r="F3691" s="7" t="s">
        <v>7609</v>
      </c>
      <c r="G3691" s="7" t="n">
        <v>2017</v>
      </c>
      <c r="H3691" s="7" t="s">
        <v>48</v>
      </c>
      <c r="I3691" s="7" t="s">
        <v>311</v>
      </c>
      <c r="J3691" s="7" t="s">
        <v>147</v>
      </c>
      <c r="K3691" s="7" t="n">
        <f aca="false">IFERROR(VALUE(RIGHT(TRIM(F3691),4)),"")</f>
        <v>2018</v>
      </c>
      <c r="L3691" s="7" t="str">
        <f aca="false">IF(TRIM(E3691)="","Unknown",IFERROR(LEFT(TRIM(E3691),FIND(",",TRIM(E3691))-1),TRIM(E3691)))</f>
        <v>United States</v>
      </c>
      <c r="M3691" s="7" t="str">
        <f aca="false">IFERROR(LEFT(J3691,FIND(",",J3691)-1),J3691)</f>
        <v>Horror Movies</v>
      </c>
      <c r="N3691" s="7" t="n">
        <f aca="false">IF(B3691="Movie",IFERROR(VALUE(LEFT(I3691,FIND(" ",I3691)-1)),""),"")</f>
        <v>92</v>
      </c>
      <c r="O3691" s="7" t="str">
        <f aca="false">IF(B3691="TV Show",IFERROR(VALUE(LEFT(I3691,FIND(" ",I3691)-1)),""),"")</f>
        <v/>
      </c>
      <c r="P3691" s="7" t="n">
        <f aca="false">IF(K3691="","",K3691-G3691)</f>
        <v>1</v>
      </c>
    </row>
    <row r="3692" customFormat="false" ht="15" hidden="false" customHeight="false" outlineLevel="0" collapsed="false">
      <c r="A3692" s="7" t="n">
        <v>80201815</v>
      </c>
      <c r="B3692" s="7" t="s">
        <v>68</v>
      </c>
      <c r="C3692" s="7" t="s">
        <v>7700</v>
      </c>
      <c r="D3692" s="7" t="s">
        <v>3012</v>
      </c>
      <c r="E3692" s="7" t="s">
        <v>27</v>
      </c>
      <c r="F3692" s="7" t="s">
        <v>7609</v>
      </c>
      <c r="G3692" s="7" t="n">
        <v>2013</v>
      </c>
      <c r="H3692" s="7" t="s">
        <v>49</v>
      </c>
      <c r="I3692" s="7" t="s">
        <v>194</v>
      </c>
      <c r="J3692" s="7" t="s">
        <v>217</v>
      </c>
      <c r="K3692" s="7" t="n">
        <f aca="false">IFERROR(VALUE(RIGHT(TRIM(F3692),4)),"")</f>
        <v>2018</v>
      </c>
      <c r="L3692" s="7" t="str">
        <f aca="false">IF(TRIM(E3692)="","Unknown",IFERROR(LEFT(TRIM(E3692),FIND(",",TRIM(E3692))-1),TRIM(E3692)))</f>
        <v>India</v>
      </c>
      <c r="M3692" s="7" t="str">
        <f aca="false">IFERROR(LEFT(J3692,FIND(",",J3692)-1),J3692)</f>
        <v>Comedies</v>
      </c>
      <c r="N3692" s="7" t="n">
        <f aca="false">IF(B3692="Movie",IFERROR(VALUE(LEFT(I3692,FIND(" ",I3692)-1)),""),"")</f>
        <v>125</v>
      </c>
      <c r="O3692" s="7" t="str">
        <f aca="false">IF(B3692="TV Show",IFERROR(VALUE(LEFT(I3692,FIND(" ",I3692)-1)),""),"")</f>
        <v/>
      </c>
      <c r="P3692" s="7" t="n">
        <f aca="false">IF(K3692="","",K3692-G3692)</f>
        <v>5</v>
      </c>
    </row>
    <row r="3693" customFormat="false" ht="15" hidden="false" customHeight="false" outlineLevel="0" collapsed="false">
      <c r="A3693" s="7" t="n">
        <v>80217857</v>
      </c>
      <c r="B3693" s="7" t="s">
        <v>68</v>
      </c>
      <c r="C3693" s="7" t="s">
        <v>7701</v>
      </c>
      <c r="D3693" s="7" t="s">
        <v>7702</v>
      </c>
      <c r="E3693" s="7" t="s">
        <v>28</v>
      </c>
      <c r="F3693" s="7" t="s">
        <v>7609</v>
      </c>
      <c r="G3693" s="7" t="n">
        <v>2017</v>
      </c>
      <c r="H3693" s="7" t="s">
        <v>226</v>
      </c>
      <c r="I3693" s="7" t="s">
        <v>437</v>
      </c>
      <c r="J3693" s="7" t="s">
        <v>4879</v>
      </c>
      <c r="K3693" s="7" t="n">
        <f aca="false">IFERROR(VALUE(RIGHT(TRIM(F3693),4)),"")</f>
        <v>2018</v>
      </c>
      <c r="L3693" s="7" t="str">
        <f aca="false">IF(TRIM(E3693)="","Unknown",IFERROR(LEFT(TRIM(E3693),FIND(",",TRIM(E3693))-1),TRIM(E3693)))</f>
        <v>United Kingdom</v>
      </c>
      <c r="M3693" s="7" t="str">
        <f aca="false">IFERROR(LEFT(J3693,FIND(",",J3693)-1),J3693)</f>
        <v>Documentaries</v>
      </c>
      <c r="N3693" s="7" t="n">
        <f aca="false">IF(B3693="Movie",IFERROR(VALUE(LEFT(I3693,FIND(" ",I3693)-1)),""),"")</f>
        <v>82</v>
      </c>
      <c r="O3693" s="7" t="str">
        <f aca="false">IF(B3693="TV Show",IFERROR(VALUE(LEFT(I3693,FIND(" ",I3693)-1)),""),"")</f>
        <v/>
      </c>
      <c r="P3693" s="7" t="n">
        <f aca="false">IF(K3693="","",K3693-G3693)</f>
        <v>1</v>
      </c>
    </row>
    <row r="3694" customFormat="false" ht="15" hidden="false" customHeight="false" outlineLevel="0" collapsed="false">
      <c r="A3694" s="7" t="n">
        <v>80194813</v>
      </c>
      <c r="B3694" s="7" t="s">
        <v>78</v>
      </c>
      <c r="C3694" s="7" t="s">
        <v>7703</v>
      </c>
      <c r="E3694" s="7" t="s">
        <v>26</v>
      </c>
      <c r="F3694" s="7" t="s">
        <v>7609</v>
      </c>
      <c r="G3694" s="7" t="n">
        <v>2018</v>
      </c>
      <c r="H3694" s="7" t="s">
        <v>49</v>
      </c>
      <c r="I3694" s="7" t="s">
        <v>82</v>
      </c>
      <c r="J3694" s="7" t="s">
        <v>164</v>
      </c>
      <c r="K3694" s="7" t="n">
        <f aca="false">IFERROR(VALUE(RIGHT(TRIM(F3694),4)),"")</f>
        <v>2018</v>
      </c>
      <c r="L3694" s="7" t="str">
        <f aca="false">IF(TRIM(E3694)="","Unknown",IFERROR(LEFT(TRIM(E3694),FIND(",",TRIM(E3694))-1),TRIM(E3694)))</f>
        <v>United States</v>
      </c>
      <c r="M3694" s="7" t="str">
        <f aca="false">IFERROR(LEFT(J3694,FIND(",",J3694)-1),J3694)</f>
        <v>Docuseries</v>
      </c>
      <c r="N3694" s="7" t="str">
        <f aca="false">IF(B3694="Movie",IFERROR(VALUE(LEFT(I3694,FIND(" ",I3694)-1)),""),"")</f>
        <v/>
      </c>
      <c r="O3694" s="7" t="n">
        <f aca="false">IF(B3694="TV Show",IFERROR(VALUE(LEFT(I3694,FIND(" ",I3694)-1)),""),"")</f>
        <v>1</v>
      </c>
      <c r="P3694" s="7" t="n">
        <f aca="false">IF(K3694="","",K3694-G3694)</f>
        <v>0</v>
      </c>
    </row>
    <row r="3695" customFormat="false" ht="15" hidden="false" customHeight="false" outlineLevel="0" collapsed="false">
      <c r="A3695" s="7" t="n">
        <v>70114043</v>
      </c>
      <c r="B3695" s="7" t="s">
        <v>68</v>
      </c>
      <c r="C3695" s="7" t="s">
        <v>7704</v>
      </c>
      <c r="D3695" s="7" t="s">
        <v>4836</v>
      </c>
      <c r="E3695" s="7" t="s">
        <v>27</v>
      </c>
      <c r="F3695" s="7" t="s">
        <v>7609</v>
      </c>
      <c r="G3695" s="7" t="n">
        <v>2006</v>
      </c>
      <c r="H3695" s="7" t="s">
        <v>50</v>
      </c>
      <c r="I3695" s="7" t="s">
        <v>1041</v>
      </c>
      <c r="J3695" s="7" t="s">
        <v>217</v>
      </c>
      <c r="K3695" s="7" t="n">
        <f aca="false">IFERROR(VALUE(RIGHT(TRIM(F3695),4)),"")</f>
        <v>2018</v>
      </c>
      <c r="L3695" s="7" t="str">
        <f aca="false">IF(TRIM(E3695)="","Unknown",IFERROR(LEFT(TRIM(E3695),FIND(",",TRIM(E3695))-1),TRIM(E3695)))</f>
        <v>India</v>
      </c>
      <c r="M3695" s="7" t="str">
        <f aca="false">IFERROR(LEFT(J3695,FIND(",",J3695)-1),J3695)</f>
        <v>Comedies</v>
      </c>
      <c r="N3695" s="7" t="n">
        <f aca="false">IF(B3695="Movie",IFERROR(VALUE(LEFT(I3695,FIND(" ",I3695)-1)),""),"")</f>
        <v>151</v>
      </c>
      <c r="O3695" s="7" t="str">
        <f aca="false">IF(B3695="TV Show",IFERROR(VALUE(LEFT(I3695,FIND(" ",I3695)-1)),""),"")</f>
        <v/>
      </c>
      <c r="P3695" s="7" t="n">
        <f aca="false">IF(K3695="","",K3695-G3695)</f>
        <v>12</v>
      </c>
    </row>
    <row r="3696" customFormat="false" ht="15" hidden="false" customHeight="false" outlineLevel="0" collapsed="false">
      <c r="A3696" s="7" t="n">
        <v>80140364</v>
      </c>
      <c r="B3696" s="7" t="s">
        <v>78</v>
      </c>
      <c r="C3696" s="7" t="s">
        <v>7705</v>
      </c>
      <c r="E3696" s="7" t="s">
        <v>970</v>
      </c>
      <c r="F3696" s="7" t="s">
        <v>7706</v>
      </c>
      <c r="G3696" s="7" t="n">
        <v>2013</v>
      </c>
      <c r="H3696" s="7" t="s">
        <v>49</v>
      </c>
      <c r="I3696" s="7" t="s">
        <v>82</v>
      </c>
      <c r="J3696" s="7" t="s">
        <v>314</v>
      </c>
      <c r="K3696" s="7" t="n">
        <f aca="false">IFERROR(VALUE(RIGHT(TRIM(F3696),4)),"")</f>
        <v>2017</v>
      </c>
      <c r="L3696" s="7" t="str">
        <f aca="false">IF(TRIM(E3696)="","Unknown",IFERROR(LEFT(TRIM(E3696),FIND(",",TRIM(E3696))-1),TRIM(E3696)))</f>
        <v>Taiwan</v>
      </c>
      <c r="M3696" s="7" t="str">
        <f aca="false">IFERROR(LEFT(J3696,FIND(",",J3696)-1),J3696)</f>
        <v>International TV Shows</v>
      </c>
      <c r="N3696" s="7" t="str">
        <f aca="false">IF(B3696="Movie",IFERROR(VALUE(LEFT(I3696,FIND(" ",I3696)-1)),""),"")</f>
        <v/>
      </c>
      <c r="O3696" s="7" t="n">
        <f aca="false">IF(B3696="TV Show",IFERROR(VALUE(LEFT(I3696,FIND(" ",I3696)-1)),""),"")</f>
        <v>1</v>
      </c>
      <c r="P3696" s="7" t="n">
        <f aca="false">IF(K3696="","",K3696-G3696)</f>
        <v>4</v>
      </c>
    </row>
    <row r="3697" customFormat="false" ht="15" hidden="false" customHeight="false" outlineLevel="0" collapsed="false">
      <c r="A3697" s="7" t="n">
        <v>80158376</v>
      </c>
      <c r="B3697" s="7" t="s">
        <v>68</v>
      </c>
      <c r="C3697" s="7" t="s">
        <v>7707</v>
      </c>
      <c r="D3697" s="7" t="s">
        <v>7708</v>
      </c>
      <c r="E3697" s="7" t="s">
        <v>27</v>
      </c>
      <c r="F3697" s="7" t="s">
        <v>7706</v>
      </c>
      <c r="G3697" s="7" t="n">
        <v>2013</v>
      </c>
      <c r="H3697" s="7" t="s">
        <v>50</v>
      </c>
      <c r="I3697" s="7" t="s">
        <v>154</v>
      </c>
      <c r="J3697" s="7" t="s">
        <v>341</v>
      </c>
      <c r="K3697" s="7" t="n">
        <f aca="false">IFERROR(VALUE(RIGHT(TRIM(F3697),4)),"")</f>
        <v>2017</v>
      </c>
      <c r="L3697" s="7" t="str">
        <f aca="false">IF(TRIM(E3697)="","Unknown",IFERROR(LEFT(TRIM(E3697),FIND(",",TRIM(E3697))-1),TRIM(E3697)))</f>
        <v>India</v>
      </c>
      <c r="M3697" s="7" t="str">
        <f aca="false">IFERROR(LEFT(J3697,FIND(",",J3697)-1),J3697)</f>
        <v>Documentaries</v>
      </c>
      <c r="N3697" s="7" t="n">
        <f aca="false">IF(B3697="Movie",IFERROR(VALUE(LEFT(I3697,FIND(" ",I3697)-1)),""),"")</f>
        <v>80</v>
      </c>
      <c r="O3697" s="7" t="str">
        <f aca="false">IF(B3697="TV Show",IFERROR(VALUE(LEFT(I3697,FIND(" ",I3697)-1)),""),"")</f>
        <v/>
      </c>
      <c r="P3697" s="7" t="n">
        <f aca="false">IF(K3697="","",K3697-G3697)</f>
        <v>4</v>
      </c>
    </row>
    <row r="3698" customFormat="false" ht="15" hidden="false" customHeight="false" outlineLevel="0" collapsed="false">
      <c r="A3698" s="7" t="n">
        <v>80140617</v>
      </c>
      <c r="B3698" s="7" t="s">
        <v>78</v>
      </c>
      <c r="C3698" s="7" t="s">
        <v>7709</v>
      </c>
      <c r="E3698" s="7" t="s">
        <v>970</v>
      </c>
      <c r="F3698" s="7" t="s">
        <v>7706</v>
      </c>
      <c r="G3698" s="7" t="n">
        <v>2012</v>
      </c>
      <c r="H3698" s="7" t="s">
        <v>49</v>
      </c>
      <c r="I3698" s="7" t="s">
        <v>82</v>
      </c>
      <c r="J3698" s="7" t="s">
        <v>314</v>
      </c>
      <c r="K3698" s="7" t="n">
        <f aca="false">IFERROR(VALUE(RIGHT(TRIM(F3698),4)),"")</f>
        <v>2017</v>
      </c>
      <c r="L3698" s="7" t="str">
        <f aca="false">IF(TRIM(E3698)="","Unknown",IFERROR(LEFT(TRIM(E3698),FIND(",",TRIM(E3698))-1),TRIM(E3698)))</f>
        <v>Taiwan</v>
      </c>
      <c r="M3698" s="7" t="str">
        <f aca="false">IFERROR(LEFT(J3698,FIND(",",J3698)-1),J3698)</f>
        <v>International TV Shows</v>
      </c>
      <c r="N3698" s="7" t="str">
        <f aca="false">IF(B3698="Movie",IFERROR(VALUE(LEFT(I3698,FIND(" ",I3698)-1)),""),"")</f>
        <v/>
      </c>
      <c r="O3698" s="7" t="n">
        <f aca="false">IF(B3698="TV Show",IFERROR(VALUE(LEFT(I3698,FIND(" ",I3698)-1)),""),"")</f>
        <v>1</v>
      </c>
      <c r="P3698" s="7" t="n">
        <f aca="false">IF(K3698="","",K3698-G3698)</f>
        <v>5</v>
      </c>
    </row>
    <row r="3699" customFormat="false" ht="15" hidden="false" customHeight="false" outlineLevel="0" collapsed="false">
      <c r="A3699" s="7" t="n">
        <v>80154688</v>
      </c>
      <c r="B3699" s="7" t="s">
        <v>68</v>
      </c>
      <c r="C3699" s="7" t="s">
        <v>7710</v>
      </c>
      <c r="D3699" s="7" t="s">
        <v>7711</v>
      </c>
      <c r="E3699" s="7" t="s">
        <v>27</v>
      </c>
      <c r="F3699" s="7" t="s">
        <v>7706</v>
      </c>
      <c r="G3699" s="7" t="n">
        <v>2016</v>
      </c>
      <c r="H3699" s="7" t="s">
        <v>48</v>
      </c>
      <c r="I3699" s="7" t="s">
        <v>451</v>
      </c>
      <c r="J3699" s="7" t="s">
        <v>182</v>
      </c>
      <c r="K3699" s="7" t="n">
        <f aca="false">IFERROR(VALUE(RIGHT(TRIM(F3699),4)),"")</f>
        <v>2017</v>
      </c>
      <c r="L3699" s="7" t="str">
        <f aca="false">IF(TRIM(E3699)="","Unknown",IFERROR(LEFT(TRIM(E3699),FIND(",",TRIM(E3699))-1),TRIM(E3699)))</f>
        <v>India</v>
      </c>
      <c r="M3699" s="7" t="str">
        <f aca="false">IFERROR(LEFT(J3699,FIND(",",J3699)-1),J3699)</f>
        <v>Dramas</v>
      </c>
      <c r="N3699" s="7" t="n">
        <f aca="false">IF(B3699="Movie",IFERROR(VALUE(LEFT(I3699,FIND(" ",I3699)-1)),""),"")</f>
        <v>97</v>
      </c>
      <c r="O3699" s="7" t="str">
        <f aca="false">IF(B3699="TV Show",IFERROR(VALUE(LEFT(I3699,FIND(" ",I3699)-1)),""),"")</f>
        <v/>
      </c>
      <c r="P3699" s="7" t="n">
        <f aca="false">IF(K3699="","",K3699-G3699)</f>
        <v>1</v>
      </c>
    </row>
    <row r="3700" customFormat="false" ht="15" hidden="false" customHeight="false" outlineLevel="0" collapsed="false">
      <c r="A3700" s="7" t="n">
        <v>70060010</v>
      </c>
      <c r="B3700" s="7" t="s">
        <v>68</v>
      </c>
      <c r="C3700" s="7" t="s">
        <v>7712</v>
      </c>
      <c r="D3700" s="7" t="s">
        <v>7713</v>
      </c>
      <c r="E3700" s="7" t="s">
        <v>918</v>
      </c>
      <c r="F3700" s="7" t="s">
        <v>7706</v>
      </c>
      <c r="G3700" s="7" t="n">
        <v>2007</v>
      </c>
      <c r="H3700" s="7" t="s">
        <v>54</v>
      </c>
      <c r="I3700" s="7" t="s">
        <v>311</v>
      </c>
      <c r="J3700" s="7" t="s">
        <v>74</v>
      </c>
      <c r="K3700" s="7" t="n">
        <f aca="false">IFERROR(VALUE(RIGHT(TRIM(F3700),4)),"")</f>
        <v>2017</v>
      </c>
      <c r="L3700" s="7" t="str">
        <f aca="false">IF(TRIM(E3700)="","Unknown",IFERROR(LEFT(TRIM(E3700),FIND(",",TRIM(E3700))-1),TRIM(E3700)))</f>
        <v>United States</v>
      </c>
      <c r="M3700" s="7" t="str">
        <f aca="false">IFERROR(LEFT(J3700,FIND(",",J3700)-1),J3700)</f>
        <v>Children &amp; Family Movies</v>
      </c>
      <c r="N3700" s="7" t="n">
        <f aca="false">IF(B3700="Movie",IFERROR(VALUE(LEFT(I3700,FIND(" ",I3700)-1)),""),"")</f>
        <v>92</v>
      </c>
      <c r="O3700" s="7" t="str">
        <f aca="false">IF(B3700="TV Show",IFERROR(VALUE(LEFT(I3700,FIND(" ",I3700)-1)),""),"")</f>
        <v/>
      </c>
      <c r="P3700" s="7" t="n">
        <f aca="false">IF(K3700="","",K3700-G3700)</f>
        <v>10</v>
      </c>
    </row>
    <row r="3701" customFormat="false" ht="15" hidden="false" customHeight="false" outlineLevel="0" collapsed="false">
      <c r="A3701" s="7" t="n">
        <v>80140939</v>
      </c>
      <c r="B3701" s="7" t="s">
        <v>78</v>
      </c>
      <c r="C3701" s="7" t="s">
        <v>7714</v>
      </c>
      <c r="E3701" s="7" t="s">
        <v>366</v>
      </c>
      <c r="F3701" s="7" t="s">
        <v>7706</v>
      </c>
      <c r="G3701" s="7" t="n">
        <v>2011</v>
      </c>
      <c r="H3701" s="7" t="s">
        <v>49</v>
      </c>
      <c r="I3701" s="7" t="s">
        <v>82</v>
      </c>
      <c r="J3701" s="7" t="s">
        <v>158</v>
      </c>
      <c r="K3701" s="7" t="n">
        <f aca="false">IFERROR(VALUE(RIGHT(TRIM(F3701),4)),"")</f>
        <v>2017</v>
      </c>
      <c r="L3701" s="7" t="str">
        <f aca="false">IF(TRIM(E3701)="","Unknown",IFERROR(LEFT(TRIM(E3701),FIND(",",TRIM(E3701))-1),TRIM(E3701)))</f>
        <v>China</v>
      </c>
      <c r="M3701" s="7" t="str">
        <f aca="false">IFERROR(LEFT(J3701,FIND(",",J3701)-1),J3701)</f>
        <v>International TV Shows</v>
      </c>
      <c r="N3701" s="7" t="str">
        <f aca="false">IF(B3701="Movie",IFERROR(VALUE(LEFT(I3701,FIND(" ",I3701)-1)),""),"")</f>
        <v/>
      </c>
      <c r="O3701" s="7" t="n">
        <f aca="false">IF(B3701="TV Show",IFERROR(VALUE(LEFT(I3701,FIND(" ",I3701)-1)),""),"")</f>
        <v>1</v>
      </c>
      <c r="P3701" s="7" t="n">
        <f aca="false">IF(K3701="","",K3701-G3701)</f>
        <v>6</v>
      </c>
    </row>
    <row r="3702" customFormat="false" ht="15" hidden="false" customHeight="false" outlineLevel="0" collapsed="false">
      <c r="A3702" s="7" t="n">
        <v>80140490</v>
      </c>
      <c r="B3702" s="7" t="s">
        <v>78</v>
      </c>
      <c r="C3702" s="7" t="s">
        <v>7715</v>
      </c>
      <c r="E3702" s="7" t="s">
        <v>970</v>
      </c>
      <c r="F3702" s="7" t="s">
        <v>7706</v>
      </c>
      <c r="G3702" s="7" t="n">
        <v>2013</v>
      </c>
      <c r="H3702" s="7" t="s">
        <v>49</v>
      </c>
      <c r="I3702" s="7" t="s">
        <v>82</v>
      </c>
      <c r="J3702" s="7" t="s">
        <v>158</v>
      </c>
      <c r="K3702" s="7" t="n">
        <f aca="false">IFERROR(VALUE(RIGHT(TRIM(F3702),4)),"")</f>
        <v>2017</v>
      </c>
      <c r="L3702" s="7" t="str">
        <f aca="false">IF(TRIM(E3702)="","Unknown",IFERROR(LEFT(TRIM(E3702),FIND(",",TRIM(E3702))-1),TRIM(E3702)))</f>
        <v>Taiwan</v>
      </c>
      <c r="M3702" s="7" t="str">
        <f aca="false">IFERROR(LEFT(J3702,FIND(",",J3702)-1),J3702)</f>
        <v>International TV Shows</v>
      </c>
      <c r="N3702" s="7" t="str">
        <f aca="false">IF(B3702="Movie",IFERROR(VALUE(LEFT(I3702,FIND(" ",I3702)-1)),""),"")</f>
        <v/>
      </c>
      <c r="O3702" s="7" t="n">
        <f aca="false">IF(B3702="TV Show",IFERROR(VALUE(LEFT(I3702,FIND(" ",I3702)-1)),""),"")</f>
        <v>1</v>
      </c>
      <c r="P3702" s="7" t="n">
        <f aca="false">IF(K3702="","",K3702-G3702)</f>
        <v>4</v>
      </c>
    </row>
    <row r="3703" customFormat="false" ht="15" hidden="false" customHeight="false" outlineLevel="0" collapsed="false">
      <c r="A3703" s="7" t="n">
        <v>80011026</v>
      </c>
      <c r="B3703" s="7" t="s">
        <v>68</v>
      </c>
      <c r="C3703" s="7" t="s">
        <v>7716</v>
      </c>
      <c r="D3703" s="7" t="s">
        <v>4231</v>
      </c>
      <c r="E3703" s="7" t="s">
        <v>129</v>
      </c>
      <c r="F3703" s="7" t="s">
        <v>7706</v>
      </c>
      <c r="G3703" s="7" t="n">
        <v>2011</v>
      </c>
      <c r="H3703" s="7" t="s">
        <v>49</v>
      </c>
      <c r="I3703" s="7" t="s">
        <v>311</v>
      </c>
      <c r="J3703" s="7" t="s">
        <v>188</v>
      </c>
      <c r="K3703" s="7" t="n">
        <f aca="false">IFERROR(VALUE(RIGHT(TRIM(F3703),4)),"")</f>
        <v>2017</v>
      </c>
      <c r="L3703" s="7" t="str">
        <f aca="false">IF(TRIM(E3703)="","Unknown",IFERROR(LEFT(TRIM(E3703),FIND(",",TRIM(E3703))-1),TRIM(E3703)))</f>
        <v>France</v>
      </c>
      <c r="M3703" s="7" t="str">
        <f aca="false">IFERROR(LEFT(J3703,FIND(",",J3703)-1),J3703)</f>
        <v>Dramas</v>
      </c>
      <c r="N3703" s="7" t="n">
        <f aca="false">IF(B3703="Movie",IFERROR(VALUE(LEFT(I3703,FIND(" ",I3703)-1)),""),"")</f>
        <v>92</v>
      </c>
      <c r="O3703" s="7" t="str">
        <f aca="false">IF(B3703="TV Show",IFERROR(VALUE(LEFT(I3703,FIND(" ",I3703)-1)),""),"")</f>
        <v/>
      </c>
      <c r="P3703" s="7" t="n">
        <f aca="false">IF(K3703="","",K3703-G3703)</f>
        <v>6</v>
      </c>
    </row>
    <row r="3704" customFormat="false" ht="15" hidden="false" customHeight="false" outlineLevel="0" collapsed="false">
      <c r="A3704" s="7" t="n">
        <v>80117742</v>
      </c>
      <c r="B3704" s="7" t="s">
        <v>68</v>
      </c>
      <c r="C3704" s="7" t="s">
        <v>7717</v>
      </c>
      <c r="D3704" s="7" t="s">
        <v>7718</v>
      </c>
      <c r="E3704" s="7" t="s">
        <v>26</v>
      </c>
      <c r="F3704" s="7" t="s">
        <v>7706</v>
      </c>
      <c r="G3704" s="7" t="n">
        <v>2016</v>
      </c>
      <c r="H3704" s="7" t="s">
        <v>48</v>
      </c>
      <c r="I3704" s="7" t="s">
        <v>340</v>
      </c>
      <c r="J3704" s="7" t="s">
        <v>6622</v>
      </c>
      <c r="K3704" s="7" t="n">
        <f aca="false">IFERROR(VALUE(RIGHT(TRIM(F3704),4)),"")</f>
        <v>2017</v>
      </c>
      <c r="L3704" s="7" t="str">
        <f aca="false">IF(TRIM(E3704)="","Unknown",IFERROR(LEFT(TRIM(E3704),FIND(",",TRIM(E3704))-1),TRIM(E3704)))</f>
        <v>United States</v>
      </c>
      <c r="M3704" s="7" t="str">
        <f aca="false">IFERROR(LEFT(J3704,FIND(",",J3704)-1),J3704)</f>
        <v>Comedies</v>
      </c>
      <c r="N3704" s="7" t="n">
        <f aca="false">IF(B3704="Movie",IFERROR(VALUE(LEFT(I3704,FIND(" ",I3704)-1)),""),"")</f>
        <v>85</v>
      </c>
      <c r="O3704" s="7" t="str">
        <f aca="false">IF(B3704="TV Show",IFERROR(VALUE(LEFT(I3704,FIND(" ",I3704)-1)),""),"")</f>
        <v/>
      </c>
      <c r="P3704" s="7" t="n">
        <f aca="false">IF(K3704="","",K3704-G3704)</f>
        <v>1</v>
      </c>
    </row>
    <row r="3705" customFormat="false" ht="15" hidden="false" customHeight="false" outlineLevel="0" collapsed="false">
      <c r="A3705" s="7" t="n">
        <v>80140938</v>
      </c>
      <c r="B3705" s="7" t="s">
        <v>78</v>
      </c>
      <c r="C3705" s="7" t="s">
        <v>7719</v>
      </c>
      <c r="E3705" s="7" t="s">
        <v>970</v>
      </c>
      <c r="F3705" s="7" t="s">
        <v>7706</v>
      </c>
      <c r="G3705" s="7" t="n">
        <v>2012</v>
      </c>
      <c r="H3705" s="7" t="s">
        <v>49</v>
      </c>
      <c r="I3705" s="7" t="s">
        <v>82</v>
      </c>
      <c r="J3705" s="7" t="s">
        <v>158</v>
      </c>
      <c r="K3705" s="7" t="n">
        <f aca="false">IFERROR(VALUE(RIGHT(TRIM(F3705),4)),"")</f>
        <v>2017</v>
      </c>
      <c r="L3705" s="7" t="str">
        <f aca="false">IF(TRIM(E3705)="","Unknown",IFERROR(LEFT(TRIM(E3705),FIND(",",TRIM(E3705))-1),TRIM(E3705)))</f>
        <v>Taiwan</v>
      </c>
      <c r="M3705" s="7" t="str">
        <f aca="false">IFERROR(LEFT(J3705,FIND(",",J3705)-1),J3705)</f>
        <v>International TV Shows</v>
      </c>
      <c r="N3705" s="7" t="str">
        <f aca="false">IF(B3705="Movie",IFERROR(VALUE(LEFT(I3705,FIND(" ",I3705)-1)),""),"")</f>
        <v/>
      </c>
      <c r="O3705" s="7" t="n">
        <f aca="false">IF(B3705="TV Show",IFERROR(VALUE(LEFT(I3705,FIND(" ",I3705)-1)),""),"")</f>
        <v>1</v>
      </c>
      <c r="P3705" s="7" t="n">
        <f aca="false">IF(K3705="","",K3705-G3705)</f>
        <v>5</v>
      </c>
    </row>
    <row r="3706" customFormat="false" ht="15" hidden="false" customHeight="false" outlineLevel="0" collapsed="false">
      <c r="A3706" s="7" t="n">
        <v>80147318</v>
      </c>
      <c r="B3706" s="7" t="s">
        <v>68</v>
      </c>
      <c r="C3706" s="7" t="s">
        <v>7720</v>
      </c>
      <c r="D3706" s="7" t="s">
        <v>7721</v>
      </c>
      <c r="E3706" s="7" t="s">
        <v>27</v>
      </c>
      <c r="F3706" s="7" t="s">
        <v>7706</v>
      </c>
      <c r="G3706" s="7" t="n">
        <v>2015</v>
      </c>
      <c r="H3706" s="7" t="s">
        <v>50</v>
      </c>
      <c r="I3706" s="7" t="s">
        <v>524</v>
      </c>
      <c r="J3706" s="7" t="s">
        <v>304</v>
      </c>
      <c r="K3706" s="7" t="n">
        <f aca="false">IFERROR(VALUE(RIGHT(TRIM(F3706),4)),"")</f>
        <v>2017</v>
      </c>
      <c r="L3706" s="7" t="str">
        <f aca="false">IF(TRIM(E3706)="","Unknown",IFERROR(LEFT(TRIM(E3706),FIND(",",TRIM(E3706))-1),TRIM(E3706)))</f>
        <v>India</v>
      </c>
      <c r="M3706" s="7" t="str">
        <f aca="false">IFERROR(LEFT(J3706,FIND(",",J3706)-1),J3706)</f>
        <v>Dramas</v>
      </c>
      <c r="N3706" s="7" t="n">
        <f aca="false">IF(B3706="Movie",IFERROR(VALUE(LEFT(I3706,FIND(" ",I3706)-1)),""),"")</f>
        <v>83</v>
      </c>
      <c r="O3706" s="7" t="str">
        <f aca="false">IF(B3706="TV Show",IFERROR(VALUE(LEFT(I3706,FIND(" ",I3706)-1)),""),"")</f>
        <v/>
      </c>
      <c r="P3706" s="7" t="n">
        <f aca="false">IF(K3706="","",K3706-G3706)</f>
        <v>2</v>
      </c>
    </row>
    <row r="3707" customFormat="false" ht="15" hidden="false" customHeight="false" outlineLevel="0" collapsed="false">
      <c r="A3707" s="7" t="n">
        <v>80152741</v>
      </c>
      <c r="B3707" s="7" t="s">
        <v>68</v>
      </c>
      <c r="C3707" s="7" t="s">
        <v>7722</v>
      </c>
      <c r="D3707" s="7" t="s">
        <v>7652</v>
      </c>
      <c r="E3707" s="7" t="s">
        <v>27</v>
      </c>
      <c r="F3707" s="7" t="s">
        <v>7706</v>
      </c>
      <c r="G3707" s="7" t="n">
        <v>2016</v>
      </c>
      <c r="H3707" s="7" t="s">
        <v>48</v>
      </c>
      <c r="I3707" s="7" t="s">
        <v>1270</v>
      </c>
      <c r="J3707" s="7" t="s">
        <v>304</v>
      </c>
      <c r="K3707" s="7" t="n">
        <f aca="false">IFERROR(VALUE(RIGHT(TRIM(F3707),4)),"")</f>
        <v>2017</v>
      </c>
      <c r="L3707" s="7" t="str">
        <f aca="false">IF(TRIM(E3707)="","Unknown",IFERROR(LEFT(TRIM(E3707),FIND(",",TRIM(E3707))-1),TRIM(E3707)))</f>
        <v>India</v>
      </c>
      <c r="M3707" s="7" t="str">
        <f aca="false">IFERROR(LEFT(J3707,FIND(",",J3707)-1),J3707)</f>
        <v>Dramas</v>
      </c>
      <c r="N3707" s="7" t="n">
        <f aca="false">IF(B3707="Movie",IFERROR(VALUE(LEFT(I3707,FIND(" ",I3707)-1)),""),"")</f>
        <v>118</v>
      </c>
      <c r="O3707" s="7" t="str">
        <f aca="false">IF(B3707="TV Show",IFERROR(VALUE(LEFT(I3707,FIND(" ",I3707)-1)),""),"")</f>
        <v/>
      </c>
      <c r="P3707" s="7" t="n">
        <f aca="false">IF(K3707="","",K3707-G3707)</f>
        <v>1</v>
      </c>
    </row>
    <row r="3708" customFormat="false" ht="15" hidden="false" customHeight="false" outlineLevel="0" collapsed="false">
      <c r="A3708" s="7" t="n">
        <v>80097375</v>
      </c>
      <c r="B3708" s="7" t="s">
        <v>68</v>
      </c>
      <c r="C3708" s="7" t="s">
        <v>7723</v>
      </c>
      <c r="D3708" s="7" t="s">
        <v>7724</v>
      </c>
      <c r="E3708" s="7" t="s">
        <v>7725</v>
      </c>
      <c r="F3708" s="7" t="s">
        <v>7706</v>
      </c>
      <c r="G3708" s="7" t="n">
        <v>2016</v>
      </c>
      <c r="H3708" s="7" t="s">
        <v>48</v>
      </c>
      <c r="I3708" s="7" t="s">
        <v>613</v>
      </c>
      <c r="J3708" s="7" t="s">
        <v>341</v>
      </c>
      <c r="K3708" s="7" t="n">
        <f aca="false">IFERROR(VALUE(RIGHT(TRIM(F3708),4)),"")</f>
        <v>2017</v>
      </c>
      <c r="L3708" s="7" t="str">
        <f aca="false">IF(TRIM(E3708)="","Unknown",IFERROR(LEFT(TRIM(E3708),FIND(",",TRIM(E3708))-1),TRIM(E3708)))</f>
        <v>Belgium</v>
      </c>
      <c r="M3708" s="7" t="str">
        <f aca="false">IFERROR(LEFT(J3708,FIND(",",J3708)-1),J3708)</f>
        <v>Documentaries</v>
      </c>
      <c r="N3708" s="7" t="n">
        <f aca="false">IF(B3708="Movie",IFERROR(VALUE(LEFT(I3708,FIND(" ",I3708)-1)),""),"")</f>
        <v>84</v>
      </c>
      <c r="O3708" s="7" t="str">
        <f aca="false">IF(B3708="TV Show",IFERROR(VALUE(LEFT(I3708,FIND(" ",I3708)-1)),""),"")</f>
        <v/>
      </c>
      <c r="P3708" s="7" t="n">
        <f aca="false">IF(K3708="","",K3708-G3708)</f>
        <v>1</v>
      </c>
    </row>
    <row r="3709" customFormat="false" ht="15" hidden="false" customHeight="false" outlineLevel="0" collapsed="false">
      <c r="A3709" s="7" t="n">
        <v>80145085</v>
      </c>
      <c r="B3709" s="7" t="s">
        <v>68</v>
      </c>
      <c r="C3709" s="7" t="s">
        <v>7726</v>
      </c>
      <c r="D3709" s="7" t="s">
        <v>7727</v>
      </c>
      <c r="E3709" s="7" t="s">
        <v>27</v>
      </c>
      <c r="F3709" s="7" t="s">
        <v>7706</v>
      </c>
      <c r="G3709" s="7" t="n">
        <v>2010</v>
      </c>
      <c r="H3709" s="7" t="s">
        <v>50</v>
      </c>
      <c r="I3709" s="7" t="s">
        <v>734</v>
      </c>
      <c r="J3709" s="7" t="s">
        <v>341</v>
      </c>
      <c r="K3709" s="7" t="n">
        <f aca="false">IFERROR(VALUE(RIGHT(TRIM(F3709),4)),"")</f>
        <v>2017</v>
      </c>
      <c r="L3709" s="7" t="str">
        <f aca="false">IF(TRIM(E3709)="","Unknown",IFERROR(LEFT(TRIM(E3709),FIND(",",TRIM(E3709))-1),TRIM(E3709)))</f>
        <v>India</v>
      </c>
      <c r="M3709" s="7" t="str">
        <f aca="false">IFERROR(LEFT(J3709,FIND(",",J3709)-1),J3709)</f>
        <v>Documentaries</v>
      </c>
      <c r="N3709" s="7" t="n">
        <f aca="false">IF(B3709="Movie",IFERROR(VALUE(LEFT(I3709,FIND(" ",I3709)-1)),""),"")</f>
        <v>52</v>
      </c>
      <c r="O3709" s="7" t="str">
        <f aca="false">IF(B3709="TV Show",IFERROR(VALUE(LEFT(I3709,FIND(" ",I3709)-1)),""),"")</f>
        <v/>
      </c>
      <c r="P3709" s="7" t="n">
        <f aca="false">IF(K3709="","",K3709-G3709)</f>
        <v>7</v>
      </c>
    </row>
    <row r="3710" customFormat="false" ht="15" hidden="false" customHeight="false" outlineLevel="0" collapsed="false">
      <c r="A3710" s="7" t="n">
        <v>80144141</v>
      </c>
      <c r="B3710" s="7" t="s">
        <v>68</v>
      </c>
      <c r="C3710" s="7" t="s">
        <v>7728</v>
      </c>
      <c r="D3710" s="7" t="s">
        <v>7729</v>
      </c>
      <c r="E3710" s="7" t="s">
        <v>7730</v>
      </c>
      <c r="F3710" s="7" t="s">
        <v>7706</v>
      </c>
      <c r="G3710" s="7" t="n">
        <v>2016</v>
      </c>
      <c r="H3710" s="7" t="s">
        <v>49</v>
      </c>
      <c r="I3710" s="7" t="s">
        <v>613</v>
      </c>
      <c r="J3710" s="7" t="s">
        <v>39</v>
      </c>
      <c r="K3710" s="7" t="n">
        <f aca="false">IFERROR(VALUE(RIGHT(TRIM(F3710),4)),"")</f>
        <v>2017</v>
      </c>
      <c r="L3710" s="7" t="str">
        <f aca="false">IF(TRIM(E3710)="","Unknown",IFERROR(LEFT(TRIM(E3710),FIND(",",TRIM(E3710))-1),TRIM(E3710)))</f>
        <v>United States</v>
      </c>
      <c r="M3710" s="7" t="str">
        <f aca="false">IFERROR(LEFT(J3710,FIND(",",J3710)-1),J3710)</f>
        <v>Documentaries</v>
      </c>
      <c r="N3710" s="7" t="n">
        <f aca="false">IF(B3710="Movie",IFERROR(VALUE(LEFT(I3710,FIND(" ",I3710)-1)),""),"")</f>
        <v>84</v>
      </c>
      <c r="O3710" s="7" t="str">
        <f aca="false">IF(B3710="TV Show",IFERROR(VALUE(LEFT(I3710,FIND(" ",I3710)-1)),""),"")</f>
        <v/>
      </c>
      <c r="P3710" s="7" t="n">
        <f aca="false">IF(K3710="","",K3710-G3710)</f>
        <v>1</v>
      </c>
    </row>
    <row r="3711" customFormat="false" ht="15" hidden="false" customHeight="false" outlineLevel="0" collapsed="false">
      <c r="A3711" s="7" t="n">
        <v>80118002</v>
      </c>
      <c r="B3711" s="7" t="s">
        <v>68</v>
      </c>
      <c r="C3711" s="7" t="s">
        <v>7731</v>
      </c>
      <c r="D3711" s="7" t="s">
        <v>7732</v>
      </c>
      <c r="E3711" s="7" t="s">
        <v>27</v>
      </c>
      <c r="F3711" s="7" t="s">
        <v>7706</v>
      </c>
      <c r="G3711" s="7" t="n">
        <v>2016</v>
      </c>
      <c r="H3711" s="7" t="s">
        <v>48</v>
      </c>
      <c r="I3711" s="7" t="s">
        <v>216</v>
      </c>
      <c r="J3711" s="7" t="s">
        <v>304</v>
      </c>
      <c r="K3711" s="7" t="n">
        <f aca="false">IFERROR(VALUE(RIGHT(TRIM(F3711),4)),"")</f>
        <v>2017</v>
      </c>
      <c r="L3711" s="7" t="str">
        <f aca="false">IF(TRIM(E3711)="","Unknown",IFERROR(LEFT(TRIM(E3711),FIND(",",TRIM(E3711))-1),TRIM(E3711)))</f>
        <v>India</v>
      </c>
      <c r="M3711" s="7" t="str">
        <f aca="false">IFERROR(LEFT(J3711,FIND(",",J3711)-1),J3711)</f>
        <v>Dramas</v>
      </c>
      <c r="N3711" s="7" t="n">
        <f aca="false">IF(B3711="Movie",IFERROR(VALUE(LEFT(I3711,FIND(" ",I3711)-1)),""),"")</f>
        <v>146</v>
      </c>
      <c r="O3711" s="7" t="str">
        <f aca="false">IF(B3711="TV Show",IFERROR(VALUE(LEFT(I3711,FIND(" ",I3711)-1)),""),"")</f>
        <v/>
      </c>
      <c r="P3711" s="7" t="n">
        <f aca="false">IF(K3711="","",K3711-G3711)</f>
        <v>1</v>
      </c>
    </row>
    <row r="3712" customFormat="false" ht="15" hidden="false" customHeight="false" outlineLevel="0" collapsed="false">
      <c r="A3712" s="7" t="n">
        <v>80141033</v>
      </c>
      <c r="B3712" s="7" t="s">
        <v>78</v>
      </c>
      <c r="C3712" s="7" t="s">
        <v>7733</v>
      </c>
      <c r="E3712" s="7" t="s">
        <v>970</v>
      </c>
      <c r="F3712" s="7" t="s">
        <v>7706</v>
      </c>
      <c r="G3712" s="7" t="n">
        <v>2012</v>
      </c>
      <c r="H3712" s="7" t="s">
        <v>49</v>
      </c>
      <c r="I3712" s="7" t="s">
        <v>82</v>
      </c>
      <c r="J3712" s="7" t="s">
        <v>158</v>
      </c>
      <c r="K3712" s="7" t="n">
        <f aca="false">IFERROR(VALUE(RIGHT(TRIM(F3712),4)),"")</f>
        <v>2017</v>
      </c>
      <c r="L3712" s="7" t="str">
        <f aca="false">IF(TRIM(E3712)="","Unknown",IFERROR(LEFT(TRIM(E3712),FIND(",",TRIM(E3712))-1),TRIM(E3712)))</f>
        <v>Taiwan</v>
      </c>
      <c r="M3712" s="7" t="str">
        <f aca="false">IFERROR(LEFT(J3712,FIND(",",J3712)-1),J3712)</f>
        <v>International TV Shows</v>
      </c>
      <c r="N3712" s="7" t="str">
        <f aca="false">IF(B3712="Movie",IFERROR(VALUE(LEFT(I3712,FIND(" ",I3712)-1)),""),"")</f>
        <v/>
      </c>
      <c r="O3712" s="7" t="n">
        <f aca="false">IF(B3712="TV Show",IFERROR(VALUE(LEFT(I3712,FIND(" ",I3712)-1)),""),"")</f>
        <v>1</v>
      </c>
      <c r="P3712" s="7" t="n">
        <f aca="false">IF(K3712="","",K3712-G3712)</f>
        <v>5</v>
      </c>
    </row>
    <row r="3713" customFormat="false" ht="15" hidden="false" customHeight="false" outlineLevel="0" collapsed="false">
      <c r="A3713" s="7" t="n">
        <v>80140362</v>
      </c>
      <c r="B3713" s="7" t="s">
        <v>78</v>
      </c>
      <c r="C3713" s="7" t="s">
        <v>7734</v>
      </c>
      <c r="E3713" s="7" t="s">
        <v>970</v>
      </c>
      <c r="F3713" s="7" t="s">
        <v>7706</v>
      </c>
      <c r="G3713" s="7" t="n">
        <v>2011</v>
      </c>
      <c r="H3713" s="7" t="s">
        <v>49</v>
      </c>
      <c r="I3713" s="7" t="s">
        <v>82</v>
      </c>
      <c r="J3713" s="7" t="s">
        <v>158</v>
      </c>
      <c r="K3713" s="7" t="n">
        <f aca="false">IFERROR(VALUE(RIGHT(TRIM(F3713),4)),"")</f>
        <v>2017</v>
      </c>
      <c r="L3713" s="7" t="str">
        <f aca="false">IF(TRIM(E3713)="","Unknown",IFERROR(LEFT(TRIM(E3713),FIND(",",TRIM(E3713))-1),TRIM(E3713)))</f>
        <v>Taiwan</v>
      </c>
      <c r="M3713" s="7" t="str">
        <f aca="false">IFERROR(LEFT(J3713,FIND(",",J3713)-1),J3713)</f>
        <v>International TV Shows</v>
      </c>
      <c r="N3713" s="7" t="str">
        <f aca="false">IF(B3713="Movie",IFERROR(VALUE(LEFT(I3713,FIND(" ",I3713)-1)),""),"")</f>
        <v/>
      </c>
      <c r="O3713" s="7" t="n">
        <f aca="false">IF(B3713="TV Show",IFERROR(VALUE(LEFT(I3713,FIND(" ",I3713)-1)),""),"")</f>
        <v>1</v>
      </c>
      <c r="P3713" s="7" t="n">
        <f aca="false">IF(K3713="","",K3713-G3713)</f>
        <v>6</v>
      </c>
    </row>
    <row r="3714" customFormat="false" ht="15" hidden="false" customHeight="false" outlineLevel="0" collapsed="false">
      <c r="A3714" s="7" t="n">
        <v>80036832</v>
      </c>
      <c r="B3714" s="7" t="s">
        <v>68</v>
      </c>
      <c r="C3714" s="7" t="s">
        <v>7735</v>
      </c>
      <c r="D3714" s="7" t="s">
        <v>7736</v>
      </c>
      <c r="E3714" s="7" t="s">
        <v>7737</v>
      </c>
      <c r="F3714" s="7" t="s">
        <v>7738</v>
      </c>
      <c r="G3714" s="7" t="n">
        <v>2015</v>
      </c>
      <c r="H3714" s="7" t="s">
        <v>53</v>
      </c>
      <c r="I3714" s="7" t="s">
        <v>93</v>
      </c>
      <c r="J3714" s="7" t="s">
        <v>341</v>
      </c>
      <c r="K3714" s="7" t="n">
        <f aca="false">IFERROR(VALUE(RIGHT(TRIM(F3714),4)),"")</f>
        <v>2016</v>
      </c>
      <c r="L3714" s="7" t="str">
        <f aca="false">IF(TRIM(E3714)="","Unknown",IFERROR(LEFT(TRIM(E3714),FIND(",",TRIM(E3714))-1),TRIM(E3714)))</f>
        <v>Canada</v>
      </c>
      <c r="M3714" s="7" t="str">
        <f aca="false">IFERROR(LEFT(J3714,FIND(",",J3714)-1),J3714)</f>
        <v>Documentaries</v>
      </c>
      <c r="N3714" s="7" t="n">
        <f aca="false">IF(B3714="Movie",IFERROR(VALUE(LEFT(I3714,FIND(" ",I3714)-1)),""),"")</f>
        <v>110</v>
      </c>
      <c r="O3714" s="7" t="str">
        <f aca="false">IF(B3714="TV Show",IFERROR(VALUE(LEFT(I3714,FIND(" ",I3714)-1)),""),"")</f>
        <v/>
      </c>
      <c r="P3714" s="7" t="n">
        <f aca="false">IF(K3714="","",K3714-G3714)</f>
        <v>1</v>
      </c>
    </row>
    <row r="3715" customFormat="false" ht="15" hidden="false" customHeight="false" outlineLevel="0" collapsed="false">
      <c r="A3715" s="7" t="n">
        <v>70213235</v>
      </c>
      <c r="B3715" s="7" t="s">
        <v>78</v>
      </c>
      <c r="C3715" s="7" t="s">
        <v>7739</v>
      </c>
      <c r="E3715" s="7" t="s">
        <v>2367</v>
      </c>
      <c r="F3715" s="7" t="s">
        <v>7738</v>
      </c>
      <c r="G3715" s="7" t="n">
        <v>1996</v>
      </c>
      <c r="H3715" s="7" t="s">
        <v>81</v>
      </c>
      <c r="I3715" s="7" t="s">
        <v>82</v>
      </c>
      <c r="J3715" s="7" t="s">
        <v>44</v>
      </c>
      <c r="K3715" s="7" t="n">
        <f aca="false">IFERROR(VALUE(RIGHT(TRIM(F3715),4)),"")</f>
        <v>2016</v>
      </c>
      <c r="L3715" s="7" t="str">
        <f aca="false">IF(TRIM(E3715)="","Unknown",IFERROR(LEFT(TRIM(E3715),FIND(",",TRIM(E3715))-1),TRIM(E3715)))</f>
        <v>United States</v>
      </c>
      <c r="M3715" s="7" t="str">
        <f aca="false">IFERROR(LEFT(J3715,FIND(",",J3715)-1),J3715)</f>
        <v>Kids' TV</v>
      </c>
      <c r="N3715" s="7" t="str">
        <f aca="false">IF(B3715="Movie",IFERROR(VALUE(LEFT(I3715,FIND(" ",I3715)-1)),""),"")</f>
        <v/>
      </c>
      <c r="O3715" s="7" t="n">
        <f aca="false">IF(B3715="TV Show",IFERROR(VALUE(LEFT(I3715,FIND(" ",I3715)-1)),""),"")</f>
        <v>1</v>
      </c>
      <c r="P3715" s="7" t="n">
        <f aca="false">IF(K3715="","",K3715-G3715)</f>
        <v>20</v>
      </c>
    </row>
    <row r="3716" customFormat="false" ht="15" hidden="false" customHeight="false" outlineLevel="0" collapsed="false">
      <c r="A3716" s="7" t="n">
        <v>70221672</v>
      </c>
      <c r="B3716" s="7" t="s">
        <v>78</v>
      </c>
      <c r="C3716" s="7" t="s">
        <v>7740</v>
      </c>
      <c r="E3716" s="7" t="s">
        <v>619</v>
      </c>
      <c r="F3716" s="7" t="s">
        <v>7738</v>
      </c>
      <c r="G3716" s="7" t="n">
        <v>1997</v>
      </c>
      <c r="H3716" s="7" t="s">
        <v>81</v>
      </c>
      <c r="I3716" s="7" t="s">
        <v>82</v>
      </c>
      <c r="J3716" s="7" t="s">
        <v>191</v>
      </c>
      <c r="K3716" s="7" t="n">
        <f aca="false">IFERROR(VALUE(RIGHT(TRIM(F3716),4)),"")</f>
        <v>2016</v>
      </c>
      <c r="L3716" s="7" t="str">
        <f aca="false">IF(TRIM(E3716)="","Unknown",IFERROR(LEFT(TRIM(E3716),FIND(",",TRIM(E3716))-1),TRIM(E3716)))</f>
        <v>Canada</v>
      </c>
      <c r="M3716" s="7" t="str">
        <f aca="false">IFERROR(LEFT(J3716,FIND(",",J3716)-1),J3716)</f>
        <v>Kids' TV</v>
      </c>
      <c r="N3716" s="7" t="str">
        <f aca="false">IF(B3716="Movie",IFERROR(VALUE(LEFT(I3716,FIND(" ",I3716)-1)),""),"")</f>
        <v/>
      </c>
      <c r="O3716" s="7" t="n">
        <f aca="false">IF(B3716="TV Show",IFERROR(VALUE(LEFT(I3716,FIND(" ",I3716)-1)),""),"")</f>
        <v>1</v>
      </c>
      <c r="P3716" s="7" t="n">
        <f aca="false">IF(K3716="","",K3716-G3716)</f>
        <v>19</v>
      </c>
    </row>
    <row r="3717" customFormat="false" ht="15" hidden="false" customHeight="false" outlineLevel="0" collapsed="false">
      <c r="A3717" s="7" t="n">
        <v>70213085</v>
      </c>
      <c r="B3717" s="7" t="s">
        <v>78</v>
      </c>
      <c r="C3717" s="7" t="s">
        <v>7741</v>
      </c>
      <c r="E3717" s="7" t="s">
        <v>26</v>
      </c>
      <c r="F3717" s="7" t="s">
        <v>7738</v>
      </c>
      <c r="G3717" s="7" t="n">
        <v>2004</v>
      </c>
      <c r="H3717" s="7" t="s">
        <v>81</v>
      </c>
      <c r="I3717" s="7" t="s">
        <v>82</v>
      </c>
      <c r="J3717" s="7" t="s">
        <v>44</v>
      </c>
      <c r="K3717" s="7" t="n">
        <f aca="false">IFERROR(VALUE(RIGHT(TRIM(F3717),4)),"")</f>
        <v>2016</v>
      </c>
      <c r="L3717" s="7" t="str">
        <f aca="false">IF(TRIM(E3717)="","Unknown",IFERROR(LEFT(TRIM(E3717),FIND(",",TRIM(E3717))-1),TRIM(E3717)))</f>
        <v>United States</v>
      </c>
      <c r="M3717" s="7" t="str">
        <f aca="false">IFERROR(LEFT(J3717,FIND(",",J3717)-1),J3717)</f>
        <v>Kids' TV</v>
      </c>
      <c r="N3717" s="7" t="str">
        <f aca="false">IF(B3717="Movie",IFERROR(VALUE(LEFT(I3717,FIND(" ",I3717)-1)),""),"")</f>
        <v/>
      </c>
      <c r="O3717" s="7" t="n">
        <f aca="false">IF(B3717="TV Show",IFERROR(VALUE(LEFT(I3717,FIND(" ",I3717)-1)),""),"")</f>
        <v>1</v>
      </c>
      <c r="P3717" s="7" t="n">
        <f aca="false">IF(K3717="","",K3717-G3717)</f>
        <v>12</v>
      </c>
    </row>
    <row r="3718" customFormat="false" ht="15" hidden="false" customHeight="false" outlineLevel="0" collapsed="false">
      <c r="A3718" s="7" t="n">
        <v>70213084</v>
      </c>
      <c r="B3718" s="7" t="s">
        <v>78</v>
      </c>
      <c r="C3718" s="7" t="s">
        <v>7742</v>
      </c>
      <c r="E3718" s="7" t="s">
        <v>7743</v>
      </c>
      <c r="F3718" s="7" t="s">
        <v>7738</v>
      </c>
      <c r="G3718" s="7" t="n">
        <v>1998</v>
      </c>
      <c r="H3718" s="7" t="s">
        <v>81</v>
      </c>
      <c r="I3718" s="7" t="s">
        <v>82</v>
      </c>
      <c r="J3718" s="7" t="s">
        <v>44</v>
      </c>
      <c r="K3718" s="7" t="n">
        <f aca="false">IFERROR(VALUE(RIGHT(TRIM(F3718),4)),"")</f>
        <v>2016</v>
      </c>
      <c r="L3718" s="7" t="str">
        <f aca="false">IF(TRIM(E3718)="","Unknown",IFERROR(LEFT(TRIM(E3718),FIND(",",TRIM(E3718))-1),TRIM(E3718)))</f>
        <v>United States</v>
      </c>
      <c r="M3718" s="7" t="str">
        <f aca="false">IFERROR(LEFT(J3718,FIND(",",J3718)-1),J3718)</f>
        <v>Kids' TV</v>
      </c>
      <c r="N3718" s="7" t="str">
        <f aca="false">IF(B3718="Movie",IFERROR(VALUE(LEFT(I3718,FIND(" ",I3718)-1)),""),"")</f>
        <v/>
      </c>
      <c r="O3718" s="7" t="n">
        <f aca="false">IF(B3718="TV Show",IFERROR(VALUE(LEFT(I3718,FIND(" ",I3718)-1)),""),"")</f>
        <v>1</v>
      </c>
      <c r="P3718" s="7" t="n">
        <f aca="false">IF(K3718="","",K3718-G3718)</f>
        <v>18</v>
      </c>
    </row>
    <row r="3719" customFormat="false" ht="15" hidden="false" customHeight="false" outlineLevel="0" collapsed="false">
      <c r="A3719" s="7" t="n">
        <v>70213083</v>
      </c>
      <c r="B3719" s="7" t="s">
        <v>78</v>
      </c>
      <c r="C3719" s="7" t="s">
        <v>7744</v>
      </c>
      <c r="E3719" s="7" t="s">
        <v>26</v>
      </c>
      <c r="F3719" s="7" t="s">
        <v>7738</v>
      </c>
      <c r="G3719" s="7" t="n">
        <v>2008</v>
      </c>
      <c r="H3719" s="7" t="s">
        <v>81</v>
      </c>
      <c r="I3719" s="7" t="s">
        <v>82</v>
      </c>
      <c r="J3719" s="7" t="s">
        <v>44</v>
      </c>
      <c r="K3719" s="7" t="n">
        <f aca="false">IFERROR(VALUE(RIGHT(TRIM(F3719),4)),"")</f>
        <v>2016</v>
      </c>
      <c r="L3719" s="7" t="str">
        <f aca="false">IF(TRIM(E3719)="","Unknown",IFERROR(LEFT(TRIM(E3719),FIND(",",TRIM(E3719))-1),TRIM(E3719)))</f>
        <v>United States</v>
      </c>
      <c r="M3719" s="7" t="str">
        <f aca="false">IFERROR(LEFT(J3719,FIND(",",J3719)-1),J3719)</f>
        <v>Kids' TV</v>
      </c>
      <c r="N3719" s="7" t="str">
        <f aca="false">IF(B3719="Movie",IFERROR(VALUE(LEFT(I3719,FIND(" ",I3719)-1)),""),"")</f>
        <v/>
      </c>
      <c r="O3719" s="7" t="n">
        <f aca="false">IF(B3719="TV Show",IFERROR(VALUE(LEFT(I3719,FIND(" ",I3719)-1)),""),"")</f>
        <v>1</v>
      </c>
      <c r="P3719" s="7" t="n">
        <f aca="false">IF(K3719="","",K3719-G3719)</f>
        <v>8</v>
      </c>
    </row>
    <row r="3720" customFormat="false" ht="15" hidden="false" customHeight="false" outlineLevel="0" collapsed="false">
      <c r="A3720" s="7" t="n">
        <v>70213082</v>
      </c>
      <c r="B3720" s="7" t="s">
        <v>78</v>
      </c>
      <c r="C3720" s="7" t="s">
        <v>7745</v>
      </c>
      <c r="E3720" s="7" t="s">
        <v>7743</v>
      </c>
      <c r="F3720" s="7" t="s">
        <v>7738</v>
      </c>
      <c r="G3720" s="7" t="n">
        <v>2000</v>
      </c>
      <c r="H3720" s="7" t="s">
        <v>81</v>
      </c>
      <c r="I3720" s="7" t="s">
        <v>82</v>
      </c>
      <c r="J3720" s="7" t="s">
        <v>44</v>
      </c>
      <c r="K3720" s="7" t="n">
        <f aca="false">IFERROR(VALUE(RIGHT(TRIM(F3720),4)),"")</f>
        <v>2016</v>
      </c>
      <c r="L3720" s="7" t="str">
        <f aca="false">IF(TRIM(E3720)="","Unknown",IFERROR(LEFT(TRIM(E3720),FIND(",",TRIM(E3720))-1),TRIM(E3720)))</f>
        <v>United States</v>
      </c>
      <c r="M3720" s="7" t="str">
        <f aca="false">IFERROR(LEFT(J3720,FIND(",",J3720)-1),J3720)</f>
        <v>Kids' TV</v>
      </c>
      <c r="N3720" s="7" t="str">
        <f aca="false">IF(B3720="Movie",IFERROR(VALUE(LEFT(I3720,FIND(" ",I3720)-1)),""),"")</f>
        <v/>
      </c>
      <c r="O3720" s="7" t="n">
        <f aca="false">IF(B3720="TV Show",IFERROR(VALUE(LEFT(I3720,FIND(" ",I3720)-1)),""),"")</f>
        <v>1</v>
      </c>
      <c r="P3720" s="7" t="n">
        <f aca="false">IF(K3720="","",K3720-G3720)</f>
        <v>16</v>
      </c>
    </row>
    <row r="3721" customFormat="false" ht="15" hidden="false" customHeight="false" outlineLevel="0" collapsed="false">
      <c r="A3721" s="7" t="n">
        <v>70213081</v>
      </c>
      <c r="B3721" s="7" t="s">
        <v>78</v>
      </c>
      <c r="C3721" s="7" t="s">
        <v>7746</v>
      </c>
      <c r="E3721" s="7" t="s">
        <v>7743</v>
      </c>
      <c r="F3721" s="7" t="s">
        <v>7738</v>
      </c>
      <c r="G3721" s="7" t="n">
        <v>1999</v>
      </c>
      <c r="H3721" s="7" t="s">
        <v>81</v>
      </c>
      <c r="I3721" s="7" t="s">
        <v>82</v>
      </c>
      <c r="J3721" s="7" t="s">
        <v>44</v>
      </c>
      <c r="K3721" s="7" t="n">
        <f aca="false">IFERROR(VALUE(RIGHT(TRIM(F3721),4)),"")</f>
        <v>2016</v>
      </c>
      <c r="L3721" s="7" t="str">
        <f aca="false">IF(TRIM(E3721)="","Unknown",IFERROR(LEFT(TRIM(E3721),FIND(",",TRIM(E3721))-1),TRIM(E3721)))</f>
        <v>United States</v>
      </c>
      <c r="M3721" s="7" t="str">
        <f aca="false">IFERROR(LEFT(J3721,FIND(",",J3721)-1),J3721)</f>
        <v>Kids' TV</v>
      </c>
      <c r="N3721" s="7" t="str">
        <f aca="false">IF(B3721="Movie",IFERROR(VALUE(LEFT(I3721,FIND(" ",I3721)-1)),""),"")</f>
        <v/>
      </c>
      <c r="O3721" s="7" t="n">
        <f aca="false">IF(B3721="TV Show",IFERROR(VALUE(LEFT(I3721,FIND(" ",I3721)-1)),""),"")</f>
        <v>1</v>
      </c>
      <c r="P3721" s="7" t="n">
        <f aca="false">IF(K3721="","",K3721-G3721)</f>
        <v>17</v>
      </c>
    </row>
    <row r="3722" customFormat="false" ht="15" hidden="false" customHeight="false" outlineLevel="0" collapsed="false">
      <c r="A3722" s="7" t="n">
        <v>70213080</v>
      </c>
      <c r="B3722" s="7" t="s">
        <v>78</v>
      </c>
      <c r="C3722" s="7" t="s">
        <v>7747</v>
      </c>
      <c r="E3722" s="7" t="s">
        <v>26</v>
      </c>
      <c r="F3722" s="7" t="s">
        <v>7738</v>
      </c>
      <c r="G3722" s="7" t="n">
        <v>2006</v>
      </c>
      <c r="H3722" s="7" t="s">
        <v>81</v>
      </c>
      <c r="I3722" s="7" t="s">
        <v>82</v>
      </c>
      <c r="J3722" s="7" t="s">
        <v>44</v>
      </c>
      <c r="K3722" s="7" t="n">
        <f aca="false">IFERROR(VALUE(RIGHT(TRIM(F3722),4)),"")</f>
        <v>2016</v>
      </c>
      <c r="L3722" s="7" t="str">
        <f aca="false">IF(TRIM(E3722)="","Unknown",IFERROR(LEFT(TRIM(E3722),FIND(",",TRIM(E3722))-1),TRIM(E3722)))</f>
        <v>United States</v>
      </c>
      <c r="M3722" s="7" t="str">
        <f aca="false">IFERROR(LEFT(J3722,FIND(",",J3722)-1),J3722)</f>
        <v>Kids' TV</v>
      </c>
      <c r="N3722" s="7" t="str">
        <f aca="false">IF(B3722="Movie",IFERROR(VALUE(LEFT(I3722,FIND(" ",I3722)-1)),""),"")</f>
        <v/>
      </c>
      <c r="O3722" s="7" t="n">
        <f aca="false">IF(B3722="TV Show",IFERROR(VALUE(LEFT(I3722,FIND(" ",I3722)-1)),""),"")</f>
        <v>1</v>
      </c>
      <c r="P3722" s="7" t="n">
        <f aca="false">IF(K3722="","",K3722-G3722)</f>
        <v>10</v>
      </c>
    </row>
    <row r="3723" customFormat="false" ht="15" hidden="false" customHeight="false" outlineLevel="0" collapsed="false">
      <c r="A3723" s="7" t="n">
        <v>70213079</v>
      </c>
      <c r="B3723" s="7" t="s">
        <v>78</v>
      </c>
      <c r="C3723" s="7" t="s">
        <v>7748</v>
      </c>
      <c r="E3723" s="7" t="s">
        <v>7749</v>
      </c>
      <c r="F3723" s="7" t="s">
        <v>7738</v>
      </c>
      <c r="G3723" s="7" t="n">
        <v>2003</v>
      </c>
      <c r="H3723" s="7" t="s">
        <v>81</v>
      </c>
      <c r="I3723" s="7" t="s">
        <v>82</v>
      </c>
      <c r="J3723" s="7" t="s">
        <v>44</v>
      </c>
      <c r="K3723" s="7" t="n">
        <f aca="false">IFERROR(VALUE(RIGHT(TRIM(F3723),4)),"")</f>
        <v>2016</v>
      </c>
      <c r="L3723" s="7" t="str">
        <f aca="false">IF(TRIM(E3723)="","Unknown",IFERROR(LEFT(TRIM(E3723),FIND(",",TRIM(E3723))-1),TRIM(E3723)))</f>
        <v>United States</v>
      </c>
      <c r="M3723" s="7" t="str">
        <f aca="false">IFERROR(LEFT(J3723,FIND(",",J3723)-1),J3723)</f>
        <v>Kids' TV</v>
      </c>
      <c r="N3723" s="7" t="str">
        <f aca="false">IF(B3723="Movie",IFERROR(VALUE(LEFT(I3723,FIND(" ",I3723)-1)),""),"")</f>
        <v/>
      </c>
      <c r="O3723" s="7" t="n">
        <f aca="false">IF(B3723="TV Show",IFERROR(VALUE(LEFT(I3723,FIND(" ",I3723)-1)),""),"")</f>
        <v>1</v>
      </c>
      <c r="P3723" s="7" t="n">
        <f aca="false">IF(K3723="","",K3723-G3723)</f>
        <v>13</v>
      </c>
    </row>
    <row r="3724" customFormat="false" ht="15" hidden="false" customHeight="false" outlineLevel="0" collapsed="false">
      <c r="A3724" s="7" t="n">
        <v>70213078</v>
      </c>
      <c r="B3724" s="7" t="s">
        <v>78</v>
      </c>
      <c r="C3724" s="7" t="s">
        <v>7750</v>
      </c>
      <c r="E3724" s="7" t="s">
        <v>7751</v>
      </c>
      <c r="F3724" s="7" t="s">
        <v>7738</v>
      </c>
      <c r="G3724" s="7" t="n">
        <v>2007</v>
      </c>
      <c r="H3724" s="7" t="s">
        <v>81</v>
      </c>
      <c r="I3724" s="7" t="s">
        <v>82</v>
      </c>
      <c r="J3724" s="7" t="s">
        <v>44</v>
      </c>
      <c r="K3724" s="7" t="n">
        <f aca="false">IFERROR(VALUE(RIGHT(TRIM(F3724),4)),"")</f>
        <v>2016</v>
      </c>
      <c r="L3724" s="7" t="str">
        <f aca="false">IF(TRIM(E3724)="","Unknown",IFERROR(LEFT(TRIM(E3724),FIND(",",TRIM(E3724))-1),TRIM(E3724)))</f>
        <v>United States</v>
      </c>
      <c r="M3724" s="7" t="str">
        <f aca="false">IFERROR(LEFT(J3724,FIND(",",J3724)-1),J3724)</f>
        <v>Kids' TV</v>
      </c>
      <c r="N3724" s="7" t="str">
        <f aca="false">IF(B3724="Movie",IFERROR(VALUE(LEFT(I3724,FIND(" ",I3724)-1)),""),"")</f>
        <v/>
      </c>
      <c r="O3724" s="7" t="n">
        <f aca="false">IF(B3724="TV Show",IFERROR(VALUE(LEFT(I3724,FIND(" ",I3724)-1)),""),"")</f>
        <v>1</v>
      </c>
      <c r="P3724" s="7" t="n">
        <f aca="false">IF(K3724="","",K3724-G3724)</f>
        <v>9</v>
      </c>
    </row>
    <row r="3725" customFormat="false" ht="15" hidden="false" customHeight="false" outlineLevel="0" collapsed="false">
      <c r="A3725" s="7" t="n">
        <v>70213077</v>
      </c>
      <c r="B3725" s="7" t="s">
        <v>78</v>
      </c>
      <c r="C3725" s="7" t="s">
        <v>7752</v>
      </c>
      <c r="E3725" s="7" t="s">
        <v>26</v>
      </c>
      <c r="F3725" s="7" t="s">
        <v>7738</v>
      </c>
      <c r="G3725" s="7" t="n">
        <v>2009</v>
      </c>
      <c r="H3725" s="7" t="s">
        <v>81</v>
      </c>
      <c r="I3725" s="7" t="s">
        <v>82</v>
      </c>
      <c r="J3725" s="7" t="s">
        <v>44</v>
      </c>
      <c r="K3725" s="7" t="n">
        <f aca="false">IFERROR(VALUE(RIGHT(TRIM(F3725),4)),"")</f>
        <v>2016</v>
      </c>
      <c r="L3725" s="7" t="str">
        <f aca="false">IF(TRIM(E3725)="","Unknown",IFERROR(LEFT(TRIM(E3725),FIND(",",TRIM(E3725))-1),TRIM(E3725)))</f>
        <v>United States</v>
      </c>
      <c r="M3725" s="7" t="str">
        <f aca="false">IFERROR(LEFT(J3725,FIND(",",J3725)-1),J3725)</f>
        <v>Kids' TV</v>
      </c>
      <c r="N3725" s="7" t="str">
        <f aca="false">IF(B3725="Movie",IFERROR(VALUE(LEFT(I3725,FIND(" ",I3725)-1)),""),"")</f>
        <v/>
      </c>
      <c r="O3725" s="7" t="n">
        <f aca="false">IF(B3725="TV Show",IFERROR(VALUE(LEFT(I3725,FIND(" ",I3725)-1)),""),"")</f>
        <v>1</v>
      </c>
      <c r="P3725" s="7" t="n">
        <f aca="false">IF(K3725="","",K3725-G3725)</f>
        <v>7</v>
      </c>
    </row>
    <row r="3726" customFormat="false" ht="15" hidden="false" customHeight="false" outlineLevel="0" collapsed="false">
      <c r="A3726" s="7" t="n">
        <v>70213076</v>
      </c>
      <c r="B3726" s="7" t="s">
        <v>78</v>
      </c>
      <c r="C3726" s="7" t="s">
        <v>7753</v>
      </c>
      <c r="E3726" s="7" t="s">
        <v>7749</v>
      </c>
      <c r="F3726" s="7" t="s">
        <v>7738</v>
      </c>
      <c r="G3726" s="7" t="n">
        <v>2005</v>
      </c>
      <c r="H3726" s="7" t="s">
        <v>81</v>
      </c>
      <c r="I3726" s="7" t="s">
        <v>82</v>
      </c>
      <c r="J3726" s="7" t="s">
        <v>44</v>
      </c>
      <c r="K3726" s="7" t="n">
        <f aca="false">IFERROR(VALUE(RIGHT(TRIM(F3726),4)),"")</f>
        <v>2016</v>
      </c>
      <c r="L3726" s="7" t="str">
        <f aca="false">IF(TRIM(E3726)="","Unknown",IFERROR(LEFT(TRIM(E3726),FIND(",",TRIM(E3726))-1),TRIM(E3726)))</f>
        <v>United States</v>
      </c>
      <c r="M3726" s="7" t="str">
        <f aca="false">IFERROR(LEFT(J3726,FIND(",",J3726)-1),J3726)</f>
        <v>Kids' TV</v>
      </c>
      <c r="N3726" s="7" t="str">
        <f aca="false">IF(B3726="Movie",IFERROR(VALUE(LEFT(I3726,FIND(" ",I3726)-1)),""),"")</f>
        <v/>
      </c>
      <c r="O3726" s="7" t="n">
        <f aca="false">IF(B3726="TV Show",IFERROR(VALUE(LEFT(I3726,FIND(" ",I3726)-1)),""),"")</f>
        <v>1</v>
      </c>
      <c r="P3726" s="7" t="n">
        <f aca="false">IF(K3726="","",K3726-G3726)</f>
        <v>11</v>
      </c>
    </row>
    <row r="3727" customFormat="false" ht="15" hidden="false" customHeight="false" outlineLevel="0" collapsed="false">
      <c r="A3727" s="7" t="n">
        <v>70221673</v>
      </c>
      <c r="B3727" s="7" t="s">
        <v>78</v>
      </c>
      <c r="C3727" s="7" t="s">
        <v>7754</v>
      </c>
      <c r="E3727" s="7" t="s">
        <v>26</v>
      </c>
      <c r="F3727" s="7" t="s">
        <v>7738</v>
      </c>
      <c r="G3727" s="7" t="n">
        <v>2011</v>
      </c>
      <c r="H3727" s="7" t="s">
        <v>81</v>
      </c>
      <c r="I3727" s="7" t="s">
        <v>82</v>
      </c>
      <c r="J3727" s="7" t="s">
        <v>44</v>
      </c>
      <c r="K3727" s="7" t="n">
        <f aca="false">IFERROR(VALUE(RIGHT(TRIM(F3727),4)),"")</f>
        <v>2016</v>
      </c>
      <c r="L3727" s="7" t="str">
        <f aca="false">IF(TRIM(E3727)="","Unknown",IFERROR(LEFT(TRIM(E3727),FIND(",",TRIM(E3727))-1),TRIM(E3727)))</f>
        <v>United States</v>
      </c>
      <c r="M3727" s="7" t="str">
        <f aca="false">IFERROR(LEFT(J3727,FIND(",",J3727)-1),J3727)</f>
        <v>Kids' TV</v>
      </c>
      <c r="N3727" s="7" t="str">
        <f aca="false">IF(B3727="Movie",IFERROR(VALUE(LEFT(I3727,FIND(" ",I3727)-1)),""),"")</f>
        <v/>
      </c>
      <c r="O3727" s="7" t="n">
        <f aca="false">IF(B3727="TV Show",IFERROR(VALUE(LEFT(I3727,FIND(" ",I3727)-1)),""),"")</f>
        <v>1</v>
      </c>
      <c r="P3727" s="7" t="n">
        <f aca="false">IF(K3727="","",K3727-G3727)</f>
        <v>5</v>
      </c>
    </row>
    <row r="3728" customFormat="false" ht="15" hidden="false" customHeight="false" outlineLevel="0" collapsed="false">
      <c r="A3728" s="7" t="n">
        <v>70221570</v>
      </c>
      <c r="B3728" s="7" t="s">
        <v>68</v>
      </c>
      <c r="C3728" s="7" t="s">
        <v>7755</v>
      </c>
      <c r="E3728" s="7" t="s">
        <v>26</v>
      </c>
      <c r="F3728" s="7" t="s">
        <v>7738</v>
      </c>
      <c r="G3728" s="7" t="n">
        <v>2011</v>
      </c>
      <c r="H3728" s="7" t="s">
        <v>81</v>
      </c>
      <c r="I3728" s="7" t="s">
        <v>373</v>
      </c>
      <c r="J3728" s="7" t="s">
        <v>10</v>
      </c>
      <c r="K3728" s="7" t="n">
        <f aca="false">IFERROR(VALUE(RIGHT(TRIM(F3728),4)),"")</f>
        <v>2016</v>
      </c>
      <c r="L3728" s="7" t="str">
        <f aca="false">IF(TRIM(E3728)="","Unknown",IFERROR(LEFT(TRIM(E3728),FIND(",",TRIM(E3728))-1),TRIM(E3728)))</f>
        <v>United States</v>
      </c>
      <c r="M3728" s="7" t="str">
        <f aca="false">IFERROR(LEFT(J3728,FIND(",",J3728)-1),J3728)</f>
        <v>Movies</v>
      </c>
      <c r="N3728" s="7" t="n">
        <f aca="false">IF(B3728="Movie",IFERROR(VALUE(LEFT(I3728,FIND(" ",I3728)-1)),""),"")</f>
        <v>24</v>
      </c>
      <c r="O3728" s="7" t="str">
        <f aca="false">IF(B3728="TV Show",IFERROR(VALUE(LEFT(I3728,FIND(" ",I3728)-1)),""),"")</f>
        <v/>
      </c>
      <c r="P3728" s="7" t="n">
        <f aca="false">IF(K3728="","",K3728-G3728)</f>
        <v>5</v>
      </c>
    </row>
    <row r="3729" customFormat="false" ht="15" hidden="false" customHeight="false" outlineLevel="0" collapsed="false">
      <c r="A3729" s="7" t="n">
        <v>70221571</v>
      </c>
      <c r="B3729" s="7" t="s">
        <v>68</v>
      </c>
      <c r="C3729" s="7" t="s">
        <v>7756</v>
      </c>
      <c r="E3729" s="7" t="s">
        <v>26</v>
      </c>
      <c r="F3729" s="7" t="s">
        <v>7738</v>
      </c>
      <c r="G3729" s="7" t="n">
        <v>2011</v>
      </c>
      <c r="H3729" s="7" t="s">
        <v>81</v>
      </c>
      <c r="I3729" s="7" t="s">
        <v>1175</v>
      </c>
      <c r="J3729" s="7" t="s">
        <v>42</v>
      </c>
      <c r="K3729" s="7" t="n">
        <f aca="false">IFERROR(VALUE(RIGHT(TRIM(F3729),4)),"")</f>
        <v>2016</v>
      </c>
      <c r="L3729" s="7" t="str">
        <f aca="false">IF(TRIM(E3729)="","Unknown",IFERROR(LEFT(TRIM(E3729),FIND(",",TRIM(E3729))-1),TRIM(E3729)))</f>
        <v>United States</v>
      </c>
      <c r="M3729" s="7" t="str">
        <f aca="false">IFERROR(LEFT(J3729,FIND(",",J3729)-1),J3729)</f>
        <v>Children &amp; Family Movies</v>
      </c>
      <c r="N3729" s="7" t="n">
        <f aca="false">IF(B3729="Movie",IFERROR(VALUE(LEFT(I3729,FIND(" ",I3729)-1)),""),"")</f>
        <v>46</v>
      </c>
      <c r="O3729" s="7" t="str">
        <f aca="false">IF(B3729="TV Show",IFERROR(VALUE(LEFT(I3729,FIND(" ",I3729)-1)),""),"")</f>
        <v/>
      </c>
      <c r="P3729" s="7" t="n">
        <f aca="false">IF(K3729="","",K3729-G3729)</f>
        <v>5</v>
      </c>
    </row>
    <row r="3730" customFormat="false" ht="15" hidden="false" customHeight="false" outlineLevel="0" collapsed="false">
      <c r="A3730" s="7" t="n">
        <v>70221569</v>
      </c>
      <c r="B3730" s="7" t="s">
        <v>68</v>
      </c>
      <c r="C3730" s="7" t="s">
        <v>7757</v>
      </c>
      <c r="E3730" s="7" t="s">
        <v>26</v>
      </c>
      <c r="F3730" s="7" t="s">
        <v>7738</v>
      </c>
      <c r="G3730" s="7" t="n">
        <v>2011</v>
      </c>
      <c r="H3730" s="7" t="s">
        <v>81</v>
      </c>
      <c r="I3730" s="7" t="s">
        <v>373</v>
      </c>
      <c r="J3730" s="7" t="s">
        <v>10</v>
      </c>
      <c r="K3730" s="7" t="n">
        <f aca="false">IFERROR(VALUE(RIGHT(TRIM(F3730),4)),"")</f>
        <v>2016</v>
      </c>
      <c r="L3730" s="7" t="str">
        <f aca="false">IF(TRIM(E3730)="","Unknown",IFERROR(LEFT(TRIM(E3730),FIND(",",TRIM(E3730))-1),TRIM(E3730)))</f>
        <v>United States</v>
      </c>
      <c r="M3730" s="7" t="str">
        <f aca="false">IFERROR(LEFT(J3730,FIND(",",J3730)-1),J3730)</f>
        <v>Movies</v>
      </c>
      <c r="N3730" s="7" t="n">
        <f aca="false">IF(B3730="Movie",IFERROR(VALUE(LEFT(I3730,FIND(" ",I3730)-1)),""),"")</f>
        <v>24</v>
      </c>
      <c r="O3730" s="7" t="str">
        <f aca="false">IF(B3730="TV Show",IFERROR(VALUE(LEFT(I3730,FIND(" ",I3730)-1)),""),"")</f>
        <v/>
      </c>
      <c r="P3730" s="7" t="n">
        <f aca="false">IF(K3730="","",K3730-G3730)</f>
        <v>5</v>
      </c>
    </row>
    <row r="3731" customFormat="false" ht="15" hidden="false" customHeight="false" outlineLevel="0" collapsed="false">
      <c r="A3731" s="7" t="n">
        <v>80008257</v>
      </c>
      <c r="B3731" s="7" t="s">
        <v>78</v>
      </c>
      <c r="C3731" s="7" t="s">
        <v>7758</v>
      </c>
      <c r="E3731" s="7" t="s">
        <v>26</v>
      </c>
      <c r="F3731" s="7" t="s">
        <v>7738</v>
      </c>
      <c r="G3731" s="7" t="n">
        <v>2014</v>
      </c>
      <c r="H3731" s="7" t="s">
        <v>55</v>
      </c>
      <c r="I3731" s="7" t="s">
        <v>82</v>
      </c>
      <c r="J3731" s="7" t="s">
        <v>44</v>
      </c>
      <c r="K3731" s="7" t="n">
        <f aca="false">IFERROR(VALUE(RIGHT(TRIM(F3731),4)),"")</f>
        <v>2016</v>
      </c>
      <c r="L3731" s="7" t="str">
        <f aca="false">IF(TRIM(E3731)="","Unknown",IFERROR(LEFT(TRIM(E3731),FIND(",",TRIM(E3731))-1),TRIM(E3731)))</f>
        <v>United States</v>
      </c>
      <c r="M3731" s="7" t="str">
        <f aca="false">IFERROR(LEFT(J3731,FIND(",",J3731)-1),J3731)</f>
        <v>Kids' TV</v>
      </c>
      <c r="N3731" s="7" t="str">
        <f aca="false">IF(B3731="Movie",IFERROR(VALUE(LEFT(I3731,FIND(" ",I3731)-1)),""),"")</f>
        <v/>
      </c>
      <c r="O3731" s="7" t="n">
        <f aca="false">IF(B3731="TV Show",IFERROR(VALUE(LEFT(I3731,FIND(" ",I3731)-1)),""),"")</f>
        <v>1</v>
      </c>
      <c r="P3731" s="7" t="n">
        <f aca="false">IF(K3731="","",K3731-G3731)</f>
        <v>2</v>
      </c>
    </row>
    <row r="3732" customFormat="false" ht="15" hidden="false" customHeight="false" outlineLevel="0" collapsed="false">
      <c r="A3732" s="7" t="n">
        <v>80092837</v>
      </c>
      <c r="B3732" s="7" t="s">
        <v>68</v>
      </c>
      <c r="C3732" s="7" t="s">
        <v>7759</v>
      </c>
      <c r="D3732" s="7" t="s">
        <v>7760</v>
      </c>
      <c r="E3732" s="7" t="s">
        <v>26</v>
      </c>
      <c r="F3732" s="7" t="s">
        <v>7738</v>
      </c>
      <c r="G3732" s="7" t="n">
        <v>2014</v>
      </c>
      <c r="H3732" s="7" t="s">
        <v>55</v>
      </c>
      <c r="I3732" s="7" t="s">
        <v>1595</v>
      </c>
      <c r="J3732" s="7" t="s">
        <v>10</v>
      </c>
      <c r="K3732" s="7" t="n">
        <f aca="false">IFERROR(VALUE(RIGHT(TRIM(F3732),4)),"")</f>
        <v>2016</v>
      </c>
      <c r="L3732" s="7" t="str">
        <f aca="false">IF(TRIM(E3732)="","Unknown",IFERROR(LEFT(TRIM(E3732),FIND(",",TRIM(E3732))-1),TRIM(E3732)))</f>
        <v>United States</v>
      </c>
      <c r="M3732" s="7" t="str">
        <f aca="false">IFERROR(LEFT(J3732,FIND(",",J3732)-1),J3732)</f>
        <v>Movies</v>
      </c>
      <c r="N3732" s="7" t="n">
        <f aca="false">IF(B3732="Movie",IFERROR(VALUE(LEFT(I3732,FIND(" ",I3732)-1)),""),"")</f>
        <v>55</v>
      </c>
      <c r="O3732" s="7" t="str">
        <f aca="false">IF(B3732="TV Show",IFERROR(VALUE(LEFT(I3732,FIND(" ",I3732)-1)),""),"")</f>
        <v/>
      </c>
      <c r="P3732" s="7" t="n">
        <f aca="false">IF(K3732="","",K3732-G3732)</f>
        <v>2</v>
      </c>
    </row>
    <row r="3733" customFormat="false" ht="15" hidden="false" customHeight="false" outlineLevel="0" collapsed="false">
      <c r="A3733" s="7" t="n">
        <v>70259568</v>
      </c>
      <c r="B3733" s="7" t="s">
        <v>78</v>
      </c>
      <c r="C3733" s="7" t="s">
        <v>7761</v>
      </c>
      <c r="E3733" s="7" t="s">
        <v>26</v>
      </c>
      <c r="F3733" s="7" t="s">
        <v>7738</v>
      </c>
      <c r="G3733" s="7" t="n">
        <v>2012</v>
      </c>
      <c r="H3733" s="7" t="s">
        <v>81</v>
      </c>
      <c r="I3733" s="7" t="s">
        <v>82</v>
      </c>
      <c r="J3733" s="7" t="s">
        <v>44</v>
      </c>
      <c r="K3733" s="7" t="n">
        <f aca="false">IFERROR(VALUE(RIGHT(TRIM(F3733),4)),"")</f>
        <v>2016</v>
      </c>
      <c r="L3733" s="7" t="str">
        <f aca="false">IF(TRIM(E3733)="","Unknown",IFERROR(LEFT(TRIM(E3733),FIND(",",TRIM(E3733))-1),TRIM(E3733)))</f>
        <v>United States</v>
      </c>
      <c r="M3733" s="7" t="str">
        <f aca="false">IFERROR(LEFT(J3733,FIND(",",J3733)-1),J3733)</f>
        <v>Kids' TV</v>
      </c>
      <c r="N3733" s="7" t="str">
        <f aca="false">IF(B3733="Movie",IFERROR(VALUE(LEFT(I3733,FIND(" ",I3733)-1)),""),"")</f>
        <v/>
      </c>
      <c r="O3733" s="7" t="n">
        <f aca="false">IF(B3733="TV Show",IFERROR(VALUE(LEFT(I3733,FIND(" ",I3733)-1)),""),"")</f>
        <v>1</v>
      </c>
      <c r="P3733" s="7" t="n">
        <f aca="false">IF(K3733="","",K3733-G3733)</f>
        <v>4</v>
      </c>
    </row>
    <row r="3734" customFormat="false" ht="15" hidden="false" customHeight="false" outlineLevel="0" collapsed="false">
      <c r="A3734" s="7" t="n">
        <v>70242898</v>
      </c>
      <c r="B3734" s="7" t="s">
        <v>68</v>
      </c>
      <c r="C3734" s="7" t="s">
        <v>7762</v>
      </c>
      <c r="E3734" s="7" t="s">
        <v>26</v>
      </c>
      <c r="F3734" s="7" t="s">
        <v>7738</v>
      </c>
      <c r="G3734" s="7" t="n">
        <v>2012</v>
      </c>
      <c r="H3734" s="7" t="s">
        <v>81</v>
      </c>
      <c r="I3734" s="7" t="s">
        <v>373</v>
      </c>
      <c r="J3734" s="7" t="s">
        <v>1931</v>
      </c>
      <c r="K3734" s="7" t="n">
        <f aca="false">IFERROR(VALUE(RIGHT(TRIM(F3734),4)),"")</f>
        <v>2016</v>
      </c>
      <c r="L3734" s="7" t="str">
        <f aca="false">IF(TRIM(E3734)="","Unknown",IFERROR(LEFT(TRIM(E3734),FIND(",",TRIM(E3734))-1),TRIM(E3734)))</f>
        <v>United States</v>
      </c>
      <c r="M3734" s="7" t="str">
        <f aca="false">IFERROR(LEFT(J3734,FIND(",",J3734)-1),J3734)</f>
        <v>Children &amp; Family Movies</v>
      </c>
      <c r="N3734" s="7" t="n">
        <f aca="false">IF(B3734="Movie",IFERROR(VALUE(LEFT(I3734,FIND(" ",I3734)-1)),""),"")</f>
        <v>24</v>
      </c>
      <c r="O3734" s="7" t="str">
        <f aca="false">IF(B3734="TV Show",IFERROR(VALUE(LEFT(I3734,FIND(" ",I3734)-1)),""),"")</f>
        <v/>
      </c>
      <c r="P3734" s="7" t="n">
        <f aca="false">IF(K3734="","",K3734-G3734)</f>
        <v>4</v>
      </c>
    </row>
    <row r="3735" customFormat="false" ht="15" hidden="false" customHeight="false" outlineLevel="0" collapsed="false">
      <c r="A3735" s="7" t="n">
        <v>70242897</v>
      </c>
      <c r="B3735" s="7" t="s">
        <v>68</v>
      </c>
      <c r="C3735" s="7" t="s">
        <v>7763</v>
      </c>
      <c r="E3735" s="7" t="s">
        <v>26</v>
      </c>
      <c r="F3735" s="7" t="s">
        <v>7738</v>
      </c>
      <c r="G3735" s="7" t="n">
        <v>2012</v>
      </c>
      <c r="H3735" s="7" t="s">
        <v>81</v>
      </c>
      <c r="I3735" s="7" t="s">
        <v>1653</v>
      </c>
      <c r="J3735" s="7" t="s">
        <v>10</v>
      </c>
      <c r="K3735" s="7" t="n">
        <f aca="false">IFERROR(VALUE(RIGHT(TRIM(F3735),4)),"")</f>
        <v>2016</v>
      </c>
      <c r="L3735" s="7" t="str">
        <f aca="false">IF(TRIM(E3735)="","Unknown",IFERROR(LEFT(TRIM(E3735),FIND(",",TRIM(E3735))-1),TRIM(E3735)))</f>
        <v>United States</v>
      </c>
      <c r="M3735" s="7" t="str">
        <f aca="false">IFERROR(LEFT(J3735,FIND(",",J3735)-1),J3735)</f>
        <v>Movies</v>
      </c>
      <c r="N3735" s="7" t="n">
        <f aca="false">IF(B3735="Movie",IFERROR(VALUE(LEFT(I3735,FIND(" ",I3735)-1)),""),"")</f>
        <v>23</v>
      </c>
      <c r="O3735" s="7" t="str">
        <f aca="false">IF(B3735="TV Show",IFERROR(VALUE(LEFT(I3735,FIND(" ",I3735)-1)),""),"")</f>
        <v/>
      </c>
      <c r="P3735" s="7" t="n">
        <f aca="false">IF(K3735="","",K3735-G3735)</f>
        <v>4</v>
      </c>
    </row>
    <row r="3736" customFormat="false" ht="15" hidden="false" customHeight="false" outlineLevel="0" collapsed="false">
      <c r="A3736" s="7" t="n">
        <v>70213075</v>
      </c>
      <c r="B3736" s="7" t="s">
        <v>78</v>
      </c>
      <c r="C3736" s="7" t="s">
        <v>7764</v>
      </c>
      <c r="E3736" s="7" t="s">
        <v>26</v>
      </c>
      <c r="F3736" s="7" t="s">
        <v>7738</v>
      </c>
      <c r="G3736" s="7" t="n">
        <v>2001</v>
      </c>
      <c r="H3736" s="7" t="s">
        <v>81</v>
      </c>
      <c r="I3736" s="7" t="s">
        <v>82</v>
      </c>
      <c r="J3736" s="7" t="s">
        <v>44</v>
      </c>
      <c r="K3736" s="7" t="n">
        <f aca="false">IFERROR(VALUE(RIGHT(TRIM(F3736),4)),"")</f>
        <v>2016</v>
      </c>
      <c r="L3736" s="7" t="str">
        <f aca="false">IF(TRIM(E3736)="","Unknown",IFERROR(LEFT(TRIM(E3736),FIND(",",TRIM(E3736))-1),TRIM(E3736)))</f>
        <v>United States</v>
      </c>
      <c r="M3736" s="7" t="str">
        <f aca="false">IFERROR(LEFT(J3736,FIND(",",J3736)-1),J3736)</f>
        <v>Kids' TV</v>
      </c>
      <c r="N3736" s="7" t="str">
        <f aca="false">IF(B3736="Movie",IFERROR(VALUE(LEFT(I3736,FIND(" ",I3736)-1)),""),"")</f>
        <v/>
      </c>
      <c r="O3736" s="7" t="n">
        <f aca="false">IF(B3736="TV Show",IFERROR(VALUE(LEFT(I3736,FIND(" ",I3736)-1)),""),"")</f>
        <v>1</v>
      </c>
      <c r="P3736" s="7" t="n">
        <f aca="false">IF(K3736="","",K3736-G3736)</f>
        <v>15</v>
      </c>
    </row>
    <row r="3737" customFormat="false" ht="15" hidden="false" customHeight="false" outlineLevel="0" collapsed="false">
      <c r="A3737" s="7" t="n">
        <v>70213074</v>
      </c>
      <c r="B3737" s="7" t="s">
        <v>78</v>
      </c>
      <c r="C3737" s="7" t="s">
        <v>7765</v>
      </c>
      <c r="E3737" s="7" t="s">
        <v>7743</v>
      </c>
      <c r="F3737" s="7" t="s">
        <v>7738</v>
      </c>
      <c r="G3737" s="7" t="n">
        <v>1997</v>
      </c>
      <c r="H3737" s="7" t="s">
        <v>81</v>
      </c>
      <c r="I3737" s="7" t="s">
        <v>82</v>
      </c>
      <c r="J3737" s="7" t="s">
        <v>44</v>
      </c>
      <c r="K3737" s="7" t="n">
        <f aca="false">IFERROR(VALUE(RIGHT(TRIM(F3737),4)),"")</f>
        <v>2016</v>
      </c>
      <c r="L3737" s="7" t="str">
        <f aca="false">IF(TRIM(E3737)="","Unknown",IFERROR(LEFT(TRIM(E3737),FIND(",",TRIM(E3737))-1),TRIM(E3737)))</f>
        <v>United States</v>
      </c>
      <c r="M3737" s="7" t="str">
        <f aca="false">IFERROR(LEFT(J3737,FIND(",",J3737)-1),J3737)</f>
        <v>Kids' TV</v>
      </c>
      <c r="N3737" s="7" t="str">
        <f aca="false">IF(B3737="Movie",IFERROR(VALUE(LEFT(I3737,FIND(" ",I3737)-1)),""),"")</f>
        <v/>
      </c>
      <c r="O3737" s="7" t="n">
        <f aca="false">IF(B3737="TV Show",IFERROR(VALUE(LEFT(I3737,FIND(" ",I3737)-1)),""),"")</f>
        <v>1</v>
      </c>
      <c r="P3737" s="7" t="n">
        <f aca="false">IF(K3737="","",K3737-G3737)</f>
        <v>19</v>
      </c>
    </row>
    <row r="3738" customFormat="false" ht="15" hidden="false" customHeight="false" outlineLevel="0" collapsed="false">
      <c r="A3738" s="7" t="n">
        <v>70213073</v>
      </c>
      <c r="B3738" s="7" t="s">
        <v>78</v>
      </c>
      <c r="C3738" s="7" t="s">
        <v>7766</v>
      </c>
      <c r="E3738" s="7" t="s">
        <v>7767</v>
      </c>
      <c r="F3738" s="7" t="s">
        <v>7738</v>
      </c>
      <c r="G3738" s="7" t="n">
        <v>2002</v>
      </c>
      <c r="H3738" s="7" t="s">
        <v>81</v>
      </c>
      <c r="I3738" s="7" t="s">
        <v>82</v>
      </c>
      <c r="J3738" s="7" t="s">
        <v>44</v>
      </c>
      <c r="K3738" s="7" t="n">
        <f aca="false">IFERROR(VALUE(RIGHT(TRIM(F3738),4)),"")</f>
        <v>2016</v>
      </c>
      <c r="L3738" s="7" t="str">
        <f aca="false">IF(TRIM(E3738)="","Unknown",IFERROR(LEFT(TRIM(E3738),FIND(",",TRIM(E3738))-1),TRIM(E3738)))</f>
        <v>United States</v>
      </c>
      <c r="M3738" s="7" t="str">
        <f aca="false">IFERROR(LEFT(J3738,FIND(",",J3738)-1),J3738)</f>
        <v>Kids' TV</v>
      </c>
      <c r="N3738" s="7" t="str">
        <f aca="false">IF(B3738="Movie",IFERROR(VALUE(LEFT(I3738,FIND(" ",I3738)-1)),""),"")</f>
        <v/>
      </c>
      <c r="O3738" s="7" t="n">
        <f aca="false">IF(B3738="TV Show",IFERROR(VALUE(LEFT(I3738,FIND(" ",I3738)-1)),""),"")</f>
        <v>1</v>
      </c>
      <c r="P3738" s="7" t="n">
        <f aca="false">IF(K3738="","",K3738-G3738)</f>
        <v>14</v>
      </c>
    </row>
    <row r="3739" customFormat="false" ht="15" hidden="false" customHeight="false" outlineLevel="0" collapsed="false">
      <c r="A3739" s="7" t="n">
        <v>70213072</v>
      </c>
      <c r="B3739" s="7" t="s">
        <v>78</v>
      </c>
      <c r="C3739" s="7" t="s">
        <v>7768</v>
      </c>
      <c r="E3739" s="7" t="s">
        <v>7743</v>
      </c>
      <c r="F3739" s="7" t="s">
        <v>7738</v>
      </c>
      <c r="G3739" s="7" t="n">
        <v>1996</v>
      </c>
      <c r="H3739" s="7" t="s">
        <v>81</v>
      </c>
      <c r="I3739" s="7" t="s">
        <v>82</v>
      </c>
      <c r="J3739" s="7" t="s">
        <v>44</v>
      </c>
      <c r="K3739" s="7" t="n">
        <f aca="false">IFERROR(VALUE(RIGHT(TRIM(F3739),4)),"")</f>
        <v>2016</v>
      </c>
      <c r="L3739" s="7" t="str">
        <f aca="false">IF(TRIM(E3739)="","Unknown",IFERROR(LEFT(TRIM(E3739),FIND(",",TRIM(E3739))-1),TRIM(E3739)))</f>
        <v>United States</v>
      </c>
      <c r="M3739" s="7" t="str">
        <f aca="false">IFERROR(LEFT(J3739,FIND(",",J3739)-1),J3739)</f>
        <v>Kids' TV</v>
      </c>
      <c r="N3739" s="7" t="str">
        <f aca="false">IF(B3739="Movie",IFERROR(VALUE(LEFT(I3739,FIND(" ",I3739)-1)),""),"")</f>
        <v/>
      </c>
      <c r="O3739" s="7" t="n">
        <f aca="false">IF(B3739="TV Show",IFERROR(VALUE(LEFT(I3739,FIND(" ",I3739)-1)),""),"")</f>
        <v>1</v>
      </c>
      <c r="P3739" s="7" t="n">
        <f aca="false">IF(K3739="","",K3739-G3739)</f>
        <v>20</v>
      </c>
    </row>
    <row r="3740" customFormat="false" ht="15" hidden="false" customHeight="false" outlineLevel="0" collapsed="false">
      <c r="A3740" s="7" t="n">
        <v>70294113</v>
      </c>
      <c r="B3740" s="7" t="s">
        <v>78</v>
      </c>
      <c r="C3740" s="7" t="s">
        <v>7769</v>
      </c>
      <c r="E3740" s="7" t="s">
        <v>26</v>
      </c>
      <c r="F3740" s="7" t="s">
        <v>7738</v>
      </c>
      <c r="G3740" s="7" t="n">
        <v>2013</v>
      </c>
      <c r="H3740" s="7" t="s">
        <v>81</v>
      </c>
      <c r="I3740" s="7" t="s">
        <v>82</v>
      </c>
      <c r="J3740" s="7" t="s">
        <v>44</v>
      </c>
      <c r="K3740" s="7" t="n">
        <f aca="false">IFERROR(VALUE(RIGHT(TRIM(F3740),4)),"")</f>
        <v>2016</v>
      </c>
      <c r="L3740" s="7" t="str">
        <f aca="false">IF(TRIM(E3740)="","Unknown",IFERROR(LEFT(TRIM(E3740),FIND(",",TRIM(E3740))-1),TRIM(E3740)))</f>
        <v>United States</v>
      </c>
      <c r="M3740" s="7" t="str">
        <f aca="false">IFERROR(LEFT(J3740,FIND(",",J3740)-1),J3740)</f>
        <v>Kids' TV</v>
      </c>
      <c r="N3740" s="7" t="str">
        <f aca="false">IF(B3740="Movie",IFERROR(VALUE(LEFT(I3740,FIND(" ",I3740)-1)),""),"")</f>
        <v/>
      </c>
      <c r="O3740" s="7" t="n">
        <f aca="false">IF(B3740="TV Show",IFERROR(VALUE(LEFT(I3740,FIND(" ",I3740)-1)),""),"")</f>
        <v>1</v>
      </c>
      <c r="P3740" s="7" t="n">
        <f aca="false">IF(K3740="","",K3740-G3740)</f>
        <v>3</v>
      </c>
    </row>
    <row r="3741" customFormat="false" ht="15" hidden="false" customHeight="false" outlineLevel="0" collapsed="false">
      <c r="A3741" s="7" t="n">
        <v>70242900</v>
      </c>
      <c r="B3741" s="7" t="s">
        <v>68</v>
      </c>
      <c r="C3741" s="7" t="s">
        <v>7770</v>
      </c>
      <c r="E3741" s="7" t="s">
        <v>26</v>
      </c>
      <c r="F3741" s="7" t="s">
        <v>7738</v>
      </c>
      <c r="G3741" s="7" t="n">
        <v>2013</v>
      </c>
      <c r="H3741" s="7" t="s">
        <v>81</v>
      </c>
      <c r="I3741" s="7" t="s">
        <v>373</v>
      </c>
      <c r="J3741" s="7" t="s">
        <v>42</v>
      </c>
      <c r="K3741" s="7" t="n">
        <f aca="false">IFERROR(VALUE(RIGHT(TRIM(F3741),4)),"")</f>
        <v>2016</v>
      </c>
      <c r="L3741" s="7" t="str">
        <f aca="false">IF(TRIM(E3741)="","Unknown",IFERROR(LEFT(TRIM(E3741),FIND(",",TRIM(E3741))-1),TRIM(E3741)))</f>
        <v>United States</v>
      </c>
      <c r="M3741" s="7" t="str">
        <f aca="false">IFERROR(LEFT(J3741,FIND(",",J3741)-1),J3741)</f>
        <v>Children &amp; Family Movies</v>
      </c>
      <c r="N3741" s="7" t="n">
        <f aca="false">IF(B3741="Movie",IFERROR(VALUE(LEFT(I3741,FIND(" ",I3741)-1)),""),"")</f>
        <v>24</v>
      </c>
      <c r="O3741" s="7" t="str">
        <f aca="false">IF(B3741="TV Show",IFERROR(VALUE(LEFT(I3741,FIND(" ",I3741)-1)),""),"")</f>
        <v/>
      </c>
      <c r="P3741" s="7" t="n">
        <f aca="false">IF(K3741="","",K3741-G3741)</f>
        <v>3</v>
      </c>
    </row>
    <row r="3742" customFormat="false" ht="15" hidden="false" customHeight="false" outlineLevel="0" collapsed="false">
      <c r="A3742" s="7" t="n">
        <v>70242899</v>
      </c>
      <c r="B3742" s="7" t="s">
        <v>68</v>
      </c>
      <c r="C3742" s="7" t="s">
        <v>7771</v>
      </c>
      <c r="D3742" s="7" t="s">
        <v>7772</v>
      </c>
      <c r="E3742" s="7" t="s">
        <v>26</v>
      </c>
      <c r="F3742" s="7" t="s">
        <v>7738</v>
      </c>
      <c r="G3742" s="7" t="n">
        <v>2013</v>
      </c>
      <c r="H3742" s="7" t="s">
        <v>81</v>
      </c>
      <c r="I3742" s="7" t="s">
        <v>373</v>
      </c>
      <c r="J3742" s="7" t="s">
        <v>42</v>
      </c>
      <c r="K3742" s="7" t="n">
        <f aca="false">IFERROR(VALUE(RIGHT(TRIM(F3742),4)),"")</f>
        <v>2016</v>
      </c>
      <c r="L3742" s="7" t="str">
        <f aca="false">IF(TRIM(E3742)="","Unknown",IFERROR(LEFT(TRIM(E3742),FIND(",",TRIM(E3742))-1),TRIM(E3742)))</f>
        <v>United States</v>
      </c>
      <c r="M3742" s="7" t="str">
        <f aca="false">IFERROR(LEFT(J3742,FIND(",",J3742)-1),J3742)</f>
        <v>Children &amp; Family Movies</v>
      </c>
      <c r="N3742" s="7" t="n">
        <f aca="false">IF(B3742="Movie",IFERROR(VALUE(LEFT(I3742,FIND(" ",I3742)-1)),""),"")</f>
        <v>24</v>
      </c>
      <c r="O3742" s="7" t="str">
        <f aca="false">IF(B3742="TV Show",IFERROR(VALUE(LEFT(I3742,FIND(" ",I3742)-1)),""),"")</f>
        <v/>
      </c>
      <c r="P3742" s="7" t="n">
        <f aca="false">IF(K3742="","",K3742-G3742)</f>
        <v>3</v>
      </c>
    </row>
    <row r="3743" customFormat="false" ht="15" hidden="false" customHeight="false" outlineLevel="0" collapsed="false">
      <c r="A3743" s="7" t="n">
        <v>70287605</v>
      </c>
      <c r="B3743" s="7" t="s">
        <v>78</v>
      </c>
      <c r="C3743" s="7" t="s">
        <v>7773</v>
      </c>
      <c r="E3743" s="7" t="s">
        <v>7774</v>
      </c>
      <c r="F3743" s="7" t="s">
        <v>7738</v>
      </c>
      <c r="G3743" s="7" t="n">
        <v>2015</v>
      </c>
      <c r="H3743" s="7" t="s">
        <v>119</v>
      </c>
      <c r="I3743" s="7" t="s">
        <v>82</v>
      </c>
      <c r="J3743" s="7" t="s">
        <v>44</v>
      </c>
      <c r="K3743" s="7" t="n">
        <f aca="false">IFERROR(VALUE(RIGHT(TRIM(F3743),4)),"")</f>
        <v>2016</v>
      </c>
      <c r="L3743" s="7" t="str">
        <f aca="false">IF(TRIM(E3743)="","Unknown",IFERROR(LEFT(TRIM(E3743),FIND(",",TRIM(E3743))-1),TRIM(E3743)))</f>
        <v>France</v>
      </c>
      <c r="M3743" s="7" t="str">
        <f aca="false">IFERROR(LEFT(J3743,FIND(",",J3743)-1),J3743)</f>
        <v>Kids' TV</v>
      </c>
      <c r="N3743" s="7" t="str">
        <f aca="false">IF(B3743="Movie",IFERROR(VALUE(LEFT(I3743,FIND(" ",I3743)-1)),""),"")</f>
        <v/>
      </c>
      <c r="O3743" s="7" t="n">
        <f aca="false">IF(B3743="TV Show",IFERROR(VALUE(LEFT(I3743,FIND(" ",I3743)-1)),""),"")</f>
        <v>1</v>
      </c>
      <c r="P3743" s="7" t="n">
        <f aca="false">IF(K3743="","",K3743-G3743)</f>
        <v>1</v>
      </c>
    </row>
    <row r="3744" customFormat="false" ht="15" hidden="false" customHeight="false" outlineLevel="0" collapsed="false">
      <c r="A3744" s="7" t="n">
        <v>70053412</v>
      </c>
      <c r="B3744" s="7" t="s">
        <v>68</v>
      </c>
      <c r="C3744" s="7" t="s">
        <v>7775</v>
      </c>
      <c r="D3744" s="7" t="s">
        <v>7776</v>
      </c>
      <c r="E3744" s="7" t="s">
        <v>26</v>
      </c>
      <c r="F3744" s="7" t="s">
        <v>7777</v>
      </c>
      <c r="G3744" s="7" t="n">
        <v>2006</v>
      </c>
      <c r="H3744" s="7" t="s">
        <v>53</v>
      </c>
      <c r="I3744" s="7" t="s">
        <v>467</v>
      </c>
      <c r="J3744" s="7" t="s">
        <v>520</v>
      </c>
      <c r="K3744" s="7" t="n">
        <f aca="false">IFERROR(VALUE(RIGHT(TRIM(F3744),4)),"")</f>
        <v>2008</v>
      </c>
      <c r="L3744" s="7" t="str">
        <f aca="false">IF(TRIM(E3744)="","Unknown",IFERROR(LEFT(TRIM(E3744),FIND(",",TRIM(E3744))-1),TRIM(E3744)))</f>
        <v>United States</v>
      </c>
      <c r="M3744" s="7" t="str">
        <f aca="false">IFERROR(LEFT(J3744,FIND(",",J3744)-1),J3744)</f>
        <v>Dramas</v>
      </c>
      <c r="N3744" s="7" t="n">
        <f aca="false">IF(B3744="Movie",IFERROR(VALUE(LEFT(I3744,FIND(" ",I3744)-1)),""),"")</f>
        <v>81</v>
      </c>
      <c r="O3744" s="7" t="str">
        <f aca="false">IF(B3744="TV Show",IFERROR(VALUE(LEFT(I3744,FIND(" ",I3744)-1)),""),"")</f>
        <v/>
      </c>
      <c r="P3744" s="7" t="n">
        <f aca="false">IF(K3744="","",K3744-G3744)</f>
        <v>2</v>
      </c>
    </row>
    <row r="3745" customFormat="false" ht="15" hidden="false" customHeight="false" outlineLevel="0" collapsed="false">
      <c r="A3745" s="7" t="n">
        <v>80131616</v>
      </c>
      <c r="B3745" s="7" t="s">
        <v>68</v>
      </c>
      <c r="C3745" s="7" t="s">
        <v>7778</v>
      </c>
      <c r="D3745" s="7" t="s">
        <v>7779</v>
      </c>
      <c r="E3745" s="7" t="s">
        <v>26</v>
      </c>
      <c r="F3745" s="7" t="s">
        <v>7780</v>
      </c>
      <c r="G3745" s="7" t="n">
        <v>2018</v>
      </c>
      <c r="H3745" s="7" t="s">
        <v>54</v>
      </c>
      <c r="I3745" s="7" t="s">
        <v>326</v>
      </c>
      <c r="J3745" s="7" t="s">
        <v>422</v>
      </c>
      <c r="K3745" s="7" t="n">
        <f aca="false">IFERROR(VALUE(RIGHT(TRIM(F3745),4)),"")</f>
        <v>2019</v>
      </c>
      <c r="L3745" s="7" t="str">
        <f aca="false">IF(TRIM(E3745)="","Unknown",IFERROR(LEFT(TRIM(E3745),FIND(",",TRIM(E3745))-1),TRIM(E3745)))</f>
        <v>United States</v>
      </c>
      <c r="M3745" s="7" t="str">
        <f aca="false">IFERROR(LEFT(J3745,FIND(",",J3745)-1),J3745)</f>
        <v>Children &amp; Family Movies</v>
      </c>
      <c r="N3745" s="7" t="n">
        <f aca="false">IF(B3745="Movie",IFERROR(VALUE(LEFT(I3745,FIND(" ",I3745)-1)),""),"")</f>
        <v>111</v>
      </c>
      <c r="O3745" s="7" t="str">
        <f aca="false">IF(B3745="TV Show",IFERROR(VALUE(LEFT(I3745,FIND(" ",I3745)-1)),""),"")</f>
        <v/>
      </c>
      <c r="P3745" s="7" t="n">
        <f aca="false">IF(K3745="","",K3745-G3745)</f>
        <v>1</v>
      </c>
    </row>
    <row r="3746" customFormat="false" ht="15" hidden="false" customHeight="false" outlineLevel="0" collapsed="false">
      <c r="A3746" s="7" t="n">
        <v>81020653</v>
      </c>
      <c r="B3746" s="7" t="s">
        <v>78</v>
      </c>
      <c r="C3746" s="7" t="s">
        <v>7781</v>
      </c>
      <c r="E3746" s="7" t="s">
        <v>970</v>
      </c>
      <c r="F3746" s="7" t="s">
        <v>7780</v>
      </c>
      <c r="G3746" s="7" t="n">
        <v>2018</v>
      </c>
      <c r="H3746" s="7" t="s">
        <v>49</v>
      </c>
      <c r="I3746" s="7" t="s">
        <v>82</v>
      </c>
      <c r="J3746" s="7" t="s">
        <v>314</v>
      </c>
      <c r="K3746" s="7" t="n">
        <f aca="false">IFERROR(VALUE(RIGHT(TRIM(F3746),4)),"")</f>
        <v>2019</v>
      </c>
      <c r="L3746" s="7" t="str">
        <f aca="false">IF(TRIM(E3746)="","Unknown",IFERROR(LEFT(TRIM(E3746),FIND(",",TRIM(E3746))-1),TRIM(E3746)))</f>
        <v>Taiwan</v>
      </c>
      <c r="M3746" s="7" t="str">
        <f aca="false">IFERROR(LEFT(J3746,FIND(",",J3746)-1),J3746)</f>
        <v>International TV Shows</v>
      </c>
      <c r="N3746" s="7" t="str">
        <f aca="false">IF(B3746="Movie",IFERROR(VALUE(LEFT(I3746,FIND(" ",I3746)-1)),""),"")</f>
        <v/>
      </c>
      <c r="O3746" s="7" t="n">
        <f aca="false">IF(B3746="TV Show",IFERROR(VALUE(LEFT(I3746,FIND(" ",I3746)-1)),""),"")</f>
        <v>1</v>
      </c>
      <c r="P3746" s="7" t="n">
        <f aca="false">IF(K3746="","",K3746-G3746)</f>
        <v>1</v>
      </c>
    </row>
    <row r="3747" customFormat="false" ht="15" hidden="false" customHeight="false" outlineLevel="0" collapsed="false">
      <c r="A3747" s="7" t="n">
        <v>80174367</v>
      </c>
      <c r="B3747" s="7" t="s">
        <v>68</v>
      </c>
      <c r="C3747" s="7" t="s">
        <v>7782</v>
      </c>
      <c r="D3747" s="7" t="s">
        <v>7783</v>
      </c>
      <c r="E3747" s="7" t="s">
        <v>26</v>
      </c>
      <c r="F3747" s="7" t="s">
        <v>7784</v>
      </c>
      <c r="G3747" s="7" t="n">
        <v>2018</v>
      </c>
      <c r="H3747" s="7" t="s">
        <v>49</v>
      </c>
      <c r="I3747" s="7" t="s">
        <v>138</v>
      </c>
      <c r="J3747" s="7" t="s">
        <v>39</v>
      </c>
      <c r="K3747" s="7" t="n">
        <f aca="false">IFERROR(VALUE(RIGHT(TRIM(F3747),4)),"")</f>
        <v>2018</v>
      </c>
      <c r="L3747" s="7" t="str">
        <f aca="false">IF(TRIM(E3747)="","Unknown",IFERROR(LEFT(TRIM(E3747),FIND(",",TRIM(E3747))-1),TRIM(E3747)))</f>
        <v>United States</v>
      </c>
      <c r="M3747" s="7" t="str">
        <f aca="false">IFERROR(LEFT(J3747,FIND(",",J3747)-1),J3747)</f>
        <v>Documentaries</v>
      </c>
      <c r="N3747" s="7" t="n">
        <f aca="false">IF(B3747="Movie",IFERROR(VALUE(LEFT(I3747,FIND(" ",I3747)-1)),""),"")</f>
        <v>96</v>
      </c>
      <c r="O3747" s="7" t="str">
        <f aca="false">IF(B3747="TV Show",IFERROR(VALUE(LEFT(I3747,FIND(" ",I3747)-1)),""),"")</f>
        <v/>
      </c>
      <c r="P3747" s="7" t="n">
        <f aca="false">IF(K3747="","",K3747-G3747)</f>
        <v>0</v>
      </c>
    </row>
    <row r="3748" customFormat="false" ht="15" hidden="false" customHeight="false" outlineLevel="0" collapsed="false">
      <c r="A3748" s="7" t="n">
        <v>80217312</v>
      </c>
      <c r="B3748" s="7" t="s">
        <v>68</v>
      </c>
      <c r="C3748" s="7" t="s">
        <v>7785</v>
      </c>
      <c r="D3748" s="7" t="s">
        <v>7786</v>
      </c>
      <c r="E3748" s="7" t="s">
        <v>7787</v>
      </c>
      <c r="F3748" s="7" t="s">
        <v>7784</v>
      </c>
      <c r="G3748" s="7" t="n">
        <v>2018</v>
      </c>
      <c r="H3748" s="7" t="s">
        <v>48</v>
      </c>
      <c r="I3748" s="7" t="s">
        <v>111</v>
      </c>
      <c r="J3748" s="7" t="s">
        <v>1014</v>
      </c>
      <c r="K3748" s="7" t="n">
        <f aca="false">IFERROR(VALUE(RIGHT(TRIM(F3748),4)),"")</f>
        <v>2018</v>
      </c>
      <c r="L3748" s="7" t="str">
        <f aca="false">IF(TRIM(E3748)="","Unknown",IFERROR(LEFT(TRIM(E3748),FIND(",",TRIM(E3748))-1),TRIM(E3748)))</f>
        <v>United Kingdom</v>
      </c>
      <c r="M3748" s="7" t="str">
        <f aca="false">IFERROR(LEFT(J3748,FIND(",",J3748)-1),J3748)</f>
        <v>Horror Movies</v>
      </c>
      <c r="N3748" s="7" t="n">
        <f aca="false">IF(B3748="Movie",IFERROR(VALUE(LEFT(I3748,FIND(" ",I3748)-1)),""),"")</f>
        <v>95</v>
      </c>
      <c r="O3748" s="7" t="str">
        <f aca="false">IF(B3748="TV Show",IFERROR(VALUE(LEFT(I3748,FIND(" ",I3748)-1)),""),"")</f>
        <v/>
      </c>
      <c r="P3748" s="7" t="n">
        <f aca="false">IF(K3748="","",K3748-G3748)</f>
        <v>0</v>
      </c>
    </row>
    <row r="3749" customFormat="false" ht="15" hidden="false" customHeight="false" outlineLevel="0" collapsed="false">
      <c r="A3749" s="7" t="n">
        <v>80209006</v>
      </c>
      <c r="B3749" s="7" t="s">
        <v>68</v>
      </c>
      <c r="C3749" s="7" t="s">
        <v>7788</v>
      </c>
      <c r="D3749" s="7" t="s">
        <v>7789</v>
      </c>
      <c r="E3749" s="7" t="s">
        <v>7790</v>
      </c>
      <c r="F3749" s="7" t="s">
        <v>7784</v>
      </c>
      <c r="G3749" s="7" t="n">
        <v>2018</v>
      </c>
      <c r="H3749" s="7" t="s">
        <v>50</v>
      </c>
      <c r="I3749" s="7" t="s">
        <v>373</v>
      </c>
      <c r="J3749" s="7" t="s">
        <v>341</v>
      </c>
      <c r="K3749" s="7" t="n">
        <f aca="false">IFERROR(VALUE(RIGHT(TRIM(F3749),4)),"")</f>
        <v>2018</v>
      </c>
      <c r="L3749" s="7" t="str">
        <f aca="false">IF(TRIM(E3749)="","Unknown",IFERROR(LEFT(TRIM(E3749),FIND(",",TRIM(E3749))-1),TRIM(E3749)))</f>
        <v>Georgia</v>
      </c>
      <c r="M3749" s="7" t="str">
        <f aca="false">IFERROR(LEFT(J3749,FIND(",",J3749)-1),J3749)</f>
        <v>Documentaries</v>
      </c>
      <c r="N3749" s="7" t="n">
        <f aca="false">IF(B3749="Movie",IFERROR(VALUE(LEFT(I3749,FIND(" ",I3749)-1)),""),"")</f>
        <v>24</v>
      </c>
      <c r="O3749" s="7" t="str">
        <f aca="false">IF(B3749="TV Show",IFERROR(VALUE(LEFT(I3749,FIND(" ",I3749)-1)),""),"")</f>
        <v/>
      </c>
      <c r="P3749" s="7" t="n">
        <f aca="false">IF(K3749="","",K3749-G3749)</f>
        <v>0</v>
      </c>
    </row>
    <row r="3750" customFormat="false" ht="15" hidden="false" customHeight="false" outlineLevel="0" collapsed="false">
      <c r="A3750" s="7" t="n">
        <v>80220692</v>
      </c>
      <c r="B3750" s="7" t="s">
        <v>78</v>
      </c>
      <c r="C3750" s="7" t="s">
        <v>7791</v>
      </c>
      <c r="E3750" s="7" t="s">
        <v>366</v>
      </c>
      <c r="F3750" s="7" t="s">
        <v>7784</v>
      </c>
      <c r="G3750" s="7" t="n">
        <v>2017</v>
      </c>
      <c r="H3750" s="7" t="s">
        <v>49</v>
      </c>
      <c r="I3750" s="7" t="s">
        <v>82</v>
      </c>
      <c r="J3750" s="7" t="s">
        <v>402</v>
      </c>
      <c r="K3750" s="7" t="n">
        <f aca="false">IFERROR(VALUE(RIGHT(TRIM(F3750),4)),"")</f>
        <v>2018</v>
      </c>
      <c r="L3750" s="7" t="str">
        <f aca="false">IF(TRIM(E3750)="","Unknown",IFERROR(LEFT(TRIM(E3750),FIND(",",TRIM(E3750))-1),TRIM(E3750)))</f>
        <v>China</v>
      </c>
      <c r="M3750" s="7" t="str">
        <f aca="false">IFERROR(LEFT(J3750,FIND(",",J3750)-1),J3750)</f>
        <v>Crime TV Shows</v>
      </c>
      <c r="N3750" s="7" t="str">
        <f aca="false">IF(B3750="Movie",IFERROR(VALUE(LEFT(I3750,FIND(" ",I3750)-1)),""),"")</f>
        <v/>
      </c>
      <c r="O3750" s="7" t="n">
        <f aca="false">IF(B3750="TV Show",IFERROR(VALUE(LEFT(I3750,FIND(" ",I3750)-1)),""),"")</f>
        <v>1</v>
      </c>
      <c r="P3750" s="7" t="n">
        <f aca="false">IF(K3750="","",K3750-G3750)</f>
        <v>1</v>
      </c>
    </row>
    <row r="3751" customFormat="false" ht="15" hidden="false" customHeight="false" outlineLevel="0" collapsed="false">
      <c r="A3751" s="7" t="n">
        <v>80117531</v>
      </c>
      <c r="B3751" s="7" t="s">
        <v>68</v>
      </c>
      <c r="C3751" s="7" t="s">
        <v>7792</v>
      </c>
      <c r="D3751" s="7" t="s">
        <v>7793</v>
      </c>
      <c r="E3751" s="7" t="s">
        <v>26</v>
      </c>
      <c r="F3751" s="7" t="s">
        <v>7784</v>
      </c>
      <c r="G3751" s="7" t="n">
        <v>2018</v>
      </c>
      <c r="H3751" s="7" t="s">
        <v>49</v>
      </c>
      <c r="I3751" s="7" t="s">
        <v>451</v>
      </c>
      <c r="J3751" s="7" t="s">
        <v>177</v>
      </c>
      <c r="K3751" s="7" t="n">
        <f aca="false">IFERROR(VALUE(RIGHT(TRIM(F3751),4)),"")</f>
        <v>2018</v>
      </c>
      <c r="L3751" s="7" t="str">
        <f aca="false">IF(TRIM(E3751)="","Unknown",IFERROR(LEFT(TRIM(E3751),FIND(",",TRIM(E3751))-1),TRIM(E3751)))</f>
        <v>United States</v>
      </c>
      <c r="M3751" s="7" t="str">
        <f aca="false">IFERROR(LEFT(J3751,FIND(",",J3751)-1),J3751)</f>
        <v>Comedies</v>
      </c>
      <c r="N3751" s="7" t="n">
        <f aca="false">IF(B3751="Movie",IFERROR(VALUE(LEFT(I3751,FIND(" ",I3751)-1)),""),"")</f>
        <v>97</v>
      </c>
      <c r="O3751" s="7" t="str">
        <f aca="false">IF(B3751="TV Show",IFERROR(VALUE(LEFT(I3751,FIND(" ",I3751)-1)),""),"")</f>
        <v/>
      </c>
      <c r="P3751" s="7" t="n">
        <f aca="false">IF(K3751="","",K3751-G3751)</f>
        <v>0</v>
      </c>
    </row>
    <row r="3752" customFormat="false" ht="15" hidden="false" customHeight="false" outlineLevel="0" collapsed="false">
      <c r="A3752" s="7" t="n">
        <v>80153131</v>
      </c>
      <c r="B3752" s="7" t="s">
        <v>68</v>
      </c>
      <c r="C3752" s="7" t="s">
        <v>7794</v>
      </c>
      <c r="D3752" s="7" t="s">
        <v>7795</v>
      </c>
      <c r="E3752" s="7" t="s">
        <v>28</v>
      </c>
      <c r="F3752" s="7" t="s">
        <v>7796</v>
      </c>
      <c r="G3752" s="7" t="n">
        <v>2016</v>
      </c>
      <c r="H3752" s="7" t="s">
        <v>51</v>
      </c>
      <c r="I3752" s="7" t="s">
        <v>272</v>
      </c>
      <c r="J3752" s="7" t="s">
        <v>169</v>
      </c>
      <c r="K3752" s="7" t="n">
        <f aca="false">IFERROR(VALUE(RIGHT(TRIM(F3752),4)),"")</f>
        <v>2019</v>
      </c>
      <c r="L3752" s="7" t="str">
        <f aca="false">IF(TRIM(E3752)="","Unknown",IFERROR(LEFT(TRIM(E3752),FIND(",",TRIM(E3752))-1),TRIM(E3752)))</f>
        <v>United Kingdom</v>
      </c>
      <c r="M3752" s="7" t="str">
        <f aca="false">IFERROR(LEFT(J3752,FIND(",",J3752)-1),J3752)</f>
        <v>Horror Movies</v>
      </c>
      <c r="N3752" s="7" t="n">
        <f aca="false">IF(B3752="Movie",IFERROR(VALUE(LEFT(I3752,FIND(" ",I3752)-1)),""),"")</f>
        <v>93</v>
      </c>
      <c r="O3752" s="7" t="str">
        <f aca="false">IF(B3752="TV Show",IFERROR(VALUE(LEFT(I3752,FIND(" ",I3752)-1)),""),"")</f>
        <v/>
      </c>
      <c r="P3752" s="7" t="n">
        <f aca="false">IF(K3752="","",K3752-G3752)</f>
        <v>3</v>
      </c>
    </row>
    <row r="3753" customFormat="false" ht="15" hidden="false" customHeight="false" outlineLevel="0" collapsed="false">
      <c r="A3753" s="7" t="n">
        <v>80991400</v>
      </c>
      <c r="B3753" s="7" t="s">
        <v>68</v>
      </c>
      <c r="C3753" s="7" t="s">
        <v>7797</v>
      </c>
      <c r="D3753" s="7" t="s">
        <v>1696</v>
      </c>
      <c r="E3753" s="7" t="s">
        <v>26</v>
      </c>
      <c r="F3753" s="7" t="s">
        <v>7796</v>
      </c>
      <c r="G3753" s="7" t="n">
        <v>2019</v>
      </c>
      <c r="H3753" s="7" t="s">
        <v>48</v>
      </c>
      <c r="I3753" s="7" t="s">
        <v>470</v>
      </c>
      <c r="J3753" s="7" t="s">
        <v>1383</v>
      </c>
      <c r="K3753" s="7" t="n">
        <f aca="false">IFERROR(VALUE(RIGHT(TRIM(F3753),4)),"")</f>
        <v>2019</v>
      </c>
      <c r="L3753" s="7" t="str">
        <f aca="false">IF(TRIM(E3753)="","Unknown",IFERROR(LEFT(TRIM(E3753),FIND(",",TRIM(E3753))-1),TRIM(E3753)))</f>
        <v>United States</v>
      </c>
      <c r="M3753" s="7" t="str">
        <f aca="false">IFERROR(LEFT(J3753,FIND(",",J3753)-1),J3753)</f>
        <v>Dramas</v>
      </c>
      <c r="N3753" s="7" t="n">
        <f aca="false">IF(B3753="Movie",IFERROR(VALUE(LEFT(I3753,FIND(" ",I3753)-1)),""),"")</f>
        <v>91</v>
      </c>
      <c r="O3753" s="7" t="str">
        <f aca="false">IF(B3753="TV Show",IFERROR(VALUE(LEFT(I3753,FIND(" ",I3753)-1)),""),"")</f>
        <v/>
      </c>
      <c r="P3753" s="7" t="n">
        <f aca="false">IF(K3753="","",K3753-G3753)</f>
        <v>0</v>
      </c>
    </row>
    <row r="3754" customFormat="false" ht="15" hidden="false" customHeight="false" outlineLevel="0" collapsed="false">
      <c r="A3754" s="7" t="n">
        <v>81059388</v>
      </c>
      <c r="B3754" s="7" t="s">
        <v>68</v>
      </c>
      <c r="C3754" s="7" t="s">
        <v>7798</v>
      </c>
      <c r="D3754" s="7" t="s">
        <v>6849</v>
      </c>
      <c r="E3754" s="7" t="s">
        <v>26</v>
      </c>
      <c r="F3754" s="7" t="s">
        <v>7796</v>
      </c>
      <c r="G3754" s="7" t="n">
        <v>2018</v>
      </c>
      <c r="H3754" s="7" t="s">
        <v>54</v>
      </c>
      <c r="I3754" s="7" t="s">
        <v>1270</v>
      </c>
      <c r="J3754" s="7" t="s">
        <v>74</v>
      </c>
      <c r="K3754" s="7" t="n">
        <f aca="false">IFERROR(VALUE(RIGHT(TRIM(F3754),4)),"")</f>
        <v>2019</v>
      </c>
      <c r="L3754" s="7" t="str">
        <f aca="false">IF(TRIM(E3754)="","Unknown",IFERROR(LEFT(TRIM(E3754),FIND(",",TRIM(E3754))-1),TRIM(E3754)))</f>
        <v>United States</v>
      </c>
      <c r="M3754" s="7" t="str">
        <f aca="false">IFERROR(LEFT(J3754,FIND(",",J3754)-1),J3754)</f>
        <v>Children &amp; Family Movies</v>
      </c>
      <c r="N3754" s="7" t="n">
        <f aca="false">IF(B3754="Movie",IFERROR(VALUE(LEFT(I3754,FIND(" ",I3754)-1)),""),"")</f>
        <v>118</v>
      </c>
      <c r="O3754" s="7" t="str">
        <f aca="false">IF(B3754="TV Show",IFERROR(VALUE(LEFT(I3754,FIND(" ",I3754)-1)),""),"")</f>
        <v/>
      </c>
      <c r="P3754" s="7" t="n">
        <f aca="false">IF(K3754="","",K3754-G3754)</f>
        <v>1</v>
      </c>
    </row>
    <row r="3755" customFormat="false" ht="15" hidden="false" customHeight="false" outlineLevel="0" collapsed="false">
      <c r="A3755" s="7" t="n">
        <v>80231156</v>
      </c>
      <c r="B3755" s="7" t="s">
        <v>68</v>
      </c>
      <c r="C3755" s="7" t="s">
        <v>7799</v>
      </c>
      <c r="D3755" s="7" t="s">
        <v>7800</v>
      </c>
      <c r="E3755" s="7" t="s">
        <v>26</v>
      </c>
      <c r="F3755" s="7" t="s">
        <v>7796</v>
      </c>
      <c r="G3755" s="7" t="n">
        <v>2019</v>
      </c>
      <c r="H3755" s="7" t="s">
        <v>50</v>
      </c>
      <c r="I3755" s="7" t="s">
        <v>551</v>
      </c>
      <c r="J3755" s="7" t="s">
        <v>74</v>
      </c>
      <c r="K3755" s="7" t="n">
        <f aca="false">IFERROR(VALUE(RIGHT(TRIM(F3755),4)),"")</f>
        <v>2019</v>
      </c>
      <c r="L3755" s="7" t="str">
        <f aca="false">IF(TRIM(E3755)="","Unknown",IFERROR(LEFT(TRIM(E3755),FIND(",",TRIM(E3755))-1),TRIM(E3755)))</f>
        <v>United States</v>
      </c>
      <c r="M3755" s="7" t="str">
        <f aca="false">IFERROR(LEFT(J3755,FIND(",",J3755)-1),J3755)</f>
        <v>Children &amp; Family Movies</v>
      </c>
      <c r="N3755" s="7" t="n">
        <f aca="false">IF(B3755="Movie",IFERROR(VALUE(LEFT(I3755,FIND(" ",I3755)-1)),""),"")</f>
        <v>63</v>
      </c>
      <c r="O3755" s="7" t="str">
        <f aca="false">IF(B3755="TV Show",IFERROR(VALUE(LEFT(I3755,FIND(" ",I3755)-1)),""),"")</f>
        <v/>
      </c>
      <c r="P3755" s="7" t="n">
        <f aca="false">IF(K3755="","",K3755-G3755)</f>
        <v>0</v>
      </c>
    </row>
    <row r="3756" customFormat="false" ht="15" hidden="false" customHeight="false" outlineLevel="0" collapsed="false">
      <c r="A3756" s="7" t="n">
        <v>81002145</v>
      </c>
      <c r="B3756" s="7" t="s">
        <v>78</v>
      </c>
      <c r="C3756" s="7" t="s">
        <v>7801</v>
      </c>
      <c r="E3756" s="7" t="s">
        <v>445</v>
      </c>
      <c r="F3756" s="7" t="s">
        <v>7796</v>
      </c>
      <c r="G3756" s="7" t="n">
        <v>2019</v>
      </c>
      <c r="H3756" s="7" t="s">
        <v>50</v>
      </c>
      <c r="I3756" s="7" t="s">
        <v>82</v>
      </c>
      <c r="J3756" s="7" t="s">
        <v>375</v>
      </c>
      <c r="K3756" s="7" t="n">
        <f aca="false">IFERROR(VALUE(RIGHT(TRIM(F3756),4)),"")</f>
        <v>2019</v>
      </c>
      <c r="L3756" s="7" t="str">
        <f aca="false">IF(TRIM(E3756)="","Unknown",IFERROR(LEFT(TRIM(E3756),FIND(",",TRIM(E3756))-1),TRIM(E3756)))</f>
        <v>United States</v>
      </c>
      <c r="M3756" s="7" t="str">
        <f aca="false">IFERROR(LEFT(J3756,FIND(",",J3756)-1),J3756)</f>
        <v>International TV Shows</v>
      </c>
      <c r="N3756" s="7" t="str">
        <f aca="false">IF(B3756="Movie",IFERROR(VALUE(LEFT(I3756,FIND(" ",I3756)-1)),""),"")</f>
        <v/>
      </c>
      <c r="O3756" s="7" t="n">
        <f aca="false">IF(B3756="TV Show",IFERROR(VALUE(LEFT(I3756,FIND(" ",I3756)-1)),""),"")</f>
        <v>1</v>
      </c>
      <c r="P3756" s="7" t="n">
        <f aca="false">IF(K3756="","",K3756-G3756)</f>
        <v>0</v>
      </c>
    </row>
    <row r="3757" customFormat="false" ht="15" hidden="false" customHeight="false" outlineLevel="0" collapsed="false">
      <c r="A3757" s="7" t="n">
        <v>80191045</v>
      </c>
      <c r="B3757" s="7" t="s">
        <v>68</v>
      </c>
      <c r="C3757" s="7" t="s">
        <v>7802</v>
      </c>
      <c r="D3757" s="7" t="s">
        <v>7803</v>
      </c>
      <c r="E3757" s="7" t="s">
        <v>26</v>
      </c>
      <c r="F3757" s="7" t="s">
        <v>7796</v>
      </c>
      <c r="G3757" s="7" t="n">
        <v>2019</v>
      </c>
      <c r="H3757" s="7" t="s">
        <v>48</v>
      </c>
      <c r="I3757" s="7" t="s">
        <v>1221</v>
      </c>
      <c r="J3757" s="7" t="s">
        <v>509</v>
      </c>
      <c r="K3757" s="7" t="n">
        <f aca="false">IFERROR(VALUE(RIGHT(TRIM(F3757),4)),"")</f>
        <v>2019</v>
      </c>
      <c r="L3757" s="7" t="str">
        <f aca="false">IF(TRIM(E3757)="","Unknown",IFERROR(LEFT(TRIM(E3757),FIND(",",TRIM(E3757))-1),TRIM(E3757)))</f>
        <v>United States</v>
      </c>
      <c r="M3757" s="7" t="str">
        <f aca="false">IFERROR(LEFT(J3757,FIND(",",J3757)-1),J3757)</f>
        <v>Documentaries</v>
      </c>
      <c r="N3757" s="7" t="n">
        <f aca="false">IF(B3757="Movie",IFERROR(VALUE(LEFT(I3757,FIND(" ",I3757)-1)),""),"")</f>
        <v>74</v>
      </c>
      <c r="O3757" s="7" t="str">
        <f aca="false">IF(B3757="TV Show",IFERROR(VALUE(LEFT(I3757,FIND(" ",I3757)-1)),""),"")</f>
        <v/>
      </c>
      <c r="P3757" s="7" t="n">
        <f aca="false">IF(K3757="","",K3757-G3757)</f>
        <v>0</v>
      </c>
    </row>
    <row r="3758" customFormat="false" ht="15" hidden="false" customHeight="false" outlineLevel="0" collapsed="false">
      <c r="A3758" s="7" t="n">
        <v>81029383</v>
      </c>
      <c r="B3758" s="7" t="s">
        <v>68</v>
      </c>
      <c r="C3758" s="7" t="s">
        <v>7804</v>
      </c>
      <c r="D3758" s="7" t="s">
        <v>7805</v>
      </c>
      <c r="E3758" s="7" t="s">
        <v>33</v>
      </c>
      <c r="F3758" s="7" t="s">
        <v>7796</v>
      </c>
      <c r="G3758" s="7" t="n">
        <v>2018</v>
      </c>
      <c r="H3758" s="7" t="s">
        <v>48</v>
      </c>
      <c r="I3758" s="7" t="s">
        <v>2183</v>
      </c>
      <c r="J3758" s="7" t="s">
        <v>188</v>
      </c>
      <c r="K3758" s="7" t="n">
        <f aca="false">IFERROR(VALUE(RIGHT(TRIM(F3758),4)),"")</f>
        <v>2019</v>
      </c>
      <c r="L3758" s="7" t="str">
        <f aca="false">IF(TRIM(E3758)="","Unknown",IFERROR(LEFT(TRIM(E3758),FIND(",",TRIM(E3758))-1),TRIM(E3758)))</f>
        <v>Spain</v>
      </c>
      <c r="M3758" s="7" t="str">
        <f aca="false">IFERROR(LEFT(J3758,FIND(",",J3758)-1),J3758)</f>
        <v>Dramas</v>
      </c>
      <c r="N3758" s="7" t="n">
        <f aca="false">IF(B3758="Movie",IFERROR(VALUE(LEFT(I3758,FIND(" ",I3758)-1)),""),"")</f>
        <v>136</v>
      </c>
      <c r="O3758" s="7" t="str">
        <f aca="false">IF(B3758="TV Show",IFERROR(VALUE(LEFT(I3758,FIND(" ",I3758)-1)),""),"")</f>
        <v/>
      </c>
      <c r="P3758" s="7" t="n">
        <f aca="false">IF(K3758="","",K3758-G3758)</f>
        <v>1</v>
      </c>
    </row>
    <row r="3759" customFormat="false" ht="15" hidden="false" customHeight="false" outlineLevel="0" collapsed="false">
      <c r="A3759" s="7" t="n">
        <v>80241001</v>
      </c>
      <c r="B3759" s="7" t="s">
        <v>78</v>
      </c>
      <c r="C3759" s="7" t="s">
        <v>7806</v>
      </c>
      <c r="E3759" s="7" t="s">
        <v>33</v>
      </c>
      <c r="F3759" s="7" t="s">
        <v>7796</v>
      </c>
      <c r="G3759" s="7" t="n">
        <v>2018</v>
      </c>
      <c r="H3759" s="7" t="s">
        <v>48</v>
      </c>
      <c r="I3759" s="7" t="s">
        <v>82</v>
      </c>
      <c r="J3759" s="7" t="s">
        <v>89</v>
      </c>
      <c r="K3759" s="7" t="n">
        <f aca="false">IFERROR(VALUE(RIGHT(TRIM(F3759),4)),"")</f>
        <v>2019</v>
      </c>
      <c r="L3759" s="7" t="str">
        <f aca="false">IF(TRIM(E3759)="","Unknown",IFERROR(LEFT(TRIM(E3759),FIND(",",TRIM(E3759))-1),TRIM(E3759)))</f>
        <v>Spain</v>
      </c>
      <c r="M3759" s="7" t="str">
        <f aca="false">IFERROR(LEFT(J3759,FIND(",",J3759)-1),J3759)</f>
        <v>Crime TV Shows</v>
      </c>
      <c r="N3759" s="7" t="str">
        <f aca="false">IF(B3759="Movie",IFERROR(VALUE(LEFT(I3759,FIND(" ",I3759)-1)),""),"")</f>
        <v/>
      </c>
      <c r="O3759" s="7" t="n">
        <f aca="false">IF(B3759="TV Show",IFERROR(VALUE(LEFT(I3759,FIND(" ",I3759)-1)),""),"")</f>
        <v>1</v>
      </c>
      <c r="P3759" s="7" t="n">
        <f aca="false">IF(K3759="","",K3759-G3759)</f>
        <v>1</v>
      </c>
    </row>
    <row r="3760" customFormat="false" ht="15" hidden="false" customHeight="false" outlineLevel="0" collapsed="false">
      <c r="A3760" s="7" t="n">
        <v>80178280</v>
      </c>
      <c r="B3760" s="7" t="s">
        <v>68</v>
      </c>
      <c r="C3760" s="7" t="s">
        <v>7807</v>
      </c>
      <c r="D3760" s="7" t="s">
        <v>2325</v>
      </c>
      <c r="E3760" s="7" t="s">
        <v>7808</v>
      </c>
      <c r="F3760" s="7" t="s">
        <v>7809</v>
      </c>
      <c r="G3760" s="7" t="n">
        <v>2017</v>
      </c>
      <c r="H3760" s="7" t="s">
        <v>51</v>
      </c>
      <c r="I3760" s="7" t="s">
        <v>77</v>
      </c>
      <c r="J3760" s="7" t="s">
        <v>112</v>
      </c>
      <c r="K3760" s="7" t="n">
        <f aca="false">IFERROR(VALUE(RIGHT(TRIM(F3760),4)),"")</f>
        <v>2018</v>
      </c>
      <c r="L3760" s="7" t="str">
        <f aca="false">IF(TRIM(E3760)="","Unknown",IFERROR(LEFT(TRIM(E3760),FIND(",",TRIM(E3760))-1),TRIM(E3760)))</f>
        <v>New Zealand</v>
      </c>
      <c r="M3760" s="7" t="str">
        <f aca="false">IFERROR(LEFT(J3760,FIND(",",J3760)-1),J3760)</f>
        <v>Action &amp; Adventure</v>
      </c>
      <c r="N3760" s="7" t="n">
        <f aca="false">IF(B3760="Movie",IFERROR(VALUE(LEFT(I3760,FIND(" ",I3760)-1)),""),"")</f>
        <v>94</v>
      </c>
      <c r="O3760" s="7" t="str">
        <f aca="false">IF(B3760="TV Show",IFERROR(VALUE(LEFT(I3760,FIND(" ",I3760)-1)),""),"")</f>
        <v/>
      </c>
      <c r="P3760" s="7" t="n">
        <f aca="false">IF(K3760="","",K3760-G3760)</f>
        <v>1</v>
      </c>
    </row>
    <row r="3761" customFormat="false" ht="15" hidden="false" customHeight="false" outlineLevel="0" collapsed="false">
      <c r="A3761" s="7" t="n">
        <v>80119555</v>
      </c>
      <c r="B3761" s="7" t="s">
        <v>68</v>
      </c>
      <c r="C3761" s="7" t="s">
        <v>7810</v>
      </c>
      <c r="D3761" s="7" t="s">
        <v>7811</v>
      </c>
      <c r="E3761" s="7" t="s">
        <v>1182</v>
      </c>
      <c r="F3761" s="7" t="s">
        <v>7812</v>
      </c>
      <c r="G3761" s="7" t="n">
        <v>2015</v>
      </c>
      <c r="H3761" s="7" t="s">
        <v>54</v>
      </c>
      <c r="I3761" s="7" t="s">
        <v>470</v>
      </c>
      <c r="J3761" s="7" t="s">
        <v>42</v>
      </c>
      <c r="K3761" s="7" t="n">
        <f aca="false">IFERROR(VALUE(RIGHT(TRIM(F3761),4)),"")</f>
        <v>2017</v>
      </c>
      <c r="L3761" s="7" t="str">
        <f aca="false">IF(TRIM(E3761)="","Unknown",IFERROR(LEFT(TRIM(E3761),FIND(",",TRIM(E3761))-1),TRIM(E3761)))</f>
        <v>Australia</v>
      </c>
      <c r="M3761" s="7" t="str">
        <f aca="false">IFERROR(LEFT(J3761,FIND(",",J3761)-1),J3761)</f>
        <v>Children &amp; Family Movies</v>
      </c>
      <c r="N3761" s="7" t="n">
        <f aca="false">IF(B3761="Movie",IFERROR(VALUE(LEFT(I3761,FIND(" ",I3761)-1)),""),"")</f>
        <v>91</v>
      </c>
      <c r="O3761" s="7" t="str">
        <f aca="false">IF(B3761="TV Show",IFERROR(VALUE(LEFT(I3761,FIND(" ",I3761)-1)),""),"")</f>
        <v/>
      </c>
      <c r="P3761" s="7" t="n">
        <f aca="false">IF(K3761="","",K3761-G3761)</f>
        <v>2</v>
      </c>
    </row>
    <row r="3762" customFormat="false" ht="15" hidden="false" customHeight="false" outlineLevel="0" collapsed="false">
      <c r="A3762" s="7" t="n">
        <v>80158270</v>
      </c>
      <c r="B3762" s="7" t="s">
        <v>68</v>
      </c>
      <c r="C3762" s="7" t="s">
        <v>7813</v>
      </c>
      <c r="D3762" s="7" t="s">
        <v>7814</v>
      </c>
      <c r="E3762" s="7" t="s">
        <v>34</v>
      </c>
      <c r="F3762" s="7" t="s">
        <v>7812</v>
      </c>
      <c r="G3762" s="7" t="n">
        <v>2014</v>
      </c>
      <c r="H3762" s="7" t="s">
        <v>53</v>
      </c>
      <c r="I3762" s="7" t="s">
        <v>143</v>
      </c>
      <c r="J3762" s="7" t="s">
        <v>206</v>
      </c>
      <c r="K3762" s="7" t="n">
        <f aca="false">IFERROR(VALUE(RIGHT(TRIM(F3762),4)),"")</f>
        <v>2017</v>
      </c>
      <c r="L3762" s="7" t="str">
        <f aca="false">IF(TRIM(E3762)="","Unknown",IFERROR(LEFT(TRIM(E3762),FIND(",",TRIM(E3762))-1),TRIM(E3762)))</f>
        <v>Mexico</v>
      </c>
      <c r="M3762" s="7" t="str">
        <f aca="false">IFERROR(LEFT(J3762,FIND(",",J3762)-1),J3762)</f>
        <v>Comedies</v>
      </c>
      <c r="N3762" s="7" t="n">
        <f aca="false">IF(B3762="Movie",IFERROR(VALUE(LEFT(I3762,FIND(" ",I3762)-1)),""),"")</f>
        <v>79</v>
      </c>
      <c r="O3762" s="7" t="str">
        <f aca="false">IF(B3762="TV Show",IFERROR(VALUE(LEFT(I3762,FIND(" ",I3762)-1)),""),"")</f>
        <v/>
      </c>
      <c r="P3762" s="7" t="n">
        <f aca="false">IF(K3762="","",K3762-G3762)</f>
        <v>3</v>
      </c>
    </row>
    <row r="3763" customFormat="false" ht="15" hidden="false" customHeight="false" outlineLevel="0" collapsed="false">
      <c r="A3763" s="7" t="n">
        <v>70302836</v>
      </c>
      <c r="B3763" s="7" t="s">
        <v>68</v>
      </c>
      <c r="C3763" s="7" t="s">
        <v>7815</v>
      </c>
      <c r="D3763" s="7" t="s">
        <v>7816</v>
      </c>
      <c r="E3763" s="7" t="s">
        <v>129</v>
      </c>
      <c r="F3763" s="7" t="s">
        <v>7812</v>
      </c>
      <c r="G3763" s="7" t="n">
        <v>2013</v>
      </c>
      <c r="H3763" s="7" t="s">
        <v>54</v>
      </c>
      <c r="I3763" s="7" t="s">
        <v>272</v>
      </c>
      <c r="J3763" s="7" t="s">
        <v>349</v>
      </c>
      <c r="K3763" s="7" t="n">
        <f aca="false">IFERROR(VALUE(RIGHT(TRIM(F3763),4)),"")</f>
        <v>2017</v>
      </c>
      <c r="L3763" s="7" t="str">
        <f aca="false">IF(TRIM(E3763)="","Unknown",IFERROR(LEFT(TRIM(E3763),FIND(",",TRIM(E3763))-1),TRIM(E3763)))</f>
        <v>France</v>
      </c>
      <c r="M3763" s="7" t="str">
        <f aca="false">IFERROR(LEFT(J3763,FIND(",",J3763)-1),J3763)</f>
        <v>Children &amp; Family Movies</v>
      </c>
      <c r="N3763" s="7" t="n">
        <f aca="false">IF(B3763="Movie",IFERROR(VALUE(LEFT(I3763,FIND(" ",I3763)-1)),""),"")</f>
        <v>93</v>
      </c>
      <c r="O3763" s="7" t="str">
        <f aca="false">IF(B3763="TV Show",IFERROR(VALUE(LEFT(I3763,FIND(" ",I3763)-1)),""),"")</f>
        <v/>
      </c>
      <c r="P3763" s="7" t="n">
        <f aca="false">IF(K3763="","",K3763-G3763)</f>
        <v>4</v>
      </c>
    </row>
    <row r="3764" customFormat="false" ht="15" hidden="false" customHeight="false" outlineLevel="0" collapsed="false">
      <c r="A3764" s="7" t="n">
        <v>70212989</v>
      </c>
      <c r="B3764" s="7" t="s">
        <v>78</v>
      </c>
      <c r="C3764" s="7" t="s">
        <v>7817</v>
      </c>
      <c r="E3764" s="7" t="s">
        <v>29</v>
      </c>
      <c r="F3764" s="7" t="s">
        <v>7818</v>
      </c>
      <c r="G3764" s="7" t="n">
        <v>2009</v>
      </c>
      <c r="H3764" s="7" t="s">
        <v>50</v>
      </c>
      <c r="I3764" s="7" t="s">
        <v>82</v>
      </c>
      <c r="J3764" s="7" t="s">
        <v>100</v>
      </c>
      <c r="K3764" s="7" t="n">
        <f aca="false">IFERROR(VALUE(RIGHT(TRIM(F3764),4)),"")</f>
        <v>2016</v>
      </c>
      <c r="L3764" s="7" t="str">
        <f aca="false">IF(TRIM(E3764)="","Unknown",IFERROR(LEFT(TRIM(E3764),FIND(",",TRIM(E3764))-1),TRIM(E3764)))</f>
        <v>Canada</v>
      </c>
      <c r="M3764" s="7" t="str">
        <f aca="false">IFERROR(LEFT(J3764,FIND(",",J3764)-1),J3764)</f>
        <v>Docuseries</v>
      </c>
      <c r="N3764" s="7" t="str">
        <f aca="false">IF(B3764="Movie",IFERROR(VALUE(LEFT(I3764,FIND(" ",I3764)-1)),""),"")</f>
        <v/>
      </c>
      <c r="O3764" s="7" t="n">
        <f aca="false">IF(B3764="TV Show",IFERROR(VALUE(LEFT(I3764,FIND(" ",I3764)-1)),""),"")</f>
        <v>1</v>
      </c>
      <c r="P3764" s="7" t="n">
        <f aca="false">IF(K3764="","",K3764-G3764)</f>
        <v>7</v>
      </c>
    </row>
    <row r="3765" customFormat="false" ht="15" hidden="false" customHeight="false" outlineLevel="0" collapsed="false">
      <c r="A3765" s="7" t="n">
        <v>81034763</v>
      </c>
      <c r="B3765" s="7" t="s">
        <v>68</v>
      </c>
      <c r="C3765" s="7" t="s">
        <v>7819</v>
      </c>
      <c r="D3765" s="7" t="s">
        <v>7820</v>
      </c>
      <c r="E3765" s="7" t="s">
        <v>26</v>
      </c>
      <c r="F3765" s="7" t="s">
        <v>7821</v>
      </c>
      <c r="G3765" s="7" t="n">
        <v>2018</v>
      </c>
      <c r="H3765" s="7" t="s">
        <v>49</v>
      </c>
      <c r="I3765" s="7" t="s">
        <v>73</v>
      </c>
      <c r="J3765" s="7" t="s">
        <v>3606</v>
      </c>
      <c r="K3765" s="7" t="n">
        <f aca="false">IFERROR(VALUE(RIGHT(TRIM(F3765),4)),"")</f>
        <v>2019</v>
      </c>
      <c r="L3765" s="7" t="str">
        <f aca="false">IF(TRIM(E3765)="","Unknown",IFERROR(LEFT(TRIM(E3765),FIND(",",TRIM(E3765))-1),TRIM(E3765)))</f>
        <v>United States</v>
      </c>
      <c r="M3765" s="7" t="str">
        <f aca="false">IFERROR(LEFT(J3765,FIND(",",J3765)-1),J3765)</f>
        <v>Comedies</v>
      </c>
      <c r="N3765" s="7" t="n">
        <f aca="false">IF(B3765="Movie",IFERROR(VALUE(LEFT(I3765,FIND(" ",I3765)-1)),""),"")</f>
        <v>90</v>
      </c>
      <c r="O3765" s="7" t="str">
        <f aca="false">IF(B3765="TV Show",IFERROR(VALUE(LEFT(I3765,FIND(" ",I3765)-1)),""),"")</f>
        <v/>
      </c>
      <c r="P3765" s="7" t="n">
        <f aca="false">IF(K3765="","",K3765-G3765)</f>
        <v>1</v>
      </c>
    </row>
    <row r="3766" customFormat="false" ht="15" hidden="false" customHeight="false" outlineLevel="0" collapsed="false">
      <c r="A3766" s="7" t="n">
        <v>81044300</v>
      </c>
      <c r="B3766" s="7" t="s">
        <v>78</v>
      </c>
      <c r="C3766" s="7" t="s">
        <v>7822</v>
      </c>
      <c r="E3766" s="7" t="s">
        <v>963</v>
      </c>
      <c r="F3766" s="7" t="s">
        <v>7821</v>
      </c>
      <c r="G3766" s="7" t="n">
        <v>2017</v>
      </c>
      <c r="H3766" s="7" t="s">
        <v>48</v>
      </c>
      <c r="I3766" s="7" t="s">
        <v>82</v>
      </c>
      <c r="J3766" s="7" t="s">
        <v>1357</v>
      </c>
      <c r="K3766" s="7" t="n">
        <f aca="false">IFERROR(VALUE(RIGHT(TRIM(F3766),4)),"")</f>
        <v>2019</v>
      </c>
      <c r="L3766" s="7" t="str">
        <f aca="false">IF(TRIM(E3766)="","Unknown",IFERROR(LEFT(TRIM(E3766),FIND(",",TRIM(E3766))-1),TRIM(E3766)))</f>
        <v>Egypt</v>
      </c>
      <c r="M3766" s="7" t="str">
        <f aca="false">IFERROR(LEFT(J3766,FIND(",",J3766)-1),J3766)</f>
        <v>International TV Shows</v>
      </c>
      <c r="N3766" s="7" t="str">
        <f aca="false">IF(B3766="Movie",IFERROR(VALUE(LEFT(I3766,FIND(" ",I3766)-1)),""),"")</f>
        <v/>
      </c>
      <c r="O3766" s="7" t="n">
        <f aca="false">IF(B3766="TV Show",IFERROR(VALUE(LEFT(I3766,FIND(" ",I3766)-1)),""),"")</f>
        <v>1</v>
      </c>
      <c r="P3766" s="7" t="n">
        <f aca="false">IF(K3766="","",K3766-G3766)</f>
        <v>2</v>
      </c>
    </row>
    <row r="3767" customFormat="false" ht="15" hidden="false" customHeight="false" outlineLevel="0" collapsed="false">
      <c r="A3767" s="7" t="n">
        <v>80151370</v>
      </c>
      <c r="B3767" s="7" t="s">
        <v>68</v>
      </c>
      <c r="C3767" s="7" t="s">
        <v>7823</v>
      </c>
      <c r="D3767" s="7" t="s">
        <v>7824</v>
      </c>
      <c r="E3767" s="7" t="s">
        <v>26</v>
      </c>
      <c r="F3767" s="7" t="s">
        <v>7825</v>
      </c>
      <c r="G3767" s="7" t="n">
        <v>2017</v>
      </c>
      <c r="H3767" s="7" t="s">
        <v>48</v>
      </c>
      <c r="I3767" s="7" t="s">
        <v>1028</v>
      </c>
      <c r="J3767" s="7" t="s">
        <v>7826</v>
      </c>
      <c r="K3767" s="7" t="n">
        <f aca="false">IFERROR(VALUE(RIGHT(TRIM(F3767),4)),"")</f>
        <v>2017</v>
      </c>
      <c r="L3767" s="7" t="str">
        <f aca="false">IF(TRIM(E3767)="","Unknown",IFERROR(LEFT(TRIM(E3767),FIND(",",TRIM(E3767))-1),TRIM(E3767)))</f>
        <v>United States</v>
      </c>
      <c r="M3767" s="7" t="str">
        <f aca="false">IFERROR(LEFT(J3767,FIND(",",J3767)-1),J3767)</f>
        <v>Comedies</v>
      </c>
      <c r="N3767" s="7" t="n">
        <f aca="false">IF(B3767="Movie",IFERROR(VALUE(LEFT(I3767,FIND(" ",I3767)-1)),""),"")</f>
        <v>54</v>
      </c>
      <c r="O3767" s="7" t="str">
        <f aca="false">IF(B3767="TV Show",IFERROR(VALUE(LEFT(I3767,FIND(" ",I3767)-1)),""),"")</f>
        <v/>
      </c>
      <c r="P3767" s="7" t="n">
        <f aca="false">IF(K3767="","",K3767-G3767)</f>
        <v>0</v>
      </c>
    </row>
    <row r="3768" customFormat="false" ht="15" hidden="false" customHeight="false" outlineLevel="0" collapsed="false">
      <c r="A3768" s="7" t="n">
        <v>81010962</v>
      </c>
      <c r="B3768" s="7" t="s">
        <v>68</v>
      </c>
      <c r="C3768" s="7" t="s">
        <v>7827</v>
      </c>
      <c r="D3768" s="7" t="s">
        <v>7828</v>
      </c>
      <c r="E3768" s="7" t="s">
        <v>2476</v>
      </c>
      <c r="F3768" s="7" t="s">
        <v>7829</v>
      </c>
      <c r="G3768" s="7" t="n">
        <v>2018</v>
      </c>
      <c r="H3768" s="7" t="s">
        <v>48</v>
      </c>
      <c r="I3768" s="7" t="s">
        <v>755</v>
      </c>
      <c r="J3768" s="7" t="s">
        <v>367</v>
      </c>
      <c r="K3768" s="7" t="n">
        <f aca="false">IFERROR(VALUE(RIGHT(TRIM(F3768),4)),"")</f>
        <v>2019</v>
      </c>
      <c r="L3768" s="7" t="str">
        <f aca="false">IF(TRIM(E3768)="","Unknown",IFERROR(LEFT(TRIM(E3768),FIND(",",TRIM(E3768))-1),TRIM(E3768)))</f>
        <v>China</v>
      </c>
      <c r="M3768" s="7" t="str">
        <f aca="false">IFERROR(LEFT(J3768,FIND(",",J3768)-1),J3768)</f>
        <v>Action &amp; Adventure</v>
      </c>
      <c r="N3768" s="7" t="n">
        <f aca="false">IF(B3768="Movie",IFERROR(VALUE(LEFT(I3768,FIND(" ",I3768)-1)),""),"")</f>
        <v>132</v>
      </c>
      <c r="O3768" s="7" t="str">
        <f aca="false">IF(B3768="TV Show",IFERROR(VALUE(LEFT(I3768,FIND(" ",I3768)-1)),""),"")</f>
        <v/>
      </c>
      <c r="P3768" s="7" t="n">
        <f aca="false">IF(K3768="","",K3768-G3768)</f>
        <v>1</v>
      </c>
    </row>
    <row r="3769" customFormat="false" ht="15" hidden="false" customHeight="false" outlineLevel="0" collapsed="false">
      <c r="A3769" s="7" t="n">
        <v>80094258</v>
      </c>
      <c r="B3769" s="7" t="s">
        <v>68</v>
      </c>
      <c r="C3769" s="7" t="s">
        <v>7830</v>
      </c>
      <c r="D3769" s="7" t="s">
        <v>7831</v>
      </c>
      <c r="E3769" s="7" t="s">
        <v>29</v>
      </c>
      <c r="F3769" s="7" t="s">
        <v>7829</v>
      </c>
      <c r="G3769" s="7" t="n">
        <v>2016</v>
      </c>
      <c r="H3769" s="7" t="s">
        <v>52</v>
      </c>
      <c r="I3769" s="7" t="s">
        <v>512</v>
      </c>
      <c r="J3769" s="7" t="s">
        <v>198</v>
      </c>
      <c r="K3769" s="7" t="n">
        <f aca="false">IFERROR(VALUE(RIGHT(TRIM(F3769),4)),"")</f>
        <v>2019</v>
      </c>
      <c r="L3769" s="7" t="str">
        <f aca="false">IF(TRIM(E3769)="","Unknown",IFERROR(LEFT(TRIM(E3769),FIND(",",TRIM(E3769))-1),TRIM(E3769)))</f>
        <v>Canada</v>
      </c>
      <c r="M3769" s="7" t="str">
        <f aca="false">IFERROR(LEFT(J3769,FIND(",",J3769)-1),J3769)</f>
        <v>Comedies</v>
      </c>
      <c r="N3769" s="7" t="n">
        <f aca="false">IF(B3769="Movie",IFERROR(VALUE(LEFT(I3769,FIND(" ",I3769)-1)),""),"")</f>
        <v>101</v>
      </c>
      <c r="O3769" s="7" t="str">
        <f aca="false">IF(B3769="TV Show",IFERROR(VALUE(LEFT(I3769,FIND(" ",I3769)-1)),""),"")</f>
        <v/>
      </c>
      <c r="P3769" s="7" t="n">
        <f aca="false">IF(K3769="","",K3769-G3769)</f>
        <v>3</v>
      </c>
    </row>
    <row r="3770" customFormat="false" ht="15" hidden="false" customHeight="false" outlineLevel="0" collapsed="false">
      <c r="A3770" s="7" t="n">
        <v>80159028</v>
      </c>
      <c r="B3770" s="7" t="s">
        <v>68</v>
      </c>
      <c r="C3770" s="7" t="s">
        <v>7832</v>
      </c>
      <c r="D3770" s="7" t="s">
        <v>3061</v>
      </c>
      <c r="F3770" s="7" t="s">
        <v>7833</v>
      </c>
      <c r="G3770" s="7" t="n">
        <v>2018</v>
      </c>
      <c r="H3770" s="7" t="s">
        <v>50</v>
      </c>
      <c r="I3770" s="7" t="s">
        <v>120</v>
      </c>
      <c r="J3770" s="7" t="s">
        <v>5396</v>
      </c>
      <c r="K3770" s="7" t="n">
        <f aca="false">IFERROR(VALUE(RIGHT(TRIM(F3770),4)),"")</f>
        <v>2018</v>
      </c>
      <c r="L3770" s="7" t="str">
        <f aca="false">IF(TRIM(E3770)="","Unknown",IFERROR(LEFT(TRIM(E3770),FIND(",",TRIM(E3770))-1),TRIM(E3770)))</f>
        <v>Unknown</v>
      </c>
      <c r="M3770" s="7" t="str">
        <f aca="false">IFERROR(LEFT(J3770,FIND(",",J3770)-1),J3770)</f>
        <v>Music &amp; Musicals</v>
      </c>
      <c r="N3770" s="7" t="n">
        <f aca="false">IF(B3770="Movie",IFERROR(VALUE(LEFT(I3770,FIND(" ",I3770)-1)),""),"")</f>
        <v>65</v>
      </c>
      <c r="O3770" s="7" t="str">
        <f aca="false">IF(B3770="TV Show",IFERROR(VALUE(LEFT(I3770,FIND(" ",I3770)-1)),""),"")</f>
        <v/>
      </c>
      <c r="P3770" s="7" t="n">
        <f aca="false">IF(K3770="","",K3770-G3770)</f>
        <v>0</v>
      </c>
    </row>
    <row r="3771" customFormat="false" ht="15" hidden="false" customHeight="false" outlineLevel="0" collapsed="false">
      <c r="A3771" s="7" t="n">
        <v>80179371</v>
      </c>
      <c r="B3771" s="7" t="s">
        <v>78</v>
      </c>
      <c r="C3771" s="7" t="s">
        <v>7834</v>
      </c>
      <c r="E3771" s="7" t="s">
        <v>26</v>
      </c>
      <c r="F3771" s="7" t="s">
        <v>7833</v>
      </c>
      <c r="G3771" s="7" t="n">
        <v>2018</v>
      </c>
      <c r="H3771" s="7" t="s">
        <v>53</v>
      </c>
      <c r="I3771" s="7" t="s">
        <v>82</v>
      </c>
      <c r="J3771" s="7" t="s">
        <v>7835</v>
      </c>
      <c r="K3771" s="7" t="n">
        <f aca="false">IFERROR(VALUE(RIGHT(TRIM(F3771),4)),"")</f>
        <v>2018</v>
      </c>
      <c r="L3771" s="7" t="str">
        <f aca="false">IF(TRIM(E3771)="","Unknown",IFERROR(LEFT(TRIM(E3771),FIND(",",TRIM(E3771))-1),TRIM(E3771)))</f>
        <v>United States</v>
      </c>
      <c r="M3771" s="7" t="str">
        <f aca="false">IFERROR(LEFT(J3771,FIND(",",J3771)-1),J3771)</f>
        <v>TV Action &amp; Adventure</v>
      </c>
      <c r="N3771" s="7" t="str">
        <f aca="false">IF(B3771="Movie",IFERROR(VALUE(LEFT(I3771,FIND(" ",I3771)-1)),""),"")</f>
        <v/>
      </c>
      <c r="O3771" s="7" t="n">
        <f aca="false">IF(B3771="TV Show",IFERROR(VALUE(LEFT(I3771,FIND(" ",I3771)-1)),""),"")</f>
        <v>1</v>
      </c>
      <c r="P3771" s="7" t="n">
        <f aca="false">IF(K3771="","",K3771-G3771)</f>
        <v>0</v>
      </c>
    </row>
    <row r="3772" customFormat="false" ht="15" hidden="false" customHeight="false" outlineLevel="0" collapsed="false">
      <c r="A3772" s="7" t="n">
        <v>80201570</v>
      </c>
      <c r="B3772" s="7" t="s">
        <v>68</v>
      </c>
      <c r="C3772" s="7" t="s">
        <v>7836</v>
      </c>
      <c r="D3772" s="7" t="s">
        <v>7837</v>
      </c>
      <c r="E3772" s="7" t="s">
        <v>26</v>
      </c>
      <c r="F3772" s="7" t="s">
        <v>7833</v>
      </c>
      <c r="G3772" s="7" t="n">
        <v>2017</v>
      </c>
      <c r="H3772" s="7" t="s">
        <v>48</v>
      </c>
      <c r="I3772" s="7" t="s">
        <v>613</v>
      </c>
      <c r="J3772" s="7" t="s">
        <v>4547</v>
      </c>
      <c r="K3772" s="7" t="n">
        <f aca="false">IFERROR(VALUE(RIGHT(TRIM(F3772),4)),"")</f>
        <v>2018</v>
      </c>
      <c r="L3772" s="7" t="str">
        <f aca="false">IF(TRIM(E3772)="","Unknown",IFERROR(LEFT(TRIM(E3772),FIND(",",TRIM(E3772))-1),TRIM(E3772)))</f>
        <v>United States</v>
      </c>
      <c r="M3772" s="7" t="str">
        <f aca="false">IFERROR(LEFT(J3772,FIND(",",J3772)-1),J3772)</f>
        <v>Comedies</v>
      </c>
      <c r="N3772" s="7" t="n">
        <f aca="false">IF(B3772="Movie",IFERROR(VALUE(LEFT(I3772,FIND(" ",I3772)-1)),""),"")</f>
        <v>84</v>
      </c>
      <c r="O3772" s="7" t="str">
        <f aca="false">IF(B3772="TV Show",IFERROR(VALUE(LEFT(I3772,FIND(" ",I3772)-1)),""),"")</f>
        <v/>
      </c>
      <c r="P3772" s="7" t="n">
        <f aca="false">IF(K3772="","",K3772-G3772)</f>
        <v>1</v>
      </c>
    </row>
    <row r="3773" customFormat="false" ht="15" hidden="false" customHeight="false" outlineLevel="0" collapsed="false">
      <c r="A3773" s="7" t="n">
        <v>80225034</v>
      </c>
      <c r="B3773" s="7" t="s">
        <v>68</v>
      </c>
      <c r="C3773" s="7" t="s">
        <v>7838</v>
      </c>
      <c r="D3773" s="7" t="s">
        <v>2924</v>
      </c>
      <c r="E3773" s="7" t="s">
        <v>26</v>
      </c>
      <c r="F3773" s="7" t="s">
        <v>7833</v>
      </c>
      <c r="G3773" s="7" t="n">
        <v>2017</v>
      </c>
      <c r="H3773" s="7" t="s">
        <v>54</v>
      </c>
      <c r="I3773" s="7" t="s">
        <v>470</v>
      </c>
      <c r="J3773" s="7" t="s">
        <v>74</v>
      </c>
      <c r="K3773" s="7" t="n">
        <f aca="false">IFERROR(VALUE(RIGHT(TRIM(F3773),4)),"")</f>
        <v>2018</v>
      </c>
      <c r="L3773" s="7" t="str">
        <f aca="false">IF(TRIM(E3773)="","Unknown",IFERROR(LEFT(TRIM(E3773),FIND(",",TRIM(E3773))-1),TRIM(E3773)))</f>
        <v>United States</v>
      </c>
      <c r="M3773" s="7" t="str">
        <f aca="false">IFERROR(LEFT(J3773,FIND(",",J3773)-1),J3773)</f>
        <v>Children &amp; Family Movies</v>
      </c>
      <c r="N3773" s="7" t="n">
        <f aca="false">IF(B3773="Movie",IFERROR(VALUE(LEFT(I3773,FIND(" ",I3773)-1)),""),"")</f>
        <v>91</v>
      </c>
      <c r="O3773" s="7" t="str">
        <f aca="false">IF(B3773="TV Show",IFERROR(VALUE(LEFT(I3773,FIND(" ",I3773)-1)),""),"")</f>
        <v/>
      </c>
      <c r="P3773" s="7" t="n">
        <f aca="false">IF(K3773="","",K3773-G3773)</f>
        <v>1</v>
      </c>
    </row>
    <row r="3774" customFormat="false" ht="15" hidden="false" customHeight="false" outlineLevel="0" collapsed="false">
      <c r="A3774" s="7" t="n">
        <v>80044834</v>
      </c>
      <c r="B3774" s="7" t="s">
        <v>68</v>
      </c>
      <c r="C3774" s="7" t="s">
        <v>7839</v>
      </c>
      <c r="D3774" s="7" t="s">
        <v>3249</v>
      </c>
      <c r="E3774" s="7" t="s">
        <v>26</v>
      </c>
      <c r="F3774" s="7" t="s">
        <v>7840</v>
      </c>
      <c r="G3774" s="7" t="n">
        <v>2015</v>
      </c>
      <c r="H3774" s="7" t="s">
        <v>51</v>
      </c>
      <c r="I3774" s="7" t="s">
        <v>77</v>
      </c>
      <c r="J3774" s="7" t="s">
        <v>597</v>
      </c>
      <c r="K3774" s="7" t="n">
        <f aca="false">IFERROR(VALUE(RIGHT(TRIM(F3774),4)),"")</f>
        <v>2016</v>
      </c>
      <c r="L3774" s="7" t="str">
        <f aca="false">IF(TRIM(E3774)="","Unknown",IFERROR(LEFT(TRIM(E3774),FIND(",",TRIM(E3774))-1),TRIM(E3774)))</f>
        <v>United States</v>
      </c>
      <c r="M3774" s="7" t="str">
        <f aca="false">IFERROR(LEFT(J3774,FIND(",",J3774)-1),J3774)</f>
        <v>Dramas</v>
      </c>
      <c r="N3774" s="7" t="n">
        <f aca="false">IF(B3774="Movie",IFERROR(VALUE(LEFT(I3774,FIND(" ",I3774)-1)),""),"")</f>
        <v>94</v>
      </c>
      <c r="O3774" s="7" t="str">
        <f aca="false">IF(B3774="TV Show",IFERROR(VALUE(LEFT(I3774,FIND(" ",I3774)-1)),""),"")</f>
        <v/>
      </c>
      <c r="P3774" s="7" t="n">
        <f aca="false">IF(K3774="","",K3774-G3774)</f>
        <v>1</v>
      </c>
    </row>
    <row r="3775" customFormat="false" ht="15" hidden="false" customHeight="false" outlineLevel="0" collapsed="false">
      <c r="A3775" s="7" t="n">
        <v>81049811</v>
      </c>
      <c r="B3775" s="7" t="s">
        <v>78</v>
      </c>
      <c r="C3775" s="7" t="s">
        <v>7841</v>
      </c>
      <c r="E3775" s="7" t="s">
        <v>963</v>
      </c>
      <c r="F3775" s="7" t="s">
        <v>7842</v>
      </c>
      <c r="G3775" s="7" t="n">
        <v>2018</v>
      </c>
      <c r="H3775" s="7" t="s">
        <v>49</v>
      </c>
      <c r="I3775" s="7" t="s">
        <v>82</v>
      </c>
      <c r="J3775" s="7" t="s">
        <v>402</v>
      </c>
      <c r="K3775" s="7" t="n">
        <f aca="false">IFERROR(VALUE(RIGHT(TRIM(F3775),4)),"")</f>
        <v>2019</v>
      </c>
      <c r="L3775" s="7" t="str">
        <f aca="false">IF(TRIM(E3775)="","Unknown",IFERROR(LEFT(TRIM(E3775),FIND(",",TRIM(E3775))-1),TRIM(E3775)))</f>
        <v>Egypt</v>
      </c>
      <c r="M3775" s="7" t="str">
        <f aca="false">IFERROR(LEFT(J3775,FIND(",",J3775)-1),J3775)</f>
        <v>Crime TV Shows</v>
      </c>
      <c r="N3775" s="7" t="str">
        <f aca="false">IF(B3775="Movie",IFERROR(VALUE(LEFT(I3775,FIND(" ",I3775)-1)),""),"")</f>
        <v/>
      </c>
      <c r="O3775" s="7" t="n">
        <f aca="false">IF(B3775="TV Show",IFERROR(VALUE(LEFT(I3775,FIND(" ",I3775)-1)),""),"")</f>
        <v>1</v>
      </c>
      <c r="P3775" s="7" t="n">
        <f aca="false">IF(K3775="","",K3775-G3775)</f>
        <v>1</v>
      </c>
    </row>
    <row r="3776" customFormat="false" ht="15" hidden="false" customHeight="false" outlineLevel="0" collapsed="false">
      <c r="A3776" s="7" t="n">
        <v>80214523</v>
      </c>
      <c r="B3776" s="7" t="s">
        <v>78</v>
      </c>
      <c r="C3776" s="7" t="s">
        <v>7843</v>
      </c>
      <c r="E3776" s="7" t="s">
        <v>32</v>
      </c>
      <c r="F3776" s="7" t="s">
        <v>7842</v>
      </c>
      <c r="G3776" s="7" t="n">
        <v>2018</v>
      </c>
      <c r="H3776" s="7" t="s">
        <v>48</v>
      </c>
      <c r="I3776" s="7" t="s">
        <v>82</v>
      </c>
      <c r="J3776" s="7" t="s">
        <v>1877</v>
      </c>
      <c r="K3776" s="7" t="n">
        <f aca="false">IFERROR(VALUE(RIGHT(TRIM(F3776),4)),"")</f>
        <v>2019</v>
      </c>
      <c r="L3776" s="7" t="str">
        <f aca="false">IF(TRIM(E3776)="","Unknown",IFERROR(LEFT(TRIM(E3776),FIND(",",TRIM(E3776))-1),TRIM(E3776)))</f>
        <v>South Korea</v>
      </c>
      <c r="M3776" s="7" t="str">
        <f aca="false">IFERROR(LEFT(J3776,FIND(",",J3776)-1),J3776)</f>
        <v>Crime TV Shows</v>
      </c>
      <c r="N3776" s="7" t="str">
        <f aca="false">IF(B3776="Movie",IFERROR(VALUE(LEFT(I3776,FIND(" ",I3776)-1)),""),"")</f>
        <v/>
      </c>
      <c r="O3776" s="7" t="n">
        <f aca="false">IF(B3776="TV Show",IFERROR(VALUE(LEFT(I3776,FIND(" ",I3776)-1)),""),"")</f>
        <v>1</v>
      </c>
      <c r="P3776" s="7" t="n">
        <f aca="false">IF(K3776="","",K3776-G3776)</f>
        <v>1</v>
      </c>
    </row>
    <row r="3777" customFormat="false" ht="15" hidden="false" customHeight="false" outlineLevel="0" collapsed="false">
      <c r="A3777" s="7" t="n">
        <v>80216779</v>
      </c>
      <c r="B3777" s="7" t="s">
        <v>68</v>
      </c>
      <c r="C3777" s="7" t="s">
        <v>7844</v>
      </c>
      <c r="D3777" s="7" t="s">
        <v>7845</v>
      </c>
      <c r="E3777" s="7" t="s">
        <v>26</v>
      </c>
      <c r="F3777" s="7" t="s">
        <v>7842</v>
      </c>
      <c r="G3777" s="7" t="n">
        <v>2019</v>
      </c>
      <c r="H3777" s="7" t="s">
        <v>48</v>
      </c>
      <c r="I3777" s="7" t="s">
        <v>1757</v>
      </c>
      <c r="J3777" s="7" t="s">
        <v>45</v>
      </c>
      <c r="K3777" s="7" t="n">
        <f aca="false">IFERROR(VALUE(RIGHT(TRIM(F3777),4)),"")</f>
        <v>2019</v>
      </c>
      <c r="L3777" s="7" t="str">
        <f aca="false">IF(TRIM(E3777)="","Unknown",IFERROR(LEFT(TRIM(E3777),FIND(",",TRIM(E3777))-1),TRIM(E3777)))</f>
        <v>United States</v>
      </c>
      <c r="M3777" s="7" t="str">
        <f aca="false">IFERROR(LEFT(J3777,FIND(",",J3777)-1),J3777)</f>
        <v>Stand-Up Comedy</v>
      </c>
      <c r="N3777" s="7" t="n">
        <f aca="false">IF(B3777="Movie",IFERROR(VALUE(LEFT(I3777,FIND(" ",I3777)-1)),""),"")</f>
        <v>59</v>
      </c>
      <c r="O3777" s="7" t="str">
        <f aca="false">IF(B3777="TV Show",IFERROR(VALUE(LEFT(I3777,FIND(" ",I3777)-1)),""),"")</f>
        <v/>
      </c>
      <c r="P3777" s="7" t="n">
        <f aca="false">IF(K3777="","",K3777-G3777)</f>
        <v>0</v>
      </c>
    </row>
    <row r="3778" customFormat="false" ht="15" hidden="false" customHeight="false" outlineLevel="0" collapsed="false">
      <c r="A3778" s="7" t="n">
        <v>80201500</v>
      </c>
      <c r="B3778" s="7" t="s">
        <v>78</v>
      </c>
      <c r="C3778" s="7" t="s">
        <v>7846</v>
      </c>
      <c r="E3778" s="7" t="s">
        <v>28</v>
      </c>
      <c r="F3778" s="7" t="s">
        <v>7842</v>
      </c>
      <c r="G3778" s="7" t="n">
        <v>2018</v>
      </c>
      <c r="H3778" s="7" t="s">
        <v>48</v>
      </c>
      <c r="I3778" s="7" t="s">
        <v>82</v>
      </c>
      <c r="J3778" s="7" t="s">
        <v>563</v>
      </c>
      <c r="K3778" s="7" t="n">
        <f aca="false">IFERROR(VALUE(RIGHT(TRIM(F3778),4)),"")</f>
        <v>2019</v>
      </c>
      <c r="L3778" s="7" t="str">
        <f aca="false">IF(TRIM(E3778)="","Unknown",IFERROR(LEFT(TRIM(E3778),FIND(",",TRIM(E3778))-1),TRIM(E3778)))</f>
        <v>United Kingdom</v>
      </c>
      <c r="M3778" s="7" t="str">
        <f aca="false">IFERROR(LEFT(J3778,FIND(",",J3778)-1),J3778)</f>
        <v>British TV Shows</v>
      </c>
      <c r="N3778" s="7" t="str">
        <f aca="false">IF(B3778="Movie",IFERROR(VALUE(LEFT(I3778,FIND(" ",I3778)-1)),""),"")</f>
        <v/>
      </c>
      <c r="O3778" s="7" t="n">
        <f aca="false">IF(B3778="TV Show",IFERROR(VALUE(LEFT(I3778,FIND(" ",I3778)-1)),""),"")</f>
        <v>1</v>
      </c>
      <c r="P3778" s="7" t="n">
        <f aca="false">IF(K3778="","",K3778-G3778)</f>
        <v>1</v>
      </c>
    </row>
    <row r="3779" customFormat="false" ht="15" hidden="false" customHeight="false" outlineLevel="0" collapsed="false">
      <c r="A3779" s="7" t="n">
        <v>81049774</v>
      </c>
      <c r="B3779" s="7" t="s">
        <v>78</v>
      </c>
      <c r="C3779" s="7" t="s">
        <v>7847</v>
      </c>
      <c r="E3779" s="7" t="s">
        <v>963</v>
      </c>
      <c r="F3779" s="7" t="s">
        <v>7842</v>
      </c>
      <c r="G3779" s="7" t="n">
        <v>2018</v>
      </c>
      <c r="H3779" s="7" t="s">
        <v>48</v>
      </c>
      <c r="I3779" s="7" t="s">
        <v>82</v>
      </c>
      <c r="J3779" s="7" t="s">
        <v>344</v>
      </c>
      <c r="K3779" s="7" t="n">
        <f aca="false">IFERROR(VALUE(RIGHT(TRIM(F3779),4)),"")</f>
        <v>2019</v>
      </c>
      <c r="L3779" s="7" t="str">
        <f aca="false">IF(TRIM(E3779)="","Unknown",IFERROR(LEFT(TRIM(E3779),FIND(",",TRIM(E3779))-1),TRIM(E3779)))</f>
        <v>Egypt</v>
      </c>
      <c r="M3779" s="7" t="str">
        <f aca="false">IFERROR(LEFT(J3779,FIND(",",J3779)-1),J3779)</f>
        <v>International TV Shows</v>
      </c>
      <c r="N3779" s="7" t="str">
        <f aca="false">IF(B3779="Movie",IFERROR(VALUE(LEFT(I3779,FIND(" ",I3779)-1)),""),"")</f>
        <v/>
      </c>
      <c r="O3779" s="7" t="n">
        <f aca="false">IF(B3779="TV Show",IFERROR(VALUE(LEFT(I3779,FIND(" ",I3779)-1)),""),"")</f>
        <v>1</v>
      </c>
      <c r="P3779" s="7" t="n">
        <f aca="false">IF(K3779="","",K3779-G3779)</f>
        <v>1</v>
      </c>
    </row>
    <row r="3780" customFormat="false" ht="15" hidden="false" customHeight="false" outlineLevel="0" collapsed="false">
      <c r="A3780" s="7" t="n">
        <v>80182123</v>
      </c>
      <c r="B3780" s="7" t="s">
        <v>78</v>
      </c>
      <c r="C3780" s="7" t="s">
        <v>7848</v>
      </c>
      <c r="E3780" s="7" t="s">
        <v>30</v>
      </c>
      <c r="F3780" s="7" t="s">
        <v>7842</v>
      </c>
      <c r="G3780" s="7" t="n">
        <v>2018</v>
      </c>
      <c r="H3780" s="7" t="s">
        <v>49</v>
      </c>
      <c r="I3780" s="7" t="s">
        <v>82</v>
      </c>
      <c r="J3780" s="7" t="s">
        <v>1253</v>
      </c>
      <c r="K3780" s="7" t="n">
        <f aca="false">IFERROR(VALUE(RIGHT(TRIM(F3780),4)),"")</f>
        <v>2019</v>
      </c>
      <c r="L3780" s="7" t="str">
        <f aca="false">IF(TRIM(E3780)="","Unknown",IFERROR(LEFT(TRIM(E3780),FIND(",",TRIM(E3780))-1),TRIM(E3780)))</f>
        <v>Japan</v>
      </c>
      <c r="M3780" s="7" t="str">
        <f aca="false">IFERROR(LEFT(J3780,FIND(",",J3780)-1),J3780)</f>
        <v>Anime Series</v>
      </c>
      <c r="N3780" s="7" t="str">
        <f aca="false">IF(B3780="Movie",IFERROR(VALUE(LEFT(I3780,FIND(" ",I3780)-1)),""),"")</f>
        <v/>
      </c>
      <c r="O3780" s="7" t="n">
        <f aca="false">IF(B3780="TV Show",IFERROR(VALUE(LEFT(I3780,FIND(" ",I3780)-1)),""),"")</f>
        <v>1</v>
      </c>
      <c r="P3780" s="7" t="n">
        <f aca="false">IF(K3780="","",K3780-G3780)</f>
        <v>1</v>
      </c>
    </row>
    <row r="3781" customFormat="false" ht="15" hidden="false" customHeight="false" outlineLevel="0" collapsed="false">
      <c r="A3781" s="7" t="n">
        <v>80221279</v>
      </c>
      <c r="B3781" s="7" t="s">
        <v>78</v>
      </c>
      <c r="C3781" s="7" t="s">
        <v>7849</v>
      </c>
      <c r="E3781" s="7" t="s">
        <v>411</v>
      </c>
      <c r="F3781" s="7" t="s">
        <v>7850</v>
      </c>
      <c r="G3781" s="7" t="n">
        <v>2017</v>
      </c>
      <c r="H3781" s="7" t="s">
        <v>49</v>
      </c>
      <c r="I3781" s="7" t="s">
        <v>82</v>
      </c>
      <c r="J3781" s="7" t="s">
        <v>402</v>
      </c>
      <c r="K3781" s="7" t="n">
        <f aca="false">IFERROR(VALUE(RIGHT(TRIM(F3781),4)),"")</f>
        <v>2018</v>
      </c>
      <c r="L3781" s="7" t="str">
        <f aca="false">IF(TRIM(E3781)="","Unknown",IFERROR(LEFT(TRIM(E3781),FIND(",",TRIM(E3781))-1),TRIM(E3781)))</f>
        <v>Hong Kong</v>
      </c>
      <c r="M3781" s="7" t="str">
        <f aca="false">IFERROR(LEFT(J3781,FIND(",",J3781)-1),J3781)</f>
        <v>Crime TV Shows</v>
      </c>
      <c r="N3781" s="7" t="str">
        <f aca="false">IF(B3781="Movie",IFERROR(VALUE(LEFT(I3781,FIND(" ",I3781)-1)),""),"")</f>
        <v/>
      </c>
      <c r="O3781" s="7" t="n">
        <f aca="false">IF(B3781="TV Show",IFERROR(VALUE(LEFT(I3781,FIND(" ",I3781)-1)),""),"")</f>
        <v>1</v>
      </c>
      <c r="P3781" s="7" t="n">
        <f aca="false">IF(K3781="","",K3781-G3781)</f>
        <v>1</v>
      </c>
    </row>
    <row r="3782" customFormat="false" ht="15" hidden="false" customHeight="false" outlineLevel="0" collapsed="false">
      <c r="A3782" s="7" t="n">
        <v>80201497</v>
      </c>
      <c r="B3782" s="7" t="s">
        <v>68</v>
      </c>
      <c r="C3782" s="7" t="s">
        <v>7851</v>
      </c>
      <c r="D3782" s="7" t="s">
        <v>7852</v>
      </c>
      <c r="E3782" s="7" t="s">
        <v>26</v>
      </c>
      <c r="F3782" s="7" t="s">
        <v>7850</v>
      </c>
      <c r="G3782" s="7" t="n">
        <v>2017</v>
      </c>
      <c r="H3782" s="7" t="s">
        <v>48</v>
      </c>
      <c r="I3782" s="7" t="s">
        <v>451</v>
      </c>
      <c r="J3782" s="7" t="s">
        <v>566</v>
      </c>
      <c r="K3782" s="7" t="n">
        <f aca="false">IFERROR(VALUE(RIGHT(TRIM(F3782),4)),"")</f>
        <v>2018</v>
      </c>
      <c r="L3782" s="7" t="str">
        <f aca="false">IF(TRIM(E3782)="","Unknown",IFERROR(LEFT(TRIM(E3782),FIND(",",TRIM(E3782))-1),TRIM(E3782)))</f>
        <v>United States</v>
      </c>
      <c r="M3782" s="7" t="str">
        <f aca="false">IFERROR(LEFT(J3782,FIND(",",J3782)-1),J3782)</f>
        <v>Dramas</v>
      </c>
      <c r="N3782" s="7" t="n">
        <f aca="false">IF(B3782="Movie",IFERROR(VALUE(LEFT(I3782,FIND(" ",I3782)-1)),""),"")</f>
        <v>97</v>
      </c>
      <c r="O3782" s="7" t="str">
        <f aca="false">IF(B3782="TV Show",IFERROR(VALUE(LEFT(I3782,FIND(" ",I3782)-1)),""),"")</f>
        <v/>
      </c>
      <c r="P3782" s="7" t="n">
        <f aca="false">IF(K3782="","",K3782-G3782)</f>
        <v>1</v>
      </c>
    </row>
    <row r="3783" customFormat="false" ht="15" hidden="false" customHeight="false" outlineLevel="0" collapsed="false">
      <c r="A3783" s="7" t="n">
        <v>80134431</v>
      </c>
      <c r="B3783" s="7" t="s">
        <v>68</v>
      </c>
      <c r="C3783" s="7" t="s">
        <v>7853</v>
      </c>
      <c r="D3783" s="7" t="s">
        <v>7854</v>
      </c>
      <c r="E3783" s="7" t="s">
        <v>26</v>
      </c>
      <c r="F3783" s="7" t="s">
        <v>7850</v>
      </c>
      <c r="G3783" s="7" t="n">
        <v>2018</v>
      </c>
      <c r="H3783" s="7" t="s">
        <v>48</v>
      </c>
      <c r="I3783" s="7" t="s">
        <v>181</v>
      </c>
      <c r="J3783" s="7" t="s">
        <v>276</v>
      </c>
      <c r="K3783" s="7" t="n">
        <f aca="false">IFERROR(VALUE(RIGHT(TRIM(F3783),4)),"")</f>
        <v>2018</v>
      </c>
      <c r="L3783" s="7" t="str">
        <f aca="false">IF(TRIM(E3783)="","Unknown",IFERROR(LEFT(TRIM(E3783),FIND(",",TRIM(E3783))-1),TRIM(E3783)))</f>
        <v>United States</v>
      </c>
      <c r="M3783" s="7" t="str">
        <f aca="false">IFERROR(LEFT(J3783,FIND(",",J3783)-1),J3783)</f>
        <v>Action &amp; Adventure</v>
      </c>
      <c r="N3783" s="7" t="n">
        <f aca="false">IF(B3783="Movie",IFERROR(VALUE(LEFT(I3783,FIND(" ",I3783)-1)),""),"")</f>
        <v>102</v>
      </c>
      <c r="O3783" s="7" t="str">
        <f aca="false">IF(B3783="TV Show",IFERROR(VALUE(LEFT(I3783,FIND(" ",I3783)-1)),""),"")</f>
        <v/>
      </c>
      <c r="P3783" s="7" t="n">
        <f aca="false">IF(K3783="","",K3783-G3783)</f>
        <v>0</v>
      </c>
    </row>
    <row r="3784" customFormat="false" ht="15" hidden="false" customHeight="false" outlineLevel="0" collapsed="false">
      <c r="A3784" s="7" t="n">
        <v>80198745</v>
      </c>
      <c r="B3784" s="7" t="s">
        <v>68</v>
      </c>
      <c r="C3784" s="7" t="s">
        <v>7855</v>
      </c>
      <c r="D3784" s="7" t="s">
        <v>7856</v>
      </c>
      <c r="E3784" s="7" t="s">
        <v>26</v>
      </c>
      <c r="F3784" s="7" t="s">
        <v>7850</v>
      </c>
      <c r="G3784" s="7" t="n">
        <v>2017</v>
      </c>
      <c r="H3784" s="7" t="s">
        <v>48</v>
      </c>
      <c r="I3784" s="7" t="s">
        <v>272</v>
      </c>
      <c r="J3784" s="7" t="s">
        <v>597</v>
      </c>
      <c r="K3784" s="7" t="n">
        <f aca="false">IFERROR(VALUE(RIGHT(TRIM(F3784),4)),"")</f>
        <v>2018</v>
      </c>
      <c r="L3784" s="7" t="str">
        <f aca="false">IF(TRIM(E3784)="","Unknown",IFERROR(LEFT(TRIM(E3784),FIND(",",TRIM(E3784))-1),TRIM(E3784)))</f>
        <v>United States</v>
      </c>
      <c r="M3784" s="7" t="str">
        <f aca="false">IFERROR(LEFT(J3784,FIND(",",J3784)-1),J3784)</f>
        <v>Dramas</v>
      </c>
      <c r="N3784" s="7" t="n">
        <f aca="false">IF(B3784="Movie",IFERROR(VALUE(LEFT(I3784,FIND(" ",I3784)-1)),""),"")</f>
        <v>93</v>
      </c>
      <c r="O3784" s="7" t="str">
        <f aca="false">IF(B3784="TV Show",IFERROR(VALUE(LEFT(I3784,FIND(" ",I3784)-1)),""),"")</f>
        <v/>
      </c>
      <c r="P3784" s="7" t="n">
        <f aca="false">IF(K3784="","",K3784-G3784)</f>
        <v>1</v>
      </c>
    </row>
    <row r="3785" customFormat="false" ht="15" hidden="false" customHeight="false" outlineLevel="0" collapsed="false">
      <c r="A3785" s="7" t="n">
        <v>80168052</v>
      </c>
      <c r="B3785" s="7" t="s">
        <v>68</v>
      </c>
      <c r="C3785" s="7" t="s">
        <v>7857</v>
      </c>
      <c r="D3785" s="7" t="s">
        <v>7858</v>
      </c>
      <c r="E3785" s="7" t="s">
        <v>7859</v>
      </c>
      <c r="F3785" s="7" t="s">
        <v>7860</v>
      </c>
      <c r="G3785" s="7" t="n">
        <v>2016</v>
      </c>
      <c r="H3785" s="7" t="s">
        <v>50</v>
      </c>
      <c r="I3785" s="7" t="s">
        <v>1191</v>
      </c>
      <c r="J3785" s="7" t="s">
        <v>341</v>
      </c>
      <c r="K3785" s="7" t="n">
        <f aca="false">IFERROR(VALUE(RIGHT(TRIM(F3785),4)),"")</f>
        <v>2017</v>
      </c>
      <c r="L3785" s="7" t="str">
        <f aca="false">IF(TRIM(E3785)="","Unknown",IFERROR(LEFT(TRIM(E3785),FIND(",",TRIM(E3785))-1),TRIM(E3785)))</f>
        <v>Italy</v>
      </c>
      <c r="M3785" s="7" t="str">
        <f aca="false">IFERROR(LEFT(J3785,FIND(",",J3785)-1),J3785)</f>
        <v>Documentaries</v>
      </c>
      <c r="N3785" s="7" t="n">
        <f aca="false">IF(B3785="Movie",IFERROR(VALUE(LEFT(I3785,FIND(" ",I3785)-1)),""),"")</f>
        <v>73</v>
      </c>
      <c r="O3785" s="7" t="str">
        <f aca="false">IF(B3785="TV Show",IFERROR(VALUE(LEFT(I3785,FIND(" ",I3785)-1)),""),"")</f>
        <v/>
      </c>
      <c r="P3785" s="7" t="n">
        <f aca="false">IF(K3785="","",K3785-G3785)</f>
        <v>1</v>
      </c>
    </row>
    <row r="3786" customFormat="false" ht="15" hidden="false" customHeight="false" outlineLevel="0" collapsed="false">
      <c r="A3786" s="7" t="n">
        <v>80167667</v>
      </c>
      <c r="B3786" s="7" t="s">
        <v>68</v>
      </c>
      <c r="C3786" s="7" t="s">
        <v>7861</v>
      </c>
      <c r="D3786" s="7" t="s">
        <v>7862</v>
      </c>
      <c r="E3786" s="7" t="s">
        <v>634</v>
      </c>
      <c r="F3786" s="7" t="s">
        <v>7860</v>
      </c>
      <c r="G3786" s="7" t="n">
        <v>2015</v>
      </c>
      <c r="H3786" s="7" t="s">
        <v>49</v>
      </c>
      <c r="I3786" s="7" t="s">
        <v>264</v>
      </c>
      <c r="J3786" s="7" t="s">
        <v>39</v>
      </c>
      <c r="K3786" s="7" t="n">
        <f aca="false">IFERROR(VALUE(RIGHT(TRIM(F3786),4)),"")</f>
        <v>2017</v>
      </c>
      <c r="L3786" s="7" t="str">
        <f aca="false">IF(TRIM(E3786)="","Unknown",IFERROR(LEFT(TRIM(E3786),FIND(",",TRIM(E3786))-1),TRIM(E3786)))</f>
        <v>Canada</v>
      </c>
      <c r="M3786" s="7" t="str">
        <f aca="false">IFERROR(LEFT(J3786,FIND(",",J3786)-1),J3786)</f>
        <v>Documentaries</v>
      </c>
      <c r="N3786" s="7" t="n">
        <f aca="false">IF(B3786="Movie",IFERROR(VALUE(LEFT(I3786,FIND(" ",I3786)-1)),""),"")</f>
        <v>88</v>
      </c>
      <c r="O3786" s="7" t="str">
        <f aca="false">IF(B3786="TV Show",IFERROR(VALUE(LEFT(I3786,FIND(" ",I3786)-1)),""),"")</f>
        <v/>
      </c>
      <c r="P3786" s="7" t="n">
        <f aca="false">IF(K3786="","",K3786-G3786)</f>
        <v>2</v>
      </c>
    </row>
    <row r="3787" customFormat="false" ht="15" hidden="false" customHeight="false" outlineLevel="0" collapsed="false">
      <c r="A3787" s="7" t="n">
        <v>80038446</v>
      </c>
      <c r="B3787" s="7" t="s">
        <v>68</v>
      </c>
      <c r="C3787" s="7" t="s">
        <v>2485</v>
      </c>
      <c r="D3787" s="7" t="s">
        <v>7863</v>
      </c>
      <c r="E3787" s="7" t="s">
        <v>7864</v>
      </c>
      <c r="F3787" s="7" t="s">
        <v>7860</v>
      </c>
      <c r="G3787" s="7" t="n">
        <v>2015</v>
      </c>
      <c r="H3787" s="7" t="s">
        <v>51</v>
      </c>
      <c r="I3787" s="7" t="s">
        <v>790</v>
      </c>
      <c r="J3787" s="7" t="s">
        <v>2939</v>
      </c>
      <c r="K3787" s="7" t="n">
        <f aca="false">IFERROR(VALUE(RIGHT(TRIM(F3787),4)),"")</f>
        <v>2017</v>
      </c>
      <c r="L3787" s="7" t="str">
        <f aca="false">IF(TRIM(E3787)="","Unknown",IFERROR(LEFT(TRIM(E3787),FIND(",",TRIM(E3787))-1),TRIM(E3787)))</f>
        <v>Belgium</v>
      </c>
      <c r="M3787" s="7" t="str">
        <f aca="false">IFERROR(LEFT(J3787,FIND(",",J3787)-1),J3787)</f>
        <v>Action &amp; Adventure</v>
      </c>
      <c r="N3787" s="7" t="n">
        <f aca="false">IF(B3787="Movie",IFERROR(VALUE(LEFT(I3787,FIND(" ",I3787)-1)),""),"")</f>
        <v>109</v>
      </c>
      <c r="O3787" s="7" t="str">
        <f aca="false">IF(B3787="TV Show",IFERROR(VALUE(LEFT(I3787,FIND(" ",I3787)-1)),""),"")</f>
        <v/>
      </c>
      <c r="P3787" s="7" t="n">
        <f aca="false">IF(K3787="","",K3787-G3787)</f>
        <v>2</v>
      </c>
    </row>
    <row r="3788" customFormat="false" ht="15" hidden="false" customHeight="false" outlineLevel="0" collapsed="false">
      <c r="A3788" s="7" t="n">
        <v>80059410</v>
      </c>
      <c r="B3788" s="7" t="s">
        <v>68</v>
      </c>
      <c r="C3788" s="7" t="s">
        <v>7865</v>
      </c>
      <c r="D3788" s="7" t="s">
        <v>3061</v>
      </c>
      <c r="E3788" s="7" t="s">
        <v>26</v>
      </c>
      <c r="F3788" s="7" t="s">
        <v>7866</v>
      </c>
      <c r="G3788" s="7" t="n">
        <v>2016</v>
      </c>
      <c r="H3788" s="7" t="s">
        <v>48</v>
      </c>
      <c r="I3788" s="7" t="s">
        <v>1020</v>
      </c>
      <c r="J3788" s="7" t="s">
        <v>45</v>
      </c>
      <c r="K3788" s="7" t="n">
        <f aca="false">IFERROR(VALUE(RIGHT(TRIM(F3788),4)),"")</f>
        <v>2016</v>
      </c>
      <c r="L3788" s="7" t="str">
        <f aca="false">IF(TRIM(E3788)="","Unknown",IFERROR(LEFT(TRIM(E3788),FIND(",",TRIM(E3788))-1),TRIM(E3788)))</f>
        <v>United States</v>
      </c>
      <c r="M3788" s="7" t="str">
        <f aca="false">IFERROR(LEFT(J3788,FIND(",",J3788)-1),J3788)</f>
        <v>Stand-Up Comedy</v>
      </c>
      <c r="N3788" s="7" t="n">
        <f aca="false">IF(B3788="Movie",IFERROR(VALUE(LEFT(I3788,FIND(" ",I3788)-1)),""),"")</f>
        <v>68</v>
      </c>
      <c r="O3788" s="7" t="str">
        <f aca="false">IF(B3788="TV Show",IFERROR(VALUE(LEFT(I3788,FIND(" ",I3788)-1)),""),"")</f>
        <v/>
      </c>
      <c r="P3788" s="7" t="n">
        <f aca="false">IF(K3788="","",K3788-G3788)</f>
        <v>0</v>
      </c>
    </row>
    <row r="3789" customFormat="false" ht="15" hidden="false" customHeight="false" outlineLevel="0" collapsed="false">
      <c r="A3789" s="7" t="n">
        <v>70252885</v>
      </c>
      <c r="B3789" s="7" t="s">
        <v>68</v>
      </c>
      <c r="C3789" s="7" t="s">
        <v>7867</v>
      </c>
      <c r="D3789" s="7" t="s">
        <v>6361</v>
      </c>
      <c r="E3789" s="7" t="s">
        <v>7868</v>
      </c>
      <c r="F3789" s="7" t="s">
        <v>7869</v>
      </c>
      <c r="G3789" s="7" t="n">
        <v>2012</v>
      </c>
      <c r="H3789" s="7" t="s">
        <v>51</v>
      </c>
      <c r="I3789" s="7" t="s">
        <v>820</v>
      </c>
      <c r="J3789" s="7" t="s">
        <v>40</v>
      </c>
      <c r="K3789" s="7" t="n">
        <f aca="false">IFERROR(VALUE(RIGHT(TRIM(F3789),4)),"")</f>
        <v>2018</v>
      </c>
      <c r="L3789" s="7" t="str">
        <f aca="false">IF(TRIM(E3789)="","Unknown",IFERROR(LEFT(TRIM(E3789),FIND(",",TRIM(E3789))-1),TRIM(E3789)))</f>
        <v>United States</v>
      </c>
      <c r="M3789" s="7" t="str">
        <f aca="false">IFERROR(LEFT(J3789,FIND(",",J3789)-1),J3789)</f>
        <v>Action &amp; Adventure</v>
      </c>
      <c r="N3789" s="7" t="n">
        <f aca="false">IF(B3789="Movie",IFERROR(VALUE(LEFT(I3789,FIND(" ",I3789)-1)),""),"")</f>
        <v>105</v>
      </c>
      <c r="O3789" s="7" t="str">
        <f aca="false">IF(B3789="TV Show",IFERROR(VALUE(LEFT(I3789,FIND(" ",I3789)-1)),""),"")</f>
        <v/>
      </c>
      <c r="P3789" s="7" t="n">
        <f aca="false">IF(K3789="","",K3789-G3789)</f>
        <v>6</v>
      </c>
    </row>
    <row r="3790" customFormat="false" ht="15" hidden="false" customHeight="false" outlineLevel="0" collapsed="false">
      <c r="A3790" s="7" t="n">
        <v>80157760</v>
      </c>
      <c r="B3790" s="7" t="s">
        <v>68</v>
      </c>
      <c r="C3790" s="7" t="s">
        <v>7870</v>
      </c>
      <c r="D3790" s="7" t="s">
        <v>7871</v>
      </c>
      <c r="E3790" s="7" t="s">
        <v>26</v>
      </c>
      <c r="F3790" s="7" t="s">
        <v>7872</v>
      </c>
      <c r="G3790" s="7" t="n">
        <v>2016</v>
      </c>
      <c r="H3790" s="7" t="s">
        <v>51</v>
      </c>
      <c r="I3790" s="7" t="s">
        <v>272</v>
      </c>
      <c r="J3790" s="7" t="s">
        <v>147</v>
      </c>
      <c r="K3790" s="7" t="n">
        <f aca="false">IFERROR(VALUE(RIGHT(TRIM(F3790),4)),"")</f>
        <v>2017</v>
      </c>
      <c r="L3790" s="7" t="str">
        <f aca="false">IF(TRIM(E3790)="","Unknown",IFERROR(LEFT(TRIM(E3790),FIND(",",TRIM(E3790))-1),TRIM(E3790)))</f>
        <v>United States</v>
      </c>
      <c r="M3790" s="7" t="str">
        <f aca="false">IFERROR(LEFT(J3790,FIND(",",J3790)-1),J3790)</f>
        <v>Horror Movies</v>
      </c>
      <c r="N3790" s="7" t="n">
        <f aca="false">IF(B3790="Movie",IFERROR(VALUE(LEFT(I3790,FIND(" ",I3790)-1)),""),"")</f>
        <v>93</v>
      </c>
      <c r="O3790" s="7" t="str">
        <f aca="false">IF(B3790="TV Show",IFERROR(VALUE(LEFT(I3790,FIND(" ",I3790)-1)),""),"")</f>
        <v/>
      </c>
      <c r="P3790" s="7" t="n">
        <f aca="false">IF(K3790="","",K3790-G3790)</f>
        <v>1</v>
      </c>
    </row>
    <row r="3791" customFormat="false" ht="15" hidden="false" customHeight="false" outlineLevel="0" collapsed="false">
      <c r="A3791" s="7" t="n">
        <v>80065220</v>
      </c>
      <c r="B3791" s="7" t="s">
        <v>68</v>
      </c>
      <c r="C3791" s="7" t="s">
        <v>7873</v>
      </c>
      <c r="D3791" s="7" t="s">
        <v>7874</v>
      </c>
      <c r="E3791" s="7" t="s">
        <v>26</v>
      </c>
      <c r="F3791" s="7" t="s">
        <v>7875</v>
      </c>
      <c r="G3791" s="7" t="n">
        <v>2015</v>
      </c>
      <c r="H3791" s="7" t="s">
        <v>53</v>
      </c>
      <c r="I3791" s="7" t="s">
        <v>348</v>
      </c>
      <c r="J3791" s="7" t="s">
        <v>150</v>
      </c>
      <c r="K3791" s="7" t="n">
        <f aca="false">IFERROR(VALUE(RIGHT(TRIM(F3791),4)),"")</f>
        <v>2016</v>
      </c>
      <c r="L3791" s="7" t="str">
        <f aca="false">IF(TRIM(E3791)="","Unknown",IFERROR(LEFT(TRIM(E3791),FIND(",",TRIM(E3791))-1),TRIM(E3791)))</f>
        <v>United States</v>
      </c>
      <c r="M3791" s="7" t="str">
        <f aca="false">IFERROR(LEFT(J3791,FIND(",",J3791)-1),J3791)</f>
        <v>Dramas</v>
      </c>
      <c r="N3791" s="7" t="n">
        <f aca="false">IF(B3791="Movie",IFERROR(VALUE(LEFT(I3791,FIND(" ",I3791)-1)),""),"")</f>
        <v>72</v>
      </c>
      <c r="O3791" s="7" t="str">
        <f aca="false">IF(B3791="TV Show",IFERROR(VALUE(LEFT(I3791,FIND(" ",I3791)-1)),""),"")</f>
        <v/>
      </c>
      <c r="P3791" s="7" t="n">
        <f aca="false">IF(K3791="","",K3791-G3791)</f>
        <v>1</v>
      </c>
    </row>
    <row r="3792" customFormat="false" ht="15" hidden="false" customHeight="false" outlineLevel="0" collapsed="false">
      <c r="A3792" s="7" t="n">
        <v>70157452</v>
      </c>
      <c r="B3792" s="7" t="s">
        <v>78</v>
      </c>
      <c r="C3792" s="7" t="s">
        <v>7876</v>
      </c>
      <c r="E3792" s="7" t="s">
        <v>26</v>
      </c>
      <c r="F3792" s="7" t="s">
        <v>7877</v>
      </c>
      <c r="G3792" s="7" t="n">
        <v>2007</v>
      </c>
      <c r="H3792" s="7" t="s">
        <v>48</v>
      </c>
      <c r="I3792" s="7" t="s">
        <v>82</v>
      </c>
      <c r="J3792" s="7" t="s">
        <v>6274</v>
      </c>
      <c r="K3792" s="7" t="n">
        <f aca="false">IFERROR(VALUE(RIGHT(TRIM(F3792),4)),"")</f>
        <v>2008</v>
      </c>
      <c r="L3792" s="7" t="str">
        <f aca="false">IF(TRIM(E3792)="","Unknown",IFERROR(LEFT(TRIM(E3792),FIND(",",TRIM(E3792))-1),TRIM(E3792)))</f>
        <v>United States</v>
      </c>
      <c r="M3792" s="7" t="str">
        <f aca="false">IFERROR(LEFT(J3792,FIND(",",J3792)-1),J3792)</f>
        <v>Stand-Up Comedy &amp; Talk Shows</v>
      </c>
      <c r="N3792" s="7" t="str">
        <f aca="false">IF(B3792="Movie",IFERROR(VALUE(LEFT(I3792,FIND(" ",I3792)-1)),""),"")</f>
        <v/>
      </c>
      <c r="O3792" s="7" t="n">
        <f aca="false">IF(B3792="TV Show",IFERROR(VALUE(LEFT(I3792,FIND(" ",I3792)-1)),""),"")</f>
        <v>1</v>
      </c>
      <c r="P3792" s="7" t="n">
        <f aca="false">IF(K3792="","",K3792-G3792)</f>
        <v>1</v>
      </c>
    </row>
    <row r="3793" customFormat="false" ht="15" hidden="false" customHeight="false" outlineLevel="0" collapsed="false">
      <c r="A3793" s="7" t="n">
        <v>81045349</v>
      </c>
      <c r="B3793" s="7" t="s">
        <v>78</v>
      </c>
      <c r="C3793" s="7" t="s">
        <v>7878</v>
      </c>
      <c r="E3793" s="7" t="s">
        <v>32</v>
      </c>
      <c r="F3793" s="7" t="s">
        <v>7879</v>
      </c>
      <c r="G3793" s="7" t="n">
        <v>2019</v>
      </c>
      <c r="H3793" s="7" t="s">
        <v>49</v>
      </c>
      <c r="I3793" s="7" t="s">
        <v>82</v>
      </c>
      <c r="J3793" s="7" t="s">
        <v>637</v>
      </c>
      <c r="K3793" s="7" t="n">
        <f aca="false">IFERROR(VALUE(RIGHT(TRIM(F3793),4)),"")</f>
        <v>2019</v>
      </c>
      <c r="L3793" s="7" t="str">
        <f aca="false">IF(TRIM(E3793)="","Unknown",IFERROR(LEFT(TRIM(E3793),FIND(",",TRIM(E3793))-1),TRIM(E3793)))</f>
        <v>South Korea</v>
      </c>
      <c r="M3793" s="7" t="str">
        <f aca="false">IFERROR(LEFT(J3793,FIND(",",J3793)-1),J3793)</f>
        <v>International TV Shows</v>
      </c>
      <c r="N3793" s="7" t="str">
        <f aca="false">IF(B3793="Movie",IFERROR(VALUE(LEFT(I3793,FIND(" ",I3793)-1)),""),"")</f>
        <v/>
      </c>
      <c r="O3793" s="7" t="n">
        <f aca="false">IF(B3793="TV Show",IFERROR(VALUE(LEFT(I3793,FIND(" ",I3793)-1)),""),"")</f>
        <v>1</v>
      </c>
      <c r="P3793" s="7" t="n">
        <f aca="false">IF(K3793="","",K3793-G3793)</f>
        <v>0</v>
      </c>
    </row>
    <row r="3794" customFormat="false" ht="15" hidden="false" customHeight="false" outlineLevel="0" collapsed="false">
      <c r="A3794" s="7" t="n">
        <v>80124726</v>
      </c>
      <c r="B3794" s="7" t="s">
        <v>68</v>
      </c>
      <c r="C3794" s="7" t="s">
        <v>7880</v>
      </c>
      <c r="D3794" s="7" t="s">
        <v>3118</v>
      </c>
      <c r="E3794" s="7" t="s">
        <v>34</v>
      </c>
      <c r="F3794" s="7" t="s">
        <v>7881</v>
      </c>
      <c r="G3794" s="7" t="n">
        <v>2017</v>
      </c>
      <c r="H3794" s="7" t="s">
        <v>48</v>
      </c>
      <c r="I3794" s="7" t="s">
        <v>107</v>
      </c>
      <c r="J3794" s="7" t="s">
        <v>45</v>
      </c>
      <c r="K3794" s="7" t="n">
        <f aca="false">IFERROR(VALUE(RIGHT(TRIM(F3794),4)),"")</f>
        <v>2017</v>
      </c>
      <c r="L3794" s="7" t="str">
        <f aca="false">IF(TRIM(E3794)="","Unknown",IFERROR(LEFT(TRIM(E3794),FIND(",",TRIM(E3794))-1),TRIM(E3794)))</f>
        <v>Mexico</v>
      </c>
      <c r="M3794" s="7" t="str">
        <f aca="false">IFERROR(LEFT(J3794,FIND(",",J3794)-1),J3794)</f>
        <v>Stand-Up Comedy</v>
      </c>
      <c r="N3794" s="7" t="n">
        <f aca="false">IF(B3794="Movie",IFERROR(VALUE(LEFT(I3794,FIND(" ",I3794)-1)),""),"")</f>
        <v>78</v>
      </c>
      <c r="O3794" s="7" t="str">
        <f aca="false">IF(B3794="TV Show",IFERROR(VALUE(LEFT(I3794,FIND(" ",I3794)-1)),""),"")</f>
        <v/>
      </c>
      <c r="P3794" s="7" t="n">
        <f aca="false">IF(K3794="","",K3794-G3794)</f>
        <v>0</v>
      </c>
    </row>
    <row r="3795" customFormat="false" ht="15" hidden="false" customHeight="false" outlineLevel="0" collapsed="false">
      <c r="A3795" s="7" t="n">
        <v>70301279</v>
      </c>
      <c r="B3795" s="7" t="s">
        <v>68</v>
      </c>
      <c r="C3795" s="7" t="s">
        <v>7882</v>
      </c>
      <c r="D3795" s="7" t="s">
        <v>7883</v>
      </c>
      <c r="E3795" s="7" t="s">
        <v>26</v>
      </c>
      <c r="F3795" s="7" t="s">
        <v>7881</v>
      </c>
      <c r="G3795" s="7" t="n">
        <v>2014</v>
      </c>
      <c r="H3795" s="7" t="s">
        <v>48</v>
      </c>
      <c r="I3795" s="7" t="s">
        <v>212</v>
      </c>
      <c r="J3795" s="7" t="s">
        <v>37</v>
      </c>
      <c r="K3795" s="7" t="n">
        <f aca="false">IFERROR(VALUE(RIGHT(TRIM(F3795),4)),"")</f>
        <v>2017</v>
      </c>
      <c r="L3795" s="7" t="str">
        <f aca="false">IF(TRIM(E3795)="","Unknown",IFERROR(LEFT(TRIM(E3795),FIND(",",TRIM(E3795))-1),TRIM(E3795)))</f>
        <v>United States</v>
      </c>
      <c r="M3795" s="7" t="str">
        <f aca="false">IFERROR(LEFT(J3795,FIND(",",J3795)-1),J3795)</f>
        <v>Dramas</v>
      </c>
      <c r="N3795" s="7" t="n">
        <f aca="false">IF(B3795="Movie",IFERROR(VALUE(LEFT(I3795,FIND(" ",I3795)-1)),""),"")</f>
        <v>86</v>
      </c>
      <c r="O3795" s="7" t="str">
        <f aca="false">IF(B3795="TV Show",IFERROR(VALUE(LEFT(I3795,FIND(" ",I3795)-1)),""),"")</f>
        <v/>
      </c>
      <c r="P3795" s="7" t="n">
        <f aca="false">IF(K3795="","",K3795-G3795)</f>
        <v>3</v>
      </c>
    </row>
    <row r="3796" customFormat="false" ht="15" hidden="false" customHeight="false" outlineLevel="0" collapsed="false">
      <c r="A3796" s="7" t="n">
        <v>81002591</v>
      </c>
      <c r="B3796" s="7" t="s">
        <v>68</v>
      </c>
      <c r="C3796" s="7" t="s">
        <v>7884</v>
      </c>
      <c r="D3796" s="7" t="s">
        <v>7885</v>
      </c>
      <c r="E3796" s="7" t="s">
        <v>26</v>
      </c>
      <c r="F3796" s="7" t="s">
        <v>7886</v>
      </c>
      <c r="G3796" s="7" t="n">
        <v>2018</v>
      </c>
      <c r="H3796" s="7" t="s">
        <v>50</v>
      </c>
      <c r="I3796" s="7" t="s">
        <v>1317</v>
      </c>
      <c r="J3796" s="7" t="s">
        <v>5516</v>
      </c>
      <c r="K3796" s="7" t="n">
        <f aca="false">IFERROR(VALUE(RIGHT(TRIM(F3796),4)),"")</f>
        <v>2019</v>
      </c>
      <c r="L3796" s="7" t="str">
        <f aca="false">IF(TRIM(E3796)="","Unknown",IFERROR(LEFT(TRIM(E3796),FIND(",",TRIM(E3796))-1),TRIM(E3796)))</f>
        <v>United States</v>
      </c>
      <c r="M3796" s="7" t="str">
        <f aca="false">IFERROR(LEFT(J3796,FIND(",",J3796)-1),J3796)</f>
        <v>Documentaries</v>
      </c>
      <c r="N3796" s="7" t="n">
        <f aca="false">IF(B3796="Movie",IFERROR(VALUE(LEFT(I3796,FIND(" ",I3796)-1)),""),"")</f>
        <v>66</v>
      </c>
      <c r="O3796" s="7" t="str">
        <f aca="false">IF(B3796="TV Show",IFERROR(VALUE(LEFT(I3796,FIND(" ",I3796)-1)),""),"")</f>
        <v/>
      </c>
      <c r="P3796" s="7" t="n">
        <f aca="false">IF(K3796="","",K3796-G3796)</f>
        <v>1</v>
      </c>
    </row>
    <row r="3797" customFormat="false" ht="15" hidden="false" customHeight="false" outlineLevel="0" collapsed="false">
      <c r="A3797" s="7" t="n">
        <v>80123777</v>
      </c>
      <c r="B3797" s="7" t="s">
        <v>68</v>
      </c>
      <c r="C3797" s="7" t="s">
        <v>7887</v>
      </c>
      <c r="D3797" s="7" t="s">
        <v>7888</v>
      </c>
      <c r="E3797" s="7" t="s">
        <v>7889</v>
      </c>
      <c r="F3797" s="7" t="s">
        <v>7886</v>
      </c>
      <c r="G3797" s="7" t="n">
        <v>2016</v>
      </c>
      <c r="H3797" s="7" t="s">
        <v>48</v>
      </c>
      <c r="I3797" s="7" t="s">
        <v>173</v>
      </c>
      <c r="J3797" s="7" t="s">
        <v>182</v>
      </c>
      <c r="K3797" s="7" t="n">
        <f aca="false">IFERROR(VALUE(RIGHT(TRIM(F3797),4)),"")</f>
        <v>2019</v>
      </c>
      <c r="L3797" s="7" t="str">
        <f aca="false">IF(TRIM(E3797)="","Unknown",IFERROR(LEFT(TRIM(E3797),FIND(",",TRIM(E3797))-1),TRIM(E3797)))</f>
        <v>United States</v>
      </c>
      <c r="M3797" s="7" t="str">
        <f aca="false">IFERROR(LEFT(J3797,FIND(",",J3797)-1),J3797)</f>
        <v>Dramas</v>
      </c>
      <c r="N3797" s="7" t="n">
        <f aca="false">IF(B3797="Movie",IFERROR(VALUE(LEFT(I3797,FIND(" ",I3797)-1)),""),"")</f>
        <v>106</v>
      </c>
      <c r="O3797" s="7" t="str">
        <f aca="false">IF(B3797="TV Show",IFERROR(VALUE(LEFT(I3797,FIND(" ",I3797)-1)),""),"")</f>
        <v/>
      </c>
      <c r="P3797" s="7" t="n">
        <f aca="false">IF(K3797="","",K3797-G3797)</f>
        <v>3</v>
      </c>
    </row>
    <row r="3798" customFormat="false" ht="15" hidden="false" customHeight="false" outlineLevel="0" collapsed="false">
      <c r="A3798" s="7" t="n">
        <v>80109296</v>
      </c>
      <c r="B3798" s="7" t="s">
        <v>68</v>
      </c>
      <c r="C3798" s="7" t="s">
        <v>7890</v>
      </c>
      <c r="D3798" s="7" t="s">
        <v>7891</v>
      </c>
      <c r="E3798" s="7" t="s">
        <v>1265</v>
      </c>
      <c r="F3798" s="7" t="s">
        <v>7886</v>
      </c>
      <c r="G3798" s="7" t="n">
        <v>2018</v>
      </c>
      <c r="H3798" s="7" t="s">
        <v>48</v>
      </c>
      <c r="I3798" s="7" t="s">
        <v>194</v>
      </c>
      <c r="J3798" s="7" t="s">
        <v>188</v>
      </c>
      <c r="K3798" s="7" t="n">
        <f aca="false">IFERROR(VALUE(RIGHT(TRIM(F3798),4)),"")</f>
        <v>2019</v>
      </c>
      <c r="L3798" s="7" t="str">
        <f aca="false">IF(TRIM(E3798)="","Unknown",IFERROR(LEFT(TRIM(E3798),FIND(",",TRIM(E3798))-1),TRIM(E3798)))</f>
        <v>Spain</v>
      </c>
      <c r="M3798" s="7" t="str">
        <f aca="false">IFERROR(LEFT(J3798,FIND(",",J3798)-1),J3798)</f>
        <v>Dramas</v>
      </c>
      <c r="N3798" s="7" t="n">
        <f aca="false">IF(B3798="Movie",IFERROR(VALUE(LEFT(I3798,FIND(" ",I3798)-1)),""),"")</f>
        <v>125</v>
      </c>
      <c r="O3798" s="7" t="str">
        <f aca="false">IF(B3798="TV Show",IFERROR(VALUE(LEFT(I3798,FIND(" ",I3798)-1)),""),"")</f>
        <v/>
      </c>
      <c r="P3798" s="7" t="n">
        <f aca="false">IF(K3798="","",K3798-G3798)</f>
        <v>1</v>
      </c>
    </row>
    <row r="3799" customFormat="false" ht="15" hidden="false" customHeight="false" outlineLevel="0" collapsed="false">
      <c r="A3799" s="7" t="n">
        <v>81017530</v>
      </c>
      <c r="B3799" s="7" t="s">
        <v>68</v>
      </c>
      <c r="C3799" s="7" t="s">
        <v>7892</v>
      </c>
      <c r="D3799" s="7" t="s">
        <v>7893</v>
      </c>
      <c r="E3799" s="7" t="s">
        <v>26</v>
      </c>
      <c r="F3799" s="7" t="s">
        <v>7886</v>
      </c>
      <c r="G3799" s="7" t="n">
        <v>2016</v>
      </c>
      <c r="H3799" s="7" t="s">
        <v>48</v>
      </c>
      <c r="I3799" s="7" t="s">
        <v>162</v>
      </c>
      <c r="J3799" s="7" t="s">
        <v>1085</v>
      </c>
      <c r="K3799" s="7" t="n">
        <f aca="false">IFERROR(VALUE(RIGHT(TRIM(F3799),4)),"")</f>
        <v>2019</v>
      </c>
      <c r="L3799" s="7" t="str">
        <f aca="false">IF(TRIM(E3799)="","Unknown",IFERROR(LEFT(TRIM(E3799),FIND(",",TRIM(E3799))-1),TRIM(E3799)))</f>
        <v>United States</v>
      </c>
      <c r="M3799" s="7" t="str">
        <f aca="false">IFERROR(LEFT(J3799,FIND(",",J3799)-1),J3799)</f>
        <v>Documentaries</v>
      </c>
      <c r="N3799" s="7" t="n">
        <f aca="false">IF(B3799="Movie",IFERROR(VALUE(LEFT(I3799,FIND(" ",I3799)-1)),""),"")</f>
        <v>77</v>
      </c>
      <c r="O3799" s="7" t="str">
        <f aca="false">IF(B3799="TV Show",IFERROR(VALUE(LEFT(I3799,FIND(" ",I3799)-1)),""),"")</f>
        <v/>
      </c>
      <c r="P3799" s="7" t="n">
        <f aca="false">IF(K3799="","",K3799-G3799)</f>
        <v>3</v>
      </c>
    </row>
    <row r="3800" customFormat="false" ht="15" hidden="false" customHeight="false" outlineLevel="0" collapsed="false">
      <c r="A3800" s="7" t="n">
        <v>80190130</v>
      </c>
      <c r="B3800" s="7" t="s">
        <v>68</v>
      </c>
      <c r="C3800" s="7" t="s">
        <v>7894</v>
      </c>
      <c r="D3800" s="7" t="s">
        <v>7895</v>
      </c>
      <c r="E3800" s="7" t="s">
        <v>26</v>
      </c>
      <c r="F3800" s="7" t="s">
        <v>7896</v>
      </c>
      <c r="G3800" s="7" t="n">
        <v>2017</v>
      </c>
      <c r="H3800" s="7" t="s">
        <v>48</v>
      </c>
      <c r="I3800" s="7" t="s">
        <v>494</v>
      </c>
      <c r="J3800" s="7" t="s">
        <v>38</v>
      </c>
      <c r="K3800" s="7" t="n">
        <f aca="false">IFERROR(VALUE(RIGHT(TRIM(F3800),4)),"")</f>
        <v>2018</v>
      </c>
      <c r="L3800" s="7" t="str">
        <f aca="false">IF(TRIM(E3800)="","Unknown",IFERROR(LEFT(TRIM(E3800),FIND(",",TRIM(E3800))-1),TRIM(E3800)))</f>
        <v>United States</v>
      </c>
      <c r="M3800" s="7" t="str">
        <f aca="false">IFERROR(LEFT(J3800,FIND(",",J3800)-1),J3800)</f>
        <v>Comedies</v>
      </c>
      <c r="N3800" s="7" t="n">
        <f aca="false">IF(B3800="Movie",IFERROR(VALUE(LEFT(I3800,FIND(" ",I3800)-1)),""),"")</f>
        <v>87</v>
      </c>
      <c r="O3800" s="7" t="str">
        <f aca="false">IF(B3800="TV Show",IFERROR(VALUE(LEFT(I3800,FIND(" ",I3800)-1)),""),"")</f>
        <v/>
      </c>
      <c r="P3800" s="7" t="n">
        <f aca="false">IF(K3800="","",K3800-G3800)</f>
        <v>1</v>
      </c>
    </row>
    <row r="3801" customFormat="false" ht="15" hidden="false" customHeight="false" outlineLevel="0" collapsed="false">
      <c r="A3801" s="7" t="n">
        <v>80226357</v>
      </c>
      <c r="B3801" s="7" t="s">
        <v>68</v>
      </c>
      <c r="C3801" s="16" t="s">
        <v>7897</v>
      </c>
      <c r="D3801" s="7" t="s">
        <v>7898</v>
      </c>
      <c r="E3801" s="7" t="s">
        <v>32</v>
      </c>
      <c r="F3801" s="7" t="s">
        <v>7896</v>
      </c>
      <c r="G3801" s="7" t="n">
        <v>2017</v>
      </c>
      <c r="H3801" s="7" t="s">
        <v>48</v>
      </c>
      <c r="I3801" s="7" t="s">
        <v>93</v>
      </c>
      <c r="J3801" s="7" t="s">
        <v>182</v>
      </c>
      <c r="K3801" s="7" t="n">
        <f aca="false">IFERROR(VALUE(RIGHT(TRIM(F3801),4)),"")</f>
        <v>2018</v>
      </c>
      <c r="L3801" s="7" t="str">
        <f aca="false">IF(TRIM(E3801)="","Unknown",IFERROR(LEFT(TRIM(E3801),FIND(",",TRIM(E3801))-1),TRIM(E3801)))</f>
        <v>South Korea</v>
      </c>
      <c r="M3801" s="7" t="str">
        <f aca="false">IFERROR(LEFT(J3801,FIND(",",J3801)-1),J3801)</f>
        <v>Dramas</v>
      </c>
      <c r="N3801" s="7" t="n">
        <f aca="false">IF(B3801="Movie",IFERROR(VALUE(LEFT(I3801,FIND(" ",I3801)-1)),""),"")</f>
        <v>110</v>
      </c>
      <c r="O3801" s="7" t="str">
        <f aca="false">IF(B3801="TV Show",IFERROR(VALUE(LEFT(I3801,FIND(" ",I3801)-1)),""),"")</f>
        <v/>
      </c>
      <c r="P3801" s="7" t="n">
        <f aca="false">IF(K3801="","",K3801-G3801)</f>
        <v>1</v>
      </c>
    </row>
    <row r="3802" customFormat="false" ht="15" hidden="false" customHeight="false" outlineLevel="0" collapsed="false">
      <c r="A3802" s="7" t="n">
        <v>80061160</v>
      </c>
      <c r="B3802" s="7" t="s">
        <v>68</v>
      </c>
      <c r="C3802" s="7" t="s">
        <v>7899</v>
      </c>
      <c r="D3802" s="7" t="s">
        <v>7900</v>
      </c>
      <c r="E3802" s="7" t="s">
        <v>918</v>
      </c>
      <c r="F3802" s="7" t="s">
        <v>7901</v>
      </c>
      <c r="G3802" s="7" t="n">
        <v>2015</v>
      </c>
      <c r="H3802" s="7" t="s">
        <v>48</v>
      </c>
      <c r="I3802" s="7" t="s">
        <v>93</v>
      </c>
      <c r="J3802" s="7" t="s">
        <v>39</v>
      </c>
      <c r="K3802" s="7" t="n">
        <f aca="false">IFERROR(VALUE(RIGHT(TRIM(F3802),4)),"")</f>
        <v>2017</v>
      </c>
      <c r="L3802" s="7" t="str">
        <f aca="false">IF(TRIM(E3802)="","Unknown",IFERROR(LEFT(TRIM(E3802),FIND(",",TRIM(E3802))-1),TRIM(E3802)))</f>
        <v>United States</v>
      </c>
      <c r="M3802" s="7" t="str">
        <f aca="false">IFERROR(LEFT(J3802,FIND(",",J3802)-1),J3802)</f>
        <v>Documentaries</v>
      </c>
      <c r="N3802" s="7" t="n">
        <f aca="false">IF(B3802="Movie",IFERROR(VALUE(LEFT(I3802,FIND(" ",I3802)-1)),""),"")</f>
        <v>110</v>
      </c>
      <c r="O3802" s="7" t="str">
        <f aca="false">IF(B3802="TV Show",IFERROR(VALUE(LEFT(I3802,FIND(" ",I3802)-1)),""),"")</f>
        <v/>
      </c>
      <c r="P3802" s="7" t="n">
        <f aca="false">IF(K3802="","",K3802-G3802)</f>
        <v>2</v>
      </c>
    </row>
    <row r="3803" customFormat="false" ht="15" hidden="false" customHeight="false" outlineLevel="0" collapsed="false">
      <c r="A3803" s="7" t="n">
        <v>80133550</v>
      </c>
      <c r="B3803" s="7" t="s">
        <v>68</v>
      </c>
      <c r="C3803" s="7" t="s">
        <v>7902</v>
      </c>
      <c r="D3803" s="7" t="s">
        <v>7903</v>
      </c>
      <c r="E3803" s="7" t="s">
        <v>26</v>
      </c>
      <c r="F3803" s="7" t="s">
        <v>7901</v>
      </c>
      <c r="G3803" s="7" t="n">
        <v>2017</v>
      </c>
      <c r="H3803" s="7" t="s">
        <v>48</v>
      </c>
      <c r="I3803" s="7" t="s">
        <v>861</v>
      </c>
      <c r="J3803" s="7" t="s">
        <v>45</v>
      </c>
      <c r="K3803" s="7" t="n">
        <f aca="false">IFERROR(VALUE(RIGHT(TRIM(F3803),4)),"")</f>
        <v>2017</v>
      </c>
      <c r="L3803" s="7" t="str">
        <f aca="false">IF(TRIM(E3803)="","Unknown",IFERROR(LEFT(TRIM(E3803),FIND(",",TRIM(E3803))-1),TRIM(E3803)))</f>
        <v>United States</v>
      </c>
      <c r="M3803" s="7" t="str">
        <f aca="false">IFERROR(LEFT(J3803,FIND(",",J3803)-1),J3803)</f>
        <v>Stand-Up Comedy</v>
      </c>
      <c r="N3803" s="7" t="n">
        <f aca="false">IF(B3803="Movie",IFERROR(VALUE(LEFT(I3803,FIND(" ",I3803)-1)),""),"")</f>
        <v>71</v>
      </c>
      <c r="O3803" s="7" t="str">
        <f aca="false">IF(B3803="TV Show",IFERROR(VALUE(LEFT(I3803,FIND(" ",I3803)-1)),""),"")</f>
        <v/>
      </c>
      <c r="P3803" s="7" t="n">
        <f aca="false">IF(K3803="","",K3803-G3803)</f>
        <v>0</v>
      </c>
    </row>
    <row r="3804" customFormat="false" ht="15" hidden="false" customHeight="false" outlineLevel="0" collapsed="false">
      <c r="A3804" s="7" t="n">
        <v>80103313</v>
      </c>
      <c r="B3804" s="7" t="s">
        <v>68</v>
      </c>
      <c r="C3804" s="7" t="s">
        <v>7904</v>
      </c>
      <c r="D3804" s="7" t="s">
        <v>7905</v>
      </c>
      <c r="E3804" s="7" t="s">
        <v>1808</v>
      </c>
      <c r="F3804" s="7" t="s">
        <v>7901</v>
      </c>
      <c r="G3804" s="7" t="n">
        <v>2016</v>
      </c>
      <c r="H3804" s="7" t="s">
        <v>48</v>
      </c>
      <c r="I3804" s="7" t="s">
        <v>268</v>
      </c>
      <c r="J3804" s="7" t="s">
        <v>5480</v>
      </c>
      <c r="K3804" s="7" t="n">
        <f aca="false">IFERROR(VALUE(RIGHT(TRIM(F3804),4)),"")</f>
        <v>2017</v>
      </c>
      <c r="L3804" s="7" t="str">
        <f aca="false">IF(TRIM(E3804)="","Unknown",IFERROR(LEFT(TRIM(E3804),FIND(",",TRIM(E3804))-1),TRIM(E3804)))</f>
        <v>United States</v>
      </c>
      <c r="M3804" s="7" t="str">
        <f aca="false">IFERROR(LEFT(J3804,FIND(",",J3804)-1),J3804)</f>
        <v>Dramas</v>
      </c>
      <c r="N3804" s="7" t="n">
        <f aca="false">IF(B3804="Movie",IFERROR(VALUE(LEFT(I3804,FIND(" ",I3804)-1)),""),"")</f>
        <v>108</v>
      </c>
      <c r="O3804" s="7" t="str">
        <f aca="false">IF(B3804="TV Show",IFERROR(VALUE(LEFT(I3804,FIND(" ",I3804)-1)),""),"")</f>
        <v/>
      </c>
      <c r="P3804" s="7" t="n">
        <f aca="false">IF(K3804="","",K3804-G3804)</f>
        <v>1</v>
      </c>
    </row>
    <row r="3805" customFormat="false" ht="15" hidden="false" customHeight="false" outlineLevel="0" collapsed="false">
      <c r="A3805" s="7" t="n">
        <v>80092925</v>
      </c>
      <c r="B3805" s="7" t="s">
        <v>68</v>
      </c>
      <c r="C3805" s="7" t="s">
        <v>7906</v>
      </c>
      <c r="D3805" s="7" t="s">
        <v>4899</v>
      </c>
      <c r="E3805" s="7" t="s">
        <v>1269</v>
      </c>
      <c r="F3805" s="7" t="s">
        <v>7907</v>
      </c>
      <c r="G3805" s="7" t="n">
        <v>2015</v>
      </c>
      <c r="H3805" s="7" t="s">
        <v>49</v>
      </c>
      <c r="I3805" s="7" t="s">
        <v>247</v>
      </c>
      <c r="J3805" s="7" t="s">
        <v>240</v>
      </c>
      <c r="K3805" s="7" t="n">
        <f aca="false">IFERROR(VALUE(RIGHT(TRIM(F3805),4)),"")</f>
        <v>2019</v>
      </c>
      <c r="L3805" s="7" t="str">
        <f aca="false">IF(TRIM(E3805)="","Unknown",IFERROR(LEFT(TRIM(E3805),FIND(",",TRIM(E3805))-1),TRIM(E3805)))</f>
        <v>Philippines</v>
      </c>
      <c r="M3805" s="7" t="str">
        <f aca="false">IFERROR(LEFT(J3805,FIND(",",J3805)-1),J3805)</f>
        <v>Dramas</v>
      </c>
      <c r="N3805" s="7" t="n">
        <f aca="false">IF(B3805="Movie",IFERROR(VALUE(LEFT(I3805,FIND(" ",I3805)-1)),""),"")</f>
        <v>130</v>
      </c>
      <c r="O3805" s="7" t="str">
        <f aca="false">IF(B3805="TV Show",IFERROR(VALUE(LEFT(I3805,FIND(" ",I3805)-1)),""),"")</f>
        <v/>
      </c>
      <c r="P3805" s="7" t="n">
        <f aca="false">IF(K3805="","",K3805-G3805)</f>
        <v>4</v>
      </c>
    </row>
    <row r="3806" customFormat="false" ht="15" hidden="false" customHeight="false" outlineLevel="0" collapsed="false">
      <c r="A3806" s="7" t="n">
        <v>80094723</v>
      </c>
      <c r="B3806" s="7" t="s">
        <v>68</v>
      </c>
      <c r="C3806" s="7" t="s">
        <v>7908</v>
      </c>
      <c r="D3806" s="7" t="s">
        <v>4346</v>
      </c>
      <c r="E3806" s="7" t="s">
        <v>1269</v>
      </c>
      <c r="F3806" s="7" t="s">
        <v>7907</v>
      </c>
      <c r="G3806" s="7" t="n">
        <v>2015</v>
      </c>
      <c r="H3806" s="7" t="s">
        <v>49</v>
      </c>
      <c r="I3806" s="7" t="s">
        <v>519</v>
      </c>
      <c r="J3806" s="7" t="s">
        <v>139</v>
      </c>
      <c r="K3806" s="7" t="n">
        <f aca="false">IFERROR(VALUE(RIGHT(TRIM(F3806),4)),"")</f>
        <v>2019</v>
      </c>
      <c r="L3806" s="7" t="str">
        <f aca="false">IF(TRIM(E3806)="","Unknown",IFERROR(LEFT(TRIM(E3806),FIND(",",TRIM(E3806))-1),TRIM(E3806)))</f>
        <v>Philippines</v>
      </c>
      <c r="M3806" s="7" t="str">
        <f aca="false">IFERROR(LEFT(J3806,FIND(",",J3806)-1),J3806)</f>
        <v>Action &amp; Adventure</v>
      </c>
      <c r="N3806" s="7" t="n">
        <f aca="false">IF(B3806="Movie",IFERROR(VALUE(LEFT(I3806,FIND(" ",I3806)-1)),""),"")</f>
        <v>119</v>
      </c>
      <c r="O3806" s="7" t="str">
        <f aca="false">IF(B3806="TV Show",IFERROR(VALUE(LEFT(I3806,FIND(" ",I3806)-1)),""),"")</f>
        <v/>
      </c>
      <c r="P3806" s="7" t="n">
        <f aca="false">IF(K3806="","",K3806-G3806)</f>
        <v>4</v>
      </c>
    </row>
    <row r="3807" customFormat="false" ht="15" hidden="false" customHeight="false" outlineLevel="0" collapsed="false">
      <c r="A3807" s="7" t="n">
        <v>81010869</v>
      </c>
      <c r="B3807" s="7" t="s">
        <v>68</v>
      </c>
      <c r="C3807" s="7" t="s">
        <v>7909</v>
      </c>
      <c r="D3807" s="7" t="s">
        <v>4401</v>
      </c>
      <c r="E3807" s="7" t="s">
        <v>1269</v>
      </c>
      <c r="F3807" s="7" t="s">
        <v>7907</v>
      </c>
      <c r="G3807" s="7" t="n">
        <v>2014</v>
      </c>
      <c r="H3807" s="7" t="s">
        <v>226</v>
      </c>
      <c r="I3807" s="7" t="s">
        <v>93</v>
      </c>
      <c r="J3807" s="7" t="s">
        <v>206</v>
      </c>
      <c r="K3807" s="7" t="n">
        <f aca="false">IFERROR(VALUE(RIGHT(TRIM(F3807),4)),"")</f>
        <v>2019</v>
      </c>
      <c r="L3807" s="7" t="str">
        <f aca="false">IF(TRIM(E3807)="","Unknown",IFERROR(LEFT(TRIM(E3807),FIND(",",TRIM(E3807))-1),TRIM(E3807)))</f>
        <v>Philippines</v>
      </c>
      <c r="M3807" s="7" t="str">
        <f aca="false">IFERROR(LEFT(J3807,FIND(",",J3807)-1),J3807)</f>
        <v>Comedies</v>
      </c>
      <c r="N3807" s="7" t="n">
        <f aca="false">IF(B3807="Movie",IFERROR(VALUE(LEFT(I3807,FIND(" ",I3807)-1)),""),"")</f>
        <v>110</v>
      </c>
      <c r="O3807" s="7" t="str">
        <f aca="false">IF(B3807="TV Show",IFERROR(VALUE(LEFT(I3807,FIND(" ",I3807)-1)),""),"")</f>
        <v/>
      </c>
      <c r="P3807" s="7" t="n">
        <f aca="false">IF(K3807="","",K3807-G3807)</f>
        <v>5</v>
      </c>
    </row>
    <row r="3808" customFormat="false" ht="15" hidden="false" customHeight="false" outlineLevel="0" collapsed="false">
      <c r="A3808" s="7" t="n">
        <v>80188883</v>
      </c>
      <c r="B3808" s="7" t="s">
        <v>68</v>
      </c>
      <c r="C3808" s="7" t="s">
        <v>7910</v>
      </c>
      <c r="D3808" s="7" t="s">
        <v>4401</v>
      </c>
      <c r="E3808" s="7" t="s">
        <v>1269</v>
      </c>
      <c r="F3808" s="7" t="s">
        <v>7907</v>
      </c>
      <c r="G3808" s="7" t="n">
        <v>2017</v>
      </c>
      <c r="H3808" s="7" t="s">
        <v>49</v>
      </c>
      <c r="I3808" s="7" t="s">
        <v>2551</v>
      </c>
      <c r="J3808" s="7" t="s">
        <v>217</v>
      </c>
      <c r="K3808" s="7" t="n">
        <f aca="false">IFERROR(VALUE(RIGHT(TRIM(F3808),4)),"")</f>
        <v>2019</v>
      </c>
      <c r="L3808" s="7" t="str">
        <f aca="false">IF(TRIM(E3808)="","Unknown",IFERROR(LEFT(TRIM(E3808),FIND(",",TRIM(E3808))-1),TRIM(E3808)))</f>
        <v>Philippines</v>
      </c>
      <c r="M3808" s="7" t="str">
        <f aca="false">IFERROR(LEFT(J3808,FIND(",",J3808)-1),J3808)</f>
        <v>Comedies</v>
      </c>
      <c r="N3808" s="7" t="n">
        <f aca="false">IF(B3808="Movie",IFERROR(VALUE(LEFT(I3808,FIND(" ",I3808)-1)),""),"")</f>
        <v>120</v>
      </c>
      <c r="O3808" s="7" t="str">
        <f aca="false">IF(B3808="TV Show",IFERROR(VALUE(LEFT(I3808,FIND(" ",I3808)-1)),""),"")</f>
        <v/>
      </c>
      <c r="P3808" s="7" t="n">
        <f aca="false">IF(K3808="","",K3808-G3808)</f>
        <v>2</v>
      </c>
    </row>
    <row r="3809" customFormat="false" ht="15" hidden="false" customHeight="false" outlineLevel="0" collapsed="false">
      <c r="A3809" s="7" t="n">
        <v>81045072</v>
      </c>
      <c r="B3809" s="7" t="s">
        <v>68</v>
      </c>
      <c r="C3809" s="7" t="s">
        <v>7911</v>
      </c>
      <c r="D3809" s="7" t="s">
        <v>7912</v>
      </c>
      <c r="E3809" s="7" t="s">
        <v>27</v>
      </c>
      <c r="F3809" s="7" t="s">
        <v>7907</v>
      </c>
      <c r="G3809" s="7" t="n">
        <v>2018</v>
      </c>
      <c r="H3809" s="7" t="s">
        <v>49</v>
      </c>
      <c r="I3809" s="7" t="s">
        <v>181</v>
      </c>
      <c r="J3809" s="7" t="s">
        <v>188</v>
      </c>
      <c r="K3809" s="7" t="n">
        <f aca="false">IFERROR(VALUE(RIGHT(TRIM(F3809),4)),"")</f>
        <v>2019</v>
      </c>
      <c r="L3809" s="7" t="str">
        <f aca="false">IF(TRIM(E3809)="","Unknown",IFERROR(LEFT(TRIM(E3809),FIND(",",TRIM(E3809))-1),TRIM(E3809)))</f>
        <v>India</v>
      </c>
      <c r="M3809" s="7" t="str">
        <f aca="false">IFERROR(LEFT(J3809,FIND(",",J3809)-1),J3809)</f>
        <v>Dramas</v>
      </c>
      <c r="N3809" s="7" t="n">
        <f aca="false">IF(B3809="Movie",IFERROR(VALUE(LEFT(I3809,FIND(" ",I3809)-1)),""),"")</f>
        <v>102</v>
      </c>
      <c r="O3809" s="7" t="str">
        <f aca="false">IF(B3809="TV Show",IFERROR(VALUE(LEFT(I3809,FIND(" ",I3809)-1)),""),"")</f>
        <v/>
      </c>
      <c r="P3809" s="7" t="n">
        <f aca="false">IF(K3809="","",K3809-G3809)</f>
        <v>1</v>
      </c>
    </row>
    <row r="3810" customFormat="false" ht="15" hidden="false" customHeight="false" outlineLevel="0" collapsed="false">
      <c r="A3810" s="7" t="n">
        <v>81010873</v>
      </c>
      <c r="B3810" s="7" t="s">
        <v>68</v>
      </c>
      <c r="C3810" s="7" t="s">
        <v>7913</v>
      </c>
      <c r="D3810" s="7" t="s">
        <v>4899</v>
      </c>
      <c r="E3810" s="7" t="s">
        <v>1269</v>
      </c>
      <c r="F3810" s="7" t="s">
        <v>7907</v>
      </c>
      <c r="G3810" s="7" t="n">
        <v>2013</v>
      </c>
      <c r="H3810" s="7" t="s">
        <v>49</v>
      </c>
      <c r="I3810" s="7" t="s">
        <v>194</v>
      </c>
      <c r="J3810" s="7" t="s">
        <v>217</v>
      </c>
      <c r="K3810" s="7" t="n">
        <f aca="false">IFERROR(VALUE(RIGHT(TRIM(F3810),4)),"")</f>
        <v>2019</v>
      </c>
      <c r="L3810" s="7" t="str">
        <f aca="false">IF(TRIM(E3810)="","Unknown",IFERROR(LEFT(TRIM(E3810),FIND(",",TRIM(E3810))-1),TRIM(E3810)))</f>
        <v>Philippines</v>
      </c>
      <c r="M3810" s="7" t="str">
        <f aca="false">IFERROR(LEFT(J3810,FIND(",",J3810)-1),J3810)</f>
        <v>Comedies</v>
      </c>
      <c r="N3810" s="7" t="n">
        <f aca="false">IF(B3810="Movie",IFERROR(VALUE(LEFT(I3810,FIND(" ",I3810)-1)),""),"")</f>
        <v>125</v>
      </c>
      <c r="O3810" s="7" t="str">
        <f aca="false">IF(B3810="TV Show",IFERROR(VALUE(LEFT(I3810,FIND(" ",I3810)-1)),""),"")</f>
        <v/>
      </c>
      <c r="P3810" s="7" t="n">
        <f aca="false">IF(K3810="","",K3810-G3810)</f>
        <v>6</v>
      </c>
    </row>
    <row r="3811" customFormat="false" ht="15" hidden="false" customHeight="false" outlineLevel="0" collapsed="false">
      <c r="A3811" s="7" t="n">
        <v>81010864</v>
      </c>
      <c r="B3811" s="7" t="s">
        <v>68</v>
      </c>
      <c r="C3811" s="7" t="s">
        <v>7914</v>
      </c>
      <c r="D3811" s="7" t="s">
        <v>4346</v>
      </c>
      <c r="E3811" s="7" t="s">
        <v>1269</v>
      </c>
      <c r="F3811" s="7" t="s">
        <v>7907</v>
      </c>
      <c r="G3811" s="7" t="n">
        <v>2013</v>
      </c>
      <c r="H3811" s="7" t="s">
        <v>49</v>
      </c>
      <c r="I3811" s="7" t="s">
        <v>330</v>
      </c>
      <c r="J3811" s="7" t="s">
        <v>202</v>
      </c>
      <c r="K3811" s="7" t="n">
        <f aca="false">IFERROR(VALUE(RIGHT(TRIM(F3811),4)),"")</f>
        <v>2019</v>
      </c>
      <c r="L3811" s="7" t="str">
        <f aca="false">IF(TRIM(E3811)="","Unknown",IFERROR(LEFT(TRIM(E3811),FIND(",",TRIM(E3811))-1),TRIM(E3811)))</f>
        <v>Philippines</v>
      </c>
      <c r="M3811" s="7" t="str">
        <f aca="false">IFERROR(LEFT(J3811,FIND(",",J3811)-1),J3811)</f>
        <v>Comedies</v>
      </c>
      <c r="N3811" s="7" t="n">
        <f aca="false">IF(B3811="Movie",IFERROR(VALUE(LEFT(I3811,FIND(" ",I3811)-1)),""),"")</f>
        <v>103</v>
      </c>
      <c r="O3811" s="7" t="str">
        <f aca="false">IF(B3811="TV Show",IFERROR(VALUE(LEFT(I3811,FIND(" ",I3811)-1)),""),"")</f>
        <v/>
      </c>
      <c r="P3811" s="7" t="n">
        <f aca="false">IF(K3811="","",K3811-G3811)</f>
        <v>6</v>
      </c>
    </row>
    <row r="3812" customFormat="false" ht="15" hidden="false" customHeight="false" outlineLevel="0" collapsed="false">
      <c r="A3812" s="7" t="n">
        <v>81010866</v>
      </c>
      <c r="B3812" s="7" t="s">
        <v>68</v>
      </c>
      <c r="C3812" s="7" t="s">
        <v>7915</v>
      </c>
      <c r="D3812" s="7" t="s">
        <v>4899</v>
      </c>
      <c r="E3812" s="7" t="s">
        <v>1269</v>
      </c>
      <c r="F3812" s="7" t="s">
        <v>7907</v>
      </c>
      <c r="G3812" s="7" t="n">
        <v>2013</v>
      </c>
      <c r="H3812" s="7" t="s">
        <v>50</v>
      </c>
      <c r="I3812" s="7" t="s">
        <v>378</v>
      </c>
      <c r="J3812" s="7" t="s">
        <v>206</v>
      </c>
      <c r="K3812" s="7" t="n">
        <f aca="false">IFERROR(VALUE(RIGHT(TRIM(F3812),4)),"")</f>
        <v>2019</v>
      </c>
      <c r="L3812" s="7" t="str">
        <f aca="false">IF(TRIM(E3812)="","Unknown",IFERROR(LEFT(TRIM(E3812),FIND(",",TRIM(E3812))-1),TRIM(E3812)))</f>
        <v>Philippines</v>
      </c>
      <c r="M3812" s="7" t="str">
        <f aca="false">IFERROR(LEFT(J3812,FIND(",",J3812)-1),J3812)</f>
        <v>Comedies</v>
      </c>
      <c r="N3812" s="7" t="n">
        <f aca="false">IF(B3812="Movie",IFERROR(VALUE(LEFT(I3812,FIND(" ",I3812)-1)),""),"")</f>
        <v>127</v>
      </c>
      <c r="O3812" s="7" t="str">
        <f aca="false">IF(B3812="TV Show",IFERROR(VALUE(LEFT(I3812,FIND(" ",I3812)-1)),""),"")</f>
        <v/>
      </c>
      <c r="P3812" s="7" t="n">
        <f aca="false">IF(K3812="","",K3812-G3812)</f>
        <v>6</v>
      </c>
    </row>
    <row r="3813" customFormat="false" ht="15" hidden="false" customHeight="false" outlineLevel="0" collapsed="false">
      <c r="A3813" s="7" t="n">
        <v>80175332</v>
      </c>
      <c r="B3813" s="7" t="s">
        <v>68</v>
      </c>
      <c r="C3813" s="7" t="s">
        <v>7916</v>
      </c>
      <c r="D3813" s="7" t="s">
        <v>4899</v>
      </c>
      <c r="E3813" s="7" t="s">
        <v>1269</v>
      </c>
      <c r="F3813" s="7" t="s">
        <v>7907</v>
      </c>
      <c r="G3813" s="7" t="n">
        <v>2017</v>
      </c>
      <c r="H3813" s="7" t="s">
        <v>49</v>
      </c>
      <c r="I3813" s="7" t="s">
        <v>505</v>
      </c>
      <c r="J3813" s="7" t="s">
        <v>240</v>
      </c>
      <c r="K3813" s="7" t="n">
        <f aca="false">IFERROR(VALUE(RIGHT(TRIM(F3813),4)),"")</f>
        <v>2019</v>
      </c>
      <c r="L3813" s="7" t="str">
        <f aca="false">IF(TRIM(E3813)="","Unknown",IFERROR(LEFT(TRIM(E3813),FIND(",",TRIM(E3813))-1),TRIM(E3813)))</f>
        <v>Philippines</v>
      </c>
      <c r="M3813" s="7" t="str">
        <f aca="false">IFERROR(LEFT(J3813,FIND(",",J3813)-1),J3813)</f>
        <v>Dramas</v>
      </c>
      <c r="N3813" s="7" t="n">
        <f aca="false">IF(B3813="Movie",IFERROR(VALUE(LEFT(I3813,FIND(" ",I3813)-1)),""),"")</f>
        <v>121</v>
      </c>
      <c r="O3813" s="7" t="str">
        <f aca="false">IF(B3813="TV Show",IFERROR(VALUE(LEFT(I3813,FIND(" ",I3813)-1)),""),"")</f>
        <v/>
      </c>
      <c r="P3813" s="7" t="n">
        <f aca="false">IF(K3813="","",K3813-G3813)</f>
        <v>2</v>
      </c>
    </row>
    <row r="3814" customFormat="false" ht="15" hidden="false" customHeight="false" outlineLevel="0" collapsed="false">
      <c r="A3814" s="7" t="n">
        <v>81047510</v>
      </c>
      <c r="B3814" s="7" t="s">
        <v>68</v>
      </c>
      <c r="C3814" s="7" t="s">
        <v>7917</v>
      </c>
      <c r="D3814" s="7" t="s">
        <v>7918</v>
      </c>
      <c r="E3814" s="7" t="s">
        <v>1178</v>
      </c>
      <c r="F3814" s="7" t="s">
        <v>7907</v>
      </c>
      <c r="G3814" s="7" t="n">
        <v>2018</v>
      </c>
      <c r="H3814" s="7" t="s">
        <v>50</v>
      </c>
      <c r="I3814" s="7" t="s">
        <v>512</v>
      </c>
      <c r="J3814" s="7" t="s">
        <v>304</v>
      </c>
      <c r="K3814" s="7" t="n">
        <f aca="false">IFERROR(VALUE(RIGHT(TRIM(F3814),4)),"")</f>
        <v>2019</v>
      </c>
      <c r="L3814" s="7" t="str">
        <f aca="false">IF(TRIM(E3814)="","Unknown",IFERROR(LEFT(TRIM(E3814),FIND(",",TRIM(E3814))-1),TRIM(E3814)))</f>
        <v>Malaysia</v>
      </c>
      <c r="M3814" s="7" t="str">
        <f aca="false">IFERROR(LEFT(J3814,FIND(",",J3814)-1),J3814)</f>
        <v>Dramas</v>
      </c>
      <c r="N3814" s="7" t="n">
        <f aca="false">IF(B3814="Movie",IFERROR(VALUE(LEFT(I3814,FIND(" ",I3814)-1)),""),"")</f>
        <v>101</v>
      </c>
      <c r="O3814" s="7" t="str">
        <f aca="false">IF(B3814="TV Show",IFERROR(VALUE(LEFT(I3814,FIND(" ",I3814)-1)),""),"")</f>
        <v/>
      </c>
      <c r="P3814" s="7" t="n">
        <f aca="false">IF(K3814="","",K3814-G3814)</f>
        <v>1</v>
      </c>
    </row>
    <row r="3815" customFormat="false" ht="15" hidden="false" customHeight="false" outlineLevel="0" collapsed="false">
      <c r="A3815" s="7" t="n">
        <v>80011541</v>
      </c>
      <c r="B3815" s="7" t="s">
        <v>68</v>
      </c>
      <c r="C3815" s="7" t="s">
        <v>7919</v>
      </c>
      <c r="D3815" s="7" t="s">
        <v>4899</v>
      </c>
      <c r="E3815" s="7" t="s">
        <v>1269</v>
      </c>
      <c r="F3815" s="7" t="s">
        <v>7907</v>
      </c>
      <c r="G3815" s="7" t="n">
        <v>2014</v>
      </c>
      <c r="H3815" s="7" t="s">
        <v>50</v>
      </c>
      <c r="I3815" s="7" t="s">
        <v>146</v>
      </c>
      <c r="J3815" s="7" t="s">
        <v>240</v>
      </c>
      <c r="K3815" s="7" t="n">
        <f aca="false">IFERROR(VALUE(RIGHT(TRIM(F3815),4)),"")</f>
        <v>2019</v>
      </c>
      <c r="L3815" s="7" t="str">
        <f aca="false">IF(TRIM(E3815)="","Unknown",IFERROR(LEFT(TRIM(E3815),FIND(",",TRIM(E3815))-1),TRIM(E3815)))</f>
        <v>Philippines</v>
      </c>
      <c r="M3815" s="7" t="str">
        <f aca="false">IFERROR(LEFT(J3815,FIND(",",J3815)-1),J3815)</f>
        <v>Dramas</v>
      </c>
      <c r="N3815" s="7" t="n">
        <f aca="false">IF(B3815="Movie",IFERROR(VALUE(LEFT(I3815,FIND(" ",I3815)-1)),""),"")</f>
        <v>113</v>
      </c>
      <c r="O3815" s="7" t="str">
        <f aca="false">IF(B3815="TV Show",IFERROR(VALUE(LEFT(I3815,FIND(" ",I3815)-1)),""),"")</f>
        <v/>
      </c>
      <c r="P3815" s="7" t="n">
        <f aca="false">IF(K3815="","",K3815-G3815)</f>
        <v>5</v>
      </c>
    </row>
    <row r="3816" customFormat="false" ht="15" hidden="false" customHeight="false" outlineLevel="0" collapsed="false">
      <c r="A3816" s="7" t="n">
        <v>80065327</v>
      </c>
      <c r="B3816" s="7" t="s">
        <v>68</v>
      </c>
      <c r="C3816" s="7" t="s">
        <v>7920</v>
      </c>
      <c r="D3816" s="7" t="s">
        <v>7281</v>
      </c>
      <c r="E3816" s="7" t="s">
        <v>1269</v>
      </c>
      <c r="F3816" s="7" t="s">
        <v>7907</v>
      </c>
      <c r="G3816" s="7" t="n">
        <v>2015</v>
      </c>
      <c r="H3816" s="7" t="s">
        <v>49</v>
      </c>
      <c r="I3816" s="7" t="s">
        <v>1270</v>
      </c>
      <c r="J3816" s="7" t="s">
        <v>240</v>
      </c>
      <c r="K3816" s="7" t="n">
        <f aca="false">IFERROR(VALUE(RIGHT(TRIM(F3816),4)),"")</f>
        <v>2019</v>
      </c>
      <c r="L3816" s="7" t="str">
        <f aca="false">IF(TRIM(E3816)="","Unknown",IFERROR(LEFT(TRIM(E3816),FIND(",",TRIM(E3816))-1),TRIM(E3816)))</f>
        <v>Philippines</v>
      </c>
      <c r="M3816" s="7" t="str">
        <f aca="false">IFERROR(LEFT(J3816,FIND(",",J3816)-1),J3816)</f>
        <v>Dramas</v>
      </c>
      <c r="N3816" s="7" t="n">
        <f aca="false">IF(B3816="Movie",IFERROR(VALUE(LEFT(I3816,FIND(" ",I3816)-1)),""),"")</f>
        <v>118</v>
      </c>
      <c r="O3816" s="7" t="str">
        <f aca="false">IF(B3816="TV Show",IFERROR(VALUE(LEFT(I3816,FIND(" ",I3816)-1)),""),"")</f>
        <v/>
      </c>
      <c r="P3816" s="7" t="n">
        <f aca="false">IF(K3816="","",K3816-G3816)</f>
        <v>4</v>
      </c>
    </row>
    <row r="3817" customFormat="false" ht="15" hidden="false" customHeight="false" outlineLevel="0" collapsed="false">
      <c r="A3817" s="7" t="n">
        <v>81010872</v>
      </c>
      <c r="B3817" s="7" t="s">
        <v>68</v>
      </c>
      <c r="C3817" s="7" t="s">
        <v>7921</v>
      </c>
      <c r="D3817" s="7" t="s">
        <v>4348</v>
      </c>
      <c r="E3817" s="7" t="s">
        <v>1269</v>
      </c>
      <c r="F3817" s="7" t="s">
        <v>7907</v>
      </c>
      <c r="G3817" s="7" t="n">
        <v>2012</v>
      </c>
      <c r="H3817" s="7" t="s">
        <v>49</v>
      </c>
      <c r="I3817" s="7" t="s">
        <v>755</v>
      </c>
      <c r="J3817" s="7" t="s">
        <v>240</v>
      </c>
      <c r="K3817" s="7" t="n">
        <f aca="false">IFERROR(VALUE(RIGHT(TRIM(F3817),4)),"")</f>
        <v>2019</v>
      </c>
      <c r="L3817" s="7" t="str">
        <f aca="false">IF(TRIM(E3817)="","Unknown",IFERROR(LEFT(TRIM(E3817),FIND(",",TRIM(E3817))-1),TRIM(E3817)))</f>
        <v>Philippines</v>
      </c>
      <c r="M3817" s="7" t="str">
        <f aca="false">IFERROR(LEFT(J3817,FIND(",",J3817)-1),J3817)</f>
        <v>Dramas</v>
      </c>
      <c r="N3817" s="7" t="n">
        <f aca="false">IF(B3817="Movie",IFERROR(VALUE(LEFT(I3817,FIND(" ",I3817)-1)),""),"")</f>
        <v>132</v>
      </c>
      <c r="O3817" s="7" t="str">
        <f aca="false">IF(B3817="TV Show",IFERROR(VALUE(LEFT(I3817,FIND(" ",I3817)-1)),""),"")</f>
        <v/>
      </c>
      <c r="P3817" s="7" t="n">
        <f aca="false">IF(K3817="","",K3817-G3817)</f>
        <v>7</v>
      </c>
    </row>
    <row r="3818" customFormat="false" ht="15" hidden="false" customHeight="false" outlineLevel="0" collapsed="false">
      <c r="A3818" s="7" t="n">
        <v>70123648</v>
      </c>
      <c r="B3818" s="7" t="s">
        <v>68</v>
      </c>
      <c r="C3818" s="7" t="s">
        <v>7922</v>
      </c>
      <c r="D3818" s="7" t="s">
        <v>4346</v>
      </c>
      <c r="E3818" s="7" t="s">
        <v>1269</v>
      </c>
      <c r="F3818" s="7" t="s">
        <v>7907</v>
      </c>
      <c r="G3818" s="7" t="n">
        <v>2008</v>
      </c>
      <c r="H3818" s="7" t="s">
        <v>50</v>
      </c>
      <c r="I3818" s="7" t="s">
        <v>173</v>
      </c>
      <c r="J3818" s="7" t="s">
        <v>202</v>
      </c>
      <c r="K3818" s="7" t="n">
        <f aca="false">IFERROR(VALUE(RIGHT(TRIM(F3818),4)),"")</f>
        <v>2019</v>
      </c>
      <c r="L3818" s="7" t="str">
        <f aca="false">IF(TRIM(E3818)="","Unknown",IFERROR(LEFT(TRIM(E3818),FIND(",",TRIM(E3818))-1),TRIM(E3818)))</f>
        <v>Philippines</v>
      </c>
      <c r="M3818" s="7" t="str">
        <f aca="false">IFERROR(LEFT(J3818,FIND(",",J3818)-1),J3818)</f>
        <v>Comedies</v>
      </c>
      <c r="N3818" s="7" t="n">
        <f aca="false">IF(B3818="Movie",IFERROR(VALUE(LEFT(I3818,FIND(" ",I3818)-1)),""),"")</f>
        <v>106</v>
      </c>
      <c r="O3818" s="7" t="str">
        <f aca="false">IF(B3818="TV Show",IFERROR(VALUE(LEFT(I3818,FIND(" ",I3818)-1)),""),"")</f>
        <v/>
      </c>
      <c r="P3818" s="7" t="n">
        <f aca="false">IF(K3818="","",K3818-G3818)</f>
        <v>11</v>
      </c>
    </row>
    <row r="3819" customFormat="false" ht="15" hidden="false" customHeight="false" outlineLevel="0" collapsed="false">
      <c r="A3819" s="7" t="n">
        <v>80177416</v>
      </c>
      <c r="B3819" s="7" t="s">
        <v>78</v>
      </c>
      <c r="C3819" s="7" t="s">
        <v>7923</v>
      </c>
      <c r="E3819" s="7" t="s">
        <v>26</v>
      </c>
      <c r="F3819" s="7" t="s">
        <v>7907</v>
      </c>
      <c r="G3819" s="7" t="n">
        <v>2018</v>
      </c>
      <c r="H3819" s="7" t="s">
        <v>48</v>
      </c>
      <c r="I3819" s="7" t="s">
        <v>82</v>
      </c>
      <c r="J3819" s="7" t="s">
        <v>834</v>
      </c>
      <c r="K3819" s="7" t="n">
        <f aca="false">IFERROR(VALUE(RIGHT(TRIM(F3819),4)),"")</f>
        <v>2019</v>
      </c>
      <c r="L3819" s="7" t="str">
        <f aca="false">IF(TRIM(E3819)="","Unknown",IFERROR(LEFT(TRIM(E3819),FIND(",",TRIM(E3819))-1),TRIM(E3819)))</f>
        <v>United States</v>
      </c>
      <c r="M3819" s="7" t="str">
        <f aca="false">IFERROR(LEFT(J3819,FIND(",",J3819)-1),J3819)</f>
        <v>Crime TV Shows</v>
      </c>
      <c r="N3819" s="7" t="str">
        <f aca="false">IF(B3819="Movie",IFERROR(VALUE(LEFT(I3819,FIND(" ",I3819)-1)),""),"")</f>
        <v/>
      </c>
      <c r="O3819" s="7" t="n">
        <f aca="false">IF(B3819="TV Show",IFERROR(VALUE(LEFT(I3819,FIND(" ",I3819)-1)),""),"")</f>
        <v>1</v>
      </c>
      <c r="P3819" s="7" t="n">
        <f aca="false">IF(K3819="","",K3819-G3819)</f>
        <v>1</v>
      </c>
    </row>
    <row r="3820" customFormat="false" ht="15" hidden="false" customHeight="false" outlineLevel="0" collapsed="false">
      <c r="A3820" s="7" t="n">
        <v>70127628</v>
      </c>
      <c r="B3820" s="7" t="s">
        <v>68</v>
      </c>
      <c r="C3820" s="7" t="s">
        <v>7924</v>
      </c>
      <c r="D3820" s="7" t="s">
        <v>4899</v>
      </c>
      <c r="E3820" s="7" t="s">
        <v>1269</v>
      </c>
      <c r="F3820" s="7" t="s">
        <v>7907</v>
      </c>
      <c r="G3820" s="7" t="n">
        <v>2009</v>
      </c>
      <c r="H3820" s="7" t="s">
        <v>50</v>
      </c>
      <c r="I3820" s="7" t="s">
        <v>237</v>
      </c>
      <c r="J3820" s="7" t="s">
        <v>217</v>
      </c>
      <c r="K3820" s="7" t="n">
        <f aca="false">IFERROR(VALUE(RIGHT(TRIM(F3820),4)),"")</f>
        <v>2019</v>
      </c>
      <c r="L3820" s="7" t="str">
        <f aca="false">IF(TRIM(E3820)="","Unknown",IFERROR(LEFT(TRIM(E3820),FIND(",",TRIM(E3820))-1),TRIM(E3820)))</f>
        <v>Philippines</v>
      </c>
      <c r="M3820" s="7" t="str">
        <f aca="false">IFERROR(LEFT(J3820,FIND(",",J3820)-1),J3820)</f>
        <v>Comedies</v>
      </c>
      <c r="N3820" s="7" t="n">
        <f aca="false">IF(B3820="Movie",IFERROR(VALUE(LEFT(I3820,FIND(" ",I3820)-1)),""),"")</f>
        <v>116</v>
      </c>
      <c r="O3820" s="7" t="str">
        <f aca="false">IF(B3820="TV Show",IFERROR(VALUE(LEFT(I3820,FIND(" ",I3820)-1)),""),"")</f>
        <v/>
      </c>
      <c r="P3820" s="7" t="n">
        <f aca="false">IF(K3820="","",K3820-G3820)</f>
        <v>10</v>
      </c>
    </row>
    <row r="3821" customFormat="false" ht="15" hidden="false" customHeight="false" outlineLevel="0" collapsed="false">
      <c r="A3821" s="7" t="n">
        <v>80050106</v>
      </c>
      <c r="B3821" s="7" t="s">
        <v>68</v>
      </c>
      <c r="C3821" s="7" t="s">
        <v>7925</v>
      </c>
      <c r="D3821" s="7" t="s">
        <v>4350</v>
      </c>
      <c r="E3821" s="7" t="s">
        <v>1269</v>
      </c>
      <c r="F3821" s="7" t="s">
        <v>7907</v>
      </c>
      <c r="G3821" s="7" t="n">
        <v>2015</v>
      </c>
      <c r="H3821" s="7" t="s">
        <v>50</v>
      </c>
      <c r="I3821" s="7" t="s">
        <v>386</v>
      </c>
      <c r="J3821" s="7" t="s">
        <v>206</v>
      </c>
      <c r="K3821" s="7" t="n">
        <f aca="false">IFERROR(VALUE(RIGHT(TRIM(F3821),4)),"")</f>
        <v>2019</v>
      </c>
      <c r="L3821" s="7" t="str">
        <f aca="false">IF(TRIM(E3821)="","Unknown",IFERROR(LEFT(TRIM(E3821),FIND(",",TRIM(E3821))-1),TRIM(E3821)))</f>
        <v>Philippines</v>
      </c>
      <c r="M3821" s="7" t="str">
        <f aca="false">IFERROR(LEFT(J3821,FIND(",",J3821)-1),J3821)</f>
        <v>Comedies</v>
      </c>
      <c r="N3821" s="7" t="n">
        <f aca="false">IF(B3821="Movie",IFERROR(VALUE(LEFT(I3821,FIND(" ",I3821)-1)),""),"")</f>
        <v>117</v>
      </c>
      <c r="O3821" s="7" t="str">
        <f aca="false">IF(B3821="TV Show",IFERROR(VALUE(LEFT(I3821,FIND(" ",I3821)-1)),""),"")</f>
        <v/>
      </c>
      <c r="P3821" s="7" t="n">
        <f aca="false">IF(K3821="","",K3821-G3821)</f>
        <v>4</v>
      </c>
    </row>
    <row r="3822" customFormat="false" ht="15" hidden="false" customHeight="false" outlineLevel="0" collapsed="false">
      <c r="A3822" s="7" t="n">
        <v>80220000</v>
      </c>
      <c r="B3822" s="7" t="s">
        <v>68</v>
      </c>
      <c r="C3822" s="7" t="s">
        <v>7926</v>
      </c>
      <c r="E3822" s="7" t="s">
        <v>28</v>
      </c>
      <c r="F3822" s="7" t="s">
        <v>7927</v>
      </c>
      <c r="G3822" s="7" t="n">
        <v>2018</v>
      </c>
      <c r="H3822" s="7" t="s">
        <v>48</v>
      </c>
      <c r="I3822" s="7" t="s">
        <v>628</v>
      </c>
      <c r="J3822" s="7" t="s">
        <v>10</v>
      </c>
      <c r="K3822" s="7" t="n">
        <f aca="false">IFERROR(VALUE(RIGHT(TRIM(F3822),4)),"")</f>
        <v>2018</v>
      </c>
      <c r="L3822" s="7" t="str">
        <f aca="false">IF(TRIM(E3822)="","Unknown",IFERROR(LEFT(TRIM(E3822),FIND(",",TRIM(E3822))-1),TRIM(E3822)))</f>
        <v>United Kingdom</v>
      </c>
      <c r="M3822" s="7" t="str">
        <f aca="false">IFERROR(LEFT(J3822,FIND(",",J3822)-1),J3822)</f>
        <v>Movies</v>
      </c>
      <c r="N3822" s="7" t="n">
        <f aca="false">IF(B3822="Movie",IFERROR(VALUE(LEFT(I3822,FIND(" ",I3822)-1)),""),"")</f>
        <v>69</v>
      </c>
      <c r="O3822" s="7" t="str">
        <f aca="false">IF(B3822="TV Show",IFERROR(VALUE(LEFT(I3822,FIND(" ",I3822)-1)),""),"")</f>
        <v/>
      </c>
      <c r="P3822" s="7" t="n">
        <f aca="false">IF(K3822="","",K3822-G3822)</f>
        <v>0</v>
      </c>
    </row>
    <row r="3823" customFormat="false" ht="15" hidden="false" customHeight="false" outlineLevel="0" collapsed="false">
      <c r="A3823" s="7" t="n">
        <v>80134779</v>
      </c>
      <c r="B3823" s="7" t="s">
        <v>68</v>
      </c>
      <c r="C3823" s="7" t="s">
        <v>7928</v>
      </c>
      <c r="D3823" s="7" t="s">
        <v>2518</v>
      </c>
      <c r="E3823" s="7" t="s">
        <v>26</v>
      </c>
      <c r="F3823" s="7" t="s">
        <v>7927</v>
      </c>
      <c r="G3823" s="7" t="n">
        <v>2018</v>
      </c>
      <c r="H3823" s="7" t="s">
        <v>48</v>
      </c>
      <c r="I3823" s="7" t="s">
        <v>876</v>
      </c>
      <c r="J3823" s="7" t="s">
        <v>45</v>
      </c>
      <c r="K3823" s="7" t="n">
        <f aca="false">IFERROR(VALUE(RIGHT(TRIM(F3823),4)),"")</f>
        <v>2018</v>
      </c>
      <c r="L3823" s="7" t="str">
        <f aca="false">IF(TRIM(E3823)="","Unknown",IFERROR(LEFT(TRIM(E3823),FIND(",",TRIM(E3823))-1),TRIM(E3823)))</f>
        <v>United States</v>
      </c>
      <c r="M3823" s="7" t="str">
        <f aca="false">IFERROR(LEFT(J3823,FIND(",",J3823)-1),J3823)</f>
        <v>Stand-Up Comedy</v>
      </c>
      <c r="N3823" s="7" t="n">
        <f aca="false">IF(B3823="Movie",IFERROR(VALUE(LEFT(I3823,FIND(" ",I3823)-1)),""),"")</f>
        <v>67</v>
      </c>
      <c r="O3823" s="7" t="str">
        <f aca="false">IF(B3823="TV Show",IFERROR(VALUE(LEFT(I3823,FIND(" ",I3823)-1)),""),"")</f>
        <v/>
      </c>
      <c r="P3823" s="7" t="n">
        <f aca="false">IF(K3823="","",K3823-G3823)</f>
        <v>0</v>
      </c>
    </row>
    <row r="3824" customFormat="false" ht="15" hidden="false" customHeight="false" outlineLevel="0" collapsed="false">
      <c r="A3824" s="7" t="n">
        <v>80159955</v>
      </c>
      <c r="B3824" s="7" t="s">
        <v>68</v>
      </c>
      <c r="C3824" s="7" t="s">
        <v>7929</v>
      </c>
      <c r="D3824" s="7" t="s">
        <v>7930</v>
      </c>
      <c r="E3824" s="7" t="s">
        <v>27</v>
      </c>
      <c r="F3824" s="7" t="s">
        <v>7931</v>
      </c>
      <c r="G3824" s="7" t="n">
        <v>2016</v>
      </c>
      <c r="H3824" s="7" t="s">
        <v>48</v>
      </c>
      <c r="I3824" s="7" t="s">
        <v>869</v>
      </c>
      <c r="J3824" s="7" t="s">
        <v>322</v>
      </c>
      <c r="K3824" s="7" t="n">
        <f aca="false">IFERROR(VALUE(RIGHT(TRIM(F3824),4)),"")</f>
        <v>2017</v>
      </c>
      <c r="L3824" s="7" t="str">
        <f aca="false">IF(TRIM(E3824)="","Unknown",IFERROR(LEFT(TRIM(E3824),FIND(",",TRIM(E3824))-1),TRIM(E3824)))</f>
        <v>India</v>
      </c>
      <c r="M3824" s="7" t="str">
        <f aca="false">IFERROR(LEFT(J3824,FIND(",",J3824)-1),J3824)</f>
        <v>Action &amp; Adventure</v>
      </c>
      <c r="N3824" s="7" t="n">
        <f aca="false">IF(B3824="Movie",IFERROR(VALUE(LEFT(I3824,FIND(" ",I3824)-1)),""),"")</f>
        <v>123</v>
      </c>
      <c r="O3824" s="7" t="str">
        <f aca="false">IF(B3824="TV Show",IFERROR(VALUE(LEFT(I3824,FIND(" ",I3824)-1)),""),"")</f>
        <v/>
      </c>
      <c r="P3824" s="7" t="n">
        <f aca="false">IF(K3824="","",K3824-G3824)</f>
        <v>1</v>
      </c>
    </row>
    <row r="3825" customFormat="false" ht="15" hidden="false" customHeight="false" outlineLevel="0" collapsed="false">
      <c r="A3825" s="7" t="n">
        <v>80013282</v>
      </c>
      <c r="B3825" s="7" t="s">
        <v>68</v>
      </c>
      <c r="C3825" s="7" t="s">
        <v>7932</v>
      </c>
      <c r="D3825" s="7" t="s">
        <v>7163</v>
      </c>
      <c r="E3825" s="7" t="s">
        <v>26</v>
      </c>
      <c r="F3825" s="7" t="s">
        <v>7933</v>
      </c>
      <c r="G3825" s="7" t="n">
        <v>2015</v>
      </c>
      <c r="H3825" s="7" t="s">
        <v>48</v>
      </c>
      <c r="I3825" s="7" t="s">
        <v>524</v>
      </c>
      <c r="J3825" s="7" t="s">
        <v>45</v>
      </c>
      <c r="K3825" s="7" t="n">
        <f aca="false">IFERROR(VALUE(RIGHT(TRIM(F3825),4)),"")</f>
        <v>2015</v>
      </c>
      <c r="L3825" s="7" t="str">
        <f aca="false">IF(TRIM(E3825)="","Unknown",IFERROR(LEFT(TRIM(E3825),FIND(",",TRIM(E3825))-1),TRIM(E3825)))</f>
        <v>United States</v>
      </c>
      <c r="M3825" s="7" t="str">
        <f aca="false">IFERROR(LEFT(J3825,FIND(",",J3825)-1),J3825)</f>
        <v>Stand-Up Comedy</v>
      </c>
      <c r="N3825" s="7" t="n">
        <f aca="false">IF(B3825="Movie",IFERROR(VALUE(LEFT(I3825,FIND(" ",I3825)-1)),""),"")</f>
        <v>83</v>
      </c>
      <c r="O3825" s="7" t="str">
        <f aca="false">IF(B3825="TV Show",IFERROR(VALUE(LEFT(I3825,FIND(" ",I3825)-1)),""),"")</f>
        <v/>
      </c>
      <c r="P3825" s="7" t="n">
        <f aca="false">IF(K3825="","",K3825-G3825)</f>
        <v>0</v>
      </c>
    </row>
    <row r="3826" customFormat="false" ht="15" hidden="false" customHeight="false" outlineLevel="0" collapsed="false">
      <c r="A3826" s="7" t="n">
        <v>70167133</v>
      </c>
      <c r="B3826" s="7" t="s">
        <v>68</v>
      </c>
      <c r="C3826" s="7" t="s">
        <v>7934</v>
      </c>
      <c r="D3826" s="7" t="s">
        <v>7935</v>
      </c>
      <c r="E3826" s="7" t="s">
        <v>26</v>
      </c>
      <c r="F3826" s="7" t="s">
        <v>7936</v>
      </c>
      <c r="G3826" s="7" t="n">
        <v>2011</v>
      </c>
      <c r="H3826" s="7" t="s">
        <v>51</v>
      </c>
      <c r="I3826" s="7" t="s">
        <v>73</v>
      </c>
      <c r="J3826" s="7" t="s">
        <v>198</v>
      </c>
      <c r="K3826" s="7" t="n">
        <f aca="false">IFERROR(VALUE(RIGHT(TRIM(F3826),4)),"")</f>
        <v>2019</v>
      </c>
      <c r="L3826" s="7" t="str">
        <f aca="false">IF(TRIM(E3826)="","Unknown",IFERROR(LEFT(TRIM(E3826),FIND(",",TRIM(E3826))-1),TRIM(E3826)))</f>
        <v>United States</v>
      </c>
      <c r="M3826" s="7" t="str">
        <f aca="false">IFERROR(LEFT(J3826,FIND(",",J3826)-1),J3826)</f>
        <v>Comedies</v>
      </c>
      <c r="N3826" s="7" t="n">
        <f aca="false">IF(B3826="Movie",IFERROR(VALUE(LEFT(I3826,FIND(" ",I3826)-1)),""),"")</f>
        <v>90</v>
      </c>
      <c r="O3826" s="7" t="str">
        <f aca="false">IF(B3826="TV Show",IFERROR(VALUE(LEFT(I3826,FIND(" ",I3826)-1)),""),"")</f>
        <v/>
      </c>
      <c r="P3826" s="7" t="n">
        <f aca="false">IF(K3826="","",K3826-G3826)</f>
        <v>8</v>
      </c>
    </row>
    <row r="3827" customFormat="false" ht="15" hidden="false" customHeight="false" outlineLevel="0" collapsed="false">
      <c r="A3827" s="7" t="n">
        <v>70039645</v>
      </c>
      <c r="B3827" s="7" t="s">
        <v>68</v>
      </c>
      <c r="C3827" s="7" t="s">
        <v>7937</v>
      </c>
      <c r="D3827" s="7" t="s">
        <v>7938</v>
      </c>
      <c r="E3827" s="7" t="s">
        <v>26</v>
      </c>
      <c r="F3827" s="7" t="s">
        <v>7936</v>
      </c>
      <c r="G3827" s="7" t="n">
        <v>2006</v>
      </c>
      <c r="H3827" s="7" t="s">
        <v>48</v>
      </c>
      <c r="I3827" s="7" t="s">
        <v>123</v>
      </c>
      <c r="J3827" s="7" t="s">
        <v>45</v>
      </c>
      <c r="K3827" s="7" t="n">
        <f aca="false">IFERROR(VALUE(RIGHT(TRIM(F3827),4)),"")</f>
        <v>2019</v>
      </c>
      <c r="L3827" s="7" t="str">
        <f aca="false">IF(TRIM(E3827)="","Unknown",IFERROR(LEFT(TRIM(E3827),FIND(",",TRIM(E3827))-1),TRIM(E3827)))</f>
        <v>United States</v>
      </c>
      <c r="M3827" s="7" t="str">
        <f aca="false">IFERROR(LEFT(J3827,FIND(",",J3827)-1),J3827)</f>
        <v>Stand-Up Comedy</v>
      </c>
      <c r="N3827" s="7" t="n">
        <f aca="false">IF(B3827="Movie",IFERROR(VALUE(LEFT(I3827,FIND(" ",I3827)-1)),""),"")</f>
        <v>61</v>
      </c>
      <c r="O3827" s="7" t="str">
        <f aca="false">IF(B3827="TV Show",IFERROR(VALUE(LEFT(I3827,FIND(" ",I3827)-1)),""),"")</f>
        <v/>
      </c>
      <c r="P3827" s="7" t="n">
        <f aca="false">IF(K3827="","",K3827-G3827)</f>
        <v>13</v>
      </c>
    </row>
    <row r="3828" customFormat="false" ht="15" hidden="false" customHeight="false" outlineLevel="0" collapsed="false">
      <c r="A3828" s="7" t="n">
        <v>80214583</v>
      </c>
      <c r="B3828" s="7" t="s">
        <v>68</v>
      </c>
      <c r="C3828" s="7" t="s">
        <v>7904</v>
      </c>
      <c r="D3828" s="7" t="s">
        <v>7939</v>
      </c>
      <c r="E3828" s="7" t="s">
        <v>26</v>
      </c>
      <c r="F3828" s="7" t="s">
        <v>7940</v>
      </c>
      <c r="G3828" s="7" t="n">
        <v>2017</v>
      </c>
      <c r="H3828" s="7" t="s">
        <v>48</v>
      </c>
      <c r="I3828" s="7" t="s">
        <v>311</v>
      </c>
      <c r="J3828" s="7" t="s">
        <v>2761</v>
      </c>
      <c r="K3828" s="7" t="n">
        <f aca="false">IFERROR(VALUE(RIGHT(TRIM(F3828),4)),"")</f>
        <v>2018</v>
      </c>
      <c r="L3828" s="7" t="str">
        <f aca="false">IF(TRIM(E3828)="","Unknown",IFERROR(LEFT(TRIM(E3828),FIND(",",TRIM(E3828))-1),TRIM(E3828)))</f>
        <v>United States</v>
      </c>
      <c r="M3828" s="7" t="str">
        <f aca="false">IFERROR(LEFT(J3828,FIND(",",J3828)-1),J3828)</f>
        <v>Comedies</v>
      </c>
      <c r="N3828" s="7" t="n">
        <f aca="false">IF(B3828="Movie",IFERROR(VALUE(LEFT(I3828,FIND(" ",I3828)-1)),""),"")</f>
        <v>92</v>
      </c>
      <c r="O3828" s="7" t="str">
        <f aca="false">IF(B3828="TV Show",IFERROR(VALUE(LEFT(I3828,FIND(" ",I3828)-1)),""),"")</f>
        <v/>
      </c>
      <c r="P3828" s="7" t="n">
        <f aca="false">IF(K3828="","",K3828-G3828)</f>
        <v>1</v>
      </c>
    </row>
    <row r="3829" customFormat="false" ht="15" hidden="false" customHeight="false" outlineLevel="0" collapsed="false">
      <c r="A3829" s="7" t="n">
        <v>80213299</v>
      </c>
      <c r="B3829" s="7" t="s">
        <v>68</v>
      </c>
      <c r="C3829" s="7" t="s">
        <v>7941</v>
      </c>
      <c r="D3829" s="7" t="s">
        <v>7942</v>
      </c>
      <c r="E3829" s="7" t="s">
        <v>26</v>
      </c>
      <c r="F3829" s="7" t="s">
        <v>7940</v>
      </c>
      <c r="G3829" s="7" t="n">
        <v>2017</v>
      </c>
      <c r="H3829" s="7" t="s">
        <v>48</v>
      </c>
      <c r="I3829" s="7" t="s">
        <v>138</v>
      </c>
      <c r="J3829" s="7" t="s">
        <v>150</v>
      </c>
      <c r="K3829" s="7" t="n">
        <f aca="false">IFERROR(VALUE(RIGHT(TRIM(F3829),4)),"")</f>
        <v>2018</v>
      </c>
      <c r="L3829" s="7" t="str">
        <f aca="false">IF(TRIM(E3829)="","Unknown",IFERROR(LEFT(TRIM(E3829),FIND(",",TRIM(E3829))-1),TRIM(E3829)))</f>
        <v>United States</v>
      </c>
      <c r="M3829" s="7" t="str">
        <f aca="false">IFERROR(LEFT(J3829,FIND(",",J3829)-1),J3829)</f>
        <v>Dramas</v>
      </c>
      <c r="N3829" s="7" t="n">
        <f aca="false">IF(B3829="Movie",IFERROR(VALUE(LEFT(I3829,FIND(" ",I3829)-1)),""),"")</f>
        <v>96</v>
      </c>
      <c r="O3829" s="7" t="str">
        <f aca="false">IF(B3829="TV Show",IFERROR(VALUE(LEFT(I3829,FIND(" ",I3829)-1)),""),"")</f>
        <v/>
      </c>
      <c r="P3829" s="7" t="n">
        <f aca="false">IF(K3829="","",K3829-G3829)</f>
        <v>1</v>
      </c>
    </row>
    <row r="3830" customFormat="false" ht="15" hidden="false" customHeight="false" outlineLevel="0" collapsed="false">
      <c r="A3830" s="7" t="n">
        <v>80214579</v>
      </c>
      <c r="B3830" s="7" t="s">
        <v>68</v>
      </c>
      <c r="C3830" s="7" t="s">
        <v>7943</v>
      </c>
      <c r="D3830" s="7" t="s">
        <v>7944</v>
      </c>
      <c r="E3830" s="7" t="s">
        <v>7945</v>
      </c>
      <c r="F3830" s="7" t="s">
        <v>7940</v>
      </c>
      <c r="G3830" s="7" t="n">
        <v>2016</v>
      </c>
      <c r="H3830" s="7" t="s">
        <v>48</v>
      </c>
      <c r="I3830" s="7" t="s">
        <v>311</v>
      </c>
      <c r="J3830" s="7" t="s">
        <v>7946</v>
      </c>
      <c r="K3830" s="7" t="n">
        <f aca="false">IFERROR(VALUE(RIGHT(TRIM(F3830),4)),"")</f>
        <v>2018</v>
      </c>
      <c r="L3830" s="7" t="str">
        <f aca="false">IF(TRIM(E3830)="","Unknown",IFERROR(LEFT(TRIM(E3830),FIND(",",TRIM(E3830))-1),TRIM(E3830)))</f>
        <v>Serbia</v>
      </c>
      <c r="M3830" s="7" t="str">
        <f aca="false">IFERROR(LEFT(J3830,FIND(",",J3830)-1),J3830)</f>
        <v>Horror Movies</v>
      </c>
      <c r="N3830" s="7" t="n">
        <f aca="false">IF(B3830="Movie",IFERROR(VALUE(LEFT(I3830,FIND(" ",I3830)-1)),""),"")</f>
        <v>92</v>
      </c>
      <c r="O3830" s="7" t="str">
        <f aca="false">IF(B3830="TV Show",IFERROR(VALUE(LEFT(I3830,FIND(" ",I3830)-1)),""),"")</f>
        <v/>
      </c>
      <c r="P3830" s="7" t="n">
        <f aca="false">IF(K3830="","",K3830-G3830)</f>
        <v>2</v>
      </c>
    </row>
    <row r="3831" customFormat="false" ht="15" hidden="false" customHeight="false" outlineLevel="0" collapsed="false">
      <c r="A3831" s="7" t="n">
        <v>80170119</v>
      </c>
      <c r="B3831" s="7" t="s">
        <v>68</v>
      </c>
      <c r="C3831" s="7" t="s">
        <v>7947</v>
      </c>
      <c r="D3831" s="7" t="s">
        <v>7948</v>
      </c>
      <c r="E3831" s="7" t="s">
        <v>7949</v>
      </c>
      <c r="F3831" s="7" t="s">
        <v>7940</v>
      </c>
      <c r="G3831" s="7" t="n">
        <v>2017</v>
      </c>
      <c r="H3831" s="7" t="s">
        <v>49</v>
      </c>
      <c r="I3831" s="7" t="s">
        <v>340</v>
      </c>
      <c r="J3831" s="7" t="s">
        <v>341</v>
      </c>
      <c r="K3831" s="7" t="n">
        <f aca="false">IFERROR(VALUE(RIGHT(TRIM(F3831),4)),"")</f>
        <v>2018</v>
      </c>
      <c r="L3831" s="7" t="str">
        <f aca="false">IF(TRIM(E3831)="","Unknown",IFERROR(LEFT(TRIM(E3831),FIND(",",TRIM(E3831))-1),TRIM(E3831)))</f>
        <v>France</v>
      </c>
      <c r="M3831" s="7" t="str">
        <f aca="false">IFERROR(LEFT(J3831,FIND(",",J3831)-1),J3831)</f>
        <v>Documentaries</v>
      </c>
      <c r="N3831" s="7" t="n">
        <f aca="false">IF(B3831="Movie",IFERROR(VALUE(LEFT(I3831,FIND(" ",I3831)-1)),""),"")</f>
        <v>85</v>
      </c>
      <c r="O3831" s="7" t="str">
        <f aca="false">IF(B3831="TV Show",IFERROR(VALUE(LEFT(I3831,FIND(" ",I3831)-1)),""),"")</f>
        <v/>
      </c>
      <c r="P3831" s="7" t="n">
        <f aca="false">IF(K3831="","",K3831-G3831)</f>
        <v>1</v>
      </c>
    </row>
    <row r="3832" customFormat="false" ht="15" hidden="false" customHeight="false" outlineLevel="0" collapsed="false">
      <c r="A3832" s="7" t="n">
        <v>80119235</v>
      </c>
      <c r="B3832" s="7" t="s">
        <v>68</v>
      </c>
      <c r="C3832" s="7" t="s">
        <v>7950</v>
      </c>
      <c r="D3832" s="7" t="s">
        <v>7951</v>
      </c>
      <c r="E3832" s="7" t="s">
        <v>325</v>
      </c>
      <c r="F3832" s="7" t="s">
        <v>7952</v>
      </c>
      <c r="G3832" s="7" t="n">
        <v>2015</v>
      </c>
      <c r="H3832" s="7" t="s">
        <v>53</v>
      </c>
      <c r="I3832" s="7" t="s">
        <v>451</v>
      </c>
      <c r="J3832" s="7" t="s">
        <v>304</v>
      </c>
      <c r="K3832" s="7" t="n">
        <f aca="false">IFERROR(VALUE(RIGHT(TRIM(F3832),4)),"")</f>
        <v>2017</v>
      </c>
      <c r="L3832" s="7" t="str">
        <f aca="false">IF(TRIM(E3832)="","Unknown",IFERROR(LEFT(TRIM(E3832),FIND(",",TRIM(E3832))-1),TRIM(E3832)))</f>
        <v>Brazil</v>
      </c>
      <c r="M3832" s="7" t="str">
        <f aca="false">IFERROR(LEFT(J3832,FIND(",",J3832)-1),J3832)</f>
        <v>Dramas</v>
      </c>
      <c r="N3832" s="7" t="n">
        <f aca="false">IF(B3832="Movie",IFERROR(VALUE(LEFT(I3832,FIND(" ",I3832)-1)),""),"")</f>
        <v>97</v>
      </c>
      <c r="O3832" s="7" t="str">
        <f aca="false">IF(B3832="TV Show",IFERROR(VALUE(LEFT(I3832,FIND(" ",I3832)-1)),""),"")</f>
        <v/>
      </c>
      <c r="P3832" s="7" t="n">
        <f aca="false">IF(K3832="","",K3832-G3832)</f>
        <v>2</v>
      </c>
    </row>
    <row r="3833" customFormat="false" ht="15" hidden="false" customHeight="false" outlineLevel="0" collapsed="false">
      <c r="A3833" s="7" t="n">
        <v>80039717</v>
      </c>
      <c r="B3833" s="7" t="s">
        <v>68</v>
      </c>
      <c r="C3833" s="7" t="s">
        <v>7953</v>
      </c>
      <c r="D3833" s="7" t="s">
        <v>7954</v>
      </c>
      <c r="E3833" s="7" t="s">
        <v>7955</v>
      </c>
      <c r="F3833" s="7" t="s">
        <v>7956</v>
      </c>
      <c r="G3833" s="7" t="n">
        <v>2016</v>
      </c>
      <c r="H3833" s="7" t="s">
        <v>49</v>
      </c>
      <c r="I3833" s="7" t="s">
        <v>512</v>
      </c>
      <c r="J3833" s="7" t="s">
        <v>953</v>
      </c>
      <c r="K3833" s="7" t="n">
        <f aca="false">IFERROR(VALUE(RIGHT(TRIM(F3833),4)),"")</f>
        <v>2016</v>
      </c>
      <c r="L3833" s="7" t="str">
        <f aca="false">IF(TRIM(E3833)="","Unknown",IFERROR(LEFT(TRIM(E3833),FIND(",",TRIM(E3833))-1),TRIM(E3833)))</f>
        <v>China</v>
      </c>
      <c r="M3833" s="7" t="str">
        <f aca="false">IFERROR(LEFT(J3833,FIND(",",J3833)-1),J3833)</f>
        <v>Action &amp; Adventure</v>
      </c>
      <c r="N3833" s="7" t="n">
        <f aca="false">IF(B3833="Movie",IFERROR(VALUE(LEFT(I3833,FIND(" ",I3833)-1)),""),"")</f>
        <v>101</v>
      </c>
      <c r="O3833" s="7" t="str">
        <f aca="false">IF(B3833="TV Show",IFERROR(VALUE(LEFT(I3833,FIND(" ",I3833)-1)),""),"")</f>
        <v/>
      </c>
      <c r="P3833" s="7" t="n">
        <f aca="false">IF(K3833="","",K3833-G3833)</f>
        <v>0</v>
      </c>
    </row>
    <row r="3834" customFormat="false" ht="15" hidden="false" customHeight="false" outlineLevel="0" collapsed="false">
      <c r="A3834" s="7" t="n">
        <v>80016401</v>
      </c>
      <c r="B3834" s="7" t="s">
        <v>68</v>
      </c>
      <c r="C3834" s="7" t="s">
        <v>7957</v>
      </c>
      <c r="D3834" s="7" t="s">
        <v>7958</v>
      </c>
      <c r="E3834" s="7" t="s">
        <v>7959</v>
      </c>
      <c r="F3834" s="7" t="s">
        <v>7956</v>
      </c>
      <c r="G3834" s="7" t="n">
        <v>2014</v>
      </c>
      <c r="H3834" s="7" t="s">
        <v>52</v>
      </c>
      <c r="I3834" s="7" t="s">
        <v>330</v>
      </c>
      <c r="J3834" s="7" t="s">
        <v>341</v>
      </c>
      <c r="K3834" s="7" t="n">
        <f aca="false">IFERROR(VALUE(RIGHT(TRIM(F3834),4)),"")</f>
        <v>2016</v>
      </c>
      <c r="L3834" s="7" t="str">
        <f aca="false">IF(TRIM(E3834)="","Unknown",IFERROR(LEFT(TRIM(E3834),FIND(",",TRIM(E3834))-1),TRIM(E3834)))</f>
        <v>Denmark</v>
      </c>
      <c r="M3834" s="7" t="str">
        <f aca="false">IFERROR(LEFT(J3834,FIND(",",J3834)-1),J3834)</f>
        <v>Documentaries</v>
      </c>
      <c r="N3834" s="7" t="n">
        <f aca="false">IF(B3834="Movie",IFERROR(VALUE(LEFT(I3834,FIND(" ",I3834)-1)),""),"")</f>
        <v>103</v>
      </c>
      <c r="O3834" s="7" t="str">
        <f aca="false">IF(B3834="TV Show",IFERROR(VALUE(LEFT(I3834,FIND(" ",I3834)-1)),""),"")</f>
        <v/>
      </c>
      <c r="P3834" s="7" t="n">
        <f aca="false">IF(K3834="","",K3834-G3834)</f>
        <v>2</v>
      </c>
    </row>
    <row r="3835" customFormat="false" ht="15" hidden="false" customHeight="false" outlineLevel="0" collapsed="false">
      <c r="A3835" s="7" t="n">
        <v>70278931</v>
      </c>
      <c r="B3835" s="7" t="s">
        <v>68</v>
      </c>
      <c r="C3835" s="7" t="s">
        <v>7960</v>
      </c>
      <c r="D3835" s="7" t="s">
        <v>369</v>
      </c>
      <c r="E3835" s="7" t="s">
        <v>905</v>
      </c>
      <c r="F3835" s="7" t="s">
        <v>7961</v>
      </c>
      <c r="G3835" s="7" t="n">
        <v>2013</v>
      </c>
      <c r="H3835" s="7" t="s">
        <v>51</v>
      </c>
      <c r="I3835" s="7" t="s">
        <v>73</v>
      </c>
      <c r="J3835" s="7" t="s">
        <v>977</v>
      </c>
      <c r="K3835" s="7" t="n">
        <f aca="false">IFERROR(VALUE(RIGHT(TRIM(F3835),4)),"")</f>
        <v>2019</v>
      </c>
      <c r="L3835" s="7" t="str">
        <f aca="false">IF(TRIM(E3835)="","Unknown",IFERROR(LEFT(TRIM(E3835),FIND(",",TRIM(E3835))-1),TRIM(E3835)))</f>
        <v>United States</v>
      </c>
      <c r="M3835" s="7" t="str">
        <f aca="false">IFERROR(LEFT(J3835,FIND(",",J3835)-1),J3835)</f>
        <v>Independent Movies</v>
      </c>
      <c r="N3835" s="7" t="n">
        <f aca="false">IF(B3835="Movie",IFERROR(VALUE(LEFT(I3835,FIND(" ",I3835)-1)),""),"")</f>
        <v>90</v>
      </c>
      <c r="O3835" s="7" t="str">
        <f aca="false">IF(B3835="TV Show",IFERROR(VALUE(LEFT(I3835,FIND(" ",I3835)-1)),""),"")</f>
        <v/>
      </c>
      <c r="P3835" s="7" t="n">
        <f aca="false">IF(K3835="","",K3835-G3835)</f>
        <v>6</v>
      </c>
    </row>
    <row r="3836" customFormat="false" ht="15" hidden="false" customHeight="false" outlineLevel="0" collapsed="false">
      <c r="A3836" s="7" t="n">
        <v>70305955</v>
      </c>
      <c r="B3836" s="7" t="s">
        <v>68</v>
      </c>
      <c r="C3836" s="7" t="s">
        <v>7962</v>
      </c>
      <c r="D3836" s="7" t="s">
        <v>7963</v>
      </c>
      <c r="E3836" s="7" t="s">
        <v>26</v>
      </c>
      <c r="F3836" s="7" t="s">
        <v>7961</v>
      </c>
      <c r="G3836" s="7" t="n">
        <v>2014</v>
      </c>
      <c r="H3836" s="7" t="s">
        <v>54</v>
      </c>
      <c r="I3836" s="7" t="s">
        <v>294</v>
      </c>
      <c r="J3836" s="7" t="s">
        <v>295</v>
      </c>
      <c r="K3836" s="7" t="n">
        <f aca="false">IFERROR(VALUE(RIGHT(TRIM(F3836),4)),"")</f>
        <v>2019</v>
      </c>
      <c r="L3836" s="7" t="str">
        <f aca="false">IF(TRIM(E3836)="","Unknown",IFERROR(LEFT(TRIM(E3836),FIND(",",TRIM(E3836))-1),TRIM(E3836)))</f>
        <v>United States</v>
      </c>
      <c r="M3836" s="7" t="str">
        <f aca="false">IFERROR(LEFT(J3836,FIND(",",J3836)-1),J3836)</f>
        <v>Children &amp; Family Movies</v>
      </c>
      <c r="N3836" s="7" t="n">
        <f aca="false">IF(B3836="Movie",IFERROR(VALUE(LEFT(I3836,FIND(" ",I3836)-1)),""),"")</f>
        <v>107</v>
      </c>
      <c r="O3836" s="7" t="str">
        <f aca="false">IF(B3836="TV Show",IFERROR(VALUE(LEFT(I3836,FIND(" ",I3836)-1)),""),"")</f>
        <v/>
      </c>
      <c r="P3836" s="7" t="n">
        <f aca="false">IF(K3836="","",K3836-G3836)</f>
        <v>5</v>
      </c>
    </row>
    <row r="3837" customFormat="false" ht="15" hidden="false" customHeight="false" outlineLevel="0" collapsed="false">
      <c r="A3837" s="7" t="n">
        <v>81051693</v>
      </c>
      <c r="B3837" s="7" t="s">
        <v>68</v>
      </c>
      <c r="C3837" s="7" t="s">
        <v>7964</v>
      </c>
      <c r="D3837" s="7" t="s">
        <v>7965</v>
      </c>
      <c r="E3837" s="7" t="s">
        <v>27</v>
      </c>
      <c r="F3837" s="7" t="s">
        <v>7961</v>
      </c>
      <c r="G3837" s="7" t="n">
        <v>2018</v>
      </c>
      <c r="H3837" s="7" t="s">
        <v>49</v>
      </c>
      <c r="I3837" s="7" t="s">
        <v>154</v>
      </c>
      <c r="J3837" s="7" t="s">
        <v>188</v>
      </c>
      <c r="K3837" s="7" t="n">
        <f aca="false">IFERROR(VALUE(RIGHT(TRIM(F3837),4)),"")</f>
        <v>2019</v>
      </c>
      <c r="L3837" s="7" t="str">
        <f aca="false">IF(TRIM(E3837)="","Unknown",IFERROR(LEFT(TRIM(E3837),FIND(",",TRIM(E3837))-1),TRIM(E3837)))</f>
        <v>India</v>
      </c>
      <c r="M3837" s="7" t="str">
        <f aca="false">IFERROR(LEFT(J3837,FIND(",",J3837)-1),J3837)</f>
        <v>Dramas</v>
      </c>
      <c r="N3837" s="7" t="n">
        <f aca="false">IF(B3837="Movie",IFERROR(VALUE(LEFT(I3837,FIND(" ",I3837)-1)),""),"")</f>
        <v>80</v>
      </c>
      <c r="O3837" s="7" t="str">
        <f aca="false">IF(B3837="TV Show",IFERROR(VALUE(LEFT(I3837,FIND(" ",I3837)-1)),""),"")</f>
        <v/>
      </c>
      <c r="P3837" s="7" t="n">
        <f aca="false">IF(K3837="","",K3837-G3837)</f>
        <v>1</v>
      </c>
    </row>
    <row r="3838" customFormat="false" ht="15" hidden="false" customHeight="false" outlineLevel="0" collapsed="false">
      <c r="A3838" s="7" t="n">
        <v>80109295</v>
      </c>
      <c r="B3838" s="7" t="s">
        <v>68</v>
      </c>
      <c r="C3838" s="7" t="s">
        <v>7966</v>
      </c>
      <c r="D3838" s="7" t="s">
        <v>7120</v>
      </c>
      <c r="E3838" s="7" t="s">
        <v>33</v>
      </c>
      <c r="F3838" s="7" t="s">
        <v>7967</v>
      </c>
      <c r="G3838" s="7" t="n">
        <v>2017</v>
      </c>
      <c r="H3838" s="7" t="s">
        <v>48</v>
      </c>
      <c r="I3838" s="7" t="s">
        <v>820</v>
      </c>
      <c r="J3838" s="7" t="s">
        <v>1014</v>
      </c>
      <c r="K3838" s="7" t="n">
        <f aca="false">IFERROR(VALUE(RIGHT(TRIM(F3838),4)),"")</f>
        <v>2018</v>
      </c>
      <c r="L3838" s="7" t="str">
        <f aca="false">IF(TRIM(E3838)="","Unknown",IFERROR(LEFT(TRIM(E3838),FIND(",",TRIM(E3838))-1),TRIM(E3838)))</f>
        <v>Spain</v>
      </c>
      <c r="M3838" s="7" t="str">
        <f aca="false">IFERROR(LEFT(J3838,FIND(",",J3838)-1),J3838)</f>
        <v>Horror Movies</v>
      </c>
      <c r="N3838" s="7" t="n">
        <f aca="false">IF(B3838="Movie",IFERROR(VALUE(LEFT(I3838,FIND(" ",I3838)-1)),""),"")</f>
        <v>105</v>
      </c>
      <c r="O3838" s="7" t="str">
        <f aca="false">IF(B3838="TV Show",IFERROR(VALUE(LEFT(I3838,FIND(" ",I3838)-1)),""),"")</f>
        <v/>
      </c>
      <c r="P3838" s="7" t="n">
        <f aca="false">IF(K3838="","",K3838-G3838)</f>
        <v>1</v>
      </c>
    </row>
    <row r="3839" customFormat="false" ht="15" hidden="false" customHeight="false" outlineLevel="0" collapsed="false">
      <c r="A3839" s="7" t="n">
        <v>80046599</v>
      </c>
      <c r="B3839" s="7" t="s">
        <v>78</v>
      </c>
      <c r="C3839" s="7" t="s">
        <v>7968</v>
      </c>
      <c r="E3839" s="7" t="s">
        <v>4355</v>
      </c>
      <c r="F3839" s="7" t="s">
        <v>7969</v>
      </c>
      <c r="G3839" s="7" t="n">
        <v>2015</v>
      </c>
      <c r="H3839" s="7" t="s">
        <v>49</v>
      </c>
      <c r="I3839" s="7" t="s">
        <v>82</v>
      </c>
      <c r="J3839" s="7" t="s">
        <v>89</v>
      </c>
      <c r="K3839" s="7" t="n">
        <f aca="false">IFERROR(VALUE(RIGHT(TRIM(F3839),4)),"")</f>
        <v>2017</v>
      </c>
      <c r="L3839" s="7" t="str">
        <f aca="false">IF(TRIM(E3839)="","Unknown",IFERROR(LEFT(TRIM(E3839),FIND(",",TRIM(E3839))-1),TRIM(E3839)))</f>
        <v>United States</v>
      </c>
      <c r="M3839" s="7" t="str">
        <f aca="false">IFERROR(LEFT(J3839,FIND(",",J3839)-1),J3839)</f>
        <v>Crime TV Shows</v>
      </c>
      <c r="N3839" s="7" t="str">
        <f aca="false">IF(B3839="Movie",IFERROR(VALUE(LEFT(I3839,FIND(" ",I3839)-1)),""),"")</f>
        <v/>
      </c>
      <c r="O3839" s="7" t="n">
        <f aca="false">IF(B3839="TV Show",IFERROR(VALUE(LEFT(I3839,FIND(" ",I3839)-1)),""),"")</f>
        <v>1</v>
      </c>
      <c r="P3839" s="7" t="n">
        <f aca="false">IF(K3839="","",K3839-G3839)</f>
        <v>2</v>
      </c>
    </row>
    <row r="3840" customFormat="false" ht="15" hidden="false" customHeight="false" outlineLevel="0" collapsed="false">
      <c r="A3840" s="7" t="n">
        <v>80071048</v>
      </c>
      <c r="B3840" s="7" t="s">
        <v>68</v>
      </c>
      <c r="C3840" s="7" t="s">
        <v>7970</v>
      </c>
      <c r="D3840" s="7" t="s">
        <v>7971</v>
      </c>
      <c r="E3840" s="7" t="s">
        <v>325</v>
      </c>
      <c r="F3840" s="7" t="s">
        <v>7969</v>
      </c>
      <c r="G3840" s="7" t="n">
        <v>2015</v>
      </c>
      <c r="H3840" s="7" t="s">
        <v>48</v>
      </c>
      <c r="I3840" s="7" t="s">
        <v>87</v>
      </c>
      <c r="J3840" s="7" t="s">
        <v>322</v>
      </c>
      <c r="K3840" s="7" t="n">
        <f aca="false">IFERROR(VALUE(RIGHT(TRIM(F3840),4)),"")</f>
        <v>2017</v>
      </c>
      <c r="L3840" s="7" t="str">
        <f aca="false">IF(TRIM(E3840)="","Unknown",IFERROR(LEFT(TRIM(E3840),FIND(",",TRIM(E3840))-1),TRIM(E3840)))</f>
        <v>Brazil</v>
      </c>
      <c r="M3840" s="7" t="str">
        <f aca="false">IFERROR(LEFT(J3840,FIND(",",J3840)-1),J3840)</f>
        <v>Action &amp; Adventure</v>
      </c>
      <c r="N3840" s="7" t="n">
        <f aca="false">IF(B3840="Movie",IFERROR(VALUE(LEFT(I3840,FIND(" ",I3840)-1)),""),"")</f>
        <v>99</v>
      </c>
      <c r="O3840" s="7" t="str">
        <f aca="false">IF(B3840="TV Show",IFERROR(VALUE(LEFT(I3840,FIND(" ",I3840)-1)),""),"")</f>
        <v/>
      </c>
      <c r="P3840" s="7" t="n">
        <f aca="false">IF(K3840="","",K3840-G3840)</f>
        <v>2</v>
      </c>
    </row>
    <row r="3841" customFormat="false" ht="15" hidden="false" customHeight="false" outlineLevel="0" collapsed="false">
      <c r="A3841" s="7" t="n">
        <v>70299043</v>
      </c>
      <c r="B3841" s="7" t="s">
        <v>78</v>
      </c>
      <c r="C3841" s="7" t="s">
        <v>7972</v>
      </c>
      <c r="E3841" s="7" t="s">
        <v>30</v>
      </c>
      <c r="F3841" s="7" t="s">
        <v>7973</v>
      </c>
      <c r="G3841" s="7" t="n">
        <v>2013</v>
      </c>
      <c r="H3841" s="7" t="s">
        <v>48</v>
      </c>
      <c r="I3841" s="7" t="s">
        <v>82</v>
      </c>
      <c r="J3841" s="7" t="s">
        <v>542</v>
      </c>
      <c r="K3841" s="7" t="n">
        <f aca="false">IFERROR(VALUE(RIGHT(TRIM(F3841),4)),"")</f>
        <v>2019</v>
      </c>
      <c r="L3841" s="7" t="str">
        <f aca="false">IF(TRIM(E3841)="","Unknown",IFERROR(LEFT(TRIM(E3841),FIND(",",TRIM(E3841))-1),TRIM(E3841)))</f>
        <v>Japan</v>
      </c>
      <c r="M3841" s="7" t="str">
        <f aca="false">IFERROR(LEFT(J3841,FIND(",",J3841)-1),J3841)</f>
        <v>Anime Series</v>
      </c>
      <c r="N3841" s="7" t="str">
        <f aca="false">IF(B3841="Movie",IFERROR(VALUE(LEFT(I3841,FIND(" ",I3841)-1)),""),"")</f>
        <v/>
      </c>
      <c r="O3841" s="7" t="n">
        <f aca="false">IF(B3841="TV Show",IFERROR(VALUE(LEFT(I3841,FIND(" ",I3841)-1)),""),"")</f>
        <v>1</v>
      </c>
      <c r="P3841" s="7" t="n">
        <f aca="false">IF(K3841="","",K3841-G3841)</f>
        <v>6</v>
      </c>
    </row>
    <row r="3842" customFormat="false" ht="15" hidden="false" customHeight="false" outlineLevel="0" collapsed="false">
      <c r="A3842" s="7" t="n">
        <v>80002073</v>
      </c>
      <c r="B3842" s="7" t="s">
        <v>68</v>
      </c>
      <c r="C3842" s="7" t="s">
        <v>7974</v>
      </c>
      <c r="D3842" s="7" t="s">
        <v>7975</v>
      </c>
      <c r="E3842" s="7" t="s">
        <v>30</v>
      </c>
      <c r="F3842" s="7" t="s">
        <v>7973</v>
      </c>
      <c r="G3842" s="7" t="n">
        <v>2013</v>
      </c>
      <c r="H3842" s="7" t="s">
        <v>53</v>
      </c>
      <c r="I3842" s="7" t="s">
        <v>114</v>
      </c>
      <c r="J3842" s="7" t="s">
        <v>1032</v>
      </c>
      <c r="K3842" s="7" t="n">
        <f aca="false">IFERROR(VALUE(RIGHT(TRIM(F3842),4)),"")</f>
        <v>2019</v>
      </c>
      <c r="L3842" s="7" t="str">
        <f aca="false">IF(TRIM(E3842)="","Unknown",IFERROR(LEFT(TRIM(E3842),FIND(",",TRIM(E3842))-1),TRIM(E3842)))</f>
        <v>Japan</v>
      </c>
      <c r="M3842" s="7" t="str">
        <f aca="false">IFERROR(LEFT(J3842,FIND(",",J3842)-1),J3842)</f>
        <v>Action &amp; Adventure</v>
      </c>
      <c r="N3842" s="7" t="n">
        <f aca="false">IF(B3842="Movie",IFERROR(VALUE(LEFT(I3842,FIND(" ",I3842)-1)),""),"")</f>
        <v>58</v>
      </c>
      <c r="O3842" s="7" t="str">
        <f aca="false">IF(B3842="TV Show",IFERROR(VALUE(LEFT(I3842,FIND(" ",I3842)-1)),""),"")</f>
        <v/>
      </c>
      <c r="P3842" s="7" t="n">
        <f aca="false">IF(K3842="","",K3842-G3842)</f>
        <v>6</v>
      </c>
    </row>
    <row r="3843" customFormat="false" ht="15" hidden="false" customHeight="false" outlineLevel="0" collapsed="false">
      <c r="A3843" s="7" t="n">
        <v>80021983</v>
      </c>
      <c r="B3843" s="7" t="s">
        <v>68</v>
      </c>
      <c r="C3843" s="7" t="s">
        <v>7976</v>
      </c>
      <c r="D3843" s="7" t="s">
        <v>7977</v>
      </c>
      <c r="E3843" s="7" t="s">
        <v>30</v>
      </c>
      <c r="F3843" s="7" t="s">
        <v>7973</v>
      </c>
      <c r="G3843" s="7" t="n">
        <v>2014</v>
      </c>
      <c r="H3843" s="7" t="s">
        <v>53</v>
      </c>
      <c r="I3843" s="7" t="s">
        <v>114</v>
      </c>
      <c r="J3843" s="7" t="s">
        <v>1032</v>
      </c>
      <c r="K3843" s="7" t="n">
        <f aca="false">IFERROR(VALUE(RIGHT(TRIM(F3843),4)),"")</f>
        <v>2019</v>
      </c>
      <c r="L3843" s="7" t="str">
        <f aca="false">IF(TRIM(E3843)="","Unknown",IFERROR(LEFT(TRIM(E3843),FIND(",",TRIM(E3843))-1),TRIM(E3843)))</f>
        <v>Japan</v>
      </c>
      <c r="M3843" s="7" t="str">
        <f aca="false">IFERROR(LEFT(J3843,FIND(",",J3843)-1),J3843)</f>
        <v>Action &amp; Adventure</v>
      </c>
      <c r="N3843" s="7" t="n">
        <f aca="false">IF(B3843="Movie",IFERROR(VALUE(LEFT(I3843,FIND(" ",I3843)-1)),""),"")</f>
        <v>58</v>
      </c>
      <c r="O3843" s="7" t="str">
        <f aca="false">IF(B3843="TV Show",IFERROR(VALUE(LEFT(I3843,FIND(" ",I3843)-1)),""),"")</f>
        <v/>
      </c>
      <c r="P3843" s="7" t="n">
        <f aca="false">IF(K3843="","",K3843-G3843)</f>
        <v>5</v>
      </c>
    </row>
    <row r="3844" customFormat="false" ht="15" hidden="false" customHeight="false" outlineLevel="0" collapsed="false">
      <c r="A3844" s="7" t="n">
        <v>80002074</v>
      </c>
      <c r="B3844" s="7" t="s">
        <v>68</v>
      </c>
      <c r="C3844" s="7" t="s">
        <v>7978</v>
      </c>
      <c r="D3844" s="7" t="s">
        <v>7977</v>
      </c>
      <c r="E3844" s="7" t="s">
        <v>30</v>
      </c>
      <c r="F3844" s="7" t="s">
        <v>7973</v>
      </c>
      <c r="G3844" s="7" t="n">
        <v>2013</v>
      </c>
      <c r="H3844" s="7" t="s">
        <v>53</v>
      </c>
      <c r="I3844" s="7" t="s">
        <v>1599</v>
      </c>
      <c r="J3844" s="7" t="s">
        <v>1032</v>
      </c>
      <c r="K3844" s="7" t="n">
        <f aca="false">IFERROR(VALUE(RIGHT(TRIM(F3844),4)),"")</f>
        <v>2019</v>
      </c>
      <c r="L3844" s="7" t="str">
        <f aca="false">IF(TRIM(E3844)="","Unknown",IFERROR(LEFT(TRIM(E3844),FIND(",",TRIM(E3844))-1),TRIM(E3844)))</f>
        <v>Japan</v>
      </c>
      <c r="M3844" s="7" t="str">
        <f aca="false">IFERROR(LEFT(J3844,FIND(",",J3844)-1),J3844)</f>
        <v>Action &amp; Adventure</v>
      </c>
      <c r="N3844" s="7" t="n">
        <f aca="false">IF(B3844="Movie",IFERROR(VALUE(LEFT(I3844,FIND(" ",I3844)-1)),""),"")</f>
        <v>56</v>
      </c>
      <c r="O3844" s="7" t="str">
        <f aca="false">IF(B3844="TV Show",IFERROR(VALUE(LEFT(I3844,FIND(" ",I3844)-1)),""),"")</f>
        <v/>
      </c>
      <c r="P3844" s="7" t="n">
        <f aca="false">IF(K3844="","",K3844-G3844)</f>
        <v>6</v>
      </c>
    </row>
    <row r="3845" customFormat="false" ht="15" hidden="false" customHeight="false" outlineLevel="0" collapsed="false">
      <c r="A3845" s="7" t="n">
        <v>80100937</v>
      </c>
      <c r="B3845" s="7" t="s">
        <v>68</v>
      </c>
      <c r="C3845" s="7" t="s">
        <v>7979</v>
      </c>
      <c r="D3845" s="7" t="s">
        <v>7980</v>
      </c>
      <c r="E3845" s="7" t="s">
        <v>26</v>
      </c>
      <c r="F3845" s="7" t="s">
        <v>7981</v>
      </c>
      <c r="G3845" s="7" t="n">
        <v>2017</v>
      </c>
      <c r="H3845" s="7" t="s">
        <v>48</v>
      </c>
      <c r="I3845" s="7" t="s">
        <v>451</v>
      </c>
      <c r="J3845" s="7" t="s">
        <v>520</v>
      </c>
      <c r="K3845" s="7" t="n">
        <f aca="false">IFERROR(VALUE(RIGHT(TRIM(F3845),4)),"")</f>
        <v>2017</v>
      </c>
      <c r="L3845" s="7" t="str">
        <f aca="false">IF(TRIM(E3845)="","Unknown",IFERROR(LEFT(TRIM(E3845),FIND(",",TRIM(E3845))-1),TRIM(E3845)))</f>
        <v>United States</v>
      </c>
      <c r="M3845" s="7" t="str">
        <f aca="false">IFERROR(LEFT(J3845,FIND(",",J3845)-1),J3845)</f>
        <v>Dramas</v>
      </c>
      <c r="N3845" s="7" t="n">
        <f aca="false">IF(B3845="Movie",IFERROR(VALUE(LEFT(I3845,FIND(" ",I3845)-1)),""),"")</f>
        <v>97</v>
      </c>
      <c r="O3845" s="7" t="str">
        <f aca="false">IF(B3845="TV Show",IFERROR(VALUE(LEFT(I3845,FIND(" ",I3845)-1)),""),"")</f>
        <v/>
      </c>
      <c r="P3845" s="7" t="n">
        <f aca="false">IF(K3845="","",K3845-G3845)</f>
        <v>0</v>
      </c>
    </row>
    <row r="3846" customFormat="false" ht="15" hidden="false" customHeight="false" outlineLevel="0" collapsed="false">
      <c r="A3846" s="7" t="n">
        <v>80081863</v>
      </c>
      <c r="B3846" s="7" t="s">
        <v>78</v>
      </c>
      <c r="C3846" s="7" t="s">
        <v>7982</v>
      </c>
      <c r="E3846" s="7" t="s">
        <v>34</v>
      </c>
      <c r="F3846" s="7" t="s">
        <v>7981</v>
      </c>
      <c r="G3846" s="7" t="n">
        <v>2017</v>
      </c>
      <c r="H3846" s="7" t="s">
        <v>55</v>
      </c>
      <c r="I3846" s="7" t="s">
        <v>82</v>
      </c>
      <c r="J3846" s="7" t="s">
        <v>44</v>
      </c>
      <c r="K3846" s="7" t="n">
        <f aca="false">IFERROR(VALUE(RIGHT(TRIM(F3846),4)),"")</f>
        <v>2017</v>
      </c>
      <c r="L3846" s="7" t="str">
        <f aca="false">IF(TRIM(E3846)="","Unknown",IFERROR(LEFT(TRIM(E3846),FIND(",",TRIM(E3846))-1),TRIM(E3846)))</f>
        <v>Mexico</v>
      </c>
      <c r="M3846" s="7" t="str">
        <f aca="false">IFERROR(LEFT(J3846,FIND(",",J3846)-1),J3846)</f>
        <v>Kids' TV</v>
      </c>
      <c r="N3846" s="7" t="str">
        <f aca="false">IF(B3846="Movie",IFERROR(VALUE(LEFT(I3846,FIND(" ",I3846)-1)),""),"")</f>
        <v/>
      </c>
      <c r="O3846" s="7" t="n">
        <f aca="false">IF(B3846="TV Show",IFERROR(VALUE(LEFT(I3846,FIND(" ",I3846)-1)),""),"")</f>
        <v>1</v>
      </c>
      <c r="P3846" s="7" t="n">
        <f aca="false">IF(K3846="","",K3846-G3846)</f>
        <v>0</v>
      </c>
    </row>
    <row r="3847" customFormat="false" ht="15" hidden="false" customHeight="false" outlineLevel="0" collapsed="false">
      <c r="A3847" s="7" t="n">
        <v>80155793</v>
      </c>
      <c r="B3847" s="7" t="s">
        <v>78</v>
      </c>
      <c r="C3847" s="7" t="s">
        <v>7983</v>
      </c>
      <c r="E3847" s="7" t="s">
        <v>32</v>
      </c>
      <c r="F3847" s="7" t="s">
        <v>7981</v>
      </c>
      <c r="G3847" s="7" t="n">
        <v>2016</v>
      </c>
      <c r="H3847" s="7" t="s">
        <v>49</v>
      </c>
      <c r="I3847" s="7" t="s">
        <v>82</v>
      </c>
      <c r="J3847" s="7" t="s">
        <v>1231</v>
      </c>
      <c r="K3847" s="7" t="n">
        <f aca="false">IFERROR(VALUE(RIGHT(TRIM(F3847),4)),"")</f>
        <v>2017</v>
      </c>
      <c r="L3847" s="7" t="str">
        <f aca="false">IF(TRIM(E3847)="","Unknown",IFERROR(LEFT(TRIM(E3847),FIND(",",TRIM(E3847))-1),TRIM(E3847)))</f>
        <v>South Korea</v>
      </c>
      <c r="M3847" s="7" t="str">
        <f aca="false">IFERROR(LEFT(J3847,FIND(",",J3847)-1),J3847)</f>
        <v>International TV Shows</v>
      </c>
      <c r="N3847" s="7" t="str">
        <f aca="false">IF(B3847="Movie",IFERROR(VALUE(LEFT(I3847,FIND(" ",I3847)-1)),""),"")</f>
        <v/>
      </c>
      <c r="O3847" s="7" t="n">
        <f aca="false">IF(B3847="TV Show",IFERROR(VALUE(LEFT(I3847,FIND(" ",I3847)-1)),""),"")</f>
        <v>1</v>
      </c>
      <c r="P3847" s="7" t="n">
        <f aca="false">IF(K3847="","",K3847-G3847)</f>
        <v>1</v>
      </c>
    </row>
    <row r="3848" customFormat="false" ht="15" hidden="false" customHeight="false" outlineLevel="0" collapsed="false">
      <c r="A3848" s="7" t="n">
        <v>80023667</v>
      </c>
      <c r="B3848" s="7" t="s">
        <v>68</v>
      </c>
      <c r="C3848" s="7" t="s">
        <v>7984</v>
      </c>
      <c r="D3848" s="7" t="s">
        <v>6817</v>
      </c>
      <c r="E3848" s="7" t="s">
        <v>26</v>
      </c>
      <c r="F3848" s="7" t="s">
        <v>7985</v>
      </c>
      <c r="G3848" s="7" t="n">
        <v>2015</v>
      </c>
      <c r="H3848" s="7" t="s">
        <v>54</v>
      </c>
      <c r="I3848" s="7" t="s">
        <v>1221</v>
      </c>
      <c r="J3848" s="7" t="s">
        <v>1931</v>
      </c>
      <c r="K3848" s="7" t="n">
        <f aca="false">IFERROR(VALUE(RIGHT(TRIM(F3848),4)),"")</f>
        <v>2016</v>
      </c>
      <c r="L3848" s="7" t="str">
        <f aca="false">IF(TRIM(E3848)="","Unknown",IFERROR(LEFT(TRIM(E3848),FIND(",",TRIM(E3848))-1),TRIM(E3848)))</f>
        <v>United States</v>
      </c>
      <c r="M3848" s="7" t="str">
        <f aca="false">IFERROR(LEFT(J3848,FIND(",",J3848)-1),J3848)</f>
        <v>Children &amp; Family Movies</v>
      </c>
      <c r="N3848" s="7" t="n">
        <f aca="false">IF(B3848="Movie",IFERROR(VALUE(LEFT(I3848,FIND(" ",I3848)-1)),""),"")</f>
        <v>74</v>
      </c>
      <c r="O3848" s="7" t="str">
        <f aca="false">IF(B3848="TV Show",IFERROR(VALUE(LEFT(I3848,FIND(" ",I3848)-1)),""),"")</f>
        <v/>
      </c>
      <c r="P3848" s="7" t="n">
        <f aca="false">IF(K3848="","",K3848-G3848)</f>
        <v>1</v>
      </c>
    </row>
    <row r="3849" customFormat="false" ht="15" hidden="false" customHeight="false" outlineLevel="0" collapsed="false">
      <c r="A3849" s="7" t="n">
        <v>80191608</v>
      </c>
      <c r="B3849" s="7" t="s">
        <v>68</v>
      </c>
      <c r="C3849" s="7" t="s">
        <v>7986</v>
      </c>
      <c r="D3849" s="7" t="s">
        <v>7987</v>
      </c>
      <c r="E3849" s="7" t="s">
        <v>33</v>
      </c>
      <c r="F3849" s="7" t="s">
        <v>7988</v>
      </c>
      <c r="G3849" s="7" t="n">
        <v>2018</v>
      </c>
      <c r="H3849" s="7" t="s">
        <v>48</v>
      </c>
      <c r="I3849" s="7" t="s">
        <v>93</v>
      </c>
      <c r="J3849" s="7" t="s">
        <v>304</v>
      </c>
      <c r="K3849" s="7" t="n">
        <f aca="false">IFERROR(VALUE(RIGHT(TRIM(F3849),4)),"")</f>
        <v>2019</v>
      </c>
      <c r="L3849" s="7" t="str">
        <f aca="false">IF(TRIM(E3849)="","Unknown",IFERROR(LEFT(TRIM(E3849),FIND(",",TRIM(E3849))-1),TRIM(E3849)))</f>
        <v>Spain</v>
      </c>
      <c r="M3849" s="7" t="str">
        <f aca="false">IFERROR(LEFT(J3849,FIND(",",J3849)-1),J3849)</f>
        <v>Dramas</v>
      </c>
      <c r="N3849" s="7" t="n">
        <f aca="false">IF(B3849="Movie",IFERROR(VALUE(LEFT(I3849,FIND(" ",I3849)-1)),""),"")</f>
        <v>110</v>
      </c>
      <c r="O3849" s="7" t="str">
        <f aca="false">IF(B3849="TV Show",IFERROR(VALUE(LEFT(I3849,FIND(" ",I3849)-1)),""),"")</f>
        <v/>
      </c>
      <c r="P3849" s="7" t="n">
        <f aca="false">IF(K3849="","",K3849-G3849)</f>
        <v>1</v>
      </c>
    </row>
    <row r="3850" customFormat="false" ht="15" hidden="false" customHeight="false" outlineLevel="0" collapsed="false">
      <c r="A3850" s="7" t="n">
        <v>80163279</v>
      </c>
      <c r="B3850" s="7" t="s">
        <v>78</v>
      </c>
      <c r="C3850" s="7" t="s">
        <v>7989</v>
      </c>
      <c r="F3850" s="7" t="s">
        <v>7990</v>
      </c>
      <c r="G3850" s="7" t="n">
        <v>2016</v>
      </c>
      <c r="H3850" s="7" t="s">
        <v>49</v>
      </c>
      <c r="I3850" s="7" t="s">
        <v>82</v>
      </c>
      <c r="J3850" s="7" t="s">
        <v>158</v>
      </c>
      <c r="K3850" s="7" t="n">
        <f aca="false">IFERROR(VALUE(RIGHT(TRIM(F3850),4)),"")</f>
        <v>2018</v>
      </c>
      <c r="L3850" s="7" t="str">
        <f aca="false">IF(TRIM(E3850)="","Unknown",IFERROR(LEFT(TRIM(E3850),FIND(",",TRIM(E3850))-1),TRIM(E3850)))</f>
        <v>Unknown</v>
      </c>
      <c r="M3850" s="7" t="str">
        <f aca="false">IFERROR(LEFT(J3850,FIND(",",J3850)-1),J3850)</f>
        <v>International TV Shows</v>
      </c>
      <c r="N3850" s="7" t="str">
        <f aca="false">IF(B3850="Movie",IFERROR(VALUE(LEFT(I3850,FIND(" ",I3850)-1)),""),"")</f>
        <v/>
      </c>
      <c r="O3850" s="7" t="n">
        <f aca="false">IF(B3850="TV Show",IFERROR(VALUE(LEFT(I3850,FIND(" ",I3850)-1)),""),"")</f>
        <v>1</v>
      </c>
      <c r="P3850" s="7" t="n">
        <f aca="false">IF(K3850="","",K3850-G3850)</f>
        <v>2</v>
      </c>
    </row>
    <row r="3851" customFormat="false" ht="15" hidden="false" customHeight="false" outlineLevel="0" collapsed="false">
      <c r="A3851" s="7" t="n">
        <v>80119233</v>
      </c>
      <c r="B3851" s="7" t="s">
        <v>68</v>
      </c>
      <c r="C3851" s="7" t="s">
        <v>7991</v>
      </c>
      <c r="D3851" s="7" t="s">
        <v>7436</v>
      </c>
      <c r="E3851" s="7" t="s">
        <v>6169</v>
      </c>
      <c r="F3851" s="7" t="s">
        <v>7990</v>
      </c>
      <c r="G3851" s="7" t="n">
        <v>2018</v>
      </c>
      <c r="H3851" s="7" t="s">
        <v>48</v>
      </c>
      <c r="I3851" s="7" t="s">
        <v>378</v>
      </c>
      <c r="J3851" s="7" t="s">
        <v>2034</v>
      </c>
      <c r="K3851" s="7" t="n">
        <f aca="false">IFERROR(VALUE(RIGHT(TRIM(F3851),4)),"")</f>
        <v>2018</v>
      </c>
      <c r="L3851" s="7" t="str">
        <f aca="false">IF(TRIM(E3851)="","Unknown",IFERROR(LEFT(TRIM(E3851),FIND(",",TRIM(E3851))-1),TRIM(E3851)))</f>
        <v>United Kingdom</v>
      </c>
      <c r="M3851" s="7" t="str">
        <f aca="false">IFERROR(LEFT(J3851,FIND(",",J3851)-1),J3851)</f>
        <v>Sci-Fi &amp; Fantasy</v>
      </c>
      <c r="N3851" s="7" t="n">
        <f aca="false">IF(B3851="Movie",IFERROR(VALUE(LEFT(I3851,FIND(" ",I3851)-1)),""),"")</f>
        <v>127</v>
      </c>
      <c r="O3851" s="7" t="str">
        <f aca="false">IF(B3851="TV Show",IFERROR(VALUE(LEFT(I3851,FIND(" ",I3851)-1)),""),"")</f>
        <v/>
      </c>
      <c r="P3851" s="7" t="n">
        <f aca="false">IF(K3851="","",K3851-G3851)</f>
        <v>0</v>
      </c>
    </row>
    <row r="3852" customFormat="false" ht="15" hidden="false" customHeight="false" outlineLevel="0" collapsed="false">
      <c r="A3852" s="7" t="n">
        <v>80117555</v>
      </c>
      <c r="B3852" s="7" t="s">
        <v>78</v>
      </c>
      <c r="C3852" s="7" t="s">
        <v>7992</v>
      </c>
      <c r="E3852" s="7" t="s">
        <v>26</v>
      </c>
      <c r="F3852" s="7" t="s">
        <v>7990</v>
      </c>
      <c r="G3852" s="7" t="n">
        <v>2018</v>
      </c>
      <c r="H3852" s="7" t="s">
        <v>48</v>
      </c>
      <c r="I3852" s="7" t="s">
        <v>82</v>
      </c>
      <c r="J3852" s="7" t="s">
        <v>834</v>
      </c>
      <c r="K3852" s="7" t="n">
        <f aca="false">IFERROR(VALUE(RIGHT(TRIM(F3852),4)),"")</f>
        <v>2018</v>
      </c>
      <c r="L3852" s="7" t="str">
        <f aca="false">IF(TRIM(E3852)="","Unknown",IFERROR(LEFT(TRIM(E3852),FIND(",",TRIM(E3852))-1),TRIM(E3852)))</f>
        <v>United States</v>
      </c>
      <c r="M3852" s="7" t="str">
        <f aca="false">IFERROR(LEFT(J3852,FIND(",",J3852)-1),J3852)</f>
        <v>Crime TV Shows</v>
      </c>
      <c r="N3852" s="7" t="str">
        <f aca="false">IF(B3852="Movie",IFERROR(VALUE(LEFT(I3852,FIND(" ",I3852)-1)),""),"")</f>
        <v/>
      </c>
      <c r="O3852" s="7" t="n">
        <f aca="false">IF(B3852="TV Show",IFERROR(VALUE(LEFT(I3852,FIND(" ",I3852)-1)),""),"")</f>
        <v>1</v>
      </c>
      <c r="P3852" s="7" t="n">
        <f aca="false">IF(K3852="","",K3852-G3852)</f>
        <v>0</v>
      </c>
    </row>
    <row r="3853" customFormat="false" ht="15" hidden="false" customHeight="false" outlineLevel="0" collapsed="false">
      <c r="A3853" s="7" t="n">
        <v>80184208</v>
      </c>
      <c r="B3853" s="7" t="s">
        <v>78</v>
      </c>
      <c r="C3853" s="7" t="s">
        <v>7993</v>
      </c>
      <c r="F3853" s="7" t="s">
        <v>7990</v>
      </c>
      <c r="G3853" s="7" t="n">
        <v>2014</v>
      </c>
      <c r="H3853" s="7" t="s">
        <v>49</v>
      </c>
      <c r="I3853" s="7" t="s">
        <v>82</v>
      </c>
      <c r="J3853" s="7" t="s">
        <v>1402</v>
      </c>
      <c r="K3853" s="7" t="n">
        <f aca="false">IFERROR(VALUE(RIGHT(TRIM(F3853),4)),"")</f>
        <v>2018</v>
      </c>
      <c r="L3853" s="7" t="str">
        <f aca="false">IF(TRIM(E3853)="","Unknown",IFERROR(LEFT(TRIM(E3853),FIND(",",TRIM(E3853))-1),TRIM(E3853)))</f>
        <v>Unknown</v>
      </c>
      <c r="M3853" s="7" t="str">
        <f aca="false">IFERROR(LEFT(J3853,FIND(",",J3853)-1),J3853)</f>
        <v>Crime TV Shows</v>
      </c>
      <c r="N3853" s="7" t="str">
        <f aca="false">IF(B3853="Movie",IFERROR(VALUE(LEFT(I3853,FIND(" ",I3853)-1)),""),"")</f>
        <v/>
      </c>
      <c r="O3853" s="7" t="n">
        <f aca="false">IF(B3853="TV Show",IFERROR(VALUE(LEFT(I3853,FIND(" ",I3853)-1)),""),"")</f>
        <v>1</v>
      </c>
      <c r="P3853" s="7" t="n">
        <f aca="false">IF(K3853="","",K3853-G3853)</f>
        <v>4</v>
      </c>
    </row>
    <row r="3854" customFormat="false" ht="15" hidden="false" customHeight="false" outlineLevel="0" collapsed="false">
      <c r="A3854" s="7" t="n">
        <v>80170368</v>
      </c>
      <c r="B3854" s="7" t="s">
        <v>78</v>
      </c>
      <c r="C3854" s="7" t="s">
        <v>7994</v>
      </c>
      <c r="E3854" s="7" t="s">
        <v>26</v>
      </c>
      <c r="F3854" s="7" t="s">
        <v>7990</v>
      </c>
      <c r="G3854" s="7" t="n">
        <v>2018</v>
      </c>
      <c r="H3854" s="7" t="s">
        <v>48</v>
      </c>
      <c r="I3854" s="7" t="s">
        <v>82</v>
      </c>
      <c r="J3854" s="7" t="s">
        <v>164</v>
      </c>
      <c r="K3854" s="7" t="n">
        <f aca="false">IFERROR(VALUE(RIGHT(TRIM(F3854),4)),"")</f>
        <v>2018</v>
      </c>
      <c r="L3854" s="7" t="str">
        <f aca="false">IF(TRIM(E3854)="","Unknown",IFERROR(LEFT(TRIM(E3854),FIND(",",TRIM(E3854))-1),TRIM(E3854)))</f>
        <v>United States</v>
      </c>
      <c r="M3854" s="7" t="str">
        <f aca="false">IFERROR(LEFT(J3854,FIND(",",J3854)-1),J3854)</f>
        <v>Docuseries</v>
      </c>
      <c r="N3854" s="7" t="str">
        <f aca="false">IF(B3854="Movie",IFERROR(VALUE(LEFT(I3854,FIND(" ",I3854)-1)),""),"")</f>
        <v/>
      </c>
      <c r="O3854" s="7" t="n">
        <f aca="false">IF(B3854="TV Show",IFERROR(VALUE(LEFT(I3854,FIND(" ",I3854)-1)),""),"")</f>
        <v>1</v>
      </c>
      <c r="P3854" s="7" t="n">
        <f aca="false">IF(K3854="","",K3854-G3854)</f>
        <v>0</v>
      </c>
    </row>
    <row r="3855" customFormat="false" ht="15" hidden="false" customHeight="false" outlineLevel="0" collapsed="false">
      <c r="A3855" s="7" t="n">
        <v>80100261</v>
      </c>
      <c r="B3855" s="7" t="s">
        <v>68</v>
      </c>
      <c r="C3855" s="7" t="s">
        <v>7995</v>
      </c>
      <c r="D3855" s="7" t="s">
        <v>7996</v>
      </c>
      <c r="E3855" s="7" t="s">
        <v>28</v>
      </c>
      <c r="F3855" s="7" t="s">
        <v>7997</v>
      </c>
      <c r="G3855" s="7" t="n">
        <v>2016</v>
      </c>
      <c r="H3855" s="7" t="s">
        <v>48</v>
      </c>
      <c r="I3855" s="7" t="s">
        <v>205</v>
      </c>
      <c r="J3855" s="7" t="s">
        <v>2969</v>
      </c>
      <c r="K3855" s="7" t="n">
        <f aca="false">IFERROR(VALUE(RIGHT(TRIM(F3855),4)),"")</f>
        <v>2017</v>
      </c>
      <c r="L3855" s="7" t="str">
        <f aca="false">IF(TRIM(E3855)="","Unknown",IFERROR(LEFT(TRIM(E3855),FIND(",",TRIM(E3855))-1),TRIM(E3855)))</f>
        <v>United Kingdom</v>
      </c>
      <c r="M3855" s="7" t="str">
        <f aca="false">IFERROR(LEFT(J3855,FIND(",",J3855)-1),J3855)</f>
        <v>Action &amp; Adventure</v>
      </c>
      <c r="N3855" s="7" t="n">
        <f aca="false">IF(B3855="Movie",IFERROR(VALUE(LEFT(I3855,FIND(" ",I3855)-1)),""),"")</f>
        <v>100</v>
      </c>
      <c r="O3855" s="7" t="str">
        <f aca="false">IF(B3855="TV Show",IFERROR(VALUE(LEFT(I3855,FIND(" ",I3855)-1)),""),"")</f>
        <v/>
      </c>
      <c r="P3855" s="7" t="n">
        <f aca="false">IF(K3855="","",K3855-G3855)</f>
        <v>1</v>
      </c>
    </row>
    <row r="3856" customFormat="false" ht="15" hidden="false" customHeight="false" outlineLevel="0" collapsed="false">
      <c r="A3856" s="7" t="n">
        <v>80097376</v>
      </c>
      <c r="B3856" s="7" t="s">
        <v>68</v>
      </c>
      <c r="C3856" s="7" t="s">
        <v>7998</v>
      </c>
      <c r="D3856" s="7" t="s">
        <v>7999</v>
      </c>
      <c r="E3856" s="7" t="s">
        <v>28</v>
      </c>
      <c r="F3856" s="7" t="s">
        <v>7997</v>
      </c>
      <c r="G3856" s="7" t="n">
        <v>2016</v>
      </c>
      <c r="H3856" s="7" t="s">
        <v>49</v>
      </c>
      <c r="I3856" s="7" t="s">
        <v>134</v>
      </c>
      <c r="J3856" s="7" t="s">
        <v>341</v>
      </c>
      <c r="K3856" s="7" t="n">
        <f aca="false">IFERROR(VALUE(RIGHT(TRIM(F3856),4)),"")</f>
        <v>2017</v>
      </c>
      <c r="L3856" s="7" t="str">
        <f aca="false">IF(TRIM(E3856)="","Unknown",IFERROR(LEFT(TRIM(E3856),FIND(",",TRIM(E3856))-1),TRIM(E3856)))</f>
        <v>United Kingdom</v>
      </c>
      <c r="M3856" s="7" t="str">
        <f aca="false">IFERROR(LEFT(J3856,FIND(",",J3856)-1),J3856)</f>
        <v>Documentaries</v>
      </c>
      <c r="N3856" s="7" t="n">
        <f aca="false">IF(B3856="Movie",IFERROR(VALUE(LEFT(I3856,FIND(" ",I3856)-1)),""),"")</f>
        <v>98</v>
      </c>
      <c r="O3856" s="7" t="str">
        <f aca="false">IF(B3856="TV Show",IFERROR(VALUE(LEFT(I3856,FIND(" ",I3856)-1)),""),"")</f>
        <v/>
      </c>
      <c r="P3856" s="7" t="n">
        <f aca="false">IF(K3856="","",K3856-G3856)</f>
        <v>1</v>
      </c>
    </row>
    <row r="3857" customFormat="false" ht="15" hidden="false" customHeight="false" outlineLevel="0" collapsed="false">
      <c r="A3857" s="7" t="n">
        <v>80992973</v>
      </c>
      <c r="B3857" s="7" t="s">
        <v>68</v>
      </c>
      <c r="C3857" s="7" t="s">
        <v>8000</v>
      </c>
      <c r="D3857" s="7" t="s">
        <v>1172</v>
      </c>
      <c r="E3857" s="7" t="s">
        <v>26</v>
      </c>
      <c r="F3857" s="7" t="s">
        <v>8001</v>
      </c>
      <c r="G3857" s="7" t="n">
        <v>2016</v>
      </c>
      <c r="H3857" s="7" t="s">
        <v>48</v>
      </c>
      <c r="I3857" s="7" t="s">
        <v>254</v>
      </c>
      <c r="J3857" s="7" t="s">
        <v>45</v>
      </c>
      <c r="K3857" s="7" t="n">
        <f aca="false">IFERROR(VALUE(RIGHT(TRIM(F3857),4)),"")</f>
        <v>2019</v>
      </c>
      <c r="L3857" s="7" t="str">
        <f aca="false">IF(TRIM(E3857)="","Unknown",IFERROR(LEFT(TRIM(E3857),FIND(",",TRIM(E3857))-1),TRIM(E3857)))</f>
        <v>United States</v>
      </c>
      <c r="M3857" s="7" t="str">
        <f aca="false">IFERROR(LEFT(J3857,FIND(",",J3857)-1),J3857)</f>
        <v>Stand-Up Comedy</v>
      </c>
      <c r="N3857" s="7" t="n">
        <f aca="false">IF(B3857="Movie",IFERROR(VALUE(LEFT(I3857,FIND(" ",I3857)-1)),""),"")</f>
        <v>70</v>
      </c>
      <c r="O3857" s="7" t="str">
        <f aca="false">IF(B3857="TV Show",IFERROR(VALUE(LEFT(I3857,FIND(" ",I3857)-1)),""),"")</f>
        <v/>
      </c>
      <c r="P3857" s="7" t="n">
        <f aca="false">IF(K3857="","",K3857-G3857)</f>
        <v>3</v>
      </c>
    </row>
    <row r="3858" customFormat="false" ht="15" hidden="false" customHeight="false" outlineLevel="0" collapsed="false">
      <c r="A3858" s="7" t="n">
        <v>81026327</v>
      </c>
      <c r="B3858" s="7" t="s">
        <v>68</v>
      </c>
      <c r="C3858" s="7" t="s">
        <v>8002</v>
      </c>
      <c r="D3858" s="7" t="s">
        <v>8003</v>
      </c>
      <c r="E3858" s="7" t="s">
        <v>27</v>
      </c>
      <c r="F3858" s="7" t="s">
        <v>8001</v>
      </c>
      <c r="G3858" s="7" t="n">
        <v>2019</v>
      </c>
      <c r="H3858" s="7" t="s">
        <v>48</v>
      </c>
      <c r="I3858" s="7" t="s">
        <v>386</v>
      </c>
      <c r="J3858" s="7" t="s">
        <v>304</v>
      </c>
      <c r="K3858" s="7" t="n">
        <f aca="false">IFERROR(VALUE(RIGHT(TRIM(F3858),4)),"")</f>
        <v>2019</v>
      </c>
      <c r="L3858" s="7" t="str">
        <f aca="false">IF(TRIM(E3858)="","Unknown",IFERROR(LEFT(TRIM(E3858),FIND(",",TRIM(E3858))-1),TRIM(E3858)))</f>
        <v>India</v>
      </c>
      <c r="M3858" s="7" t="str">
        <f aca="false">IFERROR(LEFT(J3858,FIND(",",J3858)-1),J3858)</f>
        <v>Dramas</v>
      </c>
      <c r="N3858" s="7" t="n">
        <f aca="false">IF(B3858="Movie",IFERROR(VALUE(LEFT(I3858,FIND(" ",I3858)-1)),""),"")</f>
        <v>117</v>
      </c>
      <c r="O3858" s="7" t="str">
        <f aca="false">IF(B3858="TV Show",IFERROR(VALUE(LEFT(I3858,FIND(" ",I3858)-1)),""),"")</f>
        <v/>
      </c>
      <c r="P3858" s="7" t="n">
        <f aca="false">IF(K3858="","",K3858-G3858)</f>
        <v>0</v>
      </c>
    </row>
    <row r="3859" customFormat="false" ht="15" hidden="false" customHeight="false" outlineLevel="0" collapsed="false">
      <c r="A3859" s="7" t="n">
        <v>80224060</v>
      </c>
      <c r="B3859" s="7" t="s">
        <v>68</v>
      </c>
      <c r="C3859" s="7" t="s">
        <v>8004</v>
      </c>
      <c r="D3859" s="7" t="s">
        <v>8005</v>
      </c>
      <c r="E3859" s="7" t="s">
        <v>26</v>
      </c>
      <c r="F3859" s="7" t="s">
        <v>8001</v>
      </c>
      <c r="G3859" s="7" t="n">
        <v>2019</v>
      </c>
      <c r="H3859" s="7" t="s">
        <v>48</v>
      </c>
      <c r="I3859" s="7" t="s">
        <v>357</v>
      </c>
      <c r="J3859" s="7" t="s">
        <v>198</v>
      </c>
      <c r="K3859" s="7" t="n">
        <f aca="false">IFERROR(VALUE(RIGHT(TRIM(F3859),4)),"")</f>
        <v>2019</v>
      </c>
      <c r="L3859" s="7" t="str">
        <f aca="false">IF(TRIM(E3859)="","Unknown",IFERROR(LEFT(TRIM(E3859),FIND(",",TRIM(E3859))-1),TRIM(E3859)))</f>
        <v>United States</v>
      </c>
      <c r="M3859" s="7" t="str">
        <f aca="false">IFERROR(LEFT(J3859,FIND(",",J3859)-1),J3859)</f>
        <v>Comedies</v>
      </c>
      <c r="N3859" s="7" t="n">
        <f aca="false">IF(B3859="Movie",IFERROR(VALUE(LEFT(I3859,FIND(" ",I3859)-1)),""),"")</f>
        <v>89</v>
      </c>
      <c r="O3859" s="7" t="str">
        <f aca="false">IF(B3859="TV Show",IFERROR(VALUE(LEFT(I3859,FIND(" ",I3859)-1)),""),"")</f>
        <v/>
      </c>
      <c r="P3859" s="7" t="n">
        <f aca="false">IF(K3859="","",K3859-G3859)</f>
        <v>0</v>
      </c>
    </row>
    <row r="3860" customFormat="false" ht="15" hidden="false" customHeight="false" outlineLevel="0" collapsed="false">
      <c r="A3860" s="7" t="n">
        <v>81027190</v>
      </c>
      <c r="B3860" s="7" t="s">
        <v>68</v>
      </c>
      <c r="C3860" s="7" t="s">
        <v>8006</v>
      </c>
      <c r="D3860" s="7" t="s">
        <v>8007</v>
      </c>
      <c r="E3860" s="7" t="s">
        <v>31</v>
      </c>
      <c r="F3860" s="7" t="s">
        <v>8001</v>
      </c>
      <c r="G3860" s="7" t="n">
        <v>2019</v>
      </c>
      <c r="H3860" s="7" t="s">
        <v>48</v>
      </c>
      <c r="I3860" s="7" t="s">
        <v>613</v>
      </c>
      <c r="J3860" s="7" t="s">
        <v>188</v>
      </c>
      <c r="K3860" s="7" t="n">
        <f aca="false">IFERROR(VALUE(RIGHT(TRIM(F3860),4)),"")</f>
        <v>2019</v>
      </c>
      <c r="L3860" s="7" t="str">
        <f aca="false">IF(TRIM(E3860)="","Unknown",IFERROR(LEFT(TRIM(E3860),FIND(",",TRIM(E3860))-1),TRIM(E3860)))</f>
        <v>France</v>
      </c>
      <c r="M3860" s="7" t="str">
        <f aca="false">IFERROR(LEFT(J3860,FIND(",",J3860)-1),J3860)</f>
        <v>Dramas</v>
      </c>
      <c r="N3860" s="7" t="n">
        <f aca="false">IF(B3860="Movie",IFERROR(VALUE(LEFT(I3860,FIND(" ",I3860)-1)),""),"")</f>
        <v>84</v>
      </c>
      <c r="O3860" s="7" t="str">
        <f aca="false">IF(B3860="TV Show",IFERROR(VALUE(LEFT(I3860,FIND(" ",I3860)-1)),""),"")</f>
        <v/>
      </c>
      <c r="P3860" s="7" t="n">
        <f aca="false">IF(K3860="","",K3860-G3860)</f>
        <v>0</v>
      </c>
    </row>
    <row r="3861" customFormat="false" ht="15" hidden="false" customHeight="false" outlineLevel="0" collapsed="false">
      <c r="A3861" s="7" t="n">
        <v>81071868</v>
      </c>
      <c r="B3861" s="7" t="s">
        <v>68</v>
      </c>
      <c r="C3861" s="7" t="s">
        <v>8008</v>
      </c>
      <c r="D3861" s="7" t="s">
        <v>1061</v>
      </c>
      <c r="E3861" s="7" t="s">
        <v>27</v>
      </c>
      <c r="F3861" s="7" t="s">
        <v>8001</v>
      </c>
      <c r="G3861" s="7" t="n">
        <v>2018</v>
      </c>
      <c r="H3861" s="7" t="s">
        <v>49</v>
      </c>
      <c r="I3861" s="7" t="s">
        <v>1707</v>
      </c>
      <c r="J3861" s="7" t="s">
        <v>188</v>
      </c>
      <c r="K3861" s="7" t="n">
        <f aca="false">IFERROR(VALUE(RIGHT(TRIM(F3861),4)),"")</f>
        <v>2019</v>
      </c>
      <c r="L3861" s="7" t="str">
        <f aca="false">IF(TRIM(E3861)="","Unknown",IFERROR(LEFT(TRIM(E3861),FIND(",",TRIM(E3861))-1),TRIM(E3861)))</f>
        <v>India</v>
      </c>
      <c r="M3861" s="7" t="str">
        <f aca="false">IFERROR(LEFT(J3861,FIND(",",J3861)-1),J3861)</f>
        <v>Dramas</v>
      </c>
      <c r="N3861" s="7" t="n">
        <f aca="false">IF(B3861="Movie",IFERROR(VALUE(LEFT(I3861,FIND(" ",I3861)-1)),""),"")</f>
        <v>131</v>
      </c>
      <c r="O3861" s="7" t="str">
        <f aca="false">IF(B3861="TV Show",IFERROR(VALUE(LEFT(I3861,FIND(" ",I3861)-1)),""),"")</f>
        <v/>
      </c>
      <c r="P3861" s="7" t="n">
        <f aca="false">IF(K3861="","",K3861-G3861)</f>
        <v>1</v>
      </c>
    </row>
    <row r="3862" customFormat="false" ht="15" hidden="false" customHeight="false" outlineLevel="0" collapsed="false">
      <c r="A3862" s="7" t="n">
        <v>80013712</v>
      </c>
      <c r="B3862" s="7" t="s">
        <v>68</v>
      </c>
      <c r="C3862" s="7" t="s">
        <v>8009</v>
      </c>
      <c r="D3862" s="7" t="s">
        <v>8010</v>
      </c>
      <c r="E3862" s="7" t="s">
        <v>293</v>
      </c>
      <c r="F3862" s="7" t="s">
        <v>8001</v>
      </c>
      <c r="G3862" s="7" t="n">
        <v>2014</v>
      </c>
      <c r="H3862" s="7" t="s">
        <v>51</v>
      </c>
      <c r="I3862" s="7" t="s">
        <v>470</v>
      </c>
      <c r="J3862" s="7" t="s">
        <v>40</v>
      </c>
      <c r="K3862" s="7" t="n">
        <f aca="false">IFERROR(VALUE(RIGHT(TRIM(F3862),4)),"")</f>
        <v>2019</v>
      </c>
      <c r="L3862" s="7" t="str">
        <f aca="false">IF(TRIM(E3862)="","Unknown",IFERROR(LEFT(TRIM(E3862),FIND(",",TRIM(E3862))-1),TRIM(E3862)))</f>
        <v>United States</v>
      </c>
      <c r="M3862" s="7" t="str">
        <f aca="false">IFERROR(LEFT(J3862,FIND(",",J3862)-1),J3862)</f>
        <v>Action &amp; Adventure</v>
      </c>
      <c r="N3862" s="7" t="n">
        <f aca="false">IF(B3862="Movie",IFERROR(VALUE(LEFT(I3862,FIND(" ",I3862)-1)),""),"")</f>
        <v>91</v>
      </c>
      <c r="O3862" s="7" t="str">
        <f aca="false">IF(B3862="TV Show",IFERROR(VALUE(LEFT(I3862,FIND(" ",I3862)-1)),""),"")</f>
        <v/>
      </c>
      <c r="P3862" s="7" t="n">
        <f aca="false">IF(K3862="","",K3862-G3862)</f>
        <v>5</v>
      </c>
    </row>
    <row r="3863" customFormat="false" ht="15" hidden="false" customHeight="false" outlineLevel="0" collapsed="false">
      <c r="A3863" s="7" t="n">
        <v>70292939</v>
      </c>
      <c r="B3863" s="7" t="s">
        <v>68</v>
      </c>
      <c r="C3863" s="7" t="s">
        <v>8011</v>
      </c>
      <c r="D3863" s="7" t="s">
        <v>1275</v>
      </c>
      <c r="E3863" s="7" t="s">
        <v>26</v>
      </c>
      <c r="F3863" s="7" t="s">
        <v>8001</v>
      </c>
      <c r="G3863" s="7" t="n">
        <v>2013</v>
      </c>
      <c r="H3863" s="7" t="s">
        <v>52</v>
      </c>
      <c r="I3863" s="7" t="s">
        <v>330</v>
      </c>
      <c r="J3863" s="7" t="s">
        <v>39</v>
      </c>
      <c r="K3863" s="7" t="n">
        <f aca="false">IFERROR(VALUE(RIGHT(TRIM(F3863),4)),"")</f>
        <v>2019</v>
      </c>
      <c r="L3863" s="7" t="str">
        <f aca="false">IF(TRIM(E3863)="","Unknown",IFERROR(LEFT(TRIM(E3863),FIND(",",TRIM(E3863))-1),TRIM(E3863)))</f>
        <v>United States</v>
      </c>
      <c r="M3863" s="7" t="str">
        <f aca="false">IFERROR(LEFT(J3863,FIND(",",J3863)-1),J3863)</f>
        <v>Documentaries</v>
      </c>
      <c r="N3863" s="7" t="n">
        <f aca="false">IF(B3863="Movie",IFERROR(VALUE(LEFT(I3863,FIND(" ",I3863)-1)),""),"")</f>
        <v>103</v>
      </c>
      <c r="O3863" s="7" t="str">
        <f aca="false">IF(B3863="TV Show",IFERROR(VALUE(LEFT(I3863,FIND(" ",I3863)-1)),""),"")</f>
        <v/>
      </c>
      <c r="P3863" s="7" t="n">
        <f aca="false">IF(K3863="","",K3863-G3863)</f>
        <v>6</v>
      </c>
    </row>
    <row r="3864" customFormat="false" ht="15" hidden="false" customHeight="false" outlineLevel="0" collapsed="false">
      <c r="A3864" s="7" t="n">
        <v>80057509</v>
      </c>
      <c r="B3864" s="7" t="s">
        <v>68</v>
      </c>
      <c r="C3864" s="7" t="s">
        <v>8012</v>
      </c>
      <c r="D3864" s="7" t="s">
        <v>8013</v>
      </c>
      <c r="E3864" s="7" t="s">
        <v>28</v>
      </c>
      <c r="F3864" s="7" t="s">
        <v>8001</v>
      </c>
      <c r="G3864" s="7" t="n">
        <v>2016</v>
      </c>
      <c r="H3864" s="7" t="s">
        <v>51</v>
      </c>
      <c r="I3864" s="7" t="s">
        <v>205</v>
      </c>
      <c r="J3864" s="7" t="s">
        <v>37</v>
      </c>
      <c r="K3864" s="7" t="n">
        <f aca="false">IFERROR(VALUE(RIGHT(TRIM(F3864),4)),"")</f>
        <v>2019</v>
      </c>
      <c r="L3864" s="7" t="str">
        <f aca="false">IF(TRIM(E3864)="","Unknown",IFERROR(LEFT(TRIM(E3864),FIND(",",TRIM(E3864))-1),TRIM(E3864)))</f>
        <v>United Kingdom</v>
      </c>
      <c r="M3864" s="7" t="str">
        <f aca="false">IFERROR(LEFT(J3864,FIND(",",J3864)-1),J3864)</f>
        <v>Dramas</v>
      </c>
      <c r="N3864" s="7" t="n">
        <f aca="false">IF(B3864="Movie",IFERROR(VALUE(LEFT(I3864,FIND(" ",I3864)-1)),""),"")</f>
        <v>100</v>
      </c>
      <c r="O3864" s="7" t="str">
        <f aca="false">IF(B3864="TV Show",IFERROR(VALUE(LEFT(I3864,FIND(" ",I3864)-1)),""),"")</f>
        <v/>
      </c>
      <c r="P3864" s="7" t="n">
        <f aca="false">IF(K3864="","",K3864-G3864)</f>
        <v>3</v>
      </c>
    </row>
    <row r="3865" customFormat="false" ht="15" hidden="false" customHeight="false" outlineLevel="0" collapsed="false">
      <c r="A3865" s="7" t="n">
        <v>80138915</v>
      </c>
      <c r="B3865" s="7" t="s">
        <v>78</v>
      </c>
      <c r="C3865" s="7" t="s">
        <v>8014</v>
      </c>
      <c r="E3865" s="7" t="s">
        <v>28</v>
      </c>
      <c r="F3865" s="7" t="s">
        <v>8015</v>
      </c>
      <c r="G3865" s="7" t="n">
        <v>2017</v>
      </c>
      <c r="H3865" s="7" t="s">
        <v>49</v>
      </c>
      <c r="I3865" s="7" t="s">
        <v>82</v>
      </c>
      <c r="J3865" s="7" t="s">
        <v>306</v>
      </c>
      <c r="K3865" s="7" t="n">
        <f aca="false">IFERROR(VALUE(RIGHT(TRIM(F3865),4)),"")</f>
        <v>2018</v>
      </c>
      <c r="L3865" s="7" t="str">
        <f aca="false">IF(TRIM(E3865)="","Unknown",IFERROR(LEFT(TRIM(E3865),FIND(",",TRIM(E3865))-1),TRIM(E3865)))</f>
        <v>United Kingdom</v>
      </c>
      <c r="M3865" s="7" t="str">
        <f aca="false">IFERROR(LEFT(J3865,FIND(",",J3865)-1),J3865)</f>
        <v>British TV Shows</v>
      </c>
      <c r="N3865" s="7" t="str">
        <f aca="false">IF(B3865="Movie",IFERROR(VALUE(LEFT(I3865,FIND(" ",I3865)-1)),""),"")</f>
        <v/>
      </c>
      <c r="O3865" s="7" t="n">
        <f aca="false">IF(B3865="TV Show",IFERROR(VALUE(LEFT(I3865,FIND(" ",I3865)-1)),""),"")</f>
        <v>1</v>
      </c>
      <c r="P3865" s="7" t="n">
        <f aca="false">IF(K3865="","",K3865-G3865)</f>
        <v>1</v>
      </c>
    </row>
    <row r="3866" customFormat="false" ht="15" hidden="false" customHeight="false" outlineLevel="0" collapsed="false">
      <c r="A3866" s="7" t="n">
        <v>70202577</v>
      </c>
      <c r="B3866" s="7" t="s">
        <v>78</v>
      </c>
      <c r="C3866" s="7" t="s">
        <v>8016</v>
      </c>
      <c r="D3866" s="7" t="s">
        <v>8017</v>
      </c>
      <c r="E3866" s="7" t="s">
        <v>26</v>
      </c>
      <c r="F3866" s="7" t="s">
        <v>8018</v>
      </c>
      <c r="G3866" s="7" t="n">
        <v>1990</v>
      </c>
      <c r="H3866" s="7" t="s">
        <v>49</v>
      </c>
      <c r="I3866" s="7" t="s">
        <v>82</v>
      </c>
      <c r="J3866" s="7" t="s">
        <v>164</v>
      </c>
      <c r="K3866" s="7" t="n">
        <f aca="false">IFERROR(VALUE(RIGHT(TRIM(F3866),4)),"")</f>
        <v>2017</v>
      </c>
      <c r="L3866" s="7" t="str">
        <f aca="false">IF(TRIM(E3866)="","Unknown",IFERROR(LEFT(TRIM(E3866),FIND(",",TRIM(E3866))-1),TRIM(E3866)))</f>
        <v>United States</v>
      </c>
      <c r="M3866" s="7" t="str">
        <f aca="false">IFERROR(LEFT(J3866,FIND(",",J3866)-1),J3866)</f>
        <v>Docuseries</v>
      </c>
      <c r="N3866" s="7" t="str">
        <f aca="false">IF(B3866="Movie",IFERROR(VALUE(LEFT(I3866,FIND(" ",I3866)-1)),""),"")</f>
        <v/>
      </c>
      <c r="O3866" s="7" t="n">
        <f aca="false">IF(B3866="TV Show",IFERROR(VALUE(LEFT(I3866,FIND(" ",I3866)-1)),""),"")</f>
        <v>1</v>
      </c>
      <c r="P3866" s="7" t="n">
        <f aca="false">IF(K3866="","",K3866-G3866)</f>
        <v>27</v>
      </c>
    </row>
    <row r="3867" customFormat="false" ht="15" hidden="false" customHeight="false" outlineLevel="0" collapsed="false">
      <c r="A3867" s="7" t="n">
        <v>80013283</v>
      </c>
      <c r="B3867" s="7" t="s">
        <v>78</v>
      </c>
      <c r="C3867" s="7" t="s">
        <v>8019</v>
      </c>
      <c r="D3867" s="7" t="s">
        <v>8017</v>
      </c>
      <c r="E3867" s="7" t="s">
        <v>26</v>
      </c>
      <c r="F3867" s="7" t="s">
        <v>8018</v>
      </c>
      <c r="G3867" s="7" t="n">
        <v>2014</v>
      </c>
      <c r="H3867" s="7" t="s">
        <v>50</v>
      </c>
      <c r="I3867" s="7" t="s">
        <v>82</v>
      </c>
      <c r="J3867" s="7" t="s">
        <v>164</v>
      </c>
      <c r="K3867" s="7" t="n">
        <f aca="false">IFERROR(VALUE(RIGHT(TRIM(F3867),4)),"")</f>
        <v>2017</v>
      </c>
      <c r="L3867" s="7" t="str">
        <f aca="false">IF(TRIM(E3867)="","Unknown",IFERROR(LEFT(TRIM(E3867),FIND(",",TRIM(E3867))-1),TRIM(E3867)))</f>
        <v>United States</v>
      </c>
      <c r="M3867" s="7" t="str">
        <f aca="false">IFERROR(LEFT(J3867,FIND(",",J3867)-1),J3867)</f>
        <v>Docuseries</v>
      </c>
      <c r="N3867" s="7" t="str">
        <f aca="false">IF(B3867="Movie",IFERROR(VALUE(LEFT(I3867,FIND(" ",I3867)-1)),""),"")</f>
        <v/>
      </c>
      <c r="O3867" s="7" t="n">
        <f aca="false">IF(B3867="TV Show",IFERROR(VALUE(LEFT(I3867,FIND(" ",I3867)-1)),""),"")</f>
        <v>1</v>
      </c>
      <c r="P3867" s="7" t="n">
        <f aca="false">IF(K3867="","",K3867-G3867)</f>
        <v>3</v>
      </c>
    </row>
    <row r="3868" customFormat="false" ht="15" hidden="false" customHeight="false" outlineLevel="0" collapsed="false">
      <c r="A3868" s="7" t="n">
        <v>80118004</v>
      </c>
      <c r="B3868" s="7" t="s">
        <v>68</v>
      </c>
      <c r="C3868" s="7" t="s">
        <v>8020</v>
      </c>
      <c r="D3868" s="7" t="s">
        <v>8021</v>
      </c>
      <c r="E3868" s="7" t="s">
        <v>1063</v>
      </c>
      <c r="F3868" s="7" t="s">
        <v>8018</v>
      </c>
      <c r="G3868" s="7" t="n">
        <v>2016</v>
      </c>
      <c r="H3868" s="7" t="s">
        <v>50</v>
      </c>
      <c r="I3868" s="7" t="s">
        <v>421</v>
      </c>
      <c r="J3868" s="7" t="s">
        <v>1711</v>
      </c>
      <c r="K3868" s="7" t="n">
        <f aca="false">IFERROR(VALUE(RIGHT(TRIM(F3868),4)),"")</f>
        <v>2017</v>
      </c>
      <c r="L3868" s="7" t="str">
        <f aca="false">IF(TRIM(E3868)="","Unknown",IFERROR(LEFT(TRIM(E3868),FIND(",",TRIM(E3868))-1),TRIM(E3868)))</f>
        <v>Norway</v>
      </c>
      <c r="M3868" s="7" t="str">
        <f aca="false">IFERROR(LEFT(J3868,FIND(",",J3868)-1),J3868)</f>
        <v>Children &amp; Family Movies</v>
      </c>
      <c r="N3868" s="7" t="n">
        <f aca="false">IF(B3868="Movie",IFERROR(VALUE(LEFT(I3868,FIND(" ",I3868)-1)),""),"")</f>
        <v>75</v>
      </c>
      <c r="O3868" s="7" t="str">
        <f aca="false">IF(B3868="TV Show",IFERROR(VALUE(LEFT(I3868,FIND(" ",I3868)-1)),""),"")</f>
        <v/>
      </c>
      <c r="P3868" s="7" t="n">
        <f aca="false">IF(K3868="","",K3868-G3868)</f>
        <v>1</v>
      </c>
    </row>
    <row r="3869" customFormat="false" ht="15" hidden="false" customHeight="false" outlineLevel="0" collapsed="false">
      <c r="A3869" s="7" t="n">
        <v>70281600</v>
      </c>
      <c r="B3869" s="7" t="s">
        <v>78</v>
      </c>
      <c r="C3869" s="7" t="s">
        <v>8022</v>
      </c>
      <c r="E3869" s="7" t="s">
        <v>26</v>
      </c>
      <c r="F3869" s="7" t="s">
        <v>8018</v>
      </c>
      <c r="G3869" s="7" t="n">
        <v>2011</v>
      </c>
      <c r="H3869" s="7" t="s">
        <v>50</v>
      </c>
      <c r="I3869" s="7" t="s">
        <v>82</v>
      </c>
      <c r="J3869" s="7" t="s">
        <v>696</v>
      </c>
      <c r="K3869" s="7" t="n">
        <f aca="false">IFERROR(VALUE(RIGHT(TRIM(F3869),4)),"")</f>
        <v>2017</v>
      </c>
      <c r="L3869" s="7" t="str">
        <f aca="false">IF(TRIM(E3869)="","Unknown",IFERROR(LEFT(TRIM(E3869),FIND(",",TRIM(E3869))-1),TRIM(E3869)))</f>
        <v>United States</v>
      </c>
      <c r="M3869" s="7" t="str">
        <f aca="false">IFERROR(LEFT(J3869,FIND(",",J3869)-1),J3869)</f>
        <v>Crime TV Shows</v>
      </c>
      <c r="N3869" s="7" t="str">
        <f aca="false">IF(B3869="Movie",IFERROR(VALUE(LEFT(I3869,FIND(" ",I3869)-1)),""),"")</f>
        <v/>
      </c>
      <c r="O3869" s="7" t="n">
        <f aca="false">IF(B3869="TV Show",IFERROR(VALUE(LEFT(I3869,FIND(" ",I3869)-1)),""),"")</f>
        <v>1</v>
      </c>
      <c r="P3869" s="7" t="n">
        <f aca="false">IF(K3869="","",K3869-G3869)</f>
        <v>6</v>
      </c>
    </row>
    <row r="3870" customFormat="false" ht="15" hidden="false" customHeight="false" outlineLevel="0" collapsed="false">
      <c r="A3870" s="7" t="n">
        <v>80003151</v>
      </c>
      <c r="B3870" s="7" t="s">
        <v>68</v>
      </c>
      <c r="C3870" s="7" t="s">
        <v>8023</v>
      </c>
      <c r="D3870" s="7" t="s">
        <v>8024</v>
      </c>
      <c r="E3870" s="7" t="s">
        <v>26</v>
      </c>
      <c r="F3870" s="7" t="s">
        <v>8018</v>
      </c>
      <c r="G3870" s="7" t="n">
        <v>2013</v>
      </c>
      <c r="H3870" s="7" t="s">
        <v>50</v>
      </c>
      <c r="I3870" s="7" t="s">
        <v>1028</v>
      </c>
      <c r="J3870" s="7" t="s">
        <v>341</v>
      </c>
      <c r="K3870" s="7" t="n">
        <f aca="false">IFERROR(VALUE(RIGHT(TRIM(F3870),4)),"")</f>
        <v>2017</v>
      </c>
      <c r="L3870" s="7" t="str">
        <f aca="false">IF(TRIM(E3870)="","Unknown",IFERROR(LEFT(TRIM(E3870),FIND(",",TRIM(E3870))-1),TRIM(E3870)))</f>
        <v>United States</v>
      </c>
      <c r="M3870" s="7" t="str">
        <f aca="false">IFERROR(LEFT(J3870,FIND(",",J3870)-1),J3870)</f>
        <v>Documentaries</v>
      </c>
      <c r="N3870" s="7" t="n">
        <f aca="false">IF(B3870="Movie",IFERROR(VALUE(LEFT(I3870,FIND(" ",I3870)-1)),""),"")</f>
        <v>54</v>
      </c>
      <c r="O3870" s="7" t="str">
        <f aca="false">IF(B3870="TV Show",IFERROR(VALUE(LEFT(I3870,FIND(" ",I3870)-1)),""),"")</f>
        <v/>
      </c>
      <c r="P3870" s="7" t="n">
        <f aca="false">IF(K3870="","",K3870-G3870)</f>
        <v>4</v>
      </c>
    </row>
    <row r="3871" customFormat="false" ht="15" hidden="false" customHeight="false" outlineLevel="0" collapsed="false">
      <c r="A3871" s="7" t="n">
        <v>80003152</v>
      </c>
      <c r="B3871" s="7" t="s">
        <v>68</v>
      </c>
      <c r="C3871" s="7" t="s">
        <v>8025</v>
      </c>
      <c r="D3871" s="7" t="s">
        <v>8026</v>
      </c>
      <c r="E3871" s="7" t="s">
        <v>26</v>
      </c>
      <c r="F3871" s="7" t="s">
        <v>8018</v>
      </c>
      <c r="G3871" s="7" t="n">
        <v>2013</v>
      </c>
      <c r="H3871" s="7" t="s">
        <v>50</v>
      </c>
      <c r="I3871" s="7" t="s">
        <v>1028</v>
      </c>
      <c r="J3871" s="7" t="s">
        <v>341</v>
      </c>
      <c r="K3871" s="7" t="n">
        <f aca="false">IFERROR(VALUE(RIGHT(TRIM(F3871),4)),"")</f>
        <v>2017</v>
      </c>
      <c r="L3871" s="7" t="str">
        <f aca="false">IF(TRIM(E3871)="","Unknown",IFERROR(LEFT(TRIM(E3871),FIND(",",TRIM(E3871))-1),TRIM(E3871)))</f>
        <v>United States</v>
      </c>
      <c r="M3871" s="7" t="str">
        <f aca="false">IFERROR(LEFT(J3871,FIND(",",J3871)-1),J3871)</f>
        <v>Documentaries</v>
      </c>
      <c r="N3871" s="7" t="n">
        <f aca="false">IF(B3871="Movie",IFERROR(VALUE(LEFT(I3871,FIND(" ",I3871)-1)),""),"")</f>
        <v>54</v>
      </c>
      <c r="O3871" s="7" t="str">
        <f aca="false">IF(B3871="TV Show",IFERROR(VALUE(LEFT(I3871,FIND(" ",I3871)-1)),""),"")</f>
        <v/>
      </c>
      <c r="P3871" s="7" t="n">
        <f aca="false">IF(K3871="","",K3871-G3871)</f>
        <v>4</v>
      </c>
    </row>
    <row r="3872" customFormat="false" ht="15" hidden="false" customHeight="false" outlineLevel="0" collapsed="false">
      <c r="A3872" s="7" t="n">
        <v>80012477</v>
      </c>
      <c r="B3872" s="7" t="s">
        <v>68</v>
      </c>
      <c r="C3872" s="7" t="s">
        <v>8027</v>
      </c>
      <c r="D3872" s="7" t="s">
        <v>8028</v>
      </c>
      <c r="E3872" s="7" t="s">
        <v>28</v>
      </c>
      <c r="F3872" s="7" t="s">
        <v>8018</v>
      </c>
      <c r="G3872" s="7" t="n">
        <v>2014</v>
      </c>
      <c r="H3872" s="7" t="s">
        <v>50</v>
      </c>
      <c r="I3872" s="7" t="s">
        <v>1595</v>
      </c>
      <c r="J3872" s="7" t="s">
        <v>341</v>
      </c>
      <c r="K3872" s="7" t="n">
        <f aca="false">IFERROR(VALUE(RIGHT(TRIM(F3872),4)),"")</f>
        <v>2017</v>
      </c>
      <c r="L3872" s="7" t="str">
        <f aca="false">IF(TRIM(E3872)="","Unknown",IFERROR(LEFT(TRIM(E3872),FIND(",",TRIM(E3872))-1),TRIM(E3872)))</f>
        <v>United Kingdom</v>
      </c>
      <c r="M3872" s="7" t="str">
        <f aca="false">IFERROR(LEFT(J3872,FIND(",",J3872)-1),J3872)</f>
        <v>Documentaries</v>
      </c>
      <c r="N3872" s="7" t="n">
        <f aca="false">IF(B3872="Movie",IFERROR(VALUE(LEFT(I3872,FIND(" ",I3872)-1)),""),"")</f>
        <v>55</v>
      </c>
      <c r="O3872" s="7" t="str">
        <f aca="false">IF(B3872="TV Show",IFERROR(VALUE(LEFT(I3872,FIND(" ",I3872)-1)),""),"")</f>
        <v/>
      </c>
      <c r="P3872" s="7" t="n">
        <f aca="false">IF(K3872="","",K3872-G3872)</f>
        <v>3</v>
      </c>
    </row>
    <row r="3873" customFormat="false" ht="15" hidden="false" customHeight="false" outlineLevel="0" collapsed="false">
      <c r="A3873" s="7" t="n">
        <v>80003153</v>
      </c>
      <c r="B3873" s="7" t="s">
        <v>68</v>
      </c>
      <c r="C3873" s="7" t="s">
        <v>8029</v>
      </c>
      <c r="D3873" s="7" t="s">
        <v>8030</v>
      </c>
      <c r="E3873" s="7" t="s">
        <v>26</v>
      </c>
      <c r="F3873" s="7" t="s">
        <v>8018</v>
      </c>
      <c r="G3873" s="7" t="n">
        <v>2013</v>
      </c>
      <c r="H3873" s="7" t="s">
        <v>50</v>
      </c>
      <c r="I3873" s="7" t="s">
        <v>1028</v>
      </c>
      <c r="J3873" s="7" t="s">
        <v>341</v>
      </c>
      <c r="K3873" s="7" t="n">
        <f aca="false">IFERROR(VALUE(RIGHT(TRIM(F3873),4)),"")</f>
        <v>2017</v>
      </c>
      <c r="L3873" s="7" t="str">
        <f aca="false">IF(TRIM(E3873)="","Unknown",IFERROR(LEFT(TRIM(E3873),FIND(",",TRIM(E3873))-1),TRIM(E3873)))</f>
        <v>United States</v>
      </c>
      <c r="M3873" s="7" t="str">
        <f aca="false">IFERROR(LEFT(J3873,FIND(",",J3873)-1),J3873)</f>
        <v>Documentaries</v>
      </c>
      <c r="N3873" s="7" t="n">
        <f aca="false">IF(B3873="Movie",IFERROR(VALUE(LEFT(I3873,FIND(" ",I3873)-1)),""),"")</f>
        <v>54</v>
      </c>
      <c r="O3873" s="7" t="str">
        <f aca="false">IF(B3873="TV Show",IFERROR(VALUE(LEFT(I3873,FIND(" ",I3873)-1)),""),"")</f>
        <v/>
      </c>
      <c r="P3873" s="7" t="n">
        <f aca="false">IF(K3873="","",K3873-G3873)</f>
        <v>4</v>
      </c>
    </row>
    <row r="3874" customFormat="false" ht="15" hidden="false" customHeight="false" outlineLevel="0" collapsed="false">
      <c r="A3874" s="7" t="n">
        <v>70296573</v>
      </c>
      <c r="B3874" s="7" t="s">
        <v>68</v>
      </c>
      <c r="C3874" s="7" t="s">
        <v>8031</v>
      </c>
      <c r="D3874" s="7" t="s">
        <v>8030</v>
      </c>
      <c r="E3874" s="7" t="s">
        <v>28</v>
      </c>
      <c r="F3874" s="7" t="s">
        <v>8018</v>
      </c>
      <c r="G3874" s="7" t="n">
        <v>2013</v>
      </c>
      <c r="H3874" s="7" t="s">
        <v>50</v>
      </c>
      <c r="I3874" s="7" t="s">
        <v>1595</v>
      </c>
      <c r="J3874" s="7" t="s">
        <v>39</v>
      </c>
      <c r="K3874" s="7" t="n">
        <f aca="false">IFERROR(VALUE(RIGHT(TRIM(F3874),4)),"")</f>
        <v>2017</v>
      </c>
      <c r="L3874" s="7" t="str">
        <f aca="false">IF(TRIM(E3874)="","Unknown",IFERROR(LEFT(TRIM(E3874),FIND(",",TRIM(E3874))-1),TRIM(E3874)))</f>
        <v>United Kingdom</v>
      </c>
      <c r="M3874" s="7" t="str">
        <f aca="false">IFERROR(LEFT(J3874,FIND(",",J3874)-1),J3874)</f>
        <v>Documentaries</v>
      </c>
      <c r="N3874" s="7" t="n">
        <f aca="false">IF(B3874="Movie",IFERROR(VALUE(LEFT(I3874,FIND(" ",I3874)-1)),""),"")</f>
        <v>55</v>
      </c>
      <c r="O3874" s="7" t="str">
        <f aca="false">IF(B3874="TV Show",IFERROR(VALUE(LEFT(I3874,FIND(" ",I3874)-1)),""),"")</f>
        <v/>
      </c>
      <c r="P3874" s="7" t="n">
        <f aca="false">IF(K3874="","",K3874-G3874)</f>
        <v>4</v>
      </c>
    </row>
    <row r="3875" customFormat="false" ht="15" hidden="false" customHeight="false" outlineLevel="0" collapsed="false">
      <c r="A3875" s="7" t="n">
        <v>70202579</v>
      </c>
      <c r="B3875" s="7" t="s">
        <v>78</v>
      </c>
      <c r="C3875" s="7" t="s">
        <v>8032</v>
      </c>
      <c r="E3875" s="7" t="s">
        <v>26</v>
      </c>
      <c r="F3875" s="7" t="s">
        <v>8018</v>
      </c>
      <c r="G3875" s="7" t="n">
        <v>2007</v>
      </c>
      <c r="H3875" s="7" t="s">
        <v>49</v>
      </c>
      <c r="I3875" s="7" t="s">
        <v>82</v>
      </c>
      <c r="J3875" s="7" t="s">
        <v>164</v>
      </c>
      <c r="K3875" s="7" t="n">
        <f aca="false">IFERROR(VALUE(RIGHT(TRIM(F3875),4)),"")</f>
        <v>2017</v>
      </c>
      <c r="L3875" s="7" t="str">
        <f aca="false">IF(TRIM(E3875)="","Unknown",IFERROR(LEFT(TRIM(E3875),FIND(",",TRIM(E3875))-1),TRIM(E3875)))</f>
        <v>United States</v>
      </c>
      <c r="M3875" s="7" t="str">
        <f aca="false">IFERROR(LEFT(J3875,FIND(",",J3875)-1),J3875)</f>
        <v>Docuseries</v>
      </c>
      <c r="N3875" s="7" t="str">
        <f aca="false">IF(B3875="Movie",IFERROR(VALUE(LEFT(I3875,FIND(" ",I3875)-1)),""),"")</f>
        <v/>
      </c>
      <c r="O3875" s="7" t="n">
        <f aca="false">IF(B3875="TV Show",IFERROR(VALUE(LEFT(I3875,FIND(" ",I3875)-1)),""),"")</f>
        <v>1</v>
      </c>
      <c r="P3875" s="7" t="n">
        <f aca="false">IF(K3875="","",K3875-G3875)</f>
        <v>10</v>
      </c>
    </row>
    <row r="3876" customFormat="false" ht="15" hidden="false" customHeight="false" outlineLevel="0" collapsed="false">
      <c r="A3876" s="7" t="n">
        <v>80236133</v>
      </c>
      <c r="B3876" s="7" t="s">
        <v>68</v>
      </c>
      <c r="C3876" s="7" t="s">
        <v>8033</v>
      </c>
      <c r="D3876" s="7" t="s">
        <v>8034</v>
      </c>
      <c r="E3876" s="7" t="s">
        <v>32</v>
      </c>
      <c r="F3876" s="7" t="s">
        <v>8035</v>
      </c>
      <c r="G3876" s="7" t="n">
        <v>2018</v>
      </c>
      <c r="H3876" s="7" t="s">
        <v>48</v>
      </c>
      <c r="I3876" s="7" t="s">
        <v>594</v>
      </c>
      <c r="J3876" s="7" t="s">
        <v>182</v>
      </c>
      <c r="K3876" s="7" t="n">
        <f aca="false">IFERROR(VALUE(RIGHT(TRIM(F3876),4)),"")</f>
        <v>2019</v>
      </c>
      <c r="L3876" s="7" t="str">
        <f aca="false">IF(TRIM(E3876)="","Unknown",IFERROR(LEFT(TRIM(E3876),FIND(",",TRIM(E3876))-1),TRIM(E3876)))</f>
        <v>South Korea</v>
      </c>
      <c r="M3876" s="7" t="str">
        <f aca="false">IFERROR(LEFT(J3876,FIND(",",J3876)-1),J3876)</f>
        <v>Dramas</v>
      </c>
      <c r="N3876" s="7" t="n">
        <f aca="false">IF(B3876="Movie",IFERROR(VALUE(LEFT(I3876,FIND(" ",I3876)-1)),""),"")</f>
        <v>139</v>
      </c>
      <c r="O3876" s="7" t="str">
        <f aca="false">IF(B3876="TV Show",IFERROR(VALUE(LEFT(I3876,FIND(" ",I3876)-1)),""),"")</f>
        <v/>
      </c>
      <c r="P3876" s="7" t="n">
        <f aca="false">IF(K3876="","",K3876-G3876)</f>
        <v>1</v>
      </c>
    </row>
    <row r="3877" customFormat="false" ht="15" hidden="false" customHeight="false" outlineLevel="0" collapsed="false">
      <c r="A3877" s="7" t="n">
        <v>81069254</v>
      </c>
      <c r="B3877" s="7" t="s">
        <v>68</v>
      </c>
      <c r="C3877" s="7" t="s">
        <v>8036</v>
      </c>
      <c r="D3877" s="7" t="s">
        <v>8037</v>
      </c>
      <c r="E3877" s="7" t="s">
        <v>28</v>
      </c>
      <c r="F3877" s="7" t="s">
        <v>8035</v>
      </c>
      <c r="G3877" s="7" t="n">
        <v>2018</v>
      </c>
      <c r="H3877" s="7" t="s">
        <v>48</v>
      </c>
      <c r="I3877" s="7" t="s">
        <v>330</v>
      </c>
      <c r="J3877" s="7" t="s">
        <v>304</v>
      </c>
      <c r="K3877" s="7" t="n">
        <f aca="false">IFERROR(VALUE(RIGHT(TRIM(F3877),4)),"")</f>
        <v>2019</v>
      </c>
      <c r="L3877" s="7" t="str">
        <f aca="false">IF(TRIM(E3877)="","Unknown",IFERROR(LEFT(TRIM(E3877),FIND(",",TRIM(E3877))-1),TRIM(E3877)))</f>
        <v>United Kingdom</v>
      </c>
      <c r="M3877" s="7" t="str">
        <f aca="false">IFERROR(LEFT(J3877,FIND(",",J3877)-1),J3877)</f>
        <v>Dramas</v>
      </c>
      <c r="N3877" s="7" t="n">
        <f aca="false">IF(B3877="Movie",IFERROR(VALUE(LEFT(I3877,FIND(" ",I3877)-1)),""),"")</f>
        <v>103</v>
      </c>
      <c r="O3877" s="7" t="str">
        <f aca="false">IF(B3877="TV Show",IFERROR(VALUE(LEFT(I3877,FIND(" ",I3877)-1)),""),"")</f>
        <v/>
      </c>
      <c r="P3877" s="7" t="n">
        <f aca="false">IF(K3877="","",K3877-G3877)</f>
        <v>1</v>
      </c>
    </row>
    <row r="3878" customFormat="false" ht="15" hidden="false" customHeight="false" outlineLevel="0" collapsed="false">
      <c r="A3878" s="7" t="n">
        <v>80223050</v>
      </c>
      <c r="B3878" s="7" t="s">
        <v>68</v>
      </c>
      <c r="C3878" s="7" t="s">
        <v>8038</v>
      </c>
      <c r="D3878" s="7" t="s">
        <v>8039</v>
      </c>
      <c r="E3878" s="7" t="s">
        <v>32</v>
      </c>
      <c r="F3878" s="7" t="s">
        <v>8040</v>
      </c>
      <c r="G3878" s="7" t="n">
        <v>2017</v>
      </c>
      <c r="H3878" s="7" t="s">
        <v>48</v>
      </c>
      <c r="I3878" s="7" t="s">
        <v>790</v>
      </c>
      <c r="J3878" s="7" t="s">
        <v>182</v>
      </c>
      <c r="K3878" s="7" t="n">
        <f aca="false">IFERROR(VALUE(RIGHT(TRIM(F3878),4)),"")</f>
        <v>2018</v>
      </c>
      <c r="L3878" s="7" t="str">
        <f aca="false">IF(TRIM(E3878)="","Unknown",IFERROR(LEFT(TRIM(E3878),FIND(",",TRIM(E3878))-1),TRIM(E3878)))</f>
        <v>South Korea</v>
      </c>
      <c r="M3878" s="7" t="str">
        <f aca="false">IFERROR(LEFT(J3878,FIND(",",J3878)-1),J3878)</f>
        <v>Dramas</v>
      </c>
      <c r="N3878" s="7" t="n">
        <f aca="false">IF(B3878="Movie",IFERROR(VALUE(LEFT(I3878,FIND(" ",I3878)-1)),""),"")</f>
        <v>109</v>
      </c>
      <c r="O3878" s="7" t="str">
        <f aca="false">IF(B3878="TV Show",IFERROR(VALUE(LEFT(I3878,FIND(" ",I3878)-1)),""),"")</f>
        <v/>
      </c>
      <c r="P3878" s="7" t="n">
        <f aca="false">IF(K3878="","",K3878-G3878)</f>
        <v>1</v>
      </c>
    </row>
    <row r="3879" customFormat="false" ht="15" hidden="false" customHeight="false" outlineLevel="0" collapsed="false">
      <c r="A3879" s="7" t="n">
        <v>70251896</v>
      </c>
      <c r="B3879" s="7" t="s">
        <v>68</v>
      </c>
      <c r="C3879" s="7" t="s">
        <v>8041</v>
      </c>
      <c r="D3879" s="7" t="s">
        <v>2801</v>
      </c>
      <c r="E3879" s="7" t="s">
        <v>3581</v>
      </c>
      <c r="F3879" s="7" t="s">
        <v>8040</v>
      </c>
      <c r="G3879" s="7" t="n">
        <v>2012</v>
      </c>
      <c r="H3879" s="7" t="s">
        <v>52</v>
      </c>
      <c r="I3879" s="7" t="s">
        <v>1777</v>
      </c>
      <c r="J3879" s="7" t="s">
        <v>37</v>
      </c>
      <c r="K3879" s="7" t="n">
        <f aca="false">IFERROR(VALUE(RIGHT(TRIM(F3879),4)),"")</f>
        <v>2018</v>
      </c>
      <c r="L3879" s="7" t="str">
        <f aca="false">IF(TRIM(E3879)="","Unknown",IFERROR(LEFT(TRIM(E3879),FIND(",",TRIM(E3879))-1),TRIM(E3879)))</f>
        <v>United States</v>
      </c>
      <c r="M3879" s="7" t="str">
        <f aca="false">IFERROR(LEFT(J3879,FIND(",",J3879)-1),J3879)</f>
        <v>Dramas</v>
      </c>
      <c r="N3879" s="7" t="n">
        <f aca="false">IF(B3879="Movie",IFERROR(VALUE(LEFT(I3879,FIND(" ",I3879)-1)),""),"")</f>
        <v>150</v>
      </c>
      <c r="O3879" s="7" t="str">
        <f aca="false">IF(B3879="TV Show",IFERROR(VALUE(LEFT(I3879,FIND(" ",I3879)-1)),""),"")</f>
        <v/>
      </c>
      <c r="P3879" s="7" t="n">
        <f aca="false">IF(K3879="","",K3879-G3879)</f>
        <v>6</v>
      </c>
    </row>
    <row r="3880" customFormat="false" ht="15" hidden="false" customHeight="false" outlineLevel="0" collapsed="false">
      <c r="A3880" s="7" t="n">
        <v>80198735</v>
      </c>
      <c r="B3880" s="7" t="s">
        <v>68</v>
      </c>
      <c r="C3880" s="7" t="s">
        <v>8042</v>
      </c>
      <c r="D3880" s="7" t="s">
        <v>8043</v>
      </c>
      <c r="E3880" s="7" t="s">
        <v>26</v>
      </c>
      <c r="F3880" s="7" t="s">
        <v>8040</v>
      </c>
      <c r="G3880" s="7" t="n">
        <v>2017</v>
      </c>
      <c r="H3880" s="7" t="s">
        <v>49</v>
      </c>
      <c r="I3880" s="7" t="s">
        <v>205</v>
      </c>
      <c r="J3880" s="7" t="s">
        <v>37</v>
      </c>
      <c r="K3880" s="7" t="n">
        <f aca="false">IFERROR(VALUE(RIGHT(TRIM(F3880),4)),"")</f>
        <v>2018</v>
      </c>
      <c r="L3880" s="7" t="str">
        <f aca="false">IF(TRIM(E3880)="","Unknown",IFERROR(LEFT(TRIM(E3880),FIND(",",TRIM(E3880))-1),TRIM(E3880)))</f>
        <v>United States</v>
      </c>
      <c r="M3880" s="7" t="str">
        <f aca="false">IFERROR(LEFT(J3880,FIND(",",J3880)-1),J3880)</f>
        <v>Dramas</v>
      </c>
      <c r="N3880" s="7" t="n">
        <f aca="false">IF(B3880="Movie",IFERROR(VALUE(LEFT(I3880,FIND(" ",I3880)-1)),""),"")</f>
        <v>100</v>
      </c>
      <c r="O3880" s="7" t="str">
        <f aca="false">IF(B3880="TV Show",IFERROR(VALUE(LEFT(I3880,FIND(" ",I3880)-1)),""),"")</f>
        <v/>
      </c>
      <c r="P3880" s="7" t="n">
        <f aca="false">IF(K3880="","",K3880-G3880)</f>
        <v>1</v>
      </c>
    </row>
    <row r="3881" customFormat="false" ht="15" hidden="false" customHeight="false" outlineLevel="0" collapsed="false">
      <c r="A3881" s="7" t="n">
        <v>80134969</v>
      </c>
      <c r="B3881" s="7" t="s">
        <v>68</v>
      </c>
      <c r="C3881" s="7" t="s">
        <v>8044</v>
      </c>
      <c r="D3881" s="7" t="s">
        <v>2839</v>
      </c>
      <c r="E3881" s="7" t="s">
        <v>26</v>
      </c>
      <c r="F3881" s="7" t="s">
        <v>8045</v>
      </c>
      <c r="G3881" s="7" t="n">
        <v>2017</v>
      </c>
      <c r="H3881" s="7" t="s">
        <v>49</v>
      </c>
      <c r="I3881" s="7" t="s">
        <v>876</v>
      </c>
      <c r="J3881" s="7" t="s">
        <v>45</v>
      </c>
      <c r="K3881" s="7" t="n">
        <f aca="false">IFERROR(VALUE(RIGHT(TRIM(F3881),4)),"")</f>
        <v>2017</v>
      </c>
      <c r="L3881" s="7" t="str">
        <f aca="false">IF(TRIM(E3881)="","Unknown",IFERROR(LEFT(TRIM(E3881),FIND(",",TRIM(E3881))-1),TRIM(E3881)))</f>
        <v>United States</v>
      </c>
      <c r="M3881" s="7" t="str">
        <f aca="false">IFERROR(LEFT(J3881,FIND(",",J3881)-1),J3881)</f>
        <v>Stand-Up Comedy</v>
      </c>
      <c r="N3881" s="7" t="n">
        <f aca="false">IF(B3881="Movie",IFERROR(VALUE(LEFT(I3881,FIND(" ",I3881)-1)),""),"")</f>
        <v>67</v>
      </c>
      <c r="O3881" s="7" t="str">
        <f aca="false">IF(B3881="TV Show",IFERROR(VALUE(LEFT(I3881,FIND(" ",I3881)-1)),""),"")</f>
        <v/>
      </c>
      <c r="P3881" s="7" t="n">
        <f aca="false">IF(K3881="","",K3881-G3881)</f>
        <v>0</v>
      </c>
    </row>
    <row r="3882" customFormat="false" ht="15" hidden="false" customHeight="false" outlineLevel="0" collapsed="false">
      <c r="A3882" s="7" t="n">
        <v>70166234</v>
      </c>
      <c r="B3882" s="7" t="s">
        <v>68</v>
      </c>
      <c r="C3882" s="7" t="s">
        <v>8046</v>
      </c>
      <c r="D3882" s="7" t="s">
        <v>8047</v>
      </c>
      <c r="E3882" s="7" t="s">
        <v>26</v>
      </c>
      <c r="F3882" s="7" t="s">
        <v>8048</v>
      </c>
      <c r="G3882" s="7" t="n">
        <v>2011</v>
      </c>
      <c r="H3882" s="7" t="s">
        <v>54</v>
      </c>
      <c r="I3882" s="7" t="s">
        <v>661</v>
      </c>
      <c r="J3882" s="7" t="s">
        <v>39</v>
      </c>
      <c r="K3882" s="7" t="n">
        <f aca="false">IFERROR(VALUE(RIGHT(TRIM(F3882),4)),"")</f>
        <v>2012</v>
      </c>
      <c r="L3882" s="7" t="str">
        <f aca="false">IF(TRIM(E3882)="","Unknown",IFERROR(LEFT(TRIM(E3882),FIND(",",TRIM(E3882))-1),TRIM(E3882)))</f>
        <v>United States</v>
      </c>
      <c r="M3882" s="7" t="str">
        <f aca="false">IFERROR(LEFT(J3882,FIND(",",J3882)-1),J3882)</f>
        <v>Documentaries</v>
      </c>
      <c r="N3882" s="7" t="n">
        <f aca="false">IF(B3882="Movie",IFERROR(VALUE(LEFT(I3882,FIND(" ",I3882)-1)),""),"")</f>
        <v>76</v>
      </c>
      <c r="O3882" s="7" t="str">
        <f aca="false">IF(B3882="TV Show",IFERROR(VALUE(LEFT(I3882,FIND(" ",I3882)-1)),""),"")</f>
        <v/>
      </c>
      <c r="P3882" s="7" t="n">
        <f aca="false">IF(K3882="","",K3882-G3882)</f>
        <v>1</v>
      </c>
    </row>
    <row r="3883" customFormat="false" ht="15" hidden="false" customHeight="false" outlineLevel="0" collapsed="false">
      <c r="A3883" s="7" t="n">
        <v>60031404</v>
      </c>
      <c r="B3883" s="7" t="s">
        <v>68</v>
      </c>
      <c r="C3883" s="7" t="s">
        <v>8049</v>
      </c>
      <c r="D3883" s="7" t="s">
        <v>8050</v>
      </c>
      <c r="E3883" s="7" t="s">
        <v>26</v>
      </c>
      <c r="F3883" s="7" t="s">
        <v>8051</v>
      </c>
      <c r="G3883" s="7" t="n">
        <v>2001</v>
      </c>
      <c r="H3883" s="7" t="s">
        <v>50</v>
      </c>
      <c r="I3883" s="7" t="s">
        <v>405</v>
      </c>
      <c r="J3883" s="7" t="s">
        <v>45</v>
      </c>
      <c r="K3883" s="7" t="n">
        <f aca="false">IFERROR(VALUE(RIGHT(TRIM(F3883),4)),"")</f>
        <v>2019</v>
      </c>
      <c r="L3883" s="7" t="str">
        <f aca="false">IF(TRIM(E3883)="","Unknown",IFERROR(LEFT(TRIM(E3883),FIND(",",TRIM(E3883))-1),TRIM(E3883)))</f>
        <v>United States</v>
      </c>
      <c r="M3883" s="7" t="str">
        <f aca="false">IFERROR(LEFT(J3883,FIND(",",J3883)-1),J3883)</f>
        <v>Stand-Up Comedy</v>
      </c>
      <c r="N3883" s="7" t="n">
        <f aca="false">IF(B3883="Movie",IFERROR(VALUE(LEFT(I3883,FIND(" ",I3883)-1)),""),"")</f>
        <v>42</v>
      </c>
      <c r="O3883" s="7" t="str">
        <f aca="false">IF(B3883="TV Show",IFERROR(VALUE(LEFT(I3883,FIND(" ",I3883)-1)),""),"")</f>
        <v/>
      </c>
      <c r="P3883" s="7" t="n">
        <f aca="false">IF(K3883="","",K3883-G3883)</f>
        <v>18</v>
      </c>
    </row>
    <row r="3884" customFormat="false" ht="15" hidden="false" customHeight="false" outlineLevel="0" collapsed="false">
      <c r="A3884" s="7" t="n">
        <v>81031652</v>
      </c>
      <c r="B3884" s="7" t="s">
        <v>68</v>
      </c>
      <c r="C3884" s="7" t="s">
        <v>8052</v>
      </c>
      <c r="D3884" s="7" t="s">
        <v>8053</v>
      </c>
      <c r="E3884" s="7" t="s">
        <v>29</v>
      </c>
      <c r="F3884" s="7" t="s">
        <v>8051</v>
      </c>
      <c r="G3884" s="7" t="n">
        <v>2017</v>
      </c>
      <c r="H3884" s="7" t="s">
        <v>48</v>
      </c>
      <c r="I3884" s="7" t="s">
        <v>143</v>
      </c>
      <c r="J3884" s="7" t="s">
        <v>1211</v>
      </c>
      <c r="K3884" s="7" t="n">
        <f aca="false">IFERROR(VALUE(RIGHT(TRIM(F3884),4)),"")</f>
        <v>2019</v>
      </c>
      <c r="L3884" s="7" t="str">
        <f aca="false">IF(TRIM(E3884)="","Unknown",IFERROR(LEFT(TRIM(E3884),FIND(",",TRIM(E3884))-1),TRIM(E3884)))</f>
        <v>Canada</v>
      </c>
      <c r="M3884" s="7" t="str">
        <f aca="false">IFERROR(LEFT(J3884,FIND(",",J3884)-1),J3884)</f>
        <v>Documentaries</v>
      </c>
      <c r="N3884" s="7" t="n">
        <f aca="false">IF(B3884="Movie",IFERROR(VALUE(LEFT(I3884,FIND(" ",I3884)-1)),""),"")</f>
        <v>79</v>
      </c>
      <c r="O3884" s="7" t="str">
        <f aca="false">IF(B3884="TV Show",IFERROR(VALUE(LEFT(I3884,FIND(" ",I3884)-1)),""),"")</f>
        <v/>
      </c>
      <c r="P3884" s="7" t="n">
        <f aca="false">IF(K3884="","",K3884-G3884)</f>
        <v>2</v>
      </c>
    </row>
    <row r="3885" customFormat="false" ht="15" hidden="false" customHeight="false" outlineLevel="0" collapsed="false">
      <c r="A3885" s="7" t="n">
        <v>80108610</v>
      </c>
      <c r="B3885" s="7" t="s">
        <v>68</v>
      </c>
      <c r="C3885" s="7" t="s">
        <v>8054</v>
      </c>
      <c r="D3885" s="7" t="s">
        <v>8055</v>
      </c>
      <c r="E3885" s="7" t="s">
        <v>8056</v>
      </c>
      <c r="F3885" s="7" t="s">
        <v>8057</v>
      </c>
      <c r="G3885" s="7" t="n">
        <v>2016</v>
      </c>
      <c r="H3885" s="7" t="s">
        <v>226</v>
      </c>
      <c r="I3885" s="7" t="s">
        <v>1191</v>
      </c>
      <c r="J3885" s="7" t="s">
        <v>341</v>
      </c>
      <c r="K3885" s="7" t="n">
        <f aca="false">IFERROR(VALUE(RIGHT(TRIM(F3885),4)),"")</f>
        <v>2018</v>
      </c>
      <c r="L3885" s="7" t="str">
        <f aca="false">IF(TRIM(E3885)="","Unknown",IFERROR(LEFT(TRIM(E3885),FIND(",",TRIM(E3885))-1),TRIM(E3885)))</f>
        <v>Netherlands</v>
      </c>
      <c r="M3885" s="7" t="str">
        <f aca="false">IFERROR(LEFT(J3885,FIND(",",J3885)-1),J3885)</f>
        <v>Documentaries</v>
      </c>
      <c r="N3885" s="7" t="n">
        <f aca="false">IF(B3885="Movie",IFERROR(VALUE(LEFT(I3885,FIND(" ",I3885)-1)),""),"")</f>
        <v>73</v>
      </c>
      <c r="O3885" s="7" t="str">
        <f aca="false">IF(B3885="TV Show",IFERROR(VALUE(LEFT(I3885,FIND(" ",I3885)-1)),""),"")</f>
        <v/>
      </c>
      <c r="P3885" s="7" t="n">
        <f aca="false">IF(K3885="","",K3885-G3885)</f>
        <v>2</v>
      </c>
    </row>
    <row r="3886" customFormat="false" ht="15" hidden="false" customHeight="false" outlineLevel="0" collapsed="false">
      <c r="A3886" s="7" t="n">
        <v>80217121</v>
      </c>
      <c r="B3886" s="7" t="s">
        <v>68</v>
      </c>
      <c r="C3886" s="7" t="s">
        <v>8058</v>
      </c>
      <c r="D3886" s="7" t="s">
        <v>8059</v>
      </c>
      <c r="E3886" s="7" t="s">
        <v>8060</v>
      </c>
      <c r="F3886" s="7" t="s">
        <v>8057</v>
      </c>
      <c r="G3886" s="7" t="n">
        <v>2017</v>
      </c>
      <c r="H3886" s="7" t="s">
        <v>52</v>
      </c>
      <c r="I3886" s="7" t="s">
        <v>272</v>
      </c>
      <c r="J3886" s="7" t="s">
        <v>1539</v>
      </c>
      <c r="K3886" s="7" t="n">
        <f aca="false">IFERROR(VALUE(RIGHT(TRIM(F3886),4)),"")</f>
        <v>2018</v>
      </c>
      <c r="L3886" s="7" t="str">
        <f aca="false">IF(TRIM(E3886)="","Unknown",IFERROR(LEFT(TRIM(E3886),FIND(",",TRIM(E3886))-1),TRIM(E3886)))</f>
        <v>Ireland</v>
      </c>
      <c r="M3886" s="7" t="str">
        <f aca="false">IFERROR(LEFT(J3886,FIND(",",J3886)-1),J3886)</f>
        <v>Children &amp; Family Movies</v>
      </c>
      <c r="N3886" s="7" t="n">
        <f aca="false">IF(B3886="Movie",IFERROR(VALUE(LEFT(I3886,FIND(" ",I3886)-1)),""),"")</f>
        <v>93</v>
      </c>
      <c r="O3886" s="7" t="str">
        <f aca="false">IF(B3886="TV Show",IFERROR(VALUE(LEFT(I3886,FIND(" ",I3886)-1)),""),"")</f>
        <v/>
      </c>
      <c r="P3886" s="7" t="n">
        <f aca="false">IF(K3886="","",K3886-G3886)</f>
        <v>1</v>
      </c>
    </row>
    <row r="3887" customFormat="false" ht="15" hidden="false" customHeight="false" outlineLevel="0" collapsed="false">
      <c r="A3887" s="7" t="n">
        <v>80117596</v>
      </c>
      <c r="B3887" s="7" t="s">
        <v>68</v>
      </c>
      <c r="C3887" s="7" t="s">
        <v>8061</v>
      </c>
      <c r="D3887" s="7" t="s">
        <v>2128</v>
      </c>
      <c r="E3887" s="7" t="s">
        <v>27</v>
      </c>
      <c r="F3887" s="7" t="s">
        <v>8062</v>
      </c>
      <c r="G3887" s="7" t="n">
        <v>2016</v>
      </c>
      <c r="H3887" s="7" t="s">
        <v>48</v>
      </c>
      <c r="I3887" s="7" t="s">
        <v>2053</v>
      </c>
      <c r="J3887" s="7" t="s">
        <v>1042</v>
      </c>
      <c r="K3887" s="7" t="n">
        <f aca="false">IFERROR(VALUE(RIGHT(TRIM(F3887),4)),"")</f>
        <v>2017</v>
      </c>
      <c r="L3887" s="7" t="str">
        <f aca="false">IF(TRIM(E3887)="","Unknown",IFERROR(LEFT(TRIM(E3887),FIND(",",TRIM(E3887))-1),TRIM(E3887)))</f>
        <v>India</v>
      </c>
      <c r="M3887" s="7" t="str">
        <f aca="false">IFERROR(LEFT(J3887,FIND(",",J3887)-1),J3887)</f>
        <v>Dramas</v>
      </c>
      <c r="N3887" s="7" t="n">
        <f aca="false">IF(B3887="Movie",IFERROR(VALUE(LEFT(I3887,FIND(" ",I3887)-1)),""),"")</f>
        <v>129</v>
      </c>
      <c r="O3887" s="7" t="str">
        <f aca="false">IF(B3887="TV Show",IFERROR(VALUE(LEFT(I3887,FIND(" ",I3887)-1)),""),"")</f>
        <v/>
      </c>
      <c r="P3887" s="7" t="n">
        <f aca="false">IF(K3887="","",K3887-G3887)</f>
        <v>1</v>
      </c>
    </row>
    <row r="3888" customFormat="false" ht="15" hidden="false" customHeight="false" outlineLevel="0" collapsed="false">
      <c r="A3888" s="7" t="n">
        <v>81060040</v>
      </c>
      <c r="B3888" s="7" t="s">
        <v>68</v>
      </c>
      <c r="C3888" s="7" t="s">
        <v>8063</v>
      </c>
      <c r="D3888" s="7" t="s">
        <v>8064</v>
      </c>
      <c r="E3888" s="7" t="s">
        <v>26</v>
      </c>
      <c r="F3888" s="7" t="s">
        <v>8065</v>
      </c>
      <c r="G3888" s="7" t="n">
        <v>2018</v>
      </c>
      <c r="H3888" s="7" t="s">
        <v>48</v>
      </c>
      <c r="I3888" s="7" t="s">
        <v>613</v>
      </c>
      <c r="J3888" s="7" t="s">
        <v>147</v>
      </c>
      <c r="K3888" s="7" t="n">
        <f aca="false">IFERROR(VALUE(RIGHT(TRIM(F3888),4)),"")</f>
        <v>2019</v>
      </c>
      <c r="L3888" s="7" t="str">
        <f aca="false">IF(TRIM(E3888)="","Unknown",IFERROR(LEFT(TRIM(E3888),FIND(",",TRIM(E3888))-1),TRIM(E3888)))</f>
        <v>United States</v>
      </c>
      <c r="M3888" s="7" t="str">
        <f aca="false">IFERROR(LEFT(J3888,FIND(",",J3888)-1),J3888)</f>
        <v>Horror Movies</v>
      </c>
      <c r="N3888" s="7" t="n">
        <f aca="false">IF(B3888="Movie",IFERROR(VALUE(LEFT(I3888,FIND(" ",I3888)-1)),""),"")</f>
        <v>84</v>
      </c>
      <c r="O3888" s="7" t="str">
        <f aca="false">IF(B3888="TV Show",IFERROR(VALUE(LEFT(I3888,FIND(" ",I3888)-1)),""),"")</f>
        <v/>
      </c>
      <c r="P3888" s="7" t="n">
        <f aca="false">IF(K3888="","",K3888-G3888)</f>
        <v>1</v>
      </c>
    </row>
    <row r="3889" customFormat="false" ht="15" hidden="false" customHeight="false" outlineLevel="0" collapsed="false">
      <c r="A3889" s="7" t="n">
        <v>81005266</v>
      </c>
      <c r="B3889" s="7" t="s">
        <v>68</v>
      </c>
      <c r="C3889" s="7" t="s">
        <v>8066</v>
      </c>
      <c r="D3889" s="7" t="s">
        <v>8067</v>
      </c>
      <c r="E3889" s="7" t="s">
        <v>28</v>
      </c>
      <c r="F3889" s="7" t="s">
        <v>8065</v>
      </c>
      <c r="G3889" s="7" t="n">
        <v>2018</v>
      </c>
      <c r="H3889" s="7" t="s">
        <v>48</v>
      </c>
      <c r="I3889" s="7" t="s">
        <v>470</v>
      </c>
      <c r="J3889" s="7" t="s">
        <v>7375</v>
      </c>
      <c r="K3889" s="7" t="n">
        <f aca="false">IFERROR(VALUE(RIGHT(TRIM(F3889),4)),"")</f>
        <v>2019</v>
      </c>
      <c r="L3889" s="7" t="str">
        <f aca="false">IF(TRIM(E3889)="","Unknown",IFERROR(LEFT(TRIM(E3889),FIND(",",TRIM(E3889))-1),TRIM(E3889)))</f>
        <v>United Kingdom</v>
      </c>
      <c r="M3889" s="7" t="str">
        <f aca="false">IFERROR(LEFT(J3889,FIND(",",J3889)-1),J3889)</f>
        <v>Horror Movies</v>
      </c>
      <c r="N3889" s="7" t="n">
        <f aca="false">IF(B3889="Movie",IFERROR(VALUE(LEFT(I3889,FIND(" ",I3889)-1)),""),"")</f>
        <v>91</v>
      </c>
      <c r="O3889" s="7" t="str">
        <f aca="false">IF(B3889="TV Show",IFERROR(VALUE(LEFT(I3889,FIND(" ",I3889)-1)),""),"")</f>
        <v/>
      </c>
      <c r="P3889" s="7" t="n">
        <f aca="false">IF(K3889="","",K3889-G3889)</f>
        <v>1</v>
      </c>
    </row>
    <row r="3890" customFormat="false" ht="15" hidden="false" customHeight="false" outlineLevel="0" collapsed="false">
      <c r="A3890" s="7" t="n">
        <v>81063743</v>
      </c>
      <c r="B3890" s="7" t="s">
        <v>68</v>
      </c>
      <c r="C3890" s="7" t="s">
        <v>8068</v>
      </c>
      <c r="D3890" s="7" t="s">
        <v>8069</v>
      </c>
      <c r="E3890" s="7" t="s">
        <v>27</v>
      </c>
      <c r="F3890" s="7" t="s">
        <v>8065</v>
      </c>
      <c r="G3890" s="7" t="n">
        <v>2017</v>
      </c>
      <c r="H3890" s="7" t="s">
        <v>49</v>
      </c>
      <c r="I3890" s="7" t="s">
        <v>272</v>
      </c>
      <c r="J3890" s="7" t="s">
        <v>188</v>
      </c>
      <c r="K3890" s="7" t="n">
        <f aca="false">IFERROR(VALUE(RIGHT(TRIM(F3890),4)),"")</f>
        <v>2019</v>
      </c>
      <c r="L3890" s="7" t="str">
        <f aca="false">IF(TRIM(E3890)="","Unknown",IFERROR(LEFT(TRIM(E3890),FIND(",",TRIM(E3890))-1),TRIM(E3890)))</f>
        <v>India</v>
      </c>
      <c r="M3890" s="7" t="str">
        <f aca="false">IFERROR(LEFT(J3890,FIND(",",J3890)-1),J3890)</f>
        <v>Dramas</v>
      </c>
      <c r="N3890" s="7" t="n">
        <f aca="false">IF(B3890="Movie",IFERROR(VALUE(LEFT(I3890,FIND(" ",I3890)-1)),""),"")</f>
        <v>93</v>
      </c>
      <c r="O3890" s="7" t="str">
        <f aca="false">IF(B3890="TV Show",IFERROR(VALUE(LEFT(I3890,FIND(" ",I3890)-1)),""),"")</f>
        <v/>
      </c>
      <c r="P3890" s="7" t="n">
        <f aca="false">IF(K3890="","",K3890-G3890)</f>
        <v>2</v>
      </c>
    </row>
    <row r="3891" customFormat="false" ht="15" hidden="false" customHeight="false" outlineLevel="0" collapsed="false">
      <c r="A3891" s="7" t="n">
        <v>81071666</v>
      </c>
      <c r="B3891" s="7" t="s">
        <v>78</v>
      </c>
      <c r="C3891" s="7" t="s">
        <v>8070</v>
      </c>
      <c r="E3891" s="7" t="s">
        <v>26</v>
      </c>
      <c r="F3891" s="7" t="s">
        <v>8065</v>
      </c>
      <c r="G3891" s="7" t="n">
        <v>2018</v>
      </c>
      <c r="H3891" s="7" t="s">
        <v>50</v>
      </c>
      <c r="I3891" s="7" t="s">
        <v>82</v>
      </c>
      <c r="J3891" s="7" t="s">
        <v>100</v>
      </c>
      <c r="K3891" s="7" t="n">
        <f aca="false">IFERROR(VALUE(RIGHT(TRIM(F3891),4)),"")</f>
        <v>2019</v>
      </c>
      <c r="L3891" s="7" t="str">
        <f aca="false">IF(TRIM(E3891)="","Unknown",IFERROR(LEFT(TRIM(E3891),FIND(",",TRIM(E3891))-1),TRIM(E3891)))</f>
        <v>United States</v>
      </c>
      <c r="M3891" s="7" t="str">
        <f aca="false">IFERROR(LEFT(J3891,FIND(",",J3891)-1),J3891)</f>
        <v>Docuseries</v>
      </c>
      <c r="N3891" s="7" t="str">
        <f aca="false">IF(B3891="Movie",IFERROR(VALUE(LEFT(I3891,FIND(" ",I3891)-1)),""),"")</f>
        <v/>
      </c>
      <c r="O3891" s="7" t="n">
        <f aca="false">IF(B3891="TV Show",IFERROR(VALUE(LEFT(I3891,FIND(" ",I3891)-1)),""),"")</f>
        <v>1</v>
      </c>
      <c r="P3891" s="7" t="n">
        <f aca="false">IF(K3891="","",K3891-G3891)</f>
        <v>1</v>
      </c>
    </row>
    <row r="3892" customFormat="false" ht="15" hidden="false" customHeight="false" outlineLevel="0" collapsed="false">
      <c r="A3892" s="7" t="n">
        <v>80219974</v>
      </c>
      <c r="B3892" s="7" t="s">
        <v>68</v>
      </c>
      <c r="C3892" s="7" t="s">
        <v>8071</v>
      </c>
      <c r="D3892" s="7" t="s">
        <v>8072</v>
      </c>
      <c r="E3892" s="7" t="s">
        <v>28</v>
      </c>
      <c r="F3892" s="7" t="s">
        <v>8065</v>
      </c>
      <c r="G3892" s="7" t="n">
        <v>2018</v>
      </c>
      <c r="H3892" s="7" t="s">
        <v>51</v>
      </c>
      <c r="I3892" s="7" t="s">
        <v>470</v>
      </c>
      <c r="J3892" s="7" t="s">
        <v>276</v>
      </c>
      <c r="K3892" s="7" t="n">
        <f aca="false">IFERROR(VALUE(RIGHT(TRIM(F3892),4)),"")</f>
        <v>2019</v>
      </c>
      <c r="L3892" s="7" t="str">
        <f aca="false">IF(TRIM(E3892)="","Unknown",IFERROR(LEFT(TRIM(E3892),FIND(",",TRIM(E3892))-1),TRIM(E3892)))</f>
        <v>United Kingdom</v>
      </c>
      <c r="M3892" s="7" t="str">
        <f aca="false">IFERROR(LEFT(J3892,FIND(",",J3892)-1),J3892)</f>
        <v>Action &amp; Adventure</v>
      </c>
      <c r="N3892" s="7" t="n">
        <f aca="false">IF(B3892="Movie",IFERROR(VALUE(LEFT(I3892,FIND(" ",I3892)-1)),""),"")</f>
        <v>91</v>
      </c>
      <c r="O3892" s="7" t="str">
        <f aca="false">IF(B3892="TV Show",IFERROR(VALUE(LEFT(I3892,FIND(" ",I3892)-1)),""),"")</f>
        <v/>
      </c>
      <c r="P3892" s="7" t="n">
        <f aca="false">IF(K3892="","",K3892-G3892)</f>
        <v>1</v>
      </c>
    </row>
    <row r="3893" customFormat="false" ht="15" hidden="false" customHeight="false" outlineLevel="0" collapsed="false">
      <c r="A3893" s="7" t="n">
        <v>80097140</v>
      </c>
      <c r="B3893" s="7" t="s">
        <v>78</v>
      </c>
      <c r="C3893" s="7" t="s">
        <v>8073</v>
      </c>
      <c r="E3893" s="7" t="s">
        <v>26</v>
      </c>
      <c r="F3893" s="7" t="s">
        <v>8074</v>
      </c>
      <c r="G3893" s="7" t="n">
        <v>2018</v>
      </c>
      <c r="H3893" s="7" t="s">
        <v>48</v>
      </c>
      <c r="I3893" s="7" t="s">
        <v>82</v>
      </c>
      <c r="J3893" s="7" t="s">
        <v>2958</v>
      </c>
      <c r="K3893" s="7" t="n">
        <f aca="false">IFERROR(VALUE(RIGHT(TRIM(F3893),4)),"")</f>
        <v>2018</v>
      </c>
      <c r="L3893" s="7" t="str">
        <f aca="false">IF(TRIM(E3893)="","Unknown",IFERROR(LEFT(TRIM(E3893),FIND(",",TRIM(E3893))-1),TRIM(E3893)))</f>
        <v>United States</v>
      </c>
      <c r="M3893" s="7" t="str">
        <f aca="false">IFERROR(LEFT(J3893,FIND(",",J3893)-1),J3893)</f>
        <v>Crime TV Shows</v>
      </c>
      <c r="N3893" s="7" t="str">
        <f aca="false">IF(B3893="Movie",IFERROR(VALUE(LEFT(I3893,FIND(" ",I3893)-1)),""),"")</f>
        <v/>
      </c>
      <c r="O3893" s="7" t="n">
        <f aca="false">IF(B3893="TV Show",IFERROR(VALUE(LEFT(I3893,FIND(" ",I3893)-1)),""),"")</f>
        <v>1</v>
      </c>
      <c r="P3893" s="7" t="n">
        <f aca="false">IF(K3893="","",K3893-G3893)</f>
        <v>0</v>
      </c>
    </row>
    <row r="3894" customFormat="false" ht="15" hidden="false" customHeight="false" outlineLevel="0" collapsed="false">
      <c r="A3894" s="7" t="n">
        <v>80157137</v>
      </c>
      <c r="B3894" s="7" t="s">
        <v>78</v>
      </c>
      <c r="C3894" s="7" t="s">
        <v>8075</v>
      </c>
      <c r="E3894" s="7" t="s">
        <v>26</v>
      </c>
      <c r="F3894" s="7" t="s">
        <v>8074</v>
      </c>
      <c r="G3894" s="7" t="n">
        <v>2018</v>
      </c>
      <c r="H3894" s="7" t="s">
        <v>48</v>
      </c>
      <c r="I3894" s="7" t="s">
        <v>82</v>
      </c>
      <c r="J3894" s="7" t="s">
        <v>1046</v>
      </c>
      <c r="K3894" s="7" t="n">
        <f aca="false">IFERROR(VALUE(RIGHT(TRIM(F3894),4)),"")</f>
        <v>2018</v>
      </c>
      <c r="L3894" s="7" t="str">
        <f aca="false">IF(TRIM(E3894)="","Unknown",IFERROR(LEFT(TRIM(E3894),FIND(",",TRIM(E3894))-1),TRIM(E3894)))</f>
        <v>United States</v>
      </c>
      <c r="M3894" s="7" t="str">
        <f aca="false">IFERROR(LEFT(J3894,FIND(",",J3894)-1),J3894)</f>
        <v>Docuseries</v>
      </c>
      <c r="N3894" s="7" t="str">
        <f aca="false">IF(B3894="Movie",IFERROR(VALUE(LEFT(I3894,FIND(" ",I3894)-1)),""),"")</f>
        <v/>
      </c>
      <c r="O3894" s="7" t="n">
        <f aca="false">IF(B3894="TV Show",IFERROR(VALUE(LEFT(I3894,FIND(" ",I3894)-1)),""),"")</f>
        <v>1</v>
      </c>
      <c r="P3894" s="7" t="n">
        <f aca="false">IF(K3894="","",K3894-G3894)</f>
        <v>0</v>
      </c>
    </row>
    <row r="3895" customFormat="false" ht="15" hidden="false" customHeight="false" outlineLevel="0" collapsed="false">
      <c r="A3895" s="7" t="n">
        <v>80217826</v>
      </c>
      <c r="B3895" s="7" t="s">
        <v>68</v>
      </c>
      <c r="C3895" s="7" t="s">
        <v>8076</v>
      </c>
      <c r="D3895" s="7" t="s">
        <v>6928</v>
      </c>
      <c r="F3895" s="7" t="s">
        <v>8074</v>
      </c>
      <c r="G3895" s="7" t="n">
        <v>2018</v>
      </c>
      <c r="H3895" s="7" t="s">
        <v>48</v>
      </c>
      <c r="I3895" s="7" t="s">
        <v>3882</v>
      </c>
      <c r="J3895" s="7" t="s">
        <v>45</v>
      </c>
      <c r="K3895" s="7" t="n">
        <f aca="false">IFERROR(VALUE(RIGHT(TRIM(F3895),4)),"")</f>
        <v>2018</v>
      </c>
      <c r="L3895" s="7" t="str">
        <f aca="false">IF(TRIM(E3895)="","Unknown",IFERROR(LEFT(TRIM(E3895),FIND(",",TRIM(E3895))-1),TRIM(E3895)))</f>
        <v>Unknown</v>
      </c>
      <c r="M3895" s="7" t="str">
        <f aca="false">IFERROR(LEFT(J3895,FIND(",",J3895)-1),J3895)</f>
        <v>Stand-Up Comedy</v>
      </c>
      <c r="N3895" s="7" t="n">
        <f aca="false">IF(B3895="Movie",IFERROR(VALUE(LEFT(I3895,FIND(" ",I3895)-1)),""),"")</f>
        <v>53</v>
      </c>
      <c r="O3895" s="7" t="str">
        <f aca="false">IF(B3895="TV Show",IFERROR(VALUE(LEFT(I3895,FIND(" ",I3895)-1)),""),"")</f>
        <v/>
      </c>
      <c r="P3895" s="7" t="n">
        <f aca="false">IF(K3895="","",K3895-G3895)</f>
        <v>0</v>
      </c>
    </row>
    <row r="3896" customFormat="false" ht="15" hidden="false" customHeight="false" outlineLevel="0" collapsed="false">
      <c r="A3896" s="7" t="n">
        <v>80177414</v>
      </c>
      <c r="B3896" s="7" t="s">
        <v>68</v>
      </c>
      <c r="C3896" s="7" t="s">
        <v>8077</v>
      </c>
      <c r="D3896" s="7" t="s">
        <v>8078</v>
      </c>
      <c r="E3896" s="7" t="s">
        <v>4843</v>
      </c>
      <c r="F3896" s="7" t="s">
        <v>8074</v>
      </c>
      <c r="G3896" s="7" t="n">
        <v>2017</v>
      </c>
      <c r="H3896" s="7" t="s">
        <v>48</v>
      </c>
      <c r="I3896" s="7" t="s">
        <v>237</v>
      </c>
      <c r="J3896" s="7" t="s">
        <v>240</v>
      </c>
      <c r="K3896" s="7" t="n">
        <f aca="false">IFERROR(VALUE(RIGHT(TRIM(F3896),4)),"")</f>
        <v>2018</v>
      </c>
      <c r="L3896" s="7" t="str">
        <f aca="false">IF(TRIM(E3896)="","Unknown",IFERROR(LEFT(TRIM(E3896),FIND(",",TRIM(E3896))-1),TRIM(E3896)))</f>
        <v>Hungary</v>
      </c>
      <c r="M3896" s="7" t="str">
        <f aca="false">IFERROR(LEFT(J3896,FIND(",",J3896)-1),J3896)</f>
        <v>Dramas</v>
      </c>
      <c r="N3896" s="7" t="n">
        <f aca="false">IF(B3896="Movie",IFERROR(VALUE(LEFT(I3896,FIND(" ",I3896)-1)),""),"")</f>
        <v>116</v>
      </c>
      <c r="O3896" s="7" t="str">
        <f aca="false">IF(B3896="TV Show",IFERROR(VALUE(LEFT(I3896,FIND(" ",I3896)-1)),""),"")</f>
        <v/>
      </c>
      <c r="P3896" s="7" t="n">
        <f aca="false">IF(K3896="","",K3896-G3896)</f>
        <v>1</v>
      </c>
    </row>
    <row r="3897" customFormat="false" ht="15" hidden="false" customHeight="false" outlineLevel="0" collapsed="false">
      <c r="A3897" s="7" t="n">
        <v>80226233</v>
      </c>
      <c r="B3897" s="7" t="s">
        <v>68</v>
      </c>
      <c r="C3897" s="7" t="s">
        <v>8079</v>
      </c>
      <c r="D3897" s="7" t="s">
        <v>8080</v>
      </c>
      <c r="E3897" s="7" t="s">
        <v>32</v>
      </c>
      <c r="F3897" s="7" t="s">
        <v>8074</v>
      </c>
      <c r="G3897" s="7" t="n">
        <v>2017</v>
      </c>
      <c r="H3897" s="7" t="s">
        <v>49</v>
      </c>
      <c r="I3897" s="7" t="s">
        <v>181</v>
      </c>
      <c r="J3897" s="7" t="s">
        <v>217</v>
      </c>
      <c r="K3897" s="7" t="n">
        <f aca="false">IFERROR(VALUE(RIGHT(TRIM(F3897),4)),"")</f>
        <v>2018</v>
      </c>
      <c r="L3897" s="7" t="str">
        <f aca="false">IF(TRIM(E3897)="","Unknown",IFERROR(LEFT(TRIM(E3897),FIND(",",TRIM(E3897))-1),TRIM(E3897)))</f>
        <v>South Korea</v>
      </c>
      <c r="M3897" s="7" t="str">
        <f aca="false">IFERROR(LEFT(J3897,FIND(",",J3897)-1),J3897)</f>
        <v>Comedies</v>
      </c>
      <c r="N3897" s="7" t="n">
        <f aca="false">IF(B3897="Movie",IFERROR(VALUE(LEFT(I3897,FIND(" ",I3897)-1)),""),"")</f>
        <v>102</v>
      </c>
      <c r="O3897" s="7" t="str">
        <f aca="false">IF(B3897="TV Show",IFERROR(VALUE(LEFT(I3897,FIND(" ",I3897)-1)),""),"")</f>
        <v/>
      </c>
      <c r="P3897" s="7" t="n">
        <f aca="false">IF(K3897="","",K3897-G3897)</f>
        <v>1</v>
      </c>
    </row>
    <row r="3898" customFormat="false" ht="15" hidden="false" customHeight="false" outlineLevel="0" collapsed="false">
      <c r="A3898" s="7" t="n">
        <v>80098490</v>
      </c>
      <c r="B3898" s="7" t="s">
        <v>68</v>
      </c>
      <c r="C3898" s="7" t="s">
        <v>8081</v>
      </c>
      <c r="D3898" s="7" t="s">
        <v>8082</v>
      </c>
      <c r="E3898" s="7" t="s">
        <v>26</v>
      </c>
      <c r="F3898" s="7" t="s">
        <v>8083</v>
      </c>
      <c r="G3898" s="7" t="n">
        <v>2016</v>
      </c>
      <c r="H3898" s="7" t="s">
        <v>51</v>
      </c>
      <c r="I3898" s="7" t="s">
        <v>77</v>
      </c>
      <c r="J3898" s="7" t="s">
        <v>198</v>
      </c>
      <c r="K3898" s="7" t="n">
        <f aca="false">IFERROR(VALUE(RIGHT(TRIM(F3898),4)),"")</f>
        <v>2017</v>
      </c>
      <c r="L3898" s="7" t="str">
        <f aca="false">IF(TRIM(E3898)="","Unknown",IFERROR(LEFT(TRIM(E3898),FIND(",",TRIM(E3898))-1),TRIM(E3898)))</f>
        <v>United States</v>
      </c>
      <c r="M3898" s="7" t="str">
        <f aca="false">IFERROR(LEFT(J3898,FIND(",",J3898)-1),J3898)</f>
        <v>Comedies</v>
      </c>
      <c r="N3898" s="7" t="n">
        <f aca="false">IF(B3898="Movie",IFERROR(VALUE(LEFT(I3898,FIND(" ",I3898)-1)),""),"")</f>
        <v>94</v>
      </c>
      <c r="O3898" s="7" t="str">
        <f aca="false">IF(B3898="TV Show",IFERROR(VALUE(LEFT(I3898,FIND(" ",I3898)-1)),""),"")</f>
        <v/>
      </c>
      <c r="P3898" s="7" t="n">
        <f aca="false">IF(K3898="","",K3898-G3898)</f>
        <v>1</v>
      </c>
    </row>
    <row r="3899" customFormat="false" ht="15" hidden="false" customHeight="false" outlineLevel="0" collapsed="false">
      <c r="A3899" s="7" t="n">
        <v>81024494</v>
      </c>
      <c r="B3899" s="7" t="s">
        <v>68</v>
      </c>
      <c r="C3899" s="7" t="s">
        <v>8084</v>
      </c>
      <c r="D3899" s="7" t="s">
        <v>8085</v>
      </c>
      <c r="E3899" s="7" t="s">
        <v>28</v>
      </c>
      <c r="F3899" s="7" t="s">
        <v>8086</v>
      </c>
      <c r="G3899" s="7" t="n">
        <v>2018</v>
      </c>
      <c r="H3899" s="7" t="s">
        <v>48</v>
      </c>
      <c r="I3899" s="7" t="s">
        <v>73</v>
      </c>
      <c r="J3899" s="7" t="s">
        <v>566</v>
      </c>
      <c r="K3899" s="7" t="n">
        <f aca="false">IFERROR(VALUE(RIGHT(TRIM(F3899),4)),"")</f>
        <v>2019</v>
      </c>
      <c r="L3899" s="7" t="str">
        <f aca="false">IF(TRIM(E3899)="","Unknown",IFERROR(LEFT(TRIM(E3899),FIND(",",TRIM(E3899))-1),TRIM(E3899)))</f>
        <v>United Kingdom</v>
      </c>
      <c r="M3899" s="7" t="str">
        <f aca="false">IFERROR(LEFT(J3899,FIND(",",J3899)-1),J3899)</f>
        <v>Dramas</v>
      </c>
      <c r="N3899" s="7" t="n">
        <f aca="false">IF(B3899="Movie",IFERROR(VALUE(LEFT(I3899,FIND(" ",I3899)-1)),""),"")</f>
        <v>90</v>
      </c>
      <c r="O3899" s="7" t="str">
        <f aca="false">IF(B3899="TV Show",IFERROR(VALUE(LEFT(I3899,FIND(" ",I3899)-1)),""),"")</f>
        <v/>
      </c>
      <c r="P3899" s="7" t="n">
        <f aca="false">IF(K3899="","",K3899-G3899)</f>
        <v>1</v>
      </c>
    </row>
    <row r="3900" customFormat="false" ht="15" hidden="false" customHeight="false" outlineLevel="0" collapsed="false">
      <c r="A3900" s="7" t="n">
        <v>70176656</v>
      </c>
      <c r="B3900" s="7" t="s">
        <v>68</v>
      </c>
      <c r="C3900" s="7" t="s">
        <v>8087</v>
      </c>
      <c r="D3900" s="7" t="s">
        <v>4325</v>
      </c>
      <c r="E3900" s="7" t="s">
        <v>26</v>
      </c>
      <c r="F3900" s="7" t="s">
        <v>8086</v>
      </c>
      <c r="G3900" s="7" t="n">
        <v>2011</v>
      </c>
      <c r="H3900" s="7" t="s">
        <v>54</v>
      </c>
      <c r="I3900" s="7" t="s">
        <v>264</v>
      </c>
      <c r="J3900" s="7" t="s">
        <v>74</v>
      </c>
      <c r="K3900" s="7" t="n">
        <f aca="false">IFERROR(VALUE(RIGHT(TRIM(F3900),4)),"")</f>
        <v>2019</v>
      </c>
      <c r="L3900" s="7" t="str">
        <f aca="false">IF(TRIM(E3900)="","Unknown",IFERROR(LEFT(TRIM(E3900),FIND(",",TRIM(E3900))-1),TRIM(E3900)))</f>
        <v>United States</v>
      </c>
      <c r="M3900" s="7" t="str">
        <f aca="false">IFERROR(LEFT(J3900,FIND(",",J3900)-1),J3900)</f>
        <v>Children &amp; Family Movies</v>
      </c>
      <c r="N3900" s="7" t="n">
        <f aca="false">IF(B3900="Movie",IFERROR(VALUE(LEFT(I3900,FIND(" ",I3900)-1)),""),"")</f>
        <v>88</v>
      </c>
      <c r="O3900" s="7" t="str">
        <f aca="false">IF(B3900="TV Show",IFERROR(VALUE(LEFT(I3900,FIND(" ",I3900)-1)),""),"")</f>
        <v/>
      </c>
      <c r="P3900" s="7" t="n">
        <f aca="false">IF(K3900="","",K3900-G3900)</f>
        <v>8</v>
      </c>
    </row>
    <row r="3901" customFormat="false" ht="15" hidden="false" customHeight="false" outlineLevel="0" collapsed="false">
      <c r="A3901" s="7" t="n">
        <v>81027396</v>
      </c>
      <c r="B3901" s="7" t="s">
        <v>78</v>
      </c>
      <c r="C3901" s="7" t="s">
        <v>8088</v>
      </c>
      <c r="E3901" s="7" t="s">
        <v>26</v>
      </c>
      <c r="F3901" s="7" t="s">
        <v>8086</v>
      </c>
      <c r="G3901" s="7" t="n">
        <v>2018</v>
      </c>
      <c r="H3901" s="7" t="s">
        <v>48</v>
      </c>
      <c r="I3901" s="7" t="s">
        <v>82</v>
      </c>
      <c r="J3901" s="7" t="s">
        <v>164</v>
      </c>
      <c r="K3901" s="7" t="n">
        <f aca="false">IFERROR(VALUE(RIGHT(TRIM(F3901),4)),"")</f>
        <v>2019</v>
      </c>
      <c r="L3901" s="7" t="str">
        <f aca="false">IF(TRIM(E3901)="","Unknown",IFERROR(LEFT(TRIM(E3901),FIND(",",TRIM(E3901))-1),TRIM(E3901)))</f>
        <v>United States</v>
      </c>
      <c r="M3901" s="7" t="str">
        <f aca="false">IFERROR(LEFT(J3901,FIND(",",J3901)-1),J3901)</f>
        <v>Docuseries</v>
      </c>
      <c r="N3901" s="7" t="str">
        <f aca="false">IF(B3901="Movie",IFERROR(VALUE(LEFT(I3901,FIND(" ",I3901)-1)),""),"")</f>
        <v/>
      </c>
      <c r="O3901" s="7" t="n">
        <f aca="false">IF(B3901="TV Show",IFERROR(VALUE(LEFT(I3901,FIND(" ",I3901)-1)),""),"")</f>
        <v>1</v>
      </c>
      <c r="P3901" s="7" t="n">
        <f aca="false">IF(K3901="","",K3901-G3901)</f>
        <v>1</v>
      </c>
    </row>
    <row r="3902" customFormat="false" ht="15" hidden="false" customHeight="false" outlineLevel="0" collapsed="false">
      <c r="A3902" s="7" t="n">
        <v>80223123</v>
      </c>
      <c r="B3902" s="7" t="s">
        <v>68</v>
      </c>
      <c r="C3902" s="7" t="s">
        <v>8089</v>
      </c>
      <c r="D3902" s="7" t="s">
        <v>8090</v>
      </c>
      <c r="E3902" s="7" t="s">
        <v>26</v>
      </c>
      <c r="F3902" s="7" t="s">
        <v>8091</v>
      </c>
      <c r="G3902" s="7" t="n">
        <v>2017</v>
      </c>
      <c r="H3902" s="7" t="s">
        <v>49</v>
      </c>
      <c r="I3902" s="7" t="s">
        <v>470</v>
      </c>
      <c r="J3902" s="7" t="s">
        <v>39</v>
      </c>
      <c r="K3902" s="7" t="n">
        <f aca="false">IFERROR(VALUE(RIGHT(TRIM(F3902),4)),"")</f>
        <v>2018</v>
      </c>
      <c r="L3902" s="7" t="str">
        <f aca="false">IF(TRIM(E3902)="","Unknown",IFERROR(LEFT(TRIM(E3902),FIND(",",TRIM(E3902))-1),TRIM(E3902)))</f>
        <v>United States</v>
      </c>
      <c r="M3902" s="7" t="str">
        <f aca="false">IFERROR(LEFT(J3902,FIND(",",J3902)-1),J3902)</f>
        <v>Documentaries</v>
      </c>
      <c r="N3902" s="7" t="n">
        <f aca="false">IF(B3902="Movie",IFERROR(VALUE(LEFT(I3902,FIND(" ",I3902)-1)),""),"")</f>
        <v>91</v>
      </c>
      <c r="O3902" s="7" t="str">
        <f aca="false">IF(B3902="TV Show",IFERROR(VALUE(LEFT(I3902,FIND(" ",I3902)-1)),""),"")</f>
        <v/>
      </c>
      <c r="P3902" s="7" t="n">
        <f aca="false">IF(K3902="","",K3902-G3902)</f>
        <v>1</v>
      </c>
    </row>
    <row r="3903" customFormat="false" ht="15" hidden="false" customHeight="false" outlineLevel="0" collapsed="false">
      <c r="A3903" s="7" t="n">
        <v>80214581</v>
      </c>
      <c r="B3903" s="7" t="s">
        <v>68</v>
      </c>
      <c r="C3903" s="7" t="s">
        <v>8092</v>
      </c>
      <c r="D3903" s="7" t="s">
        <v>8093</v>
      </c>
      <c r="E3903" s="7" t="s">
        <v>26</v>
      </c>
      <c r="F3903" s="7" t="s">
        <v>8091</v>
      </c>
      <c r="G3903" s="7" t="n">
        <v>2017</v>
      </c>
      <c r="H3903" s="7" t="s">
        <v>49</v>
      </c>
      <c r="I3903" s="7" t="s">
        <v>494</v>
      </c>
      <c r="J3903" s="7" t="s">
        <v>811</v>
      </c>
      <c r="K3903" s="7" t="n">
        <f aca="false">IFERROR(VALUE(RIGHT(TRIM(F3903),4)),"")</f>
        <v>2018</v>
      </c>
      <c r="L3903" s="7" t="str">
        <f aca="false">IF(TRIM(E3903)="","Unknown",IFERROR(LEFT(TRIM(E3903),FIND(",",TRIM(E3903))-1),TRIM(E3903)))</f>
        <v>United States</v>
      </c>
      <c r="M3903" s="7" t="str">
        <f aca="false">IFERROR(LEFT(J3903,FIND(",",J3903)-1),J3903)</f>
        <v>Thrillers</v>
      </c>
      <c r="N3903" s="7" t="n">
        <f aca="false">IF(B3903="Movie",IFERROR(VALUE(LEFT(I3903,FIND(" ",I3903)-1)),""),"")</f>
        <v>87</v>
      </c>
      <c r="O3903" s="7" t="str">
        <f aca="false">IF(B3903="TV Show",IFERROR(VALUE(LEFT(I3903,FIND(" ",I3903)-1)),""),"")</f>
        <v/>
      </c>
      <c r="P3903" s="7" t="n">
        <f aca="false">IF(K3903="","",K3903-G3903)</f>
        <v>1</v>
      </c>
    </row>
    <row r="3904" customFormat="false" ht="15" hidden="false" customHeight="false" outlineLevel="0" collapsed="false">
      <c r="A3904" s="7" t="n">
        <v>80223731</v>
      </c>
      <c r="B3904" s="7" t="s">
        <v>68</v>
      </c>
      <c r="C3904" s="7" t="s">
        <v>8094</v>
      </c>
      <c r="D3904" s="7" t="s">
        <v>8095</v>
      </c>
      <c r="E3904" s="7" t="s">
        <v>30</v>
      </c>
      <c r="F3904" s="7" t="s">
        <v>8091</v>
      </c>
      <c r="G3904" s="7" t="n">
        <v>2017</v>
      </c>
      <c r="H3904" s="7" t="s">
        <v>49</v>
      </c>
      <c r="I3904" s="7" t="s">
        <v>2192</v>
      </c>
      <c r="J3904" s="7" t="s">
        <v>112</v>
      </c>
      <c r="K3904" s="7" t="n">
        <f aca="false">IFERROR(VALUE(RIGHT(TRIM(F3904),4)),"")</f>
        <v>2018</v>
      </c>
      <c r="L3904" s="7" t="str">
        <f aca="false">IF(TRIM(E3904)="","Unknown",IFERROR(LEFT(TRIM(E3904),FIND(",",TRIM(E3904))-1),TRIM(E3904)))</f>
        <v>Japan</v>
      </c>
      <c r="M3904" s="7" t="str">
        <f aca="false">IFERROR(LEFT(J3904,FIND(",",J3904)-1),J3904)</f>
        <v>Action &amp; Adventure</v>
      </c>
      <c r="N3904" s="7" t="n">
        <f aca="false">IF(B3904="Movie",IFERROR(VALUE(LEFT(I3904,FIND(" ",I3904)-1)),""),"")</f>
        <v>134</v>
      </c>
      <c r="O3904" s="7" t="str">
        <f aca="false">IF(B3904="TV Show",IFERROR(VALUE(LEFT(I3904,FIND(" ",I3904)-1)),""),"")</f>
        <v/>
      </c>
      <c r="P3904" s="7" t="n">
        <f aca="false">IF(K3904="","",K3904-G3904)</f>
        <v>1</v>
      </c>
    </row>
    <row r="3905" customFormat="false" ht="15" hidden="false" customHeight="false" outlineLevel="0" collapsed="false">
      <c r="A3905" s="7" t="n">
        <v>80211728</v>
      </c>
      <c r="B3905" s="7" t="s">
        <v>68</v>
      </c>
      <c r="C3905" s="7" t="s">
        <v>8096</v>
      </c>
      <c r="D3905" s="7" t="s">
        <v>8097</v>
      </c>
      <c r="E3905" s="7" t="s">
        <v>32</v>
      </c>
      <c r="F3905" s="7" t="s">
        <v>8091</v>
      </c>
      <c r="G3905" s="7" t="n">
        <v>2017</v>
      </c>
      <c r="H3905" s="7" t="s">
        <v>48</v>
      </c>
      <c r="I3905" s="7" t="s">
        <v>1270</v>
      </c>
      <c r="J3905" s="7" t="s">
        <v>182</v>
      </c>
      <c r="K3905" s="7" t="n">
        <f aca="false">IFERROR(VALUE(RIGHT(TRIM(F3905),4)),"")</f>
        <v>2018</v>
      </c>
      <c r="L3905" s="7" t="str">
        <f aca="false">IF(TRIM(E3905)="","Unknown",IFERROR(LEFT(TRIM(E3905),FIND(",",TRIM(E3905))-1),TRIM(E3905)))</f>
        <v>South Korea</v>
      </c>
      <c r="M3905" s="7" t="str">
        <f aca="false">IFERROR(LEFT(J3905,FIND(",",J3905)-1),J3905)</f>
        <v>Dramas</v>
      </c>
      <c r="N3905" s="7" t="n">
        <f aca="false">IF(B3905="Movie",IFERROR(VALUE(LEFT(I3905,FIND(" ",I3905)-1)),""),"")</f>
        <v>118</v>
      </c>
      <c r="O3905" s="7" t="str">
        <f aca="false">IF(B3905="TV Show",IFERROR(VALUE(LEFT(I3905,FIND(" ",I3905)-1)),""),"")</f>
        <v/>
      </c>
      <c r="P3905" s="7" t="n">
        <f aca="false">IF(K3905="","",K3905-G3905)</f>
        <v>1</v>
      </c>
    </row>
    <row r="3906" customFormat="false" ht="15" hidden="false" customHeight="false" outlineLevel="0" collapsed="false">
      <c r="A3906" s="7" t="n">
        <v>80226338</v>
      </c>
      <c r="B3906" s="7" t="s">
        <v>78</v>
      </c>
      <c r="C3906" s="16" t="s">
        <v>8098</v>
      </c>
      <c r="E3906" s="7" t="s">
        <v>32</v>
      </c>
      <c r="F3906" s="7" t="s">
        <v>8091</v>
      </c>
      <c r="G3906" s="7" t="n">
        <v>2015</v>
      </c>
      <c r="H3906" s="7" t="s">
        <v>48</v>
      </c>
      <c r="I3906" s="7" t="s">
        <v>82</v>
      </c>
      <c r="J3906" s="7" t="s">
        <v>8099</v>
      </c>
      <c r="K3906" s="7" t="n">
        <f aca="false">IFERROR(VALUE(RIGHT(TRIM(F3906),4)),"")</f>
        <v>2018</v>
      </c>
      <c r="L3906" s="7" t="str">
        <f aca="false">IF(TRIM(E3906)="","Unknown",IFERROR(LEFT(TRIM(E3906),FIND(",",TRIM(E3906))-1),TRIM(E3906)))</f>
        <v>South Korea</v>
      </c>
      <c r="M3906" s="7" t="str">
        <f aca="false">IFERROR(LEFT(J3906,FIND(",",J3906)-1),J3906)</f>
        <v>International TV Shows</v>
      </c>
      <c r="N3906" s="7" t="str">
        <f aca="false">IF(B3906="Movie",IFERROR(VALUE(LEFT(I3906,FIND(" ",I3906)-1)),""),"")</f>
        <v/>
      </c>
      <c r="O3906" s="7" t="n">
        <f aca="false">IF(B3906="TV Show",IFERROR(VALUE(LEFT(I3906,FIND(" ",I3906)-1)),""),"")</f>
        <v>1</v>
      </c>
      <c r="P3906" s="7" t="n">
        <f aca="false">IF(K3906="","",K3906-G3906)</f>
        <v>3</v>
      </c>
    </row>
    <row r="3907" customFormat="false" ht="15" hidden="false" customHeight="false" outlineLevel="0" collapsed="false">
      <c r="A3907" s="7" t="n">
        <v>80121386</v>
      </c>
      <c r="B3907" s="7" t="s">
        <v>68</v>
      </c>
      <c r="C3907" s="7" t="s">
        <v>8100</v>
      </c>
      <c r="D3907" s="7" t="s">
        <v>7987</v>
      </c>
      <c r="E3907" s="7" t="s">
        <v>33</v>
      </c>
      <c r="F3907" s="7" t="s">
        <v>8101</v>
      </c>
      <c r="G3907" s="7" t="n">
        <v>2016</v>
      </c>
      <c r="H3907" s="7" t="s">
        <v>48</v>
      </c>
      <c r="I3907" s="7" t="s">
        <v>820</v>
      </c>
      <c r="J3907" s="7" t="s">
        <v>358</v>
      </c>
      <c r="K3907" s="7" t="n">
        <f aca="false">IFERROR(VALUE(RIGHT(TRIM(F3907),4)),"")</f>
        <v>2017</v>
      </c>
      <c r="L3907" s="7" t="str">
        <f aca="false">IF(TRIM(E3907)="","Unknown",IFERROR(LEFT(TRIM(E3907),FIND(",",TRIM(E3907))-1),TRIM(E3907)))</f>
        <v>Spain</v>
      </c>
      <c r="M3907" s="7" t="str">
        <f aca="false">IFERROR(LEFT(J3907,FIND(",",J3907)-1),J3907)</f>
        <v>International Movies</v>
      </c>
      <c r="N3907" s="7" t="n">
        <f aca="false">IF(B3907="Movie",IFERROR(VALUE(LEFT(I3907,FIND(" ",I3907)-1)),""),"")</f>
        <v>105</v>
      </c>
      <c r="O3907" s="7" t="str">
        <f aca="false">IF(B3907="TV Show",IFERROR(VALUE(LEFT(I3907,FIND(" ",I3907)-1)),""),"")</f>
        <v/>
      </c>
      <c r="P3907" s="7" t="n">
        <f aca="false">IF(K3907="","",K3907-G3907)</f>
        <v>1</v>
      </c>
    </row>
    <row r="3908" customFormat="false" ht="15" hidden="false" customHeight="false" outlineLevel="0" collapsed="false">
      <c r="A3908" s="7" t="n">
        <v>80158772</v>
      </c>
      <c r="B3908" s="7" t="s">
        <v>68</v>
      </c>
      <c r="C3908" s="7" t="s">
        <v>8102</v>
      </c>
      <c r="D3908" s="7" t="s">
        <v>8103</v>
      </c>
      <c r="E3908" s="7" t="s">
        <v>26</v>
      </c>
      <c r="F3908" s="7" t="s">
        <v>8101</v>
      </c>
      <c r="G3908" s="7" t="n">
        <v>2016</v>
      </c>
      <c r="H3908" s="7" t="s">
        <v>612</v>
      </c>
      <c r="I3908" s="7" t="s">
        <v>107</v>
      </c>
      <c r="J3908" s="7" t="s">
        <v>3601</v>
      </c>
      <c r="K3908" s="7" t="n">
        <f aca="false">IFERROR(VALUE(RIGHT(TRIM(F3908),4)),"")</f>
        <v>2017</v>
      </c>
      <c r="L3908" s="7" t="str">
        <f aca="false">IF(TRIM(E3908)="","Unknown",IFERROR(LEFT(TRIM(E3908),FIND(",",TRIM(E3908))-1),TRIM(E3908)))</f>
        <v>United States</v>
      </c>
      <c r="M3908" s="7" t="str">
        <f aca="false">IFERROR(LEFT(J3908,FIND(",",J3908)-1),J3908)</f>
        <v>Children &amp; Family Movies</v>
      </c>
      <c r="N3908" s="7" t="n">
        <f aca="false">IF(B3908="Movie",IFERROR(VALUE(LEFT(I3908,FIND(" ",I3908)-1)),""),"")</f>
        <v>78</v>
      </c>
      <c r="O3908" s="7" t="str">
        <f aca="false">IF(B3908="TV Show",IFERROR(VALUE(LEFT(I3908,FIND(" ",I3908)-1)),""),"")</f>
        <v/>
      </c>
      <c r="P3908" s="7" t="n">
        <f aca="false">IF(K3908="","",K3908-G3908)</f>
        <v>1</v>
      </c>
    </row>
    <row r="3909" customFormat="false" ht="15" hidden="false" customHeight="false" outlineLevel="0" collapsed="false">
      <c r="A3909" s="7" t="n">
        <v>80152627</v>
      </c>
      <c r="B3909" s="7" t="s">
        <v>68</v>
      </c>
      <c r="C3909" s="7" t="s">
        <v>8104</v>
      </c>
      <c r="D3909" s="7" t="s">
        <v>8105</v>
      </c>
      <c r="E3909" s="7" t="s">
        <v>8106</v>
      </c>
      <c r="F3909" s="7" t="s">
        <v>8101</v>
      </c>
      <c r="G3909" s="7" t="n">
        <v>2016</v>
      </c>
      <c r="H3909" s="7" t="s">
        <v>612</v>
      </c>
      <c r="I3909" s="7" t="s">
        <v>87</v>
      </c>
      <c r="J3909" s="7" t="s">
        <v>349</v>
      </c>
      <c r="K3909" s="7" t="n">
        <f aca="false">IFERROR(VALUE(RIGHT(TRIM(F3909),4)),"")</f>
        <v>2017</v>
      </c>
      <c r="L3909" s="7" t="str">
        <f aca="false">IF(TRIM(E3909)="","Unknown",IFERROR(LEFT(TRIM(E3909),FIND(",",TRIM(E3909))-1),TRIM(E3909)))</f>
        <v>Spain</v>
      </c>
      <c r="M3909" s="7" t="str">
        <f aca="false">IFERROR(LEFT(J3909,FIND(",",J3909)-1),J3909)</f>
        <v>Children &amp; Family Movies</v>
      </c>
      <c r="N3909" s="7" t="n">
        <f aca="false">IF(B3909="Movie",IFERROR(VALUE(LEFT(I3909,FIND(" ",I3909)-1)),""),"")</f>
        <v>99</v>
      </c>
      <c r="O3909" s="7" t="str">
        <f aca="false">IF(B3909="TV Show",IFERROR(VALUE(LEFT(I3909,FIND(" ",I3909)-1)),""),"")</f>
        <v/>
      </c>
      <c r="P3909" s="7" t="n">
        <f aca="false">IF(K3909="","",K3909-G3909)</f>
        <v>1</v>
      </c>
    </row>
    <row r="3910" customFormat="false" ht="15" hidden="false" customHeight="false" outlineLevel="0" collapsed="false">
      <c r="A3910" s="7" t="n">
        <v>80022456</v>
      </c>
      <c r="B3910" s="7" t="s">
        <v>78</v>
      </c>
      <c r="C3910" s="7" t="s">
        <v>8107</v>
      </c>
      <c r="E3910" s="7" t="s">
        <v>26</v>
      </c>
      <c r="F3910" s="7" t="s">
        <v>8108</v>
      </c>
      <c r="G3910" s="7" t="n">
        <v>2016</v>
      </c>
      <c r="H3910" s="7" t="s">
        <v>50</v>
      </c>
      <c r="I3910" s="7" t="s">
        <v>82</v>
      </c>
      <c r="J3910" s="7" t="s">
        <v>164</v>
      </c>
      <c r="K3910" s="7" t="n">
        <f aca="false">IFERROR(VALUE(RIGHT(TRIM(F3910),4)),"")</f>
        <v>2016</v>
      </c>
      <c r="L3910" s="7" t="str">
        <f aca="false">IF(TRIM(E3910)="","Unknown",IFERROR(LEFT(TRIM(E3910),FIND(",",TRIM(E3910))-1),TRIM(E3910)))</f>
        <v>United States</v>
      </c>
      <c r="M3910" s="7" t="str">
        <f aca="false">IFERROR(LEFT(J3910,FIND(",",J3910)-1),J3910)</f>
        <v>Docuseries</v>
      </c>
      <c r="N3910" s="7" t="str">
        <f aca="false">IF(B3910="Movie",IFERROR(VALUE(LEFT(I3910,FIND(" ",I3910)-1)),""),"")</f>
        <v/>
      </c>
      <c r="O3910" s="7" t="n">
        <f aca="false">IF(B3910="TV Show",IFERROR(VALUE(LEFT(I3910,FIND(" ",I3910)-1)),""),"")</f>
        <v>1</v>
      </c>
      <c r="P3910" s="7" t="n">
        <f aca="false">IF(K3910="","",K3910-G3910)</f>
        <v>0</v>
      </c>
    </row>
    <row r="3911" customFormat="false" ht="15" hidden="false" customHeight="false" outlineLevel="0" collapsed="false">
      <c r="A3911" s="7" t="n">
        <v>80149259</v>
      </c>
      <c r="B3911" s="7" t="s">
        <v>68</v>
      </c>
      <c r="C3911" s="7" t="s">
        <v>8109</v>
      </c>
      <c r="D3911" s="7" t="s">
        <v>8110</v>
      </c>
      <c r="E3911" s="7" t="s">
        <v>30</v>
      </c>
      <c r="F3911" s="7" t="s">
        <v>8111</v>
      </c>
      <c r="G3911" s="7" t="n">
        <v>2016</v>
      </c>
      <c r="H3911" s="7" t="s">
        <v>48</v>
      </c>
      <c r="I3911" s="7" t="s">
        <v>138</v>
      </c>
      <c r="J3911" s="7" t="s">
        <v>8112</v>
      </c>
      <c r="K3911" s="7" t="n">
        <f aca="false">IFERROR(VALUE(RIGHT(TRIM(F3911),4)),"")</f>
        <v>2017</v>
      </c>
      <c r="L3911" s="7" t="str">
        <f aca="false">IF(TRIM(E3911)="","Unknown",IFERROR(LEFT(TRIM(E3911),FIND(",",TRIM(E3911))-1),TRIM(E3911)))</f>
        <v>Japan</v>
      </c>
      <c r="M3911" s="7" t="str">
        <f aca="false">IFERROR(LEFT(J3911,FIND(",",J3911)-1),J3911)</f>
        <v>Action &amp; Adventure</v>
      </c>
      <c r="N3911" s="7" t="n">
        <f aca="false">IF(B3911="Movie",IFERROR(VALUE(LEFT(I3911,FIND(" ",I3911)-1)),""),"")</f>
        <v>96</v>
      </c>
      <c r="O3911" s="7" t="str">
        <f aca="false">IF(B3911="TV Show",IFERROR(VALUE(LEFT(I3911,FIND(" ",I3911)-1)),""),"")</f>
        <v/>
      </c>
      <c r="P3911" s="7" t="n">
        <f aca="false">IF(K3911="","",K3911-G3911)</f>
        <v>1</v>
      </c>
    </row>
    <row r="3912" customFormat="false" ht="15" hidden="false" customHeight="false" outlineLevel="0" collapsed="false">
      <c r="A3912" s="7" t="n">
        <v>70307570</v>
      </c>
      <c r="B3912" s="7" t="s">
        <v>68</v>
      </c>
      <c r="C3912" s="7" t="s">
        <v>8113</v>
      </c>
      <c r="D3912" s="7" t="s">
        <v>8114</v>
      </c>
      <c r="E3912" s="7" t="s">
        <v>26</v>
      </c>
      <c r="F3912" s="7" t="s">
        <v>8115</v>
      </c>
      <c r="G3912" s="7" t="n">
        <v>2012</v>
      </c>
      <c r="H3912" s="7" t="s">
        <v>55</v>
      </c>
      <c r="I3912" s="7" t="s">
        <v>2198</v>
      </c>
      <c r="J3912" s="7" t="s">
        <v>74</v>
      </c>
      <c r="K3912" s="7" t="n">
        <f aca="false">IFERROR(VALUE(RIGHT(TRIM(F3912),4)),"")</f>
        <v>2016</v>
      </c>
      <c r="L3912" s="7" t="str">
        <f aca="false">IF(TRIM(E3912)="","Unknown",IFERROR(LEFT(TRIM(E3912),FIND(",",TRIM(E3912))-1),TRIM(E3912)))</f>
        <v>United States</v>
      </c>
      <c r="M3912" s="7" t="str">
        <f aca="false">IFERROR(LEFT(J3912,FIND(",",J3912)-1),J3912)</f>
        <v>Children &amp; Family Movies</v>
      </c>
      <c r="N3912" s="7" t="n">
        <f aca="false">IF(B3912="Movie",IFERROR(VALUE(LEFT(I3912,FIND(" ",I3912)-1)),""),"")</f>
        <v>44</v>
      </c>
      <c r="O3912" s="7" t="str">
        <f aca="false">IF(B3912="TV Show",IFERROR(VALUE(LEFT(I3912,FIND(" ",I3912)-1)),""),"")</f>
        <v/>
      </c>
      <c r="P3912" s="7" t="n">
        <f aca="false">IF(K3912="","",K3912-G3912)</f>
        <v>4</v>
      </c>
    </row>
    <row r="3913" customFormat="false" ht="15" hidden="false" customHeight="false" outlineLevel="0" collapsed="false">
      <c r="A3913" s="7" t="n">
        <v>80081337</v>
      </c>
      <c r="B3913" s="7" t="s">
        <v>68</v>
      </c>
      <c r="C3913" s="7" t="s">
        <v>8116</v>
      </c>
      <c r="D3913" s="7" t="s">
        <v>8114</v>
      </c>
      <c r="E3913" s="7" t="s">
        <v>26</v>
      </c>
      <c r="F3913" s="7" t="s">
        <v>8115</v>
      </c>
      <c r="G3913" s="7" t="n">
        <v>2012</v>
      </c>
      <c r="H3913" s="7" t="s">
        <v>81</v>
      </c>
      <c r="I3913" s="7" t="s">
        <v>8117</v>
      </c>
      <c r="J3913" s="7" t="s">
        <v>74</v>
      </c>
      <c r="K3913" s="7" t="n">
        <f aca="false">IFERROR(VALUE(RIGHT(TRIM(F3913),4)),"")</f>
        <v>2016</v>
      </c>
      <c r="L3913" s="7" t="str">
        <f aca="false">IF(TRIM(E3913)="","Unknown",IFERROR(LEFT(TRIM(E3913),FIND(",",TRIM(E3913))-1),TRIM(E3913)))</f>
        <v>United States</v>
      </c>
      <c r="M3913" s="7" t="str">
        <f aca="false">IFERROR(LEFT(J3913,FIND(",",J3913)-1),J3913)</f>
        <v>Children &amp; Family Movies</v>
      </c>
      <c r="N3913" s="7" t="n">
        <f aca="false">IF(B3913="Movie",IFERROR(VALUE(LEFT(I3913,FIND(" ",I3913)-1)),""),"")</f>
        <v>43</v>
      </c>
      <c r="O3913" s="7" t="str">
        <f aca="false">IF(B3913="TV Show",IFERROR(VALUE(LEFT(I3913,FIND(" ",I3913)-1)),""),"")</f>
        <v/>
      </c>
      <c r="P3913" s="7" t="n">
        <f aca="false">IF(K3913="","",K3913-G3913)</f>
        <v>4</v>
      </c>
    </row>
    <row r="3914" customFormat="false" ht="15" hidden="false" customHeight="false" outlineLevel="0" collapsed="false">
      <c r="A3914" s="7" t="n">
        <v>81057246</v>
      </c>
      <c r="B3914" s="7" t="s">
        <v>68</v>
      </c>
      <c r="C3914" s="7" t="s">
        <v>8118</v>
      </c>
      <c r="D3914" s="7" t="s">
        <v>8119</v>
      </c>
      <c r="E3914" s="7" t="s">
        <v>27</v>
      </c>
      <c r="F3914" s="7" t="s">
        <v>8120</v>
      </c>
      <c r="G3914" s="7" t="n">
        <v>2018</v>
      </c>
      <c r="H3914" s="7" t="s">
        <v>49</v>
      </c>
      <c r="I3914" s="7" t="s">
        <v>138</v>
      </c>
      <c r="J3914" s="7" t="s">
        <v>304</v>
      </c>
      <c r="K3914" s="7" t="n">
        <f aca="false">IFERROR(VALUE(RIGHT(TRIM(F3914),4)),"")</f>
        <v>2019</v>
      </c>
      <c r="L3914" s="7" t="str">
        <f aca="false">IF(TRIM(E3914)="","Unknown",IFERROR(LEFT(TRIM(E3914),FIND(",",TRIM(E3914))-1),TRIM(E3914)))</f>
        <v>India</v>
      </c>
      <c r="M3914" s="7" t="str">
        <f aca="false">IFERROR(LEFT(J3914,FIND(",",J3914)-1),J3914)</f>
        <v>Dramas</v>
      </c>
      <c r="N3914" s="7" t="n">
        <f aca="false">IF(B3914="Movie",IFERROR(VALUE(LEFT(I3914,FIND(" ",I3914)-1)),""),"")</f>
        <v>96</v>
      </c>
      <c r="O3914" s="7" t="str">
        <f aca="false">IF(B3914="TV Show",IFERROR(VALUE(LEFT(I3914,FIND(" ",I3914)-1)),""),"")</f>
        <v/>
      </c>
      <c r="P3914" s="7" t="n">
        <f aca="false">IF(K3914="","",K3914-G3914)</f>
        <v>1</v>
      </c>
    </row>
    <row r="3915" customFormat="false" ht="15" hidden="false" customHeight="false" outlineLevel="0" collapsed="false">
      <c r="A3915" s="7" t="n">
        <v>70295974</v>
      </c>
      <c r="B3915" s="7" t="s">
        <v>78</v>
      </c>
      <c r="C3915" s="7" t="s">
        <v>8121</v>
      </c>
      <c r="E3915" s="7" t="s">
        <v>31</v>
      </c>
      <c r="F3915" s="7" t="s">
        <v>8120</v>
      </c>
      <c r="G3915" s="7" t="n">
        <v>2015</v>
      </c>
      <c r="H3915" s="7" t="s">
        <v>48</v>
      </c>
      <c r="I3915" s="7" t="s">
        <v>82</v>
      </c>
      <c r="J3915" s="7" t="s">
        <v>822</v>
      </c>
      <c r="K3915" s="7" t="n">
        <f aca="false">IFERROR(VALUE(RIGHT(TRIM(F3915),4)),"")</f>
        <v>2019</v>
      </c>
      <c r="L3915" s="7" t="str">
        <f aca="false">IF(TRIM(E3915)="","Unknown",IFERROR(LEFT(TRIM(E3915),FIND(",",TRIM(E3915))-1),TRIM(E3915)))</f>
        <v>France</v>
      </c>
      <c r="M3915" s="7" t="str">
        <f aca="false">IFERROR(LEFT(J3915,FIND(",",J3915)-1),J3915)</f>
        <v>International TV Shows</v>
      </c>
      <c r="N3915" s="7" t="str">
        <f aca="false">IF(B3915="Movie",IFERROR(VALUE(LEFT(I3915,FIND(" ",I3915)-1)),""),"")</f>
        <v/>
      </c>
      <c r="O3915" s="7" t="n">
        <f aca="false">IF(B3915="TV Show",IFERROR(VALUE(LEFT(I3915,FIND(" ",I3915)-1)),""),"")</f>
        <v>1</v>
      </c>
      <c r="P3915" s="7" t="n">
        <f aca="false">IF(K3915="","",K3915-G3915)</f>
        <v>4</v>
      </c>
    </row>
    <row r="3916" customFormat="false" ht="15" hidden="false" customHeight="false" outlineLevel="0" collapsed="false">
      <c r="A3916" s="7" t="n">
        <v>80209153</v>
      </c>
      <c r="B3916" s="7" t="s">
        <v>68</v>
      </c>
      <c r="C3916" s="7" t="s">
        <v>4567</v>
      </c>
      <c r="D3916" s="7" t="s">
        <v>8122</v>
      </c>
      <c r="E3916" s="7" t="s">
        <v>26</v>
      </c>
      <c r="F3916" s="7" t="s">
        <v>8123</v>
      </c>
      <c r="G3916" s="7" t="n">
        <v>2017</v>
      </c>
      <c r="H3916" s="7" t="s">
        <v>51</v>
      </c>
      <c r="I3916" s="7" t="s">
        <v>340</v>
      </c>
      <c r="J3916" s="7" t="s">
        <v>40</v>
      </c>
      <c r="K3916" s="7" t="n">
        <f aca="false">IFERROR(VALUE(RIGHT(TRIM(F3916),4)),"")</f>
        <v>2018</v>
      </c>
      <c r="L3916" s="7" t="str">
        <f aca="false">IF(TRIM(E3916)="","Unknown",IFERROR(LEFT(TRIM(E3916),FIND(",",TRIM(E3916))-1),TRIM(E3916)))</f>
        <v>United States</v>
      </c>
      <c r="M3916" s="7" t="str">
        <f aca="false">IFERROR(LEFT(J3916,FIND(",",J3916)-1),J3916)</f>
        <v>Action &amp; Adventure</v>
      </c>
      <c r="N3916" s="7" t="n">
        <f aca="false">IF(B3916="Movie",IFERROR(VALUE(LEFT(I3916,FIND(" ",I3916)-1)),""),"")</f>
        <v>85</v>
      </c>
      <c r="O3916" s="7" t="str">
        <f aca="false">IF(B3916="TV Show",IFERROR(VALUE(LEFT(I3916,FIND(" ",I3916)-1)),""),"")</f>
        <v/>
      </c>
      <c r="P3916" s="7" t="n">
        <f aca="false">IF(K3916="","",K3916-G3916)</f>
        <v>1</v>
      </c>
    </row>
    <row r="3917" customFormat="false" ht="15" hidden="false" customHeight="false" outlineLevel="0" collapsed="false">
      <c r="A3917" s="7" t="n">
        <v>80222025</v>
      </c>
      <c r="B3917" s="7" t="s">
        <v>78</v>
      </c>
      <c r="C3917" s="7" t="s">
        <v>8124</v>
      </c>
      <c r="D3917" s="7" t="s">
        <v>8125</v>
      </c>
      <c r="E3917" s="7" t="s">
        <v>8126</v>
      </c>
      <c r="F3917" s="7" t="s">
        <v>8123</v>
      </c>
      <c r="G3917" s="7" t="n">
        <v>2013</v>
      </c>
      <c r="H3917" s="7" t="s">
        <v>49</v>
      </c>
      <c r="I3917" s="7" t="s">
        <v>82</v>
      </c>
      <c r="J3917" s="7" t="s">
        <v>696</v>
      </c>
      <c r="K3917" s="7" t="n">
        <f aca="false">IFERROR(VALUE(RIGHT(TRIM(F3917),4)),"")</f>
        <v>2018</v>
      </c>
      <c r="L3917" s="7" t="str">
        <f aca="false">IF(TRIM(E3917)="","Unknown",IFERROR(LEFT(TRIM(E3917),FIND(",",TRIM(E3917))-1),TRIM(E3917)))</f>
        <v>United States</v>
      </c>
      <c r="M3917" s="7" t="str">
        <f aca="false">IFERROR(LEFT(J3917,FIND(",",J3917)-1),J3917)</f>
        <v>Crime TV Shows</v>
      </c>
      <c r="N3917" s="7" t="str">
        <f aca="false">IF(B3917="Movie",IFERROR(VALUE(LEFT(I3917,FIND(" ",I3917)-1)),""),"")</f>
        <v/>
      </c>
      <c r="O3917" s="7" t="n">
        <f aca="false">IF(B3917="TV Show",IFERROR(VALUE(LEFT(I3917,FIND(" ",I3917)-1)),""),"")</f>
        <v>1</v>
      </c>
      <c r="P3917" s="7" t="n">
        <f aca="false">IF(K3917="","",K3917-G3917)</f>
        <v>5</v>
      </c>
    </row>
    <row r="3918" customFormat="false" ht="15" hidden="false" customHeight="false" outlineLevel="0" collapsed="false">
      <c r="A3918" s="7" t="n">
        <v>80161850</v>
      </c>
      <c r="B3918" s="7" t="s">
        <v>68</v>
      </c>
      <c r="C3918" s="7" t="s">
        <v>8127</v>
      </c>
      <c r="D3918" s="7" t="s">
        <v>8128</v>
      </c>
      <c r="E3918" s="7" t="s">
        <v>27</v>
      </c>
      <c r="F3918" s="7" t="s">
        <v>8129</v>
      </c>
      <c r="G3918" s="7" t="n">
        <v>2014</v>
      </c>
      <c r="H3918" s="7" t="s">
        <v>53</v>
      </c>
      <c r="I3918" s="7" t="s">
        <v>111</v>
      </c>
      <c r="J3918" s="7" t="s">
        <v>188</v>
      </c>
      <c r="K3918" s="7" t="n">
        <f aca="false">IFERROR(VALUE(RIGHT(TRIM(F3918),4)),"")</f>
        <v>2017</v>
      </c>
      <c r="L3918" s="7" t="str">
        <f aca="false">IF(TRIM(E3918)="","Unknown",IFERROR(LEFT(TRIM(E3918),FIND(",",TRIM(E3918))-1),TRIM(E3918)))</f>
        <v>India</v>
      </c>
      <c r="M3918" s="7" t="str">
        <f aca="false">IFERROR(LEFT(J3918,FIND(",",J3918)-1),J3918)</f>
        <v>Dramas</v>
      </c>
      <c r="N3918" s="7" t="n">
        <f aca="false">IF(B3918="Movie",IFERROR(VALUE(LEFT(I3918,FIND(" ",I3918)-1)),""),"")</f>
        <v>95</v>
      </c>
      <c r="O3918" s="7" t="str">
        <f aca="false">IF(B3918="TV Show",IFERROR(VALUE(LEFT(I3918,FIND(" ",I3918)-1)),""),"")</f>
        <v/>
      </c>
      <c r="P3918" s="7" t="n">
        <f aca="false">IF(K3918="","",K3918-G3918)</f>
        <v>3</v>
      </c>
    </row>
    <row r="3919" customFormat="false" ht="15" hidden="false" customHeight="false" outlineLevel="0" collapsed="false">
      <c r="A3919" s="7" t="n">
        <v>80107808</v>
      </c>
      <c r="B3919" s="7" t="s">
        <v>68</v>
      </c>
      <c r="C3919" s="7" t="s">
        <v>8130</v>
      </c>
      <c r="D3919" s="7" t="s">
        <v>8131</v>
      </c>
      <c r="E3919" s="7" t="s">
        <v>26</v>
      </c>
      <c r="F3919" s="7" t="s">
        <v>8129</v>
      </c>
      <c r="G3919" s="7" t="n">
        <v>2016</v>
      </c>
      <c r="H3919" s="7" t="s">
        <v>48</v>
      </c>
      <c r="I3919" s="7" t="s">
        <v>494</v>
      </c>
      <c r="J3919" s="7" t="s">
        <v>40</v>
      </c>
      <c r="K3919" s="7" t="n">
        <f aca="false">IFERROR(VALUE(RIGHT(TRIM(F3919),4)),"")</f>
        <v>2017</v>
      </c>
      <c r="L3919" s="7" t="str">
        <f aca="false">IF(TRIM(E3919)="","Unknown",IFERROR(LEFT(TRIM(E3919),FIND(",",TRIM(E3919))-1),TRIM(E3919)))</f>
        <v>United States</v>
      </c>
      <c r="M3919" s="7" t="str">
        <f aca="false">IFERROR(LEFT(J3919,FIND(",",J3919)-1),J3919)</f>
        <v>Action &amp; Adventure</v>
      </c>
      <c r="N3919" s="7" t="n">
        <f aca="false">IF(B3919="Movie",IFERROR(VALUE(LEFT(I3919,FIND(" ",I3919)-1)),""),"")</f>
        <v>87</v>
      </c>
      <c r="O3919" s="7" t="str">
        <f aca="false">IF(B3919="TV Show",IFERROR(VALUE(LEFT(I3919,FIND(" ",I3919)-1)),""),"")</f>
        <v/>
      </c>
      <c r="P3919" s="7" t="n">
        <f aca="false">IF(K3919="","",K3919-G3919)</f>
        <v>1</v>
      </c>
    </row>
    <row r="3920" customFormat="false" ht="15" hidden="false" customHeight="false" outlineLevel="0" collapsed="false">
      <c r="A3920" s="7" t="n">
        <v>80154508</v>
      </c>
      <c r="B3920" s="7" t="s">
        <v>78</v>
      </c>
      <c r="C3920" s="7" t="s">
        <v>8132</v>
      </c>
      <c r="E3920" s="7" t="s">
        <v>32</v>
      </c>
      <c r="F3920" s="7" t="s">
        <v>8129</v>
      </c>
      <c r="G3920" s="7" t="n">
        <v>2013</v>
      </c>
      <c r="H3920" s="7" t="s">
        <v>49</v>
      </c>
      <c r="I3920" s="7" t="s">
        <v>82</v>
      </c>
      <c r="J3920" s="7" t="s">
        <v>637</v>
      </c>
      <c r="K3920" s="7" t="n">
        <f aca="false">IFERROR(VALUE(RIGHT(TRIM(F3920),4)),"")</f>
        <v>2017</v>
      </c>
      <c r="L3920" s="7" t="str">
        <f aca="false">IF(TRIM(E3920)="","Unknown",IFERROR(LEFT(TRIM(E3920),FIND(",",TRIM(E3920))-1),TRIM(E3920)))</f>
        <v>South Korea</v>
      </c>
      <c r="M3920" s="7" t="str">
        <f aca="false">IFERROR(LEFT(J3920,FIND(",",J3920)-1),J3920)</f>
        <v>International TV Shows</v>
      </c>
      <c r="N3920" s="7" t="str">
        <f aca="false">IF(B3920="Movie",IFERROR(VALUE(LEFT(I3920,FIND(" ",I3920)-1)),""),"")</f>
        <v/>
      </c>
      <c r="O3920" s="7" t="n">
        <f aca="false">IF(B3920="TV Show",IFERROR(VALUE(LEFT(I3920,FIND(" ",I3920)-1)),""),"")</f>
        <v>1</v>
      </c>
      <c r="P3920" s="7" t="n">
        <f aca="false">IF(K3920="","",K3920-G3920)</f>
        <v>4</v>
      </c>
    </row>
    <row r="3921" customFormat="false" ht="15" hidden="false" customHeight="false" outlineLevel="0" collapsed="false">
      <c r="A3921" s="7" t="n">
        <v>80123910</v>
      </c>
      <c r="B3921" s="7" t="s">
        <v>68</v>
      </c>
      <c r="C3921" s="7" t="s">
        <v>8133</v>
      </c>
      <c r="D3921" s="7" t="s">
        <v>3383</v>
      </c>
      <c r="E3921" s="7" t="s">
        <v>27</v>
      </c>
      <c r="F3921" s="7" t="s">
        <v>8129</v>
      </c>
      <c r="G3921" s="7" t="n">
        <v>2016</v>
      </c>
      <c r="H3921" s="7" t="s">
        <v>49</v>
      </c>
      <c r="I3921" s="7" t="s">
        <v>2192</v>
      </c>
      <c r="J3921" s="7" t="s">
        <v>188</v>
      </c>
      <c r="K3921" s="7" t="n">
        <f aca="false">IFERROR(VALUE(RIGHT(TRIM(F3921),4)),"")</f>
        <v>2017</v>
      </c>
      <c r="L3921" s="7" t="str">
        <f aca="false">IF(TRIM(E3921)="","Unknown",IFERROR(LEFT(TRIM(E3921),FIND(",",TRIM(E3921))-1),TRIM(E3921)))</f>
        <v>India</v>
      </c>
      <c r="M3921" s="7" t="str">
        <f aca="false">IFERROR(LEFT(J3921,FIND(",",J3921)-1),J3921)</f>
        <v>Dramas</v>
      </c>
      <c r="N3921" s="7" t="n">
        <f aca="false">IF(B3921="Movie",IFERROR(VALUE(LEFT(I3921,FIND(" ",I3921)-1)),""),"")</f>
        <v>134</v>
      </c>
      <c r="O3921" s="7" t="str">
        <f aca="false">IF(B3921="TV Show",IFERROR(VALUE(LEFT(I3921,FIND(" ",I3921)-1)),""),"")</f>
        <v/>
      </c>
      <c r="P3921" s="7" t="n">
        <f aca="false">IF(K3921="","",K3921-G3921)</f>
        <v>1</v>
      </c>
    </row>
    <row r="3922" customFormat="false" ht="15" hidden="false" customHeight="false" outlineLevel="0" collapsed="false">
      <c r="A3922" s="7" t="n">
        <v>80103428</v>
      </c>
      <c r="B3922" s="7" t="s">
        <v>68</v>
      </c>
      <c r="C3922" s="7" t="s">
        <v>8134</v>
      </c>
      <c r="D3922" s="7" t="s">
        <v>3383</v>
      </c>
      <c r="E3922" s="7" t="s">
        <v>27</v>
      </c>
      <c r="F3922" s="7" t="s">
        <v>8129</v>
      </c>
      <c r="G3922" s="7" t="n">
        <v>2016</v>
      </c>
      <c r="H3922" s="7" t="s">
        <v>53</v>
      </c>
      <c r="I3922" s="7" t="s">
        <v>519</v>
      </c>
      <c r="J3922" s="7" t="s">
        <v>322</v>
      </c>
      <c r="K3922" s="7" t="n">
        <f aca="false">IFERROR(VALUE(RIGHT(TRIM(F3922),4)),"")</f>
        <v>2017</v>
      </c>
      <c r="L3922" s="7" t="str">
        <f aca="false">IF(TRIM(E3922)="","Unknown",IFERROR(LEFT(TRIM(E3922),FIND(",",TRIM(E3922))-1),TRIM(E3922)))</f>
        <v>India</v>
      </c>
      <c r="M3922" s="7" t="str">
        <f aca="false">IFERROR(LEFT(J3922,FIND(",",J3922)-1),J3922)</f>
        <v>Action &amp; Adventure</v>
      </c>
      <c r="N3922" s="7" t="n">
        <f aca="false">IF(B3922="Movie",IFERROR(VALUE(LEFT(I3922,FIND(" ",I3922)-1)),""),"")</f>
        <v>119</v>
      </c>
      <c r="O3922" s="7" t="str">
        <f aca="false">IF(B3922="TV Show",IFERROR(VALUE(LEFT(I3922,FIND(" ",I3922)-1)),""),"")</f>
        <v/>
      </c>
      <c r="P3922" s="7" t="n">
        <f aca="false">IF(K3922="","",K3922-G3922)</f>
        <v>1</v>
      </c>
    </row>
    <row r="3923" customFormat="false" ht="15" hidden="false" customHeight="false" outlineLevel="0" collapsed="false">
      <c r="A3923" s="7" t="n">
        <v>80113673</v>
      </c>
      <c r="B3923" s="7" t="s">
        <v>68</v>
      </c>
      <c r="C3923" s="7" t="s">
        <v>8135</v>
      </c>
      <c r="D3923" s="7" t="s">
        <v>4072</v>
      </c>
      <c r="E3923" s="7" t="s">
        <v>27</v>
      </c>
      <c r="F3923" s="7" t="s">
        <v>8129</v>
      </c>
      <c r="G3923" s="7" t="n">
        <v>2016</v>
      </c>
      <c r="H3923" s="7" t="s">
        <v>49</v>
      </c>
      <c r="I3923" s="7" t="s">
        <v>261</v>
      </c>
      <c r="J3923" s="7" t="s">
        <v>182</v>
      </c>
      <c r="K3923" s="7" t="n">
        <f aca="false">IFERROR(VALUE(RIGHT(TRIM(F3923),4)),"")</f>
        <v>2017</v>
      </c>
      <c r="L3923" s="7" t="str">
        <f aca="false">IF(TRIM(E3923)="","Unknown",IFERROR(LEFT(TRIM(E3923),FIND(",",TRIM(E3923))-1),TRIM(E3923)))</f>
        <v>India</v>
      </c>
      <c r="M3923" s="7" t="str">
        <f aca="false">IFERROR(LEFT(J3923,FIND(",",J3923)-1),J3923)</f>
        <v>Dramas</v>
      </c>
      <c r="N3923" s="7" t="n">
        <f aca="false">IF(B3923="Movie",IFERROR(VALUE(LEFT(I3923,FIND(" ",I3923)-1)),""),"")</f>
        <v>128</v>
      </c>
      <c r="O3923" s="7" t="str">
        <f aca="false">IF(B3923="TV Show",IFERROR(VALUE(LEFT(I3923,FIND(" ",I3923)-1)),""),"")</f>
        <v/>
      </c>
      <c r="P3923" s="7" t="n">
        <f aca="false">IF(K3923="","",K3923-G3923)</f>
        <v>1</v>
      </c>
    </row>
    <row r="3924" customFormat="false" ht="15" hidden="false" customHeight="false" outlineLevel="0" collapsed="false">
      <c r="A3924" s="7" t="n">
        <v>80013271</v>
      </c>
      <c r="B3924" s="7" t="s">
        <v>68</v>
      </c>
      <c r="C3924" s="7" t="s">
        <v>8136</v>
      </c>
      <c r="D3924" s="7" t="s">
        <v>1863</v>
      </c>
      <c r="E3924" s="7" t="s">
        <v>8137</v>
      </c>
      <c r="F3924" s="7" t="s">
        <v>8138</v>
      </c>
      <c r="G3924" s="7" t="n">
        <v>2015</v>
      </c>
      <c r="H3924" s="7" t="s">
        <v>51</v>
      </c>
      <c r="I3924" s="7" t="s">
        <v>187</v>
      </c>
      <c r="J3924" s="7" t="s">
        <v>112</v>
      </c>
      <c r="K3924" s="7" t="n">
        <f aca="false">IFERROR(VALUE(RIGHT(TRIM(F3924),4)),"")</f>
        <v>2019</v>
      </c>
      <c r="L3924" s="7" t="str">
        <f aca="false">IF(TRIM(E3924)="","Unknown",IFERROR(LEFT(TRIM(E3924),FIND(",",TRIM(E3924))-1),TRIM(E3924)))</f>
        <v>United Kingdom</v>
      </c>
      <c r="M3924" s="7" t="str">
        <f aca="false">IFERROR(LEFT(J3924,FIND(",",J3924)-1),J3924)</f>
        <v>Action &amp; Adventure</v>
      </c>
      <c r="N3924" s="7" t="n">
        <f aca="false">IF(B3924="Movie",IFERROR(VALUE(LEFT(I3924,FIND(" ",I3924)-1)),""),"")</f>
        <v>114</v>
      </c>
      <c r="O3924" s="7" t="str">
        <f aca="false">IF(B3924="TV Show",IFERROR(VALUE(LEFT(I3924,FIND(" ",I3924)-1)),""),"")</f>
        <v/>
      </c>
      <c r="P3924" s="7" t="n">
        <f aca="false">IF(K3924="","",K3924-G3924)</f>
        <v>4</v>
      </c>
    </row>
    <row r="3925" customFormat="false" ht="15" hidden="false" customHeight="false" outlineLevel="0" collapsed="false">
      <c r="A3925" s="7" t="n">
        <v>81004511</v>
      </c>
      <c r="B3925" s="7" t="s">
        <v>68</v>
      </c>
      <c r="C3925" s="7" t="s">
        <v>8139</v>
      </c>
      <c r="D3925" s="7" t="s">
        <v>8140</v>
      </c>
      <c r="E3925" s="7" t="s">
        <v>26</v>
      </c>
      <c r="F3925" s="7" t="s">
        <v>8138</v>
      </c>
      <c r="G3925" s="7" t="n">
        <v>2018</v>
      </c>
      <c r="H3925" s="7" t="s">
        <v>48</v>
      </c>
      <c r="I3925" s="7" t="s">
        <v>87</v>
      </c>
      <c r="J3925" s="7" t="s">
        <v>39</v>
      </c>
      <c r="K3925" s="7" t="n">
        <f aca="false">IFERROR(VALUE(RIGHT(TRIM(F3925),4)),"")</f>
        <v>2019</v>
      </c>
      <c r="L3925" s="7" t="str">
        <f aca="false">IF(TRIM(E3925)="","Unknown",IFERROR(LEFT(TRIM(E3925),FIND(",",TRIM(E3925))-1),TRIM(E3925)))</f>
        <v>United States</v>
      </c>
      <c r="M3925" s="7" t="str">
        <f aca="false">IFERROR(LEFT(J3925,FIND(",",J3925)-1),J3925)</f>
        <v>Documentaries</v>
      </c>
      <c r="N3925" s="7" t="n">
        <f aca="false">IF(B3925="Movie",IFERROR(VALUE(LEFT(I3925,FIND(" ",I3925)-1)),""),"")</f>
        <v>99</v>
      </c>
      <c r="O3925" s="7" t="str">
        <f aca="false">IF(B3925="TV Show",IFERROR(VALUE(LEFT(I3925,FIND(" ",I3925)-1)),""),"")</f>
        <v/>
      </c>
      <c r="P3925" s="7" t="n">
        <f aca="false">IF(K3925="","",K3925-G3925)</f>
        <v>1</v>
      </c>
    </row>
    <row r="3926" customFormat="false" ht="15" hidden="false" customHeight="false" outlineLevel="0" collapsed="false">
      <c r="A3926" s="7" t="n">
        <v>80989337</v>
      </c>
      <c r="B3926" s="7" t="s">
        <v>68</v>
      </c>
      <c r="C3926" s="7" t="s">
        <v>8141</v>
      </c>
      <c r="D3926" s="7" t="s">
        <v>8142</v>
      </c>
      <c r="E3926" s="7" t="s">
        <v>26</v>
      </c>
      <c r="F3926" s="7" t="s">
        <v>8138</v>
      </c>
      <c r="G3926" s="7" t="n">
        <v>2017</v>
      </c>
      <c r="H3926" s="7" t="s">
        <v>51</v>
      </c>
      <c r="I3926" s="7" t="s">
        <v>357</v>
      </c>
      <c r="J3926" s="7" t="s">
        <v>265</v>
      </c>
      <c r="K3926" s="7" t="n">
        <f aca="false">IFERROR(VALUE(RIGHT(TRIM(F3926),4)),"")</f>
        <v>2019</v>
      </c>
      <c r="L3926" s="7" t="str">
        <f aca="false">IF(TRIM(E3926)="","Unknown",IFERROR(LEFT(TRIM(E3926),FIND(",",TRIM(E3926))-1),TRIM(E3926)))</f>
        <v>United States</v>
      </c>
      <c r="M3926" s="7" t="str">
        <f aca="false">IFERROR(LEFT(J3926,FIND(",",J3926)-1),J3926)</f>
        <v>Horror Movies</v>
      </c>
      <c r="N3926" s="7" t="n">
        <f aca="false">IF(B3926="Movie",IFERROR(VALUE(LEFT(I3926,FIND(" ",I3926)-1)),""),"")</f>
        <v>89</v>
      </c>
      <c r="O3926" s="7" t="str">
        <f aca="false">IF(B3926="TV Show",IFERROR(VALUE(LEFT(I3926,FIND(" ",I3926)-1)),""),"")</f>
        <v/>
      </c>
      <c r="P3926" s="7" t="n">
        <f aca="false">IF(K3926="","",K3926-G3926)</f>
        <v>2</v>
      </c>
    </row>
    <row r="3927" customFormat="false" ht="15" hidden="false" customHeight="false" outlineLevel="0" collapsed="false">
      <c r="A3927" s="7" t="n">
        <v>80191555</v>
      </c>
      <c r="B3927" s="7" t="s">
        <v>68</v>
      </c>
      <c r="C3927" s="7" t="s">
        <v>8143</v>
      </c>
      <c r="D3927" s="7" t="s">
        <v>8144</v>
      </c>
      <c r="E3927" s="7" t="s">
        <v>1113</v>
      </c>
      <c r="F3927" s="7" t="s">
        <v>8145</v>
      </c>
      <c r="G3927" s="7" t="n">
        <v>2018</v>
      </c>
      <c r="H3927" s="7" t="s">
        <v>48</v>
      </c>
      <c r="I3927" s="7" t="s">
        <v>98</v>
      </c>
      <c r="J3927" s="7" t="s">
        <v>45</v>
      </c>
      <c r="K3927" s="7" t="n">
        <f aca="false">IFERROR(VALUE(RIGHT(TRIM(F3927),4)),"")</f>
        <v>2018</v>
      </c>
      <c r="L3927" s="7" t="str">
        <f aca="false">IF(TRIM(E3927)="","Unknown",IFERROR(LEFT(TRIM(E3927),FIND(",",TRIM(E3927))-1),TRIM(E3927)))</f>
        <v>Argentina</v>
      </c>
      <c r="M3927" s="7" t="str">
        <f aca="false">IFERROR(LEFT(J3927,FIND(",",J3927)-1),J3927)</f>
        <v>Stand-Up Comedy</v>
      </c>
      <c r="N3927" s="7" t="n">
        <f aca="false">IF(B3927="Movie",IFERROR(VALUE(LEFT(I3927,FIND(" ",I3927)-1)),""),"")</f>
        <v>60</v>
      </c>
      <c r="O3927" s="7" t="str">
        <f aca="false">IF(B3927="TV Show",IFERROR(VALUE(LEFT(I3927,FIND(" ",I3927)-1)),""),"")</f>
        <v/>
      </c>
      <c r="P3927" s="7" t="n">
        <f aca="false">IF(K3927="","",K3927-G3927)</f>
        <v>0</v>
      </c>
    </row>
    <row r="3928" customFormat="false" ht="15" hidden="false" customHeight="false" outlineLevel="0" collapsed="false">
      <c r="A3928" s="7" t="n">
        <v>80117551</v>
      </c>
      <c r="B3928" s="7" t="s">
        <v>78</v>
      </c>
      <c r="C3928" s="7" t="s">
        <v>8146</v>
      </c>
      <c r="E3928" s="7" t="s">
        <v>26</v>
      </c>
      <c r="F3928" s="7" t="s">
        <v>8145</v>
      </c>
      <c r="G3928" s="7" t="n">
        <v>2018</v>
      </c>
      <c r="H3928" s="7" t="s">
        <v>49</v>
      </c>
      <c r="I3928" s="7" t="s">
        <v>82</v>
      </c>
      <c r="J3928" s="7" t="s">
        <v>408</v>
      </c>
      <c r="K3928" s="7" t="n">
        <f aca="false">IFERROR(VALUE(RIGHT(TRIM(F3928),4)),"")</f>
        <v>2018</v>
      </c>
      <c r="L3928" s="7" t="str">
        <f aca="false">IF(TRIM(E3928)="","Unknown",IFERROR(LEFT(TRIM(E3928),FIND(",",TRIM(E3928))-1),TRIM(E3928)))</f>
        <v>United States</v>
      </c>
      <c r="M3928" s="7" t="str">
        <f aca="false">IFERROR(LEFT(J3928,FIND(",",J3928)-1),J3928)</f>
        <v>TV Comedies</v>
      </c>
      <c r="N3928" s="7" t="str">
        <f aca="false">IF(B3928="Movie",IFERROR(VALUE(LEFT(I3928,FIND(" ",I3928)-1)),""),"")</f>
        <v/>
      </c>
      <c r="O3928" s="7" t="n">
        <f aca="false">IF(B3928="TV Show",IFERROR(VALUE(LEFT(I3928,FIND(" ",I3928)-1)),""),"")</f>
        <v>1</v>
      </c>
      <c r="P3928" s="7" t="n">
        <f aca="false">IF(K3928="","",K3928-G3928)</f>
        <v>0</v>
      </c>
    </row>
    <row r="3929" customFormat="false" ht="15" hidden="false" customHeight="false" outlineLevel="0" collapsed="false">
      <c r="A3929" s="7" t="n">
        <v>80184625</v>
      </c>
      <c r="B3929" s="7" t="s">
        <v>68</v>
      </c>
      <c r="C3929" s="7" t="s">
        <v>8147</v>
      </c>
      <c r="D3929" s="7" t="s">
        <v>8148</v>
      </c>
      <c r="E3929" s="7" t="s">
        <v>26</v>
      </c>
      <c r="F3929" s="7" t="s">
        <v>8145</v>
      </c>
      <c r="G3929" s="7" t="n">
        <v>2018</v>
      </c>
      <c r="H3929" s="7" t="s">
        <v>48</v>
      </c>
      <c r="I3929" s="7" t="s">
        <v>138</v>
      </c>
      <c r="J3929" s="7" t="s">
        <v>269</v>
      </c>
      <c r="K3929" s="7" t="n">
        <f aca="false">IFERROR(VALUE(RIGHT(TRIM(F3929),4)),"")</f>
        <v>2018</v>
      </c>
      <c r="L3929" s="7" t="str">
        <f aca="false">IF(TRIM(E3929)="","Unknown",IFERROR(LEFT(TRIM(E3929),FIND(",",TRIM(E3929))-1),TRIM(E3929)))</f>
        <v>United States</v>
      </c>
      <c r="M3929" s="7" t="str">
        <f aca="false">IFERROR(LEFT(J3929,FIND(",",J3929)-1),J3929)</f>
        <v>Dramas</v>
      </c>
      <c r="N3929" s="7" t="n">
        <f aca="false">IF(B3929="Movie",IFERROR(VALUE(LEFT(I3929,FIND(" ",I3929)-1)),""),"")</f>
        <v>96</v>
      </c>
      <c r="O3929" s="7" t="str">
        <f aca="false">IF(B3929="TV Show",IFERROR(VALUE(LEFT(I3929,FIND(" ",I3929)-1)),""),"")</f>
        <v/>
      </c>
      <c r="P3929" s="7" t="n">
        <f aca="false">IF(K3929="","",K3929-G3929)</f>
        <v>0</v>
      </c>
    </row>
    <row r="3930" customFormat="false" ht="15" hidden="false" customHeight="false" outlineLevel="0" collapsed="false">
      <c r="A3930" s="7" t="n">
        <v>80184154</v>
      </c>
      <c r="B3930" s="7" t="s">
        <v>78</v>
      </c>
      <c r="C3930" s="7" t="s">
        <v>8149</v>
      </c>
      <c r="F3930" s="7" t="s">
        <v>8145</v>
      </c>
      <c r="G3930" s="7" t="n">
        <v>2014</v>
      </c>
      <c r="H3930" s="7" t="s">
        <v>50</v>
      </c>
      <c r="I3930" s="7" t="s">
        <v>82</v>
      </c>
      <c r="J3930" s="7" t="s">
        <v>773</v>
      </c>
      <c r="K3930" s="7" t="n">
        <f aca="false">IFERROR(VALUE(RIGHT(TRIM(F3930),4)),"")</f>
        <v>2018</v>
      </c>
      <c r="L3930" s="7" t="str">
        <f aca="false">IF(TRIM(E3930)="","Unknown",IFERROR(LEFT(TRIM(E3930),FIND(",",TRIM(E3930))-1),TRIM(E3930)))</f>
        <v>Unknown</v>
      </c>
      <c r="M3930" s="7" t="str">
        <f aca="false">IFERROR(LEFT(J3930,FIND(",",J3930)-1),J3930)</f>
        <v>Docuseries</v>
      </c>
      <c r="N3930" s="7" t="str">
        <f aca="false">IF(B3930="Movie",IFERROR(VALUE(LEFT(I3930,FIND(" ",I3930)-1)),""),"")</f>
        <v/>
      </c>
      <c r="O3930" s="7" t="n">
        <f aca="false">IF(B3930="TV Show",IFERROR(VALUE(LEFT(I3930,FIND(" ",I3930)-1)),""),"")</f>
        <v>1</v>
      </c>
      <c r="P3930" s="7" t="n">
        <f aca="false">IF(K3930="","",K3930-G3930)</f>
        <v>4</v>
      </c>
    </row>
    <row r="3931" customFormat="false" ht="15" hidden="false" customHeight="false" outlineLevel="0" collapsed="false">
      <c r="A3931" s="7" t="n">
        <v>70100084</v>
      </c>
      <c r="B3931" s="7" t="s">
        <v>68</v>
      </c>
      <c r="C3931" s="7" t="s">
        <v>8150</v>
      </c>
      <c r="D3931" s="7" t="s">
        <v>2440</v>
      </c>
      <c r="E3931" s="7" t="s">
        <v>26</v>
      </c>
      <c r="F3931" s="7" t="s">
        <v>8151</v>
      </c>
      <c r="G3931" s="7" t="n">
        <v>2008</v>
      </c>
      <c r="H3931" s="7" t="s">
        <v>51</v>
      </c>
      <c r="I3931" s="7" t="s">
        <v>261</v>
      </c>
      <c r="J3931" s="7" t="s">
        <v>566</v>
      </c>
      <c r="K3931" s="7" t="n">
        <f aca="false">IFERROR(VALUE(RIGHT(TRIM(F3931),4)),"")</f>
        <v>2017</v>
      </c>
      <c r="L3931" s="7" t="str">
        <f aca="false">IF(TRIM(E3931)="","Unknown",IFERROR(LEFT(TRIM(E3931),FIND(",",TRIM(E3931))-1),TRIM(E3931)))</f>
        <v>United States</v>
      </c>
      <c r="M3931" s="7" t="str">
        <f aca="false">IFERROR(LEFT(J3931,FIND(",",J3931)-1),J3931)</f>
        <v>Dramas</v>
      </c>
      <c r="N3931" s="7" t="n">
        <f aca="false">IF(B3931="Movie",IFERROR(VALUE(LEFT(I3931,FIND(" ",I3931)-1)),""),"")</f>
        <v>128</v>
      </c>
      <c r="O3931" s="7" t="str">
        <f aca="false">IF(B3931="TV Show",IFERROR(VALUE(LEFT(I3931,FIND(" ",I3931)-1)),""),"")</f>
        <v/>
      </c>
      <c r="P3931" s="7" t="n">
        <f aca="false">IF(K3931="","",K3931-G3931)</f>
        <v>9</v>
      </c>
    </row>
    <row r="3932" customFormat="false" ht="15" hidden="false" customHeight="false" outlineLevel="0" collapsed="false">
      <c r="A3932" s="7" t="n">
        <v>80106438</v>
      </c>
      <c r="B3932" s="7" t="s">
        <v>68</v>
      </c>
      <c r="C3932" s="7" t="s">
        <v>8152</v>
      </c>
      <c r="D3932" s="7" t="s">
        <v>8153</v>
      </c>
      <c r="E3932" s="7" t="s">
        <v>26</v>
      </c>
      <c r="F3932" s="7" t="s">
        <v>8151</v>
      </c>
      <c r="G3932" s="7" t="n">
        <v>2016</v>
      </c>
      <c r="H3932" s="7" t="s">
        <v>48</v>
      </c>
      <c r="I3932" s="7" t="s">
        <v>470</v>
      </c>
      <c r="J3932" s="7" t="s">
        <v>198</v>
      </c>
      <c r="K3932" s="7" t="n">
        <f aca="false">IFERROR(VALUE(RIGHT(TRIM(F3932),4)),"")</f>
        <v>2017</v>
      </c>
      <c r="L3932" s="7" t="str">
        <f aca="false">IF(TRIM(E3932)="","Unknown",IFERROR(LEFT(TRIM(E3932),FIND(",",TRIM(E3932))-1),TRIM(E3932)))</f>
        <v>United States</v>
      </c>
      <c r="M3932" s="7" t="str">
        <f aca="false">IFERROR(LEFT(J3932,FIND(",",J3932)-1),J3932)</f>
        <v>Comedies</v>
      </c>
      <c r="N3932" s="7" t="n">
        <f aca="false">IF(B3932="Movie",IFERROR(VALUE(LEFT(I3932,FIND(" ",I3932)-1)),""),"")</f>
        <v>91</v>
      </c>
      <c r="O3932" s="7" t="str">
        <f aca="false">IF(B3932="TV Show",IFERROR(VALUE(LEFT(I3932,FIND(" ",I3932)-1)),""),"")</f>
        <v/>
      </c>
      <c r="P3932" s="7" t="n">
        <f aca="false">IF(K3932="","",K3932-G3932)</f>
        <v>1</v>
      </c>
    </row>
    <row r="3933" customFormat="false" ht="15" hidden="false" customHeight="false" outlineLevel="0" collapsed="false">
      <c r="A3933" s="7" t="n">
        <v>70295085</v>
      </c>
      <c r="B3933" s="7" t="s">
        <v>68</v>
      </c>
      <c r="C3933" s="7" t="s">
        <v>8154</v>
      </c>
      <c r="D3933" s="7" t="s">
        <v>8155</v>
      </c>
      <c r="E3933" s="7" t="s">
        <v>26</v>
      </c>
      <c r="F3933" s="7" t="s">
        <v>8156</v>
      </c>
      <c r="G3933" s="7" t="n">
        <v>2013</v>
      </c>
      <c r="H3933" s="7" t="s">
        <v>54</v>
      </c>
      <c r="I3933" s="7" t="s">
        <v>348</v>
      </c>
      <c r="J3933" s="7" t="s">
        <v>276</v>
      </c>
      <c r="K3933" s="7" t="n">
        <f aca="false">IFERROR(VALUE(RIGHT(TRIM(F3933),4)),"")</f>
        <v>2014</v>
      </c>
      <c r="L3933" s="7" t="str">
        <f aca="false">IF(TRIM(E3933)="","Unknown",IFERROR(LEFT(TRIM(E3933),FIND(",",TRIM(E3933))-1),TRIM(E3933)))</f>
        <v>United States</v>
      </c>
      <c r="M3933" s="7" t="str">
        <f aca="false">IFERROR(LEFT(J3933,FIND(",",J3933)-1),J3933)</f>
        <v>Action &amp; Adventure</v>
      </c>
      <c r="N3933" s="7" t="n">
        <f aca="false">IF(B3933="Movie",IFERROR(VALUE(LEFT(I3933,FIND(" ",I3933)-1)),""),"")</f>
        <v>72</v>
      </c>
      <c r="O3933" s="7" t="str">
        <f aca="false">IF(B3933="TV Show",IFERROR(VALUE(LEFT(I3933,FIND(" ",I3933)-1)),""),"")</f>
        <v/>
      </c>
      <c r="P3933" s="7" t="n">
        <f aca="false">IF(K3933="","",K3933-G3933)</f>
        <v>1</v>
      </c>
    </row>
    <row r="3934" customFormat="false" ht="15" hidden="false" customHeight="false" outlineLevel="0" collapsed="false">
      <c r="A3934" s="7" t="n">
        <v>80159877</v>
      </c>
      <c r="B3934" s="7" t="s">
        <v>68</v>
      </c>
      <c r="C3934" s="7" t="s">
        <v>8157</v>
      </c>
      <c r="D3934" s="7" t="s">
        <v>8158</v>
      </c>
      <c r="E3934" s="7" t="s">
        <v>8159</v>
      </c>
      <c r="F3934" s="7" t="s">
        <v>8160</v>
      </c>
      <c r="G3934" s="7" t="n">
        <v>2016</v>
      </c>
      <c r="H3934" s="7" t="s">
        <v>51</v>
      </c>
      <c r="I3934" s="7" t="s">
        <v>330</v>
      </c>
      <c r="J3934" s="7" t="s">
        <v>37</v>
      </c>
      <c r="K3934" s="7" t="n">
        <f aca="false">IFERROR(VALUE(RIGHT(TRIM(F3934),4)),"")</f>
        <v>2019</v>
      </c>
      <c r="L3934" s="7" t="str">
        <f aca="false">IF(TRIM(E3934)="","Unknown",IFERROR(LEFT(TRIM(E3934),FIND(",",TRIM(E3934))-1),TRIM(E3934)))</f>
        <v>United Kingdom</v>
      </c>
      <c r="M3934" s="7" t="str">
        <f aca="false">IFERROR(LEFT(J3934,FIND(",",J3934)-1),J3934)</f>
        <v>Dramas</v>
      </c>
      <c r="N3934" s="7" t="n">
        <f aca="false">IF(B3934="Movie",IFERROR(VALUE(LEFT(I3934,FIND(" ",I3934)-1)),""),"")</f>
        <v>103</v>
      </c>
      <c r="O3934" s="7" t="str">
        <f aca="false">IF(B3934="TV Show",IFERROR(VALUE(LEFT(I3934,FIND(" ",I3934)-1)),""),"")</f>
        <v/>
      </c>
      <c r="P3934" s="7" t="n">
        <f aca="false">IF(K3934="","",K3934-G3934)</f>
        <v>3</v>
      </c>
    </row>
    <row r="3935" customFormat="false" ht="15" hidden="false" customHeight="false" outlineLevel="0" collapsed="false">
      <c r="A3935" s="7" t="n">
        <v>81043345</v>
      </c>
      <c r="B3935" s="7" t="s">
        <v>68</v>
      </c>
      <c r="C3935" s="7" t="s">
        <v>8161</v>
      </c>
      <c r="D3935" s="7" t="s">
        <v>1417</v>
      </c>
      <c r="E3935" s="7" t="s">
        <v>396</v>
      </c>
      <c r="F3935" s="7" t="s">
        <v>8160</v>
      </c>
      <c r="G3935" s="7" t="n">
        <v>2017</v>
      </c>
      <c r="H3935" s="7" t="s">
        <v>49</v>
      </c>
      <c r="I3935" s="7" t="s">
        <v>378</v>
      </c>
      <c r="J3935" s="7" t="s">
        <v>202</v>
      </c>
      <c r="K3935" s="7" t="n">
        <f aca="false">IFERROR(VALUE(RIGHT(TRIM(F3935),4)),"")</f>
        <v>2019</v>
      </c>
      <c r="L3935" s="7" t="str">
        <f aca="false">IF(TRIM(E3935)="","Unknown",IFERROR(LEFT(TRIM(E3935),FIND(",",TRIM(E3935))-1),TRIM(E3935)))</f>
        <v>Turkey</v>
      </c>
      <c r="M3935" s="7" t="str">
        <f aca="false">IFERROR(LEFT(J3935,FIND(",",J3935)-1),J3935)</f>
        <v>Comedies</v>
      </c>
      <c r="N3935" s="7" t="n">
        <f aca="false">IF(B3935="Movie",IFERROR(VALUE(LEFT(I3935,FIND(" ",I3935)-1)),""),"")</f>
        <v>127</v>
      </c>
      <c r="O3935" s="7" t="str">
        <f aca="false">IF(B3935="TV Show",IFERROR(VALUE(LEFT(I3935,FIND(" ",I3935)-1)),""),"")</f>
        <v/>
      </c>
      <c r="P3935" s="7" t="n">
        <f aca="false">IF(K3935="","",K3935-G3935)</f>
        <v>2</v>
      </c>
    </row>
    <row r="3936" customFormat="false" ht="15" hidden="false" customHeight="false" outlineLevel="0" collapsed="false">
      <c r="A3936" s="7" t="n">
        <v>80208091</v>
      </c>
      <c r="B3936" s="7" t="s">
        <v>68</v>
      </c>
      <c r="C3936" s="7" t="s">
        <v>8162</v>
      </c>
      <c r="D3936" s="7" t="s">
        <v>8163</v>
      </c>
      <c r="E3936" s="7" t="s">
        <v>33</v>
      </c>
      <c r="F3936" s="7" t="s">
        <v>8160</v>
      </c>
      <c r="G3936" s="7" t="n">
        <v>2017</v>
      </c>
      <c r="H3936" s="7" t="s">
        <v>48</v>
      </c>
      <c r="I3936" s="7" t="s">
        <v>146</v>
      </c>
      <c r="J3936" s="7" t="s">
        <v>2430</v>
      </c>
      <c r="K3936" s="7" t="n">
        <f aca="false">IFERROR(VALUE(RIGHT(TRIM(F3936),4)),"")</f>
        <v>2019</v>
      </c>
      <c r="L3936" s="7" t="str">
        <f aca="false">IF(TRIM(E3936)="","Unknown",IFERROR(LEFT(TRIM(E3936),FIND(",",TRIM(E3936))-1),TRIM(E3936)))</f>
        <v>Spain</v>
      </c>
      <c r="M3936" s="7" t="str">
        <f aca="false">IFERROR(LEFT(J3936,FIND(",",J3936)-1),J3936)</f>
        <v>Comedies</v>
      </c>
      <c r="N3936" s="7" t="n">
        <f aca="false">IF(B3936="Movie",IFERROR(VALUE(LEFT(I3936,FIND(" ",I3936)-1)),""),"")</f>
        <v>113</v>
      </c>
      <c r="O3936" s="7" t="str">
        <f aca="false">IF(B3936="TV Show",IFERROR(VALUE(LEFT(I3936,FIND(" ",I3936)-1)),""),"")</f>
        <v/>
      </c>
      <c r="P3936" s="7" t="n">
        <f aca="false">IF(K3936="","",K3936-G3936)</f>
        <v>2</v>
      </c>
    </row>
    <row r="3937" customFormat="false" ht="15" hidden="false" customHeight="false" outlineLevel="0" collapsed="false">
      <c r="A3937" s="7" t="n">
        <v>81052266</v>
      </c>
      <c r="B3937" s="7" t="s">
        <v>68</v>
      </c>
      <c r="C3937" s="7" t="s">
        <v>8164</v>
      </c>
      <c r="D3937" s="7" t="s">
        <v>8165</v>
      </c>
      <c r="E3937" s="7" t="s">
        <v>27</v>
      </c>
      <c r="F3937" s="7" t="s">
        <v>8160</v>
      </c>
      <c r="G3937" s="7" t="n">
        <v>2018</v>
      </c>
      <c r="H3937" s="7" t="s">
        <v>48</v>
      </c>
      <c r="I3937" s="7" t="s">
        <v>326</v>
      </c>
      <c r="J3937" s="7" t="s">
        <v>2458</v>
      </c>
      <c r="K3937" s="7" t="n">
        <f aca="false">IFERROR(VALUE(RIGHT(TRIM(F3937),4)),"")</f>
        <v>2019</v>
      </c>
      <c r="L3937" s="7" t="str">
        <f aca="false">IF(TRIM(E3937)="","Unknown",IFERROR(LEFT(TRIM(E3937),FIND(",",TRIM(E3937))-1),TRIM(E3937)))</f>
        <v>India</v>
      </c>
      <c r="M3937" s="7" t="str">
        <f aca="false">IFERROR(LEFT(J3937,FIND(",",J3937)-1),J3937)</f>
        <v>Dramas</v>
      </c>
      <c r="N3937" s="7" t="n">
        <f aca="false">IF(B3937="Movie",IFERROR(VALUE(LEFT(I3937,FIND(" ",I3937)-1)),""),"")</f>
        <v>111</v>
      </c>
      <c r="O3937" s="7" t="str">
        <f aca="false">IF(B3937="TV Show",IFERROR(VALUE(LEFT(I3937,FIND(" ",I3937)-1)),""),"")</f>
        <v/>
      </c>
      <c r="P3937" s="7" t="n">
        <f aca="false">IF(K3937="","",K3937-G3937)</f>
        <v>1</v>
      </c>
    </row>
    <row r="3938" customFormat="false" ht="15" hidden="false" customHeight="false" outlineLevel="0" collapsed="false">
      <c r="A3938" s="7" t="n">
        <v>81067757</v>
      </c>
      <c r="B3938" s="7" t="s">
        <v>68</v>
      </c>
      <c r="C3938" s="7" t="s">
        <v>8166</v>
      </c>
      <c r="D3938" s="7" t="s">
        <v>8167</v>
      </c>
      <c r="E3938" s="7" t="s">
        <v>27</v>
      </c>
      <c r="F3938" s="7" t="s">
        <v>8160</v>
      </c>
      <c r="G3938" s="7" t="n">
        <v>2017</v>
      </c>
      <c r="H3938" s="7" t="s">
        <v>49</v>
      </c>
      <c r="I3938" s="7" t="s">
        <v>168</v>
      </c>
      <c r="J3938" s="7" t="s">
        <v>304</v>
      </c>
      <c r="K3938" s="7" t="n">
        <f aca="false">IFERROR(VALUE(RIGHT(TRIM(F3938),4)),"")</f>
        <v>2019</v>
      </c>
      <c r="L3938" s="7" t="str">
        <f aca="false">IF(TRIM(E3938)="","Unknown",IFERROR(LEFT(TRIM(E3938),FIND(",",TRIM(E3938))-1),TRIM(E3938)))</f>
        <v>India</v>
      </c>
      <c r="M3938" s="7" t="str">
        <f aca="false">IFERROR(LEFT(J3938,FIND(",",J3938)-1),J3938)</f>
        <v>Dramas</v>
      </c>
      <c r="N3938" s="7" t="n">
        <f aca="false">IF(B3938="Movie",IFERROR(VALUE(LEFT(I3938,FIND(" ",I3938)-1)),""),"")</f>
        <v>112</v>
      </c>
      <c r="O3938" s="7" t="str">
        <f aca="false">IF(B3938="TV Show",IFERROR(VALUE(LEFT(I3938,FIND(" ",I3938)-1)),""),"")</f>
        <v/>
      </c>
      <c r="P3938" s="7" t="n">
        <f aca="false">IF(K3938="","",K3938-G3938)</f>
        <v>2</v>
      </c>
    </row>
    <row r="3939" customFormat="false" ht="15" hidden="false" customHeight="false" outlineLevel="0" collapsed="false">
      <c r="A3939" s="7" t="n">
        <v>81015076</v>
      </c>
      <c r="B3939" s="7" t="s">
        <v>68</v>
      </c>
      <c r="C3939" s="7" t="s">
        <v>8168</v>
      </c>
      <c r="D3939" s="7" t="s">
        <v>8169</v>
      </c>
      <c r="E3939" s="7" t="s">
        <v>26</v>
      </c>
      <c r="F3939" s="7" t="s">
        <v>8160</v>
      </c>
      <c r="G3939" s="7" t="n">
        <v>2018</v>
      </c>
      <c r="H3939" s="7" t="s">
        <v>49</v>
      </c>
      <c r="I3939" s="7" t="s">
        <v>138</v>
      </c>
      <c r="J3939" s="7" t="s">
        <v>39</v>
      </c>
      <c r="K3939" s="7" t="n">
        <f aca="false">IFERROR(VALUE(RIGHT(TRIM(F3939),4)),"")</f>
        <v>2019</v>
      </c>
      <c r="L3939" s="7" t="str">
        <f aca="false">IF(TRIM(E3939)="","Unknown",IFERROR(LEFT(TRIM(E3939),FIND(",",TRIM(E3939))-1),TRIM(E3939)))</f>
        <v>United States</v>
      </c>
      <c r="M3939" s="7" t="str">
        <f aca="false">IFERROR(LEFT(J3939,FIND(",",J3939)-1),J3939)</f>
        <v>Documentaries</v>
      </c>
      <c r="N3939" s="7" t="n">
        <f aca="false">IF(B3939="Movie",IFERROR(VALUE(LEFT(I3939,FIND(" ",I3939)-1)),""),"")</f>
        <v>96</v>
      </c>
      <c r="O3939" s="7" t="str">
        <f aca="false">IF(B3939="TV Show",IFERROR(VALUE(LEFT(I3939,FIND(" ",I3939)-1)),""),"")</f>
        <v/>
      </c>
      <c r="P3939" s="7" t="n">
        <f aca="false">IF(K3939="","",K3939-G3939)</f>
        <v>1</v>
      </c>
    </row>
    <row r="3940" customFormat="false" ht="15" hidden="false" customHeight="false" outlineLevel="0" collapsed="false">
      <c r="A3940" s="7" t="n">
        <v>80095232</v>
      </c>
      <c r="B3940" s="7" t="s">
        <v>68</v>
      </c>
      <c r="C3940" s="7" t="s">
        <v>8170</v>
      </c>
      <c r="D3940" s="7" t="s">
        <v>3122</v>
      </c>
      <c r="E3940" s="7" t="s">
        <v>325</v>
      </c>
      <c r="F3940" s="7" t="s">
        <v>8160</v>
      </c>
      <c r="G3940" s="7" t="n">
        <v>2012</v>
      </c>
      <c r="H3940" s="7" t="s">
        <v>48</v>
      </c>
      <c r="I3940" s="7" t="s">
        <v>330</v>
      </c>
      <c r="J3940" s="7" t="s">
        <v>198</v>
      </c>
      <c r="K3940" s="7" t="n">
        <f aca="false">IFERROR(VALUE(RIGHT(TRIM(F3940),4)),"")</f>
        <v>2019</v>
      </c>
      <c r="L3940" s="7" t="str">
        <f aca="false">IF(TRIM(E3940)="","Unknown",IFERROR(LEFT(TRIM(E3940),FIND(",",TRIM(E3940))-1),TRIM(E3940)))</f>
        <v>Brazil</v>
      </c>
      <c r="M3940" s="7" t="str">
        <f aca="false">IFERROR(LEFT(J3940,FIND(",",J3940)-1),J3940)</f>
        <v>Comedies</v>
      </c>
      <c r="N3940" s="7" t="n">
        <f aca="false">IF(B3940="Movie",IFERROR(VALUE(LEFT(I3940,FIND(" ",I3940)-1)),""),"")</f>
        <v>103</v>
      </c>
      <c r="O3940" s="7" t="str">
        <f aca="false">IF(B3940="TV Show",IFERROR(VALUE(LEFT(I3940,FIND(" ",I3940)-1)),""),"")</f>
        <v/>
      </c>
      <c r="P3940" s="7" t="n">
        <f aca="false">IF(K3940="","",K3940-G3940)</f>
        <v>7</v>
      </c>
    </row>
    <row r="3941" customFormat="false" ht="15" hidden="false" customHeight="false" outlineLevel="0" collapsed="false">
      <c r="A3941" s="7" t="n">
        <v>81067758</v>
      </c>
      <c r="B3941" s="7" t="s">
        <v>68</v>
      </c>
      <c r="C3941" s="7" t="s">
        <v>8171</v>
      </c>
      <c r="D3941" s="7" t="s">
        <v>8172</v>
      </c>
      <c r="E3941" s="7" t="s">
        <v>27</v>
      </c>
      <c r="F3941" s="7" t="s">
        <v>8160</v>
      </c>
      <c r="G3941" s="7" t="n">
        <v>2017</v>
      </c>
      <c r="H3941" s="7" t="s">
        <v>48</v>
      </c>
      <c r="I3941" s="7" t="s">
        <v>417</v>
      </c>
      <c r="J3941" s="7" t="s">
        <v>188</v>
      </c>
      <c r="K3941" s="7" t="n">
        <f aca="false">IFERROR(VALUE(RIGHT(TRIM(F3941),4)),"")</f>
        <v>2019</v>
      </c>
      <c r="L3941" s="7" t="str">
        <f aca="false">IF(TRIM(E3941)="","Unknown",IFERROR(LEFT(TRIM(E3941),FIND(",",TRIM(E3941))-1),TRIM(E3941)))</f>
        <v>India</v>
      </c>
      <c r="M3941" s="7" t="str">
        <f aca="false">IFERROR(LEFT(J3941,FIND(",",J3941)-1),J3941)</f>
        <v>Dramas</v>
      </c>
      <c r="N3941" s="7" t="n">
        <f aca="false">IF(B3941="Movie",IFERROR(VALUE(LEFT(I3941,FIND(" ",I3941)-1)),""),"")</f>
        <v>104</v>
      </c>
      <c r="O3941" s="7" t="str">
        <f aca="false">IF(B3941="TV Show",IFERROR(VALUE(LEFT(I3941,FIND(" ",I3941)-1)),""),"")</f>
        <v/>
      </c>
      <c r="P3941" s="7" t="n">
        <f aca="false">IF(K3941="","",K3941-G3941)</f>
        <v>2</v>
      </c>
    </row>
    <row r="3942" customFormat="false" ht="15" hidden="false" customHeight="false" outlineLevel="0" collapsed="false">
      <c r="A3942" s="7" t="n">
        <v>70002291</v>
      </c>
      <c r="B3942" s="7" t="s">
        <v>68</v>
      </c>
      <c r="C3942" s="7" t="s">
        <v>8173</v>
      </c>
      <c r="D3942" s="7" t="s">
        <v>4233</v>
      </c>
      <c r="E3942" s="7" t="s">
        <v>27</v>
      </c>
      <c r="F3942" s="7" t="s">
        <v>8160</v>
      </c>
      <c r="G3942" s="7" t="n">
        <v>2004</v>
      </c>
      <c r="H3942" s="7" t="s">
        <v>49</v>
      </c>
      <c r="I3942" s="7" t="s">
        <v>181</v>
      </c>
      <c r="J3942" s="7" t="s">
        <v>304</v>
      </c>
      <c r="K3942" s="7" t="n">
        <f aca="false">IFERROR(VALUE(RIGHT(TRIM(F3942),4)),"")</f>
        <v>2019</v>
      </c>
      <c r="L3942" s="7" t="str">
        <f aca="false">IF(TRIM(E3942)="","Unknown",IFERROR(LEFT(TRIM(E3942),FIND(",",TRIM(E3942))-1),TRIM(E3942)))</f>
        <v>India</v>
      </c>
      <c r="M3942" s="7" t="str">
        <f aca="false">IFERROR(LEFT(J3942,FIND(",",J3942)-1),J3942)</f>
        <v>Dramas</v>
      </c>
      <c r="N3942" s="7" t="n">
        <f aca="false">IF(B3942="Movie",IFERROR(VALUE(LEFT(I3942,FIND(" ",I3942)-1)),""),"")</f>
        <v>102</v>
      </c>
      <c r="O3942" s="7" t="str">
        <f aca="false">IF(B3942="TV Show",IFERROR(VALUE(LEFT(I3942,FIND(" ",I3942)-1)),""),"")</f>
        <v/>
      </c>
      <c r="P3942" s="7" t="n">
        <f aca="false">IF(K3942="","",K3942-G3942)</f>
        <v>15</v>
      </c>
    </row>
    <row r="3943" customFormat="false" ht="15" hidden="false" customHeight="false" outlineLevel="0" collapsed="false">
      <c r="A3943" s="7" t="n">
        <v>81050193</v>
      </c>
      <c r="B3943" s="7" t="s">
        <v>68</v>
      </c>
      <c r="C3943" s="7" t="s">
        <v>8174</v>
      </c>
      <c r="D3943" s="7" t="s">
        <v>8175</v>
      </c>
      <c r="E3943" s="7" t="s">
        <v>26</v>
      </c>
      <c r="F3943" s="7" t="s">
        <v>8160</v>
      </c>
      <c r="G3943" s="7" t="n">
        <v>2018</v>
      </c>
      <c r="H3943" s="7" t="s">
        <v>49</v>
      </c>
      <c r="I3943" s="7" t="s">
        <v>212</v>
      </c>
      <c r="J3943" s="7" t="s">
        <v>597</v>
      </c>
      <c r="K3943" s="7" t="n">
        <f aca="false">IFERROR(VALUE(RIGHT(TRIM(F3943),4)),"")</f>
        <v>2019</v>
      </c>
      <c r="L3943" s="7" t="str">
        <f aca="false">IF(TRIM(E3943)="","Unknown",IFERROR(LEFT(TRIM(E3943),FIND(",",TRIM(E3943))-1),TRIM(E3943)))</f>
        <v>United States</v>
      </c>
      <c r="M3943" s="7" t="str">
        <f aca="false">IFERROR(LEFT(J3943,FIND(",",J3943)-1),J3943)</f>
        <v>Dramas</v>
      </c>
      <c r="N3943" s="7" t="n">
        <f aca="false">IF(B3943="Movie",IFERROR(VALUE(LEFT(I3943,FIND(" ",I3943)-1)),""),"")</f>
        <v>86</v>
      </c>
      <c r="O3943" s="7" t="str">
        <f aca="false">IF(B3943="TV Show",IFERROR(VALUE(LEFT(I3943,FIND(" ",I3943)-1)),""),"")</f>
        <v/>
      </c>
      <c r="P3943" s="7" t="n">
        <f aca="false">IF(K3943="","",K3943-G3943)</f>
        <v>1</v>
      </c>
    </row>
    <row r="3944" customFormat="false" ht="15" hidden="false" customHeight="false" outlineLevel="0" collapsed="false">
      <c r="A3944" s="7" t="n">
        <v>81067759</v>
      </c>
      <c r="B3944" s="7" t="s">
        <v>68</v>
      </c>
      <c r="C3944" s="7" t="s">
        <v>8176</v>
      </c>
      <c r="D3944" s="7" t="s">
        <v>8177</v>
      </c>
      <c r="E3944" s="7" t="s">
        <v>27</v>
      </c>
      <c r="F3944" s="7" t="s">
        <v>8160</v>
      </c>
      <c r="G3944" s="7" t="n">
        <v>2012</v>
      </c>
      <c r="H3944" s="7" t="s">
        <v>49</v>
      </c>
      <c r="I3944" s="7" t="s">
        <v>451</v>
      </c>
      <c r="J3944" s="7" t="s">
        <v>217</v>
      </c>
      <c r="K3944" s="7" t="n">
        <f aca="false">IFERROR(VALUE(RIGHT(TRIM(F3944),4)),"")</f>
        <v>2019</v>
      </c>
      <c r="L3944" s="7" t="str">
        <f aca="false">IF(TRIM(E3944)="","Unknown",IFERROR(LEFT(TRIM(E3944),FIND(",",TRIM(E3944))-1),TRIM(E3944)))</f>
        <v>India</v>
      </c>
      <c r="M3944" s="7" t="str">
        <f aca="false">IFERROR(LEFT(J3944,FIND(",",J3944)-1),J3944)</f>
        <v>Comedies</v>
      </c>
      <c r="N3944" s="7" t="n">
        <f aca="false">IF(B3944="Movie",IFERROR(VALUE(LEFT(I3944,FIND(" ",I3944)-1)),""),"")</f>
        <v>97</v>
      </c>
      <c r="O3944" s="7" t="str">
        <f aca="false">IF(B3944="TV Show",IFERROR(VALUE(LEFT(I3944,FIND(" ",I3944)-1)),""),"")</f>
        <v/>
      </c>
      <c r="P3944" s="7" t="n">
        <f aca="false">IF(K3944="","",K3944-G3944)</f>
        <v>7</v>
      </c>
    </row>
    <row r="3945" customFormat="false" ht="15" hidden="false" customHeight="false" outlineLevel="0" collapsed="false">
      <c r="A3945" s="7" t="n">
        <v>80045203</v>
      </c>
      <c r="B3945" s="7" t="s">
        <v>78</v>
      </c>
      <c r="C3945" s="7" t="s">
        <v>8178</v>
      </c>
      <c r="D3945" s="7" t="s">
        <v>8179</v>
      </c>
      <c r="E3945" s="7" t="s">
        <v>3075</v>
      </c>
      <c r="F3945" s="7" t="s">
        <v>8160</v>
      </c>
      <c r="G3945" s="7" t="n">
        <v>2015</v>
      </c>
      <c r="H3945" s="7" t="s">
        <v>49</v>
      </c>
      <c r="I3945" s="7" t="s">
        <v>82</v>
      </c>
      <c r="J3945" s="7" t="s">
        <v>335</v>
      </c>
      <c r="K3945" s="7" t="n">
        <f aca="false">IFERROR(VALUE(RIGHT(TRIM(F3945),4)),"")</f>
        <v>2019</v>
      </c>
      <c r="L3945" s="7" t="str">
        <f aca="false">IF(TRIM(E3945)="","Unknown",IFERROR(LEFT(TRIM(E3945),FIND(",",TRIM(E3945))-1),TRIM(E3945)))</f>
        <v>Denmark</v>
      </c>
      <c r="M3945" s="7" t="str">
        <f aca="false">IFERROR(LEFT(J3945,FIND(",",J3945)-1),J3945)</f>
        <v>International TV Shows</v>
      </c>
      <c r="N3945" s="7" t="str">
        <f aca="false">IF(B3945="Movie",IFERROR(VALUE(LEFT(I3945,FIND(" ",I3945)-1)),""),"")</f>
        <v/>
      </c>
      <c r="O3945" s="7" t="n">
        <f aca="false">IF(B3945="TV Show",IFERROR(VALUE(LEFT(I3945,FIND(" ",I3945)-1)),""),"")</f>
        <v>1</v>
      </c>
      <c r="P3945" s="7" t="n">
        <f aca="false">IF(K3945="","",K3945-G3945)</f>
        <v>4</v>
      </c>
    </row>
    <row r="3946" customFormat="false" ht="15" hidden="false" customHeight="false" outlineLevel="0" collapsed="false">
      <c r="A3946" s="7" t="n">
        <v>80188051</v>
      </c>
      <c r="B3946" s="7" t="s">
        <v>78</v>
      </c>
      <c r="C3946" s="7" t="s">
        <v>8180</v>
      </c>
      <c r="F3946" s="7" t="s">
        <v>8160</v>
      </c>
      <c r="G3946" s="7" t="n">
        <v>2019</v>
      </c>
      <c r="H3946" s="7" t="s">
        <v>48</v>
      </c>
      <c r="I3946" s="7" t="s">
        <v>82</v>
      </c>
      <c r="J3946" s="7" t="s">
        <v>8181</v>
      </c>
      <c r="K3946" s="7" t="n">
        <f aca="false">IFERROR(VALUE(RIGHT(TRIM(F3946),4)),"")</f>
        <v>2019</v>
      </c>
      <c r="L3946" s="7" t="str">
        <f aca="false">IF(TRIM(E3946)="","Unknown",IFERROR(LEFT(TRIM(E3946),FIND(",",TRIM(E3946))-1),TRIM(E3946)))</f>
        <v>Unknown</v>
      </c>
      <c r="M3946" s="7" t="str">
        <f aca="false">IFERROR(LEFT(J3946,FIND(",",J3946)-1),J3946)</f>
        <v>Docuseries</v>
      </c>
      <c r="N3946" s="7" t="str">
        <f aca="false">IF(B3946="Movie",IFERROR(VALUE(LEFT(I3946,FIND(" ",I3946)-1)),""),"")</f>
        <v/>
      </c>
      <c r="O3946" s="7" t="n">
        <f aca="false">IF(B3946="TV Show",IFERROR(VALUE(LEFT(I3946,FIND(" ",I3946)-1)),""),"")</f>
        <v>1</v>
      </c>
      <c r="P3946" s="7" t="n">
        <f aca="false">IF(K3946="","",K3946-G3946)</f>
        <v>0</v>
      </c>
    </row>
    <row r="3947" customFormat="false" ht="15" hidden="false" customHeight="false" outlineLevel="0" collapsed="false">
      <c r="A3947" s="7" t="n">
        <v>81043346</v>
      </c>
      <c r="B3947" s="7" t="s">
        <v>68</v>
      </c>
      <c r="C3947" s="7" t="s">
        <v>8182</v>
      </c>
      <c r="D3947" s="7" t="s">
        <v>571</v>
      </c>
      <c r="E3947" s="7" t="s">
        <v>396</v>
      </c>
      <c r="F3947" s="7" t="s">
        <v>8160</v>
      </c>
      <c r="G3947" s="7" t="n">
        <v>2017</v>
      </c>
      <c r="H3947" s="7" t="s">
        <v>49</v>
      </c>
      <c r="I3947" s="7" t="s">
        <v>326</v>
      </c>
      <c r="J3947" s="7" t="s">
        <v>202</v>
      </c>
      <c r="K3947" s="7" t="n">
        <f aca="false">IFERROR(VALUE(RIGHT(TRIM(F3947),4)),"")</f>
        <v>2019</v>
      </c>
      <c r="L3947" s="7" t="str">
        <f aca="false">IF(TRIM(E3947)="","Unknown",IFERROR(LEFT(TRIM(E3947),FIND(",",TRIM(E3947))-1),TRIM(E3947)))</f>
        <v>Turkey</v>
      </c>
      <c r="M3947" s="7" t="str">
        <f aca="false">IFERROR(LEFT(J3947,FIND(",",J3947)-1),J3947)</f>
        <v>Comedies</v>
      </c>
      <c r="N3947" s="7" t="n">
        <f aca="false">IF(B3947="Movie",IFERROR(VALUE(LEFT(I3947,FIND(" ",I3947)-1)),""),"")</f>
        <v>111</v>
      </c>
      <c r="O3947" s="7" t="str">
        <f aca="false">IF(B3947="TV Show",IFERROR(VALUE(LEFT(I3947,FIND(" ",I3947)-1)),""),"")</f>
        <v/>
      </c>
      <c r="P3947" s="7" t="n">
        <f aca="false">IF(K3947="","",K3947-G3947)</f>
        <v>2</v>
      </c>
    </row>
    <row r="3948" customFormat="false" ht="15" hidden="false" customHeight="false" outlineLevel="0" collapsed="false">
      <c r="A3948" s="7" t="n">
        <v>81045069</v>
      </c>
      <c r="B3948" s="7" t="s">
        <v>68</v>
      </c>
      <c r="C3948" s="7" t="s">
        <v>8183</v>
      </c>
      <c r="D3948" s="7" t="s">
        <v>8184</v>
      </c>
      <c r="E3948" s="7" t="s">
        <v>27</v>
      </c>
      <c r="F3948" s="7" t="s">
        <v>8160</v>
      </c>
      <c r="G3948" s="7" t="n">
        <v>2018</v>
      </c>
      <c r="H3948" s="7" t="s">
        <v>49</v>
      </c>
      <c r="I3948" s="7" t="s">
        <v>755</v>
      </c>
      <c r="J3948" s="7" t="s">
        <v>240</v>
      </c>
      <c r="K3948" s="7" t="n">
        <f aca="false">IFERROR(VALUE(RIGHT(TRIM(F3948),4)),"")</f>
        <v>2019</v>
      </c>
      <c r="L3948" s="7" t="str">
        <f aca="false">IF(TRIM(E3948)="","Unknown",IFERROR(LEFT(TRIM(E3948),FIND(",",TRIM(E3948))-1),TRIM(E3948)))</f>
        <v>India</v>
      </c>
      <c r="M3948" s="7" t="str">
        <f aca="false">IFERROR(LEFT(J3948,FIND(",",J3948)-1),J3948)</f>
        <v>Dramas</v>
      </c>
      <c r="N3948" s="7" t="n">
        <f aca="false">IF(B3948="Movie",IFERROR(VALUE(LEFT(I3948,FIND(" ",I3948)-1)),""),"")</f>
        <v>132</v>
      </c>
      <c r="O3948" s="7" t="str">
        <f aca="false">IF(B3948="TV Show",IFERROR(VALUE(LEFT(I3948,FIND(" ",I3948)-1)),""),"")</f>
        <v/>
      </c>
      <c r="P3948" s="7" t="n">
        <f aca="false">IF(K3948="","",K3948-G3948)</f>
        <v>1</v>
      </c>
    </row>
    <row r="3949" customFormat="false" ht="15" hidden="false" customHeight="false" outlineLevel="0" collapsed="false">
      <c r="A3949" s="7" t="n">
        <v>80216820</v>
      </c>
      <c r="B3949" s="7" t="s">
        <v>68</v>
      </c>
      <c r="C3949" s="7" t="s">
        <v>8185</v>
      </c>
      <c r="D3949" s="7" t="s">
        <v>8186</v>
      </c>
      <c r="E3949" s="7" t="s">
        <v>26</v>
      </c>
      <c r="F3949" s="7" t="s">
        <v>8160</v>
      </c>
      <c r="G3949" s="7" t="n">
        <v>2018</v>
      </c>
      <c r="H3949" s="7" t="s">
        <v>49</v>
      </c>
      <c r="I3949" s="7" t="s">
        <v>357</v>
      </c>
      <c r="J3949" s="7" t="s">
        <v>1558</v>
      </c>
      <c r="K3949" s="7" t="n">
        <f aca="false">IFERROR(VALUE(RIGHT(TRIM(F3949),4)),"")</f>
        <v>2019</v>
      </c>
      <c r="L3949" s="7" t="str">
        <f aca="false">IF(TRIM(E3949)="","Unknown",IFERROR(LEFT(TRIM(E3949),FIND(",",TRIM(E3949))-1),TRIM(E3949)))</f>
        <v>United States</v>
      </c>
      <c r="M3949" s="7" t="str">
        <f aca="false">IFERROR(LEFT(J3949,FIND(",",J3949)-1),J3949)</f>
        <v>Dramas</v>
      </c>
      <c r="N3949" s="7" t="n">
        <f aca="false">IF(B3949="Movie",IFERROR(VALUE(LEFT(I3949,FIND(" ",I3949)-1)),""),"")</f>
        <v>89</v>
      </c>
      <c r="O3949" s="7" t="str">
        <f aca="false">IF(B3949="TV Show",IFERROR(VALUE(LEFT(I3949,FIND(" ",I3949)-1)),""),"")</f>
        <v/>
      </c>
      <c r="P3949" s="7" t="n">
        <f aca="false">IF(K3949="","",K3949-G3949)</f>
        <v>1</v>
      </c>
    </row>
    <row r="3950" customFormat="false" ht="15" hidden="false" customHeight="false" outlineLevel="0" collapsed="false">
      <c r="A3950" s="7" t="n">
        <v>81026667</v>
      </c>
      <c r="B3950" s="7" t="s">
        <v>68</v>
      </c>
      <c r="C3950" s="7" t="s">
        <v>8187</v>
      </c>
      <c r="D3950" s="7" t="s">
        <v>8188</v>
      </c>
      <c r="E3950" s="7" t="s">
        <v>28</v>
      </c>
      <c r="F3950" s="7" t="s">
        <v>8160</v>
      </c>
      <c r="G3950" s="7" t="n">
        <v>2018</v>
      </c>
      <c r="H3950" s="7" t="s">
        <v>48</v>
      </c>
      <c r="I3950" s="7" t="s">
        <v>181</v>
      </c>
      <c r="J3950" s="7" t="s">
        <v>40</v>
      </c>
      <c r="K3950" s="7" t="n">
        <f aca="false">IFERROR(VALUE(RIGHT(TRIM(F3950),4)),"")</f>
        <v>2019</v>
      </c>
      <c r="L3950" s="7" t="str">
        <f aca="false">IF(TRIM(E3950)="","Unknown",IFERROR(LEFT(TRIM(E3950),FIND(",",TRIM(E3950))-1),TRIM(E3950)))</f>
        <v>United Kingdom</v>
      </c>
      <c r="M3950" s="7" t="str">
        <f aca="false">IFERROR(LEFT(J3950,FIND(",",J3950)-1),J3950)</f>
        <v>Action &amp; Adventure</v>
      </c>
      <c r="N3950" s="7" t="n">
        <f aca="false">IF(B3950="Movie",IFERROR(VALUE(LEFT(I3950,FIND(" ",I3950)-1)),""),"")</f>
        <v>102</v>
      </c>
      <c r="O3950" s="7" t="str">
        <f aca="false">IF(B3950="TV Show",IFERROR(VALUE(LEFT(I3950,FIND(" ",I3950)-1)),""),"")</f>
        <v/>
      </c>
      <c r="P3950" s="7" t="n">
        <f aca="false">IF(K3950="","",K3950-G3950)</f>
        <v>1</v>
      </c>
    </row>
    <row r="3951" customFormat="false" ht="15" hidden="false" customHeight="false" outlineLevel="0" collapsed="false">
      <c r="A3951" s="7" t="n">
        <v>70056686</v>
      </c>
      <c r="B3951" s="7" t="s">
        <v>68</v>
      </c>
      <c r="C3951" s="7" t="s">
        <v>8189</v>
      </c>
      <c r="D3951" s="7" t="s">
        <v>8190</v>
      </c>
      <c r="E3951" s="7" t="s">
        <v>27</v>
      </c>
      <c r="F3951" s="7" t="s">
        <v>8160</v>
      </c>
      <c r="G3951" s="7" t="n">
        <v>2006</v>
      </c>
      <c r="H3951" s="7" t="s">
        <v>49</v>
      </c>
      <c r="I3951" s="7" t="s">
        <v>2551</v>
      </c>
      <c r="J3951" s="7" t="s">
        <v>206</v>
      </c>
      <c r="K3951" s="7" t="n">
        <f aca="false">IFERROR(VALUE(RIGHT(TRIM(F3951),4)),"")</f>
        <v>2019</v>
      </c>
      <c r="L3951" s="7" t="str">
        <f aca="false">IF(TRIM(E3951)="","Unknown",IFERROR(LEFT(TRIM(E3951),FIND(",",TRIM(E3951))-1),TRIM(E3951)))</f>
        <v>India</v>
      </c>
      <c r="M3951" s="7" t="str">
        <f aca="false">IFERROR(LEFT(J3951,FIND(",",J3951)-1),J3951)</f>
        <v>Comedies</v>
      </c>
      <c r="N3951" s="7" t="n">
        <f aca="false">IF(B3951="Movie",IFERROR(VALUE(LEFT(I3951,FIND(" ",I3951)-1)),""),"")</f>
        <v>120</v>
      </c>
      <c r="O3951" s="7" t="str">
        <f aca="false">IF(B3951="TV Show",IFERROR(VALUE(LEFT(I3951,FIND(" ",I3951)-1)),""),"")</f>
        <v/>
      </c>
      <c r="P3951" s="7" t="n">
        <f aca="false">IF(K3951="","",K3951-G3951)</f>
        <v>13</v>
      </c>
    </row>
    <row r="3952" customFormat="false" ht="15" hidden="false" customHeight="false" outlineLevel="0" collapsed="false">
      <c r="A3952" s="7" t="n">
        <v>81067761</v>
      </c>
      <c r="B3952" s="7" t="s">
        <v>68</v>
      </c>
      <c r="C3952" s="7" t="s">
        <v>8191</v>
      </c>
      <c r="D3952" s="7" t="s">
        <v>8192</v>
      </c>
      <c r="E3952" s="7" t="s">
        <v>27</v>
      </c>
      <c r="F3952" s="7" t="s">
        <v>8160</v>
      </c>
      <c r="G3952" s="7" t="n">
        <v>2002</v>
      </c>
      <c r="H3952" s="7" t="s">
        <v>49</v>
      </c>
      <c r="I3952" s="7" t="s">
        <v>749</v>
      </c>
      <c r="J3952" s="7" t="s">
        <v>304</v>
      </c>
      <c r="K3952" s="7" t="n">
        <f aca="false">IFERROR(VALUE(RIGHT(TRIM(F3952),4)),"")</f>
        <v>2019</v>
      </c>
      <c r="L3952" s="7" t="str">
        <f aca="false">IF(TRIM(E3952)="","Unknown",IFERROR(LEFT(TRIM(E3952),FIND(",",TRIM(E3952))-1),TRIM(E3952)))</f>
        <v>India</v>
      </c>
      <c r="M3952" s="7" t="str">
        <f aca="false">IFERROR(LEFT(J3952,FIND(",",J3952)-1),J3952)</f>
        <v>Dramas</v>
      </c>
      <c r="N3952" s="7" t="n">
        <f aca="false">IF(B3952="Movie",IFERROR(VALUE(LEFT(I3952,FIND(" ",I3952)-1)),""),"")</f>
        <v>137</v>
      </c>
      <c r="O3952" s="7" t="str">
        <f aca="false">IF(B3952="TV Show",IFERROR(VALUE(LEFT(I3952,FIND(" ",I3952)-1)),""),"")</f>
        <v/>
      </c>
      <c r="P3952" s="7" t="n">
        <f aca="false">IF(K3952="","",K3952-G3952)</f>
        <v>17</v>
      </c>
    </row>
    <row r="3953" customFormat="false" ht="15" hidden="false" customHeight="false" outlineLevel="0" collapsed="false">
      <c r="A3953" s="7" t="n">
        <v>81045551</v>
      </c>
      <c r="B3953" s="7" t="s">
        <v>78</v>
      </c>
      <c r="C3953" s="7" t="s">
        <v>8193</v>
      </c>
      <c r="F3953" s="7" t="s">
        <v>8160</v>
      </c>
      <c r="G3953" s="7" t="n">
        <v>2019</v>
      </c>
      <c r="H3953" s="7" t="s">
        <v>48</v>
      </c>
      <c r="I3953" s="7" t="s">
        <v>82</v>
      </c>
      <c r="J3953" s="7" t="s">
        <v>1402</v>
      </c>
      <c r="K3953" s="7" t="n">
        <f aca="false">IFERROR(VALUE(RIGHT(TRIM(F3953),4)),"")</f>
        <v>2019</v>
      </c>
      <c r="L3953" s="7" t="str">
        <f aca="false">IF(TRIM(E3953)="","Unknown",IFERROR(LEFT(TRIM(E3953),FIND(",",TRIM(E3953))-1),TRIM(E3953)))</f>
        <v>Unknown</v>
      </c>
      <c r="M3953" s="7" t="str">
        <f aca="false">IFERROR(LEFT(J3953,FIND(",",J3953)-1),J3953)</f>
        <v>Crime TV Shows</v>
      </c>
      <c r="N3953" s="7" t="str">
        <f aca="false">IF(B3953="Movie",IFERROR(VALUE(LEFT(I3953,FIND(" ",I3953)-1)),""),"")</f>
        <v/>
      </c>
      <c r="O3953" s="7" t="n">
        <f aca="false">IF(B3953="TV Show",IFERROR(VALUE(LEFT(I3953,FIND(" ",I3953)-1)),""),"")</f>
        <v>1</v>
      </c>
      <c r="P3953" s="7" t="n">
        <f aca="false">IF(K3953="","",K3953-G3953)</f>
        <v>0</v>
      </c>
    </row>
    <row r="3954" customFormat="false" ht="15" hidden="false" customHeight="false" outlineLevel="0" collapsed="false">
      <c r="A3954" s="7" t="n">
        <v>80992672</v>
      </c>
      <c r="B3954" s="7" t="s">
        <v>68</v>
      </c>
      <c r="C3954" s="7" t="s">
        <v>8194</v>
      </c>
      <c r="D3954" s="7" t="s">
        <v>8195</v>
      </c>
      <c r="E3954" s="7" t="s">
        <v>1790</v>
      </c>
      <c r="F3954" s="7" t="s">
        <v>8160</v>
      </c>
      <c r="G3954" s="7" t="n">
        <v>2018</v>
      </c>
      <c r="H3954" s="7" t="s">
        <v>48</v>
      </c>
      <c r="I3954" s="7" t="s">
        <v>437</v>
      </c>
      <c r="J3954" s="7" t="s">
        <v>1000</v>
      </c>
      <c r="K3954" s="7" t="n">
        <f aca="false">IFERROR(VALUE(RIGHT(TRIM(F3954),4)),"")</f>
        <v>2019</v>
      </c>
      <c r="L3954" s="7" t="str">
        <f aca="false">IF(TRIM(E3954)="","Unknown",IFERROR(LEFT(TRIM(E3954),FIND(",",TRIM(E3954))-1),TRIM(E3954)))</f>
        <v>New Zealand</v>
      </c>
      <c r="M3954" s="7" t="str">
        <f aca="false">IFERROR(LEFT(J3954,FIND(",",J3954)-1),J3954)</f>
        <v>Comedies</v>
      </c>
      <c r="N3954" s="7" t="n">
        <f aca="false">IF(B3954="Movie",IFERROR(VALUE(LEFT(I3954,FIND(" ",I3954)-1)),""),"")</f>
        <v>82</v>
      </c>
      <c r="O3954" s="7" t="str">
        <f aca="false">IF(B3954="TV Show",IFERROR(VALUE(LEFT(I3954,FIND(" ",I3954)-1)),""),"")</f>
        <v/>
      </c>
      <c r="P3954" s="7" t="n">
        <f aca="false">IF(K3954="","",K3954-G3954)</f>
        <v>1</v>
      </c>
    </row>
    <row r="3955" customFormat="false" ht="15" hidden="false" customHeight="false" outlineLevel="0" collapsed="false">
      <c r="A3955" s="7" t="n">
        <v>81050194</v>
      </c>
      <c r="B3955" s="7" t="s">
        <v>68</v>
      </c>
      <c r="C3955" s="7" t="s">
        <v>8196</v>
      </c>
      <c r="D3955" s="7" t="s">
        <v>8197</v>
      </c>
      <c r="E3955" s="7" t="s">
        <v>26</v>
      </c>
      <c r="F3955" s="7" t="s">
        <v>8160</v>
      </c>
      <c r="G3955" s="7" t="n">
        <v>2017</v>
      </c>
      <c r="H3955" s="7" t="s">
        <v>48</v>
      </c>
      <c r="I3955" s="7" t="s">
        <v>340</v>
      </c>
      <c r="J3955" s="7" t="s">
        <v>147</v>
      </c>
      <c r="K3955" s="7" t="n">
        <f aca="false">IFERROR(VALUE(RIGHT(TRIM(F3955),4)),"")</f>
        <v>2019</v>
      </c>
      <c r="L3955" s="7" t="str">
        <f aca="false">IF(TRIM(E3955)="","Unknown",IFERROR(LEFT(TRIM(E3955),FIND(",",TRIM(E3955))-1),TRIM(E3955)))</f>
        <v>United States</v>
      </c>
      <c r="M3955" s="7" t="str">
        <f aca="false">IFERROR(LEFT(J3955,FIND(",",J3955)-1),J3955)</f>
        <v>Horror Movies</v>
      </c>
      <c r="N3955" s="7" t="n">
        <f aca="false">IF(B3955="Movie",IFERROR(VALUE(LEFT(I3955,FIND(" ",I3955)-1)),""),"")</f>
        <v>85</v>
      </c>
      <c r="O3955" s="7" t="str">
        <f aca="false">IF(B3955="TV Show",IFERROR(VALUE(LEFT(I3955,FIND(" ",I3955)-1)),""),"")</f>
        <v/>
      </c>
      <c r="P3955" s="7" t="n">
        <f aca="false">IF(K3955="","",K3955-G3955)</f>
        <v>2</v>
      </c>
    </row>
    <row r="3956" customFormat="false" ht="15" hidden="false" customHeight="false" outlineLevel="0" collapsed="false">
      <c r="A3956" s="7" t="n">
        <v>81045308</v>
      </c>
      <c r="B3956" s="7" t="s">
        <v>78</v>
      </c>
      <c r="C3956" s="7" t="s">
        <v>8198</v>
      </c>
      <c r="E3956" s="7" t="s">
        <v>1113</v>
      </c>
      <c r="F3956" s="7" t="s">
        <v>8160</v>
      </c>
      <c r="G3956" s="7" t="n">
        <v>2017</v>
      </c>
      <c r="H3956" s="7" t="s">
        <v>49</v>
      </c>
      <c r="I3956" s="7" t="s">
        <v>82</v>
      </c>
      <c r="J3956" s="7" t="s">
        <v>8199</v>
      </c>
      <c r="K3956" s="7" t="n">
        <f aca="false">IFERROR(VALUE(RIGHT(TRIM(F3956),4)),"")</f>
        <v>2019</v>
      </c>
      <c r="L3956" s="7" t="str">
        <f aca="false">IF(TRIM(E3956)="","Unknown",IFERROR(LEFT(TRIM(E3956),FIND(",",TRIM(E3956))-1),TRIM(E3956)))</f>
        <v>Argentina</v>
      </c>
      <c r="M3956" s="7" t="str">
        <f aca="false">IFERROR(LEFT(J3956,FIND(",",J3956)-1),J3956)</f>
        <v>International TV Shows</v>
      </c>
      <c r="N3956" s="7" t="str">
        <f aca="false">IF(B3956="Movie",IFERROR(VALUE(LEFT(I3956,FIND(" ",I3956)-1)),""),"")</f>
        <v/>
      </c>
      <c r="O3956" s="7" t="n">
        <f aca="false">IF(B3956="TV Show",IFERROR(VALUE(LEFT(I3956,FIND(" ",I3956)-1)),""),"")</f>
        <v>1</v>
      </c>
      <c r="P3956" s="7" t="n">
        <f aca="false">IF(K3956="","",K3956-G3956)</f>
        <v>2</v>
      </c>
    </row>
    <row r="3957" customFormat="false" ht="15" hidden="false" customHeight="false" outlineLevel="0" collapsed="false">
      <c r="A3957" s="7" t="n">
        <v>80186863</v>
      </c>
      <c r="B3957" s="7" t="s">
        <v>78</v>
      </c>
      <c r="C3957" s="7" t="s">
        <v>8200</v>
      </c>
      <c r="E3957" s="7" t="s">
        <v>26</v>
      </c>
      <c r="F3957" s="7" t="s">
        <v>8160</v>
      </c>
      <c r="G3957" s="7" t="n">
        <v>2019</v>
      </c>
      <c r="H3957" s="7" t="s">
        <v>49</v>
      </c>
      <c r="I3957" s="7" t="s">
        <v>82</v>
      </c>
      <c r="J3957" s="7" t="s">
        <v>8201</v>
      </c>
      <c r="K3957" s="7" t="n">
        <f aca="false">IFERROR(VALUE(RIGHT(TRIM(F3957),4)),"")</f>
        <v>2019</v>
      </c>
      <c r="L3957" s="7" t="str">
        <f aca="false">IF(TRIM(E3957)="","Unknown",IFERROR(LEFT(TRIM(E3957),FIND(",",TRIM(E3957))-1),TRIM(E3957)))</f>
        <v>United States</v>
      </c>
      <c r="M3957" s="7" t="str">
        <f aca="false">IFERROR(LEFT(J3957,FIND(",",J3957)-1),J3957)</f>
        <v>TV Action &amp; Adventure</v>
      </c>
      <c r="N3957" s="7" t="str">
        <f aca="false">IF(B3957="Movie",IFERROR(VALUE(LEFT(I3957,FIND(" ",I3957)-1)),""),"")</f>
        <v/>
      </c>
      <c r="O3957" s="7" t="n">
        <f aca="false">IF(B3957="TV Show",IFERROR(VALUE(LEFT(I3957,FIND(" ",I3957)-1)),""),"")</f>
        <v>1</v>
      </c>
      <c r="P3957" s="7" t="n">
        <f aca="false">IF(K3957="","",K3957-G3957)</f>
        <v>0</v>
      </c>
    </row>
    <row r="3958" customFormat="false" ht="15" hidden="false" customHeight="false" outlineLevel="0" collapsed="false">
      <c r="A3958" s="7" t="n">
        <v>70109378</v>
      </c>
      <c r="B3958" s="7" t="s">
        <v>68</v>
      </c>
      <c r="C3958" s="7" t="s">
        <v>8202</v>
      </c>
      <c r="D3958" s="7" t="s">
        <v>8203</v>
      </c>
      <c r="E3958" s="7" t="s">
        <v>27</v>
      </c>
      <c r="F3958" s="7" t="s">
        <v>8160</v>
      </c>
      <c r="G3958" s="7" t="n">
        <v>2008</v>
      </c>
      <c r="H3958" s="7" t="s">
        <v>49</v>
      </c>
      <c r="I3958" s="7" t="s">
        <v>1405</v>
      </c>
      <c r="J3958" s="7" t="s">
        <v>206</v>
      </c>
      <c r="K3958" s="7" t="n">
        <f aca="false">IFERROR(VALUE(RIGHT(TRIM(F3958),4)),"")</f>
        <v>2019</v>
      </c>
      <c r="L3958" s="7" t="str">
        <f aca="false">IF(TRIM(E3958)="","Unknown",IFERROR(LEFT(TRIM(E3958),FIND(",",TRIM(E3958))-1),TRIM(E3958)))</f>
        <v>India</v>
      </c>
      <c r="M3958" s="7" t="str">
        <f aca="false">IFERROR(LEFT(J3958,FIND(",",J3958)-1),J3958)</f>
        <v>Comedies</v>
      </c>
      <c r="N3958" s="7" t="n">
        <f aca="false">IF(B3958="Movie",IFERROR(VALUE(LEFT(I3958,FIND(" ",I3958)-1)),""),"")</f>
        <v>115</v>
      </c>
      <c r="O3958" s="7" t="str">
        <f aca="false">IF(B3958="TV Show",IFERROR(VALUE(LEFT(I3958,FIND(" ",I3958)-1)),""),"")</f>
        <v/>
      </c>
      <c r="P3958" s="7" t="n">
        <f aca="false">IF(K3958="","",K3958-G3958)</f>
        <v>11</v>
      </c>
    </row>
    <row r="3959" customFormat="false" ht="15" hidden="false" customHeight="false" outlineLevel="0" collapsed="false">
      <c r="A3959" s="7" t="n">
        <v>81043343</v>
      </c>
      <c r="B3959" s="7" t="s">
        <v>68</v>
      </c>
      <c r="C3959" s="7" t="s">
        <v>8204</v>
      </c>
      <c r="D3959" s="7" t="s">
        <v>8205</v>
      </c>
      <c r="E3959" s="7" t="s">
        <v>396</v>
      </c>
      <c r="F3959" s="7" t="s">
        <v>8160</v>
      </c>
      <c r="G3959" s="7" t="n">
        <v>2016</v>
      </c>
      <c r="H3959" s="7" t="s">
        <v>50</v>
      </c>
      <c r="I3959" s="7" t="s">
        <v>294</v>
      </c>
      <c r="J3959" s="7" t="s">
        <v>198</v>
      </c>
      <c r="K3959" s="7" t="n">
        <f aca="false">IFERROR(VALUE(RIGHT(TRIM(F3959),4)),"")</f>
        <v>2019</v>
      </c>
      <c r="L3959" s="7" t="str">
        <f aca="false">IF(TRIM(E3959)="","Unknown",IFERROR(LEFT(TRIM(E3959),FIND(",",TRIM(E3959))-1),TRIM(E3959)))</f>
        <v>Turkey</v>
      </c>
      <c r="M3959" s="7" t="str">
        <f aca="false">IFERROR(LEFT(J3959,FIND(",",J3959)-1),J3959)</f>
        <v>Comedies</v>
      </c>
      <c r="N3959" s="7" t="n">
        <f aca="false">IF(B3959="Movie",IFERROR(VALUE(LEFT(I3959,FIND(" ",I3959)-1)),""),"")</f>
        <v>107</v>
      </c>
      <c r="O3959" s="7" t="str">
        <f aca="false">IF(B3959="TV Show",IFERROR(VALUE(LEFT(I3959,FIND(" ",I3959)-1)),""),"")</f>
        <v/>
      </c>
      <c r="P3959" s="7" t="n">
        <f aca="false">IF(K3959="","",K3959-G3959)</f>
        <v>3</v>
      </c>
    </row>
    <row r="3960" customFormat="false" ht="15" hidden="false" customHeight="false" outlineLevel="0" collapsed="false">
      <c r="A3960" s="7" t="n">
        <v>80988834</v>
      </c>
      <c r="B3960" s="7" t="s">
        <v>68</v>
      </c>
      <c r="C3960" s="7" t="s">
        <v>8206</v>
      </c>
      <c r="D3960" s="7" t="s">
        <v>8207</v>
      </c>
      <c r="E3960" s="7" t="s">
        <v>33</v>
      </c>
      <c r="F3960" s="7" t="s">
        <v>8160</v>
      </c>
      <c r="G3960" s="7" t="n">
        <v>2018</v>
      </c>
      <c r="H3960" s="7" t="s">
        <v>48</v>
      </c>
      <c r="I3960" s="7" t="s">
        <v>247</v>
      </c>
      <c r="J3960" s="7" t="s">
        <v>202</v>
      </c>
      <c r="K3960" s="7" t="n">
        <f aca="false">IFERROR(VALUE(RIGHT(TRIM(F3960),4)),"")</f>
        <v>2019</v>
      </c>
      <c r="L3960" s="7" t="str">
        <f aca="false">IF(TRIM(E3960)="","Unknown",IFERROR(LEFT(TRIM(E3960),FIND(",",TRIM(E3960))-1),TRIM(E3960)))</f>
        <v>Spain</v>
      </c>
      <c r="M3960" s="7" t="str">
        <f aca="false">IFERROR(LEFT(J3960,FIND(",",J3960)-1),J3960)</f>
        <v>Comedies</v>
      </c>
      <c r="N3960" s="7" t="n">
        <f aca="false">IF(B3960="Movie",IFERROR(VALUE(LEFT(I3960,FIND(" ",I3960)-1)),""),"")</f>
        <v>130</v>
      </c>
      <c r="O3960" s="7" t="str">
        <f aca="false">IF(B3960="TV Show",IFERROR(VALUE(LEFT(I3960,FIND(" ",I3960)-1)),""),"")</f>
        <v/>
      </c>
      <c r="P3960" s="7" t="n">
        <f aca="false">IF(K3960="","",K3960-G3960)</f>
        <v>1</v>
      </c>
    </row>
    <row r="3961" customFormat="false" ht="15" hidden="false" customHeight="false" outlineLevel="0" collapsed="false">
      <c r="A3961" s="7" t="n">
        <v>80144372</v>
      </c>
      <c r="B3961" s="7" t="s">
        <v>68</v>
      </c>
      <c r="C3961" s="7" t="s">
        <v>8208</v>
      </c>
      <c r="D3961" s="7" t="s">
        <v>8209</v>
      </c>
      <c r="E3961" s="7" t="s">
        <v>32</v>
      </c>
      <c r="F3961" s="7" t="s">
        <v>8210</v>
      </c>
      <c r="G3961" s="7" t="n">
        <v>2016</v>
      </c>
      <c r="H3961" s="7" t="s">
        <v>53</v>
      </c>
      <c r="I3961" s="7" t="s">
        <v>201</v>
      </c>
      <c r="J3961" s="7" t="s">
        <v>112</v>
      </c>
      <c r="K3961" s="7" t="n">
        <f aca="false">IFERROR(VALUE(RIGHT(TRIM(F3961),4)),"")</f>
        <v>2018</v>
      </c>
      <c r="L3961" s="7" t="str">
        <f aca="false">IF(TRIM(E3961)="","Unknown",IFERROR(LEFT(TRIM(E3961),FIND(",",TRIM(E3961))-1),TRIM(E3961)))</f>
        <v>South Korea</v>
      </c>
      <c r="M3961" s="7" t="str">
        <f aca="false">IFERROR(LEFT(J3961,FIND(",",J3961)-1),J3961)</f>
        <v>Action &amp; Adventure</v>
      </c>
      <c r="N3961" s="7" t="n">
        <f aca="false">IF(B3961="Movie",IFERROR(VALUE(LEFT(I3961,FIND(" ",I3961)-1)),""),"")</f>
        <v>133</v>
      </c>
      <c r="O3961" s="7" t="str">
        <f aca="false">IF(B3961="TV Show",IFERROR(VALUE(LEFT(I3961,FIND(" ",I3961)-1)),""),"")</f>
        <v/>
      </c>
      <c r="P3961" s="7" t="n">
        <f aca="false">IF(K3961="","",K3961-G3961)</f>
        <v>2</v>
      </c>
    </row>
    <row r="3962" customFormat="false" ht="15" hidden="false" customHeight="false" outlineLevel="0" collapsed="false">
      <c r="A3962" s="7" t="n">
        <v>80201612</v>
      </c>
      <c r="B3962" s="7" t="s">
        <v>68</v>
      </c>
      <c r="C3962" s="7" t="s">
        <v>8211</v>
      </c>
      <c r="D3962" s="7" t="s">
        <v>8212</v>
      </c>
      <c r="E3962" s="7" t="s">
        <v>27</v>
      </c>
      <c r="F3962" s="7" t="s">
        <v>8210</v>
      </c>
      <c r="G3962" s="7" t="n">
        <v>2015</v>
      </c>
      <c r="H3962" s="7" t="s">
        <v>49</v>
      </c>
      <c r="I3962" s="7" t="s">
        <v>1270</v>
      </c>
      <c r="J3962" s="7" t="s">
        <v>112</v>
      </c>
      <c r="K3962" s="7" t="n">
        <f aca="false">IFERROR(VALUE(RIGHT(TRIM(F3962),4)),"")</f>
        <v>2018</v>
      </c>
      <c r="L3962" s="7" t="str">
        <f aca="false">IF(TRIM(E3962)="","Unknown",IFERROR(LEFT(TRIM(E3962),FIND(",",TRIM(E3962))-1),TRIM(E3962)))</f>
        <v>India</v>
      </c>
      <c r="M3962" s="7" t="str">
        <f aca="false">IFERROR(LEFT(J3962,FIND(",",J3962)-1),J3962)</f>
        <v>Action &amp; Adventure</v>
      </c>
      <c r="N3962" s="7" t="n">
        <f aca="false">IF(B3962="Movie",IFERROR(VALUE(LEFT(I3962,FIND(" ",I3962)-1)),""),"")</f>
        <v>118</v>
      </c>
      <c r="O3962" s="7" t="str">
        <f aca="false">IF(B3962="TV Show",IFERROR(VALUE(LEFT(I3962,FIND(" ",I3962)-1)),""),"")</f>
        <v/>
      </c>
      <c r="P3962" s="7" t="n">
        <f aca="false">IF(K3962="","",K3962-G3962)</f>
        <v>3</v>
      </c>
    </row>
    <row r="3963" customFormat="false" ht="15" hidden="false" customHeight="false" outlineLevel="0" collapsed="false">
      <c r="A3963" s="7" t="n">
        <v>80202087</v>
      </c>
      <c r="B3963" s="7" t="s">
        <v>68</v>
      </c>
      <c r="C3963" s="7" t="s">
        <v>8213</v>
      </c>
      <c r="D3963" s="7" t="s">
        <v>5690</v>
      </c>
      <c r="E3963" s="7" t="s">
        <v>27</v>
      </c>
      <c r="F3963" s="7" t="s">
        <v>8210</v>
      </c>
      <c r="G3963" s="7" t="n">
        <v>2011</v>
      </c>
      <c r="H3963" s="7" t="s">
        <v>49</v>
      </c>
      <c r="I3963" s="7" t="s">
        <v>1777</v>
      </c>
      <c r="J3963" s="7" t="s">
        <v>112</v>
      </c>
      <c r="K3963" s="7" t="n">
        <f aca="false">IFERROR(VALUE(RIGHT(TRIM(F3963),4)),"")</f>
        <v>2018</v>
      </c>
      <c r="L3963" s="7" t="str">
        <f aca="false">IF(TRIM(E3963)="","Unknown",IFERROR(LEFT(TRIM(E3963),FIND(",",TRIM(E3963))-1),TRIM(E3963)))</f>
        <v>India</v>
      </c>
      <c r="M3963" s="7" t="str">
        <f aca="false">IFERROR(LEFT(J3963,FIND(",",J3963)-1),J3963)</f>
        <v>Action &amp; Adventure</v>
      </c>
      <c r="N3963" s="7" t="n">
        <f aca="false">IF(B3963="Movie",IFERROR(VALUE(LEFT(I3963,FIND(" ",I3963)-1)),""),"")</f>
        <v>150</v>
      </c>
      <c r="O3963" s="7" t="str">
        <f aca="false">IF(B3963="TV Show",IFERROR(VALUE(LEFT(I3963,FIND(" ",I3963)-1)),""),"")</f>
        <v/>
      </c>
      <c r="P3963" s="7" t="n">
        <f aca="false">IF(K3963="","",K3963-G3963)</f>
        <v>7</v>
      </c>
    </row>
    <row r="3964" customFormat="false" ht="15" hidden="false" customHeight="false" outlineLevel="0" collapsed="false">
      <c r="A3964" s="7" t="n">
        <v>80201816</v>
      </c>
      <c r="B3964" s="7" t="s">
        <v>68</v>
      </c>
      <c r="C3964" s="7" t="s">
        <v>8214</v>
      </c>
      <c r="D3964" s="7" t="s">
        <v>8215</v>
      </c>
      <c r="E3964" s="7" t="s">
        <v>27</v>
      </c>
      <c r="F3964" s="7" t="s">
        <v>8210</v>
      </c>
      <c r="G3964" s="7" t="n">
        <v>2006</v>
      </c>
      <c r="H3964" s="7" t="s">
        <v>49</v>
      </c>
      <c r="I3964" s="7" t="s">
        <v>755</v>
      </c>
      <c r="J3964" s="7" t="s">
        <v>217</v>
      </c>
      <c r="K3964" s="7" t="n">
        <f aca="false">IFERROR(VALUE(RIGHT(TRIM(F3964),4)),"")</f>
        <v>2018</v>
      </c>
      <c r="L3964" s="7" t="str">
        <f aca="false">IF(TRIM(E3964)="","Unknown",IFERROR(LEFT(TRIM(E3964),FIND(",",TRIM(E3964))-1),TRIM(E3964)))</f>
        <v>India</v>
      </c>
      <c r="M3964" s="7" t="str">
        <f aca="false">IFERROR(LEFT(J3964,FIND(",",J3964)-1),J3964)</f>
        <v>Comedies</v>
      </c>
      <c r="N3964" s="7" t="n">
        <f aca="false">IF(B3964="Movie",IFERROR(VALUE(LEFT(I3964,FIND(" ",I3964)-1)),""),"")</f>
        <v>132</v>
      </c>
      <c r="O3964" s="7" t="str">
        <f aca="false">IF(B3964="TV Show",IFERROR(VALUE(LEFT(I3964,FIND(" ",I3964)-1)),""),"")</f>
        <v/>
      </c>
      <c r="P3964" s="7" t="n">
        <f aca="false">IF(K3964="","",K3964-G3964)</f>
        <v>12</v>
      </c>
    </row>
    <row r="3965" customFormat="false" ht="15" hidden="false" customHeight="false" outlineLevel="0" collapsed="false">
      <c r="A3965" s="7" t="n">
        <v>80201605</v>
      </c>
      <c r="B3965" s="7" t="s">
        <v>68</v>
      </c>
      <c r="C3965" s="7" t="s">
        <v>8216</v>
      </c>
      <c r="D3965" s="7" t="s">
        <v>8217</v>
      </c>
      <c r="E3965" s="7" t="s">
        <v>27</v>
      </c>
      <c r="F3965" s="7" t="s">
        <v>8210</v>
      </c>
      <c r="G3965" s="7" t="n">
        <v>2011</v>
      </c>
      <c r="H3965" s="7" t="s">
        <v>49</v>
      </c>
      <c r="I3965" s="7" t="s">
        <v>505</v>
      </c>
      <c r="J3965" s="7" t="s">
        <v>304</v>
      </c>
      <c r="K3965" s="7" t="n">
        <f aca="false">IFERROR(VALUE(RIGHT(TRIM(F3965),4)),"")</f>
        <v>2018</v>
      </c>
      <c r="L3965" s="7" t="str">
        <f aca="false">IF(TRIM(E3965)="","Unknown",IFERROR(LEFT(TRIM(E3965),FIND(",",TRIM(E3965))-1),TRIM(E3965)))</f>
        <v>India</v>
      </c>
      <c r="M3965" s="7" t="str">
        <f aca="false">IFERROR(LEFT(J3965,FIND(",",J3965)-1),J3965)</f>
        <v>Dramas</v>
      </c>
      <c r="N3965" s="7" t="n">
        <f aca="false">IF(B3965="Movie",IFERROR(VALUE(LEFT(I3965,FIND(" ",I3965)-1)),""),"")</f>
        <v>121</v>
      </c>
      <c r="O3965" s="7" t="str">
        <f aca="false">IF(B3965="TV Show",IFERROR(VALUE(LEFT(I3965,FIND(" ",I3965)-1)),""),"")</f>
        <v/>
      </c>
      <c r="P3965" s="7" t="n">
        <f aca="false">IF(K3965="","",K3965-G3965)</f>
        <v>7</v>
      </c>
    </row>
    <row r="3966" customFormat="false" ht="15" hidden="false" customHeight="false" outlineLevel="0" collapsed="false">
      <c r="A3966" s="7" t="n">
        <v>80235135</v>
      </c>
      <c r="B3966" s="7" t="s">
        <v>78</v>
      </c>
      <c r="C3966" s="7" t="s">
        <v>8218</v>
      </c>
      <c r="E3966" s="7" t="s">
        <v>27</v>
      </c>
      <c r="F3966" s="7" t="s">
        <v>8210</v>
      </c>
      <c r="G3966" s="7" t="n">
        <v>2010</v>
      </c>
      <c r="H3966" s="7" t="s">
        <v>49</v>
      </c>
      <c r="I3966" s="7" t="s">
        <v>82</v>
      </c>
      <c r="J3966" s="7" t="s">
        <v>402</v>
      </c>
      <c r="K3966" s="7" t="n">
        <f aca="false">IFERROR(VALUE(RIGHT(TRIM(F3966),4)),"")</f>
        <v>2018</v>
      </c>
      <c r="L3966" s="7" t="str">
        <f aca="false">IF(TRIM(E3966)="","Unknown",IFERROR(LEFT(TRIM(E3966),FIND(",",TRIM(E3966))-1),TRIM(E3966)))</f>
        <v>India</v>
      </c>
      <c r="M3966" s="7" t="str">
        <f aca="false">IFERROR(LEFT(J3966,FIND(",",J3966)-1),J3966)</f>
        <v>Crime TV Shows</v>
      </c>
      <c r="N3966" s="7" t="str">
        <f aca="false">IF(B3966="Movie",IFERROR(VALUE(LEFT(I3966,FIND(" ",I3966)-1)),""),"")</f>
        <v/>
      </c>
      <c r="O3966" s="7" t="n">
        <f aca="false">IF(B3966="TV Show",IFERROR(VALUE(LEFT(I3966,FIND(" ",I3966)-1)),""),"")</f>
        <v>1</v>
      </c>
      <c r="P3966" s="7" t="n">
        <f aca="false">IF(K3966="","",K3966-G3966)</f>
        <v>8</v>
      </c>
    </row>
    <row r="3967" customFormat="false" ht="15" hidden="false" customHeight="false" outlineLevel="0" collapsed="false">
      <c r="A3967" s="7" t="n">
        <v>80201609</v>
      </c>
      <c r="B3967" s="7" t="s">
        <v>68</v>
      </c>
      <c r="C3967" s="7" t="s">
        <v>8219</v>
      </c>
      <c r="D3967" s="7" t="s">
        <v>4252</v>
      </c>
      <c r="E3967" s="7" t="s">
        <v>27</v>
      </c>
      <c r="F3967" s="7" t="s">
        <v>8210</v>
      </c>
      <c r="G3967" s="7" t="n">
        <v>2013</v>
      </c>
      <c r="H3967" s="7" t="s">
        <v>49</v>
      </c>
      <c r="I3967" s="7" t="s">
        <v>378</v>
      </c>
      <c r="J3967" s="7" t="s">
        <v>426</v>
      </c>
      <c r="K3967" s="7" t="n">
        <f aca="false">IFERROR(VALUE(RIGHT(TRIM(F3967),4)),"")</f>
        <v>2018</v>
      </c>
      <c r="L3967" s="7" t="str">
        <f aca="false">IF(TRIM(E3967)="","Unknown",IFERROR(LEFT(TRIM(E3967),FIND(",",TRIM(E3967))-1),TRIM(E3967)))</f>
        <v>India</v>
      </c>
      <c r="M3967" s="7" t="str">
        <f aca="false">IFERROR(LEFT(J3967,FIND(",",J3967)-1),J3967)</f>
        <v>International Movies</v>
      </c>
      <c r="N3967" s="7" t="n">
        <f aca="false">IF(B3967="Movie",IFERROR(VALUE(LEFT(I3967,FIND(" ",I3967)-1)),""),"")</f>
        <v>127</v>
      </c>
      <c r="O3967" s="7" t="str">
        <f aca="false">IF(B3967="TV Show",IFERROR(VALUE(LEFT(I3967,FIND(" ",I3967)-1)),""),"")</f>
        <v/>
      </c>
      <c r="P3967" s="7" t="n">
        <f aca="false">IF(K3967="","",K3967-G3967)</f>
        <v>5</v>
      </c>
    </row>
    <row r="3968" customFormat="false" ht="15" hidden="false" customHeight="false" outlineLevel="0" collapsed="false">
      <c r="A3968" s="7" t="n">
        <v>80198794</v>
      </c>
      <c r="B3968" s="7" t="s">
        <v>78</v>
      </c>
      <c r="C3968" s="7" t="s">
        <v>8220</v>
      </c>
      <c r="E3968" s="7" t="s">
        <v>30</v>
      </c>
      <c r="F3968" s="7" t="s">
        <v>8210</v>
      </c>
      <c r="G3968" s="7" t="n">
        <v>2017</v>
      </c>
      <c r="H3968" s="7" t="s">
        <v>48</v>
      </c>
      <c r="I3968" s="7" t="s">
        <v>82</v>
      </c>
      <c r="J3968" s="7" t="s">
        <v>3308</v>
      </c>
      <c r="K3968" s="7" t="n">
        <f aca="false">IFERROR(VALUE(RIGHT(TRIM(F3968),4)),"")</f>
        <v>2018</v>
      </c>
      <c r="L3968" s="7" t="str">
        <f aca="false">IF(TRIM(E3968)="","Unknown",IFERROR(LEFT(TRIM(E3968),FIND(",",TRIM(E3968))-1),TRIM(E3968)))</f>
        <v>Japan</v>
      </c>
      <c r="M3968" s="7" t="str">
        <f aca="false">IFERROR(LEFT(J3968,FIND(",",J3968)-1),J3968)</f>
        <v>International TV Shows</v>
      </c>
      <c r="N3968" s="7" t="str">
        <f aca="false">IF(B3968="Movie",IFERROR(VALUE(LEFT(I3968,FIND(" ",I3968)-1)),""),"")</f>
        <v/>
      </c>
      <c r="O3968" s="7" t="n">
        <f aca="false">IF(B3968="TV Show",IFERROR(VALUE(LEFT(I3968,FIND(" ",I3968)-1)),""),"")</f>
        <v>1</v>
      </c>
      <c r="P3968" s="7" t="n">
        <f aca="false">IF(K3968="","",K3968-G3968)</f>
        <v>1</v>
      </c>
    </row>
    <row r="3969" customFormat="false" ht="15" hidden="false" customHeight="false" outlineLevel="0" collapsed="false">
      <c r="A3969" s="7" t="n">
        <v>70116577</v>
      </c>
      <c r="B3969" s="7" t="s">
        <v>68</v>
      </c>
      <c r="C3969" s="7" t="s">
        <v>8221</v>
      </c>
      <c r="D3969" s="7" t="s">
        <v>8222</v>
      </c>
      <c r="E3969" s="7" t="s">
        <v>27</v>
      </c>
      <c r="F3969" s="7" t="s">
        <v>8210</v>
      </c>
      <c r="G3969" s="7" t="n">
        <v>2007</v>
      </c>
      <c r="H3969" s="7" t="s">
        <v>50</v>
      </c>
      <c r="I3969" s="7" t="s">
        <v>490</v>
      </c>
      <c r="J3969" s="7" t="s">
        <v>1042</v>
      </c>
      <c r="K3969" s="7" t="n">
        <f aca="false">IFERROR(VALUE(RIGHT(TRIM(F3969),4)),"")</f>
        <v>2018</v>
      </c>
      <c r="L3969" s="7" t="str">
        <f aca="false">IF(TRIM(E3969)="","Unknown",IFERROR(LEFT(TRIM(E3969),FIND(",",TRIM(E3969))-1),TRIM(E3969)))</f>
        <v>India</v>
      </c>
      <c r="M3969" s="7" t="str">
        <f aca="false">IFERROR(LEFT(J3969,FIND(",",J3969)-1),J3969)</f>
        <v>Dramas</v>
      </c>
      <c r="N3969" s="7" t="n">
        <f aca="false">IF(B3969="Movie",IFERROR(VALUE(LEFT(I3969,FIND(" ",I3969)-1)),""),"")</f>
        <v>152</v>
      </c>
      <c r="O3969" s="7" t="str">
        <f aca="false">IF(B3969="TV Show",IFERROR(VALUE(LEFT(I3969,FIND(" ",I3969)-1)),""),"")</f>
        <v/>
      </c>
      <c r="P3969" s="7" t="n">
        <f aca="false">IF(K3969="","",K3969-G3969)</f>
        <v>11</v>
      </c>
    </row>
    <row r="3970" customFormat="false" ht="15" hidden="false" customHeight="false" outlineLevel="0" collapsed="false">
      <c r="A3970" s="7" t="n">
        <v>70121660</v>
      </c>
      <c r="B3970" s="7" t="s">
        <v>68</v>
      </c>
      <c r="C3970" s="7" t="s">
        <v>8223</v>
      </c>
      <c r="D3970" s="7" t="s">
        <v>3022</v>
      </c>
      <c r="E3970" s="7" t="s">
        <v>27</v>
      </c>
      <c r="F3970" s="7" t="s">
        <v>8210</v>
      </c>
      <c r="G3970" s="7" t="n">
        <v>2005</v>
      </c>
      <c r="H3970" s="7" t="s">
        <v>49</v>
      </c>
      <c r="I3970" s="7" t="s">
        <v>235</v>
      </c>
      <c r="J3970" s="7" t="s">
        <v>304</v>
      </c>
      <c r="K3970" s="7" t="n">
        <f aca="false">IFERROR(VALUE(RIGHT(TRIM(F3970),4)),"")</f>
        <v>2018</v>
      </c>
      <c r="L3970" s="7" t="str">
        <f aca="false">IF(TRIM(E3970)="","Unknown",IFERROR(LEFT(TRIM(E3970),FIND(",",TRIM(E3970))-1),TRIM(E3970)))</f>
        <v>India</v>
      </c>
      <c r="M3970" s="7" t="str">
        <f aca="false">IFERROR(LEFT(J3970,FIND(",",J3970)-1),J3970)</f>
        <v>Dramas</v>
      </c>
      <c r="N3970" s="7" t="n">
        <f aca="false">IF(B3970="Movie",IFERROR(VALUE(LEFT(I3970,FIND(" ",I3970)-1)),""),"")</f>
        <v>126</v>
      </c>
      <c r="O3970" s="7" t="str">
        <f aca="false">IF(B3970="TV Show",IFERROR(VALUE(LEFT(I3970,FIND(" ",I3970)-1)),""),"")</f>
        <v/>
      </c>
      <c r="P3970" s="7" t="n">
        <f aca="false">IF(K3970="","",K3970-G3970)</f>
        <v>13</v>
      </c>
    </row>
    <row r="3971" customFormat="false" ht="15" hidden="false" customHeight="false" outlineLevel="0" collapsed="false">
      <c r="A3971" s="7" t="n">
        <v>70120167</v>
      </c>
      <c r="B3971" s="7" t="s">
        <v>68</v>
      </c>
      <c r="C3971" s="7" t="s">
        <v>8224</v>
      </c>
      <c r="D3971" s="7" t="s">
        <v>473</v>
      </c>
      <c r="E3971" s="7" t="s">
        <v>8225</v>
      </c>
      <c r="F3971" s="7" t="s">
        <v>8210</v>
      </c>
      <c r="G3971" s="7" t="n">
        <v>2009</v>
      </c>
      <c r="H3971" s="7" t="s">
        <v>51</v>
      </c>
      <c r="I3971" s="7" t="s">
        <v>417</v>
      </c>
      <c r="J3971" s="7" t="s">
        <v>367</v>
      </c>
      <c r="K3971" s="7" t="n">
        <f aca="false">IFERROR(VALUE(RIGHT(TRIM(F3971),4)),"")</f>
        <v>2018</v>
      </c>
      <c r="L3971" s="7" t="str">
        <f aca="false">IF(TRIM(E3971)="","Unknown",IFERROR(LEFT(TRIM(E3971),FIND(",",TRIM(E3971))-1),TRIM(E3971)))</f>
        <v>Czech Republic</v>
      </c>
      <c r="M3971" s="7" t="str">
        <f aca="false">IFERROR(LEFT(J3971,FIND(",",J3971)-1),J3971)</f>
        <v>Action &amp; Adventure</v>
      </c>
      <c r="N3971" s="7" t="n">
        <f aca="false">IF(B3971="Movie",IFERROR(VALUE(LEFT(I3971,FIND(" ",I3971)-1)),""),"")</f>
        <v>104</v>
      </c>
      <c r="O3971" s="7" t="str">
        <f aca="false">IF(B3971="TV Show",IFERROR(VALUE(LEFT(I3971,FIND(" ",I3971)-1)),""),"")</f>
        <v/>
      </c>
      <c r="P3971" s="7" t="n">
        <f aca="false">IF(K3971="","",K3971-G3971)</f>
        <v>9</v>
      </c>
    </row>
    <row r="3972" customFormat="false" ht="15" hidden="false" customHeight="false" outlineLevel="0" collapsed="false">
      <c r="A3972" s="7" t="n">
        <v>80201622</v>
      </c>
      <c r="B3972" s="7" t="s">
        <v>68</v>
      </c>
      <c r="C3972" s="7" t="s">
        <v>8226</v>
      </c>
      <c r="D3972" s="7" t="s">
        <v>7608</v>
      </c>
      <c r="E3972" s="7" t="s">
        <v>27</v>
      </c>
      <c r="F3972" s="7" t="s">
        <v>8210</v>
      </c>
      <c r="G3972" s="7" t="n">
        <v>2012</v>
      </c>
      <c r="H3972" s="7" t="s">
        <v>50</v>
      </c>
      <c r="I3972" s="7" t="s">
        <v>1066</v>
      </c>
      <c r="J3972" s="7" t="s">
        <v>1703</v>
      </c>
      <c r="K3972" s="7" t="n">
        <f aca="false">IFERROR(VALUE(RIGHT(TRIM(F3972),4)),"")</f>
        <v>2018</v>
      </c>
      <c r="L3972" s="7" t="str">
        <f aca="false">IF(TRIM(E3972)="","Unknown",IFERROR(LEFT(TRIM(E3972),FIND(",",TRIM(E3972))-1),TRIM(E3972)))</f>
        <v>India</v>
      </c>
      <c r="M3972" s="7" t="str">
        <f aca="false">IFERROR(LEFT(J3972,FIND(",",J3972)-1),J3972)</f>
        <v>Dramas</v>
      </c>
      <c r="N3972" s="7" t="n">
        <f aca="false">IF(B3972="Movie",IFERROR(VALUE(LEFT(I3972,FIND(" ",I3972)-1)),""),"")</f>
        <v>162</v>
      </c>
      <c r="O3972" s="7" t="str">
        <f aca="false">IF(B3972="TV Show",IFERROR(VALUE(LEFT(I3972,FIND(" ",I3972)-1)),""),"")</f>
        <v/>
      </c>
      <c r="P3972" s="7" t="n">
        <f aca="false">IF(K3972="","",K3972-G3972)</f>
        <v>6</v>
      </c>
    </row>
    <row r="3973" customFormat="false" ht="15" hidden="false" customHeight="false" outlineLevel="0" collapsed="false">
      <c r="A3973" s="7" t="n">
        <v>80201817</v>
      </c>
      <c r="B3973" s="7" t="s">
        <v>68</v>
      </c>
      <c r="C3973" s="7" t="s">
        <v>8227</v>
      </c>
      <c r="D3973" s="7" t="s">
        <v>8217</v>
      </c>
      <c r="E3973" s="7" t="s">
        <v>27</v>
      </c>
      <c r="F3973" s="7" t="s">
        <v>8210</v>
      </c>
      <c r="G3973" s="7" t="n">
        <v>2009</v>
      </c>
      <c r="H3973" s="7" t="s">
        <v>49</v>
      </c>
      <c r="I3973" s="7" t="s">
        <v>2551</v>
      </c>
      <c r="J3973" s="7" t="s">
        <v>304</v>
      </c>
      <c r="K3973" s="7" t="n">
        <f aca="false">IFERROR(VALUE(RIGHT(TRIM(F3973),4)),"")</f>
        <v>2018</v>
      </c>
      <c r="L3973" s="7" t="str">
        <f aca="false">IF(TRIM(E3973)="","Unknown",IFERROR(LEFT(TRIM(E3973),FIND(",",TRIM(E3973))-1),TRIM(E3973)))</f>
        <v>India</v>
      </c>
      <c r="M3973" s="7" t="str">
        <f aca="false">IFERROR(LEFT(J3973,FIND(",",J3973)-1),J3973)</f>
        <v>Dramas</v>
      </c>
      <c r="N3973" s="7" t="n">
        <f aca="false">IF(B3973="Movie",IFERROR(VALUE(LEFT(I3973,FIND(" ",I3973)-1)),""),"")</f>
        <v>120</v>
      </c>
      <c r="O3973" s="7" t="str">
        <f aca="false">IF(B3973="TV Show",IFERROR(VALUE(LEFT(I3973,FIND(" ",I3973)-1)),""),"")</f>
        <v/>
      </c>
      <c r="P3973" s="7" t="n">
        <f aca="false">IF(K3973="","",K3973-G3973)</f>
        <v>9</v>
      </c>
    </row>
    <row r="3974" customFormat="false" ht="15" hidden="false" customHeight="false" outlineLevel="0" collapsed="false">
      <c r="A3974" s="7" t="n">
        <v>80082749</v>
      </c>
      <c r="B3974" s="7" t="s">
        <v>68</v>
      </c>
      <c r="C3974" s="7" t="s">
        <v>8228</v>
      </c>
      <c r="D3974" s="7" t="s">
        <v>8229</v>
      </c>
      <c r="E3974" s="7" t="s">
        <v>1081</v>
      </c>
      <c r="F3974" s="7" t="s">
        <v>8230</v>
      </c>
      <c r="G3974" s="7" t="n">
        <v>2015</v>
      </c>
      <c r="H3974" s="7" t="s">
        <v>53</v>
      </c>
      <c r="I3974" s="7" t="s">
        <v>790</v>
      </c>
      <c r="J3974" s="7" t="s">
        <v>188</v>
      </c>
      <c r="K3974" s="7" t="n">
        <f aca="false">IFERROR(VALUE(RIGHT(TRIM(F3974),4)),"")</f>
        <v>2017</v>
      </c>
      <c r="L3974" s="7" t="str">
        <f aca="false">IF(TRIM(E3974)="","Unknown",IFERROR(LEFT(TRIM(E3974),FIND(",",TRIM(E3974))-1),TRIM(E3974)))</f>
        <v>Germany</v>
      </c>
      <c r="M3974" s="7" t="str">
        <f aca="false">IFERROR(LEFT(J3974,FIND(",",J3974)-1),J3974)</f>
        <v>Dramas</v>
      </c>
      <c r="N3974" s="7" t="n">
        <f aca="false">IF(B3974="Movie",IFERROR(VALUE(LEFT(I3974,FIND(" ",I3974)-1)),""),"")</f>
        <v>109</v>
      </c>
      <c r="O3974" s="7" t="str">
        <f aca="false">IF(B3974="TV Show",IFERROR(VALUE(LEFT(I3974,FIND(" ",I3974)-1)),""),"")</f>
        <v/>
      </c>
      <c r="P3974" s="7" t="n">
        <f aca="false">IF(K3974="","",K3974-G3974)</f>
        <v>2</v>
      </c>
    </row>
    <row r="3975" customFormat="false" ht="15" hidden="false" customHeight="false" outlineLevel="0" collapsed="false">
      <c r="A3975" s="7" t="n">
        <v>80065214</v>
      </c>
      <c r="B3975" s="7" t="s">
        <v>68</v>
      </c>
      <c r="C3975" s="7" t="s">
        <v>8231</v>
      </c>
      <c r="D3975" s="7" t="s">
        <v>8232</v>
      </c>
      <c r="E3975" s="7" t="s">
        <v>26</v>
      </c>
      <c r="F3975" s="7" t="s">
        <v>8230</v>
      </c>
      <c r="G3975" s="7" t="n">
        <v>2015</v>
      </c>
      <c r="H3975" s="7" t="s">
        <v>49</v>
      </c>
      <c r="I3975" s="7" t="s">
        <v>143</v>
      </c>
      <c r="J3975" s="7" t="s">
        <v>150</v>
      </c>
      <c r="K3975" s="7" t="n">
        <f aca="false">IFERROR(VALUE(RIGHT(TRIM(F3975),4)),"")</f>
        <v>2017</v>
      </c>
      <c r="L3975" s="7" t="str">
        <f aca="false">IF(TRIM(E3975)="","Unknown",IFERROR(LEFT(TRIM(E3975),FIND(",",TRIM(E3975))-1),TRIM(E3975)))</f>
        <v>United States</v>
      </c>
      <c r="M3975" s="7" t="str">
        <f aca="false">IFERROR(LEFT(J3975,FIND(",",J3975)-1),J3975)</f>
        <v>Dramas</v>
      </c>
      <c r="N3975" s="7" t="n">
        <f aca="false">IF(B3975="Movie",IFERROR(VALUE(LEFT(I3975,FIND(" ",I3975)-1)),""),"")</f>
        <v>79</v>
      </c>
      <c r="O3975" s="7" t="str">
        <f aca="false">IF(B3975="TV Show",IFERROR(VALUE(LEFT(I3975,FIND(" ",I3975)-1)),""),"")</f>
        <v/>
      </c>
      <c r="P3975" s="7" t="n">
        <f aca="false">IF(K3975="","",K3975-G3975)</f>
        <v>2</v>
      </c>
    </row>
    <row r="3976" customFormat="false" ht="15" hidden="false" customHeight="false" outlineLevel="0" collapsed="false">
      <c r="A3976" s="7" t="n">
        <v>80152155</v>
      </c>
      <c r="B3976" s="7" t="s">
        <v>68</v>
      </c>
      <c r="C3976" s="7" t="s">
        <v>8233</v>
      </c>
      <c r="D3976" s="7" t="s">
        <v>8234</v>
      </c>
      <c r="E3976" s="7" t="s">
        <v>855</v>
      </c>
      <c r="F3976" s="7" t="s">
        <v>8230</v>
      </c>
      <c r="G3976" s="7" t="n">
        <v>2016</v>
      </c>
      <c r="H3976" s="7" t="s">
        <v>48</v>
      </c>
      <c r="I3976" s="7" t="s">
        <v>264</v>
      </c>
      <c r="J3976" s="7" t="s">
        <v>202</v>
      </c>
      <c r="K3976" s="7" t="n">
        <f aca="false">IFERROR(VALUE(RIGHT(TRIM(F3976),4)),"")</f>
        <v>2017</v>
      </c>
      <c r="L3976" s="7" t="str">
        <f aca="false">IF(TRIM(E3976)="","Unknown",IFERROR(LEFT(TRIM(E3976),FIND(",",TRIM(E3976))-1),TRIM(E3976)))</f>
        <v>Italy</v>
      </c>
      <c r="M3976" s="7" t="str">
        <f aca="false">IFERROR(LEFT(J3976,FIND(",",J3976)-1),J3976)</f>
        <v>Comedies</v>
      </c>
      <c r="N3976" s="7" t="n">
        <f aca="false">IF(B3976="Movie",IFERROR(VALUE(LEFT(I3976,FIND(" ",I3976)-1)),""),"")</f>
        <v>88</v>
      </c>
      <c r="O3976" s="7" t="str">
        <f aca="false">IF(B3976="TV Show",IFERROR(VALUE(LEFT(I3976,FIND(" ",I3976)-1)),""),"")</f>
        <v/>
      </c>
      <c r="P3976" s="7" t="n">
        <f aca="false">IF(K3976="","",K3976-G3976)</f>
        <v>1</v>
      </c>
    </row>
    <row r="3977" customFormat="false" ht="15" hidden="false" customHeight="false" outlineLevel="0" collapsed="false">
      <c r="A3977" s="7" t="n">
        <v>80158801</v>
      </c>
      <c r="B3977" s="7" t="s">
        <v>78</v>
      </c>
      <c r="C3977" s="7" t="s">
        <v>8235</v>
      </c>
      <c r="E3977" s="7" t="s">
        <v>32</v>
      </c>
      <c r="F3977" s="7" t="s">
        <v>8230</v>
      </c>
      <c r="G3977" s="7" t="n">
        <v>2016</v>
      </c>
      <c r="H3977" s="7" t="s">
        <v>49</v>
      </c>
      <c r="I3977" s="7" t="s">
        <v>82</v>
      </c>
      <c r="J3977" s="7" t="s">
        <v>852</v>
      </c>
      <c r="K3977" s="7" t="n">
        <f aca="false">IFERROR(VALUE(RIGHT(TRIM(F3977),4)),"")</f>
        <v>2017</v>
      </c>
      <c r="L3977" s="7" t="str">
        <f aca="false">IF(TRIM(E3977)="","Unknown",IFERROR(LEFT(TRIM(E3977),FIND(",",TRIM(E3977))-1),TRIM(E3977)))</f>
        <v>South Korea</v>
      </c>
      <c r="M3977" s="7" t="str">
        <f aca="false">IFERROR(LEFT(J3977,FIND(",",J3977)-1),J3977)</f>
        <v>International TV Shows</v>
      </c>
      <c r="N3977" s="7" t="str">
        <f aca="false">IF(B3977="Movie",IFERROR(VALUE(LEFT(I3977,FIND(" ",I3977)-1)),""),"")</f>
        <v/>
      </c>
      <c r="O3977" s="7" t="n">
        <f aca="false">IF(B3977="TV Show",IFERROR(VALUE(LEFT(I3977,FIND(" ",I3977)-1)),""),"")</f>
        <v>1</v>
      </c>
      <c r="P3977" s="7" t="n">
        <f aca="false">IF(K3977="","",K3977-G3977)</f>
        <v>1</v>
      </c>
    </row>
    <row r="3978" customFormat="false" ht="15" hidden="false" customHeight="false" outlineLevel="0" collapsed="false">
      <c r="A3978" s="7" t="n">
        <v>70137744</v>
      </c>
      <c r="B3978" s="7" t="s">
        <v>68</v>
      </c>
      <c r="C3978" s="7" t="s">
        <v>8236</v>
      </c>
      <c r="D3978" s="7" t="s">
        <v>8237</v>
      </c>
      <c r="E3978" s="7" t="s">
        <v>29</v>
      </c>
      <c r="F3978" s="7" t="s">
        <v>8230</v>
      </c>
      <c r="G3978" s="7" t="n">
        <v>2010</v>
      </c>
      <c r="H3978" s="7" t="s">
        <v>49</v>
      </c>
      <c r="I3978" s="7" t="s">
        <v>294</v>
      </c>
      <c r="J3978" s="7" t="s">
        <v>509</v>
      </c>
      <c r="K3978" s="7" t="n">
        <f aca="false">IFERROR(VALUE(RIGHT(TRIM(F3978),4)),"")</f>
        <v>2017</v>
      </c>
      <c r="L3978" s="7" t="str">
        <f aca="false">IF(TRIM(E3978)="","Unknown",IFERROR(LEFT(TRIM(E3978),FIND(",",TRIM(E3978))-1),TRIM(E3978)))</f>
        <v>Canada</v>
      </c>
      <c r="M3978" s="7" t="str">
        <f aca="false">IFERROR(LEFT(J3978,FIND(",",J3978)-1),J3978)</f>
        <v>Documentaries</v>
      </c>
      <c r="N3978" s="7" t="n">
        <f aca="false">IF(B3978="Movie",IFERROR(VALUE(LEFT(I3978,FIND(" ",I3978)-1)),""),"")</f>
        <v>107</v>
      </c>
      <c r="O3978" s="7" t="str">
        <f aca="false">IF(B3978="TV Show",IFERROR(VALUE(LEFT(I3978,FIND(" ",I3978)-1)),""),"")</f>
        <v/>
      </c>
      <c r="P3978" s="7" t="n">
        <f aca="false">IF(K3978="","",K3978-G3978)</f>
        <v>7</v>
      </c>
    </row>
    <row r="3979" customFormat="false" ht="15" hidden="false" customHeight="false" outlineLevel="0" collapsed="false">
      <c r="A3979" s="7" t="n">
        <v>80158803</v>
      </c>
      <c r="B3979" s="7" t="s">
        <v>78</v>
      </c>
      <c r="C3979" s="7" t="s">
        <v>8238</v>
      </c>
      <c r="E3979" s="7" t="s">
        <v>32</v>
      </c>
      <c r="F3979" s="7" t="s">
        <v>8230</v>
      </c>
      <c r="G3979" s="7" t="n">
        <v>2016</v>
      </c>
      <c r="H3979" s="7" t="s">
        <v>49</v>
      </c>
      <c r="I3979" s="7" t="s">
        <v>82</v>
      </c>
      <c r="J3979" s="7" t="s">
        <v>637</v>
      </c>
      <c r="K3979" s="7" t="n">
        <f aca="false">IFERROR(VALUE(RIGHT(TRIM(F3979),4)),"")</f>
        <v>2017</v>
      </c>
      <c r="L3979" s="7" t="str">
        <f aca="false">IF(TRIM(E3979)="","Unknown",IFERROR(LEFT(TRIM(E3979),FIND(",",TRIM(E3979))-1),TRIM(E3979)))</f>
        <v>South Korea</v>
      </c>
      <c r="M3979" s="7" t="str">
        <f aca="false">IFERROR(LEFT(J3979,FIND(",",J3979)-1),J3979)</f>
        <v>International TV Shows</v>
      </c>
      <c r="N3979" s="7" t="str">
        <f aca="false">IF(B3979="Movie",IFERROR(VALUE(LEFT(I3979,FIND(" ",I3979)-1)),""),"")</f>
        <v/>
      </c>
      <c r="O3979" s="7" t="n">
        <f aca="false">IF(B3979="TV Show",IFERROR(VALUE(LEFT(I3979,FIND(" ",I3979)-1)),""),"")</f>
        <v>1</v>
      </c>
      <c r="P3979" s="7" t="n">
        <f aca="false">IF(K3979="","",K3979-G3979)</f>
        <v>1</v>
      </c>
    </row>
    <row r="3980" customFormat="false" ht="15" hidden="false" customHeight="false" outlineLevel="0" collapsed="false">
      <c r="A3980" s="7" t="n">
        <v>80167461</v>
      </c>
      <c r="B3980" s="7" t="s">
        <v>68</v>
      </c>
      <c r="C3980" s="7" t="s">
        <v>8239</v>
      </c>
      <c r="D3980" s="7" t="s">
        <v>8240</v>
      </c>
      <c r="E3980" s="7" t="s">
        <v>33</v>
      </c>
      <c r="F3980" s="7" t="s">
        <v>8230</v>
      </c>
      <c r="G3980" s="7" t="n">
        <v>2016</v>
      </c>
      <c r="H3980" s="7" t="s">
        <v>53</v>
      </c>
      <c r="I3980" s="7" t="s">
        <v>311</v>
      </c>
      <c r="J3980" s="7" t="s">
        <v>358</v>
      </c>
      <c r="K3980" s="7" t="n">
        <f aca="false">IFERROR(VALUE(RIGHT(TRIM(F3980),4)),"")</f>
        <v>2017</v>
      </c>
      <c r="L3980" s="7" t="str">
        <f aca="false">IF(TRIM(E3980)="","Unknown",IFERROR(LEFT(TRIM(E3980),FIND(",",TRIM(E3980))-1),TRIM(E3980)))</f>
        <v>Spain</v>
      </c>
      <c r="M3980" s="7" t="str">
        <f aca="false">IFERROR(LEFT(J3980,FIND(",",J3980)-1),J3980)</f>
        <v>International Movies</v>
      </c>
      <c r="N3980" s="7" t="n">
        <f aca="false">IF(B3980="Movie",IFERROR(VALUE(LEFT(I3980,FIND(" ",I3980)-1)),""),"")</f>
        <v>92</v>
      </c>
      <c r="O3980" s="7" t="str">
        <f aca="false">IF(B3980="TV Show",IFERROR(VALUE(LEFT(I3980,FIND(" ",I3980)-1)),""),"")</f>
        <v/>
      </c>
      <c r="P3980" s="7" t="n">
        <f aca="false">IF(K3980="","",K3980-G3980)</f>
        <v>1</v>
      </c>
    </row>
    <row r="3981" customFormat="false" ht="15" hidden="false" customHeight="false" outlineLevel="0" collapsed="false">
      <c r="A3981" s="7" t="n">
        <v>80157565</v>
      </c>
      <c r="B3981" s="7" t="s">
        <v>68</v>
      </c>
      <c r="C3981" s="7" t="s">
        <v>8241</v>
      </c>
      <c r="D3981" s="7" t="s">
        <v>8242</v>
      </c>
      <c r="E3981" s="7" t="s">
        <v>8243</v>
      </c>
      <c r="F3981" s="7" t="s">
        <v>8230</v>
      </c>
      <c r="G3981" s="7" t="n">
        <v>2015</v>
      </c>
      <c r="H3981" s="7" t="s">
        <v>53</v>
      </c>
      <c r="I3981" s="7" t="s">
        <v>264</v>
      </c>
      <c r="J3981" s="7" t="s">
        <v>304</v>
      </c>
      <c r="K3981" s="7" t="n">
        <f aca="false">IFERROR(VALUE(RIGHT(TRIM(F3981),4)),"")</f>
        <v>2017</v>
      </c>
      <c r="L3981" s="7" t="str">
        <f aca="false">IF(TRIM(E3981)="","Unknown",IFERROR(LEFT(TRIM(E3981),FIND(",",TRIM(E3981))-1),TRIM(E3981)))</f>
        <v>Chile</v>
      </c>
      <c r="M3981" s="7" t="str">
        <f aca="false">IFERROR(LEFT(J3981,FIND(",",J3981)-1),J3981)</f>
        <v>Dramas</v>
      </c>
      <c r="N3981" s="7" t="n">
        <f aca="false">IF(B3981="Movie",IFERROR(VALUE(LEFT(I3981,FIND(" ",I3981)-1)),""),"")</f>
        <v>88</v>
      </c>
      <c r="O3981" s="7" t="str">
        <f aca="false">IF(B3981="TV Show",IFERROR(VALUE(LEFT(I3981,FIND(" ",I3981)-1)),""),"")</f>
        <v/>
      </c>
      <c r="P3981" s="7" t="n">
        <f aca="false">IF(K3981="","",K3981-G3981)</f>
        <v>2</v>
      </c>
    </row>
    <row r="3982" customFormat="false" ht="15" hidden="false" customHeight="false" outlineLevel="0" collapsed="false">
      <c r="A3982" s="7" t="n">
        <v>80007215</v>
      </c>
      <c r="B3982" s="7" t="s">
        <v>68</v>
      </c>
      <c r="C3982" s="7" t="s">
        <v>8244</v>
      </c>
      <c r="D3982" s="7" t="s">
        <v>8245</v>
      </c>
      <c r="E3982" s="7" t="s">
        <v>8246</v>
      </c>
      <c r="F3982" s="7" t="s">
        <v>8247</v>
      </c>
      <c r="G3982" s="7" t="n">
        <v>2014</v>
      </c>
      <c r="H3982" s="7" t="s">
        <v>53</v>
      </c>
      <c r="I3982" s="7" t="s">
        <v>205</v>
      </c>
      <c r="J3982" s="7" t="s">
        <v>974</v>
      </c>
      <c r="K3982" s="7" t="n">
        <f aca="false">IFERROR(VALUE(RIGHT(TRIM(F3982),4)),"")</f>
        <v>2015</v>
      </c>
      <c r="L3982" s="7" t="str">
        <f aca="false">IF(TRIM(E3982)="","Unknown",IFERROR(LEFT(TRIM(E3982),FIND(",",TRIM(E3982))-1),TRIM(E3982)))</f>
        <v>Australia</v>
      </c>
      <c r="M3982" s="7" t="str">
        <f aca="false">IFERROR(LEFT(J3982,FIND(",",J3982)-1),J3982)</f>
        <v>Documentaries</v>
      </c>
      <c r="N3982" s="7" t="n">
        <f aca="false">IF(B3982="Movie",IFERROR(VALUE(LEFT(I3982,FIND(" ",I3982)-1)),""),"")</f>
        <v>100</v>
      </c>
      <c r="O3982" s="7" t="str">
        <f aca="false">IF(B3982="TV Show",IFERROR(VALUE(LEFT(I3982,FIND(" ",I3982)-1)),""),"")</f>
        <v/>
      </c>
      <c r="P3982" s="7" t="n">
        <f aca="false">IF(K3982="","",K3982-G3982)</f>
        <v>1</v>
      </c>
    </row>
    <row r="3983" customFormat="false" ht="15" hidden="false" customHeight="false" outlineLevel="0" collapsed="false">
      <c r="A3983" s="7" t="n">
        <v>80204889</v>
      </c>
      <c r="B3983" s="7" t="s">
        <v>78</v>
      </c>
      <c r="C3983" s="7" t="s">
        <v>8248</v>
      </c>
      <c r="F3983" s="7" t="s">
        <v>8249</v>
      </c>
      <c r="G3983" s="7" t="n">
        <v>2019</v>
      </c>
      <c r="H3983" s="7" t="s">
        <v>48</v>
      </c>
      <c r="I3983" s="7" t="s">
        <v>82</v>
      </c>
      <c r="J3983" s="7" t="s">
        <v>8250</v>
      </c>
      <c r="K3983" s="7" t="n">
        <f aca="false">IFERROR(VALUE(RIGHT(TRIM(F3983),4)),"")</f>
        <v>2019</v>
      </c>
      <c r="L3983" s="7" t="str">
        <f aca="false">IF(TRIM(E3983)="","Unknown",IFERROR(LEFT(TRIM(E3983),FIND(",",TRIM(E3983))-1),TRIM(E3983)))</f>
        <v>Unknown</v>
      </c>
      <c r="M3983" s="7" t="str">
        <f aca="false">IFERROR(LEFT(J3983,FIND(",",J3983)-1),J3983)</f>
        <v>Reality TV</v>
      </c>
      <c r="N3983" s="7" t="str">
        <f aca="false">IF(B3983="Movie",IFERROR(VALUE(LEFT(I3983,FIND(" ",I3983)-1)),""),"")</f>
        <v/>
      </c>
      <c r="O3983" s="7" t="n">
        <f aca="false">IF(B3983="TV Show",IFERROR(VALUE(LEFT(I3983,FIND(" ",I3983)-1)),""),"")</f>
        <v>1</v>
      </c>
      <c r="P3983" s="7" t="n">
        <f aca="false">IF(K3983="","",K3983-G3983)</f>
        <v>0</v>
      </c>
    </row>
    <row r="3984" customFormat="false" ht="15" hidden="false" customHeight="false" outlineLevel="0" collapsed="false">
      <c r="A3984" s="7" t="n">
        <v>81071972</v>
      </c>
      <c r="B3984" s="7" t="s">
        <v>68</v>
      </c>
      <c r="C3984" s="7" t="s">
        <v>8251</v>
      </c>
      <c r="D3984" s="7" t="s">
        <v>8252</v>
      </c>
      <c r="E3984" s="7" t="s">
        <v>26</v>
      </c>
      <c r="F3984" s="7" t="s">
        <v>8249</v>
      </c>
      <c r="G3984" s="7" t="n">
        <v>2017</v>
      </c>
      <c r="H3984" s="7" t="s">
        <v>48</v>
      </c>
      <c r="I3984" s="7" t="s">
        <v>1164</v>
      </c>
      <c r="J3984" s="7" t="s">
        <v>1533</v>
      </c>
      <c r="K3984" s="7" t="n">
        <f aca="false">IFERROR(VALUE(RIGHT(TRIM(F3984),4)),"")</f>
        <v>2019</v>
      </c>
      <c r="L3984" s="7" t="str">
        <f aca="false">IF(TRIM(E3984)="","Unknown",IFERROR(LEFT(TRIM(E3984),FIND(",",TRIM(E3984))-1),TRIM(E3984)))</f>
        <v>United States</v>
      </c>
      <c r="M3984" s="7" t="str">
        <f aca="false">IFERROR(LEFT(J3984,FIND(",",J3984)-1),J3984)</f>
        <v>Comedies</v>
      </c>
      <c r="N3984" s="7" t="n">
        <f aca="false">IF(B3984="Movie",IFERROR(VALUE(LEFT(I3984,FIND(" ",I3984)-1)),""),"")</f>
        <v>57</v>
      </c>
      <c r="O3984" s="7" t="str">
        <f aca="false">IF(B3984="TV Show",IFERROR(VALUE(LEFT(I3984,FIND(" ",I3984)-1)),""),"")</f>
        <v/>
      </c>
      <c r="P3984" s="7" t="n">
        <f aca="false">IF(K3984="","",K3984-G3984)</f>
        <v>2</v>
      </c>
    </row>
    <row r="3985" customFormat="false" ht="15" hidden="false" customHeight="false" outlineLevel="0" collapsed="false">
      <c r="A3985" s="7" t="n">
        <v>80244853</v>
      </c>
      <c r="B3985" s="7" t="s">
        <v>68</v>
      </c>
      <c r="C3985" s="7" t="s">
        <v>8253</v>
      </c>
      <c r="D3985" s="7" t="s">
        <v>7649</v>
      </c>
      <c r="E3985" s="7" t="s">
        <v>26</v>
      </c>
      <c r="F3985" s="7" t="s">
        <v>8249</v>
      </c>
      <c r="G3985" s="7" t="n">
        <v>2019</v>
      </c>
      <c r="H3985" s="7" t="s">
        <v>48</v>
      </c>
      <c r="I3985" s="7" t="s">
        <v>117</v>
      </c>
      <c r="J3985" s="7" t="s">
        <v>45</v>
      </c>
      <c r="K3985" s="7" t="n">
        <f aca="false">IFERROR(VALUE(RIGHT(TRIM(F3985),4)),"")</f>
        <v>2019</v>
      </c>
      <c r="L3985" s="7" t="str">
        <f aca="false">IF(TRIM(E3985)="","Unknown",IFERROR(LEFT(TRIM(E3985),FIND(",",TRIM(E3985))-1),TRIM(E3985)))</f>
        <v>United States</v>
      </c>
      <c r="M3985" s="7" t="str">
        <f aca="false">IFERROR(LEFT(J3985,FIND(",",J3985)-1),J3985)</f>
        <v>Stand-Up Comedy</v>
      </c>
      <c r="N3985" s="7" t="n">
        <f aca="false">IF(B3985="Movie",IFERROR(VALUE(LEFT(I3985,FIND(" ",I3985)-1)),""),"")</f>
        <v>62</v>
      </c>
      <c r="O3985" s="7" t="str">
        <f aca="false">IF(B3985="TV Show",IFERROR(VALUE(LEFT(I3985,FIND(" ",I3985)-1)),""),"")</f>
        <v/>
      </c>
      <c r="P3985" s="7" t="n">
        <f aca="false">IF(K3985="","",K3985-G3985)</f>
        <v>0</v>
      </c>
    </row>
    <row r="3986" customFormat="false" ht="15" hidden="false" customHeight="false" outlineLevel="0" collapsed="false">
      <c r="A3986" s="7" t="n">
        <v>80167498</v>
      </c>
      <c r="B3986" s="7" t="s">
        <v>68</v>
      </c>
      <c r="C3986" s="7" t="s">
        <v>8254</v>
      </c>
      <c r="D3986" s="7" t="s">
        <v>8255</v>
      </c>
      <c r="E3986" s="7" t="s">
        <v>26</v>
      </c>
      <c r="F3986" s="7" t="s">
        <v>8256</v>
      </c>
      <c r="G3986" s="7" t="n">
        <v>2018</v>
      </c>
      <c r="H3986" s="7" t="s">
        <v>48</v>
      </c>
      <c r="I3986" s="7" t="s">
        <v>120</v>
      </c>
      <c r="J3986" s="7" t="s">
        <v>45</v>
      </c>
      <c r="K3986" s="7" t="n">
        <f aca="false">IFERROR(VALUE(RIGHT(TRIM(F3986),4)),"")</f>
        <v>2018</v>
      </c>
      <c r="L3986" s="7" t="str">
        <f aca="false">IF(TRIM(E3986)="","Unknown",IFERROR(LEFT(TRIM(E3986),FIND(",",TRIM(E3986))-1),TRIM(E3986)))</f>
        <v>United States</v>
      </c>
      <c r="M3986" s="7" t="str">
        <f aca="false">IFERROR(LEFT(J3986,FIND(",",J3986)-1),J3986)</f>
        <v>Stand-Up Comedy</v>
      </c>
      <c r="N3986" s="7" t="n">
        <f aca="false">IF(B3986="Movie",IFERROR(VALUE(LEFT(I3986,FIND(" ",I3986)-1)),""),"")</f>
        <v>65</v>
      </c>
      <c r="O3986" s="7" t="str">
        <f aca="false">IF(B3986="TV Show",IFERROR(VALUE(LEFT(I3986,FIND(" ",I3986)-1)),""),"")</f>
        <v/>
      </c>
      <c r="P3986" s="7" t="n">
        <f aca="false">IF(K3986="","",K3986-G3986)</f>
        <v>0</v>
      </c>
    </row>
    <row r="3987" customFormat="false" ht="15" hidden="false" customHeight="false" outlineLevel="0" collapsed="false">
      <c r="A3987" s="7" t="n">
        <v>80227304</v>
      </c>
      <c r="B3987" s="7" t="s">
        <v>68</v>
      </c>
      <c r="C3987" s="7" t="s">
        <v>8257</v>
      </c>
      <c r="D3987" s="7" t="s">
        <v>8258</v>
      </c>
      <c r="E3987" s="7" t="s">
        <v>27</v>
      </c>
      <c r="F3987" s="7" t="s">
        <v>8256</v>
      </c>
      <c r="G3987" s="7" t="n">
        <v>2018</v>
      </c>
      <c r="H3987" s="7" t="s">
        <v>49</v>
      </c>
      <c r="I3987" s="7" t="s">
        <v>201</v>
      </c>
      <c r="J3987" s="7" t="s">
        <v>206</v>
      </c>
      <c r="K3987" s="7" t="n">
        <f aca="false">IFERROR(VALUE(RIGHT(TRIM(F3987),4)),"")</f>
        <v>2018</v>
      </c>
      <c r="L3987" s="7" t="str">
        <f aca="false">IF(TRIM(E3987)="","Unknown",IFERROR(LEFT(TRIM(E3987),FIND(",",TRIM(E3987))-1),TRIM(E3987)))</f>
        <v>India</v>
      </c>
      <c r="M3987" s="7" t="str">
        <f aca="false">IFERROR(LEFT(J3987,FIND(",",J3987)-1),J3987)</f>
        <v>Comedies</v>
      </c>
      <c r="N3987" s="7" t="n">
        <f aca="false">IF(B3987="Movie",IFERROR(VALUE(LEFT(I3987,FIND(" ",I3987)-1)),""),"")</f>
        <v>133</v>
      </c>
      <c r="O3987" s="7" t="str">
        <f aca="false">IF(B3987="TV Show",IFERROR(VALUE(LEFT(I3987,FIND(" ",I3987)-1)),""),"")</f>
        <v/>
      </c>
      <c r="P3987" s="7" t="n">
        <f aca="false">IF(K3987="","",K3987-G3987)</f>
        <v>0</v>
      </c>
    </row>
    <row r="3988" customFormat="false" ht="15" hidden="false" customHeight="false" outlineLevel="0" collapsed="false">
      <c r="A3988" s="7" t="n">
        <v>80118913</v>
      </c>
      <c r="B3988" s="7" t="s">
        <v>78</v>
      </c>
      <c r="C3988" s="7" t="s">
        <v>8259</v>
      </c>
      <c r="E3988" s="7" t="s">
        <v>26</v>
      </c>
      <c r="F3988" s="7" t="s">
        <v>8256</v>
      </c>
      <c r="G3988" s="7" t="n">
        <v>2018</v>
      </c>
      <c r="H3988" s="7" t="s">
        <v>48</v>
      </c>
      <c r="I3988" s="7" t="s">
        <v>82</v>
      </c>
      <c r="J3988" s="7" t="s">
        <v>164</v>
      </c>
      <c r="K3988" s="7" t="n">
        <f aca="false">IFERROR(VALUE(RIGHT(TRIM(F3988),4)),"")</f>
        <v>2018</v>
      </c>
      <c r="L3988" s="7" t="str">
        <f aca="false">IF(TRIM(E3988)="","Unknown",IFERROR(LEFT(TRIM(E3988),FIND(",",TRIM(E3988))-1),TRIM(E3988)))</f>
        <v>United States</v>
      </c>
      <c r="M3988" s="7" t="str">
        <f aca="false">IFERROR(LEFT(J3988,FIND(",",J3988)-1),J3988)</f>
        <v>Docuseries</v>
      </c>
      <c r="N3988" s="7" t="str">
        <f aca="false">IF(B3988="Movie",IFERROR(VALUE(LEFT(I3988,FIND(" ",I3988)-1)),""),"")</f>
        <v/>
      </c>
      <c r="O3988" s="7" t="n">
        <f aca="false">IF(B3988="TV Show",IFERROR(VALUE(LEFT(I3988,FIND(" ",I3988)-1)),""),"")</f>
        <v>1</v>
      </c>
      <c r="P3988" s="7" t="n">
        <f aca="false">IF(K3988="","",K3988-G3988)</f>
        <v>0</v>
      </c>
    </row>
    <row r="3989" customFormat="false" ht="15" hidden="false" customHeight="false" outlineLevel="0" collapsed="false">
      <c r="A3989" s="7" t="n">
        <v>80081987</v>
      </c>
      <c r="B3989" s="7" t="s">
        <v>68</v>
      </c>
      <c r="C3989" s="7" t="s">
        <v>8260</v>
      </c>
      <c r="D3989" s="7" t="s">
        <v>8261</v>
      </c>
      <c r="E3989" s="7" t="s">
        <v>26</v>
      </c>
      <c r="F3989" s="7" t="s">
        <v>8262</v>
      </c>
      <c r="G3989" s="7" t="n">
        <v>2017</v>
      </c>
      <c r="H3989" s="7" t="s">
        <v>48</v>
      </c>
      <c r="I3989" s="7" t="s">
        <v>861</v>
      </c>
      <c r="J3989" s="7" t="s">
        <v>1533</v>
      </c>
      <c r="K3989" s="7" t="n">
        <f aca="false">IFERROR(VALUE(RIGHT(TRIM(F3989),4)),"")</f>
        <v>2017</v>
      </c>
      <c r="L3989" s="7" t="str">
        <f aca="false">IF(TRIM(E3989)="","Unknown",IFERROR(LEFT(TRIM(E3989),FIND(",",TRIM(E3989))-1),TRIM(E3989)))</f>
        <v>United States</v>
      </c>
      <c r="M3989" s="7" t="str">
        <f aca="false">IFERROR(LEFT(J3989,FIND(",",J3989)-1),J3989)</f>
        <v>Comedies</v>
      </c>
      <c r="N3989" s="7" t="n">
        <f aca="false">IF(B3989="Movie",IFERROR(VALUE(LEFT(I3989,FIND(" ",I3989)-1)),""),"")</f>
        <v>71</v>
      </c>
      <c r="O3989" s="7" t="str">
        <f aca="false">IF(B3989="TV Show",IFERROR(VALUE(LEFT(I3989,FIND(" ",I3989)-1)),""),"")</f>
        <v/>
      </c>
      <c r="P3989" s="7" t="n">
        <f aca="false">IF(K3989="","",K3989-G3989)</f>
        <v>0</v>
      </c>
    </row>
    <row r="3990" customFormat="false" ht="15" hidden="false" customHeight="false" outlineLevel="0" collapsed="false">
      <c r="A3990" s="7" t="n">
        <v>80134968</v>
      </c>
      <c r="B3990" s="7" t="s">
        <v>68</v>
      </c>
      <c r="C3990" s="7" t="s">
        <v>8263</v>
      </c>
      <c r="D3990" s="7" t="s">
        <v>8264</v>
      </c>
      <c r="E3990" s="7" t="s">
        <v>28</v>
      </c>
      <c r="F3990" s="7" t="s">
        <v>8262</v>
      </c>
      <c r="G3990" s="7" t="n">
        <v>2017</v>
      </c>
      <c r="H3990" s="7" t="s">
        <v>48</v>
      </c>
      <c r="I3990" s="7" t="s">
        <v>286</v>
      </c>
      <c r="J3990" s="7" t="s">
        <v>45</v>
      </c>
      <c r="K3990" s="7" t="n">
        <f aca="false">IFERROR(VALUE(RIGHT(TRIM(F3990),4)),"")</f>
        <v>2017</v>
      </c>
      <c r="L3990" s="7" t="str">
        <f aca="false">IF(TRIM(E3990)="","Unknown",IFERROR(LEFT(TRIM(E3990),FIND(",",TRIM(E3990))-1),TRIM(E3990)))</f>
        <v>United Kingdom</v>
      </c>
      <c r="M3990" s="7" t="str">
        <f aca="false">IFERROR(LEFT(J3990,FIND(",",J3990)-1),J3990)</f>
        <v>Stand-Up Comedy</v>
      </c>
      <c r="N3990" s="7" t="n">
        <f aca="false">IF(B3990="Movie",IFERROR(VALUE(LEFT(I3990,FIND(" ",I3990)-1)),""),"")</f>
        <v>64</v>
      </c>
      <c r="O3990" s="7" t="str">
        <f aca="false">IF(B3990="TV Show",IFERROR(VALUE(LEFT(I3990,FIND(" ",I3990)-1)),""),"")</f>
        <v/>
      </c>
      <c r="P3990" s="7" t="n">
        <f aca="false">IF(K3990="","",K3990-G3990)</f>
        <v>0</v>
      </c>
    </row>
    <row r="3991" customFormat="false" ht="15" hidden="false" customHeight="false" outlineLevel="0" collapsed="false">
      <c r="A3991" s="7" t="n">
        <v>80134887</v>
      </c>
      <c r="B3991" s="7" t="s">
        <v>68</v>
      </c>
      <c r="C3991" s="7" t="s">
        <v>8265</v>
      </c>
      <c r="D3991" s="7" t="s">
        <v>8266</v>
      </c>
      <c r="E3991" s="7" t="s">
        <v>34</v>
      </c>
      <c r="F3991" s="7" t="s">
        <v>8262</v>
      </c>
      <c r="G3991" s="7" t="n">
        <v>2016</v>
      </c>
      <c r="H3991" s="7" t="s">
        <v>48</v>
      </c>
      <c r="I3991" s="7" t="s">
        <v>524</v>
      </c>
      <c r="J3991" s="7" t="s">
        <v>217</v>
      </c>
      <c r="K3991" s="7" t="n">
        <f aca="false">IFERROR(VALUE(RIGHT(TRIM(F3991),4)),"")</f>
        <v>2017</v>
      </c>
      <c r="L3991" s="7" t="str">
        <f aca="false">IF(TRIM(E3991)="","Unknown",IFERROR(LEFT(TRIM(E3991),FIND(",",TRIM(E3991))-1),TRIM(E3991)))</f>
        <v>Mexico</v>
      </c>
      <c r="M3991" s="7" t="str">
        <f aca="false">IFERROR(LEFT(J3991,FIND(",",J3991)-1),J3991)</f>
        <v>Comedies</v>
      </c>
      <c r="N3991" s="7" t="n">
        <f aca="false">IF(B3991="Movie",IFERROR(VALUE(LEFT(I3991,FIND(" ",I3991)-1)),""),"")</f>
        <v>83</v>
      </c>
      <c r="O3991" s="7" t="str">
        <f aca="false">IF(B3991="TV Show",IFERROR(VALUE(LEFT(I3991,FIND(" ",I3991)-1)),""),"")</f>
        <v/>
      </c>
      <c r="P3991" s="7" t="n">
        <f aca="false">IF(K3991="","",K3991-G3991)</f>
        <v>1</v>
      </c>
    </row>
    <row r="3992" customFormat="false" ht="15" hidden="false" customHeight="false" outlineLevel="0" collapsed="false">
      <c r="A3992" s="7" t="n">
        <v>80150604</v>
      </c>
      <c r="B3992" s="7" t="s">
        <v>78</v>
      </c>
      <c r="C3992" s="7" t="s">
        <v>8267</v>
      </c>
      <c r="E3992" s="7" t="s">
        <v>32</v>
      </c>
      <c r="F3992" s="7" t="s">
        <v>8262</v>
      </c>
      <c r="G3992" s="7" t="n">
        <v>2016</v>
      </c>
      <c r="H3992" s="7" t="s">
        <v>49</v>
      </c>
      <c r="I3992" s="7" t="s">
        <v>82</v>
      </c>
      <c r="J3992" s="7" t="s">
        <v>852</v>
      </c>
      <c r="K3992" s="7" t="n">
        <f aca="false">IFERROR(VALUE(RIGHT(TRIM(F3992),4)),"")</f>
        <v>2017</v>
      </c>
      <c r="L3992" s="7" t="str">
        <f aca="false">IF(TRIM(E3992)="","Unknown",IFERROR(LEFT(TRIM(E3992),FIND(",",TRIM(E3992))-1),TRIM(E3992)))</f>
        <v>South Korea</v>
      </c>
      <c r="M3992" s="7" t="str">
        <f aca="false">IFERROR(LEFT(J3992,FIND(",",J3992)-1),J3992)</f>
        <v>International TV Shows</v>
      </c>
      <c r="N3992" s="7" t="str">
        <f aca="false">IF(B3992="Movie",IFERROR(VALUE(LEFT(I3992,FIND(" ",I3992)-1)),""),"")</f>
        <v/>
      </c>
      <c r="O3992" s="7" t="n">
        <f aca="false">IF(B3992="TV Show",IFERROR(VALUE(LEFT(I3992,FIND(" ",I3992)-1)),""),"")</f>
        <v>1</v>
      </c>
      <c r="P3992" s="7" t="n">
        <f aca="false">IF(K3992="","",K3992-G3992)</f>
        <v>1</v>
      </c>
    </row>
    <row r="3993" customFormat="false" ht="15" hidden="false" customHeight="false" outlineLevel="0" collapsed="false">
      <c r="A3993" s="7" t="n">
        <v>80046696</v>
      </c>
      <c r="B3993" s="7" t="s">
        <v>68</v>
      </c>
      <c r="C3993" s="7" t="s">
        <v>8268</v>
      </c>
      <c r="D3993" s="7" t="s">
        <v>8269</v>
      </c>
      <c r="E3993" s="7" t="s">
        <v>26</v>
      </c>
      <c r="F3993" s="7" t="s">
        <v>8270</v>
      </c>
      <c r="G3993" s="7" t="n">
        <v>2015</v>
      </c>
      <c r="H3993" s="7" t="s">
        <v>51</v>
      </c>
      <c r="I3993" s="7" t="s">
        <v>111</v>
      </c>
      <c r="J3993" s="7" t="s">
        <v>2761</v>
      </c>
      <c r="K3993" s="7" t="n">
        <f aca="false">IFERROR(VALUE(RIGHT(TRIM(F3993),4)),"")</f>
        <v>2016</v>
      </c>
      <c r="L3993" s="7" t="str">
        <f aca="false">IF(TRIM(E3993)="","Unknown",IFERROR(LEFT(TRIM(E3993),FIND(",",TRIM(E3993))-1),TRIM(E3993)))</f>
        <v>United States</v>
      </c>
      <c r="M3993" s="7" t="str">
        <f aca="false">IFERROR(LEFT(J3993,FIND(",",J3993)-1),J3993)</f>
        <v>Comedies</v>
      </c>
      <c r="N3993" s="7" t="n">
        <f aca="false">IF(B3993="Movie",IFERROR(VALUE(LEFT(I3993,FIND(" ",I3993)-1)),""),"")</f>
        <v>95</v>
      </c>
      <c r="O3993" s="7" t="str">
        <f aca="false">IF(B3993="TV Show",IFERROR(VALUE(LEFT(I3993,FIND(" ",I3993)-1)),""),"")</f>
        <v/>
      </c>
      <c r="P3993" s="7" t="n">
        <f aca="false">IF(K3993="","",K3993-G3993)</f>
        <v>1</v>
      </c>
    </row>
    <row r="3994" customFormat="false" ht="15" hidden="false" customHeight="false" outlineLevel="0" collapsed="false">
      <c r="A3994" s="7" t="n">
        <v>70118368</v>
      </c>
      <c r="B3994" s="7" t="s">
        <v>68</v>
      </c>
      <c r="C3994" s="7" t="s">
        <v>8271</v>
      </c>
      <c r="D3994" s="7" t="s">
        <v>1900</v>
      </c>
      <c r="E3994" s="7" t="s">
        <v>362</v>
      </c>
      <c r="F3994" s="7" t="s">
        <v>8272</v>
      </c>
      <c r="G3994" s="7" t="n">
        <v>2009</v>
      </c>
      <c r="H3994" s="7" t="s">
        <v>51</v>
      </c>
      <c r="I3994" s="7" t="s">
        <v>168</v>
      </c>
      <c r="J3994" s="7" t="s">
        <v>112</v>
      </c>
      <c r="K3994" s="7" t="n">
        <f aca="false">IFERROR(VALUE(RIGHT(TRIM(F3994),4)),"")</f>
        <v>2019</v>
      </c>
      <c r="L3994" s="7" t="str">
        <f aca="false">IF(TRIM(E3994)="","Unknown",IFERROR(LEFT(TRIM(E3994),FIND(",",TRIM(E3994))-1),TRIM(E3994)))</f>
        <v>Indonesia</v>
      </c>
      <c r="M3994" s="7" t="str">
        <f aca="false">IFERROR(LEFT(J3994,FIND(",",J3994)-1),J3994)</f>
        <v>Action &amp; Adventure</v>
      </c>
      <c r="N3994" s="7" t="n">
        <f aca="false">IF(B3994="Movie",IFERROR(VALUE(LEFT(I3994,FIND(" ",I3994)-1)),""),"")</f>
        <v>112</v>
      </c>
      <c r="O3994" s="7" t="str">
        <f aca="false">IF(B3994="TV Show",IFERROR(VALUE(LEFT(I3994,FIND(" ",I3994)-1)),""),"")</f>
        <v/>
      </c>
      <c r="P3994" s="7" t="n">
        <f aca="false">IF(K3994="","",K3994-G3994)</f>
        <v>10</v>
      </c>
    </row>
    <row r="3995" customFormat="false" ht="15" hidden="false" customHeight="false" outlineLevel="0" collapsed="false">
      <c r="A3995" s="7" t="n">
        <v>80168084</v>
      </c>
      <c r="B3995" s="7" t="s">
        <v>68</v>
      </c>
      <c r="C3995" s="7" t="s">
        <v>8273</v>
      </c>
      <c r="D3995" s="7" t="s">
        <v>8274</v>
      </c>
      <c r="E3995" s="7" t="s">
        <v>8275</v>
      </c>
      <c r="F3995" s="7" t="s">
        <v>8276</v>
      </c>
      <c r="G3995" s="7" t="n">
        <v>2017</v>
      </c>
      <c r="H3995" s="7" t="s">
        <v>48</v>
      </c>
      <c r="I3995" s="7" t="s">
        <v>93</v>
      </c>
      <c r="J3995" s="7" t="s">
        <v>39</v>
      </c>
      <c r="K3995" s="7" t="n">
        <f aca="false">IFERROR(VALUE(RIGHT(TRIM(F3995),4)),"")</f>
        <v>2018</v>
      </c>
      <c r="L3995" s="7" t="str">
        <f aca="false">IF(TRIM(E3995)="","Unknown",IFERROR(LEFT(TRIM(E3995),FIND(",",TRIM(E3995))-1),TRIM(E3995)))</f>
        <v>United Kingdom</v>
      </c>
      <c r="M3995" s="7" t="str">
        <f aca="false">IFERROR(LEFT(J3995,FIND(",",J3995)-1),J3995)</f>
        <v>Documentaries</v>
      </c>
      <c r="N3995" s="7" t="n">
        <f aca="false">IF(B3995="Movie",IFERROR(VALUE(LEFT(I3995,FIND(" ",I3995)-1)),""),"")</f>
        <v>110</v>
      </c>
      <c r="O3995" s="7" t="str">
        <f aca="false">IF(B3995="TV Show",IFERROR(VALUE(LEFT(I3995,FIND(" ",I3995)-1)),""),"")</f>
        <v/>
      </c>
      <c r="P3995" s="7" t="n">
        <f aca="false">IF(K3995="","",K3995-G3995)</f>
        <v>1</v>
      </c>
    </row>
    <row r="3996" customFormat="false" ht="15" hidden="false" customHeight="false" outlineLevel="0" collapsed="false">
      <c r="A3996" s="7" t="n">
        <v>80038290</v>
      </c>
      <c r="B3996" s="7" t="s">
        <v>68</v>
      </c>
      <c r="C3996" s="7" t="s">
        <v>8277</v>
      </c>
      <c r="E3996" s="7" t="s">
        <v>26</v>
      </c>
      <c r="F3996" s="7" t="s">
        <v>8278</v>
      </c>
      <c r="G3996" s="7" t="n">
        <v>2015</v>
      </c>
      <c r="H3996" s="7" t="s">
        <v>53</v>
      </c>
      <c r="I3996" s="7" t="s">
        <v>1131</v>
      </c>
      <c r="J3996" s="7" t="s">
        <v>39</v>
      </c>
      <c r="K3996" s="7" t="n">
        <f aca="false">IFERROR(VALUE(RIGHT(TRIM(F3996),4)),"")</f>
        <v>2015</v>
      </c>
      <c r="L3996" s="7" t="str">
        <f aca="false">IF(TRIM(E3996)="","Unknown",IFERROR(LEFT(TRIM(E3996),FIND(",",TRIM(E3996))-1),TRIM(E3996)))</f>
        <v>United States</v>
      </c>
      <c r="M3996" s="7" t="str">
        <f aca="false">IFERROR(LEFT(J3996,FIND(",",J3996)-1),J3996)</f>
        <v>Documentaries</v>
      </c>
      <c r="N3996" s="7" t="n">
        <f aca="false">IF(B3996="Movie",IFERROR(VALUE(LEFT(I3996,FIND(" ",I3996)-1)),""),"")</f>
        <v>29</v>
      </c>
      <c r="O3996" s="7" t="str">
        <f aca="false">IF(B3996="TV Show",IFERROR(VALUE(LEFT(I3996,FIND(" ",I3996)-1)),""),"")</f>
        <v/>
      </c>
      <c r="P3996" s="7" t="n">
        <f aca="false">IF(K3996="","",K3996-G3996)</f>
        <v>0</v>
      </c>
    </row>
    <row r="3997" customFormat="false" ht="15" hidden="false" customHeight="false" outlineLevel="0" collapsed="false">
      <c r="A3997" s="7" t="n">
        <v>81074663</v>
      </c>
      <c r="B3997" s="7" t="s">
        <v>68</v>
      </c>
      <c r="C3997" s="7" t="s">
        <v>8279</v>
      </c>
      <c r="D3997" s="7" t="s">
        <v>8280</v>
      </c>
      <c r="E3997" s="7" t="s">
        <v>26</v>
      </c>
      <c r="F3997" s="7" t="s">
        <v>8281</v>
      </c>
      <c r="G3997" s="7" t="n">
        <v>2018</v>
      </c>
      <c r="H3997" s="7" t="s">
        <v>50</v>
      </c>
      <c r="I3997" s="7" t="s">
        <v>6535</v>
      </c>
      <c r="J3997" s="7" t="s">
        <v>39</v>
      </c>
      <c r="K3997" s="7" t="n">
        <f aca="false">IFERROR(VALUE(RIGHT(TRIM(F3997),4)),"")</f>
        <v>2019</v>
      </c>
      <c r="L3997" s="7" t="str">
        <f aca="false">IF(TRIM(E3997)="","Unknown",IFERROR(LEFT(TRIM(E3997),FIND(",",TRIM(E3997))-1),TRIM(E3997)))</f>
        <v>United States</v>
      </c>
      <c r="M3997" s="7" t="str">
        <f aca="false">IFERROR(LEFT(J3997,FIND(",",J3997)-1),J3997)</f>
        <v>Documentaries</v>
      </c>
      <c r="N3997" s="7" t="n">
        <f aca="false">IF(B3997="Movie",IFERROR(VALUE(LEFT(I3997,FIND(" ",I3997)-1)),""),"")</f>
        <v>26</v>
      </c>
      <c r="O3997" s="7" t="str">
        <f aca="false">IF(B3997="TV Show",IFERROR(VALUE(LEFT(I3997,FIND(" ",I3997)-1)),""),"")</f>
        <v/>
      </c>
      <c r="P3997" s="7" t="n">
        <f aca="false">IF(K3997="","",K3997-G3997)</f>
        <v>1</v>
      </c>
    </row>
    <row r="3998" customFormat="false" ht="15" hidden="false" customHeight="false" outlineLevel="0" collapsed="false">
      <c r="A3998" s="7" t="n">
        <v>81012294</v>
      </c>
      <c r="B3998" s="7" t="s">
        <v>68</v>
      </c>
      <c r="C3998" s="7" t="s">
        <v>8282</v>
      </c>
      <c r="D3998" s="7" t="s">
        <v>8283</v>
      </c>
      <c r="E3998" s="7" t="s">
        <v>411</v>
      </c>
      <c r="F3998" s="7" t="s">
        <v>8281</v>
      </c>
      <c r="G3998" s="7" t="n">
        <v>2015</v>
      </c>
      <c r="H3998" s="7" t="s">
        <v>48</v>
      </c>
      <c r="I3998" s="7" t="s">
        <v>181</v>
      </c>
      <c r="J3998" s="7" t="s">
        <v>188</v>
      </c>
      <c r="K3998" s="7" t="n">
        <f aca="false">IFERROR(VALUE(RIGHT(TRIM(F3998),4)),"")</f>
        <v>2019</v>
      </c>
      <c r="L3998" s="7" t="str">
        <f aca="false">IF(TRIM(E3998)="","Unknown",IFERROR(LEFT(TRIM(E3998),FIND(",",TRIM(E3998))-1),TRIM(E3998)))</f>
        <v>Hong Kong</v>
      </c>
      <c r="M3998" s="7" t="str">
        <f aca="false">IFERROR(LEFT(J3998,FIND(",",J3998)-1),J3998)</f>
        <v>Dramas</v>
      </c>
      <c r="N3998" s="7" t="n">
        <f aca="false">IF(B3998="Movie",IFERROR(VALUE(LEFT(I3998,FIND(" ",I3998)-1)),""),"")</f>
        <v>102</v>
      </c>
      <c r="O3998" s="7" t="str">
        <f aca="false">IF(B3998="TV Show",IFERROR(VALUE(LEFT(I3998,FIND(" ",I3998)-1)),""),"")</f>
        <v/>
      </c>
      <c r="P3998" s="7" t="n">
        <f aca="false">IF(K3998="","",K3998-G3998)</f>
        <v>4</v>
      </c>
    </row>
    <row r="3999" customFormat="false" ht="15" hidden="false" customHeight="false" outlineLevel="0" collapsed="false">
      <c r="A3999" s="7" t="n">
        <v>80013293</v>
      </c>
      <c r="B3999" s="7" t="s">
        <v>68</v>
      </c>
      <c r="C3999" s="7" t="s">
        <v>8284</v>
      </c>
      <c r="D3999" s="7" t="s">
        <v>8285</v>
      </c>
      <c r="E3999" s="7" t="s">
        <v>8286</v>
      </c>
      <c r="F3999" s="7" t="s">
        <v>8287</v>
      </c>
      <c r="G3999" s="7" t="n">
        <v>2014</v>
      </c>
      <c r="H3999" s="7" t="s">
        <v>51</v>
      </c>
      <c r="I3999" s="7" t="s">
        <v>549</v>
      </c>
      <c r="J3999" s="7" t="s">
        <v>304</v>
      </c>
      <c r="K3999" s="7" t="n">
        <f aca="false">IFERROR(VALUE(RIGHT(TRIM(F3999),4)),"")</f>
        <v>2017</v>
      </c>
      <c r="L3999" s="7" t="str">
        <f aca="false">IF(TRIM(E3999)="","Unknown",IFERROR(LEFT(TRIM(E3999),FIND(",",TRIM(E3999))-1),TRIM(E3999)))</f>
        <v>France</v>
      </c>
      <c r="M3999" s="7" t="str">
        <f aca="false">IFERROR(LEFT(J3999,FIND(",",J3999)-1),J3999)</f>
        <v>Dramas</v>
      </c>
      <c r="N3999" s="7" t="n">
        <f aca="false">IF(B3999="Movie",IFERROR(VALUE(LEFT(I3999,FIND(" ",I3999)-1)),""),"")</f>
        <v>124</v>
      </c>
      <c r="O3999" s="7" t="str">
        <f aca="false">IF(B3999="TV Show",IFERROR(VALUE(LEFT(I3999,FIND(" ",I3999)-1)),""),"")</f>
        <v/>
      </c>
      <c r="P3999" s="7" t="n">
        <f aca="false">IF(K3999="","",K3999-G3999)</f>
        <v>3</v>
      </c>
    </row>
    <row r="4000" customFormat="false" ht="15" hidden="false" customHeight="false" outlineLevel="0" collapsed="false">
      <c r="A4000" s="7" t="n">
        <v>80241304</v>
      </c>
      <c r="B4000" s="7" t="s">
        <v>68</v>
      </c>
      <c r="C4000" s="7" t="s">
        <v>8288</v>
      </c>
      <c r="D4000" s="7" t="s">
        <v>8289</v>
      </c>
      <c r="E4000" s="7" t="s">
        <v>26</v>
      </c>
      <c r="F4000" s="7" t="s">
        <v>8290</v>
      </c>
      <c r="G4000" s="7" t="n">
        <v>2018</v>
      </c>
      <c r="H4000" s="7" t="s">
        <v>51</v>
      </c>
      <c r="I4000" s="7" t="s">
        <v>272</v>
      </c>
      <c r="J4000" s="7" t="s">
        <v>150</v>
      </c>
      <c r="K4000" s="7" t="n">
        <f aca="false">IFERROR(VALUE(RIGHT(TRIM(F4000),4)),"")</f>
        <v>2019</v>
      </c>
      <c r="L4000" s="7" t="str">
        <f aca="false">IF(TRIM(E4000)="","Unknown",IFERROR(LEFT(TRIM(E4000),FIND(",",TRIM(E4000))-1),TRIM(E4000)))</f>
        <v>United States</v>
      </c>
      <c r="M4000" s="7" t="str">
        <f aca="false">IFERROR(LEFT(J4000,FIND(",",J4000)-1),J4000)</f>
        <v>Dramas</v>
      </c>
      <c r="N4000" s="7" t="n">
        <f aca="false">IF(B4000="Movie",IFERROR(VALUE(LEFT(I4000,FIND(" ",I4000)-1)),""),"")</f>
        <v>93</v>
      </c>
      <c r="O4000" s="7" t="str">
        <f aca="false">IF(B4000="TV Show",IFERROR(VALUE(LEFT(I4000,FIND(" ",I4000)-1)),""),"")</f>
        <v/>
      </c>
      <c r="P4000" s="7" t="n">
        <f aca="false">IF(K4000="","",K4000-G4000)</f>
        <v>1</v>
      </c>
    </row>
    <row r="4001" customFormat="false" ht="15" hidden="false" customHeight="false" outlineLevel="0" collapsed="false">
      <c r="A4001" s="7" t="n">
        <v>80147513</v>
      </c>
      <c r="B4001" s="7" t="s">
        <v>68</v>
      </c>
      <c r="C4001" s="7" t="s">
        <v>8291</v>
      </c>
      <c r="D4001" s="7" t="s">
        <v>8292</v>
      </c>
      <c r="E4001" s="7" t="s">
        <v>325</v>
      </c>
      <c r="F4001" s="7" t="s">
        <v>8293</v>
      </c>
      <c r="G4001" s="7" t="n">
        <v>2016</v>
      </c>
      <c r="H4001" s="7" t="s">
        <v>53</v>
      </c>
      <c r="I4001" s="7" t="s">
        <v>869</v>
      </c>
      <c r="J4001" s="7" t="s">
        <v>112</v>
      </c>
      <c r="K4001" s="7" t="n">
        <f aca="false">IFERROR(VALUE(RIGHT(TRIM(F4001),4)),"")</f>
        <v>2017</v>
      </c>
      <c r="L4001" s="7" t="str">
        <f aca="false">IF(TRIM(E4001)="","Unknown",IFERROR(LEFT(TRIM(E4001),FIND(",",TRIM(E4001))-1),TRIM(E4001)))</f>
        <v>Brazil</v>
      </c>
      <c r="M4001" s="7" t="str">
        <f aca="false">IFERROR(LEFT(J4001,FIND(",",J4001)-1),J4001)</f>
        <v>Action &amp; Adventure</v>
      </c>
      <c r="N4001" s="7" t="n">
        <f aca="false">IF(B4001="Movie",IFERROR(VALUE(LEFT(I4001,FIND(" ",I4001)-1)),""),"")</f>
        <v>123</v>
      </c>
      <c r="O4001" s="7" t="str">
        <f aca="false">IF(B4001="TV Show",IFERROR(VALUE(LEFT(I4001,FIND(" ",I4001)-1)),""),"")</f>
        <v/>
      </c>
      <c r="P4001" s="7" t="n">
        <f aca="false">IF(K4001="","",K4001-G4001)</f>
        <v>1</v>
      </c>
    </row>
    <row r="4002" customFormat="false" ht="15" hidden="false" customHeight="false" outlineLevel="0" collapsed="false">
      <c r="A4002" s="7" t="n">
        <v>80057749</v>
      </c>
      <c r="B4002" s="7" t="s">
        <v>78</v>
      </c>
      <c r="C4002" s="7" t="s">
        <v>8294</v>
      </c>
      <c r="E4002" s="7" t="s">
        <v>30</v>
      </c>
      <c r="F4002" s="7" t="s">
        <v>8295</v>
      </c>
      <c r="G4002" s="7" t="n">
        <v>2017</v>
      </c>
      <c r="H4002" s="7" t="s">
        <v>49</v>
      </c>
      <c r="I4002" s="7" t="s">
        <v>82</v>
      </c>
      <c r="J4002" s="7" t="s">
        <v>542</v>
      </c>
      <c r="K4002" s="7" t="n">
        <f aca="false">IFERROR(VALUE(RIGHT(TRIM(F4002),4)),"")</f>
        <v>2017</v>
      </c>
      <c r="L4002" s="7" t="str">
        <f aca="false">IF(TRIM(E4002)="","Unknown",IFERROR(LEFT(TRIM(E4002),FIND(",",TRIM(E4002))-1),TRIM(E4002)))</f>
        <v>Japan</v>
      </c>
      <c r="M4002" s="7" t="str">
        <f aca="false">IFERROR(LEFT(J4002,FIND(",",J4002)-1),J4002)</f>
        <v>Anime Series</v>
      </c>
      <c r="N4002" s="7" t="str">
        <f aca="false">IF(B4002="Movie",IFERROR(VALUE(LEFT(I4002,FIND(" ",I4002)-1)),""),"")</f>
        <v/>
      </c>
      <c r="O4002" s="7" t="n">
        <f aca="false">IF(B4002="TV Show",IFERROR(VALUE(LEFT(I4002,FIND(" ",I4002)-1)),""),"")</f>
        <v>1</v>
      </c>
      <c r="P4002" s="7" t="n">
        <f aca="false">IF(K4002="","",K4002-G4002)</f>
        <v>0</v>
      </c>
    </row>
    <row r="4003" customFormat="false" ht="15" hidden="false" customHeight="false" outlineLevel="0" collapsed="false">
      <c r="A4003" s="7" t="n">
        <v>80103818</v>
      </c>
      <c r="B4003" s="7" t="s">
        <v>68</v>
      </c>
      <c r="C4003" s="7" t="s">
        <v>8296</v>
      </c>
      <c r="D4003" s="7" t="s">
        <v>8297</v>
      </c>
      <c r="E4003" s="7" t="s">
        <v>317</v>
      </c>
      <c r="F4003" s="7" t="s">
        <v>8295</v>
      </c>
      <c r="G4003" s="7" t="n">
        <v>2016</v>
      </c>
      <c r="H4003" s="7" t="s">
        <v>48</v>
      </c>
      <c r="I4003" s="7" t="s">
        <v>451</v>
      </c>
      <c r="J4003" s="7" t="s">
        <v>202</v>
      </c>
      <c r="K4003" s="7" t="n">
        <f aca="false">IFERROR(VALUE(RIGHT(TRIM(F4003),4)),"")</f>
        <v>2017</v>
      </c>
      <c r="L4003" s="7" t="str">
        <f aca="false">IF(TRIM(E4003)="","Unknown",IFERROR(LEFT(TRIM(E4003),FIND(",",TRIM(E4003))-1),TRIM(E4003)))</f>
        <v>United Kingdom</v>
      </c>
      <c r="M4003" s="7" t="str">
        <f aca="false">IFERROR(LEFT(J4003,FIND(",",J4003)-1),J4003)</f>
        <v>Comedies</v>
      </c>
      <c r="N4003" s="7" t="n">
        <f aca="false">IF(B4003="Movie",IFERROR(VALUE(LEFT(I4003,FIND(" ",I4003)-1)),""),"")</f>
        <v>97</v>
      </c>
      <c r="O4003" s="7" t="str">
        <f aca="false">IF(B4003="TV Show",IFERROR(VALUE(LEFT(I4003,FIND(" ",I4003)-1)),""),"")</f>
        <v/>
      </c>
      <c r="P4003" s="7" t="n">
        <f aca="false">IF(K4003="","",K4003-G4003)</f>
        <v>1</v>
      </c>
    </row>
    <row r="4004" customFormat="false" ht="15" hidden="false" customHeight="false" outlineLevel="0" collapsed="false">
      <c r="A4004" s="7" t="n">
        <v>80141788</v>
      </c>
      <c r="B4004" s="7" t="s">
        <v>68</v>
      </c>
      <c r="C4004" s="7" t="s">
        <v>8298</v>
      </c>
      <c r="E4004" s="7" t="s">
        <v>855</v>
      </c>
      <c r="F4004" s="7" t="s">
        <v>8295</v>
      </c>
      <c r="G4004" s="7" t="n">
        <v>2017</v>
      </c>
      <c r="H4004" s="7" t="s">
        <v>48</v>
      </c>
      <c r="I4004" s="7" t="s">
        <v>138</v>
      </c>
      <c r="J4004" s="7" t="s">
        <v>45</v>
      </c>
      <c r="K4004" s="7" t="n">
        <f aca="false">IFERROR(VALUE(RIGHT(TRIM(F4004),4)),"")</f>
        <v>2017</v>
      </c>
      <c r="L4004" s="7" t="str">
        <f aca="false">IF(TRIM(E4004)="","Unknown",IFERROR(LEFT(TRIM(E4004),FIND(",",TRIM(E4004))-1),TRIM(E4004)))</f>
        <v>Italy</v>
      </c>
      <c r="M4004" s="7" t="str">
        <f aca="false">IFERROR(LEFT(J4004,FIND(",",J4004)-1),J4004)</f>
        <v>Stand-Up Comedy</v>
      </c>
      <c r="N4004" s="7" t="n">
        <f aca="false">IF(B4004="Movie",IFERROR(VALUE(LEFT(I4004,FIND(" ",I4004)-1)),""),"")</f>
        <v>96</v>
      </c>
      <c r="O4004" s="7" t="str">
        <f aca="false">IF(B4004="TV Show",IFERROR(VALUE(LEFT(I4004,FIND(" ",I4004)-1)),""),"")</f>
        <v/>
      </c>
      <c r="P4004" s="7" t="n">
        <f aca="false">IF(K4004="","",K4004-G4004)</f>
        <v>0</v>
      </c>
    </row>
    <row r="4005" customFormat="false" ht="15" hidden="false" customHeight="false" outlineLevel="0" collapsed="false">
      <c r="A4005" s="7" t="n">
        <v>80106791</v>
      </c>
      <c r="B4005" s="7" t="s">
        <v>68</v>
      </c>
      <c r="C4005" s="7" t="s">
        <v>8299</v>
      </c>
      <c r="D4005" s="7" t="s">
        <v>8300</v>
      </c>
      <c r="E4005" s="7" t="s">
        <v>8301</v>
      </c>
      <c r="F4005" s="7" t="s">
        <v>8295</v>
      </c>
      <c r="G4005" s="7" t="n">
        <v>1977</v>
      </c>
      <c r="H4005" s="7" t="s">
        <v>48</v>
      </c>
      <c r="I4005" s="7" t="s">
        <v>1777</v>
      </c>
      <c r="J4005" s="7" t="s">
        <v>341</v>
      </c>
      <c r="K4005" s="7" t="n">
        <f aca="false">IFERROR(VALUE(RIGHT(TRIM(F4005),4)),"")</f>
        <v>2017</v>
      </c>
      <c r="L4005" s="7" t="str">
        <f aca="false">IF(TRIM(E4005)="","Unknown",IFERROR(LEFT(TRIM(E4005),FIND(",",TRIM(E4005))-1),TRIM(E4005)))</f>
        <v>West Germany</v>
      </c>
      <c r="M4005" s="7" t="str">
        <f aca="false">IFERROR(LEFT(J4005,FIND(",",J4005)-1),J4005)</f>
        <v>Documentaries</v>
      </c>
      <c r="N4005" s="7" t="n">
        <f aca="false">IF(B4005="Movie",IFERROR(VALUE(LEFT(I4005,FIND(" ",I4005)-1)),""),"")</f>
        <v>150</v>
      </c>
      <c r="O4005" s="7" t="str">
        <f aca="false">IF(B4005="TV Show",IFERROR(VALUE(LEFT(I4005,FIND(" ",I4005)-1)),""),"")</f>
        <v/>
      </c>
      <c r="P4005" s="7" t="n">
        <f aca="false">IF(K4005="","",K4005-G4005)</f>
        <v>40</v>
      </c>
    </row>
    <row r="4006" customFormat="false" ht="15" hidden="false" customHeight="false" outlineLevel="0" collapsed="false">
      <c r="A4006" s="7" t="n">
        <v>80174429</v>
      </c>
      <c r="B4006" s="7" t="s">
        <v>78</v>
      </c>
      <c r="C4006" s="7" t="s">
        <v>8302</v>
      </c>
      <c r="D4006" s="7" t="s">
        <v>8303</v>
      </c>
      <c r="E4006" s="7" t="s">
        <v>26</v>
      </c>
      <c r="F4006" s="7" t="s">
        <v>8295</v>
      </c>
      <c r="G4006" s="7" t="n">
        <v>2014</v>
      </c>
      <c r="H4006" s="7" t="s">
        <v>48</v>
      </c>
      <c r="I4006" s="7" t="s">
        <v>82</v>
      </c>
      <c r="J4006" s="7" t="s">
        <v>2695</v>
      </c>
      <c r="K4006" s="7" t="n">
        <f aca="false">IFERROR(VALUE(RIGHT(TRIM(F4006),4)),"")</f>
        <v>2017</v>
      </c>
      <c r="L4006" s="7" t="str">
        <f aca="false">IF(TRIM(E4006)="","Unknown",IFERROR(LEFT(TRIM(E4006),FIND(",",TRIM(E4006))-1),TRIM(E4006)))</f>
        <v>United States</v>
      </c>
      <c r="M4006" s="7" t="str">
        <f aca="false">IFERROR(LEFT(J4006,FIND(",",J4006)-1),J4006)</f>
        <v>TV Shows</v>
      </c>
      <c r="N4006" s="7" t="str">
        <f aca="false">IF(B4006="Movie",IFERROR(VALUE(LEFT(I4006,FIND(" ",I4006)-1)),""),"")</f>
        <v/>
      </c>
      <c r="O4006" s="7" t="n">
        <f aca="false">IF(B4006="TV Show",IFERROR(VALUE(LEFT(I4006,FIND(" ",I4006)-1)),""),"")</f>
        <v>1</v>
      </c>
      <c r="P4006" s="7" t="n">
        <f aca="false">IF(K4006="","",K4006-G4006)</f>
        <v>3</v>
      </c>
    </row>
    <row r="4007" customFormat="false" ht="15" hidden="false" customHeight="false" outlineLevel="0" collapsed="false">
      <c r="A4007" s="7" t="n">
        <v>81037273</v>
      </c>
      <c r="B4007" s="7" t="s">
        <v>68</v>
      </c>
      <c r="C4007" s="7" t="s">
        <v>8304</v>
      </c>
      <c r="D4007" s="7" t="s">
        <v>8305</v>
      </c>
      <c r="E4007" s="7" t="s">
        <v>26</v>
      </c>
      <c r="F4007" s="7" t="s">
        <v>8306</v>
      </c>
      <c r="G4007" s="7" t="n">
        <v>2016</v>
      </c>
      <c r="H4007" s="7" t="s">
        <v>49</v>
      </c>
      <c r="I4007" s="7" t="s">
        <v>613</v>
      </c>
      <c r="J4007" s="7" t="s">
        <v>39</v>
      </c>
      <c r="K4007" s="7" t="n">
        <f aca="false">IFERROR(VALUE(RIGHT(TRIM(F4007),4)),"")</f>
        <v>2019</v>
      </c>
      <c r="L4007" s="7" t="str">
        <f aca="false">IF(TRIM(E4007)="","Unknown",IFERROR(LEFT(TRIM(E4007),FIND(",",TRIM(E4007))-1),TRIM(E4007)))</f>
        <v>United States</v>
      </c>
      <c r="M4007" s="7" t="str">
        <f aca="false">IFERROR(LEFT(J4007,FIND(",",J4007)-1),J4007)</f>
        <v>Documentaries</v>
      </c>
      <c r="N4007" s="7" t="n">
        <f aca="false">IF(B4007="Movie",IFERROR(VALUE(LEFT(I4007,FIND(" ",I4007)-1)),""),"")</f>
        <v>84</v>
      </c>
      <c r="O4007" s="7" t="str">
        <f aca="false">IF(B4007="TV Show",IFERROR(VALUE(LEFT(I4007,FIND(" ",I4007)-1)),""),"")</f>
        <v/>
      </c>
      <c r="P4007" s="7" t="n">
        <f aca="false">IF(K4007="","",K4007-G4007)</f>
        <v>3</v>
      </c>
    </row>
    <row r="4008" customFormat="false" ht="15" hidden="false" customHeight="false" outlineLevel="0" collapsed="false">
      <c r="A4008" s="7" t="n">
        <v>60022998</v>
      </c>
      <c r="B4008" s="7" t="s">
        <v>68</v>
      </c>
      <c r="C4008" s="7" t="s">
        <v>8307</v>
      </c>
      <c r="D4008" s="7" t="s">
        <v>8308</v>
      </c>
      <c r="E4008" s="7" t="s">
        <v>8309</v>
      </c>
      <c r="F4008" s="7" t="s">
        <v>8306</v>
      </c>
      <c r="G4008" s="7" t="n">
        <v>2002</v>
      </c>
      <c r="H4008" s="7" t="s">
        <v>52</v>
      </c>
      <c r="I4008" s="7" t="s">
        <v>512</v>
      </c>
      <c r="J4008" s="7" t="s">
        <v>217</v>
      </c>
      <c r="K4008" s="7" t="n">
        <f aca="false">IFERROR(VALUE(RIGHT(TRIM(F4008),4)),"")</f>
        <v>2019</v>
      </c>
      <c r="L4008" s="7" t="str">
        <f aca="false">IF(TRIM(E4008)="","Unknown",IFERROR(LEFT(TRIM(E4008),FIND(",",TRIM(E4008))-1),TRIM(E4008)))</f>
        <v>United Kingdom</v>
      </c>
      <c r="M4008" s="7" t="str">
        <f aca="false">IFERROR(LEFT(J4008,FIND(",",J4008)-1),J4008)</f>
        <v>Comedies</v>
      </c>
      <c r="N4008" s="7" t="n">
        <f aca="false">IF(B4008="Movie",IFERROR(VALUE(LEFT(I4008,FIND(" ",I4008)-1)),""),"")</f>
        <v>101</v>
      </c>
      <c r="O4008" s="7" t="str">
        <f aca="false">IF(B4008="TV Show",IFERROR(VALUE(LEFT(I4008,FIND(" ",I4008)-1)),""),"")</f>
        <v/>
      </c>
      <c r="P4008" s="7" t="n">
        <f aca="false">IF(K4008="","",K4008-G4008)</f>
        <v>17</v>
      </c>
    </row>
    <row r="4009" customFormat="false" ht="15" hidden="false" customHeight="false" outlineLevel="0" collapsed="false">
      <c r="A4009" s="7" t="n">
        <v>80205595</v>
      </c>
      <c r="B4009" s="7" t="s">
        <v>78</v>
      </c>
      <c r="C4009" s="7" t="s">
        <v>8310</v>
      </c>
      <c r="E4009" s="7" t="s">
        <v>1397</v>
      </c>
      <c r="F4009" s="7" t="s">
        <v>8306</v>
      </c>
      <c r="G4009" s="7" t="n">
        <v>2019</v>
      </c>
      <c r="H4009" s="7" t="s">
        <v>49</v>
      </c>
      <c r="I4009" s="7" t="s">
        <v>82</v>
      </c>
      <c r="J4009" s="7" t="s">
        <v>824</v>
      </c>
      <c r="K4009" s="7" t="n">
        <f aca="false">IFERROR(VALUE(RIGHT(TRIM(F4009),4)),"")</f>
        <v>2019</v>
      </c>
      <c r="L4009" s="7" t="str">
        <f aca="false">IF(TRIM(E4009)="","Unknown",IFERROR(LEFT(TRIM(E4009),FIND(",",TRIM(E4009))-1),TRIM(E4009)))</f>
        <v>Colombia</v>
      </c>
      <c r="M4009" s="7" t="str">
        <f aca="false">IFERROR(LEFT(J4009,FIND(",",J4009)-1),J4009)</f>
        <v>International TV Shows</v>
      </c>
      <c r="N4009" s="7" t="str">
        <f aca="false">IF(B4009="Movie",IFERROR(VALUE(LEFT(I4009,FIND(" ",I4009)-1)),""),"")</f>
        <v/>
      </c>
      <c r="O4009" s="7" t="n">
        <f aca="false">IF(B4009="TV Show",IFERROR(VALUE(LEFT(I4009,FIND(" ",I4009)-1)),""),"")</f>
        <v>1</v>
      </c>
      <c r="P4009" s="7" t="n">
        <f aca="false">IF(K4009="","",K4009-G4009)</f>
        <v>0</v>
      </c>
    </row>
    <row r="4010" customFormat="false" ht="15" hidden="false" customHeight="false" outlineLevel="0" collapsed="false">
      <c r="A4010" s="7" t="n">
        <v>81063028</v>
      </c>
      <c r="B4010" s="7" t="s">
        <v>78</v>
      </c>
      <c r="C4010" s="7" t="s">
        <v>8311</v>
      </c>
      <c r="E4010" s="7" t="s">
        <v>29</v>
      </c>
      <c r="F4010" s="7" t="s">
        <v>8306</v>
      </c>
      <c r="G4010" s="7" t="n">
        <v>2010</v>
      </c>
      <c r="H4010" s="7" t="s">
        <v>50</v>
      </c>
      <c r="I4010" s="7" t="s">
        <v>82</v>
      </c>
      <c r="J4010" s="7" t="s">
        <v>164</v>
      </c>
      <c r="K4010" s="7" t="n">
        <f aca="false">IFERROR(VALUE(RIGHT(TRIM(F4010),4)),"")</f>
        <v>2019</v>
      </c>
      <c r="L4010" s="7" t="str">
        <f aca="false">IF(TRIM(E4010)="","Unknown",IFERROR(LEFT(TRIM(E4010),FIND(",",TRIM(E4010))-1),TRIM(E4010)))</f>
        <v>Canada</v>
      </c>
      <c r="M4010" s="7" t="str">
        <f aca="false">IFERROR(LEFT(J4010,FIND(",",J4010)-1),J4010)</f>
        <v>Docuseries</v>
      </c>
      <c r="N4010" s="7" t="str">
        <f aca="false">IF(B4010="Movie",IFERROR(VALUE(LEFT(I4010,FIND(" ",I4010)-1)),""),"")</f>
        <v/>
      </c>
      <c r="O4010" s="7" t="n">
        <f aca="false">IF(B4010="TV Show",IFERROR(VALUE(LEFT(I4010,FIND(" ",I4010)-1)),""),"")</f>
        <v>1</v>
      </c>
      <c r="P4010" s="7" t="n">
        <f aca="false">IF(K4010="","",K4010-G4010)</f>
        <v>9</v>
      </c>
    </row>
    <row r="4011" customFormat="false" ht="15" hidden="false" customHeight="false" outlineLevel="0" collapsed="false">
      <c r="A4011" s="7" t="n">
        <v>60003378</v>
      </c>
      <c r="B4011" s="7" t="s">
        <v>68</v>
      </c>
      <c r="C4011" s="7" t="s">
        <v>8312</v>
      </c>
      <c r="D4011" s="7" t="s">
        <v>7600</v>
      </c>
      <c r="E4011" s="7" t="s">
        <v>279</v>
      </c>
      <c r="F4011" s="7" t="s">
        <v>8306</v>
      </c>
      <c r="G4011" s="7" t="n">
        <v>2000</v>
      </c>
      <c r="H4011" s="7" t="s">
        <v>51</v>
      </c>
      <c r="I4011" s="7" t="s">
        <v>93</v>
      </c>
      <c r="J4011" s="7" t="s">
        <v>188</v>
      </c>
      <c r="K4011" s="7" t="n">
        <f aca="false">IFERROR(VALUE(RIGHT(TRIM(F4011),4)),"")</f>
        <v>2019</v>
      </c>
      <c r="L4011" s="7" t="str">
        <f aca="false">IF(TRIM(E4011)="","Unknown",IFERROR(LEFT(TRIM(E4011),FIND(",",TRIM(E4011))-1),TRIM(E4011)))</f>
        <v>United Kingdom</v>
      </c>
      <c r="M4011" s="7" t="str">
        <f aca="false">IFERROR(LEFT(J4011,FIND(",",J4011)-1),J4011)</f>
        <v>Dramas</v>
      </c>
      <c r="N4011" s="7" t="n">
        <f aca="false">IF(B4011="Movie",IFERROR(VALUE(LEFT(I4011,FIND(" ",I4011)-1)),""),"")</f>
        <v>110</v>
      </c>
      <c r="O4011" s="7" t="str">
        <f aca="false">IF(B4011="TV Show",IFERROR(VALUE(LEFT(I4011,FIND(" ",I4011)-1)),""),"")</f>
        <v/>
      </c>
      <c r="P4011" s="7" t="n">
        <f aca="false">IF(K4011="","",K4011-G4011)</f>
        <v>19</v>
      </c>
    </row>
    <row r="4012" customFormat="false" ht="15" hidden="false" customHeight="false" outlineLevel="0" collapsed="false">
      <c r="A4012" s="7" t="n">
        <v>81063160</v>
      </c>
      <c r="B4012" s="7" t="s">
        <v>78</v>
      </c>
      <c r="C4012" s="7" t="s">
        <v>8313</v>
      </c>
      <c r="E4012" s="7" t="s">
        <v>29</v>
      </c>
      <c r="F4012" s="7" t="s">
        <v>8306</v>
      </c>
      <c r="G4012" s="7" t="n">
        <v>2014</v>
      </c>
      <c r="H4012" s="7" t="s">
        <v>48</v>
      </c>
      <c r="I4012" s="7" t="s">
        <v>82</v>
      </c>
      <c r="J4012" s="7" t="s">
        <v>164</v>
      </c>
      <c r="K4012" s="7" t="n">
        <f aca="false">IFERROR(VALUE(RIGHT(TRIM(F4012),4)),"")</f>
        <v>2019</v>
      </c>
      <c r="L4012" s="7" t="str">
        <f aca="false">IF(TRIM(E4012)="","Unknown",IFERROR(LEFT(TRIM(E4012),FIND(",",TRIM(E4012))-1),TRIM(E4012)))</f>
        <v>Canada</v>
      </c>
      <c r="M4012" s="7" t="str">
        <f aca="false">IFERROR(LEFT(J4012,FIND(",",J4012)-1),J4012)</f>
        <v>Docuseries</v>
      </c>
      <c r="N4012" s="7" t="str">
        <f aca="false">IF(B4012="Movie",IFERROR(VALUE(LEFT(I4012,FIND(" ",I4012)-1)),""),"")</f>
        <v/>
      </c>
      <c r="O4012" s="7" t="n">
        <f aca="false">IF(B4012="TV Show",IFERROR(VALUE(LEFT(I4012,FIND(" ",I4012)-1)),""),"")</f>
        <v>1</v>
      </c>
      <c r="P4012" s="7" t="n">
        <f aca="false">IF(K4012="","",K4012-G4012)</f>
        <v>5</v>
      </c>
    </row>
    <row r="4013" customFormat="false" ht="15" hidden="false" customHeight="false" outlineLevel="0" collapsed="false">
      <c r="A4013" s="7" t="n">
        <v>70132722</v>
      </c>
      <c r="B4013" s="7" t="s">
        <v>68</v>
      </c>
      <c r="C4013" s="7" t="s">
        <v>8314</v>
      </c>
      <c r="D4013" s="7" t="s">
        <v>8315</v>
      </c>
      <c r="E4013" s="7" t="s">
        <v>918</v>
      </c>
      <c r="F4013" s="7" t="s">
        <v>8306</v>
      </c>
      <c r="G4013" s="7" t="n">
        <v>2010</v>
      </c>
      <c r="H4013" s="7" t="s">
        <v>54</v>
      </c>
      <c r="I4013" s="7" t="s">
        <v>437</v>
      </c>
      <c r="J4013" s="7" t="s">
        <v>74</v>
      </c>
      <c r="K4013" s="7" t="n">
        <f aca="false">IFERROR(VALUE(RIGHT(TRIM(F4013),4)),"")</f>
        <v>2019</v>
      </c>
      <c r="L4013" s="7" t="str">
        <f aca="false">IF(TRIM(E4013)="","Unknown",IFERROR(LEFT(TRIM(E4013),FIND(",",TRIM(E4013))-1),TRIM(E4013)))</f>
        <v>United States</v>
      </c>
      <c r="M4013" s="7" t="str">
        <f aca="false">IFERROR(LEFT(J4013,FIND(",",J4013)-1),J4013)</f>
        <v>Children &amp; Family Movies</v>
      </c>
      <c r="N4013" s="7" t="n">
        <f aca="false">IF(B4013="Movie",IFERROR(VALUE(LEFT(I4013,FIND(" ",I4013)-1)),""),"")</f>
        <v>82</v>
      </c>
      <c r="O4013" s="7" t="str">
        <f aca="false">IF(B4013="TV Show",IFERROR(VALUE(LEFT(I4013,FIND(" ",I4013)-1)),""),"")</f>
        <v/>
      </c>
      <c r="P4013" s="7" t="n">
        <f aca="false">IF(K4013="","",K4013-G4013)</f>
        <v>9</v>
      </c>
    </row>
    <row r="4014" customFormat="false" ht="15" hidden="false" customHeight="false" outlineLevel="0" collapsed="false">
      <c r="A4014" s="7" t="n">
        <v>81045891</v>
      </c>
      <c r="B4014" s="7" t="s">
        <v>68</v>
      </c>
      <c r="C4014" s="7" t="s">
        <v>8316</v>
      </c>
      <c r="D4014" s="7" t="s">
        <v>8317</v>
      </c>
      <c r="E4014" s="7" t="s">
        <v>970</v>
      </c>
      <c r="F4014" s="7" t="s">
        <v>8306</v>
      </c>
      <c r="G4014" s="7" t="n">
        <v>2018</v>
      </c>
      <c r="H4014" s="7" t="s">
        <v>48</v>
      </c>
      <c r="I4014" s="7" t="s">
        <v>205</v>
      </c>
      <c r="J4014" s="7" t="s">
        <v>217</v>
      </c>
      <c r="K4014" s="7" t="n">
        <f aca="false">IFERROR(VALUE(RIGHT(TRIM(F4014),4)),"")</f>
        <v>2019</v>
      </c>
      <c r="L4014" s="7" t="str">
        <f aca="false">IF(TRIM(E4014)="","Unknown",IFERROR(LEFT(TRIM(E4014),FIND(",",TRIM(E4014))-1),TRIM(E4014)))</f>
        <v>Taiwan</v>
      </c>
      <c r="M4014" s="7" t="str">
        <f aca="false">IFERROR(LEFT(J4014,FIND(",",J4014)-1),J4014)</f>
        <v>Comedies</v>
      </c>
      <c r="N4014" s="7" t="n">
        <f aca="false">IF(B4014="Movie",IFERROR(VALUE(LEFT(I4014,FIND(" ",I4014)-1)),""),"")</f>
        <v>100</v>
      </c>
      <c r="O4014" s="7" t="str">
        <f aca="false">IF(B4014="TV Show",IFERROR(VALUE(LEFT(I4014,FIND(" ",I4014)-1)),""),"")</f>
        <v/>
      </c>
      <c r="P4014" s="7" t="n">
        <f aca="false">IF(K4014="","",K4014-G4014)</f>
        <v>1</v>
      </c>
    </row>
    <row r="4015" customFormat="false" ht="15" hidden="false" customHeight="false" outlineLevel="0" collapsed="false">
      <c r="A4015" s="7" t="n">
        <v>81059656</v>
      </c>
      <c r="B4015" s="7" t="s">
        <v>68</v>
      </c>
      <c r="C4015" s="7" t="s">
        <v>8318</v>
      </c>
      <c r="D4015" s="7" t="s">
        <v>8319</v>
      </c>
      <c r="E4015" s="7" t="s">
        <v>28</v>
      </c>
      <c r="F4015" s="7" t="s">
        <v>8306</v>
      </c>
      <c r="G4015" s="7" t="n">
        <v>2016</v>
      </c>
      <c r="H4015" s="7" t="s">
        <v>49</v>
      </c>
      <c r="I4015" s="7" t="s">
        <v>734</v>
      </c>
      <c r="J4015" s="7" t="s">
        <v>39</v>
      </c>
      <c r="K4015" s="7" t="n">
        <f aca="false">IFERROR(VALUE(RIGHT(TRIM(F4015),4)),"")</f>
        <v>2019</v>
      </c>
      <c r="L4015" s="7" t="str">
        <f aca="false">IF(TRIM(E4015)="","Unknown",IFERROR(LEFT(TRIM(E4015),FIND(",",TRIM(E4015))-1),TRIM(E4015)))</f>
        <v>United Kingdom</v>
      </c>
      <c r="M4015" s="7" t="str">
        <f aca="false">IFERROR(LEFT(J4015,FIND(",",J4015)-1),J4015)</f>
        <v>Documentaries</v>
      </c>
      <c r="N4015" s="7" t="n">
        <f aca="false">IF(B4015="Movie",IFERROR(VALUE(LEFT(I4015,FIND(" ",I4015)-1)),""),"")</f>
        <v>52</v>
      </c>
      <c r="O4015" s="7" t="str">
        <f aca="false">IF(B4015="TV Show",IFERROR(VALUE(LEFT(I4015,FIND(" ",I4015)-1)),""),"")</f>
        <v/>
      </c>
      <c r="P4015" s="7" t="n">
        <f aca="false">IF(K4015="","",K4015-G4015)</f>
        <v>3</v>
      </c>
    </row>
    <row r="4016" customFormat="false" ht="15" hidden="false" customHeight="false" outlineLevel="0" collapsed="false">
      <c r="A4016" s="7" t="n">
        <v>81001413</v>
      </c>
      <c r="B4016" s="7" t="s">
        <v>68</v>
      </c>
      <c r="C4016" s="7" t="s">
        <v>8320</v>
      </c>
      <c r="E4016" s="7" t="s">
        <v>26</v>
      </c>
      <c r="F4016" s="7" t="s">
        <v>8306</v>
      </c>
      <c r="G4016" s="7" t="n">
        <v>2019</v>
      </c>
      <c r="H4016" s="7" t="s">
        <v>55</v>
      </c>
      <c r="I4016" s="7" t="s">
        <v>1642</v>
      </c>
      <c r="J4016" s="7" t="s">
        <v>10</v>
      </c>
      <c r="K4016" s="7" t="n">
        <f aca="false">IFERROR(VALUE(RIGHT(TRIM(F4016),4)),"")</f>
        <v>2019</v>
      </c>
      <c r="L4016" s="7" t="str">
        <f aca="false">IF(TRIM(E4016)="","Unknown",IFERROR(LEFT(TRIM(E4016),FIND(",",TRIM(E4016))-1),TRIM(E4016)))</f>
        <v>United States</v>
      </c>
      <c r="M4016" s="7" t="str">
        <f aca="false">IFERROR(LEFT(J4016,FIND(",",J4016)-1),J4016)</f>
        <v>Movies</v>
      </c>
      <c r="N4016" s="7" t="n">
        <f aca="false">IF(B4016="Movie",IFERROR(VALUE(LEFT(I4016,FIND(" ",I4016)-1)),""),"")</f>
        <v>51</v>
      </c>
      <c r="O4016" s="7" t="str">
        <f aca="false">IF(B4016="TV Show",IFERROR(VALUE(LEFT(I4016,FIND(" ",I4016)-1)),""),"")</f>
        <v/>
      </c>
      <c r="P4016" s="7" t="n">
        <f aca="false">IF(K4016="","",K4016-G4016)</f>
        <v>0</v>
      </c>
    </row>
    <row r="4017" customFormat="false" ht="15" hidden="false" customHeight="false" outlineLevel="0" collapsed="false">
      <c r="A4017" s="7" t="n">
        <v>80080618</v>
      </c>
      <c r="B4017" s="7" t="s">
        <v>68</v>
      </c>
      <c r="C4017" s="7" t="s">
        <v>8321</v>
      </c>
      <c r="D4017" s="7" t="s">
        <v>8322</v>
      </c>
      <c r="E4017" s="7" t="s">
        <v>27</v>
      </c>
      <c r="F4017" s="7" t="s">
        <v>8306</v>
      </c>
      <c r="G4017" s="7" t="n">
        <v>2015</v>
      </c>
      <c r="H4017" s="7" t="s">
        <v>48</v>
      </c>
      <c r="I4017" s="7" t="s">
        <v>378</v>
      </c>
      <c r="J4017" s="7" t="s">
        <v>304</v>
      </c>
      <c r="K4017" s="7" t="n">
        <f aca="false">IFERROR(VALUE(RIGHT(TRIM(F4017),4)),"")</f>
        <v>2019</v>
      </c>
      <c r="L4017" s="7" t="str">
        <f aca="false">IF(TRIM(E4017)="","Unknown",IFERROR(LEFT(TRIM(E4017),FIND(",",TRIM(E4017))-1),TRIM(E4017)))</f>
        <v>India</v>
      </c>
      <c r="M4017" s="7" t="str">
        <f aca="false">IFERROR(LEFT(J4017,FIND(",",J4017)-1),J4017)</f>
        <v>Dramas</v>
      </c>
      <c r="N4017" s="7" t="n">
        <f aca="false">IF(B4017="Movie",IFERROR(VALUE(LEFT(I4017,FIND(" ",I4017)-1)),""),"")</f>
        <v>127</v>
      </c>
      <c r="O4017" s="7" t="str">
        <f aca="false">IF(B4017="TV Show",IFERROR(VALUE(LEFT(I4017,FIND(" ",I4017)-1)),""),"")</f>
        <v/>
      </c>
      <c r="P4017" s="7" t="n">
        <f aca="false">IF(K4017="","",K4017-G4017)</f>
        <v>4</v>
      </c>
    </row>
    <row r="4018" customFormat="false" ht="15" hidden="false" customHeight="false" outlineLevel="0" collapsed="false">
      <c r="A4018" s="7" t="n">
        <v>81059603</v>
      </c>
      <c r="B4018" s="7" t="s">
        <v>78</v>
      </c>
      <c r="C4018" s="7" t="s">
        <v>8323</v>
      </c>
      <c r="E4018" s="7" t="s">
        <v>28</v>
      </c>
      <c r="F4018" s="7" t="s">
        <v>8306</v>
      </c>
      <c r="G4018" s="7" t="n">
        <v>2014</v>
      </c>
      <c r="H4018" s="7" t="s">
        <v>49</v>
      </c>
      <c r="I4018" s="7" t="s">
        <v>82</v>
      </c>
      <c r="J4018" s="7" t="s">
        <v>668</v>
      </c>
      <c r="K4018" s="7" t="n">
        <f aca="false">IFERROR(VALUE(RIGHT(TRIM(F4018),4)),"")</f>
        <v>2019</v>
      </c>
      <c r="L4018" s="7" t="str">
        <f aca="false">IF(TRIM(E4018)="","Unknown",IFERROR(LEFT(TRIM(E4018),FIND(",",TRIM(E4018))-1),TRIM(E4018)))</f>
        <v>United Kingdom</v>
      </c>
      <c r="M4018" s="7" t="str">
        <f aca="false">IFERROR(LEFT(J4018,FIND(",",J4018)-1),J4018)</f>
        <v>British TV Shows</v>
      </c>
      <c r="N4018" s="7" t="str">
        <f aca="false">IF(B4018="Movie",IFERROR(VALUE(LEFT(I4018,FIND(" ",I4018)-1)),""),"")</f>
        <v/>
      </c>
      <c r="O4018" s="7" t="n">
        <f aca="false">IF(B4018="TV Show",IFERROR(VALUE(LEFT(I4018,FIND(" ",I4018)-1)),""),"")</f>
        <v>1</v>
      </c>
      <c r="P4018" s="7" t="n">
        <f aca="false">IF(K4018="","",K4018-G4018)</f>
        <v>5</v>
      </c>
    </row>
    <row r="4019" customFormat="false" ht="15" hidden="false" customHeight="false" outlineLevel="0" collapsed="false">
      <c r="A4019" s="7" t="n">
        <v>80994282</v>
      </c>
      <c r="B4019" s="7" t="s">
        <v>68</v>
      </c>
      <c r="C4019" s="7" t="s">
        <v>8324</v>
      </c>
      <c r="D4019" s="7" t="s">
        <v>8325</v>
      </c>
      <c r="E4019" s="7" t="s">
        <v>35</v>
      </c>
      <c r="F4019" s="7" t="s">
        <v>8306</v>
      </c>
      <c r="G4019" s="7" t="n">
        <v>2017</v>
      </c>
      <c r="H4019" s="7" t="s">
        <v>48</v>
      </c>
      <c r="I4019" s="7" t="s">
        <v>212</v>
      </c>
      <c r="J4019" s="7" t="s">
        <v>341</v>
      </c>
      <c r="K4019" s="7" t="n">
        <f aca="false">IFERROR(VALUE(RIGHT(TRIM(F4019),4)),"")</f>
        <v>2019</v>
      </c>
      <c r="L4019" s="7" t="str">
        <f aca="false">IF(TRIM(E4019)="","Unknown",IFERROR(LEFT(TRIM(E4019),FIND(",",TRIM(E4019))-1),TRIM(E4019)))</f>
        <v>Australia</v>
      </c>
      <c r="M4019" s="7" t="str">
        <f aca="false">IFERROR(LEFT(J4019,FIND(",",J4019)-1),J4019)</f>
        <v>Documentaries</v>
      </c>
      <c r="N4019" s="7" t="n">
        <f aca="false">IF(B4019="Movie",IFERROR(VALUE(LEFT(I4019,FIND(" ",I4019)-1)),""),"")</f>
        <v>86</v>
      </c>
      <c r="O4019" s="7" t="str">
        <f aca="false">IF(B4019="TV Show",IFERROR(VALUE(LEFT(I4019,FIND(" ",I4019)-1)),""),"")</f>
        <v/>
      </c>
      <c r="P4019" s="7" t="n">
        <f aca="false">IF(K4019="","",K4019-G4019)</f>
        <v>2</v>
      </c>
    </row>
    <row r="4020" customFormat="false" ht="15" hidden="false" customHeight="false" outlineLevel="0" collapsed="false">
      <c r="A4020" s="7" t="n">
        <v>80220013</v>
      </c>
      <c r="B4020" s="7" t="s">
        <v>68</v>
      </c>
      <c r="C4020" s="7" t="s">
        <v>8326</v>
      </c>
      <c r="D4020" s="7" t="s">
        <v>8327</v>
      </c>
      <c r="E4020" s="7" t="s">
        <v>26</v>
      </c>
      <c r="F4020" s="7" t="s">
        <v>8306</v>
      </c>
      <c r="G4020" s="7" t="n">
        <v>2017</v>
      </c>
      <c r="H4020" s="7" t="s">
        <v>50</v>
      </c>
      <c r="I4020" s="7" t="s">
        <v>294</v>
      </c>
      <c r="J4020" s="7" t="s">
        <v>39</v>
      </c>
      <c r="K4020" s="7" t="n">
        <f aca="false">IFERROR(VALUE(RIGHT(TRIM(F4020),4)),"")</f>
        <v>2019</v>
      </c>
      <c r="L4020" s="7" t="str">
        <f aca="false">IF(TRIM(E4020)="","Unknown",IFERROR(LEFT(TRIM(E4020),FIND(",",TRIM(E4020))-1),TRIM(E4020)))</f>
        <v>United States</v>
      </c>
      <c r="M4020" s="7" t="str">
        <f aca="false">IFERROR(LEFT(J4020,FIND(",",J4020)-1),J4020)</f>
        <v>Documentaries</v>
      </c>
      <c r="N4020" s="7" t="n">
        <f aca="false">IF(B4020="Movie",IFERROR(VALUE(LEFT(I4020,FIND(" ",I4020)-1)),""),"")</f>
        <v>107</v>
      </c>
      <c r="O4020" s="7" t="str">
        <f aca="false">IF(B4020="TV Show",IFERROR(VALUE(LEFT(I4020,FIND(" ",I4020)-1)),""),"")</f>
        <v/>
      </c>
      <c r="P4020" s="7" t="n">
        <f aca="false">IF(K4020="","",K4020-G4020)</f>
        <v>2</v>
      </c>
    </row>
    <row r="4021" customFormat="false" ht="15" hidden="false" customHeight="false" outlineLevel="0" collapsed="false">
      <c r="A4021" s="7" t="n">
        <v>81059643</v>
      </c>
      <c r="B4021" s="7" t="s">
        <v>78</v>
      </c>
      <c r="C4021" s="7" t="s">
        <v>8328</v>
      </c>
      <c r="E4021" s="7" t="s">
        <v>28</v>
      </c>
      <c r="F4021" s="7" t="s">
        <v>8306</v>
      </c>
      <c r="G4021" s="7" t="n">
        <v>2015</v>
      </c>
      <c r="H4021" s="7" t="s">
        <v>49</v>
      </c>
      <c r="I4021" s="7" t="s">
        <v>82</v>
      </c>
      <c r="J4021" s="7" t="s">
        <v>1122</v>
      </c>
      <c r="K4021" s="7" t="n">
        <f aca="false">IFERROR(VALUE(RIGHT(TRIM(F4021),4)),"")</f>
        <v>2019</v>
      </c>
      <c r="L4021" s="7" t="str">
        <f aca="false">IF(TRIM(E4021)="","Unknown",IFERROR(LEFT(TRIM(E4021),FIND(",",TRIM(E4021))-1),TRIM(E4021)))</f>
        <v>United Kingdom</v>
      </c>
      <c r="M4021" s="7" t="str">
        <f aca="false">IFERROR(LEFT(J4021,FIND(",",J4021)-1),J4021)</f>
        <v>British TV Shows</v>
      </c>
      <c r="N4021" s="7" t="str">
        <f aca="false">IF(B4021="Movie",IFERROR(VALUE(LEFT(I4021,FIND(" ",I4021)-1)),""),"")</f>
        <v/>
      </c>
      <c r="O4021" s="7" t="n">
        <f aca="false">IF(B4021="TV Show",IFERROR(VALUE(LEFT(I4021,FIND(" ",I4021)-1)),""),"")</f>
        <v>1</v>
      </c>
      <c r="P4021" s="7" t="n">
        <f aca="false">IF(K4021="","",K4021-G4021)</f>
        <v>4</v>
      </c>
    </row>
    <row r="4022" customFormat="false" ht="15" hidden="false" customHeight="false" outlineLevel="0" collapsed="false">
      <c r="A4022" s="7" t="n">
        <v>80065492</v>
      </c>
      <c r="B4022" s="7" t="s">
        <v>68</v>
      </c>
      <c r="C4022" s="7" t="s">
        <v>8329</v>
      </c>
      <c r="D4022" s="7" t="s">
        <v>8330</v>
      </c>
      <c r="E4022" s="7" t="s">
        <v>26</v>
      </c>
      <c r="F4022" s="7" t="s">
        <v>8306</v>
      </c>
      <c r="G4022" s="7" t="n">
        <v>2014</v>
      </c>
      <c r="H4022" s="7" t="s">
        <v>55</v>
      </c>
      <c r="I4022" s="7" t="s">
        <v>1727</v>
      </c>
      <c r="J4022" s="7" t="s">
        <v>10</v>
      </c>
      <c r="K4022" s="7" t="n">
        <f aca="false">IFERROR(VALUE(RIGHT(TRIM(F4022),4)),"")</f>
        <v>2019</v>
      </c>
      <c r="L4022" s="7" t="str">
        <f aca="false">IF(TRIM(E4022)="","Unknown",IFERROR(LEFT(TRIM(E4022),FIND(",",TRIM(E4022))-1),TRIM(E4022)))</f>
        <v>United States</v>
      </c>
      <c r="M4022" s="7" t="str">
        <f aca="false">IFERROR(LEFT(J4022,FIND(",",J4022)-1),J4022)</f>
        <v>Movies</v>
      </c>
      <c r="N4022" s="7" t="n">
        <f aca="false">IF(B4022="Movie",IFERROR(VALUE(LEFT(I4022,FIND(" ",I4022)-1)),""),"")</f>
        <v>22</v>
      </c>
      <c r="O4022" s="7" t="str">
        <f aca="false">IF(B4022="TV Show",IFERROR(VALUE(LEFT(I4022,FIND(" ",I4022)-1)),""),"")</f>
        <v/>
      </c>
      <c r="P4022" s="7" t="n">
        <f aca="false">IF(K4022="","",K4022-G4022)</f>
        <v>5</v>
      </c>
    </row>
    <row r="4023" customFormat="false" ht="15" hidden="false" customHeight="false" outlineLevel="0" collapsed="false">
      <c r="A4023" s="7" t="n">
        <v>81050118</v>
      </c>
      <c r="B4023" s="7" t="s">
        <v>78</v>
      </c>
      <c r="C4023" s="7" t="s">
        <v>8331</v>
      </c>
      <c r="D4023" s="7" t="s">
        <v>8332</v>
      </c>
      <c r="E4023" s="7" t="s">
        <v>3075</v>
      </c>
      <c r="F4023" s="7" t="s">
        <v>8306</v>
      </c>
      <c r="G4023" s="7" t="n">
        <v>2018</v>
      </c>
      <c r="H4023" s="7" t="s">
        <v>119</v>
      </c>
      <c r="I4023" s="7" t="s">
        <v>82</v>
      </c>
      <c r="J4023" s="7" t="s">
        <v>44</v>
      </c>
      <c r="K4023" s="7" t="n">
        <f aca="false">IFERROR(VALUE(RIGHT(TRIM(F4023),4)),"")</f>
        <v>2019</v>
      </c>
      <c r="L4023" s="7" t="str">
        <f aca="false">IF(TRIM(E4023)="","Unknown",IFERROR(LEFT(TRIM(E4023),FIND(",",TRIM(E4023))-1),TRIM(E4023)))</f>
        <v>Denmark</v>
      </c>
      <c r="M4023" s="7" t="str">
        <f aca="false">IFERROR(LEFT(J4023,FIND(",",J4023)-1),J4023)</f>
        <v>Kids' TV</v>
      </c>
      <c r="N4023" s="7" t="str">
        <f aca="false">IF(B4023="Movie",IFERROR(VALUE(LEFT(I4023,FIND(" ",I4023)-1)),""),"")</f>
        <v/>
      </c>
      <c r="O4023" s="7" t="n">
        <f aca="false">IF(B4023="TV Show",IFERROR(VALUE(LEFT(I4023,FIND(" ",I4023)-1)),""),"")</f>
        <v>1</v>
      </c>
      <c r="P4023" s="7" t="n">
        <f aca="false">IF(K4023="","",K4023-G4023)</f>
        <v>1</v>
      </c>
    </row>
    <row r="4024" customFormat="false" ht="15" hidden="false" customHeight="false" outlineLevel="0" collapsed="false">
      <c r="A4024" s="7" t="n">
        <v>81048914</v>
      </c>
      <c r="B4024" s="7" t="s">
        <v>68</v>
      </c>
      <c r="C4024" s="7" t="s">
        <v>8333</v>
      </c>
      <c r="D4024" s="7" t="s">
        <v>1255</v>
      </c>
      <c r="E4024" s="7" t="s">
        <v>26</v>
      </c>
      <c r="F4024" s="7" t="s">
        <v>8306</v>
      </c>
      <c r="G4024" s="7" t="n">
        <v>2018</v>
      </c>
      <c r="H4024" s="7" t="s">
        <v>81</v>
      </c>
      <c r="I4024" s="7" t="s">
        <v>1727</v>
      </c>
      <c r="J4024" s="7" t="s">
        <v>42</v>
      </c>
      <c r="K4024" s="7" t="n">
        <f aca="false">IFERROR(VALUE(RIGHT(TRIM(F4024),4)),"")</f>
        <v>2019</v>
      </c>
      <c r="L4024" s="7" t="str">
        <f aca="false">IF(TRIM(E4024)="","Unknown",IFERROR(LEFT(TRIM(E4024),FIND(",",TRIM(E4024))-1),TRIM(E4024)))</f>
        <v>United States</v>
      </c>
      <c r="M4024" s="7" t="str">
        <f aca="false">IFERROR(LEFT(J4024,FIND(",",J4024)-1),J4024)</f>
        <v>Children &amp; Family Movies</v>
      </c>
      <c r="N4024" s="7" t="n">
        <f aca="false">IF(B4024="Movie",IFERROR(VALUE(LEFT(I4024,FIND(" ",I4024)-1)),""),"")</f>
        <v>22</v>
      </c>
      <c r="O4024" s="7" t="str">
        <f aca="false">IF(B4024="TV Show",IFERROR(VALUE(LEFT(I4024,FIND(" ",I4024)-1)),""),"")</f>
        <v/>
      </c>
      <c r="P4024" s="7" t="n">
        <f aca="false">IF(K4024="","",K4024-G4024)</f>
        <v>1</v>
      </c>
    </row>
    <row r="4025" customFormat="false" ht="15" hidden="false" customHeight="false" outlineLevel="0" collapsed="false">
      <c r="A4025" s="7" t="n">
        <v>81048916</v>
      </c>
      <c r="B4025" s="7" t="s">
        <v>68</v>
      </c>
      <c r="C4025" s="7" t="s">
        <v>8334</v>
      </c>
      <c r="E4025" s="7" t="s">
        <v>26</v>
      </c>
      <c r="F4025" s="7" t="s">
        <v>8306</v>
      </c>
      <c r="G4025" s="7" t="n">
        <v>2017</v>
      </c>
      <c r="H4025" s="7" t="s">
        <v>81</v>
      </c>
      <c r="I4025" s="7" t="s">
        <v>1727</v>
      </c>
      <c r="J4025" s="7" t="s">
        <v>42</v>
      </c>
      <c r="K4025" s="7" t="n">
        <f aca="false">IFERROR(VALUE(RIGHT(TRIM(F4025),4)),"")</f>
        <v>2019</v>
      </c>
      <c r="L4025" s="7" t="str">
        <f aca="false">IF(TRIM(E4025)="","Unknown",IFERROR(LEFT(TRIM(E4025),FIND(",",TRIM(E4025))-1),TRIM(E4025)))</f>
        <v>United States</v>
      </c>
      <c r="M4025" s="7" t="str">
        <f aca="false">IFERROR(LEFT(J4025,FIND(",",J4025)-1),J4025)</f>
        <v>Children &amp; Family Movies</v>
      </c>
      <c r="N4025" s="7" t="n">
        <f aca="false">IF(B4025="Movie",IFERROR(VALUE(LEFT(I4025,FIND(" ",I4025)-1)),""),"")</f>
        <v>22</v>
      </c>
      <c r="O4025" s="7" t="str">
        <f aca="false">IF(B4025="TV Show",IFERROR(VALUE(LEFT(I4025,FIND(" ",I4025)-1)),""),"")</f>
        <v/>
      </c>
      <c r="P4025" s="7" t="n">
        <f aca="false">IF(K4025="","",K4025-G4025)</f>
        <v>2</v>
      </c>
    </row>
    <row r="4026" customFormat="false" ht="15" hidden="false" customHeight="false" outlineLevel="0" collapsed="false">
      <c r="A4026" s="7" t="n">
        <v>81048910</v>
      </c>
      <c r="B4026" s="7" t="s">
        <v>68</v>
      </c>
      <c r="C4026" s="7" t="s">
        <v>8335</v>
      </c>
      <c r="E4026" s="7" t="s">
        <v>8336</v>
      </c>
      <c r="F4026" s="7" t="s">
        <v>8306</v>
      </c>
      <c r="G4026" s="7" t="n">
        <v>2016</v>
      </c>
      <c r="H4026" s="7" t="s">
        <v>81</v>
      </c>
      <c r="I4026" s="7" t="s">
        <v>2198</v>
      </c>
      <c r="J4026" s="7" t="s">
        <v>5856</v>
      </c>
      <c r="K4026" s="7" t="n">
        <f aca="false">IFERROR(VALUE(RIGHT(TRIM(F4026),4)),"")</f>
        <v>2019</v>
      </c>
      <c r="L4026" s="7" t="str">
        <f aca="false">IF(TRIM(E4026)="","Unknown",IFERROR(LEFT(TRIM(E4026),FIND(",",TRIM(E4026))-1),TRIM(E4026)))</f>
        <v>Denmark</v>
      </c>
      <c r="M4026" s="7" t="str">
        <f aca="false">IFERROR(LEFT(J4026,FIND(",",J4026)-1),J4026)</f>
        <v>Action &amp; Adventure</v>
      </c>
      <c r="N4026" s="7" t="n">
        <f aca="false">IF(B4026="Movie",IFERROR(VALUE(LEFT(I4026,FIND(" ",I4026)-1)),""),"")</f>
        <v>44</v>
      </c>
      <c r="O4026" s="7" t="str">
        <f aca="false">IF(B4026="TV Show",IFERROR(VALUE(LEFT(I4026,FIND(" ",I4026)-1)),""),"")</f>
        <v/>
      </c>
      <c r="P4026" s="7" t="n">
        <f aca="false">IF(K4026="","",K4026-G4026)</f>
        <v>3</v>
      </c>
    </row>
    <row r="4027" customFormat="false" ht="15" hidden="false" customHeight="false" outlineLevel="0" collapsed="false">
      <c r="A4027" s="7" t="n">
        <v>80997225</v>
      </c>
      <c r="B4027" s="7" t="s">
        <v>78</v>
      </c>
      <c r="C4027" s="7" t="s">
        <v>8337</v>
      </c>
      <c r="E4027" s="7" t="s">
        <v>33</v>
      </c>
      <c r="F4027" s="7" t="s">
        <v>8306</v>
      </c>
      <c r="G4027" s="7" t="n">
        <v>2017</v>
      </c>
      <c r="H4027" s="7" t="s">
        <v>49</v>
      </c>
      <c r="I4027" s="7" t="s">
        <v>82</v>
      </c>
      <c r="J4027" s="7" t="s">
        <v>1402</v>
      </c>
      <c r="K4027" s="7" t="n">
        <f aca="false">IFERROR(VALUE(RIGHT(TRIM(F4027),4)),"")</f>
        <v>2019</v>
      </c>
      <c r="L4027" s="7" t="str">
        <f aca="false">IF(TRIM(E4027)="","Unknown",IFERROR(LEFT(TRIM(E4027),FIND(",",TRIM(E4027))-1),TRIM(E4027)))</f>
        <v>Spain</v>
      </c>
      <c r="M4027" s="7" t="str">
        <f aca="false">IFERROR(LEFT(J4027,FIND(",",J4027)-1),J4027)</f>
        <v>Crime TV Shows</v>
      </c>
      <c r="N4027" s="7" t="str">
        <f aca="false">IF(B4027="Movie",IFERROR(VALUE(LEFT(I4027,FIND(" ",I4027)-1)),""),"")</f>
        <v/>
      </c>
      <c r="O4027" s="7" t="n">
        <f aca="false">IF(B4027="TV Show",IFERROR(VALUE(LEFT(I4027,FIND(" ",I4027)-1)),""),"")</f>
        <v>1</v>
      </c>
      <c r="P4027" s="7" t="n">
        <f aca="false">IF(K4027="","",K4027-G4027)</f>
        <v>2</v>
      </c>
    </row>
    <row r="4028" customFormat="false" ht="15" hidden="false" customHeight="false" outlineLevel="0" collapsed="false">
      <c r="A4028" s="7" t="n">
        <v>80220228</v>
      </c>
      <c r="B4028" s="7" t="s">
        <v>68</v>
      </c>
      <c r="C4028" s="7" t="s">
        <v>8338</v>
      </c>
      <c r="D4028" s="7" t="s">
        <v>8339</v>
      </c>
      <c r="E4028" s="7" t="s">
        <v>26</v>
      </c>
      <c r="F4028" s="7" t="s">
        <v>8306</v>
      </c>
      <c r="G4028" s="7" t="n">
        <v>2018</v>
      </c>
      <c r="H4028" s="7" t="s">
        <v>48</v>
      </c>
      <c r="I4028" s="7" t="s">
        <v>470</v>
      </c>
      <c r="J4028" s="7" t="s">
        <v>265</v>
      </c>
      <c r="K4028" s="7" t="n">
        <f aca="false">IFERROR(VALUE(RIGHT(TRIM(F4028),4)),"")</f>
        <v>2019</v>
      </c>
      <c r="L4028" s="7" t="str">
        <f aca="false">IF(TRIM(E4028)="","Unknown",IFERROR(LEFT(TRIM(E4028),FIND(",",TRIM(E4028))-1),TRIM(E4028)))</f>
        <v>United States</v>
      </c>
      <c r="M4028" s="7" t="str">
        <f aca="false">IFERROR(LEFT(J4028,FIND(",",J4028)-1),J4028)</f>
        <v>Horror Movies</v>
      </c>
      <c r="N4028" s="7" t="n">
        <f aca="false">IF(B4028="Movie",IFERROR(VALUE(LEFT(I4028,FIND(" ",I4028)-1)),""),"")</f>
        <v>91</v>
      </c>
      <c r="O4028" s="7" t="str">
        <f aca="false">IF(B4028="TV Show",IFERROR(VALUE(LEFT(I4028,FIND(" ",I4028)-1)),""),"")</f>
        <v/>
      </c>
      <c r="P4028" s="7" t="n">
        <f aca="false">IF(K4028="","",K4028-G4028)</f>
        <v>1</v>
      </c>
    </row>
    <row r="4029" customFormat="false" ht="15" hidden="false" customHeight="false" outlineLevel="0" collapsed="false">
      <c r="A4029" s="7" t="n">
        <v>81059663</v>
      </c>
      <c r="B4029" s="7" t="s">
        <v>78</v>
      </c>
      <c r="C4029" s="7" t="s">
        <v>8340</v>
      </c>
      <c r="E4029" s="7" t="s">
        <v>28</v>
      </c>
      <c r="F4029" s="7" t="s">
        <v>8306</v>
      </c>
      <c r="G4029" s="7" t="n">
        <v>2013</v>
      </c>
      <c r="H4029" s="7" t="s">
        <v>48</v>
      </c>
      <c r="I4029" s="7" t="s">
        <v>82</v>
      </c>
      <c r="J4029" s="7" t="s">
        <v>1122</v>
      </c>
      <c r="K4029" s="7" t="n">
        <f aca="false">IFERROR(VALUE(RIGHT(TRIM(F4029),4)),"")</f>
        <v>2019</v>
      </c>
      <c r="L4029" s="7" t="str">
        <f aca="false">IF(TRIM(E4029)="","Unknown",IFERROR(LEFT(TRIM(E4029),FIND(",",TRIM(E4029))-1),TRIM(E4029)))</f>
        <v>United Kingdom</v>
      </c>
      <c r="M4029" s="7" t="str">
        <f aca="false">IFERROR(LEFT(J4029,FIND(",",J4029)-1),J4029)</f>
        <v>British TV Shows</v>
      </c>
      <c r="N4029" s="7" t="str">
        <f aca="false">IF(B4029="Movie",IFERROR(VALUE(LEFT(I4029,FIND(" ",I4029)-1)),""),"")</f>
        <v/>
      </c>
      <c r="O4029" s="7" t="n">
        <f aca="false">IF(B4029="TV Show",IFERROR(VALUE(LEFT(I4029,FIND(" ",I4029)-1)),""),"")</f>
        <v>1</v>
      </c>
      <c r="P4029" s="7" t="n">
        <f aca="false">IF(K4029="","",K4029-G4029)</f>
        <v>6</v>
      </c>
    </row>
    <row r="4030" customFormat="false" ht="15" hidden="false" customHeight="false" outlineLevel="0" collapsed="false">
      <c r="A4030" s="7" t="n">
        <v>70101697</v>
      </c>
      <c r="B4030" s="7" t="s">
        <v>68</v>
      </c>
      <c r="C4030" s="7" t="s">
        <v>8341</v>
      </c>
      <c r="D4030" s="7" t="s">
        <v>2242</v>
      </c>
      <c r="E4030" s="7" t="s">
        <v>2057</v>
      </c>
      <c r="F4030" s="7" t="s">
        <v>8306</v>
      </c>
      <c r="G4030" s="7" t="n">
        <v>2009</v>
      </c>
      <c r="H4030" s="7" t="s">
        <v>51</v>
      </c>
      <c r="I4030" s="7" t="s">
        <v>87</v>
      </c>
      <c r="J4030" s="7" t="s">
        <v>40</v>
      </c>
      <c r="K4030" s="7" t="n">
        <f aca="false">IFERROR(VALUE(RIGHT(TRIM(F4030),4)),"")</f>
        <v>2019</v>
      </c>
      <c r="L4030" s="7" t="str">
        <f aca="false">IF(TRIM(E4030)="","Unknown",IFERROR(LEFT(TRIM(E4030),FIND(",",TRIM(E4030))-1),TRIM(E4030)))</f>
        <v>Germany</v>
      </c>
      <c r="M4030" s="7" t="str">
        <f aca="false">IFERROR(LEFT(J4030,FIND(",",J4030)-1),J4030)</f>
        <v>Action &amp; Adventure</v>
      </c>
      <c r="N4030" s="7" t="n">
        <f aca="false">IF(B4030="Movie",IFERROR(VALUE(LEFT(I4030,FIND(" ",I4030)-1)),""),"")</f>
        <v>99</v>
      </c>
      <c r="O4030" s="7" t="str">
        <f aca="false">IF(B4030="TV Show",IFERROR(VALUE(LEFT(I4030,FIND(" ",I4030)-1)),""),"")</f>
        <v/>
      </c>
      <c r="P4030" s="7" t="n">
        <f aca="false">IF(K4030="","",K4030-G4030)</f>
        <v>10</v>
      </c>
    </row>
    <row r="4031" customFormat="false" ht="15" hidden="false" customHeight="false" outlineLevel="0" collapsed="false">
      <c r="A4031" s="7" t="n">
        <v>81063091</v>
      </c>
      <c r="B4031" s="7" t="s">
        <v>78</v>
      </c>
      <c r="C4031" s="7" t="s">
        <v>8342</v>
      </c>
      <c r="E4031" s="7" t="s">
        <v>28</v>
      </c>
      <c r="F4031" s="7" t="s">
        <v>8306</v>
      </c>
      <c r="G4031" s="7" t="n">
        <v>2016</v>
      </c>
      <c r="H4031" s="7" t="s">
        <v>49</v>
      </c>
      <c r="I4031" s="7" t="s">
        <v>82</v>
      </c>
      <c r="J4031" s="7" t="s">
        <v>1574</v>
      </c>
      <c r="K4031" s="7" t="n">
        <f aca="false">IFERROR(VALUE(RIGHT(TRIM(F4031),4)),"")</f>
        <v>2019</v>
      </c>
      <c r="L4031" s="7" t="str">
        <f aca="false">IF(TRIM(E4031)="","Unknown",IFERROR(LEFT(TRIM(E4031),FIND(",",TRIM(E4031))-1),TRIM(E4031)))</f>
        <v>United Kingdom</v>
      </c>
      <c r="M4031" s="7" t="str">
        <f aca="false">IFERROR(LEFT(J4031,FIND(",",J4031)-1),J4031)</f>
        <v>British TV Shows</v>
      </c>
      <c r="N4031" s="7" t="str">
        <f aca="false">IF(B4031="Movie",IFERROR(VALUE(LEFT(I4031,FIND(" ",I4031)-1)),""),"")</f>
        <v/>
      </c>
      <c r="O4031" s="7" t="n">
        <f aca="false">IF(B4031="TV Show",IFERROR(VALUE(LEFT(I4031,FIND(" ",I4031)-1)),""),"")</f>
        <v>1</v>
      </c>
      <c r="P4031" s="7" t="n">
        <f aca="false">IF(K4031="","",K4031-G4031)</f>
        <v>3</v>
      </c>
    </row>
    <row r="4032" customFormat="false" ht="15" hidden="false" customHeight="false" outlineLevel="0" collapsed="false">
      <c r="A4032" s="7" t="n">
        <v>80106984</v>
      </c>
      <c r="B4032" s="7" t="s">
        <v>68</v>
      </c>
      <c r="C4032" s="7" t="s">
        <v>8343</v>
      </c>
      <c r="D4032" s="7" t="s">
        <v>8285</v>
      </c>
      <c r="E4032" s="7" t="s">
        <v>8344</v>
      </c>
      <c r="F4032" s="7" t="s">
        <v>8306</v>
      </c>
      <c r="G4032" s="7" t="n">
        <v>2016</v>
      </c>
      <c r="H4032" s="7" t="s">
        <v>51</v>
      </c>
      <c r="I4032" s="7" t="s">
        <v>820</v>
      </c>
      <c r="J4032" s="7" t="s">
        <v>182</v>
      </c>
      <c r="K4032" s="7" t="n">
        <f aca="false">IFERROR(VALUE(RIGHT(TRIM(F4032),4)),"")</f>
        <v>2019</v>
      </c>
      <c r="L4032" s="7" t="str">
        <f aca="false">IF(TRIM(E4032)="","Unknown",IFERROR(LEFT(TRIM(E4032),FIND(",",TRIM(E4032))-1),TRIM(E4032)))</f>
        <v>France</v>
      </c>
      <c r="M4032" s="7" t="str">
        <f aca="false">IFERROR(LEFT(J4032,FIND(",",J4032)-1),J4032)</f>
        <v>Dramas</v>
      </c>
      <c r="N4032" s="7" t="n">
        <f aca="false">IF(B4032="Movie",IFERROR(VALUE(LEFT(I4032,FIND(" ",I4032)-1)),""),"")</f>
        <v>105</v>
      </c>
      <c r="O4032" s="7" t="str">
        <f aca="false">IF(B4032="TV Show",IFERROR(VALUE(LEFT(I4032,FIND(" ",I4032)-1)),""),"")</f>
        <v/>
      </c>
      <c r="P4032" s="7" t="n">
        <f aca="false">IF(K4032="","",K4032-G4032)</f>
        <v>3</v>
      </c>
    </row>
    <row r="4033" customFormat="false" ht="15" hidden="false" customHeight="false" outlineLevel="0" collapsed="false">
      <c r="A4033" s="7" t="n">
        <v>80211627</v>
      </c>
      <c r="B4033" s="7" t="s">
        <v>78</v>
      </c>
      <c r="C4033" s="7" t="s">
        <v>8345</v>
      </c>
      <c r="E4033" s="7" t="s">
        <v>26</v>
      </c>
      <c r="F4033" s="7" t="s">
        <v>8306</v>
      </c>
      <c r="G4033" s="7" t="n">
        <v>2019</v>
      </c>
      <c r="H4033" s="7" t="s">
        <v>48</v>
      </c>
      <c r="I4033" s="7" t="s">
        <v>82</v>
      </c>
      <c r="J4033" s="7" t="s">
        <v>502</v>
      </c>
      <c r="K4033" s="7" t="n">
        <f aca="false">IFERROR(VALUE(RIGHT(TRIM(F4033),4)),"")</f>
        <v>2019</v>
      </c>
      <c r="L4033" s="7" t="str">
        <f aca="false">IF(TRIM(E4033)="","Unknown",IFERROR(LEFT(TRIM(E4033),FIND(",",TRIM(E4033))-1),TRIM(E4033)))</f>
        <v>United States</v>
      </c>
      <c r="M4033" s="7" t="str">
        <f aca="false">IFERROR(LEFT(J4033,FIND(",",J4033)-1),J4033)</f>
        <v>TV Comedies</v>
      </c>
      <c r="N4033" s="7" t="str">
        <f aca="false">IF(B4033="Movie",IFERROR(VALUE(LEFT(I4033,FIND(" ",I4033)-1)),""),"")</f>
        <v/>
      </c>
      <c r="O4033" s="7" t="n">
        <f aca="false">IF(B4033="TV Show",IFERROR(VALUE(LEFT(I4033,FIND(" ",I4033)-1)),""),"")</f>
        <v>1</v>
      </c>
      <c r="P4033" s="7" t="n">
        <f aca="false">IF(K4033="","",K4033-G4033)</f>
        <v>0</v>
      </c>
    </row>
    <row r="4034" customFormat="false" ht="15" hidden="false" customHeight="false" outlineLevel="0" collapsed="false">
      <c r="A4034" s="7" t="n">
        <v>81041414</v>
      </c>
      <c r="B4034" s="7" t="s">
        <v>78</v>
      </c>
      <c r="C4034" s="7" t="s">
        <v>8346</v>
      </c>
      <c r="E4034" s="7" t="s">
        <v>752</v>
      </c>
      <c r="F4034" s="7" t="s">
        <v>8306</v>
      </c>
      <c r="G4034" s="7" t="n">
        <v>2018</v>
      </c>
      <c r="H4034" s="7" t="s">
        <v>48</v>
      </c>
      <c r="I4034" s="7" t="s">
        <v>82</v>
      </c>
      <c r="J4034" s="7" t="s">
        <v>402</v>
      </c>
      <c r="K4034" s="7" t="n">
        <f aca="false">IFERROR(VALUE(RIGHT(TRIM(F4034),4)),"")</f>
        <v>2019</v>
      </c>
      <c r="L4034" s="7" t="str">
        <f aca="false">IF(TRIM(E4034)="","Unknown",IFERROR(LEFT(TRIM(E4034),FIND(",",TRIM(E4034))-1),TRIM(E4034)))</f>
        <v>Russia</v>
      </c>
      <c r="M4034" s="7" t="str">
        <f aca="false">IFERROR(LEFT(J4034,FIND(",",J4034)-1),J4034)</f>
        <v>Crime TV Shows</v>
      </c>
      <c r="N4034" s="7" t="str">
        <f aca="false">IF(B4034="Movie",IFERROR(VALUE(LEFT(I4034,FIND(" ",I4034)-1)),""),"")</f>
        <v/>
      </c>
      <c r="O4034" s="7" t="n">
        <f aca="false">IF(B4034="TV Show",IFERROR(VALUE(LEFT(I4034,FIND(" ",I4034)-1)),""),"")</f>
        <v>1</v>
      </c>
      <c r="P4034" s="7" t="n">
        <f aca="false">IF(K4034="","",K4034-G4034)</f>
        <v>1</v>
      </c>
    </row>
    <row r="4035" customFormat="false" ht="15" hidden="false" customHeight="false" outlineLevel="0" collapsed="false">
      <c r="A4035" s="7" t="n">
        <v>80990612</v>
      </c>
      <c r="B4035" s="7" t="s">
        <v>78</v>
      </c>
      <c r="C4035" s="7" t="s">
        <v>8347</v>
      </c>
      <c r="E4035" s="7" t="s">
        <v>30</v>
      </c>
      <c r="F4035" s="7" t="s">
        <v>8306</v>
      </c>
      <c r="G4035" s="7" t="n">
        <v>2018</v>
      </c>
      <c r="H4035" s="7" t="s">
        <v>49</v>
      </c>
      <c r="I4035" s="7" t="s">
        <v>82</v>
      </c>
      <c r="J4035" s="7" t="s">
        <v>542</v>
      </c>
      <c r="K4035" s="7" t="n">
        <f aca="false">IFERROR(VALUE(RIGHT(TRIM(F4035),4)),"")</f>
        <v>2019</v>
      </c>
      <c r="L4035" s="7" t="str">
        <f aca="false">IF(TRIM(E4035)="","Unknown",IFERROR(LEFT(TRIM(E4035),FIND(",",TRIM(E4035))-1),TRIM(E4035)))</f>
        <v>Japan</v>
      </c>
      <c r="M4035" s="7" t="str">
        <f aca="false">IFERROR(LEFT(J4035,FIND(",",J4035)-1),J4035)</f>
        <v>Anime Series</v>
      </c>
      <c r="N4035" s="7" t="str">
        <f aca="false">IF(B4035="Movie",IFERROR(VALUE(LEFT(I4035,FIND(" ",I4035)-1)),""),"")</f>
        <v/>
      </c>
      <c r="O4035" s="7" t="n">
        <f aca="false">IF(B4035="TV Show",IFERROR(VALUE(LEFT(I4035,FIND(" ",I4035)-1)),""),"")</f>
        <v>1</v>
      </c>
      <c r="P4035" s="7" t="n">
        <f aca="false">IF(K4035="","",K4035-G4035)</f>
        <v>1</v>
      </c>
    </row>
    <row r="4036" customFormat="false" ht="15" hidden="false" customHeight="false" outlineLevel="0" collapsed="false">
      <c r="A4036" s="7" t="n">
        <v>81059684</v>
      </c>
      <c r="B4036" s="7" t="s">
        <v>78</v>
      </c>
      <c r="C4036" s="7" t="s">
        <v>8348</v>
      </c>
      <c r="E4036" s="7" t="s">
        <v>28</v>
      </c>
      <c r="F4036" s="7" t="s">
        <v>8306</v>
      </c>
      <c r="G4036" s="7" t="n">
        <v>2011</v>
      </c>
      <c r="H4036" s="7" t="s">
        <v>49</v>
      </c>
      <c r="I4036" s="7" t="s">
        <v>82</v>
      </c>
      <c r="J4036" s="7" t="s">
        <v>1969</v>
      </c>
      <c r="K4036" s="7" t="n">
        <f aca="false">IFERROR(VALUE(RIGHT(TRIM(F4036),4)),"")</f>
        <v>2019</v>
      </c>
      <c r="L4036" s="7" t="str">
        <f aca="false">IF(TRIM(E4036)="","Unknown",IFERROR(LEFT(TRIM(E4036),FIND(",",TRIM(E4036))-1),TRIM(E4036)))</f>
        <v>United Kingdom</v>
      </c>
      <c r="M4036" s="7" t="str">
        <f aca="false">IFERROR(LEFT(J4036,FIND(",",J4036)-1),J4036)</f>
        <v>British TV Shows</v>
      </c>
      <c r="N4036" s="7" t="str">
        <f aca="false">IF(B4036="Movie",IFERROR(VALUE(LEFT(I4036,FIND(" ",I4036)-1)),""),"")</f>
        <v/>
      </c>
      <c r="O4036" s="7" t="n">
        <f aca="false">IF(B4036="TV Show",IFERROR(VALUE(LEFT(I4036,FIND(" ",I4036)-1)),""),"")</f>
        <v>1</v>
      </c>
      <c r="P4036" s="7" t="n">
        <f aca="false">IF(K4036="","",K4036-G4036)</f>
        <v>8</v>
      </c>
    </row>
    <row r="4037" customFormat="false" ht="15" hidden="false" customHeight="false" outlineLevel="0" collapsed="false">
      <c r="A4037" s="7" t="n">
        <v>81059816</v>
      </c>
      <c r="B4037" s="7" t="s">
        <v>78</v>
      </c>
      <c r="C4037" s="7" t="s">
        <v>8349</v>
      </c>
      <c r="E4037" s="7" t="s">
        <v>28</v>
      </c>
      <c r="F4037" s="7" t="s">
        <v>8306</v>
      </c>
      <c r="G4037" s="7" t="n">
        <v>2015</v>
      </c>
      <c r="H4037" s="7" t="s">
        <v>50</v>
      </c>
      <c r="I4037" s="7" t="s">
        <v>82</v>
      </c>
      <c r="J4037" s="7" t="s">
        <v>1574</v>
      </c>
      <c r="K4037" s="7" t="n">
        <f aca="false">IFERROR(VALUE(RIGHT(TRIM(F4037),4)),"")</f>
        <v>2019</v>
      </c>
      <c r="L4037" s="7" t="str">
        <f aca="false">IF(TRIM(E4037)="","Unknown",IFERROR(LEFT(TRIM(E4037),FIND(",",TRIM(E4037))-1),TRIM(E4037)))</f>
        <v>United Kingdom</v>
      </c>
      <c r="M4037" s="7" t="str">
        <f aca="false">IFERROR(LEFT(J4037,FIND(",",J4037)-1),J4037)</f>
        <v>British TV Shows</v>
      </c>
      <c r="N4037" s="7" t="str">
        <f aca="false">IF(B4037="Movie",IFERROR(VALUE(LEFT(I4037,FIND(" ",I4037)-1)),""),"")</f>
        <v/>
      </c>
      <c r="O4037" s="7" t="n">
        <f aca="false">IF(B4037="TV Show",IFERROR(VALUE(LEFT(I4037,FIND(" ",I4037)-1)),""),"")</f>
        <v>1</v>
      </c>
      <c r="P4037" s="7" t="n">
        <f aca="false">IF(K4037="","",K4037-G4037)</f>
        <v>4</v>
      </c>
    </row>
    <row r="4038" customFormat="false" ht="15" hidden="false" customHeight="false" outlineLevel="0" collapsed="false">
      <c r="A4038" s="7" t="n">
        <v>81063049</v>
      </c>
      <c r="B4038" s="7" t="s">
        <v>78</v>
      </c>
      <c r="C4038" s="7" t="s">
        <v>8350</v>
      </c>
      <c r="E4038" s="7" t="s">
        <v>28</v>
      </c>
      <c r="F4038" s="7" t="s">
        <v>8306</v>
      </c>
      <c r="G4038" s="7" t="n">
        <v>2011</v>
      </c>
      <c r="H4038" s="7" t="s">
        <v>48</v>
      </c>
      <c r="I4038" s="7" t="s">
        <v>82</v>
      </c>
      <c r="J4038" s="7" t="s">
        <v>1122</v>
      </c>
      <c r="K4038" s="7" t="n">
        <f aca="false">IFERROR(VALUE(RIGHT(TRIM(F4038),4)),"")</f>
        <v>2019</v>
      </c>
      <c r="L4038" s="7" t="str">
        <f aca="false">IF(TRIM(E4038)="","Unknown",IFERROR(LEFT(TRIM(E4038),FIND(",",TRIM(E4038))-1),TRIM(E4038)))</f>
        <v>United Kingdom</v>
      </c>
      <c r="M4038" s="7" t="str">
        <f aca="false">IFERROR(LEFT(J4038,FIND(",",J4038)-1),J4038)</f>
        <v>British TV Shows</v>
      </c>
      <c r="N4038" s="7" t="str">
        <f aca="false">IF(B4038="Movie",IFERROR(VALUE(LEFT(I4038,FIND(" ",I4038)-1)),""),"")</f>
        <v/>
      </c>
      <c r="O4038" s="7" t="n">
        <f aca="false">IF(B4038="TV Show",IFERROR(VALUE(LEFT(I4038,FIND(" ",I4038)-1)),""),"")</f>
        <v>1</v>
      </c>
      <c r="P4038" s="7" t="n">
        <f aca="false">IF(K4038="","",K4038-G4038)</f>
        <v>8</v>
      </c>
    </row>
    <row r="4039" customFormat="false" ht="15" hidden="false" customHeight="false" outlineLevel="0" collapsed="false">
      <c r="A4039" s="7" t="n">
        <v>80104316</v>
      </c>
      <c r="B4039" s="7" t="s">
        <v>68</v>
      </c>
      <c r="C4039" s="7" t="s">
        <v>8351</v>
      </c>
      <c r="D4039" s="7" t="s">
        <v>8352</v>
      </c>
      <c r="E4039" s="7" t="s">
        <v>1714</v>
      </c>
      <c r="F4039" s="7" t="s">
        <v>8306</v>
      </c>
      <c r="G4039" s="7" t="n">
        <v>2016</v>
      </c>
      <c r="H4039" s="7" t="s">
        <v>51</v>
      </c>
      <c r="I4039" s="7" t="s">
        <v>820</v>
      </c>
      <c r="J4039" s="7" t="s">
        <v>251</v>
      </c>
      <c r="K4039" s="7" t="n">
        <f aca="false">IFERROR(VALUE(RIGHT(TRIM(F4039),4)),"")</f>
        <v>2019</v>
      </c>
      <c r="L4039" s="7" t="str">
        <f aca="false">IF(TRIM(E4039)="","Unknown",IFERROR(LEFT(TRIM(E4039),FIND(",",TRIM(E4039))-1),TRIM(E4039)))</f>
        <v>United States</v>
      </c>
      <c r="M4039" s="7" t="str">
        <f aca="false">IFERROR(LEFT(J4039,FIND(",",J4039)-1),J4039)</f>
        <v>Comedies</v>
      </c>
      <c r="N4039" s="7" t="n">
        <f aca="false">IF(B4039="Movie",IFERROR(VALUE(LEFT(I4039,FIND(" ",I4039)-1)),""),"")</f>
        <v>105</v>
      </c>
      <c r="O4039" s="7" t="str">
        <f aca="false">IF(B4039="TV Show",IFERROR(VALUE(LEFT(I4039,FIND(" ",I4039)-1)),""),"")</f>
        <v/>
      </c>
      <c r="P4039" s="7" t="n">
        <f aca="false">IF(K4039="","",K4039-G4039)</f>
        <v>3</v>
      </c>
    </row>
    <row r="4040" customFormat="false" ht="15" hidden="false" customHeight="false" outlineLevel="0" collapsed="false">
      <c r="A4040" s="7" t="n">
        <v>80992963</v>
      </c>
      <c r="B4040" s="7" t="s">
        <v>78</v>
      </c>
      <c r="C4040" s="7" t="s">
        <v>8353</v>
      </c>
      <c r="E4040" s="7" t="s">
        <v>26</v>
      </c>
      <c r="F4040" s="7" t="s">
        <v>8306</v>
      </c>
      <c r="G4040" s="7" t="n">
        <v>2017</v>
      </c>
      <c r="H4040" s="7" t="s">
        <v>49</v>
      </c>
      <c r="I4040" s="7" t="s">
        <v>82</v>
      </c>
      <c r="J4040" s="7" t="s">
        <v>164</v>
      </c>
      <c r="K4040" s="7" t="n">
        <f aca="false">IFERROR(VALUE(RIGHT(TRIM(F4040),4)),"")</f>
        <v>2019</v>
      </c>
      <c r="L4040" s="7" t="str">
        <f aca="false">IF(TRIM(E4040)="","Unknown",IFERROR(LEFT(TRIM(E4040),FIND(",",TRIM(E4040))-1),TRIM(E4040)))</f>
        <v>United States</v>
      </c>
      <c r="M4040" s="7" t="str">
        <f aca="false">IFERROR(LEFT(J4040,FIND(",",J4040)-1),J4040)</f>
        <v>Docuseries</v>
      </c>
      <c r="N4040" s="7" t="str">
        <f aca="false">IF(B4040="Movie",IFERROR(VALUE(LEFT(I4040,FIND(" ",I4040)-1)),""),"")</f>
        <v/>
      </c>
      <c r="O4040" s="7" t="n">
        <f aca="false">IF(B4040="TV Show",IFERROR(VALUE(LEFT(I4040,FIND(" ",I4040)-1)),""),"")</f>
        <v>1</v>
      </c>
      <c r="P4040" s="7" t="n">
        <f aca="false">IF(K4040="","",K4040-G4040)</f>
        <v>2</v>
      </c>
    </row>
    <row r="4041" customFormat="false" ht="15" hidden="false" customHeight="false" outlineLevel="0" collapsed="false">
      <c r="A4041" s="7" t="n">
        <v>80208661</v>
      </c>
      <c r="B4041" s="7" t="s">
        <v>68</v>
      </c>
      <c r="C4041" s="7" t="s">
        <v>8354</v>
      </c>
      <c r="D4041" s="7" t="s">
        <v>8355</v>
      </c>
      <c r="E4041" s="7" t="s">
        <v>26</v>
      </c>
      <c r="F4041" s="7" t="s">
        <v>8306</v>
      </c>
      <c r="G4041" s="7" t="n">
        <v>2018</v>
      </c>
      <c r="H4041" s="7" t="s">
        <v>49</v>
      </c>
      <c r="I4041" s="7" t="s">
        <v>264</v>
      </c>
      <c r="J4041" s="7" t="s">
        <v>147</v>
      </c>
      <c r="K4041" s="7" t="n">
        <f aca="false">IFERROR(VALUE(RIGHT(TRIM(F4041),4)),"")</f>
        <v>2019</v>
      </c>
      <c r="L4041" s="7" t="str">
        <f aca="false">IF(TRIM(E4041)="","Unknown",IFERROR(LEFT(TRIM(E4041),FIND(",",TRIM(E4041))-1),TRIM(E4041)))</f>
        <v>United States</v>
      </c>
      <c r="M4041" s="7" t="str">
        <f aca="false">IFERROR(LEFT(J4041,FIND(",",J4041)-1),J4041)</f>
        <v>Horror Movies</v>
      </c>
      <c r="N4041" s="7" t="n">
        <f aca="false">IF(B4041="Movie",IFERROR(VALUE(LEFT(I4041,FIND(" ",I4041)-1)),""),"")</f>
        <v>88</v>
      </c>
      <c r="O4041" s="7" t="str">
        <f aca="false">IF(B4041="TV Show",IFERROR(VALUE(LEFT(I4041,FIND(" ",I4041)-1)),""),"")</f>
        <v/>
      </c>
      <c r="P4041" s="7" t="n">
        <f aca="false">IF(K4041="","",K4041-G4041)</f>
        <v>1</v>
      </c>
    </row>
    <row r="4042" customFormat="false" ht="15" hidden="false" customHeight="false" outlineLevel="0" collapsed="false">
      <c r="A4042" s="7" t="n">
        <v>81063480</v>
      </c>
      <c r="B4042" s="7" t="s">
        <v>68</v>
      </c>
      <c r="C4042" s="7" t="s">
        <v>8356</v>
      </c>
      <c r="D4042" s="7" t="s">
        <v>8357</v>
      </c>
      <c r="E4042" s="7" t="s">
        <v>27</v>
      </c>
      <c r="F4042" s="7" t="s">
        <v>8306</v>
      </c>
      <c r="G4042" s="7" t="n">
        <v>2018</v>
      </c>
      <c r="H4042" s="7" t="s">
        <v>49</v>
      </c>
      <c r="I4042" s="7" t="s">
        <v>261</v>
      </c>
      <c r="J4042" s="7" t="s">
        <v>217</v>
      </c>
      <c r="K4042" s="7" t="n">
        <f aca="false">IFERROR(VALUE(RIGHT(TRIM(F4042),4)),"")</f>
        <v>2019</v>
      </c>
      <c r="L4042" s="7" t="str">
        <f aca="false">IF(TRIM(E4042)="","Unknown",IFERROR(LEFT(TRIM(E4042),FIND(",",TRIM(E4042))-1),TRIM(E4042)))</f>
        <v>India</v>
      </c>
      <c r="M4042" s="7" t="str">
        <f aca="false">IFERROR(LEFT(J4042,FIND(",",J4042)-1),J4042)</f>
        <v>Comedies</v>
      </c>
      <c r="N4042" s="7" t="n">
        <f aca="false">IF(B4042="Movie",IFERROR(VALUE(LEFT(I4042,FIND(" ",I4042)-1)),""),"")</f>
        <v>128</v>
      </c>
      <c r="O4042" s="7" t="str">
        <f aca="false">IF(B4042="TV Show",IFERROR(VALUE(LEFT(I4042,FIND(" ",I4042)-1)),""),"")</f>
        <v/>
      </c>
      <c r="P4042" s="7" t="n">
        <f aca="false">IF(K4042="","",K4042-G4042)</f>
        <v>1</v>
      </c>
    </row>
    <row r="4043" customFormat="false" ht="15" hidden="false" customHeight="false" outlineLevel="0" collapsed="false">
      <c r="A4043" s="7" t="n">
        <v>81035127</v>
      </c>
      <c r="B4043" s="7" t="s">
        <v>68</v>
      </c>
      <c r="C4043" s="7" t="s">
        <v>8358</v>
      </c>
      <c r="F4043" s="7" t="s">
        <v>8306</v>
      </c>
      <c r="G4043" s="7" t="n">
        <v>2019</v>
      </c>
      <c r="H4043" s="7" t="s">
        <v>119</v>
      </c>
      <c r="I4043" s="7" t="s">
        <v>373</v>
      </c>
      <c r="J4043" s="7" t="s">
        <v>42</v>
      </c>
      <c r="K4043" s="7" t="n">
        <f aca="false">IFERROR(VALUE(RIGHT(TRIM(F4043),4)),"")</f>
        <v>2019</v>
      </c>
      <c r="L4043" s="7" t="str">
        <f aca="false">IF(TRIM(E4043)="","Unknown",IFERROR(LEFT(TRIM(E4043),FIND(",",TRIM(E4043))-1),TRIM(E4043)))</f>
        <v>Unknown</v>
      </c>
      <c r="M4043" s="7" t="str">
        <f aca="false">IFERROR(LEFT(J4043,FIND(",",J4043)-1),J4043)</f>
        <v>Children &amp; Family Movies</v>
      </c>
      <c r="N4043" s="7" t="n">
        <f aca="false">IF(B4043="Movie",IFERROR(VALUE(LEFT(I4043,FIND(" ",I4043)-1)),""),"")</f>
        <v>24</v>
      </c>
      <c r="O4043" s="7" t="str">
        <f aca="false">IF(B4043="TV Show",IFERROR(VALUE(LEFT(I4043,FIND(" ",I4043)-1)),""),"")</f>
        <v/>
      </c>
      <c r="P4043" s="7" t="n">
        <f aca="false">IF(K4043="","",K4043-G4043)</f>
        <v>0</v>
      </c>
    </row>
    <row r="4044" customFormat="false" ht="15" hidden="false" customHeight="false" outlineLevel="0" collapsed="false">
      <c r="A4044" s="7" t="n">
        <v>80199689</v>
      </c>
      <c r="B4044" s="7" t="s">
        <v>68</v>
      </c>
      <c r="C4044" s="7" t="s">
        <v>8359</v>
      </c>
      <c r="D4044" s="7" t="s">
        <v>8360</v>
      </c>
      <c r="E4044" s="7" t="s">
        <v>26</v>
      </c>
      <c r="F4044" s="7" t="s">
        <v>8306</v>
      </c>
      <c r="G4044" s="7" t="n">
        <v>2019</v>
      </c>
      <c r="H4044" s="7" t="s">
        <v>51</v>
      </c>
      <c r="I4044" s="7" t="s">
        <v>146</v>
      </c>
      <c r="J4044" s="7" t="s">
        <v>597</v>
      </c>
      <c r="K4044" s="7" t="n">
        <f aca="false">IFERROR(VALUE(RIGHT(TRIM(F4044),4)),"")</f>
        <v>2019</v>
      </c>
      <c r="L4044" s="7" t="str">
        <f aca="false">IF(TRIM(E4044)="","Unknown",IFERROR(LEFT(TRIM(E4044),FIND(",",TRIM(E4044))-1),TRIM(E4044)))</f>
        <v>United States</v>
      </c>
      <c r="M4044" s="7" t="str">
        <f aca="false">IFERROR(LEFT(J4044,FIND(",",J4044)-1),J4044)</f>
        <v>Dramas</v>
      </c>
      <c r="N4044" s="7" t="n">
        <f aca="false">IF(B4044="Movie",IFERROR(VALUE(LEFT(I4044,FIND(" ",I4044)-1)),""),"")</f>
        <v>113</v>
      </c>
      <c r="O4044" s="7" t="str">
        <f aca="false">IF(B4044="TV Show",IFERROR(VALUE(LEFT(I4044,FIND(" ",I4044)-1)),""),"")</f>
        <v/>
      </c>
      <c r="P4044" s="7" t="n">
        <f aca="false">IF(K4044="","",K4044-G4044)</f>
        <v>0</v>
      </c>
    </row>
    <row r="4045" customFormat="false" ht="15" hidden="false" customHeight="false" outlineLevel="0" collapsed="false">
      <c r="A4045" s="7" t="n">
        <v>81063084</v>
      </c>
      <c r="B4045" s="7" t="s">
        <v>68</v>
      </c>
      <c r="C4045" s="7" t="s">
        <v>8361</v>
      </c>
      <c r="D4045" s="7" t="s">
        <v>8362</v>
      </c>
      <c r="E4045" s="7" t="s">
        <v>28</v>
      </c>
      <c r="F4045" s="7" t="s">
        <v>8306</v>
      </c>
      <c r="G4045" s="7" t="n">
        <v>2017</v>
      </c>
      <c r="H4045" s="7" t="s">
        <v>49</v>
      </c>
      <c r="I4045" s="7" t="s">
        <v>734</v>
      </c>
      <c r="J4045" s="7" t="s">
        <v>39</v>
      </c>
      <c r="K4045" s="7" t="n">
        <f aca="false">IFERROR(VALUE(RIGHT(TRIM(F4045),4)),"")</f>
        <v>2019</v>
      </c>
      <c r="L4045" s="7" t="str">
        <f aca="false">IF(TRIM(E4045)="","Unknown",IFERROR(LEFT(TRIM(E4045),FIND(",",TRIM(E4045))-1),TRIM(E4045)))</f>
        <v>United Kingdom</v>
      </c>
      <c r="M4045" s="7" t="str">
        <f aca="false">IFERROR(LEFT(J4045,FIND(",",J4045)-1),J4045)</f>
        <v>Documentaries</v>
      </c>
      <c r="N4045" s="7" t="n">
        <f aca="false">IF(B4045="Movie",IFERROR(VALUE(LEFT(I4045,FIND(" ",I4045)-1)),""),"")</f>
        <v>52</v>
      </c>
      <c r="O4045" s="7" t="str">
        <f aca="false">IF(B4045="TV Show",IFERROR(VALUE(LEFT(I4045,FIND(" ",I4045)-1)),""),"")</f>
        <v/>
      </c>
      <c r="P4045" s="7" t="n">
        <f aca="false">IF(K4045="","",K4045-G4045)</f>
        <v>2</v>
      </c>
    </row>
    <row r="4046" customFormat="false" ht="15" hidden="false" customHeight="false" outlineLevel="0" collapsed="false">
      <c r="A4046" s="7" t="n">
        <v>81059649</v>
      </c>
      <c r="B4046" s="7" t="s">
        <v>68</v>
      </c>
      <c r="C4046" s="7" t="s">
        <v>8363</v>
      </c>
      <c r="D4046" s="7" t="s">
        <v>8364</v>
      </c>
      <c r="E4046" s="7" t="s">
        <v>28</v>
      </c>
      <c r="F4046" s="7" t="s">
        <v>8306</v>
      </c>
      <c r="G4046" s="7" t="n">
        <v>2016</v>
      </c>
      <c r="H4046" s="7" t="s">
        <v>49</v>
      </c>
      <c r="I4046" s="7" t="s">
        <v>1644</v>
      </c>
      <c r="J4046" s="7" t="s">
        <v>39</v>
      </c>
      <c r="K4046" s="7" t="n">
        <f aca="false">IFERROR(VALUE(RIGHT(TRIM(F4046),4)),"")</f>
        <v>2019</v>
      </c>
      <c r="L4046" s="7" t="str">
        <f aca="false">IF(TRIM(E4046)="","Unknown",IFERROR(LEFT(TRIM(E4046),FIND(",",TRIM(E4046))-1),TRIM(E4046)))</f>
        <v>United Kingdom</v>
      </c>
      <c r="M4046" s="7" t="str">
        <f aca="false">IFERROR(LEFT(J4046,FIND(",",J4046)-1),J4046)</f>
        <v>Documentaries</v>
      </c>
      <c r="N4046" s="7" t="n">
        <f aca="false">IF(B4046="Movie",IFERROR(VALUE(LEFT(I4046,FIND(" ",I4046)-1)),""),"")</f>
        <v>50</v>
      </c>
      <c r="O4046" s="7" t="str">
        <f aca="false">IF(B4046="TV Show",IFERROR(VALUE(LEFT(I4046,FIND(" ",I4046)-1)),""),"")</f>
        <v/>
      </c>
      <c r="P4046" s="7" t="n">
        <f aca="false">IF(K4046="","",K4046-G4046)</f>
        <v>3</v>
      </c>
    </row>
    <row r="4047" customFormat="false" ht="15" hidden="false" customHeight="false" outlineLevel="0" collapsed="false">
      <c r="A4047" s="7" t="n">
        <v>81059856</v>
      </c>
      <c r="B4047" s="7" t="s">
        <v>78</v>
      </c>
      <c r="C4047" s="7" t="s">
        <v>8365</v>
      </c>
      <c r="E4047" s="7" t="s">
        <v>28</v>
      </c>
      <c r="F4047" s="7" t="s">
        <v>8306</v>
      </c>
      <c r="G4047" s="7" t="n">
        <v>2017</v>
      </c>
      <c r="H4047" s="7" t="s">
        <v>50</v>
      </c>
      <c r="I4047" s="7" t="s">
        <v>82</v>
      </c>
      <c r="J4047" s="7" t="s">
        <v>1122</v>
      </c>
      <c r="K4047" s="7" t="n">
        <f aca="false">IFERROR(VALUE(RIGHT(TRIM(F4047),4)),"")</f>
        <v>2019</v>
      </c>
      <c r="L4047" s="7" t="str">
        <f aca="false">IF(TRIM(E4047)="","Unknown",IFERROR(LEFT(TRIM(E4047),FIND(",",TRIM(E4047))-1),TRIM(E4047)))</f>
        <v>United Kingdom</v>
      </c>
      <c r="M4047" s="7" t="str">
        <f aca="false">IFERROR(LEFT(J4047,FIND(",",J4047)-1),J4047)</f>
        <v>British TV Shows</v>
      </c>
      <c r="N4047" s="7" t="str">
        <f aca="false">IF(B4047="Movie",IFERROR(VALUE(LEFT(I4047,FIND(" ",I4047)-1)),""),"")</f>
        <v/>
      </c>
      <c r="O4047" s="7" t="n">
        <f aca="false">IF(B4047="TV Show",IFERROR(VALUE(LEFT(I4047,FIND(" ",I4047)-1)),""),"")</f>
        <v>1</v>
      </c>
      <c r="P4047" s="7" t="n">
        <f aca="false">IF(K4047="","",K4047-G4047)</f>
        <v>2</v>
      </c>
    </row>
    <row r="4048" customFormat="false" ht="15" hidden="false" customHeight="false" outlineLevel="0" collapsed="false">
      <c r="A4048" s="7" t="n">
        <v>81059812</v>
      </c>
      <c r="B4048" s="7" t="s">
        <v>68</v>
      </c>
      <c r="C4048" s="7" t="s">
        <v>8366</v>
      </c>
      <c r="D4048" s="7" t="s">
        <v>8367</v>
      </c>
      <c r="F4048" s="7" t="s">
        <v>8306</v>
      </c>
      <c r="G4048" s="7" t="n">
        <v>2015</v>
      </c>
      <c r="H4048" s="7" t="s">
        <v>50</v>
      </c>
      <c r="I4048" s="7" t="s">
        <v>5456</v>
      </c>
      <c r="J4048" s="7" t="s">
        <v>10</v>
      </c>
      <c r="K4048" s="7" t="n">
        <f aca="false">IFERROR(VALUE(RIGHT(TRIM(F4048),4)),"")</f>
        <v>2019</v>
      </c>
      <c r="L4048" s="7" t="str">
        <f aca="false">IF(TRIM(E4048)="","Unknown",IFERROR(LEFT(TRIM(E4048),FIND(",",TRIM(E4048))-1),TRIM(E4048)))</f>
        <v>Unknown</v>
      </c>
      <c r="M4048" s="7" t="str">
        <f aca="false">IFERROR(LEFT(J4048,FIND(",",J4048)-1),J4048)</f>
        <v>Movies</v>
      </c>
      <c r="N4048" s="7" t="n">
        <f aca="false">IF(B4048="Movie",IFERROR(VALUE(LEFT(I4048,FIND(" ",I4048)-1)),""),"")</f>
        <v>49</v>
      </c>
      <c r="O4048" s="7" t="str">
        <f aca="false">IF(B4048="TV Show",IFERROR(VALUE(LEFT(I4048,FIND(" ",I4048)-1)),""),"")</f>
        <v/>
      </c>
      <c r="P4048" s="7" t="n">
        <f aca="false">IF(K4048="","",K4048-G4048)</f>
        <v>4</v>
      </c>
    </row>
    <row r="4049" customFormat="false" ht="15" hidden="false" customHeight="false" outlineLevel="0" collapsed="false">
      <c r="A4049" s="7" t="n">
        <v>80205451</v>
      </c>
      <c r="B4049" s="7" t="s">
        <v>68</v>
      </c>
      <c r="C4049" s="7" t="s">
        <v>8368</v>
      </c>
      <c r="D4049" s="7" t="s">
        <v>2434</v>
      </c>
      <c r="E4049" s="7" t="s">
        <v>26</v>
      </c>
      <c r="F4049" s="7" t="s">
        <v>8369</v>
      </c>
      <c r="G4049" s="7" t="n">
        <v>2017</v>
      </c>
      <c r="H4049" s="7" t="s">
        <v>48</v>
      </c>
      <c r="I4049" s="7" t="s">
        <v>467</v>
      </c>
      <c r="J4049" s="7" t="s">
        <v>39</v>
      </c>
      <c r="K4049" s="7" t="n">
        <f aca="false">IFERROR(VALUE(RIGHT(TRIM(F4049),4)),"")</f>
        <v>2018</v>
      </c>
      <c r="L4049" s="7" t="str">
        <f aca="false">IF(TRIM(E4049)="","Unknown",IFERROR(LEFT(TRIM(E4049),FIND(",",TRIM(E4049))-1),TRIM(E4049)))</f>
        <v>United States</v>
      </c>
      <c r="M4049" s="7" t="str">
        <f aca="false">IFERROR(LEFT(J4049,FIND(",",J4049)-1),J4049)</f>
        <v>Documentaries</v>
      </c>
      <c r="N4049" s="7" t="n">
        <f aca="false">IF(B4049="Movie",IFERROR(VALUE(LEFT(I4049,FIND(" ",I4049)-1)),""),"")</f>
        <v>81</v>
      </c>
      <c r="O4049" s="7" t="str">
        <f aca="false">IF(B4049="TV Show",IFERROR(VALUE(LEFT(I4049,FIND(" ",I4049)-1)),""),"")</f>
        <v/>
      </c>
      <c r="P4049" s="7" t="n">
        <f aca="false">IF(K4049="","",K4049-G4049)</f>
        <v>1</v>
      </c>
    </row>
    <row r="4050" customFormat="false" ht="15" hidden="false" customHeight="false" outlineLevel="0" collapsed="false">
      <c r="A4050" s="7" t="n">
        <v>70045919</v>
      </c>
      <c r="B4050" s="7" t="s">
        <v>68</v>
      </c>
      <c r="C4050" s="7" t="s">
        <v>8370</v>
      </c>
      <c r="D4050" s="7" t="s">
        <v>5938</v>
      </c>
      <c r="E4050" s="7" t="s">
        <v>26</v>
      </c>
      <c r="F4050" s="7" t="s">
        <v>8369</v>
      </c>
      <c r="G4050" s="7" t="n">
        <v>2005</v>
      </c>
      <c r="H4050" s="7" t="s">
        <v>52</v>
      </c>
      <c r="I4050" s="7" t="s">
        <v>272</v>
      </c>
      <c r="J4050" s="7" t="s">
        <v>276</v>
      </c>
      <c r="K4050" s="7" t="n">
        <f aca="false">IFERROR(VALUE(RIGHT(TRIM(F4050),4)),"")</f>
        <v>2018</v>
      </c>
      <c r="L4050" s="7" t="str">
        <f aca="false">IF(TRIM(E4050)="","Unknown",IFERROR(LEFT(TRIM(E4050),FIND(",",TRIM(E4050))-1),TRIM(E4050)))</f>
        <v>United States</v>
      </c>
      <c r="M4050" s="7" t="str">
        <f aca="false">IFERROR(LEFT(J4050,FIND(",",J4050)-1),J4050)</f>
        <v>Action &amp; Adventure</v>
      </c>
      <c r="N4050" s="7" t="n">
        <f aca="false">IF(B4050="Movie",IFERROR(VALUE(LEFT(I4050,FIND(" ",I4050)-1)),""),"")</f>
        <v>93</v>
      </c>
      <c r="O4050" s="7" t="str">
        <f aca="false">IF(B4050="TV Show",IFERROR(VALUE(LEFT(I4050,FIND(" ",I4050)-1)),""),"")</f>
        <v/>
      </c>
      <c r="P4050" s="7" t="n">
        <f aca="false">IF(K4050="","",K4050-G4050)</f>
        <v>13</v>
      </c>
    </row>
    <row r="4051" customFormat="false" ht="15" hidden="false" customHeight="false" outlineLevel="0" collapsed="false">
      <c r="A4051" s="7" t="n">
        <v>80141928</v>
      </c>
      <c r="B4051" s="7" t="s">
        <v>68</v>
      </c>
      <c r="C4051" s="7" t="s">
        <v>8371</v>
      </c>
      <c r="D4051" s="7" t="s">
        <v>8372</v>
      </c>
      <c r="E4051" s="7" t="s">
        <v>26</v>
      </c>
      <c r="F4051" s="7" t="s">
        <v>8369</v>
      </c>
      <c r="G4051" s="7" t="n">
        <v>2016</v>
      </c>
      <c r="H4051" s="7" t="s">
        <v>54</v>
      </c>
      <c r="I4051" s="7" t="s">
        <v>451</v>
      </c>
      <c r="J4051" s="7" t="s">
        <v>39</v>
      </c>
      <c r="K4051" s="7" t="n">
        <f aca="false">IFERROR(VALUE(RIGHT(TRIM(F4051),4)),"")</f>
        <v>2018</v>
      </c>
      <c r="L4051" s="7" t="str">
        <f aca="false">IF(TRIM(E4051)="","Unknown",IFERROR(LEFT(TRIM(E4051),FIND(",",TRIM(E4051))-1),TRIM(E4051)))</f>
        <v>United States</v>
      </c>
      <c r="M4051" s="7" t="str">
        <f aca="false">IFERROR(LEFT(J4051,FIND(",",J4051)-1),J4051)</f>
        <v>Documentaries</v>
      </c>
      <c r="N4051" s="7" t="n">
        <f aca="false">IF(B4051="Movie",IFERROR(VALUE(LEFT(I4051,FIND(" ",I4051)-1)),""),"")</f>
        <v>97</v>
      </c>
      <c r="O4051" s="7" t="str">
        <f aca="false">IF(B4051="TV Show",IFERROR(VALUE(LEFT(I4051,FIND(" ",I4051)-1)),""),"")</f>
        <v/>
      </c>
      <c r="P4051" s="7" t="n">
        <f aca="false">IF(K4051="","",K4051-G4051)</f>
        <v>2</v>
      </c>
    </row>
    <row r="4052" customFormat="false" ht="15" hidden="false" customHeight="false" outlineLevel="0" collapsed="false">
      <c r="A4052" s="7" t="n">
        <v>80198055</v>
      </c>
      <c r="B4052" s="7" t="s">
        <v>68</v>
      </c>
      <c r="C4052" s="7" t="s">
        <v>8373</v>
      </c>
      <c r="D4052" s="7" t="s">
        <v>8374</v>
      </c>
      <c r="E4052" s="7" t="s">
        <v>35</v>
      </c>
      <c r="F4052" s="7" t="s">
        <v>8369</v>
      </c>
      <c r="G4052" s="7" t="n">
        <v>2016</v>
      </c>
      <c r="H4052" s="7" t="s">
        <v>52</v>
      </c>
      <c r="I4052" s="7" t="s">
        <v>77</v>
      </c>
      <c r="J4052" s="7" t="s">
        <v>1042</v>
      </c>
      <c r="K4052" s="7" t="n">
        <f aca="false">IFERROR(VALUE(RIGHT(TRIM(F4052),4)),"")</f>
        <v>2018</v>
      </c>
      <c r="L4052" s="7" t="str">
        <f aca="false">IF(TRIM(E4052)="","Unknown",IFERROR(LEFT(TRIM(E4052),FIND(",",TRIM(E4052))-1),TRIM(E4052)))</f>
        <v>Australia</v>
      </c>
      <c r="M4052" s="7" t="str">
        <f aca="false">IFERROR(LEFT(J4052,FIND(",",J4052)-1),J4052)</f>
        <v>Dramas</v>
      </c>
      <c r="N4052" s="7" t="n">
        <f aca="false">IF(B4052="Movie",IFERROR(VALUE(LEFT(I4052,FIND(" ",I4052)-1)),""),"")</f>
        <v>94</v>
      </c>
      <c r="O4052" s="7" t="str">
        <f aca="false">IF(B4052="TV Show",IFERROR(VALUE(LEFT(I4052,FIND(" ",I4052)-1)),""),"")</f>
        <v/>
      </c>
      <c r="P4052" s="7" t="n">
        <f aca="false">IF(K4052="","",K4052-G4052)</f>
        <v>2</v>
      </c>
    </row>
    <row r="4053" customFormat="false" ht="15" hidden="false" customHeight="false" outlineLevel="0" collapsed="false">
      <c r="A4053" s="7" t="n">
        <v>80186731</v>
      </c>
      <c r="B4053" s="7" t="s">
        <v>68</v>
      </c>
      <c r="C4053" s="7" t="s">
        <v>8375</v>
      </c>
      <c r="E4053" s="7" t="s">
        <v>26</v>
      </c>
      <c r="F4053" s="7" t="s">
        <v>8369</v>
      </c>
      <c r="G4053" s="7" t="n">
        <v>2017</v>
      </c>
      <c r="H4053" s="7" t="s">
        <v>50</v>
      </c>
      <c r="I4053" s="7" t="s">
        <v>73</v>
      </c>
      <c r="J4053" s="7" t="s">
        <v>1211</v>
      </c>
      <c r="K4053" s="7" t="n">
        <f aca="false">IFERROR(VALUE(RIGHT(TRIM(F4053),4)),"")</f>
        <v>2018</v>
      </c>
      <c r="L4053" s="7" t="str">
        <f aca="false">IF(TRIM(E4053)="","Unknown",IFERROR(LEFT(TRIM(E4053),FIND(",",TRIM(E4053))-1),TRIM(E4053)))</f>
        <v>United States</v>
      </c>
      <c r="M4053" s="7" t="str">
        <f aca="false">IFERROR(LEFT(J4053,FIND(",",J4053)-1),J4053)</f>
        <v>Documentaries</v>
      </c>
      <c r="N4053" s="7" t="n">
        <f aca="false">IF(B4053="Movie",IFERROR(VALUE(LEFT(I4053,FIND(" ",I4053)-1)),""),"")</f>
        <v>90</v>
      </c>
      <c r="O4053" s="7" t="str">
        <f aca="false">IF(B4053="TV Show",IFERROR(VALUE(LEFT(I4053,FIND(" ",I4053)-1)),""),"")</f>
        <v/>
      </c>
      <c r="P4053" s="7" t="n">
        <f aca="false">IF(K4053="","",K4053-G4053)</f>
        <v>1</v>
      </c>
    </row>
    <row r="4054" customFormat="false" ht="15" hidden="false" customHeight="false" outlineLevel="0" collapsed="false">
      <c r="A4054" s="7" t="n">
        <v>80195654</v>
      </c>
      <c r="B4054" s="7" t="s">
        <v>68</v>
      </c>
      <c r="C4054" s="7" t="s">
        <v>8376</v>
      </c>
      <c r="D4054" s="7" t="s">
        <v>8377</v>
      </c>
      <c r="E4054" s="7" t="s">
        <v>293</v>
      </c>
      <c r="F4054" s="7" t="s">
        <v>8369</v>
      </c>
      <c r="G4054" s="7" t="n">
        <v>2017</v>
      </c>
      <c r="H4054" s="7" t="s">
        <v>50</v>
      </c>
      <c r="I4054" s="7" t="s">
        <v>93</v>
      </c>
      <c r="J4054" s="7" t="s">
        <v>509</v>
      </c>
      <c r="K4054" s="7" t="n">
        <f aca="false">IFERROR(VALUE(RIGHT(TRIM(F4054),4)),"")</f>
        <v>2018</v>
      </c>
      <c r="L4054" s="7" t="str">
        <f aca="false">IF(TRIM(E4054)="","Unknown",IFERROR(LEFT(TRIM(E4054),FIND(",",TRIM(E4054))-1),TRIM(E4054)))</f>
        <v>United States</v>
      </c>
      <c r="M4054" s="7" t="str">
        <f aca="false">IFERROR(LEFT(J4054,FIND(",",J4054)-1),J4054)</f>
        <v>Documentaries</v>
      </c>
      <c r="N4054" s="7" t="n">
        <f aca="false">IF(B4054="Movie",IFERROR(VALUE(LEFT(I4054,FIND(" ",I4054)-1)),""),"")</f>
        <v>110</v>
      </c>
      <c r="O4054" s="7" t="str">
        <f aca="false">IF(B4054="TV Show",IFERROR(VALUE(LEFT(I4054,FIND(" ",I4054)-1)),""),"")</f>
        <v/>
      </c>
      <c r="P4054" s="7" t="n">
        <f aca="false">IF(K4054="","",K4054-G4054)</f>
        <v>1</v>
      </c>
    </row>
    <row r="4055" customFormat="false" ht="15" hidden="false" customHeight="false" outlineLevel="0" collapsed="false">
      <c r="A4055" s="7" t="n">
        <v>80170992</v>
      </c>
      <c r="B4055" s="7" t="s">
        <v>68</v>
      </c>
      <c r="C4055" s="7" t="s">
        <v>8378</v>
      </c>
      <c r="D4055" s="7" t="s">
        <v>8379</v>
      </c>
      <c r="E4055" s="7" t="s">
        <v>8380</v>
      </c>
      <c r="F4055" s="7" t="s">
        <v>8369</v>
      </c>
      <c r="G4055" s="7" t="n">
        <v>2017</v>
      </c>
      <c r="H4055" s="7" t="s">
        <v>48</v>
      </c>
      <c r="I4055" s="7" t="s">
        <v>264</v>
      </c>
      <c r="J4055" s="7" t="s">
        <v>188</v>
      </c>
      <c r="K4055" s="7" t="n">
        <f aca="false">IFERROR(VALUE(RIGHT(TRIM(F4055),4)),"")</f>
        <v>2018</v>
      </c>
      <c r="L4055" s="7" t="str">
        <f aca="false">IF(TRIM(E4055)="","Unknown",IFERROR(LEFT(TRIM(E4055),FIND(",",TRIM(E4055))-1),TRIM(E4055)))</f>
        <v>South Africa</v>
      </c>
      <c r="M4055" s="7" t="str">
        <f aca="false">IFERROR(LEFT(J4055,FIND(",",J4055)-1),J4055)</f>
        <v>Dramas</v>
      </c>
      <c r="N4055" s="7" t="n">
        <f aca="false">IF(B4055="Movie",IFERROR(VALUE(LEFT(I4055,FIND(" ",I4055)-1)),""),"")</f>
        <v>88</v>
      </c>
      <c r="O4055" s="7" t="str">
        <f aca="false">IF(B4055="TV Show",IFERROR(VALUE(LEFT(I4055,FIND(" ",I4055)-1)),""),"")</f>
        <v/>
      </c>
      <c r="P4055" s="7" t="n">
        <f aca="false">IF(K4055="","",K4055-G4055)</f>
        <v>1</v>
      </c>
    </row>
    <row r="4056" customFormat="false" ht="15" hidden="false" customHeight="false" outlineLevel="0" collapsed="false">
      <c r="A4056" s="7" t="n">
        <v>80227121</v>
      </c>
      <c r="B4056" s="7" t="s">
        <v>68</v>
      </c>
      <c r="C4056" s="7" t="s">
        <v>8381</v>
      </c>
      <c r="F4056" s="7" t="s">
        <v>8369</v>
      </c>
      <c r="G4056" s="7" t="n">
        <v>2017</v>
      </c>
      <c r="H4056" s="7" t="s">
        <v>48</v>
      </c>
      <c r="I4056" s="7" t="s">
        <v>154</v>
      </c>
      <c r="J4056" s="7" t="s">
        <v>509</v>
      </c>
      <c r="K4056" s="7" t="n">
        <f aca="false">IFERROR(VALUE(RIGHT(TRIM(F4056),4)),"")</f>
        <v>2018</v>
      </c>
      <c r="L4056" s="7" t="str">
        <f aca="false">IF(TRIM(E4056)="","Unknown",IFERROR(LEFT(TRIM(E4056),FIND(",",TRIM(E4056))-1),TRIM(E4056)))</f>
        <v>Unknown</v>
      </c>
      <c r="M4056" s="7" t="str">
        <f aca="false">IFERROR(LEFT(J4056,FIND(",",J4056)-1),J4056)</f>
        <v>Documentaries</v>
      </c>
      <c r="N4056" s="7" t="n">
        <f aca="false">IF(B4056="Movie",IFERROR(VALUE(LEFT(I4056,FIND(" ",I4056)-1)),""),"")</f>
        <v>80</v>
      </c>
      <c r="O4056" s="7" t="str">
        <f aca="false">IF(B4056="TV Show",IFERROR(VALUE(LEFT(I4056,FIND(" ",I4056)-1)),""),"")</f>
        <v/>
      </c>
      <c r="P4056" s="7" t="n">
        <f aca="false">IF(K4056="","",K4056-G4056)</f>
        <v>1</v>
      </c>
    </row>
    <row r="4057" customFormat="false" ht="15" hidden="false" customHeight="false" outlineLevel="0" collapsed="false">
      <c r="A4057" s="7" t="n">
        <v>80222248</v>
      </c>
      <c r="B4057" s="7" t="s">
        <v>68</v>
      </c>
      <c r="C4057" s="7" t="s">
        <v>8382</v>
      </c>
      <c r="E4057" s="7" t="s">
        <v>445</v>
      </c>
      <c r="F4057" s="7" t="s">
        <v>8369</v>
      </c>
      <c r="G4057" s="7" t="n">
        <v>2017</v>
      </c>
      <c r="H4057" s="7" t="s">
        <v>48</v>
      </c>
      <c r="I4057" s="7" t="s">
        <v>212</v>
      </c>
      <c r="J4057" s="7" t="s">
        <v>39</v>
      </c>
      <c r="K4057" s="7" t="n">
        <f aca="false">IFERROR(VALUE(RIGHT(TRIM(F4057),4)),"")</f>
        <v>2018</v>
      </c>
      <c r="L4057" s="7" t="str">
        <f aca="false">IF(TRIM(E4057)="","Unknown",IFERROR(LEFT(TRIM(E4057),FIND(",",TRIM(E4057))-1),TRIM(E4057)))</f>
        <v>United States</v>
      </c>
      <c r="M4057" s="7" t="str">
        <f aca="false">IFERROR(LEFT(J4057,FIND(",",J4057)-1),J4057)</f>
        <v>Documentaries</v>
      </c>
      <c r="N4057" s="7" t="n">
        <f aca="false">IF(B4057="Movie",IFERROR(VALUE(LEFT(I4057,FIND(" ",I4057)-1)),""),"")</f>
        <v>86</v>
      </c>
      <c r="O4057" s="7" t="str">
        <f aca="false">IF(B4057="TV Show",IFERROR(VALUE(LEFT(I4057,FIND(" ",I4057)-1)),""),"")</f>
        <v/>
      </c>
      <c r="P4057" s="7" t="n">
        <f aca="false">IF(K4057="","",K4057-G4057)</f>
        <v>1</v>
      </c>
    </row>
    <row r="4058" customFormat="false" ht="15" hidden="false" customHeight="false" outlineLevel="0" collapsed="false">
      <c r="A4058" s="7" t="n">
        <v>80078037</v>
      </c>
      <c r="B4058" s="7" t="s">
        <v>78</v>
      </c>
      <c r="C4058" s="7" t="s">
        <v>8383</v>
      </c>
      <c r="E4058" s="7" t="s">
        <v>35</v>
      </c>
      <c r="F4058" s="7" t="s">
        <v>8369</v>
      </c>
      <c r="G4058" s="7" t="n">
        <v>2015</v>
      </c>
      <c r="I4058" s="7" t="s">
        <v>82</v>
      </c>
      <c r="J4058" s="7" t="s">
        <v>191</v>
      </c>
      <c r="K4058" s="7" t="n">
        <f aca="false">IFERROR(VALUE(RIGHT(TRIM(F4058),4)),"")</f>
        <v>2018</v>
      </c>
      <c r="L4058" s="7" t="str">
        <f aca="false">IF(TRIM(E4058)="","Unknown",IFERROR(LEFT(TRIM(E4058),FIND(",",TRIM(E4058))-1),TRIM(E4058)))</f>
        <v>Australia</v>
      </c>
      <c r="M4058" s="7" t="str">
        <f aca="false">IFERROR(LEFT(J4058,FIND(",",J4058)-1),J4058)</f>
        <v>Kids' TV</v>
      </c>
      <c r="N4058" s="7" t="str">
        <f aca="false">IF(B4058="Movie",IFERROR(VALUE(LEFT(I4058,FIND(" ",I4058)-1)),""),"")</f>
        <v/>
      </c>
      <c r="O4058" s="7" t="n">
        <f aca="false">IF(B4058="TV Show",IFERROR(VALUE(LEFT(I4058,FIND(" ",I4058)-1)),""),"")</f>
        <v>1</v>
      </c>
      <c r="P4058" s="7" t="n">
        <f aca="false">IF(K4058="","",K4058-G4058)</f>
        <v>3</v>
      </c>
    </row>
    <row r="4059" customFormat="false" ht="15" hidden="false" customHeight="false" outlineLevel="0" collapsed="false">
      <c r="A4059" s="7" t="n">
        <v>80163352</v>
      </c>
      <c r="B4059" s="7" t="s">
        <v>68</v>
      </c>
      <c r="C4059" s="7" t="s">
        <v>8384</v>
      </c>
      <c r="D4059" s="7" t="s">
        <v>8385</v>
      </c>
      <c r="E4059" s="7" t="s">
        <v>32</v>
      </c>
      <c r="F4059" s="7" t="s">
        <v>8369</v>
      </c>
      <c r="G4059" s="7" t="n">
        <v>2016</v>
      </c>
      <c r="H4059" s="7" t="s">
        <v>53</v>
      </c>
      <c r="I4059" s="7" t="s">
        <v>1832</v>
      </c>
      <c r="J4059" s="7" t="s">
        <v>322</v>
      </c>
      <c r="K4059" s="7" t="n">
        <f aca="false">IFERROR(VALUE(RIGHT(TRIM(F4059),4)),"")</f>
        <v>2018</v>
      </c>
      <c r="L4059" s="7" t="str">
        <f aca="false">IF(TRIM(E4059)="","Unknown",IFERROR(LEFT(TRIM(E4059),FIND(",",TRIM(E4059))-1),TRIM(E4059)))</f>
        <v>South Korea</v>
      </c>
      <c r="M4059" s="7" t="str">
        <f aca="false">IFERROR(LEFT(J4059,FIND(",",J4059)-1),J4059)</f>
        <v>Action &amp; Adventure</v>
      </c>
      <c r="N4059" s="7" t="n">
        <f aca="false">IF(B4059="Movie",IFERROR(VALUE(LEFT(I4059,FIND(" ",I4059)-1)),""),"")</f>
        <v>143</v>
      </c>
      <c r="O4059" s="7" t="str">
        <f aca="false">IF(B4059="TV Show",IFERROR(VALUE(LEFT(I4059,FIND(" ",I4059)-1)),""),"")</f>
        <v/>
      </c>
      <c r="P4059" s="7" t="n">
        <f aca="false">IF(K4059="","",K4059-G4059)</f>
        <v>2</v>
      </c>
    </row>
    <row r="4060" customFormat="false" ht="15" hidden="false" customHeight="false" outlineLevel="0" collapsed="false">
      <c r="A4060" s="7" t="n">
        <v>70251218</v>
      </c>
      <c r="B4060" s="7" t="s">
        <v>68</v>
      </c>
      <c r="C4060" s="7" t="s">
        <v>8386</v>
      </c>
      <c r="D4060" s="7" t="s">
        <v>8387</v>
      </c>
      <c r="E4060" s="7" t="s">
        <v>26</v>
      </c>
      <c r="F4060" s="7" t="s">
        <v>8369</v>
      </c>
      <c r="G4060" s="7" t="n">
        <v>2013</v>
      </c>
      <c r="H4060" s="7" t="s">
        <v>53</v>
      </c>
      <c r="I4060" s="7" t="s">
        <v>613</v>
      </c>
      <c r="J4060" s="7" t="s">
        <v>39</v>
      </c>
      <c r="K4060" s="7" t="n">
        <f aca="false">IFERROR(VALUE(RIGHT(TRIM(F4060),4)),"")</f>
        <v>2018</v>
      </c>
      <c r="L4060" s="7" t="str">
        <f aca="false">IF(TRIM(E4060)="","Unknown",IFERROR(LEFT(TRIM(E4060),FIND(",",TRIM(E4060))-1),TRIM(E4060)))</f>
        <v>United States</v>
      </c>
      <c r="M4060" s="7" t="str">
        <f aca="false">IFERROR(LEFT(J4060,FIND(",",J4060)-1),J4060)</f>
        <v>Documentaries</v>
      </c>
      <c r="N4060" s="7" t="n">
        <f aca="false">IF(B4060="Movie",IFERROR(VALUE(LEFT(I4060,FIND(" ",I4060)-1)),""),"")</f>
        <v>84</v>
      </c>
      <c r="O4060" s="7" t="str">
        <f aca="false">IF(B4060="TV Show",IFERROR(VALUE(LEFT(I4060,FIND(" ",I4060)-1)),""),"")</f>
        <v/>
      </c>
      <c r="P4060" s="7" t="n">
        <f aca="false">IF(K4060="","",K4060-G4060)</f>
        <v>5</v>
      </c>
    </row>
    <row r="4061" customFormat="false" ht="15" hidden="false" customHeight="false" outlineLevel="0" collapsed="false">
      <c r="A4061" s="7" t="n">
        <v>80217040</v>
      </c>
      <c r="B4061" s="7" t="s">
        <v>68</v>
      </c>
      <c r="C4061" s="7" t="s">
        <v>8388</v>
      </c>
      <c r="D4061" s="7" t="s">
        <v>6585</v>
      </c>
      <c r="E4061" s="7" t="s">
        <v>26</v>
      </c>
      <c r="F4061" s="7" t="s">
        <v>8369</v>
      </c>
      <c r="G4061" s="7" t="n">
        <v>2016</v>
      </c>
      <c r="H4061" s="7" t="s">
        <v>226</v>
      </c>
      <c r="I4061" s="7" t="s">
        <v>405</v>
      </c>
      <c r="J4061" s="7" t="s">
        <v>39</v>
      </c>
      <c r="K4061" s="7" t="n">
        <f aca="false">IFERROR(VALUE(RIGHT(TRIM(F4061),4)),"")</f>
        <v>2018</v>
      </c>
      <c r="L4061" s="7" t="str">
        <f aca="false">IF(TRIM(E4061)="","Unknown",IFERROR(LEFT(TRIM(E4061),FIND(",",TRIM(E4061))-1),TRIM(E4061)))</f>
        <v>United States</v>
      </c>
      <c r="M4061" s="7" t="str">
        <f aca="false">IFERROR(LEFT(J4061,FIND(",",J4061)-1),J4061)</f>
        <v>Documentaries</v>
      </c>
      <c r="N4061" s="7" t="n">
        <f aca="false">IF(B4061="Movie",IFERROR(VALUE(LEFT(I4061,FIND(" ",I4061)-1)),""),"")</f>
        <v>42</v>
      </c>
      <c r="O4061" s="7" t="str">
        <f aca="false">IF(B4061="TV Show",IFERROR(VALUE(LEFT(I4061,FIND(" ",I4061)-1)),""),"")</f>
        <v/>
      </c>
      <c r="P4061" s="7" t="n">
        <f aca="false">IF(K4061="","",K4061-G4061)</f>
        <v>2</v>
      </c>
    </row>
    <row r="4062" customFormat="false" ht="15" hidden="false" customHeight="false" outlineLevel="0" collapsed="false">
      <c r="A4062" s="7" t="n">
        <v>80172958</v>
      </c>
      <c r="B4062" s="7" t="s">
        <v>68</v>
      </c>
      <c r="C4062" s="7" t="s">
        <v>8389</v>
      </c>
      <c r="D4062" s="7" t="s">
        <v>1341</v>
      </c>
      <c r="E4062" s="7" t="s">
        <v>26</v>
      </c>
      <c r="F4062" s="7" t="s">
        <v>8369</v>
      </c>
      <c r="G4062" s="7" t="n">
        <v>2017</v>
      </c>
      <c r="H4062" s="7" t="s">
        <v>48</v>
      </c>
      <c r="I4062" s="7" t="s">
        <v>386</v>
      </c>
      <c r="J4062" s="7" t="s">
        <v>155</v>
      </c>
      <c r="K4062" s="7" t="n">
        <f aca="false">IFERROR(VALUE(RIGHT(TRIM(F4062),4)),"")</f>
        <v>2018</v>
      </c>
      <c r="L4062" s="7" t="str">
        <f aca="false">IF(TRIM(E4062)="","Unknown",IFERROR(LEFT(TRIM(E4062),FIND(",",TRIM(E4062))-1),TRIM(E4062)))</f>
        <v>United States</v>
      </c>
      <c r="M4062" s="7" t="str">
        <f aca="false">IFERROR(LEFT(J4062,FIND(",",J4062)-1),J4062)</f>
        <v>Dramas</v>
      </c>
      <c r="N4062" s="7" t="n">
        <f aca="false">IF(B4062="Movie",IFERROR(VALUE(LEFT(I4062,FIND(" ",I4062)-1)),""),"")</f>
        <v>117</v>
      </c>
      <c r="O4062" s="7" t="str">
        <f aca="false">IF(B4062="TV Show",IFERROR(VALUE(LEFT(I4062,FIND(" ",I4062)-1)),""),"")</f>
        <v/>
      </c>
      <c r="P4062" s="7" t="n">
        <f aca="false">IF(K4062="","",K4062-G4062)</f>
        <v>1</v>
      </c>
    </row>
    <row r="4063" customFormat="false" ht="15" hidden="false" customHeight="false" outlineLevel="0" collapsed="false">
      <c r="A4063" s="7" t="n">
        <v>80171291</v>
      </c>
      <c r="B4063" s="7" t="s">
        <v>68</v>
      </c>
      <c r="C4063" s="7" t="s">
        <v>8390</v>
      </c>
      <c r="D4063" s="7" t="s">
        <v>8391</v>
      </c>
      <c r="E4063" s="7" t="s">
        <v>26</v>
      </c>
      <c r="F4063" s="7" t="s">
        <v>8369</v>
      </c>
      <c r="G4063" s="7" t="n">
        <v>2016</v>
      </c>
      <c r="H4063" s="7" t="s">
        <v>51</v>
      </c>
      <c r="I4063" s="7" t="s">
        <v>138</v>
      </c>
      <c r="J4063" s="7" t="s">
        <v>37</v>
      </c>
      <c r="K4063" s="7" t="n">
        <f aca="false">IFERROR(VALUE(RIGHT(TRIM(F4063),4)),"")</f>
        <v>2018</v>
      </c>
      <c r="L4063" s="7" t="str">
        <f aca="false">IF(TRIM(E4063)="","Unknown",IFERROR(LEFT(TRIM(E4063),FIND(",",TRIM(E4063))-1),TRIM(E4063)))</f>
        <v>United States</v>
      </c>
      <c r="M4063" s="7" t="str">
        <f aca="false">IFERROR(LEFT(J4063,FIND(",",J4063)-1),J4063)</f>
        <v>Dramas</v>
      </c>
      <c r="N4063" s="7" t="n">
        <f aca="false">IF(B4063="Movie",IFERROR(VALUE(LEFT(I4063,FIND(" ",I4063)-1)),""),"")</f>
        <v>96</v>
      </c>
      <c r="O4063" s="7" t="str">
        <f aca="false">IF(B4063="TV Show",IFERROR(VALUE(LEFT(I4063,FIND(" ",I4063)-1)),""),"")</f>
        <v/>
      </c>
      <c r="P4063" s="7" t="n">
        <f aca="false">IF(K4063="","",K4063-G4063)</f>
        <v>2</v>
      </c>
    </row>
    <row r="4064" customFormat="false" ht="15" hidden="false" customHeight="false" outlineLevel="0" collapsed="false">
      <c r="A4064" s="7" t="n">
        <v>80234290</v>
      </c>
      <c r="B4064" s="7" t="s">
        <v>78</v>
      </c>
      <c r="C4064" s="7" t="s">
        <v>8392</v>
      </c>
      <c r="D4064" s="7" t="s">
        <v>8393</v>
      </c>
      <c r="E4064" s="7" t="s">
        <v>28</v>
      </c>
      <c r="F4064" s="7" t="s">
        <v>8369</v>
      </c>
      <c r="G4064" s="7" t="n">
        <v>2017</v>
      </c>
      <c r="H4064" s="7" t="s">
        <v>50</v>
      </c>
      <c r="I4064" s="7" t="s">
        <v>82</v>
      </c>
      <c r="J4064" s="7" t="s">
        <v>4493</v>
      </c>
      <c r="K4064" s="7" t="n">
        <f aca="false">IFERROR(VALUE(RIGHT(TRIM(F4064),4)),"")</f>
        <v>2018</v>
      </c>
      <c r="L4064" s="7" t="str">
        <f aca="false">IF(TRIM(E4064)="","Unknown",IFERROR(LEFT(TRIM(E4064),FIND(",",TRIM(E4064))-1),TRIM(E4064)))</f>
        <v>United Kingdom</v>
      </c>
      <c r="M4064" s="7" t="str">
        <f aca="false">IFERROR(LEFT(J4064,FIND(",",J4064)-1),J4064)</f>
        <v>British TV Shows</v>
      </c>
      <c r="N4064" s="7" t="str">
        <f aca="false">IF(B4064="Movie",IFERROR(VALUE(LEFT(I4064,FIND(" ",I4064)-1)),""),"")</f>
        <v/>
      </c>
      <c r="O4064" s="7" t="n">
        <f aca="false">IF(B4064="TV Show",IFERROR(VALUE(LEFT(I4064,FIND(" ",I4064)-1)),""),"")</f>
        <v>1</v>
      </c>
      <c r="P4064" s="7" t="n">
        <f aca="false">IF(K4064="","",K4064-G4064)</f>
        <v>1</v>
      </c>
    </row>
    <row r="4065" customFormat="false" ht="15" hidden="false" customHeight="false" outlineLevel="0" collapsed="false">
      <c r="A4065" s="7" t="n">
        <v>80063658</v>
      </c>
      <c r="B4065" s="7" t="s">
        <v>78</v>
      </c>
      <c r="C4065" s="7" t="s">
        <v>2322</v>
      </c>
      <c r="E4065" s="7" t="s">
        <v>28</v>
      </c>
      <c r="F4065" s="7" t="s">
        <v>8369</v>
      </c>
      <c r="G4065" s="7" t="n">
        <v>2011</v>
      </c>
      <c r="H4065" s="7" t="s">
        <v>50</v>
      </c>
      <c r="I4065" s="7" t="s">
        <v>82</v>
      </c>
      <c r="J4065" s="7" t="s">
        <v>306</v>
      </c>
      <c r="K4065" s="7" t="n">
        <f aca="false">IFERROR(VALUE(RIGHT(TRIM(F4065),4)),"")</f>
        <v>2018</v>
      </c>
      <c r="L4065" s="7" t="str">
        <f aca="false">IF(TRIM(E4065)="","Unknown",IFERROR(LEFT(TRIM(E4065),FIND(",",TRIM(E4065))-1),TRIM(E4065)))</f>
        <v>United Kingdom</v>
      </c>
      <c r="M4065" s="7" t="str">
        <f aca="false">IFERROR(LEFT(J4065,FIND(",",J4065)-1),J4065)</f>
        <v>British TV Shows</v>
      </c>
      <c r="N4065" s="7" t="str">
        <f aca="false">IF(B4065="Movie",IFERROR(VALUE(LEFT(I4065,FIND(" ",I4065)-1)),""),"")</f>
        <v/>
      </c>
      <c r="O4065" s="7" t="n">
        <f aca="false">IF(B4065="TV Show",IFERROR(VALUE(LEFT(I4065,FIND(" ",I4065)-1)),""),"")</f>
        <v>1</v>
      </c>
      <c r="P4065" s="7" t="n">
        <f aca="false">IF(K4065="","",K4065-G4065)</f>
        <v>7</v>
      </c>
    </row>
    <row r="4066" customFormat="false" ht="15" hidden="false" customHeight="false" outlineLevel="0" collapsed="false">
      <c r="A4066" s="7" t="n">
        <v>80168231</v>
      </c>
      <c r="B4066" s="7" t="s">
        <v>68</v>
      </c>
      <c r="C4066" s="7" t="s">
        <v>8394</v>
      </c>
      <c r="D4066" s="7" t="s">
        <v>8395</v>
      </c>
      <c r="E4066" s="7" t="s">
        <v>26</v>
      </c>
      <c r="F4066" s="7" t="s">
        <v>8369</v>
      </c>
      <c r="G4066" s="7" t="n">
        <v>2017</v>
      </c>
      <c r="H4066" s="7" t="s">
        <v>54</v>
      </c>
      <c r="I4066" s="7" t="s">
        <v>107</v>
      </c>
      <c r="J4066" s="7" t="s">
        <v>39</v>
      </c>
      <c r="K4066" s="7" t="n">
        <f aca="false">IFERROR(VALUE(RIGHT(TRIM(F4066),4)),"")</f>
        <v>2018</v>
      </c>
      <c r="L4066" s="7" t="str">
        <f aca="false">IF(TRIM(E4066)="","Unknown",IFERROR(LEFT(TRIM(E4066),FIND(",",TRIM(E4066))-1),TRIM(E4066)))</f>
        <v>United States</v>
      </c>
      <c r="M4066" s="7" t="str">
        <f aca="false">IFERROR(LEFT(J4066,FIND(",",J4066)-1),J4066)</f>
        <v>Documentaries</v>
      </c>
      <c r="N4066" s="7" t="n">
        <f aca="false">IF(B4066="Movie",IFERROR(VALUE(LEFT(I4066,FIND(" ",I4066)-1)),""),"")</f>
        <v>78</v>
      </c>
      <c r="O4066" s="7" t="str">
        <f aca="false">IF(B4066="TV Show",IFERROR(VALUE(LEFT(I4066,FIND(" ",I4066)-1)),""),"")</f>
        <v/>
      </c>
      <c r="P4066" s="7" t="n">
        <f aca="false">IF(K4066="","",K4066-G4066)</f>
        <v>1</v>
      </c>
    </row>
    <row r="4067" customFormat="false" ht="15" hidden="false" customHeight="false" outlineLevel="0" collapsed="false">
      <c r="A4067" s="7" t="n">
        <v>80005332</v>
      </c>
      <c r="B4067" s="7" t="s">
        <v>78</v>
      </c>
      <c r="C4067" s="7" t="s">
        <v>8396</v>
      </c>
      <c r="D4067" s="7" t="s">
        <v>8397</v>
      </c>
      <c r="E4067" s="7" t="s">
        <v>1335</v>
      </c>
      <c r="F4067" s="7" t="s">
        <v>8398</v>
      </c>
      <c r="G4067" s="7" t="n">
        <v>2014</v>
      </c>
      <c r="H4067" s="7" t="s">
        <v>49</v>
      </c>
      <c r="I4067" s="7" t="s">
        <v>82</v>
      </c>
      <c r="J4067" s="7" t="s">
        <v>8399</v>
      </c>
      <c r="K4067" s="7" t="n">
        <f aca="false">IFERROR(VALUE(RIGHT(TRIM(F4067),4)),"")</f>
        <v>2017</v>
      </c>
      <c r="L4067" s="7" t="str">
        <f aca="false">IF(TRIM(E4067)="","Unknown",IFERROR(LEFT(TRIM(E4067),FIND(",",TRIM(E4067))-1),TRIM(E4067)))</f>
        <v>Mexico</v>
      </c>
      <c r="M4067" s="7" t="str">
        <f aca="false">IFERROR(LEFT(J4067,FIND(",",J4067)-1),J4067)</f>
        <v>Crime TV Shows</v>
      </c>
      <c r="N4067" s="7" t="str">
        <f aca="false">IF(B4067="Movie",IFERROR(VALUE(LEFT(I4067,FIND(" ",I4067)-1)),""),"")</f>
        <v/>
      </c>
      <c r="O4067" s="7" t="n">
        <f aca="false">IF(B4067="TV Show",IFERROR(VALUE(LEFT(I4067,FIND(" ",I4067)-1)),""),"")</f>
        <v>1</v>
      </c>
      <c r="P4067" s="7" t="n">
        <f aca="false">IF(K4067="","",K4067-G4067)</f>
        <v>3</v>
      </c>
    </row>
    <row r="4068" customFormat="false" ht="15" hidden="false" customHeight="false" outlineLevel="0" collapsed="false">
      <c r="A4068" s="7" t="n">
        <v>80060060</v>
      </c>
      <c r="B4068" s="7" t="s">
        <v>68</v>
      </c>
      <c r="C4068" s="7" t="s">
        <v>8400</v>
      </c>
      <c r="D4068" s="7" t="s">
        <v>8401</v>
      </c>
      <c r="E4068" s="7" t="s">
        <v>4886</v>
      </c>
      <c r="F4068" s="7" t="s">
        <v>8398</v>
      </c>
      <c r="G4068" s="7" t="n">
        <v>2015</v>
      </c>
      <c r="H4068" s="7" t="s">
        <v>49</v>
      </c>
      <c r="I4068" s="7" t="s">
        <v>237</v>
      </c>
      <c r="J4068" s="7" t="s">
        <v>188</v>
      </c>
      <c r="K4068" s="7" t="n">
        <f aca="false">IFERROR(VALUE(RIGHT(TRIM(F4068),4)),"")</f>
        <v>2017</v>
      </c>
      <c r="L4068" s="7" t="str">
        <f aca="false">IF(TRIM(E4068)="","Unknown",IFERROR(LEFT(TRIM(E4068),FIND(",",TRIM(E4068))-1),TRIM(E4068)))</f>
        <v>India</v>
      </c>
      <c r="M4068" s="7" t="str">
        <f aca="false">IFERROR(LEFT(J4068,FIND(",",J4068)-1),J4068)</f>
        <v>Dramas</v>
      </c>
      <c r="N4068" s="7" t="n">
        <f aca="false">IF(B4068="Movie",IFERROR(VALUE(LEFT(I4068,FIND(" ",I4068)-1)),""),"")</f>
        <v>116</v>
      </c>
      <c r="O4068" s="7" t="str">
        <f aca="false">IF(B4068="TV Show",IFERROR(VALUE(LEFT(I4068,FIND(" ",I4068)-1)),""),"")</f>
        <v/>
      </c>
      <c r="P4068" s="7" t="n">
        <f aca="false">IF(K4068="","",K4068-G4068)</f>
        <v>2</v>
      </c>
    </row>
    <row r="4069" customFormat="false" ht="15" hidden="false" customHeight="false" outlineLevel="0" collapsed="false">
      <c r="A4069" s="7" t="n">
        <v>80091866</v>
      </c>
      <c r="B4069" s="7" t="s">
        <v>68</v>
      </c>
      <c r="C4069" s="7" t="s">
        <v>8402</v>
      </c>
      <c r="D4069" s="7" t="s">
        <v>8403</v>
      </c>
      <c r="E4069" s="7" t="s">
        <v>27</v>
      </c>
      <c r="F4069" s="7" t="s">
        <v>8398</v>
      </c>
      <c r="G4069" s="7" t="n">
        <v>2015</v>
      </c>
      <c r="H4069" s="7" t="s">
        <v>49</v>
      </c>
      <c r="I4069" s="7" t="s">
        <v>1955</v>
      </c>
      <c r="J4069" s="7" t="s">
        <v>112</v>
      </c>
      <c r="K4069" s="7" t="n">
        <f aca="false">IFERROR(VALUE(RIGHT(TRIM(F4069),4)),"")</f>
        <v>2017</v>
      </c>
      <c r="L4069" s="7" t="str">
        <f aca="false">IF(TRIM(E4069)="","Unknown",IFERROR(LEFT(TRIM(E4069),FIND(",",TRIM(E4069))-1),TRIM(E4069)))</f>
        <v>India</v>
      </c>
      <c r="M4069" s="7" t="str">
        <f aca="false">IFERROR(LEFT(J4069,FIND(",",J4069)-1),J4069)</f>
        <v>Action &amp; Adventure</v>
      </c>
      <c r="N4069" s="7" t="n">
        <f aca="false">IF(B4069="Movie",IFERROR(VALUE(LEFT(I4069,FIND(" ",I4069)-1)),""),"")</f>
        <v>154</v>
      </c>
      <c r="O4069" s="7" t="str">
        <f aca="false">IF(B4069="TV Show",IFERROR(VALUE(LEFT(I4069,FIND(" ",I4069)-1)),""),"")</f>
        <v/>
      </c>
      <c r="P4069" s="7" t="n">
        <f aca="false">IF(K4069="","",K4069-G4069)</f>
        <v>2</v>
      </c>
    </row>
    <row r="4070" customFormat="false" ht="15" hidden="false" customHeight="false" outlineLevel="0" collapsed="false">
      <c r="A4070" s="7" t="n">
        <v>80124947</v>
      </c>
      <c r="B4070" s="7" t="s">
        <v>68</v>
      </c>
      <c r="C4070" s="7" t="s">
        <v>8404</v>
      </c>
      <c r="D4070" s="7" t="s">
        <v>8405</v>
      </c>
      <c r="E4070" s="7" t="s">
        <v>29</v>
      </c>
      <c r="F4070" s="7" t="s">
        <v>8398</v>
      </c>
      <c r="G4070" s="7" t="n">
        <v>2015</v>
      </c>
      <c r="H4070" s="7" t="s">
        <v>50</v>
      </c>
      <c r="I4070" s="7" t="s">
        <v>73</v>
      </c>
      <c r="J4070" s="7" t="s">
        <v>974</v>
      </c>
      <c r="K4070" s="7" t="n">
        <f aca="false">IFERROR(VALUE(RIGHT(TRIM(F4070),4)),"")</f>
        <v>2017</v>
      </c>
      <c r="L4070" s="7" t="str">
        <f aca="false">IF(TRIM(E4070)="","Unknown",IFERROR(LEFT(TRIM(E4070),FIND(",",TRIM(E4070))-1),TRIM(E4070)))</f>
        <v>Canada</v>
      </c>
      <c r="M4070" s="7" t="str">
        <f aca="false">IFERROR(LEFT(J4070,FIND(",",J4070)-1),J4070)</f>
        <v>Documentaries</v>
      </c>
      <c r="N4070" s="7" t="n">
        <f aca="false">IF(B4070="Movie",IFERROR(VALUE(LEFT(I4070,FIND(" ",I4070)-1)),""),"")</f>
        <v>90</v>
      </c>
      <c r="O4070" s="7" t="str">
        <f aca="false">IF(B4070="TV Show",IFERROR(VALUE(LEFT(I4070,FIND(" ",I4070)-1)),""),"")</f>
        <v/>
      </c>
      <c r="P4070" s="7" t="n">
        <f aca="false">IF(K4070="","",K4070-G4070)</f>
        <v>2</v>
      </c>
    </row>
    <row r="4071" customFormat="false" ht="15" hidden="false" customHeight="false" outlineLevel="0" collapsed="false">
      <c r="A4071" s="7" t="n">
        <v>80017528</v>
      </c>
      <c r="B4071" s="7" t="s">
        <v>68</v>
      </c>
      <c r="C4071" s="7" t="s">
        <v>8406</v>
      </c>
      <c r="D4071" s="7" t="s">
        <v>8407</v>
      </c>
      <c r="E4071" s="7" t="s">
        <v>27</v>
      </c>
      <c r="F4071" s="7" t="s">
        <v>8398</v>
      </c>
      <c r="G4071" s="7" t="n">
        <v>2014</v>
      </c>
      <c r="H4071" s="7" t="s">
        <v>49</v>
      </c>
      <c r="I4071" s="7" t="s">
        <v>7504</v>
      </c>
      <c r="J4071" s="7" t="s">
        <v>4035</v>
      </c>
      <c r="K4071" s="7" t="n">
        <f aca="false">IFERROR(VALUE(RIGHT(TRIM(F4071),4)),"")</f>
        <v>2017</v>
      </c>
      <c r="L4071" s="7" t="str">
        <f aca="false">IF(TRIM(E4071)="","Unknown",IFERROR(LEFT(TRIM(E4071),FIND(",",TRIM(E4071))-1),TRIM(E4071)))</f>
        <v>India</v>
      </c>
      <c r="M4071" s="7" t="str">
        <f aca="false">IFERROR(LEFT(J4071,FIND(",",J4071)-1),J4071)</f>
        <v>Action &amp; Adventure</v>
      </c>
      <c r="N4071" s="7" t="n">
        <f aca="false">IF(B4071="Movie",IFERROR(VALUE(LEFT(I4071,FIND(" ",I4071)-1)),""),"")</f>
        <v>179</v>
      </c>
      <c r="O4071" s="7" t="str">
        <f aca="false">IF(B4071="TV Show",IFERROR(VALUE(LEFT(I4071,FIND(" ",I4071)-1)),""),"")</f>
        <v/>
      </c>
      <c r="P4071" s="7" t="n">
        <f aca="false">IF(K4071="","",K4071-G4071)</f>
        <v>3</v>
      </c>
    </row>
    <row r="4072" customFormat="false" ht="15" hidden="false" customHeight="false" outlineLevel="0" collapsed="false">
      <c r="A4072" s="7" t="n">
        <v>80095530</v>
      </c>
      <c r="B4072" s="7" t="s">
        <v>68</v>
      </c>
      <c r="C4072" s="7" t="s">
        <v>8408</v>
      </c>
      <c r="D4072" s="7" t="s">
        <v>6640</v>
      </c>
      <c r="E4072" s="7" t="s">
        <v>27</v>
      </c>
      <c r="F4072" s="7" t="s">
        <v>8398</v>
      </c>
      <c r="G4072" s="7" t="n">
        <v>2015</v>
      </c>
      <c r="H4072" s="7" t="s">
        <v>53</v>
      </c>
      <c r="I4072" s="7" t="s">
        <v>272</v>
      </c>
      <c r="J4072" s="7" t="s">
        <v>188</v>
      </c>
      <c r="K4072" s="7" t="n">
        <f aca="false">IFERROR(VALUE(RIGHT(TRIM(F4072),4)),"")</f>
        <v>2017</v>
      </c>
      <c r="L4072" s="7" t="str">
        <f aca="false">IF(TRIM(E4072)="","Unknown",IFERROR(LEFT(TRIM(E4072),FIND(",",TRIM(E4072))-1),TRIM(E4072)))</f>
        <v>India</v>
      </c>
      <c r="M4072" s="7" t="str">
        <f aca="false">IFERROR(LEFT(J4072,FIND(",",J4072)-1),J4072)</f>
        <v>Dramas</v>
      </c>
      <c r="N4072" s="7" t="n">
        <f aca="false">IF(B4072="Movie",IFERROR(VALUE(LEFT(I4072,FIND(" ",I4072)-1)),""),"")</f>
        <v>93</v>
      </c>
      <c r="O4072" s="7" t="str">
        <f aca="false">IF(B4072="TV Show",IFERROR(VALUE(LEFT(I4072,FIND(" ",I4072)-1)),""),"")</f>
        <v/>
      </c>
      <c r="P4072" s="7" t="n">
        <f aca="false">IF(K4072="","",K4072-G4072)</f>
        <v>2</v>
      </c>
    </row>
    <row r="4073" customFormat="false" ht="15" hidden="false" customHeight="false" outlineLevel="0" collapsed="false">
      <c r="A4073" s="7" t="n">
        <v>80093105</v>
      </c>
      <c r="B4073" s="7" t="s">
        <v>68</v>
      </c>
      <c r="C4073" s="7" t="s">
        <v>8409</v>
      </c>
      <c r="D4073" s="7" t="s">
        <v>8410</v>
      </c>
      <c r="E4073" s="7" t="s">
        <v>33</v>
      </c>
      <c r="F4073" s="7" t="s">
        <v>8398</v>
      </c>
      <c r="G4073" s="7" t="n">
        <v>2016</v>
      </c>
      <c r="H4073" s="7" t="s">
        <v>48</v>
      </c>
      <c r="I4073" s="7" t="s">
        <v>451</v>
      </c>
      <c r="J4073" s="7" t="s">
        <v>139</v>
      </c>
      <c r="K4073" s="7" t="n">
        <f aca="false">IFERROR(VALUE(RIGHT(TRIM(F4073),4)),"")</f>
        <v>2017</v>
      </c>
      <c r="L4073" s="7" t="str">
        <f aca="false">IF(TRIM(E4073)="","Unknown",IFERROR(LEFT(TRIM(E4073),FIND(",",TRIM(E4073))-1),TRIM(E4073)))</f>
        <v>Spain</v>
      </c>
      <c r="M4073" s="7" t="str">
        <f aca="false">IFERROR(LEFT(J4073,FIND(",",J4073)-1),J4073)</f>
        <v>Action &amp; Adventure</v>
      </c>
      <c r="N4073" s="7" t="n">
        <f aca="false">IF(B4073="Movie",IFERROR(VALUE(LEFT(I4073,FIND(" ",I4073)-1)),""),"")</f>
        <v>97</v>
      </c>
      <c r="O4073" s="7" t="str">
        <f aca="false">IF(B4073="TV Show",IFERROR(VALUE(LEFT(I4073,FIND(" ",I4073)-1)),""),"")</f>
        <v/>
      </c>
      <c r="P4073" s="7" t="n">
        <f aca="false">IF(K4073="","",K4073-G4073)</f>
        <v>1</v>
      </c>
    </row>
    <row r="4074" customFormat="false" ht="15" hidden="false" customHeight="false" outlineLevel="0" collapsed="false">
      <c r="A4074" s="7" t="n">
        <v>80134682</v>
      </c>
      <c r="B4074" s="7" t="s">
        <v>68</v>
      </c>
      <c r="C4074" s="7" t="s">
        <v>8411</v>
      </c>
      <c r="D4074" s="7" t="s">
        <v>2046</v>
      </c>
      <c r="E4074" s="7" t="s">
        <v>35</v>
      </c>
      <c r="F4074" s="7" t="s">
        <v>8398</v>
      </c>
      <c r="G4074" s="7" t="n">
        <v>2015</v>
      </c>
      <c r="H4074" s="7" t="s">
        <v>49</v>
      </c>
      <c r="I4074" s="7" t="s">
        <v>154</v>
      </c>
      <c r="J4074" s="7" t="s">
        <v>699</v>
      </c>
      <c r="K4074" s="7" t="n">
        <f aca="false">IFERROR(VALUE(RIGHT(TRIM(F4074),4)),"")</f>
        <v>2017</v>
      </c>
      <c r="L4074" s="7" t="str">
        <f aca="false">IF(TRIM(E4074)="","Unknown",IFERROR(LEFT(TRIM(E4074),FIND(",",TRIM(E4074))-1),TRIM(E4074)))</f>
        <v>Australia</v>
      </c>
      <c r="M4074" s="7" t="str">
        <f aca="false">IFERROR(LEFT(J4074,FIND(",",J4074)-1),J4074)</f>
        <v>Documentaries</v>
      </c>
      <c r="N4074" s="7" t="n">
        <f aca="false">IF(B4074="Movie",IFERROR(VALUE(LEFT(I4074,FIND(" ",I4074)-1)),""),"")</f>
        <v>80</v>
      </c>
      <c r="O4074" s="7" t="str">
        <f aca="false">IF(B4074="TV Show",IFERROR(VALUE(LEFT(I4074,FIND(" ",I4074)-1)),""),"")</f>
        <v/>
      </c>
      <c r="P4074" s="7" t="n">
        <f aca="false">IF(K4074="","",K4074-G4074)</f>
        <v>2</v>
      </c>
    </row>
    <row r="4075" customFormat="false" ht="15" hidden="false" customHeight="false" outlineLevel="0" collapsed="false">
      <c r="A4075" s="7" t="n">
        <v>80154179</v>
      </c>
      <c r="B4075" s="7" t="s">
        <v>68</v>
      </c>
      <c r="C4075" s="7" t="s">
        <v>8412</v>
      </c>
      <c r="D4075" s="7" t="s">
        <v>8413</v>
      </c>
      <c r="E4075" s="7" t="s">
        <v>8414</v>
      </c>
      <c r="F4075" s="7" t="s">
        <v>8398</v>
      </c>
      <c r="G4075" s="7" t="n">
        <v>2015</v>
      </c>
      <c r="H4075" s="7" t="s">
        <v>53</v>
      </c>
      <c r="I4075" s="7" t="s">
        <v>264</v>
      </c>
      <c r="J4075" s="7" t="s">
        <v>341</v>
      </c>
      <c r="K4075" s="7" t="n">
        <f aca="false">IFERROR(VALUE(RIGHT(TRIM(F4075),4)),"")</f>
        <v>2017</v>
      </c>
      <c r="L4075" s="7" t="str">
        <f aca="false">IF(TRIM(E4075)="","Unknown",IFERROR(LEFT(TRIM(E4075),FIND(",",TRIM(E4075))-1),TRIM(E4075)))</f>
        <v>China</v>
      </c>
      <c r="M4075" s="7" t="str">
        <f aca="false">IFERROR(LEFT(J4075,FIND(",",J4075)-1),J4075)</f>
        <v>Documentaries</v>
      </c>
      <c r="N4075" s="7" t="n">
        <f aca="false">IF(B4075="Movie",IFERROR(VALUE(LEFT(I4075,FIND(" ",I4075)-1)),""),"")</f>
        <v>88</v>
      </c>
      <c r="O4075" s="7" t="str">
        <f aca="false">IF(B4075="TV Show",IFERROR(VALUE(LEFT(I4075,FIND(" ",I4075)-1)),""),"")</f>
        <v/>
      </c>
      <c r="P4075" s="7" t="n">
        <f aca="false">IF(K4075="","",K4075-G4075)</f>
        <v>2</v>
      </c>
    </row>
    <row r="4076" customFormat="false" ht="15" hidden="false" customHeight="false" outlineLevel="0" collapsed="false">
      <c r="A4076" s="7" t="n">
        <v>80127604</v>
      </c>
      <c r="B4076" s="7" t="s">
        <v>68</v>
      </c>
      <c r="C4076" s="7" t="s">
        <v>8415</v>
      </c>
      <c r="D4076" s="7" t="s">
        <v>8416</v>
      </c>
      <c r="E4076" s="7" t="s">
        <v>26</v>
      </c>
      <c r="F4076" s="7" t="s">
        <v>8398</v>
      </c>
      <c r="G4076" s="7" t="n">
        <v>2016</v>
      </c>
      <c r="H4076" s="7" t="s">
        <v>48</v>
      </c>
      <c r="I4076" s="7" t="s">
        <v>87</v>
      </c>
      <c r="J4076" s="7" t="s">
        <v>597</v>
      </c>
      <c r="K4076" s="7" t="n">
        <f aca="false">IFERROR(VALUE(RIGHT(TRIM(F4076),4)),"")</f>
        <v>2017</v>
      </c>
      <c r="L4076" s="7" t="str">
        <f aca="false">IF(TRIM(E4076)="","Unknown",IFERROR(LEFT(TRIM(E4076),FIND(",",TRIM(E4076))-1),TRIM(E4076)))</f>
        <v>United States</v>
      </c>
      <c r="M4076" s="7" t="str">
        <f aca="false">IFERROR(LEFT(J4076,FIND(",",J4076)-1),J4076)</f>
        <v>Dramas</v>
      </c>
      <c r="N4076" s="7" t="n">
        <f aca="false">IF(B4076="Movie",IFERROR(VALUE(LEFT(I4076,FIND(" ",I4076)-1)),""),"")</f>
        <v>99</v>
      </c>
      <c r="O4076" s="7" t="str">
        <f aca="false">IF(B4076="TV Show",IFERROR(VALUE(LEFT(I4076,FIND(" ",I4076)-1)),""),"")</f>
        <v/>
      </c>
      <c r="P4076" s="7" t="n">
        <f aca="false">IF(K4076="","",K4076-G4076)</f>
        <v>1</v>
      </c>
    </row>
    <row r="4077" customFormat="false" ht="15" hidden="false" customHeight="false" outlineLevel="0" collapsed="false">
      <c r="A4077" s="7" t="n">
        <v>80156767</v>
      </c>
      <c r="B4077" s="7" t="s">
        <v>68</v>
      </c>
      <c r="C4077" s="7" t="s">
        <v>8417</v>
      </c>
      <c r="D4077" s="7" t="s">
        <v>8418</v>
      </c>
      <c r="E4077" s="7" t="s">
        <v>1113</v>
      </c>
      <c r="F4077" s="7" t="s">
        <v>8398</v>
      </c>
      <c r="G4077" s="7" t="n">
        <v>2016</v>
      </c>
      <c r="H4077" s="7" t="s">
        <v>48</v>
      </c>
      <c r="I4077" s="7" t="s">
        <v>417</v>
      </c>
      <c r="J4077" s="7" t="s">
        <v>202</v>
      </c>
      <c r="K4077" s="7" t="n">
        <f aca="false">IFERROR(VALUE(RIGHT(TRIM(F4077),4)),"")</f>
        <v>2017</v>
      </c>
      <c r="L4077" s="7" t="str">
        <f aca="false">IF(TRIM(E4077)="","Unknown",IFERROR(LEFT(TRIM(E4077),FIND(",",TRIM(E4077))-1),TRIM(E4077)))</f>
        <v>Argentina</v>
      </c>
      <c r="M4077" s="7" t="str">
        <f aca="false">IFERROR(LEFT(J4077,FIND(",",J4077)-1),J4077)</f>
        <v>Comedies</v>
      </c>
      <c r="N4077" s="7" t="n">
        <f aca="false">IF(B4077="Movie",IFERROR(VALUE(LEFT(I4077,FIND(" ",I4077)-1)),""),"")</f>
        <v>104</v>
      </c>
      <c r="O4077" s="7" t="str">
        <f aca="false">IF(B4077="TV Show",IFERROR(VALUE(LEFT(I4077,FIND(" ",I4077)-1)),""),"")</f>
        <v/>
      </c>
      <c r="P4077" s="7" t="n">
        <f aca="false">IF(K4077="","",K4077-G4077)</f>
        <v>1</v>
      </c>
    </row>
    <row r="4078" customFormat="false" ht="15" hidden="false" customHeight="false" outlineLevel="0" collapsed="false">
      <c r="A4078" s="7" t="n">
        <v>80159668</v>
      </c>
      <c r="B4078" s="7" t="s">
        <v>68</v>
      </c>
      <c r="C4078" s="7" t="s">
        <v>8419</v>
      </c>
      <c r="D4078" s="7" t="s">
        <v>8420</v>
      </c>
      <c r="E4078" s="7" t="s">
        <v>27</v>
      </c>
      <c r="F4078" s="7" t="s">
        <v>8398</v>
      </c>
      <c r="G4078" s="7" t="n">
        <v>2016</v>
      </c>
      <c r="H4078" s="7" t="s">
        <v>48</v>
      </c>
      <c r="I4078" s="7" t="s">
        <v>77</v>
      </c>
      <c r="J4078" s="7" t="s">
        <v>188</v>
      </c>
      <c r="K4078" s="7" t="n">
        <f aca="false">IFERROR(VALUE(RIGHT(TRIM(F4078),4)),"")</f>
        <v>2017</v>
      </c>
      <c r="L4078" s="7" t="str">
        <f aca="false">IF(TRIM(E4078)="","Unknown",IFERROR(LEFT(TRIM(E4078),FIND(",",TRIM(E4078))-1),TRIM(E4078)))</f>
        <v>India</v>
      </c>
      <c r="M4078" s="7" t="str">
        <f aca="false">IFERROR(LEFT(J4078,FIND(",",J4078)-1),J4078)</f>
        <v>Dramas</v>
      </c>
      <c r="N4078" s="7" t="n">
        <f aca="false">IF(B4078="Movie",IFERROR(VALUE(LEFT(I4078,FIND(" ",I4078)-1)),""),"")</f>
        <v>94</v>
      </c>
      <c r="O4078" s="7" t="str">
        <f aca="false">IF(B4078="TV Show",IFERROR(VALUE(LEFT(I4078,FIND(" ",I4078)-1)),""),"")</f>
        <v/>
      </c>
      <c r="P4078" s="7" t="n">
        <f aca="false">IF(K4078="","",K4078-G4078)</f>
        <v>1</v>
      </c>
    </row>
    <row r="4079" customFormat="false" ht="15" hidden="false" customHeight="false" outlineLevel="0" collapsed="false">
      <c r="A4079" s="7" t="n">
        <v>80157242</v>
      </c>
      <c r="B4079" s="7" t="s">
        <v>78</v>
      </c>
      <c r="C4079" s="7" t="s">
        <v>8421</v>
      </c>
      <c r="E4079" s="7" t="s">
        <v>26</v>
      </c>
      <c r="F4079" s="7" t="s">
        <v>8398</v>
      </c>
      <c r="G4079" s="7" t="n">
        <v>2016</v>
      </c>
      <c r="H4079" s="7" t="s">
        <v>50</v>
      </c>
      <c r="I4079" s="7" t="s">
        <v>82</v>
      </c>
      <c r="J4079" s="7" t="s">
        <v>375</v>
      </c>
      <c r="K4079" s="7" t="n">
        <f aca="false">IFERROR(VALUE(RIGHT(TRIM(F4079),4)),"")</f>
        <v>2017</v>
      </c>
      <c r="L4079" s="7" t="str">
        <f aca="false">IF(TRIM(E4079)="","Unknown",IFERROR(LEFT(TRIM(E4079),FIND(",",TRIM(E4079))-1),TRIM(E4079)))</f>
        <v>United States</v>
      </c>
      <c r="M4079" s="7" t="str">
        <f aca="false">IFERROR(LEFT(J4079,FIND(",",J4079)-1),J4079)</f>
        <v>International TV Shows</v>
      </c>
      <c r="N4079" s="7" t="str">
        <f aca="false">IF(B4079="Movie",IFERROR(VALUE(LEFT(I4079,FIND(" ",I4079)-1)),""),"")</f>
        <v/>
      </c>
      <c r="O4079" s="7" t="n">
        <f aca="false">IF(B4079="TV Show",IFERROR(VALUE(LEFT(I4079,FIND(" ",I4079)-1)),""),"")</f>
        <v>1</v>
      </c>
      <c r="P4079" s="7" t="n">
        <f aca="false">IF(K4079="","",K4079-G4079)</f>
        <v>1</v>
      </c>
    </row>
    <row r="4080" customFormat="false" ht="15" hidden="false" customHeight="false" outlineLevel="0" collapsed="false">
      <c r="A4080" s="7" t="n">
        <v>60036691</v>
      </c>
      <c r="B4080" s="7" t="s">
        <v>68</v>
      </c>
      <c r="C4080" s="7" t="s">
        <v>8422</v>
      </c>
      <c r="D4080" s="7" t="s">
        <v>8423</v>
      </c>
      <c r="E4080" s="7" t="s">
        <v>26</v>
      </c>
      <c r="F4080" s="7" t="s">
        <v>8398</v>
      </c>
      <c r="G4080" s="7" t="n">
        <v>1990</v>
      </c>
      <c r="H4080" s="7" t="s">
        <v>51</v>
      </c>
      <c r="I4080" s="7" t="s">
        <v>162</v>
      </c>
      <c r="J4080" s="7" t="s">
        <v>8424</v>
      </c>
      <c r="K4080" s="7" t="n">
        <f aca="false">IFERROR(VALUE(RIGHT(TRIM(F4080),4)),"")</f>
        <v>2017</v>
      </c>
      <c r="L4080" s="7" t="str">
        <f aca="false">IF(TRIM(E4080)="","Unknown",IFERROR(LEFT(TRIM(E4080),FIND(",",TRIM(E4080))-1),TRIM(E4080)))</f>
        <v>United States</v>
      </c>
      <c r="M4080" s="7" t="str">
        <f aca="false">IFERROR(LEFT(J4080,FIND(",",J4080)-1),J4080)</f>
        <v>Classic Movies</v>
      </c>
      <c r="N4080" s="7" t="n">
        <f aca="false">IF(B4080="Movie",IFERROR(VALUE(LEFT(I4080,FIND(" ",I4080)-1)),""),"")</f>
        <v>77</v>
      </c>
      <c r="O4080" s="7" t="str">
        <f aca="false">IF(B4080="TV Show",IFERROR(VALUE(LEFT(I4080,FIND(" ",I4080)-1)),""),"")</f>
        <v/>
      </c>
      <c r="P4080" s="7" t="n">
        <f aca="false">IF(K4080="","",K4080-G4080)</f>
        <v>27</v>
      </c>
    </row>
    <row r="4081" customFormat="false" ht="15" hidden="false" customHeight="false" outlineLevel="0" collapsed="false">
      <c r="A4081" s="7" t="n">
        <v>80161851</v>
      </c>
      <c r="B4081" s="7" t="s">
        <v>78</v>
      </c>
      <c r="C4081" s="7" t="s">
        <v>8425</v>
      </c>
      <c r="D4081" s="7" t="s">
        <v>8426</v>
      </c>
      <c r="E4081" s="7" t="s">
        <v>26</v>
      </c>
      <c r="F4081" s="7" t="s">
        <v>8398</v>
      </c>
      <c r="G4081" s="7" t="n">
        <v>1946</v>
      </c>
      <c r="H4081" s="7" t="s">
        <v>49</v>
      </c>
      <c r="I4081" s="7" t="s">
        <v>82</v>
      </c>
      <c r="J4081" s="7" t="s">
        <v>2695</v>
      </c>
      <c r="K4081" s="7" t="n">
        <f aca="false">IFERROR(VALUE(RIGHT(TRIM(F4081),4)),"")</f>
        <v>2017</v>
      </c>
      <c r="L4081" s="7" t="str">
        <f aca="false">IF(TRIM(E4081)="","Unknown",IFERROR(LEFT(TRIM(E4081),FIND(",",TRIM(E4081))-1),TRIM(E4081)))</f>
        <v>United States</v>
      </c>
      <c r="M4081" s="7" t="str">
        <f aca="false">IFERROR(LEFT(J4081,FIND(",",J4081)-1),J4081)</f>
        <v>TV Shows</v>
      </c>
      <c r="N4081" s="7" t="str">
        <f aca="false">IF(B4081="Movie",IFERROR(VALUE(LEFT(I4081,FIND(" ",I4081)-1)),""),"")</f>
        <v/>
      </c>
      <c r="O4081" s="7" t="n">
        <f aca="false">IF(B4081="TV Show",IFERROR(VALUE(LEFT(I4081,FIND(" ",I4081)-1)),""),"")</f>
        <v>1</v>
      </c>
      <c r="P4081" s="7" t="n">
        <f aca="false">IF(K4081="","",K4081-G4081)</f>
        <v>71</v>
      </c>
    </row>
    <row r="4082" customFormat="false" ht="15" hidden="false" customHeight="false" outlineLevel="0" collapsed="false">
      <c r="A4082" s="7" t="n">
        <v>80152745</v>
      </c>
      <c r="B4082" s="7" t="s">
        <v>68</v>
      </c>
      <c r="C4082" s="7" t="s">
        <v>8427</v>
      </c>
      <c r="D4082" s="7" t="s">
        <v>1442</v>
      </c>
      <c r="E4082" s="7" t="s">
        <v>26</v>
      </c>
      <c r="F4082" s="7" t="s">
        <v>8398</v>
      </c>
      <c r="G4082" s="7" t="n">
        <v>2016</v>
      </c>
      <c r="H4082" s="7" t="s">
        <v>52</v>
      </c>
      <c r="I4082" s="7" t="s">
        <v>326</v>
      </c>
      <c r="J4082" s="7" t="s">
        <v>1085</v>
      </c>
      <c r="K4082" s="7" t="n">
        <f aca="false">IFERROR(VALUE(RIGHT(TRIM(F4082),4)),"")</f>
        <v>2017</v>
      </c>
      <c r="L4082" s="7" t="str">
        <f aca="false">IF(TRIM(E4082)="","Unknown",IFERROR(LEFT(TRIM(E4082),FIND(",",TRIM(E4082))-1),TRIM(E4082)))</f>
        <v>United States</v>
      </c>
      <c r="M4082" s="7" t="str">
        <f aca="false">IFERROR(LEFT(J4082,FIND(",",J4082)-1),J4082)</f>
        <v>Documentaries</v>
      </c>
      <c r="N4082" s="7" t="n">
        <f aca="false">IF(B4082="Movie",IFERROR(VALUE(LEFT(I4082,FIND(" ",I4082)-1)),""),"")</f>
        <v>111</v>
      </c>
      <c r="O4082" s="7" t="str">
        <f aca="false">IF(B4082="TV Show",IFERROR(VALUE(LEFT(I4082,FIND(" ",I4082)-1)),""),"")</f>
        <v/>
      </c>
      <c r="P4082" s="7" t="n">
        <f aca="false">IF(K4082="","",K4082-G4082)</f>
        <v>1</v>
      </c>
    </row>
    <row r="4083" customFormat="false" ht="15" hidden="false" customHeight="false" outlineLevel="0" collapsed="false">
      <c r="A4083" s="7" t="n">
        <v>80167843</v>
      </c>
      <c r="B4083" s="7" t="s">
        <v>68</v>
      </c>
      <c r="C4083" s="7" t="s">
        <v>8428</v>
      </c>
      <c r="D4083" s="7" t="s">
        <v>8429</v>
      </c>
      <c r="E4083" s="7" t="s">
        <v>33</v>
      </c>
      <c r="F4083" s="7" t="s">
        <v>8398</v>
      </c>
      <c r="G4083" s="7" t="n">
        <v>2016</v>
      </c>
      <c r="H4083" s="7" t="s">
        <v>53</v>
      </c>
      <c r="I4083" s="7" t="s">
        <v>268</v>
      </c>
      <c r="J4083" s="7" t="s">
        <v>240</v>
      </c>
      <c r="K4083" s="7" t="n">
        <f aca="false">IFERROR(VALUE(RIGHT(TRIM(F4083),4)),"")</f>
        <v>2017</v>
      </c>
      <c r="L4083" s="7" t="str">
        <f aca="false">IF(TRIM(E4083)="","Unknown",IFERROR(LEFT(TRIM(E4083),FIND(",",TRIM(E4083))-1),TRIM(E4083)))</f>
        <v>Spain</v>
      </c>
      <c r="M4083" s="7" t="str">
        <f aca="false">IFERROR(LEFT(J4083,FIND(",",J4083)-1),J4083)</f>
        <v>Dramas</v>
      </c>
      <c r="N4083" s="7" t="n">
        <f aca="false">IF(B4083="Movie",IFERROR(VALUE(LEFT(I4083,FIND(" ",I4083)-1)),""),"")</f>
        <v>108</v>
      </c>
      <c r="O4083" s="7" t="str">
        <f aca="false">IF(B4083="TV Show",IFERROR(VALUE(LEFT(I4083,FIND(" ",I4083)-1)),""),"")</f>
        <v/>
      </c>
      <c r="P4083" s="7" t="n">
        <f aca="false">IF(K4083="","",K4083-G4083)</f>
        <v>1</v>
      </c>
    </row>
    <row r="4084" customFormat="false" ht="15" hidden="false" customHeight="false" outlineLevel="0" collapsed="false">
      <c r="A4084" s="7" t="n">
        <v>70306702</v>
      </c>
      <c r="B4084" s="7" t="s">
        <v>68</v>
      </c>
      <c r="C4084" s="7" t="s">
        <v>8430</v>
      </c>
      <c r="D4084" s="7" t="s">
        <v>8431</v>
      </c>
      <c r="E4084" s="7" t="s">
        <v>619</v>
      </c>
      <c r="F4084" s="7" t="s">
        <v>8398</v>
      </c>
      <c r="G4084" s="7" t="n">
        <v>2014</v>
      </c>
      <c r="H4084" s="7" t="s">
        <v>226</v>
      </c>
      <c r="I4084" s="7" t="s">
        <v>311</v>
      </c>
      <c r="J4084" s="7" t="s">
        <v>74</v>
      </c>
      <c r="K4084" s="7" t="n">
        <f aca="false">IFERROR(VALUE(RIGHT(TRIM(F4084),4)),"")</f>
        <v>2017</v>
      </c>
      <c r="L4084" s="7" t="str">
        <f aca="false">IF(TRIM(E4084)="","Unknown",IFERROR(LEFT(TRIM(E4084),FIND(",",TRIM(E4084))-1),TRIM(E4084)))</f>
        <v>Canada</v>
      </c>
      <c r="M4084" s="7" t="str">
        <f aca="false">IFERROR(LEFT(J4084,FIND(",",J4084)-1),J4084)</f>
        <v>Children &amp; Family Movies</v>
      </c>
      <c r="N4084" s="7" t="n">
        <f aca="false">IF(B4084="Movie",IFERROR(VALUE(LEFT(I4084,FIND(" ",I4084)-1)),""),"")</f>
        <v>92</v>
      </c>
      <c r="O4084" s="7" t="str">
        <f aca="false">IF(B4084="TV Show",IFERROR(VALUE(LEFT(I4084,FIND(" ",I4084)-1)),""),"")</f>
        <v/>
      </c>
      <c r="P4084" s="7" t="n">
        <f aca="false">IF(K4084="","",K4084-G4084)</f>
        <v>3</v>
      </c>
    </row>
    <row r="4085" customFormat="false" ht="15" hidden="false" customHeight="false" outlineLevel="0" collapsed="false">
      <c r="A4085" s="7" t="n">
        <v>80093829</v>
      </c>
      <c r="B4085" s="7" t="s">
        <v>78</v>
      </c>
      <c r="C4085" s="7" t="s">
        <v>8432</v>
      </c>
      <c r="F4085" s="7" t="s">
        <v>8433</v>
      </c>
      <c r="G4085" s="7" t="n">
        <v>2012</v>
      </c>
      <c r="H4085" s="7" t="s">
        <v>119</v>
      </c>
      <c r="I4085" s="7" t="s">
        <v>82</v>
      </c>
      <c r="J4085" s="7" t="s">
        <v>44</v>
      </c>
      <c r="K4085" s="7" t="n">
        <f aca="false">IFERROR(VALUE(RIGHT(TRIM(F4085),4)),"")</f>
        <v>2016</v>
      </c>
      <c r="L4085" s="7" t="str">
        <f aca="false">IF(TRIM(E4085)="","Unknown",IFERROR(LEFT(TRIM(E4085),FIND(",",TRIM(E4085))-1),TRIM(E4085)))</f>
        <v>Unknown</v>
      </c>
      <c r="M4085" s="7" t="str">
        <f aca="false">IFERROR(LEFT(J4085,FIND(",",J4085)-1),J4085)</f>
        <v>Kids' TV</v>
      </c>
      <c r="N4085" s="7" t="str">
        <f aca="false">IF(B4085="Movie",IFERROR(VALUE(LEFT(I4085,FIND(" ",I4085)-1)),""),"")</f>
        <v/>
      </c>
      <c r="O4085" s="7" t="n">
        <f aca="false">IF(B4085="TV Show",IFERROR(VALUE(LEFT(I4085,FIND(" ",I4085)-1)),""),"")</f>
        <v>1</v>
      </c>
      <c r="P4085" s="7" t="n">
        <f aca="false">IF(K4085="","",K4085-G4085)</f>
        <v>4</v>
      </c>
    </row>
    <row r="4086" customFormat="false" ht="15" hidden="false" customHeight="false" outlineLevel="0" collapsed="false">
      <c r="A4086" s="7" t="n">
        <v>80042371</v>
      </c>
      <c r="B4086" s="7" t="s">
        <v>78</v>
      </c>
      <c r="C4086" s="7" t="s">
        <v>8434</v>
      </c>
      <c r="E4086" s="7" t="s">
        <v>26</v>
      </c>
      <c r="F4086" s="7" t="s">
        <v>8433</v>
      </c>
      <c r="G4086" s="7" t="n">
        <v>2015</v>
      </c>
      <c r="H4086" s="7" t="s">
        <v>49</v>
      </c>
      <c r="I4086" s="7" t="s">
        <v>82</v>
      </c>
      <c r="J4086" s="7" t="s">
        <v>4370</v>
      </c>
      <c r="K4086" s="7" t="n">
        <f aca="false">IFERROR(VALUE(RIGHT(TRIM(F4086),4)),"")</f>
        <v>2016</v>
      </c>
      <c r="L4086" s="7" t="str">
        <f aca="false">IF(TRIM(E4086)="","Unknown",IFERROR(LEFT(TRIM(E4086),FIND(",",TRIM(E4086))-1),TRIM(E4086)))</f>
        <v>United States</v>
      </c>
      <c r="M4086" s="7" t="str">
        <f aca="false">IFERROR(LEFT(J4086,FIND(",",J4086)-1),J4086)</f>
        <v>Crime TV Shows</v>
      </c>
      <c r="N4086" s="7" t="str">
        <f aca="false">IF(B4086="Movie",IFERROR(VALUE(LEFT(I4086,FIND(" ",I4086)-1)),""),"")</f>
        <v/>
      </c>
      <c r="O4086" s="7" t="n">
        <f aca="false">IF(B4086="TV Show",IFERROR(VALUE(LEFT(I4086,FIND(" ",I4086)-1)),""),"")</f>
        <v>1</v>
      </c>
      <c r="P4086" s="7" t="n">
        <f aca="false">IF(K4086="","",K4086-G4086)</f>
        <v>1</v>
      </c>
    </row>
    <row r="4087" customFormat="false" ht="15" hidden="false" customHeight="false" outlineLevel="0" collapsed="false">
      <c r="A4087" s="7" t="n">
        <v>81004748</v>
      </c>
      <c r="B4087" s="7" t="s">
        <v>68</v>
      </c>
      <c r="C4087" s="7" t="s">
        <v>8435</v>
      </c>
      <c r="D4087" s="7" t="s">
        <v>8436</v>
      </c>
      <c r="E4087" s="7" t="s">
        <v>26</v>
      </c>
      <c r="F4087" s="7" t="s">
        <v>8437</v>
      </c>
      <c r="G4087" s="7" t="n">
        <v>2019</v>
      </c>
      <c r="H4087" s="7" t="s">
        <v>50</v>
      </c>
      <c r="I4087" s="7" t="s">
        <v>1131</v>
      </c>
      <c r="J4087" s="7" t="s">
        <v>10</v>
      </c>
      <c r="K4087" s="7" t="n">
        <f aca="false">IFERROR(VALUE(RIGHT(TRIM(F4087),4)),"")</f>
        <v>2019</v>
      </c>
      <c r="L4087" s="7" t="str">
        <f aca="false">IF(TRIM(E4087)="","Unknown",IFERROR(LEFT(TRIM(E4087),FIND(",",TRIM(E4087))-1),TRIM(E4087)))</f>
        <v>United States</v>
      </c>
      <c r="M4087" s="7" t="str">
        <f aca="false">IFERROR(LEFT(J4087,FIND(",",J4087)-1),J4087)</f>
        <v>Movies</v>
      </c>
      <c r="N4087" s="7" t="n">
        <f aca="false">IF(B4087="Movie",IFERROR(VALUE(LEFT(I4087,FIND(" ",I4087)-1)),""),"")</f>
        <v>29</v>
      </c>
      <c r="O4087" s="7" t="str">
        <f aca="false">IF(B4087="TV Show",IFERROR(VALUE(LEFT(I4087,FIND(" ",I4087)-1)),""),"")</f>
        <v/>
      </c>
      <c r="P4087" s="7" t="n">
        <f aca="false">IF(K4087="","",K4087-G4087)</f>
        <v>0</v>
      </c>
    </row>
    <row r="4088" customFormat="false" ht="15" hidden="false" customHeight="false" outlineLevel="0" collapsed="false">
      <c r="A4088" s="7" t="n">
        <v>80174959</v>
      </c>
      <c r="B4088" s="7" t="s">
        <v>68</v>
      </c>
      <c r="C4088" s="7" t="s">
        <v>8438</v>
      </c>
      <c r="D4088" s="7" t="s">
        <v>2460</v>
      </c>
      <c r="E4088" s="7" t="s">
        <v>26</v>
      </c>
      <c r="F4088" s="7" t="s">
        <v>8437</v>
      </c>
      <c r="G4088" s="7" t="n">
        <v>2017</v>
      </c>
      <c r="H4088" s="7" t="s">
        <v>51</v>
      </c>
      <c r="I4088" s="7" t="s">
        <v>311</v>
      </c>
      <c r="J4088" s="7" t="s">
        <v>652</v>
      </c>
      <c r="K4088" s="7" t="n">
        <f aca="false">IFERROR(VALUE(RIGHT(TRIM(F4088),4)),"")</f>
        <v>2019</v>
      </c>
      <c r="L4088" s="7" t="str">
        <f aca="false">IF(TRIM(E4088)="","Unknown",IFERROR(LEFT(TRIM(E4088),FIND(",",TRIM(E4088))-1),TRIM(E4088)))</f>
        <v>United States</v>
      </c>
      <c r="M4088" s="7" t="str">
        <f aca="false">IFERROR(LEFT(J4088,FIND(",",J4088)-1),J4088)</f>
        <v>Horror Movies</v>
      </c>
      <c r="N4088" s="7" t="n">
        <f aca="false">IF(B4088="Movie",IFERROR(VALUE(LEFT(I4088,FIND(" ",I4088)-1)),""),"")</f>
        <v>92</v>
      </c>
      <c r="O4088" s="7" t="str">
        <f aca="false">IF(B4088="TV Show",IFERROR(VALUE(LEFT(I4088,FIND(" ",I4088)-1)),""),"")</f>
        <v/>
      </c>
      <c r="P4088" s="7" t="n">
        <f aca="false">IF(K4088="","",K4088-G4088)</f>
        <v>2</v>
      </c>
    </row>
    <row r="4089" customFormat="false" ht="15" hidden="false" customHeight="false" outlineLevel="0" collapsed="false">
      <c r="A4089" s="7" t="n">
        <v>80225595</v>
      </c>
      <c r="B4089" s="7" t="s">
        <v>68</v>
      </c>
      <c r="C4089" s="7" t="s">
        <v>8439</v>
      </c>
      <c r="D4089" s="7" t="s">
        <v>8440</v>
      </c>
      <c r="E4089" s="7" t="s">
        <v>29</v>
      </c>
      <c r="F4089" s="7" t="s">
        <v>8441</v>
      </c>
      <c r="G4089" s="7" t="n">
        <v>2018</v>
      </c>
      <c r="H4089" s="7" t="s">
        <v>48</v>
      </c>
      <c r="I4089" s="7" t="s">
        <v>340</v>
      </c>
      <c r="J4089" s="7" t="s">
        <v>155</v>
      </c>
      <c r="K4089" s="7" t="n">
        <f aca="false">IFERROR(VALUE(RIGHT(TRIM(F4089),4)),"")</f>
        <v>2018</v>
      </c>
      <c r="L4089" s="7" t="str">
        <f aca="false">IF(TRIM(E4089)="","Unknown",IFERROR(LEFT(TRIM(E4089),FIND(",",TRIM(E4089))-1),TRIM(E4089)))</f>
        <v>Canada</v>
      </c>
      <c r="M4089" s="7" t="str">
        <f aca="false">IFERROR(LEFT(J4089,FIND(",",J4089)-1),J4089)</f>
        <v>Dramas</v>
      </c>
      <c r="N4089" s="7" t="n">
        <f aca="false">IF(B4089="Movie",IFERROR(VALUE(LEFT(I4089,FIND(" ",I4089)-1)),""),"")</f>
        <v>85</v>
      </c>
      <c r="O4089" s="7" t="str">
        <f aca="false">IF(B4089="TV Show",IFERROR(VALUE(LEFT(I4089,FIND(" ",I4089)-1)),""),"")</f>
        <v/>
      </c>
      <c r="P4089" s="7" t="n">
        <f aca="false">IF(K4089="","",K4089-G4089)</f>
        <v>0</v>
      </c>
    </row>
    <row r="4090" customFormat="false" ht="15" hidden="false" customHeight="false" outlineLevel="0" collapsed="false">
      <c r="A4090" s="7" t="n">
        <v>80065491</v>
      </c>
      <c r="B4090" s="7" t="s">
        <v>78</v>
      </c>
      <c r="C4090" s="7" t="s">
        <v>8442</v>
      </c>
      <c r="E4090" s="7" t="s">
        <v>28</v>
      </c>
      <c r="F4090" s="7" t="s">
        <v>8443</v>
      </c>
      <c r="G4090" s="7" t="n">
        <v>2016</v>
      </c>
      <c r="H4090" s="7" t="s">
        <v>48</v>
      </c>
      <c r="I4090" s="7" t="s">
        <v>82</v>
      </c>
      <c r="J4090" s="7" t="s">
        <v>696</v>
      </c>
      <c r="K4090" s="7" t="n">
        <f aca="false">IFERROR(VALUE(RIGHT(TRIM(F4090),4)),"")</f>
        <v>2016</v>
      </c>
      <c r="L4090" s="7" t="str">
        <f aca="false">IF(TRIM(E4090)="","Unknown",IFERROR(LEFT(TRIM(E4090),FIND(",",TRIM(E4090))-1),TRIM(E4090)))</f>
        <v>United Kingdom</v>
      </c>
      <c r="M4090" s="7" t="str">
        <f aca="false">IFERROR(LEFT(J4090,FIND(",",J4090)-1),J4090)</f>
        <v>Crime TV Shows</v>
      </c>
      <c r="N4090" s="7" t="str">
        <f aca="false">IF(B4090="Movie",IFERROR(VALUE(LEFT(I4090,FIND(" ",I4090)-1)),""),"")</f>
        <v/>
      </c>
      <c r="O4090" s="7" t="n">
        <f aca="false">IF(B4090="TV Show",IFERROR(VALUE(LEFT(I4090,FIND(" ",I4090)-1)),""),"")</f>
        <v>1</v>
      </c>
      <c r="P4090" s="7" t="n">
        <f aca="false">IF(K4090="","",K4090-G4090)</f>
        <v>0</v>
      </c>
    </row>
    <row r="4091" customFormat="false" ht="15" hidden="false" customHeight="false" outlineLevel="0" collapsed="false">
      <c r="A4091" s="7" t="n">
        <v>80149141</v>
      </c>
      <c r="B4091" s="7" t="s">
        <v>78</v>
      </c>
      <c r="C4091" s="7" t="s">
        <v>8444</v>
      </c>
      <c r="E4091" s="7" t="s">
        <v>8445</v>
      </c>
      <c r="F4091" s="7" t="s">
        <v>8443</v>
      </c>
      <c r="G4091" s="7" t="n">
        <v>2016</v>
      </c>
      <c r="H4091" s="7" t="s">
        <v>48</v>
      </c>
      <c r="I4091" s="7" t="s">
        <v>82</v>
      </c>
      <c r="J4091" s="7" t="s">
        <v>89</v>
      </c>
      <c r="K4091" s="7" t="n">
        <f aca="false">IFERROR(VALUE(RIGHT(TRIM(F4091),4)),"")</f>
        <v>2016</v>
      </c>
      <c r="L4091" s="7" t="str">
        <f aca="false">IF(TRIM(E4091)="","Unknown",IFERROR(LEFT(TRIM(E4091),FIND(",",TRIM(E4091))-1),TRIM(E4091)))</f>
        <v>Spain</v>
      </c>
      <c r="M4091" s="7" t="str">
        <f aca="false">IFERROR(LEFT(J4091,FIND(",",J4091)-1),J4091)</f>
        <v>Crime TV Shows</v>
      </c>
      <c r="N4091" s="7" t="str">
        <f aca="false">IF(B4091="Movie",IFERROR(VALUE(LEFT(I4091,FIND(" ",I4091)-1)),""),"")</f>
        <v/>
      </c>
      <c r="O4091" s="7" t="n">
        <f aca="false">IF(B4091="TV Show",IFERROR(VALUE(LEFT(I4091,FIND(" ",I4091)-1)),""),"")</f>
        <v>1</v>
      </c>
      <c r="P4091" s="7" t="n">
        <f aca="false">IF(K4091="","",K4091-G4091)</f>
        <v>0</v>
      </c>
    </row>
    <row r="4092" customFormat="false" ht="15" hidden="false" customHeight="false" outlineLevel="0" collapsed="false">
      <c r="A4092" s="7" t="n">
        <v>80160347</v>
      </c>
      <c r="B4092" s="7" t="s">
        <v>68</v>
      </c>
      <c r="C4092" s="7" t="s">
        <v>8446</v>
      </c>
      <c r="D4092" s="7" t="s">
        <v>1973</v>
      </c>
      <c r="E4092" s="7" t="s">
        <v>26</v>
      </c>
      <c r="F4092" s="7" t="s">
        <v>8443</v>
      </c>
      <c r="G4092" s="7" t="n">
        <v>2015</v>
      </c>
      <c r="H4092" s="7" t="s">
        <v>226</v>
      </c>
      <c r="I4092" s="7" t="s">
        <v>447</v>
      </c>
      <c r="J4092" s="7" t="s">
        <v>349</v>
      </c>
      <c r="K4092" s="7" t="n">
        <f aca="false">IFERROR(VALUE(RIGHT(TRIM(F4092),4)),"")</f>
        <v>2016</v>
      </c>
      <c r="L4092" s="7" t="str">
        <f aca="false">IF(TRIM(E4092)="","Unknown",IFERROR(LEFT(TRIM(E4092),FIND(",",TRIM(E4092))-1),TRIM(E4092)))</f>
        <v>United States</v>
      </c>
      <c r="M4092" s="7" t="str">
        <f aca="false">IFERROR(LEFT(J4092,FIND(",",J4092)-1),J4092)</f>
        <v>Children &amp; Family Movies</v>
      </c>
      <c r="N4092" s="7" t="n">
        <f aca="false">IF(B4092="Movie",IFERROR(VALUE(LEFT(I4092,FIND(" ",I4092)-1)),""),"")</f>
        <v>38</v>
      </c>
      <c r="O4092" s="7" t="str">
        <f aca="false">IF(B4092="TV Show",IFERROR(VALUE(LEFT(I4092,FIND(" ",I4092)-1)),""),"")</f>
        <v/>
      </c>
      <c r="P4092" s="7" t="n">
        <f aca="false">IF(K4092="","",K4092-G4092)</f>
        <v>1</v>
      </c>
    </row>
    <row r="4093" customFormat="false" ht="15" hidden="false" customHeight="false" outlineLevel="0" collapsed="false">
      <c r="A4093" s="7" t="n">
        <v>80098200</v>
      </c>
      <c r="B4093" s="7" t="s">
        <v>68</v>
      </c>
      <c r="C4093" s="7" t="s">
        <v>8447</v>
      </c>
      <c r="D4093" s="7" t="s">
        <v>8448</v>
      </c>
      <c r="E4093" s="7" t="s">
        <v>8449</v>
      </c>
      <c r="F4093" s="7" t="s">
        <v>8443</v>
      </c>
      <c r="G4093" s="7" t="n">
        <v>2016</v>
      </c>
      <c r="H4093" s="7" t="s">
        <v>49</v>
      </c>
      <c r="I4093" s="7" t="s">
        <v>268</v>
      </c>
      <c r="J4093" s="7" t="s">
        <v>276</v>
      </c>
      <c r="K4093" s="7" t="n">
        <f aca="false">IFERROR(VALUE(RIGHT(TRIM(F4093),4)),"")</f>
        <v>2016</v>
      </c>
      <c r="L4093" s="7" t="str">
        <f aca="false">IF(TRIM(E4093)="","Unknown",IFERROR(LEFT(TRIM(E4093),FIND(",",TRIM(E4093))-1),TRIM(E4093)))</f>
        <v>United States</v>
      </c>
      <c r="M4093" s="7" t="str">
        <f aca="false">IFERROR(LEFT(J4093,FIND(",",J4093)-1),J4093)</f>
        <v>Action &amp; Adventure</v>
      </c>
      <c r="N4093" s="7" t="n">
        <f aca="false">IF(B4093="Movie",IFERROR(VALUE(LEFT(I4093,FIND(" ",I4093)-1)),""),"")</f>
        <v>108</v>
      </c>
      <c r="O4093" s="7" t="str">
        <f aca="false">IF(B4093="TV Show",IFERROR(VALUE(LEFT(I4093,FIND(" ",I4093)-1)),""),"")</f>
        <v/>
      </c>
      <c r="P4093" s="7" t="n">
        <f aca="false">IF(K4093="","",K4093-G4093)</f>
        <v>0</v>
      </c>
    </row>
    <row r="4094" customFormat="false" ht="15" hidden="false" customHeight="false" outlineLevel="0" collapsed="false">
      <c r="A4094" s="7" t="n">
        <v>80091245</v>
      </c>
      <c r="B4094" s="7" t="s">
        <v>78</v>
      </c>
      <c r="C4094" s="7" t="s">
        <v>8450</v>
      </c>
      <c r="E4094" s="7" t="s">
        <v>26</v>
      </c>
      <c r="F4094" s="7" t="s">
        <v>8443</v>
      </c>
      <c r="G4094" s="7" t="n">
        <v>2016</v>
      </c>
      <c r="H4094" s="7" t="s">
        <v>50</v>
      </c>
      <c r="I4094" s="7" t="s">
        <v>82</v>
      </c>
      <c r="J4094" s="7" t="s">
        <v>2965</v>
      </c>
      <c r="K4094" s="7" t="n">
        <f aca="false">IFERROR(VALUE(RIGHT(TRIM(F4094),4)),"")</f>
        <v>2016</v>
      </c>
      <c r="L4094" s="7" t="str">
        <f aca="false">IF(TRIM(E4094)="","Unknown",IFERROR(LEFT(TRIM(E4094),FIND(",",TRIM(E4094))-1),TRIM(E4094)))</f>
        <v>United States</v>
      </c>
      <c r="M4094" s="7" t="str">
        <f aca="false">IFERROR(LEFT(J4094,FIND(",",J4094)-1),J4094)</f>
        <v>Docuseries</v>
      </c>
      <c r="N4094" s="7" t="str">
        <f aca="false">IF(B4094="Movie",IFERROR(VALUE(LEFT(I4094,FIND(" ",I4094)-1)),""),"")</f>
        <v/>
      </c>
      <c r="O4094" s="7" t="n">
        <f aca="false">IF(B4094="TV Show",IFERROR(VALUE(LEFT(I4094,FIND(" ",I4094)-1)),""),"")</f>
        <v>1</v>
      </c>
      <c r="P4094" s="7" t="n">
        <f aca="false">IF(K4094="","",K4094-G4094)</f>
        <v>0</v>
      </c>
    </row>
    <row r="4095" customFormat="false" ht="15" hidden="false" customHeight="false" outlineLevel="0" collapsed="false">
      <c r="A4095" s="7" t="n">
        <v>80081410</v>
      </c>
      <c r="B4095" s="7" t="s">
        <v>68</v>
      </c>
      <c r="C4095" s="7" t="s">
        <v>8451</v>
      </c>
      <c r="D4095" s="7" t="s">
        <v>8452</v>
      </c>
      <c r="E4095" s="7" t="s">
        <v>29</v>
      </c>
      <c r="F4095" s="7" t="s">
        <v>8453</v>
      </c>
      <c r="G4095" s="7" t="n">
        <v>2015</v>
      </c>
      <c r="H4095" s="7" t="s">
        <v>48</v>
      </c>
      <c r="I4095" s="7" t="s">
        <v>1221</v>
      </c>
      <c r="J4095" s="7" t="s">
        <v>202</v>
      </c>
      <c r="K4095" s="7" t="n">
        <f aca="false">IFERROR(VALUE(RIGHT(TRIM(F4095),4)),"")</f>
        <v>2015</v>
      </c>
      <c r="L4095" s="7" t="str">
        <f aca="false">IF(TRIM(E4095)="","Unknown",IFERROR(LEFT(TRIM(E4095),FIND(",",TRIM(E4095))-1),TRIM(E4095)))</f>
        <v>Canada</v>
      </c>
      <c r="M4095" s="7" t="str">
        <f aca="false">IFERROR(LEFT(J4095,FIND(",",J4095)-1),J4095)</f>
        <v>Comedies</v>
      </c>
      <c r="N4095" s="7" t="n">
        <f aca="false">IF(B4095="Movie",IFERROR(VALUE(LEFT(I4095,FIND(" ",I4095)-1)),""),"")</f>
        <v>74</v>
      </c>
      <c r="O4095" s="7" t="str">
        <f aca="false">IF(B4095="TV Show",IFERROR(VALUE(LEFT(I4095,FIND(" ",I4095)-1)),""),"")</f>
        <v/>
      </c>
      <c r="P4095" s="7" t="n">
        <f aca="false">IF(K4095="","",K4095-G4095)</f>
        <v>0</v>
      </c>
    </row>
    <row r="4096" customFormat="false" ht="15" hidden="false" customHeight="false" outlineLevel="0" collapsed="false">
      <c r="A4096" s="7" t="n">
        <v>70117322</v>
      </c>
      <c r="B4096" s="7" t="s">
        <v>68</v>
      </c>
      <c r="C4096" s="7" t="s">
        <v>8454</v>
      </c>
      <c r="D4096" s="7" t="s">
        <v>8455</v>
      </c>
      <c r="E4096" s="7" t="s">
        <v>31</v>
      </c>
      <c r="F4096" s="7" t="s">
        <v>8456</v>
      </c>
      <c r="G4096" s="7" t="n">
        <v>2010</v>
      </c>
      <c r="H4096" s="7" t="s">
        <v>51</v>
      </c>
      <c r="I4096" s="7" t="s">
        <v>272</v>
      </c>
      <c r="J4096" s="7" t="s">
        <v>322</v>
      </c>
      <c r="K4096" s="7" t="n">
        <f aca="false">IFERROR(VALUE(RIGHT(TRIM(F4096),4)),"")</f>
        <v>2019</v>
      </c>
      <c r="L4096" s="7" t="str">
        <f aca="false">IF(TRIM(E4096)="","Unknown",IFERROR(LEFT(TRIM(E4096),FIND(",",TRIM(E4096))-1),TRIM(E4096)))</f>
        <v>France</v>
      </c>
      <c r="M4096" s="7" t="str">
        <f aca="false">IFERROR(LEFT(J4096,FIND(",",J4096)-1),J4096)</f>
        <v>Action &amp; Adventure</v>
      </c>
      <c r="N4096" s="7" t="n">
        <f aca="false">IF(B4096="Movie",IFERROR(VALUE(LEFT(I4096,FIND(" ",I4096)-1)),""),"")</f>
        <v>93</v>
      </c>
      <c r="O4096" s="7" t="str">
        <f aca="false">IF(B4096="TV Show",IFERROR(VALUE(LEFT(I4096,FIND(" ",I4096)-1)),""),"")</f>
        <v/>
      </c>
      <c r="P4096" s="7" t="n">
        <f aca="false">IF(K4096="","",K4096-G4096)</f>
        <v>9</v>
      </c>
    </row>
    <row r="4097" customFormat="false" ht="15" hidden="false" customHeight="false" outlineLevel="0" collapsed="false">
      <c r="A4097" s="7" t="n">
        <v>81157385</v>
      </c>
      <c r="B4097" s="7" t="s">
        <v>68</v>
      </c>
      <c r="C4097" s="7" t="s">
        <v>8457</v>
      </c>
      <c r="D4097" s="7" t="s">
        <v>8458</v>
      </c>
      <c r="E4097" s="7" t="s">
        <v>27</v>
      </c>
      <c r="F4097" s="7" t="s">
        <v>8456</v>
      </c>
      <c r="G4097" s="7" t="n">
        <v>2019</v>
      </c>
      <c r="H4097" s="7" t="s">
        <v>48</v>
      </c>
      <c r="I4097" s="7" t="s">
        <v>8459</v>
      </c>
      <c r="J4097" s="7" t="s">
        <v>322</v>
      </c>
      <c r="K4097" s="7" t="n">
        <f aca="false">IFERROR(VALUE(RIGHT(TRIM(F4097),4)),"")</f>
        <v>2019</v>
      </c>
      <c r="L4097" s="7" t="str">
        <f aca="false">IF(TRIM(E4097)="","Unknown",IFERROR(LEFT(TRIM(E4097),FIND(",",TRIM(E4097))-1),TRIM(E4097)))</f>
        <v>India</v>
      </c>
      <c r="M4097" s="7" t="str">
        <f aca="false">IFERROR(LEFT(J4097,FIND(",",J4097)-1),J4097)</f>
        <v>Action &amp; Adventure</v>
      </c>
      <c r="N4097" s="7" t="n">
        <f aca="false">IF(B4097="Movie",IFERROR(VALUE(LEFT(I4097,FIND(" ",I4097)-1)),""),"")</f>
        <v>172</v>
      </c>
      <c r="O4097" s="7" t="str">
        <f aca="false">IF(B4097="TV Show",IFERROR(VALUE(LEFT(I4097,FIND(" ",I4097)-1)),""),"")</f>
        <v/>
      </c>
      <c r="P4097" s="7" t="n">
        <f aca="false">IF(K4097="","",K4097-G4097)</f>
        <v>0</v>
      </c>
    </row>
    <row r="4098" customFormat="false" ht="15" hidden="false" customHeight="false" outlineLevel="0" collapsed="false">
      <c r="A4098" s="7" t="n">
        <v>81033201</v>
      </c>
      <c r="B4098" s="7" t="s">
        <v>68</v>
      </c>
      <c r="C4098" s="7" t="s">
        <v>8460</v>
      </c>
      <c r="D4098" s="7" t="s">
        <v>8461</v>
      </c>
      <c r="E4098" s="7" t="s">
        <v>362</v>
      </c>
      <c r="F4098" s="7" t="s">
        <v>8462</v>
      </c>
      <c r="G4098" s="7" t="n">
        <v>2008</v>
      </c>
      <c r="H4098" s="7" t="s">
        <v>49</v>
      </c>
      <c r="I4098" s="7" t="s">
        <v>421</v>
      </c>
      <c r="J4098" s="7" t="s">
        <v>217</v>
      </c>
      <c r="K4098" s="7" t="n">
        <f aca="false">IFERROR(VALUE(RIGHT(TRIM(F4098),4)),"")</f>
        <v>2018</v>
      </c>
      <c r="L4098" s="7" t="str">
        <f aca="false">IF(TRIM(E4098)="","Unknown",IFERROR(LEFT(TRIM(E4098),FIND(",",TRIM(E4098))-1),TRIM(E4098)))</f>
        <v>Indonesia</v>
      </c>
      <c r="M4098" s="7" t="str">
        <f aca="false">IFERROR(LEFT(J4098,FIND(",",J4098)-1),J4098)</f>
        <v>Comedies</v>
      </c>
      <c r="N4098" s="7" t="n">
        <f aca="false">IF(B4098="Movie",IFERROR(VALUE(LEFT(I4098,FIND(" ",I4098)-1)),""),"")</f>
        <v>75</v>
      </c>
      <c r="O4098" s="7" t="str">
        <f aca="false">IF(B4098="TV Show",IFERROR(VALUE(LEFT(I4098,FIND(" ",I4098)-1)),""),"")</f>
        <v/>
      </c>
      <c r="P4098" s="7" t="n">
        <f aca="false">IF(K4098="","",K4098-G4098)</f>
        <v>10</v>
      </c>
    </row>
    <row r="4099" customFormat="false" ht="15" hidden="false" customHeight="false" outlineLevel="0" collapsed="false">
      <c r="A4099" s="7" t="n">
        <v>70253594</v>
      </c>
      <c r="B4099" s="7" t="s">
        <v>68</v>
      </c>
      <c r="C4099" s="7" t="s">
        <v>8463</v>
      </c>
      <c r="D4099" s="7" t="s">
        <v>8464</v>
      </c>
      <c r="E4099" s="7" t="s">
        <v>619</v>
      </c>
      <c r="F4099" s="7" t="s">
        <v>8462</v>
      </c>
      <c r="G4099" s="7" t="n">
        <v>2013</v>
      </c>
      <c r="H4099" s="7" t="s">
        <v>51</v>
      </c>
      <c r="I4099" s="7" t="s">
        <v>73</v>
      </c>
      <c r="J4099" s="7" t="s">
        <v>213</v>
      </c>
      <c r="K4099" s="7" t="n">
        <f aca="false">IFERROR(VALUE(RIGHT(TRIM(F4099),4)),"")</f>
        <v>2018</v>
      </c>
      <c r="L4099" s="7" t="str">
        <f aca="false">IF(TRIM(E4099)="","Unknown",IFERROR(LEFT(TRIM(E4099),FIND(",",TRIM(E4099))-1),TRIM(E4099)))</f>
        <v>Canada</v>
      </c>
      <c r="M4099" s="7" t="str">
        <f aca="false">IFERROR(LEFT(J4099,FIND(",",J4099)-1),J4099)</f>
        <v>Action &amp; Adventure</v>
      </c>
      <c r="N4099" s="7" t="n">
        <f aca="false">IF(B4099="Movie",IFERROR(VALUE(LEFT(I4099,FIND(" ",I4099)-1)),""),"")</f>
        <v>90</v>
      </c>
      <c r="O4099" s="7" t="str">
        <f aca="false">IF(B4099="TV Show",IFERROR(VALUE(LEFT(I4099,FIND(" ",I4099)-1)),""),"")</f>
        <v/>
      </c>
      <c r="P4099" s="7" t="n">
        <f aca="false">IF(K4099="","",K4099-G4099)</f>
        <v>5</v>
      </c>
    </row>
    <row r="4100" customFormat="false" ht="15" hidden="false" customHeight="false" outlineLevel="0" collapsed="false">
      <c r="A4100" s="7" t="n">
        <v>70266069</v>
      </c>
      <c r="B4100" s="7" t="s">
        <v>68</v>
      </c>
      <c r="C4100" s="7" t="s">
        <v>8465</v>
      </c>
      <c r="D4100" s="7" t="s">
        <v>1160</v>
      </c>
      <c r="E4100" s="7" t="s">
        <v>362</v>
      </c>
      <c r="F4100" s="7" t="s">
        <v>8462</v>
      </c>
      <c r="G4100" s="7" t="n">
        <v>2011</v>
      </c>
      <c r="H4100" s="7" t="s">
        <v>48</v>
      </c>
      <c r="I4100" s="7" t="s">
        <v>820</v>
      </c>
      <c r="J4100" s="7" t="s">
        <v>240</v>
      </c>
      <c r="K4100" s="7" t="n">
        <f aca="false">IFERROR(VALUE(RIGHT(TRIM(F4100),4)),"")</f>
        <v>2018</v>
      </c>
      <c r="L4100" s="7" t="str">
        <f aca="false">IF(TRIM(E4100)="","Unknown",IFERROR(LEFT(TRIM(E4100),FIND(",",TRIM(E4100))-1),TRIM(E4100)))</f>
        <v>Indonesia</v>
      </c>
      <c r="M4100" s="7" t="str">
        <f aca="false">IFERROR(LEFT(J4100,FIND(",",J4100)-1),J4100)</f>
        <v>Dramas</v>
      </c>
      <c r="N4100" s="7" t="n">
        <f aca="false">IF(B4100="Movie",IFERROR(VALUE(LEFT(I4100,FIND(" ",I4100)-1)),""),"")</f>
        <v>105</v>
      </c>
      <c r="O4100" s="7" t="str">
        <f aca="false">IF(B4100="TV Show",IFERROR(VALUE(LEFT(I4100,FIND(" ",I4100)-1)),""),"")</f>
        <v/>
      </c>
      <c r="P4100" s="7" t="n">
        <f aca="false">IF(K4100="","",K4100-G4100)</f>
        <v>7</v>
      </c>
    </row>
    <row r="4101" customFormat="false" ht="15" hidden="false" customHeight="false" outlineLevel="0" collapsed="false">
      <c r="A4101" s="7" t="n">
        <v>70035037</v>
      </c>
      <c r="B4101" s="7" t="s">
        <v>68</v>
      </c>
      <c r="C4101" s="7" t="s">
        <v>8466</v>
      </c>
      <c r="D4101" s="7" t="s">
        <v>714</v>
      </c>
      <c r="E4101" s="7" t="s">
        <v>362</v>
      </c>
      <c r="F4101" s="7" t="s">
        <v>8462</v>
      </c>
      <c r="G4101" s="7" t="n">
        <v>2003</v>
      </c>
      <c r="H4101" s="7" t="s">
        <v>49</v>
      </c>
      <c r="I4101" s="7" t="s">
        <v>549</v>
      </c>
      <c r="J4101" s="7" t="s">
        <v>217</v>
      </c>
      <c r="K4101" s="7" t="n">
        <f aca="false">IFERROR(VALUE(RIGHT(TRIM(F4101),4)),"")</f>
        <v>2018</v>
      </c>
      <c r="L4101" s="7" t="str">
        <f aca="false">IF(TRIM(E4101)="","Unknown",IFERROR(LEFT(TRIM(E4101),FIND(",",TRIM(E4101))-1),TRIM(E4101)))</f>
        <v>Indonesia</v>
      </c>
      <c r="M4101" s="7" t="str">
        <f aca="false">IFERROR(LEFT(J4101,FIND(",",J4101)-1),J4101)</f>
        <v>Comedies</v>
      </c>
      <c r="N4101" s="7" t="n">
        <f aca="false">IF(B4101="Movie",IFERROR(VALUE(LEFT(I4101,FIND(" ",I4101)-1)),""),"")</f>
        <v>124</v>
      </c>
      <c r="O4101" s="7" t="str">
        <f aca="false">IF(B4101="TV Show",IFERROR(VALUE(LEFT(I4101,FIND(" ",I4101)-1)),""),"")</f>
        <v/>
      </c>
      <c r="P4101" s="7" t="n">
        <f aca="false">IF(K4101="","",K4101-G4101)</f>
        <v>15</v>
      </c>
    </row>
    <row r="4102" customFormat="false" ht="15" hidden="false" customHeight="false" outlineLevel="0" collapsed="false">
      <c r="A4102" s="7" t="n">
        <v>81016342</v>
      </c>
      <c r="B4102" s="7" t="s">
        <v>68</v>
      </c>
      <c r="C4102" s="7" t="s">
        <v>8467</v>
      </c>
      <c r="D4102" s="7" t="s">
        <v>8468</v>
      </c>
      <c r="E4102" s="7" t="s">
        <v>362</v>
      </c>
      <c r="F4102" s="7" t="s">
        <v>8462</v>
      </c>
      <c r="G4102" s="7" t="n">
        <v>2002</v>
      </c>
      <c r="H4102" s="7" t="s">
        <v>51</v>
      </c>
      <c r="I4102" s="7" t="s">
        <v>93</v>
      </c>
      <c r="J4102" s="7" t="s">
        <v>240</v>
      </c>
      <c r="K4102" s="7" t="n">
        <f aca="false">IFERROR(VALUE(RIGHT(TRIM(F4102),4)),"")</f>
        <v>2018</v>
      </c>
      <c r="L4102" s="7" t="str">
        <f aca="false">IF(TRIM(E4102)="","Unknown",IFERROR(LEFT(TRIM(E4102),FIND(",",TRIM(E4102))-1),TRIM(E4102)))</f>
        <v>Indonesia</v>
      </c>
      <c r="M4102" s="7" t="str">
        <f aca="false">IFERROR(LEFT(J4102,FIND(",",J4102)-1),J4102)</f>
        <v>Dramas</v>
      </c>
      <c r="N4102" s="7" t="n">
        <f aca="false">IF(B4102="Movie",IFERROR(VALUE(LEFT(I4102,FIND(" ",I4102)-1)),""),"")</f>
        <v>110</v>
      </c>
      <c r="O4102" s="7" t="str">
        <f aca="false">IF(B4102="TV Show",IFERROR(VALUE(LEFT(I4102,FIND(" ",I4102)-1)),""),"")</f>
        <v/>
      </c>
      <c r="P4102" s="7" t="n">
        <f aca="false">IF(K4102="","",K4102-G4102)</f>
        <v>16</v>
      </c>
    </row>
    <row r="4103" customFormat="false" ht="15" hidden="false" customHeight="false" outlineLevel="0" collapsed="false">
      <c r="A4103" s="7" t="n">
        <v>70152959</v>
      </c>
      <c r="B4103" s="7" t="s">
        <v>68</v>
      </c>
      <c r="C4103" s="7" t="s">
        <v>8469</v>
      </c>
      <c r="D4103" s="7" t="s">
        <v>7930</v>
      </c>
      <c r="E4103" s="7" t="s">
        <v>27</v>
      </c>
      <c r="F4103" s="7" t="s">
        <v>8470</v>
      </c>
      <c r="G4103" s="7" t="n">
        <v>2011</v>
      </c>
      <c r="H4103" s="7" t="s">
        <v>48</v>
      </c>
      <c r="I4103" s="7" t="s">
        <v>181</v>
      </c>
      <c r="J4103" s="7" t="s">
        <v>139</v>
      </c>
      <c r="K4103" s="7" t="n">
        <f aca="false">IFERROR(VALUE(RIGHT(TRIM(F4103),4)),"")</f>
        <v>2017</v>
      </c>
      <c r="L4103" s="7" t="str">
        <f aca="false">IF(TRIM(E4103)="","Unknown",IFERROR(LEFT(TRIM(E4103),FIND(",",TRIM(E4103))-1),TRIM(E4103)))</f>
        <v>India</v>
      </c>
      <c r="M4103" s="7" t="str">
        <f aca="false">IFERROR(LEFT(J4103,FIND(",",J4103)-1),J4103)</f>
        <v>Action &amp; Adventure</v>
      </c>
      <c r="N4103" s="7" t="n">
        <f aca="false">IF(B4103="Movie",IFERROR(VALUE(LEFT(I4103,FIND(" ",I4103)-1)),""),"")</f>
        <v>102</v>
      </c>
      <c r="O4103" s="7" t="str">
        <f aca="false">IF(B4103="TV Show",IFERROR(VALUE(LEFT(I4103,FIND(" ",I4103)-1)),""),"")</f>
        <v/>
      </c>
      <c r="P4103" s="7" t="n">
        <f aca="false">IF(K4103="","",K4103-G4103)</f>
        <v>6</v>
      </c>
    </row>
    <row r="4104" customFormat="false" ht="15" hidden="false" customHeight="false" outlineLevel="0" collapsed="false">
      <c r="A4104" s="7" t="n">
        <v>70144331</v>
      </c>
      <c r="B4104" s="7" t="s">
        <v>68</v>
      </c>
      <c r="C4104" s="7" t="s">
        <v>8471</v>
      </c>
      <c r="D4104" s="7" t="s">
        <v>8472</v>
      </c>
      <c r="E4104" s="7" t="s">
        <v>27</v>
      </c>
      <c r="F4104" s="7" t="s">
        <v>8470</v>
      </c>
      <c r="G4104" s="7" t="n">
        <v>2010</v>
      </c>
      <c r="H4104" s="7" t="s">
        <v>49</v>
      </c>
      <c r="I4104" s="7" t="s">
        <v>181</v>
      </c>
      <c r="J4104" s="7" t="s">
        <v>304</v>
      </c>
      <c r="K4104" s="7" t="n">
        <f aca="false">IFERROR(VALUE(RIGHT(TRIM(F4104),4)),"")</f>
        <v>2017</v>
      </c>
      <c r="L4104" s="7" t="str">
        <f aca="false">IF(TRIM(E4104)="","Unknown",IFERROR(LEFT(TRIM(E4104),FIND(",",TRIM(E4104))-1),TRIM(E4104)))</f>
        <v>India</v>
      </c>
      <c r="M4104" s="7" t="str">
        <f aca="false">IFERROR(LEFT(J4104,FIND(",",J4104)-1),J4104)</f>
        <v>Dramas</v>
      </c>
      <c r="N4104" s="7" t="n">
        <f aca="false">IF(B4104="Movie",IFERROR(VALUE(LEFT(I4104,FIND(" ",I4104)-1)),""),"")</f>
        <v>102</v>
      </c>
      <c r="O4104" s="7" t="str">
        <f aca="false">IF(B4104="TV Show",IFERROR(VALUE(LEFT(I4104,FIND(" ",I4104)-1)),""),"")</f>
        <v/>
      </c>
      <c r="P4104" s="7" t="n">
        <f aca="false">IF(K4104="","",K4104-G4104)</f>
        <v>7</v>
      </c>
    </row>
    <row r="4105" customFormat="false" ht="15" hidden="false" customHeight="false" outlineLevel="0" collapsed="false">
      <c r="A4105" s="7" t="n">
        <v>80178974</v>
      </c>
      <c r="B4105" s="7" t="s">
        <v>68</v>
      </c>
      <c r="C4105" s="7" t="s">
        <v>8473</v>
      </c>
      <c r="D4105" s="7" t="s">
        <v>8474</v>
      </c>
      <c r="E4105" s="7" t="s">
        <v>26</v>
      </c>
      <c r="F4105" s="7" t="s">
        <v>8470</v>
      </c>
      <c r="G4105" s="7" t="n">
        <v>2017</v>
      </c>
      <c r="H4105" s="7" t="s">
        <v>48</v>
      </c>
      <c r="I4105" s="7" t="s">
        <v>357</v>
      </c>
      <c r="J4105" s="7" t="s">
        <v>251</v>
      </c>
      <c r="K4105" s="7" t="n">
        <f aca="false">IFERROR(VALUE(RIGHT(TRIM(F4105),4)),"")</f>
        <v>2017</v>
      </c>
      <c r="L4105" s="7" t="str">
        <f aca="false">IF(TRIM(E4105)="","Unknown",IFERROR(LEFT(TRIM(E4105),FIND(",",TRIM(E4105))-1),TRIM(E4105)))</f>
        <v>United States</v>
      </c>
      <c r="M4105" s="7" t="str">
        <f aca="false">IFERROR(LEFT(J4105,FIND(",",J4105)-1),J4105)</f>
        <v>Comedies</v>
      </c>
      <c r="N4105" s="7" t="n">
        <f aca="false">IF(B4105="Movie",IFERROR(VALUE(LEFT(I4105,FIND(" ",I4105)-1)),""),"")</f>
        <v>89</v>
      </c>
      <c r="O4105" s="7" t="str">
        <f aca="false">IF(B4105="TV Show",IFERROR(VALUE(LEFT(I4105,FIND(" ",I4105)-1)),""),"")</f>
        <v/>
      </c>
      <c r="P4105" s="7" t="n">
        <f aca="false">IF(K4105="","",K4105-G4105)</f>
        <v>0</v>
      </c>
    </row>
    <row r="4106" customFormat="false" ht="15" hidden="false" customHeight="false" outlineLevel="0" collapsed="false">
      <c r="A4106" s="7" t="n">
        <v>80157086</v>
      </c>
      <c r="B4106" s="7" t="s">
        <v>68</v>
      </c>
      <c r="C4106" s="7" t="s">
        <v>8475</v>
      </c>
      <c r="D4106" s="7" t="s">
        <v>1068</v>
      </c>
      <c r="E4106" s="7" t="s">
        <v>27</v>
      </c>
      <c r="F4106" s="7" t="s">
        <v>8470</v>
      </c>
      <c r="G4106" s="7" t="n">
        <v>1986</v>
      </c>
      <c r="H4106" s="7" t="s">
        <v>48</v>
      </c>
      <c r="I4106" s="7" t="s">
        <v>1066</v>
      </c>
      <c r="J4106" s="7" t="s">
        <v>322</v>
      </c>
      <c r="K4106" s="7" t="n">
        <f aca="false">IFERROR(VALUE(RIGHT(TRIM(F4106),4)),"")</f>
        <v>2017</v>
      </c>
      <c r="L4106" s="7" t="str">
        <f aca="false">IF(TRIM(E4106)="","Unknown",IFERROR(LEFT(TRIM(E4106),FIND(",",TRIM(E4106))-1),TRIM(E4106)))</f>
        <v>India</v>
      </c>
      <c r="M4106" s="7" t="str">
        <f aca="false">IFERROR(LEFT(J4106,FIND(",",J4106)-1),J4106)</f>
        <v>Action &amp; Adventure</v>
      </c>
      <c r="N4106" s="7" t="n">
        <f aca="false">IF(B4106="Movie",IFERROR(VALUE(LEFT(I4106,FIND(" ",I4106)-1)),""),"")</f>
        <v>162</v>
      </c>
      <c r="O4106" s="7" t="str">
        <f aca="false">IF(B4106="TV Show",IFERROR(VALUE(LEFT(I4106,FIND(" ",I4106)-1)),""),"")</f>
        <v/>
      </c>
      <c r="P4106" s="7" t="n">
        <f aca="false">IF(K4106="","",K4106-G4106)</f>
        <v>31</v>
      </c>
    </row>
    <row r="4107" customFormat="false" ht="15" hidden="false" customHeight="false" outlineLevel="0" collapsed="false">
      <c r="A4107" s="7" t="n">
        <v>70089214</v>
      </c>
      <c r="B4107" s="7" t="s">
        <v>68</v>
      </c>
      <c r="C4107" s="7" t="s">
        <v>8476</v>
      </c>
      <c r="D4107" s="7" t="s">
        <v>8477</v>
      </c>
      <c r="E4107" s="7" t="s">
        <v>27</v>
      </c>
      <c r="F4107" s="7" t="s">
        <v>8470</v>
      </c>
      <c r="G4107" s="7" t="n">
        <v>2008</v>
      </c>
      <c r="H4107" s="7" t="s">
        <v>50</v>
      </c>
      <c r="I4107" s="7" t="s">
        <v>1989</v>
      </c>
      <c r="J4107" s="7" t="s">
        <v>457</v>
      </c>
      <c r="K4107" s="7" t="n">
        <f aca="false">IFERROR(VALUE(RIGHT(TRIM(F4107),4)),"")</f>
        <v>2017</v>
      </c>
      <c r="L4107" s="7" t="str">
        <f aca="false">IF(TRIM(E4107)="","Unknown",IFERROR(LEFT(TRIM(E4107),FIND(",",TRIM(E4107))-1),TRIM(E4107)))</f>
        <v>India</v>
      </c>
      <c r="M4107" s="7" t="str">
        <f aca="false">IFERROR(LEFT(J4107,FIND(",",J4107)-1),J4107)</f>
        <v>Comedies</v>
      </c>
      <c r="N4107" s="7" t="n">
        <f aca="false">IF(B4107="Movie",IFERROR(VALUE(LEFT(I4107,FIND(" ",I4107)-1)),""),"")</f>
        <v>147</v>
      </c>
      <c r="O4107" s="7" t="str">
        <f aca="false">IF(B4107="TV Show",IFERROR(VALUE(LEFT(I4107,FIND(" ",I4107)-1)),""),"")</f>
        <v/>
      </c>
      <c r="P4107" s="7" t="n">
        <f aca="false">IF(K4107="","",K4107-G4107)</f>
        <v>9</v>
      </c>
    </row>
    <row r="4108" customFormat="false" ht="15" hidden="false" customHeight="false" outlineLevel="0" collapsed="false">
      <c r="A4108" s="7" t="n">
        <v>60020906</v>
      </c>
      <c r="B4108" s="7" t="s">
        <v>68</v>
      </c>
      <c r="C4108" s="7" t="s">
        <v>8478</v>
      </c>
      <c r="D4108" s="7" t="s">
        <v>2154</v>
      </c>
      <c r="E4108" s="7" t="s">
        <v>27</v>
      </c>
      <c r="F4108" s="7" t="s">
        <v>8470</v>
      </c>
      <c r="G4108" s="7" t="n">
        <v>2001</v>
      </c>
      <c r="H4108" s="7" t="s">
        <v>54</v>
      </c>
      <c r="I4108" s="7" t="s">
        <v>8479</v>
      </c>
      <c r="J4108" s="7" t="s">
        <v>1042</v>
      </c>
      <c r="K4108" s="7" t="n">
        <f aca="false">IFERROR(VALUE(RIGHT(TRIM(F4108),4)),"")</f>
        <v>2017</v>
      </c>
      <c r="L4108" s="7" t="str">
        <f aca="false">IF(TRIM(E4108)="","Unknown",IFERROR(LEFT(TRIM(E4108),FIND(",",TRIM(E4108))-1),TRIM(E4108)))</f>
        <v>India</v>
      </c>
      <c r="M4108" s="7" t="str">
        <f aca="false">IFERROR(LEFT(J4108,FIND(",",J4108)-1),J4108)</f>
        <v>Dramas</v>
      </c>
      <c r="N4108" s="7" t="n">
        <f aca="false">IF(B4108="Movie",IFERROR(VALUE(LEFT(I4108,FIND(" ",I4108)-1)),""),"")</f>
        <v>224</v>
      </c>
      <c r="O4108" s="7" t="str">
        <f aca="false">IF(B4108="TV Show",IFERROR(VALUE(LEFT(I4108,FIND(" ",I4108)-1)),""),"")</f>
        <v/>
      </c>
      <c r="P4108" s="7" t="n">
        <f aca="false">IF(K4108="","",K4108-G4108)</f>
        <v>16</v>
      </c>
    </row>
    <row r="4109" customFormat="false" ht="15" hidden="false" customHeight="false" outlineLevel="0" collapsed="false">
      <c r="A4109" s="7" t="n">
        <v>60002808</v>
      </c>
      <c r="B4109" s="7" t="s">
        <v>68</v>
      </c>
      <c r="C4109" s="7" t="s">
        <v>8480</v>
      </c>
      <c r="D4109" s="7" t="s">
        <v>8481</v>
      </c>
      <c r="E4109" s="7" t="s">
        <v>27</v>
      </c>
      <c r="F4109" s="7" t="s">
        <v>8470</v>
      </c>
      <c r="G4109" s="7" t="n">
        <v>2000</v>
      </c>
      <c r="H4109" s="7" t="s">
        <v>50</v>
      </c>
      <c r="I4109" s="7" t="s">
        <v>749</v>
      </c>
      <c r="J4109" s="7" t="s">
        <v>217</v>
      </c>
      <c r="K4109" s="7" t="n">
        <f aca="false">IFERROR(VALUE(RIGHT(TRIM(F4109),4)),"")</f>
        <v>2017</v>
      </c>
      <c r="L4109" s="7" t="str">
        <f aca="false">IF(TRIM(E4109)="","Unknown",IFERROR(LEFT(TRIM(E4109),FIND(",",TRIM(E4109))-1),TRIM(E4109)))</f>
        <v>India</v>
      </c>
      <c r="M4109" s="7" t="str">
        <f aca="false">IFERROR(LEFT(J4109,FIND(",",J4109)-1),J4109)</f>
        <v>Comedies</v>
      </c>
      <c r="N4109" s="7" t="n">
        <f aca="false">IF(B4109="Movie",IFERROR(VALUE(LEFT(I4109,FIND(" ",I4109)-1)),""),"")</f>
        <v>137</v>
      </c>
      <c r="O4109" s="7" t="str">
        <f aca="false">IF(B4109="TV Show",IFERROR(VALUE(LEFT(I4109,FIND(" ",I4109)-1)),""),"")</f>
        <v/>
      </c>
      <c r="P4109" s="7" t="n">
        <f aca="false">IF(K4109="","",K4109-G4109)</f>
        <v>17</v>
      </c>
    </row>
    <row r="4110" customFormat="false" ht="15" hidden="false" customHeight="false" outlineLevel="0" collapsed="false">
      <c r="A4110" s="7" t="n">
        <v>70129396</v>
      </c>
      <c r="B4110" s="7" t="s">
        <v>68</v>
      </c>
      <c r="C4110" s="7" t="s">
        <v>8482</v>
      </c>
      <c r="D4110" s="7" t="s">
        <v>8483</v>
      </c>
      <c r="E4110" s="7" t="s">
        <v>27</v>
      </c>
      <c r="F4110" s="7" t="s">
        <v>8470</v>
      </c>
      <c r="G4110" s="7" t="n">
        <v>2010</v>
      </c>
      <c r="H4110" s="7" t="s">
        <v>49</v>
      </c>
      <c r="I4110" s="7" t="s">
        <v>790</v>
      </c>
      <c r="J4110" s="7" t="s">
        <v>198</v>
      </c>
      <c r="K4110" s="7" t="n">
        <f aca="false">IFERROR(VALUE(RIGHT(TRIM(F4110),4)),"")</f>
        <v>2017</v>
      </c>
      <c r="L4110" s="7" t="str">
        <f aca="false">IF(TRIM(E4110)="","Unknown",IFERROR(LEFT(TRIM(E4110),FIND(",",TRIM(E4110))-1),TRIM(E4110)))</f>
        <v>India</v>
      </c>
      <c r="M4110" s="7" t="str">
        <f aca="false">IFERROR(LEFT(J4110,FIND(",",J4110)-1),J4110)</f>
        <v>Comedies</v>
      </c>
      <c r="N4110" s="7" t="n">
        <f aca="false">IF(B4110="Movie",IFERROR(VALUE(LEFT(I4110,FIND(" ",I4110)-1)),""),"")</f>
        <v>109</v>
      </c>
      <c r="O4110" s="7" t="str">
        <f aca="false">IF(B4110="TV Show",IFERROR(VALUE(LEFT(I4110,FIND(" ",I4110)-1)),""),"")</f>
        <v/>
      </c>
      <c r="P4110" s="7" t="n">
        <f aca="false">IF(K4110="","",K4110-G4110)</f>
        <v>7</v>
      </c>
    </row>
    <row r="4111" customFormat="false" ht="15" hidden="false" customHeight="false" outlineLevel="0" collapsed="false">
      <c r="A4111" s="7" t="n">
        <v>80156938</v>
      </c>
      <c r="B4111" s="7" t="s">
        <v>68</v>
      </c>
      <c r="C4111" s="7" t="s">
        <v>8484</v>
      </c>
      <c r="D4111" s="7" t="s">
        <v>1092</v>
      </c>
      <c r="E4111" s="7" t="s">
        <v>1093</v>
      </c>
      <c r="F4111" s="7" t="s">
        <v>8470</v>
      </c>
      <c r="G4111" s="7" t="n">
        <v>1991</v>
      </c>
      <c r="H4111" s="7" t="s">
        <v>49</v>
      </c>
      <c r="I4111" s="7" t="s">
        <v>383</v>
      </c>
      <c r="J4111" s="7" t="s">
        <v>1042</v>
      </c>
      <c r="K4111" s="7" t="n">
        <f aca="false">IFERROR(VALUE(RIGHT(TRIM(F4111),4)),"")</f>
        <v>2017</v>
      </c>
      <c r="L4111" s="7" t="str">
        <f aca="false">IF(TRIM(E4111)="","Unknown",IFERROR(LEFT(TRIM(E4111),FIND(",",TRIM(E4111))-1),TRIM(E4111)))</f>
        <v>India</v>
      </c>
      <c r="M4111" s="7" t="str">
        <f aca="false">IFERROR(LEFT(J4111,FIND(",",J4111)-1),J4111)</f>
        <v>Dramas</v>
      </c>
      <c r="N4111" s="7" t="n">
        <f aca="false">IF(B4111="Movie",IFERROR(VALUE(LEFT(I4111,FIND(" ",I4111)-1)),""),"")</f>
        <v>163</v>
      </c>
      <c r="O4111" s="7" t="str">
        <f aca="false">IF(B4111="TV Show",IFERROR(VALUE(LEFT(I4111,FIND(" ",I4111)-1)),""),"")</f>
        <v/>
      </c>
      <c r="P4111" s="7" t="n">
        <f aca="false">IF(K4111="","",K4111-G4111)</f>
        <v>26</v>
      </c>
    </row>
    <row r="4112" customFormat="false" ht="15" hidden="false" customHeight="false" outlineLevel="0" collapsed="false">
      <c r="A4112" s="7" t="n">
        <v>70087087</v>
      </c>
      <c r="B4112" s="7" t="s">
        <v>68</v>
      </c>
      <c r="C4112" s="7" t="s">
        <v>8485</v>
      </c>
      <c r="D4112" s="7" t="s">
        <v>8486</v>
      </c>
      <c r="E4112" s="7" t="s">
        <v>27</v>
      </c>
      <c r="F4112" s="7" t="s">
        <v>8470</v>
      </c>
      <c r="G4112" s="7" t="n">
        <v>2007</v>
      </c>
      <c r="H4112" s="7" t="s">
        <v>54</v>
      </c>
      <c r="I4112" s="7" t="s">
        <v>1066</v>
      </c>
      <c r="J4112" s="7" t="s">
        <v>304</v>
      </c>
      <c r="K4112" s="7" t="n">
        <f aca="false">IFERROR(VALUE(RIGHT(TRIM(F4112),4)),"")</f>
        <v>2017</v>
      </c>
      <c r="L4112" s="7" t="str">
        <f aca="false">IF(TRIM(E4112)="","Unknown",IFERROR(LEFT(TRIM(E4112),FIND(",",TRIM(E4112))-1),TRIM(E4112)))</f>
        <v>India</v>
      </c>
      <c r="M4112" s="7" t="str">
        <f aca="false">IFERROR(LEFT(J4112,FIND(",",J4112)-1),J4112)</f>
        <v>Dramas</v>
      </c>
      <c r="N4112" s="7" t="n">
        <f aca="false">IF(B4112="Movie",IFERROR(VALUE(LEFT(I4112,FIND(" ",I4112)-1)),""),"")</f>
        <v>162</v>
      </c>
      <c r="O4112" s="7" t="str">
        <f aca="false">IF(B4112="TV Show",IFERROR(VALUE(LEFT(I4112,FIND(" ",I4112)-1)),""),"")</f>
        <v/>
      </c>
      <c r="P4112" s="7" t="n">
        <f aca="false">IF(K4112="","",K4112-G4112)</f>
        <v>10</v>
      </c>
    </row>
    <row r="4113" customFormat="false" ht="15" hidden="false" customHeight="false" outlineLevel="0" collapsed="false">
      <c r="A4113" s="7" t="n">
        <v>80156405</v>
      </c>
      <c r="B4113" s="7" t="s">
        <v>68</v>
      </c>
      <c r="C4113" s="7" t="s">
        <v>6677</v>
      </c>
      <c r="D4113" s="7" t="s">
        <v>8487</v>
      </c>
      <c r="E4113" s="7" t="s">
        <v>2419</v>
      </c>
      <c r="F4113" s="7" t="s">
        <v>8470</v>
      </c>
      <c r="G4113" s="7" t="n">
        <v>2016</v>
      </c>
      <c r="H4113" s="7" t="s">
        <v>48</v>
      </c>
      <c r="I4113" s="7" t="s">
        <v>417</v>
      </c>
      <c r="J4113" s="7" t="s">
        <v>322</v>
      </c>
      <c r="K4113" s="7" t="n">
        <f aca="false">IFERROR(VALUE(RIGHT(TRIM(F4113),4)),"")</f>
        <v>2017</v>
      </c>
      <c r="L4113" s="7" t="str">
        <f aca="false">IF(TRIM(E4113)="","Unknown",IFERROR(LEFT(TRIM(E4113),FIND(",",TRIM(E4113))-1),TRIM(E4113)))</f>
        <v>Iceland</v>
      </c>
      <c r="M4113" s="7" t="str">
        <f aca="false">IFERROR(LEFT(J4113,FIND(",",J4113)-1),J4113)</f>
        <v>Action &amp; Adventure</v>
      </c>
      <c r="N4113" s="7" t="n">
        <f aca="false">IF(B4113="Movie",IFERROR(VALUE(LEFT(I4113,FIND(" ",I4113)-1)),""),"")</f>
        <v>104</v>
      </c>
      <c r="O4113" s="7" t="str">
        <f aca="false">IF(B4113="TV Show",IFERROR(VALUE(LEFT(I4113,FIND(" ",I4113)-1)),""),"")</f>
        <v/>
      </c>
      <c r="P4113" s="7" t="n">
        <f aca="false">IF(K4113="","",K4113-G4113)</f>
        <v>1</v>
      </c>
    </row>
    <row r="4114" customFormat="false" ht="15" hidden="false" customHeight="false" outlineLevel="0" collapsed="false">
      <c r="A4114" s="7" t="n">
        <v>80103392</v>
      </c>
      <c r="B4114" s="7" t="s">
        <v>68</v>
      </c>
      <c r="C4114" s="7" t="s">
        <v>8488</v>
      </c>
      <c r="D4114" s="7" t="s">
        <v>7462</v>
      </c>
      <c r="E4114" s="7" t="s">
        <v>26</v>
      </c>
      <c r="F4114" s="7" t="s">
        <v>8489</v>
      </c>
      <c r="G4114" s="7" t="n">
        <v>2016</v>
      </c>
      <c r="H4114" s="7" t="s">
        <v>48</v>
      </c>
      <c r="I4114" s="7" t="s">
        <v>73</v>
      </c>
      <c r="J4114" s="7" t="s">
        <v>40</v>
      </c>
      <c r="K4114" s="7" t="n">
        <f aca="false">IFERROR(VALUE(RIGHT(TRIM(F4114),4)),"")</f>
        <v>2016</v>
      </c>
      <c r="L4114" s="7" t="str">
        <f aca="false">IF(TRIM(E4114)="","Unknown",IFERROR(LEFT(TRIM(E4114),FIND(",",TRIM(E4114))-1),TRIM(E4114)))</f>
        <v>United States</v>
      </c>
      <c r="M4114" s="7" t="str">
        <f aca="false">IFERROR(LEFT(J4114,FIND(",",J4114)-1),J4114)</f>
        <v>Action &amp; Adventure</v>
      </c>
      <c r="N4114" s="7" t="n">
        <f aca="false">IF(B4114="Movie",IFERROR(VALUE(LEFT(I4114,FIND(" ",I4114)-1)),""),"")</f>
        <v>90</v>
      </c>
      <c r="O4114" s="7" t="str">
        <f aca="false">IF(B4114="TV Show",IFERROR(VALUE(LEFT(I4114,FIND(" ",I4114)-1)),""),"")</f>
        <v/>
      </c>
      <c r="P4114" s="7" t="n">
        <f aca="false">IF(K4114="","",K4114-G4114)</f>
        <v>0</v>
      </c>
    </row>
    <row r="4115" customFormat="false" ht="15" hidden="false" customHeight="false" outlineLevel="0" collapsed="false">
      <c r="A4115" s="7" t="n">
        <v>80158044</v>
      </c>
      <c r="B4115" s="7" t="s">
        <v>78</v>
      </c>
      <c r="C4115" s="7" t="s">
        <v>8490</v>
      </c>
      <c r="E4115" s="7" t="s">
        <v>970</v>
      </c>
      <c r="F4115" s="7" t="s">
        <v>8489</v>
      </c>
      <c r="G4115" s="7" t="n">
        <v>2016</v>
      </c>
      <c r="H4115" s="7" t="s">
        <v>49</v>
      </c>
      <c r="I4115" s="7" t="s">
        <v>82</v>
      </c>
      <c r="J4115" s="7" t="s">
        <v>158</v>
      </c>
      <c r="K4115" s="7" t="n">
        <f aca="false">IFERROR(VALUE(RIGHT(TRIM(F4115),4)),"")</f>
        <v>2016</v>
      </c>
      <c r="L4115" s="7" t="str">
        <f aca="false">IF(TRIM(E4115)="","Unknown",IFERROR(LEFT(TRIM(E4115),FIND(",",TRIM(E4115))-1),TRIM(E4115)))</f>
        <v>Taiwan</v>
      </c>
      <c r="M4115" s="7" t="str">
        <f aca="false">IFERROR(LEFT(J4115,FIND(",",J4115)-1),J4115)</f>
        <v>International TV Shows</v>
      </c>
      <c r="N4115" s="7" t="str">
        <f aca="false">IF(B4115="Movie",IFERROR(VALUE(LEFT(I4115,FIND(" ",I4115)-1)),""),"")</f>
        <v/>
      </c>
      <c r="O4115" s="7" t="n">
        <f aca="false">IF(B4115="TV Show",IFERROR(VALUE(LEFT(I4115,FIND(" ",I4115)-1)),""),"")</f>
        <v>1</v>
      </c>
      <c r="P4115" s="7" t="n">
        <f aca="false">IF(K4115="","",K4115-G4115)</f>
        <v>0</v>
      </c>
    </row>
    <row r="4116" customFormat="false" ht="15" hidden="false" customHeight="false" outlineLevel="0" collapsed="false">
      <c r="A4116" s="7" t="n">
        <v>80098288</v>
      </c>
      <c r="B4116" s="7" t="s">
        <v>68</v>
      </c>
      <c r="C4116" s="7" t="s">
        <v>8491</v>
      </c>
      <c r="D4116" s="7" t="s">
        <v>8492</v>
      </c>
      <c r="E4116" s="7" t="s">
        <v>26</v>
      </c>
      <c r="F4116" s="7" t="s">
        <v>8489</v>
      </c>
      <c r="G4116" s="7" t="n">
        <v>2016</v>
      </c>
      <c r="H4116" s="7" t="s">
        <v>53</v>
      </c>
      <c r="I4116" s="7" t="s">
        <v>451</v>
      </c>
      <c r="J4116" s="7" t="s">
        <v>198</v>
      </c>
      <c r="K4116" s="7" t="n">
        <f aca="false">IFERROR(VALUE(RIGHT(TRIM(F4116),4)),"")</f>
        <v>2016</v>
      </c>
      <c r="L4116" s="7" t="str">
        <f aca="false">IF(TRIM(E4116)="","Unknown",IFERROR(LEFT(TRIM(E4116),FIND(",",TRIM(E4116))-1),TRIM(E4116)))</f>
        <v>United States</v>
      </c>
      <c r="M4116" s="7" t="str">
        <f aca="false">IFERROR(LEFT(J4116,FIND(",",J4116)-1),J4116)</f>
        <v>Comedies</v>
      </c>
      <c r="N4116" s="7" t="n">
        <f aca="false">IF(B4116="Movie",IFERROR(VALUE(LEFT(I4116,FIND(" ",I4116)-1)),""),"")</f>
        <v>97</v>
      </c>
      <c r="O4116" s="7" t="str">
        <f aca="false">IF(B4116="TV Show",IFERROR(VALUE(LEFT(I4116,FIND(" ",I4116)-1)),""),"")</f>
        <v/>
      </c>
      <c r="P4116" s="7" t="n">
        <f aca="false">IF(K4116="","",K4116-G4116)</f>
        <v>0</v>
      </c>
    </row>
    <row r="4117" customFormat="false" ht="15" hidden="false" customHeight="false" outlineLevel="0" collapsed="false">
      <c r="A4117" s="7" t="n">
        <v>80109535</v>
      </c>
      <c r="B4117" s="7" t="s">
        <v>78</v>
      </c>
      <c r="C4117" s="7" t="s">
        <v>8493</v>
      </c>
      <c r="E4117" s="7" t="s">
        <v>8494</v>
      </c>
      <c r="F4117" s="7" t="s">
        <v>8489</v>
      </c>
      <c r="G4117" s="7" t="n">
        <v>2015</v>
      </c>
      <c r="H4117" s="7" t="s">
        <v>49</v>
      </c>
      <c r="I4117" s="7" t="s">
        <v>82</v>
      </c>
      <c r="J4117" s="7" t="s">
        <v>773</v>
      </c>
      <c r="K4117" s="7" t="n">
        <f aca="false">IFERROR(VALUE(RIGHT(TRIM(F4117),4)),"")</f>
        <v>2016</v>
      </c>
      <c r="L4117" s="7" t="str">
        <f aca="false">IF(TRIM(E4117)="","Unknown",IFERROR(LEFT(TRIM(E4117),FIND(",",TRIM(E4117))-1),TRIM(E4117)))</f>
        <v>France</v>
      </c>
      <c r="M4117" s="7" t="str">
        <f aca="false">IFERROR(LEFT(J4117,FIND(",",J4117)-1),J4117)</f>
        <v>Docuseries</v>
      </c>
      <c r="N4117" s="7" t="str">
        <f aca="false">IF(B4117="Movie",IFERROR(VALUE(LEFT(I4117,FIND(" ",I4117)-1)),""),"")</f>
        <v/>
      </c>
      <c r="O4117" s="7" t="n">
        <f aca="false">IF(B4117="TV Show",IFERROR(VALUE(LEFT(I4117,FIND(" ",I4117)-1)),""),"")</f>
        <v>1</v>
      </c>
      <c r="P4117" s="7" t="n">
        <f aca="false">IF(K4117="","",K4117-G4117)</f>
        <v>1</v>
      </c>
    </row>
    <row r="4118" customFormat="false" ht="15" hidden="false" customHeight="false" outlineLevel="0" collapsed="false">
      <c r="A4118" s="7" t="n">
        <v>70103762</v>
      </c>
      <c r="B4118" s="7" t="s">
        <v>68</v>
      </c>
      <c r="C4118" s="7" t="s">
        <v>8495</v>
      </c>
      <c r="D4118" s="7" t="s">
        <v>8496</v>
      </c>
      <c r="E4118" s="7" t="s">
        <v>1996</v>
      </c>
      <c r="F4118" s="7" t="s">
        <v>8497</v>
      </c>
      <c r="G4118" s="7" t="n">
        <v>2009</v>
      </c>
      <c r="H4118" s="7" t="s">
        <v>54</v>
      </c>
      <c r="I4118" s="7" t="s">
        <v>268</v>
      </c>
      <c r="J4118" s="7" t="s">
        <v>174</v>
      </c>
      <c r="K4118" s="7" t="n">
        <f aca="false">IFERROR(VALUE(RIGHT(TRIM(F4118),4)),"")</f>
        <v>2019</v>
      </c>
      <c r="L4118" s="7" t="str">
        <f aca="false">IF(TRIM(E4118)="","Unknown",IFERROR(LEFT(TRIM(E4118),FIND(",",TRIM(E4118))-1),TRIM(E4118)))</f>
        <v>United States</v>
      </c>
      <c r="M4118" s="7" t="str">
        <f aca="false">IFERROR(LEFT(J4118,FIND(",",J4118)-1),J4118)</f>
        <v>Children &amp; Family Movies</v>
      </c>
      <c r="N4118" s="7" t="n">
        <f aca="false">IF(B4118="Movie",IFERROR(VALUE(LEFT(I4118,FIND(" ",I4118)-1)),""),"")</f>
        <v>108</v>
      </c>
      <c r="O4118" s="7" t="str">
        <f aca="false">IF(B4118="TV Show",IFERROR(VALUE(LEFT(I4118,FIND(" ",I4118)-1)),""),"")</f>
        <v/>
      </c>
      <c r="P4118" s="7" t="n">
        <f aca="false">IF(K4118="","",K4118-G4118)</f>
        <v>10</v>
      </c>
    </row>
    <row r="4119" customFormat="false" ht="15" hidden="false" customHeight="false" outlineLevel="0" collapsed="false">
      <c r="A4119" s="7" t="n">
        <v>80223271</v>
      </c>
      <c r="B4119" s="7" t="s">
        <v>68</v>
      </c>
      <c r="C4119" s="7" t="s">
        <v>8498</v>
      </c>
      <c r="D4119" s="7" t="s">
        <v>6211</v>
      </c>
      <c r="E4119" s="7" t="s">
        <v>325</v>
      </c>
      <c r="F4119" s="7" t="s">
        <v>8497</v>
      </c>
      <c r="G4119" s="7" t="n">
        <v>2019</v>
      </c>
      <c r="H4119" s="7" t="s">
        <v>52</v>
      </c>
      <c r="I4119" s="7" t="s">
        <v>451</v>
      </c>
      <c r="J4119" s="7" t="s">
        <v>1703</v>
      </c>
      <c r="K4119" s="7" t="n">
        <f aca="false">IFERROR(VALUE(RIGHT(TRIM(F4119),4)),"")</f>
        <v>2019</v>
      </c>
      <c r="L4119" s="7" t="str">
        <f aca="false">IF(TRIM(E4119)="","Unknown",IFERROR(LEFT(TRIM(E4119),FIND(",",TRIM(E4119))-1),TRIM(E4119)))</f>
        <v>Brazil</v>
      </c>
      <c r="M4119" s="7" t="str">
        <f aca="false">IFERROR(LEFT(J4119,FIND(",",J4119)-1),J4119)</f>
        <v>Dramas</v>
      </c>
      <c r="N4119" s="7" t="n">
        <f aca="false">IF(B4119="Movie",IFERROR(VALUE(LEFT(I4119,FIND(" ",I4119)-1)),""),"")</f>
        <v>97</v>
      </c>
      <c r="O4119" s="7" t="str">
        <f aca="false">IF(B4119="TV Show",IFERROR(VALUE(LEFT(I4119,FIND(" ",I4119)-1)),""),"")</f>
        <v/>
      </c>
      <c r="P4119" s="7" t="n">
        <f aca="false">IF(K4119="","",K4119-G4119)</f>
        <v>0</v>
      </c>
    </row>
    <row r="4120" customFormat="false" ht="15" hidden="false" customHeight="false" outlineLevel="0" collapsed="false">
      <c r="A4120" s="7" t="n">
        <v>81016408</v>
      </c>
      <c r="B4120" s="7" t="s">
        <v>68</v>
      </c>
      <c r="C4120" s="7" t="s">
        <v>8499</v>
      </c>
      <c r="D4120" s="7" t="s">
        <v>8500</v>
      </c>
      <c r="E4120" s="7" t="s">
        <v>855</v>
      </c>
      <c r="F4120" s="7" t="s">
        <v>8501</v>
      </c>
      <c r="G4120" s="7" t="n">
        <v>2018</v>
      </c>
      <c r="H4120" s="7" t="s">
        <v>49</v>
      </c>
      <c r="I4120" s="7" t="s">
        <v>138</v>
      </c>
      <c r="J4120" s="7" t="s">
        <v>202</v>
      </c>
      <c r="K4120" s="7" t="n">
        <f aca="false">IFERROR(VALUE(RIGHT(TRIM(F4120),4)),"")</f>
        <v>2018</v>
      </c>
      <c r="L4120" s="7" t="str">
        <f aca="false">IF(TRIM(E4120)="","Unknown",IFERROR(LEFT(TRIM(E4120),FIND(",",TRIM(E4120))-1),TRIM(E4120)))</f>
        <v>Italy</v>
      </c>
      <c r="M4120" s="7" t="str">
        <f aca="false">IFERROR(LEFT(J4120,FIND(",",J4120)-1),J4120)</f>
        <v>Comedies</v>
      </c>
      <c r="N4120" s="7" t="n">
        <f aca="false">IF(B4120="Movie",IFERROR(VALUE(LEFT(I4120,FIND(" ",I4120)-1)),""),"")</f>
        <v>96</v>
      </c>
      <c r="O4120" s="7" t="str">
        <f aca="false">IF(B4120="TV Show",IFERROR(VALUE(LEFT(I4120,FIND(" ",I4120)-1)),""),"")</f>
        <v/>
      </c>
      <c r="P4120" s="7" t="n">
        <f aca="false">IF(K4120="","",K4120-G4120)</f>
        <v>0</v>
      </c>
    </row>
    <row r="4121" customFormat="false" ht="15" hidden="false" customHeight="false" outlineLevel="0" collapsed="false">
      <c r="A4121" s="7" t="n">
        <v>80189522</v>
      </c>
      <c r="B4121" s="7" t="s">
        <v>78</v>
      </c>
      <c r="C4121" s="7" t="s">
        <v>8502</v>
      </c>
      <c r="E4121" s="7" t="s">
        <v>1081</v>
      </c>
      <c r="F4121" s="7" t="s">
        <v>8501</v>
      </c>
      <c r="G4121" s="7" t="n">
        <v>2018</v>
      </c>
      <c r="H4121" s="7" t="s">
        <v>48</v>
      </c>
      <c r="I4121" s="7" t="s">
        <v>82</v>
      </c>
      <c r="J4121" s="7" t="s">
        <v>402</v>
      </c>
      <c r="K4121" s="7" t="n">
        <f aca="false">IFERROR(VALUE(RIGHT(TRIM(F4121),4)),"")</f>
        <v>2018</v>
      </c>
      <c r="L4121" s="7" t="str">
        <f aca="false">IF(TRIM(E4121)="","Unknown",IFERROR(LEFT(TRIM(E4121),FIND(",",TRIM(E4121))-1),TRIM(E4121)))</f>
        <v>Germany</v>
      </c>
      <c r="M4121" s="7" t="str">
        <f aca="false">IFERROR(LEFT(J4121,FIND(",",J4121)-1),J4121)</f>
        <v>Crime TV Shows</v>
      </c>
      <c r="N4121" s="7" t="str">
        <f aca="false">IF(B4121="Movie",IFERROR(VALUE(LEFT(I4121,FIND(" ",I4121)-1)),""),"")</f>
        <v/>
      </c>
      <c r="O4121" s="7" t="n">
        <f aca="false">IF(B4121="TV Show",IFERROR(VALUE(LEFT(I4121,FIND(" ",I4121)-1)),""),"")</f>
        <v>1</v>
      </c>
      <c r="P4121" s="7" t="n">
        <f aca="false">IF(K4121="","",K4121-G4121)</f>
        <v>0</v>
      </c>
    </row>
    <row r="4122" customFormat="false" ht="15" hidden="false" customHeight="false" outlineLevel="0" collapsed="false">
      <c r="A4122" s="7" t="n">
        <v>80201490</v>
      </c>
      <c r="B4122" s="7" t="s">
        <v>68</v>
      </c>
      <c r="C4122" s="7" t="s">
        <v>8503</v>
      </c>
      <c r="D4122" s="7" t="s">
        <v>8504</v>
      </c>
      <c r="E4122" s="7" t="s">
        <v>26</v>
      </c>
      <c r="F4122" s="7" t="s">
        <v>8501</v>
      </c>
      <c r="G4122" s="7" t="n">
        <v>2018</v>
      </c>
      <c r="H4122" s="7" t="s">
        <v>52</v>
      </c>
      <c r="I4122" s="7" t="s">
        <v>93</v>
      </c>
      <c r="J4122" s="7" t="s">
        <v>198</v>
      </c>
      <c r="K4122" s="7" t="n">
        <f aca="false">IFERROR(VALUE(RIGHT(TRIM(F4122),4)),"")</f>
        <v>2018</v>
      </c>
      <c r="L4122" s="7" t="str">
        <f aca="false">IF(TRIM(E4122)="","Unknown",IFERROR(LEFT(TRIM(E4122),FIND(",",TRIM(E4122))-1),TRIM(E4122)))</f>
        <v>United States</v>
      </c>
      <c r="M4122" s="7" t="str">
        <f aca="false">IFERROR(LEFT(J4122,FIND(",",J4122)-1),J4122)</f>
        <v>Comedies</v>
      </c>
      <c r="N4122" s="7" t="n">
        <f aca="false">IF(B4122="Movie",IFERROR(VALUE(LEFT(I4122,FIND(" ",I4122)-1)),""),"")</f>
        <v>110</v>
      </c>
      <c r="O4122" s="7" t="str">
        <f aca="false">IF(B4122="TV Show",IFERROR(VALUE(LEFT(I4122,FIND(" ",I4122)-1)),""),"")</f>
        <v/>
      </c>
      <c r="P4122" s="7" t="n">
        <f aca="false">IF(K4122="","",K4122-G4122)</f>
        <v>0</v>
      </c>
    </row>
    <row r="4123" customFormat="false" ht="15" hidden="false" customHeight="false" outlineLevel="0" collapsed="false">
      <c r="A4123" s="7" t="n">
        <v>81001412</v>
      </c>
      <c r="B4123" s="7" t="s">
        <v>68</v>
      </c>
      <c r="C4123" s="7" t="s">
        <v>8505</v>
      </c>
      <c r="D4123" s="7" t="s">
        <v>8506</v>
      </c>
      <c r="F4123" s="7" t="s">
        <v>8501</v>
      </c>
      <c r="G4123" s="7" t="n">
        <v>2018</v>
      </c>
      <c r="H4123" s="7" t="s">
        <v>55</v>
      </c>
      <c r="I4123" s="7" t="s">
        <v>114</v>
      </c>
      <c r="J4123" s="7" t="s">
        <v>10</v>
      </c>
      <c r="K4123" s="7" t="n">
        <f aca="false">IFERROR(VALUE(RIGHT(TRIM(F4123),4)),"")</f>
        <v>2018</v>
      </c>
      <c r="L4123" s="7" t="str">
        <f aca="false">IF(TRIM(E4123)="","Unknown",IFERROR(LEFT(TRIM(E4123),FIND(",",TRIM(E4123))-1),TRIM(E4123)))</f>
        <v>Unknown</v>
      </c>
      <c r="M4123" s="7" t="str">
        <f aca="false">IFERROR(LEFT(J4123,FIND(",",J4123)-1),J4123)</f>
        <v>Movies</v>
      </c>
      <c r="N4123" s="7" t="n">
        <f aca="false">IF(B4123="Movie",IFERROR(VALUE(LEFT(I4123,FIND(" ",I4123)-1)),""),"")</f>
        <v>58</v>
      </c>
      <c r="O4123" s="7" t="str">
        <f aca="false">IF(B4123="TV Show",IFERROR(VALUE(LEFT(I4123,FIND(" ",I4123)-1)),""),"")</f>
        <v/>
      </c>
      <c r="P4123" s="7" t="n">
        <f aca="false">IF(K4123="","",K4123-G4123)</f>
        <v>0</v>
      </c>
    </row>
    <row r="4124" customFormat="false" ht="15" hidden="false" customHeight="false" outlineLevel="0" collapsed="false">
      <c r="A4124" s="7" t="n">
        <v>80993105</v>
      </c>
      <c r="B4124" s="7" t="s">
        <v>68</v>
      </c>
      <c r="C4124" s="7" t="s">
        <v>8507</v>
      </c>
      <c r="D4124" s="7" t="s">
        <v>8508</v>
      </c>
      <c r="E4124" s="7" t="s">
        <v>317</v>
      </c>
      <c r="F4124" s="7" t="s">
        <v>8501</v>
      </c>
      <c r="G4124" s="7" t="n">
        <v>2018</v>
      </c>
      <c r="H4124" s="7" t="s">
        <v>52</v>
      </c>
      <c r="I4124" s="7" t="s">
        <v>820</v>
      </c>
      <c r="J4124" s="7" t="s">
        <v>8509</v>
      </c>
      <c r="K4124" s="7" t="n">
        <f aca="false">IFERROR(VALUE(RIGHT(TRIM(F4124),4)),"")</f>
        <v>2018</v>
      </c>
      <c r="L4124" s="7" t="str">
        <f aca="false">IF(TRIM(E4124)="","Unknown",IFERROR(LEFT(TRIM(E4124),FIND(",",TRIM(E4124))-1),TRIM(E4124)))</f>
        <v>United Kingdom</v>
      </c>
      <c r="M4124" s="7" t="str">
        <f aca="false">IFERROR(LEFT(J4124,FIND(",",J4124)-1),J4124)</f>
        <v>Action &amp; Adventure</v>
      </c>
      <c r="N4124" s="7" t="n">
        <f aca="false">IF(B4124="Movie",IFERROR(VALUE(LEFT(I4124,FIND(" ",I4124)-1)),""),"")</f>
        <v>105</v>
      </c>
      <c r="O4124" s="7" t="str">
        <f aca="false">IF(B4124="TV Show",IFERROR(VALUE(LEFT(I4124,FIND(" ",I4124)-1)),""),"")</f>
        <v/>
      </c>
      <c r="P4124" s="7" t="n">
        <f aca="false">IF(K4124="","",K4124-G4124)</f>
        <v>0</v>
      </c>
    </row>
    <row r="4125" customFormat="false" ht="15" hidden="false" customHeight="false" outlineLevel="0" collapsed="false">
      <c r="A4125" s="7" t="n">
        <v>80195198</v>
      </c>
      <c r="B4125" s="7" t="s">
        <v>78</v>
      </c>
      <c r="C4125" s="7" t="s">
        <v>8510</v>
      </c>
      <c r="D4125" s="7" t="s">
        <v>8511</v>
      </c>
      <c r="E4125" s="7" t="s">
        <v>35</v>
      </c>
      <c r="F4125" s="7" t="s">
        <v>8501</v>
      </c>
      <c r="G4125" s="7" t="n">
        <v>2018</v>
      </c>
      <c r="H4125" s="7" t="s">
        <v>48</v>
      </c>
      <c r="I4125" s="7" t="s">
        <v>82</v>
      </c>
      <c r="J4125" s="7" t="s">
        <v>344</v>
      </c>
      <c r="K4125" s="7" t="n">
        <f aca="false">IFERROR(VALUE(RIGHT(TRIM(F4125),4)),"")</f>
        <v>2018</v>
      </c>
      <c r="L4125" s="7" t="str">
        <f aca="false">IF(TRIM(E4125)="","Unknown",IFERROR(LEFT(TRIM(E4125),FIND(",",TRIM(E4125))-1),TRIM(E4125)))</f>
        <v>Australia</v>
      </c>
      <c r="M4125" s="7" t="str">
        <f aca="false">IFERROR(LEFT(J4125,FIND(",",J4125)-1),J4125)</f>
        <v>International TV Shows</v>
      </c>
      <c r="N4125" s="7" t="str">
        <f aca="false">IF(B4125="Movie",IFERROR(VALUE(LEFT(I4125,FIND(" ",I4125)-1)),""),"")</f>
        <v/>
      </c>
      <c r="O4125" s="7" t="n">
        <f aca="false">IF(B4125="TV Show",IFERROR(VALUE(LEFT(I4125,FIND(" ",I4125)-1)),""),"")</f>
        <v>1</v>
      </c>
      <c r="P4125" s="7" t="n">
        <f aca="false">IF(K4125="","",K4125-G4125)</f>
        <v>0</v>
      </c>
    </row>
    <row r="4126" customFormat="false" ht="15" hidden="false" customHeight="false" outlineLevel="0" collapsed="false">
      <c r="A4126" s="7" t="n">
        <v>80191044</v>
      </c>
      <c r="B4126" s="7" t="s">
        <v>68</v>
      </c>
      <c r="C4126" s="7" t="s">
        <v>8512</v>
      </c>
      <c r="D4126" s="7" t="s">
        <v>8513</v>
      </c>
      <c r="F4126" s="7" t="s">
        <v>8501</v>
      </c>
      <c r="G4126" s="7" t="n">
        <v>2018</v>
      </c>
      <c r="H4126" s="7" t="s">
        <v>48</v>
      </c>
      <c r="I4126" s="7" t="s">
        <v>1757</v>
      </c>
      <c r="J4126" s="7" t="s">
        <v>509</v>
      </c>
      <c r="K4126" s="7" t="n">
        <f aca="false">IFERROR(VALUE(RIGHT(TRIM(F4126),4)),"")</f>
        <v>2018</v>
      </c>
      <c r="L4126" s="7" t="str">
        <f aca="false">IF(TRIM(E4126)="","Unknown",IFERROR(LEFT(TRIM(E4126),FIND(",",TRIM(E4126))-1),TRIM(E4126)))</f>
        <v>Unknown</v>
      </c>
      <c r="M4126" s="7" t="str">
        <f aca="false">IFERROR(LEFT(J4126,FIND(",",J4126)-1),J4126)</f>
        <v>Documentaries</v>
      </c>
      <c r="N4126" s="7" t="n">
        <f aca="false">IF(B4126="Movie",IFERROR(VALUE(LEFT(I4126,FIND(" ",I4126)-1)),""),"")</f>
        <v>59</v>
      </c>
      <c r="O4126" s="7" t="str">
        <f aca="false">IF(B4126="TV Show",IFERROR(VALUE(LEFT(I4126,FIND(" ",I4126)-1)),""),"")</f>
        <v/>
      </c>
      <c r="P4126" s="7" t="n">
        <f aca="false">IF(K4126="","",K4126-G4126)</f>
        <v>0</v>
      </c>
    </row>
    <row r="4127" customFormat="false" ht="15" hidden="false" customHeight="false" outlineLevel="0" collapsed="false">
      <c r="A4127" s="7" t="n">
        <v>80999067</v>
      </c>
      <c r="B4127" s="7" t="s">
        <v>68</v>
      </c>
      <c r="C4127" s="7" t="s">
        <v>8514</v>
      </c>
      <c r="D4127" s="7" t="s">
        <v>8515</v>
      </c>
      <c r="F4127" s="7" t="s">
        <v>8501</v>
      </c>
      <c r="G4127" s="7" t="n">
        <v>2018</v>
      </c>
      <c r="H4127" s="7" t="s">
        <v>119</v>
      </c>
      <c r="I4127" s="7" t="s">
        <v>1084</v>
      </c>
      <c r="J4127" s="7" t="s">
        <v>42</v>
      </c>
      <c r="K4127" s="7" t="n">
        <f aca="false">IFERROR(VALUE(RIGHT(TRIM(F4127),4)),"")</f>
        <v>2018</v>
      </c>
      <c r="L4127" s="7" t="str">
        <f aca="false">IF(TRIM(E4127)="","Unknown",IFERROR(LEFT(TRIM(E4127),FIND(",",TRIM(E4127))-1),TRIM(E4127)))</f>
        <v>Unknown</v>
      </c>
      <c r="M4127" s="7" t="str">
        <f aca="false">IFERROR(LEFT(J4127,FIND(",",J4127)-1),J4127)</f>
        <v>Children &amp; Family Movies</v>
      </c>
      <c r="N4127" s="7" t="n">
        <f aca="false">IF(B4127="Movie",IFERROR(VALUE(LEFT(I4127,FIND(" ",I4127)-1)),""),"")</f>
        <v>28</v>
      </c>
      <c r="O4127" s="7" t="str">
        <f aca="false">IF(B4127="TV Show",IFERROR(VALUE(LEFT(I4127,FIND(" ",I4127)-1)),""),"")</f>
        <v/>
      </c>
      <c r="P4127" s="7" t="n">
        <f aca="false">IF(K4127="","",K4127-G4127)</f>
        <v>0</v>
      </c>
    </row>
    <row r="4128" customFormat="false" ht="15" hidden="false" customHeight="false" outlineLevel="0" collapsed="false">
      <c r="A4128" s="7" t="n">
        <v>81003741</v>
      </c>
      <c r="B4128" s="7" t="s">
        <v>68</v>
      </c>
      <c r="C4128" s="7" t="s">
        <v>8516</v>
      </c>
      <c r="D4128" s="7" t="s">
        <v>8517</v>
      </c>
      <c r="E4128" s="7" t="s">
        <v>26</v>
      </c>
      <c r="F4128" s="7" t="s">
        <v>8501</v>
      </c>
      <c r="G4128" s="7" t="n">
        <v>2018</v>
      </c>
      <c r="H4128" s="7" t="s">
        <v>48</v>
      </c>
      <c r="I4128" s="7" t="s">
        <v>134</v>
      </c>
      <c r="J4128" s="7" t="s">
        <v>39</v>
      </c>
      <c r="K4128" s="7" t="n">
        <f aca="false">IFERROR(VALUE(RIGHT(TRIM(F4128),4)),"")</f>
        <v>2018</v>
      </c>
      <c r="L4128" s="7" t="str">
        <f aca="false">IF(TRIM(E4128)="","Unknown",IFERROR(LEFT(TRIM(E4128),FIND(",",TRIM(E4128))-1),TRIM(E4128)))</f>
        <v>United States</v>
      </c>
      <c r="M4128" s="7" t="str">
        <f aca="false">IFERROR(LEFT(J4128,FIND(",",J4128)-1),J4128)</f>
        <v>Documentaries</v>
      </c>
      <c r="N4128" s="7" t="n">
        <f aca="false">IF(B4128="Movie",IFERROR(VALUE(LEFT(I4128,FIND(" ",I4128)-1)),""),"")</f>
        <v>98</v>
      </c>
      <c r="O4128" s="7" t="str">
        <f aca="false">IF(B4128="TV Show",IFERROR(VALUE(LEFT(I4128,FIND(" ",I4128)-1)),""),"")</f>
        <v/>
      </c>
      <c r="P4128" s="7" t="n">
        <f aca="false">IF(K4128="","",K4128-G4128)</f>
        <v>0</v>
      </c>
    </row>
    <row r="4129" customFormat="false" ht="15" hidden="false" customHeight="false" outlineLevel="0" collapsed="false">
      <c r="A4129" s="7" t="n">
        <v>70063484</v>
      </c>
      <c r="B4129" s="7" t="s">
        <v>68</v>
      </c>
      <c r="C4129" s="7" t="s">
        <v>743</v>
      </c>
      <c r="D4129" s="7" t="s">
        <v>8518</v>
      </c>
      <c r="E4129" s="7" t="s">
        <v>1182</v>
      </c>
      <c r="F4129" s="7" t="s">
        <v>8519</v>
      </c>
      <c r="G4129" s="7" t="n">
        <v>2006</v>
      </c>
      <c r="H4129" s="7" t="s">
        <v>50</v>
      </c>
      <c r="I4129" s="7" t="s">
        <v>470</v>
      </c>
      <c r="J4129" s="7" t="s">
        <v>5516</v>
      </c>
      <c r="K4129" s="7" t="n">
        <f aca="false">IFERROR(VALUE(RIGHT(TRIM(F4129),4)),"")</f>
        <v>2017</v>
      </c>
      <c r="L4129" s="7" t="str">
        <f aca="false">IF(TRIM(E4129)="","Unknown",IFERROR(LEFT(TRIM(E4129),FIND(",",TRIM(E4129))-1),TRIM(E4129)))</f>
        <v>Australia</v>
      </c>
      <c r="M4129" s="7" t="str">
        <f aca="false">IFERROR(LEFT(J4129,FIND(",",J4129)-1),J4129)</f>
        <v>Documentaries</v>
      </c>
      <c r="N4129" s="7" t="n">
        <f aca="false">IF(B4129="Movie",IFERROR(VALUE(LEFT(I4129,FIND(" ",I4129)-1)),""),"")</f>
        <v>91</v>
      </c>
      <c r="O4129" s="7" t="str">
        <f aca="false">IF(B4129="TV Show",IFERROR(VALUE(LEFT(I4129,FIND(" ",I4129)-1)),""),"")</f>
        <v/>
      </c>
      <c r="P4129" s="7" t="n">
        <f aca="false">IF(K4129="","",K4129-G4129)</f>
        <v>11</v>
      </c>
    </row>
    <row r="4130" customFormat="false" ht="15" hidden="false" customHeight="false" outlineLevel="0" collapsed="false">
      <c r="A4130" s="7" t="n">
        <v>81087498</v>
      </c>
      <c r="B4130" s="7" t="s">
        <v>78</v>
      </c>
      <c r="C4130" s="7" t="s">
        <v>8520</v>
      </c>
      <c r="E4130" s="7" t="s">
        <v>26</v>
      </c>
      <c r="F4130" s="7" t="s">
        <v>8521</v>
      </c>
      <c r="G4130" s="7" t="n">
        <v>2019</v>
      </c>
      <c r="H4130" s="7" t="s">
        <v>48</v>
      </c>
      <c r="I4130" s="7" t="s">
        <v>82</v>
      </c>
      <c r="J4130" s="7" t="s">
        <v>289</v>
      </c>
      <c r="K4130" s="7" t="n">
        <f aca="false">IFERROR(VALUE(RIGHT(TRIM(F4130),4)),"")</f>
        <v>2019</v>
      </c>
      <c r="L4130" s="7" t="str">
        <f aca="false">IF(TRIM(E4130)="","Unknown",IFERROR(LEFT(TRIM(E4130),FIND(",",TRIM(E4130))-1),TRIM(E4130)))</f>
        <v>United States</v>
      </c>
      <c r="M4130" s="7" t="str">
        <f aca="false">IFERROR(LEFT(J4130,FIND(",",J4130)-1),J4130)</f>
        <v>TV Comedies</v>
      </c>
      <c r="N4130" s="7" t="str">
        <f aca="false">IF(B4130="Movie",IFERROR(VALUE(LEFT(I4130,FIND(" ",I4130)-1)),""),"")</f>
        <v/>
      </c>
      <c r="O4130" s="7" t="n">
        <f aca="false">IF(B4130="TV Show",IFERROR(VALUE(LEFT(I4130,FIND(" ",I4130)-1)),""),"")</f>
        <v>1</v>
      </c>
      <c r="P4130" s="7" t="n">
        <f aca="false">IF(K4130="","",K4130-G4130)</f>
        <v>0</v>
      </c>
    </row>
    <row r="4131" customFormat="false" ht="15" hidden="false" customHeight="false" outlineLevel="0" collapsed="false">
      <c r="A4131" s="7" t="n">
        <v>81172740</v>
      </c>
      <c r="B4131" s="7" t="s">
        <v>68</v>
      </c>
      <c r="C4131" s="7" t="s">
        <v>8522</v>
      </c>
      <c r="D4131" s="7" t="s">
        <v>8523</v>
      </c>
      <c r="E4131" s="7" t="s">
        <v>527</v>
      </c>
      <c r="F4131" s="7" t="s">
        <v>8521</v>
      </c>
      <c r="G4131" s="7" t="n">
        <v>2017</v>
      </c>
      <c r="H4131" s="7" t="s">
        <v>49</v>
      </c>
      <c r="I4131" s="7" t="s">
        <v>268</v>
      </c>
      <c r="J4131" s="7" t="s">
        <v>202</v>
      </c>
      <c r="K4131" s="7" t="n">
        <f aca="false">IFERROR(VALUE(RIGHT(TRIM(F4131),4)),"")</f>
        <v>2019</v>
      </c>
      <c r="L4131" s="7" t="str">
        <f aca="false">IF(TRIM(E4131)="","Unknown",IFERROR(LEFT(TRIM(E4131),FIND(",",TRIM(E4131))-1),TRIM(E4131)))</f>
        <v>Nigeria</v>
      </c>
      <c r="M4131" s="7" t="str">
        <f aca="false">IFERROR(LEFT(J4131,FIND(",",J4131)-1),J4131)</f>
        <v>Comedies</v>
      </c>
      <c r="N4131" s="7" t="n">
        <f aca="false">IF(B4131="Movie",IFERROR(VALUE(LEFT(I4131,FIND(" ",I4131)-1)),""),"")</f>
        <v>108</v>
      </c>
      <c r="O4131" s="7" t="str">
        <f aca="false">IF(B4131="TV Show",IFERROR(VALUE(LEFT(I4131,FIND(" ",I4131)-1)),""),"")</f>
        <v/>
      </c>
      <c r="P4131" s="7" t="n">
        <f aca="false">IF(K4131="","",K4131-G4131)</f>
        <v>2</v>
      </c>
    </row>
    <row r="4132" customFormat="false" ht="15" hidden="false" customHeight="false" outlineLevel="0" collapsed="false">
      <c r="A4132" s="7" t="n">
        <v>81172756</v>
      </c>
      <c r="B4132" s="7" t="s">
        <v>68</v>
      </c>
      <c r="C4132" s="7" t="s">
        <v>8524</v>
      </c>
      <c r="D4132" s="7" t="s">
        <v>8525</v>
      </c>
      <c r="F4132" s="7" t="s">
        <v>8521</v>
      </c>
      <c r="G4132" s="7" t="n">
        <v>2017</v>
      </c>
      <c r="H4132" s="7" t="s">
        <v>49</v>
      </c>
      <c r="I4132" s="7" t="s">
        <v>294</v>
      </c>
      <c r="J4132" s="7" t="s">
        <v>304</v>
      </c>
      <c r="K4132" s="7" t="n">
        <f aca="false">IFERROR(VALUE(RIGHT(TRIM(F4132),4)),"")</f>
        <v>2019</v>
      </c>
      <c r="L4132" s="7" t="str">
        <f aca="false">IF(TRIM(E4132)="","Unknown",IFERROR(LEFT(TRIM(E4132),FIND(",",TRIM(E4132))-1),TRIM(E4132)))</f>
        <v>Unknown</v>
      </c>
      <c r="M4132" s="7" t="str">
        <f aca="false">IFERROR(LEFT(J4132,FIND(",",J4132)-1),J4132)</f>
        <v>Dramas</v>
      </c>
      <c r="N4132" s="7" t="n">
        <f aca="false">IF(B4132="Movie",IFERROR(VALUE(LEFT(I4132,FIND(" ",I4132)-1)),""),"")</f>
        <v>107</v>
      </c>
      <c r="O4132" s="7" t="str">
        <f aca="false">IF(B4132="TV Show",IFERROR(VALUE(LEFT(I4132,FIND(" ",I4132)-1)),""),"")</f>
        <v/>
      </c>
      <c r="P4132" s="7" t="n">
        <f aca="false">IF(K4132="","",K4132-G4132)</f>
        <v>2</v>
      </c>
    </row>
    <row r="4133" customFormat="false" ht="15" hidden="false" customHeight="false" outlineLevel="0" collapsed="false">
      <c r="A4133" s="7" t="n">
        <v>81075536</v>
      </c>
      <c r="B4133" s="7" t="s">
        <v>78</v>
      </c>
      <c r="C4133" s="7" t="s">
        <v>8526</v>
      </c>
      <c r="E4133" s="7" t="s">
        <v>28</v>
      </c>
      <c r="F4133" s="7" t="s">
        <v>8521</v>
      </c>
      <c r="G4133" s="7" t="n">
        <v>2019</v>
      </c>
      <c r="H4133" s="7" t="s">
        <v>49</v>
      </c>
      <c r="I4133" s="7" t="s">
        <v>82</v>
      </c>
      <c r="J4133" s="7" t="s">
        <v>716</v>
      </c>
      <c r="K4133" s="7" t="n">
        <f aca="false">IFERROR(VALUE(RIGHT(TRIM(F4133),4)),"")</f>
        <v>2019</v>
      </c>
      <c r="L4133" s="7" t="str">
        <f aca="false">IF(TRIM(E4133)="","Unknown",IFERROR(LEFT(TRIM(E4133),FIND(",",TRIM(E4133))-1),TRIM(E4133)))</f>
        <v>United Kingdom</v>
      </c>
      <c r="M4133" s="7" t="str">
        <f aca="false">IFERROR(LEFT(J4133,FIND(",",J4133)-1),J4133)</f>
        <v>British TV Shows</v>
      </c>
      <c r="N4133" s="7" t="str">
        <f aca="false">IF(B4133="Movie",IFERROR(VALUE(LEFT(I4133,FIND(" ",I4133)-1)),""),"")</f>
        <v/>
      </c>
      <c r="O4133" s="7" t="n">
        <f aca="false">IF(B4133="TV Show",IFERROR(VALUE(LEFT(I4133,FIND(" ",I4133)-1)),""),"")</f>
        <v>1</v>
      </c>
      <c r="P4133" s="7" t="n">
        <f aca="false">IF(K4133="","",K4133-G4133)</f>
        <v>0</v>
      </c>
    </row>
    <row r="4134" customFormat="false" ht="15" hidden="false" customHeight="false" outlineLevel="0" collapsed="false">
      <c r="A4134" s="7" t="n">
        <v>80223779</v>
      </c>
      <c r="B4134" s="7" t="s">
        <v>68</v>
      </c>
      <c r="C4134" s="7" t="s">
        <v>8527</v>
      </c>
      <c r="D4134" s="7" t="s">
        <v>1491</v>
      </c>
      <c r="E4134" s="7" t="s">
        <v>293</v>
      </c>
      <c r="F4134" s="7" t="s">
        <v>8521</v>
      </c>
      <c r="G4134" s="7" t="n">
        <v>2019</v>
      </c>
      <c r="H4134" s="7" t="s">
        <v>51</v>
      </c>
      <c r="I4134" s="7" t="s">
        <v>749</v>
      </c>
      <c r="J4134" s="7" t="s">
        <v>37</v>
      </c>
      <c r="K4134" s="7" t="n">
        <f aca="false">IFERROR(VALUE(RIGHT(TRIM(F4134),4)),"")</f>
        <v>2019</v>
      </c>
      <c r="L4134" s="7" t="str">
        <f aca="false">IF(TRIM(E4134)="","Unknown",IFERROR(LEFT(TRIM(E4134),FIND(",",TRIM(E4134))-1),TRIM(E4134)))</f>
        <v>United States</v>
      </c>
      <c r="M4134" s="7" t="str">
        <f aca="false">IFERROR(LEFT(J4134,FIND(",",J4134)-1),J4134)</f>
        <v>Dramas</v>
      </c>
      <c r="N4134" s="7" t="n">
        <f aca="false">IF(B4134="Movie",IFERROR(VALUE(LEFT(I4134,FIND(" ",I4134)-1)),""),"")</f>
        <v>137</v>
      </c>
      <c r="O4134" s="7" t="str">
        <f aca="false">IF(B4134="TV Show",IFERROR(VALUE(LEFT(I4134,FIND(" ",I4134)-1)),""),"")</f>
        <v/>
      </c>
      <c r="P4134" s="7" t="n">
        <f aca="false">IF(K4134="","",K4134-G4134)</f>
        <v>0</v>
      </c>
    </row>
    <row r="4135" customFormat="false" ht="15" hidden="false" customHeight="false" outlineLevel="0" collapsed="false">
      <c r="A4135" s="7" t="n">
        <v>81068687</v>
      </c>
      <c r="B4135" s="7" t="s">
        <v>68</v>
      </c>
      <c r="C4135" s="7" t="s">
        <v>8528</v>
      </c>
      <c r="D4135" s="7" t="s">
        <v>8529</v>
      </c>
      <c r="E4135" s="7" t="s">
        <v>30</v>
      </c>
      <c r="F4135" s="7" t="s">
        <v>8521</v>
      </c>
      <c r="G4135" s="7" t="n">
        <v>2017</v>
      </c>
      <c r="H4135" s="7" t="s">
        <v>49</v>
      </c>
      <c r="I4135" s="7" t="s">
        <v>173</v>
      </c>
      <c r="J4135" s="7" t="s">
        <v>1845</v>
      </c>
      <c r="K4135" s="7" t="n">
        <f aca="false">IFERROR(VALUE(RIGHT(TRIM(F4135),4)),"")</f>
        <v>2019</v>
      </c>
      <c r="L4135" s="7" t="str">
        <f aca="false">IF(TRIM(E4135)="","Unknown",IFERROR(LEFT(TRIM(E4135),FIND(",",TRIM(E4135))-1),TRIM(E4135)))</f>
        <v>Japan</v>
      </c>
      <c r="M4135" s="7" t="str">
        <f aca="false">IFERROR(LEFT(J4135,FIND(",",J4135)-1),J4135)</f>
        <v>Action &amp; Adventure</v>
      </c>
      <c r="N4135" s="7" t="n">
        <f aca="false">IF(B4135="Movie",IFERROR(VALUE(LEFT(I4135,FIND(" ",I4135)-1)),""),"")</f>
        <v>106</v>
      </c>
      <c r="O4135" s="7" t="str">
        <f aca="false">IF(B4135="TV Show",IFERROR(VALUE(LEFT(I4135,FIND(" ",I4135)-1)),""),"")</f>
        <v/>
      </c>
      <c r="P4135" s="7" t="n">
        <f aca="false">IF(K4135="","",K4135-G4135)</f>
        <v>2</v>
      </c>
    </row>
    <row r="4136" customFormat="false" ht="15" hidden="false" customHeight="false" outlineLevel="0" collapsed="false">
      <c r="A4136" s="7" t="n">
        <v>81172758</v>
      </c>
      <c r="B4136" s="7" t="s">
        <v>68</v>
      </c>
      <c r="C4136" s="7" t="s">
        <v>8530</v>
      </c>
      <c r="D4136" s="7" t="s">
        <v>8531</v>
      </c>
      <c r="E4136" s="7" t="s">
        <v>527</v>
      </c>
      <c r="F4136" s="7" t="s">
        <v>8521</v>
      </c>
      <c r="G4136" s="7" t="n">
        <v>2017</v>
      </c>
      <c r="H4136" s="7" t="s">
        <v>48</v>
      </c>
      <c r="I4136" s="7" t="s">
        <v>1405</v>
      </c>
      <c r="J4136" s="7" t="s">
        <v>304</v>
      </c>
      <c r="K4136" s="7" t="n">
        <f aca="false">IFERROR(VALUE(RIGHT(TRIM(F4136),4)),"")</f>
        <v>2019</v>
      </c>
      <c r="L4136" s="7" t="str">
        <f aca="false">IF(TRIM(E4136)="","Unknown",IFERROR(LEFT(TRIM(E4136),FIND(",",TRIM(E4136))-1),TRIM(E4136)))</f>
        <v>Nigeria</v>
      </c>
      <c r="M4136" s="7" t="str">
        <f aca="false">IFERROR(LEFT(J4136,FIND(",",J4136)-1),J4136)</f>
        <v>Dramas</v>
      </c>
      <c r="N4136" s="7" t="n">
        <f aca="false">IF(B4136="Movie",IFERROR(VALUE(LEFT(I4136,FIND(" ",I4136)-1)),""),"")</f>
        <v>115</v>
      </c>
      <c r="O4136" s="7" t="str">
        <f aca="false">IF(B4136="TV Show",IFERROR(VALUE(LEFT(I4136,FIND(" ",I4136)-1)),""),"")</f>
        <v/>
      </c>
      <c r="P4136" s="7" t="n">
        <f aca="false">IF(K4136="","",K4136-G4136)</f>
        <v>2</v>
      </c>
    </row>
    <row r="4137" customFormat="false" ht="15" hidden="false" customHeight="false" outlineLevel="0" collapsed="false">
      <c r="A4137" s="7" t="n">
        <v>81146370</v>
      </c>
      <c r="B4137" s="7" t="s">
        <v>68</v>
      </c>
      <c r="C4137" s="7" t="s">
        <v>8532</v>
      </c>
      <c r="E4137" s="7" t="s">
        <v>26</v>
      </c>
      <c r="F4137" s="7" t="s">
        <v>8521</v>
      </c>
      <c r="G4137" s="7" t="n">
        <v>2019</v>
      </c>
      <c r="H4137" s="7" t="s">
        <v>55</v>
      </c>
      <c r="I4137" s="7" t="s">
        <v>1175</v>
      </c>
      <c r="J4137" s="7" t="s">
        <v>42</v>
      </c>
      <c r="K4137" s="7" t="n">
        <f aca="false">IFERROR(VALUE(RIGHT(TRIM(F4137),4)),"")</f>
        <v>2019</v>
      </c>
      <c r="L4137" s="7" t="str">
        <f aca="false">IF(TRIM(E4137)="","Unknown",IFERROR(LEFT(TRIM(E4137),FIND(",",TRIM(E4137))-1),TRIM(E4137)))</f>
        <v>United States</v>
      </c>
      <c r="M4137" s="7" t="str">
        <f aca="false">IFERROR(LEFT(J4137,FIND(",",J4137)-1),J4137)</f>
        <v>Children &amp; Family Movies</v>
      </c>
      <c r="N4137" s="7" t="n">
        <f aca="false">IF(B4137="Movie",IFERROR(VALUE(LEFT(I4137,FIND(" ",I4137)-1)),""),"")</f>
        <v>46</v>
      </c>
      <c r="O4137" s="7" t="str">
        <f aca="false">IF(B4137="TV Show",IFERROR(VALUE(LEFT(I4137,FIND(" ",I4137)-1)),""),"")</f>
        <v/>
      </c>
      <c r="P4137" s="7" t="n">
        <f aca="false">IF(K4137="","",K4137-G4137)</f>
        <v>0</v>
      </c>
    </row>
    <row r="4138" customFormat="false" ht="15" hidden="false" customHeight="false" outlineLevel="0" collapsed="false">
      <c r="A4138" s="7" t="n">
        <v>80228274</v>
      </c>
      <c r="B4138" s="7" t="s">
        <v>78</v>
      </c>
      <c r="C4138" s="7" t="s">
        <v>8533</v>
      </c>
      <c r="E4138" s="7" t="s">
        <v>30</v>
      </c>
      <c r="F4138" s="7" t="s">
        <v>8521</v>
      </c>
      <c r="G4138" s="7" t="n">
        <v>2019</v>
      </c>
      <c r="H4138" s="7" t="s">
        <v>50</v>
      </c>
      <c r="I4138" s="7" t="s">
        <v>82</v>
      </c>
      <c r="J4138" s="7" t="s">
        <v>1253</v>
      </c>
      <c r="K4138" s="7" t="n">
        <f aca="false">IFERROR(VALUE(RIGHT(TRIM(F4138),4)),"")</f>
        <v>2019</v>
      </c>
      <c r="L4138" s="7" t="str">
        <f aca="false">IF(TRIM(E4138)="","Unknown",IFERROR(LEFT(TRIM(E4138),FIND(",",TRIM(E4138))-1),TRIM(E4138)))</f>
        <v>Japan</v>
      </c>
      <c r="M4138" s="7" t="str">
        <f aca="false">IFERROR(LEFT(J4138,FIND(",",J4138)-1),J4138)</f>
        <v>Anime Series</v>
      </c>
      <c r="N4138" s="7" t="str">
        <f aca="false">IF(B4138="Movie",IFERROR(VALUE(LEFT(I4138,FIND(" ",I4138)-1)),""),"")</f>
        <v/>
      </c>
      <c r="O4138" s="7" t="n">
        <f aca="false">IF(B4138="TV Show",IFERROR(VALUE(LEFT(I4138,FIND(" ",I4138)-1)),""),"")</f>
        <v>1</v>
      </c>
      <c r="P4138" s="7" t="n">
        <f aca="false">IF(K4138="","",K4138-G4138)</f>
        <v>0</v>
      </c>
    </row>
    <row r="4139" customFormat="false" ht="15" hidden="false" customHeight="false" outlineLevel="0" collapsed="false">
      <c r="A4139" s="7" t="n">
        <v>80213588</v>
      </c>
      <c r="B4139" s="7" t="s">
        <v>78</v>
      </c>
      <c r="C4139" s="7" t="s">
        <v>8534</v>
      </c>
      <c r="D4139" s="7" t="s">
        <v>8535</v>
      </c>
      <c r="E4139" s="7" t="s">
        <v>26</v>
      </c>
      <c r="F4139" s="7" t="s">
        <v>8521</v>
      </c>
      <c r="G4139" s="7" t="n">
        <v>2019</v>
      </c>
      <c r="H4139" s="7" t="s">
        <v>49</v>
      </c>
      <c r="I4139" s="7" t="s">
        <v>82</v>
      </c>
      <c r="J4139" s="7" t="s">
        <v>696</v>
      </c>
      <c r="K4139" s="7" t="n">
        <f aca="false">IFERROR(VALUE(RIGHT(TRIM(F4139),4)),"")</f>
        <v>2019</v>
      </c>
      <c r="L4139" s="7" t="str">
        <f aca="false">IF(TRIM(E4139)="","Unknown",IFERROR(LEFT(TRIM(E4139),FIND(",",TRIM(E4139))-1),TRIM(E4139)))</f>
        <v>United States</v>
      </c>
      <c r="M4139" s="7" t="str">
        <f aca="false">IFERROR(LEFT(J4139,FIND(",",J4139)-1),J4139)</f>
        <v>Crime TV Shows</v>
      </c>
      <c r="N4139" s="7" t="str">
        <f aca="false">IF(B4139="Movie",IFERROR(VALUE(LEFT(I4139,FIND(" ",I4139)-1)),""),"")</f>
        <v/>
      </c>
      <c r="O4139" s="7" t="n">
        <f aca="false">IF(B4139="TV Show",IFERROR(VALUE(LEFT(I4139,FIND(" ",I4139)-1)),""),"")</f>
        <v>1</v>
      </c>
      <c r="P4139" s="7" t="n">
        <f aca="false">IF(K4139="","",K4139-G4139)</f>
        <v>0</v>
      </c>
    </row>
    <row r="4140" customFormat="false" ht="15" hidden="false" customHeight="false" outlineLevel="0" collapsed="false">
      <c r="A4140" s="7" t="n">
        <v>70120340</v>
      </c>
      <c r="B4140" s="7" t="s">
        <v>68</v>
      </c>
      <c r="C4140" s="7" t="s">
        <v>8536</v>
      </c>
      <c r="D4140" s="7" t="s">
        <v>8537</v>
      </c>
      <c r="E4140" s="7" t="s">
        <v>293</v>
      </c>
      <c r="F4140" s="7" t="s">
        <v>8521</v>
      </c>
      <c r="G4140" s="7" t="n">
        <v>2011</v>
      </c>
      <c r="H4140" s="7" t="s">
        <v>51</v>
      </c>
      <c r="I4140" s="7" t="s">
        <v>2551</v>
      </c>
      <c r="J4140" s="7" t="s">
        <v>251</v>
      </c>
      <c r="K4140" s="7" t="n">
        <f aca="false">IFERROR(VALUE(RIGHT(TRIM(F4140),4)),"")</f>
        <v>2019</v>
      </c>
      <c r="L4140" s="7" t="str">
        <f aca="false">IF(TRIM(E4140)="","Unknown",IFERROR(LEFT(TRIM(E4140),FIND(",",TRIM(E4140))-1),TRIM(E4140)))</f>
        <v>United States</v>
      </c>
      <c r="M4140" s="7" t="str">
        <f aca="false">IFERROR(LEFT(J4140,FIND(",",J4140)-1),J4140)</f>
        <v>Comedies</v>
      </c>
      <c r="N4140" s="7" t="n">
        <f aca="false">IF(B4140="Movie",IFERROR(VALUE(LEFT(I4140,FIND(" ",I4140)-1)),""),"")</f>
        <v>120</v>
      </c>
      <c r="O4140" s="7" t="str">
        <f aca="false">IF(B4140="TV Show",IFERROR(VALUE(LEFT(I4140,FIND(" ",I4140)-1)),""),"")</f>
        <v/>
      </c>
      <c r="P4140" s="7" t="n">
        <f aca="false">IF(K4140="","",K4140-G4140)</f>
        <v>8</v>
      </c>
    </row>
    <row r="4141" customFormat="false" ht="15" hidden="false" customHeight="false" outlineLevel="0" collapsed="false">
      <c r="A4141" s="7" t="n">
        <v>80987516</v>
      </c>
      <c r="B4141" s="7" t="s">
        <v>78</v>
      </c>
      <c r="C4141" s="7" t="s">
        <v>8538</v>
      </c>
      <c r="E4141" s="7" t="s">
        <v>33</v>
      </c>
      <c r="F4141" s="7" t="s">
        <v>8521</v>
      </c>
      <c r="G4141" s="7" t="n">
        <v>2019</v>
      </c>
      <c r="H4141" s="7" t="s">
        <v>48</v>
      </c>
      <c r="I4141" s="7" t="s">
        <v>82</v>
      </c>
      <c r="J4141" s="7" t="s">
        <v>824</v>
      </c>
      <c r="K4141" s="7" t="n">
        <f aca="false">IFERROR(VALUE(RIGHT(TRIM(F4141),4)),"")</f>
        <v>2019</v>
      </c>
      <c r="L4141" s="7" t="str">
        <f aca="false">IF(TRIM(E4141)="","Unknown",IFERROR(LEFT(TRIM(E4141),FIND(",",TRIM(E4141))-1),TRIM(E4141)))</f>
        <v>Spain</v>
      </c>
      <c r="M4141" s="7" t="str">
        <f aca="false">IFERROR(LEFT(J4141,FIND(",",J4141)-1),J4141)</f>
        <v>International TV Shows</v>
      </c>
      <c r="N4141" s="7" t="str">
        <f aca="false">IF(B4141="Movie",IFERROR(VALUE(LEFT(I4141,FIND(" ",I4141)-1)),""),"")</f>
        <v/>
      </c>
      <c r="O4141" s="7" t="n">
        <f aca="false">IF(B4141="TV Show",IFERROR(VALUE(LEFT(I4141,FIND(" ",I4141)-1)),""),"")</f>
        <v>1</v>
      </c>
      <c r="P4141" s="7" t="n">
        <f aca="false">IF(K4141="","",K4141-G4141)</f>
        <v>0</v>
      </c>
    </row>
    <row r="4142" customFormat="false" ht="15" hidden="false" customHeight="false" outlineLevel="0" collapsed="false">
      <c r="A4142" s="7" t="n">
        <v>81019391</v>
      </c>
      <c r="B4142" s="7" t="s">
        <v>78</v>
      </c>
      <c r="C4142" s="7" t="s">
        <v>8539</v>
      </c>
      <c r="F4142" s="7" t="s">
        <v>8521</v>
      </c>
      <c r="G4142" s="7" t="n">
        <v>2019</v>
      </c>
      <c r="H4142" s="7" t="s">
        <v>48</v>
      </c>
      <c r="I4142" s="7" t="s">
        <v>82</v>
      </c>
      <c r="J4142" s="7" t="s">
        <v>5918</v>
      </c>
      <c r="K4142" s="7" t="n">
        <f aca="false">IFERROR(VALUE(RIGHT(TRIM(F4142),4)),"")</f>
        <v>2019</v>
      </c>
      <c r="L4142" s="7" t="str">
        <f aca="false">IF(TRIM(E4142)="","Unknown",IFERROR(LEFT(TRIM(E4142),FIND(",",TRIM(E4142))-1),TRIM(E4142)))</f>
        <v>Unknown</v>
      </c>
      <c r="M4142" s="7" t="str">
        <f aca="false">IFERROR(LEFT(J4142,FIND(",",J4142)-1),J4142)</f>
        <v>Crime TV Shows</v>
      </c>
      <c r="N4142" s="7" t="str">
        <f aca="false">IF(B4142="Movie",IFERROR(VALUE(LEFT(I4142,FIND(" ",I4142)-1)),""),"")</f>
        <v/>
      </c>
      <c r="O4142" s="7" t="n">
        <f aca="false">IF(B4142="TV Show",IFERROR(VALUE(LEFT(I4142,FIND(" ",I4142)-1)),""),"")</f>
        <v>1</v>
      </c>
      <c r="P4142" s="7" t="n">
        <f aca="false">IF(K4142="","",K4142-G4142)</f>
        <v>0</v>
      </c>
    </row>
    <row r="4143" customFormat="false" ht="15" hidden="false" customHeight="false" outlineLevel="0" collapsed="false">
      <c r="A4143" s="7" t="n">
        <v>80240027</v>
      </c>
      <c r="B4143" s="7" t="s">
        <v>78</v>
      </c>
      <c r="C4143" s="7" t="s">
        <v>8540</v>
      </c>
      <c r="E4143" s="7" t="s">
        <v>26</v>
      </c>
      <c r="F4143" s="7" t="s">
        <v>8521</v>
      </c>
      <c r="G4143" s="7" t="n">
        <v>2019</v>
      </c>
      <c r="H4143" s="7" t="s">
        <v>49</v>
      </c>
      <c r="I4143" s="7" t="s">
        <v>82</v>
      </c>
      <c r="J4143" s="7" t="s">
        <v>8541</v>
      </c>
      <c r="K4143" s="7" t="n">
        <f aca="false">IFERROR(VALUE(RIGHT(TRIM(F4143),4)),"")</f>
        <v>2019</v>
      </c>
      <c r="L4143" s="7" t="str">
        <f aca="false">IF(TRIM(E4143)="","Unknown",IFERROR(LEFT(TRIM(E4143),FIND(",",TRIM(E4143))-1),TRIM(E4143)))</f>
        <v>United States</v>
      </c>
      <c r="M4143" s="7" t="str">
        <f aca="false">IFERROR(LEFT(J4143,FIND(",",J4143)-1),J4143)</f>
        <v>Romantic TV Shows</v>
      </c>
      <c r="N4143" s="7" t="str">
        <f aca="false">IF(B4143="Movie",IFERROR(VALUE(LEFT(I4143,FIND(" ",I4143)-1)),""),"")</f>
        <v/>
      </c>
      <c r="O4143" s="7" t="n">
        <f aca="false">IF(B4143="TV Show",IFERROR(VALUE(LEFT(I4143,FIND(" ",I4143)-1)),""),"")</f>
        <v>1</v>
      </c>
      <c r="P4143" s="7" t="n">
        <f aca="false">IF(K4143="","",K4143-G4143)</f>
        <v>0</v>
      </c>
    </row>
    <row r="4144" customFormat="false" ht="15" hidden="false" customHeight="false" outlineLevel="0" collapsed="false">
      <c r="A4144" s="7" t="n">
        <v>80126997</v>
      </c>
      <c r="B4144" s="7" t="s">
        <v>68</v>
      </c>
      <c r="C4144" s="7" t="s">
        <v>8542</v>
      </c>
      <c r="D4144" s="7" t="s">
        <v>1630</v>
      </c>
      <c r="E4144" s="7" t="s">
        <v>527</v>
      </c>
      <c r="F4144" s="7" t="s">
        <v>8521</v>
      </c>
      <c r="G4144" s="7" t="n">
        <v>2016</v>
      </c>
      <c r="H4144" s="7" t="s">
        <v>48</v>
      </c>
      <c r="I4144" s="7" t="s">
        <v>311</v>
      </c>
      <c r="J4144" s="7" t="s">
        <v>217</v>
      </c>
      <c r="K4144" s="7" t="n">
        <f aca="false">IFERROR(VALUE(RIGHT(TRIM(F4144),4)),"")</f>
        <v>2019</v>
      </c>
      <c r="L4144" s="7" t="str">
        <f aca="false">IF(TRIM(E4144)="","Unknown",IFERROR(LEFT(TRIM(E4144),FIND(",",TRIM(E4144))-1),TRIM(E4144)))</f>
        <v>Nigeria</v>
      </c>
      <c r="M4144" s="7" t="str">
        <f aca="false">IFERROR(LEFT(J4144,FIND(",",J4144)-1),J4144)</f>
        <v>Comedies</v>
      </c>
      <c r="N4144" s="7" t="n">
        <f aca="false">IF(B4144="Movie",IFERROR(VALUE(LEFT(I4144,FIND(" ",I4144)-1)),""),"")</f>
        <v>92</v>
      </c>
      <c r="O4144" s="7" t="str">
        <f aca="false">IF(B4144="TV Show",IFERROR(VALUE(LEFT(I4144,FIND(" ",I4144)-1)),""),"")</f>
        <v/>
      </c>
      <c r="P4144" s="7" t="n">
        <f aca="false">IF(K4144="","",K4144-G4144)</f>
        <v>3</v>
      </c>
    </row>
    <row r="4145" customFormat="false" ht="15" hidden="false" customHeight="false" outlineLevel="0" collapsed="false">
      <c r="A4145" s="7" t="n">
        <v>81172868</v>
      </c>
      <c r="B4145" s="7" t="s">
        <v>68</v>
      </c>
      <c r="C4145" s="7" t="s">
        <v>8543</v>
      </c>
      <c r="D4145" s="7" t="s">
        <v>1630</v>
      </c>
      <c r="E4145" s="7" t="s">
        <v>28</v>
      </c>
      <c r="F4145" s="7" t="s">
        <v>8521</v>
      </c>
      <c r="G4145" s="7" t="n">
        <v>2017</v>
      </c>
      <c r="H4145" s="7" t="s">
        <v>49</v>
      </c>
      <c r="I4145" s="7" t="s">
        <v>272</v>
      </c>
      <c r="J4145" s="7" t="s">
        <v>217</v>
      </c>
      <c r="K4145" s="7" t="n">
        <f aca="false">IFERROR(VALUE(RIGHT(TRIM(F4145),4)),"")</f>
        <v>2019</v>
      </c>
      <c r="L4145" s="7" t="str">
        <f aca="false">IF(TRIM(E4145)="","Unknown",IFERROR(LEFT(TRIM(E4145),FIND(",",TRIM(E4145))-1),TRIM(E4145)))</f>
        <v>United Kingdom</v>
      </c>
      <c r="M4145" s="7" t="str">
        <f aca="false">IFERROR(LEFT(J4145,FIND(",",J4145)-1),J4145)</f>
        <v>Comedies</v>
      </c>
      <c r="N4145" s="7" t="n">
        <f aca="false">IF(B4145="Movie",IFERROR(VALUE(LEFT(I4145,FIND(" ",I4145)-1)),""),"")</f>
        <v>93</v>
      </c>
      <c r="O4145" s="7" t="str">
        <f aca="false">IF(B4145="TV Show",IFERROR(VALUE(LEFT(I4145,FIND(" ",I4145)-1)),""),"")</f>
        <v/>
      </c>
      <c r="P4145" s="7" t="n">
        <f aca="false">IF(K4145="","",K4145-G4145)</f>
        <v>2</v>
      </c>
    </row>
    <row r="4146" customFormat="false" ht="15" hidden="false" customHeight="false" outlineLevel="0" collapsed="false">
      <c r="A4146" s="7" t="n">
        <v>80177346</v>
      </c>
      <c r="B4146" s="7" t="s">
        <v>78</v>
      </c>
      <c r="C4146" s="7" t="s">
        <v>8544</v>
      </c>
      <c r="E4146" s="7" t="s">
        <v>26</v>
      </c>
      <c r="F4146" s="7" t="s">
        <v>8545</v>
      </c>
      <c r="G4146" s="7" t="n">
        <v>2017</v>
      </c>
      <c r="H4146" s="7" t="s">
        <v>48</v>
      </c>
      <c r="I4146" s="7" t="s">
        <v>82</v>
      </c>
      <c r="J4146" s="7" t="s">
        <v>7299</v>
      </c>
      <c r="K4146" s="7" t="n">
        <f aca="false">IFERROR(VALUE(RIGHT(TRIM(F4146),4)),"")</f>
        <v>2018</v>
      </c>
      <c r="L4146" s="7" t="str">
        <f aca="false">IF(TRIM(E4146)="","Unknown",IFERROR(LEFT(TRIM(E4146),FIND(",",TRIM(E4146))-1),TRIM(E4146)))</f>
        <v>United States</v>
      </c>
      <c r="M4146" s="7" t="str">
        <f aca="false">IFERROR(LEFT(J4146,FIND(",",J4146)-1),J4146)</f>
        <v>Crime TV Shows</v>
      </c>
      <c r="N4146" s="7" t="str">
        <f aca="false">IF(B4146="Movie",IFERROR(VALUE(LEFT(I4146,FIND(" ",I4146)-1)),""),"")</f>
        <v/>
      </c>
      <c r="O4146" s="7" t="n">
        <f aca="false">IF(B4146="TV Show",IFERROR(VALUE(LEFT(I4146,FIND(" ",I4146)-1)),""),"")</f>
        <v>1</v>
      </c>
      <c r="P4146" s="7" t="n">
        <f aca="false">IF(K4146="","",K4146-G4146)</f>
        <v>1</v>
      </c>
    </row>
    <row r="4147" customFormat="false" ht="15" hidden="false" customHeight="false" outlineLevel="0" collapsed="false">
      <c r="A4147" s="7" t="n">
        <v>81002594</v>
      </c>
      <c r="B4147" s="7" t="s">
        <v>68</v>
      </c>
      <c r="C4147" s="7" t="s">
        <v>8546</v>
      </c>
      <c r="D4147" s="7" t="s">
        <v>2444</v>
      </c>
      <c r="E4147" s="7" t="s">
        <v>167</v>
      </c>
      <c r="F4147" s="7" t="s">
        <v>8545</v>
      </c>
      <c r="G4147" s="7" t="n">
        <v>2010</v>
      </c>
      <c r="H4147" s="7" t="s">
        <v>50</v>
      </c>
      <c r="I4147" s="7" t="s">
        <v>326</v>
      </c>
      <c r="J4147" s="7" t="s">
        <v>2445</v>
      </c>
      <c r="K4147" s="7" t="n">
        <f aca="false">IFERROR(VALUE(RIGHT(TRIM(F4147),4)),"")</f>
        <v>2018</v>
      </c>
      <c r="L4147" s="7" t="str">
        <f aca="false">IF(TRIM(E4147)="","Unknown",IFERROR(LEFT(TRIM(E4147),FIND(",",TRIM(E4147))-1),TRIM(E4147)))</f>
        <v>Thailand</v>
      </c>
      <c r="M4147" s="7" t="str">
        <f aca="false">IFERROR(LEFT(J4147,FIND(",",J4147)-1),J4147)</f>
        <v>International Movies</v>
      </c>
      <c r="N4147" s="7" t="n">
        <f aca="false">IF(B4147="Movie",IFERROR(VALUE(LEFT(I4147,FIND(" ",I4147)-1)),""),"")</f>
        <v>111</v>
      </c>
      <c r="O4147" s="7" t="str">
        <f aca="false">IF(B4147="TV Show",IFERROR(VALUE(LEFT(I4147,FIND(" ",I4147)-1)),""),"")</f>
        <v/>
      </c>
      <c r="P4147" s="7" t="n">
        <f aca="false">IF(K4147="","",K4147-G4147)</f>
        <v>8</v>
      </c>
    </row>
    <row r="4148" customFormat="false" ht="15" hidden="false" customHeight="false" outlineLevel="0" collapsed="false">
      <c r="A4148" s="7" t="n">
        <v>80185876</v>
      </c>
      <c r="B4148" s="7" t="s">
        <v>68</v>
      </c>
      <c r="C4148" s="7" t="s">
        <v>8547</v>
      </c>
      <c r="D4148" s="7" t="s">
        <v>8548</v>
      </c>
      <c r="E4148" s="7" t="s">
        <v>26</v>
      </c>
      <c r="F4148" s="7" t="s">
        <v>8549</v>
      </c>
      <c r="G4148" s="7" t="n">
        <v>2017</v>
      </c>
      <c r="H4148" s="7" t="s">
        <v>226</v>
      </c>
      <c r="I4148" s="7" t="s">
        <v>8550</v>
      </c>
      <c r="J4148" s="7" t="s">
        <v>3593</v>
      </c>
      <c r="K4148" s="7" t="n">
        <f aca="false">IFERROR(VALUE(RIGHT(TRIM(F4148),4)),"")</f>
        <v>2017</v>
      </c>
      <c r="L4148" s="7" t="str">
        <f aca="false">IF(TRIM(E4148)="","Unknown",IFERROR(LEFT(TRIM(E4148),FIND(",",TRIM(E4148))-1),TRIM(E4148)))</f>
        <v>United States</v>
      </c>
      <c r="M4148" s="7" t="str">
        <f aca="false">IFERROR(LEFT(J4148,FIND(",",J4148)-1),J4148)</f>
        <v>Children &amp; Family Movies</v>
      </c>
      <c r="N4148" s="7" t="n">
        <f aca="false">IF(B4148="Movie",IFERROR(VALUE(LEFT(I4148,FIND(" ",I4148)-1)),""),"")</f>
        <v>27</v>
      </c>
      <c r="O4148" s="7" t="str">
        <f aca="false">IF(B4148="TV Show",IFERROR(VALUE(LEFT(I4148,FIND(" ",I4148)-1)),""),"")</f>
        <v/>
      </c>
      <c r="P4148" s="7" t="n">
        <f aca="false">IF(K4148="","",K4148-G4148)</f>
        <v>0</v>
      </c>
    </row>
    <row r="4149" customFormat="false" ht="15" hidden="false" customHeight="false" outlineLevel="0" collapsed="false">
      <c r="A4149" s="7" t="n">
        <v>80117746</v>
      </c>
      <c r="B4149" s="7" t="s">
        <v>68</v>
      </c>
      <c r="C4149" s="7" t="s">
        <v>8551</v>
      </c>
      <c r="D4149" s="7" t="s">
        <v>8005</v>
      </c>
      <c r="E4149" s="7" t="s">
        <v>26</v>
      </c>
      <c r="F4149" s="7" t="s">
        <v>8552</v>
      </c>
      <c r="G4149" s="7" t="n">
        <v>2016</v>
      </c>
      <c r="H4149" s="7" t="s">
        <v>48</v>
      </c>
      <c r="I4149" s="7" t="s">
        <v>467</v>
      </c>
      <c r="J4149" s="7" t="s">
        <v>155</v>
      </c>
      <c r="K4149" s="7" t="n">
        <f aca="false">IFERROR(VALUE(RIGHT(TRIM(F4149),4)),"")</f>
        <v>2016</v>
      </c>
      <c r="L4149" s="7" t="str">
        <f aca="false">IF(TRIM(E4149)="","Unknown",IFERROR(LEFT(TRIM(E4149),FIND(",",TRIM(E4149))-1),TRIM(E4149)))</f>
        <v>United States</v>
      </c>
      <c r="M4149" s="7" t="str">
        <f aca="false">IFERROR(LEFT(J4149,FIND(",",J4149)-1),J4149)</f>
        <v>Dramas</v>
      </c>
      <c r="N4149" s="7" t="n">
        <f aca="false">IF(B4149="Movie",IFERROR(VALUE(LEFT(I4149,FIND(" ",I4149)-1)),""),"")</f>
        <v>81</v>
      </c>
      <c r="O4149" s="7" t="str">
        <f aca="false">IF(B4149="TV Show",IFERROR(VALUE(LEFT(I4149,FIND(" ",I4149)-1)),""),"")</f>
        <v/>
      </c>
      <c r="P4149" s="7" t="n">
        <f aca="false">IF(K4149="","",K4149-G4149)</f>
        <v>0</v>
      </c>
    </row>
    <row r="4150" customFormat="false" ht="15" hidden="false" customHeight="false" outlineLevel="0" collapsed="false">
      <c r="A4150" s="7" t="n">
        <v>80142615</v>
      </c>
      <c r="B4150" s="7" t="s">
        <v>68</v>
      </c>
      <c r="C4150" s="7" t="s">
        <v>8553</v>
      </c>
      <c r="D4150" s="7" t="s">
        <v>8554</v>
      </c>
      <c r="E4150" s="7" t="s">
        <v>26</v>
      </c>
      <c r="F4150" s="7" t="s">
        <v>8552</v>
      </c>
      <c r="G4150" s="7" t="n">
        <v>2016</v>
      </c>
      <c r="H4150" s="7" t="s">
        <v>50</v>
      </c>
      <c r="I4150" s="7" t="s">
        <v>254</v>
      </c>
      <c r="J4150" s="7" t="s">
        <v>1085</v>
      </c>
      <c r="K4150" s="7" t="n">
        <f aca="false">IFERROR(VALUE(RIGHT(TRIM(F4150),4)),"")</f>
        <v>2016</v>
      </c>
      <c r="L4150" s="7" t="str">
        <f aca="false">IF(TRIM(E4150)="","Unknown",IFERROR(LEFT(TRIM(E4150),FIND(",",TRIM(E4150))-1),TRIM(E4150)))</f>
        <v>United States</v>
      </c>
      <c r="M4150" s="7" t="str">
        <f aca="false">IFERROR(LEFT(J4150,FIND(",",J4150)-1),J4150)</f>
        <v>Documentaries</v>
      </c>
      <c r="N4150" s="7" t="n">
        <f aca="false">IF(B4150="Movie",IFERROR(VALUE(LEFT(I4150,FIND(" ",I4150)-1)),""),"")</f>
        <v>70</v>
      </c>
      <c r="O4150" s="7" t="str">
        <f aca="false">IF(B4150="TV Show",IFERROR(VALUE(LEFT(I4150,FIND(" ",I4150)-1)),""),"")</f>
        <v/>
      </c>
      <c r="P4150" s="7" t="n">
        <f aca="false">IF(K4150="","",K4150-G4150)</f>
        <v>0</v>
      </c>
    </row>
    <row r="4151" customFormat="false" ht="15" hidden="false" customHeight="false" outlineLevel="0" collapsed="false">
      <c r="A4151" s="7" t="n">
        <v>80115673</v>
      </c>
      <c r="B4151" s="7" t="s">
        <v>68</v>
      </c>
      <c r="C4151" s="7" t="s">
        <v>8555</v>
      </c>
      <c r="D4151" s="7" t="s">
        <v>8556</v>
      </c>
      <c r="E4151" s="7" t="s">
        <v>26</v>
      </c>
      <c r="F4151" s="7" t="s">
        <v>8552</v>
      </c>
      <c r="G4151" s="7" t="n">
        <v>2016</v>
      </c>
      <c r="H4151" s="7" t="s">
        <v>48</v>
      </c>
      <c r="I4151" s="7" t="s">
        <v>117</v>
      </c>
      <c r="J4151" s="7" t="s">
        <v>5396</v>
      </c>
      <c r="K4151" s="7" t="n">
        <f aca="false">IFERROR(VALUE(RIGHT(TRIM(F4151),4)),"")</f>
        <v>2016</v>
      </c>
      <c r="L4151" s="7" t="str">
        <f aca="false">IF(TRIM(E4151)="","Unknown",IFERROR(LEFT(TRIM(E4151),FIND(",",TRIM(E4151))-1),TRIM(E4151)))</f>
        <v>United States</v>
      </c>
      <c r="M4151" s="7" t="str">
        <f aca="false">IFERROR(LEFT(J4151,FIND(",",J4151)-1),J4151)</f>
        <v>Music &amp; Musicals</v>
      </c>
      <c r="N4151" s="7" t="n">
        <f aca="false">IF(B4151="Movie",IFERROR(VALUE(LEFT(I4151,FIND(" ",I4151)-1)),""),"")</f>
        <v>62</v>
      </c>
      <c r="O4151" s="7" t="str">
        <f aca="false">IF(B4151="TV Show",IFERROR(VALUE(LEFT(I4151,FIND(" ",I4151)-1)),""),"")</f>
        <v/>
      </c>
      <c r="P4151" s="7" t="n">
        <f aca="false">IF(K4151="","",K4151-G4151)</f>
        <v>0</v>
      </c>
    </row>
    <row r="4152" customFormat="false" ht="15" hidden="false" customHeight="false" outlineLevel="0" collapsed="false">
      <c r="A4152" s="7" t="n">
        <v>80105691</v>
      </c>
      <c r="B4152" s="7" t="s">
        <v>68</v>
      </c>
      <c r="C4152" s="7" t="s">
        <v>8557</v>
      </c>
      <c r="D4152" s="7" t="s">
        <v>8558</v>
      </c>
      <c r="E4152" s="7" t="s">
        <v>3075</v>
      </c>
      <c r="F4152" s="7" t="s">
        <v>8552</v>
      </c>
      <c r="G4152" s="7" t="n">
        <v>2016</v>
      </c>
      <c r="H4152" s="7" t="s">
        <v>48</v>
      </c>
      <c r="I4152" s="7" t="s">
        <v>417</v>
      </c>
      <c r="J4152" s="7" t="s">
        <v>188</v>
      </c>
      <c r="K4152" s="7" t="n">
        <f aca="false">IFERROR(VALUE(RIGHT(TRIM(F4152),4)),"")</f>
        <v>2016</v>
      </c>
      <c r="L4152" s="7" t="str">
        <f aca="false">IF(TRIM(E4152)="","Unknown",IFERROR(LEFT(TRIM(E4152),FIND(",",TRIM(E4152))-1),TRIM(E4152)))</f>
        <v>Denmark</v>
      </c>
      <c r="M4152" s="7" t="str">
        <f aca="false">IFERROR(LEFT(J4152,FIND(",",J4152)-1),J4152)</f>
        <v>Dramas</v>
      </c>
      <c r="N4152" s="7" t="n">
        <f aca="false">IF(B4152="Movie",IFERROR(VALUE(LEFT(I4152,FIND(" ",I4152)-1)),""),"")</f>
        <v>104</v>
      </c>
      <c r="O4152" s="7" t="str">
        <f aca="false">IF(B4152="TV Show",IFERROR(VALUE(LEFT(I4152,FIND(" ",I4152)-1)),""),"")</f>
        <v/>
      </c>
      <c r="P4152" s="7" t="n">
        <f aca="false">IF(K4152="","",K4152-G4152)</f>
        <v>0</v>
      </c>
    </row>
    <row r="4153" customFormat="false" ht="15" hidden="false" customHeight="false" outlineLevel="0" collapsed="false">
      <c r="A4153" s="7" t="n">
        <v>81029841</v>
      </c>
      <c r="B4153" s="7" t="s">
        <v>68</v>
      </c>
      <c r="C4153" s="7" t="s">
        <v>8559</v>
      </c>
      <c r="D4153" s="7" t="s">
        <v>2535</v>
      </c>
      <c r="F4153" s="7" t="s">
        <v>8560</v>
      </c>
      <c r="G4153" s="7" t="n">
        <v>2019</v>
      </c>
      <c r="H4153" s="7" t="s">
        <v>50</v>
      </c>
      <c r="I4153" s="7" t="s">
        <v>340</v>
      </c>
      <c r="J4153" s="7" t="s">
        <v>2536</v>
      </c>
      <c r="K4153" s="7" t="n">
        <f aca="false">IFERROR(VALUE(RIGHT(TRIM(F4153),4)),"")</f>
        <v>2019</v>
      </c>
      <c r="L4153" s="7" t="str">
        <f aca="false">IF(TRIM(E4153)="","Unknown",IFERROR(LEFT(TRIM(E4153),FIND(",",TRIM(E4153))-1),TRIM(E4153)))</f>
        <v>Unknown</v>
      </c>
      <c r="M4153" s="7" t="str">
        <f aca="false">IFERROR(LEFT(J4153,FIND(",",J4153)-1),J4153)</f>
        <v>Children &amp; Family Movies</v>
      </c>
      <c r="N4153" s="7" t="n">
        <f aca="false">IF(B4153="Movie",IFERROR(VALUE(LEFT(I4153,FIND(" ",I4153)-1)),""),"")</f>
        <v>85</v>
      </c>
      <c r="O4153" s="7" t="str">
        <f aca="false">IF(B4153="TV Show",IFERROR(VALUE(LEFT(I4153,FIND(" ",I4153)-1)),""),"")</f>
        <v/>
      </c>
      <c r="P4153" s="7" t="n">
        <f aca="false">IF(K4153="","",K4153-G4153)</f>
        <v>0</v>
      </c>
    </row>
    <row r="4154" customFormat="false" ht="15" hidden="false" customHeight="false" outlineLevel="0" collapsed="false">
      <c r="A4154" s="7" t="n">
        <v>81083590</v>
      </c>
      <c r="B4154" s="7" t="s">
        <v>78</v>
      </c>
      <c r="C4154" s="7" t="s">
        <v>8561</v>
      </c>
      <c r="E4154" s="7" t="s">
        <v>1063</v>
      </c>
      <c r="F4154" s="7" t="s">
        <v>8560</v>
      </c>
      <c r="G4154" s="7" t="n">
        <v>2019</v>
      </c>
      <c r="H4154" s="7" t="s">
        <v>48</v>
      </c>
      <c r="I4154" s="7" t="s">
        <v>82</v>
      </c>
      <c r="J4154" s="7" t="s">
        <v>158</v>
      </c>
      <c r="K4154" s="7" t="n">
        <f aca="false">IFERROR(VALUE(RIGHT(TRIM(F4154),4)),"")</f>
        <v>2019</v>
      </c>
      <c r="L4154" s="7" t="str">
        <f aca="false">IF(TRIM(E4154)="","Unknown",IFERROR(LEFT(TRIM(E4154),FIND(",",TRIM(E4154))-1),TRIM(E4154)))</f>
        <v>Norway</v>
      </c>
      <c r="M4154" s="7" t="str">
        <f aca="false">IFERROR(LEFT(J4154,FIND(",",J4154)-1),J4154)</f>
        <v>International TV Shows</v>
      </c>
      <c r="N4154" s="7" t="str">
        <f aca="false">IF(B4154="Movie",IFERROR(VALUE(LEFT(I4154,FIND(" ",I4154)-1)),""),"")</f>
        <v/>
      </c>
      <c r="O4154" s="7" t="n">
        <f aca="false">IF(B4154="TV Show",IFERROR(VALUE(LEFT(I4154,FIND(" ",I4154)-1)),""),"")</f>
        <v>1</v>
      </c>
      <c r="P4154" s="7" t="n">
        <f aca="false">IF(K4154="","",K4154-G4154)</f>
        <v>0</v>
      </c>
    </row>
    <row r="4155" customFormat="false" ht="15" hidden="false" customHeight="false" outlineLevel="0" collapsed="false">
      <c r="A4155" s="7" t="n">
        <v>81212801</v>
      </c>
      <c r="B4155" s="7" t="s">
        <v>68</v>
      </c>
      <c r="C4155" s="7" t="s">
        <v>8562</v>
      </c>
      <c r="E4155" s="7" t="s">
        <v>26</v>
      </c>
      <c r="F4155" s="7" t="s">
        <v>8560</v>
      </c>
      <c r="G4155" s="7" t="n">
        <v>2019</v>
      </c>
      <c r="H4155" s="7" t="s">
        <v>48</v>
      </c>
      <c r="I4155" s="7" t="s">
        <v>373</v>
      </c>
      <c r="J4155" s="7" t="s">
        <v>39</v>
      </c>
      <c r="K4155" s="7" t="n">
        <f aca="false">IFERROR(VALUE(RIGHT(TRIM(F4155),4)),"")</f>
        <v>2019</v>
      </c>
      <c r="L4155" s="7" t="str">
        <f aca="false">IF(TRIM(E4155)="","Unknown",IFERROR(LEFT(TRIM(E4155),FIND(",",TRIM(E4155))-1),TRIM(E4155)))</f>
        <v>United States</v>
      </c>
      <c r="M4155" s="7" t="str">
        <f aca="false">IFERROR(LEFT(J4155,FIND(",",J4155)-1),J4155)</f>
        <v>Documentaries</v>
      </c>
      <c r="N4155" s="7" t="n">
        <f aca="false">IF(B4155="Movie",IFERROR(VALUE(LEFT(I4155,FIND(" ",I4155)-1)),""),"")</f>
        <v>24</v>
      </c>
      <c r="O4155" s="7" t="str">
        <f aca="false">IF(B4155="TV Show",IFERROR(VALUE(LEFT(I4155,FIND(" ",I4155)-1)),""),"")</f>
        <v/>
      </c>
      <c r="P4155" s="7" t="n">
        <f aca="false">IF(K4155="","",K4155-G4155)</f>
        <v>0</v>
      </c>
    </row>
    <row r="4156" customFormat="false" ht="15" hidden="false" customHeight="false" outlineLevel="0" collapsed="false">
      <c r="A4156" s="7" t="n">
        <v>80236118</v>
      </c>
      <c r="B4156" s="7" t="s">
        <v>78</v>
      </c>
      <c r="C4156" s="7" t="s">
        <v>8563</v>
      </c>
      <c r="E4156" s="7" t="s">
        <v>29</v>
      </c>
      <c r="F4156" s="7" t="s">
        <v>8560</v>
      </c>
      <c r="G4156" s="7" t="n">
        <v>2019</v>
      </c>
      <c r="H4156" s="7" t="s">
        <v>48</v>
      </c>
      <c r="I4156" s="7" t="s">
        <v>82</v>
      </c>
      <c r="J4156" s="7" t="s">
        <v>8564</v>
      </c>
      <c r="K4156" s="7" t="n">
        <f aca="false">IFERROR(VALUE(RIGHT(TRIM(F4156),4)),"")</f>
        <v>2019</v>
      </c>
      <c r="L4156" s="7" t="str">
        <f aca="false">IF(TRIM(E4156)="","Unknown",IFERROR(LEFT(TRIM(E4156),FIND(",",TRIM(E4156))-1),TRIM(E4156)))</f>
        <v>Canada</v>
      </c>
      <c r="M4156" s="7" t="str">
        <f aca="false">IFERROR(LEFT(J4156,FIND(",",J4156)-1),J4156)</f>
        <v>TV Action &amp; Adventure</v>
      </c>
      <c r="N4156" s="7" t="str">
        <f aca="false">IF(B4156="Movie",IFERROR(VALUE(LEFT(I4156,FIND(" ",I4156)-1)),""),"")</f>
        <v/>
      </c>
      <c r="O4156" s="7" t="n">
        <f aca="false">IF(B4156="TV Show",IFERROR(VALUE(LEFT(I4156,FIND(" ",I4156)-1)),""),"")</f>
        <v>1</v>
      </c>
      <c r="P4156" s="7" t="n">
        <f aca="false">IF(K4156="","",K4156-G4156)</f>
        <v>0</v>
      </c>
    </row>
    <row r="4157" customFormat="false" ht="15" hidden="false" customHeight="false" outlineLevel="0" collapsed="false">
      <c r="A4157" s="7" t="n">
        <v>80244190</v>
      </c>
      <c r="B4157" s="7" t="s">
        <v>68</v>
      </c>
      <c r="C4157" s="7" t="s">
        <v>8565</v>
      </c>
      <c r="D4157" s="7" t="s">
        <v>8566</v>
      </c>
      <c r="E4157" s="7" t="s">
        <v>35</v>
      </c>
      <c r="F4157" s="7" t="s">
        <v>8567</v>
      </c>
      <c r="G4157" s="7" t="n">
        <v>2018</v>
      </c>
      <c r="H4157" s="7" t="s">
        <v>48</v>
      </c>
      <c r="I4157" s="7" t="s">
        <v>237</v>
      </c>
      <c r="J4157" s="7" t="s">
        <v>1383</v>
      </c>
      <c r="K4157" s="7" t="n">
        <f aca="false">IFERROR(VALUE(RIGHT(TRIM(F4157),4)),"")</f>
        <v>2018</v>
      </c>
      <c r="L4157" s="7" t="str">
        <f aca="false">IF(TRIM(E4157)="","Unknown",IFERROR(LEFT(TRIM(E4157),FIND(",",TRIM(E4157))-1),TRIM(E4157)))</f>
        <v>Australia</v>
      </c>
      <c r="M4157" s="7" t="str">
        <f aca="false">IFERROR(LEFT(J4157,FIND(",",J4157)-1),J4157)</f>
        <v>Dramas</v>
      </c>
      <c r="N4157" s="7" t="n">
        <f aca="false">IF(B4157="Movie",IFERROR(VALUE(LEFT(I4157,FIND(" ",I4157)-1)),""),"")</f>
        <v>116</v>
      </c>
      <c r="O4157" s="7" t="str">
        <f aca="false">IF(B4157="TV Show",IFERROR(VALUE(LEFT(I4157,FIND(" ",I4157)-1)),""),"")</f>
        <v/>
      </c>
      <c r="P4157" s="7" t="n">
        <f aca="false">IF(K4157="","",K4157-G4157)</f>
        <v>0</v>
      </c>
    </row>
    <row r="4158" customFormat="false" ht="15" hidden="false" customHeight="false" outlineLevel="0" collapsed="false">
      <c r="A4158" s="7" t="n">
        <v>80211229</v>
      </c>
      <c r="B4158" s="7" t="s">
        <v>78</v>
      </c>
      <c r="C4158" s="7" t="s">
        <v>8568</v>
      </c>
      <c r="D4158" s="7" t="s">
        <v>8569</v>
      </c>
      <c r="E4158" s="7" t="s">
        <v>33</v>
      </c>
      <c r="F4158" s="7" t="s">
        <v>8567</v>
      </c>
      <c r="G4158" s="7" t="n">
        <v>2018</v>
      </c>
      <c r="H4158" s="7" t="s">
        <v>119</v>
      </c>
      <c r="I4158" s="7" t="s">
        <v>82</v>
      </c>
      <c r="J4158" s="7" t="s">
        <v>44</v>
      </c>
      <c r="K4158" s="7" t="n">
        <f aca="false">IFERROR(VALUE(RIGHT(TRIM(F4158),4)),"")</f>
        <v>2018</v>
      </c>
      <c r="L4158" s="7" t="str">
        <f aca="false">IF(TRIM(E4158)="","Unknown",IFERROR(LEFT(TRIM(E4158),FIND(",",TRIM(E4158))-1),TRIM(E4158)))</f>
        <v>Spain</v>
      </c>
      <c r="M4158" s="7" t="str">
        <f aca="false">IFERROR(LEFT(J4158,FIND(",",J4158)-1),J4158)</f>
        <v>Kids' TV</v>
      </c>
      <c r="N4158" s="7" t="str">
        <f aca="false">IF(B4158="Movie",IFERROR(VALUE(LEFT(I4158,FIND(" ",I4158)-1)),""),"")</f>
        <v/>
      </c>
      <c r="O4158" s="7" t="n">
        <f aca="false">IF(B4158="TV Show",IFERROR(VALUE(LEFT(I4158,FIND(" ",I4158)-1)),""),"")</f>
        <v>1</v>
      </c>
      <c r="P4158" s="7" t="n">
        <f aca="false">IF(K4158="","",K4158-G4158)</f>
        <v>0</v>
      </c>
    </row>
    <row r="4159" customFormat="false" ht="15" hidden="false" customHeight="false" outlineLevel="0" collapsed="false">
      <c r="A4159" s="7" t="n">
        <v>80204730</v>
      </c>
      <c r="B4159" s="7" t="s">
        <v>78</v>
      </c>
      <c r="C4159" s="7" t="s">
        <v>8570</v>
      </c>
      <c r="E4159" s="7" t="s">
        <v>26</v>
      </c>
      <c r="F4159" s="7" t="s">
        <v>8567</v>
      </c>
      <c r="G4159" s="7" t="n">
        <v>2018</v>
      </c>
      <c r="H4159" s="7" t="s">
        <v>48</v>
      </c>
      <c r="I4159" s="7" t="s">
        <v>82</v>
      </c>
      <c r="J4159" s="7" t="s">
        <v>289</v>
      </c>
      <c r="K4159" s="7" t="n">
        <f aca="false">IFERROR(VALUE(RIGHT(TRIM(F4159),4)),"")</f>
        <v>2018</v>
      </c>
      <c r="L4159" s="7" t="str">
        <f aca="false">IF(TRIM(E4159)="","Unknown",IFERROR(LEFT(TRIM(E4159),FIND(",",TRIM(E4159))-1),TRIM(E4159)))</f>
        <v>United States</v>
      </c>
      <c r="M4159" s="7" t="str">
        <f aca="false">IFERROR(LEFT(J4159,FIND(",",J4159)-1),J4159)</f>
        <v>TV Comedies</v>
      </c>
      <c r="N4159" s="7" t="str">
        <f aca="false">IF(B4159="Movie",IFERROR(VALUE(LEFT(I4159,FIND(" ",I4159)-1)),""),"")</f>
        <v/>
      </c>
      <c r="O4159" s="7" t="n">
        <f aca="false">IF(B4159="TV Show",IFERROR(VALUE(LEFT(I4159,FIND(" ",I4159)-1)),""),"")</f>
        <v>1</v>
      </c>
      <c r="P4159" s="7" t="n">
        <f aca="false">IF(K4159="","",K4159-G4159)</f>
        <v>0</v>
      </c>
    </row>
    <row r="4160" customFormat="false" ht="15" hidden="false" customHeight="false" outlineLevel="0" collapsed="false">
      <c r="A4160" s="7" t="n">
        <v>80187435</v>
      </c>
      <c r="B4160" s="7" t="s">
        <v>68</v>
      </c>
      <c r="C4160" s="7" t="s">
        <v>8571</v>
      </c>
      <c r="D4160" s="7" t="s">
        <v>1151</v>
      </c>
      <c r="E4160" s="7" t="s">
        <v>26</v>
      </c>
      <c r="F4160" s="7" t="s">
        <v>8572</v>
      </c>
      <c r="G4160" s="7" t="n">
        <v>2017</v>
      </c>
      <c r="H4160" s="7" t="s">
        <v>48</v>
      </c>
      <c r="I4160" s="7" t="s">
        <v>876</v>
      </c>
      <c r="J4160" s="7" t="s">
        <v>45</v>
      </c>
      <c r="K4160" s="7" t="n">
        <f aca="false">IFERROR(VALUE(RIGHT(TRIM(F4160),4)),"")</f>
        <v>2017</v>
      </c>
      <c r="L4160" s="7" t="str">
        <f aca="false">IF(TRIM(E4160)="","Unknown",IFERROR(LEFT(TRIM(E4160),FIND(",",TRIM(E4160))-1),TRIM(E4160)))</f>
        <v>United States</v>
      </c>
      <c r="M4160" s="7" t="str">
        <f aca="false">IFERROR(LEFT(J4160,FIND(",",J4160)-1),J4160)</f>
        <v>Stand-Up Comedy</v>
      </c>
      <c r="N4160" s="7" t="n">
        <f aca="false">IF(B4160="Movie",IFERROR(VALUE(LEFT(I4160,FIND(" ",I4160)-1)),""),"")</f>
        <v>67</v>
      </c>
      <c r="O4160" s="7" t="str">
        <f aca="false">IF(B4160="TV Show",IFERROR(VALUE(LEFT(I4160,FIND(" ",I4160)-1)),""),"")</f>
        <v/>
      </c>
      <c r="P4160" s="7" t="n">
        <f aca="false">IF(K4160="","",K4160-G4160)</f>
        <v>0</v>
      </c>
    </row>
    <row r="4161" customFormat="false" ht="15" hidden="false" customHeight="false" outlineLevel="0" collapsed="false">
      <c r="A4161" s="7" t="n">
        <v>80104103</v>
      </c>
      <c r="B4161" s="7" t="s">
        <v>68</v>
      </c>
      <c r="C4161" s="7" t="s">
        <v>8573</v>
      </c>
      <c r="D4161" s="7" t="s">
        <v>8574</v>
      </c>
      <c r="E4161" s="7" t="s">
        <v>26</v>
      </c>
      <c r="F4161" s="7" t="s">
        <v>8575</v>
      </c>
      <c r="G4161" s="7" t="n">
        <v>2016</v>
      </c>
      <c r="H4161" s="7" t="s">
        <v>48</v>
      </c>
      <c r="I4161" s="7" t="s">
        <v>451</v>
      </c>
      <c r="J4161" s="7" t="s">
        <v>520</v>
      </c>
      <c r="K4161" s="7" t="n">
        <f aca="false">IFERROR(VALUE(RIGHT(TRIM(F4161),4)),"")</f>
        <v>2016</v>
      </c>
      <c r="L4161" s="7" t="str">
        <f aca="false">IF(TRIM(E4161)="","Unknown",IFERROR(LEFT(TRIM(E4161),FIND(",",TRIM(E4161))-1),TRIM(E4161)))</f>
        <v>United States</v>
      </c>
      <c r="M4161" s="7" t="str">
        <f aca="false">IFERROR(LEFT(J4161,FIND(",",J4161)-1),J4161)</f>
        <v>Dramas</v>
      </c>
      <c r="N4161" s="7" t="n">
        <f aca="false">IF(B4161="Movie",IFERROR(VALUE(LEFT(I4161,FIND(" ",I4161)-1)),""),"")</f>
        <v>97</v>
      </c>
      <c r="O4161" s="7" t="str">
        <f aca="false">IF(B4161="TV Show",IFERROR(VALUE(LEFT(I4161,FIND(" ",I4161)-1)),""),"")</f>
        <v/>
      </c>
      <c r="P4161" s="7" t="n">
        <f aca="false">IF(K4161="","",K4161-G4161)</f>
        <v>0</v>
      </c>
    </row>
    <row r="4162" customFormat="false" ht="15" hidden="false" customHeight="false" outlineLevel="0" collapsed="false">
      <c r="A4162" s="7" t="n">
        <v>80004478</v>
      </c>
      <c r="B4162" s="7" t="s">
        <v>68</v>
      </c>
      <c r="C4162" s="7" t="s">
        <v>8576</v>
      </c>
      <c r="D4162" s="7" t="s">
        <v>1621</v>
      </c>
      <c r="E4162" s="7" t="s">
        <v>26</v>
      </c>
      <c r="F4162" s="7" t="s">
        <v>8577</v>
      </c>
      <c r="G4162" s="7" t="n">
        <v>2014</v>
      </c>
      <c r="H4162" s="7" t="s">
        <v>53</v>
      </c>
      <c r="I4162" s="7" t="s">
        <v>467</v>
      </c>
      <c r="J4162" s="7" t="s">
        <v>45</v>
      </c>
      <c r="K4162" s="7" t="n">
        <f aca="false">IFERROR(VALUE(RIGHT(TRIM(F4162),4)),"")</f>
        <v>2014</v>
      </c>
      <c r="L4162" s="7" t="str">
        <f aca="false">IF(TRIM(E4162)="","Unknown",IFERROR(LEFT(TRIM(E4162),FIND(",",TRIM(E4162))-1),TRIM(E4162)))</f>
        <v>United States</v>
      </c>
      <c r="M4162" s="7" t="str">
        <f aca="false">IFERROR(LEFT(J4162,FIND(",",J4162)-1),J4162)</f>
        <v>Stand-Up Comedy</v>
      </c>
      <c r="N4162" s="7" t="n">
        <f aca="false">IF(B4162="Movie",IFERROR(VALUE(LEFT(I4162,FIND(" ",I4162)-1)),""),"")</f>
        <v>81</v>
      </c>
      <c r="O4162" s="7" t="str">
        <f aca="false">IF(B4162="TV Show",IFERROR(VALUE(LEFT(I4162,FIND(" ",I4162)-1)),""),"")</f>
        <v/>
      </c>
      <c r="P4162" s="7" t="n">
        <f aca="false">IF(K4162="","",K4162-G4162)</f>
        <v>0</v>
      </c>
    </row>
    <row r="4163" customFormat="false" ht="15" hidden="false" customHeight="false" outlineLevel="0" collapsed="false">
      <c r="A4163" s="7" t="n">
        <v>81188871</v>
      </c>
      <c r="B4163" s="7" t="s">
        <v>68</v>
      </c>
      <c r="C4163" s="7" t="s">
        <v>8578</v>
      </c>
      <c r="D4163" s="7" t="s">
        <v>8579</v>
      </c>
      <c r="E4163" s="7" t="s">
        <v>129</v>
      </c>
      <c r="F4163" s="7" t="s">
        <v>8580</v>
      </c>
      <c r="G4163" s="7" t="n">
        <v>2019</v>
      </c>
      <c r="H4163" s="7" t="s">
        <v>48</v>
      </c>
      <c r="I4163" s="7" t="s">
        <v>790</v>
      </c>
      <c r="J4163" s="7" t="s">
        <v>240</v>
      </c>
      <c r="K4163" s="7" t="n">
        <f aca="false">IFERROR(VALUE(RIGHT(TRIM(F4163),4)),"")</f>
        <v>2019</v>
      </c>
      <c r="L4163" s="7" t="str">
        <f aca="false">IF(TRIM(E4163)="","Unknown",IFERROR(LEFT(TRIM(E4163),FIND(",",TRIM(E4163))-1),TRIM(E4163)))</f>
        <v>France</v>
      </c>
      <c r="M4163" s="7" t="str">
        <f aca="false">IFERROR(LEFT(J4163,FIND(",",J4163)-1),J4163)</f>
        <v>Dramas</v>
      </c>
      <c r="N4163" s="7" t="n">
        <f aca="false">IF(B4163="Movie",IFERROR(VALUE(LEFT(I4163,FIND(" ",I4163)-1)),""),"")</f>
        <v>109</v>
      </c>
      <c r="O4163" s="7" t="str">
        <f aca="false">IF(B4163="TV Show",IFERROR(VALUE(LEFT(I4163,FIND(" ",I4163)-1)),""),"")</f>
        <v/>
      </c>
      <c r="P4163" s="7" t="n">
        <f aca="false">IF(K4163="","",K4163-G4163)</f>
        <v>0</v>
      </c>
    </row>
    <row r="4164" customFormat="false" ht="15" hidden="false" customHeight="false" outlineLevel="0" collapsed="false">
      <c r="A4164" s="7" t="n">
        <v>81135440</v>
      </c>
      <c r="B4164" s="7" t="s">
        <v>78</v>
      </c>
      <c r="C4164" s="7" t="s">
        <v>8581</v>
      </c>
      <c r="E4164" s="7" t="s">
        <v>366</v>
      </c>
      <c r="F4164" s="7" t="s">
        <v>8580</v>
      </c>
      <c r="G4164" s="7" t="n">
        <v>2019</v>
      </c>
      <c r="H4164" s="7" t="s">
        <v>50</v>
      </c>
      <c r="I4164" s="7" t="s">
        <v>82</v>
      </c>
      <c r="J4164" s="7" t="s">
        <v>2916</v>
      </c>
      <c r="K4164" s="7" t="n">
        <f aca="false">IFERROR(VALUE(RIGHT(TRIM(F4164),4)),"")</f>
        <v>2019</v>
      </c>
      <c r="L4164" s="7" t="str">
        <f aca="false">IF(TRIM(E4164)="","Unknown",IFERROR(LEFT(TRIM(E4164),FIND(",",TRIM(E4164))-1),TRIM(E4164)))</f>
        <v>China</v>
      </c>
      <c r="M4164" s="7" t="str">
        <f aca="false">IFERROR(LEFT(J4164,FIND(",",J4164)-1),J4164)</f>
        <v>International TV Shows</v>
      </c>
      <c r="N4164" s="7" t="str">
        <f aca="false">IF(B4164="Movie",IFERROR(VALUE(LEFT(I4164,FIND(" ",I4164)-1)),""),"")</f>
        <v/>
      </c>
      <c r="O4164" s="7" t="n">
        <f aca="false">IF(B4164="TV Show",IFERROR(VALUE(LEFT(I4164,FIND(" ",I4164)-1)),""),"")</f>
        <v>1</v>
      </c>
      <c r="P4164" s="7" t="n">
        <f aca="false">IF(K4164="","",K4164-G4164)</f>
        <v>0</v>
      </c>
    </row>
    <row r="4165" customFormat="false" ht="15" hidden="false" customHeight="false" outlineLevel="0" collapsed="false">
      <c r="A4165" s="7" t="n">
        <v>81055408</v>
      </c>
      <c r="B4165" s="7" t="s">
        <v>78</v>
      </c>
      <c r="C4165" s="7" t="s">
        <v>8582</v>
      </c>
      <c r="F4165" s="7" t="s">
        <v>8580</v>
      </c>
      <c r="G4165" s="7" t="n">
        <v>2019</v>
      </c>
      <c r="H4165" s="7" t="s">
        <v>49</v>
      </c>
      <c r="I4165" s="7" t="s">
        <v>82</v>
      </c>
      <c r="J4165" s="7" t="s">
        <v>2521</v>
      </c>
      <c r="K4165" s="7" t="n">
        <f aca="false">IFERROR(VALUE(RIGHT(TRIM(F4165),4)),"")</f>
        <v>2019</v>
      </c>
      <c r="L4165" s="7" t="str">
        <f aca="false">IF(TRIM(E4165)="","Unknown",IFERROR(LEFT(TRIM(E4165),FIND(",",TRIM(E4165))-1),TRIM(E4165)))</f>
        <v>Unknown</v>
      </c>
      <c r="M4165" s="7" t="str">
        <f aca="false">IFERROR(LEFT(J4165,FIND(",",J4165)-1),J4165)</f>
        <v>International TV Shows</v>
      </c>
      <c r="N4165" s="7" t="str">
        <f aca="false">IF(B4165="Movie",IFERROR(VALUE(LEFT(I4165,FIND(" ",I4165)-1)),""),"")</f>
        <v/>
      </c>
      <c r="O4165" s="7" t="n">
        <f aca="false">IF(B4165="TV Show",IFERROR(VALUE(LEFT(I4165,FIND(" ",I4165)-1)),""),"")</f>
        <v>1</v>
      </c>
      <c r="P4165" s="7" t="n">
        <f aca="false">IF(K4165="","",K4165-G4165)</f>
        <v>0</v>
      </c>
    </row>
    <row r="4166" customFormat="false" ht="15" hidden="false" customHeight="false" outlineLevel="0" collapsed="false">
      <c r="A4166" s="7" t="n">
        <v>80211590</v>
      </c>
      <c r="B4166" s="7" t="s">
        <v>68</v>
      </c>
      <c r="C4166" s="7" t="s">
        <v>8583</v>
      </c>
      <c r="D4166" s="7" t="s">
        <v>8584</v>
      </c>
      <c r="E4166" s="7" t="s">
        <v>26</v>
      </c>
      <c r="F4166" s="7" t="s">
        <v>8585</v>
      </c>
      <c r="G4166" s="7" t="n">
        <v>2018</v>
      </c>
      <c r="H4166" s="7" t="s">
        <v>54</v>
      </c>
      <c r="I4166" s="7" t="s">
        <v>173</v>
      </c>
      <c r="J4166" s="7" t="s">
        <v>1558</v>
      </c>
      <c r="K4166" s="7" t="n">
        <f aca="false">IFERROR(VALUE(RIGHT(TRIM(F4166),4)),"")</f>
        <v>2018</v>
      </c>
      <c r="L4166" s="7" t="str">
        <f aca="false">IF(TRIM(E4166)="","Unknown",IFERROR(LEFT(TRIM(E4166),FIND(",",TRIM(E4166))-1),TRIM(E4166)))</f>
        <v>United States</v>
      </c>
      <c r="M4166" s="7" t="str">
        <f aca="false">IFERROR(LEFT(J4166,FIND(",",J4166)-1),J4166)</f>
        <v>Dramas</v>
      </c>
      <c r="N4166" s="7" t="n">
        <f aca="false">IF(B4166="Movie",IFERROR(VALUE(LEFT(I4166,FIND(" ",I4166)-1)),""),"")</f>
        <v>106</v>
      </c>
      <c r="O4166" s="7" t="str">
        <f aca="false">IF(B4166="TV Show",IFERROR(VALUE(LEFT(I4166,FIND(" ",I4166)-1)),""),"")</f>
        <v/>
      </c>
      <c r="P4166" s="7" t="n">
        <f aca="false">IF(K4166="","",K4166-G4166)</f>
        <v>0</v>
      </c>
    </row>
    <row r="4167" customFormat="false" ht="15" hidden="false" customHeight="false" outlineLevel="0" collapsed="false">
      <c r="A4167" s="7" t="n">
        <v>80187306</v>
      </c>
      <c r="B4167" s="7" t="s">
        <v>68</v>
      </c>
      <c r="C4167" s="7" t="s">
        <v>8586</v>
      </c>
      <c r="D4167" s="7" t="s">
        <v>284</v>
      </c>
      <c r="F4167" s="7" t="s">
        <v>8585</v>
      </c>
      <c r="G4167" s="7" t="n">
        <v>2018</v>
      </c>
      <c r="H4167" s="7" t="s">
        <v>48</v>
      </c>
      <c r="I4167" s="7" t="s">
        <v>551</v>
      </c>
      <c r="J4167" s="7" t="s">
        <v>45</v>
      </c>
      <c r="K4167" s="7" t="n">
        <f aca="false">IFERROR(VALUE(RIGHT(TRIM(F4167),4)),"")</f>
        <v>2018</v>
      </c>
      <c r="L4167" s="7" t="str">
        <f aca="false">IF(TRIM(E4167)="","Unknown",IFERROR(LEFT(TRIM(E4167),FIND(",",TRIM(E4167))-1),TRIM(E4167)))</f>
        <v>Unknown</v>
      </c>
      <c r="M4167" s="7" t="str">
        <f aca="false">IFERROR(LEFT(J4167,FIND(",",J4167)-1),J4167)</f>
        <v>Stand-Up Comedy</v>
      </c>
      <c r="N4167" s="7" t="n">
        <f aca="false">IF(B4167="Movie",IFERROR(VALUE(LEFT(I4167,FIND(" ",I4167)-1)),""),"")</f>
        <v>63</v>
      </c>
      <c r="O4167" s="7" t="str">
        <f aca="false">IF(B4167="TV Show",IFERROR(VALUE(LEFT(I4167,FIND(" ",I4167)-1)),""),"")</f>
        <v/>
      </c>
      <c r="P4167" s="7" t="n">
        <f aca="false">IF(K4167="","",K4167-G4167)</f>
        <v>0</v>
      </c>
    </row>
    <row r="4168" customFormat="false" ht="15" hidden="false" customHeight="false" outlineLevel="0" collapsed="false">
      <c r="A4168" s="7" t="n">
        <v>80988989</v>
      </c>
      <c r="B4168" s="7" t="s">
        <v>68</v>
      </c>
      <c r="C4168" s="7" t="s">
        <v>8587</v>
      </c>
      <c r="D4168" s="7" t="s">
        <v>8588</v>
      </c>
      <c r="E4168" s="7" t="s">
        <v>8589</v>
      </c>
      <c r="F4168" s="7" t="s">
        <v>8585</v>
      </c>
      <c r="G4168" s="7" t="n">
        <v>2017</v>
      </c>
      <c r="H4168" s="7" t="s">
        <v>49</v>
      </c>
      <c r="I4168" s="7" t="s">
        <v>790</v>
      </c>
      <c r="J4168" s="7" t="s">
        <v>188</v>
      </c>
      <c r="K4168" s="7" t="n">
        <f aca="false">IFERROR(VALUE(RIGHT(TRIM(F4168),4)),"")</f>
        <v>2018</v>
      </c>
      <c r="L4168" s="7" t="str">
        <f aca="false">IF(TRIM(E4168)="","Unknown",IFERROR(LEFT(TRIM(E4168),FIND(",",TRIM(E4168))-1),TRIM(E4168)))</f>
        <v>Israel</v>
      </c>
      <c r="M4168" s="7" t="str">
        <f aca="false">IFERROR(LEFT(J4168,FIND(",",J4168)-1),J4168)</f>
        <v>Dramas</v>
      </c>
      <c r="N4168" s="7" t="n">
        <f aca="false">IF(B4168="Movie",IFERROR(VALUE(LEFT(I4168,FIND(" ",I4168)-1)),""),"")</f>
        <v>109</v>
      </c>
      <c r="O4168" s="7" t="str">
        <f aca="false">IF(B4168="TV Show",IFERROR(VALUE(LEFT(I4168,FIND(" ",I4168)-1)),""),"")</f>
        <v/>
      </c>
      <c r="P4168" s="7" t="n">
        <f aca="false">IF(K4168="","",K4168-G4168)</f>
        <v>1</v>
      </c>
    </row>
    <row r="4169" customFormat="false" ht="15" hidden="false" customHeight="false" outlineLevel="0" collapsed="false">
      <c r="A4169" s="7" t="n">
        <v>80117080</v>
      </c>
      <c r="B4169" s="7" t="s">
        <v>68</v>
      </c>
      <c r="C4169" s="7" t="s">
        <v>8590</v>
      </c>
      <c r="D4169" s="7" t="s">
        <v>8591</v>
      </c>
      <c r="E4169" s="7" t="s">
        <v>31</v>
      </c>
      <c r="F4169" s="7" t="s">
        <v>8592</v>
      </c>
      <c r="G4169" s="7" t="n">
        <v>2016</v>
      </c>
      <c r="H4169" s="7" t="s">
        <v>48</v>
      </c>
      <c r="I4169" s="7" t="s">
        <v>87</v>
      </c>
      <c r="J4169" s="7" t="s">
        <v>1003</v>
      </c>
      <c r="K4169" s="7" t="n">
        <f aca="false">IFERROR(VALUE(RIGHT(TRIM(F4169),4)),"")</f>
        <v>2016</v>
      </c>
      <c r="L4169" s="7" t="str">
        <f aca="false">IF(TRIM(E4169)="","Unknown",IFERROR(LEFT(TRIM(E4169),FIND(",",TRIM(E4169))-1),TRIM(E4169)))</f>
        <v>France</v>
      </c>
      <c r="M4169" s="7" t="str">
        <f aca="false">IFERROR(LEFT(J4169,FIND(",",J4169)-1),J4169)</f>
        <v>Dramas</v>
      </c>
      <c r="N4169" s="7" t="n">
        <f aca="false">IF(B4169="Movie",IFERROR(VALUE(LEFT(I4169,FIND(" ",I4169)-1)),""),"")</f>
        <v>99</v>
      </c>
      <c r="O4169" s="7" t="str">
        <f aca="false">IF(B4169="TV Show",IFERROR(VALUE(LEFT(I4169,FIND(" ",I4169)-1)),""),"")</f>
        <v/>
      </c>
      <c r="P4169" s="7" t="n">
        <f aca="false">IF(K4169="","",K4169-G4169)</f>
        <v>0</v>
      </c>
    </row>
    <row r="4170" customFormat="false" ht="15" hidden="false" customHeight="false" outlineLevel="0" collapsed="false">
      <c r="A4170" s="7" t="n">
        <v>80042368</v>
      </c>
      <c r="B4170" s="7" t="s">
        <v>68</v>
      </c>
      <c r="C4170" s="7" t="s">
        <v>8593</v>
      </c>
      <c r="D4170" s="7" t="s">
        <v>7038</v>
      </c>
      <c r="E4170" s="7" t="s">
        <v>26</v>
      </c>
      <c r="F4170" s="7" t="s">
        <v>8594</v>
      </c>
      <c r="G4170" s="7" t="n">
        <v>2015</v>
      </c>
      <c r="H4170" s="7" t="s">
        <v>49</v>
      </c>
      <c r="I4170" s="7" t="s">
        <v>1164</v>
      </c>
      <c r="J4170" s="7" t="s">
        <v>1589</v>
      </c>
      <c r="K4170" s="7" t="n">
        <f aca="false">IFERROR(VALUE(RIGHT(TRIM(F4170),4)),"")</f>
        <v>2015</v>
      </c>
      <c r="L4170" s="7" t="str">
        <f aca="false">IF(TRIM(E4170)="","Unknown",IFERROR(LEFT(TRIM(E4170),FIND(",",TRIM(E4170))-1),TRIM(E4170)))</f>
        <v>United States</v>
      </c>
      <c r="M4170" s="7" t="str">
        <f aca="false">IFERROR(LEFT(J4170,FIND(",",J4170)-1),J4170)</f>
        <v>Comedies</v>
      </c>
      <c r="N4170" s="7" t="n">
        <f aca="false">IF(B4170="Movie",IFERROR(VALUE(LEFT(I4170,FIND(" ",I4170)-1)),""),"")</f>
        <v>57</v>
      </c>
      <c r="O4170" s="7" t="str">
        <f aca="false">IF(B4170="TV Show",IFERROR(VALUE(LEFT(I4170,FIND(" ",I4170)-1)),""),"")</f>
        <v/>
      </c>
      <c r="P4170" s="7" t="n">
        <f aca="false">IF(K4170="","",K4170-G4170)</f>
        <v>0</v>
      </c>
    </row>
    <row r="4171" customFormat="false" ht="15" hidden="false" customHeight="false" outlineLevel="0" collapsed="false">
      <c r="A4171" s="7" t="n">
        <v>60034116</v>
      </c>
      <c r="B4171" s="7" t="s">
        <v>68</v>
      </c>
      <c r="C4171" s="7" t="s">
        <v>8595</v>
      </c>
      <c r="D4171" s="7" t="s">
        <v>1514</v>
      </c>
      <c r="F4171" s="7" t="s">
        <v>8596</v>
      </c>
      <c r="G4171" s="7" t="n">
        <v>2003</v>
      </c>
      <c r="H4171" s="7" t="s">
        <v>48</v>
      </c>
      <c r="I4171" s="7" t="s">
        <v>505</v>
      </c>
      <c r="J4171" s="7" t="s">
        <v>182</v>
      </c>
      <c r="K4171" s="7" t="n">
        <f aca="false">IFERROR(VALUE(RIGHT(TRIM(F4171),4)),"")</f>
        <v>2019</v>
      </c>
      <c r="L4171" s="7" t="str">
        <f aca="false">IF(TRIM(E4171)="","Unknown",IFERROR(LEFT(TRIM(E4171),FIND(",",TRIM(E4171))-1),TRIM(E4171)))</f>
        <v>Unknown</v>
      </c>
      <c r="M4171" s="7" t="str">
        <f aca="false">IFERROR(LEFT(J4171,FIND(",",J4171)-1),J4171)</f>
        <v>Dramas</v>
      </c>
      <c r="N4171" s="7" t="n">
        <f aca="false">IF(B4171="Movie",IFERROR(VALUE(LEFT(I4171,FIND(" ",I4171)-1)),""),"")</f>
        <v>121</v>
      </c>
      <c r="O4171" s="7" t="str">
        <f aca="false">IF(B4171="TV Show",IFERROR(VALUE(LEFT(I4171,FIND(" ",I4171)-1)),""),"")</f>
        <v/>
      </c>
      <c r="P4171" s="7" t="n">
        <f aca="false">IF(K4171="","",K4171-G4171)</f>
        <v>16</v>
      </c>
    </row>
    <row r="4172" customFormat="false" ht="15" hidden="false" customHeight="false" outlineLevel="0" collapsed="false">
      <c r="A4172" s="7" t="n">
        <v>70211474</v>
      </c>
      <c r="B4172" s="7" t="s">
        <v>68</v>
      </c>
      <c r="C4172" s="7" t="s">
        <v>8597</v>
      </c>
      <c r="D4172" s="7" t="s">
        <v>3394</v>
      </c>
      <c r="E4172" s="7" t="s">
        <v>27</v>
      </c>
      <c r="F4172" s="7" t="s">
        <v>8596</v>
      </c>
      <c r="G4172" s="7" t="n">
        <v>2011</v>
      </c>
      <c r="H4172" s="7" t="s">
        <v>49</v>
      </c>
      <c r="I4172" s="7" t="s">
        <v>3971</v>
      </c>
      <c r="J4172" s="7" t="s">
        <v>304</v>
      </c>
      <c r="K4172" s="7" t="n">
        <f aca="false">IFERROR(VALUE(RIGHT(TRIM(F4172),4)),"")</f>
        <v>2019</v>
      </c>
      <c r="L4172" s="7" t="str">
        <f aca="false">IF(TRIM(E4172)="","Unknown",IFERROR(LEFT(TRIM(E4172),FIND(",",TRIM(E4172))-1),TRIM(E4172)))</f>
        <v>India</v>
      </c>
      <c r="M4172" s="7" t="str">
        <f aca="false">IFERROR(LEFT(J4172,FIND(",",J4172)-1),J4172)</f>
        <v>Dramas</v>
      </c>
      <c r="N4172" s="7" t="n">
        <f aca="false">IF(B4172="Movie",IFERROR(VALUE(LEFT(I4172,FIND(" ",I4172)-1)),""),"")</f>
        <v>164</v>
      </c>
      <c r="O4172" s="7" t="str">
        <f aca="false">IF(B4172="TV Show",IFERROR(VALUE(LEFT(I4172,FIND(" ",I4172)-1)),""),"")</f>
        <v/>
      </c>
      <c r="P4172" s="7" t="n">
        <f aca="false">IF(K4172="","",K4172-G4172)</f>
        <v>8</v>
      </c>
    </row>
    <row r="4173" customFormat="false" ht="15" hidden="false" customHeight="false" outlineLevel="0" collapsed="false">
      <c r="A4173" s="7" t="n">
        <v>81177444</v>
      </c>
      <c r="B4173" s="7" t="s">
        <v>68</v>
      </c>
      <c r="C4173" s="7" t="s">
        <v>8598</v>
      </c>
      <c r="D4173" s="7" t="s">
        <v>8599</v>
      </c>
      <c r="F4173" s="7" t="s">
        <v>8596</v>
      </c>
      <c r="G4173" s="7" t="n">
        <v>2019</v>
      </c>
      <c r="H4173" s="7" t="s">
        <v>49</v>
      </c>
      <c r="I4173" s="7" t="s">
        <v>93</v>
      </c>
      <c r="J4173" s="7" t="s">
        <v>1014</v>
      </c>
      <c r="K4173" s="7" t="n">
        <f aca="false">IFERROR(VALUE(RIGHT(TRIM(F4173),4)),"")</f>
        <v>2019</v>
      </c>
      <c r="L4173" s="7" t="str">
        <f aca="false">IF(TRIM(E4173)="","Unknown",IFERROR(LEFT(TRIM(E4173),FIND(",",TRIM(E4173))-1),TRIM(E4173)))</f>
        <v>Unknown</v>
      </c>
      <c r="M4173" s="7" t="str">
        <f aca="false">IFERROR(LEFT(J4173,FIND(",",J4173)-1),J4173)</f>
        <v>Horror Movies</v>
      </c>
      <c r="N4173" s="7" t="n">
        <f aca="false">IF(B4173="Movie",IFERROR(VALUE(LEFT(I4173,FIND(" ",I4173)-1)),""),"")</f>
        <v>110</v>
      </c>
      <c r="O4173" s="7" t="str">
        <f aca="false">IF(B4173="TV Show",IFERROR(VALUE(LEFT(I4173,FIND(" ",I4173)-1)),""),"")</f>
        <v/>
      </c>
      <c r="P4173" s="7" t="n">
        <f aca="false">IF(K4173="","",K4173-G4173)</f>
        <v>0</v>
      </c>
    </row>
    <row r="4174" customFormat="false" ht="15" hidden="false" customHeight="false" outlineLevel="0" collapsed="false">
      <c r="A4174" s="7" t="n">
        <v>81213876</v>
      </c>
      <c r="B4174" s="7" t="s">
        <v>68</v>
      </c>
      <c r="C4174" s="7" t="s">
        <v>8600</v>
      </c>
      <c r="D4174" s="7" t="s">
        <v>8601</v>
      </c>
      <c r="E4174" s="7" t="s">
        <v>27</v>
      </c>
      <c r="F4174" s="7" t="s">
        <v>8596</v>
      </c>
      <c r="G4174" s="7" t="n">
        <v>2017</v>
      </c>
      <c r="H4174" s="7" t="s">
        <v>49</v>
      </c>
      <c r="I4174" s="7" t="s">
        <v>87</v>
      </c>
      <c r="J4174" s="7" t="s">
        <v>2725</v>
      </c>
      <c r="K4174" s="7" t="n">
        <f aca="false">IFERROR(VALUE(RIGHT(TRIM(F4174),4)),"")</f>
        <v>2019</v>
      </c>
      <c r="L4174" s="7" t="str">
        <f aca="false">IF(TRIM(E4174)="","Unknown",IFERROR(LEFT(TRIM(E4174),FIND(",",TRIM(E4174))-1),TRIM(E4174)))</f>
        <v>India</v>
      </c>
      <c r="M4174" s="7" t="str">
        <f aca="false">IFERROR(LEFT(J4174,FIND(",",J4174)-1),J4174)</f>
        <v>Horror Movies</v>
      </c>
      <c r="N4174" s="7" t="n">
        <f aca="false">IF(B4174="Movie",IFERROR(VALUE(LEFT(I4174,FIND(" ",I4174)-1)),""),"")</f>
        <v>99</v>
      </c>
      <c r="O4174" s="7" t="str">
        <f aca="false">IF(B4174="TV Show",IFERROR(VALUE(LEFT(I4174,FIND(" ",I4174)-1)),""),"")</f>
        <v/>
      </c>
      <c r="P4174" s="7" t="n">
        <f aca="false">IF(K4174="","",K4174-G4174)</f>
        <v>2</v>
      </c>
    </row>
    <row r="4175" customFormat="false" ht="15" hidden="false" customHeight="false" outlineLevel="0" collapsed="false">
      <c r="A4175" s="7" t="n">
        <v>70056728</v>
      </c>
      <c r="B4175" s="7" t="s">
        <v>68</v>
      </c>
      <c r="C4175" s="7" t="s">
        <v>8602</v>
      </c>
      <c r="D4175" s="7" t="s">
        <v>8603</v>
      </c>
      <c r="E4175" s="7" t="s">
        <v>27</v>
      </c>
      <c r="F4175" s="7" t="s">
        <v>8596</v>
      </c>
      <c r="G4175" s="7" t="n">
        <v>2006</v>
      </c>
      <c r="H4175" s="7" t="s">
        <v>49</v>
      </c>
      <c r="I4175" s="7" t="s">
        <v>232</v>
      </c>
      <c r="J4175" s="7" t="s">
        <v>240</v>
      </c>
      <c r="K4175" s="7" t="n">
        <f aca="false">IFERROR(VALUE(RIGHT(TRIM(F4175),4)),"")</f>
        <v>2019</v>
      </c>
      <c r="L4175" s="7" t="str">
        <f aca="false">IF(TRIM(E4175)="","Unknown",IFERROR(LEFT(TRIM(E4175),FIND(",",TRIM(E4175))-1),TRIM(E4175)))</f>
        <v>India</v>
      </c>
      <c r="M4175" s="7" t="str">
        <f aca="false">IFERROR(LEFT(J4175,FIND(",",J4175)-1),J4175)</f>
        <v>Dramas</v>
      </c>
      <c r="N4175" s="7" t="n">
        <f aca="false">IF(B4175="Movie",IFERROR(VALUE(LEFT(I4175,FIND(" ",I4175)-1)),""),"")</f>
        <v>122</v>
      </c>
      <c r="O4175" s="7" t="str">
        <f aca="false">IF(B4175="TV Show",IFERROR(VALUE(LEFT(I4175,FIND(" ",I4175)-1)),""),"")</f>
        <v/>
      </c>
      <c r="P4175" s="7" t="n">
        <f aca="false">IF(K4175="","",K4175-G4175)</f>
        <v>13</v>
      </c>
    </row>
    <row r="4176" customFormat="false" ht="15" hidden="false" customHeight="false" outlineLevel="0" collapsed="false">
      <c r="A4176" s="7" t="n">
        <v>81161834</v>
      </c>
      <c r="B4176" s="7" t="s">
        <v>68</v>
      </c>
      <c r="C4176" s="7" t="s">
        <v>8604</v>
      </c>
      <c r="D4176" s="7" t="s">
        <v>8605</v>
      </c>
      <c r="E4176" s="7" t="s">
        <v>27</v>
      </c>
      <c r="F4176" s="7" t="s">
        <v>8596</v>
      </c>
      <c r="G4176" s="7" t="n">
        <v>2019</v>
      </c>
      <c r="H4176" s="7" t="s">
        <v>48</v>
      </c>
      <c r="I4176" s="7" t="s">
        <v>340</v>
      </c>
      <c r="J4176" s="7" t="s">
        <v>188</v>
      </c>
      <c r="K4176" s="7" t="n">
        <f aca="false">IFERROR(VALUE(RIGHT(TRIM(F4176),4)),"")</f>
        <v>2019</v>
      </c>
      <c r="L4176" s="7" t="str">
        <f aca="false">IF(TRIM(E4176)="","Unknown",IFERROR(LEFT(TRIM(E4176),FIND(",",TRIM(E4176))-1),TRIM(E4176)))</f>
        <v>India</v>
      </c>
      <c r="M4176" s="7" t="str">
        <f aca="false">IFERROR(LEFT(J4176,FIND(",",J4176)-1),J4176)</f>
        <v>Dramas</v>
      </c>
      <c r="N4176" s="7" t="n">
        <f aca="false">IF(B4176="Movie",IFERROR(VALUE(LEFT(I4176,FIND(" ",I4176)-1)),""),"")</f>
        <v>85</v>
      </c>
      <c r="O4176" s="7" t="str">
        <f aca="false">IF(B4176="TV Show",IFERROR(VALUE(LEFT(I4176,FIND(" ",I4176)-1)),""),"")</f>
        <v/>
      </c>
      <c r="P4176" s="7" t="n">
        <f aca="false">IF(K4176="","",K4176-G4176)</f>
        <v>0</v>
      </c>
    </row>
    <row r="4177" customFormat="false" ht="15" hidden="false" customHeight="false" outlineLevel="0" collapsed="false">
      <c r="A4177" s="7" t="n">
        <v>247747</v>
      </c>
      <c r="B4177" s="7" t="s">
        <v>68</v>
      </c>
      <c r="C4177" s="7" t="s">
        <v>8606</v>
      </c>
      <c r="D4177" s="7" t="s">
        <v>8607</v>
      </c>
      <c r="E4177" s="7" t="s">
        <v>27</v>
      </c>
      <c r="F4177" s="7" t="s">
        <v>8596</v>
      </c>
      <c r="G4177" s="7" t="n">
        <v>1977</v>
      </c>
      <c r="H4177" s="7" t="s">
        <v>49</v>
      </c>
      <c r="I4177" s="7" t="s">
        <v>8459</v>
      </c>
      <c r="J4177" s="7" t="s">
        <v>3247</v>
      </c>
      <c r="K4177" s="7" t="n">
        <f aca="false">IFERROR(VALUE(RIGHT(TRIM(F4177),4)),"")</f>
        <v>2019</v>
      </c>
      <c r="L4177" s="7" t="str">
        <f aca="false">IF(TRIM(E4177)="","Unknown",IFERROR(LEFT(TRIM(E4177),FIND(",",TRIM(E4177))-1),TRIM(E4177)))</f>
        <v>India</v>
      </c>
      <c r="M4177" s="7" t="str">
        <f aca="false">IFERROR(LEFT(J4177,FIND(",",J4177)-1),J4177)</f>
        <v>Action &amp; Adventure</v>
      </c>
      <c r="N4177" s="7" t="n">
        <f aca="false">IF(B4177="Movie",IFERROR(VALUE(LEFT(I4177,FIND(" ",I4177)-1)),""),"")</f>
        <v>172</v>
      </c>
      <c r="O4177" s="7" t="str">
        <f aca="false">IF(B4177="TV Show",IFERROR(VALUE(LEFT(I4177,FIND(" ",I4177)-1)),""),"")</f>
        <v/>
      </c>
      <c r="P4177" s="7" t="n">
        <f aca="false">IF(K4177="","",K4177-G4177)</f>
        <v>42</v>
      </c>
    </row>
    <row r="4178" customFormat="false" ht="15" hidden="false" customHeight="false" outlineLevel="0" collapsed="false">
      <c r="A4178" s="7" t="n">
        <v>70064205</v>
      </c>
      <c r="B4178" s="7" t="s">
        <v>68</v>
      </c>
      <c r="C4178" s="7" t="s">
        <v>8608</v>
      </c>
      <c r="D4178" s="7" t="s">
        <v>8609</v>
      </c>
      <c r="E4178" s="7" t="s">
        <v>27</v>
      </c>
      <c r="F4178" s="7" t="s">
        <v>8596</v>
      </c>
      <c r="G4178" s="7" t="n">
        <v>2007</v>
      </c>
      <c r="H4178" s="7" t="s">
        <v>49</v>
      </c>
      <c r="I4178" s="7" t="s">
        <v>2192</v>
      </c>
      <c r="J4178" s="7" t="s">
        <v>188</v>
      </c>
      <c r="K4178" s="7" t="n">
        <f aca="false">IFERROR(VALUE(RIGHT(TRIM(F4178),4)),"")</f>
        <v>2019</v>
      </c>
      <c r="L4178" s="7" t="str">
        <f aca="false">IF(TRIM(E4178)="","Unknown",IFERROR(LEFT(TRIM(E4178),FIND(",",TRIM(E4178))-1),TRIM(E4178)))</f>
        <v>India</v>
      </c>
      <c r="M4178" s="7" t="str">
        <f aca="false">IFERROR(LEFT(J4178,FIND(",",J4178)-1),J4178)</f>
        <v>Dramas</v>
      </c>
      <c r="N4178" s="7" t="n">
        <f aca="false">IF(B4178="Movie",IFERROR(VALUE(LEFT(I4178,FIND(" ",I4178)-1)),""),"")</f>
        <v>134</v>
      </c>
      <c r="O4178" s="7" t="str">
        <f aca="false">IF(B4178="TV Show",IFERROR(VALUE(LEFT(I4178,FIND(" ",I4178)-1)),""),"")</f>
        <v/>
      </c>
      <c r="P4178" s="7" t="n">
        <f aca="false">IF(K4178="","",K4178-G4178)</f>
        <v>12</v>
      </c>
    </row>
    <row r="4179" customFormat="false" ht="15" hidden="false" customHeight="false" outlineLevel="0" collapsed="false">
      <c r="A4179" s="7" t="n">
        <v>81219073</v>
      </c>
      <c r="B4179" s="7" t="s">
        <v>78</v>
      </c>
      <c r="C4179" s="7" t="s">
        <v>8610</v>
      </c>
      <c r="F4179" s="7" t="s">
        <v>8596</v>
      </c>
      <c r="G4179" s="7" t="n">
        <v>2019</v>
      </c>
      <c r="H4179" s="7" t="s">
        <v>50</v>
      </c>
      <c r="I4179" s="7" t="s">
        <v>82</v>
      </c>
      <c r="J4179" s="7" t="s">
        <v>773</v>
      </c>
      <c r="K4179" s="7" t="n">
        <f aca="false">IFERROR(VALUE(RIGHT(TRIM(F4179),4)),"")</f>
        <v>2019</v>
      </c>
      <c r="L4179" s="7" t="str">
        <f aca="false">IF(TRIM(E4179)="","Unknown",IFERROR(LEFT(TRIM(E4179),FIND(",",TRIM(E4179))-1),TRIM(E4179)))</f>
        <v>Unknown</v>
      </c>
      <c r="M4179" s="7" t="str">
        <f aca="false">IFERROR(LEFT(J4179,FIND(",",J4179)-1),J4179)</f>
        <v>Docuseries</v>
      </c>
      <c r="N4179" s="7" t="str">
        <f aca="false">IF(B4179="Movie",IFERROR(VALUE(LEFT(I4179,FIND(" ",I4179)-1)),""),"")</f>
        <v/>
      </c>
      <c r="O4179" s="7" t="n">
        <f aca="false">IF(B4179="TV Show",IFERROR(VALUE(LEFT(I4179,FIND(" ",I4179)-1)),""),"")</f>
        <v>1</v>
      </c>
      <c r="P4179" s="7" t="n">
        <f aca="false">IF(K4179="","",K4179-G4179)</f>
        <v>0</v>
      </c>
    </row>
    <row r="4180" customFormat="false" ht="15" hidden="false" customHeight="false" outlineLevel="0" collapsed="false">
      <c r="A4180" s="7" t="n">
        <v>80083672</v>
      </c>
      <c r="B4180" s="7" t="s">
        <v>68</v>
      </c>
      <c r="C4180" s="7" t="s">
        <v>8611</v>
      </c>
      <c r="D4180" s="7" t="s">
        <v>8612</v>
      </c>
      <c r="E4180" s="7" t="s">
        <v>27</v>
      </c>
      <c r="F4180" s="7" t="s">
        <v>8596</v>
      </c>
      <c r="G4180" s="7" t="n">
        <v>2009</v>
      </c>
      <c r="H4180" s="7" t="s">
        <v>49</v>
      </c>
      <c r="I4180" s="7" t="s">
        <v>111</v>
      </c>
      <c r="J4180" s="7" t="s">
        <v>304</v>
      </c>
      <c r="K4180" s="7" t="n">
        <f aca="false">IFERROR(VALUE(RIGHT(TRIM(F4180),4)),"")</f>
        <v>2019</v>
      </c>
      <c r="L4180" s="7" t="str">
        <f aca="false">IF(TRIM(E4180)="","Unknown",IFERROR(LEFT(TRIM(E4180),FIND(",",TRIM(E4180))-1),TRIM(E4180)))</f>
        <v>India</v>
      </c>
      <c r="M4180" s="7" t="str">
        <f aca="false">IFERROR(LEFT(J4180,FIND(",",J4180)-1),J4180)</f>
        <v>Dramas</v>
      </c>
      <c r="N4180" s="7" t="n">
        <f aca="false">IF(B4180="Movie",IFERROR(VALUE(LEFT(I4180,FIND(" ",I4180)-1)),""),"")</f>
        <v>95</v>
      </c>
      <c r="O4180" s="7" t="str">
        <f aca="false">IF(B4180="TV Show",IFERROR(VALUE(LEFT(I4180,FIND(" ",I4180)-1)),""),"")</f>
        <v/>
      </c>
      <c r="P4180" s="7" t="n">
        <f aca="false">IF(K4180="","",K4180-G4180)</f>
        <v>10</v>
      </c>
    </row>
    <row r="4181" customFormat="false" ht="15" hidden="false" customHeight="false" outlineLevel="0" collapsed="false">
      <c r="A4181" s="7" t="n">
        <v>60003405</v>
      </c>
      <c r="B4181" s="7" t="s">
        <v>68</v>
      </c>
      <c r="C4181" s="7" t="s">
        <v>8613</v>
      </c>
      <c r="D4181" s="7" t="s">
        <v>8614</v>
      </c>
      <c r="E4181" s="7" t="s">
        <v>27</v>
      </c>
      <c r="F4181" s="7" t="s">
        <v>8596</v>
      </c>
      <c r="G4181" s="7" t="n">
        <v>1972</v>
      </c>
      <c r="H4181" s="7" t="s">
        <v>50</v>
      </c>
      <c r="I4181" s="7" t="s">
        <v>194</v>
      </c>
      <c r="J4181" s="7" t="s">
        <v>6465</v>
      </c>
      <c r="K4181" s="7" t="n">
        <f aca="false">IFERROR(VALUE(RIGHT(TRIM(F4181),4)),"")</f>
        <v>2019</v>
      </c>
      <c r="L4181" s="7" t="str">
        <f aca="false">IF(TRIM(E4181)="","Unknown",IFERROR(LEFT(TRIM(E4181),FIND(",",TRIM(E4181))-1),TRIM(E4181)))</f>
        <v>India</v>
      </c>
      <c r="M4181" s="7" t="str">
        <f aca="false">IFERROR(LEFT(J4181,FIND(",",J4181)-1),J4181)</f>
        <v>Classic Movies</v>
      </c>
      <c r="N4181" s="7" t="n">
        <f aca="false">IF(B4181="Movie",IFERROR(VALUE(LEFT(I4181,FIND(" ",I4181)-1)),""),"")</f>
        <v>125</v>
      </c>
      <c r="O4181" s="7" t="str">
        <f aca="false">IF(B4181="TV Show",IFERROR(VALUE(LEFT(I4181,FIND(" ",I4181)-1)),""),"")</f>
        <v/>
      </c>
      <c r="P4181" s="7" t="n">
        <f aca="false">IF(K4181="","",K4181-G4181)</f>
        <v>47</v>
      </c>
    </row>
    <row r="4182" customFormat="false" ht="15" hidden="false" customHeight="false" outlineLevel="0" collapsed="false">
      <c r="A4182" s="7" t="n">
        <v>70053010</v>
      </c>
      <c r="B4182" s="7" t="s">
        <v>68</v>
      </c>
      <c r="C4182" s="7" t="s">
        <v>8615</v>
      </c>
      <c r="D4182" s="7" t="s">
        <v>8616</v>
      </c>
      <c r="E4182" s="7" t="s">
        <v>27</v>
      </c>
      <c r="F4182" s="7" t="s">
        <v>8596</v>
      </c>
      <c r="G4182" s="7" t="n">
        <v>1982</v>
      </c>
      <c r="H4182" s="7" t="s">
        <v>49</v>
      </c>
      <c r="I4182" s="7" t="s">
        <v>505</v>
      </c>
      <c r="J4182" s="7" t="s">
        <v>188</v>
      </c>
      <c r="K4182" s="7" t="n">
        <f aca="false">IFERROR(VALUE(RIGHT(TRIM(F4182),4)),"")</f>
        <v>2019</v>
      </c>
      <c r="L4182" s="7" t="str">
        <f aca="false">IF(TRIM(E4182)="","Unknown",IFERROR(LEFT(TRIM(E4182),FIND(",",TRIM(E4182))-1),TRIM(E4182)))</f>
        <v>India</v>
      </c>
      <c r="M4182" s="7" t="str">
        <f aca="false">IFERROR(LEFT(J4182,FIND(",",J4182)-1),J4182)</f>
        <v>Dramas</v>
      </c>
      <c r="N4182" s="7" t="n">
        <f aca="false">IF(B4182="Movie",IFERROR(VALUE(LEFT(I4182,FIND(" ",I4182)-1)),""),"")</f>
        <v>121</v>
      </c>
      <c r="O4182" s="7" t="str">
        <f aca="false">IF(B4182="TV Show",IFERROR(VALUE(LEFT(I4182,FIND(" ",I4182)-1)),""),"")</f>
        <v/>
      </c>
      <c r="P4182" s="7" t="n">
        <f aca="false">IF(K4182="","",K4182-G4182)</f>
        <v>37</v>
      </c>
    </row>
    <row r="4183" customFormat="false" ht="15" hidden="false" customHeight="false" outlineLevel="0" collapsed="false">
      <c r="A4183" s="7" t="n">
        <v>81038225</v>
      </c>
      <c r="B4183" s="7" t="s">
        <v>68</v>
      </c>
      <c r="C4183" s="7" t="s">
        <v>8617</v>
      </c>
      <c r="D4183" s="7" t="s">
        <v>8618</v>
      </c>
      <c r="F4183" s="7" t="s">
        <v>8596</v>
      </c>
      <c r="G4183" s="7" t="n">
        <v>2019</v>
      </c>
      <c r="H4183" s="7" t="s">
        <v>52</v>
      </c>
      <c r="I4183" s="7" t="s">
        <v>73</v>
      </c>
      <c r="J4183" s="7" t="s">
        <v>2782</v>
      </c>
      <c r="K4183" s="7" t="n">
        <f aca="false">IFERROR(VALUE(RIGHT(TRIM(F4183),4)),"")</f>
        <v>2019</v>
      </c>
      <c r="L4183" s="7" t="str">
        <f aca="false">IF(TRIM(E4183)="","Unknown",IFERROR(LEFT(TRIM(E4183),FIND(",",TRIM(E4183))-1),TRIM(E4183)))</f>
        <v>Unknown</v>
      </c>
      <c r="M4183" s="7" t="str">
        <f aca="false">IFERROR(LEFT(J4183,FIND(",",J4183)-1),J4183)</f>
        <v>Comedies</v>
      </c>
      <c r="N4183" s="7" t="n">
        <f aca="false">IF(B4183="Movie",IFERROR(VALUE(LEFT(I4183,FIND(" ",I4183)-1)),""),"")</f>
        <v>90</v>
      </c>
      <c r="O4183" s="7" t="str">
        <f aca="false">IF(B4183="TV Show",IFERROR(VALUE(LEFT(I4183,FIND(" ",I4183)-1)),""),"")</f>
        <v/>
      </c>
      <c r="P4183" s="7" t="n">
        <f aca="false">IF(K4183="","",K4183-G4183)</f>
        <v>0</v>
      </c>
    </row>
    <row r="4184" customFormat="false" ht="15" hidden="false" customHeight="false" outlineLevel="0" collapsed="false">
      <c r="A4184" s="7" t="n">
        <v>70062701</v>
      </c>
      <c r="B4184" s="7" t="s">
        <v>68</v>
      </c>
      <c r="C4184" s="7" t="s">
        <v>8619</v>
      </c>
      <c r="D4184" s="7" t="s">
        <v>1517</v>
      </c>
      <c r="E4184" s="7" t="s">
        <v>27</v>
      </c>
      <c r="F4184" s="7" t="s">
        <v>8596</v>
      </c>
      <c r="G4184" s="7" t="n">
        <v>2006</v>
      </c>
      <c r="H4184" s="7" t="s">
        <v>49</v>
      </c>
      <c r="I4184" s="7" t="s">
        <v>1041</v>
      </c>
      <c r="J4184" s="7" t="s">
        <v>206</v>
      </c>
      <c r="K4184" s="7" t="n">
        <f aca="false">IFERROR(VALUE(RIGHT(TRIM(F4184),4)),"")</f>
        <v>2019</v>
      </c>
      <c r="L4184" s="7" t="str">
        <f aca="false">IF(TRIM(E4184)="","Unknown",IFERROR(LEFT(TRIM(E4184),FIND(",",TRIM(E4184))-1),TRIM(E4184)))</f>
        <v>India</v>
      </c>
      <c r="M4184" s="7" t="str">
        <f aca="false">IFERROR(LEFT(J4184,FIND(",",J4184)-1),J4184)</f>
        <v>Comedies</v>
      </c>
      <c r="N4184" s="7" t="n">
        <f aca="false">IF(B4184="Movie",IFERROR(VALUE(LEFT(I4184,FIND(" ",I4184)-1)),""),"")</f>
        <v>151</v>
      </c>
      <c r="O4184" s="7" t="str">
        <f aca="false">IF(B4184="TV Show",IFERROR(VALUE(LEFT(I4184,FIND(" ",I4184)-1)),""),"")</f>
        <v/>
      </c>
      <c r="P4184" s="7" t="n">
        <f aca="false">IF(K4184="","",K4184-G4184)</f>
        <v>13</v>
      </c>
    </row>
    <row r="4185" customFormat="false" ht="15" hidden="false" customHeight="false" outlineLevel="0" collapsed="false">
      <c r="A4185" s="7" t="n">
        <v>81213889</v>
      </c>
      <c r="B4185" s="7" t="s">
        <v>68</v>
      </c>
      <c r="C4185" s="7" t="s">
        <v>8620</v>
      </c>
      <c r="D4185" s="7" t="s">
        <v>1834</v>
      </c>
      <c r="E4185" s="7" t="s">
        <v>27</v>
      </c>
      <c r="F4185" s="7" t="s">
        <v>8596</v>
      </c>
      <c r="G4185" s="7" t="n">
        <v>2003</v>
      </c>
      <c r="H4185" s="7" t="s">
        <v>48</v>
      </c>
      <c r="I4185" s="7" t="s">
        <v>187</v>
      </c>
      <c r="J4185" s="7" t="s">
        <v>1014</v>
      </c>
      <c r="K4185" s="7" t="n">
        <f aca="false">IFERROR(VALUE(RIGHT(TRIM(F4185),4)),"")</f>
        <v>2019</v>
      </c>
      <c r="L4185" s="7" t="str">
        <f aca="false">IF(TRIM(E4185)="","Unknown",IFERROR(LEFT(TRIM(E4185),FIND(",",TRIM(E4185))-1),TRIM(E4185)))</f>
        <v>India</v>
      </c>
      <c r="M4185" s="7" t="str">
        <f aca="false">IFERROR(LEFT(J4185,FIND(",",J4185)-1),J4185)</f>
        <v>Horror Movies</v>
      </c>
      <c r="N4185" s="7" t="n">
        <f aca="false">IF(B4185="Movie",IFERROR(VALUE(LEFT(I4185,FIND(" ",I4185)-1)),""),"")</f>
        <v>114</v>
      </c>
      <c r="O4185" s="7" t="str">
        <f aca="false">IF(B4185="TV Show",IFERROR(VALUE(LEFT(I4185,FIND(" ",I4185)-1)),""),"")</f>
        <v/>
      </c>
      <c r="P4185" s="7" t="n">
        <f aca="false">IF(K4185="","",K4185-G4185)</f>
        <v>16</v>
      </c>
    </row>
    <row r="4186" customFormat="false" ht="15" hidden="false" customHeight="false" outlineLevel="0" collapsed="false">
      <c r="A4186" s="7" t="n">
        <v>70005055</v>
      </c>
      <c r="B4186" s="7" t="s">
        <v>68</v>
      </c>
      <c r="C4186" s="7" t="s">
        <v>8621</v>
      </c>
      <c r="D4186" s="7" t="s">
        <v>8622</v>
      </c>
      <c r="E4186" s="7" t="s">
        <v>27</v>
      </c>
      <c r="F4186" s="7" t="s">
        <v>8596</v>
      </c>
      <c r="G4186" s="7" t="n">
        <v>1973</v>
      </c>
      <c r="H4186" s="7" t="s">
        <v>49</v>
      </c>
      <c r="I4186" s="7" t="s">
        <v>1449</v>
      </c>
      <c r="J4186" s="7" t="s">
        <v>2026</v>
      </c>
      <c r="K4186" s="7" t="n">
        <f aca="false">IFERROR(VALUE(RIGHT(TRIM(F4186),4)),"")</f>
        <v>2019</v>
      </c>
      <c r="L4186" s="7" t="str">
        <f aca="false">IF(TRIM(E4186)="","Unknown",IFERROR(LEFT(TRIM(E4186),FIND(",",TRIM(E4186))-1),TRIM(E4186)))</f>
        <v>India</v>
      </c>
      <c r="M4186" s="7" t="str">
        <f aca="false">IFERROR(LEFT(J4186,FIND(",",J4186)-1),J4186)</f>
        <v>Classic Movies</v>
      </c>
      <c r="N4186" s="7" t="n">
        <f aca="false">IF(B4186="Movie",IFERROR(VALUE(LEFT(I4186,FIND(" ",I4186)-1)),""),"")</f>
        <v>168</v>
      </c>
      <c r="O4186" s="7" t="str">
        <f aca="false">IF(B4186="TV Show",IFERROR(VALUE(LEFT(I4186,FIND(" ",I4186)-1)),""),"")</f>
        <v/>
      </c>
      <c r="P4186" s="7" t="n">
        <f aca="false">IF(K4186="","",K4186-G4186)</f>
        <v>46</v>
      </c>
    </row>
    <row r="4187" customFormat="false" ht="15" hidden="false" customHeight="false" outlineLevel="0" collapsed="false">
      <c r="A4187" s="7" t="n">
        <v>60029461</v>
      </c>
      <c r="B4187" s="7" t="s">
        <v>68</v>
      </c>
      <c r="C4187" s="7" t="s">
        <v>5809</v>
      </c>
      <c r="D4187" s="7" t="s">
        <v>8623</v>
      </c>
      <c r="E4187" s="7" t="s">
        <v>230</v>
      </c>
      <c r="F4187" s="7" t="s">
        <v>8596</v>
      </c>
      <c r="G4187" s="7" t="n">
        <v>2002</v>
      </c>
      <c r="H4187" s="7" t="s">
        <v>49</v>
      </c>
      <c r="I4187" s="7" t="s">
        <v>755</v>
      </c>
      <c r="J4187" s="7" t="s">
        <v>265</v>
      </c>
      <c r="K4187" s="7" t="n">
        <f aca="false">IFERROR(VALUE(RIGHT(TRIM(F4187),4)),"")</f>
        <v>2019</v>
      </c>
      <c r="L4187" s="7" t="str">
        <f aca="false">IF(TRIM(E4187)="","Unknown",IFERROR(LEFT(TRIM(E4187),FIND(",",TRIM(E4187))-1),TRIM(E4187)))</f>
        <v>United States</v>
      </c>
      <c r="M4187" s="7" t="str">
        <f aca="false">IFERROR(LEFT(J4187,FIND(",",J4187)-1),J4187)</f>
        <v>Horror Movies</v>
      </c>
      <c r="N4187" s="7" t="n">
        <f aca="false">IF(B4187="Movie",IFERROR(VALUE(LEFT(I4187,FIND(" ",I4187)-1)),""),"")</f>
        <v>132</v>
      </c>
      <c r="O4187" s="7" t="str">
        <f aca="false">IF(B4187="TV Show",IFERROR(VALUE(LEFT(I4187,FIND(" ",I4187)-1)),""),"")</f>
        <v/>
      </c>
      <c r="P4187" s="7" t="n">
        <f aca="false">IF(K4187="","",K4187-G4187)</f>
        <v>17</v>
      </c>
    </row>
    <row r="4188" customFormat="false" ht="15" hidden="false" customHeight="false" outlineLevel="0" collapsed="false">
      <c r="A4188" s="7" t="n">
        <v>81213893</v>
      </c>
      <c r="B4188" s="7" t="s">
        <v>68</v>
      </c>
      <c r="C4188" s="7" t="s">
        <v>8624</v>
      </c>
      <c r="D4188" s="7" t="s">
        <v>3902</v>
      </c>
      <c r="E4188" s="7" t="s">
        <v>27</v>
      </c>
      <c r="F4188" s="7" t="s">
        <v>8596</v>
      </c>
      <c r="G4188" s="7" t="n">
        <v>2000</v>
      </c>
      <c r="H4188" s="7" t="s">
        <v>49</v>
      </c>
      <c r="I4188" s="7" t="s">
        <v>755</v>
      </c>
      <c r="J4188" s="7" t="s">
        <v>206</v>
      </c>
      <c r="K4188" s="7" t="n">
        <f aca="false">IFERROR(VALUE(RIGHT(TRIM(F4188),4)),"")</f>
        <v>2019</v>
      </c>
      <c r="L4188" s="7" t="str">
        <f aca="false">IF(TRIM(E4188)="","Unknown",IFERROR(LEFT(TRIM(E4188),FIND(",",TRIM(E4188))-1),TRIM(E4188)))</f>
        <v>India</v>
      </c>
      <c r="M4188" s="7" t="str">
        <f aca="false">IFERROR(LEFT(J4188,FIND(",",J4188)-1),J4188)</f>
        <v>Comedies</v>
      </c>
      <c r="N4188" s="7" t="n">
        <f aca="false">IF(B4188="Movie",IFERROR(VALUE(LEFT(I4188,FIND(" ",I4188)-1)),""),"")</f>
        <v>132</v>
      </c>
      <c r="O4188" s="7" t="str">
        <f aca="false">IF(B4188="TV Show",IFERROR(VALUE(LEFT(I4188,FIND(" ",I4188)-1)),""),"")</f>
        <v/>
      </c>
      <c r="P4188" s="7" t="n">
        <f aca="false">IF(K4188="","",K4188-G4188)</f>
        <v>19</v>
      </c>
    </row>
    <row r="4189" customFormat="false" ht="15" hidden="false" customHeight="false" outlineLevel="0" collapsed="false">
      <c r="A4189" s="7" t="n">
        <v>372195</v>
      </c>
      <c r="B4189" s="7" t="s">
        <v>68</v>
      </c>
      <c r="C4189" s="7" t="s">
        <v>8625</v>
      </c>
      <c r="D4189" s="7" t="s">
        <v>8626</v>
      </c>
      <c r="E4189" s="7" t="s">
        <v>26</v>
      </c>
      <c r="F4189" s="7" t="s">
        <v>8596</v>
      </c>
      <c r="G4189" s="7" t="n">
        <v>1988</v>
      </c>
      <c r="H4189" s="7" t="s">
        <v>51</v>
      </c>
      <c r="I4189" s="7" t="s">
        <v>494</v>
      </c>
      <c r="J4189" s="7" t="s">
        <v>1994</v>
      </c>
      <c r="K4189" s="7" t="n">
        <f aca="false">IFERROR(VALUE(RIGHT(TRIM(F4189),4)),"")</f>
        <v>2019</v>
      </c>
      <c r="L4189" s="7" t="str">
        <f aca="false">IF(TRIM(E4189)="","Unknown",IFERROR(LEFT(TRIM(E4189),FIND(",",TRIM(E4189))-1),TRIM(E4189)))</f>
        <v>United States</v>
      </c>
      <c r="M4189" s="7" t="str">
        <f aca="false">IFERROR(LEFT(J4189,FIND(",",J4189)-1),J4189)</f>
        <v>Cult Movies</v>
      </c>
      <c r="N4189" s="7" t="n">
        <f aca="false">IF(B4189="Movie",IFERROR(VALUE(LEFT(I4189,FIND(" ",I4189)-1)),""),"")</f>
        <v>87</v>
      </c>
      <c r="O4189" s="7" t="str">
        <f aca="false">IF(B4189="TV Show",IFERROR(VALUE(LEFT(I4189,FIND(" ",I4189)-1)),""),"")</f>
        <v/>
      </c>
      <c r="P4189" s="7" t="n">
        <f aca="false">IF(K4189="","",K4189-G4189)</f>
        <v>31</v>
      </c>
    </row>
    <row r="4190" customFormat="false" ht="15" hidden="false" customHeight="false" outlineLevel="0" collapsed="false">
      <c r="A4190" s="7" t="n">
        <v>20255593</v>
      </c>
      <c r="B4190" s="7" t="s">
        <v>68</v>
      </c>
      <c r="C4190" s="7" t="s">
        <v>8627</v>
      </c>
      <c r="D4190" s="7" t="s">
        <v>8614</v>
      </c>
      <c r="E4190" s="7" t="s">
        <v>27</v>
      </c>
      <c r="F4190" s="7" t="s">
        <v>8596</v>
      </c>
      <c r="G4190" s="7" t="n">
        <v>1975</v>
      </c>
      <c r="H4190" s="7" t="s">
        <v>50</v>
      </c>
      <c r="I4190" s="7" t="s">
        <v>378</v>
      </c>
      <c r="J4190" s="7" t="s">
        <v>8628</v>
      </c>
      <c r="K4190" s="7" t="n">
        <f aca="false">IFERROR(VALUE(RIGHT(TRIM(F4190),4)),"")</f>
        <v>2019</v>
      </c>
      <c r="L4190" s="7" t="str">
        <f aca="false">IF(TRIM(E4190)="","Unknown",IFERROR(LEFT(TRIM(E4190),FIND(",",TRIM(E4190))-1),TRIM(E4190)))</f>
        <v>India</v>
      </c>
      <c r="M4190" s="7" t="str">
        <f aca="false">IFERROR(LEFT(J4190,FIND(",",J4190)-1),J4190)</f>
        <v>Classic Movies</v>
      </c>
      <c r="N4190" s="7" t="n">
        <f aca="false">IF(B4190="Movie",IFERROR(VALUE(LEFT(I4190,FIND(" ",I4190)-1)),""),"")</f>
        <v>127</v>
      </c>
      <c r="O4190" s="7" t="str">
        <f aca="false">IF(B4190="TV Show",IFERROR(VALUE(LEFT(I4190,FIND(" ",I4190)-1)),""),"")</f>
        <v/>
      </c>
      <c r="P4190" s="7" t="n">
        <f aca="false">IF(K4190="","",K4190-G4190)</f>
        <v>44</v>
      </c>
    </row>
    <row r="4191" customFormat="false" ht="15" hidden="false" customHeight="false" outlineLevel="0" collapsed="false">
      <c r="A4191" s="7" t="n">
        <v>70059328</v>
      </c>
      <c r="B4191" s="7" t="s">
        <v>68</v>
      </c>
      <c r="C4191" s="7" t="s">
        <v>8629</v>
      </c>
      <c r="D4191" s="7" t="s">
        <v>8630</v>
      </c>
      <c r="E4191" s="7" t="s">
        <v>27</v>
      </c>
      <c r="F4191" s="7" t="s">
        <v>8596</v>
      </c>
      <c r="G4191" s="7" t="n">
        <v>2006</v>
      </c>
      <c r="H4191" s="7" t="s">
        <v>49</v>
      </c>
      <c r="I4191" s="7" t="s">
        <v>451</v>
      </c>
      <c r="J4191" s="7" t="s">
        <v>513</v>
      </c>
      <c r="K4191" s="7" t="n">
        <f aca="false">IFERROR(VALUE(RIGHT(TRIM(F4191),4)),"")</f>
        <v>2019</v>
      </c>
      <c r="L4191" s="7" t="str">
        <f aca="false">IF(TRIM(E4191)="","Unknown",IFERROR(LEFT(TRIM(E4191),FIND(",",TRIM(E4191))-1),TRIM(E4191)))</f>
        <v>India</v>
      </c>
      <c r="M4191" s="7" t="str">
        <f aca="false">IFERROR(LEFT(J4191,FIND(",",J4191)-1),J4191)</f>
        <v>Independent Movies</v>
      </c>
      <c r="N4191" s="7" t="n">
        <f aca="false">IF(B4191="Movie",IFERROR(VALUE(LEFT(I4191,FIND(" ",I4191)-1)),""),"")</f>
        <v>97</v>
      </c>
      <c r="O4191" s="7" t="str">
        <f aca="false">IF(B4191="TV Show",IFERROR(VALUE(LEFT(I4191,FIND(" ",I4191)-1)),""),"")</f>
        <v/>
      </c>
      <c r="P4191" s="7" t="n">
        <f aca="false">IF(K4191="","",K4191-G4191)</f>
        <v>13</v>
      </c>
    </row>
    <row r="4192" customFormat="false" ht="15" hidden="false" customHeight="false" outlineLevel="0" collapsed="false">
      <c r="A4192" s="7" t="n">
        <v>81213888</v>
      </c>
      <c r="B4192" s="7" t="s">
        <v>68</v>
      </c>
      <c r="C4192" s="7" t="s">
        <v>8631</v>
      </c>
      <c r="D4192" s="7" t="s">
        <v>5095</v>
      </c>
      <c r="E4192" s="7" t="s">
        <v>27</v>
      </c>
      <c r="F4192" s="7" t="s">
        <v>8596</v>
      </c>
      <c r="G4192" s="7" t="n">
        <v>2007</v>
      </c>
      <c r="H4192" s="7" t="s">
        <v>49</v>
      </c>
      <c r="I4192" s="7" t="s">
        <v>261</v>
      </c>
      <c r="J4192" s="7" t="s">
        <v>139</v>
      </c>
      <c r="K4192" s="7" t="n">
        <f aca="false">IFERROR(VALUE(RIGHT(TRIM(F4192),4)),"")</f>
        <v>2019</v>
      </c>
      <c r="L4192" s="7" t="str">
        <f aca="false">IF(TRIM(E4192)="","Unknown",IFERROR(LEFT(TRIM(E4192),FIND(",",TRIM(E4192))-1),TRIM(E4192)))</f>
        <v>India</v>
      </c>
      <c r="M4192" s="7" t="str">
        <f aca="false">IFERROR(LEFT(J4192,FIND(",",J4192)-1),J4192)</f>
        <v>Action &amp; Adventure</v>
      </c>
      <c r="N4192" s="7" t="n">
        <f aca="false">IF(B4192="Movie",IFERROR(VALUE(LEFT(I4192,FIND(" ",I4192)-1)),""),"")</f>
        <v>128</v>
      </c>
      <c r="O4192" s="7" t="str">
        <f aca="false">IF(B4192="TV Show",IFERROR(VALUE(LEFT(I4192,FIND(" ",I4192)-1)),""),"")</f>
        <v/>
      </c>
      <c r="P4192" s="7" t="n">
        <f aca="false">IF(K4192="","",K4192-G4192)</f>
        <v>12</v>
      </c>
    </row>
    <row r="4193" customFormat="false" ht="15" hidden="false" customHeight="false" outlineLevel="0" collapsed="false">
      <c r="A4193" s="7" t="n">
        <v>60024927</v>
      </c>
      <c r="B4193" s="7" t="s">
        <v>68</v>
      </c>
      <c r="C4193" s="7" t="s">
        <v>8632</v>
      </c>
      <c r="D4193" s="7" t="s">
        <v>1982</v>
      </c>
      <c r="E4193" s="7" t="s">
        <v>317</v>
      </c>
      <c r="F4193" s="7" t="s">
        <v>8596</v>
      </c>
      <c r="G4193" s="7" t="n">
        <v>2002</v>
      </c>
      <c r="H4193" s="7" t="s">
        <v>52</v>
      </c>
      <c r="I4193" s="7" t="s">
        <v>201</v>
      </c>
      <c r="J4193" s="7" t="s">
        <v>40</v>
      </c>
      <c r="K4193" s="7" t="n">
        <f aca="false">IFERROR(VALUE(RIGHT(TRIM(F4193),4)),"")</f>
        <v>2019</v>
      </c>
      <c r="L4193" s="7" t="str">
        <f aca="false">IF(TRIM(E4193)="","Unknown",IFERROR(LEFT(TRIM(E4193),FIND(",",TRIM(E4193))-1),TRIM(E4193)))</f>
        <v>United Kingdom</v>
      </c>
      <c r="M4193" s="7" t="str">
        <f aca="false">IFERROR(LEFT(J4193,FIND(",",J4193)-1),J4193)</f>
        <v>Action &amp; Adventure</v>
      </c>
      <c r="N4193" s="7" t="n">
        <f aca="false">IF(B4193="Movie",IFERROR(VALUE(LEFT(I4193,FIND(" ",I4193)-1)),""),"")</f>
        <v>133</v>
      </c>
      <c r="O4193" s="7" t="str">
        <f aca="false">IF(B4193="TV Show",IFERROR(VALUE(LEFT(I4193,FIND(" ",I4193)-1)),""),"")</f>
        <v/>
      </c>
      <c r="P4193" s="7" t="n">
        <f aca="false">IF(K4193="","",K4193-G4193)</f>
        <v>17</v>
      </c>
    </row>
    <row r="4194" customFormat="false" ht="15" hidden="false" customHeight="false" outlineLevel="0" collapsed="false">
      <c r="A4194" s="7" t="n">
        <v>20255837</v>
      </c>
      <c r="B4194" s="7" t="s">
        <v>68</v>
      </c>
      <c r="C4194" s="7" t="s">
        <v>8633</v>
      </c>
      <c r="D4194" s="7" t="s">
        <v>8634</v>
      </c>
      <c r="E4194" s="7" t="s">
        <v>27</v>
      </c>
      <c r="F4194" s="7" t="s">
        <v>8596</v>
      </c>
      <c r="G4194" s="7" t="n">
        <v>1978</v>
      </c>
      <c r="H4194" s="7" t="s">
        <v>49</v>
      </c>
      <c r="I4194" s="7" t="s">
        <v>1822</v>
      </c>
      <c r="J4194" s="7" t="s">
        <v>3240</v>
      </c>
      <c r="K4194" s="7" t="n">
        <f aca="false">IFERROR(VALUE(RIGHT(TRIM(F4194),4)),"")</f>
        <v>2019</v>
      </c>
      <c r="L4194" s="7" t="str">
        <f aca="false">IF(TRIM(E4194)="","Unknown",IFERROR(LEFT(TRIM(E4194),FIND(",",TRIM(E4194))-1),TRIM(E4194)))</f>
        <v>India</v>
      </c>
      <c r="M4194" s="7" t="str">
        <f aca="false">IFERROR(LEFT(J4194,FIND(",",J4194)-1),J4194)</f>
        <v>Action &amp; Adventure</v>
      </c>
      <c r="N4194" s="7" t="n">
        <f aca="false">IF(B4194="Movie",IFERROR(VALUE(LEFT(I4194,FIND(" ",I4194)-1)),""),"")</f>
        <v>158</v>
      </c>
      <c r="O4194" s="7" t="str">
        <f aca="false">IF(B4194="TV Show",IFERROR(VALUE(LEFT(I4194,FIND(" ",I4194)-1)),""),"")</f>
        <v/>
      </c>
      <c r="P4194" s="7" t="n">
        <f aca="false">IF(K4194="","",K4194-G4194)</f>
        <v>41</v>
      </c>
    </row>
    <row r="4195" customFormat="false" ht="15" hidden="false" customHeight="false" outlineLevel="0" collapsed="false">
      <c r="A4195" s="7" t="n">
        <v>70006866</v>
      </c>
      <c r="B4195" s="7" t="s">
        <v>68</v>
      </c>
      <c r="C4195" s="7" t="s">
        <v>8635</v>
      </c>
      <c r="D4195" s="7" t="s">
        <v>8636</v>
      </c>
      <c r="E4195" s="7" t="s">
        <v>27</v>
      </c>
      <c r="F4195" s="7" t="s">
        <v>8596</v>
      </c>
      <c r="G4195" s="7" t="n">
        <v>2002</v>
      </c>
      <c r="H4195" s="7" t="s">
        <v>49</v>
      </c>
      <c r="I4195" s="7" t="s">
        <v>1041</v>
      </c>
      <c r="J4195" s="7" t="s">
        <v>188</v>
      </c>
      <c r="K4195" s="7" t="n">
        <f aca="false">IFERROR(VALUE(RIGHT(TRIM(F4195),4)),"")</f>
        <v>2019</v>
      </c>
      <c r="L4195" s="7" t="str">
        <f aca="false">IF(TRIM(E4195)="","Unknown",IFERROR(LEFT(TRIM(E4195),FIND(",",TRIM(E4195))-1),TRIM(E4195)))</f>
        <v>India</v>
      </c>
      <c r="M4195" s="7" t="str">
        <f aca="false">IFERROR(LEFT(J4195,FIND(",",J4195)-1),J4195)</f>
        <v>Dramas</v>
      </c>
      <c r="N4195" s="7" t="n">
        <f aca="false">IF(B4195="Movie",IFERROR(VALUE(LEFT(I4195,FIND(" ",I4195)-1)),""),"")</f>
        <v>151</v>
      </c>
      <c r="O4195" s="7" t="str">
        <f aca="false">IF(B4195="TV Show",IFERROR(VALUE(LEFT(I4195,FIND(" ",I4195)-1)),""),"")</f>
        <v/>
      </c>
      <c r="P4195" s="7" t="n">
        <f aca="false">IF(K4195="","",K4195-G4195)</f>
        <v>17</v>
      </c>
    </row>
    <row r="4196" customFormat="false" ht="15" hidden="false" customHeight="false" outlineLevel="0" collapsed="false">
      <c r="A4196" s="7" t="n">
        <v>20077944</v>
      </c>
      <c r="B4196" s="7" t="s">
        <v>68</v>
      </c>
      <c r="C4196" s="7" t="s">
        <v>8637</v>
      </c>
      <c r="D4196" s="7" t="s">
        <v>3920</v>
      </c>
      <c r="E4196" s="7" t="s">
        <v>27</v>
      </c>
      <c r="F4196" s="7" t="s">
        <v>8596</v>
      </c>
      <c r="G4196" s="7" t="n">
        <v>1990</v>
      </c>
      <c r="H4196" s="7" t="s">
        <v>49</v>
      </c>
      <c r="I4196" s="7" t="s">
        <v>383</v>
      </c>
      <c r="J4196" s="7" t="s">
        <v>112</v>
      </c>
      <c r="K4196" s="7" t="n">
        <f aca="false">IFERROR(VALUE(RIGHT(TRIM(F4196),4)),"")</f>
        <v>2019</v>
      </c>
      <c r="L4196" s="7" t="str">
        <f aca="false">IF(TRIM(E4196)="","Unknown",IFERROR(LEFT(TRIM(E4196),FIND(",",TRIM(E4196))-1),TRIM(E4196)))</f>
        <v>India</v>
      </c>
      <c r="M4196" s="7" t="str">
        <f aca="false">IFERROR(LEFT(J4196,FIND(",",J4196)-1),J4196)</f>
        <v>Action &amp; Adventure</v>
      </c>
      <c r="N4196" s="7" t="n">
        <f aca="false">IF(B4196="Movie",IFERROR(VALUE(LEFT(I4196,FIND(" ",I4196)-1)),""),"")</f>
        <v>163</v>
      </c>
      <c r="O4196" s="7" t="str">
        <f aca="false">IF(B4196="TV Show",IFERROR(VALUE(LEFT(I4196,FIND(" ",I4196)-1)),""),"")</f>
        <v/>
      </c>
      <c r="P4196" s="7" t="n">
        <f aca="false">IF(K4196="","",K4196-G4196)</f>
        <v>29</v>
      </c>
    </row>
    <row r="4197" customFormat="false" ht="15" hidden="false" customHeight="false" outlineLevel="0" collapsed="false">
      <c r="A4197" s="7" t="n">
        <v>20705133</v>
      </c>
      <c r="B4197" s="7" t="s">
        <v>68</v>
      </c>
      <c r="C4197" s="7" t="s">
        <v>8638</v>
      </c>
      <c r="D4197" s="7" t="s">
        <v>8639</v>
      </c>
      <c r="E4197" s="7" t="s">
        <v>27</v>
      </c>
      <c r="F4197" s="7" t="s">
        <v>8596</v>
      </c>
      <c r="G4197" s="7" t="n">
        <v>1997</v>
      </c>
      <c r="H4197" s="7" t="s">
        <v>48</v>
      </c>
      <c r="I4197" s="7" t="s">
        <v>1557</v>
      </c>
      <c r="J4197" s="7" t="s">
        <v>112</v>
      </c>
      <c r="K4197" s="7" t="n">
        <f aca="false">IFERROR(VALUE(RIGHT(TRIM(F4197),4)),"")</f>
        <v>2019</v>
      </c>
      <c r="L4197" s="7" t="str">
        <f aca="false">IF(TRIM(E4197)="","Unknown",IFERROR(LEFT(TRIM(E4197),FIND(",",TRIM(E4197))-1),TRIM(E4197)))</f>
        <v>India</v>
      </c>
      <c r="M4197" s="7" t="str">
        <f aca="false">IFERROR(LEFT(J4197,FIND(",",J4197)-1),J4197)</f>
        <v>Action &amp; Adventure</v>
      </c>
      <c r="N4197" s="7" t="n">
        <f aca="false">IF(B4197="Movie",IFERROR(VALUE(LEFT(I4197,FIND(" ",I4197)-1)),""),"")</f>
        <v>161</v>
      </c>
      <c r="O4197" s="7" t="str">
        <f aca="false">IF(B4197="TV Show",IFERROR(VALUE(LEFT(I4197,FIND(" ",I4197)-1)),""),"")</f>
        <v/>
      </c>
      <c r="P4197" s="7" t="n">
        <f aca="false">IF(K4197="","",K4197-G4197)</f>
        <v>22</v>
      </c>
    </row>
    <row r="4198" customFormat="false" ht="15" hidden="false" customHeight="false" outlineLevel="0" collapsed="false">
      <c r="A4198" s="7" t="n">
        <v>21028086</v>
      </c>
      <c r="B4198" s="7" t="s">
        <v>68</v>
      </c>
      <c r="C4198" s="7" t="s">
        <v>8640</v>
      </c>
      <c r="D4198" s="7" t="s">
        <v>8614</v>
      </c>
      <c r="E4198" s="7" t="s">
        <v>27</v>
      </c>
      <c r="F4198" s="7" t="s">
        <v>8596</v>
      </c>
      <c r="G4198" s="7" t="n">
        <v>1979</v>
      </c>
      <c r="H4198" s="7" t="s">
        <v>50</v>
      </c>
      <c r="I4198" s="7" t="s">
        <v>749</v>
      </c>
      <c r="J4198" s="7" t="s">
        <v>8628</v>
      </c>
      <c r="K4198" s="7" t="n">
        <f aca="false">IFERROR(VALUE(RIGHT(TRIM(F4198),4)),"")</f>
        <v>2019</v>
      </c>
      <c r="L4198" s="7" t="str">
        <f aca="false">IF(TRIM(E4198)="","Unknown",IFERROR(LEFT(TRIM(E4198),FIND(",",TRIM(E4198))-1),TRIM(E4198)))</f>
        <v>India</v>
      </c>
      <c r="M4198" s="7" t="str">
        <f aca="false">IFERROR(LEFT(J4198,FIND(",",J4198)-1),J4198)</f>
        <v>Classic Movies</v>
      </c>
      <c r="N4198" s="7" t="n">
        <f aca="false">IF(B4198="Movie",IFERROR(VALUE(LEFT(I4198,FIND(" ",I4198)-1)),""),"")</f>
        <v>137</v>
      </c>
      <c r="O4198" s="7" t="str">
        <f aca="false">IF(B4198="TV Show",IFERROR(VALUE(LEFT(I4198,FIND(" ",I4198)-1)),""),"")</f>
        <v/>
      </c>
      <c r="P4198" s="7" t="n">
        <f aca="false">IF(K4198="","",K4198-G4198)</f>
        <v>40</v>
      </c>
    </row>
    <row r="4199" customFormat="false" ht="15" hidden="false" customHeight="false" outlineLevel="0" collapsed="false">
      <c r="A4199" s="7" t="n">
        <v>22040803</v>
      </c>
      <c r="B4199" s="7" t="s">
        <v>68</v>
      </c>
      <c r="C4199" s="7" t="s">
        <v>8641</v>
      </c>
      <c r="D4199" s="7" t="s">
        <v>7506</v>
      </c>
      <c r="E4199" s="7" t="s">
        <v>317</v>
      </c>
      <c r="F4199" s="7" t="s">
        <v>8596</v>
      </c>
      <c r="G4199" s="7" t="n">
        <v>1995</v>
      </c>
      <c r="H4199" s="7" t="s">
        <v>52</v>
      </c>
      <c r="I4199" s="7" t="s">
        <v>247</v>
      </c>
      <c r="J4199" s="7" t="s">
        <v>40</v>
      </c>
      <c r="K4199" s="7" t="n">
        <f aca="false">IFERROR(VALUE(RIGHT(TRIM(F4199),4)),"")</f>
        <v>2019</v>
      </c>
      <c r="L4199" s="7" t="str">
        <f aca="false">IF(TRIM(E4199)="","Unknown",IFERROR(LEFT(TRIM(E4199),FIND(",",TRIM(E4199))-1),TRIM(E4199)))</f>
        <v>United Kingdom</v>
      </c>
      <c r="M4199" s="7" t="str">
        <f aca="false">IFERROR(LEFT(J4199,FIND(",",J4199)-1),J4199)</f>
        <v>Action &amp; Adventure</v>
      </c>
      <c r="N4199" s="7" t="n">
        <f aca="false">IF(B4199="Movie",IFERROR(VALUE(LEFT(I4199,FIND(" ",I4199)-1)),""),"")</f>
        <v>130</v>
      </c>
      <c r="O4199" s="7" t="str">
        <f aca="false">IF(B4199="TV Show",IFERROR(VALUE(LEFT(I4199,FIND(" ",I4199)-1)),""),"")</f>
        <v/>
      </c>
      <c r="P4199" s="7" t="n">
        <f aca="false">IF(K4199="","",K4199-G4199)</f>
        <v>24</v>
      </c>
    </row>
    <row r="4200" customFormat="false" ht="15" hidden="false" customHeight="false" outlineLevel="0" collapsed="false">
      <c r="A4200" s="7" t="n">
        <v>70054380</v>
      </c>
      <c r="B4200" s="7" t="s">
        <v>68</v>
      </c>
      <c r="C4200" s="7" t="s">
        <v>8642</v>
      </c>
      <c r="D4200" s="7" t="s">
        <v>8403</v>
      </c>
      <c r="E4200" s="7" t="s">
        <v>27</v>
      </c>
      <c r="F4200" s="7" t="s">
        <v>8596</v>
      </c>
      <c r="G4200" s="7" t="n">
        <v>2006</v>
      </c>
      <c r="H4200" s="7" t="s">
        <v>49</v>
      </c>
      <c r="I4200" s="7" t="s">
        <v>1026</v>
      </c>
      <c r="J4200" s="7" t="s">
        <v>202</v>
      </c>
      <c r="K4200" s="7" t="n">
        <f aca="false">IFERROR(VALUE(RIGHT(TRIM(F4200),4)),"")</f>
        <v>2019</v>
      </c>
      <c r="L4200" s="7" t="str">
        <f aca="false">IF(TRIM(E4200)="","Unknown",IFERROR(LEFT(TRIM(E4200),FIND(",",TRIM(E4200))-1),TRIM(E4200)))</f>
        <v>India</v>
      </c>
      <c r="M4200" s="7" t="str">
        <f aca="false">IFERROR(LEFT(J4200,FIND(",",J4200)-1),J4200)</f>
        <v>Comedies</v>
      </c>
      <c r="N4200" s="7" t="n">
        <f aca="false">IF(B4200="Movie",IFERROR(VALUE(LEFT(I4200,FIND(" ",I4200)-1)),""),"")</f>
        <v>148</v>
      </c>
      <c r="O4200" s="7" t="str">
        <f aca="false">IF(B4200="TV Show",IFERROR(VALUE(LEFT(I4200,FIND(" ",I4200)-1)),""),"")</f>
        <v/>
      </c>
      <c r="P4200" s="7" t="n">
        <f aca="false">IF(K4200="","",K4200-G4200)</f>
        <v>13</v>
      </c>
    </row>
    <row r="4201" customFormat="false" ht="15" hidden="false" customHeight="false" outlineLevel="0" collapsed="false">
      <c r="A4201" s="7" t="n">
        <v>60020236</v>
      </c>
      <c r="B4201" s="7" t="s">
        <v>68</v>
      </c>
      <c r="C4201" s="7" t="s">
        <v>8643</v>
      </c>
      <c r="D4201" s="7" t="s">
        <v>8644</v>
      </c>
      <c r="E4201" s="7" t="s">
        <v>26</v>
      </c>
      <c r="F4201" s="7" t="s">
        <v>8596</v>
      </c>
      <c r="G4201" s="7" t="n">
        <v>2001</v>
      </c>
      <c r="H4201" s="7" t="s">
        <v>52</v>
      </c>
      <c r="I4201" s="7" t="s">
        <v>549</v>
      </c>
      <c r="J4201" s="7" t="s">
        <v>177</v>
      </c>
      <c r="K4201" s="7" t="n">
        <f aca="false">IFERROR(VALUE(RIGHT(TRIM(F4201),4)),"")</f>
        <v>2019</v>
      </c>
      <c r="L4201" s="7" t="str">
        <f aca="false">IF(TRIM(E4201)="","Unknown",IFERROR(LEFT(TRIM(E4201),FIND(",",TRIM(E4201))-1),TRIM(E4201)))</f>
        <v>United States</v>
      </c>
      <c r="M4201" s="7" t="str">
        <f aca="false">IFERROR(LEFT(J4201,FIND(",",J4201)-1),J4201)</f>
        <v>Comedies</v>
      </c>
      <c r="N4201" s="7" t="n">
        <f aca="false">IF(B4201="Movie",IFERROR(VALUE(LEFT(I4201,FIND(" ",I4201)-1)),""),"")</f>
        <v>124</v>
      </c>
      <c r="O4201" s="7" t="str">
        <f aca="false">IF(B4201="TV Show",IFERROR(VALUE(LEFT(I4201,FIND(" ",I4201)-1)),""),"")</f>
        <v/>
      </c>
      <c r="P4201" s="7" t="n">
        <f aca="false">IF(K4201="","",K4201-G4201)</f>
        <v>18</v>
      </c>
    </row>
    <row r="4202" customFormat="false" ht="15" hidden="false" customHeight="false" outlineLevel="0" collapsed="false">
      <c r="A4202" s="7" t="n">
        <v>20765027</v>
      </c>
      <c r="B4202" s="7" t="s">
        <v>68</v>
      </c>
      <c r="C4202" s="7" t="s">
        <v>8645</v>
      </c>
      <c r="D4202" s="7" t="s">
        <v>8646</v>
      </c>
      <c r="E4202" s="7" t="s">
        <v>27</v>
      </c>
      <c r="F4202" s="7" t="s">
        <v>8596</v>
      </c>
      <c r="G4202" s="7" t="n">
        <v>1976</v>
      </c>
      <c r="H4202" s="7" t="s">
        <v>49</v>
      </c>
      <c r="I4202" s="7" t="s">
        <v>2231</v>
      </c>
      <c r="J4202" s="7" t="s">
        <v>4035</v>
      </c>
      <c r="K4202" s="7" t="n">
        <f aca="false">IFERROR(VALUE(RIGHT(TRIM(F4202),4)),"")</f>
        <v>2019</v>
      </c>
      <c r="L4202" s="7" t="str">
        <f aca="false">IF(TRIM(E4202)="","Unknown",IFERROR(LEFT(TRIM(E4202),FIND(",",TRIM(E4202))-1),TRIM(E4202)))</f>
        <v>India</v>
      </c>
      <c r="M4202" s="7" t="str">
        <f aca="false">IFERROR(LEFT(J4202,FIND(",",J4202)-1),J4202)</f>
        <v>Action &amp; Adventure</v>
      </c>
      <c r="N4202" s="7" t="n">
        <f aca="false">IF(B4202="Movie",IFERROR(VALUE(LEFT(I4202,FIND(" ",I4202)-1)),""),"")</f>
        <v>156</v>
      </c>
      <c r="O4202" s="7" t="str">
        <f aca="false">IF(B4202="TV Show",IFERROR(VALUE(LEFT(I4202,FIND(" ",I4202)-1)),""),"")</f>
        <v/>
      </c>
      <c r="P4202" s="7" t="n">
        <f aca="false">IF(K4202="","",K4202-G4202)</f>
        <v>43</v>
      </c>
    </row>
    <row r="4203" customFormat="false" ht="15" hidden="false" customHeight="false" outlineLevel="0" collapsed="false">
      <c r="A4203" s="7" t="n">
        <v>81109078</v>
      </c>
      <c r="B4203" s="7" t="s">
        <v>68</v>
      </c>
      <c r="C4203" s="7" t="s">
        <v>8647</v>
      </c>
      <c r="D4203" s="7" t="s">
        <v>8648</v>
      </c>
      <c r="E4203" s="7" t="s">
        <v>26</v>
      </c>
      <c r="F4203" s="7" t="s">
        <v>8596</v>
      </c>
      <c r="G4203" s="7" t="n">
        <v>2019</v>
      </c>
      <c r="H4203" s="7" t="s">
        <v>48</v>
      </c>
      <c r="I4203" s="7" t="s">
        <v>357</v>
      </c>
      <c r="J4203" s="7" t="s">
        <v>38</v>
      </c>
      <c r="K4203" s="7" t="n">
        <f aca="false">IFERROR(VALUE(RIGHT(TRIM(F4203),4)),"")</f>
        <v>2019</v>
      </c>
      <c r="L4203" s="7" t="str">
        <f aca="false">IF(TRIM(E4203)="","Unknown",IFERROR(LEFT(TRIM(E4203),FIND(",",TRIM(E4203))-1),TRIM(E4203)))</f>
        <v>United States</v>
      </c>
      <c r="M4203" s="7" t="str">
        <f aca="false">IFERROR(LEFT(J4203,FIND(",",J4203)-1),J4203)</f>
        <v>Comedies</v>
      </c>
      <c r="N4203" s="7" t="n">
        <f aca="false">IF(B4203="Movie",IFERROR(VALUE(LEFT(I4203,FIND(" ",I4203)-1)),""),"")</f>
        <v>89</v>
      </c>
      <c r="O4203" s="7" t="str">
        <f aca="false">IF(B4203="TV Show",IFERROR(VALUE(LEFT(I4203,FIND(" ",I4203)-1)),""),"")</f>
        <v/>
      </c>
      <c r="P4203" s="7" t="n">
        <f aca="false">IF(K4203="","",K4203-G4203)</f>
        <v>0</v>
      </c>
    </row>
    <row r="4204" customFormat="false" ht="15" hidden="false" customHeight="false" outlineLevel="0" collapsed="false">
      <c r="A4204" s="7" t="n">
        <v>81213885</v>
      </c>
      <c r="B4204" s="7" t="s">
        <v>68</v>
      </c>
      <c r="C4204" s="7" t="s">
        <v>8649</v>
      </c>
      <c r="D4204" s="7" t="s">
        <v>8650</v>
      </c>
      <c r="E4204" s="7" t="s">
        <v>27</v>
      </c>
      <c r="F4204" s="7" t="s">
        <v>8596</v>
      </c>
      <c r="G4204" s="7" t="n">
        <v>2006</v>
      </c>
      <c r="H4204" s="7" t="s">
        <v>49</v>
      </c>
      <c r="I4204" s="7" t="s">
        <v>383</v>
      </c>
      <c r="J4204" s="7" t="s">
        <v>240</v>
      </c>
      <c r="K4204" s="7" t="n">
        <f aca="false">IFERROR(VALUE(RIGHT(TRIM(F4204),4)),"")</f>
        <v>2019</v>
      </c>
      <c r="L4204" s="7" t="str">
        <f aca="false">IF(TRIM(E4204)="","Unknown",IFERROR(LEFT(TRIM(E4204),FIND(",",TRIM(E4204))-1),TRIM(E4204)))</f>
        <v>India</v>
      </c>
      <c r="M4204" s="7" t="str">
        <f aca="false">IFERROR(LEFT(J4204,FIND(",",J4204)-1),J4204)</f>
        <v>Dramas</v>
      </c>
      <c r="N4204" s="7" t="n">
        <f aca="false">IF(B4204="Movie",IFERROR(VALUE(LEFT(I4204,FIND(" ",I4204)-1)),""),"")</f>
        <v>163</v>
      </c>
      <c r="O4204" s="7" t="str">
        <f aca="false">IF(B4204="TV Show",IFERROR(VALUE(LEFT(I4204,FIND(" ",I4204)-1)),""),"")</f>
        <v/>
      </c>
      <c r="P4204" s="7" t="n">
        <f aca="false">IF(K4204="","",K4204-G4204)</f>
        <v>13</v>
      </c>
    </row>
    <row r="4205" customFormat="false" ht="15" hidden="false" customHeight="false" outlineLevel="0" collapsed="false">
      <c r="A4205" s="7" t="n">
        <v>70129075</v>
      </c>
      <c r="B4205" s="7" t="s">
        <v>68</v>
      </c>
      <c r="C4205" s="7" t="s">
        <v>8651</v>
      </c>
      <c r="D4205" s="7" t="s">
        <v>1792</v>
      </c>
      <c r="E4205" s="7" t="s">
        <v>27</v>
      </c>
      <c r="F4205" s="7" t="s">
        <v>8596</v>
      </c>
      <c r="G4205" s="7" t="n">
        <v>2009</v>
      </c>
      <c r="H4205" s="7" t="s">
        <v>49</v>
      </c>
      <c r="I4205" s="7" t="s">
        <v>755</v>
      </c>
      <c r="J4205" s="7" t="s">
        <v>304</v>
      </c>
      <c r="K4205" s="7" t="n">
        <f aca="false">IFERROR(VALUE(RIGHT(TRIM(F4205),4)),"")</f>
        <v>2019</v>
      </c>
      <c r="L4205" s="7" t="str">
        <f aca="false">IF(TRIM(E4205)="","Unknown",IFERROR(LEFT(TRIM(E4205),FIND(",",TRIM(E4205))-1),TRIM(E4205)))</f>
        <v>India</v>
      </c>
      <c r="M4205" s="7" t="str">
        <f aca="false">IFERROR(LEFT(J4205,FIND(",",J4205)-1),J4205)</f>
        <v>Dramas</v>
      </c>
      <c r="N4205" s="7" t="n">
        <f aca="false">IF(B4205="Movie",IFERROR(VALUE(LEFT(I4205,FIND(" ",I4205)-1)),""),"")</f>
        <v>132</v>
      </c>
      <c r="O4205" s="7" t="str">
        <f aca="false">IF(B4205="TV Show",IFERROR(VALUE(LEFT(I4205,FIND(" ",I4205)-1)),""),"")</f>
        <v/>
      </c>
      <c r="P4205" s="7" t="n">
        <f aca="false">IF(K4205="","",K4205-G4205)</f>
        <v>10</v>
      </c>
    </row>
    <row r="4206" customFormat="false" ht="15" hidden="false" customHeight="false" outlineLevel="0" collapsed="false">
      <c r="A4206" s="7" t="n">
        <v>60001407</v>
      </c>
      <c r="B4206" s="7" t="s">
        <v>68</v>
      </c>
      <c r="C4206" s="7" t="s">
        <v>8652</v>
      </c>
      <c r="D4206" s="7" t="s">
        <v>8653</v>
      </c>
      <c r="F4206" s="7" t="s">
        <v>8596</v>
      </c>
      <c r="G4206" s="7" t="n">
        <v>1960</v>
      </c>
      <c r="H4206" s="7" t="s">
        <v>49</v>
      </c>
      <c r="I4206" s="7" t="s">
        <v>8654</v>
      </c>
      <c r="J4206" s="7" t="s">
        <v>112</v>
      </c>
      <c r="K4206" s="7" t="n">
        <f aca="false">IFERROR(VALUE(RIGHT(TRIM(F4206),4)),"")</f>
        <v>2019</v>
      </c>
      <c r="L4206" s="7" t="str">
        <f aca="false">IF(TRIM(E4206)="","Unknown",IFERROR(LEFT(TRIM(E4206),FIND(",",TRIM(E4206))-1),TRIM(E4206)))</f>
        <v>Unknown</v>
      </c>
      <c r="M4206" s="7" t="str">
        <f aca="false">IFERROR(LEFT(J4206,FIND(",",J4206)-1),J4206)</f>
        <v>Action &amp; Adventure</v>
      </c>
      <c r="N4206" s="7" t="n">
        <f aca="false">IF(B4206="Movie",IFERROR(VALUE(LEFT(I4206,FIND(" ",I4206)-1)),""),"")</f>
        <v>181</v>
      </c>
      <c r="O4206" s="7" t="str">
        <f aca="false">IF(B4206="TV Show",IFERROR(VALUE(LEFT(I4206,FIND(" ",I4206)-1)),""),"")</f>
        <v/>
      </c>
      <c r="P4206" s="7" t="n">
        <f aca="false">IF(K4206="","",K4206-G4206)</f>
        <v>59</v>
      </c>
    </row>
    <row r="4207" customFormat="false" ht="15" hidden="false" customHeight="false" outlineLevel="0" collapsed="false">
      <c r="A4207" s="7" t="n">
        <v>70295531</v>
      </c>
      <c r="B4207" s="7" t="s">
        <v>68</v>
      </c>
      <c r="C4207" s="7" t="s">
        <v>8655</v>
      </c>
      <c r="D4207" s="7" t="s">
        <v>8656</v>
      </c>
      <c r="E4207" s="7" t="s">
        <v>27</v>
      </c>
      <c r="F4207" s="7" t="s">
        <v>8596</v>
      </c>
      <c r="G4207" s="7" t="n">
        <v>2013</v>
      </c>
      <c r="H4207" s="7" t="s">
        <v>48</v>
      </c>
      <c r="I4207" s="7" t="s">
        <v>194</v>
      </c>
      <c r="J4207" s="7" t="s">
        <v>358</v>
      </c>
      <c r="K4207" s="7" t="n">
        <f aca="false">IFERROR(VALUE(RIGHT(TRIM(F4207),4)),"")</f>
        <v>2019</v>
      </c>
      <c r="L4207" s="7" t="str">
        <f aca="false">IF(TRIM(E4207)="","Unknown",IFERROR(LEFT(TRIM(E4207),FIND(",",TRIM(E4207))-1),TRIM(E4207)))</f>
        <v>India</v>
      </c>
      <c r="M4207" s="7" t="str">
        <f aca="false">IFERROR(LEFT(J4207,FIND(",",J4207)-1),J4207)</f>
        <v>International Movies</v>
      </c>
      <c r="N4207" s="7" t="n">
        <f aca="false">IF(B4207="Movie",IFERROR(VALUE(LEFT(I4207,FIND(" ",I4207)-1)),""),"")</f>
        <v>125</v>
      </c>
      <c r="O4207" s="7" t="str">
        <f aca="false">IF(B4207="TV Show",IFERROR(VALUE(LEFT(I4207,FIND(" ",I4207)-1)),""),"")</f>
        <v/>
      </c>
      <c r="P4207" s="7" t="n">
        <f aca="false">IF(K4207="","",K4207-G4207)</f>
        <v>6</v>
      </c>
    </row>
    <row r="4208" customFormat="false" ht="15" hidden="false" customHeight="false" outlineLevel="0" collapsed="false">
      <c r="A4208" s="7" t="n">
        <v>17457622</v>
      </c>
      <c r="B4208" s="7" t="s">
        <v>68</v>
      </c>
      <c r="C4208" s="7" t="s">
        <v>8657</v>
      </c>
      <c r="D4208" s="7" t="s">
        <v>3902</v>
      </c>
      <c r="E4208" s="7" t="s">
        <v>27</v>
      </c>
      <c r="F4208" s="7" t="s">
        <v>8596</v>
      </c>
      <c r="G4208" s="7" t="n">
        <v>1997</v>
      </c>
      <c r="H4208" s="7" t="s">
        <v>49</v>
      </c>
      <c r="I4208" s="7" t="s">
        <v>201</v>
      </c>
      <c r="J4208" s="7" t="s">
        <v>206</v>
      </c>
      <c r="K4208" s="7" t="n">
        <f aca="false">IFERROR(VALUE(RIGHT(TRIM(F4208),4)),"")</f>
        <v>2019</v>
      </c>
      <c r="L4208" s="7" t="str">
        <f aca="false">IF(TRIM(E4208)="","Unknown",IFERROR(LEFT(TRIM(E4208),FIND(",",TRIM(E4208))-1),TRIM(E4208)))</f>
        <v>India</v>
      </c>
      <c r="M4208" s="7" t="str">
        <f aca="false">IFERROR(LEFT(J4208,FIND(",",J4208)-1),J4208)</f>
        <v>Comedies</v>
      </c>
      <c r="N4208" s="7" t="n">
        <f aca="false">IF(B4208="Movie",IFERROR(VALUE(LEFT(I4208,FIND(" ",I4208)-1)),""),"")</f>
        <v>133</v>
      </c>
      <c r="O4208" s="7" t="str">
        <f aca="false">IF(B4208="TV Show",IFERROR(VALUE(LEFT(I4208,FIND(" ",I4208)-1)),""),"")</f>
        <v/>
      </c>
      <c r="P4208" s="7" t="n">
        <f aca="false">IF(K4208="","",K4208-G4208)</f>
        <v>22</v>
      </c>
    </row>
    <row r="4209" customFormat="false" ht="15" hidden="false" customHeight="false" outlineLevel="0" collapsed="false">
      <c r="A4209" s="7" t="n">
        <v>20712279</v>
      </c>
      <c r="B4209" s="7" t="s">
        <v>68</v>
      </c>
      <c r="C4209" s="7" t="s">
        <v>8658</v>
      </c>
      <c r="D4209" s="7" t="s">
        <v>8659</v>
      </c>
      <c r="E4209" s="7" t="s">
        <v>27</v>
      </c>
      <c r="F4209" s="7" t="s">
        <v>8596</v>
      </c>
      <c r="G4209" s="7" t="n">
        <v>1981</v>
      </c>
      <c r="H4209" s="7" t="s">
        <v>49</v>
      </c>
      <c r="I4209" s="7" t="s">
        <v>5186</v>
      </c>
      <c r="J4209" s="7" t="s">
        <v>112</v>
      </c>
      <c r="K4209" s="7" t="n">
        <f aca="false">IFERROR(VALUE(RIGHT(TRIM(F4209),4)),"")</f>
        <v>2019</v>
      </c>
      <c r="L4209" s="7" t="str">
        <f aca="false">IF(TRIM(E4209)="","Unknown",IFERROR(LEFT(TRIM(E4209),FIND(",",TRIM(E4209))-1),TRIM(E4209)))</f>
        <v>India</v>
      </c>
      <c r="M4209" s="7" t="str">
        <f aca="false">IFERROR(LEFT(J4209,FIND(",",J4209)-1),J4209)</f>
        <v>Action &amp; Adventure</v>
      </c>
      <c r="N4209" s="7" t="n">
        <f aca="false">IF(B4209="Movie",IFERROR(VALUE(LEFT(I4209,FIND(" ",I4209)-1)),""),"")</f>
        <v>173</v>
      </c>
      <c r="O4209" s="7" t="str">
        <f aca="false">IF(B4209="TV Show",IFERROR(VALUE(LEFT(I4209,FIND(" ",I4209)-1)),""),"")</f>
        <v/>
      </c>
      <c r="P4209" s="7" t="n">
        <f aca="false">IF(K4209="","",K4209-G4209)</f>
        <v>38</v>
      </c>
    </row>
    <row r="4210" customFormat="false" ht="15" hidden="false" customHeight="false" outlineLevel="0" collapsed="false">
      <c r="A4210" s="7" t="n">
        <v>70051840</v>
      </c>
      <c r="B4210" s="7" t="s">
        <v>68</v>
      </c>
      <c r="C4210" s="7" t="s">
        <v>8660</v>
      </c>
      <c r="D4210" s="7" t="s">
        <v>8661</v>
      </c>
      <c r="E4210" s="7" t="s">
        <v>27</v>
      </c>
      <c r="F4210" s="7" t="s">
        <v>8596</v>
      </c>
      <c r="G4210" s="7" t="n">
        <v>1982</v>
      </c>
      <c r="H4210" s="7" t="s">
        <v>50</v>
      </c>
      <c r="I4210" s="7" t="s">
        <v>879</v>
      </c>
      <c r="J4210" s="7" t="s">
        <v>198</v>
      </c>
      <c r="K4210" s="7" t="n">
        <f aca="false">IFERROR(VALUE(RIGHT(TRIM(F4210),4)),"")</f>
        <v>2019</v>
      </c>
      <c r="L4210" s="7" t="str">
        <f aca="false">IF(TRIM(E4210)="","Unknown",IFERROR(LEFT(TRIM(E4210),FIND(",",TRIM(E4210))-1),TRIM(E4210)))</f>
        <v>India</v>
      </c>
      <c r="M4210" s="7" t="str">
        <f aca="false">IFERROR(LEFT(J4210,FIND(",",J4210)-1),J4210)</f>
        <v>Comedies</v>
      </c>
      <c r="N4210" s="7" t="n">
        <f aca="false">IF(B4210="Movie",IFERROR(VALUE(LEFT(I4210,FIND(" ",I4210)-1)),""),"")</f>
        <v>140</v>
      </c>
      <c r="O4210" s="7" t="str">
        <f aca="false">IF(B4210="TV Show",IFERROR(VALUE(LEFT(I4210,FIND(" ",I4210)-1)),""),"")</f>
        <v/>
      </c>
      <c r="P4210" s="7" t="n">
        <f aca="false">IF(K4210="","",K4210-G4210)</f>
        <v>37</v>
      </c>
    </row>
    <row r="4211" customFormat="false" ht="15" hidden="false" customHeight="false" outlineLevel="0" collapsed="false">
      <c r="A4211" s="7" t="n">
        <v>81213895</v>
      </c>
      <c r="B4211" s="7" t="s">
        <v>68</v>
      </c>
      <c r="C4211" s="7" t="s">
        <v>8662</v>
      </c>
      <c r="D4211" s="7" t="s">
        <v>8614</v>
      </c>
      <c r="E4211" s="7" t="s">
        <v>27</v>
      </c>
      <c r="F4211" s="7" t="s">
        <v>8596</v>
      </c>
      <c r="G4211" s="7" t="n">
        <v>1980</v>
      </c>
      <c r="H4211" s="7" t="s">
        <v>50</v>
      </c>
      <c r="I4211" s="7" t="s">
        <v>2551</v>
      </c>
      <c r="J4211" s="7" t="s">
        <v>6465</v>
      </c>
      <c r="K4211" s="7" t="n">
        <f aca="false">IFERROR(VALUE(RIGHT(TRIM(F4211),4)),"")</f>
        <v>2019</v>
      </c>
      <c r="L4211" s="7" t="str">
        <f aca="false">IF(TRIM(E4211)="","Unknown",IFERROR(LEFT(TRIM(E4211),FIND(",",TRIM(E4211))-1),TRIM(E4211)))</f>
        <v>India</v>
      </c>
      <c r="M4211" s="7" t="str">
        <f aca="false">IFERROR(LEFT(J4211,FIND(",",J4211)-1),J4211)</f>
        <v>Classic Movies</v>
      </c>
      <c r="N4211" s="7" t="n">
        <f aca="false">IF(B4211="Movie",IFERROR(VALUE(LEFT(I4211,FIND(" ",I4211)-1)),""),"")</f>
        <v>120</v>
      </c>
      <c r="O4211" s="7" t="str">
        <f aca="false">IF(B4211="TV Show",IFERROR(VALUE(LEFT(I4211,FIND(" ",I4211)-1)),""),"")</f>
        <v/>
      </c>
      <c r="P4211" s="7" t="n">
        <f aca="false">IF(K4211="","",K4211-G4211)</f>
        <v>39</v>
      </c>
    </row>
    <row r="4212" customFormat="false" ht="15" hidden="false" customHeight="false" outlineLevel="0" collapsed="false">
      <c r="A4212" s="7" t="n">
        <v>24073896</v>
      </c>
      <c r="B4212" s="7" t="s">
        <v>68</v>
      </c>
      <c r="C4212" s="7" t="s">
        <v>8663</v>
      </c>
      <c r="D4212" s="7" t="s">
        <v>8664</v>
      </c>
      <c r="E4212" s="7" t="s">
        <v>27</v>
      </c>
      <c r="F4212" s="7" t="s">
        <v>8596</v>
      </c>
      <c r="G4212" s="7" t="n">
        <v>1972</v>
      </c>
      <c r="H4212" s="7" t="s">
        <v>49</v>
      </c>
      <c r="I4212" s="7" t="s">
        <v>1405</v>
      </c>
      <c r="J4212" s="7" t="s">
        <v>426</v>
      </c>
      <c r="K4212" s="7" t="n">
        <f aca="false">IFERROR(VALUE(RIGHT(TRIM(F4212),4)),"")</f>
        <v>2019</v>
      </c>
      <c r="L4212" s="7" t="str">
        <f aca="false">IF(TRIM(E4212)="","Unknown",IFERROR(LEFT(TRIM(E4212),FIND(",",TRIM(E4212))-1),TRIM(E4212)))</f>
        <v>India</v>
      </c>
      <c r="M4212" s="7" t="str">
        <f aca="false">IFERROR(LEFT(J4212,FIND(",",J4212)-1),J4212)</f>
        <v>International Movies</v>
      </c>
      <c r="N4212" s="7" t="n">
        <f aca="false">IF(B4212="Movie",IFERROR(VALUE(LEFT(I4212,FIND(" ",I4212)-1)),""),"")</f>
        <v>115</v>
      </c>
      <c r="O4212" s="7" t="str">
        <f aca="false">IF(B4212="TV Show",IFERROR(VALUE(LEFT(I4212,FIND(" ",I4212)-1)),""),"")</f>
        <v/>
      </c>
      <c r="P4212" s="7" t="n">
        <f aca="false">IF(K4212="","",K4212-G4212)</f>
        <v>47</v>
      </c>
    </row>
    <row r="4213" customFormat="false" ht="15" hidden="false" customHeight="false" outlineLevel="0" collapsed="false">
      <c r="A4213" s="7" t="n">
        <v>81221913</v>
      </c>
      <c r="B4213" s="7" t="s">
        <v>68</v>
      </c>
      <c r="C4213" s="7" t="s">
        <v>8665</v>
      </c>
      <c r="D4213" s="7" t="s">
        <v>8666</v>
      </c>
      <c r="E4213" s="7" t="s">
        <v>27</v>
      </c>
      <c r="F4213" s="7" t="s">
        <v>8596</v>
      </c>
      <c r="G4213" s="7" t="n">
        <v>2017</v>
      </c>
      <c r="H4213" s="7" t="s">
        <v>48</v>
      </c>
      <c r="I4213" s="7" t="s">
        <v>235</v>
      </c>
      <c r="J4213" s="7" t="s">
        <v>188</v>
      </c>
      <c r="K4213" s="7" t="n">
        <f aca="false">IFERROR(VALUE(RIGHT(TRIM(F4213),4)),"")</f>
        <v>2019</v>
      </c>
      <c r="L4213" s="7" t="str">
        <f aca="false">IF(TRIM(E4213)="","Unknown",IFERROR(LEFT(TRIM(E4213),FIND(",",TRIM(E4213))-1),TRIM(E4213)))</f>
        <v>India</v>
      </c>
      <c r="M4213" s="7" t="str">
        <f aca="false">IFERROR(LEFT(J4213,FIND(",",J4213)-1),J4213)</f>
        <v>Dramas</v>
      </c>
      <c r="N4213" s="7" t="n">
        <f aca="false">IF(B4213="Movie",IFERROR(VALUE(LEFT(I4213,FIND(" ",I4213)-1)),""),"")</f>
        <v>126</v>
      </c>
      <c r="O4213" s="7" t="str">
        <f aca="false">IF(B4213="TV Show",IFERROR(VALUE(LEFT(I4213,FIND(" ",I4213)-1)),""),"")</f>
        <v/>
      </c>
      <c r="P4213" s="7" t="n">
        <f aca="false">IF(K4213="","",K4213-G4213)</f>
        <v>2</v>
      </c>
    </row>
    <row r="4214" customFormat="false" ht="15" hidden="false" customHeight="false" outlineLevel="0" collapsed="false">
      <c r="A4214" s="7" t="n">
        <v>70040912</v>
      </c>
      <c r="B4214" s="7" t="s">
        <v>68</v>
      </c>
      <c r="C4214" s="7" t="s">
        <v>8667</v>
      </c>
      <c r="D4214" s="7" t="s">
        <v>3902</v>
      </c>
      <c r="E4214" s="7" t="s">
        <v>27</v>
      </c>
      <c r="F4214" s="7" t="s">
        <v>8596</v>
      </c>
      <c r="G4214" s="7" t="n">
        <v>2005</v>
      </c>
      <c r="H4214" s="7" t="s">
        <v>49</v>
      </c>
      <c r="I4214" s="7" t="s">
        <v>749</v>
      </c>
      <c r="J4214" s="7" t="s">
        <v>457</v>
      </c>
      <c r="K4214" s="7" t="n">
        <f aca="false">IFERROR(VALUE(RIGHT(TRIM(F4214),4)),"")</f>
        <v>2019</v>
      </c>
      <c r="L4214" s="7" t="str">
        <f aca="false">IF(TRIM(E4214)="","Unknown",IFERROR(LEFT(TRIM(E4214),FIND(",",TRIM(E4214))-1),TRIM(E4214)))</f>
        <v>India</v>
      </c>
      <c r="M4214" s="7" t="str">
        <f aca="false">IFERROR(LEFT(J4214,FIND(",",J4214)-1),J4214)</f>
        <v>Comedies</v>
      </c>
      <c r="N4214" s="7" t="n">
        <f aca="false">IF(B4214="Movie",IFERROR(VALUE(LEFT(I4214,FIND(" ",I4214)-1)),""),"")</f>
        <v>137</v>
      </c>
      <c r="O4214" s="7" t="str">
        <f aca="false">IF(B4214="TV Show",IFERROR(VALUE(LEFT(I4214,FIND(" ",I4214)-1)),""),"")</f>
        <v/>
      </c>
      <c r="P4214" s="7" t="n">
        <f aca="false">IF(K4214="","",K4214-G4214)</f>
        <v>14</v>
      </c>
    </row>
    <row r="4215" customFormat="false" ht="15" hidden="false" customHeight="false" outlineLevel="0" collapsed="false">
      <c r="A4215" s="7" t="n">
        <v>81213979</v>
      </c>
      <c r="B4215" s="7" t="s">
        <v>68</v>
      </c>
      <c r="C4215" s="7" t="s">
        <v>8668</v>
      </c>
      <c r="D4215" s="7" t="s">
        <v>8669</v>
      </c>
      <c r="E4215" s="7" t="s">
        <v>27</v>
      </c>
      <c r="F4215" s="7" t="s">
        <v>8596</v>
      </c>
      <c r="G4215" s="7" t="n">
        <v>1983</v>
      </c>
      <c r="H4215" s="7" t="s">
        <v>49</v>
      </c>
      <c r="I4215" s="7" t="s">
        <v>919</v>
      </c>
      <c r="J4215" s="7" t="s">
        <v>188</v>
      </c>
      <c r="K4215" s="7" t="n">
        <f aca="false">IFERROR(VALUE(RIGHT(TRIM(F4215),4)),"")</f>
        <v>2019</v>
      </c>
      <c r="L4215" s="7" t="str">
        <f aca="false">IF(TRIM(E4215)="","Unknown",IFERROR(LEFT(TRIM(E4215),FIND(",",TRIM(E4215))-1),TRIM(E4215)))</f>
        <v>India</v>
      </c>
      <c r="M4215" s="7" t="str">
        <f aca="false">IFERROR(LEFT(J4215,FIND(",",J4215)-1),J4215)</f>
        <v>Dramas</v>
      </c>
      <c r="N4215" s="7" t="n">
        <f aca="false">IF(B4215="Movie",IFERROR(VALUE(LEFT(I4215,FIND(" ",I4215)-1)),""),"")</f>
        <v>138</v>
      </c>
      <c r="O4215" s="7" t="str">
        <f aca="false">IF(B4215="TV Show",IFERROR(VALUE(LEFT(I4215,FIND(" ",I4215)-1)),""),"")</f>
        <v/>
      </c>
      <c r="P4215" s="7" t="n">
        <f aca="false">IF(K4215="","",K4215-G4215)</f>
        <v>36</v>
      </c>
    </row>
    <row r="4216" customFormat="false" ht="15" hidden="false" customHeight="false" outlineLevel="0" collapsed="false">
      <c r="A4216" s="7" t="n">
        <v>70018445</v>
      </c>
      <c r="B4216" s="7" t="s">
        <v>68</v>
      </c>
      <c r="C4216" s="7" t="s">
        <v>8670</v>
      </c>
      <c r="D4216" s="7" t="s">
        <v>3902</v>
      </c>
      <c r="E4216" s="7" t="s">
        <v>27</v>
      </c>
      <c r="F4216" s="7" t="s">
        <v>8596</v>
      </c>
      <c r="G4216" s="7" t="n">
        <v>2004</v>
      </c>
      <c r="H4216" s="7" t="s">
        <v>50</v>
      </c>
      <c r="I4216" s="7" t="s">
        <v>1822</v>
      </c>
      <c r="J4216" s="7" t="s">
        <v>206</v>
      </c>
      <c r="K4216" s="7" t="n">
        <f aca="false">IFERROR(VALUE(RIGHT(TRIM(F4216),4)),"")</f>
        <v>2019</v>
      </c>
      <c r="L4216" s="7" t="str">
        <f aca="false">IF(TRIM(E4216)="","Unknown",IFERROR(LEFT(TRIM(E4216),FIND(",",TRIM(E4216))-1),TRIM(E4216)))</f>
        <v>India</v>
      </c>
      <c r="M4216" s="7" t="str">
        <f aca="false">IFERROR(LEFT(J4216,FIND(",",J4216)-1),J4216)</f>
        <v>Comedies</v>
      </c>
      <c r="N4216" s="7" t="n">
        <f aca="false">IF(B4216="Movie",IFERROR(VALUE(LEFT(I4216,FIND(" ",I4216)-1)),""),"")</f>
        <v>158</v>
      </c>
      <c r="O4216" s="7" t="str">
        <f aca="false">IF(B4216="TV Show",IFERROR(VALUE(LEFT(I4216,FIND(" ",I4216)-1)),""),"")</f>
        <v/>
      </c>
      <c r="P4216" s="7" t="n">
        <f aca="false">IF(K4216="","",K4216-G4216)</f>
        <v>15</v>
      </c>
    </row>
    <row r="4217" customFormat="false" ht="15" hidden="false" customHeight="false" outlineLevel="0" collapsed="false">
      <c r="A4217" s="7" t="n">
        <v>81213897</v>
      </c>
      <c r="B4217" s="7" t="s">
        <v>68</v>
      </c>
      <c r="C4217" s="7" t="s">
        <v>8671</v>
      </c>
      <c r="D4217" s="7" t="s">
        <v>8646</v>
      </c>
      <c r="E4217" s="7" t="s">
        <v>27</v>
      </c>
      <c r="F4217" s="7" t="s">
        <v>8596</v>
      </c>
      <c r="G4217" s="7" t="n">
        <v>1982</v>
      </c>
      <c r="H4217" s="7" t="s">
        <v>49</v>
      </c>
      <c r="I4217" s="7" t="s">
        <v>608</v>
      </c>
      <c r="J4217" s="7" t="s">
        <v>139</v>
      </c>
      <c r="K4217" s="7" t="n">
        <f aca="false">IFERROR(VALUE(RIGHT(TRIM(F4217),4)),"")</f>
        <v>2019</v>
      </c>
      <c r="L4217" s="7" t="str">
        <f aca="false">IF(TRIM(E4217)="","Unknown",IFERROR(LEFT(TRIM(E4217),FIND(",",TRIM(E4217))-1),TRIM(E4217)))</f>
        <v>India</v>
      </c>
      <c r="M4217" s="7" t="str">
        <f aca="false">IFERROR(LEFT(J4217,FIND(",",J4217)-1),J4217)</f>
        <v>Action &amp; Adventure</v>
      </c>
      <c r="N4217" s="7" t="n">
        <f aca="false">IF(B4217="Movie",IFERROR(VALUE(LEFT(I4217,FIND(" ",I4217)-1)),""),"")</f>
        <v>171</v>
      </c>
      <c r="O4217" s="7" t="str">
        <f aca="false">IF(B4217="TV Show",IFERROR(VALUE(LEFT(I4217,FIND(" ",I4217)-1)),""),"")</f>
        <v/>
      </c>
      <c r="P4217" s="7" t="n">
        <f aca="false">IF(K4217="","",K4217-G4217)</f>
        <v>37</v>
      </c>
    </row>
    <row r="4218" customFormat="false" ht="15" hidden="false" customHeight="false" outlineLevel="0" collapsed="false">
      <c r="A4218" s="7" t="n">
        <v>81213877</v>
      </c>
      <c r="B4218" s="7" t="s">
        <v>68</v>
      </c>
      <c r="C4218" s="7" t="s">
        <v>8672</v>
      </c>
      <c r="D4218" s="7" t="s">
        <v>8673</v>
      </c>
      <c r="F4218" s="7" t="s">
        <v>8596</v>
      </c>
      <c r="G4218" s="7" t="n">
        <v>2018</v>
      </c>
      <c r="H4218" s="7" t="s">
        <v>48</v>
      </c>
      <c r="I4218" s="7" t="s">
        <v>268</v>
      </c>
      <c r="J4218" s="7" t="s">
        <v>182</v>
      </c>
      <c r="K4218" s="7" t="n">
        <f aca="false">IFERROR(VALUE(RIGHT(TRIM(F4218),4)),"")</f>
        <v>2019</v>
      </c>
      <c r="L4218" s="7" t="str">
        <f aca="false">IF(TRIM(E4218)="","Unknown",IFERROR(LEFT(TRIM(E4218),FIND(",",TRIM(E4218))-1),TRIM(E4218)))</f>
        <v>Unknown</v>
      </c>
      <c r="M4218" s="7" t="str">
        <f aca="false">IFERROR(LEFT(J4218,FIND(",",J4218)-1),J4218)</f>
        <v>Dramas</v>
      </c>
      <c r="N4218" s="7" t="n">
        <f aca="false">IF(B4218="Movie",IFERROR(VALUE(LEFT(I4218,FIND(" ",I4218)-1)),""),"")</f>
        <v>108</v>
      </c>
      <c r="O4218" s="7" t="str">
        <f aca="false">IF(B4218="TV Show",IFERROR(VALUE(LEFT(I4218,FIND(" ",I4218)-1)),""),"")</f>
        <v/>
      </c>
      <c r="P4218" s="7" t="n">
        <f aca="false">IF(K4218="","",K4218-G4218)</f>
        <v>1</v>
      </c>
    </row>
    <row r="4219" customFormat="false" ht="15" hidden="false" customHeight="false" outlineLevel="0" collapsed="false">
      <c r="A4219" s="7" t="n">
        <v>81213882</v>
      </c>
      <c r="B4219" s="7" t="s">
        <v>68</v>
      </c>
      <c r="C4219" s="7" t="s">
        <v>8674</v>
      </c>
      <c r="D4219" s="7" t="s">
        <v>8675</v>
      </c>
      <c r="E4219" s="7" t="s">
        <v>27</v>
      </c>
      <c r="F4219" s="7" t="s">
        <v>8596</v>
      </c>
      <c r="G4219" s="7" t="n">
        <v>2017</v>
      </c>
      <c r="H4219" s="7" t="s">
        <v>49</v>
      </c>
      <c r="I4219" s="7" t="s">
        <v>138</v>
      </c>
      <c r="J4219" s="7" t="s">
        <v>188</v>
      </c>
      <c r="K4219" s="7" t="n">
        <f aca="false">IFERROR(VALUE(RIGHT(TRIM(F4219),4)),"")</f>
        <v>2019</v>
      </c>
      <c r="L4219" s="7" t="str">
        <f aca="false">IF(TRIM(E4219)="","Unknown",IFERROR(LEFT(TRIM(E4219),FIND(",",TRIM(E4219))-1),TRIM(E4219)))</f>
        <v>India</v>
      </c>
      <c r="M4219" s="7" t="str">
        <f aca="false">IFERROR(LEFT(J4219,FIND(",",J4219)-1),J4219)</f>
        <v>Dramas</v>
      </c>
      <c r="N4219" s="7" t="n">
        <f aca="false">IF(B4219="Movie",IFERROR(VALUE(LEFT(I4219,FIND(" ",I4219)-1)),""),"")</f>
        <v>96</v>
      </c>
      <c r="O4219" s="7" t="str">
        <f aca="false">IF(B4219="TV Show",IFERROR(VALUE(LEFT(I4219,FIND(" ",I4219)-1)),""),"")</f>
        <v/>
      </c>
      <c r="P4219" s="7" t="n">
        <f aca="false">IF(K4219="","",K4219-G4219)</f>
        <v>2</v>
      </c>
    </row>
    <row r="4220" customFormat="false" ht="15" hidden="false" customHeight="false" outlineLevel="0" collapsed="false">
      <c r="A4220" s="7" t="n">
        <v>81224811</v>
      </c>
      <c r="B4220" s="7" t="s">
        <v>78</v>
      </c>
      <c r="C4220" s="7" t="s">
        <v>8676</v>
      </c>
      <c r="F4220" s="7" t="s">
        <v>8596</v>
      </c>
      <c r="G4220" s="7" t="n">
        <v>2018</v>
      </c>
      <c r="H4220" s="7" t="s">
        <v>55</v>
      </c>
      <c r="I4220" s="7" t="s">
        <v>82</v>
      </c>
      <c r="J4220" s="7" t="s">
        <v>1686</v>
      </c>
      <c r="K4220" s="7" t="n">
        <f aca="false">IFERROR(VALUE(RIGHT(TRIM(F4220),4)),"")</f>
        <v>2019</v>
      </c>
      <c r="L4220" s="7" t="str">
        <f aca="false">IF(TRIM(E4220)="","Unknown",IFERROR(LEFT(TRIM(E4220),FIND(",",TRIM(E4220))-1),TRIM(E4220)))</f>
        <v>Unknown</v>
      </c>
      <c r="M4220" s="7" t="str">
        <f aca="false">IFERROR(LEFT(J4220,FIND(",",J4220)-1),J4220)</f>
        <v>Kids' TV</v>
      </c>
      <c r="N4220" s="7" t="str">
        <f aca="false">IF(B4220="Movie",IFERROR(VALUE(LEFT(I4220,FIND(" ",I4220)-1)),""),"")</f>
        <v/>
      </c>
      <c r="O4220" s="7" t="n">
        <f aca="false">IF(B4220="TV Show",IFERROR(VALUE(LEFT(I4220,FIND(" ",I4220)-1)),""),"")</f>
        <v>1</v>
      </c>
      <c r="P4220" s="7" t="n">
        <f aca="false">IF(K4220="","",K4220-G4220)</f>
        <v>1</v>
      </c>
    </row>
    <row r="4221" customFormat="false" ht="15" hidden="false" customHeight="false" outlineLevel="0" collapsed="false">
      <c r="A4221" s="7" t="n">
        <v>81224839</v>
      </c>
      <c r="B4221" s="7" t="s">
        <v>78</v>
      </c>
      <c r="C4221" s="7" t="s">
        <v>8677</v>
      </c>
      <c r="E4221" s="7" t="s">
        <v>8678</v>
      </c>
      <c r="F4221" s="7" t="s">
        <v>8596</v>
      </c>
      <c r="G4221" s="7" t="n">
        <v>2016</v>
      </c>
      <c r="H4221" s="7" t="s">
        <v>119</v>
      </c>
      <c r="I4221" s="7" t="s">
        <v>82</v>
      </c>
      <c r="J4221" s="7" t="s">
        <v>44</v>
      </c>
      <c r="K4221" s="7" t="n">
        <f aca="false">IFERROR(VALUE(RIGHT(TRIM(F4221),4)),"")</f>
        <v>2019</v>
      </c>
      <c r="L4221" s="7" t="str">
        <f aca="false">IF(TRIM(E4221)="","Unknown",IFERROR(LEFT(TRIM(E4221),FIND(",",TRIM(E4221))-1),TRIM(E4221)))</f>
        <v>South Korea</v>
      </c>
      <c r="M4221" s="7" t="str">
        <f aca="false">IFERROR(LEFT(J4221,FIND(",",J4221)-1),J4221)</f>
        <v>Kids' TV</v>
      </c>
      <c r="N4221" s="7" t="str">
        <f aca="false">IF(B4221="Movie",IFERROR(VALUE(LEFT(I4221,FIND(" ",I4221)-1)),""),"")</f>
        <v/>
      </c>
      <c r="O4221" s="7" t="n">
        <f aca="false">IF(B4221="TV Show",IFERROR(VALUE(LEFT(I4221,FIND(" ",I4221)-1)),""),"")</f>
        <v>1</v>
      </c>
      <c r="P4221" s="7" t="n">
        <f aca="false">IF(K4221="","",K4221-G4221)</f>
        <v>3</v>
      </c>
    </row>
    <row r="4222" customFormat="false" ht="15" hidden="false" customHeight="false" outlineLevel="0" collapsed="false">
      <c r="A4222" s="7" t="n">
        <v>81213896</v>
      </c>
      <c r="B4222" s="7" t="s">
        <v>68</v>
      </c>
      <c r="C4222" s="7" t="s">
        <v>8679</v>
      </c>
      <c r="D4222" s="7" t="s">
        <v>8680</v>
      </c>
      <c r="E4222" s="7" t="s">
        <v>27</v>
      </c>
      <c r="F4222" s="7" t="s">
        <v>8596</v>
      </c>
      <c r="G4222" s="7" t="n">
        <v>1974</v>
      </c>
      <c r="H4222" s="7" t="s">
        <v>50</v>
      </c>
      <c r="I4222" s="7" t="s">
        <v>417</v>
      </c>
      <c r="J4222" s="7" t="s">
        <v>198</v>
      </c>
      <c r="K4222" s="7" t="n">
        <f aca="false">IFERROR(VALUE(RIGHT(TRIM(F4222),4)),"")</f>
        <v>2019</v>
      </c>
      <c r="L4222" s="7" t="str">
        <f aca="false">IF(TRIM(E4222)="","Unknown",IFERROR(LEFT(TRIM(E4222),FIND(",",TRIM(E4222))-1),TRIM(E4222)))</f>
        <v>India</v>
      </c>
      <c r="M4222" s="7" t="str">
        <f aca="false">IFERROR(LEFT(J4222,FIND(",",J4222)-1),J4222)</f>
        <v>Comedies</v>
      </c>
      <c r="N4222" s="7" t="n">
        <f aca="false">IF(B4222="Movie",IFERROR(VALUE(LEFT(I4222,FIND(" ",I4222)-1)),""),"")</f>
        <v>104</v>
      </c>
      <c r="O4222" s="7" t="str">
        <f aca="false">IF(B4222="TV Show",IFERROR(VALUE(LEFT(I4222,FIND(" ",I4222)-1)),""),"")</f>
        <v/>
      </c>
      <c r="P4222" s="7" t="n">
        <f aca="false">IF(K4222="","",K4222-G4222)</f>
        <v>45</v>
      </c>
    </row>
    <row r="4223" customFormat="false" ht="15" hidden="false" customHeight="false" outlineLevel="0" collapsed="false">
      <c r="A4223" s="7" t="n">
        <v>60003097</v>
      </c>
      <c r="B4223" s="7" t="s">
        <v>68</v>
      </c>
      <c r="C4223" s="7" t="s">
        <v>8681</v>
      </c>
      <c r="D4223" s="7" t="s">
        <v>8622</v>
      </c>
      <c r="E4223" s="7" t="s">
        <v>27</v>
      </c>
      <c r="F4223" s="7" t="s">
        <v>8596</v>
      </c>
      <c r="G4223" s="7" t="n">
        <v>1985</v>
      </c>
      <c r="H4223" s="7" t="s">
        <v>49</v>
      </c>
      <c r="I4223" s="7" t="s">
        <v>8682</v>
      </c>
      <c r="J4223" s="7" t="s">
        <v>2026</v>
      </c>
      <c r="K4223" s="7" t="n">
        <f aca="false">IFERROR(VALUE(RIGHT(TRIM(F4223),4)),"")</f>
        <v>2019</v>
      </c>
      <c r="L4223" s="7" t="str">
        <f aca="false">IF(TRIM(E4223)="","Unknown",IFERROR(LEFT(TRIM(E4223),FIND(",",TRIM(E4223))-1),TRIM(E4223)))</f>
        <v>India</v>
      </c>
      <c r="M4223" s="7" t="str">
        <f aca="false">IFERROR(LEFT(J4223,FIND(",",J4223)-1),J4223)</f>
        <v>Classic Movies</v>
      </c>
      <c r="N4223" s="7" t="n">
        <f aca="false">IF(B4223="Movie",IFERROR(VALUE(LEFT(I4223,FIND(" ",I4223)-1)),""),"")</f>
        <v>178</v>
      </c>
      <c r="O4223" s="7" t="str">
        <f aca="false">IF(B4223="TV Show",IFERROR(VALUE(LEFT(I4223,FIND(" ",I4223)-1)),""),"")</f>
        <v/>
      </c>
      <c r="P4223" s="7" t="n">
        <f aca="false">IF(K4223="","",K4223-G4223)</f>
        <v>34</v>
      </c>
    </row>
    <row r="4224" customFormat="false" ht="15" hidden="false" customHeight="false" outlineLevel="0" collapsed="false">
      <c r="A4224" s="7" t="n">
        <v>81213887</v>
      </c>
      <c r="B4224" s="7" t="s">
        <v>68</v>
      </c>
      <c r="C4224" s="7" t="s">
        <v>8683</v>
      </c>
      <c r="D4224" s="7" t="s">
        <v>8684</v>
      </c>
      <c r="E4224" s="7" t="s">
        <v>27</v>
      </c>
      <c r="F4224" s="7" t="s">
        <v>8596</v>
      </c>
      <c r="G4224" s="7" t="n">
        <v>2005</v>
      </c>
      <c r="H4224" s="7" t="s">
        <v>49</v>
      </c>
      <c r="I4224" s="7" t="s">
        <v>1955</v>
      </c>
      <c r="J4224" s="7" t="s">
        <v>217</v>
      </c>
      <c r="K4224" s="7" t="n">
        <f aca="false">IFERROR(VALUE(RIGHT(TRIM(F4224),4)),"")</f>
        <v>2019</v>
      </c>
      <c r="L4224" s="7" t="str">
        <f aca="false">IF(TRIM(E4224)="","Unknown",IFERROR(LEFT(TRIM(E4224),FIND(",",TRIM(E4224))-1),TRIM(E4224)))</f>
        <v>India</v>
      </c>
      <c r="M4224" s="7" t="str">
        <f aca="false">IFERROR(LEFT(J4224,FIND(",",J4224)-1),J4224)</f>
        <v>Comedies</v>
      </c>
      <c r="N4224" s="7" t="n">
        <f aca="false">IF(B4224="Movie",IFERROR(VALUE(LEFT(I4224,FIND(" ",I4224)-1)),""),"")</f>
        <v>154</v>
      </c>
      <c r="O4224" s="7" t="str">
        <f aca="false">IF(B4224="TV Show",IFERROR(VALUE(LEFT(I4224,FIND(" ",I4224)-1)),""),"")</f>
        <v/>
      </c>
      <c r="P4224" s="7" t="n">
        <f aca="false">IF(K4224="","",K4224-G4224)</f>
        <v>14</v>
      </c>
    </row>
    <row r="4225" customFormat="false" ht="15" hidden="false" customHeight="false" outlineLevel="0" collapsed="false">
      <c r="A4225" s="7" t="n">
        <v>896678</v>
      </c>
      <c r="B4225" s="7" t="s">
        <v>68</v>
      </c>
      <c r="C4225" s="7" t="s">
        <v>8685</v>
      </c>
      <c r="D4225" s="7" t="s">
        <v>8686</v>
      </c>
      <c r="E4225" s="7" t="s">
        <v>26</v>
      </c>
      <c r="F4225" s="7" t="s">
        <v>8596</v>
      </c>
      <c r="G4225" s="7" t="n">
        <v>1984</v>
      </c>
      <c r="H4225" s="7" t="s">
        <v>52</v>
      </c>
      <c r="I4225" s="7" t="s">
        <v>187</v>
      </c>
      <c r="J4225" s="7" t="s">
        <v>8687</v>
      </c>
      <c r="K4225" s="7" t="n">
        <f aca="false">IFERROR(VALUE(RIGHT(TRIM(F4225),4)),"")</f>
        <v>2019</v>
      </c>
      <c r="L4225" s="7" t="str">
        <f aca="false">IF(TRIM(E4225)="","Unknown",IFERROR(LEFT(TRIM(E4225),FIND(",",TRIM(E4225))-1),TRIM(E4225)))</f>
        <v>United States</v>
      </c>
      <c r="M4225" s="7" t="str">
        <f aca="false">IFERROR(LEFT(J4225,FIND(",",J4225)-1),J4225)</f>
        <v>Action &amp; Adventure</v>
      </c>
      <c r="N4225" s="7" t="n">
        <f aca="false">IF(B4225="Movie",IFERROR(VALUE(LEFT(I4225,FIND(" ",I4225)-1)),""),"")</f>
        <v>114</v>
      </c>
      <c r="O4225" s="7" t="str">
        <f aca="false">IF(B4225="TV Show",IFERROR(VALUE(LEFT(I4225,FIND(" ",I4225)-1)),""),"")</f>
        <v/>
      </c>
      <c r="P4225" s="7" t="n">
        <f aca="false">IF(K4225="","",K4225-G4225)</f>
        <v>35</v>
      </c>
    </row>
    <row r="4226" customFormat="false" ht="15" hidden="false" customHeight="false" outlineLevel="0" collapsed="false">
      <c r="A4226" s="7" t="n">
        <v>81217436</v>
      </c>
      <c r="B4226" s="7" t="s">
        <v>68</v>
      </c>
      <c r="C4226" s="7" t="s">
        <v>8688</v>
      </c>
      <c r="D4226" s="7" t="s">
        <v>8689</v>
      </c>
      <c r="E4226" s="7" t="s">
        <v>27</v>
      </c>
      <c r="F4226" s="7" t="s">
        <v>8596</v>
      </c>
      <c r="G4226" s="7" t="n">
        <v>2010</v>
      </c>
      <c r="H4226" s="7" t="s">
        <v>49</v>
      </c>
      <c r="I4226" s="7" t="s">
        <v>2183</v>
      </c>
      <c r="J4226" s="7" t="s">
        <v>188</v>
      </c>
      <c r="K4226" s="7" t="n">
        <f aca="false">IFERROR(VALUE(RIGHT(TRIM(F4226),4)),"")</f>
        <v>2019</v>
      </c>
      <c r="L4226" s="7" t="str">
        <f aca="false">IF(TRIM(E4226)="","Unknown",IFERROR(LEFT(TRIM(E4226),FIND(",",TRIM(E4226))-1),TRIM(E4226)))</f>
        <v>India</v>
      </c>
      <c r="M4226" s="7" t="str">
        <f aca="false">IFERROR(LEFT(J4226,FIND(",",J4226)-1),J4226)</f>
        <v>Dramas</v>
      </c>
      <c r="N4226" s="7" t="n">
        <f aca="false">IF(B4226="Movie",IFERROR(VALUE(LEFT(I4226,FIND(" ",I4226)-1)),""),"")</f>
        <v>136</v>
      </c>
      <c r="O4226" s="7" t="str">
        <f aca="false">IF(B4226="TV Show",IFERROR(VALUE(LEFT(I4226,FIND(" ",I4226)-1)),""),"")</f>
        <v/>
      </c>
      <c r="P4226" s="7" t="n">
        <f aca="false">IF(K4226="","",K4226-G4226)</f>
        <v>9</v>
      </c>
    </row>
    <row r="4227" customFormat="false" ht="15" hidden="false" customHeight="false" outlineLevel="0" collapsed="false">
      <c r="A4227" s="7" t="n">
        <v>81221914</v>
      </c>
      <c r="B4227" s="7" t="s">
        <v>68</v>
      </c>
      <c r="C4227" s="7" t="s">
        <v>8690</v>
      </c>
      <c r="D4227" s="7" t="s">
        <v>8691</v>
      </c>
      <c r="E4227" s="7" t="s">
        <v>27</v>
      </c>
      <c r="F4227" s="7" t="s">
        <v>8596</v>
      </c>
      <c r="G4227" s="7" t="n">
        <v>1982</v>
      </c>
      <c r="H4227" s="7" t="s">
        <v>49</v>
      </c>
      <c r="I4227" s="7" t="s">
        <v>1270</v>
      </c>
      <c r="J4227" s="7" t="s">
        <v>188</v>
      </c>
      <c r="K4227" s="7" t="n">
        <f aca="false">IFERROR(VALUE(RIGHT(TRIM(F4227),4)),"")</f>
        <v>2019</v>
      </c>
      <c r="L4227" s="7" t="str">
        <f aca="false">IF(TRIM(E4227)="","Unknown",IFERROR(LEFT(TRIM(E4227),FIND(",",TRIM(E4227))-1),TRIM(E4227)))</f>
        <v>India</v>
      </c>
      <c r="M4227" s="7" t="str">
        <f aca="false">IFERROR(LEFT(J4227,FIND(",",J4227)-1),J4227)</f>
        <v>Dramas</v>
      </c>
      <c r="N4227" s="7" t="n">
        <f aca="false">IF(B4227="Movie",IFERROR(VALUE(LEFT(I4227,FIND(" ",I4227)-1)),""),"")</f>
        <v>118</v>
      </c>
      <c r="O4227" s="7" t="str">
        <f aca="false">IF(B4227="TV Show",IFERROR(VALUE(LEFT(I4227,FIND(" ",I4227)-1)),""),"")</f>
        <v/>
      </c>
      <c r="P4227" s="7" t="n">
        <f aca="false">IF(K4227="","",K4227-G4227)</f>
        <v>37</v>
      </c>
    </row>
    <row r="4228" customFormat="false" ht="15" hidden="false" customHeight="false" outlineLevel="0" collapsed="false">
      <c r="A4228" s="7" t="n">
        <v>70072558</v>
      </c>
      <c r="B4228" s="7" t="s">
        <v>68</v>
      </c>
      <c r="C4228" s="7" t="s">
        <v>8692</v>
      </c>
      <c r="D4228" s="7" t="s">
        <v>8693</v>
      </c>
      <c r="E4228" s="7" t="s">
        <v>27</v>
      </c>
      <c r="F4228" s="7" t="s">
        <v>8596</v>
      </c>
      <c r="G4228" s="7" t="n">
        <v>1983</v>
      </c>
      <c r="H4228" s="7" t="s">
        <v>49</v>
      </c>
      <c r="I4228" s="7" t="s">
        <v>749</v>
      </c>
      <c r="J4228" s="7" t="s">
        <v>240</v>
      </c>
      <c r="K4228" s="7" t="n">
        <f aca="false">IFERROR(VALUE(RIGHT(TRIM(F4228),4)),"")</f>
        <v>2019</v>
      </c>
      <c r="L4228" s="7" t="str">
        <f aca="false">IF(TRIM(E4228)="","Unknown",IFERROR(LEFT(TRIM(E4228),FIND(",",TRIM(E4228))-1),TRIM(E4228)))</f>
        <v>India</v>
      </c>
      <c r="M4228" s="7" t="str">
        <f aca="false">IFERROR(LEFT(J4228,FIND(",",J4228)-1),J4228)</f>
        <v>Dramas</v>
      </c>
      <c r="N4228" s="7" t="n">
        <f aca="false">IF(B4228="Movie",IFERROR(VALUE(LEFT(I4228,FIND(" ",I4228)-1)),""),"")</f>
        <v>137</v>
      </c>
      <c r="O4228" s="7" t="str">
        <f aca="false">IF(B4228="TV Show",IFERROR(VALUE(LEFT(I4228,FIND(" ",I4228)-1)),""),"")</f>
        <v/>
      </c>
      <c r="P4228" s="7" t="n">
        <f aca="false">IF(K4228="","",K4228-G4228)</f>
        <v>36</v>
      </c>
    </row>
    <row r="4229" customFormat="false" ht="15" hidden="false" customHeight="false" outlineLevel="0" collapsed="false">
      <c r="A4229" s="7" t="n">
        <v>60002818</v>
      </c>
      <c r="B4229" s="7" t="s">
        <v>68</v>
      </c>
      <c r="C4229" s="7" t="s">
        <v>8694</v>
      </c>
      <c r="D4229" s="7" t="s">
        <v>8622</v>
      </c>
      <c r="E4229" s="7" t="s">
        <v>27</v>
      </c>
      <c r="F4229" s="7" t="s">
        <v>8596</v>
      </c>
      <c r="G4229" s="7" t="n">
        <v>1964</v>
      </c>
      <c r="H4229" s="7" t="s">
        <v>49</v>
      </c>
      <c r="I4229" s="7" t="s">
        <v>8695</v>
      </c>
      <c r="J4229" s="7" t="s">
        <v>2026</v>
      </c>
      <c r="K4229" s="7" t="n">
        <f aca="false">IFERROR(VALUE(RIGHT(TRIM(F4229),4)),"")</f>
        <v>2019</v>
      </c>
      <c r="L4229" s="7" t="str">
        <f aca="false">IF(TRIM(E4229)="","Unknown",IFERROR(LEFT(TRIM(E4229),FIND(",",TRIM(E4229))-1),TRIM(E4229)))</f>
        <v>India</v>
      </c>
      <c r="M4229" s="7" t="str">
        <f aca="false">IFERROR(LEFT(J4229,FIND(",",J4229)-1),J4229)</f>
        <v>Classic Movies</v>
      </c>
      <c r="N4229" s="7" t="n">
        <f aca="false">IF(B4229="Movie",IFERROR(VALUE(LEFT(I4229,FIND(" ",I4229)-1)),""),"")</f>
        <v>228</v>
      </c>
      <c r="O4229" s="7" t="str">
        <f aca="false">IF(B4229="TV Show",IFERROR(VALUE(LEFT(I4229,FIND(" ",I4229)-1)),""),"")</f>
        <v/>
      </c>
      <c r="P4229" s="7" t="n">
        <f aca="false">IF(K4229="","",K4229-G4229)</f>
        <v>55</v>
      </c>
    </row>
    <row r="4230" customFormat="false" ht="15" hidden="false" customHeight="false" outlineLevel="0" collapsed="false">
      <c r="A4230" s="7" t="n">
        <v>20257617</v>
      </c>
      <c r="B4230" s="7" t="s">
        <v>68</v>
      </c>
      <c r="C4230" s="7" t="s">
        <v>8696</v>
      </c>
      <c r="D4230" s="7" t="s">
        <v>8697</v>
      </c>
      <c r="E4230" s="7" t="s">
        <v>27</v>
      </c>
      <c r="F4230" s="7" t="s">
        <v>8596</v>
      </c>
      <c r="G4230" s="7" t="n">
        <v>1982</v>
      </c>
      <c r="H4230" s="7" t="s">
        <v>49</v>
      </c>
      <c r="I4230" s="7" t="s">
        <v>722</v>
      </c>
      <c r="J4230" s="7" t="s">
        <v>893</v>
      </c>
      <c r="K4230" s="7" t="n">
        <f aca="false">IFERROR(VALUE(RIGHT(TRIM(F4230),4)),"")</f>
        <v>2019</v>
      </c>
      <c r="L4230" s="7" t="str">
        <f aca="false">IF(TRIM(E4230)="","Unknown",IFERROR(LEFT(TRIM(E4230),FIND(",",TRIM(E4230))-1),TRIM(E4230)))</f>
        <v>India</v>
      </c>
      <c r="M4230" s="7" t="str">
        <f aca="false">IFERROR(LEFT(J4230,FIND(",",J4230)-1),J4230)</f>
        <v>Comedies</v>
      </c>
      <c r="N4230" s="7" t="n">
        <f aca="false">IF(B4230="Movie",IFERROR(VALUE(LEFT(I4230,FIND(" ",I4230)-1)),""),"")</f>
        <v>153</v>
      </c>
      <c r="O4230" s="7" t="str">
        <f aca="false">IF(B4230="TV Show",IFERROR(VALUE(LEFT(I4230,FIND(" ",I4230)-1)),""),"")</f>
        <v/>
      </c>
      <c r="P4230" s="7" t="n">
        <f aca="false">IF(K4230="","",K4230-G4230)</f>
        <v>37</v>
      </c>
    </row>
    <row r="4231" customFormat="false" ht="15" hidden="false" customHeight="false" outlineLevel="0" collapsed="false">
      <c r="A4231" s="7" t="n">
        <v>70059284</v>
      </c>
      <c r="B4231" s="7" t="s">
        <v>68</v>
      </c>
      <c r="C4231" s="7" t="s">
        <v>8698</v>
      </c>
      <c r="D4231" s="7" t="s">
        <v>1834</v>
      </c>
      <c r="E4231" s="7" t="s">
        <v>27</v>
      </c>
      <c r="F4231" s="7" t="s">
        <v>8596</v>
      </c>
      <c r="G4231" s="7" t="n">
        <v>1990</v>
      </c>
      <c r="H4231" s="7" t="s">
        <v>48</v>
      </c>
      <c r="I4231" s="7" t="s">
        <v>1449</v>
      </c>
      <c r="J4231" s="7" t="s">
        <v>112</v>
      </c>
      <c r="K4231" s="7" t="n">
        <f aca="false">IFERROR(VALUE(RIGHT(TRIM(F4231),4)),"")</f>
        <v>2019</v>
      </c>
      <c r="L4231" s="7" t="str">
        <f aca="false">IF(TRIM(E4231)="","Unknown",IFERROR(LEFT(TRIM(E4231),FIND(",",TRIM(E4231))-1),TRIM(E4231)))</f>
        <v>India</v>
      </c>
      <c r="M4231" s="7" t="str">
        <f aca="false">IFERROR(LEFT(J4231,FIND(",",J4231)-1),J4231)</f>
        <v>Action &amp; Adventure</v>
      </c>
      <c r="N4231" s="7" t="n">
        <f aca="false">IF(B4231="Movie",IFERROR(VALUE(LEFT(I4231,FIND(" ",I4231)-1)),""),"")</f>
        <v>168</v>
      </c>
      <c r="O4231" s="7" t="str">
        <f aca="false">IF(B4231="TV Show",IFERROR(VALUE(LEFT(I4231,FIND(" ",I4231)-1)),""),"")</f>
        <v/>
      </c>
      <c r="P4231" s="7" t="n">
        <f aca="false">IF(K4231="","",K4231-G4231)</f>
        <v>29</v>
      </c>
    </row>
    <row r="4232" customFormat="false" ht="15" hidden="false" customHeight="false" outlineLevel="0" collapsed="false">
      <c r="A4232" s="7" t="n">
        <v>60001404</v>
      </c>
      <c r="B4232" s="7" t="s">
        <v>68</v>
      </c>
      <c r="C4232" s="7" t="s">
        <v>8699</v>
      </c>
      <c r="D4232" s="7" t="s">
        <v>8680</v>
      </c>
      <c r="E4232" s="7" t="s">
        <v>27</v>
      </c>
      <c r="F4232" s="7" t="s">
        <v>8596</v>
      </c>
      <c r="G4232" s="7" t="n">
        <v>1977</v>
      </c>
      <c r="H4232" s="7" t="s">
        <v>50</v>
      </c>
      <c r="I4232" s="7" t="s">
        <v>869</v>
      </c>
      <c r="J4232" s="7" t="s">
        <v>188</v>
      </c>
      <c r="K4232" s="7" t="n">
        <f aca="false">IFERROR(VALUE(RIGHT(TRIM(F4232),4)),"")</f>
        <v>2019</v>
      </c>
      <c r="L4232" s="7" t="str">
        <f aca="false">IF(TRIM(E4232)="","Unknown",IFERROR(LEFT(TRIM(E4232),FIND(",",TRIM(E4232))-1),TRIM(E4232)))</f>
        <v>India</v>
      </c>
      <c r="M4232" s="7" t="str">
        <f aca="false">IFERROR(LEFT(J4232,FIND(",",J4232)-1),J4232)</f>
        <v>Dramas</v>
      </c>
      <c r="N4232" s="7" t="n">
        <f aca="false">IF(B4232="Movie",IFERROR(VALUE(LEFT(I4232,FIND(" ",I4232)-1)),""),"")</f>
        <v>123</v>
      </c>
      <c r="O4232" s="7" t="str">
        <f aca="false">IF(B4232="TV Show",IFERROR(VALUE(LEFT(I4232,FIND(" ",I4232)-1)),""),"")</f>
        <v/>
      </c>
      <c r="P4232" s="7" t="n">
        <f aca="false">IF(K4232="","",K4232-G4232)</f>
        <v>42</v>
      </c>
    </row>
    <row r="4233" customFormat="false" ht="15" hidden="false" customHeight="false" outlineLevel="0" collapsed="false">
      <c r="A4233" s="7" t="n">
        <v>81213879</v>
      </c>
      <c r="B4233" s="7" t="s">
        <v>68</v>
      </c>
      <c r="C4233" s="7" t="s">
        <v>8700</v>
      </c>
      <c r="D4233" s="7" t="s">
        <v>8701</v>
      </c>
      <c r="E4233" s="7" t="s">
        <v>27</v>
      </c>
      <c r="F4233" s="7" t="s">
        <v>8596</v>
      </c>
      <c r="G4233" s="7" t="n">
        <v>2018</v>
      </c>
      <c r="H4233" s="7" t="s">
        <v>48</v>
      </c>
      <c r="I4233" s="7" t="s">
        <v>505</v>
      </c>
      <c r="J4233" s="7" t="s">
        <v>304</v>
      </c>
      <c r="K4233" s="7" t="n">
        <f aca="false">IFERROR(VALUE(RIGHT(TRIM(F4233),4)),"")</f>
        <v>2019</v>
      </c>
      <c r="L4233" s="7" t="str">
        <f aca="false">IF(TRIM(E4233)="","Unknown",IFERROR(LEFT(TRIM(E4233),FIND(",",TRIM(E4233))-1),TRIM(E4233)))</f>
        <v>India</v>
      </c>
      <c r="M4233" s="7" t="str">
        <f aca="false">IFERROR(LEFT(J4233,FIND(",",J4233)-1),J4233)</f>
        <v>Dramas</v>
      </c>
      <c r="N4233" s="7" t="n">
        <f aca="false">IF(B4233="Movie",IFERROR(VALUE(LEFT(I4233,FIND(" ",I4233)-1)),""),"")</f>
        <v>121</v>
      </c>
      <c r="O4233" s="7" t="str">
        <f aca="false">IF(B4233="TV Show",IFERROR(VALUE(LEFT(I4233,FIND(" ",I4233)-1)),""),"")</f>
        <v/>
      </c>
      <c r="P4233" s="7" t="n">
        <f aca="false">IF(K4233="","",K4233-G4233)</f>
        <v>1</v>
      </c>
    </row>
    <row r="4234" customFormat="false" ht="15" hidden="false" customHeight="false" outlineLevel="0" collapsed="false">
      <c r="A4234" s="7" t="n">
        <v>81213898</v>
      </c>
      <c r="B4234" s="7" t="s">
        <v>68</v>
      </c>
      <c r="C4234" s="7" t="s">
        <v>8702</v>
      </c>
      <c r="D4234" s="7" t="s">
        <v>1820</v>
      </c>
      <c r="E4234" s="7" t="s">
        <v>27</v>
      </c>
      <c r="F4234" s="7" t="s">
        <v>8596</v>
      </c>
      <c r="G4234" s="7" t="n">
        <v>1979</v>
      </c>
      <c r="H4234" s="7" t="s">
        <v>49</v>
      </c>
      <c r="I4234" s="7" t="s">
        <v>1557</v>
      </c>
      <c r="J4234" s="7" t="s">
        <v>3224</v>
      </c>
      <c r="K4234" s="7" t="n">
        <f aca="false">IFERROR(VALUE(RIGHT(TRIM(F4234),4)),"")</f>
        <v>2019</v>
      </c>
      <c r="L4234" s="7" t="str">
        <f aca="false">IF(TRIM(E4234)="","Unknown",IFERROR(LEFT(TRIM(E4234),FIND(",",TRIM(E4234))-1),TRIM(E4234)))</f>
        <v>India</v>
      </c>
      <c r="M4234" s="7" t="str">
        <f aca="false">IFERROR(LEFT(J4234,FIND(",",J4234)-1),J4234)</f>
        <v>Action &amp; Adventure</v>
      </c>
      <c r="N4234" s="7" t="n">
        <f aca="false">IF(B4234="Movie",IFERROR(VALUE(LEFT(I4234,FIND(" ",I4234)-1)),""),"")</f>
        <v>161</v>
      </c>
      <c r="O4234" s="7" t="str">
        <f aca="false">IF(B4234="TV Show",IFERROR(VALUE(LEFT(I4234,FIND(" ",I4234)-1)),""),"")</f>
        <v/>
      </c>
      <c r="P4234" s="7" t="n">
        <f aca="false">IF(K4234="","",K4234-G4234)</f>
        <v>40</v>
      </c>
    </row>
    <row r="4235" customFormat="false" ht="15" hidden="false" customHeight="false" outlineLevel="0" collapsed="false">
      <c r="A4235" s="7" t="n">
        <v>80990609</v>
      </c>
      <c r="B4235" s="7" t="s">
        <v>78</v>
      </c>
      <c r="C4235" s="7" t="s">
        <v>8703</v>
      </c>
      <c r="E4235" s="7" t="s">
        <v>33</v>
      </c>
      <c r="F4235" s="7" t="s">
        <v>8596</v>
      </c>
      <c r="G4235" s="7" t="n">
        <v>2019</v>
      </c>
      <c r="H4235" s="7" t="s">
        <v>48</v>
      </c>
      <c r="I4235" s="7" t="s">
        <v>82</v>
      </c>
      <c r="J4235" s="7" t="s">
        <v>4526</v>
      </c>
      <c r="K4235" s="7" t="n">
        <f aca="false">IFERROR(VALUE(RIGHT(TRIM(F4235),4)),"")</f>
        <v>2019</v>
      </c>
      <c r="L4235" s="7" t="str">
        <f aca="false">IF(TRIM(E4235)="","Unknown",IFERROR(LEFT(TRIM(E4235),FIND(",",TRIM(E4235))-1),TRIM(E4235)))</f>
        <v>Spain</v>
      </c>
      <c r="M4235" s="7" t="str">
        <f aca="false">IFERROR(LEFT(J4235,FIND(",",J4235)-1),J4235)</f>
        <v>International TV Shows</v>
      </c>
      <c r="N4235" s="7" t="str">
        <f aca="false">IF(B4235="Movie",IFERROR(VALUE(LEFT(I4235,FIND(" ",I4235)-1)),""),"")</f>
        <v/>
      </c>
      <c r="O4235" s="7" t="n">
        <f aca="false">IF(B4235="TV Show",IFERROR(VALUE(LEFT(I4235,FIND(" ",I4235)-1)),""),"")</f>
        <v>1</v>
      </c>
      <c r="P4235" s="7" t="n">
        <f aca="false">IF(K4235="","",K4235-G4235)</f>
        <v>0</v>
      </c>
    </row>
    <row r="4236" customFormat="false" ht="15" hidden="false" customHeight="false" outlineLevel="0" collapsed="false">
      <c r="A4236" s="7" t="n">
        <v>28371873</v>
      </c>
      <c r="B4236" s="7" t="s">
        <v>68</v>
      </c>
      <c r="C4236" s="7" t="s">
        <v>8704</v>
      </c>
      <c r="D4236" s="7" t="s">
        <v>8705</v>
      </c>
      <c r="E4236" s="7" t="s">
        <v>317</v>
      </c>
      <c r="F4236" s="7" t="s">
        <v>8596</v>
      </c>
      <c r="G4236" s="7" t="n">
        <v>1999</v>
      </c>
      <c r="H4236" s="7" t="s">
        <v>52</v>
      </c>
      <c r="I4236" s="7" t="s">
        <v>261</v>
      </c>
      <c r="J4236" s="7" t="s">
        <v>40</v>
      </c>
      <c r="K4236" s="7" t="n">
        <f aca="false">IFERROR(VALUE(RIGHT(TRIM(F4236),4)),"")</f>
        <v>2019</v>
      </c>
      <c r="L4236" s="7" t="str">
        <f aca="false">IF(TRIM(E4236)="","Unknown",IFERROR(LEFT(TRIM(E4236),FIND(",",TRIM(E4236))-1),TRIM(E4236)))</f>
        <v>United Kingdom</v>
      </c>
      <c r="M4236" s="7" t="str">
        <f aca="false">IFERROR(LEFT(J4236,FIND(",",J4236)-1),J4236)</f>
        <v>Action &amp; Adventure</v>
      </c>
      <c r="N4236" s="7" t="n">
        <f aca="false">IF(B4236="Movie",IFERROR(VALUE(LEFT(I4236,FIND(" ",I4236)-1)),""),"")</f>
        <v>128</v>
      </c>
      <c r="O4236" s="7" t="str">
        <f aca="false">IF(B4236="TV Show",IFERROR(VALUE(LEFT(I4236,FIND(" ",I4236)-1)),""),"")</f>
        <v/>
      </c>
      <c r="P4236" s="7" t="n">
        <f aca="false">IF(K4236="","",K4236-G4236)</f>
        <v>20</v>
      </c>
    </row>
    <row r="4237" customFormat="false" ht="15" hidden="false" customHeight="false" outlineLevel="0" collapsed="false">
      <c r="A4237" s="7" t="n">
        <v>17016471</v>
      </c>
      <c r="B4237" s="7" t="s">
        <v>68</v>
      </c>
      <c r="C4237" s="7" t="s">
        <v>8706</v>
      </c>
      <c r="D4237" s="7" t="s">
        <v>8707</v>
      </c>
      <c r="E4237" s="7" t="s">
        <v>317</v>
      </c>
      <c r="F4237" s="7" t="s">
        <v>8596</v>
      </c>
      <c r="G4237" s="7" t="n">
        <v>1997</v>
      </c>
      <c r="H4237" s="7" t="s">
        <v>52</v>
      </c>
      <c r="I4237" s="7" t="s">
        <v>519</v>
      </c>
      <c r="J4237" s="7" t="s">
        <v>40</v>
      </c>
      <c r="K4237" s="7" t="n">
        <f aca="false">IFERROR(VALUE(RIGHT(TRIM(F4237),4)),"")</f>
        <v>2019</v>
      </c>
      <c r="L4237" s="7" t="str">
        <f aca="false">IF(TRIM(E4237)="","Unknown",IFERROR(LEFT(TRIM(E4237),FIND(",",TRIM(E4237))-1),TRIM(E4237)))</f>
        <v>United Kingdom</v>
      </c>
      <c r="M4237" s="7" t="str">
        <f aca="false">IFERROR(LEFT(J4237,FIND(",",J4237)-1),J4237)</f>
        <v>Action &amp; Adventure</v>
      </c>
      <c r="N4237" s="7" t="n">
        <f aca="false">IF(B4237="Movie",IFERROR(VALUE(LEFT(I4237,FIND(" ",I4237)-1)),""),"")</f>
        <v>119</v>
      </c>
      <c r="O4237" s="7" t="str">
        <f aca="false">IF(B4237="TV Show",IFERROR(VALUE(LEFT(I4237,FIND(" ",I4237)-1)),""),"")</f>
        <v/>
      </c>
      <c r="P4237" s="7" t="n">
        <f aca="false">IF(K4237="","",K4237-G4237)</f>
        <v>22</v>
      </c>
    </row>
    <row r="4238" customFormat="false" ht="15" hidden="false" customHeight="false" outlineLevel="0" collapsed="false">
      <c r="A4238" s="7" t="n">
        <v>70065255</v>
      </c>
      <c r="B4238" s="7" t="s">
        <v>68</v>
      </c>
      <c r="C4238" s="7" t="s">
        <v>8708</v>
      </c>
      <c r="D4238" s="7" t="s">
        <v>1792</v>
      </c>
      <c r="E4238" s="7" t="s">
        <v>27</v>
      </c>
      <c r="F4238" s="7" t="s">
        <v>8596</v>
      </c>
      <c r="G4238" s="7" t="n">
        <v>2007</v>
      </c>
      <c r="H4238" s="7" t="s">
        <v>48</v>
      </c>
      <c r="I4238" s="7" t="s">
        <v>247</v>
      </c>
      <c r="J4238" s="7" t="s">
        <v>188</v>
      </c>
      <c r="K4238" s="7" t="n">
        <f aca="false">IFERROR(VALUE(RIGHT(TRIM(F4238),4)),"")</f>
        <v>2019</v>
      </c>
      <c r="L4238" s="7" t="str">
        <f aca="false">IF(TRIM(E4238)="","Unknown",IFERROR(LEFT(TRIM(E4238),FIND(",",TRIM(E4238))-1),TRIM(E4238)))</f>
        <v>India</v>
      </c>
      <c r="M4238" s="7" t="str">
        <f aca="false">IFERROR(LEFT(J4238,FIND(",",J4238)-1),J4238)</f>
        <v>Dramas</v>
      </c>
      <c r="N4238" s="7" t="n">
        <f aca="false">IF(B4238="Movie",IFERROR(VALUE(LEFT(I4238,FIND(" ",I4238)-1)),""),"")</f>
        <v>130</v>
      </c>
      <c r="O4238" s="7" t="str">
        <f aca="false">IF(B4238="TV Show",IFERROR(VALUE(LEFT(I4238,FIND(" ",I4238)-1)),""),"")</f>
        <v/>
      </c>
      <c r="P4238" s="7" t="n">
        <f aca="false">IF(K4238="","",K4238-G4238)</f>
        <v>12</v>
      </c>
    </row>
    <row r="4239" customFormat="false" ht="15" hidden="false" customHeight="false" outlineLevel="0" collapsed="false">
      <c r="A4239" s="7" t="n">
        <v>60021548</v>
      </c>
      <c r="B4239" s="7" t="s">
        <v>68</v>
      </c>
      <c r="C4239" s="7" t="s">
        <v>8709</v>
      </c>
      <c r="D4239" s="7" t="s">
        <v>3417</v>
      </c>
      <c r="E4239" s="7" t="s">
        <v>27</v>
      </c>
      <c r="F4239" s="7" t="s">
        <v>8596</v>
      </c>
      <c r="G4239" s="7" t="n">
        <v>1985</v>
      </c>
      <c r="H4239" s="7" t="s">
        <v>49</v>
      </c>
      <c r="I4239" s="7" t="s">
        <v>2192</v>
      </c>
      <c r="J4239" s="7" t="s">
        <v>198</v>
      </c>
      <c r="K4239" s="7" t="n">
        <f aca="false">IFERROR(VALUE(RIGHT(TRIM(F4239),4)),"")</f>
        <v>2019</v>
      </c>
      <c r="L4239" s="7" t="str">
        <f aca="false">IF(TRIM(E4239)="","Unknown",IFERROR(LEFT(TRIM(E4239),FIND(",",TRIM(E4239))-1),TRIM(E4239)))</f>
        <v>India</v>
      </c>
      <c r="M4239" s="7" t="str">
        <f aca="false">IFERROR(LEFT(J4239,FIND(",",J4239)-1),J4239)</f>
        <v>Comedies</v>
      </c>
      <c r="N4239" s="7" t="n">
        <f aca="false">IF(B4239="Movie",IFERROR(VALUE(LEFT(I4239,FIND(" ",I4239)-1)),""),"")</f>
        <v>134</v>
      </c>
      <c r="O4239" s="7" t="str">
        <f aca="false">IF(B4239="TV Show",IFERROR(VALUE(LEFT(I4239,FIND(" ",I4239)-1)),""),"")</f>
        <v/>
      </c>
      <c r="P4239" s="7" t="n">
        <f aca="false">IF(K4239="","",K4239-G4239)</f>
        <v>34</v>
      </c>
    </row>
    <row r="4240" customFormat="false" ht="15" hidden="false" customHeight="false" outlineLevel="0" collapsed="false">
      <c r="A4240" s="7" t="n">
        <v>81217438</v>
      </c>
      <c r="B4240" s="7" t="s">
        <v>68</v>
      </c>
      <c r="C4240" s="7" t="s">
        <v>8710</v>
      </c>
      <c r="D4240" s="7" t="s">
        <v>8711</v>
      </c>
      <c r="E4240" s="7" t="s">
        <v>3452</v>
      </c>
      <c r="F4240" s="7" t="s">
        <v>8596</v>
      </c>
      <c r="G4240" s="7" t="n">
        <v>2017</v>
      </c>
      <c r="H4240" s="7" t="s">
        <v>49</v>
      </c>
      <c r="I4240" s="7" t="s">
        <v>820</v>
      </c>
      <c r="J4240" s="7" t="s">
        <v>188</v>
      </c>
      <c r="K4240" s="7" t="n">
        <f aca="false">IFERROR(VALUE(RIGHT(TRIM(F4240),4)),"")</f>
        <v>2019</v>
      </c>
      <c r="L4240" s="7" t="str">
        <f aca="false">IF(TRIM(E4240)="","Unknown",IFERROR(LEFT(TRIM(E4240),FIND(",",TRIM(E4240))-1),TRIM(E4240)))</f>
        <v>Canada</v>
      </c>
      <c r="M4240" s="7" t="str">
        <f aca="false">IFERROR(LEFT(J4240,FIND(",",J4240)-1),J4240)</f>
        <v>Dramas</v>
      </c>
      <c r="N4240" s="7" t="n">
        <f aca="false">IF(B4240="Movie",IFERROR(VALUE(LEFT(I4240,FIND(" ",I4240)-1)),""),"")</f>
        <v>105</v>
      </c>
      <c r="O4240" s="7" t="str">
        <f aca="false">IF(B4240="TV Show",IFERROR(VALUE(LEFT(I4240,FIND(" ",I4240)-1)),""),"")</f>
        <v/>
      </c>
      <c r="P4240" s="7" t="n">
        <f aca="false">IF(K4240="","",K4240-G4240)</f>
        <v>2</v>
      </c>
    </row>
    <row r="4241" customFormat="false" ht="15" hidden="false" customHeight="false" outlineLevel="0" collapsed="false">
      <c r="A4241" s="7" t="n">
        <v>81213873</v>
      </c>
      <c r="B4241" s="7" t="s">
        <v>68</v>
      </c>
      <c r="C4241" s="7" t="s">
        <v>8712</v>
      </c>
      <c r="D4241" s="7" t="s">
        <v>8713</v>
      </c>
      <c r="E4241" s="7" t="s">
        <v>27</v>
      </c>
      <c r="F4241" s="7" t="s">
        <v>8596</v>
      </c>
      <c r="G4241" s="7" t="n">
        <v>2018</v>
      </c>
      <c r="H4241" s="7" t="s">
        <v>49</v>
      </c>
      <c r="I4241" s="7" t="s">
        <v>247</v>
      </c>
      <c r="J4241" s="7" t="s">
        <v>217</v>
      </c>
      <c r="K4241" s="7" t="n">
        <f aca="false">IFERROR(VALUE(RIGHT(TRIM(F4241),4)),"")</f>
        <v>2019</v>
      </c>
      <c r="L4241" s="7" t="str">
        <f aca="false">IF(TRIM(E4241)="","Unknown",IFERROR(LEFT(TRIM(E4241),FIND(",",TRIM(E4241))-1),TRIM(E4241)))</f>
        <v>India</v>
      </c>
      <c r="M4241" s="7" t="str">
        <f aca="false">IFERROR(LEFT(J4241,FIND(",",J4241)-1),J4241)</f>
        <v>Comedies</v>
      </c>
      <c r="N4241" s="7" t="n">
        <f aca="false">IF(B4241="Movie",IFERROR(VALUE(LEFT(I4241,FIND(" ",I4241)-1)),""),"")</f>
        <v>130</v>
      </c>
      <c r="O4241" s="7" t="str">
        <f aca="false">IF(B4241="TV Show",IFERROR(VALUE(LEFT(I4241,FIND(" ",I4241)-1)),""),"")</f>
        <v/>
      </c>
      <c r="P4241" s="7" t="n">
        <f aca="false">IF(K4241="","",K4241-G4241)</f>
        <v>1</v>
      </c>
    </row>
    <row r="4242" customFormat="false" ht="15" hidden="false" customHeight="false" outlineLevel="0" collapsed="false">
      <c r="A4242" s="7" t="n">
        <v>81213874</v>
      </c>
      <c r="B4242" s="7" t="s">
        <v>68</v>
      </c>
      <c r="C4242" s="7" t="s">
        <v>8714</v>
      </c>
      <c r="D4242" s="7" t="s">
        <v>8715</v>
      </c>
      <c r="E4242" s="7" t="s">
        <v>27</v>
      </c>
      <c r="F4242" s="7" t="s">
        <v>8596</v>
      </c>
      <c r="G4242" s="7" t="n">
        <v>2018</v>
      </c>
      <c r="H4242" s="7" t="s">
        <v>49</v>
      </c>
      <c r="I4242" s="7" t="s">
        <v>146</v>
      </c>
      <c r="J4242" s="7" t="s">
        <v>182</v>
      </c>
      <c r="K4242" s="7" t="n">
        <f aca="false">IFERROR(VALUE(RIGHT(TRIM(F4242),4)),"")</f>
        <v>2019</v>
      </c>
      <c r="L4242" s="7" t="str">
        <f aca="false">IF(TRIM(E4242)="","Unknown",IFERROR(LEFT(TRIM(E4242),FIND(",",TRIM(E4242))-1),TRIM(E4242)))</f>
        <v>India</v>
      </c>
      <c r="M4242" s="7" t="str">
        <f aca="false">IFERROR(LEFT(J4242,FIND(",",J4242)-1),J4242)</f>
        <v>Dramas</v>
      </c>
      <c r="N4242" s="7" t="n">
        <f aca="false">IF(B4242="Movie",IFERROR(VALUE(LEFT(I4242,FIND(" ",I4242)-1)),""),"")</f>
        <v>113</v>
      </c>
      <c r="O4242" s="7" t="str">
        <f aca="false">IF(B4242="TV Show",IFERROR(VALUE(LEFT(I4242,FIND(" ",I4242)-1)),""),"")</f>
        <v/>
      </c>
      <c r="P4242" s="7" t="n">
        <f aca="false">IF(K4242="","",K4242-G4242)</f>
        <v>1</v>
      </c>
    </row>
    <row r="4243" customFormat="false" ht="15" hidden="false" customHeight="false" outlineLevel="0" collapsed="false">
      <c r="A4243" s="7" t="n">
        <v>81203251</v>
      </c>
      <c r="B4243" s="7" t="s">
        <v>78</v>
      </c>
      <c r="C4243" s="7" t="s">
        <v>8716</v>
      </c>
      <c r="F4243" s="7" t="s">
        <v>8596</v>
      </c>
      <c r="G4243" s="7" t="n">
        <v>2019</v>
      </c>
      <c r="H4243" s="7" t="s">
        <v>49</v>
      </c>
      <c r="I4243" s="7" t="s">
        <v>82</v>
      </c>
      <c r="J4243" s="7" t="s">
        <v>344</v>
      </c>
      <c r="K4243" s="7" t="n">
        <f aca="false">IFERROR(VALUE(RIGHT(TRIM(F4243),4)),"")</f>
        <v>2019</v>
      </c>
      <c r="L4243" s="7" t="str">
        <f aca="false">IF(TRIM(E4243)="","Unknown",IFERROR(LEFT(TRIM(E4243),FIND(",",TRIM(E4243))-1),TRIM(E4243)))</f>
        <v>Unknown</v>
      </c>
      <c r="M4243" s="7" t="str">
        <f aca="false">IFERROR(LEFT(J4243,FIND(",",J4243)-1),J4243)</f>
        <v>International TV Shows</v>
      </c>
      <c r="N4243" s="7" t="str">
        <f aca="false">IF(B4243="Movie",IFERROR(VALUE(LEFT(I4243,FIND(" ",I4243)-1)),""),"")</f>
        <v/>
      </c>
      <c r="O4243" s="7" t="n">
        <f aca="false">IF(B4243="TV Show",IFERROR(VALUE(LEFT(I4243,FIND(" ",I4243)-1)),""),"")</f>
        <v>1</v>
      </c>
      <c r="P4243" s="7" t="n">
        <f aca="false">IF(K4243="","",K4243-G4243)</f>
        <v>0</v>
      </c>
    </row>
    <row r="4244" customFormat="false" ht="15" hidden="false" customHeight="false" outlineLevel="0" collapsed="false">
      <c r="A4244" s="7" t="n">
        <v>81213884</v>
      </c>
      <c r="B4244" s="7" t="s">
        <v>68</v>
      </c>
      <c r="C4244" s="7" t="s">
        <v>8717</v>
      </c>
      <c r="D4244" s="7" t="s">
        <v>8718</v>
      </c>
      <c r="E4244" s="7" t="s">
        <v>27</v>
      </c>
      <c r="F4244" s="7" t="s">
        <v>8596</v>
      </c>
      <c r="G4244" s="7" t="n">
        <v>2014</v>
      </c>
      <c r="H4244" s="7" t="s">
        <v>48</v>
      </c>
      <c r="I4244" s="7" t="s">
        <v>1707</v>
      </c>
      <c r="J4244" s="7" t="s">
        <v>217</v>
      </c>
      <c r="K4244" s="7" t="n">
        <f aca="false">IFERROR(VALUE(RIGHT(TRIM(F4244),4)),"")</f>
        <v>2019</v>
      </c>
      <c r="L4244" s="7" t="str">
        <f aca="false">IF(TRIM(E4244)="","Unknown",IFERROR(LEFT(TRIM(E4244),FIND(",",TRIM(E4244))-1),TRIM(E4244)))</f>
        <v>India</v>
      </c>
      <c r="M4244" s="7" t="str">
        <f aca="false">IFERROR(LEFT(J4244,FIND(",",J4244)-1),J4244)</f>
        <v>Comedies</v>
      </c>
      <c r="N4244" s="7" t="n">
        <f aca="false">IF(B4244="Movie",IFERROR(VALUE(LEFT(I4244,FIND(" ",I4244)-1)),""),"")</f>
        <v>131</v>
      </c>
      <c r="O4244" s="7" t="str">
        <f aca="false">IF(B4244="TV Show",IFERROR(VALUE(LEFT(I4244,FIND(" ",I4244)-1)),""),"")</f>
        <v/>
      </c>
      <c r="P4244" s="7" t="n">
        <f aca="false">IF(K4244="","",K4244-G4244)</f>
        <v>5</v>
      </c>
    </row>
    <row r="4245" customFormat="false" ht="15" hidden="false" customHeight="false" outlineLevel="0" collapsed="false">
      <c r="A4245" s="7" t="n">
        <v>81045989</v>
      </c>
      <c r="B4245" s="7" t="s">
        <v>68</v>
      </c>
      <c r="C4245" s="7" t="s">
        <v>8719</v>
      </c>
      <c r="D4245" s="7" t="s">
        <v>7603</v>
      </c>
      <c r="E4245" s="7" t="s">
        <v>28</v>
      </c>
      <c r="F4245" s="7" t="s">
        <v>8720</v>
      </c>
      <c r="G4245" s="7" t="n">
        <v>1991</v>
      </c>
      <c r="H4245" s="7" t="s">
        <v>48</v>
      </c>
      <c r="I4245" s="7" t="s">
        <v>1084</v>
      </c>
      <c r="J4245" s="7" t="s">
        <v>45</v>
      </c>
      <c r="K4245" s="7" t="n">
        <f aca="false">IFERROR(VALUE(RIGHT(TRIM(F4245),4)),"")</f>
        <v>2018</v>
      </c>
      <c r="L4245" s="7" t="str">
        <f aca="false">IF(TRIM(E4245)="","Unknown",IFERROR(LEFT(TRIM(E4245),FIND(",",TRIM(E4245))-1),TRIM(E4245)))</f>
        <v>United Kingdom</v>
      </c>
      <c r="M4245" s="7" t="str">
        <f aca="false">IFERROR(LEFT(J4245,FIND(",",J4245)-1),J4245)</f>
        <v>Stand-Up Comedy</v>
      </c>
      <c r="N4245" s="7" t="n">
        <f aca="false">IF(B4245="Movie",IFERROR(VALUE(LEFT(I4245,FIND(" ",I4245)-1)),""),"")</f>
        <v>28</v>
      </c>
      <c r="O4245" s="7" t="str">
        <f aca="false">IF(B4245="TV Show",IFERROR(VALUE(LEFT(I4245,FIND(" ",I4245)-1)),""),"")</f>
        <v/>
      </c>
      <c r="P4245" s="7" t="n">
        <f aca="false">IF(K4245="","",K4245-G4245)</f>
        <v>27</v>
      </c>
    </row>
    <row r="4246" customFormat="false" ht="15" hidden="false" customHeight="false" outlineLevel="0" collapsed="false">
      <c r="A4246" s="7" t="n">
        <v>81045990</v>
      </c>
      <c r="B4246" s="7" t="s">
        <v>68</v>
      </c>
      <c r="C4246" s="7" t="s">
        <v>8721</v>
      </c>
      <c r="F4246" s="7" t="s">
        <v>8720</v>
      </c>
      <c r="G4246" s="7" t="n">
        <v>2015</v>
      </c>
      <c r="H4246" s="7" t="s">
        <v>48</v>
      </c>
      <c r="I4246" s="7" t="s">
        <v>8722</v>
      </c>
      <c r="J4246" s="7" t="s">
        <v>39</v>
      </c>
      <c r="K4246" s="7" t="n">
        <f aca="false">IFERROR(VALUE(RIGHT(TRIM(F4246),4)),"")</f>
        <v>2018</v>
      </c>
      <c r="L4246" s="7" t="str">
        <f aca="false">IF(TRIM(E4246)="","Unknown",IFERROR(LEFT(TRIM(E4246),FIND(",",TRIM(E4246))-1),TRIM(E4246)))</f>
        <v>Unknown</v>
      </c>
      <c r="M4246" s="7" t="str">
        <f aca="false">IFERROR(LEFT(J4246,FIND(",",J4246)-1),J4246)</f>
        <v>Documentaries</v>
      </c>
      <c r="N4246" s="7" t="n">
        <f aca="false">IF(B4246="Movie",IFERROR(VALUE(LEFT(I4246,FIND(" ",I4246)-1)),""),"")</f>
        <v>34</v>
      </c>
      <c r="O4246" s="7" t="str">
        <f aca="false">IF(B4246="TV Show",IFERROR(VALUE(LEFT(I4246,FIND(" ",I4246)-1)),""),"")</f>
        <v/>
      </c>
      <c r="P4246" s="7" t="n">
        <f aca="false">IF(K4246="","",K4246-G4246)</f>
        <v>3</v>
      </c>
    </row>
    <row r="4247" customFormat="false" ht="15" hidden="false" customHeight="false" outlineLevel="0" collapsed="false">
      <c r="A4247" s="7" t="n">
        <v>70059483</v>
      </c>
      <c r="B4247" s="7" t="s">
        <v>68</v>
      </c>
      <c r="C4247" s="7" t="s">
        <v>8723</v>
      </c>
      <c r="D4247" s="7" t="s">
        <v>8724</v>
      </c>
      <c r="E4247" s="7" t="s">
        <v>28</v>
      </c>
      <c r="F4247" s="7" t="s">
        <v>8720</v>
      </c>
      <c r="G4247" s="7" t="n">
        <v>1992</v>
      </c>
      <c r="H4247" s="7" t="s">
        <v>48</v>
      </c>
      <c r="I4247" s="7" t="s">
        <v>123</v>
      </c>
      <c r="J4247" s="7" t="s">
        <v>45</v>
      </c>
      <c r="K4247" s="7" t="n">
        <f aca="false">IFERROR(VALUE(RIGHT(TRIM(F4247),4)),"")</f>
        <v>2018</v>
      </c>
      <c r="L4247" s="7" t="str">
        <f aca="false">IF(TRIM(E4247)="","Unknown",IFERROR(LEFT(TRIM(E4247),FIND(",",TRIM(E4247))-1),TRIM(E4247)))</f>
        <v>United Kingdom</v>
      </c>
      <c r="M4247" s="7" t="str">
        <f aca="false">IFERROR(LEFT(J4247,FIND(",",J4247)-1),J4247)</f>
        <v>Stand-Up Comedy</v>
      </c>
      <c r="N4247" s="7" t="n">
        <f aca="false">IF(B4247="Movie",IFERROR(VALUE(LEFT(I4247,FIND(" ",I4247)-1)),""),"")</f>
        <v>61</v>
      </c>
      <c r="O4247" s="7" t="str">
        <f aca="false">IF(B4247="TV Show",IFERROR(VALUE(LEFT(I4247,FIND(" ",I4247)-1)),""),"")</f>
        <v/>
      </c>
      <c r="P4247" s="7" t="n">
        <f aca="false">IF(K4247="","",K4247-G4247)</f>
        <v>26</v>
      </c>
    </row>
    <row r="4248" customFormat="false" ht="15" hidden="false" customHeight="false" outlineLevel="0" collapsed="false">
      <c r="A4248" s="7" t="n">
        <v>80108207</v>
      </c>
      <c r="B4248" s="7" t="s">
        <v>68</v>
      </c>
      <c r="C4248" s="7" t="s">
        <v>8725</v>
      </c>
      <c r="D4248" s="7" t="s">
        <v>8724</v>
      </c>
      <c r="E4248" s="7" t="s">
        <v>28</v>
      </c>
      <c r="F4248" s="7" t="s">
        <v>8720</v>
      </c>
      <c r="G4248" s="7" t="n">
        <v>1993</v>
      </c>
      <c r="H4248" s="7" t="s">
        <v>48</v>
      </c>
      <c r="I4248" s="7" t="s">
        <v>1599</v>
      </c>
      <c r="J4248" s="7" t="s">
        <v>45</v>
      </c>
      <c r="K4248" s="7" t="n">
        <f aca="false">IFERROR(VALUE(RIGHT(TRIM(F4248),4)),"")</f>
        <v>2018</v>
      </c>
      <c r="L4248" s="7" t="str">
        <f aca="false">IF(TRIM(E4248)="","Unknown",IFERROR(LEFT(TRIM(E4248),FIND(",",TRIM(E4248))-1),TRIM(E4248)))</f>
        <v>United Kingdom</v>
      </c>
      <c r="M4248" s="7" t="str">
        <f aca="false">IFERROR(LEFT(J4248,FIND(",",J4248)-1),J4248)</f>
        <v>Stand-Up Comedy</v>
      </c>
      <c r="N4248" s="7" t="n">
        <f aca="false">IF(B4248="Movie",IFERROR(VALUE(LEFT(I4248,FIND(" ",I4248)-1)),""),"")</f>
        <v>56</v>
      </c>
      <c r="O4248" s="7" t="str">
        <f aca="false">IF(B4248="TV Show",IFERROR(VALUE(LEFT(I4248,FIND(" ",I4248)-1)),""),"")</f>
        <v/>
      </c>
      <c r="P4248" s="7" t="n">
        <f aca="false">IF(K4248="","",K4248-G4248)</f>
        <v>25</v>
      </c>
    </row>
    <row r="4249" customFormat="false" ht="15" hidden="false" customHeight="false" outlineLevel="0" collapsed="false">
      <c r="A4249" s="7" t="n">
        <v>70043231</v>
      </c>
      <c r="B4249" s="7" t="s">
        <v>68</v>
      </c>
      <c r="C4249" s="7" t="s">
        <v>8726</v>
      </c>
      <c r="D4249" s="7" t="s">
        <v>8727</v>
      </c>
      <c r="E4249" s="7" t="s">
        <v>26</v>
      </c>
      <c r="F4249" s="7" t="s">
        <v>8720</v>
      </c>
      <c r="G4249" s="7" t="n">
        <v>1989</v>
      </c>
      <c r="H4249" s="7" t="s">
        <v>53</v>
      </c>
      <c r="I4249" s="7" t="s">
        <v>467</v>
      </c>
      <c r="J4249" s="7" t="s">
        <v>45</v>
      </c>
      <c r="K4249" s="7" t="n">
        <f aca="false">IFERROR(VALUE(RIGHT(TRIM(F4249),4)),"")</f>
        <v>2018</v>
      </c>
      <c r="L4249" s="7" t="str">
        <f aca="false">IF(TRIM(E4249)="","Unknown",IFERROR(LEFT(TRIM(E4249),FIND(",",TRIM(E4249))-1),TRIM(E4249)))</f>
        <v>United States</v>
      </c>
      <c r="M4249" s="7" t="str">
        <f aca="false">IFERROR(LEFT(J4249,FIND(",",J4249)-1),J4249)</f>
        <v>Stand-Up Comedy</v>
      </c>
      <c r="N4249" s="7" t="n">
        <f aca="false">IF(B4249="Movie",IFERROR(VALUE(LEFT(I4249,FIND(" ",I4249)-1)),""),"")</f>
        <v>81</v>
      </c>
      <c r="O4249" s="7" t="str">
        <f aca="false">IF(B4249="TV Show",IFERROR(VALUE(LEFT(I4249,FIND(" ",I4249)-1)),""),"")</f>
        <v/>
      </c>
      <c r="P4249" s="7" t="n">
        <f aca="false">IF(K4249="","",K4249-G4249)</f>
        <v>29</v>
      </c>
    </row>
    <row r="4250" customFormat="false" ht="15" hidden="false" customHeight="false" outlineLevel="0" collapsed="false">
      <c r="A4250" s="7" t="n">
        <v>81020868</v>
      </c>
      <c r="B4250" s="7" t="s">
        <v>78</v>
      </c>
      <c r="C4250" s="7" t="s">
        <v>8728</v>
      </c>
      <c r="E4250" s="7" t="s">
        <v>26</v>
      </c>
      <c r="F4250" s="7" t="s">
        <v>8720</v>
      </c>
      <c r="G4250" s="7" t="n">
        <v>2018</v>
      </c>
      <c r="H4250" s="7" t="s">
        <v>49</v>
      </c>
      <c r="I4250" s="7" t="s">
        <v>82</v>
      </c>
      <c r="J4250" s="7" t="s">
        <v>8181</v>
      </c>
      <c r="K4250" s="7" t="n">
        <f aca="false">IFERROR(VALUE(RIGHT(TRIM(F4250),4)),"")</f>
        <v>2018</v>
      </c>
      <c r="L4250" s="7" t="str">
        <f aca="false">IF(TRIM(E4250)="","Unknown",IFERROR(LEFT(TRIM(E4250),FIND(",",TRIM(E4250))-1),TRIM(E4250)))</f>
        <v>United States</v>
      </c>
      <c r="M4250" s="7" t="str">
        <f aca="false">IFERROR(LEFT(J4250,FIND(",",J4250)-1),J4250)</f>
        <v>Docuseries</v>
      </c>
      <c r="N4250" s="7" t="str">
        <f aca="false">IF(B4250="Movie",IFERROR(VALUE(LEFT(I4250,FIND(" ",I4250)-1)),""),"")</f>
        <v/>
      </c>
      <c r="O4250" s="7" t="n">
        <f aca="false">IF(B4250="TV Show",IFERROR(VALUE(LEFT(I4250,FIND(" ",I4250)-1)),""),"")</f>
        <v>1</v>
      </c>
      <c r="P4250" s="7" t="n">
        <f aca="false">IF(K4250="","",K4250-G4250)</f>
        <v>0</v>
      </c>
    </row>
    <row r="4251" customFormat="false" ht="15" hidden="false" customHeight="false" outlineLevel="0" collapsed="false">
      <c r="A4251" s="7" t="n">
        <v>81029634</v>
      </c>
      <c r="B4251" s="7" t="s">
        <v>78</v>
      </c>
      <c r="C4251" s="7" t="s">
        <v>8729</v>
      </c>
      <c r="F4251" s="7" t="s">
        <v>8720</v>
      </c>
      <c r="G4251" s="7" t="n">
        <v>2017</v>
      </c>
      <c r="H4251" s="7" t="s">
        <v>49</v>
      </c>
      <c r="I4251" s="7" t="s">
        <v>82</v>
      </c>
      <c r="J4251" s="7" t="s">
        <v>701</v>
      </c>
      <c r="K4251" s="7" t="n">
        <f aca="false">IFERROR(VALUE(RIGHT(TRIM(F4251),4)),"")</f>
        <v>2018</v>
      </c>
      <c r="L4251" s="7" t="str">
        <f aca="false">IF(TRIM(E4251)="","Unknown",IFERROR(LEFT(TRIM(E4251),FIND(",",TRIM(E4251))-1),TRIM(E4251)))</f>
        <v>Unknown</v>
      </c>
      <c r="M4251" s="7" t="str">
        <f aca="false">IFERROR(LEFT(J4251,FIND(",",J4251)-1),J4251)</f>
        <v>Reality TV</v>
      </c>
      <c r="N4251" s="7" t="str">
        <f aca="false">IF(B4251="Movie",IFERROR(VALUE(LEFT(I4251,FIND(" ",I4251)-1)),""),"")</f>
        <v/>
      </c>
      <c r="O4251" s="7" t="n">
        <f aca="false">IF(B4251="TV Show",IFERROR(VALUE(LEFT(I4251,FIND(" ",I4251)-1)),""),"")</f>
        <v>1</v>
      </c>
      <c r="P4251" s="7" t="n">
        <f aca="false">IF(K4251="","",K4251-G4251)</f>
        <v>1</v>
      </c>
    </row>
    <row r="4252" customFormat="false" ht="15" hidden="false" customHeight="false" outlineLevel="0" collapsed="false">
      <c r="A4252" s="7" t="n">
        <v>81045515</v>
      </c>
      <c r="B4252" s="7" t="s">
        <v>68</v>
      </c>
      <c r="C4252" s="7" t="s">
        <v>8730</v>
      </c>
      <c r="D4252" s="7" t="s">
        <v>8731</v>
      </c>
      <c r="F4252" s="7" t="s">
        <v>8720</v>
      </c>
      <c r="G4252" s="7" t="n">
        <v>2013</v>
      </c>
      <c r="H4252" s="7" t="s">
        <v>48</v>
      </c>
      <c r="I4252" s="7" t="s">
        <v>1020</v>
      </c>
      <c r="J4252" s="7" t="s">
        <v>45</v>
      </c>
      <c r="K4252" s="7" t="n">
        <f aca="false">IFERROR(VALUE(RIGHT(TRIM(F4252),4)),"")</f>
        <v>2018</v>
      </c>
      <c r="L4252" s="7" t="str">
        <f aca="false">IF(TRIM(E4252)="","Unknown",IFERROR(LEFT(TRIM(E4252),FIND(",",TRIM(E4252))-1),TRIM(E4252)))</f>
        <v>Unknown</v>
      </c>
      <c r="M4252" s="7" t="str">
        <f aca="false">IFERROR(LEFT(J4252,FIND(",",J4252)-1),J4252)</f>
        <v>Stand-Up Comedy</v>
      </c>
      <c r="N4252" s="7" t="n">
        <f aca="false">IF(B4252="Movie",IFERROR(VALUE(LEFT(I4252,FIND(" ",I4252)-1)),""),"")</f>
        <v>68</v>
      </c>
      <c r="O4252" s="7" t="str">
        <f aca="false">IF(B4252="TV Show",IFERROR(VALUE(LEFT(I4252,FIND(" ",I4252)-1)),""),"")</f>
        <v/>
      </c>
      <c r="P4252" s="7" t="n">
        <f aca="false">IF(K4252="","",K4252-G4252)</f>
        <v>5</v>
      </c>
    </row>
    <row r="4253" customFormat="false" ht="15" hidden="false" customHeight="false" outlineLevel="0" collapsed="false">
      <c r="A4253" s="7" t="n">
        <v>81045517</v>
      </c>
      <c r="B4253" s="7" t="s">
        <v>68</v>
      </c>
      <c r="C4253" s="7" t="s">
        <v>8732</v>
      </c>
      <c r="E4253" s="7" t="s">
        <v>28</v>
      </c>
      <c r="F4253" s="7" t="s">
        <v>8720</v>
      </c>
      <c r="G4253" s="7" t="n">
        <v>2008</v>
      </c>
      <c r="H4253" s="7" t="s">
        <v>48</v>
      </c>
      <c r="I4253" s="7" t="s">
        <v>114</v>
      </c>
      <c r="J4253" s="7" t="s">
        <v>45</v>
      </c>
      <c r="K4253" s="7" t="n">
        <f aca="false">IFERROR(VALUE(RIGHT(TRIM(F4253),4)),"")</f>
        <v>2018</v>
      </c>
      <c r="L4253" s="7" t="str">
        <f aca="false">IF(TRIM(E4253)="","Unknown",IFERROR(LEFT(TRIM(E4253),FIND(",",TRIM(E4253))-1),TRIM(E4253)))</f>
        <v>United Kingdom</v>
      </c>
      <c r="M4253" s="7" t="str">
        <f aca="false">IFERROR(LEFT(J4253,FIND(",",J4253)-1),J4253)</f>
        <v>Stand-Up Comedy</v>
      </c>
      <c r="N4253" s="7" t="n">
        <f aca="false">IF(B4253="Movie",IFERROR(VALUE(LEFT(I4253,FIND(" ",I4253)-1)),""),"")</f>
        <v>58</v>
      </c>
      <c r="O4253" s="7" t="str">
        <f aca="false">IF(B4253="TV Show",IFERROR(VALUE(LEFT(I4253,FIND(" ",I4253)-1)),""),"")</f>
        <v/>
      </c>
      <c r="P4253" s="7" t="n">
        <f aca="false">IF(K4253="","",K4253-G4253)</f>
        <v>10</v>
      </c>
    </row>
    <row r="4254" customFormat="false" ht="15" hidden="false" customHeight="false" outlineLevel="0" collapsed="false">
      <c r="A4254" s="7" t="n">
        <v>81032812</v>
      </c>
      <c r="B4254" s="7" t="s">
        <v>78</v>
      </c>
      <c r="C4254" s="7" t="s">
        <v>8733</v>
      </c>
      <c r="E4254" s="7" t="s">
        <v>28</v>
      </c>
      <c r="F4254" s="7" t="s">
        <v>8720</v>
      </c>
      <c r="G4254" s="7" t="n">
        <v>2018</v>
      </c>
      <c r="H4254" s="7" t="s">
        <v>48</v>
      </c>
      <c r="I4254" s="7" t="s">
        <v>82</v>
      </c>
      <c r="J4254" s="7" t="s">
        <v>701</v>
      </c>
      <c r="K4254" s="7" t="n">
        <f aca="false">IFERROR(VALUE(RIGHT(TRIM(F4254),4)),"")</f>
        <v>2018</v>
      </c>
      <c r="L4254" s="7" t="str">
        <f aca="false">IF(TRIM(E4254)="","Unknown",IFERROR(LEFT(TRIM(E4254),FIND(",",TRIM(E4254))-1),TRIM(E4254)))</f>
        <v>United Kingdom</v>
      </c>
      <c r="M4254" s="7" t="str">
        <f aca="false">IFERROR(LEFT(J4254,FIND(",",J4254)-1),J4254)</f>
        <v>Reality TV</v>
      </c>
      <c r="N4254" s="7" t="str">
        <f aca="false">IF(B4254="Movie",IFERROR(VALUE(LEFT(I4254,FIND(" ",I4254)-1)),""),"")</f>
        <v/>
      </c>
      <c r="O4254" s="7" t="n">
        <f aca="false">IF(B4254="TV Show",IFERROR(VALUE(LEFT(I4254,FIND(" ",I4254)-1)),""),"")</f>
        <v>1</v>
      </c>
      <c r="P4254" s="7" t="n">
        <f aca="false">IF(K4254="","",K4254-G4254)</f>
        <v>0</v>
      </c>
    </row>
    <row r="4255" customFormat="false" ht="15" hidden="false" customHeight="false" outlineLevel="0" collapsed="false">
      <c r="A4255" s="7" t="n">
        <v>80232095</v>
      </c>
      <c r="B4255" s="7" t="s">
        <v>68</v>
      </c>
      <c r="C4255" s="7" t="s">
        <v>8734</v>
      </c>
      <c r="D4255" s="7" t="s">
        <v>8735</v>
      </c>
      <c r="E4255" s="7" t="s">
        <v>34</v>
      </c>
      <c r="F4255" s="7" t="s">
        <v>8720</v>
      </c>
      <c r="G4255" s="7" t="n">
        <v>2016</v>
      </c>
      <c r="H4255" s="7" t="s">
        <v>48</v>
      </c>
      <c r="I4255" s="7" t="s">
        <v>205</v>
      </c>
      <c r="J4255" s="7" t="s">
        <v>699</v>
      </c>
      <c r="K4255" s="7" t="n">
        <f aca="false">IFERROR(VALUE(RIGHT(TRIM(F4255),4)),"")</f>
        <v>2018</v>
      </c>
      <c r="L4255" s="7" t="str">
        <f aca="false">IF(TRIM(E4255)="","Unknown",IFERROR(LEFT(TRIM(E4255),FIND(",",TRIM(E4255))-1),TRIM(E4255)))</f>
        <v>Mexico</v>
      </c>
      <c r="M4255" s="7" t="str">
        <f aca="false">IFERROR(LEFT(J4255,FIND(",",J4255)-1),J4255)</f>
        <v>Documentaries</v>
      </c>
      <c r="N4255" s="7" t="n">
        <f aca="false">IF(B4255="Movie",IFERROR(VALUE(LEFT(I4255,FIND(" ",I4255)-1)),""),"")</f>
        <v>100</v>
      </c>
      <c r="O4255" s="7" t="str">
        <f aca="false">IF(B4255="TV Show",IFERROR(VALUE(LEFT(I4255,FIND(" ",I4255)-1)),""),"")</f>
        <v/>
      </c>
      <c r="P4255" s="7" t="n">
        <f aca="false">IF(K4255="","",K4255-G4255)</f>
        <v>2</v>
      </c>
    </row>
    <row r="4256" customFormat="false" ht="15" hidden="false" customHeight="false" outlineLevel="0" collapsed="false">
      <c r="A4256" s="7" t="n">
        <v>60004393</v>
      </c>
      <c r="B4256" s="7" t="s">
        <v>68</v>
      </c>
      <c r="C4256" s="7" t="s">
        <v>8736</v>
      </c>
      <c r="D4256" s="7" t="s">
        <v>8737</v>
      </c>
      <c r="E4256" s="7" t="s">
        <v>26</v>
      </c>
      <c r="F4256" s="7" t="s">
        <v>8720</v>
      </c>
      <c r="G4256" s="7" t="n">
        <v>1987</v>
      </c>
      <c r="H4256" s="7" t="s">
        <v>48</v>
      </c>
      <c r="I4256" s="7" t="s">
        <v>1644</v>
      </c>
      <c r="J4256" s="7" t="s">
        <v>45</v>
      </c>
      <c r="K4256" s="7" t="n">
        <f aca="false">IFERROR(VALUE(RIGHT(TRIM(F4256),4)),"")</f>
        <v>2018</v>
      </c>
      <c r="L4256" s="7" t="str">
        <f aca="false">IF(TRIM(E4256)="","Unknown",IFERROR(LEFT(TRIM(E4256),FIND(",",TRIM(E4256))-1),TRIM(E4256)))</f>
        <v>United States</v>
      </c>
      <c r="M4256" s="7" t="str">
        <f aca="false">IFERROR(LEFT(J4256,FIND(",",J4256)-1),J4256)</f>
        <v>Stand-Up Comedy</v>
      </c>
      <c r="N4256" s="7" t="n">
        <f aca="false">IF(B4256="Movie",IFERROR(VALUE(LEFT(I4256,FIND(" ",I4256)-1)),""),"")</f>
        <v>50</v>
      </c>
      <c r="O4256" s="7" t="str">
        <f aca="false">IF(B4256="TV Show",IFERROR(VALUE(LEFT(I4256,FIND(" ",I4256)-1)),""),"")</f>
        <v/>
      </c>
      <c r="P4256" s="7" t="n">
        <f aca="false">IF(K4256="","",K4256-G4256)</f>
        <v>31</v>
      </c>
    </row>
    <row r="4257" customFormat="false" ht="15" hidden="false" customHeight="false" outlineLevel="0" collapsed="false">
      <c r="A4257" s="7" t="n">
        <v>70026468</v>
      </c>
      <c r="B4257" s="7" t="s">
        <v>68</v>
      </c>
      <c r="C4257" s="7" t="s">
        <v>8738</v>
      </c>
      <c r="D4257" s="7" t="s">
        <v>8737</v>
      </c>
      <c r="E4257" s="7" t="s">
        <v>26</v>
      </c>
      <c r="F4257" s="7" t="s">
        <v>8720</v>
      </c>
      <c r="G4257" s="7" t="n">
        <v>1991</v>
      </c>
      <c r="H4257" s="7" t="s">
        <v>48</v>
      </c>
      <c r="I4257" s="7" t="s">
        <v>5456</v>
      </c>
      <c r="J4257" s="7" t="s">
        <v>45</v>
      </c>
      <c r="K4257" s="7" t="n">
        <f aca="false">IFERROR(VALUE(RIGHT(TRIM(F4257),4)),"")</f>
        <v>2018</v>
      </c>
      <c r="L4257" s="7" t="str">
        <f aca="false">IF(TRIM(E4257)="","Unknown",IFERROR(LEFT(TRIM(E4257),FIND(",",TRIM(E4257))-1),TRIM(E4257)))</f>
        <v>United States</v>
      </c>
      <c r="M4257" s="7" t="str">
        <f aca="false">IFERROR(LEFT(J4257,FIND(",",J4257)-1),J4257)</f>
        <v>Stand-Up Comedy</v>
      </c>
      <c r="N4257" s="7" t="n">
        <f aca="false">IF(B4257="Movie",IFERROR(VALUE(LEFT(I4257,FIND(" ",I4257)-1)),""),"")</f>
        <v>49</v>
      </c>
      <c r="O4257" s="7" t="str">
        <f aca="false">IF(B4257="TV Show",IFERROR(VALUE(LEFT(I4257,FIND(" ",I4257)-1)),""),"")</f>
        <v/>
      </c>
      <c r="P4257" s="7" t="n">
        <f aca="false">IF(K4257="","",K4257-G4257)</f>
        <v>27</v>
      </c>
    </row>
    <row r="4258" customFormat="false" ht="15" hidden="false" customHeight="false" outlineLevel="0" collapsed="false">
      <c r="A4258" s="7" t="n">
        <v>81045512</v>
      </c>
      <c r="B4258" s="7" t="s">
        <v>68</v>
      </c>
      <c r="C4258" s="7" t="s">
        <v>8739</v>
      </c>
      <c r="D4258" s="7" t="s">
        <v>8737</v>
      </c>
      <c r="F4258" s="7" t="s">
        <v>8720</v>
      </c>
      <c r="G4258" s="7" t="n">
        <v>1991</v>
      </c>
      <c r="H4258" s="7" t="s">
        <v>48</v>
      </c>
      <c r="I4258" s="7" t="s">
        <v>861</v>
      </c>
      <c r="J4258" s="7" t="s">
        <v>45</v>
      </c>
      <c r="K4258" s="7" t="n">
        <f aca="false">IFERROR(VALUE(RIGHT(TRIM(F4258),4)),"")</f>
        <v>2018</v>
      </c>
      <c r="L4258" s="7" t="str">
        <f aca="false">IF(TRIM(E4258)="","Unknown",IFERROR(LEFT(TRIM(E4258),FIND(",",TRIM(E4258))-1),TRIM(E4258)))</f>
        <v>Unknown</v>
      </c>
      <c r="M4258" s="7" t="str">
        <f aca="false">IFERROR(LEFT(J4258,FIND(",",J4258)-1),J4258)</f>
        <v>Stand-Up Comedy</v>
      </c>
      <c r="N4258" s="7" t="n">
        <f aca="false">IF(B4258="Movie",IFERROR(VALUE(LEFT(I4258,FIND(" ",I4258)-1)),""),"")</f>
        <v>71</v>
      </c>
      <c r="O4258" s="7" t="str">
        <f aca="false">IF(B4258="TV Show",IFERROR(VALUE(LEFT(I4258,FIND(" ",I4258)-1)),""),"")</f>
        <v/>
      </c>
      <c r="P4258" s="7" t="n">
        <f aca="false">IF(K4258="","",K4258-G4258)</f>
        <v>27</v>
      </c>
    </row>
    <row r="4259" customFormat="false" ht="15" hidden="false" customHeight="false" outlineLevel="0" collapsed="false">
      <c r="A4259" s="7" t="n">
        <v>81045513</v>
      </c>
      <c r="B4259" s="7" t="s">
        <v>68</v>
      </c>
      <c r="C4259" s="7" t="s">
        <v>8740</v>
      </c>
      <c r="E4259" s="7" t="s">
        <v>26</v>
      </c>
      <c r="F4259" s="7" t="s">
        <v>8720</v>
      </c>
      <c r="G4259" s="7" t="n">
        <v>2016</v>
      </c>
      <c r="H4259" s="7" t="s">
        <v>48</v>
      </c>
      <c r="I4259" s="7" t="s">
        <v>1131</v>
      </c>
      <c r="J4259" s="7" t="s">
        <v>39</v>
      </c>
      <c r="K4259" s="7" t="n">
        <f aca="false">IFERROR(VALUE(RIGHT(TRIM(F4259),4)),"")</f>
        <v>2018</v>
      </c>
      <c r="L4259" s="7" t="str">
        <f aca="false">IF(TRIM(E4259)="","Unknown",IFERROR(LEFT(TRIM(E4259),FIND(",",TRIM(E4259))-1),TRIM(E4259)))</f>
        <v>United States</v>
      </c>
      <c r="M4259" s="7" t="str">
        <f aca="false">IFERROR(LEFT(J4259,FIND(",",J4259)-1),J4259)</f>
        <v>Documentaries</v>
      </c>
      <c r="N4259" s="7" t="n">
        <f aca="false">IF(B4259="Movie",IFERROR(VALUE(LEFT(I4259,FIND(" ",I4259)-1)),""),"")</f>
        <v>29</v>
      </c>
      <c r="O4259" s="7" t="str">
        <f aca="false">IF(B4259="TV Show",IFERROR(VALUE(LEFT(I4259,FIND(" ",I4259)-1)),""),"")</f>
        <v/>
      </c>
      <c r="P4259" s="7" t="n">
        <f aca="false">IF(K4259="","",K4259-G4259)</f>
        <v>2</v>
      </c>
    </row>
    <row r="4260" customFormat="false" ht="15" hidden="false" customHeight="false" outlineLevel="0" collapsed="false">
      <c r="A4260" s="7" t="n">
        <v>81034612</v>
      </c>
      <c r="B4260" s="7" t="s">
        <v>68</v>
      </c>
      <c r="C4260" s="7" t="s">
        <v>8741</v>
      </c>
      <c r="E4260" s="7" t="s">
        <v>970</v>
      </c>
      <c r="F4260" s="7" t="s">
        <v>8720</v>
      </c>
      <c r="G4260" s="7" t="n">
        <v>2018</v>
      </c>
      <c r="H4260" s="7" t="s">
        <v>49</v>
      </c>
      <c r="I4260" s="7" t="s">
        <v>268</v>
      </c>
      <c r="J4260" s="7" t="s">
        <v>486</v>
      </c>
      <c r="K4260" s="7" t="n">
        <f aca="false">IFERROR(VALUE(RIGHT(TRIM(F4260),4)),"")</f>
        <v>2018</v>
      </c>
      <c r="L4260" s="7" t="str">
        <f aca="false">IF(TRIM(E4260)="","Unknown",IFERROR(LEFT(TRIM(E4260),FIND(",",TRIM(E4260))-1),TRIM(E4260)))</f>
        <v>Taiwan</v>
      </c>
      <c r="M4260" s="7" t="str">
        <f aca="false">IFERROR(LEFT(J4260,FIND(",",J4260)-1),J4260)</f>
        <v>Comedies</v>
      </c>
      <c r="N4260" s="7" t="n">
        <f aca="false">IF(B4260="Movie",IFERROR(VALUE(LEFT(I4260,FIND(" ",I4260)-1)),""),"")</f>
        <v>108</v>
      </c>
      <c r="O4260" s="7" t="str">
        <f aca="false">IF(B4260="TV Show",IFERROR(VALUE(LEFT(I4260,FIND(" ",I4260)-1)),""),"")</f>
        <v/>
      </c>
      <c r="P4260" s="7" t="n">
        <f aca="false">IF(K4260="","",K4260-G4260)</f>
        <v>0</v>
      </c>
    </row>
    <row r="4261" customFormat="false" ht="15" hidden="false" customHeight="false" outlineLevel="0" collapsed="false">
      <c r="A4261" s="7" t="n">
        <v>81029647</v>
      </c>
      <c r="B4261" s="7" t="s">
        <v>78</v>
      </c>
      <c r="C4261" s="7" t="s">
        <v>8742</v>
      </c>
      <c r="E4261" s="7" t="s">
        <v>26</v>
      </c>
      <c r="F4261" s="7" t="s">
        <v>8720</v>
      </c>
      <c r="G4261" s="7" t="n">
        <v>2018</v>
      </c>
      <c r="H4261" s="7" t="s">
        <v>48</v>
      </c>
      <c r="I4261" s="7" t="s">
        <v>82</v>
      </c>
      <c r="J4261" s="7" t="s">
        <v>701</v>
      </c>
      <c r="K4261" s="7" t="n">
        <f aca="false">IFERROR(VALUE(RIGHT(TRIM(F4261),4)),"")</f>
        <v>2018</v>
      </c>
      <c r="L4261" s="7" t="str">
        <f aca="false">IF(TRIM(E4261)="","Unknown",IFERROR(LEFT(TRIM(E4261),FIND(",",TRIM(E4261))-1),TRIM(E4261)))</f>
        <v>United States</v>
      </c>
      <c r="M4261" s="7" t="str">
        <f aca="false">IFERROR(LEFT(J4261,FIND(",",J4261)-1),J4261)</f>
        <v>Reality TV</v>
      </c>
      <c r="N4261" s="7" t="str">
        <f aca="false">IF(B4261="Movie",IFERROR(VALUE(LEFT(I4261,FIND(" ",I4261)-1)),""),"")</f>
        <v/>
      </c>
      <c r="O4261" s="7" t="n">
        <f aca="false">IF(B4261="TV Show",IFERROR(VALUE(LEFT(I4261,FIND(" ",I4261)-1)),""),"")</f>
        <v>1</v>
      </c>
      <c r="P4261" s="7" t="n">
        <f aca="false">IF(K4261="","",K4261-G4261)</f>
        <v>0</v>
      </c>
    </row>
    <row r="4262" customFormat="false" ht="15" hidden="false" customHeight="false" outlineLevel="0" collapsed="false">
      <c r="A4262" s="7" t="n">
        <v>81026251</v>
      </c>
      <c r="B4262" s="7" t="s">
        <v>68</v>
      </c>
      <c r="C4262" s="7" t="s">
        <v>8743</v>
      </c>
      <c r="D4262" s="7" t="s">
        <v>4639</v>
      </c>
      <c r="F4262" s="7" t="s">
        <v>8720</v>
      </c>
      <c r="G4262" s="7" t="n">
        <v>2018</v>
      </c>
      <c r="H4262" s="7" t="s">
        <v>50</v>
      </c>
      <c r="I4262" s="7" t="s">
        <v>194</v>
      </c>
      <c r="J4262" s="7" t="s">
        <v>1927</v>
      </c>
      <c r="K4262" s="7" t="n">
        <f aca="false">IFERROR(VALUE(RIGHT(TRIM(F4262),4)),"")</f>
        <v>2018</v>
      </c>
      <c r="L4262" s="7" t="str">
        <f aca="false">IF(TRIM(E4262)="","Unknown",IFERROR(LEFT(TRIM(E4262),FIND(",",TRIM(E4262))-1),TRIM(E4262)))</f>
        <v>Unknown</v>
      </c>
      <c r="M4262" s="7" t="str">
        <f aca="false">IFERROR(LEFT(J4262,FIND(",",J4262)-1),J4262)</f>
        <v>Music &amp; Musicals</v>
      </c>
      <c r="N4262" s="7" t="n">
        <f aca="false">IF(B4262="Movie",IFERROR(VALUE(LEFT(I4262,FIND(" ",I4262)-1)),""),"")</f>
        <v>125</v>
      </c>
      <c r="O4262" s="7" t="str">
        <f aca="false">IF(B4262="TV Show",IFERROR(VALUE(LEFT(I4262,FIND(" ",I4262)-1)),""),"")</f>
        <v/>
      </c>
      <c r="P4262" s="7" t="n">
        <f aca="false">IF(K4262="","",K4262-G4262)</f>
        <v>0</v>
      </c>
    </row>
    <row r="4263" customFormat="false" ht="15" hidden="false" customHeight="false" outlineLevel="0" collapsed="false">
      <c r="A4263" s="7" t="n">
        <v>81031650</v>
      </c>
      <c r="B4263" s="7" t="s">
        <v>68</v>
      </c>
      <c r="C4263" s="7" t="s">
        <v>8744</v>
      </c>
      <c r="D4263" s="7" t="s">
        <v>8745</v>
      </c>
      <c r="E4263" s="7" t="s">
        <v>26</v>
      </c>
      <c r="F4263" s="7" t="s">
        <v>8720</v>
      </c>
      <c r="G4263" s="7" t="n">
        <v>2018</v>
      </c>
      <c r="H4263" s="7" t="s">
        <v>48</v>
      </c>
      <c r="I4263" s="7" t="s">
        <v>348</v>
      </c>
      <c r="J4263" s="7" t="s">
        <v>39</v>
      </c>
      <c r="K4263" s="7" t="n">
        <f aca="false">IFERROR(VALUE(RIGHT(TRIM(F4263),4)),"")</f>
        <v>2018</v>
      </c>
      <c r="L4263" s="7" t="str">
        <f aca="false">IF(TRIM(E4263)="","Unknown",IFERROR(LEFT(TRIM(E4263),FIND(",",TRIM(E4263))-1),TRIM(E4263)))</f>
        <v>United States</v>
      </c>
      <c r="M4263" s="7" t="str">
        <f aca="false">IFERROR(LEFT(J4263,FIND(",",J4263)-1),J4263)</f>
        <v>Documentaries</v>
      </c>
      <c r="N4263" s="7" t="n">
        <f aca="false">IF(B4263="Movie",IFERROR(VALUE(LEFT(I4263,FIND(" ",I4263)-1)),""),"")</f>
        <v>72</v>
      </c>
      <c r="O4263" s="7" t="str">
        <f aca="false">IF(B4263="TV Show",IFERROR(VALUE(LEFT(I4263,FIND(" ",I4263)-1)),""),"")</f>
        <v/>
      </c>
      <c r="P4263" s="7" t="n">
        <f aca="false">IF(K4263="","",K4263-G4263)</f>
        <v>0</v>
      </c>
    </row>
    <row r="4264" customFormat="false" ht="15" hidden="false" customHeight="false" outlineLevel="0" collapsed="false">
      <c r="A4264" s="7" t="n">
        <v>81006261</v>
      </c>
      <c r="B4264" s="7" t="s">
        <v>68</v>
      </c>
      <c r="C4264" s="7" t="s">
        <v>8746</v>
      </c>
      <c r="D4264" s="7" t="s">
        <v>1844</v>
      </c>
      <c r="E4264" s="7" t="s">
        <v>30</v>
      </c>
      <c r="F4264" s="7" t="s">
        <v>8720</v>
      </c>
      <c r="G4264" s="7" t="n">
        <v>2018</v>
      </c>
      <c r="H4264" s="7" t="s">
        <v>49</v>
      </c>
      <c r="I4264" s="7" t="s">
        <v>205</v>
      </c>
      <c r="J4264" s="7" t="s">
        <v>1032</v>
      </c>
      <c r="K4264" s="7" t="n">
        <f aca="false">IFERROR(VALUE(RIGHT(TRIM(F4264),4)),"")</f>
        <v>2018</v>
      </c>
      <c r="L4264" s="7" t="str">
        <f aca="false">IF(TRIM(E4264)="","Unknown",IFERROR(LEFT(TRIM(E4264),FIND(",",TRIM(E4264))-1),TRIM(E4264)))</f>
        <v>Japan</v>
      </c>
      <c r="M4264" s="7" t="str">
        <f aca="false">IFERROR(LEFT(J4264,FIND(",",J4264)-1),J4264)</f>
        <v>Action &amp; Adventure</v>
      </c>
      <c r="N4264" s="7" t="n">
        <f aca="false">IF(B4264="Movie",IFERROR(VALUE(LEFT(I4264,FIND(" ",I4264)-1)),""),"")</f>
        <v>100</v>
      </c>
      <c r="O4264" s="7" t="str">
        <f aca="false">IF(B4264="TV Show",IFERROR(VALUE(LEFT(I4264,FIND(" ",I4264)-1)),""),"")</f>
        <v/>
      </c>
      <c r="P4264" s="7" t="n">
        <f aca="false">IF(K4264="","",K4264-G4264)</f>
        <v>0</v>
      </c>
    </row>
    <row r="4265" customFormat="false" ht="15" hidden="false" customHeight="false" outlineLevel="0" collapsed="false">
      <c r="A4265" s="7" t="n">
        <v>81045509</v>
      </c>
      <c r="B4265" s="7" t="s">
        <v>68</v>
      </c>
      <c r="C4265" s="7" t="s">
        <v>8747</v>
      </c>
      <c r="D4265" s="7" t="s">
        <v>8748</v>
      </c>
      <c r="E4265" s="7" t="s">
        <v>26</v>
      </c>
      <c r="F4265" s="7" t="s">
        <v>8720</v>
      </c>
      <c r="G4265" s="7" t="n">
        <v>1990</v>
      </c>
      <c r="H4265" s="7" t="s">
        <v>49</v>
      </c>
      <c r="I4265" s="7" t="s">
        <v>2540</v>
      </c>
      <c r="J4265" s="7" t="s">
        <v>45</v>
      </c>
      <c r="K4265" s="7" t="n">
        <f aca="false">IFERROR(VALUE(RIGHT(TRIM(F4265),4)),"")</f>
        <v>2018</v>
      </c>
      <c r="L4265" s="7" t="str">
        <f aca="false">IF(TRIM(E4265)="","Unknown",IFERROR(LEFT(TRIM(E4265),FIND(",",TRIM(E4265))-1),TRIM(E4265)))</f>
        <v>United States</v>
      </c>
      <c r="M4265" s="7" t="str">
        <f aca="false">IFERROR(LEFT(J4265,FIND(",",J4265)-1),J4265)</f>
        <v>Stand-Up Comedy</v>
      </c>
      <c r="N4265" s="7" t="n">
        <f aca="false">IF(B4265="Movie",IFERROR(VALUE(LEFT(I4265,FIND(" ",I4265)-1)),""),"")</f>
        <v>30</v>
      </c>
      <c r="O4265" s="7" t="str">
        <f aca="false">IF(B4265="TV Show",IFERROR(VALUE(LEFT(I4265,FIND(" ",I4265)-1)),""),"")</f>
        <v/>
      </c>
      <c r="P4265" s="7" t="n">
        <f aca="false">IF(K4265="","",K4265-G4265)</f>
        <v>28</v>
      </c>
    </row>
    <row r="4266" customFormat="false" ht="15" hidden="false" customHeight="false" outlineLevel="0" collapsed="false">
      <c r="A4266" s="7" t="n">
        <v>81045510</v>
      </c>
      <c r="B4266" s="7" t="s">
        <v>68</v>
      </c>
      <c r="C4266" s="7" t="s">
        <v>8749</v>
      </c>
      <c r="E4266" s="7" t="s">
        <v>26</v>
      </c>
      <c r="F4266" s="7" t="s">
        <v>8720</v>
      </c>
      <c r="G4266" s="7" t="n">
        <v>1991</v>
      </c>
      <c r="H4266" s="7" t="s">
        <v>48</v>
      </c>
      <c r="I4266" s="7" t="s">
        <v>2540</v>
      </c>
      <c r="J4266" s="7" t="s">
        <v>45</v>
      </c>
      <c r="K4266" s="7" t="n">
        <f aca="false">IFERROR(VALUE(RIGHT(TRIM(F4266),4)),"")</f>
        <v>2018</v>
      </c>
      <c r="L4266" s="7" t="str">
        <f aca="false">IF(TRIM(E4266)="","Unknown",IFERROR(LEFT(TRIM(E4266),FIND(",",TRIM(E4266))-1),TRIM(E4266)))</f>
        <v>United States</v>
      </c>
      <c r="M4266" s="7" t="str">
        <f aca="false">IFERROR(LEFT(J4266,FIND(",",J4266)-1),J4266)</f>
        <v>Stand-Up Comedy</v>
      </c>
      <c r="N4266" s="7" t="n">
        <f aca="false">IF(B4266="Movie",IFERROR(VALUE(LEFT(I4266,FIND(" ",I4266)-1)),""),"")</f>
        <v>30</v>
      </c>
      <c r="O4266" s="7" t="str">
        <f aca="false">IF(B4266="TV Show",IFERROR(VALUE(LEFT(I4266,FIND(" ",I4266)-1)),""),"")</f>
        <v/>
      </c>
      <c r="P4266" s="7" t="n">
        <f aca="false">IF(K4266="","",K4266-G4266)</f>
        <v>27</v>
      </c>
    </row>
    <row r="4267" customFormat="false" ht="15" hidden="false" customHeight="false" outlineLevel="0" collapsed="false">
      <c r="A4267" s="7" t="n">
        <v>70298389</v>
      </c>
      <c r="B4267" s="7" t="s">
        <v>68</v>
      </c>
      <c r="C4267" s="7" t="s">
        <v>8750</v>
      </c>
      <c r="D4267" s="7" t="s">
        <v>8751</v>
      </c>
      <c r="E4267" s="7" t="s">
        <v>28</v>
      </c>
      <c r="F4267" s="7" t="s">
        <v>8720</v>
      </c>
      <c r="G4267" s="7" t="n">
        <v>2011</v>
      </c>
      <c r="H4267" s="7" t="s">
        <v>48</v>
      </c>
      <c r="I4267" s="7" t="s">
        <v>216</v>
      </c>
      <c r="J4267" s="7" t="s">
        <v>5396</v>
      </c>
      <c r="K4267" s="7" t="n">
        <f aca="false">IFERROR(VALUE(RIGHT(TRIM(F4267),4)),"")</f>
        <v>2018</v>
      </c>
      <c r="L4267" s="7" t="str">
        <f aca="false">IF(TRIM(E4267)="","Unknown",IFERROR(LEFT(TRIM(E4267),FIND(",",TRIM(E4267))-1),TRIM(E4267)))</f>
        <v>United Kingdom</v>
      </c>
      <c r="M4267" s="7" t="str">
        <f aca="false">IFERROR(LEFT(J4267,FIND(",",J4267)-1),J4267)</f>
        <v>Music &amp; Musicals</v>
      </c>
      <c r="N4267" s="7" t="n">
        <f aca="false">IF(B4267="Movie",IFERROR(VALUE(LEFT(I4267,FIND(" ",I4267)-1)),""),"")</f>
        <v>146</v>
      </c>
      <c r="O4267" s="7" t="str">
        <f aca="false">IF(B4267="TV Show",IFERROR(VALUE(LEFT(I4267,FIND(" ",I4267)-1)),""),"")</f>
        <v/>
      </c>
      <c r="P4267" s="7" t="n">
        <f aca="false">IF(K4267="","",K4267-G4267)</f>
        <v>7</v>
      </c>
    </row>
    <row r="4268" customFormat="false" ht="15" hidden="false" customHeight="false" outlineLevel="0" collapsed="false">
      <c r="A4268" s="7" t="n">
        <v>81045530</v>
      </c>
      <c r="B4268" s="7" t="s">
        <v>68</v>
      </c>
      <c r="C4268" s="7" t="s">
        <v>8752</v>
      </c>
      <c r="D4268" s="7" t="s">
        <v>8751</v>
      </c>
      <c r="E4268" s="7" t="s">
        <v>28</v>
      </c>
      <c r="F4268" s="7" t="s">
        <v>8720</v>
      </c>
      <c r="G4268" s="7" t="n">
        <v>2008</v>
      </c>
      <c r="H4268" s="7" t="s">
        <v>48</v>
      </c>
      <c r="I4268" s="7" t="s">
        <v>378</v>
      </c>
      <c r="J4268" s="7" t="s">
        <v>5396</v>
      </c>
      <c r="K4268" s="7" t="n">
        <f aca="false">IFERROR(VALUE(RIGHT(TRIM(F4268),4)),"")</f>
        <v>2018</v>
      </c>
      <c r="L4268" s="7" t="str">
        <f aca="false">IF(TRIM(E4268)="","Unknown",IFERROR(LEFT(TRIM(E4268),FIND(",",TRIM(E4268))-1),TRIM(E4268)))</f>
        <v>United Kingdom</v>
      </c>
      <c r="M4268" s="7" t="str">
        <f aca="false">IFERROR(LEFT(J4268,FIND(",",J4268)-1),J4268)</f>
        <v>Music &amp; Musicals</v>
      </c>
      <c r="N4268" s="7" t="n">
        <f aca="false">IF(B4268="Movie",IFERROR(VALUE(LEFT(I4268,FIND(" ",I4268)-1)),""),"")</f>
        <v>127</v>
      </c>
      <c r="O4268" s="7" t="str">
        <f aca="false">IF(B4268="TV Show",IFERROR(VALUE(LEFT(I4268,FIND(" ",I4268)-1)),""),"")</f>
        <v/>
      </c>
      <c r="P4268" s="7" t="n">
        <f aca="false">IF(K4268="","",K4268-G4268)</f>
        <v>10</v>
      </c>
    </row>
    <row r="4269" customFormat="false" ht="15" hidden="false" customHeight="false" outlineLevel="0" collapsed="false">
      <c r="A4269" s="7" t="n">
        <v>81045511</v>
      </c>
      <c r="B4269" s="7" t="s">
        <v>68</v>
      </c>
      <c r="C4269" s="7" t="s">
        <v>8753</v>
      </c>
      <c r="D4269" s="7" t="s">
        <v>1151</v>
      </c>
      <c r="E4269" s="7" t="s">
        <v>26</v>
      </c>
      <c r="F4269" s="7" t="s">
        <v>8720</v>
      </c>
      <c r="G4269" s="7" t="n">
        <v>2012</v>
      </c>
      <c r="H4269" s="7" t="s">
        <v>48</v>
      </c>
      <c r="I4269" s="7" t="s">
        <v>1175</v>
      </c>
      <c r="J4269" s="7" t="s">
        <v>45</v>
      </c>
      <c r="K4269" s="7" t="n">
        <f aca="false">IFERROR(VALUE(RIGHT(TRIM(F4269),4)),"")</f>
        <v>2018</v>
      </c>
      <c r="L4269" s="7" t="str">
        <f aca="false">IF(TRIM(E4269)="","Unknown",IFERROR(LEFT(TRIM(E4269),FIND(",",TRIM(E4269))-1),TRIM(E4269)))</f>
        <v>United States</v>
      </c>
      <c r="M4269" s="7" t="str">
        <f aca="false">IFERROR(LEFT(J4269,FIND(",",J4269)-1),J4269)</f>
        <v>Stand-Up Comedy</v>
      </c>
      <c r="N4269" s="7" t="n">
        <f aca="false">IF(B4269="Movie",IFERROR(VALUE(LEFT(I4269,FIND(" ",I4269)-1)),""),"")</f>
        <v>46</v>
      </c>
      <c r="O4269" s="7" t="str">
        <f aca="false">IF(B4269="TV Show",IFERROR(VALUE(LEFT(I4269,FIND(" ",I4269)-1)),""),"")</f>
        <v/>
      </c>
      <c r="P4269" s="7" t="n">
        <f aca="false">IF(K4269="","",K4269-G4269)</f>
        <v>6</v>
      </c>
    </row>
    <row r="4270" customFormat="false" ht="15" hidden="false" customHeight="false" outlineLevel="0" collapsed="false">
      <c r="A4270" s="7" t="n">
        <v>70266169</v>
      </c>
      <c r="B4270" s="7" t="s">
        <v>68</v>
      </c>
      <c r="C4270" s="7" t="s">
        <v>8754</v>
      </c>
      <c r="D4270" s="7" t="s">
        <v>8755</v>
      </c>
      <c r="E4270" s="7" t="s">
        <v>26</v>
      </c>
      <c r="F4270" s="7" t="s">
        <v>8720</v>
      </c>
      <c r="G4270" s="7" t="n">
        <v>2011</v>
      </c>
      <c r="H4270" s="7" t="s">
        <v>49</v>
      </c>
      <c r="I4270" s="7" t="s">
        <v>1164</v>
      </c>
      <c r="J4270" s="7" t="s">
        <v>45</v>
      </c>
      <c r="K4270" s="7" t="n">
        <f aca="false">IFERROR(VALUE(RIGHT(TRIM(F4270),4)),"")</f>
        <v>2018</v>
      </c>
      <c r="L4270" s="7" t="str">
        <f aca="false">IF(TRIM(E4270)="","Unknown",IFERROR(LEFT(TRIM(E4270),FIND(",",TRIM(E4270))-1),TRIM(E4270)))</f>
        <v>United States</v>
      </c>
      <c r="M4270" s="7" t="str">
        <f aca="false">IFERROR(LEFT(J4270,FIND(",",J4270)-1),J4270)</f>
        <v>Stand-Up Comedy</v>
      </c>
      <c r="N4270" s="7" t="n">
        <f aca="false">IF(B4270="Movie",IFERROR(VALUE(LEFT(I4270,FIND(" ",I4270)-1)),""),"")</f>
        <v>57</v>
      </c>
      <c r="O4270" s="7" t="str">
        <f aca="false">IF(B4270="TV Show",IFERROR(VALUE(LEFT(I4270,FIND(" ",I4270)-1)),""),"")</f>
        <v/>
      </c>
      <c r="P4270" s="7" t="n">
        <f aca="false">IF(K4270="","",K4270-G4270)</f>
        <v>7</v>
      </c>
    </row>
    <row r="4271" customFormat="false" ht="15" hidden="false" customHeight="false" outlineLevel="0" collapsed="false">
      <c r="A4271" s="7" t="n">
        <v>80198350</v>
      </c>
      <c r="B4271" s="7" t="s">
        <v>78</v>
      </c>
      <c r="C4271" s="7" t="s">
        <v>8756</v>
      </c>
      <c r="E4271" s="7" t="s">
        <v>855</v>
      </c>
      <c r="F4271" s="7" t="s">
        <v>8757</v>
      </c>
      <c r="G4271" s="7" t="n">
        <v>2016</v>
      </c>
      <c r="H4271" s="7" t="s">
        <v>119</v>
      </c>
      <c r="I4271" s="7" t="s">
        <v>82</v>
      </c>
      <c r="J4271" s="7" t="s">
        <v>44</v>
      </c>
      <c r="K4271" s="7" t="n">
        <f aca="false">IFERROR(VALUE(RIGHT(TRIM(F4271),4)),"")</f>
        <v>2017</v>
      </c>
      <c r="L4271" s="7" t="str">
        <f aca="false">IF(TRIM(E4271)="","Unknown",IFERROR(LEFT(TRIM(E4271),FIND(",",TRIM(E4271))-1),TRIM(E4271)))</f>
        <v>Italy</v>
      </c>
      <c r="M4271" s="7" t="str">
        <f aca="false">IFERROR(LEFT(J4271,FIND(",",J4271)-1),J4271)</f>
        <v>Kids' TV</v>
      </c>
      <c r="N4271" s="7" t="str">
        <f aca="false">IF(B4271="Movie",IFERROR(VALUE(LEFT(I4271,FIND(" ",I4271)-1)),""),"")</f>
        <v/>
      </c>
      <c r="O4271" s="7" t="n">
        <f aca="false">IF(B4271="TV Show",IFERROR(VALUE(LEFT(I4271,FIND(" ",I4271)-1)),""),"")</f>
        <v>1</v>
      </c>
      <c r="P4271" s="7" t="n">
        <f aca="false">IF(K4271="","",K4271-G4271)</f>
        <v>1</v>
      </c>
    </row>
    <row r="4272" customFormat="false" ht="15" hidden="false" customHeight="false" outlineLevel="0" collapsed="false">
      <c r="A4272" s="7" t="n">
        <v>80190585</v>
      </c>
      <c r="B4272" s="7" t="s">
        <v>68</v>
      </c>
      <c r="C4272" s="7" t="s">
        <v>8758</v>
      </c>
      <c r="D4272" s="7" t="s">
        <v>5820</v>
      </c>
      <c r="E4272" s="7" t="s">
        <v>29</v>
      </c>
      <c r="F4272" s="7" t="s">
        <v>8757</v>
      </c>
      <c r="G4272" s="7" t="n">
        <v>2017</v>
      </c>
      <c r="H4272" s="7" t="s">
        <v>48</v>
      </c>
      <c r="I4272" s="7" t="s">
        <v>340</v>
      </c>
      <c r="J4272" s="7" t="s">
        <v>39</v>
      </c>
      <c r="K4272" s="7" t="n">
        <f aca="false">IFERROR(VALUE(RIGHT(TRIM(F4272),4)),"")</f>
        <v>2017</v>
      </c>
      <c r="L4272" s="7" t="str">
        <f aca="false">IF(TRIM(E4272)="","Unknown",IFERROR(LEFT(TRIM(E4272),FIND(",",TRIM(E4272))-1),TRIM(E4272)))</f>
        <v>Canada</v>
      </c>
      <c r="M4272" s="7" t="str">
        <f aca="false">IFERROR(LEFT(J4272,FIND(",",J4272)-1),J4272)</f>
        <v>Documentaries</v>
      </c>
      <c r="N4272" s="7" t="n">
        <f aca="false">IF(B4272="Movie",IFERROR(VALUE(LEFT(I4272,FIND(" ",I4272)-1)),""),"")</f>
        <v>85</v>
      </c>
      <c r="O4272" s="7" t="str">
        <f aca="false">IF(B4272="TV Show",IFERROR(VALUE(LEFT(I4272,FIND(" ",I4272)-1)),""),"")</f>
        <v/>
      </c>
      <c r="P4272" s="7" t="n">
        <f aca="false">IF(K4272="","",K4272-G4272)</f>
        <v>0</v>
      </c>
    </row>
    <row r="4273" customFormat="false" ht="15" hidden="false" customHeight="false" outlineLevel="0" collapsed="false">
      <c r="A4273" s="7" t="n">
        <v>80210716</v>
      </c>
      <c r="B4273" s="7" t="s">
        <v>68</v>
      </c>
      <c r="C4273" s="7" t="s">
        <v>8759</v>
      </c>
      <c r="D4273" s="7" t="s">
        <v>8760</v>
      </c>
      <c r="E4273" s="7" t="s">
        <v>26</v>
      </c>
      <c r="F4273" s="7" t="s">
        <v>8757</v>
      </c>
      <c r="G4273" s="7" t="n">
        <v>2017</v>
      </c>
      <c r="H4273" s="7" t="s">
        <v>48</v>
      </c>
      <c r="I4273" s="7" t="s">
        <v>212</v>
      </c>
      <c r="J4273" s="7" t="s">
        <v>1085</v>
      </c>
      <c r="K4273" s="7" t="n">
        <f aca="false">IFERROR(VALUE(RIGHT(TRIM(F4273),4)),"")</f>
        <v>2017</v>
      </c>
      <c r="L4273" s="7" t="str">
        <f aca="false">IF(TRIM(E4273)="","Unknown",IFERROR(LEFT(TRIM(E4273),FIND(",",TRIM(E4273))-1),TRIM(E4273)))</f>
        <v>United States</v>
      </c>
      <c r="M4273" s="7" t="str">
        <f aca="false">IFERROR(LEFT(J4273,FIND(",",J4273)-1),J4273)</f>
        <v>Documentaries</v>
      </c>
      <c r="N4273" s="7" t="n">
        <f aca="false">IF(B4273="Movie",IFERROR(VALUE(LEFT(I4273,FIND(" ",I4273)-1)),""),"")</f>
        <v>86</v>
      </c>
      <c r="O4273" s="7" t="str">
        <f aca="false">IF(B4273="TV Show",IFERROR(VALUE(LEFT(I4273,FIND(" ",I4273)-1)),""),"")</f>
        <v/>
      </c>
      <c r="P4273" s="7" t="n">
        <f aca="false">IF(K4273="","",K4273-G4273)</f>
        <v>0</v>
      </c>
    </row>
    <row r="4274" customFormat="false" ht="15" hidden="false" customHeight="false" outlineLevel="0" collapsed="false">
      <c r="A4274" s="7" t="n">
        <v>80230402</v>
      </c>
      <c r="B4274" s="7" t="s">
        <v>78</v>
      </c>
      <c r="C4274" s="7" t="s">
        <v>8761</v>
      </c>
      <c r="D4274" s="7" t="s">
        <v>1163</v>
      </c>
      <c r="E4274" s="7" t="s">
        <v>26</v>
      </c>
      <c r="F4274" s="7" t="s">
        <v>8757</v>
      </c>
      <c r="G4274" s="7" t="n">
        <v>2017</v>
      </c>
      <c r="H4274" s="7" t="s">
        <v>48</v>
      </c>
      <c r="I4274" s="7" t="s">
        <v>82</v>
      </c>
      <c r="J4274" s="7" t="s">
        <v>795</v>
      </c>
      <c r="K4274" s="7" t="n">
        <f aca="false">IFERROR(VALUE(RIGHT(TRIM(F4274),4)),"")</f>
        <v>2017</v>
      </c>
      <c r="L4274" s="7" t="str">
        <f aca="false">IF(TRIM(E4274)="","Unknown",IFERROR(LEFT(TRIM(E4274),FIND(",",TRIM(E4274))-1),TRIM(E4274)))</f>
        <v>United States</v>
      </c>
      <c r="M4274" s="7" t="str">
        <f aca="false">IFERROR(LEFT(J4274,FIND(",",J4274)-1),J4274)</f>
        <v>Stand-Up Comedy &amp; Talk Shows</v>
      </c>
      <c r="N4274" s="7" t="str">
        <f aca="false">IF(B4274="Movie",IFERROR(VALUE(LEFT(I4274,FIND(" ",I4274)-1)),""),"")</f>
        <v/>
      </c>
      <c r="O4274" s="7" t="n">
        <f aca="false">IF(B4274="TV Show",IFERROR(VALUE(LEFT(I4274,FIND(" ",I4274)-1)),""),"")</f>
        <v>1</v>
      </c>
      <c r="P4274" s="7" t="n">
        <f aca="false">IF(K4274="","",K4274-G4274)</f>
        <v>0</v>
      </c>
    </row>
    <row r="4275" customFormat="false" ht="15" hidden="false" customHeight="false" outlineLevel="0" collapsed="false">
      <c r="A4275" s="7" t="n">
        <v>70205634</v>
      </c>
      <c r="B4275" s="7" t="s">
        <v>78</v>
      </c>
      <c r="C4275" s="7" t="s">
        <v>8762</v>
      </c>
      <c r="E4275" s="7" t="s">
        <v>34</v>
      </c>
      <c r="F4275" s="7" t="s">
        <v>8757</v>
      </c>
      <c r="G4275" s="7" t="n">
        <v>1979</v>
      </c>
      <c r="H4275" s="7" t="s">
        <v>50</v>
      </c>
      <c r="I4275" s="7" t="s">
        <v>82</v>
      </c>
      <c r="J4275" s="7" t="s">
        <v>8763</v>
      </c>
      <c r="K4275" s="7" t="n">
        <f aca="false">IFERROR(VALUE(RIGHT(TRIM(F4275),4)),"")</f>
        <v>2017</v>
      </c>
      <c r="L4275" s="7" t="str">
        <f aca="false">IF(TRIM(E4275)="","Unknown",IFERROR(LEFT(TRIM(E4275),FIND(",",TRIM(E4275))-1),TRIM(E4275)))</f>
        <v>Mexico</v>
      </c>
      <c r="M4275" s="7" t="str">
        <f aca="false">IFERROR(LEFT(J4275,FIND(",",J4275)-1),J4275)</f>
        <v>Classic &amp; Cult TV</v>
      </c>
      <c r="N4275" s="7" t="str">
        <f aca="false">IF(B4275="Movie",IFERROR(VALUE(LEFT(I4275,FIND(" ",I4275)-1)),""),"")</f>
        <v/>
      </c>
      <c r="O4275" s="7" t="n">
        <f aca="false">IF(B4275="TV Show",IFERROR(VALUE(LEFT(I4275,FIND(" ",I4275)-1)),""),"")</f>
        <v>1</v>
      </c>
      <c r="P4275" s="7" t="n">
        <f aca="false">IF(K4275="","",K4275-G4275)</f>
        <v>38</v>
      </c>
    </row>
    <row r="4276" customFormat="false" ht="15" hidden="false" customHeight="false" outlineLevel="0" collapsed="false">
      <c r="A4276" s="7" t="n">
        <v>80230465</v>
      </c>
      <c r="B4276" s="7" t="s">
        <v>68</v>
      </c>
      <c r="C4276" s="7" t="s">
        <v>8764</v>
      </c>
      <c r="D4276" s="7" t="s">
        <v>8765</v>
      </c>
      <c r="E4276" s="7" t="s">
        <v>31</v>
      </c>
      <c r="F4276" s="7" t="s">
        <v>8757</v>
      </c>
      <c r="G4276" s="7" t="n">
        <v>2014</v>
      </c>
      <c r="H4276" s="7" t="s">
        <v>49</v>
      </c>
      <c r="I4276" s="7" t="s">
        <v>272</v>
      </c>
      <c r="J4276" s="7" t="s">
        <v>341</v>
      </c>
      <c r="K4276" s="7" t="n">
        <f aca="false">IFERROR(VALUE(RIGHT(TRIM(F4276),4)),"")</f>
        <v>2017</v>
      </c>
      <c r="L4276" s="7" t="str">
        <f aca="false">IF(TRIM(E4276)="","Unknown",IFERROR(LEFT(TRIM(E4276),FIND(",",TRIM(E4276))-1),TRIM(E4276)))</f>
        <v>France</v>
      </c>
      <c r="M4276" s="7" t="str">
        <f aca="false">IFERROR(LEFT(J4276,FIND(",",J4276)-1),J4276)</f>
        <v>Documentaries</v>
      </c>
      <c r="N4276" s="7" t="n">
        <f aca="false">IF(B4276="Movie",IFERROR(VALUE(LEFT(I4276,FIND(" ",I4276)-1)),""),"")</f>
        <v>93</v>
      </c>
      <c r="O4276" s="7" t="str">
        <f aca="false">IF(B4276="TV Show",IFERROR(VALUE(LEFT(I4276,FIND(" ",I4276)-1)),""),"")</f>
        <v/>
      </c>
      <c r="P4276" s="7" t="n">
        <f aca="false">IF(K4276="","",K4276-G4276)</f>
        <v>3</v>
      </c>
    </row>
    <row r="4277" customFormat="false" ht="15" hidden="false" customHeight="false" outlineLevel="0" collapsed="false">
      <c r="A4277" s="7" t="n">
        <v>80144691</v>
      </c>
      <c r="B4277" s="7" t="s">
        <v>68</v>
      </c>
      <c r="C4277" s="7" t="s">
        <v>8766</v>
      </c>
      <c r="D4277" s="7" t="s">
        <v>8767</v>
      </c>
      <c r="F4277" s="7" t="s">
        <v>8757</v>
      </c>
      <c r="G4277" s="7" t="n">
        <v>2016</v>
      </c>
      <c r="H4277" s="7" t="s">
        <v>50</v>
      </c>
      <c r="I4277" s="7" t="s">
        <v>5456</v>
      </c>
      <c r="J4277" s="7" t="s">
        <v>341</v>
      </c>
      <c r="K4277" s="7" t="n">
        <f aca="false">IFERROR(VALUE(RIGHT(TRIM(F4277),4)),"")</f>
        <v>2017</v>
      </c>
      <c r="L4277" s="7" t="str">
        <f aca="false">IF(TRIM(E4277)="","Unknown",IFERROR(LEFT(TRIM(E4277),FIND(",",TRIM(E4277))-1),TRIM(E4277)))</f>
        <v>Unknown</v>
      </c>
      <c r="M4277" s="7" t="str">
        <f aca="false">IFERROR(LEFT(J4277,FIND(",",J4277)-1),J4277)</f>
        <v>Documentaries</v>
      </c>
      <c r="N4277" s="7" t="n">
        <f aca="false">IF(B4277="Movie",IFERROR(VALUE(LEFT(I4277,FIND(" ",I4277)-1)),""),"")</f>
        <v>49</v>
      </c>
      <c r="O4277" s="7" t="str">
        <f aca="false">IF(B4277="TV Show",IFERROR(VALUE(LEFT(I4277,FIND(" ",I4277)-1)),""),"")</f>
        <v/>
      </c>
      <c r="P4277" s="7" t="n">
        <f aca="false">IF(K4277="","",K4277-G4277)</f>
        <v>1</v>
      </c>
    </row>
    <row r="4278" customFormat="false" ht="15" hidden="false" customHeight="false" outlineLevel="0" collapsed="false">
      <c r="A4278" s="7" t="n">
        <v>80168234</v>
      </c>
      <c r="B4278" s="7" t="s">
        <v>68</v>
      </c>
      <c r="C4278" s="7" t="s">
        <v>8768</v>
      </c>
      <c r="D4278" s="7" t="s">
        <v>8769</v>
      </c>
      <c r="E4278" s="7" t="s">
        <v>26</v>
      </c>
      <c r="F4278" s="7" t="s">
        <v>8757</v>
      </c>
      <c r="G4278" s="7" t="n">
        <v>2017</v>
      </c>
      <c r="H4278" s="7" t="s">
        <v>51</v>
      </c>
      <c r="I4278" s="7" t="s">
        <v>437</v>
      </c>
      <c r="J4278" s="7" t="s">
        <v>202</v>
      </c>
      <c r="K4278" s="7" t="n">
        <f aca="false">IFERROR(VALUE(RIGHT(TRIM(F4278),4)),"")</f>
        <v>2017</v>
      </c>
      <c r="L4278" s="7" t="str">
        <f aca="false">IF(TRIM(E4278)="","Unknown",IFERROR(LEFT(TRIM(E4278),FIND(",",TRIM(E4278))-1),TRIM(E4278)))</f>
        <v>United States</v>
      </c>
      <c r="M4278" s="7" t="str">
        <f aca="false">IFERROR(LEFT(J4278,FIND(",",J4278)-1),J4278)</f>
        <v>Comedies</v>
      </c>
      <c r="N4278" s="7" t="n">
        <f aca="false">IF(B4278="Movie",IFERROR(VALUE(LEFT(I4278,FIND(" ",I4278)-1)),""),"")</f>
        <v>82</v>
      </c>
      <c r="O4278" s="7" t="str">
        <f aca="false">IF(B4278="TV Show",IFERROR(VALUE(LEFT(I4278,FIND(" ",I4278)-1)),""),"")</f>
        <v/>
      </c>
      <c r="P4278" s="7" t="n">
        <f aca="false">IF(K4278="","",K4278-G4278)</f>
        <v>0</v>
      </c>
    </row>
    <row r="4279" customFormat="false" ht="15" hidden="false" customHeight="false" outlineLevel="0" collapsed="false">
      <c r="A4279" s="7" t="n">
        <v>80221778</v>
      </c>
      <c r="B4279" s="7" t="s">
        <v>78</v>
      </c>
      <c r="C4279" s="7" t="s">
        <v>8770</v>
      </c>
      <c r="D4279" s="7" t="s">
        <v>8771</v>
      </c>
      <c r="E4279" s="7" t="s">
        <v>8772</v>
      </c>
      <c r="F4279" s="7" t="s">
        <v>8757</v>
      </c>
      <c r="G4279" s="7" t="n">
        <v>2011</v>
      </c>
      <c r="H4279" s="7" t="s">
        <v>119</v>
      </c>
      <c r="I4279" s="7" t="s">
        <v>82</v>
      </c>
      <c r="J4279" s="7" t="s">
        <v>191</v>
      </c>
      <c r="K4279" s="7" t="n">
        <f aca="false">IFERROR(VALUE(RIGHT(TRIM(F4279),4)),"")</f>
        <v>2017</v>
      </c>
      <c r="L4279" s="7" t="str">
        <f aca="false">IF(TRIM(E4279)="","Unknown",IFERROR(LEFT(TRIM(E4279),FIND(",",TRIM(E4279))-1),TRIM(E4279)))</f>
        <v>Italy</v>
      </c>
      <c r="M4279" s="7" t="str">
        <f aca="false">IFERROR(LEFT(J4279,FIND(",",J4279)-1),J4279)</f>
        <v>Kids' TV</v>
      </c>
      <c r="N4279" s="7" t="str">
        <f aca="false">IF(B4279="Movie",IFERROR(VALUE(LEFT(I4279,FIND(" ",I4279)-1)),""),"")</f>
        <v/>
      </c>
      <c r="O4279" s="7" t="n">
        <f aca="false">IF(B4279="TV Show",IFERROR(VALUE(LEFT(I4279,FIND(" ",I4279)-1)),""),"")</f>
        <v>1</v>
      </c>
      <c r="P4279" s="7" t="n">
        <f aca="false">IF(K4279="","",K4279-G4279)</f>
        <v>6</v>
      </c>
    </row>
    <row r="4280" customFormat="false" ht="15" hidden="false" customHeight="false" outlineLevel="0" collapsed="false">
      <c r="A4280" s="7" t="n">
        <v>80184972</v>
      </c>
      <c r="B4280" s="7" t="s">
        <v>68</v>
      </c>
      <c r="C4280" s="7" t="s">
        <v>8773</v>
      </c>
      <c r="D4280" s="7" t="s">
        <v>8774</v>
      </c>
      <c r="E4280" s="7" t="s">
        <v>8775</v>
      </c>
      <c r="F4280" s="7" t="s">
        <v>8757</v>
      </c>
      <c r="G4280" s="7" t="n">
        <v>2017</v>
      </c>
      <c r="H4280" s="7" t="s">
        <v>48</v>
      </c>
      <c r="I4280" s="7" t="s">
        <v>205</v>
      </c>
      <c r="J4280" s="7" t="s">
        <v>265</v>
      </c>
      <c r="K4280" s="7" t="n">
        <f aca="false">IFERROR(VALUE(RIGHT(TRIM(F4280),4)),"")</f>
        <v>2017</v>
      </c>
      <c r="L4280" s="7" t="str">
        <f aca="false">IF(TRIM(E4280)="","Unknown",IFERROR(LEFT(TRIM(E4280),FIND(",",TRIM(E4280))-1),TRIM(E4280)))</f>
        <v>Thailand</v>
      </c>
      <c r="M4280" s="7" t="str">
        <f aca="false">IFERROR(LEFT(J4280,FIND(",",J4280)-1),J4280)</f>
        <v>Horror Movies</v>
      </c>
      <c r="N4280" s="7" t="n">
        <f aca="false">IF(B4280="Movie",IFERROR(VALUE(LEFT(I4280,FIND(" ",I4280)-1)),""),"")</f>
        <v>100</v>
      </c>
      <c r="O4280" s="7" t="str">
        <f aca="false">IF(B4280="TV Show",IFERROR(VALUE(LEFT(I4280,FIND(" ",I4280)-1)),""),"")</f>
        <v/>
      </c>
      <c r="P4280" s="7" t="n">
        <f aca="false">IF(K4280="","",K4280-G4280)</f>
        <v>0</v>
      </c>
    </row>
    <row r="4281" customFormat="false" ht="15" hidden="false" customHeight="false" outlineLevel="0" collapsed="false">
      <c r="A4281" s="7" t="n">
        <v>80029102</v>
      </c>
      <c r="B4281" s="7" t="s">
        <v>78</v>
      </c>
      <c r="C4281" s="7" t="s">
        <v>8776</v>
      </c>
      <c r="E4281" s="7" t="s">
        <v>34</v>
      </c>
      <c r="F4281" s="7" t="s">
        <v>8757</v>
      </c>
      <c r="G4281" s="7" t="n">
        <v>2013</v>
      </c>
      <c r="H4281" s="7" t="s">
        <v>49</v>
      </c>
      <c r="I4281" s="7" t="s">
        <v>82</v>
      </c>
      <c r="J4281" s="7" t="s">
        <v>5918</v>
      </c>
      <c r="K4281" s="7" t="n">
        <f aca="false">IFERROR(VALUE(RIGHT(TRIM(F4281),4)),"")</f>
        <v>2017</v>
      </c>
      <c r="L4281" s="7" t="str">
        <f aca="false">IF(TRIM(E4281)="","Unknown",IFERROR(LEFT(TRIM(E4281),FIND(",",TRIM(E4281))-1),TRIM(E4281)))</f>
        <v>Mexico</v>
      </c>
      <c r="M4281" s="7" t="str">
        <f aca="false">IFERROR(LEFT(J4281,FIND(",",J4281)-1),J4281)</f>
        <v>Crime TV Shows</v>
      </c>
      <c r="N4281" s="7" t="str">
        <f aca="false">IF(B4281="Movie",IFERROR(VALUE(LEFT(I4281,FIND(" ",I4281)-1)),""),"")</f>
        <v/>
      </c>
      <c r="O4281" s="7" t="n">
        <f aca="false">IF(B4281="TV Show",IFERROR(VALUE(LEFT(I4281,FIND(" ",I4281)-1)),""),"")</f>
        <v>1</v>
      </c>
      <c r="P4281" s="7" t="n">
        <f aca="false">IF(K4281="","",K4281-G4281)</f>
        <v>4</v>
      </c>
    </row>
    <row r="4282" customFormat="false" ht="15" hidden="false" customHeight="false" outlineLevel="0" collapsed="false">
      <c r="A4282" s="7" t="n">
        <v>80208084</v>
      </c>
      <c r="B4282" s="7" t="s">
        <v>68</v>
      </c>
      <c r="C4282" s="7" t="s">
        <v>8777</v>
      </c>
      <c r="D4282" s="7" t="s">
        <v>8778</v>
      </c>
      <c r="E4282" s="7" t="s">
        <v>5469</v>
      </c>
      <c r="F4282" s="7" t="s">
        <v>8757</v>
      </c>
      <c r="G4282" s="7" t="n">
        <v>2012</v>
      </c>
      <c r="H4282" s="7" t="s">
        <v>50</v>
      </c>
      <c r="I4282" s="7" t="s">
        <v>1595</v>
      </c>
      <c r="J4282" s="7" t="s">
        <v>341</v>
      </c>
      <c r="K4282" s="7" t="n">
        <f aca="false">IFERROR(VALUE(RIGHT(TRIM(F4282),4)),"")</f>
        <v>2017</v>
      </c>
      <c r="L4282" s="7" t="str">
        <f aca="false">IF(TRIM(E4282)="","Unknown",IFERROR(LEFT(TRIM(E4282),FIND(",",TRIM(E4282))-1),TRIM(E4282)))</f>
        <v>Israel</v>
      </c>
      <c r="M4282" s="7" t="str">
        <f aca="false">IFERROR(LEFT(J4282,FIND(",",J4282)-1),J4282)</f>
        <v>Documentaries</v>
      </c>
      <c r="N4282" s="7" t="n">
        <f aca="false">IF(B4282="Movie",IFERROR(VALUE(LEFT(I4282,FIND(" ",I4282)-1)),""),"")</f>
        <v>55</v>
      </c>
      <c r="O4282" s="7" t="str">
        <f aca="false">IF(B4282="TV Show",IFERROR(VALUE(LEFT(I4282,FIND(" ",I4282)-1)),""),"")</f>
        <v/>
      </c>
      <c r="P4282" s="7" t="n">
        <f aca="false">IF(K4282="","",K4282-G4282)</f>
        <v>5</v>
      </c>
    </row>
    <row r="4283" customFormat="false" ht="15" hidden="false" customHeight="false" outlineLevel="0" collapsed="false">
      <c r="A4283" s="7" t="n">
        <v>70205710</v>
      </c>
      <c r="B4283" s="7" t="s">
        <v>78</v>
      </c>
      <c r="C4283" s="7" t="s">
        <v>8779</v>
      </c>
      <c r="E4283" s="7" t="s">
        <v>34</v>
      </c>
      <c r="F4283" s="7" t="s">
        <v>8757</v>
      </c>
      <c r="G4283" s="7" t="n">
        <v>2004</v>
      </c>
      <c r="H4283" s="7" t="s">
        <v>49</v>
      </c>
      <c r="I4283" s="7" t="s">
        <v>82</v>
      </c>
      <c r="J4283" s="7" t="s">
        <v>2521</v>
      </c>
      <c r="K4283" s="7" t="n">
        <f aca="false">IFERROR(VALUE(RIGHT(TRIM(F4283),4)),"")</f>
        <v>2017</v>
      </c>
      <c r="L4283" s="7" t="str">
        <f aca="false">IF(TRIM(E4283)="","Unknown",IFERROR(LEFT(TRIM(E4283),FIND(",",TRIM(E4283))-1),TRIM(E4283)))</f>
        <v>Mexico</v>
      </c>
      <c r="M4283" s="7" t="str">
        <f aca="false">IFERROR(LEFT(J4283,FIND(",",J4283)-1),J4283)</f>
        <v>International TV Shows</v>
      </c>
      <c r="N4283" s="7" t="str">
        <f aca="false">IF(B4283="Movie",IFERROR(VALUE(LEFT(I4283,FIND(" ",I4283)-1)),""),"")</f>
        <v/>
      </c>
      <c r="O4283" s="7" t="n">
        <f aca="false">IF(B4283="TV Show",IFERROR(VALUE(LEFT(I4283,FIND(" ",I4283)-1)),""),"")</f>
        <v>1</v>
      </c>
      <c r="P4283" s="7" t="n">
        <f aca="false">IF(K4283="","",K4283-G4283)</f>
        <v>13</v>
      </c>
    </row>
    <row r="4284" customFormat="false" ht="15" hidden="false" customHeight="false" outlineLevel="0" collapsed="false">
      <c r="A4284" s="7" t="n">
        <v>70205714</v>
      </c>
      <c r="B4284" s="7" t="s">
        <v>78</v>
      </c>
      <c r="C4284" s="7" t="s">
        <v>8780</v>
      </c>
      <c r="E4284" s="7" t="s">
        <v>34</v>
      </c>
      <c r="F4284" s="7" t="s">
        <v>8757</v>
      </c>
      <c r="G4284" s="7" t="n">
        <v>2004</v>
      </c>
      <c r="H4284" s="7" t="s">
        <v>50</v>
      </c>
      <c r="I4284" s="7" t="s">
        <v>82</v>
      </c>
      <c r="J4284" s="7" t="s">
        <v>2521</v>
      </c>
      <c r="K4284" s="7" t="n">
        <f aca="false">IFERROR(VALUE(RIGHT(TRIM(F4284),4)),"")</f>
        <v>2017</v>
      </c>
      <c r="L4284" s="7" t="str">
        <f aca="false">IF(TRIM(E4284)="","Unknown",IFERROR(LEFT(TRIM(E4284),FIND(",",TRIM(E4284))-1),TRIM(E4284)))</f>
        <v>Mexico</v>
      </c>
      <c r="M4284" s="7" t="str">
        <f aca="false">IFERROR(LEFT(J4284,FIND(",",J4284)-1),J4284)</f>
        <v>International TV Shows</v>
      </c>
      <c r="N4284" s="7" t="str">
        <f aca="false">IF(B4284="Movie",IFERROR(VALUE(LEFT(I4284,FIND(" ",I4284)-1)),""),"")</f>
        <v/>
      </c>
      <c r="O4284" s="7" t="n">
        <f aca="false">IF(B4284="TV Show",IFERROR(VALUE(LEFT(I4284,FIND(" ",I4284)-1)),""),"")</f>
        <v>1</v>
      </c>
      <c r="P4284" s="7" t="n">
        <f aca="false">IF(K4284="","",K4284-G4284)</f>
        <v>13</v>
      </c>
    </row>
    <row r="4285" customFormat="false" ht="15" hidden="false" customHeight="false" outlineLevel="0" collapsed="false">
      <c r="A4285" s="7" t="n">
        <v>70236010</v>
      </c>
      <c r="B4285" s="7" t="s">
        <v>78</v>
      </c>
      <c r="C4285" s="7" t="s">
        <v>8781</v>
      </c>
      <c r="E4285" s="7" t="s">
        <v>34</v>
      </c>
      <c r="F4285" s="7" t="s">
        <v>8757</v>
      </c>
      <c r="G4285" s="7" t="n">
        <v>2010</v>
      </c>
      <c r="H4285" s="7" t="s">
        <v>50</v>
      </c>
      <c r="I4285" s="7" t="s">
        <v>82</v>
      </c>
      <c r="J4285" s="7" t="s">
        <v>2521</v>
      </c>
      <c r="K4285" s="7" t="n">
        <f aca="false">IFERROR(VALUE(RIGHT(TRIM(F4285),4)),"")</f>
        <v>2017</v>
      </c>
      <c r="L4285" s="7" t="str">
        <f aca="false">IF(TRIM(E4285)="","Unknown",IFERROR(LEFT(TRIM(E4285),FIND(",",TRIM(E4285))-1),TRIM(E4285)))</f>
        <v>Mexico</v>
      </c>
      <c r="M4285" s="7" t="str">
        <f aca="false">IFERROR(LEFT(J4285,FIND(",",J4285)-1),J4285)</f>
        <v>International TV Shows</v>
      </c>
      <c r="N4285" s="7" t="str">
        <f aca="false">IF(B4285="Movie",IFERROR(VALUE(LEFT(I4285,FIND(" ",I4285)-1)),""),"")</f>
        <v/>
      </c>
      <c r="O4285" s="7" t="n">
        <f aca="false">IF(B4285="TV Show",IFERROR(VALUE(LEFT(I4285,FIND(" ",I4285)-1)),""),"")</f>
        <v>1</v>
      </c>
      <c r="P4285" s="7" t="n">
        <f aca="false">IF(K4285="","",K4285-G4285)</f>
        <v>7</v>
      </c>
    </row>
    <row r="4286" customFormat="false" ht="15" hidden="false" customHeight="false" outlineLevel="0" collapsed="false">
      <c r="A4286" s="7" t="n">
        <v>80208212</v>
      </c>
      <c r="B4286" s="7" t="s">
        <v>68</v>
      </c>
      <c r="C4286" s="7" t="s">
        <v>8782</v>
      </c>
      <c r="D4286" s="7" t="s">
        <v>8783</v>
      </c>
      <c r="E4286" s="7" t="s">
        <v>8784</v>
      </c>
      <c r="F4286" s="7" t="s">
        <v>8757</v>
      </c>
      <c r="G4286" s="7" t="n">
        <v>2010</v>
      </c>
      <c r="H4286" s="7" t="s">
        <v>49</v>
      </c>
      <c r="I4286" s="7" t="s">
        <v>3882</v>
      </c>
      <c r="J4286" s="7" t="s">
        <v>341</v>
      </c>
      <c r="K4286" s="7" t="n">
        <f aca="false">IFERROR(VALUE(RIGHT(TRIM(F4286),4)),"")</f>
        <v>2017</v>
      </c>
      <c r="L4286" s="7" t="str">
        <f aca="false">IF(TRIM(E4286)="","Unknown",IFERROR(LEFT(TRIM(E4286),FIND(",",TRIM(E4286))-1),TRIM(E4286)))</f>
        <v>Japan</v>
      </c>
      <c r="M4286" s="7" t="str">
        <f aca="false">IFERROR(LEFT(J4286,FIND(",",J4286)-1),J4286)</f>
        <v>Documentaries</v>
      </c>
      <c r="N4286" s="7" t="n">
        <f aca="false">IF(B4286="Movie",IFERROR(VALUE(LEFT(I4286,FIND(" ",I4286)-1)),""),"")</f>
        <v>53</v>
      </c>
      <c r="O4286" s="7" t="str">
        <f aca="false">IF(B4286="TV Show",IFERROR(VALUE(LEFT(I4286,FIND(" ",I4286)-1)),""),"")</f>
        <v/>
      </c>
      <c r="P4286" s="7" t="n">
        <f aca="false">IF(K4286="","",K4286-G4286)</f>
        <v>7</v>
      </c>
    </row>
    <row r="4287" customFormat="false" ht="15" hidden="false" customHeight="false" outlineLevel="0" collapsed="false">
      <c r="A4287" s="7" t="n">
        <v>80218432</v>
      </c>
      <c r="B4287" s="7" t="s">
        <v>68</v>
      </c>
      <c r="C4287" s="7" t="s">
        <v>8785</v>
      </c>
      <c r="D4287" s="7" t="s">
        <v>8786</v>
      </c>
      <c r="E4287" s="7" t="s">
        <v>28</v>
      </c>
      <c r="F4287" s="7" t="s">
        <v>8757</v>
      </c>
      <c r="G4287" s="7" t="n">
        <v>2017</v>
      </c>
      <c r="H4287" s="7" t="s">
        <v>226</v>
      </c>
      <c r="I4287" s="7" t="s">
        <v>494</v>
      </c>
      <c r="J4287" s="7" t="s">
        <v>42</v>
      </c>
      <c r="K4287" s="7" t="n">
        <f aca="false">IFERROR(VALUE(RIGHT(TRIM(F4287),4)),"")</f>
        <v>2017</v>
      </c>
      <c r="L4287" s="7" t="str">
        <f aca="false">IF(TRIM(E4287)="","Unknown",IFERROR(LEFT(TRIM(E4287),FIND(",",TRIM(E4287))-1),TRIM(E4287)))</f>
        <v>United Kingdom</v>
      </c>
      <c r="M4287" s="7" t="str">
        <f aca="false">IFERROR(LEFT(J4287,FIND(",",J4287)-1),J4287)</f>
        <v>Children &amp; Family Movies</v>
      </c>
      <c r="N4287" s="7" t="n">
        <f aca="false">IF(B4287="Movie",IFERROR(VALUE(LEFT(I4287,FIND(" ",I4287)-1)),""),"")</f>
        <v>87</v>
      </c>
      <c r="O4287" s="7" t="str">
        <f aca="false">IF(B4287="TV Show",IFERROR(VALUE(LEFT(I4287,FIND(" ",I4287)-1)),""),"")</f>
        <v/>
      </c>
      <c r="P4287" s="7" t="n">
        <f aca="false">IF(K4287="","",K4287-G4287)</f>
        <v>0</v>
      </c>
    </row>
    <row r="4288" customFormat="false" ht="15" hidden="false" customHeight="false" outlineLevel="0" collapsed="false">
      <c r="A4288" s="7" t="n">
        <v>80115134</v>
      </c>
      <c r="B4288" s="7" t="s">
        <v>68</v>
      </c>
      <c r="C4288" s="7" t="s">
        <v>8787</v>
      </c>
      <c r="D4288" s="7" t="s">
        <v>8788</v>
      </c>
      <c r="E4288" s="7" t="s">
        <v>26</v>
      </c>
      <c r="F4288" s="7" t="s">
        <v>8789</v>
      </c>
      <c r="G4288" s="7" t="n">
        <v>2016</v>
      </c>
      <c r="H4288" s="7" t="s">
        <v>48</v>
      </c>
      <c r="I4288" s="7" t="s">
        <v>272</v>
      </c>
      <c r="J4288" s="7" t="s">
        <v>597</v>
      </c>
      <c r="K4288" s="7" t="n">
        <f aca="false">IFERROR(VALUE(RIGHT(TRIM(F4288),4)),"")</f>
        <v>2016</v>
      </c>
      <c r="L4288" s="7" t="str">
        <f aca="false">IF(TRIM(E4288)="","Unknown",IFERROR(LEFT(TRIM(E4288),FIND(",",TRIM(E4288))-1),TRIM(E4288)))</f>
        <v>United States</v>
      </c>
      <c r="M4288" s="7" t="str">
        <f aca="false">IFERROR(LEFT(J4288,FIND(",",J4288)-1),J4288)</f>
        <v>Dramas</v>
      </c>
      <c r="N4288" s="7" t="n">
        <f aca="false">IF(B4288="Movie",IFERROR(VALUE(LEFT(I4288,FIND(" ",I4288)-1)),""),"")</f>
        <v>93</v>
      </c>
      <c r="O4288" s="7" t="str">
        <f aca="false">IF(B4288="TV Show",IFERROR(VALUE(LEFT(I4288,FIND(" ",I4288)-1)),""),"")</f>
        <v/>
      </c>
      <c r="P4288" s="7" t="n">
        <f aca="false">IF(K4288="","",K4288-G4288)</f>
        <v>0</v>
      </c>
    </row>
    <row r="4289" customFormat="false" ht="15" hidden="false" customHeight="false" outlineLevel="0" collapsed="false">
      <c r="A4289" s="7" t="n">
        <v>80098284</v>
      </c>
      <c r="B4289" s="7" t="s">
        <v>68</v>
      </c>
      <c r="C4289" s="7" t="s">
        <v>8790</v>
      </c>
      <c r="D4289" s="7" t="s">
        <v>8791</v>
      </c>
      <c r="E4289" s="7" t="s">
        <v>34</v>
      </c>
      <c r="F4289" s="7" t="s">
        <v>8789</v>
      </c>
      <c r="G4289" s="7" t="n">
        <v>2016</v>
      </c>
      <c r="H4289" s="7" t="s">
        <v>48</v>
      </c>
      <c r="I4289" s="7" t="s">
        <v>451</v>
      </c>
      <c r="J4289" s="7" t="s">
        <v>188</v>
      </c>
      <c r="K4289" s="7" t="n">
        <f aca="false">IFERROR(VALUE(RIGHT(TRIM(F4289),4)),"")</f>
        <v>2016</v>
      </c>
      <c r="L4289" s="7" t="str">
        <f aca="false">IF(TRIM(E4289)="","Unknown",IFERROR(LEFT(TRIM(E4289),FIND(",",TRIM(E4289))-1),TRIM(E4289)))</f>
        <v>Mexico</v>
      </c>
      <c r="M4289" s="7" t="str">
        <f aca="false">IFERROR(LEFT(J4289,FIND(",",J4289)-1),J4289)</f>
        <v>Dramas</v>
      </c>
      <c r="N4289" s="7" t="n">
        <f aca="false">IF(B4289="Movie",IFERROR(VALUE(LEFT(I4289,FIND(" ",I4289)-1)),""),"")</f>
        <v>97</v>
      </c>
      <c r="O4289" s="7" t="str">
        <f aca="false">IF(B4289="TV Show",IFERROR(VALUE(LEFT(I4289,FIND(" ",I4289)-1)),""),"")</f>
        <v/>
      </c>
      <c r="P4289" s="7" t="n">
        <f aca="false">IF(K4289="","",K4289-G4289)</f>
        <v>0</v>
      </c>
    </row>
    <row r="4290" customFormat="false" ht="15" hidden="false" customHeight="false" outlineLevel="0" collapsed="false">
      <c r="A4290" s="7" t="n">
        <v>80024132</v>
      </c>
      <c r="B4290" s="7" t="s">
        <v>78</v>
      </c>
      <c r="C4290" s="7" t="s">
        <v>8792</v>
      </c>
      <c r="E4290" s="7" t="s">
        <v>26</v>
      </c>
      <c r="F4290" s="7" t="s">
        <v>8793</v>
      </c>
      <c r="G4290" s="7" t="n">
        <v>2015</v>
      </c>
      <c r="H4290" s="7" t="s">
        <v>49</v>
      </c>
      <c r="I4290" s="7" t="s">
        <v>82</v>
      </c>
      <c r="J4290" s="7" t="s">
        <v>553</v>
      </c>
      <c r="K4290" s="7" t="n">
        <f aca="false">IFERROR(VALUE(RIGHT(TRIM(F4290),4)),"")</f>
        <v>2015</v>
      </c>
      <c r="L4290" s="7" t="str">
        <f aca="false">IF(TRIM(E4290)="","Unknown",IFERROR(LEFT(TRIM(E4290),FIND(",",TRIM(E4290))-1),TRIM(E4290)))</f>
        <v>United States</v>
      </c>
      <c r="M4290" s="7" t="str">
        <f aca="false">IFERROR(LEFT(J4290,FIND(",",J4290)-1),J4290)</f>
        <v>Crime TV Shows</v>
      </c>
      <c r="N4290" s="7" t="str">
        <f aca="false">IF(B4290="Movie",IFERROR(VALUE(LEFT(I4290,FIND(" ",I4290)-1)),""),"")</f>
        <v/>
      </c>
      <c r="O4290" s="7" t="n">
        <f aca="false">IF(B4290="TV Show",IFERROR(VALUE(LEFT(I4290,FIND(" ",I4290)-1)),""),"")</f>
        <v>1</v>
      </c>
      <c r="P4290" s="7" t="n">
        <f aca="false">IF(K4290="","",K4290-G4290)</f>
        <v>0</v>
      </c>
    </row>
    <row r="4291" customFormat="false" ht="15" hidden="false" customHeight="false" outlineLevel="0" collapsed="false">
      <c r="A4291" s="7" t="n">
        <v>81054849</v>
      </c>
      <c r="B4291" s="7" t="s">
        <v>78</v>
      </c>
      <c r="C4291" s="7" t="s">
        <v>8794</v>
      </c>
      <c r="F4291" s="7" t="s">
        <v>8795</v>
      </c>
      <c r="G4291" s="7" t="n">
        <v>2019</v>
      </c>
      <c r="H4291" s="7" t="s">
        <v>49</v>
      </c>
      <c r="I4291" s="7" t="s">
        <v>82</v>
      </c>
      <c r="J4291" s="7" t="s">
        <v>542</v>
      </c>
      <c r="K4291" s="7" t="n">
        <f aca="false">IFERROR(VALUE(RIGHT(TRIM(F4291),4)),"")</f>
        <v>2019</v>
      </c>
      <c r="L4291" s="7" t="str">
        <f aca="false">IF(TRIM(E4291)="","Unknown",IFERROR(LEFT(TRIM(E4291),FIND(",",TRIM(E4291))-1),TRIM(E4291)))</f>
        <v>Unknown</v>
      </c>
      <c r="M4291" s="7" t="str">
        <f aca="false">IFERROR(LEFT(J4291,FIND(",",J4291)-1),J4291)</f>
        <v>Anime Series</v>
      </c>
      <c r="N4291" s="7" t="str">
        <f aca="false">IF(B4291="Movie",IFERROR(VALUE(LEFT(I4291,FIND(" ",I4291)-1)),""),"")</f>
        <v/>
      </c>
      <c r="O4291" s="7" t="n">
        <f aca="false">IF(B4291="TV Show",IFERROR(VALUE(LEFT(I4291,FIND(" ",I4291)-1)),""),"")</f>
        <v>1</v>
      </c>
      <c r="P4291" s="7" t="n">
        <f aca="false">IF(K4291="","",K4291-G4291)</f>
        <v>0</v>
      </c>
    </row>
    <row r="4292" customFormat="false" ht="15" hidden="false" customHeight="false" outlineLevel="0" collapsed="false">
      <c r="A4292" s="7" t="n">
        <v>80220761</v>
      </c>
      <c r="B4292" s="7" t="s">
        <v>68</v>
      </c>
      <c r="C4292" s="7" t="s">
        <v>8796</v>
      </c>
      <c r="D4292" s="7" t="s">
        <v>8797</v>
      </c>
      <c r="E4292" s="7" t="s">
        <v>26</v>
      </c>
      <c r="F4292" s="7" t="s">
        <v>8798</v>
      </c>
      <c r="G4292" s="7" t="n">
        <v>2018</v>
      </c>
      <c r="H4292" s="7" t="s">
        <v>48</v>
      </c>
      <c r="I4292" s="7" t="s">
        <v>494</v>
      </c>
      <c r="J4292" s="7" t="s">
        <v>39</v>
      </c>
      <c r="K4292" s="7" t="n">
        <f aca="false">IFERROR(VALUE(RIGHT(TRIM(F4292),4)),"")</f>
        <v>2018</v>
      </c>
      <c r="L4292" s="7" t="str">
        <f aca="false">IF(TRIM(E4292)="","Unknown",IFERROR(LEFT(TRIM(E4292),FIND(",",TRIM(E4292))-1),TRIM(E4292)))</f>
        <v>United States</v>
      </c>
      <c r="M4292" s="7" t="str">
        <f aca="false">IFERROR(LEFT(J4292,FIND(",",J4292)-1),J4292)</f>
        <v>Documentaries</v>
      </c>
      <c r="N4292" s="7" t="n">
        <f aca="false">IF(B4292="Movie",IFERROR(VALUE(LEFT(I4292,FIND(" ",I4292)-1)),""),"")</f>
        <v>87</v>
      </c>
      <c r="O4292" s="7" t="str">
        <f aca="false">IF(B4292="TV Show",IFERROR(VALUE(LEFT(I4292,FIND(" ",I4292)-1)),""),"")</f>
        <v/>
      </c>
      <c r="P4292" s="7" t="n">
        <f aca="false">IF(K4292="","",K4292-G4292)</f>
        <v>0</v>
      </c>
    </row>
    <row r="4293" customFormat="false" ht="15" hidden="false" customHeight="false" outlineLevel="0" collapsed="false">
      <c r="A4293" s="7" t="n">
        <v>80087891</v>
      </c>
      <c r="B4293" s="7" t="s">
        <v>68</v>
      </c>
      <c r="C4293" s="7" t="s">
        <v>8799</v>
      </c>
      <c r="D4293" s="7" t="s">
        <v>8800</v>
      </c>
      <c r="E4293" s="7" t="s">
        <v>26</v>
      </c>
      <c r="F4293" s="7" t="s">
        <v>8798</v>
      </c>
      <c r="G4293" s="7" t="n">
        <v>2015</v>
      </c>
      <c r="H4293" s="7" t="s">
        <v>51</v>
      </c>
      <c r="I4293" s="7" t="s">
        <v>73</v>
      </c>
      <c r="J4293" s="7" t="s">
        <v>150</v>
      </c>
      <c r="K4293" s="7" t="n">
        <f aca="false">IFERROR(VALUE(RIGHT(TRIM(F4293),4)),"")</f>
        <v>2018</v>
      </c>
      <c r="L4293" s="7" t="str">
        <f aca="false">IF(TRIM(E4293)="","Unknown",IFERROR(LEFT(TRIM(E4293),FIND(",",TRIM(E4293))-1),TRIM(E4293)))</f>
        <v>United States</v>
      </c>
      <c r="M4293" s="7" t="str">
        <f aca="false">IFERROR(LEFT(J4293,FIND(",",J4293)-1),J4293)</f>
        <v>Dramas</v>
      </c>
      <c r="N4293" s="7" t="n">
        <f aca="false">IF(B4293="Movie",IFERROR(VALUE(LEFT(I4293,FIND(" ",I4293)-1)),""),"")</f>
        <v>90</v>
      </c>
      <c r="O4293" s="7" t="str">
        <f aca="false">IF(B4293="TV Show",IFERROR(VALUE(LEFT(I4293,FIND(" ",I4293)-1)),""),"")</f>
        <v/>
      </c>
      <c r="P4293" s="7" t="n">
        <f aca="false">IF(K4293="","",K4293-G4293)</f>
        <v>3</v>
      </c>
    </row>
    <row r="4294" customFormat="false" ht="15" hidden="false" customHeight="false" outlineLevel="0" collapsed="false">
      <c r="A4294" s="7" t="n">
        <v>81030762</v>
      </c>
      <c r="B4294" s="7" t="s">
        <v>78</v>
      </c>
      <c r="C4294" s="7" t="s">
        <v>8801</v>
      </c>
      <c r="F4294" s="7" t="s">
        <v>8798</v>
      </c>
      <c r="G4294" s="7" t="n">
        <v>1925</v>
      </c>
      <c r="H4294" s="7" t="s">
        <v>50</v>
      </c>
      <c r="I4294" s="7" t="s">
        <v>82</v>
      </c>
      <c r="J4294" s="7" t="s">
        <v>2695</v>
      </c>
      <c r="K4294" s="7" t="n">
        <f aca="false">IFERROR(VALUE(RIGHT(TRIM(F4294),4)),"")</f>
        <v>2018</v>
      </c>
      <c r="L4294" s="7" t="str">
        <f aca="false">IF(TRIM(E4294)="","Unknown",IFERROR(LEFT(TRIM(E4294),FIND(",",TRIM(E4294))-1),TRIM(E4294)))</f>
        <v>Unknown</v>
      </c>
      <c r="M4294" s="7" t="str">
        <f aca="false">IFERROR(LEFT(J4294,FIND(",",J4294)-1),J4294)</f>
        <v>TV Shows</v>
      </c>
      <c r="N4294" s="7" t="str">
        <f aca="false">IF(B4294="Movie",IFERROR(VALUE(LEFT(I4294,FIND(" ",I4294)-1)),""),"")</f>
        <v/>
      </c>
      <c r="O4294" s="7" t="n">
        <f aca="false">IF(B4294="TV Show",IFERROR(VALUE(LEFT(I4294,FIND(" ",I4294)-1)),""),"")</f>
        <v>1</v>
      </c>
      <c r="P4294" s="7" t="n">
        <f aca="false">IF(K4294="","",K4294-G4294)</f>
        <v>93</v>
      </c>
    </row>
    <row r="4295" customFormat="false" ht="15" hidden="false" customHeight="false" outlineLevel="0" collapsed="false">
      <c r="A4295" s="7" t="n">
        <v>80022613</v>
      </c>
      <c r="B4295" s="7" t="s">
        <v>68</v>
      </c>
      <c r="C4295" s="7" t="s">
        <v>8802</v>
      </c>
      <c r="D4295" s="7" t="s">
        <v>8803</v>
      </c>
      <c r="E4295" s="7" t="s">
        <v>317</v>
      </c>
      <c r="F4295" s="7" t="s">
        <v>8798</v>
      </c>
      <c r="G4295" s="7" t="n">
        <v>2016</v>
      </c>
      <c r="H4295" s="7" t="s">
        <v>51</v>
      </c>
      <c r="I4295" s="7" t="s">
        <v>212</v>
      </c>
      <c r="J4295" s="7" t="s">
        <v>950</v>
      </c>
      <c r="K4295" s="7" t="n">
        <f aca="false">IFERROR(VALUE(RIGHT(TRIM(F4295),4)),"")</f>
        <v>2018</v>
      </c>
      <c r="L4295" s="7" t="str">
        <f aca="false">IF(TRIM(E4295)="","Unknown",IFERROR(LEFT(TRIM(E4295),FIND(",",TRIM(E4295))-1),TRIM(E4295)))</f>
        <v>United Kingdom</v>
      </c>
      <c r="M4295" s="7" t="str">
        <f aca="false">IFERROR(LEFT(J4295,FIND(",",J4295)-1),J4295)</f>
        <v>Horror Movies</v>
      </c>
      <c r="N4295" s="7" t="n">
        <f aca="false">IF(B4295="Movie",IFERROR(VALUE(LEFT(I4295,FIND(" ",I4295)-1)),""),"")</f>
        <v>86</v>
      </c>
      <c r="O4295" s="7" t="str">
        <f aca="false">IF(B4295="TV Show",IFERROR(VALUE(LEFT(I4295,FIND(" ",I4295)-1)),""),"")</f>
        <v/>
      </c>
      <c r="P4295" s="7" t="n">
        <f aca="false">IF(K4295="","",K4295-G4295)</f>
        <v>2</v>
      </c>
    </row>
    <row r="4296" customFormat="false" ht="15" hidden="false" customHeight="false" outlineLevel="0" collapsed="false">
      <c r="A4296" s="7" t="n">
        <v>80163263</v>
      </c>
      <c r="B4296" s="7" t="s">
        <v>68</v>
      </c>
      <c r="C4296" s="7" t="s">
        <v>8804</v>
      </c>
      <c r="D4296" s="7" t="s">
        <v>8805</v>
      </c>
      <c r="E4296" s="7" t="s">
        <v>29</v>
      </c>
      <c r="F4296" s="7" t="s">
        <v>8806</v>
      </c>
      <c r="G4296" s="7" t="n">
        <v>2016</v>
      </c>
      <c r="H4296" s="7" t="s">
        <v>51</v>
      </c>
      <c r="I4296" s="7" t="s">
        <v>181</v>
      </c>
      <c r="J4296" s="7" t="s">
        <v>1841</v>
      </c>
      <c r="K4296" s="7" t="n">
        <f aca="false">IFERROR(VALUE(RIGHT(TRIM(F4296),4)),"")</f>
        <v>2017</v>
      </c>
      <c r="L4296" s="7" t="str">
        <f aca="false">IF(TRIM(E4296)="","Unknown",IFERROR(LEFT(TRIM(E4296),FIND(",",TRIM(E4296))-1),TRIM(E4296)))</f>
        <v>Canada</v>
      </c>
      <c r="M4296" s="7" t="str">
        <f aca="false">IFERROR(LEFT(J4296,FIND(",",J4296)-1),J4296)</f>
        <v>Comedies</v>
      </c>
      <c r="N4296" s="7" t="n">
        <f aca="false">IF(B4296="Movie",IFERROR(VALUE(LEFT(I4296,FIND(" ",I4296)-1)),""),"")</f>
        <v>102</v>
      </c>
      <c r="O4296" s="7" t="str">
        <f aca="false">IF(B4296="TV Show",IFERROR(VALUE(LEFT(I4296,FIND(" ",I4296)-1)),""),"")</f>
        <v/>
      </c>
      <c r="P4296" s="7" t="n">
        <f aca="false">IF(K4296="","",K4296-G4296)</f>
        <v>1</v>
      </c>
    </row>
    <row r="4297" customFormat="false" ht="15" hidden="false" customHeight="false" outlineLevel="0" collapsed="false">
      <c r="A4297" s="7" t="n">
        <v>80154689</v>
      </c>
      <c r="B4297" s="7" t="s">
        <v>78</v>
      </c>
      <c r="C4297" s="7" t="s">
        <v>8807</v>
      </c>
      <c r="E4297" s="7" t="s">
        <v>32</v>
      </c>
      <c r="F4297" s="7" t="s">
        <v>8808</v>
      </c>
      <c r="G4297" s="7" t="n">
        <v>2016</v>
      </c>
      <c r="H4297" s="7" t="s">
        <v>49</v>
      </c>
      <c r="I4297" s="7" t="s">
        <v>82</v>
      </c>
      <c r="J4297" s="7" t="s">
        <v>637</v>
      </c>
      <c r="K4297" s="7" t="n">
        <f aca="false">IFERROR(VALUE(RIGHT(TRIM(F4297),4)),"")</f>
        <v>2016</v>
      </c>
      <c r="L4297" s="7" t="str">
        <f aca="false">IF(TRIM(E4297)="","Unknown",IFERROR(LEFT(TRIM(E4297),FIND(",",TRIM(E4297))-1),TRIM(E4297)))</f>
        <v>South Korea</v>
      </c>
      <c r="M4297" s="7" t="str">
        <f aca="false">IFERROR(LEFT(J4297,FIND(",",J4297)-1),J4297)</f>
        <v>International TV Shows</v>
      </c>
      <c r="N4297" s="7" t="str">
        <f aca="false">IF(B4297="Movie",IFERROR(VALUE(LEFT(I4297,FIND(" ",I4297)-1)),""),"")</f>
        <v/>
      </c>
      <c r="O4297" s="7" t="n">
        <f aca="false">IF(B4297="TV Show",IFERROR(VALUE(LEFT(I4297,FIND(" ",I4297)-1)),""),"")</f>
        <v>1</v>
      </c>
      <c r="P4297" s="7" t="n">
        <f aca="false">IF(K4297="","",K4297-G4297)</f>
        <v>0</v>
      </c>
    </row>
    <row r="4298" customFormat="false" ht="15" hidden="false" customHeight="false" outlineLevel="0" collapsed="false">
      <c r="A4298" s="7" t="n">
        <v>81078397</v>
      </c>
      <c r="B4298" s="7" t="s">
        <v>68</v>
      </c>
      <c r="C4298" s="7" t="s">
        <v>8809</v>
      </c>
      <c r="D4298" s="7" t="s">
        <v>8810</v>
      </c>
      <c r="E4298" s="7" t="s">
        <v>325</v>
      </c>
      <c r="F4298" s="7" t="s">
        <v>8811</v>
      </c>
      <c r="G4298" s="7" t="n">
        <v>2019</v>
      </c>
      <c r="H4298" s="7" t="s">
        <v>48</v>
      </c>
      <c r="I4298" s="7" t="s">
        <v>1175</v>
      </c>
      <c r="J4298" s="7" t="s">
        <v>202</v>
      </c>
      <c r="K4298" s="7" t="n">
        <f aca="false">IFERROR(VALUE(RIGHT(TRIM(F4298),4)),"")</f>
        <v>2019</v>
      </c>
      <c r="L4298" s="7" t="str">
        <f aca="false">IF(TRIM(E4298)="","Unknown",IFERROR(LEFT(TRIM(E4298),FIND(",",TRIM(E4298))-1),TRIM(E4298)))</f>
        <v>Brazil</v>
      </c>
      <c r="M4298" s="7" t="str">
        <f aca="false">IFERROR(LEFT(J4298,FIND(",",J4298)-1),J4298)</f>
        <v>Comedies</v>
      </c>
      <c r="N4298" s="7" t="n">
        <f aca="false">IF(B4298="Movie",IFERROR(VALUE(LEFT(I4298,FIND(" ",I4298)-1)),""),"")</f>
        <v>46</v>
      </c>
      <c r="O4298" s="7" t="str">
        <f aca="false">IF(B4298="TV Show",IFERROR(VALUE(LEFT(I4298,FIND(" ",I4298)-1)),""),"")</f>
        <v/>
      </c>
      <c r="P4298" s="7" t="n">
        <f aca="false">IF(K4298="","",K4298-G4298)</f>
        <v>0</v>
      </c>
    </row>
    <row r="4299" customFormat="false" ht="15" hidden="false" customHeight="false" outlineLevel="0" collapsed="false">
      <c r="A4299" s="7" t="n">
        <v>80221271</v>
      </c>
      <c r="B4299" s="7" t="s">
        <v>68</v>
      </c>
      <c r="C4299" s="7" t="s">
        <v>8812</v>
      </c>
      <c r="D4299" s="7" t="s">
        <v>3807</v>
      </c>
      <c r="E4299" s="7" t="s">
        <v>26</v>
      </c>
      <c r="F4299" s="7" t="s">
        <v>8811</v>
      </c>
      <c r="G4299" s="7" t="n">
        <v>2019</v>
      </c>
      <c r="H4299" s="7" t="s">
        <v>48</v>
      </c>
      <c r="I4299" s="7" t="s">
        <v>1599</v>
      </c>
      <c r="J4299" s="7" t="s">
        <v>45</v>
      </c>
      <c r="K4299" s="7" t="n">
        <f aca="false">IFERROR(VALUE(RIGHT(TRIM(F4299),4)),"")</f>
        <v>2019</v>
      </c>
      <c r="L4299" s="7" t="str">
        <f aca="false">IF(TRIM(E4299)="","Unknown",IFERROR(LEFT(TRIM(E4299),FIND(",",TRIM(E4299))-1),TRIM(E4299)))</f>
        <v>United States</v>
      </c>
      <c r="M4299" s="7" t="str">
        <f aca="false">IFERROR(LEFT(J4299,FIND(",",J4299)-1),J4299)</f>
        <v>Stand-Up Comedy</v>
      </c>
      <c r="N4299" s="7" t="n">
        <f aca="false">IF(B4299="Movie",IFERROR(VALUE(LEFT(I4299,FIND(" ",I4299)-1)),""),"")</f>
        <v>56</v>
      </c>
      <c r="O4299" s="7" t="str">
        <f aca="false">IF(B4299="TV Show",IFERROR(VALUE(LEFT(I4299,FIND(" ",I4299)-1)),""),"")</f>
        <v/>
      </c>
      <c r="P4299" s="7" t="n">
        <f aca="false">IF(K4299="","",K4299-G4299)</f>
        <v>0</v>
      </c>
    </row>
    <row r="4300" customFormat="false" ht="15" hidden="false" customHeight="false" outlineLevel="0" collapsed="false">
      <c r="A4300" s="7" t="n">
        <v>80103374</v>
      </c>
      <c r="B4300" s="7" t="s">
        <v>68</v>
      </c>
      <c r="C4300" s="7" t="s">
        <v>8813</v>
      </c>
      <c r="D4300" s="7" t="s">
        <v>8814</v>
      </c>
      <c r="E4300" s="7" t="s">
        <v>28</v>
      </c>
      <c r="F4300" s="7" t="s">
        <v>8811</v>
      </c>
      <c r="G4300" s="7" t="n">
        <v>2016</v>
      </c>
      <c r="H4300" s="7" t="s">
        <v>51</v>
      </c>
      <c r="I4300" s="7" t="s">
        <v>134</v>
      </c>
      <c r="J4300" s="7" t="s">
        <v>967</v>
      </c>
      <c r="K4300" s="7" t="n">
        <f aca="false">IFERROR(VALUE(RIGHT(TRIM(F4300),4)),"")</f>
        <v>2019</v>
      </c>
      <c r="L4300" s="7" t="str">
        <f aca="false">IF(TRIM(E4300)="","Unknown",IFERROR(LEFT(TRIM(E4300),FIND(",",TRIM(E4300))-1),TRIM(E4300)))</f>
        <v>United Kingdom</v>
      </c>
      <c r="M4300" s="7" t="str">
        <f aca="false">IFERROR(LEFT(J4300,FIND(",",J4300)-1),J4300)</f>
        <v>Action &amp; Adventure</v>
      </c>
      <c r="N4300" s="7" t="n">
        <f aca="false">IF(B4300="Movie",IFERROR(VALUE(LEFT(I4300,FIND(" ",I4300)-1)),""),"")</f>
        <v>98</v>
      </c>
      <c r="O4300" s="7" t="str">
        <f aca="false">IF(B4300="TV Show",IFERROR(VALUE(LEFT(I4300,FIND(" ",I4300)-1)),""),"")</f>
        <v/>
      </c>
      <c r="P4300" s="7" t="n">
        <f aca="false">IF(K4300="","",K4300-G4300)</f>
        <v>3</v>
      </c>
    </row>
    <row r="4301" customFormat="false" ht="15" hidden="false" customHeight="false" outlineLevel="0" collapsed="false">
      <c r="A4301" s="7" t="n">
        <v>81167490</v>
      </c>
      <c r="B4301" s="7" t="s">
        <v>68</v>
      </c>
      <c r="C4301" s="7" t="s">
        <v>8815</v>
      </c>
      <c r="D4301" s="7" t="s">
        <v>8816</v>
      </c>
      <c r="E4301" s="7" t="s">
        <v>26</v>
      </c>
      <c r="F4301" s="7" t="s">
        <v>8811</v>
      </c>
      <c r="G4301" s="7" t="n">
        <v>2019</v>
      </c>
      <c r="H4301" s="7" t="s">
        <v>49</v>
      </c>
      <c r="I4301" s="7" t="s">
        <v>268</v>
      </c>
      <c r="J4301" s="7" t="s">
        <v>295</v>
      </c>
      <c r="K4301" s="7" t="n">
        <f aca="false">IFERROR(VALUE(RIGHT(TRIM(F4301),4)),"")</f>
        <v>2019</v>
      </c>
      <c r="L4301" s="7" t="str">
        <f aca="false">IF(TRIM(E4301)="","Unknown",IFERROR(LEFT(TRIM(E4301),FIND(",",TRIM(E4301))-1),TRIM(E4301)))</f>
        <v>United States</v>
      </c>
      <c r="M4301" s="7" t="str">
        <f aca="false">IFERROR(LEFT(J4301,FIND(",",J4301)-1),J4301)</f>
        <v>Children &amp; Family Movies</v>
      </c>
      <c r="N4301" s="7" t="n">
        <f aca="false">IF(B4301="Movie",IFERROR(VALUE(LEFT(I4301,FIND(" ",I4301)-1)),""),"")</f>
        <v>108</v>
      </c>
      <c r="O4301" s="7" t="str">
        <f aca="false">IF(B4301="TV Show",IFERROR(VALUE(LEFT(I4301,FIND(" ",I4301)-1)),""),"")</f>
        <v/>
      </c>
      <c r="P4301" s="7" t="n">
        <f aca="false">IF(K4301="","",K4301-G4301)</f>
        <v>0</v>
      </c>
    </row>
    <row r="4302" customFormat="false" ht="15" hidden="false" customHeight="false" outlineLevel="0" collapsed="false">
      <c r="A4302" s="7" t="n">
        <v>80990571</v>
      </c>
      <c r="B4302" s="7" t="s">
        <v>78</v>
      </c>
      <c r="C4302" s="7" t="s">
        <v>8817</v>
      </c>
      <c r="E4302" s="7" t="s">
        <v>28</v>
      </c>
      <c r="F4302" s="7" t="s">
        <v>8818</v>
      </c>
      <c r="G4302" s="7" t="n">
        <v>2017</v>
      </c>
      <c r="H4302" s="7" t="s">
        <v>226</v>
      </c>
      <c r="I4302" s="7" t="s">
        <v>82</v>
      </c>
      <c r="J4302" s="7" t="s">
        <v>1969</v>
      </c>
      <c r="K4302" s="7" t="n">
        <f aca="false">IFERROR(VALUE(RIGHT(TRIM(F4302),4)),"")</f>
        <v>2018</v>
      </c>
      <c r="L4302" s="7" t="str">
        <f aca="false">IF(TRIM(E4302)="","Unknown",IFERROR(LEFT(TRIM(E4302),FIND(",",TRIM(E4302))-1),TRIM(E4302)))</f>
        <v>United Kingdom</v>
      </c>
      <c r="M4302" s="7" t="str">
        <f aca="false">IFERROR(LEFT(J4302,FIND(",",J4302)-1),J4302)</f>
        <v>British TV Shows</v>
      </c>
      <c r="N4302" s="7" t="str">
        <f aca="false">IF(B4302="Movie",IFERROR(VALUE(LEFT(I4302,FIND(" ",I4302)-1)),""),"")</f>
        <v/>
      </c>
      <c r="O4302" s="7" t="n">
        <f aca="false">IF(B4302="TV Show",IFERROR(VALUE(LEFT(I4302,FIND(" ",I4302)-1)),""),"")</f>
        <v>1</v>
      </c>
      <c r="P4302" s="7" t="n">
        <f aca="false">IF(K4302="","",K4302-G4302)</f>
        <v>1</v>
      </c>
    </row>
    <row r="4303" customFormat="false" ht="15" hidden="false" customHeight="false" outlineLevel="0" collapsed="false">
      <c r="A4303" s="7" t="n">
        <v>81012943</v>
      </c>
      <c r="B4303" s="7" t="s">
        <v>68</v>
      </c>
      <c r="C4303" s="7" t="s">
        <v>8819</v>
      </c>
      <c r="D4303" s="7" t="s">
        <v>707</v>
      </c>
      <c r="E4303" s="7" t="s">
        <v>26</v>
      </c>
      <c r="F4303" s="7" t="s">
        <v>8818</v>
      </c>
      <c r="G4303" s="7" t="n">
        <v>2018</v>
      </c>
      <c r="H4303" s="7" t="s">
        <v>48</v>
      </c>
      <c r="I4303" s="7" t="s">
        <v>264</v>
      </c>
      <c r="J4303" s="7" t="s">
        <v>759</v>
      </c>
      <c r="K4303" s="7" t="n">
        <f aca="false">IFERROR(VALUE(RIGHT(TRIM(F4303),4)),"")</f>
        <v>2018</v>
      </c>
      <c r="L4303" s="7" t="str">
        <f aca="false">IF(TRIM(E4303)="","Unknown",IFERROR(LEFT(TRIM(E4303),FIND(",",TRIM(E4303))-1),TRIM(E4303)))</f>
        <v>United States</v>
      </c>
      <c r="M4303" s="7" t="str">
        <f aca="false">IFERROR(LEFT(J4303,FIND(",",J4303)-1),J4303)</f>
        <v>Action &amp; Adventure</v>
      </c>
      <c r="N4303" s="7" t="n">
        <f aca="false">IF(B4303="Movie",IFERROR(VALUE(LEFT(I4303,FIND(" ",I4303)-1)),""),"")</f>
        <v>88</v>
      </c>
      <c r="O4303" s="7" t="str">
        <f aca="false">IF(B4303="TV Show",IFERROR(VALUE(LEFT(I4303,FIND(" ",I4303)-1)),""),"")</f>
        <v/>
      </c>
      <c r="P4303" s="7" t="n">
        <f aca="false">IF(K4303="","",K4303-G4303)</f>
        <v>0</v>
      </c>
    </row>
    <row r="4304" customFormat="false" ht="15" hidden="false" customHeight="false" outlineLevel="0" collapsed="false">
      <c r="A4304" s="7" t="n">
        <v>80044536</v>
      </c>
      <c r="B4304" s="7" t="s">
        <v>68</v>
      </c>
      <c r="C4304" s="7" t="s">
        <v>8820</v>
      </c>
      <c r="D4304" s="7" t="s">
        <v>8821</v>
      </c>
      <c r="E4304" s="7" t="s">
        <v>129</v>
      </c>
      <c r="F4304" s="7" t="s">
        <v>8822</v>
      </c>
      <c r="G4304" s="7" t="n">
        <v>2015</v>
      </c>
      <c r="H4304" s="7" t="s">
        <v>53</v>
      </c>
      <c r="I4304" s="7" t="s">
        <v>138</v>
      </c>
      <c r="J4304" s="7" t="s">
        <v>304</v>
      </c>
      <c r="K4304" s="7" t="n">
        <f aca="false">IFERROR(VALUE(RIGHT(TRIM(F4304),4)),"")</f>
        <v>2016</v>
      </c>
      <c r="L4304" s="7" t="str">
        <f aca="false">IF(TRIM(E4304)="","Unknown",IFERROR(LEFT(TRIM(E4304),FIND(",",TRIM(E4304))-1),TRIM(E4304)))</f>
        <v>France</v>
      </c>
      <c r="M4304" s="7" t="str">
        <f aca="false">IFERROR(LEFT(J4304,FIND(",",J4304)-1),J4304)</f>
        <v>Dramas</v>
      </c>
      <c r="N4304" s="7" t="n">
        <f aca="false">IF(B4304="Movie",IFERROR(VALUE(LEFT(I4304,FIND(" ",I4304)-1)),""),"")</f>
        <v>96</v>
      </c>
      <c r="O4304" s="7" t="str">
        <f aca="false">IF(B4304="TV Show",IFERROR(VALUE(LEFT(I4304,FIND(" ",I4304)-1)),""),"")</f>
        <v/>
      </c>
      <c r="P4304" s="7" t="n">
        <f aca="false">IF(K4304="","",K4304-G4304)</f>
        <v>1</v>
      </c>
    </row>
    <row r="4305" customFormat="false" ht="15" hidden="false" customHeight="false" outlineLevel="0" collapsed="false">
      <c r="A4305" s="7" t="n">
        <v>70301620</v>
      </c>
      <c r="B4305" s="7" t="s">
        <v>68</v>
      </c>
      <c r="C4305" s="7" t="s">
        <v>8823</v>
      </c>
      <c r="D4305" s="7" t="s">
        <v>8824</v>
      </c>
      <c r="E4305" s="7" t="s">
        <v>34</v>
      </c>
      <c r="F4305" s="7" t="s">
        <v>8822</v>
      </c>
      <c r="G4305" s="7" t="n">
        <v>2012</v>
      </c>
      <c r="H4305" s="7" t="s">
        <v>53</v>
      </c>
      <c r="I4305" s="7" t="s">
        <v>613</v>
      </c>
      <c r="J4305" s="7" t="s">
        <v>188</v>
      </c>
      <c r="K4305" s="7" t="n">
        <f aca="false">IFERROR(VALUE(RIGHT(TRIM(F4305),4)),"")</f>
        <v>2016</v>
      </c>
      <c r="L4305" s="7" t="str">
        <f aca="false">IF(TRIM(E4305)="","Unknown",IFERROR(LEFT(TRIM(E4305),FIND(",",TRIM(E4305))-1),TRIM(E4305)))</f>
        <v>Mexico</v>
      </c>
      <c r="M4305" s="7" t="str">
        <f aca="false">IFERROR(LEFT(J4305,FIND(",",J4305)-1),J4305)</f>
        <v>Dramas</v>
      </c>
      <c r="N4305" s="7" t="n">
        <f aca="false">IF(B4305="Movie",IFERROR(VALUE(LEFT(I4305,FIND(" ",I4305)-1)),""),"")</f>
        <v>84</v>
      </c>
      <c r="O4305" s="7" t="str">
        <f aca="false">IF(B4305="TV Show",IFERROR(VALUE(LEFT(I4305,FIND(" ",I4305)-1)),""),"")</f>
        <v/>
      </c>
      <c r="P4305" s="7" t="n">
        <f aca="false">IF(K4305="","",K4305-G4305)</f>
        <v>4</v>
      </c>
    </row>
    <row r="4306" customFormat="false" ht="15" hidden="false" customHeight="false" outlineLevel="0" collapsed="false">
      <c r="A4306" s="7" t="n">
        <v>70213471</v>
      </c>
      <c r="B4306" s="7" t="s">
        <v>68</v>
      </c>
      <c r="C4306" s="7" t="s">
        <v>8825</v>
      </c>
      <c r="D4306" s="7" t="s">
        <v>8826</v>
      </c>
      <c r="E4306" s="7" t="s">
        <v>26</v>
      </c>
      <c r="F4306" s="7" t="s">
        <v>8827</v>
      </c>
      <c r="G4306" s="7" t="n">
        <v>2012</v>
      </c>
      <c r="H4306" s="7" t="s">
        <v>51</v>
      </c>
      <c r="I4306" s="7" t="s">
        <v>237</v>
      </c>
      <c r="J4306" s="7" t="s">
        <v>37</v>
      </c>
      <c r="K4306" s="7" t="n">
        <f aca="false">IFERROR(VALUE(RIGHT(TRIM(F4306),4)),"")</f>
        <v>2019</v>
      </c>
      <c r="L4306" s="7" t="str">
        <f aca="false">IF(TRIM(E4306)="","Unknown",IFERROR(LEFT(TRIM(E4306),FIND(",",TRIM(E4306))-1),TRIM(E4306)))</f>
        <v>United States</v>
      </c>
      <c r="M4306" s="7" t="str">
        <f aca="false">IFERROR(LEFT(J4306,FIND(",",J4306)-1),J4306)</f>
        <v>Dramas</v>
      </c>
      <c r="N4306" s="7" t="n">
        <f aca="false">IF(B4306="Movie",IFERROR(VALUE(LEFT(I4306,FIND(" ",I4306)-1)),""),"")</f>
        <v>116</v>
      </c>
      <c r="O4306" s="7" t="str">
        <f aca="false">IF(B4306="TV Show",IFERROR(VALUE(LEFT(I4306,FIND(" ",I4306)-1)),""),"")</f>
        <v/>
      </c>
      <c r="P4306" s="7" t="n">
        <f aca="false">IF(K4306="","",K4306-G4306)</f>
        <v>7</v>
      </c>
    </row>
    <row r="4307" customFormat="false" ht="15" hidden="false" customHeight="false" outlineLevel="0" collapsed="false">
      <c r="A4307" s="7" t="n">
        <v>81036061</v>
      </c>
      <c r="B4307" s="7" t="s">
        <v>78</v>
      </c>
      <c r="C4307" s="7" t="s">
        <v>8828</v>
      </c>
      <c r="E4307" s="7" t="s">
        <v>167</v>
      </c>
      <c r="F4307" s="7" t="s">
        <v>8829</v>
      </c>
      <c r="G4307" s="7" t="n">
        <v>2018</v>
      </c>
      <c r="H4307" s="7" t="s">
        <v>48</v>
      </c>
      <c r="I4307" s="7" t="s">
        <v>82</v>
      </c>
      <c r="J4307" s="7" t="s">
        <v>402</v>
      </c>
      <c r="K4307" s="7" t="n">
        <f aca="false">IFERROR(VALUE(RIGHT(TRIM(F4307),4)),"")</f>
        <v>2018</v>
      </c>
      <c r="L4307" s="7" t="str">
        <f aca="false">IF(TRIM(E4307)="","Unknown",IFERROR(LEFT(TRIM(E4307),FIND(",",TRIM(E4307))-1),TRIM(E4307)))</f>
        <v>Thailand</v>
      </c>
      <c r="M4307" s="7" t="str">
        <f aca="false">IFERROR(LEFT(J4307,FIND(",",J4307)-1),J4307)</f>
        <v>Crime TV Shows</v>
      </c>
      <c r="N4307" s="7" t="str">
        <f aca="false">IF(B4307="Movie",IFERROR(VALUE(LEFT(I4307,FIND(" ",I4307)-1)),""),"")</f>
        <v/>
      </c>
      <c r="O4307" s="7" t="n">
        <f aca="false">IF(B4307="TV Show",IFERROR(VALUE(LEFT(I4307,FIND(" ",I4307)-1)),""),"")</f>
        <v>1</v>
      </c>
      <c r="P4307" s="7" t="n">
        <f aca="false">IF(K4307="","",K4307-G4307)</f>
        <v>0</v>
      </c>
    </row>
    <row r="4308" customFormat="false" ht="15" hidden="false" customHeight="false" outlineLevel="0" collapsed="false">
      <c r="A4308" s="7" t="n">
        <v>80208337</v>
      </c>
      <c r="B4308" s="7" t="s">
        <v>78</v>
      </c>
      <c r="C4308" s="7" t="s">
        <v>8830</v>
      </c>
      <c r="E4308" s="7" t="s">
        <v>31</v>
      </c>
      <c r="F4308" s="7" t="s">
        <v>8831</v>
      </c>
      <c r="G4308" s="7" t="n">
        <v>2017</v>
      </c>
      <c r="H4308" s="7" t="s">
        <v>48</v>
      </c>
      <c r="I4308" s="7" t="s">
        <v>82</v>
      </c>
      <c r="J4308" s="7" t="s">
        <v>402</v>
      </c>
      <c r="K4308" s="7" t="n">
        <f aca="false">IFERROR(VALUE(RIGHT(TRIM(F4308),4)),"")</f>
        <v>2017</v>
      </c>
      <c r="L4308" s="7" t="str">
        <f aca="false">IF(TRIM(E4308)="","Unknown",IFERROR(LEFT(TRIM(E4308),FIND(",",TRIM(E4308))-1),TRIM(E4308)))</f>
        <v>France</v>
      </c>
      <c r="M4308" s="7" t="str">
        <f aca="false">IFERROR(LEFT(J4308,FIND(",",J4308)-1),J4308)</f>
        <v>Crime TV Shows</v>
      </c>
      <c r="N4308" s="7" t="str">
        <f aca="false">IF(B4308="Movie",IFERROR(VALUE(LEFT(I4308,FIND(" ",I4308)-1)),""),"")</f>
        <v/>
      </c>
      <c r="O4308" s="7" t="n">
        <f aca="false">IF(B4308="TV Show",IFERROR(VALUE(LEFT(I4308,FIND(" ",I4308)-1)),""),"")</f>
        <v>1</v>
      </c>
      <c r="P4308" s="7" t="n">
        <f aca="false">IF(K4308="","",K4308-G4308)</f>
        <v>0</v>
      </c>
    </row>
    <row r="4309" customFormat="false" ht="15" hidden="false" customHeight="false" outlineLevel="0" collapsed="false">
      <c r="A4309" s="7" t="n">
        <v>70132228</v>
      </c>
      <c r="B4309" s="7" t="s">
        <v>68</v>
      </c>
      <c r="C4309" s="7" t="s">
        <v>8832</v>
      </c>
      <c r="D4309" s="7" t="s">
        <v>8833</v>
      </c>
      <c r="E4309" s="7" t="s">
        <v>26</v>
      </c>
      <c r="F4309" s="7" t="s">
        <v>8831</v>
      </c>
      <c r="G4309" s="7" t="n">
        <v>2010</v>
      </c>
      <c r="H4309" s="7" t="s">
        <v>51</v>
      </c>
      <c r="I4309" s="7" t="s">
        <v>168</v>
      </c>
      <c r="J4309" s="7" t="s">
        <v>147</v>
      </c>
      <c r="K4309" s="7" t="n">
        <f aca="false">IFERROR(VALUE(RIGHT(TRIM(F4309),4)),"")</f>
        <v>2017</v>
      </c>
      <c r="L4309" s="7" t="str">
        <f aca="false">IF(TRIM(E4309)="","Unknown",IFERROR(LEFT(TRIM(E4309),FIND(",",TRIM(E4309))-1),TRIM(E4309)))</f>
        <v>United States</v>
      </c>
      <c r="M4309" s="7" t="str">
        <f aca="false">IFERROR(LEFT(J4309,FIND(",",J4309)-1),J4309)</f>
        <v>Horror Movies</v>
      </c>
      <c r="N4309" s="7" t="n">
        <f aca="false">IF(B4309="Movie",IFERROR(VALUE(LEFT(I4309,FIND(" ",I4309)-1)),""),"")</f>
        <v>112</v>
      </c>
      <c r="O4309" s="7" t="str">
        <f aca="false">IF(B4309="TV Show",IFERROR(VALUE(LEFT(I4309,FIND(" ",I4309)-1)),""),"")</f>
        <v/>
      </c>
      <c r="P4309" s="7" t="n">
        <f aca="false">IF(K4309="","",K4309-G4309)</f>
        <v>7</v>
      </c>
    </row>
    <row r="4310" customFormat="false" ht="15" hidden="false" customHeight="false" outlineLevel="0" collapsed="false">
      <c r="A4310" s="7" t="n">
        <v>80194671</v>
      </c>
      <c r="B4310" s="7" t="s">
        <v>68</v>
      </c>
      <c r="C4310" s="7" t="s">
        <v>8834</v>
      </c>
      <c r="D4310" s="7" t="s">
        <v>8835</v>
      </c>
      <c r="E4310" s="7" t="s">
        <v>31</v>
      </c>
      <c r="F4310" s="7" t="s">
        <v>8831</v>
      </c>
      <c r="G4310" s="7" t="n">
        <v>2017</v>
      </c>
      <c r="H4310" s="7" t="s">
        <v>49</v>
      </c>
      <c r="I4310" s="7" t="s">
        <v>820</v>
      </c>
      <c r="J4310" s="7" t="s">
        <v>4035</v>
      </c>
      <c r="K4310" s="7" t="n">
        <f aca="false">IFERROR(VALUE(RIGHT(TRIM(F4310),4)),"")</f>
        <v>2017</v>
      </c>
      <c r="L4310" s="7" t="str">
        <f aca="false">IF(TRIM(E4310)="","Unknown",IFERROR(LEFT(TRIM(E4310),FIND(",",TRIM(E4310))-1),TRIM(E4310)))</f>
        <v>France</v>
      </c>
      <c r="M4310" s="7" t="str">
        <f aca="false">IFERROR(LEFT(J4310,FIND(",",J4310)-1),J4310)</f>
        <v>Action &amp; Adventure</v>
      </c>
      <c r="N4310" s="7" t="n">
        <f aca="false">IF(B4310="Movie",IFERROR(VALUE(LEFT(I4310,FIND(" ",I4310)-1)),""),"")</f>
        <v>105</v>
      </c>
      <c r="O4310" s="7" t="str">
        <f aca="false">IF(B4310="TV Show",IFERROR(VALUE(LEFT(I4310,FIND(" ",I4310)-1)),""),"")</f>
        <v/>
      </c>
      <c r="P4310" s="7" t="n">
        <f aca="false">IF(K4310="","",K4310-G4310)</f>
        <v>0</v>
      </c>
    </row>
    <row r="4311" customFormat="false" ht="15" hidden="false" customHeight="false" outlineLevel="0" collapsed="false">
      <c r="A4311" s="7" t="n">
        <v>80192950</v>
      </c>
      <c r="B4311" s="7" t="s">
        <v>78</v>
      </c>
      <c r="C4311" s="7" t="s">
        <v>8836</v>
      </c>
      <c r="E4311" s="7" t="s">
        <v>28</v>
      </c>
      <c r="F4311" s="7" t="s">
        <v>8831</v>
      </c>
      <c r="G4311" s="7" t="n">
        <v>2006</v>
      </c>
      <c r="H4311" s="7" t="s">
        <v>48</v>
      </c>
      <c r="I4311" s="7" t="s">
        <v>82</v>
      </c>
      <c r="J4311" s="7" t="s">
        <v>306</v>
      </c>
      <c r="K4311" s="7" t="n">
        <f aca="false">IFERROR(VALUE(RIGHT(TRIM(F4311),4)),"")</f>
        <v>2017</v>
      </c>
      <c r="L4311" s="7" t="str">
        <f aca="false">IF(TRIM(E4311)="","Unknown",IFERROR(LEFT(TRIM(E4311),FIND(",",TRIM(E4311))-1),TRIM(E4311)))</f>
        <v>United Kingdom</v>
      </c>
      <c r="M4311" s="7" t="str">
        <f aca="false">IFERROR(LEFT(J4311,FIND(",",J4311)-1),J4311)</f>
        <v>British TV Shows</v>
      </c>
      <c r="N4311" s="7" t="str">
        <f aca="false">IF(B4311="Movie",IFERROR(VALUE(LEFT(I4311,FIND(" ",I4311)-1)),""),"")</f>
        <v/>
      </c>
      <c r="O4311" s="7" t="n">
        <f aca="false">IF(B4311="TV Show",IFERROR(VALUE(LEFT(I4311,FIND(" ",I4311)-1)),""),"")</f>
        <v>1</v>
      </c>
      <c r="P4311" s="7" t="n">
        <f aca="false">IF(K4311="","",K4311-G4311)</f>
        <v>11</v>
      </c>
    </row>
    <row r="4312" customFormat="false" ht="15" hidden="false" customHeight="false" outlineLevel="0" collapsed="false">
      <c r="A4312" s="7" t="n">
        <v>80163430</v>
      </c>
      <c r="B4312" s="7" t="s">
        <v>78</v>
      </c>
      <c r="C4312" s="7" t="s">
        <v>8837</v>
      </c>
      <c r="F4312" s="7" t="s">
        <v>8831</v>
      </c>
      <c r="G4312" s="7" t="n">
        <v>2015</v>
      </c>
      <c r="H4312" s="7" t="s">
        <v>49</v>
      </c>
      <c r="I4312" s="7" t="s">
        <v>82</v>
      </c>
      <c r="J4312" s="7" t="s">
        <v>344</v>
      </c>
      <c r="K4312" s="7" t="n">
        <f aca="false">IFERROR(VALUE(RIGHT(TRIM(F4312),4)),"")</f>
        <v>2017</v>
      </c>
      <c r="L4312" s="7" t="str">
        <f aca="false">IF(TRIM(E4312)="","Unknown",IFERROR(LEFT(TRIM(E4312),FIND(",",TRIM(E4312))-1),TRIM(E4312)))</f>
        <v>Unknown</v>
      </c>
      <c r="M4312" s="7" t="str">
        <f aca="false">IFERROR(LEFT(J4312,FIND(",",J4312)-1),J4312)</f>
        <v>International TV Shows</v>
      </c>
      <c r="N4312" s="7" t="str">
        <f aca="false">IF(B4312="Movie",IFERROR(VALUE(LEFT(I4312,FIND(" ",I4312)-1)),""),"")</f>
        <v/>
      </c>
      <c r="O4312" s="7" t="n">
        <f aca="false">IF(B4312="TV Show",IFERROR(VALUE(LEFT(I4312,FIND(" ",I4312)-1)),""),"")</f>
        <v>1</v>
      </c>
      <c r="P4312" s="7" t="n">
        <f aca="false">IF(K4312="","",K4312-G4312)</f>
        <v>2</v>
      </c>
    </row>
    <row r="4313" customFormat="false" ht="15" hidden="false" customHeight="false" outlineLevel="0" collapsed="false">
      <c r="A4313" s="7" t="n">
        <v>70253398</v>
      </c>
      <c r="B4313" s="7" t="s">
        <v>68</v>
      </c>
      <c r="C4313" s="7" t="s">
        <v>8838</v>
      </c>
      <c r="D4313" s="7" t="s">
        <v>8839</v>
      </c>
      <c r="E4313" s="7" t="s">
        <v>26</v>
      </c>
      <c r="F4313" s="7" t="s">
        <v>8840</v>
      </c>
      <c r="G4313" s="7" t="n">
        <v>2013</v>
      </c>
      <c r="H4313" s="7" t="s">
        <v>226</v>
      </c>
      <c r="I4313" s="7" t="s">
        <v>247</v>
      </c>
      <c r="J4313" s="7" t="s">
        <v>3593</v>
      </c>
      <c r="K4313" s="7" t="n">
        <f aca="false">IFERROR(VALUE(RIGHT(TRIM(F4313),4)),"")</f>
        <v>2013</v>
      </c>
      <c r="L4313" s="7" t="str">
        <f aca="false">IF(TRIM(E4313)="","Unknown",IFERROR(LEFT(TRIM(E4313),FIND(",",TRIM(E4313))-1),TRIM(E4313)))</f>
        <v>United States</v>
      </c>
      <c r="M4313" s="7" t="str">
        <f aca="false">IFERROR(LEFT(J4313,FIND(",",J4313)-1),J4313)</f>
        <v>Children &amp; Family Movies</v>
      </c>
      <c r="N4313" s="7" t="n">
        <f aca="false">IF(B4313="Movie",IFERROR(VALUE(LEFT(I4313,FIND(" ",I4313)-1)),""),"")</f>
        <v>130</v>
      </c>
      <c r="O4313" s="7" t="str">
        <f aca="false">IF(B4313="TV Show",IFERROR(VALUE(LEFT(I4313,FIND(" ",I4313)-1)),""),"")</f>
        <v/>
      </c>
      <c r="P4313" s="7" t="n">
        <f aca="false">IF(K4313="","",K4313-G4313)</f>
        <v>0</v>
      </c>
    </row>
    <row r="4314" customFormat="false" ht="15" hidden="false" customHeight="false" outlineLevel="0" collapsed="false">
      <c r="A4314" s="7" t="n">
        <v>81043135</v>
      </c>
      <c r="B4314" s="7" t="s">
        <v>68</v>
      </c>
      <c r="C4314" s="7" t="s">
        <v>8841</v>
      </c>
      <c r="D4314" s="7" t="s">
        <v>8842</v>
      </c>
      <c r="F4314" s="7" t="s">
        <v>8843</v>
      </c>
      <c r="G4314" s="7" t="n">
        <v>2019</v>
      </c>
      <c r="H4314" s="7" t="s">
        <v>48</v>
      </c>
      <c r="I4314" s="7" t="s">
        <v>2551</v>
      </c>
      <c r="J4314" s="7" t="s">
        <v>304</v>
      </c>
      <c r="K4314" s="7" t="n">
        <f aca="false">IFERROR(VALUE(RIGHT(TRIM(F4314),4)),"")</f>
        <v>2019</v>
      </c>
      <c r="L4314" s="7" t="str">
        <f aca="false">IF(TRIM(E4314)="","Unknown",IFERROR(LEFT(TRIM(E4314),FIND(",",TRIM(E4314))-1),TRIM(E4314)))</f>
        <v>Unknown</v>
      </c>
      <c r="M4314" s="7" t="str">
        <f aca="false">IFERROR(LEFT(J4314,FIND(",",J4314)-1),J4314)</f>
        <v>Dramas</v>
      </c>
      <c r="N4314" s="7" t="n">
        <f aca="false">IF(B4314="Movie",IFERROR(VALUE(LEFT(I4314,FIND(" ",I4314)-1)),""),"")</f>
        <v>120</v>
      </c>
      <c r="O4314" s="7" t="str">
        <f aca="false">IF(B4314="TV Show",IFERROR(VALUE(LEFT(I4314,FIND(" ",I4314)-1)),""),"")</f>
        <v/>
      </c>
      <c r="P4314" s="7" t="n">
        <f aca="false">IF(K4314="","",K4314-G4314)</f>
        <v>0</v>
      </c>
    </row>
    <row r="4315" customFormat="false" ht="15" hidden="false" customHeight="false" outlineLevel="0" collapsed="false">
      <c r="A4315" s="7" t="n">
        <v>80185375</v>
      </c>
      <c r="B4315" s="7" t="s">
        <v>68</v>
      </c>
      <c r="C4315" s="7" t="s">
        <v>8844</v>
      </c>
      <c r="D4315" s="7" t="s">
        <v>8845</v>
      </c>
      <c r="E4315" s="7" t="s">
        <v>8846</v>
      </c>
      <c r="F4315" s="7" t="s">
        <v>8847</v>
      </c>
      <c r="G4315" s="7" t="n">
        <v>2018</v>
      </c>
      <c r="H4315" s="7" t="s">
        <v>48</v>
      </c>
      <c r="I4315" s="7" t="s">
        <v>232</v>
      </c>
      <c r="J4315" s="7" t="s">
        <v>304</v>
      </c>
      <c r="K4315" s="7" t="n">
        <f aca="false">IFERROR(VALUE(RIGHT(TRIM(F4315),4)),"")</f>
        <v>2018</v>
      </c>
      <c r="L4315" s="7" t="str">
        <f aca="false">IF(TRIM(E4315)="","Unknown",IFERROR(LEFT(TRIM(E4315),FIND(",",TRIM(E4315))-1),TRIM(E4315)))</f>
        <v>Uruguay</v>
      </c>
      <c r="M4315" s="7" t="str">
        <f aca="false">IFERROR(LEFT(J4315,FIND(",",J4315)-1),J4315)</f>
        <v>Dramas</v>
      </c>
      <c r="N4315" s="7" t="n">
        <f aca="false">IF(B4315="Movie",IFERROR(VALUE(LEFT(I4315,FIND(" ",I4315)-1)),""),"")</f>
        <v>122</v>
      </c>
      <c r="O4315" s="7" t="str">
        <f aca="false">IF(B4315="TV Show",IFERROR(VALUE(LEFT(I4315,FIND(" ",I4315)-1)),""),"")</f>
        <v/>
      </c>
      <c r="P4315" s="7" t="n">
        <f aca="false">IF(K4315="","",K4315-G4315)</f>
        <v>0</v>
      </c>
    </row>
    <row r="4316" customFormat="false" ht="15" hidden="false" customHeight="false" outlineLevel="0" collapsed="false">
      <c r="A4316" s="7" t="n">
        <v>80097519</v>
      </c>
      <c r="B4316" s="7" t="s">
        <v>68</v>
      </c>
      <c r="C4316" s="7" t="s">
        <v>8848</v>
      </c>
      <c r="D4316" s="7" t="s">
        <v>8849</v>
      </c>
      <c r="E4316" s="7" t="s">
        <v>8850</v>
      </c>
      <c r="F4316" s="7" t="s">
        <v>8847</v>
      </c>
      <c r="G4316" s="7" t="n">
        <v>2017</v>
      </c>
      <c r="H4316" s="7" t="s">
        <v>48</v>
      </c>
      <c r="I4316" s="7" t="s">
        <v>451</v>
      </c>
      <c r="J4316" s="7" t="s">
        <v>699</v>
      </c>
      <c r="K4316" s="7" t="n">
        <f aca="false">IFERROR(VALUE(RIGHT(TRIM(F4316),4)),"")</f>
        <v>2018</v>
      </c>
      <c r="L4316" s="7" t="str">
        <f aca="false">IF(TRIM(E4316)="","Unknown",IFERROR(LEFT(TRIM(E4316),FIND(",",TRIM(E4316))-1),TRIM(E4316)))</f>
        <v>Sweden</v>
      </c>
      <c r="M4316" s="7" t="str">
        <f aca="false">IFERROR(LEFT(J4316,FIND(",",J4316)-1),J4316)</f>
        <v>Documentaries</v>
      </c>
      <c r="N4316" s="7" t="n">
        <f aca="false">IF(B4316="Movie",IFERROR(VALUE(LEFT(I4316,FIND(" ",I4316)-1)),""),"")</f>
        <v>97</v>
      </c>
      <c r="O4316" s="7" t="str">
        <f aca="false">IF(B4316="TV Show",IFERROR(VALUE(LEFT(I4316,FIND(" ",I4316)-1)),""),"")</f>
        <v/>
      </c>
      <c r="P4316" s="7" t="n">
        <f aca="false">IF(K4316="","",K4316-G4316)</f>
        <v>1</v>
      </c>
    </row>
    <row r="4317" customFormat="false" ht="15" hidden="false" customHeight="false" outlineLevel="0" collapsed="false">
      <c r="A4317" s="7" t="n">
        <v>80988062</v>
      </c>
      <c r="B4317" s="7" t="s">
        <v>68</v>
      </c>
      <c r="C4317" s="7" t="s">
        <v>8851</v>
      </c>
      <c r="E4317" s="7" t="s">
        <v>26</v>
      </c>
      <c r="F4317" s="7" t="s">
        <v>8847</v>
      </c>
      <c r="G4317" s="7" t="n">
        <v>2018</v>
      </c>
      <c r="H4317" s="7" t="s">
        <v>48</v>
      </c>
      <c r="I4317" s="7" t="s">
        <v>8852</v>
      </c>
      <c r="J4317" s="7" t="s">
        <v>2458</v>
      </c>
      <c r="K4317" s="7" t="n">
        <f aca="false">IFERROR(VALUE(RIGHT(TRIM(F4317),4)),"")</f>
        <v>2018</v>
      </c>
      <c r="L4317" s="7" t="str">
        <f aca="false">IF(TRIM(E4317)="","Unknown",IFERROR(LEFT(TRIM(E4317),FIND(",",TRIM(E4317))-1),TRIM(E4317)))</f>
        <v>United States</v>
      </c>
      <c r="M4317" s="7" t="str">
        <f aca="false">IFERROR(LEFT(J4317,FIND(",",J4317)-1),J4317)</f>
        <v>Dramas</v>
      </c>
      <c r="N4317" s="7" t="n">
        <f aca="false">IF(B4317="Movie",IFERROR(VALUE(LEFT(I4317,FIND(" ",I4317)-1)),""),"")</f>
        <v>312</v>
      </c>
      <c r="O4317" s="7" t="str">
        <f aca="false">IF(B4317="TV Show",IFERROR(VALUE(LEFT(I4317,FIND(" ",I4317)-1)),""),"")</f>
        <v/>
      </c>
      <c r="P4317" s="7" t="n">
        <f aca="false">IF(K4317="","",K4317-G4317)</f>
        <v>0</v>
      </c>
    </row>
    <row r="4318" customFormat="false" ht="15" hidden="false" customHeight="false" outlineLevel="0" collapsed="false">
      <c r="A4318" s="7" t="n">
        <v>80240277</v>
      </c>
      <c r="B4318" s="7" t="s">
        <v>78</v>
      </c>
      <c r="C4318" s="7" t="s">
        <v>8853</v>
      </c>
      <c r="E4318" s="7" t="s">
        <v>5469</v>
      </c>
      <c r="F4318" s="7" t="s">
        <v>8847</v>
      </c>
      <c r="G4318" s="7" t="n">
        <v>2015</v>
      </c>
      <c r="H4318" s="7" t="s">
        <v>48</v>
      </c>
      <c r="I4318" s="7" t="s">
        <v>82</v>
      </c>
      <c r="J4318" s="7" t="s">
        <v>3638</v>
      </c>
      <c r="K4318" s="7" t="n">
        <f aca="false">IFERROR(VALUE(RIGHT(TRIM(F4318),4)),"")</f>
        <v>2018</v>
      </c>
      <c r="L4318" s="7" t="str">
        <f aca="false">IF(TRIM(E4318)="","Unknown",IFERROR(LEFT(TRIM(E4318),FIND(",",TRIM(E4318))-1),TRIM(E4318)))</f>
        <v>Israel</v>
      </c>
      <c r="M4318" s="7" t="str">
        <f aca="false">IFERROR(LEFT(J4318,FIND(",",J4318)-1),J4318)</f>
        <v>Crime TV Shows</v>
      </c>
      <c r="N4318" s="7" t="str">
        <f aca="false">IF(B4318="Movie",IFERROR(VALUE(LEFT(I4318,FIND(" ",I4318)-1)),""),"")</f>
        <v/>
      </c>
      <c r="O4318" s="7" t="n">
        <f aca="false">IF(B4318="TV Show",IFERROR(VALUE(LEFT(I4318,FIND(" ",I4318)-1)),""),"")</f>
        <v>1</v>
      </c>
      <c r="P4318" s="7" t="n">
        <f aca="false">IF(K4318="","",K4318-G4318)</f>
        <v>3</v>
      </c>
    </row>
    <row r="4319" customFormat="false" ht="15" hidden="false" customHeight="false" outlineLevel="0" collapsed="false">
      <c r="A4319" s="7" t="n">
        <v>81024730</v>
      </c>
      <c r="B4319" s="7" t="s">
        <v>68</v>
      </c>
      <c r="C4319" s="7" t="s">
        <v>8854</v>
      </c>
      <c r="D4319" s="7" t="s">
        <v>8855</v>
      </c>
      <c r="E4319" s="7" t="s">
        <v>27</v>
      </c>
      <c r="F4319" s="7" t="s">
        <v>8847</v>
      </c>
      <c r="G4319" s="7" t="n">
        <v>2012</v>
      </c>
      <c r="H4319" s="7" t="s">
        <v>49</v>
      </c>
      <c r="I4319" s="7" t="s">
        <v>790</v>
      </c>
      <c r="J4319" s="7" t="s">
        <v>4035</v>
      </c>
      <c r="K4319" s="7" t="n">
        <f aca="false">IFERROR(VALUE(RIGHT(TRIM(F4319),4)),"")</f>
        <v>2018</v>
      </c>
      <c r="L4319" s="7" t="str">
        <f aca="false">IF(TRIM(E4319)="","Unknown",IFERROR(LEFT(TRIM(E4319),FIND(",",TRIM(E4319))-1),TRIM(E4319)))</f>
        <v>India</v>
      </c>
      <c r="M4319" s="7" t="str">
        <f aca="false">IFERROR(LEFT(J4319,FIND(",",J4319)-1),J4319)</f>
        <v>Action &amp; Adventure</v>
      </c>
      <c r="N4319" s="7" t="n">
        <f aca="false">IF(B4319="Movie",IFERROR(VALUE(LEFT(I4319,FIND(" ",I4319)-1)),""),"")</f>
        <v>109</v>
      </c>
      <c r="O4319" s="7" t="str">
        <f aca="false">IF(B4319="TV Show",IFERROR(VALUE(LEFT(I4319,FIND(" ",I4319)-1)),""),"")</f>
        <v/>
      </c>
      <c r="P4319" s="7" t="n">
        <f aca="false">IF(K4319="","",K4319-G4319)</f>
        <v>6</v>
      </c>
    </row>
    <row r="4320" customFormat="false" ht="15" hidden="false" customHeight="false" outlineLevel="0" collapsed="false">
      <c r="A4320" s="7" t="n">
        <v>80217475</v>
      </c>
      <c r="B4320" s="7" t="s">
        <v>78</v>
      </c>
      <c r="C4320" s="7" t="s">
        <v>8856</v>
      </c>
      <c r="E4320" s="7" t="s">
        <v>26</v>
      </c>
      <c r="F4320" s="7" t="s">
        <v>8847</v>
      </c>
      <c r="G4320" s="7" t="n">
        <v>2018</v>
      </c>
      <c r="H4320" s="7" t="s">
        <v>48</v>
      </c>
      <c r="I4320" s="7" t="s">
        <v>82</v>
      </c>
      <c r="J4320" s="7" t="s">
        <v>696</v>
      </c>
      <c r="K4320" s="7" t="n">
        <f aca="false">IFERROR(VALUE(RIGHT(TRIM(F4320),4)),"")</f>
        <v>2018</v>
      </c>
      <c r="L4320" s="7" t="str">
        <f aca="false">IF(TRIM(E4320)="","Unknown",IFERROR(LEFT(TRIM(E4320),FIND(",",TRIM(E4320))-1),TRIM(E4320)))</f>
        <v>United States</v>
      </c>
      <c r="M4320" s="7" t="str">
        <f aca="false">IFERROR(LEFT(J4320,FIND(",",J4320)-1),J4320)</f>
        <v>Crime TV Shows</v>
      </c>
      <c r="N4320" s="7" t="str">
        <f aca="false">IF(B4320="Movie",IFERROR(VALUE(LEFT(I4320,FIND(" ",I4320)-1)),""),"")</f>
        <v/>
      </c>
      <c r="O4320" s="7" t="n">
        <f aca="false">IF(B4320="TV Show",IFERROR(VALUE(LEFT(I4320,FIND(" ",I4320)-1)),""),"")</f>
        <v>1</v>
      </c>
      <c r="P4320" s="7" t="n">
        <f aca="false">IF(K4320="","",K4320-G4320)</f>
        <v>0</v>
      </c>
    </row>
    <row r="4321" customFormat="false" ht="15" hidden="false" customHeight="false" outlineLevel="0" collapsed="false">
      <c r="A4321" s="7" t="n">
        <v>80151663</v>
      </c>
      <c r="B4321" s="7" t="s">
        <v>68</v>
      </c>
      <c r="C4321" s="7" t="s">
        <v>8857</v>
      </c>
      <c r="D4321" s="7" t="s">
        <v>8858</v>
      </c>
      <c r="E4321" s="7" t="s">
        <v>28</v>
      </c>
      <c r="F4321" s="7" t="s">
        <v>8847</v>
      </c>
      <c r="G4321" s="7" t="n">
        <v>2016</v>
      </c>
      <c r="H4321" s="7" t="s">
        <v>51</v>
      </c>
      <c r="I4321" s="7" t="s">
        <v>232</v>
      </c>
      <c r="J4321" s="7" t="s">
        <v>699</v>
      </c>
      <c r="K4321" s="7" t="n">
        <f aca="false">IFERROR(VALUE(RIGHT(TRIM(F4321),4)),"")</f>
        <v>2018</v>
      </c>
      <c r="L4321" s="7" t="str">
        <f aca="false">IF(TRIM(E4321)="","Unknown",IFERROR(LEFT(TRIM(E4321),FIND(",",TRIM(E4321))-1),TRIM(E4321)))</f>
        <v>United Kingdom</v>
      </c>
      <c r="M4321" s="7" t="str">
        <f aca="false">IFERROR(LEFT(J4321,FIND(",",J4321)-1),J4321)</f>
        <v>Documentaries</v>
      </c>
      <c r="N4321" s="7" t="n">
        <f aca="false">IF(B4321="Movie",IFERROR(VALUE(LEFT(I4321,FIND(" ",I4321)-1)),""),"")</f>
        <v>122</v>
      </c>
      <c r="O4321" s="7" t="str">
        <f aca="false">IF(B4321="TV Show",IFERROR(VALUE(LEFT(I4321,FIND(" ",I4321)-1)),""),"")</f>
        <v/>
      </c>
      <c r="P4321" s="7" t="n">
        <f aca="false">IF(K4321="","",K4321-G4321)</f>
        <v>2</v>
      </c>
    </row>
    <row r="4322" customFormat="false" ht="15" hidden="false" customHeight="false" outlineLevel="0" collapsed="false">
      <c r="A4322" s="7" t="n">
        <v>81024717</v>
      </c>
      <c r="B4322" s="7" t="s">
        <v>68</v>
      </c>
      <c r="C4322" s="7" t="s">
        <v>8859</v>
      </c>
      <c r="E4322" s="7" t="s">
        <v>27</v>
      </c>
      <c r="F4322" s="7" t="s">
        <v>8847</v>
      </c>
      <c r="G4322" s="7" t="n">
        <v>2012</v>
      </c>
      <c r="H4322" s="7" t="s">
        <v>49</v>
      </c>
      <c r="I4322" s="7" t="s">
        <v>237</v>
      </c>
      <c r="J4322" s="7" t="s">
        <v>240</v>
      </c>
      <c r="K4322" s="7" t="n">
        <f aca="false">IFERROR(VALUE(RIGHT(TRIM(F4322),4)),"")</f>
        <v>2018</v>
      </c>
      <c r="L4322" s="7" t="str">
        <f aca="false">IF(TRIM(E4322)="","Unknown",IFERROR(LEFT(TRIM(E4322),FIND(",",TRIM(E4322))-1),TRIM(E4322)))</f>
        <v>India</v>
      </c>
      <c r="M4322" s="7" t="str">
        <f aca="false">IFERROR(LEFT(J4322,FIND(",",J4322)-1),J4322)</f>
        <v>Dramas</v>
      </c>
      <c r="N4322" s="7" t="n">
        <f aca="false">IF(B4322="Movie",IFERROR(VALUE(LEFT(I4322,FIND(" ",I4322)-1)),""),"")</f>
        <v>116</v>
      </c>
      <c r="O4322" s="7" t="str">
        <f aca="false">IF(B4322="TV Show",IFERROR(VALUE(LEFT(I4322,FIND(" ",I4322)-1)),""),"")</f>
        <v/>
      </c>
      <c r="P4322" s="7" t="n">
        <f aca="false">IF(K4322="","",K4322-G4322)</f>
        <v>6</v>
      </c>
    </row>
    <row r="4323" customFormat="false" ht="15" hidden="false" customHeight="false" outlineLevel="0" collapsed="false">
      <c r="A4323" s="7" t="n">
        <v>80194558</v>
      </c>
      <c r="B4323" s="7" t="s">
        <v>78</v>
      </c>
      <c r="C4323" s="7" t="s">
        <v>8860</v>
      </c>
      <c r="E4323" s="7" t="s">
        <v>27</v>
      </c>
      <c r="F4323" s="7" t="s">
        <v>8847</v>
      </c>
      <c r="G4323" s="7" t="n">
        <v>2018</v>
      </c>
      <c r="H4323" s="7" t="s">
        <v>49</v>
      </c>
      <c r="I4323" s="7" t="s">
        <v>82</v>
      </c>
      <c r="J4323" s="7" t="s">
        <v>2916</v>
      </c>
      <c r="K4323" s="7" t="n">
        <f aca="false">IFERROR(VALUE(RIGHT(TRIM(F4323),4)),"")</f>
        <v>2018</v>
      </c>
      <c r="L4323" s="7" t="str">
        <f aca="false">IF(TRIM(E4323)="","Unknown",IFERROR(LEFT(TRIM(E4323),FIND(",",TRIM(E4323))-1),TRIM(E4323)))</f>
        <v>India</v>
      </c>
      <c r="M4323" s="7" t="str">
        <f aca="false">IFERROR(LEFT(J4323,FIND(",",J4323)-1),J4323)</f>
        <v>International TV Shows</v>
      </c>
      <c r="N4323" s="7" t="str">
        <f aca="false">IF(B4323="Movie",IFERROR(VALUE(LEFT(I4323,FIND(" ",I4323)-1)),""),"")</f>
        <v/>
      </c>
      <c r="O4323" s="7" t="n">
        <f aca="false">IF(B4323="TV Show",IFERROR(VALUE(LEFT(I4323,FIND(" ",I4323)-1)),""),"")</f>
        <v>1</v>
      </c>
      <c r="P4323" s="7" t="n">
        <f aca="false">IF(K4323="","",K4323-G4323)</f>
        <v>0</v>
      </c>
    </row>
    <row r="4324" customFormat="false" ht="15" hidden="false" customHeight="false" outlineLevel="0" collapsed="false">
      <c r="A4324" s="7" t="n">
        <v>80995577</v>
      </c>
      <c r="B4324" s="7" t="s">
        <v>68</v>
      </c>
      <c r="C4324" s="7" t="s">
        <v>8861</v>
      </c>
      <c r="D4324" s="7" t="s">
        <v>2233</v>
      </c>
      <c r="E4324" s="7" t="s">
        <v>325</v>
      </c>
      <c r="F4324" s="7" t="s">
        <v>8847</v>
      </c>
      <c r="G4324" s="7" t="n">
        <v>2018</v>
      </c>
      <c r="H4324" s="7" t="s">
        <v>48</v>
      </c>
      <c r="I4324" s="7" t="s">
        <v>1191</v>
      </c>
      <c r="J4324" s="7" t="s">
        <v>341</v>
      </c>
      <c r="K4324" s="7" t="n">
        <f aca="false">IFERROR(VALUE(RIGHT(TRIM(F4324),4)),"")</f>
        <v>2018</v>
      </c>
      <c r="L4324" s="7" t="str">
        <f aca="false">IF(TRIM(E4324)="","Unknown",IFERROR(LEFT(TRIM(E4324),FIND(",",TRIM(E4324))-1),TRIM(E4324)))</f>
        <v>Brazil</v>
      </c>
      <c r="M4324" s="7" t="str">
        <f aca="false">IFERROR(LEFT(J4324,FIND(",",J4324)-1),J4324)</f>
        <v>Documentaries</v>
      </c>
      <c r="N4324" s="7" t="n">
        <f aca="false">IF(B4324="Movie",IFERROR(VALUE(LEFT(I4324,FIND(" ",I4324)-1)),""),"")</f>
        <v>73</v>
      </c>
      <c r="O4324" s="7" t="str">
        <f aca="false">IF(B4324="TV Show",IFERROR(VALUE(LEFT(I4324,FIND(" ",I4324)-1)),""),"")</f>
        <v/>
      </c>
      <c r="P4324" s="7" t="n">
        <f aca="false">IF(K4324="","",K4324-G4324)</f>
        <v>0</v>
      </c>
    </row>
    <row r="4325" customFormat="false" ht="15" hidden="false" customHeight="false" outlineLevel="0" collapsed="false">
      <c r="A4325" s="7" t="n">
        <v>80244708</v>
      </c>
      <c r="B4325" s="7" t="s">
        <v>68</v>
      </c>
      <c r="C4325" s="7" t="s">
        <v>8862</v>
      </c>
      <c r="D4325" s="7" t="s">
        <v>8863</v>
      </c>
      <c r="E4325" s="7" t="s">
        <v>33</v>
      </c>
      <c r="F4325" s="7" t="s">
        <v>8847</v>
      </c>
      <c r="G4325" s="7" t="n">
        <v>2018</v>
      </c>
      <c r="H4325" s="7" t="s">
        <v>48</v>
      </c>
      <c r="I4325" s="7" t="s">
        <v>138</v>
      </c>
      <c r="J4325" s="7" t="s">
        <v>182</v>
      </c>
      <c r="K4325" s="7" t="n">
        <f aca="false">IFERROR(VALUE(RIGHT(TRIM(F4325),4)),"")</f>
        <v>2018</v>
      </c>
      <c r="L4325" s="7" t="str">
        <f aca="false">IF(TRIM(E4325)="","Unknown",IFERROR(LEFT(TRIM(E4325),FIND(",",TRIM(E4325))-1),TRIM(E4325)))</f>
        <v>Spain</v>
      </c>
      <c r="M4325" s="7" t="str">
        <f aca="false">IFERROR(LEFT(J4325,FIND(",",J4325)-1),J4325)</f>
        <v>Dramas</v>
      </c>
      <c r="N4325" s="7" t="n">
        <f aca="false">IF(B4325="Movie",IFERROR(VALUE(LEFT(I4325,FIND(" ",I4325)-1)),""),"")</f>
        <v>96</v>
      </c>
      <c r="O4325" s="7" t="str">
        <f aca="false">IF(B4325="TV Show",IFERROR(VALUE(LEFT(I4325,FIND(" ",I4325)-1)),""),"")</f>
        <v/>
      </c>
      <c r="P4325" s="7" t="n">
        <f aca="false">IF(K4325="","",K4325-G4325)</f>
        <v>0</v>
      </c>
    </row>
    <row r="4326" customFormat="false" ht="15" hidden="false" customHeight="false" outlineLevel="0" collapsed="false">
      <c r="A4326" s="7" t="n">
        <v>80136332</v>
      </c>
      <c r="B4326" s="7" t="s">
        <v>68</v>
      </c>
      <c r="C4326" s="7" t="s">
        <v>8864</v>
      </c>
      <c r="D4326" s="7" t="s">
        <v>8865</v>
      </c>
      <c r="E4326" s="7" t="s">
        <v>1081</v>
      </c>
      <c r="F4326" s="7" t="s">
        <v>8866</v>
      </c>
      <c r="G4326" s="7" t="n">
        <v>2016</v>
      </c>
      <c r="H4326" s="7" t="s">
        <v>49</v>
      </c>
      <c r="I4326" s="7" t="s">
        <v>73</v>
      </c>
      <c r="J4326" s="7" t="s">
        <v>341</v>
      </c>
      <c r="K4326" s="7" t="n">
        <f aca="false">IFERROR(VALUE(RIGHT(TRIM(F4326),4)),"")</f>
        <v>2016</v>
      </c>
      <c r="L4326" s="7" t="str">
        <f aca="false">IF(TRIM(E4326)="","Unknown",IFERROR(LEFT(TRIM(E4326),FIND(",",TRIM(E4326))-1),TRIM(E4326)))</f>
        <v>Germany</v>
      </c>
      <c r="M4326" s="7" t="str">
        <f aca="false">IFERROR(LEFT(J4326,FIND(",",J4326)-1),J4326)</f>
        <v>Documentaries</v>
      </c>
      <c r="N4326" s="7" t="n">
        <f aca="false">IF(B4326="Movie",IFERROR(VALUE(LEFT(I4326,FIND(" ",I4326)-1)),""),"")</f>
        <v>90</v>
      </c>
      <c r="O4326" s="7" t="str">
        <f aca="false">IF(B4326="TV Show",IFERROR(VALUE(LEFT(I4326,FIND(" ",I4326)-1)),""),"")</f>
        <v/>
      </c>
      <c r="P4326" s="7" t="n">
        <f aca="false">IF(K4326="","",K4326-G4326)</f>
        <v>0</v>
      </c>
    </row>
    <row r="4327" customFormat="false" ht="15" hidden="false" customHeight="false" outlineLevel="0" collapsed="false">
      <c r="A4327" s="7" t="n">
        <v>80082739</v>
      </c>
      <c r="B4327" s="7" t="s">
        <v>68</v>
      </c>
      <c r="C4327" s="7" t="s">
        <v>8867</v>
      </c>
      <c r="D4327" s="7" t="s">
        <v>8868</v>
      </c>
      <c r="E4327" s="7" t="s">
        <v>527</v>
      </c>
      <c r="F4327" s="7" t="s">
        <v>8869</v>
      </c>
      <c r="G4327" s="7" t="n">
        <v>2015</v>
      </c>
      <c r="H4327" s="7" t="s">
        <v>53</v>
      </c>
      <c r="I4327" s="7" t="s">
        <v>512</v>
      </c>
      <c r="J4327" s="7" t="s">
        <v>304</v>
      </c>
      <c r="K4327" s="7" t="n">
        <f aca="false">IFERROR(VALUE(RIGHT(TRIM(F4327),4)),"")</f>
        <v>2015</v>
      </c>
      <c r="L4327" s="7" t="str">
        <f aca="false">IF(TRIM(E4327)="","Unknown",IFERROR(LEFT(TRIM(E4327),FIND(",",TRIM(E4327))-1),TRIM(E4327)))</f>
        <v>Nigeria</v>
      </c>
      <c r="M4327" s="7" t="str">
        <f aca="false">IFERROR(LEFT(J4327,FIND(",",J4327)-1),J4327)</f>
        <v>Dramas</v>
      </c>
      <c r="N4327" s="7" t="n">
        <f aca="false">IF(B4327="Movie",IFERROR(VALUE(LEFT(I4327,FIND(" ",I4327)-1)),""),"")</f>
        <v>101</v>
      </c>
      <c r="O4327" s="7" t="str">
        <f aca="false">IF(B4327="TV Show",IFERROR(VALUE(LEFT(I4327,FIND(" ",I4327)-1)),""),"")</f>
        <v/>
      </c>
      <c r="P4327" s="7" t="n">
        <f aca="false">IF(K4327="","",K4327-G4327)</f>
        <v>0</v>
      </c>
    </row>
    <row r="4328" customFormat="false" ht="15" hidden="false" customHeight="false" outlineLevel="0" collapsed="false">
      <c r="A4328" s="7" t="n">
        <v>81228864</v>
      </c>
      <c r="B4328" s="7" t="s">
        <v>68</v>
      </c>
      <c r="C4328" s="7" t="s">
        <v>8870</v>
      </c>
      <c r="D4328" s="7" t="s">
        <v>8871</v>
      </c>
      <c r="E4328" s="7" t="s">
        <v>1672</v>
      </c>
      <c r="F4328" s="7" t="s">
        <v>8872</v>
      </c>
      <c r="G4328" s="7" t="n">
        <v>2013</v>
      </c>
      <c r="H4328" s="7" t="s">
        <v>48</v>
      </c>
      <c r="I4328" s="7" t="s">
        <v>181</v>
      </c>
      <c r="J4328" s="7" t="s">
        <v>139</v>
      </c>
      <c r="K4328" s="7" t="n">
        <f aca="false">IFERROR(VALUE(RIGHT(TRIM(F4328),4)),"")</f>
        <v>2019</v>
      </c>
      <c r="L4328" s="7" t="str">
        <f aca="false">IF(TRIM(E4328)="","Unknown",IFERROR(LEFT(TRIM(E4328),FIND(",",TRIM(E4328))-1),TRIM(E4328)))</f>
        <v>South Africa</v>
      </c>
      <c r="M4328" s="7" t="str">
        <f aca="false">IFERROR(LEFT(J4328,FIND(",",J4328)-1),J4328)</f>
        <v>Action &amp; Adventure</v>
      </c>
      <c r="N4328" s="7" t="n">
        <f aca="false">IF(B4328="Movie",IFERROR(VALUE(LEFT(I4328,FIND(" ",I4328)-1)),""),"")</f>
        <v>102</v>
      </c>
      <c r="O4328" s="7" t="str">
        <f aca="false">IF(B4328="TV Show",IFERROR(VALUE(LEFT(I4328,FIND(" ",I4328)-1)),""),"")</f>
        <v/>
      </c>
      <c r="P4328" s="7" t="n">
        <f aca="false">IF(K4328="","",K4328-G4328)</f>
        <v>6</v>
      </c>
    </row>
    <row r="4329" customFormat="false" ht="15" hidden="false" customHeight="false" outlineLevel="0" collapsed="false">
      <c r="A4329" s="7" t="n">
        <v>81094074</v>
      </c>
      <c r="B4329" s="7" t="s">
        <v>68</v>
      </c>
      <c r="C4329" s="7" t="s">
        <v>8873</v>
      </c>
      <c r="D4329" s="7" t="s">
        <v>8874</v>
      </c>
      <c r="E4329" s="7" t="s">
        <v>8875</v>
      </c>
      <c r="F4329" s="7" t="s">
        <v>8872</v>
      </c>
      <c r="G4329" s="7" t="n">
        <v>2018</v>
      </c>
      <c r="H4329" s="7" t="s">
        <v>49</v>
      </c>
      <c r="I4329" s="7" t="s">
        <v>1191</v>
      </c>
      <c r="J4329" s="7" t="s">
        <v>341</v>
      </c>
      <c r="K4329" s="7" t="n">
        <f aca="false">IFERROR(VALUE(RIGHT(TRIM(F4329),4)),"")</f>
        <v>2019</v>
      </c>
      <c r="L4329" s="7" t="str">
        <f aca="false">IF(TRIM(E4329)="","Unknown",IFERROR(LEFT(TRIM(E4329),FIND(",",TRIM(E4329))-1),TRIM(E4329)))</f>
        <v>Argentina</v>
      </c>
      <c r="M4329" s="7" t="str">
        <f aca="false">IFERROR(LEFT(J4329,FIND(",",J4329)-1),J4329)</f>
        <v>Documentaries</v>
      </c>
      <c r="N4329" s="7" t="n">
        <f aca="false">IF(B4329="Movie",IFERROR(VALUE(LEFT(I4329,FIND(" ",I4329)-1)),""),"")</f>
        <v>73</v>
      </c>
      <c r="O4329" s="7" t="str">
        <f aca="false">IF(B4329="TV Show",IFERROR(VALUE(LEFT(I4329,FIND(" ",I4329)-1)),""),"")</f>
        <v/>
      </c>
      <c r="P4329" s="7" t="n">
        <f aca="false">IF(K4329="","",K4329-G4329)</f>
        <v>1</v>
      </c>
    </row>
    <row r="4330" customFormat="false" ht="15" hidden="false" customHeight="false" outlineLevel="0" collapsed="false">
      <c r="A4330" s="7" t="n">
        <v>81010817</v>
      </c>
      <c r="B4330" s="7" t="s">
        <v>78</v>
      </c>
      <c r="C4330" s="7" t="s">
        <v>8876</v>
      </c>
      <c r="E4330" s="7" t="s">
        <v>26</v>
      </c>
      <c r="F4330" s="7" t="s">
        <v>8872</v>
      </c>
      <c r="G4330" s="7" t="n">
        <v>2019</v>
      </c>
      <c r="H4330" s="7" t="s">
        <v>48</v>
      </c>
      <c r="I4330" s="7" t="s">
        <v>82</v>
      </c>
      <c r="J4330" s="7" t="s">
        <v>164</v>
      </c>
      <c r="K4330" s="7" t="n">
        <f aca="false">IFERROR(VALUE(RIGHT(TRIM(F4330),4)),"")</f>
        <v>2019</v>
      </c>
      <c r="L4330" s="7" t="str">
        <f aca="false">IF(TRIM(E4330)="","Unknown",IFERROR(LEFT(TRIM(E4330),FIND(",",TRIM(E4330))-1),TRIM(E4330)))</f>
        <v>United States</v>
      </c>
      <c r="M4330" s="7" t="str">
        <f aca="false">IFERROR(LEFT(J4330,FIND(",",J4330)-1),J4330)</f>
        <v>Docuseries</v>
      </c>
      <c r="N4330" s="7" t="str">
        <f aca="false">IF(B4330="Movie",IFERROR(VALUE(LEFT(I4330,FIND(" ",I4330)-1)),""),"")</f>
        <v/>
      </c>
      <c r="O4330" s="7" t="n">
        <f aca="false">IF(B4330="TV Show",IFERROR(VALUE(LEFT(I4330,FIND(" ",I4330)-1)),""),"")</f>
        <v>1</v>
      </c>
      <c r="P4330" s="7" t="n">
        <f aca="false">IF(K4330="","",K4330-G4330)</f>
        <v>0</v>
      </c>
    </row>
    <row r="4331" customFormat="false" ht="15" hidden="false" customHeight="false" outlineLevel="0" collapsed="false">
      <c r="A4331" s="7" t="n">
        <v>81037848</v>
      </c>
      <c r="B4331" s="7" t="s">
        <v>78</v>
      </c>
      <c r="C4331" s="7" t="s">
        <v>2807</v>
      </c>
      <c r="E4331" s="7" t="s">
        <v>396</v>
      </c>
      <c r="F4331" s="7" t="s">
        <v>8872</v>
      </c>
      <c r="G4331" s="7" t="n">
        <v>2019</v>
      </c>
      <c r="H4331" s="7" t="s">
        <v>48</v>
      </c>
      <c r="I4331" s="7" t="s">
        <v>82</v>
      </c>
      <c r="J4331" s="7" t="s">
        <v>3308</v>
      </c>
      <c r="K4331" s="7" t="n">
        <f aca="false">IFERROR(VALUE(RIGHT(TRIM(F4331),4)),"")</f>
        <v>2019</v>
      </c>
      <c r="L4331" s="7" t="str">
        <f aca="false">IF(TRIM(E4331)="","Unknown",IFERROR(LEFT(TRIM(E4331),FIND(",",TRIM(E4331))-1),TRIM(E4331)))</f>
        <v>Turkey</v>
      </c>
      <c r="M4331" s="7" t="str">
        <f aca="false">IFERROR(LEFT(J4331,FIND(",",J4331)-1),J4331)</f>
        <v>International TV Shows</v>
      </c>
      <c r="N4331" s="7" t="str">
        <f aca="false">IF(B4331="Movie",IFERROR(VALUE(LEFT(I4331,FIND(" ",I4331)-1)),""),"")</f>
        <v/>
      </c>
      <c r="O4331" s="7" t="n">
        <f aca="false">IF(B4331="TV Show",IFERROR(VALUE(LEFT(I4331,FIND(" ",I4331)-1)),""),"")</f>
        <v>1</v>
      </c>
      <c r="P4331" s="7" t="n">
        <f aca="false">IF(K4331="","",K4331-G4331)</f>
        <v>0</v>
      </c>
    </row>
    <row r="4332" customFormat="false" ht="15" hidden="false" customHeight="false" outlineLevel="0" collapsed="false">
      <c r="A4332" s="7" t="n">
        <v>81044813</v>
      </c>
      <c r="B4332" s="7" t="s">
        <v>68</v>
      </c>
      <c r="C4332" s="7" t="s">
        <v>8877</v>
      </c>
      <c r="D4332" s="7" t="s">
        <v>8878</v>
      </c>
      <c r="E4332" s="7" t="s">
        <v>7743</v>
      </c>
      <c r="F4332" s="7" t="s">
        <v>8872</v>
      </c>
      <c r="G4332" s="7" t="n">
        <v>2019</v>
      </c>
      <c r="H4332" s="7" t="s">
        <v>54</v>
      </c>
      <c r="I4332" s="7" t="s">
        <v>212</v>
      </c>
      <c r="J4332" s="7" t="s">
        <v>74</v>
      </c>
      <c r="K4332" s="7" t="n">
        <f aca="false">IFERROR(VALUE(RIGHT(TRIM(F4332),4)),"")</f>
        <v>2019</v>
      </c>
      <c r="L4332" s="7" t="str">
        <f aca="false">IF(TRIM(E4332)="","Unknown",IFERROR(LEFT(TRIM(E4332),FIND(",",TRIM(E4332))-1),TRIM(E4332)))</f>
        <v>United States</v>
      </c>
      <c r="M4332" s="7" t="str">
        <f aca="false">IFERROR(LEFT(J4332,FIND(",",J4332)-1),J4332)</f>
        <v>Children &amp; Family Movies</v>
      </c>
      <c r="N4332" s="7" t="n">
        <f aca="false">IF(B4332="Movie",IFERROR(VALUE(LEFT(I4332,FIND(" ",I4332)-1)),""),"")</f>
        <v>86</v>
      </c>
      <c r="O4332" s="7" t="str">
        <f aca="false">IF(B4332="TV Show",IFERROR(VALUE(LEFT(I4332,FIND(" ",I4332)-1)),""),"")</f>
        <v/>
      </c>
      <c r="P4332" s="7" t="n">
        <f aca="false">IF(K4332="","",K4332-G4332)</f>
        <v>0</v>
      </c>
    </row>
    <row r="4333" customFormat="false" ht="15" hidden="false" customHeight="false" outlineLevel="0" collapsed="false">
      <c r="A4333" s="7" t="n">
        <v>81172726</v>
      </c>
      <c r="B4333" s="7" t="s">
        <v>68</v>
      </c>
      <c r="C4333" s="7" t="s">
        <v>8879</v>
      </c>
      <c r="D4333" s="7" t="s">
        <v>8880</v>
      </c>
      <c r="F4333" s="7" t="s">
        <v>8872</v>
      </c>
      <c r="G4333" s="7" t="n">
        <v>2018</v>
      </c>
      <c r="H4333" s="7" t="s">
        <v>48</v>
      </c>
      <c r="I4333" s="7" t="s">
        <v>330</v>
      </c>
      <c r="J4333" s="7" t="s">
        <v>202</v>
      </c>
      <c r="K4333" s="7" t="n">
        <f aca="false">IFERROR(VALUE(RIGHT(TRIM(F4333),4)),"")</f>
        <v>2019</v>
      </c>
      <c r="L4333" s="7" t="str">
        <f aca="false">IF(TRIM(E4333)="","Unknown",IFERROR(LEFT(TRIM(E4333),FIND(",",TRIM(E4333))-1),TRIM(E4333)))</f>
        <v>Unknown</v>
      </c>
      <c r="M4333" s="7" t="str">
        <f aca="false">IFERROR(LEFT(J4333,FIND(",",J4333)-1),J4333)</f>
        <v>Comedies</v>
      </c>
      <c r="N4333" s="7" t="n">
        <f aca="false">IF(B4333="Movie",IFERROR(VALUE(LEFT(I4333,FIND(" ",I4333)-1)),""),"")</f>
        <v>103</v>
      </c>
      <c r="O4333" s="7" t="str">
        <f aca="false">IF(B4333="TV Show",IFERROR(VALUE(LEFT(I4333,FIND(" ",I4333)-1)),""),"")</f>
        <v/>
      </c>
      <c r="P4333" s="7" t="n">
        <f aca="false">IF(K4333="","",K4333-G4333)</f>
        <v>1</v>
      </c>
    </row>
    <row r="4334" customFormat="false" ht="15" hidden="false" customHeight="false" outlineLevel="0" collapsed="false">
      <c r="A4334" s="7" t="n">
        <v>81029400</v>
      </c>
      <c r="B4334" s="7" t="s">
        <v>68</v>
      </c>
      <c r="C4334" s="7" t="s">
        <v>8881</v>
      </c>
      <c r="D4334" s="7" t="s">
        <v>8882</v>
      </c>
      <c r="E4334" s="7" t="s">
        <v>29</v>
      </c>
      <c r="F4334" s="7" t="s">
        <v>8883</v>
      </c>
      <c r="G4334" s="7" t="n">
        <v>2018</v>
      </c>
      <c r="H4334" s="7" t="s">
        <v>49</v>
      </c>
      <c r="I4334" s="7" t="s">
        <v>470</v>
      </c>
      <c r="J4334" s="7" t="s">
        <v>7046</v>
      </c>
      <c r="K4334" s="7" t="n">
        <f aca="false">IFERROR(VALUE(RIGHT(TRIM(F4334),4)),"")</f>
        <v>2018</v>
      </c>
      <c r="L4334" s="7" t="str">
        <f aca="false">IF(TRIM(E4334)="","Unknown",IFERROR(LEFT(TRIM(E4334),FIND(",",TRIM(E4334))-1),TRIM(E4334)))</f>
        <v>Canada</v>
      </c>
      <c r="M4334" s="7" t="str">
        <f aca="false">IFERROR(LEFT(J4334,FIND(",",J4334)-1),J4334)</f>
        <v>Dramas</v>
      </c>
      <c r="N4334" s="7" t="n">
        <f aca="false">IF(B4334="Movie",IFERROR(VALUE(LEFT(I4334,FIND(" ",I4334)-1)),""),"")</f>
        <v>91</v>
      </c>
      <c r="O4334" s="7" t="str">
        <f aca="false">IF(B4334="TV Show",IFERROR(VALUE(LEFT(I4334,FIND(" ",I4334)-1)),""),"")</f>
        <v/>
      </c>
      <c r="P4334" s="7" t="n">
        <f aca="false">IF(K4334="","",K4334-G4334)</f>
        <v>0</v>
      </c>
    </row>
    <row r="4335" customFormat="false" ht="15" hidden="false" customHeight="false" outlineLevel="0" collapsed="false">
      <c r="A4335" s="7" t="n">
        <v>80141781</v>
      </c>
      <c r="B4335" s="7" t="s">
        <v>68</v>
      </c>
      <c r="C4335" s="7" t="s">
        <v>8884</v>
      </c>
      <c r="D4335" s="7" t="s">
        <v>8885</v>
      </c>
      <c r="E4335" s="7" t="s">
        <v>1081</v>
      </c>
      <c r="F4335" s="7" t="s">
        <v>8886</v>
      </c>
      <c r="G4335" s="7" t="n">
        <v>2017</v>
      </c>
      <c r="H4335" s="7" t="s">
        <v>49</v>
      </c>
      <c r="I4335" s="7" t="s">
        <v>173</v>
      </c>
      <c r="J4335" s="7" t="s">
        <v>349</v>
      </c>
      <c r="K4335" s="7" t="n">
        <f aca="false">IFERROR(VALUE(RIGHT(TRIM(F4335),4)),"")</f>
        <v>2017</v>
      </c>
      <c r="L4335" s="7" t="str">
        <f aca="false">IF(TRIM(E4335)="","Unknown",IFERROR(LEFT(TRIM(E4335),FIND(",",TRIM(E4335))-1),TRIM(E4335)))</f>
        <v>Germany</v>
      </c>
      <c r="M4335" s="7" t="str">
        <f aca="false">IFERROR(LEFT(J4335,FIND(",",J4335)-1),J4335)</f>
        <v>Children &amp; Family Movies</v>
      </c>
      <c r="N4335" s="7" t="n">
        <f aca="false">IF(B4335="Movie",IFERROR(VALUE(LEFT(I4335,FIND(" ",I4335)-1)),""),"")</f>
        <v>106</v>
      </c>
      <c r="O4335" s="7" t="str">
        <f aca="false">IF(B4335="TV Show",IFERROR(VALUE(LEFT(I4335,FIND(" ",I4335)-1)),""),"")</f>
        <v/>
      </c>
      <c r="P4335" s="7" t="n">
        <f aca="false">IF(K4335="","",K4335-G4335)</f>
        <v>0</v>
      </c>
    </row>
    <row r="4336" customFormat="false" ht="15" hidden="false" customHeight="false" outlineLevel="0" collapsed="false">
      <c r="A4336" s="7" t="n">
        <v>70253590</v>
      </c>
      <c r="B4336" s="7" t="s">
        <v>68</v>
      </c>
      <c r="C4336" s="7" t="s">
        <v>8887</v>
      </c>
      <c r="D4336" s="7" t="s">
        <v>8888</v>
      </c>
      <c r="E4336" s="7" t="s">
        <v>28</v>
      </c>
      <c r="F4336" s="7" t="s">
        <v>8886</v>
      </c>
      <c r="G4336" s="7" t="n">
        <v>2012</v>
      </c>
      <c r="H4336" s="7" t="s">
        <v>51</v>
      </c>
      <c r="I4336" s="7" t="s">
        <v>357</v>
      </c>
      <c r="J4336" s="7" t="s">
        <v>40</v>
      </c>
      <c r="K4336" s="7" t="n">
        <f aca="false">IFERROR(VALUE(RIGHT(TRIM(F4336),4)),"")</f>
        <v>2017</v>
      </c>
      <c r="L4336" s="7" t="str">
        <f aca="false">IF(TRIM(E4336)="","Unknown",IFERROR(LEFT(TRIM(E4336),FIND(",",TRIM(E4336))-1),TRIM(E4336)))</f>
        <v>United Kingdom</v>
      </c>
      <c r="M4336" s="7" t="str">
        <f aca="false">IFERROR(LEFT(J4336,FIND(",",J4336)-1),J4336)</f>
        <v>Action &amp; Adventure</v>
      </c>
      <c r="N4336" s="7" t="n">
        <f aca="false">IF(B4336="Movie",IFERROR(VALUE(LEFT(I4336,FIND(" ",I4336)-1)),""),"")</f>
        <v>89</v>
      </c>
      <c r="O4336" s="7" t="str">
        <f aca="false">IF(B4336="TV Show",IFERROR(VALUE(LEFT(I4336,FIND(" ",I4336)-1)),""),"")</f>
        <v/>
      </c>
      <c r="P4336" s="7" t="n">
        <f aca="false">IF(K4336="","",K4336-G4336)</f>
        <v>5</v>
      </c>
    </row>
    <row r="4337" customFormat="false" ht="15" hidden="false" customHeight="false" outlineLevel="0" collapsed="false">
      <c r="A4337" s="7" t="n">
        <v>80204885</v>
      </c>
      <c r="B4337" s="7" t="s">
        <v>78</v>
      </c>
      <c r="C4337" s="7" t="s">
        <v>8889</v>
      </c>
      <c r="F4337" s="7" t="s">
        <v>8886</v>
      </c>
      <c r="G4337" s="7" t="n">
        <v>2016</v>
      </c>
      <c r="H4337" s="7" t="s">
        <v>48</v>
      </c>
      <c r="I4337" s="7" t="s">
        <v>82</v>
      </c>
      <c r="J4337" s="7" t="s">
        <v>884</v>
      </c>
      <c r="K4337" s="7" t="n">
        <f aca="false">IFERROR(VALUE(RIGHT(TRIM(F4337),4)),"")</f>
        <v>2017</v>
      </c>
      <c r="L4337" s="7" t="str">
        <f aca="false">IF(TRIM(E4337)="","Unknown",IFERROR(LEFT(TRIM(E4337),FIND(",",TRIM(E4337))-1),TRIM(E4337)))</f>
        <v>Unknown</v>
      </c>
      <c r="M4337" s="7" t="str">
        <f aca="false">IFERROR(LEFT(J4337,FIND(",",J4337)-1),J4337)</f>
        <v>International TV Shows</v>
      </c>
      <c r="N4337" s="7" t="str">
        <f aca="false">IF(B4337="Movie",IFERROR(VALUE(LEFT(I4337,FIND(" ",I4337)-1)),""),"")</f>
        <v/>
      </c>
      <c r="O4337" s="7" t="n">
        <f aca="false">IF(B4337="TV Show",IFERROR(VALUE(LEFT(I4337,FIND(" ",I4337)-1)),""),"")</f>
        <v>1</v>
      </c>
      <c r="P4337" s="7" t="n">
        <f aca="false">IF(K4337="","",K4337-G4337)</f>
        <v>1</v>
      </c>
    </row>
    <row r="4338" customFormat="false" ht="15" hidden="false" customHeight="false" outlineLevel="0" collapsed="false">
      <c r="A4338" s="7" t="n">
        <v>80116839</v>
      </c>
      <c r="B4338" s="7" t="s">
        <v>78</v>
      </c>
      <c r="C4338" s="7" t="s">
        <v>8890</v>
      </c>
      <c r="E4338" s="7" t="s">
        <v>26</v>
      </c>
      <c r="F4338" s="7" t="s">
        <v>8891</v>
      </c>
      <c r="G4338" s="7" t="n">
        <v>2016</v>
      </c>
      <c r="H4338" s="7" t="s">
        <v>49</v>
      </c>
      <c r="I4338" s="7" t="s">
        <v>82</v>
      </c>
      <c r="J4338" s="7" t="s">
        <v>4908</v>
      </c>
      <c r="K4338" s="7" t="n">
        <f aca="false">IFERROR(VALUE(RIGHT(TRIM(F4338),4)),"")</f>
        <v>2016</v>
      </c>
      <c r="L4338" s="7" t="str">
        <f aca="false">IF(TRIM(E4338)="","Unknown",IFERROR(LEFT(TRIM(E4338),FIND(",",TRIM(E4338))-1),TRIM(E4338)))</f>
        <v>United States</v>
      </c>
      <c r="M4338" s="7" t="str">
        <f aca="false">IFERROR(LEFT(J4338,FIND(",",J4338)-1),J4338)</f>
        <v>Reality TV</v>
      </c>
      <c r="N4338" s="7" t="str">
        <f aca="false">IF(B4338="Movie",IFERROR(VALUE(LEFT(I4338,FIND(" ",I4338)-1)),""),"")</f>
        <v/>
      </c>
      <c r="O4338" s="7" t="n">
        <f aca="false">IF(B4338="TV Show",IFERROR(VALUE(LEFT(I4338,FIND(" ",I4338)-1)),""),"")</f>
        <v>1</v>
      </c>
      <c r="P4338" s="7" t="n">
        <f aca="false">IF(K4338="","",K4338-G4338)</f>
        <v>0</v>
      </c>
    </row>
    <row r="4339" customFormat="false" ht="15" hidden="false" customHeight="false" outlineLevel="0" collapsed="false">
      <c r="A4339" s="7" t="n">
        <v>80225085</v>
      </c>
      <c r="B4339" s="7" t="s">
        <v>78</v>
      </c>
      <c r="C4339" s="7" t="s">
        <v>8892</v>
      </c>
      <c r="E4339" s="7" t="s">
        <v>26</v>
      </c>
      <c r="F4339" s="7" t="s">
        <v>8893</v>
      </c>
      <c r="G4339" s="7" t="n">
        <v>2019</v>
      </c>
      <c r="H4339" s="7" t="s">
        <v>81</v>
      </c>
      <c r="I4339" s="7" t="s">
        <v>82</v>
      </c>
      <c r="J4339" s="7" t="s">
        <v>44</v>
      </c>
      <c r="K4339" s="7" t="n">
        <f aca="false">IFERROR(VALUE(RIGHT(TRIM(F4339),4)),"")</f>
        <v>2019</v>
      </c>
      <c r="L4339" s="7" t="str">
        <f aca="false">IF(TRIM(E4339)="","Unknown",IFERROR(LEFT(TRIM(E4339),FIND(",",TRIM(E4339))-1),TRIM(E4339)))</f>
        <v>United States</v>
      </c>
      <c r="M4339" s="7" t="str">
        <f aca="false">IFERROR(LEFT(J4339,FIND(",",J4339)-1),J4339)</f>
        <v>Kids' TV</v>
      </c>
      <c r="N4339" s="7" t="str">
        <f aca="false">IF(B4339="Movie",IFERROR(VALUE(LEFT(I4339,FIND(" ",I4339)-1)),""),"")</f>
        <v/>
      </c>
      <c r="O4339" s="7" t="n">
        <f aca="false">IF(B4339="TV Show",IFERROR(VALUE(LEFT(I4339,FIND(" ",I4339)-1)),""),"")</f>
        <v>1</v>
      </c>
      <c r="P4339" s="7" t="n">
        <f aca="false">IF(K4339="","",K4339-G4339)</f>
        <v>0</v>
      </c>
    </row>
    <row r="4340" customFormat="false" ht="15" hidden="false" customHeight="false" outlineLevel="0" collapsed="false">
      <c r="A4340" s="7" t="n">
        <v>81150338</v>
      </c>
      <c r="B4340" s="7" t="s">
        <v>68</v>
      </c>
      <c r="C4340" s="7" t="s">
        <v>8894</v>
      </c>
      <c r="D4340" s="7" t="s">
        <v>8895</v>
      </c>
      <c r="E4340" s="7" t="s">
        <v>855</v>
      </c>
      <c r="F4340" s="7" t="s">
        <v>8893</v>
      </c>
      <c r="G4340" s="7" t="n">
        <v>2019</v>
      </c>
      <c r="H4340" s="7" t="s">
        <v>48</v>
      </c>
      <c r="I4340" s="7" t="s">
        <v>143</v>
      </c>
      <c r="J4340" s="7" t="s">
        <v>188</v>
      </c>
      <c r="K4340" s="7" t="n">
        <f aca="false">IFERROR(VALUE(RIGHT(TRIM(F4340),4)),"")</f>
        <v>2019</v>
      </c>
      <c r="L4340" s="7" t="str">
        <f aca="false">IF(TRIM(E4340)="","Unknown",IFERROR(LEFT(TRIM(E4340),FIND(",",TRIM(E4340))-1),TRIM(E4340)))</f>
        <v>Italy</v>
      </c>
      <c r="M4340" s="7" t="str">
        <f aca="false">IFERROR(LEFT(J4340,FIND(",",J4340)-1),J4340)</f>
        <v>Dramas</v>
      </c>
      <c r="N4340" s="7" t="n">
        <f aca="false">IF(B4340="Movie",IFERROR(VALUE(LEFT(I4340,FIND(" ",I4340)-1)),""),"")</f>
        <v>79</v>
      </c>
      <c r="O4340" s="7" t="str">
        <f aca="false">IF(B4340="TV Show",IFERROR(VALUE(LEFT(I4340,FIND(" ",I4340)-1)),""),"")</f>
        <v/>
      </c>
      <c r="P4340" s="7" t="n">
        <f aca="false">IF(K4340="","",K4340-G4340)</f>
        <v>0</v>
      </c>
    </row>
    <row r="4341" customFormat="false" ht="15" hidden="false" customHeight="false" outlineLevel="0" collapsed="false">
      <c r="A4341" s="7" t="n">
        <v>80213020</v>
      </c>
      <c r="B4341" s="7" t="s">
        <v>78</v>
      </c>
      <c r="C4341" s="7" t="s">
        <v>8896</v>
      </c>
      <c r="E4341" s="7" t="s">
        <v>31</v>
      </c>
      <c r="F4341" s="7" t="s">
        <v>8893</v>
      </c>
      <c r="G4341" s="7" t="n">
        <v>2019</v>
      </c>
      <c r="H4341" s="7" t="s">
        <v>48</v>
      </c>
      <c r="I4341" s="7" t="s">
        <v>82</v>
      </c>
      <c r="J4341" s="7" t="s">
        <v>344</v>
      </c>
      <c r="K4341" s="7" t="n">
        <f aca="false">IFERROR(VALUE(RIGHT(TRIM(F4341),4)),"")</f>
        <v>2019</v>
      </c>
      <c r="L4341" s="7" t="str">
        <f aca="false">IF(TRIM(E4341)="","Unknown",IFERROR(LEFT(TRIM(E4341),FIND(",",TRIM(E4341))-1),TRIM(E4341)))</f>
        <v>France</v>
      </c>
      <c r="M4341" s="7" t="str">
        <f aca="false">IFERROR(LEFT(J4341,FIND(",",J4341)-1),J4341)</f>
        <v>International TV Shows</v>
      </c>
      <c r="N4341" s="7" t="str">
        <f aca="false">IF(B4341="Movie",IFERROR(VALUE(LEFT(I4341,FIND(" ",I4341)-1)),""),"")</f>
        <v/>
      </c>
      <c r="O4341" s="7" t="n">
        <f aca="false">IF(B4341="TV Show",IFERROR(VALUE(LEFT(I4341,FIND(" ",I4341)-1)),""),"")</f>
        <v>1</v>
      </c>
      <c r="P4341" s="7" t="n">
        <f aca="false">IF(K4341="","",K4341-G4341)</f>
        <v>0</v>
      </c>
    </row>
    <row r="4342" customFormat="false" ht="15" hidden="false" customHeight="false" outlineLevel="0" collapsed="false">
      <c r="A4342" s="7" t="n">
        <v>80013773</v>
      </c>
      <c r="B4342" s="7" t="s">
        <v>68</v>
      </c>
      <c r="C4342" s="7" t="s">
        <v>8897</v>
      </c>
      <c r="D4342" s="7" t="s">
        <v>8898</v>
      </c>
      <c r="E4342" s="7" t="s">
        <v>230</v>
      </c>
      <c r="F4342" s="7" t="s">
        <v>8899</v>
      </c>
      <c r="G4342" s="7" t="n">
        <v>2014</v>
      </c>
      <c r="H4342" s="7" t="s">
        <v>52</v>
      </c>
      <c r="I4342" s="7" t="s">
        <v>93</v>
      </c>
      <c r="J4342" s="7" t="s">
        <v>8900</v>
      </c>
      <c r="K4342" s="7" t="n">
        <f aca="false">IFERROR(VALUE(RIGHT(TRIM(F4342),4)),"")</f>
        <v>2018</v>
      </c>
      <c r="L4342" s="7" t="str">
        <f aca="false">IF(TRIM(E4342)="","Unknown",IFERROR(LEFT(TRIM(E4342),FIND(",",TRIM(E4342))-1),TRIM(E4342)))</f>
        <v>United States</v>
      </c>
      <c r="M4342" s="7" t="str">
        <f aca="false">IFERROR(LEFT(J4342,FIND(",",J4342)-1),J4342)</f>
        <v>Action &amp; Adventure</v>
      </c>
      <c r="N4342" s="7" t="n">
        <f aca="false">IF(B4342="Movie",IFERROR(VALUE(LEFT(I4342,FIND(" ",I4342)-1)),""),"")</f>
        <v>110</v>
      </c>
      <c r="O4342" s="7" t="str">
        <f aca="false">IF(B4342="TV Show",IFERROR(VALUE(LEFT(I4342,FIND(" ",I4342)-1)),""),"")</f>
        <v/>
      </c>
      <c r="P4342" s="7" t="n">
        <f aca="false">IF(K4342="","",K4342-G4342)</f>
        <v>4</v>
      </c>
    </row>
    <row r="4343" customFormat="false" ht="15" hidden="false" customHeight="false" outlineLevel="0" collapsed="false">
      <c r="A4343" s="7" t="n">
        <v>80098103</v>
      </c>
      <c r="B4343" s="7" t="s">
        <v>68</v>
      </c>
      <c r="C4343" s="7" t="s">
        <v>8901</v>
      </c>
      <c r="D4343" s="7" t="s">
        <v>2755</v>
      </c>
      <c r="E4343" s="7" t="s">
        <v>8902</v>
      </c>
      <c r="F4343" s="7" t="s">
        <v>8899</v>
      </c>
      <c r="G4343" s="7" t="n">
        <v>2016</v>
      </c>
      <c r="H4343" s="7" t="s">
        <v>52</v>
      </c>
      <c r="I4343" s="7" t="s">
        <v>1405</v>
      </c>
      <c r="J4343" s="7" t="s">
        <v>304</v>
      </c>
      <c r="K4343" s="7" t="n">
        <f aca="false">IFERROR(VALUE(RIGHT(TRIM(F4343),4)),"")</f>
        <v>2018</v>
      </c>
      <c r="L4343" s="7" t="str">
        <f aca="false">IF(TRIM(E4343)="","Unknown",IFERROR(LEFT(TRIM(E4343),FIND(",",TRIM(E4343))-1),TRIM(E4343)))</f>
        <v>France</v>
      </c>
      <c r="M4343" s="7" t="str">
        <f aca="false">IFERROR(LEFT(J4343,FIND(",",J4343)-1),J4343)</f>
        <v>Dramas</v>
      </c>
      <c r="N4343" s="7" t="n">
        <f aca="false">IF(B4343="Movie",IFERROR(VALUE(LEFT(I4343,FIND(" ",I4343)-1)),""),"")</f>
        <v>115</v>
      </c>
      <c r="O4343" s="7" t="str">
        <f aca="false">IF(B4343="TV Show",IFERROR(VALUE(LEFT(I4343,FIND(" ",I4343)-1)),""),"")</f>
        <v/>
      </c>
      <c r="P4343" s="7" t="n">
        <f aca="false">IF(K4343="","",K4343-G4343)</f>
        <v>2</v>
      </c>
    </row>
    <row r="4344" customFormat="false" ht="15" hidden="false" customHeight="false" outlineLevel="0" collapsed="false">
      <c r="A4344" s="7" t="n">
        <v>80211991</v>
      </c>
      <c r="B4344" s="7" t="s">
        <v>78</v>
      </c>
      <c r="C4344" s="7" t="s">
        <v>8903</v>
      </c>
      <c r="D4344" s="7" t="s">
        <v>8904</v>
      </c>
      <c r="E4344" s="7" t="s">
        <v>26</v>
      </c>
      <c r="F4344" s="7" t="s">
        <v>8899</v>
      </c>
      <c r="G4344" s="7" t="n">
        <v>2018</v>
      </c>
      <c r="H4344" s="7" t="s">
        <v>48</v>
      </c>
      <c r="I4344" s="7" t="s">
        <v>82</v>
      </c>
      <c r="J4344" s="7" t="s">
        <v>8905</v>
      </c>
      <c r="K4344" s="7" t="n">
        <f aca="false">IFERROR(VALUE(RIGHT(TRIM(F4344),4)),"")</f>
        <v>2018</v>
      </c>
      <c r="L4344" s="7" t="str">
        <f aca="false">IF(TRIM(E4344)="","Unknown",IFERROR(LEFT(TRIM(E4344),FIND(",",TRIM(E4344))-1),TRIM(E4344)))</f>
        <v>United States</v>
      </c>
      <c r="M4344" s="7" t="str">
        <f aca="false">IFERROR(LEFT(J4344,FIND(",",J4344)-1),J4344)</f>
        <v>Crime TV Shows</v>
      </c>
      <c r="N4344" s="7" t="str">
        <f aca="false">IF(B4344="Movie",IFERROR(VALUE(LEFT(I4344,FIND(" ",I4344)-1)),""),"")</f>
        <v/>
      </c>
      <c r="O4344" s="7" t="n">
        <f aca="false">IF(B4344="TV Show",IFERROR(VALUE(LEFT(I4344,FIND(" ",I4344)-1)),""),"")</f>
        <v>1</v>
      </c>
      <c r="P4344" s="7" t="n">
        <f aca="false">IF(K4344="","",K4344-G4344)</f>
        <v>0</v>
      </c>
    </row>
    <row r="4345" customFormat="false" ht="15" hidden="false" customHeight="false" outlineLevel="0" collapsed="false">
      <c r="A4345" s="7" t="n">
        <v>80182473</v>
      </c>
      <c r="B4345" s="7" t="s">
        <v>68</v>
      </c>
      <c r="C4345" s="7" t="s">
        <v>8906</v>
      </c>
      <c r="D4345" s="7" t="s">
        <v>8907</v>
      </c>
      <c r="E4345" s="7" t="s">
        <v>26</v>
      </c>
      <c r="F4345" s="7" t="s">
        <v>8908</v>
      </c>
      <c r="G4345" s="7" t="n">
        <v>2017</v>
      </c>
      <c r="H4345" s="7" t="s">
        <v>51</v>
      </c>
      <c r="I4345" s="7" t="s">
        <v>470</v>
      </c>
      <c r="J4345" s="7" t="s">
        <v>1533</v>
      </c>
      <c r="K4345" s="7" t="n">
        <f aca="false">IFERROR(VALUE(RIGHT(TRIM(F4345),4)),"")</f>
        <v>2017</v>
      </c>
      <c r="L4345" s="7" t="str">
        <f aca="false">IF(TRIM(E4345)="","Unknown",IFERROR(LEFT(TRIM(E4345),FIND(",",TRIM(E4345))-1),TRIM(E4345)))</f>
        <v>United States</v>
      </c>
      <c r="M4345" s="7" t="str">
        <f aca="false">IFERROR(LEFT(J4345,FIND(",",J4345)-1),J4345)</f>
        <v>Comedies</v>
      </c>
      <c r="N4345" s="7" t="n">
        <f aca="false">IF(B4345="Movie",IFERROR(VALUE(LEFT(I4345,FIND(" ",I4345)-1)),""),"")</f>
        <v>91</v>
      </c>
      <c r="O4345" s="7" t="str">
        <f aca="false">IF(B4345="TV Show",IFERROR(VALUE(LEFT(I4345,FIND(" ",I4345)-1)),""),"")</f>
        <v/>
      </c>
      <c r="P4345" s="7" t="n">
        <f aca="false">IF(K4345="","",K4345-G4345)</f>
        <v>0</v>
      </c>
    </row>
    <row r="4346" customFormat="false" ht="15" hidden="false" customHeight="false" outlineLevel="0" collapsed="false">
      <c r="A4346" s="7" t="n">
        <v>80214478</v>
      </c>
      <c r="B4346" s="7" t="s">
        <v>68</v>
      </c>
      <c r="C4346" s="7" t="s">
        <v>8909</v>
      </c>
      <c r="D4346" s="7" t="s">
        <v>1151</v>
      </c>
      <c r="E4346" s="7" t="s">
        <v>26</v>
      </c>
      <c r="F4346" s="7" t="s">
        <v>8908</v>
      </c>
      <c r="G4346" s="7" t="n">
        <v>2017</v>
      </c>
      <c r="H4346" s="7" t="s">
        <v>48</v>
      </c>
      <c r="I4346" s="7" t="s">
        <v>123</v>
      </c>
      <c r="J4346" s="7" t="s">
        <v>45</v>
      </c>
      <c r="K4346" s="7" t="n">
        <f aca="false">IFERROR(VALUE(RIGHT(TRIM(F4346),4)),"")</f>
        <v>2017</v>
      </c>
      <c r="L4346" s="7" t="str">
        <f aca="false">IF(TRIM(E4346)="","Unknown",IFERROR(LEFT(TRIM(E4346),FIND(",",TRIM(E4346))-1),TRIM(E4346)))</f>
        <v>United States</v>
      </c>
      <c r="M4346" s="7" t="str">
        <f aca="false">IFERROR(LEFT(J4346,FIND(",",J4346)-1),J4346)</f>
        <v>Stand-Up Comedy</v>
      </c>
      <c r="N4346" s="7" t="n">
        <f aca="false">IF(B4346="Movie",IFERROR(VALUE(LEFT(I4346,FIND(" ",I4346)-1)),""),"")</f>
        <v>61</v>
      </c>
      <c r="O4346" s="7" t="str">
        <f aca="false">IF(B4346="TV Show",IFERROR(VALUE(LEFT(I4346,FIND(" ",I4346)-1)),""),"")</f>
        <v/>
      </c>
      <c r="P4346" s="7" t="n">
        <f aca="false">IF(K4346="","",K4346-G4346)</f>
        <v>0</v>
      </c>
    </row>
    <row r="4347" customFormat="false" ht="15" hidden="false" customHeight="false" outlineLevel="0" collapsed="false">
      <c r="A4347" s="7" t="n">
        <v>80182034</v>
      </c>
      <c r="B4347" s="7" t="s">
        <v>68</v>
      </c>
      <c r="C4347" s="7" t="s">
        <v>8910</v>
      </c>
      <c r="D4347" s="7" t="s">
        <v>8911</v>
      </c>
      <c r="E4347" s="7" t="s">
        <v>28</v>
      </c>
      <c r="F4347" s="7" t="s">
        <v>8908</v>
      </c>
      <c r="G4347" s="7" t="n">
        <v>2017</v>
      </c>
      <c r="H4347" s="7" t="s">
        <v>50</v>
      </c>
      <c r="I4347" s="7" t="s">
        <v>77</v>
      </c>
      <c r="J4347" s="7" t="s">
        <v>39</v>
      </c>
      <c r="K4347" s="7" t="n">
        <f aca="false">IFERROR(VALUE(RIGHT(TRIM(F4347),4)),"")</f>
        <v>2017</v>
      </c>
      <c r="L4347" s="7" t="str">
        <f aca="false">IF(TRIM(E4347)="","Unknown",IFERROR(LEFT(TRIM(E4347),FIND(",",TRIM(E4347))-1),TRIM(E4347)))</f>
        <v>United Kingdom</v>
      </c>
      <c r="M4347" s="7" t="str">
        <f aca="false">IFERROR(LEFT(J4347,FIND(",",J4347)-1),J4347)</f>
        <v>Documentaries</v>
      </c>
      <c r="N4347" s="7" t="n">
        <f aca="false">IF(B4347="Movie",IFERROR(VALUE(LEFT(I4347,FIND(" ",I4347)-1)),""),"")</f>
        <v>94</v>
      </c>
      <c r="O4347" s="7" t="str">
        <f aca="false">IF(B4347="TV Show",IFERROR(VALUE(LEFT(I4347,FIND(" ",I4347)-1)),""),"")</f>
        <v/>
      </c>
      <c r="P4347" s="7" t="n">
        <f aca="false">IF(K4347="","",K4347-G4347)</f>
        <v>0</v>
      </c>
    </row>
    <row r="4348" customFormat="false" ht="15" hidden="false" customHeight="false" outlineLevel="0" collapsed="false">
      <c r="A4348" s="7" t="n">
        <v>80037129</v>
      </c>
      <c r="B4348" s="7" t="s">
        <v>78</v>
      </c>
      <c r="C4348" s="7" t="s">
        <v>8912</v>
      </c>
      <c r="E4348" s="7" t="s">
        <v>396</v>
      </c>
      <c r="F4348" s="7" t="s">
        <v>8913</v>
      </c>
      <c r="G4348" s="7" t="n">
        <v>2009</v>
      </c>
      <c r="H4348" s="7" t="s">
        <v>49</v>
      </c>
      <c r="I4348" s="7" t="s">
        <v>82</v>
      </c>
      <c r="J4348" s="7" t="s">
        <v>402</v>
      </c>
      <c r="K4348" s="7" t="n">
        <f aca="false">IFERROR(VALUE(RIGHT(TRIM(F4348),4)),"")</f>
        <v>2016</v>
      </c>
      <c r="L4348" s="7" t="str">
        <f aca="false">IF(TRIM(E4348)="","Unknown",IFERROR(LEFT(TRIM(E4348),FIND(",",TRIM(E4348))-1),TRIM(E4348)))</f>
        <v>Turkey</v>
      </c>
      <c r="M4348" s="7" t="str">
        <f aca="false">IFERROR(LEFT(J4348,FIND(",",J4348)-1),J4348)</f>
        <v>Crime TV Shows</v>
      </c>
      <c r="N4348" s="7" t="str">
        <f aca="false">IF(B4348="Movie",IFERROR(VALUE(LEFT(I4348,FIND(" ",I4348)-1)),""),"")</f>
        <v/>
      </c>
      <c r="O4348" s="7" t="n">
        <f aca="false">IF(B4348="TV Show",IFERROR(VALUE(LEFT(I4348,FIND(" ",I4348)-1)),""),"")</f>
        <v>1</v>
      </c>
      <c r="P4348" s="7" t="n">
        <f aca="false">IF(K4348="","",K4348-G4348)</f>
        <v>7</v>
      </c>
    </row>
    <row r="4349" customFormat="false" ht="15" hidden="false" customHeight="false" outlineLevel="0" collapsed="false">
      <c r="A4349" s="7" t="n">
        <v>80037176</v>
      </c>
      <c r="B4349" s="7" t="s">
        <v>78</v>
      </c>
      <c r="C4349" s="7" t="s">
        <v>8914</v>
      </c>
      <c r="E4349" s="7" t="s">
        <v>396</v>
      </c>
      <c r="F4349" s="7" t="s">
        <v>8913</v>
      </c>
      <c r="G4349" s="7" t="n">
        <v>2013</v>
      </c>
      <c r="H4349" s="7" t="s">
        <v>49</v>
      </c>
      <c r="I4349" s="7" t="s">
        <v>82</v>
      </c>
      <c r="J4349" s="7" t="s">
        <v>588</v>
      </c>
      <c r="K4349" s="7" t="n">
        <f aca="false">IFERROR(VALUE(RIGHT(TRIM(F4349),4)),"")</f>
        <v>2016</v>
      </c>
      <c r="L4349" s="7" t="str">
        <f aca="false">IF(TRIM(E4349)="","Unknown",IFERROR(LEFT(TRIM(E4349),FIND(",",TRIM(E4349))-1),TRIM(E4349)))</f>
        <v>Turkey</v>
      </c>
      <c r="M4349" s="7" t="str">
        <f aca="false">IFERROR(LEFT(J4349,FIND(",",J4349)-1),J4349)</f>
        <v>Crime TV Shows</v>
      </c>
      <c r="N4349" s="7" t="str">
        <f aca="false">IF(B4349="Movie",IFERROR(VALUE(LEFT(I4349,FIND(" ",I4349)-1)),""),"")</f>
        <v/>
      </c>
      <c r="O4349" s="7" t="n">
        <f aca="false">IF(B4349="TV Show",IFERROR(VALUE(LEFT(I4349,FIND(" ",I4349)-1)),""),"")</f>
        <v>1</v>
      </c>
      <c r="P4349" s="7" t="n">
        <f aca="false">IF(K4349="","",K4349-G4349)</f>
        <v>3</v>
      </c>
    </row>
    <row r="4350" customFormat="false" ht="15" hidden="false" customHeight="false" outlineLevel="0" collapsed="false">
      <c r="A4350" s="7" t="n">
        <v>80037484</v>
      </c>
      <c r="B4350" s="7" t="s">
        <v>78</v>
      </c>
      <c r="C4350" s="7" t="s">
        <v>8915</v>
      </c>
      <c r="E4350" s="7" t="s">
        <v>396</v>
      </c>
      <c r="F4350" s="7" t="s">
        <v>8913</v>
      </c>
      <c r="G4350" s="7" t="n">
        <v>2014</v>
      </c>
      <c r="H4350" s="7" t="s">
        <v>49</v>
      </c>
      <c r="I4350" s="7" t="s">
        <v>82</v>
      </c>
      <c r="J4350" s="7" t="s">
        <v>314</v>
      </c>
      <c r="K4350" s="7" t="n">
        <f aca="false">IFERROR(VALUE(RIGHT(TRIM(F4350),4)),"")</f>
        <v>2016</v>
      </c>
      <c r="L4350" s="7" t="str">
        <f aca="false">IF(TRIM(E4350)="","Unknown",IFERROR(LEFT(TRIM(E4350),FIND(",",TRIM(E4350))-1),TRIM(E4350)))</f>
        <v>Turkey</v>
      </c>
      <c r="M4350" s="7" t="str">
        <f aca="false">IFERROR(LEFT(J4350,FIND(",",J4350)-1),J4350)</f>
        <v>International TV Shows</v>
      </c>
      <c r="N4350" s="7" t="str">
        <f aca="false">IF(B4350="Movie",IFERROR(VALUE(LEFT(I4350,FIND(" ",I4350)-1)),""),"")</f>
        <v/>
      </c>
      <c r="O4350" s="7" t="n">
        <f aca="false">IF(B4350="TV Show",IFERROR(VALUE(LEFT(I4350,FIND(" ",I4350)-1)),""),"")</f>
        <v>1</v>
      </c>
      <c r="P4350" s="7" t="n">
        <f aca="false">IF(K4350="","",K4350-G4350)</f>
        <v>2</v>
      </c>
    </row>
    <row r="4351" customFormat="false" ht="15" hidden="false" customHeight="false" outlineLevel="0" collapsed="false">
      <c r="A4351" s="7" t="n">
        <v>80120301</v>
      </c>
      <c r="B4351" s="7" t="s">
        <v>78</v>
      </c>
      <c r="C4351" s="7" t="s">
        <v>8916</v>
      </c>
      <c r="E4351" s="7" t="s">
        <v>8917</v>
      </c>
      <c r="F4351" s="7" t="s">
        <v>8913</v>
      </c>
      <c r="G4351" s="7" t="n">
        <v>2013</v>
      </c>
      <c r="H4351" s="7" t="s">
        <v>49</v>
      </c>
      <c r="I4351" s="7" t="s">
        <v>82</v>
      </c>
      <c r="J4351" s="7" t="s">
        <v>314</v>
      </c>
      <c r="K4351" s="7" t="n">
        <f aca="false">IFERROR(VALUE(RIGHT(TRIM(F4351),4)),"")</f>
        <v>2016</v>
      </c>
      <c r="L4351" s="7" t="str">
        <f aca="false">IF(TRIM(E4351)="","Unknown",IFERROR(LEFT(TRIM(E4351),FIND(",",TRIM(E4351))-1),TRIM(E4351)))</f>
        <v>Turkey</v>
      </c>
      <c r="M4351" s="7" t="str">
        <f aca="false">IFERROR(LEFT(J4351,FIND(",",J4351)-1),J4351)</f>
        <v>International TV Shows</v>
      </c>
      <c r="N4351" s="7" t="str">
        <f aca="false">IF(B4351="Movie",IFERROR(VALUE(LEFT(I4351,FIND(" ",I4351)-1)),""),"")</f>
        <v/>
      </c>
      <c r="O4351" s="7" t="n">
        <f aca="false">IF(B4351="TV Show",IFERROR(VALUE(LEFT(I4351,FIND(" ",I4351)-1)),""),"")</f>
        <v>1</v>
      </c>
      <c r="P4351" s="7" t="n">
        <f aca="false">IF(K4351="","",K4351-G4351)</f>
        <v>3</v>
      </c>
    </row>
    <row r="4352" customFormat="false" ht="15" hidden="false" customHeight="false" outlineLevel="0" collapsed="false">
      <c r="A4352" s="7" t="n">
        <v>80083594</v>
      </c>
      <c r="B4352" s="7" t="s">
        <v>68</v>
      </c>
      <c r="C4352" s="7" t="s">
        <v>8918</v>
      </c>
      <c r="D4352" s="7" t="s">
        <v>8919</v>
      </c>
      <c r="E4352" s="7" t="s">
        <v>26</v>
      </c>
      <c r="F4352" s="7" t="s">
        <v>8920</v>
      </c>
      <c r="G4352" s="7" t="n">
        <v>2015</v>
      </c>
      <c r="H4352" s="7" t="s">
        <v>48</v>
      </c>
      <c r="I4352" s="7" t="s">
        <v>1131</v>
      </c>
      <c r="J4352" s="7" t="s">
        <v>10</v>
      </c>
      <c r="K4352" s="7" t="n">
        <f aca="false">IFERROR(VALUE(RIGHT(TRIM(F4352),4)),"")</f>
        <v>2015</v>
      </c>
      <c r="L4352" s="7" t="str">
        <f aca="false">IF(TRIM(E4352)="","Unknown",IFERROR(LEFT(TRIM(E4352),FIND(",",TRIM(E4352))-1),TRIM(E4352)))</f>
        <v>United States</v>
      </c>
      <c r="M4352" s="7" t="str">
        <f aca="false">IFERROR(LEFT(J4352,FIND(",",J4352)-1),J4352)</f>
        <v>Movies</v>
      </c>
      <c r="N4352" s="7" t="n">
        <f aca="false">IF(B4352="Movie",IFERROR(VALUE(LEFT(I4352,FIND(" ",I4352)-1)),""),"")</f>
        <v>29</v>
      </c>
      <c r="O4352" s="7" t="str">
        <f aca="false">IF(B4352="TV Show",IFERROR(VALUE(LEFT(I4352,FIND(" ",I4352)-1)),""),"")</f>
        <v/>
      </c>
      <c r="P4352" s="7" t="n">
        <f aca="false">IF(K4352="","",K4352-G4352)</f>
        <v>0</v>
      </c>
    </row>
    <row r="4353" customFormat="false" ht="15" hidden="false" customHeight="false" outlineLevel="0" collapsed="false">
      <c r="A4353" s="7" t="n">
        <v>81164603</v>
      </c>
      <c r="B4353" s="7" t="s">
        <v>68</v>
      </c>
      <c r="C4353" s="7" t="s">
        <v>8921</v>
      </c>
      <c r="D4353" s="7" t="s">
        <v>8922</v>
      </c>
      <c r="E4353" s="7" t="s">
        <v>26</v>
      </c>
      <c r="F4353" s="7" t="s">
        <v>8923</v>
      </c>
      <c r="G4353" s="7" t="n">
        <v>2019</v>
      </c>
      <c r="H4353" s="7" t="s">
        <v>51</v>
      </c>
      <c r="I4353" s="7" t="s">
        <v>451</v>
      </c>
      <c r="J4353" s="7" t="s">
        <v>3217</v>
      </c>
      <c r="K4353" s="7" t="n">
        <f aca="false">IFERROR(VALUE(RIGHT(TRIM(F4353),4)),"")</f>
        <v>2019</v>
      </c>
      <c r="L4353" s="7" t="str">
        <f aca="false">IF(TRIM(E4353)="","Unknown",IFERROR(LEFT(TRIM(E4353),FIND(",",TRIM(E4353))-1),TRIM(E4353)))</f>
        <v>United States</v>
      </c>
      <c r="M4353" s="7" t="str">
        <f aca="false">IFERROR(LEFT(J4353,FIND(",",J4353)-1),J4353)</f>
        <v>Action &amp; Adventure</v>
      </c>
      <c r="N4353" s="7" t="n">
        <f aca="false">IF(B4353="Movie",IFERROR(VALUE(LEFT(I4353,FIND(" ",I4353)-1)),""),"")</f>
        <v>97</v>
      </c>
      <c r="O4353" s="7" t="str">
        <f aca="false">IF(B4353="TV Show",IFERROR(VALUE(LEFT(I4353,FIND(" ",I4353)-1)),""),"")</f>
        <v/>
      </c>
      <c r="P4353" s="7" t="n">
        <f aca="false">IF(K4353="","",K4353-G4353)</f>
        <v>0</v>
      </c>
    </row>
    <row r="4354" customFormat="false" ht="15" hidden="false" customHeight="false" outlineLevel="0" collapsed="false">
      <c r="A4354" s="7" t="n">
        <v>81000505</v>
      </c>
      <c r="B4354" s="7" t="s">
        <v>68</v>
      </c>
      <c r="C4354" s="7" t="s">
        <v>8924</v>
      </c>
      <c r="D4354" s="7" t="s">
        <v>8925</v>
      </c>
      <c r="E4354" s="7" t="s">
        <v>30</v>
      </c>
      <c r="F4354" s="7" t="s">
        <v>8923</v>
      </c>
      <c r="G4354" s="7" t="n">
        <v>2017</v>
      </c>
      <c r="H4354" s="7" t="s">
        <v>50</v>
      </c>
      <c r="I4354" s="7" t="s">
        <v>470</v>
      </c>
      <c r="J4354" s="7" t="s">
        <v>8926</v>
      </c>
      <c r="K4354" s="7" t="n">
        <f aca="false">IFERROR(VALUE(RIGHT(TRIM(F4354),4)),"")</f>
        <v>2019</v>
      </c>
      <c r="L4354" s="7" t="str">
        <f aca="false">IF(TRIM(E4354)="","Unknown",IFERROR(LEFT(TRIM(E4354),FIND(",",TRIM(E4354))-1),TRIM(E4354)))</f>
        <v>Japan</v>
      </c>
      <c r="M4354" s="7" t="str">
        <f aca="false">IFERROR(LEFT(J4354,FIND(",",J4354)-1),J4354)</f>
        <v>Anime Features</v>
      </c>
      <c r="N4354" s="7" t="n">
        <f aca="false">IF(B4354="Movie",IFERROR(VALUE(LEFT(I4354,FIND(" ",I4354)-1)),""),"")</f>
        <v>91</v>
      </c>
      <c r="O4354" s="7" t="str">
        <f aca="false">IF(B4354="TV Show",IFERROR(VALUE(LEFT(I4354,FIND(" ",I4354)-1)),""),"")</f>
        <v/>
      </c>
      <c r="P4354" s="7" t="n">
        <f aca="false">IF(K4354="","",K4354-G4354)</f>
        <v>2</v>
      </c>
    </row>
    <row r="4355" customFormat="false" ht="15" hidden="false" customHeight="false" outlineLevel="0" collapsed="false">
      <c r="A4355" s="7" t="n">
        <v>81045499</v>
      </c>
      <c r="B4355" s="7" t="s">
        <v>68</v>
      </c>
      <c r="C4355" s="7" t="s">
        <v>8927</v>
      </c>
      <c r="D4355" s="7" t="s">
        <v>8928</v>
      </c>
      <c r="E4355" s="7" t="s">
        <v>26</v>
      </c>
      <c r="F4355" s="7" t="s">
        <v>8923</v>
      </c>
      <c r="G4355" s="7" t="n">
        <v>2019</v>
      </c>
      <c r="H4355" s="7" t="s">
        <v>52</v>
      </c>
      <c r="I4355" s="7" t="s">
        <v>138</v>
      </c>
      <c r="J4355" s="7" t="s">
        <v>74</v>
      </c>
      <c r="K4355" s="7" t="n">
        <f aca="false">IFERROR(VALUE(RIGHT(TRIM(F4355),4)),"")</f>
        <v>2019</v>
      </c>
      <c r="L4355" s="7" t="str">
        <f aca="false">IF(TRIM(E4355)="","Unknown",IFERROR(LEFT(TRIM(E4355),FIND(",",TRIM(E4355))-1),TRIM(E4355)))</f>
        <v>United States</v>
      </c>
      <c r="M4355" s="7" t="str">
        <f aca="false">IFERROR(LEFT(J4355,FIND(",",J4355)-1),J4355)</f>
        <v>Children &amp; Family Movies</v>
      </c>
      <c r="N4355" s="7" t="n">
        <f aca="false">IF(B4355="Movie",IFERROR(VALUE(LEFT(I4355,FIND(" ",I4355)-1)),""),"")</f>
        <v>96</v>
      </c>
      <c r="O4355" s="7" t="str">
        <f aca="false">IF(B4355="TV Show",IFERROR(VALUE(LEFT(I4355,FIND(" ",I4355)-1)),""),"")</f>
        <v/>
      </c>
      <c r="P4355" s="7" t="n">
        <f aca="false">IF(K4355="","",K4355-G4355)</f>
        <v>0</v>
      </c>
    </row>
    <row r="4356" customFormat="false" ht="15" hidden="false" customHeight="false" outlineLevel="0" collapsed="false">
      <c r="A4356" s="7" t="n">
        <v>81164636</v>
      </c>
      <c r="B4356" s="7" t="s">
        <v>68</v>
      </c>
      <c r="C4356" s="7" t="s">
        <v>8929</v>
      </c>
      <c r="D4356" s="7" t="s">
        <v>1489</v>
      </c>
      <c r="E4356" s="7" t="s">
        <v>801</v>
      </c>
      <c r="F4356" s="7" t="s">
        <v>8923</v>
      </c>
      <c r="G4356" s="7" t="n">
        <v>2019</v>
      </c>
      <c r="H4356" s="7" t="s">
        <v>51</v>
      </c>
      <c r="I4356" s="7" t="s">
        <v>330</v>
      </c>
      <c r="J4356" s="7" t="s">
        <v>370</v>
      </c>
      <c r="K4356" s="7" t="n">
        <f aca="false">IFERROR(VALUE(RIGHT(TRIM(F4356),4)),"")</f>
        <v>2019</v>
      </c>
      <c r="L4356" s="7" t="str">
        <f aca="false">IF(TRIM(E4356)="","Unknown",IFERROR(LEFT(TRIM(E4356),FIND(",",TRIM(E4356))-1),TRIM(E4356)))</f>
        <v>Israel</v>
      </c>
      <c r="M4356" s="7" t="str">
        <f aca="false">IFERROR(LEFT(J4356,FIND(",",J4356)-1),J4356)</f>
        <v>Action &amp; Adventure</v>
      </c>
      <c r="N4356" s="7" t="n">
        <f aca="false">IF(B4356="Movie",IFERROR(VALUE(LEFT(I4356,FIND(" ",I4356)-1)),""),"")</f>
        <v>103</v>
      </c>
      <c r="O4356" s="7" t="str">
        <f aca="false">IF(B4356="TV Show",IFERROR(VALUE(LEFT(I4356,FIND(" ",I4356)-1)),""),"")</f>
        <v/>
      </c>
      <c r="P4356" s="7" t="n">
        <f aca="false">IF(K4356="","",K4356-G4356)</f>
        <v>0</v>
      </c>
    </row>
    <row r="4357" customFormat="false" ht="15" hidden="false" customHeight="false" outlineLevel="0" collapsed="false">
      <c r="A4357" s="7" t="n">
        <v>81037697</v>
      </c>
      <c r="B4357" s="7" t="s">
        <v>68</v>
      </c>
      <c r="C4357" s="7" t="s">
        <v>8930</v>
      </c>
      <c r="D4357" s="7" t="s">
        <v>8931</v>
      </c>
      <c r="E4357" s="7" t="s">
        <v>8932</v>
      </c>
      <c r="F4357" s="7" t="s">
        <v>8923</v>
      </c>
      <c r="G4357" s="7" t="n">
        <v>2017</v>
      </c>
      <c r="H4357" s="7" t="s">
        <v>51</v>
      </c>
      <c r="I4357" s="7" t="s">
        <v>111</v>
      </c>
      <c r="J4357" s="7" t="s">
        <v>139</v>
      </c>
      <c r="K4357" s="7" t="n">
        <f aca="false">IFERROR(VALUE(RIGHT(TRIM(F4357),4)),"")</f>
        <v>2019</v>
      </c>
      <c r="L4357" s="7" t="str">
        <f aca="false">IF(TRIM(E4357)="","Unknown",IFERROR(LEFT(TRIM(E4357),FIND(",",TRIM(E4357))-1),TRIM(E4357)))</f>
        <v>France</v>
      </c>
      <c r="M4357" s="7" t="str">
        <f aca="false">IFERROR(LEFT(J4357,FIND(",",J4357)-1),J4357)</f>
        <v>Action &amp; Adventure</v>
      </c>
      <c r="N4357" s="7" t="n">
        <f aca="false">IF(B4357="Movie",IFERROR(VALUE(LEFT(I4357,FIND(" ",I4357)-1)),""),"")</f>
        <v>95</v>
      </c>
      <c r="O4357" s="7" t="str">
        <f aca="false">IF(B4357="TV Show",IFERROR(VALUE(LEFT(I4357,FIND(" ",I4357)-1)),""),"")</f>
        <v/>
      </c>
      <c r="P4357" s="7" t="n">
        <f aca="false">IF(K4357="","",K4357-G4357)</f>
        <v>2</v>
      </c>
    </row>
    <row r="4358" customFormat="false" ht="15" hidden="false" customHeight="false" outlineLevel="0" collapsed="false">
      <c r="A4358" s="7" t="n">
        <v>80208235</v>
      </c>
      <c r="B4358" s="7" t="s">
        <v>68</v>
      </c>
      <c r="C4358" s="7" t="s">
        <v>8933</v>
      </c>
      <c r="D4358" s="7" t="s">
        <v>8934</v>
      </c>
      <c r="E4358" s="7" t="s">
        <v>26</v>
      </c>
      <c r="F4358" s="7" t="s">
        <v>8923</v>
      </c>
      <c r="G4358" s="7" t="n">
        <v>2019</v>
      </c>
      <c r="H4358" s="7" t="s">
        <v>52</v>
      </c>
      <c r="I4358" s="7" t="s">
        <v>524</v>
      </c>
      <c r="J4358" s="7" t="s">
        <v>1414</v>
      </c>
      <c r="K4358" s="7" t="n">
        <f aca="false">IFERROR(VALUE(RIGHT(TRIM(F4358),4)),"")</f>
        <v>2019</v>
      </c>
      <c r="L4358" s="7" t="str">
        <f aca="false">IF(TRIM(E4358)="","Unknown",IFERROR(LEFT(TRIM(E4358),FIND(",",TRIM(E4358))-1),TRIM(E4358)))</f>
        <v>United States</v>
      </c>
      <c r="M4358" s="7" t="str">
        <f aca="false">IFERROR(LEFT(J4358,FIND(",",J4358)-1),J4358)</f>
        <v>Horror Movies</v>
      </c>
      <c r="N4358" s="7" t="n">
        <f aca="false">IF(B4358="Movie",IFERROR(VALUE(LEFT(I4358,FIND(" ",I4358)-1)),""),"")</f>
        <v>83</v>
      </c>
      <c r="O4358" s="7" t="str">
        <f aca="false">IF(B4358="TV Show",IFERROR(VALUE(LEFT(I4358,FIND(" ",I4358)-1)),""),"")</f>
        <v/>
      </c>
      <c r="P4358" s="7" t="n">
        <f aca="false">IF(K4358="","",K4358-G4358)</f>
        <v>0</v>
      </c>
    </row>
    <row r="4359" customFormat="false" ht="15" hidden="false" customHeight="false" outlineLevel="0" collapsed="false">
      <c r="A4359" s="7" t="n">
        <v>80219127</v>
      </c>
      <c r="B4359" s="7" t="s">
        <v>68</v>
      </c>
      <c r="C4359" s="7" t="s">
        <v>8935</v>
      </c>
      <c r="D4359" s="7" t="s">
        <v>8936</v>
      </c>
      <c r="E4359" s="7" t="s">
        <v>26</v>
      </c>
      <c r="F4359" s="7" t="s">
        <v>8937</v>
      </c>
      <c r="G4359" s="7" t="n">
        <v>2018</v>
      </c>
      <c r="H4359" s="7" t="s">
        <v>52</v>
      </c>
      <c r="I4359" s="7" t="s">
        <v>1777</v>
      </c>
      <c r="J4359" s="7" t="s">
        <v>276</v>
      </c>
      <c r="K4359" s="7" t="n">
        <f aca="false">IFERROR(VALUE(RIGHT(TRIM(F4359),4)),"")</f>
        <v>2018</v>
      </c>
      <c r="L4359" s="7" t="str">
        <f aca="false">IF(TRIM(E4359)="","Unknown",IFERROR(LEFT(TRIM(E4359),FIND(",",TRIM(E4359))-1),TRIM(E4359)))</f>
        <v>United States</v>
      </c>
      <c r="M4359" s="7" t="str">
        <f aca="false">IFERROR(LEFT(J4359,FIND(",",J4359)-1),J4359)</f>
        <v>Action &amp; Adventure</v>
      </c>
      <c r="N4359" s="7" t="n">
        <f aca="false">IF(B4359="Movie",IFERROR(VALUE(LEFT(I4359,FIND(" ",I4359)-1)),""),"")</f>
        <v>150</v>
      </c>
      <c r="O4359" s="7" t="str">
        <f aca="false">IF(B4359="TV Show",IFERROR(VALUE(LEFT(I4359,FIND(" ",I4359)-1)),""),"")</f>
        <v/>
      </c>
      <c r="P4359" s="7" t="n">
        <f aca="false">IF(K4359="","",K4359-G4359)</f>
        <v>0</v>
      </c>
    </row>
    <row r="4360" customFormat="false" ht="15" hidden="false" customHeight="false" outlineLevel="0" collapsed="false">
      <c r="A4360" s="7" t="n">
        <v>80052828</v>
      </c>
      <c r="B4360" s="7" t="s">
        <v>68</v>
      </c>
      <c r="C4360" s="7" t="s">
        <v>8938</v>
      </c>
      <c r="D4360" s="7" t="s">
        <v>8939</v>
      </c>
      <c r="E4360" s="7" t="s">
        <v>8940</v>
      </c>
      <c r="F4360" s="7" t="s">
        <v>8937</v>
      </c>
      <c r="G4360" s="7" t="n">
        <v>2015</v>
      </c>
      <c r="H4360" s="7" t="s">
        <v>51</v>
      </c>
      <c r="I4360" s="7" t="s">
        <v>73</v>
      </c>
      <c r="J4360" s="7" t="s">
        <v>597</v>
      </c>
      <c r="K4360" s="7" t="n">
        <f aca="false">IFERROR(VALUE(RIGHT(TRIM(F4360),4)),"")</f>
        <v>2018</v>
      </c>
      <c r="L4360" s="7" t="str">
        <f aca="false">IF(TRIM(E4360)="","Unknown",IFERROR(LEFT(TRIM(E4360),FIND(",",TRIM(E4360))-1),TRIM(E4360)))</f>
        <v>Australia</v>
      </c>
      <c r="M4360" s="7" t="str">
        <f aca="false">IFERROR(LEFT(J4360,FIND(",",J4360)-1),J4360)</f>
        <v>Dramas</v>
      </c>
      <c r="N4360" s="7" t="n">
        <f aca="false">IF(B4360="Movie",IFERROR(VALUE(LEFT(I4360,FIND(" ",I4360)-1)),""),"")</f>
        <v>90</v>
      </c>
      <c r="O4360" s="7" t="str">
        <f aca="false">IF(B4360="TV Show",IFERROR(VALUE(LEFT(I4360,FIND(" ",I4360)-1)),""),"")</f>
        <v/>
      </c>
      <c r="P4360" s="7" t="n">
        <f aca="false">IF(K4360="","",K4360-G4360)</f>
        <v>3</v>
      </c>
    </row>
    <row r="4361" customFormat="false" ht="15" hidden="false" customHeight="false" outlineLevel="0" collapsed="false">
      <c r="A4361" s="7" t="n">
        <v>80190840</v>
      </c>
      <c r="B4361" s="7" t="s">
        <v>68</v>
      </c>
      <c r="C4361" s="7" t="s">
        <v>8941</v>
      </c>
      <c r="D4361" s="7" t="s">
        <v>8942</v>
      </c>
      <c r="E4361" s="7" t="s">
        <v>26</v>
      </c>
      <c r="F4361" s="7" t="s">
        <v>8943</v>
      </c>
      <c r="G4361" s="7" t="n">
        <v>2017</v>
      </c>
      <c r="H4361" s="7" t="s">
        <v>48</v>
      </c>
      <c r="I4361" s="7" t="s">
        <v>272</v>
      </c>
      <c r="J4361" s="7" t="s">
        <v>39</v>
      </c>
      <c r="K4361" s="7" t="n">
        <f aca="false">IFERROR(VALUE(RIGHT(TRIM(F4361),4)),"")</f>
        <v>2017</v>
      </c>
      <c r="L4361" s="7" t="str">
        <f aca="false">IF(TRIM(E4361)="","Unknown",IFERROR(LEFT(TRIM(E4361),FIND(",",TRIM(E4361))-1),TRIM(E4361)))</f>
        <v>United States</v>
      </c>
      <c r="M4361" s="7" t="str">
        <f aca="false">IFERROR(LEFT(J4361,FIND(",",J4361)-1),J4361)</f>
        <v>Documentaries</v>
      </c>
      <c r="N4361" s="7" t="n">
        <f aca="false">IF(B4361="Movie",IFERROR(VALUE(LEFT(I4361,FIND(" ",I4361)-1)),""),"")</f>
        <v>93</v>
      </c>
      <c r="O4361" s="7" t="str">
        <f aca="false">IF(B4361="TV Show",IFERROR(VALUE(LEFT(I4361,FIND(" ",I4361)-1)),""),"")</f>
        <v/>
      </c>
      <c r="P4361" s="7" t="n">
        <f aca="false">IF(K4361="","",K4361-G4361)</f>
        <v>0</v>
      </c>
    </row>
    <row r="4362" customFormat="false" ht="15" hidden="false" customHeight="false" outlineLevel="0" collapsed="false">
      <c r="A4362" s="7" t="n">
        <v>80225526</v>
      </c>
      <c r="B4362" s="7" t="s">
        <v>78</v>
      </c>
      <c r="C4362" s="7" t="s">
        <v>8944</v>
      </c>
      <c r="F4362" s="7" t="s">
        <v>8943</v>
      </c>
      <c r="G4362" s="7" t="n">
        <v>2017</v>
      </c>
      <c r="H4362" s="7" t="s">
        <v>49</v>
      </c>
      <c r="I4362" s="7" t="s">
        <v>82</v>
      </c>
      <c r="J4362" s="7" t="s">
        <v>1231</v>
      </c>
      <c r="K4362" s="7" t="n">
        <f aca="false">IFERROR(VALUE(RIGHT(TRIM(F4362),4)),"")</f>
        <v>2017</v>
      </c>
      <c r="L4362" s="7" t="str">
        <f aca="false">IF(TRIM(E4362)="","Unknown",IFERROR(LEFT(TRIM(E4362),FIND(",",TRIM(E4362))-1),TRIM(E4362)))</f>
        <v>Unknown</v>
      </c>
      <c r="M4362" s="7" t="str">
        <f aca="false">IFERROR(LEFT(J4362,FIND(",",J4362)-1),J4362)</f>
        <v>International TV Shows</v>
      </c>
      <c r="N4362" s="7" t="str">
        <f aca="false">IF(B4362="Movie",IFERROR(VALUE(LEFT(I4362,FIND(" ",I4362)-1)),""),"")</f>
        <v/>
      </c>
      <c r="O4362" s="7" t="n">
        <f aca="false">IF(B4362="TV Show",IFERROR(VALUE(LEFT(I4362,FIND(" ",I4362)-1)),""),"")</f>
        <v>1</v>
      </c>
      <c r="P4362" s="7" t="n">
        <f aca="false">IF(K4362="","",K4362-G4362)</f>
        <v>0</v>
      </c>
    </row>
    <row r="4363" customFormat="false" ht="15" hidden="false" customHeight="false" outlineLevel="0" collapsed="false">
      <c r="A4363" s="7" t="n">
        <v>80195377</v>
      </c>
      <c r="B4363" s="7" t="s">
        <v>78</v>
      </c>
      <c r="C4363" s="7" t="s">
        <v>8945</v>
      </c>
      <c r="E4363" s="7" t="s">
        <v>28</v>
      </c>
      <c r="F4363" s="7" t="s">
        <v>8943</v>
      </c>
      <c r="G4363" s="7" t="n">
        <v>2016</v>
      </c>
      <c r="H4363" s="7" t="s">
        <v>226</v>
      </c>
      <c r="I4363" s="7" t="s">
        <v>82</v>
      </c>
      <c r="J4363" s="7" t="s">
        <v>1969</v>
      </c>
      <c r="K4363" s="7" t="n">
        <f aca="false">IFERROR(VALUE(RIGHT(TRIM(F4363),4)),"")</f>
        <v>2017</v>
      </c>
      <c r="L4363" s="7" t="str">
        <f aca="false">IF(TRIM(E4363)="","Unknown",IFERROR(LEFT(TRIM(E4363),FIND(",",TRIM(E4363))-1),TRIM(E4363)))</f>
        <v>United Kingdom</v>
      </c>
      <c r="M4363" s="7" t="str">
        <f aca="false">IFERROR(LEFT(J4363,FIND(",",J4363)-1),J4363)</f>
        <v>British TV Shows</v>
      </c>
      <c r="N4363" s="7" t="str">
        <f aca="false">IF(B4363="Movie",IFERROR(VALUE(LEFT(I4363,FIND(" ",I4363)-1)),""),"")</f>
        <v/>
      </c>
      <c r="O4363" s="7" t="n">
        <f aca="false">IF(B4363="TV Show",IFERROR(VALUE(LEFT(I4363,FIND(" ",I4363)-1)),""),"")</f>
        <v>1</v>
      </c>
      <c r="P4363" s="7" t="n">
        <f aca="false">IF(K4363="","",K4363-G4363)</f>
        <v>1</v>
      </c>
    </row>
    <row r="4364" customFormat="false" ht="15" hidden="false" customHeight="false" outlineLevel="0" collapsed="false">
      <c r="A4364" s="7" t="n">
        <v>80145086</v>
      </c>
      <c r="B4364" s="7" t="s">
        <v>68</v>
      </c>
      <c r="C4364" s="7" t="s">
        <v>8946</v>
      </c>
      <c r="D4364" s="7" t="s">
        <v>8947</v>
      </c>
      <c r="E4364" s="7" t="s">
        <v>1309</v>
      </c>
      <c r="F4364" s="7" t="s">
        <v>8948</v>
      </c>
      <c r="G4364" s="7" t="n">
        <v>2013</v>
      </c>
      <c r="H4364" s="7" t="s">
        <v>53</v>
      </c>
      <c r="I4364" s="7" t="s">
        <v>421</v>
      </c>
      <c r="J4364" s="7" t="s">
        <v>341</v>
      </c>
      <c r="K4364" s="7" t="n">
        <f aca="false">IFERROR(VALUE(RIGHT(TRIM(F4364),4)),"")</f>
        <v>2016</v>
      </c>
      <c r="L4364" s="7" t="str">
        <f aca="false">IF(TRIM(E4364)="","Unknown",IFERROR(LEFT(TRIM(E4364),FIND(",",TRIM(E4364))-1),TRIM(E4364)))</f>
        <v>United Kingdom</v>
      </c>
      <c r="M4364" s="7" t="str">
        <f aca="false">IFERROR(LEFT(J4364,FIND(",",J4364)-1),J4364)</f>
        <v>Documentaries</v>
      </c>
      <c r="N4364" s="7" t="n">
        <f aca="false">IF(B4364="Movie",IFERROR(VALUE(LEFT(I4364,FIND(" ",I4364)-1)),""),"")</f>
        <v>75</v>
      </c>
      <c r="O4364" s="7" t="str">
        <f aca="false">IF(B4364="TV Show",IFERROR(VALUE(LEFT(I4364,FIND(" ",I4364)-1)),""),"")</f>
        <v/>
      </c>
      <c r="P4364" s="7" t="n">
        <f aca="false">IF(K4364="","",K4364-G4364)</f>
        <v>3</v>
      </c>
    </row>
    <row r="4365" customFormat="false" ht="15" hidden="false" customHeight="false" outlineLevel="0" collapsed="false">
      <c r="A4365" s="7" t="n">
        <v>80042177</v>
      </c>
      <c r="B4365" s="7" t="s">
        <v>78</v>
      </c>
      <c r="C4365" s="7" t="s">
        <v>8949</v>
      </c>
      <c r="E4365" s="7" t="s">
        <v>31</v>
      </c>
      <c r="F4365" s="7" t="s">
        <v>8950</v>
      </c>
      <c r="G4365" s="7" t="n">
        <v>2014</v>
      </c>
      <c r="H4365" s="7" t="s">
        <v>226</v>
      </c>
      <c r="I4365" s="7" t="s">
        <v>82</v>
      </c>
      <c r="J4365" s="7" t="s">
        <v>191</v>
      </c>
      <c r="K4365" s="7" t="n">
        <f aca="false">IFERROR(VALUE(RIGHT(TRIM(F4365),4)),"")</f>
        <v>2015</v>
      </c>
      <c r="L4365" s="7" t="str">
        <f aca="false">IF(TRIM(E4365)="","Unknown",IFERROR(LEFT(TRIM(E4365),FIND(",",TRIM(E4365))-1),TRIM(E4365)))</f>
        <v>France</v>
      </c>
      <c r="M4365" s="7" t="str">
        <f aca="false">IFERROR(LEFT(J4365,FIND(",",J4365)-1),J4365)</f>
        <v>Kids' TV</v>
      </c>
      <c r="N4365" s="7" t="str">
        <f aca="false">IF(B4365="Movie",IFERROR(VALUE(LEFT(I4365,FIND(" ",I4365)-1)),""),"")</f>
        <v/>
      </c>
      <c r="O4365" s="7" t="n">
        <f aca="false">IF(B4365="TV Show",IFERROR(VALUE(LEFT(I4365,FIND(" ",I4365)-1)),""),"")</f>
        <v>1</v>
      </c>
      <c r="P4365" s="7" t="n">
        <f aca="false">IF(K4365="","",K4365-G4365)</f>
        <v>1</v>
      </c>
    </row>
    <row r="4366" customFormat="false" ht="15" hidden="false" customHeight="false" outlineLevel="0" collapsed="false">
      <c r="A4366" s="7" t="n">
        <v>80244123</v>
      </c>
      <c r="B4366" s="7" t="s">
        <v>68</v>
      </c>
      <c r="C4366" s="7" t="s">
        <v>8951</v>
      </c>
      <c r="D4366" s="7" t="s">
        <v>8952</v>
      </c>
      <c r="E4366" s="7" t="s">
        <v>34</v>
      </c>
      <c r="F4366" s="7" t="s">
        <v>8953</v>
      </c>
      <c r="G4366" s="7" t="n">
        <v>2019</v>
      </c>
      <c r="H4366" s="7" t="s">
        <v>49</v>
      </c>
      <c r="I4366" s="7" t="s">
        <v>386</v>
      </c>
      <c r="J4366" s="7" t="s">
        <v>457</v>
      </c>
      <c r="K4366" s="7" t="n">
        <f aca="false">IFERROR(VALUE(RIGHT(TRIM(F4366),4)),"")</f>
        <v>2019</v>
      </c>
      <c r="L4366" s="7" t="str">
        <f aca="false">IF(TRIM(E4366)="","Unknown",IFERROR(LEFT(TRIM(E4366),FIND(",",TRIM(E4366))-1),TRIM(E4366)))</f>
        <v>Mexico</v>
      </c>
      <c r="M4366" s="7" t="str">
        <f aca="false">IFERROR(LEFT(J4366,FIND(",",J4366)-1),J4366)</f>
        <v>Comedies</v>
      </c>
      <c r="N4366" s="7" t="n">
        <f aca="false">IF(B4366="Movie",IFERROR(VALUE(LEFT(I4366,FIND(" ",I4366)-1)),""),"")</f>
        <v>117</v>
      </c>
      <c r="O4366" s="7" t="str">
        <f aca="false">IF(B4366="TV Show",IFERROR(VALUE(LEFT(I4366,FIND(" ",I4366)-1)),""),"")</f>
        <v/>
      </c>
      <c r="P4366" s="7" t="n">
        <f aca="false">IF(K4366="","",K4366-G4366)</f>
        <v>0</v>
      </c>
    </row>
    <row r="4367" customFormat="false" ht="15" hidden="false" customHeight="false" outlineLevel="0" collapsed="false">
      <c r="A4367" s="7" t="n">
        <v>81104634</v>
      </c>
      <c r="B4367" s="7" t="s">
        <v>68</v>
      </c>
      <c r="C4367" s="7" t="s">
        <v>8954</v>
      </c>
      <c r="D4367" s="7" t="s">
        <v>3080</v>
      </c>
      <c r="E4367" s="7" t="s">
        <v>26</v>
      </c>
      <c r="F4367" s="7" t="s">
        <v>8953</v>
      </c>
      <c r="G4367" s="7" t="n">
        <v>2019</v>
      </c>
      <c r="H4367" s="7" t="s">
        <v>50</v>
      </c>
      <c r="I4367" s="7" t="s">
        <v>254</v>
      </c>
      <c r="J4367" s="7" t="s">
        <v>74</v>
      </c>
      <c r="K4367" s="7" t="n">
        <f aca="false">IFERROR(VALUE(RIGHT(TRIM(F4367),4)),"")</f>
        <v>2019</v>
      </c>
      <c r="L4367" s="7" t="str">
        <f aca="false">IF(TRIM(E4367)="","Unknown",IFERROR(LEFT(TRIM(E4367),FIND(",",TRIM(E4367))-1),TRIM(E4367)))</f>
        <v>United States</v>
      </c>
      <c r="M4367" s="7" t="str">
        <f aca="false">IFERROR(LEFT(J4367,FIND(",",J4367)-1),J4367)</f>
        <v>Children &amp; Family Movies</v>
      </c>
      <c r="N4367" s="7" t="n">
        <f aca="false">IF(B4367="Movie",IFERROR(VALUE(LEFT(I4367,FIND(" ",I4367)-1)),""),"")</f>
        <v>70</v>
      </c>
      <c r="O4367" s="7" t="str">
        <f aca="false">IF(B4367="TV Show",IFERROR(VALUE(LEFT(I4367,FIND(" ",I4367)-1)),""),"")</f>
        <v/>
      </c>
      <c r="P4367" s="7" t="n">
        <f aca="false">IF(K4367="","",K4367-G4367)</f>
        <v>0</v>
      </c>
    </row>
    <row r="4368" customFormat="false" ht="15" hidden="false" customHeight="false" outlineLevel="0" collapsed="false">
      <c r="A4368" s="7" t="n">
        <v>80997338</v>
      </c>
      <c r="B4368" s="7" t="s">
        <v>78</v>
      </c>
      <c r="C4368" s="7" t="s">
        <v>8955</v>
      </c>
      <c r="E4368" s="7" t="s">
        <v>30</v>
      </c>
      <c r="F4368" s="7" t="s">
        <v>8956</v>
      </c>
      <c r="G4368" s="7" t="n">
        <v>2018</v>
      </c>
      <c r="H4368" s="7" t="s">
        <v>50</v>
      </c>
      <c r="I4368" s="7" t="s">
        <v>82</v>
      </c>
      <c r="J4368" s="7" t="s">
        <v>1253</v>
      </c>
      <c r="K4368" s="7" t="n">
        <f aca="false">IFERROR(VALUE(RIGHT(TRIM(F4368),4)),"")</f>
        <v>2018</v>
      </c>
      <c r="L4368" s="7" t="str">
        <f aca="false">IF(TRIM(E4368)="","Unknown",IFERROR(LEFT(TRIM(E4368),FIND(",",TRIM(E4368))-1),TRIM(E4368)))</f>
        <v>Japan</v>
      </c>
      <c r="M4368" s="7" t="str">
        <f aca="false">IFERROR(LEFT(J4368,FIND(",",J4368)-1),J4368)</f>
        <v>Anime Series</v>
      </c>
      <c r="N4368" s="7" t="str">
        <f aca="false">IF(B4368="Movie",IFERROR(VALUE(LEFT(I4368,FIND(" ",I4368)-1)),""),"")</f>
        <v/>
      </c>
      <c r="O4368" s="7" t="n">
        <f aca="false">IF(B4368="TV Show",IFERROR(VALUE(LEFT(I4368,FIND(" ",I4368)-1)),""),"")</f>
        <v>1</v>
      </c>
      <c r="P4368" s="7" t="n">
        <f aca="false">IF(K4368="","",K4368-G4368)</f>
        <v>0</v>
      </c>
    </row>
    <row r="4369" customFormat="false" ht="15" hidden="false" customHeight="false" outlineLevel="0" collapsed="false">
      <c r="A4369" s="7" t="n">
        <v>80210736</v>
      </c>
      <c r="B4369" s="7" t="s">
        <v>78</v>
      </c>
      <c r="C4369" s="7" t="s">
        <v>8957</v>
      </c>
      <c r="E4369" s="7" t="s">
        <v>26</v>
      </c>
      <c r="F4369" s="7" t="s">
        <v>8956</v>
      </c>
      <c r="G4369" s="7" t="n">
        <v>2018</v>
      </c>
      <c r="H4369" s="7" t="s">
        <v>49</v>
      </c>
      <c r="I4369" s="7" t="s">
        <v>82</v>
      </c>
      <c r="J4369" s="7" t="s">
        <v>795</v>
      </c>
      <c r="K4369" s="7" t="n">
        <f aca="false">IFERROR(VALUE(RIGHT(TRIM(F4369),4)),"")</f>
        <v>2018</v>
      </c>
      <c r="L4369" s="7" t="str">
        <f aca="false">IF(TRIM(E4369)="","Unknown",IFERROR(LEFT(TRIM(E4369),FIND(",",TRIM(E4369))-1),TRIM(E4369)))</f>
        <v>United States</v>
      </c>
      <c r="M4369" s="7" t="str">
        <f aca="false">IFERROR(LEFT(J4369,FIND(",",J4369)-1),J4369)</f>
        <v>Stand-Up Comedy &amp; Talk Shows</v>
      </c>
      <c r="N4369" s="7" t="str">
        <f aca="false">IF(B4369="Movie",IFERROR(VALUE(LEFT(I4369,FIND(" ",I4369)-1)),""),"")</f>
        <v/>
      </c>
      <c r="O4369" s="7" t="n">
        <f aca="false">IF(B4369="TV Show",IFERROR(VALUE(LEFT(I4369,FIND(" ",I4369)-1)),""),"")</f>
        <v>1</v>
      </c>
      <c r="P4369" s="7" t="n">
        <f aca="false">IF(K4369="","",K4369-G4369)</f>
        <v>0</v>
      </c>
    </row>
    <row r="4370" customFormat="false" ht="15" hidden="false" customHeight="false" outlineLevel="0" collapsed="false">
      <c r="A4370" s="7" t="n">
        <v>81020728</v>
      </c>
      <c r="B4370" s="7" t="s">
        <v>78</v>
      </c>
      <c r="C4370" s="7" t="s">
        <v>8958</v>
      </c>
      <c r="E4370" s="7" t="s">
        <v>970</v>
      </c>
      <c r="F4370" s="7" t="s">
        <v>8956</v>
      </c>
      <c r="G4370" s="7" t="n">
        <v>2011</v>
      </c>
      <c r="H4370" s="7" t="s">
        <v>50</v>
      </c>
      <c r="I4370" s="7" t="s">
        <v>82</v>
      </c>
      <c r="J4370" s="7" t="s">
        <v>158</v>
      </c>
      <c r="K4370" s="7" t="n">
        <f aca="false">IFERROR(VALUE(RIGHT(TRIM(F4370),4)),"")</f>
        <v>2018</v>
      </c>
      <c r="L4370" s="7" t="str">
        <f aca="false">IF(TRIM(E4370)="","Unknown",IFERROR(LEFT(TRIM(E4370),FIND(",",TRIM(E4370))-1),TRIM(E4370)))</f>
        <v>Taiwan</v>
      </c>
      <c r="M4370" s="7" t="str">
        <f aca="false">IFERROR(LEFT(J4370,FIND(",",J4370)-1),J4370)</f>
        <v>International TV Shows</v>
      </c>
      <c r="N4370" s="7" t="str">
        <f aca="false">IF(B4370="Movie",IFERROR(VALUE(LEFT(I4370,FIND(" ",I4370)-1)),""),"")</f>
        <v/>
      </c>
      <c r="O4370" s="7" t="n">
        <f aca="false">IF(B4370="TV Show",IFERROR(VALUE(LEFT(I4370,FIND(" ",I4370)-1)),""),"")</f>
        <v>1</v>
      </c>
      <c r="P4370" s="7" t="n">
        <f aca="false">IF(K4370="","",K4370-G4370)</f>
        <v>7</v>
      </c>
    </row>
    <row r="4371" customFormat="false" ht="15" hidden="false" customHeight="false" outlineLevel="0" collapsed="false">
      <c r="A4371" s="7" t="n">
        <v>80153226</v>
      </c>
      <c r="B4371" s="7" t="s">
        <v>78</v>
      </c>
      <c r="C4371" s="7" t="s">
        <v>8959</v>
      </c>
      <c r="E4371" s="7" t="s">
        <v>30</v>
      </c>
      <c r="F4371" s="7" t="s">
        <v>8960</v>
      </c>
      <c r="G4371" s="7" t="n">
        <v>1981</v>
      </c>
      <c r="H4371" s="7" t="s">
        <v>55</v>
      </c>
      <c r="I4371" s="7" t="s">
        <v>82</v>
      </c>
      <c r="J4371" s="7" t="s">
        <v>694</v>
      </c>
      <c r="K4371" s="7" t="n">
        <f aca="false">IFERROR(VALUE(RIGHT(TRIM(F4371),4)),"")</f>
        <v>2018</v>
      </c>
      <c r="L4371" s="7" t="str">
        <f aca="false">IF(TRIM(E4371)="","Unknown",IFERROR(LEFT(TRIM(E4371),FIND(",",TRIM(E4371))-1),TRIM(E4371)))</f>
        <v>Japan</v>
      </c>
      <c r="M4371" s="7" t="str">
        <f aca="false">IFERROR(LEFT(J4371,FIND(",",J4371)-1),J4371)</f>
        <v>Anime Series</v>
      </c>
      <c r="N4371" s="7" t="str">
        <f aca="false">IF(B4371="Movie",IFERROR(VALUE(LEFT(I4371,FIND(" ",I4371)-1)),""),"")</f>
        <v/>
      </c>
      <c r="O4371" s="7" t="n">
        <f aca="false">IF(B4371="TV Show",IFERROR(VALUE(LEFT(I4371,FIND(" ",I4371)-1)),""),"")</f>
        <v>1</v>
      </c>
      <c r="P4371" s="7" t="n">
        <f aca="false">IF(K4371="","",K4371-G4371)</f>
        <v>37</v>
      </c>
    </row>
    <row r="4372" customFormat="false" ht="15" hidden="false" customHeight="false" outlineLevel="0" collapsed="false">
      <c r="A4372" s="7" t="n">
        <v>80171023</v>
      </c>
      <c r="B4372" s="7" t="s">
        <v>68</v>
      </c>
      <c r="C4372" s="7" t="s">
        <v>8961</v>
      </c>
      <c r="D4372" s="7" t="s">
        <v>6189</v>
      </c>
      <c r="E4372" s="7" t="s">
        <v>619</v>
      </c>
      <c r="F4372" s="7" t="s">
        <v>8960</v>
      </c>
      <c r="G4372" s="7" t="n">
        <v>2017</v>
      </c>
      <c r="H4372" s="7" t="s">
        <v>51</v>
      </c>
      <c r="I4372" s="7" t="s">
        <v>357</v>
      </c>
      <c r="J4372" s="7" t="s">
        <v>1533</v>
      </c>
      <c r="K4372" s="7" t="n">
        <f aca="false">IFERROR(VALUE(RIGHT(TRIM(F4372),4)),"")</f>
        <v>2018</v>
      </c>
      <c r="L4372" s="7" t="str">
        <f aca="false">IF(TRIM(E4372)="","Unknown",IFERROR(LEFT(TRIM(E4372),FIND(",",TRIM(E4372))-1),TRIM(E4372)))</f>
        <v>Canada</v>
      </c>
      <c r="M4372" s="7" t="str">
        <f aca="false">IFERROR(LEFT(J4372,FIND(",",J4372)-1),J4372)</f>
        <v>Comedies</v>
      </c>
      <c r="N4372" s="7" t="n">
        <f aca="false">IF(B4372="Movie",IFERROR(VALUE(LEFT(I4372,FIND(" ",I4372)-1)),""),"")</f>
        <v>89</v>
      </c>
      <c r="O4372" s="7" t="str">
        <f aca="false">IF(B4372="TV Show",IFERROR(VALUE(LEFT(I4372,FIND(" ",I4372)-1)),""),"")</f>
        <v/>
      </c>
      <c r="P4372" s="7" t="n">
        <f aca="false">IF(K4372="","",K4372-G4372)</f>
        <v>1</v>
      </c>
    </row>
    <row r="4373" customFormat="false" ht="15" hidden="false" customHeight="false" outlineLevel="0" collapsed="false">
      <c r="A4373" s="7" t="n">
        <v>80107989</v>
      </c>
      <c r="B4373" s="7" t="s">
        <v>78</v>
      </c>
      <c r="C4373" s="7" t="s">
        <v>8962</v>
      </c>
      <c r="D4373" s="7" t="s">
        <v>6433</v>
      </c>
      <c r="E4373" s="7" t="s">
        <v>8963</v>
      </c>
      <c r="F4373" s="7" t="s">
        <v>8960</v>
      </c>
      <c r="G4373" s="7" t="n">
        <v>2018</v>
      </c>
      <c r="H4373" s="7" t="s">
        <v>50</v>
      </c>
      <c r="I4373" s="7" t="s">
        <v>82</v>
      </c>
      <c r="J4373" s="7" t="s">
        <v>8964</v>
      </c>
      <c r="K4373" s="7" t="n">
        <f aca="false">IFERROR(VALUE(RIGHT(TRIM(F4373),4)),"")</f>
        <v>2018</v>
      </c>
      <c r="L4373" s="7" t="str">
        <f aca="false">IF(TRIM(E4373)="","Unknown",IFERROR(LEFT(TRIM(E4373),FIND(",",TRIM(E4373))-1),TRIM(E4373)))</f>
        <v>Ireland</v>
      </c>
      <c r="M4373" s="7" t="str">
        <f aca="false">IFERROR(LEFT(J4373,FIND(",",J4373)-1),J4373)</f>
        <v>British TV Shows</v>
      </c>
      <c r="N4373" s="7" t="str">
        <f aca="false">IF(B4373="Movie",IFERROR(VALUE(LEFT(I4373,FIND(" ",I4373)-1)),""),"")</f>
        <v/>
      </c>
      <c r="O4373" s="7" t="n">
        <f aca="false">IF(B4373="TV Show",IFERROR(VALUE(LEFT(I4373,FIND(" ",I4373)-1)),""),"")</f>
        <v>1</v>
      </c>
      <c r="P4373" s="7" t="n">
        <f aca="false">IF(K4373="","",K4373-G4373)</f>
        <v>0</v>
      </c>
    </row>
    <row r="4374" customFormat="false" ht="15" hidden="false" customHeight="false" outlineLevel="0" collapsed="false">
      <c r="A4374" s="7" t="n">
        <v>80168161</v>
      </c>
      <c r="B4374" s="7" t="s">
        <v>68</v>
      </c>
      <c r="C4374" s="7" t="s">
        <v>8965</v>
      </c>
      <c r="D4374" s="7" t="s">
        <v>6385</v>
      </c>
      <c r="E4374" s="7" t="s">
        <v>26</v>
      </c>
      <c r="F4374" s="7" t="s">
        <v>8966</v>
      </c>
      <c r="G4374" s="7" t="n">
        <v>2017</v>
      </c>
      <c r="H4374" s="7" t="s">
        <v>48</v>
      </c>
      <c r="I4374" s="7" t="s">
        <v>154</v>
      </c>
      <c r="J4374" s="7" t="s">
        <v>950</v>
      </c>
      <c r="K4374" s="7" t="n">
        <f aca="false">IFERROR(VALUE(RIGHT(TRIM(F4374),4)),"")</f>
        <v>2017</v>
      </c>
      <c r="L4374" s="7" t="str">
        <f aca="false">IF(TRIM(E4374)="","Unknown",IFERROR(LEFT(TRIM(E4374),FIND(",",TRIM(E4374))-1),TRIM(E4374)))</f>
        <v>United States</v>
      </c>
      <c r="M4374" s="7" t="str">
        <f aca="false">IFERROR(LEFT(J4374,FIND(",",J4374)-1),J4374)</f>
        <v>Horror Movies</v>
      </c>
      <c r="N4374" s="7" t="n">
        <f aca="false">IF(B4374="Movie",IFERROR(VALUE(LEFT(I4374,FIND(" ",I4374)-1)),""),"")</f>
        <v>80</v>
      </c>
      <c r="O4374" s="7" t="str">
        <f aca="false">IF(B4374="TV Show",IFERROR(VALUE(LEFT(I4374,FIND(" ",I4374)-1)),""),"")</f>
        <v/>
      </c>
      <c r="P4374" s="7" t="n">
        <f aca="false">IF(K4374="","",K4374-G4374)</f>
        <v>0</v>
      </c>
    </row>
    <row r="4375" customFormat="false" ht="15" hidden="false" customHeight="false" outlineLevel="0" collapsed="false">
      <c r="A4375" s="7" t="n">
        <v>80158649</v>
      </c>
      <c r="B4375" s="7" t="s">
        <v>78</v>
      </c>
      <c r="C4375" s="7" t="s">
        <v>8967</v>
      </c>
      <c r="D4375" s="7" t="s">
        <v>8968</v>
      </c>
      <c r="E4375" s="7" t="s">
        <v>28</v>
      </c>
      <c r="F4375" s="7" t="s">
        <v>8966</v>
      </c>
      <c r="G4375" s="7" t="n">
        <v>2017</v>
      </c>
      <c r="H4375" s="7" t="s">
        <v>49</v>
      </c>
      <c r="I4375" s="7" t="s">
        <v>82</v>
      </c>
      <c r="J4375" s="7" t="s">
        <v>1122</v>
      </c>
      <c r="K4375" s="7" t="n">
        <f aca="false">IFERROR(VALUE(RIGHT(TRIM(F4375),4)),"")</f>
        <v>2017</v>
      </c>
      <c r="L4375" s="7" t="str">
        <f aca="false">IF(TRIM(E4375)="","Unknown",IFERROR(LEFT(TRIM(E4375),FIND(",",TRIM(E4375))-1),TRIM(E4375)))</f>
        <v>United Kingdom</v>
      </c>
      <c r="M4375" s="7" t="str">
        <f aca="false">IFERROR(LEFT(J4375,FIND(",",J4375)-1),J4375)</f>
        <v>British TV Shows</v>
      </c>
      <c r="N4375" s="7" t="str">
        <f aca="false">IF(B4375="Movie",IFERROR(VALUE(LEFT(I4375,FIND(" ",I4375)-1)),""),"")</f>
        <v/>
      </c>
      <c r="O4375" s="7" t="n">
        <f aca="false">IF(B4375="TV Show",IFERROR(VALUE(LEFT(I4375,FIND(" ",I4375)-1)),""),"")</f>
        <v>1</v>
      </c>
      <c r="P4375" s="7" t="n">
        <f aca="false">IF(K4375="","",K4375-G4375)</f>
        <v>0</v>
      </c>
    </row>
    <row r="4376" customFormat="false" ht="15" hidden="false" customHeight="false" outlineLevel="0" collapsed="false">
      <c r="A4376" s="7" t="n">
        <v>80134885</v>
      </c>
      <c r="B4376" s="7" t="s">
        <v>68</v>
      </c>
      <c r="C4376" s="7" t="s">
        <v>8969</v>
      </c>
      <c r="D4376" s="7" t="s">
        <v>8970</v>
      </c>
      <c r="E4376" s="7" t="s">
        <v>34</v>
      </c>
      <c r="F4376" s="7" t="s">
        <v>8971</v>
      </c>
      <c r="G4376" s="7" t="n">
        <v>2016</v>
      </c>
      <c r="H4376" s="7" t="s">
        <v>48</v>
      </c>
      <c r="I4376" s="7" t="s">
        <v>272</v>
      </c>
      <c r="J4376" s="7" t="s">
        <v>304</v>
      </c>
      <c r="K4376" s="7" t="n">
        <f aca="false">IFERROR(VALUE(RIGHT(TRIM(F4376),4)),"")</f>
        <v>2016</v>
      </c>
      <c r="L4376" s="7" t="str">
        <f aca="false">IF(TRIM(E4376)="","Unknown",IFERROR(LEFT(TRIM(E4376),FIND(",",TRIM(E4376))-1),TRIM(E4376)))</f>
        <v>Mexico</v>
      </c>
      <c r="M4376" s="7" t="str">
        <f aca="false">IFERROR(LEFT(J4376,FIND(",",J4376)-1),J4376)</f>
        <v>Dramas</v>
      </c>
      <c r="N4376" s="7" t="n">
        <f aca="false">IF(B4376="Movie",IFERROR(VALUE(LEFT(I4376,FIND(" ",I4376)-1)),""),"")</f>
        <v>93</v>
      </c>
      <c r="O4376" s="7" t="str">
        <f aca="false">IF(B4376="TV Show",IFERROR(VALUE(LEFT(I4376,FIND(" ",I4376)-1)),""),"")</f>
        <v/>
      </c>
      <c r="P4376" s="7" t="n">
        <f aca="false">IF(K4376="","",K4376-G4376)</f>
        <v>0</v>
      </c>
    </row>
    <row r="4377" customFormat="false" ht="15" hidden="false" customHeight="false" outlineLevel="0" collapsed="false">
      <c r="A4377" s="7" t="n">
        <v>80136548</v>
      </c>
      <c r="B4377" s="7" t="s">
        <v>68</v>
      </c>
      <c r="C4377" s="7" t="s">
        <v>8972</v>
      </c>
      <c r="D4377" s="7" t="s">
        <v>8973</v>
      </c>
      <c r="E4377" s="7" t="s">
        <v>26</v>
      </c>
      <c r="F4377" s="7" t="s">
        <v>8971</v>
      </c>
      <c r="G4377" s="7" t="n">
        <v>2016</v>
      </c>
      <c r="H4377" s="7" t="s">
        <v>48</v>
      </c>
      <c r="I4377" s="7" t="s">
        <v>117</v>
      </c>
      <c r="J4377" s="7" t="s">
        <v>5396</v>
      </c>
      <c r="K4377" s="7" t="n">
        <f aca="false">IFERROR(VALUE(RIGHT(TRIM(F4377),4)),"")</f>
        <v>2016</v>
      </c>
      <c r="L4377" s="7" t="str">
        <f aca="false">IF(TRIM(E4377)="","Unknown",IFERROR(LEFT(TRIM(E4377),FIND(",",TRIM(E4377))-1),TRIM(E4377)))</f>
        <v>United States</v>
      </c>
      <c r="M4377" s="7" t="str">
        <f aca="false">IFERROR(LEFT(J4377,FIND(",",J4377)-1),J4377)</f>
        <v>Music &amp; Musicals</v>
      </c>
      <c r="N4377" s="7" t="n">
        <f aca="false">IF(B4377="Movie",IFERROR(VALUE(LEFT(I4377,FIND(" ",I4377)-1)),""),"")</f>
        <v>62</v>
      </c>
      <c r="O4377" s="7" t="str">
        <f aca="false">IF(B4377="TV Show",IFERROR(VALUE(LEFT(I4377,FIND(" ",I4377)-1)),""),"")</f>
        <v/>
      </c>
      <c r="P4377" s="7" t="n">
        <f aca="false">IF(K4377="","",K4377-G4377)</f>
        <v>0</v>
      </c>
    </row>
    <row r="4378" customFormat="false" ht="15" hidden="false" customHeight="false" outlineLevel="0" collapsed="false">
      <c r="A4378" s="7" t="n">
        <v>80097363</v>
      </c>
      <c r="B4378" s="7" t="s">
        <v>68</v>
      </c>
      <c r="C4378" s="7" t="s">
        <v>8974</v>
      </c>
      <c r="D4378" s="7" t="s">
        <v>1350</v>
      </c>
      <c r="E4378" s="7" t="s">
        <v>26</v>
      </c>
      <c r="F4378" s="7" t="s">
        <v>8971</v>
      </c>
      <c r="G4378" s="7" t="n">
        <v>2016</v>
      </c>
      <c r="H4378" s="7" t="s">
        <v>52</v>
      </c>
      <c r="I4378" s="7" t="s">
        <v>134</v>
      </c>
      <c r="J4378" s="7" t="s">
        <v>39</v>
      </c>
      <c r="K4378" s="7" t="n">
        <f aca="false">IFERROR(VALUE(RIGHT(TRIM(F4378),4)),"")</f>
        <v>2016</v>
      </c>
      <c r="L4378" s="7" t="str">
        <f aca="false">IF(TRIM(E4378)="","Unknown",IFERROR(LEFT(TRIM(E4378),FIND(",",TRIM(E4378))-1),TRIM(E4378)))</f>
        <v>United States</v>
      </c>
      <c r="M4378" s="7" t="str">
        <f aca="false">IFERROR(LEFT(J4378,FIND(",",J4378)-1),J4378)</f>
        <v>Documentaries</v>
      </c>
      <c r="N4378" s="7" t="n">
        <f aca="false">IF(B4378="Movie",IFERROR(VALUE(LEFT(I4378,FIND(" ",I4378)-1)),""),"")</f>
        <v>98</v>
      </c>
      <c r="O4378" s="7" t="str">
        <f aca="false">IF(B4378="TV Show",IFERROR(VALUE(LEFT(I4378,FIND(" ",I4378)-1)),""),"")</f>
        <v/>
      </c>
      <c r="P4378" s="7" t="n">
        <f aca="false">IF(K4378="","",K4378-G4378)</f>
        <v>0</v>
      </c>
    </row>
    <row r="4379" customFormat="false" ht="15" hidden="false" customHeight="false" outlineLevel="0" collapsed="false">
      <c r="A4379" s="7" t="n">
        <v>81014479</v>
      </c>
      <c r="B4379" s="7" t="s">
        <v>68</v>
      </c>
      <c r="C4379" s="7" t="s">
        <v>8975</v>
      </c>
      <c r="D4379" s="7" t="s">
        <v>6393</v>
      </c>
      <c r="E4379" s="7" t="s">
        <v>26</v>
      </c>
      <c r="F4379" s="7" t="s">
        <v>8976</v>
      </c>
      <c r="G4379" s="7" t="n">
        <v>2019</v>
      </c>
      <c r="H4379" s="7" t="s">
        <v>51</v>
      </c>
      <c r="I4379" s="7" t="s">
        <v>73</v>
      </c>
      <c r="J4379" s="7" t="s">
        <v>811</v>
      </c>
      <c r="K4379" s="7" t="n">
        <f aca="false">IFERROR(VALUE(RIGHT(TRIM(F4379),4)),"")</f>
        <v>2019</v>
      </c>
      <c r="L4379" s="7" t="str">
        <f aca="false">IF(TRIM(E4379)="","Unknown",IFERROR(LEFT(TRIM(E4379),FIND(",",TRIM(E4379))-1),TRIM(E4379)))</f>
        <v>United States</v>
      </c>
      <c r="M4379" s="7" t="str">
        <f aca="false">IFERROR(LEFT(J4379,FIND(",",J4379)-1),J4379)</f>
        <v>Thrillers</v>
      </c>
      <c r="N4379" s="7" t="n">
        <f aca="false">IF(B4379="Movie",IFERROR(VALUE(LEFT(I4379,FIND(" ",I4379)-1)),""),"")</f>
        <v>90</v>
      </c>
      <c r="O4379" s="7" t="str">
        <f aca="false">IF(B4379="TV Show",IFERROR(VALUE(LEFT(I4379,FIND(" ",I4379)-1)),""),"")</f>
        <v/>
      </c>
      <c r="P4379" s="7" t="n">
        <f aca="false">IF(K4379="","",K4379-G4379)</f>
        <v>0</v>
      </c>
    </row>
    <row r="4380" customFormat="false" ht="15" hidden="false" customHeight="false" outlineLevel="0" collapsed="false">
      <c r="A4380" s="7" t="n">
        <v>81039096</v>
      </c>
      <c r="B4380" s="7" t="s">
        <v>78</v>
      </c>
      <c r="C4380" s="7" t="s">
        <v>8977</v>
      </c>
      <c r="F4380" s="7" t="s">
        <v>8978</v>
      </c>
      <c r="G4380" s="7" t="n">
        <v>2018</v>
      </c>
      <c r="H4380" s="7" t="s">
        <v>48</v>
      </c>
      <c r="I4380" s="7" t="s">
        <v>82</v>
      </c>
      <c r="J4380" s="7" t="s">
        <v>402</v>
      </c>
      <c r="K4380" s="7" t="n">
        <f aca="false">IFERROR(VALUE(RIGHT(TRIM(F4380),4)),"")</f>
        <v>2018</v>
      </c>
      <c r="L4380" s="7" t="str">
        <f aca="false">IF(TRIM(E4380)="","Unknown",IFERROR(LEFT(TRIM(E4380),FIND(",",TRIM(E4380))-1),TRIM(E4380)))</f>
        <v>Unknown</v>
      </c>
      <c r="M4380" s="7" t="str">
        <f aca="false">IFERROR(LEFT(J4380,FIND(",",J4380)-1),J4380)</f>
        <v>Crime TV Shows</v>
      </c>
      <c r="N4380" s="7" t="str">
        <f aca="false">IF(B4380="Movie",IFERROR(VALUE(LEFT(I4380,FIND(" ",I4380)-1)),""),"")</f>
        <v/>
      </c>
      <c r="O4380" s="7" t="n">
        <f aca="false">IF(B4380="TV Show",IFERROR(VALUE(LEFT(I4380,FIND(" ",I4380)-1)),""),"")</f>
        <v>1</v>
      </c>
      <c r="P4380" s="7" t="n">
        <f aca="false">IF(K4380="","",K4380-G4380)</f>
        <v>0</v>
      </c>
    </row>
    <row r="4381" customFormat="false" ht="15" hidden="false" customHeight="false" outlineLevel="0" collapsed="false">
      <c r="A4381" s="7" t="n">
        <v>80989338</v>
      </c>
      <c r="B4381" s="7" t="s">
        <v>68</v>
      </c>
      <c r="C4381" s="7" t="s">
        <v>8979</v>
      </c>
      <c r="D4381" s="7" t="s">
        <v>8980</v>
      </c>
      <c r="E4381" s="7" t="s">
        <v>28</v>
      </c>
      <c r="F4381" s="7" t="s">
        <v>8978</v>
      </c>
      <c r="G4381" s="7" t="n">
        <v>2018</v>
      </c>
      <c r="H4381" s="7" t="s">
        <v>51</v>
      </c>
      <c r="I4381" s="7" t="s">
        <v>272</v>
      </c>
      <c r="J4381" s="7" t="s">
        <v>40</v>
      </c>
      <c r="K4381" s="7" t="n">
        <f aca="false">IFERROR(VALUE(RIGHT(TRIM(F4381),4)),"")</f>
        <v>2018</v>
      </c>
      <c r="L4381" s="7" t="str">
        <f aca="false">IF(TRIM(E4381)="","Unknown",IFERROR(LEFT(TRIM(E4381),FIND(",",TRIM(E4381))-1),TRIM(E4381)))</f>
        <v>United Kingdom</v>
      </c>
      <c r="M4381" s="7" t="str">
        <f aca="false">IFERROR(LEFT(J4381,FIND(",",J4381)-1),J4381)</f>
        <v>Action &amp; Adventure</v>
      </c>
      <c r="N4381" s="7" t="n">
        <f aca="false">IF(B4381="Movie",IFERROR(VALUE(LEFT(I4381,FIND(" ",I4381)-1)),""),"")</f>
        <v>93</v>
      </c>
      <c r="O4381" s="7" t="str">
        <f aca="false">IF(B4381="TV Show",IFERROR(VALUE(LEFT(I4381,FIND(" ",I4381)-1)),""),"")</f>
        <v/>
      </c>
      <c r="P4381" s="7" t="n">
        <f aca="false">IF(K4381="","",K4381-G4381)</f>
        <v>0</v>
      </c>
    </row>
    <row r="4382" customFormat="false" ht="15" hidden="false" customHeight="false" outlineLevel="0" collapsed="false">
      <c r="A4382" s="7" t="n">
        <v>80131551</v>
      </c>
      <c r="B4382" s="7" t="s">
        <v>68</v>
      </c>
      <c r="C4382" s="7" t="s">
        <v>8981</v>
      </c>
      <c r="D4382" s="7" t="s">
        <v>8982</v>
      </c>
      <c r="E4382" s="7" t="s">
        <v>26</v>
      </c>
      <c r="F4382" s="7" t="s">
        <v>8978</v>
      </c>
      <c r="G4382" s="7" t="n">
        <v>2016</v>
      </c>
      <c r="H4382" s="7" t="s">
        <v>52</v>
      </c>
      <c r="I4382" s="7" t="s">
        <v>820</v>
      </c>
      <c r="J4382" s="7" t="s">
        <v>37</v>
      </c>
      <c r="K4382" s="7" t="n">
        <f aca="false">IFERROR(VALUE(RIGHT(TRIM(F4382),4)),"")</f>
        <v>2018</v>
      </c>
      <c r="L4382" s="7" t="str">
        <f aca="false">IF(TRIM(E4382)="","Unknown",IFERROR(LEFT(TRIM(E4382),FIND(",",TRIM(E4382))-1),TRIM(E4382)))</f>
        <v>United States</v>
      </c>
      <c r="M4382" s="7" t="str">
        <f aca="false">IFERROR(LEFT(J4382,FIND(",",J4382)-1),J4382)</f>
        <v>Dramas</v>
      </c>
      <c r="N4382" s="7" t="n">
        <f aca="false">IF(B4382="Movie",IFERROR(VALUE(LEFT(I4382,FIND(" ",I4382)-1)),""),"")</f>
        <v>105</v>
      </c>
      <c r="O4382" s="7" t="str">
        <f aca="false">IF(B4382="TV Show",IFERROR(VALUE(LEFT(I4382,FIND(" ",I4382)-1)),""),"")</f>
        <v/>
      </c>
      <c r="P4382" s="7" t="n">
        <f aca="false">IF(K4382="","",K4382-G4382)</f>
        <v>2</v>
      </c>
    </row>
    <row r="4383" customFormat="false" ht="15" hidden="false" customHeight="false" outlineLevel="0" collapsed="false">
      <c r="A4383" s="7" t="n">
        <v>81032874</v>
      </c>
      <c r="B4383" s="7" t="s">
        <v>78</v>
      </c>
      <c r="C4383" s="7" t="s">
        <v>8983</v>
      </c>
      <c r="F4383" s="7" t="s">
        <v>8978</v>
      </c>
      <c r="G4383" s="7" t="n">
        <v>2018</v>
      </c>
      <c r="H4383" s="7" t="s">
        <v>49</v>
      </c>
      <c r="I4383" s="7" t="s">
        <v>82</v>
      </c>
      <c r="J4383" s="7" t="s">
        <v>314</v>
      </c>
      <c r="K4383" s="7" t="n">
        <f aca="false">IFERROR(VALUE(RIGHT(TRIM(F4383),4)),"")</f>
        <v>2018</v>
      </c>
      <c r="L4383" s="7" t="str">
        <f aca="false">IF(TRIM(E4383)="","Unknown",IFERROR(LEFT(TRIM(E4383),FIND(",",TRIM(E4383))-1),TRIM(E4383)))</f>
        <v>Unknown</v>
      </c>
      <c r="M4383" s="7" t="str">
        <f aca="false">IFERROR(LEFT(J4383,FIND(",",J4383)-1),J4383)</f>
        <v>International TV Shows</v>
      </c>
      <c r="N4383" s="7" t="str">
        <f aca="false">IF(B4383="Movie",IFERROR(VALUE(LEFT(I4383,FIND(" ",I4383)-1)),""),"")</f>
        <v/>
      </c>
      <c r="O4383" s="7" t="n">
        <f aca="false">IF(B4383="TV Show",IFERROR(VALUE(LEFT(I4383,FIND(" ",I4383)-1)),""),"")</f>
        <v>1</v>
      </c>
      <c r="P4383" s="7" t="n">
        <f aca="false">IF(K4383="","",K4383-G4383)</f>
        <v>0</v>
      </c>
    </row>
    <row r="4384" customFormat="false" ht="15" hidden="false" customHeight="false" outlineLevel="0" collapsed="false">
      <c r="A4384" s="7" t="n">
        <v>80165247</v>
      </c>
      <c r="B4384" s="7" t="s">
        <v>78</v>
      </c>
      <c r="C4384" s="7" t="s">
        <v>8984</v>
      </c>
      <c r="E4384" s="7" t="s">
        <v>1182</v>
      </c>
      <c r="F4384" s="7" t="s">
        <v>8985</v>
      </c>
      <c r="G4384" s="7" t="n">
        <v>2017</v>
      </c>
      <c r="H4384" s="7" t="s">
        <v>49</v>
      </c>
      <c r="I4384" s="7" t="s">
        <v>82</v>
      </c>
      <c r="J4384" s="7" t="s">
        <v>1637</v>
      </c>
      <c r="K4384" s="7" t="n">
        <f aca="false">IFERROR(VALUE(RIGHT(TRIM(F4384),4)),"")</f>
        <v>2017</v>
      </c>
      <c r="L4384" s="7" t="str">
        <f aca="false">IF(TRIM(E4384)="","Unknown",IFERROR(LEFT(TRIM(E4384),FIND(",",TRIM(E4384))-1),TRIM(E4384)))</f>
        <v>Australia</v>
      </c>
      <c r="M4384" s="7" t="str">
        <f aca="false">IFERROR(LEFT(J4384,FIND(",",J4384)-1),J4384)</f>
        <v>Docuseries</v>
      </c>
      <c r="N4384" s="7" t="str">
        <f aca="false">IF(B4384="Movie",IFERROR(VALUE(LEFT(I4384,FIND(" ",I4384)-1)),""),"")</f>
        <v/>
      </c>
      <c r="O4384" s="7" t="n">
        <f aca="false">IF(B4384="TV Show",IFERROR(VALUE(LEFT(I4384,FIND(" ",I4384)-1)),""),"")</f>
        <v>1</v>
      </c>
      <c r="P4384" s="7" t="n">
        <f aca="false">IF(K4384="","",K4384-G4384)</f>
        <v>0</v>
      </c>
    </row>
    <row r="4385" customFormat="false" ht="15" hidden="false" customHeight="false" outlineLevel="0" collapsed="false">
      <c r="A4385" s="7" t="n">
        <v>80119234</v>
      </c>
      <c r="B4385" s="7" t="s">
        <v>68</v>
      </c>
      <c r="C4385" s="7" t="s">
        <v>8986</v>
      </c>
      <c r="D4385" s="7" t="s">
        <v>2683</v>
      </c>
      <c r="E4385" s="7" t="s">
        <v>26</v>
      </c>
      <c r="F4385" s="7" t="s">
        <v>8985</v>
      </c>
      <c r="G4385" s="7" t="n">
        <v>2017</v>
      </c>
      <c r="H4385" s="7" t="s">
        <v>48</v>
      </c>
      <c r="I4385" s="7" t="s">
        <v>1270</v>
      </c>
      <c r="J4385" s="7" t="s">
        <v>276</v>
      </c>
      <c r="K4385" s="7" t="n">
        <f aca="false">IFERROR(VALUE(RIGHT(TRIM(F4385),4)),"")</f>
        <v>2017</v>
      </c>
      <c r="L4385" s="7" t="str">
        <f aca="false">IF(TRIM(E4385)="","Unknown",IFERROR(LEFT(TRIM(E4385),FIND(",",TRIM(E4385))-1),TRIM(E4385)))</f>
        <v>United States</v>
      </c>
      <c r="M4385" s="7" t="str">
        <f aca="false">IFERROR(LEFT(J4385,FIND(",",J4385)-1),J4385)</f>
        <v>Action &amp; Adventure</v>
      </c>
      <c r="N4385" s="7" t="n">
        <f aca="false">IF(B4385="Movie",IFERROR(VALUE(LEFT(I4385,FIND(" ",I4385)-1)),""),"")</f>
        <v>118</v>
      </c>
      <c r="O4385" s="7" t="str">
        <f aca="false">IF(B4385="TV Show",IFERROR(VALUE(LEFT(I4385,FIND(" ",I4385)-1)),""),"")</f>
        <v/>
      </c>
      <c r="P4385" s="7" t="n">
        <f aca="false">IF(K4385="","",K4385-G4385)</f>
        <v>0</v>
      </c>
    </row>
    <row r="4386" customFormat="false" ht="15" hidden="false" customHeight="false" outlineLevel="0" collapsed="false">
      <c r="A4386" s="7" t="n">
        <v>80229953</v>
      </c>
      <c r="B4386" s="7" t="s">
        <v>68</v>
      </c>
      <c r="C4386" s="7" t="s">
        <v>8987</v>
      </c>
      <c r="D4386" s="7" t="s">
        <v>3420</v>
      </c>
      <c r="E4386" s="7" t="s">
        <v>27</v>
      </c>
      <c r="F4386" s="7" t="s">
        <v>8985</v>
      </c>
      <c r="G4386" s="7" t="n">
        <v>2004</v>
      </c>
      <c r="H4386" s="7" t="s">
        <v>50</v>
      </c>
      <c r="I4386" s="7" t="s">
        <v>727</v>
      </c>
      <c r="J4386" s="7" t="s">
        <v>341</v>
      </c>
      <c r="K4386" s="7" t="n">
        <f aca="false">IFERROR(VALUE(RIGHT(TRIM(F4386),4)),"")</f>
        <v>2017</v>
      </c>
      <c r="L4386" s="7" t="str">
        <f aca="false">IF(TRIM(E4386)="","Unknown",IFERROR(LEFT(TRIM(E4386),FIND(",",TRIM(E4386))-1),TRIM(E4386)))</f>
        <v>India</v>
      </c>
      <c r="M4386" s="7" t="str">
        <f aca="false">IFERROR(LEFT(J4386,FIND(",",J4386)-1),J4386)</f>
        <v>Documentaries</v>
      </c>
      <c r="N4386" s="7" t="n">
        <f aca="false">IF(B4386="Movie",IFERROR(VALUE(LEFT(I4386,FIND(" ",I4386)-1)),""),"")</f>
        <v>141</v>
      </c>
      <c r="O4386" s="7" t="str">
        <f aca="false">IF(B4386="TV Show",IFERROR(VALUE(LEFT(I4386,FIND(" ",I4386)-1)),""),"")</f>
        <v/>
      </c>
      <c r="P4386" s="7" t="n">
        <f aca="false">IF(K4386="","",K4386-G4386)</f>
        <v>13</v>
      </c>
    </row>
    <row r="4387" customFormat="false" ht="15" hidden="false" customHeight="false" outlineLevel="0" collapsed="false">
      <c r="A4387" s="7" t="n">
        <v>81108479</v>
      </c>
      <c r="B4387" s="7" t="s">
        <v>68</v>
      </c>
      <c r="C4387" s="7" t="s">
        <v>8988</v>
      </c>
      <c r="D4387" s="7" t="s">
        <v>8989</v>
      </c>
      <c r="E4387" s="7" t="s">
        <v>35</v>
      </c>
      <c r="F4387" s="7" t="s">
        <v>8990</v>
      </c>
      <c r="G4387" s="7" t="n">
        <v>2019</v>
      </c>
      <c r="H4387" s="7" t="s">
        <v>226</v>
      </c>
      <c r="I4387" s="7" t="s">
        <v>212</v>
      </c>
      <c r="J4387" s="7" t="s">
        <v>8991</v>
      </c>
      <c r="K4387" s="7" t="n">
        <f aca="false">IFERROR(VALUE(RIGHT(TRIM(F4387),4)),"")</f>
        <v>2019</v>
      </c>
      <c r="L4387" s="7" t="str">
        <f aca="false">IF(TRIM(E4387)="","Unknown",IFERROR(LEFT(TRIM(E4387),FIND(",",TRIM(E4387))-1),TRIM(E4387)))</f>
        <v>Australia</v>
      </c>
      <c r="M4387" s="7" t="str">
        <f aca="false">IFERROR(LEFT(J4387,FIND(",",J4387)-1),J4387)</f>
        <v>Children &amp; Family Movies</v>
      </c>
      <c r="N4387" s="7" t="n">
        <f aca="false">IF(B4387="Movie",IFERROR(VALUE(LEFT(I4387,FIND(" ",I4387)-1)),""),"")</f>
        <v>86</v>
      </c>
      <c r="O4387" s="7" t="str">
        <f aca="false">IF(B4387="TV Show",IFERROR(VALUE(LEFT(I4387,FIND(" ",I4387)-1)),""),"")</f>
        <v/>
      </c>
      <c r="P4387" s="7" t="n">
        <f aca="false">IF(K4387="","",K4387-G4387)</f>
        <v>0</v>
      </c>
    </row>
    <row r="4388" customFormat="false" ht="15" hidden="false" customHeight="false" outlineLevel="0" collapsed="false">
      <c r="A4388" s="7" t="n">
        <v>81172830</v>
      </c>
      <c r="B4388" s="7" t="s">
        <v>68</v>
      </c>
      <c r="C4388" s="7" t="s">
        <v>8992</v>
      </c>
      <c r="D4388" s="7" t="s">
        <v>8993</v>
      </c>
      <c r="E4388" s="7" t="s">
        <v>527</v>
      </c>
      <c r="F4388" s="7" t="s">
        <v>8990</v>
      </c>
      <c r="G4388" s="7" t="n">
        <v>2017</v>
      </c>
      <c r="H4388" s="7" t="s">
        <v>49</v>
      </c>
      <c r="I4388" s="7" t="s">
        <v>212</v>
      </c>
      <c r="J4388" s="7" t="s">
        <v>202</v>
      </c>
      <c r="K4388" s="7" t="n">
        <f aca="false">IFERROR(VALUE(RIGHT(TRIM(F4388),4)),"")</f>
        <v>2019</v>
      </c>
      <c r="L4388" s="7" t="str">
        <f aca="false">IF(TRIM(E4388)="","Unknown",IFERROR(LEFT(TRIM(E4388),FIND(",",TRIM(E4388))-1),TRIM(E4388)))</f>
        <v>Nigeria</v>
      </c>
      <c r="M4388" s="7" t="str">
        <f aca="false">IFERROR(LEFT(J4388,FIND(",",J4388)-1),J4388)</f>
        <v>Comedies</v>
      </c>
      <c r="N4388" s="7" t="n">
        <f aca="false">IF(B4388="Movie",IFERROR(VALUE(LEFT(I4388,FIND(" ",I4388)-1)),""),"")</f>
        <v>86</v>
      </c>
      <c r="O4388" s="7" t="str">
        <f aca="false">IF(B4388="TV Show",IFERROR(VALUE(LEFT(I4388,FIND(" ",I4388)-1)),""),"")</f>
        <v/>
      </c>
      <c r="P4388" s="7" t="n">
        <f aca="false">IF(K4388="","",K4388-G4388)</f>
        <v>2</v>
      </c>
    </row>
    <row r="4389" customFormat="false" ht="15" hidden="false" customHeight="false" outlineLevel="0" collapsed="false">
      <c r="A4389" s="7" t="n">
        <v>80207124</v>
      </c>
      <c r="B4389" s="7" t="s">
        <v>78</v>
      </c>
      <c r="C4389" s="7" t="s">
        <v>8994</v>
      </c>
      <c r="E4389" s="7" t="s">
        <v>26</v>
      </c>
      <c r="F4389" s="7" t="s">
        <v>8995</v>
      </c>
      <c r="G4389" s="7" t="n">
        <v>2018</v>
      </c>
      <c r="H4389" s="7" t="s">
        <v>50</v>
      </c>
      <c r="I4389" s="7" t="s">
        <v>82</v>
      </c>
      <c r="J4389" s="7" t="s">
        <v>164</v>
      </c>
      <c r="K4389" s="7" t="n">
        <f aca="false">IFERROR(VALUE(RIGHT(TRIM(F4389),4)),"")</f>
        <v>2018</v>
      </c>
      <c r="L4389" s="7" t="str">
        <f aca="false">IF(TRIM(E4389)="","Unknown",IFERROR(LEFT(TRIM(E4389),FIND(",",TRIM(E4389))-1),TRIM(E4389)))</f>
        <v>United States</v>
      </c>
      <c r="M4389" s="7" t="str">
        <f aca="false">IFERROR(LEFT(J4389,FIND(",",J4389)-1),J4389)</f>
        <v>Docuseries</v>
      </c>
      <c r="N4389" s="7" t="str">
        <f aca="false">IF(B4389="Movie",IFERROR(VALUE(LEFT(I4389,FIND(" ",I4389)-1)),""),"")</f>
        <v/>
      </c>
      <c r="O4389" s="7" t="n">
        <f aca="false">IF(B4389="TV Show",IFERROR(VALUE(LEFT(I4389,FIND(" ",I4389)-1)),""),"")</f>
        <v>1</v>
      </c>
      <c r="P4389" s="7" t="n">
        <f aca="false">IF(K4389="","",K4389-G4389)</f>
        <v>0</v>
      </c>
    </row>
    <row r="4390" customFormat="false" ht="15" hidden="false" customHeight="false" outlineLevel="0" collapsed="false">
      <c r="A4390" s="7" t="n">
        <v>80999643</v>
      </c>
      <c r="B4390" s="7" t="s">
        <v>68</v>
      </c>
      <c r="C4390" s="7" t="s">
        <v>8996</v>
      </c>
      <c r="D4390" s="7" t="s">
        <v>8997</v>
      </c>
      <c r="E4390" s="7" t="s">
        <v>129</v>
      </c>
      <c r="F4390" s="7" t="s">
        <v>8995</v>
      </c>
      <c r="G4390" s="7" t="n">
        <v>2018</v>
      </c>
      <c r="H4390" s="7" t="s">
        <v>48</v>
      </c>
      <c r="I4390" s="7" t="s">
        <v>820</v>
      </c>
      <c r="J4390" s="7" t="s">
        <v>217</v>
      </c>
      <c r="K4390" s="7" t="n">
        <f aca="false">IFERROR(VALUE(RIGHT(TRIM(F4390),4)),"")</f>
        <v>2018</v>
      </c>
      <c r="L4390" s="7" t="str">
        <f aca="false">IF(TRIM(E4390)="","Unknown",IFERROR(LEFT(TRIM(E4390),FIND(",",TRIM(E4390))-1),TRIM(E4390)))</f>
        <v>France</v>
      </c>
      <c r="M4390" s="7" t="str">
        <f aca="false">IFERROR(LEFT(J4390,FIND(",",J4390)-1),J4390)</f>
        <v>Comedies</v>
      </c>
      <c r="N4390" s="7" t="n">
        <f aca="false">IF(B4390="Movie",IFERROR(VALUE(LEFT(I4390,FIND(" ",I4390)-1)),""),"")</f>
        <v>105</v>
      </c>
      <c r="O4390" s="7" t="str">
        <f aca="false">IF(B4390="TV Show",IFERROR(VALUE(LEFT(I4390,FIND(" ",I4390)-1)),""),"")</f>
        <v/>
      </c>
      <c r="P4390" s="7" t="n">
        <f aca="false">IF(K4390="","",K4390-G4390)</f>
        <v>0</v>
      </c>
    </row>
    <row r="4391" customFormat="false" ht="15" hidden="false" customHeight="false" outlineLevel="0" collapsed="false">
      <c r="A4391" s="7" t="n">
        <v>80196789</v>
      </c>
      <c r="B4391" s="7" t="s">
        <v>68</v>
      </c>
      <c r="C4391" s="7" t="s">
        <v>8998</v>
      </c>
      <c r="D4391" s="7" t="s">
        <v>8999</v>
      </c>
      <c r="E4391" s="7" t="s">
        <v>26</v>
      </c>
      <c r="F4391" s="7" t="s">
        <v>8995</v>
      </c>
      <c r="G4391" s="7" t="n">
        <v>2018</v>
      </c>
      <c r="H4391" s="7" t="s">
        <v>51</v>
      </c>
      <c r="I4391" s="7" t="s">
        <v>549</v>
      </c>
      <c r="J4391" s="7" t="s">
        <v>400</v>
      </c>
      <c r="K4391" s="7" t="n">
        <f aca="false">IFERROR(VALUE(RIGHT(TRIM(F4391),4)),"")</f>
        <v>2018</v>
      </c>
      <c r="L4391" s="7" t="str">
        <f aca="false">IF(TRIM(E4391)="","Unknown",IFERROR(LEFT(TRIM(E4391),FIND(",",TRIM(E4391))-1),TRIM(E4391)))</f>
        <v>United States</v>
      </c>
      <c r="M4391" s="7" t="str">
        <f aca="false">IFERROR(LEFT(J4391,FIND(",",J4391)-1),J4391)</f>
        <v>Dramas</v>
      </c>
      <c r="N4391" s="7" t="n">
        <f aca="false">IF(B4391="Movie",IFERROR(VALUE(LEFT(I4391,FIND(" ",I4391)-1)),""),"")</f>
        <v>124</v>
      </c>
      <c r="O4391" s="7" t="str">
        <f aca="false">IF(B4391="TV Show",IFERROR(VALUE(LEFT(I4391,FIND(" ",I4391)-1)),""),"")</f>
        <v/>
      </c>
      <c r="P4391" s="7" t="n">
        <f aca="false">IF(K4391="","",K4391-G4391)</f>
        <v>0</v>
      </c>
    </row>
    <row r="4392" customFormat="false" ht="15" hidden="false" customHeight="false" outlineLevel="0" collapsed="false">
      <c r="A4392" s="7" t="n">
        <v>80172145</v>
      </c>
      <c r="B4392" s="7" t="s">
        <v>78</v>
      </c>
      <c r="C4392" s="7" t="s">
        <v>9000</v>
      </c>
      <c r="E4392" s="7" t="s">
        <v>34</v>
      </c>
      <c r="F4392" s="7" t="s">
        <v>8995</v>
      </c>
      <c r="G4392" s="7" t="n">
        <v>2018</v>
      </c>
      <c r="H4392" s="7" t="s">
        <v>48</v>
      </c>
      <c r="I4392" s="7" t="s">
        <v>82</v>
      </c>
      <c r="J4392" s="7" t="s">
        <v>9001</v>
      </c>
      <c r="K4392" s="7" t="n">
        <f aca="false">IFERROR(VALUE(RIGHT(TRIM(F4392),4)),"")</f>
        <v>2018</v>
      </c>
      <c r="L4392" s="7" t="str">
        <f aca="false">IF(TRIM(E4392)="","Unknown",IFERROR(LEFT(TRIM(E4392),FIND(",",TRIM(E4392))-1),TRIM(E4392)))</f>
        <v>Mexico</v>
      </c>
      <c r="M4392" s="7" t="str">
        <f aca="false">IFERROR(LEFT(J4392,FIND(",",J4392)-1),J4392)</f>
        <v>International TV Shows</v>
      </c>
      <c r="N4392" s="7" t="str">
        <f aca="false">IF(B4392="Movie",IFERROR(VALUE(LEFT(I4392,FIND(" ",I4392)-1)),""),"")</f>
        <v/>
      </c>
      <c r="O4392" s="7" t="n">
        <f aca="false">IF(B4392="TV Show",IFERROR(VALUE(LEFT(I4392,FIND(" ",I4392)-1)),""),"")</f>
        <v>1</v>
      </c>
      <c r="P4392" s="7" t="n">
        <f aca="false">IF(K4392="","",K4392-G4392)</f>
        <v>0</v>
      </c>
    </row>
    <row r="4393" customFormat="false" ht="15" hidden="false" customHeight="false" outlineLevel="0" collapsed="false">
      <c r="A4393" s="7" t="n">
        <v>81032872</v>
      </c>
      <c r="B4393" s="7" t="s">
        <v>78</v>
      </c>
      <c r="C4393" s="7" t="s">
        <v>9002</v>
      </c>
      <c r="E4393" s="7" t="s">
        <v>970</v>
      </c>
      <c r="F4393" s="7" t="s">
        <v>8995</v>
      </c>
      <c r="G4393" s="7" t="n">
        <v>2017</v>
      </c>
      <c r="H4393" s="7" t="s">
        <v>49</v>
      </c>
      <c r="I4393" s="7" t="s">
        <v>82</v>
      </c>
      <c r="J4393" s="7" t="s">
        <v>158</v>
      </c>
      <c r="K4393" s="7" t="n">
        <f aca="false">IFERROR(VALUE(RIGHT(TRIM(F4393),4)),"")</f>
        <v>2018</v>
      </c>
      <c r="L4393" s="7" t="str">
        <f aca="false">IF(TRIM(E4393)="","Unknown",IFERROR(LEFT(TRIM(E4393),FIND(",",TRIM(E4393))-1),TRIM(E4393)))</f>
        <v>Taiwan</v>
      </c>
      <c r="M4393" s="7" t="str">
        <f aca="false">IFERROR(LEFT(J4393,FIND(",",J4393)-1),J4393)</f>
        <v>International TV Shows</v>
      </c>
      <c r="N4393" s="7" t="str">
        <f aca="false">IF(B4393="Movie",IFERROR(VALUE(LEFT(I4393,FIND(" ",I4393)-1)),""),"")</f>
        <v/>
      </c>
      <c r="O4393" s="7" t="n">
        <f aca="false">IF(B4393="TV Show",IFERROR(VALUE(LEFT(I4393,FIND(" ",I4393)-1)),""),"")</f>
        <v>1</v>
      </c>
      <c r="P4393" s="7" t="n">
        <f aca="false">IF(K4393="","",K4393-G4393)</f>
        <v>1</v>
      </c>
    </row>
    <row r="4394" customFormat="false" ht="15" hidden="false" customHeight="false" outlineLevel="0" collapsed="false">
      <c r="A4394" s="7" t="n">
        <v>81032873</v>
      </c>
      <c r="B4394" s="7" t="s">
        <v>78</v>
      </c>
      <c r="C4394" s="7" t="s">
        <v>9003</v>
      </c>
      <c r="E4394" s="7" t="s">
        <v>970</v>
      </c>
      <c r="F4394" s="7" t="s">
        <v>8995</v>
      </c>
      <c r="G4394" s="7" t="n">
        <v>2017</v>
      </c>
      <c r="H4394" s="7" t="s">
        <v>49</v>
      </c>
      <c r="I4394" s="7" t="s">
        <v>82</v>
      </c>
      <c r="J4394" s="7" t="s">
        <v>158</v>
      </c>
      <c r="K4394" s="7" t="n">
        <f aca="false">IFERROR(VALUE(RIGHT(TRIM(F4394),4)),"")</f>
        <v>2018</v>
      </c>
      <c r="L4394" s="7" t="str">
        <f aca="false">IF(TRIM(E4394)="","Unknown",IFERROR(LEFT(TRIM(E4394),FIND(",",TRIM(E4394))-1),TRIM(E4394)))</f>
        <v>Taiwan</v>
      </c>
      <c r="M4394" s="7" t="str">
        <f aca="false">IFERROR(LEFT(J4394,FIND(",",J4394)-1),J4394)</f>
        <v>International TV Shows</v>
      </c>
      <c r="N4394" s="7" t="str">
        <f aca="false">IF(B4394="Movie",IFERROR(VALUE(LEFT(I4394,FIND(" ",I4394)-1)),""),"")</f>
        <v/>
      </c>
      <c r="O4394" s="7" t="n">
        <f aca="false">IF(B4394="TV Show",IFERROR(VALUE(LEFT(I4394,FIND(" ",I4394)-1)),""),"")</f>
        <v>1</v>
      </c>
      <c r="P4394" s="7" t="n">
        <f aca="false">IF(K4394="","",K4394-G4394)</f>
        <v>1</v>
      </c>
    </row>
    <row r="4395" customFormat="false" ht="15" hidden="false" customHeight="false" outlineLevel="0" collapsed="false">
      <c r="A4395" s="7" t="n">
        <v>81032867</v>
      </c>
      <c r="B4395" s="7" t="s">
        <v>78</v>
      </c>
      <c r="C4395" s="7" t="s">
        <v>9004</v>
      </c>
      <c r="E4395" s="7" t="s">
        <v>970</v>
      </c>
      <c r="F4395" s="7" t="s">
        <v>8995</v>
      </c>
      <c r="G4395" s="7" t="n">
        <v>2016</v>
      </c>
      <c r="H4395" s="7" t="s">
        <v>49</v>
      </c>
      <c r="I4395" s="7" t="s">
        <v>82</v>
      </c>
      <c r="J4395" s="7" t="s">
        <v>314</v>
      </c>
      <c r="K4395" s="7" t="n">
        <f aca="false">IFERROR(VALUE(RIGHT(TRIM(F4395),4)),"")</f>
        <v>2018</v>
      </c>
      <c r="L4395" s="7" t="str">
        <f aca="false">IF(TRIM(E4395)="","Unknown",IFERROR(LEFT(TRIM(E4395),FIND(",",TRIM(E4395))-1),TRIM(E4395)))</f>
        <v>Taiwan</v>
      </c>
      <c r="M4395" s="7" t="str">
        <f aca="false">IFERROR(LEFT(J4395,FIND(",",J4395)-1),J4395)</f>
        <v>International TV Shows</v>
      </c>
      <c r="N4395" s="7" t="str">
        <f aca="false">IF(B4395="Movie",IFERROR(VALUE(LEFT(I4395,FIND(" ",I4395)-1)),""),"")</f>
        <v/>
      </c>
      <c r="O4395" s="7" t="n">
        <f aca="false">IF(B4395="TV Show",IFERROR(VALUE(LEFT(I4395,FIND(" ",I4395)-1)),""),"")</f>
        <v>1</v>
      </c>
      <c r="P4395" s="7" t="n">
        <f aca="false">IF(K4395="","",K4395-G4395)</f>
        <v>2</v>
      </c>
    </row>
    <row r="4396" customFormat="false" ht="15" hidden="false" customHeight="false" outlineLevel="0" collapsed="false">
      <c r="A4396" s="7" t="n">
        <v>80200596</v>
      </c>
      <c r="B4396" s="7" t="s">
        <v>78</v>
      </c>
      <c r="C4396" s="7" t="s">
        <v>9005</v>
      </c>
      <c r="E4396" s="7" t="s">
        <v>1081</v>
      </c>
      <c r="F4396" s="7" t="s">
        <v>8995</v>
      </c>
      <c r="G4396" s="7" t="n">
        <v>2018</v>
      </c>
      <c r="H4396" s="7" t="s">
        <v>48</v>
      </c>
      <c r="I4396" s="7" t="s">
        <v>82</v>
      </c>
      <c r="J4396" s="7" t="s">
        <v>402</v>
      </c>
      <c r="K4396" s="7" t="n">
        <f aca="false">IFERROR(VALUE(RIGHT(TRIM(F4396),4)),"")</f>
        <v>2018</v>
      </c>
      <c r="L4396" s="7" t="str">
        <f aca="false">IF(TRIM(E4396)="","Unknown",IFERROR(LEFT(TRIM(E4396),FIND(",",TRIM(E4396))-1),TRIM(E4396)))</f>
        <v>Germany</v>
      </c>
      <c r="M4396" s="7" t="str">
        <f aca="false">IFERROR(LEFT(J4396,FIND(",",J4396)-1),J4396)</f>
        <v>Crime TV Shows</v>
      </c>
      <c r="N4396" s="7" t="str">
        <f aca="false">IF(B4396="Movie",IFERROR(VALUE(LEFT(I4396,FIND(" ",I4396)-1)),""),"")</f>
        <v/>
      </c>
      <c r="O4396" s="7" t="n">
        <f aca="false">IF(B4396="TV Show",IFERROR(VALUE(LEFT(I4396,FIND(" ",I4396)-1)),""),"")</f>
        <v>1</v>
      </c>
      <c r="P4396" s="7" t="n">
        <f aca="false">IF(K4396="","",K4396-G4396)</f>
        <v>0</v>
      </c>
    </row>
    <row r="4397" customFormat="false" ht="15" hidden="false" customHeight="false" outlineLevel="0" collapsed="false">
      <c r="A4397" s="7" t="n">
        <v>80997339</v>
      </c>
      <c r="B4397" s="7" t="s">
        <v>78</v>
      </c>
      <c r="C4397" s="7" t="s">
        <v>9006</v>
      </c>
      <c r="E4397" s="7" t="s">
        <v>30</v>
      </c>
      <c r="F4397" s="7" t="s">
        <v>8995</v>
      </c>
      <c r="G4397" s="7" t="n">
        <v>2018</v>
      </c>
      <c r="H4397" s="7" t="s">
        <v>48</v>
      </c>
      <c r="I4397" s="7" t="s">
        <v>82</v>
      </c>
      <c r="J4397" s="7" t="s">
        <v>9007</v>
      </c>
      <c r="K4397" s="7" t="n">
        <f aca="false">IFERROR(VALUE(RIGHT(TRIM(F4397),4)),"")</f>
        <v>2018</v>
      </c>
      <c r="L4397" s="7" t="str">
        <f aca="false">IF(TRIM(E4397)="","Unknown",IFERROR(LEFT(TRIM(E4397),FIND(",",TRIM(E4397))-1),TRIM(E4397)))</f>
        <v>Japan</v>
      </c>
      <c r="M4397" s="7" t="str">
        <f aca="false">IFERROR(LEFT(J4397,FIND(",",J4397)-1),J4397)</f>
        <v>Anime Series</v>
      </c>
      <c r="N4397" s="7" t="str">
        <f aca="false">IF(B4397="Movie",IFERROR(VALUE(LEFT(I4397,FIND(" ",I4397)-1)),""),"")</f>
        <v/>
      </c>
      <c r="O4397" s="7" t="n">
        <f aca="false">IF(B4397="TV Show",IFERROR(VALUE(LEFT(I4397,FIND(" ",I4397)-1)),""),"")</f>
        <v>1</v>
      </c>
      <c r="P4397" s="7" t="n">
        <f aca="false">IF(K4397="","",K4397-G4397)</f>
        <v>0</v>
      </c>
    </row>
    <row r="4398" customFormat="false" ht="15" hidden="false" customHeight="false" outlineLevel="0" collapsed="false">
      <c r="A4398" s="7" t="n">
        <v>80109551</v>
      </c>
      <c r="B4398" s="7" t="s">
        <v>68</v>
      </c>
      <c r="C4398" s="7" t="s">
        <v>9008</v>
      </c>
      <c r="D4398" s="7" t="s">
        <v>9009</v>
      </c>
      <c r="E4398" s="7" t="s">
        <v>2532</v>
      </c>
      <c r="F4398" s="7" t="s">
        <v>8995</v>
      </c>
      <c r="G4398" s="7" t="n">
        <v>2018</v>
      </c>
      <c r="H4398" s="7" t="s">
        <v>48</v>
      </c>
      <c r="I4398" s="7" t="s">
        <v>820</v>
      </c>
      <c r="J4398" s="7" t="s">
        <v>39</v>
      </c>
      <c r="K4398" s="7" t="n">
        <f aca="false">IFERROR(VALUE(RIGHT(TRIM(F4398),4)),"")</f>
        <v>2018</v>
      </c>
      <c r="L4398" s="7" t="str">
        <f aca="false">IF(TRIM(E4398)="","Unknown",IFERROR(LEFT(TRIM(E4398),FIND(",",TRIM(E4398))-1),TRIM(E4398)))</f>
        <v>Poland</v>
      </c>
      <c r="M4398" s="7" t="str">
        <f aca="false">IFERROR(LEFT(J4398,FIND(",",J4398)-1),J4398)</f>
        <v>Documentaries</v>
      </c>
      <c r="N4398" s="7" t="n">
        <f aca="false">IF(B4398="Movie",IFERROR(VALUE(LEFT(I4398,FIND(" ",I4398)-1)),""),"")</f>
        <v>105</v>
      </c>
      <c r="O4398" s="7" t="str">
        <f aca="false">IF(B4398="TV Show",IFERROR(VALUE(LEFT(I4398,FIND(" ",I4398)-1)),""),"")</f>
        <v/>
      </c>
      <c r="P4398" s="7" t="n">
        <f aca="false">IF(K4398="","",K4398-G4398)</f>
        <v>0</v>
      </c>
    </row>
    <row r="4399" customFormat="false" ht="15" hidden="false" customHeight="false" outlineLevel="0" collapsed="false">
      <c r="A4399" s="7" t="n">
        <v>81020973</v>
      </c>
      <c r="B4399" s="7" t="s">
        <v>68</v>
      </c>
      <c r="C4399" s="7" t="s">
        <v>9010</v>
      </c>
      <c r="D4399" s="7" t="s">
        <v>8810</v>
      </c>
      <c r="E4399" s="7" t="s">
        <v>325</v>
      </c>
      <c r="F4399" s="7" t="s">
        <v>8995</v>
      </c>
      <c r="G4399" s="7" t="n">
        <v>2018</v>
      </c>
      <c r="H4399" s="7" t="s">
        <v>48</v>
      </c>
      <c r="I4399" s="7" t="s">
        <v>2198</v>
      </c>
      <c r="J4399" s="7" t="s">
        <v>202</v>
      </c>
      <c r="K4399" s="7" t="n">
        <f aca="false">IFERROR(VALUE(RIGHT(TRIM(F4399),4)),"")</f>
        <v>2018</v>
      </c>
      <c r="L4399" s="7" t="str">
        <f aca="false">IF(TRIM(E4399)="","Unknown",IFERROR(LEFT(TRIM(E4399),FIND(",",TRIM(E4399))-1),TRIM(E4399)))</f>
        <v>Brazil</v>
      </c>
      <c r="M4399" s="7" t="str">
        <f aca="false">IFERROR(LEFT(J4399,FIND(",",J4399)-1),J4399)</f>
        <v>Comedies</v>
      </c>
      <c r="N4399" s="7" t="n">
        <f aca="false">IF(B4399="Movie",IFERROR(VALUE(LEFT(I4399,FIND(" ",I4399)-1)),""),"")</f>
        <v>44</v>
      </c>
      <c r="O4399" s="7" t="str">
        <f aca="false">IF(B4399="TV Show",IFERROR(VALUE(LEFT(I4399,FIND(" ",I4399)-1)),""),"")</f>
        <v/>
      </c>
      <c r="P4399" s="7" t="n">
        <f aca="false">IF(K4399="","",K4399-G4399)</f>
        <v>0</v>
      </c>
    </row>
    <row r="4400" customFormat="false" ht="15" hidden="false" customHeight="false" outlineLevel="0" collapsed="false">
      <c r="A4400" s="7" t="n">
        <v>81019341</v>
      </c>
      <c r="B4400" s="7" t="s">
        <v>68</v>
      </c>
      <c r="C4400" s="7" t="s">
        <v>9011</v>
      </c>
      <c r="D4400" s="7" t="s">
        <v>9012</v>
      </c>
      <c r="E4400" s="7" t="s">
        <v>26</v>
      </c>
      <c r="F4400" s="7" t="s">
        <v>8995</v>
      </c>
      <c r="G4400" s="7" t="n">
        <v>2018</v>
      </c>
      <c r="H4400" s="7" t="s">
        <v>49</v>
      </c>
      <c r="I4400" s="7" t="s">
        <v>470</v>
      </c>
      <c r="J4400" s="7" t="s">
        <v>597</v>
      </c>
      <c r="K4400" s="7" t="n">
        <f aca="false">IFERROR(VALUE(RIGHT(TRIM(F4400),4)),"")</f>
        <v>2018</v>
      </c>
      <c r="L4400" s="7" t="str">
        <f aca="false">IF(TRIM(E4400)="","Unknown",IFERROR(LEFT(TRIM(E4400),FIND(",",TRIM(E4400))-1),TRIM(E4400)))</f>
        <v>United States</v>
      </c>
      <c r="M4400" s="7" t="str">
        <f aca="false">IFERROR(LEFT(J4400,FIND(",",J4400)-1),J4400)</f>
        <v>Dramas</v>
      </c>
      <c r="N4400" s="7" t="n">
        <f aca="false">IF(B4400="Movie",IFERROR(VALUE(LEFT(I4400,FIND(" ",I4400)-1)),""),"")</f>
        <v>91</v>
      </c>
      <c r="O4400" s="7" t="str">
        <f aca="false">IF(B4400="TV Show",IFERROR(VALUE(LEFT(I4400,FIND(" ",I4400)-1)),""),"")</f>
        <v/>
      </c>
      <c r="P4400" s="7" t="n">
        <f aca="false">IF(K4400="","",K4400-G4400)</f>
        <v>0</v>
      </c>
    </row>
    <row r="4401" customFormat="false" ht="15" hidden="false" customHeight="false" outlineLevel="0" collapsed="false">
      <c r="A4401" s="7" t="n">
        <v>81007175</v>
      </c>
      <c r="B4401" s="7" t="s">
        <v>78</v>
      </c>
      <c r="C4401" s="7" t="s">
        <v>9013</v>
      </c>
      <c r="E4401" s="7" t="s">
        <v>396</v>
      </c>
      <c r="F4401" s="7" t="s">
        <v>8995</v>
      </c>
      <c r="G4401" s="7" t="n">
        <v>2018</v>
      </c>
      <c r="H4401" s="7" t="s">
        <v>48</v>
      </c>
      <c r="I4401" s="7" t="s">
        <v>82</v>
      </c>
      <c r="J4401" s="7" t="s">
        <v>393</v>
      </c>
      <c r="K4401" s="7" t="n">
        <f aca="false">IFERROR(VALUE(RIGHT(TRIM(F4401),4)),"")</f>
        <v>2018</v>
      </c>
      <c r="L4401" s="7" t="str">
        <f aca="false">IF(TRIM(E4401)="","Unknown",IFERROR(LEFT(TRIM(E4401),FIND(",",TRIM(E4401))-1),TRIM(E4401)))</f>
        <v>Turkey</v>
      </c>
      <c r="M4401" s="7" t="str">
        <f aca="false">IFERROR(LEFT(J4401,FIND(",",J4401)-1),J4401)</f>
        <v>International TV Shows</v>
      </c>
      <c r="N4401" s="7" t="str">
        <f aca="false">IF(B4401="Movie",IFERROR(VALUE(LEFT(I4401,FIND(" ",I4401)-1)),""),"")</f>
        <v/>
      </c>
      <c r="O4401" s="7" t="n">
        <f aca="false">IF(B4401="TV Show",IFERROR(VALUE(LEFT(I4401,FIND(" ",I4401)-1)),""),"")</f>
        <v>1</v>
      </c>
      <c r="P4401" s="7" t="n">
        <f aca="false">IF(K4401="","",K4401-G4401)</f>
        <v>0</v>
      </c>
    </row>
    <row r="4402" customFormat="false" ht="15" hidden="false" customHeight="false" outlineLevel="0" collapsed="false">
      <c r="A4402" s="7" t="n">
        <v>80223098</v>
      </c>
      <c r="B4402" s="7" t="s">
        <v>68</v>
      </c>
      <c r="C4402" s="7" t="s">
        <v>9014</v>
      </c>
      <c r="D4402" s="7" t="s">
        <v>9015</v>
      </c>
      <c r="E4402" s="7" t="s">
        <v>1113</v>
      </c>
      <c r="F4402" s="7" t="s">
        <v>9016</v>
      </c>
      <c r="G4402" s="7" t="n">
        <v>2017</v>
      </c>
      <c r="H4402" s="7" t="s">
        <v>48</v>
      </c>
      <c r="I4402" s="7" t="s">
        <v>77</v>
      </c>
      <c r="J4402" s="7" t="s">
        <v>240</v>
      </c>
      <c r="K4402" s="7" t="n">
        <f aca="false">IFERROR(VALUE(RIGHT(TRIM(F4402),4)),"")</f>
        <v>2017</v>
      </c>
      <c r="L4402" s="7" t="str">
        <f aca="false">IF(TRIM(E4402)="","Unknown",IFERROR(LEFT(TRIM(E4402),FIND(",",TRIM(E4402))-1),TRIM(E4402)))</f>
        <v>Argentina</v>
      </c>
      <c r="M4402" s="7" t="str">
        <f aca="false">IFERROR(LEFT(J4402,FIND(",",J4402)-1),J4402)</f>
        <v>Dramas</v>
      </c>
      <c r="N4402" s="7" t="n">
        <f aca="false">IF(B4402="Movie",IFERROR(VALUE(LEFT(I4402,FIND(" ",I4402)-1)),""),"")</f>
        <v>94</v>
      </c>
      <c r="O4402" s="7" t="str">
        <f aca="false">IF(B4402="TV Show",IFERROR(VALUE(LEFT(I4402,FIND(" ",I4402)-1)),""),"")</f>
        <v/>
      </c>
      <c r="P4402" s="7" t="n">
        <f aca="false">IF(K4402="","",K4402-G4402)</f>
        <v>0</v>
      </c>
    </row>
    <row r="4403" customFormat="false" ht="15" hidden="false" customHeight="false" outlineLevel="0" collapsed="false">
      <c r="A4403" s="7" t="n">
        <v>80132411</v>
      </c>
      <c r="B4403" s="7" t="s">
        <v>68</v>
      </c>
      <c r="C4403" s="7" t="s">
        <v>9017</v>
      </c>
      <c r="D4403" s="7" t="s">
        <v>9018</v>
      </c>
      <c r="E4403" s="7" t="s">
        <v>26</v>
      </c>
      <c r="F4403" s="7" t="s">
        <v>9019</v>
      </c>
      <c r="G4403" s="7" t="n">
        <v>2016</v>
      </c>
      <c r="H4403" s="7" t="s">
        <v>50</v>
      </c>
      <c r="I4403" s="7" t="s">
        <v>311</v>
      </c>
      <c r="J4403" s="7" t="s">
        <v>39</v>
      </c>
      <c r="K4403" s="7" t="n">
        <f aca="false">IFERROR(VALUE(RIGHT(TRIM(F4403),4)),"")</f>
        <v>2016</v>
      </c>
      <c r="L4403" s="7" t="str">
        <f aca="false">IF(TRIM(E4403)="","Unknown",IFERROR(LEFT(TRIM(E4403),FIND(",",TRIM(E4403))-1),TRIM(E4403)))</f>
        <v>United States</v>
      </c>
      <c r="M4403" s="7" t="str">
        <f aca="false">IFERROR(LEFT(J4403,FIND(",",J4403)-1),J4403)</f>
        <v>Documentaries</v>
      </c>
      <c r="N4403" s="7" t="n">
        <f aca="false">IF(B4403="Movie",IFERROR(VALUE(LEFT(I4403,FIND(" ",I4403)-1)),""),"")</f>
        <v>92</v>
      </c>
      <c r="O4403" s="7" t="str">
        <f aca="false">IF(B4403="TV Show",IFERROR(VALUE(LEFT(I4403,FIND(" ",I4403)-1)),""),"")</f>
        <v/>
      </c>
      <c r="P4403" s="7" t="n">
        <f aca="false">IF(K4403="","",K4403-G4403)</f>
        <v>0</v>
      </c>
    </row>
    <row r="4404" customFormat="false" ht="15" hidden="false" customHeight="false" outlineLevel="0" collapsed="false">
      <c r="A4404" s="7" t="n">
        <v>80092839</v>
      </c>
      <c r="B4404" s="7" t="s">
        <v>68</v>
      </c>
      <c r="C4404" s="7" t="s">
        <v>9020</v>
      </c>
      <c r="D4404" s="7" t="s">
        <v>9021</v>
      </c>
      <c r="F4404" s="7" t="s">
        <v>9022</v>
      </c>
      <c r="G4404" s="7" t="n">
        <v>2015</v>
      </c>
      <c r="I4404" s="7" t="s">
        <v>98</v>
      </c>
      <c r="J4404" s="7" t="s">
        <v>10</v>
      </c>
      <c r="K4404" s="7" t="n">
        <f aca="false">IFERROR(VALUE(RIGHT(TRIM(F4404),4)),"")</f>
        <v>2015</v>
      </c>
      <c r="L4404" s="7" t="str">
        <f aca="false">IF(TRIM(E4404)="","Unknown",IFERROR(LEFT(TRIM(E4404),FIND(",",TRIM(E4404))-1),TRIM(E4404)))</f>
        <v>Unknown</v>
      </c>
      <c r="M4404" s="7" t="str">
        <f aca="false">IFERROR(LEFT(J4404,FIND(",",J4404)-1),J4404)</f>
        <v>Movies</v>
      </c>
      <c r="N4404" s="7" t="n">
        <f aca="false">IF(B4404="Movie",IFERROR(VALUE(LEFT(I4404,FIND(" ",I4404)-1)),""),"")</f>
        <v>60</v>
      </c>
      <c r="O4404" s="7" t="str">
        <f aca="false">IF(B4404="TV Show",IFERROR(VALUE(LEFT(I4404,FIND(" ",I4404)-1)),""),"")</f>
        <v/>
      </c>
      <c r="P4404" s="7" t="n">
        <f aca="false">IF(K4404="","",K4404-G4404)</f>
        <v>0</v>
      </c>
    </row>
    <row r="4405" customFormat="false" ht="15" hidden="false" customHeight="false" outlineLevel="0" collapsed="false">
      <c r="A4405" s="7" t="n">
        <v>80092835</v>
      </c>
      <c r="B4405" s="7" t="s">
        <v>68</v>
      </c>
      <c r="C4405" s="7" t="s">
        <v>9023</v>
      </c>
      <c r="D4405" s="7" t="s">
        <v>9021</v>
      </c>
      <c r="F4405" s="7" t="s">
        <v>9022</v>
      </c>
      <c r="G4405" s="7" t="n">
        <v>2015</v>
      </c>
      <c r="I4405" s="7" t="s">
        <v>98</v>
      </c>
      <c r="J4405" s="7" t="s">
        <v>10</v>
      </c>
      <c r="K4405" s="7" t="n">
        <f aca="false">IFERROR(VALUE(RIGHT(TRIM(F4405),4)),"")</f>
        <v>2015</v>
      </c>
      <c r="L4405" s="7" t="str">
        <f aca="false">IF(TRIM(E4405)="","Unknown",IFERROR(LEFT(TRIM(E4405),FIND(",",TRIM(E4405))-1),TRIM(E4405)))</f>
        <v>Unknown</v>
      </c>
      <c r="M4405" s="7" t="str">
        <f aca="false">IFERROR(LEFT(J4405,FIND(",",J4405)-1),J4405)</f>
        <v>Movies</v>
      </c>
      <c r="N4405" s="7" t="n">
        <f aca="false">IF(B4405="Movie",IFERROR(VALUE(LEFT(I4405,FIND(" ",I4405)-1)),""),"")</f>
        <v>60</v>
      </c>
      <c r="O4405" s="7" t="str">
        <f aca="false">IF(B4405="TV Show",IFERROR(VALUE(LEFT(I4405,FIND(" ",I4405)-1)),""),"")</f>
        <v/>
      </c>
      <c r="P4405" s="7" t="n">
        <f aca="false">IF(K4405="","",K4405-G4405)</f>
        <v>0</v>
      </c>
    </row>
    <row r="4406" customFormat="false" ht="15" hidden="false" customHeight="false" outlineLevel="0" collapsed="false">
      <c r="A4406" s="7" t="n">
        <v>81157169</v>
      </c>
      <c r="B4406" s="7" t="s">
        <v>78</v>
      </c>
      <c r="C4406" s="7" t="s">
        <v>9024</v>
      </c>
      <c r="E4406" s="7" t="s">
        <v>9025</v>
      </c>
      <c r="F4406" s="7" t="s">
        <v>9026</v>
      </c>
      <c r="G4406" s="7" t="n">
        <v>2019</v>
      </c>
      <c r="H4406" s="7" t="s">
        <v>48</v>
      </c>
      <c r="I4406" s="7" t="s">
        <v>82</v>
      </c>
      <c r="J4406" s="7" t="s">
        <v>344</v>
      </c>
      <c r="K4406" s="7" t="n">
        <f aca="false">IFERROR(VALUE(RIGHT(TRIM(F4406),4)),"")</f>
        <v>2019</v>
      </c>
      <c r="L4406" s="7" t="str">
        <f aca="false">IF(TRIM(E4406)="","Unknown",IFERROR(LEFT(TRIM(E4406),FIND(",",TRIM(E4406))-1),TRIM(E4406)))</f>
        <v>Mauritius</v>
      </c>
      <c r="M4406" s="7" t="str">
        <f aca="false">IFERROR(LEFT(J4406,FIND(",",J4406)-1),J4406)</f>
        <v>International TV Shows</v>
      </c>
      <c r="N4406" s="7" t="str">
        <f aca="false">IF(B4406="Movie",IFERROR(VALUE(LEFT(I4406,FIND(" ",I4406)-1)),""),"")</f>
        <v/>
      </c>
      <c r="O4406" s="7" t="n">
        <f aca="false">IF(B4406="TV Show",IFERROR(VALUE(LEFT(I4406,FIND(" ",I4406)-1)),""),"")</f>
        <v>1</v>
      </c>
      <c r="P4406" s="7" t="n">
        <f aca="false">IF(K4406="","",K4406-G4406)</f>
        <v>0</v>
      </c>
    </row>
    <row r="4407" customFormat="false" ht="15" hidden="false" customHeight="false" outlineLevel="0" collapsed="false">
      <c r="A4407" s="7" t="n">
        <v>81172911</v>
      </c>
      <c r="B4407" s="7" t="s">
        <v>68</v>
      </c>
      <c r="C4407" s="7" t="s">
        <v>9027</v>
      </c>
      <c r="D4407" s="7" t="s">
        <v>1630</v>
      </c>
      <c r="E4407" s="7" t="s">
        <v>527</v>
      </c>
      <c r="F4407" s="7" t="s">
        <v>9026</v>
      </c>
      <c r="G4407" s="7" t="n">
        <v>2014</v>
      </c>
      <c r="H4407" s="7" t="s">
        <v>49</v>
      </c>
      <c r="I4407" s="7" t="s">
        <v>146</v>
      </c>
      <c r="J4407" s="7" t="s">
        <v>240</v>
      </c>
      <c r="K4407" s="7" t="n">
        <f aca="false">IFERROR(VALUE(RIGHT(TRIM(F4407),4)),"")</f>
        <v>2019</v>
      </c>
      <c r="L4407" s="7" t="str">
        <f aca="false">IF(TRIM(E4407)="","Unknown",IFERROR(LEFT(TRIM(E4407),FIND(",",TRIM(E4407))-1),TRIM(E4407)))</f>
        <v>Nigeria</v>
      </c>
      <c r="M4407" s="7" t="str">
        <f aca="false">IFERROR(LEFT(J4407,FIND(",",J4407)-1),J4407)</f>
        <v>Dramas</v>
      </c>
      <c r="N4407" s="7" t="n">
        <f aca="false">IF(B4407="Movie",IFERROR(VALUE(LEFT(I4407,FIND(" ",I4407)-1)),""),"")</f>
        <v>113</v>
      </c>
      <c r="O4407" s="7" t="str">
        <f aca="false">IF(B4407="TV Show",IFERROR(VALUE(LEFT(I4407,FIND(" ",I4407)-1)),""),"")</f>
        <v/>
      </c>
      <c r="P4407" s="7" t="n">
        <f aca="false">IF(K4407="","",K4407-G4407)</f>
        <v>5</v>
      </c>
    </row>
    <row r="4408" customFormat="false" ht="15" hidden="false" customHeight="false" outlineLevel="0" collapsed="false">
      <c r="A4408" s="7" t="n">
        <v>81172866</v>
      </c>
      <c r="B4408" s="7" t="s">
        <v>68</v>
      </c>
      <c r="C4408" s="7" t="s">
        <v>9028</v>
      </c>
      <c r="D4408" s="7" t="s">
        <v>9029</v>
      </c>
      <c r="F4408" s="7" t="s">
        <v>9026</v>
      </c>
      <c r="G4408" s="7" t="n">
        <v>2018</v>
      </c>
      <c r="H4408" s="7" t="s">
        <v>48</v>
      </c>
      <c r="I4408" s="7" t="s">
        <v>437</v>
      </c>
      <c r="J4408" s="7" t="s">
        <v>1956</v>
      </c>
      <c r="K4408" s="7" t="n">
        <f aca="false">IFERROR(VALUE(RIGHT(TRIM(F4408),4)),"")</f>
        <v>2019</v>
      </c>
      <c r="L4408" s="7" t="str">
        <f aca="false">IF(TRIM(E4408)="","Unknown",IFERROR(LEFT(TRIM(E4408),FIND(",",TRIM(E4408))-1),TRIM(E4408)))</f>
        <v>Unknown</v>
      </c>
      <c r="M4408" s="7" t="str">
        <f aca="false">IFERROR(LEFT(J4408,FIND(",",J4408)-1),J4408)</f>
        <v>International Movies</v>
      </c>
      <c r="N4408" s="7" t="n">
        <f aca="false">IF(B4408="Movie",IFERROR(VALUE(LEFT(I4408,FIND(" ",I4408)-1)),""),"")</f>
        <v>82</v>
      </c>
      <c r="O4408" s="7" t="str">
        <f aca="false">IF(B4408="TV Show",IFERROR(VALUE(LEFT(I4408,FIND(" ",I4408)-1)),""),"")</f>
        <v/>
      </c>
      <c r="P4408" s="7" t="n">
        <f aca="false">IF(K4408="","",K4408-G4408)</f>
        <v>1</v>
      </c>
    </row>
    <row r="4409" customFormat="false" ht="15" hidden="false" customHeight="false" outlineLevel="0" collapsed="false">
      <c r="A4409" s="7" t="n">
        <v>81172897</v>
      </c>
      <c r="B4409" s="7" t="s">
        <v>68</v>
      </c>
      <c r="C4409" s="7" t="s">
        <v>9030</v>
      </c>
      <c r="D4409" s="7" t="s">
        <v>1679</v>
      </c>
      <c r="E4409" s="7" t="s">
        <v>527</v>
      </c>
      <c r="F4409" s="7" t="s">
        <v>9026</v>
      </c>
      <c r="G4409" s="7" t="n">
        <v>2015</v>
      </c>
      <c r="H4409" s="7" t="s">
        <v>49</v>
      </c>
      <c r="I4409" s="7" t="s">
        <v>727</v>
      </c>
      <c r="J4409" s="7" t="s">
        <v>240</v>
      </c>
      <c r="K4409" s="7" t="n">
        <f aca="false">IFERROR(VALUE(RIGHT(TRIM(F4409),4)),"")</f>
        <v>2019</v>
      </c>
      <c r="L4409" s="7" t="str">
        <f aca="false">IF(TRIM(E4409)="","Unknown",IFERROR(LEFT(TRIM(E4409),FIND(",",TRIM(E4409))-1),TRIM(E4409)))</f>
        <v>Nigeria</v>
      </c>
      <c r="M4409" s="7" t="str">
        <f aca="false">IFERROR(LEFT(J4409,FIND(",",J4409)-1),J4409)</f>
        <v>Dramas</v>
      </c>
      <c r="N4409" s="7" t="n">
        <f aca="false">IF(B4409="Movie",IFERROR(VALUE(LEFT(I4409,FIND(" ",I4409)-1)),""),"")</f>
        <v>141</v>
      </c>
      <c r="O4409" s="7" t="str">
        <f aca="false">IF(B4409="TV Show",IFERROR(VALUE(LEFT(I4409,FIND(" ",I4409)-1)),""),"")</f>
        <v/>
      </c>
      <c r="P4409" s="7" t="n">
        <f aca="false">IF(K4409="","",K4409-G4409)</f>
        <v>4</v>
      </c>
    </row>
    <row r="4410" customFormat="false" ht="15" hidden="false" customHeight="false" outlineLevel="0" collapsed="false">
      <c r="A4410" s="7" t="n">
        <v>80126996</v>
      </c>
      <c r="B4410" s="7" t="s">
        <v>68</v>
      </c>
      <c r="C4410" s="7" t="s">
        <v>9031</v>
      </c>
      <c r="D4410" s="7" t="s">
        <v>1630</v>
      </c>
      <c r="F4410" s="7" t="s">
        <v>9026</v>
      </c>
      <c r="G4410" s="7" t="n">
        <v>2015</v>
      </c>
      <c r="H4410" s="7" t="s">
        <v>48</v>
      </c>
      <c r="I4410" s="7" t="s">
        <v>294</v>
      </c>
      <c r="J4410" s="7" t="s">
        <v>304</v>
      </c>
      <c r="K4410" s="7" t="n">
        <f aca="false">IFERROR(VALUE(RIGHT(TRIM(F4410),4)),"")</f>
        <v>2019</v>
      </c>
      <c r="L4410" s="7" t="str">
        <f aca="false">IF(TRIM(E4410)="","Unknown",IFERROR(LEFT(TRIM(E4410),FIND(",",TRIM(E4410))-1),TRIM(E4410)))</f>
        <v>Unknown</v>
      </c>
      <c r="M4410" s="7" t="str">
        <f aca="false">IFERROR(LEFT(J4410,FIND(",",J4410)-1),J4410)</f>
        <v>Dramas</v>
      </c>
      <c r="N4410" s="7" t="n">
        <f aca="false">IF(B4410="Movie",IFERROR(VALUE(LEFT(I4410,FIND(" ",I4410)-1)),""),"")</f>
        <v>107</v>
      </c>
      <c r="O4410" s="7" t="str">
        <f aca="false">IF(B4410="TV Show",IFERROR(VALUE(LEFT(I4410,FIND(" ",I4410)-1)),""),"")</f>
        <v/>
      </c>
      <c r="P4410" s="7" t="n">
        <f aca="false">IF(K4410="","",K4410-G4410)</f>
        <v>4</v>
      </c>
    </row>
    <row r="4411" customFormat="false" ht="15" hidden="false" customHeight="false" outlineLevel="0" collapsed="false">
      <c r="A4411" s="7" t="n">
        <v>80174451</v>
      </c>
      <c r="B4411" s="7" t="s">
        <v>68</v>
      </c>
      <c r="C4411" s="7" t="s">
        <v>9032</v>
      </c>
      <c r="D4411" s="7" t="s">
        <v>9033</v>
      </c>
      <c r="E4411" s="7" t="s">
        <v>9034</v>
      </c>
      <c r="F4411" s="7" t="s">
        <v>9026</v>
      </c>
      <c r="G4411" s="7" t="n">
        <v>2019</v>
      </c>
      <c r="H4411" s="7" t="s">
        <v>52</v>
      </c>
      <c r="I4411" s="7" t="s">
        <v>235</v>
      </c>
      <c r="J4411" s="7" t="s">
        <v>37</v>
      </c>
      <c r="K4411" s="7" t="n">
        <f aca="false">IFERROR(VALUE(RIGHT(TRIM(F4411),4)),"")</f>
        <v>2019</v>
      </c>
      <c r="L4411" s="7" t="str">
        <f aca="false">IF(TRIM(E4411)="","Unknown",IFERROR(LEFT(TRIM(E4411),FIND(",",TRIM(E4411))-1),TRIM(E4411)))</f>
        <v>United Kingdom</v>
      </c>
      <c r="M4411" s="7" t="str">
        <f aca="false">IFERROR(LEFT(J4411,FIND(",",J4411)-1),J4411)</f>
        <v>Dramas</v>
      </c>
      <c r="N4411" s="7" t="n">
        <f aca="false">IF(B4411="Movie",IFERROR(VALUE(LEFT(I4411,FIND(" ",I4411)-1)),""),"")</f>
        <v>126</v>
      </c>
      <c r="O4411" s="7" t="str">
        <f aca="false">IF(B4411="TV Show",IFERROR(VALUE(LEFT(I4411,FIND(" ",I4411)-1)),""),"")</f>
        <v/>
      </c>
      <c r="P4411" s="7" t="n">
        <f aca="false">IF(K4411="","",K4411-G4411)</f>
        <v>0</v>
      </c>
    </row>
    <row r="4412" customFormat="false" ht="15" hidden="false" customHeight="false" outlineLevel="0" collapsed="false">
      <c r="A4412" s="7" t="n">
        <v>80189685</v>
      </c>
      <c r="B4412" s="7" t="s">
        <v>78</v>
      </c>
      <c r="C4412" s="7" t="s">
        <v>9035</v>
      </c>
      <c r="E4412" s="7" t="s">
        <v>2532</v>
      </c>
      <c r="F4412" s="7" t="s">
        <v>9026</v>
      </c>
      <c r="G4412" s="7" t="n">
        <v>2019</v>
      </c>
      <c r="H4412" s="7" t="s">
        <v>48</v>
      </c>
      <c r="I4412" s="7" t="s">
        <v>82</v>
      </c>
      <c r="J4412" s="7" t="s">
        <v>6122</v>
      </c>
      <c r="K4412" s="7" t="n">
        <f aca="false">IFERROR(VALUE(RIGHT(TRIM(F4412),4)),"")</f>
        <v>2019</v>
      </c>
      <c r="L4412" s="7" t="str">
        <f aca="false">IF(TRIM(E4412)="","Unknown",IFERROR(LEFT(TRIM(E4412),FIND(",",TRIM(E4412))-1),TRIM(E4412)))</f>
        <v>Poland</v>
      </c>
      <c r="M4412" s="7" t="str">
        <f aca="false">IFERROR(LEFT(J4412,FIND(",",J4412)-1),J4412)</f>
        <v>TV Action &amp; Adventure</v>
      </c>
      <c r="N4412" s="7" t="str">
        <f aca="false">IF(B4412="Movie",IFERROR(VALUE(LEFT(I4412,FIND(" ",I4412)-1)),""),"")</f>
        <v/>
      </c>
      <c r="O4412" s="7" t="n">
        <f aca="false">IF(B4412="TV Show",IFERROR(VALUE(LEFT(I4412,FIND(" ",I4412)-1)),""),"")</f>
        <v>1</v>
      </c>
      <c r="P4412" s="7" t="n">
        <f aca="false">IF(K4412="","",K4412-G4412)</f>
        <v>0</v>
      </c>
    </row>
    <row r="4413" customFormat="false" ht="15" hidden="false" customHeight="false" outlineLevel="0" collapsed="false">
      <c r="A4413" s="7" t="n">
        <v>81001097</v>
      </c>
      <c r="B4413" s="7" t="s">
        <v>68</v>
      </c>
      <c r="C4413" s="7" t="s">
        <v>9036</v>
      </c>
      <c r="D4413" s="7" t="s">
        <v>9037</v>
      </c>
      <c r="E4413" s="7" t="s">
        <v>28</v>
      </c>
      <c r="F4413" s="7" t="s">
        <v>9038</v>
      </c>
      <c r="G4413" s="7" t="n">
        <v>2018</v>
      </c>
      <c r="H4413" s="7" t="s">
        <v>49</v>
      </c>
      <c r="I4413" s="7" t="s">
        <v>111</v>
      </c>
      <c r="J4413" s="7" t="s">
        <v>9039</v>
      </c>
      <c r="K4413" s="7" t="n">
        <f aca="false">IFERROR(VALUE(RIGHT(TRIM(F4413),4)),"")</f>
        <v>2018</v>
      </c>
      <c r="L4413" s="7" t="str">
        <f aca="false">IF(TRIM(E4413)="","Unknown",IFERROR(LEFT(TRIM(E4413),FIND(",",TRIM(E4413))-1),TRIM(E4413)))</f>
        <v>United Kingdom</v>
      </c>
      <c r="M4413" s="7" t="str">
        <f aca="false">IFERROR(LEFT(J4413,FIND(",",J4413)-1),J4413)</f>
        <v>Sci-Fi &amp; Fantasy</v>
      </c>
      <c r="N4413" s="7" t="n">
        <f aca="false">IF(B4413="Movie",IFERROR(VALUE(LEFT(I4413,FIND(" ",I4413)-1)),""),"")</f>
        <v>95</v>
      </c>
      <c r="O4413" s="7" t="str">
        <f aca="false">IF(B4413="TV Show",IFERROR(VALUE(LEFT(I4413,FIND(" ",I4413)-1)),""),"")</f>
        <v/>
      </c>
      <c r="P4413" s="7" t="n">
        <f aca="false">IF(K4413="","",K4413-G4413)</f>
        <v>0</v>
      </c>
    </row>
    <row r="4414" customFormat="false" ht="15" hidden="false" customHeight="false" outlineLevel="0" collapsed="false">
      <c r="A4414" s="7" t="n">
        <v>70270949</v>
      </c>
      <c r="B4414" s="7" t="s">
        <v>68</v>
      </c>
      <c r="C4414" s="7" t="s">
        <v>9040</v>
      </c>
      <c r="D4414" s="7" t="s">
        <v>9041</v>
      </c>
      <c r="E4414" s="7" t="s">
        <v>1819</v>
      </c>
      <c r="F4414" s="7" t="s">
        <v>9038</v>
      </c>
      <c r="G4414" s="7" t="n">
        <v>2011</v>
      </c>
      <c r="H4414" s="7" t="s">
        <v>51</v>
      </c>
      <c r="I4414" s="7" t="s">
        <v>107</v>
      </c>
      <c r="J4414" s="7" t="s">
        <v>169</v>
      </c>
      <c r="K4414" s="7" t="n">
        <f aca="false">IFERROR(VALUE(RIGHT(TRIM(F4414),4)),"")</f>
        <v>2018</v>
      </c>
      <c r="L4414" s="7" t="str">
        <f aca="false">IF(TRIM(E4414)="","Unknown",IFERROR(LEFT(TRIM(E4414),FIND(",",TRIM(E4414))-1),TRIM(E4414)))</f>
        <v>Singapore</v>
      </c>
      <c r="M4414" s="7" t="str">
        <f aca="false">IFERROR(LEFT(J4414,FIND(",",J4414)-1),J4414)</f>
        <v>Horror Movies</v>
      </c>
      <c r="N4414" s="7" t="n">
        <f aca="false">IF(B4414="Movie",IFERROR(VALUE(LEFT(I4414,FIND(" ",I4414)-1)),""),"")</f>
        <v>78</v>
      </c>
      <c r="O4414" s="7" t="str">
        <f aca="false">IF(B4414="TV Show",IFERROR(VALUE(LEFT(I4414,FIND(" ",I4414)-1)),""),"")</f>
        <v/>
      </c>
      <c r="P4414" s="7" t="n">
        <f aca="false">IF(K4414="","",K4414-G4414)</f>
        <v>7</v>
      </c>
    </row>
    <row r="4415" customFormat="false" ht="15" hidden="false" customHeight="false" outlineLevel="0" collapsed="false">
      <c r="A4415" s="7" t="n">
        <v>81008536</v>
      </c>
      <c r="B4415" s="7" t="s">
        <v>68</v>
      </c>
      <c r="C4415" s="7" t="s">
        <v>9042</v>
      </c>
      <c r="D4415" s="7" t="s">
        <v>9043</v>
      </c>
      <c r="E4415" s="7" t="s">
        <v>30</v>
      </c>
      <c r="F4415" s="7" t="s">
        <v>9038</v>
      </c>
      <c r="G4415" s="7" t="n">
        <v>2018</v>
      </c>
      <c r="H4415" s="7" t="s">
        <v>50</v>
      </c>
      <c r="I4415" s="7" t="s">
        <v>1727</v>
      </c>
      <c r="J4415" s="7" t="s">
        <v>10</v>
      </c>
      <c r="K4415" s="7" t="n">
        <f aca="false">IFERROR(VALUE(RIGHT(TRIM(F4415),4)),"")</f>
        <v>2018</v>
      </c>
      <c r="L4415" s="7" t="str">
        <f aca="false">IF(TRIM(E4415)="","Unknown",IFERROR(LEFT(TRIM(E4415),FIND(",",TRIM(E4415))-1),TRIM(E4415)))</f>
        <v>Japan</v>
      </c>
      <c r="M4415" s="7" t="str">
        <f aca="false">IFERROR(LEFT(J4415,FIND(",",J4415)-1),J4415)</f>
        <v>Movies</v>
      </c>
      <c r="N4415" s="7" t="n">
        <f aca="false">IF(B4415="Movie",IFERROR(VALUE(LEFT(I4415,FIND(" ",I4415)-1)),""),"")</f>
        <v>22</v>
      </c>
      <c r="O4415" s="7" t="str">
        <f aca="false">IF(B4415="TV Show",IFERROR(VALUE(LEFT(I4415,FIND(" ",I4415)-1)),""),"")</f>
        <v/>
      </c>
      <c r="P4415" s="7" t="n">
        <f aca="false">IF(K4415="","",K4415-G4415)</f>
        <v>0</v>
      </c>
    </row>
    <row r="4416" customFormat="false" ht="15" hidden="false" customHeight="false" outlineLevel="0" collapsed="false">
      <c r="A4416" s="7" t="n">
        <v>80040119</v>
      </c>
      <c r="B4416" s="7" t="s">
        <v>78</v>
      </c>
      <c r="C4416" s="7" t="s">
        <v>9044</v>
      </c>
      <c r="E4416" s="7" t="s">
        <v>30</v>
      </c>
      <c r="F4416" s="7" t="s">
        <v>9038</v>
      </c>
      <c r="G4416" s="7" t="n">
        <v>2016</v>
      </c>
      <c r="H4416" s="7" t="s">
        <v>49</v>
      </c>
      <c r="I4416" s="7" t="s">
        <v>82</v>
      </c>
      <c r="J4416" s="7" t="s">
        <v>1850</v>
      </c>
      <c r="K4416" s="7" t="n">
        <f aca="false">IFERROR(VALUE(RIGHT(TRIM(F4416),4)),"")</f>
        <v>2018</v>
      </c>
      <c r="L4416" s="7" t="str">
        <f aca="false">IF(TRIM(E4416)="","Unknown",IFERROR(LEFT(TRIM(E4416),FIND(",",TRIM(E4416))-1),TRIM(E4416)))</f>
        <v>Japan</v>
      </c>
      <c r="M4416" s="7" t="str">
        <f aca="false">IFERROR(LEFT(J4416,FIND(",",J4416)-1),J4416)</f>
        <v>Anime Series</v>
      </c>
      <c r="N4416" s="7" t="str">
        <f aca="false">IF(B4416="Movie",IFERROR(VALUE(LEFT(I4416,FIND(" ",I4416)-1)),""),"")</f>
        <v/>
      </c>
      <c r="O4416" s="7" t="n">
        <f aca="false">IF(B4416="TV Show",IFERROR(VALUE(LEFT(I4416,FIND(" ",I4416)-1)),""),"")</f>
        <v>1</v>
      </c>
      <c r="P4416" s="7" t="n">
        <f aca="false">IF(K4416="","",K4416-G4416)</f>
        <v>2</v>
      </c>
    </row>
    <row r="4417" customFormat="false" ht="15" hidden="false" customHeight="false" outlineLevel="0" collapsed="false">
      <c r="A4417" s="7" t="n">
        <v>81036532</v>
      </c>
      <c r="B4417" s="7" t="s">
        <v>68</v>
      </c>
      <c r="C4417" s="7" t="s">
        <v>9045</v>
      </c>
      <c r="D4417" s="7" t="s">
        <v>9046</v>
      </c>
      <c r="E4417" s="7" t="s">
        <v>1819</v>
      </c>
      <c r="F4417" s="7" t="s">
        <v>9038</v>
      </c>
      <c r="G4417" s="7" t="n">
        <v>2012</v>
      </c>
      <c r="H4417" s="7" t="s">
        <v>48</v>
      </c>
      <c r="I4417" s="7" t="s">
        <v>111</v>
      </c>
      <c r="J4417" s="7" t="s">
        <v>322</v>
      </c>
      <c r="K4417" s="7" t="n">
        <f aca="false">IFERROR(VALUE(RIGHT(TRIM(F4417),4)),"")</f>
        <v>2018</v>
      </c>
      <c r="L4417" s="7" t="str">
        <f aca="false">IF(TRIM(E4417)="","Unknown",IFERROR(LEFT(TRIM(E4417),FIND(",",TRIM(E4417))-1),TRIM(E4417)))</f>
        <v>Singapore</v>
      </c>
      <c r="M4417" s="7" t="str">
        <f aca="false">IFERROR(LEFT(J4417,FIND(",",J4417)-1),J4417)</f>
        <v>Action &amp; Adventure</v>
      </c>
      <c r="N4417" s="7" t="n">
        <f aca="false">IF(B4417="Movie",IFERROR(VALUE(LEFT(I4417,FIND(" ",I4417)-1)),""),"")</f>
        <v>95</v>
      </c>
      <c r="O4417" s="7" t="str">
        <f aca="false">IF(B4417="TV Show",IFERROR(VALUE(LEFT(I4417,FIND(" ",I4417)-1)),""),"")</f>
        <v/>
      </c>
      <c r="P4417" s="7" t="n">
        <f aca="false">IF(K4417="","",K4417-G4417)</f>
        <v>6</v>
      </c>
    </row>
    <row r="4418" customFormat="false" ht="15" hidden="false" customHeight="false" outlineLevel="0" collapsed="false">
      <c r="A4418" s="7" t="n">
        <v>81036535</v>
      </c>
      <c r="B4418" s="7" t="s">
        <v>68</v>
      </c>
      <c r="C4418" s="7" t="s">
        <v>9047</v>
      </c>
      <c r="D4418" s="7" t="s">
        <v>9048</v>
      </c>
      <c r="E4418" s="7" t="s">
        <v>1819</v>
      </c>
      <c r="F4418" s="7" t="s">
        <v>9038</v>
      </c>
      <c r="G4418" s="7" t="n">
        <v>2015</v>
      </c>
      <c r="H4418" s="7" t="s">
        <v>48</v>
      </c>
      <c r="I4418" s="7" t="s">
        <v>437</v>
      </c>
      <c r="J4418" s="7" t="s">
        <v>358</v>
      </c>
      <c r="K4418" s="7" t="n">
        <f aca="false">IFERROR(VALUE(RIGHT(TRIM(F4418),4)),"")</f>
        <v>2018</v>
      </c>
      <c r="L4418" s="7" t="str">
        <f aca="false">IF(TRIM(E4418)="","Unknown",IFERROR(LEFT(TRIM(E4418),FIND(",",TRIM(E4418))-1),TRIM(E4418)))</f>
        <v>Singapore</v>
      </c>
      <c r="M4418" s="7" t="str">
        <f aca="false">IFERROR(LEFT(J4418,FIND(",",J4418)-1),J4418)</f>
        <v>International Movies</v>
      </c>
      <c r="N4418" s="7" t="n">
        <f aca="false">IF(B4418="Movie",IFERROR(VALUE(LEFT(I4418,FIND(" ",I4418)-1)),""),"")</f>
        <v>82</v>
      </c>
      <c r="O4418" s="7" t="str">
        <f aca="false">IF(B4418="TV Show",IFERROR(VALUE(LEFT(I4418,FIND(" ",I4418)-1)),""),"")</f>
        <v/>
      </c>
      <c r="P4418" s="7" t="n">
        <f aca="false">IF(K4418="","",K4418-G4418)</f>
        <v>3</v>
      </c>
    </row>
    <row r="4419" customFormat="false" ht="15" hidden="false" customHeight="false" outlineLevel="0" collapsed="false">
      <c r="A4419" s="7" t="n">
        <v>81036533</v>
      </c>
      <c r="B4419" s="7" t="s">
        <v>68</v>
      </c>
      <c r="C4419" s="7" t="s">
        <v>9049</v>
      </c>
      <c r="D4419" s="7" t="s">
        <v>9050</v>
      </c>
      <c r="E4419" s="7" t="s">
        <v>1819</v>
      </c>
      <c r="F4419" s="7" t="s">
        <v>9038</v>
      </c>
      <c r="G4419" s="7" t="n">
        <v>2014</v>
      </c>
      <c r="H4419" s="7" t="s">
        <v>48</v>
      </c>
      <c r="I4419" s="7" t="s">
        <v>357</v>
      </c>
      <c r="J4419" s="7" t="s">
        <v>182</v>
      </c>
      <c r="K4419" s="7" t="n">
        <f aca="false">IFERROR(VALUE(RIGHT(TRIM(F4419),4)),"")</f>
        <v>2018</v>
      </c>
      <c r="L4419" s="7" t="str">
        <f aca="false">IF(TRIM(E4419)="","Unknown",IFERROR(LEFT(TRIM(E4419),FIND(",",TRIM(E4419))-1),TRIM(E4419)))</f>
        <v>Singapore</v>
      </c>
      <c r="M4419" s="7" t="str">
        <f aca="false">IFERROR(LEFT(J4419,FIND(",",J4419)-1),J4419)</f>
        <v>Dramas</v>
      </c>
      <c r="N4419" s="7" t="n">
        <f aca="false">IF(B4419="Movie",IFERROR(VALUE(LEFT(I4419,FIND(" ",I4419)-1)),""),"")</f>
        <v>89</v>
      </c>
      <c r="O4419" s="7" t="str">
        <f aca="false">IF(B4419="TV Show",IFERROR(VALUE(LEFT(I4419,FIND(" ",I4419)-1)),""),"")</f>
        <v/>
      </c>
      <c r="P4419" s="7" t="n">
        <f aca="false">IF(K4419="","",K4419-G4419)</f>
        <v>4</v>
      </c>
    </row>
    <row r="4420" customFormat="false" ht="15" hidden="false" customHeight="false" outlineLevel="0" collapsed="false">
      <c r="A4420" s="7" t="n">
        <v>80232740</v>
      </c>
      <c r="B4420" s="7" t="s">
        <v>68</v>
      </c>
      <c r="C4420" s="7" t="s">
        <v>9051</v>
      </c>
      <c r="D4420" s="7" t="s">
        <v>9052</v>
      </c>
      <c r="E4420" s="7" t="s">
        <v>29</v>
      </c>
      <c r="F4420" s="7" t="s">
        <v>9053</v>
      </c>
      <c r="G4420" s="7" t="n">
        <v>2017</v>
      </c>
      <c r="H4420" s="7" t="s">
        <v>55</v>
      </c>
      <c r="I4420" s="7" t="s">
        <v>613</v>
      </c>
      <c r="J4420" s="7" t="s">
        <v>74</v>
      </c>
      <c r="K4420" s="7" t="n">
        <f aca="false">IFERROR(VALUE(RIGHT(TRIM(F4420),4)),"")</f>
        <v>2017</v>
      </c>
      <c r="L4420" s="7" t="str">
        <f aca="false">IF(TRIM(E4420)="","Unknown",IFERROR(LEFT(TRIM(E4420),FIND(",",TRIM(E4420))-1),TRIM(E4420)))</f>
        <v>Canada</v>
      </c>
      <c r="M4420" s="7" t="str">
        <f aca="false">IFERROR(LEFT(J4420,FIND(",",J4420)-1),J4420)</f>
        <v>Children &amp; Family Movies</v>
      </c>
      <c r="N4420" s="7" t="n">
        <f aca="false">IF(B4420="Movie",IFERROR(VALUE(LEFT(I4420,FIND(" ",I4420)-1)),""),"")</f>
        <v>84</v>
      </c>
      <c r="O4420" s="7" t="str">
        <f aca="false">IF(B4420="TV Show",IFERROR(VALUE(LEFT(I4420,FIND(" ",I4420)-1)),""),"")</f>
        <v/>
      </c>
      <c r="P4420" s="7" t="n">
        <f aca="false">IF(K4420="","",K4420-G4420)</f>
        <v>0</v>
      </c>
    </row>
    <row r="4421" customFormat="false" ht="15" hidden="false" customHeight="false" outlineLevel="0" collapsed="false">
      <c r="A4421" s="7" t="n">
        <v>70221084</v>
      </c>
      <c r="B4421" s="7" t="s">
        <v>78</v>
      </c>
      <c r="C4421" s="7" t="s">
        <v>9054</v>
      </c>
      <c r="E4421" s="7" t="s">
        <v>35</v>
      </c>
      <c r="F4421" s="7" t="s">
        <v>9053</v>
      </c>
      <c r="G4421" s="7" t="n">
        <v>2013</v>
      </c>
      <c r="H4421" s="7" t="s">
        <v>50</v>
      </c>
      <c r="I4421" s="7" t="s">
        <v>82</v>
      </c>
      <c r="J4421" s="7" t="s">
        <v>314</v>
      </c>
      <c r="K4421" s="7" t="n">
        <f aca="false">IFERROR(VALUE(RIGHT(TRIM(F4421),4)),"")</f>
        <v>2017</v>
      </c>
      <c r="L4421" s="7" t="str">
        <f aca="false">IF(TRIM(E4421)="","Unknown",IFERROR(LEFT(TRIM(E4421),FIND(",",TRIM(E4421))-1),TRIM(E4421)))</f>
        <v>Australia</v>
      </c>
      <c r="M4421" s="7" t="str">
        <f aca="false">IFERROR(LEFT(J4421,FIND(",",J4421)-1),J4421)</f>
        <v>International TV Shows</v>
      </c>
      <c r="N4421" s="7" t="str">
        <f aca="false">IF(B4421="Movie",IFERROR(VALUE(LEFT(I4421,FIND(" ",I4421)-1)),""),"")</f>
        <v/>
      </c>
      <c r="O4421" s="7" t="n">
        <f aca="false">IF(B4421="TV Show",IFERROR(VALUE(LEFT(I4421,FIND(" ",I4421)-1)),""),"")</f>
        <v>1</v>
      </c>
      <c r="P4421" s="7" t="n">
        <f aca="false">IF(K4421="","",K4421-G4421)</f>
        <v>4</v>
      </c>
    </row>
    <row r="4422" customFormat="false" ht="15" hidden="false" customHeight="false" outlineLevel="0" collapsed="false">
      <c r="A4422" s="7" t="n">
        <v>80107030</v>
      </c>
      <c r="B4422" s="7" t="s">
        <v>68</v>
      </c>
      <c r="C4422" s="7" t="s">
        <v>9055</v>
      </c>
      <c r="D4422" s="7" t="s">
        <v>9056</v>
      </c>
      <c r="E4422" s="7" t="s">
        <v>1335</v>
      </c>
      <c r="F4422" s="7" t="s">
        <v>9053</v>
      </c>
      <c r="G4422" s="7" t="n">
        <v>2016</v>
      </c>
      <c r="H4422" s="7" t="s">
        <v>51</v>
      </c>
      <c r="I4422" s="7" t="s">
        <v>330</v>
      </c>
      <c r="J4422" s="7" t="s">
        <v>39</v>
      </c>
      <c r="K4422" s="7" t="n">
        <f aca="false">IFERROR(VALUE(RIGHT(TRIM(F4422),4)),"")</f>
        <v>2017</v>
      </c>
      <c r="L4422" s="7" t="str">
        <f aca="false">IF(TRIM(E4422)="","Unknown",IFERROR(LEFT(TRIM(E4422),FIND(",",TRIM(E4422))-1),TRIM(E4422)))</f>
        <v>Mexico</v>
      </c>
      <c r="M4422" s="7" t="str">
        <f aca="false">IFERROR(LEFT(J4422,FIND(",",J4422)-1),J4422)</f>
        <v>Documentaries</v>
      </c>
      <c r="N4422" s="7" t="n">
        <f aca="false">IF(B4422="Movie",IFERROR(VALUE(LEFT(I4422,FIND(" ",I4422)-1)),""),"")</f>
        <v>103</v>
      </c>
      <c r="O4422" s="7" t="str">
        <f aca="false">IF(B4422="TV Show",IFERROR(VALUE(LEFT(I4422,FIND(" ",I4422)-1)),""),"")</f>
        <v/>
      </c>
      <c r="P4422" s="7" t="n">
        <f aca="false">IF(K4422="","",K4422-G4422)</f>
        <v>1</v>
      </c>
    </row>
    <row r="4423" customFormat="false" ht="15" hidden="false" customHeight="false" outlineLevel="0" collapsed="false">
      <c r="A4423" s="7" t="n">
        <v>80163222</v>
      </c>
      <c r="B4423" s="7" t="s">
        <v>68</v>
      </c>
      <c r="C4423" s="7" t="s">
        <v>9057</v>
      </c>
      <c r="D4423" s="7" t="s">
        <v>9058</v>
      </c>
      <c r="E4423" s="7" t="s">
        <v>9059</v>
      </c>
      <c r="F4423" s="7" t="s">
        <v>9060</v>
      </c>
      <c r="G4423" s="7" t="n">
        <v>2016</v>
      </c>
      <c r="H4423" s="7" t="s">
        <v>55</v>
      </c>
      <c r="I4423" s="7" t="s">
        <v>1727</v>
      </c>
      <c r="J4423" s="7" t="s">
        <v>10</v>
      </c>
      <c r="K4423" s="7" t="n">
        <f aca="false">IFERROR(VALUE(RIGHT(TRIM(F4423),4)),"")</f>
        <v>2016</v>
      </c>
      <c r="L4423" s="7" t="str">
        <f aca="false">IF(TRIM(E4423)="","Unknown",IFERROR(LEFT(TRIM(E4423),FIND(",",TRIM(E4423))-1),TRIM(E4423)))</f>
        <v>France</v>
      </c>
      <c r="M4423" s="7" t="str">
        <f aca="false">IFERROR(LEFT(J4423,FIND(",",J4423)-1),J4423)</f>
        <v>Movies</v>
      </c>
      <c r="N4423" s="7" t="n">
        <f aca="false">IF(B4423="Movie",IFERROR(VALUE(LEFT(I4423,FIND(" ",I4423)-1)),""),"")</f>
        <v>22</v>
      </c>
      <c r="O4423" s="7" t="str">
        <f aca="false">IF(B4423="TV Show",IFERROR(VALUE(LEFT(I4423,FIND(" ",I4423)-1)),""),"")</f>
        <v/>
      </c>
      <c r="P4423" s="7" t="n">
        <f aca="false">IF(K4423="","",K4423-G4423)</f>
        <v>0</v>
      </c>
    </row>
    <row r="4424" customFormat="false" ht="15" hidden="false" customHeight="false" outlineLevel="0" collapsed="false">
      <c r="A4424" s="7" t="n">
        <v>80142140</v>
      </c>
      <c r="B4424" s="7" t="s">
        <v>68</v>
      </c>
      <c r="C4424" s="7" t="s">
        <v>9061</v>
      </c>
      <c r="D4424" s="7" t="s">
        <v>9062</v>
      </c>
      <c r="E4424" s="7" t="s">
        <v>1113</v>
      </c>
      <c r="F4424" s="7" t="s">
        <v>9060</v>
      </c>
      <c r="G4424" s="7" t="n">
        <v>2015</v>
      </c>
      <c r="H4424" s="7" t="s">
        <v>53</v>
      </c>
      <c r="I4424" s="7" t="s">
        <v>1405</v>
      </c>
      <c r="J4424" s="7" t="s">
        <v>3644</v>
      </c>
      <c r="K4424" s="7" t="n">
        <f aca="false">IFERROR(VALUE(RIGHT(TRIM(F4424),4)),"")</f>
        <v>2016</v>
      </c>
      <c r="L4424" s="7" t="str">
        <f aca="false">IF(TRIM(E4424)="","Unknown",IFERROR(LEFT(TRIM(E4424),FIND(",",TRIM(E4424))-1),TRIM(E4424)))</f>
        <v>Argentina</v>
      </c>
      <c r="M4424" s="7" t="str">
        <f aca="false">IFERROR(LEFT(J4424,FIND(",",J4424)-1),J4424)</f>
        <v>Action &amp; Adventure</v>
      </c>
      <c r="N4424" s="7" t="n">
        <f aca="false">IF(B4424="Movie",IFERROR(VALUE(LEFT(I4424,FIND(" ",I4424)-1)),""),"")</f>
        <v>115</v>
      </c>
      <c r="O4424" s="7" t="str">
        <f aca="false">IF(B4424="TV Show",IFERROR(VALUE(LEFT(I4424,FIND(" ",I4424)-1)),""),"")</f>
        <v/>
      </c>
      <c r="P4424" s="7" t="n">
        <f aca="false">IF(K4424="","",K4424-G4424)</f>
        <v>1</v>
      </c>
    </row>
    <row r="4425" customFormat="false" ht="15" hidden="false" customHeight="false" outlineLevel="0" collapsed="false">
      <c r="A4425" s="7" t="n">
        <v>80117628</v>
      </c>
      <c r="B4425" s="7" t="s">
        <v>68</v>
      </c>
      <c r="C4425" s="7" t="s">
        <v>9063</v>
      </c>
      <c r="D4425" s="7" t="s">
        <v>660</v>
      </c>
      <c r="E4425" s="7" t="s">
        <v>26</v>
      </c>
      <c r="F4425" s="7" t="s">
        <v>9060</v>
      </c>
      <c r="G4425" s="7" t="n">
        <v>2016</v>
      </c>
      <c r="H4425" s="7" t="s">
        <v>49</v>
      </c>
      <c r="I4425" s="7" t="s">
        <v>264</v>
      </c>
      <c r="J4425" s="7" t="s">
        <v>45</v>
      </c>
      <c r="K4425" s="7" t="n">
        <f aca="false">IFERROR(VALUE(RIGHT(TRIM(F4425),4)),"")</f>
        <v>2016</v>
      </c>
      <c r="L4425" s="7" t="str">
        <f aca="false">IF(TRIM(E4425)="","Unknown",IFERROR(LEFT(TRIM(E4425),FIND(",",TRIM(E4425))-1),TRIM(E4425)))</f>
        <v>United States</v>
      </c>
      <c r="M4425" s="7" t="str">
        <f aca="false">IFERROR(LEFT(J4425,FIND(",",J4425)-1),J4425)</f>
        <v>Stand-Up Comedy</v>
      </c>
      <c r="N4425" s="7" t="n">
        <f aca="false">IF(B4425="Movie",IFERROR(VALUE(LEFT(I4425,FIND(" ",I4425)-1)),""),"")</f>
        <v>88</v>
      </c>
      <c r="O4425" s="7" t="str">
        <f aca="false">IF(B4425="TV Show",IFERROR(VALUE(LEFT(I4425,FIND(" ",I4425)-1)),""),"")</f>
        <v/>
      </c>
      <c r="P4425" s="7" t="n">
        <f aca="false">IF(K4425="","",K4425-G4425)</f>
        <v>0</v>
      </c>
    </row>
    <row r="4426" customFormat="false" ht="15" hidden="false" customHeight="false" outlineLevel="0" collapsed="false">
      <c r="A4426" s="7" t="n">
        <v>60030245</v>
      </c>
      <c r="B4426" s="7" t="s">
        <v>68</v>
      </c>
      <c r="C4426" s="7" t="s">
        <v>9064</v>
      </c>
      <c r="D4426" s="7" t="s">
        <v>9065</v>
      </c>
      <c r="E4426" s="7" t="s">
        <v>918</v>
      </c>
      <c r="F4426" s="7" t="s">
        <v>9060</v>
      </c>
      <c r="G4426" s="7" t="n">
        <v>2003</v>
      </c>
      <c r="H4426" s="7" t="s">
        <v>54</v>
      </c>
      <c r="I4426" s="7" t="s">
        <v>494</v>
      </c>
      <c r="J4426" s="7" t="s">
        <v>74</v>
      </c>
      <c r="K4426" s="7" t="n">
        <f aca="false">IFERROR(VALUE(RIGHT(TRIM(F4426),4)),"")</f>
        <v>2016</v>
      </c>
      <c r="L4426" s="7" t="str">
        <f aca="false">IF(TRIM(E4426)="","Unknown",IFERROR(LEFT(TRIM(E4426),FIND(",",TRIM(E4426))-1),TRIM(E4426)))</f>
        <v>United States</v>
      </c>
      <c r="M4426" s="7" t="str">
        <f aca="false">IFERROR(LEFT(J4426,FIND(",",J4426)-1),J4426)</f>
        <v>Children &amp; Family Movies</v>
      </c>
      <c r="N4426" s="7" t="n">
        <f aca="false">IF(B4426="Movie",IFERROR(VALUE(LEFT(I4426,FIND(" ",I4426)-1)),""),"")</f>
        <v>87</v>
      </c>
      <c r="O4426" s="7" t="str">
        <f aca="false">IF(B4426="TV Show",IFERROR(VALUE(LEFT(I4426,FIND(" ",I4426)-1)),""),"")</f>
        <v/>
      </c>
      <c r="P4426" s="7" t="n">
        <f aca="false">IF(K4426="","",K4426-G4426)</f>
        <v>13</v>
      </c>
    </row>
    <row r="4427" customFormat="false" ht="15" hidden="false" customHeight="false" outlineLevel="0" collapsed="false">
      <c r="A4427" s="7" t="n">
        <v>70271592</v>
      </c>
      <c r="B4427" s="7" t="s">
        <v>68</v>
      </c>
      <c r="C4427" s="7" t="s">
        <v>9066</v>
      </c>
      <c r="D4427" s="7" t="s">
        <v>9067</v>
      </c>
      <c r="E4427" s="7" t="s">
        <v>2289</v>
      </c>
      <c r="F4427" s="7" t="s">
        <v>9068</v>
      </c>
      <c r="G4427" s="7" t="n">
        <v>2013</v>
      </c>
      <c r="H4427" s="7" t="s">
        <v>81</v>
      </c>
      <c r="I4427" s="7" t="s">
        <v>107</v>
      </c>
      <c r="J4427" s="7" t="s">
        <v>74</v>
      </c>
      <c r="K4427" s="7" t="n">
        <f aca="false">IFERROR(VALUE(RIGHT(TRIM(F4427),4)),"")</f>
        <v>2015</v>
      </c>
      <c r="L4427" s="7" t="str">
        <f aca="false">IF(TRIM(E4427)="","Unknown",IFERROR(LEFT(TRIM(E4427),FIND(",",TRIM(E4427))-1),TRIM(E4427)))</f>
        <v>United States</v>
      </c>
      <c r="M4427" s="7" t="str">
        <f aca="false">IFERROR(LEFT(J4427,FIND(",",J4427)-1),J4427)</f>
        <v>Children &amp; Family Movies</v>
      </c>
      <c r="N4427" s="7" t="n">
        <f aca="false">IF(B4427="Movie",IFERROR(VALUE(LEFT(I4427,FIND(" ",I4427)-1)),""),"")</f>
        <v>78</v>
      </c>
      <c r="O4427" s="7" t="str">
        <f aca="false">IF(B4427="TV Show",IFERROR(VALUE(LEFT(I4427,FIND(" ",I4427)-1)),""),"")</f>
        <v/>
      </c>
      <c r="P4427" s="7" t="n">
        <f aca="false">IF(K4427="","",K4427-G4427)</f>
        <v>2</v>
      </c>
    </row>
    <row r="4428" customFormat="false" ht="15" hidden="false" customHeight="false" outlineLevel="0" collapsed="false">
      <c r="A4428" s="7" t="n">
        <v>80046144</v>
      </c>
      <c r="B4428" s="7" t="s">
        <v>68</v>
      </c>
      <c r="C4428" s="7" t="s">
        <v>9069</v>
      </c>
      <c r="D4428" s="7" t="s">
        <v>9070</v>
      </c>
      <c r="E4428" s="7" t="s">
        <v>129</v>
      </c>
      <c r="F4428" s="7" t="s">
        <v>9068</v>
      </c>
      <c r="G4428" s="7" t="n">
        <v>2013</v>
      </c>
      <c r="H4428" s="7" t="s">
        <v>119</v>
      </c>
      <c r="I4428" s="7" t="s">
        <v>1191</v>
      </c>
      <c r="J4428" s="7" t="s">
        <v>42</v>
      </c>
      <c r="K4428" s="7" t="n">
        <f aca="false">IFERROR(VALUE(RIGHT(TRIM(F4428),4)),"")</f>
        <v>2015</v>
      </c>
      <c r="L4428" s="7" t="str">
        <f aca="false">IF(TRIM(E4428)="","Unknown",IFERROR(LEFT(TRIM(E4428),FIND(",",TRIM(E4428))-1),TRIM(E4428)))</f>
        <v>France</v>
      </c>
      <c r="M4428" s="7" t="str">
        <f aca="false">IFERROR(LEFT(J4428,FIND(",",J4428)-1),J4428)</f>
        <v>Children &amp; Family Movies</v>
      </c>
      <c r="N4428" s="7" t="n">
        <f aca="false">IF(B4428="Movie",IFERROR(VALUE(LEFT(I4428,FIND(" ",I4428)-1)),""),"")</f>
        <v>73</v>
      </c>
      <c r="O4428" s="7" t="str">
        <f aca="false">IF(B4428="TV Show",IFERROR(VALUE(LEFT(I4428,FIND(" ",I4428)-1)),""),"")</f>
        <v/>
      </c>
      <c r="P4428" s="7" t="n">
        <f aca="false">IF(K4428="","",K4428-G4428)</f>
        <v>2</v>
      </c>
    </row>
    <row r="4429" customFormat="false" ht="15" hidden="false" customHeight="false" outlineLevel="0" collapsed="false">
      <c r="A4429" s="7" t="n">
        <v>80046145</v>
      </c>
      <c r="B4429" s="7" t="s">
        <v>68</v>
      </c>
      <c r="C4429" s="7" t="s">
        <v>9071</v>
      </c>
      <c r="D4429" s="7" t="s">
        <v>9070</v>
      </c>
      <c r="E4429" s="7" t="s">
        <v>9072</v>
      </c>
      <c r="F4429" s="7" t="s">
        <v>9068</v>
      </c>
      <c r="G4429" s="7" t="n">
        <v>2010</v>
      </c>
      <c r="H4429" s="7" t="s">
        <v>226</v>
      </c>
      <c r="I4429" s="7" t="s">
        <v>348</v>
      </c>
      <c r="J4429" s="7" t="s">
        <v>42</v>
      </c>
      <c r="K4429" s="7" t="n">
        <f aca="false">IFERROR(VALUE(RIGHT(TRIM(F4429),4)),"")</f>
        <v>2015</v>
      </c>
      <c r="L4429" s="7" t="str">
        <f aca="false">IF(TRIM(E4429)="","Unknown",IFERROR(LEFT(TRIM(E4429),FIND(",",TRIM(E4429))-1),TRIM(E4429)))</f>
        <v>Australia</v>
      </c>
      <c r="M4429" s="7" t="str">
        <f aca="false">IFERROR(LEFT(J4429,FIND(",",J4429)-1),J4429)</f>
        <v>Children &amp; Family Movies</v>
      </c>
      <c r="N4429" s="7" t="n">
        <f aca="false">IF(B4429="Movie",IFERROR(VALUE(LEFT(I4429,FIND(" ",I4429)-1)),""),"")</f>
        <v>72</v>
      </c>
      <c r="O4429" s="7" t="str">
        <f aca="false">IF(B4429="TV Show",IFERROR(VALUE(LEFT(I4429,FIND(" ",I4429)-1)),""),"")</f>
        <v/>
      </c>
      <c r="P4429" s="7" t="n">
        <f aca="false">IF(K4429="","",K4429-G4429)</f>
        <v>5</v>
      </c>
    </row>
    <row r="4430" customFormat="false" ht="15" hidden="false" customHeight="false" outlineLevel="0" collapsed="false">
      <c r="A4430" s="7" t="n">
        <v>80202133</v>
      </c>
      <c r="B4430" s="7" t="s">
        <v>78</v>
      </c>
      <c r="C4430" s="7" t="s">
        <v>9073</v>
      </c>
      <c r="E4430" s="7" t="s">
        <v>26</v>
      </c>
      <c r="F4430" s="7" t="s">
        <v>9074</v>
      </c>
      <c r="G4430" s="7" t="n">
        <v>2018</v>
      </c>
      <c r="H4430" s="7" t="s">
        <v>48</v>
      </c>
      <c r="I4430" s="7" t="s">
        <v>82</v>
      </c>
      <c r="J4430" s="7" t="s">
        <v>3110</v>
      </c>
      <c r="K4430" s="7" t="n">
        <f aca="false">IFERROR(VALUE(RIGHT(TRIM(F4430),4)),"")</f>
        <v>2019</v>
      </c>
      <c r="L4430" s="7" t="str">
        <f aca="false">IF(TRIM(E4430)="","Unknown",IFERROR(LEFT(TRIM(E4430),FIND(",",TRIM(E4430))-1),TRIM(E4430)))</f>
        <v>United States</v>
      </c>
      <c r="M4430" s="7" t="str">
        <f aca="false">IFERROR(LEFT(J4430,FIND(",",J4430)-1),J4430)</f>
        <v>TV Horror</v>
      </c>
      <c r="N4430" s="7" t="str">
        <f aca="false">IF(B4430="Movie",IFERROR(VALUE(LEFT(I4430,FIND(" ",I4430)-1)),""),"")</f>
        <v/>
      </c>
      <c r="O4430" s="7" t="n">
        <f aca="false">IF(B4430="TV Show",IFERROR(VALUE(LEFT(I4430,FIND(" ",I4430)-1)),""),"")</f>
        <v>1</v>
      </c>
      <c r="P4430" s="7" t="n">
        <f aca="false">IF(K4430="","",K4430-G4430)</f>
        <v>1</v>
      </c>
    </row>
    <row r="4431" customFormat="false" ht="15" hidden="false" customHeight="false" outlineLevel="0" collapsed="false">
      <c r="A4431" s="7" t="n">
        <v>81004280</v>
      </c>
      <c r="B4431" s="7" t="s">
        <v>78</v>
      </c>
      <c r="C4431" s="7" t="s">
        <v>9075</v>
      </c>
      <c r="E4431" s="7" t="s">
        <v>32</v>
      </c>
      <c r="F4431" s="7" t="s">
        <v>9076</v>
      </c>
      <c r="G4431" s="7" t="n">
        <v>2018</v>
      </c>
      <c r="H4431" s="7" t="s">
        <v>49</v>
      </c>
      <c r="I4431" s="7" t="s">
        <v>82</v>
      </c>
      <c r="J4431" s="7" t="s">
        <v>1877</v>
      </c>
      <c r="K4431" s="7" t="n">
        <f aca="false">IFERROR(VALUE(RIGHT(TRIM(F4431),4)),"")</f>
        <v>2018</v>
      </c>
      <c r="L4431" s="7" t="str">
        <f aca="false">IF(TRIM(E4431)="","Unknown",IFERROR(LEFT(TRIM(E4431),FIND(",",TRIM(E4431))-1),TRIM(E4431)))</f>
        <v>South Korea</v>
      </c>
      <c r="M4431" s="7" t="str">
        <f aca="false">IFERROR(LEFT(J4431,FIND(",",J4431)-1),J4431)</f>
        <v>Crime TV Shows</v>
      </c>
      <c r="N4431" s="7" t="str">
        <f aca="false">IF(B4431="Movie",IFERROR(VALUE(LEFT(I4431,FIND(" ",I4431)-1)),""),"")</f>
        <v/>
      </c>
      <c r="O4431" s="7" t="n">
        <f aca="false">IF(B4431="TV Show",IFERROR(VALUE(LEFT(I4431,FIND(" ",I4431)-1)),""),"")</f>
        <v>1</v>
      </c>
      <c r="P4431" s="7" t="n">
        <f aca="false">IF(K4431="","",K4431-G4431)</f>
        <v>0</v>
      </c>
    </row>
    <row r="4432" customFormat="false" ht="15" hidden="false" customHeight="false" outlineLevel="0" collapsed="false">
      <c r="A4432" s="7" t="n">
        <v>81036338</v>
      </c>
      <c r="B4432" s="7" t="s">
        <v>68</v>
      </c>
      <c r="C4432" s="7" t="s">
        <v>9077</v>
      </c>
      <c r="D4432" s="7" t="s">
        <v>9078</v>
      </c>
      <c r="E4432" s="7" t="s">
        <v>259</v>
      </c>
      <c r="F4432" s="7" t="s">
        <v>9076</v>
      </c>
      <c r="G4432" s="7" t="n">
        <v>2018</v>
      </c>
      <c r="H4432" s="7" t="s">
        <v>49</v>
      </c>
      <c r="I4432" s="7" t="s">
        <v>1062</v>
      </c>
      <c r="J4432" s="7" t="s">
        <v>139</v>
      </c>
      <c r="K4432" s="7" t="n">
        <f aca="false">IFERROR(VALUE(RIGHT(TRIM(F4432),4)),"")</f>
        <v>2018</v>
      </c>
      <c r="L4432" s="7" t="str">
        <f aca="false">IF(TRIM(E4432)="","Unknown",IFERROR(LEFT(TRIM(E4432),FIND(",",TRIM(E4432))-1),TRIM(E4432)))</f>
        <v>Pakistan</v>
      </c>
      <c r="M4432" s="7" t="str">
        <f aca="false">IFERROR(LEFT(J4432,FIND(",",J4432)-1),J4432)</f>
        <v>Action &amp; Adventure</v>
      </c>
      <c r="N4432" s="7" t="n">
        <f aca="false">IF(B4432="Movie",IFERROR(VALUE(LEFT(I4432,FIND(" ",I4432)-1)),""),"")</f>
        <v>155</v>
      </c>
      <c r="O4432" s="7" t="str">
        <f aca="false">IF(B4432="TV Show",IFERROR(VALUE(LEFT(I4432,FIND(" ",I4432)-1)),""),"")</f>
        <v/>
      </c>
      <c r="P4432" s="7" t="n">
        <f aca="false">IF(K4432="","",K4432-G4432)</f>
        <v>0</v>
      </c>
    </row>
    <row r="4433" customFormat="false" ht="15" hidden="false" customHeight="false" outlineLevel="0" collapsed="false">
      <c r="A4433" s="7" t="n">
        <v>80058480</v>
      </c>
      <c r="B4433" s="7" t="s">
        <v>68</v>
      </c>
      <c r="C4433" s="7" t="s">
        <v>9079</v>
      </c>
      <c r="D4433" s="7" t="s">
        <v>9080</v>
      </c>
      <c r="E4433" s="7" t="s">
        <v>9081</v>
      </c>
      <c r="F4433" s="7" t="s">
        <v>9076</v>
      </c>
      <c r="G4433" s="7" t="n">
        <v>2015</v>
      </c>
      <c r="H4433" s="7" t="s">
        <v>51</v>
      </c>
      <c r="I4433" s="7" t="s">
        <v>519</v>
      </c>
      <c r="J4433" s="7" t="s">
        <v>206</v>
      </c>
      <c r="K4433" s="7" t="n">
        <f aca="false">IFERROR(VALUE(RIGHT(TRIM(F4433),4)),"")</f>
        <v>2018</v>
      </c>
      <c r="L4433" s="7" t="str">
        <f aca="false">IF(TRIM(E4433)="","Unknown",IFERROR(LEFT(TRIM(E4433),FIND(",",TRIM(E4433))-1),TRIM(E4433)))</f>
        <v>Ireland</v>
      </c>
      <c r="M4433" s="7" t="str">
        <f aca="false">IFERROR(LEFT(J4433,FIND(",",J4433)-1),J4433)</f>
        <v>Comedies</v>
      </c>
      <c r="N4433" s="7" t="n">
        <f aca="false">IF(B4433="Movie",IFERROR(VALUE(LEFT(I4433,FIND(" ",I4433)-1)),""),"")</f>
        <v>119</v>
      </c>
      <c r="O4433" s="7" t="str">
        <f aca="false">IF(B4433="TV Show",IFERROR(VALUE(LEFT(I4433,FIND(" ",I4433)-1)),""),"")</f>
        <v/>
      </c>
      <c r="P4433" s="7" t="n">
        <f aca="false">IF(K4433="","",K4433-G4433)</f>
        <v>3</v>
      </c>
    </row>
    <row r="4434" customFormat="false" ht="15" hidden="false" customHeight="false" outlineLevel="0" collapsed="false">
      <c r="A4434" s="7" t="n">
        <v>80206847</v>
      </c>
      <c r="B4434" s="7" t="s">
        <v>68</v>
      </c>
      <c r="C4434" s="7" t="s">
        <v>9082</v>
      </c>
      <c r="D4434" s="7" t="s">
        <v>6617</v>
      </c>
      <c r="E4434" s="7" t="s">
        <v>27</v>
      </c>
      <c r="F4434" s="7" t="s">
        <v>9083</v>
      </c>
      <c r="G4434" s="7" t="n">
        <v>2017</v>
      </c>
      <c r="H4434" s="7" t="s">
        <v>49</v>
      </c>
      <c r="I4434" s="7" t="s">
        <v>197</v>
      </c>
      <c r="J4434" s="7" t="s">
        <v>206</v>
      </c>
      <c r="K4434" s="7" t="n">
        <f aca="false">IFERROR(VALUE(RIGHT(TRIM(F4434),4)),"")</f>
        <v>2017</v>
      </c>
      <c r="L4434" s="7" t="str">
        <f aca="false">IF(TRIM(E4434)="","Unknown",IFERROR(LEFT(TRIM(E4434),FIND(",",TRIM(E4434))-1),TRIM(E4434)))</f>
        <v>India</v>
      </c>
      <c r="M4434" s="7" t="str">
        <f aca="false">IFERROR(LEFT(J4434,FIND(",",J4434)-1),J4434)</f>
        <v>Comedies</v>
      </c>
      <c r="N4434" s="7" t="n">
        <f aca="false">IF(B4434="Movie",IFERROR(VALUE(LEFT(I4434,FIND(" ",I4434)-1)),""),"")</f>
        <v>142</v>
      </c>
      <c r="O4434" s="7" t="str">
        <f aca="false">IF(B4434="TV Show",IFERROR(VALUE(LEFT(I4434,FIND(" ",I4434)-1)),""),"")</f>
        <v/>
      </c>
      <c r="P4434" s="7" t="n">
        <f aca="false">IF(K4434="","",K4434-G4434)</f>
        <v>0</v>
      </c>
    </row>
    <row r="4435" customFormat="false" ht="15" hidden="false" customHeight="false" outlineLevel="0" collapsed="false">
      <c r="A4435" s="7" t="n">
        <v>80164930</v>
      </c>
      <c r="B4435" s="7" t="s">
        <v>68</v>
      </c>
      <c r="C4435" s="7" t="s">
        <v>9084</v>
      </c>
      <c r="D4435" s="7" t="s">
        <v>9085</v>
      </c>
      <c r="E4435" s="7" t="s">
        <v>8784</v>
      </c>
      <c r="F4435" s="7" t="s">
        <v>9083</v>
      </c>
      <c r="G4435" s="7" t="n">
        <v>2017</v>
      </c>
      <c r="H4435" s="7" t="s">
        <v>48</v>
      </c>
      <c r="I4435" s="7" t="s">
        <v>107</v>
      </c>
      <c r="J4435" s="7" t="s">
        <v>652</v>
      </c>
      <c r="K4435" s="7" t="n">
        <f aca="false">IFERROR(VALUE(RIGHT(TRIM(F4435),4)),"")</f>
        <v>2017</v>
      </c>
      <c r="L4435" s="7" t="str">
        <f aca="false">IF(TRIM(E4435)="","Unknown",IFERROR(LEFT(TRIM(E4435),FIND(",",TRIM(E4435))-1),TRIM(E4435)))</f>
        <v>Japan</v>
      </c>
      <c r="M4435" s="7" t="str">
        <f aca="false">IFERROR(LEFT(J4435,FIND(",",J4435)-1),J4435)</f>
        <v>Horror Movies</v>
      </c>
      <c r="N4435" s="7" t="n">
        <f aca="false">IF(B4435="Movie",IFERROR(VALUE(LEFT(I4435,FIND(" ",I4435)-1)),""),"")</f>
        <v>78</v>
      </c>
      <c r="O4435" s="7" t="str">
        <f aca="false">IF(B4435="TV Show",IFERROR(VALUE(LEFT(I4435,FIND(" ",I4435)-1)),""),"")</f>
        <v/>
      </c>
      <c r="P4435" s="7" t="n">
        <f aca="false">IF(K4435="","",K4435-G4435)</f>
        <v>0</v>
      </c>
    </row>
    <row r="4436" customFormat="false" ht="15" hidden="false" customHeight="false" outlineLevel="0" collapsed="false">
      <c r="A4436" s="7" t="n">
        <v>80115102</v>
      </c>
      <c r="B4436" s="7" t="s">
        <v>68</v>
      </c>
      <c r="C4436" s="7" t="s">
        <v>9086</v>
      </c>
      <c r="D4436" s="7" t="s">
        <v>9087</v>
      </c>
      <c r="E4436" s="7" t="s">
        <v>619</v>
      </c>
      <c r="F4436" s="7" t="s">
        <v>9088</v>
      </c>
      <c r="G4436" s="7" t="n">
        <v>2016</v>
      </c>
      <c r="H4436" s="7" t="s">
        <v>49</v>
      </c>
      <c r="I4436" s="7" t="s">
        <v>168</v>
      </c>
      <c r="J4436" s="7" t="s">
        <v>39</v>
      </c>
      <c r="K4436" s="7" t="n">
        <f aca="false">IFERROR(VALUE(RIGHT(TRIM(F4436),4)),"")</f>
        <v>2016</v>
      </c>
      <c r="L4436" s="7" t="str">
        <f aca="false">IF(TRIM(E4436)="","Unknown",IFERROR(LEFT(TRIM(E4436),FIND(",",TRIM(E4436))-1),TRIM(E4436)))</f>
        <v>Canada</v>
      </c>
      <c r="M4436" s="7" t="str">
        <f aca="false">IFERROR(LEFT(J4436,FIND(",",J4436)-1),J4436)</f>
        <v>Documentaries</v>
      </c>
      <c r="N4436" s="7" t="n">
        <f aca="false">IF(B4436="Movie",IFERROR(VALUE(LEFT(I4436,FIND(" ",I4436)-1)),""),"")</f>
        <v>112</v>
      </c>
      <c r="O4436" s="7" t="str">
        <f aca="false">IF(B4436="TV Show",IFERROR(VALUE(LEFT(I4436,FIND(" ",I4436)-1)),""),"")</f>
        <v/>
      </c>
      <c r="P4436" s="7" t="n">
        <f aca="false">IF(K4436="","",K4436-G4436)</f>
        <v>0</v>
      </c>
    </row>
    <row r="4437" customFormat="false" ht="15" hidden="false" customHeight="false" outlineLevel="0" collapsed="false">
      <c r="A4437" s="7" t="n">
        <v>80106265</v>
      </c>
      <c r="B4437" s="7" t="s">
        <v>78</v>
      </c>
      <c r="C4437" s="7" t="s">
        <v>9089</v>
      </c>
      <c r="E4437" s="7" t="s">
        <v>35</v>
      </c>
      <c r="F4437" s="7" t="s">
        <v>9088</v>
      </c>
      <c r="G4437" s="7" t="n">
        <v>2016</v>
      </c>
      <c r="H4437" s="7" t="s">
        <v>49</v>
      </c>
      <c r="I4437" s="7" t="s">
        <v>82</v>
      </c>
      <c r="J4437" s="7" t="s">
        <v>9090</v>
      </c>
      <c r="K4437" s="7" t="n">
        <f aca="false">IFERROR(VALUE(RIGHT(TRIM(F4437),4)),"")</f>
        <v>2016</v>
      </c>
      <c r="L4437" s="7" t="str">
        <f aca="false">IF(TRIM(E4437)="","Unknown",IFERROR(LEFT(TRIM(E4437),FIND(",",TRIM(E4437))-1),TRIM(E4437)))</f>
        <v>Australia</v>
      </c>
      <c r="M4437" s="7" t="str">
        <f aca="false">IFERROR(LEFT(J4437,FIND(",",J4437)-1),J4437)</f>
        <v>Crime TV Shows</v>
      </c>
      <c r="N4437" s="7" t="str">
        <f aca="false">IF(B4437="Movie",IFERROR(VALUE(LEFT(I4437,FIND(" ",I4437)-1)),""),"")</f>
        <v/>
      </c>
      <c r="O4437" s="7" t="n">
        <f aca="false">IF(B4437="TV Show",IFERROR(VALUE(LEFT(I4437,FIND(" ",I4437)-1)),""),"")</f>
        <v>1</v>
      </c>
      <c r="P4437" s="7" t="n">
        <f aca="false">IF(K4437="","",K4437-G4437)</f>
        <v>0</v>
      </c>
    </row>
    <row r="4438" customFormat="false" ht="15" hidden="false" customHeight="false" outlineLevel="0" collapsed="false">
      <c r="A4438" s="7" t="n">
        <v>80098467</v>
      </c>
      <c r="B4438" s="7" t="s">
        <v>68</v>
      </c>
      <c r="C4438" s="7" t="s">
        <v>9091</v>
      </c>
      <c r="D4438" s="7" t="s">
        <v>9092</v>
      </c>
      <c r="E4438" s="7" t="s">
        <v>26</v>
      </c>
      <c r="F4438" s="7" t="s">
        <v>9088</v>
      </c>
      <c r="G4438" s="7" t="n">
        <v>2016</v>
      </c>
      <c r="H4438" s="7" t="s">
        <v>966</v>
      </c>
      <c r="I4438" s="7" t="s">
        <v>73</v>
      </c>
      <c r="J4438" s="7" t="s">
        <v>150</v>
      </c>
      <c r="K4438" s="7" t="n">
        <f aca="false">IFERROR(VALUE(RIGHT(TRIM(F4438),4)),"")</f>
        <v>2016</v>
      </c>
      <c r="L4438" s="7" t="str">
        <f aca="false">IF(TRIM(E4438)="","Unknown",IFERROR(LEFT(TRIM(E4438),FIND(",",TRIM(E4438))-1),TRIM(E4438)))</f>
        <v>United States</v>
      </c>
      <c r="M4438" s="7" t="str">
        <f aca="false">IFERROR(LEFT(J4438,FIND(",",J4438)-1),J4438)</f>
        <v>Dramas</v>
      </c>
      <c r="N4438" s="7" t="n">
        <f aca="false">IF(B4438="Movie",IFERROR(VALUE(LEFT(I4438,FIND(" ",I4438)-1)),""),"")</f>
        <v>90</v>
      </c>
      <c r="O4438" s="7" t="str">
        <f aca="false">IF(B4438="TV Show",IFERROR(VALUE(LEFT(I4438,FIND(" ",I4438)-1)),""),"")</f>
        <v/>
      </c>
      <c r="P4438" s="7" t="n">
        <f aca="false">IF(K4438="","",K4438-G4438)</f>
        <v>0</v>
      </c>
    </row>
    <row r="4439" customFormat="false" ht="15" hidden="false" customHeight="false" outlineLevel="0" collapsed="false">
      <c r="A4439" s="7" t="n">
        <v>80098491</v>
      </c>
      <c r="B4439" s="7" t="s">
        <v>68</v>
      </c>
      <c r="C4439" s="7" t="s">
        <v>9093</v>
      </c>
      <c r="D4439" s="7" t="s">
        <v>2253</v>
      </c>
      <c r="E4439" s="7" t="s">
        <v>26</v>
      </c>
      <c r="F4439" s="7" t="s">
        <v>9088</v>
      </c>
      <c r="G4439" s="7" t="n">
        <v>2016</v>
      </c>
      <c r="H4439" s="7" t="s">
        <v>52</v>
      </c>
      <c r="I4439" s="7" t="s">
        <v>264</v>
      </c>
      <c r="J4439" s="7" t="s">
        <v>4547</v>
      </c>
      <c r="K4439" s="7" t="n">
        <f aca="false">IFERROR(VALUE(RIGHT(TRIM(F4439),4)),"")</f>
        <v>2016</v>
      </c>
      <c r="L4439" s="7" t="str">
        <f aca="false">IF(TRIM(E4439)="","Unknown",IFERROR(LEFT(TRIM(E4439),FIND(",",TRIM(E4439))-1),TRIM(E4439)))</f>
        <v>United States</v>
      </c>
      <c r="M4439" s="7" t="str">
        <f aca="false">IFERROR(LEFT(J4439,FIND(",",J4439)-1),J4439)</f>
        <v>Comedies</v>
      </c>
      <c r="N4439" s="7" t="n">
        <f aca="false">IF(B4439="Movie",IFERROR(VALUE(LEFT(I4439,FIND(" ",I4439)-1)),""),"")</f>
        <v>88</v>
      </c>
      <c r="O4439" s="7" t="str">
        <f aca="false">IF(B4439="TV Show",IFERROR(VALUE(LEFT(I4439,FIND(" ",I4439)-1)),""),"")</f>
        <v/>
      </c>
      <c r="P4439" s="7" t="n">
        <f aca="false">IF(K4439="","",K4439-G4439)</f>
        <v>0</v>
      </c>
    </row>
    <row r="4440" customFormat="false" ht="15" hidden="false" customHeight="false" outlineLevel="0" collapsed="false">
      <c r="A4440" s="7" t="n">
        <v>80081754</v>
      </c>
      <c r="B4440" s="7" t="s">
        <v>78</v>
      </c>
      <c r="C4440" s="7" t="s">
        <v>9094</v>
      </c>
      <c r="E4440" s="7" t="s">
        <v>26</v>
      </c>
      <c r="F4440" s="7" t="s">
        <v>9095</v>
      </c>
      <c r="G4440" s="7" t="n">
        <v>2015</v>
      </c>
      <c r="H4440" s="7" t="s">
        <v>55</v>
      </c>
      <c r="I4440" s="7" t="s">
        <v>82</v>
      </c>
      <c r="J4440" s="7" t="s">
        <v>44</v>
      </c>
      <c r="K4440" s="7" t="n">
        <f aca="false">IFERROR(VALUE(RIGHT(TRIM(F4440),4)),"")</f>
        <v>2015</v>
      </c>
      <c r="L4440" s="7" t="str">
        <f aca="false">IF(TRIM(E4440)="","Unknown",IFERROR(LEFT(TRIM(E4440),FIND(",",TRIM(E4440))-1),TRIM(E4440)))</f>
        <v>United States</v>
      </c>
      <c r="M4440" s="7" t="str">
        <f aca="false">IFERROR(LEFT(J4440,FIND(",",J4440)-1),J4440)</f>
        <v>Kids' TV</v>
      </c>
      <c r="N4440" s="7" t="str">
        <f aca="false">IF(B4440="Movie",IFERROR(VALUE(LEFT(I4440,FIND(" ",I4440)-1)),""),"")</f>
        <v/>
      </c>
      <c r="O4440" s="7" t="n">
        <f aca="false">IF(B4440="TV Show",IFERROR(VALUE(LEFT(I4440,FIND(" ",I4440)-1)),""),"")</f>
        <v>1</v>
      </c>
      <c r="P4440" s="7" t="n">
        <f aca="false">IF(K4440="","",K4440-G4440)</f>
        <v>0</v>
      </c>
    </row>
    <row r="4441" customFormat="false" ht="15" hidden="false" customHeight="false" outlineLevel="0" collapsed="false">
      <c r="A4441" s="7" t="n">
        <v>80244681</v>
      </c>
      <c r="B4441" s="7" t="s">
        <v>68</v>
      </c>
      <c r="C4441" s="7" t="s">
        <v>9096</v>
      </c>
      <c r="D4441" s="7" t="s">
        <v>9097</v>
      </c>
      <c r="E4441" s="7" t="s">
        <v>445</v>
      </c>
      <c r="F4441" s="7" t="s">
        <v>9098</v>
      </c>
      <c r="G4441" s="7" t="n">
        <v>2019</v>
      </c>
      <c r="H4441" s="7" t="s">
        <v>50</v>
      </c>
      <c r="I4441" s="7" t="s">
        <v>843</v>
      </c>
      <c r="J4441" s="7" t="s">
        <v>341</v>
      </c>
      <c r="K4441" s="7" t="n">
        <f aca="false">IFERROR(VALUE(RIGHT(TRIM(F4441),4)),"")</f>
        <v>2019</v>
      </c>
      <c r="L4441" s="7" t="str">
        <f aca="false">IF(TRIM(E4441)="","Unknown",IFERROR(LEFT(TRIM(E4441),FIND(",",TRIM(E4441))-1),TRIM(E4441)))</f>
        <v>United States</v>
      </c>
      <c r="M4441" s="7" t="str">
        <f aca="false">IFERROR(LEFT(J4441,FIND(",",J4441)-1),J4441)</f>
        <v>Documentaries</v>
      </c>
      <c r="N4441" s="7" t="n">
        <f aca="false">IF(B4441="Movie",IFERROR(VALUE(LEFT(I4441,FIND(" ",I4441)-1)),""),"")</f>
        <v>25</v>
      </c>
      <c r="O4441" s="7" t="str">
        <f aca="false">IF(B4441="TV Show",IFERROR(VALUE(LEFT(I4441,FIND(" ",I4441)-1)),""),"")</f>
        <v/>
      </c>
      <c r="P4441" s="7" t="n">
        <f aca="false">IF(K4441="","",K4441-G4441)</f>
        <v>0</v>
      </c>
    </row>
    <row r="4442" customFormat="false" ht="15" hidden="false" customHeight="false" outlineLevel="0" collapsed="false">
      <c r="A4442" s="7" t="n">
        <v>80989919</v>
      </c>
      <c r="B4442" s="7" t="s">
        <v>78</v>
      </c>
      <c r="C4442" s="7" t="s">
        <v>9099</v>
      </c>
      <c r="E4442" s="7" t="s">
        <v>31</v>
      </c>
      <c r="F4442" s="7" t="s">
        <v>9098</v>
      </c>
      <c r="G4442" s="7" t="n">
        <v>2019</v>
      </c>
      <c r="H4442" s="7" t="s">
        <v>48</v>
      </c>
      <c r="I4442" s="7" t="s">
        <v>82</v>
      </c>
      <c r="J4442" s="7" t="s">
        <v>314</v>
      </c>
      <c r="K4442" s="7" t="n">
        <f aca="false">IFERROR(VALUE(RIGHT(TRIM(F4442),4)),"")</f>
        <v>2019</v>
      </c>
      <c r="L4442" s="7" t="str">
        <f aca="false">IF(TRIM(E4442)="","Unknown",IFERROR(LEFT(TRIM(E4442),FIND(",",TRIM(E4442))-1),TRIM(E4442)))</f>
        <v>France</v>
      </c>
      <c r="M4442" s="7" t="str">
        <f aca="false">IFERROR(LEFT(J4442,FIND(",",J4442)-1),J4442)</f>
        <v>International TV Shows</v>
      </c>
      <c r="N4442" s="7" t="str">
        <f aca="false">IF(B4442="Movie",IFERROR(VALUE(LEFT(I4442,FIND(" ",I4442)-1)),""),"")</f>
        <v/>
      </c>
      <c r="O4442" s="7" t="n">
        <f aca="false">IF(B4442="TV Show",IFERROR(VALUE(LEFT(I4442,FIND(" ",I4442)-1)),""),"")</f>
        <v>1</v>
      </c>
      <c r="P4442" s="7" t="n">
        <f aca="false">IF(K4442="","",K4442-G4442)</f>
        <v>0</v>
      </c>
    </row>
    <row r="4443" customFormat="false" ht="15" hidden="false" customHeight="false" outlineLevel="0" collapsed="false">
      <c r="A4443" s="7" t="n">
        <v>81018239</v>
      </c>
      <c r="B4443" s="7" t="s">
        <v>68</v>
      </c>
      <c r="C4443" s="7" t="s">
        <v>9100</v>
      </c>
      <c r="D4443" s="7" t="s">
        <v>9101</v>
      </c>
      <c r="E4443" s="7" t="s">
        <v>27</v>
      </c>
      <c r="F4443" s="7" t="s">
        <v>9102</v>
      </c>
      <c r="G4443" s="7" t="n">
        <v>2018</v>
      </c>
      <c r="H4443" s="7" t="s">
        <v>48</v>
      </c>
      <c r="I4443" s="7" t="s">
        <v>73</v>
      </c>
      <c r="J4443" s="7" t="s">
        <v>188</v>
      </c>
      <c r="K4443" s="7" t="n">
        <f aca="false">IFERROR(VALUE(RIGHT(TRIM(F4443),4)),"")</f>
        <v>2018</v>
      </c>
      <c r="L4443" s="7" t="str">
        <f aca="false">IF(TRIM(E4443)="","Unknown",IFERROR(LEFT(TRIM(E4443),FIND(",",TRIM(E4443))-1),TRIM(E4443)))</f>
        <v>India</v>
      </c>
      <c r="M4443" s="7" t="str">
        <f aca="false">IFERROR(LEFT(J4443,FIND(",",J4443)-1),J4443)</f>
        <v>Dramas</v>
      </c>
      <c r="N4443" s="7" t="n">
        <f aca="false">IF(B4443="Movie",IFERROR(VALUE(LEFT(I4443,FIND(" ",I4443)-1)),""),"")</f>
        <v>90</v>
      </c>
      <c r="O4443" s="7" t="str">
        <f aca="false">IF(B4443="TV Show",IFERROR(VALUE(LEFT(I4443,FIND(" ",I4443)-1)),""),"")</f>
        <v/>
      </c>
      <c r="P4443" s="7" t="n">
        <f aca="false">IF(K4443="","",K4443-G4443)</f>
        <v>0</v>
      </c>
    </row>
    <row r="4444" customFormat="false" ht="15" hidden="false" customHeight="false" outlineLevel="0" collapsed="false">
      <c r="A4444" s="7" t="n">
        <v>80205978</v>
      </c>
      <c r="B4444" s="7" t="s">
        <v>68</v>
      </c>
      <c r="C4444" s="7" t="s">
        <v>9103</v>
      </c>
      <c r="D4444" s="7" t="s">
        <v>9104</v>
      </c>
      <c r="E4444" s="7" t="s">
        <v>26</v>
      </c>
      <c r="F4444" s="7" t="s">
        <v>9105</v>
      </c>
      <c r="G4444" s="7" t="n">
        <v>2017</v>
      </c>
      <c r="H4444" s="7" t="s">
        <v>49</v>
      </c>
      <c r="I4444" s="7" t="s">
        <v>340</v>
      </c>
      <c r="J4444" s="7" t="s">
        <v>5400</v>
      </c>
      <c r="K4444" s="7" t="n">
        <f aca="false">IFERROR(VALUE(RIGHT(TRIM(F4444),4)),"")</f>
        <v>2017</v>
      </c>
      <c r="L4444" s="7" t="str">
        <f aca="false">IF(TRIM(E4444)="","Unknown",IFERROR(LEFT(TRIM(E4444),FIND(",",TRIM(E4444))-1),TRIM(E4444)))</f>
        <v>United States</v>
      </c>
      <c r="M4444" s="7" t="str">
        <f aca="false">IFERROR(LEFT(J4444,FIND(",",J4444)-1),J4444)</f>
        <v>Romantic Movies</v>
      </c>
      <c r="N4444" s="7" t="n">
        <f aca="false">IF(B4444="Movie",IFERROR(VALUE(LEFT(I4444,FIND(" ",I4444)-1)),""),"")</f>
        <v>85</v>
      </c>
      <c r="O4444" s="7" t="str">
        <f aca="false">IF(B4444="TV Show",IFERROR(VALUE(LEFT(I4444,FIND(" ",I4444)-1)),""),"")</f>
        <v/>
      </c>
      <c r="P4444" s="7" t="n">
        <f aca="false">IF(K4444="","",K4444-G4444)</f>
        <v>0</v>
      </c>
    </row>
    <row r="4445" customFormat="false" ht="15" hidden="false" customHeight="false" outlineLevel="0" collapsed="false">
      <c r="A4445" s="7" t="n">
        <v>80189806</v>
      </c>
      <c r="B4445" s="7" t="s">
        <v>68</v>
      </c>
      <c r="C4445" s="7" t="s">
        <v>9106</v>
      </c>
      <c r="D4445" s="7" t="s">
        <v>9107</v>
      </c>
      <c r="E4445" s="7" t="s">
        <v>28</v>
      </c>
      <c r="F4445" s="7" t="s">
        <v>9105</v>
      </c>
      <c r="G4445" s="7" t="n">
        <v>2017</v>
      </c>
      <c r="H4445" s="7" t="s">
        <v>48</v>
      </c>
      <c r="I4445" s="7" t="s">
        <v>628</v>
      </c>
      <c r="J4445" s="7" t="s">
        <v>45</v>
      </c>
      <c r="K4445" s="7" t="n">
        <f aca="false">IFERROR(VALUE(RIGHT(TRIM(F4445),4)),"")</f>
        <v>2017</v>
      </c>
      <c r="L4445" s="7" t="str">
        <f aca="false">IF(TRIM(E4445)="","Unknown",IFERROR(LEFT(TRIM(E4445),FIND(",",TRIM(E4445))-1),TRIM(E4445)))</f>
        <v>United Kingdom</v>
      </c>
      <c r="M4445" s="7" t="str">
        <f aca="false">IFERROR(LEFT(J4445,FIND(",",J4445)-1),J4445)</f>
        <v>Stand-Up Comedy</v>
      </c>
      <c r="N4445" s="7" t="n">
        <f aca="false">IF(B4445="Movie",IFERROR(VALUE(LEFT(I4445,FIND(" ",I4445)-1)),""),"")</f>
        <v>69</v>
      </c>
      <c r="O4445" s="7" t="str">
        <f aca="false">IF(B4445="TV Show",IFERROR(VALUE(LEFT(I4445,FIND(" ",I4445)-1)),""),"")</f>
        <v/>
      </c>
      <c r="P4445" s="7" t="n">
        <f aca="false">IF(K4445="","",K4445-G4445)</f>
        <v>0</v>
      </c>
    </row>
    <row r="4446" customFormat="false" ht="15" hidden="false" customHeight="false" outlineLevel="0" collapsed="false">
      <c r="A4446" s="7" t="n">
        <v>80190279</v>
      </c>
      <c r="B4446" s="7" t="s">
        <v>78</v>
      </c>
      <c r="C4446" s="7" t="s">
        <v>9108</v>
      </c>
      <c r="E4446" s="7" t="s">
        <v>9109</v>
      </c>
      <c r="F4446" s="7" t="s">
        <v>9105</v>
      </c>
      <c r="G4446" s="7" t="n">
        <v>2017</v>
      </c>
      <c r="H4446" s="7" t="s">
        <v>49</v>
      </c>
      <c r="I4446" s="7" t="s">
        <v>82</v>
      </c>
      <c r="J4446" s="7" t="s">
        <v>3638</v>
      </c>
      <c r="K4446" s="7" t="n">
        <f aca="false">IFERROR(VALUE(RIGHT(TRIM(F4446),4)),"")</f>
        <v>2017</v>
      </c>
      <c r="L4446" s="7" t="str">
        <f aca="false">IF(TRIM(E4446)="","Unknown",IFERROR(LEFT(TRIM(E4446),FIND(",",TRIM(E4446))-1),TRIM(E4446)))</f>
        <v>Canada</v>
      </c>
      <c r="M4446" s="7" t="str">
        <f aca="false">IFERROR(LEFT(J4446,FIND(",",J4446)-1),J4446)</f>
        <v>Crime TV Shows</v>
      </c>
      <c r="N4446" s="7" t="str">
        <f aca="false">IF(B4446="Movie",IFERROR(VALUE(LEFT(I4446,FIND(" ",I4446)-1)),""),"")</f>
        <v/>
      </c>
      <c r="O4446" s="7" t="n">
        <f aca="false">IF(B4446="TV Show",IFERROR(VALUE(LEFT(I4446,FIND(" ",I4446)-1)),""),"")</f>
        <v>1</v>
      </c>
      <c r="P4446" s="7" t="n">
        <f aca="false">IF(K4446="","",K4446-G4446)</f>
        <v>0</v>
      </c>
    </row>
    <row r="4447" customFormat="false" ht="15" hidden="false" customHeight="false" outlineLevel="0" collapsed="false">
      <c r="A4447" s="7" t="n">
        <v>80155902</v>
      </c>
      <c r="B4447" s="7" t="s">
        <v>68</v>
      </c>
      <c r="C4447" s="7" t="s">
        <v>9110</v>
      </c>
      <c r="D4447" s="7" t="s">
        <v>9111</v>
      </c>
      <c r="E4447" s="7" t="s">
        <v>5469</v>
      </c>
      <c r="F4447" s="7" t="s">
        <v>9105</v>
      </c>
      <c r="G4447" s="7" t="n">
        <v>2016</v>
      </c>
      <c r="H4447" s="7" t="s">
        <v>50</v>
      </c>
      <c r="I4447" s="7" t="s">
        <v>205</v>
      </c>
      <c r="J4447" s="7" t="s">
        <v>6887</v>
      </c>
      <c r="K4447" s="7" t="n">
        <f aca="false">IFERROR(VALUE(RIGHT(TRIM(F4447),4)),"")</f>
        <v>2017</v>
      </c>
      <c r="L4447" s="7" t="str">
        <f aca="false">IF(TRIM(E4447)="","Unknown",IFERROR(LEFT(TRIM(E4447),FIND(",",TRIM(E4447))-1),TRIM(E4447)))</f>
        <v>Israel</v>
      </c>
      <c r="M4447" s="7" t="str">
        <f aca="false">IFERROR(LEFT(J4447,FIND(",",J4447)-1),J4447)</f>
        <v>Comedies</v>
      </c>
      <c r="N4447" s="7" t="n">
        <f aca="false">IF(B4447="Movie",IFERROR(VALUE(LEFT(I4447,FIND(" ",I4447)-1)),""),"")</f>
        <v>100</v>
      </c>
      <c r="O4447" s="7" t="str">
        <f aca="false">IF(B4447="TV Show",IFERROR(VALUE(LEFT(I4447,FIND(" ",I4447)-1)),""),"")</f>
        <v/>
      </c>
      <c r="P4447" s="7" t="n">
        <f aca="false">IF(K4447="","",K4447-G4447)</f>
        <v>1</v>
      </c>
    </row>
    <row r="4448" customFormat="false" ht="15" hidden="false" customHeight="false" outlineLevel="0" collapsed="false">
      <c r="A4448" s="7" t="n">
        <v>80206057</v>
      </c>
      <c r="B4448" s="7" t="s">
        <v>68</v>
      </c>
      <c r="C4448" s="7" t="s">
        <v>9112</v>
      </c>
      <c r="D4448" s="7" t="s">
        <v>9104</v>
      </c>
      <c r="E4448" s="7" t="s">
        <v>26</v>
      </c>
      <c r="F4448" s="7" t="s">
        <v>9105</v>
      </c>
      <c r="G4448" s="7" t="n">
        <v>2017</v>
      </c>
      <c r="H4448" s="7" t="s">
        <v>50</v>
      </c>
      <c r="I4448" s="7" t="s">
        <v>340</v>
      </c>
      <c r="J4448" s="7" t="s">
        <v>177</v>
      </c>
      <c r="K4448" s="7" t="n">
        <f aca="false">IFERROR(VALUE(RIGHT(TRIM(F4448),4)),"")</f>
        <v>2017</v>
      </c>
      <c r="L4448" s="7" t="str">
        <f aca="false">IF(TRIM(E4448)="","Unknown",IFERROR(LEFT(TRIM(E4448),FIND(",",TRIM(E4448))-1),TRIM(E4448)))</f>
        <v>United States</v>
      </c>
      <c r="M4448" s="7" t="str">
        <f aca="false">IFERROR(LEFT(J4448,FIND(",",J4448)-1),J4448)</f>
        <v>Comedies</v>
      </c>
      <c r="N4448" s="7" t="n">
        <f aca="false">IF(B4448="Movie",IFERROR(VALUE(LEFT(I4448,FIND(" ",I4448)-1)),""),"")</f>
        <v>85</v>
      </c>
      <c r="O4448" s="7" t="str">
        <f aca="false">IF(B4448="TV Show",IFERROR(VALUE(LEFT(I4448,FIND(" ",I4448)-1)),""),"")</f>
        <v/>
      </c>
      <c r="P4448" s="7" t="n">
        <f aca="false">IF(K4448="","",K4448-G4448)</f>
        <v>0</v>
      </c>
    </row>
    <row r="4449" customFormat="false" ht="15" hidden="false" customHeight="false" outlineLevel="0" collapsed="false">
      <c r="A4449" s="7" t="n">
        <v>80105358</v>
      </c>
      <c r="B4449" s="7" t="s">
        <v>68</v>
      </c>
      <c r="C4449" s="7" t="s">
        <v>9113</v>
      </c>
      <c r="D4449" s="7" t="s">
        <v>9114</v>
      </c>
      <c r="E4449" s="7" t="s">
        <v>26</v>
      </c>
      <c r="F4449" s="7" t="s">
        <v>9115</v>
      </c>
      <c r="G4449" s="7" t="n">
        <v>2016</v>
      </c>
      <c r="H4449" s="7" t="s">
        <v>53</v>
      </c>
      <c r="I4449" s="7" t="s">
        <v>212</v>
      </c>
      <c r="J4449" s="7" t="s">
        <v>150</v>
      </c>
      <c r="K4449" s="7" t="n">
        <f aca="false">IFERROR(VALUE(RIGHT(TRIM(F4449),4)),"")</f>
        <v>2016</v>
      </c>
      <c r="L4449" s="7" t="str">
        <f aca="false">IF(TRIM(E4449)="","Unknown",IFERROR(LEFT(TRIM(E4449),FIND(",",TRIM(E4449))-1),TRIM(E4449)))</f>
        <v>United States</v>
      </c>
      <c r="M4449" s="7" t="str">
        <f aca="false">IFERROR(LEFT(J4449,FIND(",",J4449)-1),J4449)</f>
        <v>Dramas</v>
      </c>
      <c r="N4449" s="7" t="n">
        <f aca="false">IF(B4449="Movie",IFERROR(VALUE(LEFT(I4449,FIND(" ",I4449)-1)),""),"")</f>
        <v>86</v>
      </c>
      <c r="O4449" s="7" t="str">
        <f aca="false">IF(B4449="TV Show",IFERROR(VALUE(LEFT(I4449,FIND(" ",I4449)-1)),""),"")</f>
        <v/>
      </c>
      <c r="P4449" s="7" t="n">
        <f aca="false">IF(K4449="","",K4449-G4449)</f>
        <v>0</v>
      </c>
    </row>
    <row r="4450" customFormat="false" ht="15" hidden="false" customHeight="false" outlineLevel="0" collapsed="false">
      <c r="A4450" s="7" t="n">
        <v>80108691</v>
      </c>
      <c r="B4450" s="7" t="s">
        <v>68</v>
      </c>
      <c r="C4450" s="7" t="s">
        <v>9116</v>
      </c>
      <c r="D4450" s="7" t="s">
        <v>481</v>
      </c>
      <c r="E4450" s="7" t="s">
        <v>26</v>
      </c>
      <c r="F4450" s="7" t="s">
        <v>9115</v>
      </c>
      <c r="G4450" s="7" t="n">
        <v>2016</v>
      </c>
      <c r="H4450" s="7" t="s">
        <v>53</v>
      </c>
      <c r="I4450" s="7" t="s">
        <v>77</v>
      </c>
      <c r="J4450" s="7" t="s">
        <v>38</v>
      </c>
      <c r="K4450" s="7" t="n">
        <f aca="false">IFERROR(VALUE(RIGHT(TRIM(F4450),4)),"")</f>
        <v>2016</v>
      </c>
      <c r="L4450" s="7" t="str">
        <f aca="false">IF(TRIM(E4450)="","Unknown",IFERROR(LEFT(TRIM(E4450),FIND(",",TRIM(E4450))-1),TRIM(E4450)))</f>
        <v>United States</v>
      </c>
      <c r="M4450" s="7" t="str">
        <f aca="false">IFERROR(LEFT(J4450,FIND(",",J4450)-1),J4450)</f>
        <v>Comedies</v>
      </c>
      <c r="N4450" s="7" t="n">
        <f aca="false">IF(B4450="Movie",IFERROR(VALUE(LEFT(I4450,FIND(" ",I4450)-1)),""),"")</f>
        <v>94</v>
      </c>
      <c r="O4450" s="7" t="str">
        <f aca="false">IF(B4450="TV Show",IFERROR(VALUE(LEFT(I4450,FIND(" ",I4450)-1)),""),"")</f>
        <v/>
      </c>
      <c r="P4450" s="7" t="n">
        <f aca="false">IF(K4450="","",K4450-G4450)</f>
        <v>0</v>
      </c>
    </row>
    <row r="4451" customFormat="false" ht="15" hidden="false" customHeight="false" outlineLevel="0" collapsed="false">
      <c r="A4451" s="7" t="n">
        <v>80019503</v>
      </c>
      <c r="B4451" s="7" t="s">
        <v>68</v>
      </c>
      <c r="C4451" s="7" t="s">
        <v>9117</v>
      </c>
      <c r="E4451" s="7" t="s">
        <v>26</v>
      </c>
      <c r="F4451" s="7" t="s">
        <v>9118</v>
      </c>
      <c r="G4451" s="7" t="n">
        <v>2014</v>
      </c>
      <c r="H4451" s="7" t="s">
        <v>48</v>
      </c>
      <c r="I4451" s="7" t="s">
        <v>6535</v>
      </c>
      <c r="J4451" s="7" t="s">
        <v>10</v>
      </c>
      <c r="K4451" s="7" t="n">
        <f aca="false">IFERROR(VALUE(RIGHT(TRIM(F4451),4)),"")</f>
        <v>2014</v>
      </c>
      <c r="L4451" s="7" t="str">
        <f aca="false">IF(TRIM(E4451)="","Unknown",IFERROR(LEFT(TRIM(E4451),FIND(",",TRIM(E4451))-1),TRIM(E4451)))</f>
        <v>United States</v>
      </c>
      <c r="M4451" s="7" t="str">
        <f aca="false">IFERROR(LEFT(J4451,FIND(",",J4451)-1),J4451)</f>
        <v>Movies</v>
      </c>
      <c r="N4451" s="7" t="n">
        <f aca="false">IF(B4451="Movie",IFERROR(VALUE(LEFT(I4451,FIND(" ",I4451)-1)),""),"")</f>
        <v>26</v>
      </c>
      <c r="O4451" s="7" t="str">
        <f aca="false">IF(B4451="TV Show",IFERROR(VALUE(LEFT(I4451,FIND(" ",I4451)-1)),""),"")</f>
        <v/>
      </c>
      <c r="P4451" s="7" t="n">
        <f aca="false">IF(K4451="","",K4451-G4451)</f>
        <v>0</v>
      </c>
    </row>
    <row r="4452" customFormat="false" ht="15" hidden="false" customHeight="false" outlineLevel="0" collapsed="false">
      <c r="A4452" s="7" t="n">
        <v>81031373</v>
      </c>
      <c r="B4452" s="7" t="s">
        <v>78</v>
      </c>
      <c r="C4452" s="7" t="s">
        <v>9119</v>
      </c>
      <c r="D4452" s="7" t="s">
        <v>9120</v>
      </c>
      <c r="E4452" s="7" t="s">
        <v>317</v>
      </c>
      <c r="F4452" s="7" t="s">
        <v>9121</v>
      </c>
      <c r="G4452" s="7" t="n">
        <v>2019</v>
      </c>
      <c r="H4452" s="7" t="s">
        <v>48</v>
      </c>
      <c r="I4452" s="7" t="s">
        <v>82</v>
      </c>
      <c r="J4452" s="7" t="s">
        <v>696</v>
      </c>
      <c r="K4452" s="7" t="n">
        <f aca="false">IFERROR(VALUE(RIGHT(TRIM(F4452),4)),"")</f>
        <v>2019</v>
      </c>
      <c r="L4452" s="7" t="str">
        <f aca="false">IF(TRIM(E4452)="","Unknown",IFERROR(LEFT(TRIM(E4452),FIND(",",TRIM(E4452))-1),TRIM(E4452)))</f>
        <v>United Kingdom</v>
      </c>
      <c r="M4452" s="7" t="str">
        <f aca="false">IFERROR(LEFT(J4452,FIND(",",J4452)-1),J4452)</f>
        <v>Crime TV Shows</v>
      </c>
      <c r="N4452" s="7" t="str">
        <f aca="false">IF(B4452="Movie",IFERROR(VALUE(LEFT(I4452,FIND(" ",I4452)-1)),""),"")</f>
        <v/>
      </c>
      <c r="O4452" s="7" t="n">
        <f aca="false">IF(B4452="TV Show",IFERROR(VALUE(LEFT(I4452,FIND(" ",I4452)-1)),""),"")</f>
        <v>1</v>
      </c>
      <c r="P4452" s="7" t="n">
        <f aca="false">IF(K4452="","",K4452-G4452)</f>
        <v>0</v>
      </c>
    </row>
    <row r="4453" customFormat="false" ht="15" hidden="false" customHeight="false" outlineLevel="0" collapsed="false">
      <c r="A4453" s="7" t="n">
        <v>80241410</v>
      </c>
      <c r="B4453" s="7" t="s">
        <v>78</v>
      </c>
      <c r="C4453" s="7" t="s">
        <v>9122</v>
      </c>
      <c r="E4453" s="7" t="s">
        <v>26</v>
      </c>
      <c r="F4453" s="7" t="s">
        <v>9121</v>
      </c>
      <c r="G4453" s="7" t="n">
        <v>2019</v>
      </c>
      <c r="H4453" s="7" t="s">
        <v>48</v>
      </c>
      <c r="I4453" s="7" t="s">
        <v>82</v>
      </c>
      <c r="J4453" s="7" t="s">
        <v>8541</v>
      </c>
      <c r="K4453" s="7" t="n">
        <f aca="false">IFERROR(VALUE(RIGHT(TRIM(F4453),4)),"")</f>
        <v>2019</v>
      </c>
      <c r="L4453" s="7" t="str">
        <f aca="false">IF(TRIM(E4453)="","Unknown",IFERROR(LEFT(TRIM(E4453),FIND(",",TRIM(E4453))-1),TRIM(E4453)))</f>
        <v>United States</v>
      </c>
      <c r="M4453" s="7" t="str">
        <f aca="false">IFERROR(LEFT(J4453,FIND(",",J4453)-1),J4453)</f>
        <v>Romantic TV Shows</v>
      </c>
      <c r="N4453" s="7" t="str">
        <f aca="false">IF(B4453="Movie",IFERROR(VALUE(LEFT(I4453,FIND(" ",I4453)-1)),""),"")</f>
        <v/>
      </c>
      <c r="O4453" s="7" t="n">
        <f aca="false">IF(B4453="TV Show",IFERROR(VALUE(LEFT(I4453,FIND(" ",I4453)-1)),""),"")</f>
        <v>1</v>
      </c>
      <c r="P4453" s="7" t="n">
        <f aca="false">IF(K4453="","",K4453-G4453)</f>
        <v>0</v>
      </c>
    </row>
    <row r="4454" customFormat="false" ht="15" hidden="false" customHeight="false" outlineLevel="0" collapsed="false">
      <c r="A4454" s="7" t="n">
        <v>80166467</v>
      </c>
      <c r="B4454" s="7" t="s">
        <v>78</v>
      </c>
      <c r="C4454" s="7" t="s">
        <v>9123</v>
      </c>
      <c r="D4454" s="7" t="s">
        <v>9124</v>
      </c>
      <c r="E4454" s="7" t="s">
        <v>26</v>
      </c>
      <c r="F4454" s="7" t="s">
        <v>9125</v>
      </c>
      <c r="G4454" s="7" t="n">
        <v>2018</v>
      </c>
      <c r="H4454" s="7" t="s">
        <v>49</v>
      </c>
      <c r="I4454" s="7" t="s">
        <v>82</v>
      </c>
      <c r="J4454" s="7" t="s">
        <v>795</v>
      </c>
      <c r="K4454" s="7" t="n">
        <f aca="false">IFERROR(VALUE(RIGHT(TRIM(F4454),4)),"")</f>
        <v>2018</v>
      </c>
      <c r="L4454" s="7" t="str">
        <f aca="false">IF(TRIM(E4454)="","Unknown",IFERROR(LEFT(TRIM(E4454),FIND(",",TRIM(E4454))-1),TRIM(E4454)))</f>
        <v>United States</v>
      </c>
      <c r="M4454" s="7" t="str">
        <f aca="false">IFERROR(LEFT(J4454,FIND(",",J4454)-1),J4454)</f>
        <v>Stand-Up Comedy &amp; Talk Shows</v>
      </c>
      <c r="N4454" s="7" t="str">
        <f aca="false">IF(B4454="Movie",IFERROR(VALUE(LEFT(I4454,FIND(" ",I4454)-1)),""),"")</f>
        <v/>
      </c>
      <c r="O4454" s="7" t="n">
        <f aca="false">IF(B4454="TV Show",IFERROR(VALUE(LEFT(I4454,FIND(" ",I4454)-1)),""),"")</f>
        <v>1</v>
      </c>
      <c r="P4454" s="7" t="n">
        <f aca="false">IF(K4454="","",K4454-G4454)</f>
        <v>0</v>
      </c>
    </row>
    <row r="4455" customFormat="false" ht="15" hidden="false" customHeight="false" outlineLevel="0" collapsed="false">
      <c r="A4455" s="7" t="n">
        <v>80218939</v>
      </c>
      <c r="B4455" s="7" t="s">
        <v>68</v>
      </c>
      <c r="C4455" s="7" t="s">
        <v>9126</v>
      </c>
      <c r="D4455" s="7" t="s">
        <v>9127</v>
      </c>
      <c r="E4455" s="7" t="s">
        <v>29</v>
      </c>
      <c r="F4455" s="7" t="s">
        <v>9125</v>
      </c>
      <c r="G4455" s="7" t="n">
        <v>2017</v>
      </c>
      <c r="H4455" s="7" t="s">
        <v>51</v>
      </c>
      <c r="I4455" s="7" t="s">
        <v>77</v>
      </c>
      <c r="J4455" s="7" t="s">
        <v>276</v>
      </c>
      <c r="K4455" s="7" t="n">
        <f aca="false">IFERROR(VALUE(RIGHT(TRIM(F4455),4)),"")</f>
        <v>2018</v>
      </c>
      <c r="L4455" s="7" t="str">
        <f aca="false">IF(TRIM(E4455)="","Unknown",IFERROR(LEFT(TRIM(E4455),FIND(",",TRIM(E4455))-1),TRIM(E4455)))</f>
        <v>Canada</v>
      </c>
      <c r="M4455" s="7" t="str">
        <f aca="false">IFERROR(LEFT(J4455,FIND(",",J4455)-1),J4455)</f>
        <v>Action &amp; Adventure</v>
      </c>
      <c r="N4455" s="7" t="n">
        <f aca="false">IF(B4455="Movie",IFERROR(VALUE(LEFT(I4455,FIND(" ",I4455)-1)),""),"")</f>
        <v>94</v>
      </c>
      <c r="O4455" s="7" t="str">
        <f aca="false">IF(B4455="TV Show",IFERROR(VALUE(LEFT(I4455,FIND(" ",I4455)-1)),""),"")</f>
        <v/>
      </c>
      <c r="P4455" s="7" t="n">
        <f aca="false">IF(K4455="","",K4455-G4455)</f>
        <v>1</v>
      </c>
    </row>
    <row r="4456" customFormat="false" ht="15" hidden="false" customHeight="false" outlineLevel="0" collapsed="false">
      <c r="A4456" s="7" t="n">
        <v>80175314</v>
      </c>
      <c r="B4456" s="7" t="s">
        <v>68</v>
      </c>
      <c r="C4456" s="7" t="s">
        <v>9128</v>
      </c>
      <c r="D4456" s="7" t="s">
        <v>9129</v>
      </c>
      <c r="E4456" s="7" t="s">
        <v>26</v>
      </c>
      <c r="F4456" s="7" t="s">
        <v>9130</v>
      </c>
      <c r="G4456" s="7" t="n">
        <v>2017</v>
      </c>
      <c r="H4456" s="7" t="s">
        <v>48</v>
      </c>
      <c r="I4456" s="7" t="s">
        <v>451</v>
      </c>
      <c r="J4456" s="7" t="s">
        <v>269</v>
      </c>
      <c r="K4456" s="7" t="n">
        <f aca="false">IFERROR(VALUE(RIGHT(TRIM(F4456),4)),"")</f>
        <v>2017</v>
      </c>
      <c r="L4456" s="7" t="str">
        <f aca="false">IF(TRIM(E4456)="","Unknown",IFERROR(LEFT(TRIM(E4456),FIND(",",TRIM(E4456))-1),TRIM(E4456)))</f>
        <v>United States</v>
      </c>
      <c r="M4456" s="7" t="str">
        <f aca="false">IFERROR(LEFT(J4456,FIND(",",J4456)-1),J4456)</f>
        <v>Dramas</v>
      </c>
      <c r="N4456" s="7" t="n">
        <f aca="false">IF(B4456="Movie",IFERROR(VALUE(LEFT(I4456,FIND(" ",I4456)-1)),""),"")</f>
        <v>97</v>
      </c>
      <c r="O4456" s="7" t="str">
        <f aca="false">IF(B4456="TV Show",IFERROR(VALUE(LEFT(I4456,FIND(" ",I4456)-1)),""),"")</f>
        <v/>
      </c>
      <c r="P4456" s="7" t="n">
        <f aca="false">IF(K4456="","",K4456-G4456)</f>
        <v>0</v>
      </c>
    </row>
    <row r="4457" customFormat="false" ht="15" hidden="false" customHeight="false" outlineLevel="0" collapsed="false">
      <c r="A4457" s="7" t="n">
        <v>80039655</v>
      </c>
      <c r="B4457" s="7" t="s">
        <v>68</v>
      </c>
      <c r="C4457" s="7" t="s">
        <v>9131</v>
      </c>
      <c r="D4457" s="7" t="s">
        <v>9132</v>
      </c>
      <c r="E4457" s="7" t="s">
        <v>26</v>
      </c>
      <c r="F4457" s="7" t="s">
        <v>9133</v>
      </c>
      <c r="G4457" s="7" t="n">
        <v>2015</v>
      </c>
      <c r="H4457" s="7" t="s">
        <v>48</v>
      </c>
      <c r="I4457" s="7" t="s">
        <v>98</v>
      </c>
      <c r="J4457" s="7" t="s">
        <v>45</v>
      </c>
      <c r="K4457" s="7" t="n">
        <f aca="false">IFERROR(VALUE(RIGHT(TRIM(F4457),4)),"")</f>
        <v>2015</v>
      </c>
      <c r="L4457" s="7" t="str">
        <f aca="false">IF(TRIM(E4457)="","Unknown",IFERROR(LEFT(TRIM(E4457),FIND(",",TRIM(E4457))-1),TRIM(E4457)))</f>
        <v>United States</v>
      </c>
      <c r="M4457" s="7" t="str">
        <f aca="false">IFERROR(LEFT(J4457,FIND(",",J4457)-1),J4457)</f>
        <v>Stand-Up Comedy</v>
      </c>
      <c r="N4457" s="7" t="n">
        <f aca="false">IF(B4457="Movie",IFERROR(VALUE(LEFT(I4457,FIND(" ",I4457)-1)),""),"")</f>
        <v>60</v>
      </c>
      <c r="O4457" s="7" t="str">
        <f aca="false">IF(B4457="TV Show",IFERROR(VALUE(LEFT(I4457,FIND(" ",I4457)-1)),""),"")</f>
        <v/>
      </c>
      <c r="P4457" s="7" t="n">
        <f aca="false">IF(K4457="","",K4457-G4457)</f>
        <v>0</v>
      </c>
    </row>
    <row r="4458" customFormat="false" ht="15" hidden="false" customHeight="false" outlineLevel="0" collapsed="false">
      <c r="A4458" s="7" t="n">
        <v>80023921</v>
      </c>
      <c r="B4458" s="7" t="s">
        <v>68</v>
      </c>
      <c r="C4458" s="7" t="s">
        <v>9134</v>
      </c>
      <c r="D4458" s="7" t="s">
        <v>9135</v>
      </c>
      <c r="E4458" s="7" t="s">
        <v>26</v>
      </c>
      <c r="F4458" s="7" t="s">
        <v>9136</v>
      </c>
      <c r="G4458" s="7" t="n">
        <v>1988</v>
      </c>
      <c r="H4458" s="7" t="s">
        <v>50</v>
      </c>
      <c r="I4458" s="7" t="s">
        <v>1446</v>
      </c>
      <c r="J4458" s="7" t="s">
        <v>10</v>
      </c>
      <c r="K4458" s="7" t="n">
        <f aca="false">IFERROR(VALUE(RIGHT(TRIM(F4458),4)),"")</f>
        <v>2014</v>
      </c>
      <c r="L4458" s="7" t="str">
        <f aca="false">IF(TRIM(E4458)="","Unknown",IFERROR(LEFT(TRIM(E4458),FIND(",",TRIM(E4458))-1),TRIM(E4458)))</f>
        <v>United States</v>
      </c>
      <c r="M4458" s="7" t="str">
        <f aca="false">IFERROR(LEFT(J4458,FIND(",",J4458)-1),J4458)</f>
        <v>Movies</v>
      </c>
      <c r="N4458" s="7" t="n">
        <f aca="false">IF(B4458="Movie",IFERROR(VALUE(LEFT(I4458,FIND(" ",I4458)-1)),""),"")</f>
        <v>48</v>
      </c>
      <c r="O4458" s="7" t="str">
        <f aca="false">IF(B4458="TV Show",IFERROR(VALUE(LEFT(I4458,FIND(" ",I4458)-1)),""),"")</f>
        <v/>
      </c>
      <c r="P4458" s="7" t="n">
        <f aca="false">IF(K4458="","",K4458-G4458)</f>
        <v>26</v>
      </c>
    </row>
    <row r="4459" customFormat="false" ht="15" hidden="false" customHeight="false" outlineLevel="0" collapsed="false">
      <c r="A4459" s="7" t="n">
        <v>81070659</v>
      </c>
      <c r="B4459" s="7" t="s">
        <v>68</v>
      </c>
      <c r="C4459" s="7" t="s">
        <v>9137</v>
      </c>
      <c r="D4459" s="7" t="s">
        <v>9138</v>
      </c>
      <c r="E4459" s="7" t="s">
        <v>26</v>
      </c>
      <c r="F4459" s="7" t="s">
        <v>9139</v>
      </c>
      <c r="G4459" s="7" t="n">
        <v>2019</v>
      </c>
      <c r="H4459" s="7" t="s">
        <v>48</v>
      </c>
      <c r="I4459" s="7" t="s">
        <v>551</v>
      </c>
      <c r="J4459" s="7" t="s">
        <v>45</v>
      </c>
      <c r="K4459" s="7" t="n">
        <f aca="false">IFERROR(VALUE(RIGHT(TRIM(F4459),4)),"")</f>
        <v>2019</v>
      </c>
      <c r="L4459" s="7" t="str">
        <f aca="false">IF(TRIM(E4459)="","Unknown",IFERROR(LEFT(TRIM(E4459),FIND(",",TRIM(E4459))-1),TRIM(E4459)))</f>
        <v>United States</v>
      </c>
      <c r="M4459" s="7" t="str">
        <f aca="false">IFERROR(LEFT(J4459,FIND(",",J4459)-1),J4459)</f>
        <v>Stand-Up Comedy</v>
      </c>
      <c r="N4459" s="7" t="n">
        <f aca="false">IF(B4459="Movie",IFERROR(VALUE(LEFT(I4459,FIND(" ",I4459)-1)),""),"")</f>
        <v>63</v>
      </c>
      <c r="O4459" s="7" t="str">
        <f aca="false">IF(B4459="TV Show",IFERROR(VALUE(LEFT(I4459,FIND(" ",I4459)-1)),""),"")</f>
        <v/>
      </c>
      <c r="P4459" s="7" t="n">
        <f aca="false">IF(K4459="","",K4459-G4459)</f>
        <v>0</v>
      </c>
    </row>
    <row r="4460" customFormat="false" ht="15" hidden="false" customHeight="false" outlineLevel="0" collapsed="false">
      <c r="A4460" s="7" t="n">
        <v>81045765</v>
      </c>
      <c r="B4460" s="7" t="s">
        <v>68</v>
      </c>
      <c r="C4460" s="7" t="s">
        <v>9140</v>
      </c>
      <c r="D4460" s="7" t="s">
        <v>9141</v>
      </c>
      <c r="E4460" s="7" t="s">
        <v>27</v>
      </c>
      <c r="F4460" s="7" t="s">
        <v>9142</v>
      </c>
      <c r="G4460" s="7" t="n">
        <v>2018</v>
      </c>
      <c r="H4460" s="7" t="s">
        <v>48</v>
      </c>
      <c r="I4460" s="7" t="s">
        <v>340</v>
      </c>
      <c r="J4460" s="7" t="s">
        <v>182</v>
      </c>
      <c r="K4460" s="7" t="n">
        <f aca="false">IFERROR(VALUE(RIGHT(TRIM(F4460),4)),"")</f>
        <v>2018</v>
      </c>
      <c r="L4460" s="7" t="str">
        <f aca="false">IF(TRIM(E4460)="","Unknown",IFERROR(LEFT(TRIM(E4460),FIND(",",TRIM(E4460))-1),TRIM(E4460)))</f>
        <v>India</v>
      </c>
      <c r="M4460" s="7" t="str">
        <f aca="false">IFERROR(LEFT(J4460,FIND(",",J4460)-1),J4460)</f>
        <v>Dramas</v>
      </c>
      <c r="N4460" s="7" t="n">
        <f aca="false">IF(B4460="Movie",IFERROR(VALUE(LEFT(I4460,FIND(" ",I4460)-1)),""),"")</f>
        <v>85</v>
      </c>
      <c r="O4460" s="7" t="str">
        <f aca="false">IF(B4460="TV Show",IFERROR(VALUE(LEFT(I4460,FIND(" ",I4460)-1)),""),"")</f>
        <v/>
      </c>
      <c r="P4460" s="7" t="n">
        <f aca="false">IF(K4460="","",K4460-G4460)</f>
        <v>0</v>
      </c>
    </row>
    <row r="4461" customFormat="false" ht="15" hidden="false" customHeight="false" outlineLevel="0" collapsed="false">
      <c r="A4461" s="7" t="n">
        <v>81018634</v>
      </c>
      <c r="B4461" s="7" t="s">
        <v>68</v>
      </c>
      <c r="C4461" s="7" t="s">
        <v>9143</v>
      </c>
      <c r="D4461" s="7" t="s">
        <v>8618</v>
      </c>
      <c r="E4461" s="7" t="s">
        <v>26</v>
      </c>
      <c r="F4461" s="7" t="s">
        <v>9142</v>
      </c>
      <c r="G4461" s="7" t="n">
        <v>2018</v>
      </c>
      <c r="H4461" s="7" t="s">
        <v>55</v>
      </c>
      <c r="I4461" s="7" t="s">
        <v>1131</v>
      </c>
      <c r="J4461" s="7" t="s">
        <v>74</v>
      </c>
      <c r="K4461" s="7" t="n">
        <f aca="false">IFERROR(VALUE(RIGHT(TRIM(F4461),4)),"")</f>
        <v>2018</v>
      </c>
      <c r="L4461" s="7" t="str">
        <f aca="false">IF(TRIM(E4461)="","Unknown",IFERROR(LEFT(TRIM(E4461),FIND(",",TRIM(E4461))-1),TRIM(E4461)))</f>
        <v>United States</v>
      </c>
      <c r="M4461" s="7" t="str">
        <f aca="false">IFERROR(LEFT(J4461,FIND(",",J4461)-1),J4461)</f>
        <v>Children &amp; Family Movies</v>
      </c>
      <c r="N4461" s="7" t="n">
        <f aca="false">IF(B4461="Movie",IFERROR(VALUE(LEFT(I4461,FIND(" ",I4461)-1)),""),"")</f>
        <v>29</v>
      </c>
      <c r="O4461" s="7" t="str">
        <f aca="false">IF(B4461="TV Show",IFERROR(VALUE(LEFT(I4461,FIND(" ",I4461)-1)),""),"")</f>
        <v/>
      </c>
      <c r="P4461" s="7" t="n">
        <f aca="false">IF(K4461="","",K4461-G4461)</f>
        <v>0</v>
      </c>
    </row>
    <row r="4462" customFormat="false" ht="15" hidden="false" customHeight="false" outlineLevel="0" collapsed="false">
      <c r="A4462" s="7" t="n">
        <v>80039602</v>
      </c>
      <c r="B4462" s="7" t="s">
        <v>68</v>
      </c>
      <c r="C4462" s="7" t="s">
        <v>9144</v>
      </c>
      <c r="D4462" s="7" t="s">
        <v>9145</v>
      </c>
      <c r="E4462" s="7" t="s">
        <v>9146</v>
      </c>
      <c r="F4462" s="7" t="s">
        <v>9142</v>
      </c>
      <c r="G4462" s="7" t="n">
        <v>2014</v>
      </c>
      <c r="H4462" s="7" t="s">
        <v>51</v>
      </c>
      <c r="I4462" s="7" t="s">
        <v>138</v>
      </c>
      <c r="J4462" s="7" t="s">
        <v>40</v>
      </c>
      <c r="K4462" s="7" t="n">
        <f aca="false">IFERROR(VALUE(RIGHT(TRIM(F4462),4)),"")</f>
        <v>2018</v>
      </c>
      <c r="L4462" s="7" t="str">
        <f aca="false">IF(TRIM(E4462)="","Unknown",IFERROR(LEFT(TRIM(E4462),FIND(",",TRIM(E4462))-1),TRIM(E4462)))</f>
        <v>Thailand</v>
      </c>
      <c r="M4462" s="7" t="str">
        <f aca="false">IFERROR(LEFT(J4462,FIND(",",J4462)-1),J4462)</f>
        <v>Action &amp; Adventure</v>
      </c>
      <c r="N4462" s="7" t="n">
        <f aca="false">IF(B4462="Movie",IFERROR(VALUE(LEFT(I4462,FIND(" ",I4462)-1)),""),"")</f>
        <v>96</v>
      </c>
      <c r="O4462" s="7" t="str">
        <f aca="false">IF(B4462="TV Show",IFERROR(VALUE(LEFT(I4462,FIND(" ",I4462)-1)),""),"")</f>
        <v/>
      </c>
      <c r="P4462" s="7" t="n">
        <f aca="false">IF(K4462="","",K4462-G4462)</f>
        <v>4</v>
      </c>
    </row>
    <row r="4463" customFormat="false" ht="15" hidden="false" customHeight="false" outlineLevel="0" collapsed="false">
      <c r="A4463" s="7" t="n">
        <v>80090672</v>
      </c>
      <c r="B4463" s="7" t="s">
        <v>68</v>
      </c>
      <c r="C4463" s="7" t="s">
        <v>9147</v>
      </c>
      <c r="D4463" s="7" t="s">
        <v>9148</v>
      </c>
      <c r="E4463" s="7" t="s">
        <v>29</v>
      </c>
      <c r="F4463" s="7" t="s">
        <v>9149</v>
      </c>
      <c r="G4463" s="7" t="n">
        <v>2015</v>
      </c>
      <c r="H4463" s="7" t="s">
        <v>226</v>
      </c>
      <c r="I4463" s="7" t="s">
        <v>935</v>
      </c>
      <c r="J4463" s="7" t="s">
        <v>42</v>
      </c>
      <c r="K4463" s="7" t="n">
        <f aca="false">IFERROR(VALUE(RIGHT(TRIM(F4463),4)),"")</f>
        <v>2015</v>
      </c>
      <c r="L4463" s="7" t="str">
        <f aca="false">IF(TRIM(E4463)="","Unknown",IFERROR(LEFT(TRIM(E4463),FIND(",",TRIM(E4463))-1),TRIM(E4463)))</f>
        <v>Canada</v>
      </c>
      <c r="M4463" s="7" t="str">
        <f aca="false">IFERROR(LEFT(J4463,FIND(",",J4463)-1),J4463)</f>
        <v>Children &amp; Family Movies</v>
      </c>
      <c r="N4463" s="7" t="n">
        <f aca="false">IF(B4463="Movie",IFERROR(VALUE(LEFT(I4463,FIND(" ",I4463)-1)),""),"")</f>
        <v>47</v>
      </c>
      <c r="O4463" s="7" t="str">
        <f aca="false">IF(B4463="TV Show",IFERROR(VALUE(LEFT(I4463,FIND(" ",I4463)-1)),""),"")</f>
        <v/>
      </c>
      <c r="P4463" s="7" t="n">
        <f aca="false">IF(K4463="","",K4463-G4463)</f>
        <v>0</v>
      </c>
    </row>
    <row r="4464" customFormat="false" ht="15" hidden="false" customHeight="false" outlineLevel="0" collapsed="false">
      <c r="A4464" s="7" t="n">
        <v>80012535</v>
      </c>
      <c r="B4464" s="7" t="s">
        <v>68</v>
      </c>
      <c r="C4464" s="7" t="s">
        <v>9150</v>
      </c>
      <c r="D4464" s="7" t="s">
        <v>9151</v>
      </c>
      <c r="E4464" s="7" t="s">
        <v>230</v>
      </c>
      <c r="F4464" s="7" t="s">
        <v>9152</v>
      </c>
      <c r="G4464" s="7" t="n">
        <v>2014</v>
      </c>
      <c r="H4464" s="7" t="s">
        <v>119</v>
      </c>
      <c r="I4464" s="7" t="s">
        <v>1191</v>
      </c>
      <c r="J4464" s="7" t="s">
        <v>74</v>
      </c>
      <c r="K4464" s="7" t="n">
        <f aca="false">IFERROR(VALUE(RIGHT(TRIM(F4464),4)),"")</f>
        <v>2014</v>
      </c>
      <c r="L4464" s="7" t="str">
        <f aca="false">IF(TRIM(E4464)="","Unknown",IFERROR(LEFT(TRIM(E4464),FIND(",",TRIM(E4464))-1),TRIM(E4464)))</f>
        <v>United States</v>
      </c>
      <c r="M4464" s="7" t="str">
        <f aca="false">IFERROR(LEFT(J4464,FIND(",",J4464)-1),J4464)</f>
        <v>Children &amp; Family Movies</v>
      </c>
      <c r="N4464" s="7" t="n">
        <f aca="false">IF(B4464="Movie",IFERROR(VALUE(LEFT(I4464,FIND(" ",I4464)-1)),""),"")</f>
        <v>73</v>
      </c>
      <c r="O4464" s="7" t="str">
        <f aca="false">IF(B4464="TV Show",IFERROR(VALUE(LEFT(I4464,FIND(" ",I4464)-1)),""),"")</f>
        <v/>
      </c>
      <c r="P4464" s="7" t="n">
        <f aca="false">IF(K4464="","",K4464-G4464)</f>
        <v>0</v>
      </c>
    </row>
    <row r="4465" customFormat="false" ht="15" hidden="false" customHeight="false" outlineLevel="0" collapsed="false">
      <c r="A4465" s="7" t="n">
        <v>70137790</v>
      </c>
      <c r="B4465" s="7" t="s">
        <v>68</v>
      </c>
      <c r="C4465" s="7" t="s">
        <v>9153</v>
      </c>
      <c r="D4465" s="7" t="s">
        <v>9154</v>
      </c>
      <c r="E4465" s="7" t="s">
        <v>26</v>
      </c>
      <c r="F4465" s="7" t="s">
        <v>9155</v>
      </c>
      <c r="G4465" s="7" t="n">
        <v>2010</v>
      </c>
      <c r="H4465" s="7" t="s">
        <v>52</v>
      </c>
      <c r="I4465" s="7" t="s">
        <v>519</v>
      </c>
      <c r="J4465" s="7" t="s">
        <v>269</v>
      </c>
      <c r="K4465" s="7" t="n">
        <f aca="false">IFERROR(VALUE(RIGHT(TRIM(F4465),4)),"")</f>
        <v>2019</v>
      </c>
      <c r="L4465" s="7" t="str">
        <f aca="false">IF(TRIM(E4465)="","Unknown",IFERROR(LEFT(TRIM(E4465),FIND(",",TRIM(E4465))-1),TRIM(E4465)))</f>
        <v>United States</v>
      </c>
      <c r="M4465" s="7" t="str">
        <f aca="false">IFERROR(LEFT(J4465,FIND(",",J4465)-1),J4465)</f>
        <v>Dramas</v>
      </c>
      <c r="N4465" s="7" t="n">
        <f aca="false">IF(B4465="Movie",IFERROR(VALUE(LEFT(I4465,FIND(" ",I4465)-1)),""),"")</f>
        <v>119</v>
      </c>
      <c r="O4465" s="7" t="str">
        <f aca="false">IF(B4465="TV Show",IFERROR(VALUE(LEFT(I4465,FIND(" ",I4465)-1)),""),"")</f>
        <v/>
      </c>
      <c r="P4465" s="7" t="n">
        <f aca="false">IF(K4465="","",K4465-G4465)</f>
        <v>9</v>
      </c>
    </row>
    <row r="4466" customFormat="false" ht="15" hidden="false" customHeight="false" outlineLevel="0" collapsed="false">
      <c r="A4466" s="7" t="n">
        <v>81048551</v>
      </c>
      <c r="B4466" s="7" t="s">
        <v>68</v>
      </c>
      <c r="C4466" s="7" t="s">
        <v>9156</v>
      </c>
      <c r="D4466" s="7" t="s">
        <v>9157</v>
      </c>
      <c r="E4466" s="7" t="s">
        <v>6752</v>
      </c>
      <c r="F4466" s="7" t="s">
        <v>9155</v>
      </c>
      <c r="G4466" s="7" t="n">
        <v>2018</v>
      </c>
      <c r="H4466" s="7" t="s">
        <v>48</v>
      </c>
      <c r="I4466" s="7" t="s">
        <v>2183</v>
      </c>
      <c r="J4466" s="7" t="s">
        <v>198</v>
      </c>
      <c r="K4466" s="7" t="n">
        <f aca="false">IFERROR(VALUE(RIGHT(TRIM(F4466),4)),"")</f>
        <v>2019</v>
      </c>
      <c r="L4466" s="7" t="str">
        <f aca="false">IF(TRIM(E4466)="","Unknown",IFERROR(LEFT(TRIM(E4466),FIND(",",TRIM(E4466))-1),TRIM(E4466)))</f>
        <v>Bangladesh</v>
      </c>
      <c r="M4466" s="7" t="str">
        <f aca="false">IFERROR(LEFT(J4466,FIND(",",J4466)-1),J4466)</f>
        <v>Comedies</v>
      </c>
      <c r="N4466" s="7" t="n">
        <f aca="false">IF(B4466="Movie",IFERROR(VALUE(LEFT(I4466,FIND(" ",I4466)-1)),""),"")</f>
        <v>136</v>
      </c>
      <c r="O4466" s="7" t="str">
        <f aca="false">IF(B4466="TV Show",IFERROR(VALUE(LEFT(I4466,FIND(" ",I4466)-1)),""),"")</f>
        <v/>
      </c>
      <c r="P4466" s="7" t="n">
        <f aca="false">IF(K4466="","",K4466-G4466)</f>
        <v>1</v>
      </c>
    </row>
    <row r="4467" customFormat="false" ht="15" hidden="false" customHeight="false" outlineLevel="0" collapsed="false">
      <c r="A4467" s="7" t="n">
        <v>80058477</v>
      </c>
      <c r="B4467" s="7" t="s">
        <v>68</v>
      </c>
      <c r="C4467" s="7" t="s">
        <v>9158</v>
      </c>
      <c r="D4467" s="7" t="s">
        <v>5616</v>
      </c>
      <c r="E4467" s="7" t="s">
        <v>9159</v>
      </c>
      <c r="F4467" s="7" t="s">
        <v>9155</v>
      </c>
      <c r="G4467" s="7" t="n">
        <v>2015</v>
      </c>
      <c r="H4467" s="7" t="s">
        <v>51</v>
      </c>
      <c r="I4467" s="7" t="s">
        <v>2551</v>
      </c>
      <c r="J4467" s="7" t="s">
        <v>3175</v>
      </c>
      <c r="K4467" s="7" t="n">
        <f aca="false">IFERROR(VALUE(RIGHT(TRIM(F4467),4)),"")</f>
        <v>2019</v>
      </c>
      <c r="L4467" s="7" t="str">
        <f aca="false">IF(TRIM(E4467)="","Unknown",IFERROR(LEFT(TRIM(E4467),FIND(",",TRIM(E4467))-1),TRIM(E4467)))</f>
        <v>United Kingdom</v>
      </c>
      <c r="M4467" s="7" t="str">
        <f aca="false">IFERROR(LEFT(J4467,FIND(",",J4467)-1),J4467)</f>
        <v>Dramas</v>
      </c>
      <c r="N4467" s="7" t="n">
        <f aca="false">IF(B4467="Movie",IFERROR(VALUE(LEFT(I4467,FIND(" ",I4467)-1)),""),"")</f>
        <v>120</v>
      </c>
      <c r="O4467" s="7" t="str">
        <f aca="false">IF(B4467="TV Show",IFERROR(VALUE(LEFT(I4467,FIND(" ",I4467)-1)),""),"")</f>
        <v/>
      </c>
      <c r="P4467" s="7" t="n">
        <f aca="false">IF(K4467="","",K4467-G4467)</f>
        <v>4</v>
      </c>
    </row>
    <row r="4468" customFormat="false" ht="15" hidden="false" customHeight="false" outlineLevel="0" collapsed="false">
      <c r="A4468" s="7" t="n">
        <v>81000861</v>
      </c>
      <c r="B4468" s="7" t="s">
        <v>68</v>
      </c>
      <c r="C4468" s="7" t="s">
        <v>9160</v>
      </c>
      <c r="D4468" s="7" t="s">
        <v>9161</v>
      </c>
      <c r="E4468" s="7" t="s">
        <v>26</v>
      </c>
      <c r="F4468" s="7" t="s">
        <v>9162</v>
      </c>
      <c r="G4468" s="7" t="n">
        <v>2017</v>
      </c>
      <c r="H4468" s="7" t="s">
        <v>49</v>
      </c>
      <c r="I4468" s="7" t="s">
        <v>512</v>
      </c>
      <c r="J4468" s="7" t="s">
        <v>39</v>
      </c>
      <c r="K4468" s="7" t="n">
        <f aca="false">IFERROR(VALUE(RIGHT(TRIM(F4468),4)),"")</f>
        <v>2018</v>
      </c>
      <c r="L4468" s="7" t="str">
        <f aca="false">IF(TRIM(E4468)="","Unknown",IFERROR(LEFT(TRIM(E4468),FIND(",",TRIM(E4468))-1),TRIM(E4468)))</f>
        <v>United States</v>
      </c>
      <c r="M4468" s="7" t="str">
        <f aca="false">IFERROR(LEFT(J4468,FIND(",",J4468)-1),J4468)</f>
        <v>Documentaries</v>
      </c>
      <c r="N4468" s="7" t="n">
        <f aca="false">IF(B4468="Movie",IFERROR(VALUE(LEFT(I4468,FIND(" ",I4468)-1)),""),"")</f>
        <v>101</v>
      </c>
      <c r="O4468" s="7" t="str">
        <f aca="false">IF(B4468="TV Show",IFERROR(VALUE(LEFT(I4468,FIND(" ",I4468)-1)),""),"")</f>
        <v/>
      </c>
      <c r="P4468" s="7" t="n">
        <f aca="false">IF(K4468="","",K4468-G4468)</f>
        <v>1</v>
      </c>
    </row>
    <row r="4469" customFormat="false" ht="15" hidden="false" customHeight="false" outlineLevel="0" collapsed="false">
      <c r="A4469" s="7" t="n">
        <v>81039381</v>
      </c>
      <c r="B4469" s="7" t="s">
        <v>68</v>
      </c>
      <c r="C4469" s="7" t="s">
        <v>9163</v>
      </c>
      <c r="D4469" s="7" t="s">
        <v>9164</v>
      </c>
      <c r="E4469" s="7" t="s">
        <v>27</v>
      </c>
      <c r="F4469" s="7" t="s">
        <v>9162</v>
      </c>
      <c r="G4469" s="7" t="n">
        <v>2018</v>
      </c>
      <c r="H4469" s="7" t="s">
        <v>49</v>
      </c>
      <c r="I4469" s="7" t="s">
        <v>749</v>
      </c>
      <c r="J4469" s="7" t="s">
        <v>217</v>
      </c>
      <c r="K4469" s="7" t="n">
        <f aca="false">IFERROR(VALUE(RIGHT(TRIM(F4469),4)),"")</f>
        <v>2018</v>
      </c>
      <c r="L4469" s="7" t="str">
        <f aca="false">IF(TRIM(E4469)="","Unknown",IFERROR(LEFT(TRIM(E4469),FIND(",",TRIM(E4469))-1),TRIM(E4469)))</f>
        <v>India</v>
      </c>
      <c r="M4469" s="7" t="str">
        <f aca="false">IFERROR(LEFT(J4469,FIND(",",J4469)-1),J4469)</f>
        <v>Comedies</v>
      </c>
      <c r="N4469" s="7" t="n">
        <f aca="false">IF(B4469="Movie",IFERROR(VALUE(LEFT(I4469,FIND(" ",I4469)-1)),""),"")</f>
        <v>137</v>
      </c>
      <c r="O4469" s="7" t="str">
        <f aca="false">IF(B4469="TV Show",IFERROR(VALUE(LEFT(I4469,FIND(" ",I4469)-1)),""),"")</f>
        <v/>
      </c>
      <c r="P4469" s="7" t="n">
        <f aca="false">IF(K4469="","",K4469-G4469)</f>
        <v>0</v>
      </c>
    </row>
    <row r="4470" customFormat="false" ht="15" hidden="false" customHeight="false" outlineLevel="0" collapsed="false">
      <c r="A4470" s="7" t="n">
        <v>81026363</v>
      </c>
      <c r="B4470" s="7" t="s">
        <v>78</v>
      </c>
      <c r="C4470" s="7" t="s">
        <v>9165</v>
      </c>
      <c r="E4470" s="7" t="s">
        <v>366</v>
      </c>
      <c r="F4470" s="7" t="s">
        <v>9162</v>
      </c>
      <c r="G4470" s="7" t="n">
        <v>2018</v>
      </c>
      <c r="H4470" s="7" t="s">
        <v>50</v>
      </c>
      <c r="I4470" s="7" t="s">
        <v>82</v>
      </c>
      <c r="J4470" s="7" t="s">
        <v>158</v>
      </c>
      <c r="K4470" s="7" t="n">
        <f aca="false">IFERROR(VALUE(RIGHT(TRIM(F4470),4)),"")</f>
        <v>2018</v>
      </c>
      <c r="L4470" s="7" t="str">
        <f aca="false">IF(TRIM(E4470)="","Unknown",IFERROR(LEFT(TRIM(E4470),FIND(",",TRIM(E4470))-1),TRIM(E4470)))</f>
        <v>China</v>
      </c>
      <c r="M4470" s="7" t="str">
        <f aca="false">IFERROR(LEFT(J4470,FIND(",",J4470)-1),J4470)</f>
        <v>International TV Shows</v>
      </c>
      <c r="N4470" s="7" t="str">
        <f aca="false">IF(B4470="Movie",IFERROR(VALUE(LEFT(I4470,FIND(" ",I4470)-1)),""),"")</f>
        <v/>
      </c>
      <c r="O4470" s="7" t="n">
        <f aca="false">IF(B4470="TV Show",IFERROR(VALUE(LEFT(I4470,FIND(" ",I4470)-1)),""),"")</f>
        <v>1</v>
      </c>
      <c r="P4470" s="7" t="n">
        <f aca="false">IF(K4470="","",K4470-G4470)</f>
        <v>0</v>
      </c>
    </row>
    <row r="4471" customFormat="false" ht="15" hidden="false" customHeight="false" outlineLevel="0" collapsed="false">
      <c r="A4471" s="7" t="n">
        <v>80026431</v>
      </c>
      <c r="B4471" s="7" t="s">
        <v>68</v>
      </c>
      <c r="C4471" s="7" t="s">
        <v>9166</v>
      </c>
      <c r="D4471" s="7" t="s">
        <v>9167</v>
      </c>
      <c r="E4471" s="7" t="s">
        <v>26</v>
      </c>
      <c r="F4471" s="7" t="s">
        <v>9162</v>
      </c>
      <c r="G4471" s="7" t="n">
        <v>2014</v>
      </c>
      <c r="H4471" s="7" t="s">
        <v>50</v>
      </c>
      <c r="I4471" s="7" t="s">
        <v>8550</v>
      </c>
      <c r="J4471" s="7" t="s">
        <v>74</v>
      </c>
      <c r="K4471" s="7" t="n">
        <f aca="false">IFERROR(VALUE(RIGHT(TRIM(F4471),4)),"")</f>
        <v>2018</v>
      </c>
      <c r="L4471" s="7" t="str">
        <f aca="false">IF(TRIM(E4471)="","Unknown",IFERROR(LEFT(TRIM(E4471),FIND(",",TRIM(E4471))-1),TRIM(E4471)))</f>
        <v>United States</v>
      </c>
      <c r="M4471" s="7" t="str">
        <f aca="false">IFERROR(LEFT(J4471,FIND(",",J4471)-1),J4471)</f>
        <v>Children &amp; Family Movies</v>
      </c>
      <c r="N4471" s="7" t="n">
        <f aca="false">IF(B4471="Movie",IFERROR(VALUE(LEFT(I4471,FIND(" ",I4471)-1)),""),"")</f>
        <v>27</v>
      </c>
      <c r="O4471" s="7" t="str">
        <f aca="false">IF(B4471="TV Show",IFERROR(VALUE(LEFT(I4471,FIND(" ",I4471)-1)),""),"")</f>
        <v/>
      </c>
      <c r="P4471" s="7" t="n">
        <f aca="false">IF(K4471="","",K4471-G4471)</f>
        <v>4</v>
      </c>
    </row>
    <row r="4472" customFormat="false" ht="15" hidden="false" customHeight="false" outlineLevel="0" collapsed="false">
      <c r="A4472" s="7" t="n">
        <v>70221348</v>
      </c>
      <c r="B4472" s="7" t="s">
        <v>78</v>
      </c>
      <c r="C4472" s="7" t="s">
        <v>9168</v>
      </c>
      <c r="E4472" s="7" t="s">
        <v>26</v>
      </c>
      <c r="F4472" s="7" t="s">
        <v>9162</v>
      </c>
      <c r="G4472" s="7" t="n">
        <v>2011</v>
      </c>
      <c r="H4472" s="7" t="s">
        <v>50</v>
      </c>
      <c r="I4472" s="7" t="s">
        <v>82</v>
      </c>
      <c r="J4472" s="7" t="s">
        <v>191</v>
      </c>
      <c r="K4472" s="7" t="n">
        <f aca="false">IFERROR(VALUE(RIGHT(TRIM(F4472),4)),"")</f>
        <v>2018</v>
      </c>
      <c r="L4472" s="7" t="str">
        <f aca="false">IF(TRIM(E4472)="","Unknown",IFERROR(LEFT(TRIM(E4472),FIND(",",TRIM(E4472))-1),TRIM(E4472)))</f>
        <v>United States</v>
      </c>
      <c r="M4472" s="7" t="str">
        <f aca="false">IFERROR(LEFT(J4472,FIND(",",J4472)-1),J4472)</f>
        <v>Kids' TV</v>
      </c>
      <c r="N4472" s="7" t="str">
        <f aca="false">IF(B4472="Movie",IFERROR(VALUE(LEFT(I4472,FIND(" ",I4472)-1)),""),"")</f>
        <v/>
      </c>
      <c r="O4472" s="7" t="n">
        <f aca="false">IF(B4472="TV Show",IFERROR(VALUE(LEFT(I4472,FIND(" ",I4472)-1)),""),"")</f>
        <v>1</v>
      </c>
      <c r="P4472" s="7" t="n">
        <f aca="false">IF(K4472="","",K4472-G4472)</f>
        <v>7</v>
      </c>
    </row>
    <row r="4473" customFormat="false" ht="15" hidden="false" customHeight="false" outlineLevel="0" collapsed="false">
      <c r="A4473" s="7" t="n">
        <v>80013772</v>
      </c>
      <c r="B4473" s="7" t="s">
        <v>68</v>
      </c>
      <c r="C4473" s="7" t="s">
        <v>9169</v>
      </c>
      <c r="D4473" s="7" t="s">
        <v>9170</v>
      </c>
      <c r="E4473" s="7" t="s">
        <v>26</v>
      </c>
      <c r="F4473" s="7" t="s">
        <v>9162</v>
      </c>
      <c r="G4473" s="7" t="n">
        <v>2014</v>
      </c>
      <c r="H4473" s="7" t="s">
        <v>51</v>
      </c>
      <c r="I4473" s="7" t="s">
        <v>168</v>
      </c>
      <c r="J4473" s="7" t="s">
        <v>597</v>
      </c>
      <c r="K4473" s="7" t="n">
        <f aca="false">IFERROR(VALUE(RIGHT(TRIM(F4473),4)),"")</f>
        <v>2018</v>
      </c>
      <c r="L4473" s="7" t="str">
        <f aca="false">IF(TRIM(E4473)="","Unknown",IFERROR(LEFT(TRIM(E4473),FIND(",",TRIM(E4473))-1),TRIM(E4473)))</f>
        <v>United States</v>
      </c>
      <c r="M4473" s="7" t="str">
        <f aca="false">IFERROR(LEFT(J4473,FIND(",",J4473)-1),J4473)</f>
        <v>Dramas</v>
      </c>
      <c r="N4473" s="7" t="n">
        <f aca="false">IF(B4473="Movie",IFERROR(VALUE(LEFT(I4473,FIND(" ",I4473)-1)),""),"")</f>
        <v>112</v>
      </c>
      <c r="O4473" s="7" t="str">
        <f aca="false">IF(B4473="TV Show",IFERROR(VALUE(LEFT(I4473,FIND(" ",I4473)-1)),""),"")</f>
        <v/>
      </c>
      <c r="P4473" s="7" t="n">
        <f aca="false">IF(K4473="","",K4473-G4473)</f>
        <v>4</v>
      </c>
    </row>
    <row r="4474" customFormat="false" ht="15" hidden="false" customHeight="false" outlineLevel="0" collapsed="false">
      <c r="A4474" s="7" t="n">
        <v>80013474</v>
      </c>
      <c r="B4474" s="7" t="s">
        <v>68</v>
      </c>
      <c r="C4474" s="7" t="s">
        <v>9171</v>
      </c>
      <c r="D4474" s="7" t="s">
        <v>9172</v>
      </c>
      <c r="E4474" s="7" t="s">
        <v>9173</v>
      </c>
      <c r="F4474" s="7" t="s">
        <v>9162</v>
      </c>
      <c r="G4474" s="7" t="n">
        <v>2014</v>
      </c>
      <c r="H4474" s="7" t="s">
        <v>51</v>
      </c>
      <c r="I4474" s="7" t="s">
        <v>168</v>
      </c>
      <c r="J4474" s="7" t="s">
        <v>251</v>
      </c>
      <c r="K4474" s="7" t="n">
        <f aca="false">IFERROR(VALUE(RIGHT(TRIM(F4474),4)),"")</f>
        <v>2018</v>
      </c>
      <c r="L4474" s="7" t="str">
        <f aca="false">IF(TRIM(E4474)="","Unknown",IFERROR(LEFT(TRIM(E4474),FIND(",",TRIM(E4474))-1),TRIM(E4474)))</f>
        <v>Canada</v>
      </c>
      <c r="M4474" s="7" t="str">
        <f aca="false">IFERROR(LEFT(J4474,FIND(",",J4474)-1),J4474)</f>
        <v>Comedies</v>
      </c>
      <c r="N4474" s="7" t="n">
        <f aca="false">IF(B4474="Movie",IFERROR(VALUE(LEFT(I4474,FIND(" ",I4474)-1)),""),"")</f>
        <v>112</v>
      </c>
      <c r="O4474" s="7" t="str">
        <f aca="false">IF(B4474="TV Show",IFERROR(VALUE(LEFT(I4474,FIND(" ",I4474)-1)),""),"")</f>
        <v/>
      </c>
      <c r="P4474" s="7" t="n">
        <f aca="false">IF(K4474="","",K4474-G4474)</f>
        <v>4</v>
      </c>
    </row>
    <row r="4475" customFormat="false" ht="15" hidden="false" customHeight="false" outlineLevel="0" collapsed="false">
      <c r="A4475" s="7" t="n">
        <v>70184051</v>
      </c>
      <c r="B4475" s="7" t="s">
        <v>68</v>
      </c>
      <c r="C4475" s="7" t="s">
        <v>238</v>
      </c>
      <c r="D4475" s="7" t="s">
        <v>4782</v>
      </c>
      <c r="E4475" s="7" t="s">
        <v>293</v>
      </c>
      <c r="F4475" s="7" t="s">
        <v>9162</v>
      </c>
      <c r="G4475" s="7" t="n">
        <v>2011</v>
      </c>
      <c r="H4475" s="7" t="s">
        <v>52</v>
      </c>
      <c r="I4475" s="7" t="s">
        <v>294</v>
      </c>
      <c r="J4475" s="7" t="s">
        <v>269</v>
      </c>
      <c r="K4475" s="7" t="n">
        <f aca="false">IFERROR(VALUE(RIGHT(TRIM(F4475),4)),"")</f>
        <v>2018</v>
      </c>
      <c r="L4475" s="7" t="str">
        <f aca="false">IF(TRIM(E4475)="","Unknown",IFERROR(LEFT(TRIM(E4475),FIND(",",TRIM(E4475))-1),TRIM(E4475)))</f>
        <v>United States</v>
      </c>
      <c r="M4475" s="7" t="str">
        <f aca="false">IFERROR(LEFT(J4475,FIND(",",J4475)-1),J4475)</f>
        <v>Dramas</v>
      </c>
      <c r="N4475" s="7" t="n">
        <f aca="false">IF(B4475="Movie",IFERROR(VALUE(LEFT(I4475,FIND(" ",I4475)-1)),""),"")</f>
        <v>107</v>
      </c>
      <c r="O4475" s="7" t="str">
        <f aca="false">IF(B4475="TV Show",IFERROR(VALUE(LEFT(I4475,FIND(" ",I4475)-1)),""),"")</f>
        <v/>
      </c>
      <c r="P4475" s="7" t="n">
        <f aca="false">IF(K4475="","",K4475-G4475)</f>
        <v>7</v>
      </c>
    </row>
    <row r="4476" customFormat="false" ht="15" hidden="false" customHeight="false" outlineLevel="0" collapsed="false">
      <c r="A4476" s="7" t="n">
        <v>80232329</v>
      </c>
      <c r="B4476" s="7" t="s">
        <v>68</v>
      </c>
      <c r="C4476" s="7" t="s">
        <v>9174</v>
      </c>
      <c r="D4476" s="7" t="s">
        <v>9175</v>
      </c>
      <c r="E4476" s="7" t="s">
        <v>26</v>
      </c>
      <c r="F4476" s="7" t="s">
        <v>9162</v>
      </c>
      <c r="G4476" s="7" t="n">
        <v>2018</v>
      </c>
      <c r="H4476" s="7" t="s">
        <v>48</v>
      </c>
      <c r="I4476" s="7" t="s">
        <v>722</v>
      </c>
      <c r="J4476" s="7" t="s">
        <v>1927</v>
      </c>
      <c r="K4476" s="7" t="n">
        <f aca="false">IFERROR(VALUE(RIGHT(TRIM(F4476),4)),"")</f>
        <v>2018</v>
      </c>
      <c r="L4476" s="7" t="str">
        <f aca="false">IF(TRIM(E4476)="","Unknown",IFERROR(LEFT(TRIM(E4476),FIND(",",TRIM(E4476))-1),TRIM(E4476)))</f>
        <v>United States</v>
      </c>
      <c r="M4476" s="7" t="str">
        <f aca="false">IFERROR(LEFT(J4476,FIND(",",J4476)-1),J4476)</f>
        <v>Music &amp; Musicals</v>
      </c>
      <c r="N4476" s="7" t="n">
        <f aca="false">IF(B4476="Movie",IFERROR(VALUE(LEFT(I4476,FIND(" ",I4476)-1)),""),"")</f>
        <v>153</v>
      </c>
      <c r="O4476" s="7" t="str">
        <f aca="false">IF(B4476="TV Show",IFERROR(VALUE(LEFT(I4476,FIND(" ",I4476)-1)),""),"")</f>
        <v/>
      </c>
      <c r="P4476" s="7" t="n">
        <f aca="false">IF(K4476="","",K4476-G4476)</f>
        <v>0</v>
      </c>
    </row>
    <row r="4477" customFormat="false" ht="15" hidden="false" customHeight="false" outlineLevel="0" collapsed="false">
      <c r="A4477" s="7" t="n">
        <v>80000644</v>
      </c>
      <c r="B4477" s="7" t="s">
        <v>68</v>
      </c>
      <c r="C4477" s="7" t="s">
        <v>9176</v>
      </c>
      <c r="D4477" s="7" t="s">
        <v>9177</v>
      </c>
      <c r="E4477" s="7" t="s">
        <v>4779</v>
      </c>
      <c r="F4477" s="7" t="s">
        <v>9162</v>
      </c>
      <c r="G4477" s="7" t="n">
        <v>2014</v>
      </c>
      <c r="H4477" s="7" t="s">
        <v>52</v>
      </c>
      <c r="I4477" s="7" t="s">
        <v>869</v>
      </c>
      <c r="J4477" s="7" t="s">
        <v>269</v>
      </c>
      <c r="K4477" s="7" t="n">
        <f aca="false">IFERROR(VALUE(RIGHT(TRIM(F4477),4)),"")</f>
        <v>2018</v>
      </c>
      <c r="L4477" s="7" t="str">
        <f aca="false">IF(TRIM(E4477)="","Unknown",IFERROR(LEFT(TRIM(E4477),FIND(",",TRIM(E4477))-1),TRIM(E4477)))</f>
        <v>United Kingdom</v>
      </c>
      <c r="M4477" s="7" t="str">
        <f aca="false">IFERROR(LEFT(J4477,FIND(",",J4477)-1),J4477)</f>
        <v>Dramas</v>
      </c>
      <c r="N4477" s="7" t="n">
        <f aca="false">IF(B4477="Movie",IFERROR(VALUE(LEFT(I4477,FIND(" ",I4477)-1)),""),"")</f>
        <v>123</v>
      </c>
      <c r="O4477" s="7" t="str">
        <f aca="false">IF(B4477="TV Show",IFERROR(VALUE(LEFT(I4477,FIND(" ",I4477)-1)),""),"")</f>
        <v/>
      </c>
      <c r="P4477" s="7" t="n">
        <f aca="false">IF(K4477="","",K4477-G4477)</f>
        <v>4</v>
      </c>
    </row>
    <row r="4478" customFormat="false" ht="15" hidden="false" customHeight="false" outlineLevel="0" collapsed="false">
      <c r="A4478" s="7" t="n">
        <v>80145625</v>
      </c>
      <c r="B4478" s="7" t="s">
        <v>68</v>
      </c>
      <c r="C4478" s="7" t="s">
        <v>9178</v>
      </c>
      <c r="D4478" s="7" t="s">
        <v>9179</v>
      </c>
      <c r="E4478" s="7" t="s">
        <v>2476</v>
      </c>
      <c r="F4478" s="7" t="s">
        <v>9180</v>
      </c>
      <c r="G4478" s="7" t="n">
        <v>2017</v>
      </c>
      <c r="H4478" s="7" t="s">
        <v>53</v>
      </c>
      <c r="I4478" s="7" t="s">
        <v>2053</v>
      </c>
      <c r="J4478" s="7" t="s">
        <v>322</v>
      </c>
      <c r="K4478" s="7" t="n">
        <f aca="false">IFERROR(VALUE(RIGHT(TRIM(F4478),4)),"")</f>
        <v>2017</v>
      </c>
      <c r="L4478" s="7" t="str">
        <f aca="false">IF(TRIM(E4478)="","Unknown",IFERROR(LEFT(TRIM(E4478),FIND(",",TRIM(E4478))-1),TRIM(E4478)))</f>
        <v>China</v>
      </c>
      <c r="M4478" s="7" t="str">
        <f aca="false">IFERROR(LEFT(J4478,FIND(",",J4478)-1),J4478)</f>
        <v>Action &amp; Adventure</v>
      </c>
      <c r="N4478" s="7" t="n">
        <f aca="false">IF(B4478="Movie",IFERROR(VALUE(LEFT(I4478,FIND(" ",I4478)-1)),""),"")</f>
        <v>129</v>
      </c>
      <c r="O4478" s="7" t="str">
        <f aca="false">IF(B4478="TV Show",IFERROR(VALUE(LEFT(I4478,FIND(" ",I4478)-1)),""),"")</f>
        <v/>
      </c>
      <c r="P4478" s="7" t="n">
        <f aca="false">IF(K4478="","",K4478-G4478)</f>
        <v>0</v>
      </c>
    </row>
    <row r="4479" customFormat="false" ht="15" hidden="false" customHeight="false" outlineLevel="0" collapsed="false">
      <c r="A4479" s="7" t="n">
        <v>70264416</v>
      </c>
      <c r="B4479" s="7" t="s">
        <v>78</v>
      </c>
      <c r="C4479" s="7" t="s">
        <v>9181</v>
      </c>
      <c r="E4479" s="7" t="s">
        <v>230</v>
      </c>
      <c r="F4479" s="7" t="s">
        <v>9180</v>
      </c>
      <c r="G4479" s="7" t="n">
        <v>2010</v>
      </c>
      <c r="H4479" s="7" t="s">
        <v>50</v>
      </c>
      <c r="I4479" s="7" t="s">
        <v>82</v>
      </c>
      <c r="J4479" s="7" t="s">
        <v>44</v>
      </c>
      <c r="K4479" s="7" t="n">
        <f aca="false">IFERROR(VALUE(RIGHT(TRIM(F4479),4)),"")</f>
        <v>2017</v>
      </c>
      <c r="L4479" s="7" t="str">
        <f aca="false">IF(TRIM(E4479)="","Unknown",IFERROR(LEFT(TRIM(E4479),FIND(",",TRIM(E4479))-1),TRIM(E4479)))</f>
        <v>United States</v>
      </c>
      <c r="M4479" s="7" t="str">
        <f aca="false">IFERROR(LEFT(J4479,FIND(",",J4479)-1),J4479)</f>
        <v>Kids' TV</v>
      </c>
      <c r="N4479" s="7" t="str">
        <f aca="false">IF(B4479="Movie",IFERROR(VALUE(LEFT(I4479,FIND(" ",I4479)-1)),""),"")</f>
        <v/>
      </c>
      <c r="O4479" s="7" t="n">
        <f aca="false">IF(B4479="TV Show",IFERROR(VALUE(LEFT(I4479,FIND(" ",I4479)-1)),""),"")</f>
        <v>1</v>
      </c>
      <c r="P4479" s="7" t="n">
        <f aca="false">IF(K4479="","",K4479-G4479)</f>
        <v>7</v>
      </c>
    </row>
    <row r="4480" customFormat="false" ht="15" hidden="false" customHeight="false" outlineLevel="0" collapsed="false">
      <c r="A4480" s="7" t="n">
        <v>80144803</v>
      </c>
      <c r="B4480" s="7" t="s">
        <v>68</v>
      </c>
      <c r="C4480" s="7" t="s">
        <v>9182</v>
      </c>
      <c r="D4480" s="7" t="s">
        <v>9183</v>
      </c>
      <c r="E4480" s="7" t="s">
        <v>26</v>
      </c>
      <c r="F4480" s="7" t="s">
        <v>9184</v>
      </c>
      <c r="G4480" s="7" t="n">
        <v>2016</v>
      </c>
      <c r="H4480" s="7" t="s">
        <v>48</v>
      </c>
      <c r="I4480" s="7" t="s">
        <v>820</v>
      </c>
      <c r="J4480" s="7" t="s">
        <v>37</v>
      </c>
      <c r="K4480" s="7" t="n">
        <f aca="false">IFERROR(VALUE(RIGHT(TRIM(F4480),4)),"")</f>
        <v>2016</v>
      </c>
      <c r="L4480" s="7" t="str">
        <f aca="false">IF(TRIM(E4480)="","Unknown",IFERROR(LEFT(TRIM(E4480),FIND(",",TRIM(E4480))-1),TRIM(E4480)))</f>
        <v>United States</v>
      </c>
      <c r="M4480" s="7" t="str">
        <f aca="false">IFERROR(LEFT(J4480,FIND(",",J4480)-1),J4480)</f>
        <v>Dramas</v>
      </c>
      <c r="N4480" s="7" t="n">
        <f aca="false">IF(B4480="Movie",IFERROR(VALUE(LEFT(I4480,FIND(" ",I4480)-1)),""),"")</f>
        <v>105</v>
      </c>
      <c r="O4480" s="7" t="str">
        <f aca="false">IF(B4480="TV Show",IFERROR(VALUE(LEFT(I4480,FIND(" ",I4480)-1)),""),"")</f>
        <v/>
      </c>
      <c r="P4480" s="7" t="n">
        <f aca="false">IF(K4480="","",K4480-G4480)</f>
        <v>0</v>
      </c>
    </row>
    <row r="4481" customFormat="false" ht="15" hidden="false" customHeight="false" outlineLevel="0" collapsed="false">
      <c r="A4481" s="7" t="n">
        <v>80117627</v>
      </c>
      <c r="B4481" s="7" t="s">
        <v>78</v>
      </c>
      <c r="C4481" s="7" t="s">
        <v>9185</v>
      </c>
      <c r="E4481" s="7" t="s">
        <v>855</v>
      </c>
      <c r="F4481" s="7" t="s">
        <v>9184</v>
      </c>
      <c r="G4481" s="7" t="n">
        <v>2016</v>
      </c>
      <c r="H4481" s="7" t="s">
        <v>49</v>
      </c>
      <c r="I4481" s="7" t="s">
        <v>82</v>
      </c>
      <c r="J4481" s="7" t="s">
        <v>824</v>
      </c>
      <c r="K4481" s="7" t="n">
        <f aca="false">IFERROR(VALUE(RIGHT(TRIM(F4481),4)),"")</f>
        <v>2016</v>
      </c>
      <c r="L4481" s="7" t="str">
        <f aca="false">IF(TRIM(E4481)="","Unknown",IFERROR(LEFT(TRIM(E4481),FIND(",",TRIM(E4481))-1),TRIM(E4481)))</f>
        <v>Italy</v>
      </c>
      <c r="M4481" s="7" t="str">
        <f aca="false">IFERROR(LEFT(J4481,FIND(",",J4481)-1),J4481)</f>
        <v>International TV Shows</v>
      </c>
      <c r="N4481" s="7" t="str">
        <f aca="false">IF(B4481="Movie",IFERROR(VALUE(LEFT(I4481,FIND(" ",I4481)-1)),""),"")</f>
        <v/>
      </c>
      <c r="O4481" s="7" t="n">
        <f aca="false">IF(B4481="TV Show",IFERROR(VALUE(LEFT(I4481,FIND(" ",I4481)-1)),""),"")</f>
        <v>1</v>
      </c>
      <c r="P4481" s="7" t="n">
        <f aca="false">IF(K4481="","",K4481-G4481)</f>
        <v>0</v>
      </c>
    </row>
    <row r="4482" customFormat="false" ht="15" hidden="false" customHeight="false" outlineLevel="0" collapsed="false">
      <c r="A4482" s="7" t="n">
        <v>80104983</v>
      </c>
      <c r="B4482" s="7" t="s">
        <v>78</v>
      </c>
      <c r="C4482" s="7" t="s">
        <v>9186</v>
      </c>
      <c r="E4482" s="7" t="s">
        <v>28</v>
      </c>
      <c r="F4482" s="7" t="s">
        <v>9184</v>
      </c>
      <c r="G4482" s="7" t="n">
        <v>2016</v>
      </c>
      <c r="H4482" s="7" t="s">
        <v>48</v>
      </c>
      <c r="I4482" s="7" t="s">
        <v>82</v>
      </c>
      <c r="J4482" s="7" t="s">
        <v>4309</v>
      </c>
      <c r="K4482" s="7" t="n">
        <f aca="false">IFERROR(VALUE(RIGHT(TRIM(F4482),4)),"")</f>
        <v>2016</v>
      </c>
      <c r="L4482" s="7" t="str">
        <f aca="false">IF(TRIM(E4482)="","Unknown",IFERROR(LEFT(TRIM(E4482),FIND(",",TRIM(E4482))-1),TRIM(E4482)))</f>
        <v>United Kingdom</v>
      </c>
      <c r="M4482" s="7" t="str">
        <f aca="false">IFERROR(LEFT(J4482,FIND(",",J4482)-1),J4482)</f>
        <v>British TV Shows</v>
      </c>
      <c r="N4482" s="7" t="str">
        <f aca="false">IF(B4482="Movie",IFERROR(VALUE(LEFT(I4482,FIND(" ",I4482)-1)),""),"")</f>
        <v/>
      </c>
      <c r="O4482" s="7" t="n">
        <f aca="false">IF(B4482="TV Show",IFERROR(VALUE(LEFT(I4482,FIND(" ",I4482)-1)),""),"")</f>
        <v>1</v>
      </c>
      <c r="P4482" s="7" t="n">
        <f aca="false">IF(K4482="","",K4482-G4482)</f>
        <v>0</v>
      </c>
    </row>
    <row r="4483" customFormat="false" ht="15" hidden="false" customHeight="false" outlineLevel="0" collapsed="false">
      <c r="A4483" s="7" t="n">
        <v>80136440</v>
      </c>
      <c r="B4483" s="7" t="s">
        <v>68</v>
      </c>
      <c r="C4483" s="7" t="s">
        <v>9187</v>
      </c>
      <c r="D4483" s="7" t="s">
        <v>2050</v>
      </c>
      <c r="E4483" s="7" t="s">
        <v>26</v>
      </c>
      <c r="F4483" s="7" t="s">
        <v>9184</v>
      </c>
      <c r="G4483" s="7" t="n">
        <v>2016</v>
      </c>
      <c r="H4483" s="7" t="s">
        <v>53</v>
      </c>
      <c r="I4483" s="7" t="s">
        <v>264</v>
      </c>
      <c r="J4483" s="7" t="s">
        <v>39</v>
      </c>
      <c r="K4483" s="7" t="n">
        <f aca="false">IFERROR(VALUE(RIGHT(TRIM(F4483),4)),"")</f>
        <v>2016</v>
      </c>
      <c r="L4483" s="7" t="str">
        <f aca="false">IF(TRIM(E4483)="","Unknown",IFERROR(LEFT(TRIM(E4483),FIND(",",TRIM(E4483))-1),TRIM(E4483)))</f>
        <v>United States</v>
      </c>
      <c r="M4483" s="7" t="str">
        <f aca="false">IFERROR(LEFT(J4483,FIND(",",J4483)-1),J4483)</f>
        <v>Documentaries</v>
      </c>
      <c r="N4483" s="7" t="n">
        <f aca="false">IF(B4483="Movie",IFERROR(VALUE(LEFT(I4483,FIND(" ",I4483)-1)),""),"")</f>
        <v>88</v>
      </c>
      <c r="O4483" s="7" t="str">
        <f aca="false">IF(B4483="TV Show",IFERROR(VALUE(LEFT(I4483,FIND(" ",I4483)-1)),""),"")</f>
        <v/>
      </c>
      <c r="P4483" s="7" t="n">
        <f aca="false">IF(K4483="","",K4483-G4483)</f>
        <v>0</v>
      </c>
    </row>
    <row r="4484" customFormat="false" ht="15" hidden="false" customHeight="false" outlineLevel="0" collapsed="false">
      <c r="A4484" s="7" t="n">
        <v>80127459</v>
      </c>
      <c r="B4484" s="7" t="s">
        <v>68</v>
      </c>
      <c r="C4484" s="7" t="s">
        <v>9188</v>
      </c>
      <c r="D4484" s="7" t="s">
        <v>9189</v>
      </c>
      <c r="E4484" s="7" t="s">
        <v>26</v>
      </c>
      <c r="F4484" s="7" t="s">
        <v>9184</v>
      </c>
      <c r="G4484" s="7" t="n">
        <v>2016</v>
      </c>
      <c r="H4484" s="7" t="s">
        <v>48</v>
      </c>
      <c r="I4484" s="7" t="s">
        <v>264</v>
      </c>
      <c r="J4484" s="7" t="s">
        <v>37</v>
      </c>
      <c r="K4484" s="7" t="n">
        <f aca="false">IFERROR(VALUE(RIGHT(TRIM(F4484),4)),"")</f>
        <v>2016</v>
      </c>
      <c r="L4484" s="7" t="str">
        <f aca="false">IF(TRIM(E4484)="","Unknown",IFERROR(LEFT(TRIM(E4484),FIND(",",TRIM(E4484))-1),TRIM(E4484)))</f>
        <v>United States</v>
      </c>
      <c r="M4484" s="7" t="str">
        <f aca="false">IFERROR(LEFT(J4484,FIND(",",J4484)-1),J4484)</f>
        <v>Dramas</v>
      </c>
      <c r="N4484" s="7" t="n">
        <f aca="false">IF(B4484="Movie",IFERROR(VALUE(LEFT(I4484,FIND(" ",I4484)-1)),""),"")</f>
        <v>88</v>
      </c>
      <c r="O4484" s="7" t="str">
        <f aca="false">IF(B4484="TV Show",IFERROR(VALUE(LEFT(I4484,FIND(" ",I4484)-1)),""),"")</f>
        <v/>
      </c>
      <c r="P4484" s="7" t="n">
        <f aca="false">IF(K4484="","",K4484-G4484)</f>
        <v>0</v>
      </c>
    </row>
    <row r="4485" customFormat="false" ht="15" hidden="false" customHeight="false" outlineLevel="0" collapsed="false">
      <c r="A4485" s="7" t="n">
        <v>80101609</v>
      </c>
      <c r="B4485" s="7" t="s">
        <v>68</v>
      </c>
      <c r="C4485" s="7" t="s">
        <v>9190</v>
      </c>
      <c r="D4485" s="7" t="s">
        <v>9191</v>
      </c>
      <c r="E4485" s="7" t="s">
        <v>26</v>
      </c>
      <c r="F4485" s="7" t="s">
        <v>9184</v>
      </c>
      <c r="G4485" s="7" t="n">
        <v>2016</v>
      </c>
      <c r="H4485" s="7" t="s">
        <v>49</v>
      </c>
      <c r="I4485" s="7" t="s">
        <v>212</v>
      </c>
      <c r="J4485" s="7" t="s">
        <v>39</v>
      </c>
      <c r="K4485" s="7" t="n">
        <f aca="false">IFERROR(VALUE(RIGHT(TRIM(F4485),4)),"")</f>
        <v>2016</v>
      </c>
      <c r="L4485" s="7" t="str">
        <f aca="false">IF(TRIM(E4485)="","Unknown",IFERROR(LEFT(TRIM(E4485),FIND(",",TRIM(E4485))-1),TRIM(E4485)))</f>
        <v>United States</v>
      </c>
      <c r="M4485" s="7" t="str">
        <f aca="false">IFERROR(LEFT(J4485,FIND(",",J4485)-1),J4485)</f>
        <v>Documentaries</v>
      </c>
      <c r="N4485" s="7" t="n">
        <f aca="false">IF(B4485="Movie",IFERROR(VALUE(LEFT(I4485,FIND(" ",I4485)-1)),""),"")</f>
        <v>86</v>
      </c>
      <c r="O4485" s="7" t="str">
        <f aca="false">IF(B4485="TV Show",IFERROR(VALUE(LEFT(I4485,FIND(" ",I4485)-1)),""),"")</f>
        <v/>
      </c>
      <c r="P4485" s="7" t="n">
        <f aca="false">IF(K4485="","",K4485-G4485)</f>
        <v>0</v>
      </c>
    </row>
    <row r="4486" customFormat="false" ht="15" hidden="false" customHeight="false" outlineLevel="0" collapsed="false">
      <c r="A4486" s="7" t="n">
        <v>80125782</v>
      </c>
      <c r="B4486" s="7" t="s">
        <v>68</v>
      </c>
      <c r="C4486" s="7" t="s">
        <v>9192</v>
      </c>
      <c r="D4486" s="7" t="s">
        <v>9193</v>
      </c>
      <c r="E4486" s="7" t="s">
        <v>619</v>
      </c>
      <c r="F4486" s="7" t="s">
        <v>9194</v>
      </c>
      <c r="G4486" s="7" t="n">
        <v>2016</v>
      </c>
      <c r="H4486" s="7" t="s">
        <v>51</v>
      </c>
      <c r="I4486" s="7" t="s">
        <v>93</v>
      </c>
      <c r="J4486" s="7" t="s">
        <v>37</v>
      </c>
      <c r="K4486" s="7" t="n">
        <f aca="false">IFERROR(VALUE(RIGHT(TRIM(F4486),4)),"")</f>
        <v>2019</v>
      </c>
      <c r="L4486" s="7" t="str">
        <f aca="false">IF(TRIM(E4486)="","Unknown",IFERROR(LEFT(TRIM(E4486),FIND(",",TRIM(E4486))-1),TRIM(E4486)))</f>
        <v>Canada</v>
      </c>
      <c r="M4486" s="7" t="str">
        <f aca="false">IFERROR(LEFT(J4486,FIND(",",J4486)-1),J4486)</f>
        <v>Dramas</v>
      </c>
      <c r="N4486" s="7" t="n">
        <f aca="false">IF(B4486="Movie",IFERROR(VALUE(LEFT(I4486,FIND(" ",I4486)-1)),""),"")</f>
        <v>110</v>
      </c>
      <c r="O4486" s="7" t="str">
        <f aca="false">IF(B4486="TV Show",IFERROR(VALUE(LEFT(I4486,FIND(" ",I4486)-1)),""),"")</f>
        <v/>
      </c>
      <c r="P4486" s="7" t="n">
        <f aca="false">IF(K4486="","",K4486-G4486)</f>
        <v>3</v>
      </c>
    </row>
    <row r="4487" customFormat="false" ht="15" hidden="false" customHeight="false" outlineLevel="0" collapsed="false">
      <c r="A4487" s="7" t="n">
        <v>80074933</v>
      </c>
      <c r="B4487" s="7" t="s">
        <v>68</v>
      </c>
      <c r="C4487" s="7" t="s">
        <v>9195</v>
      </c>
      <c r="D4487" s="7" t="s">
        <v>9196</v>
      </c>
      <c r="E4487" s="7" t="s">
        <v>27</v>
      </c>
      <c r="F4487" s="7" t="s">
        <v>9194</v>
      </c>
      <c r="G4487" s="7" t="n">
        <v>2015</v>
      </c>
      <c r="H4487" s="7" t="s">
        <v>49</v>
      </c>
      <c r="I4487" s="7" t="s">
        <v>2192</v>
      </c>
      <c r="J4487" s="7" t="s">
        <v>217</v>
      </c>
      <c r="K4487" s="7" t="n">
        <f aca="false">IFERROR(VALUE(RIGHT(TRIM(F4487),4)),"")</f>
        <v>2019</v>
      </c>
      <c r="L4487" s="7" t="str">
        <f aca="false">IF(TRIM(E4487)="","Unknown",IFERROR(LEFT(TRIM(E4487),FIND(",",TRIM(E4487))-1),TRIM(E4487)))</f>
        <v>India</v>
      </c>
      <c r="M4487" s="7" t="str">
        <f aca="false">IFERROR(LEFT(J4487,FIND(",",J4487)-1),J4487)</f>
        <v>Comedies</v>
      </c>
      <c r="N4487" s="7" t="n">
        <f aca="false">IF(B4487="Movie",IFERROR(VALUE(LEFT(I4487,FIND(" ",I4487)-1)),""),"")</f>
        <v>134</v>
      </c>
      <c r="O4487" s="7" t="str">
        <f aca="false">IF(B4487="TV Show",IFERROR(VALUE(LEFT(I4487,FIND(" ",I4487)-1)),""),"")</f>
        <v/>
      </c>
      <c r="P4487" s="7" t="n">
        <f aca="false">IF(K4487="","",K4487-G4487)</f>
        <v>4</v>
      </c>
    </row>
    <row r="4488" customFormat="false" ht="15" hidden="false" customHeight="false" outlineLevel="0" collapsed="false">
      <c r="A4488" s="7" t="n">
        <v>80188605</v>
      </c>
      <c r="B4488" s="7" t="s">
        <v>78</v>
      </c>
      <c r="C4488" s="7" t="s">
        <v>9197</v>
      </c>
      <c r="F4488" s="7" t="s">
        <v>9194</v>
      </c>
      <c r="G4488" s="7" t="n">
        <v>2016</v>
      </c>
      <c r="H4488" s="7" t="s">
        <v>49</v>
      </c>
      <c r="I4488" s="7" t="s">
        <v>82</v>
      </c>
      <c r="J4488" s="7" t="s">
        <v>637</v>
      </c>
      <c r="K4488" s="7" t="n">
        <f aca="false">IFERROR(VALUE(RIGHT(TRIM(F4488),4)),"")</f>
        <v>2019</v>
      </c>
      <c r="L4488" s="7" t="str">
        <f aca="false">IF(TRIM(E4488)="","Unknown",IFERROR(LEFT(TRIM(E4488),FIND(",",TRIM(E4488))-1),TRIM(E4488)))</f>
        <v>Unknown</v>
      </c>
      <c r="M4488" s="7" t="str">
        <f aca="false">IFERROR(LEFT(J4488,FIND(",",J4488)-1),J4488)</f>
        <v>International TV Shows</v>
      </c>
      <c r="N4488" s="7" t="str">
        <f aca="false">IF(B4488="Movie",IFERROR(VALUE(LEFT(I4488,FIND(" ",I4488)-1)),""),"")</f>
        <v/>
      </c>
      <c r="O4488" s="7" t="n">
        <f aca="false">IF(B4488="TV Show",IFERROR(VALUE(LEFT(I4488,FIND(" ",I4488)-1)),""),"")</f>
        <v>1</v>
      </c>
      <c r="P4488" s="7" t="n">
        <f aca="false">IF(K4488="","",K4488-G4488)</f>
        <v>3</v>
      </c>
    </row>
    <row r="4489" customFormat="false" ht="15" hidden="false" customHeight="false" outlineLevel="0" collapsed="false">
      <c r="A4489" s="7" t="n">
        <v>81159258</v>
      </c>
      <c r="B4489" s="7" t="s">
        <v>78</v>
      </c>
      <c r="C4489" s="7" t="s">
        <v>9198</v>
      </c>
      <c r="F4489" s="7" t="s">
        <v>9194</v>
      </c>
      <c r="G4489" s="7" t="n">
        <v>2019</v>
      </c>
      <c r="H4489" s="7" t="s">
        <v>49</v>
      </c>
      <c r="I4489" s="7" t="s">
        <v>82</v>
      </c>
      <c r="J4489" s="7" t="s">
        <v>637</v>
      </c>
      <c r="K4489" s="7" t="n">
        <f aca="false">IFERROR(VALUE(RIGHT(TRIM(F4489),4)),"")</f>
        <v>2019</v>
      </c>
      <c r="L4489" s="7" t="str">
        <f aca="false">IF(TRIM(E4489)="","Unknown",IFERROR(LEFT(TRIM(E4489),FIND(",",TRIM(E4489))-1),TRIM(E4489)))</f>
        <v>Unknown</v>
      </c>
      <c r="M4489" s="7" t="str">
        <f aca="false">IFERROR(LEFT(J4489,FIND(",",J4489)-1),J4489)</f>
        <v>International TV Shows</v>
      </c>
      <c r="N4489" s="7" t="str">
        <f aca="false">IF(B4489="Movie",IFERROR(VALUE(LEFT(I4489,FIND(" ",I4489)-1)),""),"")</f>
        <v/>
      </c>
      <c r="O4489" s="7" t="n">
        <f aca="false">IF(B4489="TV Show",IFERROR(VALUE(LEFT(I4489,FIND(" ",I4489)-1)),""),"")</f>
        <v>1</v>
      </c>
      <c r="P4489" s="7" t="n">
        <f aca="false">IF(K4489="","",K4489-G4489)</f>
        <v>0</v>
      </c>
    </row>
    <row r="4490" customFormat="false" ht="15" hidden="false" customHeight="false" outlineLevel="0" collapsed="false">
      <c r="A4490" s="7" t="n">
        <v>81213155</v>
      </c>
      <c r="B4490" s="7" t="s">
        <v>78</v>
      </c>
      <c r="C4490" s="7" t="s">
        <v>9199</v>
      </c>
      <c r="D4490" s="7" t="s">
        <v>9200</v>
      </c>
      <c r="F4490" s="7" t="s">
        <v>9194</v>
      </c>
      <c r="G4490" s="7" t="n">
        <v>2018</v>
      </c>
      <c r="H4490" s="7" t="s">
        <v>48</v>
      </c>
      <c r="I4490" s="7" t="s">
        <v>82</v>
      </c>
      <c r="J4490" s="7" t="s">
        <v>344</v>
      </c>
      <c r="K4490" s="7" t="n">
        <f aca="false">IFERROR(VALUE(RIGHT(TRIM(F4490),4)),"")</f>
        <v>2019</v>
      </c>
      <c r="L4490" s="7" t="str">
        <f aca="false">IF(TRIM(E4490)="","Unknown",IFERROR(LEFT(TRIM(E4490),FIND(",",TRIM(E4490))-1),TRIM(E4490)))</f>
        <v>Unknown</v>
      </c>
      <c r="M4490" s="7" t="str">
        <f aca="false">IFERROR(LEFT(J4490,FIND(",",J4490)-1),J4490)</f>
        <v>International TV Shows</v>
      </c>
      <c r="N4490" s="7" t="str">
        <f aca="false">IF(B4490="Movie",IFERROR(VALUE(LEFT(I4490,FIND(" ",I4490)-1)),""),"")</f>
        <v/>
      </c>
      <c r="O4490" s="7" t="n">
        <f aca="false">IF(B4490="TV Show",IFERROR(VALUE(LEFT(I4490,FIND(" ",I4490)-1)),""),"")</f>
        <v>1</v>
      </c>
      <c r="P4490" s="7" t="n">
        <f aca="false">IF(K4490="","",K4490-G4490)</f>
        <v>1</v>
      </c>
    </row>
    <row r="4491" customFormat="false" ht="15" hidden="false" customHeight="false" outlineLevel="0" collapsed="false">
      <c r="A4491" s="7" t="n">
        <v>60021525</v>
      </c>
      <c r="B4491" s="7" t="s">
        <v>68</v>
      </c>
      <c r="C4491" s="7" t="s">
        <v>9201</v>
      </c>
      <c r="D4491" s="7" t="s">
        <v>9202</v>
      </c>
      <c r="E4491" s="7" t="s">
        <v>27</v>
      </c>
      <c r="F4491" s="7" t="s">
        <v>9194</v>
      </c>
      <c r="G4491" s="7" t="n">
        <v>2001</v>
      </c>
      <c r="H4491" s="7" t="s">
        <v>49</v>
      </c>
      <c r="I4491" s="7" t="s">
        <v>3239</v>
      </c>
      <c r="J4491" s="7" t="s">
        <v>217</v>
      </c>
      <c r="K4491" s="7" t="n">
        <f aca="false">IFERROR(VALUE(RIGHT(TRIM(F4491),4)),"")</f>
        <v>2019</v>
      </c>
      <c r="L4491" s="7" t="str">
        <f aca="false">IF(TRIM(E4491)="","Unknown",IFERROR(LEFT(TRIM(E4491),FIND(",",TRIM(E4491))-1),TRIM(E4491)))</f>
        <v>India</v>
      </c>
      <c r="M4491" s="7" t="str">
        <f aca="false">IFERROR(LEFT(J4491,FIND(",",J4491)-1),J4491)</f>
        <v>Comedies</v>
      </c>
      <c r="N4491" s="7" t="n">
        <f aca="false">IF(B4491="Movie",IFERROR(VALUE(LEFT(I4491,FIND(" ",I4491)-1)),""),"")</f>
        <v>185</v>
      </c>
      <c r="O4491" s="7" t="str">
        <f aca="false">IF(B4491="TV Show",IFERROR(VALUE(LEFT(I4491,FIND(" ",I4491)-1)),""),"")</f>
        <v/>
      </c>
      <c r="P4491" s="7" t="n">
        <f aca="false">IF(K4491="","",K4491-G4491)</f>
        <v>18</v>
      </c>
    </row>
    <row r="4492" customFormat="false" ht="15" hidden="false" customHeight="false" outlineLevel="0" collapsed="false">
      <c r="A4492" s="7" t="n">
        <v>80057585</v>
      </c>
      <c r="B4492" s="7" t="s">
        <v>68</v>
      </c>
      <c r="C4492" s="7" t="s">
        <v>9203</v>
      </c>
      <c r="D4492" s="7" t="s">
        <v>9204</v>
      </c>
      <c r="E4492" s="7" t="s">
        <v>27</v>
      </c>
      <c r="F4492" s="7" t="s">
        <v>9194</v>
      </c>
      <c r="G4492" s="7" t="n">
        <v>2015</v>
      </c>
      <c r="H4492" s="7" t="s">
        <v>49</v>
      </c>
      <c r="I4492" s="7" t="s">
        <v>9205</v>
      </c>
      <c r="J4492" s="7" t="s">
        <v>217</v>
      </c>
      <c r="K4492" s="7" t="n">
        <f aca="false">IFERROR(VALUE(RIGHT(TRIM(F4492),4)),"")</f>
        <v>2019</v>
      </c>
      <c r="L4492" s="7" t="str">
        <f aca="false">IF(TRIM(E4492)="","Unknown",IFERROR(LEFT(TRIM(E4492),FIND(",",TRIM(E4492))-1),TRIM(E4492)))</f>
        <v>India</v>
      </c>
      <c r="M4492" s="7" t="str">
        <f aca="false">IFERROR(LEFT(J4492,FIND(",",J4492)-1),J4492)</f>
        <v>Comedies</v>
      </c>
      <c r="N4492" s="7" t="n">
        <f aca="false">IF(B4492="Movie",IFERROR(VALUE(LEFT(I4492,FIND(" ",I4492)-1)),""),"")</f>
        <v>174</v>
      </c>
      <c r="O4492" s="7" t="str">
        <f aca="false">IF(B4492="TV Show",IFERROR(VALUE(LEFT(I4492,FIND(" ",I4492)-1)),""),"")</f>
        <v/>
      </c>
      <c r="P4492" s="7" t="n">
        <f aca="false">IF(K4492="","",K4492-G4492)</f>
        <v>4</v>
      </c>
    </row>
    <row r="4493" customFormat="false" ht="15" hidden="false" customHeight="false" outlineLevel="0" collapsed="false">
      <c r="A4493" s="7" t="n">
        <v>70059026</v>
      </c>
      <c r="B4493" s="7" t="s">
        <v>68</v>
      </c>
      <c r="C4493" s="7" t="s">
        <v>8633</v>
      </c>
      <c r="D4493" s="7" t="s">
        <v>9202</v>
      </c>
      <c r="E4493" s="7" t="s">
        <v>27</v>
      </c>
      <c r="F4493" s="7" t="s">
        <v>9194</v>
      </c>
      <c r="G4493" s="7" t="n">
        <v>2006</v>
      </c>
      <c r="H4493" s="7" t="s">
        <v>48</v>
      </c>
      <c r="I4493" s="7" t="s">
        <v>9206</v>
      </c>
      <c r="J4493" s="7" t="s">
        <v>322</v>
      </c>
      <c r="K4493" s="7" t="n">
        <f aca="false">IFERROR(VALUE(RIGHT(TRIM(F4493),4)),"")</f>
        <v>2019</v>
      </c>
      <c r="L4493" s="7" t="str">
        <f aca="false">IF(TRIM(E4493)="","Unknown",IFERROR(LEFT(TRIM(E4493),FIND(",",TRIM(E4493))-1),TRIM(E4493)))</f>
        <v>India</v>
      </c>
      <c r="M4493" s="7" t="str">
        <f aca="false">IFERROR(LEFT(J4493,FIND(",",J4493)-1),J4493)</f>
        <v>Action &amp; Adventure</v>
      </c>
      <c r="N4493" s="7" t="n">
        <f aca="false">IF(B4493="Movie",IFERROR(VALUE(LEFT(I4493,FIND(" ",I4493)-1)),""),"")</f>
        <v>169</v>
      </c>
      <c r="O4493" s="7" t="str">
        <f aca="false">IF(B4493="TV Show",IFERROR(VALUE(LEFT(I4493,FIND(" ",I4493)-1)),""),"")</f>
        <v/>
      </c>
      <c r="P4493" s="7" t="n">
        <f aca="false">IF(K4493="","",K4493-G4493)</f>
        <v>13</v>
      </c>
    </row>
    <row r="4494" customFormat="false" ht="15" hidden="false" customHeight="false" outlineLevel="0" collapsed="false">
      <c r="A4494" s="7" t="n">
        <v>70224999</v>
      </c>
      <c r="B4494" s="7" t="s">
        <v>68</v>
      </c>
      <c r="C4494" s="7" t="s">
        <v>9207</v>
      </c>
      <c r="D4494" s="7" t="s">
        <v>9202</v>
      </c>
      <c r="E4494" s="7" t="s">
        <v>4905</v>
      </c>
      <c r="F4494" s="7" t="s">
        <v>9194</v>
      </c>
      <c r="G4494" s="7" t="n">
        <v>2011</v>
      </c>
      <c r="H4494" s="7" t="s">
        <v>49</v>
      </c>
      <c r="I4494" s="7" t="s">
        <v>1026</v>
      </c>
      <c r="J4494" s="7" t="s">
        <v>2221</v>
      </c>
      <c r="K4494" s="7" t="n">
        <f aca="false">IFERROR(VALUE(RIGHT(TRIM(F4494),4)),"")</f>
        <v>2019</v>
      </c>
      <c r="L4494" s="7" t="str">
        <f aca="false">IF(TRIM(E4494)="","Unknown",IFERROR(LEFT(TRIM(E4494),FIND(",",TRIM(E4494))-1),TRIM(E4494)))</f>
        <v>India</v>
      </c>
      <c r="M4494" s="7" t="str">
        <f aca="false">IFERROR(LEFT(J4494,FIND(",",J4494)-1),J4494)</f>
        <v>Action &amp; Adventure</v>
      </c>
      <c r="N4494" s="7" t="n">
        <f aca="false">IF(B4494="Movie",IFERROR(VALUE(LEFT(I4494,FIND(" ",I4494)-1)),""),"")</f>
        <v>148</v>
      </c>
      <c r="O4494" s="7" t="str">
        <f aca="false">IF(B4494="TV Show",IFERROR(VALUE(LEFT(I4494,FIND(" ",I4494)-1)),""),"")</f>
        <v/>
      </c>
      <c r="P4494" s="7" t="n">
        <f aca="false">IF(K4494="","",K4494-G4494)</f>
        <v>8</v>
      </c>
    </row>
    <row r="4495" customFormat="false" ht="15" hidden="false" customHeight="false" outlineLevel="0" collapsed="false">
      <c r="A4495" s="7" t="n">
        <v>70278990</v>
      </c>
      <c r="B4495" s="7" t="s">
        <v>68</v>
      </c>
      <c r="C4495" s="7" t="s">
        <v>9208</v>
      </c>
      <c r="D4495" s="7" t="s">
        <v>9209</v>
      </c>
      <c r="F4495" s="7" t="s">
        <v>9194</v>
      </c>
      <c r="G4495" s="7" t="n">
        <v>2013</v>
      </c>
      <c r="H4495" s="7" t="s">
        <v>49</v>
      </c>
      <c r="I4495" s="7" t="s">
        <v>130</v>
      </c>
      <c r="J4495" s="7" t="s">
        <v>4035</v>
      </c>
      <c r="K4495" s="7" t="n">
        <f aca="false">IFERROR(VALUE(RIGHT(TRIM(F4495),4)),"")</f>
        <v>2019</v>
      </c>
      <c r="L4495" s="7" t="str">
        <f aca="false">IF(TRIM(E4495)="","Unknown",IFERROR(LEFT(TRIM(E4495),FIND(",",TRIM(E4495))-1),TRIM(E4495)))</f>
        <v>Unknown</v>
      </c>
      <c r="M4495" s="7" t="str">
        <f aca="false">IFERROR(LEFT(J4495,FIND(",",J4495)-1),J4495)</f>
        <v>Action &amp; Adventure</v>
      </c>
      <c r="N4495" s="7" t="n">
        <f aca="false">IF(B4495="Movie",IFERROR(VALUE(LEFT(I4495,FIND(" ",I4495)-1)),""),"")</f>
        <v>135</v>
      </c>
      <c r="O4495" s="7" t="str">
        <f aca="false">IF(B4495="TV Show",IFERROR(VALUE(LEFT(I4495,FIND(" ",I4495)-1)),""),"")</f>
        <v/>
      </c>
      <c r="P4495" s="7" t="n">
        <f aca="false">IF(K4495="","",K4495-G4495)</f>
        <v>6</v>
      </c>
    </row>
    <row r="4496" customFormat="false" ht="15" hidden="false" customHeight="false" outlineLevel="0" collapsed="false">
      <c r="A4496" s="7" t="n">
        <v>70181734</v>
      </c>
      <c r="B4496" s="7" t="s">
        <v>68</v>
      </c>
      <c r="C4496" s="7" t="s">
        <v>9210</v>
      </c>
      <c r="D4496" s="7" t="s">
        <v>7930</v>
      </c>
      <c r="E4496" s="7" t="s">
        <v>27</v>
      </c>
      <c r="F4496" s="7" t="s">
        <v>9194</v>
      </c>
      <c r="G4496" s="7" t="n">
        <v>2011</v>
      </c>
      <c r="H4496" s="7" t="s">
        <v>48</v>
      </c>
      <c r="I4496" s="7" t="s">
        <v>130</v>
      </c>
      <c r="J4496" s="7" t="s">
        <v>358</v>
      </c>
      <c r="K4496" s="7" t="n">
        <f aca="false">IFERROR(VALUE(RIGHT(TRIM(F4496),4)),"")</f>
        <v>2019</v>
      </c>
      <c r="L4496" s="7" t="str">
        <f aca="false">IF(TRIM(E4496)="","Unknown",IFERROR(LEFT(TRIM(E4496),FIND(",",TRIM(E4496))-1),TRIM(E4496)))</f>
        <v>India</v>
      </c>
      <c r="M4496" s="7" t="str">
        <f aca="false">IFERROR(LEFT(J4496,FIND(",",J4496)-1),J4496)</f>
        <v>International Movies</v>
      </c>
      <c r="N4496" s="7" t="n">
        <f aca="false">IF(B4496="Movie",IFERROR(VALUE(LEFT(I4496,FIND(" ",I4496)-1)),""),"")</f>
        <v>135</v>
      </c>
      <c r="O4496" s="7" t="str">
        <f aca="false">IF(B4496="TV Show",IFERROR(VALUE(LEFT(I4496,FIND(" ",I4496)-1)),""),"")</f>
        <v/>
      </c>
      <c r="P4496" s="7" t="n">
        <f aca="false">IF(K4496="","",K4496-G4496)</f>
        <v>8</v>
      </c>
    </row>
    <row r="4497" customFormat="false" ht="15" hidden="false" customHeight="false" outlineLevel="0" collapsed="false">
      <c r="A4497" s="7" t="n">
        <v>80205232</v>
      </c>
      <c r="B4497" s="7" t="s">
        <v>78</v>
      </c>
      <c r="C4497" s="7" t="s">
        <v>9211</v>
      </c>
      <c r="D4497" s="7" t="s">
        <v>2706</v>
      </c>
      <c r="E4497" s="7" t="s">
        <v>30</v>
      </c>
      <c r="F4497" s="7" t="s">
        <v>9194</v>
      </c>
      <c r="G4497" s="7" t="n">
        <v>2012</v>
      </c>
      <c r="H4497" s="7" t="s">
        <v>49</v>
      </c>
      <c r="I4497" s="7" t="s">
        <v>82</v>
      </c>
      <c r="J4497" s="7" t="s">
        <v>542</v>
      </c>
      <c r="K4497" s="7" t="n">
        <f aca="false">IFERROR(VALUE(RIGHT(TRIM(F4497),4)),"")</f>
        <v>2019</v>
      </c>
      <c r="L4497" s="7" t="str">
        <f aca="false">IF(TRIM(E4497)="","Unknown",IFERROR(LEFT(TRIM(E4497),FIND(",",TRIM(E4497))-1),TRIM(E4497)))</f>
        <v>Japan</v>
      </c>
      <c r="M4497" s="7" t="str">
        <f aca="false">IFERROR(LEFT(J4497,FIND(",",J4497)-1),J4497)</f>
        <v>Anime Series</v>
      </c>
      <c r="N4497" s="7" t="str">
        <f aca="false">IF(B4497="Movie",IFERROR(VALUE(LEFT(I4497,FIND(" ",I4497)-1)),""),"")</f>
        <v/>
      </c>
      <c r="O4497" s="7" t="n">
        <f aca="false">IF(B4497="TV Show",IFERROR(VALUE(LEFT(I4497,FIND(" ",I4497)-1)),""),"")</f>
        <v>1</v>
      </c>
      <c r="P4497" s="7" t="n">
        <f aca="false">IF(K4497="","",K4497-G4497)</f>
        <v>7</v>
      </c>
    </row>
    <row r="4498" customFormat="false" ht="15" hidden="false" customHeight="false" outlineLevel="0" collapsed="false">
      <c r="A4498" s="7" t="n">
        <v>81135444</v>
      </c>
      <c r="B4498" s="7" t="s">
        <v>68</v>
      </c>
      <c r="C4498" s="7" t="s">
        <v>9212</v>
      </c>
      <c r="D4498" s="7" t="s">
        <v>3695</v>
      </c>
      <c r="F4498" s="7" t="s">
        <v>9194</v>
      </c>
      <c r="G4498" s="7" t="n">
        <v>2019</v>
      </c>
      <c r="H4498" s="7" t="s">
        <v>50</v>
      </c>
      <c r="I4498" s="7" t="s">
        <v>357</v>
      </c>
      <c r="J4498" s="7" t="s">
        <v>3918</v>
      </c>
      <c r="K4498" s="7" t="n">
        <f aca="false">IFERROR(VALUE(RIGHT(TRIM(F4498),4)),"")</f>
        <v>2019</v>
      </c>
      <c r="L4498" s="7" t="str">
        <f aca="false">IF(TRIM(E4498)="","Unknown",IFERROR(LEFT(TRIM(E4498),FIND(",",TRIM(E4498))-1),TRIM(E4498)))</f>
        <v>Unknown</v>
      </c>
      <c r="M4498" s="7" t="str">
        <f aca="false">IFERROR(LEFT(J4498,FIND(",",J4498)-1),J4498)</f>
        <v>Children &amp; Family Movies</v>
      </c>
      <c r="N4498" s="7" t="n">
        <f aca="false">IF(B4498="Movie",IFERROR(VALUE(LEFT(I4498,FIND(" ",I4498)-1)),""),"")</f>
        <v>89</v>
      </c>
      <c r="O4498" s="7" t="str">
        <f aca="false">IF(B4498="TV Show",IFERROR(VALUE(LEFT(I4498,FIND(" ",I4498)-1)),""),"")</f>
        <v/>
      </c>
      <c r="P4498" s="7" t="n">
        <f aca="false">IF(K4498="","",K4498-G4498)</f>
        <v>0</v>
      </c>
    </row>
    <row r="4499" customFormat="false" ht="15" hidden="false" customHeight="false" outlineLevel="0" collapsed="false">
      <c r="A4499" s="7" t="n">
        <v>70254352</v>
      </c>
      <c r="B4499" s="7" t="s">
        <v>68</v>
      </c>
      <c r="C4499" s="7" t="s">
        <v>9213</v>
      </c>
      <c r="D4499" s="7" t="s">
        <v>9214</v>
      </c>
      <c r="E4499" s="7" t="s">
        <v>27</v>
      </c>
      <c r="F4499" s="7" t="s">
        <v>9194</v>
      </c>
      <c r="G4499" s="7" t="n">
        <v>2007</v>
      </c>
      <c r="H4499" s="7" t="s">
        <v>49</v>
      </c>
      <c r="I4499" s="7" t="s">
        <v>519</v>
      </c>
      <c r="J4499" s="7" t="s">
        <v>217</v>
      </c>
      <c r="K4499" s="7" t="n">
        <f aca="false">IFERROR(VALUE(RIGHT(TRIM(F4499),4)),"")</f>
        <v>2019</v>
      </c>
      <c r="L4499" s="7" t="str">
        <f aca="false">IF(TRIM(E4499)="","Unknown",IFERROR(LEFT(TRIM(E4499),FIND(",",TRIM(E4499))-1),TRIM(E4499)))</f>
        <v>India</v>
      </c>
      <c r="M4499" s="7" t="str">
        <f aca="false">IFERROR(LEFT(J4499,FIND(",",J4499)-1),J4499)</f>
        <v>Comedies</v>
      </c>
      <c r="N4499" s="7" t="n">
        <f aca="false">IF(B4499="Movie",IFERROR(VALUE(LEFT(I4499,FIND(" ",I4499)-1)),""),"")</f>
        <v>119</v>
      </c>
      <c r="O4499" s="7" t="str">
        <f aca="false">IF(B4499="TV Show",IFERROR(VALUE(LEFT(I4499,FIND(" ",I4499)-1)),""),"")</f>
        <v/>
      </c>
      <c r="P4499" s="7" t="n">
        <f aca="false">IF(K4499="","",K4499-G4499)</f>
        <v>12</v>
      </c>
    </row>
    <row r="4500" customFormat="false" ht="15" hidden="false" customHeight="false" outlineLevel="0" collapsed="false">
      <c r="A4500" s="7" t="n">
        <v>81213153</v>
      </c>
      <c r="B4500" s="7" t="s">
        <v>68</v>
      </c>
      <c r="C4500" s="7" t="s">
        <v>9215</v>
      </c>
      <c r="D4500" s="7" t="s">
        <v>9216</v>
      </c>
      <c r="E4500" s="7" t="s">
        <v>4187</v>
      </c>
      <c r="F4500" s="7" t="s">
        <v>9194</v>
      </c>
      <c r="G4500" s="7" t="n">
        <v>2017</v>
      </c>
      <c r="H4500" s="7" t="s">
        <v>49</v>
      </c>
      <c r="I4500" s="7" t="s">
        <v>467</v>
      </c>
      <c r="J4500" s="7" t="s">
        <v>974</v>
      </c>
      <c r="K4500" s="7" t="n">
        <f aca="false">IFERROR(VALUE(RIGHT(TRIM(F4500),4)),"")</f>
        <v>2019</v>
      </c>
      <c r="L4500" s="7" t="str">
        <f aca="false">IF(TRIM(E4500)="","Unknown",IFERROR(LEFT(TRIM(E4500),FIND(",",TRIM(E4500))-1),TRIM(E4500)))</f>
        <v>United States</v>
      </c>
      <c r="M4500" s="7" t="str">
        <f aca="false">IFERROR(LEFT(J4500,FIND(",",J4500)-1),J4500)</f>
        <v>Documentaries</v>
      </c>
      <c r="N4500" s="7" t="n">
        <f aca="false">IF(B4500="Movie",IFERROR(VALUE(LEFT(I4500,FIND(" ",I4500)-1)),""),"")</f>
        <v>81</v>
      </c>
      <c r="O4500" s="7" t="str">
        <f aca="false">IF(B4500="TV Show",IFERROR(VALUE(LEFT(I4500,FIND(" ",I4500)-1)),""),"")</f>
        <v/>
      </c>
      <c r="P4500" s="7" t="n">
        <f aca="false">IF(K4500="","",K4500-G4500)</f>
        <v>2</v>
      </c>
    </row>
    <row r="4501" customFormat="false" ht="15" hidden="false" customHeight="false" outlineLevel="0" collapsed="false">
      <c r="A4501" s="7" t="n">
        <v>81213148</v>
      </c>
      <c r="B4501" s="7" t="s">
        <v>68</v>
      </c>
      <c r="C4501" s="7" t="s">
        <v>9217</v>
      </c>
      <c r="D4501" s="7" t="s">
        <v>9218</v>
      </c>
      <c r="E4501" s="7" t="s">
        <v>527</v>
      </c>
      <c r="F4501" s="7" t="s">
        <v>9194</v>
      </c>
      <c r="G4501" s="7" t="n">
        <v>2017</v>
      </c>
      <c r="H4501" s="7" t="s">
        <v>49</v>
      </c>
      <c r="I4501" s="7" t="s">
        <v>134</v>
      </c>
      <c r="J4501" s="7" t="s">
        <v>206</v>
      </c>
      <c r="K4501" s="7" t="n">
        <f aca="false">IFERROR(VALUE(RIGHT(TRIM(F4501),4)),"")</f>
        <v>2019</v>
      </c>
      <c r="L4501" s="7" t="str">
        <f aca="false">IF(TRIM(E4501)="","Unknown",IFERROR(LEFT(TRIM(E4501),FIND(",",TRIM(E4501))-1),TRIM(E4501)))</f>
        <v>Nigeria</v>
      </c>
      <c r="M4501" s="7" t="str">
        <f aca="false">IFERROR(LEFT(J4501,FIND(",",J4501)-1),J4501)</f>
        <v>Comedies</v>
      </c>
      <c r="N4501" s="7" t="n">
        <f aca="false">IF(B4501="Movie",IFERROR(VALUE(LEFT(I4501,FIND(" ",I4501)-1)),""),"")</f>
        <v>98</v>
      </c>
      <c r="O4501" s="7" t="str">
        <f aca="false">IF(B4501="TV Show",IFERROR(VALUE(LEFT(I4501,FIND(" ",I4501)-1)),""),"")</f>
        <v/>
      </c>
      <c r="P4501" s="7" t="n">
        <f aca="false">IF(K4501="","",K4501-G4501)</f>
        <v>2</v>
      </c>
    </row>
    <row r="4502" customFormat="false" ht="15" hidden="false" customHeight="false" outlineLevel="0" collapsed="false">
      <c r="A4502" s="7" t="n">
        <v>70134537</v>
      </c>
      <c r="B4502" s="7" t="s">
        <v>68</v>
      </c>
      <c r="C4502" s="7" t="s">
        <v>9219</v>
      </c>
      <c r="D4502" s="7" t="s">
        <v>9220</v>
      </c>
      <c r="E4502" s="7" t="s">
        <v>27</v>
      </c>
      <c r="F4502" s="7" t="s">
        <v>9194</v>
      </c>
      <c r="G4502" s="7" t="n">
        <v>2010</v>
      </c>
      <c r="H4502" s="7" t="s">
        <v>49</v>
      </c>
      <c r="I4502" s="7" t="s">
        <v>130</v>
      </c>
      <c r="J4502" s="7" t="s">
        <v>182</v>
      </c>
      <c r="K4502" s="7" t="n">
        <f aca="false">IFERROR(VALUE(RIGHT(TRIM(F4502),4)),"")</f>
        <v>2019</v>
      </c>
      <c r="L4502" s="7" t="str">
        <f aca="false">IF(TRIM(E4502)="","Unknown",IFERROR(LEFT(TRIM(E4502),FIND(",",TRIM(E4502))-1),TRIM(E4502)))</f>
        <v>India</v>
      </c>
      <c r="M4502" s="7" t="str">
        <f aca="false">IFERROR(LEFT(J4502,FIND(",",J4502)-1),J4502)</f>
        <v>Dramas</v>
      </c>
      <c r="N4502" s="7" t="n">
        <f aca="false">IF(B4502="Movie",IFERROR(VALUE(LEFT(I4502,FIND(" ",I4502)-1)),""),"")</f>
        <v>135</v>
      </c>
      <c r="O4502" s="7" t="str">
        <f aca="false">IF(B4502="TV Show",IFERROR(VALUE(LEFT(I4502,FIND(" ",I4502)-1)),""),"")</f>
        <v/>
      </c>
      <c r="P4502" s="7" t="n">
        <f aca="false">IF(K4502="","",K4502-G4502)</f>
        <v>9</v>
      </c>
    </row>
    <row r="4503" customFormat="false" ht="15" hidden="false" customHeight="false" outlineLevel="0" collapsed="false">
      <c r="A4503" s="7" t="n">
        <v>70001237</v>
      </c>
      <c r="B4503" s="7" t="s">
        <v>68</v>
      </c>
      <c r="C4503" s="7" t="s">
        <v>9221</v>
      </c>
      <c r="D4503" s="7" t="s">
        <v>9202</v>
      </c>
      <c r="E4503" s="7" t="s">
        <v>27</v>
      </c>
      <c r="F4503" s="7" t="s">
        <v>9194</v>
      </c>
      <c r="G4503" s="7" t="n">
        <v>2004</v>
      </c>
      <c r="H4503" s="7" t="s">
        <v>49</v>
      </c>
      <c r="I4503" s="7" t="s">
        <v>3239</v>
      </c>
      <c r="J4503" s="7" t="s">
        <v>112</v>
      </c>
      <c r="K4503" s="7" t="n">
        <f aca="false">IFERROR(VALUE(RIGHT(TRIM(F4503),4)),"")</f>
        <v>2019</v>
      </c>
      <c r="L4503" s="7" t="str">
        <f aca="false">IF(TRIM(E4503)="","Unknown",IFERROR(LEFT(TRIM(E4503),FIND(",",TRIM(E4503))-1),TRIM(E4503)))</f>
        <v>India</v>
      </c>
      <c r="M4503" s="7" t="str">
        <f aca="false">IFERROR(LEFT(J4503,FIND(",",J4503)-1),J4503)</f>
        <v>Action &amp; Adventure</v>
      </c>
      <c r="N4503" s="7" t="n">
        <f aca="false">IF(B4503="Movie",IFERROR(VALUE(LEFT(I4503,FIND(" ",I4503)-1)),""),"")</f>
        <v>185</v>
      </c>
      <c r="O4503" s="7" t="str">
        <f aca="false">IF(B4503="TV Show",IFERROR(VALUE(LEFT(I4503,FIND(" ",I4503)-1)),""),"")</f>
        <v/>
      </c>
      <c r="P4503" s="7" t="n">
        <f aca="false">IF(K4503="","",K4503-G4503)</f>
        <v>15</v>
      </c>
    </row>
    <row r="4504" customFormat="false" ht="15" hidden="false" customHeight="false" outlineLevel="0" collapsed="false">
      <c r="A4504" s="7" t="n">
        <v>70114467</v>
      </c>
      <c r="B4504" s="7" t="s">
        <v>68</v>
      </c>
      <c r="C4504" s="7" t="s">
        <v>9222</v>
      </c>
      <c r="D4504" s="7" t="s">
        <v>9204</v>
      </c>
      <c r="E4504" s="7" t="s">
        <v>27</v>
      </c>
      <c r="F4504" s="7" t="s">
        <v>9194</v>
      </c>
      <c r="G4504" s="7" t="n">
        <v>2009</v>
      </c>
      <c r="H4504" s="7" t="s">
        <v>49</v>
      </c>
      <c r="I4504" s="7" t="s">
        <v>2231</v>
      </c>
      <c r="J4504" s="7" t="s">
        <v>240</v>
      </c>
      <c r="K4504" s="7" t="n">
        <f aca="false">IFERROR(VALUE(RIGHT(TRIM(F4504),4)),"")</f>
        <v>2019</v>
      </c>
      <c r="L4504" s="7" t="str">
        <f aca="false">IF(TRIM(E4504)="","Unknown",IFERROR(LEFT(TRIM(E4504),FIND(",",TRIM(E4504))-1),TRIM(E4504)))</f>
        <v>India</v>
      </c>
      <c r="M4504" s="7" t="str">
        <f aca="false">IFERROR(LEFT(J4504,FIND(",",J4504)-1),J4504)</f>
        <v>Dramas</v>
      </c>
      <c r="N4504" s="7" t="n">
        <f aca="false">IF(B4504="Movie",IFERROR(VALUE(LEFT(I4504,FIND(" ",I4504)-1)),""),"")</f>
        <v>156</v>
      </c>
      <c r="O4504" s="7" t="str">
        <f aca="false">IF(B4504="TV Show",IFERROR(VALUE(LEFT(I4504,FIND(" ",I4504)-1)),""),"")</f>
        <v/>
      </c>
      <c r="P4504" s="7" t="n">
        <f aca="false">IF(K4504="","",K4504-G4504)</f>
        <v>10</v>
      </c>
    </row>
    <row r="4505" customFormat="false" ht="15" hidden="false" customHeight="false" outlineLevel="0" collapsed="false">
      <c r="A4505" s="7" t="n">
        <v>81213149</v>
      </c>
      <c r="B4505" s="7" t="s">
        <v>68</v>
      </c>
      <c r="C4505" s="7" t="s">
        <v>9223</v>
      </c>
      <c r="D4505" s="7" t="s">
        <v>9224</v>
      </c>
      <c r="E4505" s="7" t="s">
        <v>9225</v>
      </c>
      <c r="F4505" s="7" t="s">
        <v>9194</v>
      </c>
      <c r="G4505" s="7" t="n">
        <v>2017</v>
      </c>
      <c r="H4505" s="7" t="s">
        <v>48</v>
      </c>
      <c r="I4505" s="7" t="s">
        <v>417</v>
      </c>
      <c r="J4505" s="7" t="s">
        <v>217</v>
      </c>
      <c r="K4505" s="7" t="n">
        <f aca="false">IFERROR(VALUE(RIGHT(TRIM(F4505),4)),"")</f>
        <v>2019</v>
      </c>
      <c r="L4505" s="7" t="str">
        <f aca="false">IF(TRIM(E4505)="","Unknown",IFERROR(LEFT(TRIM(E4505),FIND(",",TRIM(E4505))-1),TRIM(E4505)))</f>
        <v>Ghana</v>
      </c>
      <c r="M4505" s="7" t="str">
        <f aca="false">IFERROR(LEFT(J4505,FIND(",",J4505)-1),J4505)</f>
        <v>Comedies</v>
      </c>
      <c r="N4505" s="7" t="n">
        <f aca="false">IF(B4505="Movie",IFERROR(VALUE(LEFT(I4505,FIND(" ",I4505)-1)),""),"")</f>
        <v>104</v>
      </c>
      <c r="O4505" s="7" t="str">
        <f aca="false">IF(B4505="TV Show",IFERROR(VALUE(LEFT(I4505,FIND(" ",I4505)-1)),""),"")</f>
        <v/>
      </c>
      <c r="P4505" s="7" t="n">
        <f aca="false">IF(K4505="","",K4505-G4505)</f>
        <v>2</v>
      </c>
    </row>
    <row r="4506" customFormat="false" ht="15" hidden="false" customHeight="false" outlineLevel="0" collapsed="false">
      <c r="A4506" s="7" t="n">
        <v>70110883</v>
      </c>
      <c r="B4506" s="7" t="s">
        <v>68</v>
      </c>
      <c r="C4506" s="7" t="s">
        <v>9226</v>
      </c>
      <c r="D4506" s="7" t="s">
        <v>3373</v>
      </c>
      <c r="E4506" s="7" t="s">
        <v>27</v>
      </c>
      <c r="F4506" s="7" t="s">
        <v>9194</v>
      </c>
      <c r="G4506" s="7" t="n">
        <v>2008</v>
      </c>
      <c r="H4506" s="7" t="s">
        <v>49</v>
      </c>
      <c r="I4506" s="7" t="s">
        <v>594</v>
      </c>
      <c r="J4506" s="7" t="s">
        <v>1042</v>
      </c>
      <c r="K4506" s="7" t="n">
        <f aca="false">IFERROR(VALUE(RIGHT(TRIM(F4506),4)),"")</f>
        <v>2019</v>
      </c>
      <c r="L4506" s="7" t="str">
        <f aca="false">IF(TRIM(E4506)="","Unknown",IFERROR(LEFT(TRIM(E4506),FIND(",",TRIM(E4506))-1),TRIM(E4506)))</f>
        <v>India</v>
      </c>
      <c r="M4506" s="7" t="str">
        <f aca="false">IFERROR(LEFT(J4506,FIND(",",J4506)-1),J4506)</f>
        <v>Dramas</v>
      </c>
      <c r="N4506" s="7" t="n">
        <f aca="false">IF(B4506="Movie",IFERROR(VALUE(LEFT(I4506,FIND(" ",I4506)-1)),""),"")</f>
        <v>139</v>
      </c>
      <c r="O4506" s="7" t="str">
        <f aca="false">IF(B4506="TV Show",IFERROR(VALUE(LEFT(I4506,FIND(" ",I4506)-1)),""),"")</f>
        <v/>
      </c>
      <c r="P4506" s="7" t="n">
        <f aca="false">IF(K4506="","",K4506-G4506)</f>
        <v>11</v>
      </c>
    </row>
    <row r="4507" customFormat="false" ht="15" hidden="false" customHeight="false" outlineLevel="0" collapsed="false">
      <c r="A4507" s="7" t="n">
        <v>60004509</v>
      </c>
      <c r="B4507" s="7" t="s">
        <v>68</v>
      </c>
      <c r="C4507" s="7" t="s">
        <v>9227</v>
      </c>
      <c r="D4507" s="7" t="s">
        <v>9228</v>
      </c>
      <c r="E4507" s="7" t="s">
        <v>26</v>
      </c>
      <c r="F4507" s="7" t="s">
        <v>9194</v>
      </c>
      <c r="G4507" s="7" t="n">
        <v>1998</v>
      </c>
      <c r="H4507" s="7" t="s">
        <v>50</v>
      </c>
      <c r="I4507" s="7" t="s">
        <v>162</v>
      </c>
      <c r="J4507" s="7" t="s">
        <v>42</v>
      </c>
      <c r="K4507" s="7" t="n">
        <f aca="false">IFERROR(VALUE(RIGHT(TRIM(F4507),4)),"")</f>
        <v>2019</v>
      </c>
      <c r="L4507" s="7" t="str">
        <f aca="false">IF(TRIM(E4507)="","Unknown",IFERROR(LEFT(TRIM(E4507),FIND(",",TRIM(E4507))-1),TRIM(E4507)))</f>
        <v>United States</v>
      </c>
      <c r="M4507" s="7" t="str">
        <f aca="false">IFERROR(LEFT(J4507,FIND(",",J4507)-1),J4507)</f>
        <v>Children &amp; Family Movies</v>
      </c>
      <c r="N4507" s="7" t="n">
        <f aca="false">IF(B4507="Movie",IFERROR(VALUE(LEFT(I4507,FIND(" ",I4507)-1)),""),"")</f>
        <v>77</v>
      </c>
      <c r="O4507" s="7" t="str">
        <f aca="false">IF(B4507="TV Show",IFERROR(VALUE(LEFT(I4507,FIND(" ",I4507)-1)),""),"")</f>
        <v/>
      </c>
      <c r="P4507" s="7" t="n">
        <f aca="false">IF(K4507="","",K4507-G4507)</f>
        <v>21</v>
      </c>
    </row>
    <row r="4508" customFormat="false" ht="15" hidden="false" customHeight="false" outlineLevel="0" collapsed="false">
      <c r="A4508" s="7" t="n">
        <v>81235603</v>
      </c>
      <c r="B4508" s="7" t="s">
        <v>78</v>
      </c>
      <c r="C4508" s="7" t="s">
        <v>9229</v>
      </c>
      <c r="E4508" s="7" t="s">
        <v>26</v>
      </c>
      <c r="F4508" s="7" t="s">
        <v>9194</v>
      </c>
      <c r="G4508" s="7" t="n">
        <v>2010</v>
      </c>
      <c r="H4508" s="7" t="s">
        <v>50</v>
      </c>
      <c r="I4508" s="7" t="s">
        <v>82</v>
      </c>
      <c r="J4508" s="7" t="s">
        <v>44</v>
      </c>
      <c r="K4508" s="7" t="n">
        <f aca="false">IFERROR(VALUE(RIGHT(TRIM(F4508),4)),"")</f>
        <v>2019</v>
      </c>
      <c r="L4508" s="7" t="str">
        <f aca="false">IF(TRIM(E4508)="","Unknown",IFERROR(LEFT(TRIM(E4508),FIND(",",TRIM(E4508))-1),TRIM(E4508)))</f>
        <v>United States</v>
      </c>
      <c r="M4508" s="7" t="str">
        <f aca="false">IFERROR(LEFT(J4508,FIND(",",J4508)-1),J4508)</f>
        <v>Kids' TV</v>
      </c>
      <c r="N4508" s="7" t="str">
        <f aca="false">IF(B4508="Movie",IFERROR(VALUE(LEFT(I4508,FIND(" ",I4508)-1)),""),"")</f>
        <v/>
      </c>
      <c r="O4508" s="7" t="n">
        <f aca="false">IF(B4508="TV Show",IFERROR(VALUE(LEFT(I4508,FIND(" ",I4508)-1)),""),"")</f>
        <v>1</v>
      </c>
      <c r="P4508" s="7" t="n">
        <f aca="false">IF(K4508="","",K4508-G4508)</f>
        <v>9</v>
      </c>
    </row>
    <row r="4509" customFormat="false" ht="15" hidden="false" customHeight="false" outlineLevel="0" collapsed="false">
      <c r="A4509" s="7" t="n">
        <v>70262614</v>
      </c>
      <c r="B4509" s="7" t="s">
        <v>68</v>
      </c>
      <c r="C4509" s="7" t="s">
        <v>9230</v>
      </c>
      <c r="D4509" s="7" t="s">
        <v>9214</v>
      </c>
      <c r="E4509" s="7" t="s">
        <v>27</v>
      </c>
      <c r="F4509" s="7" t="s">
        <v>9194</v>
      </c>
      <c r="G4509" s="7" t="n">
        <v>2012</v>
      </c>
      <c r="H4509" s="7" t="s">
        <v>48</v>
      </c>
      <c r="I4509" s="7" t="s">
        <v>879</v>
      </c>
      <c r="J4509" s="7" t="s">
        <v>182</v>
      </c>
      <c r="K4509" s="7" t="n">
        <f aca="false">IFERROR(VALUE(RIGHT(TRIM(F4509),4)),"")</f>
        <v>2019</v>
      </c>
      <c r="L4509" s="7" t="str">
        <f aca="false">IF(TRIM(E4509)="","Unknown",IFERROR(LEFT(TRIM(E4509),FIND(",",TRIM(E4509))-1),TRIM(E4509)))</f>
        <v>India</v>
      </c>
      <c r="M4509" s="7" t="str">
        <f aca="false">IFERROR(LEFT(J4509,FIND(",",J4509)-1),J4509)</f>
        <v>Dramas</v>
      </c>
      <c r="N4509" s="7" t="n">
        <f aca="false">IF(B4509="Movie",IFERROR(VALUE(LEFT(I4509,FIND(" ",I4509)-1)),""),"")</f>
        <v>140</v>
      </c>
      <c r="O4509" s="7" t="str">
        <f aca="false">IF(B4509="TV Show",IFERROR(VALUE(LEFT(I4509,FIND(" ",I4509)-1)),""),"")</f>
        <v/>
      </c>
      <c r="P4509" s="7" t="n">
        <f aca="false">IF(K4509="","",K4509-G4509)</f>
        <v>7</v>
      </c>
    </row>
    <row r="4510" customFormat="false" ht="15" hidden="false" customHeight="false" outlineLevel="0" collapsed="false">
      <c r="A4510" s="7" t="n">
        <v>60022041</v>
      </c>
      <c r="B4510" s="7" t="s">
        <v>68</v>
      </c>
      <c r="C4510" s="7" t="s">
        <v>9231</v>
      </c>
      <c r="D4510" s="7" t="s">
        <v>9232</v>
      </c>
      <c r="F4510" s="7" t="s">
        <v>9194</v>
      </c>
      <c r="G4510" s="7" t="n">
        <v>2001</v>
      </c>
      <c r="H4510" s="7" t="s">
        <v>55</v>
      </c>
      <c r="I4510" s="7" t="s">
        <v>98</v>
      </c>
      <c r="J4510" s="7" t="s">
        <v>74</v>
      </c>
      <c r="K4510" s="7" t="n">
        <f aca="false">IFERROR(VALUE(RIGHT(TRIM(F4510),4)),"")</f>
        <v>2019</v>
      </c>
      <c r="L4510" s="7" t="str">
        <f aca="false">IF(TRIM(E4510)="","Unknown",IFERROR(LEFT(TRIM(E4510),FIND(",",TRIM(E4510))-1),TRIM(E4510)))</f>
        <v>Unknown</v>
      </c>
      <c r="M4510" s="7" t="str">
        <f aca="false">IFERROR(LEFT(J4510,FIND(",",J4510)-1),J4510)</f>
        <v>Children &amp; Family Movies</v>
      </c>
      <c r="N4510" s="7" t="n">
        <f aca="false">IF(B4510="Movie",IFERROR(VALUE(LEFT(I4510,FIND(" ",I4510)-1)),""),"")</f>
        <v>60</v>
      </c>
      <c r="O4510" s="7" t="str">
        <f aca="false">IF(B4510="TV Show",IFERROR(VALUE(LEFT(I4510,FIND(" ",I4510)-1)),""),"")</f>
        <v/>
      </c>
      <c r="P4510" s="7" t="n">
        <f aca="false">IF(K4510="","",K4510-G4510)</f>
        <v>18</v>
      </c>
    </row>
    <row r="4511" customFormat="false" ht="15" hidden="false" customHeight="false" outlineLevel="0" collapsed="false">
      <c r="A4511" s="7" t="n">
        <v>81213152</v>
      </c>
      <c r="B4511" s="7" t="s">
        <v>68</v>
      </c>
      <c r="C4511" s="7" t="s">
        <v>9233</v>
      </c>
      <c r="D4511" s="7" t="s">
        <v>9234</v>
      </c>
      <c r="F4511" s="7" t="s">
        <v>9194</v>
      </c>
      <c r="G4511" s="7" t="n">
        <v>2018</v>
      </c>
      <c r="H4511" s="7" t="s">
        <v>48</v>
      </c>
      <c r="I4511" s="7" t="s">
        <v>120</v>
      </c>
      <c r="J4511" s="7" t="s">
        <v>699</v>
      </c>
      <c r="K4511" s="7" t="n">
        <f aca="false">IFERROR(VALUE(RIGHT(TRIM(F4511),4)),"")</f>
        <v>2019</v>
      </c>
      <c r="L4511" s="7" t="str">
        <f aca="false">IF(TRIM(E4511)="","Unknown",IFERROR(LEFT(TRIM(E4511),FIND(",",TRIM(E4511))-1),TRIM(E4511)))</f>
        <v>Unknown</v>
      </c>
      <c r="M4511" s="7" t="str">
        <f aca="false">IFERROR(LEFT(J4511,FIND(",",J4511)-1),J4511)</f>
        <v>Documentaries</v>
      </c>
      <c r="N4511" s="7" t="n">
        <f aca="false">IF(B4511="Movie",IFERROR(VALUE(LEFT(I4511,FIND(" ",I4511)-1)),""),"")</f>
        <v>65</v>
      </c>
      <c r="O4511" s="7" t="str">
        <f aca="false">IF(B4511="TV Show",IFERROR(VALUE(LEFT(I4511,FIND(" ",I4511)-1)),""),"")</f>
        <v/>
      </c>
      <c r="P4511" s="7" t="n">
        <f aca="false">IF(K4511="","",K4511-G4511)</f>
        <v>1</v>
      </c>
    </row>
    <row r="4512" customFormat="false" ht="15" hidden="false" customHeight="false" outlineLevel="0" collapsed="false">
      <c r="A4512" s="7" t="n">
        <v>70202336</v>
      </c>
      <c r="B4512" s="7" t="s">
        <v>68</v>
      </c>
      <c r="C4512" s="7" t="s">
        <v>9235</v>
      </c>
      <c r="D4512" s="7" t="s">
        <v>9204</v>
      </c>
      <c r="E4512" s="7" t="s">
        <v>27</v>
      </c>
      <c r="F4512" s="7" t="s">
        <v>9194</v>
      </c>
      <c r="G4512" s="7" t="n">
        <v>2011</v>
      </c>
      <c r="H4512" s="7" t="s">
        <v>50</v>
      </c>
      <c r="I4512" s="7" t="s">
        <v>1955</v>
      </c>
      <c r="J4512" s="7" t="s">
        <v>217</v>
      </c>
      <c r="K4512" s="7" t="n">
        <f aca="false">IFERROR(VALUE(RIGHT(TRIM(F4512),4)),"")</f>
        <v>2019</v>
      </c>
      <c r="L4512" s="7" t="str">
        <f aca="false">IF(TRIM(E4512)="","Unknown",IFERROR(LEFT(TRIM(E4512),FIND(",",TRIM(E4512))-1),TRIM(E4512)))</f>
        <v>India</v>
      </c>
      <c r="M4512" s="7" t="str">
        <f aca="false">IFERROR(LEFT(J4512,FIND(",",J4512)-1),J4512)</f>
        <v>Comedies</v>
      </c>
      <c r="N4512" s="7" t="n">
        <f aca="false">IF(B4512="Movie",IFERROR(VALUE(LEFT(I4512,FIND(" ",I4512)-1)),""),"")</f>
        <v>154</v>
      </c>
      <c r="O4512" s="7" t="str">
        <f aca="false">IF(B4512="TV Show",IFERROR(VALUE(LEFT(I4512,FIND(" ",I4512)-1)),""),"")</f>
        <v/>
      </c>
      <c r="P4512" s="7" t="n">
        <f aca="false">IF(K4512="","",K4512-G4512)</f>
        <v>8</v>
      </c>
    </row>
    <row r="4513" customFormat="false" ht="15" hidden="false" customHeight="false" outlineLevel="0" collapsed="false">
      <c r="A4513" s="7" t="n">
        <v>80998331</v>
      </c>
      <c r="B4513" s="7" t="s">
        <v>78</v>
      </c>
      <c r="C4513" s="7" t="s">
        <v>9236</v>
      </c>
      <c r="E4513" s="7" t="s">
        <v>27</v>
      </c>
      <c r="F4513" s="7" t="s">
        <v>9237</v>
      </c>
      <c r="G4513" s="7" t="n">
        <v>2018</v>
      </c>
      <c r="H4513" s="7" t="s">
        <v>49</v>
      </c>
      <c r="I4513" s="7" t="s">
        <v>82</v>
      </c>
      <c r="J4513" s="7" t="s">
        <v>5084</v>
      </c>
      <c r="K4513" s="7" t="n">
        <f aca="false">IFERROR(VALUE(RIGHT(TRIM(F4513),4)),"")</f>
        <v>2018</v>
      </c>
      <c r="L4513" s="7" t="str">
        <f aca="false">IF(TRIM(E4513)="","Unknown",IFERROR(LEFT(TRIM(E4513),FIND(",",TRIM(E4513))-1),TRIM(E4513)))</f>
        <v>India</v>
      </c>
      <c r="M4513" s="7" t="str">
        <f aca="false">IFERROR(LEFT(J4513,FIND(",",J4513)-1),J4513)</f>
        <v>International TV Shows</v>
      </c>
      <c r="N4513" s="7" t="str">
        <f aca="false">IF(B4513="Movie",IFERROR(VALUE(LEFT(I4513,FIND(" ",I4513)-1)),""),"")</f>
        <v/>
      </c>
      <c r="O4513" s="7" t="n">
        <f aca="false">IF(B4513="TV Show",IFERROR(VALUE(LEFT(I4513,FIND(" ",I4513)-1)),""),"")</f>
        <v>1</v>
      </c>
      <c r="P4513" s="7" t="n">
        <f aca="false">IF(K4513="","",K4513-G4513)</f>
        <v>0</v>
      </c>
    </row>
    <row r="4514" customFormat="false" ht="15" hidden="false" customHeight="false" outlineLevel="0" collapsed="false">
      <c r="A4514" s="7" t="n">
        <v>81026453</v>
      </c>
      <c r="B4514" s="7" t="s">
        <v>78</v>
      </c>
      <c r="C4514" s="7" t="s">
        <v>9238</v>
      </c>
      <c r="E4514" s="7" t="s">
        <v>26</v>
      </c>
      <c r="F4514" s="7" t="s">
        <v>9237</v>
      </c>
      <c r="G4514" s="7" t="n">
        <v>2017</v>
      </c>
      <c r="H4514" s="7" t="s">
        <v>50</v>
      </c>
      <c r="I4514" s="7" t="s">
        <v>82</v>
      </c>
      <c r="J4514" s="7" t="s">
        <v>701</v>
      </c>
      <c r="K4514" s="7" t="n">
        <f aca="false">IFERROR(VALUE(RIGHT(TRIM(F4514),4)),"")</f>
        <v>2018</v>
      </c>
      <c r="L4514" s="7" t="str">
        <f aca="false">IF(TRIM(E4514)="","Unknown",IFERROR(LEFT(TRIM(E4514),FIND(",",TRIM(E4514))-1),TRIM(E4514)))</f>
        <v>United States</v>
      </c>
      <c r="M4514" s="7" t="str">
        <f aca="false">IFERROR(LEFT(J4514,FIND(",",J4514)-1),J4514)</f>
        <v>Reality TV</v>
      </c>
      <c r="N4514" s="7" t="str">
        <f aca="false">IF(B4514="Movie",IFERROR(VALUE(LEFT(I4514,FIND(" ",I4514)-1)),""),"")</f>
        <v/>
      </c>
      <c r="O4514" s="7" t="n">
        <f aca="false">IF(B4514="TV Show",IFERROR(VALUE(LEFT(I4514,FIND(" ",I4514)-1)),""),"")</f>
        <v>1</v>
      </c>
      <c r="P4514" s="7" t="n">
        <f aca="false">IF(K4514="","",K4514-G4514)</f>
        <v>1</v>
      </c>
    </row>
    <row r="4515" customFormat="false" ht="15" hidden="false" customHeight="false" outlineLevel="0" collapsed="false">
      <c r="A4515" s="7" t="n">
        <v>81025946</v>
      </c>
      <c r="B4515" s="7" t="s">
        <v>68</v>
      </c>
      <c r="C4515" s="7" t="s">
        <v>9239</v>
      </c>
      <c r="D4515" s="7" t="s">
        <v>9240</v>
      </c>
      <c r="E4515" s="7" t="s">
        <v>26</v>
      </c>
      <c r="F4515" s="7" t="s">
        <v>9237</v>
      </c>
      <c r="G4515" s="7" t="n">
        <v>2018</v>
      </c>
      <c r="H4515" s="7" t="s">
        <v>50</v>
      </c>
      <c r="I4515" s="7" t="s">
        <v>73</v>
      </c>
      <c r="J4515" s="7" t="s">
        <v>1931</v>
      </c>
      <c r="K4515" s="7" t="n">
        <f aca="false">IFERROR(VALUE(RIGHT(TRIM(F4515),4)),"")</f>
        <v>2018</v>
      </c>
      <c r="L4515" s="7" t="str">
        <f aca="false">IF(TRIM(E4515)="","Unknown",IFERROR(LEFT(TRIM(E4515),FIND(",",TRIM(E4515))-1),TRIM(E4515)))</f>
        <v>United States</v>
      </c>
      <c r="M4515" s="7" t="str">
        <f aca="false">IFERROR(LEFT(J4515,FIND(",",J4515)-1),J4515)</f>
        <v>Children &amp; Family Movies</v>
      </c>
      <c r="N4515" s="7" t="n">
        <f aca="false">IF(B4515="Movie",IFERROR(VALUE(LEFT(I4515,FIND(" ",I4515)-1)),""),"")</f>
        <v>90</v>
      </c>
      <c r="O4515" s="7" t="str">
        <f aca="false">IF(B4515="TV Show",IFERROR(VALUE(LEFT(I4515,FIND(" ",I4515)-1)),""),"")</f>
        <v/>
      </c>
      <c r="P4515" s="7" t="n">
        <f aca="false">IF(K4515="","",K4515-G4515)</f>
        <v>0</v>
      </c>
    </row>
    <row r="4516" customFormat="false" ht="15" hidden="false" customHeight="false" outlineLevel="0" collapsed="false">
      <c r="A4516" s="7" t="n">
        <v>81026475</v>
      </c>
      <c r="B4516" s="7" t="s">
        <v>78</v>
      </c>
      <c r="C4516" s="7" t="s">
        <v>9241</v>
      </c>
      <c r="E4516" s="7" t="s">
        <v>26</v>
      </c>
      <c r="F4516" s="7" t="s">
        <v>9237</v>
      </c>
      <c r="G4516" s="7" t="n">
        <v>2014</v>
      </c>
      <c r="H4516" s="7" t="s">
        <v>50</v>
      </c>
      <c r="I4516" s="7" t="s">
        <v>82</v>
      </c>
      <c r="J4516" s="7" t="s">
        <v>9242</v>
      </c>
      <c r="K4516" s="7" t="n">
        <f aca="false">IFERROR(VALUE(RIGHT(TRIM(F4516),4)),"")</f>
        <v>2018</v>
      </c>
      <c r="L4516" s="7" t="str">
        <f aca="false">IF(TRIM(E4516)="","Unknown",IFERROR(LEFT(TRIM(E4516),FIND(",",TRIM(E4516))-1),TRIM(E4516)))</f>
        <v>United States</v>
      </c>
      <c r="M4516" s="7" t="str">
        <f aca="false">IFERROR(LEFT(J4516,FIND(",",J4516)-1),J4516)</f>
        <v>Reality TV</v>
      </c>
      <c r="N4516" s="7" t="str">
        <f aca="false">IF(B4516="Movie",IFERROR(VALUE(LEFT(I4516,FIND(" ",I4516)-1)),""),"")</f>
        <v/>
      </c>
      <c r="O4516" s="7" t="n">
        <f aca="false">IF(B4516="TV Show",IFERROR(VALUE(LEFT(I4516,FIND(" ",I4516)-1)),""),"")</f>
        <v>1</v>
      </c>
      <c r="P4516" s="7" t="n">
        <f aca="false">IF(K4516="","",K4516-G4516)</f>
        <v>4</v>
      </c>
    </row>
    <row r="4517" customFormat="false" ht="15" hidden="false" customHeight="false" outlineLevel="0" collapsed="false">
      <c r="A4517" s="7" t="n">
        <v>81036745</v>
      </c>
      <c r="B4517" s="7" t="s">
        <v>68</v>
      </c>
      <c r="C4517" s="7" t="s">
        <v>9243</v>
      </c>
      <c r="D4517" s="7" t="s">
        <v>9244</v>
      </c>
      <c r="E4517" s="7" t="s">
        <v>1269</v>
      </c>
      <c r="F4517" s="7" t="s">
        <v>9237</v>
      </c>
      <c r="G4517" s="7" t="n">
        <v>2017</v>
      </c>
      <c r="H4517" s="7" t="s">
        <v>50</v>
      </c>
      <c r="I4517" s="7" t="s">
        <v>613</v>
      </c>
      <c r="J4517" s="7" t="s">
        <v>426</v>
      </c>
      <c r="K4517" s="7" t="n">
        <f aca="false">IFERROR(VALUE(RIGHT(TRIM(F4517),4)),"")</f>
        <v>2018</v>
      </c>
      <c r="L4517" s="7" t="str">
        <f aca="false">IF(TRIM(E4517)="","Unknown",IFERROR(LEFT(TRIM(E4517),FIND(",",TRIM(E4517))-1),TRIM(E4517)))</f>
        <v>Philippines</v>
      </c>
      <c r="M4517" s="7" t="str">
        <f aca="false">IFERROR(LEFT(J4517,FIND(",",J4517)-1),J4517)</f>
        <v>International Movies</v>
      </c>
      <c r="N4517" s="7" t="n">
        <f aca="false">IF(B4517="Movie",IFERROR(VALUE(LEFT(I4517,FIND(" ",I4517)-1)),""),"")</f>
        <v>84</v>
      </c>
      <c r="O4517" s="7" t="str">
        <f aca="false">IF(B4517="TV Show",IFERROR(VALUE(LEFT(I4517,FIND(" ",I4517)-1)),""),"")</f>
        <v/>
      </c>
      <c r="P4517" s="7" t="n">
        <f aca="false">IF(K4517="","",K4517-G4517)</f>
        <v>1</v>
      </c>
    </row>
    <row r="4518" customFormat="false" ht="15" hidden="false" customHeight="false" outlineLevel="0" collapsed="false">
      <c r="A4518" s="7" t="n">
        <v>81026478</v>
      </c>
      <c r="B4518" s="7" t="s">
        <v>78</v>
      </c>
      <c r="C4518" s="7" t="s">
        <v>9245</v>
      </c>
      <c r="E4518" s="7" t="s">
        <v>26</v>
      </c>
      <c r="F4518" s="7" t="s">
        <v>9237</v>
      </c>
      <c r="G4518" s="7" t="n">
        <v>2013</v>
      </c>
      <c r="H4518" s="7" t="s">
        <v>50</v>
      </c>
      <c r="I4518" s="7" t="s">
        <v>82</v>
      </c>
      <c r="J4518" s="7" t="s">
        <v>701</v>
      </c>
      <c r="K4518" s="7" t="n">
        <f aca="false">IFERROR(VALUE(RIGHT(TRIM(F4518),4)),"")</f>
        <v>2018</v>
      </c>
      <c r="L4518" s="7" t="str">
        <f aca="false">IF(TRIM(E4518)="","Unknown",IFERROR(LEFT(TRIM(E4518),FIND(",",TRIM(E4518))-1),TRIM(E4518)))</f>
        <v>United States</v>
      </c>
      <c r="M4518" s="7" t="str">
        <f aca="false">IFERROR(LEFT(J4518,FIND(",",J4518)-1),J4518)</f>
        <v>Reality TV</v>
      </c>
      <c r="N4518" s="7" t="str">
        <f aca="false">IF(B4518="Movie",IFERROR(VALUE(LEFT(I4518,FIND(" ",I4518)-1)),""),"")</f>
        <v/>
      </c>
      <c r="O4518" s="7" t="n">
        <f aca="false">IF(B4518="TV Show",IFERROR(VALUE(LEFT(I4518,FIND(" ",I4518)-1)),""),"")</f>
        <v>1</v>
      </c>
      <c r="P4518" s="7" t="n">
        <f aca="false">IF(K4518="","",K4518-G4518)</f>
        <v>5</v>
      </c>
    </row>
    <row r="4519" customFormat="false" ht="15" hidden="false" customHeight="false" outlineLevel="0" collapsed="false">
      <c r="A4519" s="7" t="n">
        <v>81034632</v>
      </c>
      <c r="B4519" s="7" t="s">
        <v>68</v>
      </c>
      <c r="C4519" s="7" t="s">
        <v>9246</v>
      </c>
      <c r="F4519" s="7" t="s">
        <v>9237</v>
      </c>
      <c r="G4519" s="7" t="n">
        <v>2018</v>
      </c>
      <c r="H4519" s="7" t="s">
        <v>49</v>
      </c>
      <c r="I4519" s="7" t="s">
        <v>107</v>
      </c>
      <c r="J4519" s="7" t="s">
        <v>509</v>
      </c>
      <c r="K4519" s="7" t="n">
        <f aca="false">IFERROR(VALUE(RIGHT(TRIM(F4519),4)),"")</f>
        <v>2018</v>
      </c>
      <c r="L4519" s="7" t="str">
        <f aca="false">IF(TRIM(E4519)="","Unknown",IFERROR(LEFT(TRIM(E4519),FIND(",",TRIM(E4519))-1),TRIM(E4519)))</f>
        <v>Unknown</v>
      </c>
      <c r="M4519" s="7" t="str">
        <f aca="false">IFERROR(LEFT(J4519,FIND(",",J4519)-1),J4519)</f>
        <v>Documentaries</v>
      </c>
      <c r="N4519" s="7" t="n">
        <f aca="false">IF(B4519="Movie",IFERROR(VALUE(LEFT(I4519,FIND(" ",I4519)-1)),""),"")</f>
        <v>78</v>
      </c>
      <c r="O4519" s="7" t="str">
        <f aca="false">IF(B4519="TV Show",IFERROR(VALUE(LEFT(I4519,FIND(" ",I4519)-1)),""),"")</f>
        <v/>
      </c>
      <c r="P4519" s="7" t="n">
        <f aca="false">IF(K4519="","",K4519-G4519)</f>
        <v>0</v>
      </c>
    </row>
    <row r="4520" customFormat="false" ht="15" hidden="false" customHeight="false" outlineLevel="0" collapsed="false">
      <c r="A4520" s="7" t="n">
        <v>81034633</v>
      </c>
      <c r="B4520" s="7" t="s">
        <v>68</v>
      </c>
      <c r="C4520" s="7" t="s">
        <v>9247</v>
      </c>
      <c r="D4520" s="7" t="s">
        <v>8751</v>
      </c>
      <c r="F4520" s="7" t="s">
        <v>9237</v>
      </c>
      <c r="G4520" s="7" t="n">
        <v>2018</v>
      </c>
      <c r="H4520" s="7" t="s">
        <v>48</v>
      </c>
      <c r="I4520" s="7" t="s">
        <v>143</v>
      </c>
      <c r="J4520" s="7" t="s">
        <v>509</v>
      </c>
      <c r="K4520" s="7" t="n">
        <f aca="false">IFERROR(VALUE(RIGHT(TRIM(F4520),4)),"")</f>
        <v>2018</v>
      </c>
      <c r="L4520" s="7" t="str">
        <f aca="false">IF(TRIM(E4520)="","Unknown",IFERROR(LEFT(TRIM(E4520),FIND(",",TRIM(E4520))-1),TRIM(E4520)))</f>
        <v>Unknown</v>
      </c>
      <c r="M4520" s="7" t="str">
        <f aca="false">IFERROR(LEFT(J4520,FIND(",",J4520)-1),J4520)</f>
        <v>Documentaries</v>
      </c>
      <c r="N4520" s="7" t="n">
        <f aca="false">IF(B4520="Movie",IFERROR(VALUE(LEFT(I4520,FIND(" ",I4520)-1)),""),"")</f>
        <v>79</v>
      </c>
      <c r="O4520" s="7" t="str">
        <f aca="false">IF(B4520="TV Show",IFERROR(VALUE(LEFT(I4520,FIND(" ",I4520)-1)),""),"")</f>
        <v/>
      </c>
      <c r="P4520" s="7" t="n">
        <f aca="false">IF(K4520="","",K4520-G4520)</f>
        <v>0</v>
      </c>
    </row>
    <row r="4521" customFormat="false" ht="15" hidden="false" customHeight="false" outlineLevel="0" collapsed="false">
      <c r="A4521" s="7" t="n">
        <v>81034634</v>
      </c>
      <c r="B4521" s="7" t="s">
        <v>68</v>
      </c>
      <c r="C4521" s="7" t="s">
        <v>9248</v>
      </c>
      <c r="F4521" s="7" t="s">
        <v>9237</v>
      </c>
      <c r="G4521" s="7" t="n">
        <v>2018</v>
      </c>
      <c r="H4521" s="7" t="s">
        <v>50</v>
      </c>
      <c r="I4521" s="7" t="s">
        <v>1191</v>
      </c>
      <c r="J4521" s="7" t="s">
        <v>509</v>
      </c>
      <c r="K4521" s="7" t="n">
        <f aca="false">IFERROR(VALUE(RIGHT(TRIM(F4521),4)),"")</f>
        <v>2018</v>
      </c>
      <c r="L4521" s="7" t="str">
        <f aca="false">IF(TRIM(E4521)="","Unknown",IFERROR(LEFT(TRIM(E4521),FIND(",",TRIM(E4521))-1),TRIM(E4521)))</f>
        <v>Unknown</v>
      </c>
      <c r="M4521" s="7" t="str">
        <f aca="false">IFERROR(LEFT(J4521,FIND(",",J4521)-1),J4521)</f>
        <v>Documentaries</v>
      </c>
      <c r="N4521" s="7" t="n">
        <f aca="false">IF(B4521="Movie",IFERROR(VALUE(LEFT(I4521,FIND(" ",I4521)-1)),""),"")</f>
        <v>73</v>
      </c>
      <c r="O4521" s="7" t="str">
        <f aca="false">IF(B4521="TV Show",IFERROR(VALUE(LEFT(I4521,FIND(" ",I4521)-1)),""),"")</f>
        <v/>
      </c>
      <c r="P4521" s="7" t="n">
        <f aca="false">IF(K4521="","",K4521-G4521)</f>
        <v>0</v>
      </c>
    </row>
    <row r="4522" customFormat="false" ht="15" hidden="false" customHeight="false" outlineLevel="0" collapsed="false">
      <c r="A4522" s="7" t="n">
        <v>81034635</v>
      </c>
      <c r="B4522" s="7" t="s">
        <v>68</v>
      </c>
      <c r="C4522" s="7" t="s">
        <v>9249</v>
      </c>
      <c r="D4522" s="7" t="s">
        <v>8751</v>
      </c>
      <c r="F4522" s="7" t="s">
        <v>9237</v>
      </c>
      <c r="G4522" s="7" t="n">
        <v>2018</v>
      </c>
      <c r="H4522" s="7" t="s">
        <v>48</v>
      </c>
      <c r="I4522" s="7" t="s">
        <v>524</v>
      </c>
      <c r="J4522" s="7" t="s">
        <v>509</v>
      </c>
      <c r="K4522" s="7" t="n">
        <f aca="false">IFERROR(VALUE(RIGHT(TRIM(F4522),4)),"")</f>
        <v>2018</v>
      </c>
      <c r="L4522" s="7" t="str">
        <f aca="false">IF(TRIM(E4522)="","Unknown",IFERROR(LEFT(TRIM(E4522),FIND(",",TRIM(E4522))-1),TRIM(E4522)))</f>
        <v>Unknown</v>
      </c>
      <c r="M4522" s="7" t="str">
        <f aca="false">IFERROR(LEFT(J4522,FIND(",",J4522)-1),J4522)</f>
        <v>Documentaries</v>
      </c>
      <c r="N4522" s="7" t="n">
        <f aca="false">IF(B4522="Movie",IFERROR(VALUE(LEFT(I4522,FIND(" ",I4522)-1)),""),"")</f>
        <v>83</v>
      </c>
      <c r="O4522" s="7" t="str">
        <f aca="false">IF(B4522="TV Show",IFERROR(VALUE(LEFT(I4522,FIND(" ",I4522)-1)),""),"")</f>
        <v/>
      </c>
      <c r="P4522" s="7" t="n">
        <f aca="false">IF(K4522="","",K4522-G4522)</f>
        <v>0</v>
      </c>
    </row>
    <row r="4523" customFormat="false" ht="15" hidden="false" customHeight="false" outlineLevel="0" collapsed="false">
      <c r="A4523" s="7" t="n">
        <v>80988832</v>
      </c>
      <c r="B4523" s="7" t="s">
        <v>68</v>
      </c>
      <c r="C4523" s="7" t="s">
        <v>9250</v>
      </c>
      <c r="D4523" s="7" t="s">
        <v>9251</v>
      </c>
      <c r="E4523" s="7" t="s">
        <v>33</v>
      </c>
      <c r="F4523" s="7" t="s">
        <v>9237</v>
      </c>
      <c r="G4523" s="7" t="n">
        <v>2017</v>
      </c>
      <c r="H4523" s="7" t="s">
        <v>49</v>
      </c>
      <c r="I4523" s="7" t="s">
        <v>524</v>
      </c>
      <c r="J4523" s="7" t="s">
        <v>341</v>
      </c>
      <c r="K4523" s="7" t="n">
        <f aca="false">IFERROR(VALUE(RIGHT(TRIM(F4523),4)),"")</f>
        <v>2018</v>
      </c>
      <c r="L4523" s="7" t="str">
        <f aca="false">IF(TRIM(E4523)="","Unknown",IFERROR(LEFT(TRIM(E4523),FIND(",",TRIM(E4523))-1),TRIM(E4523)))</f>
        <v>Spain</v>
      </c>
      <c r="M4523" s="7" t="str">
        <f aca="false">IFERROR(LEFT(J4523,FIND(",",J4523)-1),J4523)</f>
        <v>Documentaries</v>
      </c>
      <c r="N4523" s="7" t="n">
        <f aca="false">IF(B4523="Movie",IFERROR(VALUE(LEFT(I4523,FIND(" ",I4523)-1)),""),"")</f>
        <v>83</v>
      </c>
      <c r="O4523" s="7" t="str">
        <f aca="false">IF(B4523="TV Show",IFERROR(VALUE(LEFT(I4523,FIND(" ",I4523)-1)),""),"")</f>
        <v/>
      </c>
      <c r="P4523" s="7" t="n">
        <f aca="false">IF(K4523="","",K4523-G4523)</f>
        <v>1</v>
      </c>
    </row>
    <row r="4524" customFormat="false" ht="15" hidden="false" customHeight="false" outlineLevel="0" collapsed="false">
      <c r="A4524" s="7" t="n">
        <v>80179556</v>
      </c>
      <c r="B4524" s="7" t="s">
        <v>78</v>
      </c>
      <c r="C4524" s="7" t="s">
        <v>9252</v>
      </c>
      <c r="E4524" s="7" t="s">
        <v>26</v>
      </c>
      <c r="F4524" s="7" t="s">
        <v>9237</v>
      </c>
      <c r="G4524" s="7" t="n">
        <v>2016</v>
      </c>
      <c r="H4524" s="7" t="s">
        <v>49</v>
      </c>
      <c r="I4524" s="7" t="s">
        <v>82</v>
      </c>
      <c r="J4524" s="7" t="s">
        <v>701</v>
      </c>
      <c r="K4524" s="7" t="n">
        <f aca="false">IFERROR(VALUE(RIGHT(TRIM(F4524),4)),"")</f>
        <v>2018</v>
      </c>
      <c r="L4524" s="7" t="str">
        <f aca="false">IF(TRIM(E4524)="","Unknown",IFERROR(LEFT(TRIM(E4524),FIND(",",TRIM(E4524))-1),TRIM(E4524)))</f>
        <v>United States</v>
      </c>
      <c r="M4524" s="7" t="str">
        <f aca="false">IFERROR(LEFT(J4524,FIND(",",J4524)-1),J4524)</f>
        <v>Reality TV</v>
      </c>
      <c r="N4524" s="7" t="str">
        <f aca="false">IF(B4524="Movie",IFERROR(VALUE(LEFT(I4524,FIND(" ",I4524)-1)),""),"")</f>
        <v/>
      </c>
      <c r="O4524" s="7" t="n">
        <f aca="false">IF(B4524="TV Show",IFERROR(VALUE(LEFT(I4524,FIND(" ",I4524)-1)),""),"")</f>
        <v>1</v>
      </c>
      <c r="P4524" s="7" t="n">
        <f aca="false">IF(K4524="","",K4524-G4524)</f>
        <v>2</v>
      </c>
    </row>
    <row r="4525" customFormat="false" ht="15" hidden="false" customHeight="false" outlineLevel="0" collapsed="false">
      <c r="A4525" s="7" t="n">
        <v>80188902</v>
      </c>
      <c r="B4525" s="7" t="s">
        <v>68</v>
      </c>
      <c r="C4525" s="7" t="s">
        <v>9253</v>
      </c>
      <c r="D4525" s="7" t="s">
        <v>9254</v>
      </c>
      <c r="E4525" s="7" t="s">
        <v>28</v>
      </c>
      <c r="F4525" s="7" t="s">
        <v>9237</v>
      </c>
      <c r="G4525" s="7" t="n">
        <v>2015</v>
      </c>
      <c r="H4525" s="7" t="s">
        <v>48</v>
      </c>
      <c r="I4525" s="7" t="s">
        <v>494</v>
      </c>
      <c r="J4525" s="7" t="s">
        <v>38</v>
      </c>
      <c r="K4525" s="7" t="n">
        <f aca="false">IFERROR(VALUE(RIGHT(TRIM(F4525),4)),"")</f>
        <v>2018</v>
      </c>
      <c r="L4525" s="7" t="str">
        <f aca="false">IF(TRIM(E4525)="","Unknown",IFERROR(LEFT(TRIM(E4525),FIND(",",TRIM(E4525))-1),TRIM(E4525)))</f>
        <v>United Kingdom</v>
      </c>
      <c r="M4525" s="7" t="str">
        <f aca="false">IFERROR(LEFT(J4525,FIND(",",J4525)-1),J4525)</f>
        <v>Comedies</v>
      </c>
      <c r="N4525" s="7" t="n">
        <f aca="false">IF(B4525="Movie",IFERROR(VALUE(LEFT(I4525,FIND(" ",I4525)-1)),""),"")</f>
        <v>87</v>
      </c>
      <c r="O4525" s="7" t="str">
        <f aca="false">IF(B4525="TV Show",IFERROR(VALUE(LEFT(I4525,FIND(" ",I4525)-1)),""),"")</f>
        <v/>
      </c>
      <c r="P4525" s="7" t="n">
        <f aca="false">IF(K4525="","",K4525-G4525)</f>
        <v>3</v>
      </c>
    </row>
    <row r="4526" customFormat="false" ht="15" hidden="false" customHeight="false" outlineLevel="0" collapsed="false">
      <c r="A4526" s="7" t="n">
        <v>81045054</v>
      </c>
      <c r="B4526" s="7" t="s">
        <v>68</v>
      </c>
      <c r="C4526" s="7" t="s">
        <v>9255</v>
      </c>
      <c r="D4526" s="7" t="s">
        <v>9256</v>
      </c>
      <c r="E4526" s="7" t="s">
        <v>27</v>
      </c>
      <c r="F4526" s="7" t="s">
        <v>9237</v>
      </c>
      <c r="G4526" s="7" t="n">
        <v>2018</v>
      </c>
      <c r="H4526" s="7" t="s">
        <v>48</v>
      </c>
      <c r="I4526" s="7" t="s">
        <v>1817</v>
      </c>
      <c r="J4526" s="7" t="s">
        <v>182</v>
      </c>
      <c r="K4526" s="7" t="n">
        <f aca="false">IFERROR(VALUE(RIGHT(TRIM(F4526),4)),"")</f>
        <v>2018</v>
      </c>
      <c r="L4526" s="7" t="str">
        <f aca="false">IF(TRIM(E4526)="","Unknown",IFERROR(LEFT(TRIM(E4526),FIND(",",TRIM(E4526))-1),TRIM(E4526)))</f>
        <v>India</v>
      </c>
      <c r="M4526" s="7" t="str">
        <f aca="false">IFERROR(LEFT(J4526,FIND(",",J4526)-1),J4526)</f>
        <v>Dramas</v>
      </c>
      <c r="N4526" s="7" t="n">
        <f aca="false">IF(B4526="Movie",IFERROR(VALUE(LEFT(I4526,FIND(" ",I4526)-1)),""),"")</f>
        <v>145</v>
      </c>
      <c r="O4526" s="7" t="str">
        <f aca="false">IF(B4526="TV Show",IFERROR(VALUE(LEFT(I4526,FIND(" ",I4526)-1)),""),"")</f>
        <v/>
      </c>
      <c r="P4526" s="7" t="n">
        <f aca="false">IF(K4526="","",K4526-G4526)</f>
        <v>0</v>
      </c>
    </row>
    <row r="4527" customFormat="false" ht="15" hidden="false" customHeight="false" outlineLevel="0" collapsed="false">
      <c r="A4527" s="7" t="n">
        <v>81026477</v>
      </c>
      <c r="B4527" s="7" t="s">
        <v>78</v>
      </c>
      <c r="C4527" s="7" t="s">
        <v>9257</v>
      </c>
      <c r="E4527" s="7" t="s">
        <v>26</v>
      </c>
      <c r="F4527" s="7" t="s">
        <v>9237</v>
      </c>
      <c r="G4527" s="7" t="n">
        <v>2016</v>
      </c>
      <c r="H4527" s="7" t="s">
        <v>226</v>
      </c>
      <c r="I4527" s="7" t="s">
        <v>82</v>
      </c>
      <c r="J4527" s="7" t="s">
        <v>701</v>
      </c>
      <c r="K4527" s="7" t="n">
        <f aca="false">IFERROR(VALUE(RIGHT(TRIM(F4527),4)),"")</f>
        <v>2018</v>
      </c>
      <c r="L4527" s="7" t="str">
        <f aca="false">IF(TRIM(E4527)="","Unknown",IFERROR(LEFT(TRIM(E4527),FIND(",",TRIM(E4527))-1),TRIM(E4527)))</f>
        <v>United States</v>
      </c>
      <c r="M4527" s="7" t="str">
        <f aca="false">IFERROR(LEFT(J4527,FIND(",",J4527)-1),J4527)</f>
        <v>Reality TV</v>
      </c>
      <c r="N4527" s="7" t="str">
        <f aca="false">IF(B4527="Movie",IFERROR(VALUE(LEFT(I4527,FIND(" ",I4527)-1)),""),"")</f>
        <v/>
      </c>
      <c r="O4527" s="7" t="n">
        <f aca="false">IF(B4527="TV Show",IFERROR(VALUE(LEFT(I4527,FIND(" ",I4527)-1)),""),"")</f>
        <v>1</v>
      </c>
      <c r="P4527" s="7" t="n">
        <f aca="false">IF(K4527="","",K4527-G4527)</f>
        <v>2</v>
      </c>
    </row>
    <row r="4528" customFormat="false" ht="15" hidden="false" customHeight="false" outlineLevel="0" collapsed="false">
      <c r="A4528" s="7" t="n">
        <v>70117674</v>
      </c>
      <c r="B4528" s="7" t="s">
        <v>68</v>
      </c>
      <c r="C4528" s="7" t="s">
        <v>9258</v>
      </c>
      <c r="D4528" s="7" t="s">
        <v>9259</v>
      </c>
      <c r="E4528" s="7" t="s">
        <v>27</v>
      </c>
      <c r="F4528" s="7" t="s">
        <v>9260</v>
      </c>
      <c r="G4528" s="7" t="n">
        <v>2008</v>
      </c>
      <c r="H4528" s="7" t="s">
        <v>48</v>
      </c>
      <c r="I4528" s="7" t="s">
        <v>1832</v>
      </c>
      <c r="J4528" s="7" t="s">
        <v>1014</v>
      </c>
      <c r="K4528" s="7" t="n">
        <f aca="false">IFERROR(VALUE(RIGHT(TRIM(F4528),4)),"")</f>
        <v>2017</v>
      </c>
      <c r="L4528" s="7" t="str">
        <f aca="false">IF(TRIM(E4528)="","Unknown",IFERROR(LEFT(TRIM(E4528),FIND(",",TRIM(E4528))-1),TRIM(E4528)))</f>
        <v>India</v>
      </c>
      <c r="M4528" s="7" t="str">
        <f aca="false">IFERROR(LEFT(J4528,FIND(",",J4528)-1),J4528)</f>
        <v>Horror Movies</v>
      </c>
      <c r="N4528" s="7" t="n">
        <f aca="false">IF(B4528="Movie",IFERROR(VALUE(LEFT(I4528,FIND(" ",I4528)-1)),""),"")</f>
        <v>143</v>
      </c>
      <c r="O4528" s="7" t="str">
        <f aca="false">IF(B4528="TV Show",IFERROR(VALUE(LEFT(I4528,FIND(" ",I4528)-1)),""),"")</f>
        <v/>
      </c>
      <c r="P4528" s="7" t="n">
        <f aca="false">IF(K4528="","",K4528-G4528)</f>
        <v>9</v>
      </c>
    </row>
    <row r="4529" customFormat="false" ht="15" hidden="false" customHeight="false" outlineLevel="0" collapsed="false">
      <c r="A4529" s="7" t="n">
        <v>80036412</v>
      </c>
      <c r="B4529" s="7" t="s">
        <v>78</v>
      </c>
      <c r="C4529" s="7" t="s">
        <v>9261</v>
      </c>
      <c r="E4529" s="7" t="s">
        <v>26</v>
      </c>
      <c r="F4529" s="7" t="s">
        <v>9260</v>
      </c>
      <c r="G4529" s="7" t="n">
        <v>2015</v>
      </c>
      <c r="H4529" s="7" t="s">
        <v>49</v>
      </c>
      <c r="I4529" s="7" t="s">
        <v>82</v>
      </c>
      <c r="J4529" s="7" t="s">
        <v>2704</v>
      </c>
      <c r="K4529" s="7" t="n">
        <f aca="false">IFERROR(VALUE(RIGHT(TRIM(F4529),4)),"")</f>
        <v>2017</v>
      </c>
      <c r="L4529" s="7" t="str">
        <f aca="false">IF(TRIM(E4529)="","Unknown",IFERROR(LEFT(TRIM(E4529),FIND(",",TRIM(E4529))-1),TRIM(E4529)))</f>
        <v>United States</v>
      </c>
      <c r="M4529" s="7" t="str">
        <f aca="false">IFERROR(LEFT(J4529,FIND(",",J4529)-1),J4529)</f>
        <v>TV Dramas</v>
      </c>
      <c r="N4529" s="7" t="str">
        <f aca="false">IF(B4529="Movie",IFERROR(VALUE(LEFT(I4529,FIND(" ",I4529)-1)),""),"")</f>
        <v/>
      </c>
      <c r="O4529" s="7" t="n">
        <f aca="false">IF(B4529="TV Show",IFERROR(VALUE(LEFT(I4529,FIND(" ",I4529)-1)),""),"")</f>
        <v>1</v>
      </c>
      <c r="P4529" s="7" t="n">
        <f aca="false">IF(K4529="","",K4529-G4529)</f>
        <v>2</v>
      </c>
    </row>
    <row r="4530" customFormat="false" ht="15" hidden="false" customHeight="false" outlineLevel="0" collapsed="false">
      <c r="A4530" s="7" t="n">
        <v>70213120</v>
      </c>
      <c r="B4530" s="7" t="s">
        <v>78</v>
      </c>
      <c r="C4530" s="7" t="s">
        <v>9262</v>
      </c>
      <c r="E4530" s="7" t="s">
        <v>30</v>
      </c>
      <c r="F4530" s="7" t="s">
        <v>9260</v>
      </c>
      <c r="G4530" s="7" t="n">
        <v>2009</v>
      </c>
      <c r="H4530" s="7" t="s">
        <v>55</v>
      </c>
      <c r="I4530" s="7" t="s">
        <v>82</v>
      </c>
      <c r="J4530" s="7" t="s">
        <v>694</v>
      </c>
      <c r="K4530" s="7" t="n">
        <f aca="false">IFERROR(VALUE(RIGHT(TRIM(F4530),4)),"")</f>
        <v>2017</v>
      </c>
      <c r="L4530" s="7" t="str">
        <f aca="false">IF(TRIM(E4530)="","Unknown",IFERROR(LEFT(TRIM(E4530),FIND(",",TRIM(E4530))-1),TRIM(E4530)))</f>
        <v>Japan</v>
      </c>
      <c r="M4530" s="7" t="str">
        <f aca="false">IFERROR(LEFT(J4530,FIND(",",J4530)-1),J4530)</f>
        <v>Anime Series</v>
      </c>
      <c r="N4530" s="7" t="str">
        <f aca="false">IF(B4530="Movie",IFERROR(VALUE(LEFT(I4530,FIND(" ",I4530)-1)),""),"")</f>
        <v/>
      </c>
      <c r="O4530" s="7" t="n">
        <f aca="false">IF(B4530="TV Show",IFERROR(VALUE(LEFT(I4530,FIND(" ",I4530)-1)),""),"")</f>
        <v>1</v>
      </c>
      <c r="P4530" s="7" t="n">
        <f aca="false">IF(K4530="","",K4530-G4530)</f>
        <v>8</v>
      </c>
    </row>
    <row r="4531" customFormat="false" ht="15" hidden="false" customHeight="false" outlineLevel="0" collapsed="false">
      <c r="A4531" s="7" t="n">
        <v>80214013</v>
      </c>
      <c r="B4531" s="7" t="s">
        <v>78</v>
      </c>
      <c r="C4531" s="7" t="s">
        <v>9263</v>
      </c>
      <c r="E4531" s="7" t="s">
        <v>32</v>
      </c>
      <c r="F4531" s="7" t="s">
        <v>9260</v>
      </c>
      <c r="G4531" s="7" t="n">
        <v>2017</v>
      </c>
      <c r="H4531" s="7" t="s">
        <v>48</v>
      </c>
      <c r="I4531" s="7" t="s">
        <v>82</v>
      </c>
      <c r="J4531" s="7" t="s">
        <v>1877</v>
      </c>
      <c r="K4531" s="7" t="n">
        <f aca="false">IFERROR(VALUE(RIGHT(TRIM(F4531),4)),"")</f>
        <v>2017</v>
      </c>
      <c r="L4531" s="7" t="str">
        <f aca="false">IF(TRIM(E4531)="","Unknown",IFERROR(LEFT(TRIM(E4531),FIND(",",TRIM(E4531))-1),TRIM(E4531)))</f>
        <v>South Korea</v>
      </c>
      <c r="M4531" s="7" t="str">
        <f aca="false">IFERROR(LEFT(J4531,FIND(",",J4531)-1),J4531)</f>
        <v>Crime TV Shows</v>
      </c>
      <c r="N4531" s="7" t="str">
        <f aca="false">IF(B4531="Movie",IFERROR(VALUE(LEFT(I4531,FIND(" ",I4531)-1)),""),"")</f>
        <v/>
      </c>
      <c r="O4531" s="7" t="n">
        <f aca="false">IF(B4531="TV Show",IFERROR(VALUE(LEFT(I4531,FIND(" ",I4531)-1)),""),"")</f>
        <v>1</v>
      </c>
      <c r="P4531" s="7" t="n">
        <f aca="false">IF(K4531="","",K4531-G4531)</f>
        <v>0</v>
      </c>
    </row>
    <row r="4532" customFormat="false" ht="15" hidden="false" customHeight="false" outlineLevel="0" collapsed="false">
      <c r="A4532" s="7" t="n">
        <v>80104116</v>
      </c>
      <c r="B4532" s="7" t="s">
        <v>68</v>
      </c>
      <c r="C4532" s="7" t="s">
        <v>9264</v>
      </c>
      <c r="D4532" s="7" t="s">
        <v>109</v>
      </c>
      <c r="E4532" s="7" t="s">
        <v>26</v>
      </c>
      <c r="F4532" s="7" t="s">
        <v>9260</v>
      </c>
      <c r="G4532" s="7" t="n">
        <v>2015</v>
      </c>
      <c r="H4532" s="7" t="s">
        <v>52</v>
      </c>
      <c r="I4532" s="7" t="s">
        <v>73</v>
      </c>
      <c r="J4532" s="7" t="s">
        <v>811</v>
      </c>
      <c r="K4532" s="7" t="n">
        <f aca="false">IFERROR(VALUE(RIGHT(TRIM(F4532),4)),"")</f>
        <v>2017</v>
      </c>
      <c r="L4532" s="7" t="str">
        <f aca="false">IF(TRIM(E4532)="","Unknown",IFERROR(LEFT(TRIM(E4532),FIND(",",TRIM(E4532))-1),TRIM(E4532)))</f>
        <v>United States</v>
      </c>
      <c r="M4532" s="7" t="str">
        <f aca="false">IFERROR(LEFT(J4532,FIND(",",J4532)-1),J4532)</f>
        <v>Thrillers</v>
      </c>
      <c r="N4532" s="7" t="n">
        <f aca="false">IF(B4532="Movie",IFERROR(VALUE(LEFT(I4532,FIND(" ",I4532)-1)),""),"")</f>
        <v>90</v>
      </c>
      <c r="O4532" s="7" t="str">
        <f aca="false">IF(B4532="TV Show",IFERROR(VALUE(LEFT(I4532,FIND(" ",I4532)-1)),""),"")</f>
        <v/>
      </c>
      <c r="P4532" s="7" t="n">
        <f aca="false">IF(K4532="","",K4532-G4532)</f>
        <v>2</v>
      </c>
    </row>
    <row r="4533" customFormat="false" ht="15" hidden="false" customHeight="false" outlineLevel="0" collapsed="false">
      <c r="A4533" s="7" t="n">
        <v>80197310</v>
      </c>
      <c r="B4533" s="7" t="s">
        <v>68</v>
      </c>
      <c r="C4533" s="7" t="s">
        <v>9265</v>
      </c>
      <c r="D4533" s="7" t="s">
        <v>9266</v>
      </c>
      <c r="E4533" s="7" t="s">
        <v>26</v>
      </c>
      <c r="F4533" s="7" t="s">
        <v>9260</v>
      </c>
      <c r="G4533" s="7" t="n">
        <v>2016</v>
      </c>
      <c r="H4533" s="7" t="s">
        <v>48</v>
      </c>
      <c r="I4533" s="7" t="s">
        <v>311</v>
      </c>
      <c r="J4533" s="7" t="s">
        <v>1533</v>
      </c>
      <c r="K4533" s="7" t="n">
        <f aca="false">IFERROR(VALUE(RIGHT(TRIM(F4533),4)),"")</f>
        <v>2017</v>
      </c>
      <c r="L4533" s="7" t="str">
        <f aca="false">IF(TRIM(E4533)="","Unknown",IFERROR(LEFT(TRIM(E4533),FIND(",",TRIM(E4533))-1),TRIM(E4533)))</f>
        <v>United States</v>
      </c>
      <c r="M4533" s="7" t="str">
        <f aca="false">IFERROR(LEFT(J4533,FIND(",",J4533)-1),J4533)</f>
        <v>Comedies</v>
      </c>
      <c r="N4533" s="7" t="n">
        <f aca="false">IF(B4533="Movie",IFERROR(VALUE(LEFT(I4533,FIND(" ",I4533)-1)),""),"")</f>
        <v>92</v>
      </c>
      <c r="O4533" s="7" t="str">
        <f aca="false">IF(B4533="TV Show",IFERROR(VALUE(LEFT(I4533,FIND(" ",I4533)-1)),""),"")</f>
        <v/>
      </c>
      <c r="P4533" s="7" t="n">
        <f aca="false">IF(K4533="","",K4533-G4533)</f>
        <v>1</v>
      </c>
    </row>
    <row r="4534" customFormat="false" ht="15" hidden="false" customHeight="false" outlineLevel="0" collapsed="false">
      <c r="A4534" s="7" t="n">
        <v>80220783</v>
      </c>
      <c r="B4534" s="7" t="s">
        <v>68</v>
      </c>
      <c r="C4534" s="7" t="s">
        <v>9267</v>
      </c>
      <c r="D4534" s="7" t="s">
        <v>7912</v>
      </c>
      <c r="E4534" s="7" t="s">
        <v>27</v>
      </c>
      <c r="F4534" s="7" t="s">
        <v>9260</v>
      </c>
      <c r="G4534" s="7" t="n">
        <v>2015</v>
      </c>
      <c r="H4534" s="7" t="s">
        <v>48</v>
      </c>
      <c r="I4534" s="7" t="s">
        <v>467</v>
      </c>
      <c r="J4534" s="7" t="s">
        <v>3848</v>
      </c>
      <c r="K4534" s="7" t="n">
        <f aca="false">IFERROR(VALUE(RIGHT(TRIM(F4534),4)),"")</f>
        <v>2017</v>
      </c>
      <c r="L4534" s="7" t="str">
        <f aca="false">IF(TRIM(E4534)="","Unknown",IFERROR(LEFT(TRIM(E4534),FIND(",",TRIM(E4534))-1),TRIM(E4534)))</f>
        <v>India</v>
      </c>
      <c r="M4534" s="7" t="str">
        <f aca="false">IFERROR(LEFT(J4534,FIND(",",J4534)-1),J4534)</f>
        <v>Documentaries</v>
      </c>
      <c r="N4534" s="7" t="n">
        <f aca="false">IF(B4534="Movie",IFERROR(VALUE(LEFT(I4534,FIND(" ",I4534)-1)),""),"")</f>
        <v>81</v>
      </c>
      <c r="O4534" s="7" t="str">
        <f aca="false">IF(B4534="TV Show",IFERROR(VALUE(LEFT(I4534,FIND(" ",I4534)-1)),""),"")</f>
        <v/>
      </c>
      <c r="P4534" s="7" t="n">
        <f aca="false">IF(K4534="","",K4534-G4534)</f>
        <v>2</v>
      </c>
    </row>
    <row r="4535" customFormat="false" ht="15" hidden="false" customHeight="false" outlineLevel="0" collapsed="false">
      <c r="A4535" s="7" t="n">
        <v>80227028</v>
      </c>
      <c r="B4535" s="7" t="s">
        <v>78</v>
      </c>
      <c r="C4535" s="7" t="s">
        <v>9268</v>
      </c>
      <c r="F4535" s="7" t="s">
        <v>9260</v>
      </c>
      <c r="G4535" s="7" t="n">
        <v>2015</v>
      </c>
      <c r="H4535" s="7" t="s">
        <v>48</v>
      </c>
      <c r="I4535" s="7" t="s">
        <v>82</v>
      </c>
      <c r="J4535" s="7" t="s">
        <v>2601</v>
      </c>
      <c r="K4535" s="7" t="n">
        <f aca="false">IFERROR(VALUE(RIGHT(TRIM(F4535),4)),"")</f>
        <v>2017</v>
      </c>
      <c r="L4535" s="7" t="str">
        <f aca="false">IF(TRIM(E4535)="","Unknown",IFERROR(LEFT(TRIM(E4535),FIND(",",TRIM(E4535))-1),TRIM(E4535)))</f>
        <v>Unknown</v>
      </c>
      <c r="M4535" s="7" t="str">
        <f aca="false">IFERROR(LEFT(J4535,FIND(",",J4535)-1),J4535)</f>
        <v>International TV Shows</v>
      </c>
      <c r="N4535" s="7" t="str">
        <f aca="false">IF(B4535="Movie",IFERROR(VALUE(LEFT(I4535,FIND(" ",I4535)-1)),""),"")</f>
        <v/>
      </c>
      <c r="O4535" s="7" t="n">
        <f aca="false">IF(B4535="TV Show",IFERROR(VALUE(LEFT(I4535,FIND(" ",I4535)-1)),""),"")</f>
        <v>1</v>
      </c>
      <c r="P4535" s="7" t="n">
        <f aca="false">IF(K4535="","",K4535-G4535)</f>
        <v>2</v>
      </c>
    </row>
    <row r="4536" customFormat="false" ht="15" hidden="false" customHeight="false" outlineLevel="0" collapsed="false">
      <c r="A4536" s="7" t="n">
        <v>80177441</v>
      </c>
      <c r="B4536" s="7" t="s">
        <v>68</v>
      </c>
      <c r="C4536" s="7" t="s">
        <v>9269</v>
      </c>
      <c r="D4536" s="7" t="s">
        <v>3203</v>
      </c>
      <c r="E4536" s="7" t="s">
        <v>26</v>
      </c>
      <c r="F4536" s="7" t="s">
        <v>9260</v>
      </c>
      <c r="G4536" s="7" t="n">
        <v>2017</v>
      </c>
      <c r="H4536" s="7" t="s">
        <v>50</v>
      </c>
      <c r="I4536" s="7" t="s">
        <v>820</v>
      </c>
      <c r="J4536" s="7" t="s">
        <v>240</v>
      </c>
      <c r="K4536" s="7" t="n">
        <f aca="false">IFERROR(VALUE(RIGHT(TRIM(F4536),4)),"")</f>
        <v>2017</v>
      </c>
      <c r="L4536" s="7" t="str">
        <f aca="false">IF(TRIM(E4536)="","Unknown",IFERROR(LEFT(TRIM(E4536),FIND(",",TRIM(E4536))-1),TRIM(E4536)))</f>
        <v>United States</v>
      </c>
      <c r="M4536" s="7" t="str">
        <f aca="false">IFERROR(LEFT(J4536,FIND(",",J4536)-1),J4536)</f>
        <v>Dramas</v>
      </c>
      <c r="N4536" s="7" t="n">
        <f aca="false">IF(B4536="Movie",IFERROR(VALUE(LEFT(I4536,FIND(" ",I4536)-1)),""),"")</f>
        <v>105</v>
      </c>
      <c r="O4536" s="7" t="str">
        <f aca="false">IF(B4536="TV Show",IFERROR(VALUE(LEFT(I4536,FIND(" ",I4536)-1)),""),"")</f>
        <v/>
      </c>
      <c r="P4536" s="7" t="n">
        <f aca="false">IF(K4536="","",K4536-G4536)</f>
        <v>0</v>
      </c>
    </row>
    <row r="4537" customFormat="false" ht="15" hidden="false" customHeight="false" outlineLevel="0" collapsed="false">
      <c r="A4537" s="7" t="n">
        <v>80218586</v>
      </c>
      <c r="B4537" s="7" t="s">
        <v>68</v>
      </c>
      <c r="C4537" s="7" t="s">
        <v>9270</v>
      </c>
      <c r="D4537" s="7" t="s">
        <v>9271</v>
      </c>
      <c r="E4537" s="7" t="s">
        <v>27</v>
      </c>
      <c r="F4537" s="7" t="s">
        <v>9260</v>
      </c>
      <c r="G4537" s="7" t="n">
        <v>2016</v>
      </c>
      <c r="H4537" s="7" t="s">
        <v>48</v>
      </c>
      <c r="I4537" s="7" t="s">
        <v>470</v>
      </c>
      <c r="J4537" s="7" t="s">
        <v>182</v>
      </c>
      <c r="K4537" s="7" t="n">
        <f aca="false">IFERROR(VALUE(RIGHT(TRIM(F4537),4)),"")</f>
        <v>2017</v>
      </c>
      <c r="L4537" s="7" t="str">
        <f aca="false">IF(TRIM(E4537)="","Unknown",IFERROR(LEFT(TRIM(E4537),FIND(",",TRIM(E4537))-1),TRIM(E4537)))</f>
        <v>India</v>
      </c>
      <c r="M4537" s="7" t="str">
        <f aca="false">IFERROR(LEFT(J4537,FIND(",",J4537)-1),J4537)</f>
        <v>Dramas</v>
      </c>
      <c r="N4537" s="7" t="n">
        <f aca="false">IF(B4537="Movie",IFERROR(VALUE(LEFT(I4537,FIND(" ",I4537)-1)),""),"")</f>
        <v>91</v>
      </c>
      <c r="O4537" s="7" t="str">
        <f aca="false">IF(B4537="TV Show",IFERROR(VALUE(LEFT(I4537,FIND(" ",I4537)-1)),""),"")</f>
        <v/>
      </c>
      <c r="P4537" s="7" t="n">
        <f aca="false">IF(K4537="","",K4537-G4537)</f>
        <v>1</v>
      </c>
    </row>
    <row r="4538" customFormat="false" ht="15" hidden="false" customHeight="false" outlineLevel="0" collapsed="false">
      <c r="A4538" s="7" t="n">
        <v>80210182</v>
      </c>
      <c r="B4538" s="7" t="s">
        <v>68</v>
      </c>
      <c r="C4538" s="7" t="s">
        <v>9272</v>
      </c>
      <c r="D4538" s="7" t="s">
        <v>9273</v>
      </c>
      <c r="E4538" s="7" t="s">
        <v>26</v>
      </c>
      <c r="F4538" s="7" t="s">
        <v>9260</v>
      </c>
      <c r="G4538" s="7" t="n">
        <v>2017</v>
      </c>
      <c r="H4538" s="7" t="s">
        <v>48</v>
      </c>
      <c r="I4538" s="7" t="s">
        <v>326</v>
      </c>
      <c r="J4538" s="7" t="s">
        <v>39</v>
      </c>
      <c r="K4538" s="7" t="n">
        <f aca="false">IFERROR(VALUE(RIGHT(TRIM(F4538),4)),"")</f>
        <v>2017</v>
      </c>
      <c r="L4538" s="7" t="str">
        <f aca="false">IF(TRIM(E4538)="","Unknown",IFERROR(LEFT(TRIM(E4538),FIND(",",TRIM(E4538))-1),TRIM(E4538)))</f>
        <v>United States</v>
      </c>
      <c r="M4538" s="7" t="str">
        <f aca="false">IFERROR(LEFT(J4538,FIND(",",J4538)-1),J4538)</f>
        <v>Documentaries</v>
      </c>
      <c r="N4538" s="7" t="n">
        <f aca="false">IF(B4538="Movie",IFERROR(VALUE(LEFT(I4538,FIND(" ",I4538)-1)),""),"")</f>
        <v>111</v>
      </c>
      <c r="O4538" s="7" t="str">
        <f aca="false">IF(B4538="TV Show",IFERROR(VALUE(LEFT(I4538,FIND(" ",I4538)-1)),""),"")</f>
        <v/>
      </c>
      <c r="P4538" s="7" t="n">
        <f aca="false">IF(K4538="","",K4538-G4538)</f>
        <v>0</v>
      </c>
    </row>
    <row r="4539" customFormat="false" ht="15" hidden="false" customHeight="false" outlineLevel="0" collapsed="false">
      <c r="A4539" s="7" t="n">
        <v>80173711</v>
      </c>
      <c r="B4539" s="7" t="s">
        <v>78</v>
      </c>
      <c r="C4539" s="7" t="s">
        <v>9274</v>
      </c>
      <c r="E4539" s="7" t="s">
        <v>30</v>
      </c>
      <c r="F4539" s="7" t="s">
        <v>9260</v>
      </c>
      <c r="G4539" s="7" t="n">
        <v>2017</v>
      </c>
      <c r="H4539" s="7" t="s">
        <v>49</v>
      </c>
      <c r="I4539" s="7" t="s">
        <v>82</v>
      </c>
      <c r="J4539" s="7" t="s">
        <v>3308</v>
      </c>
      <c r="K4539" s="7" t="n">
        <f aca="false">IFERROR(VALUE(RIGHT(TRIM(F4539),4)),"")</f>
        <v>2017</v>
      </c>
      <c r="L4539" s="7" t="str">
        <f aca="false">IF(TRIM(E4539)="","Unknown",IFERROR(LEFT(TRIM(E4539),FIND(",",TRIM(E4539))-1),TRIM(E4539)))</f>
        <v>Japan</v>
      </c>
      <c r="M4539" s="7" t="str">
        <f aca="false">IFERROR(LEFT(J4539,FIND(",",J4539)-1),J4539)</f>
        <v>International TV Shows</v>
      </c>
      <c r="N4539" s="7" t="str">
        <f aca="false">IF(B4539="Movie",IFERROR(VALUE(LEFT(I4539,FIND(" ",I4539)-1)),""),"")</f>
        <v/>
      </c>
      <c r="O4539" s="7" t="n">
        <f aca="false">IF(B4539="TV Show",IFERROR(VALUE(LEFT(I4539,FIND(" ",I4539)-1)),""),"")</f>
        <v>1</v>
      </c>
      <c r="P4539" s="7" t="n">
        <f aca="false">IF(K4539="","",K4539-G4539)</f>
        <v>0</v>
      </c>
    </row>
    <row r="4540" customFormat="false" ht="15" hidden="false" customHeight="false" outlineLevel="0" collapsed="false">
      <c r="A4540" s="7" t="n">
        <v>80018252</v>
      </c>
      <c r="B4540" s="7" t="s">
        <v>68</v>
      </c>
      <c r="C4540" s="7" t="s">
        <v>9275</v>
      </c>
      <c r="D4540" s="7" t="s">
        <v>9276</v>
      </c>
      <c r="E4540" s="7" t="s">
        <v>9277</v>
      </c>
      <c r="F4540" s="7" t="s">
        <v>9260</v>
      </c>
      <c r="G4540" s="7" t="n">
        <v>2015</v>
      </c>
      <c r="H4540" s="7" t="s">
        <v>51</v>
      </c>
      <c r="I4540" s="7" t="s">
        <v>330</v>
      </c>
      <c r="J4540" s="7" t="s">
        <v>39</v>
      </c>
      <c r="K4540" s="7" t="n">
        <f aca="false">IFERROR(VALUE(RIGHT(TRIM(F4540),4)),"")</f>
        <v>2017</v>
      </c>
      <c r="L4540" s="7" t="str">
        <f aca="false">IF(TRIM(E4540)="","Unknown",IFERROR(LEFT(TRIM(E4540),FIND(",",TRIM(E4540))-1),TRIM(E4540)))</f>
        <v>United States</v>
      </c>
      <c r="M4540" s="7" t="str">
        <f aca="false">IFERROR(LEFT(J4540,FIND(",",J4540)-1),J4540)</f>
        <v>Documentaries</v>
      </c>
      <c r="N4540" s="7" t="n">
        <f aca="false">IF(B4540="Movie",IFERROR(VALUE(LEFT(I4540,FIND(" ",I4540)-1)),""),"")</f>
        <v>103</v>
      </c>
      <c r="O4540" s="7" t="str">
        <f aca="false">IF(B4540="TV Show",IFERROR(VALUE(LEFT(I4540,FIND(" ",I4540)-1)),""),"")</f>
        <v/>
      </c>
      <c r="P4540" s="7" t="n">
        <f aca="false">IF(K4540="","",K4540-G4540)</f>
        <v>2</v>
      </c>
    </row>
    <row r="4541" customFormat="false" ht="15" hidden="false" customHeight="false" outlineLevel="0" collapsed="false">
      <c r="A4541" s="7" t="n">
        <v>80203788</v>
      </c>
      <c r="B4541" s="7" t="s">
        <v>68</v>
      </c>
      <c r="C4541" s="7" t="s">
        <v>9278</v>
      </c>
      <c r="D4541" s="7" t="s">
        <v>9279</v>
      </c>
      <c r="E4541" s="7" t="s">
        <v>27</v>
      </c>
      <c r="F4541" s="7" t="s">
        <v>9260</v>
      </c>
      <c r="G4541" s="7" t="n">
        <v>2016</v>
      </c>
      <c r="H4541" s="7" t="s">
        <v>48</v>
      </c>
      <c r="I4541" s="7" t="s">
        <v>1270</v>
      </c>
      <c r="J4541" s="7" t="s">
        <v>304</v>
      </c>
      <c r="K4541" s="7" t="n">
        <f aca="false">IFERROR(VALUE(RIGHT(TRIM(F4541),4)),"")</f>
        <v>2017</v>
      </c>
      <c r="L4541" s="7" t="str">
        <f aca="false">IF(TRIM(E4541)="","Unknown",IFERROR(LEFT(TRIM(E4541),FIND(",",TRIM(E4541))-1),TRIM(E4541)))</f>
        <v>India</v>
      </c>
      <c r="M4541" s="7" t="str">
        <f aca="false">IFERROR(LEFT(J4541,FIND(",",J4541)-1),J4541)</f>
        <v>Dramas</v>
      </c>
      <c r="N4541" s="7" t="n">
        <f aca="false">IF(B4541="Movie",IFERROR(VALUE(LEFT(I4541,FIND(" ",I4541)-1)),""),"")</f>
        <v>118</v>
      </c>
      <c r="O4541" s="7" t="str">
        <f aca="false">IF(B4541="TV Show",IFERROR(VALUE(LEFT(I4541,FIND(" ",I4541)-1)),""),"")</f>
        <v/>
      </c>
      <c r="P4541" s="7" t="n">
        <f aca="false">IF(K4541="","",K4541-G4541)</f>
        <v>1</v>
      </c>
    </row>
    <row r="4542" customFormat="false" ht="15" hidden="false" customHeight="false" outlineLevel="0" collapsed="false">
      <c r="A4542" s="7" t="n">
        <v>80227673</v>
      </c>
      <c r="B4542" s="7" t="s">
        <v>68</v>
      </c>
      <c r="C4542" s="7" t="s">
        <v>9280</v>
      </c>
      <c r="D4542" s="7" t="s">
        <v>9281</v>
      </c>
      <c r="E4542" s="7" t="s">
        <v>27</v>
      </c>
      <c r="F4542" s="7" t="s">
        <v>9260</v>
      </c>
      <c r="G4542" s="7" t="n">
        <v>2016</v>
      </c>
      <c r="H4542" s="7" t="s">
        <v>48</v>
      </c>
      <c r="I4542" s="7" t="s">
        <v>1026</v>
      </c>
      <c r="J4542" s="7" t="s">
        <v>112</v>
      </c>
      <c r="K4542" s="7" t="n">
        <f aca="false">IFERROR(VALUE(RIGHT(TRIM(F4542),4)),"")</f>
        <v>2017</v>
      </c>
      <c r="L4542" s="7" t="str">
        <f aca="false">IF(TRIM(E4542)="","Unknown",IFERROR(LEFT(TRIM(E4542),FIND(",",TRIM(E4542))-1),TRIM(E4542)))</f>
        <v>India</v>
      </c>
      <c r="M4542" s="7" t="str">
        <f aca="false">IFERROR(LEFT(J4542,FIND(",",J4542)-1),J4542)</f>
        <v>Action &amp; Adventure</v>
      </c>
      <c r="N4542" s="7" t="n">
        <f aca="false">IF(B4542="Movie",IFERROR(VALUE(LEFT(I4542,FIND(" ",I4542)-1)),""),"")</f>
        <v>148</v>
      </c>
      <c r="O4542" s="7" t="str">
        <f aca="false">IF(B4542="TV Show",IFERROR(VALUE(LEFT(I4542,FIND(" ",I4542)-1)),""),"")</f>
        <v/>
      </c>
      <c r="P4542" s="7" t="n">
        <f aca="false">IF(K4542="","",K4542-G4542)</f>
        <v>1</v>
      </c>
    </row>
    <row r="4543" customFormat="false" ht="15" hidden="false" customHeight="false" outlineLevel="0" collapsed="false">
      <c r="A4543" s="7" t="n">
        <v>80219340</v>
      </c>
      <c r="B4543" s="7" t="s">
        <v>68</v>
      </c>
      <c r="C4543" s="7" t="s">
        <v>9282</v>
      </c>
      <c r="D4543" s="7" t="s">
        <v>9283</v>
      </c>
      <c r="F4543" s="7" t="s">
        <v>9260</v>
      </c>
      <c r="G4543" s="7" t="n">
        <v>2017</v>
      </c>
      <c r="H4543" s="7" t="s">
        <v>49</v>
      </c>
      <c r="I4543" s="7" t="s">
        <v>264</v>
      </c>
      <c r="J4543" s="7" t="s">
        <v>341</v>
      </c>
      <c r="K4543" s="7" t="n">
        <f aca="false">IFERROR(VALUE(RIGHT(TRIM(F4543),4)),"")</f>
        <v>2017</v>
      </c>
      <c r="L4543" s="7" t="str">
        <f aca="false">IF(TRIM(E4543)="","Unknown",IFERROR(LEFT(TRIM(E4543),FIND(",",TRIM(E4543))-1),TRIM(E4543)))</f>
        <v>Unknown</v>
      </c>
      <c r="M4543" s="7" t="str">
        <f aca="false">IFERROR(LEFT(J4543,FIND(",",J4543)-1),J4543)</f>
        <v>Documentaries</v>
      </c>
      <c r="N4543" s="7" t="n">
        <f aca="false">IF(B4543="Movie",IFERROR(VALUE(LEFT(I4543,FIND(" ",I4543)-1)),""),"")</f>
        <v>88</v>
      </c>
      <c r="O4543" s="7" t="str">
        <f aca="false">IF(B4543="TV Show",IFERROR(VALUE(LEFT(I4543,FIND(" ",I4543)-1)),""),"")</f>
        <v/>
      </c>
      <c r="P4543" s="7" t="n">
        <f aca="false">IF(K4543="","",K4543-G4543)</f>
        <v>0</v>
      </c>
    </row>
    <row r="4544" customFormat="false" ht="15" hidden="false" customHeight="false" outlineLevel="0" collapsed="false">
      <c r="A4544" s="7" t="n">
        <v>80218784</v>
      </c>
      <c r="B4544" s="7" t="s">
        <v>68</v>
      </c>
      <c r="C4544" s="7" t="s">
        <v>9284</v>
      </c>
      <c r="D4544" s="7" t="s">
        <v>9285</v>
      </c>
      <c r="E4544" s="7" t="s">
        <v>27</v>
      </c>
      <c r="F4544" s="7" t="s">
        <v>9260</v>
      </c>
      <c r="G4544" s="7" t="n">
        <v>2017</v>
      </c>
      <c r="H4544" s="7" t="s">
        <v>48</v>
      </c>
      <c r="I4544" s="7" t="s">
        <v>421</v>
      </c>
      <c r="J4544" s="7" t="s">
        <v>188</v>
      </c>
      <c r="K4544" s="7" t="n">
        <f aca="false">IFERROR(VALUE(RIGHT(TRIM(F4544),4)),"")</f>
        <v>2017</v>
      </c>
      <c r="L4544" s="7" t="str">
        <f aca="false">IF(TRIM(E4544)="","Unknown",IFERROR(LEFT(TRIM(E4544),FIND(",",TRIM(E4544))-1),TRIM(E4544)))</f>
        <v>India</v>
      </c>
      <c r="M4544" s="7" t="str">
        <f aca="false">IFERROR(LEFT(J4544,FIND(",",J4544)-1),J4544)</f>
        <v>Dramas</v>
      </c>
      <c r="N4544" s="7" t="n">
        <f aca="false">IF(B4544="Movie",IFERROR(VALUE(LEFT(I4544,FIND(" ",I4544)-1)),""),"")</f>
        <v>75</v>
      </c>
      <c r="O4544" s="7" t="str">
        <f aca="false">IF(B4544="TV Show",IFERROR(VALUE(LEFT(I4544,FIND(" ",I4544)-1)),""),"")</f>
        <v/>
      </c>
      <c r="P4544" s="7" t="n">
        <f aca="false">IF(K4544="","",K4544-G4544)</f>
        <v>0</v>
      </c>
    </row>
    <row r="4545" customFormat="false" ht="15" hidden="false" customHeight="false" outlineLevel="0" collapsed="false">
      <c r="A4545" s="7" t="n">
        <v>80218783</v>
      </c>
      <c r="B4545" s="7" t="s">
        <v>68</v>
      </c>
      <c r="C4545" s="7" t="s">
        <v>9286</v>
      </c>
      <c r="D4545" s="7" t="s">
        <v>9287</v>
      </c>
      <c r="E4545" s="7" t="s">
        <v>27</v>
      </c>
      <c r="F4545" s="7" t="s">
        <v>9260</v>
      </c>
      <c r="G4545" s="7" t="n">
        <v>2017</v>
      </c>
      <c r="H4545" s="7" t="s">
        <v>49</v>
      </c>
      <c r="I4545" s="7" t="s">
        <v>357</v>
      </c>
      <c r="J4545" s="7" t="s">
        <v>188</v>
      </c>
      <c r="K4545" s="7" t="n">
        <f aca="false">IFERROR(VALUE(RIGHT(TRIM(F4545),4)),"")</f>
        <v>2017</v>
      </c>
      <c r="L4545" s="7" t="str">
        <f aca="false">IF(TRIM(E4545)="","Unknown",IFERROR(LEFT(TRIM(E4545),FIND(",",TRIM(E4545))-1),TRIM(E4545)))</f>
        <v>India</v>
      </c>
      <c r="M4545" s="7" t="str">
        <f aca="false">IFERROR(LEFT(J4545,FIND(",",J4545)-1),J4545)</f>
        <v>Dramas</v>
      </c>
      <c r="N4545" s="7" t="n">
        <f aca="false">IF(B4545="Movie",IFERROR(VALUE(LEFT(I4545,FIND(" ",I4545)-1)),""),"")</f>
        <v>89</v>
      </c>
      <c r="O4545" s="7" t="str">
        <f aca="false">IF(B4545="TV Show",IFERROR(VALUE(LEFT(I4545,FIND(" ",I4545)-1)),""),"")</f>
        <v/>
      </c>
      <c r="P4545" s="7" t="n">
        <f aca="false">IF(K4545="","",K4545-G4545)</f>
        <v>0</v>
      </c>
    </row>
    <row r="4546" customFormat="false" ht="15" hidden="false" customHeight="false" outlineLevel="0" collapsed="false">
      <c r="A4546" s="7" t="n">
        <v>80223049</v>
      </c>
      <c r="B4546" s="7" t="s">
        <v>68</v>
      </c>
      <c r="C4546" s="7" t="s">
        <v>9288</v>
      </c>
      <c r="D4546" s="7" t="s">
        <v>9289</v>
      </c>
      <c r="E4546" s="7" t="s">
        <v>27</v>
      </c>
      <c r="F4546" s="7" t="s">
        <v>9260</v>
      </c>
      <c r="G4546" s="7" t="n">
        <v>2017</v>
      </c>
      <c r="H4546" s="7" t="s">
        <v>49</v>
      </c>
      <c r="I4546" s="7" t="s">
        <v>261</v>
      </c>
      <c r="J4546" s="7" t="s">
        <v>217</v>
      </c>
      <c r="K4546" s="7" t="n">
        <f aca="false">IFERROR(VALUE(RIGHT(TRIM(F4546),4)),"")</f>
        <v>2017</v>
      </c>
      <c r="L4546" s="7" t="str">
        <f aca="false">IF(TRIM(E4546)="","Unknown",IFERROR(LEFT(TRIM(E4546),FIND(",",TRIM(E4546))-1),TRIM(E4546)))</f>
        <v>India</v>
      </c>
      <c r="M4546" s="7" t="str">
        <f aca="false">IFERROR(LEFT(J4546,FIND(",",J4546)-1),J4546)</f>
        <v>Comedies</v>
      </c>
      <c r="N4546" s="7" t="n">
        <f aca="false">IF(B4546="Movie",IFERROR(VALUE(LEFT(I4546,FIND(" ",I4546)-1)),""),"")</f>
        <v>128</v>
      </c>
      <c r="O4546" s="7" t="str">
        <f aca="false">IF(B4546="TV Show",IFERROR(VALUE(LEFT(I4546,FIND(" ",I4546)-1)),""),"")</f>
        <v/>
      </c>
      <c r="P4546" s="7" t="n">
        <f aca="false">IF(K4546="","",K4546-G4546)</f>
        <v>0</v>
      </c>
    </row>
    <row r="4547" customFormat="false" ht="15" hidden="false" customHeight="false" outlineLevel="0" collapsed="false">
      <c r="A4547" s="7" t="n">
        <v>80217545</v>
      </c>
      <c r="B4547" s="7" t="s">
        <v>68</v>
      </c>
      <c r="C4547" s="7" t="s">
        <v>9290</v>
      </c>
      <c r="D4547" s="7" t="s">
        <v>9291</v>
      </c>
      <c r="E4547" s="7" t="s">
        <v>26</v>
      </c>
      <c r="F4547" s="7" t="s">
        <v>9260</v>
      </c>
      <c r="G4547" s="7" t="n">
        <v>2017</v>
      </c>
      <c r="H4547" s="7" t="s">
        <v>52</v>
      </c>
      <c r="I4547" s="7" t="s">
        <v>212</v>
      </c>
      <c r="J4547" s="7" t="s">
        <v>1533</v>
      </c>
      <c r="K4547" s="7" t="n">
        <f aca="false">IFERROR(VALUE(RIGHT(TRIM(F4547),4)),"")</f>
        <v>2017</v>
      </c>
      <c r="L4547" s="7" t="str">
        <f aca="false">IF(TRIM(E4547)="","Unknown",IFERROR(LEFT(TRIM(E4547),FIND(",",TRIM(E4547))-1),TRIM(E4547)))</f>
        <v>United States</v>
      </c>
      <c r="M4547" s="7" t="str">
        <f aca="false">IFERROR(LEFT(J4547,FIND(",",J4547)-1),J4547)</f>
        <v>Comedies</v>
      </c>
      <c r="N4547" s="7" t="n">
        <f aca="false">IF(B4547="Movie",IFERROR(VALUE(LEFT(I4547,FIND(" ",I4547)-1)),""),"")</f>
        <v>86</v>
      </c>
      <c r="O4547" s="7" t="str">
        <f aca="false">IF(B4547="TV Show",IFERROR(VALUE(LEFT(I4547,FIND(" ",I4547)-1)),""),"")</f>
        <v/>
      </c>
      <c r="P4547" s="7" t="n">
        <f aca="false">IF(K4547="","",K4547-G4547)</f>
        <v>0</v>
      </c>
    </row>
    <row r="4548" customFormat="false" ht="15" hidden="false" customHeight="false" outlineLevel="0" collapsed="false">
      <c r="A4548" s="7" t="n">
        <v>80203784</v>
      </c>
      <c r="B4548" s="7" t="s">
        <v>68</v>
      </c>
      <c r="C4548" s="7" t="s">
        <v>9292</v>
      </c>
      <c r="D4548" s="7" t="s">
        <v>9293</v>
      </c>
      <c r="E4548" s="7" t="s">
        <v>27</v>
      </c>
      <c r="F4548" s="7" t="s">
        <v>9260</v>
      </c>
      <c r="G4548" s="7" t="n">
        <v>2013</v>
      </c>
      <c r="H4548" s="7" t="s">
        <v>48</v>
      </c>
      <c r="I4548" s="7" t="s">
        <v>524</v>
      </c>
      <c r="J4548" s="7" t="s">
        <v>169</v>
      </c>
      <c r="K4548" s="7" t="n">
        <f aca="false">IFERROR(VALUE(RIGHT(TRIM(F4548),4)),"")</f>
        <v>2017</v>
      </c>
      <c r="L4548" s="7" t="str">
        <f aca="false">IF(TRIM(E4548)="","Unknown",IFERROR(LEFT(TRIM(E4548),FIND(",",TRIM(E4548))-1),TRIM(E4548)))</f>
        <v>India</v>
      </c>
      <c r="M4548" s="7" t="str">
        <f aca="false">IFERROR(LEFT(J4548,FIND(",",J4548)-1),J4548)</f>
        <v>Horror Movies</v>
      </c>
      <c r="N4548" s="7" t="n">
        <f aca="false">IF(B4548="Movie",IFERROR(VALUE(LEFT(I4548,FIND(" ",I4548)-1)),""),"")</f>
        <v>83</v>
      </c>
      <c r="O4548" s="7" t="str">
        <f aca="false">IF(B4548="TV Show",IFERROR(VALUE(LEFT(I4548,FIND(" ",I4548)-1)),""),"")</f>
        <v/>
      </c>
      <c r="P4548" s="7" t="n">
        <f aca="false">IF(K4548="","",K4548-G4548)</f>
        <v>4</v>
      </c>
    </row>
    <row r="4549" customFormat="false" ht="15" hidden="false" customHeight="false" outlineLevel="0" collapsed="false">
      <c r="A4549" s="7" t="n">
        <v>80106230</v>
      </c>
      <c r="B4549" s="7" t="s">
        <v>68</v>
      </c>
      <c r="C4549" s="7" t="s">
        <v>9294</v>
      </c>
      <c r="D4549" s="7" t="s">
        <v>9295</v>
      </c>
      <c r="E4549" s="7" t="s">
        <v>9296</v>
      </c>
      <c r="F4549" s="7" t="s">
        <v>9260</v>
      </c>
      <c r="G4549" s="7" t="n">
        <v>2015</v>
      </c>
      <c r="H4549" s="7" t="s">
        <v>48</v>
      </c>
      <c r="I4549" s="7" t="s">
        <v>790</v>
      </c>
      <c r="J4549" s="7" t="s">
        <v>217</v>
      </c>
      <c r="K4549" s="7" t="n">
        <f aca="false">IFERROR(VALUE(RIGHT(TRIM(F4549),4)),"")</f>
        <v>2017</v>
      </c>
      <c r="L4549" s="7" t="str">
        <f aca="false">IF(TRIM(E4549)="","Unknown",IFERROR(LEFT(TRIM(E4549),FIND(",",TRIM(E4549))-1),TRIM(E4549)))</f>
        <v>South Korea</v>
      </c>
      <c r="M4549" s="7" t="str">
        <f aca="false">IFERROR(LEFT(J4549,FIND(",",J4549)-1),J4549)</f>
        <v>Comedies</v>
      </c>
      <c r="N4549" s="7" t="n">
        <f aca="false">IF(B4549="Movie",IFERROR(VALUE(LEFT(I4549,FIND(" ",I4549)-1)),""),"")</f>
        <v>109</v>
      </c>
      <c r="O4549" s="7" t="str">
        <f aca="false">IF(B4549="TV Show",IFERROR(VALUE(LEFT(I4549,FIND(" ",I4549)-1)),""),"")</f>
        <v/>
      </c>
      <c r="P4549" s="7" t="n">
        <f aca="false">IF(K4549="","",K4549-G4549)</f>
        <v>2</v>
      </c>
    </row>
    <row r="4550" customFormat="false" ht="15" hidden="false" customHeight="false" outlineLevel="0" collapsed="false">
      <c r="A4550" s="7" t="n">
        <v>70003680</v>
      </c>
      <c r="B4550" s="7" t="s">
        <v>68</v>
      </c>
      <c r="C4550" s="7" t="s">
        <v>9297</v>
      </c>
      <c r="D4550" s="7" t="s">
        <v>9298</v>
      </c>
      <c r="E4550" s="7" t="s">
        <v>34</v>
      </c>
      <c r="F4550" s="7" t="s">
        <v>9260</v>
      </c>
      <c r="G4550" s="7" t="n">
        <v>1999</v>
      </c>
      <c r="H4550" s="7" t="s">
        <v>51</v>
      </c>
      <c r="I4550" s="7" t="s">
        <v>326</v>
      </c>
      <c r="J4550" s="7" t="s">
        <v>217</v>
      </c>
      <c r="K4550" s="7" t="n">
        <f aca="false">IFERROR(VALUE(RIGHT(TRIM(F4550),4)),"")</f>
        <v>2017</v>
      </c>
      <c r="L4550" s="7" t="str">
        <f aca="false">IF(TRIM(E4550)="","Unknown",IFERROR(LEFT(TRIM(E4550),FIND(",",TRIM(E4550))-1),TRIM(E4550)))</f>
        <v>Mexico</v>
      </c>
      <c r="M4550" s="7" t="str">
        <f aca="false">IFERROR(LEFT(J4550,FIND(",",J4550)-1),J4550)</f>
        <v>Comedies</v>
      </c>
      <c r="N4550" s="7" t="n">
        <f aca="false">IF(B4550="Movie",IFERROR(VALUE(LEFT(I4550,FIND(" ",I4550)-1)),""),"")</f>
        <v>111</v>
      </c>
      <c r="O4550" s="7" t="str">
        <f aca="false">IF(B4550="TV Show",IFERROR(VALUE(LEFT(I4550,FIND(" ",I4550)-1)),""),"")</f>
        <v/>
      </c>
      <c r="P4550" s="7" t="n">
        <f aca="false">IF(K4550="","",K4550-G4550)</f>
        <v>18</v>
      </c>
    </row>
    <row r="4551" customFormat="false" ht="15" hidden="false" customHeight="false" outlineLevel="0" collapsed="false">
      <c r="A4551" s="7" t="n">
        <v>80216662</v>
      </c>
      <c r="B4551" s="7" t="s">
        <v>68</v>
      </c>
      <c r="C4551" s="7" t="s">
        <v>9299</v>
      </c>
      <c r="D4551" s="7" t="s">
        <v>9300</v>
      </c>
      <c r="E4551" s="7" t="s">
        <v>26</v>
      </c>
      <c r="F4551" s="7" t="s">
        <v>9260</v>
      </c>
      <c r="G4551" s="7" t="n">
        <v>2017</v>
      </c>
      <c r="H4551" s="7" t="s">
        <v>49</v>
      </c>
      <c r="I4551" s="7" t="s">
        <v>333</v>
      </c>
      <c r="J4551" s="7" t="s">
        <v>9301</v>
      </c>
      <c r="K4551" s="7" t="n">
        <f aca="false">IFERROR(VALUE(RIGHT(TRIM(F4551),4)),"")</f>
        <v>2017</v>
      </c>
      <c r="L4551" s="7" t="str">
        <f aca="false">IF(TRIM(E4551)="","Unknown",IFERROR(LEFT(TRIM(E4551),FIND(",",TRIM(E4551))-1),TRIM(E4551)))</f>
        <v>United States</v>
      </c>
      <c r="M4551" s="7" t="str">
        <f aca="false">IFERROR(LEFT(J4551,FIND(",",J4551)-1),J4551)</f>
        <v>Action &amp; Adventure</v>
      </c>
      <c r="N4551" s="7" t="n">
        <f aca="false">IF(B4551="Movie",IFERROR(VALUE(LEFT(I4551,FIND(" ",I4551)-1)),""),"")</f>
        <v>40</v>
      </c>
      <c r="O4551" s="7" t="str">
        <f aca="false">IF(B4551="TV Show",IFERROR(VALUE(LEFT(I4551,FIND(" ",I4551)-1)),""),"")</f>
        <v/>
      </c>
      <c r="P4551" s="7" t="n">
        <f aca="false">IF(K4551="","",K4551-G4551)</f>
        <v>0</v>
      </c>
    </row>
    <row r="4552" customFormat="false" ht="15" hidden="false" customHeight="false" outlineLevel="0" collapsed="false">
      <c r="A4552" s="7" t="n">
        <v>80059446</v>
      </c>
      <c r="B4552" s="7" t="s">
        <v>78</v>
      </c>
      <c r="C4552" s="7" t="s">
        <v>9302</v>
      </c>
      <c r="E4552" s="7" t="s">
        <v>26</v>
      </c>
      <c r="F4552" s="7" t="s">
        <v>9260</v>
      </c>
      <c r="G4552" s="7" t="n">
        <v>2017</v>
      </c>
      <c r="H4552" s="7" t="s">
        <v>49</v>
      </c>
      <c r="I4552" s="7" t="s">
        <v>82</v>
      </c>
      <c r="J4552" s="7" t="s">
        <v>696</v>
      </c>
      <c r="K4552" s="7" t="n">
        <f aca="false">IFERROR(VALUE(RIGHT(TRIM(F4552),4)),"")</f>
        <v>2017</v>
      </c>
      <c r="L4552" s="7" t="str">
        <f aca="false">IF(TRIM(E4552)="","Unknown",IFERROR(LEFT(TRIM(E4552),FIND(",",TRIM(E4552))-1),TRIM(E4552)))</f>
        <v>United States</v>
      </c>
      <c r="M4552" s="7" t="str">
        <f aca="false">IFERROR(LEFT(J4552,FIND(",",J4552)-1),J4552)</f>
        <v>Crime TV Shows</v>
      </c>
      <c r="N4552" s="7" t="str">
        <f aca="false">IF(B4552="Movie",IFERROR(VALUE(LEFT(I4552,FIND(" ",I4552)-1)),""),"")</f>
        <v/>
      </c>
      <c r="O4552" s="7" t="n">
        <f aca="false">IF(B4552="TV Show",IFERROR(VALUE(LEFT(I4552,FIND(" ",I4552)-1)),""),"")</f>
        <v>1</v>
      </c>
      <c r="P4552" s="7" t="n">
        <f aca="false">IF(K4552="","",K4552-G4552)</f>
        <v>0</v>
      </c>
    </row>
    <row r="4553" customFormat="false" ht="15" hidden="false" customHeight="false" outlineLevel="0" collapsed="false">
      <c r="A4553" s="7" t="n">
        <v>80093295</v>
      </c>
      <c r="B4553" s="7" t="s">
        <v>68</v>
      </c>
      <c r="C4553" s="7" t="s">
        <v>9303</v>
      </c>
      <c r="D4553" s="7" t="s">
        <v>9304</v>
      </c>
      <c r="E4553" s="7" t="s">
        <v>1081</v>
      </c>
      <c r="F4553" s="7" t="s">
        <v>9305</v>
      </c>
      <c r="G4553" s="7" t="n">
        <v>2015</v>
      </c>
      <c r="H4553" s="7" t="s">
        <v>53</v>
      </c>
      <c r="I4553" s="7" t="s">
        <v>272</v>
      </c>
      <c r="J4553" s="7" t="s">
        <v>202</v>
      </c>
      <c r="K4553" s="7" t="n">
        <f aca="false">IFERROR(VALUE(RIGHT(TRIM(F4553),4)),"")</f>
        <v>2016</v>
      </c>
      <c r="L4553" s="7" t="str">
        <f aca="false">IF(TRIM(E4553)="","Unknown",IFERROR(LEFT(TRIM(E4553),FIND(",",TRIM(E4553))-1),TRIM(E4553)))</f>
        <v>Germany</v>
      </c>
      <c r="M4553" s="7" t="str">
        <f aca="false">IFERROR(LEFT(J4553,FIND(",",J4553)-1),J4553)</f>
        <v>Comedies</v>
      </c>
      <c r="N4553" s="7" t="n">
        <f aca="false">IF(B4553="Movie",IFERROR(VALUE(LEFT(I4553,FIND(" ",I4553)-1)),""),"")</f>
        <v>93</v>
      </c>
      <c r="O4553" s="7" t="str">
        <f aca="false">IF(B4553="TV Show",IFERROR(VALUE(LEFT(I4553,FIND(" ",I4553)-1)),""),"")</f>
        <v/>
      </c>
      <c r="P4553" s="7" t="n">
        <f aca="false">IF(K4553="","",K4553-G4553)</f>
        <v>1</v>
      </c>
    </row>
    <row r="4554" customFormat="false" ht="15" hidden="false" customHeight="false" outlineLevel="0" collapsed="false">
      <c r="A4554" s="7" t="n">
        <v>80115112</v>
      </c>
      <c r="B4554" s="7" t="s">
        <v>78</v>
      </c>
      <c r="C4554" s="7" t="s">
        <v>9306</v>
      </c>
      <c r="E4554" s="7" t="s">
        <v>31</v>
      </c>
      <c r="F4554" s="7" t="s">
        <v>9305</v>
      </c>
      <c r="G4554" s="7" t="n">
        <v>2016</v>
      </c>
      <c r="H4554" s="7" t="s">
        <v>48</v>
      </c>
      <c r="I4554" s="7" t="s">
        <v>82</v>
      </c>
      <c r="J4554" s="7" t="s">
        <v>402</v>
      </c>
      <c r="K4554" s="7" t="n">
        <f aca="false">IFERROR(VALUE(RIGHT(TRIM(F4554),4)),"")</f>
        <v>2016</v>
      </c>
      <c r="L4554" s="7" t="str">
        <f aca="false">IF(TRIM(E4554)="","Unknown",IFERROR(LEFT(TRIM(E4554),FIND(",",TRIM(E4554))-1),TRIM(E4554)))</f>
        <v>France</v>
      </c>
      <c r="M4554" s="7" t="str">
        <f aca="false">IFERROR(LEFT(J4554,FIND(",",J4554)-1),J4554)</f>
        <v>Crime TV Shows</v>
      </c>
      <c r="N4554" s="7" t="str">
        <f aca="false">IF(B4554="Movie",IFERROR(VALUE(LEFT(I4554,FIND(" ",I4554)-1)),""),"")</f>
        <v/>
      </c>
      <c r="O4554" s="7" t="n">
        <f aca="false">IF(B4554="TV Show",IFERROR(VALUE(LEFT(I4554,FIND(" ",I4554)-1)),""),"")</f>
        <v>1</v>
      </c>
      <c r="P4554" s="7" t="n">
        <f aca="false">IF(K4554="","",K4554-G4554)</f>
        <v>0</v>
      </c>
    </row>
    <row r="4555" customFormat="false" ht="15" hidden="false" customHeight="false" outlineLevel="0" collapsed="false">
      <c r="A4555" s="7" t="n">
        <v>80126211</v>
      </c>
      <c r="B4555" s="7" t="s">
        <v>78</v>
      </c>
      <c r="C4555" s="7" t="s">
        <v>9307</v>
      </c>
      <c r="E4555" s="7" t="s">
        <v>32</v>
      </c>
      <c r="F4555" s="7" t="s">
        <v>9305</v>
      </c>
      <c r="G4555" s="7" t="n">
        <v>2012</v>
      </c>
      <c r="H4555" s="7" t="s">
        <v>49</v>
      </c>
      <c r="I4555" s="7" t="s">
        <v>82</v>
      </c>
      <c r="J4555" s="7" t="s">
        <v>637</v>
      </c>
      <c r="K4555" s="7" t="n">
        <f aca="false">IFERROR(VALUE(RIGHT(TRIM(F4555),4)),"")</f>
        <v>2016</v>
      </c>
      <c r="L4555" s="7" t="str">
        <f aca="false">IF(TRIM(E4555)="","Unknown",IFERROR(LEFT(TRIM(E4555),FIND(",",TRIM(E4555))-1),TRIM(E4555)))</f>
        <v>South Korea</v>
      </c>
      <c r="M4555" s="7" t="str">
        <f aca="false">IFERROR(LEFT(J4555,FIND(",",J4555)-1),J4555)</f>
        <v>International TV Shows</v>
      </c>
      <c r="N4555" s="7" t="str">
        <f aca="false">IF(B4555="Movie",IFERROR(VALUE(LEFT(I4555,FIND(" ",I4555)-1)),""),"")</f>
        <v/>
      </c>
      <c r="O4555" s="7" t="n">
        <f aca="false">IF(B4555="TV Show",IFERROR(VALUE(LEFT(I4555,FIND(" ",I4555)-1)),""),"")</f>
        <v>1</v>
      </c>
      <c r="P4555" s="7" t="n">
        <f aca="false">IF(K4555="","",K4555-G4555)</f>
        <v>4</v>
      </c>
    </row>
    <row r="4556" customFormat="false" ht="15" hidden="false" customHeight="false" outlineLevel="0" collapsed="false">
      <c r="A4556" s="7" t="n">
        <v>80142450</v>
      </c>
      <c r="B4556" s="7" t="s">
        <v>68</v>
      </c>
      <c r="C4556" s="7" t="s">
        <v>9308</v>
      </c>
      <c r="D4556" s="7" t="s">
        <v>9309</v>
      </c>
      <c r="E4556" s="7" t="s">
        <v>28</v>
      </c>
      <c r="F4556" s="7" t="s">
        <v>9305</v>
      </c>
      <c r="G4556" s="7" t="n">
        <v>2015</v>
      </c>
      <c r="H4556" s="7" t="s">
        <v>49</v>
      </c>
      <c r="I4556" s="7" t="s">
        <v>134</v>
      </c>
      <c r="J4556" s="7" t="s">
        <v>1085</v>
      </c>
      <c r="K4556" s="7" t="n">
        <f aca="false">IFERROR(VALUE(RIGHT(TRIM(F4556),4)),"")</f>
        <v>2016</v>
      </c>
      <c r="L4556" s="7" t="str">
        <f aca="false">IF(TRIM(E4556)="","Unknown",IFERROR(LEFT(TRIM(E4556),FIND(",",TRIM(E4556))-1),TRIM(E4556)))</f>
        <v>United Kingdom</v>
      </c>
      <c r="M4556" s="7" t="str">
        <f aca="false">IFERROR(LEFT(J4556,FIND(",",J4556)-1),J4556)</f>
        <v>Documentaries</v>
      </c>
      <c r="N4556" s="7" t="n">
        <f aca="false">IF(B4556="Movie",IFERROR(VALUE(LEFT(I4556,FIND(" ",I4556)-1)),""),"")</f>
        <v>98</v>
      </c>
      <c r="O4556" s="7" t="str">
        <f aca="false">IF(B4556="TV Show",IFERROR(VALUE(LEFT(I4556,FIND(" ",I4556)-1)),""),"")</f>
        <v/>
      </c>
      <c r="P4556" s="7" t="n">
        <f aca="false">IF(K4556="","",K4556-G4556)</f>
        <v>1</v>
      </c>
    </row>
    <row r="4557" customFormat="false" ht="15" hidden="false" customHeight="false" outlineLevel="0" collapsed="false">
      <c r="A4557" s="7" t="n">
        <v>80139507</v>
      </c>
      <c r="B4557" s="7" t="s">
        <v>68</v>
      </c>
      <c r="C4557" s="7" t="s">
        <v>9310</v>
      </c>
      <c r="D4557" s="7" t="s">
        <v>9311</v>
      </c>
      <c r="E4557" s="7" t="s">
        <v>27</v>
      </c>
      <c r="F4557" s="7" t="s">
        <v>9305</v>
      </c>
      <c r="G4557" s="7" t="n">
        <v>2015</v>
      </c>
      <c r="H4557" s="7" t="s">
        <v>49</v>
      </c>
      <c r="I4557" s="7" t="s">
        <v>1131</v>
      </c>
      <c r="J4557" s="7" t="s">
        <v>341</v>
      </c>
      <c r="K4557" s="7" t="n">
        <f aca="false">IFERROR(VALUE(RIGHT(TRIM(F4557),4)),"")</f>
        <v>2016</v>
      </c>
      <c r="L4557" s="7" t="str">
        <f aca="false">IF(TRIM(E4557)="","Unknown",IFERROR(LEFT(TRIM(E4557),FIND(",",TRIM(E4557))-1),TRIM(E4557)))</f>
        <v>India</v>
      </c>
      <c r="M4557" s="7" t="str">
        <f aca="false">IFERROR(LEFT(J4557,FIND(",",J4557)-1),J4557)</f>
        <v>Documentaries</v>
      </c>
      <c r="N4557" s="7" t="n">
        <f aca="false">IF(B4557="Movie",IFERROR(VALUE(LEFT(I4557,FIND(" ",I4557)-1)),""),"")</f>
        <v>29</v>
      </c>
      <c r="O4557" s="7" t="str">
        <f aca="false">IF(B4557="TV Show",IFERROR(VALUE(LEFT(I4557,FIND(" ",I4557)-1)),""),"")</f>
        <v/>
      </c>
      <c r="P4557" s="7" t="n">
        <f aca="false">IF(K4557="","",K4557-G4557)</f>
        <v>1</v>
      </c>
    </row>
    <row r="4558" customFormat="false" ht="15" hidden="false" customHeight="false" outlineLevel="0" collapsed="false">
      <c r="A4558" s="7" t="n">
        <v>80126185</v>
      </c>
      <c r="B4558" s="7" t="s">
        <v>78</v>
      </c>
      <c r="C4558" s="7" t="s">
        <v>9312</v>
      </c>
      <c r="E4558" s="7" t="s">
        <v>32</v>
      </c>
      <c r="F4558" s="7" t="s">
        <v>9305</v>
      </c>
      <c r="G4558" s="7" t="n">
        <v>2012</v>
      </c>
      <c r="H4558" s="7" t="s">
        <v>49</v>
      </c>
      <c r="I4558" s="7" t="s">
        <v>82</v>
      </c>
      <c r="J4558" s="7" t="s">
        <v>637</v>
      </c>
      <c r="K4558" s="7" t="n">
        <f aca="false">IFERROR(VALUE(RIGHT(TRIM(F4558),4)),"")</f>
        <v>2016</v>
      </c>
      <c r="L4558" s="7" t="str">
        <f aca="false">IF(TRIM(E4558)="","Unknown",IFERROR(LEFT(TRIM(E4558),FIND(",",TRIM(E4558))-1),TRIM(E4558)))</f>
        <v>South Korea</v>
      </c>
      <c r="M4558" s="7" t="str">
        <f aca="false">IFERROR(LEFT(J4558,FIND(",",J4558)-1),J4558)</f>
        <v>International TV Shows</v>
      </c>
      <c r="N4558" s="7" t="str">
        <f aca="false">IF(B4558="Movie",IFERROR(VALUE(LEFT(I4558,FIND(" ",I4558)-1)),""),"")</f>
        <v/>
      </c>
      <c r="O4558" s="7" t="n">
        <f aca="false">IF(B4558="TV Show",IFERROR(VALUE(LEFT(I4558,FIND(" ",I4558)-1)),""),"")</f>
        <v>1</v>
      </c>
      <c r="P4558" s="7" t="n">
        <f aca="false">IF(K4558="","",K4558-G4558)</f>
        <v>4</v>
      </c>
    </row>
    <row r="4559" customFormat="false" ht="15" hidden="false" customHeight="false" outlineLevel="0" collapsed="false">
      <c r="A4559" s="7" t="n">
        <v>80126212</v>
      </c>
      <c r="B4559" s="7" t="s">
        <v>78</v>
      </c>
      <c r="C4559" s="7" t="s">
        <v>9313</v>
      </c>
      <c r="F4559" s="7" t="s">
        <v>9305</v>
      </c>
      <c r="G4559" s="7" t="n">
        <v>2012</v>
      </c>
      <c r="H4559" s="7" t="s">
        <v>49</v>
      </c>
      <c r="I4559" s="7" t="s">
        <v>82</v>
      </c>
      <c r="J4559" s="7" t="s">
        <v>852</v>
      </c>
      <c r="K4559" s="7" t="n">
        <f aca="false">IFERROR(VALUE(RIGHT(TRIM(F4559),4)),"")</f>
        <v>2016</v>
      </c>
      <c r="L4559" s="7" t="str">
        <f aca="false">IF(TRIM(E4559)="","Unknown",IFERROR(LEFT(TRIM(E4559),FIND(",",TRIM(E4559))-1),TRIM(E4559)))</f>
        <v>Unknown</v>
      </c>
      <c r="M4559" s="7" t="str">
        <f aca="false">IFERROR(LEFT(J4559,FIND(",",J4559)-1),J4559)</f>
        <v>International TV Shows</v>
      </c>
      <c r="N4559" s="7" t="str">
        <f aca="false">IF(B4559="Movie",IFERROR(VALUE(LEFT(I4559,FIND(" ",I4559)-1)),""),"")</f>
        <v/>
      </c>
      <c r="O4559" s="7" t="n">
        <f aca="false">IF(B4559="TV Show",IFERROR(VALUE(LEFT(I4559,FIND(" ",I4559)-1)),""),"")</f>
        <v>1</v>
      </c>
      <c r="P4559" s="7" t="n">
        <f aca="false">IF(K4559="","",K4559-G4559)</f>
        <v>4</v>
      </c>
    </row>
    <row r="4560" customFormat="false" ht="15" hidden="false" customHeight="false" outlineLevel="0" collapsed="false">
      <c r="A4560" s="7" t="n">
        <v>80126153</v>
      </c>
      <c r="B4560" s="7" t="s">
        <v>78</v>
      </c>
      <c r="C4560" s="7" t="s">
        <v>9314</v>
      </c>
      <c r="E4560" s="7" t="s">
        <v>32</v>
      </c>
      <c r="F4560" s="7" t="s">
        <v>9305</v>
      </c>
      <c r="G4560" s="7" t="n">
        <v>2011</v>
      </c>
      <c r="H4560" s="7" t="s">
        <v>50</v>
      </c>
      <c r="I4560" s="7" t="s">
        <v>82</v>
      </c>
      <c r="J4560" s="7" t="s">
        <v>852</v>
      </c>
      <c r="K4560" s="7" t="n">
        <f aca="false">IFERROR(VALUE(RIGHT(TRIM(F4560),4)),"")</f>
        <v>2016</v>
      </c>
      <c r="L4560" s="7" t="str">
        <f aca="false">IF(TRIM(E4560)="","Unknown",IFERROR(LEFT(TRIM(E4560),FIND(",",TRIM(E4560))-1),TRIM(E4560)))</f>
        <v>South Korea</v>
      </c>
      <c r="M4560" s="7" t="str">
        <f aca="false">IFERROR(LEFT(J4560,FIND(",",J4560)-1),J4560)</f>
        <v>International TV Shows</v>
      </c>
      <c r="N4560" s="7" t="str">
        <f aca="false">IF(B4560="Movie",IFERROR(VALUE(LEFT(I4560,FIND(" ",I4560)-1)),""),"")</f>
        <v/>
      </c>
      <c r="O4560" s="7" t="n">
        <f aca="false">IF(B4560="TV Show",IFERROR(VALUE(LEFT(I4560,FIND(" ",I4560)-1)),""),"")</f>
        <v>1</v>
      </c>
      <c r="P4560" s="7" t="n">
        <f aca="false">IF(K4560="","",K4560-G4560)</f>
        <v>5</v>
      </c>
    </row>
    <row r="4561" customFormat="false" ht="15" hidden="false" customHeight="false" outlineLevel="0" collapsed="false">
      <c r="A4561" s="7" t="n">
        <v>80087347</v>
      </c>
      <c r="B4561" s="7" t="s">
        <v>78</v>
      </c>
      <c r="C4561" s="7" t="s">
        <v>9315</v>
      </c>
      <c r="E4561" s="7" t="s">
        <v>259</v>
      </c>
      <c r="F4561" s="7" t="s">
        <v>9305</v>
      </c>
      <c r="G4561" s="7" t="n">
        <v>2011</v>
      </c>
      <c r="H4561" s="7" t="s">
        <v>49</v>
      </c>
      <c r="I4561" s="7" t="s">
        <v>82</v>
      </c>
      <c r="J4561" s="7" t="s">
        <v>314</v>
      </c>
      <c r="K4561" s="7" t="n">
        <f aca="false">IFERROR(VALUE(RIGHT(TRIM(F4561),4)),"")</f>
        <v>2016</v>
      </c>
      <c r="L4561" s="7" t="str">
        <f aca="false">IF(TRIM(E4561)="","Unknown",IFERROR(LEFT(TRIM(E4561),FIND(",",TRIM(E4561))-1),TRIM(E4561)))</f>
        <v>Pakistan</v>
      </c>
      <c r="M4561" s="7" t="str">
        <f aca="false">IFERROR(LEFT(J4561,FIND(",",J4561)-1),J4561)</f>
        <v>International TV Shows</v>
      </c>
      <c r="N4561" s="7" t="str">
        <f aca="false">IF(B4561="Movie",IFERROR(VALUE(LEFT(I4561,FIND(" ",I4561)-1)),""),"")</f>
        <v/>
      </c>
      <c r="O4561" s="7" t="n">
        <f aca="false">IF(B4561="TV Show",IFERROR(VALUE(LEFT(I4561,FIND(" ",I4561)-1)),""),"")</f>
        <v>1</v>
      </c>
      <c r="P4561" s="7" t="n">
        <f aca="false">IF(K4561="","",K4561-G4561)</f>
        <v>5</v>
      </c>
    </row>
    <row r="4562" customFormat="false" ht="15" hidden="false" customHeight="false" outlineLevel="0" collapsed="false">
      <c r="A4562" s="7" t="n">
        <v>80128756</v>
      </c>
      <c r="B4562" s="7" t="s">
        <v>78</v>
      </c>
      <c r="C4562" s="7" t="s">
        <v>9316</v>
      </c>
      <c r="E4562" s="7" t="s">
        <v>366</v>
      </c>
      <c r="F4562" s="7" t="s">
        <v>9305</v>
      </c>
      <c r="G4562" s="7" t="n">
        <v>2016</v>
      </c>
      <c r="H4562" s="7" t="s">
        <v>49</v>
      </c>
      <c r="I4562" s="7" t="s">
        <v>82</v>
      </c>
      <c r="J4562" s="7" t="s">
        <v>6429</v>
      </c>
      <c r="K4562" s="7" t="n">
        <f aca="false">IFERROR(VALUE(RIGHT(TRIM(F4562),4)),"")</f>
        <v>2016</v>
      </c>
      <c r="L4562" s="7" t="str">
        <f aca="false">IF(TRIM(E4562)="","Unknown",IFERROR(LEFT(TRIM(E4562),FIND(",",TRIM(E4562))-1),TRIM(E4562)))</f>
        <v>China</v>
      </c>
      <c r="M4562" s="7" t="str">
        <f aca="false">IFERROR(LEFT(J4562,FIND(",",J4562)-1),J4562)</f>
        <v>International TV Shows</v>
      </c>
      <c r="N4562" s="7" t="str">
        <f aca="false">IF(B4562="Movie",IFERROR(VALUE(LEFT(I4562,FIND(" ",I4562)-1)),""),"")</f>
        <v/>
      </c>
      <c r="O4562" s="7" t="n">
        <f aca="false">IF(B4562="TV Show",IFERROR(VALUE(LEFT(I4562,FIND(" ",I4562)-1)),""),"")</f>
        <v>1</v>
      </c>
      <c r="P4562" s="7" t="n">
        <f aca="false">IF(K4562="","",K4562-G4562)</f>
        <v>0</v>
      </c>
    </row>
    <row r="4563" customFormat="false" ht="15" hidden="false" customHeight="false" outlineLevel="0" collapsed="false">
      <c r="A4563" s="7" t="n">
        <v>80066800</v>
      </c>
      <c r="B4563" s="7" t="s">
        <v>78</v>
      </c>
      <c r="C4563" s="7" t="s">
        <v>9317</v>
      </c>
      <c r="E4563" s="7" t="s">
        <v>32</v>
      </c>
      <c r="F4563" s="7" t="s">
        <v>9305</v>
      </c>
      <c r="G4563" s="7" t="n">
        <v>2012</v>
      </c>
      <c r="H4563" s="7" t="s">
        <v>49</v>
      </c>
      <c r="I4563" s="7" t="s">
        <v>82</v>
      </c>
      <c r="J4563" s="7" t="s">
        <v>852</v>
      </c>
      <c r="K4563" s="7" t="n">
        <f aca="false">IFERROR(VALUE(RIGHT(TRIM(F4563),4)),"")</f>
        <v>2016</v>
      </c>
      <c r="L4563" s="7" t="str">
        <f aca="false">IF(TRIM(E4563)="","Unknown",IFERROR(LEFT(TRIM(E4563),FIND(",",TRIM(E4563))-1),TRIM(E4563)))</f>
        <v>South Korea</v>
      </c>
      <c r="M4563" s="7" t="str">
        <f aca="false">IFERROR(LEFT(J4563,FIND(",",J4563)-1),J4563)</f>
        <v>International TV Shows</v>
      </c>
      <c r="N4563" s="7" t="str">
        <f aca="false">IF(B4563="Movie",IFERROR(VALUE(LEFT(I4563,FIND(" ",I4563)-1)),""),"")</f>
        <v/>
      </c>
      <c r="O4563" s="7" t="n">
        <f aca="false">IF(B4563="TV Show",IFERROR(VALUE(LEFT(I4563,FIND(" ",I4563)-1)),""),"")</f>
        <v>1</v>
      </c>
      <c r="P4563" s="7" t="n">
        <f aca="false">IF(K4563="","",K4563-G4563)</f>
        <v>4</v>
      </c>
    </row>
    <row r="4564" customFormat="false" ht="15" hidden="false" customHeight="false" outlineLevel="0" collapsed="false">
      <c r="A4564" s="7" t="n">
        <v>80031595</v>
      </c>
      <c r="B4564" s="7" t="s">
        <v>78</v>
      </c>
      <c r="C4564" s="7" t="s">
        <v>9318</v>
      </c>
      <c r="E4564" s="7" t="s">
        <v>32</v>
      </c>
      <c r="F4564" s="7" t="s">
        <v>9305</v>
      </c>
      <c r="G4564" s="7" t="n">
        <v>2012</v>
      </c>
      <c r="H4564" s="7" t="s">
        <v>49</v>
      </c>
      <c r="I4564" s="7" t="s">
        <v>82</v>
      </c>
      <c r="J4564" s="7" t="s">
        <v>637</v>
      </c>
      <c r="K4564" s="7" t="n">
        <f aca="false">IFERROR(VALUE(RIGHT(TRIM(F4564),4)),"")</f>
        <v>2016</v>
      </c>
      <c r="L4564" s="7" t="str">
        <f aca="false">IF(TRIM(E4564)="","Unknown",IFERROR(LEFT(TRIM(E4564),FIND(",",TRIM(E4564))-1),TRIM(E4564)))</f>
        <v>South Korea</v>
      </c>
      <c r="M4564" s="7" t="str">
        <f aca="false">IFERROR(LEFT(J4564,FIND(",",J4564)-1),J4564)</f>
        <v>International TV Shows</v>
      </c>
      <c r="N4564" s="7" t="str">
        <f aca="false">IF(B4564="Movie",IFERROR(VALUE(LEFT(I4564,FIND(" ",I4564)-1)),""),"")</f>
        <v/>
      </c>
      <c r="O4564" s="7" t="n">
        <f aca="false">IF(B4564="TV Show",IFERROR(VALUE(LEFT(I4564,FIND(" ",I4564)-1)),""),"")</f>
        <v>1</v>
      </c>
      <c r="P4564" s="7" t="n">
        <f aca="false">IF(K4564="","",K4564-G4564)</f>
        <v>4</v>
      </c>
    </row>
    <row r="4565" customFormat="false" ht="15" hidden="false" customHeight="false" outlineLevel="0" collapsed="false">
      <c r="A4565" s="7" t="n">
        <v>80126214</v>
      </c>
      <c r="B4565" s="7" t="s">
        <v>78</v>
      </c>
      <c r="C4565" s="7" t="s">
        <v>9319</v>
      </c>
      <c r="E4565" s="7" t="s">
        <v>32</v>
      </c>
      <c r="F4565" s="7" t="s">
        <v>9305</v>
      </c>
      <c r="G4565" s="7" t="n">
        <v>2012</v>
      </c>
      <c r="H4565" s="7" t="s">
        <v>49</v>
      </c>
      <c r="I4565" s="7" t="s">
        <v>82</v>
      </c>
      <c r="J4565" s="7" t="s">
        <v>637</v>
      </c>
      <c r="K4565" s="7" t="n">
        <f aca="false">IFERROR(VALUE(RIGHT(TRIM(F4565),4)),"")</f>
        <v>2016</v>
      </c>
      <c r="L4565" s="7" t="str">
        <f aca="false">IF(TRIM(E4565)="","Unknown",IFERROR(LEFT(TRIM(E4565),FIND(",",TRIM(E4565))-1),TRIM(E4565)))</f>
        <v>South Korea</v>
      </c>
      <c r="M4565" s="7" t="str">
        <f aca="false">IFERROR(LEFT(J4565,FIND(",",J4565)-1),J4565)</f>
        <v>International TV Shows</v>
      </c>
      <c r="N4565" s="7" t="str">
        <f aca="false">IF(B4565="Movie",IFERROR(VALUE(LEFT(I4565,FIND(" ",I4565)-1)),""),"")</f>
        <v/>
      </c>
      <c r="O4565" s="7" t="n">
        <f aca="false">IF(B4565="TV Show",IFERROR(VALUE(LEFT(I4565,FIND(" ",I4565)-1)),""),"")</f>
        <v>1</v>
      </c>
      <c r="P4565" s="7" t="n">
        <f aca="false">IF(K4565="","",K4565-G4565)</f>
        <v>4</v>
      </c>
    </row>
    <row r="4566" customFormat="false" ht="15" hidden="false" customHeight="false" outlineLevel="0" collapsed="false">
      <c r="A4566" s="7" t="n">
        <v>80087348</v>
      </c>
      <c r="B4566" s="7" t="s">
        <v>78</v>
      </c>
      <c r="C4566" s="7" t="s">
        <v>9320</v>
      </c>
      <c r="D4566" s="7" t="s">
        <v>9321</v>
      </c>
      <c r="E4566" s="7" t="s">
        <v>259</v>
      </c>
      <c r="F4566" s="7" t="s">
        <v>9305</v>
      </c>
      <c r="G4566" s="7" t="n">
        <v>2014</v>
      </c>
      <c r="H4566" s="7" t="s">
        <v>50</v>
      </c>
      <c r="I4566" s="7" t="s">
        <v>82</v>
      </c>
      <c r="J4566" s="7" t="s">
        <v>314</v>
      </c>
      <c r="K4566" s="7" t="n">
        <f aca="false">IFERROR(VALUE(RIGHT(TRIM(F4566),4)),"")</f>
        <v>2016</v>
      </c>
      <c r="L4566" s="7" t="str">
        <f aca="false">IF(TRIM(E4566)="","Unknown",IFERROR(LEFT(TRIM(E4566),FIND(",",TRIM(E4566))-1),TRIM(E4566)))</f>
        <v>Pakistan</v>
      </c>
      <c r="M4566" s="7" t="str">
        <f aca="false">IFERROR(LEFT(J4566,FIND(",",J4566)-1),J4566)</f>
        <v>International TV Shows</v>
      </c>
      <c r="N4566" s="7" t="str">
        <f aca="false">IF(B4566="Movie",IFERROR(VALUE(LEFT(I4566,FIND(" ",I4566)-1)),""),"")</f>
        <v/>
      </c>
      <c r="O4566" s="7" t="n">
        <f aca="false">IF(B4566="TV Show",IFERROR(VALUE(LEFT(I4566,FIND(" ",I4566)-1)),""),"")</f>
        <v>1</v>
      </c>
      <c r="P4566" s="7" t="n">
        <f aca="false">IF(K4566="","",K4566-G4566)</f>
        <v>2</v>
      </c>
    </row>
    <row r="4567" customFormat="false" ht="15" hidden="false" customHeight="false" outlineLevel="0" collapsed="false">
      <c r="A4567" s="7" t="n">
        <v>80098810</v>
      </c>
      <c r="B4567" s="7" t="s">
        <v>68</v>
      </c>
      <c r="C4567" s="7" t="s">
        <v>9322</v>
      </c>
      <c r="D4567" s="7" t="s">
        <v>9323</v>
      </c>
      <c r="E4567" s="7" t="s">
        <v>9324</v>
      </c>
      <c r="F4567" s="7" t="s">
        <v>9305</v>
      </c>
      <c r="G4567" s="7" t="n">
        <v>2016</v>
      </c>
      <c r="H4567" s="7" t="s">
        <v>50</v>
      </c>
      <c r="I4567" s="7" t="s">
        <v>264</v>
      </c>
      <c r="J4567" s="7" t="s">
        <v>188</v>
      </c>
      <c r="K4567" s="7" t="n">
        <f aca="false">IFERROR(VALUE(RIGHT(TRIM(F4567),4)),"")</f>
        <v>2016</v>
      </c>
      <c r="L4567" s="7" t="str">
        <f aca="false">IF(TRIM(E4567)="","Unknown",IFERROR(LEFT(TRIM(E4567),FIND(",",TRIM(E4567))-1),TRIM(E4567)))</f>
        <v>Israel</v>
      </c>
      <c r="M4567" s="7" t="str">
        <f aca="false">IFERROR(LEFT(J4567,FIND(",",J4567)-1),J4567)</f>
        <v>Dramas</v>
      </c>
      <c r="N4567" s="7" t="n">
        <f aca="false">IF(B4567="Movie",IFERROR(VALUE(LEFT(I4567,FIND(" ",I4567)-1)),""),"")</f>
        <v>88</v>
      </c>
      <c r="O4567" s="7" t="str">
        <f aca="false">IF(B4567="TV Show",IFERROR(VALUE(LEFT(I4567,FIND(" ",I4567)-1)),""),"")</f>
        <v/>
      </c>
      <c r="P4567" s="7" t="n">
        <f aca="false">IF(K4567="","",K4567-G4567)</f>
        <v>0</v>
      </c>
    </row>
    <row r="4568" customFormat="false" ht="15" hidden="false" customHeight="false" outlineLevel="0" collapsed="false">
      <c r="A4568" s="7" t="n">
        <v>80087078</v>
      </c>
      <c r="B4568" s="7" t="s">
        <v>78</v>
      </c>
      <c r="C4568" s="7" t="s">
        <v>9325</v>
      </c>
      <c r="E4568" s="7" t="s">
        <v>259</v>
      </c>
      <c r="F4568" s="7" t="s">
        <v>9305</v>
      </c>
      <c r="G4568" s="7" t="n">
        <v>2012</v>
      </c>
      <c r="H4568" s="7" t="s">
        <v>50</v>
      </c>
      <c r="I4568" s="7" t="s">
        <v>82</v>
      </c>
      <c r="J4568" s="7" t="s">
        <v>314</v>
      </c>
      <c r="K4568" s="7" t="n">
        <f aca="false">IFERROR(VALUE(RIGHT(TRIM(F4568),4)),"")</f>
        <v>2016</v>
      </c>
      <c r="L4568" s="7" t="str">
        <f aca="false">IF(TRIM(E4568)="","Unknown",IFERROR(LEFT(TRIM(E4568),FIND(",",TRIM(E4568))-1),TRIM(E4568)))</f>
        <v>Pakistan</v>
      </c>
      <c r="M4568" s="7" t="str">
        <f aca="false">IFERROR(LEFT(J4568,FIND(",",J4568)-1),J4568)</f>
        <v>International TV Shows</v>
      </c>
      <c r="N4568" s="7" t="str">
        <f aca="false">IF(B4568="Movie",IFERROR(VALUE(LEFT(I4568,FIND(" ",I4568)-1)),""),"")</f>
        <v/>
      </c>
      <c r="O4568" s="7" t="n">
        <f aca="false">IF(B4568="TV Show",IFERROR(VALUE(LEFT(I4568,FIND(" ",I4568)-1)),""),"")</f>
        <v>1</v>
      </c>
      <c r="P4568" s="7" t="n">
        <f aca="false">IF(K4568="","",K4568-G4568)</f>
        <v>4</v>
      </c>
    </row>
    <row r="4569" customFormat="false" ht="15" hidden="false" customHeight="false" outlineLevel="0" collapsed="false">
      <c r="A4569" s="7" t="n">
        <v>80093812</v>
      </c>
      <c r="B4569" s="7" t="s">
        <v>68</v>
      </c>
      <c r="C4569" s="7" t="s">
        <v>7277</v>
      </c>
      <c r="D4569" s="7" t="s">
        <v>9326</v>
      </c>
      <c r="E4569" s="7" t="s">
        <v>9327</v>
      </c>
      <c r="F4569" s="7" t="s">
        <v>9305</v>
      </c>
      <c r="G4569" s="7" t="n">
        <v>2015</v>
      </c>
      <c r="H4569" s="7" t="s">
        <v>53</v>
      </c>
      <c r="I4569" s="7" t="s">
        <v>272</v>
      </c>
      <c r="J4569" s="7" t="s">
        <v>198</v>
      </c>
      <c r="K4569" s="7" t="n">
        <f aca="false">IFERROR(VALUE(RIGHT(TRIM(F4569),4)),"")</f>
        <v>2016</v>
      </c>
      <c r="L4569" s="7" t="str">
        <f aca="false">IF(TRIM(E4569)="","Unknown",IFERROR(LEFT(TRIM(E4569),FIND(",",TRIM(E4569))-1),TRIM(E4569)))</f>
        <v>Brazil</v>
      </c>
      <c r="M4569" s="7" t="str">
        <f aca="false">IFERROR(LEFT(J4569,FIND(",",J4569)-1),J4569)</f>
        <v>Comedies</v>
      </c>
      <c r="N4569" s="7" t="n">
        <f aca="false">IF(B4569="Movie",IFERROR(VALUE(LEFT(I4569,FIND(" ",I4569)-1)),""),"")</f>
        <v>93</v>
      </c>
      <c r="O4569" s="7" t="str">
        <f aca="false">IF(B4569="TV Show",IFERROR(VALUE(LEFT(I4569,FIND(" ",I4569)-1)),""),"")</f>
        <v/>
      </c>
      <c r="P4569" s="7" t="n">
        <f aca="false">IF(K4569="","",K4569-G4569)</f>
        <v>1</v>
      </c>
    </row>
    <row r="4570" customFormat="false" ht="15" hidden="false" customHeight="false" outlineLevel="0" collapsed="false">
      <c r="A4570" s="7" t="n">
        <v>80085567</v>
      </c>
      <c r="B4570" s="7" t="s">
        <v>68</v>
      </c>
      <c r="C4570" s="7" t="s">
        <v>9328</v>
      </c>
      <c r="D4570" s="7" t="s">
        <v>9329</v>
      </c>
      <c r="E4570" s="7" t="s">
        <v>1790</v>
      </c>
      <c r="F4570" s="7" t="s">
        <v>9330</v>
      </c>
      <c r="G4570" s="7" t="n">
        <v>2015</v>
      </c>
      <c r="H4570" s="7" t="s">
        <v>48</v>
      </c>
      <c r="I4570" s="7" t="s">
        <v>254</v>
      </c>
      <c r="J4570" s="7" t="s">
        <v>37</v>
      </c>
      <c r="K4570" s="7" t="n">
        <f aca="false">IFERROR(VALUE(RIGHT(TRIM(F4570),4)),"")</f>
        <v>2015</v>
      </c>
      <c r="L4570" s="7" t="str">
        <f aca="false">IF(TRIM(E4570)="","Unknown",IFERROR(LEFT(TRIM(E4570),FIND(",",TRIM(E4570))-1),TRIM(E4570)))</f>
        <v>New Zealand</v>
      </c>
      <c r="M4570" s="7" t="str">
        <f aca="false">IFERROR(LEFT(J4570,FIND(",",J4570)-1),J4570)</f>
        <v>Dramas</v>
      </c>
      <c r="N4570" s="7" t="n">
        <f aca="false">IF(B4570="Movie",IFERROR(VALUE(LEFT(I4570,FIND(" ",I4570)-1)),""),"")</f>
        <v>70</v>
      </c>
      <c r="O4570" s="7" t="str">
        <f aca="false">IF(B4570="TV Show",IFERROR(VALUE(LEFT(I4570,FIND(" ",I4570)-1)),""),"")</f>
        <v/>
      </c>
      <c r="P4570" s="7" t="n">
        <f aca="false">IF(K4570="","",K4570-G4570)</f>
        <v>0</v>
      </c>
    </row>
    <row r="4571" customFormat="false" ht="15" hidden="false" customHeight="false" outlineLevel="0" collapsed="false">
      <c r="A4571" s="7" t="n">
        <v>80092409</v>
      </c>
      <c r="B4571" s="7" t="s">
        <v>68</v>
      </c>
      <c r="C4571" s="7" t="s">
        <v>9331</v>
      </c>
      <c r="D4571" s="7" t="s">
        <v>9332</v>
      </c>
      <c r="E4571" s="7" t="s">
        <v>4776</v>
      </c>
      <c r="F4571" s="7" t="s">
        <v>9330</v>
      </c>
      <c r="G4571" s="7" t="n">
        <v>2015</v>
      </c>
      <c r="H4571" s="7" t="s">
        <v>53</v>
      </c>
      <c r="I4571" s="7" t="s">
        <v>162</v>
      </c>
      <c r="J4571" s="7" t="s">
        <v>699</v>
      </c>
      <c r="K4571" s="7" t="n">
        <f aca="false">IFERROR(VALUE(RIGHT(TRIM(F4571),4)),"")</f>
        <v>2015</v>
      </c>
      <c r="L4571" s="7" t="str">
        <f aca="false">IF(TRIM(E4571)="","Unknown",IFERROR(LEFT(TRIM(E4571),FIND(",",TRIM(E4571))-1),TRIM(E4571)))</f>
        <v>Belgium</v>
      </c>
      <c r="M4571" s="7" t="str">
        <f aca="false">IFERROR(LEFT(J4571,FIND(",",J4571)-1),J4571)</f>
        <v>Documentaries</v>
      </c>
      <c r="N4571" s="7" t="n">
        <f aca="false">IF(B4571="Movie",IFERROR(VALUE(LEFT(I4571,FIND(" ",I4571)-1)),""),"")</f>
        <v>77</v>
      </c>
      <c r="O4571" s="7" t="str">
        <f aca="false">IF(B4571="TV Show",IFERROR(VALUE(LEFT(I4571,FIND(" ",I4571)-1)),""),"")</f>
        <v/>
      </c>
      <c r="P4571" s="7" t="n">
        <f aca="false">IF(K4571="","",K4571-G4571)</f>
        <v>0</v>
      </c>
    </row>
    <row r="4572" customFormat="false" ht="15" hidden="false" customHeight="false" outlineLevel="0" collapsed="false">
      <c r="A4572" s="7" t="n">
        <v>81042804</v>
      </c>
      <c r="B4572" s="7" t="s">
        <v>78</v>
      </c>
      <c r="C4572" s="7" t="s">
        <v>9333</v>
      </c>
      <c r="E4572" s="7" t="s">
        <v>32</v>
      </c>
      <c r="F4572" s="7" t="s">
        <v>9334</v>
      </c>
      <c r="G4572" s="7" t="n">
        <v>2018</v>
      </c>
      <c r="H4572" s="7" t="s">
        <v>49</v>
      </c>
      <c r="I4572" s="7" t="s">
        <v>82</v>
      </c>
      <c r="J4572" s="7" t="s">
        <v>637</v>
      </c>
      <c r="K4572" s="7" t="n">
        <f aca="false">IFERROR(VALUE(RIGHT(TRIM(F4572),4)),"")</f>
        <v>2018</v>
      </c>
      <c r="L4572" s="7" t="str">
        <f aca="false">IF(TRIM(E4572)="","Unknown",IFERROR(LEFT(TRIM(E4572),FIND(",",TRIM(E4572))-1),TRIM(E4572)))</f>
        <v>South Korea</v>
      </c>
      <c r="M4572" s="7" t="str">
        <f aca="false">IFERROR(LEFT(J4572,FIND(",",J4572)-1),J4572)</f>
        <v>International TV Shows</v>
      </c>
      <c r="N4572" s="7" t="str">
        <f aca="false">IF(B4572="Movie",IFERROR(VALUE(LEFT(I4572,FIND(" ",I4572)-1)),""),"")</f>
        <v/>
      </c>
      <c r="O4572" s="7" t="n">
        <f aca="false">IF(B4572="TV Show",IFERROR(VALUE(LEFT(I4572,FIND(" ",I4572)-1)),""),"")</f>
        <v>1</v>
      </c>
      <c r="P4572" s="7" t="n">
        <f aca="false">IF(K4572="","",K4572-G4572)</f>
        <v>0</v>
      </c>
    </row>
    <row r="4573" customFormat="false" ht="15" hidden="false" customHeight="false" outlineLevel="0" collapsed="false">
      <c r="A4573" s="7" t="n">
        <v>80240817</v>
      </c>
      <c r="B4573" s="7" t="s">
        <v>78</v>
      </c>
      <c r="C4573" s="7" t="s">
        <v>9335</v>
      </c>
      <c r="F4573" s="7" t="s">
        <v>9334</v>
      </c>
      <c r="G4573" s="7" t="n">
        <v>2018</v>
      </c>
      <c r="H4573" s="7" t="s">
        <v>48</v>
      </c>
      <c r="I4573" s="7" t="s">
        <v>82</v>
      </c>
      <c r="J4573" s="7" t="s">
        <v>668</v>
      </c>
      <c r="K4573" s="7" t="n">
        <f aca="false">IFERROR(VALUE(RIGHT(TRIM(F4573),4)),"")</f>
        <v>2018</v>
      </c>
      <c r="L4573" s="7" t="str">
        <f aca="false">IF(TRIM(E4573)="","Unknown",IFERROR(LEFT(TRIM(E4573),FIND(",",TRIM(E4573))-1),TRIM(E4573)))</f>
        <v>Unknown</v>
      </c>
      <c r="M4573" s="7" t="str">
        <f aca="false">IFERROR(LEFT(J4573,FIND(",",J4573)-1),J4573)</f>
        <v>British TV Shows</v>
      </c>
      <c r="N4573" s="7" t="str">
        <f aca="false">IF(B4573="Movie",IFERROR(VALUE(LEFT(I4573,FIND(" ",I4573)-1)),""),"")</f>
        <v/>
      </c>
      <c r="O4573" s="7" t="n">
        <f aca="false">IF(B4573="TV Show",IFERROR(VALUE(LEFT(I4573,FIND(" ",I4573)-1)),""),"")</f>
        <v>1</v>
      </c>
      <c r="P4573" s="7" t="n">
        <f aca="false">IF(K4573="","",K4573-G4573)</f>
        <v>0</v>
      </c>
    </row>
    <row r="4574" customFormat="false" ht="15" hidden="false" customHeight="false" outlineLevel="0" collapsed="false">
      <c r="A4574" s="7" t="n">
        <v>80240715</v>
      </c>
      <c r="B4574" s="7" t="s">
        <v>68</v>
      </c>
      <c r="C4574" s="7" t="s">
        <v>9336</v>
      </c>
      <c r="D4574" s="7" t="s">
        <v>999</v>
      </c>
      <c r="E4574" s="7" t="s">
        <v>1335</v>
      </c>
      <c r="F4574" s="7" t="s">
        <v>9334</v>
      </c>
      <c r="G4574" s="7" t="n">
        <v>2018</v>
      </c>
      <c r="H4574" s="7" t="s">
        <v>51</v>
      </c>
      <c r="I4574" s="7" t="s">
        <v>130</v>
      </c>
      <c r="J4574" s="7" t="s">
        <v>188</v>
      </c>
      <c r="K4574" s="7" t="n">
        <f aca="false">IFERROR(VALUE(RIGHT(TRIM(F4574),4)),"")</f>
        <v>2018</v>
      </c>
      <c r="L4574" s="7" t="str">
        <f aca="false">IF(TRIM(E4574)="","Unknown",IFERROR(LEFT(TRIM(E4574),FIND(",",TRIM(E4574))-1),TRIM(E4574)))</f>
        <v>Mexico</v>
      </c>
      <c r="M4574" s="7" t="str">
        <f aca="false">IFERROR(LEFT(J4574,FIND(",",J4574)-1),J4574)</f>
        <v>Dramas</v>
      </c>
      <c r="N4574" s="7" t="n">
        <f aca="false">IF(B4574="Movie",IFERROR(VALUE(LEFT(I4574,FIND(" ",I4574)-1)),""),"")</f>
        <v>135</v>
      </c>
      <c r="O4574" s="7" t="str">
        <f aca="false">IF(B4574="TV Show",IFERROR(VALUE(LEFT(I4574,FIND(" ",I4574)-1)),""),"")</f>
        <v/>
      </c>
      <c r="P4574" s="7" t="n">
        <f aca="false">IF(K4574="","",K4574-G4574)</f>
        <v>0</v>
      </c>
    </row>
    <row r="4575" customFormat="false" ht="15" hidden="false" customHeight="false" outlineLevel="0" collapsed="false">
      <c r="A4575" s="7" t="n">
        <v>80222301</v>
      </c>
      <c r="B4575" s="7" t="s">
        <v>68</v>
      </c>
      <c r="C4575" s="7" t="s">
        <v>9337</v>
      </c>
      <c r="D4575" s="7" t="s">
        <v>9338</v>
      </c>
      <c r="E4575" s="7" t="s">
        <v>7527</v>
      </c>
      <c r="F4575" s="7" t="s">
        <v>9334</v>
      </c>
      <c r="G4575" s="7" t="n">
        <v>2018</v>
      </c>
      <c r="H4575" s="7" t="s">
        <v>52</v>
      </c>
      <c r="I4575" s="7" t="s">
        <v>790</v>
      </c>
      <c r="J4575" s="7" t="s">
        <v>9339</v>
      </c>
      <c r="K4575" s="7" t="n">
        <f aca="false">IFERROR(VALUE(RIGHT(TRIM(F4575),4)),"")</f>
        <v>2018</v>
      </c>
      <c r="L4575" s="7" t="str">
        <f aca="false">IF(TRIM(E4575)="","Unknown",IFERROR(LEFT(TRIM(E4575),FIND(",",TRIM(E4575))-1),TRIM(E4575)))</f>
        <v>South Africa</v>
      </c>
      <c r="M4575" s="7" t="str">
        <f aca="false">IFERROR(LEFT(J4575,FIND(",",J4575)-1),J4575)</f>
        <v>Action &amp; Adventure</v>
      </c>
      <c r="N4575" s="7" t="n">
        <f aca="false">IF(B4575="Movie",IFERROR(VALUE(LEFT(I4575,FIND(" ",I4575)-1)),""),"")</f>
        <v>109</v>
      </c>
      <c r="O4575" s="7" t="str">
        <f aca="false">IF(B4575="TV Show",IFERROR(VALUE(LEFT(I4575,FIND(" ",I4575)-1)),""),"")</f>
        <v/>
      </c>
      <c r="P4575" s="7" t="n">
        <f aca="false">IF(K4575="","",K4575-G4575)</f>
        <v>0</v>
      </c>
    </row>
    <row r="4576" customFormat="false" ht="15" hidden="false" customHeight="false" outlineLevel="0" collapsed="false">
      <c r="A4576" s="7" t="n">
        <v>80207046</v>
      </c>
      <c r="B4576" s="7" t="s">
        <v>78</v>
      </c>
      <c r="C4576" s="7" t="s">
        <v>9340</v>
      </c>
      <c r="E4576" s="7" t="s">
        <v>28</v>
      </c>
      <c r="F4576" s="7" t="s">
        <v>9334</v>
      </c>
      <c r="G4576" s="7" t="n">
        <v>2018</v>
      </c>
      <c r="H4576" s="7" t="s">
        <v>48</v>
      </c>
      <c r="I4576" s="7" t="s">
        <v>82</v>
      </c>
      <c r="J4576" s="7" t="s">
        <v>306</v>
      </c>
      <c r="K4576" s="7" t="n">
        <f aca="false">IFERROR(VALUE(RIGHT(TRIM(F4576),4)),"")</f>
        <v>2018</v>
      </c>
      <c r="L4576" s="7" t="str">
        <f aca="false">IF(TRIM(E4576)="","Unknown",IFERROR(LEFT(TRIM(E4576),FIND(",",TRIM(E4576))-1),TRIM(E4576)))</f>
        <v>United Kingdom</v>
      </c>
      <c r="M4576" s="7" t="str">
        <f aca="false">IFERROR(LEFT(J4576,FIND(",",J4576)-1),J4576)</f>
        <v>British TV Shows</v>
      </c>
      <c r="N4576" s="7" t="str">
        <f aca="false">IF(B4576="Movie",IFERROR(VALUE(LEFT(I4576,FIND(" ",I4576)-1)),""),"")</f>
        <v/>
      </c>
      <c r="O4576" s="7" t="n">
        <f aca="false">IF(B4576="TV Show",IFERROR(VALUE(LEFT(I4576,FIND(" ",I4576)-1)),""),"")</f>
        <v>1</v>
      </c>
      <c r="P4576" s="7" t="n">
        <f aca="false">IF(K4576="","",K4576-G4576)</f>
        <v>0</v>
      </c>
    </row>
    <row r="4577" customFormat="false" ht="15" hidden="false" customHeight="false" outlineLevel="0" collapsed="false">
      <c r="A4577" s="7" t="n">
        <v>80216124</v>
      </c>
      <c r="B4577" s="7" t="s">
        <v>78</v>
      </c>
      <c r="C4577" s="7" t="s">
        <v>9341</v>
      </c>
      <c r="E4577" s="7" t="s">
        <v>26</v>
      </c>
      <c r="F4577" s="7" t="s">
        <v>9334</v>
      </c>
      <c r="G4577" s="7" t="n">
        <v>2018</v>
      </c>
      <c r="H4577" s="7" t="s">
        <v>48</v>
      </c>
      <c r="I4577" s="7" t="s">
        <v>82</v>
      </c>
      <c r="J4577" s="7" t="s">
        <v>289</v>
      </c>
      <c r="K4577" s="7" t="n">
        <f aca="false">IFERROR(VALUE(RIGHT(TRIM(F4577),4)),"")</f>
        <v>2018</v>
      </c>
      <c r="L4577" s="7" t="str">
        <f aca="false">IF(TRIM(E4577)="","Unknown",IFERROR(LEFT(TRIM(E4577),FIND(",",TRIM(E4577))-1),TRIM(E4577)))</f>
        <v>United States</v>
      </c>
      <c r="M4577" s="7" t="str">
        <f aca="false">IFERROR(LEFT(J4577,FIND(",",J4577)-1),J4577)</f>
        <v>TV Comedies</v>
      </c>
      <c r="N4577" s="7" t="str">
        <f aca="false">IF(B4577="Movie",IFERROR(VALUE(LEFT(I4577,FIND(" ",I4577)-1)),""),"")</f>
        <v/>
      </c>
      <c r="O4577" s="7" t="n">
        <f aca="false">IF(B4577="TV Show",IFERROR(VALUE(LEFT(I4577,FIND(" ",I4577)-1)),""),"")</f>
        <v>1</v>
      </c>
      <c r="P4577" s="7" t="n">
        <f aca="false">IF(K4577="","",K4577-G4577)</f>
        <v>0</v>
      </c>
    </row>
    <row r="4578" customFormat="false" ht="15" hidden="false" customHeight="false" outlineLevel="0" collapsed="false">
      <c r="A4578" s="7" t="n">
        <v>80187030</v>
      </c>
      <c r="B4578" s="7" t="s">
        <v>78</v>
      </c>
      <c r="C4578" s="7" t="s">
        <v>9342</v>
      </c>
      <c r="E4578" s="7" t="s">
        <v>26</v>
      </c>
      <c r="F4578" s="7" t="s">
        <v>9334</v>
      </c>
      <c r="G4578" s="7" t="n">
        <v>2018</v>
      </c>
      <c r="H4578" s="7" t="s">
        <v>48</v>
      </c>
      <c r="I4578" s="7" t="s">
        <v>82</v>
      </c>
      <c r="J4578" s="7" t="s">
        <v>696</v>
      </c>
      <c r="K4578" s="7" t="n">
        <f aca="false">IFERROR(VALUE(RIGHT(TRIM(F4578),4)),"")</f>
        <v>2018</v>
      </c>
      <c r="L4578" s="7" t="str">
        <f aca="false">IF(TRIM(E4578)="","Unknown",IFERROR(LEFT(TRIM(E4578),FIND(",",TRIM(E4578))-1),TRIM(E4578)))</f>
        <v>United States</v>
      </c>
      <c r="M4578" s="7" t="str">
        <f aca="false">IFERROR(LEFT(J4578,FIND(",",J4578)-1),J4578)</f>
        <v>Crime TV Shows</v>
      </c>
      <c r="N4578" s="7" t="str">
        <f aca="false">IF(B4578="Movie",IFERROR(VALUE(LEFT(I4578,FIND(" ",I4578)-1)),""),"")</f>
        <v/>
      </c>
      <c r="O4578" s="7" t="n">
        <f aca="false">IF(B4578="TV Show",IFERROR(VALUE(LEFT(I4578,FIND(" ",I4578)-1)),""),"")</f>
        <v>1</v>
      </c>
      <c r="P4578" s="7" t="n">
        <f aca="false">IF(K4578="","",K4578-G4578)</f>
        <v>0</v>
      </c>
    </row>
    <row r="4579" customFormat="false" ht="15" hidden="false" customHeight="false" outlineLevel="0" collapsed="false">
      <c r="A4579" s="7" t="n">
        <v>80191239</v>
      </c>
      <c r="B4579" s="7" t="s">
        <v>78</v>
      </c>
      <c r="C4579" s="7" t="s">
        <v>9343</v>
      </c>
      <c r="E4579" s="7" t="s">
        <v>35</v>
      </c>
      <c r="F4579" s="7" t="s">
        <v>9334</v>
      </c>
      <c r="G4579" s="7" t="n">
        <v>2018</v>
      </c>
      <c r="H4579" s="7" t="s">
        <v>48</v>
      </c>
      <c r="I4579" s="7" t="s">
        <v>82</v>
      </c>
      <c r="J4579" s="7" t="s">
        <v>402</v>
      </c>
      <c r="K4579" s="7" t="n">
        <f aca="false">IFERROR(VALUE(RIGHT(TRIM(F4579),4)),"")</f>
        <v>2018</v>
      </c>
      <c r="L4579" s="7" t="str">
        <f aca="false">IF(TRIM(E4579)="","Unknown",IFERROR(LEFT(TRIM(E4579),FIND(",",TRIM(E4579))-1),TRIM(E4579)))</f>
        <v>Australia</v>
      </c>
      <c r="M4579" s="7" t="str">
        <f aca="false">IFERROR(LEFT(J4579,FIND(",",J4579)-1),J4579)</f>
        <v>Crime TV Shows</v>
      </c>
      <c r="N4579" s="7" t="str">
        <f aca="false">IF(B4579="Movie",IFERROR(VALUE(LEFT(I4579,FIND(" ",I4579)-1)),""),"")</f>
        <v/>
      </c>
      <c r="O4579" s="7" t="n">
        <f aca="false">IF(B4579="TV Show",IFERROR(VALUE(LEFT(I4579,FIND(" ",I4579)-1)),""),"")</f>
        <v>1</v>
      </c>
      <c r="P4579" s="7" t="n">
        <f aca="false">IF(K4579="","",K4579-G4579)</f>
        <v>0</v>
      </c>
    </row>
    <row r="4580" customFormat="false" ht="15" hidden="false" customHeight="false" outlineLevel="0" collapsed="false">
      <c r="A4580" s="7" t="n">
        <v>80104182</v>
      </c>
      <c r="B4580" s="7" t="s">
        <v>68</v>
      </c>
      <c r="C4580" s="7" t="s">
        <v>9344</v>
      </c>
      <c r="D4580" s="7" t="s">
        <v>9345</v>
      </c>
      <c r="E4580" s="7" t="s">
        <v>26</v>
      </c>
      <c r="F4580" s="7" t="s">
        <v>9346</v>
      </c>
      <c r="G4580" s="7" t="n">
        <v>2016</v>
      </c>
      <c r="H4580" s="7" t="s">
        <v>48</v>
      </c>
      <c r="I4580" s="7" t="s">
        <v>467</v>
      </c>
      <c r="J4580" s="7" t="s">
        <v>1085</v>
      </c>
      <c r="K4580" s="7" t="n">
        <f aca="false">IFERROR(VALUE(RIGHT(TRIM(F4580),4)),"")</f>
        <v>2016</v>
      </c>
      <c r="L4580" s="7" t="str">
        <f aca="false">IF(TRIM(E4580)="","Unknown",IFERROR(LEFT(TRIM(E4580),FIND(",",TRIM(E4580))-1),TRIM(E4580)))</f>
        <v>United States</v>
      </c>
      <c r="M4580" s="7" t="str">
        <f aca="false">IFERROR(LEFT(J4580,FIND(",",J4580)-1),J4580)</f>
        <v>Documentaries</v>
      </c>
      <c r="N4580" s="7" t="n">
        <f aca="false">IF(B4580="Movie",IFERROR(VALUE(LEFT(I4580,FIND(" ",I4580)-1)),""),"")</f>
        <v>81</v>
      </c>
      <c r="O4580" s="7" t="str">
        <f aca="false">IF(B4580="TV Show",IFERROR(VALUE(LEFT(I4580,FIND(" ",I4580)-1)),""),"")</f>
        <v/>
      </c>
      <c r="P4580" s="7" t="n">
        <f aca="false">IF(K4580="","",K4580-G4580)</f>
        <v>0</v>
      </c>
    </row>
    <row r="4581" customFormat="false" ht="15" hidden="false" customHeight="false" outlineLevel="0" collapsed="false">
      <c r="A4581" s="7" t="n">
        <v>81001887</v>
      </c>
      <c r="B4581" s="7" t="s">
        <v>68</v>
      </c>
      <c r="C4581" s="7" t="s">
        <v>9347</v>
      </c>
      <c r="D4581" s="7" t="s">
        <v>1987</v>
      </c>
      <c r="E4581" s="7" t="s">
        <v>26</v>
      </c>
      <c r="F4581" s="7" t="s">
        <v>9348</v>
      </c>
      <c r="G4581" s="7" t="n">
        <v>2019</v>
      </c>
      <c r="H4581" s="7" t="s">
        <v>51</v>
      </c>
      <c r="I4581" s="7" t="s">
        <v>2053</v>
      </c>
      <c r="J4581" s="7" t="s">
        <v>370</v>
      </c>
      <c r="K4581" s="7" t="n">
        <f aca="false">IFERROR(VALUE(RIGHT(TRIM(F4581),4)),"")</f>
        <v>2019</v>
      </c>
      <c r="L4581" s="7" t="str">
        <f aca="false">IF(TRIM(E4581)="","Unknown",IFERROR(LEFT(TRIM(E4581),FIND(",",TRIM(E4581))-1),TRIM(E4581)))</f>
        <v>United States</v>
      </c>
      <c r="M4581" s="7" t="str">
        <f aca="false">IFERROR(LEFT(J4581,FIND(",",J4581)-1),J4581)</f>
        <v>Action &amp; Adventure</v>
      </c>
      <c r="N4581" s="7" t="n">
        <f aca="false">IF(B4581="Movie",IFERROR(VALUE(LEFT(I4581,FIND(" ",I4581)-1)),""),"")</f>
        <v>129</v>
      </c>
      <c r="O4581" s="7" t="str">
        <f aca="false">IF(B4581="TV Show",IFERROR(VALUE(LEFT(I4581,FIND(" ",I4581)-1)),""),"")</f>
        <v/>
      </c>
      <c r="P4581" s="7" t="n">
        <f aca="false">IF(K4581="","",K4581-G4581)</f>
        <v>0</v>
      </c>
    </row>
    <row r="4582" customFormat="false" ht="15" hidden="false" customHeight="false" outlineLevel="0" collapsed="false">
      <c r="A4582" s="7" t="n">
        <v>81172747</v>
      </c>
      <c r="B4582" s="7" t="s">
        <v>68</v>
      </c>
      <c r="C4582" s="7" t="s">
        <v>9349</v>
      </c>
      <c r="D4582" s="7" t="s">
        <v>9350</v>
      </c>
      <c r="E4582" s="7" t="s">
        <v>527</v>
      </c>
      <c r="F4582" s="7" t="s">
        <v>9348</v>
      </c>
      <c r="G4582" s="7" t="n">
        <v>2016</v>
      </c>
      <c r="H4582" s="7" t="s">
        <v>48</v>
      </c>
      <c r="I4582" s="7" t="s">
        <v>87</v>
      </c>
      <c r="J4582" s="7" t="s">
        <v>202</v>
      </c>
      <c r="K4582" s="7" t="n">
        <f aca="false">IFERROR(VALUE(RIGHT(TRIM(F4582),4)),"")</f>
        <v>2019</v>
      </c>
      <c r="L4582" s="7" t="str">
        <f aca="false">IF(TRIM(E4582)="","Unknown",IFERROR(LEFT(TRIM(E4582),FIND(",",TRIM(E4582))-1),TRIM(E4582)))</f>
        <v>Nigeria</v>
      </c>
      <c r="M4582" s="7" t="str">
        <f aca="false">IFERROR(LEFT(J4582,FIND(",",J4582)-1),J4582)</f>
        <v>Comedies</v>
      </c>
      <c r="N4582" s="7" t="n">
        <f aca="false">IF(B4582="Movie",IFERROR(VALUE(LEFT(I4582,FIND(" ",I4582)-1)),""),"")</f>
        <v>99</v>
      </c>
      <c r="O4582" s="7" t="str">
        <f aca="false">IF(B4582="TV Show",IFERROR(VALUE(LEFT(I4582,FIND(" ",I4582)-1)),""),"")</f>
        <v/>
      </c>
      <c r="P4582" s="7" t="n">
        <f aca="false">IF(K4582="","",K4582-G4582)</f>
        <v>3</v>
      </c>
    </row>
    <row r="4583" customFormat="false" ht="15" hidden="false" customHeight="false" outlineLevel="0" collapsed="false">
      <c r="A4583" s="7" t="n">
        <v>81172757</v>
      </c>
      <c r="B4583" s="7" t="s">
        <v>68</v>
      </c>
      <c r="C4583" s="7" t="s">
        <v>9351</v>
      </c>
      <c r="D4583" s="7" t="s">
        <v>9352</v>
      </c>
      <c r="E4583" s="7" t="s">
        <v>527</v>
      </c>
      <c r="F4583" s="7" t="s">
        <v>9348</v>
      </c>
      <c r="G4583" s="7" t="n">
        <v>2017</v>
      </c>
      <c r="H4583" s="7" t="s">
        <v>48</v>
      </c>
      <c r="I4583" s="7" t="s">
        <v>205</v>
      </c>
      <c r="J4583" s="7" t="s">
        <v>206</v>
      </c>
      <c r="K4583" s="7" t="n">
        <f aca="false">IFERROR(VALUE(RIGHT(TRIM(F4583),4)),"")</f>
        <v>2019</v>
      </c>
      <c r="L4583" s="7" t="str">
        <f aca="false">IF(TRIM(E4583)="","Unknown",IFERROR(LEFT(TRIM(E4583),FIND(",",TRIM(E4583))-1),TRIM(E4583)))</f>
        <v>Nigeria</v>
      </c>
      <c r="M4583" s="7" t="str">
        <f aca="false">IFERROR(LEFT(J4583,FIND(",",J4583)-1),J4583)</f>
        <v>Comedies</v>
      </c>
      <c r="N4583" s="7" t="n">
        <f aca="false">IF(B4583="Movie",IFERROR(VALUE(LEFT(I4583,FIND(" ",I4583)-1)),""),"")</f>
        <v>100</v>
      </c>
      <c r="O4583" s="7" t="str">
        <f aca="false">IF(B4583="TV Show",IFERROR(VALUE(LEFT(I4583,FIND(" ",I4583)-1)),""),"")</f>
        <v/>
      </c>
      <c r="P4583" s="7" t="n">
        <f aca="false">IF(K4583="","",K4583-G4583)</f>
        <v>2</v>
      </c>
    </row>
    <row r="4584" customFormat="false" ht="15" hidden="false" customHeight="false" outlineLevel="0" collapsed="false">
      <c r="A4584" s="7" t="n">
        <v>81172903</v>
      </c>
      <c r="B4584" s="7" t="s">
        <v>68</v>
      </c>
      <c r="C4584" s="7" t="s">
        <v>9353</v>
      </c>
      <c r="D4584" s="7" t="s">
        <v>1630</v>
      </c>
      <c r="E4584" s="7" t="s">
        <v>527</v>
      </c>
      <c r="F4584" s="7" t="s">
        <v>9348</v>
      </c>
      <c r="G4584" s="7" t="n">
        <v>2016</v>
      </c>
      <c r="H4584" s="7" t="s">
        <v>48</v>
      </c>
      <c r="I4584" s="7" t="s">
        <v>93</v>
      </c>
      <c r="J4584" s="7" t="s">
        <v>206</v>
      </c>
      <c r="K4584" s="7" t="n">
        <f aca="false">IFERROR(VALUE(RIGHT(TRIM(F4584),4)),"")</f>
        <v>2019</v>
      </c>
      <c r="L4584" s="7" t="str">
        <f aca="false">IF(TRIM(E4584)="","Unknown",IFERROR(LEFT(TRIM(E4584),FIND(",",TRIM(E4584))-1),TRIM(E4584)))</f>
        <v>Nigeria</v>
      </c>
      <c r="M4584" s="7" t="str">
        <f aca="false">IFERROR(LEFT(J4584,FIND(",",J4584)-1),J4584)</f>
        <v>Comedies</v>
      </c>
      <c r="N4584" s="7" t="n">
        <f aca="false">IF(B4584="Movie",IFERROR(VALUE(LEFT(I4584,FIND(" ",I4584)-1)),""),"")</f>
        <v>110</v>
      </c>
      <c r="O4584" s="7" t="str">
        <f aca="false">IF(B4584="TV Show",IFERROR(VALUE(LEFT(I4584,FIND(" ",I4584)-1)),""),"")</f>
        <v/>
      </c>
      <c r="P4584" s="7" t="n">
        <f aca="false">IF(K4584="","",K4584-G4584)</f>
        <v>3</v>
      </c>
    </row>
    <row r="4585" customFormat="false" ht="15" hidden="false" customHeight="false" outlineLevel="0" collapsed="false">
      <c r="A4585" s="7" t="n">
        <v>81172904</v>
      </c>
      <c r="B4585" s="7" t="s">
        <v>68</v>
      </c>
      <c r="C4585" s="7" t="s">
        <v>9354</v>
      </c>
      <c r="D4585" s="7" t="s">
        <v>9355</v>
      </c>
      <c r="F4585" s="7" t="s">
        <v>9348</v>
      </c>
      <c r="G4585" s="7" t="n">
        <v>2018</v>
      </c>
      <c r="H4585" s="7" t="s">
        <v>49</v>
      </c>
      <c r="I4585" s="7" t="s">
        <v>294</v>
      </c>
      <c r="J4585" s="7" t="s">
        <v>240</v>
      </c>
      <c r="K4585" s="7" t="n">
        <f aca="false">IFERROR(VALUE(RIGHT(TRIM(F4585),4)),"")</f>
        <v>2019</v>
      </c>
      <c r="L4585" s="7" t="str">
        <f aca="false">IF(TRIM(E4585)="","Unknown",IFERROR(LEFT(TRIM(E4585),FIND(",",TRIM(E4585))-1),TRIM(E4585)))</f>
        <v>Unknown</v>
      </c>
      <c r="M4585" s="7" t="str">
        <f aca="false">IFERROR(LEFT(J4585,FIND(",",J4585)-1),J4585)</f>
        <v>Dramas</v>
      </c>
      <c r="N4585" s="7" t="n">
        <f aca="false">IF(B4585="Movie",IFERROR(VALUE(LEFT(I4585,FIND(" ",I4585)-1)),""),"")</f>
        <v>107</v>
      </c>
      <c r="O4585" s="7" t="str">
        <f aca="false">IF(B4585="TV Show",IFERROR(VALUE(LEFT(I4585,FIND(" ",I4585)-1)),""),"")</f>
        <v/>
      </c>
      <c r="P4585" s="7" t="n">
        <f aca="false">IF(K4585="","",K4585-G4585)</f>
        <v>1</v>
      </c>
    </row>
    <row r="4586" customFormat="false" ht="15" hidden="false" customHeight="false" outlineLevel="0" collapsed="false">
      <c r="A4586" s="7" t="n">
        <v>70243446</v>
      </c>
      <c r="B4586" s="7" t="s">
        <v>68</v>
      </c>
      <c r="C4586" s="7" t="s">
        <v>9356</v>
      </c>
      <c r="D4586" s="7" t="s">
        <v>9357</v>
      </c>
      <c r="E4586" s="7" t="s">
        <v>9358</v>
      </c>
      <c r="F4586" s="7" t="s">
        <v>9348</v>
      </c>
      <c r="G4586" s="7" t="n">
        <v>2012</v>
      </c>
      <c r="H4586" s="7" t="s">
        <v>51</v>
      </c>
      <c r="I4586" s="7" t="s">
        <v>77</v>
      </c>
      <c r="J4586" s="7" t="s">
        <v>265</v>
      </c>
      <c r="K4586" s="7" t="n">
        <f aca="false">IFERROR(VALUE(RIGHT(TRIM(F4586),4)),"")</f>
        <v>2019</v>
      </c>
      <c r="L4586" s="7" t="str">
        <f aca="false">IF(TRIM(E4586)="","Unknown",IFERROR(LEFT(TRIM(E4586),FIND(",",TRIM(E4586))-1),TRIM(E4586)))</f>
        <v>Canada</v>
      </c>
      <c r="M4586" s="7" t="str">
        <f aca="false">IFERROR(LEFT(J4586,FIND(",",J4586)-1),J4586)</f>
        <v>Horror Movies</v>
      </c>
      <c r="N4586" s="7" t="n">
        <f aca="false">IF(B4586="Movie",IFERROR(VALUE(LEFT(I4586,FIND(" ",I4586)-1)),""),"")</f>
        <v>94</v>
      </c>
      <c r="O4586" s="7" t="str">
        <f aca="false">IF(B4586="TV Show",IFERROR(VALUE(LEFT(I4586,FIND(" ",I4586)-1)),""),"")</f>
        <v/>
      </c>
      <c r="P4586" s="7" t="n">
        <f aca="false">IF(K4586="","",K4586-G4586)</f>
        <v>7</v>
      </c>
    </row>
    <row r="4587" customFormat="false" ht="15" hidden="false" customHeight="false" outlineLevel="0" collapsed="false">
      <c r="A4587" s="7" t="n">
        <v>81210770</v>
      </c>
      <c r="B4587" s="7" t="s">
        <v>68</v>
      </c>
      <c r="C4587" s="7" t="s">
        <v>9359</v>
      </c>
      <c r="D4587" s="7" t="s">
        <v>9360</v>
      </c>
      <c r="E4587" s="7" t="s">
        <v>970</v>
      </c>
      <c r="F4587" s="7" t="s">
        <v>9348</v>
      </c>
      <c r="G4587" s="7" t="n">
        <v>2019</v>
      </c>
      <c r="H4587" s="7" t="s">
        <v>49</v>
      </c>
      <c r="I4587" s="7" t="s">
        <v>111</v>
      </c>
      <c r="J4587" s="7" t="s">
        <v>358</v>
      </c>
      <c r="K4587" s="7" t="n">
        <f aca="false">IFERROR(VALUE(RIGHT(TRIM(F4587),4)),"")</f>
        <v>2019</v>
      </c>
      <c r="L4587" s="7" t="str">
        <f aca="false">IF(TRIM(E4587)="","Unknown",IFERROR(LEFT(TRIM(E4587),FIND(",",TRIM(E4587))-1),TRIM(E4587)))</f>
        <v>Taiwan</v>
      </c>
      <c r="M4587" s="7" t="str">
        <f aca="false">IFERROR(LEFT(J4587,FIND(",",J4587)-1),J4587)</f>
        <v>International Movies</v>
      </c>
      <c r="N4587" s="7" t="n">
        <f aca="false">IF(B4587="Movie",IFERROR(VALUE(LEFT(I4587,FIND(" ",I4587)-1)),""),"")</f>
        <v>95</v>
      </c>
      <c r="O4587" s="7" t="str">
        <f aca="false">IF(B4587="TV Show",IFERROR(VALUE(LEFT(I4587,FIND(" ",I4587)-1)),""),"")</f>
        <v/>
      </c>
      <c r="P4587" s="7" t="n">
        <f aca="false">IF(K4587="","",K4587-G4587)</f>
        <v>0</v>
      </c>
    </row>
    <row r="4588" customFormat="false" ht="15" hidden="false" customHeight="false" outlineLevel="0" collapsed="false">
      <c r="A4588" s="7" t="n">
        <v>81172864</v>
      </c>
      <c r="B4588" s="7" t="s">
        <v>68</v>
      </c>
      <c r="C4588" s="7" t="s">
        <v>9361</v>
      </c>
      <c r="D4588" s="7" t="s">
        <v>9350</v>
      </c>
      <c r="F4588" s="7" t="s">
        <v>9348</v>
      </c>
      <c r="G4588" s="7" t="n">
        <v>2018</v>
      </c>
      <c r="H4588" s="7" t="s">
        <v>49</v>
      </c>
      <c r="I4588" s="7" t="s">
        <v>357</v>
      </c>
      <c r="J4588" s="7" t="s">
        <v>358</v>
      </c>
      <c r="K4588" s="7" t="n">
        <f aca="false">IFERROR(VALUE(RIGHT(TRIM(F4588),4)),"")</f>
        <v>2019</v>
      </c>
      <c r="L4588" s="7" t="str">
        <f aca="false">IF(TRIM(E4588)="","Unknown",IFERROR(LEFT(TRIM(E4588),FIND(",",TRIM(E4588))-1),TRIM(E4588)))</f>
        <v>Unknown</v>
      </c>
      <c r="M4588" s="7" t="str">
        <f aca="false">IFERROR(LEFT(J4588,FIND(",",J4588)-1),J4588)</f>
        <v>International Movies</v>
      </c>
      <c r="N4588" s="7" t="n">
        <f aca="false">IF(B4588="Movie",IFERROR(VALUE(LEFT(I4588,FIND(" ",I4588)-1)),""),"")</f>
        <v>89</v>
      </c>
      <c r="O4588" s="7" t="str">
        <f aca="false">IF(B4588="TV Show",IFERROR(VALUE(LEFT(I4588,FIND(" ",I4588)-1)),""),"")</f>
        <v/>
      </c>
      <c r="P4588" s="7" t="n">
        <f aca="false">IF(K4588="","",K4588-G4588)</f>
        <v>1</v>
      </c>
    </row>
    <row r="4589" customFormat="false" ht="15" hidden="false" customHeight="false" outlineLevel="0" collapsed="false">
      <c r="A4589" s="7" t="n">
        <v>80091880</v>
      </c>
      <c r="B4589" s="7" t="s">
        <v>78</v>
      </c>
      <c r="C4589" s="7" t="s">
        <v>9362</v>
      </c>
      <c r="E4589" s="7" t="s">
        <v>9363</v>
      </c>
      <c r="F4589" s="7" t="s">
        <v>9364</v>
      </c>
      <c r="G4589" s="7" t="n">
        <v>2017</v>
      </c>
      <c r="H4589" s="7" t="s">
        <v>49</v>
      </c>
      <c r="I4589" s="7" t="s">
        <v>82</v>
      </c>
      <c r="J4589" s="7" t="s">
        <v>344</v>
      </c>
      <c r="K4589" s="7" t="n">
        <f aca="false">IFERROR(VALUE(RIGHT(TRIM(F4589),4)),"")</f>
        <v>2016</v>
      </c>
      <c r="L4589" s="7" t="str">
        <f aca="false">IF(TRIM(E4589)="","Unknown",IFERROR(LEFT(TRIM(E4589),FIND(",",TRIM(E4589))-1),TRIM(E4589)))</f>
        <v>Canada</v>
      </c>
      <c r="M4589" s="7" t="str">
        <f aca="false">IFERROR(LEFT(J4589,FIND(",",J4589)-1),J4589)</f>
        <v>International TV Shows</v>
      </c>
      <c r="N4589" s="7" t="str">
        <f aca="false">IF(B4589="Movie",IFERROR(VALUE(LEFT(I4589,FIND(" ",I4589)-1)),""),"")</f>
        <v/>
      </c>
      <c r="O4589" s="7" t="n">
        <f aca="false">IF(B4589="TV Show",IFERROR(VALUE(LEFT(I4589,FIND(" ",I4589)-1)),""),"")</f>
        <v>1</v>
      </c>
      <c r="P4589" s="7" t="n">
        <f aca="false">IF(K4589="","",K4589-G4589)</f>
        <v>-1</v>
      </c>
    </row>
    <row r="4590" customFormat="false" ht="15" hidden="false" customHeight="false" outlineLevel="0" collapsed="false">
      <c r="A4590" s="7" t="n">
        <v>81060232</v>
      </c>
      <c r="B4590" s="7" t="s">
        <v>68</v>
      </c>
      <c r="C4590" s="7" t="s">
        <v>9365</v>
      </c>
      <c r="D4590" s="7" t="s">
        <v>9366</v>
      </c>
      <c r="E4590" s="7" t="s">
        <v>28</v>
      </c>
      <c r="F4590" s="7" t="s">
        <v>9367</v>
      </c>
      <c r="G4590" s="7" t="n">
        <v>2019</v>
      </c>
      <c r="H4590" s="7" t="s">
        <v>48</v>
      </c>
      <c r="I4590" s="7" t="s">
        <v>120</v>
      </c>
      <c r="J4590" s="7" t="s">
        <v>45</v>
      </c>
      <c r="K4590" s="7" t="n">
        <f aca="false">IFERROR(VALUE(RIGHT(TRIM(F4590),4)),"")</f>
        <v>2019</v>
      </c>
      <c r="L4590" s="7" t="str">
        <f aca="false">IF(TRIM(E4590)="","Unknown",IFERROR(LEFT(TRIM(E4590),FIND(",",TRIM(E4590))-1),TRIM(E4590)))</f>
        <v>United Kingdom</v>
      </c>
      <c r="M4590" s="7" t="str">
        <f aca="false">IFERROR(LEFT(J4590,FIND(",",J4590)-1),J4590)</f>
        <v>Stand-Up Comedy</v>
      </c>
      <c r="N4590" s="7" t="n">
        <f aca="false">IF(B4590="Movie",IFERROR(VALUE(LEFT(I4590,FIND(" ",I4590)-1)),""),"")</f>
        <v>65</v>
      </c>
      <c r="O4590" s="7" t="str">
        <f aca="false">IF(B4590="TV Show",IFERROR(VALUE(LEFT(I4590,FIND(" ",I4590)-1)),""),"")</f>
        <v/>
      </c>
      <c r="P4590" s="7" t="n">
        <f aca="false">IF(K4590="","",K4590-G4590)</f>
        <v>0</v>
      </c>
    </row>
    <row r="4591" customFormat="false" ht="15" hidden="false" customHeight="false" outlineLevel="0" collapsed="false">
      <c r="A4591" s="7" t="n">
        <v>80996957</v>
      </c>
      <c r="B4591" s="7" t="s">
        <v>78</v>
      </c>
      <c r="C4591" s="7" t="s">
        <v>9368</v>
      </c>
      <c r="E4591" s="7" t="s">
        <v>30</v>
      </c>
      <c r="F4591" s="7" t="s">
        <v>9369</v>
      </c>
      <c r="G4591" s="7" t="n">
        <v>2018</v>
      </c>
      <c r="H4591" s="7" t="s">
        <v>48</v>
      </c>
      <c r="I4591" s="7" t="s">
        <v>82</v>
      </c>
      <c r="J4591" s="7" t="s">
        <v>542</v>
      </c>
      <c r="K4591" s="7" t="n">
        <f aca="false">IFERROR(VALUE(RIGHT(TRIM(F4591),4)),"")</f>
        <v>2018</v>
      </c>
      <c r="L4591" s="7" t="str">
        <f aca="false">IF(TRIM(E4591)="","Unknown",IFERROR(LEFT(TRIM(E4591),FIND(",",TRIM(E4591))-1),TRIM(E4591)))</f>
        <v>Japan</v>
      </c>
      <c r="M4591" s="7" t="str">
        <f aca="false">IFERROR(LEFT(J4591,FIND(",",J4591)-1),J4591)</f>
        <v>Anime Series</v>
      </c>
      <c r="N4591" s="7" t="str">
        <f aca="false">IF(B4591="Movie",IFERROR(VALUE(LEFT(I4591,FIND(" ",I4591)-1)),""),"")</f>
        <v/>
      </c>
      <c r="O4591" s="7" t="n">
        <f aca="false">IF(B4591="TV Show",IFERROR(VALUE(LEFT(I4591,FIND(" ",I4591)-1)),""),"")</f>
        <v>1</v>
      </c>
      <c r="P4591" s="7" t="n">
        <f aca="false">IF(K4591="","",K4591-G4591)</f>
        <v>0</v>
      </c>
    </row>
    <row r="4592" customFormat="false" ht="15" hidden="false" customHeight="false" outlineLevel="0" collapsed="false">
      <c r="A4592" s="7" t="n">
        <v>81010212</v>
      </c>
      <c r="B4592" s="7" t="s">
        <v>68</v>
      </c>
      <c r="C4592" s="7" t="s">
        <v>9370</v>
      </c>
      <c r="D4592" s="7" t="s">
        <v>9371</v>
      </c>
      <c r="E4592" s="7" t="s">
        <v>26</v>
      </c>
      <c r="F4592" s="7" t="s">
        <v>9369</v>
      </c>
      <c r="G4592" s="7" t="n">
        <v>2018</v>
      </c>
      <c r="H4592" s="7" t="s">
        <v>50</v>
      </c>
      <c r="I4592" s="7" t="s">
        <v>9372</v>
      </c>
      <c r="J4592" s="7" t="s">
        <v>39</v>
      </c>
      <c r="K4592" s="7" t="n">
        <f aca="false">IFERROR(VALUE(RIGHT(TRIM(F4592),4)),"")</f>
        <v>2018</v>
      </c>
      <c r="L4592" s="7" t="str">
        <f aca="false">IF(TRIM(E4592)="","Unknown",IFERROR(LEFT(TRIM(E4592),FIND(",",TRIM(E4592))-1),TRIM(E4592)))</f>
        <v>United States</v>
      </c>
      <c r="M4592" s="7" t="str">
        <f aca="false">IFERROR(LEFT(J4592,FIND(",",J4592)-1),J4592)</f>
        <v>Documentaries</v>
      </c>
      <c r="N4592" s="7" t="n">
        <f aca="false">IF(B4592="Movie",IFERROR(VALUE(LEFT(I4592,FIND(" ",I4592)-1)),""),"")</f>
        <v>35</v>
      </c>
      <c r="O4592" s="7" t="str">
        <f aca="false">IF(B4592="TV Show",IFERROR(VALUE(LEFT(I4592,FIND(" ",I4592)-1)),""),"")</f>
        <v/>
      </c>
      <c r="P4592" s="7" t="n">
        <f aca="false">IF(K4592="","",K4592-G4592)</f>
        <v>0</v>
      </c>
    </row>
    <row r="4593" customFormat="false" ht="15" hidden="false" customHeight="false" outlineLevel="0" collapsed="false">
      <c r="A4593" s="7" t="n">
        <v>80158871</v>
      </c>
      <c r="B4593" s="7" t="s">
        <v>68</v>
      </c>
      <c r="C4593" s="7" t="s">
        <v>9373</v>
      </c>
      <c r="D4593" s="7" t="s">
        <v>2518</v>
      </c>
      <c r="E4593" s="7" t="s">
        <v>26</v>
      </c>
      <c r="F4593" s="7" t="s">
        <v>9374</v>
      </c>
      <c r="G4593" s="7" t="n">
        <v>2017</v>
      </c>
      <c r="H4593" s="7" t="s">
        <v>48</v>
      </c>
      <c r="I4593" s="7" t="s">
        <v>254</v>
      </c>
      <c r="J4593" s="7" t="s">
        <v>45</v>
      </c>
      <c r="K4593" s="7" t="n">
        <f aca="false">IFERROR(VALUE(RIGHT(TRIM(F4593),4)),"")</f>
        <v>2017</v>
      </c>
      <c r="L4593" s="7" t="str">
        <f aca="false">IF(TRIM(E4593)="","Unknown",IFERROR(LEFT(TRIM(E4593),FIND(",",TRIM(E4593))-1),TRIM(E4593)))</f>
        <v>United States</v>
      </c>
      <c r="M4593" s="7" t="str">
        <f aca="false">IFERROR(LEFT(J4593,FIND(",",J4593)-1),J4593)</f>
        <v>Stand-Up Comedy</v>
      </c>
      <c r="N4593" s="7" t="n">
        <f aca="false">IF(B4593="Movie",IFERROR(VALUE(LEFT(I4593,FIND(" ",I4593)-1)),""),"")</f>
        <v>70</v>
      </c>
      <c r="O4593" s="7" t="str">
        <f aca="false">IF(B4593="TV Show",IFERROR(VALUE(LEFT(I4593,FIND(" ",I4593)-1)),""),"")</f>
        <v/>
      </c>
      <c r="P4593" s="7" t="n">
        <f aca="false">IF(K4593="","",K4593-G4593)</f>
        <v>0</v>
      </c>
    </row>
    <row r="4594" customFormat="false" ht="15" hidden="false" customHeight="false" outlineLevel="0" collapsed="false">
      <c r="A4594" s="7" t="n">
        <v>80139397</v>
      </c>
      <c r="B4594" s="7" t="s">
        <v>68</v>
      </c>
      <c r="C4594" s="7" t="s">
        <v>9375</v>
      </c>
      <c r="D4594" s="7" t="s">
        <v>9376</v>
      </c>
      <c r="E4594" s="7" t="s">
        <v>28</v>
      </c>
      <c r="F4594" s="7" t="s">
        <v>9374</v>
      </c>
      <c r="G4594" s="7" t="n">
        <v>2016</v>
      </c>
      <c r="H4594" s="7" t="s">
        <v>48</v>
      </c>
      <c r="I4594" s="7" t="s">
        <v>268</v>
      </c>
      <c r="J4594" s="7" t="s">
        <v>38</v>
      </c>
      <c r="K4594" s="7" t="n">
        <f aca="false">IFERROR(VALUE(RIGHT(TRIM(F4594),4)),"")</f>
        <v>2017</v>
      </c>
      <c r="L4594" s="7" t="str">
        <f aca="false">IF(TRIM(E4594)="","Unknown",IFERROR(LEFT(TRIM(E4594),FIND(",",TRIM(E4594))-1),TRIM(E4594)))</f>
        <v>United Kingdom</v>
      </c>
      <c r="M4594" s="7" t="str">
        <f aca="false">IFERROR(LEFT(J4594,FIND(",",J4594)-1),J4594)</f>
        <v>Comedies</v>
      </c>
      <c r="N4594" s="7" t="n">
        <f aca="false">IF(B4594="Movie",IFERROR(VALUE(LEFT(I4594,FIND(" ",I4594)-1)),""),"")</f>
        <v>108</v>
      </c>
      <c r="O4594" s="7" t="str">
        <f aca="false">IF(B4594="TV Show",IFERROR(VALUE(LEFT(I4594,FIND(" ",I4594)-1)),""),"")</f>
        <v/>
      </c>
      <c r="P4594" s="7" t="n">
        <f aca="false">IF(K4594="","",K4594-G4594)</f>
        <v>1</v>
      </c>
    </row>
    <row r="4595" customFormat="false" ht="15" hidden="false" customHeight="false" outlineLevel="0" collapsed="false">
      <c r="A4595" s="7" t="n">
        <v>80107019</v>
      </c>
      <c r="B4595" s="7" t="s">
        <v>68</v>
      </c>
      <c r="C4595" s="7" t="s">
        <v>9377</v>
      </c>
      <c r="D4595" s="7" t="s">
        <v>9378</v>
      </c>
      <c r="E4595" s="7" t="s">
        <v>185</v>
      </c>
      <c r="F4595" s="7" t="s">
        <v>9374</v>
      </c>
      <c r="G4595" s="7" t="n">
        <v>2016</v>
      </c>
      <c r="H4595" s="7" t="s">
        <v>48</v>
      </c>
      <c r="I4595" s="7" t="s">
        <v>173</v>
      </c>
      <c r="J4595" s="7" t="s">
        <v>304</v>
      </c>
      <c r="K4595" s="7" t="n">
        <f aca="false">IFERROR(VALUE(RIGHT(TRIM(F4595),4)),"")</f>
        <v>2017</v>
      </c>
      <c r="L4595" s="7" t="str">
        <f aca="false">IF(TRIM(E4595)="","Unknown",IFERROR(LEFT(TRIM(E4595),FIND(",",TRIM(E4595))-1),TRIM(E4595)))</f>
        <v>Belgium</v>
      </c>
      <c r="M4595" s="7" t="str">
        <f aca="false">IFERROR(LEFT(J4595,FIND(",",J4595)-1),J4595)</f>
        <v>Dramas</v>
      </c>
      <c r="N4595" s="7" t="n">
        <f aca="false">IF(B4595="Movie",IFERROR(VALUE(LEFT(I4595,FIND(" ",I4595)-1)),""),"")</f>
        <v>106</v>
      </c>
      <c r="O4595" s="7" t="str">
        <f aca="false">IF(B4595="TV Show",IFERROR(VALUE(LEFT(I4595,FIND(" ",I4595)-1)),""),"")</f>
        <v/>
      </c>
      <c r="P4595" s="7" t="n">
        <f aca="false">IF(K4595="","",K4595-G4595)</f>
        <v>1</v>
      </c>
    </row>
    <row r="4596" customFormat="false" ht="15" hidden="false" customHeight="false" outlineLevel="0" collapsed="false">
      <c r="A4596" s="7" t="n">
        <v>80191835</v>
      </c>
      <c r="B4596" s="7" t="s">
        <v>68</v>
      </c>
      <c r="C4596" s="7" t="s">
        <v>9379</v>
      </c>
      <c r="D4596" s="7" t="s">
        <v>9380</v>
      </c>
      <c r="E4596" s="7" t="s">
        <v>9381</v>
      </c>
      <c r="F4596" s="7" t="s">
        <v>9374</v>
      </c>
      <c r="G4596" s="7" t="n">
        <v>2017</v>
      </c>
      <c r="H4596" s="7" t="s">
        <v>53</v>
      </c>
      <c r="I4596" s="7" t="s">
        <v>173</v>
      </c>
      <c r="J4596" s="7" t="s">
        <v>37</v>
      </c>
      <c r="K4596" s="7" t="n">
        <f aca="false">IFERROR(VALUE(RIGHT(TRIM(F4596),4)),"")</f>
        <v>2017</v>
      </c>
      <c r="L4596" s="7" t="str">
        <f aca="false">IF(TRIM(E4596)="","Unknown",IFERROR(LEFT(TRIM(E4596),FIND(",",TRIM(E4596))-1),TRIM(E4596)))</f>
        <v>United Kingdom</v>
      </c>
      <c r="M4596" s="7" t="str">
        <f aca="false">IFERROR(LEFT(J4596,FIND(",",J4596)-1),J4596)</f>
        <v>Dramas</v>
      </c>
      <c r="N4596" s="7" t="n">
        <f aca="false">IF(B4596="Movie",IFERROR(VALUE(LEFT(I4596,FIND(" ",I4596)-1)),""),"")</f>
        <v>106</v>
      </c>
      <c r="O4596" s="7" t="str">
        <f aca="false">IF(B4596="TV Show",IFERROR(VALUE(LEFT(I4596,FIND(" ",I4596)-1)),""),"")</f>
        <v/>
      </c>
      <c r="P4596" s="7" t="n">
        <f aca="false">IF(K4596="","",K4596-G4596)</f>
        <v>0</v>
      </c>
    </row>
    <row r="4597" customFormat="false" ht="15" hidden="false" customHeight="false" outlineLevel="0" collapsed="false">
      <c r="A4597" s="7" t="n">
        <v>70267802</v>
      </c>
      <c r="B4597" s="7" t="s">
        <v>68</v>
      </c>
      <c r="C4597" s="7" t="s">
        <v>9382</v>
      </c>
      <c r="D4597" s="7" t="s">
        <v>9383</v>
      </c>
      <c r="E4597" s="7" t="s">
        <v>26</v>
      </c>
      <c r="F4597" s="7" t="s">
        <v>9384</v>
      </c>
      <c r="G4597" s="7" t="n">
        <v>2013</v>
      </c>
      <c r="H4597" s="7" t="s">
        <v>52</v>
      </c>
      <c r="I4597" s="7" t="s">
        <v>524</v>
      </c>
      <c r="J4597" s="7" t="s">
        <v>39</v>
      </c>
      <c r="K4597" s="7" t="n">
        <f aca="false">IFERROR(VALUE(RIGHT(TRIM(F4597),4)),"")</f>
        <v>2016</v>
      </c>
      <c r="L4597" s="7" t="str">
        <f aca="false">IF(TRIM(E4597)="","Unknown",IFERROR(LEFT(TRIM(E4597),FIND(",",TRIM(E4597))-1),TRIM(E4597)))</f>
        <v>United States</v>
      </c>
      <c r="M4597" s="7" t="str">
        <f aca="false">IFERROR(LEFT(J4597,FIND(",",J4597)-1),J4597)</f>
        <v>Documentaries</v>
      </c>
      <c r="N4597" s="7" t="n">
        <f aca="false">IF(B4597="Movie",IFERROR(VALUE(LEFT(I4597,FIND(" ",I4597)-1)),""),"")</f>
        <v>83</v>
      </c>
      <c r="O4597" s="7" t="str">
        <f aca="false">IF(B4597="TV Show",IFERROR(VALUE(LEFT(I4597,FIND(" ",I4597)-1)),""),"")</f>
        <v/>
      </c>
      <c r="P4597" s="7" t="n">
        <f aca="false">IF(K4597="","",K4597-G4597)</f>
        <v>3</v>
      </c>
    </row>
    <row r="4598" customFormat="false" ht="15" hidden="false" customHeight="false" outlineLevel="0" collapsed="false">
      <c r="A4598" s="7" t="n">
        <v>80124728</v>
      </c>
      <c r="B4598" s="7" t="s">
        <v>68</v>
      </c>
      <c r="C4598" s="7" t="s">
        <v>9385</v>
      </c>
      <c r="D4598" s="7" t="s">
        <v>3118</v>
      </c>
      <c r="E4598" s="7" t="s">
        <v>34</v>
      </c>
      <c r="F4598" s="7" t="s">
        <v>9384</v>
      </c>
      <c r="G4598" s="7" t="n">
        <v>2016</v>
      </c>
      <c r="H4598" s="7" t="s">
        <v>48</v>
      </c>
      <c r="I4598" s="7" t="s">
        <v>9386</v>
      </c>
      <c r="J4598" s="7" t="s">
        <v>45</v>
      </c>
      <c r="K4598" s="7" t="n">
        <f aca="false">IFERROR(VALUE(RIGHT(TRIM(F4598),4)),"")</f>
        <v>2016</v>
      </c>
      <c r="L4598" s="7" t="str">
        <f aca="false">IF(TRIM(E4598)="","Unknown",IFERROR(LEFT(TRIM(E4598),FIND(",",TRIM(E4598))-1),TRIM(E4598)))</f>
        <v>Mexico</v>
      </c>
      <c r="M4598" s="7" t="str">
        <f aca="false">IFERROR(LEFT(J4598,FIND(",",J4598)-1),J4598)</f>
        <v>Stand-Up Comedy</v>
      </c>
      <c r="N4598" s="7" t="n">
        <f aca="false">IF(B4598="Movie",IFERROR(VALUE(LEFT(I4598,FIND(" ",I4598)-1)),""),"")</f>
        <v>31</v>
      </c>
      <c r="O4598" s="7" t="str">
        <f aca="false">IF(B4598="TV Show",IFERROR(VALUE(LEFT(I4598,FIND(" ",I4598)-1)),""),"")</f>
        <v/>
      </c>
      <c r="P4598" s="7" t="n">
        <f aca="false">IF(K4598="","",K4598-G4598)</f>
        <v>0</v>
      </c>
    </row>
    <row r="4599" customFormat="false" ht="15" hidden="false" customHeight="false" outlineLevel="0" collapsed="false">
      <c r="A4599" s="7" t="n">
        <v>80020772</v>
      </c>
      <c r="B4599" s="7" t="s">
        <v>68</v>
      </c>
      <c r="C4599" s="7" t="s">
        <v>9387</v>
      </c>
      <c r="D4599" s="7" t="s">
        <v>3751</v>
      </c>
      <c r="E4599" s="7" t="s">
        <v>317</v>
      </c>
      <c r="F4599" s="7" t="s">
        <v>9388</v>
      </c>
      <c r="G4599" s="7" t="n">
        <v>2014</v>
      </c>
      <c r="H4599" s="7" t="s">
        <v>54</v>
      </c>
      <c r="I4599" s="7" t="s">
        <v>330</v>
      </c>
      <c r="J4599" s="7" t="s">
        <v>74</v>
      </c>
      <c r="K4599" s="7" t="n">
        <f aca="false">IFERROR(VALUE(RIGHT(TRIM(F4599),4)),"")</f>
        <v>2014</v>
      </c>
      <c r="L4599" s="7" t="str">
        <f aca="false">IF(TRIM(E4599)="","Unknown",IFERROR(LEFT(TRIM(E4599),FIND(",",TRIM(E4599))-1),TRIM(E4599)))</f>
        <v>United Kingdom</v>
      </c>
      <c r="M4599" s="7" t="str">
        <f aca="false">IFERROR(LEFT(J4599,FIND(",",J4599)-1),J4599)</f>
        <v>Children &amp; Family Movies</v>
      </c>
      <c r="N4599" s="7" t="n">
        <f aca="false">IF(B4599="Movie",IFERROR(VALUE(LEFT(I4599,FIND(" ",I4599)-1)),""),"")</f>
        <v>103</v>
      </c>
      <c r="O4599" s="7" t="str">
        <f aca="false">IF(B4599="TV Show",IFERROR(VALUE(LEFT(I4599,FIND(" ",I4599)-1)),""),"")</f>
        <v/>
      </c>
      <c r="P4599" s="7" t="n">
        <f aca="false">IF(K4599="","",K4599-G4599)</f>
        <v>0</v>
      </c>
    </row>
    <row r="4600" customFormat="false" ht="15" hidden="false" customHeight="false" outlineLevel="0" collapsed="false">
      <c r="A4600" s="7" t="n">
        <v>70290567</v>
      </c>
      <c r="B4600" s="7" t="s">
        <v>68</v>
      </c>
      <c r="C4600" s="7" t="s">
        <v>9389</v>
      </c>
      <c r="D4600" s="7" t="s">
        <v>9390</v>
      </c>
      <c r="E4600" s="7" t="s">
        <v>26</v>
      </c>
      <c r="F4600" s="7" t="s">
        <v>9391</v>
      </c>
      <c r="G4600" s="7" t="n">
        <v>2013</v>
      </c>
      <c r="H4600" s="7" t="s">
        <v>54</v>
      </c>
      <c r="I4600" s="7" t="s">
        <v>205</v>
      </c>
      <c r="J4600" s="7" t="s">
        <v>9392</v>
      </c>
      <c r="K4600" s="7" t="n">
        <f aca="false">IFERROR(VALUE(RIGHT(TRIM(F4600),4)),"")</f>
        <v>2013</v>
      </c>
      <c r="L4600" s="7" t="str">
        <f aca="false">IF(TRIM(E4600)="","Unknown",IFERROR(LEFT(TRIM(E4600),FIND(",",TRIM(E4600))-1),TRIM(E4600)))</f>
        <v>United States</v>
      </c>
      <c r="M4600" s="7" t="str">
        <f aca="false">IFERROR(LEFT(J4600,FIND(",",J4600)-1),J4600)</f>
        <v>Children &amp; Family Movies</v>
      </c>
      <c r="N4600" s="7" t="n">
        <f aca="false">IF(B4600="Movie",IFERROR(VALUE(LEFT(I4600,FIND(" ",I4600)-1)),""),"")</f>
        <v>100</v>
      </c>
      <c r="O4600" s="7" t="str">
        <f aca="false">IF(B4600="TV Show",IFERROR(VALUE(LEFT(I4600,FIND(" ",I4600)-1)),""),"")</f>
        <v/>
      </c>
      <c r="P4600" s="7" t="n">
        <f aca="false">IF(K4600="","",K4600-G4600)</f>
        <v>0</v>
      </c>
    </row>
    <row r="4601" customFormat="false" ht="15" hidden="false" customHeight="false" outlineLevel="0" collapsed="false">
      <c r="A4601" s="7" t="n">
        <v>81037373</v>
      </c>
      <c r="B4601" s="7" t="s">
        <v>68</v>
      </c>
      <c r="C4601" s="7" t="s">
        <v>9393</v>
      </c>
      <c r="D4601" s="7" t="s">
        <v>9394</v>
      </c>
      <c r="E4601" s="7" t="s">
        <v>9395</v>
      </c>
      <c r="F4601" s="7" t="s">
        <v>9396</v>
      </c>
      <c r="G4601" s="7" t="n">
        <v>2019</v>
      </c>
      <c r="H4601" s="7" t="s">
        <v>49</v>
      </c>
      <c r="I4601" s="7" t="s">
        <v>1832</v>
      </c>
      <c r="J4601" s="7" t="s">
        <v>304</v>
      </c>
      <c r="K4601" s="7" t="n">
        <f aca="false">IFERROR(VALUE(RIGHT(TRIM(F4601),4)),"")</f>
        <v>2019</v>
      </c>
      <c r="L4601" s="7" t="str">
        <f aca="false">IF(TRIM(E4601)="","Unknown",IFERROR(LEFT(TRIM(E4601),FIND(",",TRIM(E4601))-1),TRIM(E4601)))</f>
        <v>India</v>
      </c>
      <c r="M4601" s="7" t="str">
        <f aca="false">IFERROR(LEFT(J4601,FIND(",",J4601)-1),J4601)</f>
        <v>Dramas</v>
      </c>
      <c r="N4601" s="7" t="n">
        <f aca="false">IF(B4601="Movie",IFERROR(VALUE(LEFT(I4601,FIND(" ",I4601)-1)),""),"")</f>
        <v>143</v>
      </c>
      <c r="O4601" s="7" t="str">
        <f aca="false">IF(B4601="TV Show",IFERROR(VALUE(LEFT(I4601,FIND(" ",I4601)-1)),""),"")</f>
        <v/>
      </c>
      <c r="P4601" s="7" t="n">
        <f aca="false">IF(K4601="","",K4601-G4601)</f>
        <v>0</v>
      </c>
    </row>
    <row r="4602" customFormat="false" ht="15" hidden="false" customHeight="false" outlineLevel="0" collapsed="false">
      <c r="A4602" s="7" t="n">
        <v>80065754</v>
      </c>
      <c r="B4602" s="7" t="s">
        <v>68</v>
      </c>
      <c r="C4602" s="7" t="s">
        <v>9397</v>
      </c>
      <c r="D4602" s="7" t="s">
        <v>9398</v>
      </c>
      <c r="E4602" s="7" t="s">
        <v>29</v>
      </c>
      <c r="F4602" s="7" t="s">
        <v>9399</v>
      </c>
      <c r="G4602" s="7" t="n">
        <v>2015</v>
      </c>
      <c r="H4602" s="7" t="s">
        <v>51</v>
      </c>
      <c r="I4602" s="7" t="s">
        <v>212</v>
      </c>
      <c r="J4602" s="7" t="s">
        <v>40</v>
      </c>
      <c r="K4602" s="7" t="n">
        <f aca="false">IFERROR(VALUE(RIGHT(TRIM(F4602),4)),"")</f>
        <v>2018</v>
      </c>
      <c r="L4602" s="7" t="str">
        <f aca="false">IF(TRIM(E4602)="","Unknown",IFERROR(LEFT(TRIM(E4602),FIND(",",TRIM(E4602))-1),TRIM(E4602)))</f>
        <v>Canada</v>
      </c>
      <c r="M4602" s="7" t="str">
        <f aca="false">IFERROR(LEFT(J4602,FIND(",",J4602)-1),J4602)</f>
        <v>Action &amp; Adventure</v>
      </c>
      <c r="N4602" s="7" t="n">
        <f aca="false">IF(B4602="Movie",IFERROR(VALUE(LEFT(I4602,FIND(" ",I4602)-1)),""),"")</f>
        <v>86</v>
      </c>
      <c r="O4602" s="7" t="str">
        <f aca="false">IF(B4602="TV Show",IFERROR(VALUE(LEFT(I4602,FIND(" ",I4602)-1)),""),"")</f>
        <v/>
      </c>
      <c r="P4602" s="7" t="n">
        <f aca="false">IF(K4602="","",K4602-G4602)</f>
        <v>3</v>
      </c>
    </row>
    <row r="4603" customFormat="false" ht="15" hidden="false" customHeight="false" outlineLevel="0" collapsed="false">
      <c r="A4603" s="7" t="n">
        <v>80995991</v>
      </c>
      <c r="B4603" s="7" t="s">
        <v>68</v>
      </c>
      <c r="C4603" s="7" t="s">
        <v>9400</v>
      </c>
      <c r="D4603" s="7" t="s">
        <v>2518</v>
      </c>
      <c r="F4603" s="7" t="s">
        <v>9399</v>
      </c>
      <c r="G4603" s="7" t="n">
        <v>2018</v>
      </c>
      <c r="H4603" s="7" t="s">
        <v>48</v>
      </c>
      <c r="I4603" s="7" t="s">
        <v>1020</v>
      </c>
      <c r="J4603" s="7" t="s">
        <v>45</v>
      </c>
      <c r="K4603" s="7" t="n">
        <f aca="false">IFERROR(VALUE(RIGHT(TRIM(F4603),4)),"")</f>
        <v>2018</v>
      </c>
      <c r="L4603" s="7" t="str">
        <f aca="false">IF(TRIM(E4603)="","Unknown",IFERROR(LEFT(TRIM(E4603),FIND(",",TRIM(E4603))-1),TRIM(E4603)))</f>
        <v>Unknown</v>
      </c>
      <c r="M4603" s="7" t="str">
        <f aca="false">IFERROR(LEFT(J4603,FIND(",",J4603)-1),J4603)</f>
        <v>Stand-Up Comedy</v>
      </c>
      <c r="N4603" s="7" t="n">
        <f aca="false">IF(B4603="Movie",IFERROR(VALUE(LEFT(I4603,FIND(" ",I4603)-1)),""),"")</f>
        <v>68</v>
      </c>
      <c r="O4603" s="7" t="str">
        <f aca="false">IF(B4603="TV Show",IFERROR(VALUE(LEFT(I4603,FIND(" ",I4603)-1)),""),"")</f>
        <v/>
      </c>
      <c r="P4603" s="7" t="n">
        <f aca="false">IF(K4603="","",K4603-G4603)</f>
        <v>0</v>
      </c>
    </row>
    <row r="4604" customFormat="false" ht="15" hidden="false" customHeight="false" outlineLevel="0" collapsed="false">
      <c r="A4604" s="7" t="n">
        <v>80180711</v>
      </c>
      <c r="B4604" s="7" t="s">
        <v>78</v>
      </c>
      <c r="C4604" s="7" t="s">
        <v>9401</v>
      </c>
      <c r="F4604" s="7" t="s">
        <v>9402</v>
      </c>
      <c r="G4604" s="7" t="n">
        <v>2016</v>
      </c>
      <c r="H4604" s="7" t="s">
        <v>49</v>
      </c>
      <c r="I4604" s="7" t="s">
        <v>82</v>
      </c>
      <c r="J4604" s="7" t="s">
        <v>344</v>
      </c>
      <c r="K4604" s="7" t="n">
        <f aca="false">IFERROR(VALUE(RIGHT(TRIM(F4604),4)),"")</f>
        <v>2017</v>
      </c>
      <c r="L4604" s="7" t="str">
        <f aca="false">IF(TRIM(E4604)="","Unknown",IFERROR(LEFT(TRIM(E4604),FIND(",",TRIM(E4604))-1),TRIM(E4604)))</f>
        <v>Unknown</v>
      </c>
      <c r="M4604" s="7" t="str">
        <f aca="false">IFERROR(LEFT(J4604,FIND(",",J4604)-1),J4604)</f>
        <v>International TV Shows</v>
      </c>
      <c r="N4604" s="7" t="str">
        <f aca="false">IF(B4604="Movie",IFERROR(VALUE(LEFT(I4604,FIND(" ",I4604)-1)),""),"")</f>
        <v/>
      </c>
      <c r="O4604" s="7" t="n">
        <f aca="false">IF(B4604="TV Show",IFERROR(VALUE(LEFT(I4604,FIND(" ",I4604)-1)),""),"")</f>
        <v>1</v>
      </c>
      <c r="P4604" s="7" t="n">
        <f aca="false">IF(K4604="","",K4604-G4604)</f>
        <v>1</v>
      </c>
    </row>
    <row r="4605" customFormat="false" ht="15" hidden="false" customHeight="false" outlineLevel="0" collapsed="false">
      <c r="A4605" s="7" t="n">
        <v>80205065</v>
      </c>
      <c r="B4605" s="7" t="s">
        <v>68</v>
      </c>
      <c r="C4605" s="7" t="s">
        <v>9403</v>
      </c>
      <c r="D4605" s="7" t="s">
        <v>9404</v>
      </c>
      <c r="E4605" s="7" t="s">
        <v>35</v>
      </c>
      <c r="F4605" s="7" t="s">
        <v>9402</v>
      </c>
      <c r="G4605" s="7" t="n">
        <v>2016</v>
      </c>
      <c r="H4605" s="7" t="s">
        <v>48</v>
      </c>
      <c r="I4605" s="7" t="s">
        <v>467</v>
      </c>
      <c r="J4605" s="7" t="s">
        <v>265</v>
      </c>
      <c r="K4605" s="7" t="n">
        <f aca="false">IFERROR(VALUE(RIGHT(TRIM(F4605),4)),"")</f>
        <v>2017</v>
      </c>
      <c r="L4605" s="7" t="str">
        <f aca="false">IF(TRIM(E4605)="","Unknown",IFERROR(LEFT(TRIM(E4605),FIND(",",TRIM(E4605))-1),TRIM(E4605)))</f>
        <v>Australia</v>
      </c>
      <c r="M4605" s="7" t="str">
        <f aca="false">IFERROR(LEFT(J4605,FIND(",",J4605)-1),J4605)</f>
        <v>Horror Movies</v>
      </c>
      <c r="N4605" s="7" t="n">
        <f aca="false">IF(B4605="Movie",IFERROR(VALUE(LEFT(I4605,FIND(" ",I4605)-1)),""),"")</f>
        <v>81</v>
      </c>
      <c r="O4605" s="7" t="str">
        <f aca="false">IF(B4605="TV Show",IFERROR(VALUE(LEFT(I4605,FIND(" ",I4605)-1)),""),"")</f>
        <v/>
      </c>
      <c r="P4605" s="7" t="n">
        <f aca="false">IF(K4605="","",K4605-G4605)</f>
        <v>1</v>
      </c>
    </row>
    <row r="4606" customFormat="false" ht="15" hidden="false" customHeight="false" outlineLevel="0" collapsed="false">
      <c r="A4606" s="7" t="n">
        <v>80194612</v>
      </c>
      <c r="B4606" s="7" t="s">
        <v>68</v>
      </c>
      <c r="C4606" s="7" t="s">
        <v>9405</v>
      </c>
      <c r="D4606" s="7" t="s">
        <v>9406</v>
      </c>
      <c r="E4606" s="7" t="s">
        <v>26</v>
      </c>
      <c r="F4606" s="7" t="s">
        <v>9402</v>
      </c>
      <c r="G4606" s="7" t="n">
        <v>2017</v>
      </c>
      <c r="H4606" s="7" t="s">
        <v>51</v>
      </c>
      <c r="I4606" s="7" t="s">
        <v>77</v>
      </c>
      <c r="J4606" s="7" t="s">
        <v>265</v>
      </c>
      <c r="K4606" s="7" t="n">
        <f aca="false">IFERROR(VALUE(RIGHT(TRIM(F4606),4)),"")</f>
        <v>2017</v>
      </c>
      <c r="L4606" s="7" t="str">
        <f aca="false">IF(TRIM(E4606)="","Unknown",IFERROR(LEFT(TRIM(E4606),FIND(",",TRIM(E4606))-1),TRIM(E4606)))</f>
        <v>United States</v>
      </c>
      <c r="M4606" s="7" t="str">
        <f aca="false">IFERROR(LEFT(J4606,FIND(",",J4606)-1),J4606)</f>
        <v>Horror Movies</v>
      </c>
      <c r="N4606" s="7" t="n">
        <f aca="false">IF(B4606="Movie",IFERROR(VALUE(LEFT(I4606,FIND(" ",I4606)-1)),""),"")</f>
        <v>94</v>
      </c>
      <c r="O4606" s="7" t="str">
        <f aca="false">IF(B4606="TV Show",IFERROR(VALUE(LEFT(I4606,FIND(" ",I4606)-1)),""),"")</f>
        <v/>
      </c>
      <c r="P4606" s="7" t="n">
        <f aca="false">IF(K4606="","",K4606-G4606)</f>
        <v>0</v>
      </c>
    </row>
    <row r="4607" customFormat="false" ht="15" hidden="false" customHeight="false" outlineLevel="0" collapsed="false">
      <c r="A4607" s="7" t="n">
        <v>80104420</v>
      </c>
      <c r="B4607" s="7" t="s">
        <v>68</v>
      </c>
      <c r="C4607" s="7" t="s">
        <v>9407</v>
      </c>
      <c r="D4607" s="7" t="s">
        <v>8005</v>
      </c>
      <c r="E4607" s="7" t="s">
        <v>26</v>
      </c>
      <c r="F4607" s="7" t="s">
        <v>9408</v>
      </c>
      <c r="G4607" s="7" t="n">
        <v>2016</v>
      </c>
      <c r="H4607" s="7" t="s">
        <v>49</v>
      </c>
      <c r="I4607" s="7" t="s">
        <v>524</v>
      </c>
      <c r="J4607" s="7" t="s">
        <v>39</v>
      </c>
      <c r="K4607" s="7" t="n">
        <f aca="false">IFERROR(VALUE(RIGHT(TRIM(F4607),4)),"")</f>
        <v>2016</v>
      </c>
      <c r="L4607" s="7" t="str">
        <f aca="false">IF(TRIM(E4607)="","Unknown",IFERROR(LEFT(TRIM(E4607),FIND(",",TRIM(E4607))-1),TRIM(E4607)))</f>
        <v>United States</v>
      </c>
      <c r="M4607" s="7" t="str">
        <f aca="false">IFERROR(LEFT(J4607,FIND(",",J4607)-1),J4607)</f>
        <v>Documentaries</v>
      </c>
      <c r="N4607" s="7" t="n">
        <f aca="false">IF(B4607="Movie",IFERROR(VALUE(LEFT(I4607,FIND(" ",I4607)-1)),""),"")</f>
        <v>83</v>
      </c>
      <c r="O4607" s="7" t="str">
        <f aca="false">IF(B4607="TV Show",IFERROR(VALUE(LEFT(I4607,FIND(" ",I4607)-1)),""),"")</f>
        <v/>
      </c>
      <c r="P4607" s="7" t="n">
        <f aca="false">IF(K4607="","",K4607-G4607)</f>
        <v>0</v>
      </c>
    </row>
    <row r="4608" customFormat="false" ht="15" hidden="false" customHeight="false" outlineLevel="0" collapsed="false">
      <c r="A4608" s="7" t="n">
        <v>80039517</v>
      </c>
      <c r="B4608" s="7" t="s">
        <v>68</v>
      </c>
      <c r="C4608" s="7" t="s">
        <v>9409</v>
      </c>
      <c r="D4608" s="7" t="s">
        <v>4338</v>
      </c>
      <c r="E4608" s="7" t="s">
        <v>26</v>
      </c>
      <c r="F4608" s="7" t="s">
        <v>9410</v>
      </c>
      <c r="G4608" s="7" t="n">
        <v>2015</v>
      </c>
      <c r="H4608" s="7" t="s">
        <v>49</v>
      </c>
      <c r="I4608" s="7" t="s">
        <v>2551</v>
      </c>
      <c r="J4608" s="7" t="s">
        <v>967</v>
      </c>
      <c r="K4608" s="7" t="n">
        <f aca="false">IFERROR(VALUE(RIGHT(TRIM(F4608),4)),"")</f>
        <v>2015</v>
      </c>
      <c r="L4608" s="7" t="str">
        <f aca="false">IF(TRIM(E4608)="","Unknown",IFERROR(LEFT(TRIM(E4608),FIND(",",TRIM(E4608))-1),TRIM(E4608)))</f>
        <v>United States</v>
      </c>
      <c r="M4608" s="7" t="str">
        <f aca="false">IFERROR(LEFT(J4608,FIND(",",J4608)-1),J4608)</f>
        <v>Action &amp; Adventure</v>
      </c>
      <c r="N4608" s="7" t="n">
        <f aca="false">IF(B4608="Movie",IFERROR(VALUE(LEFT(I4608,FIND(" ",I4608)-1)),""),"")</f>
        <v>120</v>
      </c>
      <c r="O4608" s="7" t="str">
        <f aca="false">IF(B4608="TV Show",IFERROR(VALUE(LEFT(I4608,FIND(" ",I4608)-1)),""),"")</f>
        <v/>
      </c>
      <c r="P4608" s="7" t="n">
        <f aca="false">IF(K4608="","",K4608-G4608)</f>
        <v>0</v>
      </c>
    </row>
    <row r="4609" customFormat="false" ht="15" hidden="false" customHeight="false" outlineLevel="0" collapsed="false">
      <c r="A4609" s="7" t="n">
        <v>81035888</v>
      </c>
      <c r="B4609" s="7" t="s">
        <v>68</v>
      </c>
      <c r="C4609" s="7" t="s">
        <v>9411</v>
      </c>
      <c r="D4609" s="7" t="s">
        <v>3526</v>
      </c>
      <c r="E4609" s="7" t="s">
        <v>963</v>
      </c>
      <c r="F4609" s="7" t="s">
        <v>9412</v>
      </c>
      <c r="G4609" s="7" t="n">
        <v>2017</v>
      </c>
      <c r="H4609" s="7" t="s">
        <v>49</v>
      </c>
      <c r="I4609" s="7" t="s">
        <v>512</v>
      </c>
      <c r="J4609" s="7" t="s">
        <v>202</v>
      </c>
      <c r="K4609" s="7" t="n">
        <f aca="false">IFERROR(VALUE(RIGHT(TRIM(F4609),4)),"")</f>
        <v>2019</v>
      </c>
      <c r="L4609" s="7" t="str">
        <f aca="false">IF(TRIM(E4609)="","Unknown",IFERROR(LEFT(TRIM(E4609),FIND(",",TRIM(E4609))-1),TRIM(E4609)))</f>
        <v>Egypt</v>
      </c>
      <c r="M4609" s="7" t="str">
        <f aca="false">IFERROR(LEFT(J4609,FIND(",",J4609)-1),J4609)</f>
        <v>Comedies</v>
      </c>
      <c r="N4609" s="7" t="n">
        <f aca="false">IF(B4609="Movie",IFERROR(VALUE(LEFT(I4609,FIND(" ",I4609)-1)),""),"")</f>
        <v>101</v>
      </c>
      <c r="O4609" s="7" t="str">
        <f aca="false">IF(B4609="TV Show",IFERROR(VALUE(LEFT(I4609,FIND(" ",I4609)-1)),""),"")</f>
        <v/>
      </c>
      <c r="P4609" s="7" t="n">
        <f aca="false">IF(K4609="","",K4609-G4609)</f>
        <v>2</v>
      </c>
    </row>
    <row r="4610" customFormat="false" ht="15" hidden="false" customHeight="false" outlineLevel="0" collapsed="false">
      <c r="A4610" s="7" t="n">
        <v>81036542</v>
      </c>
      <c r="B4610" s="7" t="s">
        <v>68</v>
      </c>
      <c r="C4610" s="7" t="s">
        <v>9413</v>
      </c>
      <c r="D4610" s="7" t="s">
        <v>3061</v>
      </c>
      <c r="E4610" s="7" t="s">
        <v>26</v>
      </c>
      <c r="F4610" s="7" t="s">
        <v>9412</v>
      </c>
      <c r="G4610" s="7" t="n">
        <v>2019</v>
      </c>
      <c r="H4610" s="7" t="s">
        <v>48</v>
      </c>
      <c r="I4610" s="7" t="s">
        <v>98</v>
      </c>
      <c r="J4610" s="7" t="s">
        <v>45</v>
      </c>
      <c r="K4610" s="7" t="n">
        <f aca="false">IFERROR(VALUE(RIGHT(TRIM(F4610),4)),"")</f>
        <v>2019</v>
      </c>
      <c r="L4610" s="7" t="str">
        <f aca="false">IF(TRIM(E4610)="","Unknown",IFERROR(LEFT(TRIM(E4610),FIND(",",TRIM(E4610))-1),TRIM(E4610)))</f>
        <v>United States</v>
      </c>
      <c r="M4610" s="7" t="str">
        <f aca="false">IFERROR(LEFT(J4610,FIND(",",J4610)-1),J4610)</f>
        <v>Stand-Up Comedy</v>
      </c>
      <c r="N4610" s="7" t="n">
        <f aca="false">IF(B4610="Movie",IFERROR(VALUE(LEFT(I4610,FIND(" ",I4610)-1)),""),"")</f>
        <v>60</v>
      </c>
      <c r="O4610" s="7" t="str">
        <f aca="false">IF(B4610="TV Show",IFERROR(VALUE(LEFT(I4610,FIND(" ",I4610)-1)),""),"")</f>
        <v/>
      </c>
      <c r="P4610" s="7" t="n">
        <f aca="false">IF(K4610="","",K4610-G4610)</f>
        <v>0</v>
      </c>
    </row>
    <row r="4611" customFormat="false" ht="15" hidden="false" customHeight="false" outlineLevel="0" collapsed="false">
      <c r="A4611" s="7" t="n">
        <v>81001121</v>
      </c>
      <c r="B4611" s="7" t="s">
        <v>68</v>
      </c>
      <c r="C4611" s="7" t="s">
        <v>9414</v>
      </c>
      <c r="D4611" s="7" t="s">
        <v>9415</v>
      </c>
      <c r="E4611" s="7" t="s">
        <v>8784</v>
      </c>
      <c r="F4611" s="7" t="s">
        <v>9416</v>
      </c>
      <c r="G4611" s="7" t="n">
        <v>2016</v>
      </c>
      <c r="H4611" s="7" t="s">
        <v>48</v>
      </c>
      <c r="I4611" s="7" t="s">
        <v>294</v>
      </c>
      <c r="J4611" s="7" t="s">
        <v>147</v>
      </c>
      <c r="K4611" s="7" t="n">
        <f aca="false">IFERROR(VALUE(RIGHT(TRIM(F4611),4)),"")</f>
        <v>2018</v>
      </c>
      <c r="L4611" s="7" t="str">
        <f aca="false">IF(TRIM(E4611)="","Unknown",IFERROR(LEFT(TRIM(E4611),FIND(",",TRIM(E4611))-1),TRIM(E4611)))</f>
        <v>Japan</v>
      </c>
      <c r="M4611" s="7" t="str">
        <f aca="false">IFERROR(LEFT(J4611,FIND(",",J4611)-1),J4611)</f>
        <v>Horror Movies</v>
      </c>
      <c r="N4611" s="7" t="n">
        <f aca="false">IF(B4611="Movie",IFERROR(VALUE(LEFT(I4611,FIND(" ",I4611)-1)),""),"")</f>
        <v>107</v>
      </c>
      <c r="O4611" s="7" t="str">
        <f aca="false">IF(B4611="TV Show",IFERROR(VALUE(LEFT(I4611,FIND(" ",I4611)-1)),""),"")</f>
        <v/>
      </c>
      <c r="P4611" s="7" t="n">
        <f aca="false">IF(K4611="","",K4611-G4611)</f>
        <v>2</v>
      </c>
    </row>
    <row r="4612" customFormat="false" ht="15" hidden="false" customHeight="false" outlineLevel="0" collapsed="false">
      <c r="A4612" s="7" t="n">
        <v>80144453</v>
      </c>
      <c r="B4612" s="7" t="s">
        <v>68</v>
      </c>
      <c r="C4612" s="7" t="s">
        <v>9417</v>
      </c>
      <c r="D4612" s="7" t="s">
        <v>9418</v>
      </c>
      <c r="E4612" s="7" t="s">
        <v>35</v>
      </c>
      <c r="F4612" s="7" t="s">
        <v>9416</v>
      </c>
      <c r="G4612" s="7" t="n">
        <v>2016</v>
      </c>
      <c r="H4612" s="7" t="s">
        <v>51</v>
      </c>
      <c r="I4612" s="7" t="s">
        <v>93</v>
      </c>
      <c r="J4612" s="7" t="s">
        <v>811</v>
      </c>
      <c r="K4612" s="7" t="n">
        <f aca="false">IFERROR(VALUE(RIGHT(TRIM(F4612),4)),"")</f>
        <v>2018</v>
      </c>
      <c r="L4612" s="7" t="str">
        <f aca="false">IF(TRIM(E4612)="","Unknown",IFERROR(LEFT(TRIM(E4612),FIND(",",TRIM(E4612))-1),TRIM(E4612)))</f>
        <v>Australia</v>
      </c>
      <c r="M4612" s="7" t="str">
        <f aca="false">IFERROR(LEFT(J4612,FIND(",",J4612)-1),J4612)</f>
        <v>Thrillers</v>
      </c>
      <c r="N4612" s="7" t="n">
        <f aca="false">IF(B4612="Movie",IFERROR(VALUE(LEFT(I4612,FIND(" ",I4612)-1)),""),"")</f>
        <v>110</v>
      </c>
      <c r="O4612" s="7" t="str">
        <f aca="false">IF(B4612="TV Show",IFERROR(VALUE(LEFT(I4612,FIND(" ",I4612)-1)),""),"")</f>
        <v/>
      </c>
      <c r="P4612" s="7" t="n">
        <f aca="false">IF(K4612="","",K4612-G4612)</f>
        <v>2</v>
      </c>
    </row>
    <row r="4613" customFormat="false" ht="15" hidden="false" customHeight="false" outlineLevel="0" collapsed="false">
      <c r="A4613" s="7" t="n">
        <v>81009829</v>
      </c>
      <c r="B4613" s="7" t="s">
        <v>68</v>
      </c>
      <c r="C4613" s="7" t="s">
        <v>9419</v>
      </c>
      <c r="D4613" s="7" t="s">
        <v>9420</v>
      </c>
      <c r="E4613" s="7" t="s">
        <v>26</v>
      </c>
      <c r="F4613" s="7" t="s">
        <v>9416</v>
      </c>
      <c r="G4613" s="7" t="n">
        <v>2017</v>
      </c>
      <c r="H4613" s="7" t="s">
        <v>48</v>
      </c>
      <c r="I4613" s="7" t="s">
        <v>212</v>
      </c>
      <c r="J4613" s="7" t="s">
        <v>1211</v>
      </c>
      <c r="K4613" s="7" t="n">
        <f aca="false">IFERROR(VALUE(RIGHT(TRIM(F4613),4)),"")</f>
        <v>2018</v>
      </c>
      <c r="L4613" s="7" t="str">
        <f aca="false">IF(TRIM(E4613)="","Unknown",IFERROR(LEFT(TRIM(E4613),FIND(",",TRIM(E4613))-1),TRIM(E4613)))</f>
        <v>United States</v>
      </c>
      <c r="M4613" s="7" t="str">
        <f aca="false">IFERROR(LEFT(J4613,FIND(",",J4613)-1),J4613)</f>
        <v>Documentaries</v>
      </c>
      <c r="N4613" s="7" t="n">
        <f aca="false">IF(B4613="Movie",IFERROR(VALUE(LEFT(I4613,FIND(" ",I4613)-1)),""),"")</f>
        <v>86</v>
      </c>
      <c r="O4613" s="7" t="str">
        <f aca="false">IF(B4613="TV Show",IFERROR(VALUE(LEFT(I4613,FIND(" ",I4613)-1)),""),"")</f>
        <v/>
      </c>
      <c r="P4613" s="7" t="n">
        <f aca="false">IF(K4613="","",K4613-G4613)</f>
        <v>1</v>
      </c>
    </row>
    <row r="4614" customFormat="false" ht="15" hidden="false" customHeight="false" outlineLevel="0" collapsed="false">
      <c r="A4614" s="7" t="n">
        <v>81025391</v>
      </c>
      <c r="B4614" s="7" t="s">
        <v>78</v>
      </c>
      <c r="C4614" s="7" t="s">
        <v>9421</v>
      </c>
      <c r="E4614" s="7" t="s">
        <v>752</v>
      </c>
      <c r="F4614" s="7" t="s">
        <v>9416</v>
      </c>
      <c r="G4614" s="7" t="n">
        <v>2017</v>
      </c>
      <c r="H4614" s="7" t="s">
        <v>48</v>
      </c>
      <c r="I4614" s="7" t="s">
        <v>82</v>
      </c>
      <c r="J4614" s="7" t="s">
        <v>344</v>
      </c>
      <c r="K4614" s="7" t="n">
        <f aca="false">IFERROR(VALUE(RIGHT(TRIM(F4614),4)),"")</f>
        <v>2018</v>
      </c>
      <c r="L4614" s="7" t="str">
        <f aca="false">IF(TRIM(E4614)="","Unknown",IFERROR(LEFT(TRIM(E4614),FIND(",",TRIM(E4614))-1),TRIM(E4614)))</f>
        <v>Russia</v>
      </c>
      <c r="M4614" s="7" t="str">
        <f aca="false">IFERROR(LEFT(J4614,FIND(",",J4614)-1),J4614)</f>
        <v>International TV Shows</v>
      </c>
      <c r="N4614" s="7" t="str">
        <f aca="false">IF(B4614="Movie",IFERROR(VALUE(LEFT(I4614,FIND(" ",I4614)-1)),""),"")</f>
        <v/>
      </c>
      <c r="O4614" s="7" t="n">
        <f aca="false">IF(B4614="TV Show",IFERROR(VALUE(LEFT(I4614,FIND(" ",I4614)-1)),""),"")</f>
        <v>1</v>
      </c>
      <c r="P4614" s="7" t="n">
        <f aca="false">IF(K4614="","",K4614-G4614)</f>
        <v>1</v>
      </c>
    </row>
    <row r="4615" customFormat="false" ht="15" hidden="false" customHeight="false" outlineLevel="0" collapsed="false">
      <c r="A4615" s="7" t="n">
        <v>80131415</v>
      </c>
      <c r="B4615" s="7" t="s">
        <v>78</v>
      </c>
      <c r="C4615" s="7" t="s">
        <v>9422</v>
      </c>
      <c r="E4615" s="7" t="s">
        <v>1063</v>
      </c>
      <c r="F4615" s="7" t="s">
        <v>9423</v>
      </c>
      <c r="G4615" s="7" t="n">
        <v>2016</v>
      </c>
      <c r="H4615" s="7" t="s">
        <v>51</v>
      </c>
      <c r="I4615" s="7" t="s">
        <v>82</v>
      </c>
      <c r="J4615" s="7" t="s">
        <v>208</v>
      </c>
      <c r="K4615" s="7" t="n">
        <f aca="false">IFERROR(VALUE(RIGHT(TRIM(F4615),4)),"")</f>
        <v>2016</v>
      </c>
      <c r="L4615" s="7" t="str">
        <f aca="false">IF(TRIM(E4615)="","Unknown",IFERROR(LEFT(TRIM(E4615),FIND(",",TRIM(E4615))-1),TRIM(E4615)))</f>
        <v>Norway</v>
      </c>
      <c r="M4615" s="7" t="str">
        <f aca="false">IFERROR(LEFT(J4615,FIND(",",J4615)-1),J4615)</f>
        <v>International TV Shows</v>
      </c>
      <c r="N4615" s="7" t="str">
        <f aca="false">IF(B4615="Movie",IFERROR(VALUE(LEFT(I4615,FIND(" ",I4615)-1)),""),"")</f>
        <v/>
      </c>
      <c r="O4615" s="7" t="n">
        <f aca="false">IF(B4615="TV Show",IFERROR(VALUE(LEFT(I4615,FIND(" ",I4615)-1)),""),"")</f>
        <v>1</v>
      </c>
      <c r="P4615" s="7" t="n">
        <f aca="false">IF(K4615="","",K4615-G4615)</f>
        <v>0</v>
      </c>
    </row>
    <row r="4616" customFormat="false" ht="15" hidden="false" customHeight="false" outlineLevel="0" collapsed="false">
      <c r="A4616" s="7" t="n">
        <v>80132410</v>
      </c>
      <c r="B4616" s="7" t="s">
        <v>68</v>
      </c>
      <c r="C4616" s="7" t="s">
        <v>9424</v>
      </c>
      <c r="D4616" s="7" t="s">
        <v>9425</v>
      </c>
      <c r="E4616" s="7" t="s">
        <v>26</v>
      </c>
      <c r="F4616" s="7" t="s">
        <v>9423</v>
      </c>
      <c r="G4616" s="7" t="n">
        <v>2016</v>
      </c>
      <c r="H4616" s="7" t="s">
        <v>53</v>
      </c>
      <c r="I4616" s="7" t="s">
        <v>1191</v>
      </c>
      <c r="J4616" s="7" t="s">
        <v>1085</v>
      </c>
      <c r="K4616" s="7" t="n">
        <f aca="false">IFERROR(VALUE(RIGHT(TRIM(F4616),4)),"")</f>
        <v>2016</v>
      </c>
      <c r="L4616" s="7" t="str">
        <f aca="false">IF(TRIM(E4616)="","Unknown",IFERROR(LEFT(TRIM(E4616),FIND(",",TRIM(E4616))-1),TRIM(E4616)))</f>
        <v>United States</v>
      </c>
      <c r="M4616" s="7" t="str">
        <f aca="false">IFERROR(LEFT(J4616,FIND(",",J4616)-1),J4616)</f>
        <v>Documentaries</v>
      </c>
      <c r="N4616" s="7" t="n">
        <f aca="false">IF(B4616="Movie",IFERROR(VALUE(LEFT(I4616,FIND(" ",I4616)-1)),""),"")</f>
        <v>73</v>
      </c>
      <c r="O4616" s="7" t="str">
        <f aca="false">IF(B4616="TV Show",IFERROR(VALUE(LEFT(I4616,FIND(" ",I4616)-1)),""),"")</f>
        <v/>
      </c>
      <c r="P4616" s="7" t="n">
        <f aca="false">IF(K4616="","",K4616-G4616)</f>
        <v>0</v>
      </c>
    </row>
    <row r="4617" customFormat="false" ht="15" hidden="false" customHeight="false" outlineLevel="0" collapsed="false">
      <c r="A4617" s="7" t="n">
        <v>81148811</v>
      </c>
      <c r="B4617" s="7" t="s">
        <v>68</v>
      </c>
      <c r="C4617" s="7" t="s">
        <v>9426</v>
      </c>
      <c r="D4617" s="7" t="s">
        <v>9427</v>
      </c>
      <c r="E4617" s="7" t="s">
        <v>26</v>
      </c>
      <c r="F4617" s="7" t="s">
        <v>9428</v>
      </c>
      <c r="G4617" s="7" t="n">
        <v>2019</v>
      </c>
      <c r="H4617" s="7" t="s">
        <v>54</v>
      </c>
      <c r="I4617" s="7" t="s">
        <v>212</v>
      </c>
      <c r="J4617" s="7" t="s">
        <v>3593</v>
      </c>
      <c r="K4617" s="7" t="n">
        <f aca="false">IFERROR(VALUE(RIGHT(TRIM(F4617),4)),"")</f>
        <v>2019</v>
      </c>
      <c r="L4617" s="7" t="str">
        <f aca="false">IF(TRIM(E4617)="","Unknown",IFERROR(LEFT(TRIM(E4617),FIND(",",TRIM(E4617))-1),TRIM(E4617)))</f>
        <v>United States</v>
      </c>
      <c r="M4617" s="7" t="str">
        <f aca="false">IFERROR(LEFT(J4617,FIND(",",J4617)-1),J4617)</f>
        <v>Children &amp; Family Movies</v>
      </c>
      <c r="N4617" s="7" t="n">
        <f aca="false">IF(B4617="Movie",IFERROR(VALUE(LEFT(I4617,FIND(" ",I4617)-1)),""),"")</f>
        <v>86</v>
      </c>
      <c r="O4617" s="7" t="str">
        <f aca="false">IF(B4617="TV Show",IFERROR(VALUE(LEFT(I4617,FIND(" ",I4617)-1)),""),"")</f>
        <v/>
      </c>
      <c r="P4617" s="7" t="n">
        <f aca="false">IF(K4617="","",K4617-G4617)</f>
        <v>0</v>
      </c>
    </row>
    <row r="4618" customFormat="false" ht="15" hidden="false" customHeight="false" outlineLevel="0" collapsed="false">
      <c r="A4618" s="7" t="n">
        <v>18066997</v>
      </c>
      <c r="B4618" s="7" t="s">
        <v>68</v>
      </c>
      <c r="C4618" s="7" t="s">
        <v>9429</v>
      </c>
      <c r="D4618" s="7" t="s">
        <v>7603</v>
      </c>
      <c r="E4618" s="7" t="s">
        <v>26</v>
      </c>
      <c r="F4618" s="7" t="s">
        <v>9428</v>
      </c>
      <c r="G4618" s="7" t="n">
        <v>1998</v>
      </c>
      <c r="H4618" s="7" t="s">
        <v>52</v>
      </c>
      <c r="I4618" s="7" t="s">
        <v>437</v>
      </c>
      <c r="J4618" s="7" t="s">
        <v>941</v>
      </c>
      <c r="K4618" s="7" t="n">
        <f aca="false">IFERROR(VALUE(RIGHT(TRIM(F4618),4)),"")</f>
        <v>2019</v>
      </c>
      <c r="L4618" s="7" t="str">
        <f aca="false">IF(TRIM(E4618)="","Unknown",IFERROR(LEFT(TRIM(E4618),FIND(",",TRIM(E4618))-1),TRIM(E4618)))</f>
        <v>United States</v>
      </c>
      <c r="M4618" s="7" t="str">
        <f aca="false">IFERROR(LEFT(J4618,FIND(",",J4618)-1),J4618)</f>
        <v>Comedies</v>
      </c>
      <c r="N4618" s="7" t="n">
        <f aca="false">IF(B4618="Movie",IFERROR(VALUE(LEFT(I4618,FIND(" ",I4618)-1)),""),"")</f>
        <v>82</v>
      </c>
      <c r="O4618" s="7" t="str">
        <f aca="false">IF(B4618="TV Show",IFERROR(VALUE(LEFT(I4618,FIND(" ",I4618)-1)),""),"")</f>
        <v/>
      </c>
      <c r="P4618" s="7" t="n">
        <f aca="false">IF(K4618="","",K4618-G4618)</f>
        <v>21</v>
      </c>
    </row>
    <row r="4619" customFormat="false" ht="15" hidden="false" customHeight="false" outlineLevel="0" collapsed="false">
      <c r="A4619" s="7" t="n">
        <v>60023608</v>
      </c>
      <c r="B4619" s="7" t="s">
        <v>68</v>
      </c>
      <c r="C4619" s="7" t="s">
        <v>9430</v>
      </c>
      <c r="D4619" s="7" t="s">
        <v>7365</v>
      </c>
      <c r="E4619" s="7" t="s">
        <v>26</v>
      </c>
      <c r="F4619" s="7" t="s">
        <v>9428</v>
      </c>
      <c r="G4619" s="7" t="n">
        <v>2002</v>
      </c>
      <c r="H4619" s="7" t="s">
        <v>52</v>
      </c>
      <c r="I4619" s="7" t="s">
        <v>77</v>
      </c>
      <c r="J4619" s="7" t="s">
        <v>967</v>
      </c>
      <c r="K4619" s="7" t="n">
        <f aca="false">IFERROR(VALUE(RIGHT(TRIM(F4619),4)),"")</f>
        <v>2019</v>
      </c>
      <c r="L4619" s="7" t="str">
        <f aca="false">IF(TRIM(E4619)="","Unknown",IFERROR(LEFT(TRIM(E4619),FIND(",",TRIM(E4619))-1),TRIM(E4619)))</f>
        <v>United States</v>
      </c>
      <c r="M4619" s="7" t="str">
        <f aca="false">IFERROR(LEFT(J4619,FIND(",",J4619)-1),J4619)</f>
        <v>Action &amp; Adventure</v>
      </c>
      <c r="N4619" s="7" t="n">
        <f aca="false">IF(B4619="Movie",IFERROR(VALUE(LEFT(I4619,FIND(" ",I4619)-1)),""),"")</f>
        <v>94</v>
      </c>
      <c r="O4619" s="7" t="str">
        <f aca="false">IF(B4619="TV Show",IFERROR(VALUE(LEFT(I4619,FIND(" ",I4619)-1)),""),"")</f>
        <v/>
      </c>
      <c r="P4619" s="7" t="n">
        <f aca="false">IF(K4619="","",K4619-G4619)</f>
        <v>17</v>
      </c>
    </row>
    <row r="4620" customFormat="false" ht="15" hidden="false" customHeight="false" outlineLevel="0" collapsed="false">
      <c r="A4620" s="7" t="n">
        <v>1153656</v>
      </c>
      <c r="B4620" s="7" t="s">
        <v>68</v>
      </c>
      <c r="C4620" s="7" t="s">
        <v>9431</v>
      </c>
      <c r="D4620" s="7" t="s">
        <v>7365</v>
      </c>
      <c r="E4620" s="7" t="s">
        <v>26</v>
      </c>
      <c r="F4620" s="7" t="s">
        <v>9428</v>
      </c>
      <c r="G4620" s="7" t="n">
        <v>1997</v>
      </c>
      <c r="H4620" s="7" t="s">
        <v>52</v>
      </c>
      <c r="I4620" s="7" t="s">
        <v>73</v>
      </c>
      <c r="J4620" s="7" t="s">
        <v>38</v>
      </c>
      <c r="K4620" s="7" t="n">
        <f aca="false">IFERROR(VALUE(RIGHT(TRIM(F4620),4)),"")</f>
        <v>2019</v>
      </c>
      <c r="L4620" s="7" t="str">
        <f aca="false">IF(TRIM(E4620)="","Unknown",IFERROR(LEFT(TRIM(E4620),FIND(",",TRIM(E4620))-1),TRIM(E4620)))</f>
        <v>United States</v>
      </c>
      <c r="M4620" s="7" t="str">
        <f aca="false">IFERROR(LEFT(J4620,FIND(",",J4620)-1),J4620)</f>
        <v>Comedies</v>
      </c>
      <c r="N4620" s="7" t="n">
        <f aca="false">IF(B4620="Movie",IFERROR(VALUE(LEFT(I4620,FIND(" ",I4620)-1)),""),"")</f>
        <v>90</v>
      </c>
      <c r="O4620" s="7" t="str">
        <f aca="false">IF(B4620="TV Show",IFERROR(VALUE(LEFT(I4620,FIND(" ",I4620)-1)),""),"")</f>
        <v/>
      </c>
      <c r="P4620" s="7" t="n">
        <f aca="false">IF(K4620="","",K4620-G4620)</f>
        <v>22</v>
      </c>
    </row>
    <row r="4621" customFormat="false" ht="15" hidden="false" customHeight="false" outlineLevel="0" collapsed="false">
      <c r="A4621" s="7" t="n">
        <v>21302357</v>
      </c>
      <c r="B4621" s="7" t="s">
        <v>68</v>
      </c>
      <c r="C4621" s="7" t="s">
        <v>9432</v>
      </c>
      <c r="D4621" s="7" t="s">
        <v>7365</v>
      </c>
      <c r="E4621" s="7" t="s">
        <v>26</v>
      </c>
      <c r="F4621" s="7" t="s">
        <v>9428</v>
      </c>
      <c r="G4621" s="7" t="n">
        <v>1999</v>
      </c>
      <c r="H4621" s="7" t="s">
        <v>52</v>
      </c>
      <c r="I4621" s="7" t="s">
        <v>111</v>
      </c>
      <c r="J4621" s="7" t="s">
        <v>1628</v>
      </c>
      <c r="K4621" s="7" t="n">
        <f aca="false">IFERROR(VALUE(RIGHT(TRIM(F4621),4)),"")</f>
        <v>2019</v>
      </c>
      <c r="L4621" s="7" t="str">
        <f aca="false">IF(TRIM(E4621)="","Unknown",IFERROR(LEFT(TRIM(E4621),FIND(",",TRIM(E4621))-1),TRIM(E4621)))</f>
        <v>United States</v>
      </c>
      <c r="M4621" s="7" t="str">
        <f aca="false">IFERROR(LEFT(J4621,FIND(",",J4621)-1),J4621)</f>
        <v>Action &amp; Adventure</v>
      </c>
      <c r="N4621" s="7" t="n">
        <f aca="false">IF(B4621="Movie",IFERROR(VALUE(LEFT(I4621,FIND(" ",I4621)-1)),""),"")</f>
        <v>95</v>
      </c>
      <c r="O4621" s="7" t="str">
        <f aca="false">IF(B4621="TV Show",IFERROR(VALUE(LEFT(I4621,FIND(" ",I4621)-1)),""),"")</f>
        <v/>
      </c>
      <c r="P4621" s="7" t="n">
        <f aca="false">IF(K4621="","",K4621-G4621)</f>
        <v>20</v>
      </c>
    </row>
    <row r="4622" customFormat="false" ht="15" hidden="false" customHeight="false" outlineLevel="0" collapsed="false">
      <c r="A4622" s="7" t="n">
        <v>81217745</v>
      </c>
      <c r="B4622" s="7" t="s">
        <v>68</v>
      </c>
      <c r="C4622" s="7" t="s">
        <v>9433</v>
      </c>
      <c r="D4622" s="7" t="s">
        <v>9434</v>
      </c>
      <c r="E4622" s="7" t="s">
        <v>27</v>
      </c>
      <c r="F4622" s="7" t="s">
        <v>9428</v>
      </c>
      <c r="G4622" s="7" t="n">
        <v>2019</v>
      </c>
      <c r="H4622" s="7" t="s">
        <v>49</v>
      </c>
      <c r="I4622" s="7" t="s">
        <v>378</v>
      </c>
      <c r="J4622" s="7" t="s">
        <v>206</v>
      </c>
      <c r="K4622" s="7" t="n">
        <f aca="false">IFERROR(VALUE(RIGHT(TRIM(F4622),4)),"")</f>
        <v>2019</v>
      </c>
      <c r="L4622" s="7" t="str">
        <f aca="false">IF(TRIM(E4622)="","Unknown",IFERROR(LEFT(TRIM(E4622),FIND(",",TRIM(E4622))-1),TRIM(E4622)))</f>
        <v>India</v>
      </c>
      <c r="M4622" s="7" t="str">
        <f aca="false">IFERROR(LEFT(J4622,FIND(",",J4622)-1),J4622)</f>
        <v>Comedies</v>
      </c>
      <c r="N4622" s="7" t="n">
        <f aca="false">IF(B4622="Movie",IFERROR(VALUE(LEFT(I4622,FIND(" ",I4622)-1)),""),"")</f>
        <v>127</v>
      </c>
      <c r="O4622" s="7" t="str">
        <f aca="false">IF(B4622="TV Show",IFERROR(VALUE(LEFT(I4622,FIND(" ",I4622)-1)),""),"")</f>
        <v/>
      </c>
      <c r="P4622" s="7" t="n">
        <f aca="false">IF(K4622="","",K4622-G4622)</f>
        <v>0</v>
      </c>
    </row>
    <row r="4623" customFormat="false" ht="15" hidden="false" customHeight="false" outlineLevel="0" collapsed="false">
      <c r="A4623" s="7" t="n">
        <v>80011622</v>
      </c>
      <c r="B4623" s="7" t="s">
        <v>68</v>
      </c>
      <c r="C4623" s="7" t="s">
        <v>9435</v>
      </c>
      <c r="D4623" s="7" t="s">
        <v>9436</v>
      </c>
      <c r="E4623" s="7" t="s">
        <v>26</v>
      </c>
      <c r="F4623" s="7" t="s">
        <v>9428</v>
      </c>
      <c r="G4623" s="7" t="n">
        <v>2014</v>
      </c>
      <c r="H4623" s="7" t="s">
        <v>51</v>
      </c>
      <c r="I4623" s="7" t="s">
        <v>272</v>
      </c>
      <c r="J4623" s="7" t="s">
        <v>597</v>
      </c>
      <c r="K4623" s="7" t="n">
        <f aca="false">IFERROR(VALUE(RIGHT(TRIM(F4623),4)),"")</f>
        <v>2019</v>
      </c>
      <c r="L4623" s="7" t="str">
        <f aca="false">IF(TRIM(E4623)="","Unknown",IFERROR(LEFT(TRIM(E4623),FIND(",",TRIM(E4623))-1),TRIM(E4623)))</f>
        <v>United States</v>
      </c>
      <c r="M4623" s="7" t="str">
        <f aca="false">IFERROR(LEFT(J4623,FIND(",",J4623)-1),J4623)</f>
        <v>Dramas</v>
      </c>
      <c r="N4623" s="7" t="n">
        <f aca="false">IF(B4623="Movie",IFERROR(VALUE(LEFT(I4623,FIND(" ",I4623)-1)),""),"")</f>
        <v>93</v>
      </c>
      <c r="O4623" s="7" t="str">
        <f aca="false">IF(B4623="TV Show",IFERROR(VALUE(LEFT(I4623,FIND(" ",I4623)-1)),""),"")</f>
        <v/>
      </c>
      <c r="P4623" s="7" t="n">
        <f aca="false">IF(K4623="","",K4623-G4623)</f>
        <v>5</v>
      </c>
    </row>
    <row r="4624" customFormat="false" ht="15" hidden="false" customHeight="false" outlineLevel="0" collapsed="false">
      <c r="A4624" s="7" t="n">
        <v>81165325</v>
      </c>
      <c r="B4624" s="7" t="s">
        <v>68</v>
      </c>
      <c r="C4624" s="7" t="s">
        <v>9437</v>
      </c>
      <c r="D4624" s="7" t="s">
        <v>4573</v>
      </c>
      <c r="E4624" s="7" t="s">
        <v>1269</v>
      </c>
      <c r="F4624" s="7" t="s">
        <v>9428</v>
      </c>
      <c r="G4624" s="7" t="n">
        <v>2019</v>
      </c>
      <c r="H4624" s="7" t="s">
        <v>48</v>
      </c>
      <c r="I4624" s="7" t="s">
        <v>77</v>
      </c>
      <c r="J4624" s="7" t="s">
        <v>182</v>
      </c>
      <c r="K4624" s="7" t="n">
        <f aca="false">IFERROR(VALUE(RIGHT(TRIM(F4624),4)),"")</f>
        <v>2019</v>
      </c>
      <c r="L4624" s="7" t="str">
        <f aca="false">IF(TRIM(E4624)="","Unknown",IFERROR(LEFT(TRIM(E4624),FIND(",",TRIM(E4624))-1),TRIM(E4624)))</f>
        <v>Philippines</v>
      </c>
      <c r="M4624" s="7" t="str">
        <f aca="false">IFERROR(LEFT(J4624,FIND(",",J4624)-1),J4624)</f>
        <v>Dramas</v>
      </c>
      <c r="N4624" s="7" t="n">
        <f aca="false">IF(B4624="Movie",IFERROR(VALUE(LEFT(I4624,FIND(" ",I4624)-1)),""),"")</f>
        <v>94</v>
      </c>
      <c r="O4624" s="7" t="str">
        <f aca="false">IF(B4624="TV Show",IFERROR(VALUE(LEFT(I4624,FIND(" ",I4624)-1)),""),"")</f>
        <v/>
      </c>
      <c r="P4624" s="7" t="n">
        <f aca="false">IF(K4624="","",K4624-G4624)</f>
        <v>0</v>
      </c>
    </row>
    <row r="4625" customFormat="false" ht="15" hidden="false" customHeight="false" outlineLevel="0" collapsed="false">
      <c r="A4625" s="7" t="n">
        <v>81217746</v>
      </c>
      <c r="B4625" s="7" t="s">
        <v>68</v>
      </c>
      <c r="C4625" s="7" t="s">
        <v>9438</v>
      </c>
      <c r="D4625" s="7" t="s">
        <v>2207</v>
      </c>
      <c r="E4625" s="7" t="s">
        <v>27</v>
      </c>
      <c r="F4625" s="7" t="s">
        <v>9428</v>
      </c>
      <c r="G4625" s="7" t="n">
        <v>2019</v>
      </c>
      <c r="H4625" s="7" t="s">
        <v>49</v>
      </c>
      <c r="I4625" s="7" t="s">
        <v>2551</v>
      </c>
      <c r="J4625" s="7" t="s">
        <v>206</v>
      </c>
      <c r="K4625" s="7" t="n">
        <f aca="false">IFERROR(VALUE(RIGHT(TRIM(F4625),4)),"")</f>
        <v>2019</v>
      </c>
      <c r="L4625" s="7" t="str">
        <f aca="false">IF(TRIM(E4625)="","Unknown",IFERROR(LEFT(TRIM(E4625),FIND(",",TRIM(E4625))-1),TRIM(E4625)))</f>
        <v>India</v>
      </c>
      <c r="M4625" s="7" t="str">
        <f aca="false">IFERROR(LEFT(J4625,FIND(",",J4625)-1),J4625)</f>
        <v>Comedies</v>
      </c>
      <c r="N4625" s="7" t="n">
        <f aca="false">IF(B4625="Movie",IFERROR(VALUE(LEFT(I4625,FIND(" ",I4625)-1)),""),"")</f>
        <v>120</v>
      </c>
      <c r="O4625" s="7" t="str">
        <f aca="false">IF(B4625="TV Show",IFERROR(VALUE(LEFT(I4625,FIND(" ",I4625)-1)),""),"")</f>
        <v/>
      </c>
      <c r="P4625" s="7" t="n">
        <f aca="false">IF(K4625="","",K4625-G4625)</f>
        <v>0</v>
      </c>
    </row>
    <row r="4626" customFormat="false" ht="15" hidden="false" customHeight="false" outlineLevel="0" collapsed="false">
      <c r="A4626" s="7" t="n">
        <v>70023451</v>
      </c>
      <c r="B4626" s="7" t="s">
        <v>68</v>
      </c>
      <c r="C4626" s="7" t="s">
        <v>9439</v>
      </c>
      <c r="D4626" s="7" t="s">
        <v>1419</v>
      </c>
      <c r="E4626" s="7" t="s">
        <v>26</v>
      </c>
      <c r="F4626" s="7" t="s">
        <v>9428</v>
      </c>
      <c r="G4626" s="7" t="n">
        <v>2005</v>
      </c>
      <c r="H4626" s="7" t="s">
        <v>51</v>
      </c>
      <c r="I4626" s="7" t="s">
        <v>386</v>
      </c>
      <c r="J4626" s="7" t="s">
        <v>5449</v>
      </c>
      <c r="K4626" s="7" t="n">
        <f aca="false">IFERROR(VALUE(RIGHT(TRIM(F4626),4)),"")</f>
        <v>2019</v>
      </c>
      <c r="L4626" s="7" t="str">
        <f aca="false">IF(TRIM(E4626)="","Unknown",IFERROR(LEFT(TRIM(E4626),FIND(",",TRIM(E4626))-1),TRIM(E4626)))</f>
        <v>United States</v>
      </c>
      <c r="M4626" s="7" t="str">
        <f aca="false">IFERROR(LEFT(J4626,FIND(",",J4626)-1),J4626)</f>
        <v>Dramas</v>
      </c>
      <c r="N4626" s="7" t="n">
        <f aca="false">IF(B4626="Movie",IFERROR(VALUE(LEFT(I4626,FIND(" ",I4626)-1)),""),"")</f>
        <v>117</v>
      </c>
      <c r="O4626" s="7" t="str">
        <f aca="false">IF(B4626="TV Show",IFERROR(VALUE(LEFT(I4626,FIND(" ",I4626)-1)),""),"")</f>
        <v/>
      </c>
      <c r="P4626" s="7" t="n">
        <f aca="false">IF(K4626="","",K4626-G4626)</f>
        <v>14</v>
      </c>
    </row>
    <row r="4627" customFormat="false" ht="15" hidden="false" customHeight="false" outlineLevel="0" collapsed="false">
      <c r="A4627" s="7" t="n">
        <v>80188823</v>
      </c>
      <c r="B4627" s="7" t="s">
        <v>68</v>
      </c>
      <c r="C4627" s="7" t="s">
        <v>9440</v>
      </c>
      <c r="D4627" s="7" t="s">
        <v>9441</v>
      </c>
      <c r="E4627" s="7" t="s">
        <v>35</v>
      </c>
      <c r="F4627" s="7" t="s">
        <v>9428</v>
      </c>
      <c r="G4627" s="7" t="n">
        <v>2019</v>
      </c>
      <c r="H4627" s="7" t="s">
        <v>48</v>
      </c>
      <c r="I4627" s="7" t="s">
        <v>268</v>
      </c>
      <c r="J4627" s="7" t="s">
        <v>341</v>
      </c>
      <c r="K4627" s="7" t="n">
        <f aca="false">IFERROR(VALUE(RIGHT(TRIM(F4627),4)),"")</f>
        <v>2019</v>
      </c>
      <c r="L4627" s="7" t="str">
        <f aca="false">IF(TRIM(E4627)="","Unknown",IFERROR(LEFT(TRIM(E4627),FIND(",",TRIM(E4627))-1),TRIM(E4627)))</f>
        <v>Australia</v>
      </c>
      <c r="M4627" s="7" t="str">
        <f aca="false">IFERROR(LEFT(J4627,FIND(",",J4627)-1),J4627)</f>
        <v>Documentaries</v>
      </c>
      <c r="N4627" s="7" t="n">
        <f aca="false">IF(B4627="Movie",IFERROR(VALUE(LEFT(I4627,FIND(" ",I4627)-1)),""),"")</f>
        <v>108</v>
      </c>
      <c r="O4627" s="7" t="str">
        <f aca="false">IF(B4627="TV Show",IFERROR(VALUE(LEFT(I4627,FIND(" ",I4627)-1)),""),"")</f>
        <v/>
      </c>
      <c r="P4627" s="7" t="n">
        <f aca="false">IF(K4627="","",K4627-G4627)</f>
        <v>0</v>
      </c>
    </row>
    <row r="4628" customFormat="false" ht="15" hidden="false" customHeight="false" outlineLevel="0" collapsed="false">
      <c r="A4628" s="7" t="n">
        <v>80182479</v>
      </c>
      <c r="B4628" s="7" t="s">
        <v>68</v>
      </c>
      <c r="C4628" s="7" t="s">
        <v>9442</v>
      </c>
      <c r="D4628" s="7" t="s">
        <v>3456</v>
      </c>
      <c r="E4628" s="7" t="s">
        <v>27</v>
      </c>
      <c r="F4628" s="7" t="s">
        <v>9428</v>
      </c>
      <c r="G4628" s="7" t="n">
        <v>2017</v>
      </c>
      <c r="H4628" s="7" t="s">
        <v>49</v>
      </c>
      <c r="I4628" s="7" t="s">
        <v>130</v>
      </c>
      <c r="J4628" s="7" t="s">
        <v>240</v>
      </c>
      <c r="K4628" s="7" t="n">
        <f aca="false">IFERROR(VALUE(RIGHT(TRIM(F4628),4)),"")</f>
        <v>2019</v>
      </c>
      <c r="L4628" s="7" t="str">
        <f aca="false">IF(TRIM(E4628)="","Unknown",IFERROR(LEFT(TRIM(E4628),FIND(",",TRIM(E4628))-1),TRIM(E4628)))</f>
        <v>India</v>
      </c>
      <c r="M4628" s="7" t="str">
        <f aca="false">IFERROR(LEFT(J4628,FIND(",",J4628)-1),J4628)</f>
        <v>Dramas</v>
      </c>
      <c r="N4628" s="7" t="n">
        <f aca="false">IF(B4628="Movie",IFERROR(VALUE(LEFT(I4628,FIND(" ",I4628)-1)),""),"")</f>
        <v>135</v>
      </c>
      <c r="O4628" s="7" t="str">
        <f aca="false">IF(B4628="TV Show",IFERROR(VALUE(LEFT(I4628,FIND(" ",I4628)-1)),""),"")</f>
        <v/>
      </c>
      <c r="P4628" s="7" t="n">
        <f aca="false">IF(K4628="","",K4628-G4628)</f>
        <v>2</v>
      </c>
    </row>
    <row r="4629" customFormat="false" ht="15" hidden="false" customHeight="false" outlineLevel="0" collapsed="false">
      <c r="A4629" s="7" t="n">
        <v>81217743</v>
      </c>
      <c r="B4629" s="7" t="s">
        <v>68</v>
      </c>
      <c r="C4629" s="7" t="s">
        <v>9443</v>
      </c>
      <c r="E4629" s="7" t="s">
        <v>27</v>
      </c>
      <c r="F4629" s="7" t="s">
        <v>9428</v>
      </c>
      <c r="G4629" s="7" t="n">
        <v>2016</v>
      </c>
      <c r="H4629" s="7" t="s">
        <v>49</v>
      </c>
      <c r="I4629" s="7" t="s">
        <v>326</v>
      </c>
      <c r="J4629" s="7" t="s">
        <v>240</v>
      </c>
      <c r="K4629" s="7" t="n">
        <f aca="false">IFERROR(VALUE(RIGHT(TRIM(F4629),4)),"")</f>
        <v>2019</v>
      </c>
      <c r="L4629" s="7" t="str">
        <f aca="false">IF(TRIM(E4629)="","Unknown",IFERROR(LEFT(TRIM(E4629),FIND(",",TRIM(E4629))-1),TRIM(E4629)))</f>
        <v>India</v>
      </c>
      <c r="M4629" s="7" t="str">
        <f aca="false">IFERROR(LEFT(J4629,FIND(",",J4629)-1),J4629)</f>
        <v>Dramas</v>
      </c>
      <c r="N4629" s="7" t="n">
        <f aca="false">IF(B4629="Movie",IFERROR(VALUE(LEFT(I4629,FIND(" ",I4629)-1)),""),"")</f>
        <v>111</v>
      </c>
      <c r="O4629" s="7" t="str">
        <f aca="false">IF(B4629="TV Show",IFERROR(VALUE(LEFT(I4629,FIND(" ",I4629)-1)),""),"")</f>
        <v/>
      </c>
      <c r="P4629" s="7" t="n">
        <f aca="false">IF(K4629="","",K4629-G4629)</f>
        <v>3</v>
      </c>
    </row>
    <row r="4630" customFormat="false" ht="15" hidden="false" customHeight="false" outlineLevel="0" collapsed="false">
      <c r="A4630" s="7" t="n">
        <v>81217741</v>
      </c>
      <c r="B4630" s="7" t="s">
        <v>68</v>
      </c>
      <c r="C4630" s="7" t="s">
        <v>9444</v>
      </c>
      <c r="D4630" s="7" t="s">
        <v>9445</v>
      </c>
      <c r="E4630" s="7" t="s">
        <v>28</v>
      </c>
      <c r="F4630" s="7" t="s">
        <v>9428</v>
      </c>
      <c r="G4630" s="7" t="n">
        <v>2017</v>
      </c>
      <c r="H4630" s="7" t="s">
        <v>49</v>
      </c>
      <c r="I4630" s="7" t="s">
        <v>2192</v>
      </c>
      <c r="J4630" s="7" t="s">
        <v>217</v>
      </c>
      <c r="K4630" s="7" t="n">
        <f aca="false">IFERROR(VALUE(RIGHT(TRIM(F4630),4)),"")</f>
        <v>2019</v>
      </c>
      <c r="L4630" s="7" t="str">
        <f aca="false">IF(TRIM(E4630)="","Unknown",IFERROR(LEFT(TRIM(E4630),FIND(",",TRIM(E4630))-1),TRIM(E4630)))</f>
        <v>United Kingdom</v>
      </c>
      <c r="M4630" s="7" t="str">
        <f aca="false">IFERROR(LEFT(J4630,FIND(",",J4630)-1),J4630)</f>
        <v>Comedies</v>
      </c>
      <c r="N4630" s="7" t="n">
        <f aca="false">IF(B4630="Movie",IFERROR(VALUE(LEFT(I4630,FIND(" ",I4630)-1)),""),"")</f>
        <v>134</v>
      </c>
      <c r="O4630" s="7" t="str">
        <f aca="false">IF(B4630="TV Show",IFERROR(VALUE(LEFT(I4630,FIND(" ",I4630)-1)),""),"")</f>
        <v/>
      </c>
      <c r="P4630" s="7" t="n">
        <f aca="false">IF(K4630="","",K4630-G4630)</f>
        <v>2</v>
      </c>
    </row>
    <row r="4631" customFormat="false" ht="15" hidden="false" customHeight="false" outlineLevel="0" collapsed="false">
      <c r="A4631" s="7" t="n">
        <v>60024161</v>
      </c>
      <c r="B4631" s="7" t="s">
        <v>68</v>
      </c>
      <c r="C4631" s="7" t="s">
        <v>9446</v>
      </c>
      <c r="D4631" s="7" t="s">
        <v>9447</v>
      </c>
      <c r="E4631" s="7" t="s">
        <v>26</v>
      </c>
      <c r="F4631" s="7" t="s">
        <v>9428</v>
      </c>
      <c r="G4631" s="7" t="n">
        <v>2002</v>
      </c>
      <c r="H4631" s="7" t="s">
        <v>51</v>
      </c>
      <c r="I4631" s="7" t="s">
        <v>417</v>
      </c>
      <c r="J4631" s="7" t="s">
        <v>45</v>
      </c>
      <c r="K4631" s="7" t="n">
        <f aca="false">IFERROR(VALUE(RIGHT(TRIM(F4631),4)),"")</f>
        <v>2019</v>
      </c>
      <c r="L4631" s="7" t="str">
        <f aca="false">IF(TRIM(E4631)="","Unknown",IFERROR(LEFT(TRIM(E4631),FIND(",",TRIM(E4631))-1),TRIM(E4631)))</f>
        <v>United States</v>
      </c>
      <c r="M4631" s="7" t="str">
        <f aca="false">IFERROR(LEFT(J4631,FIND(",",J4631)-1),J4631)</f>
        <v>Stand-Up Comedy</v>
      </c>
      <c r="N4631" s="7" t="n">
        <f aca="false">IF(B4631="Movie",IFERROR(VALUE(LEFT(I4631,FIND(" ",I4631)-1)),""),"")</f>
        <v>104</v>
      </c>
      <c r="O4631" s="7" t="str">
        <f aca="false">IF(B4631="TV Show",IFERROR(VALUE(LEFT(I4631,FIND(" ",I4631)-1)),""),"")</f>
        <v/>
      </c>
      <c r="P4631" s="7" t="n">
        <f aca="false">IF(K4631="","",K4631-G4631)</f>
        <v>17</v>
      </c>
    </row>
    <row r="4632" customFormat="false" ht="15" hidden="false" customHeight="false" outlineLevel="0" collapsed="false">
      <c r="A4632" s="7" t="n">
        <v>81151079</v>
      </c>
      <c r="B4632" s="7" t="s">
        <v>78</v>
      </c>
      <c r="C4632" s="7" t="s">
        <v>9448</v>
      </c>
      <c r="E4632" s="7" t="s">
        <v>868</v>
      </c>
      <c r="F4632" s="7" t="s">
        <v>9428</v>
      </c>
      <c r="G4632" s="7" t="n">
        <v>2011</v>
      </c>
      <c r="H4632" s="7" t="s">
        <v>119</v>
      </c>
      <c r="I4632" s="7" t="s">
        <v>82</v>
      </c>
      <c r="J4632" s="7" t="s">
        <v>4493</v>
      </c>
      <c r="K4632" s="7" t="n">
        <f aca="false">IFERROR(VALUE(RIGHT(TRIM(F4632),4)),"")</f>
        <v>2019</v>
      </c>
      <c r="L4632" s="7" t="str">
        <f aca="false">IF(TRIM(E4632)="","Unknown",IFERROR(LEFT(TRIM(E4632),FIND(",",TRIM(E4632))-1),TRIM(E4632)))</f>
        <v>Netherlands</v>
      </c>
      <c r="M4632" s="7" t="str">
        <f aca="false">IFERROR(LEFT(J4632,FIND(",",J4632)-1),J4632)</f>
        <v>British TV Shows</v>
      </c>
      <c r="N4632" s="7" t="str">
        <f aca="false">IF(B4632="Movie",IFERROR(VALUE(LEFT(I4632,FIND(" ",I4632)-1)),""),"")</f>
        <v/>
      </c>
      <c r="O4632" s="7" t="n">
        <f aca="false">IF(B4632="TV Show",IFERROR(VALUE(LEFT(I4632,FIND(" ",I4632)-1)),""),"")</f>
        <v>1</v>
      </c>
      <c r="P4632" s="7" t="n">
        <f aca="false">IF(K4632="","",K4632-G4632)</f>
        <v>8</v>
      </c>
    </row>
    <row r="4633" customFormat="false" ht="15" hidden="false" customHeight="false" outlineLevel="0" collapsed="false">
      <c r="A4633" s="7" t="n">
        <v>873159</v>
      </c>
      <c r="B4633" s="7" t="s">
        <v>68</v>
      </c>
      <c r="C4633" s="7" t="s">
        <v>9449</v>
      </c>
      <c r="D4633" s="7" t="s">
        <v>3179</v>
      </c>
      <c r="E4633" s="7" t="s">
        <v>26</v>
      </c>
      <c r="F4633" s="7" t="s">
        <v>9428</v>
      </c>
      <c r="G4633" s="7" t="n">
        <v>1996</v>
      </c>
      <c r="H4633" s="7" t="s">
        <v>51</v>
      </c>
      <c r="I4633" s="7" t="s">
        <v>1707</v>
      </c>
      <c r="J4633" s="7" t="s">
        <v>597</v>
      </c>
      <c r="K4633" s="7" t="n">
        <f aca="false">IFERROR(VALUE(RIGHT(TRIM(F4633),4)),"")</f>
        <v>2019</v>
      </c>
      <c r="L4633" s="7" t="str">
        <f aca="false">IF(TRIM(E4633)="","Unknown",IFERROR(LEFT(TRIM(E4633),FIND(",",TRIM(E4633))-1),TRIM(E4633)))</f>
        <v>United States</v>
      </c>
      <c r="M4633" s="7" t="str">
        <f aca="false">IFERROR(LEFT(J4633,FIND(",",J4633)-1),J4633)</f>
        <v>Dramas</v>
      </c>
      <c r="N4633" s="7" t="n">
        <f aca="false">IF(B4633="Movie",IFERROR(VALUE(LEFT(I4633,FIND(" ",I4633)-1)),""),"")</f>
        <v>131</v>
      </c>
      <c r="O4633" s="7" t="str">
        <f aca="false">IF(B4633="TV Show",IFERROR(VALUE(LEFT(I4633,FIND(" ",I4633)-1)),""),"")</f>
        <v/>
      </c>
      <c r="P4633" s="7" t="n">
        <f aca="false">IF(K4633="","",K4633-G4633)</f>
        <v>23</v>
      </c>
    </row>
    <row r="4634" customFormat="false" ht="15" hidden="false" customHeight="false" outlineLevel="0" collapsed="false">
      <c r="A4634" s="7" t="n">
        <v>81217747</v>
      </c>
      <c r="B4634" s="7" t="s">
        <v>68</v>
      </c>
      <c r="C4634" s="7" t="s">
        <v>9450</v>
      </c>
      <c r="D4634" s="7" t="s">
        <v>9451</v>
      </c>
      <c r="E4634" s="7" t="s">
        <v>27</v>
      </c>
      <c r="F4634" s="7" t="s">
        <v>9428</v>
      </c>
      <c r="G4634" s="7" t="n">
        <v>2018</v>
      </c>
      <c r="H4634" s="7" t="s">
        <v>50</v>
      </c>
      <c r="I4634" s="7" t="s">
        <v>749</v>
      </c>
      <c r="J4634" s="7" t="s">
        <v>240</v>
      </c>
      <c r="K4634" s="7" t="n">
        <f aca="false">IFERROR(VALUE(RIGHT(TRIM(F4634),4)),"")</f>
        <v>2019</v>
      </c>
      <c r="L4634" s="7" t="str">
        <f aca="false">IF(TRIM(E4634)="","Unknown",IFERROR(LEFT(TRIM(E4634),FIND(",",TRIM(E4634))-1),TRIM(E4634)))</f>
        <v>India</v>
      </c>
      <c r="M4634" s="7" t="str">
        <f aca="false">IFERROR(LEFT(J4634,FIND(",",J4634)-1),J4634)</f>
        <v>Dramas</v>
      </c>
      <c r="N4634" s="7" t="n">
        <f aca="false">IF(B4634="Movie",IFERROR(VALUE(LEFT(I4634,FIND(" ",I4634)-1)),""),"")</f>
        <v>137</v>
      </c>
      <c r="O4634" s="7" t="str">
        <f aca="false">IF(B4634="TV Show",IFERROR(VALUE(LEFT(I4634,FIND(" ",I4634)-1)),""),"")</f>
        <v/>
      </c>
      <c r="P4634" s="7" t="n">
        <f aca="false">IF(K4634="","",K4634-G4634)</f>
        <v>1</v>
      </c>
    </row>
    <row r="4635" customFormat="false" ht="15" hidden="false" customHeight="false" outlineLevel="0" collapsed="false">
      <c r="A4635" s="7" t="n">
        <v>70229213</v>
      </c>
      <c r="B4635" s="7" t="s">
        <v>68</v>
      </c>
      <c r="C4635" s="7" t="s">
        <v>9452</v>
      </c>
      <c r="D4635" s="7" t="s">
        <v>9453</v>
      </c>
      <c r="E4635" s="7" t="s">
        <v>9454</v>
      </c>
      <c r="F4635" s="7" t="s">
        <v>9428</v>
      </c>
      <c r="G4635" s="7" t="n">
        <v>2012</v>
      </c>
      <c r="H4635" s="7" t="s">
        <v>52</v>
      </c>
      <c r="I4635" s="7" t="s">
        <v>212</v>
      </c>
      <c r="J4635" s="7" t="s">
        <v>699</v>
      </c>
      <c r="K4635" s="7" t="n">
        <f aca="false">IFERROR(VALUE(RIGHT(TRIM(F4635),4)),"")</f>
        <v>2019</v>
      </c>
      <c r="L4635" s="7" t="str">
        <f aca="false">IF(TRIM(E4635)="","Unknown",IFERROR(LEFT(TRIM(E4635),FIND(",",TRIM(E4635))-1),TRIM(E4635)))</f>
        <v>Sweden</v>
      </c>
      <c r="M4635" s="7" t="str">
        <f aca="false">IFERROR(LEFT(J4635,FIND(",",J4635)-1),J4635)</f>
        <v>Documentaries</v>
      </c>
      <c r="N4635" s="7" t="n">
        <f aca="false">IF(B4635="Movie",IFERROR(VALUE(LEFT(I4635,FIND(" ",I4635)-1)),""),"")</f>
        <v>86</v>
      </c>
      <c r="O4635" s="7" t="str">
        <f aca="false">IF(B4635="TV Show",IFERROR(VALUE(LEFT(I4635,FIND(" ",I4635)-1)),""),"")</f>
        <v/>
      </c>
      <c r="P4635" s="7" t="n">
        <f aca="false">IF(K4635="","",K4635-G4635)</f>
        <v>7</v>
      </c>
    </row>
    <row r="4636" customFormat="false" ht="15" hidden="false" customHeight="false" outlineLevel="0" collapsed="false">
      <c r="A4636" s="7" t="n">
        <v>81194523</v>
      </c>
      <c r="B4636" s="7" t="s">
        <v>78</v>
      </c>
      <c r="C4636" s="7" t="s">
        <v>9455</v>
      </c>
      <c r="E4636" s="7" t="s">
        <v>32</v>
      </c>
      <c r="F4636" s="7" t="s">
        <v>9428</v>
      </c>
      <c r="G4636" s="7" t="n">
        <v>2018</v>
      </c>
      <c r="H4636" s="7" t="s">
        <v>49</v>
      </c>
      <c r="I4636" s="7" t="s">
        <v>82</v>
      </c>
      <c r="J4636" s="7" t="s">
        <v>852</v>
      </c>
      <c r="K4636" s="7" t="n">
        <f aca="false">IFERROR(VALUE(RIGHT(TRIM(F4636),4)),"")</f>
        <v>2019</v>
      </c>
      <c r="L4636" s="7" t="str">
        <f aca="false">IF(TRIM(E4636)="","Unknown",IFERROR(LEFT(TRIM(E4636),FIND(",",TRIM(E4636))-1),TRIM(E4636)))</f>
        <v>South Korea</v>
      </c>
      <c r="M4636" s="7" t="str">
        <f aca="false">IFERROR(LEFT(J4636,FIND(",",J4636)-1),J4636)</f>
        <v>International TV Shows</v>
      </c>
      <c r="N4636" s="7" t="str">
        <f aca="false">IF(B4636="Movie",IFERROR(VALUE(LEFT(I4636,FIND(" ",I4636)-1)),""),"")</f>
        <v/>
      </c>
      <c r="O4636" s="7" t="n">
        <f aca="false">IF(B4636="TV Show",IFERROR(VALUE(LEFT(I4636,FIND(" ",I4636)-1)),""),"")</f>
        <v>1</v>
      </c>
      <c r="P4636" s="7" t="n">
        <f aca="false">IF(K4636="","",K4636-G4636)</f>
        <v>1</v>
      </c>
    </row>
    <row r="4637" customFormat="false" ht="15" hidden="false" customHeight="false" outlineLevel="0" collapsed="false">
      <c r="A4637" s="7" t="n">
        <v>80191294</v>
      </c>
      <c r="B4637" s="7" t="s">
        <v>68</v>
      </c>
      <c r="C4637" s="7" t="s">
        <v>9456</v>
      </c>
      <c r="D4637" s="7" t="s">
        <v>9457</v>
      </c>
      <c r="E4637" s="7" t="s">
        <v>230</v>
      </c>
      <c r="F4637" s="7" t="s">
        <v>9428</v>
      </c>
      <c r="G4637" s="7" t="n">
        <v>2017</v>
      </c>
      <c r="H4637" s="7" t="s">
        <v>51</v>
      </c>
      <c r="I4637" s="7" t="s">
        <v>272</v>
      </c>
      <c r="J4637" s="7" t="s">
        <v>520</v>
      </c>
      <c r="K4637" s="7" t="n">
        <f aca="false">IFERROR(VALUE(RIGHT(TRIM(F4637),4)),"")</f>
        <v>2019</v>
      </c>
      <c r="L4637" s="7" t="str">
        <f aca="false">IF(TRIM(E4637)="","Unknown",IFERROR(LEFT(TRIM(E4637),FIND(",",TRIM(E4637))-1),TRIM(E4637)))</f>
        <v>United States</v>
      </c>
      <c r="M4637" s="7" t="str">
        <f aca="false">IFERROR(LEFT(J4637,FIND(",",J4637)-1),J4637)</f>
        <v>Dramas</v>
      </c>
      <c r="N4637" s="7" t="n">
        <f aca="false">IF(B4637="Movie",IFERROR(VALUE(LEFT(I4637,FIND(" ",I4637)-1)),""),"")</f>
        <v>93</v>
      </c>
      <c r="O4637" s="7" t="str">
        <f aca="false">IF(B4637="TV Show",IFERROR(VALUE(LEFT(I4637,FIND(" ",I4637)-1)),""),"")</f>
        <v/>
      </c>
      <c r="P4637" s="7" t="n">
        <f aca="false">IF(K4637="","",K4637-G4637)</f>
        <v>2</v>
      </c>
    </row>
    <row r="4638" customFormat="false" ht="15" hidden="false" customHeight="false" outlineLevel="0" collapsed="false">
      <c r="A4638" s="7" t="n">
        <v>81184705</v>
      </c>
      <c r="B4638" s="7" t="s">
        <v>68</v>
      </c>
      <c r="C4638" s="7" t="s">
        <v>9458</v>
      </c>
      <c r="D4638" s="7" t="s">
        <v>9459</v>
      </c>
      <c r="F4638" s="7" t="s">
        <v>9428</v>
      </c>
      <c r="G4638" s="7" t="n">
        <v>2019</v>
      </c>
      <c r="H4638" s="7" t="s">
        <v>49</v>
      </c>
      <c r="I4638" s="7" t="s">
        <v>330</v>
      </c>
      <c r="J4638" s="7" t="s">
        <v>1539</v>
      </c>
      <c r="K4638" s="7" t="n">
        <f aca="false">IFERROR(VALUE(RIGHT(TRIM(F4638),4)),"")</f>
        <v>2019</v>
      </c>
      <c r="L4638" s="7" t="str">
        <f aca="false">IF(TRIM(E4638)="","Unknown",IFERROR(LEFT(TRIM(E4638),FIND(",",TRIM(E4638))-1),TRIM(E4638)))</f>
        <v>Unknown</v>
      </c>
      <c r="M4638" s="7" t="str">
        <f aca="false">IFERROR(LEFT(J4638,FIND(",",J4638)-1),J4638)</f>
        <v>Children &amp; Family Movies</v>
      </c>
      <c r="N4638" s="7" t="n">
        <f aca="false">IF(B4638="Movie",IFERROR(VALUE(LEFT(I4638,FIND(" ",I4638)-1)),""),"")</f>
        <v>103</v>
      </c>
      <c r="O4638" s="7" t="str">
        <f aca="false">IF(B4638="TV Show",IFERROR(VALUE(LEFT(I4638,FIND(" ",I4638)-1)),""),"")</f>
        <v/>
      </c>
      <c r="P4638" s="7" t="n">
        <f aca="false">IF(K4638="","",K4638-G4638)</f>
        <v>0</v>
      </c>
    </row>
    <row r="4639" customFormat="false" ht="15" hidden="false" customHeight="false" outlineLevel="0" collapsed="false">
      <c r="A4639" s="7" t="n">
        <v>70021640</v>
      </c>
      <c r="B4639" s="7" t="s">
        <v>68</v>
      </c>
      <c r="C4639" s="7" t="s">
        <v>9460</v>
      </c>
      <c r="D4639" s="7" t="s">
        <v>4325</v>
      </c>
      <c r="E4639" s="7" t="s">
        <v>26</v>
      </c>
      <c r="F4639" s="7" t="s">
        <v>9428</v>
      </c>
      <c r="G4639" s="7" t="n">
        <v>2005</v>
      </c>
      <c r="H4639" s="7" t="s">
        <v>54</v>
      </c>
      <c r="I4639" s="7" t="s">
        <v>272</v>
      </c>
      <c r="J4639" s="7" t="s">
        <v>42</v>
      </c>
      <c r="K4639" s="7" t="n">
        <f aca="false">IFERROR(VALUE(RIGHT(TRIM(F4639),4)),"")</f>
        <v>2019</v>
      </c>
      <c r="L4639" s="7" t="str">
        <f aca="false">IF(TRIM(E4639)="","Unknown",IFERROR(LEFT(TRIM(E4639),FIND(",",TRIM(E4639))-1),TRIM(E4639)))</f>
        <v>United States</v>
      </c>
      <c r="M4639" s="7" t="str">
        <f aca="false">IFERROR(LEFT(J4639,FIND(",",J4639)-1),J4639)</f>
        <v>Children &amp; Family Movies</v>
      </c>
      <c r="N4639" s="7" t="n">
        <f aca="false">IF(B4639="Movie",IFERROR(VALUE(LEFT(I4639,FIND(" ",I4639)-1)),""),"")</f>
        <v>93</v>
      </c>
      <c r="O4639" s="7" t="str">
        <f aca="false">IF(B4639="TV Show",IFERROR(VALUE(LEFT(I4639,FIND(" ",I4639)-1)),""),"")</f>
        <v/>
      </c>
      <c r="P4639" s="7" t="n">
        <f aca="false">IF(K4639="","",K4639-G4639)</f>
        <v>14</v>
      </c>
    </row>
    <row r="4640" customFormat="false" ht="15" hidden="false" customHeight="false" outlineLevel="0" collapsed="false">
      <c r="A4640" s="7" t="n">
        <v>80202859</v>
      </c>
      <c r="B4640" s="7" t="s">
        <v>78</v>
      </c>
      <c r="C4640" s="7" t="s">
        <v>9461</v>
      </c>
      <c r="F4640" s="7" t="s">
        <v>9428</v>
      </c>
      <c r="G4640" s="7" t="n">
        <v>2009</v>
      </c>
      <c r="H4640" s="7" t="s">
        <v>49</v>
      </c>
      <c r="I4640" s="7" t="s">
        <v>82</v>
      </c>
      <c r="J4640" s="7" t="s">
        <v>8250</v>
      </c>
      <c r="K4640" s="7" t="n">
        <f aca="false">IFERROR(VALUE(RIGHT(TRIM(F4640),4)),"")</f>
        <v>2019</v>
      </c>
      <c r="L4640" s="7" t="str">
        <f aca="false">IF(TRIM(E4640)="","Unknown",IFERROR(LEFT(TRIM(E4640),FIND(",",TRIM(E4640))-1),TRIM(E4640)))</f>
        <v>Unknown</v>
      </c>
      <c r="M4640" s="7" t="str">
        <f aca="false">IFERROR(LEFT(J4640,FIND(",",J4640)-1),J4640)</f>
        <v>Reality TV</v>
      </c>
      <c r="N4640" s="7" t="str">
        <f aca="false">IF(B4640="Movie",IFERROR(VALUE(LEFT(I4640,FIND(" ",I4640)-1)),""),"")</f>
        <v/>
      </c>
      <c r="O4640" s="7" t="n">
        <f aca="false">IF(B4640="TV Show",IFERROR(VALUE(LEFT(I4640,FIND(" ",I4640)-1)),""),"")</f>
        <v>1</v>
      </c>
      <c r="P4640" s="7" t="n">
        <f aca="false">IF(K4640="","",K4640-G4640)</f>
        <v>10</v>
      </c>
    </row>
    <row r="4641" customFormat="false" ht="15" hidden="false" customHeight="false" outlineLevel="0" collapsed="false">
      <c r="A4641" s="7" t="n">
        <v>70044689</v>
      </c>
      <c r="B4641" s="7" t="s">
        <v>68</v>
      </c>
      <c r="C4641" s="7" t="s">
        <v>9462</v>
      </c>
      <c r="D4641" s="7" t="s">
        <v>2052</v>
      </c>
      <c r="E4641" s="7" t="s">
        <v>26</v>
      </c>
      <c r="F4641" s="7" t="s">
        <v>9428</v>
      </c>
      <c r="G4641" s="7" t="n">
        <v>2006</v>
      </c>
      <c r="H4641" s="7" t="s">
        <v>51</v>
      </c>
      <c r="I4641" s="7" t="s">
        <v>1041</v>
      </c>
      <c r="J4641" s="7" t="s">
        <v>597</v>
      </c>
      <c r="K4641" s="7" t="n">
        <f aca="false">IFERROR(VALUE(RIGHT(TRIM(F4641),4)),"")</f>
        <v>2019</v>
      </c>
      <c r="L4641" s="7" t="str">
        <f aca="false">IF(TRIM(E4641)="","Unknown",IFERROR(LEFT(TRIM(E4641),FIND(",",TRIM(E4641))-1),TRIM(E4641)))</f>
        <v>United States</v>
      </c>
      <c r="M4641" s="7" t="str">
        <f aca="false">IFERROR(LEFT(J4641,FIND(",",J4641)-1),J4641)</f>
        <v>Dramas</v>
      </c>
      <c r="N4641" s="7" t="n">
        <f aca="false">IF(B4641="Movie",IFERROR(VALUE(LEFT(I4641,FIND(" ",I4641)-1)),""),"")</f>
        <v>151</v>
      </c>
      <c r="O4641" s="7" t="str">
        <f aca="false">IF(B4641="TV Show",IFERROR(VALUE(LEFT(I4641,FIND(" ",I4641)-1)),""),"")</f>
        <v/>
      </c>
      <c r="P4641" s="7" t="n">
        <f aca="false">IF(K4641="","",K4641-G4641)</f>
        <v>13</v>
      </c>
    </row>
    <row r="4642" customFormat="false" ht="15" hidden="false" customHeight="false" outlineLevel="0" collapsed="false">
      <c r="A4642" s="7" t="n">
        <v>80208793</v>
      </c>
      <c r="B4642" s="7" t="s">
        <v>68</v>
      </c>
      <c r="C4642" s="7" t="s">
        <v>9463</v>
      </c>
      <c r="D4642" s="7" t="s">
        <v>9464</v>
      </c>
      <c r="E4642" s="7" t="s">
        <v>26</v>
      </c>
      <c r="F4642" s="7" t="s">
        <v>9428</v>
      </c>
      <c r="G4642" s="7" t="n">
        <v>2017</v>
      </c>
      <c r="H4642" s="7" t="s">
        <v>51</v>
      </c>
      <c r="I4642" s="7" t="s">
        <v>417</v>
      </c>
      <c r="J4642" s="7" t="s">
        <v>3855</v>
      </c>
      <c r="K4642" s="7" t="n">
        <f aca="false">IFERROR(VALUE(RIGHT(TRIM(F4642),4)),"")</f>
        <v>2019</v>
      </c>
      <c r="L4642" s="7" t="str">
        <f aca="false">IF(TRIM(E4642)="","Unknown",IFERROR(LEFT(TRIM(E4642),FIND(",",TRIM(E4642))-1),TRIM(E4642)))</f>
        <v>United States</v>
      </c>
      <c r="M4642" s="7" t="str">
        <f aca="false">IFERROR(LEFT(J4642,FIND(",",J4642)-1),J4642)</f>
        <v>Dramas</v>
      </c>
      <c r="N4642" s="7" t="n">
        <f aca="false">IF(B4642="Movie",IFERROR(VALUE(LEFT(I4642,FIND(" ",I4642)-1)),""),"")</f>
        <v>104</v>
      </c>
      <c r="O4642" s="7" t="str">
        <f aca="false">IF(B4642="TV Show",IFERROR(VALUE(LEFT(I4642,FIND(" ",I4642)-1)),""),"")</f>
        <v/>
      </c>
      <c r="P4642" s="7" t="n">
        <f aca="false">IF(K4642="","",K4642-G4642)</f>
        <v>2</v>
      </c>
    </row>
    <row r="4643" customFormat="false" ht="15" hidden="false" customHeight="false" outlineLevel="0" collapsed="false">
      <c r="A4643" s="7" t="n">
        <v>81217742</v>
      </c>
      <c r="B4643" s="7" t="s">
        <v>68</v>
      </c>
      <c r="C4643" s="7" t="s">
        <v>9465</v>
      </c>
      <c r="D4643" s="7" t="s">
        <v>9466</v>
      </c>
      <c r="E4643" s="7" t="s">
        <v>27</v>
      </c>
      <c r="F4643" s="7" t="s">
        <v>9428</v>
      </c>
      <c r="G4643" s="7" t="n">
        <v>2017</v>
      </c>
      <c r="H4643" s="7" t="s">
        <v>49</v>
      </c>
      <c r="I4643" s="7" t="s">
        <v>201</v>
      </c>
      <c r="J4643" s="7" t="s">
        <v>217</v>
      </c>
      <c r="K4643" s="7" t="n">
        <f aca="false">IFERROR(VALUE(RIGHT(TRIM(F4643),4)),"")</f>
        <v>2019</v>
      </c>
      <c r="L4643" s="7" t="str">
        <f aca="false">IF(TRIM(E4643)="","Unknown",IFERROR(LEFT(TRIM(E4643),FIND(",",TRIM(E4643))-1),TRIM(E4643)))</f>
        <v>India</v>
      </c>
      <c r="M4643" s="7" t="str">
        <f aca="false">IFERROR(LEFT(J4643,FIND(",",J4643)-1),J4643)</f>
        <v>Comedies</v>
      </c>
      <c r="N4643" s="7" t="n">
        <f aca="false">IF(B4643="Movie",IFERROR(VALUE(LEFT(I4643,FIND(" ",I4643)-1)),""),"")</f>
        <v>133</v>
      </c>
      <c r="O4643" s="7" t="str">
        <f aca="false">IF(B4643="TV Show",IFERROR(VALUE(LEFT(I4643,FIND(" ",I4643)-1)),""),"")</f>
        <v/>
      </c>
      <c r="P4643" s="7" t="n">
        <f aca="false">IF(K4643="","",K4643-G4643)</f>
        <v>2</v>
      </c>
    </row>
    <row r="4644" customFormat="false" ht="15" hidden="false" customHeight="false" outlineLevel="0" collapsed="false">
      <c r="A4644" s="7" t="n">
        <v>81169158</v>
      </c>
      <c r="B4644" s="7" t="s">
        <v>68</v>
      </c>
      <c r="C4644" s="7" t="s">
        <v>9467</v>
      </c>
      <c r="D4644" s="7" t="s">
        <v>9468</v>
      </c>
      <c r="E4644" s="7" t="s">
        <v>31</v>
      </c>
      <c r="F4644" s="7" t="s">
        <v>9428</v>
      </c>
      <c r="G4644" s="7" t="n">
        <v>2019</v>
      </c>
      <c r="H4644" s="7" t="s">
        <v>48</v>
      </c>
      <c r="I4644" s="7" t="s">
        <v>111</v>
      </c>
      <c r="J4644" s="7" t="s">
        <v>699</v>
      </c>
      <c r="K4644" s="7" t="n">
        <f aca="false">IFERROR(VALUE(RIGHT(TRIM(F4644),4)),"")</f>
        <v>2019</v>
      </c>
      <c r="L4644" s="7" t="str">
        <f aca="false">IF(TRIM(E4644)="","Unknown",IFERROR(LEFT(TRIM(E4644),FIND(",",TRIM(E4644))-1),TRIM(E4644)))</f>
        <v>France</v>
      </c>
      <c r="M4644" s="7" t="str">
        <f aca="false">IFERROR(LEFT(J4644,FIND(",",J4644)-1),J4644)</f>
        <v>Documentaries</v>
      </c>
      <c r="N4644" s="7" t="n">
        <f aca="false">IF(B4644="Movie",IFERROR(VALUE(LEFT(I4644,FIND(" ",I4644)-1)),""),"")</f>
        <v>95</v>
      </c>
      <c r="O4644" s="7" t="str">
        <f aca="false">IF(B4644="TV Show",IFERROR(VALUE(LEFT(I4644,FIND(" ",I4644)-1)),""),"")</f>
        <v/>
      </c>
      <c r="P4644" s="7" t="n">
        <f aca="false">IF(K4644="","",K4644-G4644)</f>
        <v>0</v>
      </c>
    </row>
    <row r="4645" customFormat="false" ht="15" hidden="false" customHeight="false" outlineLevel="0" collapsed="false">
      <c r="A4645" s="7" t="n">
        <v>81149202</v>
      </c>
      <c r="B4645" s="7" t="s">
        <v>68</v>
      </c>
      <c r="C4645" s="7" t="s">
        <v>9469</v>
      </c>
      <c r="D4645" s="7" t="s">
        <v>9470</v>
      </c>
      <c r="E4645" s="7" t="s">
        <v>9471</v>
      </c>
      <c r="F4645" s="7" t="s">
        <v>9428</v>
      </c>
      <c r="G4645" s="7" t="n">
        <v>2015</v>
      </c>
      <c r="H4645" s="7" t="s">
        <v>48</v>
      </c>
      <c r="I4645" s="7" t="s">
        <v>235</v>
      </c>
      <c r="J4645" s="7" t="s">
        <v>182</v>
      </c>
      <c r="K4645" s="7" t="n">
        <f aca="false">IFERROR(VALUE(RIGHT(TRIM(F4645),4)),"")</f>
        <v>2019</v>
      </c>
      <c r="L4645" s="7" t="str">
        <f aca="false">IF(TRIM(E4645)="","Unknown",IFERROR(LEFT(TRIM(E4645),FIND(",",TRIM(E4645))-1),TRIM(E4645)))</f>
        <v>Romania</v>
      </c>
      <c r="M4645" s="7" t="str">
        <f aca="false">IFERROR(LEFT(J4645,FIND(",",J4645)-1),J4645)</f>
        <v>Dramas</v>
      </c>
      <c r="N4645" s="7" t="n">
        <f aca="false">IF(B4645="Movie",IFERROR(VALUE(LEFT(I4645,FIND(" ",I4645)-1)),""),"")</f>
        <v>126</v>
      </c>
      <c r="O4645" s="7" t="str">
        <f aca="false">IF(B4645="TV Show",IFERROR(VALUE(LEFT(I4645,FIND(" ",I4645)-1)),""),"")</f>
        <v/>
      </c>
      <c r="P4645" s="7" t="n">
        <f aca="false">IF(K4645="","",K4645-G4645)</f>
        <v>4</v>
      </c>
    </row>
    <row r="4646" customFormat="false" ht="15" hidden="false" customHeight="false" outlineLevel="0" collapsed="false">
      <c r="A4646" s="7" t="n">
        <v>80212701</v>
      </c>
      <c r="B4646" s="7" t="s">
        <v>78</v>
      </c>
      <c r="C4646" s="7" t="s">
        <v>9472</v>
      </c>
      <c r="E4646" s="7" t="s">
        <v>27</v>
      </c>
      <c r="F4646" s="7" t="s">
        <v>9473</v>
      </c>
      <c r="G4646" s="7" t="n">
        <v>2018</v>
      </c>
      <c r="H4646" s="7" t="s">
        <v>49</v>
      </c>
      <c r="I4646" s="7" t="s">
        <v>82</v>
      </c>
      <c r="J4646" s="7" t="s">
        <v>344</v>
      </c>
      <c r="K4646" s="7" t="n">
        <f aca="false">IFERROR(VALUE(RIGHT(TRIM(F4646),4)),"")</f>
        <v>2018</v>
      </c>
      <c r="L4646" s="7" t="str">
        <f aca="false">IF(TRIM(E4646)="","Unknown",IFERROR(LEFT(TRIM(E4646),FIND(",",TRIM(E4646))-1),TRIM(E4646)))</f>
        <v>India</v>
      </c>
      <c r="M4646" s="7" t="str">
        <f aca="false">IFERROR(LEFT(J4646,FIND(",",J4646)-1),J4646)</f>
        <v>International TV Shows</v>
      </c>
      <c r="N4646" s="7" t="str">
        <f aca="false">IF(B4646="Movie",IFERROR(VALUE(LEFT(I4646,FIND(" ",I4646)-1)),""),"")</f>
        <v/>
      </c>
      <c r="O4646" s="7" t="n">
        <f aca="false">IF(B4646="TV Show",IFERROR(VALUE(LEFT(I4646,FIND(" ",I4646)-1)),""),"")</f>
        <v>1</v>
      </c>
      <c r="P4646" s="7" t="n">
        <f aca="false">IF(K4646="","",K4646-G4646)</f>
        <v>0</v>
      </c>
    </row>
    <row r="4647" customFormat="false" ht="15" hidden="false" customHeight="false" outlineLevel="0" collapsed="false">
      <c r="A4647" s="7" t="n">
        <v>70216819</v>
      </c>
      <c r="B4647" s="7" t="s">
        <v>68</v>
      </c>
      <c r="C4647" s="7" t="s">
        <v>9474</v>
      </c>
      <c r="D4647" s="7" t="s">
        <v>9475</v>
      </c>
      <c r="E4647" s="7" t="s">
        <v>2476</v>
      </c>
      <c r="F4647" s="7" t="s">
        <v>9473</v>
      </c>
      <c r="G4647" s="7" t="n">
        <v>2011</v>
      </c>
      <c r="H4647" s="7" t="s">
        <v>49</v>
      </c>
      <c r="I4647" s="7" t="s">
        <v>232</v>
      </c>
      <c r="J4647" s="7" t="s">
        <v>240</v>
      </c>
      <c r="K4647" s="7" t="n">
        <f aca="false">IFERROR(VALUE(RIGHT(TRIM(F4647),4)),"")</f>
        <v>2018</v>
      </c>
      <c r="L4647" s="7" t="str">
        <f aca="false">IF(TRIM(E4647)="","Unknown",IFERROR(LEFT(TRIM(E4647),FIND(",",TRIM(E4647))-1),TRIM(E4647)))</f>
        <v>China</v>
      </c>
      <c r="M4647" s="7" t="str">
        <f aca="false">IFERROR(LEFT(J4647,FIND(",",J4647)-1),J4647)</f>
        <v>Dramas</v>
      </c>
      <c r="N4647" s="7" t="n">
        <f aca="false">IF(B4647="Movie",IFERROR(VALUE(LEFT(I4647,FIND(" ",I4647)-1)),""),"")</f>
        <v>122</v>
      </c>
      <c r="O4647" s="7" t="str">
        <f aca="false">IF(B4647="TV Show",IFERROR(VALUE(LEFT(I4647,FIND(" ",I4647)-1)),""),"")</f>
        <v/>
      </c>
      <c r="P4647" s="7" t="n">
        <f aca="false">IF(K4647="","",K4647-G4647)</f>
        <v>7</v>
      </c>
    </row>
    <row r="4648" customFormat="false" ht="15" hidden="false" customHeight="false" outlineLevel="0" collapsed="false">
      <c r="A4648" s="7" t="n">
        <v>70124651</v>
      </c>
      <c r="B4648" s="7" t="s">
        <v>68</v>
      </c>
      <c r="C4648" s="7" t="s">
        <v>9476</v>
      </c>
      <c r="D4648" s="7" t="s">
        <v>9477</v>
      </c>
      <c r="E4648" s="7" t="s">
        <v>411</v>
      </c>
      <c r="F4648" s="7" t="s">
        <v>9473</v>
      </c>
      <c r="G4648" s="7" t="n">
        <v>2009</v>
      </c>
      <c r="H4648" s="7" t="s">
        <v>48</v>
      </c>
      <c r="I4648" s="7" t="s">
        <v>494</v>
      </c>
      <c r="J4648" s="7" t="s">
        <v>358</v>
      </c>
      <c r="K4648" s="7" t="n">
        <f aca="false">IFERROR(VALUE(RIGHT(TRIM(F4648),4)),"")</f>
        <v>2018</v>
      </c>
      <c r="L4648" s="7" t="str">
        <f aca="false">IF(TRIM(E4648)="","Unknown",IFERROR(LEFT(TRIM(E4648),FIND(",",TRIM(E4648))-1),TRIM(E4648)))</f>
        <v>Hong Kong</v>
      </c>
      <c r="M4648" s="7" t="str">
        <f aca="false">IFERROR(LEFT(J4648,FIND(",",J4648)-1),J4648)</f>
        <v>International Movies</v>
      </c>
      <c r="N4648" s="7" t="n">
        <f aca="false">IF(B4648="Movie",IFERROR(VALUE(LEFT(I4648,FIND(" ",I4648)-1)),""),"")</f>
        <v>87</v>
      </c>
      <c r="O4648" s="7" t="str">
        <f aca="false">IF(B4648="TV Show",IFERROR(VALUE(LEFT(I4648,FIND(" ",I4648)-1)),""),"")</f>
        <v/>
      </c>
      <c r="P4648" s="7" t="n">
        <f aca="false">IF(K4648="","",K4648-G4648)</f>
        <v>9</v>
      </c>
    </row>
    <row r="4649" customFormat="false" ht="15" hidden="false" customHeight="false" outlineLevel="0" collapsed="false">
      <c r="A4649" s="7" t="n">
        <v>81013509</v>
      </c>
      <c r="B4649" s="7" t="s">
        <v>68</v>
      </c>
      <c r="C4649" s="7" t="s">
        <v>9478</v>
      </c>
      <c r="D4649" s="7" t="s">
        <v>9479</v>
      </c>
      <c r="E4649" s="7" t="s">
        <v>34</v>
      </c>
      <c r="F4649" s="7" t="s">
        <v>9473</v>
      </c>
      <c r="G4649" s="7" t="n">
        <v>2018</v>
      </c>
      <c r="H4649" s="7" t="s">
        <v>49</v>
      </c>
      <c r="I4649" s="7" t="s">
        <v>1191</v>
      </c>
      <c r="J4649" s="7" t="s">
        <v>341</v>
      </c>
      <c r="K4649" s="7" t="n">
        <f aca="false">IFERROR(VALUE(RIGHT(TRIM(F4649),4)),"")</f>
        <v>2018</v>
      </c>
      <c r="L4649" s="7" t="str">
        <f aca="false">IF(TRIM(E4649)="","Unknown",IFERROR(LEFT(TRIM(E4649),FIND(",",TRIM(E4649))-1),TRIM(E4649)))</f>
        <v>Mexico</v>
      </c>
      <c r="M4649" s="7" t="str">
        <f aca="false">IFERROR(LEFT(J4649,FIND(",",J4649)-1),J4649)</f>
        <v>Documentaries</v>
      </c>
      <c r="N4649" s="7" t="n">
        <f aca="false">IF(B4649="Movie",IFERROR(VALUE(LEFT(I4649,FIND(" ",I4649)-1)),""),"")</f>
        <v>73</v>
      </c>
      <c r="O4649" s="7" t="str">
        <f aca="false">IF(B4649="TV Show",IFERROR(VALUE(LEFT(I4649,FIND(" ",I4649)-1)),""),"")</f>
        <v/>
      </c>
      <c r="P4649" s="7" t="n">
        <f aca="false">IF(K4649="","",K4649-G4649)</f>
        <v>0</v>
      </c>
    </row>
    <row r="4650" customFormat="false" ht="15" hidden="false" customHeight="false" outlineLevel="0" collapsed="false">
      <c r="A4650" s="7" t="n">
        <v>81002685</v>
      </c>
      <c r="B4650" s="7" t="s">
        <v>68</v>
      </c>
      <c r="C4650" s="7" t="s">
        <v>9480</v>
      </c>
      <c r="D4650" s="7" t="s">
        <v>9481</v>
      </c>
      <c r="E4650" s="7" t="s">
        <v>9482</v>
      </c>
      <c r="F4650" s="7" t="s">
        <v>9473</v>
      </c>
      <c r="G4650" s="7" t="n">
        <v>2018</v>
      </c>
      <c r="H4650" s="7" t="s">
        <v>48</v>
      </c>
      <c r="I4650" s="7" t="s">
        <v>134</v>
      </c>
      <c r="J4650" s="7" t="s">
        <v>240</v>
      </c>
      <c r="K4650" s="7" t="n">
        <f aca="false">IFERROR(VALUE(RIGHT(TRIM(F4650),4)),"")</f>
        <v>2018</v>
      </c>
      <c r="L4650" s="7" t="str">
        <f aca="false">IF(TRIM(E4650)="","Unknown",IFERROR(LEFT(TRIM(E4650),FIND(",",TRIM(E4650))-1),TRIM(E4650)))</f>
        <v>Norway</v>
      </c>
      <c r="M4650" s="7" t="str">
        <f aca="false">IFERROR(LEFT(J4650,FIND(",",J4650)-1),J4650)</f>
        <v>Dramas</v>
      </c>
      <c r="N4650" s="7" t="n">
        <f aca="false">IF(B4650="Movie",IFERROR(VALUE(LEFT(I4650,FIND(" ",I4650)-1)),""),"")</f>
        <v>98</v>
      </c>
      <c r="O4650" s="7" t="str">
        <f aca="false">IF(B4650="TV Show",IFERROR(VALUE(LEFT(I4650,FIND(" ",I4650)-1)),""),"")</f>
        <v/>
      </c>
      <c r="P4650" s="7" t="n">
        <f aca="false">IF(K4650="","",K4650-G4650)</f>
        <v>0</v>
      </c>
    </row>
    <row r="4651" customFormat="false" ht="15" hidden="false" customHeight="false" outlineLevel="0" collapsed="false">
      <c r="A4651" s="7" t="n">
        <v>70204955</v>
      </c>
      <c r="B4651" s="7" t="s">
        <v>78</v>
      </c>
      <c r="C4651" s="7" t="s">
        <v>9483</v>
      </c>
      <c r="E4651" s="7" t="s">
        <v>30</v>
      </c>
      <c r="F4651" s="7" t="s">
        <v>9473</v>
      </c>
      <c r="G4651" s="7" t="n">
        <v>2010</v>
      </c>
      <c r="H4651" s="7" t="s">
        <v>49</v>
      </c>
      <c r="I4651" s="7" t="s">
        <v>82</v>
      </c>
      <c r="J4651" s="7" t="s">
        <v>542</v>
      </c>
      <c r="K4651" s="7" t="n">
        <f aca="false">IFERROR(VALUE(RIGHT(TRIM(F4651),4)),"")</f>
        <v>2018</v>
      </c>
      <c r="L4651" s="7" t="str">
        <f aca="false">IF(TRIM(E4651)="","Unknown",IFERROR(LEFT(TRIM(E4651),FIND(",",TRIM(E4651))-1),TRIM(E4651)))</f>
        <v>Japan</v>
      </c>
      <c r="M4651" s="7" t="str">
        <f aca="false">IFERROR(LEFT(J4651,FIND(",",J4651)-1),J4651)</f>
        <v>Anime Series</v>
      </c>
      <c r="N4651" s="7" t="str">
        <f aca="false">IF(B4651="Movie",IFERROR(VALUE(LEFT(I4651,FIND(" ",I4651)-1)),""),"")</f>
        <v/>
      </c>
      <c r="O4651" s="7" t="n">
        <f aca="false">IF(B4651="TV Show",IFERROR(VALUE(LEFT(I4651,FIND(" ",I4651)-1)),""),"")</f>
        <v>1</v>
      </c>
      <c r="P4651" s="7" t="n">
        <f aca="false">IF(K4651="","",K4651-G4651)</f>
        <v>8</v>
      </c>
    </row>
    <row r="4652" customFormat="false" ht="15" hidden="false" customHeight="false" outlineLevel="0" collapsed="false">
      <c r="A4652" s="7" t="n">
        <v>70285697</v>
      </c>
      <c r="B4652" s="7" t="s">
        <v>68</v>
      </c>
      <c r="C4652" s="7" t="s">
        <v>9484</v>
      </c>
      <c r="D4652" s="7" t="s">
        <v>5391</v>
      </c>
      <c r="E4652" s="7" t="s">
        <v>429</v>
      </c>
      <c r="F4652" s="7" t="s">
        <v>9473</v>
      </c>
      <c r="G4652" s="7" t="n">
        <v>2013</v>
      </c>
      <c r="H4652" s="7" t="s">
        <v>48</v>
      </c>
      <c r="I4652" s="7" t="s">
        <v>247</v>
      </c>
      <c r="J4652" s="7" t="s">
        <v>139</v>
      </c>
      <c r="K4652" s="7" t="n">
        <f aca="false">IFERROR(VALUE(RIGHT(TRIM(F4652),4)),"")</f>
        <v>2018</v>
      </c>
      <c r="L4652" s="7" t="str">
        <f aca="false">IF(TRIM(E4652)="","Unknown",IFERROR(LEFT(TRIM(E4652),FIND(",",TRIM(E4652))-1),TRIM(E4652)))</f>
        <v>Hong Kong</v>
      </c>
      <c r="M4652" s="7" t="str">
        <f aca="false">IFERROR(LEFT(J4652,FIND(",",J4652)-1),J4652)</f>
        <v>Action &amp; Adventure</v>
      </c>
      <c r="N4652" s="7" t="n">
        <f aca="false">IF(B4652="Movie",IFERROR(VALUE(LEFT(I4652,FIND(" ",I4652)-1)),""),"")</f>
        <v>130</v>
      </c>
      <c r="O4652" s="7" t="str">
        <f aca="false">IF(B4652="TV Show",IFERROR(VALUE(LEFT(I4652,FIND(" ",I4652)-1)),""),"")</f>
        <v/>
      </c>
      <c r="P4652" s="7" t="n">
        <f aca="false">IF(K4652="","",K4652-G4652)</f>
        <v>5</v>
      </c>
    </row>
    <row r="4653" customFormat="false" ht="15" hidden="false" customHeight="false" outlineLevel="0" collapsed="false">
      <c r="A4653" s="7" t="n">
        <v>81018536</v>
      </c>
      <c r="B4653" s="7" t="s">
        <v>68</v>
      </c>
      <c r="C4653" s="7" t="s">
        <v>9485</v>
      </c>
      <c r="D4653" s="7" t="s">
        <v>9486</v>
      </c>
      <c r="E4653" s="7" t="s">
        <v>28</v>
      </c>
      <c r="F4653" s="7" t="s">
        <v>9473</v>
      </c>
      <c r="G4653" s="7" t="n">
        <v>2018</v>
      </c>
      <c r="H4653" s="7" t="s">
        <v>49</v>
      </c>
      <c r="I4653" s="7" t="s">
        <v>87</v>
      </c>
      <c r="J4653" s="7" t="s">
        <v>974</v>
      </c>
      <c r="K4653" s="7" t="n">
        <f aca="false">IFERROR(VALUE(RIGHT(TRIM(F4653),4)),"")</f>
        <v>2018</v>
      </c>
      <c r="L4653" s="7" t="str">
        <f aca="false">IF(TRIM(E4653)="","Unknown",IFERROR(LEFT(TRIM(E4653),FIND(",",TRIM(E4653))-1),TRIM(E4653)))</f>
        <v>United Kingdom</v>
      </c>
      <c r="M4653" s="7" t="str">
        <f aca="false">IFERROR(LEFT(J4653,FIND(",",J4653)-1),J4653)</f>
        <v>Documentaries</v>
      </c>
      <c r="N4653" s="7" t="n">
        <f aca="false">IF(B4653="Movie",IFERROR(VALUE(LEFT(I4653,FIND(" ",I4653)-1)),""),"")</f>
        <v>99</v>
      </c>
      <c r="O4653" s="7" t="str">
        <f aca="false">IF(B4653="TV Show",IFERROR(VALUE(LEFT(I4653,FIND(" ",I4653)-1)),""),"")</f>
        <v/>
      </c>
      <c r="P4653" s="7" t="n">
        <f aca="false">IF(K4653="","",K4653-G4653)</f>
        <v>0</v>
      </c>
    </row>
    <row r="4654" customFormat="false" ht="15" hidden="false" customHeight="false" outlineLevel="0" collapsed="false">
      <c r="A4654" s="7" t="n">
        <v>81030201</v>
      </c>
      <c r="B4654" s="7" t="s">
        <v>68</v>
      </c>
      <c r="C4654" s="7" t="s">
        <v>9487</v>
      </c>
      <c r="D4654" s="7" t="s">
        <v>9488</v>
      </c>
      <c r="E4654" s="7" t="s">
        <v>411</v>
      </c>
      <c r="F4654" s="7" t="s">
        <v>9473</v>
      </c>
      <c r="G4654" s="7" t="n">
        <v>2014</v>
      </c>
      <c r="H4654" s="7" t="s">
        <v>49</v>
      </c>
      <c r="I4654" s="7" t="s">
        <v>820</v>
      </c>
      <c r="J4654" s="7" t="s">
        <v>206</v>
      </c>
      <c r="K4654" s="7" t="n">
        <f aca="false">IFERROR(VALUE(RIGHT(TRIM(F4654),4)),"")</f>
        <v>2018</v>
      </c>
      <c r="L4654" s="7" t="str">
        <f aca="false">IF(TRIM(E4654)="","Unknown",IFERROR(LEFT(TRIM(E4654),FIND(",",TRIM(E4654))-1),TRIM(E4654)))</f>
        <v>Hong Kong</v>
      </c>
      <c r="M4654" s="7" t="str">
        <f aca="false">IFERROR(LEFT(J4654,FIND(",",J4654)-1),J4654)</f>
        <v>Comedies</v>
      </c>
      <c r="N4654" s="7" t="n">
        <f aca="false">IF(B4654="Movie",IFERROR(VALUE(LEFT(I4654,FIND(" ",I4654)-1)),""),"")</f>
        <v>105</v>
      </c>
      <c r="O4654" s="7" t="str">
        <f aca="false">IF(B4654="TV Show",IFERROR(VALUE(LEFT(I4654,FIND(" ",I4654)-1)),""),"")</f>
        <v/>
      </c>
      <c r="P4654" s="7" t="n">
        <f aca="false">IF(K4654="","",K4654-G4654)</f>
        <v>4</v>
      </c>
    </row>
    <row r="4655" customFormat="false" ht="15" hidden="false" customHeight="false" outlineLevel="0" collapsed="false">
      <c r="A4655" s="7" t="n">
        <v>81024726</v>
      </c>
      <c r="B4655" s="7" t="s">
        <v>68</v>
      </c>
      <c r="C4655" s="7" t="s">
        <v>9489</v>
      </c>
      <c r="D4655" s="7" t="s">
        <v>9490</v>
      </c>
      <c r="E4655" s="7" t="s">
        <v>27</v>
      </c>
      <c r="F4655" s="7" t="s">
        <v>9473</v>
      </c>
      <c r="G4655" s="7" t="n">
        <v>2014</v>
      </c>
      <c r="H4655" s="7" t="s">
        <v>49</v>
      </c>
      <c r="I4655" s="7" t="s">
        <v>93</v>
      </c>
      <c r="J4655" s="7" t="s">
        <v>217</v>
      </c>
      <c r="K4655" s="7" t="n">
        <f aca="false">IFERROR(VALUE(RIGHT(TRIM(F4655),4)),"")</f>
        <v>2018</v>
      </c>
      <c r="L4655" s="7" t="str">
        <f aca="false">IF(TRIM(E4655)="","Unknown",IFERROR(LEFT(TRIM(E4655),FIND(",",TRIM(E4655))-1),TRIM(E4655)))</f>
        <v>India</v>
      </c>
      <c r="M4655" s="7" t="str">
        <f aca="false">IFERROR(LEFT(J4655,FIND(",",J4655)-1),J4655)</f>
        <v>Comedies</v>
      </c>
      <c r="N4655" s="7" t="n">
        <f aca="false">IF(B4655="Movie",IFERROR(VALUE(LEFT(I4655,FIND(" ",I4655)-1)),""),"")</f>
        <v>110</v>
      </c>
      <c r="O4655" s="7" t="str">
        <f aca="false">IF(B4655="TV Show",IFERROR(VALUE(LEFT(I4655,FIND(" ",I4655)-1)),""),"")</f>
        <v/>
      </c>
      <c r="P4655" s="7" t="n">
        <f aca="false">IF(K4655="","",K4655-G4655)</f>
        <v>4</v>
      </c>
    </row>
    <row r="4656" customFormat="false" ht="15" hidden="false" customHeight="false" outlineLevel="0" collapsed="false">
      <c r="A4656" s="7" t="n">
        <v>81015153</v>
      </c>
      <c r="B4656" s="7" t="s">
        <v>68</v>
      </c>
      <c r="C4656" s="7" t="s">
        <v>9491</v>
      </c>
      <c r="D4656" s="7" t="s">
        <v>9492</v>
      </c>
      <c r="E4656" s="7" t="s">
        <v>1178</v>
      </c>
      <c r="F4656" s="7" t="s">
        <v>9473</v>
      </c>
      <c r="G4656" s="7" t="n">
        <v>2018</v>
      </c>
      <c r="H4656" s="7" t="s">
        <v>49</v>
      </c>
      <c r="I4656" s="7" t="s">
        <v>467</v>
      </c>
      <c r="J4656" s="7" t="s">
        <v>304</v>
      </c>
      <c r="K4656" s="7" t="n">
        <f aca="false">IFERROR(VALUE(RIGHT(TRIM(F4656),4)),"")</f>
        <v>2018</v>
      </c>
      <c r="L4656" s="7" t="str">
        <f aca="false">IF(TRIM(E4656)="","Unknown",IFERROR(LEFT(TRIM(E4656),FIND(",",TRIM(E4656))-1),TRIM(E4656)))</f>
        <v>Malaysia</v>
      </c>
      <c r="M4656" s="7" t="str">
        <f aca="false">IFERROR(LEFT(J4656,FIND(",",J4656)-1),J4656)</f>
        <v>Dramas</v>
      </c>
      <c r="N4656" s="7" t="n">
        <f aca="false">IF(B4656="Movie",IFERROR(VALUE(LEFT(I4656,FIND(" ",I4656)-1)),""),"")</f>
        <v>81</v>
      </c>
      <c r="O4656" s="7" t="str">
        <f aca="false">IF(B4656="TV Show",IFERROR(VALUE(LEFT(I4656,FIND(" ",I4656)-1)),""),"")</f>
        <v/>
      </c>
      <c r="P4656" s="7" t="n">
        <f aca="false">IF(K4656="","",K4656-G4656)</f>
        <v>0</v>
      </c>
    </row>
    <row r="4657" customFormat="false" ht="15" hidden="false" customHeight="false" outlineLevel="0" collapsed="false">
      <c r="A4657" s="7" t="n">
        <v>81030198</v>
      </c>
      <c r="B4657" s="7" t="s">
        <v>68</v>
      </c>
      <c r="C4657" s="7" t="s">
        <v>9493</v>
      </c>
      <c r="D4657" s="7" t="s">
        <v>5391</v>
      </c>
      <c r="E4657" s="7" t="s">
        <v>411</v>
      </c>
      <c r="F4657" s="7" t="s">
        <v>9473</v>
      </c>
      <c r="G4657" s="7" t="n">
        <v>2011</v>
      </c>
      <c r="H4657" s="7" t="s">
        <v>50</v>
      </c>
      <c r="I4657" s="7" t="s">
        <v>1405</v>
      </c>
      <c r="J4657" s="7" t="s">
        <v>206</v>
      </c>
      <c r="K4657" s="7" t="n">
        <f aca="false">IFERROR(VALUE(RIGHT(TRIM(F4657),4)),"")</f>
        <v>2018</v>
      </c>
      <c r="L4657" s="7" t="str">
        <f aca="false">IF(TRIM(E4657)="","Unknown",IFERROR(LEFT(TRIM(E4657),FIND(",",TRIM(E4657))-1),TRIM(E4657)))</f>
        <v>Hong Kong</v>
      </c>
      <c r="M4657" s="7" t="str">
        <f aca="false">IFERROR(LEFT(J4657,FIND(",",J4657)-1),J4657)</f>
        <v>Comedies</v>
      </c>
      <c r="N4657" s="7" t="n">
        <f aca="false">IF(B4657="Movie",IFERROR(VALUE(LEFT(I4657,FIND(" ",I4657)-1)),""),"")</f>
        <v>115</v>
      </c>
      <c r="O4657" s="7" t="str">
        <f aca="false">IF(B4657="TV Show",IFERROR(VALUE(LEFT(I4657,FIND(" ",I4657)-1)),""),"")</f>
        <v/>
      </c>
      <c r="P4657" s="7" t="n">
        <f aca="false">IF(K4657="","",K4657-G4657)</f>
        <v>7</v>
      </c>
    </row>
    <row r="4658" customFormat="false" ht="15" hidden="false" customHeight="false" outlineLevel="0" collapsed="false">
      <c r="A4658" s="7" t="n">
        <v>80017265</v>
      </c>
      <c r="B4658" s="7" t="s">
        <v>68</v>
      </c>
      <c r="C4658" s="7" t="s">
        <v>9494</v>
      </c>
      <c r="D4658" s="7" t="s">
        <v>5391</v>
      </c>
      <c r="E4658" s="7" t="s">
        <v>429</v>
      </c>
      <c r="F4658" s="7" t="s">
        <v>9473</v>
      </c>
      <c r="G4658" s="7" t="n">
        <v>2014</v>
      </c>
      <c r="H4658" s="7" t="s">
        <v>49</v>
      </c>
      <c r="I4658" s="7" t="s">
        <v>146</v>
      </c>
      <c r="J4658" s="7" t="s">
        <v>206</v>
      </c>
      <c r="K4658" s="7" t="n">
        <f aca="false">IFERROR(VALUE(RIGHT(TRIM(F4658),4)),"")</f>
        <v>2018</v>
      </c>
      <c r="L4658" s="7" t="str">
        <f aca="false">IF(TRIM(E4658)="","Unknown",IFERROR(LEFT(TRIM(E4658),FIND(",",TRIM(E4658))-1),TRIM(E4658)))</f>
        <v>Hong Kong</v>
      </c>
      <c r="M4658" s="7" t="str">
        <f aca="false">IFERROR(LEFT(J4658,FIND(",",J4658)-1),J4658)</f>
        <v>Comedies</v>
      </c>
      <c r="N4658" s="7" t="n">
        <f aca="false">IF(B4658="Movie",IFERROR(VALUE(LEFT(I4658,FIND(" ",I4658)-1)),""),"")</f>
        <v>113</v>
      </c>
      <c r="O4658" s="7" t="str">
        <f aca="false">IF(B4658="TV Show",IFERROR(VALUE(LEFT(I4658,FIND(" ",I4658)-1)),""),"")</f>
        <v/>
      </c>
      <c r="P4658" s="7" t="n">
        <f aca="false">IF(K4658="","",K4658-G4658)</f>
        <v>4</v>
      </c>
    </row>
    <row r="4659" customFormat="false" ht="15" hidden="false" customHeight="false" outlineLevel="0" collapsed="false">
      <c r="A4659" s="7" t="n">
        <v>81024716</v>
      </c>
      <c r="B4659" s="7" t="s">
        <v>68</v>
      </c>
      <c r="C4659" s="7" t="s">
        <v>9495</v>
      </c>
      <c r="D4659" s="7" t="s">
        <v>2182</v>
      </c>
      <c r="E4659" s="7" t="s">
        <v>35</v>
      </c>
      <c r="F4659" s="7" t="s">
        <v>9473</v>
      </c>
      <c r="G4659" s="7" t="n">
        <v>2015</v>
      </c>
      <c r="H4659" s="7" t="s">
        <v>49</v>
      </c>
      <c r="I4659" s="7" t="s">
        <v>216</v>
      </c>
      <c r="J4659" s="7" t="s">
        <v>112</v>
      </c>
      <c r="K4659" s="7" t="n">
        <f aca="false">IFERROR(VALUE(RIGHT(TRIM(F4659),4)),"")</f>
        <v>2018</v>
      </c>
      <c r="L4659" s="7" t="str">
        <f aca="false">IF(TRIM(E4659)="","Unknown",IFERROR(LEFT(TRIM(E4659),FIND(",",TRIM(E4659))-1),TRIM(E4659)))</f>
        <v>Australia</v>
      </c>
      <c r="M4659" s="7" t="str">
        <f aca="false">IFERROR(LEFT(J4659,FIND(",",J4659)-1),J4659)</f>
        <v>Action &amp; Adventure</v>
      </c>
      <c r="N4659" s="7" t="n">
        <f aca="false">IF(B4659="Movie",IFERROR(VALUE(LEFT(I4659,FIND(" ",I4659)-1)),""),"")</f>
        <v>146</v>
      </c>
      <c r="O4659" s="7" t="str">
        <f aca="false">IF(B4659="TV Show",IFERROR(VALUE(LEFT(I4659,FIND(" ",I4659)-1)),""),"")</f>
        <v/>
      </c>
      <c r="P4659" s="7" t="n">
        <f aca="false">IF(K4659="","",K4659-G4659)</f>
        <v>3</v>
      </c>
    </row>
    <row r="4660" customFormat="false" ht="15" hidden="false" customHeight="false" outlineLevel="0" collapsed="false">
      <c r="A4660" s="7" t="n">
        <v>81028939</v>
      </c>
      <c r="B4660" s="7" t="s">
        <v>78</v>
      </c>
      <c r="C4660" s="7" t="s">
        <v>9496</v>
      </c>
      <c r="F4660" s="7" t="s">
        <v>9473</v>
      </c>
      <c r="G4660" s="7" t="n">
        <v>2017</v>
      </c>
      <c r="H4660" s="7" t="s">
        <v>81</v>
      </c>
      <c r="I4660" s="7" t="s">
        <v>82</v>
      </c>
      <c r="J4660" s="7" t="s">
        <v>1686</v>
      </c>
      <c r="K4660" s="7" t="n">
        <f aca="false">IFERROR(VALUE(RIGHT(TRIM(F4660),4)),"")</f>
        <v>2018</v>
      </c>
      <c r="L4660" s="7" t="str">
        <f aca="false">IF(TRIM(E4660)="","Unknown",IFERROR(LEFT(TRIM(E4660),FIND(",",TRIM(E4660))-1),TRIM(E4660)))</f>
        <v>Unknown</v>
      </c>
      <c r="M4660" s="7" t="str">
        <f aca="false">IFERROR(LEFT(J4660,FIND(",",J4660)-1),J4660)</f>
        <v>Kids' TV</v>
      </c>
      <c r="N4660" s="7" t="str">
        <f aca="false">IF(B4660="Movie",IFERROR(VALUE(LEFT(I4660,FIND(" ",I4660)-1)),""),"")</f>
        <v/>
      </c>
      <c r="O4660" s="7" t="n">
        <f aca="false">IF(B4660="TV Show",IFERROR(VALUE(LEFT(I4660,FIND(" ",I4660)-1)),""),"")</f>
        <v>1</v>
      </c>
      <c r="P4660" s="7" t="n">
        <f aca="false">IF(K4660="","",K4660-G4660)</f>
        <v>1</v>
      </c>
    </row>
    <row r="4661" customFormat="false" ht="15" hidden="false" customHeight="false" outlineLevel="0" collapsed="false">
      <c r="A4661" s="7" t="n">
        <v>80106306</v>
      </c>
      <c r="B4661" s="7" t="s">
        <v>68</v>
      </c>
      <c r="C4661" s="7" t="s">
        <v>9497</v>
      </c>
      <c r="D4661" s="7" t="s">
        <v>9498</v>
      </c>
      <c r="E4661" s="7" t="s">
        <v>9499</v>
      </c>
      <c r="F4661" s="7" t="s">
        <v>9473</v>
      </c>
      <c r="G4661" s="7" t="n">
        <v>2015</v>
      </c>
      <c r="H4661" s="7" t="s">
        <v>48</v>
      </c>
      <c r="I4661" s="7" t="s">
        <v>1270</v>
      </c>
      <c r="J4661" s="7" t="s">
        <v>322</v>
      </c>
      <c r="K4661" s="7" t="n">
        <f aca="false">IFERROR(VALUE(RIGHT(TRIM(F4661),4)),"")</f>
        <v>2018</v>
      </c>
      <c r="L4661" s="7" t="str">
        <f aca="false">IF(TRIM(E4661)="","Unknown",IFERROR(LEFT(TRIM(E4661),FIND(",",TRIM(E4661))-1),TRIM(E4661)))</f>
        <v>Hong Kong</v>
      </c>
      <c r="M4661" s="7" t="str">
        <f aca="false">IFERROR(LEFT(J4661,FIND(",",J4661)-1),J4661)</f>
        <v>Action &amp; Adventure</v>
      </c>
      <c r="N4661" s="7" t="n">
        <f aca="false">IF(B4661="Movie",IFERROR(VALUE(LEFT(I4661,FIND(" ",I4661)-1)),""),"")</f>
        <v>118</v>
      </c>
      <c r="O4661" s="7" t="str">
        <f aca="false">IF(B4661="TV Show",IFERROR(VALUE(LEFT(I4661,FIND(" ",I4661)-1)),""),"")</f>
        <v/>
      </c>
      <c r="P4661" s="7" t="n">
        <f aca="false">IF(K4661="","",K4661-G4661)</f>
        <v>3</v>
      </c>
    </row>
    <row r="4662" customFormat="false" ht="15" hidden="false" customHeight="false" outlineLevel="0" collapsed="false">
      <c r="A4662" s="7" t="n">
        <v>60034549</v>
      </c>
      <c r="B4662" s="7" t="s">
        <v>68</v>
      </c>
      <c r="C4662" s="7" t="s">
        <v>9500</v>
      </c>
      <c r="D4662" s="7" t="s">
        <v>7443</v>
      </c>
      <c r="E4662" s="7" t="s">
        <v>26</v>
      </c>
      <c r="F4662" s="7" t="s">
        <v>9473</v>
      </c>
      <c r="G4662" s="7" t="n">
        <v>2004</v>
      </c>
      <c r="H4662" s="7" t="s">
        <v>52</v>
      </c>
      <c r="I4662" s="7" t="s">
        <v>232</v>
      </c>
      <c r="J4662" s="7" t="s">
        <v>7595</v>
      </c>
      <c r="K4662" s="7" t="n">
        <f aca="false">IFERROR(VALUE(RIGHT(TRIM(F4662),4)),"")</f>
        <v>2018</v>
      </c>
      <c r="L4662" s="7" t="str">
        <f aca="false">IF(TRIM(E4662)="","Unknown",IFERROR(LEFT(TRIM(E4662),FIND(",",TRIM(E4662))-1),TRIM(E4662)))</f>
        <v>United States</v>
      </c>
      <c r="M4662" s="7" t="str">
        <f aca="false">IFERROR(LEFT(J4662,FIND(",",J4662)-1),J4662)</f>
        <v>Action &amp; Adventure</v>
      </c>
      <c r="N4662" s="7" t="n">
        <f aca="false">IF(B4662="Movie",IFERROR(VALUE(LEFT(I4662,FIND(" ",I4662)-1)),""),"")</f>
        <v>122</v>
      </c>
      <c r="O4662" s="7" t="str">
        <f aca="false">IF(B4662="TV Show",IFERROR(VALUE(LEFT(I4662,FIND(" ",I4662)-1)),""),"")</f>
        <v/>
      </c>
      <c r="P4662" s="7" t="n">
        <f aca="false">IF(K4662="","",K4662-G4662)</f>
        <v>14</v>
      </c>
    </row>
    <row r="4663" customFormat="false" ht="15" hidden="false" customHeight="false" outlineLevel="0" collapsed="false">
      <c r="A4663" s="7" t="n">
        <v>80135353</v>
      </c>
      <c r="B4663" s="7" t="s">
        <v>68</v>
      </c>
      <c r="C4663" s="7" t="s">
        <v>9501</v>
      </c>
      <c r="D4663" s="7" t="s">
        <v>9502</v>
      </c>
      <c r="E4663" s="7" t="s">
        <v>2476</v>
      </c>
      <c r="F4663" s="7" t="s">
        <v>9473</v>
      </c>
      <c r="G4663" s="7" t="n">
        <v>2016</v>
      </c>
      <c r="H4663" s="7" t="s">
        <v>48</v>
      </c>
      <c r="I4663" s="7" t="s">
        <v>790</v>
      </c>
      <c r="J4663" s="7" t="s">
        <v>112</v>
      </c>
      <c r="K4663" s="7" t="n">
        <f aca="false">IFERROR(VALUE(RIGHT(TRIM(F4663),4)),"")</f>
        <v>2018</v>
      </c>
      <c r="L4663" s="7" t="str">
        <f aca="false">IF(TRIM(E4663)="","Unknown",IFERROR(LEFT(TRIM(E4663),FIND(",",TRIM(E4663))-1),TRIM(E4663)))</f>
        <v>China</v>
      </c>
      <c r="M4663" s="7" t="str">
        <f aca="false">IFERROR(LEFT(J4663,FIND(",",J4663)-1),J4663)</f>
        <v>Action &amp; Adventure</v>
      </c>
      <c r="N4663" s="7" t="n">
        <f aca="false">IF(B4663="Movie",IFERROR(VALUE(LEFT(I4663,FIND(" ",I4663)-1)),""),"")</f>
        <v>109</v>
      </c>
      <c r="O4663" s="7" t="str">
        <f aca="false">IF(B4663="TV Show",IFERROR(VALUE(LEFT(I4663,FIND(" ",I4663)-1)),""),"")</f>
        <v/>
      </c>
      <c r="P4663" s="7" t="n">
        <f aca="false">IF(K4663="","",K4663-G4663)</f>
        <v>2</v>
      </c>
    </row>
    <row r="4664" customFormat="false" ht="15" hidden="false" customHeight="false" outlineLevel="0" collapsed="false">
      <c r="A4664" s="7" t="n">
        <v>80229852</v>
      </c>
      <c r="B4664" s="7" t="s">
        <v>78</v>
      </c>
      <c r="C4664" s="7" t="s">
        <v>9503</v>
      </c>
      <c r="F4664" s="7" t="s">
        <v>9473</v>
      </c>
      <c r="G4664" s="7" t="n">
        <v>2019</v>
      </c>
      <c r="H4664" s="7" t="s">
        <v>55</v>
      </c>
      <c r="I4664" s="7" t="s">
        <v>82</v>
      </c>
      <c r="J4664" s="7" t="s">
        <v>191</v>
      </c>
      <c r="K4664" s="7" t="n">
        <f aca="false">IFERROR(VALUE(RIGHT(TRIM(F4664),4)),"")</f>
        <v>2018</v>
      </c>
      <c r="L4664" s="7" t="str">
        <f aca="false">IF(TRIM(E4664)="","Unknown",IFERROR(LEFT(TRIM(E4664),FIND(",",TRIM(E4664))-1),TRIM(E4664)))</f>
        <v>Unknown</v>
      </c>
      <c r="M4664" s="7" t="str">
        <f aca="false">IFERROR(LEFT(J4664,FIND(",",J4664)-1),J4664)</f>
        <v>Kids' TV</v>
      </c>
      <c r="N4664" s="7" t="str">
        <f aca="false">IF(B4664="Movie",IFERROR(VALUE(LEFT(I4664,FIND(" ",I4664)-1)),""),"")</f>
        <v/>
      </c>
      <c r="O4664" s="7" t="n">
        <f aca="false">IF(B4664="TV Show",IFERROR(VALUE(LEFT(I4664,FIND(" ",I4664)-1)),""),"")</f>
        <v>1</v>
      </c>
      <c r="P4664" s="7" t="n">
        <f aca="false">IF(K4664="","",K4664-G4664)</f>
        <v>-1</v>
      </c>
    </row>
    <row r="4665" customFormat="false" ht="15" hidden="false" customHeight="false" outlineLevel="0" collapsed="false">
      <c r="A4665" s="7" t="n">
        <v>80995077</v>
      </c>
      <c r="B4665" s="7" t="s">
        <v>68</v>
      </c>
      <c r="C4665" s="7" t="s">
        <v>9504</v>
      </c>
      <c r="D4665" s="7" t="s">
        <v>1624</v>
      </c>
      <c r="F4665" s="7" t="s">
        <v>9473</v>
      </c>
      <c r="G4665" s="7" t="n">
        <v>2018</v>
      </c>
      <c r="H4665" s="7" t="s">
        <v>81</v>
      </c>
      <c r="I4665" s="7" t="s">
        <v>1020</v>
      </c>
      <c r="J4665" s="7" t="s">
        <v>74</v>
      </c>
      <c r="K4665" s="7" t="n">
        <f aca="false">IFERROR(VALUE(RIGHT(TRIM(F4665),4)),"")</f>
        <v>2018</v>
      </c>
      <c r="L4665" s="7" t="str">
        <f aca="false">IF(TRIM(E4665)="","Unknown",IFERROR(LEFT(TRIM(E4665),FIND(",",TRIM(E4665))-1),TRIM(E4665)))</f>
        <v>Unknown</v>
      </c>
      <c r="M4665" s="7" t="str">
        <f aca="false">IFERROR(LEFT(J4665,FIND(",",J4665)-1),J4665)</f>
        <v>Children &amp; Family Movies</v>
      </c>
      <c r="N4665" s="7" t="n">
        <f aca="false">IF(B4665="Movie",IFERROR(VALUE(LEFT(I4665,FIND(" ",I4665)-1)),""),"")</f>
        <v>68</v>
      </c>
      <c r="O4665" s="7" t="str">
        <f aca="false">IF(B4665="TV Show",IFERROR(VALUE(LEFT(I4665,FIND(" ",I4665)-1)),""),"")</f>
        <v/>
      </c>
      <c r="P4665" s="7" t="n">
        <f aca="false">IF(K4665="","",K4665-G4665)</f>
        <v>0</v>
      </c>
    </row>
    <row r="4666" customFormat="false" ht="15" hidden="false" customHeight="false" outlineLevel="0" collapsed="false">
      <c r="A4666" s="7" t="n">
        <v>70126809</v>
      </c>
      <c r="B4666" s="7" t="s">
        <v>68</v>
      </c>
      <c r="C4666" s="7" t="s">
        <v>9505</v>
      </c>
      <c r="D4666" s="7" t="s">
        <v>9475</v>
      </c>
      <c r="E4666" s="7" t="s">
        <v>411</v>
      </c>
      <c r="F4666" s="7" t="s">
        <v>9473</v>
      </c>
      <c r="G4666" s="7" t="n">
        <v>2009</v>
      </c>
      <c r="H4666" s="7" t="s">
        <v>50</v>
      </c>
      <c r="I4666" s="7" t="s">
        <v>386</v>
      </c>
      <c r="J4666" s="7" t="s">
        <v>206</v>
      </c>
      <c r="K4666" s="7" t="n">
        <f aca="false">IFERROR(VALUE(RIGHT(TRIM(F4666),4)),"")</f>
        <v>2018</v>
      </c>
      <c r="L4666" s="7" t="str">
        <f aca="false">IF(TRIM(E4666)="","Unknown",IFERROR(LEFT(TRIM(E4666),FIND(",",TRIM(E4666))-1),TRIM(E4666)))</f>
        <v>Hong Kong</v>
      </c>
      <c r="M4666" s="7" t="str">
        <f aca="false">IFERROR(LEFT(J4666,FIND(",",J4666)-1),J4666)</f>
        <v>Comedies</v>
      </c>
      <c r="N4666" s="7" t="n">
        <f aca="false">IF(B4666="Movie",IFERROR(VALUE(LEFT(I4666,FIND(" ",I4666)-1)),""),"")</f>
        <v>117</v>
      </c>
      <c r="O4666" s="7" t="str">
        <f aca="false">IF(B4666="TV Show",IFERROR(VALUE(LEFT(I4666,FIND(" ",I4666)-1)),""),"")</f>
        <v/>
      </c>
      <c r="P4666" s="7" t="n">
        <f aca="false">IF(K4666="","",K4666-G4666)</f>
        <v>9</v>
      </c>
    </row>
    <row r="4667" customFormat="false" ht="15" hidden="false" customHeight="false" outlineLevel="0" collapsed="false">
      <c r="A4667" s="7" t="n">
        <v>80995044</v>
      </c>
      <c r="B4667" s="7" t="s">
        <v>78</v>
      </c>
      <c r="C4667" s="7" t="s">
        <v>9506</v>
      </c>
      <c r="F4667" s="7" t="s">
        <v>9473</v>
      </c>
      <c r="G4667" s="7" t="n">
        <v>2018</v>
      </c>
      <c r="H4667" s="7" t="s">
        <v>50</v>
      </c>
      <c r="I4667" s="7" t="s">
        <v>82</v>
      </c>
      <c r="J4667" s="7" t="s">
        <v>9507</v>
      </c>
      <c r="K4667" s="7" t="n">
        <f aca="false">IFERROR(VALUE(RIGHT(TRIM(F4667),4)),"")</f>
        <v>2018</v>
      </c>
      <c r="L4667" s="7" t="str">
        <f aca="false">IF(TRIM(E4667)="","Unknown",IFERROR(LEFT(TRIM(E4667),FIND(",",TRIM(E4667))-1),TRIM(E4667)))</f>
        <v>Unknown</v>
      </c>
      <c r="M4667" s="7" t="str">
        <f aca="false">IFERROR(LEFT(J4667,FIND(",",J4667)-1),J4667)</f>
        <v>International TV Shows</v>
      </c>
      <c r="N4667" s="7" t="str">
        <f aca="false">IF(B4667="Movie",IFERROR(VALUE(LEFT(I4667,FIND(" ",I4667)-1)),""),"")</f>
        <v/>
      </c>
      <c r="O4667" s="7" t="n">
        <f aca="false">IF(B4667="TV Show",IFERROR(VALUE(LEFT(I4667,FIND(" ",I4667)-1)),""),"")</f>
        <v>1</v>
      </c>
      <c r="P4667" s="7" t="n">
        <f aca="false">IF(K4667="","",K4667-G4667)</f>
        <v>0</v>
      </c>
    </row>
    <row r="4668" customFormat="false" ht="15" hidden="false" customHeight="false" outlineLevel="0" collapsed="false">
      <c r="A4668" s="7" t="n">
        <v>81031038</v>
      </c>
      <c r="B4668" s="7" t="s">
        <v>68</v>
      </c>
      <c r="C4668" s="7" t="s">
        <v>9508</v>
      </c>
      <c r="F4668" s="7" t="s">
        <v>9473</v>
      </c>
      <c r="G4668" s="7" t="n">
        <v>2018</v>
      </c>
      <c r="H4668" s="7" t="s">
        <v>119</v>
      </c>
      <c r="I4668" s="7" t="s">
        <v>1653</v>
      </c>
      <c r="J4668" s="7" t="s">
        <v>10</v>
      </c>
      <c r="K4668" s="7" t="n">
        <f aca="false">IFERROR(VALUE(RIGHT(TRIM(F4668),4)),"")</f>
        <v>2018</v>
      </c>
      <c r="L4668" s="7" t="str">
        <f aca="false">IF(TRIM(E4668)="","Unknown",IFERROR(LEFT(TRIM(E4668),FIND(",",TRIM(E4668))-1),TRIM(E4668)))</f>
        <v>Unknown</v>
      </c>
      <c r="M4668" s="7" t="str">
        <f aca="false">IFERROR(LEFT(J4668,FIND(",",J4668)-1),J4668)</f>
        <v>Movies</v>
      </c>
      <c r="N4668" s="7" t="n">
        <f aca="false">IF(B4668="Movie",IFERROR(VALUE(LEFT(I4668,FIND(" ",I4668)-1)),""),"")</f>
        <v>23</v>
      </c>
      <c r="O4668" s="7" t="str">
        <f aca="false">IF(B4668="TV Show",IFERROR(VALUE(LEFT(I4668,FIND(" ",I4668)-1)),""),"")</f>
        <v/>
      </c>
      <c r="P4668" s="7" t="n">
        <f aca="false">IF(K4668="","",K4668-G4668)</f>
        <v>0</v>
      </c>
    </row>
    <row r="4669" customFormat="false" ht="15" hidden="false" customHeight="false" outlineLevel="0" collapsed="false">
      <c r="A4669" s="7" t="n">
        <v>80127645</v>
      </c>
      <c r="B4669" s="7" t="s">
        <v>68</v>
      </c>
      <c r="C4669" s="7" t="s">
        <v>9509</v>
      </c>
      <c r="D4669" s="7" t="s">
        <v>9510</v>
      </c>
      <c r="E4669" s="7" t="s">
        <v>411</v>
      </c>
      <c r="F4669" s="7" t="s">
        <v>9473</v>
      </c>
      <c r="G4669" s="7" t="n">
        <v>2010</v>
      </c>
      <c r="H4669" s="7" t="s">
        <v>48</v>
      </c>
      <c r="I4669" s="7" t="s">
        <v>111</v>
      </c>
      <c r="J4669" s="7" t="s">
        <v>139</v>
      </c>
      <c r="K4669" s="7" t="n">
        <f aca="false">IFERROR(VALUE(RIGHT(TRIM(F4669),4)),"")</f>
        <v>2018</v>
      </c>
      <c r="L4669" s="7" t="str">
        <f aca="false">IF(TRIM(E4669)="","Unknown",IFERROR(LEFT(TRIM(E4669),FIND(",",TRIM(E4669))-1),TRIM(E4669)))</f>
        <v>Hong Kong</v>
      </c>
      <c r="M4669" s="7" t="str">
        <f aca="false">IFERROR(LEFT(J4669,FIND(",",J4669)-1),J4669)</f>
        <v>Action &amp; Adventure</v>
      </c>
      <c r="N4669" s="7" t="n">
        <f aca="false">IF(B4669="Movie",IFERROR(VALUE(LEFT(I4669,FIND(" ",I4669)-1)),""),"")</f>
        <v>95</v>
      </c>
      <c r="O4669" s="7" t="str">
        <f aca="false">IF(B4669="TV Show",IFERROR(VALUE(LEFT(I4669,FIND(" ",I4669)-1)),""),"")</f>
        <v/>
      </c>
      <c r="P4669" s="7" t="n">
        <f aca="false">IF(K4669="","",K4669-G4669)</f>
        <v>8</v>
      </c>
    </row>
    <row r="4670" customFormat="false" ht="15" hidden="false" customHeight="false" outlineLevel="0" collapsed="false">
      <c r="A4670" s="7" t="n">
        <v>80187471</v>
      </c>
      <c r="B4670" s="7" t="s">
        <v>68</v>
      </c>
      <c r="C4670" s="7" t="s">
        <v>9511</v>
      </c>
      <c r="D4670" s="7" t="s">
        <v>9512</v>
      </c>
      <c r="E4670" s="7" t="s">
        <v>27</v>
      </c>
      <c r="F4670" s="7" t="s">
        <v>9473</v>
      </c>
      <c r="G4670" s="7" t="n">
        <v>2017</v>
      </c>
      <c r="H4670" s="7" t="s">
        <v>49</v>
      </c>
      <c r="I4670" s="7" t="s">
        <v>549</v>
      </c>
      <c r="J4670" s="7" t="s">
        <v>304</v>
      </c>
      <c r="K4670" s="7" t="n">
        <f aca="false">IFERROR(VALUE(RIGHT(TRIM(F4670),4)),"")</f>
        <v>2018</v>
      </c>
      <c r="L4670" s="7" t="str">
        <f aca="false">IF(TRIM(E4670)="","Unknown",IFERROR(LEFT(TRIM(E4670),FIND(",",TRIM(E4670))-1),TRIM(E4670)))</f>
        <v>India</v>
      </c>
      <c r="M4670" s="7" t="str">
        <f aca="false">IFERROR(LEFT(J4670,FIND(",",J4670)-1),J4670)</f>
        <v>Dramas</v>
      </c>
      <c r="N4670" s="7" t="n">
        <f aca="false">IF(B4670="Movie",IFERROR(VALUE(LEFT(I4670,FIND(" ",I4670)-1)),""),"")</f>
        <v>124</v>
      </c>
      <c r="O4670" s="7" t="str">
        <f aca="false">IF(B4670="TV Show",IFERROR(VALUE(LEFT(I4670,FIND(" ",I4670)-1)),""),"")</f>
        <v/>
      </c>
      <c r="P4670" s="7" t="n">
        <f aca="false">IF(K4670="","",K4670-G4670)</f>
        <v>1</v>
      </c>
    </row>
    <row r="4671" customFormat="false" ht="15" hidden="false" customHeight="false" outlineLevel="0" collapsed="false">
      <c r="A4671" s="7" t="n">
        <v>81024500</v>
      </c>
      <c r="B4671" s="7" t="s">
        <v>68</v>
      </c>
      <c r="C4671" s="7" t="s">
        <v>9513</v>
      </c>
      <c r="E4671" s="7" t="s">
        <v>26</v>
      </c>
      <c r="F4671" s="7" t="s">
        <v>9473</v>
      </c>
      <c r="G4671" s="7" t="n">
        <v>2017</v>
      </c>
      <c r="H4671" s="7" t="s">
        <v>48</v>
      </c>
      <c r="I4671" s="7" t="s">
        <v>73</v>
      </c>
      <c r="J4671" s="7" t="s">
        <v>1085</v>
      </c>
      <c r="K4671" s="7" t="n">
        <f aca="false">IFERROR(VALUE(RIGHT(TRIM(F4671),4)),"")</f>
        <v>2018</v>
      </c>
      <c r="L4671" s="7" t="str">
        <f aca="false">IF(TRIM(E4671)="","Unknown",IFERROR(LEFT(TRIM(E4671),FIND(",",TRIM(E4671))-1),TRIM(E4671)))</f>
        <v>United States</v>
      </c>
      <c r="M4671" s="7" t="str">
        <f aca="false">IFERROR(LEFT(J4671,FIND(",",J4671)-1),J4671)</f>
        <v>Documentaries</v>
      </c>
      <c r="N4671" s="7" t="n">
        <f aca="false">IF(B4671="Movie",IFERROR(VALUE(LEFT(I4671,FIND(" ",I4671)-1)),""),"")</f>
        <v>90</v>
      </c>
      <c r="O4671" s="7" t="str">
        <f aca="false">IF(B4671="TV Show",IFERROR(VALUE(LEFT(I4671,FIND(" ",I4671)-1)),""),"")</f>
        <v/>
      </c>
      <c r="P4671" s="7" t="n">
        <f aca="false">IF(K4671="","",K4671-G4671)</f>
        <v>1</v>
      </c>
    </row>
    <row r="4672" customFormat="false" ht="15" hidden="false" customHeight="false" outlineLevel="0" collapsed="false">
      <c r="A4672" s="7" t="n">
        <v>81030200</v>
      </c>
      <c r="B4672" s="7" t="s">
        <v>68</v>
      </c>
      <c r="C4672" s="7" t="s">
        <v>9514</v>
      </c>
      <c r="D4672" s="7" t="s">
        <v>9515</v>
      </c>
      <c r="E4672" s="7" t="s">
        <v>411</v>
      </c>
      <c r="F4672" s="7" t="s">
        <v>9473</v>
      </c>
      <c r="G4672" s="7" t="n">
        <v>2013</v>
      </c>
      <c r="H4672" s="7" t="s">
        <v>48</v>
      </c>
      <c r="I4672" s="7" t="s">
        <v>138</v>
      </c>
      <c r="J4672" s="7" t="s">
        <v>202</v>
      </c>
      <c r="K4672" s="7" t="n">
        <f aca="false">IFERROR(VALUE(RIGHT(TRIM(F4672),4)),"")</f>
        <v>2018</v>
      </c>
      <c r="L4672" s="7" t="str">
        <f aca="false">IF(TRIM(E4672)="","Unknown",IFERROR(LEFT(TRIM(E4672),FIND(",",TRIM(E4672))-1),TRIM(E4672)))</f>
        <v>Hong Kong</v>
      </c>
      <c r="M4672" s="7" t="str">
        <f aca="false">IFERROR(LEFT(J4672,FIND(",",J4672)-1),J4672)</f>
        <v>Comedies</v>
      </c>
      <c r="N4672" s="7" t="n">
        <f aca="false">IF(B4672="Movie",IFERROR(VALUE(LEFT(I4672,FIND(" ",I4672)-1)),""),"")</f>
        <v>96</v>
      </c>
      <c r="O4672" s="7" t="str">
        <f aca="false">IF(B4672="TV Show",IFERROR(VALUE(LEFT(I4672,FIND(" ",I4672)-1)),""),"")</f>
        <v/>
      </c>
      <c r="P4672" s="7" t="n">
        <f aca="false">IF(K4672="","",K4672-G4672)</f>
        <v>5</v>
      </c>
    </row>
    <row r="4673" customFormat="false" ht="15" hidden="false" customHeight="false" outlineLevel="0" collapsed="false">
      <c r="A4673" s="7" t="n">
        <v>81030197</v>
      </c>
      <c r="B4673" s="7" t="s">
        <v>68</v>
      </c>
      <c r="C4673" s="7" t="s">
        <v>9516</v>
      </c>
      <c r="D4673" s="7" t="s">
        <v>9517</v>
      </c>
      <c r="E4673" s="7" t="s">
        <v>366</v>
      </c>
      <c r="F4673" s="7" t="s">
        <v>9473</v>
      </c>
      <c r="G4673" s="7" t="n">
        <v>2008</v>
      </c>
      <c r="H4673" s="7" t="s">
        <v>48</v>
      </c>
      <c r="I4673" s="7" t="s">
        <v>138</v>
      </c>
      <c r="J4673" s="7" t="s">
        <v>304</v>
      </c>
      <c r="K4673" s="7" t="n">
        <f aca="false">IFERROR(VALUE(RIGHT(TRIM(F4673),4)),"")</f>
        <v>2018</v>
      </c>
      <c r="L4673" s="7" t="str">
        <f aca="false">IF(TRIM(E4673)="","Unknown",IFERROR(LEFT(TRIM(E4673),FIND(",",TRIM(E4673))-1),TRIM(E4673)))</f>
        <v>China</v>
      </c>
      <c r="M4673" s="7" t="str">
        <f aca="false">IFERROR(LEFT(J4673,FIND(",",J4673)-1),J4673)</f>
        <v>Dramas</v>
      </c>
      <c r="N4673" s="7" t="n">
        <f aca="false">IF(B4673="Movie",IFERROR(VALUE(LEFT(I4673,FIND(" ",I4673)-1)),""),"")</f>
        <v>96</v>
      </c>
      <c r="O4673" s="7" t="str">
        <f aca="false">IF(B4673="TV Show",IFERROR(VALUE(LEFT(I4673,FIND(" ",I4673)-1)),""),"")</f>
        <v/>
      </c>
      <c r="P4673" s="7" t="n">
        <f aca="false">IF(K4673="","",K4673-G4673)</f>
        <v>10</v>
      </c>
    </row>
    <row r="4674" customFormat="false" ht="15" hidden="false" customHeight="false" outlineLevel="0" collapsed="false">
      <c r="A4674" s="7" t="n">
        <v>70104313</v>
      </c>
      <c r="B4674" s="7" t="s">
        <v>68</v>
      </c>
      <c r="C4674" s="7" t="s">
        <v>9518</v>
      </c>
      <c r="D4674" s="7" t="s">
        <v>2092</v>
      </c>
      <c r="E4674" s="7" t="s">
        <v>26</v>
      </c>
      <c r="F4674" s="7" t="s">
        <v>9473</v>
      </c>
      <c r="G4674" s="7" t="n">
        <v>2008</v>
      </c>
      <c r="H4674" s="7" t="s">
        <v>52</v>
      </c>
      <c r="I4674" s="7" t="s">
        <v>869</v>
      </c>
      <c r="J4674" s="7" t="s">
        <v>269</v>
      </c>
      <c r="K4674" s="7" t="n">
        <f aca="false">IFERROR(VALUE(RIGHT(TRIM(F4674),4)),"")</f>
        <v>2018</v>
      </c>
      <c r="L4674" s="7" t="str">
        <f aca="false">IF(TRIM(E4674)="","Unknown",IFERROR(LEFT(TRIM(E4674),FIND(",",TRIM(E4674))-1),TRIM(E4674)))</f>
        <v>United States</v>
      </c>
      <c r="M4674" s="7" t="str">
        <f aca="false">IFERROR(LEFT(J4674,FIND(",",J4674)-1),J4674)</f>
        <v>Dramas</v>
      </c>
      <c r="N4674" s="7" t="n">
        <f aca="false">IF(B4674="Movie",IFERROR(VALUE(LEFT(I4674,FIND(" ",I4674)-1)),""),"")</f>
        <v>123</v>
      </c>
      <c r="O4674" s="7" t="str">
        <f aca="false">IF(B4674="TV Show",IFERROR(VALUE(LEFT(I4674,FIND(" ",I4674)-1)),""),"")</f>
        <v/>
      </c>
      <c r="P4674" s="7" t="n">
        <f aca="false">IF(K4674="","",K4674-G4674)</f>
        <v>10</v>
      </c>
    </row>
    <row r="4675" customFormat="false" ht="15" hidden="false" customHeight="false" outlineLevel="0" collapsed="false">
      <c r="A4675" s="7" t="n">
        <v>80166319</v>
      </c>
      <c r="B4675" s="7" t="s">
        <v>68</v>
      </c>
      <c r="C4675" s="7" t="s">
        <v>9519</v>
      </c>
      <c r="D4675" s="7" t="s">
        <v>9520</v>
      </c>
      <c r="E4675" s="7" t="s">
        <v>26</v>
      </c>
      <c r="F4675" s="7" t="s">
        <v>9473</v>
      </c>
      <c r="G4675" s="7" t="n">
        <v>2018</v>
      </c>
      <c r="H4675" s="7" t="s">
        <v>54</v>
      </c>
      <c r="I4675" s="7" t="s">
        <v>340</v>
      </c>
      <c r="J4675" s="7" t="s">
        <v>295</v>
      </c>
      <c r="K4675" s="7" t="n">
        <f aca="false">IFERROR(VALUE(RIGHT(TRIM(F4675),4)),"")</f>
        <v>2018</v>
      </c>
      <c r="L4675" s="7" t="str">
        <f aca="false">IF(TRIM(E4675)="","Unknown",IFERROR(LEFT(TRIM(E4675),FIND(",",TRIM(E4675))-1),TRIM(E4675)))</f>
        <v>United States</v>
      </c>
      <c r="M4675" s="7" t="str">
        <f aca="false">IFERROR(LEFT(J4675,FIND(",",J4675)-1),J4675)</f>
        <v>Children &amp; Family Movies</v>
      </c>
      <c r="N4675" s="7" t="n">
        <f aca="false">IF(B4675="Movie",IFERROR(VALUE(LEFT(I4675,FIND(" ",I4675)-1)),""),"")</f>
        <v>85</v>
      </c>
      <c r="O4675" s="7" t="str">
        <f aca="false">IF(B4675="TV Show",IFERROR(VALUE(LEFT(I4675,FIND(" ",I4675)-1)),""),"")</f>
        <v/>
      </c>
      <c r="P4675" s="7" t="n">
        <f aca="false">IF(K4675="","",K4675-G4675)</f>
        <v>0</v>
      </c>
    </row>
    <row r="4676" customFormat="false" ht="15" hidden="false" customHeight="false" outlineLevel="0" collapsed="false">
      <c r="A4676" s="7" t="n">
        <v>80158854</v>
      </c>
      <c r="B4676" s="7" t="s">
        <v>68</v>
      </c>
      <c r="C4676" s="7" t="s">
        <v>9521</v>
      </c>
      <c r="D4676" s="7" t="s">
        <v>9522</v>
      </c>
      <c r="E4676" s="7" t="s">
        <v>26</v>
      </c>
      <c r="F4676" s="7" t="s">
        <v>9523</v>
      </c>
      <c r="G4676" s="7" t="n">
        <v>2017</v>
      </c>
      <c r="H4676" s="7" t="s">
        <v>119</v>
      </c>
      <c r="I4676" s="7" t="s">
        <v>6535</v>
      </c>
      <c r="J4676" s="7" t="s">
        <v>10</v>
      </c>
      <c r="K4676" s="7" t="n">
        <f aca="false">IFERROR(VALUE(RIGHT(TRIM(F4676),4)),"")</f>
        <v>2017</v>
      </c>
      <c r="L4676" s="7" t="str">
        <f aca="false">IF(TRIM(E4676)="","Unknown",IFERROR(LEFT(TRIM(E4676),FIND(",",TRIM(E4676))-1),TRIM(E4676)))</f>
        <v>United States</v>
      </c>
      <c r="M4676" s="7" t="str">
        <f aca="false">IFERROR(LEFT(J4676,FIND(",",J4676)-1),J4676)</f>
        <v>Movies</v>
      </c>
      <c r="N4676" s="7" t="n">
        <f aca="false">IF(B4676="Movie",IFERROR(VALUE(LEFT(I4676,FIND(" ",I4676)-1)),""),"")</f>
        <v>26</v>
      </c>
      <c r="O4676" s="7" t="str">
        <f aca="false">IF(B4676="TV Show",IFERROR(VALUE(LEFT(I4676,FIND(" ",I4676)-1)),""),"")</f>
        <v/>
      </c>
      <c r="P4676" s="7" t="n">
        <f aca="false">IF(K4676="","",K4676-G4676)</f>
        <v>0</v>
      </c>
    </row>
    <row r="4677" customFormat="false" ht="15" hidden="false" customHeight="false" outlineLevel="0" collapsed="false">
      <c r="A4677" s="7" t="n">
        <v>80208746</v>
      </c>
      <c r="B4677" s="7" t="s">
        <v>78</v>
      </c>
      <c r="C4677" s="7" t="s">
        <v>9524</v>
      </c>
      <c r="E4677" s="7" t="s">
        <v>9525</v>
      </c>
      <c r="F4677" s="7" t="s">
        <v>9523</v>
      </c>
      <c r="G4677" s="7" t="n">
        <v>2016</v>
      </c>
      <c r="H4677" s="7" t="s">
        <v>81</v>
      </c>
      <c r="I4677" s="7" t="s">
        <v>82</v>
      </c>
      <c r="J4677" s="7" t="s">
        <v>9526</v>
      </c>
      <c r="K4677" s="7" t="n">
        <f aca="false">IFERROR(VALUE(RIGHT(TRIM(F4677),4)),"")</f>
        <v>2017</v>
      </c>
      <c r="L4677" s="7" t="str">
        <f aca="false">IF(TRIM(E4677)="","Unknown",IFERROR(LEFT(TRIM(E4677),FIND(",",TRIM(E4677))-1),TRIM(E4677)))</f>
        <v>Canada</v>
      </c>
      <c r="M4677" s="7" t="str">
        <f aca="false">IFERROR(LEFT(J4677,FIND(",",J4677)-1),J4677)</f>
        <v>Crime TV Shows</v>
      </c>
      <c r="N4677" s="7" t="str">
        <f aca="false">IF(B4677="Movie",IFERROR(VALUE(LEFT(I4677,FIND(" ",I4677)-1)),""),"")</f>
        <v/>
      </c>
      <c r="O4677" s="7" t="n">
        <f aca="false">IF(B4677="TV Show",IFERROR(VALUE(LEFT(I4677,FIND(" ",I4677)-1)),""),"")</f>
        <v>1</v>
      </c>
      <c r="P4677" s="7" t="n">
        <f aca="false">IF(K4677="","",K4677-G4677)</f>
        <v>1</v>
      </c>
    </row>
    <row r="4678" customFormat="false" ht="15" hidden="false" customHeight="false" outlineLevel="0" collapsed="false">
      <c r="A4678" s="7" t="n">
        <v>80203781</v>
      </c>
      <c r="B4678" s="7" t="s">
        <v>68</v>
      </c>
      <c r="C4678" s="7" t="s">
        <v>9527</v>
      </c>
      <c r="D4678" s="7" t="s">
        <v>9528</v>
      </c>
      <c r="E4678" s="7" t="s">
        <v>27</v>
      </c>
      <c r="F4678" s="7" t="s">
        <v>9523</v>
      </c>
      <c r="G4678" s="7" t="n">
        <v>2017</v>
      </c>
      <c r="H4678" s="7" t="s">
        <v>49</v>
      </c>
      <c r="I4678" s="7" t="s">
        <v>869</v>
      </c>
      <c r="J4678" s="7" t="s">
        <v>188</v>
      </c>
      <c r="K4678" s="7" t="n">
        <f aca="false">IFERROR(VALUE(RIGHT(TRIM(F4678),4)),"")</f>
        <v>2017</v>
      </c>
      <c r="L4678" s="7" t="str">
        <f aca="false">IF(TRIM(E4678)="","Unknown",IFERROR(LEFT(TRIM(E4678),FIND(",",TRIM(E4678))-1),TRIM(E4678)))</f>
        <v>India</v>
      </c>
      <c r="M4678" s="7" t="str">
        <f aca="false">IFERROR(LEFT(J4678,FIND(",",J4678)-1),J4678)</f>
        <v>Dramas</v>
      </c>
      <c r="N4678" s="7" t="n">
        <f aca="false">IF(B4678="Movie",IFERROR(VALUE(LEFT(I4678,FIND(" ",I4678)-1)),""),"")</f>
        <v>123</v>
      </c>
      <c r="O4678" s="7" t="str">
        <f aca="false">IF(B4678="TV Show",IFERROR(VALUE(LEFT(I4678,FIND(" ",I4678)-1)),""),"")</f>
        <v/>
      </c>
      <c r="P4678" s="7" t="n">
        <f aca="false">IF(K4678="","",K4678-G4678)</f>
        <v>0</v>
      </c>
    </row>
    <row r="4679" customFormat="false" ht="15" hidden="false" customHeight="false" outlineLevel="0" collapsed="false">
      <c r="A4679" s="7" t="n">
        <v>80204929</v>
      </c>
      <c r="B4679" s="7" t="s">
        <v>78</v>
      </c>
      <c r="C4679" s="7" t="s">
        <v>9529</v>
      </c>
      <c r="E4679" s="7" t="s">
        <v>35</v>
      </c>
      <c r="F4679" s="7" t="s">
        <v>9523</v>
      </c>
      <c r="G4679" s="7" t="n">
        <v>2016</v>
      </c>
      <c r="H4679" s="7" t="s">
        <v>49</v>
      </c>
      <c r="I4679" s="7" t="s">
        <v>82</v>
      </c>
      <c r="J4679" s="7" t="s">
        <v>884</v>
      </c>
      <c r="K4679" s="7" t="n">
        <f aca="false">IFERROR(VALUE(RIGHT(TRIM(F4679),4)),"")</f>
        <v>2017</v>
      </c>
      <c r="L4679" s="7" t="str">
        <f aca="false">IF(TRIM(E4679)="","Unknown",IFERROR(LEFT(TRIM(E4679),FIND(",",TRIM(E4679))-1),TRIM(E4679)))</f>
        <v>Australia</v>
      </c>
      <c r="M4679" s="7" t="str">
        <f aca="false">IFERROR(LEFT(J4679,FIND(",",J4679)-1),J4679)</f>
        <v>International TV Shows</v>
      </c>
      <c r="N4679" s="7" t="str">
        <f aca="false">IF(B4679="Movie",IFERROR(VALUE(LEFT(I4679,FIND(" ",I4679)-1)),""),"")</f>
        <v/>
      </c>
      <c r="O4679" s="7" t="n">
        <f aca="false">IF(B4679="TV Show",IFERROR(VALUE(LEFT(I4679,FIND(" ",I4679)-1)),""),"")</f>
        <v>1</v>
      </c>
      <c r="P4679" s="7" t="n">
        <f aca="false">IF(K4679="","",K4679-G4679)</f>
        <v>1</v>
      </c>
    </row>
    <row r="4680" customFormat="false" ht="15" hidden="false" customHeight="false" outlineLevel="0" collapsed="false">
      <c r="A4680" s="7" t="n">
        <v>80180601</v>
      </c>
      <c r="B4680" s="7" t="s">
        <v>78</v>
      </c>
      <c r="C4680" s="7" t="s">
        <v>9530</v>
      </c>
      <c r="E4680" s="7" t="s">
        <v>1178</v>
      </c>
      <c r="F4680" s="7" t="s">
        <v>9523</v>
      </c>
      <c r="G4680" s="7" t="n">
        <v>2015</v>
      </c>
      <c r="H4680" s="7" t="s">
        <v>49</v>
      </c>
      <c r="I4680" s="7" t="s">
        <v>82</v>
      </c>
      <c r="J4680" s="7" t="s">
        <v>344</v>
      </c>
      <c r="K4680" s="7" t="n">
        <f aca="false">IFERROR(VALUE(RIGHT(TRIM(F4680),4)),"")</f>
        <v>2017</v>
      </c>
      <c r="L4680" s="7" t="str">
        <f aca="false">IF(TRIM(E4680)="","Unknown",IFERROR(LEFT(TRIM(E4680),FIND(",",TRIM(E4680))-1),TRIM(E4680)))</f>
        <v>Malaysia</v>
      </c>
      <c r="M4680" s="7" t="str">
        <f aca="false">IFERROR(LEFT(J4680,FIND(",",J4680)-1),J4680)</f>
        <v>International TV Shows</v>
      </c>
      <c r="N4680" s="7" t="str">
        <f aca="false">IF(B4680="Movie",IFERROR(VALUE(LEFT(I4680,FIND(" ",I4680)-1)),""),"")</f>
        <v/>
      </c>
      <c r="O4680" s="7" t="n">
        <f aca="false">IF(B4680="TV Show",IFERROR(VALUE(LEFT(I4680,FIND(" ",I4680)-1)),""),"")</f>
        <v>1</v>
      </c>
      <c r="P4680" s="7" t="n">
        <f aca="false">IF(K4680="","",K4680-G4680)</f>
        <v>2</v>
      </c>
    </row>
    <row r="4681" customFormat="false" ht="15" hidden="false" customHeight="false" outlineLevel="0" collapsed="false">
      <c r="A4681" s="7" t="n">
        <v>80221317</v>
      </c>
      <c r="B4681" s="7" t="s">
        <v>68</v>
      </c>
      <c r="C4681" s="7" t="s">
        <v>9531</v>
      </c>
      <c r="E4681" s="7" t="s">
        <v>28</v>
      </c>
      <c r="F4681" s="7" t="s">
        <v>9523</v>
      </c>
      <c r="G4681" s="7" t="n">
        <v>2017</v>
      </c>
      <c r="H4681" s="7" t="s">
        <v>50</v>
      </c>
      <c r="I4681" s="7" t="s">
        <v>146</v>
      </c>
      <c r="J4681" s="7" t="s">
        <v>341</v>
      </c>
      <c r="K4681" s="7" t="n">
        <f aca="false">IFERROR(VALUE(RIGHT(TRIM(F4681),4)),"")</f>
        <v>2017</v>
      </c>
      <c r="L4681" s="7" t="str">
        <f aca="false">IF(TRIM(E4681)="","Unknown",IFERROR(LEFT(TRIM(E4681),FIND(",",TRIM(E4681))-1),TRIM(E4681)))</f>
        <v>United Kingdom</v>
      </c>
      <c r="M4681" s="7" t="str">
        <f aca="false">IFERROR(LEFT(J4681,FIND(",",J4681)-1),J4681)</f>
        <v>Documentaries</v>
      </c>
      <c r="N4681" s="7" t="n">
        <f aca="false">IF(B4681="Movie",IFERROR(VALUE(LEFT(I4681,FIND(" ",I4681)-1)),""),"")</f>
        <v>113</v>
      </c>
      <c r="O4681" s="7" t="str">
        <f aca="false">IF(B4681="TV Show",IFERROR(VALUE(LEFT(I4681,FIND(" ",I4681)-1)),""),"")</f>
        <v/>
      </c>
      <c r="P4681" s="7" t="n">
        <f aca="false">IF(K4681="","",K4681-G4681)</f>
        <v>0</v>
      </c>
    </row>
    <row r="4682" customFormat="false" ht="15" hidden="false" customHeight="false" outlineLevel="0" collapsed="false">
      <c r="A4682" s="7" t="n">
        <v>80178882</v>
      </c>
      <c r="B4682" s="7" t="s">
        <v>68</v>
      </c>
      <c r="C4682" s="7" t="s">
        <v>9532</v>
      </c>
      <c r="D4682" s="7" t="s">
        <v>9533</v>
      </c>
      <c r="E4682" s="7" t="s">
        <v>1081</v>
      </c>
      <c r="F4682" s="7" t="s">
        <v>9523</v>
      </c>
      <c r="G4682" s="7" t="n">
        <v>2017</v>
      </c>
      <c r="H4682" s="7" t="s">
        <v>48</v>
      </c>
      <c r="I4682" s="7" t="s">
        <v>311</v>
      </c>
      <c r="J4682" s="7" t="s">
        <v>3848</v>
      </c>
      <c r="K4682" s="7" t="n">
        <f aca="false">IFERROR(VALUE(RIGHT(TRIM(F4682),4)),"")</f>
        <v>2017</v>
      </c>
      <c r="L4682" s="7" t="str">
        <f aca="false">IF(TRIM(E4682)="","Unknown",IFERROR(LEFT(TRIM(E4682),FIND(",",TRIM(E4682))-1),TRIM(E4682)))</f>
        <v>Germany</v>
      </c>
      <c r="M4682" s="7" t="str">
        <f aca="false">IFERROR(LEFT(J4682,FIND(",",J4682)-1),J4682)</f>
        <v>Documentaries</v>
      </c>
      <c r="N4682" s="7" t="n">
        <f aca="false">IF(B4682="Movie",IFERROR(VALUE(LEFT(I4682,FIND(" ",I4682)-1)),""),"")</f>
        <v>92</v>
      </c>
      <c r="O4682" s="7" t="str">
        <f aca="false">IF(B4682="TV Show",IFERROR(VALUE(LEFT(I4682,FIND(" ",I4682)-1)),""),"")</f>
        <v/>
      </c>
      <c r="P4682" s="7" t="n">
        <f aca="false">IF(K4682="","",K4682-G4682)</f>
        <v>0</v>
      </c>
    </row>
    <row r="4683" customFormat="false" ht="15" hidden="false" customHeight="false" outlineLevel="0" collapsed="false">
      <c r="A4683" s="7" t="n">
        <v>80191081</v>
      </c>
      <c r="B4683" s="7" t="s">
        <v>68</v>
      </c>
      <c r="C4683" s="7" t="s">
        <v>9534</v>
      </c>
      <c r="E4683" s="7" t="s">
        <v>26</v>
      </c>
      <c r="F4683" s="7" t="s">
        <v>9523</v>
      </c>
      <c r="G4683" s="7" t="n">
        <v>2017</v>
      </c>
      <c r="H4683" s="7" t="s">
        <v>55</v>
      </c>
      <c r="I4683" s="7" t="s">
        <v>1175</v>
      </c>
      <c r="J4683" s="7" t="s">
        <v>3593</v>
      </c>
      <c r="K4683" s="7" t="n">
        <f aca="false">IFERROR(VALUE(RIGHT(TRIM(F4683),4)),"")</f>
        <v>2017</v>
      </c>
      <c r="L4683" s="7" t="str">
        <f aca="false">IF(TRIM(E4683)="","Unknown",IFERROR(LEFT(TRIM(E4683),FIND(",",TRIM(E4683))-1),TRIM(E4683)))</f>
        <v>United States</v>
      </c>
      <c r="M4683" s="7" t="str">
        <f aca="false">IFERROR(LEFT(J4683,FIND(",",J4683)-1),J4683)</f>
        <v>Children &amp; Family Movies</v>
      </c>
      <c r="N4683" s="7" t="n">
        <f aca="false">IF(B4683="Movie",IFERROR(VALUE(LEFT(I4683,FIND(" ",I4683)-1)),""),"")</f>
        <v>46</v>
      </c>
      <c r="O4683" s="7" t="str">
        <f aca="false">IF(B4683="TV Show",IFERROR(VALUE(LEFT(I4683,FIND(" ",I4683)-1)),""),"")</f>
        <v/>
      </c>
      <c r="P4683" s="7" t="n">
        <f aca="false">IF(K4683="","",K4683-G4683)</f>
        <v>0</v>
      </c>
    </row>
    <row r="4684" customFormat="false" ht="15" hidden="false" customHeight="false" outlineLevel="0" collapsed="false">
      <c r="A4684" s="7" t="n">
        <v>80203792</v>
      </c>
      <c r="B4684" s="7" t="s">
        <v>68</v>
      </c>
      <c r="C4684" s="7" t="s">
        <v>9535</v>
      </c>
      <c r="D4684" s="7" t="s">
        <v>9536</v>
      </c>
      <c r="E4684" s="7" t="s">
        <v>27</v>
      </c>
      <c r="F4684" s="7" t="s">
        <v>9523</v>
      </c>
      <c r="G4684" s="7" t="n">
        <v>2015</v>
      </c>
      <c r="H4684" s="7" t="s">
        <v>49</v>
      </c>
      <c r="I4684" s="7" t="s">
        <v>549</v>
      </c>
      <c r="J4684" s="7" t="s">
        <v>304</v>
      </c>
      <c r="K4684" s="7" t="n">
        <f aca="false">IFERROR(VALUE(RIGHT(TRIM(F4684),4)),"")</f>
        <v>2017</v>
      </c>
      <c r="L4684" s="7" t="str">
        <f aca="false">IF(TRIM(E4684)="","Unknown",IFERROR(LEFT(TRIM(E4684),FIND(",",TRIM(E4684))-1),TRIM(E4684)))</f>
        <v>India</v>
      </c>
      <c r="M4684" s="7" t="str">
        <f aca="false">IFERROR(LEFT(J4684,FIND(",",J4684)-1),J4684)</f>
        <v>Dramas</v>
      </c>
      <c r="N4684" s="7" t="n">
        <f aca="false">IF(B4684="Movie",IFERROR(VALUE(LEFT(I4684,FIND(" ",I4684)-1)),""),"")</f>
        <v>124</v>
      </c>
      <c r="O4684" s="7" t="str">
        <f aca="false">IF(B4684="TV Show",IFERROR(VALUE(LEFT(I4684,FIND(" ",I4684)-1)),""),"")</f>
        <v/>
      </c>
      <c r="P4684" s="7" t="n">
        <f aca="false">IF(K4684="","",K4684-G4684)</f>
        <v>2</v>
      </c>
    </row>
    <row r="4685" customFormat="false" ht="15" hidden="false" customHeight="false" outlineLevel="0" collapsed="false">
      <c r="A4685" s="7" t="n">
        <v>80191930</v>
      </c>
      <c r="B4685" s="7" t="s">
        <v>68</v>
      </c>
      <c r="C4685" s="7" t="s">
        <v>9537</v>
      </c>
      <c r="D4685" s="7" t="s">
        <v>9538</v>
      </c>
      <c r="E4685" s="7" t="s">
        <v>28</v>
      </c>
      <c r="F4685" s="7" t="s">
        <v>9523</v>
      </c>
      <c r="G4685" s="7" t="n">
        <v>2017</v>
      </c>
      <c r="H4685" s="7" t="s">
        <v>49</v>
      </c>
      <c r="I4685" s="7" t="s">
        <v>467</v>
      </c>
      <c r="J4685" s="7" t="s">
        <v>3848</v>
      </c>
      <c r="K4685" s="7" t="n">
        <f aca="false">IFERROR(VALUE(RIGHT(TRIM(F4685),4)),"")</f>
        <v>2017</v>
      </c>
      <c r="L4685" s="7" t="str">
        <f aca="false">IF(TRIM(E4685)="","Unknown",IFERROR(LEFT(TRIM(E4685),FIND(",",TRIM(E4685))-1),TRIM(E4685)))</f>
        <v>United Kingdom</v>
      </c>
      <c r="M4685" s="7" t="str">
        <f aca="false">IFERROR(LEFT(J4685,FIND(",",J4685)-1),J4685)</f>
        <v>Documentaries</v>
      </c>
      <c r="N4685" s="7" t="n">
        <f aca="false">IF(B4685="Movie",IFERROR(VALUE(LEFT(I4685,FIND(" ",I4685)-1)),""),"")</f>
        <v>81</v>
      </c>
      <c r="O4685" s="7" t="str">
        <f aca="false">IF(B4685="TV Show",IFERROR(VALUE(LEFT(I4685,FIND(" ",I4685)-1)),""),"")</f>
        <v/>
      </c>
      <c r="P4685" s="7" t="n">
        <f aca="false">IF(K4685="","",K4685-G4685)</f>
        <v>0</v>
      </c>
    </row>
    <row r="4686" customFormat="false" ht="15" hidden="false" customHeight="false" outlineLevel="0" collapsed="false">
      <c r="A4686" s="7" t="n">
        <v>70170181</v>
      </c>
      <c r="B4686" s="7" t="s">
        <v>68</v>
      </c>
      <c r="C4686" s="7" t="s">
        <v>9539</v>
      </c>
      <c r="D4686" s="7" t="s">
        <v>9540</v>
      </c>
      <c r="E4686" s="7" t="s">
        <v>2212</v>
      </c>
      <c r="F4686" s="7" t="s">
        <v>9523</v>
      </c>
      <c r="G4686" s="7" t="n">
        <v>2010</v>
      </c>
      <c r="H4686" s="7" t="s">
        <v>48</v>
      </c>
      <c r="I4686" s="7" t="s">
        <v>451</v>
      </c>
      <c r="J4686" s="7" t="s">
        <v>1014</v>
      </c>
      <c r="K4686" s="7" t="n">
        <f aca="false">IFERROR(VALUE(RIGHT(TRIM(F4686),4)),"")</f>
        <v>2017</v>
      </c>
      <c r="L4686" s="7" t="str">
        <f aca="false">IF(TRIM(E4686)="","Unknown",IFERROR(LEFT(TRIM(E4686),FIND(",",TRIM(E4686))-1),TRIM(E4686)))</f>
        <v>India</v>
      </c>
      <c r="M4686" s="7" t="str">
        <f aca="false">IFERROR(LEFT(J4686,FIND(",",J4686)-1),J4686)</f>
        <v>Horror Movies</v>
      </c>
      <c r="N4686" s="7" t="n">
        <f aca="false">IF(B4686="Movie",IFERROR(VALUE(LEFT(I4686,FIND(" ",I4686)-1)),""),"")</f>
        <v>97</v>
      </c>
      <c r="O4686" s="7" t="str">
        <f aca="false">IF(B4686="TV Show",IFERROR(VALUE(LEFT(I4686,FIND(" ",I4686)-1)),""),"")</f>
        <v/>
      </c>
      <c r="P4686" s="7" t="n">
        <f aca="false">IF(K4686="","",K4686-G4686)</f>
        <v>7</v>
      </c>
    </row>
    <row r="4687" customFormat="false" ht="15" hidden="false" customHeight="false" outlineLevel="0" collapsed="false">
      <c r="A4687" s="7" t="n">
        <v>80175348</v>
      </c>
      <c r="B4687" s="7" t="s">
        <v>78</v>
      </c>
      <c r="C4687" s="7" t="s">
        <v>9541</v>
      </c>
      <c r="E4687" s="7" t="s">
        <v>30</v>
      </c>
      <c r="F4687" s="7" t="s">
        <v>9523</v>
      </c>
      <c r="G4687" s="7" t="n">
        <v>2017</v>
      </c>
      <c r="H4687" s="7" t="s">
        <v>50</v>
      </c>
      <c r="I4687" s="7" t="s">
        <v>82</v>
      </c>
      <c r="J4687" s="7" t="s">
        <v>1357</v>
      </c>
      <c r="K4687" s="7" t="n">
        <f aca="false">IFERROR(VALUE(RIGHT(TRIM(F4687),4)),"")</f>
        <v>2017</v>
      </c>
      <c r="L4687" s="7" t="str">
        <f aca="false">IF(TRIM(E4687)="","Unknown",IFERROR(LEFT(TRIM(E4687),FIND(",",TRIM(E4687))-1),TRIM(E4687)))</f>
        <v>Japan</v>
      </c>
      <c r="M4687" s="7" t="str">
        <f aca="false">IFERROR(LEFT(J4687,FIND(",",J4687)-1),J4687)</f>
        <v>International TV Shows</v>
      </c>
      <c r="N4687" s="7" t="str">
        <f aca="false">IF(B4687="Movie",IFERROR(VALUE(LEFT(I4687,FIND(" ",I4687)-1)),""),"")</f>
        <v/>
      </c>
      <c r="O4687" s="7" t="n">
        <f aca="false">IF(B4687="TV Show",IFERROR(VALUE(LEFT(I4687,FIND(" ",I4687)-1)),""),"")</f>
        <v>1</v>
      </c>
      <c r="P4687" s="7" t="n">
        <f aca="false">IF(K4687="","",K4687-G4687)</f>
        <v>0</v>
      </c>
    </row>
    <row r="4688" customFormat="false" ht="15" hidden="false" customHeight="false" outlineLevel="0" collapsed="false">
      <c r="A4688" s="7" t="n">
        <v>80173001</v>
      </c>
      <c r="B4688" s="7" t="s">
        <v>68</v>
      </c>
      <c r="C4688" s="7" t="s">
        <v>9542</v>
      </c>
      <c r="D4688" s="7" t="s">
        <v>9543</v>
      </c>
      <c r="E4688" s="7" t="s">
        <v>9544</v>
      </c>
      <c r="F4688" s="7" t="s">
        <v>9523</v>
      </c>
      <c r="G4688" s="7" t="n">
        <v>2017</v>
      </c>
      <c r="H4688" s="7" t="s">
        <v>81</v>
      </c>
      <c r="I4688" s="7" t="s">
        <v>467</v>
      </c>
      <c r="J4688" s="7" t="s">
        <v>42</v>
      </c>
      <c r="K4688" s="7" t="n">
        <f aca="false">IFERROR(VALUE(RIGHT(TRIM(F4688),4)),"")</f>
        <v>2017</v>
      </c>
      <c r="L4688" s="7" t="str">
        <f aca="false">IF(TRIM(E4688)="","Unknown",IFERROR(LEFT(TRIM(E4688),FIND(",",TRIM(E4688))-1),TRIM(E4688)))</f>
        <v>India</v>
      </c>
      <c r="M4688" s="7" t="str">
        <f aca="false">IFERROR(LEFT(J4688,FIND(",",J4688)-1),J4688)</f>
        <v>Children &amp; Family Movies</v>
      </c>
      <c r="N4688" s="7" t="n">
        <f aca="false">IF(B4688="Movie",IFERROR(VALUE(LEFT(I4688,FIND(" ",I4688)-1)),""),"")</f>
        <v>81</v>
      </c>
      <c r="O4688" s="7" t="str">
        <f aca="false">IF(B4688="TV Show",IFERROR(VALUE(LEFT(I4688,FIND(" ",I4688)-1)),""),"")</f>
        <v/>
      </c>
      <c r="P4688" s="7" t="n">
        <f aca="false">IF(K4688="","",K4688-G4688)</f>
        <v>0</v>
      </c>
    </row>
    <row r="4689" customFormat="false" ht="15" hidden="false" customHeight="false" outlineLevel="0" collapsed="false">
      <c r="A4689" s="7" t="n">
        <v>80171247</v>
      </c>
      <c r="B4689" s="7" t="s">
        <v>68</v>
      </c>
      <c r="C4689" s="7" t="s">
        <v>9545</v>
      </c>
      <c r="D4689" s="7" t="s">
        <v>9546</v>
      </c>
      <c r="E4689" s="7" t="s">
        <v>9547</v>
      </c>
      <c r="F4689" s="7" t="s">
        <v>9523</v>
      </c>
      <c r="G4689" s="7" t="n">
        <v>2017</v>
      </c>
      <c r="H4689" s="7" t="s">
        <v>49</v>
      </c>
      <c r="I4689" s="7" t="s">
        <v>519</v>
      </c>
      <c r="J4689" s="7" t="s">
        <v>188</v>
      </c>
      <c r="K4689" s="7" t="n">
        <f aca="false">IFERROR(VALUE(RIGHT(TRIM(F4689),4)),"")</f>
        <v>2017</v>
      </c>
      <c r="L4689" s="7" t="str">
        <f aca="false">IF(TRIM(E4689)="","Unknown",IFERROR(LEFT(TRIM(E4689),FIND(",",TRIM(E4689))-1),TRIM(E4689)))</f>
        <v>Georgia</v>
      </c>
      <c r="M4689" s="7" t="str">
        <f aca="false">IFERROR(LEFT(J4689,FIND(",",J4689)-1),J4689)</f>
        <v>Dramas</v>
      </c>
      <c r="N4689" s="7" t="n">
        <f aca="false">IF(B4689="Movie",IFERROR(VALUE(LEFT(I4689,FIND(" ",I4689)-1)),""),"")</f>
        <v>119</v>
      </c>
      <c r="O4689" s="7" t="str">
        <f aca="false">IF(B4689="TV Show",IFERROR(VALUE(LEFT(I4689,FIND(" ",I4689)-1)),""),"")</f>
        <v/>
      </c>
      <c r="P4689" s="7" t="n">
        <f aca="false">IF(K4689="","",K4689-G4689)</f>
        <v>0</v>
      </c>
    </row>
    <row r="4690" customFormat="false" ht="15" hidden="false" customHeight="false" outlineLevel="0" collapsed="false">
      <c r="A4690" s="7" t="n">
        <v>70286808</v>
      </c>
      <c r="B4690" s="7" t="s">
        <v>78</v>
      </c>
      <c r="C4690" s="7" t="s">
        <v>9548</v>
      </c>
      <c r="D4690" s="7" t="s">
        <v>9549</v>
      </c>
      <c r="E4690" s="7" t="s">
        <v>31</v>
      </c>
      <c r="F4690" s="7" t="s">
        <v>9523</v>
      </c>
      <c r="G4690" s="7" t="n">
        <v>2017</v>
      </c>
      <c r="H4690" s="7" t="s">
        <v>55</v>
      </c>
      <c r="I4690" s="7" t="s">
        <v>82</v>
      </c>
      <c r="J4690" s="7" t="s">
        <v>191</v>
      </c>
      <c r="K4690" s="7" t="n">
        <f aca="false">IFERROR(VALUE(RIGHT(TRIM(F4690),4)),"")</f>
        <v>2017</v>
      </c>
      <c r="L4690" s="7" t="str">
        <f aca="false">IF(TRIM(E4690)="","Unknown",IFERROR(LEFT(TRIM(E4690),FIND(",",TRIM(E4690))-1),TRIM(E4690)))</f>
        <v>France</v>
      </c>
      <c r="M4690" s="7" t="str">
        <f aca="false">IFERROR(LEFT(J4690,FIND(",",J4690)-1),J4690)</f>
        <v>Kids' TV</v>
      </c>
      <c r="N4690" s="7" t="str">
        <f aca="false">IF(B4690="Movie",IFERROR(VALUE(LEFT(I4690,FIND(" ",I4690)-1)),""),"")</f>
        <v/>
      </c>
      <c r="O4690" s="7" t="n">
        <f aca="false">IF(B4690="TV Show",IFERROR(VALUE(LEFT(I4690,FIND(" ",I4690)-1)),""),"")</f>
        <v>1</v>
      </c>
      <c r="P4690" s="7" t="n">
        <f aca="false">IF(K4690="","",K4690-G4690)</f>
        <v>0</v>
      </c>
    </row>
    <row r="4691" customFormat="false" ht="15" hidden="false" customHeight="false" outlineLevel="0" collapsed="false">
      <c r="A4691" s="7" t="n">
        <v>80180651</v>
      </c>
      <c r="B4691" s="7" t="s">
        <v>78</v>
      </c>
      <c r="C4691" s="7" t="s">
        <v>9550</v>
      </c>
      <c r="F4691" s="7" t="s">
        <v>9523</v>
      </c>
      <c r="G4691" s="7" t="n">
        <v>2015</v>
      </c>
      <c r="H4691" s="7" t="s">
        <v>50</v>
      </c>
      <c r="I4691" s="7" t="s">
        <v>82</v>
      </c>
      <c r="J4691" s="7" t="s">
        <v>314</v>
      </c>
      <c r="K4691" s="7" t="n">
        <f aca="false">IFERROR(VALUE(RIGHT(TRIM(F4691),4)),"")</f>
        <v>2017</v>
      </c>
      <c r="L4691" s="7" t="str">
        <f aca="false">IF(TRIM(E4691)="","Unknown",IFERROR(LEFT(TRIM(E4691),FIND(",",TRIM(E4691))-1),TRIM(E4691)))</f>
        <v>Unknown</v>
      </c>
      <c r="M4691" s="7" t="str">
        <f aca="false">IFERROR(LEFT(J4691,FIND(",",J4691)-1),J4691)</f>
        <v>International TV Shows</v>
      </c>
      <c r="N4691" s="7" t="str">
        <f aca="false">IF(B4691="Movie",IFERROR(VALUE(LEFT(I4691,FIND(" ",I4691)-1)),""),"")</f>
        <v/>
      </c>
      <c r="O4691" s="7" t="n">
        <f aca="false">IF(B4691="TV Show",IFERROR(VALUE(LEFT(I4691,FIND(" ",I4691)-1)),""),"")</f>
        <v>1</v>
      </c>
      <c r="P4691" s="7" t="n">
        <f aca="false">IF(K4691="","",K4691-G4691)</f>
        <v>2</v>
      </c>
    </row>
    <row r="4692" customFormat="false" ht="15" hidden="false" customHeight="false" outlineLevel="0" collapsed="false">
      <c r="A4692" s="7" t="n">
        <v>70135647</v>
      </c>
      <c r="B4692" s="7" t="s">
        <v>68</v>
      </c>
      <c r="C4692" s="7" t="s">
        <v>9551</v>
      </c>
      <c r="D4692" s="7" t="s">
        <v>9552</v>
      </c>
      <c r="E4692" s="7" t="s">
        <v>26</v>
      </c>
      <c r="F4692" s="7" t="s">
        <v>9523</v>
      </c>
      <c r="G4692" s="7" t="n">
        <v>1980</v>
      </c>
      <c r="H4692" s="7" t="s">
        <v>49</v>
      </c>
      <c r="I4692" s="7" t="s">
        <v>921</v>
      </c>
      <c r="J4692" s="7" t="s">
        <v>37</v>
      </c>
      <c r="K4692" s="7" t="n">
        <f aca="false">IFERROR(VALUE(RIGHT(TRIM(F4692),4)),"")</f>
        <v>2017</v>
      </c>
      <c r="L4692" s="7" t="str">
        <f aca="false">IF(TRIM(E4692)="","Unknown",IFERROR(LEFT(TRIM(E4692),FIND(",",TRIM(E4692))-1),TRIM(E4692)))</f>
        <v>United States</v>
      </c>
      <c r="M4692" s="7" t="str">
        <f aca="false">IFERROR(LEFT(J4692,FIND(",",J4692)-1),J4692)</f>
        <v>Dramas</v>
      </c>
      <c r="N4692" s="7" t="n">
        <f aca="false">IF(B4692="Movie",IFERROR(VALUE(LEFT(I4692,FIND(" ",I4692)-1)),""),"")</f>
        <v>149</v>
      </c>
      <c r="O4692" s="7" t="str">
        <f aca="false">IF(B4692="TV Show",IFERROR(VALUE(LEFT(I4692,FIND(" ",I4692)-1)),""),"")</f>
        <v/>
      </c>
      <c r="P4692" s="7" t="n">
        <f aca="false">IF(K4692="","",K4692-G4692)</f>
        <v>37</v>
      </c>
    </row>
    <row r="4693" customFormat="false" ht="15" hidden="false" customHeight="false" outlineLevel="0" collapsed="false">
      <c r="A4693" s="7" t="n">
        <v>80201828</v>
      </c>
      <c r="B4693" s="7" t="s">
        <v>68</v>
      </c>
      <c r="C4693" s="7" t="s">
        <v>9553</v>
      </c>
      <c r="D4693" s="7" t="s">
        <v>9554</v>
      </c>
      <c r="E4693" s="7" t="s">
        <v>9555</v>
      </c>
      <c r="F4693" s="7" t="s">
        <v>9523</v>
      </c>
      <c r="G4693" s="7" t="n">
        <v>2013</v>
      </c>
      <c r="H4693" s="7" t="s">
        <v>48</v>
      </c>
      <c r="I4693" s="7" t="s">
        <v>173</v>
      </c>
      <c r="J4693" s="7" t="s">
        <v>188</v>
      </c>
      <c r="K4693" s="7" t="n">
        <f aca="false">IFERROR(VALUE(RIGHT(TRIM(F4693),4)),"")</f>
        <v>2017</v>
      </c>
      <c r="L4693" s="7" t="str">
        <f aca="false">IF(TRIM(E4693)="","Unknown",IFERROR(LEFT(TRIM(E4693),FIND(",",TRIM(E4693))-1),TRIM(E4693)))</f>
        <v>India</v>
      </c>
      <c r="M4693" s="7" t="str">
        <f aca="false">IFERROR(LEFT(J4693,FIND(",",J4693)-1),J4693)</f>
        <v>Dramas</v>
      </c>
      <c r="N4693" s="7" t="n">
        <f aca="false">IF(B4693="Movie",IFERROR(VALUE(LEFT(I4693,FIND(" ",I4693)-1)),""),"")</f>
        <v>106</v>
      </c>
      <c r="O4693" s="7" t="str">
        <f aca="false">IF(B4693="TV Show",IFERROR(VALUE(LEFT(I4693,FIND(" ",I4693)-1)),""),"")</f>
        <v/>
      </c>
      <c r="P4693" s="7" t="n">
        <f aca="false">IF(K4693="","",K4693-G4693)</f>
        <v>4</v>
      </c>
    </row>
    <row r="4694" customFormat="false" ht="15" hidden="false" customHeight="false" outlineLevel="0" collapsed="false">
      <c r="A4694" s="7" t="n">
        <v>80203787</v>
      </c>
      <c r="B4694" s="7" t="s">
        <v>68</v>
      </c>
      <c r="C4694" s="7" t="s">
        <v>9556</v>
      </c>
      <c r="D4694" s="7" t="s">
        <v>1815</v>
      </c>
      <c r="E4694" s="7" t="s">
        <v>29</v>
      </c>
      <c r="F4694" s="7" t="s">
        <v>9523</v>
      </c>
      <c r="G4694" s="7" t="n">
        <v>2015</v>
      </c>
      <c r="H4694" s="7" t="s">
        <v>49</v>
      </c>
      <c r="I4694" s="7" t="s">
        <v>879</v>
      </c>
      <c r="J4694" s="7" t="s">
        <v>457</v>
      </c>
      <c r="K4694" s="7" t="n">
        <f aca="false">IFERROR(VALUE(RIGHT(TRIM(F4694),4)),"")</f>
        <v>2017</v>
      </c>
      <c r="L4694" s="7" t="str">
        <f aca="false">IF(TRIM(E4694)="","Unknown",IFERROR(LEFT(TRIM(E4694),FIND(",",TRIM(E4694))-1),TRIM(E4694)))</f>
        <v>Canada</v>
      </c>
      <c r="M4694" s="7" t="str">
        <f aca="false">IFERROR(LEFT(J4694,FIND(",",J4694)-1),J4694)</f>
        <v>Comedies</v>
      </c>
      <c r="N4694" s="7" t="n">
        <f aca="false">IF(B4694="Movie",IFERROR(VALUE(LEFT(I4694,FIND(" ",I4694)-1)),""),"")</f>
        <v>140</v>
      </c>
      <c r="O4694" s="7" t="str">
        <f aca="false">IF(B4694="TV Show",IFERROR(VALUE(LEFT(I4694,FIND(" ",I4694)-1)),""),"")</f>
        <v/>
      </c>
      <c r="P4694" s="7" t="n">
        <f aca="false">IF(K4694="","",K4694-G4694)</f>
        <v>2</v>
      </c>
    </row>
    <row r="4695" customFormat="false" ht="15" hidden="false" customHeight="false" outlineLevel="0" collapsed="false">
      <c r="A4695" s="7" t="n">
        <v>70236586</v>
      </c>
      <c r="B4695" s="7" t="s">
        <v>68</v>
      </c>
      <c r="C4695" s="7" t="s">
        <v>9557</v>
      </c>
      <c r="D4695" s="7" t="s">
        <v>1517</v>
      </c>
      <c r="E4695" s="7" t="s">
        <v>3346</v>
      </c>
      <c r="F4695" s="7" t="s">
        <v>9523</v>
      </c>
      <c r="G4695" s="7" t="n">
        <v>2012</v>
      </c>
      <c r="H4695" s="7" t="s">
        <v>48</v>
      </c>
      <c r="I4695" s="7" t="s">
        <v>505</v>
      </c>
      <c r="J4695" s="7" t="s">
        <v>2221</v>
      </c>
      <c r="K4695" s="7" t="n">
        <f aca="false">IFERROR(VALUE(RIGHT(TRIM(F4695),4)),"")</f>
        <v>2017</v>
      </c>
      <c r="L4695" s="7" t="str">
        <f aca="false">IF(TRIM(E4695)="","Unknown",IFERROR(LEFT(TRIM(E4695),FIND(",",TRIM(E4695))-1),TRIM(E4695)))</f>
        <v>United Kingdom</v>
      </c>
      <c r="M4695" s="7" t="str">
        <f aca="false">IFERROR(LEFT(J4695,FIND(",",J4695)-1),J4695)</f>
        <v>Action &amp; Adventure</v>
      </c>
      <c r="N4695" s="7" t="n">
        <f aca="false">IF(B4695="Movie",IFERROR(VALUE(LEFT(I4695,FIND(" ",I4695)-1)),""),"")</f>
        <v>121</v>
      </c>
      <c r="O4695" s="7" t="str">
        <f aca="false">IF(B4695="TV Show",IFERROR(VALUE(LEFT(I4695,FIND(" ",I4695)-1)),""),"")</f>
        <v/>
      </c>
      <c r="P4695" s="7" t="n">
        <f aca="false">IF(K4695="","",K4695-G4695)</f>
        <v>5</v>
      </c>
    </row>
    <row r="4696" customFormat="false" ht="15" hidden="false" customHeight="false" outlineLevel="0" collapsed="false">
      <c r="A4696" s="7" t="n">
        <v>80216237</v>
      </c>
      <c r="B4696" s="7" t="s">
        <v>78</v>
      </c>
      <c r="C4696" s="7" t="s">
        <v>9558</v>
      </c>
      <c r="E4696" s="7" t="s">
        <v>26</v>
      </c>
      <c r="F4696" s="7" t="s">
        <v>9523</v>
      </c>
      <c r="G4696" s="7" t="n">
        <v>2010</v>
      </c>
      <c r="H4696" s="7" t="s">
        <v>50</v>
      </c>
      <c r="I4696" s="7" t="s">
        <v>82</v>
      </c>
      <c r="J4696" s="7" t="s">
        <v>792</v>
      </c>
      <c r="K4696" s="7" t="n">
        <f aca="false">IFERROR(VALUE(RIGHT(TRIM(F4696),4)),"")</f>
        <v>2017</v>
      </c>
      <c r="L4696" s="7" t="str">
        <f aca="false">IF(TRIM(E4696)="","Unknown",IFERROR(LEFT(TRIM(E4696),FIND(",",TRIM(E4696))-1),TRIM(E4696)))</f>
        <v>United States</v>
      </c>
      <c r="M4696" s="7" t="str">
        <f aca="false">IFERROR(LEFT(J4696,FIND(",",J4696)-1),J4696)</f>
        <v>Docuseries</v>
      </c>
      <c r="N4696" s="7" t="str">
        <f aca="false">IF(B4696="Movie",IFERROR(VALUE(LEFT(I4696,FIND(" ",I4696)-1)),""),"")</f>
        <v/>
      </c>
      <c r="O4696" s="7" t="n">
        <f aca="false">IF(B4696="TV Show",IFERROR(VALUE(LEFT(I4696,FIND(" ",I4696)-1)),""),"")</f>
        <v>1</v>
      </c>
      <c r="P4696" s="7" t="n">
        <f aca="false">IF(K4696="","",K4696-G4696)</f>
        <v>7</v>
      </c>
    </row>
    <row r="4697" customFormat="false" ht="15" hidden="false" customHeight="false" outlineLevel="0" collapsed="false">
      <c r="A4697" s="7" t="n">
        <v>80173271</v>
      </c>
      <c r="B4697" s="7" t="s">
        <v>68</v>
      </c>
      <c r="C4697" s="7" t="s">
        <v>9559</v>
      </c>
      <c r="D4697" s="7" t="s">
        <v>9560</v>
      </c>
      <c r="E4697" s="7" t="s">
        <v>26</v>
      </c>
      <c r="F4697" s="7" t="s">
        <v>9523</v>
      </c>
      <c r="G4697" s="7" t="n">
        <v>2017</v>
      </c>
      <c r="H4697" s="7" t="s">
        <v>48</v>
      </c>
      <c r="I4697" s="7" t="s">
        <v>494</v>
      </c>
      <c r="J4697" s="7" t="s">
        <v>39</v>
      </c>
      <c r="K4697" s="7" t="n">
        <f aca="false">IFERROR(VALUE(RIGHT(TRIM(F4697),4)),"")</f>
        <v>2017</v>
      </c>
      <c r="L4697" s="7" t="str">
        <f aca="false">IF(TRIM(E4697)="","Unknown",IFERROR(LEFT(TRIM(E4697),FIND(",",TRIM(E4697))-1),TRIM(E4697)))</f>
        <v>United States</v>
      </c>
      <c r="M4697" s="7" t="str">
        <f aca="false">IFERROR(LEFT(J4697,FIND(",",J4697)-1),J4697)</f>
        <v>Documentaries</v>
      </c>
      <c r="N4697" s="7" t="n">
        <f aca="false">IF(B4697="Movie",IFERROR(VALUE(LEFT(I4697,FIND(" ",I4697)-1)),""),"")</f>
        <v>87</v>
      </c>
      <c r="O4697" s="7" t="str">
        <f aca="false">IF(B4697="TV Show",IFERROR(VALUE(LEFT(I4697,FIND(" ",I4697)-1)),""),"")</f>
        <v/>
      </c>
      <c r="P4697" s="7" t="n">
        <f aca="false">IF(K4697="","",K4697-G4697)</f>
        <v>0</v>
      </c>
    </row>
    <row r="4698" customFormat="false" ht="15" hidden="false" customHeight="false" outlineLevel="0" collapsed="false">
      <c r="A4698" s="7" t="n">
        <v>80191513</v>
      </c>
      <c r="B4698" s="7" t="s">
        <v>68</v>
      </c>
      <c r="C4698" s="7" t="s">
        <v>9561</v>
      </c>
      <c r="D4698" s="7" t="s">
        <v>9562</v>
      </c>
      <c r="E4698" s="7" t="s">
        <v>9563</v>
      </c>
      <c r="F4698" s="7" t="s">
        <v>9523</v>
      </c>
      <c r="G4698" s="7" t="n">
        <v>2016</v>
      </c>
      <c r="H4698" s="7" t="s">
        <v>48</v>
      </c>
      <c r="I4698" s="7" t="s">
        <v>87</v>
      </c>
      <c r="J4698" s="7" t="s">
        <v>94</v>
      </c>
      <c r="K4698" s="7" t="n">
        <f aca="false">IFERROR(VALUE(RIGHT(TRIM(F4698),4)),"")</f>
        <v>2017</v>
      </c>
      <c r="L4698" s="7" t="str">
        <f aca="false">IF(TRIM(E4698)="","Unknown",IFERROR(LEFT(TRIM(E4698),FIND(",",TRIM(E4698))-1),TRIM(E4698)))</f>
        <v>United Arab Emirates</v>
      </c>
      <c r="M4698" s="7" t="str">
        <f aca="false">IFERROR(LEFT(J4698,FIND(",",J4698)-1),J4698)</f>
        <v>International Movies</v>
      </c>
      <c r="N4698" s="7" t="n">
        <f aca="false">IF(B4698="Movie",IFERROR(VALUE(LEFT(I4698,FIND(" ",I4698)-1)),""),"")</f>
        <v>99</v>
      </c>
      <c r="O4698" s="7" t="str">
        <f aca="false">IF(B4698="TV Show",IFERROR(VALUE(LEFT(I4698,FIND(" ",I4698)-1)),""),"")</f>
        <v/>
      </c>
      <c r="P4698" s="7" t="n">
        <f aca="false">IF(K4698="","",K4698-G4698)</f>
        <v>1</v>
      </c>
    </row>
    <row r="4699" customFormat="false" ht="15" hidden="false" customHeight="false" outlineLevel="0" collapsed="false">
      <c r="A4699" s="7" t="n">
        <v>80176212</v>
      </c>
      <c r="B4699" s="7" t="s">
        <v>68</v>
      </c>
      <c r="C4699" s="7" t="s">
        <v>9564</v>
      </c>
      <c r="D4699" s="7" t="s">
        <v>9565</v>
      </c>
      <c r="E4699" s="7" t="s">
        <v>26</v>
      </c>
      <c r="F4699" s="7" t="s">
        <v>9523</v>
      </c>
      <c r="G4699" s="7" t="n">
        <v>2017</v>
      </c>
      <c r="H4699" s="7" t="s">
        <v>48</v>
      </c>
      <c r="I4699" s="7" t="s">
        <v>138</v>
      </c>
      <c r="J4699" s="7" t="s">
        <v>39</v>
      </c>
      <c r="K4699" s="7" t="n">
        <f aca="false">IFERROR(VALUE(RIGHT(TRIM(F4699),4)),"")</f>
        <v>2017</v>
      </c>
      <c r="L4699" s="7" t="str">
        <f aca="false">IF(TRIM(E4699)="","Unknown",IFERROR(LEFT(TRIM(E4699),FIND(",",TRIM(E4699))-1),TRIM(E4699)))</f>
        <v>United States</v>
      </c>
      <c r="M4699" s="7" t="str">
        <f aca="false">IFERROR(LEFT(J4699,FIND(",",J4699)-1),J4699)</f>
        <v>Documentaries</v>
      </c>
      <c r="N4699" s="7" t="n">
        <f aca="false">IF(B4699="Movie",IFERROR(VALUE(LEFT(I4699,FIND(" ",I4699)-1)),""),"")</f>
        <v>96</v>
      </c>
      <c r="O4699" s="7" t="str">
        <f aca="false">IF(B4699="TV Show",IFERROR(VALUE(LEFT(I4699,FIND(" ",I4699)-1)),""),"")</f>
        <v/>
      </c>
      <c r="P4699" s="7" t="n">
        <f aca="false">IF(K4699="","",K4699-G4699)</f>
        <v>0</v>
      </c>
    </row>
    <row r="4700" customFormat="false" ht="15" hidden="false" customHeight="false" outlineLevel="0" collapsed="false">
      <c r="A4700" s="7" t="n">
        <v>70286809</v>
      </c>
      <c r="B4700" s="7" t="s">
        <v>78</v>
      </c>
      <c r="C4700" s="7" t="s">
        <v>9566</v>
      </c>
      <c r="E4700" s="7" t="s">
        <v>31</v>
      </c>
      <c r="F4700" s="7" t="s">
        <v>9523</v>
      </c>
      <c r="G4700" s="7" t="n">
        <v>2016</v>
      </c>
      <c r="H4700" s="7" t="s">
        <v>119</v>
      </c>
      <c r="I4700" s="7" t="s">
        <v>82</v>
      </c>
      <c r="J4700" s="7" t="s">
        <v>44</v>
      </c>
      <c r="K4700" s="7" t="n">
        <f aca="false">IFERROR(VALUE(RIGHT(TRIM(F4700),4)),"")</f>
        <v>2017</v>
      </c>
      <c r="L4700" s="7" t="str">
        <f aca="false">IF(TRIM(E4700)="","Unknown",IFERROR(LEFT(TRIM(E4700),FIND(",",TRIM(E4700))-1),TRIM(E4700)))</f>
        <v>France</v>
      </c>
      <c r="M4700" s="7" t="str">
        <f aca="false">IFERROR(LEFT(J4700,FIND(",",J4700)-1),J4700)</f>
        <v>Kids' TV</v>
      </c>
      <c r="N4700" s="7" t="str">
        <f aca="false">IF(B4700="Movie",IFERROR(VALUE(LEFT(I4700,FIND(" ",I4700)-1)),""),"")</f>
        <v/>
      </c>
      <c r="O4700" s="7" t="n">
        <f aca="false">IF(B4700="TV Show",IFERROR(VALUE(LEFT(I4700,FIND(" ",I4700)-1)),""),"")</f>
        <v>1</v>
      </c>
      <c r="P4700" s="7" t="n">
        <f aca="false">IF(K4700="","",K4700-G4700)</f>
        <v>1</v>
      </c>
    </row>
    <row r="4701" customFormat="false" ht="15" hidden="false" customHeight="false" outlineLevel="0" collapsed="false">
      <c r="A4701" s="7" t="n">
        <v>80147908</v>
      </c>
      <c r="B4701" s="7" t="s">
        <v>68</v>
      </c>
      <c r="C4701" s="7" t="s">
        <v>9567</v>
      </c>
      <c r="D4701" s="7" t="s">
        <v>9568</v>
      </c>
      <c r="E4701" s="7" t="s">
        <v>26</v>
      </c>
      <c r="F4701" s="7" t="s">
        <v>9569</v>
      </c>
      <c r="G4701" s="7" t="n">
        <v>2016</v>
      </c>
      <c r="H4701" s="7" t="s">
        <v>50</v>
      </c>
      <c r="I4701" s="7" t="s">
        <v>1599</v>
      </c>
      <c r="J4701" s="7" t="s">
        <v>1085</v>
      </c>
      <c r="K4701" s="7" t="n">
        <f aca="false">IFERROR(VALUE(RIGHT(TRIM(F4701),4)),"")</f>
        <v>2016</v>
      </c>
      <c r="L4701" s="7" t="str">
        <f aca="false">IF(TRIM(E4701)="","Unknown",IFERROR(LEFT(TRIM(E4701),FIND(",",TRIM(E4701))-1),TRIM(E4701)))</f>
        <v>United States</v>
      </c>
      <c r="M4701" s="7" t="str">
        <f aca="false">IFERROR(LEFT(J4701,FIND(",",J4701)-1),J4701)</f>
        <v>Documentaries</v>
      </c>
      <c r="N4701" s="7" t="n">
        <f aca="false">IF(B4701="Movie",IFERROR(VALUE(LEFT(I4701,FIND(" ",I4701)-1)),""),"")</f>
        <v>56</v>
      </c>
      <c r="O4701" s="7" t="str">
        <f aca="false">IF(B4701="TV Show",IFERROR(VALUE(LEFT(I4701,FIND(" ",I4701)-1)),""),"")</f>
        <v/>
      </c>
      <c r="P4701" s="7" t="n">
        <f aca="false">IF(K4701="","",K4701-G4701)</f>
        <v>0</v>
      </c>
    </row>
    <row r="4702" customFormat="false" ht="15" hidden="false" customHeight="false" outlineLevel="0" collapsed="false">
      <c r="A4702" s="7" t="n">
        <v>80113785</v>
      </c>
      <c r="B4702" s="7" t="s">
        <v>68</v>
      </c>
      <c r="C4702" s="7" t="s">
        <v>9570</v>
      </c>
      <c r="D4702" s="7" t="s">
        <v>9571</v>
      </c>
      <c r="E4702" s="7" t="s">
        <v>27</v>
      </c>
      <c r="F4702" s="7" t="s">
        <v>9569</v>
      </c>
      <c r="G4702" s="7" t="n">
        <v>2014</v>
      </c>
      <c r="H4702" s="7" t="s">
        <v>53</v>
      </c>
      <c r="I4702" s="7" t="s">
        <v>357</v>
      </c>
      <c r="J4702" s="7" t="s">
        <v>304</v>
      </c>
      <c r="K4702" s="7" t="n">
        <f aca="false">IFERROR(VALUE(RIGHT(TRIM(F4702),4)),"")</f>
        <v>2016</v>
      </c>
      <c r="L4702" s="7" t="str">
        <f aca="false">IF(TRIM(E4702)="","Unknown",IFERROR(LEFT(TRIM(E4702),FIND(",",TRIM(E4702))-1),TRIM(E4702)))</f>
        <v>India</v>
      </c>
      <c r="M4702" s="7" t="str">
        <f aca="false">IFERROR(LEFT(J4702,FIND(",",J4702)-1),J4702)</f>
        <v>Dramas</v>
      </c>
      <c r="N4702" s="7" t="n">
        <f aca="false">IF(B4702="Movie",IFERROR(VALUE(LEFT(I4702,FIND(" ",I4702)-1)),""),"")</f>
        <v>89</v>
      </c>
      <c r="O4702" s="7" t="str">
        <f aca="false">IF(B4702="TV Show",IFERROR(VALUE(LEFT(I4702,FIND(" ",I4702)-1)),""),"")</f>
        <v/>
      </c>
      <c r="P4702" s="7" t="n">
        <f aca="false">IF(K4702="","",K4702-G4702)</f>
        <v>2</v>
      </c>
    </row>
    <row r="4703" customFormat="false" ht="15" hidden="false" customHeight="false" outlineLevel="0" collapsed="false">
      <c r="A4703" s="7" t="n">
        <v>80152091</v>
      </c>
      <c r="B4703" s="7" t="s">
        <v>68</v>
      </c>
      <c r="C4703" s="7" t="s">
        <v>9572</v>
      </c>
      <c r="D4703" s="7" t="s">
        <v>9573</v>
      </c>
      <c r="E4703" s="7" t="s">
        <v>26</v>
      </c>
      <c r="F4703" s="7" t="s">
        <v>9569</v>
      </c>
      <c r="G4703" s="7" t="n">
        <v>2013</v>
      </c>
      <c r="H4703" s="7" t="s">
        <v>50</v>
      </c>
      <c r="I4703" s="7" t="s">
        <v>373</v>
      </c>
      <c r="J4703" s="7" t="s">
        <v>37</v>
      </c>
      <c r="K4703" s="7" t="n">
        <f aca="false">IFERROR(VALUE(RIGHT(TRIM(F4703),4)),"")</f>
        <v>2016</v>
      </c>
      <c r="L4703" s="7" t="str">
        <f aca="false">IF(TRIM(E4703)="","Unknown",IFERROR(LEFT(TRIM(E4703),FIND(",",TRIM(E4703))-1),TRIM(E4703)))</f>
        <v>United States</v>
      </c>
      <c r="M4703" s="7" t="str">
        <f aca="false">IFERROR(LEFT(J4703,FIND(",",J4703)-1),J4703)</f>
        <v>Dramas</v>
      </c>
      <c r="N4703" s="7" t="n">
        <f aca="false">IF(B4703="Movie",IFERROR(VALUE(LEFT(I4703,FIND(" ",I4703)-1)),""),"")</f>
        <v>24</v>
      </c>
      <c r="O4703" s="7" t="str">
        <f aca="false">IF(B4703="TV Show",IFERROR(VALUE(LEFT(I4703,FIND(" ",I4703)-1)),""),"")</f>
        <v/>
      </c>
      <c r="P4703" s="7" t="n">
        <f aca="false">IF(K4703="","",K4703-G4703)</f>
        <v>3</v>
      </c>
    </row>
    <row r="4704" customFormat="false" ht="15" hidden="false" customHeight="false" outlineLevel="0" collapsed="false">
      <c r="A4704" s="7" t="n">
        <v>80118982</v>
      </c>
      <c r="B4704" s="7" t="s">
        <v>68</v>
      </c>
      <c r="C4704" s="7" t="s">
        <v>9574</v>
      </c>
      <c r="D4704" s="7" t="s">
        <v>9575</v>
      </c>
      <c r="E4704" s="7" t="s">
        <v>1552</v>
      </c>
      <c r="F4704" s="7" t="s">
        <v>9569</v>
      </c>
      <c r="G4704" s="7" t="n">
        <v>2015</v>
      </c>
      <c r="H4704" s="7" t="s">
        <v>53</v>
      </c>
      <c r="I4704" s="7" t="s">
        <v>205</v>
      </c>
      <c r="J4704" s="7" t="s">
        <v>202</v>
      </c>
      <c r="K4704" s="7" t="n">
        <f aca="false">IFERROR(VALUE(RIGHT(TRIM(F4704),4)),"")</f>
        <v>2016</v>
      </c>
      <c r="L4704" s="7" t="str">
        <f aca="false">IF(TRIM(E4704)="","Unknown",IFERROR(LEFT(TRIM(E4704),FIND(",",TRIM(E4704))-1),TRIM(E4704)))</f>
        <v>Peru</v>
      </c>
      <c r="M4704" s="7" t="str">
        <f aca="false">IFERROR(LEFT(J4704,FIND(",",J4704)-1),J4704)</f>
        <v>Comedies</v>
      </c>
      <c r="N4704" s="7" t="n">
        <f aca="false">IF(B4704="Movie",IFERROR(VALUE(LEFT(I4704,FIND(" ",I4704)-1)),""),"")</f>
        <v>100</v>
      </c>
      <c r="O4704" s="7" t="str">
        <f aca="false">IF(B4704="TV Show",IFERROR(VALUE(LEFT(I4704,FIND(" ",I4704)-1)),""),"")</f>
        <v/>
      </c>
      <c r="P4704" s="7" t="n">
        <f aca="false">IF(K4704="","",K4704-G4704)</f>
        <v>1</v>
      </c>
    </row>
    <row r="4705" customFormat="false" ht="15" hidden="false" customHeight="false" outlineLevel="0" collapsed="false">
      <c r="A4705" s="7" t="n">
        <v>80134109</v>
      </c>
      <c r="B4705" s="7" t="s">
        <v>78</v>
      </c>
      <c r="C4705" s="7" t="s">
        <v>9576</v>
      </c>
      <c r="E4705" s="7" t="s">
        <v>970</v>
      </c>
      <c r="F4705" s="7" t="s">
        <v>9569</v>
      </c>
      <c r="G4705" s="7" t="n">
        <v>2016</v>
      </c>
      <c r="H4705" s="7" t="s">
        <v>49</v>
      </c>
      <c r="I4705" s="7" t="s">
        <v>82</v>
      </c>
      <c r="J4705" s="7" t="s">
        <v>158</v>
      </c>
      <c r="K4705" s="7" t="n">
        <f aca="false">IFERROR(VALUE(RIGHT(TRIM(F4705),4)),"")</f>
        <v>2016</v>
      </c>
      <c r="L4705" s="7" t="str">
        <f aca="false">IF(TRIM(E4705)="","Unknown",IFERROR(LEFT(TRIM(E4705),FIND(",",TRIM(E4705))-1),TRIM(E4705)))</f>
        <v>Taiwan</v>
      </c>
      <c r="M4705" s="7" t="str">
        <f aca="false">IFERROR(LEFT(J4705,FIND(",",J4705)-1),J4705)</f>
        <v>International TV Shows</v>
      </c>
      <c r="N4705" s="7" t="str">
        <f aca="false">IF(B4705="Movie",IFERROR(VALUE(LEFT(I4705,FIND(" ",I4705)-1)),""),"")</f>
        <v/>
      </c>
      <c r="O4705" s="7" t="n">
        <f aca="false">IF(B4705="TV Show",IFERROR(VALUE(LEFT(I4705,FIND(" ",I4705)-1)),""),"")</f>
        <v>1</v>
      </c>
      <c r="P4705" s="7" t="n">
        <f aca="false">IF(K4705="","",K4705-G4705)</f>
        <v>0</v>
      </c>
    </row>
    <row r="4706" customFormat="false" ht="15" hidden="false" customHeight="false" outlineLevel="0" collapsed="false">
      <c r="A4706" s="7" t="n">
        <v>80133781</v>
      </c>
      <c r="B4706" s="7" t="s">
        <v>78</v>
      </c>
      <c r="C4706" s="7" t="s">
        <v>9577</v>
      </c>
      <c r="E4706" s="7" t="s">
        <v>970</v>
      </c>
      <c r="F4706" s="7" t="s">
        <v>9569</v>
      </c>
      <c r="G4706" s="7" t="n">
        <v>2015</v>
      </c>
      <c r="H4706" s="7" t="s">
        <v>49</v>
      </c>
      <c r="I4706" s="7" t="s">
        <v>82</v>
      </c>
      <c r="J4706" s="7" t="s">
        <v>158</v>
      </c>
      <c r="K4706" s="7" t="n">
        <f aca="false">IFERROR(VALUE(RIGHT(TRIM(F4706),4)),"")</f>
        <v>2016</v>
      </c>
      <c r="L4706" s="7" t="str">
        <f aca="false">IF(TRIM(E4706)="","Unknown",IFERROR(LEFT(TRIM(E4706),FIND(",",TRIM(E4706))-1),TRIM(E4706)))</f>
        <v>Taiwan</v>
      </c>
      <c r="M4706" s="7" t="str">
        <f aca="false">IFERROR(LEFT(J4706,FIND(",",J4706)-1),J4706)</f>
        <v>International TV Shows</v>
      </c>
      <c r="N4706" s="7" t="str">
        <f aca="false">IF(B4706="Movie",IFERROR(VALUE(LEFT(I4706,FIND(" ",I4706)-1)),""),"")</f>
        <v/>
      </c>
      <c r="O4706" s="7" t="n">
        <f aca="false">IF(B4706="TV Show",IFERROR(VALUE(LEFT(I4706,FIND(" ",I4706)-1)),""),"")</f>
        <v>1</v>
      </c>
      <c r="P4706" s="7" t="n">
        <f aca="false">IF(K4706="","",K4706-G4706)</f>
        <v>1</v>
      </c>
    </row>
    <row r="4707" customFormat="false" ht="15" hidden="false" customHeight="false" outlineLevel="0" collapsed="false">
      <c r="A4707" s="7" t="n">
        <v>80147811</v>
      </c>
      <c r="B4707" s="7" t="s">
        <v>78</v>
      </c>
      <c r="C4707" s="7" t="s">
        <v>9578</v>
      </c>
      <c r="F4707" s="7" t="s">
        <v>9569</v>
      </c>
      <c r="G4707" s="7" t="n">
        <v>1994</v>
      </c>
      <c r="H4707" s="7" t="s">
        <v>226</v>
      </c>
      <c r="I4707" s="7" t="s">
        <v>82</v>
      </c>
      <c r="J4707" s="7" t="s">
        <v>2695</v>
      </c>
      <c r="K4707" s="7" t="n">
        <f aca="false">IFERROR(VALUE(RIGHT(TRIM(F4707),4)),"")</f>
        <v>2016</v>
      </c>
      <c r="L4707" s="7" t="str">
        <f aca="false">IF(TRIM(E4707)="","Unknown",IFERROR(LEFT(TRIM(E4707),FIND(",",TRIM(E4707))-1),TRIM(E4707)))</f>
        <v>Unknown</v>
      </c>
      <c r="M4707" s="7" t="str">
        <f aca="false">IFERROR(LEFT(J4707,FIND(",",J4707)-1),J4707)</f>
        <v>TV Shows</v>
      </c>
      <c r="N4707" s="7" t="str">
        <f aca="false">IF(B4707="Movie",IFERROR(VALUE(LEFT(I4707,FIND(" ",I4707)-1)),""),"")</f>
        <v/>
      </c>
      <c r="O4707" s="7" t="n">
        <f aca="false">IF(B4707="TV Show",IFERROR(VALUE(LEFT(I4707,FIND(" ",I4707)-1)),""),"")</f>
        <v>1</v>
      </c>
      <c r="P4707" s="7" t="n">
        <f aca="false">IF(K4707="","",K4707-G4707)</f>
        <v>22</v>
      </c>
    </row>
    <row r="4708" customFormat="false" ht="15" hidden="false" customHeight="false" outlineLevel="0" collapsed="false">
      <c r="A4708" s="7" t="n">
        <v>80039789</v>
      </c>
      <c r="B4708" s="7" t="s">
        <v>78</v>
      </c>
      <c r="C4708" s="7" t="s">
        <v>9579</v>
      </c>
      <c r="E4708" s="7" t="s">
        <v>30</v>
      </c>
      <c r="F4708" s="7" t="s">
        <v>9569</v>
      </c>
      <c r="G4708" s="7" t="n">
        <v>2013</v>
      </c>
      <c r="I4708" s="7" t="s">
        <v>82</v>
      </c>
      <c r="J4708" s="7" t="s">
        <v>542</v>
      </c>
      <c r="K4708" s="7" t="n">
        <f aca="false">IFERROR(VALUE(RIGHT(TRIM(F4708),4)),"")</f>
        <v>2016</v>
      </c>
      <c r="L4708" s="7" t="str">
        <f aca="false">IF(TRIM(E4708)="","Unknown",IFERROR(LEFT(TRIM(E4708),FIND(",",TRIM(E4708))-1),TRIM(E4708)))</f>
        <v>Japan</v>
      </c>
      <c r="M4708" s="7" t="str">
        <f aca="false">IFERROR(LEFT(J4708,FIND(",",J4708)-1),J4708)</f>
        <v>Anime Series</v>
      </c>
      <c r="N4708" s="7" t="str">
        <f aca="false">IF(B4708="Movie",IFERROR(VALUE(LEFT(I4708,FIND(" ",I4708)-1)),""),"")</f>
        <v/>
      </c>
      <c r="O4708" s="7" t="n">
        <f aca="false">IF(B4708="TV Show",IFERROR(VALUE(LEFT(I4708,FIND(" ",I4708)-1)),""),"")</f>
        <v>1</v>
      </c>
      <c r="P4708" s="7" t="n">
        <f aca="false">IF(K4708="","",K4708-G4708)</f>
        <v>3</v>
      </c>
    </row>
    <row r="4709" customFormat="false" ht="15" hidden="false" customHeight="false" outlineLevel="0" collapsed="false">
      <c r="A4709" s="7" t="n">
        <v>80149139</v>
      </c>
      <c r="B4709" s="7" t="s">
        <v>68</v>
      </c>
      <c r="C4709" s="7" t="s">
        <v>9580</v>
      </c>
      <c r="D4709" s="7" t="s">
        <v>9581</v>
      </c>
      <c r="E4709" s="7" t="s">
        <v>27</v>
      </c>
      <c r="F4709" s="7" t="s">
        <v>9569</v>
      </c>
      <c r="G4709" s="7" t="n">
        <v>2015</v>
      </c>
      <c r="H4709" s="7" t="s">
        <v>48</v>
      </c>
      <c r="I4709" s="7" t="s">
        <v>237</v>
      </c>
      <c r="J4709" s="7" t="s">
        <v>182</v>
      </c>
      <c r="K4709" s="7" t="n">
        <f aca="false">IFERROR(VALUE(RIGHT(TRIM(F4709),4)),"")</f>
        <v>2016</v>
      </c>
      <c r="L4709" s="7" t="str">
        <f aca="false">IF(TRIM(E4709)="","Unknown",IFERROR(LEFT(TRIM(E4709),FIND(",",TRIM(E4709))-1),TRIM(E4709)))</f>
        <v>India</v>
      </c>
      <c r="M4709" s="7" t="str">
        <f aca="false">IFERROR(LEFT(J4709,FIND(",",J4709)-1),J4709)</f>
        <v>Dramas</v>
      </c>
      <c r="N4709" s="7" t="n">
        <f aca="false">IF(B4709="Movie",IFERROR(VALUE(LEFT(I4709,FIND(" ",I4709)-1)),""),"")</f>
        <v>116</v>
      </c>
      <c r="O4709" s="7" t="str">
        <f aca="false">IF(B4709="TV Show",IFERROR(VALUE(LEFT(I4709,FIND(" ",I4709)-1)),""),"")</f>
        <v/>
      </c>
      <c r="P4709" s="7" t="n">
        <f aca="false">IF(K4709="","",K4709-G4709)</f>
        <v>1</v>
      </c>
    </row>
    <row r="4710" customFormat="false" ht="15" hidden="false" customHeight="false" outlineLevel="0" collapsed="false">
      <c r="A4710" s="7" t="n">
        <v>80040118</v>
      </c>
      <c r="B4710" s="7" t="s">
        <v>78</v>
      </c>
      <c r="C4710" s="7" t="s">
        <v>9582</v>
      </c>
      <c r="E4710" s="7" t="s">
        <v>30</v>
      </c>
      <c r="F4710" s="7" t="s">
        <v>9569</v>
      </c>
      <c r="G4710" s="7" t="n">
        <v>2012</v>
      </c>
      <c r="H4710" s="7" t="s">
        <v>48</v>
      </c>
      <c r="I4710" s="7" t="s">
        <v>82</v>
      </c>
      <c r="J4710" s="7" t="s">
        <v>1850</v>
      </c>
      <c r="K4710" s="7" t="n">
        <f aca="false">IFERROR(VALUE(RIGHT(TRIM(F4710),4)),"")</f>
        <v>2016</v>
      </c>
      <c r="L4710" s="7" t="str">
        <f aca="false">IF(TRIM(E4710)="","Unknown",IFERROR(LEFT(TRIM(E4710),FIND(",",TRIM(E4710))-1),TRIM(E4710)))</f>
        <v>Japan</v>
      </c>
      <c r="M4710" s="7" t="str">
        <f aca="false">IFERROR(LEFT(J4710,FIND(",",J4710)-1),J4710)</f>
        <v>Anime Series</v>
      </c>
      <c r="N4710" s="7" t="str">
        <f aca="false">IF(B4710="Movie",IFERROR(VALUE(LEFT(I4710,FIND(" ",I4710)-1)),""),"")</f>
        <v/>
      </c>
      <c r="O4710" s="7" t="n">
        <f aca="false">IF(B4710="TV Show",IFERROR(VALUE(LEFT(I4710,FIND(" ",I4710)-1)),""),"")</f>
        <v>1</v>
      </c>
      <c r="P4710" s="7" t="n">
        <f aca="false">IF(K4710="","",K4710-G4710)</f>
        <v>4</v>
      </c>
    </row>
    <row r="4711" customFormat="false" ht="15" hidden="false" customHeight="false" outlineLevel="0" collapsed="false">
      <c r="A4711" s="7" t="n">
        <v>80134797</v>
      </c>
      <c r="B4711" s="7" t="s">
        <v>78</v>
      </c>
      <c r="C4711" s="7" t="s">
        <v>9583</v>
      </c>
      <c r="E4711" s="7" t="s">
        <v>33</v>
      </c>
      <c r="F4711" s="7" t="s">
        <v>9569</v>
      </c>
      <c r="G4711" s="7" t="n">
        <v>2015</v>
      </c>
      <c r="H4711" s="7" t="s">
        <v>48</v>
      </c>
      <c r="I4711" s="7" t="s">
        <v>82</v>
      </c>
      <c r="J4711" s="7" t="s">
        <v>2916</v>
      </c>
      <c r="K4711" s="7" t="n">
        <f aca="false">IFERROR(VALUE(RIGHT(TRIM(F4711),4)),"")</f>
        <v>2016</v>
      </c>
      <c r="L4711" s="7" t="str">
        <f aca="false">IF(TRIM(E4711)="","Unknown",IFERROR(LEFT(TRIM(E4711),FIND(",",TRIM(E4711))-1),TRIM(E4711)))</f>
        <v>Spain</v>
      </c>
      <c r="M4711" s="7" t="str">
        <f aca="false">IFERROR(LEFT(J4711,FIND(",",J4711)-1),J4711)</f>
        <v>International TV Shows</v>
      </c>
      <c r="N4711" s="7" t="str">
        <f aca="false">IF(B4711="Movie",IFERROR(VALUE(LEFT(I4711,FIND(" ",I4711)-1)),""),"")</f>
        <v/>
      </c>
      <c r="O4711" s="7" t="n">
        <f aca="false">IF(B4711="TV Show",IFERROR(VALUE(LEFT(I4711,FIND(" ",I4711)-1)),""),"")</f>
        <v>1</v>
      </c>
      <c r="P4711" s="7" t="n">
        <f aca="false">IF(K4711="","",K4711-G4711)</f>
        <v>1</v>
      </c>
    </row>
    <row r="4712" customFormat="false" ht="15" hidden="false" customHeight="false" outlineLevel="0" collapsed="false">
      <c r="A4712" s="7" t="n">
        <v>80114915</v>
      </c>
      <c r="B4712" s="7" t="s">
        <v>68</v>
      </c>
      <c r="C4712" s="7" t="s">
        <v>9584</v>
      </c>
      <c r="D4712" s="7" t="s">
        <v>9585</v>
      </c>
      <c r="E4712" s="7" t="s">
        <v>26</v>
      </c>
      <c r="F4712" s="7" t="s">
        <v>9569</v>
      </c>
      <c r="G4712" s="7" t="n">
        <v>2015</v>
      </c>
      <c r="H4712" s="7" t="s">
        <v>51</v>
      </c>
      <c r="I4712" s="7" t="s">
        <v>512</v>
      </c>
      <c r="J4712" s="7" t="s">
        <v>150</v>
      </c>
      <c r="K4712" s="7" t="n">
        <f aca="false">IFERROR(VALUE(RIGHT(TRIM(F4712),4)),"")</f>
        <v>2016</v>
      </c>
      <c r="L4712" s="7" t="str">
        <f aca="false">IF(TRIM(E4712)="","Unknown",IFERROR(LEFT(TRIM(E4712),FIND(",",TRIM(E4712))-1),TRIM(E4712)))</f>
        <v>United States</v>
      </c>
      <c r="M4712" s="7" t="str">
        <f aca="false">IFERROR(LEFT(J4712,FIND(",",J4712)-1),J4712)</f>
        <v>Dramas</v>
      </c>
      <c r="N4712" s="7" t="n">
        <f aca="false">IF(B4712="Movie",IFERROR(VALUE(LEFT(I4712,FIND(" ",I4712)-1)),""),"")</f>
        <v>101</v>
      </c>
      <c r="O4712" s="7" t="str">
        <f aca="false">IF(B4712="TV Show",IFERROR(VALUE(LEFT(I4712,FIND(" ",I4712)-1)),""),"")</f>
        <v/>
      </c>
      <c r="P4712" s="7" t="n">
        <f aca="false">IF(K4712="","",K4712-G4712)</f>
        <v>1</v>
      </c>
    </row>
    <row r="4713" customFormat="false" ht="15" hidden="false" customHeight="false" outlineLevel="0" collapsed="false">
      <c r="A4713" s="7" t="n">
        <v>80040089</v>
      </c>
      <c r="B4713" s="7" t="s">
        <v>78</v>
      </c>
      <c r="C4713" s="7" t="s">
        <v>9586</v>
      </c>
      <c r="E4713" s="7" t="s">
        <v>30</v>
      </c>
      <c r="F4713" s="7" t="s">
        <v>9569</v>
      </c>
      <c r="G4713" s="7" t="n">
        <v>2011</v>
      </c>
      <c r="H4713" s="7" t="s">
        <v>48</v>
      </c>
      <c r="I4713" s="7" t="s">
        <v>82</v>
      </c>
      <c r="J4713" s="7" t="s">
        <v>1303</v>
      </c>
      <c r="K4713" s="7" t="n">
        <f aca="false">IFERROR(VALUE(RIGHT(TRIM(F4713),4)),"")</f>
        <v>2016</v>
      </c>
      <c r="L4713" s="7" t="str">
        <f aca="false">IF(TRIM(E4713)="","Unknown",IFERROR(LEFT(TRIM(E4713),FIND(",",TRIM(E4713))-1),TRIM(E4713)))</f>
        <v>Japan</v>
      </c>
      <c r="M4713" s="7" t="str">
        <f aca="false">IFERROR(LEFT(J4713,FIND(",",J4713)-1),J4713)</f>
        <v>Anime Series</v>
      </c>
      <c r="N4713" s="7" t="str">
        <f aca="false">IF(B4713="Movie",IFERROR(VALUE(LEFT(I4713,FIND(" ",I4713)-1)),""),"")</f>
        <v/>
      </c>
      <c r="O4713" s="7" t="n">
        <f aca="false">IF(B4713="TV Show",IFERROR(VALUE(LEFT(I4713,FIND(" ",I4713)-1)),""),"")</f>
        <v>1</v>
      </c>
      <c r="P4713" s="7" t="n">
        <f aca="false">IF(K4713="","",K4713-G4713)</f>
        <v>5</v>
      </c>
    </row>
    <row r="4714" customFormat="false" ht="15" hidden="false" customHeight="false" outlineLevel="0" collapsed="false">
      <c r="A4714" s="7" t="n">
        <v>80104240</v>
      </c>
      <c r="B4714" s="7" t="s">
        <v>68</v>
      </c>
      <c r="C4714" s="7" t="s">
        <v>9587</v>
      </c>
      <c r="D4714" s="7" t="s">
        <v>9588</v>
      </c>
      <c r="E4714" s="7" t="s">
        <v>26</v>
      </c>
      <c r="F4714" s="7" t="s">
        <v>9569</v>
      </c>
      <c r="G4714" s="7" t="n">
        <v>2016</v>
      </c>
      <c r="H4714" s="7" t="s">
        <v>53</v>
      </c>
      <c r="I4714" s="7" t="s">
        <v>311</v>
      </c>
      <c r="J4714" s="7" t="s">
        <v>198</v>
      </c>
      <c r="K4714" s="7" t="n">
        <f aca="false">IFERROR(VALUE(RIGHT(TRIM(F4714),4)),"")</f>
        <v>2016</v>
      </c>
      <c r="L4714" s="7" t="str">
        <f aca="false">IF(TRIM(E4714)="","Unknown",IFERROR(LEFT(TRIM(E4714),FIND(",",TRIM(E4714))-1),TRIM(E4714)))</f>
        <v>United States</v>
      </c>
      <c r="M4714" s="7" t="str">
        <f aca="false">IFERROR(LEFT(J4714,FIND(",",J4714)-1),J4714)</f>
        <v>Comedies</v>
      </c>
      <c r="N4714" s="7" t="n">
        <f aca="false">IF(B4714="Movie",IFERROR(VALUE(LEFT(I4714,FIND(" ",I4714)-1)),""),"")</f>
        <v>92</v>
      </c>
      <c r="O4714" s="7" t="str">
        <f aca="false">IF(B4714="TV Show",IFERROR(VALUE(LEFT(I4714,FIND(" ",I4714)-1)),""),"")</f>
        <v/>
      </c>
      <c r="P4714" s="7" t="n">
        <f aca="false">IF(K4714="","",K4714-G4714)</f>
        <v>0</v>
      </c>
    </row>
    <row r="4715" customFormat="false" ht="15" hidden="false" customHeight="false" outlineLevel="0" collapsed="false">
      <c r="A4715" s="7" t="n">
        <v>80134078</v>
      </c>
      <c r="B4715" s="7" t="s">
        <v>78</v>
      </c>
      <c r="C4715" s="7" t="s">
        <v>9589</v>
      </c>
      <c r="E4715" s="7" t="s">
        <v>970</v>
      </c>
      <c r="F4715" s="7" t="s">
        <v>9569</v>
      </c>
      <c r="G4715" s="7" t="n">
        <v>2016</v>
      </c>
      <c r="H4715" s="7" t="s">
        <v>50</v>
      </c>
      <c r="I4715" s="7" t="s">
        <v>82</v>
      </c>
      <c r="J4715" s="7" t="s">
        <v>158</v>
      </c>
      <c r="K4715" s="7" t="n">
        <f aca="false">IFERROR(VALUE(RIGHT(TRIM(F4715),4)),"")</f>
        <v>2016</v>
      </c>
      <c r="L4715" s="7" t="str">
        <f aca="false">IF(TRIM(E4715)="","Unknown",IFERROR(LEFT(TRIM(E4715),FIND(",",TRIM(E4715))-1),TRIM(E4715)))</f>
        <v>Taiwan</v>
      </c>
      <c r="M4715" s="7" t="str">
        <f aca="false">IFERROR(LEFT(J4715,FIND(",",J4715)-1),J4715)</f>
        <v>International TV Shows</v>
      </c>
      <c r="N4715" s="7" t="str">
        <f aca="false">IF(B4715="Movie",IFERROR(VALUE(LEFT(I4715,FIND(" ",I4715)-1)),""),"")</f>
        <v/>
      </c>
      <c r="O4715" s="7" t="n">
        <f aca="false">IF(B4715="TV Show",IFERROR(VALUE(LEFT(I4715,FIND(" ",I4715)-1)),""),"")</f>
        <v>1</v>
      </c>
      <c r="P4715" s="7" t="n">
        <f aca="false">IF(K4715="","",K4715-G4715)</f>
        <v>0</v>
      </c>
    </row>
    <row r="4716" customFormat="false" ht="15" hidden="false" customHeight="false" outlineLevel="0" collapsed="false">
      <c r="A4716" s="7" t="n">
        <v>907090</v>
      </c>
      <c r="B4716" s="7" t="s">
        <v>68</v>
      </c>
      <c r="C4716" s="7" t="s">
        <v>9590</v>
      </c>
      <c r="D4716" s="7" t="s">
        <v>9591</v>
      </c>
      <c r="E4716" s="7" t="s">
        <v>26</v>
      </c>
      <c r="F4716" s="7" t="s">
        <v>9569</v>
      </c>
      <c r="G4716" s="7" t="n">
        <v>1979</v>
      </c>
      <c r="H4716" s="7" t="s">
        <v>48</v>
      </c>
      <c r="I4716" s="7" t="s">
        <v>143</v>
      </c>
      <c r="J4716" s="7" t="s">
        <v>45</v>
      </c>
      <c r="K4716" s="7" t="n">
        <f aca="false">IFERROR(VALUE(RIGHT(TRIM(F4716),4)),"")</f>
        <v>2016</v>
      </c>
      <c r="L4716" s="7" t="str">
        <f aca="false">IF(TRIM(E4716)="","Unknown",IFERROR(LEFT(TRIM(E4716),FIND(",",TRIM(E4716))-1),TRIM(E4716)))</f>
        <v>United States</v>
      </c>
      <c r="M4716" s="7" t="str">
        <f aca="false">IFERROR(LEFT(J4716,FIND(",",J4716)-1),J4716)</f>
        <v>Stand-Up Comedy</v>
      </c>
      <c r="N4716" s="7" t="n">
        <f aca="false">IF(B4716="Movie",IFERROR(VALUE(LEFT(I4716,FIND(" ",I4716)-1)),""),"")</f>
        <v>79</v>
      </c>
      <c r="O4716" s="7" t="str">
        <f aca="false">IF(B4716="TV Show",IFERROR(VALUE(LEFT(I4716,FIND(" ",I4716)-1)),""),"")</f>
        <v/>
      </c>
      <c r="P4716" s="7" t="n">
        <f aca="false">IF(K4716="","",K4716-G4716)</f>
        <v>37</v>
      </c>
    </row>
    <row r="4717" customFormat="false" ht="15" hidden="false" customHeight="false" outlineLevel="0" collapsed="false">
      <c r="A4717" s="7" t="n">
        <v>80135563</v>
      </c>
      <c r="B4717" s="7" t="s">
        <v>68</v>
      </c>
      <c r="C4717" s="7" t="s">
        <v>9592</v>
      </c>
      <c r="D4717" s="7" t="s">
        <v>9593</v>
      </c>
      <c r="E4717" s="7" t="s">
        <v>9594</v>
      </c>
      <c r="F4717" s="7" t="s">
        <v>9569</v>
      </c>
      <c r="G4717" s="7" t="n">
        <v>2016</v>
      </c>
      <c r="H4717" s="7" t="s">
        <v>55</v>
      </c>
      <c r="I4717" s="7" t="s">
        <v>876</v>
      </c>
      <c r="J4717" s="7" t="s">
        <v>42</v>
      </c>
      <c r="K4717" s="7" t="n">
        <f aca="false">IFERROR(VALUE(RIGHT(TRIM(F4717),4)),"")</f>
        <v>2016</v>
      </c>
      <c r="L4717" s="7" t="str">
        <f aca="false">IF(TRIM(E4717)="","Unknown",IFERROR(LEFT(TRIM(E4717),FIND(",",TRIM(E4717))-1),TRIM(E4717)))</f>
        <v>United States</v>
      </c>
      <c r="M4717" s="7" t="str">
        <f aca="false">IFERROR(LEFT(J4717,FIND(",",J4717)-1),J4717)</f>
        <v>Children &amp; Family Movies</v>
      </c>
      <c r="N4717" s="7" t="n">
        <f aca="false">IF(B4717="Movie",IFERROR(VALUE(LEFT(I4717,FIND(" ",I4717)-1)),""),"")</f>
        <v>67</v>
      </c>
      <c r="O4717" s="7" t="str">
        <f aca="false">IF(B4717="TV Show",IFERROR(VALUE(LEFT(I4717,FIND(" ",I4717)-1)),""),"")</f>
        <v/>
      </c>
      <c r="P4717" s="7" t="n">
        <f aca="false">IF(K4717="","",K4717-G4717)</f>
        <v>0</v>
      </c>
    </row>
    <row r="4718" customFormat="false" ht="15" hidden="false" customHeight="false" outlineLevel="0" collapsed="false">
      <c r="A4718" s="7" t="n">
        <v>80113894</v>
      </c>
      <c r="B4718" s="7" t="s">
        <v>78</v>
      </c>
      <c r="C4718" s="7" t="s">
        <v>9595</v>
      </c>
      <c r="F4718" s="7" t="s">
        <v>9569</v>
      </c>
      <c r="G4718" s="7" t="n">
        <v>2008</v>
      </c>
      <c r="H4718" s="7" t="s">
        <v>48</v>
      </c>
      <c r="I4718" s="7" t="s">
        <v>82</v>
      </c>
      <c r="J4718" s="7" t="s">
        <v>696</v>
      </c>
      <c r="K4718" s="7" t="n">
        <f aca="false">IFERROR(VALUE(RIGHT(TRIM(F4718),4)),"")</f>
        <v>2016</v>
      </c>
      <c r="L4718" s="7" t="str">
        <f aca="false">IF(TRIM(E4718)="","Unknown",IFERROR(LEFT(TRIM(E4718),FIND(",",TRIM(E4718))-1),TRIM(E4718)))</f>
        <v>Unknown</v>
      </c>
      <c r="M4718" s="7" t="str">
        <f aca="false">IFERROR(LEFT(J4718,FIND(",",J4718)-1),J4718)</f>
        <v>Crime TV Shows</v>
      </c>
      <c r="N4718" s="7" t="str">
        <f aca="false">IF(B4718="Movie",IFERROR(VALUE(LEFT(I4718,FIND(" ",I4718)-1)),""),"")</f>
        <v/>
      </c>
      <c r="O4718" s="7" t="n">
        <f aca="false">IF(B4718="TV Show",IFERROR(VALUE(LEFT(I4718,FIND(" ",I4718)-1)),""),"")</f>
        <v>1</v>
      </c>
      <c r="P4718" s="7" t="n">
        <f aca="false">IF(K4718="","",K4718-G4718)</f>
        <v>8</v>
      </c>
    </row>
    <row r="4719" customFormat="false" ht="15" hidden="false" customHeight="false" outlineLevel="0" collapsed="false">
      <c r="A4719" s="7" t="n">
        <v>80149282</v>
      </c>
      <c r="B4719" s="7" t="s">
        <v>68</v>
      </c>
      <c r="C4719" s="7" t="s">
        <v>9596</v>
      </c>
      <c r="D4719" s="7" t="s">
        <v>9597</v>
      </c>
      <c r="E4719" s="7" t="s">
        <v>27</v>
      </c>
      <c r="F4719" s="7" t="s">
        <v>9569</v>
      </c>
      <c r="G4719" s="7" t="n">
        <v>2016</v>
      </c>
      <c r="H4719" s="7" t="s">
        <v>53</v>
      </c>
      <c r="I4719" s="7" t="s">
        <v>348</v>
      </c>
      <c r="J4719" s="7" t="s">
        <v>188</v>
      </c>
      <c r="K4719" s="7" t="n">
        <f aca="false">IFERROR(VALUE(RIGHT(TRIM(F4719),4)),"")</f>
        <v>2016</v>
      </c>
      <c r="L4719" s="7" t="str">
        <f aca="false">IF(TRIM(E4719)="","Unknown",IFERROR(LEFT(TRIM(E4719),FIND(",",TRIM(E4719))-1),TRIM(E4719)))</f>
        <v>India</v>
      </c>
      <c r="M4719" s="7" t="str">
        <f aca="false">IFERROR(LEFT(J4719,FIND(",",J4719)-1),J4719)</f>
        <v>Dramas</v>
      </c>
      <c r="N4719" s="7" t="n">
        <f aca="false">IF(B4719="Movie",IFERROR(VALUE(LEFT(I4719,FIND(" ",I4719)-1)),""),"")</f>
        <v>72</v>
      </c>
      <c r="O4719" s="7" t="str">
        <f aca="false">IF(B4719="TV Show",IFERROR(VALUE(LEFT(I4719,FIND(" ",I4719)-1)),""),"")</f>
        <v/>
      </c>
      <c r="P4719" s="7" t="n">
        <f aca="false">IF(K4719="","",K4719-G4719)</f>
        <v>0</v>
      </c>
    </row>
    <row r="4720" customFormat="false" ht="15" hidden="false" customHeight="false" outlineLevel="0" collapsed="false">
      <c r="A4720" s="7" t="n">
        <v>80154176</v>
      </c>
      <c r="B4720" s="7" t="s">
        <v>68</v>
      </c>
      <c r="C4720" s="7" t="s">
        <v>9598</v>
      </c>
      <c r="D4720" s="7" t="s">
        <v>9599</v>
      </c>
      <c r="E4720" s="7" t="s">
        <v>8784</v>
      </c>
      <c r="F4720" s="7" t="s">
        <v>9569</v>
      </c>
      <c r="G4720" s="7" t="n">
        <v>2016</v>
      </c>
      <c r="H4720" s="7" t="s">
        <v>55</v>
      </c>
      <c r="I4720" s="7" t="s">
        <v>138</v>
      </c>
      <c r="J4720" s="7" t="s">
        <v>6283</v>
      </c>
      <c r="K4720" s="7" t="n">
        <f aca="false">IFERROR(VALUE(RIGHT(TRIM(F4720),4)),"")</f>
        <v>2016</v>
      </c>
      <c r="L4720" s="7" t="str">
        <f aca="false">IF(TRIM(E4720)="","Unknown",IFERROR(LEFT(TRIM(E4720),FIND(",",TRIM(E4720))-1),TRIM(E4720)))</f>
        <v>Japan</v>
      </c>
      <c r="M4720" s="7" t="str">
        <f aca="false">IFERROR(LEFT(J4720,FIND(",",J4720)-1),J4720)</f>
        <v>Anime Features</v>
      </c>
      <c r="N4720" s="7" t="n">
        <f aca="false">IF(B4720="Movie",IFERROR(VALUE(LEFT(I4720,FIND(" ",I4720)-1)),""),"")</f>
        <v>96</v>
      </c>
      <c r="O4720" s="7" t="str">
        <f aca="false">IF(B4720="TV Show",IFERROR(VALUE(LEFT(I4720,FIND(" ",I4720)-1)),""),"")</f>
        <v/>
      </c>
      <c r="P4720" s="7" t="n">
        <f aca="false">IF(K4720="","",K4720-G4720)</f>
        <v>0</v>
      </c>
    </row>
    <row r="4721" customFormat="false" ht="15" hidden="false" customHeight="false" outlineLevel="0" collapsed="false">
      <c r="A4721" s="7" t="n">
        <v>80067618</v>
      </c>
      <c r="B4721" s="7" t="s">
        <v>78</v>
      </c>
      <c r="C4721" s="7" t="s">
        <v>9600</v>
      </c>
      <c r="E4721" s="7" t="s">
        <v>30</v>
      </c>
      <c r="F4721" s="7" t="s">
        <v>9601</v>
      </c>
      <c r="G4721" s="7" t="n">
        <v>2015</v>
      </c>
      <c r="H4721" s="7" t="s">
        <v>50</v>
      </c>
      <c r="I4721" s="7" t="s">
        <v>82</v>
      </c>
      <c r="J4721" s="7" t="s">
        <v>344</v>
      </c>
      <c r="K4721" s="7" t="n">
        <f aca="false">IFERROR(VALUE(RIGHT(TRIM(F4721),4)),"")</f>
        <v>2015</v>
      </c>
      <c r="L4721" s="7" t="str">
        <f aca="false">IF(TRIM(E4721)="","Unknown",IFERROR(LEFT(TRIM(E4721),FIND(",",TRIM(E4721))-1),TRIM(E4721)))</f>
        <v>Japan</v>
      </c>
      <c r="M4721" s="7" t="str">
        <f aca="false">IFERROR(LEFT(J4721,FIND(",",J4721)-1),J4721)</f>
        <v>International TV Shows</v>
      </c>
      <c r="N4721" s="7" t="str">
        <f aca="false">IF(B4721="Movie",IFERROR(VALUE(LEFT(I4721,FIND(" ",I4721)-1)),""),"")</f>
        <v/>
      </c>
      <c r="O4721" s="7" t="n">
        <f aca="false">IF(B4721="TV Show",IFERROR(VALUE(LEFT(I4721,FIND(" ",I4721)-1)),""),"")</f>
        <v>1</v>
      </c>
      <c r="P4721" s="7" t="n">
        <f aca="false">IF(K4721="","",K4721-G4721)</f>
        <v>0</v>
      </c>
    </row>
    <row r="4722" customFormat="false" ht="15" hidden="false" customHeight="false" outlineLevel="0" collapsed="false">
      <c r="A4722" s="7" t="n">
        <v>80073100</v>
      </c>
      <c r="B4722" s="7" t="s">
        <v>68</v>
      </c>
      <c r="C4722" s="7" t="s">
        <v>9602</v>
      </c>
      <c r="D4722" s="7" t="s">
        <v>9603</v>
      </c>
      <c r="E4722" s="7" t="s">
        <v>26</v>
      </c>
      <c r="F4722" s="7" t="s">
        <v>9601</v>
      </c>
      <c r="G4722" s="7" t="n">
        <v>2015</v>
      </c>
      <c r="H4722" s="7" t="s">
        <v>119</v>
      </c>
      <c r="I4722" s="7" t="s">
        <v>348</v>
      </c>
      <c r="J4722" s="7" t="s">
        <v>74</v>
      </c>
      <c r="K4722" s="7" t="n">
        <f aca="false">IFERROR(VALUE(RIGHT(TRIM(F4722),4)),"")</f>
        <v>2015</v>
      </c>
      <c r="L4722" s="7" t="str">
        <f aca="false">IF(TRIM(E4722)="","Unknown",IFERROR(LEFT(TRIM(E4722),FIND(",",TRIM(E4722))-1),TRIM(E4722)))</f>
        <v>United States</v>
      </c>
      <c r="M4722" s="7" t="str">
        <f aca="false">IFERROR(LEFT(J4722,FIND(",",J4722)-1),J4722)</f>
        <v>Children &amp; Family Movies</v>
      </c>
      <c r="N4722" s="7" t="n">
        <f aca="false">IF(B4722="Movie",IFERROR(VALUE(LEFT(I4722,FIND(" ",I4722)-1)),""),"")</f>
        <v>72</v>
      </c>
      <c r="O4722" s="7" t="str">
        <f aca="false">IF(B4722="TV Show",IFERROR(VALUE(LEFT(I4722,FIND(" ",I4722)-1)),""),"")</f>
        <v/>
      </c>
      <c r="P4722" s="7" t="n">
        <f aca="false">IF(K4722="","",K4722-G4722)</f>
        <v>0</v>
      </c>
    </row>
    <row r="4723" customFormat="false" ht="15" hidden="false" customHeight="false" outlineLevel="0" collapsed="false">
      <c r="A4723" s="7" t="n">
        <v>80066806</v>
      </c>
      <c r="B4723" s="7" t="s">
        <v>68</v>
      </c>
      <c r="C4723" s="7" t="s">
        <v>9604</v>
      </c>
      <c r="D4723" s="7" t="s">
        <v>9605</v>
      </c>
      <c r="E4723" s="7" t="s">
        <v>35</v>
      </c>
      <c r="F4723" s="7" t="s">
        <v>9601</v>
      </c>
      <c r="G4723" s="7" t="n">
        <v>2015</v>
      </c>
      <c r="H4723" s="7" t="s">
        <v>49</v>
      </c>
      <c r="I4723" s="7" t="s">
        <v>107</v>
      </c>
      <c r="J4723" s="7" t="s">
        <v>341</v>
      </c>
      <c r="K4723" s="7" t="n">
        <f aca="false">IFERROR(VALUE(RIGHT(TRIM(F4723),4)),"")</f>
        <v>2015</v>
      </c>
      <c r="L4723" s="7" t="str">
        <f aca="false">IF(TRIM(E4723)="","Unknown",IFERROR(LEFT(TRIM(E4723),FIND(",",TRIM(E4723))-1),TRIM(E4723)))</f>
        <v>Australia</v>
      </c>
      <c r="M4723" s="7" t="str">
        <f aca="false">IFERROR(LEFT(J4723,FIND(",",J4723)-1),J4723)</f>
        <v>Documentaries</v>
      </c>
      <c r="N4723" s="7" t="n">
        <f aca="false">IF(B4723="Movie",IFERROR(VALUE(LEFT(I4723,FIND(" ",I4723)-1)),""),"")</f>
        <v>78</v>
      </c>
      <c r="O4723" s="7" t="str">
        <f aca="false">IF(B4723="TV Show",IFERROR(VALUE(LEFT(I4723,FIND(" ",I4723)-1)),""),"")</f>
        <v/>
      </c>
      <c r="P4723" s="7" t="n">
        <f aca="false">IF(K4723="","",K4723-G4723)</f>
        <v>0</v>
      </c>
    </row>
    <row r="4724" customFormat="false" ht="15" hidden="false" customHeight="false" outlineLevel="0" collapsed="false">
      <c r="A4724" s="7" t="n">
        <v>70253397</v>
      </c>
      <c r="B4724" s="7" t="s">
        <v>68</v>
      </c>
      <c r="C4724" s="7" t="s">
        <v>9606</v>
      </c>
      <c r="D4724" s="7" t="s">
        <v>9607</v>
      </c>
      <c r="E4724" s="7" t="s">
        <v>26</v>
      </c>
      <c r="F4724" s="7" t="s">
        <v>9608</v>
      </c>
      <c r="G4724" s="7" t="n">
        <v>2010</v>
      </c>
      <c r="H4724" s="7" t="s">
        <v>50</v>
      </c>
      <c r="I4724" s="7" t="s">
        <v>6535</v>
      </c>
      <c r="J4724" s="7" t="s">
        <v>74</v>
      </c>
      <c r="K4724" s="7" t="n">
        <f aca="false">IFERROR(VALUE(RIGHT(TRIM(F4724),4)),"")</f>
        <v>2012</v>
      </c>
      <c r="L4724" s="7" t="str">
        <f aca="false">IF(TRIM(E4724)="","Unknown",IFERROR(LEFT(TRIM(E4724),FIND(",",TRIM(E4724))-1),TRIM(E4724)))</f>
        <v>United States</v>
      </c>
      <c r="M4724" s="7" t="str">
        <f aca="false">IFERROR(LEFT(J4724,FIND(",",J4724)-1),J4724)</f>
        <v>Children &amp; Family Movies</v>
      </c>
      <c r="N4724" s="7" t="n">
        <f aca="false">IF(B4724="Movie",IFERROR(VALUE(LEFT(I4724,FIND(" ",I4724)-1)),""),"")</f>
        <v>26</v>
      </c>
      <c r="O4724" s="7" t="str">
        <f aca="false">IF(B4724="TV Show",IFERROR(VALUE(LEFT(I4724,FIND(" ",I4724)-1)),""),"")</f>
        <v/>
      </c>
      <c r="P4724" s="7" t="n">
        <f aca="false">IF(K4724="","",K4724-G4724)</f>
        <v>2</v>
      </c>
    </row>
    <row r="4725" customFormat="false" ht="15" hidden="false" customHeight="false" outlineLevel="0" collapsed="false">
      <c r="A4725" s="7" t="n">
        <v>81156592</v>
      </c>
      <c r="B4725" s="7" t="s">
        <v>68</v>
      </c>
      <c r="C4725" s="7" t="s">
        <v>9609</v>
      </c>
      <c r="D4725" s="7" t="s">
        <v>9610</v>
      </c>
      <c r="F4725" s="7" t="s">
        <v>9611</v>
      </c>
      <c r="G4725" s="7" t="n">
        <v>2019</v>
      </c>
      <c r="H4725" s="7" t="s">
        <v>49</v>
      </c>
      <c r="I4725" s="7" t="s">
        <v>1317</v>
      </c>
      <c r="J4725" s="7" t="s">
        <v>45</v>
      </c>
      <c r="K4725" s="7" t="n">
        <f aca="false">IFERROR(VALUE(RIGHT(TRIM(F4725),4)),"")</f>
        <v>2019</v>
      </c>
      <c r="L4725" s="7" t="str">
        <f aca="false">IF(TRIM(E4725)="","Unknown",IFERROR(LEFT(TRIM(E4725),FIND(",",TRIM(E4725))-1),TRIM(E4725)))</f>
        <v>Unknown</v>
      </c>
      <c r="M4725" s="7" t="str">
        <f aca="false">IFERROR(LEFT(J4725,FIND(",",J4725)-1),J4725)</f>
        <v>Stand-Up Comedy</v>
      </c>
      <c r="N4725" s="7" t="n">
        <f aca="false">IF(B4725="Movie",IFERROR(VALUE(LEFT(I4725,FIND(" ",I4725)-1)),""),"")</f>
        <v>66</v>
      </c>
      <c r="O4725" s="7" t="str">
        <f aca="false">IF(B4725="TV Show",IFERROR(VALUE(LEFT(I4725,FIND(" ",I4725)-1)),""),"")</f>
        <v/>
      </c>
      <c r="P4725" s="7" t="n">
        <f aca="false">IF(K4725="","",K4725-G4725)</f>
        <v>0</v>
      </c>
    </row>
    <row r="4726" customFormat="false" ht="15" hidden="false" customHeight="false" outlineLevel="0" collapsed="false">
      <c r="A4726" s="7" t="n">
        <v>81074367</v>
      </c>
      <c r="B4726" s="7" t="s">
        <v>68</v>
      </c>
      <c r="C4726" s="7" t="s">
        <v>9612</v>
      </c>
      <c r="D4726" s="7" t="s">
        <v>9613</v>
      </c>
      <c r="E4726" s="7" t="s">
        <v>27</v>
      </c>
      <c r="F4726" s="7" t="s">
        <v>9611</v>
      </c>
      <c r="G4726" s="7" t="n">
        <v>2018</v>
      </c>
      <c r="H4726" s="7" t="s">
        <v>48</v>
      </c>
      <c r="I4726" s="7" t="s">
        <v>294</v>
      </c>
      <c r="J4726" s="7" t="s">
        <v>188</v>
      </c>
      <c r="K4726" s="7" t="n">
        <f aca="false">IFERROR(VALUE(RIGHT(TRIM(F4726),4)),"")</f>
        <v>2019</v>
      </c>
      <c r="L4726" s="7" t="str">
        <f aca="false">IF(TRIM(E4726)="","Unknown",IFERROR(LEFT(TRIM(E4726),FIND(",",TRIM(E4726))-1),TRIM(E4726)))</f>
        <v>India</v>
      </c>
      <c r="M4726" s="7" t="str">
        <f aca="false">IFERROR(LEFT(J4726,FIND(",",J4726)-1),J4726)</f>
        <v>Dramas</v>
      </c>
      <c r="N4726" s="7" t="n">
        <f aca="false">IF(B4726="Movie",IFERROR(VALUE(LEFT(I4726,FIND(" ",I4726)-1)),""),"")</f>
        <v>107</v>
      </c>
      <c r="O4726" s="7" t="str">
        <f aca="false">IF(B4726="TV Show",IFERROR(VALUE(LEFT(I4726,FIND(" ",I4726)-1)),""),"")</f>
        <v/>
      </c>
      <c r="P4726" s="7" t="n">
        <f aca="false">IF(K4726="","",K4726-G4726)</f>
        <v>1</v>
      </c>
    </row>
    <row r="4727" customFormat="false" ht="15" hidden="false" customHeight="false" outlineLevel="0" collapsed="false">
      <c r="A4727" s="7" t="n">
        <v>81091977</v>
      </c>
      <c r="B4727" s="7" t="s">
        <v>68</v>
      </c>
      <c r="C4727" s="7" t="s">
        <v>9614</v>
      </c>
      <c r="D4727" s="7" t="s">
        <v>9615</v>
      </c>
      <c r="E4727" s="7" t="s">
        <v>26</v>
      </c>
      <c r="F4727" s="7" t="s">
        <v>9611</v>
      </c>
      <c r="G4727" s="7" t="n">
        <v>2019</v>
      </c>
      <c r="H4727" s="7" t="s">
        <v>55</v>
      </c>
      <c r="I4727" s="7" t="s">
        <v>1175</v>
      </c>
      <c r="J4727" s="7" t="s">
        <v>9616</v>
      </c>
      <c r="K4727" s="7" t="n">
        <f aca="false">IFERROR(VALUE(RIGHT(TRIM(F4727),4)),"")</f>
        <v>2019</v>
      </c>
      <c r="L4727" s="7" t="str">
        <f aca="false">IF(TRIM(E4727)="","Unknown",IFERROR(LEFT(TRIM(E4727),FIND(",",TRIM(E4727))-1),TRIM(E4727)))</f>
        <v>United States</v>
      </c>
      <c r="M4727" s="7" t="str">
        <f aca="false">IFERROR(LEFT(J4727,FIND(",",J4727)-1),J4727)</f>
        <v>Children &amp; Family Movies</v>
      </c>
      <c r="N4727" s="7" t="n">
        <f aca="false">IF(B4727="Movie",IFERROR(VALUE(LEFT(I4727,FIND(" ",I4727)-1)),""),"")</f>
        <v>46</v>
      </c>
      <c r="O4727" s="7" t="str">
        <f aca="false">IF(B4727="TV Show",IFERROR(VALUE(LEFT(I4727,FIND(" ",I4727)-1)),""),"")</f>
        <v/>
      </c>
      <c r="P4727" s="7" t="n">
        <f aca="false">IF(K4727="","",K4727-G4727)</f>
        <v>0</v>
      </c>
    </row>
    <row r="4728" customFormat="false" ht="15" hidden="false" customHeight="false" outlineLevel="0" collapsed="false">
      <c r="A4728" s="7" t="n">
        <v>80217315</v>
      </c>
      <c r="B4728" s="7" t="s">
        <v>78</v>
      </c>
      <c r="C4728" s="7" t="s">
        <v>9617</v>
      </c>
      <c r="E4728" s="7" t="s">
        <v>325</v>
      </c>
      <c r="F4728" s="7" t="s">
        <v>9611</v>
      </c>
      <c r="G4728" s="7" t="n">
        <v>2019</v>
      </c>
      <c r="H4728" s="7" t="s">
        <v>48</v>
      </c>
      <c r="I4728" s="7" t="s">
        <v>82</v>
      </c>
      <c r="J4728" s="7" t="s">
        <v>402</v>
      </c>
      <c r="K4728" s="7" t="n">
        <f aca="false">IFERROR(VALUE(RIGHT(TRIM(F4728),4)),"")</f>
        <v>2019</v>
      </c>
      <c r="L4728" s="7" t="str">
        <f aca="false">IF(TRIM(E4728)="","Unknown",IFERROR(LEFT(TRIM(E4728),FIND(",",TRIM(E4728))-1),TRIM(E4728)))</f>
        <v>Brazil</v>
      </c>
      <c r="M4728" s="7" t="str">
        <f aca="false">IFERROR(LEFT(J4728,FIND(",",J4728)-1),J4728)</f>
        <v>Crime TV Shows</v>
      </c>
      <c r="N4728" s="7" t="str">
        <f aca="false">IF(B4728="Movie",IFERROR(VALUE(LEFT(I4728,FIND(" ",I4728)-1)),""),"")</f>
        <v/>
      </c>
      <c r="O4728" s="7" t="n">
        <f aca="false">IF(B4728="TV Show",IFERROR(VALUE(LEFT(I4728,FIND(" ",I4728)-1)),""),"")</f>
        <v>1</v>
      </c>
      <c r="P4728" s="7" t="n">
        <f aca="false">IF(K4728="","",K4728-G4728)</f>
        <v>0</v>
      </c>
    </row>
    <row r="4729" customFormat="false" ht="15" hidden="false" customHeight="false" outlineLevel="0" collapsed="false">
      <c r="A4729" s="7" t="n">
        <v>80063867</v>
      </c>
      <c r="B4729" s="7" t="s">
        <v>78</v>
      </c>
      <c r="C4729" s="7" t="s">
        <v>9618</v>
      </c>
      <c r="D4729" s="7" t="s">
        <v>9619</v>
      </c>
      <c r="F4729" s="7" t="s">
        <v>9611</v>
      </c>
      <c r="G4729" s="7" t="n">
        <v>2019</v>
      </c>
      <c r="H4729" s="7" t="s">
        <v>49</v>
      </c>
      <c r="I4729" s="7" t="s">
        <v>82</v>
      </c>
      <c r="J4729" s="7" t="s">
        <v>164</v>
      </c>
      <c r="K4729" s="7" t="n">
        <f aca="false">IFERROR(VALUE(RIGHT(TRIM(F4729),4)),"")</f>
        <v>2019</v>
      </c>
      <c r="L4729" s="7" t="str">
        <f aca="false">IF(TRIM(E4729)="","Unknown",IFERROR(LEFT(TRIM(E4729),FIND(",",TRIM(E4729))-1),TRIM(E4729)))</f>
        <v>Unknown</v>
      </c>
      <c r="M4729" s="7" t="str">
        <f aca="false">IFERROR(LEFT(J4729,FIND(",",J4729)-1),J4729)</f>
        <v>Docuseries</v>
      </c>
      <c r="N4729" s="7" t="str">
        <f aca="false">IF(B4729="Movie",IFERROR(VALUE(LEFT(I4729,FIND(" ",I4729)-1)),""),"")</f>
        <v/>
      </c>
      <c r="O4729" s="7" t="n">
        <f aca="false">IF(B4729="TV Show",IFERROR(VALUE(LEFT(I4729,FIND(" ",I4729)-1)),""),"")</f>
        <v>1</v>
      </c>
      <c r="P4729" s="7" t="n">
        <f aca="false">IF(K4729="","",K4729-G4729)</f>
        <v>0</v>
      </c>
    </row>
    <row r="4730" customFormat="false" ht="15" hidden="false" customHeight="false" outlineLevel="0" collapsed="false">
      <c r="A4730" s="7" t="n">
        <v>80243216</v>
      </c>
      <c r="B4730" s="7" t="s">
        <v>78</v>
      </c>
      <c r="C4730" s="7" t="s">
        <v>9620</v>
      </c>
      <c r="E4730" s="7" t="s">
        <v>35</v>
      </c>
      <c r="F4730" s="7" t="s">
        <v>9611</v>
      </c>
      <c r="G4730" s="7" t="n">
        <v>2019</v>
      </c>
      <c r="H4730" s="7" t="s">
        <v>226</v>
      </c>
      <c r="I4730" s="7" t="s">
        <v>82</v>
      </c>
      <c r="J4730" s="7" t="s">
        <v>191</v>
      </c>
      <c r="K4730" s="7" t="n">
        <f aca="false">IFERROR(VALUE(RIGHT(TRIM(F4730),4)),"")</f>
        <v>2019</v>
      </c>
      <c r="L4730" s="7" t="str">
        <f aca="false">IF(TRIM(E4730)="","Unknown",IFERROR(LEFT(TRIM(E4730),FIND(",",TRIM(E4730))-1),TRIM(E4730)))</f>
        <v>Australia</v>
      </c>
      <c r="M4730" s="7" t="str">
        <f aca="false">IFERROR(LEFT(J4730,FIND(",",J4730)-1),J4730)</f>
        <v>Kids' TV</v>
      </c>
      <c r="N4730" s="7" t="str">
        <f aca="false">IF(B4730="Movie",IFERROR(VALUE(LEFT(I4730,FIND(" ",I4730)-1)),""),"")</f>
        <v/>
      </c>
      <c r="O4730" s="7" t="n">
        <f aca="false">IF(B4730="TV Show",IFERROR(VALUE(LEFT(I4730,FIND(" ",I4730)-1)),""),"")</f>
        <v>1</v>
      </c>
      <c r="P4730" s="7" t="n">
        <f aca="false">IF(K4730="","",K4730-G4730)</f>
        <v>0</v>
      </c>
    </row>
    <row r="4731" customFormat="false" ht="15" hidden="false" customHeight="false" outlineLevel="0" collapsed="false">
      <c r="A4731" s="7" t="n">
        <v>81016914</v>
      </c>
      <c r="B4731" s="7" t="s">
        <v>78</v>
      </c>
      <c r="C4731" s="7" t="s">
        <v>9621</v>
      </c>
      <c r="E4731" s="7" t="s">
        <v>26</v>
      </c>
      <c r="F4731" s="7" t="s">
        <v>9611</v>
      </c>
      <c r="G4731" s="7" t="n">
        <v>2019</v>
      </c>
      <c r="H4731" s="7" t="s">
        <v>50</v>
      </c>
      <c r="I4731" s="7" t="s">
        <v>82</v>
      </c>
      <c r="J4731" s="7" t="s">
        <v>701</v>
      </c>
      <c r="K4731" s="7" t="n">
        <f aca="false">IFERROR(VALUE(RIGHT(TRIM(F4731),4)),"")</f>
        <v>2019</v>
      </c>
      <c r="L4731" s="7" t="str">
        <f aca="false">IF(TRIM(E4731)="","Unknown",IFERROR(LEFT(TRIM(E4731),FIND(",",TRIM(E4731))-1),TRIM(E4731)))</f>
        <v>United States</v>
      </c>
      <c r="M4731" s="7" t="str">
        <f aca="false">IFERROR(LEFT(J4731,FIND(",",J4731)-1),J4731)</f>
        <v>Reality TV</v>
      </c>
      <c r="N4731" s="7" t="str">
        <f aca="false">IF(B4731="Movie",IFERROR(VALUE(LEFT(I4731,FIND(" ",I4731)-1)),""),"")</f>
        <v/>
      </c>
      <c r="O4731" s="7" t="n">
        <f aca="false">IF(B4731="TV Show",IFERROR(VALUE(LEFT(I4731,FIND(" ",I4731)-1)),""),"")</f>
        <v>1</v>
      </c>
      <c r="P4731" s="7" t="n">
        <f aca="false">IF(K4731="","",K4731-G4731)</f>
        <v>0</v>
      </c>
    </row>
    <row r="4732" customFormat="false" ht="15" hidden="false" customHeight="false" outlineLevel="0" collapsed="false">
      <c r="A4732" s="7" t="n">
        <v>81153372</v>
      </c>
      <c r="B4732" s="7" t="s">
        <v>68</v>
      </c>
      <c r="C4732" s="7" t="s">
        <v>9622</v>
      </c>
      <c r="D4732" s="7" t="s">
        <v>9623</v>
      </c>
      <c r="F4732" s="7" t="s">
        <v>9611</v>
      </c>
      <c r="G4732" s="7" t="n">
        <v>2019</v>
      </c>
      <c r="H4732" s="7" t="s">
        <v>48</v>
      </c>
      <c r="I4732" s="7" t="s">
        <v>138</v>
      </c>
      <c r="J4732" s="7" t="s">
        <v>1085</v>
      </c>
      <c r="K4732" s="7" t="n">
        <f aca="false">IFERROR(VALUE(RIGHT(TRIM(F4732),4)),"")</f>
        <v>2019</v>
      </c>
      <c r="L4732" s="7" t="str">
        <f aca="false">IF(TRIM(E4732)="","Unknown",IFERROR(LEFT(TRIM(E4732),FIND(",",TRIM(E4732))-1),TRIM(E4732)))</f>
        <v>Unknown</v>
      </c>
      <c r="M4732" s="7" t="str">
        <f aca="false">IFERROR(LEFT(J4732,FIND(",",J4732)-1),J4732)</f>
        <v>Documentaries</v>
      </c>
      <c r="N4732" s="7" t="n">
        <f aca="false">IF(B4732="Movie",IFERROR(VALUE(LEFT(I4732,FIND(" ",I4732)-1)),""),"")</f>
        <v>96</v>
      </c>
      <c r="O4732" s="7" t="str">
        <f aca="false">IF(B4732="TV Show",IFERROR(VALUE(LEFT(I4732,FIND(" ",I4732)-1)),""),"")</f>
        <v/>
      </c>
      <c r="P4732" s="7" t="n">
        <f aca="false">IF(K4732="","",K4732-G4732)</f>
        <v>0</v>
      </c>
    </row>
    <row r="4733" customFormat="false" ht="15" hidden="false" customHeight="false" outlineLevel="0" collapsed="false">
      <c r="A4733" s="7" t="n">
        <v>80245357</v>
      </c>
      <c r="B4733" s="7" t="s">
        <v>68</v>
      </c>
      <c r="C4733" s="7" t="s">
        <v>9624</v>
      </c>
      <c r="D4733" s="7" t="s">
        <v>9625</v>
      </c>
      <c r="E4733" s="7" t="s">
        <v>1097</v>
      </c>
      <c r="F4733" s="7" t="s">
        <v>9626</v>
      </c>
      <c r="G4733" s="7" t="n">
        <v>2018</v>
      </c>
      <c r="H4733" s="7" t="s">
        <v>48</v>
      </c>
      <c r="I4733" s="7" t="s">
        <v>417</v>
      </c>
      <c r="J4733" s="7" t="s">
        <v>182</v>
      </c>
      <c r="K4733" s="7" t="n">
        <f aca="false">IFERROR(VALUE(RIGHT(TRIM(F4733),4)),"")</f>
        <v>2018</v>
      </c>
      <c r="L4733" s="7" t="str">
        <f aca="false">IF(TRIM(E4733)="","Unknown",IFERROR(LEFT(TRIM(E4733),FIND(",",TRIM(E4733))-1),TRIM(E4733)))</f>
        <v>Argentina</v>
      </c>
      <c r="M4733" s="7" t="str">
        <f aca="false">IFERROR(LEFT(J4733,FIND(",",J4733)-1),J4733)</f>
        <v>Dramas</v>
      </c>
      <c r="N4733" s="7" t="n">
        <f aca="false">IF(B4733="Movie",IFERROR(VALUE(LEFT(I4733,FIND(" ",I4733)-1)),""),"")</f>
        <v>104</v>
      </c>
      <c r="O4733" s="7" t="str">
        <f aca="false">IF(B4733="TV Show",IFERROR(VALUE(LEFT(I4733,FIND(" ",I4733)-1)),""),"")</f>
        <v/>
      </c>
      <c r="P4733" s="7" t="n">
        <f aca="false">IF(K4733="","",K4733-G4733)</f>
        <v>0</v>
      </c>
    </row>
    <row r="4734" customFormat="false" ht="15" hidden="false" customHeight="false" outlineLevel="0" collapsed="false">
      <c r="A4734" s="7" t="n">
        <v>80222042</v>
      </c>
      <c r="B4734" s="7" t="s">
        <v>68</v>
      </c>
      <c r="C4734" s="7" t="s">
        <v>9627</v>
      </c>
      <c r="D4734" s="7" t="s">
        <v>9628</v>
      </c>
      <c r="E4734" s="7" t="s">
        <v>26</v>
      </c>
      <c r="F4734" s="7" t="s">
        <v>9626</v>
      </c>
      <c r="G4734" s="7" t="n">
        <v>2018</v>
      </c>
      <c r="H4734" s="7" t="s">
        <v>50</v>
      </c>
      <c r="I4734" s="7" t="s">
        <v>311</v>
      </c>
      <c r="J4734" s="7" t="s">
        <v>39</v>
      </c>
      <c r="K4734" s="7" t="n">
        <f aca="false">IFERROR(VALUE(RIGHT(TRIM(F4734),4)),"")</f>
        <v>2018</v>
      </c>
      <c r="L4734" s="7" t="str">
        <f aca="false">IF(TRIM(E4734)="","Unknown",IFERROR(LEFT(TRIM(E4734),FIND(",",TRIM(E4734))-1),TRIM(E4734)))</f>
        <v>United States</v>
      </c>
      <c r="M4734" s="7" t="str">
        <f aca="false">IFERROR(LEFT(J4734,FIND(",",J4734)-1),J4734)</f>
        <v>Documentaries</v>
      </c>
      <c r="N4734" s="7" t="n">
        <f aca="false">IF(B4734="Movie",IFERROR(VALUE(LEFT(I4734,FIND(" ",I4734)-1)),""),"")</f>
        <v>92</v>
      </c>
      <c r="O4734" s="7" t="str">
        <f aca="false">IF(B4734="TV Show",IFERROR(VALUE(LEFT(I4734,FIND(" ",I4734)-1)),""),"")</f>
        <v/>
      </c>
      <c r="P4734" s="7" t="n">
        <f aca="false">IF(K4734="","",K4734-G4734)</f>
        <v>0</v>
      </c>
    </row>
    <row r="4735" customFormat="false" ht="15" hidden="false" customHeight="false" outlineLevel="0" collapsed="false">
      <c r="A4735" s="7" t="n">
        <v>80128691</v>
      </c>
      <c r="B4735" s="7" t="s">
        <v>68</v>
      </c>
      <c r="C4735" s="7" t="s">
        <v>9629</v>
      </c>
      <c r="D4735" s="7" t="s">
        <v>9630</v>
      </c>
      <c r="E4735" s="7" t="s">
        <v>26</v>
      </c>
      <c r="F4735" s="7" t="s">
        <v>9631</v>
      </c>
      <c r="G4735" s="7" t="n">
        <v>2017</v>
      </c>
      <c r="H4735" s="7" t="s">
        <v>48</v>
      </c>
      <c r="I4735" s="7" t="s">
        <v>264</v>
      </c>
      <c r="J4735" s="7" t="s">
        <v>40</v>
      </c>
      <c r="K4735" s="7" t="n">
        <f aca="false">IFERROR(VALUE(RIGHT(TRIM(F4735),4)),"")</f>
        <v>2017</v>
      </c>
      <c r="L4735" s="7" t="str">
        <f aca="false">IF(TRIM(E4735)="","Unknown",IFERROR(LEFT(TRIM(E4735),FIND(",",TRIM(E4735))-1),TRIM(E4735)))</f>
        <v>United States</v>
      </c>
      <c r="M4735" s="7" t="str">
        <f aca="false">IFERROR(LEFT(J4735,FIND(",",J4735)-1),J4735)</f>
        <v>Action &amp; Adventure</v>
      </c>
      <c r="N4735" s="7" t="n">
        <f aca="false">IF(B4735="Movie",IFERROR(VALUE(LEFT(I4735,FIND(" ",I4735)-1)),""),"")</f>
        <v>88</v>
      </c>
      <c r="O4735" s="7" t="str">
        <f aca="false">IF(B4735="TV Show",IFERROR(VALUE(LEFT(I4735,FIND(" ",I4735)-1)),""),"")</f>
        <v/>
      </c>
      <c r="P4735" s="7" t="n">
        <f aca="false">IF(K4735="","",K4735-G4735)</f>
        <v>0</v>
      </c>
    </row>
    <row r="4736" customFormat="false" ht="15" hidden="false" customHeight="false" outlineLevel="0" collapsed="false">
      <c r="A4736" s="7" t="n">
        <v>80178427</v>
      </c>
      <c r="B4736" s="7" t="s">
        <v>78</v>
      </c>
      <c r="C4736" s="7" t="s">
        <v>9632</v>
      </c>
      <c r="E4736" s="7" t="s">
        <v>32</v>
      </c>
      <c r="F4736" s="7" t="s">
        <v>9633</v>
      </c>
      <c r="G4736" s="7" t="n">
        <v>2014</v>
      </c>
      <c r="H4736" s="7" t="s">
        <v>48</v>
      </c>
      <c r="I4736" s="7" t="s">
        <v>82</v>
      </c>
      <c r="J4736" s="7" t="s">
        <v>1877</v>
      </c>
      <c r="K4736" s="7" t="n">
        <f aca="false">IFERROR(VALUE(RIGHT(TRIM(F4736),4)),"")</f>
        <v>2019</v>
      </c>
      <c r="L4736" s="7" t="str">
        <f aca="false">IF(TRIM(E4736)="","Unknown",IFERROR(LEFT(TRIM(E4736),FIND(",",TRIM(E4736))-1),TRIM(E4736)))</f>
        <v>South Korea</v>
      </c>
      <c r="M4736" s="7" t="str">
        <f aca="false">IFERROR(LEFT(J4736,FIND(",",J4736)-1),J4736)</f>
        <v>Crime TV Shows</v>
      </c>
      <c r="N4736" s="7" t="str">
        <f aca="false">IF(B4736="Movie",IFERROR(VALUE(LEFT(I4736,FIND(" ",I4736)-1)),""),"")</f>
        <v/>
      </c>
      <c r="O4736" s="7" t="n">
        <f aca="false">IF(B4736="TV Show",IFERROR(VALUE(LEFT(I4736,FIND(" ",I4736)-1)),""),"")</f>
        <v>1</v>
      </c>
      <c r="P4736" s="7" t="n">
        <f aca="false">IF(K4736="","",K4736-G4736)</f>
        <v>5</v>
      </c>
    </row>
    <row r="4737" customFormat="false" ht="15" hidden="false" customHeight="false" outlineLevel="0" collapsed="false">
      <c r="A4737" s="7" t="n">
        <v>81079322</v>
      </c>
      <c r="B4737" s="7" t="s">
        <v>78</v>
      </c>
      <c r="C4737" s="7" t="s">
        <v>9634</v>
      </c>
      <c r="E4737" s="7" t="s">
        <v>711</v>
      </c>
      <c r="F4737" s="7" t="s">
        <v>9633</v>
      </c>
      <c r="G4737" s="7" t="n">
        <v>2019</v>
      </c>
      <c r="H4737" s="7" t="s">
        <v>48</v>
      </c>
      <c r="I4737" s="7" t="s">
        <v>82</v>
      </c>
      <c r="J4737" s="7" t="s">
        <v>344</v>
      </c>
      <c r="K4737" s="7" t="n">
        <f aca="false">IFERROR(VALUE(RIGHT(TRIM(F4737),4)),"")</f>
        <v>2019</v>
      </c>
      <c r="L4737" s="7" t="str">
        <f aca="false">IF(TRIM(E4737)="","Unknown",IFERROR(LEFT(TRIM(E4737),FIND(",",TRIM(E4737))-1),TRIM(E4737)))</f>
        <v>Lebanon</v>
      </c>
      <c r="M4737" s="7" t="str">
        <f aca="false">IFERROR(LEFT(J4737,FIND(",",J4737)-1),J4737)</f>
        <v>International TV Shows</v>
      </c>
      <c r="N4737" s="7" t="str">
        <f aca="false">IF(B4737="Movie",IFERROR(VALUE(LEFT(I4737,FIND(" ",I4737)-1)),""),"")</f>
        <v/>
      </c>
      <c r="O4737" s="7" t="n">
        <f aca="false">IF(B4737="TV Show",IFERROR(VALUE(LEFT(I4737,FIND(" ",I4737)-1)),""),"")</f>
        <v>1</v>
      </c>
      <c r="P4737" s="7" t="n">
        <f aca="false">IF(K4737="","",K4737-G4737)</f>
        <v>0</v>
      </c>
    </row>
    <row r="4738" customFormat="false" ht="15" hidden="false" customHeight="false" outlineLevel="0" collapsed="false">
      <c r="A4738" s="7" t="n">
        <v>70183165</v>
      </c>
      <c r="B4738" s="7" t="s">
        <v>68</v>
      </c>
      <c r="C4738" s="7" t="s">
        <v>9635</v>
      </c>
      <c r="D4738" s="7" t="s">
        <v>2535</v>
      </c>
      <c r="E4738" s="7" t="s">
        <v>26</v>
      </c>
      <c r="F4738" s="7" t="s">
        <v>9633</v>
      </c>
      <c r="G4738" s="7" t="n">
        <v>2011</v>
      </c>
      <c r="H4738" s="7" t="s">
        <v>54</v>
      </c>
      <c r="I4738" s="7" t="s">
        <v>470</v>
      </c>
      <c r="J4738" s="7" t="s">
        <v>74</v>
      </c>
      <c r="K4738" s="7" t="n">
        <f aca="false">IFERROR(VALUE(RIGHT(TRIM(F4738),4)),"")</f>
        <v>2019</v>
      </c>
      <c r="L4738" s="7" t="str">
        <f aca="false">IF(TRIM(E4738)="","Unknown",IFERROR(LEFT(TRIM(E4738),FIND(",",TRIM(E4738))-1),TRIM(E4738)))</f>
        <v>United States</v>
      </c>
      <c r="M4738" s="7" t="str">
        <f aca="false">IFERROR(LEFT(J4738,FIND(",",J4738)-1),J4738)</f>
        <v>Children &amp; Family Movies</v>
      </c>
      <c r="N4738" s="7" t="n">
        <f aca="false">IF(B4738="Movie",IFERROR(VALUE(LEFT(I4738,FIND(" ",I4738)-1)),""),"")</f>
        <v>91</v>
      </c>
      <c r="O4738" s="7" t="str">
        <f aca="false">IF(B4738="TV Show",IFERROR(VALUE(LEFT(I4738,FIND(" ",I4738)-1)),""),"")</f>
        <v/>
      </c>
      <c r="P4738" s="7" t="n">
        <f aca="false">IF(K4738="","",K4738-G4738)</f>
        <v>8</v>
      </c>
    </row>
    <row r="4739" customFormat="false" ht="15" hidden="false" customHeight="false" outlineLevel="0" collapsed="false">
      <c r="A4739" s="7" t="n">
        <v>80183878</v>
      </c>
      <c r="B4739" s="7" t="s">
        <v>78</v>
      </c>
      <c r="C4739" s="7" t="s">
        <v>9636</v>
      </c>
      <c r="E4739" s="7" t="s">
        <v>9637</v>
      </c>
      <c r="F4739" s="7" t="s">
        <v>9633</v>
      </c>
      <c r="G4739" s="7" t="n">
        <v>2015</v>
      </c>
      <c r="H4739" s="7" t="s">
        <v>49</v>
      </c>
      <c r="I4739" s="7" t="s">
        <v>82</v>
      </c>
      <c r="J4739" s="7" t="s">
        <v>637</v>
      </c>
      <c r="K4739" s="7" t="n">
        <f aca="false">IFERROR(VALUE(RIGHT(TRIM(F4739),4)),"")</f>
        <v>2019</v>
      </c>
      <c r="L4739" s="7" t="str">
        <f aca="false">IF(TRIM(E4739)="","Unknown",IFERROR(LEFT(TRIM(E4739),FIND(",",TRIM(E4739))-1),TRIM(E4739)))</f>
        <v>Malaysia</v>
      </c>
      <c r="M4739" s="7" t="str">
        <f aca="false">IFERROR(LEFT(J4739,FIND(",",J4739)-1),J4739)</f>
        <v>International TV Shows</v>
      </c>
      <c r="N4739" s="7" t="str">
        <f aca="false">IF(B4739="Movie",IFERROR(VALUE(LEFT(I4739,FIND(" ",I4739)-1)),""),"")</f>
        <v/>
      </c>
      <c r="O4739" s="7" t="n">
        <f aca="false">IF(B4739="TV Show",IFERROR(VALUE(LEFT(I4739,FIND(" ",I4739)-1)),""),"")</f>
        <v>1</v>
      </c>
      <c r="P4739" s="7" t="n">
        <f aca="false">IF(K4739="","",K4739-G4739)</f>
        <v>4</v>
      </c>
    </row>
    <row r="4740" customFormat="false" ht="15" hidden="false" customHeight="false" outlineLevel="0" collapsed="false">
      <c r="A4740" s="7" t="n">
        <v>80177986</v>
      </c>
      <c r="B4740" s="7" t="s">
        <v>78</v>
      </c>
      <c r="C4740" s="7" t="s">
        <v>9638</v>
      </c>
      <c r="E4740" s="7" t="s">
        <v>32</v>
      </c>
      <c r="F4740" s="7" t="s">
        <v>9633</v>
      </c>
      <c r="G4740" s="7" t="n">
        <v>2013</v>
      </c>
      <c r="H4740" s="7" t="s">
        <v>49</v>
      </c>
      <c r="I4740" s="7" t="s">
        <v>82</v>
      </c>
      <c r="J4740" s="7" t="s">
        <v>637</v>
      </c>
      <c r="K4740" s="7" t="n">
        <f aca="false">IFERROR(VALUE(RIGHT(TRIM(F4740),4)),"")</f>
        <v>2019</v>
      </c>
      <c r="L4740" s="7" t="str">
        <f aca="false">IF(TRIM(E4740)="","Unknown",IFERROR(LEFT(TRIM(E4740),FIND(",",TRIM(E4740))-1),TRIM(E4740)))</f>
        <v>South Korea</v>
      </c>
      <c r="M4740" s="7" t="str">
        <f aca="false">IFERROR(LEFT(J4740,FIND(",",J4740)-1),J4740)</f>
        <v>International TV Shows</v>
      </c>
      <c r="N4740" s="7" t="str">
        <f aca="false">IF(B4740="Movie",IFERROR(VALUE(LEFT(I4740,FIND(" ",I4740)-1)),""),"")</f>
        <v/>
      </c>
      <c r="O4740" s="7" t="n">
        <f aca="false">IF(B4740="TV Show",IFERROR(VALUE(LEFT(I4740,FIND(" ",I4740)-1)),""),"")</f>
        <v>1</v>
      </c>
      <c r="P4740" s="7" t="n">
        <f aca="false">IF(K4740="","",K4740-G4740)</f>
        <v>6</v>
      </c>
    </row>
    <row r="4741" customFormat="false" ht="15" hidden="false" customHeight="false" outlineLevel="0" collapsed="false">
      <c r="A4741" s="7" t="n">
        <v>80165295</v>
      </c>
      <c r="B4741" s="7" t="s">
        <v>78</v>
      </c>
      <c r="C4741" s="7" t="s">
        <v>9639</v>
      </c>
      <c r="E4741" s="7" t="s">
        <v>32</v>
      </c>
      <c r="F4741" s="7" t="s">
        <v>9633</v>
      </c>
      <c r="G4741" s="7" t="n">
        <v>2014</v>
      </c>
      <c r="H4741" s="7" t="s">
        <v>49</v>
      </c>
      <c r="I4741" s="7" t="s">
        <v>82</v>
      </c>
      <c r="J4741" s="7" t="s">
        <v>852</v>
      </c>
      <c r="K4741" s="7" t="n">
        <f aca="false">IFERROR(VALUE(RIGHT(TRIM(F4741),4)),"")</f>
        <v>2019</v>
      </c>
      <c r="L4741" s="7" t="str">
        <f aca="false">IF(TRIM(E4741)="","Unknown",IFERROR(LEFT(TRIM(E4741),FIND(",",TRIM(E4741))-1),TRIM(E4741)))</f>
        <v>South Korea</v>
      </c>
      <c r="M4741" s="7" t="str">
        <f aca="false">IFERROR(LEFT(J4741,FIND(",",J4741)-1),J4741)</f>
        <v>International TV Shows</v>
      </c>
      <c r="N4741" s="7" t="str">
        <f aca="false">IF(B4741="Movie",IFERROR(VALUE(LEFT(I4741,FIND(" ",I4741)-1)),""),"")</f>
        <v/>
      </c>
      <c r="O4741" s="7" t="n">
        <f aca="false">IF(B4741="TV Show",IFERROR(VALUE(LEFT(I4741,FIND(" ",I4741)-1)),""),"")</f>
        <v>1</v>
      </c>
      <c r="P4741" s="7" t="n">
        <f aca="false">IF(K4741="","",K4741-G4741)</f>
        <v>5</v>
      </c>
    </row>
    <row r="4742" customFormat="false" ht="15" hidden="false" customHeight="false" outlineLevel="0" collapsed="false">
      <c r="A4742" s="7" t="n">
        <v>80178404</v>
      </c>
      <c r="B4742" s="7" t="s">
        <v>78</v>
      </c>
      <c r="C4742" s="7" t="s">
        <v>2739</v>
      </c>
      <c r="E4742" s="7" t="s">
        <v>32</v>
      </c>
      <c r="F4742" s="7" t="s">
        <v>9633</v>
      </c>
      <c r="G4742" s="7" t="n">
        <v>2015</v>
      </c>
      <c r="H4742" s="7" t="s">
        <v>49</v>
      </c>
      <c r="I4742" s="7" t="s">
        <v>82</v>
      </c>
      <c r="J4742" s="7" t="s">
        <v>637</v>
      </c>
      <c r="K4742" s="7" t="n">
        <f aca="false">IFERROR(VALUE(RIGHT(TRIM(F4742),4)),"")</f>
        <v>2019</v>
      </c>
      <c r="L4742" s="7" t="str">
        <f aca="false">IF(TRIM(E4742)="","Unknown",IFERROR(LEFT(TRIM(E4742),FIND(",",TRIM(E4742))-1),TRIM(E4742)))</f>
        <v>South Korea</v>
      </c>
      <c r="M4742" s="7" t="str">
        <f aca="false">IFERROR(LEFT(J4742,FIND(",",J4742)-1),J4742)</f>
        <v>International TV Shows</v>
      </c>
      <c r="N4742" s="7" t="str">
        <f aca="false">IF(B4742="Movie",IFERROR(VALUE(LEFT(I4742,FIND(" ",I4742)-1)),""),"")</f>
        <v/>
      </c>
      <c r="O4742" s="7" t="n">
        <f aca="false">IF(B4742="TV Show",IFERROR(VALUE(LEFT(I4742,FIND(" ",I4742)-1)),""),"")</f>
        <v>1</v>
      </c>
      <c r="P4742" s="7" t="n">
        <f aca="false">IF(K4742="","",K4742-G4742)</f>
        <v>4</v>
      </c>
    </row>
    <row r="4743" customFormat="false" ht="15" hidden="false" customHeight="false" outlineLevel="0" collapsed="false">
      <c r="A4743" s="7" t="n">
        <v>80165487</v>
      </c>
      <c r="B4743" s="7" t="s">
        <v>78</v>
      </c>
      <c r="C4743" s="7" t="s">
        <v>9640</v>
      </c>
      <c r="D4743" s="7" t="s">
        <v>9641</v>
      </c>
      <c r="E4743" s="7" t="s">
        <v>32</v>
      </c>
      <c r="F4743" s="7" t="s">
        <v>9633</v>
      </c>
      <c r="G4743" s="7" t="n">
        <v>2014</v>
      </c>
      <c r="H4743" s="7" t="s">
        <v>49</v>
      </c>
      <c r="I4743" s="7" t="s">
        <v>82</v>
      </c>
      <c r="J4743" s="7" t="s">
        <v>637</v>
      </c>
      <c r="K4743" s="7" t="n">
        <f aca="false">IFERROR(VALUE(RIGHT(TRIM(F4743),4)),"")</f>
        <v>2019</v>
      </c>
      <c r="L4743" s="7" t="str">
        <f aca="false">IF(TRIM(E4743)="","Unknown",IFERROR(LEFT(TRIM(E4743),FIND(",",TRIM(E4743))-1),TRIM(E4743)))</f>
        <v>South Korea</v>
      </c>
      <c r="M4743" s="7" t="str">
        <f aca="false">IFERROR(LEFT(J4743,FIND(",",J4743)-1),J4743)</f>
        <v>International TV Shows</v>
      </c>
      <c r="N4743" s="7" t="str">
        <f aca="false">IF(B4743="Movie",IFERROR(VALUE(LEFT(I4743,FIND(" ",I4743)-1)),""),"")</f>
        <v/>
      </c>
      <c r="O4743" s="7" t="n">
        <f aca="false">IF(B4743="TV Show",IFERROR(VALUE(LEFT(I4743,FIND(" ",I4743)-1)),""),"")</f>
        <v>1</v>
      </c>
      <c r="P4743" s="7" t="n">
        <f aca="false">IF(K4743="","",K4743-G4743)</f>
        <v>5</v>
      </c>
    </row>
    <row r="4744" customFormat="false" ht="15" hidden="false" customHeight="false" outlineLevel="0" collapsed="false">
      <c r="A4744" s="7" t="n">
        <v>70297144</v>
      </c>
      <c r="B4744" s="7" t="s">
        <v>78</v>
      </c>
      <c r="C4744" s="7" t="s">
        <v>9642</v>
      </c>
      <c r="D4744" s="7" t="s">
        <v>9641</v>
      </c>
      <c r="E4744" s="7" t="s">
        <v>32</v>
      </c>
      <c r="F4744" s="7" t="s">
        <v>9633</v>
      </c>
      <c r="G4744" s="7" t="n">
        <v>2012</v>
      </c>
      <c r="H4744" s="7" t="s">
        <v>49</v>
      </c>
      <c r="I4744" s="7" t="s">
        <v>82</v>
      </c>
      <c r="J4744" s="7" t="s">
        <v>637</v>
      </c>
      <c r="K4744" s="7" t="n">
        <f aca="false">IFERROR(VALUE(RIGHT(TRIM(F4744),4)),"")</f>
        <v>2019</v>
      </c>
      <c r="L4744" s="7" t="str">
        <f aca="false">IF(TRIM(E4744)="","Unknown",IFERROR(LEFT(TRIM(E4744),FIND(",",TRIM(E4744))-1),TRIM(E4744)))</f>
        <v>South Korea</v>
      </c>
      <c r="M4744" s="7" t="str">
        <f aca="false">IFERROR(LEFT(J4744,FIND(",",J4744)-1),J4744)</f>
        <v>International TV Shows</v>
      </c>
      <c r="N4744" s="7" t="str">
        <f aca="false">IF(B4744="Movie",IFERROR(VALUE(LEFT(I4744,FIND(" ",I4744)-1)),""),"")</f>
        <v/>
      </c>
      <c r="O4744" s="7" t="n">
        <f aca="false">IF(B4744="TV Show",IFERROR(VALUE(LEFT(I4744,FIND(" ",I4744)-1)),""),"")</f>
        <v>1</v>
      </c>
      <c r="P4744" s="7" t="n">
        <f aca="false">IF(K4744="","",K4744-G4744)</f>
        <v>7</v>
      </c>
    </row>
    <row r="4745" customFormat="false" ht="15" hidden="false" customHeight="false" outlineLevel="0" collapsed="false">
      <c r="A4745" s="7" t="n">
        <v>81087761</v>
      </c>
      <c r="B4745" s="7" t="s">
        <v>68</v>
      </c>
      <c r="C4745" s="7" t="s">
        <v>9643</v>
      </c>
      <c r="D4745" s="7" t="s">
        <v>9644</v>
      </c>
      <c r="E4745" s="7" t="s">
        <v>26</v>
      </c>
      <c r="F4745" s="7" t="s">
        <v>9633</v>
      </c>
      <c r="G4745" s="7" t="n">
        <v>2018</v>
      </c>
      <c r="H4745" s="7" t="s">
        <v>48</v>
      </c>
      <c r="I4745" s="7" t="s">
        <v>154</v>
      </c>
      <c r="J4745" s="7" t="s">
        <v>39</v>
      </c>
      <c r="K4745" s="7" t="n">
        <f aca="false">IFERROR(VALUE(RIGHT(TRIM(F4745),4)),"")</f>
        <v>2019</v>
      </c>
      <c r="L4745" s="7" t="str">
        <f aca="false">IF(TRIM(E4745)="","Unknown",IFERROR(LEFT(TRIM(E4745),FIND(",",TRIM(E4745))-1),TRIM(E4745)))</f>
        <v>United States</v>
      </c>
      <c r="M4745" s="7" t="str">
        <f aca="false">IFERROR(LEFT(J4745,FIND(",",J4745)-1),J4745)</f>
        <v>Documentaries</v>
      </c>
      <c r="N4745" s="7" t="n">
        <f aca="false">IF(B4745="Movie",IFERROR(VALUE(LEFT(I4745,FIND(" ",I4745)-1)),""),"")</f>
        <v>80</v>
      </c>
      <c r="O4745" s="7" t="str">
        <f aca="false">IF(B4745="TV Show",IFERROR(VALUE(LEFT(I4745,FIND(" ",I4745)-1)),""),"")</f>
        <v/>
      </c>
      <c r="P4745" s="7" t="n">
        <f aca="false">IF(K4745="","",K4745-G4745)</f>
        <v>1</v>
      </c>
    </row>
    <row r="4746" customFormat="false" ht="15" hidden="false" customHeight="false" outlineLevel="0" collapsed="false">
      <c r="A4746" s="7" t="n">
        <v>81065902</v>
      </c>
      <c r="B4746" s="7" t="s">
        <v>68</v>
      </c>
      <c r="C4746" s="7" t="s">
        <v>9645</v>
      </c>
      <c r="D4746" s="7" t="s">
        <v>9646</v>
      </c>
      <c r="E4746" s="7" t="s">
        <v>26</v>
      </c>
      <c r="F4746" s="7" t="s">
        <v>9633</v>
      </c>
      <c r="G4746" s="7" t="n">
        <v>2018</v>
      </c>
      <c r="H4746" s="7" t="s">
        <v>48</v>
      </c>
      <c r="I4746" s="7" t="s">
        <v>330</v>
      </c>
      <c r="J4746" s="7" t="s">
        <v>652</v>
      </c>
      <c r="K4746" s="7" t="n">
        <f aca="false">IFERROR(VALUE(RIGHT(TRIM(F4746),4)),"")</f>
        <v>2019</v>
      </c>
      <c r="L4746" s="7" t="str">
        <f aca="false">IF(TRIM(E4746)="","Unknown",IFERROR(LEFT(TRIM(E4746),FIND(",",TRIM(E4746))-1),TRIM(E4746)))</f>
        <v>United States</v>
      </c>
      <c r="M4746" s="7" t="str">
        <f aca="false">IFERROR(LEFT(J4746,FIND(",",J4746)-1),J4746)</f>
        <v>Horror Movies</v>
      </c>
      <c r="N4746" s="7" t="n">
        <f aca="false">IF(B4746="Movie",IFERROR(VALUE(LEFT(I4746,FIND(" ",I4746)-1)),""),"")</f>
        <v>103</v>
      </c>
      <c r="O4746" s="7" t="str">
        <f aca="false">IF(B4746="TV Show",IFERROR(VALUE(LEFT(I4746,FIND(" ",I4746)-1)),""),"")</f>
        <v/>
      </c>
      <c r="P4746" s="7" t="n">
        <f aca="false">IF(K4746="","",K4746-G4746)</f>
        <v>1</v>
      </c>
    </row>
    <row r="4747" customFormat="false" ht="15" hidden="false" customHeight="false" outlineLevel="0" collapsed="false">
      <c r="A4747" s="7" t="n">
        <v>80239462</v>
      </c>
      <c r="B4747" s="7" t="s">
        <v>78</v>
      </c>
      <c r="C4747" s="7" t="s">
        <v>9647</v>
      </c>
      <c r="E4747" s="7" t="s">
        <v>30</v>
      </c>
      <c r="F4747" s="7" t="s">
        <v>9633</v>
      </c>
      <c r="G4747" s="7" t="n">
        <v>2019</v>
      </c>
      <c r="H4747" s="7" t="s">
        <v>48</v>
      </c>
      <c r="I4747" s="7" t="s">
        <v>82</v>
      </c>
      <c r="J4747" s="7" t="s">
        <v>344</v>
      </c>
      <c r="K4747" s="7" t="n">
        <f aca="false">IFERROR(VALUE(RIGHT(TRIM(F4747),4)),"")</f>
        <v>2019</v>
      </c>
      <c r="L4747" s="7" t="str">
        <f aca="false">IF(TRIM(E4747)="","Unknown",IFERROR(LEFT(TRIM(E4747),FIND(",",TRIM(E4747))-1),TRIM(E4747)))</f>
        <v>Japan</v>
      </c>
      <c r="M4747" s="7" t="str">
        <f aca="false">IFERROR(LEFT(J4747,FIND(",",J4747)-1),J4747)</f>
        <v>International TV Shows</v>
      </c>
      <c r="N4747" s="7" t="str">
        <f aca="false">IF(B4747="Movie",IFERROR(VALUE(LEFT(I4747,FIND(" ",I4747)-1)),""),"")</f>
        <v/>
      </c>
      <c r="O4747" s="7" t="n">
        <f aca="false">IF(B4747="TV Show",IFERROR(VALUE(LEFT(I4747,FIND(" ",I4747)-1)),""),"")</f>
        <v>1</v>
      </c>
      <c r="P4747" s="7" t="n">
        <f aca="false">IF(K4747="","",K4747-G4747)</f>
        <v>0</v>
      </c>
    </row>
    <row r="4748" customFormat="false" ht="15" hidden="false" customHeight="false" outlineLevel="0" collapsed="false">
      <c r="A4748" s="7" t="n">
        <v>80230293</v>
      </c>
      <c r="B4748" s="7" t="s">
        <v>78</v>
      </c>
      <c r="C4748" s="7" t="s">
        <v>9648</v>
      </c>
      <c r="E4748" s="7" t="s">
        <v>26</v>
      </c>
      <c r="F4748" s="7" t="s">
        <v>9633</v>
      </c>
      <c r="G4748" s="7" t="n">
        <v>2019</v>
      </c>
      <c r="H4748" s="7" t="s">
        <v>48</v>
      </c>
      <c r="I4748" s="7" t="s">
        <v>82</v>
      </c>
      <c r="J4748" s="7" t="s">
        <v>9649</v>
      </c>
      <c r="K4748" s="7" t="n">
        <f aca="false">IFERROR(VALUE(RIGHT(TRIM(F4748),4)),"")</f>
        <v>2019</v>
      </c>
      <c r="L4748" s="7" t="str">
        <f aca="false">IF(TRIM(E4748)="","Unknown",IFERROR(LEFT(TRIM(E4748),FIND(",",TRIM(E4748))-1),TRIM(E4748)))</f>
        <v>United States</v>
      </c>
      <c r="M4748" s="7" t="str">
        <f aca="false">IFERROR(LEFT(J4748,FIND(",",J4748)-1),J4748)</f>
        <v>TV Action &amp; Adventure</v>
      </c>
      <c r="N4748" s="7" t="str">
        <f aca="false">IF(B4748="Movie",IFERROR(VALUE(LEFT(I4748,FIND(" ",I4748)-1)),""),"")</f>
        <v/>
      </c>
      <c r="O4748" s="7" t="n">
        <f aca="false">IF(B4748="TV Show",IFERROR(VALUE(LEFT(I4748,FIND(" ",I4748)-1)),""),"")</f>
        <v>1</v>
      </c>
      <c r="P4748" s="7" t="n">
        <f aca="false">IF(K4748="","",K4748-G4748)</f>
        <v>0</v>
      </c>
    </row>
    <row r="4749" customFormat="false" ht="15" hidden="false" customHeight="false" outlineLevel="0" collapsed="false">
      <c r="A4749" s="7" t="n">
        <v>81000207</v>
      </c>
      <c r="B4749" s="7" t="s">
        <v>78</v>
      </c>
      <c r="C4749" s="7" t="s">
        <v>9650</v>
      </c>
      <c r="F4749" s="7" t="s">
        <v>9651</v>
      </c>
      <c r="G4749" s="7" t="n">
        <v>2018</v>
      </c>
      <c r="H4749" s="7" t="s">
        <v>48</v>
      </c>
      <c r="I4749" s="7" t="s">
        <v>82</v>
      </c>
      <c r="J4749" s="7" t="s">
        <v>5812</v>
      </c>
      <c r="K4749" s="7" t="n">
        <f aca="false">IFERROR(VALUE(RIGHT(TRIM(F4749),4)),"")</f>
        <v>2018</v>
      </c>
      <c r="L4749" s="7" t="str">
        <f aca="false">IF(TRIM(E4749)="","Unknown",IFERROR(LEFT(TRIM(E4749),FIND(",",TRIM(E4749))-1),TRIM(E4749)))</f>
        <v>Unknown</v>
      </c>
      <c r="M4749" s="7" t="str">
        <f aca="false">IFERROR(LEFT(J4749,FIND(",",J4749)-1),J4749)</f>
        <v>Crime TV Shows</v>
      </c>
      <c r="N4749" s="7" t="str">
        <f aca="false">IF(B4749="Movie",IFERROR(VALUE(LEFT(I4749,FIND(" ",I4749)-1)),""),"")</f>
        <v/>
      </c>
      <c r="O4749" s="7" t="n">
        <f aca="false">IF(B4749="TV Show",IFERROR(VALUE(LEFT(I4749,FIND(" ",I4749)-1)),""),"")</f>
        <v>1</v>
      </c>
      <c r="P4749" s="7" t="n">
        <f aca="false">IF(K4749="","",K4749-G4749)</f>
        <v>0</v>
      </c>
    </row>
    <row r="4750" customFormat="false" ht="15" hidden="false" customHeight="false" outlineLevel="0" collapsed="false">
      <c r="A4750" s="7" t="n">
        <v>80998058</v>
      </c>
      <c r="B4750" s="7" t="s">
        <v>78</v>
      </c>
      <c r="C4750" s="7" t="s">
        <v>9652</v>
      </c>
      <c r="F4750" s="7" t="s">
        <v>9651</v>
      </c>
      <c r="G4750" s="7" t="n">
        <v>2018</v>
      </c>
      <c r="H4750" s="7" t="s">
        <v>49</v>
      </c>
      <c r="I4750" s="7" t="s">
        <v>82</v>
      </c>
      <c r="J4750" s="7" t="s">
        <v>314</v>
      </c>
      <c r="K4750" s="7" t="n">
        <f aca="false">IFERROR(VALUE(RIGHT(TRIM(F4750),4)),"")</f>
        <v>2018</v>
      </c>
      <c r="L4750" s="7" t="str">
        <f aca="false">IF(TRIM(E4750)="","Unknown",IFERROR(LEFT(TRIM(E4750),FIND(",",TRIM(E4750))-1),TRIM(E4750)))</f>
        <v>Unknown</v>
      </c>
      <c r="M4750" s="7" t="str">
        <f aca="false">IFERROR(LEFT(J4750,FIND(",",J4750)-1),J4750)</f>
        <v>International TV Shows</v>
      </c>
      <c r="N4750" s="7" t="str">
        <f aca="false">IF(B4750="Movie",IFERROR(VALUE(LEFT(I4750,FIND(" ",I4750)-1)),""),"")</f>
        <v/>
      </c>
      <c r="O4750" s="7" t="n">
        <f aca="false">IF(B4750="TV Show",IFERROR(VALUE(LEFT(I4750,FIND(" ",I4750)-1)),""),"")</f>
        <v>1</v>
      </c>
      <c r="P4750" s="7" t="n">
        <f aca="false">IF(K4750="","",K4750-G4750)</f>
        <v>0</v>
      </c>
    </row>
    <row r="4751" customFormat="false" ht="15" hidden="false" customHeight="false" outlineLevel="0" collapsed="false">
      <c r="A4751" s="7" t="n">
        <v>80195838</v>
      </c>
      <c r="B4751" s="7" t="s">
        <v>68</v>
      </c>
      <c r="C4751" s="7" t="s">
        <v>9653</v>
      </c>
      <c r="D4751" s="7" t="s">
        <v>1991</v>
      </c>
      <c r="E4751" s="7" t="s">
        <v>26</v>
      </c>
      <c r="F4751" s="7" t="s">
        <v>9654</v>
      </c>
      <c r="G4751" s="7" t="n">
        <v>1992</v>
      </c>
      <c r="H4751" s="7" t="s">
        <v>51</v>
      </c>
      <c r="I4751" s="7" t="s">
        <v>117</v>
      </c>
      <c r="J4751" s="7" t="s">
        <v>45</v>
      </c>
      <c r="K4751" s="7" t="n">
        <f aca="false">IFERROR(VALUE(RIGHT(TRIM(F4751),4)),"")</f>
        <v>2017</v>
      </c>
      <c r="L4751" s="7" t="str">
        <f aca="false">IF(TRIM(E4751)="","Unknown",IFERROR(LEFT(TRIM(E4751),FIND(",",TRIM(E4751))-1),TRIM(E4751)))</f>
        <v>United States</v>
      </c>
      <c r="M4751" s="7" t="str">
        <f aca="false">IFERROR(LEFT(J4751,FIND(",",J4751)-1),J4751)</f>
        <v>Stand-Up Comedy</v>
      </c>
      <c r="N4751" s="7" t="n">
        <f aca="false">IF(B4751="Movie",IFERROR(VALUE(LEFT(I4751,FIND(" ",I4751)-1)),""),"")</f>
        <v>62</v>
      </c>
      <c r="O4751" s="7" t="str">
        <f aca="false">IF(B4751="TV Show",IFERROR(VALUE(LEFT(I4751,FIND(" ",I4751)-1)),""),"")</f>
        <v/>
      </c>
      <c r="P4751" s="7" t="n">
        <f aca="false">IF(K4751="","",K4751-G4751)</f>
        <v>25</v>
      </c>
    </row>
    <row r="4752" customFormat="false" ht="15" hidden="false" customHeight="false" outlineLevel="0" collapsed="false">
      <c r="A4752" s="7" t="n">
        <v>81112446</v>
      </c>
      <c r="B4752" s="7" t="s">
        <v>68</v>
      </c>
      <c r="C4752" s="7" t="s">
        <v>9655</v>
      </c>
      <c r="D4752" s="7" t="s">
        <v>5463</v>
      </c>
      <c r="E4752" s="7" t="s">
        <v>27</v>
      </c>
      <c r="F4752" s="7" t="s">
        <v>9656</v>
      </c>
      <c r="G4752" s="7" t="n">
        <v>2019</v>
      </c>
      <c r="H4752" s="7" t="s">
        <v>49</v>
      </c>
      <c r="I4752" s="7" t="s">
        <v>386</v>
      </c>
      <c r="J4752" s="7" t="s">
        <v>358</v>
      </c>
      <c r="K4752" s="7" t="n">
        <f aca="false">IFERROR(VALUE(RIGHT(TRIM(F4752),4)),"")</f>
        <v>2019</v>
      </c>
      <c r="L4752" s="7" t="str">
        <f aca="false">IF(TRIM(E4752)="","Unknown",IFERROR(LEFT(TRIM(E4752),FIND(",",TRIM(E4752))-1),TRIM(E4752)))</f>
        <v>India</v>
      </c>
      <c r="M4752" s="7" t="str">
        <f aca="false">IFERROR(LEFT(J4752,FIND(",",J4752)-1),J4752)</f>
        <v>International Movies</v>
      </c>
      <c r="N4752" s="7" t="n">
        <f aca="false">IF(B4752="Movie",IFERROR(VALUE(LEFT(I4752,FIND(" ",I4752)-1)),""),"")</f>
        <v>117</v>
      </c>
      <c r="O4752" s="7" t="str">
        <f aca="false">IF(B4752="TV Show",IFERROR(VALUE(LEFT(I4752,FIND(" ",I4752)-1)),""),"")</f>
        <v/>
      </c>
      <c r="P4752" s="7" t="n">
        <f aca="false">IF(K4752="","",K4752-G4752)</f>
        <v>0</v>
      </c>
    </row>
    <row r="4753" customFormat="false" ht="15" hidden="false" customHeight="false" outlineLevel="0" collapsed="false">
      <c r="A4753" s="7" t="n">
        <v>81088318</v>
      </c>
      <c r="B4753" s="7" t="s">
        <v>68</v>
      </c>
      <c r="C4753" s="7" t="s">
        <v>9657</v>
      </c>
      <c r="D4753" s="7" t="s">
        <v>9658</v>
      </c>
      <c r="E4753" s="7" t="s">
        <v>26</v>
      </c>
      <c r="F4753" s="7" t="s">
        <v>9656</v>
      </c>
      <c r="G4753" s="7" t="n">
        <v>2019</v>
      </c>
      <c r="H4753" s="7" t="s">
        <v>49</v>
      </c>
      <c r="I4753" s="7" t="s">
        <v>661</v>
      </c>
      <c r="J4753" s="7" t="s">
        <v>39</v>
      </c>
      <c r="K4753" s="7" t="n">
        <f aca="false">IFERROR(VALUE(RIGHT(TRIM(F4753),4)),"")</f>
        <v>2019</v>
      </c>
      <c r="L4753" s="7" t="str">
        <f aca="false">IF(TRIM(E4753)="","Unknown",IFERROR(LEFT(TRIM(E4753),FIND(",",TRIM(E4753))-1),TRIM(E4753)))</f>
        <v>United States</v>
      </c>
      <c r="M4753" s="7" t="str">
        <f aca="false">IFERROR(LEFT(J4753,FIND(",",J4753)-1),J4753)</f>
        <v>Documentaries</v>
      </c>
      <c r="N4753" s="7" t="n">
        <f aca="false">IF(B4753="Movie",IFERROR(VALUE(LEFT(I4753,FIND(" ",I4753)-1)),""),"")</f>
        <v>76</v>
      </c>
      <c r="O4753" s="7" t="str">
        <f aca="false">IF(B4753="TV Show",IFERROR(VALUE(LEFT(I4753,FIND(" ",I4753)-1)),""),"")</f>
        <v/>
      </c>
      <c r="P4753" s="7" t="n">
        <f aca="false">IF(K4753="","",K4753-G4753)</f>
        <v>0</v>
      </c>
    </row>
    <row r="4754" customFormat="false" ht="15" hidden="false" customHeight="false" outlineLevel="0" collapsed="false">
      <c r="A4754" s="7" t="n">
        <v>80080617</v>
      </c>
      <c r="B4754" s="7" t="s">
        <v>68</v>
      </c>
      <c r="C4754" s="7" t="s">
        <v>9659</v>
      </c>
      <c r="D4754" s="7" t="s">
        <v>7163</v>
      </c>
      <c r="E4754" s="7" t="s">
        <v>26</v>
      </c>
      <c r="F4754" s="7" t="s">
        <v>9656</v>
      </c>
      <c r="G4754" s="7" t="n">
        <v>2016</v>
      </c>
      <c r="H4754" s="7" t="s">
        <v>48</v>
      </c>
      <c r="I4754" s="7" t="s">
        <v>876</v>
      </c>
      <c r="J4754" s="7" t="s">
        <v>45</v>
      </c>
      <c r="K4754" s="7" t="n">
        <f aca="false">IFERROR(VALUE(RIGHT(TRIM(F4754),4)),"")</f>
        <v>2019</v>
      </c>
      <c r="L4754" s="7" t="str">
        <f aca="false">IF(TRIM(E4754)="","Unknown",IFERROR(LEFT(TRIM(E4754),FIND(",",TRIM(E4754))-1),TRIM(E4754)))</f>
        <v>United States</v>
      </c>
      <c r="M4754" s="7" t="str">
        <f aca="false">IFERROR(LEFT(J4754,FIND(",",J4754)-1),J4754)</f>
        <v>Stand-Up Comedy</v>
      </c>
      <c r="N4754" s="7" t="n">
        <f aca="false">IF(B4754="Movie",IFERROR(VALUE(LEFT(I4754,FIND(" ",I4754)-1)),""),"")</f>
        <v>67</v>
      </c>
      <c r="O4754" s="7" t="str">
        <f aca="false">IF(B4754="TV Show",IFERROR(VALUE(LEFT(I4754,FIND(" ",I4754)-1)),""),"")</f>
        <v/>
      </c>
      <c r="P4754" s="7" t="n">
        <f aca="false">IF(K4754="","",K4754-G4754)</f>
        <v>3</v>
      </c>
    </row>
    <row r="4755" customFormat="false" ht="15" hidden="false" customHeight="false" outlineLevel="0" collapsed="false">
      <c r="A4755" s="7" t="n">
        <v>80203996</v>
      </c>
      <c r="B4755" s="7" t="s">
        <v>68</v>
      </c>
      <c r="C4755" s="7" t="s">
        <v>9660</v>
      </c>
      <c r="D4755" s="7" t="s">
        <v>1462</v>
      </c>
      <c r="E4755" s="7" t="s">
        <v>27</v>
      </c>
      <c r="F4755" s="7" t="s">
        <v>9661</v>
      </c>
      <c r="G4755" s="7" t="n">
        <v>2017</v>
      </c>
      <c r="H4755" s="7" t="s">
        <v>48</v>
      </c>
      <c r="I4755" s="7" t="s">
        <v>3951</v>
      </c>
      <c r="J4755" s="7" t="s">
        <v>112</v>
      </c>
      <c r="K4755" s="7" t="n">
        <f aca="false">IFERROR(VALUE(RIGHT(TRIM(F4755),4)),"")</f>
        <v>2017</v>
      </c>
      <c r="L4755" s="7" t="str">
        <f aca="false">IF(TRIM(E4755)="","Unknown",IFERROR(LEFT(TRIM(E4755),FIND(",",TRIM(E4755))-1),TRIM(E4755)))</f>
        <v>India</v>
      </c>
      <c r="M4755" s="7" t="str">
        <f aca="false">IFERROR(LEFT(J4755,FIND(",",J4755)-1),J4755)</f>
        <v>Action &amp; Adventure</v>
      </c>
      <c r="N4755" s="7" t="n">
        <f aca="false">IF(B4755="Movie",IFERROR(VALUE(LEFT(I4755,FIND(" ",I4755)-1)),""),"")</f>
        <v>165</v>
      </c>
      <c r="O4755" s="7" t="str">
        <f aca="false">IF(B4755="TV Show",IFERROR(VALUE(LEFT(I4755,FIND(" ",I4755)-1)),""),"")</f>
        <v/>
      </c>
      <c r="P4755" s="7" t="n">
        <f aca="false">IF(K4755="","",K4755-G4755)</f>
        <v>0</v>
      </c>
    </row>
    <row r="4756" customFormat="false" ht="15" hidden="false" customHeight="false" outlineLevel="0" collapsed="false">
      <c r="A4756" s="7" t="n">
        <v>80203998</v>
      </c>
      <c r="B4756" s="7" t="s">
        <v>68</v>
      </c>
      <c r="C4756" s="7" t="s">
        <v>9662</v>
      </c>
      <c r="D4756" s="7" t="s">
        <v>1462</v>
      </c>
      <c r="E4756" s="7" t="s">
        <v>27</v>
      </c>
      <c r="F4756" s="7" t="s">
        <v>9661</v>
      </c>
      <c r="G4756" s="7" t="n">
        <v>2017</v>
      </c>
      <c r="H4756" s="7" t="s">
        <v>48</v>
      </c>
      <c r="I4756" s="7" t="s">
        <v>2794</v>
      </c>
      <c r="J4756" s="7" t="s">
        <v>112</v>
      </c>
      <c r="K4756" s="7" t="n">
        <f aca="false">IFERROR(VALUE(RIGHT(TRIM(F4756),4)),"")</f>
        <v>2017</v>
      </c>
      <c r="L4756" s="7" t="str">
        <f aca="false">IF(TRIM(E4756)="","Unknown",IFERROR(LEFT(TRIM(E4756),FIND(",",TRIM(E4756))-1),TRIM(E4756)))</f>
        <v>India</v>
      </c>
      <c r="M4756" s="7" t="str">
        <f aca="false">IFERROR(LEFT(J4756,FIND(",",J4756)-1),J4756)</f>
        <v>Action &amp; Adventure</v>
      </c>
      <c r="N4756" s="7" t="n">
        <f aca="false">IF(B4756="Movie",IFERROR(VALUE(LEFT(I4756,FIND(" ",I4756)-1)),""),"")</f>
        <v>166</v>
      </c>
      <c r="O4756" s="7" t="str">
        <f aca="false">IF(B4756="TV Show",IFERROR(VALUE(LEFT(I4756,FIND(" ",I4756)-1)),""),"")</f>
        <v/>
      </c>
      <c r="P4756" s="7" t="n">
        <f aca="false">IF(K4756="","",K4756-G4756)</f>
        <v>0</v>
      </c>
    </row>
    <row r="4757" customFormat="false" ht="15" hidden="false" customHeight="false" outlineLevel="0" collapsed="false">
      <c r="A4757" s="7" t="n">
        <v>80203997</v>
      </c>
      <c r="B4757" s="7" t="s">
        <v>68</v>
      </c>
      <c r="C4757" s="7" t="s">
        <v>9663</v>
      </c>
      <c r="D4757" s="7" t="s">
        <v>1462</v>
      </c>
      <c r="E4757" s="7" t="s">
        <v>27</v>
      </c>
      <c r="F4757" s="7" t="s">
        <v>9661</v>
      </c>
      <c r="G4757" s="7" t="n">
        <v>2017</v>
      </c>
      <c r="H4757" s="7" t="s">
        <v>48</v>
      </c>
      <c r="I4757" s="7" t="s">
        <v>2794</v>
      </c>
      <c r="J4757" s="7" t="s">
        <v>112</v>
      </c>
      <c r="K4757" s="7" t="n">
        <f aca="false">IFERROR(VALUE(RIGHT(TRIM(F4757),4)),"")</f>
        <v>2017</v>
      </c>
      <c r="L4757" s="7" t="str">
        <f aca="false">IF(TRIM(E4757)="","Unknown",IFERROR(LEFT(TRIM(E4757),FIND(",",TRIM(E4757))-1),TRIM(E4757)))</f>
        <v>India</v>
      </c>
      <c r="M4757" s="7" t="str">
        <f aca="false">IFERROR(LEFT(J4757,FIND(",",J4757)-1),J4757)</f>
        <v>Action &amp; Adventure</v>
      </c>
      <c r="N4757" s="7" t="n">
        <f aca="false">IF(B4757="Movie",IFERROR(VALUE(LEFT(I4757,FIND(" ",I4757)-1)),""),"")</f>
        <v>166</v>
      </c>
      <c r="O4757" s="7" t="str">
        <f aca="false">IF(B4757="TV Show",IFERROR(VALUE(LEFT(I4757,FIND(" ",I4757)-1)),""),"")</f>
        <v/>
      </c>
      <c r="P4757" s="7" t="n">
        <f aca="false">IF(K4757="","",K4757-G4757)</f>
        <v>0</v>
      </c>
    </row>
    <row r="4758" customFormat="false" ht="15" hidden="false" customHeight="false" outlineLevel="0" collapsed="false">
      <c r="A4758" s="7" t="n">
        <v>80204117</v>
      </c>
      <c r="B4758" s="7" t="s">
        <v>68</v>
      </c>
      <c r="C4758" s="7" t="s">
        <v>9664</v>
      </c>
      <c r="D4758" s="7" t="s">
        <v>1462</v>
      </c>
      <c r="E4758" s="7" t="s">
        <v>27</v>
      </c>
      <c r="F4758" s="7" t="s">
        <v>9661</v>
      </c>
      <c r="G4758" s="7" t="n">
        <v>2015</v>
      </c>
      <c r="H4758" s="7" t="s">
        <v>49</v>
      </c>
      <c r="I4758" s="7" t="s">
        <v>1779</v>
      </c>
      <c r="J4758" s="7" t="s">
        <v>112</v>
      </c>
      <c r="K4758" s="7" t="n">
        <f aca="false">IFERROR(VALUE(RIGHT(TRIM(F4758),4)),"")</f>
        <v>2017</v>
      </c>
      <c r="L4758" s="7" t="str">
        <f aca="false">IF(TRIM(E4758)="","Unknown",IFERROR(LEFT(TRIM(E4758),FIND(",",TRIM(E4758))-1),TRIM(E4758)))</f>
        <v>India</v>
      </c>
      <c r="M4758" s="7" t="str">
        <f aca="false">IFERROR(LEFT(J4758,FIND(",",J4758)-1),J4758)</f>
        <v>Action &amp; Adventure</v>
      </c>
      <c r="N4758" s="7" t="n">
        <f aca="false">IF(B4758="Movie",IFERROR(VALUE(LEFT(I4758,FIND(" ",I4758)-1)),""),"")</f>
        <v>159</v>
      </c>
      <c r="O4758" s="7" t="str">
        <f aca="false">IF(B4758="TV Show",IFERROR(VALUE(LEFT(I4758,FIND(" ",I4758)-1)),""),"")</f>
        <v/>
      </c>
      <c r="P4758" s="7" t="n">
        <f aca="false">IF(K4758="","",K4758-G4758)</f>
        <v>2</v>
      </c>
    </row>
    <row r="4759" customFormat="false" ht="15" hidden="false" customHeight="false" outlineLevel="0" collapsed="false">
      <c r="A4759" s="7" t="n">
        <v>80204119</v>
      </c>
      <c r="B4759" s="7" t="s">
        <v>68</v>
      </c>
      <c r="C4759" s="7" t="s">
        <v>9665</v>
      </c>
      <c r="D4759" s="7" t="s">
        <v>1462</v>
      </c>
      <c r="E4759" s="7" t="s">
        <v>27</v>
      </c>
      <c r="F4759" s="7" t="s">
        <v>9661</v>
      </c>
      <c r="G4759" s="7" t="n">
        <v>2015</v>
      </c>
      <c r="H4759" s="7" t="s">
        <v>49</v>
      </c>
      <c r="I4759" s="7" t="s">
        <v>1094</v>
      </c>
      <c r="J4759" s="7" t="s">
        <v>112</v>
      </c>
      <c r="K4759" s="7" t="n">
        <f aca="false">IFERROR(VALUE(RIGHT(TRIM(F4759),4)),"")</f>
        <v>2017</v>
      </c>
      <c r="L4759" s="7" t="str">
        <f aca="false">IF(TRIM(E4759)="","Unknown",IFERROR(LEFT(TRIM(E4759),FIND(",",TRIM(E4759))-1),TRIM(E4759)))</f>
        <v>India</v>
      </c>
      <c r="M4759" s="7" t="str">
        <f aca="false">IFERROR(LEFT(J4759,FIND(",",J4759)-1),J4759)</f>
        <v>Action &amp; Adventure</v>
      </c>
      <c r="N4759" s="7" t="n">
        <f aca="false">IF(B4759="Movie",IFERROR(VALUE(LEFT(I4759,FIND(" ",I4759)-1)),""),"")</f>
        <v>160</v>
      </c>
      <c r="O4759" s="7" t="str">
        <f aca="false">IF(B4759="TV Show",IFERROR(VALUE(LEFT(I4759,FIND(" ",I4759)-1)),""),"")</f>
        <v/>
      </c>
      <c r="P4759" s="7" t="n">
        <f aca="false">IF(K4759="","",K4759-G4759)</f>
        <v>2</v>
      </c>
    </row>
    <row r="4760" customFormat="false" ht="15" hidden="false" customHeight="false" outlineLevel="0" collapsed="false">
      <c r="A4760" s="7" t="n">
        <v>80204118</v>
      </c>
      <c r="B4760" s="7" t="s">
        <v>68</v>
      </c>
      <c r="C4760" s="7" t="s">
        <v>9666</v>
      </c>
      <c r="D4760" s="7" t="s">
        <v>1462</v>
      </c>
      <c r="E4760" s="7" t="s">
        <v>27</v>
      </c>
      <c r="F4760" s="7" t="s">
        <v>9661</v>
      </c>
      <c r="G4760" s="7" t="n">
        <v>2015</v>
      </c>
      <c r="H4760" s="7" t="s">
        <v>49</v>
      </c>
      <c r="I4760" s="7" t="s">
        <v>1779</v>
      </c>
      <c r="J4760" s="7" t="s">
        <v>112</v>
      </c>
      <c r="K4760" s="7" t="n">
        <f aca="false">IFERROR(VALUE(RIGHT(TRIM(F4760),4)),"")</f>
        <v>2017</v>
      </c>
      <c r="L4760" s="7" t="str">
        <f aca="false">IF(TRIM(E4760)="","Unknown",IFERROR(LEFT(TRIM(E4760),FIND(",",TRIM(E4760))-1),TRIM(E4760)))</f>
        <v>India</v>
      </c>
      <c r="M4760" s="7" t="str">
        <f aca="false">IFERROR(LEFT(J4760,FIND(",",J4760)-1),J4760)</f>
        <v>Action &amp; Adventure</v>
      </c>
      <c r="N4760" s="7" t="n">
        <f aca="false">IF(B4760="Movie",IFERROR(VALUE(LEFT(I4760,FIND(" ",I4760)-1)),""),"")</f>
        <v>159</v>
      </c>
      <c r="O4760" s="7" t="str">
        <f aca="false">IF(B4760="TV Show",IFERROR(VALUE(LEFT(I4760,FIND(" ",I4760)-1)),""),"")</f>
        <v/>
      </c>
      <c r="P4760" s="7" t="n">
        <f aca="false">IF(K4760="","",K4760-G4760)</f>
        <v>2</v>
      </c>
    </row>
    <row r="4761" customFormat="false" ht="15" hidden="false" customHeight="false" outlineLevel="0" collapsed="false">
      <c r="A4761" s="7" t="n">
        <v>80163368</v>
      </c>
      <c r="B4761" s="7" t="s">
        <v>68</v>
      </c>
      <c r="C4761" s="7" t="s">
        <v>9667</v>
      </c>
      <c r="D4761" s="7" t="s">
        <v>9668</v>
      </c>
      <c r="E4761" s="7" t="s">
        <v>1178</v>
      </c>
      <c r="F4761" s="7" t="s">
        <v>9661</v>
      </c>
      <c r="G4761" s="7" t="n">
        <v>2014</v>
      </c>
      <c r="H4761" s="7" t="s">
        <v>49</v>
      </c>
      <c r="I4761" s="7" t="s">
        <v>272</v>
      </c>
      <c r="J4761" s="7" t="s">
        <v>206</v>
      </c>
      <c r="K4761" s="7" t="n">
        <f aca="false">IFERROR(VALUE(RIGHT(TRIM(F4761),4)),"")</f>
        <v>2017</v>
      </c>
      <c r="L4761" s="7" t="str">
        <f aca="false">IF(TRIM(E4761)="","Unknown",IFERROR(LEFT(TRIM(E4761),FIND(",",TRIM(E4761))-1),TRIM(E4761)))</f>
        <v>Malaysia</v>
      </c>
      <c r="M4761" s="7" t="str">
        <f aca="false">IFERROR(LEFT(J4761,FIND(",",J4761)-1),J4761)</f>
        <v>Comedies</v>
      </c>
      <c r="N4761" s="7" t="n">
        <f aca="false">IF(B4761="Movie",IFERROR(VALUE(LEFT(I4761,FIND(" ",I4761)-1)),""),"")</f>
        <v>93</v>
      </c>
      <c r="O4761" s="7" t="str">
        <f aca="false">IF(B4761="TV Show",IFERROR(VALUE(LEFT(I4761,FIND(" ",I4761)-1)),""),"")</f>
        <v/>
      </c>
      <c r="P4761" s="7" t="n">
        <f aca="false">IF(K4761="","",K4761-G4761)</f>
        <v>3</v>
      </c>
    </row>
    <row r="4762" customFormat="false" ht="15" hidden="false" customHeight="false" outlineLevel="0" collapsed="false">
      <c r="A4762" s="7" t="n">
        <v>80184868</v>
      </c>
      <c r="B4762" s="7" t="s">
        <v>68</v>
      </c>
      <c r="C4762" s="7" t="s">
        <v>9669</v>
      </c>
      <c r="D4762" s="7" t="s">
        <v>9670</v>
      </c>
      <c r="E4762" s="7" t="s">
        <v>26</v>
      </c>
      <c r="F4762" s="7" t="s">
        <v>9661</v>
      </c>
      <c r="G4762" s="7" t="n">
        <v>2016</v>
      </c>
      <c r="H4762" s="7" t="s">
        <v>48</v>
      </c>
      <c r="I4762" s="7" t="s">
        <v>111</v>
      </c>
      <c r="J4762" s="7" t="s">
        <v>265</v>
      </c>
      <c r="K4762" s="7" t="n">
        <f aca="false">IFERROR(VALUE(RIGHT(TRIM(F4762),4)),"")</f>
        <v>2017</v>
      </c>
      <c r="L4762" s="7" t="str">
        <f aca="false">IF(TRIM(E4762)="","Unknown",IFERROR(LEFT(TRIM(E4762),FIND(",",TRIM(E4762))-1),TRIM(E4762)))</f>
        <v>United States</v>
      </c>
      <c r="M4762" s="7" t="str">
        <f aca="false">IFERROR(LEFT(J4762,FIND(",",J4762)-1),J4762)</f>
        <v>Horror Movies</v>
      </c>
      <c r="N4762" s="7" t="n">
        <f aca="false">IF(B4762="Movie",IFERROR(VALUE(LEFT(I4762,FIND(" ",I4762)-1)),""),"")</f>
        <v>95</v>
      </c>
      <c r="O4762" s="7" t="str">
        <f aca="false">IF(B4762="TV Show",IFERROR(VALUE(LEFT(I4762,FIND(" ",I4762)-1)),""),"")</f>
        <v/>
      </c>
      <c r="P4762" s="7" t="n">
        <f aca="false">IF(K4762="","",K4762-G4762)</f>
        <v>1</v>
      </c>
    </row>
    <row r="4763" customFormat="false" ht="15" hidden="false" customHeight="false" outlineLevel="0" collapsed="false">
      <c r="A4763" s="7" t="n">
        <v>80044888</v>
      </c>
      <c r="B4763" s="7" t="s">
        <v>68</v>
      </c>
      <c r="C4763" s="7" t="s">
        <v>9671</v>
      </c>
      <c r="D4763" s="7" t="s">
        <v>4401</v>
      </c>
      <c r="E4763" s="7" t="s">
        <v>1269</v>
      </c>
      <c r="F4763" s="7" t="s">
        <v>9672</v>
      </c>
      <c r="G4763" s="7" t="n">
        <v>2015</v>
      </c>
      <c r="H4763" s="7" t="s">
        <v>50</v>
      </c>
      <c r="I4763" s="7" t="s">
        <v>187</v>
      </c>
      <c r="J4763" s="7" t="s">
        <v>217</v>
      </c>
      <c r="K4763" s="7" t="n">
        <f aca="false">IFERROR(VALUE(RIGHT(TRIM(F4763),4)),"")</f>
        <v>2019</v>
      </c>
      <c r="L4763" s="7" t="str">
        <f aca="false">IF(TRIM(E4763)="","Unknown",IFERROR(LEFT(TRIM(E4763),FIND(",",TRIM(E4763))-1),TRIM(E4763)))</f>
        <v>Philippines</v>
      </c>
      <c r="M4763" s="7" t="str">
        <f aca="false">IFERROR(LEFT(J4763,FIND(",",J4763)-1),J4763)</f>
        <v>Comedies</v>
      </c>
      <c r="N4763" s="7" t="n">
        <f aca="false">IF(B4763="Movie",IFERROR(VALUE(LEFT(I4763,FIND(" ",I4763)-1)),""),"")</f>
        <v>114</v>
      </c>
      <c r="O4763" s="7" t="str">
        <f aca="false">IF(B4763="TV Show",IFERROR(VALUE(LEFT(I4763,FIND(" ",I4763)-1)),""),"")</f>
        <v/>
      </c>
      <c r="P4763" s="7" t="n">
        <f aca="false">IF(K4763="","",K4763-G4763)</f>
        <v>4</v>
      </c>
    </row>
    <row r="4764" customFormat="false" ht="15" hidden="false" customHeight="false" outlineLevel="0" collapsed="false">
      <c r="A4764" s="7" t="n">
        <v>80050006</v>
      </c>
      <c r="B4764" s="7" t="s">
        <v>68</v>
      </c>
      <c r="C4764" s="7" t="s">
        <v>9673</v>
      </c>
      <c r="D4764" s="7" t="s">
        <v>3061</v>
      </c>
      <c r="E4764" s="7" t="s">
        <v>26</v>
      </c>
      <c r="F4764" s="7" t="s">
        <v>9672</v>
      </c>
      <c r="G4764" s="7" t="n">
        <v>2015</v>
      </c>
      <c r="H4764" s="7" t="s">
        <v>48</v>
      </c>
      <c r="I4764" s="7" t="s">
        <v>876</v>
      </c>
      <c r="J4764" s="7" t="s">
        <v>45</v>
      </c>
      <c r="K4764" s="7" t="n">
        <f aca="false">IFERROR(VALUE(RIGHT(TRIM(F4764),4)),"")</f>
        <v>2019</v>
      </c>
      <c r="L4764" s="7" t="str">
        <f aca="false">IF(TRIM(E4764)="","Unknown",IFERROR(LEFT(TRIM(E4764),FIND(",",TRIM(E4764))-1),TRIM(E4764)))</f>
        <v>United States</v>
      </c>
      <c r="M4764" s="7" t="str">
        <f aca="false">IFERROR(LEFT(J4764,FIND(",",J4764)-1),J4764)</f>
        <v>Stand-Up Comedy</v>
      </c>
      <c r="N4764" s="7" t="n">
        <f aca="false">IF(B4764="Movie",IFERROR(VALUE(LEFT(I4764,FIND(" ",I4764)-1)),""),"")</f>
        <v>67</v>
      </c>
      <c r="O4764" s="7" t="str">
        <f aca="false">IF(B4764="TV Show",IFERROR(VALUE(LEFT(I4764,FIND(" ",I4764)-1)),""),"")</f>
        <v/>
      </c>
      <c r="P4764" s="7" t="n">
        <f aca="false">IF(K4764="","",K4764-G4764)</f>
        <v>4</v>
      </c>
    </row>
    <row r="4765" customFormat="false" ht="15" hidden="false" customHeight="false" outlineLevel="0" collapsed="false">
      <c r="A4765" s="7" t="n">
        <v>80002621</v>
      </c>
      <c r="B4765" s="7" t="s">
        <v>68</v>
      </c>
      <c r="C4765" s="7" t="s">
        <v>9674</v>
      </c>
      <c r="D4765" s="7" t="s">
        <v>2163</v>
      </c>
      <c r="E4765" s="7" t="s">
        <v>26</v>
      </c>
      <c r="F4765" s="7" t="s">
        <v>9672</v>
      </c>
      <c r="G4765" s="7" t="n">
        <v>2014</v>
      </c>
      <c r="H4765" s="7" t="s">
        <v>53</v>
      </c>
      <c r="I4765" s="7" t="s">
        <v>162</v>
      </c>
      <c r="J4765" s="7" t="s">
        <v>45</v>
      </c>
      <c r="K4765" s="7" t="n">
        <f aca="false">IFERROR(VALUE(RIGHT(TRIM(F4765),4)),"")</f>
        <v>2019</v>
      </c>
      <c r="L4765" s="7" t="str">
        <f aca="false">IF(TRIM(E4765)="","Unknown",IFERROR(LEFT(TRIM(E4765),FIND(",",TRIM(E4765))-1),TRIM(E4765)))</f>
        <v>United States</v>
      </c>
      <c r="M4765" s="7" t="str">
        <f aca="false">IFERROR(LEFT(J4765,FIND(",",J4765)-1),J4765)</f>
        <v>Stand-Up Comedy</v>
      </c>
      <c r="N4765" s="7" t="n">
        <f aca="false">IF(B4765="Movie",IFERROR(VALUE(LEFT(I4765,FIND(" ",I4765)-1)),""),"")</f>
        <v>77</v>
      </c>
      <c r="O4765" s="7" t="str">
        <f aca="false">IF(B4765="TV Show",IFERROR(VALUE(LEFT(I4765,FIND(" ",I4765)-1)),""),"")</f>
        <v/>
      </c>
      <c r="P4765" s="7" t="n">
        <f aca="false">IF(K4765="","",K4765-G4765)</f>
        <v>5</v>
      </c>
    </row>
    <row r="4766" customFormat="false" ht="15" hidden="false" customHeight="false" outlineLevel="0" collapsed="false">
      <c r="A4766" s="7" t="n">
        <v>81145273</v>
      </c>
      <c r="B4766" s="7" t="s">
        <v>68</v>
      </c>
      <c r="C4766" s="7" t="s">
        <v>9675</v>
      </c>
      <c r="D4766" s="7" t="s">
        <v>5398</v>
      </c>
      <c r="E4766" s="7" t="s">
        <v>26</v>
      </c>
      <c r="F4766" s="7" t="s">
        <v>9672</v>
      </c>
      <c r="G4766" s="7" t="n">
        <v>2018</v>
      </c>
      <c r="H4766" s="7" t="s">
        <v>48</v>
      </c>
      <c r="I4766" s="7" t="s">
        <v>613</v>
      </c>
      <c r="J4766" s="7" t="s">
        <v>177</v>
      </c>
      <c r="K4766" s="7" t="n">
        <f aca="false">IFERROR(VALUE(RIGHT(TRIM(F4766),4)),"")</f>
        <v>2019</v>
      </c>
      <c r="L4766" s="7" t="str">
        <f aca="false">IF(TRIM(E4766)="","Unknown",IFERROR(LEFT(TRIM(E4766),FIND(",",TRIM(E4766))-1),TRIM(E4766)))</f>
        <v>United States</v>
      </c>
      <c r="M4766" s="7" t="str">
        <f aca="false">IFERROR(LEFT(J4766,FIND(",",J4766)-1),J4766)</f>
        <v>Comedies</v>
      </c>
      <c r="N4766" s="7" t="n">
        <f aca="false">IF(B4766="Movie",IFERROR(VALUE(LEFT(I4766,FIND(" ",I4766)-1)),""),"")</f>
        <v>84</v>
      </c>
      <c r="O4766" s="7" t="str">
        <f aca="false">IF(B4766="TV Show",IFERROR(VALUE(LEFT(I4766,FIND(" ",I4766)-1)),""),"")</f>
        <v/>
      </c>
      <c r="P4766" s="7" t="n">
        <f aca="false">IF(K4766="","",K4766-G4766)</f>
        <v>1</v>
      </c>
    </row>
    <row r="4767" customFormat="false" ht="15" hidden="false" customHeight="false" outlineLevel="0" collapsed="false">
      <c r="A4767" s="7" t="n">
        <v>81047680</v>
      </c>
      <c r="B4767" s="7" t="s">
        <v>68</v>
      </c>
      <c r="C4767" s="7" t="s">
        <v>9676</v>
      </c>
      <c r="D4767" s="7" t="s">
        <v>9677</v>
      </c>
      <c r="E4767" s="7" t="s">
        <v>26</v>
      </c>
      <c r="F4767" s="7" t="s">
        <v>9672</v>
      </c>
      <c r="G4767" s="7" t="n">
        <v>2018</v>
      </c>
      <c r="H4767" s="7" t="s">
        <v>48</v>
      </c>
      <c r="I4767" s="7" t="s">
        <v>820</v>
      </c>
      <c r="J4767" s="7" t="s">
        <v>1085</v>
      </c>
      <c r="K4767" s="7" t="n">
        <f aca="false">IFERROR(VALUE(RIGHT(TRIM(F4767),4)),"")</f>
        <v>2019</v>
      </c>
      <c r="L4767" s="7" t="str">
        <f aca="false">IF(TRIM(E4767)="","Unknown",IFERROR(LEFT(TRIM(E4767),FIND(",",TRIM(E4767))-1),TRIM(E4767)))</f>
        <v>United States</v>
      </c>
      <c r="M4767" s="7" t="str">
        <f aca="false">IFERROR(LEFT(J4767,FIND(",",J4767)-1),J4767)</f>
        <v>Documentaries</v>
      </c>
      <c r="N4767" s="7" t="n">
        <f aca="false">IF(B4767="Movie",IFERROR(VALUE(LEFT(I4767,FIND(" ",I4767)-1)),""),"")</f>
        <v>105</v>
      </c>
      <c r="O4767" s="7" t="str">
        <f aca="false">IF(B4767="TV Show",IFERROR(VALUE(LEFT(I4767,FIND(" ",I4767)-1)),""),"")</f>
        <v/>
      </c>
      <c r="P4767" s="7" t="n">
        <f aca="false">IF(K4767="","",K4767-G4767)</f>
        <v>1</v>
      </c>
    </row>
    <row r="4768" customFormat="false" ht="15" hidden="false" customHeight="false" outlineLevel="0" collapsed="false">
      <c r="A4768" s="7" t="n">
        <v>81001278</v>
      </c>
      <c r="B4768" s="7" t="s">
        <v>68</v>
      </c>
      <c r="C4768" s="7" t="s">
        <v>9678</v>
      </c>
      <c r="D4768" s="7" t="s">
        <v>9679</v>
      </c>
      <c r="E4768" s="7" t="s">
        <v>26</v>
      </c>
      <c r="F4768" s="7" t="s">
        <v>9672</v>
      </c>
      <c r="G4768" s="7" t="n">
        <v>2016</v>
      </c>
      <c r="H4768" s="7" t="s">
        <v>48</v>
      </c>
      <c r="I4768" s="7" t="s">
        <v>551</v>
      </c>
      <c r="J4768" s="7" t="s">
        <v>45</v>
      </c>
      <c r="K4768" s="7" t="n">
        <f aca="false">IFERROR(VALUE(RIGHT(TRIM(F4768),4)),"")</f>
        <v>2019</v>
      </c>
      <c r="L4768" s="7" t="str">
        <f aca="false">IF(TRIM(E4768)="","Unknown",IFERROR(LEFT(TRIM(E4768),FIND(",",TRIM(E4768))-1),TRIM(E4768)))</f>
        <v>United States</v>
      </c>
      <c r="M4768" s="7" t="str">
        <f aca="false">IFERROR(LEFT(J4768,FIND(",",J4768)-1),J4768)</f>
        <v>Stand-Up Comedy</v>
      </c>
      <c r="N4768" s="7" t="n">
        <f aca="false">IF(B4768="Movie",IFERROR(VALUE(LEFT(I4768,FIND(" ",I4768)-1)),""),"")</f>
        <v>63</v>
      </c>
      <c r="O4768" s="7" t="str">
        <f aca="false">IF(B4768="TV Show",IFERROR(VALUE(LEFT(I4768,FIND(" ",I4768)-1)),""),"")</f>
        <v/>
      </c>
      <c r="P4768" s="7" t="n">
        <f aca="false">IF(K4768="","",K4768-G4768)</f>
        <v>3</v>
      </c>
    </row>
    <row r="4769" customFormat="false" ht="15" hidden="false" customHeight="false" outlineLevel="0" collapsed="false">
      <c r="A4769" s="7" t="n">
        <v>80164979</v>
      </c>
      <c r="B4769" s="7" t="s">
        <v>68</v>
      </c>
      <c r="C4769" s="7" t="s">
        <v>9680</v>
      </c>
      <c r="F4769" s="7" t="s">
        <v>9681</v>
      </c>
      <c r="G4769" s="7" t="n">
        <v>2014</v>
      </c>
      <c r="H4769" s="7" t="s">
        <v>119</v>
      </c>
      <c r="I4769" s="7" t="s">
        <v>1727</v>
      </c>
      <c r="J4769" s="7" t="s">
        <v>10</v>
      </c>
      <c r="K4769" s="7" t="n">
        <f aca="false">IFERROR(VALUE(RIGHT(TRIM(F4769),4)),"")</f>
        <v>2017</v>
      </c>
      <c r="L4769" s="7" t="str">
        <f aca="false">IF(TRIM(E4769)="","Unknown",IFERROR(LEFT(TRIM(E4769),FIND(",",TRIM(E4769))-1),TRIM(E4769)))</f>
        <v>Unknown</v>
      </c>
      <c r="M4769" s="7" t="str">
        <f aca="false">IFERROR(LEFT(J4769,FIND(",",J4769)-1),J4769)</f>
        <v>Movies</v>
      </c>
      <c r="N4769" s="7" t="n">
        <f aca="false">IF(B4769="Movie",IFERROR(VALUE(LEFT(I4769,FIND(" ",I4769)-1)),""),"")</f>
        <v>22</v>
      </c>
      <c r="O4769" s="7" t="str">
        <f aca="false">IF(B4769="TV Show",IFERROR(VALUE(LEFT(I4769,FIND(" ",I4769)-1)),""),"")</f>
        <v/>
      </c>
      <c r="P4769" s="7" t="n">
        <f aca="false">IF(K4769="","",K4769-G4769)</f>
        <v>3</v>
      </c>
    </row>
    <row r="4770" customFormat="false" ht="15" hidden="false" customHeight="false" outlineLevel="0" collapsed="false">
      <c r="A4770" s="7" t="n">
        <v>80165221</v>
      </c>
      <c r="B4770" s="7" t="s">
        <v>68</v>
      </c>
      <c r="C4770" s="7" t="s">
        <v>9682</v>
      </c>
      <c r="D4770" s="7" t="s">
        <v>9683</v>
      </c>
      <c r="E4770" s="7" t="s">
        <v>26</v>
      </c>
      <c r="F4770" s="7" t="s">
        <v>9681</v>
      </c>
      <c r="G4770" s="7" t="n">
        <v>2015</v>
      </c>
      <c r="H4770" s="7" t="s">
        <v>55</v>
      </c>
      <c r="I4770" s="7" t="s">
        <v>1727</v>
      </c>
      <c r="J4770" s="7" t="s">
        <v>42</v>
      </c>
      <c r="K4770" s="7" t="n">
        <f aca="false">IFERROR(VALUE(RIGHT(TRIM(F4770),4)),"")</f>
        <v>2017</v>
      </c>
      <c r="L4770" s="7" t="str">
        <f aca="false">IF(TRIM(E4770)="","Unknown",IFERROR(LEFT(TRIM(E4770),FIND(",",TRIM(E4770))-1),TRIM(E4770)))</f>
        <v>United States</v>
      </c>
      <c r="M4770" s="7" t="str">
        <f aca="false">IFERROR(LEFT(J4770,FIND(",",J4770)-1),J4770)</f>
        <v>Children &amp; Family Movies</v>
      </c>
      <c r="N4770" s="7" t="n">
        <f aca="false">IF(B4770="Movie",IFERROR(VALUE(LEFT(I4770,FIND(" ",I4770)-1)),""),"")</f>
        <v>22</v>
      </c>
      <c r="O4770" s="7" t="str">
        <f aca="false">IF(B4770="TV Show",IFERROR(VALUE(LEFT(I4770,FIND(" ",I4770)-1)),""),"")</f>
        <v/>
      </c>
      <c r="P4770" s="7" t="n">
        <f aca="false">IF(K4770="","",K4770-G4770)</f>
        <v>2</v>
      </c>
    </row>
    <row r="4771" customFormat="false" ht="15" hidden="false" customHeight="false" outlineLevel="0" collapsed="false">
      <c r="A4771" s="7" t="n">
        <v>81035838</v>
      </c>
      <c r="B4771" s="7" t="s">
        <v>68</v>
      </c>
      <c r="C4771" s="7" t="s">
        <v>9684</v>
      </c>
      <c r="F4771" s="7" t="s">
        <v>9685</v>
      </c>
      <c r="G4771" s="7" t="n">
        <v>2017</v>
      </c>
      <c r="H4771" s="7" t="s">
        <v>49</v>
      </c>
      <c r="I4771" s="7" t="s">
        <v>77</v>
      </c>
      <c r="J4771" s="7" t="s">
        <v>202</v>
      </c>
      <c r="K4771" s="7" t="n">
        <f aca="false">IFERROR(VALUE(RIGHT(TRIM(F4771),4)),"")</f>
        <v>2019</v>
      </c>
      <c r="L4771" s="7" t="str">
        <f aca="false">IF(TRIM(E4771)="","Unknown",IFERROR(LEFT(TRIM(E4771),FIND(",",TRIM(E4771))-1),TRIM(E4771)))</f>
        <v>Unknown</v>
      </c>
      <c r="M4771" s="7" t="str">
        <f aca="false">IFERROR(LEFT(J4771,FIND(",",J4771)-1),J4771)</f>
        <v>Comedies</v>
      </c>
      <c r="N4771" s="7" t="n">
        <f aca="false">IF(B4771="Movie",IFERROR(VALUE(LEFT(I4771,FIND(" ",I4771)-1)),""),"")</f>
        <v>94</v>
      </c>
      <c r="O4771" s="7" t="str">
        <f aca="false">IF(B4771="TV Show",IFERROR(VALUE(LEFT(I4771,FIND(" ",I4771)-1)),""),"")</f>
        <v/>
      </c>
      <c r="P4771" s="7" t="n">
        <f aca="false">IF(K4771="","",K4771-G4771)</f>
        <v>2</v>
      </c>
    </row>
    <row r="4772" customFormat="false" ht="15" hidden="false" customHeight="false" outlineLevel="0" collapsed="false">
      <c r="A4772" s="7" t="n">
        <v>81035835</v>
      </c>
      <c r="B4772" s="7" t="s">
        <v>68</v>
      </c>
      <c r="C4772" s="7" t="s">
        <v>9686</v>
      </c>
      <c r="D4772" s="7" t="s">
        <v>3524</v>
      </c>
      <c r="E4772" s="7" t="s">
        <v>963</v>
      </c>
      <c r="F4772" s="7" t="s">
        <v>9685</v>
      </c>
      <c r="G4772" s="7" t="n">
        <v>2017</v>
      </c>
      <c r="H4772" s="7" t="s">
        <v>49</v>
      </c>
      <c r="I4772" s="7" t="s">
        <v>87</v>
      </c>
      <c r="J4772" s="7" t="s">
        <v>322</v>
      </c>
      <c r="K4772" s="7" t="n">
        <f aca="false">IFERROR(VALUE(RIGHT(TRIM(F4772),4)),"")</f>
        <v>2019</v>
      </c>
      <c r="L4772" s="7" t="str">
        <f aca="false">IF(TRIM(E4772)="","Unknown",IFERROR(LEFT(TRIM(E4772),FIND(",",TRIM(E4772))-1),TRIM(E4772)))</f>
        <v>Egypt</v>
      </c>
      <c r="M4772" s="7" t="str">
        <f aca="false">IFERROR(LEFT(J4772,FIND(",",J4772)-1),J4772)</f>
        <v>Action &amp; Adventure</v>
      </c>
      <c r="N4772" s="7" t="n">
        <f aca="false">IF(B4772="Movie",IFERROR(VALUE(LEFT(I4772,FIND(" ",I4772)-1)),""),"")</f>
        <v>99</v>
      </c>
      <c r="O4772" s="7" t="str">
        <f aca="false">IF(B4772="TV Show",IFERROR(VALUE(LEFT(I4772,FIND(" ",I4772)-1)),""),"")</f>
        <v/>
      </c>
      <c r="P4772" s="7" t="n">
        <f aca="false">IF(K4772="","",K4772-G4772)</f>
        <v>2</v>
      </c>
    </row>
    <row r="4773" customFormat="false" ht="15" hidden="false" customHeight="false" outlineLevel="0" collapsed="false">
      <c r="A4773" s="7" t="n">
        <v>81143771</v>
      </c>
      <c r="B4773" s="7" t="s">
        <v>68</v>
      </c>
      <c r="C4773" s="7" t="s">
        <v>9687</v>
      </c>
      <c r="D4773" s="7" t="s">
        <v>9688</v>
      </c>
      <c r="E4773" s="7" t="s">
        <v>2367</v>
      </c>
      <c r="F4773" s="7" t="s">
        <v>9685</v>
      </c>
      <c r="G4773" s="7" t="n">
        <v>2019</v>
      </c>
      <c r="H4773" s="7" t="s">
        <v>48</v>
      </c>
      <c r="I4773" s="7" t="s">
        <v>1757</v>
      </c>
      <c r="J4773" s="7" t="s">
        <v>341</v>
      </c>
      <c r="K4773" s="7" t="n">
        <f aca="false">IFERROR(VALUE(RIGHT(TRIM(F4773),4)),"")</f>
        <v>2019</v>
      </c>
      <c r="L4773" s="7" t="str">
        <f aca="false">IF(TRIM(E4773)="","Unknown",IFERROR(LEFT(TRIM(E4773),FIND(",",TRIM(E4773))-1),TRIM(E4773)))</f>
        <v>United States</v>
      </c>
      <c r="M4773" s="7" t="str">
        <f aca="false">IFERROR(LEFT(J4773,FIND(",",J4773)-1),J4773)</f>
        <v>Documentaries</v>
      </c>
      <c r="N4773" s="7" t="n">
        <f aca="false">IF(B4773="Movie",IFERROR(VALUE(LEFT(I4773,FIND(" ",I4773)-1)),""),"")</f>
        <v>59</v>
      </c>
      <c r="O4773" s="7" t="str">
        <f aca="false">IF(B4773="TV Show",IFERROR(VALUE(LEFT(I4773,FIND(" ",I4773)-1)),""),"")</f>
        <v/>
      </c>
      <c r="P4773" s="7" t="n">
        <f aca="false">IF(K4773="","",K4773-G4773)</f>
        <v>0</v>
      </c>
    </row>
    <row r="4774" customFormat="false" ht="15" hidden="false" customHeight="false" outlineLevel="0" collapsed="false">
      <c r="A4774" s="7" t="n">
        <v>80208295</v>
      </c>
      <c r="B4774" s="7" t="s">
        <v>68</v>
      </c>
      <c r="C4774" s="7" t="s">
        <v>9689</v>
      </c>
      <c r="D4774" s="7" t="s">
        <v>9690</v>
      </c>
      <c r="E4774" s="7" t="s">
        <v>34</v>
      </c>
      <c r="F4774" s="7" t="s">
        <v>9685</v>
      </c>
      <c r="G4774" s="7" t="n">
        <v>2017</v>
      </c>
      <c r="H4774" s="7" t="s">
        <v>48</v>
      </c>
      <c r="I4774" s="7" t="s">
        <v>181</v>
      </c>
      <c r="J4774" s="7" t="s">
        <v>304</v>
      </c>
      <c r="K4774" s="7" t="n">
        <f aca="false">IFERROR(VALUE(RIGHT(TRIM(F4774),4)),"")</f>
        <v>2019</v>
      </c>
      <c r="L4774" s="7" t="str">
        <f aca="false">IF(TRIM(E4774)="","Unknown",IFERROR(LEFT(TRIM(E4774),FIND(",",TRIM(E4774))-1),TRIM(E4774)))</f>
        <v>Mexico</v>
      </c>
      <c r="M4774" s="7" t="str">
        <f aca="false">IFERROR(LEFT(J4774,FIND(",",J4774)-1),J4774)</f>
        <v>Dramas</v>
      </c>
      <c r="N4774" s="7" t="n">
        <f aca="false">IF(B4774="Movie",IFERROR(VALUE(LEFT(I4774,FIND(" ",I4774)-1)),""),"")</f>
        <v>102</v>
      </c>
      <c r="O4774" s="7" t="str">
        <f aca="false">IF(B4774="TV Show",IFERROR(VALUE(LEFT(I4774,FIND(" ",I4774)-1)),""),"")</f>
        <v/>
      </c>
      <c r="P4774" s="7" t="n">
        <f aca="false">IF(K4774="","",K4774-G4774)</f>
        <v>2</v>
      </c>
    </row>
    <row r="4775" customFormat="false" ht="15" hidden="false" customHeight="false" outlineLevel="0" collapsed="false">
      <c r="A4775" s="7" t="n">
        <v>81000509</v>
      </c>
      <c r="B4775" s="7" t="s">
        <v>78</v>
      </c>
      <c r="C4775" s="7" t="s">
        <v>9691</v>
      </c>
      <c r="E4775" s="7" t="s">
        <v>970</v>
      </c>
      <c r="F4775" s="7" t="s">
        <v>9692</v>
      </c>
      <c r="G4775" s="7" t="n">
        <v>2018</v>
      </c>
      <c r="H4775" s="7" t="s">
        <v>49</v>
      </c>
      <c r="I4775" s="7" t="s">
        <v>82</v>
      </c>
      <c r="J4775" s="7" t="s">
        <v>3308</v>
      </c>
      <c r="K4775" s="7" t="n">
        <f aca="false">IFERROR(VALUE(RIGHT(TRIM(F4775),4)),"")</f>
        <v>2018</v>
      </c>
      <c r="L4775" s="7" t="str">
        <f aca="false">IF(TRIM(E4775)="","Unknown",IFERROR(LEFT(TRIM(E4775),FIND(",",TRIM(E4775))-1),TRIM(E4775)))</f>
        <v>Taiwan</v>
      </c>
      <c r="M4775" s="7" t="str">
        <f aca="false">IFERROR(LEFT(J4775,FIND(",",J4775)-1),J4775)</f>
        <v>International TV Shows</v>
      </c>
      <c r="N4775" s="7" t="str">
        <f aca="false">IF(B4775="Movie",IFERROR(VALUE(LEFT(I4775,FIND(" ",I4775)-1)),""),"")</f>
        <v/>
      </c>
      <c r="O4775" s="7" t="n">
        <f aca="false">IF(B4775="TV Show",IFERROR(VALUE(LEFT(I4775,FIND(" ",I4775)-1)),""),"")</f>
        <v>1</v>
      </c>
      <c r="P4775" s="7" t="n">
        <f aca="false">IF(K4775="","",K4775-G4775)</f>
        <v>0</v>
      </c>
    </row>
    <row r="4776" customFormat="false" ht="15" hidden="false" customHeight="false" outlineLevel="0" collapsed="false">
      <c r="A4776" s="7" t="n">
        <v>80138681</v>
      </c>
      <c r="B4776" s="7" t="s">
        <v>68</v>
      </c>
      <c r="C4776" s="7" t="s">
        <v>9693</v>
      </c>
      <c r="D4776" s="7" t="s">
        <v>9694</v>
      </c>
      <c r="E4776" s="7" t="s">
        <v>9695</v>
      </c>
      <c r="F4776" s="7" t="s">
        <v>9696</v>
      </c>
      <c r="G4776" s="7" t="n">
        <v>2016</v>
      </c>
      <c r="H4776" s="7" t="s">
        <v>52</v>
      </c>
      <c r="I4776" s="7" t="s">
        <v>820</v>
      </c>
      <c r="J4776" s="7" t="s">
        <v>367</v>
      </c>
      <c r="K4776" s="7" t="n">
        <f aca="false">IFERROR(VALUE(RIGHT(TRIM(F4776),4)),"")</f>
        <v>2017</v>
      </c>
      <c r="L4776" s="7" t="str">
        <f aca="false">IF(TRIM(E4776)="","Unknown",IFERROR(LEFT(TRIM(E4776),FIND(",",TRIM(E4776))-1),TRIM(E4776)))</f>
        <v>France</v>
      </c>
      <c r="M4776" s="7" t="str">
        <f aca="false">IFERROR(LEFT(J4776,FIND(",",J4776)-1),J4776)</f>
        <v>Action &amp; Adventure</v>
      </c>
      <c r="N4776" s="7" t="n">
        <f aca="false">IF(B4776="Movie",IFERROR(VALUE(LEFT(I4776,FIND(" ",I4776)-1)),""),"")</f>
        <v>105</v>
      </c>
      <c r="O4776" s="7" t="str">
        <f aca="false">IF(B4776="TV Show",IFERROR(VALUE(LEFT(I4776,FIND(" ",I4776)-1)),""),"")</f>
        <v/>
      </c>
      <c r="P4776" s="7" t="n">
        <f aca="false">IF(K4776="","",K4776-G4776)</f>
        <v>1</v>
      </c>
    </row>
    <row r="4777" customFormat="false" ht="15" hidden="false" customHeight="false" outlineLevel="0" collapsed="false">
      <c r="A4777" s="7" t="n">
        <v>80167488</v>
      </c>
      <c r="B4777" s="7" t="s">
        <v>68</v>
      </c>
      <c r="C4777" s="7" t="s">
        <v>9697</v>
      </c>
      <c r="D4777" s="7" t="s">
        <v>9698</v>
      </c>
      <c r="E4777" s="7" t="s">
        <v>411</v>
      </c>
      <c r="F4777" s="7" t="s">
        <v>9696</v>
      </c>
      <c r="G4777" s="7" t="n">
        <v>2016</v>
      </c>
      <c r="H4777" s="7" t="s">
        <v>51</v>
      </c>
      <c r="I4777" s="7" t="s">
        <v>512</v>
      </c>
      <c r="J4777" s="7" t="s">
        <v>40</v>
      </c>
      <c r="K4777" s="7" t="n">
        <f aca="false">IFERROR(VALUE(RIGHT(TRIM(F4777),4)),"")</f>
        <v>2017</v>
      </c>
      <c r="L4777" s="7" t="str">
        <f aca="false">IF(TRIM(E4777)="","Unknown",IFERROR(LEFT(TRIM(E4777),FIND(",",TRIM(E4777))-1),TRIM(E4777)))</f>
        <v>Hong Kong</v>
      </c>
      <c r="M4777" s="7" t="str">
        <f aca="false">IFERROR(LEFT(J4777,FIND(",",J4777)-1),J4777)</f>
        <v>Action &amp; Adventure</v>
      </c>
      <c r="N4777" s="7" t="n">
        <f aca="false">IF(B4777="Movie",IFERROR(VALUE(LEFT(I4777,FIND(" ",I4777)-1)),""),"")</f>
        <v>101</v>
      </c>
      <c r="O4777" s="7" t="str">
        <f aca="false">IF(B4777="TV Show",IFERROR(VALUE(LEFT(I4777,FIND(" ",I4777)-1)),""),"")</f>
        <v/>
      </c>
      <c r="P4777" s="7" t="n">
        <f aca="false">IF(K4777="","",K4777-G4777)</f>
        <v>1</v>
      </c>
    </row>
    <row r="4778" customFormat="false" ht="15" hidden="false" customHeight="false" outlineLevel="0" collapsed="false">
      <c r="A4778" s="7" t="n">
        <v>80142222</v>
      </c>
      <c r="B4778" s="7" t="s">
        <v>68</v>
      </c>
      <c r="C4778" s="7" t="s">
        <v>9699</v>
      </c>
      <c r="D4778" s="7" t="s">
        <v>2626</v>
      </c>
      <c r="E4778" s="7" t="s">
        <v>2476</v>
      </c>
      <c r="F4778" s="7" t="s">
        <v>9696</v>
      </c>
      <c r="G4778" s="7" t="n">
        <v>2016</v>
      </c>
      <c r="H4778" s="7" t="s">
        <v>48</v>
      </c>
      <c r="I4778" s="7" t="s">
        <v>549</v>
      </c>
      <c r="J4778" s="7" t="s">
        <v>322</v>
      </c>
      <c r="K4778" s="7" t="n">
        <f aca="false">IFERROR(VALUE(RIGHT(TRIM(F4778),4)),"")</f>
        <v>2017</v>
      </c>
      <c r="L4778" s="7" t="str">
        <f aca="false">IF(TRIM(E4778)="","Unknown",IFERROR(LEFT(TRIM(E4778),FIND(",",TRIM(E4778))-1),TRIM(E4778)))</f>
        <v>China</v>
      </c>
      <c r="M4778" s="7" t="str">
        <f aca="false">IFERROR(LEFT(J4778,FIND(",",J4778)-1),J4778)</f>
        <v>Action &amp; Adventure</v>
      </c>
      <c r="N4778" s="7" t="n">
        <f aca="false">IF(B4778="Movie",IFERROR(VALUE(LEFT(I4778,FIND(" ",I4778)-1)),""),"")</f>
        <v>124</v>
      </c>
      <c r="O4778" s="7" t="str">
        <f aca="false">IF(B4778="TV Show",IFERROR(VALUE(LEFT(I4778,FIND(" ",I4778)-1)),""),"")</f>
        <v/>
      </c>
      <c r="P4778" s="7" t="n">
        <f aca="false">IF(K4778="","",K4778-G4778)</f>
        <v>1</v>
      </c>
    </row>
    <row r="4779" customFormat="false" ht="15" hidden="false" customHeight="false" outlineLevel="0" collapsed="false">
      <c r="A4779" s="7" t="n">
        <v>80156927</v>
      </c>
      <c r="B4779" s="7" t="s">
        <v>68</v>
      </c>
      <c r="C4779" s="7" t="s">
        <v>9700</v>
      </c>
      <c r="D4779" s="7" t="s">
        <v>9701</v>
      </c>
      <c r="E4779" s="7" t="s">
        <v>2476</v>
      </c>
      <c r="F4779" s="7" t="s">
        <v>9696</v>
      </c>
      <c r="G4779" s="7" t="n">
        <v>2016</v>
      </c>
      <c r="H4779" s="7" t="s">
        <v>48</v>
      </c>
      <c r="I4779" s="7" t="s">
        <v>205</v>
      </c>
      <c r="J4779" s="7" t="s">
        <v>322</v>
      </c>
      <c r="K4779" s="7" t="n">
        <f aca="false">IFERROR(VALUE(RIGHT(TRIM(F4779),4)),"")</f>
        <v>2017</v>
      </c>
      <c r="L4779" s="7" t="str">
        <f aca="false">IF(TRIM(E4779)="","Unknown",IFERROR(LEFT(TRIM(E4779),FIND(",",TRIM(E4779))-1),TRIM(E4779)))</f>
        <v>China</v>
      </c>
      <c r="M4779" s="7" t="str">
        <f aca="false">IFERROR(LEFT(J4779,FIND(",",J4779)-1),J4779)</f>
        <v>Action &amp; Adventure</v>
      </c>
      <c r="N4779" s="7" t="n">
        <f aca="false">IF(B4779="Movie",IFERROR(VALUE(LEFT(I4779,FIND(" ",I4779)-1)),""),"")</f>
        <v>100</v>
      </c>
      <c r="O4779" s="7" t="str">
        <f aca="false">IF(B4779="TV Show",IFERROR(VALUE(LEFT(I4779,FIND(" ",I4779)-1)),""),"")</f>
        <v/>
      </c>
      <c r="P4779" s="7" t="n">
        <f aca="false">IF(K4779="","",K4779-G4779)</f>
        <v>1</v>
      </c>
    </row>
    <row r="4780" customFormat="false" ht="15" hidden="false" customHeight="false" outlineLevel="0" collapsed="false">
      <c r="A4780" s="7" t="n">
        <v>80108759</v>
      </c>
      <c r="B4780" s="7" t="s">
        <v>68</v>
      </c>
      <c r="C4780" s="7" t="s">
        <v>9702</v>
      </c>
      <c r="D4780" s="7" t="s">
        <v>9703</v>
      </c>
      <c r="E4780" s="7" t="s">
        <v>26</v>
      </c>
      <c r="F4780" s="7" t="s">
        <v>9704</v>
      </c>
      <c r="G4780" s="7" t="n">
        <v>2016</v>
      </c>
      <c r="H4780" s="7" t="s">
        <v>48</v>
      </c>
      <c r="I4780" s="7" t="s">
        <v>1191</v>
      </c>
      <c r="J4780" s="7" t="s">
        <v>45</v>
      </c>
      <c r="K4780" s="7" t="n">
        <f aca="false">IFERROR(VALUE(RIGHT(TRIM(F4780),4)),"")</f>
        <v>2016</v>
      </c>
      <c r="L4780" s="7" t="str">
        <f aca="false">IF(TRIM(E4780)="","Unknown",IFERROR(LEFT(TRIM(E4780),FIND(",",TRIM(E4780))-1),TRIM(E4780)))</f>
        <v>United States</v>
      </c>
      <c r="M4780" s="7" t="str">
        <f aca="false">IFERROR(LEFT(J4780,FIND(",",J4780)-1),J4780)</f>
        <v>Stand-Up Comedy</v>
      </c>
      <c r="N4780" s="7" t="n">
        <f aca="false">IF(B4780="Movie",IFERROR(VALUE(LEFT(I4780,FIND(" ",I4780)-1)),""),"")</f>
        <v>73</v>
      </c>
      <c r="O4780" s="7" t="str">
        <f aca="false">IF(B4780="TV Show",IFERROR(VALUE(LEFT(I4780,FIND(" ",I4780)-1)),""),"")</f>
        <v/>
      </c>
      <c r="P4780" s="7" t="n">
        <f aca="false">IF(K4780="","",K4780-G4780)</f>
        <v>0</v>
      </c>
    </row>
    <row r="4781" customFormat="false" ht="15" hidden="false" customHeight="false" outlineLevel="0" collapsed="false">
      <c r="A4781" s="7" t="n">
        <v>80057578</v>
      </c>
      <c r="B4781" s="7" t="s">
        <v>68</v>
      </c>
      <c r="C4781" s="7" t="s">
        <v>9705</v>
      </c>
      <c r="D4781" s="7" t="s">
        <v>9706</v>
      </c>
      <c r="E4781" s="7" t="s">
        <v>31</v>
      </c>
      <c r="F4781" s="7" t="s">
        <v>9704</v>
      </c>
      <c r="G4781" s="7" t="n">
        <v>2016</v>
      </c>
      <c r="H4781" s="7" t="s">
        <v>54</v>
      </c>
      <c r="I4781" s="7" t="s">
        <v>294</v>
      </c>
      <c r="J4781" s="7" t="s">
        <v>42</v>
      </c>
      <c r="K4781" s="7" t="n">
        <f aca="false">IFERROR(VALUE(RIGHT(TRIM(F4781),4)),"")</f>
        <v>2016</v>
      </c>
      <c r="L4781" s="7" t="str">
        <f aca="false">IF(TRIM(E4781)="","Unknown",IFERROR(LEFT(TRIM(E4781),FIND(",",TRIM(E4781))-1),TRIM(E4781)))</f>
        <v>France</v>
      </c>
      <c r="M4781" s="7" t="str">
        <f aca="false">IFERROR(LEFT(J4781,FIND(",",J4781)-1),J4781)</f>
        <v>Children &amp; Family Movies</v>
      </c>
      <c r="N4781" s="7" t="n">
        <f aca="false">IF(B4781="Movie",IFERROR(VALUE(LEFT(I4781,FIND(" ",I4781)-1)),""),"")</f>
        <v>107</v>
      </c>
      <c r="O4781" s="7" t="str">
        <f aca="false">IF(B4781="TV Show",IFERROR(VALUE(LEFT(I4781,FIND(" ",I4781)-1)),""),"")</f>
        <v/>
      </c>
      <c r="P4781" s="7" t="n">
        <f aca="false">IF(K4781="","",K4781-G4781)</f>
        <v>0</v>
      </c>
    </row>
    <row r="4782" customFormat="false" ht="15" hidden="false" customHeight="false" outlineLevel="0" collapsed="false">
      <c r="A4782" s="7" t="n">
        <v>80018296</v>
      </c>
      <c r="B4782" s="7" t="s">
        <v>68</v>
      </c>
      <c r="C4782" s="7" t="s">
        <v>9707</v>
      </c>
      <c r="D4782" s="7" t="s">
        <v>9708</v>
      </c>
      <c r="E4782" s="7" t="s">
        <v>129</v>
      </c>
      <c r="F4782" s="7" t="s">
        <v>9709</v>
      </c>
      <c r="G4782" s="7" t="n">
        <v>2014</v>
      </c>
      <c r="H4782" s="7" t="s">
        <v>54</v>
      </c>
      <c r="I4782" s="7" t="s">
        <v>73</v>
      </c>
      <c r="J4782" s="7" t="s">
        <v>74</v>
      </c>
      <c r="K4782" s="7" t="n">
        <f aca="false">IFERROR(VALUE(RIGHT(TRIM(F4782),4)),"")</f>
        <v>2015</v>
      </c>
      <c r="L4782" s="7" t="str">
        <f aca="false">IF(TRIM(E4782)="","Unknown",IFERROR(LEFT(TRIM(E4782),FIND(",",TRIM(E4782))-1),TRIM(E4782)))</f>
        <v>France</v>
      </c>
      <c r="M4782" s="7" t="str">
        <f aca="false">IFERROR(LEFT(J4782,FIND(",",J4782)-1),J4782)</f>
        <v>Children &amp; Family Movies</v>
      </c>
      <c r="N4782" s="7" t="n">
        <f aca="false">IF(B4782="Movie",IFERROR(VALUE(LEFT(I4782,FIND(" ",I4782)-1)),""),"")</f>
        <v>90</v>
      </c>
      <c r="O4782" s="7" t="str">
        <f aca="false">IF(B4782="TV Show",IFERROR(VALUE(LEFT(I4782,FIND(" ",I4782)-1)),""),"")</f>
        <v/>
      </c>
      <c r="P4782" s="7" t="n">
        <f aca="false">IF(K4782="","",K4782-G4782)</f>
        <v>1</v>
      </c>
    </row>
    <row r="4783" customFormat="false" ht="15" hidden="false" customHeight="false" outlineLevel="0" collapsed="false">
      <c r="A4783" s="7" t="n">
        <v>70303426</v>
      </c>
      <c r="B4783" s="7" t="s">
        <v>68</v>
      </c>
      <c r="C4783" s="7" t="s">
        <v>9710</v>
      </c>
      <c r="D4783" s="7" t="s">
        <v>9711</v>
      </c>
      <c r="E4783" s="7" t="s">
        <v>27</v>
      </c>
      <c r="F4783" s="7" t="s">
        <v>9712</v>
      </c>
      <c r="G4783" s="7" t="n">
        <v>2014</v>
      </c>
      <c r="H4783" s="7" t="s">
        <v>50</v>
      </c>
      <c r="I4783" s="7" t="s">
        <v>1832</v>
      </c>
      <c r="J4783" s="7" t="s">
        <v>217</v>
      </c>
      <c r="K4783" s="7" t="n">
        <f aca="false">IFERROR(VALUE(RIGHT(TRIM(F4783),4)),"")</f>
        <v>2018</v>
      </c>
      <c r="L4783" s="7" t="str">
        <f aca="false">IF(TRIM(E4783)="","Unknown",IFERROR(LEFT(TRIM(E4783),FIND(",",TRIM(E4783))-1),TRIM(E4783)))</f>
        <v>India</v>
      </c>
      <c r="M4783" s="7" t="str">
        <f aca="false">IFERROR(LEFT(J4783,FIND(",",J4783)-1),J4783)</f>
        <v>Comedies</v>
      </c>
      <c r="N4783" s="7" t="n">
        <f aca="false">IF(B4783="Movie",IFERROR(VALUE(LEFT(I4783,FIND(" ",I4783)-1)),""),"")</f>
        <v>143</v>
      </c>
      <c r="O4783" s="7" t="str">
        <f aca="false">IF(B4783="TV Show",IFERROR(VALUE(LEFT(I4783,FIND(" ",I4783)-1)),""),"")</f>
        <v/>
      </c>
      <c r="P4783" s="7" t="n">
        <f aca="false">IF(K4783="","",K4783-G4783)</f>
        <v>4</v>
      </c>
    </row>
    <row r="4784" customFormat="false" ht="15" hidden="false" customHeight="false" outlineLevel="0" collapsed="false">
      <c r="A4784" s="7" t="n">
        <v>80104648</v>
      </c>
      <c r="B4784" s="7" t="s">
        <v>68</v>
      </c>
      <c r="C4784" s="7" t="s">
        <v>9713</v>
      </c>
      <c r="D4784" s="7" t="s">
        <v>9714</v>
      </c>
      <c r="E4784" s="7" t="s">
        <v>27</v>
      </c>
      <c r="F4784" s="7" t="s">
        <v>9712</v>
      </c>
      <c r="G4784" s="7" t="n">
        <v>2016</v>
      </c>
      <c r="H4784" s="7" t="s">
        <v>49</v>
      </c>
      <c r="I4784" s="7" t="s">
        <v>378</v>
      </c>
      <c r="J4784" s="7" t="s">
        <v>322</v>
      </c>
      <c r="K4784" s="7" t="n">
        <f aca="false">IFERROR(VALUE(RIGHT(TRIM(F4784),4)),"")</f>
        <v>2018</v>
      </c>
      <c r="L4784" s="7" t="str">
        <f aca="false">IF(TRIM(E4784)="","Unknown",IFERROR(LEFT(TRIM(E4784),FIND(",",TRIM(E4784))-1),TRIM(E4784)))</f>
        <v>India</v>
      </c>
      <c r="M4784" s="7" t="str">
        <f aca="false">IFERROR(LEFT(J4784,FIND(",",J4784)-1),J4784)</f>
        <v>Action &amp; Adventure</v>
      </c>
      <c r="N4784" s="7" t="n">
        <f aca="false">IF(B4784="Movie",IFERROR(VALUE(LEFT(I4784,FIND(" ",I4784)-1)),""),"")</f>
        <v>127</v>
      </c>
      <c r="O4784" s="7" t="str">
        <f aca="false">IF(B4784="TV Show",IFERROR(VALUE(LEFT(I4784,FIND(" ",I4784)-1)),""),"")</f>
        <v/>
      </c>
      <c r="P4784" s="7" t="n">
        <f aca="false">IF(K4784="","",K4784-G4784)</f>
        <v>2</v>
      </c>
    </row>
    <row r="4785" customFormat="false" ht="15" hidden="false" customHeight="false" outlineLevel="0" collapsed="false">
      <c r="A4785" s="7" t="n">
        <v>80992995</v>
      </c>
      <c r="B4785" s="7" t="s">
        <v>68</v>
      </c>
      <c r="C4785" s="7" t="s">
        <v>9715</v>
      </c>
      <c r="D4785" s="7" t="s">
        <v>9716</v>
      </c>
      <c r="E4785" s="7" t="s">
        <v>27</v>
      </c>
      <c r="F4785" s="7" t="s">
        <v>9712</v>
      </c>
      <c r="G4785" s="7" t="n">
        <v>2018</v>
      </c>
      <c r="H4785" s="7" t="s">
        <v>48</v>
      </c>
      <c r="I4785" s="7" t="s">
        <v>205</v>
      </c>
      <c r="J4785" s="7" t="s">
        <v>217</v>
      </c>
      <c r="K4785" s="7" t="n">
        <f aca="false">IFERROR(VALUE(RIGHT(TRIM(F4785),4)),"")</f>
        <v>2018</v>
      </c>
      <c r="L4785" s="7" t="str">
        <f aca="false">IF(TRIM(E4785)="","Unknown",IFERROR(LEFT(TRIM(E4785),FIND(",",TRIM(E4785))-1),TRIM(E4785)))</f>
        <v>India</v>
      </c>
      <c r="M4785" s="7" t="str">
        <f aca="false">IFERROR(LEFT(J4785,FIND(",",J4785)-1),J4785)</f>
        <v>Comedies</v>
      </c>
      <c r="N4785" s="7" t="n">
        <f aca="false">IF(B4785="Movie",IFERROR(VALUE(LEFT(I4785,FIND(" ",I4785)-1)),""),"")</f>
        <v>100</v>
      </c>
      <c r="O4785" s="7" t="str">
        <f aca="false">IF(B4785="TV Show",IFERROR(VALUE(LEFT(I4785,FIND(" ",I4785)-1)),""),"")</f>
        <v/>
      </c>
      <c r="P4785" s="7" t="n">
        <f aca="false">IF(K4785="","",K4785-G4785)</f>
        <v>0</v>
      </c>
    </row>
    <row r="4786" customFormat="false" ht="15" hidden="false" customHeight="false" outlineLevel="0" collapsed="false">
      <c r="A4786" s="7" t="n">
        <v>80234491</v>
      </c>
      <c r="B4786" s="7" t="s">
        <v>68</v>
      </c>
      <c r="C4786" s="7" t="s">
        <v>9717</v>
      </c>
      <c r="D4786" s="7" t="s">
        <v>9718</v>
      </c>
      <c r="E4786" s="7" t="s">
        <v>9719</v>
      </c>
      <c r="F4786" s="7" t="s">
        <v>9712</v>
      </c>
      <c r="G4786" s="7" t="n">
        <v>2018</v>
      </c>
      <c r="H4786" s="7" t="s">
        <v>50</v>
      </c>
      <c r="I4786" s="7" t="s">
        <v>1221</v>
      </c>
      <c r="J4786" s="7" t="s">
        <v>3001</v>
      </c>
      <c r="K4786" s="7" t="n">
        <f aca="false">IFERROR(VALUE(RIGHT(TRIM(F4786),4)),"")</f>
        <v>2018</v>
      </c>
      <c r="L4786" s="7" t="str">
        <f aca="false">IF(TRIM(E4786)="","Unknown",IFERROR(LEFT(TRIM(E4786),FIND(",",TRIM(E4786))-1),TRIM(E4786)))</f>
        <v>China</v>
      </c>
      <c r="M4786" s="7" t="str">
        <f aca="false">IFERROR(LEFT(J4786,FIND(",",J4786)-1),J4786)</f>
        <v>Anime Features</v>
      </c>
      <c r="N4786" s="7" t="n">
        <f aca="false">IF(B4786="Movie",IFERROR(VALUE(LEFT(I4786,FIND(" ",I4786)-1)),""),"")</f>
        <v>74</v>
      </c>
      <c r="O4786" s="7" t="str">
        <f aca="false">IF(B4786="TV Show",IFERROR(VALUE(LEFT(I4786,FIND(" ",I4786)-1)),""),"")</f>
        <v/>
      </c>
      <c r="P4786" s="7" t="n">
        <f aca="false">IF(K4786="","",K4786-G4786)</f>
        <v>0</v>
      </c>
    </row>
    <row r="4787" customFormat="false" ht="15" hidden="false" customHeight="false" outlineLevel="0" collapsed="false">
      <c r="A4787" s="7" t="n">
        <v>80124724</v>
      </c>
      <c r="B4787" s="7" t="s">
        <v>68</v>
      </c>
      <c r="C4787" s="7" t="s">
        <v>9720</v>
      </c>
      <c r="D4787" s="7" t="s">
        <v>3118</v>
      </c>
      <c r="E4787" s="7" t="s">
        <v>34</v>
      </c>
      <c r="F4787" s="7" t="s">
        <v>9721</v>
      </c>
      <c r="G4787" s="7" t="n">
        <v>2017</v>
      </c>
      <c r="H4787" s="7" t="s">
        <v>48</v>
      </c>
      <c r="I4787" s="7" t="s">
        <v>1028</v>
      </c>
      <c r="J4787" s="7" t="s">
        <v>45</v>
      </c>
      <c r="K4787" s="7" t="n">
        <f aca="false">IFERROR(VALUE(RIGHT(TRIM(F4787),4)),"")</f>
        <v>2017</v>
      </c>
      <c r="L4787" s="7" t="str">
        <f aca="false">IF(TRIM(E4787)="","Unknown",IFERROR(LEFT(TRIM(E4787),FIND(",",TRIM(E4787))-1),TRIM(E4787)))</f>
        <v>Mexico</v>
      </c>
      <c r="M4787" s="7" t="str">
        <f aca="false">IFERROR(LEFT(J4787,FIND(",",J4787)-1),J4787)</f>
        <v>Stand-Up Comedy</v>
      </c>
      <c r="N4787" s="7" t="n">
        <f aca="false">IF(B4787="Movie",IFERROR(VALUE(LEFT(I4787,FIND(" ",I4787)-1)),""),"")</f>
        <v>54</v>
      </c>
      <c r="O4787" s="7" t="str">
        <f aca="false">IF(B4787="TV Show",IFERROR(VALUE(LEFT(I4787,FIND(" ",I4787)-1)),""),"")</f>
        <v/>
      </c>
      <c r="P4787" s="7" t="n">
        <f aca="false">IF(K4787="","",K4787-G4787)</f>
        <v>0</v>
      </c>
    </row>
    <row r="4788" customFormat="false" ht="15" hidden="false" customHeight="false" outlineLevel="0" collapsed="false">
      <c r="A4788" s="7" t="n">
        <v>80194184</v>
      </c>
      <c r="B4788" s="7" t="s">
        <v>78</v>
      </c>
      <c r="C4788" s="7" t="s">
        <v>9722</v>
      </c>
      <c r="E4788" s="7" t="s">
        <v>29</v>
      </c>
      <c r="F4788" s="7" t="s">
        <v>9721</v>
      </c>
      <c r="G4788" s="7" t="n">
        <v>2016</v>
      </c>
      <c r="H4788" s="7" t="s">
        <v>226</v>
      </c>
      <c r="I4788" s="7" t="s">
        <v>82</v>
      </c>
      <c r="J4788" s="7" t="s">
        <v>100</v>
      </c>
      <c r="K4788" s="7" t="n">
        <f aca="false">IFERROR(VALUE(RIGHT(TRIM(F4788),4)),"")</f>
        <v>2017</v>
      </c>
      <c r="L4788" s="7" t="str">
        <f aca="false">IF(TRIM(E4788)="","Unknown",IFERROR(LEFT(TRIM(E4788),FIND(",",TRIM(E4788))-1),TRIM(E4788)))</f>
        <v>Canada</v>
      </c>
      <c r="M4788" s="7" t="str">
        <f aca="false">IFERROR(LEFT(J4788,FIND(",",J4788)-1),J4788)</f>
        <v>Docuseries</v>
      </c>
      <c r="N4788" s="7" t="str">
        <f aca="false">IF(B4788="Movie",IFERROR(VALUE(LEFT(I4788,FIND(" ",I4788)-1)),""),"")</f>
        <v/>
      </c>
      <c r="O4788" s="7" t="n">
        <f aca="false">IF(B4788="TV Show",IFERROR(VALUE(LEFT(I4788,FIND(" ",I4788)-1)),""),"")</f>
        <v>1</v>
      </c>
      <c r="P4788" s="7" t="n">
        <f aca="false">IF(K4788="","",K4788-G4788)</f>
        <v>1</v>
      </c>
    </row>
    <row r="4789" customFormat="false" ht="15" hidden="false" customHeight="false" outlineLevel="0" collapsed="false">
      <c r="A4789" s="7" t="n">
        <v>80168079</v>
      </c>
      <c r="B4789" s="7" t="s">
        <v>68</v>
      </c>
      <c r="C4789" s="7" t="s">
        <v>9723</v>
      </c>
      <c r="D4789" s="7" t="s">
        <v>9724</v>
      </c>
      <c r="E4789" s="7" t="s">
        <v>26</v>
      </c>
      <c r="F4789" s="7" t="s">
        <v>9721</v>
      </c>
      <c r="G4789" s="7" t="n">
        <v>2017</v>
      </c>
      <c r="H4789" s="7" t="s">
        <v>48</v>
      </c>
      <c r="I4789" s="7" t="s">
        <v>505</v>
      </c>
      <c r="J4789" s="7" t="s">
        <v>1085</v>
      </c>
      <c r="K4789" s="7" t="n">
        <f aca="false">IFERROR(VALUE(RIGHT(TRIM(F4789),4)),"")</f>
        <v>2017</v>
      </c>
      <c r="L4789" s="7" t="str">
        <f aca="false">IF(TRIM(E4789)="","Unknown",IFERROR(LEFT(TRIM(E4789),FIND(",",TRIM(E4789))-1),TRIM(E4789)))</f>
        <v>United States</v>
      </c>
      <c r="M4789" s="7" t="str">
        <f aca="false">IFERROR(LEFT(J4789,FIND(",",J4789)-1),J4789)</f>
        <v>Documentaries</v>
      </c>
      <c r="N4789" s="7" t="n">
        <f aca="false">IF(B4789="Movie",IFERROR(VALUE(LEFT(I4789,FIND(" ",I4789)-1)),""),"")</f>
        <v>121</v>
      </c>
      <c r="O4789" s="7" t="str">
        <f aca="false">IF(B4789="TV Show",IFERROR(VALUE(LEFT(I4789,FIND(" ",I4789)-1)),""),"")</f>
        <v/>
      </c>
      <c r="P4789" s="7" t="n">
        <f aca="false">IF(K4789="","",K4789-G4789)</f>
        <v>0</v>
      </c>
    </row>
    <row r="4790" customFormat="false" ht="15" hidden="false" customHeight="false" outlineLevel="0" collapsed="false">
      <c r="A4790" s="7" t="n">
        <v>80155475</v>
      </c>
      <c r="B4790" s="7" t="s">
        <v>68</v>
      </c>
      <c r="C4790" s="7" t="s">
        <v>9725</v>
      </c>
      <c r="D4790" s="7" t="s">
        <v>9726</v>
      </c>
      <c r="E4790" s="7" t="s">
        <v>9727</v>
      </c>
      <c r="F4790" s="7" t="s">
        <v>9721</v>
      </c>
      <c r="G4790" s="7" t="n">
        <v>2017</v>
      </c>
      <c r="H4790" s="7" t="s">
        <v>48</v>
      </c>
      <c r="I4790" s="7" t="s">
        <v>330</v>
      </c>
      <c r="J4790" s="7" t="s">
        <v>977</v>
      </c>
      <c r="K4790" s="7" t="n">
        <f aca="false">IFERROR(VALUE(RIGHT(TRIM(F4790),4)),"")</f>
        <v>2017</v>
      </c>
      <c r="L4790" s="7" t="str">
        <f aca="false">IF(TRIM(E4790)="","Unknown",IFERROR(LEFT(TRIM(E4790),FIND(",",TRIM(E4790))-1),TRIM(E4790)))</f>
        <v>United Kingdom</v>
      </c>
      <c r="M4790" s="7" t="str">
        <f aca="false">IFERROR(LEFT(J4790,FIND(",",J4790)-1),J4790)</f>
        <v>Independent Movies</v>
      </c>
      <c r="N4790" s="7" t="n">
        <f aca="false">IF(B4790="Movie",IFERROR(VALUE(LEFT(I4790,FIND(" ",I4790)-1)),""),"")</f>
        <v>103</v>
      </c>
      <c r="O4790" s="7" t="str">
        <f aca="false">IF(B4790="TV Show",IFERROR(VALUE(LEFT(I4790,FIND(" ",I4790)-1)),""),"")</f>
        <v/>
      </c>
      <c r="P4790" s="7" t="n">
        <f aca="false">IF(K4790="","",K4790-G4790)</f>
        <v>0</v>
      </c>
    </row>
    <row r="4791" customFormat="false" ht="15" hidden="false" customHeight="false" outlineLevel="0" collapsed="false">
      <c r="A4791" s="7" t="n">
        <v>80117800</v>
      </c>
      <c r="B4791" s="7" t="s">
        <v>78</v>
      </c>
      <c r="C4791" s="7" t="s">
        <v>9728</v>
      </c>
      <c r="E4791" s="7" t="s">
        <v>26</v>
      </c>
      <c r="F4791" s="7" t="s">
        <v>9721</v>
      </c>
      <c r="G4791" s="7" t="n">
        <v>2017</v>
      </c>
      <c r="H4791" s="7" t="s">
        <v>48</v>
      </c>
      <c r="I4791" s="7" t="s">
        <v>82</v>
      </c>
      <c r="J4791" s="7" t="s">
        <v>289</v>
      </c>
      <c r="K4791" s="7" t="n">
        <f aca="false">IFERROR(VALUE(RIGHT(TRIM(F4791),4)),"")</f>
        <v>2017</v>
      </c>
      <c r="L4791" s="7" t="str">
        <f aca="false">IF(TRIM(E4791)="","Unknown",IFERROR(LEFT(TRIM(E4791),FIND(",",TRIM(E4791))-1),TRIM(E4791)))</f>
        <v>United States</v>
      </c>
      <c r="M4791" s="7" t="str">
        <f aca="false">IFERROR(LEFT(J4791,FIND(",",J4791)-1),J4791)</f>
        <v>TV Comedies</v>
      </c>
      <c r="N4791" s="7" t="str">
        <f aca="false">IF(B4791="Movie",IFERROR(VALUE(LEFT(I4791,FIND(" ",I4791)-1)),""),"")</f>
        <v/>
      </c>
      <c r="O4791" s="7" t="n">
        <f aca="false">IF(B4791="TV Show",IFERROR(VALUE(LEFT(I4791,FIND(" ",I4791)-1)),""),"")</f>
        <v>1</v>
      </c>
      <c r="P4791" s="7" t="n">
        <f aca="false">IF(K4791="","",K4791-G4791)</f>
        <v>0</v>
      </c>
    </row>
    <row r="4792" customFormat="false" ht="15" hidden="false" customHeight="false" outlineLevel="0" collapsed="false">
      <c r="A4792" s="7" t="n">
        <v>80226089</v>
      </c>
      <c r="B4792" s="7" t="s">
        <v>78</v>
      </c>
      <c r="C4792" s="7" t="s">
        <v>9729</v>
      </c>
      <c r="E4792" s="7" t="s">
        <v>9730</v>
      </c>
      <c r="F4792" s="7" t="s">
        <v>9731</v>
      </c>
      <c r="G4792" s="7" t="n">
        <v>2018</v>
      </c>
      <c r="H4792" s="7" t="s">
        <v>119</v>
      </c>
      <c r="I4792" s="7" t="s">
        <v>82</v>
      </c>
      <c r="J4792" s="7" t="s">
        <v>4493</v>
      </c>
      <c r="K4792" s="7" t="n">
        <f aca="false">IFERROR(VALUE(RIGHT(TRIM(F4792),4)),"")</f>
        <v>2019</v>
      </c>
      <c r="L4792" s="7" t="str">
        <f aca="false">IF(TRIM(E4792)="","Unknown",IFERROR(LEFT(TRIM(E4792),FIND(",",TRIM(E4792))-1),TRIM(E4792)))</f>
        <v>China</v>
      </c>
      <c r="M4792" s="7" t="str">
        <f aca="false">IFERROR(LEFT(J4792,FIND(",",J4792)-1),J4792)</f>
        <v>British TV Shows</v>
      </c>
      <c r="N4792" s="7" t="str">
        <f aca="false">IF(B4792="Movie",IFERROR(VALUE(LEFT(I4792,FIND(" ",I4792)-1)),""),"")</f>
        <v/>
      </c>
      <c r="O4792" s="7" t="n">
        <f aca="false">IF(B4792="TV Show",IFERROR(VALUE(LEFT(I4792,FIND(" ",I4792)-1)),""),"")</f>
        <v>1</v>
      </c>
      <c r="P4792" s="7" t="n">
        <f aca="false">IF(K4792="","",K4792-G4792)</f>
        <v>1</v>
      </c>
    </row>
    <row r="4793" customFormat="false" ht="15" hidden="false" customHeight="false" outlineLevel="0" collapsed="false">
      <c r="A4793" s="7" t="n">
        <v>80150507</v>
      </c>
      <c r="B4793" s="7" t="s">
        <v>78</v>
      </c>
      <c r="C4793" s="7" t="s">
        <v>9732</v>
      </c>
      <c r="E4793" s="7" t="s">
        <v>33</v>
      </c>
      <c r="F4793" s="7" t="s">
        <v>9733</v>
      </c>
      <c r="G4793" s="7" t="n">
        <v>2017</v>
      </c>
      <c r="H4793" s="7" t="s">
        <v>48</v>
      </c>
      <c r="I4793" s="7" t="s">
        <v>82</v>
      </c>
      <c r="J4793" s="7" t="s">
        <v>824</v>
      </c>
      <c r="K4793" s="7" t="n">
        <f aca="false">IFERROR(VALUE(RIGHT(TRIM(F4793),4)),"")</f>
        <v>2018</v>
      </c>
      <c r="L4793" s="7" t="str">
        <f aca="false">IF(TRIM(E4793)="","Unknown",IFERROR(LEFT(TRIM(E4793),FIND(",",TRIM(E4793))-1),TRIM(E4793)))</f>
        <v>Spain</v>
      </c>
      <c r="M4793" s="7" t="str">
        <f aca="false">IFERROR(LEFT(J4793,FIND(",",J4793)-1),J4793)</f>
        <v>International TV Shows</v>
      </c>
      <c r="N4793" s="7" t="str">
        <f aca="false">IF(B4793="Movie",IFERROR(VALUE(LEFT(I4793,FIND(" ",I4793)-1)),""),"")</f>
        <v/>
      </c>
      <c r="O4793" s="7" t="n">
        <f aca="false">IF(B4793="TV Show",IFERROR(VALUE(LEFT(I4793,FIND(" ",I4793)-1)),""),"")</f>
        <v>1</v>
      </c>
      <c r="P4793" s="7" t="n">
        <f aca="false">IF(K4793="","",K4793-G4793)</f>
        <v>1</v>
      </c>
    </row>
    <row r="4794" customFormat="false" ht="15" hidden="false" customHeight="false" outlineLevel="0" collapsed="false">
      <c r="A4794" s="7" t="n">
        <v>70254350</v>
      </c>
      <c r="B4794" s="7" t="s">
        <v>68</v>
      </c>
      <c r="C4794" s="7" t="s">
        <v>9734</v>
      </c>
      <c r="D4794" s="7" t="s">
        <v>8403</v>
      </c>
      <c r="E4794" s="7" t="s">
        <v>27</v>
      </c>
      <c r="F4794" s="7" t="s">
        <v>9733</v>
      </c>
      <c r="G4794" s="7" t="n">
        <v>2013</v>
      </c>
      <c r="H4794" s="7" t="s">
        <v>49</v>
      </c>
      <c r="I4794" s="7" t="s">
        <v>130</v>
      </c>
      <c r="J4794" s="7" t="s">
        <v>139</v>
      </c>
      <c r="K4794" s="7" t="n">
        <f aca="false">IFERROR(VALUE(RIGHT(TRIM(F4794),4)),"")</f>
        <v>2018</v>
      </c>
      <c r="L4794" s="7" t="str">
        <f aca="false">IF(TRIM(E4794)="","Unknown",IFERROR(LEFT(TRIM(E4794),FIND(",",TRIM(E4794))-1),TRIM(E4794)))</f>
        <v>India</v>
      </c>
      <c r="M4794" s="7" t="str">
        <f aca="false">IFERROR(LEFT(J4794,FIND(",",J4794)-1),J4794)</f>
        <v>Action &amp; Adventure</v>
      </c>
      <c r="N4794" s="7" t="n">
        <f aca="false">IF(B4794="Movie",IFERROR(VALUE(LEFT(I4794,FIND(" ",I4794)-1)),""),"")</f>
        <v>135</v>
      </c>
      <c r="O4794" s="7" t="str">
        <f aca="false">IF(B4794="TV Show",IFERROR(VALUE(LEFT(I4794,FIND(" ",I4794)-1)),""),"")</f>
        <v/>
      </c>
      <c r="P4794" s="7" t="n">
        <f aca="false">IF(K4794="","",K4794-G4794)</f>
        <v>5</v>
      </c>
    </row>
    <row r="4795" customFormat="false" ht="15" hidden="false" customHeight="false" outlineLevel="0" collapsed="false">
      <c r="A4795" s="7" t="n">
        <v>80185065</v>
      </c>
      <c r="B4795" s="7" t="s">
        <v>78</v>
      </c>
      <c r="C4795" s="7" t="s">
        <v>9735</v>
      </c>
      <c r="E4795" s="7" t="s">
        <v>1401</v>
      </c>
      <c r="F4795" s="7" t="s">
        <v>9733</v>
      </c>
      <c r="G4795" s="7" t="n">
        <v>2018</v>
      </c>
      <c r="H4795" s="7" t="s">
        <v>48</v>
      </c>
      <c r="I4795" s="7" t="s">
        <v>82</v>
      </c>
      <c r="J4795" s="7" t="s">
        <v>1402</v>
      </c>
      <c r="K4795" s="7" t="n">
        <f aca="false">IFERROR(VALUE(RIGHT(TRIM(F4795),4)),"")</f>
        <v>2018</v>
      </c>
      <c r="L4795" s="7" t="str">
        <f aca="false">IF(TRIM(E4795)="","Unknown",IFERROR(LEFT(TRIM(E4795),FIND(",",TRIM(E4795))-1),TRIM(E4795)))</f>
        <v>United States</v>
      </c>
      <c r="M4795" s="7" t="str">
        <f aca="false">IFERROR(LEFT(J4795,FIND(",",J4795)-1),J4795)</f>
        <v>Crime TV Shows</v>
      </c>
      <c r="N4795" s="7" t="str">
        <f aca="false">IF(B4795="Movie",IFERROR(VALUE(LEFT(I4795,FIND(" ",I4795)-1)),""),"")</f>
        <v/>
      </c>
      <c r="O4795" s="7" t="n">
        <f aca="false">IF(B4795="TV Show",IFERROR(VALUE(LEFT(I4795,FIND(" ",I4795)-1)),""),"")</f>
        <v>1</v>
      </c>
      <c r="P4795" s="7" t="n">
        <f aca="false">IF(K4795="","",K4795-G4795)</f>
        <v>0</v>
      </c>
    </row>
    <row r="4796" customFormat="false" ht="15" hidden="false" customHeight="false" outlineLevel="0" collapsed="false">
      <c r="A4796" s="7" t="n">
        <v>70033611</v>
      </c>
      <c r="B4796" s="7" t="s">
        <v>68</v>
      </c>
      <c r="C4796" s="7" t="s">
        <v>9736</v>
      </c>
      <c r="D4796" s="7" t="s">
        <v>5391</v>
      </c>
      <c r="E4796" s="7" t="s">
        <v>411</v>
      </c>
      <c r="F4796" s="7" t="s">
        <v>9733</v>
      </c>
      <c r="G4796" s="7" t="n">
        <v>1992</v>
      </c>
      <c r="H4796" s="7" t="s">
        <v>49</v>
      </c>
      <c r="I4796" s="7" t="s">
        <v>111</v>
      </c>
      <c r="J4796" s="7" t="s">
        <v>139</v>
      </c>
      <c r="K4796" s="7" t="n">
        <f aca="false">IFERROR(VALUE(RIGHT(TRIM(F4796),4)),"")</f>
        <v>2018</v>
      </c>
      <c r="L4796" s="7" t="str">
        <f aca="false">IF(TRIM(E4796)="","Unknown",IFERROR(LEFT(TRIM(E4796),FIND(",",TRIM(E4796))-1),TRIM(E4796)))</f>
        <v>Hong Kong</v>
      </c>
      <c r="M4796" s="7" t="str">
        <f aca="false">IFERROR(LEFT(J4796,FIND(",",J4796)-1),J4796)</f>
        <v>Action &amp; Adventure</v>
      </c>
      <c r="N4796" s="7" t="n">
        <f aca="false">IF(B4796="Movie",IFERROR(VALUE(LEFT(I4796,FIND(" ",I4796)-1)),""),"")</f>
        <v>95</v>
      </c>
      <c r="O4796" s="7" t="str">
        <f aca="false">IF(B4796="TV Show",IFERROR(VALUE(LEFT(I4796,FIND(" ",I4796)-1)),""),"")</f>
        <v/>
      </c>
      <c r="P4796" s="7" t="n">
        <f aca="false">IF(K4796="","",K4796-G4796)</f>
        <v>26</v>
      </c>
    </row>
    <row r="4797" customFormat="false" ht="15" hidden="false" customHeight="false" outlineLevel="0" collapsed="false">
      <c r="A4797" s="7" t="n">
        <v>80191522</v>
      </c>
      <c r="B4797" s="7" t="s">
        <v>78</v>
      </c>
      <c r="C4797" s="7" t="s">
        <v>9737</v>
      </c>
      <c r="E4797" s="7" t="s">
        <v>26</v>
      </c>
      <c r="F4797" s="7" t="s">
        <v>9733</v>
      </c>
      <c r="G4797" s="7" t="n">
        <v>2018</v>
      </c>
      <c r="H4797" s="7" t="s">
        <v>48</v>
      </c>
      <c r="I4797" s="7" t="s">
        <v>82</v>
      </c>
      <c r="J4797" s="7" t="s">
        <v>289</v>
      </c>
      <c r="K4797" s="7" t="n">
        <f aca="false">IFERROR(VALUE(RIGHT(TRIM(F4797),4)),"")</f>
        <v>2018</v>
      </c>
      <c r="L4797" s="7" t="str">
        <f aca="false">IF(TRIM(E4797)="","Unknown",IFERROR(LEFT(TRIM(E4797),FIND(",",TRIM(E4797))-1),TRIM(E4797)))</f>
        <v>United States</v>
      </c>
      <c r="M4797" s="7" t="str">
        <f aca="false">IFERROR(LEFT(J4797,FIND(",",J4797)-1),J4797)</f>
        <v>TV Comedies</v>
      </c>
      <c r="N4797" s="7" t="str">
        <f aca="false">IF(B4797="Movie",IFERROR(VALUE(LEFT(I4797,FIND(" ",I4797)-1)),""),"")</f>
        <v/>
      </c>
      <c r="O4797" s="7" t="n">
        <f aca="false">IF(B4797="TV Show",IFERROR(VALUE(LEFT(I4797,FIND(" ",I4797)-1)),""),"")</f>
        <v>1</v>
      </c>
      <c r="P4797" s="7" t="n">
        <f aca="false">IF(K4797="","",K4797-G4797)</f>
        <v>0</v>
      </c>
    </row>
    <row r="4798" customFormat="false" ht="15" hidden="false" customHeight="false" outlineLevel="0" collapsed="false">
      <c r="A4798" s="7" t="n">
        <v>80997863</v>
      </c>
      <c r="B4798" s="7" t="s">
        <v>68</v>
      </c>
      <c r="C4798" s="7" t="s">
        <v>9738</v>
      </c>
      <c r="D4798" s="7" t="s">
        <v>9739</v>
      </c>
      <c r="E4798" s="7" t="s">
        <v>411</v>
      </c>
      <c r="F4798" s="7" t="s">
        <v>9733</v>
      </c>
      <c r="G4798" s="7" t="n">
        <v>1984</v>
      </c>
      <c r="H4798" s="7" t="s">
        <v>50</v>
      </c>
      <c r="I4798" s="7" t="s">
        <v>272</v>
      </c>
      <c r="J4798" s="7" t="s">
        <v>206</v>
      </c>
      <c r="K4798" s="7" t="n">
        <f aca="false">IFERROR(VALUE(RIGHT(TRIM(F4798),4)),"")</f>
        <v>2018</v>
      </c>
      <c r="L4798" s="7" t="str">
        <f aca="false">IF(TRIM(E4798)="","Unknown",IFERROR(LEFT(TRIM(E4798),FIND(",",TRIM(E4798))-1),TRIM(E4798)))</f>
        <v>Hong Kong</v>
      </c>
      <c r="M4798" s="7" t="str">
        <f aca="false">IFERROR(LEFT(J4798,FIND(",",J4798)-1),J4798)</f>
        <v>Comedies</v>
      </c>
      <c r="N4798" s="7" t="n">
        <f aca="false">IF(B4798="Movie",IFERROR(VALUE(LEFT(I4798,FIND(" ",I4798)-1)),""),"")</f>
        <v>93</v>
      </c>
      <c r="O4798" s="7" t="str">
        <f aca="false">IF(B4798="TV Show",IFERROR(VALUE(LEFT(I4798,FIND(" ",I4798)-1)),""),"")</f>
        <v/>
      </c>
      <c r="P4798" s="7" t="n">
        <f aca="false">IF(K4798="","",K4798-G4798)</f>
        <v>34</v>
      </c>
    </row>
    <row r="4799" customFormat="false" ht="15" hidden="false" customHeight="false" outlineLevel="0" collapsed="false">
      <c r="A4799" s="7" t="n">
        <v>80114719</v>
      </c>
      <c r="B4799" s="7" t="s">
        <v>68</v>
      </c>
      <c r="C4799" s="7" t="s">
        <v>9740</v>
      </c>
      <c r="D4799" s="7" t="s">
        <v>9741</v>
      </c>
      <c r="E4799" s="7" t="s">
        <v>33</v>
      </c>
      <c r="F4799" s="7" t="s">
        <v>9733</v>
      </c>
      <c r="G4799" s="7" t="n">
        <v>2018</v>
      </c>
      <c r="H4799" s="7" t="s">
        <v>48</v>
      </c>
      <c r="I4799" s="7" t="s">
        <v>512</v>
      </c>
      <c r="J4799" s="7" t="s">
        <v>206</v>
      </c>
      <c r="K4799" s="7" t="n">
        <f aca="false">IFERROR(VALUE(RIGHT(TRIM(F4799),4)),"")</f>
        <v>2018</v>
      </c>
      <c r="L4799" s="7" t="str">
        <f aca="false">IF(TRIM(E4799)="","Unknown",IFERROR(LEFT(TRIM(E4799),FIND(",",TRIM(E4799))-1),TRIM(E4799)))</f>
        <v>Spain</v>
      </c>
      <c r="M4799" s="7" t="str">
        <f aca="false">IFERROR(LEFT(J4799,FIND(",",J4799)-1),J4799)</f>
        <v>Comedies</v>
      </c>
      <c r="N4799" s="7" t="n">
        <f aca="false">IF(B4799="Movie",IFERROR(VALUE(LEFT(I4799,FIND(" ",I4799)-1)),""),"")</f>
        <v>101</v>
      </c>
      <c r="O4799" s="7" t="str">
        <f aca="false">IF(B4799="TV Show",IFERROR(VALUE(LEFT(I4799,FIND(" ",I4799)-1)),""),"")</f>
        <v/>
      </c>
      <c r="P4799" s="7" t="n">
        <f aca="false">IF(K4799="","",K4799-G4799)</f>
        <v>0</v>
      </c>
    </row>
    <row r="4800" customFormat="false" ht="15" hidden="false" customHeight="false" outlineLevel="0" collapsed="false">
      <c r="A4800" s="7" t="n">
        <v>80220145</v>
      </c>
      <c r="B4800" s="7" t="s">
        <v>78</v>
      </c>
      <c r="C4800" s="7" t="s">
        <v>9742</v>
      </c>
      <c r="E4800" s="7" t="s">
        <v>1397</v>
      </c>
      <c r="F4800" s="7" t="s">
        <v>9733</v>
      </c>
      <c r="G4800" s="7" t="n">
        <v>2017</v>
      </c>
      <c r="H4800" s="7" t="s">
        <v>48</v>
      </c>
      <c r="I4800" s="7" t="s">
        <v>82</v>
      </c>
      <c r="J4800" s="7" t="s">
        <v>89</v>
      </c>
      <c r="K4800" s="7" t="n">
        <f aca="false">IFERROR(VALUE(RIGHT(TRIM(F4800),4)),"")</f>
        <v>2018</v>
      </c>
      <c r="L4800" s="7" t="str">
        <f aca="false">IF(TRIM(E4800)="","Unknown",IFERROR(LEFT(TRIM(E4800),FIND(",",TRIM(E4800))-1),TRIM(E4800)))</f>
        <v>Colombia</v>
      </c>
      <c r="M4800" s="7" t="str">
        <f aca="false">IFERROR(LEFT(J4800,FIND(",",J4800)-1),J4800)</f>
        <v>Crime TV Shows</v>
      </c>
      <c r="N4800" s="7" t="str">
        <f aca="false">IF(B4800="Movie",IFERROR(VALUE(LEFT(I4800,FIND(" ",I4800)-1)),""),"")</f>
        <v/>
      </c>
      <c r="O4800" s="7" t="n">
        <f aca="false">IF(B4800="TV Show",IFERROR(VALUE(LEFT(I4800,FIND(" ",I4800)-1)),""),"")</f>
        <v>1</v>
      </c>
      <c r="P4800" s="7" t="n">
        <f aca="false">IF(K4800="","",K4800-G4800)</f>
        <v>1</v>
      </c>
    </row>
    <row r="4801" customFormat="false" ht="15" hidden="false" customHeight="false" outlineLevel="0" collapsed="false">
      <c r="A4801" s="7" t="n">
        <v>81020576</v>
      </c>
      <c r="B4801" s="7" t="s">
        <v>78</v>
      </c>
      <c r="C4801" s="7" t="s">
        <v>9743</v>
      </c>
      <c r="E4801" s="7" t="s">
        <v>27</v>
      </c>
      <c r="F4801" s="7" t="s">
        <v>9733</v>
      </c>
      <c r="G4801" s="7" t="n">
        <v>2018</v>
      </c>
      <c r="H4801" s="7" t="s">
        <v>50</v>
      </c>
      <c r="I4801" s="7" t="s">
        <v>82</v>
      </c>
      <c r="J4801" s="7" t="s">
        <v>1357</v>
      </c>
      <c r="K4801" s="7" t="n">
        <f aca="false">IFERROR(VALUE(RIGHT(TRIM(F4801),4)),"")</f>
        <v>2018</v>
      </c>
      <c r="L4801" s="7" t="str">
        <f aca="false">IF(TRIM(E4801)="","Unknown",IFERROR(LEFT(TRIM(E4801),FIND(",",TRIM(E4801))-1),TRIM(E4801)))</f>
        <v>India</v>
      </c>
      <c r="M4801" s="7" t="str">
        <f aca="false">IFERROR(LEFT(J4801,FIND(",",J4801)-1),J4801)</f>
        <v>International TV Shows</v>
      </c>
      <c r="N4801" s="7" t="str">
        <f aca="false">IF(B4801="Movie",IFERROR(VALUE(LEFT(I4801,FIND(" ",I4801)-1)),""),"")</f>
        <v/>
      </c>
      <c r="O4801" s="7" t="n">
        <f aca="false">IF(B4801="TV Show",IFERROR(VALUE(LEFT(I4801,FIND(" ",I4801)-1)),""),"")</f>
        <v>1</v>
      </c>
      <c r="P4801" s="7" t="n">
        <f aca="false">IF(K4801="","",K4801-G4801)</f>
        <v>0</v>
      </c>
    </row>
    <row r="4802" customFormat="false" ht="15" hidden="false" customHeight="false" outlineLevel="0" collapsed="false">
      <c r="A4802" s="7" t="n">
        <v>80042182</v>
      </c>
      <c r="B4802" s="7" t="s">
        <v>68</v>
      </c>
      <c r="C4802" s="7" t="s">
        <v>9744</v>
      </c>
      <c r="D4802" s="7" t="s">
        <v>6168</v>
      </c>
      <c r="E4802" s="7" t="s">
        <v>28</v>
      </c>
      <c r="F4802" s="7" t="s">
        <v>9745</v>
      </c>
      <c r="G4802" s="7" t="n">
        <v>2015</v>
      </c>
      <c r="H4802" s="7" t="s">
        <v>48</v>
      </c>
      <c r="I4802" s="7" t="s">
        <v>138</v>
      </c>
      <c r="J4802" s="7" t="s">
        <v>304</v>
      </c>
      <c r="K4802" s="7" t="n">
        <f aca="false">IFERROR(VALUE(RIGHT(TRIM(F4802),4)),"")</f>
        <v>2017</v>
      </c>
      <c r="L4802" s="7" t="str">
        <f aca="false">IF(TRIM(E4802)="","Unknown",IFERROR(LEFT(TRIM(E4802),FIND(",",TRIM(E4802))-1),TRIM(E4802)))</f>
        <v>United Kingdom</v>
      </c>
      <c r="M4802" s="7" t="str">
        <f aca="false">IFERROR(LEFT(J4802,FIND(",",J4802)-1),J4802)</f>
        <v>Dramas</v>
      </c>
      <c r="N4802" s="7" t="n">
        <f aca="false">IF(B4802="Movie",IFERROR(VALUE(LEFT(I4802,FIND(" ",I4802)-1)),""),"")</f>
        <v>96</v>
      </c>
      <c r="O4802" s="7" t="str">
        <f aca="false">IF(B4802="TV Show",IFERROR(VALUE(LEFT(I4802,FIND(" ",I4802)-1)),""),"")</f>
        <v/>
      </c>
      <c r="P4802" s="7" t="n">
        <f aca="false">IF(K4802="","",K4802-G4802)</f>
        <v>2</v>
      </c>
    </row>
    <row r="4803" customFormat="false" ht="15" hidden="false" customHeight="false" outlineLevel="0" collapsed="false">
      <c r="A4803" s="7" t="n">
        <v>81034010</v>
      </c>
      <c r="B4803" s="7" t="s">
        <v>68</v>
      </c>
      <c r="C4803" s="7" t="s">
        <v>9746</v>
      </c>
      <c r="D4803" s="7" t="s">
        <v>9747</v>
      </c>
      <c r="F4803" s="7" t="s">
        <v>9748</v>
      </c>
      <c r="G4803" s="7" t="n">
        <v>2019</v>
      </c>
      <c r="H4803" s="7" t="s">
        <v>48</v>
      </c>
      <c r="I4803" s="7" t="s">
        <v>613</v>
      </c>
      <c r="J4803" s="7" t="s">
        <v>202</v>
      </c>
      <c r="K4803" s="7" t="n">
        <f aca="false">IFERROR(VALUE(RIGHT(TRIM(F4803),4)),"")</f>
        <v>2019</v>
      </c>
      <c r="L4803" s="7" t="str">
        <f aca="false">IF(TRIM(E4803)="","Unknown",IFERROR(LEFT(TRIM(E4803),FIND(",",TRIM(E4803))-1),TRIM(E4803)))</f>
        <v>Unknown</v>
      </c>
      <c r="M4803" s="7" t="str">
        <f aca="false">IFERROR(LEFT(J4803,FIND(",",J4803)-1),J4803)</f>
        <v>Comedies</v>
      </c>
      <c r="N4803" s="7" t="n">
        <f aca="false">IF(B4803="Movie",IFERROR(VALUE(LEFT(I4803,FIND(" ",I4803)-1)),""),"")</f>
        <v>84</v>
      </c>
      <c r="O4803" s="7" t="str">
        <f aca="false">IF(B4803="TV Show",IFERROR(VALUE(LEFT(I4803,FIND(" ",I4803)-1)),""),"")</f>
        <v/>
      </c>
      <c r="P4803" s="7" t="n">
        <f aca="false">IF(K4803="","",K4803-G4803)</f>
        <v>0</v>
      </c>
    </row>
    <row r="4804" customFormat="false" ht="15" hidden="false" customHeight="false" outlineLevel="0" collapsed="false">
      <c r="A4804" s="7" t="n">
        <v>80992137</v>
      </c>
      <c r="B4804" s="7" t="s">
        <v>78</v>
      </c>
      <c r="C4804" s="7" t="s">
        <v>9749</v>
      </c>
      <c r="E4804" s="7" t="s">
        <v>30</v>
      </c>
      <c r="F4804" s="7" t="s">
        <v>9748</v>
      </c>
      <c r="G4804" s="7" t="n">
        <v>2019</v>
      </c>
      <c r="H4804" s="7" t="s">
        <v>48</v>
      </c>
      <c r="I4804" s="7" t="s">
        <v>82</v>
      </c>
      <c r="J4804" s="7" t="s">
        <v>3042</v>
      </c>
      <c r="K4804" s="7" t="n">
        <f aca="false">IFERROR(VALUE(RIGHT(TRIM(F4804),4)),"")</f>
        <v>2019</v>
      </c>
      <c r="L4804" s="7" t="str">
        <f aca="false">IF(TRIM(E4804)="","Unknown",IFERROR(LEFT(TRIM(E4804),FIND(",",TRIM(E4804))-1),TRIM(E4804)))</f>
        <v>Japan</v>
      </c>
      <c r="M4804" s="7" t="str">
        <f aca="false">IFERROR(LEFT(J4804,FIND(",",J4804)-1),J4804)</f>
        <v>Anime Series</v>
      </c>
      <c r="N4804" s="7" t="str">
        <f aca="false">IF(B4804="Movie",IFERROR(VALUE(LEFT(I4804,FIND(" ",I4804)-1)),""),"")</f>
        <v/>
      </c>
      <c r="O4804" s="7" t="n">
        <f aca="false">IF(B4804="TV Show",IFERROR(VALUE(LEFT(I4804,FIND(" ",I4804)-1)),""),"")</f>
        <v>1</v>
      </c>
      <c r="P4804" s="7" t="n">
        <f aca="false">IF(K4804="","",K4804-G4804)</f>
        <v>0</v>
      </c>
    </row>
    <row r="4805" customFormat="false" ht="15" hidden="false" customHeight="false" outlineLevel="0" collapsed="false">
      <c r="A4805" s="7" t="n">
        <v>81091381</v>
      </c>
      <c r="B4805" s="7" t="s">
        <v>68</v>
      </c>
      <c r="C4805" s="7" t="s">
        <v>9750</v>
      </c>
      <c r="D4805" s="7" t="s">
        <v>3695</v>
      </c>
      <c r="E4805" s="7" t="s">
        <v>1397</v>
      </c>
      <c r="F4805" s="7" t="s">
        <v>9748</v>
      </c>
      <c r="G4805" s="7" t="n">
        <v>2018</v>
      </c>
      <c r="H4805" s="7" t="s">
        <v>48</v>
      </c>
      <c r="I4805" s="7" t="s">
        <v>470</v>
      </c>
      <c r="J4805" s="7" t="s">
        <v>202</v>
      </c>
      <c r="K4805" s="7" t="n">
        <f aca="false">IFERROR(VALUE(RIGHT(TRIM(F4805),4)),"")</f>
        <v>2019</v>
      </c>
      <c r="L4805" s="7" t="str">
        <f aca="false">IF(TRIM(E4805)="","Unknown",IFERROR(LEFT(TRIM(E4805),FIND(",",TRIM(E4805))-1),TRIM(E4805)))</f>
        <v>Colombia</v>
      </c>
      <c r="M4805" s="7" t="str">
        <f aca="false">IFERROR(LEFT(J4805,FIND(",",J4805)-1),J4805)</f>
        <v>Comedies</v>
      </c>
      <c r="N4805" s="7" t="n">
        <f aca="false">IF(B4805="Movie",IFERROR(VALUE(LEFT(I4805,FIND(" ",I4805)-1)),""),"")</f>
        <v>91</v>
      </c>
      <c r="O4805" s="7" t="str">
        <f aca="false">IF(B4805="TV Show",IFERROR(VALUE(LEFT(I4805,FIND(" ",I4805)-1)),""),"")</f>
        <v/>
      </c>
      <c r="P4805" s="7" t="n">
        <f aca="false">IF(K4805="","",K4805-G4805)</f>
        <v>1</v>
      </c>
    </row>
    <row r="4806" customFormat="false" ht="15" hidden="false" customHeight="false" outlineLevel="0" collapsed="false">
      <c r="A4806" s="7" t="n">
        <v>81141694</v>
      </c>
      <c r="B4806" s="7" t="s">
        <v>68</v>
      </c>
      <c r="C4806" s="7" t="s">
        <v>9751</v>
      </c>
      <c r="D4806" s="7" t="s">
        <v>2356</v>
      </c>
      <c r="E4806" s="7" t="s">
        <v>97</v>
      </c>
      <c r="F4806" s="7" t="s">
        <v>9748</v>
      </c>
      <c r="G4806" s="7" t="n">
        <v>2019</v>
      </c>
      <c r="H4806" s="7" t="s">
        <v>50</v>
      </c>
      <c r="I4806" s="7" t="s">
        <v>181</v>
      </c>
      <c r="J4806" s="7" t="s">
        <v>986</v>
      </c>
      <c r="K4806" s="7" t="n">
        <f aca="false">IFERROR(VALUE(RIGHT(TRIM(F4806),4)),"")</f>
        <v>2019</v>
      </c>
      <c r="L4806" s="7" t="str">
        <f aca="false">IF(TRIM(E4806)="","Unknown",IFERROR(LEFT(TRIM(E4806),FIND(",",TRIM(E4806))-1),TRIM(E4806)))</f>
        <v>Chile</v>
      </c>
      <c r="M4806" s="7" t="str">
        <f aca="false">IFERROR(LEFT(J4806,FIND(",",J4806)-1),J4806)</f>
        <v>Children &amp; Family Movies</v>
      </c>
      <c r="N4806" s="7" t="n">
        <f aca="false">IF(B4806="Movie",IFERROR(VALUE(LEFT(I4806,FIND(" ",I4806)-1)),""),"")</f>
        <v>102</v>
      </c>
      <c r="O4806" s="7" t="str">
        <f aca="false">IF(B4806="TV Show",IFERROR(VALUE(LEFT(I4806,FIND(" ",I4806)-1)),""),"")</f>
        <v/>
      </c>
      <c r="P4806" s="7" t="n">
        <f aca="false">IF(K4806="","",K4806-G4806)</f>
        <v>0</v>
      </c>
    </row>
    <row r="4807" customFormat="false" ht="15" hidden="false" customHeight="false" outlineLevel="0" collapsed="false">
      <c r="A4807" s="7" t="n">
        <v>80204364</v>
      </c>
      <c r="B4807" s="7" t="s">
        <v>78</v>
      </c>
      <c r="C4807" s="7" t="s">
        <v>9752</v>
      </c>
      <c r="F4807" s="7" t="s">
        <v>9748</v>
      </c>
      <c r="G4807" s="7" t="n">
        <v>2019</v>
      </c>
      <c r="H4807" s="7" t="s">
        <v>49</v>
      </c>
      <c r="I4807" s="7" t="s">
        <v>82</v>
      </c>
      <c r="J4807" s="7" t="s">
        <v>701</v>
      </c>
      <c r="K4807" s="7" t="n">
        <f aca="false">IFERROR(VALUE(RIGHT(TRIM(F4807),4)),"")</f>
        <v>2019</v>
      </c>
      <c r="L4807" s="7" t="str">
        <f aca="false">IF(TRIM(E4807)="","Unknown",IFERROR(LEFT(TRIM(E4807),FIND(",",TRIM(E4807))-1),TRIM(E4807)))</f>
        <v>Unknown</v>
      </c>
      <c r="M4807" s="7" t="str">
        <f aca="false">IFERROR(LEFT(J4807,FIND(",",J4807)-1),J4807)</f>
        <v>Reality TV</v>
      </c>
      <c r="N4807" s="7" t="str">
        <f aca="false">IF(B4807="Movie",IFERROR(VALUE(LEFT(I4807,FIND(" ",I4807)-1)),""),"")</f>
        <v/>
      </c>
      <c r="O4807" s="7" t="n">
        <f aca="false">IF(B4807="TV Show",IFERROR(VALUE(LEFT(I4807,FIND(" ",I4807)-1)),""),"")</f>
        <v>1</v>
      </c>
      <c r="P4807" s="7" t="n">
        <f aca="false">IF(K4807="","",K4807-G4807)</f>
        <v>0</v>
      </c>
    </row>
    <row r="4808" customFormat="false" ht="15" hidden="false" customHeight="false" outlineLevel="0" collapsed="false">
      <c r="A4808" s="7" t="n">
        <v>80196382</v>
      </c>
      <c r="B4808" s="7" t="s">
        <v>78</v>
      </c>
      <c r="C4808" s="7" t="s">
        <v>9753</v>
      </c>
      <c r="E4808" s="7" t="s">
        <v>28</v>
      </c>
      <c r="F4808" s="7" t="s">
        <v>9748</v>
      </c>
      <c r="G4808" s="7" t="n">
        <v>2018</v>
      </c>
      <c r="H4808" s="7" t="s">
        <v>50</v>
      </c>
      <c r="I4808" s="7" t="s">
        <v>82</v>
      </c>
      <c r="J4808" s="7" t="s">
        <v>4544</v>
      </c>
      <c r="K4808" s="7" t="n">
        <f aca="false">IFERROR(VALUE(RIGHT(TRIM(F4808),4)),"")</f>
        <v>2019</v>
      </c>
      <c r="L4808" s="7" t="str">
        <f aca="false">IF(TRIM(E4808)="","Unknown",IFERROR(LEFT(TRIM(E4808),FIND(",",TRIM(E4808))-1),TRIM(E4808)))</f>
        <v>United Kingdom</v>
      </c>
      <c r="M4808" s="7" t="str">
        <f aca="false">IFERROR(LEFT(J4808,FIND(",",J4808)-1),J4808)</f>
        <v>British TV Shows</v>
      </c>
      <c r="N4808" s="7" t="str">
        <f aca="false">IF(B4808="Movie",IFERROR(VALUE(LEFT(I4808,FIND(" ",I4808)-1)),""),"")</f>
        <v/>
      </c>
      <c r="O4808" s="7" t="n">
        <f aca="false">IF(B4808="TV Show",IFERROR(VALUE(LEFT(I4808,FIND(" ",I4808)-1)),""),"")</f>
        <v>1</v>
      </c>
      <c r="P4808" s="7" t="n">
        <f aca="false">IF(K4808="","",K4808-G4808)</f>
        <v>1</v>
      </c>
    </row>
    <row r="4809" customFormat="false" ht="15" hidden="false" customHeight="false" outlineLevel="0" collapsed="false">
      <c r="A4809" s="7" t="n">
        <v>80148535</v>
      </c>
      <c r="B4809" s="7" t="s">
        <v>78</v>
      </c>
      <c r="C4809" s="7" t="s">
        <v>9754</v>
      </c>
      <c r="E4809" s="7" t="s">
        <v>317</v>
      </c>
      <c r="F4809" s="7" t="s">
        <v>9748</v>
      </c>
      <c r="G4809" s="7" t="n">
        <v>2019</v>
      </c>
      <c r="H4809" s="7" t="s">
        <v>50</v>
      </c>
      <c r="I4809" s="7" t="s">
        <v>82</v>
      </c>
      <c r="J4809" s="7" t="s">
        <v>846</v>
      </c>
      <c r="K4809" s="7" t="n">
        <f aca="false">IFERROR(VALUE(RIGHT(TRIM(F4809),4)),"")</f>
        <v>2019</v>
      </c>
      <c r="L4809" s="7" t="str">
        <f aca="false">IF(TRIM(E4809)="","Unknown",IFERROR(LEFT(TRIM(E4809),FIND(",",TRIM(E4809))-1),TRIM(E4809)))</f>
        <v>United Kingdom</v>
      </c>
      <c r="M4809" s="7" t="str">
        <f aca="false">IFERROR(LEFT(J4809,FIND(",",J4809)-1),J4809)</f>
        <v>TV Action &amp; Adventure</v>
      </c>
      <c r="N4809" s="7" t="str">
        <f aca="false">IF(B4809="Movie",IFERROR(VALUE(LEFT(I4809,FIND(" ",I4809)-1)),""),"")</f>
        <v/>
      </c>
      <c r="O4809" s="7" t="n">
        <f aca="false">IF(B4809="TV Show",IFERROR(VALUE(LEFT(I4809,FIND(" ",I4809)-1)),""),"")</f>
        <v>1</v>
      </c>
      <c r="P4809" s="7" t="n">
        <f aca="false">IF(K4809="","",K4809-G4809)</f>
        <v>0</v>
      </c>
    </row>
    <row r="4810" customFormat="false" ht="15" hidden="false" customHeight="false" outlineLevel="0" collapsed="false">
      <c r="A4810" s="7" t="n">
        <v>80999091</v>
      </c>
      <c r="B4810" s="7" t="s">
        <v>78</v>
      </c>
      <c r="C4810" s="7" t="s">
        <v>9755</v>
      </c>
      <c r="E4810" s="7" t="s">
        <v>1397</v>
      </c>
      <c r="F4810" s="7" t="s">
        <v>9748</v>
      </c>
      <c r="G4810" s="7" t="n">
        <v>2018</v>
      </c>
      <c r="H4810" s="7" t="s">
        <v>48</v>
      </c>
      <c r="I4810" s="7" t="s">
        <v>82</v>
      </c>
      <c r="J4810" s="7" t="s">
        <v>89</v>
      </c>
      <c r="K4810" s="7" t="n">
        <f aca="false">IFERROR(VALUE(RIGHT(TRIM(F4810),4)),"")</f>
        <v>2019</v>
      </c>
      <c r="L4810" s="7" t="str">
        <f aca="false">IF(TRIM(E4810)="","Unknown",IFERROR(LEFT(TRIM(E4810),FIND(",",TRIM(E4810))-1),TRIM(E4810)))</f>
        <v>Colombia</v>
      </c>
      <c r="M4810" s="7" t="str">
        <f aca="false">IFERROR(LEFT(J4810,FIND(",",J4810)-1),J4810)</f>
        <v>Crime TV Shows</v>
      </c>
      <c r="N4810" s="7" t="str">
        <f aca="false">IF(B4810="Movie",IFERROR(VALUE(LEFT(I4810,FIND(" ",I4810)-1)),""),"")</f>
        <v/>
      </c>
      <c r="O4810" s="7" t="n">
        <f aca="false">IF(B4810="TV Show",IFERROR(VALUE(LEFT(I4810,FIND(" ",I4810)-1)),""),"")</f>
        <v>1</v>
      </c>
      <c r="P4810" s="7" t="n">
        <f aca="false">IF(K4810="","",K4810-G4810)</f>
        <v>1</v>
      </c>
    </row>
    <row r="4811" customFormat="false" ht="15" hidden="false" customHeight="false" outlineLevel="0" collapsed="false">
      <c r="A4811" s="7" t="n">
        <v>80209658</v>
      </c>
      <c r="B4811" s="7" t="s">
        <v>68</v>
      </c>
      <c r="C4811" s="7" t="s">
        <v>9756</v>
      </c>
      <c r="D4811" s="7" t="s">
        <v>9757</v>
      </c>
      <c r="E4811" s="7" t="s">
        <v>33</v>
      </c>
      <c r="F4811" s="7" t="s">
        <v>9748</v>
      </c>
      <c r="G4811" s="7" t="n">
        <v>2018</v>
      </c>
      <c r="H4811" s="7" t="s">
        <v>48</v>
      </c>
      <c r="I4811" s="7" t="s">
        <v>205</v>
      </c>
      <c r="J4811" s="7" t="s">
        <v>358</v>
      </c>
      <c r="K4811" s="7" t="n">
        <f aca="false">IFERROR(VALUE(RIGHT(TRIM(F4811),4)),"")</f>
        <v>2019</v>
      </c>
      <c r="L4811" s="7" t="str">
        <f aca="false">IF(TRIM(E4811)="","Unknown",IFERROR(LEFT(TRIM(E4811),FIND(",",TRIM(E4811))-1),TRIM(E4811)))</f>
        <v>Spain</v>
      </c>
      <c r="M4811" s="7" t="str">
        <f aca="false">IFERROR(LEFT(J4811,FIND(",",J4811)-1),J4811)</f>
        <v>International Movies</v>
      </c>
      <c r="N4811" s="7" t="n">
        <f aca="false">IF(B4811="Movie",IFERROR(VALUE(LEFT(I4811,FIND(" ",I4811)-1)),""),"")</f>
        <v>100</v>
      </c>
      <c r="O4811" s="7" t="str">
        <f aca="false">IF(B4811="TV Show",IFERROR(VALUE(LEFT(I4811,FIND(" ",I4811)-1)),""),"")</f>
        <v/>
      </c>
      <c r="P4811" s="7" t="n">
        <f aca="false">IF(K4811="","",K4811-G4811)</f>
        <v>1</v>
      </c>
    </row>
    <row r="4812" customFormat="false" ht="15" hidden="false" customHeight="false" outlineLevel="0" collapsed="false">
      <c r="A4812" s="7" t="n">
        <v>81006598</v>
      </c>
      <c r="B4812" s="7" t="s">
        <v>68</v>
      </c>
      <c r="C4812" s="7" t="s">
        <v>9758</v>
      </c>
      <c r="D4812" s="7" t="s">
        <v>9759</v>
      </c>
      <c r="E4812" s="7" t="s">
        <v>26</v>
      </c>
      <c r="F4812" s="7" t="s">
        <v>9760</v>
      </c>
      <c r="G4812" s="7" t="n">
        <v>2018</v>
      </c>
      <c r="H4812" s="7" t="s">
        <v>49</v>
      </c>
      <c r="I4812" s="7" t="s">
        <v>134</v>
      </c>
      <c r="J4812" s="7" t="s">
        <v>39</v>
      </c>
      <c r="K4812" s="7" t="n">
        <f aca="false">IFERROR(VALUE(RIGHT(TRIM(F4812),4)),"")</f>
        <v>2018</v>
      </c>
      <c r="L4812" s="7" t="str">
        <f aca="false">IF(TRIM(E4812)="","Unknown",IFERROR(LEFT(TRIM(E4812),FIND(",",TRIM(E4812))-1),TRIM(E4812)))</f>
        <v>United States</v>
      </c>
      <c r="M4812" s="7" t="str">
        <f aca="false">IFERROR(LEFT(J4812,FIND(",",J4812)-1),J4812)</f>
        <v>Documentaries</v>
      </c>
      <c r="N4812" s="7" t="n">
        <f aca="false">IF(B4812="Movie",IFERROR(VALUE(LEFT(I4812,FIND(" ",I4812)-1)),""),"")</f>
        <v>98</v>
      </c>
      <c r="O4812" s="7" t="str">
        <f aca="false">IF(B4812="TV Show",IFERROR(VALUE(LEFT(I4812,FIND(" ",I4812)-1)),""),"")</f>
        <v/>
      </c>
      <c r="P4812" s="7" t="n">
        <f aca="false">IF(K4812="","",K4812-G4812)</f>
        <v>0</v>
      </c>
    </row>
    <row r="4813" customFormat="false" ht="15" hidden="false" customHeight="false" outlineLevel="0" collapsed="false">
      <c r="A4813" s="7" t="n">
        <v>80994162</v>
      </c>
      <c r="B4813" s="7" t="s">
        <v>68</v>
      </c>
      <c r="C4813" s="7" t="s">
        <v>9761</v>
      </c>
      <c r="D4813" s="7" t="s">
        <v>9762</v>
      </c>
      <c r="E4813" s="7" t="s">
        <v>868</v>
      </c>
      <c r="F4813" s="7" t="s">
        <v>9763</v>
      </c>
      <c r="G4813" s="7" t="n">
        <v>2017</v>
      </c>
      <c r="H4813" s="7" t="s">
        <v>49</v>
      </c>
      <c r="I4813" s="7" t="s">
        <v>467</v>
      </c>
      <c r="J4813" s="7" t="s">
        <v>3918</v>
      </c>
      <c r="K4813" s="7" t="n">
        <f aca="false">IFERROR(VALUE(RIGHT(TRIM(F4813),4)),"")</f>
        <v>2019</v>
      </c>
      <c r="L4813" s="7" t="str">
        <f aca="false">IF(TRIM(E4813)="","Unknown",IFERROR(LEFT(TRIM(E4813),FIND(",",TRIM(E4813))-1),TRIM(E4813)))</f>
        <v>Netherlands</v>
      </c>
      <c r="M4813" s="7" t="str">
        <f aca="false">IFERROR(LEFT(J4813,FIND(",",J4813)-1),J4813)</f>
        <v>Children &amp; Family Movies</v>
      </c>
      <c r="N4813" s="7" t="n">
        <f aca="false">IF(B4813="Movie",IFERROR(VALUE(LEFT(I4813,FIND(" ",I4813)-1)),""),"")</f>
        <v>81</v>
      </c>
      <c r="O4813" s="7" t="str">
        <f aca="false">IF(B4813="TV Show",IFERROR(VALUE(LEFT(I4813,FIND(" ",I4813)-1)),""),"")</f>
        <v/>
      </c>
      <c r="P4813" s="7" t="n">
        <f aca="false">IF(K4813="","",K4813-G4813)</f>
        <v>2</v>
      </c>
    </row>
    <row r="4814" customFormat="false" ht="15" hidden="false" customHeight="false" outlineLevel="0" collapsed="false">
      <c r="A4814" s="7" t="n">
        <v>80215500</v>
      </c>
      <c r="B4814" s="7" t="s">
        <v>78</v>
      </c>
      <c r="C4814" s="7" t="s">
        <v>9764</v>
      </c>
      <c r="E4814" s="7" t="s">
        <v>33</v>
      </c>
      <c r="F4814" s="7" t="s">
        <v>9765</v>
      </c>
      <c r="G4814" s="7" t="n">
        <v>2018</v>
      </c>
      <c r="H4814" s="7" t="s">
        <v>48</v>
      </c>
      <c r="I4814" s="7" t="s">
        <v>82</v>
      </c>
      <c r="J4814" s="7" t="s">
        <v>89</v>
      </c>
      <c r="K4814" s="7" t="n">
        <f aca="false">IFERROR(VALUE(RIGHT(TRIM(F4814),4)),"")</f>
        <v>2018</v>
      </c>
      <c r="L4814" s="7" t="str">
        <f aca="false">IF(TRIM(E4814)="","Unknown",IFERROR(LEFT(TRIM(E4814),FIND(",",TRIM(E4814))-1),TRIM(E4814)))</f>
        <v>Spain</v>
      </c>
      <c r="M4814" s="7" t="str">
        <f aca="false">IFERROR(LEFT(J4814,FIND(",",J4814)-1),J4814)</f>
        <v>Crime TV Shows</v>
      </c>
      <c r="N4814" s="7" t="str">
        <f aca="false">IF(B4814="Movie",IFERROR(VALUE(LEFT(I4814,FIND(" ",I4814)-1)),""),"")</f>
        <v/>
      </c>
      <c r="O4814" s="7" t="n">
        <f aca="false">IF(B4814="TV Show",IFERROR(VALUE(LEFT(I4814,FIND(" ",I4814)-1)),""),"")</f>
        <v>1</v>
      </c>
      <c r="P4814" s="7" t="n">
        <f aca="false">IF(K4814="","",K4814-G4814)</f>
        <v>0</v>
      </c>
    </row>
    <row r="4815" customFormat="false" ht="15" hidden="false" customHeight="false" outlineLevel="0" collapsed="false">
      <c r="A4815" s="7" t="n">
        <v>80202283</v>
      </c>
      <c r="B4815" s="7" t="s">
        <v>78</v>
      </c>
      <c r="C4815" s="7" t="s">
        <v>9766</v>
      </c>
      <c r="E4815" s="7" t="s">
        <v>28</v>
      </c>
      <c r="F4815" s="7" t="s">
        <v>9765</v>
      </c>
      <c r="G4815" s="7" t="n">
        <v>2018</v>
      </c>
      <c r="H4815" s="7" t="s">
        <v>48</v>
      </c>
      <c r="I4815" s="7" t="s">
        <v>82</v>
      </c>
      <c r="J4815" s="7" t="s">
        <v>668</v>
      </c>
      <c r="K4815" s="7" t="n">
        <f aca="false">IFERROR(VALUE(RIGHT(TRIM(F4815),4)),"")</f>
        <v>2018</v>
      </c>
      <c r="L4815" s="7" t="str">
        <f aca="false">IF(TRIM(E4815)="","Unknown",IFERROR(LEFT(TRIM(E4815),FIND(",",TRIM(E4815))-1),TRIM(E4815)))</f>
        <v>United Kingdom</v>
      </c>
      <c r="M4815" s="7" t="str">
        <f aca="false">IFERROR(LEFT(J4815,FIND(",",J4815)-1),J4815)</f>
        <v>British TV Shows</v>
      </c>
      <c r="N4815" s="7" t="str">
        <f aca="false">IF(B4815="Movie",IFERROR(VALUE(LEFT(I4815,FIND(" ",I4815)-1)),""),"")</f>
        <v/>
      </c>
      <c r="O4815" s="7" t="n">
        <f aca="false">IF(B4815="TV Show",IFERROR(VALUE(LEFT(I4815,FIND(" ",I4815)-1)),""),"")</f>
        <v>1</v>
      </c>
      <c r="P4815" s="7" t="n">
        <f aca="false">IF(K4815="","",K4815-G4815)</f>
        <v>0</v>
      </c>
    </row>
    <row r="4816" customFormat="false" ht="15" hidden="false" customHeight="false" outlineLevel="0" collapsed="false">
      <c r="A4816" s="7" t="n">
        <v>80174897</v>
      </c>
      <c r="B4816" s="7" t="s">
        <v>68</v>
      </c>
      <c r="C4816" s="7" t="s">
        <v>9767</v>
      </c>
      <c r="D4816" s="7" t="s">
        <v>9768</v>
      </c>
      <c r="E4816" s="7" t="s">
        <v>26</v>
      </c>
      <c r="F4816" s="7" t="s">
        <v>9765</v>
      </c>
      <c r="G4816" s="7" t="n">
        <v>2018</v>
      </c>
      <c r="H4816" s="7" t="s">
        <v>48</v>
      </c>
      <c r="I4816" s="7" t="s">
        <v>417</v>
      </c>
      <c r="J4816" s="7" t="s">
        <v>251</v>
      </c>
      <c r="K4816" s="7" t="n">
        <f aca="false">IFERROR(VALUE(RIGHT(TRIM(F4816),4)),"")</f>
        <v>2018</v>
      </c>
      <c r="L4816" s="7" t="str">
        <f aca="false">IF(TRIM(E4816)="","Unknown",IFERROR(LEFT(TRIM(E4816),FIND(",",TRIM(E4816))-1),TRIM(E4816)))</f>
        <v>United States</v>
      </c>
      <c r="M4816" s="7" t="str">
        <f aca="false">IFERROR(LEFT(J4816,FIND(",",J4816)-1),J4816)</f>
        <v>Comedies</v>
      </c>
      <c r="N4816" s="7" t="n">
        <f aca="false">IF(B4816="Movie",IFERROR(VALUE(LEFT(I4816,FIND(" ",I4816)-1)),""),"")</f>
        <v>104</v>
      </c>
      <c r="O4816" s="7" t="str">
        <f aca="false">IF(B4816="TV Show",IFERROR(VALUE(LEFT(I4816,FIND(" ",I4816)-1)),""),"")</f>
        <v/>
      </c>
      <c r="P4816" s="7" t="n">
        <f aca="false">IF(K4816="","",K4816-G4816)</f>
        <v>0</v>
      </c>
    </row>
    <row r="4817" customFormat="false" ht="15" hidden="false" customHeight="false" outlineLevel="0" collapsed="false">
      <c r="A4817" s="7" t="n">
        <v>80988815</v>
      </c>
      <c r="B4817" s="7" t="s">
        <v>78</v>
      </c>
      <c r="C4817" s="7" t="s">
        <v>9769</v>
      </c>
      <c r="E4817" s="7" t="s">
        <v>26</v>
      </c>
      <c r="F4817" s="7" t="s">
        <v>9765</v>
      </c>
      <c r="G4817" s="7" t="n">
        <v>2018</v>
      </c>
      <c r="H4817" s="7" t="s">
        <v>49</v>
      </c>
      <c r="I4817" s="7" t="s">
        <v>82</v>
      </c>
      <c r="J4817" s="7" t="s">
        <v>164</v>
      </c>
      <c r="K4817" s="7" t="n">
        <f aca="false">IFERROR(VALUE(RIGHT(TRIM(F4817),4)),"")</f>
        <v>2018</v>
      </c>
      <c r="L4817" s="7" t="str">
        <f aca="false">IF(TRIM(E4817)="","Unknown",IFERROR(LEFT(TRIM(E4817),FIND(",",TRIM(E4817))-1),TRIM(E4817)))</f>
        <v>United States</v>
      </c>
      <c r="M4817" s="7" t="str">
        <f aca="false">IFERROR(LEFT(J4817,FIND(",",J4817)-1),J4817)</f>
        <v>Docuseries</v>
      </c>
      <c r="N4817" s="7" t="str">
        <f aca="false">IF(B4817="Movie",IFERROR(VALUE(LEFT(I4817,FIND(" ",I4817)-1)),""),"")</f>
        <v/>
      </c>
      <c r="O4817" s="7" t="n">
        <f aca="false">IF(B4817="TV Show",IFERROR(VALUE(LEFT(I4817,FIND(" ",I4817)-1)),""),"")</f>
        <v>1</v>
      </c>
      <c r="P4817" s="7" t="n">
        <f aca="false">IF(K4817="","",K4817-G4817)</f>
        <v>0</v>
      </c>
    </row>
    <row r="4818" customFormat="false" ht="15" hidden="false" customHeight="false" outlineLevel="0" collapsed="false">
      <c r="A4818" s="7" t="n">
        <v>80173176</v>
      </c>
      <c r="B4818" s="7" t="s">
        <v>68</v>
      </c>
      <c r="C4818" s="7" t="s">
        <v>9770</v>
      </c>
      <c r="D4818" s="7" t="s">
        <v>4280</v>
      </c>
      <c r="E4818" s="7" t="s">
        <v>9771</v>
      </c>
      <c r="F4818" s="7" t="s">
        <v>9772</v>
      </c>
      <c r="G4818" s="7" t="n">
        <v>2017</v>
      </c>
      <c r="H4818" s="7" t="s">
        <v>48</v>
      </c>
      <c r="I4818" s="7" t="s">
        <v>2053</v>
      </c>
      <c r="J4818" s="7" t="s">
        <v>358</v>
      </c>
      <c r="K4818" s="7" t="n">
        <f aca="false">IFERROR(VALUE(RIGHT(TRIM(F4818),4)),"")</f>
        <v>2017</v>
      </c>
      <c r="L4818" s="7" t="str">
        <f aca="false">IF(TRIM(E4818)="","Unknown",IFERROR(LEFT(TRIM(E4818),FIND(",",TRIM(E4818))-1),TRIM(E4818)))</f>
        <v>Spain</v>
      </c>
      <c r="M4818" s="7" t="str">
        <f aca="false">IFERROR(LEFT(J4818,FIND(",",J4818)-1),J4818)</f>
        <v>International Movies</v>
      </c>
      <c r="N4818" s="7" t="n">
        <f aca="false">IF(B4818="Movie",IFERROR(VALUE(LEFT(I4818,FIND(" ",I4818)-1)),""),"")</f>
        <v>129</v>
      </c>
      <c r="O4818" s="7" t="str">
        <f aca="false">IF(B4818="TV Show",IFERROR(VALUE(LEFT(I4818,FIND(" ",I4818)-1)),""),"")</f>
        <v/>
      </c>
      <c r="P4818" s="7" t="n">
        <f aca="false">IF(K4818="","",K4818-G4818)</f>
        <v>0</v>
      </c>
    </row>
    <row r="4819" customFormat="false" ht="15" hidden="false" customHeight="false" outlineLevel="0" collapsed="false">
      <c r="A4819" s="7" t="n">
        <v>81167494</v>
      </c>
      <c r="B4819" s="7" t="s">
        <v>68</v>
      </c>
      <c r="C4819" s="7" t="s">
        <v>9773</v>
      </c>
      <c r="D4819" s="7" t="s">
        <v>9774</v>
      </c>
      <c r="E4819" s="7" t="s">
        <v>26</v>
      </c>
      <c r="F4819" s="7" t="s">
        <v>9775</v>
      </c>
      <c r="G4819" s="7" t="n">
        <v>2019</v>
      </c>
      <c r="H4819" s="7" t="s">
        <v>49</v>
      </c>
      <c r="I4819" s="7" t="s">
        <v>467</v>
      </c>
      <c r="J4819" s="7" t="s">
        <v>2939</v>
      </c>
      <c r="K4819" s="7" t="n">
        <f aca="false">IFERROR(VALUE(RIGHT(TRIM(F4819),4)),"")</f>
        <v>2019</v>
      </c>
      <c r="L4819" s="7" t="str">
        <f aca="false">IF(TRIM(E4819)="","Unknown",IFERROR(LEFT(TRIM(E4819),FIND(",",TRIM(E4819))-1),TRIM(E4819)))</f>
        <v>United States</v>
      </c>
      <c r="M4819" s="7" t="str">
        <f aca="false">IFERROR(LEFT(J4819,FIND(",",J4819)-1),J4819)</f>
        <v>Action &amp; Adventure</v>
      </c>
      <c r="N4819" s="7" t="n">
        <f aca="false">IF(B4819="Movie",IFERROR(VALUE(LEFT(I4819,FIND(" ",I4819)-1)),""),"")</f>
        <v>81</v>
      </c>
      <c r="O4819" s="7" t="str">
        <f aca="false">IF(B4819="TV Show",IFERROR(VALUE(LEFT(I4819,FIND(" ",I4819)-1)),""),"")</f>
        <v/>
      </c>
      <c r="P4819" s="7" t="n">
        <f aca="false">IF(K4819="","",K4819-G4819)</f>
        <v>0</v>
      </c>
    </row>
    <row r="4820" customFormat="false" ht="15" hidden="false" customHeight="false" outlineLevel="0" collapsed="false">
      <c r="A4820" s="7" t="n">
        <v>80999781</v>
      </c>
      <c r="B4820" s="7" t="s">
        <v>68</v>
      </c>
      <c r="C4820" s="7" t="s">
        <v>9776</v>
      </c>
      <c r="D4820" s="7" t="s">
        <v>907</v>
      </c>
      <c r="E4820" s="7" t="s">
        <v>26</v>
      </c>
      <c r="F4820" s="7" t="s">
        <v>9775</v>
      </c>
      <c r="G4820" s="7" t="n">
        <v>2019</v>
      </c>
      <c r="H4820" s="7" t="s">
        <v>50</v>
      </c>
      <c r="I4820" s="7" t="s">
        <v>134</v>
      </c>
      <c r="J4820" s="7" t="s">
        <v>177</v>
      </c>
      <c r="K4820" s="7" t="n">
        <f aca="false">IFERROR(VALUE(RIGHT(TRIM(F4820),4)),"")</f>
        <v>2019</v>
      </c>
      <c r="L4820" s="7" t="str">
        <f aca="false">IF(TRIM(E4820)="","Unknown",IFERROR(LEFT(TRIM(E4820),FIND(",",TRIM(E4820))-1),TRIM(E4820)))</f>
        <v>United States</v>
      </c>
      <c r="M4820" s="7" t="str">
        <f aca="false">IFERROR(LEFT(J4820,FIND(",",J4820)-1),J4820)</f>
        <v>Comedies</v>
      </c>
      <c r="N4820" s="7" t="n">
        <f aca="false">IF(B4820="Movie",IFERROR(VALUE(LEFT(I4820,FIND(" ",I4820)-1)),""),"")</f>
        <v>98</v>
      </c>
      <c r="O4820" s="7" t="str">
        <f aca="false">IF(B4820="TV Show",IFERROR(VALUE(LEFT(I4820,FIND(" ",I4820)-1)),""),"")</f>
        <v/>
      </c>
      <c r="P4820" s="7" t="n">
        <f aca="false">IF(K4820="","",K4820-G4820)</f>
        <v>0</v>
      </c>
    </row>
    <row r="4821" customFormat="false" ht="15" hidden="false" customHeight="false" outlineLevel="0" collapsed="false">
      <c r="A4821" s="7" t="n">
        <v>80997400</v>
      </c>
      <c r="B4821" s="7" t="s">
        <v>68</v>
      </c>
      <c r="C4821" s="7" t="s">
        <v>9777</v>
      </c>
      <c r="D4821" s="7" t="s">
        <v>9778</v>
      </c>
      <c r="E4821" s="7" t="s">
        <v>325</v>
      </c>
      <c r="F4821" s="7" t="s">
        <v>9775</v>
      </c>
      <c r="G4821" s="7" t="n">
        <v>2019</v>
      </c>
      <c r="H4821" s="7" t="s">
        <v>49</v>
      </c>
      <c r="I4821" s="7" t="s">
        <v>93</v>
      </c>
      <c r="J4821" s="7" t="s">
        <v>1703</v>
      </c>
      <c r="K4821" s="7" t="n">
        <f aca="false">IFERROR(VALUE(RIGHT(TRIM(F4821),4)),"")</f>
        <v>2019</v>
      </c>
      <c r="L4821" s="7" t="str">
        <f aca="false">IF(TRIM(E4821)="","Unknown",IFERROR(LEFT(TRIM(E4821),FIND(",",TRIM(E4821))-1),TRIM(E4821)))</f>
        <v>Brazil</v>
      </c>
      <c r="M4821" s="7" t="str">
        <f aca="false">IFERROR(LEFT(J4821,FIND(",",J4821)-1),J4821)</f>
        <v>Dramas</v>
      </c>
      <c r="N4821" s="7" t="n">
        <f aca="false">IF(B4821="Movie",IFERROR(VALUE(LEFT(I4821,FIND(" ",I4821)-1)),""),"")</f>
        <v>110</v>
      </c>
      <c r="O4821" s="7" t="str">
        <f aca="false">IF(B4821="TV Show",IFERROR(VALUE(LEFT(I4821,FIND(" ",I4821)-1)),""),"")</f>
        <v/>
      </c>
      <c r="P4821" s="7" t="n">
        <f aca="false">IF(K4821="","",K4821-G4821)</f>
        <v>0</v>
      </c>
    </row>
    <row r="4822" customFormat="false" ht="15" hidden="false" customHeight="false" outlineLevel="0" collapsed="false">
      <c r="A4822" s="7" t="n">
        <v>70292992</v>
      </c>
      <c r="B4822" s="7" t="s">
        <v>68</v>
      </c>
      <c r="C4822" s="7" t="s">
        <v>9779</v>
      </c>
      <c r="D4822" s="7" t="s">
        <v>2414</v>
      </c>
      <c r="E4822" s="7" t="s">
        <v>28</v>
      </c>
      <c r="F4822" s="7" t="s">
        <v>9775</v>
      </c>
      <c r="G4822" s="7" t="n">
        <v>2013</v>
      </c>
      <c r="H4822" s="7" t="s">
        <v>48</v>
      </c>
      <c r="I4822" s="7" t="s">
        <v>173</v>
      </c>
      <c r="J4822" s="7" t="s">
        <v>188</v>
      </c>
      <c r="K4822" s="7" t="n">
        <f aca="false">IFERROR(VALUE(RIGHT(TRIM(F4822),4)),"")</f>
        <v>2019</v>
      </c>
      <c r="L4822" s="7" t="str">
        <f aca="false">IF(TRIM(E4822)="","Unknown",IFERROR(LEFT(TRIM(E4822),FIND(",",TRIM(E4822))-1),TRIM(E4822)))</f>
        <v>United Kingdom</v>
      </c>
      <c r="M4822" s="7" t="str">
        <f aca="false">IFERROR(LEFT(J4822,FIND(",",J4822)-1),J4822)</f>
        <v>Dramas</v>
      </c>
      <c r="N4822" s="7" t="n">
        <f aca="false">IF(B4822="Movie",IFERROR(VALUE(LEFT(I4822,FIND(" ",I4822)-1)),""),"")</f>
        <v>106</v>
      </c>
      <c r="O4822" s="7" t="str">
        <f aca="false">IF(B4822="TV Show",IFERROR(VALUE(LEFT(I4822,FIND(" ",I4822)-1)),""),"")</f>
        <v/>
      </c>
      <c r="P4822" s="7" t="n">
        <f aca="false">IF(K4822="","",K4822-G4822)</f>
        <v>6</v>
      </c>
    </row>
    <row r="4823" customFormat="false" ht="15" hidden="false" customHeight="false" outlineLevel="0" collapsed="false">
      <c r="A4823" s="7" t="n">
        <v>80226619</v>
      </c>
      <c r="B4823" s="7" t="s">
        <v>78</v>
      </c>
      <c r="C4823" s="7" t="s">
        <v>9780</v>
      </c>
      <c r="E4823" s="7" t="s">
        <v>752</v>
      </c>
      <c r="F4823" s="7" t="s">
        <v>9781</v>
      </c>
      <c r="G4823" s="7" t="n">
        <v>2018</v>
      </c>
      <c r="H4823" s="7" t="s">
        <v>119</v>
      </c>
      <c r="I4823" s="7" t="s">
        <v>82</v>
      </c>
      <c r="J4823" s="7" t="s">
        <v>44</v>
      </c>
      <c r="K4823" s="7" t="n">
        <f aca="false">IFERROR(VALUE(RIGHT(TRIM(F4823),4)),"")</f>
        <v>2018</v>
      </c>
      <c r="L4823" s="7" t="str">
        <f aca="false">IF(TRIM(E4823)="","Unknown",IFERROR(LEFT(TRIM(E4823),FIND(",",TRIM(E4823))-1),TRIM(E4823)))</f>
        <v>Russia</v>
      </c>
      <c r="M4823" s="7" t="str">
        <f aca="false">IFERROR(LEFT(J4823,FIND(",",J4823)-1),J4823)</f>
        <v>Kids' TV</v>
      </c>
      <c r="N4823" s="7" t="str">
        <f aca="false">IF(B4823="Movie",IFERROR(VALUE(LEFT(I4823,FIND(" ",I4823)-1)),""),"")</f>
        <v/>
      </c>
      <c r="O4823" s="7" t="n">
        <f aca="false">IF(B4823="TV Show",IFERROR(VALUE(LEFT(I4823,FIND(" ",I4823)-1)),""),"")</f>
        <v>1</v>
      </c>
      <c r="P4823" s="7" t="n">
        <f aca="false">IF(K4823="","",K4823-G4823)</f>
        <v>0</v>
      </c>
    </row>
    <row r="4824" customFormat="false" ht="15" hidden="false" customHeight="false" outlineLevel="0" collapsed="false">
      <c r="A4824" s="7" t="n">
        <v>70267834</v>
      </c>
      <c r="B4824" s="7" t="s">
        <v>68</v>
      </c>
      <c r="C4824" s="7" t="s">
        <v>9782</v>
      </c>
      <c r="D4824" s="7" t="s">
        <v>2748</v>
      </c>
      <c r="E4824" s="7" t="s">
        <v>26</v>
      </c>
      <c r="F4824" s="7" t="s">
        <v>9781</v>
      </c>
      <c r="G4824" s="7" t="n">
        <v>2013</v>
      </c>
      <c r="H4824" s="7" t="s">
        <v>54</v>
      </c>
      <c r="I4824" s="7" t="s">
        <v>73</v>
      </c>
      <c r="J4824" s="7" t="s">
        <v>39</v>
      </c>
      <c r="K4824" s="7" t="n">
        <f aca="false">IFERROR(VALUE(RIGHT(TRIM(F4824),4)),"")</f>
        <v>2018</v>
      </c>
      <c r="L4824" s="7" t="str">
        <f aca="false">IF(TRIM(E4824)="","Unknown",IFERROR(LEFT(TRIM(E4824),FIND(",",TRIM(E4824))-1),TRIM(E4824)))</f>
        <v>United States</v>
      </c>
      <c r="M4824" s="7" t="str">
        <f aca="false">IFERROR(LEFT(J4824,FIND(",",J4824)-1),J4824)</f>
        <v>Documentaries</v>
      </c>
      <c r="N4824" s="7" t="n">
        <f aca="false">IF(B4824="Movie",IFERROR(VALUE(LEFT(I4824,FIND(" ",I4824)-1)),""),"")</f>
        <v>90</v>
      </c>
      <c r="O4824" s="7" t="str">
        <f aca="false">IF(B4824="TV Show",IFERROR(VALUE(LEFT(I4824,FIND(" ",I4824)-1)),""),"")</f>
        <v/>
      </c>
      <c r="P4824" s="7" t="n">
        <f aca="false">IF(K4824="","",K4824-G4824)</f>
        <v>5</v>
      </c>
    </row>
    <row r="4825" customFormat="false" ht="15" hidden="false" customHeight="false" outlineLevel="0" collapsed="false">
      <c r="A4825" s="7" t="n">
        <v>80193491</v>
      </c>
      <c r="B4825" s="7" t="s">
        <v>68</v>
      </c>
      <c r="C4825" s="7" t="s">
        <v>9783</v>
      </c>
      <c r="D4825" s="7" t="s">
        <v>9784</v>
      </c>
      <c r="E4825" s="7" t="s">
        <v>26</v>
      </c>
      <c r="F4825" s="7" t="s">
        <v>9785</v>
      </c>
      <c r="G4825" s="7" t="n">
        <v>2017</v>
      </c>
      <c r="H4825" s="7" t="s">
        <v>52</v>
      </c>
      <c r="I4825" s="7" t="s">
        <v>111</v>
      </c>
      <c r="J4825" s="7" t="s">
        <v>38</v>
      </c>
      <c r="K4825" s="7" t="n">
        <f aca="false">IFERROR(VALUE(RIGHT(TRIM(F4825),4)),"")</f>
        <v>2017</v>
      </c>
      <c r="L4825" s="7" t="str">
        <f aca="false">IF(TRIM(E4825)="","Unknown",IFERROR(LEFT(TRIM(E4825),FIND(",",TRIM(E4825))-1),TRIM(E4825)))</f>
        <v>United States</v>
      </c>
      <c r="M4825" s="7" t="str">
        <f aca="false">IFERROR(LEFT(J4825,FIND(",",J4825)-1),J4825)</f>
        <v>Comedies</v>
      </c>
      <c r="N4825" s="7" t="n">
        <f aca="false">IF(B4825="Movie",IFERROR(VALUE(LEFT(I4825,FIND(" ",I4825)-1)),""),"")</f>
        <v>95</v>
      </c>
      <c r="O4825" s="7" t="str">
        <f aca="false">IF(B4825="TV Show",IFERROR(VALUE(LEFT(I4825,FIND(" ",I4825)-1)),""),"")</f>
        <v/>
      </c>
      <c r="P4825" s="7" t="n">
        <f aca="false">IF(K4825="","",K4825-G4825)</f>
        <v>0</v>
      </c>
    </row>
    <row r="4826" customFormat="false" ht="15" hidden="false" customHeight="false" outlineLevel="0" collapsed="false">
      <c r="A4826" s="7" t="n">
        <v>80184834</v>
      </c>
      <c r="B4826" s="7" t="s">
        <v>68</v>
      </c>
      <c r="C4826" s="7" t="s">
        <v>9786</v>
      </c>
      <c r="D4826" s="7" t="s">
        <v>2518</v>
      </c>
      <c r="E4826" s="7" t="s">
        <v>26</v>
      </c>
      <c r="F4826" s="7" t="s">
        <v>9785</v>
      </c>
      <c r="G4826" s="7" t="n">
        <v>2017</v>
      </c>
      <c r="H4826" s="7" t="s">
        <v>49</v>
      </c>
      <c r="I4826" s="7" t="s">
        <v>1164</v>
      </c>
      <c r="J4826" s="7" t="s">
        <v>45</v>
      </c>
      <c r="K4826" s="7" t="n">
        <f aca="false">IFERROR(VALUE(RIGHT(TRIM(F4826),4)),"")</f>
        <v>2017</v>
      </c>
      <c r="L4826" s="7" t="str">
        <f aca="false">IF(TRIM(E4826)="","Unknown",IFERROR(LEFT(TRIM(E4826),FIND(",",TRIM(E4826))-1),TRIM(E4826)))</f>
        <v>United States</v>
      </c>
      <c r="M4826" s="7" t="str">
        <f aca="false">IFERROR(LEFT(J4826,FIND(",",J4826)-1),J4826)</f>
        <v>Stand-Up Comedy</v>
      </c>
      <c r="N4826" s="7" t="n">
        <f aca="false">IF(B4826="Movie",IFERROR(VALUE(LEFT(I4826,FIND(" ",I4826)-1)),""),"")</f>
        <v>57</v>
      </c>
      <c r="O4826" s="7" t="str">
        <f aca="false">IF(B4826="TV Show",IFERROR(VALUE(LEFT(I4826,FIND(" ",I4826)-1)),""),"")</f>
        <v/>
      </c>
      <c r="P4826" s="7" t="n">
        <f aca="false">IF(K4826="","",K4826-G4826)</f>
        <v>0</v>
      </c>
    </row>
    <row r="4827" customFormat="false" ht="15" hidden="false" customHeight="false" outlineLevel="0" collapsed="false">
      <c r="A4827" s="7" t="n">
        <v>81046796</v>
      </c>
      <c r="B4827" s="7" t="s">
        <v>68</v>
      </c>
      <c r="C4827" s="7" t="s">
        <v>9787</v>
      </c>
      <c r="D4827" s="7" t="s">
        <v>9788</v>
      </c>
      <c r="E4827" s="7" t="s">
        <v>26</v>
      </c>
      <c r="F4827" s="7" t="s">
        <v>9789</v>
      </c>
      <c r="G4827" s="7" t="n">
        <v>2019</v>
      </c>
      <c r="H4827" s="7" t="s">
        <v>48</v>
      </c>
      <c r="I4827" s="7" t="s">
        <v>340</v>
      </c>
      <c r="J4827" s="7" t="s">
        <v>509</v>
      </c>
      <c r="K4827" s="7" t="n">
        <f aca="false">IFERROR(VALUE(RIGHT(TRIM(F4827),4)),"")</f>
        <v>2019</v>
      </c>
      <c r="L4827" s="7" t="str">
        <f aca="false">IF(TRIM(E4827)="","Unknown",IFERROR(LEFT(TRIM(E4827),FIND(",",TRIM(E4827))-1),TRIM(E4827)))</f>
        <v>United States</v>
      </c>
      <c r="M4827" s="7" t="str">
        <f aca="false">IFERROR(LEFT(J4827,FIND(",",J4827)-1),J4827)</f>
        <v>Documentaries</v>
      </c>
      <c r="N4827" s="7" t="n">
        <f aca="false">IF(B4827="Movie",IFERROR(VALUE(LEFT(I4827,FIND(" ",I4827)-1)),""),"")</f>
        <v>85</v>
      </c>
      <c r="O4827" s="7" t="str">
        <f aca="false">IF(B4827="TV Show",IFERROR(VALUE(LEFT(I4827,FIND(" ",I4827)-1)),""),"")</f>
        <v/>
      </c>
      <c r="P4827" s="7" t="n">
        <f aca="false">IF(K4827="","",K4827-G4827)</f>
        <v>0</v>
      </c>
    </row>
    <row r="4828" customFormat="false" ht="15" hidden="false" customHeight="false" outlineLevel="0" collapsed="false">
      <c r="A4828" s="7" t="n">
        <v>81002601</v>
      </c>
      <c r="B4828" s="7" t="s">
        <v>68</v>
      </c>
      <c r="C4828" s="7" t="s">
        <v>9790</v>
      </c>
      <c r="D4828" s="7" t="s">
        <v>9791</v>
      </c>
      <c r="E4828" s="7" t="s">
        <v>450</v>
      </c>
      <c r="F4828" s="7" t="s">
        <v>9792</v>
      </c>
      <c r="G4828" s="7" t="n">
        <v>2014</v>
      </c>
      <c r="H4828" s="7" t="s">
        <v>48</v>
      </c>
      <c r="I4828" s="7" t="s">
        <v>168</v>
      </c>
      <c r="J4828" s="7" t="s">
        <v>1014</v>
      </c>
      <c r="K4828" s="7" t="n">
        <f aca="false">IFERROR(VALUE(RIGHT(TRIM(F4828),4)),"")</f>
        <v>2018</v>
      </c>
      <c r="L4828" s="7" t="str">
        <f aca="false">IF(TRIM(E4828)="","Unknown",IFERROR(LEFT(TRIM(E4828),FIND(",",TRIM(E4828))-1),TRIM(E4828)))</f>
        <v>Vietnam</v>
      </c>
      <c r="M4828" s="7" t="str">
        <f aca="false">IFERROR(LEFT(J4828,FIND(",",J4828)-1),J4828)</f>
        <v>Horror Movies</v>
      </c>
      <c r="N4828" s="7" t="n">
        <f aca="false">IF(B4828="Movie",IFERROR(VALUE(LEFT(I4828,FIND(" ",I4828)-1)),""),"")</f>
        <v>112</v>
      </c>
      <c r="O4828" s="7" t="str">
        <f aca="false">IF(B4828="TV Show",IFERROR(VALUE(LEFT(I4828,FIND(" ",I4828)-1)),""),"")</f>
        <v/>
      </c>
      <c r="P4828" s="7" t="n">
        <f aca="false">IF(K4828="","",K4828-G4828)</f>
        <v>4</v>
      </c>
    </row>
    <row r="4829" customFormat="false" ht="15" hidden="false" customHeight="false" outlineLevel="0" collapsed="false">
      <c r="A4829" s="7" t="n">
        <v>80177776</v>
      </c>
      <c r="B4829" s="7" t="s">
        <v>68</v>
      </c>
      <c r="C4829" s="7" t="s">
        <v>9793</v>
      </c>
      <c r="D4829" s="7" t="s">
        <v>8603</v>
      </c>
      <c r="E4829" s="7" t="s">
        <v>27</v>
      </c>
      <c r="F4829" s="7" t="s">
        <v>9792</v>
      </c>
      <c r="G4829" s="7" t="n">
        <v>2017</v>
      </c>
      <c r="H4829" s="7" t="s">
        <v>49</v>
      </c>
      <c r="I4829" s="7" t="s">
        <v>727</v>
      </c>
      <c r="J4829" s="7" t="s">
        <v>322</v>
      </c>
      <c r="K4829" s="7" t="n">
        <f aca="false">IFERROR(VALUE(RIGHT(TRIM(F4829),4)),"")</f>
        <v>2018</v>
      </c>
      <c r="L4829" s="7" t="str">
        <f aca="false">IF(TRIM(E4829)="","Unknown",IFERROR(LEFT(TRIM(E4829),FIND(",",TRIM(E4829))-1),TRIM(E4829)))</f>
        <v>India</v>
      </c>
      <c r="M4829" s="7" t="str">
        <f aca="false">IFERROR(LEFT(J4829,FIND(",",J4829)-1),J4829)</f>
        <v>Action &amp; Adventure</v>
      </c>
      <c r="N4829" s="7" t="n">
        <f aca="false">IF(B4829="Movie",IFERROR(VALUE(LEFT(I4829,FIND(" ",I4829)-1)),""),"")</f>
        <v>141</v>
      </c>
      <c r="O4829" s="7" t="str">
        <f aca="false">IF(B4829="TV Show",IFERROR(VALUE(LEFT(I4829,FIND(" ",I4829)-1)),""),"")</f>
        <v/>
      </c>
      <c r="P4829" s="7" t="n">
        <f aca="false">IF(K4829="","",K4829-G4829)</f>
        <v>1</v>
      </c>
    </row>
    <row r="4830" customFormat="false" ht="15" hidden="false" customHeight="false" outlineLevel="0" collapsed="false">
      <c r="A4830" s="7" t="n">
        <v>81016192</v>
      </c>
      <c r="B4830" s="7" t="s">
        <v>68</v>
      </c>
      <c r="C4830" s="7" t="s">
        <v>9794</v>
      </c>
      <c r="D4830" s="7" t="s">
        <v>8192</v>
      </c>
      <c r="E4830" s="7" t="s">
        <v>27</v>
      </c>
      <c r="F4830" s="7" t="s">
        <v>9792</v>
      </c>
      <c r="G4830" s="7" t="n">
        <v>2017</v>
      </c>
      <c r="H4830" s="7" t="s">
        <v>49</v>
      </c>
      <c r="I4830" s="7" t="s">
        <v>2551</v>
      </c>
      <c r="J4830" s="7" t="s">
        <v>206</v>
      </c>
      <c r="K4830" s="7" t="n">
        <f aca="false">IFERROR(VALUE(RIGHT(TRIM(F4830),4)),"")</f>
        <v>2018</v>
      </c>
      <c r="L4830" s="7" t="str">
        <f aca="false">IF(TRIM(E4830)="","Unknown",IFERROR(LEFT(TRIM(E4830),FIND(",",TRIM(E4830))-1),TRIM(E4830)))</f>
        <v>India</v>
      </c>
      <c r="M4830" s="7" t="str">
        <f aca="false">IFERROR(LEFT(J4830,FIND(",",J4830)-1),J4830)</f>
        <v>Comedies</v>
      </c>
      <c r="N4830" s="7" t="n">
        <f aca="false">IF(B4830="Movie",IFERROR(VALUE(LEFT(I4830,FIND(" ",I4830)-1)),""),"")</f>
        <v>120</v>
      </c>
      <c r="O4830" s="7" t="str">
        <f aca="false">IF(B4830="TV Show",IFERROR(VALUE(LEFT(I4830,FIND(" ",I4830)-1)),""),"")</f>
        <v/>
      </c>
      <c r="P4830" s="7" t="n">
        <f aca="false">IF(K4830="","",K4830-G4830)</f>
        <v>1</v>
      </c>
    </row>
    <row r="4831" customFormat="false" ht="15" hidden="false" customHeight="false" outlineLevel="0" collapsed="false">
      <c r="A4831" s="7" t="n">
        <v>81016194</v>
      </c>
      <c r="B4831" s="7" t="s">
        <v>68</v>
      </c>
      <c r="C4831" s="7" t="s">
        <v>9795</v>
      </c>
      <c r="D4831" s="7" t="s">
        <v>4687</v>
      </c>
      <c r="E4831" s="7" t="s">
        <v>27</v>
      </c>
      <c r="F4831" s="7" t="s">
        <v>9792</v>
      </c>
      <c r="G4831" s="7" t="n">
        <v>2017</v>
      </c>
      <c r="H4831" s="7" t="s">
        <v>49</v>
      </c>
      <c r="I4831" s="7" t="s">
        <v>879</v>
      </c>
      <c r="J4831" s="7" t="s">
        <v>322</v>
      </c>
      <c r="K4831" s="7" t="n">
        <f aca="false">IFERROR(VALUE(RIGHT(TRIM(F4831),4)),"")</f>
        <v>2018</v>
      </c>
      <c r="L4831" s="7" t="str">
        <f aca="false">IF(TRIM(E4831)="","Unknown",IFERROR(LEFT(TRIM(E4831),FIND(",",TRIM(E4831))-1),TRIM(E4831)))</f>
        <v>India</v>
      </c>
      <c r="M4831" s="7" t="str">
        <f aca="false">IFERROR(LEFT(J4831,FIND(",",J4831)-1),J4831)</f>
        <v>Action &amp; Adventure</v>
      </c>
      <c r="N4831" s="7" t="n">
        <f aca="false">IF(B4831="Movie",IFERROR(VALUE(LEFT(I4831,FIND(" ",I4831)-1)),""),"")</f>
        <v>140</v>
      </c>
      <c r="O4831" s="7" t="str">
        <f aca="false">IF(B4831="TV Show",IFERROR(VALUE(LEFT(I4831,FIND(" ",I4831)-1)),""),"")</f>
        <v/>
      </c>
      <c r="P4831" s="7" t="n">
        <f aca="false">IF(K4831="","",K4831-G4831)</f>
        <v>1</v>
      </c>
    </row>
    <row r="4832" customFormat="false" ht="15" hidden="false" customHeight="false" outlineLevel="0" collapsed="false">
      <c r="A4832" s="7" t="n">
        <v>80059505</v>
      </c>
      <c r="B4832" s="7" t="s">
        <v>68</v>
      </c>
      <c r="C4832" s="7" t="s">
        <v>9796</v>
      </c>
      <c r="D4832" s="7" t="s">
        <v>9797</v>
      </c>
      <c r="E4832" s="7" t="s">
        <v>26</v>
      </c>
      <c r="F4832" s="7" t="s">
        <v>9798</v>
      </c>
      <c r="G4832" s="7" t="n">
        <v>2015</v>
      </c>
      <c r="H4832" s="7" t="s">
        <v>52</v>
      </c>
      <c r="I4832" s="7" t="s">
        <v>311</v>
      </c>
      <c r="J4832" s="7" t="s">
        <v>5480</v>
      </c>
      <c r="K4832" s="7" t="n">
        <f aca="false">IFERROR(VALUE(RIGHT(TRIM(F4832),4)),"")</f>
        <v>2017</v>
      </c>
      <c r="L4832" s="7" t="str">
        <f aca="false">IF(TRIM(E4832)="","Unknown",IFERROR(LEFT(TRIM(E4832),FIND(",",TRIM(E4832))-1),TRIM(E4832)))</f>
        <v>United States</v>
      </c>
      <c r="M4832" s="7" t="str">
        <f aca="false">IFERROR(LEFT(J4832,FIND(",",J4832)-1),J4832)</f>
        <v>Dramas</v>
      </c>
      <c r="N4832" s="7" t="n">
        <f aca="false">IF(B4832="Movie",IFERROR(VALUE(LEFT(I4832,FIND(" ",I4832)-1)),""),"")</f>
        <v>92</v>
      </c>
      <c r="O4832" s="7" t="str">
        <f aca="false">IF(B4832="TV Show",IFERROR(VALUE(LEFT(I4832,FIND(" ",I4832)-1)),""),"")</f>
        <v/>
      </c>
      <c r="P4832" s="7" t="n">
        <f aca="false">IF(K4832="","",K4832-G4832)</f>
        <v>2</v>
      </c>
    </row>
    <row r="4833" customFormat="false" ht="15" hidden="false" customHeight="false" outlineLevel="0" collapsed="false">
      <c r="A4833" s="7" t="n">
        <v>81009815</v>
      </c>
      <c r="B4833" s="7" t="s">
        <v>68</v>
      </c>
      <c r="C4833" s="7" t="s">
        <v>9799</v>
      </c>
      <c r="D4833" s="7" t="s">
        <v>9800</v>
      </c>
      <c r="E4833" s="7" t="s">
        <v>26</v>
      </c>
      <c r="F4833" s="7" t="s">
        <v>9801</v>
      </c>
      <c r="G4833" s="7" t="n">
        <v>2018</v>
      </c>
      <c r="H4833" s="7" t="s">
        <v>48</v>
      </c>
      <c r="I4833" s="7" t="s">
        <v>494</v>
      </c>
      <c r="J4833" s="7" t="s">
        <v>39</v>
      </c>
      <c r="K4833" s="7" t="n">
        <f aca="false">IFERROR(VALUE(RIGHT(TRIM(F4833),4)),"")</f>
        <v>2018</v>
      </c>
      <c r="L4833" s="7" t="str">
        <f aca="false">IF(TRIM(E4833)="","Unknown",IFERROR(LEFT(TRIM(E4833),FIND(",",TRIM(E4833))-1),TRIM(E4833)))</f>
        <v>United States</v>
      </c>
      <c r="M4833" s="7" t="str">
        <f aca="false">IFERROR(LEFT(J4833,FIND(",",J4833)-1),J4833)</f>
        <v>Documentaries</v>
      </c>
      <c r="N4833" s="7" t="n">
        <f aca="false">IF(B4833="Movie",IFERROR(VALUE(LEFT(I4833,FIND(" ",I4833)-1)),""),"")</f>
        <v>87</v>
      </c>
      <c r="O4833" s="7" t="str">
        <f aca="false">IF(B4833="TV Show",IFERROR(VALUE(LEFT(I4833,FIND(" ",I4833)-1)),""),"")</f>
        <v/>
      </c>
      <c r="P4833" s="7" t="n">
        <f aca="false">IF(K4833="","",K4833-G4833)</f>
        <v>0</v>
      </c>
    </row>
    <row r="4834" customFormat="false" ht="15" hidden="false" customHeight="false" outlineLevel="0" collapsed="false">
      <c r="A4834" s="7" t="n">
        <v>81002281</v>
      </c>
      <c r="B4834" s="7" t="s">
        <v>78</v>
      </c>
      <c r="C4834" s="7" t="s">
        <v>9802</v>
      </c>
      <c r="E4834" s="7" t="s">
        <v>26</v>
      </c>
      <c r="F4834" s="7" t="s">
        <v>9801</v>
      </c>
      <c r="G4834" s="7" t="n">
        <v>2018</v>
      </c>
      <c r="H4834" s="7" t="s">
        <v>49</v>
      </c>
      <c r="I4834" s="7" t="s">
        <v>82</v>
      </c>
      <c r="J4834" s="7" t="s">
        <v>164</v>
      </c>
      <c r="K4834" s="7" t="n">
        <f aca="false">IFERROR(VALUE(RIGHT(TRIM(F4834),4)),"")</f>
        <v>2018</v>
      </c>
      <c r="L4834" s="7" t="str">
        <f aca="false">IF(TRIM(E4834)="","Unknown",IFERROR(LEFT(TRIM(E4834),FIND(",",TRIM(E4834))-1),TRIM(E4834)))</f>
        <v>United States</v>
      </c>
      <c r="M4834" s="7" t="str">
        <f aca="false">IFERROR(LEFT(J4834,FIND(",",J4834)-1),J4834)</f>
        <v>Docuseries</v>
      </c>
      <c r="N4834" s="7" t="str">
        <f aca="false">IF(B4834="Movie",IFERROR(VALUE(LEFT(I4834,FIND(" ",I4834)-1)),""),"")</f>
        <v/>
      </c>
      <c r="O4834" s="7" t="n">
        <f aca="false">IF(B4834="TV Show",IFERROR(VALUE(LEFT(I4834,FIND(" ",I4834)-1)),""),"")</f>
        <v>1</v>
      </c>
      <c r="P4834" s="7" t="n">
        <f aca="false">IF(K4834="","",K4834-G4834)</f>
        <v>0</v>
      </c>
    </row>
    <row r="4835" customFormat="false" ht="15" hidden="false" customHeight="false" outlineLevel="0" collapsed="false">
      <c r="A4835" s="7" t="n">
        <v>80163159</v>
      </c>
      <c r="B4835" s="7" t="s">
        <v>68</v>
      </c>
      <c r="C4835" s="7" t="s">
        <v>9803</v>
      </c>
      <c r="D4835" s="7" t="s">
        <v>9804</v>
      </c>
      <c r="E4835" s="7" t="s">
        <v>9805</v>
      </c>
      <c r="F4835" s="7" t="s">
        <v>9806</v>
      </c>
      <c r="G4835" s="7" t="n">
        <v>2016</v>
      </c>
      <c r="H4835" s="7" t="s">
        <v>48</v>
      </c>
      <c r="I4835" s="7" t="s">
        <v>467</v>
      </c>
      <c r="J4835" s="7" t="s">
        <v>150</v>
      </c>
      <c r="K4835" s="7" t="n">
        <f aca="false">IFERROR(VALUE(RIGHT(TRIM(F4835),4)),"")</f>
        <v>2017</v>
      </c>
      <c r="L4835" s="7" t="str">
        <f aca="false">IF(TRIM(E4835)="","Unknown",IFERROR(LEFT(TRIM(E4835),FIND(",",TRIM(E4835))-1),TRIM(E4835)))</f>
        <v>Canada</v>
      </c>
      <c r="M4835" s="7" t="str">
        <f aca="false">IFERROR(LEFT(J4835,FIND(",",J4835)-1),J4835)</f>
        <v>Dramas</v>
      </c>
      <c r="N4835" s="7" t="n">
        <f aca="false">IF(B4835="Movie",IFERROR(VALUE(LEFT(I4835,FIND(" ",I4835)-1)),""),"")</f>
        <v>81</v>
      </c>
      <c r="O4835" s="7" t="str">
        <f aca="false">IF(B4835="TV Show",IFERROR(VALUE(LEFT(I4835,FIND(" ",I4835)-1)),""),"")</f>
        <v/>
      </c>
      <c r="P4835" s="7" t="n">
        <f aca="false">IF(K4835="","",K4835-G4835)</f>
        <v>1</v>
      </c>
    </row>
    <row r="4836" customFormat="false" ht="15" hidden="false" customHeight="false" outlineLevel="0" collapsed="false">
      <c r="A4836" s="7" t="n">
        <v>81140577</v>
      </c>
      <c r="B4836" s="7" t="s">
        <v>68</v>
      </c>
      <c r="C4836" s="7" t="s">
        <v>9807</v>
      </c>
      <c r="D4836" s="7" t="s">
        <v>1163</v>
      </c>
      <c r="E4836" s="7" t="s">
        <v>26</v>
      </c>
      <c r="F4836" s="7" t="s">
        <v>9808</v>
      </c>
      <c r="G4836" s="7" t="n">
        <v>2019</v>
      </c>
      <c r="H4836" s="7" t="s">
        <v>48</v>
      </c>
      <c r="I4836" s="7" t="s">
        <v>1317</v>
      </c>
      <c r="J4836" s="7" t="s">
        <v>45</v>
      </c>
      <c r="K4836" s="7" t="n">
        <f aca="false">IFERROR(VALUE(RIGHT(TRIM(F4836),4)),"")</f>
        <v>2019</v>
      </c>
      <c r="L4836" s="7" t="str">
        <f aca="false">IF(TRIM(E4836)="","Unknown",IFERROR(LEFT(TRIM(E4836),FIND(",",TRIM(E4836))-1),TRIM(E4836)))</f>
        <v>United States</v>
      </c>
      <c r="M4836" s="7" t="str">
        <f aca="false">IFERROR(LEFT(J4836,FIND(",",J4836)-1),J4836)</f>
        <v>Stand-Up Comedy</v>
      </c>
      <c r="N4836" s="7" t="n">
        <f aca="false">IF(B4836="Movie",IFERROR(VALUE(LEFT(I4836,FIND(" ",I4836)-1)),""),"")</f>
        <v>66</v>
      </c>
      <c r="O4836" s="7" t="str">
        <f aca="false">IF(B4836="TV Show",IFERROR(VALUE(LEFT(I4836,FIND(" ",I4836)-1)),""),"")</f>
        <v/>
      </c>
      <c r="P4836" s="7" t="n">
        <f aca="false">IF(K4836="","",K4836-G4836)</f>
        <v>0</v>
      </c>
    </row>
    <row r="4837" customFormat="false" ht="15" hidden="false" customHeight="false" outlineLevel="0" collapsed="false">
      <c r="A4837" s="7" t="n">
        <v>80108234</v>
      </c>
      <c r="B4837" s="7" t="s">
        <v>68</v>
      </c>
      <c r="C4837" s="7" t="s">
        <v>9809</v>
      </c>
      <c r="D4837" s="7" t="s">
        <v>9810</v>
      </c>
      <c r="E4837" s="7" t="s">
        <v>411</v>
      </c>
      <c r="F4837" s="7" t="s">
        <v>9811</v>
      </c>
      <c r="G4837" s="7" t="n">
        <v>2014</v>
      </c>
      <c r="H4837" s="7" t="s">
        <v>53</v>
      </c>
      <c r="I4837" s="7" t="s">
        <v>87</v>
      </c>
      <c r="J4837" s="7" t="s">
        <v>304</v>
      </c>
      <c r="K4837" s="7" t="n">
        <f aca="false">IFERROR(VALUE(RIGHT(TRIM(F4837),4)),"")</f>
        <v>2018</v>
      </c>
      <c r="L4837" s="7" t="str">
        <f aca="false">IF(TRIM(E4837)="","Unknown",IFERROR(LEFT(TRIM(E4837),FIND(",",TRIM(E4837))-1),TRIM(E4837)))</f>
        <v>Hong Kong</v>
      </c>
      <c r="M4837" s="7" t="str">
        <f aca="false">IFERROR(LEFT(J4837,FIND(",",J4837)-1),J4837)</f>
        <v>Dramas</v>
      </c>
      <c r="N4837" s="7" t="n">
        <f aca="false">IF(B4837="Movie",IFERROR(VALUE(LEFT(I4837,FIND(" ",I4837)-1)),""),"")</f>
        <v>99</v>
      </c>
      <c r="O4837" s="7" t="str">
        <f aca="false">IF(B4837="TV Show",IFERROR(VALUE(LEFT(I4837,FIND(" ",I4837)-1)),""),"")</f>
        <v/>
      </c>
      <c r="P4837" s="7" t="n">
        <f aca="false">IF(K4837="","",K4837-G4837)</f>
        <v>4</v>
      </c>
    </row>
    <row r="4838" customFormat="false" ht="15" hidden="false" customHeight="false" outlineLevel="0" collapsed="false">
      <c r="A4838" s="7" t="n">
        <v>80152442</v>
      </c>
      <c r="B4838" s="7" t="s">
        <v>68</v>
      </c>
      <c r="C4838" s="7" t="s">
        <v>9812</v>
      </c>
      <c r="D4838" s="7" t="s">
        <v>9813</v>
      </c>
      <c r="E4838" s="7" t="s">
        <v>26</v>
      </c>
      <c r="F4838" s="7" t="s">
        <v>9814</v>
      </c>
      <c r="G4838" s="7" t="n">
        <v>2016</v>
      </c>
      <c r="H4838" s="7" t="s">
        <v>48</v>
      </c>
      <c r="I4838" s="7" t="s">
        <v>134</v>
      </c>
      <c r="J4838" s="7" t="s">
        <v>977</v>
      </c>
      <c r="K4838" s="7" t="n">
        <f aca="false">IFERROR(VALUE(RIGHT(TRIM(F4838),4)),"")</f>
        <v>2017</v>
      </c>
      <c r="L4838" s="7" t="str">
        <f aca="false">IF(TRIM(E4838)="","Unknown",IFERROR(LEFT(TRIM(E4838),FIND(",",TRIM(E4838))-1),TRIM(E4838)))</f>
        <v>United States</v>
      </c>
      <c r="M4838" s="7" t="str">
        <f aca="false">IFERROR(LEFT(J4838,FIND(",",J4838)-1),J4838)</f>
        <v>Independent Movies</v>
      </c>
      <c r="N4838" s="7" t="n">
        <f aca="false">IF(B4838="Movie",IFERROR(VALUE(LEFT(I4838,FIND(" ",I4838)-1)),""),"")</f>
        <v>98</v>
      </c>
      <c r="O4838" s="7" t="str">
        <f aca="false">IF(B4838="TV Show",IFERROR(VALUE(LEFT(I4838,FIND(" ",I4838)-1)),""),"")</f>
        <v/>
      </c>
      <c r="P4838" s="7" t="n">
        <f aca="false">IF(K4838="","",K4838-G4838)</f>
        <v>1</v>
      </c>
    </row>
    <row r="4839" customFormat="false" ht="15" hidden="false" customHeight="false" outlineLevel="0" collapsed="false">
      <c r="A4839" s="7" t="n">
        <v>80161232</v>
      </c>
      <c r="B4839" s="7" t="s">
        <v>68</v>
      </c>
      <c r="C4839" s="7" t="s">
        <v>9815</v>
      </c>
      <c r="D4839" s="7" t="s">
        <v>9816</v>
      </c>
      <c r="E4839" s="7" t="s">
        <v>97</v>
      </c>
      <c r="F4839" s="7" t="s">
        <v>9814</v>
      </c>
      <c r="G4839" s="7" t="n">
        <v>2016</v>
      </c>
      <c r="H4839" s="7" t="s">
        <v>48</v>
      </c>
      <c r="I4839" s="7" t="s">
        <v>111</v>
      </c>
      <c r="J4839" s="7" t="s">
        <v>358</v>
      </c>
      <c r="K4839" s="7" t="n">
        <f aca="false">IFERROR(VALUE(RIGHT(TRIM(F4839),4)),"")</f>
        <v>2017</v>
      </c>
      <c r="L4839" s="7" t="str">
        <f aca="false">IF(TRIM(E4839)="","Unknown",IFERROR(LEFT(TRIM(E4839),FIND(",",TRIM(E4839))-1),TRIM(E4839)))</f>
        <v>Chile</v>
      </c>
      <c r="M4839" s="7" t="str">
        <f aca="false">IFERROR(LEFT(J4839,FIND(",",J4839)-1),J4839)</f>
        <v>International Movies</v>
      </c>
      <c r="N4839" s="7" t="n">
        <f aca="false">IF(B4839="Movie",IFERROR(VALUE(LEFT(I4839,FIND(" ",I4839)-1)),""),"")</f>
        <v>95</v>
      </c>
      <c r="O4839" s="7" t="str">
        <f aca="false">IF(B4839="TV Show",IFERROR(VALUE(LEFT(I4839,FIND(" ",I4839)-1)),""),"")</f>
        <v/>
      </c>
      <c r="P4839" s="7" t="n">
        <f aca="false">IF(K4839="","",K4839-G4839)</f>
        <v>1</v>
      </c>
    </row>
    <row r="4840" customFormat="false" ht="15" hidden="false" customHeight="false" outlineLevel="0" collapsed="false">
      <c r="A4840" s="7" t="n">
        <v>70275600</v>
      </c>
      <c r="B4840" s="7" t="s">
        <v>68</v>
      </c>
      <c r="C4840" s="7" t="s">
        <v>9817</v>
      </c>
      <c r="D4840" s="7" t="s">
        <v>9818</v>
      </c>
      <c r="E4840" s="7" t="s">
        <v>9819</v>
      </c>
      <c r="F4840" s="7" t="s">
        <v>9820</v>
      </c>
      <c r="G4840" s="7" t="n">
        <v>2013</v>
      </c>
      <c r="H4840" s="7" t="s">
        <v>7048</v>
      </c>
      <c r="I4840" s="7" t="s">
        <v>9821</v>
      </c>
      <c r="J4840" s="7" t="s">
        <v>188</v>
      </c>
      <c r="K4840" s="7" t="n">
        <f aca="false">IFERROR(VALUE(RIGHT(TRIM(F4840),4)),"")</f>
        <v>2016</v>
      </c>
      <c r="L4840" s="7" t="str">
        <f aca="false">IF(TRIM(E4840)="","Unknown",IFERROR(LEFT(TRIM(E4840),FIND(",",TRIM(E4840))-1),TRIM(E4840)))</f>
        <v>France</v>
      </c>
      <c r="M4840" s="7" t="str">
        <f aca="false">IFERROR(LEFT(J4840,FIND(",",J4840)-1),J4840)</f>
        <v>Dramas</v>
      </c>
      <c r="N4840" s="7" t="n">
        <f aca="false">IF(B4840="Movie",IFERROR(VALUE(LEFT(I4840,FIND(" ",I4840)-1)),""),"")</f>
        <v>180</v>
      </c>
      <c r="O4840" s="7" t="str">
        <f aca="false">IF(B4840="TV Show",IFERROR(VALUE(LEFT(I4840,FIND(" ",I4840)-1)),""),"")</f>
        <v/>
      </c>
      <c r="P4840" s="7" t="n">
        <f aca="false">IF(K4840="","",K4840-G4840)</f>
        <v>3</v>
      </c>
    </row>
    <row r="4841" customFormat="false" ht="15" hidden="false" customHeight="false" outlineLevel="0" collapsed="false">
      <c r="A4841" s="7" t="n">
        <v>80097431</v>
      </c>
      <c r="B4841" s="7" t="s">
        <v>68</v>
      </c>
      <c r="C4841" s="7" t="s">
        <v>9822</v>
      </c>
      <c r="D4841" s="7" t="s">
        <v>1621</v>
      </c>
      <c r="E4841" s="7" t="s">
        <v>26</v>
      </c>
      <c r="F4841" s="7" t="s">
        <v>9820</v>
      </c>
      <c r="G4841" s="7" t="n">
        <v>2016</v>
      </c>
      <c r="H4841" s="7" t="s">
        <v>49</v>
      </c>
      <c r="I4841" s="7" t="s">
        <v>421</v>
      </c>
      <c r="J4841" s="7" t="s">
        <v>45</v>
      </c>
      <c r="K4841" s="7" t="n">
        <f aca="false">IFERROR(VALUE(RIGHT(TRIM(F4841),4)),"")</f>
        <v>2016</v>
      </c>
      <c r="L4841" s="7" t="str">
        <f aca="false">IF(TRIM(E4841)="","Unknown",IFERROR(LEFT(TRIM(E4841),FIND(",",TRIM(E4841))-1),TRIM(E4841)))</f>
        <v>United States</v>
      </c>
      <c r="M4841" s="7" t="str">
        <f aca="false">IFERROR(LEFT(J4841,FIND(",",J4841)-1),J4841)</f>
        <v>Stand-Up Comedy</v>
      </c>
      <c r="N4841" s="7" t="n">
        <f aca="false">IF(B4841="Movie",IFERROR(VALUE(LEFT(I4841,FIND(" ",I4841)-1)),""),"")</f>
        <v>75</v>
      </c>
      <c r="O4841" s="7" t="str">
        <f aca="false">IF(B4841="TV Show",IFERROR(VALUE(LEFT(I4841,FIND(" ",I4841)-1)),""),"")</f>
        <v/>
      </c>
      <c r="P4841" s="7" t="n">
        <f aca="false">IF(K4841="","",K4841-G4841)</f>
        <v>0</v>
      </c>
    </row>
    <row r="4842" customFormat="false" ht="15" hidden="false" customHeight="false" outlineLevel="0" collapsed="false">
      <c r="A4842" s="7" t="n">
        <v>80057691</v>
      </c>
      <c r="B4842" s="7" t="s">
        <v>68</v>
      </c>
      <c r="C4842" s="7" t="s">
        <v>9823</v>
      </c>
      <c r="D4842" s="7" t="s">
        <v>9824</v>
      </c>
      <c r="E4842" s="7" t="s">
        <v>26</v>
      </c>
      <c r="F4842" s="7" t="s">
        <v>9820</v>
      </c>
      <c r="G4842" s="7" t="n">
        <v>2016</v>
      </c>
      <c r="H4842" s="7" t="s">
        <v>48</v>
      </c>
      <c r="I4842" s="7" t="s">
        <v>311</v>
      </c>
      <c r="J4842" s="7" t="s">
        <v>37</v>
      </c>
      <c r="K4842" s="7" t="n">
        <f aca="false">IFERROR(VALUE(RIGHT(TRIM(F4842),4)),"")</f>
        <v>2016</v>
      </c>
      <c r="L4842" s="7" t="str">
        <f aca="false">IF(TRIM(E4842)="","Unknown",IFERROR(LEFT(TRIM(E4842),FIND(",",TRIM(E4842))-1),TRIM(E4842)))</f>
        <v>United States</v>
      </c>
      <c r="M4842" s="7" t="str">
        <f aca="false">IFERROR(LEFT(J4842,FIND(",",J4842)-1),J4842)</f>
        <v>Dramas</v>
      </c>
      <c r="N4842" s="7" t="n">
        <f aca="false">IF(B4842="Movie",IFERROR(VALUE(LEFT(I4842,FIND(" ",I4842)-1)),""),"")</f>
        <v>92</v>
      </c>
      <c r="O4842" s="7" t="str">
        <f aca="false">IF(B4842="TV Show",IFERROR(VALUE(LEFT(I4842,FIND(" ",I4842)-1)),""),"")</f>
        <v/>
      </c>
      <c r="P4842" s="7" t="n">
        <f aca="false">IF(K4842="","",K4842-G4842)</f>
        <v>0</v>
      </c>
    </row>
    <row r="4843" customFormat="false" ht="15" hidden="false" customHeight="false" outlineLevel="0" collapsed="false">
      <c r="A4843" s="7" t="n">
        <v>81003736</v>
      </c>
      <c r="B4843" s="7" t="s">
        <v>68</v>
      </c>
      <c r="C4843" s="7" t="s">
        <v>9825</v>
      </c>
      <c r="D4843" s="7" t="s">
        <v>9826</v>
      </c>
      <c r="E4843" s="7" t="s">
        <v>26</v>
      </c>
      <c r="F4843" s="7" t="s">
        <v>9827</v>
      </c>
      <c r="G4843" s="7" t="n">
        <v>2018</v>
      </c>
      <c r="H4843" s="7" t="s">
        <v>48</v>
      </c>
      <c r="I4843" s="7" t="s">
        <v>311</v>
      </c>
      <c r="J4843" s="7" t="s">
        <v>37</v>
      </c>
      <c r="K4843" s="7" t="n">
        <f aca="false">IFERROR(VALUE(RIGHT(TRIM(F4843),4)),"")</f>
        <v>2019</v>
      </c>
      <c r="L4843" s="7" t="str">
        <f aca="false">IF(TRIM(E4843)="","Unknown",IFERROR(LEFT(TRIM(E4843),FIND(",",TRIM(E4843))-1),TRIM(E4843)))</f>
        <v>United States</v>
      </c>
      <c r="M4843" s="7" t="str">
        <f aca="false">IFERROR(LEFT(J4843,FIND(",",J4843)-1),J4843)</f>
        <v>Dramas</v>
      </c>
      <c r="N4843" s="7" t="n">
        <f aca="false">IF(B4843="Movie",IFERROR(VALUE(LEFT(I4843,FIND(" ",I4843)-1)),""),"")</f>
        <v>92</v>
      </c>
      <c r="O4843" s="7" t="str">
        <f aca="false">IF(B4843="TV Show",IFERROR(VALUE(LEFT(I4843,FIND(" ",I4843)-1)),""),"")</f>
        <v/>
      </c>
      <c r="P4843" s="7" t="n">
        <f aca="false">IF(K4843="","",K4843-G4843)</f>
        <v>1</v>
      </c>
    </row>
    <row r="4844" customFormat="false" ht="15" hidden="false" customHeight="false" outlineLevel="0" collapsed="false">
      <c r="A4844" s="7" t="n">
        <v>70293130</v>
      </c>
      <c r="B4844" s="7" t="s">
        <v>68</v>
      </c>
      <c r="C4844" s="7" t="s">
        <v>9828</v>
      </c>
      <c r="D4844" s="7" t="s">
        <v>3683</v>
      </c>
      <c r="E4844" s="7" t="s">
        <v>26</v>
      </c>
      <c r="F4844" s="7" t="s">
        <v>9829</v>
      </c>
      <c r="G4844" s="7" t="n">
        <v>2013</v>
      </c>
      <c r="H4844" s="7" t="s">
        <v>48</v>
      </c>
      <c r="I4844" s="7" t="s">
        <v>212</v>
      </c>
      <c r="J4844" s="7" t="s">
        <v>39</v>
      </c>
      <c r="K4844" s="7" t="n">
        <f aca="false">IFERROR(VALUE(RIGHT(TRIM(F4844),4)),"")</f>
        <v>2018</v>
      </c>
      <c r="L4844" s="7" t="str">
        <f aca="false">IF(TRIM(E4844)="","Unknown",IFERROR(LEFT(TRIM(E4844),FIND(",",TRIM(E4844))-1),TRIM(E4844)))</f>
        <v>United States</v>
      </c>
      <c r="M4844" s="7" t="str">
        <f aca="false">IFERROR(LEFT(J4844,FIND(",",J4844)-1),J4844)</f>
        <v>Documentaries</v>
      </c>
      <c r="N4844" s="7" t="n">
        <f aca="false">IF(B4844="Movie",IFERROR(VALUE(LEFT(I4844,FIND(" ",I4844)-1)),""),"")</f>
        <v>86</v>
      </c>
      <c r="O4844" s="7" t="str">
        <f aca="false">IF(B4844="TV Show",IFERROR(VALUE(LEFT(I4844,FIND(" ",I4844)-1)),""),"")</f>
        <v/>
      </c>
      <c r="P4844" s="7" t="n">
        <f aca="false">IF(K4844="","",K4844-G4844)</f>
        <v>5</v>
      </c>
    </row>
    <row r="4845" customFormat="false" ht="15" hidden="false" customHeight="false" outlineLevel="0" collapsed="false">
      <c r="A4845" s="7" t="n">
        <v>60000677</v>
      </c>
      <c r="B4845" s="7" t="s">
        <v>68</v>
      </c>
      <c r="C4845" s="7" t="s">
        <v>9830</v>
      </c>
      <c r="D4845" s="7" t="s">
        <v>9831</v>
      </c>
      <c r="E4845" s="7" t="s">
        <v>35</v>
      </c>
      <c r="F4845" s="7" t="s">
        <v>9829</v>
      </c>
      <c r="G4845" s="7" t="n">
        <v>1998</v>
      </c>
      <c r="H4845" s="7" t="s">
        <v>48</v>
      </c>
      <c r="I4845" s="7" t="s">
        <v>417</v>
      </c>
      <c r="J4845" s="7" t="s">
        <v>566</v>
      </c>
      <c r="K4845" s="7" t="n">
        <f aca="false">IFERROR(VALUE(RIGHT(TRIM(F4845),4)),"")</f>
        <v>2018</v>
      </c>
      <c r="L4845" s="7" t="str">
        <f aca="false">IF(TRIM(E4845)="","Unknown",IFERROR(LEFT(TRIM(E4845),FIND(",",TRIM(E4845))-1),TRIM(E4845)))</f>
        <v>Australia</v>
      </c>
      <c r="M4845" s="7" t="str">
        <f aca="false">IFERROR(LEFT(J4845,FIND(",",J4845)-1),J4845)</f>
        <v>Dramas</v>
      </c>
      <c r="N4845" s="7" t="n">
        <f aca="false">IF(B4845="Movie",IFERROR(VALUE(LEFT(I4845,FIND(" ",I4845)-1)),""),"")</f>
        <v>104</v>
      </c>
      <c r="O4845" s="7" t="str">
        <f aca="false">IF(B4845="TV Show",IFERROR(VALUE(LEFT(I4845,FIND(" ",I4845)-1)),""),"")</f>
        <v/>
      </c>
      <c r="P4845" s="7" t="n">
        <f aca="false">IF(K4845="","",K4845-G4845)</f>
        <v>20</v>
      </c>
    </row>
    <row r="4846" customFormat="false" ht="15" hidden="false" customHeight="false" outlineLevel="0" collapsed="false">
      <c r="A4846" s="7" t="n">
        <v>70012316</v>
      </c>
      <c r="B4846" s="7" t="s">
        <v>68</v>
      </c>
      <c r="C4846" s="7" t="s">
        <v>9832</v>
      </c>
      <c r="D4846" s="7" t="s">
        <v>1051</v>
      </c>
      <c r="E4846" s="7" t="s">
        <v>30</v>
      </c>
      <c r="F4846" s="7" t="s">
        <v>9829</v>
      </c>
      <c r="G4846" s="7" t="n">
        <v>2001</v>
      </c>
      <c r="H4846" s="7" t="s">
        <v>48</v>
      </c>
      <c r="I4846" s="7" t="s">
        <v>205</v>
      </c>
      <c r="J4846" s="7" t="s">
        <v>1032</v>
      </c>
      <c r="K4846" s="7" t="n">
        <f aca="false">IFERROR(VALUE(RIGHT(TRIM(F4846),4)),"")</f>
        <v>2018</v>
      </c>
      <c r="L4846" s="7" t="str">
        <f aca="false">IF(TRIM(E4846)="","Unknown",IFERROR(LEFT(TRIM(E4846),FIND(",",TRIM(E4846))-1),TRIM(E4846)))</f>
        <v>Japan</v>
      </c>
      <c r="M4846" s="7" t="str">
        <f aca="false">IFERROR(LEFT(J4846,FIND(",",J4846)-1),J4846)</f>
        <v>Action &amp; Adventure</v>
      </c>
      <c r="N4846" s="7" t="n">
        <f aca="false">IF(B4846="Movie",IFERROR(VALUE(LEFT(I4846,FIND(" ",I4846)-1)),""),"")</f>
        <v>100</v>
      </c>
      <c r="O4846" s="7" t="str">
        <f aca="false">IF(B4846="TV Show",IFERROR(VALUE(LEFT(I4846,FIND(" ",I4846)-1)),""),"")</f>
        <v/>
      </c>
      <c r="P4846" s="7" t="n">
        <f aca="false">IF(K4846="","",K4846-G4846)</f>
        <v>17</v>
      </c>
    </row>
    <row r="4847" customFormat="false" ht="15" hidden="false" customHeight="false" outlineLevel="0" collapsed="false">
      <c r="A4847" s="7" t="n">
        <v>70304914</v>
      </c>
      <c r="B4847" s="7" t="s">
        <v>68</v>
      </c>
      <c r="C4847" s="7" t="s">
        <v>9833</v>
      </c>
      <c r="D4847" s="7" t="s">
        <v>9834</v>
      </c>
      <c r="E4847" s="7" t="s">
        <v>26</v>
      </c>
      <c r="F4847" s="7" t="s">
        <v>9829</v>
      </c>
      <c r="G4847" s="7" t="n">
        <v>2012</v>
      </c>
      <c r="H4847" s="7" t="s">
        <v>48</v>
      </c>
      <c r="I4847" s="7" t="s">
        <v>1644</v>
      </c>
      <c r="J4847" s="7" t="s">
        <v>45</v>
      </c>
      <c r="K4847" s="7" t="n">
        <f aca="false">IFERROR(VALUE(RIGHT(TRIM(F4847),4)),"")</f>
        <v>2018</v>
      </c>
      <c r="L4847" s="7" t="str">
        <f aca="false">IF(TRIM(E4847)="","Unknown",IFERROR(LEFT(TRIM(E4847),FIND(",",TRIM(E4847))-1),TRIM(E4847)))</f>
        <v>United States</v>
      </c>
      <c r="M4847" s="7" t="str">
        <f aca="false">IFERROR(LEFT(J4847,FIND(",",J4847)-1),J4847)</f>
        <v>Stand-Up Comedy</v>
      </c>
      <c r="N4847" s="7" t="n">
        <f aca="false">IF(B4847="Movie",IFERROR(VALUE(LEFT(I4847,FIND(" ",I4847)-1)),""),"")</f>
        <v>50</v>
      </c>
      <c r="O4847" s="7" t="str">
        <f aca="false">IF(B4847="TV Show",IFERROR(VALUE(LEFT(I4847,FIND(" ",I4847)-1)),""),"")</f>
        <v/>
      </c>
      <c r="P4847" s="7" t="n">
        <f aca="false">IF(K4847="","",K4847-G4847)</f>
        <v>6</v>
      </c>
    </row>
    <row r="4848" customFormat="false" ht="15" hidden="false" customHeight="false" outlineLevel="0" collapsed="false">
      <c r="A4848" s="7" t="n">
        <v>70298926</v>
      </c>
      <c r="B4848" s="7" t="s">
        <v>68</v>
      </c>
      <c r="C4848" s="7" t="s">
        <v>9835</v>
      </c>
      <c r="D4848" s="7" t="s">
        <v>7675</v>
      </c>
      <c r="E4848" s="7" t="s">
        <v>9836</v>
      </c>
      <c r="F4848" s="7" t="s">
        <v>9829</v>
      </c>
      <c r="G4848" s="7" t="n">
        <v>2013</v>
      </c>
      <c r="H4848" s="7" t="s">
        <v>48</v>
      </c>
      <c r="I4848" s="7" t="s">
        <v>549</v>
      </c>
      <c r="J4848" s="7" t="s">
        <v>188</v>
      </c>
      <c r="K4848" s="7" t="n">
        <f aca="false">IFERROR(VALUE(RIGHT(TRIM(F4848),4)),"")</f>
        <v>2018</v>
      </c>
      <c r="L4848" s="7" t="str">
        <f aca="false">IF(TRIM(E4848)="","Unknown",IFERROR(LEFT(TRIM(E4848),FIND(",",TRIM(E4848))-1),TRIM(E4848)))</f>
        <v>Denmark</v>
      </c>
      <c r="M4848" s="7" t="str">
        <f aca="false">IFERROR(LEFT(J4848,FIND(",",J4848)-1),J4848)</f>
        <v>Dramas</v>
      </c>
      <c r="N4848" s="7" t="n">
        <f aca="false">IF(B4848="Movie",IFERROR(VALUE(LEFT(I4848,FIND(" ",I4848)-1)),""),"")</f>
        <v>124</v>
      </c>
      <c r="O4848" s="7" t="str">
        <f aca="false">IF(B4848="TV Show",IFERROR(VALUE(LEFT(I4848,FIND(" ",I4848)-1)),""),"")</f>
        <v/>
      </c>
      <c r="P4848" s="7" t="n">
        <f aca="false">IF(K4848="","",K4848-G4848)</f>
        <v>5</v>
      </c>
    </row>
    <row r="4849" customFormat="false" ht="15" hidden="false" customHeight="false" outlineLevel="0" collapsed="false">
      <c r="A4849" s="7" t="n">
        <v>80132127</v>
      </c>
      <c r="B4849" s="7" t="s">
        <v>68</v>
      </c>
      <c r="C4849" s="7" t="s">
        <v>9837</v>
      </c>
      <c r="D4849" s="7" t="s">
        <v>9838</v>
      </c>
      <c r="E4849" s="7" t="s">
        <v>8784</v>
      </c>
      <c r="F4849" s="7" t="s">
        <v>9839</v>
      </c>
      <c r="G4849" s="7" t="n">
        <v>2015</v>
      </c>
      <c r="H4849" s="7" t="s">
        <v>49</v>
      </c>
      <c r="I4849" s="7" t="s">
        <v>820</v>
      </c>
      <c r="J4849" s="7" t="s">
        <v>341</v>
      </c>
      <c r="K4849" s="7" t="n">
        <f aca="false">IFERROR(VALUE(RIGHT(TRIM(F4849),4)),"")</f>
        <v>2017</v>
      </c>
      <c r="L4849" s="7" t="str">
        <f aca="false">IF(TRIM(E4849)="","Unknown",IFERROR(LEFT(TRIM(E4849),FIND(",",TRIM(E4849))-1),TRIM(E4849)))</f>
        <v>Japan</v>
      </c>
      <c r="M4849" s="7" t="str">
        <f aca="false">IFERROR(LEFT(J4849,FIND(",",J4849)-1),J4849)</f>
        <v>Documentaries</v>
      </c>
      <c r="N4849" s="7" t="n">
        <f aca="false">IF(B4849="Movie",IFERROR(VALUE(LEFT(I4849,FIND(" ",I4849)-1)),""),"")</f>
        <v>105</v>
      </c>
      <c r="O4849" s="7" t="str">
        <f aca="false">IF(B4849="TV Show",IFERROR(VALUE(LEFT(I4849,FIND(" ",I4849)-1)),""),"")</f>
        <v/>
      </c>
      <c r="P4849" s="7" t="n">
        <f aca="false">IF(K4849="","",K4849-G4849)</f>
        <v>2</v>
      </c>
    </row>
    <row r="4850" customFormat="false" ht="15" hidden="false" customHeight="false" outlineLevel="0" collapsed="false">
      <c r="A4850" s="7" t="n">
        <v>80164392</v>
      </c>
      <c r="B4850" s="7" t="s">
        <v>68</v>
      </c>
      <c r="C4850" s="7" t="s">
        <v>9840</v>
      </c>
      <c r="D4850" s="7" t="s">
        <v>9841</v>
      </c>
      <c r="E4850" s="7" t="s">
        <v>35</v>
      </c>
      <c r="F4850" s="7" t="s">
        <v>9839</v>
      </c>
      <c r="G4850" s="7" t="n">
        <v>2017</v>
      </c>
      <c r="H4850" s="7" t="s">
        <v>51</v>
      </c>
      <c r="I4850" s="7" t="s">
        <v>237</v>
      </c>
      <c r="J4850" s="7" t="s">
        <v>358</v>
      </c>
      <c r="K4850" s="7" t="n">
        <f aca="false">IFERROR(VALUE(RIGHT(TRIM(F4850),4)),"")</f>
        <v>2017</v>
      </c>
      <c r="L4850" s="7" t="str">
        <f aca="false">IF(TRIM(E4850)="","Unknown",IFERROR(LEFT(TRIM(E4850),FIND(",",TRIM(E4850))-1),TRIM(E4850)))</f>
        <v>Australia</v>
      </c>
      <c r="M4850" s="7" t="str">
        <f aca="false">IFERROR(LEFT(J4850,FIND(",",J4850)-1),J4850)</f>
        <v>International Movies</v>
      </c>
      <c r="N4850" s="7" t="n">
        <f aca="false">IF(B4850="Movie",IFERROR(VALUE(LEFT(I4850,FIND(" ",I4850)-1)),""),"")</f>
        <v>116</v>
      </c>
      <c r="O4850" s="7" t="str">
        <f aca="false">IF(B4850="TV Show",IFERROR(VALUE(LEFT(I4850,FIND(" ",I4850)-1)),""),"")</f>
        <v/>
      </c>
      <c r="P4850" s="7" t="n">
        <f aca="false">IF(K4850="","",K4850-G4850)</f>
        <v>0</v>
      </c>
    </row>
    <row r="4851" customFormat="false" ht="15" hidden="false" customHeight="false" outlineLevel="0" collapsed="false">
      <c r="A4851" s="7" t="n">
        <v>80122759</v>
      </c>
      <c r="B4851" s="7" t="s">
        <v>68</v>
      </c>
      <c r="C4851" s="7" t="s">
        <v>9842</v>
      </c>
      <c r="D4851" s="7" t="s">
        <v>9843</v>
      </c>
      <c r="E4851" s="7" t="s">
        <v>26</v>
      </c>
      <c r="F4851" s="7" t="s">
        <v>9839</v>
      </c>
      <c r="G4851" s="7" t="n">
        <v>2017</v>
      </c>
      <c r="H4851" s="7" t="s">
        <v>48</v>
      </c>
      <c r="I4851" s="7" t="s">
        <v>205</v>
      </c>
      <c r="J4851" s="7" t="s">
        <v>147</v>
      </c>
      <c r="K4851" s="7" t="n">
        <f aca="false">IFERROR(VALUE(RIGHT(TRIM(F4851),4)),"")</f>
        <v>2017</v>
      </c>
      <c r="L4851" s="7" t="str">
        <f aca="false">IF(TRIM(E4851)="","Unknown",IFERROR(LEFT(TRIM(E4851),FIND(",",TRIM(E4851))-1),TRIM(E4851)))</f>
        <v>United States</v>
      </c>
      <c r="M4851" s="7" t="str">
        <f aca="false">IFERROR(LEFT(J4851,FIND(",",J4851)-1),J4851)</f>
        <v>Horror Movies</v>
      </c>
      <c r="N4851" s="7" t="n">
        <f aca="false">IF(B4851="Movie",IFERROR(VALUE(LEFT(I4851,FIND(" ",I4851)-1)),""),"")</f>
        <v>100</v>
      </c>
      <c r="O4851" s="7" t="str">
        <f aca="false">IF(B4851="TV Show",IFERROR(VALUE(LEFT(I4851,FIND(" ",I4851)-1)),""),"")</f>
        <v/>
      </c>
      <c r="P4851" s="7" t="n">
        <f aca="false">IF(K4851="","",K4851-G4851)</f>
        <v>0</v>
      </c>
    </row>
    <row r="4852" customFormat="false" ht="15" hidden="false" customHeight="false" outlineLevel="0" collapsed="false">
      <c r="A4852" s="7" t="n">
        <v>80163366</v>
      </c>
      <c r="B4852" s="7" t="s">
        <v>68</v>
      </c>
      <c r="C4852" s="7" t="s">
        <v>9844</v>
      </c>
      <c r="D4852" s="7" t="s">
        <v>9845</v>
      </c>
      <c r="E4852" s="7" t="s">
        <v>1178</v>
      </c>
      <c r="F4852" s="7" t="s">
        <v>9839</v>
      </c>
      <c r="G4852" s="7" t="n">
        <v>2016</v>
      </c>
      <c r="H4852" s="7" t="s">
        <v>48</v>
      </c>
      <c r="I4852" s="7" t="s">
        <v>111</v>
      </c>
      <c r="J4852" s="7" t="s">
        <v>304</v>
      </c>
      <c r="K4852" s="7" t="n">
        <f aca="false">IFERROR(VALUE(RIGHT(TRIM(F4852),4)),"")</f>
        <v>2017</v>
      </c>
      <c r="L4852" s="7" t="str">
        <f aca="false">IF(TRIM(E4852)="","Unknown",IFERROR(LEFT(TRIM(E4852),FIND(",",TRIM(E4852))-1),TRIM(E4852)))</f>
        <v>Malaysia</v>
      </c>
      <c r="M4852" s="7" t="str">
        <f aca="false">IFERROR(LEFT(J4852,FIND(",",J4852)-1),J4852)</f>
        <v>Dramas</v>
      </c>
      <c r="N4852" s="7" t="n">
        <f aca="false">IF(B4852="Movie",IFERROR(VALUE(LEFT(I4852,FIND(" ",I4852)-1)),""),"")</f>
        <v>95</v>
      </c>
      <c r="O4852" s="7" t="str">
        <f aca="false">IF(B4852="TV Show",IFERROR(VALUE(LEFT(I4852,FIND(" ",I4852)-1)),""),"")</f>
        <v/>
      </c>
      <c r="P4852" s="7" t="n">
        <f aca="false">IF(K4852="","",K4852-G4852)</f>
        <v>1</v>
      </c>
    </row>
    <row r="4853" customFormat="false" ht="15" hidden="false" customHeight="false" outlineLevel="0" collapsed="false">
      <c r="A4853" s="7" t="n">
        <v>80115152</v>
      </c>
      <c r="B4853" s="7" t="s">
        <v>68</v>
      </c>
      <c r="C4853" s="7" t="s">
        <v>9846</v>
      </c>
      <c r="D4853" s="7" t="s">
        <v>9847</v>
      </c>
      <c r="E4853" s="7" t="s">
        <v>1113</v>
      </c>
      <c r="F4853" s="7" t="s">
        <v>9848</v>
      </c>
      <c r="G4853" s="7" t="n">
        <v>2015</v>
      </c>
      <c r="H4853" s="7" t="s">
        <v>48</v>
      </c>
      <c r="I4853" s="7" t="s">
        <v>73</v>
      </c>
      <c r="J4853" s="7" t="s">
        <v>304</v>
      </c>
      <c r="K4853" s="7" t="n">
        <f aca="false">IFERROR(VALUE(RIGHT(TRIM(F4853),4)),"")</f>
        <v>2016</v>
      </c>
      <c r="L4853" s="7" t="str">
        <f aca="false">IF(TRIM(E4853)="","Unknown",IFERROR(LEFT(TRIM(E4853),FIND(",",TRIM(E4853))-1),TRIM(E4853)))</f>
        <v>Argentina</v>
      </c>
      <c r="M4853" s="7" t="str">
        <f aca="false">IFERROR(LEFT(J4853,FIND(",",J4853)-1),J4853)</f>
        <v>Dramas</v>
      </c>
      <c r="N4853" s="7" t="n">
        <f aca="false">IF(B4853="Movie",IFERROR(VALUE(LEFT(I4853,FIND(" ",I4853)-1)),""),"")</f>
        <v>90</v>
      </c>
      <c r="O4853" s="7" t="str">
        <f aca="false">IF(B4853="TV Show",IFERROR(VALUE(LEFT(I4853,FIND(" ",I4853)-1)),""),"")</f>
        <v/>
      </c>
      <c r="P4853" s="7" t="n">
        <f aca="false">IF(K4853="","",K4853-G4853)</f>
        <v>1</v>
      </c>
    </row>
    <row r="4854" customFormat="false" ht="15" hidden="false" customHeight="false" outlineLevel="0" collapsed="false">
      <c r="A4854" s="7" t="n">
        <v>80048569</v>
      </c>
      <c r="B4854" s="7" t="s">
        <v>78</v>
      </c>
      <c r="C4854" s="7" t="s">
        <v>9849</v>
      </c>
      <c r="D4854" s="7" t="s">
        <v>9850</v>
      </c>
      <c r="E4854" s="7" t="s">
        <v>28</v>
      </c>
      <c r="F4854" s="7" t="s">
        <v>9848</v>
      </c>
      <c r="G4854" s="7" t="n">
        <v>2015</v>
      </c>
      <c r="H4854" s="7" t="s">
        <v>49</v>
      </c>
      <c r="I4854" s="7" t="s">
        <v>82</v>
      </c>
      <c r="J4854" s="7" t="s">
        <v>9851</v>
      </c>
      <c r="K4854" s="7" t="n">
        <f aca="false">IFERROR(VALUE(RIGHT(TRIM(F4854),4)),"")</f>
        <v>2016</v>
      </c>
      <c r="L4854" s="7" t="str">
        <f aca="false">IF(TRIM(E4854)="","Unknown",IFERROR(LEFT(TRIM(E4854),FIND(",",TRIM(E4854))-1),TRIM(E4854)))</f>
        <v>United Kingdom</v>
      </c>
      <c r="M4854" s="7" t="str">
        <f aca="false">IFERROR(LEFT(J4854,FIND(",",J4854)-1),J4854)</f>
        <v>British TV Shows</v>
      </c>
      <c r="N4854" s="7" t="str">
        <f aca="false">IF(B4854="Movie",IFERROR(VALUE(LEFT(I4854,FIND(" ",I4854)-1)),""),"")</f>
        <v/>
      </c>
      <c r="O4854" s="7" t="n">
        <f aca="false">IF(B4854="TV Show",IFERROR(VALUE(LEFT(I4854,FIND(" ",I4854)-1)),""),"")</f>
        <v>1</v>
      </c>
      <c r="P4854" s="7" t="n">
        <f aca="false">IF(K4854="","",K4854-G4854)</f>
        <v>1</v>
      </c>
    </row>
    <row r="4855" customFormat="false" ht="15" hidden="false" customHeight="false" outlineLevel="0" collapsed="false">
      <c r="A4855" s="7" t="n">
        <v>81036530</v>
      </c>
      <c r="B4855" s="7" t="s">
        <v>68</v>
      </c>
      <c r="C4855" s="7" t="s">
        <v>9852</v>
      </c>
      <c r="D4855" s="7" t="s">
        <v>9853</v>
      </c>
      <c r="E4855" s="7" t="s">
        <v>411</v>
      </c>
      <c r="F4855" s="7" t="s">
        <v>9854</v>
      </c>
      <c r="G4855" s="7" t="n">
        <v>2016</v>
      </c>
      <c r="H4855" s="7" t="s">
        <v>48</v>
      </c>
      <c r="I4855" s="7" t="s">
        <v>311</v>
      </c>
      <c r="J4855" s="7" t="s">
        <v>202</v>
      </c>
      <c r="K4855" s="7" t="n">
        <f aca="false">IFERROR(VALUE(RIGHT(TRIM(F4855),4)),"")</f>
        <v>2019</v>
      </c>
      <c r="L4855" s="7" t="str">
        <f aca="false">IF(TRIM(E4855)="","Unknown",IFERROR(LEFT(TRIM(E4855),FIND(",",TRIM(E4855))-1),TRIM(E4855)))</f>
        <v>Hong Kong</v>
      </c>
      <c r="M4855" s="7" t="str">
        <f aca="false">IFERROR(LEFT(J4855,FIND(",",J4855)-1),J4855)</f>
        <v>Comedies</v>
      </c>
      <c r="N4855" s="7" t="n">
        <f aca="false">IF(B4855="Movie",IFERROR(VALUE(LEFT(I4855,FIND(" ",I4855)-1)),""),"")</f>
        <v>92</v>
      </c>
      <c r="O4855" s="7" t="str">
        <f aca="false">IF(B4855="TV Show",IFERROR(VALUE(LEFT(I4855,FIND(" ",I4855)-1)),""),"")</f>
        <v/>
      </c>
      <c r="P4855" s="7" t="n">
        <f aca="false">IF(K4855="","",K4855-G4855)</f>
        <v>3</v>
      </c>
    </row>
    <row r="4856" customFormat="false" ht="15" hidden="false" customHeight="false" outlineLevel="0" collapsed="false">
      <c r="A4856" s="7" t="n">
        <v>81145277</v>
      </c>
      <c r="B4856" s="7" t="s">
        <v>68</v>
      </c>
      <c r="C4856" s="7" t="s">
        <v>9855</v>
      </c>
      <c r="D4856" s="7" t="s">
        <v>9856</v>
      </c>
      <c r="E4856" s="7" t="s">
        <v>26</v>
      </c>
      <c r="F4856" s="7" t="s">
        <v>9854</v>
      </c>
      <c r="G4856" s="7" t="n">
        <v>2019</v>
      </c>
      <c r="H4856" s="7" t="s">
        <v>49</v>
      </c>
      <c r="I4856" s="7" t="s">
        <v>470</v>
      </c>
      <c r="J4856" s="7" t="s">
        <v>811</v>
      </c>
      <c r="K4856" s="7" t="n">
        <f aca="false">IFERROR(VALUE(RIGHT(TRIM(F4856),4)),"")</f>
        <v>2019</v>
      </c>
      <c r="L4856" s="7" t="str">
        <f aca="false">IF(TRIM(E4856)="","Unknown",IFERROR(LEFT(TRIM(E4856),FIND(",",TRIM(E4856))-1),TRIM(E4856)))</f>
        <v>United States</v>
      </c>
      <c r="M4856" s="7" t="str">
        <f aca="false">IFERROR(LEFT(J4856,FIND(",",J4856)-1),J4856)</f>
        <v>Thrillers</v>
      </c>
      <c r="N4856" s="7" t="n">
        <f aca="false">IF(B4856="Movie",IFERROR(VALUE(LEFT(I4856,FIND(" ",I4856)-1)),""),"")</f>
        <v>91</v>
      </c>
      <c r="O4856" s="7" t="str">
        <f aca="false">IF(B4856="TV Show",IFERROR(VALUE(LEFT(I4856,FIND(" ",I4856)-1)),""),"")</f>
        <v/>
      </c>
      <c r="P4856" s="7" t="n">
        <f aca="false">IF(K4856="","",K4856-G4856)</f>
        <v>0</v>
      </c>
    </row>
    <row r="4857" customFormat="false" ht="15" hidden="false" customHeight="false" outlineLevel="0" collapsed="false">
      <c r="A4857" s="7" t="n">
        <v>80238360</v>
      </c>
      <c r="B4857" s="7" t="s">
        <v>68</v>
      </c>
      <c r="C4857" s="7" t="s">
        <v>9857</v>
      </c>
      <c r="D4857" s="7" t="s">
        <v>9858</v>
      </c>
      <c r="F4857" s="7" t="s">
        <v>9859</v>
      </c>
      <c r="G4857" s="7" t="n">
        <v>2018</v>
      </c>
      <c r="H4857" s="7" t="s">
        <v>48</v>
      </c>
      <c r="I4857" s="7" t="s">
        <v>1164</v>
      </c>
      <c r="J4857" s="7" t="s">
        <v>45</v>
      </c>
      <c r="K4857" s="7" t="n">
        <f aca="false">IFERROR(VALUE(RIGHT(TRIM(F4857),4)),"")</f>
        <v>2018</v>
      </c>
      <c r="L4857" s="7" t="str">
        <f aca="false">IF(TRIM(E4857)="","Unknown",IFERROR(LEFT(TRIM(E4857),FIND(",",TRIM(E4857))-1),TRIM(E4857)))</f>
        <v>Unknown</v>
      </c>
      <c r="M4857" s="7" t="str">
        <f aca="false">IFERROR(LEFT(J4857,FIND(",",J4857)-1),J4857)</f>
        <v>Stand-Up Comedy</v>
      </c>
      <c r="N4857" s="7" t="n">
        <f aca="false">IF(B4857="Movie",IFERROR(VALUE(LEFT(I4857,FIND(" ",I4857)-1)),""),"")</f>
        <v>57</v>
      </c>
      <c r="O4857" s="7" t="str">
        <f aca="false">IF(B4857="TV Show",IFERROR(VALUE(LEFT(I4857,FIND(" ",I4857)-1)),""),"")</f>
        <v/>
      </c>
      <c r="P4857" s="7" t="n">
        <f aca="false">IF(K4857="","",K4857-G4857)</f>
        <v>0</v>
      </c>
    </row>
    <row r="4858" customFormat="false" ht="15" hidden="false" customHeight="false" outlineLevel="0" collapsed="false">
      <c r="A4858" s="7" t="n">
        <v>80025923</v>
      </c>
      <c r="B4858" s="7" t="s">
        <v>78</v>
      </c>
      <c r="C4858" s="7" t="s">
        <v>9860</v>
      </c>
      <c r="E4858" s="7" t="s">
        <v>1397</v>
      </c>
      <c r="F4858" s="7" t="s">
        <v>9859</v>
      </c>
      <c r="G4858" s="7" t="n">
        <v>2008</v>
      </c>
      <c r="H4858" s="7" t="s">
        <v>48</v>
      </c>
      <c r="I4858" s="7" t="s">
        <v>82</v>
      </c>
      <c r="J4858" s="7" t="s">
        <v>89</v>
      </c>
      <c r="K4858" s="7" t="n">
        <f aca="false">IFERROR(VALUE(RIGHT(TRIM(F4858),4)),"")</f>
        <v>2018</v>
      </c>
      <c r="L4858" s="7" t="str">
        <f aca="false">IF(TRIM(E4858)="","Unknown",IFERROR(LEFT(TRIM(E4858),FIND(",",TRIM(E4858))-1),TRIM(E4858)))</f>
        <v>Colombia</v>
      </c>
      <c r="M4858" s="7" t="str">
        <f aca="false">IFERROR(LEFT(J4858,FIND(",",J4858)-1),J4858)</f>
        <v>Crime TV Shows</v>
      </c>
      <c r="N4858" s="7" t="str">
        <f aca="false">IF(B4858="Movie",IFERROR(VALUE(LEFT(I4858,FIND(" ",I4858)-1)),""),"")</f>
        <v/>
      </c>
      <c r="O4858" s="7" t="n">
        <f aca="false">IF(B4858="TV Show",IFERROR(VALUE(LEFT(I4858,FIND(" ",I4858)-1)),""),"")</f>
        <v>1</v>
      </c>
      <c r="P4858" s="7" t="n">
        <f aca="false">IF(K4858="","",K4858-G4858)</f>
        <v>10</v>
      </c>
    </row>
    <row r="4859" customFormat="false" ht="15" hidden="false" customHeight="false" outlineLevel="0" collapsed="false">
      <c r="A4859" s="7" t="n">
        <v>80035689</v>
      </c>
      <c r="B4859" s="7" t="s">
        <v>78</v>
      </c>
      <c r="C4859" s="7" t="s">
        <v>9861</v>
      </c>
      <c r="E4859" s="7" t="s">
        <v>1397</v>
      </c>
      <c r="F4859" s="7" t="s">
        <v>9859</v>
      </c>
      <c r="G4859" s="7" t="n">
        <v>2010</v>
      </c>
      <c r="H4859" s="7" t="s">
        <v>48</v>
      </c>
      <c r="I4859" s="7" t="s">
        <v>82</v>
      </c>
      <c r="J4859" s="7" t="s">
        <v>89</v>
      </c>
      <c r="K4859" s="7" t="n">
        <f aca="false">IFERROR(VALUE(RIGHT(TRIM(F4859),4)),"")</f>
        <v>2018</v>
      </c>
      <c r="L4859" s="7" t="str">
        <f aca="false">IF(TRIM(E4859)="","Unknown",IFERROR(LEFT(TRIM(E4859),FIND(",",TRIM(E4859))-1),TRIM(E4859)))</f>
        <v>Colombia</v>
      </c>
      <c r="M4859" s="7" t="str">
        <f aca="false">IFERROR(LEFT(J4859,FIND(",",J4859)-1),J4859)</f>
        <v>Crime TV Shows</v>
      </c>
      <c r="N4859" s="7" t="str">
        <f aca="false">IF(B4859="Movie",IFERROR(VALUE(LEFT(I4859,FIND(" ",I4859)-1)),""),"")</f>
        <v/>
      </c>
      <c r="O4859" s="7" t="n">
        <f aca="false">IF(B4859="TV Show",IFERROR(VALUE(LEFT(I4859,FIND(" ",I4859)-1)),""),"")</f>
        <v>1</v>
      </c>
      <c r="P4859" s="7" t="n">
        <f aca="false">IF(K4859="","",K4859-G4859)</f>
        <v>8</v>
      </c>
    </row>
    <row r="4860" customFormat="false" ht="15" hidden="false" customHeight="false" outlineLevel="0" collapsed="false">
      <c r="A4860" s="7" t="n">
        <v>80245450</v>
      </c>
      <c r="B4860" s="7" t="s">
        <v>78</v>
      </c>
      <c r="C4860" s="7" t="s">
        <v>9862</v>
      </c>
      <c r="D4860" s="7" t="s">
        <v>9863</v>
      </c>
      <c r="E4860" s="7" t="s">
        <v>27</v>
      </c>
      <c r="F4860" s="7" t="s">
        <v>9859</v>
      </c>
      <c r="G4860" s="7" t="n">
        <v>2018</v>
      </c>
      <c r="H4860" s="7" t="s">
        <v>48</v>
      </c>
      <c r="I4860" s="7" t="s">
        <v>82</v>
      </c>
      <c r="J4860" s="7" t="s">
        <v>822</v>
      </c>
      <c r="K4860" s="7" t="n">
        <f aca="false">IFERROR(VALUE(RIGHT(TRIM(F4860),4)),"")</f>
        <v>2018</v>
      </c>
      <c r="L4860" s="7" t="str">
        <f aca="false">IF(TRIM(E4860)="","Unknown",IFERROR(LEFT(TRIM(E4860),FIND(",",TRIM(E4860))-1),TRIM(E4860)))</f>
        <v>India</v>
      </c>
      <c r="M4860" s="7" t="str">
        <f aca="false">IFERROR(LEFT(J4860,FIND(",",J4860)-1),J4860)</f>
        <v>International TV Shows</v>
      </c>
      <c r="N4860" s="7" t="str">
        <f aca="false">IF(B4860="Movie",IFERROR(VALUE(LEFT(I4860,FIND(" ",I4860)-1)),""),"")</f>
        <v/>
      </c>
      <c r="O4860" s="7" t="n">
        <f aca="false">IF(B4860="TV Show",IFERROR(VALUE(LEFT(I4860,FIND(" ",I4860)-1)),""),"")</f>
        <v>1</v>
      </c>
      <c r="P4860" s="7" t="n">
        <f aca="false">IF(K4860="","",K4860-G4860)</f>
        <v>0</v>
      </c>
    </row>
    <row r="4861" customFormat="false" ht="15" hidden="false" customHeight="false" outlineLevel="0" collapsed="false">
      <c r="A4861" s="7" t="n">
        <v>81008272</v>
      </c>
      <c r="B4861" s="7" t="s">
        <v>68</v>
      </c>
      <c r="C4861" s="7" t="s">
        <v>9864</v>
      </c>
      <c r="D4861" s="7" t="s">
        <v>4508</v>
      </c>
      <c r="E4861" s="7" t="s">
        <v>29</v>
      </c>
      <c r="F4861" s="7" t="s">
        <v>9859</v>
      </c>
      <c r="G4861" s="7" t="n">
        <v>1998</v>
      </c>
      <c r="H4861" s="7" t="s">
        <v>48</v>
      </c>
      <c r="I4861" s="7" t="s">
        <v>9386</v>
      </c>
      <c r="J4861" s="7" t="s">
        <v>38</v>
      </c>
      <c r="K4861" s="7" t="n">
        <f aca="false">IFERROR(VALUE(RIGHT(TRIM(F4861),4)),"")</f>
        <v>2018</v>
      </c>
      <c r="L4861" s="7" t="str">
        <f aca="false">IF(TRIM(E4861)="","Unknown",IFERROR(LEFT(TRIM(E4861),FIND(",",TRIM(E4861))-1),TRIM(E4861)))</f>
        <v>Canada</v>
      </c>
      <c r="M4861" s="7" t="str">
        <f aca="false">IFERROR(LEFT(J4861,FIND(",",J4861)-1),J4861)</f>
        <v>Comedies</v>
      </c>
      <c r="N4861" s="7" t="n">
        <f aca="false">IF(B4861="Movie",IFERROR(VALUE(LEFT(I4861,FIND(" ",I4861)-1)),""),"")</f>
        <v>31</v>
      </c>
      <c r="O4861" s="7" t="str">
        <f aca="false">IF(B4861="TV Show",IFERROR(VALUE(LEFT(I4861,FIND(" ",I4861)-1)),""),"")</f>
        <v/>
      </c>
      <c r="P4861" s="7" t="n">
        <f aca="false">IF(K4861="","",K4861-G4861)</f>
        <v>20</v>
      </c>
    </row>
    <row r="4862" customFormat="false" ht="15" hidden="false" customHeight="false" outlineLevel="0" collapsed="false">
      <c r="A4862" s="7" t="n">
        <v>81012978</v>
      </c>
      <c r="B4862" s="7" t="s">
        <v>78</v>
      </c>
      <c r="C4862" s="7" t="s">
        <v>9865</v>
      </c>
      <c r="D4862" s="7" t="s">
        <v>9866</v>
      </c>
      <c r="E4862" s="7" t="s">
        <v>366</v>
      </c>
      <c r="F4862" s="7" t="s">
        <v>9859</v>
      </c>
      <c r="G4862" s="7" t="n">
        <v>2018</v>
      </c>
      <c r="H4862" s="7" t="s">
        <v>49</v>
      </c>
      <c r="I4862" s="7" t="s">
        <v>82</v>
      </c>
      <c r="J4862" s="7" t="s">
        <v>335</v>
      </c>
      <c r="K4862" s="7" t="n">
        <f aca="false">IFERROR(VALUE(RIGHT(TRIM(F4862),4)),"")</f>
        <v>2018</v>
      </c>
      <c r="L4862" s="7" t="str">
        <f aca="false">IF(TRIM(E4862)="","Unknown",IFERROR(LEFT(TRIM(E4862),FIND(",",TRIM(E4862))-1),TRIM(E4862)))</f>
        <v>China</v>
      </c>
      <c r="M4862" s="7" t="str">
        <f aca="false">IFERROR(LEFT(J4862,FIND(",",J4862)-1),J4862)</f>
        <v>International TV Shows</v>
      </c>
      <c r="N4862" s="7" t="str">
        <f aca="false">IF(B4862="Movie",IFERROR(VALUE(LEFT(I4862,FIND(" ",I4862)-1)),""),"")</f>
        <v/>
      </c>
      <c r="O4862" s="7" t="n">
        <f aca="false">IF(B4862="TV Show",IFERROR(VALUE(LEFT(I4862,FIND(" ",I4862)-1)),""),"")</f>
        <v>1</v>
      </c>
      <c r="P4862" s="7" t="n">
        <f aca="false">IF(K4862="","",K4862-G4862)</f>
        <v>0</v>
      </c>
    </row>
    <row r="4863" customFormat="false" ht="15" hidden="false" customHeight="false" outlineLevel="0" collapsed="false">
      <c r="A4863" s="7" t="n">
        <v>80144145</v>
      </c>
      <c r="B4863" s="7" t="s">
        <v>68</v>
      </c>
      <c r="C4863" s="7" t="s">
        <v>9867</v>
      </c>
      <c r="D4863" s="7" t="s">
        <v>9868</v>
      </c>
      <c r="E4863" s="7" t="s">
        <v>26</v>
      </c>
      <c r="F4863" s="7" t="s">
        <v>9859</v>
      </c>
      <c r="G4863" s="7" t="n">
        <v>2018</v>
      </c>
      <c r="H4863" s="7" t="s">
        <v>48</v>
      </c>
      <c r="I4863" s="7" t="s">
        <v>73</v>
      </c>
      <c r="J4863" s="7" t="s">
        <v>1589</v>
      </c>
      <c r="K4863" s="7" t="n">
        <f aca="false">IFERROR(VALUE(RIGHT(TRIM(F4863),4)),"")</f>
        <v>2018</v>
      </c>
      <c r="L4863" s="7" t="str">
        <f aca="false">IF(TRIM(E4863)="","Unknown",IFERROR(LEFT(TRIM(E4863),FIND(",",TRIM(E4863))-1),TRIM(E4863)))</f>
        <v>United States</v>
      </c>
      <c r="M4863" s="7" t="str">
        <f aca="false">IFERROR(LEFT(J4863,FIND(",",J4863)-1),J4863)</f>
        <v>Comedies</v>
      </c>
      <c r="N4863" s="7" t="n">
        <f aca="false">IF(B4863="Movie",IFERROR(VALUE(LEFT(I4863,FIND(" ",I4863)-1)),""),"")</f>
        <v>90</v>
      </c>
      <c r="O4863" s="7" t="str">
        <f aca="false">IF(B4863="TV Show",IFERROR(VALUE(LEFT(I4863,FIND(" ",I4863)-1)),""),"")</f>
        <v/>
      </c>
      <c r="P4863" s="7" t="n">
        <f aca="false">IF(K4863="","",K4863-G4863)</f>
        <v>0</v>
      </c>
    </row>
    <row r="4864" customFormat="false" ht="15" hidden="false" customHeight="false" outlineLevel="0" collapsed="false">
      <c r="A4864" s="7" t="n">
        <v>81008283</v>
      </c>
      <c r="B4864" s="7" t="s">
        <v>78</v>
      </c>
      <c r="C4864" s="7" t="s">
        <v>9869</v>
      </c>
      <c r="E4864" s="7" t="s">
        <v>29</v>
      </c>
      <c r="F4864" s="7" t="s">
        <v>9859</v>
      </c>
      <c r="G4864" s="7" t="n">
        <v>2011</v>
      </c>
      <c r="H4864" s="7" t="s">
        <v>48</v>
      </c>
      <c r="I4864" s="7" t="s">
        <v>82</v>
      </c>
      <c r="J4864" s="7" t="s">
        <v>1357</v>
      </c>
      <c r="K4864" s="7" t="n">
        <f aca="false">IFERROR(VALUE(RIGHT(TRIM(F4864),4)),"")</f>
        <v>2018</v>
      </c>
      <c r="L4864" s="7" t="str">
        <f aca="false">IF(TRIM(E4864)="","Unknown",IFERROR(LEFT(TRIM(E4864),FIND(",",TRIM(E4864))-1),TRIM(E4864)))</f>
        <v>Canada</v>
      </c>
      <c r="M4864" s="7" t="str">
        <f aca="false">IFERROR(LEFT(J4864,FIND(",",J4864)-1),J4864)</f>
        <v>International TV Shows</v>
      </c>
      <c r="N4864" s="7" t="str">
        <f aca="false">IF(B4864="Movie",IFERROR(VALUE(LEFT(I4864,FIND(" ",I4864)-1)),""),"")</f>
        <v/>
      </c>
      <c r="O4864" s="7" t="n">
        <f aca="false">IF(B4864="TV Show",IFERROR(VALUE(LEFT(I4864,FIND(" ",I4864)-1)),""),"")</f>
        <v>1</v>
      </c>
      <c r="P4864" s="7" t="n">
        <f aca="false">IF(K4864="","",K4864-G4864)</f>
        <v>7</v>
      </c>
    </row>
    <row r="4865" customFormat="false" ht="15" hidden="false" customHeight="false" outlineLevel="0" collapsed="false">
      <c r="A4865" s="7" t="n">
        <v>80184405</v>
      </c>
      <c r="B4865" s="7" t="s">
        <v>78</v>
      </c>
      <c r="C4865" s="7" t="s">
        <v>8901</v>
      </c>
      <c r="E4865" s="7" t="s">
        <v>28</v>
      </c>
      <c r="F4865" s="7" t="s">
        <v>9859</v>
      </c>
      <c r="G4865" s="7" t="n">
        <v>2018</v>
      </c>
      <c r="H4865" s="7" t="s">
        <v>48</v>
      </c>
      <c r="I4865" s="7" t="s">
        <v>82</v>
      </c>
      <c r="J4865" s="7" t="s">
        <v>1666</v>
      </c>
      <c r="K4865" s="7" t="n">
        <f aca="false">IFERROR(VALUE(RIGHT(TRIM(F4865),4)),"")</f>
        <v>2018</v>
      </c>
      <c r="L4865" s="7" t="str">
        <f aca="false">IF(TRIM(E4865)="","Unknown",IFERROR(LEFT(TRIM(E4865),FIND(",",TRIM(E4865))-1),TRIM(E4865)))</f>
        <v>United Kingdom</v>
      </c>
      <c r="M4865" s="7" t="str">
        <f aca="false">IFERROR(LEFT(J4865,FIND(",",J4865)-1),J4865)</f>
        <v>British TV Shows</v>
      </c>
      <c r="N4865" s="7" t="str">
        <f aca="false">IF(B4865="Movie",IFERROR(VALUE(LEFT(I4865,FIND(" ",I4865)-1)),""),"")</f>
        <v/>
      </c>
      <c r="O4865" s="7" t="n">
        <f aca="false">IF(B4865="TV Show",IFERROR(VALUE(LEFT(I4865,FIND(" ",I4865)-1)),""),"")</f>
        <v>1</v>
      </c>
      <c r="P4865" s="7" t="n">
        <f aca="false">IF(K4865="","",K4865-G4865)</f>
        <v>0</v>
      </c>
    </row>
    <row r="4866" customFormat="false" ht="15" hidden="false" customHeight="false" outlineLevel="0" collapsed="false">
      <c r="A4866" s="7" t="n">
        <v>80224167</v>
      </c>
      <c r="B4866" s="7" t="s">
        <v>68</v>
      </c>
      <c r="C4866" s="7" t="s">
        <v>9870</v>
      </c>
      <c r="D4866" s="7" t="s">
        <v>9871</v>
      </c>
      <c r="E4866" s="7" t="s">
        <v>619</v>
      </c>
      <c r="F4866" s="7" t="s">
        <v>9859</v>
      </c>
      <c r="G4866" s="7" t="n">
        <v>2017</v>
      </c>
      <c r="H4866" s="7" t="s">
        <v>50</v>
      </c>
      <c r="I4866" s="7" t="s">
        <v>138</v>
      </c>
      <c r="J4866" s="7" t="s">
        <v>39</v>
      </c>
      <c r="K4866" s="7" t="n">
        <f aca="false">IFERROR(VALUE(RIGHT(TRIM(F4866),4)),"")</f>
        <v>2018</v>
      </c>
      <c r="L4866" s="7" t="str">
        <f aca="false">IF(TRIM(E4866)="","Unknown",IFERROR(LEFT(TRIM(E4866),FIND(",",TRIM(E4866))-1),TRIM(E4866)))</f>
        <v>Canada</v>
      </c>
      <c r="M4866" s="7" t="str">
        <f aca="false">IFERROR(LEFT(J4866,FIND(",",J4866)-1),J4866)</f>
        <v>Documentaries</v>
      </c>
      <c r="N4866" s="7" t="n">
        <f aca="false">IF(B4866="Movie",IFERROR(VALUE(LEFT(I4866,FIND(" ",I4866)-1)),""),"")</f>
        <v>96</v>
      </c>
      <c r="O4866" s="7" t="str">
        <f aca="false">IF(B4866="TV Show",IFERROR(VALUE(LEFT(I4866,FIND(" ",I4866)-1)),""),"")</f>
        <v/>
      </c>
      <c r="P4866" s="7" t="n">
        <f aca="false">IF(K4866="","",K4866-G4866)</f>
        <v>1</v>
      </c>
    </row>
    <row r="4867" customFormat="false" ht="15" hidden="false" customHeight="false" outlineLevel="0" collapsed="false">
      <c r="A4867" s="7" t="n">
        <v>81155859</v>
      </c>
      <c r="B4867" s="7" t="s">
        <v>68</v>
      </c>
      <c r="C4867" s="7" t="s">
        <v>9872</v>
      </c>
      <c r="D4867" s="7" t="s">
        <v>9873</v>
      </c>
      <c r="E4867" s="7" t="s">
        <v>27</v>
      </c>
      <c r="F4867" s="7" t="s">
        <v>9874</v>
      </c>
      <c r="G4867" s="7" t="n">
        <v>2019</v>
      </c>
      <c r="H4867" s="7" t="s">
        <v>50</v>
      </c>
      <c r="I4867" s="7" t="s">
        <v>201</v>
      </c>
      <c r="J4867" s="7" t="s">
        <v>217</v>
      </c>
      <c r="K4867" s="7" t="n">
        <f aca="false">IFERROR(VALUE(RIGHT(TRIM(F4867),4)),"")</f>
        <v>2019</v>
      </c>
      <c r="L4867" s="7" t="str">
        <f aca="false">IF(TRIM(E4867)="","Unknown",IFERROR(LEFT(TRIM(E4867),FIND(",",TRIM(E4867))-1),TRIM(E4867)))</f>
        <v>India</v>
      </c>
      <c r="M4867" s="7" t="str">
        <f aca="false">IFERROR(LEFT(J4867,FIND(",",J4867)-1),J4867)</f>
        <v>Comedies</v>
      </c>
      <c r="N4867" s="7" t="n">
        <f aca="false">IF(B4867="Movie",IFERROR(VALUE(LEFT(I4867,FIND(" ",I4867)-1)),""),"")</f>
        <v>133</v>
      </c>
      <c r="O4867" s="7" t="str">
        <f aca="false">IF(B4867="TV Show",IFERROR(VALUE(LEFT(I4867,FIND(" ",I4867)-1)),""),"")</f>
        <v/>
      </c>
      <c r="P4867" s="7" t="n">
        <f aca="false">IF(K4867="","",K4867-G4867)</f>
        <v>0</v>
      </c>
    </row>
    <row r="4868" customFormat="false" ht="15" hidden="false" customHeight="false" outlineLevel="0" collapsed="false">
      <c r="A4868" s="7" t="n">
        <v>81155858</v>
      </c>
      <c r="B4868" s="7" t="s">
        <v>68</v>
      </c>
      <c r="C4868" s="7" t="s">
        <v>9875</v>
      </c>
      <c r="D4868" s="7" t="s">
        <v>9876</v>
      </c>
      <c r="E4868" s="7" t="s">
        <v>27</v>
      </c>
      <c r="F4868" s="7" t="s">
        <v>9874</v>
      </c>
      <c r="G4868" s="7" t="n">
        <v>2018</v>
      </c>
      <c r="H4868" s="7" t="s">
        <v>49</v>
      </c>
      <c r="I4868" s="7" t="s">
        <v>130</v>
      </c>
      <c r="J4868" s="7" t="s">
        <v>202</v>
      </c>
      <c r="K4868" s="7" t="n">
        <f aca="false">IFERROR(VALUE(RIGHT(TRIM(F4868),4)),"")</f>
        <v>2019</v>
      </c>
      <c r="L4868" s="7" t="str">
        <f aca="false">IF(TRIM(E4868)="","Unknown",IFERROR(LEFT(TRIM(E4868),FIND(",",TRIM(E4868))-1),TRIM(E4868)))</f>
        <v>India</v>
      </c>
      <c r="M4868" s="7" t="str">
        <f aca="false">IFERROR(LEFT(J4868,FIND(",",J4868)-1),J4868)</f>
        <v>Comedies</v>
      </c>
      <c r="N4868" s="7" t="n">
        <f aca="false">IF(B4868="Movie",IFERROR(VALUE(LEFT(I4868,FIND(" ",I4868)-1)),""),"")</f>
        <v>135</v>
      </c>
      <c r="O4868" s="7" t="str">
        <f aca="false">IF(B4868="TV Show",IFERROR(VALUE(LEFT(I4868,FIND(" ",I4868)-1)),""),"")</f>
        <v/>
      </c>
      <c r="P4868" s="7" t="n">
        <f aca="false">IF(K4868="","",K4868-G4868)</f>
        <v>1</v>
      </c>
    </row>
    <row r="4869" customFormat="false" ht="15" hidden="false" customHeight="false" outlineLevel="0" collapsed="false">
      <c r="A4869" s="7" t="n">
        <v>81147910</v>
      </c>
      <c r="B4869" s="7" t="s">
        <v>68</v>
      </c>
      <c r="C4869" s="7" t="s">
        <v>9877</v>
      </c>
      <c r="D4869" s="7" t="s">
        <v>9878</v>
      </c>
      <c r="E4869" s="7" t="s">
        <v>9879</v>
      </c>
      <c r="F4869" s="7" t="s">
        <v>9874</v>
      </c>
      <c r="G4869" s="7" t="n">
        <v>2019</v>
      </c>
      <c r="H4869" s="7" t="s">
        <v>50</v>
      </c>
      <c r="I4869" s="7" t="s">
        <v>2551</v>
      </c>
      <c r="J4869" s="7" t="s">
        <v>1956</v>
      </c>
      <c r="K4869" s="7" t="n">
        <f aca="false">IFERROR(VALUE(RIGHT(TRIM(F4869),4)),"")</f>
        <v>2019</v>
      </c>
      <c r="L4869" s="7" t="str">
        <f aca="false">IF(TRIM(E4869)="","Unknown",IFERROR(LEFT(TRIM(E4869),FIND(",",TRIM(E4869))-1),TRIM(E4869)))</f>
        <v>China</v>
      </c>
      <c r="M4869" s="7" t="str">
        <f aca="false">IFERROR(LEFT(J4869,FIND(",",J4869)-1),J4869)</f>
        <v>International Movies</v>
      </c>
      <c r="N4869" s="7" t="n">
        <f aca="false">IF(B4869="Movie",IFERROR(VALUE(LEFT(I4869,FIND(" ",I4869)-1)),""),"")</f>
        <v>120</v>
      </c>
      <c r="O4869" s="7" t="str">
        <f aca="false">IF(B4869="TV Show",IFERROR(VALUE(LEFT(I4869,FIND(" ",I4869)-1)),""),"")</f>
        <v/>
      </c>
      <c r="P4869" s="7" t="n">
        <f aca="false">IF(K4869="","",K4869-G4869)</f>
        <v>0</v>
      </c>
    </row>
    <row r="4870" customFormat="false" ht="15" hidden="false" customHeight="false" outlineLevel="0" collapsed="false">
      <c r="A4870" s="7" t="n">
        <v>80203254</v>
      </c>
      <c r="B4870" s="7" t="s">
        <v>78</v>
      </c>
      <c r="C4870" s="7" t="s">
        <v>9880</v>
      </c>
      <c r="E4870" s="7" t="s">
        <v>29</v>
      </c>
      <c r="F4870" s="7" t="s">
        <v>9874</v>
      </c>
      <c r="G4870" s="7" t="n">
        <v>2019</v>
      </c>
      <c r="H4870" s="7" t="s">
        <v>49</v>
      </c>
      <c r="I4870" s="7" t="s">
        <v>82</v>
      </c>
      <c r="J4870" s="7" t="s">
        <v>884</v>
      </c>
      <c r="K4870" s="7" t="n">
        <f aca="false">IFERROR(VALUE(RIGHT(TRIM(F4870),4)),"")</f>
        <v>2019</v>
      </c>
      <c r="L4870" s="7" t="str">
        <f aca="false">IF(TRIM(E4870)="","Unknown",IFERROR(LEFT(TRIM(E4870),FIND(",",TRIM(E4870))-1),TRIM(E4870)))</f>
        <v>Canada</v>
      </c>
      <c r="M4870" s="7" t="str">
        <f aca="false">IFERROR(LEFT(J4870,FIND(",",J4870)-1),J4870)</f>
        <v>International TV Shows</v>
      </c>
      <c r="N4870" s="7" t="str">
        <f aca="false">IF(B4870="Movie",IFERROR(VALUE(LEFT(I4870,FIND(" ",I4870)-1)),""),"")</f>
        <v/>
      </c>
      <c r="O4870" s="7" t="n">
        <f aca="false">IF(B4870="TV Show",IFERROR(VALUE(LEFT(I4870,FIND(" ",I4870)-1)),""),"")</f>
        <v>1</v>
      </c>
      <c r="P4870" s="7" t="n">
        <f aca="false">IF(K4870="","",K4870-G4870)</f>
        <v>0</v>
      </c>
    </row>
    <row r="4871" customFormat="false" ht="15" hidden="false" customHeight="false" outlineLevel="0" collapsed="false">
      <c r="A4871" s="7" t="n">
        <v>81155802</v>
      </c>
      <c r="B4871" s="7" t="s">
        <v>68</v>
      </c>
      <c r="C4871" s="7" t="s">
        <v>9881</v>
      </c>
      <c r="D4871" s="7" t="s">
        <v>9882</v>
      </c>
      <c r="E4871" s="7" t="s">
        <v>27</v>
      </c>
      <c r="F4871" s="7" t="s">
        <v>9874</v>
      </c>
      <c r="G4871" s="7" t="n">
        <v>2019</v>
      </c>
      <c r="H4871" s="7" t="s">
        <v>49</v>
      </c>
      <c r="I4871" s="7" t="s">
        <v>1270</v>
      </c>
      <c r="J4871" s="7" t="s">
        <v>188</v>
      </c>
      <c r="K4871" s="7" t="n">
        <f aca="false">IFERROR(VALUE(RIGHT(TRIM(F4871),4)),"")</f>
        <v>2019</v>
      </c>
      <c r="L4871" s="7" t="str">
        <f aca="false">IF(TRIM(E4871)="","Unknown",IFERROR(LEFT(TRIM(E4871),FIND(",",TRIM(E4871))-1),TRIM(E4871)))</f>
        <v>India</v>
      </c>
      <c r="M4871" s="7" t="str">
        <f aca="false">IFERROR(LEFT(J4871,FIND(",",J4871)-1),J4871)</f>
        <v>Dramas</v>
      </c>
      <c r="N4871" s="7" t="n">
        <f aca="false">IF(B4871="Movie",IFERROR(VALUE(LEFT(I4871,FIND(" ",I4871)-1)),""),"")</f>
        <v>118</v>
      </c>
      <c r="O4871" s="7" t="str">
        <f aca="false">IF(B4871="TV Show",IFERROR(VALUE(LEFT(I4871,FIND(" ",I4871)-1)),""),"")</f>
        <v/>
      </c>
      <c r="P4871" s="7" t="n">
        <f aca="false">IF(K4871="","",K4871-G4871)</f>
        <v>0</v>
      </c>
    </row>
    <row r="4872" customFormat="false" ht="15" hidden="false" customHeight="false" outlineLevel="0" collapsed="false">
      <c r="A4872" s="7" t="n">
        <v>70285728</v>
      </c>
      <c r="B4872" s="7" t="s">
        <v>68</v>
      </c>
      <c r="C4872" s="7" t="s">
        <v>9883</v>
      </c>
      <c r="D4872" s="7" t="s">
        <v>9884</v>
      </c>
      <c r="E4872" s="7" t="s">
        <v>9885</v>
      </c>
      <c r="F4872" s="7" t="s">
        <v>9874</v>
      </c>
      <c r="G4872" s="7" t="n">
        <v>2013</v>
      </c>
      <c r="H4872" s="7" t="s">
        <v>48</v>
      </c>
      <c r="I4872" s="7" t="s">
        <v>869</v>
      </c>
      <c r="J4872" s="7" t="s">
        <v>2458</v>
      </c>
      <c r="K4872" s="7" t="n">
        <f aca="false">IFERROR(VALUE(RIGHT(TRIM(F4872),4)),"")</f>
        <v>2019</v>
      </c>
      <c r="L4872" s="7" t="str">
        <f aca="false">IF(TRIM(E4872)="","Unknown",IFERROR(LEFT(TRIM(E4872),FIND(",",TRIM(E4872))-1),TRIM(E4872)))</f>
        <v>Israel</v>
      </c>
      <c r="M4872" s="7" t="str">
        <f aca="false">IFERROR(LEFT(J4872,FIND(",",J4872)-1),J4872)</f>
        <v>Dramas</v>
      </c>
      <c r="N4872" s="7" t="n">
        <f aca="false">IF(B4872="Movie",IFERROR(VALUE(LEFT(I4872,FIND(" ",I4872)-1)),""),"")</f>
        <v>123</v>
      </c>
      <c r="O4872" s="7" t="str">
        <f aca="false">IF(B4872="TV Show",IFERROR(VALUE(LEFT(I4872,FIND(" ",I4872)-1)),""),"")</f>
        <v/>
      </c>
      <c r="P4872" s="7" t="n">
        <f aca="false">IF(K4872="","",K4872-G4872)</f>
        <v>6</v>
      </c>
    </row>
    <row r="4873" customFormat="false" ht="15" hidden="false" customHeight="false" outlineLevel="0" collapsed="false">
      <c r="A4873" s="7" t="n">
        <v>80243728</v>
      </c>
      <c r="B4873" s="7" t="s">
        <v>78</v>
      </c>
      <c r="C4873" s="7" t="s">
        <v>9886</v>
      </c>
      <c r="E4873" s="7" t="s">
        <v>9887</v>
      </c>
      <c r="F4873" s="7" t="s">
        <v>9888</v>
      </c>
      <c r="G4873" s="7" t="n">
        <v>2018</v>
      </c>
      <c r="H4873" s="7" t="s">
        <v>48</v>
      </c>
      <c r="I4873" s="7" t="s">
        <v>82</v>
      </c>
      <c r="J4873" s="7" t="s">
        <v>402</v>
      </c>
      <c r="K4873" s="7" t="n">
        <f aca="false">IFERROR(VALUE(RIGHT(TRIM(F4873),4)),"")</f>
        <v>2018</v>
      </c>
      <c r="L4873" s="7" t="str">
        <f aca="false">IF(TRIM(E4873)="","Unknown",IFERROR(LEFT(TRIM(E4873),FIND(",",TRIM(E4873))-1),TRIM(E4873)))</f>
        <v>Finland</v>
      </c>
      <c r="M4873" s="7" t="str">
        <f aca="false">IFERROR(LEFT(J4873,FIND(",",J4873)-1),J4873)</f>
        <v>Crime TV Shows</v>
      </c>
      <c r="N4873" s="7" t="str">
        <f aca="false">IF(B4873="Movie",IFERROR(VALUE(LEFT(I4873,FIND(" ",I4873)-1)),""),"")</f>
        <v/>
      </c>
      <c r="O4873" s="7" t="n">
        <f aca="false">IF(B4873="TV Show",IFERROR(VALUE(LEFT(I4873,FIND(" ",I4873)-1)),""),"")</f>
        <v>1</v>
      </c>
      <c r="P4873" s="7" t="n">
        <f aca="false">IF(K4873="","",K4873-G4873)</f>
        <v>0</v>
      </c>
    </row>
    <row r="4874" customFormat="false" ht="15" hidden="false" customHeight="false" outlineLevel="0" collapsed="false">
      <c r="A4874" s="7" t="n">
        <v>70274390</v>
      </c>
      <c r="B4874" s="7" t="s">
        <v>68</v>
      </c>
      <c r="C4874" s="7" t="s">
        <v>9889</v>
      </c>
      <c r="D4874" s="7" t="s">
        <v>9890</v>
      </c>
      <c r="E4874" s="7" t="s">
        <v>868</v>
      </c>
      <c r="F4874" s="7" t="s">
        <v>9888</v>
      </c>
      <c r="G4874" s="7" t="n">
        <v>2006</v>
      </c>
      <c r="H4874" s="7" t="s">
        <v>48</v>
      </c>
      <c r="I4874" s="7" t="s">
        <v>9891</v>
      </c>
      <c r="J4874" s="7" t="s">
        <v>3434</v>
      </c>
      <c r="K4874" s="7" t="n">
        <f aca="false">IFERROR(VALUE(RIGHT(TRIM(F4874),4)),"")</f>
        <v>2018</v>
      </c>
      <c r="L4874" s="7" t="str">
        <f aca="false">IF(TRIM(E4874)="","Unknown",IFERROR(LEFT(TRIM(E4874),FIND(",",TRIM(E4874))-1),TRIM(E4874)))</f>
        <v>Netherlands</v>
      </c>
      <c r="M4874" s="7" t="str">
        <f aca="false">IFERROR(LEFT(J4874,FIND(",",J4874)-1),J4874)</f>
        <v>International Movies</v>
      </c>
      <c r="N4874" s="7" t="n">
        <f aca="false">IF(B4874="Movie",IFERROR(VALUE(LEFT(I4874,FIND(" ",I4874)-1)),""),"")</f>
        <v>196</v>
      </c>
      <c r="O4874" s="7" t="str">
        <f aca="false">IF(B4874="TV Show",IFERROR(VALUE(LEFT(I4874,FIND(" ",I4874)-1)),""),"")</f>
        <v/>
      </c>
      <c r="P4874" s="7" t="n">
        <f aca="false">IF(K4874="","",K4874-G4874)</f>
        <v>12</v>
      </c>
    </row>
    <row r="4875" customFormat="false" ht="15" hidden="false" customHeight="false" outlineLevel="0" collapsed="false">
      <c r="A4875" s="7" t="n">
        <v>80224150</v>
      </c>
      <c r="B4875" s="7" t="s">
        <v>68</v>
      </c>
      <c r="C4875" s="7" t="s">
        <v>9892</v>
      </c>
      <c r="D4875" s="7" t="s">
        <v>9893</v>
      </c>
      <c r="E4875" s="7" t="s">
        <v>719</v>
      </c>
      <c r="F4875" s="7" t="s">
        <v>9888</v>
      </c>
      <c r="G4875" s="7" t="n">
        <v>2017</v>
      </c>
      <c r="H4875" s="7" t="s">
        <v>51</v>
      </c>
      <c r="I4875" s="7" t="s">
        <v>272</v>
      </c>
      <c r="J4875" s="7" t="s">
        <v>169</v>
      </c>
      <c r="K4875" s="7" t="n">
        <f aca="false">IFERROR(VALUE(RIGHT(TRIM(F4875),4)),"")</f>
        <v>2018</v>
      </c>
      <c r="L4875" s="7" t="str">
        <f aca="false">IF(TRIM(E4875)="","Unknown",IFERROR(LEFT(TRIM(E4875),FIND(",",TRIM(E4875))-1),TRIM(E4875)))</f>
        <v>Ireland</v>
      </c>
      <c r="M4875" s="7" t="str">
        <f aca="false">IFERROR(LEFT(J4875,FIND(",",J4875)-1),J4875)</f>
        <v>Horror Movies</v>
      </c>
      <c r="N4875" s="7" t="n">
        <f aca="false">IF(B4875="Movie",IFERROR(VALUE(LEFT(I4875,FIND(" ",I4875)-1)),""),"")</f>
        <v>93</v>
      </c>
      <c r="O4875" s="7" t="str">
        <f aca="false">IF(B4875="TV Show",IFERROR(VALUE(LEFT(I4875,FIND(" ",I4875)-1)),""),"")</f>
        <v/>
      </c>
      <c r="P4875" s="7" t="n">
        <f aca="false">IF(K4875="","",K4875-G4875)</f>
        <v>1</v>
      </c>
    </row>
    <row r="4876" customFormat="false" ht="15" hidden="false" customHeight="false" outlineLevel="0" collapsed="false">
      <c r="A4876" s="7" t="n">
        <v>80128689</v>
      </c>
      <c r="B4876" s="7" t="s">
        <v>68</v>
      </c>
      <c r="C4876" s="7" t="s">
        <v>9894</v>
      </c>
      <c r="D4876" s="7" t="s">
        <v>9560</v>
      </c>
      <c r="E4876" s="7" t="s">
        <v>26</v>
      </c>
      <c r="F4876" s="7" t="s">
        <v>9895</v>
      </c>
      <c r="G4876" s="7" t="n">
        <v>2017</v>
      </c>
      <c r="H4876" s="7" t="s">
        <v>48</v>
      </c>
      <c r="I4876" s="7" t="s">
        <v>254</v>
      </c>
      <c r="J4876" s="7" t="s">
        <v>39</v>
      </c>
      <c r="K4876" s="7" t="n">
        <f aca="false">IFERROR(VALUE(RIGHT(TRIM(F4876),4)),"")</f>
        <v>2017</v>
      </c>
      <c r="L4876" s="7" t="str">
        <f aca="false">IF(TRIM(E4876)="","Unknown",IFERROR(LEFT(TRIM(E4876),FIND(",",TRIM(E4876))-1),TRIM(E4876)))</f>
        <v>United States</v>
      </c>
      <c r="M4876" s="7" t="str">
        <f aca="false">IFERROR(LEFT(J4876,FIND(",",J4876)-1),J4876)</f>
        <v>Documentaries</v>
      </c>
      <c r="N4876" s="7" t="n">
        <f aca="false">IF(B4876="Movie",IFERROR(VALUE(LEFT(I4876,FIND(" ",I4876)-1)),""),"")</f>
        <v>70</v>
      </c>
      <c r="O4876" s="7" t="str">
        <f aca="false">IF(B4876="TV Show",IFERROR(VALUE(LEFT(I4876,FIND(" ",I4876)-1)),""),"")</f>
        <v/>
      </c>
      <c r="P4876" s="7" t="n">
        <f aca="false">IF(K4876="","",K4876-G4876)</f>
        <v>0</v>
      </c>
    </row>
    <row r="4877" customFormat="false" ht="15" hidden="false" customHeight="false" outlineLevel="0" collapsed="false">
      <c r="A4877" s="7" t="n">
        <v>80168068</v>
      </c>
      <c r="B4877" s="7" t="s">
        <v>78</v>
      </c>
      <c r="C4877" s="7" t="s">
        <v>9896</v>
      </c>
      <c r="F4877" s="7" t="s">
        <v>9897</v>
      </c>
      <c r="G4877" s="7" t="n">
        <v>2019</v>
      </c>
      <c r="H4877" s="7" t="s">
        <v>48</v>
      </c>
      <c r="I4877" s="7" t="s">
        <v>82</v>
      </c>
      <c r="J4877" s="7" t="s">
        <v>637</v>
      </c>
      <c r="K4877" s="7" t="n">
        <f aca="false">IFERROR(VALUE(RIGHT(TRIM(F4877),4)),"")</f>
        <v>2019</v>
      </c>
      <c r="L4877" s="7" t="str">
        <f aca="false">IF(TRIM(E4877)="","Unknown",IFERROR(LEFT(TRIM(E4877),FIND(",",TRIM(E4877))-1),TRIM(E4877)))</f>
        <v>Unknown</v>
      </c>
      <c r="M4877" s="7" t="str">
        <f aca="false">IFERROR(LEFT(J4877,FIND(",",J4877)-1),J4877)</f>
        <v>International TV Shows</v>
      </c>
      <c r="N4877" s="7" t="str">
        <f aca="false">IF(B4877="Movie",IFERROR(VALUE(LEFT(I4877,FIND(" ",I4877)-1)),""),"")</f>
        <v/>
      </c>
      <c r="O4877" s="7" t="n">
        <f aca="false">IF(B4877="TV Show",IFERROR(VALUE(LEFT(I4877,FIND(" ",I4877)-1)),""),"")</f>
        <v>1</v>
      </c>
      <c r="P4877" s="7" t="n">
        <f aca="false">IF(K4877="","",K4877-G4877)</f>
        <v>0</v>
      </c>
    </row>
    <row r="4878" customFormat="false" ht="15" hidden="false" customHeight="false" outlineLevel="0" collapsed="false">
      <c r="A4878" s="7" t="n">
        <v>80185322</v>
      </c>
      <c r="B4878" s="7" t="s">
        <v>68</v>
      </c>
      <c r="C4878" s="7" t="s">
        <v>9898</v>
      </c>
      <c r="D4878" s="7" t="s">
        <v>2518</v>
      </c>
      <c r="E4878" s="7" t="s">
        <v>26</v>
      </c>
      <c r="F4878" s="7" t="s">
        <v>9899</v>
      </c>
      <c r="G4878" s="7" t="n">
        <v>2017</v>
      </c>
      <c r="H4878" s="7" t="s">
        <v>48</v>
      </c>
      <c r="I4878" s="7" t="s">
        <v>1642</v>
      </c>
      <c r="J4878" s="7" t="s">
        <v>45</v>
      </c>
      <c r="K4878" s="7" t="n">
        <f aca="false">IFERROR(VALUE(RIGHT(TRIM(F4878),4)),"")</f>
        <v>2017</v>
      </c>
      <c r="L4878" s="7" t="str">
        <f aca="false">IF(TRIM(E4878)="","Unknown",IFERROR(LEFT(TRIM(E4878),FIND(",",TRIM(E4878))-1),TRIM(E4878)))</f>
        <v>United States</v>
      </c>
      <c r="M4878" s="7" t="str">
        <f aca="false">IFERROR(LEFT(J4878,FIND(",",J4878)-1),J4878)</f>
        <v>Stand-Up Comedy</v>
      </c>
      <c r="N4878" s="7" t="n">
        <f aca="false">IF(B4878="Movie",IFERROR(VALUE(LEFT(I4878,FIND(" ",I4878)-1)),""),"")</f>
        <v>51</v>
      </c>
      <c r="O4878" s="7" t="str">
        <f aca="false">IF(B4878="TV Show",IFERROR(VALUE(LEFT(I4878,FIND(" ",I4878)-1)),""),"")</f>
        <v/>
      </c>
      <c r="P4878" s="7" t="n">
        <f aca="false">IF(K4878="","",K4878-G4878)</f>
        <v>0</v>
      </c>
    </row>
    <row r="4879" customFormat="false" ht="15" hidden="false" customHeight="false" outlineLevel="0" collapsed="false">
      <c r="A4879" s="7" t="n">
        <v>80163054</v>
      </c>
      <c r="B4879" s="7" t="s">
        <v>68</v>
      </c>
      <c r="C4879" s="7" t="s">
        <v>9900</v>
      </c>
      <c r="D4879" s="7" t="s">
        <v>9901</v>
      </c>
      <c r="E4879" s="7" t="s">
        <v>29</v>
      </c>
      <c r="F4879" s="7" t="s">
        <v>9899</v>
      </c>
      <c r="G4879" s="7" t="n">
        <v>2016</v>
      </c>
      <c r="H4879" s="7" t="s">
        <v>49</v>
      </c>
      <c r="I4879" s="7" t="s">
        <v>77</v>
      </c>
      <c r="J4879" s="7" t="s">
        <v>2776</v>
      </c>
      <c r="K4879" s="7" t="n">
        <f aca="false">IFERROR(VALUE(RIGHT(TRIM(F4879),4)),"")</f>
        <v>2017</v>
      </c>
      <c r="L4879" s="7" t="str">
        <f aca="false">IF(TRIM(E4879)="","Unknown",IFERROR(LEFT(TRIM(E4879),FIND(",",TRIM(E4879))-1),TRIM(E4879)))</f>
        <v>Canada</v>
      </c>
      <c r="M4879" s="7" t="str">
        <f aca="false">IFERROR(LEFT(J4879,FIND(",",J4879)-1),J4879)</f>
        <v>Comedies</v>
      </c>
      <c r="N4879" s="7" t="n">
        <f aca="false">IF(B4879="Movie",IFERROR(VALUE(LEFT(I4879,FIND(" ",I4879)-1)),""),"")</f>
        <v>94</v>
      </c>
      <c r="O4879" s="7" t="str">
        <f aca="false">IF(B4879="TV Show",IFERROR(VALUE(LEFT(I4879,FIND(" ",I4879)-1)),""),"")</f>
        <v/>
      </c>
      <c r="P4879" s="7" t="n">
        <f aca="false">IF(K4879="","",K4879-G4879)</f>
        <v>1</v>
      </c>
    </row>
    <row r="4880" customFormat="false" ht="15" hidden="false" customHeight="false" outlineLevel="0" collapsed="false">
      <c r="A4880" s="7" t="n">
        <v>81090071</v>
      </c>
      <c r="B4880" s="7" t="s">
        <v>68</v>
      </c>
      <c r="C4880" s="7" t="s">
        <v>9902</v>
      </c>
      <c r="D4880" s="7" t="s">
        <v>9903</v>
      </c>
      <c r="E4880" s="7" t="s">
        <v>26</v>
      </c>
      <c r="F4880" s="7" t="s">
        <v>9904</v>
      </c>
      <c r="G4880" s="7" t="n">
        <v>2019</v>
      </c>
      <c r="H4880" s="7" t="s">
        <v>49</v>
      </c>
      <c r="I4880" s="7" t="s">
        <v>93</v>
      </c>
      <c r="J4880" s="7" t="s">
        <v>39</v>
      </c>
      <c r="K4880" s="7" t="n">
        <f aca="false">IFERROR(VALUE(RIGHT(TRIM(F4880),4)),"")</f>
        <v>2019</v>
      </c>
      <c r="L4880" s="7" t="str">
        <f aca="false">IF(TRIM(E4880)="","Unknown",IFERROR(LEFT(TRIM(E4880),FIND(",",TRIM(E4880))-1),TRIM(E4880)))</f>
        <v>United States</v>
      </c>
      <c r="M4880" s="7" t="str">
        <f aca="false">IFERROR(LEFT(J4880,FIND(",",J4880)-1),J4880)</f>
        <v>Documentaries</v>
      </c>
      <c r="N4880" s="7" t="n">
        <f aca="false">IF(B4880="Movie",IFERROR(VALUE(LEFT(I4880,FIND(" ",I4880)-1)),""),"")</f>
        <v>110</v>
      </c>
      <c r="O4880" s="7" t="str">
        <f aca="false">IF(B4880="TV Show",IFERROR(VALUE(LEFT(I4880,FIND(" ",I4880)-1)),""),"")</f>
        <v/>
      </c>
      <c r="P4880" s="7" t="n">
        <f aca="false">IF(K4880="","",K4880-G4880)</f>
        <v>0</v>
      </c>
    </row>
    <row r="4881" customFormat="false" ht="15" hidden="false" customHeight="false" outlineLevel="0" collapsed="false">
      <c r="A4881" s="7" t="n">
        <v>81151880</v>
      </c>
      <c r="B4881" s="7" t="s">
        <v>68</v>
      </c>
      <c r="C4881" s="7" t="s">
        <v>9905</v>
      </c>
      <c r="D4881" s="7" t="s">
        <v>9906</v>
      </c>
      <c r="E4881" s="7" t="s">
        <v>9907</v>
      </c>
      <c r="F4881" s="7" t="s">
        <v>9904</v>
      </c>
      <c r="G4881" s="7" t="n">
        <v>2019</v>
      </c>
      <c r="H4881" s="7" t="s">
        <v>48</v>
      </c>
      <c r="I4881" s="7" t="s">
        <v>134</v>
      </c>
      <c r="J4881" s="7" t="s">
        <v>1014</v>
      </c>
      <c r="K4881" s="7" t="n">
        <f aca="false">IFERROR(VALUE(RIGHT(TRIM(F4881),4)),"")</f>
        <v>2019</v>
      </c>
      <c r="L4881" s="7" t="str">
        <f aca="false">IF(TRIM(E4881)="","Unknown",IFERROR(LEFT(TRIM(E4881),FIND(",",TRIM(E4881))-1),TRIM(E4881)))</f>
        <v>India</v>
      </c>
      <c r="M4881" s="7" t="str">
        <f aca="false">IFERROR(LEFT(J4881,FIND(",",J4881)-1),J4881)</f>
        <v>Horror Movies</v>
      </c>
      <c r="N4881" s="7" t="n">
        <f aca="false">IF(B4881="Movie",IFERROR(VALUE(LEFT(I4881,FIND(" ",I4881)-1)),""),"")</f>
        <v>98</v>
      </c>
      <c r="O4881" s="7" t="str">
        <f aca="false">IF(B4881="TV Show",IFERROR(VALUE(LEFT(I4881,FIND(" ",I4881)-1)),""),"")</f>
        <v/>
      </c>
      <c r="P4881" s="7" t="n">
        <f aca="false">IF(K4881="","",K4881-G4881)</f>
        <v>0</v>
      </c>
    </row>
    <row r="4882" customFormat="false" ht="15" hidden="false" customHeight="false" outlineLevel="0" collapsed="false">
      <c r="A4882" s="7" t="n">
        <v>81151877</v>
      </c>
      <c r="B4882" s="7" t="s">
        <v>68</v>
      </c>
      <c r="C4882" s="7" t="s">
        <v>9908</v>
      </c>
      <c r="D4882" s="7" t="s">
        <v>9906</v>
      </c>
      <c r="E4882" s="7" t="s">
        <v>9907</v>
      </c>
      <c r="F4882" s="7" t="s">
        <v>9904</v>
      </c>
      <c r="G4882" s="7" t="n">
        <v>2019</v>
      </c>
      <c r="H4882" s="7" t="s">
        <v>48</v>
      </c>
      <c r="I4882" s="7" t="s">
        <v>134</v>
      </c>
      <c r="J4882" s="7" t="s">
        <v>1014</v>
      </c>
      <c r="K4882" s="7" t="n">
        <f aca="false">IFERROR(VALUE(RIGHT(TRIM(F4882),4)),"")</f>
        <v>2019</v>
      </c>
      <c r="L4882" s="7" t="str">
        <f aca="false">IF(TRIM(E4882)="","Unknown",IFERROR(LEFT(TRIM(E4882),FIND(",",TRIM(E4882))-1),TRIM(E4882)))</f>
        <v>India</v>
      </c>
      <c r="M4882" s="7" t="str">
        <f aca="false">IFERROR(LEFT(J4882,FIND(",",J4882)-1),J4882)</f>
        <v>Horror Movies</v>
      </c>
      <c r="N4882" s="7" t="n">
        <f aca="false">IF(B4882="Movie",IFERROR(VALUE(LEFT(I4882,FIND(" ",I4882)-1)),""),"")</f>
        <v>98</v>
      </c>
      <c r="O4882" s="7" t="str">
        <f aca="false">IF(B4882="TV Show",IFERROR(VALUE(LEFT(I4882,FIND(" ",I4882)-1)),""),"")</f>
        <v/>
      </c>
      <c r="P4882" s="7" t="n">
        <f aca="false">IF(K4882="","",K4882-G4882)</f>
        <v>0</v>
      </c>
    </row>
    <row r="4883" customFormat="false" ht="15" hidden="false" customHeight="false" outlineLevel="0" collapsed="false">
      <c r="A4883" s="7" t="n">
        <v>81151878</v>
      </c>
      <c r="B4883" s="7" t="s">
        <v>68</v>
      </c>
      <c r="C4883" s="7" t="s">
        <v>9909</v>
      </c>
      <c r="D4883" s="7" t="s">
        <v>9906</v>
      </c>
      <c r="E4883" s="7" t="s">
        <v>9907</v>
      </c>
      <c r="F4883" s="7" t="s">
        <v>9904</v>
      </c>
      <c r="G4883" s="7" t="n">
        <v>2019</v>
      </c>
      <c r="H4883" s="7" t="s">
        <v>48</v>
      </c>
      <c r="I4883" s="7" t="s">
        <v>134</v>
      </c>
      <c r="J4883" s="7" t="s">
        <v>1014</v>
      </c>
      <c r="K4883" s="7" t="n">
        <f aca="false">IFERROR(VALUE(RIGHT(TRIM(F4883),4)),"")</f>
        <v>2019</v>
      </c>
      <c r="L4883" s="7" t="str">
        <f aca="false">IF(TRIM(E4883)="","Unknown",IFERROR(LEFT(TRIM(E4883),FIND(",",TRIM(E4883))-1),TRIM(E4883)))</f>
        <v>India</v>
      </c>
      <c r="M4883" s="7" t="str">
        <f aca="false">IFERROR(LEFT(J4883,FIND(",",J4883)-1),J4883)</f>
        <v>Horror Movies</v>
      </c>
      <c r="N4883" s="7" t="n">
        <f aca="false">IF(B4883="Movie",IFERROR(VALUE(LEFT(I4883,FIND(" ",I4883)-1)),""),"")</f>
        <v>98</v>
      </c>
      <c r="O4883" s="7" t="str">
        <f aca="false">IF(B4883="TV Show",IFERROR(VALUE(LEFT(I4883,FIND(" ",I4883)-1)),""),"")</f>
        <v/>
      </c>
      <c r="P4883" s="7" t="n">
        <f aca="false">IF(K4883="","",K4883-G4883)</f>
        <v>0</v>
      </c>
    </row>
    <row r="4884" customFormat="false" ht="15" hidden="false" customHeight="false" outlineLevel="0" collapsed="false">
      <c r="A4884" s="7" t="n">
        <v>80189648</v>
      </c>
      <c r="B4884" s="7" t="s">
        <v>78</v>
      </c>
      <c r="C4884" s="7" t="s">
        <v>9910</v>
      </c>
      <c r="E4884" s="7" t="s">
        <v>26</v>
      </c>
      <c r="F4884" s="7" t="s">
        <v>9904</v>
      </c>
      <c r="G4884" s="7" t="n">
        <v>2019</v>
      </c>
      <c r="H4884" s="7" t="s">
        <v>50</v>
      </c>
      <c r="I4884" s="7" t="s">
        <v>82</v>
      </c>
      <c r="J4884" s="7" t="s">
        <v>701</v>
      </c>
      <c r="K4884" s="7" t="n">
        <f aca="false">IFERROR(VALUE(RIGHT(TRIM(F4884),4)),"")</f>
        <v>2019</v>
      </c>
      <c r="L4884" s="7" t="str">
        <f aca="false">IF(TRIM(E4884)="","Unknown",IFERROR(LEFT(TRIM(E4884),FIND(",",TRIM(E4884))-1),TRIM(E4884)))</f>
        <v>United States</v>
      </c>
      <c r="M4884" s="7" t="str">
        <f aca="false">IFERROR(LEFT(J4884,FIND(",",J4884)-1),J4884)</f>
        <v>Reality TV</v>
      </c>
      <c r="N4884" s="7" t="str">
        <f aca="false">IF(B4884="Movie",IFERROR(VALUE(LEFT(I4884,FIND(" ",I4884)-1)),""),"")</f>
        <v/>
      </c>
      <c r="O4884" s="7" t="n">
        <f aca="false">IF(B4884="TV Show",IFERROR(VALUE(LEFT(I4884,FIND(" ",I4884)-1)),""),"")</f>
        <v>1</v>
      </c>
      <c r="P4884" s="7" t="n">
        <f aca="false">IF(K4884="","",K4884-G4884)</f>
        <v>0</v>
      </c>
    </row>
    <row r="4885" customFormat="false" ht="15" hidden="false" customHeight="false" outlineLevel="0" collapsed="false">
      <c r="A4885" s="7" t="n">
        <v>81144912</v>
      </c>
      <c r="B4885" s="7" t="s">
        <v>68</v>
      </c>
      <c r="C4885" s="7" t="s">
        <v>9911</v>
      </c>
      <c r="D4885" s="7" t="s">
        <v>9912</v>
      </c>
      <c r="E4885" s="7" t="s">
        <v>1269</v>
      </c>
      <c r="F4885" s="7" t="s">
        <v>9904</v>
      </c>
      <c r="G4885" s="7" t="n">
        <v>2018</v>
      </c>
      <c r="H4885" s="7" t="s">
        <v>48</v>
      </c>
      <c r="I4885" s="7" t="s">
        <v>417</v>
      </c>
      <c r="J4885" s="7" t="s">
        <v>426</v>
      </c>
      <c r="K4885" s="7" t="n">
        <f aca="false">IFERROR(VALUE(RIGHT(TRIM(F4885),4)),"")</f>
        <v>2019</v>
      </c>
      <c r="L4885" s="7" t="str">
        <f aca="false">IF(TRIM(E4885)="","Unknown",IFERROR(LEFT(TRIM(E4885),FIND(",",TRIM(E4885))-1),TRIM(E4885)))</f>
        <v>Philippines</v>
      </c>
      <c r="M4885" s="7" t="str">
        <f aca="false">IFERROR(LEFT(J4885,FIND(",",J4885)-1),J4885)</f>
        <v>International Movies</v>
      </c>
      <c r="N4885" s="7" t="n">
        <f aca="false">IF(B4885="Movie",IFERROR(VALUE(LEFT(I4885,FIND(" ",I4885)-1)),""),"")</f>
        <v>104</v>
      </c>
      <c r="O4885" s="7" t="str">
        <f aca="false">IF(B4885="TV Show",IFERROR(VALUE(LEFT(I4885,FIND(" ",I4885)-1)),""),"")</f>
        <v/>
      </c>
      <c r="P4885" s="7" t="n">
        <f aca="false">IF(K4885="","",K4885-G4885)</f>
        <v>1</v>
      </c>
    </row>
    <row r="4886" customFormat="false" ht="15" hidden="false" customHeight="false" outlineLevel="0" collapsed="false">
      <c r="A4886" s="7" t="n">
        <v>81016193</v>
      </c>
      <c r="B4886" s="7" t="s">
        <v>68</v>
      </c>
      <c r="C4886" s="7" t="s">
        <v>9913</v>
      </c>
      <c r="D4886" s="7" t="s">
        <v>9914</v>
      </c>
      <c r="E4886" s="7" t="s">
        <v>27</v>
      </c>
      <c r="F4886" s="7" t="s">
        <v>9915</v>
      </c>
      <c r="G4886" s="7" t="n">
        <v>2017</v>
      </c>
      <c r="H4886" s="7" t="s">
        <v>50</v>
      </c>
      <c r="I4886" s="7" t="s">
        <v>93</v>
      </c>
      <c r="J4886" s="7" t="s">
        <v>217</v>
      </c>
      <c r="K4886" s="7" t="n">
        <f aca="false">IFERROR(VALUE(RIGHT(TRIM(F4886),4)),"")</f>
        <v>2018</v>
      </c>
      <c r="L4886" s="7" t="str">
        <f aca="false">IF(TRIM(E4886)="","Unknown",IFERROR(LEFT(TRIM(E4886),FIND(",",TRIM(E4886))-1),TRIM(E4886)))</f>
        <v>India</v>
      </c>
      <c r="M4886" s="7" t="str">
        <f aca="false">IFERROR(LEFT(J4886,FIND(",",J4886)-1),J4886)</f>
        <v>Comedies</v>
      </c>
      <c r="N4886" s="7" t="n">
        <f aca="false">IF(B4886="Movie",IFERROR(VALUE(LEFT(I4886,FIND(" ",I4886)-1)),""),"")</f>
        <v>110</v>
      </c>
      <c r="O4886" s="7" t="str">
        <f aca="false">IF(B4886="TV Show",IFERROR(VALUE(LEFT(I4886,FIND(" ",I4886)-1)),""),"")</f>
        <v/>
      </c>
      <c r="P4886" s="7" t="n">
        <f aca="false">IF(K4886="","",K4886-G4886)</f>
        <v>1</v>
      </c>
    </row>
    <row r="4887" customFormat="false" ht="15" hidden="false" customHeight="false" outlineLevel="0" collapsed="false">
      <c r="A4887" s="7" t="n">
        <v>81016196</v>
      </c>
      <c r="B4887" s="7" t="s">
        <v>68</v>
      </c>
      <c r="C4887" s="7" t="s">
        <v>9916</v>
      </c>
      <c r="D4887" s="7" t="s">
        <v>9917</v>
      </c>
      <c r="E4887" s="7" t="s">
        <v>27</v>
      </c>
      <c r="F4887" s="7" t="s">
        <v>9915</v>
      </c>
      <c r="G4887" s="7" t="n">
        <v>2017</v>
      </c>
      <c r="H4887" s="7" t="s">
        <v>49</v>
      </c>
      <c r="I4887" s="7" t="s">
        <v>1066</v>
      </c>
      <c r="J4887" s="7" t="s">
        <v>112</v>
      </c>
      <c r="K4887" s="7" t="n">
        <f aca="false">IFERROR(VALUE(RIGHT(TRIM(F4887),4)),"")</f>
        <v>2018</v>
      </c>
      <c r="L4887" s="7" t="str">
        <f aca="false">IF(TRIM(E4887)="","Unknown",IFERROR(LEFT(TRIM(E4887),FIND(",",TRIM(E4887))-1),TRIM(E4887)))</f>
        <v>India</v>
      </c>
      <c r="M4887" s="7" t="str">
        <f aca="false">IFERROR(LEFT(J4887,FIND(",",J4887)-1),J4887)</f>
        <v>Action &amp; Adventure</v>
      </c>
      <c r="N4887" s="7" t="n">
        <f aca="false">IF(B4887="Movie",IFERROR(VALUE(LEFT(I4887,FIND(" ",I4887)-1)),""),"")</f>
        <v>162</v>
      </c>
      <c r="O4887" s="7" t="str">
        <f aca="false">IF(B4887="TV Show",IFERROR(VALUE(LEFT(I4887,FIND(" ",I4887)-1)),""),"")</f>
        <v/>
      </c>
      <c r="P4887" s="7" t="n">
        <f aca="false">IF(K4887="","",K4887-G4887)</f>
        <v>1</v>
      </c>
    </row>
    <row r="4888" customFormat="false" ht="15" hidden="false" customHeight="false" outlineLevel="0" collapsed="false">
      <c r="A4888" s="7" t="n">
        <v>80201175</v>
      </c>
      <c r="B4888" s="7" t="s">
        <v>68</v>
      </c>
      <c r="C4888" s="7" t="s">
        <v>9918</v>
      </c>
      <c r="D4888" s="7" t="s">
        <v>9919</v>
      </c>
      <c r="E4888" s="7" t="s">
        <v>27</v>
      </c>
      <c r="F4888" s="7" t="s">
        <v>9915</v>
      </c>
      <c r="G4888" s="7" t="n">
        <v>2017</v>
      </c>
      <c r="H4888" s="7" t="s">
        <v>48</v>
      </c>
      <c r="I4888" s="7" t="s">
        <v>594</v>
      </c>
      <c r="J4888" s="7" t="s">
        <v>182</v>
      </c>
      <c r="K4888" s="7" t="n">
        <f aca="false">IFERROR(VALUE(RIGHT(TRIM(F4888),4)),"")</f>
        <v>2018</v>
      </c>
      <c r="L4888" s="7" t="str">
        <f aca="false">IF(TRIM(E4888)="","Unknown",IFERROR(LEFT(TRIM(E4888),FIND(",",TRIM(E4888))-1),TRIM(E4888)))</f>
        <v>India</v>
      </c>
      <c r="M4888" s="7" t="str">
        <f aca="false">IFERROR(LEFT(J4888,FIND(",",J4888)-1),J4888)</f>
        <v>Dramas</v>
      </c>
      <c r="N4888" s="7" t="n">
        <f aca="false">IF(B4888="Movie",IFERROR(VALUE(LEFT(I4888,FIND(" ",I4888)-1)),""),"")</f>
        <v>139</v>
      </c>
      <c r="O4888" s="7" t="str">
        <f aca="false">IF(B4888="TV Show",IFERROR(VALUE(LEFT(I4888,FIND(" ",I4888)-1)),""),"")</f>
        <v/>
      </c>
      <c r="P4888" s="7" t="n">
        <f aca="false">IF(K4888="","",K4888-G4888)</f>
        <v>1</v>
      </c>
    </row>
    <row r="4889" customFormat="false" ht="15" hidden="false" customHeight="false" outlineLevel="0" collapsed="false">
      <c r="A4889" s="7" t="n">
        <v>81016191</v>
      </c>
      <c r="B4889" s="7" t="s">
        <v>68</v>
      </c>
      <c r="C4889" s="7" t="s">
        <v>9920</v>
      </c>
      <c r="D4889" s="7" t="s">
        <v>9921</v>
      </c>
      <c r="E4889" s="7" t="s">
        <v>27</v>
      </c>
      <c r="F4889" s="7" t="s">
        <v>9915</v>
      </c>
      <c r="G4889" s="7" t="n">
        <v>2018</v>
      </c>
      <c r="H4889" s="7" t="s">
        <v>52</v>
      </c>
      <c r="I4889" s="7" t="s">
        <v>247</v>
      </c>
      <c r="J4889" s="7" t="s">
        <v>240</v>
      </c>
      <c r="K4889" s="7" t="n">
        <f aca="false">IFERROR(VALUE(RIGHT(TRIM(F4889),4)),"")</f>
        <v>2018</v>
      </c>
      <c r="L4889" s="7" t="str">
        <f aca="false">IF(TRIM(E4889)="","Unknown",IFERROR(LEFT(TRIM(E4889),FIND(",",TRIM(E4889))-1),TRIM(E4889)))</f>
        <v>India</v>
      </c>
      <c r="M4889" s="7" t="str">
        <f aca="false">IFERROR(LEFT(J4889,FIND(",",J4889)-1),J4889)</f>
        <v>Dramas</v>
      </c>
      <c r="N4889" s="7" t="n">
        <f aca="false">IF(B4889="Movie",IFERROR(VALUE(LEFT(I4889,FIND(" ",I4889)-1)),""),"")</f>
        <v>130</v>
      </c>
      <c r="O4889" s="7" t="str">
        <f aca="false">IF(B4889="TV Show",IFERROR(VALUE(LEFT(I4889,FIND(" ",I4889)-1)),""),"")</f>
        <v/>
      </c>
      <c r="P4889" s="7" t="n">
        <f aca="false">IF(K4889="","",K4889-G4889)</f>
        <v>0</v>
      </c>
    </row>
    <row r="4890" customFormat="false" ht="15" hidden="false" customHeight="false" outlineLevel="0" collapsed="false">
      <c r="A4890" s="7" t="n">
        <v>80199962</v>
      </c>
      <c r="B4890" s="7" t="s">
        <v>68</v>
      </c>
      <c r="C4890" s="7" t="s">
        <v>9922</v>
      </c>
      <c r="D4890" s="7" t="s">
        <v>9923</v>
      </c>
      <c r="E4890" s="7" t="s">
        <v>27</v>
      </c>
      <c r="F4890" s="7" t="s">
        <v>9915</v>
      </c>
      <c r="G4890" s="7" t="n">
        <v>2017</v>
      </c>
      <c r="H4890" s="7" t="s">
        <v>49</v>
      </c>
      <c r="I4890" s="7" t="s">
        <v>1817</v>
      </c>
      <c r="J4890" s="7" t="s">
        <v>217</v>
      </c>
      <c r="K4890" s="7" t="n">
        <f aca="false">IFERROR(VALUE(RIGHT(TRIM(F4890),4)),"")</f>
        <v>2018</v>
      </c>
      <c r="L4890" s="7" t="str">
        <f aca="false">IF(TRIM(E4890)="","Unknown",IFERROR(LEFT(TRIM(E4890),FIND(",",TRIM(E4890))-1),TRIM(E4890)))</f>
        <v>India</v>
      </c>
      <c r="M4890" s="7" t="str">
        <f aca="false">IFERROR(LEFT(J4890,FIND(",",J4890)-1),J4890)</f>
        <v>Comedies</v>
      </c>
      <c r="N4890" s="7" t="n">
        <f aca="false">IF(B4890="Movie",IFERROR(VALUE(LEFT(I4890,FIND(" ",I4890)-1)),""),"")</f>
        <v>145</v>
      </c>
      <c r="O4890" s="7" t="str">
        <f aca="false">IF(B4890="TV Show",IFERROR(VALUE(LEFT(I4890,FIND(" ",I4890)-1)),""),"")</f>
        <v/>
      </c>
      <c r="P4890" s="7" t="n">
        <f aca="false">IF(K4890="","",K4890-G4890)</f>
        <v>1</v>
      </c>
    </row>
    <row r="4891" customFormat="false" ht="15" hidden="false" customHeight="false" outlineLevel="0" collapsed="false">
      <c r="A4891" s="7" t="n">
        <v>80134952</v>
      </c>
      <c r="B4891" s="7" t="s">
        <v>68</v>
      </c>
      <c r="C4891" s="7" t="s">
        <v>9924</v>
      </c>
      <c r="D4891" s="7" t="s">
        <v>9925</v>
      </c>
      <c r="E4891" s="7" t="s">
        <v>230</v>
      </c>
      <c r="F4891" s="7" t="s">
        <v>9926</v>
      </c>
      <c r="G4891" s="7" t="n">
        <v>2016</v>
      </c>
      <c r="H4891" s="7" t="s">
        <v>48</v>
      </c>
      <c r="I4891" s="7" t="s">
        <v>524</v>
      </c>
      <c r="J4891" s="7" t="s">
        <v>509</v>
      </c>
      <c r="K4891" s="7" t="n">
        <f aca="false">IFERROR(VALUE(RIGHT(TRIM(F4891),4)),"")</f>
        <v>2017</v>
      </c>
      <c r="L4891" s="7" t="str">
        <f aca="false">IF(TRIM(E4891)="","Unknown",IFERROR(LEFT(TRIM(E4891),FIND(",",TRIM(E4891))-1),TRIM(E4891)))</f>
        <v>United States</v>
      </c>
      <c r="M4891" s="7" t="str">
        <f aca="false">IFERROR(LEFT(J4891,FIND(",",J4891)-1),J4891)</f>
        <v>Documentaries</v>
      </c>
      <c r="N4891" s="7" t="n">
        <f aca="false">IF(B4891="Movie",IFERROR(VALUE(LEFT(I4891,FIND(" ",I4891)-1)),""),"")</f>
        <v>83</v>
      </c>
      <c r="O4891" s="7" t="str">
        <f aca="false">IF(B4891="TV Show",IFERROR(VALUE(LEFT(I4891,FIND(" ",I4891)-1)),""),"")</f>
        <v/>
      </c>
      <c r="P4891" s="7" t="n">
        <f aca="false">IF(K4891="","",K4891-G4891)</f>
        <v>1</v>
      </c>
    </row>
    <row r="4892" customFormat="false" ht="15" hidden="false" customHeight="false" outlineLevel="0" collapsed="false">
      <c r="A4892" s="7" t="n">
        <v>80163295</v>
      </c>
      <c r="B4892" s="7" t="s">
        <v>78</v>
      </c>
      <c r="C4892" s="7" t="s">
        <v>9927</v>
      </c>
      <c r="E4892" s="7" t="s">
        <v>362</v>
      </c>
      <c r="F4892" s="7" t="s">
        <v>9926</v>
      </c>
      <c r="G4892" s="7" t="n">
        <v>2015</v>
      </c>
      <c r="H4892" s="7" t="s">
        <v>50</v>
      </c>
      <c r="I4892" s="7" t="s">
        <v>82</v>
      </c>
      <c r="J4892" s="7" t="s">
        <v>314</v>
      </c>
      <c r="K4892" s="7" t="n">
        <f aca="false">IFERROR(VALUE(RIGHT(TRIM(F4892),4)),"")</f>
        <v>2017</v>
      </c>
      <c r="L4892" s="7" t="str">
        <f aca="false">IF(TRIM(E4892)="","Unknown",IFERROR(LEFT(TRIM(E4892),FIND(",",TRIM(E4892))-1),TRIM(E4892)))</f>
        <v>Indonesia</v>
      </c>
      <c r="M4892" s="7" t="str">
        <f aca="false">IFERROR(LEFT(J4892,FIND(",",J4892)-1),J4892)</f>
        <v>International TV Shows</v>
      </c>
      <c r="N4892" s="7" t="str">
        <f aca="false">IF(B4892="Movie",IFERROR(VALUE(LEFT(I4892,FIND(" ",I4892)-1)),""),"")</f>
        <v/>
      </c>
      <c r="O4892" s="7" t="n">
        <f aca="false">IF(B4892="TV Show",IFERROR(VALUE(LEFT(I4892,FIND(" ",I4892)-1)),""),"")</f>
        <v>1</v>
      </c>
      <c r="P4892" s="7" t="n">
        <f aca="false">IF(K4892="","",K4892-G4892)</f>
        <v>2</v>
      </c>
    </row>
    <row r="4893" customFormat="false" ht="15" hidden="false" customHeight="false" outlineLevel="0" collapsed="false">
      <c r="A4893" s="7" t="n">
        <v>80163407</v>
      </c>
      <c r="B4893" s="7" t="s">
        <v>68</v>
      </c>
      <c r="C4893" s="7" t="s">
        <v>9928</v>
      </c>
      <c r="D4893" s="7" t="s">
        <v>9929</v>
      </c>
      <c r="E4893" s="7" t="s">
        <v>1178</v>
      </c>
      <c r="F4893" s="7" t="s">
        <v>9926</v>
      </c>
      <c r="G4893" s="7" t="n">
        <v>2013</v>
      </c>
      <c r="H4893" s="7" t="s">
        <v>48</v>
      </c>
      <c r="I4893" s="7" t="s">
        <v>311</v>
      </c>
      <c r="J4893" s="7" t="s">
        <v>486</v>
      </c>
      <c r="K4893" s="7" t="n">
        <f aca="false">IFERROR(VALUE(RIGHT(TRIM(F4893),4)),"")</f>
        <v>2017</v>
      </c>
      <c r="L4893" s="7" t="str">
        <f aca="false">IF(TRIM(E4893)="","Unknown",IFERROR(LEFT(TRIM(E4893),FIND(",",TRIM(E4893))-1),TRIM(E4893)))</f>
        <v>Malaysia</v>
      </c>
      <c r="M4893" s="7" t="str">
        <f aca="false">IFERROR(LEFT(J4893,FIND(",",J4893)-1),J4893)</f>
        <v>Comedies</v>
      </c>
      <c r="N4893" s="7" t="n">
        <f aca="false">IF(B4893="Movie",IFERROR(VALUE(LEFT(I4893,FIND(" ",I4893)-1)),""),"")</f>
        <v>92</v>
      </c>
      <c r="O4893" s="7" t="str">
        <f aca="false">IF(B4893="TV Show",IFERROR(VALUE(LEFT(I4893,FIND(" ",I4893)-1)),""),"")</f>
        <v/>
      </c>
      <c r="P4893" s="7" t="n">
        <f aca="false">IF(K4893="","",K4893-G4893)</f>
        <v>4</v>
      </c>
    </row>
    <row r="4894" customFormat="false" ht="15" hidden="false" customHeight="false" outlineLevel="0" collapsed="false">
      <c r="A4894" s="7" t="n">
        <v>80163265</v>
      </c>
      <c r="B4894" s="7" t="s">
        <v>68</v>
      </c>
      <c r="C4894" s="7" t="s">
        <v>9930</v>
      </c>
      <c r="D4894" s="7" t="s">
        <v>9931</v>
      </c>
      <c r="E4894" s="7" t="s">
        <v>1178</v>
      </c>
      <c r="F4894" s="7" t="s">
        <v>9926</v>
      </c>
      <c r="G4894" s="7" t="n">
        <v>2015</v>
      </c>
      <c r="H4894" s="7" t="s">
        <v>49</v>
      </c>
      <c r="I4894" s="7" t="s">
        <v>264</v>
      </c>
      <c r="J4894" s="7" t="s">
        <v>139</v>
      </c>
      <c r="K4894" s="7" t="n">
        <f aca="false">IFERROR(VALUE(RIGHT(TRIM(F4894),4)),"")</f>
        <v>2017</v>
      </c>
      <c r="L4894" s="7" t="str">
        <f aca="false">IF(TRIM(E4894)="","Unknown",IFERROR(LEFT(TRIM(E4894),FIND(",",TRIM(E4894))-1),TRIM(E4894)))</f>
        <v>Malaysia</v>
      </c>
      <c r="M4894" s="7" t="str">
        <f aca="false">IFERROR(LEFT(J4894,FIND(",",J4894)-1),J4894)</f>
        <v>Action &amp; Adventure</v>
      </c>
      <c r="N4894" s="7" t="n">
        <f aca="false">IF(B4894="Movie",IFERROR(VALUE(LEFT(I4894,FIND(" ",I4894)-1)),""),"")</f>
        <v>88</v>
      </c>
      <c r="O4894" s="7" t="str">
        <f aca="false">IF(B4894="TV Show",IFERROR(VALUE(LEFT(I4894,FIND(" ",I4894)-1)),""),"")</f>
        <v/>
      </c>
      <c r="P4894" s="7" t="n">
        <f aca="false">IF(K4894="","",K4894-G4894)</f>
        <v>2</v>
      </c>
    </row>
    <row r="4895" customFormat="false" ht="15" hidden="false" customHeight="false" outlineLevel="0" collapsed="false">
      <c r="A4895" s="7" t="n">
        <v>80171742</v>
      </c>
      <c r="B4895" s="7" t="s">
        <v>68</v>
      </c>
      <c r="C4895" s="7" t="s">
        <v>9932</v>
      </c>
      <c r="D4895" s="7" t="s">
        <v>9933</v>
      </c>
      <c r="E4895" s="7" t="s">
        <v>26</v>
      </c>
      <c r="F4895" s="7" t="s">
        <v>9926</v>
      </c>
      <c r="G4895" s="7" t="n">
        <v>2017</v>
      </c>
      <c r="H4895" s="7" t="s">
        <v>48</v>
      </c>
      <c r="I4895" s="7" t="s">
        <v>417</v>
      </c>
      <c r="J4895" s="7" t="s">
        <v>39</v>
      </c>
      <c r="K4895" s="7" t="n">
        <f aca="false">IFERROR(VALUE(RIGHT(TRIM(F4895),4)),"")</f>
        <v>2017</v>
      </c>
      <c r="L4895" s="7" t="str">
        <f aca="false">IF(TRIM(E4895)="","Unknown",IFERROR(LEFT(TRIM(E4895),FIND(",",TRIM(E4895))-1),TRIM(E4895)))</f>
        <v>United States</v>
      </c>
      <c r="M4895" s="7" t="str">
        <f aca="false">IFERROR(LEFT(J4895,FIND(",",J4895)-1),J4895)</f>
        <v>Documentaries</v>
      </c>
      <c r="N4895" s="7" t="n">
        <f aca="false">IF(B4895="Movie",IFERROR(VALUE(LEFT(I4895,FIND(" ",I4895)-1)),""),"")</f>
        <v>104</v>
      </c>
      <c r="O4895" s="7" t="str">
        <f aca="false">IF(B4895="TV Show",IFERROR(VALUE(LEFT(I4895,FIND(" ",I4895)-1)),""),"")</f>
        <v/>
      </c>
      <c r="P4895" s="7" t="n">
        <f aca="false">IF(K4895="","",K4895-G4895)</f>
        <v>0</v>
      </c>
    </row>
    <row r="4896" customFormat="false" ht="15" hidden="false" customHeight="false" outlineLevel="0" collapsed="false">
      <c r="A4896" s="7" t="n">
        <v>60021787</v>
      </c>
      <c r="B4896" s="7" t="s">
        <v>68</v>
      </c>
      <c r="C4896" s="7" t="s">
        <v>9934</v>
      </c>
      <c r="D4896" s="7" t="s">
        <v>2052</v>
      </c>
      <c r="E4896" s="7" t="s">
        <v>2289</v>
      </c>
      <c r="F4896" s="7" t="s">
        <v>9935</v>
      </c>
      <c r="G4896" s="7" t="n">
        <v>2002</v>
      </c>
      <c r="H4896" s="7" t="s">
        <v>51</v>
      </c>
      <c r="I4896" s="7" t="s">
        <v>9936</v>
      </c>
      <c r="J4896" s="7" t="s">
        <v>37</v>
      </c>
      <c r="K4896" s="7" t="n">
        <f aca="false">IFERROR(VALUE(RIGHT(TRIM(F4896),4)),"")</f>
        <v>2019</v>
      </c>
      <c r="L4896" s="7" t="str">
        <f aca="false">IF(TRIM(E4896)="","Unknown",IFERROR(LEFT(TRIM(E4896),FIND(",",TRIM(E4896))-1),TRIM(E4896)))</f>
        <v>United States</v>
      </c>
      <c r="M4896" s="7" t="str">
        <f aca="false">IFERROR(LEFT(J4896,FIND(",",J4896)-1),J4896)</f>
        <v>Dramas</v>
      </c>
      <c r="N4896" s="7" t="n">
        <f aca="false">IF(B4896="Movie",IFERROR(VALUE(LEFT(I4896,FIND(" ",I4896)-1)),""),"")</f>
        <v>167</v>
      </c>
      <c r="O4896" s="7" t="str">
        <f aca="false">IF(B4896="TV Show",IFERROR(VALUE(LEFT(I4896,FIND(" ",I4896)-1)),""),"")</f>
        <v/>
      </c>
      <c r="P4896" s="7" t="n">
        <f aca="false">IF(K4896="","",K4896-G4896)</f>
        <v>17</v>
      </c>
    </row>
    <row r="4897" customFormat="false" ht="15" hidden="false" customHeight="false" outlineLevel="0" collapsed="false">
      <c r="A4897" s="7" t="n">
        <v>81082125</v>
      </c>
      <c r="B4897" s="7" t="s">
        <v>68</v>
      </c>
      <c r="C4897" s="7" t="s">
        <v>9937</v>
      </c>
      <c r="E4897" s="7" t="s">
        <v>28</v>
      </c>
      <c r="F4897" s="7" t="s">
        <v>9935</v>
      </c>
      <c r="G4897" s="7" t="n">
        <v>2019</v>
      </c>
      <c r="H4897" s="7" t="s">
        <v>226</v>
      </c>
      <c r="I4897" s="7" t="s">
        <v>551</v>
      </c>
      <c r="J4897" s="7" t="s">
        <v>39</v>
      </c>
      <c r="K4897" s="7" t="n">
        <f aca="false">IFERROR(VALUE(RIGHT(TRIM(F4897),4)),"")</f>
        <v>2019</v>
      </c>
      <c r="L4897" s="7" t="str">
        <f aca="false">IF(TRIM(E4897)="","Unknown",IFERROR(LEFT(TRIM(E4897),FIND(",",TRIM(E4897))-1),TRIM(E4897)))</f>
        <v>United Kingdom</v>
      </c>
      <c r="M4897" s="7" t="str">
        <f aca="false">IFERROR(LEFT(J4897,FIND(",",J4897)-1),J4897)</f>
        <v>Documentaries</v>
      </c>
      <c r="N4897" s="7" t="n">
        <f aca="false">IF(B4897="Movie",IFERROR(VALUE(LEFT(I4897,FIND(" ",I4897)-1)),""),"")</f>
        <v>63</v>
      </c>
      <c r="O4897" s="7" t="str">
        <f aca="false">IF(B4897="TV Show",IFERROR(VALUE(LEFT(I4897,FIND(" ",I4897)-1)),""),"")</f>
        <v/>
      </c>
      <c r="P4897" s="7" t="n">
        <f aca="false">IF(K4897="","",K4897-G4897)</f>
        <v>0</v>
      </c>
    </row>
    <row r="4898" customFormat="false" ht="15" hidden="false" customHeight="false" outlineLevel="0" collapsed="false">
      <c r="A4898" s="7" t="n">
        <v>81045860</v>
      </c>
      <c r="B4898" s="7" t="s">
        <v>68</v>
      </c>
      <c r="C4898" s="7" t="s">
        <v>9938</v>
      </c>
      <c r="D4898" s="7" t="s">
        <v>9939</v>
      </c>
      <c r="F4898" s="7" t="s">
        <v>9935</v>
      </c>
      <c r="G4898" s="7" t="n">
        <v>2019</v>
      </c>
      <c r="H4898" s="7" t="s">
        <v>48</v>
      </c>
      <c r="I4898" s="7" t="s">
        <v>734</v>
      </c>
      <c r="J4898" s="7" t="s">
        <v>45</v>
      </c>
      <c r="K4898" s="7" t="n">
        <f aca="false">IFERROR(VALUE(RIGHT(TRIM(F4898),4)),"")</f>
        <v>2019</v>
      </c>
      <c r="L4898" s="7" t="str">
        <f aca="false">IF(TRIM(E4898)="","Unknown",IFERROR(LEFT(TRIM(E4898),FIND(",",TRIM(E4898))-1),TRIM(E4898)))</f>
        <v>Unknown</v>
      </c>
      <c r="M4898" s="7" t="str">
        <f aca="false">IFERROR(LEFT(J4898,FIND(",",J4898)-1),J4898)</f>
        <v>Stand-Up Comedy</v>
      </c>
      <c r="N4898" s="7" t="n">
        <f aca="false">IF(B4898="Movie",IFERROR(VALUE(LEFT(I4898,FIND(" ",I4898)-1)),""),"")</f>
        <v>52</v>
      </c>
      <c r="O4898" s="7" t="str">
        <f aca="false">IF(B4898="TV Show",IFERROR(VALUE(LEFT(I4898,FIND(" ",I4898)-1)),""),"")</f>
        <v/>
      </c>
      <c r="P4898" s="7" t="n">
        <f aca="false">IF(K4898="","",K4898-G4898)</f>
        <v>0</v>
      </c>
    </row>
    <row r="4899" customFormat="false" ht="15" hidden="false" customHeight="false" outlineLevel="0" collapsed="false">
      <c r="A4899" s="7" t="n">
        <v>80226557</v>
      </c>
      <c r="B4899" s="7" t="s">
        <v>78</v>
      </c>
      <c r="C4899" s="7" t="s">
        <v>9940</v>
      </c>
      <c r="F4899" s="7" t="s">
        <v>9941</v>
      </c>
      <c r="G4899" s="7" t="n">
        <v>2017</v>
      </c>
      <c r="H4899" s="7" t="s">
        <v>55</v>
      </c>
      <c r="I4899" s="7" t="s">
        <v>82</v>
      </c>
      <c r="J4899" s="7" t="s">
        <v>44</v>
      </c>
      <c r="K4899" s="7" t="n">
        <f aca="false">IFERROR(VALUE(RIGHT(TRIM(F4899),4)),"")</f>
        <v>2018</v>
      </c>
      <c r="L4899" s="7" t="str">
        <f aca="false">IF(TRIM(E4899)="","Unknown",IFERROR(LEFT(TRIM(E4899),FIND(",",TRIM(E4899))-1),TRIM(E4899)))</f>
        <v>Unknown</v>
      </c>
      <c r="M4899" s="7" t="str">
        <f aca="false">IFERROR(LEFT(J4899,FIND(",",J4899)-1),J4899)</f>
        <v>Kids' TV</v>
      </c>
      <c r="N4899" s="7" t="str">
        <f aca="false">IF(B4899="Movie",IFERROR(VALUE(LEFT(I4899,FIND(" ",I4899)-1)),""),"")</f>
        <v/>
      </c>
      <c r="O4899" s="7" t="n">
        <f aca="false">IF(B4899="TV Show",IFERROR(VALUE(LEFT(I4899,FIND(" ",I4899)-1)),""),"")</f>
        <v>1</v>
      </c>
      <c r="P4899" s="7" t="n">
        <f aca="false">IF(K4899="","",K4899-G4899)</f>
        <v>1</v>
      </c>
    </row>
    <row r="4900" customFormat="false" ht="15" hidden="false" customHeight="false" outlineLevel="0" collapsed="false">
      <c r="A4900" s="7" t="n">
        <v>80162179</v>
      </c>
      <c r="B4900" s="7" t="s">
        <v>68</v>
      </c>
      <c r="C4900" s="7" t="s">
        <v>9942</v>
      </c>
      <c r="D4900" s="7" t="s">
        <v>9943</v>
      </c>
      <c r="E4900" s="7" t="s">
        <v>26</v>
      </c>
      <c r="F4900" s="7" t="s">
        <v>9944</v>
      </c>
      <c r="G4900" s="7" t="n">
        <v>2016</v>
      </c>
      <c r="H4900" s="7" t="s">
        <v>48</v>
      </c>
      <c r="I4900" s="7" t="s">
        <v>417</v>
      </c>
      <c r="J4900" s="7" t="s">
        <v>251</v>
      </c>
      <c r="K4900" s="7" t="n">
        <f aca="false">IFERROR(VALUE(RIGHT(TRIM(F4900),4)),"")</f>
        <v>2017</v>
      </c>
      <c r="L4900" s="7" t="str">
        <f aca="false">IF(TRIM(E4900)="","Unknown",IFERROR(LEFT(TRIM(E4900),FIND(",",TRIM(E4900))-1),TRIM(E4900)))</f>
        <v>United States</v>
      </c>
      <c r="M4900" s="7" t="str">
        <f aca="false">IFERROR(LEFT(J4900,FIND(",",J4900)-1),J4900)</f>
        <v>Comedies</v>
      </c>
      <c r="N4900" s="7" t="n">
        <f aca="false">IF(B4900="Movie",IFERROR(VALUE(LEFT(I4900,FIND(" ",I4900)-1)),""),"")</f>
        <v>104</v>
      </c>
      <c r="O4900" s="7" t="str">
        <f aca="false">IF(B4900="TV Show",IFERROR(VALUE(LEFT(I4900,FIND(" ",I4900)-1)),""),"")</f>
        <v/>
      </c>
      <c r="P4900" s="7" t="n">
        <f aca="false">IF(K4900="","",K4900-G4900)</f>
        <v>1</v>
      </c>
    </row>
    <row r="4901" customFormat="false" ht="15" hidden="false" customHeight="false" outlineLevel="0" collapsed="false">
      <c r="A4901" s="7" t="n">
        <v>80115686</v>
      </c>
      <c r="B4901" s="7" t="s">
        <v>68</v>
      </c>
      <c r="C4901" s="7" t="s">
        <v>9945</v>
      </c>
      <c r="D4901" s="7" t="s">
        <v>1514</v>
      </c>
      <c r="E4901" s="7" t="s">
        <v>27</v>
      </c>
      <c r="F4901" s="7" t="s">
        <v>9946</v>
      </c>
      <c r="G4901" s="7" t="n">
        <v>2015</v>
      </c>
      <c r="H4901" s="7" t="s">
        <v>50</v>
      </c>
      <c r="I4901" s="7" t="s">
        <v>187</v>
      </c>
      <c r="J4901" s="7" t="s">
        <v>198</v>
      </c>
      <c r="K4901" s="7" t="n">
        <f aca="false">IFERROR(VALUE(RIGHT(TRIM(F4901),4)),"")</f>
        <v>2016</v>
      </c>
      <c r="L4901" s="7" t="str">
        <f aca="false">IF(TRIM(E4901)="","Unknown",IFERROR(LEFT(TRIM(E4901),FIND(",",TRIM(E4901))-1),TRIM(E4901)))</f>
        <v>India</v>
      </c>
      <c r="M4901" s="7" t="str">
        <f aca="false">IFERROR(LEFT(J4901,FIND(",",J4901)-1),J4901)</f>
        <v>Comedies</v>
      </c>
      <c r="N4901" s="7" t="n">
        <f aca="false">IF(B4901="Movie",IFERROR(VALUE(LEFT(I4901,FIND(" ",I4901)-1)),""),"")</f>
        <v>114</v>
      </c>
      <c r="O4901" s="7" t="str">
        <f aca="false">IF(B4901="TV Show",IFERROR(VALUE(LEFT(I4901,FIND(" ",I4901)-1)),""),"")</f>
        <v/>
      </c>
      <c r="P4901" s="7" t="n">
        <f aca="false">IF(K4901="","",K4901-G4901)</f>
        <v>1</v>
      </c>
    </row>
    <row r="4902" customFormat="false" ht="15" hidden="false" customHeight="false" outlineLevel="0" collapsed="false">
      <c r="A4902" s="7" t="n">
        <v>80245353</v>
      </c>
      <c r="B4902" s="7" t="s">
        <v>78</v>
      </c>
      <c r="C4902" s="7" t="s">
        <v>9947</v>
      </c>
      <c r="E4902" s="7" t="s">
        <v>26</v>
      </c>
      <c r="F4902" s="7" t="s">
        <v>9948</v>
      </c>
      <c r="G4902" s="7" t="n">
        <v>2019</v>
      </c>
      <c r="H4902" s="7" t="s">
        <v>50</v>
      </c>
      <c r="I4902" s="7" t="s">
        <v>82</v>
      </c>
      <c r="J4902" s="7" t="s">
        <v>1046</v>
      </c>
      <c r="K4902" s="7" t="n">
        <f aca="false">IFERROR(VALUE(RIGHT(TRIM(F4902),4)),"")</f>
        <v>2019</v>
      </c>
      <c r="L4902" s="7" t="str">
        <f aca="false">IF(TRIM(E4902)="","Unknown",IFERROR(LEFT(TRIM(E4902),FIND(",",TRIM(E4902))-1),TRIM(E4902)))</f>
        <v>United States</v>
      </c>
      <c r="M4902" s="7" t="str">
        <f aca="false">IFERROR(LEFT(J4902,FIND(",",J4902)-1),J4902)</f>
        <v>Docuseries</v>
      </c>
      <c r="N4902" s="7" t="str">
        <f aca="false">IF(B4902="Movie",IFERROR(VALUE(LEFT(I4902,FIND(" ",I4902)-1)),""),"")</f>
        <v/>
      </c>
      <c r="O4902" s="7" t="n">
        <f aca="false">IF(B4902="TV Show",IFERROR(VALUE(LEFT(I4902,FIND(" ",I4902)-1)),""),"")</f>
        <v>1</v>
      </c>
      <c r="P4902" s="7" t="n">
        <f aca="false">IF(K4902="","",K4902-G4902)</f>
        <v>0</v>
      </c>
    </row>
    <row r="4903" customFormat="false" ht="15" hidden="false" customHeight="false" outlineLevel="0" collapsed="false">
      <c r="A4903" s="7" t="n">
        <v>70287604</v>
      </c>
      <c r="B4903" s="7" t="s">
        <v>78</v>
      </c>
      <c r="C4903" s="7" t="s">
        <v>9949</v>
      </c>
      <c r="E4903" s="7" t="s">
        <v>26</v>
      </c>
      <c r="F4903" s="7" t="s">
        <v>9948</v>
      </c>
      <c r="G4903" s="7" t="n">
        <v>2012</v>
      </c>
      <c r="H4903" s="7" t="s">
        <v>119</v>
      </c>
      <c r="I4903" s="7" t="s">
        <v>82</v>
      </c>
      <c r="J4903" s="7" t="s">
        <v>44</v>
      </c>
      <c r="K4903" s="7" t="n">
        <f aca="false">IFERROR(VALUE(RIGHT(TRIM(F4903),4)),"")</f>
        <v>2019</v>
      </c>
      <c r="L4903" s="7" t="str">
        <f aca="false">IF(TRIM(E4903)="","Unknown",IFERROR(LEFT(TRIM(E4903),FIND(",",TRIM(E4903))-1),TRIM(E4903)))</f>
        <v>United States</v>
      </c>
      <c r="M4903" s="7" t="str">
        <f aca="false">IFERROR(LEFT(J4903,FIND(",",J4903)-1),J4903)</f>
        <v>Kids' TV</v>
      </c>
      <c r="N4903" s="7" t="str">
        <f aca="false">IF(B4903="Movie",IFERROR(VALUE(LEFT(I4903,FIND(" ",I4903)-1)),""),"")</f>
        <v/>
      </c>
      <c r="O4903" s="7" t="n">
        <f aca="false">IF(B4903="TV Show",IFERROR(VALUE(LEFT(I4903,FIND(" ",I4903)-1)),""),"")</f>
        <v>1</v>
      </c>
      <c r="P4903" s="7" t="n">
        <f aca="false">IF(K4903="","",K4903-G4903)</f>
        <v>7</v>
      </c>
    </row>
    <row r="4904" customFormat="false" ht="15" hidden="false" customHeight="false" outlineLevel="0" collapsed="false">
      <c r="A4904" s="7" t="n">
        <v>70242938</v>
      </c>
      <c r="B4904" s="7" t="s">
        <v>68</v>
      </c>
      <c r="C4904" s="7" t="s">
        <v>9950</v>
      </c>
      <c r="D4904" s="7" t="s">
        <v>9951</v>
      </c>
      <c r="E4904" s="7" t="s">
        <v>34</v>
      </c>
      <c r="F4904" s="7" t="s">
        <v>9948</v>
      </c>
      <c r="G4904" s="7" t="n">
        <v>2012</v>
      </c>
      <c r="H4904" s="7" t="s">
        <v>51</v>
      </c>
      <c r="I4904" s="7" t="s">
        <v>1817</v>
      </c>
      <c r="J4904" s="7" t="s">
        <v>304</v>
      </c>
      <c r="K4904" s="7" t="n">
        <f aca="false">IFERROR(VALUE(RIGHT(TRIM(F4904),4)),"")</f>
        <v>2019</v>
      </c>
      <c r="L4904" s="7" t="str">
        <f aca="false">IF(TRIM(E4904)="","Unknown",IFERROR(LEFT(TRIM(E4904),FIND(",",TRIM(E4904))-1),TRIM(E4904)))</f>
        <v>Mexico</v>
      </c>
      <c r="M4904" s="7" t="str">
        <f aca="false">IFERROR(LEFT(J4904,FIND(",",J4904)-1),J4904)</f>
        <v>Dramas</v>
      </c>
      <c r="N4904" s="7" t="n">
        <f aca="false">IF(B4904="Movie",IFERROR(VALUE(LEFT(I4904,FIND(" ",I4904)-1)),""),"")</f>
        <v>145</v>
      </c>
      <c r="O4904" s="7" t="str">
        <f aca="false">IF(B4904="TV Show",IFERROR(VALUE(LEFT(I4904,FIND(" ",I4904)-1)),""),"")</f>
        <v/>
      </c>
      <c r="P4904" s="7" t="n">
        <f aca="false">IF(K4904="","",K4904-G4904)</f>
        <v>7</v>
      </c>
    </row>
    <row r="4905" customFormat="false" ht="15" hidden="false" customHeight="false" outlineLevel="0" collapsed="false">
      <c r="A4905" s="7" t="n">
        <v>81150918</v>
      </c>
      <c r="B4905" s="7" t="s">
        <v>68</v>
      </c>
      <c r="C4905" s="7" t="s">
        <v>9952</v>
      </c>
      <c r="D4905" s="7" t="s">
        <v>9953</v>
      </c>
      <c r="F4905" s="7" t="s">
        <v>9948</v>
      </c>
      <c r="G4905" s="7" t="n">
        <v>2019</v>
      </c>
      <c r="H4905" s="7" t="s">
        <v>48</v>
      </c>
      <c r="I4905" s="7" t="s">
        <v>613</v>
      </c>
      <c r="J4905" s="7" t="s">
        <v>39</v>
      </c>
      <c r="K4905" s="7" t="n">
        <f aca="false">IFERROR(VALUE(RIGHT(TRIM(F4905),4)),"")</f>
        <v>2019</v>
      </c>
      <c r="L4905" s="7" t="str">
        <f aca="false">IF(TRIM(E4905)="","Unknown",IFERROR(LEFT(TRIM(E4905),FIND(",",TRIM(E4905))-1),TRIM(E4905)))</f>
        <v>Unknown</v>
      </c>
      <c r="M4905" s="7" t="str">
        <f aca="false">IFERROR(LEFT(J4905,FIND(",",J4905)-1),J4905)</f>
        <v>Documentaries</v>
      </c>
      <c r="N4905" s="7" t="n">
        <f aca="false">IF(B4905="Movie",IFERROR(VALUE(LEFT(I4905,FIND(" ",I4905)-1)),""),"")</f>
        <v>84</v>
      </c>
      <c r="O4905" s="7" t="str">
        <f aca="false">IF(B4905="TV Show",IFERROR(VALUE(LEFT(I4905,FIND(" ",I4905)-1)),""),"")</f>
        <v/>
      </c>
      <c r="P4905" s="7" t="n">
        <f aca="false">IF(K4905="","",K4905-G4905)</f>
        <v>0</v>
      </c>
    </row>
    <row r="4906" customFormat="false" ht="15" hidden="false" customHeight="false" outlineLevel="0" collapsed="false">
      <c r="A4906" s="7" t="n">
        <v>22469949</v>
      </c>
      <c r="B4906" s="7" t="s">
        <v>68</v>
      </c>
      <c r="C4906" s="7" t="s">
        <v>9954</v>
      </c>
      <c r="D4906" s="7" t="s">
        <v>9955</v>
      </c>
      <c r="E4906" s="7" t="s">
        <v>26</v>
      </c>
      <c r="F4906" s="7" t="s">
        <v>9948</v>
      </c>
      <c r="G4906" s="7" t="n">
        <v>1995</v>
      </c>
      <c r="H4906" s="7" t="s">
        <v>52</v>
      </c>
      <c r="I4906" s="7" t="s">
        <v>181</v>
      </c>
      <c r="J4906" s="7" t="s">
        <v>37</v>
      </c>
      <c r="K4906" s="7" t="n">
        <f aca="false">IFERROR(VALUE(RIGHT(TRIM(F4906),4)),"")</f>
        <v>2019</v>
      </c>
      <c r="L4906" s="7" t="str">
        <f aca="false">IF(TRIM(E4906)="","Unknown",IFERROR(LEFT(TRIM(E4906),FIND(",",TRIM(E4906))-1),TRIM(E4906)))</f>
        <v>United States</v>
      </c>
      <c r="M4906" s="7" t="str">
        <f aca="false">IFERROR(LEFT(J4906,FIND(",",J4906)-1),J4906)</f>
        <v>Dramas</v>
      </c>
      <c r="N4906" s="7" t="n">
        <f aca="false">IF(B4906="Movie",IFERROR(VALUE(LEFT(I4906,FIND(" ",I4906)-1)),""),"")</f>
        <v>102</v>
      </c>
      <c r="O4906" s="7" t="str">
        <f aca="false">IF(B4906="TV Show",IFERROR(VALUE(LEFT(I4906,FIND(" ",I4906)-1)),""),"")</f>
        <v/>
      </c>
      <c r="P4906" s="7" t="n">
        <f aca="false">IF(K4906="","",K4906-G4906)</f>
        <v>24</v>
      </c>
    </row>
    <row r="4907" customFormat="false" ht="15" hidden="false" customHeight="false" outlineLevel="0" collapsed="false">
      <c r="A4907" s="7" t="n">
        <v>80211623</v>
      </c>
      <c r="B4907" s="7" t="s">
        <v>68</v>
      </c>
      <c r="C4907" s="7" t="s">
        <v>9956</v>
      </c>
      <c r="E4907" s="7" t="s">
        <v>317</v>
      </c>
      <c r="F4907" s="7" t="s">
        <v>9948</v>
      </c>
      <c r="G4907" s="7" t="n">
        <v>2019</v>
      </c>
      <c r="H4907" s="7" t="s">
        <v>51</v>
      </c>
      <c r="I4907" s="7" t="s">
        <v>512</v>
      </c>
      <c r="J4907" s="7" t="s">
        <v>38</v>
      </c>
      <c r="K4907" s="7" t="n">
        <f aca="false">IFERROR(VALUE(RIGHT(TRIM(F4907),4)),"")</f>
        <v>2019</v>
      </c>
      <c r="L4907" s="7" t="str">
        <f aca="false">IF(TRIM(E4907)="","Unknown",IFERROR(LEFT(TRIM(E4907),FIND(",",TRIM(E4907))-1),TRIM(E4907)))</f>
        <v>United Kingdom</v>
      </c>
      <c r="M4907" s="7" t="str">
        <f aca="false">IFERROR(LEFT(J4907,FIND(",",J4907)-1),J4907)</f>
        <v>Comedies</v>
      </c>
      <c r="N4907" s="7" t="n">
        <f aca="false">IF(B4907="Movie",IFERROR(VALUE(LEFT(I4907,FIND(" ",I4907)-1)),""),"")</f>
        <v>101</v>
      </c>
      <c r="O4907" s="7" t="str">
        <f aca="false">IF(B4907="TV Show",IFERROR(VALUE(LEFT(I4907,FIND(" ",I4907)-1)),""),"")</f>
        <v/>
      </c>
      <c r="P4907" s="7" t="n">
        <f aca="false">IF(K4907="","",K4907-G4907)</f>
        <v>0</v>
      </c>
    </row>
    <row r="4908" customFormat="false" ht="15" hidden="false" customHeight="false" outlineLevel="0" collapsed="false">
      <c r="A4908" s="7" t="n">
        <v>81155803</v>
      </c>
      <c r="B4908" s="7" t="s">
        <v>68</v>
      </c>
      <c r="C4908" s="7" t="s">
        <v>9957</v>
      </c>
      <c r="D4908" s="7" t="s">
        <v>9958</v>
      </c>
      <c r="E4908" s="7" t="s">
        <v>27</v>
      </c>
      <c r="F4908" s="7" t="s">
        <v>9948</v>
      </c>
      <c r="G4908" s="7" t="n">
        <v>2019</v>
      </c>
      <c r="H4908" s="7" t="s">
        <v>48</v>
      </c>
      <c r="I4908" s="7" t="s">
        <v>237</v>
      </c>
      <c r="J4908" s="7" t="s">
        <v>304</v>
      </c>
      <c r="K4908" s="7" t="n">
        <f aca="false">IFERROR(VALUE(RIGHT(TRIM(F4908),4)),"")</f>
        <v>2019</v>
      </c>
      <c r="L4908" s="7" t="str">
        <f aca="false">IF(TRIM(E4908)="","Unknown",IFERROR(LEFT(TRIM(E4908),FIND(",",TRIM(E4908))-1),TRIM(E4908)))</f>
        <v>India</v>
      </c>
      <c r="M4908" s="7" t="str">
        <f aca="false">IFERROR(LEFT(J4908,FIND(",",J4908)-1),J4908)</f>
        <v>Dramas</v>
      </c>
      <c r="N4908" s="7" t="n">
        <f aca="false">IF(B4908="Movie",IFERROR(VALUE(LEFT(I4908,FIND(" ",I4908)-1)),""),"")</f>
        <v>116</v>
      </c>
      <c r="O4908" s="7" t="str">
        <f aca="false">IF(B4908="TV Show",IFERROR(VALUE(LEFT(I4908,FIND(" ",I4908)-1)),""),"")</f>
        <v/>
      </c>
      <c r="P4908" s="7" t="n">
        <f aca="false">IF(K4908="","",K4908-G4908)</f>
        <v>0</v>
      </c>
    </row>
    <row r="4909" customFormat="false" ht="15" hidden="false" customHeight="false" outlineLevel="0" collapsed="false">
      <c r="A4909" s="7" t="n">
        <v>70139075</v>
      </c>
      <c r="B4909" s="7" t="s">
        <v>68</v>
      </c>
      <c r="C4909" s="7" t="s">
        <v>9959</v>
      </c>
      <c r="D4909" s="7" t="s">
        <v>2159</v>
      </c>
      <c r="E4909" s="7" t="s">
        <v>27</v>
      </c>
      <c r="F4909" s="7" t="s">
        <v>9960</v>
      </c>
      <c r="G4909" s="7" t="n">
        <v>2011</v>
      </c>
      <c r="H4909" s="7" t="s">
        <v>48</v>
      </c>
      <c r="I4909" s="7" t="s">
        <v>1026</v>
      </c>
      <c r="J4909" s="7" t="s">
        <v>182</v>
      </c>
      <c r="K4909" s="7" t="n">
        <f aca="false">IFERROR(VALUE(RIGHT(TRIM(F4909),4)),"")</f>
        <v>2018</v>
      </c>
      <c r="L4909" s="7" t="str">
        <f aca="false">IF(TRIM(E4909)="","Unknown",IFERROR(LEFT(TRIM(E4909),FIND(",",TRIM(E4909))-1),TRIM(E4909)))</f>
        <v>India</v>
      </c>
      <c r="M4909" s="7" t="str">
        <f aca="false">IFERROR(LEFT(J4909,FIND(",",J4909)-1),J4909)</f>
        <v>Dramas</v>
      </c>
      <c r="N4909" s="7" t="n">
        <f aca="false">IF(B4909="Movie",IFERROR(VALUE(LEFT(I4909,FIND(" ",I4909)-1)),""),"")</f>
        <v>148</v>
      </c>
      <c r="O4909" s="7" t="str">
        <f aca="false">IF(B4909="TV Show",IFERROR(VALUE(LEFT(I4909,FIND(" ",I4909)-1)),""),"")</f>
        <v/>
      </c>
      <c r="P4909" s="7" t="n">
        <f aca="false">IF(K4909="","",K4909-G4909)</f>
        <v>7</v>
      </c>
    </row>
    <row r="4910" customFormat="false" ht="15" hidden="false" customHeight="false" outlineLevel="0" collapsed="false">
      <c r="A4910" s="7" t="n">
        <v>70139072</v>
      </c>
      <c r="B4910" s="7" t="s">
        <v>68</v>
      </c>
      <c r="C4910" s="7" t="s">
        <v>9961</v>
      </c>
      <c r="D4910" s="7" t="s">
        <v>9962</v>
      </c>
      <c r="E4910" s="7" t="s">
        <v>27</v>
      </c>
      <c r="F4910" s="7" t="s">
        <v>9960</v>
      </c>
      <c r="G4910" s="7" t="n">
        <v>2011</v>
      </c>
      <c r="H4910" s="7" t="s">
        <v>50</v>
      </c>
      <c r="I4910" s="7" t="s">
        <v>378</v>
      </c>
      <c r="J4910" s="7" t="s">
        <v>986</v>
      </c>
      <c r="K4910" s="7" t="n">
        <f aca="false">IFERROR(VALUE(RIGHT(TRIM(F4910),4)),"")</f>
        <v>2018</v>
      </c>
      <c r="L4910" s="7" t="str">
        <f aca="false">IF(TRIM(E4910)="","Unknown",IFERROR(LEFT(TRIM(E4910),FIND(",",TRIM(E4910))-1),TRIM(E4910)))</f>
        <v>India</v>
      </c>
      <c r="M4910" s="7" t="str">
        <f aca="false">IFERROR(LEFT(J4910,FIND(",",J4910)-1),J4910)</f>
        <v>Children &amp; Family Movies</v>
      </c>
      <c r="N4910" s="7" t="n">
        <f aca="false">IF(B4910="Movie",IFERROR(VALUE(LEFT(I4910,FIND(" ",I4910)-1)),""),"")</f>
        <v>127</v>
      </c>
      <c r="O4910" s="7" t="str">
        <f aca="false">IF(B4910="TV Show",IFERROR(VALUE(LEFT(I4910,FIND(" ",I4910)-1)),""),"")</f>
        <v/>
      </c>
      <c r="P4910" s="7" t="n">
        <f aca="false">IF(K4910="","",K4910-G4910)</f>
        <v>7</v>
      </c>
    </row>
    <row r="4911" customFormat="false" ht="15" hidden="false" customHeight="false" outlineLevel="0" collapsed="false">
      <c r="A4911" s="7" t="n">
        <v>70267490</v>
      </c>
      <c r="B4911" s="7" t="s">
        <v>68</v>
      </c>
      <c r="C4911" s="7" t="s">
        <v>9963</v>
      </c>
      <c r="D4911" s="7" t="s">
        <v>783</v>
      </c>
      <c r="E4911" s="7" t="s">
        <v>26</v>
      </c>
      <c r="F4911" s="7" t="s">
        <v>9960</v>
      </c>
      <c r="G4911" s="7" t="n">
        <v>2013</v>
      </c>
      <c r="H4911" s="7" t="s">
        <v>51</v>
      </c>
      <c r="I4911" s="7" t="s">
        <v>138</v>
      </c>
      <c r="J4911" s="7" t="s">
        <v>566</v>
      </c>
      <c r="K4911" s="7" t="n">
        <f aca="false">IFERROR(VALUE(RIGHT(TRIM(F4911),4)),"")</f>
        <v>2018</v>
      </c>
      <c r="L4911" s="7" t="str">
        <f aca="false">IF(TRIM(E4911)="","Unknown",IFERROR(LEFT(TRIM(E4911),FIND(",",TRIM(E4911))-1),TRIM(E4911)))</f>
        <v>United States</v>
      </c>
      <c r="M4911" s="7" t="str">
        <f aca="false">IFERROR(LEFT(J4911,FIND(",",J4911)-1),J4911)</f>
        <v>Dramas</v>
      </c>
      <c r="N4911" s="7" t="n">
        <f aca="false">IF(B4911="Movie",IFERROR(VALUE(LEFT(I4911,FIND(" ",I4911)-1)),""),"")</f>
        <v>96</v>
      </c>
      <c r="O4911" s="7" t="str">
        <f aca="false">IF(B4911="TV Show",IFERROR(VALUE(LEFT(I4911,FIND(" ",I4911)-1)),""),"")</f>
        <v/>
      </c>
      <c r="P4911" s="7" t="n">
        <f aca="false">IF(K4911="","",K4911-G4911)</f>
        <v>5</v>
      </c>
    </row>
    <row r="4912" customFormat="false" ht="15" hidden="false" customHeight="false" outlineLevel="0" collapsed="false">
      <c r="A4912" s="7" t="n">
        <v>80087354</v>
      </c>
      <c r="B4912" s="7" t="s">
        <v>68</v>
      </c>
      <c r="C4912" s="7" t="s">
        <v>9964</v>
      </c>
      <c r="D4912" s="7" t="s">
        <v>9965</v>
      </c>
      <c r="E4912" s="7" t="s">
        <v>26</v>
      </c>
      <c r="F4912" s="7" t="s">
        <v>9960</v>
      </c>
      <c r="G4912" s="7" t="n">
        <v>2016</v>
      </c>
      <c r="H4912" s="7" t="s">
        <v>48</v>
      </c>
      <c r="I4912" s="7" t="s">
        <v>437</v>
      </c>
      <c r="J4912" s="7" t="s">
        <v>147</v>
      </c>
      <c r="K4912" s="7" t="n">
        <f aca="false">IFERROR(VALUE(RIGHT(TRIM(F4912),4)),"")</f>
        <v>2018</v>
      </c>
      <c r="L4912" s="7" t="str">
        <f aca="false">IF(TRIM(E4912)="","Unknown",IFERROR(LEFT(TRIM(E4912),FIND(",",TRIM(E4912))-1),TRIM(E4912)))</f>
        <v>United States</v>
      </c>
      <c r="M4912" s="7" t="str">
        <f aca="false">IFERROR(LEFT(J4912,FIND(",",J4912)-1),J4912)</f>
        <v>Horror Movies</v>
      </c>
      <c r="N4912" s="7" t="n">
        <f aca="false">IF(B4912="Movie",IFERROR(VALUE(LEFT(I4912,FIND(" ",I4912)-1)),""),"")</f>
        <v>82</v>
      </c>
      <c r="O4912" s="7" t="str">
        <f aca="false">IF(B4912="TV Show",IFERROR(VALUE(LEFT(I4912,FIND(" ",I4912)-1)),""),"")</f>
        <v/>
      </c>
      <c r="P4912" s="7" t="n">
        <f aca="false">IF(K4912="","",K4912-G4912)</f>
        <v>2</v>
      </c>
    </row>
    <row r="4913" customFormat="false" ht="15" hidden="false" customHeight="false" outlineLevel="0" collapsed="false">
      <c r="A4913" s="7" t="n">
        <v>70111162</v>
      </c>
      <c r="B4913" s="7" t="s">
        <v>68</v>
      </c>
      <c r="C4913" s="7" t="s">
        <v>9966</v>
      </c>
      <c r="D4913" s="7" t="s">
        <v>1792</v>
      </c>
      <c r="E4913" s="7" t="s">
        <v>27</v>
      </c>
      <c r="F4913" s="7" t="s">
        <v>9960</v>
      </c>
      <c r="G4913" s="7" t="n">
        <v>2008</v>
      </c>
      <c r="H4913" s="7" t="s">
        <v>48</v>
      </c>
      <c r="I4913" s="7" t="s">
        <v>1822</v>
      </c>
      <c r="J4913" s="7" t="s">
        <v>304</v>
      </c>
      <c r="K4913" s="7" t="n">
        <f aca="false">IFERROR(VALUE(RIGHT(TRIM(F4913),4)),"")</f>
        <v>2018</v>
      </c>
      <c r="L4913" s="7" t="str">
        <f aca="false">IF(TRIM(E4913)="","Unknown",IFERROR(LEFT(TRIM(E4913),FIND(",",TRIM(E4913))-1),TRIM(E4913)))</f>
        <v>India</v>
      </c>
      <c r="M4913" s="7" t="str">
        <f aca="false">IFERROR(LEFT(J4913,FIND(",",J4913)-1),J4913)</f>
        <v>Dramas</v>
      </c>
      <c r="N4913" s="7" t="n">
        <f aca="false">IF(B4913="Movie",IFERROR(VALUE(LEFT(I4913,FIND(" ",I4913)-1)),""),"")</f>
        <v>158</v>
      </c>
      <c r="O4913" s="7" t="str">
        <f aca="false">IF(B4913="TV Show",IFERROR(VALUE(LEFT(I4913,FIND(" ",I4913)-1)),""),"")</f>
        <v/>
      </c>
      <c r="P4913" s="7" t="n">
        <f aca="false">IF(K4913="","",K4913-G4913)</f>
        <v>10</v>
      </c>
    </row>
    <row r="4914" customFormat="false" ht="15" hidden="false" customHeight="false" outlineLevel="0" collapsed="false">
      <c r="A4914" s="7" t="n">
        <v>80099083</v>
      </c>
      <c r="B4914" s="7" t="s">
        <v>68</v>
      </c>
      <c r="C4914" s="7" t="s">
        <v>9967</v>
      </c>
      <c r="D4914" s="7" t="s">
        <v>3373</v>
      </c>
      <c r="E4914" s="7" t="s">
        <v>27</v>
      </c>
      <c r="F4914" s="7" t="s">
        <v>9960</v>
      </c>
      <c r="G4914" s="7" t="n">
        <v>2016</v>
      </c>
      <c r="H4914" s="7" t="s">
        <v>49</v>
      </c>
      <c r="I4914" s="7" t="s">
        <v>549</v>
      </c>
      <c r="J4914" s="7" t="s">
        <v>240</v>
      </c>
      <c r="K4914" s="7" t="n">
        <f aca="false">IFERROR(VALUE(RIGHT(TRIM(F4914),4)),"")</f>
        <v>2018</v>
      </c>
      <c r="L4914" s="7" t="str">
        <f aca="false">IF(TRIM(E4914)="","Unknown",IFERROR(LEFT(TRIM(E4914),FIND(",",TRIM(E4914))-1),TRIM(E4914)))</f>
        <v>India</v>
      </c>
      <c r="M4914" s="7" t="str">
        <f aca="false">IFERROR(LEFT(J4914,FIND(",",J4914)-1),J4914)</f>
        <v>Dramas</v>
      </c>
      <c r="N4914" s="7" t="n">
        <f aca="false">IF(B4914="Movie",IFERROR(VALUE(LEFT(I4914,FIND(" ",I4914)-1)),""),"")</f>
        <v>124</v>
      </c>
      <c r="O4914" s="7" t="str">
        <f aca="false">IF(B4914="TV Show",IFERROR(VALUE(LEFT(I4914,FIND(" ",I4914)-1)),""),"")</f>
        <v/>
      </c>
      <c r="P4914" s="7" t="n">
        <f aca="false">IF(K4914="","",K4914-G4914)</f>
        <v>2</v>
      </c>
    </row>
    <row r="4915" customFormat="false" ht="15" hidden="false" customHeight="false" outlineLevel="0" collapsed="false">
      <c r="A4915" s="7" t="n">
        <v>60003290</v>
      </c>
      <c r="B4915" s="7" t="s">
        <v>68</v>
      </c>
      <c r="C4915" s="7" t="s">
        <v>9968</v>
      </c>
      <c r="D4915" s="7" t="s">
        <v>9969</v>
      </c>
      <c r="E4915" s="7" t="s">
        <v>27</v>
      </c>
      <c r="F4915" s="7" t="s">
        <v>9960</v>
      </c>
      <c r="G4915" s="7" t="n">
        <v>2000</v>
      </c>
      <c r="H4915" s="7" t="s">
        <v>49</v>
      </c>
      <c r="I4915" s="7" t="s">
        <v>383</v>
      </c>
      <c r="J4915" s="7" t="s">
        <v>1042</v>
      </c>
      <c r="K4915" s="7" t="n">
        <f aca="false">IFERROR(VALUE(RIGHT(TRIM(F4915),4)),"")</f>
        <v>2018</v>
      </c>
      <c r="L4915" s="7" t="str">
        <f aca="false">IF(TRIM(E4915)="","Unknown",IFERROR(LEFT(TRIM(E4915),FIND(",",TRIM(E4915))-1),TRIM(E4915)))</f>
        <v>India</v>
      </c>
      <c r="M4915" s="7" t="str">
        <f aca="false">IFERROR(LEFT(J4915,FIND(",",J4915)-1),J4915)</f>
        <v>Dramas</v>
      </c>
      <c r="N4915" s="7" t="n">
        <f aca="false">IF(B4915="Movie",IFERROR(VALUE(LEFT(I4915,FIND(" ",I4915)-1)),""),"")</f>
        <v>163</v>
      </c>
      <c r="O4915" s="7" t="str">
        <f aca="false">IF(B4915="TV Show",IFERROR(VALUE(LEFT(I4915,FIND(" ",I4915)-1)),""),"")</f>
        <v/>
      </c>
      <c r="P4915" s="7" t="n">
        <f aca="false">IF(K4915="","",K4915-G4915)</f>
        <v>18</v>
      </c>
    </row>
    <row r="4916" customFormat="false" ht="15" hidden="false" customHeight="false" outlineLevel="0" collapsed="false">
      <c r="A4916" s="7" t="n">
        <v>80227672</v>
      </c>
      <c r="B4916" s="7" t="s">
        <v>68</v>
      </c>
      <c r="C4916" s="7" t="s">
        <v>9970</v>
      </c>
      <c r="D4916" s="7" t="s">
        <v>2651</v>
      </c>
      <c r="E4916" s="7" t="s">
        <v>2652</v>
      </c>
      <c r="F4916" s="7" t="s">
        <v>9960</v>
      </c>
      <c r="G4916" s="7" t="n">
        <v>2018</v>
      </c>
      <c r="H4916" s="7" t="s">
        <v>49</v>
      </c>
      <c r="I4916" s="7" t="s">
        <v>1221</v>
      </c>
      <c r="J4916" s="7" t="s">
        <v>974</v>
      </c>
      <c r="K4916" s="7" t="n">
        <f aca="false">IFERROR(VALUE(RIGHT(TRIM(F4916),4)),"")</f>
        <v>2018</v>
      </c>
      <c r="L4916" s="7" t="str">
        <f aca="false">IF(TRIM(E4916)="","Unknown",IFERROR(LEFT(TRIM(E4916),FIND(",",TRIM(E4916))-1),TRIM(E4916)))</f>
        <v>Uruguay</v>
      </c>
      <c r="M4916" s="7" t="str">
        <f aca="false">IFERROR(LEFT(J4916,FIND(",",J4916)-1),J4916)</f>
        <v>Documentaries</v>
      </c>
      <c r="N4916" s="7" t="n">
        <f aca="false">IF(B4916="Movie",IFERROR(VALUE(LEFT(I4916,FIND(" ",I4916)-1)),""),"")</f>
        <v>74</v>
      </c>
      <c r="O4916" s="7" t="str">
        <f aca="false">IF(B4916="TV Show",IFERROR(VALUE(LEFT(I4916,FIND(" ",I4916)-1)),""),"")</f>
        <v/>
      </c>
      <c r="P4916" s="7" t="n">
        <f aca="false">IF(K4916="","",K4916-G4916)</f>
        <v>0</v>
      </c>
    </row>
    <row r="4917" customFormat="false" ht="15" hidden="false" customHeight="false" outlineLevel="0" collapsed="false">
      <c r="A4917" s="7" t="n">
        <v>70139074</v>
      </c>
      <c r="B4917" s="7" t="s">
        <v>68</v>
      </c>
      <c r="C4917" s="7" t="s">
        <v>9971</v>
      </c>
      <c r="D4917" s="7" t="s">
        <v>9972</v>
      </c>
      <c r="E4917" s="7" t="s">
        <v>27</v>
      </c>
      <c r="F4917" s="7" t="s">
        <v>9960</v>
      </c>
      <c r="G4917" s="7" t="n">
        <v>2010</v>
      </c>
      <c r="H4917" s="7" t="s">
        <v>49</v>
      </c>
      <c r="I4917" s="7" t="s">
        <v>505</v>
      </c>
      <c r="J4917" s="7" t="s">
        <v>304</v>
      </c>
      <c r="K4917" s="7" t="n">
        <f aca="false">IFERROR(VALUE(RIGHT(TRIM(F4917),4)),"")</f>
        <v>2018</v>
      </c>
      <c r="L4917" s="7" t="str">
        <f aca="false">IF(TRIM(E4917)="","Unknown",IFERROR(LEFT(TRIM(E4917),FIND(",",TRIM(E4917))-1),TRIM(E4917)))</f>
        <v>India</v>
      </c>
      <c r="M4917" s="7" t="str">
        <f aca="false">IFERROR(LEFT(J4917,FIND(",",J4917)-1),J4917)</f>
        <v>Dramas</v>
      </c>
      <c r="N4917" s="7" t="n">
        <f aca="false">IF(B4917="Movie",IFERROR(VALUE(LEFT(I4917,FIND(" ",I4917)-1)),""),"")</f>
        <v>121</v>
      </c>
      <c r="O4917" s="7" t="str">
        <f aca="false">IF(B4917="TV Show",IFERROR(VALUE(LEFT(I4917,FIND(" ",I4917)-1)),""),"")</f>
        <v/>
      </c>
      <c r="P4917" s="7" t="n">
        <f aca="false">IF(K4917="","",K4917-G4917)</f>
        <v>8</v>
      </c>
    </row>
    <row r="4918" customFormat="false" ht="15" hidden="false" customHeight="false" outlineLevel="0" collapsed="false">
      <c r="A4918" s="7" t="n">
        <v>70303432</v>
      </c>
      <c r="B4918" s="7" t="s">
        <v>68</v>
      </c>
      <c r="C4918" s="7" t="s">
        <v>9973</v>
      </c>
      <c r="D4918" s="7" t="s">
        <v>2159</v>
      </c>
      <c r="E4918" s="7" t="s">
        <v>27</v>
      </c>
      <c r="F4918" s="7" t="s">
        <v>9960</v>
      </c>
      <c r="G4918" s="7" t="n">
        <v>2014</v>
      </c>
      <c r="H4918" s="7" t="s">
        <v>48</v>
      </c>
      <c r="I4918" s="7" t="s">
        <v>1955</v>
      </c>
      <c r="J4918" s="7" t="s">
        <v>240</v>
      </c>
      <c r="K4918" s="7" t="n">
        <f aca="false">IFERROR(VALUE(RIGHT(TRIM(F4918),4)),"")</f>
        <v>2018</v>
      </c>
      <c r="L4918" s="7" t="str">
        <f aca="false">IF(TRIM(E4918)="","Unknown",IFERROR(LEFT(TRIM(E4918),FIND(",",TRIM(E4918))-1),TRIM(E4918)))</f>
        <v>India</v>
      </c>
      <c r="M4918" s="7" t="str">
        <f aca="false">IFERROR(LEFT(J4918,FIND(",",J4918)-1),J4918)</f>
        <v>Dramas</v>
      </c>
      <c r="N4918" s="7" t="n">
        <f aca="false">IF(B4918="Movie",IFERROR(VALUE(LEFT(I4918,FIND(" ",I4918)-1)),""),"")</f>
        <v>154</v>
      </c>
      <c r="O4918" s="7" t="str">
        <f aca="false">IF(B4918="TV Show",IFERROR(VALUE(LEFT(I4918,FIND(" ",I4918)-1)),""),"")</f>
        <v/>
      </c>
      <c r="P4918" s="7" t="n">
        <f aca="false">IF(K4918="","",K4918-G4918)</f>
        <v>4</v>
      </c>
    </row>
    <row r="4919" customFormat="false" ht="15" hidden="false" customHeight="false" outlineLevel="0" collapsed="false">
      <c r="A4919" s="7" t="n">
        <v>70303424</v>
      </c>
      <c r="B4919" s="7" t="s">
        <v>68</v>
      </c>
      <c r="C4919" s="7" t="s">
        <v>9974</v>
      </c>
      <c r="D4919" s="7" t="s">
        <v>6617</v>
      </c>
      <c r="E4919" s="7" t="s">
        <v>27</v>
      </c>
      <c r="F4919" s="7" t="s">
        <v>9960</v>
      </c>
      <c r="G4919" s="7" t="n">
        <v>2014</v>
      </c>
      <c r="H4919" s="7" t="s">
        <v>49</v>
      </c>
      <c r="I4919" s="7" t="s">
        <v>378</v>
      </c>
      <c r="J4919" s="7" t="s">
        <v>112</v>
      </c>
      <c r="K4919" s="7" t="n">
        <f aca="false">IFERROR(VALUE(RIGHT(TRIM(F4919),4)),"")</f>
        <v>2018</v>
      </c>
      <c r="L4919" s="7" t="str">
        <f aca="false">IF(TRIM(E4919)="","Unknown",IFERROR(LEFT(TRIM(E4919),FIND(",",TRIM(E4919))-1),TRIM(E4919)))</f>
        <v>India</v>
      </c>
      <c r="M4919" s="7" t="str">
        <f aca="false">IFERROR(LEFT(J4919,FIND(",",J4919)-1),J4919)</f>
        <v>Action &amp; Adventure</v>
      </c>
      <c r="N4919" s="7" t="n">
        <f aca="false">IF(B4919="Movie",IFERROR(VALUE(LEFT(I4919,FIND(" ",I4919)-1)),""),"")</f>
        <v>127</v>
      </c>
      <c r="O4919" s="7" t="str">
        <f aca="false">IF(B4919="TV Show",IFERROR(VALUE(LEFT(I4919,FIND(" ",I4919)-1)),""),"")</f>
        <v/>
      </c>
      <c r="P4919" s="7" t="n">
        <f aca="false">IF(K4919="","",K4919-G4919)</f>
        <v>4</v>
      </c>
    </row>
    <row r="4920" customFormat="false" ht="15" hidden="false" customHeight="false" outlineLevel="0" collapsed="false">
      <c r="A4920" s="7" t="n">
        <v>70139071</v>
      </c>
      <c r="B4920" s="7" t="s">
        <v>68</v>
      </c>
      <c r="C4920" s="7" t="s">
        <v>9975</v>
      </c>
      <c r="D4920" s="7" t="s">
        <v>9976</v>
      </c>
      <c r="E4920" s="7" t="s">
        <v>27</v>
      </c>
      <c r="F4920" s="7" t="s">
        <v>9960</v>
      </c>
      <c r="G4920" s="7" t="n">
        <v>2010</v>
      </c>
      <c r="H4920" s="7" t="s">
        <v>49</v>
      </c>
      <c r="I4920" s="7" t="s">
        <v>261</v>
      </c>
      <c r="J4920" s="7" t="s">
        <v>457</v>
      </c>
      <c r="K4920" s="7" t="n">
        <f aca="false">IFERROR(VALUE(RIGHT(TRIM(F4920),4)),"")</f>
        <v>2018</v>
      </c>
      <c r="L4920" s="7" t="str">
        <f aca="false">IF(TRIM(E4920)="","Unknown",IFERROR(LEFT(TRIM(E4920),FIND(",",TRIM(E4920))-1),TRIM(E4920)))</f>
        <v>India</v>
      </c>
      <c r="M4920" s="7" t="str">
        <f aca="false">IFERROR(LEFT(J4920,FIND(",",J4920)-1),J4920)</f>
        <v>Comedies</v>
      </c>
      <c r="N4920" s="7" t="n">
        <f aca="false">IF(B4920="Movie",IFERROR(VALUE(LEFT(I4920,FIND(" ",I4920)-1)),""),"")</f>
        <v>128</v>
      </c>
      <c r="O4920" s="7" t="str">
        <f aca="false">IF(B4920="TV Show",IFERROR(VALUE(LEFT(I4920,FIND(" ",I4920)-1)),""),"")</f>
        <v/>
      </c>
      <c r="P4920" s="7" t="n">
        <f aca="false">IF(K4920="","",K4920-G4920)</f>
        <v>8</v>
      </c>
    </row>
    <row r="4921" customFormat="false" ht="15" hidden="false" customHeight="false" outlineLevel="0" collapsed="false">
      <c r="A4921" s="7" t="n">
        <v>70219529</v>
      </c>
      <c r="B4921" s="7" t="s">
        <v>68</v>
      </c>
      <c r="C4921" s="7" t="s">
        <v>9977</v>
      </c>
      <c r="D4921" s="7" t="s">
        <v>8650</v>
      </c>
      <c r="E4921" s="7" t="s">
        <v>27</v>
      </c>
      <c r="F4921" s="7" t="s">
        <v>9960</v>
      </c>
      <c r="G4921" s="7" t="n">
        <v>2012</v>
      </c>
      <c r="H4921" s="7" t="s">
        <v>50</v>
      </c>
      <c r="I4921" s="7" t="s">
        <v>134</v>
      </c>
      <c r="J4921" s="7" t="s">
        <v>457</v>
      </c>
      <c r="K4921" s="7" t="n">
        <f aca="false">IFERROR(VALUE(RIGHT(TRIM(F4921),4)),"")</f>
        <v>2018</v>
      </c>
      <c r="L4921" s="7" t="str">
        <f aca="false">IF(TRIM(E4921)="","Unknown",IFERROR(LEFT(TRIM(E4921),FIND(",",TRIM(E4921))-1),TRIM(E4921)))</f>
        <v>India</v>
      </c>
      <c r="M4921" s="7" t="str">
        <f aca="false">IFERROR(LEFT(J4921,FIND(",",J4921)-1),J4921)</f>
        <v>Comedies</v>
      </c>
      <c r="N4921" s="7" t="n">
        <f aca="false">IF(B4921="Movie",IFERROR(VALUE(LEFT(I4921,FIND(" ",I4921)-1)),""),"")</f>
        <v>98</v>
      </c>
      <c r="O4921" s="7" t="str">
        <f aca="false">IF(B4921="TV Show",IFERROR(VALUE(LEFT(I4921,FIND(" ",I4921)-1)),""),"")</f>
        <v/>
      </c>
      <c r="P4921" s="7" t="n">
        <f aca="false">IF(K4921="","",K4921-G4921)</f>
        <v>6</v>
      </c>
    </row>
    <row r="4922" customFormat="false" ht="15" hidden="false" customHeight="false" outlineLevel="0" collapsed="false">
      <c r="A4922" s="7" t="n">
        <v>70056059</v>
      </c>
      <c r="B4922" s="7" t="s">
        <v>68</v>
      </c>
      <c r="C4922" s="7" t="s">
        <v>9978</v>
      </c>
      <c r="D4922" s="7" t="s">
        <v>3388</v>
      </c>
      <c r="E4922" s="7" t="s">
        <v>27</v>
      </c>
      <c r="F4922" s="7" t="s">
        <v>9960</v>
      </c>
      <c r="G4922" s="7" t="n">
        <v>2006</v>
      </c>
      <c r="H4922" s="7" t="s">
        <v>49</v>
      </c>
      <c r="I4922" s="7" t="s">
        <v>549</v>
      </c>
      <c r="J4922" s="7" t="s">
        <v>217</v>
      </c>
      <c r="K4922" s="7" t="n">
        <f aca="false">IFERROR(VALUE(RIGHT(TRIM(F4922),4)),"")</f>
        <v>2018</v>
      </c>
      <c r="L4922" s="7" t="str">
        <f aca="false">IF(TRIM(E4922)="","Unknown",IFERROR(LEFT(TRIM(E4922),FIND(",",TRIM(E4922))-1),TRIM(E4922)))</f>
        <v>India</v>
      </c>
      <c r="M4922" s="7" t="str">
        <f aca="false">IFERROR(LEFT(J4922,FIND(",",J4922)-1),J4922)</f>
        <v>Comedies</v>
      </c>
      <c r="N4922" s="7" t="n">
        <f aca="false">IF(B4922="Movie",IFERROR(VALUE(LEFT(I4922,FIND(" ",I4922)-1)),""),"")</f>
        <v>124</v>
      </c>
      <c r="O4922" s="7" t="str">
        <f aca="false">IF(B4922="TV Show",IFERROR(VALUE(LEFT(I4922,FIND(" ",I4922)-1)),""),"")</f>
        <v/>
      </c>
      <c r="P4922" s="7" t="n">
        <f aca="false">IF(K4922="","",K4922-G4922)</f>
        <v>12</v>
      </c>
    </row>
    <row r="4923" customFormat="false" ht="15" hidden="false" customHeight="false" outlineLevel="0" collapsed="false">
      <c r="A4923" s="7" t="n">
        <v>70114589</v>
      </c>
      <c r="B4923" s="7" t="s">
        <v>68</v>
      </c>
      <c r="C4923" s="7" t="s">
        <v>9979</v>
      </c>
      <c r="D4923" s="7" t="s">
        <v>9980</v>
      </c>
      <c r="E4923" s="7" t="s">
        <v>27</v>
      </c>
      <c r="F4923" s="7" t="s">
        <v>9960</v>
      </c>
      <c r="G4923" s="7" t="n">
        <v>2009</v>
      </c>
      <c r="H4923" s="7" t="s">
        <v>50</v>
      </c>
      <c r="I4923" s="7" t="s">
        <v>790</v>
      </c>
      <c r="J4923" s="7" t="s">
        <v>1520</v>
      </c>
      <c r="K4923" s="7" t="n">
        <f aca="false">IFERROR(VALUE(RIGHT(TRIM(F4923),4)),"")</f>
        <v>2018</v>
      </c>
      <c r="L4923" s="7" t="str">
        <f aca="false">IF(TRIM(E4923)="","Unknown",IFERROR(LEFT(TRIM(E4923),FIND(",",TRIM(E4923))-1),TRIM(E4923)))</f>
        <v>India</v>
      </c>
      <c r="M4923" s="7" t="str">
        <f aca="false">IFERROR(LEFT(J4923,FIND(",",J4923)-1),J4923)</f>
        <v>International Movies</v>
      </c>
      <c r="N4923" s="7" t="n">
        <f aca="false">IF(B4923="Movie",IFERROR(VALUE(LEFT(I4923,FIND(" ",I4923)-1)),""),"")</f>
        <v>109</v>
      </c>
      <c r="O4923" s="7" t="str">
        <f aca="false">IF(B4923="TV Show",IFERROR(VALUE(LEFT(I4923,FIND(" ",I4923)-1)),""),"")</f>
        <v/>
      </c>
      <c r="P4923" s="7" t="n">
        <f aca="false">IF(K4923="","",K4923-G4923)</f>
        <v>9</v>
      </c>
    </row>
    <row r="4924" customFormat="false" ht="15" hidden="false" customHeight="false" outlineLevel="0" collapsed="false">
      <c r="A4924" s="7" t="n">
        <v>80104257</v>
      </c>
      <c r="B4924" s="7" t="s">
        <v>68</v>
      </c>
      <c r="C4924" s="7" t="s">
        <v>9981</v>
      </c>
      <c r="D4924" s="7" t="s">
        <v>2154</v>
      </c>
      <c r="E4924" s="7" t="s">
        <v>27</v>
      </c>
      <c r="F4924" s="7" t="s">
        <v>9960</v>
      </c>
      <c r="G4924" s="7" t="n">
        <v>2016</v>
      </c>
      <c r="H4924" s="7" t="s">
        <v>49</v>
      </c>
      <c r="I4924" s="7" t="s">
        <v>1449</v>
      </c>
      <c r="J4924" s="7" t="s">
        <v>112</v>
      </c>
      <c r="K4924" s="7" t="n">
        <f aca="false">IFERROR(VALUE(RIGHT(TRIM(F4924),4)),"")</f>
        <v>2018</v>
      </c>
      <c r="L4924" s="7" t="str">
        <f aca="false">IF(TRIM(E4924)="","Unknown",IFERROR(LEFT(TRIM(E4924),FIND(",",TRIM(E4924))-1),TRIM(E4924)))</f>
        <v>India</v>
      </c>
      <c r="M4924" s="7" t="str">
        <f aca="false">IFERROR(LEFT(J4924,FIND(",",J4924)-1),J4924)</f>
        <v>Action &amp; Adventure</v>
      </c>
      <c r="N4924" s="7" t="n">
        <f aca="false">IF(B4924="Movie",IFERROR(VALUE(LEFT(I4924,FIND(" ",I4924)-1)),""),"")</f>
        <v>168</v>
      </c>
      <c r="O4924" s="7" t="str">
        <f aca="false">IF(B4924="TV Show",IFERROR(VALUE(LEFT(I4924,FIND(" ",I4924)-1)),""),"")</f>
        <v/>
      </c>
      <c r="P4924" s="7" t="n">
        <f aca="false">IF(K4924="","",K4924-G4924)</f>
        <v>2</v>
      </c>
    </row>
    <row r="4925" customFormat="false" ht="15" hidden="false" customHeight="false" outlineLevel="0" collapsed="false">
      <c r="A4925" s="7" t="n">
        <v>80997865</v>
      </c>
      <c r="B4925" s="7" t="s">
        <v>68</v>
      </c>
      <c r="C4925" s="7" t="s">
        <v>9982</v>
      </c>
      <c r="D4925" s="7" t="s">
        <v>9983</v>
      </c>
      <c r="E4925" s="7" t="s">
        <v>411</v>
      </c>
      <c r="F4925" s="7" t="s">
        <v>9960</v>
      </c>
      <c r="G4925" s="7" t="n">
        <v>1983</v>
      </c>
      <c r="H4925" s="7" t="s">
        <v>49</v>
      </c>
      <c r="I4925" s="7" t="s">
        <v>357</v>
      </c>
      <c r="J4925" s="7" t="s">
        <v>322</v>
      </c>
      <c r="K4925" s="7" t="n">
        <f aca="false">IFERROR(VALUE(RIGHT(TRIM(F4925),4)),"")</f>
        <v>2018</v>
      </c>
      <c r="L4925" s="7" t="str">
        <f aca="false">IF(TRIM(E4925)="","Unknown",IFERROR(LEFT(TRIM(E4925),FIND(",",TRIM(E4925))-1),TRIM(E4925)))</f>
        <v>Hong Kong</v>
      </c>
      <c r="M4925" s="7" t="str">
        <f aca="false">IFERROR(LEFT(J4925,FIND(",",J4925)-1),J4925)</f>
        <v>Action &amp; Adventure</v>
      </c>
      <c r="N4925" s="7" t="n">
        <f aca="false">IF(B4925="Movie",IFERROR(VALUE(LEFT(I4925,FIND(" ",I4925)-1)),""),"")</f>
        <v>89</v>
      </c>
      <c r="O4925" s="7" t="str">
        <f aca="false">IF(B4925="TV Show",IFERROR(VALUE(LEFT(I4925,FIND(" ",I4925)-1)),""),"")</f>
        <v/>
      </c>
      <c r="P4925" s="7" t="n">
        <f aca="false">IF(K4925="","",K4925-G4925)</f>
        <v>35</v>
      </c>
    </row>
    <row r="4926" customFormat="false" ht="15" hidden="false" customHeight="false" outlineLevel="0" collapsed="false">
      <c r="A4926" s="7" t="n">
        <v>70123124</v>
      </c>
      <c r="B4926" s="7" t="s">
        <v>68</v>
      </c>
      <c r="C4926" s="7" t="s">
        <v>9984</v>
      </c>
      <c r="D4926" s="7" t="s">
        <v>3394</v>
      </c>
      <c r="E4926" s="7" t="s">
        <v>27</v>
      </c>
      <c r="F4926" s="7" t="s">
        <v>9960</v>
      </c>
      <c r="G4926" s="7" t="n">
        <v>2010</v>
      </c>
      <c r="H4926" s="7" t="s">
        <v>48</v>
      </c>
      <c r="I4926" s="7" t="s">
        <v>1066</v>
      </c>
      <c r="J4926" s="7" t="s">
        <v>182</v>
      </c>
      <c r="K4926" s="7" t="n">
        <f aca="false">IFERROR(VALUE(RIGHT(TRIM(F4926),4)),"")</f>
        <v>2018</v>
      </c>
      <c r="L4926" s="7" t="str">
        <f aca="false">IF(TRIM(E4926)="","Unknown",IFERROR(LEFT(TRIM(E4926),FIND(",",TRIM(E4926))-1),TRIM(E4926)))</f>
        <v>India</v>
      </c>
      <c r="M4926" s="7" t="str">
        <f aca="false">IFERROR(LEFT(J4926,FIND(",",J4926)-1),J4926)</f>
        <v>Dramas</v>
      </c>
      <c r="N4926" s="7" t="n">
        <f aca="false">IF(B4926="Movie",IFERROR(VALUE(LEFT(I4926,FIND(" ",I4926)-1)),""),"")</f>
        <v>162</v>
      </c>
      <c r="O4926" s="7" t="str">
        <f aca="false">IF(B4926="TV Show",IFERROR(VALUE(LEFT(I4926,FIND(" ",I4926)-1)),""),"")</f>
        <v/>
      </c>
      <c r="P4926" s="7" t="n">
        <f aca="false">IF(K4926="","",K4926-G4926)</f>
        <v>8</v>
      </c>
    </row>
    <row r="4927" customFormat="false" ht="15" hidden="false" customHeight="false" outlineLevel="0" collapsed="false">
      <c r="A4927" s="7" t="n">
        <v>70047320</v>
      </c>
      <c r="B4927" s="7" t="s">
        <v>68</v>
      </c>
      <c r="C4927" s="7" t="s">
        <v>9985</v>
      </c>
      <c r="D4927" s="7" t="s">
        <v>2128</v>
      </c>
      <c r="E4927" s="7" t="s">
        <v>27</v>
      </c>
      <c r="F4927" s="7" t="s">
        <v>9960</v>
      </c>
      <c r="G4927" s="7" t="n">
        <v>2006</v>
      </c>
      <c r="H4927" s="7" t="s">
        <v>48</v>
      </c>
      <c r="I4927" s="7" t="s">
        <v>1779</v>
      </c>
      <c r="J4927" s="7" t="s">
        <v>304</v>
      </c>
      <c r="K4927" s="7" t="n">
        <f aca="false">IFERROR(VALUE(RIGHT(TRIM(F4927),4)),"")</f>
        <v>2018</v>
      </c>
      <c r="L4927" s="7" t="str">
        <f aca="false">IF(TRIM(E4927)="","Unknown",IFERROR(LEFT(TRIM(E4927),FIND(",",TRIM(E4927))-1),TRIM(E4927)))</f>
        <v>India</v>
      </c>
      <c r="M4927" s="7" t="str">
        <f aca="false">IFERROR(LEFT(J4927,FIND(",",J4927)-1),J4927)</f>
        <v>Dramas</v>
      </c>
      <c r="N4927" s="7" t="n">
        <f aca="false">IF(B4927="Movie",IFERROR(VALUE(LEFT(I4927,FIND(" ",I4927)-1)),""),"")</f>
        <v>159</v>
      </c>
      <c r="O4927" s="7" t="str">
        <f aca="false">IF(B4927="TV Show",IFERROR(VALUE(LEFT(I4927,FIND(" ",I4927)-1)),""),"")</f>
        <v/>
      </c>
      <c r="P4927" s="7" t="n">
        <f aca="false">IF(K4927="","",K4927-G4927)</f>
        <v>12</v>
      </c>
    </row>
    <row r="4928" customFormat="false" ht="15" hidden="false" customHeight="false" outlineLevel="0" collapsed="false">
      <c r="A4928" s="7" t="n">
        <v>70229043</v>
      </c>
      <c r="B4928" s="7" t="s">
        <v>68</v>
      </c>
      <c r="C4928" s="7" t="s">
        <v>9986</v>
      </c>
      <c r="D4928" s="7" t="s">
        <v>9987</v>
      </c>
      <c r="E4928" s="7" t="s">
        <v>27</v>
      </c>
      <c r="F4928" s="7" t="s">
        <v>9960</v>
      </c>
      <c r="G4928" s="7" t="n">
        <v>2012</v>
      </c>
      <c r="H4928" s="7" t="s">
        <v>48</v>
      </c>
      <c r="I4928" s="7" t="s">
        <v>749</v>
      </c>
      <c r="J4928" s="7" t="s">
        <v>139</v>
      </c>
      <c r="K4928" s="7" t="n">
        <f aca="false">IFERROR(VALUE(RIGHT(TRIM(F4928),4)),"")</f>
        <v>2018</v>
      </c>
      <c r="L4928" s="7" t="str">
        <f aca="false">IF(TRIM(E4928)="","Unknown",IFERROR(LEFT(TRIM(E4928),FIND(",",TRIM(E4928))-1),TRIM(E4928)))</f>
        <v>India</v>
      </c>
      <c r="M4928" s="7" t="str">
        <f aca="false">IFERROR(LEFT(J4928,FIND(",",J4928)-1),J4928)</f>
        <v>Action &amp; Adventure</v>
      </c>
      <c r="N4928" s="7" t="n">
        <f aca="false">IF(B4928="Movie",IFERROR(VALUE(LEFT(I4928,FIND(" ",I4928)-1)),""),"")</f>
        <v>137</v>
      </c>
      <c r="O4928" s="7" t="str">
        <f aca="false">IF(B4928="TV Show",IFERROR(VALUE(LEFT(I4928,FIND(" ",I4928)-1)),""),"")</f>
        <v/>
      </c>
      <c r="P4928" s="7" t="n">
        <f aca="false">IF(K4928="","",K4928-G4928)</f>
        <v>6</v>
      </c>
    </row>
    <row r="4929" customFormat="false" ht="15" hidden="false" customHeight="false" outlineLevel="0" collapsed="false">
      <c r="A4929" s="7" t="n">
        <v>80087743</v>
      </c>
      <c r="B4929" s="7" t="s">
        <v>68</v>
      </c>
      <c r="C4929" s="7" t="s">
        <v>9988</v>
      </c>
      <c r="D4929" s="7" t="s">
        <v>6617</v>
      </c>
      <c r="E4929" s="7" t="s">
        <v>27</v>
      </c>
      <c r="F4929" s="7" t="s">
        <v>9960</v>
      </c>
      <c r="G4929" s="7" t="n">
        <v>2015</v>
      </c>
      <c r="H4929" s="7" t="s">
        <v>50</v>
      </c>
      <c r="I4929" s="7" t="s">
        <v>201</v>
      </c>
      <c r="J4929" s="7" t="s">
        <v>240</v>
      </c>
      <c r="K4929" s="7" t="n">
        <f aca="false">IFERROR(VALUE(RIGHT(TRIM(F4929),4)),"")</f>
        <v>2018</v>
      </c>
      <c r="L4929" s="7" t="str">
        <f aca="false">IF(TRIM(E4929)="","Unknown",IFERROR(LEFT(TRIM(E4929),FIND(",",TRIM(E4929))-1),TRIM(E4929)))</f>
        <v>India</v>
      </c>
      <c r="M4929" s="7" t="str">
        <f aca="false">IFERROR(LEFT(J4929,FIND(",",J4929)-1),J4929)</f>
        <v>Dramas</v>
      </c>
      <c r="N4929" s="7" t="n">
        <f aca="false">IF(B4929="Movie",IFERROR(VALUE(LEFT(I4929,FIND(" ",I4929)-1)),""),"")</f>
        <v>133</v>
      </c>
      <c r="O4929" s="7" t="str">
        <f aca="false">IF(B4929="TV Show",IFERROR(VALUE(LEFT(I4929,FIND(" ",I4929)-1)),""),"")</f>
        <v/>
      </c>
      <c r="P4929" s="7" t="n">
        <f aca="false">IF(K4929="","",K4929-G4929)</f>
        <v>3</v>
      </c>
    </row>
    <row r="4930" customFormat="false" ht="15" hidden="false" customHeight="false" outlineLevel="0" collapsed="false">
      <c r="A4930" s="7" t="n">
        <v>70139078</v>
      </c>
      <c r="B4930" s="7" t="s">
        <v>68</v>
      </c>
      <c r="C4930" s="7" t="s">
        <v>9989</v>
      </c>
      <c r="D4930" s="7" t="s">
        <v>8407</v>
      </c>
      <c r="E4930" s="7" t="s">
        <v>27</v>
      </c>
      <c r="F4930" s="7" t="s">
        <v>9960</v>
      </c>
      <c r="G4930" s="7" t="n">
        <v>2010</v>
      </c>
      <c r="H4930" s="7" t="s">
        <v>50</v>
      </c>
      <c r="I4930" s="7" t="s">
        <v>194</v>
      </c>
      <c r="J4930" s="7" t="s">
        <v>457</v>
      </c>
      <c r="K4930" s="7" t="n">
        <f aca="false">IFERROR(VALUE(RIGHT(TRIM(F4930),4)),"")</f>
        <v>2018</v>
      </c>
      <c r="L4930" s="7" t="str">
        <f aca="false">IF(TRIM(E4930)="","Unknown",IFERROR(LEFT(TRIM(E4930),FIND(",",TRIM(E4930))-1),TRIM(E4930)))</f>
        <v>India</v>
      </c>
      <c r="M4930" s="7" t="str">
        <f aca="false">IFERROR(LEFT(J4930,FIND(",",J4930)-1),J4930)</f>
        <v>Comedies</v>
      </c>
      <c r="N4930" s="7" t="n">
        <f aca="false">IF(B4930="Movie",IFERROR(VALUE(LEFT(I4930,FIND(" ",I4930)-1)),""),"")</f>
        <v>125</v>
      </c>
      <c r="O4930" s="7" t="str">
        <f aca="false">IF(B4930="TV Show",IFERROR(VALUE(LEFT(I4930,FIND(" ",I4930)-1)),""),"")</f>
        <v/>
      </c>
      <c r="P4930" s="7" t="n">
        <f aca="false">IF(K4930="","",K4930-G4930)</f>
        <v>8</v>
      </c>
    </row>
    <row r="4931" customFormat="false" ht="15" hidden="false" customHeight="false" outlineLevel="0" collapsed="false">
      <c r="A4931" s="7" t="n">
        <v>70229041</v>
      </c>
      <c r="B4931" s="7" t="s">
        <v>68</v>
      </c>
      <c r="C4931" s="7" t="s">
        <v>9990</v>
      </c>
      <c r="D4931" s="7" t="s">
        <v>9991</v>
      </c>
      <c r="E4931" s="7" t="s">
        <v>27</v>
      </c>
      <c r="F4931" s="7" t="s">
        <v>9960</v>
      </c>
      <c r="G4931" s="7" t="n">
        <v>2012</v>
      </c>
      <c r="H4931" s="7" t="s">
        <v>50</v>
      </c>
      <c r="I4931" s="7" t="s">
        <v>378</v>
      </c>
      <c r="J4931" s="7" t="s">
        <v>206</v>
      </c>
      <c r="K4931" s="7" t="n">
        <f aca="false">IFERROR(VALUE(RIGHT(TRIM(F4931),4)),"")</f>
        <v>2018</v>
      </c>
      <c r="L4931" s="7" t="str">
        <f aca="false">IF(TRIM(E4931)="","Unknown",IFERROR(LEFT(TRIM(E4931),FIND(",",TRIM(E4931))-1),TRIM(E4931)))</f>
        <v>India</v>
      </c>
      <c r="M4931" s="7" t="str">
        <f aca="false">IFERROR(LEFT(J4931,FIND(",",J4931)-1),J4931)</f>
        <v>Comedies</v>
      </c>
      <c r="N4931" s="7" t="n">
        <f aca="false">IF(B4931="Movie",IFERROR(VALUE(LEFT(I4931,FIND(" ",I4931)-1)),""),"")</f>
        <v>127</v>
      </c>
      <c r="O4931" s="7" t="str">
        <f aca="false">IF(B4931="TV Show",IFERROR(VALUE(LEFT(I4931,FIND(" ",I4931)-1)),""),"")</f>
        <v/>
      </c>
      <c r="P4931" s="7" t="n">
        <f aca="false">IF(K4931="","",K4931-G4931)</f>
        <v>6</v>
      </c>
    </row>
    <row r="4932" customFormat="false" ht="15" hidden="false" customHeight="false" outlineLevel="0" collapsed="false">
      <c r="A4932" s="7" t="n">
        <v>70187503</v>
      </c>
      <c r="B4932" s="7" t="s">
        <v>68</v>
      </c>
      <c r="C4932" s="7" t="s">
        <v>9992</v>
      </c>
      <c r="D4932" s="7" t="s">
        <v>1528</v>
      </c>
      <c r="E4932" s="7" t="s">
        <v>27</v>
      </c>
      <c r="F4932" s="7" t="s">
        <v>9960</v>
      </c>
      <c r="G4932" s="7" t="n">
        <v>2011</v>
      </c>
      <c r="H4932" s="7" t="s">
        <v>49</v>
      </c>
      <c r="I4932" s="7" t="s">
        <v>1707</v>
      </c>
      <c r="J4932" s="7" t="s">
        <v>206</v>
      </c>
      <c r="K4932" s="7" t="n">
        <f aca="false">IFERROR(VALUE(RIGHT(TRIM(F4932),4)),"")</f>
        <v>2018</v>
      </c>
      <c r="L4932" s="7" t="str">
        <f aca="false">IF(TRIM(E4932)="","Unknown",IFERROR(LEFT(TRIM(E4932),FIND(",",TRIM(E4932))-1),TRIM(E4932)))</f>
        <v>India</v>
      </c>
      <c r="M4932" s="7" t="str">
        <f aca="false">IFERROR(LEFT(J4932,FIND(",",J4932)-1),J4932)</f>
        <v>Comedies</v>
      </c>
      <c r="N4932" s="7" t="n">
        <f aca="false">IF(B4932="Movie",IFERROR(VALUE(LEFT(I4932,FIND(" ",I4932)-1)),""),"")</f>
        <v>131</v>
      </c>
      <c r="O4932" s="7" t="str">
        <f aca="false">IF(B4932="TV Show",IFERROR(VALUE(LEFT(I4932,FIND(" ",I4932)-1)),""),"")</f>
        <v/>
      </c>
      <c r="P4932" s="7" t="n">
        <f aca="false">IF(K4932="","",K4932-G4932)</f>
        <v>7</v>
      </c>
    </row>
    <row r="4933" customFormat="false" ht="15" hidden="false" customHeight="false" outlineLevel="0" collapsed="false">
      <c r="A4933" s="7" t="n">
        <v>70075775</v>
      </c>
      <c r="B4933" s="7" t="s">
        <v>68</v>
      </c>
      <c r="C4933" s="7" t="s">
        <v>9993</v>
      </c>
      <c r="D4933" s="7" t="s">
        <v>2159</v>
      </c>
      <c r="E4933" s="7" t="s">
        <v>27</v>
      </c>
      <c r="F4933" s="7" t="s">
        <v>9960</v>
      </c>
      <c r="G4933" s="7" t="n">
        <v>2005</v>
      </c>
      <c r="H4933" s="7" t="s">
        <v>50</v>
      </c>
      <c r="I4933" s="7" t="s">
        <v>73</v>
      </c>
      <c r="J4933" s="7" t="s">
        <v>5048</v>
      </c>
      <c r="K4933" s="7" t="n">
        <f aca="false">IFERROR(VALUE(RIGHT(TRIM(F4933),4)),"")</f>
        <v>2018</v>
      </c>
      <c r="L4933" s="7" t="str">
        <f aca="false">IF(TRIM(E4933)="","Unknown",IFERROR(LEFT(TRIM(E4933),FIND(",",TRIM(E4933))-1),TRIM(E4933)))</f>
        <v>India</v>
      </c>
      <c r="M4933" s="7" t="str">
        <f aca="false">IFERROR(LEFT(J4933,FIND(",",J4933)-1),J4933)</f>
        <v>Children &amp; Family Movies</v>
      </c>
      <c r="N4933" s="7" t="n">
        <f aca="false">IF(B4933="Movie",IFERROR(VALUE(LEFT(I4933,FIND(" ",I4933)-1)),""),"")</f>
        <v>90</v>
      </c>
      <c r="O4933" s="7" t="str">
        <f aca="false">IF(B4933="TV Show",IFERROR(VALUE(LEFT(I4933,FIND(" ",I4933)-1)),""),"")</f>
        <v/>
      </c>
      <c r="P4933" s="7" t="n">
        <f aca="false">IF(K4933="","",K4933-G4933)</f>
        <v>13</v>
      </c>
    </row>
    <row r="4934" customFormat="false" ht="15" hidden="false" customHeight="false" outlineLevel="0" collapsed="false">
      <c r="A4934" s="7" t="n">
        <v>70204316</v>
      </c>
      <c r="B4934" s="7" t="s">
        <v>68</v>
      </c>
      <c r="C4934" s="7" t="s">
        <v>9994</v>
      </c>
      <c r="D4934" s="7" t="s">
        <v>9995</v>
      </c>
      <c r="E4934" s="7" t="s">
        <v>26</v>
      </c>
      <c r="F4934" s="7" t="s">
        <v>9996</v>
      </c>
      <c r="G4934" s="7" t="n">
        <v>2011</v>
      </c>
      <c r="H4934" s="7" t="s">
        <v>53</v>
      </c>
      <c r="I4934" s="7" t="s">
        <v>467</v>
      </c>
      <c r="J4934" s="7" t="s">
        <v>45</v>
      </c>
      <c r="K4934" s="7" t="n">
        <f aca="false">IFERROR(VALUE(RIGHT(TRIM(F4934),4)),"")</f>
        <v>2016</v>
      </c>
      <c r="L4934" s="7" t="str">
        <f aca="false">IF(TRIM(E4934)="","Unknown",IFERROR(LEFT(TRIM(E4934),FIND(",",TRIM(E4934))-1),TRIM(E4934)))</f>
        <v>United States</v>
      </c>
      <c r="M4934" s="7" t="str">
        <f aca="false">IFERROR(LEFT(J4934,FIND(",",J4934)-1),J4934)</f>
        <v>Stand-Up Comedy</v>
      </c>
      <c r="N4934" s="7" t="n">
        <f aca="false">IF(B4934="Movie",IFERROR(VALUE(LEFT(I4934,FIND(" ",I4934)-1)),""),"")</f>
        <v>81</v>
      </c>
      <c r="O4934" s="7" t="str">
        <f aca="false">IF(B4934="TV Show",IFERROR(VALUE(LEFT(I4934,FIND(" ",I4934)-1)),""),"")</f>
        <v/>
      </c>
      <c r="P4934" s="7" t="n">
        <f aca="false">IF(K4934="","",K4934-G4934)</f>
        <v>5</v>
      </c>
    </row>
    <row r="4935" customFormat="false" ht="15" hidden="false" customHeight="false" outlineLevel="0" collapsed="false">
      <c r="A4935" s="7" t="n">
        <v>80234464</v>
      </c>
      <c r="B4935" s="7" t="s">
        <v>68</v>
      </c>
      <c r="C4935" s="7" t="s">
        <v>9997</v>
      </c>
      <c r="D4935" s="7" t="s">
        <v>9998</v>
      </c>
      <c r="E4935" s="7" t="s">
        <v>97</v>
      </c>
      <c r="F4935" s="7" t="s">
        <v>9999</v>
      </c>
      <c r="G4935" s="7" t="n">
        <v>2016</v>
      </c>
      <c r="H4935" s="7" t="s">
        <v>49</v>
      </c>
      <c r="I4935" s="7" t="s">
        <v>264</v>
      </c>
      <c r="J4935" s="7" t="s">
        <v>1000</v>
      </c>
      <c r="K4935" s="7" t="n">
        <f aca="false">IFERROR(VALUE(RIGHT(TRIM(F4935),4)),"")</f>
        <v>2018</v>
      </c>
      <c r="L4935" s="7" t="str">
        <f aca="false">IF(TRIM(E4935)="","Unknown",IFERROR(LEFT(TRIM(E4935),FIND(",",TRIM(E4935))-1),TRIM(E4935)))</f>
        <v>Chile</v>
      </c>
      <c r="M4935" s="7" t="str">
        <f aca="false">IFERROR(LEFT(J4935,FIND(",",J4935)-1),J4935)</f>
        <v>Comedies</v>
      </c>
      <c r="N4935" s="7" t="n">
        <f aca="false">IF(B4935="Movie",IFERROR(VALUE(LEFT(I4935,FIND(" ",I4935)-1)),""),"")</f>
        <v>88</v>
      </c>
      <c r="O4935" s="7" t="str">
        <f aca="false">IF(B4935="TV Show",IFERROR(VALUE(LEFT(I4935,FIND(" ",I4935)-1)),""),"")</f>
        <v/>
      </c>
      <c r="P4935" s="7" t="n">
        <f aca="false">IF(K4935="","",K4935-G4935)</f>
        <v>2</v>
      </c>
    </row>
    <row r="4936" customFormat="false" ht="15" hidden="false" customHeight="false" outlineLevel="0" collapsed="false">
      <c r="A4936" s="7" t="n">
        <v>80209558</v>
      </c>
      <c r="B4936" s="7" t="s">
        <v>68</v>
      </c>
      <c r="C4936" s="7" t="s">
        <v>10000</v>
      </c>
      <c r="D4936" s="7" t="s">
        <v>10001</v>
      </c>
      <c r="E4936" s="7" t="s">
        <v>97</v>
      </c>
      <c r="F4936" s="7" t="s">
        <v>9999</v>
      </c>
      <c r="G4936" s="7" t="n">
        <v>2013</v>
      </c>
      <c r="H4936" s="7" t="s">
        <v>49</v>
      </c>
      <c r="I4936" s="7" t="s">
        <v>470</v>
      </c>
      <c r="J4936" s="7" t="s">
        <v>202</v>
      </c>
      <c r="K4936" s="7" t="n">
        <f aca="false">IFERROR(VALUE(RIGHT(TRIM(F4936),4)),"")</f>
        <v>2018</v>
      </c>
      <c r="L4936" s="7" t="str">
        <f aca="false">IF(TRIM(E4936)="","Unknown",IFERROR(LEFT(TRIM(E4936),FIND(",",TRIM(E4936))-1),TRIM(E4936)))</f>
        <v>Chile</v>
      </c>
      <c r="M4936" s="7" t="str">
        <f aca="false">IFERROR(LEFT(J4936,FIND(",",J4936)-1),J4936)</f>
        <v>Comedies</v>
      </c>
      <c r="N4936" s="7" t="n">
        <f aca="false">IF(B4936="Movie",IFERROR(VALUE(LEFT(I4936,FIND(" ",I4936)-1)),""),"")</f>
        <v>91</v>
      </c>
      <c r="O4936" s="7" t="str">
        <f aca="false">IF(B4936="TV Show",IFERROR(VALUE(LEFT(I4936,FIND(" ",I4936)-1)),""),"")</f>
        <v/>
      </c>
      <c r="P4936" s="7" t="n">
        <f aca="false">IF(K4936="","",K4936-G4936)</f>
        <v>5</v>
      </c>
    </row>
    <row r="4937" customFormat="false" ht="15" hidden="false" customHeight="false" outlineLevel="0" collapsed="false">
      <c r="A4937" s="7" t="n">
        <v>80209722</v>
      </c>
      <c r="B4937" s="7" t="s">
        <v>68</v>
      </c>
      <c r="C4937" s="7" t="s">
        <v>10002</v>
      </c>
      <c r="D4937" s="7" t="s">
        <v>10001</v>
      </c>
      <c r="E4937" s="7" t="s">
        <v>97</v>
      </c>
      <c r="F4937" s="7" t="s">
        <v>9999</v>
      </c>
      <c r="G4937" s="7" t="n">
        <v>2015</v>
      </c>
      <c r="H4937" s="7" t="s">
        <v>48</v>
      </c>
      <c r="I4937" s="7" t="s">
        <v>470</v>
      </c>
      <c r="J4937" s="7" t="s">
        <v>202</v>
      </c>
      <c r="K4937" s="7" t="n">
        <f aca="false">IFERROR(VALUE(RIGHT(TRIM(F4937),4)),"")</f>
        <v>2018</v>
      </c>
      <c r="L4937" s="7" t="str">
        <f aca="false">IF(TRIM(E4937)="","Unknown",IFERROR(LEFT(TRIM(E4937),FIND(",",TRIM(E4937))-1),TRIM(E4937)))</f>
        <v>Chile</v>
      </c>
      <c r="M4937" s="7" t="str">
        <f aca="false">IFERROR(LEFT(J4937,FIND(",",J4937)-1),J4937)</f>
        <v>Comedies</v>
      </c>
      <c r="N4937" s="7" t="n">
        <f aca="false">IF(B4937="Movie",IFERROR(VALUE(LEFT(I4937,FIND(" ",I4937)-1)),""),"")</f>
        <v>91</v>
      </c>
      <c r="O4937" s="7" t="str">
        <f aca="false">IF(B4937="TV Show",IFERROR(VALUE(LEFT(I4937,FIND(" ",I4937)-1)),""),"")</f>
        <v/>
      </c>
      <c r="P4937" s="7" t="n">
        <f aca="false">IF(K4937="","",K4937-G4937)</f>
        <v>3</v>
      </c>
    </row>
    <row r="4938" customFormat="false" ht="15" hidden="false" customHeight="false" outlineLevel="0" collapsed="false">
      <c r="A4938" s="7" t="n">
        <v>80153897</v>
      </c>
      <c r="B4938" s="7" t="s">
        <v>68</v>
      </c>
      <c r="C4938" s="7" t="s">
        <v>10003</v>
      </c>
      <c r="D4938" s="7" t="s">
        <v>10004</v>
      </c>
      <c r="E4938" s="7" t="s">
        <v>366</v>
      </c>
      <c r="F4938" s="7" t="s">
        <v>10005</v>
      </c>
      <c r="G4938" s="7" t="n">
        <v>2016</v>
      </c>
      <c r="H4938" s="7" t="s">
        <v>49</v>
      </c>
      <c r="I4938" s="7" t="s">
        <v>417</v>
      </c>
      <c r="J4938" s="7" t="s">
        <v>358</v>
      </c>
      <c r="K4938" s="7" t="n">
        <f aca="false">IFERROR(VALUE(RIGHT(TRIM(F4938),4)),"")</f>
        <v>2017</v>
      </c>
      <c r="L4938" s="7" t="str">
        <f aca="false">IF(TRIM(E4938)="","Unknown",IFERROR(LEFT(TRIM(E4938),FIND(",",TRIM(E4938))-1),TRIM(E4938)))</f>
        <v>China</v>
      </c>
      <c r="M4938" s="7" t="str">
        <f aca="false">IFERROR(LEFT(J4938,FIND(",",J4938)-1),J4938)</f>
        <v>International Movies</v>
      </c>
      <c r="N4938" s="7" t="n">
        <f aca="false">IF(B4938="Movie",IFERROR(VALUE(LEFT(I4938,FIND(" ",I4938)-1)),""),"")</f>
        <v>104</v>
      </c>
      <c r="O4938" s="7" t="str">
        <f aca="false">IF(B4938="TV Show",IFERROR(VALUE(LEFT(I4938,FIND(" ",I4938)-1)),""),"")</f>
        <v/>
      </c>
      <c r="P4938" s="7" t="n">
        <f aca="false">IF(K4938="","",K4938-G4938)</f>
        <v>1</v>
      </c>
    </row>
    <row r="4939" customFormat="false" ht="15" hidden="false" customHeight="false" outlineLevel="0" collapsed="false">
      <c r="A4939" s="7" t="n">
        <v>80138469</v>
      </c>
      <c r="B4939" s="7" t="s">
        <v>68</v>
      </c>
      <c r="C4939" s="7" t="s">
        <v>10006</v>
      </c>
      <c r="D4939" s="7" t="s">
        <v>10007</v>
      </c>
      <c r="E4939" s="7" t="s">
        <v>366</v>
      </c>
      <c r="F4939" s="7" t="s">
        <v>10005</v>
      </c>
      <c r="G4939" s="7" t="n">
        <v>2016</v>
      </c>
      <c r="H4939" s="7" t="s">
        <v>49</v>
      </c>
      <c r="I4939" s="7" t="s">
        <v>549</v>
      </c>
      <c r="J4939" s="7" t="s">
        <v>139</v>
      </c>
      <c r="K4939" s="7" t="n">
        <f aca="false">IFERROR(VALUE(RIGHT(TRIM(F4939),4)),"")</f>
        <v>2017</v>
      </c>
      <c r="L4939" s="7" t="str">
        <f aca="false">IF(TRIM(E4939)="","Unknown",IFERROR(LEFT(TRIM(E4939),FIND(",",TRIM(E4939))-1),TRIM(E4939)))</f>
        <v>China</v>
      </c>
      <c r="M4939" s="7" t="str">
        <f aca="false">IFERROR(LEFT(J4939,FIND(",",J4939)-1),J4939)</f>
        <v>Action &amp; Adventure</v>
      </c>
      <c r="N4939" s="7" t="n">
        <f aca="false">IF(B4939="Movie",IFERROR(VALUE(LEFT(I4939,FIND(" ",I4939)-1)),""),"")</f>
        <v>124</v>
      </c>
      <c r="O4939" s="7" t="str">
        <f aca="false">IF(B4939="TV Show",IFERROR(VALUE(LEFT(I4939,FIND(" ",I4939)-1)),""),"")</f>
        <v/>
      </c>
      <c r="P4939" s="7" t="n">
        <f aca="false">IF(K4939="","",K4939-G4939)</f>
        <v>1</v>
      </c>
    </row>
    <row r="4940" customFormat="false" ht="15" hidden="false" customHeight="false" outlineLevel="0" collapsed="false">
      <c r="A4940" s="7" t="n">
        <v>80078197</v>
      </c>
      <c r="B4940" s="7" t="s">
        <v>78</v>
      </c>
      <c r="C4940" s="7" t="s">
        <v>10008</v>
      </c>
      <c r="E4940" s="7" t="s">
        <v>26</v>
      </c>
      <c r="F4940" s="7" t="s">
        <v>10009</v>
      </c>
      <c r="G4940" s="7" t="n">
        <v>2016</v>
      </c>
      <c r="H4940" s="7" t="s">
        <v>49</v>
      </c>
      <c r="I4940" s="7" t="s">
        <v>82</v>
      </c>
      <c r="J4940" s="7" t="s">
        <v>164</v>
      </c>
      <c r="K4940" s="7" t="n">
        <f aca="false">IFERROR(VALUE(RIGHT(TRIM(F4940),4)),"")</f>
        <v>2016</v>
      </c>
      <c r="L4940" s="7" t="str">
        <f aca="false">IF(TRIM(E4940)="","Unknown",IFERROR(LEFT(TRIM(E4940),FIND(",",TRIM(E4940))-1),TRIM(E4940)))</f>
        <v>United States</v>
      </c>
      <c r="M4940" s="7" t="str">
        <f aca="false">IFERROR(LEFT(J4940,FIND(",",J4940)-1),J4940)</f>
        <v>Docuseries</v>
      </c>
      <c r="N4940" s="7" t="str">
        <f aca="false">IF(B4940="Movie",IFERROR(VALUE(LEFT(I4940,FIND(" ",I4940)-1)),""),"")</f>
        <v/>
      </c>
      <c r="O4940" s="7" t="n">
        <f aca="false">IF(B4940="TV Show",IFERROR(VALUE(LEFT(I4940,FIND(" ",I4940)-1)),""),"")</f>
        <v>1</v>
      </c>
      <c r="P4940" s="7" t="n">
        <f aca="false">IF(K4940="","",K4940-G4940)</f>
        <v>0</v>
      </c>
    </row>
    <row r="4941" customFormat="false" ht="15" hidden="false" customHeight="false" outlineLevel="0" collapsed="false">
      <c r="A4941" s="7" t="n">
        <v>80118930</v>
      </c>
      <c r="B4941" s="7" t="s">
        <v>68</v>
      </c>
      <c r="C4941" s="7" t="s">
        <v>10010</v>
      </c>
      <c r="D4941" s="7" t="s">
        <v>10011</v>
      </c>
      <c r="E4941" s="7" t="s">
        <v>26</v>
      </c>
      <c r="F4941" s="7" t="s">
        <v>10009</v>
      </c>
      <c r="G4941" s="7" t="n">
        <v>2016</v>
      </c>
      <c r="H4941" s="7" t="s">
        <v>48</v>
      </c>
      <c r="I4941" s="7" t="s">
        <v>154</v>
      </c>
      <c r="J4941" s="7" t="s">
        <v>509</v>
      </c>
      <c r="K4941" s="7" t="n">
        <f aca="false">IFERROR(VALUE(RIGHT(TRIM(F4941),4)),"")</f>
        <v>2016</v>
      </c>
      <c r="L4941" s="7" t="str">
        <f aca="false">IF(TRIM(E4941)="","Unknown",IFERROR(LEFT(TRIM(E4941),FIND(",",TRIM(E4941))-1),TRIM(E4941)))</f>
        <v>United States</v>
      </c>
      <c r="M4941" s="7" t="str">
        <f aca="false">IFERROR(LEFT(J4941,FIND(",",J4941)-1),J4941)</f>
        <v>Documentaries</v>
      </c>
      <c r="N4941" s="7" t="n">
        <f aca="false">IF(B4941="Movie",IFERROR(VALUE(LEFT(I4941,FIND(" ",I4941)-1)),""),"")</f>
        <v>80</v>
      </c>
      <c r="O4941" s="7" t="str">
        <f aca="false">IF(B4941="TV Show",IFERROR(VALUE(LEFT(I4941,FIND(" ",I4941)-1)),""),"")</f>
        <v/>
      </c>
      <c r="P4941" s="7" t="n">
        <f aca="false">IF(K4941="","",K4941-G4941)</f>
        <v>0</v>
      </c>
    </row>
    <row r="4942" customFormat="false" ht="15" hidden="false" customHeight="false" outlineLevel="0" collapsed="false">
      <c r="A4942" s="7" t="n">
        <v>80202810</v>
      </c>
      <c r="B4942" s="7" t="s">
        <v>68</v>
      </c>
      <c r="C4942" s="7" t="s">
        <v>10012</v>
      </c>
      <c r="D4942" s="7" t="s">
        <v>10013</v>
      </c>
      <c r="E4942" s="7" t="s">
        <v>33</v>
      </c>
      <c r="F4942" s="7" t="s">
        <v>10014</v>
      </c>
      <c r="G4942" s="7" t="n">
        <v>2018</v>
      </c>
      <c r="H4942" s="7" t="s">
        <v>49</v>
      </c>
      <c r="I4942" s="7" t="s">
        <v>181</v>
      </c>
      <c r="J4942" s="7" t="s">
        <v>699</v>
      </c>
      <c r="K4942" s="7" t="n">
        <f aca="false">IFERROR(VALUE(RIGHT(TRIM(F4942),4)),"")</f>
        <v>2018</v>
      </c>
      <c r="L4942" s="7" t="str">
        <f aca="false">IF(TRIM(E4942)="","Unknown",IFERROR(LEFT(TRIM(E4942),FIND(",",TRIM(E4942))-1),TRIM(E4942)))</f>
        <v>Spain</v>
      </c>
      <c r="M4942" s="7" t="str">
        <f aca="false">IFERROR(LEFT(J4942,FIND(",",J4942)-1),J4942)</f>
        <v>Documentaries</v>
      </c>
      <c r="N4942" s="7" t="n">
        <f aca="false">IF(B4942="Movie",IFERROR(VALUE(LEFT(I4942,FIND(" ",I4942)-1)),""),"")</f>
        <v>102</v>
      </c>
      <c r="O4942" s="7" t="str">
        <f aca="false">IF(B4942="TV Show",IFERROR(VALUE(LEFT(I4942,FIND(" ",I4942)-1)),""),"")</f>
        <v/>
      </c>
      <c r="P4942" s="7" t="n">
        <f aca="false">IF(K4942="","",K4942-G4942)</f>
        <v>0</v>
      </c>
    </row>
    <row r="4943" customFormat="false" ht="15" hidden="false" customHeight="false" outlineLevel="0" collapsed="false">
      <c r="A4943" s="7" t="n">
        <v>80201039</v>
      </c>
      <c r="B4943" s="7" t="s">
        <v>68</v>
      </c>
      <c r="C4943" s="7" t="s">
        <v>10015</v>
      </c>
      <c r="D4943" s="7" t="s">
        <v>10016</v>
      </c>
      <c r="E4943" s="7" t="s">
        <v>918</v>
      </c>
      <c r="F4943" s="7" t="s">
        <v>10014</v>
      </c>
      <c r="G4943" s="7" t="n">
        <v>2018</v>
      </c>
      <c r="H4943" s="7" t="s">
        <v>54</v>
      </c>
      <c r="I4943" s="7" t="s">
        <v>111</v>
      </c>
      <c r="J4943" s="7" t="s">
        <v>74</v>
      </c>
      <c r="K4943" s="7" t="n">
        <f aca="false">IFERROR(VALUE(RIGHT(TRIM(F4943),4)),"")</f>
        <v>2018</v>
      </c>
      <c r="L4943" s="7" t="str">
        <f aca="false">IF(TRIM(E4943)="","Unknown",IFERROR(LEFT(TRIM(E4943),FIND(",",TRIM(E4943))-1),TRIM(E4943)))</f>
        <v>United States</v>
      </c>
      <c r="M4943" s="7" t="str">
        <f aca="false">IFERROR(LEFT(J4943,FIND(",",J4943)-1),J4943)</f>
        <v>Children &amp; Family Movies</v>
      </c>
      <c r="N4943" s="7" t="n">
        <f aca="false">IF(B4943="Movie",IFERROR(VALUE(LEFT(I4943,FIND(" ",I4943)-1)),""),"")</f>
        <v>95</v>
      </c>
      <c r="O4943" s="7" t="str">
        <f aca="false">IF(B4943="TV Show",IFERROR(VALUE(LEFT(I4943,FIND(" ",I4943)-1)),""),"")</f>
        <v/>
      </c>
      <c r="P4943" s="7" t="n">
        <f aca="false">IF(K4943="","",K4943-G4943)</f>
        <v>0</v>
      </c>
    </row>
    <row r="4944" customFormat="false" ht="15" hidden="false" customHeight="false" outlineLevel="0" collapsed="false">
      <c r="A4944" s="7" t="n">
        <v>80989848</v>
      </c>
      <c r="B4944" s="7" t="s">
        <v>78</v>
      </c>
      <c r="C4944" s="7" t="s">
        <v>10017</v>
      </c>
      <c r="E4944" s="7" t="s">
        <v>26</v>
      </c>
      <c r="F4944" s="7" t="s">
        <v>10014</v>
      </c>
      <c r="G4944" s="7" t="n">
        <v>2015</v>
      </c>
      <c r="H4944" s="7" t="s">
        <v>226</v>
      </c>
      <c r="I4944" s="7" t="s">
        <v>82</v>
      </c>
      <c r="J4944" s="7" t="s">
        <v>701</v>
      </c>
      <c r="K4944" s="7" t="n">
        <f aca="false">IFERROR(VALUE(RIGHT(TRIM(F4944),4)),"")</f>
        <v>2018</v>
      </c>
      <c r="L4944" s="7" t="str">
        <f aca="false">IF(TRIM(E4944)="","Unknown",IFERROR(LEFT(TRIM(E4944),FIND(",",TRIM(E4944))-1),TRIM(E4944)))</f>
        <v>United States</v>
      </c>
      <c r="M4944" s="7" t="str">
        <f aca="false">IFERROR(LEFT(J4944,FIND(",",J4944)-1),J4944)</f>
        <v>Reality TV</v>
      </c>
      <c r="N4944" s="7" t="str">
        <f aca="false">IF(B4944="Movie",IFERROR(VALUE(LEFT(I4944,FIND(" ",I4944)-1)),""),"")</f>
        <v/>
      </c>
      <c r="O4944" s="7" t="n">
        <f aca="false">IF(B4944="TV Show",IFERROR(VALUE(LEFT(I4944,FIND(" ",I4944)-1)),""),"")</f>
        <v>1</v>
      </c>
      <c r="P4944" s="7" t="n">
        <f aca="false">IF(K4944="","",K4944-G4944)</f>
        <v>3</v>
      </c>
    </row>
    <row r="4945" customFormat="false" ht="15" hidden="false" customHeight="false" outlineLevel="0" collapsed="false">
      <c r="A4945" s="7" t="n">
        <v>80002566</v>
      </c>
      <c r="B4945" s="7" t="s">
        <v>78</v>
      </c>
      <c r="C4945" s="7" t="s">
        <v>10018</v>
      </c>
      <c r="E4945" s="7" t="s">
        <v>26</v>
      </c>
      <c r="F4945" s="7" t="s">
        <v>10019</v>
      </c>
      <c r="G4945" s="7" t="n">
        <v>2017</v>
      </c>
      <c r="H4945" s="7" t="s">
        <v>48</v>
      </c>
      <c r="I4945" s="7" t="s">
        <v>82</v>
      </c>
      <c r="J4945" s="7" t="s">
        <v>2958</v>
      </c>
      <c r="K4945" s="7" t="n">
        <f aca="false">IFERROR(VALUE(RIGHT(TRIM(F4945),4)),"")</f>
        <v>2017</v>
      </c>
      <c r="L4945" s="7" t="str">
        <f aca="false">IF(TRIM(E4945)="","Unknown",IFERROR(LEFT(TRIM(E4945),FIND(",",TRIM(E4945))-1),TRIM(E4945)))</f>
        <v>United States</v>
      </c>
      <c r="M4945" s="7" t="str">
        <f aca="false">IFERROR(LEFT(J4945,FIND(",",J4945)-1),J4945)</f>
        <v>Crime TV Shows</v>
      </c>
      <c r="N4945" s="7" t="str">
        <f aca="false">IF(B4945="Movie",IFERROR(VALUE(LEFT(I4945,FIND(" ",I4945)-1)),""),"")</f>
        <v/>
      </c>
      <c r="O4945" s="7" t="n">
        <f aca="false">IF(B4945="TV Show",IFERROR(VALUE(LEFT(I4945,FIND(" ",I4945)-1)),""),"")</f>
        <v>1</v>
      </c>
      <c r="P4945" s="7" t="n">
        <f aca="false">IF(K4945="","",K4945-G4945)</f>
        <v>0</v>
      </c>
    </row>
    <row r="4946" customFormat="false" ht="15" hidden="false" customHeight="false" outlineLevel="0" collapsed="false">
      <c r="A4946" s="7" t="n">
        <v>70177633</v>
      </c>
      <c r="B4946" s="7" t="s">
        <v>68</v>
      </c>
      <c r="C4946" s="7" t="s">
        <v>10020</v>
      </c>
      <c r="D4946" s="7" t="s">
        <v>5126</v>
      </c>
      <c r="E4946" s="7" t="s">
        <v>26</v>
      </c>
      <c r="F4946" s="7" t="s">
        <v>10019</v>
      </c>
      <c r="G4946" s="7" t="n">
        <v>2011</v>
      </c>
      <c r="H4946" s="7" t="s">
        <v>52</v>
      </c>
      <c r="I4946" s="7" t="s">
        <v>146</v>
      </c>
      <c r="J4946" s="7" t="s">
        <v>1085</v>
      </c>
      <c r="K4946" s="7" t="n">
        <f aca="false">IFERROR(VALUE(RIGHT(TRIM(F4946),4)),"")</f>
        <v>2017</v>
      </c>
      <c r="L4946" s="7" t="str">
        <f aca="false">IF(TRIM(E4946)="","Unknown",IFERROR(LEFT(TRIM(E4946),FIND(",",TRIM(E4946))-1),TRIM(E4946)))</f>
        <v>United States</v>
      </c>
      <c r="M4946" s="7" t="str">
        <f aca="false">IFERROR(LEFT(J4946,FIND(",",J4946)-1),J4946)</f>
        <v>Documentaries</v>
      </c>
      <c r="N4946" s="7" t="n">
        <f aca="false">IF(B4946="Movie",IFERROR(VALUE(LEFT(I4946,FIND(" ",I4946)-1)),""),"")</f>
        <v>113</v>
      </c>
      <c r="O4946" s="7" t="str">
        <f aca="false">IF(B4946="TV Show",IFERROR(VALUE(LEFT(I4946,FIND(" ",I4946)-1)),""),"")</f>
        <v/>
      </c>
      <c r="P4946" s="7" t="n">
        <f aca="false">IF(K4946="","",K4946-G4946)</f>
        <v>6</v>
      </c>
    </row>
    <row r="4947" customFormat="false" ht="15" hidden="false" customHeight="false" outlineLevel="0" collapsed="false">
      <c r="A4947" s="7" t="n">
        <v>80146805</v>
      </c>
      <c r="B4947" s="7" t="s">
        <v>68</v>
      </c>
      <c r="C4947" s="7" t="s">
        <v>10021</v>
      </c>
      <c r="D4947" s="7" t="s">
        <v>10022</v>
      </c>
      <c r="E4947" s="7" t="s">
        <v>10023</v>
      </c>
      <c r="F4947" s="7" t="s">
        <v>10019</v>
      </c>
      <c r="G4947" s="7" t="n">
        <v>2017</v>
      </c>
      <c r="H4947" s="7" t="s">
        <v>48</v>
      </c>
      <c r="I4947" s="7" t="s">
        <v>549</v>
      </c>
      <c r="J4947" s="7" t="s">
        <v>276</v>
      </c>
      <c r="K4947" s="7" t="n">
        <f aca="false">IFERROR(VALUE(RIGHT(TRIM(F4947),4)),"")</f>
        <v>2017</v>
      </c>
      <c r="L4947" s="7" t="str">
        <f aca="false">IF(TRIM(E4947)="","Unknown",IFERROR(LEFT(TRIM(E4947),FIND(",",TRIM(E4947))-1),TRIM(E4947)))</f>
        <v>United Kingdom</v>
      </c>
      <c r="M4947" s="7" t="str">
        <f aca="false">IFERROR(LEFT(J4947,FIND(",",J4947)-1),J4947)</f>
        <v>Action &amp; Adventure</v>
      </c>
      <c r="N4947" s="7" t="n">
        <f aca="false">IF(B4947="Movie",IFERROR(VALUE(LEFT(I4947,FIND(" ",I4947)-1)),""),"")</f>
        <v>124</v>
      </c>
      <c r="O4947" s="7" t="str">
        <f aca="false">IF(B4947="TV Show",IFERROR(VALUE(LEFT(I4947,FIND(" ",I4947)-1)),""),"")</f>
        <v/>
      </c>
      <c r="P4947" s="7" t="n">
        <f aca="false">IF(K4947="","",K4947-G4947)</f>
        <v>0</v>
      </c>
    </row>
    <row r="4948" customFormat="false" ht="15" hidden="false" customHeight="false" outlineLevel="0" collapsed="false">
      <c r="A4948" s="7" t="n">
        <v>80190510</v>
      </c>
      <c r="B4948" s="7" t="s">
        <v>78</v>
      </c>
      <c r="C4948" s="7" t="s">
        <v>10024</v>
      </c>
      <c r="E4948" s="7" t="s">
        <v>26</v>
      </c>
      <c r="F4948" s="7" t="s">
        <v>10025</v>
      </c>
      <c r="G4948" s="7" t="n">
        <v>2018</v>
      </c>
      <c r="H4948" s="7" t="s">
        <v>49</v>
      </c>
      <c r="I4948" s="7" t="s">
        <v>82</v>
      </c>
      <c r="J4948" s="7" t="s">
        <v>9242</v>
      </c>
      <c r="K4948" s="7" t="n">
        <f aca="false">IFERROR(VALUE(RIGHT(TRIM(F4948),4)),"")</f>
        <v>2018</v>
      </c>
      <c r="L4948" s="7" t="str">
        <f aca="false">IF(TRIM(E4948)="","Unknown",IFERROR(LEFT(TRIM(E4948),FIND(",",TRIM(E4948))-1),TRIM(E4948)))</f>
        <v>United States</v>
      </c>
      <c r="M4948" s="7" t="str">
        <f aca="false">IFERROR(LEFT(J4948,FIND(",",J4948)-1),J4948)</f>
        <v>Reality TV</v>
      </c>
      <c r="N4948" s="7" t="str">
        <f aca="false">IF(B4948="Movie",IFERROR(VALUE(LEFT(I4948,FIND(" ",I4948)-1)),""),"")</f>
        <v/>
      </c>
      <c r="O4948" s="7" t="n">
        <f aca="false">IF(B4948="TV Show",IFERROR(VALUE(LEFT(I4948,FIND(" ",I4948)-1)),""),"")</f>
        <v>1</v>
      </c>
      <c r="P4948" s="7" t="n">
        <f aca="false">IF(K4948="","",K4948-G4948)</f>
        <v>0</v>
      </c>
    </row>
    <row r="4949" customFormat="false" ht="15" hidden="false" customHeight="false" outlineLevel="0" collapsed="false">
      <c r="A4949" s="7" t="n">
        <v>81020839</v>
      </c>
      <c r="B4949" s="7" t="s">
        <v>68</v>
      </c>
      <c r="C4949" s="7" t="s">
        <v>10026</v>
      </c>
      <c r="E4949" s="7" t="s">
        <v>26</v>
      </c>
      <c r="F4949" s="7" t="s">
        <v>10025</v>
      </c>
      <c r="G4949" s="7" t="n">
        <v>2018</v>
      </c>
      <c r="H4949" s="7" t="s">
        <v>49</v>
      </c>
      <c r="I4949" s="7" t="s">
        <v>10027</v>
      </c>
      <c r="J4949" s="7" t="s">
        <v>38</v>
      </c>
      <c r="K4949" s="7" t="n">
        <f aca="false">IFERROR(VALUE(RIGHT(TRIM(F4949),4)),"")</f>
        <v>2018</v>
      </c>
      <c r="L4949" s="7" t="str">
        <f aca="false">IF(TRIM(E4949)="","Unknown",IFERROR(LEFT(TRIM(E4949),FIND(",",TRIM(E4949))-1),TRIM(E4949)))</f>
        <v>United States</v>
      </c>
      <c r="M4949" s="7" t="str">
        <f aca="false">IFERROR(LEFT(J4949,FIND(",",J4949)-1),J4949)</f>
        <v>Comedies</v>
      </c>
      <c r="N4949" s="7" t="n">
        <f aca="false">IF(B4949="Movie",IFERROR(VALUE(LEFT(I4949,FIND(" ",I4949)-1)),""),"")</f>
        <v>33</v>
      </c>
      <c r="O4949" s="7" t="str">
        <f aca="false">IF(B4949="TV Show",IFERROR(VALUE(LEFT(I4949,FIND(" ",I4949)-1)),""),"")</f>
        <v/>
      </c>
      <c r="P4949" s="7" t="n">
        <f aca="false">IF(K4949="","",K4949-G4949)</f>
        <v>0</v>
      </c>
    </row>
    <row r="4950" customFormat="false" ht="15" hidden="false" customHeight="false" outlineLevel="0" collapsed="false">
      <c r="A4950" s="7" t="n">
        <v>80087352</v>
      </c>
      <c r="B4950" s="7" t="s">
        <v>68</v>
      </c>
      <c r="C4950" s="7" t="s">
        <v>10028</v>
      </c>
      <c r="D4950" s="7" t="s">
        <v>10029</v>
      </c>
      <c r="E4950" s="7" t="s">
        <v>26</v>
      </c>
      <c r="F4950" s="7" t="s">
        <v>10025</v>
      </c>
      <c r="G4950" s="7" t="n">
        <v>2017</v>
      </c>
      <c r="H4950" s="7" t="s">
        <v>52</v>
      </c>
      <c r="I4950" s="7" t="s">
        <v>519</v>
      </c>
      <c r="J4950" s="7" t="s">
        <v>1558</v>
      </c>
      <c r="K4950" s="7" t="n">
        <f aca="false">IFERROR(VALUE(RIGHT(TRIM(F4950),4)),"")</f>
        <v>2018</v>
      </c>
      <c r="L4950" s="7" t="str">
        <f aca="false">IF(TRIM(E4950)="","Unknown",IFERROR(LEFT(TRIM(E4950),FIND(",",TRIM(E4950))-1),TRIM(E4950)))</f>
        <v>United States</v>
      </c>
      <c r="M4950" s="7" t="str">
        <f aca="false">IFERROR(LEFT(J4950,FIND(",",J4950)-1),J4950)</f>
        <v>Dramas</v>
      </c>
      <c r="N4950" s="7" t="n">
        <f aca="false">IF(B4950="Movie",IFERROR(VALUE(LEFT(I4950,FIND(" ",I4950)-1)),""),"")</f>
        <v>119</v>
      </c>
      <c r="O4950" s="7" t="str">
        <f aca="false">IF(B4950="TV Show",IFERROR(VALUE(LEFT(I4950,FIND(" ",I4950)-1)),""),"")</f>
        <v/>
      </c>
      <c r="P4950" s="7" t="n">
        <f aca="false">IF(K4950="","",K4950-G4950)</f>
        <v>1</v>
      </c>
    </row>
    <row r="4951" customFormat="false" ht="15" hidden="false" customHeight="false" outlineLevel="0" collapsed="false">
      <c r="A4951" s="7" t="n">
        <v>80201870</v>
      </c>
      <c r="B4951" s="7" t="s">
        <v>78</v>
      </c>
      <c r="C4951" s="7" t="s">
        <v>10030</v>
      </c>
      <c r="E4951" s="7" t="s">
        <v>26</v>
      </c>
      <c r="F4951" s="7" t="s">
        <v>10025</v>
      </c>
      <c r="G4951" s="7" t="n">
        <v>2018</v>
      </c>
      <c r="H4951" s="7" t="s">
        <v>50</v>
      </c>
      <c r="I4951" s="7" t="s">
        <v>82</v>
      </c>
      <c r="J4951" s="7" t="s">
        <v>701</v>
      </c>
      <c r="K4951" s="7" t="n">
        <f aca="false">IFERROR(VALUE(RIGHT(TRIM(F4951),4)),"")</f>
        <v>2018</v>
      </c>
      <c r="L4951" s="7" t="str">
        <f aca="false">IF(TRIM(E4951)="","Unknown",IFERROR(LEFT(TRIM(E4951),FIND(",",TRIM(E4951))-1),TRIM(E4951)))</f>
        <v>United States</v>
      </c>
      <c r="M4951" s="7" t="str">
        <f aca="false">IFERROR(LEFT(J4951,FIND(",",J4951)-1),J4951)</f>
        <v>Reality TV</v>
      </c>
      <c r="N4951" s="7" t="str">
        <f aca="false">IF(B4951="Movie",IFERROR(VALUE(LEFT(I4951,FIND(" ",I4951)-1)),""),"")</f>
        <v/>
      </c>
      <c r="O4951" s="7" t="n">
        <f aca="false">IF(B4951="TV Show",IFERROR(VALUE(LEFT(I4951,FIND(" ",I4951)-1)),""),"")</f>
        <v>1</v>
      </c>
      <c r="P4951" s="7" t="n">
        <f aca="false">IF(K4951="","",K4951-G4951)</f>
        <v>0</v>
      </c>
    </row>
    <row r="4952" customFormat="false" ht="15" hidden="false" customHeight="false" outlineLevel="0" collapsed="false">
      <c r="A4952" s="7" t="n">
        <v>80173606</v>
      </c>
      <c r="B4952" s="7" t="s">
        <v>68</v>
      </c>
      <c r="C4952" s="7" t="s">
        <v>10031</v>
      </c>
      <c r="D4952" s="7" t="s">
        <v>10032</v>
      </c>
      <c r="E4952" s="7" t="s">
        <v>10033</v>
      </c>
      <c r="F4952" s="7" t="s">
        <v>10025</v>
      </c>
      <c r="G4952" s="7" t="n">
        <v>2017</v>
      </c>
      <c r="H4952" s="7" t="s">
        <v>48</v>
      </c>
      <c r="I4952" s="7" t="s">
        <v>187</v>
      </c>
      <c r="J4952" s="7" t="s">
        <v>217</v>
      </c>
      <c r="K4952" s="7" t="n">
        <f aca="false">IFERROR(VALUE(RIGHT(TRIM(F4952),4)),"")</f>
        <v>2018</v>
      </c>
      <c r="L4952" s="7" t="str">
        <f aca="false">IF(TRIM(E4952)="","Unknown",IFERROR(LEFT(TRIM(E4952),FIND(",",TRIM(E4952))-1),TRIM(E4952)))</f>
        <v>Spain</v>
      </c>
      <c r="M4952" s="7" t="str">
        <f aca="false">IFERROR(LEFT(J4952,FIND(",",J4952)-1),J4952)</f>
        <v>Comedies</v>
      </c>
      <c r="N4952" s="7" t="n">
        <f aca="false">IF(B4952="Movie",IFERROR(VALUE(LEFT(I4952,FIND(" ",I4952)-1)),""),"")</f>
        <v>114</v>
      </c>
      <c r="O4952" s="7" t="str">
        <f aca="false">IF(B4952="TV Show",IFERROR(VALUE(LEFT(I4952,FIND(" ",I4952)-1)),""),"")</f>
        <v/>
      </c>
      <c r="P4952" s="7" t="n">
        <f aca="false">IF(K4952="","",K4952-G4952)</f>
        <v>1</v>
      </c>
    </row>
    <row r="4953" customFormat="false" ht="15" hidden="false" customHeight="false" outlineLevel="0" collapsed="false">
      <c r="A4953" s="7" t="n">
        <v>80203147</v>
      </c>
      <c r="B4953" s="7" t="s">
        <v>68</v>
      </c>
      <c r="C4953" s="7" t="s">
        <v>10034</v>
      </c>
      <c r="D4953" s="7" t="s">
        <v>249</v>
      </c>
      <c r="E4953" s="7" t="s">
        <v>26</v>
      </c>
      <c r="F4953" s="7" t="s">
        <v>10025</v>
      </c>
      <c r="G4953" s="7" t="n">
        <v>2018</v>
      </c>
      <c r="H4953" s="7" t="s">
        <v>49</v>
      </c>
      <c r="I4953" s="7" t="s">
        <v>205</v>
      </c>
      <c r="J4953" s="7" t="s">
        <v>206</v>
      </c>
      <c r="K4953" s="7" t="n">
        <f aca="false">IFERROR(VALUE(RIGHT(TRIM(F4953),4)),"")</f>
        <v>2018</v>
      </c>
      <c r="L4953" s="7" t="str">
        <f aca="false">IF(TRIM(E4953)="","Unknown",IFERROR(LEFT(TRIM(E4953),FIND(",",TRIM(E4953))-1),TRIM(E4953)))</f>
        <v>United States</v>
      </c>
      <c r="M4953" s="7" t="str">
        <f aca="false">IFERROR(LEFT(J4953,FIND(",",J4953)-1),J4953)</f>
        <v>Comedies</v>
      </c>
      <c r="N4953" s="7" t="n">
        <f aca="false">IF(B4953="Movie",IFERROR(VALUE(LEFT(I4953,FIND(" ",I4953)-1)),""),"")</f>
        <v>100</v>
      </c>
      <c r="O4953" s="7" t="str">
        <f aca="false">IF(B4953="TV Show",IFERROR(VALUE(LEFT(I4953,FIND(" ",I4953)-1)),""),"")</f>
        <v/>
      </c>
      <c r="P4953" s="7" t="n">
        <f aca="false">IF(K4953="","",K4953-G4953)</f>
        <v>0</v>
      </c>
    </row>
    <row r="4954" customFormat="false" ht="15" hidden="false" customHeight="false" outlineLevel="0" collapsed="false">
      <c r="A4954" s="7" t="n">
        <v>80225020</v>
      </c>
      <c r="B4954" s="7" t="s">
        <v>78</v>
      </c>
      <c r="C4954" s="7" t="s">
        <v>10035</v>
      </c>
      <c r="E4954" s="7" t="s">
        <v>772</v>
      </c>
      <c r="F4954" s="7" t="s">
        <v>10025</v>
      </c>
      <c r="G4954" s="7" t="n">
        <v>2017</v>
      </c>
      <c r="H4954" s="7" t="s">
        <v>48</v>
      </c>
      <c r="I4954" s="7" t="s">
        <v>82</v>
      </c>
      <c r="J4954" s="7" t="s">
        <v>402</v>
      </c>
      <c r="K4954" s="7" t="n">
        <f aca="false">IFERROR(VALUE(RIGHT(TRIM(F4954),4)),"")</f>
        <v>2018</v>
      </c>
      <c r="L4954" s="7" t="str">
        <f aca="false">IF(TRIM(E4954)="","Unknown",IFERROR(LEFT(TRIM(E4954),FIND(",",TRIM(E4954))-1),TRIM(E4954)))</f>
        <v>Poland</v>
      </c>
      <c r="M4954" s="7" t="str">
        <f aca="false">IFERROR(LEFT(J4954,FIND(",",J4954)-1),J4954)</f>
        <v>Crime TV Shows</v>
      </c>
      <c r="N4954" s="7" t="str">
        <f aca="false">IF(B4954="Movie",IFERROR(VALUE(LEFT(I4954,FIND(" ",I4954)-1)),""),"")</f>
        <v/>
      </c>
      <c r="O4954" s="7" t="n">
        <f aca="false">IF(B4954="TV Show",IFERROR(VALUE(LEFT(I4954,FIND(" ",I4954)-1)),""),"")</f>
        <v>1</v>
      </c>
      <c r="P4954" s="7" t="n">
        <f aca="false">IF(K4954="","",K4954-G4954)</f>
        <v>1</v>
      </c>
    </row>
    <row r="4955" customFormat="false" ht="15" hidden="false" customHeight="false" outlineLevel="0" collapsed="false">
      <c r="A4955" s="7" t="n">
        <v>80223582</v>
      </c>
      <c r="B4955" s="7" t="s">
        <v>68</v>
      </c>
      <c r="C4955" s="7" t="s">
        <v>10036</v>
      </c>
      <c r="D4955" s="7" t="s">
        <v>10037</v>
      </c>
      <c r="E4955" s="7" t="s">
        <v>32</v>
      </c>
      <c r="F4955" s="7" t="s">
        <v>10025</v>
      </c>
      <c r="G4955" s="7" t="n">
        <v>2018</v>
      </c>
      <c r="H4955" s="7" t="s">
        <v>48</v>
      </c>
      <c r="I4955" s="7" t="s">
        <v>1028</v>
      </c>
      <c r="J4955" s="7" t="s">
        <v>45</v>
      </c>
      <c r="K4955" s="7" t="n">
        <f aca="false">IFERROR(VALUE(RIGHT(TRIM(F4955),4)),"")</f>
        <v>2018</v>
      </c>
      <c r="L4955" s="7" t="str">
        <f aca="false">IF(TRIM(E4955)="","Unknown",IFERROR(LEFT(TRIM(E4955),FIND(",",TRIM(E4955))-1),TRIM(E4955)))</f>
        <v>South Korea</v>
      </c>
      <c r="M4955" s="7" t="str">
        <f aca="false">IFERROR(LEFT(J4955,FIND(",",J4955)-1),J4955)</f>
        <v>Stand-Up Comedy</v>
      </c>
      <c r="N4955" s="7" t="n">
        <f aca="false">IF(B4955="Movie",IFERROR(VALUE(LEFT(I4955,FIND(" ",I4955)-1)),""),"")</f>
        <v>54</v>
      </c>
      <c r="O4955" s="7" t="str">
        <f aca="false">IF(B4955="TV Show",IFERROR(VALUE(LEFT(I4955,FIND(" ",I4955)-1)),""),"")</f>
        <v/>
      </c>
      <c r="P4955" s="7" t="n">
        <f aca="false">IF(K4955="","",K4955-G4955)</f>
        <v>0</v>
      </c>
    </row>
    <row r="4956" customFormat="false" ht="15" hidden="false" customHeight="false" outlineLevel="0" collapsed="false">
      <c r="A4956" s="7" t="n">
        <v>80190984</v>
      </c>
      <c r="B4956" s="7" t="s">
        <v>68</v>
      </c>
      <c r="C4956" s="7" t="s">
        <v>10038</v>
      </c>
      <c r="D4956" s="7" t="s">
        <v>8618</v>
      </c>
      <c r="E4956" s="7" t="s">
        <v>29</v>
      </c>
      <c r="F4956" s="7" t="s">
        <v>10039</v>
      </c>
      <c r="G4956" s="7" t="n">
        <v>2017</v>
      </c>
      <c r="H4956" s="7" t="s">
        <v>54</v>
      </c>
      <c r="I4956" s="7" t="s">
        <v>138</v>
      </c>
      <c r="J4956" s="7" t="s">
        <v>74</v>
      </c>
      <c r="K4956" s="7" t="n">
        <f aca="false">IFERROR(VALUE(RIGHT(TRIM(F4956),4)),"")</f>
        <v>2017</v>
      </c>
      <c r="L4956" s="7" t="str">
        <f aca="false">IF(TRIM(E4956)="","Unknown",IFERROR(LEFT(TRIM(E4956),FIND(",",TRIM(E4956))-1),TRIM(E4956)))</f>
        <v>Canada</v>
      </c>
      <c r="M4956" s="7" t="str">
        <f aca="false">IFERROR(LEFT(J4956,FIND(",",J4956)-1),J4956)</f>
        <v>Children &amp; Family Movies</v>
      </c>
      <c r="N4956" s="7" t="n">
        <f aca="false">IF(B4956="Movie",IFERROR(VALUE(LEFT(I4956,FIND(" ",I4956)-1)),""),"")</f>
        <v>96</v>
      </c>
      <c r="O4956" s="7" t="str">
        <f aca="false">IF(B4956="TV Show",IFERROR(VALUE(LEFT(I4956,FIND(" ",I4956)-1)),""),"")</f>
        <v/>
      </c>
      <c r="P4956" s="7" t="n">
        <f aca="false">IF(K4956="","",K4956-G4956)</f>
        <v>0</v>
      </c>
    </row>
    <row r="4957" customFormat="false" ht="15" hidden="false" customHeight="false" outlineLevel="0" collapsed="false">
      <c r="A4957" s="7" t="n">
        <v>70242630</v>
      </c>
      <c r="B4957" s="7" t="s">
        <v>78</v>
      </c>
      <c r="C4957" s="7" t="s">
        <v>10040</v>
      </c>
      <c r="E4957" s="7" t="s">
        <v>26</v>
      </c>
      <c r="F4957" s="7" t="s">
        <v>10041</v>
      </c>
      <c r="G4957" s="7" t="n">
        <v>2008</v>
      </c>
      <c r="H4957" s="7" t="s">
        <v>50</v>
      </c>
      <c r="I4957" s="7" t="s">
        <v>82</v>
      </c>
      <c r="J4957" s="7" t="s">
        <v>2425</v>
      </c>
      <c r="K4957" s="7" t="n">
        <f aca="false">IFERROR(VALUE(RIGHT(TRIM(F4957),4)),"")</f>
        <v>2012</v>
      </c>
      <c r="L4957" s="7" t="str">
        <f aca="false">IF(TRIM(E4957)="","Unknown",IFERROR(LEFT(TRIM(E4957),FIND(",",TRIM(E4957))-1),TRIM(E4957)))</f>
        <v>United States</v>
      </c>
      <c r="M4957" s="7" t="str">
        <f aca="false">IFERROR(LEFT(J4957,FIND(",",J4957)-1),J4957)</f>
        <v>Kids' TV</v>
      </c>
      <c r="N4957" s="7" t="str">
        <f aca="false">IF(B4957="Movie",IFERROR(VALUE(LEFT(I4957,FIND(" ",I4957)-1)),""),"")</f>
        <v/>
      </c>
      <c r="O4957" s="7" t="n">
        <f aca="false">IF(B4957="TV Show",IFERROR(VALUE(LEFT(I4957,FIND(" ",I4957)-1)),""),"")</f>
        <v>1</v>
      </c>
      <c r="P4957" s="7" t="n">
        <f aca="false">IF(K4957="","",K4957-G4957)</f>
        <v>4</v>
      </c>
    </row>
    <row r="4958" customFormat="false" ht="15" hidden="false" customHeight="false" outlineLevel="0" collapsed="false">
      <c r="A4958" s="7" t="n">
        <v>81040407</v>
      </c>
      <c r="B4958" s="7" t="s">
        <v>78</v>
      </c>
      <c r="C4958" s="7" t="s">
        <v>10042</v>
      </c>
      <c r="E4958" s="7" t="s">
        <v>33</v>
      </c>
      <c r="F4958" s="7" t="s">
        <v>10043</v>
      </c>
      <c r="G4958" s="7" t="n">
        <v>2019</v>
      </c>
      <c r="H4958" s="7" t="s">
        <v>48</v>
      </c>
      <c r="I4958" s="7" t="s">
        <v>82</v>
      </c>
      <c r="J4958" s="7" t="s">
        <v>2521</v>
      </c>
      <c r="K4958" s="7" t="n">
        <f aca="false">IFERROR(VALUE(RIGHT(TRIM(F4958),4)),"")</f>
        <v>2019</v>
      </c>
      <c r="L4958" s="7" t="str">
        <f aca="false">IF(TRIM(E4958)="","Unknown",IFERROR(LEFT(TRIM(E4958),FIND(",",TRIM(E4958))-1),TRIM(E4958)))</f>
        <v>Spain</v>
      </c>
      <c r="M4958" s="7" t="str">
        <f aca="false">IFERROR(LEFT(J4958,FIND(",",J4958)-1),J4958)</f>
        <v>International TV Shows</v>
      </c>
      <c r="N4958" s="7" t="str">
        <f aca="false">IF(B4958="Movie",IFERROR(VALUE(LEFT(I4958,FIND(" ",I4958)-1)),""),"")</f>
        <v/>
      </c>
      <c r="O4958" s="7" t="n">
        <f aca="false">IF(B4958="TV Show",IFERROR(VALUE(LEFT(I4958,FIND(" ",I4958)-1)),""),"")</f>
        <v>1</v>
      </c>
      <c r="P4958" s="7" t="n">
        <f aca="false">IF(K4958="","",K4958-G4958)</f>
        <v>0</v>
      </c>
    </row>
    <row r="4959" customFormat="false" ht="15" hidden="false" customHeight="false" outlineLevel="0" collapsed="false">
      <c r="A4959" s="7" t="n">
        <v>81106517</v>
      </c>
      <c r="B4959" s="7" t="s">
        <v>78</v>
      </c>
      <c r="C4959" s="7" t="s">
        <v>10044</v>
      </c>
      <c r="E4959" s="7" t="s">
        <v>1113</v>
      </c>
      <c r="F4959" s="7" t="s">
        <v>10043</v>
      </c>
      <c r="G4959" s="7" t="n">
        <v>2019</v>
      </c>
      <c r="H4959" s="7" t="s">
        <v>48</v>
      </c>
      <c r="I4959" s="7" t="s">
        <v>82</v>
      </c>
      <c r="J4959" s="7" t="s">
        <v>89</v>
      </c>
      <c r="K4959" s="7" t="n">
        <f aca="false">IFERROR(VALUE(RIGHT(TRIM(F4959),4)),"")</f>
        <v>2019</v>
      </c>
      <c r="L4959" s="7" t="str">
        <f aca="false">IF(TRIM(E4959)="","Unknown",IFERROR(LEFT(TRIM(E4959),FIND(",",TRIM(E4959))-1),TRIM(E4959)))</f>
        <v>Argentina</v>
      </c>
      <c r="M4959" s="7" t="str">
        <f aca="false">IFERROR(LEFT(J4959,FIND(",",J4959)-1),J4959)</f>
        <v>Crime TV Shows</v>
      </c>
      <c r="N4959" s="7" t="str">
        <f aca="false">IF(B4959="Movie",IFERROR(VALUE(LEFT(I4959,FIND(" ",I4959)-1)),""),"")</f>
        <v/>
      </c>
      <c r="O4959" s="7" t="n">
        <f aca="false">IF(B4959="TV Show",IFERROR(VALUE(LEFT(I4959,FIND(" ",I4959)-1)),""),"")</f>
        <v>1</v>
      </c>
      <c r="P4959" s="7" t="n">
        <f aca="false">IF(K4959="","",K4959-G4959)</f>
        <v>0</v>
      </c>
    </row>
    <row r="4960" customFormat="false" ht="15" hidden="false" customHeight="false" outlineLevel="0" collapsed="false">
      <c r="A4960" s="7" t="n">
        <v>81026915</v>
      </c>
      <c r="B4960" s="7" t="s">
        <v>78</v>
      </c>
      <c r="C4960" s="7" t="s">
        <v>10045</v>
      </c>
      <c r="E4960" s="7" t="s">
        <v>752</v>
      </c>
      <c r="F4960" s="7" t="s">
        <v>10043</v>
      </c>
      <c r="G4960" s="7" t="n">
        <v>2019</v>
      </c>
      <c r="H4960" s="7" t="s">
        <v>48</v>
      </c>
      <c r="I4960" s="7" t="s">
        <v>82</v>
      </c>
      <c r="J4960" s="7" t="s">
        <v>402</v>
      </c>
      <c r="K4960" s="7" t="n">
        <f aca="false">IFERROR(VALUE(RIGHT(TRIM(F4960),4)),"")</f>
        <v>2019</v>
      </c>
      <c r="L4960" s="7" t="str">
        <f aca="false">IF(TRIM(E4960)="","Unknown",IFERROR(LEFT(TRIM(E4960),FIND(",",TRIM(E4960))-1),TRIM(E4960)))</f>
        <v>Russia</v>
      </c>
      <c r="M4960" s="7" t="str">
        <f aca="false">IFERROR(LEFT(J4960,FIND(",",J4960)-1),J4960)</f>
        <v>Crime TV Shows</v>
      </c>
      <c r="N4960" s="7" t="str">
        <f aca="false">IF(B4960="Movie",IFERROR(VALUE(LEFT(I4960,FIND(" ",I4960)-1)),""),"")</f>
        <v/>
      </c>
      <c r="O4960" s="7" t="n">
        <f aca="false">IF(B4960="TV Show",IFERROR(VALUE(LEFT(I4960,FIND(" ",I4960)-1)),""),"")</f>
        <v>1</v>
      </c>
      <c r="P4960" s="7" t="n">
        <f aca="false">IF(K4960="","",K4960-G4960)</f>
        <v>0</v>
      </c>
    </row>
    <row r="4961" customFormat="false" ht="15" hidden="false" customHeight="false" outlineLevel="0" collapsed="false">
      <c r="A4961" s="7" t="n">
        <v>70304252</v>
      </c>
      <c r="B4961" s="7" t="s">
        <v>78</v>
      </c>
      <c r="C4961" s="7" t="s">
        <v>10046</v>
      </c>
      <c r="E4961" s="7" t="s">
        <v>30</v>
      </c>
      <c r="F4961" s="7" t="s">
        <v>10043</v>
      </c>
      <c r="G4961" s="7" t="n">
        <v>2011</v>
      </c>
      <c r="H4961" s="7" t="s">
        <v>49</v>
      </c>
      <c r="I4961" s="7" t="s">
        <v>82</v>
      </c>
      <c r="J4961" s="7" t="s">
        <v>542</v>
      </c>
      <c r="K4961" s="7" t="n">
        <f aca="false">IFERROR(VALUE(RIGHT(TRIM(F4961),4)),"")</f>
        <v>2019</v>
      </c>
      <c r="L4961" s="7" t="str">
        <f aca="false">IF(TRIM(E4961)="","Unknown",IFERROR(LEFT(TRIM(E4961),FIND(",",TRIM(E4961))-1),TRIM(E4961)))</f>
        <v>Japan</v>
      </c>
      <c r="M4961" s="7" t="str">
        <f aca="false">IFERROR(LEFT(J4961,FIND(",",J4961)-1),J4961)</f>
        <v>Anime Series</v>
      </c>
      <c r="N4961" s="7" t="str">
        <f aca="false">IF(B4961="Movie",IFERROR(VALUE(LEFT(I4961,FIND(" ",I4961)-1)),""),"")</f>
        <v/>
      </c>
      <c r="O4961" s="7" t="n">
        <f aca="false">IF(B4961="TV Show",IFERROR(VALUE(LEFT(I4961,FIND(" ",I4961)-1)),""),"")</f>
        <v>1</v>
      </c>
      <c r="P4961" s="7" t="n">
        <f aca="false">IF(K4961="","",K4961-G4961)</f>
        <v>8</v>
      </c>
    </row>
    <row r="4962" customFormat="false" ht="15" hidden="false" customHeight="false" outlineLevel="0" collapsed="false">
      <c r="A4962" s="7" t="n">
        <v>80201543</v>
      </c>
      <c r="B4962" s="7" t="s">
        <v>78</v>
      </c>
      <c r="C4962" s="7" t="s">
        <v>10047</v>
      </c>
      <c r="E4962" s="7" t="s">
        <v>26</v>
      </c>
      <c r="F4962" s="7" t="s">
        <v>10043</v>
      </c>
      <c r="G4962" s="7" t="n">
        <v>2019</v>
      </c>
      <c r="H4962" s="7" t="s">
        <v>49</v>
      </c>
      <c r="I4962" s="7" t="s">
        <v>82</v>
      </c>
      <c r="J4962" s="7" t="s">
        <v>100</v>
      </c>
      <c r="K4962" s="7" t="n">
        <f aca="false">IFERROR(VALUE(RIGHT(TRIM(F4962),4)),"")</f>
        <v>2019</v>
      </c>
      <c r="L4962" s="7" t="str">
        <f aca="false">IF(TRIM(E4962)="","Unknown",IFERROR(LEFT(TRIM(E4962),FIND(",",TRIM(E4962))-1),TRIM(E4962)))</f>
        <v>United States</v>
      </c>
      <c r="M4962" s="7" t="str">
        <f aca="false">IFERROR(LEFT(J4962,FIND(",",J4962)-1),J4962)</f>
        <v>Docuseries</v>
      </c>
      <c r="N4962" s="7" t="str">
        <f aca="false">IF(B4962="Movie",IFERROR(VALUE(LEFT(I4962,FIND(" ",I4962)-1)),""),"")</f>
        <v/>
      </c>
      <c r="O4962" s="7" t="n">
        <f aca="false">IF(B4962="TV Show",IFERROR(VALUE(LEFT(I4962,FIND(" ",I4962)-1)),""),"")</f>
        <v>1</v>
      </c>
      <c r="P4962" s="7" t="n">
        <f aca="false">IF(K4962="","",K4962-G4962)</f>
        <v>0</v>
      </c>
    </row>
    <row r="4963" customFormat="false" ht="15" hidden="false" customHeight="false" outlineLevel="0" collapsed="false">
      <c r="A4963" s="7" t="n">
        <v>81092330</v>
      </c>
      <c r="B4963" s="7" t="s">
        <v>68</v>
      </c>
      <c r="C4963" s="7" t="s">
        <v>10048</v>
      </c>
      <c r="D4963" s="7" t="s">
        <v>10049</v>
      </c>
      <c r="E4963" s="7" t="s">
        <v>28</v>
      </c>
      <c r="F4963" s="7" t="s">
        <v>10043</v>
      </c>
      <c r="G4963" s="7" t="n">
        <v>2019</v>
      </c>
      <c r="H4963" s="7" t="s">
        <v>48</v>
      </c>
      <c r="I4963" s="7" t="s">
        <v>111</v>
      </c>
      <c r="J4963" s="7" t="s">
        <v>38</v>
      </c>
      <c r="K4963" s="7" t="n">
        <f aca="false">IFERROR(VALUE(RIGHT(TRIM(F4963),4)),"")</f>
        <v>2019</v>
      </c>
      <c r="L4963" s="7" t="str">
        <f aca="false">IF(TRIM(E4963)="","Unknown",IFERROR(LEFT(TRIM(E4963),FIND(",",TRIM(E4963))-1),TRIM(E4963)))</f>
        <v>United Kingdom</v>
      </c>
      <c r="M4963" s="7" t="str">
        <f aca="false">IFERROR(LEFT(J4963,FIND(",",J4963)-1),J4963)</f>
        <v>Comedies</v>
      </c>
      <c r="N4963" s="7" t="n">
        <f aca="false">IF(B4963="Movie",IFERROR(VALUE(LEFT(I4963,FIND(" ",I4963)-1)),""),"")</f>
        <v>95</v>
      </c>
      <c r="O4963" s="7" t="str">
        <f aca="false">IF(B4963="TV Show",IFERROR(VALUE(LEFT(I4963,FIND(" ",I4963)-1)),""),"")</f>
        <v/>
      </c>
      <c r="P4963" s="7" t="n">
        <f aca="false">IF(K4963="","",K4963-G4963)</f>
        <v>0</v>
      </c>
    </row>
    <row r="4964" customFormat="false" ht="15" hidden="false" customHeight="false" outlineLevel="0" collapsed="false">
      <c r="A4964" s="7" t="n">
        <v>80205594</v>
      </c>
      <c r="B4964" s="7" t="s">
        <v>78</v>
      </c>
      <c r="C4964" s="7" t="s">
        <v>10050</v>
      </c>
      <c r="E4964" s="7" t="s">
        <v>1397</v>
      </c>
      <c r="F4964" s="7" t="s">
        <v>10043</v>
      </c>
      <c r="G4964" s="7" t="n">
        <v>2019</v>
      </c>
      <c r="H4964" s="7" t="s">
        <v>48</v>
      </c>
      <c r="I4964" s="7" t="s">
        <v>82</v>
      </c>
      <c r="J4964" s="7" t="s">
        <v>89</v>
      </c>
      <c r="K4964" s="7" t="n">
        <f aca="false">IFERROR(VALUE(RIGHT(TRIM(F4964),4)),"")</f>
        <v>2019</v>
      </c>
      <c r="L4964" s="7" t="str">
        <f aca="false">IF(TRIM(E4964)="","Unknown",IFERROR(LEFT(TRIM(E4964),FIND(",",TRIM(E4964))-1),TRIM(E4964)))</f>
        <v>Colombia</v>
      </c>
      <c r="M4964" s="7" t="str">
        <f aca="false">IFERROR(LEFT(J4964,FIND(",",J4964)-1),J4964)</f>
        <v>Crime TV Shows</v>
      </c>
      <c r="N4964" s="7" t="str">
        <f aca="false">IF(B4964="Movie",IFERROR(VALUE(LEFT(I4964,FIND(" ",I4964)-1)),""),"")</f>
        <v/>
      </c>
      <c r="O4964" s="7" t="n">
        <f aca="false">IF(B4964="TV Show",IFERROR(VALUE(LEFT(I4964,FIND(" ",I4964)-1)),""),"")</f>
        <v>1</v>
      </c>
      <c r="P4964" s="7" t="n">
        <f aca="false">IF(K4964="","",K4964-G4964)</f>
        <v>0</v>
      </c>
    </row>
    <row r="4965" customFormat="false" ht="15" hidden="false" customHeight="false" outlineLevel="0" collapsed="false">
      <c r="A4965" s="7" t="n">
        <v>81091957</v>
      </c>
      <c r="B4965" s="7" t="s">
        <v>68</v>
      </c>
      <c r="C4965" s="7" t="s">
        <v>10051</v>
      </c>
      <c r="E4965" s="7" t="s">
        <v>5443</v>
      </c>
      <c r="F4965" s="7" t="s">
        <v>10043</v>
      </c>
      <c r="G4965" s="7" t="n">
        <v>2019</v>
      </c>
      <c r="H4965" s="7" t="s">
        <v>81</v>
      </c>
      <c r="I4965" s="7" t="s">
        <v>348</v>
      </c>
      <c r="J4965" s="7" t="s">
        <v>174</v>
      </c>
      <c r="K4965" s="7" t="n">
        <f aca="false">IFERROR(VALUE(RIGHT(TRIM(F4965),4)),"")</f>
        <v>2019</v>
      </c>
      <c r="L4965" s="7" t="str">
        <f aca="false">IF(TRIM(E4965)="","Unknown",IFERROR(LEFT(TRIM(E4965),FIND(",",TRIM(E4965))-1),TRIM(E4965)))</f>
        <v>South Korea</v>
      </c>
      <c r="M4965" s="7" t="str">
        <f aca="false">IFERROR(LEFT(J4965,FIND(",",J4965)-1),J4965)</f>
        <v>Children &amp; Family Movies</v>
      </c>
      <c r="N4965" s="7" t="n">
        <f aca="false">IF(B4965="Movie",IFERROR(VALUE(LEFT(I4965,FIND(" ",I4965)-1)),""),"")</f>
        <v>72</v>
      </c>
      <c r="O4965" s="7" t="str">
        <f aca="false">IF(B4965="TV Show",IFERROR(VALUE(LEFT(I4965,FIND(" ",I4965)-1)),""),"")</f>
        <v/>
      </c>
      <c r="P4965" s="7" t="n">
        <f aca="false">IF(K4965="","",K4965-G4965)</f>
        <v>0</v>
      </c>
    </row>
    <row r="4966" customFormat="false" ht="15" hidden="false" customHeight="false" outlineLevel="0" collapsed="false">
      <c r="A4966" s="7" t="n">
        <v>80021840</v>
      </c>
      <c r="B4966" s="7" t="s">
        <v>68</v>
      </c>
      <c r="C4966" s="7" t="s">
        <v>10052</v>
      </c>
      <c r="D4966" s="7" t="s">
        <v>10053</v>
      </c>
      <c r="E4966" s="7" t="s">
        <v>26</v>
      </c>
      <c r="F4966" s="7" t="s">
        <v>10043</v>
      </c>
      <c r="G4966" s="7" t="n">
        <v>2015</v>
      </c>
      <c r="H4966" s="7" t="s">
        <v>52</v>
      </c>
      <c r="I4966" s="7" t="s">
        <v>386</v>
      </c>
      <c r="J4966" s="7" t="s">
        <v>2034</v>
      </c>
      <c r="K4966" s="7" t="n">
        <f aca="false">IFERROR(VALUE(RIGHT(TRIM(F4966),4)),"")</f>
        <v>2019</v>
      </c>
      <c r="L4966" s="7" t="str">
        <f aca="false">IF(TRIM(E4966)="","Unknown",IFERROR(LEFT(TRIM(E4966),FIND(",",TRIM(E4966))-1),TRIM(E4966)))</f>
        <v>United States</v>
      </c>
      <c r="M4966" s="7" t="str">
        <f aca="false">IFERROR(LEFT(J4966,FIND(",",J4966)-1),J4966)</f>
        <v>Sci-Fi &amp; Fantasy</v>
      </c>
      <c r="N4966" s="7" t="n">
        <f aca="false">IF(B4966="Movie",IFERROR(VALUE(LEFT(I4966,FIND(" ",I4966)-1)),""),"")</f>
        <v>117</v>
      </c>
      <c r="O4966" s="7" t="str">
        <f aca="false">IF(B4966="TV Show",IFERROR(VALUE(LEFT(I4966,FIND(" ",I4966)-1)),""),"")</f>
        <v/>
      </c>
      <c r="P4966" s="7" t="n">
        <f aca="false">IF(K4966="","",K4966-G4966)</f>
        <v>4</v>
      </c>
    </row>
    <row r="4967" customFormat="false" ht="15" hidden="false" customHeight="false" outlineLevel="0" collapsed="false">
      <c r="A4967" s="7" t="n">
        <v>80231419</v>
      </c>
      <c r="B4967" s="7" t="s">
        <v>68</v>
      </c>
      <c r="C4967" s="7" t="s">
        <v>10054</v>
      </c>
      <c r="D4967" s="7" t="s">
        <v>10055</v>
      </c>
      <c r="E4967" s="7" t="s">
        <v>26</v>
      </c>
      <c r="F4967" s="7" t="s">
        <v>10043</v>
      </c>
      <c r="G4967" s="7" t="n">
        <v>2019</v>
      </c>
      <c r="H4967" s="7" t="s">
        <v>49</v>
      </c>
      <c r="I4967" s="7" t="s">
        <v>205</v>
      </c>
      <c r="J4967" s="7" t="s">
        <v>38</v>
      </c>
      <c r="K4967" s="7" t="n">
        <f aca="false">IFERROR(VALUE(RIGHT(TRIM(F4967),4)),"")</f>
        <v>2019</v>
      </c>
      <c r="L4967" s="7" t="str">
        <f aca="false">IF(TRIM(E4967)="","Unknown",IFERROR(LEFT(TRIM(E4967),FIND(",",TRIM(E4967))-1),TRIM(E4967)))</f>
        <v>United States</v>
      </c>
      <c r="M4967" s="7" t="str">
        <f aca="false">IFERROR(LEFT(J4967,FIND(",",J4967)-1),J4967)</f>
        <v>Comedies</v>
      </c>
      <c r="N4967" s="7" t="n">
        <f aca="false">IF(B4967="Movie",IFERROR(VALUE(LEFT(I4967,FIND(" ",I4967)-1)),""),"")</f>
        <v>100</v>
      </c>
      <c r="O4967" s="7" t="str">
        <f aca="false">IF(B4967="TV Show",IFERROR(VALUE(LEFT(I4967,FIND(" ",I4967)-1)),""),"")</f>
        <v/>
      </c>
      <c r="P4967" s="7" t="n">
        <f aca="false">IF(K4967="","",K4967-G4967)</f>
        <v>0</v>
      </c>
    </row>
    <row r="4968" customFormat="false" ht="15" hidden="false" customHeight="false" outlineLevel="0" collapsed="false">
      <c r="A4968" s="7" t="n">
        <v>81006335</v>
      </c>
      <c r="B4968" s="7" t="s">
        <v>68</v>
      </c>
      <c r="C4968" s="7" t="s">
        <v>10056</v>
      </c>
      <c r="E4968" s="7" t="s">
        <v>29</v>
      </c>
      <c r="F4968" s="7" t="s">
        <v>10043</v>
      </c>
      <c r="G4968" s="7" t="n">
        <v>2019</v>
      </c>
      <c r="H4968" s="7" t="s">
        <v>119</v>
      </c>
      <c r="I4968" s="7" t="s">
        <v>373</v>
      </c>
      <c r="J4968" s="7" t="s">
        <v>42</v>
      </c>
      <c r="K4968" s="7" t="n">
        <f aca="false">IFERROR(VALUE(RIGHT(TRIM(F4968),4)),"")</f>
        <v>2019</v>
      </c>
      <c r="L4968" s="7" t="str">
        <f aca="false">IF(TRIM(E4968)="","Unknown",IFERROR(LEFT(TRIM(E4968),FIND(",",TRIM(E4968))-1),TRIM(E4968)))</f>
        <v>Canada</v>
      </c>
      <c r="M4968" s="7" t="str">
        <f aca="false">IFERROR(LEFT(J4968,FIND(",",J4968)-1),J4968)</f>
        <v>Children &amp; Family Movies</v>
      </c>
      <c r="N4968" s="7" t="n">
        <f aca="false">IF(B4968="Movie",IFERROR(VALUE(LEFT(I4968,FIND(" ",I4968)-1)),""),"")</f>
        <v>24</v>
      </c>
      <c r="O4968" s="7" t="str">
        <f aca="false">IF(B4968="TV Show",IFERROR(VALUE(LEFT(I4968,FIND(" ",I4968)-1)),""),"")</f>
        <v/>
      </c>
      <c r="P4968" s="7" t="n">
        <f aca="false">IF(K4968="","",K4968-G4968)</f>
        <v>0</v>
      </c>
    </row>
    <row r="4969" customFormat="false" ht="15" hidden="false" customHeight="false" outlineLevel="0" collapsed="false">
      <c r="A4969" s="7" t="n">
        <v>81175361</v>
      </c>
      <c r="B4969" s="7" t="s">
        <v>78</v>
      </c>
      <c r="C4969" s="7" t="s">
        <v>10057</v>
      </c>
      <c r="E4969" s="7" t="s">
        <v>366</v>
      </c>
      <c r="F4969" s="7" t="s">
        <v>10043</v>
      </c>
      <c r="G4969" s="7" t="n">
        <v>2019</v>
      </c>
      <c r="H4969" s="7" t="s">
        <v>49</v>
      </c>
      <c r="I4969" s="7" t="s">
        <v>82</v>
      </c>
      <c r="J4969" s="7" t="s">
        <v>393</v>
      </c>
      <c r="K4969" s="7" t="n">
        <f aca="false">IFERROR(VALUE(RIGHT(TRIM(F4969),4)),"")</f>
        <v>2019</v>
      </c>
      <c r="L4969" s="7" t="str">
        <f aca="false">IF(TRIM(E4969)="","Unknown",IFERROR(LEFT(TRIM(E4969),FIND(",",TRIM(E4969))-1),TRIM(E4969)))</f>
        <v>China</v>
      </c>
      <c r="M4969" s="7" t="str">
        <f aca="false">IFERROR(LEFT(J4969,FIND(",",J4969)-1),J4969)</f>
        <v>International TV Shows</v>
      </c>
      <c r="N4969" s="7" t="str">
        <f aca="false">IF(B4969="Movie",IFERROR(VALUE(LEFT(I4969,FIND(" ",I4969)-1)),""),"")</f>
        <v/>
      </c>
      <c r="O4969" s="7" t="n">
        <f aca="false">IF(B4969="TV Show",IFERROR(VALUE(LEFT(I4969,FIND(" ",I4969)-1)),""),"")</f>
        <v>1</v>
      </c>
      <c r="P4969" s="7" t="n">
        <f aca="false">IF(K4969="","",K4969-G4969)</f>
        <v>0</v>
      </c>
    </row>
    <row r="4970" customFormat="false" ht="15" hidden="false" customHeight="false" outlineLevel="0" collapsed="false">
      <c r="A4970" s="7" t="n">
        <v>80235578</v>
      </c>
      <c r="B4970" s="7" t="s">
        <v>68</v>
      </c>
      <c r="C4970" s="7" t="s">
        <v>10058</v>
      </c>
      <c r="D4970" s="7" t="s">
        <v>10059</v>
      </c>
      <c r="E4970" s="7" t="s">
        <v>33</v>
      </c>
      <c r="F4970" s="7" t="s">
        <v>10043</v>
      </c>
      <c r="G4970" s="7" t="n">
        <v>2019</v>
      </c>
      <c r="H4970" s="7" t="s">
        <v>48</v>
      </c>
      <c r="I4970" s="7" t="s">
        <v>212</v>
      </c>
      <c r="J4970" s="7" t="s">
        <v>202</v>
      </c>
      <c r="K4970" s="7" t="n">
        <f aca="false">IFERROR(VALUE(RIGHT(TRIM(F4970),4)),"")</f>
        <v>2019</v>
      </c>
      <c r="L4970" s="7" t="str">
        <f aca="false">IF(TRIM(E4970)="","Unknown",IFERROR(LEFT(TRIM(E4970),FIND(",",TRIM(E4970))-1),TRIM(E4970)))</f>
        <v>Spain</v>
      </c>
      <c r="M4970" s="7" t="str">
        <f aca="false">IFERROR(LEFT(J4970,FIND(",",J4970)-1),J4970)</f>
        <v>Comedies</v>
      </c>
      <c r="N4970" s="7" t="n">
        <f aca="false">IF(B4970="Movie",IFERROR(VALUE(LEFT(I4970,FIND(" ",I4970)-1)),""),"")</f>
        <v>86</v>
      </c>
      <c r="O4970" s="7" t="str">
        <f aca="false">IF(B4970="TV Show",IFERROR(VALUE(LEFT(I4970,FIND(" ",I4970)-1)),""),"")</f>
        <v/>
      </c>
      <c r="P4970" s="7" t="n">
        <f aca="false">IF(K4970="","",K4970-G4970)</f>
        <v>0</v>
      </c>
    </row>
    <row r="4971" customFormat="false" ht="15" hidden="false" customHeight="false" outlineLevel="0" collapsed="false">
      <c r="A4971" s="7" t="n">
        <v>81078331</v>
      </c>
      <c r="B4971" s="7" t="s">
        <v>78</v>
      </c>
      <c r="C4971" s="7" t="s">
        <v>10060</v>
      </c>
      <c r="E4971" s="7" t="s">
        <v>33</v>
      </c>
      <c r="F4971" s="7" t="s">
        <v>10043</v>
      </c>
      <c r="G4971" s="7" t="n">
        <v>2018</v>
      </c>
      <c r="H4971" s="7" t="s">
        <v>48</v>
      </c>
      <c r="I4971" s="7" t="s">
        <v>82</v>
      </c>
      <c r="J4971" s="7" t="s">
        <v>9001</v>
      </c>
      <c r="K4971" s="7" t="n">
        <f aca="false">IFERROR(VALUE(RIGHT(TRIM(F4971),4)),"")</f>
        <v>2019</v>
      </c>
      <c r="L4971" s="7" t="str">
        <f aca="false">IF(TRIM(E4971)="","Unknown",IFERROR(LEFT(TRIM(E4971),FIND(",",TRIM(E4971))-1),TRIM(E4971)))</f>
        <v>Spain</v>
      </c>
      <c r="M4971" s="7" t="str">
        <f aca="false">IFERROR(LEFT(J4971,FIND(",",J4971)-1),J4971)</f>
        <v>International TV Shows</v>
      </c>
      <c r="N4971" s="7" t="str">
        <f aca="false">IF(B4971="Movie",IFERROR(VALUE(LEFT(I4971,FIND(" ",I4971)-1)),""),"")</f>
        <v/>
      </c>
      <c r="O4971" s="7" t="n">
        <f aca="false">IF(B4971="TV Show",IFERROR(VALUE(LEFT(I4971,FIND(" ",I4971)-1)),""),"")</f>
        <v>1</v>
      </c>
      <c r="P4971" s="7" t="n">
        <f aca="false">IF(K4971="","",K4971-G4971)</f>
        <v>1</v>
      </c>
    </row>
    <row r="4972" customFormat="false" ht="15" hidden="false" customHeight="false" outlineLevel="0" collapsed="false">
      <c r="A4972" s="7" t="n">
        <v>80243541</v>
      </c>
      <c r="B4972" s="7" t="s">
        <v>68</v>
      </c>
      <c r="C4972" s="7" t="s">
        <v>10061</v>
      </c>
      <c r="D4972" s="7" t="s">
        <v>2240</v>
      </c>
      <c r="E4972" s="7" t="s">
        <v>27</v>
      </c>
      <c r="F4972" s="7" t="s">
        <v>10062</v>
      </c>
      <c r="G4972" s="7" t="n">
        <v>2018</v>
      </c>
      <c r="H4972" s="7" t="s">
        <v>49</v>
      </c>
      <c r="I4972" s="7" t="s">
        <v>1777</v>
      </c>
      <c r="J4972" s="7" t="s">
        <v>2458</v>
      </c>
      <c r="K4972" s="7" t="n">
        <f aca="false">IFERROR(VALUE(RIGHT(TRIM(F4972),4)),"")</f>
        <v>2018</v>
      </c>
      <c r="L4972" s="7" t="str">
        <f aca="false">IF(TRIM(E4972)="","Unknown",IFERROR(LEFT(TRIM(E4972),FIND(",",TRIM(E4972))-1),TRIM(E4972)))</f>
        <v>India</v>
      </c>
      <c r="M4972" s="7" t="str">
        <f aca="false">IFERROR(LEFT(J4972,FIND(",",J4972)-1),J4972)</f>
        <v>Dramas</v>
      </c>
      <c r="N4972" s="7" t="n">
        <f aca="false">IF(B4972="Movie",IFERROR(VALUE(LEFT(I4972,FIND(" ",I4972)-1)),""),"")</f>
        <v>150</v>
      </c>
      <c r="O4972" s="7" t="str">
        <f aca="false">IF(B4972="TV Show",IFERROR(VALUE(LEFT(I4972,FIND(" ",I4972)-1)),""),"")</f>
        <v/>
      </c>
      <c r="P4972" s="7" t="n">
        <f aca="false">IF(K4972="","",K4972-G4972)</f>
        <v>0</v>
      </c>
    </row>
    <row r="4973" customFormat="false" ht="15" hidden="false" customHeight="false" outlineLevel="0" collapsed="false">
      <c r="A4973" s="7" t="n">
        <v>70033644</v>
      </c>
      <c r="B4973" s="7" t="s">
        <v>68</v>
      </c>
      <c r="C4973" s="7" t="s">
        <v>10063</v>
      </c>
      <c r="D4973" s="7" t="s">
        <v>9739</v>
      </c>
      <c r="E4973" s="7" t="s">
        <v>411</v>
      </c>
      <c r="F4973" s="7" t="s">
        <v>10062</v>
      </c>
      <c r="G4973" s="7" t="n">
        <v>1992</v>
      </c>
      <c r="H4973" s="7" t="s">
        <v>48</v>
      </c>
      <c r="I4973" s="7" t="s">
        <v>268</v>
      </c>
      <c r="J4973" s="7" t="s">
        <v>112</v>
      </c>
      <c r="K4973" s="7" t="n">
        <f aca="false">IFERROR(VALUE(RIGHT(TRIM(F4973),4)),"")</f>
        <v>2018</v>
      </c>
      <c r="L4973" s="7" t="str">
        <f aca="false">IF(TRIM(E4973)="","Unknown",IFERROR(LEFT(TRIM(E4973),FIND(",",TRIM(E4973))-1),TRIM(E4973)))</f>
        <v>Hong Kong</v>
      </c>
      <c r="M4973" s="7" t="str">
        <f aca="false">IFERROR(LEFT(J4973,FIND(",",J4973)-1),J4973)</f>
        <v>Action &amp; Adventure</v>
      </c>
      <c r="N4973" s="7" t="n">
        <f aca="false">IF(B4973="Movie",IFERROR(VALUE(LEFT(I4973,FIND(" ",I4973)-1)),""),"")</f>
        <v>108</v>
      </c>
      <c r="O4973" s="7" t="str">
        <f aca="false">IF(B4973="TV Show",IFERROR(VALUE(LEFT(I4973,FIND(" ",I4973)-1)),""),"")</f>
        <v/>
      </c>
      <c r="P4973" s="7" t="n">
        <f aca="false">IF(K4973="","",K4973-G4973)</f>
        <v>26</v>
      </c>
    </row>
    <row r="4974" customFormat="false" ht="15" hidden="false" customHeight="false" outlineLevel="0" collapsed="false">
      <c r="A4974" s="7" t="n">
        <v>80039484</v>
      </c>
      <c r="B4974" s="7" t="s">
        <v>68</v>
      </c>
      <c r="C4974" s="7" t="s">
        <v>10064</v>
      </c>
      <c r="D4974" s="7" t="s">
        <v>10065</v>
      </c>
      <c r="E4974" s="7" t="s">
        <v>411</v>
      </c>
      <c r="F4974" s="7" t="s">
        <v>10062</v>
      </c>
      <c r="G4974" s="7" t="n">
        <v>1985</v>
      </c>
      <c r="H4974" s="7" t="s">
        <v>53</v>
      </c>
      <c r="I4974" s="7" t="s">
        <v>73</v>
      </c>
      <c r="J4974" s="7" t="s">
        <v>322</v>
      </c>
      <c r="K4974" s="7" t="n">
        <f aca="false">IFERROR(VALUE(RIGHT(TRIM(F4974),4)),"")</f>
        <v>2018</v>
      </c>
      <c r="L4974" s="7" t="str">
        <f aca="false">IF(TRIM(E4974)="","Unknown",IFERROR(LEFT(TRIM(E4974),FIND(",",TRIM(E4974))-1),TRIM(E4974)))</f>
        <v>Hong Kong</v>
      </c>
      <c r="M4974" s="7" t="str">
        <f aca="false">IFERROR(LEFT(J4974,FIND(",",J4974)-1),J4974)</f>
        <v>Action &amp; Adventure</v>
      </c>
      <c r="N4974" s="7" t="n">
        <f aca="false">IF(B4974="Movie",IFERROR(VALUE(LEFT(I4974,FIND(" ",I4974)-1)),""),"")</f>
        <v>90</v>
      </c>
      <c r="O4974" s="7" t="str">
        <f aca="false">IF(B4974="TV Show",IFERROR(VALUE(LEFT(I4974,FIND(" ",I4974)-1)),""),"")</f>
        <v/>
      </c>
      <c r="P4974" s="7" t="n">
        <f aca="false">IF(K4974="","",K4974-G4974)</f>
        <v>33</v>
      </c>
    </row>
    <row r="4975" customFormat="false" ht="15" hidden="false" customHeight="false" outlineLevel="0" collapsed="false">
      <c r="A4975" s="7" t="n">
        <v>70059191</v>
      </c>
      <c r="B4975" s="7" t="s">
        <v>68</v>
      </c>
      <c r="C4975" s="7" t="s">
        <v>10066</v>
      </c>
      <c r="D4975" s="7" t="s">
        <v>10065</v>
      </c>
      <c r="E4975" s="7" t="s">
        <v>411</v>
      </c>
      <c r="F4975" s="7" t="s">
        <v>10062</v>
      </c>
      <c r="G4975" s="7" t="n">
        <v>1982</v>
      </c>
      <c r="H4975" s="7" t="s">
        <v>49</v>
      </c>
      <c r="I4975" s="7" t="s">
        <v>512</v>
      </c>
      <c r="J4975" s="7" t="s">
        <v>4109</v>
      </c>
      <c r="K4975" s="7" t="n">
        <f aca="false">IFERROR(VALUE(RIGHT(TRIM(F4975),4)),"")</f>
        <v>2018</v>
      </c>
      <c r="L4975" s="7" t="str">
        <f aca="false">IF(TRIM(E4975)="","Unknown",IFERROR(LEFT(TRIM(E4975),FIND(",",TRIM(E4975))-1),TRIM(E4975)))</f>
        <v>Hong Kong</v>
      </c>
      <c r="M4975" s="7" t="str">
        <f aca="false">IFERROR(LEFT(J4975,FIND(",",J4975)-1),J4975)</f>
        <v>Action &amp; Adventure</v>
      </c>
      <c r="N4975" s="7" t="n">
        <f aca="false">IF(B4975="Movie",IFERROR(VALUE(LEFT(I4975,FIND(" ",I4975)-1)),""),"")</f>
        <v>101</v>
      </c>
      <c r="O4975" s="7" t="str">
        <f aca="false">IF(B4975="TV Show",IFERROR(VALUE(LEFT(I4975,FIND(" ",I4975)-1)),""),"")</f>
        <v/>
      </c>
      <c r="P4975" s="7" t="n">
        <f aca="false">IF(K4975="","",K4975-G4975)</f>
        <v>36</v>
      </c>
    </row>
    <row r="4976" customFormat="false" ht="15" hidden="false" customHeight="false" outlineLevel="0" collapsed="false">
      <c r="A4976" s="7" t="n">
        <v>11546798</v>
      </c>
      <c r="B4976" s="7" t="s">
        <v>68</v>
      </c>
      <c r="C4976" s="7" t="s">
        <v>10067</v>
      </c>
      <c r="D4976" s="7" t="s">
        <v>5391</v>
      </c>
      <c r="E4976" s="7" t="s">
        <v>411</v>
      </c>
      <c r="F4976" s="7" t="s">
        <v>10062</v>
      </c>
      <c r="G4976" s="7" t="n">
        <v>1997</v>
      </c>
      <c r="H4976" s="7" t="s">
        <v>49</v>
      </c>
      <c r="I4976" s="7" t="s">
        <v>417</v>
      </c>
      <c r="J4976" s="7" t="s">
        <v>322</v>
      </c>
      <c r="K4976" s="7" t="n">
        <f aca="false">IFERROR(VALUE(RIGHT(TRIM(F4976),4)),"")</f>
        <v>2018</v>
      </c>
      <c r="L4976" s="7" t="str">
        <f aca="false">IF(TRIM(E4976)="","Unknown",IFERROR(LEFT(TRIM(E4976),FIND(",",TRIM(E4976))-1),TRIM(E4976)))</f>
        <v>Hong Kong</v>
      </c>
      <c r="M4976" s="7" t="str">
        <f aca="false">IFERROR(LEFT(J4976,FIND(",",J4976)-1),J4976)</f>
        <v>Action &amp; Adventure</v>
      </c>
      <c r="N4976" s="7" t="n">
        <f aca="false">IF(B4976="Movie",IFERROR(VALUE(LEFT(I4976,FIND(" ",I4976)-1)),""),"")</f>
        <v>104</v>
      </c>
      <c r="O4976" s="7" t="str">
        <f aca="false">IF(B4976="TV Show",IFERROR(VALUE(LEFT(I4976,FIND(" ",I4976)-1)),""),"")</f>
        <v/>
      </c>
      <c r="P4976" s="7" t="n">
        <f aca="false">IF(K4976="","",K4976-G4976)</f>
        <v>21</v>
      </c>
    </row>
    <row r="4977" customFormat="false" ht="15" hidden="false" customHeight="false" outlineLevel="0" collapsed="false">
      <c r="A4977" s="7" t="n">
        <v>70014531</v>
      </c>
      <c r="B4977" s="7" t="s">
        <v>68</v>
      </c>
      <c r="C4977" s="7" t="s">
        <v>10068</v>
      </c>
      <c r="D4977" s="7" t="s">
        <v>10069</v>
      </c>
      <c r="E4977" s="7" t="s">
        <v>411</v>
      </c>
      <c r="F4977" s="7" t="s">
        <v>10062</v>
      </c>
      <c r="G4977" s="7" t="n">
        <v>1990</v>
      </c>
      <c r="H4977" s="7" t="s">
        <v>48</v>
      </c>
      <c r="I4977" s="7" t="s">
        <v>264</v>
      </c>
      <c r="J4977" s="7" t="s">
        <v>139</v>
      </c>
      <c r="K4977" s="7" t="n">
        <f aca="false">IFERROR(VALUE(RIGHT(TRIM(F4977),4)),"")</f>
        <v>2018</v>
      </c>
      <c r="L4977" s="7" t="str">
        <f aca="false">IF(TRIM(E4977)="","Unknown",IFERROR(LEFT(TRIM(E4977),FIND(",",TRIM(E4977))-1),TRIM(E4977)))</f>
        <v>Hong Kong</v>
      </c>
      <c r="M4977" s="7" t="str">
        <f aca="false">IFERROR(LEFT(J4977,FIND(",",J4977)-1),J4977)</f>
        <v>Action &amp; Adventure</v>
      </c>
      <c r="N4977" s="7" t="n">
        <f aca="false">IF(B4977="Movie",IFERROR(VALUE(LEFT(I4977,FIND(" ",I4977)-1)),""),"")</f>
        <v>88</v>
      </c>
      <c r="O4977" s="7" t="str">
        <f aca="false">IF(B4977="TV Show",IFERROR(VALUE(LEFT(I4977,FIND(" ",I4977)-1)),""),"")</f>
        <v/>
      </c>
      <c r="P4977" s="7" t="n">
        <f aca="false">IF(K4977="","",K4977-G4977)</f>
        <v>28</v>
      </c>
    </row>
    <row r="4978" customFormat="false" ht="15" hidden="false" customHeight="false" outlineLevel="0" collapsed="false">
      <c r="A4978" s="7" t="n">
        <v>70026792</v>
      </c>
      <c r="B4978" s="7" t="s">
        <v>68</v>
      </c>
      <c r="C4978" s="7" t="s">
        <v>10070</v>
      </c>
      <c r="D4978" s="7" t="s">
        <v>4805</v>
      </c>
      <c r="E4978" s="7" t="s">
        <v>411</v>
      </c>
      <c r="F4978" s="7" t="s">
        <v>10062</v>
      </c>
      <c r="G4978" s="7" t="n">
        <v>1994</v>
      </c>
      <c r="H4978" s="7" t="s">
        <v>49</v>
      </c>
      <c r="I4978" s="7" t="s">
        <v>272</v>
      </c>
      <c r="J4978" s="7" t="s">
        <v>139</v>
      </c>
      <c r="K4978" s="7" t="n">
        <f aca="false">IFERROR(VALUE(RIGHT(TRIM(F4978),4)),"")</f>
        <v>2018</v>
      </c>
      <c r="L4978" s="7" t="str">
        <f aca="false">IF(TRIM(E4978)="","Unknown",IFERROR(LEFT(TRIM(E4978),FIND(",",TRIM(E4978))-1),TRIM(E4978)))</f>
        <v>Hong Kong</v>
      </c>
      <c r="M4978" s="7" t="str">
        <f aca="false">IFERROR(LEFT(J4978,FIND(",",J4978)-1),J4978)</f>
        <v>Action &amp; Adventure</v>
      </c>
      <c r="N4978" s="7" t="n">
        <f aca="false">IF(B4978="Movie",IFERROR(VALUE(LEFT(I4978,FIND(" ",I4978)-1)),""),"")</f>
        <v>93</v>
      </c>
      <c r="O4978" s="7" t="str">
        <f aca="false">IF(B4978="TV Show",IFERROR(VALUE(LEFT(I4978,FIND(" ",I4978)-1)),""),"")</f>
        <v/>
      </c>
      <c r="P4978" s="7" t="n">
        <f aca="false">IF(K4978="","",K4978-G4978)</f>
        <v>24</v>
      </c>
    </row>
    <row r="4979" customFormat="false" ht="15" hidden="false" customHeight="false" outlineLevel="0" collapsed="false">
      <c r="A4979" s="7" t="n">
        <v>80997789</v>
      </c>
      <c r="B4979" s="7" t="s">
        <v>68</v>
      </c>
      <c r="C4979" s="7" t="s">
        <v>10071</v>
      </c>
      <c r="D4979" s="7" t="s">
        <v>5391</v>
      </c>
      <c r="E4979" s="7" t="s">
        <v>411</v>
      </c>
      <c r="F4979" s="7" t="s">
        <v>10062</v>
      </c>
      <c r="G4979" s="7" t="n">
        <v>1995</v>
      </c>
      <c r="H4979" s="7" t="s">
        <v>49</v>
      </c>
      <c r="I4979" s="7" t="s">
        <v>143</v>
      </c>
      <c r="J4979" s="7" t="s">
        <v>304</v>
      </c>
      <c r="K4979" s="7" t="n">
        <f aca="false">IFERROR(VALUE(RIGHT(TRIM(F4979),4)),"")</f>
        <v>2018</v>
      </c>
      <c r="L4979" s="7" t="str">
        <f aca="false">IF(TRIM(E4979)="","Unknown",IFERROR(LEFT(TRIM(E4979),FIND(",",TRIM(E4979))-1),TRIM(E4979)))</f>
        <v>Hong Kong</v>
      </c>
      <c r="M4979" s="7" t="str">
        <f aca="false">IFERROR(LEFT(J4979,FIND(",",J4979)-1),J4979)</f>
        <v>Dramas</v>
      </c>
      <c r="N4979" s="7" t="n">
        <f aca="false">IF(B4979="Movie",IFERROR(VALUE(LEFT(I4979,FIND(" ",I4979)-1)),""),"")</f>
        <v>79</v>
      </c>
      <c r="O4979" s="7" t="str">
        <f aca="false">IF(B4979="TV Show",IFERROR(VALUE(LEFT(I4979,FIND(" ",I4979)-1)),""),"")</f>
        <v/>
      </c>
      <c r="P4979" s="7" t="n">
        <f aca="false">IF(K4979="","",K4979-G4979)</f>
        <v>23</v>
      </c>
    </row>
    <row r="4980" customFormat="false" ht="15" hidden="false" customHeight="false" outlineLevel="0" collapsed="false">
      <c r="A4980" s="7" t="n">
        <v>80997867</v>
      </c>
      <c r="B4980" s="7" t="s">
        <v>68</v>
      </c>
      <c r="C4980" s="7" t="s">
        <v>10072</v>
      </c>
      <c r="D4980" s="7" t="s">
        <v>10073</v>
      </c>
      <c r="E4980" s="7" t="s">
        <v>411</v>
      </c>
      <c r="F4980" s="7" t="s">
        <v>10062</v>
      </c>
      <c r="G4980" s="7" t="n">
        <v>1981</v>
      </c>
      <c r="H4980" s="7" t="s">
        <v>50</v>
      </c>
      <c r="I4980" s="7" t="s">
        <v>311</v>
      </c>
      <c r="J4980" s="7" t="s">
        <v>202</v>
      </c>
      <c r="K4980" s="7" t="n">
        <f aca="false">IFERROR(VALUE(RIGHT(TRIM(F4980),4)),"")</f>
        <v>2018</v>
      </c>
      <c r="L4980" s="7" t="str">
        <f aca="false">IF(TRIM(E4980)="","Unknown",IFERROR(LEFT(TRIM(E4980),FIND(",",TRIM(E4980))-1),TRIM(E4980)))</f>
        <v>Hong Kong</v>
      </c>
      <c r="M4980" s="7" t="str">
        <f aca="false">IFERROR(LEFT(J4980,FIND(",",J4980)-1),J4980)</f>
        <v>Comedies</v>
      </c>
      <c r="N4980" s="7" t="n">
        <f aca="false">IF(B4980="Movie",IFERROR(VALUE(LEFT(I4980,FIND(" ",I4980)-1)),""),"")</f>
        <v>92</v>
      </c>
      <c r="O4980" s="7" t="str">
        <f aca="false">IF(B4980="TV Show",IFERROR(VALUE(LEFT(I4980,FIND(" ",I4980)-1)),""),"")</f>
        <v/>
      </c>
      <c r="P4980" s="7" t="n">
        <f aca="false">IF(K4980="","",K4980-G4980)</f>
        <v>37</v>
      </c>
    </row>
    <row r="4981" customFormat="false" ht="15" hidden="false" customHeight="false" outlineLevel="0" collapsed="false">
      <c r="A4981" s="7" t="n">
        <v>80039662</v>
      </c>
      <c r="B4981" s="7" t="s">
        <v>68</v>
      </c>
      <c r="C4981" s="7" t="s">
        <v>10074</v>
      </c>
      <c r="D4981" s="7" t="s">
        <v>10065</v>
      </c>
      <c r="E4981" s="7" t="s">
        <v>429</v>
      </c>
      <c r="F4981" s="7" t="s">
        <v>10062</v>
      </c>
      <c r="G4981" s="7" t="n">
        <v>1986</v>
      </c>
      <c r="H4981" s="7" t="s">
        <v>48</v>
      </c>
      <c r="I4981" s="7" t="s">
        <v>73</v>
      </c>
      <c r="J4981" s="7" t="s">
        <v>322</v>
      </c>
      <c r="K4981" s="7" t="n">
        <f aca="false">IFERROR(VALUE(RIGHT(TRIM(F4981),4)),"")</f>
        <v>2018</v>
      </c>
      <c r="L4981" s="7" t="str">
        <f aca="false">IF(TRIM(E4981)="","Unknown",IFERROR(LEFT(TRIM(E4981),FIND(",",TRIM(E4981))-1),TRIM(E4981)))</f>
        <v>Hong Kong</v>
      </c>
      <c r="M4981" s="7" t="str">
        <f aca="false">IFERROR(LEFT(J4981,FIND(",",J4981)-1),J4981)</f>
        <v>Action &amp; Adventure</v>
      </c>
      <c r="N4981" s="7" t="n">
        <f aca="false">IF(B4981="Movie",IFERROR(VALUE(LEFT(I4981,FIND(" ",I4981)-1)),""),"")</f>
        <v>90</v>
      </c>
      <c r="O4981" s="7" t="str">
        <f aca="false">IF(B4981="TV Show",IFERROR(VALUE(LEFT(I4981,FIND(" ",I4981)-1)),""),"")</f>
        <v/>
      </c>
      <c r="P4981" s="7" t="n">
        <f aca="false">IF(K4981="","",K4981-G4981)</f>
        <v>32</v>
      </c>
    </row>
    <row r="4982" customFormat="false" ht="15" hidden="false" customHeight="false" outlineLevel="0" collapsed="false">
      <c r="A4982" s="7" t="n">
        <v>80997862</v>
      </c>
      <c r="B4982" s="7" t="s">
        <v>68</v>
      </c>
      <c r="C4982" s="7" t="s">
        <v>10075</v>
      </c>
      <c r="D4982" s="7" t="s">
        <v>10076</v>
      </c>
      <c r="E4982" s="7" t="s">
        <v>411</v>
      </c>
      <c r="F4982" s="7" t="s">
        <v>10062</v>
      </c>
      <c r="G4982" s="7" t="n">
        <v>1984</v>
      </c>
      <c r="H4982" s="7" t="s">
        <v>49</v>
      </c>
      <c r="I4982" s="7" t="s">
        <v>212</v>
      </c>
      <c r="J4982" s="7" t="s">
        <v>217</v>
      </c>
      <c r="K4982" s="7" t="n">
        <f aca="false">IFERROR(VALUE(RIGHT(TRIM(F4982),4)),"")</f>
        <v>2018</v>
      </c>
      <c r="L4982" s="7" t="str">
        <f aca="false">IF(TRIM(E4982)="","Unknown",IFERROR(LEFT(TRIM(E4982),FIND(",",TRIM(E4982))-1),TRIM(E4982)))</f>
        <v>Hong Kong</v>
      </c>
      <c r="M4982" s="7" t="str">
        <f aca="false">IFERROR(LEFT(J4982,FIND(",",J4982)-1),J4982)</f>
        <v>Comedies</v>
      </c>
      <c r="N4982" s="7" t="n">
        <f aca="false">IF(B4982="Movie",IFERROR(VALUE(LEFT(I4982,FIND(" ",I4982)-1)),""),"")</f>
        <v>86</v>
      </c>
      <c r="O4982" s="7" t="str">
        <f aca="false">IF(B4982="TV Show",IFERROR(VALUE(LEFT(I4982,FIND(" ",I4982)-1)),""),"")</f>
        <v/>
      </c>
      <c r="P4982" s="7" t="n">
        <f aca="false">IF(K4982="","",K4982-G4982)</f>
        <v>34</v>
      </c>
    </row>
    <row r="4983" customFormat="false" ht="15" hidden="false" customHeight="false" outlineLevel="0" collapsed="false">
      <c r="A4983" s="7" t="n">
        <v>60027334</v>
      </c>
      <c r="B4983" s="7" t="s">
        <v>68</v>
      </c>
      <c r="C4983" s="7" t="s">
        <v>10077</v>
      </c>
      <c r="D4983" s="7" t="s">
        <v>10078</v>
      </c>
      <c r="E4983" s="7" t="s">
        <v>411</v>
      </c>
      <c r="F4983" s="7" t="s">
        <v>10062</v>
      </c>
      <c r="G4983" s="7" t="n">
        <v>2001</v>
      </c>
      <c r="H4983" s="7" t="s">
        <v>48</v>
      </c>
      <c r="I4983" s="7" t="s">
        <v>73</v>
      </c>
      <c r="J4983" s="7" t="s">
        <v>139</v>
      </c>
      <c r="K4983" s="7" t="n">
        <f aca="false">IFERROR(VALUE(RIGHT(TRIM(F4983),4)),"")</f>
        <v>2018</v>
      </c>
      <c r="L4983" s="7" t="str">
        <f aca="false">IF(TRIM(E4983)="","Unknown",IFERROR(LEFT(TRIM(E4983),FIND(",",TRIM(E4983))-1),TRIM(E4983)))</f>
        <v>Hong Kong</v>
      </c>
      <c r="M4983" s="7" t="str">
        <f aca="false">IFERROR(LEFT(J4983,FIND(",",J4983)-1),J4983)</f>
        <v>Action &amp; Adventure</v>
      </c>
      <c r="N4983" s="7" t="n">
        <f aca="false">IF(B4983="Movie",IFERROR(VALUE(LEFT(I4983,FIND(" ",I4983)-1)),""),"")</f>
        <v>90</v>
      </c>
      <c r="O4983" s="7" t="str">
        <f aca="false">IF(B4983="TV Show",IFERROR(VALUE(LEFT(I4983,FIND(" ",I4983)-1)),""),"")</f>
        <v/>
      </c>
      <c r="P4983" s="7" t="n">
        <f aca="false">IF(K4983="","",K4983-G4983)</f>
        <v>17</v>
      </c>
    </row>
    <row r="4984" customFormat="false" ht="15" hidden="false" customHeight="false" outlineLevel="0" collapsed="false">
      <c r="A4984" s="7" t="n">
        <v>80999983</v>
      </c>
      <c r="B4984" s="7" t="s">
        <v>68</v>
      </c>
      <c r="C4984" s="7" t="s">
        <v>10079</v>
      </c>
      <c r="D4984" s="7" t="s">
        <v>6026</v>
      </c>
      <c r="E4984" s="7" t="s">
        <v>167</v>
      </c>
      <c r="F4984" s="7" t="s">
        <v>10062</v>
      </c>
      <c r="G4984" s="7" t="n">
        <v>2012</v>
      </c>
      <c r="H4984" s="7" t="s">
        <v>48</v>
      </c>
      <c r="I4984" s="7" t="s">
        <v>330</v>
      </c>
      <c r="J4984" s="7" t="s">
        <v>486</v>
      </c>
      <c r="K4984" s="7" t="n">
        <f aca="false">IFERROR(VALUE(RIGHT(TRIM(F4984),4)),"")</f>
        <v>2018</v>
      </c>
      <c r="L4984" s="7" t="str">
        <f aca="false">IF(TRIM(E4984)="","Unknown",IFERROR(LEFT(TRIM(E4984),FIND(",",TRIM(E4984))-1),TRIM(E4984)))</f>
        <v>Thailand</v>
      </c>
      <c r="M4984" s="7" t="str">
        <f aca="false">IFERROR(LEFT(J4984,FIND(",",J4984)-1),J4984)</f>
        <v>Comedies</v>
      </c>
      <c r="N4984" s="7" t="n">
        <f aca="false">IF(B4984="Movie",IFERROR(VALUE(LEFT(I4984,FIND(" ",I4984)-1)),""),"")</f>
        <v>103</v>
      </c>
      <c r="O4984" s="7" t="str">
        <f aca="false">IF(B4984="TV Show",IFERROR(VALUE(LEFT(I4984,FIND(" ",I4984)-1)),""),"")</f>
        <v/>
      </c>
      <c r="P4984" s="7" t="n">
        <f aca="false">IF(K4984="","",K4984-G4984)</f>
        <v>6</v>
      </c>
    </row>
    <row r="4985" customFormat="false" ht="15" hidden="false" customHeight="false" outlineLevel="0" collapsed="false">
      <c r="A4985" s="7" t="n">
        <v>70111922</v>
      </c>
      <c r="B4985" s="7" t="s">
        <v>68</v>
      </c>
      <c r="C4985" s="7" t="s">
        <v>10080</v>
      </c>
      <c r="D4985" s="7" t="s">
        <v>10081</v>
      </c>
      <c r="E4985" s="7" t="s">
        <v>411</v>
      </c>
      <c r="F4985" s="7" t="s">
        <v>10062</v>
      </c>
      <c r="G4985" s="7" t="n">
        <v>1984</v>
      </c>
      <c r="H4985" s="7" t="s">
        <v>48</v>
      </c>
      <c r="I4985" s="7" t="s">
        <v>212</v>
      </c>
      <c r="J4985" s="7" t="s">
        <v>322</v>
      </c>
      <c r="K4985" s="7" t="n">
        <f aca="false">IFERROR(VALUE(RIGHT(TRIM(F4985),4)),"")</f>
        <v>2018</v>
      </c>
      <c r="L4985" s="7" t="str">
        <f aca="false">IF(TRIM(E4985)="","Unknown",IFERROR(LEFT(TRIM(E4985),FIND(",",TRIM(E4985))-1),TRIM(E4985)))</f>
        <v>Hong Kong</v>
      </c>
      <c r="M4985" s="7" t="str">
        <f aca="false">IFERROR(LEFT(J4985,FIND(",",J4985)-1),J4985)</f>
        <v>Action &amp; Adventure</v>
      </c>
      <c r="N4985" s="7" t="n">
        <f aca="false">IF(B4985="Movie",IFERROR(VALUE(LEFT(I4985,FIND(" ",I4985)-1)),""),"")</f>
        <v>86</v>
      </c>
      <c r="O4985" s="7" t="str">
        <f aca="false">IF(B4985="TV Show",IFERROR(VALUE(LEFT(I4985,FIND(" ",I4985)-1)),""),"")</f>
        <v/>
      </c>
      <c r="P4985" s="7" t="n">
        <f aca="false">IF(K4985="","",K4985-G4985)</f>
        <v>34</v>
      </c>
    </row>
    <row r="4986" customFormat="false" ht="15" hidden="false" customHeight="false" outlineLevel="0" collapsed="false">
      <c r="A4986" s="7" t="n">
        <v>80997859</v>
      </c>
      <c r="B4986" s="7" t="s">
        <v>68</v>
      </c>
      <c r="C4986" s="7" t="s">
        <v>10082</v>
      </c>
      <c r="D4986" s="7" t="s">
        <v>10083</v>
      </c>
      <c r="E4986" s="7" t="s">
        <v>411</v>
      </c>
      <c r="F4986" s="7" t="s">
        <v>10062</v>
      </c>
      <c r="G4986" s="7" t="n">
        <v>1988</v>
      </c>
      <c r="H4986" s="7" t="s">
        <v>50</v>
      </c>
      <c r="I4986" s="7" t="s">
        <v>268</v>
      </c>
      <c r="J4986" s="7" t="s">
        <v>304</v>
      </c>
      <c r="K4986" s="7" t="n">
        <f aca="false">IFERROR(VALUE(RIGHT(TRIM(F4986),4)),"")</f>
        <v>2018</v>
      </c>
      <c r="L4986" s="7" t="str">
        <f aca="false">IF(TRIM(E4986)="","Unknown",IFERROR(LEFT(TRIM(E4986),FIND(",",TRIM(E4986))-1),TRIM(E4986)))</f>
        <v>Hong Kong</v>
      </c>
      <c r="M4986" s="7" t="str">
        <f aca="false">IFERROR(LEFT(J4986,FIND(",",J4986)-1),J4986)</f>
        <v>Dramas</v>
      </c>
      <c r="N4986" s="7" t="n">
        <f aca="false">IF(B4986="Movie",IFERROR(VALUE(LEFT(I4986,FIND(" ",I4986)-1)),""),"")</f>
        <v>108</v>
      </c>
      <c r="O4986" s="7" t="str">
        <f aca="false">IF(B4986="TV Show",IFERROR(VALUE(LEFT(I4986,FIND(" ",I4986)-1)),""),"")</f>
        <v/>
      </c>
      <c r="P4986" s="7" t="n">
        <f aca="false">IF(K4986="","",K4986-G4986)</f>
        <v>30</v>
      </c>
    </row>
    <row r="4987" customFormat="false" ht="15" hidden="false" customHeight="false" outlineLevel="0" collapsed="false">
      <c r="A4987" s="7" t="n">
        <v>70130432</v>
      </c>
      <c r="B4987" s="7" t="s">
        <v>68</v>
      </c>
      <c r="C4987" s="7" t="s">
        <v>10084</v>
      </c>
      <c r="D4987" s="7" t="s">
        <v>10065</v>
      </c>
      <c r="E4987" s="7" t="s">
        <v>411</v>
      </c>
      <c r="F4987" s="7" t="s">
        <v>10062</v>
      </c>
      <c r="G4987" s="7" t="n">
        <v>1980</v>
      </c>
      <c r="H4987" s="7" t="s">
        <v>51</v>
      </c>
      <c r="I4987" s="7" t="s">
        <v>451</v>
      </c>
      <c r="J4987" s="7" t="s">
        <v>139</v>
      </c>
      <c r="K4987" s="7" t="n">
        <f aca="false">IFERROR(VALUE(RIGHT(TRIM(F4987),4)),"")</f>
        <v>2018</v>
      </c>
      <c r="L4987" s="7" t="str">
        <f aca="false">IF(TRIM(E4987)="","Unknown",IFERROR(LEFT(TRIM(E4987),FIND(",",TRIM(E4987))-1),TRIM(E4987)))</f>
        <v>Hong Kong</v>
      </c>
      <c r="M4987" s="7" t="str">
        <f aca="false">IFERROR(LEFT(J4987,FIND(",",J4987)-1),J4987)</f>
        <v>Action &amp; Adventure</v>
      </c>
      <c r="N4987" s="7" t="n">
        <f aca="false">IF(B4987="Movie",IFERROR(VALUE(LEFT(I4987,FIND(" ",I4987)-1)),""),"")</f>
        <v>97</v>
      </c>
      <c r="O4987" s="7" t="str">
        <f aca="false">IF(B4987="TV Show",IFERROR(VALUE(LEFT(I4987,FIND(" ",I4987)-1)),""),"")</f>
        <v/>
      </c>
      <c r="P4987" s="7" t="n">
        <f aca="false">IF(K4987="","",K4987-G4987)</f>
        <v>38</v>
      </c>
    </row>
    <row r="4988" customFormat="false" ht="15" hidden="false" customHeight="false" outlineLevel="0" collapsed="false">
      <c r="A4988" s="7" t="n">
        <v>70033579</v>
      </c>
      <c r="B4988" s="7" t="s">
        <v>68</v>
      </c>
      <c r="C4988" s="7" t="s">
        <v>10085</v>
      </c>
      <c r="D4988" s="7" t="s">
        <v>10086</v>
      </c>
      <c r="E4988" s="7" t="s">
        <v>411</v>
      </c>
      <c r="F4988" s="7" t="s">
        <v>10062</v>
      </c>
      <c r="G4988" s="7" t="n">
        <v>2002</v>
      </c>
      <c r="H4988" s="7" t="s">
        <v>49</v>
      </c>
      <c r="I4988" s="7" t="s">
        <v>311</v>
      </c>
      <c r="J4988" s="7" t="s">
        <v>304</v>
      </c>
      <c r="K4988" s="7" t="n">
        <f aca="false">IFERROR(VALUE(RIGHT(TRIM(F4988),4)),"")</f>
        <v>2018</v>
      </c>
      <c r="L4988" s="7" t="str">
        <f aca="false">IF(TRIM(E4988)="","Unknown",IFERROR(LEFT(TRIM(E4988),FIND(",",TRIM(E4988))-1),TRIM(E4988)))</f>
        <v>Hong Kong</v>
      </c>
      <c r="M4988" s="7" t="str">
        <f aca="false">IFERROR(LEFT(J4988,FIND(",",J4988)-1),J4988)</f>
        <v>Dramas</v>
      </c>
      <c r="N4988" s="7" t="n">
        <f aca="false">IF(B4988="Movie",IFERROR(VALUE(LEFT(I4988,FIND(" ",I4988)-1)),""),"")</f>
        <v>92</v>
      </c>
      <c r="O4988" s="7" t="str">
        <f aca="false">IF(B4988="TV Show",IFERROR(VALUE(LEFT(I4988,FIND(" ",I4988)-1)),""),"")</f>
        <v/>
      </c>
      <c r="P4988" s="7" t="n">
        <f aca="false">IF(K4988="","",K4988-G4988)</f>
        <v>16</v>
      </c>
    </row>
    <row r="4989" customFormat="false" ht="15" hidden="false" customHeight="false" outlineLevel="0" collapsed="false">
      <c r="A4989" s="7" t="n">
        <v>70100527</v>
      </c>
      <c r="B4989" s="7" t="s">
        <v>68</v>
      </c>
      <c r="C4989" s="7" t="s">
        <v>10087</v>
      </c>
      <c r="D4989" s="7" t="s">
        <v>658</v>
      </c>
      <c r="E4989" s="7" t="s">
        <v>411</v>
      </c>
      <c r="F4989" s="7" t="s">
        <v>10062</v>
      </c>
      <c r="G4989" s="7" t="n">
        <v>1980</v>
      </c>
      <c r="H4989" s="7" t="s">
        <v>51</v>
      </c>
      <c r="I4989" s="7" t="s">
        <v>512</v>
      </c>
      <c r="J4989" s="7" t="s">
        <v>322</v>
      </c>
      <c r="K4989" s="7" t="n">
        <f aca="false">IFERROR(VALUE(RIGHT(TRIM(F4989),4)),"")</f>
        <v>2018</v>
      </c>
      <c r="L4989" s="7" t="str">
        <f aca="false">IF(TRIM(E4989)="","Unknown",IFERROR(LEFT(TRIM(E4989),FIND(",",TRIM(E4989))-1),TRIM(E4989)))</f>
        <v>Hong Kong</v>
      </c>
      <c r="M4989" s="7" t="str">
        <f aca="false">IFERROR(LEFT(J4989,FIND(",",J4989)-1),J4989)</f>
        <v>Action &amp; Adventure</v>
      </c>
      <c r="N4989" s="7" t="n">
        <f aca="false">IF(B4989="Movie",IFERROR(VALUE(LEFT(I4989,FIND(" ",I4989)-1)),""),"")</f>
        <v>101</v>
      </c>
      <c r="O4989" s="7" t="str">
        <f aca="false">IF(B4989="TV Show",IFERROR(VALUE(LEFT(I4989,FIND(" ",I4989)-1)),""),"")</f>
        <v/>
      </c>
      <c r="P4989" s="7" t="n">
        <f aca="false">IF(K4989="","",K4989-G4989)</f>
        <v>38</v>
      </c>
    </row>
    <row r="4990" customFormat="false" ht="15" hidden="false" customHeight="false" outlineLevel="0" collapsed="false">
      <c r="A4990" s="7" t="n">
        <v>80997857</v>
      </c>
      <c r="B4990" s="7" t="s">
        <v>68</v>
      </c>
      <c r="C4990" s="7" t="s">
        <v>10088</v>
      </c>
      <c r="D4990" s="7" t="s">
        <v>5391</v>
      </c>
      <c r="E4990" s="7" t="s">
        <v>411</v>
      </c>
      <c r="F4990" s="7" t="s">
        <v>10062</v>
      </c>
      <c r="G4990" s="7" t="n">
        <v>1993</v>
      </c>
      <c r="H4990" s="7" t="s">
        <v>48</v>
      </c>
      <c r="I4990" s="7" t="s">
        <v>524</v>
      </c>
      <c r="J4990" s="7" t="s">
        <v>322</v>
      </c>
      <c r="K4990" s="7" t="n">
        <f aca="false">IFERROR(VALUE(RIGHT(TRIM(F4990),4)),"")</f>
        <v>2018</v>
      </c>
      <c r="L4990" s="7" t="str">
        <f aca="false">IF(TRIM(E4990)="","Unknown",IFERROR(LEFT(TRIM(E4990),FIND(",",TRIM(E4990))-1),TRIM(E4990)))</f>
        <v>Hong Kong</v>
      </c>
      <c r="M4990" s="7" t="str">
        <f aca="false">IFERROR(LEFT(J4990,FIND(",",J4990)-1),J4990)</f>
        <v>Action &amp; Adventure</v>
      </c>
      <c r="N4990" s="7" t="n">
        <f aca="false">IF(B4990="Movie",IFERROR(VALUE(LEFT(I4990,FIND(" ",I4990)-1)),""),"")</f>
        <v>83</v>
      </c>
      <c r="O4990" s="7" t="str">
        <f aca="false">IF(B4990="TV Show",IFERROR(VALUE(LEFT(I4990,FIND(" ",I4990)-1)),""),"")</f>
        <v/>
      </c>
      <c r="P4990" s="7" t="n">
        <f aca="false">IF(K4990="","",K4990-G4990)</f>
        <v>25</v>
      </c>
    </row>
    <row r="4991" customFormat="false" ht="15" hidden="false" customHeight="false" outlineLevel="0" collapsed="false">
      <c r="A4991" s="7" t="n">
        <v>80997793</v>
      </c>
      <c r="B4991" s="7" t="s">
        <v>68</v>
      </c>
      <c r="C4991" s="7" t="s">
        <v>10089</v>
      </c>
      <c r="D4991" s="7" t="s">
        <v>10090</v>
      </c>
      <c r="E4991" s="7" t="s">
        <v>411</v>
      </c>
      <c r="F4991" s="7" t="s">
        <v>10062</v>
      </c>
      <c r="G4991" s="7" t="n">
        <v>1993</v>
      </c>
      <c r="H4991" s="7" t="s">
        <v>49</v>
      </c>
      <c r="I4991" s="7" t="s">
        <v>340</v>
      </c>
      <c r="J4991" s="7" t="s">
        <v>2195</v>
      </c>
      <c r="K4991" s="7" t="n">
        <f aca="false">IFERROR(VALUE(RIGHT(TRIM(F4991),4)),"")</f>
        <v>2018</v>
      </c>
      <c r="L4991" s="7" t="str">
        <f aca="false">IF(TRIM(E4991)="","Unknown",IFERROR(LEFT(TRIM(E4991),FIND(",",TRIM(E4991))-1),TRIM(E4991)))</f>
        <v>Hong Kong</v>
      </c>
      <c r="M4991" s="7" t="str">
        <f aca="false">IFERROR(LEFT(J4991,FIND(",",J4991)-1),J4991)</f>
        <v>Comedies</v>
      </c>
      <c r="N4991" s="7" t="n">
        <f aca="false">IF(B4991="Movie",IFERROR(VALUE(LEFT(I4991,FIND(" ",I4991)-1)),""),"")</f>
        <v>85</v>
      </c>
      <c r="O4991" s="7" t="str">
        <f aca="false">IF(B4991="TV Show",IFERROR(VALUE(LEFT(I4991,FIND(" ",I4991)-1)),""),"")</f>
        <v/>
      </c>
      <c r="P4991" s="7" t="n">
        <f aca="false">IF(K4991="","",K4991-G4991)</f>
        <v>25</v>
      </c>
    </row>
    <row r="4992" customFormat="false" ht="15" hidden="false" customHeight="false" outlineLevel="0" collapsed="false">
      <c r="A4992" s="7" t="n">
        <v>80997861</v>
      </c>
      <c r="B4992" s="7" t="s">
        <v>68</v>
      </c>
      <c r="C4992" s="7" t="s">
        <v>10091</v>
      </c>
      <c r="D4992" s="7" t="s">
        <v>10069</v>
      </c>
      <c r="E4992" s="7" t="s">
        <v>411</v>
      </c>
      <c r="F4992" s="7" t="s">
        <v>10062</v>
      </c>
      <c r="G4992" s="7" t="n">
        <v>1985</v>
      </c>
      <c r="H4992" s="7" t="s">
        <v>49</v>
      </c>
      <c r="I4992" s="7" t="s">
        <v>340</v>
      </c>
      <c r="J4992" s="7" t="s">
        <v>139</v>
      </c>
      <c r="K4992" s="7" t="n">
        <f aca="false">IFERROR(VALUE(RIGHT(TRIM(F4992),4)),"")</f>
        <v>2018</v>
      </c>
      <c r="L4992" s="7" t="str">
        <f aca="false">IF(TRIM(E4992)="","Unknown",IFERROR(LEFT(TRIM(E4992),FIND(",",TRIM(E4992))-1),TRIM(E4992)))</f>
        <v>Hong Kong</v>
      </c>
      <c r="M4992" s="7" t="str">
        <f aca="false">IFERROR(LEFT(J4992,FIND(",",J4992)-1),J4992)</f>
        <v>Action &amp; Adventure</v>
      </c>
      <c r="N4992" s="7" t="n">
        <f aca="false">IF(B4992="Movie",IFERROR(VALUE(LEFT(I4992,FIND(" ",I4992)-1)),""),"")</f>
        <v>85</v>
      </c>
      <c r="O4992" s="7" t="str">
        <f aca="false">IF(B4992="TV Show",IFERROR(VALUE(LEFT(I4992,FIND(" ",I4992)-1)),""),"")</f>
        <v/>
      </c>
      <c r="P4992" s="7" t="n">
        <f aca="false">IF(K4992="","",K4992-G4992)</f>
        <v>33</v>
      </c>
    </row>
    <row r="4993" customFormat="false" ht="15" hidden="false" customHeight="false" outlineLevel="0" collapsed="false">
      <c r="A4993" s="7" t="n">
        <v>70299867</v>
      </c>
      <c r="B4993" s="7" t="s">
        <v>68</v>
      </c>
      <c r="C4993" s="7" t="s">
        <v>10092</v>
      </c>
      <c r="D4993" s="7" t="s">
        <v>10093</v>
      </c>
      <c r="E4993" s="7" t="s">
        <v>26</v>
      </c>
      <c r="F4993" s="7" t="s">
        <v>10062</v>
      </c>
      <c r="G4993" s="7" t="n">
        <v>2014</v>
      </c>
      <c r="H4993" s="7" t="s">
        <v>51</v>
      </c>
      <c r="I4993" s="7" t="s">
        <v>173</v>
      </c>
      <c r="J4993" s="7" t="s">
        <v>198</v>
      </c>
      <c r="K4993" s="7" t="n">
        <f aca="false">IFERROR(VALUE(RIGHT(TRIM(F4993),4)),"")</f>
        <v>2018</v>
      </c>
      <c r="L4993" s="7" t="str">
        <f aca="false">IF(TRIM(E4993)="","Unknown",IFERROR(LEFT(TRIM(E4993),FIND(",",TRIM(E4993))-1),TRIM(E4993)))</f>
        <v>United States</v>
      </c>
      <c r="M4993" s="7" t="str">
        <f aca="false">IFERROR(LEFT(J4993,FIND(",",J4993)-1),J4993)</f>
        <v>Comedies</v>
      </c>
      <c r="N4993" s="7" t="n">
        <f aca="false">IF(B4993="Movie",IFERROR(VALUE(LEFT(I4993,FIND(" ",I4993)-1)),""),"")</f>
        <v>106</v>
      </c>
      <c r="O4993" s="7" t="str">
        <f aca="false">IF(B4993="TV Show",IFERROR(VALUE(LEFT(I4993,FIND(" ",I4993)-1)),""),"")</f>
        <v/>
      </c>
      <c r="P4993" s="7" t="n">
        <f aca="false">IF(K4993="","",K4993-G4993)</f>
        <v>4</v>
      </c>
    </row>
    <row r="4994" customFormat="false" ht="15" hidden="false" customHeight="false" outlineLevel="0" collapsed="false">
      <c r="A4994" s="7" t="n">
        <v>80195357</v>
      </c>
      <c r="B4994" s="7" t="s">
        <v>78</v>
      </c>
      <c r="C4994" s="7" t="s">
        <v>10094</v>
      </c>
      <c r="E4994" s="7" t="s">
        <v>2367</v>
      </c>
      <c r="F4994" s="7" t="s">
        <v>10095</v>
      </c>
      <c r="G4994" s="7" t="n">
        <v>2019</v>
      </c>
      <c r="H4994" s="7" t="s">
        <v>48</v>
      </c>
      <c r="I4994" s="7" t="s">
        <v>82</v>
      </c>
      <c r="J4994" s="7" t="s">
        <v>542</v>
      </c>
      <c r="K4994" s="7" t="n">
        <f aca="false">IFERROR(VALUE(RIGHT(TRIM(F4994),4)),"")</f>
        <v>2019</v>
      </c>
      <c r="L4994" s="7" t="str">
        <f aca="false">IF(TRIM(E4994)="","Unknown",IFERROR(LEFT(TRIM(E4994),FIND(",",TRIM(E4994))-1),TRIM(E4994)))</f>
        <v>United States</v>
      </c>
      <c r="M4994" s="7" t="str">
        <f aca="false">IFERROR(LEFT(J4994,FIND(",",J4994)-1),J4994)</f>
        <v>Anime Series</v>
      </c>
      <c r="N4994" s="7" t="str">
        <f aca="false">IF(B4994="Movie",IFERROR(VALUE(LEFT(I4994,FIND(" ",I4994)-1)),""),"")</f>
        <v/>
      </c>
      <c r="O4994" s="7" t="n">
        <f aca="false">IF(B4994="TV Show",IFERROR(VALUE(LEFT(I4994,FIND(" ",I4994)-1)),""),"")</f>
        <v>1</v>
      </c>
      <c r="P4994" s="7" t="n">
        <f aca="false">IF(K4994="","",K4994-G4994)</f>
        <v>0</v>
      </c>
    </row>
    <row r="4995" customFormat="false" ht="15" hidden="false" customHeight="false" outlineLevel="0" collapsed="false">
      <c r="A4995" s="7" t="n">
        <v>81154987</v>
      </c>
      <c r="B4995" s="7" t="s">
        <v>68</v>
      </c>
      <c r="C4995" s="7" t="s">
        <v>10096</v>
      </c>
      <c r="D4995" s="7" t="s">
        <v>10097</v>
      </c>
      <c r="E4995" s="7" t="s">
        <v>27</v>
      </c>
      <c r="F4995" s="7" t="s">
        <v>10095</v>
      </c>
      <c r="G4995" s="7" t="n">
        <v>2019</v>
      </c>
      <c r="H4995" s="7" t="s">
        <v>81</v>
      </c>
      <c r="I4995" s="7" t="s">
        <v>168</v>
      </c>
      <c r="J4995" s="7" t="s">
        <v>42</v>
      </c>
      <c r="K4995" s="7" t="n">
        <f aca="false">IFERROR(VALUE(RIGHT(TRIM(F4995),4)),"")</f>
        <v>2019</v>
      </c>
      <c r="L4995" s="7" t="str">
        <f aca="false">IF(TRIM(E4995)="","Unknown",IFERROR(LEFT(TRIM(E4995),FIND(",",TRIM(E4995))-1),TRIM(E4995)))</f>
        <v>India</v>
      </c>
      <c r="M4995" s="7" t="str">
        <f aca="false">IFERROR(LEFT(J4995,FIND(",",J4995)-1),J4995)</f>
        <v>Children &amp; Family Movies</v>
      </c>
      <c r="N4995" s="7" t="n">
        <f aca="false">IF(B4995="Movie",IFERROR(VALUE(LEFT(I4995,FIND(" ",I4995)-1)),""),"")</f>
        <v>112</v>
      </c>
      <c r="O4995" s="7" t="str">
        <f aca="false">IF(B4995="TV Show",IFERROR(VALUE(LEFT(I4995,FIND(" ",I4995)-1)),""),"")</f>
        <v/>
      </c>
      <c r="P4995" s="7" t="n">
        <f aca="false">IF(K4995="","",K4995-G4995)</f>
        <v>0</v>
      </c>
    </row>
    <row r="4996" customFormat="false" ht="15" hidden="false" customHeight="false" outlineLevel="0" collapsed="false">
      <c r="A4996" s="7" t="n">
        <v>81122206</v>
      </c>
      <c r="B4996" s="7" t="s">
        <v>78</v>
      </c>
      <c r="C4996" s="7" t="s">
        <v>10098</v>
      </c>
      <c r="D4996" s="7" t="s">
        <v>10099</v>
      </c>
      <c r="E4996" s="7" t="s">
        <v>970</v>
      </c>
      <c r="F4996" s="7" t="s">
        <v>10095</v>
      </c>
      <c r="G4996" s="7" t="n">
        <v>2019</v>
      </c>
      <c r="H4996" s="7" t="s">
        <v>48</v>
      </c>
      <c r="I4996" s="7" t="s">
        <v>82</v>
      </c>
      <c r="J4996" s="7" t="s">
        <v>208</v>
      </c>
      <c r="K4996" s="7" t="n">
        <f aca="false">IFERROR(VALUE(RIGHT(TRIM(F4996),4)),"")</f>
        <v>2019</v>
      </c>
      <c r="L4996" s="7" t="str">
        <f aca="false">IF(TRIM(E4996)="","Unknown",IFERROR(LEFT(TRIM(E4996),FIND(",",TRIM(E4996))-1),TRIM(E4996)))</f>
        <v>Taiwan</v>
      </c>
      <c r="M4996" s="7" t="str">
        <f aca="false">IFERROR(LEFT(J4996,FIND(",",J4996)-1),J4996)</f>
        <v>International TV Shows</v>
      </c>
      <c r="N4996" s="7" t="str">
        <f aca="false">IF(B4996="Movie",IFERROR(VALUE(LEFT(I4996,FIND(" ",I4996)-1)),""),"")</f>
        <v/>
      </c>
      <c r="O4996" s="7" t="n">
        <f aca="false">IF(B4996="TV Show",IFERROR(VALUE(LEFT(I4996,FIND(" ",I4996)-1)),""),"")</f>
        <v>1</v>
      </c>
      <c r="P4996" s="7" t="n">
        <f aca="false">IF(K4996="","",K4996-G4996)</f>
        <v>0</v>
      </c>
    </row>
    <row r="4997" customFormat="false" ht="15" hidden="false" customHeight="false" outlineLevel="0" collapsed="false">
      <c r="A4997" s="7" t="n">
        <v>81004321</v>
      </c>
      <c r="B4997" s="7" t="s">
        <v>68</v>
      </c>
      <c r="C4997" s="7" t="s">
        <v>10100</v>
      </c>
      <c r="D4997" s="7" t="s">
        <v>4592</v>
      </c>
      <c r="E4997" s="7" t="s">
        <v>325</v>
      </c>
      <c r="F4997" s="7" t="s">
        <v>10095</v>
      </c>
      <c r="G4997" s="7" t="n">
        <v>2019</v>
      </c>
      <c r="H4997" s="7" t="s">
        <v>48</v>
      </c>
      <c r="I4997" s="7" t="s">
        <v>628</v>
      </c>
      <c r="J4997" s="7" t="s">
        <v>45</v>
      </c>
      <c r="K4997" s="7" t="n">
        <f aca="false">IFERROR(VALUE(RIGHT(TRIM(F4997),4)),"")</f>
        <v>2019</v>
      </c>
      <c r="L4997" s="7" t="str">
        <f aca="false">IF(TRIM(E4997)="","Unknown",IFERROR(LEFT(TRIM(E4997),FIND(",",TRIM(E4997))-1),TRIM(E4997)))</f>
        <v>Brazil</v>
      </c>
      <c r="M4997" s="7" t="str">
        <f aca="false">IFERROR(LEFT(J4997,FIND(",",J4997)-1),J4997)</f>
        <v>Stand-Up Comedy</v>
      </c>
      <c r="N4997" s="7" t="n">
        <f aca="false">IF(B4997="Movie",IFERROR(VALUE(LEFT(I4997,FIND(" ",I4997)-1)),""),"")</f>
        <v>69</v>
      </c>
      <c r="O4997" s="7" t="str">
        <f aca="false">IF(B4997="TV Show",IFERROR(VALUE(LEFT(I4997,FIND(" ",I4997)-1)),""),"")</f>
        <v/>
      </c>
      <c r="P4997" s="7" t="n">
        <f aca="false">IF(K4997="","",K4997-G4997)</f>
        <v>0</v>
      </c>
    </row>
    <row r="4998" customFormat="false" ht="15" hidden="false" customHeight="false" outlineLevel="0" collapsed="false">
      <c r="A4998" s="7" t="n">
        <v>80209061</v>
      </c>
      <c r="B4998" s="7" t="s">
        <v>68</v>
      </c>
      <c r="C4998" s="7" t="s">
        <v>10101</v>
      </c>
      <c r="D4998" s="7" t="s">
        <v>10102</v>
      </c>
      <c r="E4998" s="7" t="s">
        <v>619</v>
      </c>
      <c r="F4998" s="7" t="s">
        <v>10103</v>
      </c>
      <c r="G4998" s="7" t="n">
        <v>2018</v>
      </c>
      <c r="H4998" s="7" t="s">
        <v>53</v>
      </c>
      <c r="I4998" s="7" t="s">
        <v>212</v>
      </c>
      <c r="J4998" s="7" t="s">
        <v>38</v>
      </c>
      <c r="K4998" s="7" t="n">
        <f aca="false">IFERROR(VALUE(RIGHT(TRIM(F4998),4)),"")</f>
        <v>2018</v>
      </c>
      <c r="L4998" s="7" t="str">
        <f aca="false">IF(TRIM(E4998)="","Unknown",IFERROR(LEFT(TRIM(E4998),FIND(",",TRIM(E4998))-1),TRIM(E4998)))</f>
        <v>Canada</v>
      </c>
      <c r="M4998" s="7" t="str">
        <f aca="false">IFERROR(LEFT(J4998,FIND(",",J4998)-1),J4998)</f>
        <v>Comedies</v>
      </c>
      <c r="N4998" s="7" t="n">
        <f aca="false">IF(B4998="Movie",IFERROR(VALUE(LEFT(I4998,FIND(" ",I4998)-1)),""),"")</f>
        <v>86</v>
      </c>
      <c r="O4998" s="7" t="str">
        <f aca="false">IF(B4998="TV Show",IFERROR(VALUE(LEFT(I4998,FIND(" ",I4998)-1)),""),"")</f>
        <v/>
      </c>
      <c r="P4998" s="7" t="n">
        <f aca="false">IF(K4998="","",K4998-G4998)</f>
        <v>0</v>
      </c>
    </row>
    <row r="4999" customFormat="false" ht="15" hidden="false" customHeight="false" outlineLevel="0" collapsed="false">
      <c r="A4999" s="7" t="n">
        <v>81002212</v>
      </c>
      <c r="B4999" s="7" t="s">
        <v>68</v>
      </c>
      <c r="C4999" s="7" t="s">
        <v>10104</v>
      </c>
      <c r="D4999" s="7" t="s">
        <v>10105</v>
      </c>
      <c r="E4999" s="7" t="s">
        <v>27</v>
      </c>
      <c r="F4999" s="7" t="s">
        <v>10103</v>
      </c>
      <c r="G4999" s="7" t="n">
        <v>2015</v>
      </c>
      <c r="H4999" s="7" t="s">
        <v>49</v>
      </c>
      <c r="I4999" s="7" t="s">
        <v>1707</v>
      </c>
      <c r="J4999" s="7" t="s">
        <v>3175</v>
      </c>
      <c r="K4999" s="7" t="n">
        <f aca="false">IFERROR(VALUE(RIGHT(TRIM(F4999),4)),"")</f>
        <v>2018</v>
      </c>
      <c r="L4999" s="7" t="str">
        <f aca="false">IF(TRIM(E4999)="","Unknown",IFERROR(LEFT(TRIM(E4999),FIND(",",TRIM(E4999))-1),TRIM(E4999)))</f>
        <v>India</v>
      </c>
      <c r="M4999" s="7" t="str">
        <f aca="false">IFERROR(LEFT(J4999,FIND(",",J4999)-1),J4999)</f>
        <v>Dramas</v>
      </c>
      <c r="N4999" s="7" t="n">
        <f aca="false">IF(B4999="Movie",IFERROR(VALUE(LEFT(I4999,FIND(" ",I4999)-1)),""),"")</f>
        <v>131</v>
      </c>
      <c r="O4999" s="7" t="str">
        <f aca="false">IF(B4999="TV Show",IFERROR(VALUE(LEFT(I4999,FIND(" ",I4999)-1)),""),"")</f>
        <v/>
      </c>
      <c r="P4999" s="7" t="n">
        <f aca="false">IF(K4999="","",K4999-G4999)</f>
        <v>3</v>
      </c>
    </row>
    <row r="5000" customFormat="false" ht="15" hidden="false" customHeight="false" outlineLevel="0" collapsed="false">
      <c r="A5000" s="7" t="n">
        <v>80176707</v>
      </c>
      <c r="B5000" s="7" t="s">
        <v>68</v>
      </c>
      <c r="C5000" s="7" t="s">
        <v>10106</v>
      </c>
      <c r="D5000" s="7" t="s">
        <v>10107</v>
      </c>
      <c r="E5000" s="7" t="s">
        <v>3581</v>
      </c>
      <c r="F5000" s="7" t="s">
        <v>10103</v>
      </c>
      <c r="G5000" s="7" t="n">
        <v>2015</v>
      </c>
      <c r="H5000" s="7" t="s">
        <v>48</v>
      </c>
      <c r="I5000" s="7" t="s">
        <v>820</v>
      </c>
      <c r="J5000" s="7" t="s">
        <v>198</v>
      </c>
      <c r="K5000" s="7" t="n">
        <f aca="false">IFERROR(VALUE(RIGHT(TRIM(F5000),4)),"")</f>
        <v>2018</v>
      </c>
      <c r="L5000" s="7" t="str">
        <f aca="false">IF(TRIM(E5000)="","Unknown",IFERROR(LEFT(TRIM(E5000),FIND(",",TRIM(E5000))-1),TRIM(E5000)))</f>
        <v>United States</v>
      </c>
      <c r="M5000" s="7" t="str">
        <f aca="false">IFERROR(LEFT(J5000,FIND(",",J5000)-1),J5000)</f>
        <v>Comedies</v>
      </c>
      <c r="N5000" s="7" t="n">
        <f aca="false">IF(B5000="Movie",IFERROR(VALUE(LEFT(I5000,FIND(" ",I5000)-1)),""),"")</f>
        <v>105</v>
      </c>
      <c r="O5000" s="7" t="str">
        <f aca="false">IF(B5000="TV Show",IFERROR(VALUE(LEFT(I5000,FIND(" ",I5000)-1)),""),"")</f>
        <v/>
      </c>
      <c r="P5000" s="7" t="n">
        <f aca="false">IF(K5000="","",K5000-G5000)</f>
        <v>3</v>
      </c>
    </row>
    <row r="5001" customFormat="false" ht="15" hidden="false" customHeight="false" outlineLevel="0" collapsed="false">
      <c r="A5001" s="7" t="n">
        <v>80199381</v>
      </c>
      <c r="B5001" s="7" t="s">
        <v>68</v>
      </c>
      <c r="C5001" s="7" t="s">
        <v>10108</v>
      </c>
      <c r="D5001" s="7" t="s">
        <v>10109</v>
      </c>
      <c r="E5001" s="7" t="s">
        <v>26</v>
      </c>
      <c r="F5001" s="7" t="s">
        <v>10103</v>
      </c>
      <c r="G5001" s="7" t="n">
        <v>2017</v>
      </c>
      <c r="H5001" s="7" t="s">
        <v>51</v>
      </c>
      <c r="I5001" s="7" t="s">
        <v>2192</v>
      </c>
      <c r="J5001" s="7" t="s">
        <v>37</v>
      </c>
      <c r="K5001" s="7" t="n">
        <f aca="false">IFERROR(VALUE(RIGHT(TRIM(F5001),4)),"")</f>
        <v>2018</v>
      </c>
      <c r="L5001" s="7" t="str">
        <f aca="false">IF(TRIM(E5001)="","Unknown",IFERROR(LEFT(TRIM(E5001),FIND(",",TRIM(E5001))-1),TRIM(E5001)))</f>
        <v>United States</v>
      </c>
      <c r="M5001" s="7" t="str">
        <f aca="false">IFERROR(LEFT(J5001,FIND(",",J5001)-1),J5001)</f>
        <v>Dramas</v>
      </c>
      <c r="N5001" s="7" t="n">
        <f aca="false">IF(B5001="Movie",IFERROR(VALUE(LEFT(I5001,FIND(" ",I5001)-1)),""),"")</f>
        <v>134</v>
      </c>
      <c r="O5001" s="7" t="str">
        <f aca="false">IF(B5001="TV Show",IFERROR(VALUE(LEFT(I5001,FIND(" ",I5001)-1)),""),"")</f>
        <v/>
      </c>
      <c r="P5001" s="7" t="n">
        <f aca="false">IF(K5001="","",K5001-G5001)</f>
        <v>1</v>
      </c>
    </row>
    <row r="5002" customFormat="false" ht="15" hidden="false" customHeight="false" outlineLevel="0" collapsed="false">
      <c r="A5002" s="7" t="n">
        <v>80202176</v>
      </c>
      <c r="B5002" s="7" t="s">
        <v>68</v>
      </c>
      <c r="C5002" s="7" t="s">
        <v>10110</v>
      </c>
      <c r="D5002" s="7" t="s">
        <v>7718</v>
      </c>
      <c r="E5002" s="7" t="s">
        <v>26</v>
      </c>
      <c r="F5002" s="7" t="s">
        <v>10103</v>
      </c>
      <c r="G5002" s="7" t="n">
        <v>2018</v>
      </c>
      <c r="H5002" s="7" t="s">
        <v>48</v>
      </c>
      <c r="I5002" s="7" t="s">
        <v>340</v>
      </c>
      <c r="J5002" s="7" t="s">
        <v>6622</v>
      </c>
      <c r="K5002" s="7" t="n">
        <f aca="false">IFERROR(VALUE(RIGHT(TRIM(F5002),4)),"")</f>
        <v>2018</v>
      </c>
      <c r="L5002" s="7" t="str">
        <f aca="false">IF(TRIM(E5002)="","Unknown",IFERROR(LEFT(TRIM(E5002),FIND(",",TRIM(E5002))-1),TRIM(E5002)))</f>
        <v>United States</v>
      </c>
      <c r="M5002" s="7" t="str">
        <f aca="false">IFERROR(LEFT(J5002,FIND(",",J5002)-1),J5002)</f>
        <v>Comedies</v>
      </c>
      <c r="N5002" s="7" t="n">
        <f aca="false">IF(B5002="Movie",IFERROR(VALUE(LEFT(I5002,FIND(" ",I5002)-1)),""),"")</f>
        <v>85</v>
      </c>
      <c r="O5002" s="7" t="str">
        <f aca="false">IF(B5002="TV Show",IFERROR(VALUE(LEFT(I5002,FIND(" ",I5002)-1)),""),"")</f>
        <v/>
      </c>
      <c r="P5002" s="7" t="n">
        <f aca="false">IF(K5002="","",K5002-G5002)</f>
        <v>0</v>
      </c>
    </row>
    <row r="5003" customFormat="false" ht="15" hidden="false" customHeight="false" outlineLevel="0" collapsed="false">
      <c r="A5003" s="7" t="n">
        <v>81014293</v>
      </c>
      <c r="B5003" s="7" t="s">
        <v>78</v>
      </c>
      <c r="C5003" s="7" t="s">
        <v>10111</v>
      </c>
      <c r="F5003" s="7" t="s">
        <v>10103</v>
      </c>
      <c r="G5003" s="7" t="n">
        <v>2018</v>
      </c>
      <c r="H5003" s="7" t="s">
        <v>48</v>
      </c>
      <c r="I5003" s="7" t="s">
        <v>82</v>
      </c>
      <c r="J5003" s="7" t="s">
        <v>792</v>
      </c>
      <c r="K5003" s="7" t="n">
        <f aca="false">IFERROR(VALUE(RIGHT(TRIM(F5003),4)),"")</f>
        <v>2018</v>
      </c>
      <c r="L5003" s="7" t="str">
        <f aca="false">IF(TRIM(E5003)="","Unknown",IFERROR(LEFT(TRIM(E5003),FIND(",",TRIM(E5003))-1),TRIM(E5003)))</f>
        <v>Unknown</v>
      </c>
      <c r="M5003" s="7" t="str">
        <f aca="false">IFERROR(LEFT(J5003,FIND(",",J5003)-1),J5003)</f>
        <v>Docuseries</v>
      </c>
      <c r="N5003" s="7" t="str">
        <f aca="false">IF(B5003="Movie",IFERROR(VALUE(LEFT(I5003,FIND(" ",I5003)-1)),""),"")</f>
        <v/>
      </c>
      <c r="O5003" s="7" t="n">
        <f aca="false">IF(B5003="TV Show",IFERROR(VALUE(LEFT(I5003,FIND(" ",I5003)-1)),""),"")</f>
        <v>1</v>
      </c>
      <c r="P5003" s="7" t="n">
        <f aca="false">IF(K5003="","",K5003-G5003)</f>
        <v>0</v>
      </c>
    </row>
    <row r="5004" customFormat="false" ht="15" hidden="false" customHeight="false" outlineLevel="0" collapsed="false">
      <c r="A5004" s="7" t="n">
        <v>81014811</v>
      </c>
      <c r="B5004" s="7" t="s">
        <v>78</v>
      </c>
      <c r="C5004" s="7" t="s">
        <v>10112</v>
      </c>
      <c r="F5004" s="7" t="s">
        <v>10103</v>
      </c>
      <c r="G5004" s="7" t="n">
        <v>2017</v>
      </c>
      <c r="H5004" s="7" t="s">
        <v>53</v>
      </c>
      <c r="I5004" s="7" t="s">
        <v>82</v>
      </c>
      <c r="J5004" s="7" t="s">
        <v>773</v>
      </c>
      <c r="K5004" s="7" t="n">
        <f aca="false">IFERROR(VALUE(RIGHT(TRIM(F5004),4)),"")</f>
        <v>2018</v>
      </c>
      <c r="L5004" s="7" t="str">
        <f aca="false">IF(TRIM(E5004)="","Unknown",IFERROR(LEFT(TRIM(E5004),FIND(",",TRIM(E5004))-1),TRIM(E5004)))</f>
        <v>Unknown</v>
      </c>
      <c r="M5004" s="7" t="str">
        <f aca="false">IFERROR(LEFT(J5004,FIND(",",J5004)-1),J5004)</f>
        <v>Docuseries</v>
      </c>
      <c r="N5004" s="7" t="str">
        <f aca="false">IF(B5004="Movie",IFERROR(VALUE(LEFT(I5004,FIND(" ",I5004)-1)),""),"")</f>
        <v/>
      </c>
      <c r="O5004" s="7" t="n">
        <f aca="false">IF(B5004="TV Show",IFERROR(VALUE(LEFT(I5004,FIND(" ",I5004)-1)),""),"")</f>
        <v>1</v>
      </c>
      <c r="P5004" s="7" t="n">
        <f aca="false">IF(K5004="","",K5004-G5004)</f>
        <v>1</v>
      </c>
    </row>
    <row r="5005" customFormat="false" ht="15" hidden="false" customHeight="false" outlineLevel="0" collapsed="false">
      <c r="A5005" s="7" t="n">
        <v>70123118</v>
      </c>
      <c r="B5005" s="7" t="s">
        <v>68</v>
      </c>
      <c r="C5005" s="7" t="s">
        <v>10113</v>
      </c>
      <c r="D5005" s="7" t="s">
        <v>2154</v>
      </c>
      <c r="E5005" s="7" t="s">
        <v>27</v>
      </c>
      <c r="F5005" s="7" t="s">
        <v>10103</v>
      </c>
      <c r="G5005" s="7" t="n">
        <v>2009</v>
      </c>
      <c r="H5005" s="7" t="s">
        <v>50</v>
      </c>
      <c r="I5005" s="7" t="s">
        <v>10114</v>
      </c>
      <c r="J5005" s="7" t="s">
        <v>457</v>
      </c>
      <c r="K5005" s="7" t="n">
        <f aca="false">IFERROR(VALUE(RIGHT(TRIM(F5005),4)),"")</f>
        <v>2018</v>
      </c>
      <c r="L5005" s="7" t="str">
        <f aca="false">IF(TRIM(E5005)="","Unknown",IFERROR(LEFT(TRIM(E5005),FIND(",",TRIM(E5005))-1),TRIM(E5005)))</f>
        <v>India</v>
      </c>
      <c r="M5005" s="7" t="str">
        <f aca="false">IFERROR(LEFT(J5005,FIND(",",J5005)-1),J5005)</f>
        <v>Comedies</v>
      </c>
      <c r="N5005" s="7" t="n">
        <f aca="false">IF(B5005="Movie",IFERROR(VALUE(LEFT(I5005,FIND(" ",I5005)-1)),""),"")</f>
        <v>203</v>
      </c>
      <c r="O5005" s="7" t="str">
        <f aca="false">IF(B5005="TV Show",IFERROR(VALUE(LEFT(I5005,FIND(" ",I5005)-1)),""),"")</f>
        <v/>
      </c>
      <c r="P5005" s="7" t="n">
        <f aca="false">IF(K5005="","",K5005-G5005)</f>
        <v>9</v>
      </c>
    </row>
    <row r="5006" customFormat="false" ht="15" hidden="false" customHeight="false" outlineLevel="0" collapsed="false">
      <c r="A5006" s="7" t="n">
        <v>80175913</v>
      </c>
      <c r="B5006" s="7" t="s">
        <v>78</v>
      </c>
      <c r="C5006" s="7" t="s">
        <v>10115</v>
      </c>
      <c r="E5006" s="7" t="s">
        <v>396</v>
      </c>
      <c r="F5006" s="7" t="s">
        <v>10116</v>
      </c>
      <c r="G5006" s="7" t="n">
        <v>2013</v>
      </c>
      <c r="H5006" s="7" t="s">
        <v>48</v>
      </c>
      <c r="I5006" s="7" t="s">
        <v>82</v>
      </c>
      <c r="J5006" s="7" t="s">
        <v>402</v>
      </c>
      <c r="K5006" s="7" t="n">
        <f aca="false">IFERROR(VALUE(RIGHT(TRIM(F5006),4)),"")</f>
        <v>2017</v>
      </c>
      <c r="L5006" s="7" t="str">
        <f aca="false">IF(TRIM(E5006)="","Unknown",IFERROR(LEFT(TRIM(E5006),FIND(",",TRIM(E5006))-1),TRIM(E5006)))</f>
        <v>Turkey</v>
      </c>
      <c r="M5006" s="7" t="str">
        <f aca="false">IFERROR(LEFT(J5006,FIND(",",J5006)-1),J5006)</f>
        <v>Crime TV Shows</v>
      </c>
      <c r="N5006" s="7" t="str">
        <f aca="false">IF(B5006="Movie",IFERROR(VALUE(LEFT(I5006,FIND(" ",I5006)-1)),""),"")</f>
        <v/>
      </c>
      <c r="O5006" s="7" t="n">
        <f aca="false">IF(B5006="TV Show",IFERROR(VALUE(LEFT(I5006,FIND(" ",I5006)-1)),""),"")</f>
        <v>1</v>
      </c>
      <c r="P5006" s="7" t="n">
        <f aca="false">IF(K5006="","",K5006-G5006)</f>
        <v>4</v>
      </c>
    </row>
    <row r="5007" customFormat="false" ht="15" hidden="false" customHeight="false" outlineLevel="0" collapsed="false">
      <c r="A5007" s="7" t="n">
        <v>80182274</v>
      </c>
      <c r="B5007" s="7" t="s">
        <v>68</v>
      </c>
      <c r="C5007" s="7" t="s">
        <v>10117</v>
      </c>
      <c r="D5007" s="7" t="s">
        <v>10118</v>
      </c>
      <c r="E5007" s="7" t="s">
        <v>10119</v>
      </c>
      <c r="F5007" s="7" t="s">
        <v>10116</v>
      </c>
      <c r="G5007" s="7" t="n">
        <v>2017</v>
      </c>
      <c r="H5007" s="7" t="s">
        <v>48</v>
      </c>
      <c r="I5007" s="7" t="s">
        <v>512</v>
      </c>
      <c r="J5007" s="7" t="s">
        <v>341</v>
      </c>
      <c r="K5007" s="7" t="n">
        <f aca="false">IFERROR(VALUE(RIGHT(TRIM(F5007),4)),"")</f>
        <v>2017</v>
      </c>
      <c r="L5007" s="7" t="str">
        <f aca="false">IF(TRIM(E5007)="","Unknown",IFERROR(LEFT(TRIM(E5007),FIND(",",TRIM(E5007))-1),TRIM(E5007)))</f>
        <v>Australia</v>
      </c>
      <c r="M5007" s="7" t="str">
        <f aca="false">IFERROR(LEFT(J5007,FIND(",",J5007)-1),J5007)</f>
        <v>Documentaries</v>
      </c>
      <c r="N5007" s="7" t="n">
        <f aca="false">IF(B5007="Movie",IFERROR(VALUE(LEFT(I5007,FIND(" ",I5007)-1)),""),"")</f>
        <v>101</v>
      </c>
      <c r="O5007" s="7" t="str">
        <f aca="false">IF(B5007="TV Show",IFERROR(VALUE(LEFT(I5007,FIND(" ",I5007)-1)),""),"")</f>
        <v/>
      </c>
      <c r="P5007" s="7" t="n">
        <f aca="false">IF(K5007="","",K5007-G5007)</f>
        <v>0</v>
      </c>
    </row>
    <row r="5008" customFormat="false" ht="15" hidden="false" customHeight="false" outlineLevel="0" collapsed="false">
      <c r="A5008" s="7" t="n">
        <v>80185166</v>
      </c>
      <c r="B5008" s="7" t="s">
        <v>68</v>
      </c>
      <c r="C5008" s="7" t="s">
        <v>10120</v>
      </c>
      <c r="D5008" s="7" t="s">
        <v>1151</v>
      </c>
      <c r="E5008" s="7" t="s">
        <v>26</v>
      </c>
      <c r="F5008" s="7" t="s">
        <v>10116</v>
      </c>
      <c r="G5008" s="7" t="n">
        <v>2017</v>
      </c>
      <c r="H5008" s="7" t="s">
        <v>48</v>
      </c>
      <c r="I5008" s="7" t="s">
        <v>551</v>
      </c>
      <c r="J5008" s="7" t="s">
        <v>45</v>
      </c>
      <c r="K5008" s="7" t="n">
        <f aca="false">IFERROR(VALUE(RIGHT(TRIM(F5008),4)),"")</f>
        <v>2017</v>
      </c>
      <c r="L5008" s="7" t="str">
        <f aca="false">IF(TRIM(E5008)="","Unknown",IFERROR(LEFT(TRIM(E5008),FIND(",",TRIM(E5008))-1),TRIM(E5008)))</f>
        <v>United States</v>
      </c>
      <c r="M5008" s="7" t="str">
        <f aca="false">IFERROR(LEFT(J5008,FIND(",",J5008)-1),J5008)</f>
        <v>Stand-Up Comedy</v>
      </c>
      <c r="N5008" s="7" t="n">
        <f aca="false">IF(B5008="Movie",IFERROR(VALUE(LEFT(I5008,FIND(" ",I5008)-1)),""),"")</f>
        <v>63</v>
      </c>
      <c r="O5008" s="7" t="str">
        <f aca="false">IF(B5008="TV Show",IFERROR(VALUE(LEFT(I5008,FIND(" ",I5008)-1)),""),"")</f>
        <v/>
      </c>
      <c r="P5008" s="7" t="n">
        <f aca="false">IF(K5008="","",K5008-G5008)</f>
        <v>0</v>
      </c>
    </row>
    <row r="5009" customFormat="false" ht="15" hidden="false" customHeight="false" outlineLevel="0" collapsed="false">
      <c r="A5009" s="7" t="n">
        <v>80068219</v>
      </c>
      <c r="B5009" s="7" t="s">
        <v>68</v>
      </c>
      <c r="C5009" s="7" t="s">
        <v>10121</v>
      </c>
      <c r="D5009" s="7" t="s">
        <v>1151</v>
      </c>
      <c r="E5009" s="7" t="s">
        <v>26</v>
      </c>
      <c r="F5009" s="7" t="s">
        <v>10116</v>
      </c>
      <c r="G5009" s="7" t="n">
        <v>2015</v>
      </c>
      <c r="H5009" s="7" t="s">
        <v>48</v>
      </c>
      <c r="I5009" s="7" t="s">
        <v>1599</v>
      </c>
      <c r="J5009" s="7" t="s">
        <v>45</v>
      </c>
      <c r="K5009" s="7" t="n">
        <f aca="false">IFERROR(VALUE(RIGHT(TRIM(F5009),4)),"")</f>
        <v>2017</v>
      </c>
      <c r="L5009" s="7" t="str">
        <f aca="false">IF(TRIM(E5009)="","Unknown",IFERROR(LEFT(TRIM(E5009),FIND(",",TRIM(E5009))-1),TRIM(E5009)))</f>
        <v>United States</v>
      </c>
      <c r="M5009" s="7" t="str">
        <f aca="false">IFERROR(LEFT(J5009,FIND(",",J5009)-1),J5009)</f>
        <v>Stand-Up Comedy</v>
      </c>
      <c r="N5009" s="7" t="n">
        <f aca="false">IF(B5009="Movie",IFERROR(VALUE(LEFT(I5009,FIND(" ",I5009)-1)),""),"")</f>
        <v>56</v>
      </c>
      <c r="O5009" s="7" t="str">
        <f aca="false">IF(B5009="TV Show",IFERROR(VALUE(LEFT(I5009,FIND(" ",I5009)-1)),""),"")</f>
        <v/>
      </c>
      <c r="P5009" s="7" t="n">
        <f aca="false">IF(K5009="","",K5009-G5009)</f>
        <v>2</v>
      </c>
    </row>
    <row r="5010" customFormat="false" ht="15" hidden="false" customHeight="false" outlineLevel="0" collapsed="false">
      <c r="A5010" s="7" t="n">
        <v>70209163</v>
      </c>
      <c r="B5010" s="7" t="s">
        <v>68</v>
      </c>
      <c r="C5010" s="7" t="s">
        <v>10122</v>
      </c>
      <c r="D5010" s="7" t="s">
        <v>3912</v>
      </c>
      <c r="E5010" s="7" t="s">
        <v>230</v>
      </c>
      <c r="F5010" s="7" t="s">
        <v>10116</v>
      </c>
      <c r="G5010" s="7" t="n">
        <v>2011</v>
      </c>
      <c r="H5010" s="7" t="s">
        <v>51</v>
      </c>
      <c r="I5010" s="7" t="s">
        <v>311</v>
      </c>
      <c r="J5010" s="7" t="s">
        <v>2782</v>
      </c>
      <c r="K5010" s="7" t="n">
        <f aca="false">IFERROR(VALUE(RIGHT(TRIM(F5010),4)),"")</f>
        <v>2017</v>
      </c>
      <c r="L5010" s="7" t="str">
        <f aca="false">IF(TRIM(E5010)="","Unknown",IFERROR(LEFT(TRIM(E5010),FIND(",",TRIM(E5010))-1),TRIM(E5010)))</f>
        <v>United States</v>
      </c>
      <c r="M5010" s="7" t="str">
        <f aca="false">IFERROR(LEFT(J5010,FIND(",",J5010)-1),J5010)</f>
        <v>Comedies</v>
      </c>
      <c r="N5010" s="7" t="n">
        <f aca="false">IF(B5010="Movie",IFERROR(VALUE(LEFT(I5010,FIND(" ",I5010)-1)),""),"")</f>
        <v>92</v>
      </c>
      <c r="O5010" s="7" t="str">
        <f aca="false">IF(B5010="TV Show",IFERROR(VALUE(LEFT(I5010,FIND(" ",I5010)-1)),""),"")</f>
        <v/>
      </c>
      <c r="P5010" s="7" t="n">
        <f aca="false">IF(K5010="","",K5010-G5010)</f>
        <v>6</v>
      </c>
    </row>
    <row r="5011" customFormat="false" ht="15" hidden="false" customHeight="false" outlineLevel="0" collapsed="false">
      <c r="A5011" s="7" t="n">
        <v>80170687</v>
      </c>
      <c r="B5011" s="7" t="s">
        <v>78</v>
      </c>
      <c r="C5011" s="7" t="s">
        <v>10123</v>
      </c>
      <c r="E5011" s="7" t="s">
        <v>30</v>
      </c>
      <c r="F5011" s="7" t="s">
        <v>10116</v>
      </c>
      <c r="G5011" s="7" t="n">
        <v>2017</v>
      </c>
      <c r="H5011" s="7" t="s">
        <v>48</v>
      </c>
      <c r="I5011" s="7" t="s">
        <v>82</v>
      </c>
      <c r="J5011" s="7" t="s">
        <v>402</v>
      </c>
      <c r="K5011" s="7" t="n">
        <f aca="false">IFERROR(VALUE(RIGHT(TRIM(F5011),4)),"")</f>
        <v>2017</v>
      </c>
      <c r="L5011" s="7" t="str">
        <f aca="false">IF(TRIM(E5011)="","Unknown",IFERROR(LEFT(TRIM(E5011),FIND(",",TRIM(E5011))-1),TRIM(E5011)))</f>
        <v>Japan</v>
      </c>
      <c r="M5011" s="7" t="str">
        <f aca="false">IFERROR(LEFT(J5011,FIND(",",J5011)-1),J5011)</f>
        <v>Crime TV Shows</v>
      </c>
      <c r="N5011" s="7" t="str">
        <f aca="false">IF(B5011="Movie",IFERROR(VALUE(LEFT(I5011,FIND(" ",I5011)-1)),""),"")</f>
        <v/>
      </c>
      <c r="O5011" s="7" t="n">
        <f aca="false">IF(B5011="TV Show",IFERROR(VALUE(LEFT(I5011,FIND(" ",I5011)-1)),""),"")</f>
        <v>1</v>
      </c>
      <c r="P5011" s="7" t="n">
        <f aca="false">IF(K5011="","",K5011-G5011)</f>
        <v>0</v>
      </c>
    </row>
    <row r="5012" customFormat="false" ht="15" hidden="false" customHeight="false" outlineLevel="0" collapsed="false">
      <c r="A5012" s="7" t="n">
        <v>80163191</v>
      </c>
      <c r="B5012" s="7" t="s">
        <v>68</v>
      </c>
      <c r="C5012" s="7" t="s">
        <v>10124</v>
      </c>
      <c r="D5012" s="7" t="s">
        <v>10125</v>
      </c>
      <c r="E5012" s="7" t="s">
        <v>29</v>
      </c>
      <c r="F5012" s="7" t="s">
        <v>10116</v>
      </c>
      <c r="G5012" s="7" t="n">
        <v>2015</v>
      </c>
      <c r="H5012" s="7" t="s">
        <v>48</v>
      </c>
      <c r="I5012" s="7" t="s">
        <v>470</v>
      </c>
      <c r="J5012" s="7" t="s">
        <v>177</v>
      </c>
      <c r="K5012" s="7" t="n">
        <f aca="false">IFERROR(VALUE(RIGHT(TRIM(F5012),4)),"")</f>
        <v>2017</v>
      </c>
      <c r="L5012" s="7" t="str">
        <f aca="false">IF(TRIM(E5012)="","Unknown",IFERROR(LEFT(TRIM(E5012),FIND(",",TRIM(E5012))-1),TRIM(E5012)))</f>
        <v>Canada</v>
      </c>
      <c r="M5012" s="7" t="str">
        <f aca="false">IFERROR(LEFT(J5012,FIND(",",J5012)-1),J5012)</f>
        <v>Comedies</v>
      </c>
      <c r="N5012" s="7" t="n">
        <f aca="false">IF(B5012="Movie",IFERROR(VALUE(LEFT(I5012,FIND(" ",I5012)-1)),""),"")</f>
        <v>91</v>
      </c>
      <c r="O5012" s="7" t="str">
        <f aca="false">IF(B5012="TV Show",IFERROR(VALUE(LEFT(I5012,FIND(" ",I5012)-1)),""),"")</f>
        <v/>
      </c>
      <c r="P5012" s="7" t="n">
        <f aca="false">IF(K5012="","",K5012-G5012)</f>
        <v>2</v>
      </c>
    </row>
    <row r="5013" customFormat="false" ht="15" hidden="false" customHeight="false" outlineLevel="0" collapsed="false">
      <c r="A5013" s="7" t="n">
        <v>80184661</v>
      </c>
      <c r="B5013" s="7" t="s">
        <v>68</v>
      </c>
      <c r="C5013" s="7" t="s">
        <v>10126</v>
      </c>
      <c r="D5013" s="7" t="s">
        <v>945</v>
      </c>
      <c r="E5013" s="7" t="s">
        <v>10127</v>
      </c>
      <c r="F5013" s="7" t="s">
        <v>10116</v>
      </c>
      <c r="G5013" s="7" t="n">
        <v>2015</v>
      </c>
      <c r="H5013" s="7" t="s">
        <v>48</v>
      </c>
      <c r="I5013" s="7" t="s">
        <v>77</v>
      </c>
      <c r="J5013" s="7" t="s">
        <v>198</v>
      </c>
      <c r="K5013" s="7" t="n">
        <f aca="false">IFERROR(VALUE(RIGHT(TRIM(F5013),4)),"")</f>
        <v>2017</v>
      </c>
      <c r="L5013" s="7" t="str">
        <f aca="false">IF(TRIM(E5013)="","Unknown",IFERROR(LEFT(TRIM(E5013),FIND(",",TRIM(E5013))-1),TRIM(E5013)))</f>
        <v>United States</v>
      </c>
      <c r="M5013" s="7" t="str">
        <f aca="false">IFERROR(LEFT(J5013,FIND(",",J5013)-1),J5013)</f>
        <v>Comedies</v>
      </c>
      <c r="N5013" s="7" t="n">
        <f aca="false">IF(B5013="Movie",IFERROR(VALUE(LEFT(I5013,FIND(" ",I5013)-1)),""),"")</f>
        <v>94</v>
      </c>
      <c r="O5013" s="7" t="str">
        <f aca="false">IF(B5013="TV Show",IFERROR(VALUE(LEFT(I5013,FIND(" ",I5013)-1)),""),"")</f>
        <v/>
      </c>
      <c r="P5013" s="7" t="n">
        <f aca="false">IF(K5013="","",K5013-G5013)</f>
        <v>2</v>
      </c>
    </row>
    <row r="5014" customFormat="false" ht="15" hidden="false" customHeight="false" outlineLevel="0" collapsed="false">
      <c r="A5014" s="7" t="n">
        <v>80114588</v>
      </c>
      <c r="B5014" s="7" t="s">
        <v>78</v>
      </c>
      <c r="C5014" s="7" t="s">
        <v>10128</v>
      </c>
      <c r="E5014" s="7" t="s">
        <v>26</v>
      </c>
      <c r="F5014" s="7" t="s">
        <v>10129</v>
      </c>
      <c r="G5014" s="7" t="n">
        <v>2001</v>
      </c>
      <c r="H5014" s="7" t="s">
        <v>49</v>
      </c>
      <c r="I5014" s="7" t="s">
        <v>82</v>
      </c>
      <c r="J5014" s="7" t="s">
        <v>1122</v>
      </c>
      <c r="K5014" s="7" t="n">
        <f aca="false">IFERROR(VALUE(RIGHT(TRIM(F5014),4)),"")</f>
        <v>2016</v>
      </c>
      <c r="L5014" s="7" t="str">
        <f aca="false">IF(TRIM(E5014)="","Unknown",IFERROR(LEFT(TRIM(E5014),FIND(",",TRIM(E5014))-1),TRIM(E5014)))</f>
        <v>United States</v>
      </c>
      <c r="M5014" s="7" t="str">
        <f aca="false">IFERROR(LEFT(J5014,FIND(",",J5014)-1),J5014)</f>
        <v>British TV Shows</v>
      </c>
      <c r="N5014" s="7" t="str">
        <f aca="false">IF(B5014="Movie",IFERROR(VALUE(LEFT(I5014,FIND(" ",I5014)-1)),""),"")</f>
        <v/>
      </c>
      <c r="O5014" s="7" t="n">
        <f aca="false">IF(B5014="TV Show",IFERROR(VALUE(LEFT(I5014,FIND(" ",I5014)-1)),""),"")</f>
        <v>1</v>
      </c>
      <c r="P5014" s="7" t="n">
        <f aca="false">IF(K5014="","",K5014-G5014)</f>
        <v>15</v>
      </c>
    </row>
    <row r="5015" customFormat="false" ht="15" hidden="false" customHeight="false" outlineLevel="0" collapsed="false">
      <c r="A5015" s="7" t="n">
        <v>80078761</v>
      </c>
      <c r="B5015" s="7" t="s">
        <v>68</v>
      </c>
      <c r="C5015" s="7" t="s">
        <v>10130</v>
      </c>
      <c r="D5015" s="7" t="s">
        <v>10131</v>
      </c>
      <c r="E5015" s="7" t="s">
        <v>28</v>
      </c>
      <c r="F5015" s="7" t="s">
        <v>10129</v>
      </c>
      <c r="G5015" s="7" t="n">
        <v>2015</v>
      </c>
      <c r="H5015" s="7" t="s">
        <v>49</v>
      </c>
      <c r="I5015" s="7" t="s">
        <v>87</v>
      </c>
      <c r="J5015" s="7" t="s">
        <v>974</v>
      </c>
      <c r="K5015" s="7" t="n">
        <f aca="false">IFERROR(VALUE(RIGHT(TRIM(F5015),4)),"")</f>
        <v>2016</v>
      </c>
      <c r="L5015" s="7" t="str">
        <f aca="false">IF(TRIM(E5015)="","Unknown",IFERROR(LEFT(TRIM(E5015),FIND(",",TRIM(E5015))-1),TRIM(E5015)))</f>
        <v>United Kingdom</v>
      </c>
      <c r="M5015" s="7" t="str">
        <f aca="false">IFERROR(LEFT(J5015,FIND(",",J5015)-1),J5015)</f>
        <v>Documentaries</v>
      </c>
      <c r="N5015" s="7" t="n">
        <f aca="false">IF(B5015="Movie",IFERROR(VALUE(LEFT(I5015,FIND(" ",I5015)-1)),""),"")</f>
        <v>99</v>
      </c>
      <c r="O5015" s="7" t="str">
        <f aca="false">IF(B5015="TV Show",IFERROR(VALUE(LEFT(I5015,FIND(" ",I5015)-1)),""),"")</f>
        <v/>
      </c>
      <c r="P5015" s="7" t="n">
        <f aca="false">IF(K5015="","",K5015-G5015)</f>
        <v>1</v>
      </c>
    </row>
    <row r="5016" customFormat="false" ht="15" hidden="false" customHeight="false" outlineLevel="0" collapsed="false">
      <c r="A5016" s="7" t="n">
        <v>80115844</v>
      </c>
      <c r="B5016" s="7" t="s">
        <v>68</v>
      </c>
      <c r="C5016" s="7" t="s">
        <v>10132</v>
      </c>
      <c r="D5016" s="7" t="s">
        <v>10133</v>
      </c>
      <c r="E5016" s="7" t="s">
        <v>27</v>
      </c>
      <c r="F5016" s="7" t="s">
        <v>10129</v>
      </c>
      <c r="G5016" s="7" t="n">
        <v>2005</v>
      </c>
      <c r="H5016" s="7" t="s">
        <v>49</v>
      </c>
      <c r="I5016" s="7" t="s">
        <v>143</v>
      </c>
      <c r="J5016" s="7" t="s">
        <v>341</v>
      </c>
      <c r="K5016" s="7" t="n">
        <f aca="false">IFERROR(VALUE(RIGHT(TRIM(F5016),4)),"")</f>
        <v>2016</v>
      </c>
      <c r="L5016" s="7" t="str">
        <f aca="false">IF(TRIM(E5016)="","Unknown",IFERROR(LEFT(TRIM(E5016),FIND(",",TRIM(E5016))-1),TRIM(E5016)))</f>
        <v>India</v>
      </c>
      <c r="M5016" s="7" t="str">
        <f aca="false">IFERROR(LEFT(J5016,FIND(",",J5016)-1),J5016)</f>
        <v>Documentaries</v>
      </c>
      <c r="N5016" s="7" t="n">
        <f aca="false">IF(B5016="Movie",IFERROR(VALUE(LEFT(I5016,FIND(" ",I5016)-1)),""),"")</f>
        <v>79</v>
      </c>
      <c r="O5016" s="7" t="str">
        <f aca="false">IF(B5016="TV Show",IFERROR(VALUE(LEFT(I5016,FIND(" ",I5016)-1)),""),"")</f>
        <v/>
      </c>
      <c r="P5016" s="7" t="n">
        <f aca="false">IF(K5016="","",K5016-G5016)</f>
        <v>11</v>
      </c>
    </row>
    <row r="5017" customFormat="false" ht="15" hidden="false" customHeight="false" outlineLevel="0" collapsed="false">
      <c r="A5017" s="7" t="n">
        <v>80114111</v>
      </c>
      <c r="B5017" s="7" t="s">
        <v>68</v>
      </c>
      <c r="C5017" s="7" t="s">
        <v>10134</v>
      </c>
      <c r="D5017" s="7" t="s">
        <v>684</v>
      </c>
      <c r="E5017" s="7" t="s">
        <v>26</v>
      </c>
      <c r="F5017" s="7" t="s">
        <v>10129</v>
      </c>
      <c r="G5017" s="7" t="n">
        <v>2015</v>
      </c>
      <c r="I5017" s="7" t="s">
        <v>1317</v>
      </c>
      <c r="J5017" s="7" t="s">
        <v>10</v>
      </c>
      <c r="K5017" s="7" t="n">
        <f aca="false">IFERROR(VALUE(RIGHT(TRIM(F5017),4)),"")</f>
        <v>2016</v>
      </c>
      <c r="L5017" s="7" t="str">
        <f aca="false">IF(TRIM(E5017)="","Unknown",IFERROR(LEFT(TRIM(E5017),FIND(",",TRIM(E5017))-1),TRIM(E5017)))</f>
        <v>United States</v>
      </c>
      <c r="M5017" s="7" t="str">
        <f aca="false">IFERROR(LEFT(J5017,FIND(",",J5017)-1),J5017)</f>
        <v>Movies</v>
      </c>
      <c r="N5017" s="7" t="n">
        <f aca="false">IF(B5017="Movie",IFERROR(VALUE(LEFT(I5017,FIND(" ",I5017)-1)),""),"")</f>
        <v>66</v>
      </c>
      <c r="O5017" s="7" t="str">
        <f aca="false">IF(B5017="TV Show",IFERROR(VALUE(LEFT(I5017,FIND(" ",I5017)-1)),""),"")</f>
        <v/>
      </c>
      <c r="P5017" s="7" t="n">
        <f aca="false">IF(K5017="","",K5017-G5017)</f>
        <v>1</v>
      </c>
    </row>
    <row r="5018" customFormat="false" ht="15" hidden="false" customHeight="false" outlineLevel="0" collapsed="false">
      <c r="A5018" s="7" t="n">
        <v>80108998</v>
      </c>
      <c r="B5018" s="7" t="s">
        <v>68</v>
      </c>
      <c r="C5018" s="7" t="s">
        <v>10135</v>
      </c>
      <c r="E5018" s="7" t="s">
        <v>28</v>
      </c>
      <c r="F5018" s="7" t="s">
        <v>10129</v>
      </c>
      <c r="G5018" s="7" t="n">
        <v>2010</v>
      </c>
      <c r="H5018" s="7" t="s">
        <v>49</v>
      </c>
      <c r="I5018" s="7" t="s">
        <v>1175</v>
      </c>
      <c r="J5018" s="7" t="s">
        <v>39</v>
      </c>
      <c r="K5018" s="7" t="n">
        <f aca="false">IFERROR(VALUE(RIGHT(TRIM(F5018),4)),"")</f>
        <v>2016</v>
      </c>
      <c r="L5018" s="7" t="str">
        <f aca="false">IF(TRIM(E5018)="","Unknown",IFERROR(LEFT(TRIM(E5018),FIND(",",TRIM(E5018))-1),TRIM(E5018)))</f>
        <v>United Kingdom</v>
      </c>
      <c r="M5018" s="7" t="str">
        <f aca="false">IFERROR(LEFT(J5018,FIND(",",J5018)-1),J5018)</f>
        <v>Documentaries</v>
      </c>
      <c r="N5018" s="7" t="n">
        <f aca="false">IF(B5018="Movie",IFERROR(VALUE(LEFT(I5018,FIND(" ",I5018)-1)),""),"")</f>
        <v>46</v>
      </c>
      <c r="O5018" s="7" t="str">
        <f aca="false">IF(B5018="TV Show",IFERROR(VALUE(LEFT(I5018,FIND(" ",I5018)-1)),""),"")</f>
        <v/>
      </c>
      <c r="P5018" s="7" t="n">
        <f aca="false">IF(K5018="","",K5018-G5018)</f>
        <v>6</v>
      </c>
    </row>
    <row r="5019" customFormat="false" ht="15" hidden="false" customHeight="false" outlineLevel="0" collapsed="false">
      <c r="A5019" s="7" t="n">
        <v>70308278</v>
      </c>
      <c r="B5019" s="7" t="s">
        <v>68</v>
      </c>
      <c r="C5019" s="7" t="s">
        <v>10136</v>
      </c>
      <c r="D5019" s="7" t="s">
        <v>10137</v>
      </c>
      <c r="E5019" s="7" t="s">
        <v>10138</v>
      </c>
      <c r="F5019" s="7" t="s">
        <v>10139</v>
      </c>
      <c r="G5019" s="7" t="n">
        <v>2014</v>
      </c>
      <c r="H5019" s="7" t="s">
        <v>55</v>
      </c>
      <c r="I5019" s="7" t="s">
        <v>77</v>
      </c>
      <c r="J5019" s="7" t="s">
        <v>39</v>
      </c>
      <c r="K5019" s="7" t="n">
        <f aca="false">IFERROR(VALUE(RIGHT(TRIM(F5019),4)),"")</f>
        <v>2014</v>
      </c>
      <c r="L5019" s="7" t="str">
        <f aca="false">IF(TRIM(E5019)="","Unknown",IFERROR(LEFT(TRIM(E5019),FIND(",",TRIM(E5019))-1),TRIM(E5019)))</f>
        <v>United States</v>
      </c>
      <c r="M5019" s="7" t="str">
        <f aca="false">IFERROR(LEFT(J5019,FIND(",",J5019)-1),J5019)</f>
        <v>Documentaries</v>
      </c>
      <c r="N5019" s="7" t="n">
        <f aca="false">IF(B5019="Movie",IFERROR(VALUE(LEFT(I5019,FIND(" ",I5019)-1)),""),"")</f>
        <v>94</v>
      </c>
      <c r="O5019" s="7" t="str">
        <f aca="false">IF(B5019="TV Show",IFERROR(VALUE(LEFT(I5019,FIND(" ",I5019)-1)),""),"")</f>
        <v/>
      </c>
      <c r="P5019" s="7" t="n">
        <f aca="false">IF(K5019="","",K5019-G5019)</f>
        <v>0</v>
      </c>
    </row>
    <row r="5020" customFormat="false" ht="15" hidden="false" customHeight="false" outlineLevel="0" collapsed="false">
      <c r="A5020" s="7" t="n">
        <v>80223113</v>
      </c>
      <c r="B5020" s="7" t="s">
        <v>78</v>
      </c>
      <c r="C5020" s="7" t="s">
        <v>10140</v>
      </c>
      <c r="F5020" s="7" t="s">
        <v>10141</v>
      </c>
      <c r="G5020" s="7" t="n">
        <v>2019</v>
      </c>
      <c r="H5020" s="7" t="s">
        <v>48</v>
      </c>
      <c r="I5020" s="7" t="s">
        <v>82</v>
      </c>
      <c r="J5020" s="7" t="s">
        <v>696</v>
      </c>
      <c r="K5020" s="7" t="n">
        <f aca="false">IFERROR(VALUE(RIGHT(TRIM(F5020),4)),"")</f>
        <v>2019</v>
      </c>
      <c r="L5020" s="7" t="str">
        <f aca="false">IF(TRIM(E5020)="","Unknown",IFERROR(LEFT(TRIM(E5020),FIND(",",TRIM(E5020))-1),TRIM(E5020)))</f>
        <v>Unknown</v>
      </c>
      <c r="M5020" s="7" t="str">
        <f aca="false">IFERROR(LEFT(J5020,FIND(",",J5020)-1),J5020)</f>
        <v>Crime TV Shows</v>
      </c>
      <c r="N5020" s="7" t="str">
        <f aca="false">IF(B5020="Movie",IFERROR(VALUE(LEFT(I5020,FIND(" ",I5020)-1)),""),"")</f>
        <v/>
      </c>
      <c r="O5020" s="7" t="n">
        <f aca="false">IF(B5020="TV Show",IFERROR(VALUE(LEFT(I5020,FIND(" ",I5020)-1)),""),"")</f>
        <v>1</v>
      </c>
      <c r="P5020" s="7" t="n">
        <f aca="false">IF(K5020="","",K5020-G5020)</f>
        <v>0</v>
      </c>
    </row>
    <row r="5021" customFormat="false" ht="15" hidden="false" customHeight="false" outlineLevel="0" collapsed="false">
      <c r="A5021" s="7" t="n">
        <v>81147274</v>
      </c>
      <c r="B5021" s="7" t="s">
        <v>68</v>
      </c>
      <c r="C5021" s="7" t="s">
        <v>10142</v>
      </c>
      <c r="D5021" s="7" t="s">
        <v>10143</v>
      </c>
      <c r="E5021" s="7" t="s">
        <v>27</v>
      </c>
      <c r="F5021" s="7" t="s">
        <v>10141</v>
      </c>
      <c r="G5021" s="7" t="n">
        <v>2019</v>
      </c>
      <c r="H5021" s="7" t="s">
        <v>49</v>
      </c>
      <c r="I5021" s="7" t="s">
        <v>519</v>
      </c>
      <c r="J5021" s="7" t="s">
        <v>304</v>
      </c>
      <c r="K5021" s="7" t="n">
        <f aca="false">IFERROR(VALUE(RIGHT(TRIM(F5021),4)),"")</f>
        <v>2019</v>
      </c>
      <c r="L5021" s="7" t="str">
        <f aca="false">IF(TRIM(E5021)="","Unknown",IFERROR(LEFT(TRIM(E5021),FIND(",",TRIM(E5021))-1),TRIM(E5021)))</f>
        <v>India</v>
      </c>
      <c r="M5021" s="7" t="str">
        <f aca="false">IFERROR(LEFT(J5021,FIND(",",J5021)-1),J5021)</f>
        <v>Dramas</v>
      </c>
      <c r="N5021" s="7" t="n">
        <f aca="false">IF(B5021="Movie",IFERROR(VALUE(LEFT(I5021,FIND(" ",I5021)-1)),""),"")</f>
        <v>119</v>
      </c>
      <c r="O5021" s="7" t="str">
        <f aca="false">IF(B5021="TV Show",IFERROR(VALUE(LEFT(I5021,FIND(" ",I5021)-1)),""),"")</f>
        <v/>
      </c>
      <c r="P5021" s="7" t="n">
        <f aca="false">IF(K5021="","",K5021-G5021)</f>
        <v>0</v>
      </c>
    </row>
    <row r="5022" customFormat="false" ht="15" hidden="false" customHeight="false" outlineLevel="0" collapsed="false">
      <c r="A5022" s="7" t="n">
        <v>80136450</v>
      </c>
      <c r="B5022" s="7" t="s">
        <v>78</v>
      </c>
      <c r="C5022" s="7" t="s">
        <v>10144</v>
      </c>
      <c r="D5022" s="7" t="s">
        <v>10145</v>
      </c>
      <c r="F5022" s="7" t="s">
        <v>10146</v>
      </c>
      <c r="G5022" s="7" t="n">
        <v>2008</v>
      </c>
      <c r="H5022" s="7" t="s">
        <v>49</v>
      </c>
      <c r="I5022" s="7" t="s">
        <v>82</v>
      </c>
      <c r="J5022" s="7" t="s">
        <v>344</v>
      </c>
      <c r="K5022" s="7" t="n">
        <f aca="false">IFERROR(VALUE(RIGHT(TRIM(F5022),4)),"")</f>
        <v>2017</v>
      </c>
      <c r="L5022" s="7" t="str">
        <f aca="false">IF(TRIM(E5022)="","Unknown",IFERROR(LEFT(TRIM(E5022),FIND(",",TRIM(E5022))-1),TRIM(E5022)))</f>
        <v>Unknown</v>
      </c>
      <c r="M5022" s="7" t="str">
        <f aca="false">IFERROR(LEFT(J5022,FIND(",",J5022)-1),J5022)</f>
        <v>International TV Shows</v>
      </c>
      <c r="N5022" s="7" t="str">
        <f aca="false">IF(B5022="Movie",IFERROR(VALUE(LEFT(I5022,FIND(" ",I5022)-1)),""),"")</f>
        <v/>
      </c>
      <c r="O5022" s="7" t="n">
        <f aca="false">IF(B5022="TV Show",IFERROR(VALUE(LEFT(I5022,FIND(" ",I5022)-1)),""),"")</f>
        <v>1</v>
      </c>
      <c r="P5022" s="7" t="n">
        <f aca="false">IF(K5022="","",K5022-G5022)</f>
        <v>9</v>
      </c>
    </row>
    <row r="5023" customFormat="false" ht="15" hidden="false" customHeight="false" outlineLevel="0" collapsed="false">
      <c r="A5023" s="7" t="n">
        <v>80136453</v>
      </c>
      <c r="B5023" s="7" t="s">
        <v>78</v>
      </c>
      <c r="C5023" s="7" t="s">
        <v>10147</v>
      </c>
      <c r="F5023" s="7" t="s">
        <v>10146</v>
      </c>
      <c r="G5023" s="7" t="n">
        <v>2010</v>
      </c>
      <c r="H5023" s="7" t="s">
        <v>49</v>
      </c>
      <c r="I5023" s="7" t="s">
        <v>82</v>
      </c>
      <c r="J5023" s="7" t="s">
        <v>344</v>
      </c>
      <c r="K5023" s="7" t="n">
        <f aca="false">IFERROR(VALUE(RIGHT(TRIM(F5023),4)),"")</f>
        <v>2017</v>
      </c>
      <c r="L5023" s="7" t="str">
        <f aca="false">IF(TRIM(E5023)="","Unknown",IFERROR(LEFT(TRIM(E5023),FIND(",",TRIM(E5023))-1),TRIM(E5023)))</f>
        <v>Unknown</v>
      </c>
      <c r="M5023" s="7" t="str">
        <f aca="false">IFERROR(LEFT(J5023,FIND(",",J5023)-1),J5023)</f>
        <v>International TV Shows</v>
      </c>
      <c r="N5023" s="7" t="str">
        <f aca="false">IF(B5023="Movie",IFERROR(VALUE(LEFT(I5023,FIND(" ",I5023)-1)),""),"")</f>
        <v/>
      </c>
      <c r="O5023" s="7" t="n">
        <f aca="false">IF(B5023="TV Show",IFERROR(VALUE(LEFT(I5023,FIND(" ",I5023)-1)),""),"")</f>
        <v>1</v>
      </c>
      <c r="P5023" s="7" t="n">
        <f aca="false">IF(K5023="","",K5023-G5023)</f>
        <v>7</v>
      </c>
    </row>
    <row r="5024" customFormat="false" ht="15" hidden="false" customHeight="false" outlineLevel="0" collapsed="false">
      <c r="A5024" s="7" t="n">
        <v>80163530</v>
      </c>
      <c r="B5024" s="7" t="s">
        <v>78</v>
      </c>
      <c r="C5024" s="7" t="s">
        <v>10148</v>
      </c>
      <c r="F5024" s="7" t="s">
        <v>10146</v>
      </c>
      <c r="G5024" s="7" t="n">
        <v>2015</v>
      </c>
      <c r="H5024" s="7" t="s">
        <v>50</v>
      </c>
      <c r="I5024" s="7" t="s">
        <v>82</v>
      </c>
      <c r="J5024" s="7" t="s">
        <v>402</v>
      </c>
      <c r="K5024" s="7" t="n">
        <f aca="false">IFERROR(VALUE(RIGHT(TRIM(F5024),4)),"")</f>
        <v>2017</v>
      </c>
      <c r="L5024" s="7" t="str">
        <f aca="false">IF(TRIM(E5024)="","Unknown",IFERROR(LEFT(TRIM(E5024),FIND(",",TRIM(E5024))-1),TRIM(E5024)))</f>
        <v>Unknown</v>
      </c>
      <c r="M5024" s="7" t="str">
        <f aca="false">IFERROR(LEFT(J5024,FIND(",",J5024)-1),J5024)</f>
        <v>Crime TV Shows</v>
      </c>
      <c r="N5024" s="7" t="str">
        <f aca="false">IF(B5024="Movie",IFERROR(VALUE(LEFT(I5024,FIND(" ",I5024)-1)),""),"")</f>
        <v/>
      </c>
      <c r="O5024" s="7" t="n">
        <f aca="false">IF(B5024="TV Show",IFERROR(VALUE(LEFT(I5024,FIND(" ",I5024)-1)),""),"")</f>
        <v>1</v>
      </c>
      <c r="P5024" s="7" t="n">
        <f aca="false">IF(K5024="","",K5024-G5024)</f>
        <v>2</v>
      </c>
    </row>
    <row r="5025" customFormat="false" ht="15" hidden="false" customHeight="false" outlineLevel="0" collapsed="false">
      <c r="A5025" s="7" t="n">
        <v>80136455</v>
      </c>
      <c r="B5025" s="7" t="s">
        <v>78</v>
      </c>
      <c r="C5025" s="7" t="s">
        <v>5940</v>
      </c>
      <c r="F5025" s="7" t="s">
        <v>10146</v>
      </c>
      <c r="G5025" s="7" t="n">
        <v>2009</v>
      </c>
      <c r="H5025" s="7" t="s">
        <v>50</v>
      </c>
      <c r="I5025" s="7" t="s">
        <v>82</v>
      </c>
      <c r="J5025" s="7" t="s">
        <v>344</v>
      </c>
      <c r="K5025" s="7" t="n">
        <f aca="false">IFERROR(VALUE(RIGHT(TRIM(F5025),4)),"")</f>
        <v>2017</v>
      </c>
      <c r="L5025" s="7" t="str">
        <f aca="false">IF(TRIM(E5025)="","Unknown",IFERROR(LEFT(TRIM(E5025),FIND(",",TRIM(E5025))-1),TRIM(E5025)))</f>
        <v>Unknown</v>
      </c>
      <c r="M5025" s="7" t="str">
        <f aca="false">IFERROR(LEFT(J5025,FIND(",",J5025)-1),J5025)</f>
        <v>International TV Shows</v>
      </c>
      <c r="N5025" s="7" t="str">
        <f aca="false">IF(B5025="Movie",IFERROR(VALUE(LEFT(I5025,FIND(" ",I5025)-1)),""),"")</f>
        <v/>
      </c>
      <c r="O5025" s="7" t="n">
        <f aca="false">IF(B5025="TV Show",IFERROR(VALUE(LEFT(I5025,FIND(" ",I5025)-1)),""),"")</f>
        <v>1</v>
      </c>
      <c r="P5025" s="7" t="n">
        <f aca="false">IF(K5025="","",K5025-G5025)</f>
        <v>8</v>
      </c>
    </row>
    <row r="5026" customFormat="false" ht="15" hidden="false" customHeight="false" outlineLevel="0" collapsed="false">
      <c r="A5026" s="7" t="n">
        <v>80039439</v>
      </c>
      <c r="B5026" s="7" t="s">
        <v>68</v>
      </c>
      <c r="C5026" s="7" t="s">
        <v>10149</v>
      </c>
      <c r="D5026" s="7" t="s">
        <v>5835</v>
      </c>
      <c r="E5026" s="7" t="s">
        <v>26</v>
      </c>
      <c r="F5026" s="7" t="s">
        <v>10146</v>
      </c>
      <c r="G5026" s="7" t="n">
        <v>2017</v>
      </c>
      <c r="H5026" s="7" t="s">
        <v>52</v>
      </c>
      <c r="I5026" s="7" t="s">
        <v>77</v>
      </c>
      <c r="J5026" s="7" t="s">
        <v>38</v>
      </c>
      <c r="K5026" s="7" t="n">
        <f aca="false">IFERROR(VALUE(RIGHT(TRIM(F5026),4)),"")</f>
        <v>2017</v>
      </c>
      <c r="L5026" s="7" t="str">
        <f aca="false">IF(TRIM(E5026)="","Unknown",IFERROR(LEFT(TRIM(E5026),FIND(",",TRIM(E5026))-1),TRIM(E5026)))</f>
        <v>United States</v>
      </c>
      <c r="M5026" s="7" t="str">
        <f aca="false">IFERROR(LEFT(J5026,FIND(",",J5026)-1),J5026)</f>
        <v>Comedies</v>
      </c>
      <c r="N5026" s="7" t="n">
        <f aca="false">IF(B5026="Movie",IFERROR(VALUE(LEFT(I5026,FIND(" ",I5026)-1)),""),"")</f>
        <v>94</v>
      </c>
      <c r="O5026" s="7" t="str">
        <f aca="false">IF(B5026="TV Show",IFERROR(VALUE(LEFT(I5026,FIND(" ",I5026)-1)),""),"")</f>
        <v/>
      </c>
      <c r="P5026" s="7" t="n">
        <f aca="false">IF(K5026="","",K5026-G5026)</f>
        <v>0</v>
      </c>
    </row>
    <row r="5027" customFormat="false" ht="15" hidden="false" customHeight="false" outlineLevel="0" collapsed="false">
      <c r="A5027" s="7" t="n">
        <v>80044804</v>
      </c>
      <c r="B5027" s="7" t="s">
        <v>68</v>
      </c>
      <c r="C5027" s="7" t="s">
        <v>10150</v>
      </c>
      <c r="D5027" s="7" t="s">
        <v>1621</v>
      </c>
      <c r="E5027" s="7" t="s">
        <v>26</v>
      </c>
      <c r="F5027" s="7" t="s">
        <v>10151</v>
      </c>
      <c r="G5027" s="7" t="n">
        <v>2015</v>
      </c>
      <c r="H5027" s="7" t="s">
        <v>48</v>
      </c>
      <c r="I5027" s="7" t="s">
        <v>117</v>
      </c>
      <c r="J5027" s="7" t="s">
        <v>45</v>
      </c>
      <c r="K5027" s="7" t="n">
        <f aca="false">IFERROR(VALUE(RIGHT(TRIM(F5027),4)),"")</f>
        <v>2015</v>
      </c>
      <c r="L5027" s="7" t="str">
        <f aca="false">IF(TRIM(E5027)="","Unknown",IFERROR(LEFT(TRIM(E5027),FIND(",",TRIM(E5027))-1),TRIM(E5027)))</f>
        <v>United States</v>
      </c>
      <c r="M5027" s="7" t="str">
        <f aca="false">IFERROR(LEFT(J5027,FIND(",",J5027)-1),J5027)</f>
        <v>Stand-Up Comedy</v>
      </c>
      <c r="N5027" s="7" t="n">
        <f aca="false">IF(B5027="Movie",IFERROR(VALUE(LEFT(I5027,FIND(" ",I5027)-1)),""),"")</f>
        <v>62</v>
      </c>
      <c r="O5027" s="7" t="str">
        <f aca="false">IF(B5027="TV Show",IFERROR(VALUE(LEFT(I5027,FIND(" ",I5027)-1)),""),"")</f>
        <v/>
      </c>
      <c r="P5027" s="7" t="n">
        <f aca="false">IF(K5027="","",K5027-G5027)</f>
        <v>0</v>
      </c>
    </row>
    <row r="5028" customFormat="false" ht="15" hidden="false" customHeight="false" outlineLevel="0" collapsed="false">
      <c r="A5028" s="7" t="n">
        <v>81147278</v>
      </c>
      <c r="B5028" s="7" t="s">
        <v>68</v>
      </c>
      <c r="C5028" s="7" t="s">
        <v>10152</v>
      </c>
      <c r="D5028" s="7" t="s">
        <v>10153</v>
      </c>
      <c r="E5028" s="7" t="s">
        <v>27</v>
      </c>
      <c r="F5028" s="7" t="s">
        <v>10154</v>
      </c>
      <c r="G5028" s="7" t="n">
        <v>2019</v>
      </c>
      <c r="H5028" s="7" t="s">
        <v>49</v>
      </c>
      <c r="I5028" s="7" t="s">
        <v>869</v>
      </c>
      <c r="J5028" s="7" t="s">
        <v>457</v>
      </c>
      <c r="K5028" s="7" t="n">
        <f aca="false">IFERROR(VALUE(RIGHT(TRIM(F5028),4)),"")</f>
        <v>2019</v>
      </c>
      <c r="L5028" s="7" t="str">
        <f aca="false">IF(TRIM(E5028)="","Unknown",IFERROR(LEFT(TRIM(E5028),FIND(",",TRIM(E5028))-1),TRIM(E5028)))</f>
        <v>India</v>
      </c>
      <c r="M5028" s="7" t="str">
        <f aca="false">IFERROR(LEFT(J5028,FIND(",",J5028)-1),J5028)</f>
        <v>Comedies</v>
      </c>
      <c r="N5028" s="7" t="n">
        <f aca="false">IF(B5028="Movie",IFERROR(VALUE(LEFT(I5028,FIND(" ",I5028)-1)),""),"")</f>
        <v>123</v>
      </c>
      <c r="O5028" s="7" t="str">
        <f aca="false">IF(B5028="TV Show",IFERROR(VALUE(LEFT(I5028,FIND(" ",I5028)-1)),""),"")</f>
        <v/>
      </c>
      <c r="P5028" s="7" t="n">
        <f aca="false">IF(K5028="","",K5028-G5028)</f>
        <v>0</v>
      </c>
    </row>
    <row r="5029" customFormat="false" ht="15" hidden="false" customHeight="false" outlineLevel="0" collapsed="false">
      <c r="A5029" s="7" t="n">
        <v>81146011</v>
      </c>
      <c r="B5029" s="7" t="s">
        <v>68</v>
      </c>
      <c r="C5029" s="7" t="s">
        <v>10155</v>
      </c>
      <c r="D5029" s="7" t="s">
        <v>1442</v>
      </c>
      <c r="E5029" s="7" t="s">
        <v>26</v>
      </c>
      <c r="F5029" s="7" t="s">
        <v>10154</v>
      </c>
      <c r="G5029" s="7" t="n">
        <v>2019</v>
      </c>
      <c r="H5029" s="7" t="s">
        <v>48</v>
      </c>
      <c r="I5029" s="7" t="s">
        <v>272</v>
      </c>
      <c r="J5029" s="7" t="s">
        <v>1085</v>
      </c>
      <c r="K5029" s="7" t="n">
        <f aca="false">IFERROR(VALUE(RIGHT(TRIM(F5029),4)),"")</f>
        <v>2019</v>
      </c>
      <c r="L5029" s="7" t="str">
        <f aca="false">IF(TRIM(E5029)="","Unknown",IFERROR(LEFT(TRIM(E5029),FIND(",",TRIM(E5029))-1),TRIM(E5029)))</f>
        <v>United States</v>
      </c>
      <c r="M5029" s="7" t="str">
        <f aca="false">IFERROR(LEFT(J5029,FIND(",",J5029)-1),J5029)</f>
        <v>Documentaries</v>
      </c>
      <c r="N5029" s="7" t="n">
        <f aca="false">IF(B5029="Movie",IFERROR(VALUE(LEFT(I5029,FIND(" ",I5029)-1)),""),"")</f>
        <v>93</v>
      </c>
      <c r="O5029" s="7" t="str">
        <f aca="false">IF(B5029="TV Show",IFERROR(VALUE(LEFT(I5029,FIND(" ",I5029)-1)),""),"")</f>
        <v/>
      </c>
      <c r="P5029" s="7" t="n">
        <f aca="false">IF(K5029="","",K5029-G5029)</f>
        <v>0</v>
      </c>
    </row>
    <row r="5030" customFormat="false" ht="15" hidden="false" customHeight="false" outlineLevel="0" collapsed="false">
      <c r="A5030" s="7" t="n">
        <v>81123826</v>
      </c>
      <c r="B5030" s="7" t="s">
        <v>68</v>
      </c>
      <c r="C5030" s="7" t="s">
        <v>10156</v>
      </c>
      <c r="D5030" s="7" t="s">
        <v>10157</v>
      </c>
      <c r="E5030" s="7" t="s">
        <v>34</v>
      </c>
      <c r="F5030" s="7" t="s">
        <v>10154</v>
      </c>
      <c r="G5030" s="7" t="n">
        <v>2018</v>
      </c>
      <c r="H5030" s="7" t="s">
        <v>48</v>
      </c>
      <c r="I5030" s="7" t="s">
        <v>790</v>
      </c>
      <c r="J5030" s="7" t="s">
        <v>341</v>
      </c>
      <c r="K5030" s="7" t="n">
        <f aca="false">IFERROR(VALUE(RIGHT(TRIM(F5030),4)),"")</f>
        <v>2019</v>
      </c>
      <c r="L5030" s="7" t="str">
        <f aca="false">IF(TRIM(E5030)="","Unknown",IFERROR(LEFT(TRIM(E5030),FIND(",",TRIM(E5030))-1),TRIM(E5030)))</f>
        <v>Mexico</v>
      </c>
      <c r="M5030" s="7" t="str">
        <f aca="false">IFERROR(LEFT(J5030,FIND(",",J5030)-1),J5030)</f>
        <v>Documentaries</v>
      </c>
      <c r="N5030" s="7" t="n">
        <f aca="false">IF(B5030="Movie",IFERROR(VALUE(LEFT(I5030,FIND(" ",I5030)-1)),""),"")</f>
        <v>109</v>
      </c>
      <c r="O5030" s="7" t="str">
        <f aca="false">IF(B5030="TV Show",IFERROR(VALUE(LEFT(I5030,FIND(" ",I5030)-1)),""),"")</f>
        <v/>
      </c>
      <c r="P5030" s="7" t="n">
        <f aca="false">IF(K5030="","",K5030-G5030)</f>
        <v>1</v>
      </c>
    </row>
    <row r="5031" customFormat="false" ht="15" hidden="false" customHeight="false" outlineLevel="0" collapsed="false">
      <c r="A5031" s="7" t="n">
        <v>81002933</v>
      </c>
      <c r="B5031" s="7" t="s">
        <v>78</v>
      </c>
      <c r="C5031" s="7" t="s">
        <v>10158</v>
      </c>
      <c r="E5031" s="7" t="s">
        <v>26</v>
      </c>
      <c r="F5031" s="7" t="s">
        <v>10154</v>
      </c>
      <c r="G5031" s="7" t="n">
        <v>2019</v>
      </c>
      <c r="H5031" s="7" t="s">
        <v>48</v>
      </c>
      <c r="I5031" s="7" t="s">
        <v>82</v>
      </c>
      <c r="J5031" s="7" t="s">
        <v>795</v>
      </c>
      <c r="K5031" s="7" t="n">
        <f aca="false">IFERROR(VALUE(RIGHT(TRIM(F5031),4)),"")</f>
        <v>2019</v>
      </c>
      <c r="L5031" s="7" t="str">
        <f aca="false">IF(TRIM(E5031)="","Unknown",IFERROR(LEFT(TRIM(E5031),FIND(",",TRIM(E5031))-1),TRIM(E5031)))</f>
        <v>United States</v>
      </c>
      <c r="M5031" s="7" t="str">
        <f aca="false">IFERROR(LEFT(J5031,FIND(",",J5031)-1),J5031)</f>
        <v>Stand-Up Comedy &amp; Talk Shows</v>
      </c>
      <c r="N5031" s="7" t="str">
        <f aca="false">IF(B5031="Movie",IFERROR(VALUE(LEFT(I5031,FIND(" ",I5031)-1)),""),"")</f>
        <v/>
      </c>
      <c r="O5031" s="7" t="n">
        <f aca="false">IF(B5031="TV Show",IFERROR(VALUE(LEFT(I5031,FIND(" ",I5031)-1)),""),"")</f>
        <v>1</v>
      </c>
      <c r="P5031" s="7" t="n">
        <f aca="false">IF(K5031="","",K5031-G5031)</f>
        <v>0</v>
      </c>
    </row>
    <row r="5032" customFormat="false" ht="15" hidden="false" customHeight="false" outlineLevel="0" collapsed="false">
      <c r="A5032" s="7" t="n">
        <v>81135868</v>
      </c>
      <c r="B5032" s="7" t="s">
        <v>68</v>
      </c>
      <c r="C5032" s="7" t="s">
        <v>10159</v>
      </c>
      <c r="D5032" s="7" t="s">
        <v>10160</v>
      </c>
      <c r="E5032" s="7" t="s">
        <v>26</v>
      </c>
      <c r="F5032" s="7" t="s">
        <v>10154</v>
      </c>
      <c r="G5032" s="7" t="n">
        <v>2019</v>
      </c>
      <c r="H5032" s="7" t="s">
        <v>48</v>
      </c>
      <c r="I5032" s="7" t="s">
        <v>451</v>
      </c>
      <c r="J5032" s="7" t="s">
        <v>509</v>
      </c>
      <c r="K5032" s="7" t="n">
        <f aca="false">IFERROR(VALUE(RIGHT(TRIM(F5032),4)),"")</f>
        <v>2019</v>
      </c>
      <c r="L5032" s="7" t="str">
        <f aca="false">IF(TRIM(E5032)="","Unknown",IFERROR(LEFT(TRIM(E5032),FIND(",",TRIM(E5032))-1),TRIM(E5032)))</f>
        <v>United States</v>
      </c>
      <c r="M5032" s="7" t="str">
        <f aca="false">IFERROR(LEFT(J5032,FIND(",",J5032)-1),J5032)</f>
        <v>Documentaries</v>
      </c>
      <c r="N5032" s="7" t="n">
        <f aca="false">IF(B5032="Movie",IFERROR(VALUE(LEFT(I5032,FIND(" ",I5032)-1)),""),"")</f>
        <v>97</v>
      </c>
      <c r="O5032" s="7" t="str">
        <f aca="false">IF(B5032="TV Show",IFERROR(VALUE(LEFT(I5032,FIND(" ",I5032)-1)),""),"")</f>
        <v/>
      </c>
      <c r="P5032" s="7" t="n">
        <f aca="false">IF(K5032="","",K5032-G5032)</f>
        <v>0</v>
      </c>
    </row>
    <row r="5033" customFormat="false" ht="15" hidden="false" customHeight="false" outlineLevel="0" collapsed="false">
      <c r="A5033" s="7" t="n">
        <v>80162142</v>
      </c>
      <c r="B5033" s="7" t="s">
        <v>68</v>
      </c>
      <c r="C5033" s="7" t="s">
        <v>10161</v>
      </c>
      <c r="D5033" s="7" t="s">
        <v>10162</v>
      </c>
      <c r="E5033" s="7" t="s">
        <v>28</v>
      </c>
      <c r="F5033" s="7" t="s">
        <v>10163</v>
      </c>
      <c r="G5033" s="7" t="n">
        <v>2016</v>
      </c>
      <c r="H5033" s="7" t="s">
        <v>48</v>
      </c>
      <c r="I5033" s="7" t="s">
        <v>437</v>
      </c>
      <c r="J5033" s="7" t="s">
        <v>1533</v>
      </c>
      <c r="K5033" s="7" t="n">
        <f aca="false">IFERROR(VALUE(RIGHT(TRIM(F5033),4)),"")</f>
        <v>2017</v>
      </c>
      <c r="L5033" s="7" t="str">
        <f aca="false">IF(TRIM(E5033)="","Unknown",IFERROR(LEFT(TRIM(E5033),FIND(",",TRIM(E5033))-1),TRIM(E5033)))</f>
        <v>United Kingdom</v>
      </c>
      <c r="M5033" s="7" t="str">
        <f aca="false">IFERROR(LEFT(J5033,FIND(",",J5033)-1),J5033)</f>
        <v>Comedies</v>
      </c>
      <c r="N5033" s="7" t="n">
        <f aca="false">IF(B5033="Movie",IFERROR(VALUE(LEFT(I5033,FIND(" ",I5033)-1)),""),"")</f>
        <v>82</v>
      </c>
      <c r="O5033" s="7" t="str">
        <f aca="false">IF(B5033="TV Show",IFERROR(VALUE(LEFT(I5033,FIND(" ",I5033)-1)),""),"")</f>
        <v/>
      </c>
      <c r="P5033" s="7" t="n">
        <f aca="false">IF(K5033="","",K5033-G5033)</f>
        <v>1</v>
      </c>
    </row>
    <row r="5034" customFormat="false" ht="15" hidden="false" customHeight="false" outlineLevel="0" collapsed="false">
      <c r="A5034" s="7" t="n">
        <v>80175483</v>
      </c>
      <c r="B5034" s="7" t="s">
        <v>68</v>
      </c>
      <c r="C5034" s="7" t="s">
        <v>10164</v>
      </c>
      <c r="D5034" s="7" t="s">
        <v>10165</v>
      </c>
      <c r="E5034" s="7" t="s">
        <v>293</v>
      </c>
      <c r="F5034" s="7" t="s">
        <v>10163</v>
      </c>
      <c r="G5034" s="7" t="n">
        <v>2017</v>
      </c>
      <c r="H5034" s="7" t="s">
        <v>49</v>
      </c>
      <c r="I5034" s="7" t="s">
        <v>205</v>
      </c>
      <c r="J5034" s="7" t="s">
        <v>39</v>
      </c>
      <c r="K5034" s="7" t="n">
        <f aca="false">IFERROR(VALUE(RIGHT(TRIM(F5034),4)),"")</f>
        <v>2017</v>
      </c>
      <c r="L5034" s="7" t="str">
        <f aca="false">IF(TRIM(E5034)="","Unknown",IFERROR(LEFT(TRIM(E5034),FIND(",",TRIM(E5034))-1),TRIM(E5034)))</f>
        <v>United States</v>
      </c>
      <c r="M5034" s="7" t="str">
        <f aca="false">IFERROR(LEFT(J5034,FIND(",",J5034)-1),J5034)</f>
        <v>Documentaries</v>
      </c>
      <c r="N5034" s="7" t="n">
        <f aca="false">IF(B5034="Movie",IFERROR(VALUE(LEFT(I5034,FIND(" ",I5034)-1)),""),"")</f>
        <v>100</v>
      </c>
      <c r="O5034" s="7" t="str">
        <f aca="false">IF(B5034="TV Show",IFERROR(VALUE(LEFT(I5034,FIND(" ",I5034)-1)),""),"")</f>
        <v/>
      </c>
      <c r="P5034" s="7" t="n">
        <f aca="false">IF(K5034="","",K5034-G5034)</f>
        <v>0</v>
      </c>
    </row>
    <row r="5035" customFormat="false" ht="15" hidden="false" customHeight="false" outlineLevel="0" collapsed="false">
      <c r="A5035" s="7" t="n">
        <v>80100772</v>
      </c>
      <c r="B5035" s="7" t="s">
        <v>68</v>
      </c>
      <c r="C5035" s="7" t="s">
        <v>10166</v>
      </c>
      <c r="D5035" s="7" t="s">
        <v>10167</v>
      </c>
      <c r="E5035" s="7" t="s">
        <v>26</v>
      </c>
      <c r="F5035" s="7" t="s">
        <v>10168</v>
      </c>
      <c r="G5035" s="7" t="n">
        <v>2015</v>
      </c>
      <c r="H5035" s="7" t="s">
        <v>53</v>
      </c>
      <c r="I5035" s="7" t="s">
        <v>73</v>
      </c>
      <c r="J5035" s="7" t="s">
        <v>950</v>
      </c>
      <c r="K5035" s="7" t="n">
        <f aca="false">IFERROR(VALUE(RIGHT(TRIM(F5035),4)),"")</f>
        <v>2016</v>
      </c>
      <c r="L5035" s="7" t="str">
        <f aca="false">IF(TRIM(E5035)="","Unknown",IFERROR(LEFT(TRIM(E5035),FIND(",",TRIM(E5035))-1),TRIM(E5035)))</f>
        <v>United States</v>
      </c>
      <c r="M5035" s="7" t="str">
        <f aca="false">IFERROR(LEFT(J5035,FIND(",",J5035)-1),J5035)</f>
        <v>Horror Movies</v>
      </c>
      <c r="N5035" s="7" t="n">
        <f aca="false">IF(B5035="Movie",IFERROR(VALUE(LEFT(I5035,FIND(" ",I5035)-1)),""),"")</f>
        <v>90</v>
      </c>
      <c r="O5035" s="7" t="str">
        <f aca="false">IF(B5035="TV Show",IFERROR(VALUE(LEFT(I5035,FIND(" ",I5035)-1)),""),"")</f>
        <v/>
      </c>
      <c r="P5035" s="7" t="n">
        <f aca="false">IF(K5035="","",K5035-G5035)</f>
        <v>1</v>
      </c>
    </row>
    <row r="5036" customFormat="false" ht="15" hidden="false" customHeight="false" outlineLevel="0" collapsed="false">
      <c r="A5036" s="7" t="n">
        <v>81145135</v>
      </c>
      <c r="B5036" s="7" t="s">
        <v>78</v>
      </c>
      <c r="C5036" s="7" t="s">
        <v>10169</v>
      </c>
      <c r="E5036" s="7" t="s">
        <v>26</v>
      </c>
      <c r="F5036" s="7" t="s">
        <v>10170</v>
      </c>
      <c r="G5036" s="7" t="n">
        <v>2019</v>
      </c>
      <c r="H5036" s="7" t="s">
        <v>81</v>
      </c>
      <c r="I5036" s="7" t="s">
        <v>82</v>
      </c>
      <c r="J5036" s="7" t="s">
        <v>44</v>
      </c>
      <c r="K5036" s="7" t="n">
        <f aca="false">IFERROR(VALUE(RIGHT(TRIM(F5036),4)),"")</f>
        <v>2019</v>
      </c>
      <c r="L5036" s="7" t="str">
        <f aca="false">IF(TRIM(E5036)="","Unknown",IFERROR(LEFT(TRIM(E5036),FIND(",",TRIM(E5036))-1),TRIM(E5036)))</f>
        <v>United States</v>
      </c>
      <c r="M5036" s="7" t="str">
        <f aca="false">IFERROR(LEFT(J5036,FIND(",",J5036)-1),J5036)</f>
        <v>Kids' TV</v>
      </c>
      <c r="N5036" s="7" t="str">
        <f aca="false">IF(B5036="Movie",IFERROR(VALUE(LEFT(I5036,FIND(" ",I5036)-1)),""),"")</f>
        <v/>
      </c>
      <c r="O5036" s="7" t="n">
        <f aca="false">IF(B5036="TV Show",IFERROR(VALUE(LEFT(I5036,FIND(" ",I5036)-1)),""),"")</f>
        <v>1</v>
      </c>
      <c r="P5036" s="7" t="n">
        <f aca="false">IF(K5036="","",K5036-G5036)</f>
        <v>0</v>
      </c>
    </row>
    <row r="5037" customFormat="false" ht="15" hidden="false" customHeight="false" outlineLevel="0" collapsed="false">
      <c r="A5037" s="7" t="n">
        <v>80188580</v>
      </c>
      <c r="B5037" s="7" t="s">
        <v>68</v>
      </c>
      <c r="C5037" s="7" t="s">
        <v>10171</v>
      </c>
      <c r="D5037" s="7" t="s">
        <v>10172</v>
      </c>
      <c r="E5037" s="7" t="s">
        <v>26</v>
      </c>
      <c r="F5037" s="7" t="s">
        <v>10173</v>
      </c>
      <c r="G5037" s="7" t="n">
        <v>2017</v>
      </c>
      <c r="H5037" s="7" t="s">
        <v>48</v>
      </c>
      <c r="I5037" s="7" t="s">
        <v>73</v>
      </c>
      <c r="J5037" s="7" t="s">
        <v>37</v>
      </c>
      <c r="K5037" s="7" t="n">
        <f aca="false">IFERROR(VALUE(RIGHT(TRIM(F5037),4)),"")</f>
        <v>2017</v>
      </c>
      <c r="L5037" s="7" t="str">
        <f aca="false">IF(TRIM(E5037)="","Unknown",IFERROR(LEFT(TRIM(E5037),FIND(",",TRIM(E5037))-1),TRIM(E5037)))</f>
        <v>United States</v>
      </c>
      <c r="M5037" s="7" t="str">
        <f aca="false">IFERROR(LEFT(J5037,FIND(",",J5037)-1),J5037)</f>
        <v>Dramas</v>
      </c>
      <c r="N5037" s="7" t="n">
        <f aca="false">IF(B5037="Movie",IFERROR(VALUE(LEFT(I5037,FIND(" ",I5037)-1)),""),"")</f>
        <v>90</v>
      </c>
      <c r="O5037" s="7" t="str">
        <f aca="false">IF(B5037="TV Show",IFERROR(VALUE(LEFT(I5037,FIND(" ",I5037)-1)),""),"")</f>
        <v/>
      </c>
      <c r="P5037" s="7" t="n">
        <f aca="false">IF(K5037="","",K5037-G5037)</f>
        <v>0</v>
      </c>
    </row>
    <row r="5038" customFormat="false" ht="15" hidden="false" customHeight="false" outlineLevel="0" collapsed="false">
      <c r="A5038" s="7" t="n">
        <v>80106737</v>
      </c>
      <c r="B5038" s="7" t="s">
        <v>68</v>
      </c>
      <c r="C5038" s="7" t="s">
        <v>10174</v>
      </c>
      <c r="D5038" s="7" t="s">
        <v>10175</v>
      </c>
      <c r="E5038" s="7" t="s">
        <v>34</v>
      </c>
      <c r="F5038" s="7" t="s">
        <v>10173</v>
      </c>
      <c r="G5038" s="7" t="n">
        <v>2015</v>
      </c>
      <c r="H5038" s="7" t="s">
        <v>48</v>
      </c>
      <c r="I5038" s="7" t="s">
        <v>861</v>
      </c>
      <c r="J5038" s="7" t="s">
        <v>304</v>
      </c>
      <c r="K5038" s="7" t="n">
        <f aca="false">IFERROR(VALUE(RIGHT(TRIM(F5038),4)),"")</f>
        <v>2017</v>
      </c>
      <c r="L5038" s="7" t="str">
        <f aca="false">IF(TRIM(E5038)="","Unknown",IFERROR(LEFT(TRIM(E5038),FIND(",",TRIM(E5038))-1),TRIM(E5038)))</f>
        <v>Mexico</v>
      </c>
      <c r="M5038" s="7" t="str">
        <f aca="false">IFERROR(LEFT(J5038,FIND(",",J5038)-1),J5038)</f>
        <v>Dramas</v>
      </c>
      <c r="N5038" s="7" t="n">
        <f aca="false">IF(B5038="Movie",IFERROR(VALUE(LEFT(I5038,FIND(" ",I5038)-1)),""),"")</f>
        <v>71</v>
      </c>
      <c r="O5038" s="7" t="str">
        <f aca="false">IF(B5038="TV Show",IFERROR(VALUE(LEFT(I5038,FIND(" ",I5038)-1)),""),"")</f>
        <v/>
      </c>
      <c r="P5038" s="7" t="n">
        <f aca="false">IF(K5038="","",K5038-G5038)</f>
        <v>2</v>
      </c>
    </row>
    <row r="5039" customFormat="false" ht="15" hidden="false" customHeight="false" outlineLevel="0" collapsed="false">
      <c r="A5039" s="7" t="n">
        <v>80142058</v>
      </c>
      <c r="B5039" s="7" t="s">
        <v>68</v>
      </c>
      <c r="C5039" s="7" t="s">
        <v>10176</v>
      </c>
      <c r="D5039" s="7" t="s">
        <v>10055</v>
      </c>
      <c r="E5039" s="7" t="s">
        <v>26</v>
      </c>
      <c r="F5039" s="7" t="s">
        <v>10177</v>
      </c>
      <c r="G5039" s="7" t="n">
        <v>2017</v>
      </c>
      <c r="H5039" s="7" t="s">
        <v>49</v>
      </c>
      <c r="I5039" s="7" t="s">
        <v>451</v>
      </c>
      <c r="J5039" s="7" t="s">
        <v>177</v>
      </c>
      <c r="K5039" s="7" t="n">
        <f aca="false">IFERROR(VALUE(RIGHT(TRIM(F5039),4)),"")</f>
        <v>2017</v>
      </c>
      <c r="L5039" s="7" t="str">
        <f aca="false">IF(TRIM(E5039)="","Unknown",IFERROR(LEFT(TRIM(E5039),FIND(",",TRIM(E5039))-1),TRIM(E5039)))</f>
        <v>United States</v>
      </c>
      <c r="M5039" s="7" t="str">
        <f aca="false">IFERROR(LEFT(J5039,FIND(",",J5039)-1),J5039)</f>
        <v>Comedies</v>
      </c>
      <c r="N5039" s="7" t="n">
        <f aca="false">IF(B5039="Movie",IFERROR(VALUE(LEFT(I5039,FIND(" ",I5039)-1)),""),"")</f>
        <v>97</v>
      </c>
      <c r="O5039" s="7" t="str">
        <f aca="false">IF(B5039="TV Show",IFERROR(VALUE(LEFT(I5039,FIND(" ",I5039)-1)),""),"")</f>
        <v/>
      </c>
      <c r="P5039" s="7" t="n">
        <f aca="false">IF(K5039="","",K5039-G5039)</f>
        <v>0</v>
      </c>
    </row>
    <row r="5040" customFormat="false" ht="15" hidden="false" customHeight="false" outlineLevel="0" collapsed="false">
      <c r="A5040" s="7" t="n">
        <v>70044256</v>
      </c>
      <c r="B5040" s="7" t="s">
        <v>68</v>
      </c>
      <c r="C5040" s="7" t="s">
        <v>10178</v>
      </c>
      <c r="D5040" s="7" t="s">
        <v>9995</v>
      </c>
      <c r="E5040" s="7" t="s">
        <v>26</v>
      </c>
      <c r="F5040" s="7" t="s">
        <v>10179</v>
      </c>
      <c r="G5040" s="7" t="n">
        <v>2005</v>
      </c>
      <c r="H5040" s="7" t="s">
        <v>49</v>
      </c>
      <c r="I5040" s="7" t="s">
        <v>348</v>
      </c>
      <c r="J5040" s="7" t="s">
        <v>45</v>
      </c>
      <c r="K5040" s="7" t="n">
        <f aca="false">IFERROR(VALUE(RIGHT(TRIM(F5040),4)),"")</f>
        <v>2016</v>
      </c>
      <c r="L5040" s="7" t="str">
        <f aca="false">IF(TRIM(E5040)="","Unknown",IFERROR(LEFT(TRIM(E5040),FIND(",",TRIM(E5040))-1),TRIM(E5040)))</f>
        <v>United States</v>
      </c>
      <c r="M5040" s="7" t="str">
        <f aca="false">IFERROR(LEFT(J5040,FIND(",",J5040)-1),J5040)</f>
        <v>Stand-Up Comedy</v>
      </c>
      <c r="N5040" s="7" t="n">
        <f aca="false">IF(B5040="Movie",IFERROR(VALUE(LEFT(I5040,FIND(" ",I5040)-1)),""),"")</f>
        <v>72</v>
      </c>
      <c r="O5040" s="7" t="str">
        <f aca="false">IF(B5040="TV Show",IFERROR(VALUE(LEFT(I5040,FIND(" ",I5040)-1)),""),"")</f>
        <v/>
      </c>
      <c r="P5040" s="7" t="n">
        <f aca="false">IF(K5040="","",K5040-G5040)</f>
        <v>11</v>
      </c>
    </row>
    <row r="5041" customFormat="false" ht="15" hidden="false" customHeight="false" outlineLevel="0" collapsed="false">
      <c r="A5041" s="7" t="n">
        <v>70113636</v>
      </c>
      <c r="B5041" s="7" t="s">
        <v>68</v>
      </c>
      <c r="C5041" s="7" t="s">
        <v>10180</v>
      </c>
      <c r="D5041" s="7" t="s">
        <v>476</v>
      </c>
      <c r="E5041" s="7" t="s">
        <v>26</v>
      </c>
      <c r="F5041" s="7" t="s">
        <v>10179</v>
      </c>
      <c r="G5041" s="7" t="n">
        <v>2009</v>
      </c>
      <c r="H5041" s="7" t="s">
        <v>50</v>
      </c>
      <c r="I5041" s="7" t="s">
        <v>861</v>
      </c>
      <c r="J5041" s="7" t="s">
        <v>45</v>
      </c>
      <c r="K5041" s="7" t="n">
        <f aca="false">IFERROR(VALUE(RIGHT(TRIM(F5041),4)),"")</f>
        <v>2016</v>
      </c>
      <c r="L5041" s="7" t="str">
        <f aca="false">IF(TRIM(E5041)="","Unknown",IFERROR(LEFT(TRIM(E5041),FIND(",",TRIM(E5041))-1),TRIM(E5041)))</f>
        <v>United States</v>
      </c>
      <c r="M5041" s="7" t="str">
        <f aca="false">IFERROR(LEFT(J5041,FIND(",",J5041)-1),J5041)</f>
        <v>Stand-Up Comedy</v>
      </c>
      <c r="N5041" s="7" t="n">
        <f aca="false">IF(B5041="Movie",IFERROR(VALUE(LEFT(I5041,FIND(" ",I5041)-1)),""),"")</f>
        <v>71</v>
      </c>
      <c r="O5041" s="7" t="str">
        <f aca="false">IF(B5041="TV Show",IFERROR(VALUE(LEFT(I5041,FIND(" ",I5041)-1)),""),"")</f>
        <v/>
      </c>
      <c r="P5041" s="7" t="n">
        <f aca="false">IF(K5041="","",K5041-G5041)</f>
        <v>7</v>
      </c>
    </row>
    <row r="5042" customFormat="false" ht="15" hidden="false" customHeight="false" outlineLevel="0" collapsed="false">
      <c r="A5042" s="7" t="n">
        <v>70237054</v>
      </c>
      <c r="B5042" s="7" t="s">
        <v>68</v>
      </c>
      <c r="C5042" s="7" t="s">
        <v>10181</v>
      </c>
      <c r="D5042" s="7" t="s">
        <v>1621</v>
      </c>
      <c r="E5042" s="7" t="s">
        <v>26</v>
      </c>
      <c r="F5042" s="7" t="s">
        <v>10179</v>
      </c>
      <c r="G5042" s="7" t="n">
        <v>2012</v>
      </c>
      <c r="H5042" s="7" t="s">
        <v>49</v>
      </c>
      <c r="I5042" s="7" t="s">
        <v>162</v>
      </c>
      <c r="J5042" s="7" t="s">
        <v>45</v>
      </c>
      <c r="K5042" s="7" t="n">
        <f aca="false">IFERROR(VALUE(RIGHT(TRIM(F5042),4)),"")</f>
        <v>2016</v>
      </c>
      <c r="L5042" s="7" t="str">
        <f aca="false">IF(TRIM(E5042)="","Unknown",IFERROR(LEFT(TRIM(E5042),FIND(",",TRIM(E5042))-1),TRIM(E5042)))</f>
        <v>United States</v>
      </c>
      <c r="M5042" s="7" t="str">
        <f aca="false">IFERROR(LEFT(J5042,FIND(",",J5042)-1),J5042)</f>
        <v>Stand-Up Comedy</v>
      </c>
      <c r="N5042" s="7" t="n">
        <f aca="false">IF(B5042="Movie",IFERROR(VALUE(LEFT(I5042,FIND(" ",I5042)-1)),""),"")</f>
        <v>77</v>
      </c>
      <c r="O5042" s="7" t="str">
        <f aca="false">IF(B5042="TV Show",IFERROR(VALUE(LEFT(I5042,FIND(" ",I5042)-1)),""),"")</f>
        <v/>
      </c>
      <c r="P5042" s="7" t="n">
        <f aca="false">IF(K5042="","",K5042-G5042)</f>
        <v>4</v>
      </c>
    </row>
    <row r="5043" customFormat="false" ht="15" hidden="false" customHeight="false" outlineLevel="0" collapsed="false">
      <c r="A5043" s="7" t="n">
        <v>70301469</v>
      </c>
      <c r="B5043" s="7" t="s">
        <v>68</v>
      </c>
      <c r="C5043" s="7" t="s">
        <v>10182</v>
      </c>
      <c r="D5043" s="7" t="s">
        <v>1151</v>
      </c>
      <c r="E5043" s="7" t="s">
        <v>26</v>
      </c>
      <c r="F5043" s="7" t="s">
        <v>10179</v>
      </c>
      <c r="G5043" s="7" t="n">
        <v>2014</v>
      </c>
      <c r="H5043" s="7" t="s">
        <v>49</v>
      </c>
      <c r="I5043" s="7" t="s">
        <v>254</v>
      </c>
      <c r="J5043" s="7" t="s">
        <v>45</v>
      </c>
      <c r="K5043" s="7" t="n">
        <f aca="false">IFERROR(VALUE(RIGHT(TRIM(F5043),4)),"")</f>
        <v>2016</v>
      </c>
      <c r="L5043" s="7" t="str">
        <f aca="false">IF(TRIM(E5043)="","Unknown",IFERROR(LEFT(TRIM(E5043),FIND(",",TRIM(E5043))-1),TRIM(E5043)))</f>
        <v>United States</v>
      </c>
      <c r="M5043" s="7" t="str">
        <f aca="false">IFERROR(LEFT(J5043,FIND(",",J5043)-1),J5043)</f>
        <v>Stand-Up Comedy</v>
      </c>
      <c r="N5043" s="7" t="n">
        <f aca="false">IF(B5043="Movie",IFERROR(VALUE(LEFT(I5043,FIND(" ",I5043)-1)),""),"")</f>
        <v>70</v>
      </c>
      <c r="O5043" s="7" t="str">
        <f aca="false">IF(B5043="TV Show",IFERROR(VALUE(LEFT(I5043,FIND(" ",I5043)-1)),""),"")</f>
        <v/>
      </c>
      <c r="P5043" s="7" t="n">
        <f aca="false">IF(K5043="","",K5043-G5043)</f>
        <v>2</v>
      </c>
    </row>
    <row r="5044" customFormat="false" ht="15" hidden="false" customHeight="false" outlineLevel="0" collapsed="false">
      <c r="A5044" s="7" t="n">
        <v>80165437</v>
      </c>
      <c r="B5044" s="7" t="s">
        <v>78</v>
      </c>
      <c r="C5044" s="7" t="s">
        <v>10183</v>
      </c>
      <c r="E5044" s="7" t="s">
        <v>35</v>
      </c>
      <c r="F5044" s="7" t="s">
        <v>10184</v>
      </c>
      <c r="G5044" s="7" t="n">
        <v>2018</v>
      </c>
      <c r="H5044" s="7" t="s">
        <v>49</v>
      </c>
      <c r="I5044" s="7" t="s">
        <v>82</v>
      </c>
      <c r="J5044" s="7" t="s">
        <v>1637</v>
      </c>
      <c r="K5044" s="7" t="n">
        <f aca="false">IFERROR(VALUE(RIGHT(TRIM(F5044),4)),"")</f>
        <v>2018</v>
      </c>
      <c r="L5044" s="7" t="str">
        <f aca="false">IF(TRIM(E5044)="","Unknown",IFERROR(LEFT(TRIM(E5044),FIND(",",TRIM(E5044))-1),TRIM(E5044)))</f>
        <v>Australia</v>
      </c>
      <c r="M5044" s="7" t="str">
        <f aca="false">IFERROR(LEFT(J5044,FIND(",",J5044)-1),J5044)</f>
        <v>Docuseries</v>
      </c>
      <c r="N5044" s="7" t="str">
        <f aca="false">IF(B5044="Movie",IFERROR(VALUE(LEFT(I5044,FIND(" ",I5044)-1)),""),"")</f>
        <v/>
      </c>
      <c r="O5044" s="7" t="n">
        <f aca="false">IF(B5044="TV Show",IFERROR(VALUE(LEFT(I5044,FIND(" ",I5044)-1)),""),"")</f>
        <v>1</v>
      </c>
      <c r="P5044" s="7" t="n">
        <f aca="false">IF(K5044="","",K5044-G5044)</f>
        <v>0</v>
      </c>
    </row>
    <row r="5045" customFormat="false" ht="15" hidden="false" customHeight="false" outlineLevel="0" collapsed="false">
      <c r="A5045" s="7" t="n">
        <v>80188953</v>
      </c>
      <c r="B5045" s="7" t="s">
        <v>78</v>
      </c>
      <c r="C5045" s="7" t="s">
        <v>10185</v>
      </c>
      <c r="E5045" s="7" t="s">
        <v>26</v>
      </c>
      <c r="F5045" s="7" t="s">
        <v>10184</v>
      </c>
      <c r="G5045" s="7" t="n">
        <v>2018</v>
      </c>
      <c r="H5045" s="7" t="s">
        <v>48</v>
      </c>
      <c r="I5045" s="7" t="s">
        <v>82</v>
      </c>
      <c r="J5045" s="7" t="s">
        <v>1046</v>
      </c>
      <c r="K5045" s="7" t="n">
        <f aca="false">IFERROR(VALUE(RIGHT(TRIM(F5045),4)),"")</f>
        <v>2018</v>
      </c>
      <c r="L5045" s="7" t="str">
        <f aca="false">IF(TRIM(E5045)="","Unknown",IFERROR(LEFT(TRIM(E5045),FIND(",",TRIM(E5045))-1),TRIM(E5045)))</f>
        <v>United States</v>
      </c>
      <c r="M5045" s="7" t="str">
        <f aca="false">IFERROR(LEFT(J5045,FIND(",",J5045)-1),J5045)</f>
        <v>Docuseries</v>
      </c>
      <c r="N5045" s="7" t="str">
        <f aca="false">IF(B5045="Movie",IFERROR(VALUE(LEFT(I5045,FIND(" ",I5045)-1)),""),"")</f>
        <v/>
      </c>
      <c r="O5045" s="7" t="n">
        <f aca="false">IF(B5045="TV Show",IFERROR(VALUE(LEFT(I5045,FIND(" ",I5045)-1)),""),"")</f>
        <v>1</v>
      </c>
      <c r="P5045" s="7" t="n">
        <f aca="false">IF(K5045="","",K5045-G5045)</f>
        <v>0</v>
      </c>
    </row>
    <row r="5046" customFormat="false" ht="15" hidden="false" customHeight="false" outlineLevel="0" collapsed="false">
      <c r="A5046" s="7" t="n">
        <v>80211884</v>
      </c>
      <c r="B5046" s="7" t="s">
        <v>78</v>
      </c>
      <c r="C5046" s="7" t="s">
        <v>10186</v>
      </c>
      <c r="E5046" s="7" t="s">
        <v>26</v>
      </c>
      <c r="F5046" s="7" t="s">
        <v>10184</v>
      </c>
      <c r="G5046" s="7" t="n">
        <v>2018</v>
      </c>
      <c r="H5046" s="7" t="s">
        <v>50</v>
      </c>
      <c r="I5046" s="7" t="s">
        <v>82</v>
      </c>
      <c r="J5046" s="7" t="s">
        <v>289</v>
      </c>
      <c r="K5046" s="7" t="n">
        <f aca="false">IFERROR(VALUE(RIGHT(TRIM(F5046),4)),"")</f>
        <v>2018</v>
      </c>
      <c r="L5046" s="7" t="str">
        <f aca="false">IF(TRIM(E5046)="","Unknown",IFERROR(LEFT(TRIM(E5046),FIND(",",TRIM(E5046))-1),TRIM(E5046)))</f>
        <v>United States</v>
      </c>
      <c r="M5046" s="7" t="str">
        <f aca="false">IFERROR(LEFT(J5046,FIND(",",J5046)-1),J5046)</f>
        <v>TV Comedies</v>
      </c>
      <c r="N5046" s="7" t="str">
        <f aca="false">IF(B5046="Movie",IFERROR(VALUE(LEFT(I5046,FIND(" ",I5046)-1)),""),"")</f>
        <v/>
      </c>
      <c r="O5046" s="7" t="n">
        <f aca="false">IF(B5046="TV Show",IFERROR(VALUE(LEFT(I5046,FIND(" ",I5046)-1)),""),"")</f>
        <v>1</v>
      </c>
      <c r="P5046" s="7" t="n">
        <f aca="false">IF(K5046="","",K5046-G5046)</f>
        <v>0</v>
      </c>
    </row>
    <row r="5047" customFormat="false" ht="15" hidden="false" customHeight="false" outlineLevel="0" collapsed="false">
      <c r="A5047" s="7" t="n">
        <v>81005454</v>
      </c>
      <c r="B5047" s="7" t="s">
        <v>68</v>
      </c>
      <c r="C5047" s="7" t="s">
        <v>10187</v>
      </c>
      <c r="D5047" s="7" t="s">
        <v>10188</v>
      </c>
      <c r="E5047" s="7" t="s">
        <v>10189</v>
      </c>
      <c r="F5047" s="7" t="s">
        <v>10184</v>
      </c>
      <c r="G5047" s="7" t="n">
        <v>2018</v>
      </c>
      <c r="H5047" s="7" t="s">
        <v>49</v>
      </c>
      <c r="I5047" s="7" t="s">
        <v>2551</v>
      </c>
      <c r="J5047" s="7" t="s">
        <v>188</v>
      </c>
      <c r="K5047" s="7" t="n">
        <f aca="false">IFERROR(VALUE(RIGHT(TRIM(F5047),4)),"")</f>
        <v>2018</v>
      </c>
      <c r="L5047" s="7" t="str">
        <f aca="false">IF(TRIM(E5047)="","Unknown",IFERROR(LEFT(TRIM(E5047),FIND(",",TRIM(E5047))-1),TRIM(E5047)))</f>
        <v>India</v>
      </c>
      <c r="M5047" s="7" t="str">
        <f aca="false">IFERROR(LEFT(J5047,FIND(",",J5047)-1),J5047)</f>
        <v>Dramas</v>
      </c>
      <c r="N5047" s="7" t="n">
        <f aca="false">IF(B5047="Movie",IFERROR(VALUE(LEFT(I5047,FIND(" ",I5047)-1)),""),"")</f>
        <v>120</v>
      </c>
      <c r="O5047" s="7" t="str">
        <f aca="false">IF(B5047="TV Show",IFERROR(VALUE(LEFT(I5047,FIND(" ",I5047)-1)),""),"")</f>
        <v/>
      </c>
      <c r="P5047" s="7" t="n">
        <f aca="false">IF(K5047="","",K5047-G5047)</f>
        <v>0</v>
      </c>
    </row>
    <row r="5048" customFormat="false" ht="15" hidden="false" customHeight="false" outlineLevel="0" collapsed="false">
      <c r="A5048" s="7" t="n">
        <v>80995575</v>
      </c>
      <c r="B5048" s="7" t="s">
        <v>68</v>
      </c>
      <c r="C5048" s="7" t="s">
        <v>2232</v>
      </c>
      <c r="D5048" s="7" t="s">
        <v>2233</v>
      </c>
      <c r="E5048" s="7" t="s">
        <v>325</v>
      </c>
      <c r="F5048" s="7" t="s">
        <v>10184</v>
      </c>
      <c r="G5048" s="7" t="n">
        <v>2013</v>
      </c>
      <c r="H5048" s="7" t="s">
        <v>49</v>
      </c>
      <c r="I5048" s="7" t="s">
        <v>470</v>
      </c>
      <c r="J5048" s="7" t="s">
        <v>341</v>
      </c>
      <c r="K5048" s="7" t="n">
        <f aca="false">IFERROR(VALUE(RIGHT(TRIM(F5048),4)),"")</f>
        <v>2018</v>
      </c>
      <c r="L5048" s="7" t="str">
        <f aca="false">IF(TRIM(E5048)="","Unknown",IFERROR(LEFT(TRIM(E5048),FIND(",",TRIM(E5048))-1),TRIM(E5048)))</f>
        <v>Brazil</v>
      </c>
      <c r="M5048" s="7" t="str">
        <f aca="false">IFERROR(LEFT(J5048,FIND(",",J5048)-1),J5048)</f>
        <v>Documentaries</v>
      </c>
      <c r="N5048" s="7" t="n">
        <f aca="false">IF(B5048="Movie",IFERROR(VALUE(LEFT(I5048,FIND(" ",I5048)-1)),""),"")</f>
        <v>91</v>
      </c>
      <c r="O5048" s="7" t="str">
        <f aca="false">IF(B5048="TV Show",IFERROR(VALUE(LEFT(I5048,FIND(" ",I5048)-1)),""),"")</f>
        <v/>
      </c>
      <c r="P5048" s="7" t="n">
        <f aca="false">IF(K5048="","",K5048-G5048)</f>
        <v>5</v>
      </c>
    </row>
    <row r="5049" customFormat="false" ht="15" hidden="false" customHeight="false" outlineLevel="0" collapsed="false">
      <c r="A5049" s="7" t="n">
        <v>80223371</v>
      </c>
      <c r="B5049" s="7" t="s">
        <v>68</v>
      </c>
      <c r="C5049" s="7" t="s">
        <v>10190</v>
      </c>
      <c r="D5049" s="7" t="s">
        <v>7367</v>
      </c>
      <c r="E5049" s="7" t="s">
        <v>2062</v>
      </c>
      <c r="F5049" s="7" t="s">
        <v>10184</v>
      </c>
      <c r="G5049" s="7" t="n">
        <v>2018</v>
      </c>
      <c r="H5049" s="7" t="s">
        <v>49</v>
      </c>
      <c r="I5049" s="7" t="s">
        <v>549</v>
      </c>
      <c r="J5049" s="7" t="s">
        <v>269</v>
      </c>
      <c r="K5049" s="7" t="n">
        <f aca="false">IFERROR(VALUE(RIGHT(TRIM(F5049),4)),"")</f>
        <v>2018</v>
      </c>
      <c r="L5049" s="7" t="str">
        <f aca="false">IF(TRIM(E5049)="","Unknown",IFERROR(LEFT(TRIM(E5049),FIND(",",TRIM(E5049))-1),TRIM(E5049)))</f>
        <v>United Kingdom</v>
      </c>
      <c r="M5049" s="7" t="str">
        <f aca="false">IFERROR(LEFT(J5049,FIND(",",J5049)-1),J5049)</f>
        <v>Dramas</v>
      </c>
      <c r="N5049" s="7" t="n">
        <f aca="false">IF(B5049="Movie",IFERROR(VALUE(LEFT(I5049,FIND(" ",I5049)-1)),""),"")</f>
        <v>124</v>
      </c>
      <c r="O5049" s="7" t="str">
        <f aca="false">IF(B5049="TV Show",IFERROR(VALUE(LEFT(I5049,FIND(" ",I5049)-1)),""),"")</f>
        <v/>
      </c>
      <c r="P5049" s="7" t="n">
        <f aca="false">IF(K5049="","",K5049-G5049)</f>
        <v>0</v>
      </c>
    </row>
    <row r="5050" customFormat="false" ht="15" hidden="false" customHeight="false" outlineLevel="0" collapsed="false">
      <c r="A5050" s="7" t="n">
        <v>80175147</v>
      </c>
      <c r="B5050" s="7" t="s">
        <v>68</v>
      </c>
      <c r="C5050" s="7" t="s">
        <v>10191</v>
      </c>
      <c r="D5050" s="7" t="s">
        <v>10192</v>
      </c>
      <c r="E5050" s="7" t="s">
        <v>26</v>
      </c>
      <c r="F5050" s="7" t="s">
        <v>10184</v>
      </c>
      <c r="G5050" s="7" t="n">
        <v>2018</v>
      </c>
      <c r="H5050" s="7" t="s">
        <v>48</v>
      </c>
      <c r="I5050" s="7" t="s">
        <v>111</v>
      </c>
      <c r="J5050" s="7" t="s">
        <v>38</v>
      </c>
      <c r="K5050" s="7" t="n">
        <f aca="false">IFERROR(VALUE(RIGHT(TRIM(F5050),4)),"")</f>
        <v>2018</v>
      </c>
      <c r="L5050" s="7" t="str">
        <f aca="false">IF(TRIM(E5050)="","Unknown",IFERROR(LEFT(TRIM(E5050),FIND(",",TRIM(E5050))-1),TRIM(E5050)))</f>
        <v>United States</v>
      </c>
      <c r="M5050" s="7" t="str">
        <f aca="false">IFERROR(LEFT(J5050,FIND(",",J5050)-1),J5050)</f>
        <v>Comedies</v>
      </c>
      <c r="N5050" s="7" t="n">
        <f aca="false">IF(B5050="Movie",IFERROR(VALUE(LEFT(I5050,FIND(" ",I5050)-1)),""),"")</f>
        <v>95</v>
      </c>
      <c r="O5050" s="7" t="str">
        <f aca="false">IF(B5050="TV Show",IFERROR(VALUE(LEFT(I5050,FIND(" ",I5050)-1)),""),"")</f>
        <v/>
      </c>
      <c r="P5050" s="7" t="n">
        <f aca="false">IF(K5050="","",K5050-G5050)</f>
        <v>0</v>
      </c>
    </row>
    <row r="5051" customFormat="false" ht="15" hidden="false" customHeight="false" outlineLevel="0" collapsed="false">
      <c r="A5051" s="7" t="n">
        <v>80239831</v>
      </c>
      <c r="B5051" s="7" t="s">
        <v>68</v>
      </c>
      <c r="C5051" s="7" t="s">
        <v>10193</v>
      </c>
      <c r="D5051" s="7" t="s">
        <v>10194</v>
      </c>
      <c r="E5051" s="7" t="s">
        <v>26</v>
      </c>
      <c r="F5051" s="7" t="s">
        <v>10184</v>
      </c>
      <c r="G5051" s="7" t="n">
        <v>2018</v>
      </c>
      <c r="H5051" s="7" t="s">
        <v>50</v>
      </c>
      <c r="I5051" s="7" t="s">
        <v>5344</v>
      </c>
      <c r="J5051" s="7" t="s">
        <v>1085</v>
      </c>
      <c r="K5051" s="7" t="n">
        <f aca="false">IFERROR(VALUE(RIGHT(TRIM(F5051),4)),"")</f>
        <v>2018</v>
      </c>
      <c r="L5051" s="7" t="str">
        <f aca="false">IF(TRIM(E5051)="","Unknown",IFERROR(LEFT(TRIM(E5051),FIND(",",TRIM(E5051))-1),TRIM(E5051)))</f>
        <v>United States</v>
      </c>
      <c r="M5051" s="7" t="str">
        <f aca="false">IFERROR(LEFT(J5051,FIND(",",J5051)-1),J5051)</f>
        <v>Documentaries</v>
      </c>
      <c r="N5051" s="7" t="n">
        <f aca="false">IF(B5051="Movie",IFERROR(VALUE(LEFT(I5051,FIND(" ",I5051)-1)),""),"")</f>
        <v>12</v>
      </c>
      <c r="O5051" s="7" t="str">
        <f aca="false">IF(B5051="TV Show",IFERROR(VALUE(LEFT(I5051,FIND(" ",I5051)-1)),""),"")</f>
        <v/>
      </c>
      <c r="P5051" s="7" t="n">
        <f aca="false">IF(K5051="","",K5051-G5051)</f>
        <v>0</v>
      </c>
    </row>
    <row r="5052" customFormat="false" ht="15" hidden="false" customHeight="false" outlineLevel="0" collapsed="false">
      <c r="A5052" s="7" t="n">
        <v>80105356</v>
      </c>
      <c r="B5052" s="7" t="s">
        <v>68</v>
      </c>
      <c r="C5052" s="7" t="s">
        <v>10195</v>
      </c>
      <c r="D5052" s="7" t="s">
        <v>10196</v>
      </c>
      <c r="E5052" s="7" t="s">
        <v>5688</v>
      </c>
      <c r="F5052" s="7" t="s">
        <v>10197</v>
      </c>
      <c r="G5052" s="7" t="n">
        <v>2016</v>
      </c>
      <c r="H5052" s="7" t="s">
        <v>49</v>
      </c>
      <c r="I5052" s="7" t="s">
        <v>357</v>
      </c>
      <c r="J5052" s="7" t="s">
        <v>39</v>
      </c>
      <c r="K5052" s="7" t="n">
        <f aca="false">IFERROR(VALUE(RIGHT(TRIM(F5052),4)),"")</f>
        <v>2017</v>
      </c>
      <c r="L5052" s="7" t="str">
        <f aca="false">IF(TRIM(E5052)="","Unknown",IFERROR(LEFT(TRIM(E5052),FIND(",",TRIM(E5052))-1),TRIM(E5052)))</f>
        <v>Sweden</v>
      </c>
      <c r="M5052" s="7" t="str">
        <f aca="false">IFERROR(LEFT(J5052,FIND(",",J5052)-1),J5052)</f>
        <v>Documentaries</v>
      </c>
      <c r="N5052" s="7" t="n">
        <f aca="false">IF(B5052="Movie",IFERROR(VALUE(LEFT(I5052,FIND(" ",I5052)-1)),""),"")</f>
        <v>89</v>
      </c>
      <c r="O5052" s="7" t="str">
        <f aca="false">IF(B5052="TV Show",IFERROR(VALUE(LEFT(I5052,FIND(" ",I5052)-1)),""),"")</f>
        <v/>
      </c>
      <c r="P5052" s="7" t="n">
        <f aca="false">IF(K5052="","",K5052-G5052)</f>
        <v>1</v>
      </c>
    </row>
    <row r="5053" customFormat="false" ht="15" hidden="false" customHeight="false" outlineLevel="0" collapsed="false">
      <c r="A5053" s="7" t="n">
        <v>70296443</v>
      </c>
      <c r="B5053" s="7" t="s">
        <v>68</v>
      </c>
      <c r="C5053" s="7" t="s">
        <v>10198</v>
      </c>
      <c r="D5053" s="7" t="s">
        <v>10199</v>
      </c>
      <c r="E5053" s="7" t="s">
        <v>26</v>
      </c>
      <c r="F5053" s="7" t="s">
        <v>10197</v>
      </c>
      <c r="G5053" s="7" t="n">
        <v>2015</v>
      </c>
      <c r="H5053" s="7" t="s">
        <v>51</v>
      </c>
      <c r="I5053" s="7" t="s">
        <v>524</v>
      </c>
      <c r="J5053" s="7" t="s">
        <v>652</v>
      </c>
      <c r="K5053" s="7" t="n">
        <f aca="false">IFERROR(VALUE(RIGHT(TRIM(F5053),4)),"")</f>
        <v>2017</v>
      </c>
      <c r="L5053" s="7" t="str">
        <f aca="false">IF(TRIM(E5053)="","Unknown",IFERROR(LEFT(TRIM(E5053),FIND(",",TRIM(E5053))-1),TRIM(E5053)))</f>
        <v>United States</v>
      </c>
      <c r="M5053" s="7" t="str">
        <f aca="false">IFERROR(LEFT(J5053,FIND(",",J5053)-1),J5053)</f>
        <v>Horror Movies</v>
      </c>
      <c r="N5053" s="7" t="n">
        <f aca="false">IF(B5053="Movie",IFERROR(VALUE(LEFT(I5053,FIND(" ",I5053)-1)),""),"")</f>
        <v>83</v>
      </c>
      <c r="O5053" s="7" t="str">
        <f aca="false">IF(B5053="TV Show",IFERROR(VALUE(LEFT(I5053,FIND(" ",I5053)-1)),""),"")</f>
        <v/>
      </c>
      <c r="P5053" s="7" t="n">
        <f aca="false">IF(K5053="","",K5053-G5053)</f>
        <v>2</v>
      </c>
    </row>
    <row r="5054" customFormat="false" ht="15" hidden="false" customHeight="false" outlineLevel="0" collapsed="false">
      <c r="A5054" s="7" t="n">
        <v>80168033</v>
      </c>
      <c r="B5054" s="7" t="s">
        <v>68</v>
      </c>
      <c r="C5054" s="7" t="s">
        <v>10200</v>
      </c>
      <c r="D5054" s="7" t="s">
        <v>10201</v>
      </c>
      <c r="E5054" s="7" t="s">
        <v>317</v>
      </c>
      <c r="F5054" s="7" t="s">
        <v>10197</v>
      </c>
      <c r="G5054" s="7" t="n">
        <v>2016</v>
      </c>
      <c r="H5054" s="7" t="s">
        <v>48</v>
      </c>
      <c r="I5054" s="7" t="s">
        <v>134</v>
      </c>
      <c r="J5054" s="7" t="s">
        <v>509</v>
      </c>
      <c r="K5054" s="7" t="n">
        <f aca="false">IFERROR(VALUE(RIGHT(TRIM(F5054),4)),"")</f>
        <v>2017</v>
      </c>
      <c r="L5054" s="7" t="str">
        <f aca="false">IF(TRIM(E5054)="","Unknown",IFERROR(LEFT(TRIM(E5054),FIND(",",TRIM(E5054))-1),TRIM(E5054)))</f>
        <v>United Kingdom</v>
      </c>
      <c r="M5054" s="7" t="str">
        <f aca="false">IFERROR(LEFT(J5054,FIND(",",J5054)-1),J5054)</f>
        <v>Documentaries</v>
      </c>
      <c r="N5054" s="7" t="n">
        <f aca="false">IF(B5054="Movie",IFERROR(VALUE(LEFT(I5054,FIND(" ",I5054)-1)),""),"")</f>
        <v>98</v>
      </c>
      <c r="O5054" s="7" t="str">
        <f aca="false">IF(B5054="TV Show",IFERROR(VALUE(LEFT(I5054,FIND(" ",I5054)-1)),""),"")</f>
        <v/>
      </c>
      <c r="P5054" s="7" t="n">
        <f aca="false">IF(K5054="","",K5054-G5054)</f>
        <v>1</v>
      </c>
    </row>
    <row r="5055" customFormat="false" ht="15" hidden="false" customHeight="false" outlineLevel="0" collapsed="false">
      <c r="A5055" s="7" t="n">
        <v>80160346</v>
      </c>
      <c r="B5055" s="7" t="s">
        <v>68</v>
      </c>
      <c r="C5055" s="7" t="s">
        <v>951</v>
      </c>
      <c r="D5055" s="7" t="s">
        <v>3203</v>
      </c>
      <c r="E5055" s="7" t="s">
        <v>26</v>
      </c>
      <c r="F5055" s="7" t="s">
        <v>10197</v>
      </c>
      <c r="G5055" s="7" t="n">
        <v>2017</v>
      </c>
      <c r="H5055" s="7" t="s">
        <v>49</v>
      </c>
      <c r="I5055" s="7" t="s">
        <v>311</v>
      </c>
      <c r="J5055" s="7" t="s">
        <v>40</v>
      </c>
      <c r="K5055" s="7" t="n">
        <f aca="false">IFERROR(VALUE(RIGHT(TRIM(F5055),4)),"")</f>
        <v>2017</v>
      </c>
      <c r="L5055" s="7" t="str">
        <f aca="false">IF(TRIM(E5055)="","Unknown",IFERROR(LEFT(TRIM(E5055),FIND(",",TRIM(E5055))-1),TRIM(E5055)))</f>
        <v>United States</v>
      </c>
      <c r="M5055" s="7" t="str">
        <f aca="false">IFERROR(LEFT(J5055,FIND(",",J5055)-1),J5055)</f>
        <v>Action &amp; Adventure</v>
      </c>
      <c r="N5055" s="7" t="n">
        <f aca="false">IF(B5055="Movie",IFERROR(VALUE(LEFT(I5055,FIND(" ",I5055)-1)),""),"")</f>
        <v>92</v>
      </c>
      <c r="O5055" s="7" t="str">
        <f aca="false">IF(B5055="TV Show",IFERROR(VALUE(LEFT(I5055,FIND(" ",I5055)-1)),""),"")</f>
        <v/>
      </c>
      <c r="P5055" s="7" t="n">
        <f aca="false">IF(K5055="","",K5055-G5055)</f>
        <v>0</v>
      </c>
    </row>
    <row r="5056" customFormat="false" ht="15" hidden="false" customHeight="false" outlineLevel="0" collapsed="false">
      <c r="A5056" s="7" t="n">
        <v>70121522</v>
      </c>
      <c r="B5056" s="7" t="s">
        <v>68</v>
      </c>
      <c r="C5056" s="7" t="s">
        <v>10202</v>
      </c>
      <c r="D5056" s="7" t="s">
        <v>215</v>
      </c>
      <c r="E5056" s="7" t="s">
        <v>27</v>
      </c>
      <c r="F5056" s="7" t="s">
        <v>10203</v>
      </c>
      <c r="G5056" s="7" t="n">
        <v>2009</v>
      </c>
      <c r="H5056" s="7" t="s">
        <v>52</v>
      </c>
      <c r="I5056" s="7" t="s">
        <v>3971</v>
      </c>
      <c r="J5056" s="7" t="s">
        <v>217</v>
      </c>
      <c r="K5056" s="7" t="n">
        <f aca="false">IFERROR(VALUE(RIGHT(TRIM(F5056),4)),"")</f>
        <v>2019</v>
      </c>
      <c r="L5056" s="7" t="str">
        <f aca="false">IF(TRIM(E5056)="","Unknown",IFERROR(LEFT(TRIM(E5056),FIND(",",TRIM(E5056))-1),TRIM(E5056)))</f>
        <v>India</v>
      </c>
      <c r="M5056" s="7" t="str">
        <f aca="false">IFERROR(LEFT(J5056,FIND(",",J5056)-1),J5056)</f>
        <v>Comedies</v>
      </c>
      <c r="N5056" s="7" t="n">
        <f aca="false">IF(B5056="Movie",IFERROR(VALUE(LEFT(I5056,FIND(" ",I5056)-1)),""),"")</f>
        <v>164</v>
      </c>
      <c r="O5056" s="7" t="str">
        <f aca="false">IF(B5056="TV Show",IFERROR(VALUE(LEFT(I5056,FIND(" ",I5056)-1)),""),"")</f>
        <v/>
      </c>
      <c r="P5056" s="7" t="n">
        <f aca="false">IF(K5056="","",K5056-G5056)</f>
        <v>10</v>
      </c>
    </row>
    <row r="5057" customFormat="false" ht="15" hidden="false" customHeight="false" outlineLevel="0" collapsed="false">
      <c r="A5057" s="7" t="n">
        <v>81065784</v>
      </c>
      <c r="B5057" s="7" t="s">
        <v>68</v>
      </c>
      <c r="C5057" s="7" t="s">
        <v>10204</v>
      </c>
      <c r="D5057" s="7" t="s">
        <v>10205</v>
      </c>
      <c r="E5057" s="7" t="s">
        <v>963</v>
      </c>
      <c r="F5057" s="7" t="s">
        <v>10203</v>
      </c>
      <c r="G5057" s="7" t="n">
        <v>2018</v>
      </c>
      <c r="H5057" s="7" t="s">
        <v>49</v>
      </c>
      <c r="I5057" s="7" t="s">
        <v>494</v>
      </c>
      <c r="J5057" s="7" t="s">
        <v>217</v>
      </c>
      <c r="K5057" s="7" t="n">
        <f aca="false">IFERROR(VALUE(RIGHT(TRIM(F5057),4)),"")</f>
        <v>2019</v>
      </c>
      <c r="L5057" s="7" t="str">
        <f aca="false">IF(TRIM(E5057)="","Unknown",IFERROR(LEFT(TRIM(E5057),FIND(",",TRIM(E5057))-1),TRIM(E5057)))</f>
        <v>Egypt</v>
      </c>
      <c r="M5057" s="7" t="str">
        <f aca="false">IFERROR(LEFT(J5057,FIND(",",J5057)-1),J5057)</f>
        <v>Comedies</v>
      </c>
      <c r="N5057" s="7" t="n">
        <f aca="false">IF(B5057="Movie",IFERROR(VALUE(LEFT(I5057,FIND(" ",I5057)-1)),""),"")</f>
        <v>87</v>
      </c>
      <c r="O5057" s="7" t="str">
        <f aca="false">IF(B5057="TV Show",IFERROR(VALUE(LEFT(I5057,FIND(" ",I5057)-1)),""),"")</f>
        <v/>
      </c>
      <c r="P5057" s="7" t="n">
        <f aca="false">IF(K5057="","",K5057-G5057)</f>
        <v>1</v>
      </c>
    </row>
    <row r="5058" customFormat="false" ht="15" hidden="false" customHeight="false" outlineLevel="0" collapsed="false">
      <c r="A5058" s="7" t="n">
        <v>80124099</v>
      </c>
      <c r="B5058" s="7" t="s">
        <v>68</v>
      </c>
      <c r="C5058" s="7" t="s">
        <v>10206</v>
      </c>
      <c r="D5058" s="7" t="s">
        <v>10207</v>
      </c>
      <c r="E5058" s="7" t="s">
        <v>4360</v>
      </c>
      <c r="F5058" s="7" t="s">
        <v>10203</v>
      </c>
      <c r="G5058" s="7" t="n">
        <v>2016</v>
      </c>
      <c r="H5058" s="7" t="s">
        <v>51</v>
      </c>
      <c r="I5058" s="7" t="s">
        <v>73</v>
      </c>
      <c r="J5058" s="7" t="s">
        <v>40</v>
      </c>
      <c r="K5058" s="7" t="n">
        <f aca="false">IFERROR(VALUE(RIGHT(TRIM(F5058),4)),"")</f>
        <v>2019</v>
      </c>
      <c r="L5058" s="7" t="str">
        <f aca="false">IF(TRIM(E5058)="","Unknown",IFERROR(LEFT(TRIM(E5058),FIND(",",TRIM(E5058))-1),TRIM(E5058)))</f>
        <v>Bulgaria</v>
      </c>
      <c r="M5058" s="7" t="str">
        <f aca="false">IFERROR(LEFT(J5058,FIND(",",J5058)-1),J5058)</f>
        <v>Action &amp; Adventure</v>
      </c>
      <c r="N5058" s="7" t="n">
        <f aca="false">IF(B5058="Movie",IFERROR(VALUE(LEFT(I5058,FIND(" ",I5058)-1)),""),"")</f>
        <v>90</v>
      </c>
      <c r="O5058" s="7" t="str">
        <f aca="false">IF(B5058="TV Show",IFERROR(VALUE(LEFT(I5058,FIND(" ",I5058)-1)),""),"")</f>
        <v/>
      </c>
      <c r="P5058" s="7" t="n">
        <f aca="false">IF(K5058="","",K5058-G5058)</f>
        <v>3</v>
      </c>
    </row>
    <row r="5059" customFormat="false" ht="15" hidden="false" customHeight="false" outlineLevel="0" collapsed="false">
      <c r="A5059" s="7" t="n">
        <v>70119812</v>
      </c>
      <c r="B5059" s="7" t="s">
        <v>68</v>
      </c>
      <c r="C5059" s="7" t="s">
        <v>10208</v>
      </c>
      <c r="D5059" s="7" t="s">
        <v>10209</v>
      </c>
      <c r="E5059" s="7" t="s">
        <v>2033</v>
      </c>
      <c r="F5059" s="7" t="s">
        <v>10203</v>
      </c>
      <c r="G5059" s="7" t="n">
        <v>2010</v>
      </c>
      <c r="H5059" s="7" t="s">
        <v>52</v>
      </c>
      <c r="I5059" s="7" t="s">
        <v>173</v>
      </c>
      <c r="J5059" s="7" t="s">
        <v>276</v>
      </c>
      <c r="K5059" s="7" t="n">
        <f aca="false">IFERROR(VALUE(RIGHT(TRIM(F5059),4)),"")</f>
        <v>2019</v>
      </c>
      <c r="L5059" s="7" t="str">
        <f aca="false">IF(TRIM(E5059)="","Unknown",IFERROR(LEFT(TRIM(E5059),FIND(",",TRIM(E5059))-1),TRIM(E5059)))</f>
        <v>United States</v>
      </c>
      <c r="M5059" s="7" t="str">
        <f aca="false">IFERROR(LEFT(J5059,FIND(",",J5059)-1),J5059)</f>
        <v>Action &amp; Adventure</v>
      </c>
      <c r="N5059" s="7" t="n">
        <f aca="false">IF(B5059="Movie",IFERROR(VALUE(LEFT(I5059,FIND(" ",I5059)-1)),""),"")</f>
        <v>106</v>
      </c>
      <c r="O5059" s="7" t="str">
        <f aca="false">IF(B5059="TV Show",IFERROR(VALUE(LEFT(I5059,FIND(" ",I5059)-1)),""),"")</f>
        <v/>
      </c>
      <c r="P5059" s="7" t="n">
        <f aca="false">IF(K5059="","",K5059-G5059)</f>
        <v>9</v>
      </c>
    </row>
    <row r="5060" customFormat="false" ht="15" hidden="false" customHeight="false" outlineLevel="0" collapsed="false">
      <c r="A5060" s="7" t="n">
        <v>60032685</v>
      </c>
      <c r="B5060" s="7" t="s">
        <v>68</v>
      </c>
      <c r="C5060" s="7" t="s">
        <v>10210</v>
      </c>
      <c r="D5060" s="7" t="s">
        <v>10211</v>
      </c>
      <c r="E5060" s="7" t="s">
        <v>27</v>
      </c>
      <c r="F5060" s="7" t="s">
        <v>10203</v>
      </c>
      <c r="G5060" s="7" t="n">
        <v>2003</v>
      </c>
      <c r="H5060" s="7" t="s">
        <v>48</v>
      </c>
      <c r="I5060" s="7" t="s">
        <v>237</v>
      </c>
      <c r="J5060" s="7" t="s">
        <v>1014</v>
      </c>
      <c r="K5060" s="7" t="n">
        <f aca="false">IFERROR(VALUE(RIGHT(TRIM(F5060),4)),"")</f>
        <v>2019</v>
      </c>
      <c r="L5060" s="7" t="str">
        <f aca="false">IF(TRIM(E5060)="","Unknown",IFERROR(LEFT(TRIM(E5060),FIND(",",TRIM(E5060))-1),TRIM(E5060)))</f>
        <v>India</v>
      </c>
      <c r="M5060" s="7" t="str">
        <f aca="false">IFERROR(LEFT(J5060,FIND(",",J5060)-1),J5060)</f>
        <v>Horror Movies</v>
      </c>
      <c r="N5060" s="7" t="n">
        <f aca="false">IF(B5060="Movie",IFERROR(VALUE(LEFT(I5060,FIND(" ",I5060)-1)),""),"")</f>
        <v>116</v>
      </c>
      <c r="O5060" s="7" t="str">
        <f aca="false">IF(B5060="TV Show",IFERROR(VALUE(LEFT(I5060,FIND(" ",I5060)-1)),""),"")</f>
        <v/>
      </c>
      <c r="P5060" s="7" t="n">
        <f aca="false">IF(K5060="","",K5060-G5060)</f>
        <v>16</v>
      </c>
    </row>
    <row r="5061" customFormat="false" ht="15" hidden="false" customHeight="false" outlineLevel="0" collapsed="false">
      <c r="A5061" s="7" t="n">
        <v>70006816</v>
      </c>
      <c r="B5061" s="7" t="s">
        <v>68</v>
      </c>
      <c r="C5061" s="7" t="s">
        <v>10212</v>
      </c>
      <c r="D5061" s="7" t="s">
        <v>9164</v>
      </c>
      <c r="E5061" s="7" t="s">
        <v>27</v>
      </c>
      <c r="F5061" s="7" t="s">
        <v>10203</v>
      </c>
      <c r="G5061" s="7" t="n">
        <v>2004</v>
      </c>
      <c r="H5061" s="7" t="s">
        <v>48</v>
      </c>
      <c r="I5061" s="7" t="s">
        <v>2192</v>
      </c>
      <c r="J5061" s="7" t="s">
        <v>182</v>
      </c>
      <c r="K5061" s="7" t="n">
        <f aca="false">IFERROR(VALUE(RIGHT(TRIM(F5061),4)),"")</f>
        <v>2019</v>
      </c>
      <c r="L5061" s="7" t="str">
        <f aca="false">IF(TRIM(E5061)="","Unknown",IFERROR(LEFT(TRIM(E5061),FIND(",",TRIM(E5061))-1),TRIM(E5061)))</f>
        <v>India</v>
      </c>
      <c r="M5061" s="7" t="str">
        <f aca="false">IFERROR(LEFT(J5061,FIND(",",J5061)-1),J5061)</f>
        <v>Dramas</v>
      </c>
      <c r="N5061" s="7" t="n">
        <f aca="false">IF(B5061="Movie",IFERROR(VALUE(LEFT(I5061,FIND(" ",I5061)-1)),""),"")</f>
        <v>134</v>
      </c>
      <c r="O5061" s="7" t="str">
        <f aca="false">IF(B5061="TV Show",IFERROR(VALUE(LEFT(I5061,FIND(" ",I5061)-1)),""),"")</f>
        <v/>
      </c>
      <c r="P5061" s="7" t="n">
        <f aca="false">IF(K5061="","",K5061-G5061)</f>
        <v>15</v>
      </c>
    </row>
    <row r="5062" customFormat="false" ht="15" hidden="false" customHeight="false" outlineLevel="0" collapsed="false">
      <c r="A5062" s="7" t="n">
        <v>70236587</v>
      </c>
      <c r="B5062" s="7" t="s">
        <v>68</v>
      </c>
      <c r="C5062" s="7" t="s">
        <v>10213</v>
      </c>
      <c r="D5062" s="7" t="s">
        <v>10214</v>
      </c>
      <c r="E5062" s="7" t="s">
        <v>27</v>
      </c>
      <c r="F5062" s="7" t="s">
        <v>10203</v>
      </c>
      <c r="G5062" s="7" t="n">
        <v>2012</v>
      </c>
      <c r="H5062" s="7" t="s">
        <v>50</v>
      </c>
      <c r="I5062" s="7" t="s">
        <v>201</v>
      </c>
      <c r="J5062" s="7" t="s">
        <v>1841</v>
      </c>
      <c r="K5062" s="7" t="n">
        <f aca="false">IFERROR(VALUE(RIGHT(TRIM(F5062),4)),"")</f>
        <v>2019</v>
      </c>
      <c r="L5062" s="7" t="str">
        <f aca="false">IF(TRIM(E5062)="","Unknown",IFERROR(LEFT(TRIM(E5062),FIND(",",TRIM(E5062))-1),TRIM(E5062)))</f>
        <v>India</v>
      </c>
      <c r="M5062" s="7" t="str">
        <f aca="false">IFERROR(LEFT(J5062,FIND(",",J5062)-1),J5062)</f>
        <v>Comedies</v>
      </c>
      <c r="N5062" s="7" t="n">
        <f aca="false">IF(B5062="Movie",IFERROR(VALUE(LEFT(I5062,FIND(" ",I5062)-1)),""),"")</f>
        <v>133</v>
      </c>
      <c r="O5062" s="7" t="str">
        <f aca="false">IF(B5062="TV Show",IFERROR(VALUE(LEFT(I5062,FIND(" ",I5062)-1)),""),"")</f>
        <v/>
      </c>
      <c r="P5062" s="7" t="n">
        <f aca="false">IF(K5062="","",K5062-G5062)</f>
        <v>7</v>
      </c>
    </row>
    <row r="5063" customFormat="false" ht="15" hidden="false" customHeight="false" outlineLevel="0" collapsed="false">
      <c r="A5063" s="7" t="n">
        <v>520489</v>
      </c>
      <c r="B5063" s="7" t="s">
        <v>68</v>
      </c>
      <c r="C5063" s="7" t="s">
        <v>10215</v>
      </c>
      <c r="D5063" s="7" t="s">
        <v>7367</v>
      </c>
      <c r="E5063" s="7" t="s">
        <v>28</v>
      </c>
      <c r="F5063" s="7" t="s">
        <v>10203</v>
      </c>
      <c r="G5063" s="7" t="n">
        <v>1994</v>
      </c>
      <c r="H5063" s="7" t="s">
        <v>51</v>
      </c>
      <c r="I5063" s="7" t="s">
        <v>1270</v>
      </c>
      <c r="J5063" s="7" t="s">
        <v>8628</v>
      </c>
      <c r="K5063" s="7" t="n">
        <f aca="false">IFERROR(VALUE(RIGHT(TRIM(F5063),4)),"")</f>
        <v>2019</v>
      </c>
      <c r="L5063" s="7" t="str">
        <f aca="false">IF(TRIM(E5063)="","Unknown",IFERROR(LEFT(TRIM(E5063),FIND(",",TRIM(E5063))-1),TRIM(E5063)))</f>
        <v>United Kingdom</v>
      </c>
      <c r="M5063" s="7" t="str">
        <f aca="false">IFERROR(LEFT(J5063,FIND(",",J5063)-1),J5063)</f>
        <v>Classic Movies</v>
      </c>
      <c r="N5063" s="7" t="n">
        <f aca="false">IF(B5063="Movie",IFERROR(VALUE(LEFT(I5063,FIND(" ",I5063)-1)),""),"")</f>
        <v>118</v>
      </c>
      <c r="O5063" s="7" t="str">
        <f aca="false">IF(B5063="TV Show",IFERROR(VALUE(LEFT(I5063,FIND(" ",I5063)-1)),""),"")</f>
        <v/>
      </c>
      <c r="P5063" s="7" t="n">
        <f aca="false">IF(K5063="","",K5063-G5063)</f>
        <v>25</v>
      </c>
    </row>
    <row r="5064" customFormat="false" ht="15" hidden="false" customHeight="false" outlineLevel="0" collapsed="false">
      <c r="A5064" s="7" t="n">
        <v>70266677</v>
      </c>
      <c r="B5064" s="7" t="s">
        <v>68</v>
      </c>
      <c r="C5064" s="7" t="s">
        <v>10216</v>
      </c>
      <c r="D5064" s="7" t="s">
        <v>10217</v>
      </c>
      <c r="E5064" s="7" t="s">
        <v>230</v>
      </c>
      <c r="F5064" s="7" t="s">
        <v>10203</v>
      </c>
      <c r="G5064" s="7" t="n">
        <v>2013</v>
      </c>
      <c r="H5064" s="7" t="s">
        <v>51</v>
      </c>
      <c r="I5064" s="7" t="s">
        <v>2551</v>
      </c>
      <c r="J5064" s="7" t="s">
        <v>10218</v>
      </c>
      <c r="K5064" s="7" t="n">
        <f aca="false">IFERROR(VALUE(RIGHT(TRIM(F5064),4)),"")</f>
        <v>2019</v>
      </c>
      <c r="L5064" s="7" t="str">
        <f aca="false">IF(TRIM(E5064)="","Unknown",IFERROR(LEFT(TRIM(E5064),FIND(",",TRIM(E5064))-1),TRIM(E5064)))</f>
        <v>United States</v>
      </c>
      <c r="M5064" s="7" t="str">
        <f aca="false">IFERROR(LEFT(J5064,FIND(",",J5064)-1),J5064)</f>
        <v>Dramas</v>
      </c>
      <c r="N5064" s="7" t="n">
        <f aca="false">IF(B5064="Movie",IFERROR(VALUE(LEFT(I5064,FIND(" ",I5064)-1)),""),"")</f>
        <v>120</v>
      </c>
      <c r="O5064" s="7" t="str">
        <f aca="false">IF(B5064="TV Show",IFERROR(VALUE(LEFT(I5064,FIND(" ",I5064)-1)),""),"")</f>
        <v/>
      </c>
      <c r="P5064" s="7" t="n">
        <f aca="false">IF(K5064="","",K5064-G5064)</f>
        <v>6</v>
      </c>
    </row>
    <row r="5065" customFormat="false" ht="15" hidden="false" customHeight="false" outlineLevel="0" collapsed="false">
      <c r="A5065" s="7" t="n">
        <v>60010514</v>
      </c>
      <c r="B5065" s="7" t="s">
        <v>68</v>
      </c>
      <c r="C5065" s="7" t="s">
        <v>10219</v>
      </c>
      <c r="D5065" s="7" t="s">
        <v>1448</v>
      </c>
      <c r="E5065" s="7" t="s">
        <v>26</v>
      </c>
      <c r="F5065" s="7" t="s">
        <v>10203</v>
      </c>
      <c r="G5065" s="7" t="n">
        <v>1997</v>
      </c>
      <c r="H5065" s="7" t="s">
        <v>51</v>
      </c>
      <c r="I5065" s="7" t="s">
        <v>1955</v>
      </c>
      <c r="J5065" s="7" t="s">
        <v>597</v>
      </c>
      <c r="K5065" s="7" t="n">
        <f aca="false">IFERROR(VALUE(RIGHT(TRIM(F5065),4)),"")</f>
        <v>2019</v>
      </c>
      <c r="L5065" s="7" t="str">
        <f aca="false">IF(TRIM(E5065)="","Unknown",IFERROR(LEFT(TRIM(E5065),FIND(",",TRIM(E5065))-1),TRIM(E5065)))</f>
        <v>United States</v>
      </c>
      <c r="M5065" s="7" t="str">
        <f aca="false">IFERROR(LEFT(J5065,FIND(",",J5065)-1),J5065)</f>
        <v>Dramas</v>
      </c>
      <c r="N5065" s="7" t="n">
        <f aca="false">IF(B5065="Movie",IFERROR(VALUE(LEFT(I5065,FIND(" ",I5065)-1)),""),"")</f>
        <v>154</v>
      </c>
      <c r="O5065" s="7" t="str">
        <f aca="false">IF(B5065="TV Show",IFERROR(VALUE(LEFT(I5065,FIND(" ",I5065)-1)),""),"")</f>
        <v/>
      </c>
      <c r="P5065" s="7" t="n">
        <f aca="false">IF(K5065="","",K5065-G5065)</f>
        <v>22</v>
      </c>
    </row>
    <row r="5066" customFormat="false" ht="15" hidden="false" customHeight="false" outlineLevel="0" collapsed="false">
      <c r="A5066" s="7" t="n">
        <v>70301367</v>
      </c>
      <c r="B5066" s="7" t="s">
        <v>68</v>
      </c>
      <c r="C5066" s="7" t="s">
        <v>10220</v>
      </c>
      <c r="D5066" s="7" t="s">
        <v>10221</v>
      </c>
      <c r="E5066" s="7" t="s">
        <v>918</v>
      </c>
      <c r="F5066" s="7" t="s">
        <v>10203</v>
      </c>
      <c r="G5066" s="7" t="n">
        <v>2015</v>
      </c>
      <c r="H5066" s="7" t="s">
        <v>52</v>
      </c>
      <c r="I5066" s="7" t="s">
        <v>261</v>
      </c>
      <c r="J5066" s="7" t="s">
        <v>276</v>
      </c>
      <c r="K5066" s="7" t="n">
        <f aca="false">IFERROR(VALUE(RIGHT(TRIM(F5066),4)),"")</f>
        <v>2019</v>
      </c>
      <c r="L5066" s="7" t="str">
        <f aca="false">IF(TRIM(E5066)="","Unknown",IFERROR(LEFT(TRIM(E5066),FIND(",",TRIM(E5066))-1),TRIM(E5066)))</f>
        <v>United States</v>
      </c>
      <c r="M5066" s="7" t="str">
        <f aca="false">IFERROR(LEFT(J5066,FIND(",",J5066)-1),J5066)</f>
        <v>Action &amp; Adventure</v>
      </c>
      <c r="N5066" s="7" t="n">
        <f aca="false">IF(B5066="Movie",IFERROR(VALUE(LEFT(I5066,FIND(" ",I5066)-1)),""),"")</f>
        <v>128</v>
      </c>
      <c r="O5066" s="7" t="str">
        <f aca="false">IF(B5066="TV Show",IFERROR(VALUE(LEFT(I5066,FIND(" ",I5066)-1)),""),"")</f>
        <v/>
      </c>
      <c r="P5066" s="7" t="n">
        <f aca="false">IF(K5066="","",K5066-G5066)</f>
        <v>4</v>
      </c>
    </row>
    <row r="5067" customFormat="false" ht="15" hidden="false" customHeight="false" outlineLevel="0" collapsed="false">
      <c r="A5067" s="7" t="n">
        <v>81139317</v>
      </c>
      <c r="B5067" s="7" t="s">
        <v>78</v>
      </c>
      <c r="C5067" s="7" t="s">
        <v>10222</v>
      </c>
      <c r="E5067" s="7" t="s">
        <v>259</v>
      </c>
      <c r="F5067" s="7" t="s">
        <v>10203</v>
      </c>
      <c r="G5067" s="7" t="n">
        <v>2017</v>
      </c>
      <c r="H5067" s="7" t="s">
        <v>49</v>
      </c>
      <c r="I5067" s="7" t="s">
        <v>82</v>
      </c>
      <c r="J5067" s="7" t="s">
        <v>5918</v>
      </c>
      <c r="K5067" s="7" t="n">
        <f aca="false">IFERROR(VALUE(RIGHT(TRIM(F5067),4)),"")</f>
        <v>2019</v>
      </c>
      <c r="L5067" s="7" t="str">
        <f aca="false">IF(TRIM(E5067)="","Unknown",IFERROR(LEFT(TRIM(E5067),FIND(",",TRIM(E5067))-1),TRIM(E5067)))</f>
        <v>Pakistan</v>
      </c>
      <c r="M5067" s="7" t="str">
        <f aca="false">IFERROR(LEFT(J5067,FIND(",",J5067)-1),J5067)</f>
        <v>Crime TV Shows</v>
      </c>
      <c r="N5067" s="7" t="str">
        <f aca="false">IF(B5067="Movie",IFERROR(VALUE(LEFT(I5067,FIND(" ",I5067)-1)),""),"")</f>
        <v/>
      </c>
      <c r="O5067" s="7" t="n">
        <f aca="false">IF(B5067="TV Show",IFERROR(VALUE(LEFT(I5067,FIND(" ",I5067)-1)),""),"")</f>
        <v>1</v>
      </c>
      <c r="P5067" s="7" t="n">
        <f aca="false">IF(K5067="","",K5067-G5067)</f>
        <v>2</v>
      </c>
    </row>
    <row r="5068" customFormat="false" ht="15" hidden="false" customHeight="false" outlineLevel="0" collapsed="false">
      <c r="A5068" s="7" t="n">
        <v>80014727</v>
      </c>
      <c r="B5068" s="7" t="s">
        <v>68</v>
      </c>
      <c r="C5068" s="7" t="s">
        <v>10223</v>
      </c>
      <c r="D5068" s="7" t="s">
        <v>10224</v>
      </c>
      <c r="E5068" s="7" t="s">
        <v>10225</v>
      </c>
      <c r="F5068" s="7" t="s">
        <v>10203</v>
      </c>
      <c r="G5068" s="7" t="n">
        <v>2015</v>
      </c>
      <c r="H5068" s="7" t="s">
        <v>51</v>
      </c>
      <c r="I5068" s="7" t="s">
        <v>1405</v>
      </c>
      <c r="J5068" s="7" t="s">
        <v>40</v>
      </c>
      <c r="K5068" s="7" t="n">
        <f aca="false">IFERROR(VALUE(RIGHT(TRIM(F5068),4)),"")</f>
        <v>2019</v>
      </c>
      <c r="L5068" s="7" t="str">
        <f aca="false">IF(TRIM(E5068)="","Unknown",IFERROR(LEFT(TRIM(E5068),FIND(",",TRIM(E5068))-1),TRIM(E5068)))</f>
        <v>United Kingdom</v>
      </c>
      <c r="M5068" s="7" t="str">
        <f aca="false">IFERROR(LEFT(J5068,FIND(",",J5068)-1),J5068)</f>
        <v>Action &amp; Adventure</v>
      </c>
      <c r="N5068" s="7" t="n">
        <f aca="false">IF(B5068="Movie",IFERROR(VALUE(LEFT(I5068,FIND(" ",I5068)-1)),""),"")</f>
        <v>115</v>
      </c>
      <c r="O5068" s="7" t="str">
        <f aca="false">IF(B5068="TV Show",IFERROR(VALUE(LEFT(I5068,FIND(" ",I5068)-1)),""),"")</f>
        <v/>
      </c>
      <c r="P5068" s="7" t="n">
        <f aca="false">IF(K5068="","",K5068-G5068)</f>
        <v>4</v>
      </c>
    </row>
    <row r="5069" customFormat="false" ht="15" hidden="false" customHeight="false" outlineLevel="0" collapsed="false">
      <c r="A5069" s="7" t="n">
        <v>81050688</v>
      </c>
      <c r="B5069" s="7" t="s">
        <v>68</v>
      </c>
      <c r="C5069" s="7" t="s">
        <v>10226</v>
      </c>
      <c r="D5069" s="7" t="s">
        <v>10227</v>
      </c>
      <c r="E5069" s="7" t="s">
        <v>27</v>
      </c>
      <c r="F5069" s="7" t="s">
        <v>10203</v>
      </c>
      <c r="G5069" s="7" t="n">
        <v>2018</v>
      </c>
      <c r="H5069" s="7" t="s">
        <v>48</v>
      </c>
      <c r="I5069" s="7" t="s">
        <v>4263</v>
      </c>
      <c r="J5069" s="7" t="s">
        <v>188</v>
      </c>
      <c r="K5069" s="7" t="n">
        <f aca="false">IFERROR(VALUE(RIGHT(TRIM(F5069),4)),"")</f>
        <v>2019</v>
      </c>
      <c r="L5069" s="7" t="str">
        <f aca="false">IF(TRIM(E5069)="","Unknown",IFERROR(LEFT(TRIM(E5069),FIND(",",TRIM(E5069))-1),TRIM(E5069)))</f>
        <v>India</v>
      </c>
      <c r="M5069" s="7" t="str">
        <f aca="false">IFERROR(LEFT(J5069,FIND(",",J5069)-1),J5069)</f>
        <v>Dramas</v>
      </c>
      <c r="N5069" s="7" t="n">
        <f aca="false">IF(B5069="Movie",IFERROR(VALUE(LEFT(I5069,FIND(" ",I5069)-1)),""),"")</f>
        <v>177</v>
      </c>
      <c r="O5069" s="7" t="str">
        <f aca="false">IF(B5069="TV Show",IFERROR(VALUE(LEFT(I5069,FIND(" ",I5069)-1)),""),"")</f>
        <v/>
      </c>
      <c r="P5069" s="7" t="n">
        <f aca="false">IF(K5069="","",K5069-G5069)</f>
        <v>1</v>
      </c>
    </row>
    <row r="5070" customFormat="false" ht="15" hidden="false" customHeight="false" outlineLevel="0" collapsed="false">
      <c r="A5070" s="7" t="n">
        <v>80081505</v>
      </c>
      <c r="B5070" s="7" t="s">
        <v>68</v>
      </c>
      <c r="C5070" s="7" t="s">
        <v>10228</v>
      </c>
      <c r="D5070" s="7" t="s">
        <v>10229</v>
      </c>
      <c r="E5070" s="7" t="s">
        <v>28</v>
      </c>
      <c r="F5070" s="7" t="s">
        <v>10203</v>
      </c>
      <c r="G5070" s="7" t="n">
        <v>2015</v>
      </c>
      <c r="H5070" s="7" t="s">
        <v>51</v>
      </c>
      <c r="I5070" s="7" t="s">
        <v>820</v>
      </c>
      <c r="J5070" s="7" t="s">
        <v>112</v>
      </c>
      <c r="K5070" s="7" t="n">
        <f aca="false">IFERROR(VALUE(RIGHT(TRIM(F5070),4)),"")</f>
        <v>2019</v>
      </c>
      <c r="L5070" s="7" t="str">
        <f aca="false">IF(TRIM(E5070)="","Unknown",IFERROR(LEFT(TRIM(E5070),FIND(",",TRIM(E5070))-1),TRIM(E5070)))</f>
        <v>United Kingdom</v>
      </c>
      <c r="M5070" s="7" t="str">
        <f aca="false">IFERROR(LEFT(J5070,FIND(",",J5070)-1),J5070)</f>
        <v>Action &amp; Adventure</v>
      </c>
      <c r="N5070" s="7" t="n">
        <f aca="false">IF(B5070="Movie",IFERROR(VALUE(LEFT(I5070,FIND(" ",I5070)-1)),""),"")</f>
        <v>105</v>
      </c>
      <c r="O5070" s="7" t="str">
        <f aca="false">IF(B5070="TV Show",IFERROR(VALUE(LEFT(I5070,FIND(" ",I5070)-1)),""),"")</f>
        <v/>
      </c>
      <c r="P5070" s="7" t="n">
        <f aca="false">IF(K5070="","",K5070-G5070)</f>
        <v>4</v>
      </c>
    </row>
    <row r="5071" customFormat="false" ht="15" hidden="false" customHeight="false" outlineLevel="0" collapsed="false">
      <c r="A5071" s="7" t="n">
        <v>60022700</v>
      </c>
      <c r="B5071" s="7" t="s">
        <v>68</v>
      </c>
      <c r="C5071" s="7" t="s">
        <v>10230</v>
      </c>
      <c r="D5071" s="7" t="s">
        <v>2829</v>
      </c>
      <c r="E5071" s="7" t="s">
        <v>26</v>
      </c>
      <c r="F5071" s="7" t="s">
        <v>10203</v>
      </c>
      <c r="G5071" s="7" t="n">
        <v>2002</v>
      </c>
      <c r="H5071" s="7" t="s">
        <v>51</v>
      </c>
      <c r="I5071" s="7" t="s">
        <v>168</v>
      </c>
      <c r="J5071" s="7" t="s">
        <v>811</v>
      </c>
      <c r="K5071" s="7" t="n">
        <f aca="false">IFERROR(VALUE(RIGHT(TRIM(F5071),4)),"")</f>
        <v>2019</v>
      </c>
      <c r="L5071" s="7" t="str">
        <f aca="false">IF(TRIM(E5071)="","Unknown",IFERROR(LEFT(TRIM(E5071),FIND(",",TRIM(E5071))-1),TRIM(E5071)))</f>
        <v>United States</v>
      </c>
      <c r="M5071" s="7" t="str">
        <f aca="false">IFERROR(LEFT(J5071,FIND(",",J5071)-1),J5071)</f>
        <v>Thrillers</v>
      </c>
      <c r="N5071" s="7" t="n">
        <f aca="false">IF(B5071="Movie",IFERROR(VALUE(LEFT(I5071,FIND(" ",I5071)-1)),""),"")</f>
        <v>112</v>
      </c>
      <c r="O5071" s="7" t="str">
        <f aca="false">IF(B5071="TV Show",IFERROR(VALUE(LEFT(I5071,FIND(" ",I5071)-1)),""),"")</f>
        <v/>
      </c>
      <c r="P5071" s="7" t="n">
        <f aca="false">IF(K5071="","",K5071-G5071)</f>
        <v>17</v>
      </c>
    </row>
    <row r="5072" customFormat="false" ht="15" hidden="false" customHeight="false" outlineLevel="0" collapsed="false">
      <c r="A5072" s="7" t="n">
        <v>81155880</v>
      </c>
      <c r="B5072" s="7" t="s">
        <v>78</v>
      </c>
      <c r="C5072" s="7" t="s">
        <v>10231</v>
      </c>
      <c r="E5072" s="7" t="s">
        <v>27</v>
      </c>
      <c r="F5072" s="7" t="s">
        <v>10203</v>
      </c>
      <c r="G5072" s="7" t="n">
        <v>2018</v>
      </c>
      <c r="H5072" s="7" t="s">
        <v>49</v>
      </c>
      <c r="I5072" s="7" t="s">
        <v>82</v>
      </c>
      <c r="J5072" s="7" t="s">
        <v>773</v>
      </c>
      <c r="K5072" s="7" t="n">
        <f aca="false">IFERROR(VALUE(RIGHT(TRIM(F5072),4)),"")</f>
        <v>2019</v>
      </c>
      <c r="L5072" s="7" t="str">
        <f aca="false">IF(TRIM(E5072)="","Unknown",IFERROR(LEFT(TRIM(E5072),FIND(",",TRIM(E5072))-1),TRIM(E5072)))</f>
        <v>India</v>
      </c>
      <c r="M5072" s="7" t="str">
        <f aca="false">IFERROR(LEFT(J5072,FIND(",",J5072)-1),J5072)</f>
        <v>Docuseries</v>
      </c>
      <c r="N5072" s="7" t="str">
        <f aca="false">IF(B5072="Movie",IFERROR(VALUE(LEFT(I5072,FIND(" ",I5072)-1)),""),"")</f>
        <v/>
      </c>
      <c r="O5072" s="7" t="n">
        <f aca="false">IF(B5072="TV Show",IFERROR(VALUE(LEFT(I5072,FIND(" ",I5072)-1)),""),"")</f>
        <v>1</v>
      </c>
      <c r="P5072" s="7" t="n">
        <f aca="false">IF(K5072="","",K5072-G5072)</f>
        <v>1</v>
      </c>
    </row>
    <row r="5073" customFormat="false" ht="15" hidden="false" customHeight="false" outlineLevel="0" collapsed="false">
      <c r="A5073" s="7" t="n">
        <v>915927</v>
      </c>
      <c r="B5073" s="7" t="s">
        <v>68</v>
      </c>
      <c r="C5073" s="7" t="s">
        <v>10232</v>
      </c>
      <c r="D5073" s="7" t="s">
        <v>10233</v>
      </c>
      <c r="E5073" s="7" t="s">
        <v>26</v>
      </c>
      <c r="F5073" s="7" t="s">
        <v>10203</v>
      </c>
      <c r="G5073" s="7" t="n">
        <v>1976</v>
      </c>
      <c r="H5073" s="7" t="s">
        <v>54</v>
      </c>
      <c r="I5073" s="7" t="s">
        <v>2551</v>
      </c>
      <c r="J5073" s="7" t="s">
        <v>3240</v>
      </c>
      <c r="K5073" s="7" t="n">
        <f aca="false">IFERROR(VALUE(RIGHT(TRIM(F5073),4)),"")</f>
        <v>2019</v>
      </c>
      <c r="L5073" s="7" t="str">
        <f aca="false">IF(TRIM(E5073)="","Unknown",IFERROR(LEFT(TRIM(E5073),FIND(",",TRIM(E5073))-1),TRIM(E5073)))</f>
        <v>United States</v>
      </c>
      <c r="M5073" s="7" t="str">
        <f aca="false">IFERROR(LEFT(J5073,FIND(",",J5073)-1),J5073)</f>
        <v>Action &amp; Adventure</v>
      </c>
      <c r="N5073" s="7" t="n">
        <f aca="false">IF(B5073="Movie",IFERROR(VALUE(LEFT(I5073,FIND(" ",I5073)-1)),""),"")</f>
        <v>120</v>
      </c>
      <c r="O5073" s="7" t="str">
        <f aca="false">IF(B5073="TV Show",IFERROR(VALUE(LEFT(I5073,FIND(" ",I5073)-1)),""),"")</f>
        <v/>
      </c>
      <c r="P5073" s="7" t="n">
        <f aca="false">IF(K5073="","",K5073-G5073)</f>
        <v>43</v>
      </c>
    </row>
    <row r="5074" customFormat="false" ht="15" hidden="false" customHeight="false" outlineLevel="0" collapsed="false">
      <c r="A5074" s="7" t="n">
        <v>916043</v>
      </c>
      <c r="B5074" s="7" t="s">
        <v>68</v>
      </c>
      <c r="C5074" s="7" t="s">
        <v>10234</v>
      </c>
      <c r="D5074" s="7" t="s">
        <v>10235</v>
      </c>
      <c r="E5074" s="7" t="s">
        <v>26</v>
      </c>
      <c r="F5074" s="7" t="s">
        <v>10203</v>
      </c>
      <c r="G5074" s="7" t="n">
        <v>1979</v>
      </c>
      <c r="H5074" s="7" t="s">
        <v>54</v>
      </c>
      <c r="I5074" s="7" t="s">
        <v>519</v>
      </c>
      <c r="J5074" s="7" t="s">
        <v>1383</v>
      </c>
      <c r="K5074" s="7" t="n">
        <f aca="false">IFERROR(VALUE(RIGHT(TRIM(F5074),4)),"")</f>
        <v>2019</v>
      </c>
      <c r="L5074" s="7" t="str">
        <f aca="false">IF(TRIM(E5074)="","Unknown",IFERROR(LEFT(TRIM(E5074),FIND(",",TRIM(E5074))-1),TRIM(E5074)))</f>
        <v>United States</v>
      </c>
      <c r="M5074" s="7" t="str">
        <f aca="false">IFERROR(LEFT(J5074,FIND(",",J5074)-1),J5074)</f>
        <v>Dramas</v>
      </c>
      <c r="N5074" s="7" t="n">
        <f aca="false">IF(B5074="Movie",IFERROR(VALUE(LEFT(I5074,FIND(" ",I5074)-1)),""),"")</f>
        <v>119</v>
      </c>
      <c r="O5074" s="7" t="str">
        <f aca="false">IF(B5074="TV Show",IFERROR(VALUE(LEFT(I5074,FIND(" ",I5074)-1)),""),"")</f>
        <v/>
      </c>
      <c r="P5074" s="7" t="n">
        <f aca="false">IF(K5074="","",K5074-G5074)</f>
        <v>40</v>
      </c>
    </row>
    <row r="5075" customFormat="false" ht="15" hidden="false" customHeight="false" outlineLevel="0" collapsed="false">
      <c r="A5075" s="7" t="n">
        <v>60010836</v>
      </c>
      <c r="B5075" s="7" t="s">
        <v>68</v>
      </c>
      <c r="C5075" s="7" t="s">
        <v>10236</v>
      </c>
      <c r="D5075" s="7" t="s">
        <v>10235</v>
      </c>
      <c r="E5075" s="7" t="s">
        <v>26</v>
      </c>
      <c r="F5075" s="7" t="s">
        <v>10203</v>
      </c>
      <c r="G5075" s="7" t="n">
        <v>1982</v>
      </c>
      <c r="H5075" s="7" t="s">
        <v>54</v>
      </c>
      <c r="I5075" s="7" t="s">
        <v>205</v>
      </c>
      <c r="J5075" s="7" t="s">
        <v>1383</v>
      </c>
      <c r="K5075" s="7" t="n">
        <f aca="false">IFERROR(VALUE(RIGHT(TRIM(F5075),4)),"")</f>
        <v>2019</v>
      </c>
      <c r="L5075" s="7" t="str">
        <f aca="false">IF(TRIM(E5075)="","Unknown",IFERROR(LEFT(TRIM(E5075),FIND(",",TRIM(E5075))-1),TRIM(E5075)))</f>
        <v>United States</v>
      </c>
      <c r="M5075" s="7" t="str">
        <f aca="false">IFERROR(LEFT(J5075,FIND(",",J5075)-1),J5075)</f>
        <v>Dramas</v>
      </c>
      <c r="N5075" s="7" t="n">
        <f aca="false">IF(B5075="Movie",IFERROR(VALUE(LEFT(I5075,FIND(" ",I5075)-1)),""),"")</f>
        <v>100</v>
      </c>
      <c r="O5075" s="7" t="str">
        <f aca="false">IF(B5075="TV Show",IFERROR(VALUE(LEFT(I5075,FIND(" ",I5075)-1)),""),"")</f>
        <v/>
      </c>
      <c r="P5075" s="7" t="n">
        <f aca="false">IF(K5075="","",K5075-G5075)</f>
        <v>37</v>
      </c>
    </row>
    <row r="5076" customFormat="false" ht="15" hidden="false" customHeight="false" outlineLevel="0" collapsed="false">
      <c r="A5076" s="7" t="n">
        <v>916061</v>
      </c>
      <c r="B5076" s="7" t="s">
        <v>68</v>
      </c>
      <c r="C5076" s="7" t="s">
        <v>10237</v>
      </c>
      <c r="D5076" s="7" t="s">
        <v>10235</v>
      </c>
      <c r="E5076" s="7" t="s">
        <v>26</v>
      </c>
      <c r="F5076" s="7" t="s">
        <v>10203</v>
      </c>
      <c r="G5076" s="7" t="n">
        <v>1985</v>
      </c>
      <c r="H5076" s="7" t="s">
        <v>54</v>
      </c>
      <c r="I5076" s="7" t="s">
        <v>311</v>
      </c>
      <c r="J5076" s="7" t="s">
        <v>1383</v>
      </c>
      <c r="K5076" s="7" t="n">
        <f aca="false">IFERROR(VALUE(RIGHT(TRIM(F5076),4)),"")</f>
        <v>2019</v>
      </c>
      <c r="L5076" s="7" t="str">
        <f aca="false">IF(TRIM(E5076)="","Unknown",IFERROR(LEFT(TRIM(E5076),FIND(",",TRIM(E5076))-1),TRIM(E5076)))</f>
        <v>United States</v>
      </c>
      <c r="M5076" s="7" t="str">
        <f aca="false">IFERROR(LEFT(J5076,FIND(",",J5076)-1),J5076)</f>
        <v>Dramas</v>
      </c>
      <c r="N5076" s="7" t="n">
        <f aca="false">IF(B5076="Movie",IFERROR(VALUE(LEFT(I5076,FIND(" ",I5076)-1)),""),"")</f>
        <v>92</v>
      </c>
      <c r="O5076" s="7" t="str">
        <f aca="false">IF(B5076="TV Show",IFERROR(VALUE(LEFT(I5076,FIND(" ",I5076)-1)),""),"")</f>
        <v/>
      </c>
      <c r="P5076" s="7" t="n">
        <f aca="false">IF(K5076="","",K5076-G5076)</f>
        <v>34</v>
      </c>
    </row>
    <row r="5077" customFormat="false" ht="15" hidden="false" customHeight="false" outlineLevel="0" collapsed="false">
      <c r="A5077" s="7" t="n">
        <v>60025674</v>
      </c>
      <c r="B5077" s="7" t="s">
        <v>68</v>
      </c>
      <c r="C5077" s="7" t="s">
        <v>10238</v>
      </c>
      <c r="D5077" s="7" t="s">
        <v>10233</v>
      </c>
      <c r="E5077" s="7" t="s">
        <v>26</v>
      </c>
      <c r="F5077" s="7" t="s">
        <v>10203</v>
      </c>
      <c r="G5077" s="7" t="n">
        <v>1990</v>
      </c>
      <c r="H5077" s="7" t="s">
        <v>52</v>
      </c>
      <c r="I5077" s="7" t="s">
        <v>417</v>
      </c>
      <c r="J5077" s="7" t="s">
        <v>1383</v>
      </c>
      <c r="K5077" s="7" t="n">
        <f aca="false">IFERROR(VALUE(RIGHT(TRIM(F5077),4)),"")</f>
        <v>2019</v>
      </c>
      <c r="L5077" s="7" t="str">
        <f aca="false">IF(TRIM(E5077)="","Unknown",IFERROR(LEFT(TRIM(E5077),FIND(",",TRIM(E5077))-1),TRIM(E5077)))</f>
        <v>United States</v>
      </c>
      <c r="M5077" s="7" t="str">
        <f aca="false">IFERROR(LEFT(J5077,FIND(",",J5077)-1),J5077)</f>
        <v>Dramas</v>
      </c>
      <c r="N5077" s="7" t="n">
        <f aca="false">IF(B5077="Movie",IFERROR(VALUE(LEFT(I5077,FIND(" ",I5077)-1)),""),"")</f>
        <v>104</v>
      </c>
      <c r="O5077" s="7" t="str">
        <f aca="false">IF(B5077="TV Show",IFERROR(VALUE(LEFT(I5077,FIND(" ",I5077)-1)),""),"")</f>
        <v/>
      </c>
      <c r="P5077" s="7" t="n">
        <f aca="false">IF(K5077="","",K5077-G5077)</f>
        <v>29</v>
      </c>
    </row>
    <row r="5078" customFormat="false" ht="15" hidden="false" customHeight="false" outlineLevel="0" collapsed="false">
      <c r="A5078" s="7" t="n">
        <v>70039168</v>
      </c>
      <c r="B5078" s="7" t="s">
        <v>68</v>
      </c>
      <c r="C5078" s="7" t="s">
        <v>10239</v>
      </c>
      <c r="D5078" s="7" t="s">
        <v>2079</v>
      </c>
      <c r="E5078" s="7" t="s">
        <v>10240</v>
      </c>
      <c r="F5078" s="7" t="s">
        <v>10203</v>
      </c>
      <c r="G5078" s="7" t="n">
        <v>2005</v>
      </c>
      <c r="H5078" s="7" t="s">
        <v>52</v>
      </c>
      <c r="I5078" s="7" t="s">
        <v>451</v>
      </c>
      <c r="J5078" s="7" t="s">
        <v>177</v>
      </c>
      <c r="K5078" s="7" t="n">
        <f aca="false">IFERROR(VALUE(RIGHT(TRIM(F5078),4)),"")</f>
        <v>2019</v>
      </c>
      <c r="L5078" s="7" t="str">
        <f aca="false">IF(TRIM(E5078)="","Unknown",IFERROR(LEFT(TRIM(E5078),FIND(",",TRIM(E5078))-1),TRIM(E5078)))</f>
        <v>United States</v>
      </c>
      <c r="M5078" s="7" t="str">
        <f aca="false">IFERROR(LEFT(J5078,FIND(",",J5078)-1),J5078)</f>
        <v>Comedies</v>
      </c>
      <c r="N5078" s="7" t="n">
        <f aca="false">IF(B5078="Movie",IFERROR(VALUE(LEFT(I5078,FIND(" ",I5078)-1)),""),"")</f>
        <v>97</v>
      </c>
      <c r="O5078" s="7" t="str">
        <f aca="false">IF(B5078="TV Show",IFERROR(VALUE(LEFT(I5078,FIND(" ",I5078)-1)),""),"")</f>
        <v/>
      </c>
      <c r="P5078" s="7" t="n">
        <f aca="false">IF(K5078="","",K5078-G5078)</f>
        <v>14</v>
      </c>
    </row>
    <row r="5079" customFormat="false" ht="15" hidden="false" customHeight="false" outlineLevel="0" collapsed="false">
      <c r="A5079" s="7" t="n">
        <v>81103092</v>
      </c>
      <c r="B5079" s="7" t="s">
        <v>68</v>
      </c>
      <c r="C5079" s="7" t="s">
        <v>10241</v>
      </c>
      <c r="D5079" s="7" t="s">
        <v>6301</v>
      </c>
      <c r="E5079" s="7" t="s">
        <v>26</v>
      </c>
      <c r="F5079" s="7" t="s">
        <v>10203</v>
      </c>
      <c r="G5079" s="7" t="n">
        <v>2018</v>
      </c>
      <c r="H5079" s="7" t="s">
        <v>49</v>
      </c>
      <c r="I5079" s="7" t="s">
        <v>264</v>
      </c>
      <c r="J5079" s="7" t="s">
        <v>811</v>
      </c>
      <c r="K5079" s="7" t="n">
        <f aca="false">IFERROR(VALUE(RIGHT(TRIM(F5079),4)),"")</f>
        <v>2019</v>
      </c>
      <c r="L5079" s="7" t="str">
        <f aca="false">IF(TRIM(E5079)="","Unknown",IFERROR(LEFT(TRIM(E5079),FIND(",",TRIM(E5079))-1),TRIM(E5079)))</f>
        <v>United States</v>
      </c>
      <c r="M5079" s="7" t="str">
        <f aca="false">IFERROR(LEFT(J5079,FIND(",",J5079)-1),J5079)</f>
        <v>Thrillers</v>
      </c>
      <c r="N5079" s="7" t="n">
        <f aca="false">IF(B5079="Movie",IFERROR(VALUE(LEFT(I5079,FIND(" ",I5079)-1)),""),"")</f>
        <v>88</v>
      </c>
      <c r="O5079" s="7" t="str">
        <f aca="false">IF(B5079="TV Show",IFERROR(VALUE(LEFT(I5079,FIND(" ",I5079)-1)),""),"")</f>
        <v/>
      </c>
      <c r="P5079" s="7" t="n">
        <f aca="false">IF(K5079="","",K5079-G5079)</f>
        <v>1</v>
      </c>
    </row>
    <row r="5080" customFormat="false" ht="15" hidden="false" customHeight="false" outlineLevel="0" collapsed="false">
      <c r="A5080" s="7" t="n">
        <v>80242065</v>
      </c>
      <c r="B5080" s="7" t="s">
        <v>78</v>
      </c>
      <c r="C5080" s="7" t="s">
        <v>10242</v>
      </c>
      <c r="E5080" s="7" t="s">
        <v>167</v>
      </c>
      <c r="F5080" s="7" t="s">
        <v>10203</v>
      </c>
      <c r="G5080" s="7" t="n">
        <v>2019</v>
      </c>
      <c r="H5080" s="7" t="s">
        <v>48</v>
      </c>
      <c r="I5080" s="7" t="s">
        <v>82</v>
      </c>
      <c r="J5080" s="7" t="s">
        <v>10243</v>
      </c>
      <c r="K5080" s="7" t="n">
        <f aca="false">IFERROR(VALUE(RIGHT(TRIM(F5080),4)),"")</f>
        <v>2019</v>
      </c>
      <c r="L5080" s="7" t="str">
        <f aca="false">IF(TRIM(E5080)="","Unknown",IFERROR(LEFT(TRIM(E5080),FIND(",",TRIM(E5080))-1),TRIM(E5080)))</f>
        <v>Thailand</v>
      </c>
      <c r="M5080" s="7" t="str">
        <f aca="false">IFERROR(LEFT(J5080,FIND(",",J5080)-1),J5080)</f>
        <v>International TV Shows</v>
      </c>
      <c r="N5080" s="7" t="str">
        <f aca="false">IF(B5080="Movie",IFERROR(VALUE(LEFT(I5080,FIND(" ",I5080)-1)),""),"")</f>
        <v/>
      </c>
      <c r="O5080" s="7" t="n">
        <f aca="false">IF(B5080="TV Show",IFERROR(VALUE(LEFT(I5080,FIND(" ",I5080)-1)),""),"")</f>
        <v>1</v>
      </c>
      <c r="P5080" s="7" t="n">
        <f aca="false">IF(K5080="","",K5080-G5080)</f>
        <v>0</v>
      </c>
    </row>
    <row r="5081" customFormat="false" ht="15" hidden="false" customHeight="false" outlineLevel="0" collapsed="false">
      <c r="A5081" s="7" t="n">
        <v>60031278</v>
      </c>
      <c r="B5081" s="7" t="s">
        <v>68</v>
      </c>
      <c r="C5081" s="7" t="s">
        <v>10244</v>
      </c>
      <c r="D5081" s="7" t="s">
        <v>10245</v>
      </c>
      <c r="E5081" s="7" t="s">
        <v>26</v>
      </c>
      <c r="F5081" s="7" t="s">
        <v>10203</v>
      </c>
      <c r="G5081" s="7" t="n">
        <v>2003</v>
      </c>
      <c r="H5081" s="7" t="s">
        <v>52</v>
      </c>
      <c r="I5081" s="7" t="s">
        <v>261</v>
      </c>
      <c r="J5081" s="7" t="s">
        <v>177</v>
      </c>
      <c r="K5081" s="7" t="n">
        <f aca="false">IFERROR(VALUE(RIGHT(TRIM(F5081),4)),"")</f>
        <v>2019</v>
      </c>
      <c r="L5081" s="7" t="str">
        <f aca="false">IF(TRIM(E5081)="","Unknown",IFERROR(LEFT(TRIM(E5081),FIND(",",TRIM(E5081))-1),TRIM(E5081)))</f>
        <v>United States</v>
      </c>
      <c r="M5081" s="7" t="str">
        <f aca="false">IFERROR(LEFT(J5081,FIND(",",J5081)-1),J5081)</f>
        <v>Comedies</v>
      </c>
      <c r="N5081" s="7" t="n">
        <f aca="false">IF(B5081="Movie",IFERROR(VALUE(LEFT(I5081,FIND(" ",I5081)-1)),""),"")</f>
        <v>128</v>
      </c>
      <c r="O5081" s="7" t="str">
        <f aca="false">IF(B5081="TV Show",IFERROR(VALUE(LEFT(I5081,FIND(" ",I5081)-1)),""),"")</f>
        <v/>
      </c>
      <c r="P5081" s="7" t="n">
        <f aca="false">IF(K5081="","",K5081-G5081)</f>
        <v>16</v>
      </c>
    </row>
    <row r="5082" customFormat="false" ht="15" hidden="false" customHeight="false" outlineLevel="0" collapsed="false">
      <c r="A5082" s="7" t="n">
        <v>60001363</v>
      </c>
      <c r="B5082" s="7" t="s">
        <v>68</v>
      </c>
      <c r="C5082" s="7" t="s">
        <v>10246</v>
      </c>
      <c r="D5082" s="7" t="s">
        <v>917</v>
      </c>
      <c r="E5082" s="7" t="s">
        <v>26</v>
      </c>
      <c r="F5082" s="7" t="s">
        <v>10203</v>
      </c>
      <c r="G5082" s="7" t="n">
        <v>2000</v>
      </c>
      <c r="H5082" s="7" t="s">
        <v>52</v>
      </c>
      <c r="I5082" s="7" t="s">
        <v>247</v>
      </c>
      <c r="J5082" s="7" t="s">
        <v>2243</v>
      </c>
      <c r="K5082" s="7" t="n">
        <f aca="false">IFERROR(VALUE(RIGHT(TRIM(F5082),4)),"")</f>
        <v>2019</v>
      </c>
      <c r="L5082" s="7" t="str">
        <f aca="false">IF(TRIM(E5082)="","Unknown",IFERROR(LEFT(TRIM(E5082),FIND(",",TRIM(E5082))-1),TRIM(E5082)))</f>
        <v>United States</v>
      </c>
      <c r="M5082" s="7" t="str">
        <f aca="false">IFERROR(LEFT(J5082,FIND(",",J5082)-1),J5082)</f>
        <v>Action &amp; Adventure</v>
      </c>
      <c r="N5082" s="7" t="n">
        <f aca="false">IF(B5082="Movie",IFERROR(VALUE(LEFT(I5082,FIND(" ",I5082)-1)),""),"")</f>
        <v>130</v>
      </c>
      <c r="O5082" s="7" t="str">
        <f aca="false">IF(B5082="TV Show",IFERROR(VALUE(LEFT(I5082,FIND(" ",I5082)-1)),""),"")</f>
        <v/>
      </c>
      <c r="P5082" s="7" t="n">
        <f aca="false">IF(K5082="","",K5082-G5082)</f>
        <v>19</v>
      </c>
    </row>
    <row r="5083" customFormat="false" ht="15" hidden="false" customHeight="false" outlineLevel="0" collapsed="false">
      <c r="A5083" s="7" t="n">
        <v>81103517</v>
      </c>
      <c r="B5083" s="7" t="s">
        <v>78</v>
      </c>
      <c r="C5083" s="7" t="s">
        <v>10247</v>
      </c>
      <c r="E5083" s="7" t="s">
        <v>35</v>
      </c>
      <c r="F5083" s="7" t="s">
        <v>10203</v>
      </c>
      <c r="G5083" s="7" t="n">
        <v>2017</v>
      </c>
      <c r="H5083" s="7" t="s">
        <v>49</v>
      </c>
      <c r="I5083" s="7" t="s">
        <v>82</v>
      </c>
      <c r="J5083" s="7" t="s">
        <v>884</v>
      </c>
      <c r="K5083" s="7" t="n">
        <f aca="false">IFERROR(VALUE(RIGHT(TRIM(F5083),4)),"")</f>
        <v>2019</v>
      </c>
      <c r="L5083" s="7" t="str">
        <f aca="false">IF(TRIM(E5083)="","Unknown",IFERROR(LEFT(TRIM(E5083),FIND(",",TRIM(E5083))-1),TRIM(E5083)))</f>
        <v>Australia</v>
      </c>
      <c r="M5083" s="7" t="str">
        <f aca="false">IFERROR(LEFT(J5083,FIND(",",J5083)-1),J5083)</f>
        <v>International TV Shows</v>
      </c>
      <c r="N5083" s="7" t="str">
        <f aca="false">IF(B5083="Movie",IFERROR(VALUE(LEFT(I5083,FIND(" ",I5083)-1)),""),"")</f>
        <v/>
      </c>
      <c r="O5083" s="7" t="n">
        <f aca="false">IF(B5083="TV Show",IFERROR(VALUE(LEFT(I5083,FIND(" ",I5083)-1)),""),"")</f>
        <v>1</v>
      </c>
      <c r="P5083" s="7" t="n">
        <f aca="false">IF(K5083="","",K5083-G5083)</f>
        <v>2</v>
      </c>
    </row>
    <row r="5084" customFormat="false" ht="15" hidden="false" customHeight="false" outlineLevel="0" collapsed="false">
      <c r="A5084" s="7" t="n">
        <v>60026477</v>
      </c>
      <c r="B5084" s="7" t="s">
        <v>68</v>
      </c>
      <c r="C5084" s="7" t="s">
        <v>10248</v>
      </c>
      <c r="D5084" s="7" t="s">
        <v>10249</v>
      </c>
      <c r="E5084" s="7" t="s">
        <v>26</v>
      </c>
      <c r="F5084" s="7" t="s">
        <v>10203</v>
      </c>
      <c r="G5084" s="7" t="n">
        <v>1995</v>
      </c>
      <c r="H5084" s="7" t="s">
        <v>52</v>
      </c>
      <c r="I5084" s="7" t="s">
        <v>268</v>
      </c>
      <c r="J5084" s="7" t="s">
        <v>10250</v>
      </c>
      <c r="K5084" s="7" t="n">
        <f aca="false">IFERROR(VALUE(RIGHT(TRIM(F5084),4)),"")</f>
        <v>2019</v>
      </c>
      <c r="L5084" s="7" t="str">
        <f aca="false">IF(TRIM(E5084)="","Unknown",IFERROR(LEFT(TRIM(E5084),FIND(",",TRIM(E5084))-1),TRIM(E5084)))</f>
        <v>United States</v>
      </c>
      <c r="M5084" s="7" t="str">
        <f aca="false">IFERROR(LEFT(J5084,FIND(",",J5084)-1),J5084)</f>
        <v>Comedies</v>
      </c>
      <c r="N5084" s="7" t="n">
        <f aca="false">IF(B5084="Movie",IFERROR(VALUE(LEFT(I5084,FIND(" ",I5084)-1)),""),"")</f>
        <v>108</v>
      </c>
      <c r="O5084" s="7" t="str">
        <f aca="false">IF(B5084="TV Show",IFERROR(VALUE(LEFT(I5084,FIND(" ",I5084)-1)),""),"")</f>
        <v/>
      </c>
      <c r="P5084" s="7" t="n">
        <f aca="false">IF(K5084="","",K5084-G5084)</f>
        <v>24</v>
      </c>
    </row>
    <row r="5085" customFormat="false" ht="15" hidden="false" customHeight="false" outlineLevel="0" collapsed="false">
      <c r="A5085" s="7" t="n">
        <v>80094096</v>
      </c>
      <c r="B5085" s="7" t="s">
        <v>68</v>
      </c>
      <c r="C5085" s="7" t="s">
        <v>10251</v>
      </c>
      <c r="D5085" s="7" t="s">
        <v>4267</v>
      </c>
      <c r="E5085" s="7" t="s">
        <v>27</v>
      </c>
      <c r="F5085" s="7" t="s">
        <v>10203</v>
      </c>
      <c r="G5085" s="7" t="n">
        <v>2016</v>
      </c>
      <c r="H5085" s="7" t="s">
        <v>48</v>
      </c>
      <c r="I5085" s="7" t="s">
        <v>134</v>
      </c>
      <c r="J5085" s="7" t="s">
        <v>182</v>
      </c>
      <c r="K5085" s="7" t="n">
        <f aca="false">IFERROR(VALUE(RIGHT(TRIM(F5085),4)),"")</f>
        <v>2019</v>
      </c>
      <c r="L5085" s="7" t="str">
        <f aca="false">IF(TRIM(E5085)="","Unknown",IFERROR(LEFT(TRIM(E5085),FIND(",",TRIM(E5085))-1),TRIM(E5085)))</f>
        <v>India</v>
      </c>
      <c r="M5085" s="7" t="str">
        <f aca="false">IFERROR(LEFT(J5085,FIND(",",J5085)-1),J5085)</f>
        <v>Dramas</v>
      </c>
      <c r="N5085" s="7" t="n">
        <f aca="false">IF(B5085="Movie",IFERROR(VALUE(LEFT(I5085,FIND(" ",I5085)-1)),""),"")</f>
        <v>98</v>
      </c>
      <c r="O5085" s="7" t="str">
        <f aca="false">IF(B5085="TV Show",IFERROR(VALUE(LEFT(I5085,FIND(" ",I5085)-1)),""),"")</f>
        <v/>
      </c>
      <c r="P5085" s="7" t="n">
        <f aca="false">IF(K5085="","",K5085-G5085)</f>
        <v>3</v>
      </c>
    </row>
    <row r="5086" customFormat="false" ht="15" hidden="false" customHeight="false" outlineLevel="0" collapsed="false">
      <c r="A5086" s="7" t="n">
        <v>81085824</v>
      </c>
      <c r="B5086" s="7" t="s">
        <v>68</v>
      </c>
      <c r="C5086" s="7" t="s">
        <v>10252</v>
      </c>
      <c r="D5086" s="7" t="s">
        <v>10253</v>
      </c>
      <c r="E5086" s="7" t="s">
        <v>28</v>
      </c>
      <c r="F5086" s="7" t="s">
        <v>10203</v>
      </c>
      <c r="G5086" s="7" t="n">
        <v>2018</v>
      </c>
      <c r="H5086" s="7" t="s">
        <v>48</v>
      </c>
      <c r="I5086" s="7" t="s">
        <v>357</v>
      </c>
      <c r="J5086" s="7" t="s">
        <v>2034</v>
      </c>
      <c r="K5086" s="7" t="n">
        <f aca="false">IFERROR(VALUE(RIGHT(TRIM(F5086),4)),"")</f>
        <v>2019</v>
      </c>
      <c r="L5086" s="7" t="str">
        <f aca="false">IF(TRIM(E5086)="","Unknown",IFERROR(LEFT(TRIM(E5086),FIND(",",TRIM(E5086))-1),TRIM(E5086)))</f>
        <v>United Kingdom</v>
      </c>
      <c r="M5086" s="7" t="str">
        <f aca="false">IFERROR(LEFT(J5086,FIND(",",J5086)-1),J5086)</f>
        <v>Sci-Fi &amp; Fantasy</v>
      </c>
      <c r="N5086" s="7" t="n">
        <f aca="false">IF(B5086="Movie",IFERROR(VALUE(LEFT(I5086,FIND(" ",I5086)-1)),""),"")</f>
        <v>89</v>
      </c>
      <c r="O5086" s="7" t="str">
        <f aca="false">IF(B5086="TV Show",IFERROR(VALUE(LEFT(I5086,FIND(" ",I5086)-1)),""),"")</f>
        <v/>
      </c>
      <c r="P5086" s="7" t="n">
        <f aca="false">IF(K5086="","",K5086-G5086)</f>
        <v>1</v>
      </c>
    </row>
    <row r="5087" customFormat="false" ht="15" hidden="false" customHeight="false" outlineLevel="0" collapsed="false">
      <c r="A5087" s="7" t="n">
        <v>1171655</v>
      </c>
      <c r="B5087" s="7" t="s">
        <v>68</v>
      </c>
      <c r="C5087" s="7" t="s">
        <v>10254</v>
      </c>
      <c r="D5087" s="7" t="s">
        <v>10255</v>
      </c>
      <c r="E5087" s="7" t="s">
        <v>317</v>
      </c>
      <c r="F5087" s="7" t="s">
        <v>10256</v>
      </c>
      <c r="G5087" s="7" t="n">
        <v>1997</v>
      </c>
      <c r="H5087" s="7" t="s">
        <v>52</v>
      </c>
      <c r="I5087" s="7" t="s">
        <v>357</v>
      </c>
      <c r="J5087" s="7" t="s">
        <v>202</v>
      </c>
      <c r="K5087" s="7" t="n">
        <f aca="false">IFERROR(VALUE(RIGHT(TRIM(F5087),4)),"")</f>
        <v>2018</v>
      </c>
      <c r="L5087" s="7" t="str">
        <f aca="false">IF(TRIM(E5087)="","Unknown",IFERROR(LEFT(TRIM(E5087),FIND(",",TRIM(E5087))-1),TRIM(E5087)))</f>
        <v>United Kingdom</v>
      </c>
      <c r="M5087" s="7" t="str">
        <f aca="false">IFERROR(LEFT(J5087,FIND(",",J5087)-1),J5087)</f>
        <v>Comedies</v>
      </c>
      <c r="N5087" s="7" t="n">
        <f aca="false">IF(B5087="Movie",IFERROR(VALUE(LEFT(I5087,FIND(" ",I5087)-1)),""),"")</f>
        <v>89</v>
      </c>
      <c r="O5087" s="7" t="str">
        <f aca="false">IF(B5087="TV Show",IFERROR(VALUE(LEFT(I5087,FIND(" ",I5087)-1)),""),"")</f>
        <v/>
      </c>
      <c r="P5087" s="7" t="n">
        <f aca="false">IF(K5087="","",K5087-G5087)</f>
        <v>21</v>
      </c>
    </row>
    <row r="5088" customFormat="false" ht="15" hidden="false" customHeight="false" outlineLevel="0" collapsed="false">
      <c r="A5088" s="7" t="n">
        <v>80226279</v>
      </c>
      <c r="B5088" s="7" t="s">
        <v>78</v>
      </c>
      <c r="C5088" s="7" t="s">
        <v>10257</v>
      </c>
      <c r="E5088" s="7" t="s">
        <v>34</v>
      </c>
      <c r="F5088" s="7" t="s">
        <v>10256</v>
      </c>
      <c r="G5088" s="7" t="n">
        <v>2018</v>
      </c>
      <c r="H5088" s="7" t="s">
        <v>226</v>
      </c>
      <c r="I5088" s="7" t="s">
        <v>82</v>
      </c>
      <c r="J5088" s="7" t="s">
        <v>773</v>
      </c>
      <c r="K5088" s="7" t="n">
        <f aca="false">IFERROR(VALUE(RIGHT(TRIM(F5088),4)),"")</f>
        <v>2018</v>
      </c>
      <c r="L5088" s="7" t="str">
        <f aca="false">IF(TRIM(E5088)="","Unknown",IFERROR(LEFT(TRIM(E5088),FIND(",",TRIM(E5088))-1),TRIM(E5088)))</f>
        <v>Mexico</v>
      </c>
      <c r="M5088" s="7" t="str">
        <f aca="false">IFERROR(LEFT(J5088,FIND(",",J5088)-1),J5088)</f>
        <v>Docuseries</v>
      </c>
      <c r="N5088" s="7" t="str">
        <f aca="false">IF(B5088="Movie",IFERROR(VALUE(LEFT(I5088,FIND(" ",I5088)-1)),""),"")</f>
        <v/>
      </c>
      <c r="O5088" s="7" t="n">
        <f aca="false">IF(B5088="TV Show",IFERROR(VALUE(LEFT(I5088,FIND(" ",I5088)-1)),""),"")</f>
        <v>1</v>
      </c>
      <c r="P5088" s="7" t="n">
        <f aca="false">IF(K5088="","",K5088-G5088)</f>
        <v>0</v>
      </c>
    </row>
    <row r="5089" customFormat="false" ht="15" hidden="false" customHeight="false" outlineLevel="0" collapsed="false">
      <c r="A5089" s="7" t="n">
        <v>80993489</v>
      </c>
      <c r="B5089" s="7" t="s">
        <v>68</v>
      </c>
      <c r="C5089" s="7" t="s">
        <v>10258</v>
      </c>
      <c r="D5089" s="7" t="s">
        <v>10259</v>
      </c>
      <c r="E5089" s="7" t="s">
        <v>26</v>
      </c>
      <c r="F5089" s="7" t="s">
        <v>10256</v>
      </c>
      <c r="G5089" s="7" t="n">
        <v>2018</v>
      </c>
      <c r="H5089" s="7" t="s">
        <v>49</v>
      </c>
      <c r="I5089" s="7" t="s">
        <v>264</v>
      </c>
      <c r="J5089" s="7" t="s">
        <v>39</v>
      </c>
      <c r="K5089" s="7" t="n">
        <f aca="false">IFERROR(VALUE(RIGHT(TRIM(F5089),4)),"")</f>
        <v>2018</v>
      </c>
      <c r="L5089" s="7" t="str">
        <f aca="false">IF(TRIM(E5089)="","Unknown",IFERROR(LEFT(TRIM(E5089),FIND(",",TRIM(E5089))-1),TRIM(E5089)))</f>
        <v>United States</v>
      </c>
      <c r="M5089" s="7" t="str">
        <f aca="false">IFERROR(LEFT(J5089,FIND(",",J5089)-1),J5089)</f>
        <v>Documentaries</v>
      </c>
      <c r="N5089" s="7" t="n">
        <f aca="false">IF(B5089="Movie",IFERROR(VALUE(LEFT(I5089,FIND(" ",I5089)-1)),""),"")</f>
        <v>88</v>
      </c>
      <c r="O5089" s="7" t="str">
        <f aca="false">IF(B5089="TV Show",IFERROR(VALUE(LEFT(I5089,FIND(" ",I5089)-1)),""),"")</f>
        <v/>
      </c>
      <c r="P5089" s="7" t="n">
        <f aca="false">IF(K5089="","",K5089-G5089)</f>
        <v>0</v>
      </c>
    </row>
    <row r="5090" customFormat="false" ht="15" hidden="false" customHeight="false" outlineLevel="0" collapsed="false">
      <c r="A5090" s="7" t="n">
        <v>70033643</v>
      </c>
      <c r="B5090" s="7" t="s">
        <v>68</v>
      </c>
      <c r="C5090" s="7" t="s">
        <v>10260</v>
      </c>
      <c r="D5090" s="7" t="s">
        <v>9739</v>
      </c>
      <c r="E5090" s="7" t="s">
        <v>411</v>
      </c>
      <c r="F5090" s="7" t="s">
        <v>10256</v>
      </c>
      <c r="G5090" s="7" t="n">
        <v>1992</v>
      </c>
      <c r="H5090" s="7" t="s">
        <v>48</v>
      </c>
      <c r="I5090" s="7" t="s">
        <v>194</v>
      </c>
      <c r="J5090" s="7" t="s">
        <v>112</v>
      </c>
      <c r="K5090" s="7" t="n">
        <f aca="false">IFERROR(VALUE(RIGHT(TRIM(F5090),4)),"")</f>
        <v>2018</v>
      </c>
      <c r="L5090" s="7" t="str">
        <f aca="false">IF(TRIM(E5090)="","Unknown",IFERROR(LEFT(TRIM(E5090),FIND(",",TRIM(E5090))-1),TRIM(E5090)))</f>
        <v>Hong Kong</v>
      </c>
      <c r="M5090" s="7" t="str">
        <f aca="false">IFERROR(LEFT(J5090,FIND(",",J5090)-1),J5090)</f>
        <v>Action &amp; Adventure</v>
      </c>
      <c r="N5090" s="7" t="n">
        <f aca="false">IF(B5090="Movie",IFERROR(VALUE(LEFT(I5090,FIND(" ",I5090)-1)),""),"")</f>
        <v>125</v>
      </c>
      <c r="O5090" s="7" t="str">
        <f aca="false">IF(B5090="TV Show",IFERROR(VALUE(LEFT(I5090,FIND(" ",I5090)-1)),""),"")</f>
        <v/>
      </c>
      <c r="P5090" s="7" t="n">
        <f aca="false">IF(K5090="","",K5090-G5090)</f>
        <v>26</v>
      </c>
    </row>
    <row r="5091" customFormat="false" ht="15" hidden="false" customHeight="false" outlineLevel="0" collapsed="false">
      <c r="A5091" s="7" t="n">
        <v>70233317</v>
      </c>
      <c r="B5091" s="7" t="s">
        <v>68</v>
      </c>
      <c r="C5091" s="7" t="s">
        <v>10261</v>
      </c>
      <c r="D5091" s="7" t="s">
        <v>10262</v>
      </c>
      <c r="E5091" s="7" t="s">
        <v>26</v>
      </c>
      <c r="F5091" s="7" t="s">
        <v>10256</v>
      </c>
      <c r="G5091" s="7" t="n">
        <v>2012</v>
      </c>
      <c r="H5091" s="7" t="s">
        <v>51</v>
      </c>
      <c r="I5091" s="7" t="s">
        <v>264</v>
      </c>
      <c r="J5091" s="7" t="s">
        <v>147</v>
      </c>
      <c r="K5091" s="7" t="n">
        <f aca="false">IFERROR(VALUE(RIGHT(TRIM(F5091),4)),"")</f>
        <v>2018</v>
      </c>
      <c r="L5091" s="7" t="str">
        <f aca="false">IF(TRIM(E5091)="","Unknown",IFERROR(LEFT(TRIM(E5091),FIND(",",TRIM(E5091))-1),TRIM(E5091)))</f>
        <v>United States</v>
      </c>
      <c r="M5091" s="7" t="str">
        <f aca="false">IFERROR(LEFT(J5091,FIND(",",J5091)-1),J5091)</f>
        <v>Horror Movies</v>
      </c>
      <c r="N5091" s="7" t="n">
        <f aca="false">IF(B5091="Movie",IFERROR(VALUE(LEFT(I5091,FIND(" ",I5091)-1)),""),"")</f>
        <v>88</v>
      </c>
      <c r="O5091" s="7" t="str">
        <f aca="false">IF(B5091="TV Show",IFERROR(VALUE(LEFT(I5091,FIND(" ",I5091)-1)),""),"")</f>
        <v/>
      </c>
      <c r="P5091" s="7" t="n">
        <f aca="false">IF(K5091="","",K5091-G5091)</f>
        <v>6</v>
      </c>
    </row>
    <row r="5092" customFormat="false" ht="15" hidden="false" customHeight="false" outlineLevel="0" collapsed="false">
      <c r="A5092" s="7" t="n">
        <v>80997858</v>
      </c>
      <c r="B5092" s="7" t="s">
        <v>68</v>
      </c>
      <c r="C5092" s="7" t="s">
        <v>10263</v>
      </c>
      <c r="D5092" s="7" t="s">
        <v>9739</v>
      </c>
      <c r="E5092" s="7" t="s">
        <v>411</v>
      </c>
      <c r="F5092" s="7" t="s">
        <v>10256</v>
      </c>
      <c r="G5092" s="7" t="n">
        <v>1989</v>
      </c>
      <c r="H5092" s="7" t="s">
        <v>49</v>
      </c>
      <c r="I5092" s="7" t="s">
        <v>77</v>
      </c>
      <c r="J5092" s="7" t="s">
        <v>139</v>
      </c>
      <c r="K5092" s="7" t="n">
        <f aca="false">IFERROR(VALUE(RIGHT(TRIM(F5092),4)),"")</f>
        <v>2018</v>
      </c>
      <c r="L5092" s="7" t="str">
        <f aca="false">IF(TRIM(E5092)="","Unknown",IFERROR(LEFT(TRIM(E5092),FIND(",",TRIM(E5092))-1),TRIM(E5092)))</f>
        <v>Hong Kong</v>
      </c>
      <c r="M5092" s="7" t="str">
        <f aca="false">IFERROR(LEFT(J5092,FIND(",",J5092)-1),J5092)</f>
        <v>Action &amp; Adventure</v>
      </c>
      <c r="N5092" s="7" t="n">
        <f aca="false">IF(B5092="Movie",IFERROR(VALUE(LEFT(I5092,FIND(" ",I5092)-1)),""),"")</f>
        <v>94</v>
      </c>
      <c r="O5092" s="7" t="str">
        <f aca="false">IF(B5092="TV Show",IFERROR(VALUE(LEFT(I5092,FIND(" ",I5092)-1)),""),"")</f>
        <v/>
      </c>
      <c r="P5092" s="7" t="n">
        <f aca="false">IF(K5092="","",K5092-G5092)</f>
        <v>29</v>
      </c>
    </row>
    <row r="5093" customFormat="false" ht="15" hidden="false" customHeight="false" outlineLevel="0" collapsed="false">
      <c r="A5093" s="7" t="n">
        <v>80238607</v>
      </c>
      <c r="B5093" s="7" t="s">
        <v>68</v>
      </c>
      <c r="C5093" s="7" t="s">
        <v>10264</v>
      </c>
      <c r="D5093" s="7" t="s">
        <v>8090</v>
      </c>
      <c r="E5093" s="7" t="s">
        <v>26</v>
      </c>
      <c r="F5093" s="7" t="s">
        <v>10256</v>
      </c>
      <c r="G5093" s="7" t="n">
        <v>2018</v>
      </c>
      <c r="H5093" s="7" t="s">
        <v>48</v>
      </c>
      <c r="I5093" s="7" t="s">
        <v>524</v>
      </c>
      <c r="J5093" s="7" t="s">
        <v>5449</v>
      </c>
      <c r="K5093" s="7" t="n">
        <f aca="false">IFERROR(VALUE(RIGHT(TRIM(F5093),4)),"")</f>
        <v>2018</v>
      </c>
      <c r="L5093" s="7" t="str">
        <f aca="false">IF(TRIM(E5093)="","Unknown",IFERROR(LEFT(TRIM(E5093),FIND(",",TRIM(E5093))-1),TRIM(E5093)))</f>
        <v>United States</v>
      </c>
      <c r="M5093" s="7" t="str">
        <f aca="false">IFERROR(LEFT(J5093,FIND(",",J5093)-1),J5093)</f>
        <v>Dramas</v>
      </c>
      <c r="N5093" s="7" t="n">
        <f aca="false">IF(B5093="Movie",IFERROR(VALUE(LEFT(I5093,FIND(" ",I5093)-1)),""),"")</f>
        <v>83</v>
      </c>
      <c r="O5093" s="7" t="str">
        <f aca="false">IF(B5093="TV Show",IFERROR(VALUE(LEFT(I5093,FIND(" ",I5093)-1)),""),"")</f>
        <v/>
      </c>
      <c r="P5093" s="7" t="n">
        <f aca="false">IF(K5093="","",K5093-G5093)</f>
        <v>0</v>
      </c>
    </row>
    <row r="5094" customFormat="false" ht="15" hidden="false" customHeight="false" outlineLevel="0" collapsed="false">
      <c r="A5094" s="7" t="n">
        <v>80039485</v>
      </c>
      <c r="B5094" s="7" t="s">
        <v>68</v>
      </c>
      <c r="C5094" s="7" t="s">
        <v>10265</v>
      </c>
      <c r="D5094" s="7" t="s">
        <v>10266</v>
      </c>
      <c r="E5094" s="7" t="s">
        <v>429</v>
      </c>
      <c r="F5094" s="7" t="s">
        <v>10256</v>
      </c>
      <c r="G5094" s="7" t="n">
        <v>1997</v>
      </c>
      <c r="H5094" s="7" t="s">
        <v>48</v>
      </c>
      <c r="I5094" s="7" t="s">
        <v>357</v>
      </c>
      <c r="J5094" s="7" t="s">
        <v>322</v>
      </c>
      <c r="K5094" s="7" t="n">
        <f aca="false">IFERROR(VALUE(RIGHT(TRIM(F5094),4)),"")</f>
        <v>2018</v>
      </c>
      <c r="L5094" s="7" t="str">
        <f aca="false">IF(TRIM(E5094)="","Unknown",IFERROR(LEFT(TRIM(E5094),FIND(",",TRIM(E5094))-1),TRIM(E5094)))</f>
        <v>Hong Kong</v>
      </c>
      <c r="M5094" s="7" t="str">
        <f aca="false">IFERROR(LEFT(J5094,FIND(",",J5094)-1),J5094)</f>
        <v>Action &amp; Adventure</v>
      </c>
      <c r="N5094" s="7" t="n">
        <f aca="false">IF(B5094="Movie",IFERROR(VALUE(LEFT(I5094,FIND(" ",I5094)-1)),""),"")</f>
        <v>89</v>
      </c>
      <c r="O5094" s="7" t="str">
        <f aca="false">IF(B5094="TV Show",IFERROR(VALUE(LEFT(I5094,FIND(" ",I5094)-1)),""),"")</f>
        <v/>
      </c>
      <c r="P5094" s="7" t="n">
        <f aca="false">IF(K5094="","",K5094-G5094)</f>
        <v>21</v>
      </c>
    </row>
    <row r="5095" customFormat="false" ht="15" hidden="false" customHeight="false" outlineLevel="0" collapsed="false">
      <c r="A5095" s="7" t="n">
        <v>80998560</v>
      </c>
      <c r="B5095" s="7" t="s">
        <v>68</v>
      </c>
      <c r="C5095" s="7" t="s">
        <v>10267</v>
      </c>
      <c r="D5095" s="7" t="s">
        <v>10268</v>
      </c>
      <c r="E5095" s="7" t="s">
        <v>27</v>
      </c>
      <c r="F5095" s="7" t="s">
        <v>10256</v>
      </c>
      <c r="G5095" s="7" t="n">
        <v>2017</v>
      </c>
      <c r="H5095" s="7" t="s">
        <v>49</v>
      </c>
      <c r="I5095" s="7" t="s">
        <v>1270</v>
      </c>
      <c r="J5095" s="7" t="s">
        <v>304</v>
      </c>
      <c r="K5095" s="7" t="n">
        <f aca="false">IFERROR(VALUE(RIGHT(TRIM(F5095),4)),"")</f>
        <v>2018</v>
      </c>
      <c r="L5095" s="7" t="str">
        <f aca="false">IF(TRIM(E5095)="","Unknown",IFERROR(LEFT(TRIM(E5095),FIND(",",TRIM(E5095))-1),TRIM(E5095)))</f>
        <v>India</v>
      </c>
      <c r="M5095" s="7" t="str">
        <f aca="false">IFERROR(LEFT(J5095,FIND(",",J5095)-1),J5095)</f>
        <v>Dramas</v>
      </c>
      <c r="N5095" s="7" t="n">
        <f aca="false">IF(B5095="Movie",IFERROR(VALUE(LEFT(I5095,FIND(" ",I5095)-1)),""),"")</f>
        <v>118</v>
      </c>
      <c r="O5095" s="7" t="str">
        <f aca="false">IF(B5095="TV Show",IFERROR(VALUE(LEFT(I5095,FIND(" ",I5095)-1)),""),"")</f>
        <v/>
      </c>
      <c r="P5095" s="7" t="n">
        <f aca="false">IF(K5095="","",K5095-G5095)</f>
        <v>1</v>
      </c>
    </row>
    <row r="5096" customFormat="false" ht="15" hidden="false" customHeight="false" outlineLevel="0" collapsed="false">
      <c r="A5096" s="7" t="n">
        <v>70043379</v>
      </c>
      <c r="B5096" s="7" t="s">
        <v>68</v>
      </c>
      <c r="C5096" s="7" t="s">
        <v>10269</v>
      </c>
      <c r="D5096" s="7" t="s">
        <v>10270</v>
      </c>
      <c r="E5096" s="7" t="s">
        <v>2476</v>
      </c>
      <c r="F5096" s="7" t="s">
        <v>10256</v>
      </c>
      <c r="G5096" s="7" t="n">
        <v>2005</v>
      </c>
      <c r="H5096" s="7" t="s">
        <v>49</v>
      </c>
      <c r="I5096" s="7" t="s">
        <v>790</v>
      </c>
      <c r="J5096" s="7" t="s">
        <v>322</v>
      </c>
      <c r="K5096" s="7" t="n">
        <f aca="false">IFERROR(VALUE(RIGHT(TRIM(F5096),4)),"")</f>
        <v>2018</v>
      </c>
      <c r="L5096" s="7" t="str">
        <f aca="false">IF(TRIM(E5096)="","Unknown",IFERROR(LEFT(TRIM(E5096),FIND(",",TRIM(E5096))-1),TRIM(E5096)))</f>
        <v>China</v>
      </c>
      <c r="M5096" s="7" t="str">
        <f aca="false">IFERROR(LEFT(J5096,FIND(",",J5096)-1),J5096)</f>
        <v>Action &amp; Adventure</v>
      </c>
      <c r="N5096" s="7" t="n">
        <f aca="false">IF(B5096="Movie",IFERROR(VALUE(LEFT(I5096,FIND(" ",I5096)-1)),""),"")</f>
        <v>109</v>
      </c>
      <c r="O5096" s="7" t="str">
        <f aca="false">IF(B5096="TV Show",IFERROR(VALUE(LEFT(I5096,FIND(" ",I5096)-1)),""),"")</f>
        <v/>
      </c>
      <c r="P5096" s="7" t="n">
        <f aca="false">IF(K5096="","",K5096-G5096)</f>
        <v>13</v>
      </c>
    </row>
    <row r="5097" customFormat="false" ht="15" hidden="false" customHeight="false" outlineLevel="0" collapsed="false">
      <c r="A5097" s="7" t="n">
        <v>80232892</v>
      </c>
      <c r="B5097" s="7" t="s">
        <v>68</v>
      </c>
      <c r="C5097" s="7" t="s">
        <v>10271</v>
      </c>
      <c r="D5097" s="7" t="s">
        <v>10272</v>
      </c>
      <c r="E5097" s="7" t="s">
        <v>10273</v>
      </c>
      <c r="F5097" s="7" t="s">
        <v>10256</v>
      </c>
      <c r="G5097" s="7" t="n">
        <v>2017</v>
      </c>
      <c r="H5097" s="7" t="s">
        <v>48</v>
      </c>
      <c r="I5097" s="7" t="s">
        <v>494</v>
      </c>
      <c r="J5097" s="7" t="s">
        <v>188</v>
      </c>
      <c r="K5097" s="7" t="n">
        <f aca="false">IFERROR(VALUE(RIGHT(TRIM(F5097),4)),"")</f>
        <v>2018</v>
      </c>
      <c r="L5097" s="7" t="str">
        <f aca="false">IF(TRIM(E5097)="","Unknown",IFERROR(LEFT(TRIM(E5097),FIND(",",TRIM(E5097))-1),TRIM(E5097)))</f>
        <v>Argentina</v>
      </c>
      <c r="M5097" s="7" t="str">
        <f aca="false">IFERROR(LEFT(J5097,FIND(",",J5097)-1),J5097)</f>
        <v>Dramas</v>
      </c>
      <c r="N5097" s="7" t="n">
        <f aca="false">IF(B5097="Movie",IFERROR(VALUE(LEFT(I5097,FIND(" ",I5097)-1)),""),"")</f>
        <v>87</v>
      </c>
      <c r="O5097" s="7" t="str">
        <f aca="false">IF(B5097="TV Show",IFERROR(VALUE(LEFT(I5097,FIND(" ",I5097)-1)),""),"")</f>
        <v/>
      </c>
      <c r="P5097" s="7" t="n">
        <f aca="false">IF(K5097="","",K5097-G5097)</f>
        <v>1</v>
      </c>
    </row>
    <row r="5098" customFormat="false" ht="15" hidden="false" customHeight="false" outlineLevel="0" collapsed="false">
      <c r="A5098" s="7" t="n">
        <v>80998562</v>
      </c>
      <c r="B5098" s="7" t="s">
        <v>68</v>
      </c>
      <c r="C5098" s="7" t="s">
        <v>10274</v>
      </c>
      <c r="D5098" s="7" t="s">
        <v>10275</v>
      </c>
      <c r="F5098" s="7" t="s">
        <v>10256</v>
      </c>
      <c r="G5098" s="7" t="n">
        <v>2017</v>
      </c>
      <c r="H5098" s="7" t="s">
        <v>49</v>
      </c>
      <c r="I5098" s="7" t="s">
        <v>820</v>
      </c>
      <c r="J5098" s="7" t="s">
        <v>304</v>
      </c>
      <c r="K5098" s="7" t="n">
        <f aca="false">IFERROR(VALUE(RIGHT(TRIM(F5098),4)),"")</f>
        <v>2018</v>
      </c>
      <c r="L5098" s="7" t="str">
        <f aca="false">IF(TRIM(E5098)="","Unknown",IFERROR(LEFT(TRIM(E5098),FIND(",",TRIM(E5098))-1),TRIM(E5098)))</f>
        <v>Unknown</v>
      </c>
      <c r="M5098" s="7" t="str">
        <f aca="false">IFERROR(LEFT(J5098,FIND(",",J5098)-1),J5098)</f>
        <v>Dramas</v>
      </c>
      <c r="N5098" s="7" t="n">
        <f aca="false">IF(B5098="Movie",IFERROR(VALUE(LEFT(I5098,FIND(" ",I5098)-1)),""),"")</f>
        <v>105</v>
      </c>
      <c r="O5098" s="7" t="str">
        <f aca="false">IF(B5098="TV Show",IFERROR(VALUE(LEFT(I5098,FIND(" ",I5098)-1)),""),"")</f>
        <v/>
      </c>
      <c r="P5098" s="7" t="n">
        <f aca="false">IF(K5098="","",K5098-G5098)</f>
        <v>1</v>
      </c>
    </row>
    <row r="5099" customFormat="false" ht="15" hidden="false" customHeight="false" outlineLevel="0" collapsed="false">
      <c r="A5099" s="7" t="n">
        <v>70124268</v>
      </c>
      <c r="B5099" s="7" t="s">
        <v>68</v>
      </c>
      <c r="C5099" s="7" t="s">
        <v>10276</v>
      </c>
      <c r="D5099" s="7" t="s">
        <v>10277</v>
      </c>
      <c r="E5099" s="7" t="s">
        <v>1335</v>
      </c>
      <c r="F5099" s="7" t="s">
        <v>10256</v>
      </c>
      <c r="G5099" s="7" t="n">
        <v>2010</v>
      </c>
      <c r="H5099" s="7" t="s">
        <v>55</v>
      </c>
      <c r="I5099" s="7" t="s">
        <v>143</v>
      </c>
      <c r="J5099" s="7" t="s">
        <v>74</v>
      </c>
      <c r="K5099" s="7" t="n">
        <f aca="false">IFERROR(VALUE(RIGHT(TRIM(F5099),4)),"")</f>
        <v>2018</v>
      </c>
      <c r="L5099" s="7" t="str">
        <f aca="false">IF(TRIM(E5099)="","Unknown",IFERROR(LEFT(TRIM(E5099),FIND(",",TRIM(E5099))-1),TRIM(E5099)))</f>
        <v>Mexico</v>
      </c>
      <c r="M5099" s="7" t="str">
        <f aca="false">IFERROR(LEFT(J5099,FIND(",",J5099)-1),J5099)</f>
        <v>Children &amp; Family Movies</v>
      </c>
      <c r="N5099" s="7" t="n">
        <f aca="false">IF(B5099="Movie",IFERROR(VALUE(LEFT(I5099,FIND(" ",I5099)-1)),""),"")</f>
        <v>79</v>
      </c>
      <c r="O5099" s="7" t="str">
        <f aca="false">IF(B5099="TV Show",IFERROR(VALUE(LEFT(I5099,FIND(" ",I5099)-1)),""),"")</f>
        <v/>
      </c>
      <c r="P5099" s="7" t="n">
        <f aca="false">IF(K5099="","",K5099-G5099)</f>
        <v>8</v>
      </c>
    </row>
    <row r="5100" customFormat="false" ht="15" hidden="false" customHeight="false" outlineLevel="0" collapsed="false">
      <c r="A5100" s="7" t="n">
        <v>80998563</v>
      </c>
      <c r="B5100" s="7" t="s">
        <v>68</v>
      </c>
      <c r="C5100" s="7" t="s">
        <v>10278</v>
      </c>
      <c r="D5100" s="7" t="s">
        <v>10279</v>
      </c>
      <c r="F5100" s="7" t="s">
        <v>10256</v>
      </c>
      <c r="G5100" s="7" t="n">
        <v>2017</v>
      </c>
      <c r="H5100" s="7" t="s">
        <v>49</v>
      </c>
      <c r="I5100" s="7" t="s">
        <v>201</v>
      </c>
      <c r="J5100" s="7" t="s">
        <v>240</v>
      </c>
      <c r="K5100" s="7" t="n">
        <f aca="false">IFERROR(VALUE(RIGHT(TRIM(F5100),4)),"")</f>
        <v>2018</v>
      </c>
      <c r="L5100" s="7" t="str">
        <f aca="false">IF(TRIM(E5100)="","Unknown",IFERROR(LEFT(TRIM(E5100),FIND(",",TRIM(E5100))-1),TRIM(E5100)))</f>
        <v>Unknown</v>
      </c>
      <c r="M5100" s="7" t="str">
        <f aca="false">IFERROR(LEFT(J5100,FIND(",",J5100)-1),J5100)</f>
        <v>Dramas</v>
      </c>
      <c r="N5100" s="7" t="n">
        <f aca="false">IF(B5100="Movie",IFERROR(VALUE(LEFT(I5100,FIND(" ",I5100)-1)),""),"")</f>
        <v>133</v>
      </c>
      <c r="O5100" s="7" t="str">
        <f aca="false">IF(B5100="TV Show",IFERROR(VALUE(LEFT(I5100,FIND(" ",I5100)-1)),""),"")</f>
        <v/>
      </c>
      <c r="P5100" s="7" t="n">
        <f aca="false">IF(K5100="","",K5100-G5100)</f>
        <v>1</v>
      </c>
    </row>
    <row r="5101" customFormat="false" ht="15" hidden="false" customHeight="false" outlineLevel="0" collapsed="false">
      <c r="A5101" s="7" t="n">
        <v>80998564</v>
      </c>
      <c r="B5101" s="7" t="s">
        <v>68</v>
      </c>
      <c r="C5101" s="7" t="s">
        <v>10280</v>
      </c>
      <c r="D5101" s="7" t="s">
        <v>10281</v>
      </c>
      <c r="E5101" s="7" t="s">
        <v>27</v>
      </c>
      <c r="F5101" s="7" t="s">
        <v>10256</v>
      </c>
      <c r="G5101" s="7" t="n">
        <v>2017</v>
      </c>
      <c r="H5101" s="7" t="s">
        <v>49</v>
      </c>
      <c r="I5101" s="7" t="s">
        <v>1989</v>
      </c>
      <c r="J5101" s="7" t="s">
        <v>486</v>
      </c>
      <c r="K5101" s="7" t="n">
        <f aca="false">IFERROR(VALUE(RIGHT(TRIM(F5101),4)),"")</f>
        <v>2018</v>
      </c>
      <c r="L5101" s="7" t="str">
        <f aca="false">IF(TRIM(E5101)="","Unknown",IFERROR(LEFT(TRIM(E5101),FIND(",",TRIM(E5101))-1),TRIM(E5101)))</f>
        <v>India</v>
      </c>
      <c r="M5101" s="7" t="str">
        <f aca="false">IFERROR(LEFT(J5101,FIND(",",J5101)-1),J5101)</f>
        <v>Comedies</v>
      </c>
      <c r="N5101" s="7" t="n">
        <f aca="false">IF(B5101="Movie",IFERROR(VALUE(LEFT(I5101,FIND(" ",I5101)-1)),""),"")</f>
        <v>147</v>
      </c>
      <c r="O5101" s="7" t="str">
        <f aca="false">IF(B5101="TV Show",IFERROR(VALUE(LEFT(I5101,FIND(" ",I5101)-1)),""),"")</f>
        <v/>
      </c>
      <c r="P5101" s="7" t="n">
        <f aca="false">IF(K5101="","",K5101-G5101)</f>
        <v>1</v>
      </c>
    </row>
    <row r="5102" customFormat="false" ht="15" hidden="false" customHeight="false" outlineLevel="0" collapsed="false">
      <c r="A5102" s="7" t="n">
        <v>80997864</v>
      </c>
      <c r="B5102" s="7" t="s">
        <v>68</v>
      </c>
      <c r="C5102" s="7" t="s">
        <v>10282</v>
      </c>
      <c r="D5102" s="7" t="s">
        <v>10283</v>
      </c>
      <c r="E5102" s="7" t="s">
        <v>411</v>
      </c>
      <c r="F5102" s="7" t="s">
        <v>10256</v>
      </c>
      <c r="G5102" s="7" t="n">
        <v>1983</v>
      </c>
      <c r="H5102" s="7" t="s">
        <v>49</v>
      </c>
      <c r="I5102" s="7" t="s">
        <v>311</v>
      </c>
      <c r="J5102" s="7" t="s">
        <v>1827</v>
      </c>
      <c r="K5102" s="7" t="n">
        <f aca="false">IFERROR(VALUE(RIGHT(TRIM(F5102),4)),"")</f>
        <v>2018</v>
      </c>
      <c r="L5102" s="7" t="str">
        <f aca="false">IF(TRIM(E5102)="","Unknown",IFERROR(LEFT(TRIM(E5102),FIND(",",TRIM(E5102))-1),TRIM(E5102)))</f>
        <v>Hong Kong</v>
      </c>
      <c r="M5102" s="7" t="str">
        <f aca="false">IFERROR(LEFT(J5102,FIND(",",J5102)-1),J5102)</f>
        <v>Action &amp; Adventure</v>
      </c>
      <c r="N5102" s="7" t="n">
        <f aca="false">IF(B5102="Movie",IFERROR(VALUE(LEFT(I5102,FIND(" ",I5102)-1)),""),"")</f>
        <v>92</v>
      </c>
      <c r="O5102" s="7" t="str">
        <f aca="false">IF(B5102="TV Show",IFERROR(VALUE(LEFT(I5102,FIND(" ",I5102)-1)),""),"")</f>
        <v/>
      </c>
      <c r="P5102" s="7" t="n">
        <f aca="false">IF(K5102="","",K5102-G5102)</f>
        <v>35</v>
      </c>
    </row>
    <row r="5103" customFormat="false" ht="15" hidden="false" customHeight="false" outlineLevel="0" collapsed="false">
      <c r="A5103" s="7" t="n">
        <v>80035685</v>
      </c>
      <c r="B5103" s="7" t="s">
        <v>78</v>
      </c>
      <c r="C5103" s="7" t="s">
        <v>10284</v>
      </c>
      <c r="D5103" s="7" t="s">
        <v>2976</v>
      </c>
      <c r="E5103" s="7" t="s">
        <v>1397</v>
      </c>
      <c r="F5103" s="7" t="s">
        <v>10256</v>
      </c>
      <c r="G5103" s="7" t="n">
        <v>2012</v>
      </c>
      <c r="H5103" s="7" t="s">
        <v>48</v>
      </c>
      <c r="I5103" s="7" t="s">
        <v>82</v>
      </c>
      <c r="J5103" s="7" t="s">
        <v>1402</v>
      </c>
      <c r="K5103" s="7" t="n">
        <f aca="false">IFERROR(VALUE(RIGHT(TRIM(F5103),4)),"")</f>
        <v>2018</v>
      </c>
      <c r="L5103" s="7" t="str">
        <f aca="false">IF(TRIM(E5103)="","Unknown",IFERROR(LEFT(TRIM(E5103),FIND(",",TRIM(E5103))-1),TRIM(E5103)))</f>
        <v>Colombia</v>
      </c>
      <c r="M5103" s="7" t="str">
        <f aca="false">IFERROR(LEFT(J5103,FIND(",",J5103)-1),J5103)</f>
        <v>Crime TV Shows</v>
      </c>
      <c r="N5103" s="7" t="str">
        <f aca="false">IF(B5103="Movie",IFERROR(VALUE(LEFT(I5103,FIND(" ",I5103)-1)),""),"")</f>
        <v/>
      </c>
      <c r="O5103" s="7" t="n">
        <f aca="false">IF(B5103="TV Show",IFERROR(VALUE(LEFT(I5103,FIND(" ",I5103)-1)),""),"")</f>
        <v>1</v>
      </c>
      <c r="P5103" s="7" t="n">
        <f aca="false">IF(K5103="","",K5103-G5103)</f>
        <v>6</v>
      </c>
    </row>
    <row r="5104" customFormat="false" ht="15" hidden="false" customHeight="false" outlineLevel="0" collapsed="false">
      <c r="A5104" s="7" t="n">
        <v>70142792</v>
      </c>
      <c r="B5104" s="7" t="s">
        <v>68</v>
      </c>
      <c r="C5104" s="7" t="s">
        <v>10285</v>
      </c>
      <c r="D5104" s="7" t="s">
        <v>6828</v>
      </c>
      <c r="E5104" s="7" t="s">
        <v>411</v>
      </c>
      <c r="F5104" s="7" t="s">
        <v>10256</v>
      </c>
      <c r="G5104" s="7" t="n">
        <v>2010</v>
      </c>
      <c r="H5104" s="7" t="s">
        <v>48</v>
      </c>
      <c r="I5104" s="7" t="s">
        <v>330</v>
      </c>
      <c r="J5104" s="7" t="s">
        <v>217</v>
      </c>
      <c r="K5104" s="7" t="n">
        <f aca="false">IFERROR(VALUE(RIGHT(TRIM(F5104),4)),"")</f>
        <v>2018</v>
      </c>
      <c r="L5104" s="7" t="str">
        <f aca="false">IF(TRIM(E5104)="","Unknown",IFERROR(LEFT(TRIM(E5104),FIND(",",TRIM(E5104))-1),TRIM(E5104)))</f>
        <v>Hong Kong</v>
      </c>
      <c r="M5104" s="7" t="str">
        <f aca="false">IFERROR(LEFT(J5104,FIND(",",J5104)-1),J5104)</f>
        <v>Comedies</v>
      </c>
      <c r="N5104" s="7" t="n">
        <f aca="false">IF(B5104="Movie",IFERROR(VALUE(LEFT(I5104,FIND(" ",I5104)-1)),""),"")</f>
        <v>103</v>
      </c>
      <c r="O5104" s="7" t="str">
        <f aca="false">IF(B5104="TV Show",IFERROR(VALUE(LEFT(I5104,FIND(" ",I5104)-1)),""),"")</f>
        <v/>
      </c>
      <c r="P5104" s="7" t="n">
        <f aca="false">IF(K5104="","",K5104-G5104)</f>
        <v>8</v>
      </c>
    </row>
    <row r="5105" customFormat="false" ht="15" hidden="false" customHeight="false" outlineLevel="0" collapsed="false">
      <c r="A5105" s="7" t="n">
        <v>81002214</v>
      </c>
      <c r="B5105" s="7" t="s">
        <v>68</v>
      </c>
      <c r="C5105" s="7" t="s">
        <v>10286</v>
      </c>
      <c r="D5105" s="7" t="s">
        <v>10287</v>
      </c>
      <c r="E5105" s="7" t="s">
        <v>27</v>
      </c>
      <c r="F5105" s="7" t="s">
        <v>10256</v>
      </c>
      <c r="G5105" s="7" t="n">
        <v>2013</v>
      </c>
      <c r="H5105" s="7" t="s">
        <v>49</v>
      </c>
      <c r="I5105" s="7" t="s">
        <v>519</v>
      </c>
      <c r="J5105" s="7" t="s">
        <v>112</v>
      </c>
      <c r="K5105" s="7" t="n">
        <f aca="false">IFERROR(VALUE(RIGHT(TRIM(F5105),4)),"")</f>
        <v>2018</v>
      </c>
      <c r="L5105" s="7" t="str">
        <f aca="false">IF(TRIM(E5105)="","Unknown",IFERROR(LEFT(TRIM(E5105),FIND(",",TRIM(E5105))-1),TRIM(E5105)))</f>
        <v>India</v>
      </c>
      <c r="M5105" s="7" t="str">
        <f aca="false">IFERROR(LEFT(J5105,FIND(",",J5105)-1),J5105)</f>
        <v>Action &amp; Adventure</v>
      </c>
      <c r="N5105" s="7" t="n">
        <f aca="false">IF(B5105="Movie",IFERROR(VALUE(LEFT(I5105,FIND(" ",I5105)-1)),""),"")</f>
        <v>119</v>
      </c>
      <c r="O5105" s="7" t="str">
        <f aca="false">IF(B5105="TV Show",IFERROR(VALUE(LEFT(I5105,FIND(" ",I5105)-1)),""),"")</f>
        <v/>
      </c>
      <c r="P5105" s="7" t="n">
        <f aca="false">IF(K5105="","",K5105-G5105)</f>
        <v>5</v>
      </c>
    </row>
    <row r="5106" customFormat="false" ht="15" hidden="false" customHeight="false" outlineLevel="0" collapsed="false">
      <c r="A5106" s="7" t="n">
        <v>80993656</v>
      </c>
      <c r="B5106" s="7" t="s">
        <v>68</v>
      </c>
      <c r="C5106" s="7" t="s">
        <v>10288</v>
      </c>
      <c r="D5106" s="7" t="s">
        <v>10289</v>
      </c>
      <c r="E5106" s="7" t="s">
        <v>1113</v>
      </c>
      <c r="F5106" s="7" t="s">
        <v>10256</v>
      </c>
      <c r="G5106" s="7" t="n">
        <v>2017</v>
      </c>
      <c r="H5106" s="7" t="s">
        <v>48</v>
      </c>
      <c r="I5106" s="7" t="s">
        <v>154</v>
      </c>
      <c r="J5106" s="7" t="s">
        <v>188</v>
      </c>
      <c r="K5106" s="7" t="n">
        <f aca="false">IFERROR(VALUE(RIGHT(TRIM(F5106),4)),"")</f>
        <v>2018</v>
      </c>
      <c r="L5106" s="7" t="str">
        <f aca="false">IF(TRIM(E5106)="","Unknown",IFERROR(LEFT(TRIM(E5106),FIND(",",TRIM(E5106))-1),TRIM(E5106)))</f>
        <v>Argentina</v>
      </c>
      <c r="M5106" s="7" t="str">
        <f aca="false">IFERROR(LEFT(J5106,FIND(",",J5106)-1),J5106)</f>
        <v>Dramas</v>
      </c>
      <c r="N5106" s="7" t="n">
        <f aca="false">IF(B5106="Movie",IFERROR(VALUE(LEFT(I5106,FIND(" ",I5106)-1)),""),"")</f>
        <v>80</v>
      </c>
      <c r="O5106" s="7" t="str">
        <f aca="false">IF(B5106="TV Show",IFERROR(VALUE(LEFT(I5106,FIND(" ",I5106)-1)),""),"")</f>
        <v/>
      </c>
      <c r="P5106" s="7" t="n">
        <f aca="false">IF(K5106="","",K5106-G5106)</f>
        <v>1</v>
      </c>
    </row>
    <row r="5107" customFormat="false" ht="15" hidden="false" customHeight="false" outlineLevel="0" collapsed="false">
      <c r="A5107" s="7" t="n">
        <v>80998568</v>
      </c>
      <c r="B5107" s="7" t="s">
        <v>68</v>
      </c>
      <c r="C5107" s="7" t="s">
        <v>10290</v>
      </c>
      <c r="D5107" s="7" t="s">
        <v>10291</v>
      </c>
      <c r="E5107" s="7" t="s">
        <v>27</v>
      </c>
      <c r="F5107" s="7" t="s">
        <v>10256</v>
      </c>
      <c r="G5107" s="7" t="n">
        <v>2017</v>
      </c>
      <c r="H5107" s="7" t="s">
        <v>50</v>
      </c>
      <c r="I5107" s="7" t="s">
        <v>93</v>
      </c>
      <c r="J5107" s="7" t="s">
        <v>240</v>
      </c>
      <c r="K5107" s="7" t="n">
        <f aca="false">IFERROR(VALUE(RIGHT(TRIM(F5107),4)),"")</f>
        <v>2018</v>
      </c>
      <c r="L5107" s="7" t="str">
        <f aca="false">IF(TRIM(E5107)="","Unknown",IFERROR(LEFT(TRIM(E5107),FIND(",",TRIM(E5107))-1),TRIM(E5107)))</f>
        <v>India</v>
      </c>
      <c r="M5107" s="7" t="str">
        <f aca="false">IFERROR(LEFT(J5107,FIND(",",J5107)-1),J5107)</f>
        <v>Dramas</v>
      </c>
      <c r="N5107" s="7" t="n">
        <f aca="false">IF(B5107="Movie",IFERROR(VALUE(LEFT(I5107,FIND(" ",I5107)-1)),""),"")</f>
        <v>110</v>
      </c>
      <c r="O5107" s="7" t="str">
        <f aca="false">IF(B5107="TV Show",IFERROR(VALUE(LEFT(I5107,FIND(" ",I5107)-1)),""),"")</f>
        <v/>
      </c>
      <c r="P5107" s="7" t="n">
        <f aca="false">IF(K5107="","",K5107-G5107)</f>
        <v>1</v>
      </c>
    </row>
    <row r="5108" customFormat="false" ht="15" hidden="false" customHeight="false" outlineLevel="0" collapsed="false">
      <c r="A5108" s="7" t="n">
        <v>80998565</v>
      </c>
      <c r="B5108" s="7" t="s">
        <v>68</v>
      </c>
      <c r="C5108" s="7" t="s">
        <v>10292</v>
      </c>
      <c r="D5108" s="7" t="s">
        <v>10293</v>
      </c>
      <c r="E5108" s="7" t="s">
        <v>27</v>
      </c>
      <c r="F5108" s="7" t="s">
        <v>10256</v>
      </c>
      <c r="G5108" s="7" t="n">
        <v>2017</v>
      </c>
      <c r="H5108" s="7" t="s">
        <v>50</v>
      </c>
      <c r="I5108" s="7" t="s">
        <v>261</v>
      </c>
      <c r="J5108" s="7" t="s">
        <v>304</v>
      </c>
      <c r="K5108" s="7" t="n">
        <f aca="false">IFERROR(VALUE(RIGHT(TRIM(F5108),4)),"")</f>
        <v>2018</v>
      </c>
      <c r="L5108" s="7" t="str">
        <f aca="false">IF(TRIM(E5108)="","Unknown",IFERROR(LEFT(TRIM(E5108),FIND(",",TRIM(E5108))-1),TRIM(E5108)))</f>
        <v>India</v>
      </c>
      <c r="M5108" s="7" t="str">
        <f aca="false">IFERROR(LEFT(J5108,FIND(",",J5108)-1),J5108)</f>
        <v>Dramas</v>
      </c>
      <c r="N5108" s="7" t="n">
        <f aca="false">IF(B5108="Movie",IFERROR(VALUE(LEFT(I5108,FIND(" ",I5108)-1)),""),"")</f>
        <v>128</v>
      </c>
      <c r="O5108" s="7" t="str">
        <f aca="false">IF(B5108="TV Show",IFERROR(VALUE(LEFT(I5108,FIND(" ",I5108)-1)),""),"")</f>
        <v/>
      </c>
      <c r="P5108" s="7" t="n">
        <f aca="false">IF(K5108="","",K5108-G5108)</f>
        <v>1</v>
      </c>
    </row>
    <row r="5109" customFormat="false" ht="15" hidden="false" customHeight="false" outlineLevel="0" collapsed="false">
      <c r="A5109" s="7" t="n">
        <v>80998566</v>
      </c>
      <c r="B5109" s="7" t="s">
        <v>68</v>
      </c>
      <c r="C5109" s="7" t="s">
        <v>10294</v>
      </c>
      <c r="D5109" s="7" t="s">
        <v>10295</v>
      </c>
      <c r="E5109" s="7" t="s">
        <v>27</v>
      </c>
      <c r="F5109" s="7" t="s">
        <v>10256</v>
      </c>
      <c r="G5109" s="7" t="n">
        <v>2017</v>
      </c>
      <c r="H5109" s="7" t="s">
        <v>49</v>
      </c>
      <c r="I5109" s="7" t="s">
        <v>264</v>
      </c>
      <c r="J5109" s="7" t="s">
        <v>169</v>
      </c>
      <c r="K5109" s="7" t="n">
        <f aca="false">IFERROR(VALUE(RIGHT(TRIM(F5109),4)),"")</f>
        <v>2018</v>
      </c>
      <c r="L5109" s="7" t="str">
        <f aca="false">IF(TRIM(E5109)="","Unknown",IFERROR(LEFT(TRIM(E5109),FIND(",",TRIM(E5109))-1),TRIM(E5109)))</f>
        <v>India</v>
      </c>
      <c r="M5109" s="7" t="str">
        <f aca="false">IFERROR(LEFT(J5109,FIND(",",J5109)-1),J5109)</f>
        <v>Horror Movies</v>
      </c>
      <c r="N5109" s="7" t="n">
        <f aca="false">IF(B5109="Movie",IFERROR(VALUE(LEFT(I5109,FIND(" ",I5109)-1)),""),"")</f>
        <v>88</v>
      </c>
      <c r="O5109" s="7" t="str">
        <f aca="false">IF(B5109="TV Show",IFERROR(VALUE(LEFT(I5109,FIND(" ",I5109)-1)),""),"")</f>
        <v/>
      </c>
      <c r="P5109" s="7" t="n">
        <f aca="false">IF(K5109="","",K5109-G5109)</f>
        <v>1</v>
      </c>
    </row>
    <row r="5110" customFormat="false" ht="15" hidden="false" customHeight="false" outlineLevel="0" collapsed="false">
      <c r="A5110" s="7" t="n">
        <v>81001379</v>
      </c>
      <c r="B5110" s="7" t="s">
        <v>68</v>
      </c>
      <c r="C5110" s="7" t="s">
        <v>10296</v>
      </c>
      <c r="D5110" s="7" t="s">
        <v>8751</v>
      </c>
      <c r="F5110" s="7" t="s">
        <v>10256</v>
      </c>
      <c r="G5110" s="7" t="n">
        <v>2018</v>
      </c>
      <c r="H5110" s="7" t="s">
        <v>50</v>
      </c>
      <c r="I5110" s="7" t="s">
        <v>212</v>
      </c>
      <c r="J5110" s="7" t="s">
        <v>509</v>
      </c>
      <c r="K5110" s="7" t="n">
        <f aca="false">IFERROR(VALUE(RIGHT(TRIM(F5110),4)),"")</f>
        <v>2018</v>
      </c>
      <c r="L5110" s="7" t="str">
        <f aca="false">IF(TRIM(E5110)="","Unknown",IFERROR(LEFT(TRIM(E5110),FIND(",",TRIM(E5110))-1),TRIM(E5110)))</f>
        <v>Unknown</v>
      </c>
      <c r="M5110" s="7" t="str">
        <f aca="false">IFERROR(LEFT(J5110,FIND(",",J5110)-1),J5110)</f>
        <v>Documentaries</v>
      </c>
      <c r="N5110" s="7" t="n">
        <f aca="false">IF(B5110="Movie",IFERROR(VALUE(LEFT(I5110,FIND(" ",I5110)-1)),""),"")</f>
        <v>86</v>
      </c>
      <c r="O5110" s="7" t="str">
        <f aca="false">IF(B5110="TV Show",IFERROR(VALUE(LEFT(I5110,FIND(" ",I5110)-1)),""),"")</f>
        <v/>
      </c>
      <c r="P5110" s="7" t="n">
        <f aca="false">IF(K5110="","",K5110-G5110)</f>
        <v>0</v>
      </c>
    </row>
    <row r="5111" customFormat="false" ht="15" hidden="false" customHeight="false" outlineLevel="0" collapsed="false">
      <c r="A5111" s="7" t="n">
        <v>81001381</v>
      </c>
      <c r="B5111" s="7" t="s">
        <v>68</v>
      </c>
      <c r="C5111" s="7" t="s">
        <v>10297</v>
      </c>
      <c r="D5111" s="7" t="s">
        <v>10298</v>
      </c>
      <c r="F5111" s="7" t="s">
        <v>10256</v>
      </c>
      <c r="G5111" s="7" t="n">
        <v>2018</v>
      </c>
      <c r="H5111" s="7" t="s">
        <v>50</v>
      </c>
      <c r="I5111" s="7" t="s">
        <v>254</v>
      </c>
      <c r="J5111" s="7" t="s">
        <v>509</v>
      </c>
      <c r="K5111" s="7" t="n">
        <f aca="false">IFERROR(VALUE(RIGHT(TRIM(F5111),4)),"")</f>
        <v>2018</v>
      </c>
      <c r="L5111" s="7" t="str">
        <f aca="false">IF(TRIM(E5111)="","Unknown",IFERROR(LEFT(TRIM(E5111),FIND(",",TRIM(E5111))-1),TRIM(E5111)))</f>
        <v>Unknown</v>
      </c>
      <c r="M5111" s="7" t="str">
        <f aca="false">IFERROR(LEFT(J5111,FIND(",",J5111)-1),J5111)</f>
        <v>Documentaries</v>
      </c>
      <c r="N5111" s="7" t="n">
        <f aca="false">IF(B5111="Movie",IFERROR(VALUE(LEFT(I5111,FIND(" ",I5111)-1)),""),"")</f>
        <v>70</v>
      </c>
      <c r="O5111" s="7" t="str">
        <f aca="false">IF(B5111="TV Show",IFERROR(VALUE(LEFT(I5111,FIND(" ",I5111)-1)),""),"")</f>
        <v/>
      </c>
      <c r="P5111" s="7" t="n">
        <f aca="false">IF(K5111="","",K5111-G5111)</f>
        <v>0</v>
      </c>
    </row>
    <row r="5112" customFormat="false" ht="15" hidden="false" customHeight="false" outlineLevel="0" collapsed="false">
      <c r="A5112" s="7" t="n">
        <v>81001382</v>
      </c>
      <c r="B5112" s="7" t="s">
        <v>68</v>
      </c>
      <c r="C5112" s="7" t="s">
        <v>10299</v>
      </c>
      <c r="D5112" s="7" t="s">
        <v>10298</v>
      </c>
      <c r="F5112" s="7" t="s">
        <v>10256</v>
      </c>
      <c r="G5112" s="7" t="n">
        <v>2018</v>
      </c>
      <c r="H5112" s="7" t="s">
        <v>48</v>
      </c>
      <c r="I5112" s="7" t="s">
        <v>1317</v>
      </c>
      <c r="J5112" s="7" t="s">
        <v>509</v>
      </c>
      <c r="K5112" s="7" t="n">
        <f aca="false">IFERROR(VALUE(RIGHT(TRIM(F5112),4)),"")</f>
        <v>2018</v>
      </c>
      <c r="L5112" s="7" t="str">
        <f aca="false">IF(TRIM(E5112)="","Unknown",IFERROR(LEFT(TRIM(E5112),FIND(",",TRIM(E5112))-1),TRIM(E5112)))</f>
        <v>Unknown</v>
      </c>
      <c r="M5112" s="7" t="str">
        <f aca="false">IFERROR(LEFT(J5112,FIND(",",J5112)-1),J5112)</f>
        <v>Documentaries</v>
      </c>
      <c r="N5112" s="7" t="n">
        <f aca="false">IF(B5112="Movie",IFERROR(VALUE(LEFT(I5112,FIND(" ",I5112)-1)),""),"")</f>
        <v>66</v>
      </c>
      <c r="O5112" s="7" t="str">
        <f aca="false">IF(B5112="TV Show",IFERROR(VALUE(LEFT(I5112,FIND(" ",I5112)-1)),""),"")</f>
        <v/>
      </c>
      <c r="P5112" s="7" t="n">
        <f aca="false">IF(K5112="","",K5112-G5112)</f>
        <v>0</v>
      </c>
    </row>
    <row r="5113" customFormat="false" ht="15" hidden="false" customHeight="false" outlineLevel="0" collapsed="false">
      <c r="A5113" s="7" t="n">
        <v>81001383</v>
      </c>
      <c r="B5113" s="7" t="s">
        <v>68</v>
      </c>
      <c r="C5113" s="7" t="s">
        <v>10300</v>
      </c>
      <c r="D5113" s="7" t="s">
        <v>8751</v>
      </c>
      <c r="F5113" s="7" t="s">
        <v>10256</v>
      </c>
      <c r="G5113" s="7" t="n">
        <v>2018</v>
      </c>
      <c r="H5113" s="7" t="s">
        <v>50</v>
      </c>
      <c r="I5113" s="7" t="s">
        <v>348</v>
      </c>
      <c r="J5113" s="7" t="s">
        <v>509</v>
      </c>
      <c r="K5113" s="7" t="n">
        <f aca="false">IFERROR(VALUE(RIGHT(TRIM(F5113),4)),"")</f>
        <v>2018</v>
      </c>
      <c r="L5113" s="7" t="str">
        <f aca="false">IF(TRIM(E5113)="","Unknown",IFERROR(LEFT(TRIM(E5113),FIND(",",TRIM(E5113))-1),TRIM(E5113)))</f>
        <v>Unknown</v>
      </c>
      <c r="M5113" s="7" t="str">
        <f aca="false">IFERROR(LEFT(J5113,FIND(",",J5113)-1),J5113)</f>
        <v>Documentaries</v>
      </c>
      <c r="N5113" s="7" t="n">
        <f aca="false">IF(B5113="Movie",IFERROR(VALUE(LEFT(I5113,FIND(" ",I5113)-1)),""),"")</f>
        <v>72</v>
      </c>
      <c r="O5113" s="7" t="str">
        <f aca="false">IF(B5113="TV Show",IFERROR(VALUE(LEFT(I5113,FIND(" ",I5113)-1)),""),"")</f>
        <v/>
      </c>
      <c r="P5113" s="7" t="n">
        <f aca="false">IF(K5113="","",K5113-G5113)</f>
        <v>0</v>
      </c>
    </row>
    <row r="5114" customFormat="false" ht="15" hidden="false" customHeight="false" outlineLevel="0" collapsed="false">
      <c r="A5114" s="7" t="n">
        <v>80998567</v>
      </c>
      <c r="B5114" s="7" t="s">
        <v>68</v>
      </c>
      <c r="C5114" s="7" t="s">
        <v>10301</v>
      </c>
      <c r="D5114" s="7" t="s">
        <v>10302</v>
      </c>
      <c r="F5114" s="7" t="s">
        <v>10256</v>
      </c>
      <c r="G5114" s="7" t="n">
        <v>2017</v>
      </c>
      <c r="H5114" s="7" t="s">
        <v>49</v>
      </c>
      <c r="I5114" s="7" t="s">
        <v>232</v>
      </c>
      <c r="J5114" s="7" t="s">
        <v>217</v>
      </c>
      <c r="K5114" s="7" t="n">
        <f aca="false">IFERROR(VALUE(RIGHT(TRIM(F5114),4)),"")</f>
        <v>2018</v>
      </c>
      <c r="L5114" s="7" t="str">
        <f aca="false">IF(TRIM(E5114)="","Unknown",IFERROR(LEFT(TRIM(E5114),FIND(",",TRIM(E5114))-1),TRIM(E5114)))</f>
        <v>Unknown</v>
      </c>
      <c r="M5114" s="7" t="str">
        <f aca="false">IFERROR(LEFT(J5114,FIND(",",J5114)-1),J5114)</f>
        <v>Comedies</v>
      </c>
      <c r="N5114" s="7" t="n">
        <f aca="false">IF(B5114="Movie",IFERROR(VALUE(LEFT(I5114,FIND(" ",I5114)-1)),""),"")</f>
        <v>122</v>
      </c>
      <c r="O5114" s="7" t="str">
        <f aca="false">IF(B5114="TV Show",IFERROR(VALUE(LEFT(I5114,FIND(" ",I5114)-1)),""),"")</f>
        <v/>
      </c>
      <c r="P5114" s="7" t="n">
        <f aca="false">IF(K5114="","",K5114-G5114)</f>
        <v>1</v>
      </c>
    </row>
    <row r="5115" customFormat="false" ht="15" hidden="false" customHeight="false" outlineLevel="0" collapsed="false">
      <c r="A5115" s="7" t="n">
        <v>81002215</v>
      </c>
      <c r="B5115" s="7" t="s">
        <v>68</v>
      </c>
      <c r="C5115" s="7" t="s">
        <v>10303</v>
      </c>
      <c r="D5115" s="7" t="s">
        <v>3976</v>
      </c>
      <c r="E5115" s="7" t="s">
        <v>27</v>
      </c>
      <c r="F5115" s="7" t="s">
        <v>10256</v>
      </c>
      <c r="G5115" s="7" t="n">
        <v>2015</v>
      </c>
      <c r="H5115" s="7" t="s">
        <v>49</v>
      </c>
      <c r="I5115" s="7" t="s">
        <v>386</v>
      </c>
      <c r="J5115" s="7" t="s">
        <v>1000</v>
      </c>
      <c r="K5115" s="7" t="n">
        <f aca="false">IFERROR(VALUE(RIGHT(TRIM(F5115),4)),"")</f>
        <v>2018</v>
      </c>
      <c r="L5115" s="7" t="str">
        <f aca="false">IF(TRIM(E5115)="","Unknown",IFERROR(LEFT(TRIM(E5115),FIND(",",TRIM(E5115))-1),TRIM(E5115)))</f>
        <v>India</v>
      </c>
      <c r="M5115" s="7" t="str">
        <f aca="false">IFERROR(LEFT(J5115,FIND(",",J5115)-1),J5115)</f>
        <v>Comedies</v>
      </c>
      <c r="N5115" s="7" t="n">
        <f aca="false">IF(B5115="Movie",IFERROR(VALUE(LEFT(I5115,FIND(" ",I5115)-1)),""),"")</f>
        <v>117</v>
      </c>
      <c r="O5115" s="7" t="str">
        <f aca="false">IF(B5115="TV Show",IFERROR(VALUE(LEFT(I5115,FIND(" ",I5115)-1)),""),"")</f>
        <v/>
      </c>
      <c r="P5115" s="7" t="n">
        <f aca="false">IF(K5115="","",K5115-G5115)</f>
        <v>3</v>
      </c>
    </row>
    <row r="5116" customFormat="false" ht="15" hidden="false" customHeight="false" outlineLevel="0" collapsed="false">
      <c r="A5116" s="7" t="n">
        <v>70105338</v>
      </c>
      <c r="B5116" s="7" t="s">
        <v>68</v>
      </c>
      <c r="C5116" s="7" t="s">
        <v>10304</v>
      </c>
      <c r="D5116" s="7" t="s">
        <v>10305</v>
      </c>
      <c r="E5116" s="7" t="s">
        <v>26</v>
      </c>
      <c r="F5116" s="7" t="s">
        <v>10256</v>
      </c>
      <c r="G5116" s="7" t="n">
        <v>2008</v>
      </c>
      <c r="H5116" s="7" t="s">
        <v>54</v>
      </c>
      <c r="I5116" s="7" t="s">
        <v>134</v>
      </c>
      <c r="J5116" s="7" t="s">
        <v>74</v>
      </c>
      <c r="K5116" s="7" t="n">
        <f aca="false">IFERROR(VALUE(RIGHT(TRIM(F5116),4)),"")</f>
        <v>2018</v>
      </c>
      <c r="L5116" s="7" t="str">
        <f aca="false">IF(TRIM(E5116)="","Unknown",IFERROR(LEFT(TRIM(E5116),FIND(",",TRIM(E5116))-1),TRIM(E5116)))</f>
        <v>United States</v>
      </c>
      <c r="M5116" s="7" t="str">
        <f aca="false">IFERROR(LEFT(J5116,FIND(",",J5116)-1),J5116)</f>
        <v>Children &amp; Family Movies</v>
      </c>
      <c r="N5116" s="7" t="n">
        <f aca="false">IF(B5116="Movie",IFERROR(VALUE(LEFT(I5116,FIND(" ",I5116)-1)),""),"")</f>
        <v>98</v>
      </c>
      <c r="O5116" s="7" t="str">
        <f aca="false">IF(B5116="TV Show",IFERROR(VALUE(LEFT(I5116,FIND(" ",I5116)-1)),""),"")</f>
        <v/>
      </c>
      <c r="P5116" s="7" t="n">
        <f aca="false">IF(K5116="","",K5116-G5116)</f>
        <v>10</v>
      </c>
    </row>
    <row r="5117" customFormat="false" ht="15" hidden="false" customHeight="false" outlineLevel="0" collapsed="false">
      <c r="A5117" s="7" t="n">
        <v>81014824</v>
      </c>
      <c r="B5117" s="7" t="s">
        <v>68</v>
      </c>
      <c r="C5117" s="7" t="s">
        <v>10306</v>
      </c>
      <c r="D5117" s="7" t="s">
        <v>10307</v>
      </c>
      <c r="E5117" s="7" t="s">
        <v>259</v>
      </c>
      <c r="F5117" s="7" t="s">
        <v>10256</v>
      </c>
      <c r="G5117" s="7" t="n">
        <v>2017</v>
      </c>
      <c r="H5117" s="7" t="s">
        <v>49</v>
      </c>
      <c r="I5117" s="7" t="s">
        <v>235</v>
      </c>
      <c r="J5117" s="7" t="s">
        <v>1042</v>
      </c>
      <c r="K5117" s="7" t="n">
        <f aca="false">IFERROR(VALUE(RIGHT(TRIM(F5117),4)),"")</f>
        <v>2018</v>
      </c>
      <c r="L5117" s="7" t="str">
        <f aca="false">IF(TRIM(E5117)="","Unknown",IFERROR(LEFT(TRIM(E5117),FIND(",",TRIM(E5117))-1),TRIM(E5117)))</f>
        <v>Pakistan</v>
      </c>
      <c r="M5117" s="7" t="str">
        <f aca="false">IFERROR(LEFT(J5117,FIND(",",J5117)-1),J5117)</f>
        <v>Dramas</v>
      </c>
      <c r="N5117" s="7" t="n">
        <f aca="false">IF(B5117="Movie",IFERROR(VALUE(LEFT(I5117,FIND(" ",I5117)-1)),""),"")</f>
        <v>126</v>
      </c>
      <c r="O5117" s="7" t="str">
        <f aca="false">IF(B5117="TV Show",IFERROR(VALUE(LEFT(I5117,FIND(" ",I5117)-1)),""),"")</f>
        <v/>
      </c>
      <c r="P5117" s="7" t="n">
        <f aca="false">IF(K5117="","",K5117-G5117)</f>
        <v>1</v>
      </c>
    </row>
    <row r="5118" customFormat="false" ht="15" hidden="false" customHeight="false" outlineLevel="0" collapsed="false">
      <c r="A5118" s="7" t="n">
        <v>81013200</v>
      </c>
      <c r="B5118" s="7" t="s">
        <v>68</v>
      </c>
      <c r="C5118" s="7" t="s">
        <v>10308</v>
      </c>
      <c r="D5118" s="7" t="s">
        <v>10309</v>
      </c>
      <c r="E5118" s="7" t="s">
        <v>27</v>
      </c>
      <c r="F5118" s="7" t="s">
        <v>10256</v>
      </c>
      <c r="G5118" s="7" t="n">
        <v>2018</v>
      </c>
      <c r="H5118" s="7" t="s">
        <v>50</v>
      </c>
      <c r="I5118" s="7" t="s">
        <v>1405</v>
      </c>
      <c r="J5118" s="7" t="s">
        <v>217</v>
      </c>
      <c r="K5118" s="7" t="n">
        <f aca="false">IFERROR(VALUE(RIGHT(TRIM(F5118),4)),"")</f>
        <v>2018</v>
      </c>
      <c r="L5118" s="7" t="str">
        <f aca="false">IF(TRIM(E5118)="","Unknown",IFERROR(LEFT(TRIM(E5118),FIND(",",TRIM(E5118))-1),TRIM(E5118)))</f>
        <v>India</v>
      </c>
      <c r="M5118" s="7" t="str">
        <f aca="false">IFERROR(LEFT(J5118,FIND(",",J5118)-1),J5118)</f>
        <v>Comedies</v>
      </c>
      <c r="N5118" s="7" t="n">
        <f aca="false">IF(B5118="Movie",IFERROR(VALUE(LEFT(I5118,FIND(" ",I5118)-1)),""),"")</f>
        <v>115</v>
      </c>
      <c r="O5118" s="7" t="str">
        <f aca="false">IF(B5118="TV Show",IFERROR(VALUE(LEFT(I5118,FIND(" ",I5118)-1)),""),"")</f>
        <v/>
      </c>
      <c r="P5118" s="7" t="n">
        <f aca="false">IF(K5118="","",K5118-G5118)</f>
        <v>0</v>
      </c>
    </row>
    <row r="5119" customFormat="false" ht="15" hidden="false" customHeight="false" outlineLevel="0" collapsed="false">
      <c r="A5119" s="7" t="n">
        <v>80230018</v>
      </c>
      <c r="B5119" s="7" t="s">
        <v>78</v>
      </c>
      <c r="C5119" s="7" t="s">
        <v>10310</v>
      </c>
      <c r="E5119" s="7" t="s">
        <v>30</v>
      </c>
      <c r="F5119" s="7" t="s">
        <v>10256</v>
      </c>
      <c r="G5119" s="7" t="n">
        <v>2018</v>
      </c>
      <c r="H5119" s="7" t="s">
        <v>48</v>
      </c>
      <c r="I5119" s="7" t="s">
        <v>82</v>
      </c>
      <c r="J5119" s="7" t="s">
        <v>3308</v>
      </c>
      <c r="K5119" s="7" t="n">
        <f aca="false">IFERROR(VALUE(RIGHT(TRIM(F5119),4)),"")</f>
        <v>2018</v>
      </c>
      <c r="L5119" s="7" t="str">
        <f aca="false">IF(TRIM(E5119)="","Unknown",IFERROR(LEFT(TRIM(E5119),FIND(",",TRIM(E5119))-1),TRIM(E5119)))</f>
        <v>Japan</v>
      </c>
      <c r="M5119" s="7" t="str">
        <f aca="false">IFERROR(LEFT(J5119,FIND(",",J5119)-1),J5119)</f>
        <v>International TV Shows</v>
      </c>
      <c r="N5119" s="7" t="str">
        <f aca="false">IF(B5119="Movie",IFERROR(VALUE(LEFT(I5119,FIND(" ",I5119)-1)),""),"")</f>
        <v/>
      </c>
      <c r="O5119" s="7" t="n">
        <f aca="false">IF(B5119="TV Show",IFERROR(VALUE(LEFT(I5119,FIND(" ",I5119)-1)),""),"")</f>
        <v>1</v>
      </c>
      <c r="P5119" s="7" t="n">
        <f aca="false">IF(K5119="","",K5119-G5119)</f>
        <v>0</v>
      </c>
    </row>
    <row r="5120" customFormat="false" ht="15" hidden="false" customHeight="false" outlineLevel="0" collapsed="false">
      <c r="A5120" s="7" t="n">
        <v>80242916</v>
      </c>
      <c r="B5120" s="7" t="s">
        <v>78</v>
      </c>
      <c r="C5120" s="7" t="s">
        <v>10311</v>
      </c>
      <c r="E5120" s="7" t="s">
        <v>30</v>
      </c>
      <c r="F5120" s="7" t="s">
        <v>10256</v>
      </c>
      <c r="G5120" s="7" t="n">
        <v>2018</v>
      </c>
      <c r="H5120" s="7" t="s">
        <v>49</v>
      </c>
      <c r="I5120" s="7" t="s">
        <v>82</v>
      </c>
      <c r="J5120" s="7" t="s">
        <v>314</v>
      </c>
      <c r="K5120" s="7" t="n">
        <f aca="false">IFERROR(VALUE(RIGHT(TRIM(F5120),4)),"")</f>
        <v>2018</v>
      </c>
      <c r="L5120" s="7" t="str">
        <f aca="false">IF(TRIM(E5120)="","Unknown",IFERROR(LEFT(TRIM(E5120),FIND(",",TRIM(E5120))-1),TRIM(E5120)))</f>
        <v>Japan</v>
      </c>
      <c r="M5120" s="7" t="str">
        <f aca="false">IFERROR(LEFT(J5120,FIND(",",J5120)-1),J5120)</f>
        <v>International TV Shows</v>
      </c>
      <c r="N5120" s="7" t="str">
        <f aca="false">IF(B5120="Movie",IFERROR(VALUE(LEFT(I5120,FIND(" ",I5120)-1)),""),"")</f>
        <v/>
      </c>
      <c r="O5120" s="7" t="n">
        <f aca="false">IF(B5120="TV Show",IFERROR(VALUE(LEFT(I5120,FIND(" ",I5120)-1)),""),"")</f>
        <v>1</v>
      </c>
      <c r="P5120" s="7" t="n">
        <f aca="false">IF(K5120="","",K5120-G5120)</f>
        <v>0</v>
      </c>
    </row>
    <row r="5121" customFormat="false" ht="15" hidden="false" customHeight="false" outlineLevel="0" collapsed="false">
      <c r="A5121" s="7" t="n">
        <v>80041339</v>
      </c>
      <c r="B5121" s="7" t="s">
        <v>68</v>
      </c>
      <c r="C5121" s="7" t="s">
        <v>10312</v>
      </c>
      <c r="D5121" s="7" t="s">
        <v>7248</v>
      </c>
      <c r="E5121" s="7" t="s">
        <v>26</v>
      </c>
      <c r="F5121" s="7" t="s">
        <v>10256</v>
      </c>
      <c r="G5121" s="7" t="n">
        <v>2015</v>
      </c>
      <c r="H5121" s="7" t="s">
        <v>48</v>
      </c>
      <c r="I5121" s="7" t="s">
        <v>212</v>
      </c>
      <c r="J5121" s="7" t="s">
        <v>1414</v>
      </c>
      <c r="K5121" s="7" t="n">
        <f aca="false">IFERROR(VALUE(RIGHT(TRIM(F5121),4)),"")</f>
        <v>2018</v>
      </c>
      <c r="L5121" s="7" t="str">
        <f aca="false">IF(TRIM(E5121)="","Unknown",IFERROR(LEFT(TRIM(E5121),FIND(",",TRIM(E5121))-1),TRIM(E5121)))</f>
        <v>United States</v>
      </c>
      <c r="M5121" s="7" t="str">
        <f aca="false">IFERROR(LEFT(J5121,FIND(",",J5121)-1),J5121)</f>
        <v>Horror Movies</v>
      </c>
      <c r="N5121" s="7" t="n">
        <f aca="false">IF(B5121="Movie",IFERROR(VALUE(LEFT(I5121,FIND(" ",I5121)-1)),""),"")</f>
        <v>86</v>
      </c>
      <c r="O5121" s="7" t="str">
        <f aca="false">IF(B5121="TV Show",IFERROR(VALUE(LEFT(I5121,FIND(" ",I5121)-1)),""),"")</f>
        <v/>
      </c>
      <c r="P5121" s="7" t="n">
        <f aca="false">IF(K5121="","",K5121-G5121)</f>
        <v>3</v>
      </c>
    </row>
    <row r="5122" customFormat="false" ht="15" hidden="false" customHeight="false" outlineLevel="0" collapsed="false">
      <c r="A5122" s="7" t="n">
        <v>70105371</v>
      </c>
      <c r="B5122" s="7" t="s">
        <v>68</v>
      </c>
      <c r="C5122" s="7" t="s">
        <v>10313</v>
      </c>
      <c r="D5122" s="7" t="s">
        <v>1696</v>
      </c>
      <c r="E5122" s="7" t="s">
        <v>26</v>
      </c>
      <c r="F5122" s="7" t="s">
        <v>10256</v>
      </c>
      <c r="G5122" s="7" t="n">
        <v>2009</v>
      </c>
      <c r="H5122" s="7" t="s">
        <v>51</v>
      </c>
      <c r="I5122" s="7" t="s">
        <v>268</v>
      </c>
      <c r="J5122" s="7" t="s">
        <v>251</v>
      </c>
      <c r="K5122" s="7" t="n">
        <f aca="false">IFERROR(VALUE(RIGHT(TRIM(F5122),4)),"")</f>
        <v>2018</v>
      </c>
      <c r="L5122" s="7" t="str">
        <f aca="false">IF(TRIM(E5122)="","Unknown",IFERROR(LEFT(TRIM(E5122),FIND(",",TRIM(E5122))-1),TRIM(E5122)))</f>
        <v>United States</v>
      </c>
      <c r="M5122" s="7" t="str">
        <f aca="false">IFERROR(LEFT(J5122,FIND(",",J5122)-1),J5122)</f>
        <v>Comedies</v>
      </c>
      <c r="N5122" s="7" t="n">
        <f aca="false">IF(B5122="Movie",IFERROR(VALUE(LEFT(I5122,FIND(" ",I5122)-1)),""),"")</f>
        <v>108</v>
      </c>
      <c r="O5122" s="7" t="str">
        <f aca="false">IF(B5122="TV Show",IFERROR(VALUE(LEFT(I5122,FIND(" ",I5122)-1)),""),"")</f>
        <v/>
      </c>
      <c r="P5122" s="7" t="n">
        <f aca="false">IF(K5122="","",K5122-G5122)</f>
        <v>9</v>
      </c>
    </row>
    <row r="5123" customFormat="false" ht="15" hidden="false" customHeight="false" outlineLevel="0" collapsed="false">
      <c r="A5123" s="7" t="n">
        <v>60022962</v>
      </c>
      <c r="B5123" s="7" t="s">
        <v>68</v>
      </c>
      <c r="C5123" s="7" t="s">
        <v>10314</v>
      </c>
      <c r="D5123" s="7" t="s">
        <v>3500</v>
      </c>
      <c r="E5123" s="7" t="s">
        <v>28</v>
      </c>
      <c r="F5123" s="7" t="s">
        <v>10256</v>
      </c>
      <c r="G5123" s="7" t="n">
        <v>2001</v>
      </c>
      <c r="H5123" s="7" t="s">
        <v>51</v>
      </c>
      <c r="I5123" s="7" t="s">
        <v>77</v>
      </c>
      <c r="J5123" s="7" t="s">
        <v>967</v>
      </c>
      <c r="K5123" s="7" t="n">
        <f aca="false">IFERROR(VALUE(RIGHT(TRIM(F5123),4)),"")</f>
        <v>2018</v>
      </c>
      <c r="L5123" s="7" t="str">
        <f aca="false">IF(TRIM(E5123)="","Unknown",IFERROR(LEFT(TRIM(E5123),FIND(",",TRIM(E5123))-1),TRIM(E5123)))</f>
        <v>United Kingdom</v>
      </c>
      <c r="M5123" s="7" t="str">
        <f aca="false">IFERROR(LEFT(J5123,FIND(",",J5123)-1),J5123)</f>
        <v>Action &amp; Adventure</v>
      </c>
      <c r="N5123" s="7" t="n">
        <f aca="false">IF(B5123="Movie",IFERROR(VALUE(LEFT(I5123,FIND(" ",I5123)-1)),""),"")</f>
        <v>94</v>
      </c>
      <c r="O5123" s="7" t="str">
        <f aca="false">IF(B5123="TV Show",IFERROR(VALUE(LEFT(I5123,FIND(" ",I5123)-1)),""),"")</f>
        <v/>
      </c>
      <c r="P5123" s="7" t="n">
        <f aca="false">IF(K5123="","",K5123-G5123)</f>
        <v>17</v>
      </c>
    </row>
    <row r="5124" customFormat="false" ht="15" hidden="false" customHeight="false" outlineLevel="0" collapsed="false">
      <c r="A5124" s="7" t="n">
        <v>81002213</v>
      </c>
      <c r="B5124" s="7" t="s">
        <v>68</v>
      </c>
      <c r="C5124" s="7" t="s">
        <v>10315</v>
      </c>
      <c r="D5124" s="7" t="s">
        <v>5493</v>
      </c>
      <c r="E5124" s="7" t="s">
        <v>27</v>
      </c>
      <c r="F5124" s="7" t="s">
        <v>10256</v>
      </c>
      <c r="G5124" s="7" t="n">
        <v>2017</v>
      </c>
      <c r="H5124" s="7" t="s">
        <v>48</v>
      </c>
      <c r="I5124" s="7" t="s">
        <v>1041</v>
      </c>
      <c r="J5124" s="7" t="s">
        <v>304</v>
      </c>
      <c r="K5124" s="7" t="n">
        <f aca="false">IFERROR(VALUE(RIGHT(TRIM(F5124),4)),"")</f>
        <v>2018</v>
      </c>
      <c r="L5124" s="7" t="str">
        <f aca="false">IF(TRIM(E5124)="","Unknown",IFERROR(LEFT(TRIM(E5124),FIND(",",TRIM(E5124))-1),TRIM(E5124)))</f>
        <v>India</v>
      </c>
      <c r="M5124" s="7" t="str">
        <f aca="false">IFERROR(LEFT(J5124,FIND(",",J5124)-1),J5124)</f>
        <v>Dramas</v>
      </c>
      <c r="N5124" s="7" t="n">
        <f aca="false">IF(B5124="Movie",IFERROR(VALUE(LEFT(I5124,FIND(" ",I5124)-1)),""),"")</f>
        <v>151</v>
      </c>
      <c r="O5124" s="7" t="str">
        <f aca="false">IF(B5124="TV Show",IFERROR(VALUE(LEFT(I5124,FIND(" ",I5124)-1)),""),"")</f>
        <v/>
      </c>
      <c r="P5124" s="7" t="n">
        <f aca="false">IF(K5124="","",K5124-G5124)</f>
        <v>1</v>
      </c>
    </row>
    <row r="5125" customFormat="false" ht="15" hidden="false" customHeight="false" outlineLevel="0" collapsed="false">
      <c r="A5125" s="7" t="n">
        <v>80190147</v>
      </c>
      <c r="B5125" s="7" t="s">
        <v>68</v>
      </c>
      <c r="C5125" s="7" t="s">
        <v>10316</v>
      </c>
      <c r="D5125" s="7" t="s">
        <v>10317</v>
      </c>
      <c r="E5125" s="7" t="s">
        <v>26</v>
      </c>
      <c r="F5125" s="7" t="s">
        <v>10318</v>
      </c>
      <c r="G5125" s="7" t="n">
        <v>2015</v>
      </c>
      <c r="H5125" s="7" t="s">
        <v>50</v>
      </c>
      <c r="I5125" s="7" t="s">
        <v>357</v>
      </c>
      <c r="J5125" s="7" t="s">
        <v>150</v>
      </c>
      <c r="K5125" s="7" t="n">
        <f aca="false">IFERROR(VALUE(RIGHT(TRIM(F5125),4)),"")</f>
        <v>2017</v>
      </c>
      <c r="L5125" s="7" t="str">
        <f aca="false">IF(TRIM(E5125)="","Unknown",IFERROR(LEFT(TRIM(E5125),FIND(",",TRIM(E5125))-1),TRIM(E5125)))</f>
        <v>United States</v>
      </c>
      <c r="M5125" s="7" t="str">
        <f aca="false">IFERROR(LEFT(J5125,FIND(",",J5125)-1),J5125)</f>
        <v>Dramas</v>
      </c>
      <c r="N5125" s="7" t="n">
        <f aca="false">IF(B5125="Movie",IFERROR(VALUE(LEFT(I5125,FIND(" ",I5125)-1)),""),"")</f>
        <v>89</v>
      </c>
      <c r="O5125" s="7" t="str">
        <f aca="false">IF(B5125="TV Show",IFERROR(VALUE(LEFT(I5125,FIND(" ",I5125)-1)),""),"")</f>
        <v/>
      </c>
      <c r="P5125" s="7" t="n">
        <f aca="false">IF(K5125="","",K5125-G5125)</f>
        <v>2</v>
      </c>
    </row>
    <row r="5126" customFormat="false" ht="15" hidden="false" customHeight="false" outlineLevel="0" collapsed="false">
      <c r="A5126" s="7" t="n">
        <v>80190149</v>
      </c>
      <c r="B5126" s="7" t="s">
        <v>68</v>
      </c>
      <c r="C5126" s="7" t="s">
        <v>10319</v>
      </c>
      <c r="D5126" s="7" t="s">
        <v>10320</v>
      </c>
      <c r="E5126" s="7" t="s">
        <v>26</v>
      </c>
      <c r="F5126" s="7" t="s">
        <v>10318</v>
      </c>
      <c r="G5126" s="7" t="n">
        <v>2016</v>
      </c>
      <c r="H5126" s="7" t="s">
        <v>226</v>
      </c>
      <c r="I5126" s="7" t="s">
        <v>311</v>
      </c>
      <c r="J5126" s="7" t="s">
        <v>6536</v>
      </c>
      <c r="K5126" s="7" t="n">
        <f aca="false">IFERROR(VALUE(RIGHT(TRIM(F5126),4)),"")</f>
        <v>2017</v>
      </c>
      <c r="L5126" s="7" t="str">
        <f aca="false">IF(TRIM(E5126)="","Unknown",IFERROR(LEFT(TRIM(E5126),FIND(",",TRIM(E5126))-1),TRIM(E5126)))</f>
        <v>United States</v>
      </c>
      <c r="M5126" s="7" t="str">
        <f aca="false">IFERROR(LEFT(J5126,FIND(",",J5126)-1),J5126)</f>
        <v>Children &amp; Family Movies</v>
      </c>
      <c r="N5126" s="7" t="n">
        <f aca="false">IF(B5126="Movie",IFERROR(VALUE(LEFT(I5126,FIND(" ",I5126)-1)),""),"")</f>
        <v>92</v>
      </c>
      <c r="O5126" s="7" t="str">
        <f aca="false">IF(B5126="TV Show",IFERROR(VALUE(LEFT(I5126,FIND(" ",I5126)-1)),""),"")</f>
        <v/>
      </c>
      <c r="P5126" s="7" t="n">
        <f aca="false">IF(K5126="","",K5126-G5126)</f>
        <v>1</v>
      </c>
    </row>
    <row r="5127" customFormat="false" ht="15" hidden="false" customHeight="false" outlineLevel="0" collapsed="false">
      <c r="A5127" s="7" t="n">
        <v>80195886</v>
      </c>
      <c r="B5127" s="7" t="s">
        <v>68</v>
      </c>
      <c r="C5127" s="7" t="s">
        <v>10321</v>
      </c>
      <c r="D5127" s="7" t="s">
        <v>10322</v>
      </c>
      <c r="E5127" s="7" t="s">
        <v>27</v>
      </c>
      <c r="F5127" s="7" t="s">
        <v>10318</v>
      </c>
      <c r="G5127" s="7" t="n">
        <v>2017</v>
      </c>
      <c r="H5127" s="7" t="s">
        <v>48</v>
      </c>
      <c r="I5127" s="7" t="s">
        <v>326</v>
      </c>
      <c r="J5127" s="7" t="s">
        <v>188</v>
      </c>
      <c r="K5127" s="7" t="n">
        <f aca="false">IFERROR(VALUE(RIGHT(TRIM(F5127),4)),"")</f>
        <v>2017</v>
      </c>
      <c r="L5127" s="7" t="str">
        <f aca="false">IF(TRIM(E5127)="","Unknown",IFERROR(LEFT(TRIM(E5127),FIND(",",TRIM(E5127))-1),TRIM(E5127)))</f>
        <v>India</v>
      </c>
      <c r="M5127" s="7" t="str">
        <f aca="false">IFERROR(LEFT(J5127,FIND(",",J5127)-1),J5127)</f>
        <v>Dramas</v>
      </c>
      <c r="N5127" s="7" t="n">
        <f aca="false">IF(B5127="Movie",IFERROR(VALUE(LEFT(I5127,FIND(" ",I5127)-1)),""),"")</f>
        <v>111</v>
      </c>
      <c r="O5127" s="7" t="str">
        <f aca="false">IF(B5127="TV Show",IFERROR(VALUE(LEFT(I5127,FIND(" ",I5127)-1)),""),"")</f>
        <v/>
      </c>
      <c r="P5127" s="7" t="n">
        <f aca="false">IF(K5127="","",K5127-G5127)</f>
        <v>0</v>
      </c>
    </row>
    <row r="5128" customFormat="false" ht="15" hidden="false" customHeight="false" outlineLevel="0" collapsed="false">
      <c r="A5128" s="7" t="n">
        <v>80190148</v>
      </c>
      <c r="B5128" s="7" t="s">
        <v>68</v>
      </c>
      <c r="C5128" s="7" t="s">
        <v>10323</v>
      </c>
      <c r="D5128" s="7" t="s">
        <v>10324</v>
      </c>
      <c r="E5128" s="7" t="s">
        <v>26</v>
      </c>
      <c r="F5128" s="7" t="s">
        <v>10318</v>
      </c>
      <c r="G5128" s="7" t="n">
        <v>2016</v>
      </c>
      <c r="H5128" s="7" t="s">
        <v>50</v>
      </c>
      <c r="I5128" s="7" t="s">
        <v>311</v>
      </c>
      <c r="J5128" s="7" t="s">
        <v>42</v>
      </c>
      <c r="K5128" s="7" t="n">
        <f aca="false">IFERROR(VALUE(RIGHT(TRIM(F5128),4)),"")</f>
        <v>2017</v>
      </c>
      <c r="L5128" s="7" t="str">
        <f aca="false">IF(TRIM(E5128)="","Unknown",IFERROR(LEFT(TRIM(E5128),FIND(",",TRIM(E5128))-1),TRIM(E5128)))</f>
        <v>United States</v>
      </c>
      <c r="M5128" s="7" t="str">
        <f aca="false">IFERROR(LEFT(J5128,FIND(",",J5128)-1),J5128)</f>
        <v>Children &amp; Family Movies</v>
      </c>
      <c r="N5128" s="7" t="n">
        <f aca="false">IF(B5128="Movie",IFERROR(VALUE(LEFT(I5128,FIND(" ",I5128)-1)),""),"")</f>
        <v>92</v>
      </c>
      <c r="O5128" s="7" t="str">
        <f aca="false">IF(B5128="TV Show",IFERROR(VALUE(LEFT(I5128,FIND(" ",I5128)-1)),""),"")</f>
        <v/>
      </c>
      <c r="P5128" s="7" t="n">
        <f aca="false">IF(K5128="","",K5128-G5128)</f>
        <v>1</v>
      </c>
    </row>
    <row r="5129" customFormat="false" ht="15" hidden="false" customHeight="false" outlineLevel="0" collapsed="false">
      <c r="A5129" s="7" t="n">
        <v>80185803</v>
      </c>
      <c r="B5129" s="7" t="s">
        <v>78</v>
      </c>
      <c r="C5129" s="7" t="s">
        <v>10325</v>
      </c>
      <c r="E5129" s="7" t="s">
        <v>35</v>
      </c>
      <c r="F5129" s="7" t="s">
        <v>10318</v>
      </c>
      <c r="G5129" s="7" t="n">
        <v>2016</v>
      </c>
      <c r="H5129" s="7" t="s">
        <v>48</v>
      </c>
      <c r="I5129" s="7" t="s">
        <v>82</v>
      </c>
      <c r="J5129" s="7" t="s">
        <v>2965</v>
      </c>
      <c r="K5129" s="7" t="n">
        <f aca="false">IFERROR(VALUE(RIGHT(TRIM(F5129),4)),"")</f>
        <v>2017</v>
      </c>
      <c r="L5129" s="7" t="str">
        <f aca="false">IF(TRIM(E5129)="","Unknown",IFERROR(LEFT(TRIM(E5129),FIND(",",TRIM(E5129))-1),TRIM(E5129)))</f>
        <v>Australia</v>
      </c>
      <c r="M5129" s="7" t="str">
        <f aca="false">IFERROR(LEFT(J5129,FIND(",",J5129)-1),J5129)</f>
        <v>Docuseries</v>
      </c>
      <c r="N5129" s="7" t="str">
        <f aca="false">IF(B5129="Movie",IFERROR(VALUE(LEFT(I5129,FIND(" ",I5129)-1)),""),"")</f>
        <v/>
      </c>
      <c r="O5129" s="7" t="n">
        <f aca="false">IF(B5129="TV Show",IFERROR(VALUE(LEFT(I5129,FIND(" ",I5129)-1)),""),"")</f>
        <v>1</v>
      </c>
      <c r="P5129" s="7" t="n">
        <f aca="false">IF(K5129="","",K5129-G5129)</f>
        <v>1</v>
      </c>
    </row>
    <row r="5130" customFormat="false" ht="15" hidden="false" customHeight="false" outlineLevel="0" collapsed="false">
      <c r="A5130" s="7" t="n">
        <v>80147321</v>
      </c>
      <c r="B5130" s="7" t="s">
        <v>68</v>
      </c>
      <c r="C5130" s="7" t="s">
        <v>10326</v>
      </c>
      <c r="D5130" s="7" t="s">
        <v>10327</v>
      </c>
      <c r="E5130" s="7" t="s">
        <v>29</v>
      </c>
      <c r="F5130" s="7" t="s">
        <v>10318</v>
      </c>
      <c r="G5130" s="7" t="n">
        <v>2016</v>
      </c>
      <c r="H5130" s="7" t="s">
        <v>48</v>
      </c>
      <c r="I5130" s="7" t="s">
        <v>470</v>
      </c>
      <c r="J5130" s="7" t="s">
        <v>188</v>
      </c>
      <c r="K5130" s="7" t="n">
        <f aca="false">IFERROR(VALUE(RIGHT(TRIM(F5130),4)),"")</f>
        <v>2017</v>
      </c>
      <c r="L5130" s="7" t="str">
        <f aca="false">IF(TRIM(E5130)="","Unknown",IFERROR(LEFT(TRIM(E5130),FIND(",",TRIM(E5130))-1),TRIM(E5130)))</f>
        <v>Canada</v>
      </c>
      <c r="M5130" s="7" t="str">
        <f aca="false">IFERROR(LEFT(J5130,FIND(",",J5130)-1),J5130)</f>
        <v>Dramas</v>
      </c>
      <c r="N5130" s="7" t="n">
        <f aca="false">IF(B5130="Movie",IFERROR(VALUE(LEFT(I5130,FIND(" ",I5130)-1)),""),"")</f>
        <v>91</v>
      </c>
      <c r="O5130" s="7" t="str">
        <f aca="false">IF(B5130="TV Show",IFERROR(VALUE(LEFT(I5130,FIND(" ",I5130)-1)),""),"")</f>
        <v/>
      </c>
      <c r="P5130" s="7" t="n">
        <f aca="false">IF(K5130="","",K5130-G5130)</f>
        <v>1</v>
      </c>
    </row>
    <row r="5131" customFormat="false" ht="15" hidden="false" customHeight="false" outlineLevel="0" collapsed="false">
      <c r="A5131" s="7" t="n">
        <v>80157177</v>
      </c>
      <c r="B5131" s="7" t="s">
        <v>78</v>
      </c>
      <c r="C5131" s="7" t="s">
        <v>10328</v>
      </c>
      <c r="F5131" s="7" t="s">
        <v>10318</v>
      </c>
      <c r="G5131" s="7" t="n">
        <v>2011</v>
      </c>
      <c r="H5131" s="7" t="s">
        <v>49</v>
      </c>
      <c r="I5131" s="7" t="s">
        <v>82</v>
      </c>
      <c r="J5131" s="7" t="s">
        <v>3542</v>
      </c>
      <c r="K5131" s="7" t="n">
        <f aca="false">IFERROR(VALUE(RIGHT(TRIM(F5131),4)),"")</f>
        <v>2017</v>
      </c>
      <c r="L5131" s="7" t="str">
        <f aca="false">IF(TRIM(E5131)="","Unknown",IFERROR(LEFT(TRIM(E5131),FIND(",",TRIM(E5131))-1),TRIM(E5131)))</f>
        <v>Unknown</v>
      </c>
      <c r="M5131" s="7" t="str">
        <f aca="false">IFERROR(LEFT(J5131,FIND(",",J5131)-1),J5131)</f>
        <v>International TV Shows</v>
      </c>
      <c r="N5131" s="7" t="str">
        <f aca="false">IF(B5131="Movie",IFERROR(VALUE(LEFT(I5131,FIND(" ",I5131)-1)),""),"")</f>
        <v/>
      </c>
      <c r="O5131" s="7" t="n">
        <f aca="false">IF(B5131="TV Show",IFERROR(VALUE(LEFT(I5131,FIND(" ",I5131)-1)),""),"")</f>
        <v>1</v>
      </c>
      <c r="P5131" s="7" t="n">
        <f aca="false">IF(K5131="","",K5131-G5131)</f>
        <v>6</v>
      </c>
    </row>
    <row r="5132" customFormat="false" ht="15" hidden="false" customHeight="false" outlineLevel="0" collapsed="false">
      <c r="A5132" s="7" t="n">
        <v>80185369</v>
      </c>
      <c r="B5132" s="7" t="s">
        <v>78</v>
      </c>
      <c r="C5132" s="7" t="s">
        <v>10329</v>
      </c>
      <c r="E5132" s="7" t="s">
        <v>970</v>
      </c>
      <c r="F5132" s="7" t="s">
        <v>10318</v>
      </c>
      <c r="G5132" s="7" t="n">
        <v>2016</v>
      </c>
      <c r="H5132" s="7" t="s">
        <v>49</v>
      </c>
      <c r="I5132" s="7" t="s">
        <v>82</v>
      </c>
      <c r="J5132" s="7" t="s">
        <v>402</v>
      </c>
      <c r="K5132" s="7" t="n">
        <f aca="false">IFERROR(VALUE(RIGHT(TRIM(F5132),4)),"")</f>
        <v>2017</v>
      </c>
      <c r="L5132" s="7" t="str">
        <f aca="false">IF(TRIM(E5132)="","Unknown",IFERROR(LEFT(TRIM(E5132),FIND(",",TRIM(E5132))-1),TRIM(E5132)))</f>
        <v>Taiwan</v>
      </c>
      <c r="M5132" s="7" t="str">
        <f aca="false">IFERROR(LEFT(J5132,FIND(",",J5132)-1),J5132)</f>
        <v>Crime TV Shows</v>
      </c>
      <c r="N5132" s="7" t="str">
        <f aca="false">IF(B5132="Movie",IFERROR(VALUE(LEFT(I5132,FIND(" ",I5132)-1)),""),"")</f>
        <v/>
      </c>
      <c r="O5132" s="7" t="n">
        <f aca="false">IF(B5132="TV Show",IFERROR(VALUE(LEFT(I5132,FIND(" ",I5132)-1)),""),"")</f>
        <v>1</v>
      </c>
      <c r="P5132" s="7" t="n">
        <f aca="false">IF(K5132="","",K5132-G5132)</f>
        <v>1</v>
      </c>
    </row>
    <row r="5133" customFormat="false" ht="15" hidden="false" customHeight="false" outlineLevel="0" collapsed="false">
      <c r="A5133" s="7" t="n">
        <v>70248183</v>
      </c>
      <c r="B5133" s="7" t="s">
        <v>68</v>
      </c>
      <c r="C5133" s="7" t="s">
        <v>10330</v>
      </c>
      <c r="D5133" s="7" t="s">
        <v>10331</v>
      </c>
      <c r="E5133" s="7" t="s">
        <v>10332</v>
      </c>
      <c r="F5133" s="7" t="s">
        <v>10318</v>
      </c>
      <c r="G5133" s="7" t="n">
        <v>2012</v>
      </c>
      <c r="H5133" s="7" t="s">
        <v>51</v>
      </c>
      <c r="I5133" s="7" t="s">
        <v>8459</v>
      </c>
      <c r="J5133" s="7" t="s">
        <v>10333</v>
      </c>
      <c r="K5133" s="7" t="n">
        <f aca="false">IFERROR(VALUE(RIGHT(TRIM(F5133),4)),"")</f>
        <v>2017</v>
      </c>
      <c r="L5133" s="7" t="str">
        <f aca="false">IF(TRIM(E5133)="","Unknown",IFERROR(LEFT(TRIM(E5133),FIND(",",TRIM(E5133))-1),TRIM(E5133)))</f>
        <v>Germany</v>
      </c>
      <c r="M5133" s="7" t="str">
        <f aca="false">IFERROR(LEFT(J5133,FIND(",",J5133)-1),J5133)</f>
        <v>Action &amp; Adventure</v>
      </c>
      <c r="N5133" s="7" t="n">
        <f aca="false">IF(B5133="Movie",IFERROR(VALUE(LEFT(I5133,FIND(" ",I5133)-1)),""),"")</f>
        <v>172</v>
      </c>
      <c r="O5133" s="7" t="str">
        <f aca="false">IF(B5133="TV Show",IFERROR(VALUE(LEFT(I5133,FIND(" ",I5133)-1)),""),"")</f>
        <v/>
      </c>
      <c r="P5133" s="7" t="n">
        <f aca="false">IF(K5133="","",K5133-G5133)</f>
        <v>5</v>
      </c>
    </row>
    <row r="5134" customFormat="false" ht="15" hidden="false" customHeight="false" outlineLevel="0" collapsed="false">
      <c r="A5134" s="7" t="n">
        <v>80185723</v>
      </c>
      <c r="B5134" s="7" t="s">
        <v>68</v>
      </c>
      <c r="C5134" s="7" t="s">
        <v>10334</v>
      </c>
      <c r="D5134" s="7" t="s">
        <v>10335</v>
      </c>
      <c r="F5134" s="7" t="s">
        <v>10318</v>
      </c>
      <c r="G5134" s="7" t="n">
        <v>2016</v>
      </c>
      <c r="H5134" s="7" t="s">
        <v>48</v>
      </c>
      <c r="I5134" s="7" t="s">
        <v>353</v>
      </c>
      <c r="J5134" s="7" t="s">
        <v>341</v>
      </c>
      <c r="K5134" s="7" t="n">
        <f aca="false">IFERROR(VALUE(RIGHT(TRIM(F5134),4)),"")</f>
        <v>2017</v>
      </c>
      <c r="L5134" s="7" t="str">
        <f aca="false">IF(TRIM(E5134)="","Unknown",IFERROR(LEFT(TRIM(E5134),FIND(",",TRIM(E5134))-1),TRIM(E5134)))</f>
        <v>Unknown</v>
      </c>
      <c r="M5134" s="7" t="str">
        <f aca="false">IFERROR(LEFT(J5134,FIND(",",J5134)-1),J5134)</f>
        <v>Documentaries</v>
      </c>
      <c r="N5134" s="7" t="n">
        <f aca="false">IF(B5134="Movie",IFERROR(VALUE(LEFT(I5134,FIND(" ",I5134)-1)),""),"")</f>
        <v>45</v>
      </c>
      <c r="O5134" s="7" t="str">
        <f aca="false">IF(B5134="TV Show",IFERROR(VALUE(LEFT(I5134,FIND(" ",I5134)-1)),""),"")</f>
        <v/>
      </c>
      <c r="P5134" s="7" t="n">
        <f aca="false">IF(K5134="","",K5134-G5134)</f>
        <v>1</v>
      </c>
    </row>
    <row r="5135" customFormat="false" ht="15" hidden="false" customHeight="false" outlineLevel="0" collapsed="false">
      <c r="A5135" s="7" t="n">
        <v>80159897</v>
      </c>
      <c r="B5135" s="7" t="s">
        <v>78</v>
      </c>
      <c r="C5135" s="7" t="s">
        <v>10336</v>
      </c>
      <c r="E5135" s="7" t="s">
        <v>32</v>
      </c>
      <c r="F5135" s="7" t="s">
        <v>10318</v>
      </c>
      <c r="G5135" s="7" t="n">
        <v>2014</v>
      </c>
      <c r="H5135" s="7" t="s">
        <v>48</v>
      </c>
      <c r="I5135" s="7" t="s">
        <v>82</v>
      </c>
      <c r="J5135" s="7" t="s">
        <v>344</v>
      </c>
      <c r="K5135" s="7" t="n">
        <f aca="false">IFERROR(VALUE(RIGHT(TRIM(F5135),4)),"")</f>
        <v>2017</v>
      </c>
      <c r="L5135" s="7" t="str">
        <f aca="false">IF(TRIM(E5135)="","Unknown",IFERROR(LEFT(TRIM(E5135),FIND(",",TRIM(E5135))-1),TRIM(E5135)))</f>
        <v>South Korea</v>
      </c>
      <c r="M5135" s="7" t="str">
        <f aca="false">IFERROR(LEFT(J5135,FIND(",",J5135)-1),J5135)</f>
        <v>International TV Shows</v>
      </c>
      <c r="N5135" s="7" t="str">
        <f aca="false">IF(B5135="Movie",IFERROR(VALUE(LEFT(I5135,FIND(" ",I5135)-1)),""),"")</f>
        <v/>
      </c>
      <c r="O5135" s="7" t="n">
        <f aca="false">IF(B5135="TV Show",IFERROR(VALUE(LEFT(I5135,FIND(" ",I5135)-1)),""),"")</f>
        <v>1</v>
      </c>
      <c r="P5135" s="7" t="n">
        <f aca="false">IF(K5135="","",K5135-G5135)</f>
        <v>3</v>
      </c>
    </row>
    <row r="5136" customFormat="false" ht="15" hidden="false" customHeight="false" outlineLevel="0" collapsed="false">
      <c r="A5136" s="7" t="n">
        <v>80185707</v>
      </c>
      <c r="B5136" s="7" t="s">
        <v>78</v>
      </c>
      <c r="C5136" s="7" t="s">
        <v>10337</v>
      </c>
      <c r="E5136" s="7" t="s">
        <v>28</v>
      </c>
      <c r="F5136" s="7" t="s">
        <v>10318</v>
      </c>
      <c r="G5136" s="7" t="n">
        <v>2014</v>
      </c>
      <c r="H5136" s="7" t="s">
        <v>50</v>
      </c>
      <c r="I5136" s="7" t="s">
        <v>82</v>
      </c>
      <c r="J5136" s="7" t="s">
        <v>306</v>
      </c>
      <c r="K5136" s="7" t="n">
        <f aca="false">IFERROR(VALUE(RIGHT(TRIM(F5136),4)),"")</f>
        <v>2017</v>
      </c>
      <c r="L5136" s="7" t="str">
        <f aca="false">IF(TRIM(E5136)="","Unknown",IFERROR(LEFT(TRIM(E5136),FIND(",",TRIM(E5136))-1),TRIM(E5136)))</f>
        <v>United Kingdom</v>
      </c>
      <c r="M5136" s="7" t="str">
        <f aca="false">IFERROR(LEFT(J5136,FIND(",",J5136)-1),J5136)</f>
        <v>British TV Shows</v>
      </c>
      <c r="N5136" s="7" t="str">
        <f aca="false">IF(B5136="Movie",IFERROR(VALUE(LEFT(I5136,FIND(" ",I5136)-1)),""),"")</f>
        <v/>
      </c>
      <c r="O5136" s="7" t="n">
        <f aca="false">IF(B5136="TV Show",IFERROR(VALUE(LEFT(I5136,FIND(" ",I5136)-1)),""),"")</f>
        <v>1</v>
      </c>
      <c r="P5136" s="7" t="n">
        <f aca="false">IF(K5136="","",K5136-G5136)</f>
        <v>3</v>
      </c>
    </row>
    <row r="5137" customFormat="false" ht="15" hidden="false" customHeight="false" outlineLevel="0" collapsed="false">
      <c r="A5137" s="7" t="n">
        <v>80166472</v>
      </c>
      <c r="B5137" s="7" t="s">
        <v>78</v>
      </c>
      <c r="C5137" s="7" t="s">
        <v>10338</v>
      </c>
      <c r="E5137" s="7" t="s">
        <v>752</v>
      </c>
      <c r="F5137" s="7" t="s">
        <v>10318</v>
      </c>
      <c r="G5137" s="7" t="n">
        <v>2015</v>
      </c>
      <c r="H5137" s="7" t="s">
        <v>48</v>
      </c>
      <c r="I5137" s="7" t="s">
        <v>82</v>
      </c>
      <c r="J5137" s="7" t="s">
        <v>402</v>
      </c>
      <c r="K5137" s="7" t="n">
        <f aca="false">IFERROR(VALUE(RIGHT(TRIM(F5137),4)),"")</f>
        <v>2017</v>
      </c>
      <c r="L5137" s="7" t="str">
        <f aca="false">IF(TRIM(E5137)="","Unknown",IFERROR(LEFT(TRIM(E5137),FIND(",",TRIM(E5137))-1),TRIM(E5137)))</f>
        <v>Russia</v>
      </c>
      <c r="M5137" s="7" t="str">
        <f aca="false">IFERROR(LEFT(J5137,FIND(",",J5137)-1),J5137)</f>
        <v>Crime TV Shows</v>
      </c>
      <c r="N5137" s="7" t="str">
        <f aca="false">IF(B5137="Movie",IFERROR(VALUE(LEFT(I5137,FIND(" ",I5137)-1)),""),"")</f>
        <v/>
      </c>
      <c r="O5137" s="7" t="n">
        <f aca="false">IF(B5137="TV Show",IFERROR(VALUE(LEFT(I5137,FIND(" ",I5137)-1)),""),"")</f>
        <v>1</v>
      </c>
      <c r="P5137" s="7" t="n">
        <f aca="false">IF(K5137="","",K5137-G5137)</f>
        <v>2</v>
      </c>
    </row>
    <row r="5138" customFormat="false" ht="15" hidden="false" customHeight="false" outlineLevel="0" collapsed="false">
      <c r="A5138" s="7" t="n">
        <v>80185801</v>
      </c>
      <c r="B5138" s="7" t="s">
        <v>78</v>
      </c>
      <c r="C5138" s="7" t="s">
        <v>10339</v>
      </c>
      <c r="E5138" s="7" t="s">
        <v>28</v>
      </c>
      <c r="F5138" s="7" t="s">
        <v>10318</v>
      </c>
      <c r="G5138" s="7" t="n">
        <v>2015</v>
      </c>
      <c r="H5138" s="7" t="s">
        <v>50</v>
      </c>
      <c r="I5138" s="7" t="s">
        <v>82</v>
      </c>
      <c r="J5138" s="7" t="s">
        <v>306</v>
      </c>
      <c r="K5138" s="7" t="n">
        <f aca="false">IFERROR(VALUE(RIGHT(TRIM(F5138),4)),"")</f>
        <v>2017</v>
      </c>
      <c r="L5138" s="7" t="str">
        <f aca="false">IF(TRIM(E5138)="","Unknown",IFERROR(LEFT(TRIM(E5138),FIND(",",TRIM(E5138))-1),TRIM(E5138)))</f>
        <v>United Kingdom</v>
      </c>
      <c r="M5138" s="7" t="str">
        <f aca="false">IFERROR(LEFT(J5138,FIND(",",J5138)-1),J5138)</f>
        <v>British TV Shows</v>
      </c>
      <c r="N5138" s="7" t="str">
        <f aca="false">IF(B5138="Movie",IFERROR(VALUE(LEFT(I5138,FIND(" ",I5138)-1)),""),"")</f>
        <v/>
      </c>
      <c r="O5138" s="7" t="n">
        <f aca="false">IF(B5138="TV Show",IFERROR(VALUE(LEFT(I5138,FIND(" ",I5138)-1)),""),"")</f>
        <v>1</v>
      </c>
      <c r="P5138" s="7" t="n">
        <f aca="false">IF(K5138="","",K5138-G5138)</f>
        <v>2</v>
      </c>
    </row>
    <row r="5139" customFormat="false" ht="15" hidden="false" customHeight="false" outlineLevel="0" collapsed="false">
      <c r="A5139" s="7" t="n">
        <v>80186252</v>
      </c>
      <c r="B5139" s="7" t="s">
        <v>78</v>
      </c>
      <c r="C5139" s="7" t="s">
        <v>10340</v>
      </c>
      <c r="E5139" s="7" t="s">
        <v>28</v>
      </c>
      <c r="F5139" s="7" t="s">
        <v>10318</v>
      </c>
      <c r="G5139" s="7" t="n">
        <v>2016</v>
      </c>
      <c r="H5139" s="7" t="s">
        <v>49</v>
      </c>
      <c r="I5139" s="7" t="s">
        <v>82</v>
      </c>
      <c r="J5139" s="7" t="s">
        <v>306</v>
      </c>
      <c r="K5139" s="7" t="n">
        <f aca="false">IFERROR(VALUE(RIGHT(TRIM(F5139),4)),"")</f>
        <v>2017</v>
      </c>
      <c r="L5139" s="7" t="str">
        <f aca="false">IF(TRIM(E5139)="","Unknown",IFERROR(LEFT(TRIM(E5139),FIND(",",TRIM(E5139))-1),TRIM(E5139)))</f>
        <v>United Kingdom</v>
      </c>
      <c r="M5139" s="7" t="str">
        <f aca="false">IFERROR(LEFT(J5139,FIND(",",J5139)-1),J5139)</f>
        <v>British TV Shows</v>
      </c>
      <c r="N5139" s="7" t="str">
        <f aca="false">IF(B5139="Movie",IFERROR(VALUE(LEFT(I5139,FIND(" ",I5139)-1)),""),"")</f>
        <v/>
      </c>
      <c r="O5139" s="7" t="n">
        <f aca="false">IF(B5139="TV Show",IFERROR(VALUE(LEFT(I5139,FIND(" ",I5139)-1)),""),"")</f>
        <v>1</v>
      </c>
      <c r="P5139" s="7" t="n">
        <f aca="false">IF(K5139="","",K5139-G5139)</f>
        <v>1</v>
      </c>
    </row>
    <row r="5140" customFormat="false" ht="15" hidden="false" customHeight="false" outlineLevel="0" collapsed="false">
      <c r="A5140" s="7" t="n">
        <v>80151962</v>
      </c>
      <c r="B5140" s="7" t="s">
        <v>68</v>
      </c>
      <c r="C5140" s="7" t="s">
        <v>10341</v>
      </c>
      <c r="D5140" s="7" t="s">
        <v>10342</v>
      </c>
      <c r="E5140" s="7" t="s">
        <v>719</v>
      </c>
      <c r="F5140" s="7" t="s">
        <v>10318</v>
      </c>
      <c r="G5140" s="7" t="n">
        <v>2016</v>
      </c>
      <c r="H5140" s="7" t="s">
        <v>48</v>
      </c>
      <c r="I5140" s="7" t="s">
        <v>111</v>
      </c>
      <c r="J5140" s="7" t="s">
        <v>217</v>
      </c>
      <c r="K5140" s="7" t="n">
        <f aca="false">IFERROR(VALUE(RIGHT(TRIM(F5140),4)),"")</f>
        <v>2017</v>
      </c>
      <c r="L5140" s="7" t="str">
        <f aca="false">IF(TRIM(E5140)="","Unknown",IFERROR(LEFT(TRIM(E5140),FIND(",",TRIM(E5140))-1),TRIM(E5140)))</f>
        <v>Ireland</v>
      </c>
      <c r="M5140" s="7" t="str">
        <f aca="false">IFERROR(LEFT(J5140,FIND(",",J5140)-1),J5140)</f>
        <v>Comedies</v>
      </c>
      <c r="N5140" s="7" t="n">
        <f aca="false">IF(B5140="Movie",IFERROR(VALUE(LEFT(I5140,FIND(" ",I5140)-1)),""),"")</f>
        <v>95</v>
      </c>
      <c r="O5140" s="7" t="str">
        <f aca="false">IF(B5140="TV Show",IFERROR(VALUE(LEFT(I5140,FIND(" ",I5140)-1)),""),"")</f>
        <v/>
      </c>
      <c r="P5140" s="7" t="n">
        <f aca="false">IF(K5140="","",K5140-G5140)</f>
        <v>1</v>
      </c>
    </row>
    <row r="5141" customFormat="false" ht="15" hidden="false" customHeight="false" outlineLevel="0" collapsed="false">
      <c r="A5141" s="7" t="n">
        <v>80185427</v>
      </c>
      <c r="B5141" s="7" t="s">
        <v>78</v>
      </c>
      <c r="C5141" s="7" t="s">
        <v>10343</v>
      </c>
      <c r="F5141" s="7" t="s">
        <v>10318</v>
      </c>
      <c r="G5141" s="7" t="n">
        <v>2016</v>
      </c>
      <c r="H5141" s="7" t="s">
        <v>48</v>
      </c>
      <c r="I5141" s="7" t="s">
        <v>82</v>
      </c>
      <c r="J5141" s="7" t="s">
        <v>402</v>
      </c>
      <c r="K5141" s="7" t="n">
        <f aca="false">IFERROR(VALUE(RIGHT(TRIM(F5141),4)),"")</f>
        <v>2017</v>
      </c>
      <c r="L5141" s="7" t="str">
        <f aca="false">IF(TRIM(E5141)="","Unknown",IFERROR(LEFT(TRIM(E5141),FIND(",",TRIM(E5141))-1),TRIM(E5141)))</f>
        <v>Unknown</v>
      </c>
      <c r="M5141" s="7" t="str">
        <f aca="false">IFERROR(LEFT(J5141,FIND(",",J5141)-1),J5141)</f>
        <v>Crime TV Shows</v>
      </c>
      <c r="N5141" s="7" t="str">
        <f aca="false">IF(B5141="Movie",IFERROR(VALUE(LEFT(I5141,FIND(" ",I5141)-1)),""),"")</f>
        <v/>
      </c>
      <c r="O5141" s="7" t="n">
        <f aca="false">IF(B5141="TV Show",IFERROR(VALUE(LEFT(I5141,FIND(" ",I5141)-1)),""),"")</f>
        <v>1</v>
      </c>
      <c r="P5141" s="7" t="n">
        <f aca="false">IF(K5141="","",K5141-G5141)</f>
        <v>1</v>
      </c>
    </row>
    <row r="5142" customFormat="false" ht="15" hidden="false" customHeight="false" outlineLevel="0" collapsed="false">
      <c r="A5142" s="7" t="n">
        <v>80176179</v>
      </c>
      <c r="B5142" s="7" t="s">
        <v>78</v>
      </c>
      <c r="C5142" s="7" t="s">
        <v>10344</v>
      </c>
      <c r="E5142" s="7" t="s">
        <v>26</v>
      </c>
      <c r="F5142" s="7" t="s">
        <v>10318</v>
      </c>
      <c r="G5142" s="7" t="n">
        <v>2016</v>
      </c>
      <c r="H5142" s="7" t="s">
        <v>119</v>
      </c>
      <c r="I5142" s="7" t="s">
        <v>82</v>
      </c>
      <c r="J5142" s="7" t="s">
        <v>44</v>
      </c>
      <c r="K5142" s="7" t="n">
        <f aca="false">IFERROR(VALUE(RIGHT(TRIM(F5142),4)),"")</f>
        <v>2017</v>
      </c>
      <c r="L5142" s="7" t="str">
        <f aca="false">IF(TRIM(E5142)="","Unknown",IFERROR(LEFT(TRIM(E5142),FIND(",",TRIM(E5142))-1),TRIM(E5142)))</f>
        <v>United States</v>
      </c>
      <c r="M5142" s="7" t="str">
        <f aca="false">IFERROR(LEFT(J5142,FIND(",",J5142)-1),J5142)</f>
        <v>Kids' TV</v>
      </c>
      <c r="N5142" s="7" t="str">
        <f aca="false">IF(B5142="Movie",IFERROR(VALUE(LEFT(I5142,FIND(" ",I5142)-1)),""),"")</f>
        <v/>
      </c>
      <c r="O5142" s="7" t="n">
        <f aca="false">IF(B5142="TV Show",IFERROR(VALUE(LEFT(I5142,FIND(" ",I5142)-1)),""),"")</f>
        <v>1</v>
      </c>
      <c r="P5142" s="7" t="n">
        <f aca="false">IF(K5142="","",K5142-G5142)</f>
        <v>1</v>
      </c>
    </row>
    <row r="5143" customFormat="false" ht="15" hidden="false" customHeight="false" outlineLevel="0" collapsed="false">
      <c r="A5143" s="7" t="n">
        <v>80190146</v>
      </c>
      <c r="B5143" s="7" t="s">
        <v>68</v>
      </c>
      <c r="C5143" s="7" t="s">
        <v>10345</v>
      </c>
      <c r="D5143" s="7" t="s">
        <v>10346</v>
      </c>
      <c r="E5143" s="7" t="s">
        <v>26</v>
      </c>
      <c r="F5143" s="7" t="s">
        <v>10318</v>
      </c>
      <c r="G5143" s="7" t="n">
        <v>2016</v>
      </c>
      <c r="H5143" s="7" t="s">
        <v>226</v>
      </c>
      <c r="I5143" s="7" t="s">
        <v>154</v>
      </c>
      <c r="J5143" s="7" t="s">
        <v>74</v>
      </c>
      <c r="K5143" s="7" t="n">
        <f aca="false">IFERROR(VALUE(RIGHT(TRIM(F5143),4)),"")</f>
        <v>2017</v>
      </c>
      <c r="L5143" s="7" t="str">
        <f aca="false">IF(TRIM(E5143)="","Unknown",IFERROR(LEFT(TRIM(E5143),FIND(",",TRIM(E5143))-1),TRIM(E5143)))</f>
        <v>United States</v>
      </c>
      <c r="M5143" s="7" t="str">
        <f aca="false">IFERROR(LEFT(J5143,FIND(",",J5143)-1),J5143)</f>
        <v>Children &amp; Family Movies</v>
      </c>
      <c r="N5143" s="7" t="n">
        <f aca="false">IF(B5143="Movie",IFERROR(VALUE(LEFT(I5143,FIND(" ",I5143)-1)),""),"")</f>
        <v>80</v>
      </c>
      <c r="O5143" s="7" t="str">
        <f aca="false">IF(B5143="TV Show",IFERROR(VALUE(LEFT(I5143,FIND(" ",I5143)-1)),""),"")</f>
        <v/>
      </c>
      <c r="P5143" s="7" t="n">
        <f aca="false">IF(K5143="","",K5143-G5143)</f>
        <v>1</v>
      </c>
    </row>
    <row r="5144" customFormat="false" ht="15" hidden="false" customHeight="false" outlineLevel="0" collapsed="false">
      <c r="A5144" s="7" t="n">
        <v>80184595</v>
      </c>
      <c r="B5144" s="7" t="s">
        <v>78</v>
      </c>
      <c r="C5144" s="7" t="s">
        <v>10347</v>
      </c>
      <c r="E5144" s="7" t="s">
        <v>970</v>
      </c>
      <c r="F5144" s="7" t="s">
        <v>10318</v>
      </c>
      <c r="G5144" s="7" t="n">
        <v>2016</v>
      </c>
      <c r="H5144" s="7" t="s">
        <v>50</v>
      </c>
      <c r="I5144" s="7" t="s">
        <v>82</v>
      </c>
      <c r="J5144" s="7" t="s">
        <v>314</v>
      </c>
      <c r="K5144" s="7" t="n">
        <f aca="false">IFERROR(VALUE(RIGHT(TRIM(F5144),4)),"")</f>
        <v>2017</v>
      </c>
      <c r="L5144" s="7" t="str">
        <f aca="false">IF(TRIM(E5144)="","Unknown",IFERROR(LEFT(TRIM(E5144),FIND(",",TRIM(E5144))-1),TRIM(E5144)))</f>
        <v>Taiwan</v>
      </c>
      <c r="M5144" s="7" t="str">
        <f aca="false">IFERROR(LEFT(J5144,FIND(",",J5144)-1),J5144)</f>
        <v>International TV Shows</v>
      </c>
      <c r="N5144" s="7" t="str">
        <f aca="false">IF(B5144="Movie",IFERROR(VALUE(LEFT(I5144,FIND(" ",I5144)-1)),""),"")</f>
        <v/>
      </c>
      <c r="O5144" s="7" t="n">
        <f aca="false">IF(B5144="TV Show",IFERROR(VALUE(LEFT(I5144,FIND(" ",I5144)-1)),""),"")</f>
        <v>1</v>
      </c>
      <c r="P5144" s="7" t="n">
        <f aca="false">IF(K5144="","",K5144-G5144)</f>
        <v>1</v>
      </c>
    </row>
    <row r="5145" customFormat="false" ht="15" hidden="false" customHeight="false" outlineLevel="0" collapsed="false">
      <c r="A5145" s="7" t="n">
        <v>80166481</v>
      </c>
      <c r="B5145" s="7" t="s">
        <v>78</v>
      </c>
      <c r="C5145" s="7" t="s">
        <v>10348</v>
      </c>
      <c r="E5145" s="7" t="s">
        <v>752</v>
      </c>
      <c r="F5145" s="7" t="s">
        <v>10318</v>
      </c>
      <c r="G5145" s="7" t="n">
        <v>2014</v>
      </c>
      <c r="H5145" s="7" t="s">
        <v>48</v>
      </c>
      <c r="I5145" s="7" t="s">
        <v>82</v>
      </c>
      <c r="J5145" s="7" t="s">
        <v>5918</v>
      </c>
      <c r="K5145" s="7" t="n">
        <f aca="false">IFERROR(VALUE(RIGHT(TRIM(F5145),4)),"")</f>
        <v>2017</v>
      </c>
      <c r="L5145" s="7" t="str">
        <f aca="false">IF(TRIM(E5145)="","Unknown",IFERROR(LEFT(TRIM(E5145),FIND(",",TRIM(E5145))-1),TRIM(E5145)))</f>
        <v>Russia</v>
      </c>
      <c r="M5145" s="7" t="str">
        <f aca="false">IFERROR(LEFT(J5145,FIND(",",J5145)-1),J5145)</f>
        <v>Crime TV Shows</v>
      </c>
      <c r="N5145" s="7" t="str">
        <f aca="false">IF(B5145="Movie",IFERROR(VALUE(LEFT(I5145,FIND(" ",I5145)-1)),""),"")</f>
        <v/>
      </c>
      <c r="O5145" s="7" t="n">
        <f aca="false">IF(B5145="TV Show",IFERROR(VALUE(LEFT(I5145,FIND(" ",I5145)-1)),""),"")</f>
        <v>1</v>
      </c>
      <c r="P5145" s="7" t="n">
        <f aca="false">IF(K5145="","",K5145-G5145)</f>
        <v>3</v>
      </c>
    </row>
    <row r="5146" customFormat="false" ht="15" hidden="false" customHeight="false" outlineLevel="0" collapsed="false">
      <c r="A5146" s="7" t="n">
        <v>80184684</v>
      </c>
      <c r="B5146" s="7" t="s">
        <v>78</v>
      </c>
      <c r="C5146" s="7" t="s">
        <v>10349</v>
      </c>
      <c r="F5146" s="7" t="s">
        <v>10318</v>
      </c>
      <c r="G5146" s="7" t="n">
        <v>2016</v>
      </c>
      <c r="H5146" s="7" t="s">
        <v>50</v>
      </c>
      <c r="I5146" s="7" t="s">
        <v>82</v>
      </c>
      <c r="J5146" s="7" t="s">
        <v>158</v>
      </c>
      <c r="K5146" s="7" t="n">
        <f aca="false">IFERROR(VALUE(RIGHT(TRIM(F5146),4)),"")</f>
        <v>2017</v>
      </c>
      <c r="L5146" s="7" t="str">
        <f aca="false">IF(TRIM(E5146)="","Unknown",IFERROR(LEFT(TRIM(E5146),FIND(",",TRIM(E5146))-1),TRIM(E5146)))</f>
        <v>Unknown</v>
      </c>
      <c r="M5146" s="7" t="str">
        <f aca="false">IFERROR(LEFT(J5146,FIND(",",J5146)-1),J5146)</f>
        <v>International TV Shows</v>
      </c>
      <c r="N5146" s="7" t="str">
        <f aca="false">IF(B5146="Movie",IFERROR(VALUE(LEFT(I5146,FIND(" ",I5146)-1)),""),"")</f>
        <v/>
      </c>
      <c r="O5146" s="7" t="n">
        <f aca="false">IF(B5146="TV Show",IFERROR(VALUE(LEFT(I5146,FIND(" ",I5146)-1)),""),"")</f>
        <v>1</v>
      </c>
      <c r="P5146" s="7" t="n">
        <f aca="false">IF(K5146="","",K5146-G5146)</f>
        <v>1</v>
      </c>
    </row>
    <row r="5147" customFormat="false" ht="15" hidden="false" customHeight="false" outlineLevel="0" collapsed="false">
      <c r="A5147" s="7" t="n">
        <v>80179433</v>
      </c>
      <c r="B5147" s="7" t="s">
        <v>68</v>
      </c>
      <c r="C5147" s="7" t="s">
        <v>10350</v>
      </c>
      <c r="D5147" s="7" t="s">
        <v>10351</v>
      </c>
      <c r="F5147" s="7" t="s">
        <v>10318</v>
      </c>
      <c r="G5147" s="7" t="n">
        <v>2017</v>
      </c>
      <c r="H5147" s="7" t="s">
        <v>48</v>
      </c>
      <c r="I5147" s="7" t="s">
        <v>876</v>
      </c>
      <c r="J5147" s="7" t="s">
        <v>45</v>
      </c>
      <c r="K5147" s="7" t="n">
        <f aca="false">IFERROR(VALUE(RIGHT(TRIM(F5147),4)),"")</f>
        <v>2017</v>
      </c>
      <c r="L5147" s="7" t="str">
        <f aca="false">IF(TRIM(E5147)="","Unknown",IFERROR(LEFT(TRIM(E5147),FIND(",",TRIM(E5147))-1),TRIM(E5147)))</f>
        <v>Unknown</v>
      </c>
      <c r="M5147" s="7" t="str">
        <f aca="false">IFERROR(LEFT(J5147,FIND(",",J5147)-1),J5147)</f>
        <v>Stand-Up Comedy</v>
      </c>
      <c r="N5147" s="7" t="n">
        <f aca="false">IF(B5147="Movie",IFERROR(VALUE(LEFT(I5147,FIND(" ",I5147)-1)),""),"")</f>
        <v>67</v>
      </c>
      <c r="O5147" s="7" t="str">
        <f aca="false">IF(B5147="TV Show",IFERROR(VALUE(LEFT(I5147,FIND(" ",I5147)-1)),""),"")</f>
        <v/>
      </c>
      <c r="P5147" s="7" t="n">
        <f aca="false">IF(K5147="","",K5147-G5147)</f>
        <v>0</v>
      </c>
    </row>
    <row r="5148" customFormat="false" ht="15" hidden="false" customHeight="false" outlineLevel="0" collapsed="false">
      <c r="A5148" s="7" t="n">
        <v>80185622</v>
      </c>
      <c r="B5148" s="7" t="s">
        <v>78</v>
      </c>
      <c r="C5148" s="7" t="s">
        <v>10352</v>
      </c>
      <c r="E5148" s="7" t="s">
        <v>28</v>
      </c>
      <c r="F5148" s="7" t="s">
        <v>10318</v>
      </c>
      <c r="G5148" s="7" t="n">
        <v>2016</v>
      </c>
      <c r="H5148" s="7" t="s">
        <v>49</v>
      </c>
      <c r="I5148" s="7" t="s">
        <v>82</v>
      </c>
      <c r="J5148" s="7" t="s">
        <v>668</v>
      </c>
      <c r="K5148" s="7" t="n">
        <f aca="false">IFERROR(VALUE(RIGHT(TRIM(F5148),4)),"")</f>
        <v>2017</v>
      </c>
      <c r="L5148" s="7" t="str">
        <f aca="false">IF(TRIM(E5148)="","Unknown",IFERROR(LEFT(TRIM(E5148),FIND(",",TRIM(E5148))-1),TRIM(E5148)))</f>
        <v>United Kingdom</v>
      </c>
      <c r="M5148" s="7" t="str">
        <f aca="false">IFERROR(LEFT(J5148,FIND(",",J5148)-1),J5148)</f>
        <v>British TV Shows</v>
      </c>
      <c r="N5148" s="7" t="str">
        <f aca="false">IF(B5148="Movie",IFERROR(VALUE(LEFT(I5148,FIND(" ",I5148)-1)),""),"")</f>
        <v/>
      </c>
      <c r="O5148" s="7" t="n">
        <f aca="false">IF(B5148="TV Show",IFERROR(VALUE(LEFT(I5148,FIND(" ",I5148)-1)),""),"")</f>
        <v>1</v>
      </c>
      <c r="P5148" s="7" t="n">
        <f aca="false">IF(K5148="","",K5148-G5148)</f>
        <v>1</v>
      </c>
    </row>
    <row r="5149" customFormat="false" ht="15" hidden="false" customHeight="false" outlineLevel="0" collapsed="false">
      <c r="A5149" s="7" t="n">
        <v>80114501</v>
      </c>
      <c r="B5149" s="7" t="s">
        <v>68</v>
      </c>
      <c r="C5149" s="7" t="s">
        <v>10353</v>
      </c>
      <c r="D5149" s="7" t="s">
        <v>10354</v>
      </c>
      <c r="E5149" s="7" t="s">
        <v>26</v>
      </c>
      <c r="F5149" s="7" t="s">
        <v>10318</v>
      </c>
      <c r="G5149" s="7" t="n">
        <v>2016</v>
      </c>
      <c r="H5149" s="7" t="s">
        <v>48</v>
      </c>
      <c r="I5149" s="7" t="s">
        <v>613</v>
      </c>
      <c r="J5149" s="7" t="s">
        <v>10355</v>
      </c>
      <c r="K5149" s="7" t="n">
        <f aca="false">IFERROR(VALUE(RIGHT(TRIM(F5149),4)),"")</f>
        <v>2017</v>
      </c>
      <c r="L5149" s="7" t="str">
        <f aca="false">IF(TRIM(E5149)="","Unknown",IFERROR(LEFT(TRIM(E5149),FIND(",",TRIM(E5149))-1),TRIM(E5149)))</f>
        <v>United States</v>
      </c>
      <c r="M5149" s="7" t="str">
        <f aca="false">IFERROR(LEFT(J5149,FIND(",",J5149)-1),J5149)</f>
        <v>Comedies</v>
      </c>
      <c r="N5149" s="7" t="n">
        <f aca="false">IF(B5149="Movie",IFERROR(VALUE(LEFT(I5149,FIND(" ",I5149)-1)),""),"")</f>
        <v>84</v>
      </c>
      <c r="O5149" s="7" t="str">
        <f aca="false">IF(B5149="TV Show",IFERROR(VALUE(LEFT(I5149,FIND(" ",I5149)-1)),""),"")</f>
        <v/>
      </c>
      <c r="P5149" s="7" t="n">
        <f aca="false">IF(K5149="","",K5149-G5149)</f>
        <v>1</v>
      </c>
    </row>
    <row r="5150" customFormat="false" ht="15" hidden="false" customHeight="false" outlineLevel="0" collapsed="false">
      <c r="A5150" s="7" t="n">
        <v>80187107</v>
      </c>
      <c r="B5150" s="7" t="s">
        <v>68</v>
      </c>
      <c r="C5150" s="7" t="s">
        <v>10356</v>
      </c>
      <c r="D5150" s="7" t="s">
        <v>6324</v>
      </c>
      <c r="E5150" s="7" t="s">
        <v>35</v>
      </c>
      <c r="F5150" s="7" t="s">
        <v>10318</v>
      </c>
      <c r="G5150" s="7" t="n">
        <v>2016</v>
      </c>
      <c r="H5150" s="7" t="s">
        <v>226</v>
      </c>
      <c r="I5150" s="7" t="s">
        <v>451</v>
      </c>
      <c r="J5150" s="7" t="s">
        <v>1134</v>
      </c>
      <c r="K5150" s="7" t="n">
        <f aca="false">IFERROR(VALUE(RIGHT(TRIM(F5150),4)),"")</f>
        <v>2017</v>
      </c>
      <c r="L5150" s="7" t="str">
        <f aca="false">IF(TRIM(E5150)="","Unknown",IFERROR(LEFT(TRIM(E5150),FIND(",",TRIM(E5150))-1),TRIM(E5150)))</f>
        <v>Australia</v>
      </c>
      <c r="M5150" s="7" t="str">
        <f aca="false">IFERROR(LEFT(J5150,FIND(",",J5150)-1),J5150)</f>
        <v>Children &amp; Family Movies</v>
      </c>
      <c r="N5150" s="7" t="n">
        <f aca="false">IF(B5150="Movie",IFERROR(VALUE(LEFT(I5150,FIND(" ",I5150)-1)),""),"")</f>
        <v>97</v>
      </c>
      <c r="O5150" s="7" t="str">
        <f aca="false">IF(B5150="TV Show",IFERROR(VALUE(LEFT(I5150,FIND(" ",I5150)-1)),""),"")</f>
        <v/>
      </c>
      <c r="P5150" s="7" t="n">
        <f aca="false">IF(K5150="","",K5150-G5150)</f>
        <v>1</v>
      </c>
    </row>
    <row r="5151" customFormat="false" ht="15" hidden="false" customHeight="false" outlineLevel="0" collapsed="false">
      <c r="A5151" s="7" t="n">
        <v>80141259</v>
      </c>
      <c r="B5151" s="7" t="s">
        <v>78</v>
      </c>
      <c r="C5151" s="7" t="s">
        <v>10357</v>
      </c>
      <c r="F5151" s="7" t="s">
        <v>10318</v>
      </c>
      <c r="G5151" s="7" t="n">
        <v>2017</v>
      </c>
      <c r="H5151" s="7" t="s">
        <v>48</v>
      </c>
      <c r="I5151" s="7" t="s">
        <v>82</v>
      </c>
      <c r="J5151" s="7" t="s">
        <v>89</v>
      </c>
      <c r="K5151" s="7" t="n">
        <f aca="false">IFERROR(VALUE(RIGHT(TRIM(F5151),4)),"")</f>
        <v>2017</v>
      </c>
      <c r="L5151" s="7" t="str">
        <f aca="false">IF(TRIM(E5151)="","Unknown",IFERROR(LEFT(TRIM(E5151),FIND(",",TRIM(E5151))-1),TRIM(E5151)))</f>
        <v>Unknown</v>
      </c>
      <c r="M5151" s="7" t="str">
        <f aca="false">IFERROR(LEFT(J5151,FIND(",",J5151)-1),J5151)</f>
        <v>Crime TV Shows</v>
      </c>
      <c r="N5151" s="7" t="str">
        <f aca="false">IF(B5151="Movie",IFERROR(VALUE(LEFT(I5151,FIND(" ",I5151)-1)),""),"")</f>
        <v/>
      </c>
      <c r="O5151" s="7" t="n">
        <f aca="false">IF(B5151="TV Show",IFERROR(VALUE(LEFT(I5151,FIND(" ",I5151)-1)),""),"")</f>
        <v>1</v>
      </c>
      <c r="P5151" s="7" t="n">
        <f aca="false">IF(K5151="","",K5151-G5151)</f>
        <v>0</v>
      </c>
    </row>
    <row r="5152" customFormat="false" ht="15" hidden="false" customHeight="false" outlineLevel="0" collapsed="false">
      <c r="A5152" s="7" t="n">
        <v>80167646</v>
      </c>
      <c r="B5152" s="7" t="s">
        <v>68</v>
      </c>
      <c r="C5152" s="7" t="s">
        <v>10358</v>
      </c>
      <c r="D5152" s="7" t="s">
        <v>10359</v>
      </c>
      <c r="E5152" s="7" t="s">
        <v>10360</v>
      </c>
      <c r="F5152" s="7" t="s">
        <v>10318</v>
      </c>
      <c r="G5152" s="7" t="n">
        <v>2016</v>
      </c>
      <c r="H5152" s="7" t="s">
        <v>48</v>
      </c>
      <c r="I5152" s="7" t="s">
        <v>212</v>
      </c>
      <c r="J5152" s="7" t="s">
        <v>188</v>
      </c>
      <c r="K5152" s="7" t="n">
        <f aca="false">IFERROR(VALUE(RIGHT(TRIM(F5152),4)),"")</f>
        <v>2017</v>
      </c>
      <c r="L5152" s="7" t="str">
        <f aca="false">IF(TRIM(E5152)="","Unknown",IFERROR(LEFT(TRIM(E5152),FIND(",",TRIM(E5152))-1),TRIM(E5152)))</f>
        <v>Chile</v>
      </c>
      <c r="M5152" s="7" t="str">
        <f aca="false">IFERROR(LEFT(J5152,FIND(",",J5152)-1),J5152)</f>
        <v>Dramas</v>
      </c>
      <c r="N5152" s="7" t="n">
        <f aca="false">IF(B5152="Movie",IFERROR(VALUE(LEFT(I5152,FIND(" ",I5152)-1)),""),"")</f>
        <v>86</v>
      </c>
      <c r="O5152" s="7" t="str">
        <f aca="false">IF(B5152="TV Show",IFERROR(VALUE(LEFT(I5152,FIND(" ",I5152)-1)),""),"")</f>
        <v/>
      </c>
      <c r="P5152" s="7" t="n">
        <f aca="false">IF(K5152="","",K5152-G5152)</f>
        <v>1</v>
      </c>
    </row>
    <row r="5153" customFormat="false" ht="15" hidden="false" customHeight="false" outlineLevel="0" collapsed="false">
      <c r="A5153" s="7" t="n">
        <v>80080106</v>
      </c>
      <c r="B5153" s="7" t="s">
        <v>68</v>
      </c>
      <c r="C5153" s="7" t="s">
        <v>10361</v>
      </c>
      <c r="D5153" s="7" t="s">
        <v>10362</v>
      </c>
      <c r="E5153" s="7" t="s">
        <v>26</v>
      </c>
      <c r="F5153" s="7" t="s">
        <v>10318</v>
      </c>
      <c r="G5153" s="7" t="n">
        <v>2016</v>
      </c>
      <c r="H5153" s="7" t="s">
        <v>49</v>
      </c>
      <c r="I5153" s="7" t="s">
        <v>1757</v>
      </c>
      <c r="J5153" s="7" t="s">
        <v>39</v>
      </c>
      <c r="K5153" s="7" t="n">
        <f aca="false">IFERROR(VALUE(RIGHT(TRIM(F5153),4)),"")</f>
        <v>2017</v>
      </c>
      <c r="L5153" s="7" t="str">
        <f aca="false">IF(TRIM(E5153)="","Unknown",IFERROR(LEFT(TRIM(E5153),FIND(",",TRIM(E5153))-1),TRIM(E5153)))</f>
        <v>United States</v>
      </c>
      <c r="M5153" s="7" t="str">
        <f aca="false">IFERROR(LEFT(J5153,FIND(",",J5153)-1),J5153)</f>
        <v>Documentaries</v>
      </c>
      <c r="N5153" s="7" t="n">
        <f aca="false">IF(B5153="Movie",IFERROR(VALUE(LEFT(I5153,FIND(" ",I5153)-1)),""),"")</f>
        <v>59</v>
      </c>
      <c r="O5153" s="7" t="str">
        <f aca="false">IF(B5153="TV Show",IFERROR(VALUE(LEFT(I5153,FIND(" ",I5153)-1)),""),"")</f>
        <v/>
      </c>
      <c r="P5153" s="7" t="n">
        <f aca="false">IF(K5153="","",K5153-G5153)</f>
        <v>1</v>
      </c>
    </row>
    <row r="5154" customFormat="false" ht="15" hidden="false" customHeight="false" outlineLevel="0" collapsed="false">
      <c r="A5154" s="7" t="n">
        <v>80157528</v>
      </c>
      <c r="B5154" s="7" t="s">
        <v>78</v>
      </c>
      <c r="C5154" s="7" t="s">
        <v>6559</v>
      </c>
      <c r="F5154" s="7" t="s">
        <v>10318</v>
      </c>
      <c r="G5154" s="7" t="n">
        <v>2011</v>
      </c>
      <c r="H5154" s="7" t="s">
        <v>49</v>
      </c>
      <c r="I5154" s="7" t="s">
        <v>82</v>
      </c>
      <c r="J5154" s="7" t="s">
        <v>344</v>
      </c>
      <c r="K5154" s="7" t="n">
        <f aca="false">IFERROR(VALUE(RIGHT(TRIM(F5154),4)),"")</f>
        <v>2017</v>
      </c>
      <c r="L5154" s="7" t="str">
        <f aca="false">IF(TRIM(E5154)="","Unknown",IFERROR(LEFT(TRIM(E5154),FIND(",",TRIM(E5154))-1),TRIM(E5154)))</f>
        <v>Unknown</v>
      </c>
      <c r="M5154" s="7" t="str">
        <f aca="false">IFERROR(LEFT(J5154,FIND(",",J5154)-1),J5154)</f>
        <v>International TV Shows</v>
      </c>
      <c r="N5154" s="7" t="str">
        <f aca="false">IF(B5154="Movie",IFERROR(VALUE(LEFT(I5154,FIND(" ",I5154)-1)),""),"")</f>
        <v/>
      </c>
      <c r="O5154" s="7" t="n">
        <f aca="false">IF(B5154="TV Show",IFERROR(VALUE(LEFT(I5154,FIND(" ",I5154)-1)),""),"")</f>
        <v>1</v>
      </c>
      <c r="P5154" s="7" t="n">
        <f aca="false">IF(K5154="","",K5154-G5154)</f>
        <v>6</v>
      </c>
    </row>
    <row r="5155" customFormat="false" ht="15" hidden="false" customHeight="false" outlineLevel="0" collapsed="false">
      <c r="A5155" s="7" t="n">
        <v>80185861</v>
      </c>
      <c r="B5155" s="7" t="s">
        <v>68</v>
      </c>
      <c r="C5155" s="7" t="s">
        <v>10363</v>
      </c>
      <c r="D5155" s="7" t="s">
        <v>10364</v>
      </c>
      <c r="E5155" s="7" t="s">
        <v>28</v>
      </c>
      <c r="F5155" s="7" t="s">
        <v>10318</v>
      </c>
      <c r="G5155" s="7" t="n">
        <v>2016</v>
      </c>
      <c r="H5155" s="7" t="s">
        <v>49</v>
      </c>
      <c r="I5155" s="7" t="s">
        <v>114</v>
      </c>
      <c r="J5155" s="7" t="s">
        <v>341</v>
      </c>
      <c r="K5155" s="7" t="n">
        <f aca="false">IFERROR(VALUE(RIGHT(TRIM(F5155),4)),"")</f>
        <v>2017</v>
      </c>
      <c r="L5155" s="7" t="str">
        <f aca="false">IF(TRIM(E5155)="","Unknown",IFERROR(LEFT(TRIM(E5155),FIND(",",TRIM(E5155))-1),TRIM(E5155)))</f>
        <v>United Kingdom</v>
      </c>
      <c r="M5155" s="7" t="str">
        <f aca="false">IFERROR(LEFT(J5155,FIND(",",J5155)-1),J5155)</f>
        <v>Documentaries</v>
      </c>
      <c r="N5155" s="7" t="n">
        <f aca="false">IF(B5155="Movie",IFERROR(VALUE(LEFT(I5155,FIND(" ",I5155)-1)),""),"")</f>
        <v>58</v>
      </c>
      <c r="O5155" s="7" t="str">
        <f aca="false">IF(B5155="TV Show",IFERROR(VALUE(LEFT(I5155,FIND(" ",I5155)-1)),""),"")</f>
        <v/>
      </c>
      <c r="P5155" s="7" t="n">
        <f aca="false">IF(K5155="","",K5155-G5155)</f>
        <v>1</v>
      </c>
    </row>
    <row r="5156" customFormat="false" ht="15" hidden="false" customHeight="false" outlineLevel="0" collapsed="false">
      <c r="A5156" s="7" t="n">
        <v>80185722</v>
      </c>
      <c r="B5156" s="7" t="s">
        <v>68</v>
      </c>
      <c r="C5156" s="7" t="s">
        <v>10365</v>
      </c>
      <c r="D5156" s="7" t="s">
        <v>10366</v>
      </c>
      <c r="E5156" s="7" t="s">
        <v>28</v>
      </c>
      <c r="F5156" s="7" t="s">
        <v>10318</v>
      </c>
      <c r="G5156" s="7" t="n">
        <v>2016</v>
      </c>
      <c r="H5156" s="7" t="s">
        <v>48</v>
      </c>
      <c r="I5156" s="7" t="s">
        <v>935</v>
      </c>
      <c r="J5156" s="7" t="s">
        <v>341</v>
      </c>
      <c r="K5156" s="7" t="n">
        <f aca="false">IFERROR(VALUE(RIGHT(TRIM(F5156),4)),"")</f>
        <v>2017</v>
      </c>
      <c r="L5156" s="7" t="str">
        <f aca="false">IF(TRIM(E5156)="","Unknown",IFERROR(LEFT(TRIM(E5156),FIND(",",TRIM(E5156))-1),TRIM(E5156)))</f>
        <v>United Kingdom</v>
      </c>
      <c r="M5156" s="7" t="str">
        <f aca="false">IFERROR(LEFT(J5156,FIND(",",J5156)-1),J5156)</f>
        <v>Documentaries</v>
      </c>
      <c r="N5156" s="7" t="n">
        <f aca="false">IF(B5156="Movie",IFERROR(VALUE(LEFT(I5156,FIND(" ",I5156)-1)),""),"")</f>
        <v>47</v>
      </c>
      <c r="O5156" s="7" t="str">
        <f aca="false">IF(B5156="TV Show",IFERROR(VALUE(LEFT(I5156,FIND(" ",I5156)-1)),""),"")</f>
        <v/>
      </c>
      <c r="P5156" s="7" t="n">
        <f aca="false">IF(K5156="","",K5156-G5156)</f>
        <v>1</v>
      </c>
    </row>
    <row r="5157" customFormat="false" ht="15" hidden="false" customHeight="false" outlineLevel="0" collapsed="false">
      <c r="A5157" s="7" t="n">
        <v>80081374</v>
      </c>
      <c r="B5157" s="7" t="s">
        <v>68</v>
      </c>
      <c r="C5157" s="7" t="s">
        <v>10367</v>
      </c>
      <c r="D5157" s="7" t="s">
        <v>10368</v>
      </c>
      <c r="E5157" s="7" t="s">
        <v>31</v>
      </c>
      <c r="F5157" s="7" t="s">
        <v>10318</v>
      </c>
      <c r="G5157" s="7" t="n">
        <v>2015</v>
      </c>
      <c r="H5157" s="7" t="s">
        <v>48</v>
      </c>
      <c r="I5157" s="7" t="s">
        <v>187</v>
      </c>
      <c r="J5157" s="7" t="s">
        <v>217</v>
      </c>
      <c r="K5157" s="7" t="n">
        <f aca="false">IFERROR(VALUE(RIGHT(TRIM(F5157),4)),"")</f>
        <v>2017</v>
      </c>
      <c r="L5157" s="7" t="str">
        <f aca="false">IF(TRIM(E5157)="","Unknown",IFERROR(LEFT(TRIM(E5157),FIND(",",TRIM(E5157))-1),TRIM(E5157)))</f>
        <v>France</v>
      </c>
      <c r="M5157" s="7" t="str">
        <f aca="false">IFERROR(LEFT(J5157,FIND(",",J5157)-1),J5157)</f>
        <v>Comedies</v>
      </c>
      <c r="N5157" s="7" t="n">
        <f aca="false">IF(B5157="Movie",IFERROR(VALUE(LEFT(I5157,FIND(" ",I5157)-1)),""),"")</f>
        <v>114</v>
      </c>
      <c r="O5157" s="7" t="str">
        <f aca="false">IF(B5157="TV Show",IFERROR(VALUE(LEFT(I5157,FIND(" ",I5157)-1)),""),"")</f>
        <v/>
      </c>
      <c r="P5157" s="7" t="n">
        <f aca="false">IF(K5157="","",K5157-G5157)</f>
        <v>2</v>
      </c>
    </row>
    <row r="5158" customFormat="false" ht="15" hidden="false" customHeight="false" outlineLevel="0" collapsed="false">
      <c r="A5158" s="7" t="n">
        <v>80119381</v>
      </c>
      <c r="B5158" s="7" t="s">
        <v>78</v>
      </c>
      <c r="C5158" s="7" t="s">
        <v>10369</v>
      </c>
      <c r="E5158" s="7" t="s">
        <v>396</v>
      </c>
      <c r="F5158" s="7" t="s">
        <v>10318</v>
      </c>
      <c r="G5158" s="7" t="n">
        <v>2014</v>
      </c>
      <c r="H5158" s="7" t="s">
        <v>49</v>
      </c>
      <c r="I5158" s="7" t="s">
        <v>82</v>
      </c>
      <c r="J5158" s="7" t="s">
        <v>208</v>
      </c>
      <c r="K5158" s="7" t="n">
        <f aca="false">IFERROR(VALUE(RIGHT(TRIM(F5158),4)),"")</f>
        <v>2017</v>
      </c>
      <c r="L5158" s="7" t="str">
        <f aca="false">IF(TRIM(E5158)="","Unknown",IFERROR(LEFT(TRIM(E5158),FIND(",",TRIM(E5158))-1),TRIM(E5158)))</f>
        <v>Turkey</v>
      </c>
      <c r="M5158" s="7" t="str">
        <f aca="false">IFERROR(LEFT(J5158,FIND(",",J5158)-1),J5158)</f>
        <v>International TV Shows</v>
      </c>
      <c r="N5158" s="7" t="str">
        <f aca="false">IF(B5158="Movie",IFERROR(VALUE(LEFT(I5158,FIND(" ",I5158)-1)),""),"")</f>
        <v/>
      </c>
      <c r="O5158" s="7" t="n">
        <f aca="false">IF(B5158="TV Show",IFERROR(VALUE(LEFT(I5158,FIND(" ",I5158)-1)),""),"")</f>
        <v>1</v>
      </c>
      <c r="P5158" s="7" t="n">
        <f aca="false">IF(K5158="","",K5158-G5158)</f>
        <v>3</v>
      </c>
    </row>
    <row r="5159" customFormat="false" ht="15" hidden="false" customHeight="false" outlineLevel="0" collapsed="false">
      <c r="A5159" s="7" t="n">
        <v>70254851</v>
      </c>
      <c r="B5159" s="7" t="s">
        <v>78</v>
      </c>
      <c r="C5159" s="7" t="s">
        <v>10370</v>
      </c>
      <c r="E5159" s="7" t="s">
        <v>28</v>
      </c>
      <c r="F5159" s="7" t="s">
        <v>10318</v>
      </c>
      <c r="G5159" s="7" t="n">
        <v>2009</v>
      </c>
      <c r="H5159" s="7" t="s">
        <v>53</v>
      </c>
      <c r="I5159" s="7" t="s">
        <v>82</v>
      </c>
      <c r="J5159" s="7" t="s">
        <v>306</v>
      </c>
      <c r="K5159" s="7" t="n">
        <f aca="false">IFERROR(VALUE(RIGHT(TRIM(F5159),4)),"")</f>
        <v>2017</v>
      </c>
      <c r="L5159" s="7" t="str">
        <f aca="false">IF(TRIM(E5159)="","Unknown",IFERROR(LEFT(TRIM(E5159),FIND(",",TRIM(E5159))-1),TRIM(E5159)))</f>
        <v>United Kingdom</v>
      </c>
      <c r="M5159" s="7" t="str">
        <f aca="false">IFERROR(LEFT(J5159,FIND(",",J5159)-1),J5159)</f>
        <v>British TV Shows</v>
      </c>
      <c r="N5159" s="7" t="str">
        <f aca="false">IF(B5159="Movie",IFERROR(VALUE(LEFT(I5159,FIND(" ",I5159)-1)),""),"")</f>
        <v/>
      </c>
      <c r="O5159" s="7" t="n">
        <f aca="false">IF(B5159="TV Show",IFERROR(VALUE(LEFT(I5159,FIND(" ",I5159)-1)),""),"")</f>
        <v>1</v>
      </c>
      <c r="P5159" s="7" t="n">
        <f aca="false">IF(K5159="","",K5159-G5159)</f>
        <v>8</v>
      </c>
    </row>
    <row r="5160" customFormat="false" ht="15" hidden="false" customHeight="false" outlineLevel="0" collapsed="false">
      <c r="A5160" s="7" t="n">
        <v>80109260</v>
      </c>
      <c r="B5160" s="7" t="s">
        <v>68</v>
      </c>
      <c r="C5160" s="7" t="s">
        <v>10371</v>
      </c>
      <c r="D5160" s="7" t="s">
        <v>10372</v>
      </c>
      <c r="E5160" s="7" t="s">
        <v>26</v>
      </c>
      <c r="F5160" s="7" t="s">
        <v>10373</v>
      </c>
      <c r="G5160" s="7" t="n">
        <v>2016</v>
      </c>
      <c r="H5160" s="7" t="s">
        <v>53</v>
      </c>
      <c r="I5160" s="7" t="s">
        <v>212</v>
      </c>
      <c r="J5160" s="7" t="s">
        <v>39</v>
      </c>
      <c r="K5160" s="7" t="n">
        <f aca="false">IFERROR(VALUE(RIGHT(TRIM(F5160),4)),"")</f>
        <v>2016</v>
      </c>
      <c r="L5160" s="7" t="str">
        <f aca="false">IF(TRIM(E5160)="","Unknown",IFERROR(LEFT(TRIM(E5160),FIND(",",TRIM(E5160))-1),TRIM(E5160)))</f>
        <v>United States</v>
      </c>
      <c r="M5160" s="7" t="str">
        <f aca="false">IFERROR(LEFT(J5160,FIND(",",J5160)-1),J5160)</f>
        <v>Documentaries</v>
      </c>
      <c r="N5160" s="7" t="n">
        <f aca="false">IF(B5160="Movie",IFERROR(VALUE(LEFT(I5160,FIND(" ",I5160)-1)),""),"")</f>
        <v>86</v>
      </c>
      <c r="O5160" s="7" t="str">
        <f aca="false">IF(B5160="TV Show",IFERROR(VALUE(LEFT(I5160,FIND(" ",I5160)-1)),""),"")</f>
        <v/>
      </c>
      <c r="P5160" s="7" t="n">
        <f aca="false">IF(K5160="","",K5160-G5160)</f>
        <v>0</v>
      </c>
    </row>
    <row r="5161" customFormat="false" ht="15" hidden="false" customHeight="false" outlineLevel="0" collapsed="false">
      <c r="A5161" s="7" t="n">
        <v>70303287</v>
      </c>
      <c r="B5161" s="7" t="s">
        <v>78</v>
      </c>
      <c r="C5161" s="7" t="s">
        <v>10374</v>
      </c>
      <c r="E5161" s="7" t="s">
        <v>970</v>
      </c>
      <c r="F5161" s="7" t="s">
        <v>10373</v>
      </c>
      <c r="G5161" s="7" t="n">
        <v>2009</v>
      </c>
      <c r="H5161" s="7" t="s">
        <v>49</v>
      </c>
      <c r="I5161" s="7" t="s">
        <v>82</v>
      </c>
      <c r="J5161" s="7" t="s">
        <v>314</v>
      </c>
      <c r="K5161" s="7" t="n">
        <f aca="false">IFERROR(VALUE(RIGHT(TRIM(F5161),4)),"")</f>
        <v>2016</v>
      </c>
      <c r="L5161" s="7" t="str">
        <f aca="false">IF(TRIM(E5161)="","Unknown",IFERROR(LEFT(TRIM(E5161),FIND(",",TRIM(E5161))-1),TRIM(E5161)))</f>
        <v>Taiwan</v>
      </c>
      <c r="M5161" s="7" t="str">
        <f aca="false">IFERROR(LEFT(J5161,FIND(",",J5161)-1),J5161)</f>
        <v>International TV Shows</v>
      </c>
      <c r="N5161" s="7" t="str">
        <f aca="false">IF(B5161="Movie",IFERROR(VALUE(LEFT(I5161,FIND(" ",I5161)-1)),""),"")</f>
        <v/>
      </c>
      <c r="O5161" s="7" t="n">
        <f aca="false">IF(B5161="TV Show",IFERROR(VALUE(LEFT(I5161,FIND(" ",I5161)-1)),""),"")</f>
        <v>1</v>
      </c>
      <c r="P5161" s="7" t="n">
        <f aca="false">IF(K5161="","",K5161-G5161)</f>
        <v>7</v>
      </c>
    </row>
    <row r="5162" customFormat="false" ht="15" hidden="false" customHeight="false" outlineLevel="0" collapsed="false">
      <c r="A5162" s="7" t="n">
        <v>80109640</v>
      </c>
      <c r="B5162" s="7" t="s">
        <v>78</v>
      </c>
      <c r="C5162" s="7" t="s">
        <v>10375</v>
      </c>
      <c r="E5162" s="7" t="s">
        <v>28</v>
      </c>
      <c r="F5162" s="7" t="s">
        <v>10373</v>
      </c>
      <c r="G5162" s="7" t="n">
        <v>2016</v>
      </c>
      <c r="H5162" s="7" t="s">
        <v>50</v>
      </c>
      <c r="I5162" s="7" t="s">
        <v>82</v>
      </c>
      <c r="J5162" s="7" t="s">
        <v>10376</v>
      </c>
      <c r="K5162" s="7" t="n">
        <f aca="false">IFERROR(VALUE(RIGHT(TRIM(F5162),4)),"")</f>
        <v>2016</v>
      </c>
      <c r="L5162" s="7" t="str">
        <f aca="false">IF(TRIM(E5162)="","Unknown",IFERROR(LEFT(TRIM(E5162),FIND(",",TRIM(E5162))-1),TRIM(E5162)))</f>
        <v>United Kingdom</v>
      </c>
      <c r="M5162" s="7" t="str">
        <f aca="false">IFERROR(LEFT(J5162,FIND(",",J5162)-1),J5162)</f>
        <v>British TV Shows</v>
      </c>
      <c r="N5162" s="7" t="str">
        <f aca="false">IF(B5162="Movie",IFERROR(VALUE(LEFT(I5162,FIND(" ",I5162)-1)),""),"")</f>
        <v/>
      </c>
      <c r="O5162" s="7" t="n">
        <f aca="false">IF(B5162="TV Show",IFERROR(VALUE(LEFT(I5162,FIND(" ",I5162)-1)),""),"")</f>
        <v>1</v>
      </c>
      <c r="P5162" s="7" t="n">
        <f aca="false">IF(K5162="","",K5162-G5162)</f>
        <v>0</v>
      </c>
    </row>
    <row r="5163" customFormat="false" ht="15" hidden="false" customHeight="false" outlineLevel="0" collapsed="false">
      <c r="A5163" s="7" t="n">
        <v>80106144</v>
      </c>
      <c r="B5163" s="7" t="s">
        <v>68</v>
      </c>
      <c r="C5163" s="7" t="s">
        <v>10377</v>
      </c>
      <c r="D5163" s="7" t="s">
        <v>10378</v>
      </c>
      <c r="E5163" s="7" t="s">
        <v>28</v>
      </c>
      <c r="F5163" s="7" t="s">
        <v>10373</v>
      </c>
      <c r="G5163" s="7" t="n">
        <v>1994</v>
      </c>
      <c r="H5163" s="7" t="s">
        <v>48</v>
      </c>
      <c r="I5163" s="7" t="s">
        <v>551</v>
      </c>
      <c r="J5163" s="7" t="s">
        <v>39</v>
      </c>
      <c r="K5163" s="7" t="n">
        <f aca="false">IFERROR(VALUE(RIGHT(TRIM(F5163),4)),"")</f>
        <v>2016</v>
      </c>
      <c r="L5163" s="7" t="str">
        <f aca="false">IF(TRIM(E5163)="","Unknown",IFERROR(LEFT(TRIM(E5163),FIND(",",TRIM(E5163))-1),TRIM(E5163)))</f>
        <v>United Kingdom</v>
      </c>
      <c r="M5163" s="7" t="str">
        <f aca="false">IFERROR(LEFT(J5163,FIND(",",J5163)-1),J5163)</f>
        <v>Documentaries</v>
      </c>
      <c r="N5163" s="7" t="n">
        <f aca="false">IF(B5163="Movie",IFERROR(VALUE(LEFT(I5163,FIND(" ",I5163)-1)),""),"")</f>
        <v>63</v>
      </c>
      <c r="O5163" s="7" t="str">
        <f aca="false">IF(B5163="TV Show",IFERROR(VALUE(LEFT(I5163,FIND(" ",I5163)-1)),""),"")</f>
        <v/>
      </c>
      <c r="P5163" s="7" t="n">
        <f aca="false">IF(K5163="","",K5163-G5163)</f>
        <v>22</v>
      </c>
    </row>
    <row r="5164" customFormat="false" ht="15" hidden="false" customHeight="false" outlineLevel="0" collapsed="false">
      <c r="A5164" s="7" t="n">
        <v>80106150</v>
      </c>
      <c r="B5164" s="7" t="s">
        <v>78</v>
      </c>
      <c r="C5164" s="7" t="s">
        <v>10379</v>
      </c>
      <c r="E5164" s="7" t="s">
        <v>28</v>
      </c>
      <c r="F5164" s="7" t="s">
        <v>10373</v>
      </c>
      <c r="G5164" s="7" t="n">
        <v>2005</v>
      </c>
      <c r="H5164" s="7" t="s">
        <v>49</v>
      </c>
      <c r="I5164" s="7" t="s">
        <v>82</v>
      </c>
      <c r="J5164" s="7" t="s">
        <v>668</v>
      </c>
      <c r="K5164" s="7" t="n">
        <f aca="false">IFERROR(VALUE(RIGHT(TRIM(F5164),4)),"")</f>
        <v>2016</v>
      </c>
      <c r="L5164" s="7" t="str">
        <f aca="false">IF(TRIM(E5164)="","Unknown",IFERROR(LEFT(TRIM(E5164),FIND(",",TRIM(E5164))-1),TRIM(E5164)))</f>
        <v>United Kingdom</v>
      </c>
      <c r="M5164" s="7" t="str">
        <f aca="false">IFERROR(LEFT(J5164,FIND(",",J5164)-1),J5164)</f>
        <v>British TV Shows</v>
      </c>
      <c r="N5164" s="7" t="str">
        <f aca="false">IF(B5164="Movie",IFERROR(VALUE(LEFT(I5164,FIND(" ",I5164)-1)),""),"")</f>
        <v/>
      </c>
      <c r="O5164" s="7" t="n">
        <f aca="false">IF(B5164="TV Show",IFERROR(VALUE(LEFT(I5164,FIND(" ",I5164)-1)),""),"")</f>
        <v>1</v>
      </c>
      <c r="P5164" s="7" t="n">
        <f aca="false">IF(K5164="","",K5164-G5164)</f>
        <v>11</v>
      </c>
    </row>
    <row r="5165" customFormat="false" ht="15" hidden="false" customHeight="false" outlineLevel="0" collapsed="false">
      <c r="A5165" s="7" t="n">
        <v>80106338</v>
      </c>
      <c r="B5165" s="7" t="s">
        <v>78</v>
      </c>
      <c r="C5165" s="7" t="s">
        <v>10380</v>
      </c>
      <c r="E5165" s="7" t="s">
        <v>28</v>
      </c>
      <c r="F5165" s="7" t="s">
        <v>10373</v>
      </c>
      <c r="G5165" s="7" t="n">
        <v>2008</v>
      </c>
      <c r="H5165" s="7" t="s">
        <v>226</v>
      </c>
      <c r="I5165" s="7" t="s">
        <v>82</v>
      </c>
      <c r="J5165" s="7" t="s">
        <v>1969</v>
      </c>
      <c r="K5165" s="7" t="n">
        <f aca="false">IFERROR(VALUE(RIGHT(TRIM(F5165),4)),"")</f>
        <v>2016</v>
      </c>
      <c r="L5165" s="7" t="str">
        <f aca="false">IF(TRIM(E5165)="","Unknown",IFERROR(LEFT(TRIM(E5165),FIND(",",TRIM(E5165))-1),TRIM(E5165)))</f>
        <v>United Kingdom</v>
      </c>
      <c r="M5165" s="7" t="str">
        <f aca="false">IFERROR(LEFT(J5165,FIND(",",J5165)-1),J5165)</f>
        <v>British TV Shows</v>
      </c>
      <c r="N5165" s="7" t="str">
        <f aca="false">IF(B5165="Movie",IFERROR(VALUE(LEFT(I5165,FIND(" ",I5165)-1)),""),"")</f>
        <v/>
      </c>
      <c r="O5165" s="7" t="n">
        <f aca="false">IF(B5165="TV Show",IFERROR(VALUE(LEFT(I5165,FIND(" ",I5165)-1)),""),"")</f>
        <v>1</v>
      </c>
      <c r="P5165" s="7" t="n">
        <f aca="false">IF(K5165="","",K5165-G5165)</f>
        <v>8</v>
      </c>
    </row>
    <row r="5166" customFormat="false" ht="15" hidden="false" customHeight="false" outlineLevel="0" collapsed="false">
      <c r="A5166" s="7" t="n">
        <v>80107987</v>
      </c>
      <c r="B5166" s="7" t="s">
        <v>68</v>
      </c>
      <c r="C5166" s="7" t="s">
        <v>10381</v>
      </c>
      <c r="D5166" s="7" t="s">
        <v>8968</v>
      </c>
      <c r="E5166" s="7" t="s">
        <v>28</v>
      </c>
      <c r="F5166" s="7" t="s">
        <v>10373</v>
      </c>
      <c r="G5166" s="7" t="n">
        <v>2016</v>
      </c>
      <c r="H5166" s="7" t="s">
        <v>50</v>
      </c>
      <c r="I5166" s="7" t="s">
        <v>2198</v>
      </c>
      <c r="J5166" s="7" t="s">
        <v>1085</v>
      </c>
      <c r="K5166" s="7" t="n">
        <f aca="false">IFERROR(VALUE(RIGHT(TRIM(F5166),4)),"")</f>
        <v>2016</v>
      </c>
      <c r="L5166" s="7" t="str">
        <f aca="false">IF(TRIM(E5166)="","Unknown",IFERROR(LEFT(TRIM(E5166),FIND(",",TRIM(E5166))-1),TRIM(E5166)))</f>
        <v>United Kingdom</v>
      </c>
      <c r="M5166" s="7" t="str">
        <f aca="false">IFERROR(LEFT(J5166,FIND(",",J5166)-1),J5166)</f>
        <v>Documentaries</v>
      </c>
      <c r="N5166" s="7" t="n">
        <f aca="false">IF(B5166="Movie",IFERROR(VALUE(LEFT(I5166,FIND(" ",I5166)-1)),""),"")</f>
        <v>44</v>
      </c>
      <c r="O5166" s="7" t="str">
        <f aca="false">IF(B5166="TV Show",IFERROR(VALUE(LEFT(I5166,FIND(" ",I5166)-1)),""),"")</f>
        <v/>
      </c>
      <c r="P5166" s="7" t="n">
        <f aca="false">IF(K5166="","",K5166-G5166)</f>
        <v>0</v>
      </c>
    </row>
    <row r="5167" customFormat="false" ht="15" hidden="false" customHeight="false" outlineLevel="0" collapsed="false">
      <c r="A5167" s="7" t="n">
        <v>80104552</v>
      </c>
      <c r="B5167" s="7" t="s">
        <v>68</v>
      </c>
      <c r="C5167" s="7" t="s">
        <v>10382</v>
      </c>
      <c r="D5167" s="7" t="s">
        <v>10383</v>
      </c>
      <c r="E5167" s="7" t="s">
        <v>35</v>
      </c>
      <c r="F5167" s="7" t="s">
        <v>10373</v>
      </c>
      <c r="G5167" s="7" t="n">
        <v>2015</v>
      </c>
      <c r="H5167" s="7" t="s">
        <v>53</v>
      </c>
      <c r="I5167" s="7" t="s">
        <v>261</v>
      </c>
      <c r="J5167" s="7" t="s">
        <v>3175</v>
      </c>
      <c r="K5167" s="7" t="n">
        <f aca="false">IFERROR(VALUE(RIGHT(TRIM(F5167),4)),"")</f>
        <v>2016</v>
      </c>
      <c r="L5167" s="7" t="str">
        <f aca="false">IF(TRIM(E5167)="","Unknown",IFERROR(LEFT(TRIM(E5167),FIND(",",TRIM(E5167))-1),TRIM(E5167)))</f>
        <v>Australia</v>
      </c>
      <c r="M5167" s="7" t="str">
        <f aca="false">IFERROR(LEFT(J5167,FIND(",",J5167)-1),J5167)</f>
        <v>Dramas</v>
      </c>
      <c r="N5167" s="7" t="n">
        <f aca="false">IF(B5167="Movie",IFERROR(VALUE(LEFT(I5167,FIND(" ",I5167)-1)),""),"")</f>
        <v>128</v>
      </c>
      <c r="O5167" s="7" t="str">
        <f aca="false">IF(B5167="TV Show",IFERROR(VALUE(LEFT(I5167,FIND(" ",I5167)-1)),""),"")</f>
        <v/>
      </c>
      <c r="P5167" s="7" t="n">
        <f aca="false">IF(K5167="","",K5167-G5167)</f>
        <v>1</v>
      </c>
    </row>
    <row r="5168" customFormat="false" ht="15" hidden="false" customHeight="false" outlineLevel="0" collapsed="false">
      <c r="A5168" s="7" t="n">
        <v>80108147</v>
      </c>
      <c r="B5168" s="7" t="s">
        <v>68</v>
      </c>
      <c r="C5168" s="7" t="s">
        <v>10384</v>
      </c>
      <c r="D5168" s="7" t="s">
        <v>10385</v>
      </c>
      <c r="E5168" s="7" t="s">
        <v>26</v>
      </c>
      <c r="F5168" s="7" t="s">
        <v>10373</v>
      </c>
      <c r="G5168" s="7" t="n">
        <v>2016</v>
      </c>
      <c r="H5168" s="7" t="s">
        <v>50</v>
      </c>
      <c r="I5168" s="7" t="s">
        <v>1642</v>
      </c>
      <c r="J5168" s="7" t="s">
        <v>39</v>
      </c>
      <c r="K5168" s="7" t="n">
        <f aca="false">IFERROR(VALUE(RIGHT(TRIM(F5168),4)),"")</f>
        <v>2016</v>
      </c>
      <c r="L5168" s="7" t="str">
        <f aca="false">IF(TRIM(E5168)="","Unknown",IFERROR(LEFT(TRIM(E5168),FIND(",",TRIM(E5168))-1),TRIM(E5168)))</f>
        <v>United States</v>
      </c>
      <c r="M5168" s="7" t="str">
        <f aca="false">IFERROR(LEFT(J5168,FIND(",",J5168)-1),J5168)</f>
        <v>Documentaries</v>
      </c>
      <c r="N5168" s="7" t="n">
        <f aca="false">IF(B5168="Movie",IFERROR(VALUE(LEFT(I5168,FIND(" ",I5168)-1)),""),"")</f>
        <v>51</v>
      </c>
      <c r="O5168" s="7" t="str">
        <f aca="false">IF(B5168="TV Show",IFERROR(VALUE(LEFT(I5168,FIND(" ",I5168)-1)),""),"")</f>
        <v/>
      </c>
      <c r="P5168" s="7" t="n">
        <f aca="false">IF(K5168="","",K5168-G5168)</f>
        <v>0</v>
      </c>
    </row>
    <row r="5169" customFormat="false" ht="15" hidden="false" customHeight="false" outlineLevel="0" collapsed="false">
      <c r="A5169" s="7" t="n">
        <v>80108996</v>
      </c>
      <c r="B5169" s="7" t="s">
        <v>68</v>
      </c>
      <c r="C5169" s="7" t="s">
        <v>10386</v>
      </c>
      <c r="D5169" s="7" t="s">
        <v>10387</v>
      </c>
      <c r="E5169" s="7" t="s">
        <v>26</v>
      </c>
      <c r="F5169" s="7" t="s">
        <v>10373</v>
      </c>
      <c r="G5169" s="7" t="n">
        <v>2008</v>
      </c>
      <c r="H5169" s="7" t="s">
        <v>49</v>
      </c>
      <c r="I5169" s="7" t="s">
        <v>353</v>
      </c>
      <c r="J5169" s="7" t="s">
        <v>39</v>
      </c>
      <c r="K5169" s="7" t="n">
        <f aca="false">IFERROR(VALUE(RIGHT(TRIM(F5169),4)),"")</f>
        <v>2016</v>
      </c>
      <c r="L5169" s="7" t="str">
        <f aca="false">IF(TRIM(E5169)="","Unknown",IFERROR(LEFT(TRIM(E5169),FIND(",",TRIM(E5169))-1),TRIM(E5169)))</f>
        <v>United States</v>
      </c>
      <c r="M5169" s="7" t="str">
        <f aca="false">IFERROR(LEFT(J5169,FIND(",",J5169)-1),J5169)</f>
        <v>Documentaries</v>
      </c>
      <c r="N5169" s="7" t="n">
        <f aca="false">IF(B5169="Movie",IFERROR(VALUE(LEFT(I5169,FIND(" ",I5169)-1)),""),"")</f>
        <v>45</v>
      </c>
      <c r="O5169" s="7" t="str">
        <f aca="false">IF(B5169="TV Show",IFERROR(VALUE(LEFT(I5169,FIND(" ",I5169)-1)),""),"")</f>
        <v/>
      </c>
      <c r="P5169" s="7" t="n">
        <f aca="false">IF(K5169="","",K5169-G5169)</f>
        <v>8</v>
      </c>
    </row>
    <row r="5170" customFormat="false" ht="15" hidden="false" customHeight="false" outlineLevel="0" collapsed="false">
      <c r="A5170" s="7" t="n">
        <v>80108473</v>
      </c>
      <c r="B5170" s="7" t="s">
        <v>78</v>
      </c>
      <c r="C5170" s="7" t="s">
        <v>10388</v>
      </c>
      <c r="E5170" s="7" t="s">
        <v>1397</v>
      </c>
      <c r="F5170" s="7" t="s">
        <v>10373</v>
      </c>
      <c r="G5170" s="7" t="n">
        <v>2016</v>
      </c>
      <c r="H5170" s="7" t="s">
        <v>49</v>
      </c>
      <c r="I5170" s="7" t="s">
        <v>82</v>
      </c>
      <c r="J5170" s="7" t="s">
        <v>824</v>
      </c>
      <c r="K5170" s="7" t="n">
        <f aca="false">IFERROR(VALUE(RIGHT(TRIM(F5170),4)),"")</f>
        <v>2016</v>
      </c>
      <c r="L5170" s="7" t="str">
        <f aca="false">IF(TRIM(E5170)="","Unknown",IFERROR(LEFT(TRIM(E5170),FIND(",",TRIM(E5170))-1),TRIM(E5170)))</f>
        <v>Colombia</v>
      </c>
      <c r="M5170" s="7" t="str">
        <f aca="false">IFERROR(LEFT(J5170,FIND(",",J5170)-1),J5170)</f>
        <v>International TV Shows</v>
      </c>
      <c r="N5170" s="7" t="str">
        <f aca="false">IF(B5170="Movie",IFERROR(VALUE(LEFT(I5170,FIND(" ",I5170)-1)),""),"")</f>
        <v/>
      </c>
      <c r="O5170" s="7" t="n">
        <f aca="false">IF(B5170="TV Show",IFERROR(VALUE(LEFT(I5170,FIND(" ",I5170)-1)),""),"")</f>
        <v>1</v>
      </c>
      <c r="P5170" s="7" t="n">
        <f aca="false">IF(K5170="","",K5170-G5170)</f>
        <v>0</v>
      </c>
    </row>
    <row r="5171" customFormat="false" ht="15" hidden="false" customHeight="false" outlineLevel="0" collapsed="false">
      <c r="A5171" s="7" t="n">
        <v>80106611</v>
      </c>
      <c r="B5171" s="7" t="s">
        <v>78</v>
      </c>
      <c r="C5171" s="7" t="s">
        <v>10389</v>
      </c>
      <c r="E5171" s="7" t="s">
        <v>970</v>
      </c>
      <c r="F5171" s="7" t="s">
        <v>10373</v>
      </c>
      <c r="G5171" s="7" t="n">
        <v>2015</v>
      </c>
      <c r="H5171" s="7" t="s">
        <v>50</v>
      </c>
      <c r="I5171" s="7" t="s">
        <v>82</v>
      </c>
      <c r="J5171" s="7" t="s">
        <v>158</v>
      </c>
      <c r="K5171" s="7" t="n">
        <f aca="false">IFERROR(VALUE(RIGHT(TRIM(F5171),4)),"")</f>
        <v>2016</v>
      </c>
      <c r="L5171" s="7" t="str">
        <f aca="false">IF(TRIM(E5171)="","Unknown",IFERROR(LEFT(TRIM(E5171),FIND(",",TRIM(E5171))-1),TRIM(E5171)))</f>
        <v>Taiwan</v>
      </c>
      <c r="M5171" s="7" t="str">
        <f aca="false">IFERROR(LEFT(J5171,FIND(",",J5171)-1),J5171)</f>
        <v>International TV Shows</v>
      </c>
      <c r="N5171" s="7" t="str">
        <f aca="false">IF(B5171="Movie",IFERROR(VALUE(LEFT(I5171,FIND(" ",I5171)-1)),""),"")</f>
        <v/>
      </c>
      <c r="O5171" s="7" t="n">
        <f aca="false">IF(B5171="TV Show",IFERROR(VALUE(LEFT(I5171,FIND(" ",I5171)-1)),""),"")</f>
        <v>1</v>
      </c>
      <c r="P5171" s="7" t="n">
        <f aca="false">IF(K5171="","",K5171-G5171)</f>
        <v>1</v>
      </c>
    </row>
    <row r="5172" customFormat="false" ht="15" hidden="false" customHeight="false" outlineLevel="0" collapsed="false">
      <c r="A5172" s="7" t="n">
        <v>80108494</v>
      </c>
      <c r="B5172" s="7" t="s">
        <v>78</v>
      </c>
      <c r="C5172" s="7" t="s">
        <v>10390</v>
      </c>
      <c r="E5172" s="7" t="s">
        <v>970</v>
      </c>
      <c r="F5172" s="7" t="s">
        <v>10373</v>
      </c>
      <c r="G5172" s="7" t="n">
        <v>2015</v>
      </c>
      <c r="H5172" s="7" t="s">
        <v>49</v>
      </c>
      <c r="I5172" s="7" t="s">
        <v>82</v>
      </c>
      <c r="J5172" s="7" t="s">
        <v>158</v>
      </c>
      <c r="K5172" s="7" t="n">
        <f aca="false">IFERROR(VALUE(RIGHT(TRIM(F5172),4)),"")</f>
        <v>2016</v>
      </c>
      <c r="L5172" s="7" t="str">
        <f aca="false">IF(TRIM(E5172)="","Unknown",IFERROR(LEFT(TRIM(E5172),FIND(",",TRIM(E5172))-1),TRIM(E5172)))</f>
        <v>Taiwan</v>
      </c>
      <c r="M5172" s="7" t="str">
        <f aca="false">IFERROR(LEFT(J5172,FIND(",",J5172)-1),J5172)</f>
        <v>International TV Shows</v>
      </c>
      <c r="N5172" s="7" t="str">
        <f aca="false">IF(B5172="Movie",IFERROR(VALUE(LEFT(I5172,FIND(" ",I5172)-1)),""),"")</f>
        <v/>
      </c>
      <c r="O5172" s="7" t="n">
        <f aca="false">IF(B5172="TV Show",IFERROR(VALUE(LEFT(I5172,FIND(" ",I5172)-1)),""),"")</f>
        <v>1</v>
      </c>
      <c r="P5172" s="7" t="n">
        <f aca="false">IF(K5172="","",K5172-G5172)</f>
        <v>1</v>
      </c>
    </row>
    <row r="5173" customFormat="false" ht="15" hidden="false" customHeight="false" outlineLevel="0" collapsed="false">
      <c r="A5173" s="7" t="n">
        <v>80108773</v>
      </c>
      <c r="B5173" s="7" t="s">
        <v>78</v>
      </c>
      <c r="C5173" s="7" t="s">
        <v>10391</v>
      </c>
      <c r="E5173" s="7" t="s">
        <v>970</v>
      </c>
      <c r="F5173" s="7" t="s">
        <v>10373</v>
      </c>
      <c r="G5173" s="7" t="n">
        <v>2011</v>
      </c>
      <c r="H5173" s="7" t="s">
        <v>49</v>
      </c>
      <c r="I5173" s="7" t="s">
        <v>82</v>
      </c>
      <c r="J5173" s="7" t="s">
        <v>158</v>
      </c>
      <c r="K5173" s="7" t="n">
        <f aca="false">IFERROR(VALUE(RIGHT(TRIM(F5173),4)),"")</f>
        <v>2016</v>
      </c>
      <c r="L5173" s="7" t="str">
        <f aca="false">IF(TRIM(E5173)="","Unknown",IFERROR(LEFT(TRIM(E5173),FIND(",",TRIM(E5173))-1),TRIM(E5173)))</f>
        <v>Taiwan</v>
      </c>
      <c r="M5173" s="7" t="str">
        <f aca="false">IFERROR(LEFT(J5173,FIND(",",J5173)-1),J5173)</f>
        <v>International TV Shows</v>
      </c>
      <c r="N5173" s="7" t="str">
        <f aca="false">IF(B5173="Movie",IFERROR(VALUE(LEFT(I5173,FIND(" ",I5173)-1)),""),"")</f>
        <v/>
      </c>
      <c r="O5173" s="7" t="n">
        <f aca="false">IF(B5173="TV Show",IFERROR(VALUE(LEFT(I5173,FIND(" ",I5173)-1)),""),"")</f>
        <v>1</v>
      </c>
      <c r="P5173" s="7" t="n">
        <f aca="false">IF(K5173="","",K5173-G5173)</f>
        <v>5</v>
      </c>
    </row>
    <row r="5174" customFormat="false" ht="15" hidden="false" customHeight="false" outlineLevel="0" collapsed="false">
      <c r="A5174" s="7" t="n">
        <v>80108844</v>
      </c>
      <c r="B5174" s="7" t="s">
        <v>78</v>
      </c>
      <c r="C5174" s="7" t="s">
        <v>10392</v>
      </c>
      <c r="E5174" s="7" t="s">
        <v>970</v>
      </c>
      <c r="F5174" s="7" t="s">
        <v>10373</v>
      </c>
      <c r="G5174" s="7" t="n">
        <v>2009</v>
      </c>
      <c r="H5174" s="7" t="s">
        <v>49</v>
      </c>
      <c r="I5174" s="7" t="s">
        <v>82</v>
      </c>
      <c r="J5174" s="7" t="s">
        <v>158</v>
      </c>
      <c r="K5174" s="7" t="n">
        <f aca="false">IFERROR(VALUE(RIGHT(TRIM(F5174),4)),"")</f>
        <v>2016</v>
      </c>
      <c r="L5174" s="7" t="str">
        <f aca="false">IF(TRIM(E5174)="","Unknown",IFERROR(LEFT(TRIM(E5174),FIND(",",TRIM(E5174))-1),TRIM(E5174)))</f>
        <v>Taiwan</v>
      </c>
      <c r="M5174" s="7" t="str">
        <f aca="false">IFERROR(LEFT(J5174,FIND(",",J5174)-1),J5174)</f>
        <v>International TV Shows</v>
      </c>
      <c r="N5174" s="7" t="str">
        <f aca="false">IF(B5174="Movie",IFERROR(VALUE(LEFT(I5174,FIND(" ",I5174)-1)),""),"")</f>
        <v/>
      </c>
      <c r="O5174" s="7" t="n">
        <f aca="false">IF(B5174="TV Show",IFERROR(VALUE(LEFT(I5174,FIND(" ",I5174)-1)),""),"")</f>
        <v>1</v>
      </c>
      <c r="P5174" s="7" t="n">
        <f aca="false">IF(K5174="","",K5174-G5174)</f>
        <v>7</v>
      </c>
    </row>
    <row r="5175" customFormat="false" ht="15" hidden="false" customHeight="false" outlineLevel="0" collapsed="false">
      <c r="A5175" s="7" t="n">
        <v>80109248</v>
      </c>
      <c r="B5175" s="7" t="s">
        <v>68</v>
      </c>
      <c r="C5175" s="7" t="s">
        <v>10393</v>
      </c>
      <c r="D5175" s="7" t="s">
        <v>10394</v>
      </c>
      <c r="E5175" s="7" t="s">
        <v>28</v>
      </c>
      <c r="F5175" s="7" t="s">
        <v>10373</v>
      </c>
      <c r="G5175" s="7" t="n">
        <v>2008</v>
      </c>
      <c r="H5175" s="7" t="s">
        <v>49</v>
      </c>
      <c r="I5175" s="7" t="s">
        <v>1175</v>
      </c>
      <c r="J5175" s="7" t="s">
        <v>39</v>
      </c>
      <c r="K5175" s="7" t="n">
        <f aca="false">IFERROR(VALUE(RIGHT(TRIM(F5175),4)),"")</f>
        <v>2016</v>
      </c>
      <c r="L5175" s="7" t="str">
        <f aca="false">IF(TRIM(E5175)="","Unknown",IFERROR(LEFT(TRIM(E5175),FIND(",",TRIM(E5175))-1),TRIM(E5175)))</f>
        <v>United Kingdom</v>
      </c>
      <c r="M5175" s="7" t="str">
        <f aca="false">IFERROR(LEFT(J5175,FIND(",",J5175)-1),J5175)</f>
        <v>Documentaries</v>
      </c>
      <c r="N5175" s="7" t="n">
        <f aca="false">IF(B5175="Movie",IFERROR(VALUE(LEFT(I5175,FIND(" ",I5175)-1)),""),"")</f>
        <v>46</v>
      </c>
      <c r="O5175" s="7" t="str">
        <f aca="false">IF(B5175="TV Show",IFERROR(VALUE(LEFT(I5175,FIND(" ",I5175)-1)),""),"")</f>
        <v/>
      </c>
      <c r="P5175" s="7" t="n">
        <f aca="false">IF(K5175="","",K5175-G5175)</f>
        <v>8</v>
      </c>
    </row>
    <row r="5176" customFormat="false" ht="15" hidden="false" customHeight="false" outlineLevel="0" collapsed="false">
      <c r="A5176" s="7" t="n">
        <v>80108846</v>
      </c>
      <c r="B5176" s="7" t="s">
        <v>78</v>
      </c>
      <c r="C5176" s="7" t="s">
        <v>10395</v>
      </c>
      <c r="E5176" s="7" t="s">
        <v>970</v>
      </c>
      <c r="F5176" s="7" t="s">
        <v>10373</v>
      </c>
      <c r="G5176" s="7" t="n">
        <v>2005</v>
      </c>
      <c r="H5176" s="7" t="s">
        <v>49</v>
      </c>
      <c r="I5176" s="7" t="s">
        <v>82</v>
      </c>
      <c r="J5176" s="7" t="s">
        <v>158</v>
      </c>
      <c r="K5176" s="7" t="n">
        <f aca="false">IFERROR(VALUE(RIGHT(TRIM(F5176),4)),"")</f>
        <v>2016</v>
      </c>
      <c r="L5176" s="7" t="str">
        <f aca="false">IF(TRIM(E5176)="","Unknown",IFERROR(LEFT(TRIM(E5176),FIND(",",TRIM(E5176))-1),TRIM(E5176)))</f>
        <v>Taiwan</v>
      </c>
      <c r="M5176" s="7" t="str">
        <f aca="false">IFERROR(LEFT(J5176,FIND(",",J5176)-1),J5176)</f>
        <v>International TV Shows</v>
      </c>
      <c r="N5176" s="7" t="str">
        <f aca="false">IF(B5176="Movie",IFERROR(VALUE(LEFT(I5176,FIND(" ",I5176)-1)),""),"")</f>
        <v/>
      </c>
      <c r="O5176" s="7" t="n">
        <f aca="false">IF(B5176="TV Show",IFERROR(VALUE(LEFT(I5176,FIND(" ",I5176)-1)),""),"")</f>
        <v>1</v>
      </c>
      <c r="P5176" s="7" t="n">
        <f aca="false">IF(K5176="","",K5176-G5176)</f>
        <v>11</v>
      </c>
    </row>
    <row r="5177" customFormat="false" ht="15" hidden="false" customHeight="false" outlineLevel="0" collapsed="false">
      <c r="A5177" s="7" t="n">
        <v>80108847</v>
      </c>
      <c r="B5177" s="7" t="s">
        <v>78</v>
      </c>
      <c r="C5177" s="7" t="s">
        <v>10396</v>
      </c>
      <c r="E5177" s="7" t="s">
        <v>970</v>
      </c>
      <c r="F5177" s="7" t="s">
        <v>10373</v>
      </c>
      <c r="G5177" s="7" t="n">
        <v>2013</v>
      </c>
      <c r="H5177" s="7" t="s">
        <v>49</v>
      </c>
      <c r="I5177" s="7" t="s">
        <v>82</v>
      </c>
      <c r="J5177" s="7" t="s">
        <v>158</v>
      </c>
      <c r="K5177" s="7" t="n">
        <f aca="false">IFERROR(VALUE(RIGHT(TRIM(F5177),4)),"")</f>
        <v>2016</v>
      </c>
      <c r="L5177" s="7" t="str">
        <f aca="false">IF(TRIM(E5177)="","Unknown",IFERROR(LEFT(TRIM(E5177),FIND(",",TRIM(E5177))-1),TRIM(E5177)))</f>
        <v>Taiwan</v>
      </c>
      <c r="M5177" s="7" t="str">
        <f aca="false">IFERROR(LEFT(J5177,FIND(",",J5177)-1),J5177)</f>
        <v>International TV Shows</v>
      </c>
      <c r="N5177" s="7" t="str">
        <f aca="false">IF(B5177="Movie",IFERROR(VALUE(LEFT(I5177,FIND(" ",I5177)-1)),""),"")</f>
        <v/>
      </c>
      <c r="O5177" s="7" t="n">
        <f aca="false">IF(B5177="TV Show",IFERROR(VALUE(LEFT(I5177,FIND(" ",I5177)-1)),""),"")</f>
        <v>1</v>
      </c>
      <c r="P5177" s="7" t="n">
        <f aca="false">IF(K5177="","",K5177-G5177)</f>
        <v>3</v>
      </c>
    </row>
    <row r="5178" customFormat="false" ht="15" hidden="false" customHeight="false" outlineLevel="0" collapsed="false">
      <c r="A5178" s="7" t="n">
        <v>80109038</v>
      </c>
      <c r="B5178" s="7" t="s">
        <v>78</v>
      </c>
      <c r="C5178" s="7" t="s">
        <v>10397</v>
      </c>
      <c r="E5178" s="7" t="s">
        <v>970</v>
      </c>
      <c r="F5178" s="7" t="s">
        <v>10373</v>
      </c>
      <c r="G5178" s="7" t="n">
        <v>2008</v>
      </c>
      <c r="H5178" s="7" t="s">
        <v>49</v>
      </c>
      <c r="I5178" s="7" t="s">
        <v>82</v>
      </c>
      <c r="J5178" s="7" t="s">
        <v>158</v>
      </c>
      <c r="K5178" s="7" t="n">
        <f aca="false">IFERROR(VALUE(RIGHT(TRIM(F5178),4)),"")</f>
        <v>2016</v>
      </c>
      <c r="L5178" s="7" t="str">
        <f aca="false">IF(TRIM(E5178)="","Unknown",IFERROR(LEFT(TRIM(E5178),FIND(",",TRIM(E5178))-1),TRIM(E5178)))</f>
        <v>Taiwan</v>
      </c>
      <c r="M5178" s="7" t="str">
        <f aca="false">IFERROR(LEFT(J5178,FIND(",",J5178)-1),J5178)</f>
        <v>International TV Shows</v>
      </c>
      <c r="N5178" s="7" t="str">
        <f aca="false">IF(B5178="Movie",IFERROR(VALUE(LEFT(I5178,FIND(" ",I5178)-1)),""),"")</f>
        <v/>
      </c>
      <c r="O5178" s="7" t="n">
        <f aca="false">IF(B5178="TV Show",IFERROR(VALUE(LEFT(I5178,FIND(" ",I5178)-1)),""),"")</f>
        <v>1</v>
      </c>
      <c r="P5178" s="7" t="n">
        <f aca="false">IF(K5178="","",K5178-G5178)</f>
        <v>8</v>
      </c>
    </row>
    <row r="5179" customFormat="false" ht="15" hidden="false" customHeight="false" outlineLevel="0" collapsed="false">
      <c r="A5179" s="7" t="n">
        <v>70222860</v>
      </c>
      <c r="B5179" s="7" t="s">
        <v>68</v>
      </c>
      <c r="C5179" s="7" t="s">
        <v>10398</v>
      </c>
      <c r="D5179" s="7" t="s">
        <v>10399</v>
      </c>
      <c r="E5179" s="7" t="s">
        <v>26</v>
      </c>
      <c r="F5179" s="7" t="s">
        <v>10400</v>
      </c>
      <c r="G5179" s="7" t="n">
        <v>2013</v>
      </c>
      <c r="H5179" s="7" t="s">
        <v>51</v>
      </c>
      <c r="I5179" s="7" t="s">
        <v>77</v>
      </c>
      <c r="J5179" s="7" t="s">
        <v>38</v>
      </c>
      <c r="K5179" s="7" t="n">
        <f aca="false">IFERROR(VALUE(RIGHT(TRIM(F5179),4)),"")</f>
        <v>2019</v>
      </c>
      <c r="L5179" s="7" t="str">
        <f aca="false">IF(TRIM(E5179)="","Unknown",IFERROR(LEFT(TRIM(E5179),FIND(",",TRIM(E5179))-1),TRIM(E5179)))</f>
        <v>United States</v>
      </c>
      <c r="M5179" s="7" t="str">
        <f aca="false">IFERROR(LEFT(J5179,FIND(",",J5179)-1),J5179)</f>
        <v>Comedies</v>
      </c>
      <c r="N5179" s="7" t="n">
        <f aca="false">IF(B5179="Movie",IFERROR(VALUE(LEFT(I5179,FIND(" ",I5179)-1)),""),"")</f>
        <v>94</v>
      </c>
      <c r="O5179" s="7" t="str">
        <f aca="false">IF(B5179="TV Show",IFERROR(VALUE(LEFT(I5179,FIND(" ",I5179)-1)),""),"")</f>
        <v/>
      </c>
      <c r="P5179" s="7" t="n">
        <f aca="false">IF(K5179="","",K5179-G5179)</f>
        <v>6</v>
      </c>
    </row>
    <row r="5180" customFormat="false" ht="15" hidden="false" customHeight="false" outlineLevel="0" collapsed="false">
      <c r="A5180" s="7" t="n">
        <v>81026677</v>
      </c>
      <c r="B5180" s="7" t="s">
        <v>68</v>
      </c>
      <c r="C5180" s="7" t="s">
        <v>10401</v>
      </c>
      <c r="D5180" s="7" t="s">
        <v>10402</v>
      </c>
      <c r="E5180" s="7" t="s">
        <v>26</v>
      </c>
      <c r="F5180" s="7" t="s">
        <v>10400</v>
      </c>
      <c r="G5180" s="7" t="n">
        <v>2018</v>
      </c>
      <c r="H5180" s="7" t="s">
        <v>48</v>
      </c>
      <c r="I5180" s="7" t="s">
        <v>357</v>
      </c>
      <c r="J5180" s="7" t="s">
        <v>147</v>
      </c>
      <c r="K5180" s="7" t="n">
        <f aca="false">IFERROR(VALUE(RIGHT(TRIM(F5180),4)),"")</f>
        <v>2019</v>
      </c>
      <c r="L5180" s="7" t="str">
        <f aca="false">IF(TRIM(E5180)="","Unknown",IFERROR(LEFT(TRIM(E5180),FIND(",",TRIM(E5180))-1),TRIM(E5180)))</f>
        <v>United States</v>
      </c>
      <c r="M5180" s="7" t="str">
        <f aca="false">IFERROR(LEFT(J5180,FIND(",",J5180)-1),J5180)</f>
        <v>Horror Movies</v>
      </c>
      <c r="N5180" s="7" t="n">
        <f aca="false">IF(B5180="Movie",IFERROR(VALUE(LEFT(I5180,FIND(" ",I5180)-1)),""),"")</f>
        <v>89</v>
      </c>
      <c r="O5180" s="7" t="str">
        <f aca="false">IF(B5180="TV Show",IFERROR(VALUE(LEFT(I5180,FIND(" ",I5180)-1)),""),"")</f>
        <v/>
      </c>
      <c r="P5180" s="7" t="n">
        <f aca="false">IF(K5180="","",K5180-G5180)</f>
        <v>1</v>
      </c>
    </row>
    <row r="5181" customFormat="false" ht="15" hidden="false" customHeight="false" outlineLevel="0" collapsed="false">
      <c r="A5181" s="7" t="n">
        <v>80218962</v>
      </c>
      <c r="B5181" s="7" t="s">
        <v>78</v>
      </c>
      <c r="C5181" s="7" t="s">
        <v>10403</v>
      </c>
      <c r="E5181" s="7" t="s">
        <v>1269</v>
      </c>
      <c r="F5181" s="7" t="s">
        <v>10404</v>
      </c>
      <c r="G5181" s="7" t="n">
        <v>2017</v>
      </c>
      <c r="H5181" s="7" t="s">
        <v>48</v>
      </c>
      <c r="I5181" s="7" t="s">
        <v>82</v>
      </c>
      <c r="J5181" s="7" t="s">
        <v>344</v>
      </c>
      <c r="K5181" s="7" t="n">
        <f aca="false">IFERROR(VALUE(RIGHT(TRIM(F5181),4)),"")</f>
        <v>2018</v>
      </c>
      <c r="L5181" s="7" t="str">
        <f aca="false">IF(TRIM(E5181)="","Unknown",IFERROR(LEFT(TRIM(E5181),FIND(",",TRIM(E5181))-1),TRIM(E5181)))</f>
        <v>Philippines</v>
      </c>
      <c r="M5181" s="7" t="str">
        <f aca="false">IFERROR(LEFT(J5181,FIND(",",J5181)-1),J5181)</f>
        <v>International TV Shows</v>
      </c>
      <c r="N5181" s="7" t="str">
        <f aca="false">IF(B5181="Movie",IFERROR(VALUE(LEFT(I5181,FIND(" ",I5181)-1)),""),"")</f>
        <v/>
      </c>
      <c r="O5181" s="7" t="n">
        <f aca="false">IF(B5181="TV Show",IFERROR(VALUE(LEFT(I5181,FIND(" ",I5181)-1)),""),"")</f>
        <v>1</v>
      </c>
      <c r="P5181" s="7" t="n">
        <f aca="false">IF(K5181="","",K5181-G5181)</f>
        <v>1</v>
      </c>
    </row>
    <row r="5182" customFormat="false" ht="15" hidden="false" customHeight="false" outlineLevel="0" collapsed="false">
      <c r="A5182" s="7" t="n">
        <v>80202076</v>
      </c>
      <c r="B5182" s="7" t="s">
        <v>68</v>
      </c>
      <c r="C5182" s="7" t="s">
        <v>10405</v>
      </c>
      <c r="D5182" s="7" t="s">
        <v>10406</v>
      </c>
      <c r="E5182" s="7" t="s">
        <v>26</v>
      </c>
      <c r="F5182" s="7" t="s">
        <v>10404</v>
      </c>
      <c r="G5182" s="7" t="n">
        <v>2016</v>
      </c>
      <c r="H5182" s="7" t="s">
        <v>49</v>
      </c>
      <c r="I5182" s="7" t="s">
        <v>77</v>
      </c>
      <c r="J5182" s="7" t="s">
        <v>198</v>
      </c>
      <c r="K5182" s="7" t="n">
        <f aca="false">IFERROR(VALUE(RIGHT(TRIM(F5182),4)),"")</f>
        <v>2018</v>
      </c>
      <c r="L5182" s="7" t="str">
        <f aca="false">IF(TRIM(E5182)="","Unknown",IFERROR(LEFT(TRIM(E5182),FIND(",",TRIM(E5182))-1),TRIM(E5182)))</f>
        <v>United States</v>
      </c>
      <c r="M5182" s="7" t="str">
        <f aca="false">IFERROR(LEFT(J5182,FIND(",",J5182)-1),J5182)</f>
        <v>Comedies</v>
      </c>
      <c r="N5182" s="7" t="n">
        <f aca="false">IF(B5182="Movie",IFERROR(VALUE(LEFT(I5182,FIND(" ",I5182)-1)),""),"")</f>
        <v>94</v>
      </c>
      <c r="O5182" s="7" t="str">
        <f aca="false">IF(B5182="TV Show",IFERROR(VALUE(LEFT(I5182,FIND(" ",I5182)-1)),""),"")</f>
        <v/>
      </c>
      <c r="P5182" s="7" t="n">
        <f aca="false">IF(K5182="","",K5182-G5182)</f>
        <v>2</v>
      </c>
    </row>
    <row r="5183" customFormat="false" ht="15" hidden="false" customHeight="false" outlineLevel="0" collapsed="false">
      <c r="A5183" s="7" t="n">
        <v>80094357</v>
      </c>
      <c r="B5183" s="7" t="s">
        <v>68</v>
      </c>
      <c r="C5183" s="7" t="s">
        <v>10407</v>
      </c>
      <c r="D5183" s="7" t="s">
        <v>10408</v>
      </c>
      <c r="E5183" s="7" t="s">
        <v>1081</v>
      </c>
      <c r="F5183" s="7" t="s">
        <v>10409</v>
      </c>
      <c r="G5183" s="7" t="n">
        <v>2015</v>
      </c>
      <c r="H5183" s="7" t="s">
        <v>53</v>
      </c>
      <c r="I5183" s="7" t="s">
        <v>237</v>
      </c>
      <c r="J5183" s="7" t="s">
        <v>202</v>
      </c>
      <c r="K5183" s="7" t="n">
        <f aca="false">IFERROR(VALUE(RIGHT(TRIM(F5183),4)),"")</f>
        <v>2016</v>
      </c>
      <c r="L5183" s="7" t="str">
        <f aca="false">IF(TRIM(E5183)="","Unknown",IFERROR(LEFT(TRIM(E5183),FIND(",",TRIM(E5183))-1),TRIM(E5183)))</f>
        <v>Germany</v>
      </c>
      <c r="M5183" s="7" t="str">
        <f aca="false">IFERROR(LEFT(J5183,FIND(",",J5183)-1),J5183)</f>
        <v>Comedies</v>
      </c>
      <c r="N5183" s="7" t="n">
        <f aca="false">IF(B5183="Movie",IFERROR(VALUE(LEFT(I5183,FIND(" ",I5183)-1)),""),"")</f>
        <v>116</v>
      </c>
      <c r="O5183" s="7" t="str">
        <f aca="false">IF(B5183="TV Show",IFERROR(VALUE(LEFT(I5183,FIND(" ",I5183)-1)),""),"")</f>
        <v/>
      </c>
      <c r="P5183" s="7" t="n">
        <f aca="false">IF(K5183="","",K5183-G5183)</f>
        <v>1</v>
      </c>
    </row>
    <row r="5184" customFormat="false" ht="15" hidden="false" customHeight="false" outlineLevel="0" collapsed="false">
      <c r="A5184" s="7" t="n">
        <v>81074135</v>
      </c>
      <c r="B5184" s="7" t="s">
        <v>68</v>
      </c>
      <c r="C5184" s="7" t="s">
        <v>10410</v>
      </c>
      <c r="D5184" s="7" t="s">
        <v>5044</v>
      </c>
      <c r="E5184" s="7" t="s">
        <v>27</v>
      </c>
      <c r="F5184" s="7" t="s">
        <v>10411</v>
      </c>
      <c r="G5184" s="7" t="n">
        <v>2018</v>
      </c>
      <c r="H5184" s="7" t="s">
        <v>49</v>
      </c>
      <c r="I5184" s="7" t="s">
        <v>1707</v>
      </c>
      <c r="J5184" s="7" t="s">
        <v>1042</v>
      </c>
      <c r="K5184" s="7" t="n">
        <f aca="false">IFERROR(VALUE(RIGHT(TRIM(F5184),4)),"")</f>
        <v>2019</v>
      </c>
      <c r="L5184" s="7" t="str">
        <f aca="false">IF(TRIM(E5184)="","Unknown",IFERROR(LEFT(TRIM(E5184),FIND(",",TRIM(E5184))-1),TRIM(E5184)))</f>
        <v>India</v>
      </c>
      <c r="M5184" s="7" t="str">
        <f aca="false">IFERROR(LEFT(J5184,FIND(",",J5184)-1),J5184)</f>
        <v>Dramas</v>
      </c>
      <c r="N5184" s="7" t="n">
        <f aca="false">IF(B5184="Movie",IFERROR(VALUE(LEFT(I5184,FIND(" ",I5184)-1)),""),"")</f>
        <v>131</v>
      </c>
      <c r="O5184" s="7" t="str">
        <f aca="false">IF(B5184="TV Show",IFERROR(VALUE(LEFT(I5184,FIND(" ",I5184)-1)),""),"")</f>
        <v/>
      </c>
      <c r="P5184" s="7" t="n">
        <f aca="false">IF(K5184="","",K5184-G5184)</f>
        <v>1</v>
      </c>
    </row>
    <row r="5185" customFormat="false" ht="15" hidden="false" customHeight="false" outlineLevel="0" collapsed="false">
      <c r="A5185" s="7" t="n">
        <v>81031306</v>
      </c>
      <c r="B5185" s="7" t="s">
        <v>68</v>
      </c>
      <c r="C5185" s="7" t="s">
        <v>10412</v>
      </c>
      <c r="E5185" s="7" t="s">
        <v>32</v>
      </c>
      <c r="F5185" s="7" t="s">
        <v>10411</v>
      </c>
      <c r="G5185" s="7" t="n">
        <v>2018</v>
      </c>
      <c r="H5185" s="7" t="s">
        <v>48</v>
      </c>
      <c r="I5185" s="7" t="s">
        <v>2183</v>
      </c>
      <c r="J5185" s="7" t="s">
        <v>112</v>
      </c>
      <c r="K5185" s="7" t="n">
        <f aca="false">IFERROR(VALUE(RIGHT(TRIM(F5185),4)),"")</f>
        <v>2019</v>
      </c>
      <c r="L5185" s="7" t="str">
        <f aca="false">IF(TRIM(E5185)="","Unknown",IFERROR(LEFT(TRIM(E5185),FIND(",",TRIM(E5185))-1),TRIM(E5185)))</f>
        <v>South Korea</v>
      </c>
      <c r="M5185" s="7" t="str">
        <f aca="false">IFERROR(LEFT(J5185,FIND(",",J5185)-1),J5185)</f>
        <v>Action &amp; Adventure</v>
      </c>
      <c r="N5185" s="7" t="n">
        <f aca="false">IF(B5185="Movie",IFERROR(VALUE(LEFT(I5185,FIND(" ",I5185)-1)),""),"")</f>
        <v>136</v>
      </c>
      <c r="O5185" s="7" t="str">
        <f aca="false">IF(B5185="TV Show",IFERROR(VALUE(LEFT(I5185,FIND(" ",I5185)-1)),""),"")</f>
        <v/>
      </c>
      <c r="P5185" s="7" t="n">
        <f aca="false">IF(K5185="","",K5185-G5185)</f>
        <v>1</v>
      </c>
    </row>
    <row r="5186" customFormat="false" ht="15" hidden="false" customHeight="false" outlineLevel="0" collapsed="false">
      <c r="A5186" s="7" t="n">
        <v>80160972</v>
      </c>
      <c r="B5186" s="7" t="s">
        <v>68</v>
      </c>
      <c r="C5186" s="7" t="s">
        <v>10413</v>
      </c>
      <c r="D5186" s="7" t="s">
        <v>7441</v>
      </c>
      <c r="E5186" s="7" t="s">
        <v>33</v>
      </c>
      <c r="F5186" s="7" t="s">
        <v>10414</v>
      </c>
      <c r="G5186" s="7" t="n">
        <v>2017</v>
      </c>
      <c r="H5186" s="7" t="s">
        <v>49</v>
      </c>
      <c r="I5186" s="7" t="s">
        <v>173</v>
      </c>
      <c r="J5186" s="7" t="s">
        <v>341</v>
      </c>
      <c r="K5186" s="7" t="n">
        <f aca="false">IFERROR(VALUE(RIGHT(TRIM(F5186),4)),"")</f>
        <v>2017</v>
      </c>
      <c r="L5186" s="7" t="str">
        <f aca="false">IF(TRIM(E5186)="","Unknown",IFERROR(LEFT(TRIM(E5186),FIND(",",TRIM(E5186))-1),TRIM(E5186)))</f>
        <v>Spain</v>
      </c>
      <c r="M5186" s="7" t="str">
        <f aca="false">IFERROR(LEFT(J5186,FIND(",",J5186)-1),J5186)</f>
        <v>Documentaries</v>
      </c>
      <c r="N5186" s="7" t="n">
        <f aca="false">IF(B5186="Movie",IFERROR(VALUE(LEFT(I5186,FIND(" ",I5186)-1)),""),"")</f>
        <v>106</v>
      </c>
      <c r="O5186" s="7" t="str">
        <f aca="false">IF(B5186="TV Show",IFERROR(VALUE(LEFT(I5186,FIND(" ",I5186)-1)),""),"")</f>
        <v/>
      </c>
      <c r="P5186" s="7" t="n">
        <f aca="false">IF(K5186="","",K5186-G5186)</f>
        <v>0</v>
      </c>
    </row>
    <row r="5187" customFormat="false" ht="15" hidden="false" customHeight="false" outlineLevel="0" collapsed="false">
      <c r="A5187" s="7" t="n">
        <v>80169549</v>
      </c>
      <c r="B5187" s="7" t="s">
        <v>68</v>
      </c>
      <c r="C5187" s="7" t="s">
        <v>10415</v>
      </c>
      <c r="D5187" s="7" t="s">
        <v>10416</v>
      </c>
      <c r="E5187" s="7" t="s">
        <v>27</v>
      </c>
      <c r="F5187" s="7" t="s">
        <v>10414</v>
      </c>
      <c r="G5187" s="7" t="n">
        <v>2017</v>
      </c>
      <c r="H5187" s="7" t="s">
        <v>48</v>
      </c>
      <c r="I5187" s="7" t="s">
        <v>519</v>
      </c>
      <c r="J5187" s="7" t="s">
        <v>240</v>
      </c>
      <c r="K5187" s="7" t="n">
        <f aca="false">IFERROR(VALUE(RIGHT(TRIM(F5187),4)),"")</f>
        <v>2017</v>
      </c>
      <c r="L5187" s="7" t="str">
        <f aca="false">IF(TRIM(E5187)="","Unknown",IFERROR(LEFT(TRIM(E5187),FIND(",",TRIM(E5187))-1),TRIM(E5187)))</f>
        <v>India</v>
      </c>
      <c r="M5187" s="7" t="str">
        <f aca="false">IFERROR(LEFT(J5187,FIND(",",J5187)-1),J5187)</f>
        <v>Dramas</v>
      </c>
      <c r="N5187" s="7" t="n">
        <f aca="false">IF(B5187="Movie",IFERROR(VALUE(LEFT(I5187,FIND(" ",I5187)-1)),""),"")</f>
        <v>119</v>
      </c>
      <c r="O5187" s="7" t="str">
        <f aca="false">IF(B5187="TV Show",IFERROR(VALUE(LEFT(I5187,FIND(" ",I5187)-1)),""),"")</f>
        <v/>
      </c>
      <c r="P5187" s="7" t="n">
        <f aca="false">IF(K5187="","",K5187-G5187)</f>
        <v>0</v>
      </c>
    </row>
    <row r="5188" customFormat="false" ht="15" hidden="false" customHeight="false" outlineLevel="0" collapsed="false">
      <c r="A5188" s="7" t="n">
        <v>80091879</v>
      </c>
      <c r="B5188" s="7" t="s">
        <v>68</v>
      </c>
      <c r="C5188" s="7" t="s">
        <v>10417</v>
      </c>
      <c r="D5188" s="7" t="s">
        <v>328</v>
      </c>
      <c r="E5188" s="7" t="s">
        <v>26</v>
      </c>
      <c r="F5188" s="7" t="s">
        <v>10418</v>
      </c>
      <c r="G5188" s="7" t="n">
        <v>2016</v>
      </c>
      <c r="H5188" s="7" t="s">
        <v>51</v>
      </c>
      <c r="I5188" s="7" t="s">
        <v>437</v>
      </c>
      <c r="J5188" s="7" t="s">
        <v>147</v>
      </c>
      <c r="K5188" s="7" t="n">
        <f aca="false">IFERROR(VALUE(RIGHT(TRIM(F5188),4)),"")</f>
        <v>2016</v>
      </c>
      <c r="L5188" s="7" t="str">
        <f aca="false">IF(TRIM(E5188)="","Unknown",IFERROR(LEFT(TRIM(E5188),FIND(",",TRIM(E5188))-1),TRIM(E5188)))</f>
        <v>United States</v>
      </c>
      <c r="M5188" s="7" t="str">
        <f aca="false">IFERROR(LEFT(J5188,FIND(",",J5188)-1),J5188)</f>
        <v>Horror Movies</v>
      </c>
      <c r="N5188" s="7" t="n">
        <f aca="false">IF(B5188="Movie",IFERROR(VALUE(LEFT(I5188,FIND(" ",I5188)-1)),""),"")</f>
        <v>82</v>
      </c>
      <c r="O5188" s="7" t="str">
        <f aca="false">IF(B5188="TV Show",IFERROR(VALUE(LEFT(I5188,FIND(" ",I5188)-1)),""),"")</f>
        <v/>
      </c>
      <c r="P5188" s="7" t="n">
        <f aca="false">IF(K5188="","",K5188-G5188)</f>
        <v>0</v>
      </c>
    </row>
    <row r="5189" customFormat="false" ht="15" hidden="false" customHeight="false" outlineLevel="0" collapsed="false">
      <c r="A5189" s="7" t="n">
        <v>80035480</v>
      </c>
      <c r="B5189" s="7" t="s">
        <v>78</v>
      </c>
      <c r="C5189" s="7" t="s">
        <v>10419</v>
      </c>
      <c r="E5189" s="7" t="s">
        <v>28</v>
      </c>
      <c r="F5189" s="7" t="s">
        <v>10420</v>
      </c>
      <c r="G5189" s="7" t="n">
        <v>2015</v>
      </c>
      <c r="H5189" s="7" t="s">
        <v>48</v>
      </c>
      <c r="I5189" s="7" t="s">
        <v>82</v>
      </c>
      <c r="J5189" s="7" t="s">
        <v>10421</v>
      </c>
      <c r="K5189" s="7" t="n">
        <f aca="false">IFERROR(VALUE(RIGHT(TRIM(F5189),4)),"")</f>
        <v>2015</v>
      </c>
      <c r="L5189" s="7" t="str">
        <f aca="false">IF(TRIM(E5189)="","Unknown",IFERROR(LEFT(TRIM(E5189),FIND(",",TRIM(E5189))-1),TRIM(E5189)))</f>
        <v>United Kingdom</v>
      </c>
      <c r="M5189" s="7" t="str">
        <f aca="false">IFERROR(LEFT(J5189,FIND(",",J5189)-1),J5189)</f>
        <v>British TV Shows</v>
      </c>
      <c r="N5189" s="7" t="str">
        <f aca="false">IF(B5189="Movie",IFERROR(VALUE(LEFT(I5189,FIND(" ",I5189)-1)),""),"")</f>
        <v/>
      </c>
      <c r="O5189" s="7" t="n">
        <f aca="false">IF(B5189="TV Show",IFERROR(VALUE(LEFT(I5189,FIND(" ",I5189)-1)),""),"")</f>
        <v>1</v>
      </c>
      <c r="P5189" s="7" t="n">
        <f aca="false">IF(K5189="","",K5189-G5189)</f>
        <v>0</v>
      </c>
    </row>
    <row r="5190" customFormat="false" ht="15" hidden="false" customHeight="false" outlineLevel="0" collapsed="false">
      <c r="A5190" s="7" t="n">
        <v>81091424</v>
      </c>
      <c r="B5190" s="7" t="s">
        <v>68</v>
      </c>
      <c r="C5190" s="7" t="s">
        <v>10422</v>
      </c>
      <c r="D5190" s="7" t="s">
        <v>10423</v>
      </c>
      <c r="E5190" s="7" t="s">
        <v>27</v>
      </c>
      <c r="F5190" s="7" t="s">
        <v>10424</v>
      </c>
      <c r="G5190" s="7" t="n">
        <v>2019</v>
      </c>
      <c r="H5190" s="7" t="s">
        <v>49</v>
      </c>
      <c r="I5190" s="7" t="s">
        <v>5120</v>
      </c>
      <c r="J5190" s="7" t="s">
        <v>4035</v>
      </c>
      <c r="K5190" s="7" t="n">
        <f aca="false">IFERROR(VALUE(RIGHT(TRIM(F5190),4)),"")</f>
        <v>2019</v>
      </c>
      <c r="L5190" s="7" t="str">
        <f aca="false">IF(TRIM(E5190)="","Unknown",IFERROR(LEFT(TRIM(E5190),FIND(",",TRIM(E5190))-1),TRIM(E5190)))</f>
        <v>India</v>
      </c>
      <c r="M5190" s="7" t="str">
        <f aca="false">IFERROR(LEFT(J5190,FIND(",",J5190)-1),J5190)</f>
        <v>Action &amp; Adventure</v>
      </c>
      <c r="N5190" s="7" t="n">
        <f aca="false">IF(B5190="Movie",IFERROR(VALUE(LEFT(I5190,FIND(" ",I5190)-1)),""),"")</f>
        <v>170</v>
      </c>
      <c r="O5190" s="7" t="str">
        <f aca="false">IF(B5190="TV Show",IFERROR(VALUE(LEFT(I5190,FIND(" ",I5190)-1)),""),"")</f>
        <v/>
      </c>
      <c r="P5190" s="7" t="n">
        <f aca="false">IF(K5190="","",K5190-G5190)</f>
        <v>0</v>
      </c>
    </row>
    <row r="5191" customFormat="false" ht="15" hidden="false" customHeight="false" outlineLevel="0" collapsed="false">
      <c r="A5191" s="7" t="n">
        <v>80187052</v>
      </c>
      <c r="B5191" s="7" t="s">
        <v>78</v>
      </c>
      <c r="C5191" s="7" t="s">
        <v>10425</v>
      </c>
      <c r="E5191" s="7" t="s">
        <v>26</v>
      </c>
      <c r="F5191" s="7" t="s">
        <v>10424</v>
      </c>
      <c r="G5191" s="7" t="n">
        <v>2017</v>
      </c>
      <c r="H5191" s="7" t="s">
        <v>48</v>
      </c>
      <c r="I5191" s="7" t="s">
        <v>82</v>
      </c>
      <c r="J5191" s="7" t="s">
        <v>164</v>
      </c>
      <c r="K5191" s="7" t="n">
        <f aca="false">IFERROR(VALUE(RIGHT(TRIM(F5191),4)),"")</f>
        <v>2019</v>
      </c>
      <c r="L5191" s="7" t="str">
        <f aca="false">IF(TRIM(E5191)="","Unknown",IFERROR(LEFT(TRIM(E5191),FIND(",",TRIM(E5191))-1),TRIM(E5191)))</f>
        <v>United States</v>
      </c>
      <c r="M5191" s="7" t="str">
        <f aca="false">IFERROR(LEFT(J5191,FIND(",",J5191)-1),J5191)</f>
        <v>Docuseries</v>
      </c>
      <c r="N5191" s="7" t="str">
        <f aca="false">IF(B5191="Movie",IFERROR(VALUE(LEFT(I5191,FIND(" ",I5191)-1)),""),"")</f>
        <v/>
      </c>
      <c r="O5191" s="7" t="n">
        <f aca="false">IF(B5191="TV Show",IFERROR(VALUE(LEFT(I5191,FIND(" ",I5191)-1)),""),"")</f>
        <v>1</v>
      </c>
      <c r="P5191" s="7" t="n">
        <f aca="false">IF(K5191="","",K5191-G5191)</f>
        <v>2</v>
      </c>
    </row>
    <row r="5192" customFormat="false" ht="15" hidden="false" customHeight="false" outlineLevel="0" collapsed="false">
      <c r="A5192" s="7" t="n">
        <v>80208951</v>
      </c>
      <c r="B5192" s="7" t="s">
        <v>68</v>
      </c>
      <c r="C5192" s="7" t="s">
        <v>10426</v>
      </c>
      <c r="D5192" s="7" t="s">
        <v>10427</v>
      </c>
      <c r="E5192" s="7" t="s">
        <v>10428</v>
      </c>
      <c r="F5192" s="7" t="s">
        <v>10429</v>
      </c>
      <c r="G5192" s="7" t="n">
        <v>2017</v>
      </c>
      <c r="H5192" s="7" t="s">
        <v>51</v>
      </c>
      <c r="I5192" s="7" t="s">
        <v>272</v>
      </c>
      <c r="J5192" s="7" t="s">
        <v>40</v>
      </c>
      <c r="K5192" s="7" t="n">
        <f aca="false">IFERROR(VALUE(RIGHT(TRIM(F5192),4)),"")</f>
        <v>2018</v>
      </c>
      <c r="L5192" s="7" t="str">
        <f aca="false">IF(TRIM(E5192)="","Unknown",IFERROR(LEFT(TRIM(E5192),FIND(",",TRIM(E5192))-1),TRIM(E5192)))</f>
        <v>South Africa</v>
      </c>
      <c r="M5192" s="7" t="str">
        <f aca="false">IFERROR(LEFT(J5192,FIND(",",J5192)-1),J5192)</f>
        <v>Action &amp; Adventure</v>
      </c>
      <c r="N5192" s="7" t="n">
        <f aca="false">IF(B5192="Movie",IFERROR(VALUE(LEFT(I5192,FIND(" ",I5192)-1)),""),"")</f>
        <v>93</v>
      </c>
      <c r="O5192" s="7" t="str">
        <f aca="false">IF(B5192="TV Show",IFERROR(VALUE(LEFT(I5192,FIND(" ",I5192)-1)),""),"")</f>
        <v/>
      </c>
      <c r="P5192" s="7" t="n">
        <f aca="false">IF(K5192="","",K5192-G5192)</f>
        <v>1</v>
      </c>
    </row>
    <row r="5193" customFormat="false" ht="15" hidden="false" customHeight="false" outlineLevel="0" collapsed="false">
      <c r="A5193" s="7" t="n">
        <v>80097466</v>
      </c>
      <c r="B5193" s="7" t="s">
        <v>68</v>
      </c>
      <c r="C5193" s="7" t="s">
        <v>10430</v>
      </c>
      <c r="D5193" s="7" t="s">
        <v>372</v>
      </c>
      <c r="E5193" s="7" t="s">
        <v>26</v>
      </c>
      <c r="F5193" s="7" t="s">
        <v>10431</v>
      </c>
      <c r="G5193" s="7" t="n">
        <v>2016</v>
      </c>
      <c r="H5193" s="7" t="s">
        <v>53</v>
      </c>
      <c r="I5193" s="7" t="s">
        <v>613</v>
      </c>
      <c r="J5193" s="7" t="s">
        <v>39</v>
      </c>
      <c r="K5193" s="7" t="n">
        <f aca="false">IFERROR(VALUE(RIGHT(TRIM(F5193),4)),"")</f>
        <v>2017</v>
      </c>
      <c r="L5193" s="7" t="str">
        <f aca="false">IF(TRIM(E5193)="","Unknown",IFERROR(LEFT(TRIM(E5193),FIND(",",TRIM(E5193))-1),TRIM(E5193)))</f>
        <v>United States</v>
      </c>
      <c r="M5193" s="7" t="str">
        <f aca="false">IFERROR(LEFT(J5193,FIND(",",J5193)-1),J5193)</f>
        <v>Documentaries</v>
      </c>
      <c r="N5193" s="7" t="n">
        <f aca="false">IF(B5193="Movie",IFERROR(VALUE(LEFT(I5193,FIND(" ",I5193)-1)),""),"")</f>
        <v>84</v>
      </c>
      <c r="O5193" s="7" t="str">
        <f aca="false">IF(B5193="TV Show",IFERROR(VALUE(LEFT(I5193,FIND(" ",I5193)-1)),""),"")</f>
        <v/>
      </c>
      <c r="P5193" s="7" t="n">
        <f aca="false">IF(K5193="","",K5193-G5193)</f>
        <v>1</v>
      </c>
    </row>
    <row r="5194" customFormat="false" ht="15" hidden="false" customHeight="false" outlineLevel="0" collapsed="false">
      <c r="A5194" s="7" t="n">
        <v>80118918</v>
      </c>
      <c r="B5194" s="7" t="s">
        <v>68</v>
      </c>
      <c r="C5194" s="7" t="s">
        <v>10432</v>
      </c>
      <c r="D5194" s="7" t="s">
        <v>10433</v>
      </c>
      <c r="E5194" s="7" t="s">
        <v>10434</v>
      </c>
      <c r="F5194" s="7" t="s">
        <v>10431</v>
      </c>
      <c r="G5194" s="7" t="n">
        <v>2016</v>
      </c>
      <c r="H5194" s="7" t="s">
        <v>48</v>
      </c>
      <c r="I5194" s="7" t="s">
        <v>340</v>
      </c>
      <c r="J5194" s="7" t="s">
        <v>3848</v>
      </c>
      <c r="K5194" s="7" t="n">
        <f aca="false">IFERROR(VALUE(RIGHT(TRIM(F5194),4)),"")</f>
        <v>2017</v>
      </c>
      <c r="L5194" s="7" t="str">
        <f aca="false">IF(TRIM(E5194)="","Unknown",IFERROR(LEFT(TRIM(E5194),FIND(",",TRIM(E5194))-1),TRIM(E5194)))</f>
        <v>Netherlands</v>
      </c>
      <c r="M5194" s="7" t="str">
        <f aca="false">IFERROR(LEFT(J5194,FIND(",",J5194)-1),J5194)</f>
        <v>Documentaries</v>
      </c>
      <c r="N5194" s="7" t="n">
        <f aca="false">IF(B5194="Movie",IFERROR(VALUE(LEFT(I5194,FIND(" ",I5194)-1)),""),"")</f>
        <v>85</v>
      </c>
      <c r="O5194" s="7" t="str">
        <f aca="false">IF(B5194="TV Show",IFERROR(VALUE(LEFT(I5194,FIND(" ",I5194)-1)),""),"")</f>
        <v/>
      </c>
      <c r="P5194" s="7" t="n">
        <f aca="false">IF(K5194="","",K5194-G5194)</f>
        <v>1</v>
      </c>
    </row>
    <row r="5195" customFormat="false" ht="15" hidden="false" customHeight="false" outlineLevel="0" collapsed="false">
      <c r="A5195" s="7" t="n">
        <v>80105690</v>
      </c>
      <c r="B5195" s="7" t="s">
        <v>68</v>
      </c>
      <c r="C5195" s="7" t="s">
        <v>10435</v>
      </c>
      <c r="D5195" s="7" t="s">
        <v>6407</v>
      </c>
      <c r="E5195" s="7" t="s">
        <v>485</v>
      </c>
      <c r="F5195" s="7" t="s">
        <v>10431</v>
      </c>
      <c r="G5195" s="7" t="n">
        <v>2016</v>
      </c>
      <c r="H5195" s="7" t="s">
        <v>48</v>
      </c>
      <c r="I5195" s="7" t="s">
        <v>93</v>
      </c>
      <c r="J5195" s="7" t="s">
        <v>240</v>
      </c>
      <c r="K5195" s="7" t="n">
        <f aca="false">IFERROR(VALUE(RIGHT(TRIM(F5195),4)),"")</f>
        <v>2017</v>
      </c>
      <c r="L5195" s="7" t="str">
        <f aca="false">IF(TRIM(E5195)="","Unknown",IFERROR(LEFT(TRIM(E5195),FIND(",",TRIM(E5195))-1),TRIM(E5195)))</f>
        <v>Spain</v>
      </c>
      <c r="M5195" s="7" t="str">
        <f aca="false">IFERROR(LEFT(J5195,FIND(",",J5195)-1),J5195)</f>
        <v>Dramas</v>
      </c>
      <c r="N5195" s="7" t="n">
        <f aca="false">IF(B5195="Movie",IFERROR(VALUE(LEFT(I5195,FIND(" ",I5195)-1)),""),"")</f>
        <v>110</v>
      </c>
      <c r="O5195" s="7" t="str">
        <f aca="false">IF(B5195="TV Show",IFERROR(VALUE(LEFT(I5195,FIND(" ",I5195)-1)),""),"")</f>
        <v/>
      </c>
      <c r="P5195" s="7" t="n">
        <f aca="false">IF(K5195="","",K5195-G5195)</f>
        <v>1</v>
      </c>
    </row>
    <row r="5196" customFormat="false" ht="15" hidden="false" customHeight="false" outlineLevel="0" collapsed="false">
      <c r="A5196" s="7" t="n">
        <v>80134527</v>
      </c>
      <c r="B5196" s="7" t="s">
        <v>68</v>
      </c>
      <c r="C5196" s="7" t="s">
        <v>10436</v>
      </c>
      <c r="D5196" s="7" t="s">
        <v>10437</v>
      </c>
      <c r="E5196" s="7" t="s">
        <v>26</v>
      </c>
      <c r="F5196" s="7" t="s">
        <v>10431</v>
      </c>
      <c r="G5196" s="7" t="n">
        <v>2017</v>
      </c>
      <c r="H5196" s="7" t="s">
        <v>48</v>
      </c>
      <c r="I5196" s="7" t="s">
        <v>357</v>
      </c>
      <c r="J5196" s="7" t="s">
        <v>135</v>
      </c>
      <c r="K5196" s="7" t="n">
        <f aca="false">IFERROR(VALUE(RIGHT(TRIM(F5196),4)),"")</f>
        <v>2017</v>
      </c>
      <c r="L5196" s="7" t="str">
        <f aca="false">IF(TRIM(E5196)="","Unknown",IFERROR(LEFT(TRIM(E5196),FIND(",",TRIM(E5196))-1),TRIM(E5196)))</f>
        <v>United States</v>
      </c>
      <c r="M5196" s="7" t="str">
        <f aca="false">IFERROR(LEFT(J5196,FIND(",",J5196)-1),J5196)</f>
        <v>Comedies</v>
      </c>
      <c r="N5196" s="7" t="n">
        <f aca="false">IF(B5196="Movie",IFERROR(VALUE(LEFT(I5196,FIND(" ",I5196)-1)),""),"")</f>
        <v>89</v>
      </c>
      <c r="O5196" s="7" t="str">
        <f aca="false">IF(B5196="TV Show",IFERROR(VALUE(LEFT(I5196,FIND(" ",I5196)-1)),""),"")</f>
        <v/>
      </c>
      <c r="P5196" s="7" t="n">
        <f aca="false">IF(K5196="","",K5196-G5196)</f>
        <v>0</v>
      </c>
    </row>
    <row r="5197" customFormat="false" ht="15" hidden="false" customHeight="false" outlineLevel="0" collapsed="false">
      <c r="A5197" s="7" t="n">
        <v>80989339</v>
      </c>
      <c r="B5197" s="7" t="s">
        <v>68</v>
      </c>
      <c r="C5197" s="7" t="s">
        <v>10438</v>
      </c>
      <c r="D5197" s="7" t="s">
        <v>10439</v>
      </c>
      <c r="E5197" s="7" t="s">
        <v>33</v>
      </c>
      <c r="F5197" s="7" t="s">
        <v>10440</v>
      </c>
      <c r="G5197" s="7" t="n">
        <v>2018</v>
      </c>
      <c r="H5197" s="7" t="s">
        <v>51</v>
      </c>
      <c r="I5197" s="7" t="s">
        <v>470</v>
      </c>
      <c r="J5197" s="7" t="s">
        <v>811</v>
      </c>
      <c r="K5197" s="7" t="n">
        <f aca="false">IFERROR(VALUE(RIGHT(TRIM(F5197),4)),"")</f>
        <v>2019</v>
      </c>
      <c r="L5197" s="7" t="str">
        <f aca="false">IF(TRIM(E5197)="","Unknown",IFERROR(LEFT(TRIM(E5197),FIND(",",TRIM(E5197))-1),TRIM(E5197)))</f>
        <v>Spain</v>
      </c>
      <c r="M5197" s="7" t="str">
        <f aca="false">IFERROR(LEFT(J5197,FIND(",",J5197)-1),J5197)</f>
        <v>Thrillers</v>
      </c>
      <c r="N5197" s="7" t="n">
        <f aca="false">IF(B5197="Movie",IFERROR(VALUE(LEFT(I5197,FIND(" ",I5197)-1)),""),"")</f>
        <v>91</v>
      </c>
      <c r="O5197" s="7" t="str">
        <f aca="false">IF(B5197="TV Show",IFERROR(VALUE(LEFT(I5197,FIND(" ",I5197)-1)),""),"")</f>
        <v/>
      </c>
      <c r="P5197" s="7" t="n">
        <f aca="false">IF(K5197="","",K5197-G5197)</f>
        <v>1</v>
      </c>
    </row>
    <row r="5198" customFormat="false" ht="15" hidden="false" customHeight="false" outlineLevel="0" collapsed="false">
      <c r="A5198" s="7" t="n">
        <v>70295170</v>
      </c>
      <c r="B5198" s="7" t="s">
        <v>68</v>
      </c>
      <c r="C5198" s="7" t="s">
        <v>10441</v>
      </c>
      <c r="D5198" s="7" t="s">
        <v>1350</v>
      </c>
      <c r="E5198" s="7" t="s">
        <v>10442</v>
      </c>
      <c r="F5198" s="7" t="s">
        <v>10440</v>
      </c>
      <c r="G5198" s="7" t="n">
        <v>2015</v>
      </c>
      <c r="H5198" s="7" t="s">
        <v>52</v>
      </c>
      <c r="I5198" s="7" t="s">
        <v>261</v>
      </c>
      <c r="J5198" s="7" t="s">
        <v>37</v>
      </c>
      <c r="K5198" s="7" t="n">
        <f aca="false">IFERROR(VALUE(RIGHT(TRIM(F5198),4)),"")</f>
        <v>2019</v>
      </c>
      <c r="L5198" s="7" t="str">
        <f aca="false">IF(TRIM(E5198)="","Unknown",IFERROR(LEFT(TRIM(E5198),FIND(",",TRIM(E5198))-1),TRIM(E5198)))</f>
        <v>United States</v>
      </c>
      <c r="M5198" s="7" t="str">
        <f aca="false">IFERROR(LEFT(J5198,FIND(",",J5198)-1),J5198)</f>
        <v>Dramas</v>
      </c>
      <c r="N5198" s="7" t="n">
        <f aca="false">IF(B5198="Movie",IFERROR(VALUE(LEFT(I5198,FIND(" ",I5198)-1)),""),"")</f>
        <v>128</v>
      </c>
      <c r="O5198" s="7" t="str">
        <f aca="false">IF(B5198="TV Show",IFERROR(VALUE(LEFT(I5198,FIND(" ",I5198)-1)),""),"")</f>
        <v/>
      </c>
      <c r="P5198" s="7" t="n">
        <f aca="false">IF(K5198="","",K5198-G5198)</f>
        <v>4</v>
      </c>
    </row>
    <row r="5199" customFormat="false" ht="15" hidden="false" customHeight="false" outlineLevel="0" collapsed="false">
      <c r="A5199" s="7" t="n">
        <v>80130625</v>
      </c>
      <c r="B5199" s="7" t="s">
        <v>68</v>
      </c>
      <c r="C5199" s="7" t="s">
        <v>10443</v>
      </c>
      <c r="D5199" s="7" t="s">
        <v>10444</v>
      </c>
      <c r="E5199" s="7" t="s">
        <v>26</v>
      </c>
      <c r="F5199" s="7" t="s">
        <v>10445</v>
      </c>
      <c r="G5199" s="7" t="n">
        <v>2018</v>
      </c>
      <c r="H5199" s="7" t="s">
        <v>48</v>
      </c>
      <c r="I5199" s="7" t="s">
        <v>421</v>
      </c>
      <c r="J5199" s="7" t="s">
        <v>150</v>
      </c>
      <c r="K5199" s="7" t="n">
        <f aca="false">IFERROR(VALUE(RIGHT(TRIM(F5199),4)),"")</f>
        <v>2018</v>
      </c>
      <c r="L5199" s="7" t="str">
        <f aca="false">IF(TRIM(E5199)="","Unknown",IFERROR(LEFT(TRIM(E5199),FIND(",",TRIM(E5199))-1),TRIM(E5199)))</f>
        <v>United States</v>
      </c>
      <c r="M5199" s="7" t="str">
        <f aca="false">IFERROR(LEFT(J5199,FIND(",",J5199)-1),J5199)</f>
        <v>Dramas</v>
      </c>
      <c r="N5199" s="7" t="n">
        <f aca="false">IF(B5199="Movie",IFERROR(VALUE(LEFT(I5199,FIND(" ",I5199)-1)),""),"")</f>
        <v>75</v>
      </c>
      <c r="O5199" s="7" t="str">
        <f aca="false">IF(B5199="TV Show",IFERROR(VALUE(LEFT(I5199,FIND(" ",I5199)-1)),""),"")</f>
        <v/>
      </c>
      <c r="P5199" s="7" t="n">
        <f aca="false">IF(K5199="","",K5199-G5199)</f>
        <v>0</v>
      </c>
    </row>
    <row r="5200" customFormat="false" ht="15" hidden="false" customHeight="false" outlineLevel="0" collapsed="false">
      <c r="A5200" s="7" t="n">
        <v>80096984</v>
      </c>
      <c r="B5200" s="7" t="s">
        <v>68</v>
      </c>
      <c r="C5200" s="7" t="s">
        <v>10446</v>
      </c>
      <c r="D5200" s="7" t="s">
        <v>10447</v>
      </c>
      <c r="E5200" s="7" t="s">
        <v>26</v>
      </c>
      <c r="F5200" s="7" t="s">
        <v>10445</v>
      </c>
      <c r="G5200" s="7" t="n">
        <v>2018</v>
      </c>
      <c r="H5200" s="7" t="s">
        <v>48</v>
      </c>
      <c r="I5200" s="7" t="s">
        <v>138</v>
      </c>
      <c r="J5200" s="7" t="s">
        <v>3855</v>
      </c>
      <c r="K5200" s="7" t="n">
        <f aca="false">IFERROR(VALUE(RIGHT(TRIM(F5200),4)),"")</f>
        <v>2018</v>
      </c>
      <c r="L5200" s="7" t="str">
        <f aca="false">IF(TRIM(E5200)="","Unknown",IFERROR(LEFT(TRIM(E5200),FIND(",",TRIM(E5200))-1),TRIM(E5200)))</f>
        <v>United States</v>
      </c>
      <c r="M5200" s="7" t="str">
        <f aca="false">IFERROR(LEFT(J5200,FIND(",",J5200)-1),J5200)</f>
        <v>Dramas</v>
      </c>
      <c r="N5200" s="7" t="n">
        <f aca="false">IF(B5200="Movie",IFERROR(VALUE(LEFT(I5200,FIND(" ",I5200)-1)),""),"")</f>
        <v>96</v>
      </c>
      <c r="O5200" s="7" t="str">
        <f aca="false">IF(B5200="TV Show",IFERROR(VALUE(LEFT(I5200,FIND(" ",I5200)-1)),""),"")</f>
        <v/>
      </c>
      <c r="P5200" s="7" t="n">
        <f aca="false">IF(K5200="","",K5200-G5200)</f>
        <v>0</v>
      </c>
    </row>
    <row r="5201" customFormat="false" ht="15" hidden="false" customHeight="false" outlineLevel="0" collapsed="false">
      <c r="A5201" s="7" t="n">
        <v>80222823</v>
      </c>
      <c r="B5201" s="7" t="s">
        <v>68</v>
      </c>
      <c r="C5201" s="7" t="s">
        <v>10448</v>
      </c>
      <c r="D5201" s="7" t="s">
        <v>10449</v>
      </c>
      <c r="E5201" s="7" t="s">
        <v>10450</v>
      </c>
      <c r="F5201" s="7" t="s">
        <v>10445</v>
      </c>
      <c r="G5201" s="7" t="n">
        <v>2017</v>
      </c>
      <c r="H5201" s="7" t="s">
        <v>49</v>
      </c>
      <c r="I5201" s="7" t="s">
        <v>111</v>
      </c>
      <c r="J5201" s="7" t="s">
        <v>2458</v>
      </c>
      <c r="K5201" s="7" t="n">
        <f aca="false">IFERROR(VALUE(RIGHT(TRIM(F5201),4)),"")</f>
        <v>2018</v>
      </c>
      <c r="L5201" s="7" t="str">
        <f aca="false">IF(TRIM(E5201)="","Unknown",IFERROR(LEFT(TRIM(E5201),FIND(",",TRIM(E5201))-1),TRIM(E5201)))</f>
        <v>Spain</v>
      </c>
      <c r="M5201" s="7" t="str">
        <f aca="false">IFERROR(LEFT(J5201,FIND(",",J5201)-1),J5201)</f>
        <v>Dramas</v>
      </c>
      <c r="N5201" s="7" t="n">
        <f aca="false">IF(B5201="Movie",IFERROR(VALUE(LEFT(I5201,FIND(" ",I5201)-1)),""),"")</f>
        <v>95</v>
      </c>
      <c r="O5201" s="7" t="str">
        <f aca="false">IF(B5201="TV Show",IFERROR(VALUE(LEFT(I5201,FIND(" ",I5201)-1)),""),"")</f>
        <v/>
      </c>
      <c r="P5201" s="7" t="n">
        <f aca="false">IF(K5201="","",K5201-G5201)</f>
        <v>1</v>
      </c>
    </row>
    <row r="5202" customFormat="false" ht="15" hidden="false" customHeight="false" outlineLevel="0" collapsed="false">
      <c r="A5202" s="7" t="n">
        <v>80209895</v>
      </c>
      <c r="B5202" s="7" t="s">
        <v>68</v>
      </c>
      <c r="C5202" s="7" t="s">
        <v>10451</v>
      </c>
      <c r="D5202" s="7" t="s">
        <v>10452</v>
      </c>
      <c r="E5202" s="7" t="s">
        <v>26</v>
      </c>
      <c r="F5202" s="7" t="s">
        <v>10445</v>
      </c>
      <c r="G5202" s="7" t="n">
        <v>2018</v>
      </c>
      <c r="H5202" s="7" t="s">
        <v>49</v>
      </c>
      <c r="I5202" s="7" t="s">
        <v>4461</v>
      </c>
      <c r="J5202" s="7" t="s">
        <v>5516</v>
      </c>
      <c r="K5202" s="7" t="n">
        <f aca="false">IFERROR(VALUE(RIGHT(TRIM(F5202),4)),"")</f>
        <v>2018</v>
      </c>
      <c r="L5202" s="7" t="str">
        <f aca="false">IF(TRIM(E5202)="","Unknown",IFERROR(LEFT(TRIM(E5202),FIND(",",TRIM(E5202))-1),TRIM(E5202)))</f>
        <v>United States</v>
      </c>
      <c r="M5202" s="7" t="str">
        <f aca="false">IFERROR(LEFT(J5202,FIND(",",J5202)-1),J5202)</f>
        <v>Documentaries</v>
      </c>
      <c r="N5202" s="7" t="n">
        <f aca="false">IF(B5202="Movie",IFERROR(VALUE(LEFT(I5202,FIND(" ",I5202)-1)),""),"")</f>
        <v>32</v>
      </c>
      <c r="O5202" s="7" t="str">
        <f aca="false">IF(B5202="TV Show",IFERROR(VALUE(LEFT(I5202,FIND(" ",I5202)-1)),""),"")</f>
        <v/>
      </c>
      <c r="P5202" s="7" t="n">
        <f aca="false">IF(K5202="","",K5202-G5202)</f>
        <v>0</v>
      </c>
    </row>
    <row r="5203" customFormat="false" ht="15" hidden="false" customHeight="false" outlineLevel="0" collapsed="false">
      <c r="A5203" s="7" t="n">
        <v>80189646</v>
      </c>
      <c r="B5203" s="7" t="s">
        <v>68</v>
      </c>
      <c r="C5203" s="7" t="s">
        <v>10453</v>
      </c>
      <c r="D5203" s="7" t="s">
        <v>1172</v>
      </c>
      <c r="E5203" s="7" t="s">
        <v>26</v>
      </c>
      <c r="F5203" s="7" t="s">
        <v>10445</v>
      </c>
      <c r="G5203" s="7" t="n">
        <v>2018</v>
      </c>
      <c r="H5203" s="7" t="s">
        <v>48</v>
      </c>
      <c r="I5203" s="7" t="s">
        <v>254</v>
      </c>
      <c r="J5203" s="7" t="s">
        <v>45</v>
      </c>
      <c r="K5203" s="7" t="n">
        <f aca="false">IFERROR(VALUE(RIGHT(TRIM(F5203),4)),"")</f>
        <v>2018</v>
      </c>
      <c r="L5203" s="7" t="str">
        <f aca="false">IF(TRIM(E5203)="","Unknown",IFERROR(LEFT(TRIM(E5203),FIND(",",TRIM(E5203))-1),TRIM(E5203)))</f>
        <v>United States</v>
      </c>
      <c r="M5203" s="7" t="str">
        <f aca="false">IFERROR(LEFT(J5203,FIND(",",J5203)-1),J5203)</f>
        <v>Stand-Up Comedy</v>
      </c>
      <c r="N5203" s="7" t="n">
        <f aca="false">IF(B5203="Movie",IFERROR(VALUE(LEFT(I5203,FIND(" ",I5203)-1)),""),"")</f>
        <v>70</v>
      </c>
      <c r="O5203" s="7" t="str">
        <f aca="false">IF(B5203="TV Show",IFERROR(VALUE(LEFT(I5203,FIND(" ",I5203)-1)),""),"")</f>
        <v/>
      </c>
      <c r="P5203" s="7" t="n">
        <f aca="false">IF(K5203="","",K5203-G5203)</f>
        <v>0</v>
      </c>
    </row>
    <row r="5204" customFormat="false" ht="15" hidden="false" customHeight="false" outlineLevel="0" collapsed="false">
      <c r="A5204" s="7" t="n">
        <v>80226962</v>
      </c>
      <c r="B5204" s="7" t="s">
        <v>68</v>
      </c>
      <c r="C5204" s="7" t="s">
        <v>10454</v>
      </c>
      <c r="D5204" s="7" t="s">
        <v>10455</v>
      </c>
      <c r="E5204" s="7" t="s">
        <v>1335</v>
      </c>
      <c r="F5204" s="7" t="s">
        <v>10445</v>
      </c>
      <c r="G5204" s="7" t="n">
        <v>2017</v>
      </c>
      <c r="H5204" s="7" t="s">
        <v>48</v>
      </c>
      <c r="I5204" s="7" t="s">
        <v>77</v>
      </c>
      <c r="J5204" s="7" t="s">
        <v>198</v>
      </c>
      <c r="K5204" s="7" t="n">
        <f aca="false">IFERROR(VALUE(RIGHT(TRIM(F5204),4)),"")</f>
        <v>2018</v>
      </c>
      <c r="L5204" s="7" t="str">
        <f aca="false">IF(TRIM(E5204)="","Unknown",IFERROR(LEFT(TRIM(E5204),FIND(",",TRIM(E5204))-1),TRIM(E5204)))</f>
        <v>Mexico</v>
      </c>
      <c r="M5204" s="7" t="str">
        <f aca="false">IFERROR(LEFT(J5204,FIND(",",J5204)-1),J5204)</f>
        <v>Comedies</v>
      </c>
      <c r="N5204" s="7" t="n">
        <f aca="false">IF(B5204="Movie",IFERROR(VALUE(LEFT(I5204,FIND(" ",I5204)-1)),""),"")</f>
        <v>94</v>
      </c>
      <c r="O5204" s="7" t="str">
        <f aca="false">IF(B5204="TV Show",IFERROR(VALUE(LEFT(I5204,FIND(" ",I5204)-1)),""),"")</f>
        <v/>
      </c>
      <c r="P5204" s="7" t="n">
        <f aca="false">IF(K5204="","",K5204-G5204)</f>
        <v>1</v>
      </c>
    </row>
    <row r="5205" customFormat="false" ht="15" hidden="false" customHeight="false" outlineLevel="0" collapsed="false">
      <c r="A5205" s="7" t="n">
        <v>80161104</v>
      </c>
      <c r="B5205" s="7" t="s">
        <v>68</v>
      </c>
      <c r="C5205" s="7" t="s">
        <v>10456</v>
      </c>
      <c r="D5205" s="7" t="s">
        <v>10457</v>
      </c>
      <c r="E5205" s="7" t="s">
        <v>7444</v>
      </c>
      <c r="F5205" s="7" t="s">
        <v>10445</v>
      </c>
      <c r="G5205" s="7" t="n">
        <v>2016</v>
      </c>
      <c r="H5205" s="7" t="s">
        <v>48</v>
      </c>
      <c r="I5205" s="7" t="s">
        <v>386</v>
      </c>
      <c r="J5205" s="7" t="s">
        <v>112</v>
      </c>
      <c r="K5205" s="7" t="n">
        <f aca="false">IFERROR(VALUE(RIGHT(TRIM(F5205),4)),"")</f>
        <v>2018</v>
      </c>
      <c r="L5205" s="7" t="str">
        <f aca="false">IF(TRIM(E5205)="","Unknown",IFERROR(LEFT(TRIM(E5205),FIND(",",TRIM(E5205))-1),TRIM(E5205)))</f>
        <v>Mexico</v>
      </c>
      <c r="M5205" s="7" t="str">
        <f aca="false">IFERROR(LEFT(J5205,FIND(",",J5205)-1),J5205)</f>
        <v>Action &amp; Adventure</v>
      </c>
      <c r="N5205" s="7" t="n">
        <f aca="false">IF(B5205="Movie",IFERROR(VALUE(LEFT(I5205,FIND(" ",I5205)-1)),""),"")</f>
        <v>117</v>
      </c>
      <c r="O5205" s="7" t="str">
        <f aca="false">IF(B5205="TV Show",IFERROR(VALUE(LEFT(I5205,FIND(" ",I5205)-1)),""),"")</f>
        <v/>
      </c>
      <c r="P5205" s="7" t="n">
        <f aca="false">IF(K5205="","",K5205-G5205)</f>
        <v>2</v>
      </c>
    </row>
    <row r="5206" customFormat="false" ht="15" hidden="false" customHeight="false" outlineLevel="0" collapsed="false">
      <c r="A5206" s="7" t="n">
        <v>80191990</v>
      </c>
      <c r="B5206" s="7" t="s">
        <v>68</v>
      </c>
      <c r="C5206" s="7" t="s">
        <v>10458</v>
      </c>
      <c r="D5206" s="7" t="s">
        <v>3118</v>
      </c>
      <c r="E5206" s="7" t="s">
        <v>1113</v>
      </c>
      <c r="F5206" s="7" t="s">
        <v>10445</v>
      </c>
      <c r="G5206" s="7" t="n">
        <v>2018</v>
      </c>
      <c r="H5206" s="7" t="s">
        <v>48</v>
      </c>
      <c r="I5206" s="7" t="s">
        <v>107</v>
      </c>
      <c r="J5206" s="7" t="s">
        <v>45</v>
      </c>
      <c r="K5206" s="7" t="n">
        <f aca="false">IFERROR(VALUE(RIGHT(TRIM(F5206),4)),"")</f>
        <v>2018</v>
      </c>
      <c r="L5206" s="7" t="str">
        <f aca="false">IF(TRIM(E5206)="","Unknown",IFERROR(LEFT(TRIM(E5206),FIND(",",TRIM(E5206))-1),TRIM(E5206)))</f>
        <v>Argentina</v>
      </c>
      <c r="M5206" s="7" t="str">
        <f aca="false">IFERROR(LEFT(J5206,FIND(",",J5206)-1),J5206)</f>
        <v>Stand-Up Comedy</v>
      </c>
      <c r="N5206" s="7" t="n">
        <f aca="false">IF(B5206="Movie",IFERROR(VALUE(LEFT(I5206,FIND(" ",I5206)-1)),""),"")</f>
        <v>78</v>
      </c>
      <c r="O5206" s="7" t="str">
        <f aca="false">IF(B5206="TV Show",IFERROR(VALUE(LEFT(I5206,FIND(" ",I5206)-1)),""),"")</f>
        <v/>
      </c>
      <c r="P5206" s="7" t="n">
        <f aca="false">IF(K5206="","",K5206-G5206)</f>
        <v>0</v>
      </c>
    </row>
    <row r="5207" customFormat="false" ht="15" hidden="false" customHeight="false" outlineLevel="0" collapsed="false">
      <c r="A5207" s="7" t="n">
        <v>80175352</v>
      </c>
      <c r="B5207" s="7" t="s">
        <v>78</v>
      </c>
      <c r="C5207" s="7" t="s">
        <v>2102</v>
      </c>
      <c r="E5207" s="7" t="s">
        <v>10459</v>
      </c>
      <c r="F5207" s="7" t="s">
        <v>10445</v>
      </c>
      <c r="G5207" s="7" t="n">
        <v>2018</v>
      </c>
      <c r="H5207" s="7" t="s">
        <v>48</v>
      </c>
      <c r="I5207" s="7" t="s">
        <v>82</v>
      </c>
      <c r="J5207" s="7" t="s">
        <v>1666</v>
      </c>
      <c r="K5207" s="7" t="n">
        <f aca="false">IFERROR(VALUE(RIGHT(TRIM(F5207),4)),"")</f>
        <v>2018</v>
      </c>
      <c r="L5207" s="7" t="str">
        <f aca="false">IF(TRIM(E5207)="","Unknown",IFERROR(LEFT(TRIM(E5207),FIND(",",TRIM(E5207))-1),TRIM(E5207)))</f>
        <v>United Kingdom</v>
      </c>
      <c r="M5207" s="7" t="str">
        <f aca="false">IFERROR(LEFT(J5207,FIND(",",J5207)-1),J5207)</f>
        <v>British TV Shows</v>
      </c>
      <c r="N5207" s="7" t="str">
        <f aca="false">IF(B5207="Movie",IFERROR(VALUE(LEFT(I5207,FIND(" ",I5207)-1)),""),"")</f>
        <v/>
      </c>
      <c r="O5207" s="7" t="n">
        <f aca="false">IF(B5207="TV Show",IFERROR(VALUE(LEFT(I5207,FIND(" ",I5207)-1)),""),"")</f>
        <v>1</v>
      </c>
      <c r="P5207" s="7" t="n">
        <f aca="false">IF(K5207="","",K5207-G5207)</f>
        <v>0</v>
      </c>
    </row>
    <row r="5208" customFormat="false" ht="15" hidden="false" customHeight="false" outlineLevel="0" collapsed="false">
      <c r="A5208" s="7" t="n">
        <v>80098839</v>
      </c>
      <c r="B5208" s="7" t="s">
        <v>68</v>
      </c>
      <c r="C5208" s="7" t="s">
        <v>10460</v>
      </c>
      <c r="D5208" s="7" t="s">
        <v>10461</v>
      </c>
      <c r="E5208" s="7" t="s">
        <v>26</v>
      </c>
      <c r="F5208" s="7" t="s">
        <v>10462</v>
      </c>
      <c r="G5208" s="7" t="n">
        <v>2016</v>
      </c>
      <c r="H5208" s="7" t="s">
        <v>51</v>
      </c>
      <c r="I5208" s="7" t="s">
        <v>661</v>
      </c>
      <c r="J5208" s="7" t="s">
        <v>652</v>
      </c>
      <c r="K5208" s="7" t="n">
        <f aca="false">IFERROR(VALUE(RIGHT(TRIM(F5208),4)),"")</f>
        <v>2017</v>
      </c>
      <c r="L5208" s="7" t="str">
        <f aca="false">IF(TRIM(E5208)="","Unknown",IFERROR(LEFT(TRIM(E5208),FIND(",",TRIM(E5208))-1),TRIM(E5208)))</f>
        <v>United States</v>
      </c>
      <c r="M5208" s="7" t="str">
        <f aca="false">IFERROR(LEFT(J5208,FIND(",",J5208)-1),J5208)</f>
        <v>Horror Movies</v>
      </c>
      <c r="N5208" s="7" t="n">
        <f aca="false">IF(B5208="Movie",IFERROR(VALUE(LEFT(I5208,FIND(" ",I5208)-1)),""),"")</f>
        <v>76</v>
      </c>
      <c r="O5208" s="7" t="str">
        <f aca="false">IF(B5208="TV Show",IFERROR(VALUE(LEFT(I5208,FIND(" ",I5208)-1)),""),"")</f>
        <v/>
      </c>
      <c r="P5208" s="7" t="n">
        <f aca="false">IF(K5208="","",K5208-G5208)</f>
        <v>1</v>
      </c>
    </row>
    <row r="5209" customFormat="false" ht="15" hidden="false" customHeight="false" outlineLevel="0" collapsed="false">
      <c r="A5209" s="7" t="n">
        <v>80232502</v>
      </c>
      <c r="B5209" s="7" t="s">
        <v>68</v>
      </c>
      <c r="C5209" s="7" t="s">
        <v>10463</v>
      </c>
      <c r="D5209" s="7" t="s">
        <v>10464</v>
      </c>
      <c r="E5209" s="7" t="s">
        <v>26</v>
      </c>
      <c r="F5209" s="7" t="s">
        <v>10465</v>
      </c>
      <c r="G5209" s="7" t="n">
        <v>2019</v>
      </c>
      <c r="H5209" s="7" t="s">
        <v>48</v>
      </c>
      <c r="I5209" s="7" t="s">
        <v>264</v>
      </c>
      <c r="J5209" s="7" t="s">
        <v>276</v>
      </c>
      <c r="K5209" s="7" t="n">
        <f aca="false">IFERROR(VALUE(RIGHT(TRIM(F5209),4)),"")</f>
        <v>2019</v>
      </c>
      <c r="L5209" s="7" t="str">
        <f aca="false">IF(TRIM(E5209)="","Unknown",IFERROR(LEFT(TRIM(E5209),FIND(",",TRIM(E5209))-1),TRIM(E5209)))</f>
        <v>United States</v>
      </c>
      <c r="M5209" s="7" t="str">
        <f aca="false">IFERROR(LEFT(J5209,FIND(",",J5209)-1),J5209)</f>
        <v>Action &amp; Adventure</v>
      </c>
      <c r="N5209" s="7" t="n">
        <f aca="false">IF(B5209="Movie",IFERROR(VALUE(LEFT(I5209,FIND(" ",I5209)-1)),""),"")</f>
        <v>88</v>
      </c>
      <c r="O5209" s="7" t="str">
        <f aca="false">IF(B5209="TV Show",IFERROR(VALUE(LEFT(I5209,FIND(" ",I5209)-1)),""),"")</f>
        <v/>
      </c>
      <c r="P5209" s="7" t="n">
        <f aca="false">IF(K5209="","",K5209-G5209)</f>
        <v>0</v>
      </c>
    </row>
    <row r="5210" customFormat="false" ht="15" hidden="false" customHeight="false" outlineLevel="0" collapsed="false">
      <c r="A5210" s="7" t="n">
        <v>81088786</v>
      </c>
      <c r="B5210" s="7" t="s">
        <v>68</v>
      </c>
      <c r="C5210" s="7" t="s">
        <v>10466</v>
      </c>
      <c r="D5210" s="7" t="s">
        <v>10467</v>
      </c>
      <c r="E5210" s="7" t="s">
        <v>26</v>
      </c>
      <c r="F5210" s="7" t="s">
        <v>10465</v>
      </c>
      <c r="G5210" s="7" t="n">
        <v>2019</v>
      </c>
      <c r="H5210" s="7" t="s">
        <v>48</v>
      </c>
      <c r="I5210" s="7" t="s">
        <v>451</v>
      </c>
      <c r="J5210" s="7" t="s">
        <v>520</v>
      </c>
      <c r="K5210" s="7" t="n">
        <f aca="false">IFERROR(VALUE(RIGHT(TRIM(F5210),4)),"")</f>
        <v>2019</v>
      </c>
      <c r="L5210" s="7" t="str">
        <f aca="false">IF(TRIM(E5210)="","Unknown",IFERROR(LEFT(TRIM(E5210),FIND(",",TRIM(E5210))-1),TRIM(E5210)))</f>
        <v>United States</v>
      </c>
      <c r="M5210" s="7" t="str">
        <f aca="false">IFERROR(LEFT(J5210,FIND(",",J5210)-1),J5210)</f>
        <v>Dramas</v>
      </c>
      <c r="N5210" s="7" t="n">
        <f aca="false">IF(B5210="Movie",IFERROR(VALUE(LEFT(I5210,FIND(" ",I5210)-1)),""),"")</f>
        <v>97</v>
      </c>
      <c r="O5210" s="7" t="str">
        <f aca="false">IF(B5210="TV Show",IFERROR(VALUE(LEFT(I5210,FIND(" ",I5210)-1)),""),"")</f>
        <v/>
      </c>
      <c r="P5210" s="7" t="n">
        <f aca="false">IF(K5210="","",K5210-G5210)</f>
        <v>0</v>
      </c>
    </row>
    <row r="5211" customFormat="false" ht="15" hidden="false" customHeight="false" outlineLevel="0" collapsed="false">
      <c r="A5211" s="7" t="n">
        <v>81013015</v>
      </c>
      <c r="B5211" s="7" t="s">
        <v>78</v>
      </c>
      <c r="C5211" s="7" t="s">
        <v>10468</v>
      </c>
      <c r="E5211" s="7" t="s">
        <v>26</v>
      </c>
      <c r="F5211" s="7" t="s">
        <v>10465</v>
      </c>
      <c r="G5211" s="7" t="n">
        <v>2018</v>
      </c>
      <c r="H5211" s="7" t="s">
        <v>49</v>
      </c>
      <c r="I5211" s="7" t="s">
        <v>82</v>
      </c>
      <c r="J5211" s="7" t="s">
        <v>10469</v>
      </c>
      <c r="K5211" s="7" t="n">
        <f aca="false">IFERROR(VALUE(RIGHT(TRIM(F5211),4)),"")</f>
        <v>2019</v>
      </c>
      <c r="L5211" s="7" t="str">
        <f aca="false">IF(TRIM(E5211)="","Unknown",IFERROR(LEFT(TRIM(E5211),FIND(",",TRIM(E5211))-1),TRIM(E5211)))</f>
        <v>United States</v>
      </c>
      <c r="M5211" s="7" t="str">
        <f aca="false">IFERROR(LEFT(J5211,FIND(",",J5211)-1),J5211)</f>
        <v>TV Dramas</v>
      </c>
      <c r="N5211" s="7" t="str">
        <f aca="false">IF(B5211="Movie",IFERROR(VALUE(LEFT(I5211,FIND(" ",I5211)-1)),""),"")</f>
        <v/>
      </c>
      <c r="O5211" s="7" t="n">
        <f aca="false">IF(B5211="TV Show",IFERROR(VALUE(LEFT(I5211,FIND(" ",I5211)-1)),""),"")</f>
        <v>1</v>
      </c>
      <c r="P5211" s="7" t="n">
        <f aca="false">IF(K5211="","",K5211-G5211)</f>
        <v>1</v>
      </c>
    </row>
    <row r="5212" customFormat="false" ht="15" hidden="false" customHeight="false" outlineLevel="0" collapsed="false">
      <c r="A5212" s="7" t="n">
        <v>81086435</v>
      </c>
      <c r="B5212" s="7" t="s">
        <v>68</v>
      </c>
      <c r="C5212" s="7" t="s">
        <v>10470</v>
      </c>
      <c r="D5212" s="7" t="s">
        <v>10471</v>
      </c>
      <c r="E5212" s="7" t="s">
        <v>27</v>
      </c>
      <c r="F5212" s="7" t="s">
        <v>10465</v>
      </c>
      <c r="G5212" s="7" t="n">
        <v>2018</v>
      </c>
      <c r="H5212" s="7" t="s">
        <v>49</v>
      </c>
      <c r="I5212" s="7" t="s">
        <v>93</v>
      </c>
      <c r="J5212" s="7" t="s">
        <v>1014</v>
      </c>
      <c r="K5212" s="7" t="n">
        <f aca="false">IFERROR(VALUE(RIGHT(TRIM(F5212),4)),"")</f>
        <v>2019</v>
      </c>
      <c r="L5212" s="7" t="str">
        <f aca="false">IF(TRIM(E5212)="","Unknown",IFERROR(LEFT(TRIM(E5212),FIND(",",TRIM(E5212))-1),TRIM(E5212)))</f>
        <v>India</v>
      </c>
      <c r="M5212" s="7" t="str">
        <f aca="false">IFERROR(LEFT(J5212,FIND(",",J5212)-1),J5212)</f>
        <v>Horror Movies</v>
      </c>
      <c r="N5212" s="7" t="n">
        <f aca="false">IF(B5212="Movie",IFERROR(VALUE(LEFT(I5212,FIND(" ",I5212)-1)),""),"")</f>
        <v>110</v>
      </c>
      <c r="O5212" s="7" t="str">
        <f aca="false">IF(B5212="TV Show",IFERROR(VALUE(LEFT(I5212,FIND(" ",I5212)-1)),""),"")</f>
        <v/>
      </c>
      <c r="P5212" s="7" t="n">
        <f aca="false">IF(K5212="","",K5212-G5212)</f>
        <v>1</v>
      </c>
    </row>
    <row r="5213" customFormat="false" ht="15" hidden="false" customHeight="false" outlineLevel="0" collapsed="false">
      <c r="A5213" s="7" t="n">
        <v>80049832</v>
      </c>
      <c r="B5213" s="7" t="s">
        <v>78</v>
      </c>
      <c r="C5213" s="7" t="s">
        <v>10472</v>
      </c>
      <c r="E5213" s="7" t="s">
        <v>293</v>
      </c>
      <c r="F5213" s="7" t="s">
        <v>10465</v>
      </c>
      <c r="G5213" s="7" t="n">
        <v>2019</v>
      </c>
      <c r="H5213" s="7" t="s">
        <v>226</v>
      </c>
      <c r="I5213" s="7" t="s">
        <v>82</v>
      </c>
      <c r="J5213" s="7" t="s">
        <v>100</v>
      </c>
      <c r="K5213" s="7" t="n">
        <f aca="false">IFERROR(VALUE(RIGHT(TRIM(F5213),4)),"")</f>
        <v>2019</v>
      </c>
      <c r="L5213" s="7" t="str">
        <f aca="false">IF(TRIM(E5213)="","Unknown",IFERROR(LEFT(TRIM(E5213),FIND(",",TRIM(E5213))-1),TRIM(E5213)))</f>
        <v>United States</v>
      </c>
      <c r="M5213" s="7" t="str">
        <f aca="false">IFERROR(LEFT(J5213,FIND(",",J5213)-1),J5213)</f>
        <v>Docuseries</v>
      </c>
      <c r="N5213" s="7" t="str">
        <f aca="false">IF(B5213="Movie",IFERROR(VALUE(LEFT(I5213,FIND(" ",I5213)-1)),""),"")</f>
        <v/>
      </c>
      <c r="O5213" s="7" t="n">
        <f aca="false">IF(B5213="TV Show",IFERROR(VALUE(LEFT(I5213,FIND(" ",I5213)-1)),""),"")</f>
        <v>1</v>
      </c>
      <c r="P5213" s="7" t="n">
        <f aca="false">IF(K5213="","",K5213-G5213)</f>
        <v>0</v>
      </c>
    </row>
    <row r="5214" customFormat="false" ht="15" hidden="false" customHeight="false" outlineLevel="0" collapsed="false">
      <c r="A5214" s="7" t="n">
        <v>81091423</v>
      </c>
      <c r="B5214" s="7" t="s">
        <v>68</v>
      </c>
      <c r="C5214" s="7" t="s">
        <v>10473</v>
      </c>
      <c r="D5214" s="7" t="s">
        <v>10423</v>
      </c>
      <c r="E5214" s="7" t="s">
        <v>27</v>
      </c>
      <c r="F5214" s="7" t="s">
        <v>10465</v>
      </c>
      <c r="G5214" s="7" t="n">
        <v>2019</v>
      </c>
      <c r="H5214" s="7" t="s">
        <v>49</v>
      </c>
      <c r="I5214" s="7" t="s">
        <v>5120</v>
      </c>
      <c r="J5214" s="7" t="s">
        <v>4035</v>
      </c>
      <c r="K5214" s="7" t="n">
        <f aca="false">IFERROR(VALUE(RIGHT(TRIM(F5214),4)),"")</f>
        <v>2019</v>
      </c>
      <c r="L5214" s="7" t="str">
        <f aca="false">IF(TRIM(E5214)="","Unknown",IFERROR(LEFT(TRIM(E5214),FIND(",",TRIM(E5214))-1),TRIM(E5214)))</f>
        <v>India</v>
      </c>
      <c r="M5214" s="7" t="str">
        <f aca="false">IFERROR(LEFT(J5214,FIND(",",J5214)-1),J5214)</f>
        <v>Action &amp; Adventure</v>
      </c>
      <c r="N5214" s="7" t="n">
        <f aca="false">IF(B5214="Movie",IFERROR(VALUE(LEFT(I5214,FIND(" ",I5214)-1)),""),"")</f>
        <v>170</v>
      </c>
      <c r="O5214" s="7" t="str">
        <f aca="false">IF(B5214="TV Show",IFERROR(VALUE(LEFT(I5214,FIND(" ",I5214)-1)),""),"")</f>
        <v/>
      </c>
      <c r="P5214" s="7" t="n">
        <f aca="false">IF(K5214="","",K5214-G5214)</f>
        <v>0</v>
      </c>
    </row>
    <row r="5215" customFormat="false" ht="15" hidden="false" customHeight="false" outlineLevel="0" collapsed="false">
      <c r="A5215" s="7" t="n">
        <v>81083880</v>
      </c>
      <c r="B5215" s="7" t="s">
        <v>68</v>
      </c>
      <c r="C5215" s="7" t="s">
        <v>10474</v>
      </c>
      <c r="D5215" s="7" t="s">
        <v>10475</v>
      </c>
      <c r="E5215" s="7" t="s">
        <v>619</v>
      </c>
      <c r="F5215" s="7" t="s">
        <v>10465</v>
      </c>
      <c r="G5215" s="7" t="n">
        <v>2018</v>
      </c>
      <c r="H5215" s="7" t="s">
        <v>48</v>
      </c>
      <c r="I5215" s="7" t="s">
        <v>311</v>
      </c>
      <c r="J5215" s="7" t="s">
        <v>341</v>
      </c>
      <c r="K5215" s="7" t="n">
        <f aca="false">IFERROR(VALUE(RIGHT(TRIM(F5215),4)),"")</f>
        <v>2019</v>
      </c>
      <c r="L5215" s="7" t="str">
        <f aca="false">IF(TRIM(E5215)="","Unknown",IFERROR(LEFT(TRIM(E5215),FIND(",",TRIM(E5215))-1),TRIM(E5215)))</f>
        <v>Canada</v>
      </c>
      <c r="M5215" s="7" t="str">
        <f aca="false">IFERROR(LEFT(J5215,FIND(",",J5215)-1),J5215)</f>
        <v>Documentaries</v>
      </c>
      <c r="N5215" s="7" t="n">
        <f aca="false">IF(B5215="Movie",IFERROR(VALUE(LEFT(I5215,FIND(" ",I5215)-1)),""),"")</f>
        <v>92</v>
      </c>
      <c r="O5215" s="7" t="str">
        <f aca="false">IF(B5215="TV Show",IFERROR(VALUE(LEFT(I5215,FIND(" ",I5215)-1)),""),"")</f>
        <v/>
      </c>
      <c r="P5215" s="7" t="n">
        <f aca="false">IF(K5215="","",K5215-G5215)</f>
        <v>1</v>
      </c>
    </row>
    <row r="5216" customFormat="false" ht="15" hidden="false" customHeight="false" outlineLevel="0" collapsed="false">
      <c r="A5216" s="7" t="n">
        <v>80211703</v>
      </c>
      <c r="B5216" s="7" t="s">
        <v>78</v>
      </c>
      <c r="C5216" s="7" t="s">
        <v>10476</v>
      </c>
      <c r="E5216" s="7" t="s">
        <v>4839</v>
      </c>
      <c r="F5216" s="7" t="s">
        <v>10465</v>
      </c>
      <c r="G5216" s="7" t="n">
        <v>2019</v>
      </c>
      <c r="H5216" s="7" t="s">
        <v>48</v>
      </c>
      <c r="I5216" s="7" t="s">
        <v>82</v>
      </c>
      <c r="J5216" s="7" t="s">
        <v>402</v>
      </c>
      <c r="K5216" s="7" t="n">
        <f aca="false">IFERROR(VALUE(RIGHT(TRIM(F5216),4)),"")</f>
        <v>2019</v>
      </c>
      <c r="L5216" s="7" t="str">
        <f aca="false">IF(TRIM(E5216)="","Unknown",IFERROR(LEFT(TRIM(E5216),FIND(",",TRIM(E5216))-1),TRIM(E5216)))</f>
        <v>Sweden</v>
      </c>
      <c r="M5216" s="7" t="str">
        <f aca="false">IFERROR(LEFT(J5216,FIND(",",J5216)-1),J5216)</f>
        <v>Crime TV Shows</v>
      </c>
      <c r="N5216" s="7" t="str">
        <f aca="false">IF(B5216="Movie",IFERROR(VALUE(LEFT(I5216,FIND(" ",I5216)-1)),""),"")</f>
        <v/>
      </c>
      <c r="O5216" s="7" t="n">
        <f aca="false">IF(B5216="TV Show",IFERROR(VALUE(LEFT(I5216,FIND(" ",I5216)-1)),""),"")</f>
        <v>1</v>
      </c>
      <c r="P5216" s="7" t="n">
        <f aca="false">IF(K5216="","",K5216-G5216)</f>
        <v>0</v>
      </c>
    </row>
    <row r="5217" customFormat="false" ht="15" hidden="false" customHeight="false" outlineLevel="0" collapsed="false">
      <c r="A5217" s="7" t="n">
        <v>81044607</v>
      </c>
      <c r="B5217" s="7" t="s">
        <v>78</v>
      </c>
      <c r="C5217" s="7" t="s">
        <v>10477</v>
      </c>
      <c r="E5217" s="7" t="s">
        <v>1178</v>
      </c>
      <c r="F5217" s="7" t="s">
        <v>10465</v>
      </c>
      <c r="G5217" s="7" t="n">
        <v>2017</v>
      </c>
      <c r="H5217" s="7" t="s">
        <v>55</v>
      </c>
      <c r="I5217" s="7" t="s">
        <v>82</v>
      </c>
      <c r="J5217" s="7" t="s">
        <v>44</v>
      </c>
      <c r="K5217" s="7" t="n">
        <f aca="false">IFERROR(VALUE(RIGHT(TRIM(F5217),4)),"")</f>
        <v>2019</v>
      </c>
      <c r="L5217" s="7" t="str">
        <f aca="false">IF(TRIM(E5217)="","Unknown",IFERROR(LEFT(TRIM(E5217),FIND(",",TRIM(E5217))-1),TRIM(E5217)))</f>
        <v>Malaysia</v>
      </c>
      <c r="M5217" s="7" t="str">
        <f aca="false">IFERROR(LEFT(J5217,FIND(",",J5217)-1),J5217)</f>
        <v>Kids' TV</v>
      </c>
      <c r="N5217" s="7" t="str">
        <f aca="false">IF(B5217="Movie",IFERROR(VALUE(LEFT(I5217,FIND(" ",I5217)-1)),""),"")</f>
        <v/>
      </c>
      <c r="O5217" s="7" t="n">
        <f aca="false">IF(B5217="TV Show",IFERROR(VALUE(LEFT(I5217,FIND(" ",I5217)-1)),""),"")</f>
        <v>1</v>
      </c>
      <c r="P5217" s="7" t="n">
        <f aca="false">IF(K5217="","",K5217-G5217)</f>
        <v>2</v>
      </c>
    </row>
    <row r="5218" customFormat="false" ht="15" hidden="false" customHeight="false" outlineLevel="0" collapsed="false">
      <c r="A5218" s="7" t="n">
        <v>80224218</v>
      </c>
      <c r="B5218" s="7" t="s">
        <v>68</v>
      </c>
      <c r="C5218" s="7" t="s">
        <v>10478</v>
      </c>
      <c r="D5218" s="7" t="s">
        <v>10479</v>
      </c>
      <c r="E5218" s="7" t="s">
        <v>28</v>
      </c>
      <c r="F5218" s="7" t="s">
        <v>10465</v>
      </c>
      <c r="G5218" s="7" t="n">
        <v>2019</v>
      </c>
      <c r="H5218" s="7" t="s">
        <v>49</v>
      </c>
      <c r="I5218" s="7" t="s">
        <v>77</v>
      </c>
      <c r="J5218" s="7" t="s">
        <v>341</v>
      </c>
      <c r="K5218" s="7" t="n">
        <f aca="false">IFERROR(VALUE(RIGHT(TRIM(F5218),4)),"")</f>
        <v>2019</v>
      </c>
      <c r="L5218" s="7" t="str">
        <f aca="false">IF(TRIM(E5218)="","Unknown",IFERROR(LEFT(TRIM(E5218),FIND(",",TRIM(E5218))-1),TRIM(E5218)))</f>
        <v>United Kingdom</v>
      </c>
      <c r="M5218" s="7" t="str">
        <f aca="false">IFERROR(LEFT(J5218,FIND(",",J5218)-1),J5218)</f>
        <v>Documentaries</v>
      </c>
      <c r="N5218" s="7" t="n">
        <f aca="false">IF(B5218="Movie",IFERROR(VALUE(LEFT(I5218,FIND(" ",I5218)-1)),""),"")</f>
        <v>94</v>
      </c>
      <c r="O5218" s="7" t="str">
        <f aca="false">IF(B5218="TV Show",IFERROR(VALUE(LEFT(I5218,FIND(" ",I5218)-1)),""),"")</f>
        <v/>
      </c>
      <c r="P5218" s="7" t="n">
        <f aca="false">IF(K5218="","",K5218-G5218)</f>
        <v>0</v>
      </c>
    </row>
    <row r="5219" customFormat="false" ht="15" hidden="false" customHeight="false" outlineLevel="0" collapsed="false">
      <c r="A5219" s="7" t="n">
        <v>80241474</v>
      </c>
      <c r="B5219" s="7" t="s">
        <v>78</v>
      </c>
      <c r="C5219" s="7" t="s">
        <v>10480</v>
      </c>
      <c r="E5219" s="7" t="s">
        <v>34</v>
      </c>
      <c r="F5219" s="7" t="s">
        <v>10465</v>
      </c>
      <c r="G5219" s="7" t="n">
        <v>2019</v>
      </c>
      <c r="H5219" s="7" t="s">
        <v>49</v>
      </c>
      <c r="I5219" s="7" t="s">
        <v>82</v>
      </c>
      <c r="J5219" s="7" t="s">
        <v>89</v>
      </c>
      <c r="K5219" s="7" t="n">
        <f aca="false">IFERROR(VALUE(RIGHT(TRIM(F5219),4)),"")</f>
        <v>2019</v>
      </c>
      <c r="L5219" s="7" t="str">
        <f aca="false">IF(TRIM(E5219)="","Unknown",IFERROR(LEFT(TRIM(E5219),FIND(",",TRIM(E5219))-1),TRIM(E5219)))</f>
        <v>Mexico</v>
      </c>
      <c r="M5219" s="7" t="str">
        <f aca="false">IFERROR(LEFT(J5219,FIND(",",J5219)-1),J5219)</f>
        <v>Crime TV Shows</v>
      </c>
      <c r="N5219" s="7" t="str">
        <f aca="false">IF(B5219="Movie",IFERROR(VALUE(LEFT(I5219,FIND(" ",I5219)-1)),""),"")</f>
        <v/>
      </c>
      <c r="O5219" s="7" t="n">
        <f aca="false">IF(B5219="TV Show",IFERROR(VALUE(LEFT(I5219,FIND(" ",I5219)-1)),""),"")</f>
        <v>1</v>
      </c>
      <c r="P5219" s="7" t="n">
        <f aca="false">IF(K5219="","",K5219-G5219)</f>
        <v>0</v>
      </c>
    </row>
    <row r="5220" customFormat="false" ht="15" hidden="false" customHeight="false" outlineLevel="0" collapsed="false">
      <c r="A5220" s="7" t="n">
        <v>81034317</v>
      </c>
      <c r="B5220" s="7" t="s">
        <v>68</v>
      </c>
      <c r="C5220" s="7" t="s">
        <v>10481</v>
      </c>
      <c r="D5220" s="7" t="s">
        <v>10482</v>
      </c>
      <c r="E5220" s="7" t="s">
        <v>26</v>
      </c>
      <c r="F5220" s="7" t="s">
        <v>10465</v>
      </c>
      <c r="G5220" s="7" t="n">
        <v>2019</v>
      </c>
      <c r="H5220" s="7" t="s">
        <v>50</v>
      </c>
      <c r="I5220" s="7" t="s">
        <v>311</v>
      </c>
      <c r="J5220" s="7" t="s">
        <v>198</v>
      </c>
      <c r="K5220" s="7" t="n">
        <f aca="false">IFERROR(VALUE(RIGHT(TRIM(F5220),4)),"")</f>
        <v>2019</v>
      </c>
      <c r="L5220" s="7" t="str">
        <f aca="false">IF(TRIM(E5220)="","Unknown",IFERROR(LEFT(TRIM(E5220),FIND(",",TRIM(E5220))-1),TRIM(E5220)))</f>
        <v>United States</v>
      </c>
      <c r="M5220" s="7" t="str">
        <f aca="false">IFERROR(LEFT(J5220,FIND(",",J5220)-1),J5220)</f>
        <v>Comedies</v>
      </c>
      <c r="N5220" s="7" t="n">
        <f aca="false">IF(B5220="Movie",IFERROR(VALUE(LEFT(I5220,FIND(" ",I5220)-1)),""),"")</f>
        <v>92</v>
      </c>
      <c r="O5220" s="7" t="str">
        <f aca="false">IF(B5220="TV Show",IFERROR(VALUE(LEFT(I5220,FIND(" ",I5220)-1)),""),"")</f>
        <v/>
      </c>
      <c r="P5220" s="7" t="n">
        <f aca="false">IF(K5220="","",K5220-G5220)</f>
        <v>0</v>
      </c>
    </row>
    <row r="5221" customFormat="false" ht="15" hidden="false" customHeight="false" outlineLevel="0" collapsed="false">
      <c r="A5221" s="7" t="n">
        <v>80185032</v>
      </c>
      <c r="B5221" s="7" t="s">
        <v>68</v>
      </c>
      <c r="C5221" s="7" t="s">
        <v>10483</v>
      </c>
      <c r="D5221" s="7" t="s">
        <v>10484</v>
      </c>
      <c r="E5221" s="7" t="s">
        <v>26</v>
      </c>
      <c r="F5221" s="7" t="s">
        <v>10485</v>
      </c>
      <c r="G5221" s="7" t="n">
        <v>2017</v>
      </c>
      <c r="H5221" s="7" t="s">
        <v>48</v>
      </c>
      <c r="I5221" s="7" t="s">
        <v>205</v>
      </c>
      <c r="J5221" s="7" t="s">
        <v>1116</v>
      </c>
      <c r="K5221" s="7" t="n">
        <f aca="false">IFERROR(VALUE(RIGHT(TRIM(F5221),4)),"")</f>
        <v>2018</v>
      </c>
      <c r="L5221" s="7" t="str">
        <f aca="false">IF(TRIM(E5221)="","Unknown",IFERROR(LEFT(TRIM(E5221),FIND(",",TRIM(E5221))-1),TRIM(E5221)))</f>
        <v>United States</v>
      </c>
      <c r="M5221" s="7" t="str">
        <f aca="false">IFERROR(LEFT(J5221,FIND(",",J5221)-1),J5221)</f>
        <v>Documentaries</v>
      </c>
      <c r="N5221" s="7" t="n">
        <f aca="false">IF(B5221="Movie",IFERROR(VALUE(LEFT(I5221,FIND(" ",I5221)-1)),""),"")</f>
        <v>100</v>
      </c>
      <c r="O5221" s="7" t="str">
        <f aca="false">IF(B5221="TV Show",IFERROR(VALUE(LEFT(I5221,FIND(" ",I5221)-1)),""),"")</f>
        <v/>
      </c>
      <c r="P5221" s="7" t="n">
        <f aca="false">IF(K5221="","",K5221-G5221)</f>
        <v>1</v>
      </c>
    </row>
    <row r="5222" customFormat="false" ht="15" hidden="false" customHeight="false" outlineLevel="0" collapsed="false">
      <c r="A5222" s="7" t="n">
        <v>80119177</v>
      </c>
      <c r="B5222" s="7" t="s">
        <v>68</v>
      </c>
      <c r="C5222" s="7" t="s">
        <v>10486</v>
      </c>
      <c r="D5222" s="7" t="s">
        <v>10487</v>
      </c>
      <c r="E5222" s="7" t="s">
        <v>10488</v>
      </c>
      <c r="F5222" s="7" t="s">
        <v>10485</v>
      </c>
      <c r="G5222" s="7" t="n">
        <v>2018</v>
      </c>
      <c r="H5222" s="7" t="s">
        <v>51</v>
      </c>
      <c r="I5222" s="7" t="s">
        <v>470</v>
      </c>
      <c r="J5222" s="7" t="s">
        <v>652</v>
      </c>
      <c r="K5222" s="7" t="n">
        <f aca="false">IFERROR(VALUE(RIGHT(TRIM(F5222),4)),"")</f>
        <v>2018</v>
      </c>
      <c r="L5222" s="7" t="str">
        <f aca="false">IF(TRIM(E5222)="","Unknown",IFERROR(LEFT(TRIM(E5222),FIND(",",TRIM(E5222))-1),TRIM(E5222)))</f>
        <v>Bulgaria</v>
      </c>
      <c r="M5222" s="7" t="str">
        <f aca="false">IFERROR(LEFT(J5222,FIND(",",J5222)-1),J5222)</f>
        <v>Horror Movies</v>
      </c>
      <c r="N5222" s="7" t="n">
        <f aca="false">IF(B5222="Movie",IFERROR(VALUE(LEFT(I5222,FIND(" ",I5222)-1)),""),"")</f>
        <v>91</v>
      </c>
      <c r="O5222" s="7" t="str">
        <f aca="false">IF(B5222="TV Show",IFERROR(VALUE(LEFT(I5222,FIND(" ",I5222)-1)),""),"")</f>
        <v/>
      </c>
      <c r="P5222" s="7" t="n">
        <f aca="false">IF(K5222="","",K5222-G5222)</f>
        <v>0</v>
      </c>
    </row>
    <row r="5223" customFormat="false" ht="15" hidden="false" customHeight="false" outlineLevel="0" collapsed="false">
      <c r="A5223" s="7" t="n">
        <v>80026032</v>
      </c>
      <c r="B5223" s="7" t="s">
        <v>78</v>
      </c>
      <c r="C5223" s="7" t="s">
        <v>10489</v>
      </c>
      <c r="E5223" s="7" t="s">
        <v>26</v>
      </c>
      <c r="F5223" s="7" t="s">
        <v>10490</v>
      </c>
      <c r="G5223" s="7" t="n">
        <v>2015</v>
      </c>
      <c r="H5223" s="7" t="s">
        <v>49</v>
      </c>
      <c r="I5223" s="7" t="s">
        <v>82</v>
      </c>
      <c r="J5223" s="7" t="s">
        <v>1544</v>
      </c>
      <c r="K5223" s="7" t="n">
        <f aca="false">IFERROR(VALUE(RIGHT(TRIM(F5223),4)),"")</f>
        <v>2016</v>
      </c>
      <c r="L5223" s="7" t="str">
        <f aca="false">IF(TRIM(E5223)="","Unknown",IFERROR(LEFT(TRIM(E5223),FIND(",",TRIM(E5223))-1),TRIM(E5223)))</f>
        <v>United States</v>
      </c>
      <c r="M5223" s="7" t="str">
        <f aca="false">IFERROR(LEFT(J5223,FIND(",",J5223)-1),J5223)</f>
        <v>TV Dramas</v>
      </c>
      <c r="N5223" s="7" t="str">
        <f aca="false">IF(B5223="Movie",IFERROR(VALUE(LEFT(I5223,FIND(" ",I5223)-1)),""),"")</f>
        <v/>
      </c>
      <c r="O5223" s="7" t="n">
        <f aca="false">IF(B5223="TV Show",IFERROR(VALUE(LEFT(I5223,FIND(" ",I5223)-1)),""),"")</f>
        <v>1</v>
      </c>
      <c r="P5223" s="7" t="n">
        <f aca="false">IF(K5223="","",K5223-G5223)</f>
        <v>1</v>
      </c>
    </row>
    <row r="5224" customFormat="false" ht="15" hidden="false" customHeight="false" outlineLevel="0" collapsed="false">
      <c r="A5224" s="7" t="n">
        <v>81087764</v>
      </c>
      <c r="B5224" s="7" t="s">
        <v>78</v>
      </c>
      <c r="C5224" s="7" t="s">
        <v>10491</v>
      </c>
      <c r="E5224" s="7" t="s">
        <v>32</v>
      </c>
      <c r="F5224" s="7" t="s">
        <v>10492</v>
      </c>
      <c r="G5224" s="7" t="n">
        <v>2019</v>
      </c>
      <c r="H5224" s="7" t="s">
        <v>49</v>
      </c>
      <c r="I5224" s="7" t="s">
        <v>82</v>
      </c>
      <c r="J5224" s="7" t="s">
        <v>1877</v>
      </c>
      <c r="K5224" s="7" t="n">
        <f aca="false">IFERROR(VALUE(RIGHT(TRIM(F5224),4)),"")</f>
        <v>2019</v>
      </c>
      <c r="L5224" s="7" t="str">
        <f aca="false">IF(TRIM(E5224)="","Unknown",IFERROR(LEFT(TRIM(E5224),FIND(",",TRIM(E5224))-1),TRIM(E5224)))</f>
        <v>South Korea</v>
      </c>
      <c r="M5224" s="7" t="str">
        <f aca="false">IFERROR(LEFT(J5224,FIND(",",J5224)-1),J5224)</f>
        <v>Crime TV Shows</v>
      </c>
      <c r="N5224" s="7" t="str">
        <f aca="false">IF(B5224="Movie",IFERROR(VALUE(LEFT(I5224,FIND(" ",I5224)-1)),""),"")</f>
        <v/>
      </c>
      <c r="O5224" s="7" t="n">
        <f aca="false">IF(B5224="TV Show",IFERROR(VALUE(LEFT(I5224,FIND(" ",I5224)-1)),""),"")</f>
        <v>1</v>
      </c>
      <c r="P5224" s="7" t="n">
        <f aca="false">IF(K5224="","",K5224-G5224)</f>
        <v>0</v>
      </c>
    </row>
    <row r="5225" customFormat="false" ht="15" hidden="false" customHeight="false" outlineLevel="0" collapsed="false">
      <c r="A5225" s="7" t="n">
        <v>80231064</v>
      </c>
      <c r="B5225" s="7" t="s">
        <v>68</v>
      </c>
      <c r="C5225" s="7" t="s">
        <v>10493</v>
      </c>
      <c r="D5225" s="7" t="s">
        <v>10494</v>
      </c>
      <c r="E5225" s="7" t="s">
        <v>396</v>
      </c>
      <c r="F5225" s="7" t="s">
        <v>10495</v>
      </c>
      <c r="G5225" s="7" t="n">
        <v>2015</v>
      </c>
      <c r="H5225" s="7" t="s">
        <v>48</v>
      </c>
      <c r="I5225" s="7" t="s">
        <v>1405</v>
      </c>
      <c r="J5225" s="7" t="s">
        <v>139</v>
      </c>
      <c r="K5225" s="7" t="n">
        <f aca="false">IFERROR(VALUE(RIGHT(TRIM(F5225),4)),"")</f>
        <v>2018</v>
      </c>
      <c r="L5225" s="7" t="str">
        <f aca="false">IF(TRIM(E5225)="","Unknown",IFERROR(LEFT(TRIM(E5225),FIND(",",TRIM(E5225))-1),TRIM(E5225)))</f>
        <v>Turkey</v>
      </c>
      <c r="M5225" s="7" t="str">
        <f aca="false">IFERROR(LEFT(J5225,FIND(",",J5225)-1),J5225)</f>
        <v>Action &amp; Adventure</v>
      </c>
      <c r="N5225" s="7" t="n">
        <f aca="false">IF(B5225="Movie",IFERROR(VALUE(LEFT(I5225,FIND(" ",I5225)-1)),""),"")</f>
        <v>115</v>
      </c>
      <c r="O5225" s="7" t="str">
        <f aca="false">IF(B5225="TV Show",IFERROR(VALUE(LEFT(I5225,FIND(" ",I5225)-1)),""),"")</f>
        <v/>
      </c>
      <c r="P5225" s="7" t="n">
        <f aca="false">IF(K5225="","",K5225-G5225)</f>
        <v>3</v>
      </c>
    </row>
    <row r="5226" customFormat="false" ht="15" hidden="false" customHeight="false" outlineLevel="0" collapsed="false">
      <c r="A5226" s="7" t="n">
        <v>80227118</v>
      </c>
      <c r="B5226" s="7" t="s">
        <v>68</v>
      </c>
      <c r="C5226" s="7" t="s">
        <v>10496</v>
      </c>
      <c r="D5226" s="7" t="s">
        <v>4971</v>
      </c>
      <c r="E5226" s="7" t="s">
        <v>396</v>
      </c>
      <c r="F5226" s="7" t="s">
        <v>10495</v>
      </c>
      <c r="G5226" s="7" t="n">
        <v>2011</v>
      </c>
      <c r="H5226" s="7" t="s">
        <v>48</v>
      </c>
      <c r="I5226" s="7" t="s">
        <v>232</v>
      </c>
      <c r="J5226" s="7" t="s">
        <v>240</v>
      </c>
      <c r="K5226" s="7" t="n">
        <f aca="false">IFERROR(VALUE(RIGHT(TRIM(F5226),4)),"")</f>
        <v>2018</v>
      </c>
      <c r="L5226" s="7" t="str">
        <f aca="false">IF(TRIM(E5226)="","Unknown",IFERROR(LEFT(TRIM(E5226),FIND(",",TRIM(E5226))-1),TRIM(E5226)))</f>
        <v>Turkey</v>
      </c>
      <c r="M5226" s="7" t="str">
        <f aca="false">IFERROR(LEFT(J5226,FIND(",",J5226)-1),J5226)</f>
        <v>Dramas</v>
      </c>
      <c r="N5226" s="7" t="n">
        <f aca="false">IF(B5226="Movie",IFERROR(VALUE(LEFT(I5226,FIND(" ",I5226)-1)),""),"")</f>
        <v>122</v>
      </c>
      <c r="O5226" s="7" t="str">
        <f aca="false">IF(B5226="TV Show",IFERROR(VALUE(LEFT(I5226,FIND(" ",I5226)-1)),""),"")</f>
        <v/>
      </c>
      <c r="P5226" s="7" t="n">
        <f aca="false">IF(K5226="","",K5226-G5226)</f>
        <v>7</v>
      </c>
    </row>
    <row r="5227" customFormat="false" ht="15" hidden="false" customHeight="false" outlineLevel="0" collapsed="false">
      <c r="A5227" s="7" t="n">
        <v>80227115</v>
      </c>
      <c r="B5227" s="7" t="s">
        <v>68</v>
      </c>
      <c r="C5227" s="7" t="s">
        <v>10497</v>
      </c>
      <c r="D5227" s="7" t="s">
        <v>4976</v>
      </c>
      <c r="E5227" s="7" t="s">
        <v>10498</v>
      </c>
      <c r="F5227" s="7" t="s">
        <v>10495</v>
      </c>
      <c r="G5227" s="7" t="n">
        <v>2016</v>
      </c>
      <c r="H5227" s="7" t="s">
        <v>49</v>
      </c>
      <c r="I5227" s="7" t="s">
        <v>294</v>
      </c>
      <c r="J5227" s="7" t="s">
        <v>139</v>
      </c>
      <c r="K5227" s="7" t="n">
        <f aca="false">IFERROR(VALUE(RIGHT(TRIM(F5227),4)),"")</f>
        <v>2018</v>
      </c>
      <c r="L5227" s="7" t="str">
        <f aca="false">IF(TRIM(E5227)="","Unknown",IFERROR(LEFT(TRIM(E5227),FIND(",",TRIM(E5227))-1),TRIM(E5227)))</f>
        <v>Turkey</v>
      </c>
      <c r="M5227" s="7" t="str">
        <f aca="false">IFERROR(LEFT(J5227,FIND(",",J5227)-1),J5227)</f>
        <v>Action &amp; Adventure</v>
      </c>
      <c r="N5227" s="7" t="n">
        <f aca="false">IF(B5227="Movie",IFERROR(VALUE(LEFT(I5227,FIND(" ",I5227)-1)),""),"")</f>
        <v>107</v>
      </c>
      <c r="O5227" s="7" t="str">
        <f aca="false">IF(B5227="TV Show",IFERROR(VALUE(LEFT(I5227,FIND(" ",I5227)-1)),""),"")</f>
        <v/>
      </c>
      <c r="P5227" s="7" t="n">
        <f aca="false">IF(K5227="","",K5227-G5227)</f>
        <v>2</v>
      </c>
    </row>
    <row r="5228" customFormat="false" ht="15" hidden="false" customHeight="false" outlineLevel="0" collapsed="false">
      <c r="A5228" s="7" t="n">
        <v>80227113</v>
      </c>
      <c r="B5228" s="7" t="s">
        <v>68</v>
      </c>
      <c r="C5228" s="7" t="s">
        <v>10499</v>
      </c>
      <c r="D5228" s="7" t="s">
        <v>1683</v>
      </c>
      <c r="E5228" s="7" t="s">
        <v>396</v>
      </c>
      <c r="F5228" s="7" t="s">
        <v>10495</v>
      </c>
      <c r="G5228" s="7" t="n">
        <v>2016</v>
      </c>
      <c r="H5228" s="7" t="s">
        <v>50</v>
      </c>
      <c r="I5228" s="7" t="s">
        <v>790</v>
      </c>
      <c r="J5228" s="7" t="s">
        <v>304</v>
      </c>
      <c r="K5228" s="7" t="n">
        <f aca="false">IFERROR(VALUE(RIGHT(TRIM(F5228),4)),"")</f>
        <v>2018</v>
      </c>
      <c r="L5228" s="7" t="str">
        <f aca="false">IF(TRIM(E5228)="","Unknown",IFERROR(LEFT(TRIM(E5228),FIND(",",TRIM(E5228))-1),TRIM(E5228)))</f>
        <v>Turkey</v>
      </c>
      <c r="M5228" s="7" t="str">
        <f aca="false">IFERROR(LEFT(J5228,FIND(",",J5228)-1),J5228)</f>
        <v>Dramas</v>
      </c>
      <c r="N5228" s="7" t="n">
        <f aca="false">IF(B5228="Movie",IFERROR(VALUE(LEFT(I5228,FIND(" ",I5228)-1)),""),"")</f>
        <v>109</v>
      </c>
      <c r="O5228" s="7" t="str">
        <f aca="false">IF(B5228="TV Show",IFERROR(VALUE(LEFT(I5228,FIND(" ",I5228)-1)),""),"")</f>
        <v/>
      </c>
      <c r="P5228" s="7" t="n">
        <f aca="false">IF(K5228="","",K5228-G5228)</f>
        <v>2</v>
      </c>
    </row>
    <row r="5229" customFormat="false" ht="15" hidden="false" customHeight="false" outlineLevel="0" collapsed="false">
      <c r="A5229" s="7" t="n">
        <v>80227116</v>
      </c>
      <c r="B5229" s="7" t="s">
        <v>68</v>
      </c>
      <c r="C5229" s="7" t="s">
        <v>10500</v>
      </c>
      <c r="D5229" s="7" t="s">
        <v>819</v>
      </c>
      <c r="E5229" s="7" t="s">
        <v>396</v>
      </c>
      <c r="F5229" s="7" t="s">
        <v>10495</v>
      </c>
      <c r="G5229" s="7" t="n">
        <v>2016</v>
      </c>
      <c r="H5229" s="7" t="s">
        <v>49</v>
      </c>
      <c r="I5229" s="7" t="s">
        <v>417</v>
      </c>
      <c r="J5229" s="7" t="s">
        <v>457</v>
      </c>
      <c r="K5229" s="7" t="n">
        <f aca="false">IFERROR(VALUE(RIGHT(TRIM(F5229),4)),"")</f>
        <v>2018</v>
      </c>
      <c r="L5229" s="7" t="str">
        <f aca="false">IF(TRIM(E5229)="","Unknown",IFERROR(LEFT(TRIM(E5229),FIND(",",TRIM(E5229))-1),TRIM(E5229)))</f>
        <v>Turkey</v>
      </c>
      <c r="M5229" s="7" t="str">
        <f aca="false">IFERROR(LEFT(J5229,FIND(",",J5229)-1),J5229)</f>
        <v>Comedies</v>
      </c>
      <c r="N5229" s="7" t="n">
        <f aca="false">IF(B5229="Movie",IFERROR(VALUE(LEFT(I5229,FIND(" ",I5229)-1)),""),"")</f>
        <v>104</v>
      </c>
      <c r="O5229" s="7" t="str">
        <f aca="false">IF(B5229="TV Show",IFERROR(VALUE(LEFT(I5229,FIND(" ",I5229)-1)),""),"")</f>
        <v/>
      </c>
      <c r="P5229" s="7" t="n">
        <f aca="false">IF(K5229="","",K5229-G5229)</f>
        <v>2</v>
      </c>
    </row>
    <row r="5230" customFormat="false" ht="15" hidden="false" customHeight="false" outlineLevel="0" collapsed="false">
      <c r="A5230" s="7" t="n">
        <v>80227119</v>
      </c>
      <c r="B5230" s="7" t="s">
        <v>68</v>
      </c>
      <c r="C5230" s="7" t="s">
        <v>10501</v>
      </c>
      <c r="D5230" s="7" t="s">
        <v>10502</v>
      </c>
      <c r="E5230" s="7" t="s">
        <v>396</v>
      </c>
      <c r="F5230" s="7" t="s">
        <v>10495</v>
      </c>
      <c r="G5230" s="7" t="n">
        <v>2014</v>
      </c>
      <c r="H5230" s="7" t="s">
        <v>49</v>
      </c>
      <c r="I5230" s="7" t="s">
        <v>111</v>
      </c>
      <c r="J5230" s="7" t="s">
        <v>206</v>
      </c>
      <c r="K5230" s="7" t="n">
        <f aca="false">IFERROR(VALUE(RIGHT(TRIM(F5230),4)),"")</f>
        <v>2018</v>
      </c>
      <c r="L5230" s="7" t="str">
        <f aca="false">IF(TRIM(E5230)="","Unknown",IFERROR(LEFT(TRIM(E5230),FIND(",",TRIM(E5230))-1),TRIM(E5230)))</f>
        <v>Turkey</v>
      </c>
      <c r="M5230" s="7" t="str">
        <f aca="false">IFERROR(LEFT(J5230,FIND(",",J5230)-1),J5230)</f>
        <v>Comedies</v>
      </c>
      <c r="N5230" s="7" t="n">
        <f aca="false">IF(B5230="Movie",IFERROR(VALUE(LEFT(I5230,FIND(" ",I5230)-1)),""),"")</f>
        <v>95</v>
      </c>
      <c r="O5230" s="7" t="str">
        <f aca="false">IF(B5230="TV Show",IFERROR(VALUE(LEFT(I5230,FIND(" ",I5230)-1)),""),"")</f>
        <v/>
      </c>
      <c r="P5230" s="7" t="n">
        <f aca="false">IF(K5230="","",K5230-G5230)</f>
        <v>4</v>
      </c>
    </row>
    <row r="5231" customFormat="false" ht="15" hidden="false" customHeight="false" outlineLevel="0" collapsed="false">
      <c r="A5231" s="7" t="n">
        <v>80227117</v>
      </c>
      <c r="B5231" s="7" t="s">
        <v>68</v>
      </c>
      <c r="C5231" s="7" t="s">
        <v>10503</v>
      </c>
      <c r="E5231" s="7" t="s">
        <v>10504</v>
      </c>
      <c r="F5231" s="7" t="s">
        <v>10495</v>
      </c>
      <c r="G5231" s="7" t="n">
        <v>2017</v>
      </c>
      <c r="H5231" s="7" t="s">
        <v>48</v>
      </c>
      <c r="I5231" s="7" t="s">
        <v>93</v>
      </c>
      <c r="J5231" s="7" t="s">
        <v>188</v>
      </c>
      <c r="K5231" s="7" t="n">
        <f aca="false">IFERROR(VALUE(RIGHT(TRIM(F5231),4)),"")</f>
        <v>2018</v>
      </c>
      <c r="L5231" s="7" t="str">
        <f aca="false">IF(TRIM(E5231)="","Unknown",IFERROR(LEFT(TRIM(E5231),FIND(",",TRIM(E5231))-1),TRIM(E5231)))</f>
        <v>Italy</v>
      </c>
      <c r="M5231" s="7" t="str">
        <f aca="false">IFERROR(LEFT(J5231,FIND(",",J5231)-1),J5231)</f>
        <v>Dramas</v>
      </c>
      <c r="N5231" s="7" t="n">
        <f aca="false">IF(B5231="Movie",IFERROR(VALUE(LEFT(I5231,FIND(" ",I5231)-1)),""),"")</f>
        <v>110</v>
      </c>
      <c r="O5231" s="7" t="str">
        <f aca="false">IF(B5231="TV Show",IFERROR(VALUE(LEFT(I5231,FIND(" ",I5231)-1)),""),"")</f>
        <v/>
      </c>
      <c r="P5231" s="7" t="n">
        <f aca="false">IF(K5231="","",K5231-G5231)</f>
        <v>1</v>
      </c>
    </row>
    <row r="5232" customFormat="false" ht="15" hidden="false" customHeight="false" outlineLevel="0" collapsed="false">
      <c r="A5232" s="7" t="n">
        <v>80227114</v>
      </c>
      <c r="B5232" s="7" t="s">
        <v>68</v>
      </c>
      <c r="C5232" s="7" t="s">
        <v>10505</v>
      </c>
      <c r="D5232" s="7" t="s">
        <v>571</v>
      </c>
      <c r="E5232" s="7" t="s">
        <v>396</v>
      </c>
      <c r="F5232" s="7" t="s">
        <v>10495</v>
      </c>
      <c r="G5232" s="7" t="n">
        <v>2016</v>
      </c>
      <c r="H5232" s="7" t="s">
        <v>49</v>
      </c>
      <c r="I5232" s="7" t="s">
        <v>205</v>
      </c>
      <c r="J5232" s="7" t="s">
        <v>202</v>
      </c>
      <c r="K5232" s="7" t="n">
        <f aca="false">IFERROR(VALUE(RIGHT(TRIM(F5232),4)),"")</f>
        <v>2018</v>
      </c>
      <c r="L5232" s="7" t="str">
        <f aca="false">IF(TRIM(E5232)="","Unknown",IFERROR(LEFT(TRIM(E5232),FIND(",",TRIM(E5232))-1),TRIM(E5232)))</f>
        <v>Turkey</v>
      </c>
      <c r="M5232" s="7" t="str">
        <f aca="false">IFERROR(LEFT(J5232,FIND(",",J5232)-1),J5232)</f>
        <v>Comedies</v>
      </c>
      <c r="N5232" s="7" t="n">
        <f aca="false">IF(B5232="Movie",IFERROR(VALUE(LEFT(I5232,FIND(" ",I5232)-1)),""),"")</f>
        <v>100</v>
      </c>
      <c r="O5232" s="7" t="str">
        <f aca="false">IF(B5232="TV Show",IFERROR(VALUE(LEFT(I5232,FIND(" ",I5232)-1)),""),"")</f>
        <v/>
      </c>
      <c r="P5232" s="7" t="n">
        <f aca="false">IF(K5232="","",K5232-G5232)</f>
        <v>2</v>
      </c>
    </row>
    <row r="5233" customFormat="false" ht="15" hidden="false" customHeight="false" outlineLevel="0" collapsed="false">
      <c r="A5233" s="7" t="n">
        <v>80194610</v>
      </c>
      <c r="B5233" s="7" t="s">
        <v>68</v>
      </c>
      <c r="C5233" s="7" t="s">
        <v>10506</v>
      </c>
      <c r="D5233" s="7" t="s">
        <v>10507</v>
      </c>
      <c r="E5233" s="7" t="s">
        <v>2788</v>
      </c>
      <c r="F5233" s="7" t="s">
        <v>10495</v>
      </c>
      <c r="G5233" s="7" t="n">
        <v>2017</v>
      </c>
      <c r="H5233" s="7" t="s">
        <v>54</v>
      </c>
      <c r="I5233" s="7" t="s">
        <v>272</v>
      </c>
      <c r="J5233" s="7" t="s">
        <v>42</v>
      </c>
      <c r="K5233" s="7" t="n">
        <f aca="false">IFERROR(VALUE(RIGHT(TRIM(F5233),4)),"")</f>
        <v>2018</v>
      </c>
      <c r="L5233" s="7" t="str">
        <f aca="false">IF(TRIM(E5233)="","Unknown",IFERROR(LEFT(TRIM(E5233),FIND(",",TRIM(E5233))-1),TRIM(E5233)))</f>
        <v>Germany</v>
      </c>
      <c r="M5233" s="7" t="str">
        <f aca="false">IFERROR(LEFT(J5233,FIND(",",J5233)-1),J5233)</f>
        <v>Children &amp; Family Movies</v>
      </c>
      <c r="N5233" s="7" t="n">
        <f aca="false">IF(B5233="Movie",IFERROR(VALUE(LEFT(I5233,FIND(" ",I5233)-1)),""),"")</f>
        <v>93</v>
      </c>
      <c r="O5233" s="7" t="str">
        <f aca="false">IF(B5233="TV Show",IFERROR(VALUE(LEFT(I5233,FIND(" ",I5233)-1)),""),"")</f>
        <v/>
      </c>
      <c r="P5233" s="7" t="n">
        <f aca="false">IF(K5233="","",K5233-G5233)</f>
        <v>1</v>
      </c>
    </row>
    <row r="5234" customFormat="false" ht="15" hidden="false" customHeight="false" outlineLevel="0" collapsed="false">
      <c r="A5234" s="7" t="n">
        <v>80038443</v>
      </c>
      <c r="B5234" s="7" t="s">
        <v>68</v>
      </c>
      <c r="C5234" s="7" t="s">
        <v>10508</v>
      </c>
      <c r="D5234" s="7" t="s">
        <v>1683</v>
      </c>
      <c r="E5234" s="7" t="s">
        <v>396</v>
      </c>
      <c r="F5234" s="7" t="s">
        <v>10495</v>
      </c>
      <c r="G5234" s="7" t="n">
        <v>2005</v>
      </c>
      <c r="H5234" s="7" t="s">
        <v>49</v>
      </c>
      <c r="I5234" s="7" t="s">
        <v>417</v>
      </c>
      <c r="J5234" s="7" t="s">
        <v>139</v>
      </c>
      <c r="K5234" s="7" t="n">
        <f aca="false">IFERROR(VALUE(RIGHT(TRIM(F5234),4)),"")</f>
        <v>2018</v>
      </c>
      <c r="L5234" s="7" t="str">
        <f aca="false">IF(TRIM(E5234)="","Unknown",IFERROR(LEFT(TRIM(E5234),FIND(",",TRIM(E5234))-1),TRIM(E5234)))</f>
        <v>Turkey</v>
      </c>
      <c r="M5234" s="7" t="str">
        <f aca="false">IFERROR(LEFT(J5234,FIND(",",J5234)-1),J5234)</f>
        <v>Action &amp; Adventure</v>
      </c>
      <c r="N5234" s="7" t="n">
        <f aca="false">IF(B5234="Movie",IFERROR(VALUE(LEFT(I5234,FIND(" ",I5234)-1)),""),"")</f>
        <v>104</v>
      </c>
      <c r="O5234" s="7" t="str">
        <f aca="false">IF(B5234="TV Show",IFERROR(VALUE(LEFT(I5234,FIND(" ",I5234)-1)),""),"")</f>
        <v/>
      </c>
      <c r="P5234" s="7" t="n">
        <f aca="false">IF(K5234="","",K5234-G5234)</f>
        <v>13</v>
      </c>
    </row>
    <row r="5235" customFormat="false" ht="15" hidden="false" customHeight="false" outlineLevel="0" collapsed="false">
      <c r="A5235" s="7" t="n">
        <v>80231065</v>
      </c>
      <c r="B5235" s="7" t="s">
        <v>68</v>
      </c>
      <c r="C5235" s="7" t="s">
        <v>10509</v>
      </c>
      <c r="D5235" s="7" t="s">
        <v>10494</v>
      </c>
      <c r="E5235" s="7" t="s">
        <v>396</v>
      </c>
      <c r="F5235" s="7" t="s">
        <v>10495</v>
      </c>
      <c r="G5235" s="7" t="n">
        <v>2014</v>
      </c>
      <c r="H5235" s="7" t="s">
        <v>48</v>
      </c>
      <c r="I5235" s="7" t="s">
        <v>2192</v>
      </c>
      <c r="J5235" s="7" t="s">
        <v>202</v>
      </c>
      <c r="K5235" s="7" t="n">
        <f aca="false">IFERROR(VALUE(RIGHT(TRIM(F5235),4)),"")</f>
        <v>2018</v>
      </c>
      <c r="L5235" s="7" t="str">
        <f aca="false">IF(TRIM(E5235)="","Unknown",IFERROR(LEFT(TRIM(E5235),FIND(",",TRIM(E5235))-1),TRIM(E5235)))</f>
        <v>Turkey</v>
      </c>
      <c r="M5235" s="7" t="str">
        <f aca="false">IFERROR(LEFT(J5235,FIND(",",J5235)-1),J5235)</f>
        <v>Comedies</v>
      </c>
      <c r="N5235" s="7" t="n">
        <f aca="false">IF(B5235="Movie",IFERROR(VALUE(LEFT(I5235,FIND(" ",I5235)-1)),""),"")</f>
        <v>134</v>
      </c>
      <c r="O5235" s="7" t="str">
        <f aca="false">IF(B5235="TV Show",IFERROR(VALUE(LEFT(I5235,FIND(" ",I5235)-1)),""),"")</f>
        <v/>
      </c>
      <c r="P5235" s="7" t="n">
        <f aca="false">IF(K5235="","",K5235-G5235)</f>
        <v>4</v>
      </c>
    </row>
    <row r="5236" customFormat="false" ht="15" hidden="false" customHeight="false" outlineLevel="0" collapsed="false">
      <c r="A5236" s="7" t="n">
        <v>80161109</v>
      </c>
      <c r="B5236" s="7" t="s">
        <v>68</v>
      </c>
      <c r="C5236" s="7" t="s">
        <v>10510</v>
      </c>
      <c r="D5236" s="7" t="s">
        <v>684</v>
      </c>
      <c r="E5236" s="7" t="s">
        <v>26</v>
      </c>
      <c r="F5236" s="7" t="s">
        <v>10511</v>
      </c>
      <c r="G5236" s="7" t="n">
        <v>2017</v>
      </c>
      <c r="I5236" s="7" t="s">
        <v>1221</v>
      </c>
      <c r="J5236" s="7" t="s">
        <v>10</v>
      </c>
      <c r="K5236" s="7" t="n">
        <f aca="false">IFERROR(VALUE(RIGHT(TRIM(F5236),4)),"")</f>
        <v>2017</v>
      </c>
      <c r="L5236" s="7" t="str">
        <f aca="false">IF(TRIM(E5236)="","Unknown",IFERROR(LEFT(TRIM(E5236),FIND(",",TRIM(E5236))-1),TRIM(E5236)))</f>
        <v>United States</v>
      </c>
      <c r="M5236" s="7" t="str">
        <f aca="false">IFERROR(LEFT(J5236,FIND(",",J5236)-1),J5236)</f>
        <v>Movies</v>
      </c>
      <c r="N5236" s="7" t="n">
        <f aca="false">IF(B5236="Movie",IFERROR(VALUE(LEFT(I5236,FIND(" ",I5236)-1)),""),"")</f>
        <v>74</v>
      </c>
      <c r="O5236" s="7" t="str">
        <f aca="false">IF(B5236="TV Show",IFERROR(VALUE(LEFT(I5236,FIND(" ",I5236)-1)),""),"")</f>
        <v/>
      </c>
      <c r="P5236" s="7" t="n">
        <f aca="false">IF(K5236="","",K5236-G5236)</f>
        <v>0</v>
      </c>
    </row>
    <row r="5237" customFormat="false" ht="15" hidden="false" customHeight="false" outlineLevel="0" collapsed="false">
      <c r="A5237" s="7" t="n">
        <v>81029737</v>
      </c>
      <c r="B5237" s="7" t="s">
        <v>68</v>
      </c>
      <c r="C5237" s="7" t="s">
        <v>10512</v>
      </c>
      <c r="D5237" s="7" t="s">
        <v>10086</v>
      </c>
      <c r="E5237" s="7" t="s">
        <v>411</v>
      </c>
      <c r="F5237" s="7" t="s">
        <v>10513</v>
      </c>
      <c r="G5237" s="7" t="n">
        <v>2019</v>
      </c>
      <c r="H5237" s="7" t="s">
        <v>48</v>
      </c>
      <c r="I5237" s="7" t="s">
        <v>311</v>
      </c>
      <c r="J5237" s="7" t="s">
        <v>202</v>
      </c>
      <c r="K5237" s="7" t="n">
        <f aca="false">IFERROR(VALUE(RIGHT(TRIM(F5237),4)),"")</f>
        <v>2019</v>
      </c>
      <c r="L5237" s="7" t="str">
        <f aca="false">IF(TRIM(E5237)="","Unknown",IFERROR(LEFT(TRIM(E5237),FIND(",",TRIM(E5237))-1),TRIM(E5237)))</f>
        <v>Hong Kong</v>
      </c>
      <c r="M5237" s="7" t="str">
        <f aca="false">IFERROR(LEFT(J5237,FIND(",",J5237)-1),J5237)</f>
        <v>Comedies</v>
      </c>
      <c r="N5237" s="7" t="n">
        <f aca="false">IF(B5237="Movie",IFERROR(VALUE(LEFT(I5237,FIND(" ",I5237)-1)),""),"")</f>
        <v>92</v>
      </c>
      <c r="O5237" s="7" t="str">
        <f aca="false">IF(B5237="TV Show",IFERROR(VALUE(LEFT(I5237,FIND(" ",I5237)-1)),""),"")</f>
        <v/>
      </c>
      <c r="P5237" s="7" t="n">
        <f aca="false">IF(K5237="","",K5237-G5237)</f>
        <v>0</v>
      </c>
    </row>
    <row r="5238" customFormat="false" ht="15" hidden="false" customHeight="false" outlineLevel="0" collapsed="false">
      <c r="A5238" s="7" t="n">
        <v>81072852</v>
      </c>
      <c r="B5238" s="7" t="s">
        <v>78</v>
      </c>
      <c r="C5238" s="7" t="s">
        <v>10514</v>
      </c>
      <c r="E5238" s="7" t="s">
        <v>970</v>
      </c>
      <c r="F5238" s="7" t="s">
        <v>10513</v>
      </c>
      <c r="G5238" s="7" t="n">
        <v>2014</v>
      </c>
      <c r="H5238" s="7" t="s">
        <v>49</v>
      </c>
      <c r="I5238" s="7" t="s">
        <v>82</v>
      </c>
      <c r="J5238" s="7" t="s">
        <v>3116</v>
      </c>
      <c r="K5238" s="7" t="n">
        <f aca="false">IFERROR(VALUE(RIGHT(TRIM(F5238),4)),"")</f>
        <v>2019</v>
      </c>
      <c r="L5238" s="7" t="str">
        <f aca="false">IF(TRIM(E5238)="","Unknown",IFERROR(LEFT(TRIM(E5238),FIND(",",TRIM(E5238))-1),TRIM(E5238)))</f>
        <v>Taiwan</v>
      </c>
      <c r="M5238" s="7" t="str">
        <f aca="false">IFERROR(LEFT(J5238,FIND(",",J5238)-1),J5238)</f>
        <v>International TV Shows</v>
      </c>
      <c r="N5238" s="7" t="str">
        <f aca="false">IF(B5238="Movie",IFERROR(VALUE(LEFT(I5238,FIND(" ",I5238)-1)),""),"")</f>
        <v/>
      </c>
      <c r="O5238" s="7" t="n">
        <f aca="false">IF(B5238="TV Show",IFERROR(VALUE(LEFT(I5238,FIND(" ",I5238)-1)),""),"")</f>
        <v>1</v>
      </c>
      <c r="P5238" s="7" t="n">
        <f aca="false">IF(K5238="","",K5238-G5238)</f>
        <v>5</v>
      </c>
    </row>
    <row r="5239" customFormat="false" ht="15" hidden="false" customHeight="false" outlineLevel="0" collapsed="false">
      <c r="A5239" s="7" t="n">
        <v>80227677</v>
      </c>
      <c r="B5239" s="7" t="s">
        <v>68</v>
      </c>
      <c r="C5239" s="7" t="s">
        <v>10515</v>
      </c>
      <c r="D5239" s="7" t="s">
        <v>2518</v>
      </c>
      <c r="E5239" s="7" t="s">
        <v>26</v>
      </c>
      <c r="F5239" s="7" t="s">
        <v>10513</v>
      </c>
      <c r="G5239" s="7" t="n">
        <v>2019</v>
      </c>
      <c r="H5239" s="7" t="s">
        <v>48</v>
      </c>
      <c r="I5239" s="7" t="s">
        <v>286</v>
      </c>
      <c r="J5239" s="7" t="s">
        <v>45</v>
      </c>
      <c r="K5239" s="7" t="n">
        <f aca="false">IFERROR(VALUE(RIGHT(TRIM(F5239),4)),"")</f>
        <v>2019</v>
      </c>
      <c r="L5239" s="7" t="str">
        <f aca="false">IF(TRIM(E5239)="","Unknown",IFERROR(LEFT(TRIM(E5239),FIND(",",TRIM(E5239))-1),TRIM(E5239)))</f>
        <v>United States</v>
      </c>
      <c r="M5239" s="7" t="str">
        <f aca="false">IFERROR(LEFT(J5239,FIND(",",J5239)-1),J5239)</f>
        <v>Stand-Up Comedy</v>
      </c>
      <c r="N5239" s="7" t="n">
        <f aca="false">IF(B5239="Movie",IFERROR(VALUE(LEFT(I5239,FIND(" ",I5239)-1)),""),"")</f>
        <v>64</v>
      </c>
      <c r="O5239" s="7" t="str">
        <f aca="false">IF(B5239="TV Show",IFERROR(VALUE(LEFT(I5239,FIND(" ",I5239)-1)),""),"")</f>
        <v/>
      </c>
      <c r="P5239" s="7" t="n">
        <f aca="false">IF(K5239="","",K5239-G5239)</f>
        <v>0</v>
      </c>
    </row>
    <row r="5240" customFormat="false" ht="15" hidden="false" customHeight="false" outlineLevel="0" collapsed="false">
      <c r="A5240" s="7" t="n">
        <v>81050394</v>
      </c>
      <c r="B5240" s="7" t="s">
        <v>78</v>
      </c>
      <c r="C5240" s="7" t="s">
        <v>10516</v>
      </c>
      <c r="E5240" s="7" t="s">
        <v>411</v>
      </c>
      <c r="F5240" s="7" t="s">
        <v>10513</v>
      </c>
      <c r="G5240" s="7" t="n">
        <v>2018</v>
      </c>
      <c r="H5240" s="7" t="s">
        <v>48</v>
      </c>
      <c r="I5240" s="7" t="s">
        <v>82</v>
      </c>
      <c r="J5240" s="7" t="s">
        <v>335</v>
      </c>
      <c r="K5240" s="7" t="n">
        <f aca="false">IFERROR(VALUE(RIGHT(TRIM(F5240),4)),"")</f>
        <v>2019</v>
      </c>
      <c r="L5240" s="7" t="str">
        <f aca="false">IF(TRIM(E5240)="","Unknown",IFERROR(LEFT(TRIM(E5240),FIND(",",TRIM(E5240))-1),TRIM(E5240)))</f>
        <v>Hong Kong</v>
      </c>
      <c r="M5240" s="7" t="str">
        <f aca="false">IFERROR(LEFT(J5240,FIND(",",J5240)-1),J5240)</f>
        <v>International TV Shows</v>
      </c>
      <c r="N5240" s="7" t="str">
        <f aca="false">IF(B5240="Movie",IFERROR(VALUE(LEFT(I5240,FIND(" ",I5240)-1)),""),"")</f>
        <v/>
      </c>
      <c r="O5240" s="7" t="n">
        <f aca="false">IF(B5240="TV Show",IFERROR(VALUE(LEFT(I5240,FIND(" ",I5240)-1)),""),"")</f>
        <v>1</v>
      </c>
      <c r="P5240" s="7" t="n">
        <f aca="false">IF(K5240="","",K5240-G5240)</f>
        <v>1</v>
      </c>
    </row>
    <row r="5241" customFormat="false" ht="15" hidden="false" customHeight="false" outlineLevel="0" collapsed="false">
      <c r="A5241" s="7" t="n">
        <v>80992853</v>
      </c>
      <c r="B5241" s="7" t="s">
        <v>78</v>
      </c>
      <c r="C5241" s="7" t="s">
        <v>10517</v>
      </c>
      <c r="E5241" s="7" t="s">
        <v>30</v>
      </c>
      <c r="F5241" s="7" t="s">
        <v>10513</v>
      </c>
      <c r="G5241" s="7" t="n">
        <v>2018</v>
      </c>
      <c r="H5241" s="7" t="s">
        <v>48</v>
      </c>
      <c r="I5241" s="7" t="s">
        <v>82</v>
      </c>
      <c r="J5241" s="7" t="s">
        <v>1850</v>
      </c>
      <c r="K5241" s="7" t="n">
        <f aca="false">IFERROR(VALUE(RIGHT(TRIM(F5241),4)),"")</f>
        <v>2019</v>
      </c>
      <c r="L5241" s="7" t="str">
        <f aca="false">IF(TRIM(E5241)="","Unknown",IFERROR(LEFT(TRIM(E5241),FIND(",",TRIM(E5241))-1),TRIM(E5241)))</f>
        <v>Japan</v>
      </c>
      <c r="M5241" s="7" t="str">
        <f aca="false">IFERROR(LEFT(J5241,FIND(",",J5241)-1),J5241)</f>
        <v>Anime Series</v>
      </c>
      <c r="N5241" s="7" t="str">
        <f aca="false">IF(B5241="Movie",IFERROR(VALUE(LEFT(I5241,FIND(" ",I5241)-1)),""),"")</f>
        <v/>
      </c>
      <c r="O5241" s="7" t="n">
        <f aca="false">IF(B5241="TV Show",IFERROR(VALUE(LEFT(I5241,FIND(" ",I5241)-1)),""),"")</f>
        <v>1</v>
      </c>
      <c r="P5241" s="7" t="n">
        <f aca="false">IF(K5241="","",K5241-G5241)</f>
        <v>1</v>
      </c>
    </row>
    <row r="5242" customFormat="false" ht="15" hidden="false" customHeight="false" outlineLevel="0" collapsed="false">
      <c r="A5242" s="7" t="n">
        <v>81072951</v>
      </c>
      <c r="B5242" s="7" t="s">
        <v>78</v>
      </c>
      <c r="C5242" s="7" t="s">
        <v>10518</v>
      </c>
      <c r="E5242" s="7" t="s">
        <v>970</v>
      </c>
      <c r="F5242" s="7" t="s">
        <v>10513</v>
      </c>
      <c r="G5242" s="7" t="n">
        <v>2013</v>
      </c>
      <c r="H5242" s="7" t="s">
        <v>49</v>
      </c>
      <c r="I5242" s="7" t="s">
        <v>82</v>
      </c>
      <c r="J5242" s="7" t="s">
        <v>335</v>
      </c>
      <c r="K5242" s="7" t="n">
        <f aca="false">IFERROR(VALUE(RIGHT(TRIM(F5242),4)),"")</f>
        <v>2019</v>
      </c>
      <c r="L5242" s="7" t="str">
        <f aca="false">IF(TRIM(E5242)="","Unknown",IFERROR(LEFT(TRIM(E5242),FIND(",",TRIM(E5242))-1),TRIM(E5242)))</f>
        <v>Taiwan</v>
      </c>
      <c r="M5242" s="7" t="str">
        <f aca="false">IFERROR(LEFT(J5242,FIND(",",J5242)-1),J5242)</f>
        <v>International TV Shows</v>
      </c>
      <c r="N5242" s="7" t="str">
        <f aca="false">IF(B5242="Movie",IFERROR(VALUE(LEFT(I5242,FIND(" ",I5242)-1)),""),"")</f>
        <v/>
      </c>
      <c r="O5242" s="7" t="n">
        <f aca="false">IF(B5242="TV Show",IFERROR(VALUE(LEFT(I5242,FIND(" ",I5242)-1)),""),"")</f>
        <v>1</v>
      </c>
      <c r="P5242" s="7" t="n">
        <f aca="false">IF(K5242="","",K5242-G5242)</f>
        <v>6</v>
      </c>
    </row>
    <row r="5243" customFormat="false" ht="15" hidden="false" customHeight="false" outlineLevel="0" collapsed="false">
      <c r="A5243" s="7" t="n">
        <v>81072752</v>
      </c>
      <c r="B5243" s="7" t="s">
        <v>78</v>
      </c>
      <c r="C5243" s="7" t="s">
        <v>10519</v>
      </c>
      <c r="E5243" s="7" t="s">
        <v>970</v>
      </c>
      <c r="F5243" s="7" t="s">
        <v>10513</v>
      </c>
      <c r="G5243" s="7" t="n">
        <v>2009</v>
      </c>
      <c r="H5243" s="7" t="s">
        <v>49</v>
      </c>
      <c r="I5243" s="7" t="s">
        <v>82</v>
      </c>
      <c r="J5243" s="7" t="s">
        <v>2687</v>
      </c>
      <c r="K5243" s="7" t="n">
        <f aca="false">IFERROR(VALUE(RIGHT(TRIM(F5243),4)),"")</f>
        <v>2019</v>
      </c>
      <c r="L5243" s="7" t="str">
        <f aca="false">IF(TRIM(E5243)="","Unknown",IFERROR(LEFT(TRIM(E5243),FIND(",",TRIM(E5243))-1),TRIM(E5243)))</f>
        <v>Taiwan</v>
      </c>
      <c r="M5243" s="7" t="str">
        <f aca="false">IFERROR(LEFT(J5243,FIND(",",J5243)-1),J5243)</f>
        <v>International TV Shows</v>
      </c>
      <c r="N5243" s="7" t="str">
        <f aca="false">IF(B5243="Movie",IFERROR(VALUE(LEFT(I5243,FIND(" ",I5243)-1)),""),"")</f>
        <v/>
      </c>
      <c r="O5243" s="7" t="n">
        <f aca="false">IF(B5243="TV Show",IFERROR(VALUE(LEFT(I5243,FIND(" ",I5243)-1)),""),"")</f>
        <v>1</v>
      </c>
      <c r="P5243" s="7" t="n">
        <f aca="false">IF(K5243="","",K5243-G5243)</f>
        <v>10</v>
      </c>
    </row>
    <row r="5244" customFormat="false" ht="15" hidden="false" customHeight="false" outlineLevel="0" collapsed="false">
      <c r="A5244" s="7" t="n">
        <v>81072919</v>
      </c>
      <c r="B5244" s="7" t="s">
        <v>78</v>
      </c>
      <c r="C5244" s="7" t="s">
        <v>10520</v>
      </c>
      <c r="E5244" s="7" t="s">
        <v>970</v>
      </c>
      <c r="F5244" s="7" t="s">
        <v>10513</v>
      </c>
      <c r="G5244" s="7" t="n">
        <v>2012</v>
      </c>
      <c r="H5244" s="7" t="s">
        <v>49</v>
      </c>
      <c r="I5244" s="7" t="s">
        <v>82</v>
      </c>
      <c r="J5244" s="7" t="s">
        <v>335</v>
      </c>
      <c r="K5244" s="7" t="n">
        <f aca="false">IFERROR(VALUE(RIGHT(TRIM(F5244),4)),"")</f>
        <v>2019</v>
      </c>
      <c r="L5244" s="7" t="str">
        <f aca="false">IF(TRIM(E5244)="","Unknown",IFERROR(LEFT(TRIM(E5244),FIND(",",TRIM(E5244))-1),TRIM(E5244)))</f>
        <v>Taiwan</v>
      </c>
      <c r="M5244" s="7" t="str">
        <f aca="false">IFERROR(LEFT(J5244,FIND(",",J5244)-1),J5244)</f>
        <v>International TV Shows</v>
      </c>
      <c r="N5244" s="7" t="str">
        <f aca="false">IF(B5244="Movie",IFERROR(VALUE(LEFT(I5244,FIND(" ",I5244)-1)),""),"")</f>
        <v/>
      </c>
      <c r="O5244" s="7" t="n">
        <f aca="false">IF(B5244="TV Show",IFERROR(VALUE(LEFT(I5244,FIND(" ",I5244)-1)),""),"")</f>
        <v>1</v>
      </c>
      <c r="P5244" s="7" t="n">
        <f aca="false">IF(K5244="","",K5244-G5244)</f>
        <v>7</v>
      </c>
    </row>
    <row r="5245" customFormat="false" ht="15" hidden="false" customHeight="false" outlineLevel="0" collapsed="false">
      <c r="A5245" s="7" t="n">
        <v>81092327</v>
      </c>
      <c r="B5245" s="7" t="s">
        <v>68</v>
      </c>
      <c r="C5245" s="7" t="s">
        <v>10521</v>
      </c>
      <c r="D5245" s="7" t="s">
        <v>10522</v>
      </c>
      <c r="E5245" s="7" t="s">
        <v>29</v>
      </c>
      <c r="F5245" s="7" t="s">
        <v>10513</v>
      </c>
      <c r="G5245" s="7" t="n">
        <v>2017</v>
      </c>
      <c r="H5245" s="7" t="s">
        <v>48</v>
      </c>
      <c r="I5245" s="7" t="s">
        <v>348</v>
      </c>
      <c r="J5245" s="7" t="s">
        <v>39</v>
      </c>
      <c r="K5245" s="7" t="n">
        <f aca="false">IFERROR(VALUE(RIGHT(TRIM(F5245),4)),"")</f>
        <v>2019</v>
      </c>
      <c r="L5245" s="7" t="str">
        <f aca="false">IF(TRIM(E5245)="","Unknown",IFERROR(LEFT(TRIM(E5245),FIND(",",TRIM(E5245))-1),TRIM(E5245)))</f>
        <v>Canada</v>
      </c>
      <c r="M5245" s="7" t="str">
        <f aca="false">IFERROR(LEFT(J5245,FIND(",",J5245)-1),J5245)</f>
        <v>Documentaries</v>
      </c>
      <c r="N5245" s="7" t="n">
        <f aca="false">IF(B5245="Movie",IFERROR(VALUE(LEFT(I5245,FIND(" ",I5245)-1)),""),"")</f>
        <v>72</v>
      </c>
      <c r="O5245" s="7" t="str">
        <f aca="false">IF(B5245="TV Show",IFERROR(VALUE(LEFT(I5245,FIND(" ",I5245)-1)),""),"")</f>
        <v/>
      </c>
      <c r="P5245" s="7" t="n">
        <f aca="false">IF(K5245="","",K5245-G5245)</f>
        <v>2</v>
      </c>
    </row>
    <row r="5246" customFormat="false" ht="15" hidden="false" customHeight="false" outlineLevel="0" collapsed="false">
      <c r="A5246" s="7" t="n">
        <v>81072883</v>
      </c>
      <c r="B5246" s="7" t="s">
        <v>78</v>
      </c>
      <c r="C5246" s="7" t="s">
        <v>10523</v>
      </c>
      <c r="E5246" s="7" t="s">
        <v>970</v>
      </c>
      <c r="F5246" s="7" t="s">
        <v>10513</v>
      </c>
      <c r="G5246" s="7" t="n">
        <v>2004</v>
      </c>
      <c r="H5246" s="7" t="s">
        <v>48</v>
      </c>
      <c r="I5246" s="7" t="s">
        <v>82</v>
      </c>
      <c r="J5246" s="7" t="s">
        <v>5918</v>
      </c>
      <c r="K5246" s="7" t="n">
        <f aca="false">IFERROR(VALUE(RIGHT(TRIM(F5246),4)),"")</f>
        <v>2019</v>
      </c>
      <c r="L5246" s="7" t="str">
        <f aca="false">IF(TRIM(E5246)="","Unknown",IFERROR(LEFT(TRIM(E5246),FIND(",",TRIM(E5246))-1),TRIM(E5246)))</f>
        <v>Taiwan</v>
      </c>
      <c r="M5246" s="7" t="str">
        <f aca="false">IFERROR(LEFT(J5246,FIND(",",J5246)-1),J5246)</f>
        <v>Crime TV Shows</v>
      </c>
      <c r="N5246" s="7" t="str">
        <f aca="false">IF(B5246="Movie",IFERROR(VALUE(LEFT(I5246,FIND(" ",I5246)-1)),""),"")</f>
        <v/>
      </c>
      <c r="O5246" s="7" t="n">
        <f aca="false">IF(B5246="TV Show",IFERROR(VALUE(LEFT(I5246,FIND(" ",I5246)-1)),""),"")</f>
        <v>1</v>
      </c>
      <c r="P5246" s="7" t="n">
        <f aca="false">IF(K5246="","",K5246-G5246)</f>
        <v>15</v>
      </c>
    </row>
    <row r="5247" customFormat="false" ht="15" hidden="false" customHeight="false" outlineLevel="0" collapsed="false">
      <c r="A5247" s="7" t="n">
        <v>80231066</v>
      </c>
      <c r="B5247" s="7" t="s">
        <v>68</v>
      </c>
      <c r="C5247" s="7" t="s">
        <v>10524</v>
      </c>
      <c r="D5247" s="7" t="s">
        <v>10525</v>
      </c>
      <c r="E5247" s="7" t="s">
        <v>396</v>
      </c>
      <c r="F5247" s="7" t="s">
        <v>10526</v>
      </c>
      <c r="G5247" s="7" t="n">
        <v>2005</v>
      </c>
      <c r="H5247" s="7" t="s">
        <v>49</v>
      </c>
      <c r="I5247" s="7" t="s">
        <v>168</v>
      </c>
      <c r="J5247" s="7" t="s">
        <v>304</v>
      </c>
      <c r="K5247" s="7" t="n">
        <f aca="false">IFERROR(VALUE(RIGHT(TRIM(F5247),4)),"")</f>
        <v>2018</v>
      </c>
      <c r="L5247" s="7" t="str">
        <f aca="false">IF(TRIM(E5247)="","Unknown",IFERROR(LEFT(TRIM(E5247),FIND(",",TRIM(E5247))-1),TRIM(E5247)))</f>
        <v>Turkey</v>
      </c>
      <c r="M5247" s="7" t="str">
        <f aca="false">IFERROR(LEFT(J5247,FIND(",",J5247)-1),J5247)</f>
        <v>Dramas</v>
      </c>
      <c r="N5247" s="7" t="n">
        <f aca="false">IF(B5247="Movie",IFERROR(VALUE(LEFT(I5247,FIND(" ",I5247)-1)),""),"")</f>
        <v>112</v>
      </c>
      <c r="O5247" s="7" t="str">
        <f aca="false">IF(B5247="TV Show",IFERROR(VALUE(LEFT(I5247,FIND(" ",I5247)-1)),""),"")</f>
        <v/>
      </c>
      <c r="P5247" s="7" t="n">
        <f aca="false">IF(K5247="","",K5247-G5247)</f>
        <v>13</v>
      </c>
    </row>
    <row r="5248" customFormat="false" ht="15" hidden="false" customHeight="false" outlineLevel="0" collapsed="false">
      <c r="A5248" s="7" t="n">
        <v>80217848</v>
      </c>
      <c r="B5248" s="7" t="s">
        <v>78</v>
      </c>
      <c r="C5248" s="7" t="s">
        <v>10527</v>
      </c>
      <c r="E5248" s="7" t="s">
        <v>10528</v>
      </c>
      <c r="F5248" s="7" t="s">
        <v>10526</v>
      </c>
      <c r="G5248" s="7" t="n">
        <v>2017</v>
      </c>
      <c r="H5248" s="7" t="s">
        <v>48</v>
      </c>
      <c r="I5248" s="7" t="s">
        <v>82</v>
      </c>
      <c r="J5248" s="7" t="s">
        <v>344</v>
      </c>
      <c r="K5248" s="7" t="n">
        <f aca="false">IFERROR(VALUE(RIGHT(TRIM(F5248),4)),"")</f>
        <v>2018</v>
      </c>
      <c r="L5248" s="7" t="str">
        <f aca="false">IF(TRIM(E5248)="","Unknown",IFERROR(LEFT(TRIM(E5248),FIND(",",TRIM(E5248))-1),TRIM(E5248)))</f>
        <v>Saudi Arabia</v>
      </c>
      <c r="M5248" s="7" t="str">
        <f aca="false">IFERROR(LEFT(J5248,FIND(",",J5248)-1),J5248)</f>
        <v>International TV Shows</v>
      </c>
      <c r="N5248" s="7" t="str">
        <f aca="false">IF(B5248="Movie",IFERROR(VALUE(LEFT(I5248,FIND(" ",I5248)-1)),""),"")</f>
        <v/>
      </c>
      <c r="O5248" s="7" t="n">
        <f aca="false">IF(B5248="TV Show",IFERROR(VALUE(LEFT(I5248,FIND(" ",I5248)-1)),""),"")</f>
        <v>1</v>
      </c>
      <c r="P5248" s="7" t="n">
        <f aca="false">IF(K5248="","",K5248-G5248)</f>
        <v>1</v>
      </c>
    </row>
    <row r="5249" customFormat="false" ht="15" hidden="false" customHeight="false" outlineLevel="0" collapsed="false">
      <c r="A5249" s="7" t="n">
        <v>80175333</v>
      </c>
      <c r="B5249" s="7" t="s">
        <v>68</v>
      </c>
      <c r="C5249" s="7" t="s">
        <v>10529</v>
      </c>
      <c r="D5249" s="7" t="s">
        <v>10530</v>
      </c>
      <c r="E5249" s="7" t="s">
        <v>27</v>
      </c>
      <c r="F5249" s="7" t="s">
        <v>10526</v>
      </c>
      <c r="G5249" s="7" t="n">
        <v>2017</v>
      </c>
      <c r="H5249" s="7" t="s">
        <v>49</v>
      </c>
      <c r="I5249" s="7" t="s">
        <v>1405</v>
      </c>
      <c r="J5249" s="7" t="s">
        <v>206</v>
      </c>
      <c r="K5249" s="7" t="n">
        <f aca="false">IFERROR(VALUE(RIGHT(TRIM(F5249),4)),"")</f>
        <v>2018</v>
      </c>
      <c r="L5249" s="7" t="str">
        <f aca="false">IF(TRIM(E5249)="","Unknown",IFERROR(LEFT(TRIM(E5249),FIND(",",TRIM(E5249))-1),TRIM(E5249)))</f>
        <v>India</v>
      </c>
      <c r="M5249" s="7" t="str">
        <f aca="false">IFERROR(LEFT(J5249,FIND(",",J5249)-1),J5249)</f>
        <v>Comedies</v>
      </c>
      <c r="N5249" s="7" t="n">
        <f aca="false">IF(B5249="Movie",IFERROR(VALUE(LEFT(I5249,FIND(" ",I5249)-1)),""),"")</f>
        <v>115</v>
      </c>
      <c r="O5249" s="7" t="str">
        <f aca="false">IF(B5249="TV Show",IFERROR(VALUE(LEFT(I5249,FIND(" ",I5249)-1)),""),"")</f>
        <v/>
      </c>
      <c r="P5249" s="7" t="n">
        <f aca="false">IF(K5249="","",K5249-G5249)</f>
        <v>1</v>
      </c>
    </row>
    <row r="5250" customFormat="false" ht="15" hidden="false" customHeight="false" outlineLevel="0" collapsed="false">
      <c r="A5250" s="7" t="n">
        <v>80198419</v>
      </c>
      <c r="B5250" s="7" t="s">
        <v>68</v>
      </c>
      <c r="C5250" s="7" t="s">
        <v>10531</v>
      </c>
      <c r="D5250" s="7" t="s">
        <v>10532</v>
      </c>
      <c r="E5250" s="7" t="s">
        <v>31</v>
      </c>
      <c r="F5250" s="7" t="s">
        <v>10526</v>
      </c>
      <c r="G5250" s="7" t="n">
        <v>2017</v>
      </c>
      <c r="H5250" s="7" t="s">
        <v>48</v>
      </c>
      <c r="I5250" s="7" t="s">
        <v>311</v>
      </c>
      <c r="J5250" s="7" t="s">
        <v>304</v>
      </c>
      <c r="K5250" s="7" t="n">
        <f aca="false">IFERROR(VALUE(RIGHT(TRIM(F5250),4)),"")</f>
        <v>2018</v>
      </c>
      <c r="L5250" s="7" t="str">
        <f aca="false">IF(TRIM(E5250)="","Unknown",IFERROR(LEFT(TRIM(E5250),FIND(",",TRIM(E5250))-1),TRIM(E5250)))</f>
        <v>France</v>
      </c>
      <c r="M5250" s="7" t="str">
        <f aca="false">IFERROR(LEFT(J5250,FIND(",",J5250)-1),J5250)</f>
        <v>Dramas</v>
      </c>
      <c r="N5250" s="7" t="n">
        <f aca="false">IF(B5250="Movie",IFERROR(VALUE(LEFT(I5250,FIND(" ",I5250)-1)),""),"")</f>
        <v>92</v>
      </c>
      <c r="O5250" s="7" t="str">
        <f aca="false">IF(B5250="TV Show",IFERROR(VALUE(LEFT(I5250,FIND(" ",I5250)-1)),""),"")</f>
        <v/>
      </c>
      <c r="P5250" s="7" t="n">
        <f aca="false">IF(K5250="","",K5250-G5250)</f>
        <v>1</v>
      </c>
    </row>
    <row r="5251" customFormat="false" ht="15" hidden="false" customHeight="false" outlineLevel="0" collapsed="false">
      <c r="A5251" s="7" t="n">
        <v>70130142</v>
      </c>
      <c r="B5251" s="7" t="s">
        <v>68</v>
      </c>
      <c r="C5251" s="7" t="s">
        <v>10533</v>
      </c>
      <c r="D5251" s="7" t="s">
        <v>10534</v>
      </c>
      <c r="E5251" s="7" t="s">
        <v>10535</v>
      </c>
      <c r="F5251" s="7" t="s">
        <v>10536</v>
      </c>
      <c r="G5251" s="7" t="n">
        <v>2010</v>
      </c>
      <c r="H5251" s="7" t="s">
        <v>51</v>
      </c>
      <c r="I5251" s="7" t="s">
        <v>146</v>
      </c>
      <c r="J5251" s="7" t="s">
        <v>322</v>
      </c>
      <c r="K5251" s="7" t="n">
        <f aca="false">IFERROR(VALUE(RIGHT(TRIM(F5251),4)),"")</f>
        <v>2019</v>
      </c>
      <c r="L5251" s="7" t="str">
        <f aca="false">IF(TRIM(E5251)="","Unknown",IFERROR(LEFT(TRIM(E5251),FIND(",",TRIM(E5251))-1),TRIM(E5251)))</f>
        <v>Hong Kong</v>
      </c>
      <c r="M5251" s="7" t="str">
        <f aca="false">IFERROR(LEFT(J5251,FIND(",",J5251)-1),J5251)</f>
        <v>Action &amp; Adventure</v>
      </c>
      <c r="N5251" s="7" t="n">
        <f aca="false">IF(B5251="Movie",IFERROR(VALUE(LEFT(I5251,FIND(" ",I5251)-1)),""),"")</f>
        <v>113</v>
      </c>
      <c r="O5251" s="7" t="str">
        <f aca="false">IF(B5251="TV Show",IFERROR(VALUE(LEFT(I5251,FIND(" ",I5251)-1)),""),"")</f>
        <v/>
      </c>
      <c r="P5251" s="7" t="n">
        <f aca="false">IF(K5251="","",K5251-G5251)</f>
        <v>9</v>
      </c>
    </row>
    <row r="5252" customFormat="false" ht="15" hidden="false" customHeight="false" outlineLevel="0" collapsed="false">
      <c r="A5252" s="7" t="n">
        <v>81026008</v>
      </c>
      <c r="B5252" s="7" t="s">
        <v>68</v>
      </c>
      <c r="C5252" s="7" t="s">
        <v>10537</v>
      </c>
      <c r="D5252" s="7" t="s">
        <v>3695</v>
      </c>
      <c r="F5252" s="7" t="s">
        <v>10536</v>
      </c>
      <c r="G5252" s="7" t="n">
        <v>2019</v>
      </c>
      <c r="H5252" s="7" t="s">
        <v>48</v>
      </c>
      <c r="I5252" s="7" t="s">
        <v>1757</v>
      </c>
      <c r="J5252" s="7" t="s">
        <v>45</v>
      </c>
      <c r="K5252" s="7" t="n">
        <f aca="false">IFERROR(VALUE(RIGHT(TRIM(F5252),4)),"")</f>
        <v>2019</v>
      </c>
      <c r="L5252" s="7" t="str">
        <f aca="false">IF(TRIM(E5252)="","Unknown",IFERROR(LEFT(TRIM(E5252),FIND(",",TRIM(E5252))-1),TRIM(E5252)))</f>
        <v>Unknown</v>
      </c>
      <c r="M5252" s="7" t="str">
        <f aca="false">IFERROR(LEFT(J5252,FIND(",",J5252)-1),J5252)</f>
        <v>Stand-Up Comedy</v>
      </c>
      <c r="N5252" s="7" t="n">
        <f aca="false">IF(B5252="Movie",IFERROR(VALUE(LEFT(I5252,FIND(" ",I5252)-1)),""),"")</f>
        <v>59</v>
      </c>
      <c r="O5252" s="7" t="str">
        <f aca="false">IF(B5252="TV Show",IFERROR(VALUE(LEFT(I5252,FIND(" ",I5252)-1)),""),"")</f>
        <v/>
      </c>
      <c r="P5252" s="7" t="n">
        <f aca="false">IF(K5252="","",K5252-G5252)</f>
        <v>0</v>
      </c>
    </row>
    <row r="5253" customFormat="false" ht="15" hidden="false" customHeight="false" outlineLevel="0" collapsed="false">
      <c r="A5253" s="7" t="n">
        <v>81062674</v>
      </c>
      <c r="B5253" s="7" t="s">
        <v>68</v>
      </c>
      <c r="C5253" s="7" t="s">
        <v>10538</v>
      </c>
      <c r="D5253" s="7" t="s">
        <v>10539</v>
      </c>
      <c r="E5253" s="7" t="s">
        <v>362</v>
      </c>
      <c r="F5253" s="7" t="s">
        <v>10536</v>
      </c>
      <c r="G5253" s="7" t="n">
        <v>2018</v>
      </c>
      <c r="H5253" s="7" t="s">
        <v>48</v>
      </c>
      <c r="I5253" s="7" t="s">
        <v>235</v>
      </c>
      <c r="J5253" s="7" t="s">
        <v>169</v>
      </c>
      <c r="K5253" s="7" t="n">
        <f aca="false">IFERROR(VALUE(RIGHT(TRIM(F5253),4)),"")</f>
        <v>2019</v>
      </c>
      <c r="L5253" s="7" t="str">
        <f aca="false">IF(TRIM(E5253)="","Unknown",IFERROR(LEFT(TRIM(E5253),FIND(",",TRIM(E5253))-1),TRIM(E5253)))</f>
        <v>Indonesia</v>
      </c>
      <c r="M5253" s="7" t="str">
        <f aca="false">IFERROR(LEFT(J5253,FIND(",",J5253)-1),J5253)</f>
        <v>Horror Movies</v>
      </c>
      <c r="N5253" s="7" t="n">
        <f aca="false">IF(B5253="Movie",IFERROR(VALUE(LEFT(I5253,FIND(" ",I5253)-1)),""),"")</f>
        <v>126</v>
      </c>
      <c r="O5253" s="7" t="str">
        <f aca="false">IF(B5253="TV Show",IFERROR(VALUE(LEFT(I5253,FIND(" ",I5253)-1)),""),"")</f>
        <v/>
      </c>
      <c r="P5253" s="7" t="n">
        <f aca="false">IF(K5253="","",K5253-G5253)</f>
        <v>1</v>
      </c>
    </row>
    <row r="5254" customFormat="false" ht="15" hidden="false" customHeight="false" outlineLevel="0" collapsed="false">
      <c r="A5254" s="7" t="n">
        <v>81049578</v>
      </c>
      <c r="B5254" s="7" t="s">
        <v>78</v>
      </c>
      <c r="C5254" s="7" t="s">
        <v>10540</v>
      </c>
      <c r="E5254" s="7" t="s">
        <v>711</v>
      </c>
      <c r="F5254" s="7" t="s">
        <v>10536</v>
      </c>
      <c r="G5254" s="7" t="n">
        <v>2018</v>
      </c>
      <c r="H5254" s="7" t="s">
        <v>49</v>
      </c>
      <c r="I5254" s="7" t="s">
        <v>82</v>
      </c>
      <c r="J5254" s="7" t="s">
        <v>314</v>
      </c>
      <c r="K5254" s="7" t="n">
        <f aca="false">IFERROR(VALUE(RIGHT(TRIM(F5254),4)),"")</f>
        <v>2019</v>
      </c>
      <c r="L5254" s="7" t="str">
        <f aca="false">IF(TRIM(E5254)="","Unknown",IFERROR(LEFT(TRIM(E5254),FIND(",",TRIM(E5254))-1),TRIM(E5254)))</f>
        <v>Lebanon</v>
      </c>
      <c r="M5254" s="7" t="str">
        <f aca="false">IFERROR(LEFT(J5254,FIND(",",J5254)-1),J5254)</f>
        <v>International TV Shows</v>
      </c>
      <c r="N5254" s="7" t="str">
        <f aca="false">IF(B5254="Movie",IFERROR(VALUE(LEFT(I5254,FIND(" ",I5254)-1)),""),"")</f>
        <v/>
      </c>
      <c r="O5254" s="7" t="n">
        <f aca="false">IF(B5254="TV Show",IFERROR(VALUE(LEFT(I5254,FIND(" ",I5254)-1)),""),"")</f>
        <v>1</v>
      </c>
      <c r="P5254" s="7" t="n">
        <f aca="false">IF(K5254="","",K5254-G5254)</f>
        <v>1</v>
      </c>
    </row>
    <row r="5255" customFormat="false" ht="15" hidden="false" customHeight="false" outlineLevel="0" collapsed="false">
      <c r="A5255" s="7" t="n">
        <v>80217689</v>
      </c>
      <c r="B5255" s="7" t="s">
        <v>68</v>
      </c>
      <c r="C5255" s="7" t="s">
        <v>10541</v>
      </c>
      <c r="D5255" s="7" t="s">
        <v>10542</v>
      </c>
      <c r="E5255" s="7" t="s">
        <v>31</v>
      </c>
      <c r="F5255" s="7" t="s">
        <v>10543</v>
      </c>
      <c r="G5255" s="7" t="n">
        <v>2018</v>
      </c>
      <c r="H5255" s="7" t="s">
        <v>48</v>
      </c>
      <c r="I5255" s="7" t="s">
        <v>421</v>
      </c>
      <c r="J5255" s="7" t="s">
        <v>45</v>
      </c>
      <c r="K5255" s="7" t="n">
        <f aca="false">IFERROR(VALUE(RIGHT(TRIM(F5255),4)),"")</f>
        <v>2018</v>
      </c>
      <c r="L5255" s="7" t="str">
        <f aca="false">IF(TRIM(E5255)="","Unknown",IFERROR(LEFT(TRIM(E5255),FIND(",",TRIM(E5255))-1),TRIM(E5255)))</f>
        <v>France</v>
      </c>
      <c r="M5255" s="7" t="str">
        <f aca="false">IFERROR(LEFT(J5255,FIND(",",J5255)-1),J5255)</f>
        <v>Stand-Up Comedy</v>
      </c>
      <c r="N5255" s="7" t="n">
        <f aca="false">IF(B5255="Movie",IFERROR(VALUE(LEFT(I5255,FIND(" ",I5255)-1)),""),"")</f>
        <v>75</v>
      </c>
      <c r="O5255" s="7" t="str">
        <f aca="false">IF(B5255="TV Show",IFERROR(VALUE(LEFT(I5255,FIND(" ",I5255)-1)),""),"")</f>
        <v/>
      </c>
      <c r="P5255" s="7" t="n">
        <f aca="false">IF(K5255="","",K5255-G5255)</f>
        <v>0</v>
      </c>
    </row>
    <row r="5256" customFormat="false" ht="15" hidden="false" customHeight="false" outlineLevel="0" collapsed="false">
      <c r="A5256" s="7" t="n">
        <v>80235025</v>
      </c>
      <c r="B5256" s="7" t="s">
        <v>68</v>
      </c>
      <c r="C5256" s="7" t="s">
        <v>10544</v>
      </c>
      <c r="D5256" s="7" t="s">
        <v>2022</v>
      </c>
      <c r="E5256" s="7" t="s">
        <v>26</v>
      </c>
      <c r="F5256" s="7" t="s">
        <v>10543</v>
      </c>
      <c r="G5256" s="7" t="n">
        <v>2018</v>
      </c>
      <c r="H5256" s="7" t="s">
        <v>52</v>
      </c>
      <c r="I5256" s="7" t="s">
        <v>205</v>
      </c>
      <c r="J5256" s="7" t="s">
        <v>37</v>
      </c>
      <c r="K5256" s="7" t="n">
        <f aca="false">IFERROR(VALUE(RIGHT(TRIM(F5256),4)),"")</f>
        <v>2018</v>
      </c>
      <c r="L5256" s="7" t="str">
        <f aca="false">IF(TRIM(E5256)="","Unknown",IFERROR(LEFT(TRIM(E5256),FIND(",",TRIM(E5256))-1),TRIM(E5256)))</f>
        <v>United States</v>
      </c>
      <c r="M5256" s="7" t="str">
        <f aca="false">IFERROR(LEFT(J5256,FIND(",",J5256)-1),J5256)</f>
        <v>Dramas</v>
      </c>
      <c r="N5256" s="7" t="n">
        <f aca="false">IF(B5256="Movie",IFERROR(VALUE(LEFT(I5256,FIND(" ",I5256)-1)),""),"")</f>
        <v>100</v>
      </c>
      <c r="O5256" s="7" t="str">
        <f aca="false">IF(B5256="TV Show",IFERROR(VALUE(LEFT(I5256,FIND(" ",I5256)-1)),""),"")</f>
        <v/>
      </c>
      <c r="P5256" s="7" t="n">
        <f aca="false">IF(K5256="","",K5256-G5256)</f>
        <v>0</v>
      </c>
    </row>
    <row r="5257" customFormat="false" ht="15" hidden="false" customHeight="false" outlineLevel="0" collapsed="false">
      <c r="A5257" s="7" t="n">
        <v>80164904</v>
      </c>
      <c r="B5257" s="7" t="s">
        <v>68</v>
      </c>
      <c r="C5257" s="7" t="s">
        <v>10545</v>
      </c>
      <c r="D5257" s="7" t="s">
        <v>10546</v>
      </c>
      <c r="E5257" s="7" t="s">
        <v>27</v>
      </c>
      <c r="F5257" s="7" t="s">
        <v>10543</v>
      </c>
      <c r="G5257" s="7" t="n">
        <v>2017</v>
      </c>
      <c r="H5257" s="7" t="s">
        <v>49</v>
      </c>
      <c r="I5257" s="7" t="s">
        <v>820</v>
      </c>
      <c r="J5257" s="7" t="s">
        <v>182</v>
      </c>
      <c r="K5257" s="7" t="n">
        <f aca="false">IFERROR(VALUE(RIGHT(TRIM(F5257),4)),"")</f>
        <v>2018</v>
      </c>
      <c r="L5257" s="7" t="str">
        <f aca="false">IF(TRIM(E5257)="","Unknown",IFERROR(LEFT(TRIM(E5257),FIND(",",TRIM(E5257))-1),TRIM(E5257)))</f>
        <v>India</v>
      </c>
      <c r="M5257" s="7" t="str">
        <f aca="false">IFERROR(LEFT(J5257,FIND(",",J5257)-1),J5257)</f>
        <v>Dramas</v>
      </c>
      <c r="N5257" s="7" t="n">
        <f aca="false">IF(B5257="Movie",IFERROR(VALUE(LEFT(I5257,FIND(" ",I5257)-1)),""),"")</f>
        <v>105</v>
      </c>
      <c r="O5257" s="7" t="str">
        <f aca="false">IF(B5257="TV Show",IFERROR(VALUE(LEFT(I5257,FIND(" ",I5257)-1)),""),"")</f>
        <v/>
      </c>
      <c r="P5257" s="7" t="n">
        <f aca="false">IF(K5257="","",K5257-G5257)</f>
        <v>1</v>
      </c>
    </row>
    <row r="5258" customFormat="false" ht="15" hidden="false" customHeight="false" outlineLevel="0" collapsed="false">
      <c r="A5258" s="7" t="n">
        <v>81015498</v>
      </c>
      <c r="B5258" s="7" t="s">
        <v>68</v>
      </c>
      <c r="C5258" s="7" t="s">
        <v>10547</v>
      </c>
      <c r="D5258" s="7" t="s">
        <v>10548</v>
      </c>
      <c r="E5258" s="7" t="s">
        <v>32</v>
      </c>
      <c r="F5258" s="7" t="s">
        <v>10549</v>
      </c>
      <c r="G5258" s="7" t="n">
        <v>2018</v>
      </c>
      <c r="H5258" s="7" t="s">
        <v>48</v>
      </c>
      <c r="I5258" s="7" t="s">
        <v>1026</v>
      </c>
      <c r="J5258" s="7" t="s">
        <v>188</v>
      </c>
      <c r="K5258" s="7" t="n">
        <f aca="false">IFERROR(VALUE(RIGHT(TRIM(F5258),4)),"")</f>
        <v>2019</v>
      </c>
      <c r="L5258" s="7" t="str">
        <f aca="false">IF(TRIM(E5258)="","Unknown",IFERROR(LEFT(TRIM(E5258),FIND(",",TRIM(E5258))-1),TRIM(E5258)))</f>
        <v>South Korea</v>
      </c>
      <c r="M5258" s="7" t="str">
        <f aca="false">IFERROR(LEFT(J5258,FIND(",",J5258)-1),J5258)</f>
        <v>Dramas</v>
      </c>
      <c r="N5258" s="7" t="n">
        <f aca="false">IF(B5258="Movie",IFERROR(VALUE(LEFT(I5258,FIND(" ",I5258)-1)),""),"")</f>
        <v>148</v>
      </c>
      <c r="O5258" s="7" t="str">
        <f aca="false">IF(B5258="TV Show",IFERROR(VALUE(LEFT(I5258,FIND(" ",I5258)-1)),""),"")</f>
        <v/>
      </c>
      <c r="P5258" s="7" t="n">
        <f aca="false">IF(K5258="","",K5258-G5258)</f>
        <v>1</v>
      </c>
    </row>
    <row r="5259" customFormat="false" ht="15" hidden="false" customHeight="false" outlineLevel="0" collapsed="false">
      <c r="A5259" s="7" t="n">
        <v>80157889</v>
      </c>
      <c r="B5259" s="7" t="s">
        <v>68</v>
      </c>
      <c r="C5259" s="7" t="s">
        <v>10550</v>
      </c>
      <c r="D5259" s="7" t="s">
        <v>10551</v>
      </c>
      <c r="E5259" s="7" t="s">
        <v>27</v>
      </c>
      <c r="F5259" s="7" t="s">
        <v>10549</v>
      </c>
      <c r="G5259" s="7" t="n">
        <v>2016</v>
      </c>
      <c r="H5259" s="7" t="s">
        <v>48</v>
      </c>
      <c r="I5259" s="7" t="s">
        <v>93</v>
      </c>
      <c r="J5259" s="7" t="s">
        <v>198</v>
      </c>
      <c r="K5259" s="7" t="n">
        <f aca="false">IFERROR(VALUE(RIGHT(TRIM(F5259),4)),"")</f>
        <v>2019</v>
      </c>
      <c r="L5259" s="7" t="str">
        <f aca="false">IF(TRIM(E5259)="","Unknown",IFERROR(LEFT(TRIM(E5259),FIND(",",TRIM(E5259))-1),TRIM(E5259)))</f>
        <v>India</v>
      </c>
      <c r="M5259" s="7" t="str">
        <f aca="false">IFERROR(LEFT(J5259,FIND(",",J5259)-1),J5259)</f>
        <v>Comedies</v>
      </c>
      <c r="N5259" s="7" t="n">
        <f aca="false">IF(B5259="Movie",IFERROR(VALUE(LEFT(I5259,FIND(" ",I5259)-1)),""),"")</f>
        <v>110</v>
      </c>
      <c r="O5259" s="7" t="str">
        <f aca="false">IF(B5259="TV Show",IFERROR(VALUE(LEFT(I5259,FIND(" ",I5259)-1)),""),"")</f>
        <v/>
      </c>
      <c r="P5259" s="7" t="n">
        <f aca="false">IF(K5259="","",K5259-G5259)</f>
        <v>3</v>
      </c>
    </row>
    <row r="5260" customFormat="false" ht="15" hidden="false" customHeight="false" outlineLevel="0" collapsed="false">
      <c r="A5260" s="7" t="n">
        <v>81094082</v>
      </c>
      <c r="B5260" s="7" t="s">
        <v>68</v>
      </c>
      <c r="C5260" s="7" t="s">
        <v>10552</v>
      </c>
      <c r="D5260" s="7" t="s">
        <v>10553</v>
      </c>
      <c r="E5260" s="7" t="s">
        <v>27</v>
      </c>
      <c r="F5260" s="7" t="s">
        <v>10549</v>
      </c>
      <c r="G5260" s="7" t="n">
        <v>2018</v>
      </c>
      <c r="H5260" s="7" t="s">
        <v>48</v>
      </c>
      <c r="I5260" s="7" t="s">
        <v>519</v>
      </c>
      <c r="J5260" s="7" t="s">
        <v>188</v>
      </c>
      <c r="K5260" s="7" t="n">
        <f aca="false">IFERROR(VALUE(RIGHT(TRIM(F5260),4)),"")</f>
        <v>2019</v>
      </c>
      <c r="L5260" s="7" t="str">
        <f aca="false">IF(TRIM(E5260)="","Unknown",IFERROR(LEFT(TRIM(E5260),FIND(",",TRIM(E5260))-1),TRIM(E5260)))</f>
        <v>India</v>
      </c>
      <c r="M5260" s="7" t="str">
        <f aca="false">IFERROR(LEFT(J5260,FIND(",",J5260)-1),J5260)</f>
        <v>Dramas</v>
      </c>
      <c r="N5260" s="7" t="n">
        <f aca="false">IF(B5260="Movie",IFERROR(VALUE(LEFT(I5260,FIND(" ",I5260)-1)),""),"")</f>
        <v>119</v>
      </c>
      <c r="O5260" s="7" t="str">
        <f aca="false">IF(B5260="TV Show",IFERROR(VALUE(LEFT(I5260,FIND(" ",I5260)-1)),""),"")</f>
        <v/>
      </c>
      <c r="P5260" s="7" t="n">
        <f aca="false">IF(K5260="","",K5260-G5260)</f>
        <v>1</v>
      </c>
    </row>
    <row r="5261" customFormat="false" ht="15" hidden="false" customHeight="false" outlineLevel="0" collapsed="false">
      <c r="A5261" s="7" t="n">
        <v>80048940</v>
      </c>
      <c r="B5261" s="7" t="s">
        <v>68</v>
      </c>
      <c r="C5261" s="7" t="s">
        <v>10554</v>
      </c>
      <c r="D5261" s="7" t="s">
        <v>8297</v>
      </c>
      <c r="E5261" s="7" t="s">
        <v>10555</v>
      </c>
      <c r="F5261" s="7" t="s">
        <v>10556</v>
      </c>
      <c r="G5261" s="7" t="n">
        <v>2016</v>
      </c>
      <c r="H5261" s="7" t="s">
        <v>48</v>
      </c>
      <c r="I5261" s="7" t="s">
        <v>512</v>
      </c>
      <c r="J5261" s="7" t="s">
        <v>38</v>
      </c>
      <c r="K5261" s="7" t="n">
        <f aca="false">IFERROR(VALUE(RIGHT(TRIM(F5261),4)),"")</f>
        <v>2016</v>
      </c>
      <c r="L5261" s="7" t="str">
        <f aca="false">IF(TRIM(E5261)="","Unknown",IFERROR(LEFT(TRIM(E5261),FIND(",",TRIM(E5261))-1),TRIM(E5261)))</f>
        <v>Canada</v>
      </c>
      <c r="M5261" s="7" t="str">
        <f aca="false">IFERROR(LEFT(J5261,FIND(",",J5261)-1),J5261)</f>
        <v>Comedies</v>
      </c>
      <c r="N5261" s="7" t="n">
        <f aca="false">IF(B5261="Movie",IFERROR(VALUE(LEFT(I5261,FIND(" ",I5261)-1)),""),"")</f>
        <v>101</v>
      </c>
      <c r="O5261" s="7" t="str">
        <f aca="false">IF(B5261="TV Show",IFERROR(VALUE(LEFT(I5261,FIND(" ",I5261)-1)),""),"")</f>
        <v/>
      </c>
      <c r="P5261" s="7" t="n">
        <f aca="false">IF(K5261="","",K5261-G5261)</f>
        <v>0</v>
      </c>
    </row>
    <row r="5262" customFormat="false" ht="15" hidden="false" customHeight="false" outlineLevel="0" collapsed="false">
      <c r="A5262" s="7" t="n">
        <v>80044093</v>
      </c>
      <c r="B5262" s="7" t="s">
        <v>68</v>
      </c>
      <c r="C5262" s="7" t="s">
        <v>10557</v>
      </c>
      <c r="D5262" s="7" t="s">
        <v>10558</v>
      </c>
      <c r="E5262" s="7" t="s">
        <v>26</v>
      </c>
      <c r="F5262" s="7" t="s">
        <v>10556</v>
      </c>
      <c r="G5262" s="7" t="n">
        <v>2016</v>
      </c>
      <c r="H5262" s="7" t="s">
        <v>49</v>
      </c>
      <c r="I5262" s="7" t="s">
        <v>470</v>
      </c>
      <c r="J5262" s="7" t="s">
        <v>1085</v>
      </c>
      <c r="K5262" s="7" t="n">
        <f aca="false">IFERROR(VALUE(RIGHT(TRIM(F5262),4)),"")</f>
        <v>2016</v>
      </c>
      <c r="L5262" s="7" t="str">
        <f aca="false">IF(TRIM(E5262)="","Unknown",IFERROR(LEFT(TRIM(E5262),FIND(",",TRIM(E5262))-1),TRIM(E5262)))</f>
        <v>United States</v>
      </c>
      <c r="M5262" s="7" t="str">
        <f aca="false">IFERROR(LEFT(J5262,FIND(",",J5262)-1),J5262)</f>
        <v>Documentaries</v>
      </c>
      <c r="N5262" s="7" t="n">
        <f aca="false">IF(B5262="Movie",IFERROR(VALUE(LEFT(I5262,FIND(" ",I5262)-1)),""),"")</f>
        <v>91</v>
      </c>
      <c r="O5262" s="7" t="str">
        <f aca="false">IF(B5262="TV Show",IFERROR(VALUE(LEFT(I5262,FIND(" ",I5262)-1)),""),"")</f>
        <v/>
      </c>
      <c r="P5262" s="7" t="n">
        <f aca="false">IF(K5262="","",K5262-G5262)</f>
        <v>0</v>
      </c>
    </row>
    <row r="5263" customFormat="false" ht="15" hidden="false" customHeight="false" outlineLevel="0" collapsed="false">
      <c r="A5263" s="7" t="n">
        <v>80161826</v>
      </c>
      <c r="B5263" s="7" t="s">
        <v>68</v>
      </c>
      <c r="C5263" s="7" t="s">
        <v>10559</v>
      </c>
      <c r="E5263" s="7" t="s">
        <v>32</v>
      </c>
      <c r="F5263" s="7" t="s">
        <v>10560</v>
      </c>
      <c r="G5263" s="7" t="n">
        <v>2015</v>
      </c>
      <c r="H5263" s="7" t="s">
        <v>50</v>
      </c>
      <c r="I5263" s="7" t="s">
        <v>294</v>
      </c>
      <c r="J5263" s="7" t="s">
        <v>1956</v>
      </c>
      <c r="K5263" s="7" t="n">
        <f aca="false">IFERROR(VALUE(RIGHT(TRIM(F5263),4)),"")</f>
        <v>2017</v>
      </c>
      <c r="L5263" s="7" t="str">
        <f aca="false">IF(TRIM(E5263)="","Unknown",IFERROR(LEFT(TRIM(E5263),FIND(",",TRIM(E5263))-1),TRIM(E5263)))</f>
        <v>South Korea</v>
      </c>
      <c r="M5263" s="7" t="str">
        <f aca="false">IFERROR(LEFT(J5263,FIND(",",J5263)-1),J5263)</f>
        <v>International Movies</v>
      </c>
      <c r="N5263" s="7" t="n">
        <f aca="false">IF(B5263="Movie",IFERROR(VALUE(LEFT(I5263,FIND(" ",I5263)-1)),""),"")</f>
        <v>107</v>
      </c>
      <c r="O5263" s="7" t="str">
        <f aca="false">IF(B5263="TV Show",IFERROR(VALUE(LEFT(I5263,FIND(" ",I5263)-1)),""),"")</f>
        <v/>
      </c>
      <c r="P5263" s="7" t="n">
        <f aca="false">IF(K5263="","",K5263-G5263)</f>
        <v>2</v>
      </c>
    </row>
    <row r="5264" customFormat="false" ht="15" hidden="false" customHeight="false" outlineLevel="0" collapsed="false">
      <c r="A5264" s="7" t="n">
        <v>80044562</v>
      </c>
      <c r="B5264" s="7" t="s">
        <v>68</v>
      </c>
      <c r="C5264" s="7" t="s">
        <v>10561</v>
      </c>
      <c r="D5264" s="7" t="s">
        <v>10562</v>
      </c>
      <c r="E5264" s="7" t="s">
        <v>26</v>
      </c>
      <c r="F5264" s="7" t="s">
        <v>10560</v>
      </c>
      <c r="G5264" s="7" t="n">
        <v>2014</v>
      </c>
      <c r="H5264" s="7" t="s">
        <v>52</v>
      </c>
      <c r="I5264" s="7" t="s">
        <v>470</v>
      </c>
      <c r="J5264" s="7" t="s">
        <v>39</v>
      </c>
      <c r="K5264" s="7" t="n">
        <f aca="false">IFERROR(VALUE(RIGHT(TRIM(F5264),4)),"")</f>
        <v>2017</v>
      </c>
      <c r="L5264" s="7" t="str">
        <f aca="false">IF(TRIM(E5264)="","Unknown",IFERROR(LEFT(TRIM(E5264),FIND(",",TRIM(E5264))-1),TRIM(E5264)))</f>
        <v>United States</v>
      </c>
      <c r="M5264" s="7" t="str">
        <f aca="false">IFERROR(LEFT(J5264,FIND(",",J5264)-1),J5264)</f>
        <v>Documentaries</v>
      </c>
      <c r="N5264" s="7" t="n">
        <f aca="false">IF(B5264="Movie",IFERROR(VALUE(LEFT(I5264,FIND(" ",I5264)-1)),""),"")</f>
        <v>91</v>
      </c>
      <c r="O5264" s="7" t="str">
        <f aca="false">IF(B5264="TV Show",IFERROR(VALUE(LEFT(I5264,FIND(" ",I5264)-1)),""),"")</f>
        <v/>
      </c>
      <c r="P5264" s="7" t="n">
        <f aca="false">IF(K5264="","",K5264-G5264)</f>
        <v>3</v>
      </c>
    </row>
    <row r="5265" customFormat="false" ht="15" hidden="false" customHeight="false" outlineLevel="0" collapsed="false">
      <c r="A5265" s="7" t="n">
        <v>80142316</v>
      </c>
      <c r="B5265" s="7" t="s">
        <v>68</v>
      </c>
      <c r="C5265" s="7" t="s">
        <v>10563</v>
      </c>
      <c r="D5265" s="7" t="s">
        <v>10564</v>
      </c>
      <c r="E5265" s="7" t="s">
        <v>10565</v>
      </c>
      <c r="F5265" s="7" t="s">
        <v>10560</v>
      </c>
      <c r="G5265" s="7" t="n">
        <v>2017</v>
      </c>
      <c r="H5265" s="7" t="s">
        <v>49</v>
      </c>
      <c r="I5265" s="7" t="s">
        <v>467</v>
      </c>
      <c r="J5265" s="7" t="s">
        <v>39</v>
      </c>
      <c r="K5265" s="7" t="n">
        <f aca="false">IFERROR(VALUE(RIGHT(TRIM(F5265),4)),"")</f>
        <v>2017</v>
      </c>
      <c r="L5265" s="7" t="str">
        <f aca="false">IF(TRIM(E5265)="","Unknown",IFERROR(LEFT(TRIM(E5265),FIND(",",TRIM(E5265))-1),TRIM(E5265)))</f>
        <v>United States</v>
      </c>
      <c r="M5265" s="7" t="str">
        <f aca="false">IFERROR(LEFT(J5265,FIND(",",J5265)-1),J5265)</f>
        <v>Documentaries</v>
      </c>
      <c r="N5265" s="7" t="n">
        <f aca="false">IF(B5265="Movie",IFERROR(VALUE(LEFT(I5265,FIND(" ",I5265)-1)),""),"")</f>
        <v>81</v>
      </c>
      <c r="O5265" s="7" t="str">
        <f aca="false">IF(B5265="TV Show",IFERROR(VALUE(LEFT(I5265,FIND(" ",I5265)-1)),""),"")</f>
        <v/>
      </c>
      <c r="P5265" s="7" t="n">
        <f aca="false">IF(K5265="","",K5265-G5265)</f>
        <v>0</v>
      </c>
    </row>
    <row r="5266" customFormat="false" ht="15" hidden="false" customHeight="false" outlineLevel="0" collapsed="false">
      <c r="A5266" s="7" t="n">
        <v>80162136</v>
      </c>
      <c r="B5266" s="7" t="s">
        <v>78</v>
      </c>
      <c r="C5266" s="7" t="s">
        <v>10566</v>
      </c>
      <c r="E5266" s="7" t="s">
        <v>32</v>
      </c>
      <c r="F5266" s="7" t="s">
        <v>10560</v>
      </c>
      <c r="G5266" s="7" t="n">
        <v>2015</v>
      </c>
      <c r="H5266" s="7" t="s">
        <v>49</v>
      </c>
      <c r="I5266" s="7" t="s">
        <v>82</v>
      </c>
      <c r="J5266" s="7" t="s">
        <v>637</v>
      </c>
      <c r="K5266" s="7" t="n">
        <f aca="false">IFERROR(VALUE(RIGHT(TRIM(F5266),4)),"")</f>
        <v>2017</v>
      </c>
      <c r="L5266" s="7" t="str">
        <f aca="false">IF(TRIM(E5266)="","Unknown",IFERROR(LEFT(TRIM(E5266),FIND(",",TRIM(E5266))-1),TRIM(E5266)))</f>
        <v>South Korea</v>
      </c>
      <c r="M5266" s="7" t="str">
        <f aca="false">IFERROR(LEFT(J5266,FIND(",",J5266)-1),J5266)</f>
        <v>International TV Shows</v>
      </c>
      <c r="N5266" s="7" t="str">
        <f aca="false">IF(B5266="Movie",IFERROR(VALUE(LEFT(I5266,FIND(" ",I5266)-1)),""),"")</f>
        <v/>
      </c>
      <c r="O5266" s="7" t="n">
        <f aca="false">IF(B5266="TV Show",IFERROR(VALUE(LEFT(I5266,FIND(" ",I5266)-1)),""),"")</f>
        <v>1</v>
      </c>
      <c r="P5266" s="7" t="n">
        <f aca="false">IF(K5266="","",K5266-G5266)</f>
        <v>2</v>
      </c>
    </row>
    <row r="5267" customFormat="false" ht="15" hidden="false" customHeight="false" outlineLevel="0" collapsed="false">
      <c r="A5267" s="7" t="n">
        <v>80154638</v>
      </c>
      <c r="B5267" s="7" t="s">
        <v>78</v>
      </c>
      <c r="C5267" s="7" t="s">
        <v>10567</v>
      </c>
      <c r="E5267" s="7" t="s">
        <v>32</v>
      </c>
      <c r="F5267" s="7" t="s">
        <v>10560</v>
      </c>
      <c r="G5267" s="7" t="n">
        <v>2010</v>
      </c>
      <c r="H5267" s="7" t="s">
        <v>49</v>
      </c>
      <c r="I5267" s="7" t="s">
        <v>82</v>
      </c>
      <c r="J5267" s="7" t="s">
        <v>852</v>
      </c>
      <c r="K5267" s="7" t="n">
        <f aca="false">IFERROR(VALUE(RIGHT(TRIM(F5267),4)),"")</f>
        <v>2017</v>
      </c>
      <c r="L5267" s="7" t="str">
        <f aca="false">IF(TRIM(E5267)="","Unknown",IFERROR(LEFT(TRIM(E5267),FIND(",",TRIM(E5267))-1),TRIM(E5267)))</f>
        <v>South Korea</v>
      </c>
      <c r="M5267" s="7" t="str">
        <f aca="false">IFERROR(LEFT(J5267,FIND(",",J5267)-1),J5267)</f>
        <v>International TV Shows</v>
      </c>
      <c r="N5267" s="7" t="str">
        <f aca="false">IF(B5267="Movie",IFERROR(VALUE(LEFT(I5267,FIND(" ",I5267)-1)),""),"")</f>
        <v/>
      </c>
      <c r="O5267" s="7" t="n">
        <f aca="false">IF(B5267="TV Show",IFERROR(VALUE(LEFT(I5267,FIND(" ",I5267)-1)),""),"")</f>
        <v>1</v>
      </c>
      <c r="P5267" s="7" t="n">
        <f aca="false">IF(K5267="","",K5267-G5267)</f>
        <v>7</v>
      </c>
    </row>
    <row r="5268" customFormat="false" ht="15" hidden="false" customHeight="false" outlineLevel="0" collapsed="false">
      <c r="A5268" s="7" t="n">
        <v>80128715</v>
      </c>
      <c r="B5268" s="7" t="s">
        <v>68</v>
      </c>
      <c r="C5268" s="7" t="s">
        <v>10568</v>
      </c>
      <c r="D5268" s="7" t="s">
        <v>1089</v>
      </c>
      <c r="E5268" s="7" t="s">
        <v>26</v>
      </c>
      <c r="F5268" s="7" t="s">
        <v>10560</v>
      </c>
      <c r="G5268" s="7" t="n">
        <v>2017</v>
      </c>
      <c r="H5268" s="7" t="s">
        <v>48</v>
      </c>
      <c r="I5268" s="7" t="s">
        <v>3882</v>
      </c>
      <c r="J5268" s="7" t="s">
        <v>37</v>
      </c>
      <c r="K5268" s="7" t="n">
        <f aca="false">IFERROR(VALUE(RIGHT(TRIM(F5268),4)),"")</f>
        <v>2017</v>
      </c>
      <c r="L5268" s="7" t="str">
        <f aca="false">IF(TRIM(E5268)="","Unknown",IFERROR(LEFT(TRIM(E5268),FIND(",",TRIM(E5268))-1),TRIM(E5268)))</f>
        <v>United States</v>
      </c>
      <c r="M5268" s="7" t="str">
        <f aca="false">IFERROR(LEFT(J5268,FIND(",",J5268)-1),J5268)</f>
        <v>Dramas</v>
      </c>
      <c r="N5268" s="7" t="n">
        <f aca="false">IF(B5268="Movie",IFERROR(VALUE(LEFT(I5268,FIND(" ",I5268)-1)),""),"")</f>
        <v>53</v>
      </c>
      <c r="O5268" s="7" t="str">
        <f aca="false">IF(B5268="TV Show",IFERROR(VALUE(LEFT(I5268,FIND(" ",I5268)-1)),""),"")</f>
        <v/>
      </c>
      <c r="P5268" s="7" t="n">
        <f aca="false">IF(K5268="","",K5268-G5268)</f>
        <v>0</v>
      </c>
    </row>
    <row r="5269" customFormat="false" ht="15" hidden="false" customHeight="false" outlineLevel="0" collapsed="false">
      <c r="A5269" s="7" t="n">
        <v>80164212</v>
      </c>
      <c r="B5269" s="7" t="s">
        <v>68</v>
      </c>
      <c r="C5269" s="7" t="s">
        <v>10569</v>
      </c>
      <c r="D5269" s="7" t="s">
        <v>10570</v>
      </c>
      <c r="E5269" s="7" t="s">
        <v>619</v>
      </c>
      <c r="F5269" s="7" t="s">
        <v>10560</v>
      </c>
      <c r="G5269" s="7" t="n">
        <v>2017</v>
      </c>
      <c r="H5269" s="7" t="s">
        <v>48</v>
      </c>
      <c r="I5269" s="7" t="s">
        <v>111</v>
      </c>
      <c r="J5269" s="7" t="s">
        <v>597</v>
      </c>
      <c r="K5269" s="7" t="n">
        <f aca="false">IFERROR(VALUE(RIGHT(TRIM(F5269),4)),"")</f>
        <v>2017</v>
      </c>
      <c r="L5269" s="7" t="str">
        <f aca="false">IF(TRIM(E5269)="","Unknown",IFERROR(LEFT(TRIM(E5269),FIND(",",TRIM(E5269))-1),TRIM(E5269)))</f>
        <v>Canada</v>
      </c>
      <c r="M5269" s="7" t="str">
        <f aca="false">IFERROR(LEFT(J5269,FIND(",",J5269)-1),J5269)</f>
        <v>Dramas</v>
      </c>
      <c r="N5269" s="7" t="n">
        <f aca="false">IF(B5269="Movie",IFERROR(VALUE(LEFT(I5269,FIND(" ",I5269)-1)),""),"")</f>
        <v>95</v>
      </c>
      <c r="O5269" s="7" t="str">
        <f aca="false">IF(B5269="TV Show",IFERROR(VALUE(LEFT(I5269,FIND(" ",I5269)-1)),""),"")</f>
        <v/>
      </c>
      <c r="P5269" s="7" t="n">
        <f aca="false">IF(K5269="","",K5269-G5269)</f>
        <v>0</v>
      </c>
    </row>
    <row r="5270" customFormat="false" ht="15" hidden="false" customHeight="false" outlineLevel="0" collapsed="false">
      <c r="A5270" s="7" t="n">
        <v>80162131</v>
      </c>
      <c r="B5270" s="7" t="s">
        <v>78</v>
      </c>
      <c r="C5270" s="7" t="s">
        <v>10571</v>
      </c>
      <c r="F5270" s="7" t="s">
        <v>10560</v>
      </c>
      <c r="G5270" s="7" t="n">
        <v>2015</v>
      </c>
      <c r="H5270" s="7" t="s">
        <v>49</v>
      </c>
      <c r="I5270" s="7" t="s">
        <v>82</v>
      </c>
      <c r="J5270" s="7" t="s">
        <v>637</v>
      </c>
      <c r="K5270" s="7" t="n">
        <f aca="false">IFERROR(VALUE(RIGHT(TRIM(F5270),4)),"")</f>
        <v>2017</v>
      </c>
      <c r="L5270" s="7" t="str">
        <f aca="false">IF(TRIM(E5270)="","Unknown",IFERROR(LEFT(TRIM(E5270),FIND(",",TRIM(E5270))-1),TRIM(E5270)))</f>
        <v>Unknown</v>
      </c>
      <c r="M5270" s="7" t="str">
        <f aca="false">IFERROR(LEFT(J5270,FIND(",",J5270)-1),J5270)</f>
        <v>International TV Shows</v>
      </c>
      <c r="N5270" s="7" t="str">
        <f aca="false">IF(B5270="Movie",IFERROR(VALUE(LEFT(I5270,FIND(" ",I5270)-1)),""),"")</f>
        <v/>
      </c>
      <c r="O5270" s="7" t="n">
        <f aca="false">IF(B5270="TV Show",IFERROR(VALUE(LEFT(I5270,FIND(" ",I5270)-1)),""),"")</f>
        <v>1</v>
      </c>
      <c r="P5270" s="7" t="n">
        <f aca="false">IF(K5270="","",K5270-G5270)</f>
        <v>2</v>
      </c>
    </row>
    <row r="5271" customFormat="false" ht="15" hidden="false" customHeight="false" outlineLevel="0" collapsed="false">
      <c r="A5271" s="7" t="n">
        <v>70298341</v>
      </c>
      <c r="B5271" s="7" t="s">
        <v>78</v>
      </c>
      <c r="C5271" s="7" t="s">
        <v>10572</v>
      </c>
      <c r="E5271" s="7" t="s">
        <v>28</v>
      </c>
      <c r="F5271" s="7" t="s">
        <v>10573</v>
      </c>
      <c r="G5271" s="7" t="n">
        <v>2013</v>
      </c>
      <c r="H5271" s="7" t="s">
        <v>50</v>
      </c>
      <c r="I5271" s="7" t="s">
        <v>82</v>
      </c>
      <c r="J5271" s="7" t="s">
        <v>306</v>
      </c>
      <c r="K5271" s="7" t="n">
        <f aca="false">IFERROR(VALUE(RIGHT(TRIM(F5271),4)),"")</f>
        <v>2016</v>
      </c>
      <c r="L5271" s="7" t="str">
        <f aca="false">IF(TRIM(E5271)="","Unknown",IFERROR(LEFT(TRIM(E5271),FIND(",",TRIM(E5271))-1),TRIM(E5271)))</f>
        <v>United Kingdom</v>
      </c>
      <c r="M5271" s="7" t="str">
        <f aca="false">IFERROR(LEFT(J5271,FIND(",",J5271)-1),J5271)</f>
        <v>British TV Shows</v>
      </c>
      <c r="N5271" s="7" t="str">
        <f aca="false">IF(B5271="Movie",IFERROR(VALUE(LEFT(I5271,FIND(" ",I5271)-1)),""),"")</f>
        <v/>
      </c>
      <c r="O5271" s="7" t="n">
        <f aca="false">IF(B5271="TV Show",IFERROR(VALUE(LEFT(I5271,FIND(" ",I5271)-1)),""),"")</f>
        <v>1</v>
      </c>
      <c r="P5271" s="7" t="n">
        <f aca="false">IF(K5271="","",K5271-G5271)</f>
        <v>3</v>
      </c>
    </row>
    <row r="5272" customFormat="false" ht="15" hidden="false" customHeight="false" outlineLevel="0" collapsed="false">
      <c r="A5272" s="7" t="n">
        <v>80096782</v>
      </c>
      <c r="B5272" s="7" t="s">
        <v>68</v>
      </c>
      <c r="C5272" s="7" t="s">
        <v>10574</v>
      </c>
      <c r="D5272" s="7" t="s">
        <v>10575</v>
      </c>
      <c r="E5272" s="7" t="s">
        <v>317</v>
      </c>
      <c r="F5272" s="7" t="s">
        <v>10576</v>
      </c>
      <c r="G5272" s="7" t="n">
        <v>2016</v>
      </c>
      <c r="H5272" s="7" t="s">
        <v>51</v>
      </c>
      <c r="I5272" s="7" t="s">
        <v>383</v>
      </c>
      <c r="J5272" s="7" t="s">
        <v>150</v>
      </c>
      <c r="K5272" s="7" t="n">
        <f aca="false">IFERROR(VALUE(RIGHT(TRIM(F5272),4)),"")</f>
        <v>2019</v>
      </c>
      <c r="L5272" s="7" t="str">
        <f aca="false">IF(TRIM(E5272)="","Unknown",IFERROR(LEFT(TRIM(E5272),FIND(",",TRIM(E5272))-1),TRIM(E5272)))</f>
        <v>United Kingdom</v>
      </c>
      <c r="M5272" s="7" t="str">
        <f aca="false">IFERROR(LEFT(J5272,FIND(",",J5272)-1),J5272)</f>
        <v>Dramas</v>
      </c>
      <c r="N5272" s="7" t="n">
        <f aca="false">IF(B5272="Movie",IFERROR(VALUE(LEFT(I5272,FIND(" ",I5272)-1)),""),"")</f>
        <v>163</v>
      </c>
      <c r="O5272" s="7" t="str">
        <f aca="false">IF(B5272="TV Show",IFERROR(VALUE(LEFT(I5272,FIND(" ",I5272)-1)),""),"")</f>
        <v/>
      </c>
      <c r="P5272" s="7" t="n">
        <f aca="false">IF(K5272="","",K5272-G5272)</f>
        <v>3</v>
      </c>
    </row>
    <row r="5273" customFormat="false" ht="15" hidden="false" customHeight="false" outlineLevel="0" collapsed="false">
      <c r="A5273" s="7" t="n">
        <v>80174282</v>
      </c>
      <c r="B5273" s="7" t="s">
        <v>78</v>
      </c>
      <c r="C5273" s="7" t="s">
        <v>10577</v>
      </c>
      <c r="D5273" s="7" t="s">
        <v>10578</v>
      </c>
      <c r="F5273" s="7" t="s">
        <v>10579</v>
      </c>
      <c r="G5273" s="7" t="n">
        <v>2018</v>
      </c>
      <c r="H5273" s="7" t="s">
        <v>48</v>
      </c>
      <c r="I5273" s="7" t="s">
        <v>82</v>
      </c>
      <c r="J5273" s="7" t="s">
        <v>164</v>
      </c>
      <c r="K5273" s="7" t="n">
        <f aca="false">IFERROR(VALUE(RIGHT(TRIM(F5273),4)),"")</f>
        <v>2018</v>
      </c>
      <c r="L5273" s="7" t="str">
        <f aca="false">IF(TRIM(E5273)="","Unknown",IFERROR(LEFT(TRIM(E5273),FIND(",",TRIM(E5273))-1),TRIM(E5273)))</f>
        <v>Unknown</v>
      </c>
      <c r="M5273" s="7" t="str">
        <f aca="false">IFERROR(LEFT(J5273,FIND(",",J5273)-1),J5273)</f>
        <v>Docuseries</v>
      </c>
      <c r="N5273" s="7" t="str">
        <f aca="false">IF(B5273="Movie",IFERROR(VALUE(LEFT(I5273,FIND(" ",I5273)-1)),""),"")</f>
        <v/>
      </c>
      <c r="O5273" s="7" t="n">
        <f aca="false">IF(B5273="TV Show",IFERROR(VALUE(LEFT(I5273,FIND(" ",I5273)-1)),""),"")</f>
        <v>1</v>
      </c>
      <c r="P5273" s="7" t="n">
        <f aca="false">IF(K5273="","",K5273-G5273)</f>
        <v>0</v>
      </c>
    </row>
    <row r="5274" customFormat="false" ht="15" hidden="false" customHeight="false" outlineLevel="0" collapsed="false">
      <c r="A5274" s="7" t="n">
        <v>80164864</v>
      </c>
      <c r="B5274" s="7" t="s">
        <v>68</v>
      </c>
      <c r="C5274" s="7" t="s">
        <v>10580</v>
      </c>
      <c r="D5274" s="7" t="s">
        <v>10581</v>
      </c>
      <c r="E5274" s="7" t="s">
        <v>26</v>
      </c>
      <c r="F5274" s="7" t="s">
        <v>10579</v>
      </c>
      <c r="G5274" s="7" t="n">
        <v>2018</v>
      </c>
      <c r="H5274" s="7" t="s">
        <v>49</v>
      </c>
      <c r="I5274" s="7" t="s">
        <v>272</v>
      </c>
      <c r="J5274" s="7" t="s">
        <v>2536</v>
      </c>
      <c r="K5274" s="7" t="n">
        <f aca="false">IFERROR(VALUE(RIGHT(TRIM(F5274),4)),"")</f>
        <v>2018</v>
      </c>
      <c r="L5274" s="7" t="str">
        <f aca="false">IF(TRIM(E5274)="","Unknown",IFERROR(LEFT(TRIM(E5274),FIND(",",TRIM(E5274))-1),TRIM(E5274)))</f>
        <v>United States</v>
      </c>
      <c r="M5274" s="7" t="str">
        <f aca="false">IFERROR(LEFT(J5274,FIND(",",J5274)-1),J5274)</f>
        <v>Children &amp; Family Movies</v>
      </c>
      <c r="N5274" s="7" t="n">
        <f aca="false">IF(B5274="Movie",IFERROR(VALUE(LEFT(I5274,FIND(" ",I5274)-1)),""),"")</f>
        <v>93</v>
      </c>
      <c r="O5274" s="7" t="str">
        <f aca="false">IF(B5274="TV Show",IFERROR(VALUE(LEFT(I5274,FIND(" ",I5274)-1)),""),"")</f>
        <v/>
      </c>
      <c r="P5274" s="7" t="n">
        <f aca="false">IF(K5274="","",K5274-G5274)</f>
        <v>0</v>
      </c>
    </row>
    <row r="5275" customFormat="false" ht="15" hidden="false" customHeight="false" outlineLevel="0" collapsed="false">
      <c r="A5275" s="7" t="n">
        <v>80136793</v>
      </c>
      <c r="B5275" s="7" t="s">
        <v>78</v>
      </c>
      <c r="C5275" s="7" t="s">
        <v>10582</v>
      </c>
      <c r="F5275" s="7" t="s">
        <v>10579</v>
      </c>
      <c r="G5275" s="7" t="n">
        <v>2016</v>
      </c>
      <c r="H5275" s="7" t="s">
        <v>50</v>
      </c>
      <c r="I5275" s="7" t="s">
        <v>82</v>
      </c>
      <c r="J5275" s="7" t="s">
        <v>158</v>
      </c>
      <c r="K5275" s="7" t="n">
        <f aca="false">IFERROR(VALUE(RIGHT(TRIM(F5275),4)),"")</f>
        <v>2018</v>
      </c>
      <c r="L5275" s="7" t="str">
        <f aca="false">IF(TRIM(E5275)="","Unknown",IFERROR(LEFT(TRIM(E5275),FIND(",",TRIM(E5275))-1),TRIM(E5275)))</f>
        <v>Unknown</v>
      </c>
      <c r="M5275" s="7" t="str">
        <f aca="false">IFERROR(LEFT(J5275,FIND(",",J5275)-1),J5275)</f>
        <v>International TV Shows</v>
      </c>
      <c r="N5275" s="7" t="str">
        <f aca="false">IF(B5275="Movie",IFERROR(VALUE(LEFT(I5275,FIND(" ",I5275)-1)),""),"")</f>
        <v/>
      </c>
      <c r="O5275" s="7" t="n">
        <f aca="false">IF(B5275="TV Show",IFERROR(VALUE(LEFT(I5275,FIND(" ",I5275)-1)),""),"")</f>
        <v>1</v>
      </c>
      <c r="P5275" s="7" t="n">
        <f aca="false">IF(K5275="","",K5275-G5275)</f>
        <v>2</v>
      </c>
    </row>
    <row r="5276" customFormat="false" ht="15" hidden="false" customHeight="false" outlineLevel="0" collapsed="false">
      <c r="A5276" s="7" t="n">
        <v>80162993</v>
      </c>
      <c r="B5276" s="7" t="s">
        <v>68</v>
      </c>
      <c r="C5276" s="7" t="s">
        <v>10583</v>
      </c>
      <c r="D5276" s="7" t="s">
        <v>10584</v>
      </c>
      <c r="E5276" s="7" t="s">
        <v>33</v>
      </c>
      <c r="F5276" s="7" t="s">
        <v>10579</v>
      </c>
      <c r="G5276" s="7" t="n">
        <v>2017</v>
      </c>
      <c r="H5276" s="7" t="s">
        <v>49</v>
      </c>
      <c r="I5276" s="7" t="s">
        <v>111</v>
      </c>
      <c r="J5276" s="7" t="s">
        <v>1841</v>
      </c>
      <c r="K5276" s="7" t="n">
        <f aca="false">IFERROR(VALUE(RIGHT(TRIM(F5276),4)),"")</f>
        <v>2018</v>
      </c>
      <c r="L5276" s="7" t="str">
        <f aca="false">IF(TRIM(E5276)="","Unknown",IFERROR(LEFT(TRIM(E5276),FIND(",",TRIM(E5276))-1),TRIM(E5276)))</f>
        <v>Spain</v>
      </c>
      <c r="M5276" s="7" t="str">
        <f aca="false">IFERROR(LEFT(J5276,FIND(",",J5276)-1),J5276)</f>
        <v>Comedies</v>
      </c>
      <c r="N5276" s="7" t="n">
        <f aca="false">IF(B5276="Movie",IFERROR(VALUE(LEFT(I5276,FIND(" ",I5276)-1)),""),"")</f>
        <v>95</v>
      </c>
      <c r="O5276" s="7" t="str">
        <f aca="false">IF(B5276="TV Show",IFERROR(VALUE(LEFT(I5276,FIND(" ",I5276)-1)),""),"")</f>
        <v/>
      </c>
      <c r="P5276" s="7" t="n">
        <f aca="false">IF(K5276="","",K5276-G5276)</f>
        <v>1</v>
      </c>
    </row>
    <row r="5277" customFormat="false" ht="15" hidden="false" customHeight="false" outlineLevel="0" collapsed="false">
      <c r="A5277" s="7" t="n">
        <v>80136794</v>
      </c>
      <c r="B5277" s="7" t="s">
        <v>78</v>
      </c>
      <c r="C5277" s="7" t="s">
        <v>10585</v>
      </c>
      <c r="F5277" s="7" t="s">
        <v>10579</v>
      </c>
      <c r="G5277" s="7" t="n">
        <v>2016</v>
      </c>
      <c r="H5277" s="7" t="s">
        <v>49</v>
      </c>
      <c r="I5277" s="7" t="s">
        <v>82</v>
      </c>
      <c r="J5277" s="7" t="s">
        <v>344</v>
      </c>
      <c r="K5277" s="7" t="n">
        <f aca="false">IFERROR(VALUE(RIGHT(TRIM(F5277),4)),"")</f>
        <v>2018</v>
      </c>
      <c r="L5277" s="7" t="str">
        <f aca="false">IF(TRIM(E5277)="","Unknown",IFERROR(LEFT(TRIM(E5277),FIND(",",TRIM(E5277))-1),TRIM(E5277)))</f>
        <v>Unknown</v>
      </c>
      <c r="M5277" s="7" t="str">
        <f aca="false">IFERROR(LEFT(J5277,FIND(",",J5277)-1),J5277)</f>
        <v>International TV Shows</v>
      </c>
      <c r="N5277" s="7" t="str">
        <f aca="false">IF(B5277="Movie",IFERROR(VALUE(LEFT(I5277,FIND(" ",I5277)-1)),""),"")</f>
        <v/>
      </c>
      <c r="O5277" s="7" t="n">
        <f aca="false">IF(B5277="TV Show",IFERROR(VALUE(LEFT(I5277,FIND(" ",I5277)-1)),""),"")</f>
        <v>1</v>
      </c>
      <c r="P5277" s="7" t="n">
        <f aca="false">IF(K5277="","",K5277-G5277)</f>
        <v>2</v>
      </c>
    </row>
    <row r="5278" customFormat="false" ht="15" hidden="false" customHeight="false" outlineLevel="0" collapsed="false">
      <c r="A5278" s="7" t="n">
        <v>80226927</v>
      </c>
      <c r="B5278" s="7" t="s">
        <v>78</v>
      </c>
      <c r="C5278" s="7" t="s">
        <v>10586</v>
      </c>
      <c r="E5278" s="7" t="s">
        <v>30</v>
      </c>
      <c r="F5278" s="7" t="s">
        <v>10579</v>
      </c>
      <c r="G5278" s="7" t="n">
        <v>2018</v>
      </c>
      <c r="H5278" s="7" t="s">
        <v>48</v>
      </c>
      <c r="I5278" s="7" t="s">
        <v>82</v>
      </c>
      <c r="J5278" s="7" t="s">
        <v>7284</v>
      </c>
      <c r="K5278" s="7" t="n">
        <f aca="false">IFERROR(VALUE(RIGHT(TRIM(F5278),4)),"")</f>
        <v>2018</v>
      </c>
      <c r="L5278" s="7" t="str">
        <f aca="false">IF(TRIM(E5278)="","Unknown",IFERROR(LEFT(TRIM(E5278),FIND(",",TRIM(E5278))-1),TRIM(E5278)))</f>
        <v>Japan</v>
      </c>
      <c r="M5278" s="7" t="str">
        <f aca="false">IFERROR(LEFT(J5278,FIND(",",J5278)-1),J5278)</f>
        <v>International TV Shows</v>
      </c>
      <c r="N5278" s="7" t="str">
        <f aca="false">IF(B5278="Movie",IFERROR(VALUE(LEFT(I5278,FIND(" ",I5278)-1)),""),"")</f>
        <v/>
      </c>
      <c r="O5278" s="7" t="n">
        <f aca="false">IF(B5278="TV Show",IFERROR(VALUE(LEFT(I5278,FIND(" ",I5278)-1)),""),"")</f>
        <v>1</v>
      </c>
      <c r="P5278" s="7" t="n">
        <f aca="false">IF(K5278="","",K5278-G5278)</f>
        <v>0</v>
      </c>
    </row>
    <row r="5279" customFormat="false" ht="15" hidden="false" customHeight="false" outlineLevel="0" collapsed="false">
      <c r="A5279" s="7" t="n">
        <v>80184682</v>
      </c>
      <c r="B5279" s="7" t="s">
        <v>78</v>
      </c>
      <c r="C5279" s="7" t="s">
        <v>10587</v>
      </c>
      <c r="E5279" s="7" t="s">
        <v>10588</v>
      </c>
      <c r="F5279" s="7" t="s">
        <v>10579</v>
      </c>
      <c r="G5279" s="7" t="n">
        <v>2018</v>
      </c>
      <c r="H5279" s="7" t="s">
        <v>50</v>
      </c>
      <c r="I5279" s="7" t="s">
        <v>82</v>
      </c>
      <c r="J5279" s="7" t="s">
        <v>6220</v>
      </c>
      <c r="K5279" s="7" t="n">
        <f aca="false">IFERROR(VALUE(RIGHT(TRIM(F5279),4)),"")</f>
        <v>2018</v>
      </c>
      <c r="L5279" s="7" t="str">
        <f aca="false">IF(TRIM(E5279)="","Unknown",IFERROR(LEFT(TRIM(E5279),FIND(",",TRIM(E5279))-1),TRIM(E5279)))</f>
        <v>Australia</v>
      </c>
      <c r="M5279" s="7" t="str">
        <f aca="false">IFERROR(LEFT(J5279,FIND(",",J5279)-1),J5279)</f>
        <v>Kids' TV</v>
      </c>
      <c r="N5279" s="7" t="str">
        <f aca="false">IF(B5279="Movie",IFERROR(VALUE(LEFT(I5279,FIND(" ",I5279)-1)),""),"")</f>
        <v/>
      </c>
      <c r="O5279" s="7" t="n">
        <f aca="false">IF(B5279="TV Show",IFERROR(VALUE(LEFT(I5279,FIND(" ",I5279)-1)),""),"")</f>
        <v>1</v>
      </c>
      <c r="P5279" s="7" t="n">
        <f aca="false">IF(K5279="","",K5279-G5279)</f>
        <v>0</v>
      </c>
    </row>
    <row r="5280" customFormat="false" ht="15" hidden="false" customHeight="false" outlineLevel="0" collapsed="false">
      <c r="A5280" s="7" t="n">
        <v>80149821</v>
      </c>
      <c r="B5280" s="7" t="s">
        <v>68</v>
      </c>
      <c r="C5280" s="7" t="s">
        <v>10589</v>
      </c>
      <c r="D5280" s="7" t="s">
        <v>10590</v>
      </c>
      <c r="E5280" s="7" t="s">
        <v>26</v>
      </c>
      <c r="F5280" s="7" t="s">
        <v>10579</v>
      </c>
      <c r="G5280" s="7" t="n">
        <v>2018</v>
      </c>
      <c r="H5280" s="7" t="s">
        <v>48</v>
      </c>
      <c r="I5280" s="7" t="s">
        <v>820</v>
      </c>
      <c r="J5280" s="7" t="s">
        <v>39</v>
      </c>
      <c r="K5280" s="7" t="n">
        <f aca="false">IFERROR(VALUE(RIGHT(TRIM(F5280),4)),"")</f>
        <v>2018</v>
      </c>
      <c r="L5280" s="7" t="str">
        <f aca="false">IF(TRIM(E5280)="","Unknown",IFERROR(LEFT(TRIM(E5280),FIND(",",TRIM(E5280))-1),TRIM(E5280)))</f>
        <v>United States</v>
      </c>
      <c r="M5280" s="7" t="str">
        <f aca="false">IFERROR(LEFT(J5280,FIND(",",J5280)-1),J5280)</f>
        <v>Documentaries</v>
      </c>
      <c r="N5280" s="7" t="n">
        <f aca="false">IF(B5280="Movie",IFERROR(VALUE(LEFT(I5280,FIND(" ",I5280)-1)),""),"")</f>
        <v>105</v>
      </c>
      <c r="O5280" s="7" t="str">
        <f aca="false">IF(B5280="TV Show",IFERROR(VALUE(LEFT(I5280,FIND(" ",I5280)-1)),""),"")</f>
        <v/>
      </c>
      <c r="P5280" s="7" t="n">
        <f aca="false">IF(K5280="","",K5280-G5280)</f>
        <v>0</v>
      </c>
    </row>
    <row r="5281" customFormat="false" ht="15" hidden="false" customHeight="false" outlineLevel="0" collapsed="false">
      <c r="A5281" s="7" t="n">
        <v>80183328</v>
      </c>
      <c r="B5281" s="7" t="s">
        <v>68</v>
      </c>
      <c r="C5281" s="7" t="s">
        <v>10591</v>
      </c>
      <c r="D5281" s="7" t="s">
        <v>10592</v>
      </c>
      <c r="E5281" s="7" t="s">
        <v>26</v>
      </c>
      <c r="F5281" s="7" t="s">
        <v>10579</v>
      </c>
      <c r="G5281" s="7" t="n">
        <v>2018</v>
      </c>
      <c r="H5281" s="7" t="s">
        <v>49</v>
      </c>
      <c r="I5281" s="7" t="s">
        <v>386</v>
      </c>
      <c r="J5281" s="7" t="s">
        <v>38</v>
      </c>
      <c r="K5281" s="7" t="n">
        <f aca="false">IFERROR(VALUE(RIGHT(TRIM(F5281),4)),"")</f>
        <v>2018</v>
      </c>
      <c r="L5281" s="7" t="str">
        <f aca="false">IF(TRIM(E5281)="","Unknown",IFERROR(LEFT(TRIM(E5281),FIND(",",TRIM(E5281))-1),TRIM(E5281)))</f>
        <v>United States</v>
      </c>
      <c r="M5281" s="7" t="str">
        <f aca="false">IFERROR(LEFT(J5281,FIND(",",J5281)-1),J5281)</f>
        <v>Comedies</v>
      </c>
      <c r="N5281" s="7" t="n">
        <f aca="false">IF(B5281="Movie",IFERROR(VALUE(LEFT(I5281,FIND(" ",I5281)-1)),""),"")</f>
        <v>117</v>
      </c>
      <c r="O5281" s="7" t="str">
        <f aca="false">IF(B5281="TV Show",IFERROR(VALUE(LEFT(I5281,FIND(" ",I5281)-1)),""),"")</f>
        <v/>
      </c>
      <c r="P5281" s="7" t="n">
        <f aca="false">IF(K5281="","",K5281-G5281)</f>
        <v>0</v>
      </c>
    </row>
    <row r="5282" customFormat="false" ht="15" hidden="false" customHeight="false" outlineLevel="0" collapsed="false">
      <c r="A5282" s="7" t="n">
        <v>80136792</v>
      </c>
      <c r="B5282" s="7" t="s">
        <v>78</v>
      </c>
      <c r="C5282" s="7" t="s">
        <v>10593</v>
      </c>
      <c r="F5282" s="7" t="s">
        <v>10579</v>
      </c>
      <c r="G5282" s="7" t="n">
        <v>2016</v>
      </c>
      <c r="H5282" s="7" t="s">
        <v>50</v>
      </c>
      <c r="I5282" s="7" t="s">
        <v>82</v>
      </c>
      <c r="J5282" s="7" t="s">
        <v>158</v>
      </c>
      <c r="K5282" s="7" t="n">
        <f aca="false">IFERROR(VALUE(RIGHT(TRIM(F5282),4)),"")</f>
        <v>2018</v>
      </c>
      <c r="L5282" s="7" t="str">
        <f aca="false">IF(TRIM(E5282)="","Unknown",IFERROR(LEFT(TRIM(E5282),FIND(",",TRIM(E5282))-1),TRIM(E5282)))</f>
        <v>Unknown</v>
      </c>
      <c r="M5282" s="7" t="str">
        <f aca="false">IFERROR(LEFT(J5282,FIND(",",J5282)-1),J5282)</f>
        <v>International TV Shows</v>
      </c>
      <c r="N5282" s="7" t="str">
        <f aca="false">IF(B5282="Movie",IFERROR(VALUE(LEFT(I5282,FIND(" ",I5282)-1)),""),"")</f>
        <v/>
      </c>
      <c r="O5282" s="7" t="n">
        <f aca="false">IF(B5282="TV Show",IFERROR(VALUE(LEFT(I5282,FIND(" ",I5282)-1)),""),"")</f>
        <v>1</v>
      </c>
      <c r="P5282" s="7" t="n">
        <f aca="false">IF(K5282="","",K5282-G5282)</f>
        <v>2</v>
      </c>
    </row>
    <row r="5283" customFormat="false" ht="15" hidden="false" customHeight="false" outlineLevel="0" collapsed="false">
      <c r="A5283" s="7" t="n">
        <v>80136789</v>
      </c>
      <c r="B5283" s="7" t="s">
        <v>78</v>
      </c>
      <c r="C5283" s="16" t="s">
        <v>10594</v>
      </c>
      <c r="F5283" s="7" t="s">
        <v>10579</v>
      </c>
      <c r="G5283" s="7" t="n">
        <v>2016</v>
      </c>
      <c r="H5283" s="7" t="s">
        <v>50</v>
      </c>
      <c r="I5283" s="7" t="s">
        <v>82</v>
      </c>
      <c r="J5283" s="7" t="s">
        <v>344</v>
      </c>
      <c r="K5283" s="7" t="n">
        <f aca="false">IFERROR(VALUE(RIGHT(TRIM(F5283),4)),"")</f>
        <v>2018</v>
      </c>
      <c r="L5283" s="7" t="str">
        <f aca="false">IF(TRIM(E5283)="","Unknown",IFERROR(LEFT(TRIM(E5283),FIND(",",TRIM(E5283))-1),TRIM(E5283)))</f>
        <v>Unknown</v>
      </c>
      <c r="M5283" s="7" t="str">
        <f aca="false">IFERROR(LEFT(J5283,FIND(",",J5283)-1),J5283)</f>
        <v>International TV Shows</v>
      </c>
      <c r="N5283" s="7" t="str">
        <f aca="false">IF(B5283="Movie",IFERROR(VALUE(LEFT(I5283,FIND(" ",I5283)-1)),""),"")</f>
        <v/>
      </c>
      <c r="O5283" s="7" t="n">
        <f aca="false">IF(B5283="TV Show",IFERROR(VALUE(LEFT(I5283,FIND(" ",I5283)-1)),""),"")</f>
        <v>1</v>
      </c>
      <c r="P5283" s="7" t="n">
        <f aca="false">IF(K5283="","",K5283-G5283)</f>
        <v>2</v>
      </c>
    </row>
    <row r="5284" customFormat="false" ht="15" hidden="false" customHeight="false" outlineLevel="0" collapsed="false">
      <c r="A5284" s="7" t="n">
        <v>81035872</v>
      </c>
      <c r="B5284" s="7" t="s">
        <v>68</v>
      </c>
      <c r="C5284" s="7" t="s">
        <v>10595</v>
      </c>
      <c r="D5284" s="7" t="s">
        <v>10596</v>
      </c>
      <c r="E5284" s="7" t="s">
        <v>963</v>
      </c>
      <c r="F5284" s="7" t="s">
        <v>10597</v>
      </c>
      <c r="G5284" s="7" t="n">
        <v>2011</v>
      </c>
      <c r="H5284" s="7" t="s">
        <v>49</v>
      </c>
      <c r="I5284" s="7" t="s">
        <v>194</v>
      </c>
      <c r="J5284" s="7" t="s">
        <v>304</v>
      </c>
      <c r="K5284" s="7" t="n">
        <f aca="false">IFERROR(VALUE(RIGHT(TRIM(F5284),4)),"")</f>
        <v>2019</v>
      </c>
      <c r="L5284" s="7" t="str">
        <f aca="false">IF(TRIM(E5284)="","Unknown",IFERROR(LEFT(TRIM(E5284),FIND(",",TRIM(E5284))-1),TRIM(E5284)))</f>
        <v>Egypt</v>
      </c>
      <c r="M5284" s="7" t="str">
        <f aca="false">IFERROR(LEFT(J5284,FIND(",",J5284)-1),J5284)</f>
        <v>Dramas</v>
      </c>
      <c r="N5284" s="7" t="n">
        <f aca="false">IF(B5284="Movie",IFERROR(VALUE(LEFT(I5284,FIND(" ",I5284)-1)),""),"")</f>
        <v>125</v>
      </c>
      <c r="O5284" s="7" t="str">
        <f aca="false">IF(B5284="TV Show",IFERROR(VALUE(LEFT(I5284,FIND(" ",I5284)-1)),""),"")</f>
        <v/>
      </c>
      <c r="P5284" s="7" t="n">
        <f aca="false">IF(K5284="","",K5284-G5284)</f>
        <v>8</v>
      </c>
    </row>
    <row r="5285" customFormat="false" ht="15" hidden="false" customHeight="false" outlineLevel="0" collapsed="false">
      <c r="A5285" s="7" t="n">
        <v>81035865</v>
      </c>
      <c r="B5285" s="7" t="s">
        <v>68</v>
      </c>
      <c r="C5285" s="7" t="s">
        <v>10598</v>
      </c>
      <c r="D5285" s="7" t="s">
        <v>10599</v>
      </c>
      <c r="E5285" s="7" t="s">
        <v>963</v>
      </c>
      <c r="F5285" s="7" t="s">
        <v>10597</v>
      </c>
      <c r="G5285" s="7" t="n">
        <v>2012</v>
      </c>
      <c r="H5285" s="7" t="s">
        <v>49</v>
      </c>
      <c r="I5285" s="7" t="s">
        <v>494</v>
      </c>
      <c r="J5285" s="7" t="s">
        <v>304</v>
      </c>
      <c r="K5285" s="7" t="n">
        <f aca="false">IFERROR(VALUE(RIGHT(TRIM(F5285),4)),"")</f>
        <v>2019</v>
      </c>
      <c r="L5285" s="7" t="str">
        <f aca="false">IF(TRIM(E5285)="","Unknown",IFERROR(LEFT(TRIM(E5285),FIND(",",TRIM(E5285))-1),TRIM(E5285)))</f>
        <v>Egypt</v>
      </c>
      <c r="M5285" s="7" t="str">
        <f aca="false">IFERROR(LEFT(J5285,FIND(",",J5285)-1),J5285)</f>
        <v>Dramas</v>
      </c>
      <c r="N5285" s="7" t="n">
        <f aca="false">IF(B5285="Movie",IFERROR(VALUE(LEFT(I5285,FIND(" ",I5285)-1)),""),"")</f>
        <v>87</v>
      </c>
      <c r="O5285" s="7" t="str">
        <f aca="false">IF(B5285="TV Show",IFERROR(VALUE(LEFT(I5285,FIND(" ",I5285)-1)),""),"")</f>
        <v/>
      </c>
      <c r="P5285" s="7" t="n">
        <f aca="false">IF(K5285="","",K5285-G5285)</f>
        <v>7</v>
      </c>
    </row>
    <row r="5286" customFormat="false" ht="15" hidden="false" customHeight="false" outlineLevel="0" collapsed="false">
      <c r="A5286" s="7" t="n">
        <v>80210361</v>
      </c>
      <c r="B5286" s="7" t="s">
        <v>78</v>
      </c>
      <c r="C5286" s="7" t="s">
        <v>10600</v>
      </c>
      <c r="E5286" s="7" t="s">
        <v>26</v>
      </c>
      <c r="F5286" s="7" t="s">
        <v>10597</v>
      </c>
      <c r="G5286" s="7" t="n">
        <v>2019</v>
      </c>
      <c r="H5286" s="7" t="s">
        <v>48</v>
      </c>
      <c r="I5286" s="7" t="s">
        <v>82</v>
      </c>
      <c r="J5286" s="7" t="s">
        <v>10601</v>
      </c>
      <c r="K5286" s="7" t="n">
        <f aca="false">IFERROR(VALUE(RIGHT(TRIM(F5286),4)),"")</f>
        <v>2019</v>
      </c>
      <c r="L5286" s="7" t="str">
        <f aca="false">IF(TRIM(E5286)="","Unknown",IFERROR(LEFT(TRIM(E5286),FIND(",",TRIM(E5286))-1),TRIM(E5286)))</f>
        <v>United States</v>
      </c>
      <c r="M5286" s="7" t="str">
        <f aca="false">IFERROR(LEFT(J5286,FIND(",",J5286)-1),J5286)</f>
        <v>TV Horror</v>
      </c>
      <c r="N5286" s="7" t="str">
        <f aca="false">IF(B5286="Movie",IFERROR(VALUE(LEFT(I5286,FIND(" ",I5286)-1)),""),"")</f>
        <v/>
      </c>
      <c r="O5286" s="7" t="n">
        <f aca="false">IF(B5286="TV Show",IFERROR(VALUE(LEFT(I5286,FIND(" ",I5286)-1)),""),"")</f>
        <v>1</v>
      </c>
      <c r="P5286" s="7" t="n">
        <f aca="false">IF(K5286="","",K5286-G5286)</f>
        <v>0</v>
      </c>
    </row>
    <row r="5287" customFormat="false" ht="15" hidden="false" customHeight="false" outlineLevel="0" collapsed="false">
      <c r="A5287" s="7" t="n">
        <v>70260989</v>
      </c>
      <c r="B5287" s="7" t="s">
        <v>68</v>
      </c>
      <c r="C5287" s="7" t="s">
        <v>10602</v>
      </c>
      <c r="D5287" s="7" t="s">
        <v>10603</v>
      </c>
      <c r="E5287" s="7" t="s">
        <v>10604</v>
      </c>
      <c r="F5287" s="7" t="s">
        <v>10597</v>
      </c>
      <c r="G5287" s="7" t="n">
        <v>2012</v>
      </c>
      <c r="H5287" s="7" t="s">
        <v>52</v>
      </c>
      <c r="I5287" s="7" t="s">
        <v>138</v>
      </c>
      <c r="J5287" s="7" t="s">
        <v>112</v>
      </c>
      <c r="K5287" s="7" t="n">
        <f aca="false">IFERROR(VALUE(RIGHT(TRIM(F5287),4)),"")</f>
        <v>2019</v>
      </c>
      <c r="L5287" s="7" t="str">
        <f aca="false">IF(TRIM(E5287)="","Unknown",IFERROR(LEFT(TRIM(E5287),FIND(",",TRIM(E5287))-1),TRIM(E5287)))</f>
        <v>United Kingdom</v>
      </c>
      <c r="M5287" s="7" t="str">
        <f aca="false">IFERROR(LEFT(J5287,FIND(",",J5287)-1),J5287)</f>
        <v>Action &amp; Adventure</v>
      </c>
      <c r="N5287" s="7" t="n">
        <f aca="false">IF(B5287="Movie",IFERROR(VALUE(LEFT(I5287,FIND(" ",I5287)-1)),""),"")</f>
        <v>96</v>
      </c>
      <c r="O5287" s="7" t="str">
        <f aca="false">IF(B5287="TV Show",IFERROR(VALUE(LEFT(I5287,FIND(" ",I5287)-1)),""),"")</f>
        <v/>
      </c>
      <c r="P5287" s="7" t="n">
        <f aca="false">IF(K5287="","",K5287-G5287)</f>
        <v>7</v>
      </c>
    </row>
    <row r="5288" customFormat="false" ht="15" hidden="false" customHeight="false" outlineLevel="0" collapsed="false">
      <c r="A5288" s="7" t="n">
        <v>80992501</v>
      </c>
      <c r="B5288" s="7" t="s">
        <v>68</v>
      </c>
      <c r="C5288" s="7" t="s">
        <v>10605</v>
      </c>
      <c r="D5288" s="7" t="s">
        <v>3695</v>
      </c>
      <c r="E5288" s="7" t="s">
        <v>1397</v>
      </c>
      <c r="F5288" s="7" t="s">
        <v>10597</v>
      </c>
      <c r="G5288" s="7" t="n">
        <v>2019</v>
      </c>
      <c r="H5288" s="7" t="s">
        <v>48</v>
      </c>
      <c r="I5288" s="7" t="s">
        <v>470</v>
      </c>
      <c r="J5288" s="7" t="s">
        <v>206</v>
      </c>
      <c r="K5288" s="7" t="n">
        <f aca="false">IFERROR(VALUE(RIGHT(TRIM(F5288),4)),"")</f>
        <v>2019</v>
      </c>
      <c r="L5288" s="7" t="str">
        <f aca="false">IF(TRIM(E5288)="","Unknown",IFERROR(LEFT(TRIM(E5288),FIND(",",TRIM(E5288))-1),TRIM(E5288)))</f>
        <v>Colombia</v>
      </c>
      <c r="M5288" s="7" t="str">
        <f aca="false">IFERROR(LEFT(J5288,FIND(",",J5288)-1),J5288)</f>
        <v>Comedies</v>
      </c>
      <c r="N5288" s="7" t="n">
        <f aca="false">IF(B5288="Movie",IFERROR(VALUE(LEFT(I5288,FIND(" ",I5288)-1)),""),"")</f>
        <v>91</v>
      </c>
      <c r="O5288" s="7" t="str">
        <f aca="false">IF(B5288="TV Show",IFERROR(VALUE(LEFT(I5288,FIND(" ",I5288)-1)),""),"")</f>
        <v/>
      </c>
      <c r="P5288" s="7" t="n">
        <f aca="false">IF(K5288="","",K5288-G5288)</f>
        <v>0</v>
      </c>
    </row>
    <row r="5289" customFormat="false" ht="15" hidden="false" customHeight="false" outlineLevel="0" collapsed="false">
      <c r="A5289" s="7" t="n">
        <v>81076251</v>
      </c>
      <c r="B5289" s="7" t="s">
        <v>68</v>
      </c>
      <c r="C5289" s="7" t="s">
        <v>10606</v>
      </c>
      <c r="D5289" s="7" t="s">
        <v>1683</v>
      </c>
      <c r="E5289" s="7" t="s">
        <v>396</v>
      </c>
      <c r="F5289" s="7" t="s">
        <v>10597</v>
      </c>
      <c r="G5289" s="7" t="n">
        <v>2019</v>
      </c>
      <c r="H5289" s="7" t="s">
        <v>48</v>
      </c>
      <c r="I5289" s="7" t="s">
        <v>232</v>
      </c>
      <c r="J5289" s="7" t="s">
        <v>217</v>
      </c>
      <c r="K5289" s="7" t="n">
        <f aca="false">IFERROR(VALUE(RIGHT(TRIM(F5289),4)),"")</f>
        <v>2019</v>
      </c>
      <c r="L5289" s="7" t="str">
        <f aca="false">IF(TRIM(E5289)="","Unknown",IFERROR(LEFT(TRIM(E5289),FIND(",",TRIM(E5289))-1),TRIM(E5289)))</f>
        <v>Turkey</v>
      </c>
      <c r="M5289" s="7" t="str">
        <f aca="false">IFERROR(LEFT(J5289,FIND(",",J5289)-1),J5289)</f>
        <v>Comedies</v>
      </c>
      <c r="N5289" s="7" t="n">
        <f aca="false">IF(B5289="Movie",IFERROR(VALUE(LEFT(I5289,FIND(" ",I5289)-1)),""),"")</f>
        <v>122</v>
      </c>
      <c r="O5289" s="7" t="str">
        <f aca="false">IF(B5289="TV Show",IFERROR(VALUE(LEFT(I5289,FIND(" ",I5289)-1)),""),"")</f>
        <v/>
      </c>
      <c r="P5289" s="7" t="n">
        <f aca="false">IF(K5289="","",K5289-G5289)</f>
        <v>0</v>
      </c>
    </row>
    <row r="5290" customFormat="false" ht="15" hidden="false" customHeight="false" outlineLevel="0" collapsed="false">
      <c r="A5290" s="7" t="n">
        <v>81093925</v>
      </c>
      <c r="B5290" s="7" t="s">
        <v>68</v>
      </c>
      <c r="C5290" s="7" t="s">
        <v>10607</v>
      </c>
      <c r="D5290" s="7" t="s">
        <v>10608</v>
      </c>
      <c r="E5290" s="7" t="s">
        <v>27</v>
      </c>
      <c r="F5290" s="7" t="s">
        <v>10597</v>
      </c>
      <c r="G5290" s="7" t="n">
        <v>2018</v>
      </c>
      <c r="H5290" s="7" t="s">
        <v>50</v>
      </c>
      <c r="I5290" s="7" t="s">
        <v>194</v>
      </c>
      <c r="J5290" s="7" t="s">
        <v>217</v>
      </c>
      <c r="K5290" s="7" t="n">
        <f aca="false">IFERROR(VALUE(RIGHT(TRIM(F5290),4)),"")</f>
        <v>2019</v>
      </c>
      <c r="L5290" s="7" t="str">
        <f aca="false">IF(TRIM(E5290)="","Unknown",IFERROR(LEFT(TRIM(E5290),FIND(",",TRIM(E5290))-1),TRIM(E5290)))</f>
        <v>India</v>
      </c>
      <c r="M5290" s="7" t="str">
        <f aca="false">IFERROR(LEFT(J5290,FIND(",",J5290)-1),J5290)</f>
        <v>Comedies</v>
      </c>
      <c r="N5290" s="7" t="n">
        <f aca="false">IF(B5290="Movie",IFERROR(VALUE(LEFT(I5290,FIND(" ",I5290)-1)),""),"")</f>
        <v>125</v>
      </c>
      <c r="O5290" s="7" t="str">
        <f aca="false">IF(B5290="TV Show",IFERROR(VALUE(LEFT(I5290,FIND(" ",I5290)-1)),""),"")</f>
        <v/>
      </c>
      <c r="P5290" s="7" t="n">
        <f aca="false">IF(K5290="","",K5290-G5290)</f>
        <v>1</v>
      </c>
    </row>
    <row r="5291" customFormat="false" ht="15" hidden="false" customHeight="false" outlineLevel="0" collapsed="false">
      <c r="A5291" s="7" t="n">
        <v>80191049</v>
      </c>
      <c r="B5291" s="7" t="s">
        <v>68</v>
      </c>
      <c r="C5291" s="7" t="s">
        <v>10609</v>
      </c>
      <c r="D5291" s="7" t="s">
        <v>8513</v>
      </c>
      <c r="E5291" s="7" t="s">
        <v>26</v>
      </c>
      <c r="F5291" s="7" t="s">
        <v>10597</v>
      </c>
      <c r="G5291" s="7" t="n">
        <v>2019</v>
      </c>
      <c r="H5291" s="7" t="s">
        <v>49</v>
      </c>
      <c r="I5291" s="7" t="s">
        <v>5456</v>
      </c>
      <c r="J5291" s="7" t="s">
        <v>509</v>
      </c>
      <c r="K5291" s="7" t="n">
        <f aca="false">IFERROR(VALUE(RIGHT(TRIM(F5291),4)),"")</f>
        <v>2019</v>
      </c>
      <c r="L5291" s="7" t="str">
        <f aca="false">IF(TRIM(E5291)="","Unknown",IFERROR(LEFT(TRIM(E5291),FIND(",",TRIM(E5291))-1),TRIM(E5291)))</f>
        <v>United States</v>
      </c>
      <c r="M5291" s="7" t="str">
        <f aca="false">IFERROR(LEFT(J5291,FIND(",",J5291)-1),J5291)</f>
        <v>Documentaries</v>
      </c>
      <c r="N5291" s="7" t="n">
        <f aca="false">IF(B5291="Movie",IFERROR(VALUE(LEFT(I5291,FIND(" ",I5291)-1)),""),"")</f>
        <v>49</v>
      </c>
      <c r="O5291" s="7" t="str">
        <f aca="false">IF(B5291="TV Show",IFERROR(VALUE(LEFT(I5291,FIND(" ",I5291)-1)),""),"")</f>
        <v/>
      </c>
      <c r="P5291" s="7" t="n">
        <f aca="false">IF(K5291="","",K5291-G5291)</f>
        <v>0</v>
      </c>
    </row>
    <row r="5292" customFormat="false" ht="15" hidden="false" customHeight="false" outlineLevel="0" collapsed="false">
      <c r="A5292" s="7" t="n">
        <v>70126573</v>
      </c>
      <c r="B5292" s="7" t="s">
        <v>68</v>
      </c>
      <c r="C5292" s="7" t="s">
        <v>10610</v>
      </c>
      <c r="D5292" s="7" t="s">
        <v>6547</v>
      </c>
      <c r="E5292" s="7" t="s">
        <v>26</v>
      </c>
      <c r="F5292" s="7" t="s">
        <v>10597</v>
      </c>
      <c r="G5292" s="7" t="n">
        <v>2011</v>
      </c>
      <c r="H5292" s="7" t="s">
        <v>52</v>
      </c>
      <c r="I5292" s="7" t="s">
        <v>111</v>
      </c>
      <c r="J5292" s="7" t="s">
        <v>276</v>
      </c>
      <c r="K5292" s="7" t="n">
        <f aca="false">IFERROR(VALUE(RIGHT(TRIM(F5292),4)),"")</f>
        <v>2019</v>
      </c>
      <c r="L5292" s="7" t="str">
        <f aca="false">IF(TRIM(E5292)="","Unknown",IFERROR(LEFT(TRIM(E5292),FIND(",",TRIM(E5292))-1),TRIM(E5292)))</f>
        <v>United States</v>
      </c>
      <c r="M5292" s="7" t="str">
        <f aca="false">IFERROR(LEFT(J5292,FIND(",",J5292)-1),J5292)</f>
        <v>Action &amp; Adventure</v>
      </c>
      <c r="N5292" s="7" t="n">
        <f aca="false">IF(B5292="Movie",IFERROR(VALUE(LEFT(I5292,FIND(" ",I5292)-1)),""),"")</f>
        <v>95</v>
      </c>
      <c r="O5292" s="7" t="str">
        <f aca="false">IF(B5292="TV Show",IFERROR(VALUE(LEFT(I5292,FIND(" ",I5292)-1)),""),"")</f>
        <v/>
      </c>
      <c r="P5292" s="7" t="n">
        <f aca="false">IF(K5292="","",K5292-G5292)</f>
        <v>8</v>
      </c>
    </row>
    <row r="5293" customFormat="false" ht="15" hidden="false" customHeight="false" outlineLevel="0" collapsed="false">
      <c r="A5293" s="7" t="n">
        <v>80244996</v>
      </c>
      <c r="B5293" s="7" t="s">
        <v>78</v>
      </c>
      <c r="C5293" s="7" t="s">
        <v>10611</v>
      </c>
      <c r="E5293" s="7" t="s">
        <v>26</v>
      </c>
      <c r="F5293" s="7" t="s">
        <v>10597</v>
      </c>
      <c r="G5293" s="7" t="n">
        <v>2019</v>
      </c>
      <c r="H5293" s="7" t="s">
        <v>226</v>
      </c>
      <c r="I5293" s="7" t="s">
        <v>82</v>
      </c>
      <c r="J5293" s="7" t="s">
        <v>164</v>
      </c>
      <c r="K5293" s="7" t="n">
        <f aca="false">IFERROR(VALUE(RIGHT(TRIM(F5293),4)),"")</f>
        <v>2019</v>
      </c>
      <c r="L5293" s="7" t="str">
        <f aca="false">IF(TRIM(E5293)="","Unknown",IFERROR(LEFT(TRIM(E5293),FIND(",",TRIM(E5293))-1),TRIM(E5293)))</f>
        <v>United States</v>
      </c>
      <c r="M5293" s="7" t="str">
        <f aca="false">IFERROR(LEFT(J5293,FIND(",",J5293)-1),J5293)</f>
        <v>Docuseries</v>
      </c>
      <c r="N5293" s="7" t="str">
        <f aca="false">IF(B5293="Movie",IFERROR(VALUE(LEFT(I5293,FIND(" ",I5293)-1)),""),"")</f>
        <v/>
      </c>
      <c r="O5293" s="7" t="n">
        <f aca="false">IF(B5293="TV Show",IFERROR(VALUE(LEFT(I5293,FIND(" ",I5293)-1)),""),"")</f>
        <v>1</v>
      </c>
      <c r="P5293" s="7" t="n">
        <f aca="false">IF(K5293="","",K5293-G5293)</f>
        <v>0</v>
      </c>
    </row>
    <row r="5294" customFormat="false" ht="15" hidden="false" customHeight="false" outlineLevel="0" collapsed="false">
      <c r="A5294" s="7" t="n">
        <v>70242568</v>
      </c>
      <c r="B5294" s="7" t="s">
        <v>68</v>
      </c>
      <c r="C5294" s="7" t="s">
        <v>10612</v>
      </c>
      <c r="D5294" s="7" t="s">
        <v>10613</v>
      </c>
      <c r="E5294" s="7" t="s">
        <v>35</v>
      </c>
      <c r="F5294" s="7" t="s">
        <v>10597</v>
      </c>
      <c r="G5294" s="7" t="n">
        <v>2012</v>
      </c>
      <c r="H5294" s="7" t="s">
        <v>52</v>
      </c>
      <c r="I5294" s="7" t="s">
        <v>87</v>
      </c>
      <c r="J5294" s="7" t="s">
        <v>198</v>
      </c>
      <c r="K5294" s="7" t="n">
        <f aca="false">IFERROR(VALUE(RIGHT(TRIM(F5294),4)),"")</f>
        <v>2019</v>
      </c>
      <c r="L5294" s="7" t="str">
        <f aca="false">IF(TRIM(E5294)="","Unknown",IFERROR(LEFT(TRIM(E5294),FIND(",",TRIM(E5294))-1),TRIM(E5294)))</f>
        <v>Australia</v>
      </c>
      <c r="M5294" s="7" t="str">
        <f aca="false">IFERROR(LEFT(J5294,FIND(",",J5294)-1),J5294)</f>
        <v>Comedies</v>
      </c>
      <c r="N5294" s="7" t="n">
        <f aca="false">IF(B5294="Movie",IFERROR(VALUE(LEFT(I5294,FIND(" ",I5294)-1)),""),"")</f>
        <v>99</v>
      </c>
      <c r="O5294" s="7" t="str">
        <f aca="false">IF(B5294="TV Show",IFERROR(VALUE(LEFT(I5294,FIND(" ",I5294)-1)),""),"")</f>
        <v/>
      </c>
      <c r="P5294" s="7" t="n">
        <f aca="false">IF(K5294="","",K5294-G5294)</f>
        <v>7</v>
      </c>
    </row>
    <row r="5295" customFormat="false" ht="15" hidden="false" customHeight="false" outlineLevel="0" collapsed="false">
      <c r="A5295" s="7" t="n">
        <v>80217772</v>
      </c>
      <c r="B5295" s="7" t="s">
        <v>68</v>
      </c>
      <c r="C5295" s="7" t="s">
        <v>10614</v>
      </c>
      <c r="D5295" s="7" t="s">
        <v>10615</v>
      </c>
      <c r="E5295" s="7" t="s">
        <v>1081</v>
      </c>
      <c r="F5295" s="7" t="s">
        <v>10616</v>
      </c>
      <c r="G5295" s="7" t="n">
        <v>2018</v>
      </c>
      <c r="H5295" s="7" t="s">
        <v>48</v>
      </c>
      <c r="I5295" s="7" t="s">
        <v>1317</v>
      </c>
      <c r="J5295" s="7" t="s">
        <v>45</v>
      </c>
      <c r="K5295" s="7" t="n">
        <f aca="false">IFERROR(VALUE(RIGHT(TRIM(F5295),4)),"")</f>
        <v>2018</v>
      </c>
      <c r="L5295" s="7" t="str">
        <f aca="false">IF(TRIM(E5295)="","Unknown",IFERROR(LEFT(TRIM(E5295),FIND(",",TRIM(E5295))-1),TRIM(E5295)))</f>
        <v>Germany</v>
      </c>
      <c r="M5295" s="7" t="str">
        <f aca="false">IFERROR(LEFT(J5295,FIND(",",J5295)-1),J5295)</f>
        <v>Stand-Up Comedy</v>
      </c>
      <c r="N5295" s="7" t="n">
        <f aca="false">IF(B5295="Movie",IFERROR(VALUE(LEFT(I5295,FIND(" ",I5295)-1)),""),"")</f>
        <v>66</v>
      </c>
      <c r="O5295" s="7" t="str">
        <f aca="false">IF(B5295="TV Show",IFERROR(VALUE(LEFT(I5295,FIND(" ",I5295)-1)),""),"")</f>
        <v/>
      </c>
      <c r="P5295" s="7" t="n">
        <f aca="false">IF(K5295="","",K5295-G5295)</f>
        <v>0</v>
      </c>
    </row>
    <row r="5296" customFormat="false" ht="15" hidden="false" customHeight="false" outlineLevel="0" collapsed="false">
      <c r="A5296" s="7" t="n">
        <v>80164088</v>
      </c>
      <c r="B5296" s="7" t="s">
        <v>68</v>
      </c>
      <c r="C5296" s="7" t="s">
        <v>10617</v>
      </c>
      <c r="D5296" s="7" t="s">
        <v>10618</v>
      </c>
      <c r="E5296" s="7" t="s">
        <v>26</v>
      </c>
      <c r="F5296" s="7" t="s">
        <v>10616</v>
      </c>
      <c r="G5296" s="7" t="n">
        <v>2017</v>
      </c>
      <c r="H5296" s="7" t="s">
        <v>48</v>
      </c>
      <c r="I5296" s="7" t="s">
        <v>93</v>
      </c>
      <c r="J5296" s="7" t="s">
        <v>40</v>
      </c>
      <c r="K5296" s="7" t="n">
        <f aca="false">IFERROR(VALUE(RIGHT(TRIM(F5296),4)),"")</f>
        <v>2018</v>
      </c>
      <c r="L5296" s="7" t="str">
        <f aca="false">IF(TRIM(E5296)="","Unknown",IFERROR(LEFT(TRIM(E5296),FIND(",",TRIM(E5296))-1),TRIM(E5296)))</f>
        <v>United States</v>
      </c>
      <c r="M5296" s="7" t="str">
        <f aca="false">IFERROR(LEFT(J5296,FIND(",",J5296)-1),J5296)</f>
        <v>Action &amp; Adventure</v>
      </c>
      <c r="N5296" s="7" t="n">
        <f aca="false">IF(B5296="Movie",IFERROR(VALUE(LEFT(I5296,FIND(" ",I5296)-1)),""),"")</f>
        <v>110</v>
      </c>
      <c r="O5296" s="7" t="str">
        <f aca="false">IF(B5296="TV Show",IFERROR(VALUE(LEFT(I5296,FIND(" ",I5296)-1)),""),"")</f>
        <v/>
      </c>
      <c r="P5296" s="7" t="n">
        <f aca="false">IF(K5296="","",K5296-G5296)</f>
        <v>1</v>
      </c>
    </row>
    <row r="5297" customFormat="false" ht="15" hidden="false" customHeight="false" outlineLevel="0" collapsed="false">
      <c r="A5297" s="7" t="n">
        <v>80081278</v>
      </c>
      <c r="B5297" s="7" t="s">
        <v>68</v>
      </c>
      <c r="C5297" s="7" t="s">
        <v>10619</v>
      </c>
      <c r="D5297" s="7" t="s">
        <v>10620</v>
      </c>
      <c r="E5297" s="7" t="s">
        <v>35</v>
      </c>
      <c r="F5297" s="7" t="s">
        <v>10621</v>
      </c>
      <c r="G5297" s="7" t="n">
        <v>2015</v>
      </c>
      <c r="H5297" s="7" t="s">
        <v>48</v>
      </c>
      <c r="I5297" s="7" t="s">
        <v>111</v>
      </c>
      <c r="J5297" s="7" t="s">
        <v>37</v>
      </c>
      <c r="K5297" s="7" t="n">
        <f aca="false">IFERROR(VALUE(RIGHT(TRIM(F5297),4)),"")</f>
        <v>2017</v>
      </c>
      <c r="L5297" s="7" t="str">
        <f aca="false">IF(TRIM(E5297)="","Unknown",IFERROR(LEFT(TRIM(E5297),FIND(",",TRIM(E5297))-1),TRIM(E5297)))</f>
        <v>Australia</v>
      </c>
      <c r="M5297" s="7" t="str">
        <f aca="false">IFERROR(LEFT(J5297,FIND(",",J5297)-1),J5297)</f>
        <v>Dramas</v>
      </c>
      <c r="N5297" s="7" t="n">
        <f aca="false">IF(B5297="Movie",IFERROR(VALUE(LEFT(I5297,FIND(" ",I5297)-1)),""),"")</f>
        <v>95</v>
      </c>
      <c r="O5297" s="7" t="str">
        <f aca="false">IF(B5297="TV Show",IFERROR(VALUE(LEFT(I5297,FIND(" ",I5297)-1)),""),"")</f>
        <v/>
      </c>
      <c r="P5297" s="7" t="n">
        <f aca="false">IF(K5297="","",K5297-G5297)</f>
        <v>2</v>
      </c>
    </row>
    <row r="5298" customFormat="false" ht="15" hidden="false" customHeight="false" outlineLevel="0" collapsed="false">
      <c r="A5298" s="7" t="n">
        <v>81035869</v>
      </c>
      <c r="B5298" s="7" t="s">
        <v>68</v>
      </c>
      <c r="C5298" s="7" t="s">
        <v>10622</v>
      </c>
      <c r="D5298" s="7" t="s">
        <v>5588</v>
      </c>
      <c r="F5298" s="7" t="s">
        <v>10623</v>
      </c>
      <c r="G5298" s="7" t="n">
        <v>2012</v>
      </c>
      <c r="H5298" s="7" t="s">
        <v>48</v>
      </c>
      <c r="I5298" s="7" t="s">
        <v>134</v>
      </c>
      <c r="J5298" s="7" t="s">
        <v>202</v>
      </c>
      <c r="K5298" s="7" t="n">
        <f aca="false">IFERROR(VALUE(RIGHT(TRIM(F5298),4)),"")</f>
        <v>2019</v>
      </c>
      <c r="L5298" s="7" t="str">
        <f aca="false">IF(TRIM(E5298)="","Unknown",IFERROR(LEFT(TRIM(E5298),FIND(",",TRIM(E5298))-1),TRIM(E5298)))</f>
        <v>Unknown</v>
      </c>
      <c r="M5298" s="7" t="str">
        <f aca="false">IFERROR(LEFT(J5298,FIND(",",J5298)-1),J5298)</f>
        <v>Comedies</v>
      </c>
      <c r="N5298" s="7" t="n">
        <f aca="false">IF(B5298="Movie",IFERROR(VALUE(LEFT(I5298,FIND(" ",I5298)-1)),""),"")</f>
        <v>98</v>
      </c>
      <c r="O5298" s="7" t="str">
        <f aca="false">IF(B5298="TV Show",IFERROR(VALUE(LEFT(I5298,FIND(" ",I5298)-1)),""),"")</f>
        <v/>
      </c>
      <c r="P5298" s="7" t="n">
        <f aca="false">IF(K5298="","",K5298-G5298)</f>
        <v>7</v>
      </c>
    </row>
    <row r="5299" customFormat="false" ht="15" hidden="false" customHeight="false" outlineLevel="0" collapsed="false">
      <c r="A5299" s="7" t="n">
        <v>81066244</v>
      </c>
      <c r="B5299" s="7" t="s">
        <v>68</v>
      </c>
      <c r="C5299" s="7" t="s">
        <v>10624</v>
      </c>
      <c r="D5299" s="7" t="s">
        <v>10625</v>
      </c>
      <c r="E5299" s="7" t="s">
        <v>1269</v>
      </c>
      <c r="F5299" s="7" t="s">
        <v>10623</v>
      </c>
      <c r="G5299" s="7" t="n">
        <v>2018</v>
      </c>
      <c r="H5299" s="7" t="s">
        <v>49</v>
      </c>
      <c r="I5299" s="7" t="s">
        <v>134</v>
      </c>
      <c r="J5299" s="7" t="s">
        <v>169</v>
      </c>
      <c r="K5299" s="7" t="n">
        <f aca="false">IFERROR(VALUE(RIGHT(TRIM(F5299),4)),"")</f>
        <v>2019</v>
      </c>
      <c r="L5299" s="7" t="str">
        <f aca="false">IF(TRIM(E5299)="","Unknown",IFERROR(LEFT(TRIM(E5299),FIND(",",TRIM(E5299))-1),TRIM(E5299)))</f>
        <v>Philippines</v>
      </c>
      <c r="M5299" s="7" t="str">
        <f aca="false">IFERROR(LEFT(J5299,FIND(",",J5299)-1),J5299)</f>
        <v>Horror Movies</v>
      </c>
      <c r="N5299" s="7" t="n">
        <f aca="false">IF(B5299="Movie",IFERROR(VALUE(LEFT(I5299,FIND(" ",I5299)-1)),""),"")</f>
        <v>98</v>
      </c>
      <c r="O5299" s="7" t="str">
        <f aca="false">IF(B5299="TV Show",IFERROR(VALUE(LEFT(I5299,FIND(" ",I5299)-1)),""),"")</f>
        <v/>
      </c>
      <c r="P5299" s="7" t="n">
        <f aca="false">IF(K5299="","",K5299-G5299)</f>
        <v>1</v>
      </c>
    </row>
    <row r="5300" customFormat="false" ht="15" hidden="false" customHeight="false" outlineLevel="0" collapsed="false">
      <c r="A5300" s="7" t="n">
        <v>80991404</v>
      </c>
      <c r="B5300" s="7" t="s">
        <v>68</v>
      </c>
      <c r="C5300" s="7" t="s">
        <v>10626</v>
      </c>
      <c r="D5300" s="7" t="s">
        <v>7793</v>
      </c>
      <c r="E5300" s="7" t="s">
        <v>293</v>
      </c>
      <c r="F5300" s="7" t="s">
        <v>10623</v>
      </c>
      <c r="G5300" s="7" t="n">
        <v>2018</v>
      </c>
      <c r="H5300" s="7" t="s">
        <v>54</v>
      </c>
      <c r="I5300" s="7" t="s">
        <v>73</v>
      </c>
      <c r="J5300" s="7" t="s">
        <v>74</v>
      </c>
      <c r="K5300" s="7" t="n">
        <f aca="false">IFERROR(VALUE(RIGHT(TRIM(F5300),4)),"")</f>
        <v>2019</v>
      </c>
      <c r="L5300" s="7" t="str">
        <f aca="false">IF(TRIM(E5300)="","Unknown",IFERROR(LEFT(TRIM(E5300),FIND(",",TRIM(E5300))-1),TRIM(E5300)))</f>
        <v>United States</v>
      </c>
      <c r="M5300" s="7" t="str">
        <f aca="false">IFERROR(LEFT(J5300,FIND(",",J5300)-1),J5300)</f>
        <v>Children &amp; Family Movies</v>
      </c>
      <c r="N5300" s="7" t="n">
        <f aca="false">IF(B5300="Movie",IFERROR(VALUE(LEFT(I5300,FIND(" ",I5300)-1)),""),"")</f>
        <v>90</v>
      </c>
      <c r="O5300" s="7" t="str">
        <f aca="false">IF(B5300="TV Show",IFERROR(VALUE(LEFT(I5300,FIND(" ",I5300)-1)),""),"")</f>
        <v/>
      </c>
      <c r="P5300" s="7" t="n">
        <f aca="false">IF(K5300="","",K5300-G5300)</f>
        <v>1</v>
      </c>
    </row>
    <row r="5301" customFormat="false" ht="15" hidden="false" customHeight="false" outlineLevel="0" collapsed="false">
      <c r="A5301" s="7" t="n">
        <v>81035873</v>
      </c>
      <c r="B5301" s="7" t="s">
        <v>68</v>
      </c>
      <c r="C5301" s="7" t="s">
        <v>10627</v>
      </c>
      <c r="D5301" s="7" t="s">
        <v>10628</v>
      </c>
      <c r="E5301" s="7" t="s">
        <v>963</v>
      </c>
      <c r="F5301" s="7" t="s">
        <v>10623</v>
      </c>
      <c r="G5301" s="7" t="n">
        <v>2011</v>
      </c>
      <c r="H5301" s="7" t="s">
        <v>49</v>
      </c>
      <c r="I5301" s="7" t="s">
        <v>451</v>
      </c>
      <c r="J5301" s="7" t="s">
        <v>206</v>
      </c>
      <c r="K5301" s="7" t="n">
        <f aca="false">IFERROR(VALUE(RIGHT(TRIM(F5301),4)),"")</f>
        <v>2019</v>
      </c>
      <c r="L5301" s="7" t="str">
        <f aca="false">IF(TRIM(E5301)="","Unknown",IFERROR(LEFT(TRIM(E5301),FIND(",",TRIM(E5301))-1),TRIM(E5301)))</f>
        <v>Egypt</v>
      </c>
      <c r="M5301" s="7" t="str">
        <f aca="false">IFERROR(LEFT(J5301,FIND(",",J5301)-1),J5301)</f>
        <v>Comedies</v>
      </c>
      <c r="N5301" s="7" t="n">
        <f aca="false">IF(B5301="Movie",IFERROR(VALUE(LEFT(I5301,FIND(" ",I5301)-1)),""),"")</f>
        <v>97</v>
      </c>
      <c r="O5301" s="7" t="str">
        <f aca="false">IF(B5301="TV Show",IFERROR(VALUE(LEFT(I5301,FIND(" ",I5301)-1)),""),"")</f>
        <v/>
      </c>
      <c r="P5301" s="7" t="n">
        <f aca="false">IF(K5301="","",K5301-G5301)</f>
        <v>8</v>
      </c>
    </row>
    <row r="5302" customFormat="false" ht="15" hidden="false" customHeight="false" outlineLevel="0" collapsed="false">
      <c r="A5302" s="7" t="n">
        <v>81035862</v>
      </c>
      <c r="B5302" s="7" t="s">
        <v>68</v>
      </c>
      <c r="C5302" s="7" t="s">
        <v>10629</v>
      </c>
      <c r="D5302" s="7" t="s">
        <v>3524</v>
      </c>
      <c r="E5302" s="7" t="s">
        <v>963</v>
      </c>
      <c r="F5302" s="7" t="s">
        <v>10623</v>
      </c>
      <c r="G5302" s="7" t="n">
        <v>2012</v>
      </c>
      <c r="H5302" s="7" t="s">
        <v>48</v>
      </c>
      <c r="I5302" s="7" t="s">
        <v>451</v>
      </c>
      <c r="J5302" s="7" t="s">
        <v>206</v>
      </c>
      <c r="K5302" s="7" t="n">
        <f aca="false">IFERROR(VALUE(RIGHT(TRIM(F5302),4)),"")</f>
        <v>2019</v>
      </c>
      <c r="L5302" s="7" t="str">
        <f aca="false">IF(TRIM(E5302)="","Unknown",IFERROR(LEFT(TRIM(E5302),FIND(",",TRIM(E5302))-1),TRIM(E5302)))</f>
        <v>Egypt</v>
      </c>
      <c r="M5302" s="7" t="str">
        <f aca="false">IFERROR(LEFT(J5302,FIND(",",J5302)-1),J5302)</f>
        <v>Comedies</v>
      </c>
      <c r="N5302" s="7" t="n">
        <f aca="false">IF(B5302="Movie",IFERROR(VALUE(LEFT(I5302,FIND(" ",I5302)-1)),""),"")</f>
        <v>97</v>
      </c>
      <c r="O5302" s="7" t="str">
        <f aca="false">IF(B5302="TV Show",IFERROR(VALUE(LEFT(I5302,FIND(" ",I5302)-1)),""),"")</f>
        <v/>
      </c>
      <c r="P5302" s="7" t="n">
        <f aca="false">IF(K5302="","",K5302-G5302)</f>
        <v>7</v>
      </c>
    </row>
    <row r="5303" customFormat="false" ht="15" hidden="false" customHeight="false" outlineLevel="0" collapsed="false">
      <c r="A5303" s="7" t="n">
        <v>81094665</v>
      </c>
      <c r="B5303" s="7" t="s">
        <v>68</v>
      </c>
      <c r="C5303" s="7" t="s">
        <v>10630</v>
      </c>
      <c r="D5303" s="7" t="s">
        <v>7637</v>
      </c>
      <c r="E5303" s="7" t="s">
        <v>26</v>
      </c>
      <c r="F5303" s="7" t="s">
        <v>10623</v>
      </c>
      <c r="G5303" s="7" t="n">
        <v>2018</v>
      </c>
      <c r="H5303" s="7" t="s">
        <v>49</v>
      </c>
      <c r="I5303" s="7" t="s">
        <v>212</v>
      </c>
      <c r="J5303" s="7" t="s">
        <v>597</v>
      </c>
      <c r="K5303" s="7" t="n">
        <f aca="false">IFERROR(VALUE(RIGHT(TRIM(F5303),4)),"")</f>
        <v>2019</v>
      </c>
      <c r="L5303" s="7" t="str">
        <f aca="false">IF(TRIM(E5303)="","Unknown",IFERROR(LEFT(TRIM(E5303),FIND(",",TRIM(E5303))-1),TRIM(E5303)))</f>
        <v>United States</v>
      </c>
      <c r="M5303" s="7" t="str">
        <f aca="false">IFERROR(LEFT(J5303,FIND(",",J5303)-1),J5303)</f>
        <v>Dramas</v>
      </c>
      <c r="N5303" s="7" t="n">
        <f aca="false">IF(B5303="Movie",IFERROR(VALUE(LEFT(I5303,FIND(" ",I5303)-1)),""),"")</f>
        <v>86</v>
      </c>
      <c r="O5303" s="7" t="str">
        <f aca="false">IF(B5303="TV Show",IFERROR(VALUE(LEFT(I5303,FIND(" ",I5303)-1)),""),"")</f>
        <v/>
      </c>
      <c r="P5303" s="7" t="n">
        <f aca="false">IF(K5303="","",K5303-G5303)</f>
        <v>1</v>
      </c>
    </row>
    <row r="5304" customFormat="false" ht="15" hidden="false" customHeight="false" outlineLevel="0" collapsed="false">
      <c r="A5304" s="7" t="n">
        <v>81035878</v>
      </c>
      <c r="B5304" s="7" t="s">
        <v>68</v>
      </c>
      <c r="C5304" s="7" t="s">
        <v>10631</v>
      </c>
      <c r="D5304" s="7" t="s">
        <v>5313</v>
      </c>
      <c r="E5304" s="7" t="s">
        <v>963</v>
      </c>
      <c r="F5304" s="7" t="s">
        <v>10623</v>
      </c>
      <c r="G5304" s="7" t="n">
        <v>2011</v>
      </c>
      <c r="H5304" s="7" t="s">
        <v>49</v>
      </c>
      <c r="I5304" s="7" t="s">
        <v>187</v>
      </c>
      <c r="J5304" s="7" t="s">
        <v>2582</v>
      </c>
      <c r="K5304" s="7" t="n">
        <f aca="false">IFERROR(VALUE(RIGHT(TRIM(F5304),4)),"")</f>
        <v>2019</v>
      </c>
      <c r="L5304" s="7" t="str">
        <f aca="false">IF(TRIM(E5304)="","Unknown",IFERROR(LEFT(TRIM(E5304),FIND(",",TRIM(E5304))-1),TRIM(E5304)))</f>
        <v>Egypt</v>
      </c>
      <c r="M5304" s="7" t="str">
        <f aca="false">IFERROR(LEFT(J5304,FIND(",",J5304)-1),J5304)</f>
        <v>Comedies</v>
      </c>
      <c r="N5304" s="7" t="n">
        <f aca="false">IF(B5304="Movie",IFERROR(VALUE(LEFT(I5304,FIND(" ",I5304)-1)),""),"")</f>
        <v>114</v>
      </c>
      <c r="O5304" s="7" t="str">
        <f aca="false">IF(B5304="TV Show",IFERROR(VALUE(LEFT(I5304,FIND(" ",I5304)-1)),""),"")</f>
        <v/>
      </c>
      <c r="P5304" s="7" t="n">
        <f aca="false">IF(K5304="","",K5304-G5304)</f>
        <v>8</v>
      </c>
    </row>
    <row r="5305" customFormat="false" ht="15" hidden="false" customHeight="false" outlineLevel="0" collapsed="false">
      <c r="A5305" s="7" t="n">
        <v>80174683</v>
      </c>
      <c r="B5305" s="7" t="s">
        <v>78</v>
      </c>
      <c r="C5305" s="7" t="s">
        <v>10632</v>
      </c>
      <c r="D5305" s="7" t="s">
        <v>1448</v>
      </c>
      <c r="E5305" s="7" t="s">
        <v>26</v>
      </c>
      <c r="F5305" s="7" t="s">
        <v>10623</v>
      </c>
      <c r="G5305" s="7" t="n">
        <v>2015</v>
      </c>
      <c r="H5305" s="7" t="s">
        <v>51</v>
      </c>
      <c r="I5305" s="7" t="s">
        <v>82</v>
      </c>
      <c r="J5305" s="7" t="s">
        <v>2695</v>
      </c>
      <c r="K5305" s="7" t="n">
        <f aca="false">IFERROR(VALUE(RIGHT(TRIM(F5305),4)),"")</f>
        <v>2019</v>
      </c>
      <c r="L5305" s="7" t="str">
        <f aca="false">IF(TRIM(E5305)="","Unknown",IFERROR(LEFT(TRIM(E5305),FIND(",",TRIM(E5305))-1),TRIM(E5305)))</f>
        <v>United States</v>
      </c>
      <c r="M5305" s="7" t="str">
        <f aca="false">IFERROR(LEFT(J5305,FIND(",",J5305)-1),J5305)</f>
        <v>TV Shows</v>
      </c>
      <c r="N5305" s="7" t="str">
        <f aca="false">IF(B5305="Movie",IFERROR(VALUE(LEFT(I5305,FIND(" ",I5305)-1)),""),"")</f>
        <v/>
      </c>
      <c r="O5305" s="7" t="n">
        <f aca="false">IF(B5305="TV Show",IFERROR(VALUE(LEFT(I5305,FIND(" ",I5305)-1)),""),"")</f>
        <v>1</v>
      </c>
      <c r="P5305" s="7" t="n">
        <f aca="false">IF(K5305="","",K5305-G5305)</f>
        <v>4</v>
      </c>
    </row>
    <row r="5306" customFormat="false" ht="15" hidden="false" customHeight="false" outlineLevel="0" collapsed="false">
      <c r="A5306" s="7" t="n">
        <v>70103759</v>
      </c>
      <c r="B5306" s="7" t="s">
        <v>68</v>
      </c>
      <c r="C5306" s="7" t="s">
        <v>10633</v>
      </c>
      <c r="D5306" s="7" t="s">
        <v>7326</v>
      </c>
      <c r="E5306" s="7" t="s">
        <v>26</v>
      </c>
      <c r="F5306" s="7" t="s">
        <v>10623</v>
      </c>
      <c r="G5306" s="7" t="n">
        <v>2009</v>
      </c>
      <c r="H5306" s="7" t="s">
        <v>51</v>
      </c>
      <c r="I5306" s="7" t="s">
        <v>138</v>
      </c>
      <c r="J5306" s="7" t="s">
        <v>177</v>
      </c>
      <c r="K5306" s="7" t="n">
        <f aca="false">IFERROR(VALUE(RIGHT(TRIM(F5306),4)),"")</f>
        <v>2019</v>
      </c>
      <c r="L5306" s="7" t="str">
        <f aca="false">IF(TRIM(E5306)="","Unknown",IFERROR(LEFT(TRIM(E5306),FIND(",",TRIM(E5306))-1),TRIM(E5306)))</f>
        <v>United States</v>
      </c>
      <c r="M5306" s="7" t="str">
        <f aca="false">IFERROR(LEFT(J5306,FIND(",",J5306)-1),J5306)</f>
        <v>Comedies</v>
      </c>
      <c r="N5306" s="7" t="n">
        <f aca="false">IF(B5306="Movie",IFERROR(VALUE(LEFT(I5306,FIND(" ",I5306)-1)),""),"")</f>
        <v>96</v>
      </c>
      <c r="O5306" s="7" t="str">
        <f aca="false">IF(B5306="TV Show",IFERROR(VALUE(LEFT(I5306,FIND(" ",I5306)-1)),""),"")</f>
        <v/>
      </c>
      <c r="P5306" s="7" t="n">
        <f aca="false">IF(K5306="","",K5306-G5306)</f>
        <v>10</v>
      </c>
    </row>
    <row r="5307" customFormat="false" ht="15" hidden="false" customHeight="false" outlineLevel="0" collapsed="false">
      <c r="A5307" s="7" t="n">
        <v>80182411</v>
      </c>
      <c r="B5307" s="7" t="s">
        <v>68</v>
      </c>
      <c r="C5307" s="7" t="s">
        <v>10634</v>
      </c>
      <c r="D5307" s="7" t="s">
        <v>10635</v>
      </c>
      <c r="E5307" s="7" t="s">
        <v>26</v>
      </c>
      <c r="F5307" s="7" t="s">
        <v>10636</v>
      </c>
      <c r="G5307" s="7" t="n">
        <v>2017</v>
      </c>
      <c r="H5307" s="7" t="s">
        <v>50</v>
      </c>
      <c r="I5307" s="7" t="s">
        <v>451</v>
      </c>
      <c r="J5307" s="7" t="s">
        <v>39</v>
      </c>
      <c r="K5307" s="7" t="n">
        <f aca="false">IFERROR(VALUE(RIGHT(TRIM(F5307),4)),"")</f>
        <v>2018</v>
      </c>
      <c r="L5307" s="7" t="str">
        <f aca="false">IF(TRIM(E5307)="","Unknown",IFERROR(LEFT(TRIM(E5307),FIND(",",TRIM(E5307))-1),TRIM(E5307)))</f>
        <v>United States</v>
      </c>
      <c r="M5307" s="7" t="str">
        <f aca="false">IFERROR(LEFT(J5307,FIND(",",J5307)-1),J5307)</f>
        <v>Documentaries</v>
      </c>
      <c r="N5307" s="7" t="n">
        <f aca="false">IF(B5307="Movie",IFERROR(VALUE(LEFT(I5307,FIND(" ",I5307)-1)),""),"")</f>
        <v>97</v>
      </c>
      <c r="O5307" s="7" t="str">
        <f aca="false">IF(B5307="TV Show",IFERROR(VALUE(LEFT(I5307,FIND(" ",I5307)-1)),""),"")</f>
        <v/>
      </c>
      <c r="P5307" s="7" t="n">
        <f aca="false">IF(K5307="","",K5307-G5307)</f>
        <v>1</v>
      </c>
    </row>
    <row r="5308" customFormat="false" ht="15" hidden="false" customHeight="false" outlineLevel="0" collapsed="false">
      <c r="A5308" s="7" t="n">
        <v>80205442</v>
      </c>
      <c r="B5308" s="7" t="s">
        <v>68</v>
      </c>
      <c r="C5308" s="7" t="s">
        <v>10637</v>
      </c>
      <c r="D5308" s="7" t="s">
        <v>10638</v>
      </c>
      <c r="E5308" s="7" t="s">
        <v>325</v>
      </c>
      <c r="F5308" s="7" t="s">
        <v>10636</v>
      </c>
      <c r="G5308" s="7" t="n">
        <v>2018</v>
      </c>
      <c r="H5308" s="7" t="s">
        <v>119</v>
      </c>
      <c r="I5308" s="7" t="s">
        <v>107</v>
      </c>
      <c r="J5308" s="7" t="s">
        <v>42</v>
      </c>
      <c r="K5308" s="7" t="n">
        <f aca="false">IFERROR(VALUE(RIGHT(TRIM(F5308),4)),"")</f>
        <v>2018</v>
      </c>
      <c r="L5308" s="7" t="str">
        <f aca="false">IF(TRIM(E5308)="","Unknown",IFERROR(LEFT(TRIM(E5308),FIND(",",TRIM(E5308))-1),TRIM(E5308)))</f>
        <v>Brazil</v>
      </c>
      <c r="M5308" s="7" t="str">
        <f aca="false">IFERROR(LEFT(J5308,FIND(",",J5308)-1),J5308)</f>
        <v>Children &amp; Family Movies</v>
      </c>
      <c r="N5308" s="7" t="n">
        <f aca="false">IF(B5308="Movie",IFERROR(VALUE(LEFT(I5308,FIND(" ",I5308)-1)),""),"")</f>
        <v>78</v>
      </c>
      <c r="O5308" s="7" t="str">
        <f aca="false">IF(B5308="TV Show",IFERROR(VALUE(LEFT(I5308,FIND(" ",I5308)-1)),""),"")</f>
        <v/>
      </c>
      <c r="P5308" s="7" t="n">
        <f aca="false">IF(K5308="","",K5308-G5308)</f>
        <v>0</v>
      </c>
    </row>
    <row r="5309" customFormat="false" ht="15" hidden="false" customHeight="false" outlineLevel="0" collapsed="false">
      <c r="A5309" s="7" t="n">
        <v>80226424</v>
      </c>
      <c r="B5309" s="7" t="s">
        <v>68</v>
      </c>
      <c r="C5309" s="7" t="s">
        <v>10639</v>
      </c>
      <c r="D5309" s="7" t="s">
        <v>4732</v>
      </c>
      <c r="E5309" s="7" t="s">
        <v>32</v>
      </c>
      <c r="F5309" s="7" t="s">
        <v>10636</v>
      </c>
      <c r="G5309" s="7" t="n">
        <v>2018</v>
      </c>
      <c r="H5309" s="7" t="s">
        <v>48</v>
      </c>
      <c r="I5309" s="7" t="s">
        <v>181</v>
      </c>
      <c r="J5309" s="7" t="s">
        <v>139</v>
      </c>
      <c r="K5309" s="7" t="n">
        <f aca="false">IFERROR(VALUE(RIGHT(TRIM(F5309),4)),"")</f>
        <v>2018</v>
      </c>
      <c r="L5309" s="7" t="str">
        <f aca="false">IF(TRIM(E5309)="","Unknown",IFERROR(LEFT(TRIM(E5309),FIND(",",TRIM(E5309))-1),TRIM(E5309)))</f>
        <v>South Korea</v>
      </c>
      <c r="M5309" s="7" t="str">
        <f aca="false">IFERROR(LEFT(J5309,FIND(",",J5309)-1),J5309)</f>
        <v>Action &amp; Adventure</v>
      </c>
      <c r="N5309" s="7" t="n">
        <f aca="false">IF(B5309="Movie",IFERROR(VALUE(LEFT(I5309,FIND(" ",I5309)-1)),""),"")</f>
        <v>102</v>
      </c>
      <c r="O5309" s="7" t="str">
        <f aca="false">IF(B5309="TV Show",IFERROR(VALUE(LEFT(I5309,FIND(" ",I5309)-1)),""),"")</f>
        <v/>
      </c>
      <c r="P5309" s="7" t="n">
        <f aca="false">IF(K5309="","",K5309-G5309)</f>
        <v>0</v>
      </c>
    </row>
    <row r="5310" customFormat="false" ht="15" hidden="false" customHeight="false" outlineLevel="0" collapsed="false">
      <c r="A5310" s="7" t="n">
        <v>80158042</v>
      </c>
      <c r="B5310" s="7" t="s">
        <v>68</v>
      </c>
      <c r="C5310" s="7" t="s">
        <v>10640</v>
      </c>
      <c r="D5310" s="7" t="s">
        <v>10641</v>
      </c>
      <c r="E5310" s="7" t="s">
        <v>27</v>
      </c>
      <c r="F5310" s="7" t="s">
        <v>10642</v>
      </c>
      <c r="G5310" s="7" t="n">
        <v>2016</v>
      </c>
      <c r="H5310" s="7" t="s">
        <v>50</v>
      </c>
      <c r="I5310" s="7" t="s">
        <v>921</v>
      </c>
      <c r="J5310" s="7" t="s">
        <v>217</v>
      </c>
      <c r="K5310" s="7" t="n">
        <f aca="false">IFERROR(VALUE(RIGHT(TRIM(F5310),4)),"")</f>
        <v>2017</v>
      </c>
      <c r="L5310" s="7" t="str">
        <f aca="false">IF(TRIM(E5310)="","Unknown",IFERROR(LEFT(TRIM(E5310),FIND(",",TRIM(E5310))-1),TRIM(E5310)))</f>
        <v>India</v>
      </c>
      <c r="M5310" s="7" t="str">
        <f aca="false">IFERROR(LEFT(J5310,FIND(",",J5310)-1),J5310)</f>
        <v>Comedies</v>
      </c>
      <c r="N5310" s="7" t="n">
        <f aca="false">IF(B5310="Movie",IFERROR(VALUE(LEFT(I5310,FIND(" ",I5310)-1)),""),"")</f>
        <v>149</v>
      </c>
      <c r="O5310" s="7" t="str">
        <f aca="false">IF(B5310="TV Show",IFERROR(VALUE(LEFT(I5310,FIND(" ",I5310)-1)),""),"")</f>
        <v/>
      </c>
      <c r="P5310" s="7" t="n">
        <f aca="false">IF(K5310="","",K5310-G5310)</f>
        <v>1</v>
      </c>
    </row>
    <row r="5311" customFormat="false" ht="15" hidden="false" customHeight="false" outlineLevel="0" collapsed="false">
      <c r="A5311" s="7" t="n">
        <v>80117684</v>
      </c>
      <c r="B5311" s="7" t="s">
        <v>68</v>
      </c>
      <c r="C5311" s="7" t="s">
        <v>10643</v>
      </c>
      <c r="D5311" s="7" t="s">
        <v>10644</v>
      </c>
      <c r="E5311" s="7" t="s">
        <v>10645</v>
      </c>
      <c r="F5311" s="7" t="s">
        <v>10642</v>
      </c>
      <c r="G5311" s="7" t="n">
        <v>2016</v>
      </c>
      <c r="H5311" s="7" t="s">
        <v>51</v>
      </c>
      <c r="I5311" s="7" t="s">
        <v>173</v>
      </c>
      <c r="J5311" s="7" t="s">
        <v>304</v>
      </c>
      <c r="K5311" s="7" t="n">
        <f aca="false">IFERROR(VALUE(RIGHT(TRIM(F5311),4)),"")</f>
        <v>2017</v>
      </c>
      <c r="L5311" s="7" t="str">
        <f aca="false">IF(TRIM(E5311)="","Unknown",IFERROR(LEFT(TRIM(E5311),FIND(",",TRIM(E5311))-1),TRIM(E5311)))</f>
        <v>South Africa</v>
      </c>
      <c r="M5311" s="7" t="str">
        <f aca="false">IFERROR(LEFT(J5311,FIND(",",J5311)-1),J5311)</f>
        <v>Dramas</v>
      </c>
      <c r="N5311" s="7" t="n">
        <f aca="false">IF(B5311="Movie",IFERROR(VALUE(LEFT(I5311,FIND(" ",I5311)-1)),""),"")</f>
        <v>106</v>
      </c>
      <c r="O5311" s="7" t="str">
        <f aca="false">IF(B5311="TV Show",IFERROR(VALUE(LEFT(I5311,FIND(" ",I5311)-1)),""),"")</f>
        <v/>
      </c>
      <c r="P5311" s="7" t="n">
        <f aca="false">IF(K5311="","",K5311-G5311)</f>
        <v>1</v>
      </c>
    </row>
    <row r="5312" customFormat="false" ht="15" hidden="false" customHeight="false" outlineLevel="0" collapsed="false">
      <c r="A5312" s="7" t="n">
        <v>80106337</v>
      </c>
      <c r="B5312" s="7" t="s">
        <v>68</v>
      </c>
      <c r="C5312" s="7" t="s">
        <v>10646</v>
      </c>
      <c r="D5312" s="7" t="s">
        <v>10647</v>
      </c>
      <c r="E5312" s="7" t="s">
        <v>4839</v>
      </c>
      <c r="F5312" s="7" t="s">
        <v>10642</v>
      </c>
      <c r="G5312" s="7" t="n">
        <v>2016</v>
      </c>
      <c r="H5312" s="7" t="s">
        <v>48</v>
      </c>
      <c r="I5312" s="7" t="s">
        <v>268</v>
      </c>
      <c r="J5312" s="7" t="s">
        <v>202</v>
      </c>
      <c r="K5312" s="7" t="n">
        <f aca="false">IFERROR(VALUE(RIGHT(TRIM(F5312),4)),"")</f>
        <v>2017</v>
      </c>
      <c r="L5312" s="7" t="str">
        <f aca="false">IF(TRIM(E5312)="","Unknown",IFERROR(LEFT(TRIM(E5312),FIND(",",TRIM(E5312))-1),TRIM(E5312)))</f>
        <v>Sweden</v>
      </c>
      <c r="M5312" s="7" t="str">
        <f aca="false">IFERROR(LEFT(J5312,FIND(",",J5312)-1),J5312)</f>
        <v>Comedies</v>
      </c>
      <c r="N5312" s="7" t="n">
        <f aca="false">IF(B5312="Movie",IFERROR(VALUE(LEFT(I5312,FIND(" ",I5312)-1)),""),"")</f>
        <v>108</v>
      </c>
      <c r="O5312" s="7" t="str">
        <f aca="false">IF(B5312="TV Show",IFERROR(VALUE(LEFT(I5312,FIND(" ",I5312)-1)),""),"")</f>
        <v/>
      </c>
      <c r="P5312" s="7" t="n">
        <f aca="false">IF(K5312="","",K5312-G5312)</f>
        <v>1</v>
      </c>
    </row>
    <row r="5313" customFormat="false" ht="15" hidden="false" customHeight="false" outlineLevel="0" collapsed="false">
      <c r="A5313" s="7" t="n">
        <v>80133552</v>
      </c>
      <c r="B5313" s="7" t="s">
        <v>68</v>
      </c>
      <c r="C5313" s="7" t="s">
        <v>10648</v>
      </c>
      <c r="D5313" s="7" t="s">
        <v>2518</v>
      </c>
      <c r="E5313" s="7" t="s">
        <v>26</v>
      </c>
      <c r="F5313" s="7" t="s">
        <v>10642</v>
      </c>
      <c r="G5313" s="7" t="n">
        <v>2017</v>
      </c>
      <c r="H5313" s="7" t="s">
        <v>48</v>
      </c>
      <c r="I5313" s="7" t="s">
        <v>1317</v>
      </c>
      <c r="J5313" s="7" t="s">
        <v>45</v>
      </c>
      <c r="K5313" s="7" t="n">
        <f aca="false">IFERROR(VALUE(RIGHT(TRIM(F5313),4)),"")</f>
        <v>2017</v>
      </c>
      <c r="L5313" s="7" t="str">
        <f aca="false">IF(TRIM(E5313)="","Unknown",IFERROR(LEFT(TRIM(E5313),FIND(",",TRIM(E5313))-1),TRIM(E5313)))</f>
        <v>United States</v>
      </c>
      <c r="M5313" s="7" t="str">
        <f aca="false">IFERROR(LEFT(J5313,FIND(",",J5313)-1),J5313)</f>
        <v>Stand-Up Comedy</v>
      </c>
      <c r="N5313" s="7" t="n">
        <f aca="false">IF(B5313="Movie",IFERROR(VALUE(LEFT(I5313,FIND(" ",I5313)-1)),""),"")</f>
        <v>66</v>
      </c>
      <c r="O5313" s="7" t="str">
        <f aca="false">IF(B5313="TV Show",IFERROR(VALUE(LEFT(I5313,FIND(" ",I5313)-1)),""),"")</f>
        <v/>
      </c>
      <c r="P5313" s="7" t="n">
        <f aca="false">IF(K5313="","",K5313-G5313)</f>
        <v>0</v>
      </c>
    </row>
    <row r="5314" customFormat="false" ht="15" hidden="false" customHeight="false" outlineLevel="0" collapsed="false">
      <c r="A5314" s="7" t="n">
        <v>80052683</v>
      </c>
      <c r="B5314" s="7" t="s">
        <v>68</v>
      </c>
      <c r="C5314" s="7" t="s">
        <v>10649</v>
      </c>
      <c r="D5314" s="7" t="s">
        <v>10650</v>
      </c>
      <c r="E5314" s="7" t="s">
        <v>10651</v>
      </c>
      <c r="F5314" s="7" t="s">
        <v>10652</v>
      </c>
      <c r="G5314" s="7" t="n">
        <v>2014</v>
      </c>
      <c r="H5314" s="7" t="s">
        <v>53</v>
      </c>
      <c r="I5314" s="7" t="s">
        <v>87</v>
      </c>
      <c r="J5314" s="7" t="s">
        <v>341</v>
      </c>
      <c r="K5314" s="7" t="n">
        <f aca="false">IFERROR(VALUE(RIGHT(TRIM(F5314),4)),"")</f>
        <v>2016</v>
      </c>
      <c r="L5314" s="7" t="str">
        <f aca="false">IF(TRIM(E5314)="","Unknown",IFERROR(LEFT(TRIM(E5314),FIND(",",TRIM(E5314))-1),TRIM(E5314)))</f>
        <v>Denmark</v>
      </c>
      <c r="M5314" s="7" t="str">
        <f aca="false">IFERROR(LEFT(J5314,FIND(",",J5314)-1),J5314)</f>
        <v>Documentaries</v>
      </c>
      <c r="N5314" s="7" t="n">
        <f aca="false">IF(B5314="Movie",IFERROR(VALUE(LEFT(I5314,FIND(" ",I5314)-1)),""),"")</f>
        <v>99</v>
      </c>
      <c r="O5314" s="7" t="str">
        <f aca="false">IF(B5314="TV Show",IFERROR(VALUE(LEFT(I5314,FIND(" ",I5314)-1)),""),"")</f>
        <v/>
      </c>
      <c r="P5314" s="7" t="n">
        <f aca="false">IF(K5314="","",K5314-G5314)</f>
        <v>2</v>
      </c>
    </row>
    <row r="5315" customFormat="false" ht="15" hidden="false" customHeight="false" outlineLevel="0" collapsed="false">
      <c r="A5315" s="7" t="n">
        <v>81077451</v>
      </c>
      <c r="B5315" s="7" t="s">
        <v>68</v>
      </c>
      <c r="C5315" s="7" t="s">
        <v>10653</v>
      </c>
      <c r="D5315" s="7" t="s">
        <v>10654</v>
      </c>
      <c r="E5315" s="7" t="s">
        <v>27</v>
      </c>
      <c r="F5315" s="7" t="s">
        <v>10655</v>
      </c>
      <c r="G5315" s="7" t="n">
        <v>2013</v>
      </c>
      <c r="H5315" s="7" t="s">
        <v>48</v>
      </c>
      <c r="I5315" s="7" t="s">
        <v>87</v>
      </c>
      <c r="J5315" s="7" t="s">
        <v>188</v>
      </c>
      <c r="K5315" s="7" t="n">
        <f aca="false">IFERROR(VALUE(RIGHT(TRIM(F5315),4)),"")</f>
        <v>2019</v>
      </c>
      <c r="L5315" s="7" t="str">
        <f aca="false">IF(TRIM(E5315)="","Unknown",IFERROR(LEFT(TRIM(E5315),FIND(",",TRIM(E5315))-1),TRIM(E5315)))</f>
        <v>India</v>
      </c>
      <c r="M5315" s="7" t="str">
        <f aca="false">IFERROR(LEFT(J5315,FIND(",",J5315)-1),J5315)</f>
        <v>Dramas</v>
      </c>
      <c r="N5315" s="7" t="n">
        <f aca="false">IF(B5315="Movie",IFERROR(VALUE(LEFT(I5315,FIND(" ",I5315)-1)),""),"")</f>
        <v>99</v>
      </c>
      <c r="O5315" s="7" t="str">
        <f aca="false">IF(B5315="TV Show",IFERROR(VALUE(LEFT(I5315,FIND(" ",I5315)-1)),""),"")</f>
        <v/>
      </c>
      <c r="P5315" s="7" t="n">
        <f aca="false">IF(K5315="","",K5315-G5315)</f>
        <v>6</v>
      </c>
    </row>
    <row r="5316" customFormat="false" ht="15" hidden="false" customHeight="false" outlineLevel="0" collapsed="false">
      <c r="A5316" s="7" t="n">
        <v>81014345</v>
      </c>
      <c r="B5316" s="7" t="s">
        <v>68</v>
      </c>
      <c r="C5316" s="7" t="s">
        <v>10656</v>
      </c>
      <c r="D5316" s="7" t="s">
        <v>10657</v>
      </c>
      <c r="E5316" s="7" t="s">
        <v>293</v>
      </c>
      <c r="F5316" s="7" t="s">
        <v>10655</v>
      </c>
      <c r="G5316" s="7" t="n">
        <v>2017</v>
      </c>
      <c r="H5316" s="7" t="s">
        <v>48</v>
      </c>
      <c r="I5316" s="7" t="s">
        <v>264</v>
      </c>
      <c r="J5316" s="7" t="s">
        <v>597</v>
      </c>
      <c r="K5316" s="7" t="n">
        <f aca="false">IFERROR(VALUE(RIGHT(TRIM(F5316),4)),"")</f>
        <v>2019</v>
      </c>
      <c r="L5316" s="7" t="str">
        <f aca="false">IF(TRIM(E5316)="","Unknown",IFERROR(LEFT(TRIM(E5316),FIND(",",TRIM(E5316))-1),TRIM(E5316)))</f>
        <v>United States</v>
      </c>
      <c r="M5316" s="7" t="str">
        <f aca="false">IFERROR(LEFT(J5316,FIND(",",J5316)-1),J5316)</f>
        <v>Dramas</v>
      </c>
      <c r="N5316" s="7" t="n">
        <f aca="false">IF(B5316="Movie",IFERROR(VALUE(LEFT(I5316,FIND(" ",I5316)-1)),""),"")</f>
        <v>88</v>
      </c>
      <c r="O5316" s="7" t="str">
        <f aca="false">IF(B5316="TV Show",IFERROR(VALUE(LEFT(I5316,FIND(" ",I5316)-1)),""),"")</f>
        <v/>
      </c>
      <c r="P5316" s="7" t="n">
        <f aca="false">IF(K5316="","",K5316-G5316)</f>
        <v>2</v>
      </c>
    </row>
    <row r="5317" customFormat="false" ht="15" hidden="false" customHeight="false" outlineLevel="0" collapsed="false">
      <c r="A5317" s="7" t="n">
        <v>80158976</v>
      </c>
      <c r="B5317" s="7" t="s">
        <v>68</v>
      </c>
      <c r="C5317" s="7" t="s">
        <v>10658</v>
      </c>
      <c r="D5317" s="7" t="s">
        <v>6529</v>
      </c>
      <c r="E5317" s="7" t="s">
        <v>26</v>
      </c>
      <c r="F5317" s="7" t="s">
        <v>10659</v>
      </c>
      <c r="G5317" s="7" t="n">
        <v>2018</v>
      </c>
      <c r="H5317" s="7" t="s">
        <v>54</v>
      </c>
      <c r="I5317" s="7" t="s">
        <v>117</v>
      </c>
      <c r="J5317" s="7" t="s">
        <v>45</v>
      </c>
      <c r="K5317" s="7" t="n">
        <f aca="false">IFERROR(VALUE(RIGHT(TRIM(F5317),4)),"")</f>
        <v>2018</v>
      </c>
      <c r="L5317" s="7" t="str">
        <f aca="false">IF(TRIM(E5317)="","Unknown",IFERROR(LEFT(TRIM(E5317),FIND(",",TRIM(E5317))-1),TRIM(E5317)))</f>
        <v>United States</v>
      </c>
      <c r="M5317" s="7" t="str">
        <f aca="false">IFERROR(LEFT(J5317,FIND(",",J5317)-1),J5317)</f>
        <v>Stand-Up Comedy</v>
      </c>
      <c r="N5317" s="7" t="n">
        <f aca="false">IF(B5317="Movie",IFERROR(VALUE(LEFT(I5317,FIND(" ",I5317)-1)),""),"")</f>
        <v>62</v>
      </c>
      <c r="O5317" s="7" t="str">
        <f aca="false">IF(B5317="TV Show",IFERROR(VALUE(LEFT(I5317,FIND(" ",I5317)-1)),""),"")</f>
        <v/>
      </c>
      <c r="P5317" s="7" t="n">
        <f aca="false">IF(K5317="","",K5317-G5317)</f>
        <v>0</v>
      </c>
    </row>
    <row r="5318" customFormat="false" ht="15" hidden="false" customHeight="false" outlineLevel="0" collapsed="false">
      <c r="A5318" s="7" t="n">
        <v>80238655</v>
      </c>
      <c r="B5318" s="7" t="s">
        <v>68</v>
      </c>
      <c r="C5318" s="7" t="s">
        <v>10660</v>
      </c>
      <c r="D5318" s="7" t="s">
        <v>10661</v>
      </c>
      <c r="E5318" s="7" t="s">
        <v>10662</v>
      </c>
      <c r="F5318" s="7" t="s">
        <v>10659</v>
      </c>
      <c r="G5318" s="7" t="n">
        <v>2017</v>
      </c>
      <c r="H5318" s="7" t="s">
        <v>50</v>
      </c>
      <c r="I5318" s="7" t="s">
        <v>73</v>
      </c>
      <c r="J5318" s="7" t="s">
        <v>39</v>
      </c>
      <c r="K5318" s="7" t="n">
        <f aca="false">IFERROR(VALUE(RIGHT(TRIM(F5318),4)),"")</f>
        <v>2018</v>
      </c>
      <c r="L5318" s="7" t="str">
        <f aca="false">IF(TRIM(E5318)="","Unknown",IFERROR(LEFT(TRIM(E5318),FIND(",",TRIM(E5318))-1),TRIM(E5318)))</f>
        <v>United States</v>
      </c>
      <c r="M5318" s="7" t="str">
        <f aca="false">IFERROR(LEFT(J5318,FIND(",",J5318)-1),J5318)</f>
        <v>Documentaries</v>
      </c>
      <c r="N5318" s="7" t="n">
        <f aca="false">IF(B5318="Movie",IFERROR(VALUE(LEFT(I5318,FIND(" ",I5318)-1)),""),"")</f>
        <v>90</v>
      </c>
      <c r="O5318" s="7" t="str">
        <f aca="false">IF(B5318="TV Show",IFERROR(VALUE(LEFT(I5318,FIND(" ",I5318)-1)),""),"")</f>
        <v/>
      </c>
      <c r="P5318" s="7" t="n">
        <f aca="false">IF(K5318="","",K5318-G5318)</f>
        <v>1</v>
      </c>
    </row>
    <row r="5319" customFormat="false" ht="15" hidden="false" customHeight="false" outlineLevel="0" collapsed="false">
      <c r="A5319" s="7" t="n">
        <v>80986854</v>
      </c>
      <c r="B5319" s="7" t="s">
        <v>78</v>
      </c>
      <c r="C5319" s="7" t="s">
        <v>10663</v>
      </c>
      <c r="E5319" s="7" t="s">
        <v>26</v>
      </c>
      <c r="F5319" s="7" t="s">
        <v>10664</v>
      </c>
      <c r="G5319" s="7" t="n">
        <v>2019</v>
      </c>
      <c r="H5319" s="7" t="s">
        <v>48</v>
      </c>
      <c r="I5319" s="7" t="s">
        <v>82</v>
      </c>
      <c r="J5319" s="7" t="s">
        <v>289</v>
      </c>
      <c r="K5319" s="7" t="n">
        <f aca="false">IFERROR(VALUE(RIGHT(TRIM(F5319),4)),"")</f>
        <v>2019</v>
      </c>
      <c r="L5319" s="7" t="str">
        <f aca="false">IF(TRIM(E5319)="","Unknown",IFERROR(LEFT(TRIM(E5319),FIND(",",TRIM(E5319))-1),TRIM(E5319)))</f>
        <v>United States</v>
      </c>
      <c r="M5319" s="7" t="str">
        <f aca="false">IFERROR(LEFT(J5319,FIND(",",J5319)-1),J5319)</f>
        <v>TV Comedies</v>
      </c>
      <c r="N5319" s="7" t="str">
        <f aca="false">IF(B5319="Movie",IFERROR(VALUE(LEFT(I5319,FIND(" ",I5319)-1)),""),"")</f>
        <v/>
      </c>
      <c r="O5319" s="7" t="n">
        <f aca="false">IF(B5319="TV Show",IFERROR(VALUE(LEFT(I5319,FIND(" ",I5319)-1)),""),"")</f>
        <v>1</v>
      </c>
      <c r="P5319" s="7" t="n">
        <f aca="false">IF(K5319="","",K5319-G5319)</f>
        <v>0</v>
      </c>
    </row>
    <row r="5320" customFormat="false" ht="15" hidden="false" customHeight="false" outlineLevel="0" collapsed="false">
      <c r="A5320" s="7" t="n">
        <v>80995078</v>
      </c>
      <c r="B5320" s="7" t="s">
        <v>68</v>
      </c>
      <c r="C5320" s="7" t="s">
        <v>10665</v>
      </c>
      <c r="D5320" s="7" t="s">
        <v>1624</v>
      </c>
      <c r="F5320" s="7" t="s">
        <v>10666</v>
      </c>
      <c r="G5320" s="7" t="n">
        <v>2019</v>
      </c>
      <c r="H5320" s="7" t="s">
        <v>55</v>
      </c>
      <c r="I5320" s="7" t="s">
        <v>1317</v>
      </c>
      <c r="J5320" s="7" t="s">
        <v>74</v>
      </c>
      <c r="K5320" s="7" t="n">
        <f aca="false">IFERROR(VALUE(RIGHT(TRIM(F5320),4)),"")</f>
        <v>2019</v>
      </c>
      <c r="L5320" s="7" t="str">
        <f aca="false">IF(TRIM(E5320)="","Unknown",IFERROR(LEFT(TRIM(E5320),FIND(",",TRIM(E5320))-1),TRIM(E5320)))</f>
        <v>Unknown</v>
      </c>
      <c r="M5320" s="7" t="str">
        <f aca="false">IFERROR(LEFT(J5320,FIND(",",J5320)-1),J5320)</f>
        <v>Children &amp; Family Movies</v>
      </c>
      <c r="N5320" s="7" t="n">
        <f aca="false">IF(B5320="Movie",IFERROR(VALUE(LEFT(I5320,FIND(" ",I5320)-1)),""),"")</f>
        <v>66</v>
      </c>
      <c r="O5320" s="7" t="str">
        <f aca="false">IF(B5320="TV Show",IFERROR(VALUE(LEFT(I5320,FIND(" ",I5320)-1)),""),"")</f>
        <v/>
      </c>
      <c r="P5320" s="7" t="n">
        <f aca="false">IF(K5320="","",K5320-G5320)</f>
        <v>0</v>
      </c>
    </row>
    <row r="5321" customFormat="false" ht="15" hidden="false" customHeight="false" outlineLevel="0" collapsed="false">
      <c r="A5321" s="7" t="n">
        <v>80170611</v>
      </c>
      <c r="B5321" s="7" t="s">
        <v>78</v>
      </c>
      <c r="C5321" s="7" t="s">
        <v>10667</v>
      </c>
      <c r="E5321" s="7" t="s">
        <v>29</v>
      </c>
      <c r="F5321" s="7" t="s">
        <v>10668</v>
      </c>
      <c r="G5321" s="7" t="n">
        <v>2016</v>
      </c>
      <c r="H5321" s="7" t="s">
        <v>55</v>
      </c>
      <c r="I5321" s="7" t="s">
        <v>82</v>
      </c>
      <c r="J5321" s="7" t="s">
        <v>191</v>
      </c>
      <c r="K5321" s="7" t="n">
        <f aca="false">IFERROR(VALUE(RIGHT(TRIM(F5321),4)),"")</f>
        <v>2017</v>
      </c>
      <c r="L5321" s="7" t="str">
        <f aca="false">IF(TRIM(E5321)="","Unknown",IFERROR(LEFT(TRIM(E5321),FIND(",",TRIM(E5321))-1),TRIM(E5321)))</f>
        <v>Canada</v>
      </c>
      <c r="M5321" s="7" t="str">
        <f aca="false">IFERROR(LEFT(J5321,FIND(",",J5321)-1),J5321)</f>
        <v>Kids' TV</v>
      </c>
      <c r="N5321" s="7" t="str">
        <f aca="false">IF(B5321="Movie",IFERROR(VALUE(LEFT(I5321,FIND(" ",I5321)-1)),""),"")</f>
        <v/>
      </c>
      <c r="O5321" s="7" t="n">
        <f aca="false">IF(B5321="TV Show",IFERROR(VALUE(LEFT(I5321,FIND(" ",I5321)-1)),""),"")</f>
        <v>1</v>
      </c>
      <c r="P5321" s="7" t="n">
        <f aca="false">IF(K5321="","",K5321-G5321)</f>
        <v>1</v>
      </c>
    </row>
    <row r="5322" customFormat="false" ht="15" hidden="false" customHeight="false" outlineLevel="0" collapsed="false">
      <c r="A5322" s="7" t="n">
        <v>80003150</v>
      </c>
      <c r="B5322" s="7" t="s">
        <v>68</v>
      </c>
      <c r="C5322" s="7" t="s">
        <v>10669</v>
      </c>
      <c r="D5322" s="7" t="s">
        <v>8028</v>
      </c>
      <c r="E5322" s="7" t="s">
        <v>26</v>
      </c>
      <c r="F5322" s="7" t="s">
        <v>10668</v>
      </c>
      <c r="G5322" s="7" t="n">
        <v>2013</v>
      </c>
      <c r="H5322" s="7" t="s">
        <v>50</v>
      </c>
      <c r="I5322" s="7" t="s">
        <v>1028</v>
      </c>
      <c r="J5322" s="7" t="s">
        <v>341</v>
      </c>
      <c r="K5322" s="7" t="n">
        <f aca="false">IFERROR(VALUE(RIGHT(TRIM(F5322),4)),"")</f>
        <v>2017</v>
      </c>
      <c r="L5322" s="7" t="str">
        <f aca="false">IF(TRIM(E5322)="","Unknown",IFERROR(LEFT(TRIM(E5322),FIND(",",TRIM(E5322))-1),TRIM(E5322)))</f>
        <v>United States</v>
      </c>
      <c r="M5322" s="7" t="str">
        <f aca="false">IFERROR(LEFT(J5322,FIND(",",J5322)-1),J5322)</f>
        <v>Documentaries</v>
      </c>
      <c r="N5322" s="7" t="n">
        <f aca="false">IF(B5322="Movie",IFERROR(VALUE(LEFT(I5322,FIND(" ",I5322)-1)),""),"")</f>
        <v>54</v>
      </c>
      <c r="O5322" s="7" t="str">
        <f aca="false">IF(B5322="TV Show",IFERROR(VALUE(LEFT(I5322,FIND(" ",I5322)-1)),""),"")</f>
        <v/>
      </c>
      <c r="P5322" s="7" t="n">
        <f aca="false">IF(K5322="","",K5322-G5322)</f>
        <v>4</v>
      </c>
    </row>
    <row r="5323" customFormat="false" ht="15" hidden="false" customHeight="false" outlineLevel="0" collapsed="false">
      <c r="A5323" s="7" t="n">
        <v>70296578</v>
      </c>
      <c r="B5323" s="7" t="s">
        <v>68</v>
      </c>
      <c r="C5323" s="7" t="s">
        <v>10670</v>
      </c>
      <c r="D5323" s="7" t="s">
        <v>8024</v>
      </c>
      <c r="E5323" s="7" t="s">
        <v>28</v>
      </c>
      <c r="F5323" s="7" t="s">
        <v>10668</v>
      </c>
      <c r="G5323" s="7" t="n">
        <v>2013</v>
      </c>
      <c r="H5323" s="7" t="s">
        <v>49</v>
      </c>
      <c r="I5323" s="7" t="s">
        <v>1595</v>
      </c>
      <c r="J5323" s="7" t="s">
        <v>39</v>
      </c>
      <c r="K5323" s="7" t="n">
        <f aca="false">IFERROR(VALUE(RIGHT(TRIM(F5323),4)),"")</f>
        <v>2017</v>
      </c>
      <c r="L5323" s="7" t="str">
        <f aca="false">IF(TRIM(E5323)="","Unknown",IFERROR(LEFT(TRIM(E5323),FIND(",",TRIM(E5323))-1),TRIM(E5323)))</f>
        <v>United Kingdom</v>
      </c>
      <c r="M5323" s="7" t="str">
        <f aca="false">IFERROR(LEFT(J5323,FIND(",",J5323)-1),J5323)</f>
        <v>Documentaries</v>
      </c>
      <c r="N5323" s="7" t="n">
        <f aca="false">IF(B5323="Movie",IFERROR(VALUE(LEFT(I5323,FIND(" ",I5323)-1)),""),"")</f>
        <v>55</v>
      </c>
      <c r="O5323" s="7" t="str">
        <f aca="false">IF(B5323="TV Show",IFERROR(VALUE(LEFT(I5323,FIND(" ",I5323)-1)),""),"")</f>
        <v/>
      </c>
      <c r="P5323" s="7" t="n">
        <f aca="false">IF(K5323="","",K5323-G5323)</f>
        <v>4</v>
      </c>
    </row>
    <row r="5324" customFormat="false" ht="15" hidden="false" customHeight="false" outlineLevel="0" collapsed="false">
      <c r="A5324" s="7" t="n">
        <v>70296574</v>
      </c>
      <c r="B5324" s="7" t="s">
        <v>68</v>
      </c>
      <c r="C5324" s="7" t="s">
        <v>10671</v>
      </c>
      <c r="D5324" s="7" t="s">
        <v>8026</v>
      </c>
      <c r="E5324" s="7" t="s">
        <v>26</v>
      </c>
      <c r="F5324" s="7" t="s">
        <v>10668</v>
      </c>
      <c r="G5324" s="7" t="n">
        <v>2014</v>
      </c>
      <c r="H5324" s="7" t="s">
        <v>50</v>
      </c>
      <c r="I5324" s="7" t="s">
        <v>1595</v>
      </c>
      <c r="J5324" s="7" t="s">
        <v>39</v>
      </c>
      <c r="K5324" s="7" t="n">
        <f aca="false">IFERROR(VALUE(RIGHT(TRIM(F5324),4)),"")</f>
        <v>2017</v>
      </c>
      <c r="L5324" s="7" t="str">
        <f aca="false">IF(TRIM(E5324)="","Unknown",IFERROR(LEFT(TRIM(E5324),FIND(",",TRIM(E5324))-1),TRIM(E5324)))</f>
        <v>United States</v>
      </c>
      <c r="M5324" s="7" t="str">
        <f aca="false">IFERROR(LEFT(J5324,FIND(",",J5324)-1),J5324)</f>
        <v>Documentaries</v>
      </c>
      <c r="N5324" s="7" t="n">
        <f aca="false">IF(B5324="Movie",IFERROR(VALUE(LEFT(I5324,FIND(" ",I5324)-1)),""),"")</f>
        <v>55</v>
      </c>
      <c r="O5324" s="7" t="str">
        <f aca="false">IF(B5324="TV Show",IFERROR(VALUE(LEFT(I5324,FIND(" ",I5324)-1)),""),"")</f>
        <v/>
      </c>
      <c r="P5324" s="7" t="n">
        <f aca="false">IF(K5324="","",K5324-G5324)</f>
        <v>3</v>
      </c>
    </row>
    <row r="5325" customFormat="false" ht="15" hidden="false" customHeight="false" outlineLevel="0" collapsed="false">
      <c r="A5325" s="7" t="n">
        <v>70309257</v>
      </c>
      <c r="B5325" s="7" t="s">
        <v>68</v>
      </c>
      <c r="C5325" s="7" t="s">
        <v>10672</v>
      </c>
      <c r="D5325" s="7" t="s">
        <v>10673</v>
      </c>
      <c r="E5325" s="7" t="s">
        <v>28</v>
      </c>
      <c r="F5325" s="7" t="s">
        <v>10668</v>
      </c>
      <c r="G5325" s="7" t="n">
        <v>2014</v>
      </c>
      <c r="H5325" s="7" t="s">
        <v>50</v>
      </c>
      <c r="I5325" s="7" t="s">
        <v>1595</v>
      </c>
      <c r="J5325" s="7" t="s">
        <v>341</v>
      </c>
      <c r="K5325" s="7" t="n">
        <f aca="false">IFERROR(VALUE(RIGHT(TRIM(F5325),4)),"")</f>
        <v>2017</v>
      </c>
      <c r="L5325" s="7" t="str">
        <f aca="false">IF(TRIM(E5325)="","Unknown",IFERROR(LEFT(TRIM(E5325),FIND(",",TRIM(E5325))-1),TRIM(E5325)))</f>
        <v>United Kingdom</v>
      </c>
      <c r="M5325" s="7" t="str">
        <f aca="false">IFERROR(LEFT(J5325,FIND(",",J5325)-1),J5325)</f>
        <v>Documentaries</v>
      </c>
      <c r="N5325" s="7" t="n">
        <f aca="false">IF(B5325="Movie",IFERROR(VALUE(LEFT(I5325,FIND(" ",I5325)-1)),""),"")</f>
        <v>55</v>
      </c>
      <c r="O5325" s="7" t="str">
        <f aca="false">IF(B5325="TV Show",IFERROR(VALUE(LEFT(I5325,FIND(" ",I5325)-1)),""),"")</f>
        <v/>
      </c>
      <c r="P5325" s="7" t="n">
        <f aca="false">IF(K5325="","",K5325-G5325)</f>
        <v>3</v>
      </c>
    </row>
    <row r="5326" customFormat="false" ht="15" hidden="false" customHeight="false" outlineLevel="0" collapsed="false">
      <c r="A5326" s="7" t="n">
        <v>80012520</v>
      </c>
      <c r="B5326" s="7" t="s">
        <v>68</v>
      </c>
      <c r="C5326" s="7" t="s">
        <v>10674</v>
      </c>
      <c r="D5326" s="7" t="s">
        <v>10675</v>
      </c>
      <c r="E5326" s="7" t="s">
        <v>293</v>
      </c>
      <c r="F5326" s="7" t="s">
        <v>10668</v>
      </c>
      <c r="G5326" s="7" t="n">
        <v>2014</v>
      </c>
      <c r="H5326" s="7" t="s">
        <v>50</v>
      </c>
      <c r="I5326" s="7" t="s">
        <v>1595</v>
      </c>
      <c r="J5326" s="7" t="s">
        <v>341</v>
      </c>
      <c r="K5326" s="7" t="n">
        <f aca="false">IFERROR(VALUE(RIGHT(TRIM(F5326),4)),"")</f>
        <v>2017</v>
      </c>
      <c r="L5326" s="7" t="str">
        <f aca="false">IF(TRIM(E5326)="","Unknown",IFERROR(LEFT(TRIM(E5326),FIND(",",TRIM(E5326))-1),TRIM(E5326)))</f>
        <v>United States</v>
      </c>
      <c r="M5326" s="7" t="str">
        <f aca="false">IFERROR(LEFT(J5326,FIND(",",J5326)-1),J5326)</f>
        <v>Documentaries</v>
      </c>
      <c r="N5326" s="7" t="n">
        <f aca="false">IF(B5326="Movie",IFERROR(VALUE(LEFT(I5326,FIND(" ",I5326)-1)),""),"")</f>
        <v>55</v>
      </c>
      <c r="O5326" s="7" t="str">
        <f aca="false">IF(B5326="TV Show",IFERROR(VALUE(LEFT(I5326,FIND(" ",I5326)-1)),""),"")</f>
        <v/>
      </c>
      <c r="P5326" s="7" t="n">
        <f aca="false">IF(K5326="","",K5326-G5326)</f>
        <v>3</v>
      </c>
    </row>
    <row r="5327" customFormat="false" ht="15" hidden="false" customHeight="false" outlineLevel="0" collapsed="false">
      <c r="A5327" s="7" t="n">
        <v>80061161</v>
      </c>
      <c r="B5327" s="7" t="s">
        <v>68</v>
      </c>
      <c r="C5327" s="7" t="s">
        <v>10676</v>
      </c>
      <c r="D5327" s="7" t="s">
        <v>10677</v>
      </c>
      <c r="E5327" s="7" t="s">
        <v>10678</v>
      </c>
      <c r="F5327" s="7" t="s">
        <v>10679</v>
      </c>
      <c r="G5327" s="7" t="n">
        <v>2015</v>
      </c>
      <c r="H5327" s="7" t="s">
        <v>49</v>
      </c>
      <c r="I5327" s="7" t="s">
        <v>1221</v>
      </c>
      <c r="J5327" s="7" t="s">
        <v>39</v>
      </c>
      <c r="K5327" s="7" t="n">
        <f aca="false">IFERROR(VALUE(RIGHT(TRIM(F5327),4)),"")</f>
        <v>2016</v>
      </c>
      <c r="L5327" s="7" t="str">
        <f aca="false">IF(TRIM(E5327)="","Unknown",IFERROR(LEFT(TRIM(E5327),FIND(",",TRIM(E5327))-1),TRIM(E5327)))</f>
        <v>China</v>
      </c>
      <c r="M5327" s="7" t="str">
        <f aca="false">IFERROR(LEFT(J5327,FIND(",",J5327)-1),J5327)</f>
        <v>Documentaries</v>
      </c>
      <c r="N5327" s="7" t="n">
        <f aca="false">IF(B5327="Movie",IFERROR(VALUE(LEFT(I5327,FIND(" ",I5327)-1)),""),"")</f>
        <v>74</v>
      </c>
      <c r="O5327" s="7" t="str">
        <f aca="false">IF(B5327="TV Show",IFERROR(VALUE(LEFT(I5327,FIND(" ",I5327)-1)),""),"")</f>
        <v/>
      </c>
      <c r="P5327" s="7" t="n">
        <f aca="false">IF(K5327="","",K5327-G5327)</f>
        <v>1</v>
      </c>
    </row>
    <row r="5328" customFormat="false" ht="15" hidden="false" customHeight="false" outlineLevel="0" collapsed="false">
      <c r="A5328" s="7" t="n">
        <v>80082862</v>
      </c>
      <c r="B5328" s="7" t="s">
        <v>68</v>
      </c>
      <c r="C5328" s="7" t="s">
        <v>10680</v>
      </c>
      <c r="E5328" s="7" t="s">
        <v>26</v>
      </c>
      <c r="F5328" s="7" t="s">
        <v>10679</v>
      </c>
      <c r="G5328" s="7" t="n">
        <v>2016</v>
      </c>
      <c r="H5328" s="7" t="s">
        <v>48</v>
      </c>
      <c r="I5328" s="7" t="s">
        <v>1317</v>
      </c>
      <c r="J5328" s="7" t="s">
        <v>45</v>
      </c>
      <c r="K5328" s="7" t="n">
        <f aca="false">IFERROR(VALUE(RIGHT(TRIM(F5328),4)),"")</f>
        <v>2016</v>
      </c>
      <c r="L5328" s="7" t="str">
        <f aca="false">IF(TRIM(E5328)="","Unknown",IFERROR(LEFT(TRIM(E5328),FIND(",",TRIM(E5328))-1),TRIM(E5328)))</f>
        <v>United States</v>
      </c>
      <c r="M5328" s="7" t="str">
        <f aca="false">IFERROR(LEFT(J5328,FIND(",",J5328)-1),J5328)</f>
        <v>Stand-Up Comedy</v>
      </c>
      <c r="N5328" s="7" t="n">
        <f aca="false">IF(B5328="Movie",IFERROR(VALUE(LEFT(I5328,FIND(" ",I5328)-1)),""),"")</f>
        <v>66</v>
      </c>
      <c r="O5328" s="7" t="str">
        <f aca="false">IF(B5328="TV Show",IFERROR(VALUE(LEFT(I5328,FIND(" ",I5328)-1)),""),"")</f>
        <v/>
      </c>
      <c r="P5328" s="7" t="n">
        <f aca="false">IF(K5328="","",K5328-G5328)</f>
        <v>0</v>
      </c>
    </row>
    <row r="5329" customFormat="false" ht="15" hidden="false" customHeight="false" outlineLevel="0" collapsed="false">
      <c r="A5329" s="7" t="n">
        <v>70225722</v>
      </c>
      <c r="B5329" s="7" t="s">
        <v>78</v>
      </c>
      <c r="C5329" s="7" t="s">
        <v>850</v>
      </c>
      <c r="E5329" s="7" t="s">
        <v>10681</v>
      </c>
      <c r="F5329" s="7" t="s">
        <v>10682</v>
      </c>
      <c r="G5329" s="7" t="n">
        <v>2009</v>
      </c>
      <c r="H5329" s="7" t="s">
        <v>50</v>
      </c>
      <c r="I5329" s="7" t="s">
        <v>82</v>
      </c>
      <c r="J5329" s="7" t="s">
        <v>306</v>
      </c>
      <c r="K5329" s="7" t="n">
        <f aca="false">IFERROR(VALUE(RIGHT(TRIM(F5329),4)),"")</f>
        <v>2015</v>
      </c>
      <c r="L5329" s="7" t="str">
        <f aca="false">IF(TRIM(E5329)="","Unknown",IFERROR(LEFT(TRIM(E5329),FIND(",",TRIM(E5329))-1),TRIM(E5329)))</f>
        <v>United Kingdom</v>
      </c>
      <c r="M5329" s="7" t="str">
        <f aca="false">IFERROR(LEFT(J5329,FIND(",",J5329)-1),J5329)</f>
        <v>British TV Shows</v>
      </c>
      <c r="N5329" s="7" t="str">
        <f aca="false">IF(B5329="Movie",IFERROR(VALUE(LEFT(I5329,FIND(" ",I5329)-1)),""),"")</f>
        <v/>
      </c>
      <c r="O5329" s="7" t="n">
        <f aca="false">IF(B5329="TV Show",IFERROR(VALUE(LEFT(I5329,FIND(" ",I5329)-1)),""),"")</f>
        <v>1</v>
      </c>
      <c r="P5329" s="7" t="n">
        <f aca="false">IF(K5329="","",K5329-G5329)</f>
        <v>6</v>
      </c>
    </row>
    <row r="5330" customFormat="false" ht="15" hidden="false" customHeight="false" outlineLevel="0" collapsed="false">
      <c r="A5330" s="7" t="n">
        <v>70266023</v>
      </c>
      <c r="B5330" s="7" t="s">
        <v>78</v>
      </c>
      <c r="C5330" s="7" t="s">
        <v>10683</v>
      </c>
      <c r="E5330" s="7" t="s">
        <v>26</v>
      </c>
      <c r="F5330" s="7" t="s">
        <v>10682</v>
      </c>
      <c r="G5330" s="7" t="n">
        <v>2009</v>
      </c>
      <c r="H5330" s="7" t="s">
        <v>226</v>
      </c>
      <c r="I5330" s="7" t="s">
        <v>82</v>
      </c>
      <c r="J5330" s="7" t="s">
        <v>1969</v>
      </c>
      <c r="K5330" s="7" t="n">
        <f aca="false">IFERROR(VALUE(RIGHT(TRIM(F5330),4)),"")</f>
        <v>2015</v>
      </c>
      <c r="L5330" s="7" t="str">
        <f aca="false">IF(TRIM(E5330)="","Unknown",IFERROR(LEFT(TRIM(E5330),FIND(",",TRIM(E5330))-1),TRIM(E5330)))</f>
        <v>United States</v>
      </c>
      <c r="M5330" s="7" t="str">
        <f aca="false">IFERROR(LEFT(J5330,FIND(",",J5330)-1),J5330)</f>
        <v>British TV Shows</v>
      </c>
      <c r="N5330" s="7" t="str">
        <f aca="false">IF(B5330="Movie",IFERROR(VALUE(LEFT(I5330,FIND(" ",I5330)-1)),""),"")</f>
        <v/>
      </c>
      <c r="O5330" s="7" t="n">
        <f aca="false">IF(B5330="TV Show",IFERROR(VALUE(LEFT(I5330,FIND(" ",I5330)-1)),""),"")</f>
        <v>1</v>
      </c>
      <c r="P5330" s="7" t="n">
        <f aca="false">IF(K5330="","",K5330-G5330)</f>
        <v>6</v>
      </c>
    </row>
    <row r="5331" customFormat="false" ht="15" hidden="false" customHeight="false" outlineLevel="0" collapsed="false">
      <c r="A5331" s="7" t="n">
        <v>80045629</v>
      </c>
      <c r="B5331" s="7" t="s">
        <v>78</v>
      </c>
      <c r="C5331" s="7" t="s">
        <v>10684</v>
      </c>
      <c r="E5331" s="7" t="s">
        <v>293</v>
      </c>
      <c r="F5331" s="7" t="s">
        <v>10682</v>
      </c>
      <c r="G5331" s="7" t="n">
        <v>2009</v>
      </c>
      <c r="H5331" s="7" t="s">
        <v>50</v>
      </c>
      <c r="I5331" s="7" t="s">
        <v>82</v>
      </c>
      <c r="J5331" s="7" t="s">
        <v>1969</v>
      </c>
      <c r="K5331" s="7" t="n">
        <f aca="false">IFERROR(VALUE(RIGHT(TRIM(F5331),4)),"")</f>
        <v>2015</v>
      </c>
      <c r="L5331" s="7" t="str">
        <f aca="false">IF(TRIM(E5331)="","Unknown",IFERROR(LEFT(TRIM(E5331),FIND(",",TRIM(E5331))-1),TRIM(E5331)))</f>
        <v>United States</v>
      </c>
      <c r="M5331" s="7" t="str">
        <f aca="false">IFERROR(LEFT(J5331,FIND(",",J5331)-1),J5331)</f>
        <v>British TV Shows</v>
      </c>
      <c r="N5331" s="7" t="str">
        <f aca="false">IF(B5331="Movie",IFERROR(VALUE(LEFT(I5331,FIND(" ",I5331)-1)),""),"")</f>
        <v/>
      </c>
      <c r="O5331" s="7" t="n">
        <f aca="false">IF(B5331="TV Show",IFERROR(VALUE(LEFT(I5331,FIND(" ",I5331)-1)),""),"")</f>
        <v>1</v>
      </c>
      <c r="P5331" s="7" t="n">
        <f aca="false">IF(K5331="","",K5331-G5331)</f>
        <v>6</v>
      </c>
    </row>
    <row r="5332" customFormat="false" ht="15" hidden="false" customHeight="false" outlineLevel="0" collapsed="false">
      <c r="A5332" s="7" t="n">
        <v>70219642</v>
      </c>
      <c r="B5332" s="7" t="s">
        <v>78</v>
      </c>
      <c r="C5332" s="7" t="s">
        <v>10685</v>
      </c>
      <c r="D5332" s="7" t="s">
        <v>1971</v>
      </c>
      <c r="E5332" s="7" t="s">
        <v>28</v>
      </c>
      <c r="F5332" s="7" t="s">
        <v>10682</v>
      </c>
      <c r="G5332" s="7" t="n">
        <v>2006</v>
      </c>
      <c r="H5332" s="7" t="s">
        <v>50</v>
      </c>
      <c r="I5332" s="7" t="s">
        <v>82</v>
      </c>
      <c r="J5332" s="7" t="s">
        <v>306</v>
      </c>
      <c r="K5332" s="7" t="n">
        <f aca="false">IFERROR(VALUE(RIGHT(TRIM(F5332),4)),"")</f>
        <v>2015</v>
      </c>
      <c r="L5332" s="7" t="str">
        <f aca="false">IF(TRIM(E5332)="","Unknown",IFERROR(LEFT(TRIM(E5332),FIND(",",TRIM(E5332))-1),TRIM(E5332)))</f>
        <v>United Kingdom</v>
      </c>
      <c r="M5332" s="7" t="str">
        <f aca="false">IFERROR(LEFT(J5332,FIND(",",J5332)-1),J5332)</f>
        <v>British TV Shows</v>
      </c>
      <c r="N5332" s="7" t="str">
        <f aca="false">IF(B5332="Movie",IFERROR(VALUE(LEFT(I5332,FIND(" ",I5332)-1)),""),"")</f>
        <v/>
      </c>
      <c r="O5332" s="7" t="n">
        <f aca="false">IF(B5332="TV Show",IFERROR(VALUE(LEFT(I5332,FIND(" ",I5332)-1)),""),"")</f>
        <v>1</v>
      </c>
      <c r="P5332" s="7" t="n">
        <f aca="false">IF(K5332="","",K5332-G5332)</f>
        <v>9</v>
      </c>
    </row>
    <row r="5333" customFormat="false" ht="15" hidden="false" customHeight="false" outlineLevel="0" collapsed="false">
      <c r="A5333" s="7" t="n">
        <v>81030755</v>
      </c>
      <c r="B5333" s="7" t="s">
        <v>68</v>
      </c>
      <c r="C5333" s="7" t="s">
        <v>10686</v>
      </c>
      <c r="D5333" s="7" t="s">
        <v>10687</v>
      </c>
      <c r="E5333" s="7" t="s">
        <v>26</v>
      </c>
      <c r="F5333" s="7" t="s">
        <v>10688</v>
      </c>
      <c r="G5333" s="7" t="n">
        <v>2018</v>
      </c>
      <c r="H5333" s="7" t="s">
        <v>49</v>
      </c>
      <c r="I5333" s="7" t="s">
        <v>254</v>
      </c>
      <c r="J5333" s="7" t="s">
        <v>39</v>
      </c>
      <c r="K5333" s="7" t="n">
        <f aca="false">IFERROR(VALUE(RIGHT(TRIM(F5333),4)),"")</f>
        <v>2019</v>
      </c>
      <c r="L5333" s="7" t="str">
        <f aca="false">IF(TRIM(E5333)="","Unknown",IFERROR(LEFT(TRIM(E5333),FIND(",",TRIM(E5333))-1),TRIM(E5333)))</f>
        <v>United States</v>
      </c>
      <c r="M5333" s="7" t="str">
        <f aca="false">IFERROR(LEFT(J5333,FIND(",",J5333)-1),J5333)</f>
        <v>Documentaries</v>
      </c>
      <c r="N5333" s="7" t="n">
        <f aca="false">IF(B5333="Movie",IFERROR(VALUE(LEFT(I5333,FIND(" ",I5333)-1)),""),"")</f>
        <v>70</v>
      </c>
      <c r="O5333" s="7" t="str">
        <f aca="false">IF(B5333="TV Show",IFERROR(VALUE(LEFT(I5333,FIND(" ",I5333)-1)),""),"")</f>
        <v/>
      </c>
      <c r="P5333" s="7" t="n">
        <f aca="false">IF(K5333="","",K5333-G5333)</f>
        <v>1</v>
      </c>
    </row>
    <row r="5334" customFormat="false" ht="15" hidden="false" customHeight="false" outlineLevel="0" collapsed="false">
      <c r="A5334" s="7" t="n">
        <v>80115671</v>
      </c>
      <c r="B5334" s="7" t="s">
        <v>78</v>
      </c>
      <c r="C5334" s="7" t="s">
        <v>10689</v>
      </c>
      <c r="E5334" s="7" t="s">
        <v>26</v>
      </c>
      <c r="F5334" s="7" t="s">
        <v>10690</v>
      </c>
      <c r="G5334" s="7" t="n">
        <v>2017</v>
      </c>
      <c r="H5334" s="7" t="s">
        <v>48</v>
      </c>
      <c r="I5334" s="7" t="s">
        <v>82</v>
      </c>
      <c r="J5334" s="7" t="s">
        <v>289</v>
      </c>
      <c r="K5334" s="7" t="n">
        <f aca="false">IFERROR(VALUE(RIGHT(TRIM(F5334),4)),"")</f>
        <v>2017</v>
      </c>
      <c r="L5334" s="7" t="str">
        <f aca="false">IF(TRIM(E5334)="","Unknown",IFERROR(LEFT(TRIM(E5334),FIND(",",TRIM(E5334))-1),TRIM(E5334)))</f>
        <v>United States</v>
      </c>
      <c r="M5334" s="7" t="str">
        <f aca="false">IFERROR(LEFT(J5334,FIND(",",J5334)-1),J5334)</f>
        <v>TV Comedies</v>
      </c>
      <c r="N5334" s="7" t="str">
        <f aca="false">IF(B5334="Movie",IFERROR(VALUE(LEFT(I5334,FIND(" ",I5334)-1)),""),"")</f>
        <v/>
      </c>
      <c r="O5334" s="7" t="n">
        <f aca="false">IF(B5334="TV Show",IFERROR(VALUE(LEFT(I5334,FIND(" ",I5334)-1)),""),"")</f>
        <v>1</v>
      </c>
      <c r="P5334" s="7" t="n">
        <f aca="false">IF(K5334="","",K5334-G5334)</f>
        <v>0</v>
      </c>
    </row>
    <row r="5335" customFormat="false" ht="15" hidden="false" customHeight="false" outlineLevel="0" collapsed="false">
      <c r="A5335" s="7" t="n">
        <v>80115676</v>
      </c>
      <c r="B5335" s="7" t="s">
        <v>78</v>
      </c>
      <c r="C5335" s="7" t="s">
        <v>10691</v>
      </c>
      <c r="D5335" s="7" t="s">
        <v>10692</v>
      </c>
      <c r="E5335" s="7" t="s">
        <v>26</v>
      </c>
      <c r="F5335" s="7" t="s">
        <v>10690</v>
      </c>
      <c r="G5335" s="7" t="n">
        <v>2017</v>
      </c>
      <c r="H5335" s="7" t="s">
        <v>48</v>
      </c>
      <c r="I5335" s="7" t="s">
        <v>82</v>
      </c>
      <c r="J5335" s="7" t="s">
        <v>164</v>
      </c>
      <c r="K5335" s="7" t="n">
        <f aca="false">IFERROR(VALUE(RIGHT(TRIM(F5335),4)),"")</f>
        <v>2017</v>
      </c>
      <c r="L5335" s="7" t="str">
        <f aca="false">IF(TRIM(E5335)="","Unknown",IFERROR(LEFT(TRIM(E5335),FIND(",",TRIM(E5335))-1),TRIM(E5335)))</f>
        <v>United States</v>
      </c>
      <c r="M5335" s="7" t="str">
        <f aca="false">IFERROR(LEFT(J5335,FIND(",",J5335)-1),J5335)</f>
        <v>Docuseries</v>
      </c>
      <c r="N5335" s="7" t="str">
        <f aca="false">IF(B5335="Movie",IFERROR(VALUE(LEFT(I5335,FIND(" ",I5335)-1)),""),"")</f>
        <v/>
      </c>
      <c r="O5335" s="7" t="n">
        <f aca="false">IF(B5335="TV Show",IFERROR(VALUE(LEFT(I5335,FIND(" ",I5335)-1)),""),"")</f>
        <v>1</v>
      </c>
      <c r="P5335" s="7" t="n">
        <f aca="false">IF(K5335="","",K5335-G5335)</f>
        <v>0</v>
      </c>
    </row>
    <row r="5336" customFormat="false" ht="15" hidden="false" customHeight="false" outlineLevel="0" collapsed="false">
      <c r="A5336" s="7" t="n">
        <v>80118916</v>
      </c>
      <c r="B5336" s="7" t="s">
        <v>68</v>
      </c>
      <c r="C5336" s="7" t="s">
        <v>10693</v>
      </c>
      <c r="D5336" s="7" t="s">
        <v>10694</v>
      </c>
      <c r="E5336" s="7" t="s">
        <v>26</v>
      </c>
      <c r="F5336" s="7" t="s">
        <v>10690</v>
      </c>
      <c r="G5336" s="7" t="n">
        <v>2017</v>
      </c>
      <c r="H5336" s="7" t="s">
        <v>48</v>
      </c>
      <c r="I5336" s="7" t="s">
        <v>146</v>
      </c>
      <c r="J5336" s="7" t="s">
        <v>2939</v>
      </c>
      <c r="K5336" s="7" t="n">
        <f aca="false">IFERROR(VALUE(RIGHT(TRIM(F5336),4)),"")</f>
        <v>2017</v>
      </c>
      <c r="L5336" s="7" t="str">
        <f aca="false">IF(TRIM(E5336)="","Unknown",IFERROR(LEFT(TRIM(E5336),FIND(",",TRIM(E5336))-1),TRIM(E5336)))</f>
        <v>United States</v>
      </c>
      <c r="M5336" s="7" t="str">
        <f aca="false">IFERROR(LEFT(J5336,FIND(",",J5336)-1),J5336)</f>
        <v>Action &amp; Adventure</v>
      </c>
      <c r="N5336" s="7" t="n">
        <f aca="false">IF(B5336="Movie",IFERROR(VALUE(LEFT(I5336,FIND(" ",I5336)-1)),""),"")</f>
        <v>113</v>
      </c>
      <c r="O5336" s="7" t="str">
        <f aca="false">IF(B5336="TV Show",IFERROR(VALUE(LEFT(I5336,FIND(" ",I5336)-1)),""),"")</f>
        <v/>
      </c>
      <c r="P5336" s="7" t="n">
        <f aca="false">IF(K5336="","",K5336-G5336)</f>
        <v>0</v>
      </c>
    </row>
    <row r="5337" customFormat="false" ht="15" hidden="false" customHeight="false" outlineLevel="0" collapsed="false">
      <c r="A5337" s="7" t="n">
        <v>80146759</v>
      </c>
      <c r="B5337" s="7" t="s">
        <v>68</v>
      </c>
      <c r="C5337" s="7" t="s">
        <v>10695</v>
      </c>
      <c r="D5337" s="7" t="s">
        <v>10696</v>
      </c>
      <c r="E5337" s="7" t="s">
        <v>26</v>
      </c>
      <c r="F5337" s="7" t="s">
        <v>10690</v>
      </c>
      <c r="G5337" s="7" t="n">
        <v>2017</v>
      </c>
      <c r="H5337" s="7" t="s">
        <v>48</v>
      </c>
      <c r="I5337" s="7" t="s">
        <v>524</v>
      </c>
      <c r="J5337" s="7" t="s">
        <v>10697</v>
      </c>
      <c r="K5337" s="7" t="n">
        <f aca="false">IFERROR(VALUE(RIGHT(TRIM(F5337),4)),"")</f>
        <v>2017</v>
      </c>
      <c r="L5337" s="7" t="str">
        <f aca="false">IF(TRIM(E5337)="","Unknown",IFERROR(LEFT(TRIM(E5337),FIND(",",TRIM(E5337))-1),TRIM(E5337)))</f>
        <v>United States</v>
      </c>
      <c r="M5337" s="7" t="str">
        <f aca="false">IFERROR(LEFT(J5337,FIND(",",J5337)-1),J5337)</f>
        <v>Independent Movies</v>
      </c>
      <c r="N5337" s="7" t="n">
        <f aca="false">IF(B5337="Movie",IFERROR(VALUE(LEFT(I5337,FIND(" ",I5337)-1)),""),"")</f>
        <v>83</v>
      </c>
      <c r="O5337" s="7" t="str">
        <f aca="false">IF(B5337="TV Show",IFERROR(VALUE(LEFT(I5337,FIND(" ",I5337)-1)),""),"")</f>
        <v/>
      </c>
      <c r="P5337" s="7" t="n">
        <f aca="false">IF(K5337="","",K5337-G5337)</f>
        <v>0</v>
      </c>
    </row>
    <row r="5338" customFormat="false" ht="15" hidden="false" customHeight="false" outlineLevel="0" collapsed="false">
      <c r="A5338" s="7" t="n">
        <v>81073387</v>
      </c>
      <c r="B5338" s="7" t="s">
        <v>68</v>
      </c>
      <c r="C5338" s="7" t="s">
        <v>10698</v>
      </c>
      <c r="D5338" s="7" t="s">
        <v>10699</v>
      </c>
      <c r="E5338" s="7" t="s">
        <v>3075</v>
      </c>
      <c r="F5338" s="7" t="s">
        <v>10700</v>
      </c>
      <c r="G5338" s="7" t="n">
        <v>2018</v>
      </c>
      <c r="H5338" s="7" t="s">
        <v>49</v>
      </c>
      <c r="I5338" s="7" t="s">
        <v>1449</v>
      </c>
      <c r="J5338" s="7" t="s">
        <v>304</v>
      </c>
      <c r="K5338" s="7" t="n">
        <f aca="false">IFERROR(VALUE(RIGHT(TRIM(F5338),4)),"")</f>
        <v>2019</v>
      </c>
      <c r="L5338" s="7" t="str">
        <f aca="false">IF(TRIM(E5338)="","Unknown",IFERROR(LEFT(TRIM(E5338),FIND(",",TRIM(E5338))-1),TRIM(E5338)))</f>
        <v>Denmark</v>
      </c>
      <c r="M5338" s="7" t="str">
        <f aca="false">IFERROR(LEFT(J5338,FIND(",",J5338)-1),J5338)</f>
        <v>Dramas</v>
      </c>
      <c r="N5338" s="7" t="n">
        <f aca="false">IF(B5338="Movie",IFERROR(VALUE(LEFT(I5338,FIND(" ",I5338)-1)),""),"")</f>
        <v>168</v>
      </c>
      <c r="O5338" s="7" t="str">
        <f aca="false">IF(B5338="TV Show",IFERROR(VALUE(LEFT(I5338,FIND(" ",I5338)-1)),""),"")</f>
        <v/>
      </c>
      <c r="P5338" s="7" t="n">
        <f aca="false">IF(K5338="","",K5338-G5338)</f>
        <v>1</v>
      </c>
    </row>
    <row r="5339" customFormat="false" ht="15" hidden="false" customHeight="false" outlineLevel="0" collapsed="false">
      <c r="A5339" s="7" t="n">
        <v>80213712</v>
      </c>
      <c r="B5339" s="7" t="s">
        <v>68</v>
      </c>
      <c r="C5339" s="7" t="s">
        <v>10701</v>
      </c>
      <c r="D5339" s="7" t="s">
        <v>10702</v>
      </c>
      <c r="F5339" s="7" t="s">
        <v>10700</v>
      </c>
      <c r="G5339" s="7" t="n">
        <v>2019</v>
      </c>
      <c r="H5339" s="7" t="s">
        <v>48</v>
      </c>
      <c r="I5339" s="7" t="s">
        <v>134</v>
      </c>
      <c r="J5339" s="7" t="s">
        <v>39</v>
      </c>
      <c r="K5339" s="7" t="n">
        <f aca="false">IFERROR(VALUE(RIGHT(TRIM(F5339),4)),"")</f>
        <v>2019</v>
      </c>
      <c r="L5339" s="7" t="str">
        <f aca="false">IF(TRIM(E5339)="","Unknown",IFERROR(LEFT(TRIM(E5339),FIND(",",TRIM(E5339))-1),TRIM(E5339)))</f>
        <v>Unknown</v>
      </c>
      <c r="M5339" s="7" t="str">
        <f aca="false">IFERROR(LEFT(J5339,FIND(",",J5339)-1),J5339)</f>
        <v>Documentaries</v>
      </c>
      <c r="N5339" s="7" t="n">
        <f aca="false">IF(B5339="Movie",IFERROR(VALUE(LEFT(I5339,FIND(" ",I5339)-1)),""),"")</f>
        <v>98</v>
      </c>
      <c r="O5339" s="7" t="str">
        <f aca="false">IF(B5339="TV Show",IFERROR(VALUE(LEFT(I5339,FIND(" ",I5339)-1)),""),"")</f>
        <v/>
      </c>
      <c r="P5339" s="7" t="n">
        <f aca="false">IF(K5339="","",K5339-G5339)</f>
        <v>0</v>
      </c>
    </row>
    <row r="5340" customFormat="false" ht="15" hidden="false" customHeight="false" outlineLevel="0" collapsed="false">
      <c r="A5340" s="7" t="n">
        <v>80207606</v>
      </c>
      <c r="B5340" s="7" t="s">
        <v>68</v>
      </c>
      <c r="C5340" s="7" t="s">
        <v>10703</v>
      </c>
      <c r="D5340" s="7" t="s">
        <v>10704</v>
      </c>
      <c r="E5340" s="7" t="s">
        <v>29</v>
      </c>
      <c r="F5340" s="7" t="s">
        <v>10700</v>
      </c>
      <c r="G5340" s="7" t="n">
        <v>2018</v>
      </c>
      <c r="H5340" s="7" t="s">
        <v>48</v>
      </c>
      <c r="I5340" s="7" t="s">
        <v>357</v>
      </c>
      <c r="J5340" s="7" t="s">
        <v>155</v>
      </c>
      <c r="K5340" s="7" t="n">
        <f aca="false">IFERROR(VALUE(RIGHT(TRIM(F5340),4)),"")</f>
        <v>2019</v>
      </c>
      <c r="L5340" s="7" t="str">
        <f aca="false">IF(TRIM(E5340)="","Unknown",IFERROR(LEFT(TRIM(E5340),FIND(",",TRIM(E5340))-1),TRIM(E5340)))</f>
        <v>Canada</v>
      </c>
      <c r="M5340" s="7" t="str">
        <f aca="false">IFERROR(LEFT(J5340,FIND(",",J5340)-1),J5340)</f>
        <v>Dramas</v>
      </c>
      <c r="N5340" s="7" t="n">
        <f aca="false">IF(B5340="Movie",IFERROR(VALUE(LEFT(I5340,FIND(" ",I5340)-1)),""),"")</f>
        <v>89</v>
      </c>
      <c r="O5340" s="7" t="str">
        <f aca="false">IF(B5340="TV Show",IFERROR(VALUE(LEFT(I5340,FIND(" ",I5340)-1)),""),"")</f>
        <v/>
      </c>
      <c r="P5340" s="7" t="n">
        <f aca="false">IF(K5340="","",K5340-G5340)</f>
        <v>1</v>
      </c>
    </row>
    <row r="5341" customFormat="false" ht="15" hidden="false" customHeight="false" outlineLevel="0" collapsed="false">
      <c r="A5341" s="7" t="n">
        <v>80239640</v>
      </c>
      <c r="B5341" s="7" t="s">
        <v>78</v>
      </c>
      <c r="C5341" s="7" t="s">
        <v>10705</v>
      </c>
      <c r="F5341" s="7" t="s">
        <v>10706</v>
      </c>
      <c r="G5341" s="7" t="n">
        <v>2017</v>
      </c>
      <c r="H5341" s="7" t="s">
        <v>49</v>
      </c>
      <c r="I5341" s="7" t="s">
        <v>82</v>
      </c>
      <c r="J5341" s="7" t="s">
        <v>314</v>
      </c>
      <c r="K5341" s="7" t="n">
        <f aca="false">IFERROR(VALUE(RIGHT(TRIM(F5341),4)),"")</f>
        <v>2018</v>
      </c>
      <c r="L5341" s="7" t="str">
        <f aca="false">IF(TRIM(E5341)="","Unknown",IFERROR(LEFT(TRIM(E5341),FIND(",",TRIM(E5341))-1),TRIM(E5341)))</f>
        <v>Unknown</v>
      </c>
      <c r="M5341" s="7" t="str">
        <f aca="false">IFERROR(LEFT(J5341,FIND(",",J5341)-1),J5341)</f>
        <v>International TV Shows</v>
      </c>
      <c r="N5341" s="7" t="str">
        <f aca="false">IF(B5341="Movie",IFERROR(VALUE(LEFT(I5341,FIND(" ",I5341)-1)),""),"")</f>
        <v/>
      </c>
      <c r="O5341" s="7" t="n">
        <f aca="false">IF(B5341="TV Show",IFERROR(VALUE(LEFT(I5341,FIND(" ",I5341)-1)),""),"")</f>
        <v>1</v>
      </c>
      <c r="P5341" s="7" t="n">
        <f aca="false">IF(K5341="","",K5341-G5341)</f>
        <v>1</v>
      </c>
    </row>
    <row r="5342" customFormat="false" ht="15" hidden="false" customHeight="false" outlineLevel="0" collapsed="false">
      <c r="A5342" s="7" t="n">
        <v>80240024</v>
      </c>
      <c r="B5342" s="7" t="s">
        <v>78</v>
      </c>
      <c r="C5342" s="7" t="s">
        <v>10707</v>
      </c>
      <c r="F5342" s="7" t="s">
        <v>10706</v>
      </c>
      <c r="G5342" s="7" t="n">
        <v>2016</v>
      </c>
      <c r="H5342" s="7" t="s">
        <v>48</v>
      </c>
      <c r="I5342" s="7" t="s">
        <v>82</v>
      </c>
      <c r="J5342" s="7" t="s">
        <v>314</v>
      </c>
      <c r="K5342" s="7" t="n">
        <f aca="false">IFERROR(VALUE(RIGHT(TRIM(F5342),4)),"")</f>
        <v>2018</v>
      </c>
      <c r="L5342" s="7" t="str">
        <f aca="false">IF(TRIM(E5342)="","Unknown",IFERROR(LEFT(TRIM(E5342),FIND(",",TRIM(E5342))-1),TRIM(E5342)))</f>
        <v>Unknown</v>
      </c>
      <c r="M5342" s="7" t="str">
        <f aca="false">IFERROR(LEFT(J5342,FIND(",",J5342)-1),J5342)</f>
        <v>International TV Shows</v>
      </c>
      <c r="N5342" s="7" t="str">
        <f aca="false">IF(B5342="Movie",IFERROR(VALUE(LEFT(I5342,FIND(" ",I5342)-1)),""),"")</f>
        <v/>
      </c>
      <c r="O5342" s="7" t="n">
        <f aca="false">IF(B5342="TV Show",IFERROR(VALUE(LEFT(I5342,FIND(" ",I5342)-1)),""),"")</f>
        <v>1</v>
      </c>
      <c r="P5342" s="7" t="n">
        <f aca="false">IF(K5342="","",K5342-G5342)</f>
        <v>2</v>
      </c>
    </row>
    <row r="5343" customFormat="false" ht="15" hidden="false" customHeight="false" outlineLevel="0" collapsed="false">
      <c r="A5343" s="7" t="n">
        <v>80239865</v>
      </c>
      <c r="B5343" s="7" t="s">
        <v>78</v>
      </c>
      <c r="C5343" s="7" t="s">
        <v>10708</v>
      </c>
      <c r="F5343" s="7" t="s">
        <v>10706</v>
      </c>
      <c r="G5343" s="7" t="n">
        <v>2016</v>
      </c>
      <c r="H5343" s="7" t="s">
        <v>48</v>
      </c>
      <c r="I5343" s="7" t="s">
        <v>82</v>
      </c>
      <c r="J5343" s="7" t="s">
        <v>314</v>
      </c>
      <c r="K5343" s="7" t="n">
        <f aca="false">IFERROR(VALUE(RIGHT(TRIM(F5343),4)),"")</f>
        <v>2018</v>
      </c>
      <c r="L5343" s="7" t="str">
        <f aca="false">IF(TRIM(E5343)="","Unknown",IFERROR(LEFT(TRIM(E5343),FIND(",",TRIM(E5343))-1),TRIM(E5343)))</f>
        <v>Unknown</v>
      </c>
      <c r="M5343" s="7" t="str">
        <f aca="false">IFERROR(LEFT(J5343,FIND(",",J5343)-1),J5343)</f>
        <v>International TV Shows</v>
      </c>
      <c r="N5343" s="7" t="str">
        <f aca="false">IF(B5343="Movie",IFERROR(VALUE(LEFT(I5343,FIND(" ",I5343)-1)),""),"")</f>
        <v/>
      </c>
      <c r="O5343" s="7" t="n">
        <f aca="false">IF(B5343="TV Show",IFERROR(VALUE(LEFT(I5343,FIND(" ",I5343)-1)),""),"")</f>
        <v>1</v>
      </c>
      <c r="P5343" s="7" t="n">
        <f aca="false">IF(K5343="","",K5343-G5343)</f>
        <v>2</v>
      </c>
    </row>
    <row r="5344" customFormat="false" ht="15" hidden="false" customHeight="false" outlineLevel="0" collapsed="false">
      <c r="A5344" s="7" t="n">
        <v>80192186</v>
      </c>
      <c r="B5344" s="7" t="s">
        <v>68</v>
      </c>
      <c r="C5344" s="7" t="s">
        <v>10709</v>
      </c>
      <c r="D5344" s="7" t="s">
        <v>10710</v>
      </c>
      <c r="E5344" s="7" t="s">
        <v>26</v>
      </c>
      <c r="F5344" s="7" t="s">
        <v>10706</v>
      </c>
      <c r="G5344" s="7" t="n">
        <v>2018</v>
      </c>
      <c r="H5344" s="7" t="s">
        <v>48</v>
      </c>
      <c r="I5344" s="7" t="s">
        <v>451</v>
      </c>
      <c r="J5344" s="7" t="s">
        <v>198</v>
      </c>
      <c r="K5344" s="7" t="n">
        <f aca="false">IFERROR(VALUE(RIGHT(TRIM(F5344),4)),"")</f>
        <v>2018</v>
      </c>
      <c r="L5344" s="7" t="str">
        <f aca="false">IF(TRIM(E5344)="","Unknown",IFERROR(LEFT(TRIM(E5344),FIND(",",TRIM(E5344))-1),TRIM(E5344)))</f>
        <v>United States</v>
      </c>
      <c r="M5344" s="7" t="str">
        <f aca="false">IFERROR(LEFT(J5344,FIND(",",J5344)-1),J5344)</f>
        <v>Comedies</v>
      </c>
      <c r="N5344" s="7" t="n">
        <f aca="false">IF(B5344="Movie",IFERROR(VALUE(LEFT(I5344,FIND(" ",I5344)-1)),""),"")</f>
        <v>97</v>
      </c>
      <c r="O5344" s="7" t="str">
        <f aca="false">IF(B5344="TV Show",IFERROR(VALUE(LEFT(I5344,FIND(" ",I5344)-1)),""),"")</f>
        <v/>
      </c>
      <c r="P5344" s="7" t="n">
        <f aca="false">IF(K5344="","",K5344-G5344)</f>
        <v>0</v>
      </c>
    </row>
    <row r="5345" customFormat="false" ht="15" hidden="false" customHeight="false" outlineLevel="0" collapsed="false">
      <c r="A5345" s="7" t="n">
        <v>80216834</v>
      </c>
      <c r="B5345" s="7" t="s">
        <v>68</v>
      </c>
      <c r="C5345" s="7" t="s">
        <v>10711</v>
      </c>
      <c r="D5345" s="7" t="s">
        <v>10712</v>
      </c>
      <c r="E5345" s="7" t="s">
        <v>619</v>
      </c>
      <c r="F5345" s="7" t="s">
        <v>10706</v>
      </c>
      <c r="G5345" s="7" t="n">
        <v>2018</v>
      </c>
      <c r="H5345" s="7" t="s">
        <v>48</v>
      </c>
      <c r="I5345" s="7" t="s">
        <v>820</v>
      </c>
      <c r="J5345" s="7" t="s">
        <v>251</v>
      </c>
      <c r="K5345" s="7" t="n">
        <f aca="false">IFERROR(VALUE(RIGHT(TRIM(F5345),4)),"")</f>
        <v>2018</v>
      </c>
      <c r="L5345" s="7" t="str">
        <f aca="false">IF(TRIM(E5345)="","Unknown",IFERROR(LEFT(TRIM(E5345),FIND(",",TRIM(E5345))-1),TRIM(E5345)))</f>
        <v>Canada</v>
      </c>
      <c r="M5345" s="7" t="str">
        <f aca="false">IFERROR(LEFT(J5345,FIND(",",J5345)-1),J5345)</f>
        <v>Comedies</v>
      </c>
      <c r="N5345" s="7" t="n">
        <f aca="false">IF(B5345="Movie",IFERROR(VALUE(LEFT(I5345,FIND(" ",I5345)-1)),""),"")</f>
        <v>105</v>
      </c>
      <c r="O5345" s="7" t="str">
        <f aca="false">IF(B5345="TV Show",IFERROR(VALUE(LEFT(I5345,FIND(" ",I5345)-1)),""),"")</f>
        <v/>
      </c>
      <c r="P5345" s="7" t="n">
        <f aca="false">IF(K5345="","",K5345-G5345)</f>
        <v>0</v>
      </c>
    </row>
    <row r="5346" customFormat="false" ht="15" hidden="false" customHeight="false" outlineLevel="0" collapsed="false">
      <c r="A5346" s="7" t="n">
        <v>80174436</v>
      </c>
      <c r="B5346" s="7" t="s">
        <v>68</v>
      </c>
      <c r="C5346" s="7" t="s">
        <v>10713</v>
      </c>
      <c r="D5346" s="7" t="s">
        <v>10714</v>
      </c>
      <c r="E5346" s="7" t="s">
        <v>26</v>
      </c>
      <c r="F5346" s="7" t="s">
        <v>10706</v>
      </c>
      <c r="G5346" s="7" t="n">
        <v>2018</v>
      </c>
      <c r="H5346" s="7" t="s">
        <v>50</v>
      </c>
      <c r="I5346" s="7" t="s">
        <v>143</v>
      </c>
      <c r="J5346" s="7" t="s">
        <v>39</v>
      </c>
      <c r="K5346" s="7" t="n">
        <f aca="false">IFERROR(VALUE(RIGHT(TRIM(F5346),4)),"")</f>
        <v>2018</v>
      </c>
      <c r="L5346" s="7" t="str">
        <f aca="false">IF(TRIM(E5346)="","Unknown",IFERROR(LEFT(TRIM(E5346),FIND(",",TRIM(E5346))-1),TRIM(E5346)))</f>
        <v>United States</v>
      </c>
      <c r="M5346" s="7" t="str">
        <f aca="false">IFERROR(LEFT(J5346,FIND(",",J5346)-1),J5346)</f>
        <v>Documentaries</v>
      </c>
      <c r="N5346" s="7" t="n">
        <f aca="false">IF(B5346="Movie",IFERROR(VALUE(LEFT(I5346,FIND(" ",I5346)-1)),""),"")</f>
        <v>79</v>
      </c>
      <c r="O5346" s="7" t="str">
        <f aca="false">IF(B5346="TV Show",IFERROR(VALUE(LEFT(I5346,FIND(" ",I5346)-1)),""),"")</f>
        <v/>
      </c>
      <c r="P5346" s="7" t="n">
        <f aca="false">IF(K5346="","",K5346-G5346)</f>
        <v>0</v>
      </c>
    </row>
    <row r="5347" customFormat="false" ht="15" hidden="false" customHeight="false" outlineLevel="0" collapsed="false">
      <c r="A5347" s="7" t="n">
        <v>70241596</v>
      </c>
      <c r="B5347" s="7" t="s">
        <v>68</v>
      </c>
      <c r="C5347" s="7" t="s">
        <v>10715</v>
      </c>
      <c r="D5347" s="7" t="s">
        <v>10716</v>
      </c>
      <c r="E5347" s="7" t="s">
        <v>26</v>
      </c>
      <c r="F5347" s="7" t="s">
        <v>10717</v>
      </c>
      <c r="G5347" s="7" t="n">
        <v>2012</v>
      </c>
      <c r="H5347" s="7" t="s">
        <v>51</v>
      </c>
      <c r="I5347" s="7" t="s">
        <v>661</v>
      </c>
      <c r="J5347" s="7" t="s">
        <v>38</v>
      </c>
      <c r="K5347" s="7" t="n">
        <f aca="false">IFERROR(VALUE(RIGHT(TRIM(F5347),4)),"")</f>
        <v>2016</v>
      </c>
      <c r="L5347" s="7" t="str">
        <f aca="false">IF(TRIM(E5347)="","Unknown",IFERROR(LEFT(TRIM(E5347),FIND(",",TRIM(E5347))-1),TRIM(E5347)))</f>
        <v>United States</v>
      </c>
      <c r="M5347" s="7" t="str">
        <f aca="false">IFERROR(LEFT(J5347,FIND(",",J5347)-1),J5347)</f>
        <v>Comedies</v>
      </c>
      <c r="N5347" s="7" t="n">
        <f aca="false">IF(B5347="Movie",IFERROR(VALUE(LEFT(I5347,FIND(" ",I5347)-1)),""),"")</f>
        <v>76</v>
      </c>
      <c r="O5347" s="7" t="str">
        <f aca="false">IF(B5347="TV Show",IFERROR(VALUE(LEFT(I5347,FIND(" ",I5347)-1)),""),"")</f>
        <v/>
      </c>
      <c r="P5347" s="7" t="n">
        <f aca="false">IF(K5347="","",K5347-G5347)</f>
        <v>4</v>
      </c>
    </row>
    <row r="5348" customFormat="false" ht="15" hidden="false" customHeight="false" outlineLevel="0" collapsed="false">
      <c r="A5348" s="7" t="n">
        <v>80174097</v>
      </c>
      <c r="B5348" s="7" t="s">
        <v>68</v>
      </c>
      <c r="C5348" s="7" t="s">
        <v>10718</v>
      </c>
      <c r="D5348" s="7" t="s">
        <v>6301</v>
      </c>
      <c r="E5348" s="7" t="s">
        <v>26</v>
      </c>
      <c r="F5348" s="7" t="s">
        <v>10719</v>
      </c>
      <c r="G5348" s="7" t="n">
        <v>2016</v>
      </c>
      <c r="H5348" s="7" t="s">
        <v>48</v>
      </c>
      <c r="I5348" s="7" t="s">
        <v>212</v>
      </c>
      <c r="J5348" s="7" t="s">
        <v>177</v>
      </c>
      <c r="K5348" s="7" t="n">
        <f aca="false">IFERROR(VALUE(RIGHT(TRIM(F5348),4)),"")</f>
        <v>2019</v>
      </c>
      <c r="L5348" s="7" t="str">
        <f aca="false">IF(TRIM(E5348)="","Unknown",IFERROR(LEFT(TRIM(E5348),FIND(",",TRIM(E5348))-1),TRIM(E5348)))</f>
        <v>United States</v>
      </c>
      <c r="M5348" s="7" t="str">
        <f aca="false">IFERROR(LEFT(J5348,FIND(",",J5348)-1),J5348)</f>
        <v>Comedies</v>
      </c>
      <c r="N5348" s="7" t="n">
        <f aca="false">IF(B5348="Movie",IFERROR(VALUE(LEFT(I5348,FIND(" ",I5348)-1)),""),"")</f>
        <v>86</v>
      </c>
      <c r="O5348" s="7" t="str">
        <f aca="false">IF(B5348="TV Show",IFERROR(VALUE(LEFT(I5348,FIND(" ",I5348)-1)),""),"")</f>
        <v/>
      </c>
      <c r="P5348" s="7" t="n">
        <f aca="false">IF(K5348="","",K5348-G5348)</f>
        <v>3</v>
      </c>
    </row>
    <row r="5349" customFormat="false" ht="15" hidden="false" customHeight="false" outlineLevel="0" collapsed="false">
      <c r="A5349" s="7" t="n">
        <v>81076749</v>
      </c>
      <c r="B5349" s="7" t="s">
        <v>68</v>
      </c>
      <c r="C5349" s="7" t="s">
        <v>10720</v>
      </c>
      <c r="D5349" s="7" t="s">
        <v>10721</v>
      </c>
      <c r="E5349" s="7" t="s">
        <v>27</v>
      </c>
      <c r="F5349" s="7" t="s">
        <v>10719</v>
      </c>
      <c r="G5349" s="7" t="n">
        <v>2019</v>
      </c>
      <c r="H5349" s="7" t="s">
        <v>49</v>
      </c>
      <c r="I5349" s="7" t="s">
        <v>2551</v>
      </c>
      <c r="J5349" s="7" t="s">
        <v>217</v>
      </c>
      <c r="K5349" s="7" t="n">
        <f aca="false">IFERROR(VALUE(RIGHT(TRIM(F5349),4)),"")</f>
        <v>2019</v>
      </c>
      <c r="L5349" s="7" t="str">
        <f aca="false">IF(TRIM(E5349)="","Unknown",IFERROR(LEFT(TRIM(E5349),FIND(",",TRIM(E5349))-1),TRIM(E5349)))</f>
        <v>India</v>
      </c>
      <c r="M5349" s="7" t="str">
        <f aca="false">IFERROR(LEFT(J5349,FIND(",",J5349)-1),J5349)</f>
        <v>Comedies</v>
      </c>
      <c r="N5349" s="7" t="n">
        <f aca="false">IF(B5349="Movie",IFERROR(VALUE(LEFT(I5349,FIND(" ",I5349)-1)),""),"")</f>
        <v>120</v>
      </c>
      <c r="O5349" s="7" t="str">
        <f aca="false">IF(B5349="TV Show",IFERROR(VALUE(LEFT(I5349,FIND(" ",I5349)-1)),""),"")</f>
        <v/>
      </c>
      <c r="P5349" s="7" t="n">
        <f aca="false">IF(K5349="","",K5349-G5349)</f>
        <v>0</v>
      </c>
    </row>
    <row r="5350" customFormat="false" ht="15" hidden="false" customHeight="false" outlineLevel="0" collapsed="false">
      <c r="A5350" s="7" t="n">
        <v>81066961</v>
      </c>
      <c r="B5350" s="7" t="s">
        <v>68</v>
      </c>
      <c r="C5350" s="7" t="s">
        <v>10722</v>
      </c>
      <c r="D5350" s="7" t="s">
        <v>10723</v>
      </c>
      <c r="E5350" s="7" t="s">
        <v>1178</v>
      </c>
      <c r="F5350" s="7" t="s">
        <v>10719</v>
      </c>
      <c r="G5350" s="7" t="n">
        <v>2015</v>
      </c>
      <c r="H5350" s="7" t="s">
        <v>49</v>
      </c>
      <c r="I5350" s="7" t="s">
        <v>661</v>
      </c>
      <c r="J5350" s="7" t="s">
        <v>304</v>
      </c>
      <c r="K5350" s="7" t="n">
        <f aca="false">IFERROR(VALUE(RIGHT(TRIM(F5350),4)),"")</f>
        <v>2019</v>
      </c>
      <c r="L5350" s="7" t="str">
        <f aca="false">IF(TRIM(E5350)="","Unknown",IFERROR(LEFT(TRIM(E5350),FIND(",",TRIM(E5350))-1),TRIM(E5350)))</f>
        <v>Malaysia</v>
      </c>
      <c r="M5350" s="7" t="str">
        <f aca="false">IFERROR(LEFT(J5350,FIND(",",J5350)-1),J5350)</f>
        <v>Dramas</v>
      </c>
      <c r="N5350" s="7" t="n">
        <f aca="false">IF(B5350="Movie",IFERROR(VALUE(LEFT(I5350,FIND(" ",I5350)-1)),""),"")</f>
        <v>76</v>
      </c>
      <c r="O5350" s="7" t="str">
        <f aca="false">IF(B5350="TV Show",IFERROR(VALUE(LEFT(I5350,FIND(" ",I5350)-1)),""),"")</f>
        <v/>
      </c>
      <c r="P5350" s="7" t="n">
        <f aca="false">IF(K5350="","",K5350-G5350)</f>
        <v>4</v>
      </c>
    </row>
    <row r="5351" customFormat="false" ht="15" hidden="false" customHeight="false" outlineLevel="0" collapsed="false">
      <c r="A5351" s="7" t="n">
        <v>80174687</v>
      </c>
      <c r="B5351" s="7" t="s">
        <v>68</v>
      </c>
      <c r="C5351" s="7" t="s">
        <v>10724</v>
      </c>
      <c r="D5351" s="7" t="s">
        <v>2490</v>
      </c>
      <c r="E5351" s="7" t="s">
        <v>26</v>
      </c>
      <c r="F5351" s="7" t="s">
        <v>10719</v>
      </c>
      <c r="G5351" s="7" t="n">
        <v>2019</v>
      </c>
      <c r="H5351" s="7" t="s">
        <v>48</v>
      </c>
      <c r="I5351" s="7" t="s">
        <v>98</v>
      </c>
      <c r="J5351" s="7" t="s">
        <v>45</v>
      </c>
      <c r="K5351" s="7" t="n">
        <f aca="false">IFERROR(VALUE(RIGHT(TRIM(F5351),4)),"")</f>
        <v>2019</v>
      </c>
      <c r="L5351" s="7" t="str">
        <f aca="false">IF(TRIM(E5351)="","Unknown",IFERROR(LEFT(TRIM(E5351),FIND(",",TRIM(E5351))-1),TRIM(E5351)))</f>
        <v>United States</v>
      </c>
      <c r="M5351" s="7" t="str">
        <f aca="false">IFERROR(LEFT(J5351,FIND(",",J5351)-1),J5351)</f>
        <v>Stand-Up Comedy</v>
      </c>
      <c r="N5351" s="7" t="n">
        <f aca="false">IF(B5351="Movie",IFERROR(VALUE(LEFT(I5351,FIND(" ",I5351)-1)),""),"")</f>
        <v>60</v>
      </c>
      <c r="O5351" s="7" t="str">
        <f aca="false">IF(B5351="TV Show",IFERROR(VALUE(LEFT(I5351,FIND(" ",I5351)-1)),""),"")</f>
        <v/>
      </c>
      <c r="P5351" s="7" t="n">
        <f aca="false">IF(K5351="","",K5351-G5351)</f>
        <v>0</v>
      </c>
    </row>
    <row r="5352" customFormat="false" ht="15" hidden="false" customHeight="false" outlineLevel="0" collapsed="false">
      <c r="A5352" s="7" t="n">
        <v>80237428</v>
      </c>
      <c r="B5352" s="7" t="s">
        <v>78</v>
      </c>
      <c r="C5352" s="7" t="s">
        <v>10725</v>
      </c>
      <c r="E5352" s="7" t="s">
        <v>34</v>
      </c>
      <c r="F5352" s="7" t="s">
        <v>10726</v>
      </c>
      <c r="G5352" s="7" t="n">
        <v>2017</v>
      </c>
      <c r="H5352" s="7" t="s">
        <v>48</v>
      </c>
      <c r="I5352" s="7" t="s">
        <v>82</v>
      </c>
      <c r="J5352" s="7" t="s">
        <v>89</v>
      </c>
      <c r="K5352" s="7" t="n">
        <f aca="false">IFERROR(VALUE(RIGHT(TRIM(F5352),4)),"")</f>
        <v>2018</v>
      </c>
      <c r="L5352" s="7" t="str">
        <f aca="false">IF(TRIM(E5352)="","Unknown",IFERROR(LEFT(TRIM(E5352),FIND(",",TRIM(E5352))-1),TRIM(E5352)))</f>
        <v>Mexico</v>
      </c>
      <c r="M5352" s="7" t="str">
        <f aca="false">IFERROR(LEFT(J5352,FIND(",",J5352)-1),J5352)</f>
        <v>Crime TV Shows</v>
      </c>
      <c r="N5352" s="7" t="str">
        <f aca="false">IF(B5352="Movie",IFERROR(VALUE(LEFT(I5352,FIND(" ",I5352)-1)),""),"")</f>
        <v/>
      </c>
      <c r="O5352" s="7" t="n">
        <f aca="false">IF(B5352="TV Show",IFERROR(VALUE(LEFT(I5352,FIND(" ",I5352)-1)),""),"")</f>
        <v>1</v>
      </c>
      <c r="P5352" s="7" t="n">
        <f aca="false">IF(K5352="","",K5352-G5352)</f>
        <v>1</v>
      </c>
    </row>
    <row r="5353" customFormat="false" ht="15" hidden="false" customHeight="false" outlineLevel="0" collapsed="false">
      <c r="A5353" s="7" t="n">
        <v>80015799</v>
      </c>
      <c r="B5353" s="7" t="s">
        <v>68</v>
      </c>
      <c r="C5353" s="7" t="s">
        <v>10727</v>
      </c>
      <c r="D5353" s="7" t="s">
        <v>3613</v>
      </c>
      <c r="E5353" s="7" t="s">
        <v>26</v>
      </c>
      <c r="F5353" s="7" t="s">
        <v>10728</v>
      </c>
      <c r="G5353" s="7" t="n">
        <v>2014</v>
      </c>
      <c r="H5353" s="7" t="s">
        <v>51</v>
      </c>
      <c r="I5353" s="7" t="s">
        <v>330</v>
      </c>
      <c r="J5353" s="7" t="s">
        <v>37</v>
      </c>
      <c r="K5353" s="7" t="n">
        <f aca="false">IFERROR(VALUE(RIGHT(TRIM(F5353),4)),"")</f>
        <v>2017</v>
      </c>
      <c r="L5353" s="7" t="str">
        <f aca="false">IF(TRIM(E5353)="","Unknown",IFERROR(LEFT(TRIM(E5353),FIND(",",TRIM(E5353))-1),TRIM(E5353)))</f>
        <v>United States</v>
      </c>
      <c r="M5353" s="7" t="str">
        <f aca="false">IFERROR(LEFT(J5353,FIND(",",J5353)-1),J5353)</f>
        <v>Dramas</v>
      </c>
      <c r="N5353" s="7" t="n">
        <f aca="false">IF(B5353="Movie",IFERROR(VALUE(LEFT(I5353,FIND(" ",I5353)-1)),""),"")</f>
        <v>103</v>
      </c>
      <c r="O5353" s="7" t="str">
        <f aca="false">IF(B5353="TV Show",IFERROR(VALUE(LEFT(I5353,FIND(" ",I5353)-1)),""),"")</f>
        <v/>
      </c>
      <c r="P5353" s="7" t="n">
        <f aca="false">IF(K5353="","",K5353-G5353)</f>
        <v>3</v>
      </c>
    </row>
    <row r="5354" customFormat="false" ht="15" hidden="false" customHeight="false" outlineLevel="0" collapsed="false">
      <c r="A5354" s="7" t="n">
        <v>80036657</v>
      </c>
      <c r="B5354" s="7" t="s">
        <v>68</v>
      </c>
      <c r="C5354" s="7" t="s">
        <v>10729</v>
      </c>
      <c r="D5354" s="7" t="s">
        <v>10730</v>
      </c>
      <c r="E5354" s="7" t="s">
        <v>317</v>
      </c>
      <c r="F5354" s="7" t="s">
        <v>10728</v>
      </c>
      <c r="G5354" s="7" t="n">
        <v>2015</v>
      </c>
      <c r="H5354" s="7" t="s">
        <v>51</v>
      </c>
      <c r="I5354" s="7" t="s">
        <v>512</v>
      </c>
      <c r="J5354" s="7" t="s">
        <v>38</v>
      </c>
      <c r="K5354" s="7" t="n">
        <f aca="false">IFERROR(VALUE(RIGHT(TRIM(F5354),4)),"")</f>
        <v>2017</v>
      </c>
      <c r="L5354" s="7" t="str">
        <f aca="false">IF(TRIM(E5354)="","Unknown",IFERROR(LEFT(TRIM(E5354),FIND(",",TRIM(E5354))-1),TRIM(E5354)))</f>
        <v>United Kingdom</v>
      </c>
      <c r="M5354" s="7" t="str">
        <f aca="false">IFERROR(LEFT(J5354,FIND(",",J5354)-1),J5354)</f>
        <v>Comedies</v>
      </c>
      <c r="N5354" s="7" t="n">
        <f aca="false">IF(B5354="Movie",IFERROR(VALUE(LEFT(I5354,FIND(" ",I5354)-1)),""),"")</f>
        <v>101</v>
      </c>
      <c r="O5354" s="7" t="str">
        <f aca="false">IF(B5354="TV Show",IFERROR(VALUE(LEFT(I5354,FIND(" ",I5354)-1)),""),"")</f>
        <v/>
      </c>
      <c r="P5354" s="7" t="n">
        <f aca="false">IF(K5354="","",K5354-G5354)</f>
        <v>2</v>
      </c>
    </row>
    <row r="5355" customFormat="false" ht="15" hidden="false" customHeight="false" outlineLevel="0" collapsed="false">
      <c r="A5355" s="7" t="n">
        <v>81035861</v>
      </c>
      <c r="B5355" s="7" t="s">
        <v>68</v>
      </c>
      <c r="C5355" s="7" t="s">
        <v>10731</v>
      </c>
      <c r="E5355" s="7" t="s">
        <v>963</v>
      </c>
      <c r="F5355" s="7" t="s">
        <v>10732</v>
      </c>
      <c r="G5355" s="7" t="n">
        <v>2012</v>
      </c>
      <c r="H5355" s="7" t="s">
        <v>48</v>
      </c>
      <c r="I5355" s="7" t="s">
        <v>205</v>
      </c>
      <c r="J5355" s="7" t="s">
        <v>112</v>
      </c>
      <c r="K5355" s="7" t="n">
        <f aca="false">IFERROR(VALUE(RIGHT(TRIM(F5355),4)),"")</f>
        <v>2019</v>
      </c>
      <c r="L5355" s="7" t="str">
        <f aca="false">IF(TRIM(E5355)="","Unknown",IFERROR(LEFT(TRIM(E5355),FIND(",",TRIM(E5355))-1),TRIM(E5355)))</f>
        <v>Egypt</v>
      </c>
      <c r="M5355" s="7" t="str">
        <f aca="false">IFERROR(LEFT(J5355,FIND(",",J5355)-1),J5355)</f>
        <v>Action &amp; Adventure</v>
      </c>
      <c r="N5355" s="7" t="n">
        <f aca="false">IF(B5355="Movie",IFERROR(VALUE(LEFT(I5355,FIND(" ",I5355)-1)),""),"")</f>
        <v>100</v>
      </c>
      <c r="O5355" s="7" t="str">
        <f aca="false">IF(B5355="TV Show",IFERROR(VALUE(LEFT(I5355,FIND(" ",I5355)-1)),""),"")</f>
        <v/>
      </c>
      <c r="P5355" s="7" t="n">
        <f aca="false">IF(K5355="","",K5355-G5355)</f>
        <v>7</v>
      </c>
    </row>
    <row r="5356" customFormat="false" ht="15" hidden="false" customHeight="false" outlineLevel="0" collapsed="false">
      <c r="A5356" s="7" t="n">
        <v>81037733</v>
      </c>
      <c r="B5356" s="7" t="s">
        <v>68</v>
      </c>
      <c r="C5356" s="7" t="s">
        <v>10733</v>
      </c>
      <c r="D5356" s="7" t="s">
        <v>10734</v>
      </c>
      <c r="E5356" s="7" t="s">
        <v>26</v>
      </c>
      <c r="F5356" s="7" t="s">
        <v>10732</v>
      </c>
      <c r="G5356" s="7" t="n">
        <v>2018</v>
      </c>
      <c r="H5356" s="7" t="s">
        <v>48</v>
      </c>
      <c r="I5356" s="7" t="s">
        <v>73</v>
      </c>
      <c r="J5356" s="7" t="s">
        <v>1298</v>
      </c>
      <c r="K5356" s="7" t="n">
        <f aca="false">IFERROR(VALUE(RIGHT(TRIM(F5356),4)),"")</f>
        <v>2019</v>
      </c>
      <c r="L5356" s="7" t="str">
        <f aca="false">IF(TRIM(E5356)="","Unknown",IFERROR(LEFT(TRIM(E5356),FIND(",",TRIM(E5356))-1),TRIM(E5356)))</f>
        <v>United States</v>
      </c>
      <c r="M5356" s="7" t="str">
        <f aca="false">IFERROR(LEFT(J5356,FIND(",",J5356)-1),J5356)</f>
        <v>Dramas</v>
      </c>
      <c r="N5356" s="7" t="n">
        <f aca="false">IF(B5356="Movie",IFERROR(VALUE(LEFT(I5356,FIND(" ",I5356)-1)),""),"")</f>
        <v>90</v>
      </c>
      <c r="O5356" s="7" t="str">
        <f aca="false">IF(B5356="TV Show",IFERROR(VALUE(LEFT(I5356,FIND(" ",I5356)-1)),""),"")</f>
        <v/>
      </c>
      <c r="P5356" s="7" t="n">
        <f aca="false">IF(K5356="","",K5356-G5356)</f>
        <v>1</v>
      </c>
    </row>
    <row r="5357" customFormat="false" ht="15" hidden="false" customHeight="false" outlineLevel="0" collapsed="false">
      <c r="A5357" s="7" t="n">
        <v>81010166</v>
      </c>
      <c r="B5357" s="7" t="s">
        <v>68</v>
      </c>
      <c r="C5357" s="7" t="s">
        <v>10735</v>
      </c>
      <c r="D5357" s="7" t="s">
        <v>10736</v>
      </c>
      <c r="F5357" s="7" t="s">
        <v>10732</v>
      </c>
      <c r="G5357" s="7" t="n">
        <v>2019</v>
      </c>
      <c r="H5357" s="7" t="s">
        <v>49</v>
      </c>
      <c r="I5357" s="7" t="s">
        <v>162</v>
      </c>
      <c r="J5357" s="7" t="s">
        <v>39</v>
      </c>
      <c r="K5357" s="7" t="n">
        <f aca="false">IFERROR(VALUE(RIGHT(TRIM(F5357),4)),"")</f>
        <v>2019</v>
      </c>
      <c r="L5357" s="7" t="str">
        <f aca="false">IF(TRIM(E5357)="","Unknown",IFERROR(LEFT(TRIM(E5357),FIND(",",TRIM(E5357))-1),TRIM(E5357)))</f>
        <v>Unknown</v>
      </c>
      <c r="M5357" s="7" t="str">
        <f aca="false">IFERROR(LEFT(J5357,FIND(",",J5357)-1),J5357)</f>
        <v>Documentaries</v>
      </c>
      <c r="N5357" s="7" t="n">
        <f aca="false">IF(B5357="Movie",IFERROR(VALUE(LEFT(I5357,FIND(" ",I5357)-1)),""),"")</f>
        <v>77</v>
      </c>
      <c r="O5357" s="7" t="str">
        <f aca="false">IF(B5357="TV Show",IFERROR(VALUE(LEFT(I5357,FIND(" ",I5357)-1)),""),"")</f>
        <v/>
      </c>
      <c r="P5357" s="7" t="n">
        <f aca="false">IF(K5357="","",K5357-G5357)</f>
        <v>0</v>
      </c>
    </row>
    <row r="5358" customFormat="false" ht="15" hidden="false" customHeight="false" outlineLevel="0" collapsed="false">
      <c r="A5358" s="7" t="n">
        <v>80112518</v>
      </c>
      <c r="B5358" s="7" t="s">
        <v>68</v>
      </c>
      <c r="C5358" s="7" t="s">
        <v>10737</v>
      </c>
      <c r="D5358" s="7" t="s">
        <v>10738</v>
      </c>
      <c r="E5358" s="7" t="s">
        <v>10023</v>
      </c>
      <c r="F5358" s="7" t="s">
        <v>10732</v>
      </c>
      <c r="G5358" s="7" t="n">
        <v>2016</v>
      </c>
      <c r="H5358" s="7" t="s">
        <v>51</v>
      </c>
      <c r="I5358" s="7" t="s">
        <v>205</v>
      </c>
      <c r="J5358" s="7" t="s">
        <v>150</v>
      </c>
      <c r="K5358" s="7" t="n">
        <f aca="false">IFERROR(VALUE(RIGHT(TRIM(F5358),4)),"")</f>
        <v>2019</v>
      </c>
      <c r="L5358" s="7" t="str">
        <f aca="false">IF(TRIM(E5358)="","Unknown",IFERROR(LEFT(TRIM(E5358),FIND(",",TRIM(E5358))-1),TRIM(E5358)))</f>
        <v>United Kingdom</v>
      </c>
      <c r="M5358" s="7" t="str">
        <f aca="false">IFERROR(LEFT(J5358,FIND(",",J5358)-1),J5358)</f>
        <v>Dramas</v>
      </c>
      <c r="N5358" s="7" t="n">
        <f aca="false">IF(B5358="Movie",IFERROR(VALUE(LEFT(I5358,FIND(" ",I5358)-1)),""),"")</f>
        <v>100</v>
      </c>
      <c r="O5358" s="7" t="str">
        <f aca="false">IF(B5358="TV Show",IFERROR(VALUE(LEFT(I5358,FIND(" ",I5358)-1)),""),"")</f>
        <v/>
      </c>
      <c r="P5358" s="7" t="n">
        <f aca="false">IF(K5358="","",K5358-G5358)</f>
        <v>3</v>
      </c>
    </row>
    <row r="5359" customFormat="false" ht="15" hidden="false" customHeight="false" outlineLevel="0" collapsed="false">
      <c r="A5359" s="7" t="n">
        <v>81072829</v>
      </c>
      <c r="B5359" s="7" t="s">
        <v>78</v>
      </c>
      <c r="C5359" s="7" t="s">
        <v>10739</v>
      </c>
      <c r="E5359" s="7" t="s">
        <v>970</v>
      </c>
      <c r="F5359" s="7" t="s">
        <v>10732</v>
      </c>
      <c r="G5359" s="7" t="n">
        <v>2005</v>
      </c>
      <c r="H5359" s="7" t="s">
        <v>48</v>
      </c>
      <c r="I5359" s="7" t="s">
        <v>82</v>
      </c>
      <c r="J5359" s="7" t="s">
        <v>3116</v>
      </c>
      <c r="K5359" s="7" t="n">
        <f aca="false">IFERROR(VALUE(RIGHT(TRIM(F5359),4)),"")</f>
        <v>2019</v>
      </c>
      <c r="L5359" s="7" t="str">
        <f aca="false">IF(TRIM(E5359)="","Unknown",IFERROR(LEFT(TRIM(E5359),FIND(",",TRIM(E5359))-1),TRIM(E5359)))</f>
        <v>Taiwan</v>
      </c>
      <c r="M5359" s="7" t="str">
        <f aca="false">IFERROR(LEFT(J5359,FIND(",",J5359)-1),J5359)</f>
        <v>International TV Shows</v>
      </c>
      <c r="N5359" s="7" t="str">
        <f aca="false">IF(B5359="Movie",IFERROR(VALUE(LEFT(I5359,FIND(" ",I5359)-1)),""),"")</f>
        <v/>
      </c>
      <c r="O5359" s="7" t="n">
        <f aca="false">IF(B5359="TV Show",IFERROR(VALUE(LEFT(I5359,FIND(" ",I5359)-1)),""),"")</f>
        <v>1</v>
      </c>
      <c r="P5359" s="7" t="n">
        <f aca="false">IF(K5359="","",K5359-G5359)</f>
        <v>14</v>
      </c>
    </row>
    <row r="5360" customFormat="false" ht="15" hidden="false" customHeight="false" outlineLevel="0" collapsed="false">
      <c r="A5360" s="7" t="n">
        <v>80198950</v>
      </c>
      <c r="B5360" s="7" t="s">
        <v>78</v>
      </c>
      <c r="C5360" s="7" t="s">
        <v>10740</v>
      </c>
      <c r="E5360" s="7" t="s">
        <v>35</v>
      </c>
      <c r="F5360" s="7" t="s">
        <v>10732</v>
      </c>
      <c r="G5360" s="7" t="n">
        <v>2019</v>
      </c>
      <c r="H5360" s="7" t="s">
        <v>48</v>
      </c>
      <c r="I5360" s="7" t="s">
        <v>82</v>
      </c>
      <c r="J5360" s="7" t="s">
        <v>1357</v>
      </c>
      <c r="K5360" s="7" t="n">
        <f aca="false">IFERROR(VALUE(RIGHT(TRIM(F5360),4)),"")</f>
        <v>2019</v>
      </c>
      <c r="L5360" s="7" t="str">
        <f aca="false">IF(TRIM(E5360)="","Unknown",IFERROR(LEFT(TRIM(E5360),FIND(",",TRIM(E5360))-1),TRIM(E5360)))</f>
        <v>Australia</v>
      </c>
      <c r="M5360" s="7" t="str">
        <f aca="false">IFERROR(LEFT(J5360,FIND(",",J5360)-1),J5360)</f>
        <v>International TV Shows</v>
      </c>
      <c r="N5360" s="7" t="str">
        <f aca="false">IF(B5360="Movie",IFERROR(VALUE(LEFT(I5360,FIND(" ",I5360)-1)),""),"")</f>
        <v/>
      </c>
      <c r="O5360" s="7" t="n">
        <f aca="false">IF(B5360="TV Show",IFERROR(VALUE(LEFT(I5360,FIND(" ",I5360)-1)),""),"")</f>
        <v>1</v>
      </c>
      <c r="P5360" s="7" t="n">
        <f aca="false">IF(K5360="","",K5360-G5360)</f>
        <v>0</v>
      </c>
    </row>
    <row r="5361" customFormat="false" ht="15" hidden="false" customHeight="false" outlineLevel="0" collapsed="false">
      <c r="A5361" s="7" t="n">
        <v>81033430</v>
      </c>
      <c r="B5361" s="7" t="s">
        <v>68</v>
      </c>
      <c r="C5361" s="7" t="s">
        <v>10741</v>
      </c>
      <c r="D5361" s="7" t="s">
        <v>10742</v>
      </c>
      <c r="E5361" s="7" t="s">
        <v>27</v>
      </c>
      <c r="F5361" s="7" t="s">
        <v>10732</v>
      </c>
      <c r="G5361" s="7" t="n">
        <v>2019</v>
      </c>
      <c r="H5361" s="7" t="s">
        <v>49</v>
      </c>
      <c r="I5361" s="7" t="s">
        <v>181</v>
      </c>
      <c r="J5361" s="7" t="s">
        <v>188</v>
      </c>
      <c r="K5361" s="7" t="n">
        <f aca="false">IFERROR(VALUE(RIGHT(TRIM(F5361),4)),"")</f>
        <v>2019</v>
      </c>
      <c r="L5361" s="7" t="str">
        <f aca="false">IF(TRIM(E5361)="","Unknown",IFERROR(LEFT(TRIM(E5361),FIND(",",TRIM(E5361))-1),TRIM(E5361)))</f>
        <v>India</v>
      </c>
      <c r="M5361" s="7" t="str">
        <f aca="false">IFERROR(LEFT(J5361,FIND(",",J5361)-1),J5361)</f>
        <v>Dramas</v>
      </c>
      <c r="N5361" s="7" t="n">
        <f aca="false">IF(B5361="Movie",IFERROR(VALUE(LEFT(I5361,FIND(" ",I5361)-1)),""),"")</f>
        <v>102</v>
      </c>
      <c r="O5361" s="7" t="str">
        <f aca="false">IF(B5361="TV Show",IFERROR(VALUE(LEFT(I5361,FIND(" ",I5361)-1)),""),"")</f>
        <v/>
      </c>
      <c r="P5361" s="7" t="n">
        <f aca="false">IF(K5361="","",K5361-G5361)</f>
        <v>0</v>
      </c>
    </row>
    <row r="5362" customFormat="false" ht="15" hidden="false" customHeight="false" outlineLevel="0" collapsed="false">
      <c r="A5362" s="7" t="n">
        <v>81072807</v>
      </c>
      <c r="B5362" s="7" t="s">
        <v>78</v>
      </c>
      <c r="C5362" s="7" t="s">
        <v>10743</v>
      </c>
      <c r="E5362" s="7" t="s">
        <v>970</v>
      </c>
      <c r="F5362" s="7" t="s">
        <v>10732</v>
      </c>
      <c r="G5362" s="7" t="n">
        <v>2017</v>
      </c>
      <c r="H5362" s="7" t="s">
        <v>49</v>
      </c>
      <c r="I5362" s="7" t="s">
        <v>82</v>
      </c>
      <c r="J5362" s="7" t="s">
        <v>2972</v>
      </c>
      <c r="K5362" s="7" t="n">
        <f aca="false">IFERROR(VALUE(RIGHT(TRIM(F5362),4)),"")</f>
        <v>2019</v>
      </c>
      <c r="L5362" s="7" t="str">
        <f aca="false">IF(TRIM(E5362)="","Unknown",IFERROR(LEFT(TRIM(E5362),FIND(",",TRIM(E5362))-1),TRIM(E5362)))</f>
        <v>Taiwan</v>
      </c>
      <c r="M5362" s="7" t="str">
        <f aca="false">IFERROR(LEFT(J5362,FIND(",",J5362)-1),J5362)</f>
        <v>International TV Shows</v>
      </c>
      <c r="N5362" s="7" t="str">
        <f aca="false">IF(B5362="Movie",IFERROR(VALUE(LEFT(I5362,FIND(" ",I5362)-1)),""),"")</f>
        <v/>
      </c>
      <c r="O5362" s="7" t="n">
        <f aca="false">IF(B5362="TV Show",IFERROR(VALUE(LEFT(I5362,FIND(" ",I5362)-1)),""),"")</f>
        <v>1</v>
      </c>
      <c r="P5362" s="7" t="n">
        <f aca="false">IF(K5362="","",K5362-G5362)</f>
        <v>2</v>
      </c>
    </row>
    <row r="5363" customFormat="false" ht="15" hidden="false" customHeight="false" outlineLevel="0" collapsed="false">
      <c r="A5363" s="7" t="n">
        <v>80196883</v>
      </c>
      <c r="B5363" s="7" t="s">
        <v>78</v>
      </c>
      <c r="C5363" s="7" t="s">
        <v>10744</v>
      </c>
      <c r="E5363" s="7" t="s">
        <v>8784</v>
      </c>
      <c r="F5363" s="7" t="s">
        <v>10732</v>
      </c>
      <c r="G5363" s="7" t="n">
        <v>2019</v>
      </c>
      <c r="H5363" s="7" t="s">
        <v>50</v>
      </c>
      <c r="I5363" s="7" t="s">
        <v>82</v>
      </c>
      <c r="J5363" s="7" t="s">
        <v>542</v>
      </c>
      <c r="K5363" s="7" t="n">
        <f aca="false">IFERROR(VALUE(RIGHT(TRIM(F5363),4)),"")</f>
        <v>2019</v>
      </c>
      <c r="L5363" s="7" t="str">
        <f aca="false">IF(TRIM(E5363)="","Unknown",IFERROR(LEFT(TRIM(E5363),FIND(",",TRIM(E5363))-1),TRIM(E5363)))</f>
        <v>Japan</v>
      </c>
      <c r="M5363" s="7" t="str">
        <f aca="false">IFERROR(LEFT(J5363,FIND(",",J5363)-1),J5363)</f>
        <v>Anime Series</v>
      </c>
      <c r="N5363" s="7" t="str">
        <f aca="false">IF(B5363="Movie",IFERROR(VALUE(LEFT(I5363,FIND(" ",I5363)-1)),""),"")</f>
        <v/>
      </c>
      <c r="O5363" s="7" t="n">
        <f aca="false">IF(B5363="TV Show",IFERROR(VALUE(LEFT(I5363,FIND(" ",I5363)-1)),""),"")</f>
        <v>1</v>
      </c>
      <c r="P5363" s="7" t="n">
        <f aca="false">IF(K5363="","",K5363-G5363)</f>
        <v>0</v>
      </c>
    </row>
    <row r="5364" customFormat="false" ht="15" hidden="false" customHeight="false" outlineLevel="0" collapsed="false">
      <c r="A5364" s="7" t="n">
        <v>81035851</v>
      </c>
      <c r="B5364" s="7" t="s">
        <v>68</v>
      </c>
      <c r="C5364" s="7" t="s">
        <v>10745</v>
      </c>
      <c r="D5364" s="7" t="s">
        <v>3526</v>
      </c>
      <c r="E5364" s="7" t="s">
        <v>963</v>
      </c>
      <c r="F5364" s="7" t="s">
        <v>10732</v>
      </c>
      <c r="G5364" s="7" t="n">
        <v>2014</v>
      </c>
      <c r="H5364" s="7" t="s">
        <v>48</v>
      </c>
      <c r="I5364" s="7" t="s">
        <v>134</v>
      </c>
      <c r="J5364" s="7" t="s">
        <v>304</v>
      </c>
      <c r="K5364" s="7" t="n">
        <f aca="false">IFERROR(VALUE(RIGHT(TRIM(F5364),4)),"")</f>
        <v>2019</v>
      </c>
      <c r="L5364" s="7" t="str">
        <f aca="false">IF(TRIM(E5364)="","Unknown",IFERROR(LEFT(TRIM(E5364),FIND(",",TRIM(E5364))-1),TRIM(E5364)))</f>
        <v>Egypt</v>
      </c>
      <c r="M5364" s="7" t="str">
        <f aca="false">IFERROR(LEFT(J5364,FIND(",",J5364)-1),J5364)</f>
        <v>Dramas</v>
      </c>
      <c r="N5364" s="7" t="n">
        <f aca="false">IF(B5364="Movie",IFERROR(VALUE(LEFT(I5364,FIND(" ",I5364)-1)),""),"")</f>
        <v>98</v>
      </c>
      <c r="O5364" s="7" t="str">
        <f aca="false">IF(B5364="TV Show",IFERROR(VALUE(LEFT(I5364,FIND(" ",I5364)-1)),""),"")</f>
        <v/>
      </c>
      <c r="P5364" s="7" t="n">
        <f aca="false">IF(K5364="","",K5364-G5364)</f>
        <v>5</v>
      </c>
    </row>
    <row r="5365" customFormat="false" ht="15" hidden="false" customHeight="false" outlineLevel="0" collapsed="false">
      <c r="A5365" s="7" t="n">
        <v>80202920</v>
      </c>
      <c r="B5365" s="7" t="s">
        <v>68</v>
      </c>
      <c r="C5365" s="7" t="s">
        <v>10746</v>
      </c>
      <c r="D5365" s="7" t="s">
        <v>10747</v>
      </c>
      <c r="E5365" s="7" t="s">
        <v>26</v>
      </c>
      <c r="F5365" s="7" t="s">
        <v>10732</v>
      </c>
      <c r="G5365" s="7" t="n">
        <v>2019</v>
      </c>
      <c r="H5365" s="7" t="s">
        <v>51</v>
      </c>
      <c r="I5365" s="7" t="s">
        <v>311</v>
      </c>
      <c r="J5365" s="7" t="s">
        <v>177</v>
      </c>
      <c r="K5365" s="7" t="n">
        <f aca="false">IFERROR(VALUE(RIGHT(TRIM(F5365),4)),"")</f>
        <v>2019</v>
      </c>
      <c r="L5365" s="7" t="str">
        <f aca="false">IF(TRIM(E5365)="","Unknown",IFERROR(LEFT(TRIM(E5365),FIND(",",TRIM(E5365))-1),TRIM(E5365)))</f>
        <v>United States</v>
      </c>
      <c r="M5365" s="7" t="str">
        <f aca="false">IFERROR(LEFT(J5365,FIND(",",J5365)-1),J5365)</f>
        <v>Comedies</v>
      </c>
      <c r="N5365" s="7" t="n">
        <f aca="false">IF(B5365="Movie",IFERROR(VALUE(LEFT(I5365,FIND(" ",I5365)-1)),""),"")</f>
        <v>92</v>
      </c>
      <c r="O5365" s="7" t="str">
        <f aca="false">IF(B5365="TV Show",IFERROR(VALUE(LEFT(I5365,FIND(" ",I5365)-1)),""),"")</f>
        <v/>
      </c>
      <c r="P5365" s="7" t="n">
        <f aca="false">IF(K5365="","",K5365-G5365)</f>
        <v>0</v>
      </c>
    </row>
    <row r="5366" customFormat="false" ht="15" hidden="false" customHeight="false" outlineLevel="0" collapsed="false">
      <c r="A5366" s="7" t="n">
        <v>81088285</v>
      </c>
      <c r="B5366" s="7" t="s">
        <v>68</v>
      </c>
      <c r="C5366" s="7" t="s">
        <v>10748</v>
      </c>
      <c r="D5366" s="7" t="s">
        <v>10749</v>
      </c>
      <c r="E5366" s="7" t="s">
        <v>26</v>
      </c>
      <c r="F5366" s="7" t="s">
        <v>10732</v>
      </c>
      <c r="G5366" s="7" t="n">
        <v>2018</v>
      </c>
      <c r="H5366" s="7" t="s">
        <v>49</v>
      </c>
      <c r="I5366" s="7" t="s">
        <v>237</v>
      </c>
      <c r="J5366" s="7" t="s">
        <v>39</v>
      </c>
      <c r="K5366" s="7" t="n">
        <f aca="false">IFERROR(VALUE(RIGHT(TRIM(F5366),4)),"")</f>
        <v>2019</v>
      </c>
      <c r="L5366" s="7" t="str">
        <f aca="false">IF(TRIM(E5366)="","Unknown",IFERROR(LEFT(TRIM(E5366),FIND(",",TRIM(E5366))-1),TRIM(E5366)))</f>
        <v>United States</v>
      </c>
      <c r="M5366" s="7" t="str">
        <f aca="false">IFERROR(LEFT(J5366,FIND(",",J5366)-1),J5366)</f>
        <v>Documentaries</v>
      </c>
      <c r="N5366" s="7" t="n">
        <f aca="false">IF(B5366="Movie",IFERROR(VALUE(LEFT(I5366,FIND(" ",I5366)-1)),""),"")</f>
        <v>116</v>
      </c>
      <c r="O5366" s="7" t="str">
        <f aca="false">IF(B5366="TV Show",IFERROR(VALUE(LEFT(I5366,FIND(" ",I5366)-1)),""),"")</f>
        <v/>
      </c>
      <c r="P5366" s="7" t="n">
        <f aca="false">IF(K5366="","",K5366-G5366)</f>
        <v>1</v>
      </c>
    </row>
    <row r="5367" customFormat="false" ht="15" hidden="false" customHeight="false" outlineLevel="0" collapsed="false">
      <c r="A5367" s="7" t="n">
        <v>81080942</v>
      </c>
      <c r="B5367" s="7" t="s">
        <v>68</v>
      </c>
      <c r="C5367" s="7" t="s">
        <v>10750</v>
      </c>
      <c r="D5367" s="7" t="s">
        <v>10751</v>
      </c>
      <c r="E5367" s="7" t="s">
        <v>1867</v>
      </c>
      <c r="F5367" s="7" t="s">
        <v>10732</v>
      </c>
      <c r="G5367" s="7" t="n">
        <v>2019</v>
      </c>
      <c r="H5367" s="7" t="s">
        <v>48</v>
      </c>
      <c r="I5367" s="7" t="s">
        <v>326</v>
      </c>
      <c r="J5367" s="7" t="s">
        <v>304</v>
      </c>
      <c r="K5367" s="7" t="n">
        <f aca="false">IFERROR(VALUE(RIGHT(TRIM(F5367),4)),"")</f>
        <v>2019</v>
      </c>
      <c r="L5367" s="7" t="str">
        <f aca="false">IF(TRIM(E5367)="","Unknown",IFERROR(LEFT(TRIM(E5367),FIND(",",TRIM(E5367))-1),TRIM(E5367)))</f>
        <v>Italy</v>
      </c>
      <c r="M5367" s="7" t="str">
        <f aca="false">IFERROR(LEFT(J5367,FIND(",",J5367)-1),J5367)</f>
        <v>Dramas</v>
      </c>
      <c r="N5367" s="7" t="n">
        <f aca="false">IF(B5367="Movie",IFERROR(VALUE(LEFT(I5367,FIND(" ",I5367)-1)),""),"")</f>
        <v>111</v>
      </c>
      <c r="O5367" s="7" t="str">
        <f aca="false">IF(B5367="TV Show",IFERROR(VALUE(LEFT(I5367,FIND(" ",I5367)-1)),""),"")</f>
        <v/>
      </c>
      <c r="P5367" s="7" t="n">
        <f aca="false">IF(K5367="","",K5367-G5367)</f>
        <v>0</v>
      </c>
    </row>
    <row r="5368" customFormat="false" ht="15" hidden="false" customHeight="false" outlineLevel="0" collapsed="false">
      <c r="A5368" s="7" t="n">
        <v>80187301</v>
      </c>
      <c r="B5368" s="7" t="s">
        <v>68</v>
      </c>
      <c r="C5368" s="7" t="s">
        <v>10752</v>
      </c>
      <c r="D5368" s="7" t="s">
        <v>10753</v>
      </c>
      <c r="E5368" s="7" t="s">
        <v>325</v>
      </c>
      <c r="F5368" s="7" t="s">
        <v>10754</v>
      </c>
      <c r="G5368" s="7" t="n">
        <v>2017</v>
      </c>
      <c r="H5368" s="7" t="s">
        <v>48</v>
      </c>
      <c r="I5368" s="7" t="s">
        <v>73</v>
      </c>
      <c r="J5368" s="7" t="s">
        <v>217</v>
      </c>
      <c r="K5368" s="7" t="n">
        <f aca="false">IFERROR(VALUE(RIGHT(TRIM(F5368),4)),"")</f>
        <v>2018</v>
      </c>
      <c r="L5368" s="7" t="str">
        <f aca="false">IF(TRIM(E5368)="","Unknown",IFERROR(LEFT(TRIM(E5368),FIND(",",TRIM(E5368))-1),TRIM(E5368)))</f>
        <v>Brazil</v>
      </c>
      <c r="M5368" s="7" t="str">
        <f aca="false">IFERROR(LEFT(J5368,FIND(",",J5368)-1),J5368)</f>
        <v>Comedies</v>
      </c>
      <c r="N5368" s="7" t="n">
        <f aca="false">IF(B5368="Movie",IFERROR(VALUE(LEFT(I5368,FIND(" ",I5368)-1)),""),"")</f>
        <v>90</v>
      </c>
      <c r="O5368" s="7" t="str">
        <f aca="false">IF(B5368="TV Show",IFERROR(VALUE(LEFT(I5368,FIND(" ",I5368)-1)),""),"")</f>
        <v/>
      </c>
      <c r="P5368" s="7" t="n">
        <f aca="false">IF(K5368="","",K5368-G5368)</f>
        <v>1</v>
      </c>
    </row>
    <row r="5369" customFormat="false" ht="15" hidden="false" customHeight="false" outlineLevel="0" collapsed="false">
      <c r="A5369" s="7" t="n">
        <v>80178971</v>
      </c>
      <c r="B5369" s="7" t="s">
        <v>78</v>
      </c>
      <c r="C5369" s="7" t="s">
        <v>10755</v>
      </c>
      <c r="E5369" s="7" t="s">
        <v>1081</v>
      </c>
      <c r="F5369" s="7" t="s">
        <v>10754</v>
      </c>
      <c r="G5369" s="7" t="n">
        <v>2017</v>
      </c>
      <c r="H5369" s="7" t="s">
        <v>48</v>
      </c>
      <c r="I5369" s="7" t="s">
        <v>82</v>
      </c>
      <c r="J5369" s="7" t="s">
        <v>344</v>
      </c>
      <c r="K5369" s="7" t="n">
        <f aca="false">IFERROR(VALUE(RIGHT(TRIM(F5369),4)),"")</f>
        <v>2018</v>
      </c>
      <c r="L5369" s="7" t="str">
        <f aca="false">IF(TRIM(E5369)="","Unknown",IFERROR(LEFT(TRIM(E5369),FIND(",",TRIM(E5369))-1),TRIM(E5369)))</f>
        <v>Germany</v>
      </c>
      <c r="M5369" s="7" t="str">
        <f aca="false">IFERROR(LEFT(J5369,FIND(",",J5369)-1),J5369)</f>
        <v>International TV Shows</v>
      </c>
      <c r="N5369" s="7" t="str">
        <f aca="false">IF(B5369="Movie",IFERROR(VALUE(LEFT(I5369,FIND(" ",I5369)-1)),""),"")</f>
        <v/>
      </c>
      <c r="O5369" s="7" t="n">
        <f aca="false">IF(B5369="TV Show",IFERROR(VALUE(LEFT(I5369,FIND(" ",I5369)-1)),""),"")</f>
        <v>1</v>
      </c>
      <c r="P5369" s="7" t="n">
        <f aca="false">IF(K5369="","",K5369-G5369)</f>
        <v>1</v>
      </c>
    </row>
    <row r="5370" customFormat="false" ht="15" hidden="false" customHeight="false" outlineLevel="0" collapsed="false">
      <c r="A5370" s="7" t="n">
        <v>80215782</v>
      </c>
      <c r="B5370" s="7" t="s">
        <v>68</v>
      </c>
      <c r="C5370" s="7" t="s">
        <v>10756</v>
      </c>
      <c r="D5370" s="7" t="s">
        <v>10757</v>
      </c>
      <c r="E5370" s="7" t="s">
        <v>429</v>
      </c>
      <c r="F5370" s="7" t="s">
        <v>10754</v>
      </c>
      <c r="G5370" s="7" t="n">
        <v>2017</v>
      </c>
      <c r="H5370" s="7" t="s">
        <v>48</v>
      </c>
      <c r="I5370" s="7" t="s">
        <v>2053</v>
      </c>
      <c r="J5370" s="7" t="s">
        <v>112</v>
      </c>
      <c r="K5370" s="7" t="n">
        <f aca="false">IFERROR(VALUE(RIGHT(TRIM(F5370),4)),"")</f>
        <v>2018</v>
      </c>
      <c r="L5370" s="7" t="str">
        <f aca="false">IF(TRIM(E5370)="","Unknown",IFERROR(LEFT(TRIM(E5370),FIND(",",TRIM(E5370))-1),TRIM(E5370)))</f>
        <v>Hong Kong</v>
      </c>
      <c r="M5370" s="7" t="str">
        <f aca="false">IFERROR(LEFT(J5370,FIND(",",J5370)-1),J5370)</f>
        <v>Action &amp; Adventure</v>
      </c>
      <c r="N5370" s="7" t="n">
        <f aca="false">IF(B5370="Movie",IFERROR(VALUE(LEFT(I5370,FIND(" ",I5370)-1)),""),"")</f>
        <v>129</v>
      </c>
      <c r="O5370" s="7" t="str">
        <f aca="false">IF(B5370="TV Show",IFERROR(VALUE(LEFT(I5370,FIND(" ",I5370)-1)),""),"")</f>
        <v/>
      </c>
      <c r="P5370" s="7" t="n">
        <f aca="false">IF(K5370="","",K5370-G5370)</f>
        <v>1</v>
      </c>
    </row>
    <row r="5371" customFormat="false" ht="15" hidden="false" customHeight="false" outlineLevel="0" collapsed="false">
      <c r="A5371" s="7" t="n">
        <v>80172000</v>
      </c>
      <c r="B5371" s="7" t="s">
        <v>68</v>
      </c>
      <c r="C5371" s="7" t="s">
        <v>10758</v>
      </c>
      <c r="D5371" s="7" t="s">
        <v>10160</v>
      </c>
      <c r="E5371" s="7" t="s">
        <v>26</v>
      </c>
      <c r="F5371" s="7" t="s">
        <v>10759</v>
      </c>
      <c r="G5371" s="7" t="n">
        <v>2017</v>
      </c>
      <c r="H5371" s="7" t="s">
        <v>48</v>
      </c>
      <c r="I5371" s="7" t="s">
        <v>3882</v>
      </c>
      <c r="J5371" s="7" t="s">
        <v>39</v>
      </c>
      <c r="K5371" s="7" t="n">
        <f aca="false">IFERROR(VALUE(RIGHT(TRIM(F5371),4)),"")</f>
        <v>2017</v>
      </c>
      <c r="L5371" s="7" t="str">
        <f aca="false">IF(TRIM(E5371)="","Unknown",IFERROR(LEFT(TRIM(E5371),FIND(",",TRIM(E5371))-1),TRIM(E5371)))</f>
        <v>United States</v>
      </c>
      <c r="M5371" s="7" t="str">
        <f aca="false">IFERROR(LEFT(J5371,FIND(",",J5371)-1),J5371)</f>
        <v>Documentaries</v>
      </c>
      <c r="N5371" s="7" t="n">
        <f aca="false">IF(B5371="Movie",IFERROR(VALUE(LEFT(I5371,FIND(" ",I5371)-1)),""),"")</f>
        <v>53</v>
      </c>
      <c r="O5371" s="7" t="str">
        <f aca="false">IF(B5371="TV Show",IFERROR(VALUE(LEFT(I5371,FIND(" ",I5371)-1)),""),"")</f>
        <v/>
      </c>
      <c r="P5371" s="7" t="n">
        <f aca="false">IF(K5371="","",K5371-G5371)</f>
        <v>0</v>
      </c>
    </row>
    <row r="5372" customFormat="false" ht="15" hidden="false" customHeight="false" outlineLevel="0" collapsed="false">
      <c r="A5372" s="7" t="n">
        <v>80169778</v>
      </c>
      <c r="B5372" s="7" t="s">
        <v>68</v>
      </c>
      <c r="C5372" s="7" t="s">
        <v>10760</v>
      </c>
      <c r="D5372" s="7" t="s">
        <v>10160</v>
      </c>
      <c r="E5372" s="7" t="s">
        <v>26</v>
      </c>
      <c r="F5372" s="7" t="s">
        <v>10759</v>
      </c>
      <c r="G5372" s="7" t="n">
        <v>2017</v>
      </c>
      <c r="H5372" s="7" t="s">
        <v>49</v>
      </c>
      <c r="I5372" s="7" t="s">
        <v>181</v>
      </c>
      <c r="J5372" s="7" t="s">
        <v>39</v>
      </c>
      <c r="K5372" s="7" t="n">
        <f aca="false">IFERROR(VALUE(RIGHT(TRIM(F5372),4)),"")</f>
        <v>2017</v>
      </c>
      <c r="L5372" s="7" t="str">
        <f aca="false">IF(TRIM(E5372)="","Unknown",IFERROR(LEFT(TRIM(E5372),FIND(",",TRIM(E5372))-1),TRIM(E5372)))</f>
        <v>United States</v>
      </c>
      <c r="M5372" s="7" t="str">
        <f aca="false">IFERROR(LEFT(J5372,FIND(",",J5372)-1),J5372)</f>
        <v>Documentaries</v>
      </c>
      <c r="N5372" s="7" t="n">
        <f aca="false">IF(B5372="Movie",IFERROR(VALUE(LEFT(I5372,FIND(" ",I5372)-1)),""),"")</f>
        <v>102</v>
      </c>
      <c r="O5372" s="7" t="str">
        <f aca="false">IF(B5372="TV Show",IFERROR(VALUE(LEFT(I5372,FIND(" ",I5372)-1)),""),"")</f>
        <v/>
      </c>
      <c r="P5372" s="7" t="n">
        <f aca="false">IF(K5372="","",K5372-G5372)</f>
        <v>0</v>
      </c>
    </row>
    <row r="5373" customFormat="false" ht="15" hidden="false" customHeight="false" outlineLevel="0" collapsed="false">
      <c r="A5373" s="7" t="n">
        <v>81035844</v>
      </c>
      <c r="B5373" s="7" t="s">
        <v>68</v>
      </c>
      <c r="C5373" s="7" t="s">
        <v>10761</v>
      </c>
      <c r="D5373" s="7" t="s">
        <v>5309</v>
      </c>
      <c r="E5373" s="7" t="s">
        <v>963</v>
      </c>
      <c r="F5373" s="7" t="s">
        <v>10762</v>
      </c>
      <c r="G5373" s="7" t="n">
        <v>2016</v>
      </c>
      <c r="H5373" s="7" t="s">
        <v>49</v>
      </c>
      <c r="I5373" s="7" t="s">
        <v>470</v>
      </c>
      <c r="J5373" s="7" t="s">
        <v>202</v>
      </c>
      <c r="K5373" s="7" t="n">
        <f aca="false">IFERROR(VALUE(RIGHT(TRIM(F5373),4)),"")</f>
        <v>2019</v>
      </c>
      <c r="L5373" s="7" t="str">
        <f aca="false">IF(TRIM(E5373)="","Unknown",IFERROR(LEFT(TRIM(E5373),FIND(",",TRIM(E5373))-1),TRIM(E5373)))</f>
        <v>Egypt</v>
      </c>
      <c r="M5373" s="7" t="str">
        <f aca="false">IFERROR(LEFT(J5373,FIND(",",J5373)-1),J5373)</f>
        <v>Comedies</v>
      </c>
      <c r="N5373" s="7" t="n">
        <f aca="false">IF(B5373="Movie",IFERROR(VALUE(LEFT(I5373,FIND(" ",I5373)-1)),""),"")</f>
        <v>91</v>
      </c>
      <c r="O5373" s="7" t="str">
        <f aca="false">IF(B5373="TV Show",IFERROR(VALUE(LEFT(I5373,FIND(" ",I5373)-1)),""),"")</f>
        <v/>
      </c>
      <c r="P5373" s="7" t="n">
        <f aca="false">IF(K5373="","",K5373-G5373)</f>
        <v>3</v>
      </c>
    </row>
    <row r="5374" customFormat="false" ht="15" hidden="false" customHeight="false" outlineLevel="0" collapsed="false">
      <c r="A5374" s="7" t="n">
        <v>81035842</v>
      </c>
      <c r="B5374" s="7" t="s">
        <v>68</v>
      </c>
      <c r="C5374" s="7" t="s">
        <v>10763</v>
      </c>
      <c r="D5374" s="7" t="s">
        <v>10205</v>
      </c>
      <c r="E5374" s="7" t="s">
        <v>963</v>
      </c>
      <c r="F5374" s="7" t="s">
        <v>10762</v>
      </c>
      <c r="G5374" s="7" t="n">
        <v>2016</v>
      </c>
      <c r="H5374" s="7" t="s">
        <v>49</v>
      </c>
      <c r="I5374" s="7" t="s">
        <v>87</v>
      </c>
      <c r="J5374" s="7" t="s">
        <v>202</v>
      </c>
      <c r="K5374" s="7" t="n">
        <f aca="false">IFERROR(VALUE(RIGHT(TRIM(F5374),4)),"")</f>
        <v>2019</v>
      </c>
      <c r="L5374" s="7" t="str">
        <f aca="false">IF(TRIM(E5374)="","Unknown",IFERROR(LEFT(TRIM(E5374),FIND(",",TRIM(E5374))-1),TRIM(E5374)))</f>
        <v>Egypt</v>
      </c>
      <c r="M5374" s="7" t="str">
        <f aca="false">IFERROR(LEFT(J5374,FIND(",",J5374)-1),J5374)</f>
        <v>Comedies</v>
      </c>
      <c r="N5374" s="7" t="n">
        <f aca="false">IF(B5374="Movie",IFERROR(VALUE(LEFT(I5374,FIND(" ",I5374)-1)),""),"")</f>
        <v>99</v>
      </c>
      <c r="O5374" s="7" t="str">
        <f aca="false">IF(B5374="TV Show",IFERROR(VALUE(LEFT(I5374,FIND(" ",I5374)-1)),""),"")</f>
        <v/>
      </c>
      <c r="P5374" s="7" t="n">
        <f aca="false">IF(K5374="","",K5374-G5374)</f>
        <v>3</v>
      </c>
    </row>
    <row r="5375" customFormat="false" ht="15" hidden="false" customHeight="false" outlineLevel="0" collapsed="false">
      <c r="A5375" s="7" t="n">
        <v>81035860</v>
      </c>
      <c r="B5375" s="7" t="s">
        <v>68</v>
      </c>
      <c r="C5375" s="7" t="s">
        <v>10764</v>
      </c>
      <c r="D5375" s="7" t="s">
        <v>3686</v>
      </c>
      <c r="E5375" s="7" t="s">
        <v>963</v>
      </c>
      <c r="F5375" s="7" t="s">
        <v>10762</v>
      </c>
      <c r="G5375" s="7" t="n">
        <v>2013</v>
      </c>
      <c r="H5375" s="7" t="s">
        <v>49</v>
      </c>
      <c r="I5375" s="7" t="s">
        <v>87</v>
      </c>
      <c r="J5375" s="7" t="s">
        <v>202</v>
      </c>
      <c r="K5375" s="7" t="n">
        <f aca="false">IFERROR(VALUE(RIGHT(TRIM(F5375),4)),"")</f>
        <v>2019</v>
      </c>
      <c r="L5375" s="7" t="str">
        <f aca="false">IF(TRIM(E5375)="","Unknown",IFERROR(LEFT(TRIM(E5375),FIND(",",TRIM(E5375))-1),TRIM(E5375)))</f>
        <v>Egypt</v>
      </c>
      <c r="M5375" s="7" t="str">
        <f aca="false">IFERROR(LEFT(J5375,FIND(",",J5375)-1),J5375)</f>
        <v>Comedies</v>
      </c>
      <c r="N5375" s="7" t="n">
        <f aca="false">IF(B5375="Movie",IFERROR(VALUE(LEFT(I5375,FIND(" ",I5375)-1)),""),"")</f>
        <v>99</v>
      </c>
      <c r="O5375" s="7" t="str">
        <f aca="false">IF(B5375="TV Show",IFERROR(VALUE(LEFT(I5375,FIND(" ",I5375)-1)),""),"")</f>
        <v/>
      </c>
      <c r="P5375" s="7" t="n">
        <f aca="false">IF(K5375="","",K5375-G5375)</f>
        <v>6</v>
      </c>
    </row>
    <row r="5376" customFormat="false" ht="15" hidden="false" customHeight="false" outlineLevel="0" collapsed="false">
      <c r="A5376" s="7" t="n">
        <v>81035850</v>
      </c>
      <c r="B5376" s="7" t="s">
        <v>68</v>
      </c>
      <c r="C5376" s="7" t="s">
        <v>10765</v>
      </c>
      <c r="D5376" s="7" t="s">
        <v>10766</v>
      </c>
      <c r="F5376" s="7" t="s">
        <v>10762</v>
      </c>
      <c r="G5376" s="7" t="n">
        <v>2014</v>
      </c>
      <c r="H5376" s="7" t="s">
        <v>49</v>
      </c>
      <c r="I5376" s="7" t="s">
        <v>87</v>
      </c>
      <c r="J5376" s="7" t="s">
        <v>202</v>
      </c>
      <c r="K5376" s="7" t="n">
        <f aca="false">IFERROR(VALUE(RIGHT(TRIM(F5376),4)),"")</f>
        <v>2019</v>
      </c>
      <c r="L5376" s="7" t="str">
        <f aca="false">IF(TRIM(E5376)="","Unknown",IFERROR(LEFT(TRIM(E5376),FIND(",",TRIM(E5376))-1),TRIM(E5376)))</f>
        <v>Unknown</v>
      </c>
      <c r="M5376" s="7" t="str">
        <f aca="false">IFERROR(LEFT(J5376,FIND(",",J5376)-1),J5376)</f>
        <v>Comedies</v>
      </c>
      <c r="N5376" s="7" t="n">
        <f aca="false">IF(B5376="Movie",IFERROR(VALUE(LEFT(I5376,FIND(" ",I5376)-1)),""),"")</f>
        <v>99</v>
      </c>
      <c r="O5376" s="7" t="str">
        <f aca="false">IF(B5376="TV Show",IFERROR(VALUE(LEFT(I5376,FIND(" ",I5376)-1)),""),"")</f>
        <v/>
      </c>
      <c r="P5376" s="7" t="n">
        <f aca="false">IF(K5376="","",K5376-G5376)</f>
        <v>5</v>
      </c>
    </row>
    <row r="5377" customFormat="false" ht="15" hidden="false" customHeight="false" outlineLevel="0" collapsed="false">
      <c r="A5377" s="7" t="n">
        <v>81035846</v>
      </c>
      <c r="B5377" s="7" t="s">
        <v>68</v>
      </c>
      <c r="C5377" s="7" t="s">
        <v>10767</v>
      </c>
      <c r="D5377" s="7" t="s">
        <v>10768</v>
      </c>
      <c r="E5377" s="7" t="s">
        <v>963</v>
      </c>
      <c r="F5377" s="7" t="s">
        <v>10762</v>
      </c>
      <c r="G5377" s="7" t="n">
        <v>2015</v>
      </c>
      <c r="H5377" s="7" t="s">
        <v>48</v>
      </c>
      <c r="I5377" s="7" t="s">
        <v>134</v>
      </c>
      <c r="J5377" s="7" t="s">
        <v>112</v>
      </c>
      <c r="K5377" s="7" t="n">
        <f aca="false">IFERROR(VALUE(RIGHT(TRIM(F5377),4)),"")</f>
        <v>2019</v>
      </c>
      <c r="L5377" s="7" t="str">
        <f aca="false">IF(TRIM(E5377)="","Unknown",IFERROR(LEFT(TRIM(E5377),FIND(",",TRIM(E5377))-1),TRIM(E5377)))</f>
        <v>Egypt</v>
      </c>
      <c r="M5377" s="7" t="str">
        <f aca="false">IFERROR(LEFT(J5377,FIND(",",J5377)-1),J5377)</f>
        <v>Action &amp; Adventure</v>
      </c>
      <c r="N5377" s="7" t="n">
        <f aca="false">IF(B5377="Movie",IFERROR(VALUE(LEFT(I5377,FIND(" ",I5377)-1)),""),"")</f>
        <v>98</v>
      </c>
      <c r="O5377" s="7" t="str">
        <f aca="false">IF(B5377="TV Show",IFERROR(VALUE(LEFT(I5377,FIND(" ",I5377)-1)),""),"")</f>
        <v/>
      </c>
      <c r="P5377" s="7" t="n">
        <f aca="false">IF(K5377="","",K5377-G5377)</f>
        <v>4</v>
      </c>
    </row>
    <row r="5378" customFormat="false" ht="15" hidden="false" customHeight="false" outlineLevel="0" collapsed="false">
      <c r="A5378" s="7" t="n">
        <v>81035854</v>
      </c>
      <c r="B5378" s="7" t="s">
        <v>68</v>
      </c>
      <c r="C5378" s="7" t="s">
        <v>10769</v>
      </c>
      <c r="D5378" s="7" t="s">
        <v>5762</v>
      </c>
      <c r="E5378" s="7" t="s">
        <v>963</v>
      </c>
      <c r="F5378" s="7" t="s">
        <v>10762</v>
      </c>
      <c r="G5378" s="7" t="n">
        <v>2014</v>
      </c>
      <c r="H5378" s="7" t="s">
        <v>49</v>
      </c>
      <c r="I5378" s="7" t="s">
        <v>1191</v>
      </c>
      <c r="J5378" s="7" t="s">
        <v>2725</v>
      </c>
      <c r="K5378" s="7" t="n">
        <f aca="false">IFERROR(VALUE(RIGHT(TRIM(F5378),4)),"")</f>
        <v>2019</v>
      </c>
      <c r="L5378" s="7" t="str">
        <f aca="false">IF(TRIM(E5378)="","Unknown",IFERROR(LEFT(TRIM(E5378),FIND(",",TRIM(E5378))-1),TRIM(E5378)))</f>
        <v>Egypt</v>
      </c>
      <c r="M5378" s="7" t="str">
        <f aca="false">IFERROR(LEFT(J5378,FIND(",",J5378)-1),J5378)</f>
        <v>Horror Movies</v>
      </c>
      <c r="N5378" s="7" t="n">
        <f aca="false">IF(B5378="Movie",IFERROR(VALUE(LEFT(I5378,FIND(" ",I5378)-1)),""),"")</f>
        <v>73</v>
      </c>
      <c r="O5378" s="7" t="str">
        <f aca="false">IF(B5378="TV Show",IFERROR(VALUE(LEFT(I5378,FIND(" ",I5378)-1)),""),"")</f>
        <v/>
      </c>
      <c r="P5378" s="7" t="n">
        <f aca="false">IF(K5378="","",K5378-G5378)</f>
        <v>5</v>
      </c>
    </row>
    <row r="5379" customFormat="false" ht="15" hidden="false" customHeight="false" outlineLevel="0" collapsed="false">
      <c r="A5379" s="7" t="n">
        <v>80097516</v>
      </c>
      <c r="B5379" s="7" t="s">
        <v>68</v>
      </c>
      <c r="C5379" s="7" t="s">
        <v>10770</v>
      </c>
      <c r="D5379" s="7" t="s">
        <v>10771</v>
      </c>
      <c r="E5379" s="7" t="s">
        <v>1081</v>
      </c>
      <c r="F5379" s="7" t="s">
        <v>10772</v>
      </c>
      <c r="G5379" s="7" t="n">
        <v>2016</v>
      </c>
      <c r="H5379" s="7" t="s">
        <v>51</v>
      </c>
      <c r="I5379" s="7" t="s">
        <v>311</v>
      </c>
      <c r="J5379" s="7" t="s">
        <v>169</v>
      </c>
      <c r="K5379" s="7" t="n">
        <f aca="false">IFERROR(VALUE(RIGHT(TRIM(F5379),4)),"")</f>
        <v>2018</v>
      </c>
      <c r="L5379" s="7" t="str">
        <f aca="false">IF(TRIM(E5379)="","Unknown",IFERROR(LEFT(TRIM(E5379),FIND(",",TRIM(E5379))-1),TRIM(E5379)))</f>
        <v>Germany</v>
      </c>
      <c r="M5379" s="7" t="str">
        <f aca="false">IFERROR(LEFT(J5379,FIND(",",J5379)-1),J5379)</f>
        <v>Horror Movies</v>
      </c>
      <c r="N5379" s="7" t="n">
        <f aca="false">IF(B5379="Movie",IFERROR(VALUE(LEFT(I5379,FIND(" ",I5379)-1)),""),"")</f>
        <v>92</v>
      </c>
      <c r="O5379" s="7" t="str">
        <f aca="false">IF(B5379="TV Show",IFERROR(VALUE(LEFT(I5379,FIND(" ",I5379)-1)),""),"")</f>
        <v/>
      </c>
      <c r="P5379" s="7" t="n">
        <f aca="false">IF(K5379="","",K5379-G5379)</f>
        <v>2</v>
      </c>
    </row>
    <row r="5380" customFormat="false" ht="15" hidden="false" customHeight="false" outlineLevel="0" collapsed="false">
      <c r="A5380" s="7" t="n">
        <v>70217161</v>
      </c>
      <c r="B5380" s="7" t="s">
        <v>78</v>
      </c>
      <c r="C5380" s="7" t="s">
        <v>10773</v>
      </c>
      <c r="E5380" s="7" t="s">
        <v>230</v>
      </c>
      <c r="F5380" s="7" t="s">
        <v>10772</v>
      </c>
      <c r="G5380" s="7" t="n">
        <v>1993</v>
      </c>
      <c r="H5380" s="7" t="s">
        <v>119</v>
      </c>
      <c r="I5380" s="7" t="s">
        <v>82</v>
      </c>
      <c r="J5380" s="7" t="s">
        <v>44</v>
      </c>
      <c r="K5380" s="7" t="n">
        <f aca="false">IFERROR(VALUE(RIGHT(TRIM(F5380),4)),"")</f>
        <v>2018</v>
      </c>
      <c r="L5380" s="7" t="str">
        <f aca="false">IF(TRIM(E5380)="","Unknown",IFERROR(LEFT(TRIM(E5380),FIND(",",TRIM(E5380))-1),TRIM(E5380)))</f>
        <v>United States</v>
      </c>
      <c r="M5380" s="7" t="str">
        <f aca="false">IFERROR(LEFT(J5380,FIND(",",J5380)-1),J5380)</f>
        <v>Kids' TV</v>
      </c>
      <c r="N5380" s="7" t="str">
        <f aca="false">IF(B5380="Movie",IFERROR(VALUE(LEFT(I5380,FIND(" ",I5380)-1)),""),"")</f>
        <v/>
      </c>
      <c r="O5380" s="7" t="n">
        <f aca="false">IF(B5380="TV Show",IFERROR(VALUE(LEFT(I5380,FIND(" ",I5380)-1)),""),"")</f>
        <v>1</v>
      </c>
      <c r="P5380" s="7" t="n">
        <f aca="false">IF(K5380="","",K5380-G5380)</f>
        <v>25</v>
      </c>
    </row>
    <row r="5381" customFormat="false" ht="15" hidden="false" customHeight="false" outlineLevel="0" collapsed="false">
      <c r="A5381" s="7" t="n">
        <v>80164465</v>
      </c>
      <c r="B5381" s="7" t="s">
        <v>68</v>
      </c>
      <c r="C5381" s="7" t="s">
        <v>10774</v>
      </c>
      <c r="D5381" s="7" t="s">
        <v>8928</v>
      </c>
      <c r="E5381" s="7" t="s">
        <v>26</v>
      </c>
      <c r="F5381" s="7" t="s">
        <v>10775</v>
      </c>
      <c r="G5381" s="7" t="n">
        <v>2017</v>
      </c>
      <c r="H5381" s="7" t="s">
        <v>54</v>
      </c>
      <c r="I5381" s="7" t="s">
        <v>111</v>
      </c>
      <c r="J5381" s="7" t="s">
        <v>74</v>
      </c>
      <c r="K5381" s="7" t="n">
        <f aca="false">IFERROR(VALUE(RIGHT(TRIM(F5381),4)),"")</f>
        <v>2017</v>
      </c>
      <c r="L5381" s="7" t="str">
        <f aca="false">IF(TRIM(E5381)="","Unknown",IFERROR(LEFT(TRIM(E5381),FIND(",",TRIM(E5381))-1),TRIM(E5381)))</f>
        <v>United States</v>
      </c>
      <c r="M5381" s="7" t="str">
        <f aca="false">IFERROR(LEFT(J5381,FIND(",",J5381)-1),J5381)</f>
        <v>Children &amp; Family Movies</v>
      </c>
      <c r="N5381" s="7" t="n">
        <f aca="false">IF(B5381="Movie",IFERROR(VALUE(LEFT(I5381,FIND(" ",I5381)-1)),""),"")</f>
        <v>95</v>
      </c>
      <c r="O5381" s="7" t="str">
        <f aca="false">IF(B5381="TV Show",IFERROR(VALUE(LEFT(I5381,FIND(" ",I5381)-1)),""),"")</f>
        <v/>
      </c>
      <c r="P5381" s="7" t="n">
        <f aca="false">IF(K5381="","",K5381-G5381)</f>
        <v>0</v>
      </c>
    </row>
    <row r="5382" customFormat="false" ht="15" hidden="false" customHeight="false" outlineLevel="0" collapsed="false">
      <c r="A5382" s="7" t="n">
        <v>80117484</v>
      </c>
      <c r="B5382" s="7" t="s">
        <v>68</v>
      </c>
      <c r="C5382" s="7" t="s">
        <v>10776</v>
      </c>
      <c r="D5382" s="7" t="s">
        <v>1151</v>
      </c>
      <c r="E5382" s="7" t="s">
        <v>26</v>
      </c>
      <c r="F5382" s="7" t="s">
        <v>10775</v>
      </c>
      <c r="G5382" s="7" t="n">
        <v>2017</v>
      </c>
      <c r="H5382" s="7" t="s">
        <v>48</v>
      </c>
      <c r="I5382" s="7" t="s">
        <v>1644</v>
      </c>
      <c r="J5382" s="7" t="s">
        <v>45</v>
      </c>
      <c r="K5382" s="7" t="n">
        <f aca="false">IFERROR(VALUE(RIGHT(TRIM(F5382),4)),"")</f>
        <v>2017</v>
      </c>
      <c r="L5382" s="7" t="str">
        <f aca="false">IF(TRIM(E5382)="","Unknown",IFERROR(LEFT(TRIM(E5382),FIND(",",TRIM(E5382))-1),TRIM(E5382)))</f>
        <v>United States</v>
      </c>
      <c r="M5382" s="7" t="str">
        <f aca="false">IFERROR(LEFT(J5382,FIND(",",J5382)-1),J5382)</f>
        <v>Stand-Up Comedy</v>
      </c>
      <c r="N5382" s="7" t="n">
        <f aca="false">IF(B5382="Movie",IFERROR(VALUE(LEFT(I5382,FIND(" ",I5382)-1)),""),"")</f>
        <v>50</v>
      </c>
      <c r="O5382" s="7" t="str">
        <f aca="false">IF(B5382="TV Show",IFERROR(VALUE(LEFT(I5382,FIND(" ",I5382)-1)),""),"")</f>
        <v/>
      </c>
      <c r="P5382" s="7" t="n">
        <f aca="false">IF(K5382="","",K5382-G5382)</f>
        <v>0</v>
      </c>
    </row>
    <row r="5383" customFormat="false" ht="15" hidden="false" customHeight="false" outlineLevel="0" collapsed="false">
      <c r="A5383" s="7" t="n">
        <v>80017099</v>
      </c>
      <c r="B5383" s="7" t="s">
        <v>68</v>
      </c>
      <c r="C5383" s="7" t="s">
        <v>10777</v>
      </c>
      <c r="D5383" s="7" t="s">
        <v>10778</v>
      </c>
      <c r="E5383" s="7" t="s">
        <v>28</v>
      </c>
      <c r="F5383" s="7" t="s">
        <v>10779</v>
      </c>
      <c r="G5383" s="7" t="n">
        <v>2014</v>
      </c>
      <c r="H5383" s="7" t="s">
        <v>51</v>
      </c>
      <c r="I5383" s="7" t="s">
        <v>146</v>
      </c>
      <c r="J5383" s="7" t="s">
        <v>188</v>
      </c>
      <c r="K5383" s="7" t="n">
        <f aca="false">IFERROR(VALUE(RIGHT(TRIM(F5383),4)),"")</f>
        <v>2019</v>
      </c>
      <c r="L5383" s="7" t="str">
        <f aca="false">IF(TRIM(E5383)="","Unknown",IFERROR(LEFT(TRIM(E5383),FIND(",",TRIM(E5383))-1),TRIM(E5383)))</f>
        <v>United Kingdom</v>
      </c>
      <c r="M5383" s="7" t="str">
        <f aca="false">IFERROR(LEFT(J5383,FIND(",",J5383)-1),J5383)</f>
        <v>Dramas</v>
      </c>
      <c r="N5383" s="7" t="n">
        <f aca="false">IF(B5383="Movie",IFERROR(VALUE(LEFT(I5383,FIND(" ",I5383)-1)),""),"")</f>
        <v>113</v>
      </c>
      <c r="O5383" s="7" t="str">
        <f aca="false">IF(B5383="TV Show",IFERROR(VALUE(LEFT(I5383,FIND(" ",I5383)-1)),""),"")</f>
        <v/>
      </c>
      <c r="P5383" s="7" t="n">
        <f aca="false">IF(K5383="","",K5383-G5383)</f>
        <v>5</v>
      </c>
    </row>
    <row r="5384" customFormat="false" ht="15" hidden="false" customHeight="false" outlineLevel="0" collapsed="false">
      <c r="A5384" s="7" t="n">
        <v>81043542</v>
      </c>
      <c r="B5384" s="7" t="s">
        <v>68</v>
      </c>
      <c r="C5384" s="7" t="s">
        <v>10780</v>
      </c>
      <c r="D5384" s="7" t="s">
        <v>10781</v>
      </c>
      <c r="E5384" s="7" t="s">
        <v>396</v>
      </c>
      <c r="F5384" s="7" t="s">
        <v>10779</v>
      </c>
      <c r="G5384" s="7" t="n">
        <v>2015</v>
      </c>
      <c r="H5384" s="7" t="s">
        <v>48</v>
      </c>
      <c r="I5384" s="7" t="s">
        <v>722</v>
      </c>
      <c r="J5384" s="7" t="s">
        <v>169</v>
      </c>
      <c r="K5384" s="7" t="n">
        <f aca="false">IFERROR(VALUE(RIGHT(TRIM(F5384),4)),"")</f>
        <v>2019</v>
      </c>
      <c r="L5384" s="7" t="str">
        <f aca="false">IF(TRIM(E5384)="","Unknown",IFERROR(LEFT(TRIM(E5384),FIND(",",TRIM(E5384))-1),TRIM(E5384)))</f>
        <v>Turkey</v>
      </c>
      <c r="M5384" s="7" t="str">
        <f aca="false">IFERROR(LEFT(J5384,FIND(",",J5384)-1),J5384)</f>
        <v>Horror Movies</v>
      </c>
      <c r="N5384" s="7" t="n">
        <f aca="false">IF(B5384="Movie",IFERROR(VALUE(LEFT(I5384,FIND(" ",I5384)-1)),""),"")</f>
        <v>153</v>
      </c>
      <c r="O5384" s="7" t="str">
        <f aca="false">IF(B5384="TV Show",IFERROR(VALUE(LEFT(I5384,FIND(" ",I5384)-1)),""),"")</f>
        <v/>
      </c>
      <c r="P5384" s="7" t="n">
        <f aca="false">IF(K5384="","",K5384-G5384)</f>
        <v>4</v>
      </c>
    </row>
    <row r="5385" customFormat="false" ht="15" hidden="false" customHeight="false" outlineLevel="0" collapsed="false">
      <c r="A5385" s="7" t="n">
        <v>81026329</v>
      </c>
      <c r="B5385" s="7" t="s">
        <v>68</v>
      </c>
      <c r="C5385" s="7" t="s">
        <v>10782</v>
      </c>
      <c r="D5385" s="7" t="s">
        <v>10783</v>
      </c>
      <c r="E5385" s="7" t="s">
        <v>868</v>
      </c>
      <c r="F5385" s="7" t="s">
        <v>10779</v>
      </c>
      <c r="G5385" s="7" t="n">
        <v>2018</v>
      </c>
      <c r="H5385" s="7" t="s">
        <v>50</v>
      </c>
      <c r="I5385" s="7" t="s">
        <v>467</v>
      </c>
      <c r="J5385" s="7" t="s">
        <v>202</v>
      </c>
      <c r="K5385" s="7" t="n">
        <f aca="false">IFERROR(VALUE(RIGHT(TRIM(F5385),4)),"")</f>
        <v>2019</v>
      </c>
      <c r="L5385" s="7" t="str">
        <f aca="false">IF(TRIM(E5385)="","Unknown",IFERROR(LEFT(TRIM(E5385),FIND(",",TRIM(E5385))-1),TRIM(E5385)))</f>
        <v>Netherlands</v>
      </c>
      <c r="M5385" s="7" t="str">
        <f aca="false">IFERROR(LEFT(J5385,FIND(",",J5385)-1),J5385)</f>
        <v>Comedies</v>
      </c>
      <c r="N5385" s="7" t="n">
        <f aca="false">IF(B5385="Movie",IFERROR(VALUE(LEFT(I5385,FIND(" ",I5385)-1)),""),"")</f>
        <v>81</v>
      </c>
      <c r="O5385" s="7" t="str">
        <f aca="false">IF(B5385="TV Show",IFERROR(VALUE(LEFT(I5385,FIND(" ",I5385)-1)),""),"")</f>
        <v/>
      </c>
      <c r="P5385" s="7" t="n">
        <f aca="false">IF(K5385="","",K5385-G5385)</f>
        <v>1</v>
      </c>
    </row>
    <row r="5386" customFormat="false" ht="15" hidden="false" customHeight="false" outlineLevel="0" collapsed="false">
      <c r="A5386" s="7" t="n">
        <v>81006826</v>
      </c>
      <c r="B5386" s="7" t="s">
        <v>68</v>
      </c>
      <c r="C5386" s="7" t="s">
        <v>10784</v>
      </c>
      <c r="D5386" s="7" t="s">
        <v>5255</v>
      </c>
      <c r="E5386" s="7" t="s">
        <v>34</v>
      </c>
      <c r="F5386" s="7" t="s">
        <v>10779</v>
      </c>
      <c r="G5386" s="7" t="n">
        <v>2019</v>
      </c>
      <c r="H5386" s="7" t="s">
        <v>48</v>
      </c>
      <c r="I5386" s="7" t="s">
        <v>1028</v>
      </c>
      <c r="J5386" s="7" t="s">
        <v>45</v>
      </c>
      <c r="K5386" s="7" t="n">
        <f aca="false">IFERROR(VALUE(RIGHT(TRIM(F5386),4)),"")</f>
        <v>2019</v>
      </c>
      <c r="L5386" s="7" t="str">
        <f aca="false">IF(TRIM(E5386)="","Unknown",IFERROR(LEFT(TRIM(E5386),FIND(",",TRIM(E5386))-1),TRIM(E5386)))</f>
        <v>Mexico</v>
      </c>
      <c r="M5386" s="7" t="str">
        <f aca="false">IFERROR(LEFT(J5386,FIND(",",J5386)-1),J5386)</f>
        <v>Stand-Up Comedy</v>
      </c>
      <c r="N5386" s="7" t="n">
        <f aca="false">IF(B5386="Movie",IFERROR(VALUE(LEFT(I5386,FIND(" ",I5386)-1)),""),"")</f>
        <v>54</v>
      </c>
      <c r="O5386" s="7" t="str">
        <f aca="false">IF(B5386="TV Show",IFERROR(VALUE(LEFT(I5386,FIND(" ",I5386)-1)),""),"")</f>
        <v/>
      </c>
      <c r="P5386" s="7" t="n">
        <f aca="false">IF(K5386="","",K5386-G5386)</f>
        <v>0</v>
      </c>
    </row>
    <row r="5387" customFormat="false" ht="15" hidden="false" customHeight="false" outlineLevel="0" collapsed="false">
      <c r="A5387" s="7" t="n">
        <v>81013626</v>
      </c>
      <c r="B5387" s="7" t="s">
        <v>68</v>
      </c>
      <c r="C5387" s="7" t="s">
        <v>10785</v>
      </c>
      <c r="D5387" s="7" t="s">
        <v>10786</v>
      </c>
      <c r="F5387" s="7" t="s">
        <v>10779</v>
      </c>
      <c r="G5387" s="7" t="n">
        <v>2019</v>
      </c>
      <c r="H5387" s="7" t="s">
        <v>48</v>
      </c>
      <c r="I5387" s="7" t="s">
        <v>919</v>
      </c>
      <c r="J5387" s="7" t="s">
        <v>509</v>
      </c>
      <c r="K5387" s="7" t="n">
        <f aca="false">IFERROR(VALUE(RIGHT(TRIM(F5387),4)),"")</f>
        <v>2019</v>
      </c>
      <c r="L5387" s="7" t="str">
        <f aca="false">IF(TRIM(E5387)="","Unknown",IFERROR(LEFT(TRIM(E5387),FIND(",",TRIM(E5387))-1),TRIM(E5387)))</f>
        <v>Unknown</v>
      </c>
      <c r="M5387" s="7" t="str">
        <f aca="false">IFERROR(LEFT(J5387,FIND(",",J5387)-1),J5387)</f>
        <v>Documentaries</v>
      </c>
      <c r="N5387" s="7" t="n">
        <f aca="false">IF(B5387="Movie",IFERROR(VALUE(LEFT(I5387,FIND(" ",I5387)-1)),""),"")</f>
        <v>138</v>
      </c>
      <c r="O5387" s="7" t="str">
        <f aca="false">IF(B5387="TV Show",IFERROR(VALUE(LEFT(I5387,FIND(" ",I5387)-1)),""),"")</f>
        <v/>
      </c>
      <c r="P5387" s="7" t="n">
        <f aca="false">IF(K5387="","",K5387-G5387)</f>
        <v>0</v>
      </c>
    </row>
    <row r="5388" customFormat="false" ht="15" hidden="false" customHeight="false" outlineLevel="0" collapsed="false">
      <c r="A5388" s="7" t="n">
        <v>80232914</v>
      </c>
      <c r="B5388" s="7" t="s">
        <v>78</v>
      </c>
      <c r="C5388" s="7" t="s">
        <v>10787</v>
      </c>
      <c r="E5388" s="7" t="s">
        <v>31</v>
      </c>
      <c r="F5388" s="7" t="s">
        <v>10788</v>
      </c>
      <c r="G5388" s="7" t="n">
        <v>2018</v>
      </c>
      <c r="H5388" s="7" t="s">
        <v>48</v>
      </c>
      <c r="I5388" s="7" t="s">
        <v>82</v>
      </c>
      <c r="J5388" s="7" t="s">
        <v>402</v>
      </c>
      <c r="K5388" s="7" t="n">
        <f aca="false">IFERROR(VALUE(RIGHT(TRIM(F5388),4)),"")</f>
        <v>2018</v>
      </c>
      <c r="L5388" s="7" t="str">
        <f aca="false">IF(TRIM(E5388)="","Unknown",IFERROR(LEFT(TRIM(E5388),FIND(",",TRIM(E5388))-1),TRIM(E5388)))</f>
        <v>France</v>
      </c>
      <c r="M5388" s="7" t="str">
        <f aca="false">IFERROR(LEFT(J5388,FIND(",",J5388)-1),J5388)</f>
        <v>Crime TV Shows</v>
      </c>
      <c r="N5388" s="7" t="str">
        <f aca="false">IF(B5388="Movie",IFERROR(VALUE(LEFT(I5388,FIND(" ",I5388)-1)),""),"")</f>
        <v/>
      </c>
      <c r="O5388" s="7" t="n">
        <f aca="false">IF(B5388="TV Show",IFERROR(VALUE(LEFT(I5388,FIND(" ",I5388)-1)),""),"")</f>
        <v>1</v>
      </c>
      <c r="P5388" s="7" t="n">
        <f aca="false">IF(K5388="","",K5388-G5388)</f>
        <v>0</v>
      </c>
    </row>
    <row r="5389" customFormat="false" ht="15" hidden="false" customHeight="false" outlineLevel="0" collapsed="false">
      <c r="A5389" s="7" t="n">
        <v>80213655</v>
      </c>
      <c r="B5389" s="7" t="s">
        <v>78</v>
      </c>
      <c r="C5389" s="7" t="s">
        <v>10789</v>
      </c>
      <c r="E5389" s="7" t="s">
        <v>26</v>
      </c>
      <c r="F5389" s="7" t="s">
        <v>10788</v>
      </c>
      <c r="G5389" s="7" t="n">
        <v>2018</v>
      </c>
      <c r="H5389" s="7" t="s">
        <v>48</v>
      </c>
      <c r="I5389" s="7" t="s">
        <v>82</v>
      </c>
      <c r="J5389" s="7" t="s">
        <v>795</v>
      </c>
      <c r="K5389" s="7" t="n">
        <f aca="false">IFERROR(VALUE(RIGHT(TRIM(F5389),4)),"")</f>
        <v>2018</v>
      </c>
      <c r="L5389" s="7" t="str">
        <f aca="false">IF(TRIM(E5389)="","Unknown",IFERROR(LEFT(TRIM(E5389),FIND(",",TRIM(E5389))-1),TRIM(E5389)))</f>
        <v>United States</v>
      </c>
      <c r="M5389" s="7" t="str">
        <f aca="false">IFERROR(LEFT(J5389,FIND(",",J5389)-1),J5389)</f>
        <v>Stand-Up Comedy &amp; Talk Shows</v>
      </c>
      <c r="N5389" s="7" t="str">
        <f aca="false">IF(B5389="Movie",IFERROR(VALUE(LEFT(I5389,FIND(" ",I5389)-1)),""),"")</f>
        <v/>
      </c>
      <c r="O5389" s="7" t="n">
        <f aca="false">IF(B5389="TV Show",IFERROR(VALUE(LEFT(I5389,FIND(" ",I5389)-1)),""),"")</f>
        <v>1</v>
      </c>
      <c r="P5389" s="7" t="n">
        <f aca="false">IF(K5389="","",K5389-G5389)</f>
        <v>0</v>
      </c>
    </row>
    <row r="5390" customFormat="false" ht="15" hidden="false" customHeight="false" outlineLevel="0" collapsed="false">
      <c r="A5390" s="7" t="n">
        <v>80027271</v>
      </c>
      <c r="B5390" s="7" t="s">
        <v>78</v>
      </c>
      <c r="C5390" s="7" t="s">
        <v>10790</v>
      </c>
      <c r="E5390" s="7" t="s">
        <v>26</v>
      </c>
      <c r="F5390" s="7" t="s">
        <v>10791</v>
      </c>
      <c r="G5390" s="7" t="n">
        <v>2015</v>
      </c>
      <c r="H5390" s="7" t="s">
        <v>50</v>
      </c>
      <c r="I5390" s="7" t="s">
        <v>82</v>
      </c>
      <c r="J5390" s="7" t="s">
        <v>10792</v>
      </c>
      <c r="K5390" s="7" t="n">
        <f aca="false">IFERROR(VALUE(RIGHT(TRIM(F5390),4)),"")</f>
        <v>2016</v>
      </c>
      <c r="L5390" s="7" t="str">
        <f aca="false">IF(TRIM(E5390)="","Unknown",IFERROR(LEFT(TRIM(E5390),FIND(",",TRIM(E5390))-1),TRIM(E5390)))</f>
        <v>United States</v>
      </c>
      <c r="M5390" s="7" t="str">
        <f aca="false">IFERROR(LEFT(J5390,FIND(",",J5390)-1),J5390)</f>
        <v>TV Dramas</v>
      </c>
      <c r="N5390" s="7" t="str">
        <f aca="false">IF(B5390="Movie",IFERROR(VALUE(LEFT(I5390,FIND(" ",I5390)-1)),""),"")</f>
        <v/>
      </c>
      <c r="O5390" s="7" t="n">
        <f aca="false">IF(B5390="TV Show",IFERROR(VALUE(LEFT(I5390,FIND(" ",I5390)-1)),""),"")</f>
        <v>1</v>
      </c>
      <c r="P5390" s="7" t="n">
        <f aca="false">IF(K5390="","",K5390-G5390)</f>
        <v>1</v>
      </c>
    </row>
    <row r="5391" customFormat="false" ht="15" hidden="false" customHeight="false" outlineLevel="0" collapsed="false">
      <c r="A5391" s="7" t="n">
        <v>80029368</v>
      </c>
      <c r="B5391" s="7" t="s">
        <v>68</v>
      </c>
      <c r="C5391" s="7" t="s">
        <v>10793</v>
      </c>
      <c r="D5391" s="7" t="s">
        <v>5458</v>
      </c>
      <c r="E5391" s="7" t="s">
        <v>26</v>
      </c>
      <c r="F5391" s="7" t="s">
        <v>10794</v>
      </c>
      <c r="G5391" s="7" t="n">
        <v>2015</v>
      </c>
      <c r="H5391" s="7" t="s">
        <v>48</v>
      </c>
      <c r="I5391" s="7" t="s">
        <v>613</v>
      </c>
      <c r="J5391" s="7" t="s">
        <v>45</v>
      </c>
      <c r="K5391" s="7" t="n">
        <f aca="false">IFERROR(VALUE(RIGHT(TRIM(F5391),4)),"")</f>
        <v>2015</v>
      </c>
      <c r="L5391" s="7" t="str">
        <f aca="false">IF(TRIM(E5391)="","Unknown",IFERROR(LEFT(TRIM(E5391),FIND(",",TRIM(E5391))-1),TRIM(E5391)))</f>
        <v>United States</v>
      </c>
      <c r="M5391" s="7" t="str">
        <f aca="false">IFERROR(LEFT(J5391,FIND(",",J5391)-1),J5391)</f>
        <v>Stand-Up Comedy</v>
      </c>
      <c r="N5391" s="7" t="n">
        <f aca="false">IF(B5391="Movie",IFERROR(VALUE(LEFT(I5391,FIND(" ",I5391)-1)),""),"")</f>
        <v>84</v>
      </c>
      <c r="O5391" s="7" t="str">
        <f aca="false">IF(B5391="TV Show",IFERROR(VALUE(LEFT(I5391,FIND(" ",I5391)-1)),""),"")</f>
        <v/>
      </c>
      <c r="P5391" s="7" t="n">
        <f aca="false">IF(K5391="","",K5391-G5391)</f>
        <v>0</v>
      </c>
    </row>
    <row r="5392" customFormat="false" ht="15" hidden="false" customHeight="false" outlineLevel="0" collapsed="false">
      <c r="A5392" s="7" t="n">
        <v>70222859</v>
      </c>
      <c r="B5392" s="7" t="s">
        <v>68</v>
      </c>
      <c r="C5392" s="7" t="s">
        <v>10795</v>
      </c>
      <c r="D5392" s="7" t="s">
        <v>10796</v>
      </c>
      <c r="E5392" s="7" t="s">
        <v>26</v>
      </c>
      <c r="F5392" s="7" t="s">
        <v>10797</v>
      </c>
      <c r="G5392" s="7" t="n">
        <v>2013</v>
      </c>
      <c r="H5392" s="7" t="s">
        <v>51</v>
      </c>
      <c r="I5392" s="7" t="s">
        <v>272</v>
      </c>
      <c r="J5392" s="7" t="s">
        <v>38</v>
      </c>
      <c r="K5392" s="7" t="n">
        <f aca="false">IFERROR(VALUE(RIGHT(TRIM(F5392),4)),"")</f>
        <v>2019</v>
      </c>
      <c r="L5392" s="7" t="str">
        <f aca="false">IF(TRIM(E5392)="","Unknown",IFERROR(LEFT(TRIM(E5392),FIND(",",TRIM(E5392))-1),TRIM(E5392)))</f>
        <v>United States</v>
      </c>
      <c r="M5392" s="7" t="str">
        <f aca="false">IFERROR(LEFT(J5392,FIND(",",J5392)-1),J5392)</f>
        <v>Comedies</v>
      </c>
      <c r="N5392" s="7" t="n">
        <f aca="false">IF(B5392="Movie",IFERROR(VALUE(LEFT(I5392,FIND(" ",I5392)-1)),""),"")</f>
        <v>93</v>
      </c>
      <c r="O5392" s="7" t="str">
        <f aca="false">IF(B5392="TV Show",IFERROR(VALUE(LEFT(I5392,FIND(" ",I5392)-1)),""),"")</f>
        <v/>
      </c>
      <c r="P5392" s="7" t="n">
        <f aca="false">IF(K5392="","",K5392-G5392)</f>
        <v>6</v>
      </c>
    </row>
    <row r="5393" customFormat="false" ht="15" hidden="false" customHeight="false" outlineLevel="0" collapsed="false">
      <c r="A5393" s="7" t="n">
        <v>70261674</v>
      </c>
      <c r="B5393" s="7" t="s">
        <v>68</v>
      </c>
      <c r="C5393" s="7" t="s">
        <v>10798</v>
      </c>
      <c r="D5393" s="7" t="s">
        <v>10799</v>
      </c>
      <c r="E5393" s="7" t="s">
        <v>28</v>
      </c>
      <c r="F5393" s="7" t="s">
        <v>10797</v>
      </c>
      <c r="G5393" s="7" t="n">
        <v>2013</v>
      </c>
      <c r="H5393" s="7" t="s">
        <v>51</v>
      </c>
      <c r="I5393" s="7" t="s">
        <v>869</v>
      </c>
      <c r="J5393" s="7" t="s">
        <v>217</v>
      </c>
      <c r="K5393" s="7" t="n">
        <f aca="false">IFERROR(VALUE(RIGHT(TRIM(F5393),4)),"")</f>
        <v>2019</v>
      </c>
      <c r="L5393" s="7" t="str">
        <f aca="false">IF(TRIM(E5393)="","Unknown",IFERROR(LEFT(TRIM(E5393),FIND(",",TRIM(E5393))-1),TRIM(E5393)))</f>
        <v>United Kingdom</v>
      </c>
      <c r="M5393" s="7" t="str">
        <f aca="false">IFERROR(LEFT(J5393,FIND(",",J5393)-1),J5393)</f>
        <v>Comedies</v>
      </c>
      <c r="N5393" s="7" t="n">
        <f aca="false">IF(B5393="Movie",IFERROR(VALUE(LEFT(I5393,FIND(" ",I5393)-1)),""),"")</f>
        <v>123</v>
      </c>
      <c r="O5393" s="7" t="str">
        <f aca="false">IF(B5393="TV Show",IFERROR(VALUE(LEFT(I5393,FIND(" ",I5393)-1)),""),"")</f>
        <v/>
      </c>
      <c r="P5393" s="7" t="n">
        <f aca="false">IF(K5393="","",K5393-G5393)</f>
        <v>6</v>
      </c>
    </row>
    <row r="5394" customFormat="false" ht="15" hidden="false" customHeight="false" outlineLevel="0" collapsed="false">
      <c r="A5394" s="7" t="n">
        <v>70045274</v>
      </c>
      <c r="B5394" s="7" t="s">
        <v>68</v>
      </c>
      <c r="C5394" s="7" t="s">
        <v>10800</v>
      </c>
      <c r="D5394" s="7" t="s">
        <v>10801</v>
      </c>
      <c r="E5394" s="7" t="s">
        <v>26</v>
      </c>
      <c r="F5394" s="7" t="s">
        <v>10797</v>
      </c>
      <c r="G5394" s="7" t="n">
        <v>2007</v>
      </c>
      <c r="H5394" s="7" t="s">
        <v>54</v>
      </c>
      <c r="I5394" s="7" t="s">
        <v>138</v>
      </c>
      <c r="J5394" s="7" t="s">
        <v>10802</v>
      </c>
      <c r="K5394" s="7" t="n">
        <f aca="false">IFERROR(VALUE(RIGHT(TRIM(F5394),4)),"")</f>
        <v>2019</v>
      </c>
      <c r="L5394" s="7" t="str">
        <f aca="false">IF(TRIM(E5394)="","Unknown",IFERROR(LEFT(TRIM(E5394),FIND(",",TRIM(E5394))-1),TRIM(E5394)))</f>
        <v>United States</v>
      </c>
      <c r="M5394" s="7" t="str">
        <f aca="false">IFERROR(LEFT(J5394,FIND(",",J5394)-1),J5394)</f>
        <v>Children &amp; Family Movies</v>
      </c>
      <c r="N5394" s="7" t="n">
        <f aca="false">IF(B5394="Movie",IFERROR(VALUE(LEFT(I5394,FIND(" ",I5394)-1)),""),"")</f>
        <v>96</v>
      </c>
      <c r="O5394" s="7" t="str">
        <f aca="false">IF(B5394="TV Show",IFERROR(VALUE(LEFT(I5394,FIND(" ",I5394)-1)),""),"")</f>
        <v/>
      </c>
      <c r="P5394" s="7" t="n">
        <f aca="false">IF(K5394="","",K5394-G5394)</f>
        <v>12</v>
      </c>
    </row>
    <row r="5395" customFormat="false" ht="15" hidden="false" customHeight="false" outlineLevel="0" collapsed="false">
      <c r="A5395" s="7" t="n">
        <v>81034599</v>
      </c>
      <c r="B5395" s="7" t="s">
        <v>68</v>
      </c>
      <c r="C5395" s="7" t="s">
        <v>10803</v>
      </c>
      <c r="D5395" s="7" t="s">
        <v>10804</v>
      </c>
      <c r="E5395" s="7" t="s">
        <v>26</v>
      </c>
      <c r="F5395" s="7" t="s">
        <v>10797</v>
      </c>
      <c r="G5395" s="7" t="n">
        <v>2018</v>
      </c>
      <c r="H5395" s="7" t="s">
        <v>48</v>
      </c>
      <c r="I5395" s="7" t="s">
        <v>512</v>
      </c>
      <c r="J5395" s="7" t="s">
        <v>1762</v>
      </c>
      <c r="K5395" s="7" t="n">
        <f aca="false">IFERROR(VALUE(RIGHT(TRIM(F5395),4)),"")</f>
        <v>2019</v>
      </c>
      <c r="L5395" s="7" t="str">
        <f aca="false">IF(TRIM(E5395)="","Unknown",IFERROR(LEFT(TRIM(E5395),FIND(",",TRIM(E5395))-1),TRIM(E5395)))</f>
        <v>United States</v>
      </c>
      <c r="M5395" s="7" t="str">
        <f aca="false">IFERROR(LEFT(J5395,FIND(",",J5395)-1),J5395)</f>
        <v>Dramas</v>
      </c>
      <c r="N5395" s="7" t="n">
        <f aca="false">IF(B5395="Movie",IFERROR(VALUE(LEFT(I5395,FIND(" ",I5395)-1)),""),"")</f>
        <v>101</v>
      </c>
      <c r="O5395" s="7" t="str">
        <f aca="false">IF(B5395="TV Show",IFERROR(VALUE(LEFT(I5395,FIND(" ",I5395)-1)),""),"")</f>
        <v/>
      </c>
      <c r="P5395" s="7" t="n">
        <f aca="false">IF(K5395="","",K5395-G5395)</f>
        <v>1</v>
      </c>
    </row>
    <row r="5396" customFormat="false" ht="15" hidden="false" customHeight="false" outlineLevel="0" collapsed="false">
      <c r="A5396" s="7" t="n">
        <v>80999069</v>
      </c>
      <c r="B5396" s="7" t="s">
        <v>68</v>
      </c>
      <c r="C5396" s="7" t="s">
        <v>10805</v>
      </c>
      <c r="F5396" s="7" t="s">
        <v>10797</v>
      </c>
      <c r="G5396" s="7" t="n">
        <v>2019</v>
      </c>
      <c r="H5396" s="7" t="s">
        <v>119</v>
      </c>
      <c r="I5396" s="7" t="s">
        <v>1757</v>
      </c>
      <c r="J5396" s="7" t="s">
        <v>42</v>
      </c>
      <c r="K5396" s="7" t="n">
        <f aca="false">IFERROR(VALUE(RIGHT(TRIM(F5396),4)),"")</f>
        <v>2019</v>
      </c>
      <c r="L5396" s="7" t="str">
        <f aca="false">IF(TRIM(E5396)="","Unknown",IFERROR(LEFT(TRIM(E5396),FIND(",",TRIM(E5396))-1),TRIM(E5396)))</f>
        <v>Unknown</v>
      </c>
      <c r="M5396" s="7" t="str">
        <f aca="false">IFERROR(LEFT(J5396,FIND(",",J5396)-1),J5396)</f>
        <v>Children &amp; Family Movies</v>
      </c>
      <c r="N5396" s="7" t="n">
        <f aca="false">IF(B5396="Movie",IFERROR(VALUE(LEFT(I5396,FIND(" ",I5396)-1)),""),"")</f>
        <v>59</v>
      </c>
      <c r="O5396" s="7" t="str">
        <f aca="false">IF(B5396="TV Show",IFERROR(VALUE(LEFT(I5396,FIND(" ",I5396)-1)),""),"")</f>
        <v/>
      </c>
      <c r="P5396" s="7" t="n">
        <f aca="false">IF(K5396="","",K5396-G5396)</f>
        <v>0</v>
      </c>
    </row>
    <row r="5397" customFormat="false" ht="15" hidden="false" customHeight="false" outlineLevel="0" collapsed="false">
      <c r="A5397" s="7" t="n">
        <v>81090128</v>
      </c>
      <c r="B5397" s="7" t="s">
        <v>68</v>
      </c>
      <c r="C5397" s="7" t="s">
        <v>10806</v>
      </c>
      <c r="D5397" s="7" t="s">
        <v>10807</v>
      </c>
      <c r="E5397" s="7" t="s">
        <v>26</v>
      </c>
      <c r="F5397" s="7" t="s">
        <v>10797</v>
      </c>
      <c r="G5397" s="7" t="n">
        <v>2019</v>
      </c>
      <c r="H5397" s="7" t="s">
        <v>49</v>
      </c>
      <c r="I5397" s="7" t="s">
        <v>3882</v>
      </c>
      <c r="J5397" s="7" t="s">
        <v>39</v>
      </c>
      <c r="K5397" s="7" t="n">
        <f aca="false">IFERROR(VALUE(RIGHT(TRIM(F5397),4)),"")</f>
        <v>2019</v>
      </c>
      <c r="L5397" s="7" t="str">
        <f aca="false">IF(TRIM(E5397)="","Unknown",IFERROR(LEFT(TRIM(E5397),FIND(",",TRIM(E5397))-1),TRIM(E5397)))</f>
        <v>United States</v>
      </c>
      <c r="M5397" s="7" t="str">
        <f aca="false">IFERROR(LEFT(J5397,FIND(",",J5397)-1),J5397)</f>
        <v>Documentaries</v>
      </c>
      <c r="N5397" s="7" t="n">
        <f aca="false">IF(B5397="Movie",IFERROR(VALUE(LEFT(I5397,FIND(" ",I5397)-1)),""),"")</f>
        <v>53</v>
      </c>
      <c r="O5397" s="7" t="str">
        <f aca="false">IF(B5397="TV Show",IFERROR(VALUE(LEFT(I5397,FIND(" ",I5397)-1)),""),"")</f>
        <v/>
      </c>
      <c r="P5397" s="7" t="n">
        <f aca="false">IF(K5397="","",K5397-G5397)</f>
        <v>0</v>
      </c>
    </row>
    <row r="5398" customFormat="false" ht="15" hidden="false" customHeight="false" outlineLevel="0" collapsed="false">
      <c r="A5398" s="7" t="n">
        <v>70114022</v>
      </c>
      <c r="B5398" s="7" t="s">
        <v>68</v>
      </c>
      <c r="C5398" s="7" t="s">
        <v>10808</v>
      </c>
      <c r="D5398" s="7" t="s">
        <v>10809</v>
      </c>
      <c r="E5398" s="7" t="s">
        <v>26</v>
      </c>
      <c r="F5398" s="7" t="s">
        <v>10810</v>
      </c>
      <c r="G5398" s="7" t="n">
        <v>2009</v>
      </c>
      <c r="H5398" s="7" t="s">
        <v>52</v>
      </c>
      <c r="I5398" s="7" t="s">
        <v>790</v>
      </c>
      <c r="J5398" s="7" t="s">
        <v>3217</v>
      </c>
      <c r="K5398" s="7" t="n">
        <f aca="false">IFERROR(VALUE(RIGHT(TRIM(F5398),4)),"")</f>
        <v>2018</v>
      </c>
      <c r="L5398" s="7" t="str">
        <f aca="false">IF(TRIM(E5398)="","Unknown",IFERROR(LEFT(TRIM(E5398),FIND(",",TRIM(E5398))-1),TRIM(E5398)))</f>
        <v>United States</v>
      </c>
      <c r="M5398" s="7" t="str">
        <f aca="false">IFERROR(LEFT(J5398,FIND(",",J5398)-1),J5398)</f>
        <v>Action &amp; Adventure</v>
      </c>
      <c r="N5398" s="7" t="n">
        <f aca="false">IF(B5398="Movie",IFERROR(VALUE(LEFT(I5398,FIND(" ",I5398)-1)),""),"")</f>
        <v>109</v>
      </c>
      <c r="O5398" s="7" t="str">
        <f aca="false">IF(B5398="TV Show",IFERROR(VALUE(LEFT(I5398,FIND(" ",I5398)-1)),""),"")</f>
        <v/>
      </c>
      <c r="P5398" s="7" t="n">
        <f aca="false">IF(K5398="","",K5398-G5398)</f>
        <v>9</v>
      </c>
    </row>
    <row r="5399" customFormat="false" ht="15" hidden="false" customHeight="false" outlineLevel="0" collapsed="false">
      <c r="A5399" s="7" t="n">
        <v>80180225</v>
      </c>
      <c r="B5399" s="7" t="s">
        <v>68</v>
      </c>
      <c r="C5399" s="7" t="s">
        <v>10811</v>
      </c>
      <c r="D5399" s="7" t="s">
        <v>10812</v>
      </c>
      <c r="E5399" s="7" t="s">
        <v>10813</v>
      </c>
      <c r="F5399" s="7" t="s">
        <v>10810</v>
      </c>
      <c r="G5399" s="7" t="n">
        <v>2016</v>
      </c>
      <c r="H5399" s="7" t="s">
        <v>48</v>
      </c>
      <c r="I5399" s="7" t="s">
        <v>162</v>
      </c>
      <c r="J5399" s="7" t="s">
        <v>155</v>
      </c>
      <c r="K5399" s="7" t="n">
        <f aca="false">IFERROR(VALUE(RIGHT(TRIM(F5399),4)),"")</f>
        <v>2018</v>
      </c>
      <c r="L5399" s="7" t="str">
        <f aca="false">IF(TRIM(E5399)="","Unknown",IFERROR(LEFT(TRIM(E5399),FIND(",",TRIM(E5399))-1),TRIM(E5399)))</f>
        <v>Portugal</v>
      </c>
      <c r="M5399" s="7" t="str">
        <f aca="false">IFERROR(LEFT(J5399,FIND(",",J5399)-1),J5399)</f>
        <v>Dramas</v>
      </c>
      <c r="N5399" s="7" t="n">
        <f aca="false">IF(B5399="Movie",IFERROR(VALUE(LEFT(I5399,FIND(" ",I5399)-1)),""),"")</f>
        <v>77</v>
      </c>
      <c r="O5399" s="7" t="str">
        <f aca="false">IF(B5399="TV Show",IFERROR(VALUE(LEFT(I5399,FIND(" ",I5399)-1)),""),"")</f>
        <v/>
      </c>
      <c r="P5399" s="7" t="n">
        <f aca="false">IF(K5399="","",K5399-G5399)</f>
        <v>2</v>
      </c>
    </row>
    <row r="5400" customFormat="false" ht="15" hidden="false" customHeight="false" outlineLevel="0" collapsed="false">
      <c r="A5400" s="7" t="n">
        <v>80015794</v>
      </c>
      <c r="B5400" s="7" t="s">
        <v>68</v>
      </c>
      <c r="C5400" s="7" t="s">
        <v>10814</v>
      </c>
      <c r="D5400" s="7" t="s">
        <v>10815</v>
      </c>
      <c r="E5400" s="7" t="s">
        <v>26</v>
      </c>
      <c r="F5400" s="7" t="s">
        <v>10816</v>
      </c>
      <c r="G5400" s="7" t="n">
        <v>2014</v>
      </c>
      <c r="H5400" s="7" t="s">
        <v>52</v>
      </c>
      <c r="I5400" s="7" t="s">
        <v>451</v>
      </c>
      <c r="J5400" s="7" t="s">
        <v>150</v>
      </c>
      <c r="K5400" s="7" t="n">
        <f aca="false">IFERROR(VALUE(RIGHT(TRIM(F5400),4)),"")</f>
        <v>2017</v>
      </c>
      <c r="L5400" s="7" t="str">
        <f aca="false">IF(TRIM(E5400)="","Unknown",IFERROR(LEFT(TRIM(E5400),FIND(",",TRIM(E5400))-1),TRIM(E5400)))</f>
        <v>United States</v>
      </c>
      <c r="M5400" s="7" t="str">
        <f aca="false">IFERROR(LEFT(J5400,FIND(",",J5400)-1),J5400)</f>
        <v>Dramas</v>
      </c>
      <c r="N5400" s="7" t="n">
        <f aca="false">IF(B5400="Movie",IFERROR(VALUE(LEFT(I5400,FIND(" ",I5400)-1)),""),"")</f>
        <v>97</v>
      </c>
      <c r="O5400" s="7" t="str">
        <f aca="false">IF(B5400="TV Show",IFERROR(VALUE(LEFT(I5400,FIND(" ",I5400)-1)),""),"")</f>
        <v/>
      </c>
      <c r="P5400" s="7" t="n">
        <f aca="false">IF(K5400="","",K5400-G5400)</f>
        <v>3</v>
      </c>
    </row>
    <row r="5401" customFormat="false" ht="15" hidden="false" customHeight="false" outlineLevel="0" collapsed="false">
      <c r="A5401" s="7" t="n">
        <v>70283263</v>
      </c>
      <c r="B5401" s="7" t="s">
        <v>78</v>
      </c>
      <c r="C5401" s="7" t="s">
        <v>10817</v>
      </c>
      <c r="E5401" s="7" t="s">
        <v>26</v>
      </c>
      <c r="F5401" s="7" t="s">
        <v>10818</v>
      </c>
      <c r="G5401" s="7" t="n">
        <v>2014</v>
      </c>
      <c r="H5401" s="7" t="s">
        <v>49</v>
      </c>
      <c r="I5401" s="7" t="s">
        <v>82</v>
      </c>
      <c r="J5401" s="7" t="s">
        <v>10819</v>
      </c>
      <c r="K5401" s="7" t="n">
        <f aca="false">IFERROR(VALUE(RIGHT(TRIM(F5401),4)),"")</f>
        <v>2015</v>
      </c>
      <c r="L5401" s="7" t="str">
        <f aca="false">IF(TRIM(E5401)="","Unknown",IFERROR(LEFT(TRIM(E5401),FIND(",",TRIM(E5401))-1),TRIM(E5401)))</f>
        <v>United States</v>
      </c>
      <c r="M5401" s="7" t="str">
        <f aca="false">IFERROR(LEFT(J5401,FIND(",",J5401)-1),J5401)</f>
        <v>Romantic TV Shows</v>
      </c>
      <c r="N5401" s="7" t="str">
        <f aca="false">IF(B5401="Movie",IFERROR(VALUE(LEFT(I5401,FIND(" ",I5401)-1)),""),"")</f>
        <v/>
      </c>
      <c r="O5401" s="7" t="n">
        <f aca="false">IF(B5401="TV Show",IFERROR(VALUE(LEFT(I5401,FIND(" ",I5401)-1)),""),"")</f>
        <v>1</v>
      </c>
      <c r="P5401" s="7" t="n">
        <f aca="false">IF(K5401="","",K5401-G5401)</f>
        <v>1</v>
      </c>
    </row>
    <row r="5402" customFormat="false" ht="15" hidden="false" customHeight="false" outlineLevel="0" collapsed="false">
      <c r="A5402" s="7" t="n">
        <v>81088700</v>
      </c>
      <c r="B5402" s="7" t="s">
        <v>68</v>
      </c>
      <c r="C5402" s="7" t="s">
        <v>10820</v>
      </c>
      <c r="D5402" s="7" t="s">
        <v>1514</v>
      </c>
      <c r="E5402" s="7" t="s">
        <v>27</v>
      </c>
      <c r="F5402" s="7" t="s">
        <v>10821</v>
      </c>
      <c r="G5402" s="7" t="n">
        <v>2001</v>
      </c>
      <c r="H5402" s="7" t="s">
        <v>48</v>
      </c>
      <c r="I5402" s="7" t="s">
        <v>181</v>
      </c>
      <c r="J5402" s="7" t="s">
        <v>217</v>
      </c>
      <c r="K5402" s="7" t="n">
        <f aca="false">IFERROR(VALUE(RIGHT(TRIM(F5402),4)),"")</f>
        <v>2019</v>
      </c>
      <c r="L5402" s="7" t="str">
        <f aca="false">IF(TRIM(E5402)="","Unknown",IFERROR(LEFT(TRIM(E5402),FIND(",",TRIM(E5402))-1),TRIM(E5402)))</f>
        <v>India</v>
      </c>
      <c r="M5402" s="7" t="str">
        <f aca="false">IFERROR(LEFT(J5402,FIND(",",J5402)-1),J5402)</f>
        <v>Comedies</v>
      </c>
      <c r="N5402" s="7" t="n">
        <f aca="false">IF(B5402="Movie",IFERROR(VALUE(LEFT(I5402,FIND(" ",I5402)-1)),""),"")</f>
        <v>102</v>
      </c>
      <c r="O5402" s="7" t="str">
        <f aca="false">IF(B5402="TV Show",IFERROR(VALUE(LEFT(I5402,FIND(" ",I5402)-1)),""),"")</f>
        <v/>
      </c>
      <c r="P5402" s="7" t="n">
        <f aca="false">IF(K5402="","",K5402-G5402)</f>
        <v>18</v>
      </c>
    </row>
    <row r="5403" customFormat="false" ht="15" hidden="false" customHeight="false" outlineLevel="0" collapsed="false">
      <c r="A5403" s="7" t="n">
        <v>70043149</v>
      </c>
      <c r="B5403" s="7" t="s">
        <v>68</v>
      </c>
      <c r="C5403" s="7" t="s">
        <v>10822</v>
      </c>
      <c r="D5403" s="7" t="s">
        <v>10823</v>
      </c>
      <c r="E5403" s="7" t="s">
        <v>27</v>
      </c>
      <c r="F5403" s="7" t="s">
        <v>10821</v>
      </c>
      <c r="G5403" s="7" t="n">
        <v>2005</v>
      </c>
      <c r="H5403" s="7" t="s">
        <v>48</v>
      </c>
      <c r="I5403" s="7" t="s">
        <v>727</v>
      </c>
      <c r="J5403" s="7" t="s">
        <v>5464</v>
      </c>
      <c r="K5403" s="7" t="n">
        <f aca="false">IFERROR(VALUE(RIGHT(TRIM(F5403),4)),"")</f>
        <v>2019</v>
      </c>
      <c r="L5403" s="7" t="str">
        <f aca="false">IF(TRIM(E5403)="","Unknown",IFERROR(LEFT(TRIM(E5403),FIND(",",TRIM(E5403))-1),TRIM(E5403)))</f>
        <v>India</v>
      </c>
      <c r="M5403" s="7" t="str">
        <f aca="false">IFERROR(LEFT(J5403,FIND(",",J5403)-1),J5403)</f>
        <v>International Movies</v>
      </c>
      <c r="N5403" s="7" t="n">
        <f aca="false">IF(B5403="Movie",IFERROR(VALUE(LEFT(I5403,FIND(" ",I5403)-1)),""),"")</f>
        <v>141</v>
      </c>
      <c r="O5403" s="7" t="str">
        <f aca="false">IF(B5403="TV Show",IFERROR(VALUE(LEFT(I5403,FIND(" ",I5403)-1)),""),"")</f>
        <v/>
      </c>
      <c r="P5403" s="7" t="n">
        <f aca="false">IF(K5403="","",K5403-G5403)</f>
        <v>14</v>
      </c>
    </row>
    <row r="5404" customFormat="false" ht="15" hidden="false" customHeight="false" outlineLevel="0" collapsed="false">
      <c r="A5404" s="7" t="n">
        <v>81018181</v>
      </c>
      <c r="B5404" s="7" t="s">
        <v>68</v>
      </c>
      <c r="C5404" s="7" t="s">
        <v>10824</v>
      </c>
      <c r="D5404" s="7" t="s">
        <v>1442</v>
      </c>
      <c r="E5404" s="7" t="s">
        <v>26</v>
      </c>
      <c r="F5404" s="7" t="s">
        <v>10821</v>
      </c>
      <c r="G5404" s="7" t="n">
        <v>2018</v>
      </c>
      <c r="H5404" s="7" t="s">
        <v>48</v>
      </c>
      <c r="I5404" s="7" t="s">
        <v>111</v>
      </c>
      <c r="J5404" s="7" t="s">
        <v>1085</v>
      </c>
      <c r="K5404" s="7" t="n">
        <f aca="false">IFERROR(VALUE(RIGHT(TRIM(F5404),4)),"")</f>
        <v>2019</v>
      </c>
      <c r="L5404" s="7" t="str">
        <f aca="false">IF(TRIM(E5404)="","Unknown",IFERROR(LEFT(TRIM(E5404),FIND(",",TRIM(E5404))-1),TRIM(E5404)))</f>
        <v>United States</v>
      </c>
      <c r="M5404" s="7" t="str">
        <f aca="false">IFERROR(LEFT(J5404,FIND(",",J5404)-1),J5404)</f>
        <v>Documentaries</v>
      </c>
      <c r="N5404" s="7" t="n">
        <f aca="false">IF(B5404="Movie",IFERROR(VALUE(LEFT(I5404,FIND(" ",I5404)-1)),""),"")</f>
        <v>95</v>
      </c>
      <c r="O5404" s="7" t="str">
        <f aca="false">IF(B5404="TV Show",IFERROR(VALUE(LEFT(I5404,FIND(" ",I5404)-1)),""),"")</f>
        <v/>
      </c>
      <c r="P5404" s="7" t="n">
        <f aca="false">IF(K5404="","",K5404-G5404)</f>
        <v>1</v>
      </c>
    </row>
    <row r="5405" customFormat="false" ht="15" hidden="false" customHeight="false" outlineLevel="0" collapsed="false">
      <c r="A5405" s="7" t="n">
        <v>70040077</v>
      </c>
      <c r="B5405" s="7" t="s">
        <v>68</v>
      </c>
      <c r="C5405" s="7" t="s">
        <v>10825</v>
      </c>
      <c r="D5405" s="7" t="s">
        <v>4233</v>
      </c>
      <c r="E5405" s="7" t="s">
        <v>4886</v>
      </c>
      <c r="F5405" s="7" t="s">
        <v>10821</v>
      </c>
      <c r="G5405" s="7" t="n">
        <v>2003</v>
      </c>
      <c r="H5405" s="7" t="s">
        <v>48</v>
      </c>
      <c r="I5405" s="7" t="s">
        <v>326</v>
      </c>
      <c r="J5405" s="7" t="s">
        <v>240</v>
      </c>
      <c r="K5405" s="7" t="n">
        <f aca="false">IFERROR(VALUE(RIGHT(TRIM(F5405),4)),"")</f>
        <v>2019</v>
      </c>
      <c r="L5405" s="7" t="str">
        <f aca="false">IF(TRIM(E5405)="","Unknown",IFERROR(LEFT(TRIM(E5405),FIND(",",TRIM(E5405))-1),TRIM(E5405)))</f>
        <v>India</v>
      </c>
      <c r="M5405" s="7" t="str">
        <f aca="false">IFERROR(LEFT(J5405,FIND(",",J5405)-1),J5405)</f>
        <v>Dramas</v>
      </c>
      <c r="N5405" s="7" t="n">
        <f aca="false">IF(B5405="Movie",IFERROR(VALUE(LEFT(I5405,FIND(" ",I5405)-1)),""),"")</f>
        <v>111</v>
      </c>
      <c r="O5405" s="7" t="str">
        <f aca="false">IF(B5405="TV Show",IFERROR(VALUE(LEFT(I5405,FIND(" ",I5405)-1)),""),"")</f>
        <v/>
      </c>
      <c r="P5405" s="7" t="n">
        <f aca="false">IF(K5405="","",K5405-G5405)</f>
        <v>16</v>
      </c>
    </row>
    <row r="5406" customFormat="false" ht="15" hidden="false" customHeight="false" outlineLevel="0" collapsed="false">
      <c r="A5406" s="7" t="n">
        <v>60031998</v>
      </c>
      <c r="B5406" s="7" t="s">
        <v>68</v>
      </c>
      <c r="C5406" s="7" t="s">
        <v>10826</v>
      </c>
      <c r="D5406" s="7" t="s">
        <v>5463</v>
      </c>
      <c r="E5406" s="7" t="s">
        <v>27</v>
      </c>
      <c r="F5406" s="7" t="s">
        <v>10821</v>
      </c>
      <c r="G5406" s="7" t="n">
        <v>2003</v>
      </c>
      <c r="H5406" s="7" t="s">
        <v>48</v>
      </c>
      <c r="I5406" s="7" t="s">
        <v>1707</v>
      </c>
      <c r="J5406" s="7" t="s">
        <v>457</v>
      </c>
      <c r="K5406" s="7" t="n">
        <f aca="false">IFERROR(VALUE(RIGHT(TRIM(F5406),4)),"")</f>
        <v>2019</v>
      </c>
      <c r="L5406" s="7" t="str">
        <f aca="false">IF(TRIM(E5406)="","Unknown",IFERROR(LEFT(TRIM(E5406),FIND(",",TRIM(E5406))-1),TRIM(E5406)))</f>
        <v>India</v>
      </c>
      <c r="M5406" s="7" t="str">
        <f aca="false">IFERROR(LEFT(J5406,FIND(",",J5406)-1),J5406)</f>
        <v>Comedies</v>
      </c>
      <c r="N5406" s="7" t="n">
        <f aca="false">IF(B5406="Movie",IFERROR(VALUE(LEFT(I5406,FIND(" ",I5406)-1)),""),"")</f>
        <v>131</v>
      </c>
      <c r="O5406" s="7" t="str">
        <f aca="false">IF(B5406="TV Show",IFERROR(VALUE(LEFT(I5406,FIND(" ",I5406)-1)),""),"")</f>
        <v/>
      </c>
      <c r="P5406" s="7" t="n">
        <f aca="false">IF(K5406="","",K5406-G5406)</f>
        <v>16</v>
      </c>
    </row>
    <row r="5407" customFormat="false" ht="15" hidden="false" customHeight="false" outlineLevel="0" collapsed="false">
      <c r="A5407" s="7" t="n">
        <v>60036103</v>
      </c>
      <c r="B5407" s="7" t="s">
        <v>68</v>
      </c>
      <c r="C5407" s="7" t="s">
        <v>10827</v>
      </c>
      <c r="D5407" s="7" t="s">
        <v>10828</v>
      </c>
      <c r="E5407" s="7" t="s">
        <v>27</v>
      </c>
      <c r="F5407" s="7" t="s">
        <v>10821</v>
      </c>
      <c r="G5407" s="7" t="n">
        <v>2003</v>
      </c>
      <c r="H5407" s="7" t="s">
        <v>49</v>
      </c>
      <c r="I5407" s="7" t="s">
        <v>237</v>
      </c>
      <c r="J5407" s="7" t="s">
        <v>206</v>
      </c>
      <c r="K5407" s="7" t="n">
        <f aca="false">IFERROR(VALUE(RIGHT(TRIM(F5407),4)),"")</f>
        <v>2019</v>
      </c>
      <c r="L5407" s="7" t="str">
        <f aca="false">IF(TRIM(E5407)="","Unknown",IFERROR(LEFT(TRIM(E5407),FIND(",",TRIM(E5407))-1),TRIM(E5407)))</f>
        <v>India</v>
      </c>
      <c r="M5407" s="7" t="str">
        <f aca="false">IFERROR(LEFT(J5407,FIND(",",J5407)-1),J5407)</f>
        <v>Comedies</v>
      </c>
      <c r="N5407" s="7" t="n">
        <f aca="false">IF(B5407="Movie",IFERROR(VALUE(LEFT(I5407,FIND(" ",I5407)-1)),""),"")</f>
        <v>116</v>
      </c>
      <c r="O5407" s="7" t="str">
        <f aca="false">IF(B5407="TV Show",IFERROR(VALUE(LEFT(I5407,FIND(" ",I5407)-1)),""),"")</f>
        <v/>
      </c>
      <c r="P5407" s="7" t="n">
        <f aca="false">IF(K5407="","",K5407-G5407)</f>
        <v>16</v>
      </c>
    </row>
    <row r="5408" customFormat="false" ht="15" hidden="false" customHeight="false" outlineLevel="0" collapsed="false">
      <c r="A5408" s="7" t="n">
        <v>81086641</v>
      </c>
      <c r="B5408" s="7" t="s">
        <v>68</v>
      </c>
      <c r="C5408" s="7" t="s">
        <v>10829</v>
      </c>
      <c r="D5408" s="7" t="s">
        <v>10830</v>
      </c>
      <c r="E5408" s="7" t="s">
        <v>27</v>
      </c>
      <c r="F5408" s="7" t="s">
        <v>10821</v>
      </c>
      <c r="G5408" s="7" t="n">
        <v>2018</v>
      </c>
      <c r="H5408" s="7" t="s">
        <v>49</v>
      </c>
      <c r="I5408" s="7" t="s">
        <v>519</v>
      </c>
      <c r="J5408" s="7" t="s">
        <v>2458</v>
      </c>
      <c r="K5408" s="7" t="n">
        <f aca="false">IFERROR(VALUE(RIGHT(TRIM(F5408),4)),"")</f>
        <v>2019</v>
      </c>
      <c r="L5408" s="7" t="str">
        <f aca="false">IF(TRIM(E5408)="","Unknown",IFERROR(LEFT(TRIM(E5408),FIND(",",TRIM(E5408))-1),TRIM(E5408)))</f>
        <v>India</v>
      </c>
      <c r="M5408" s="7" t="str">
        <f aca="false">IFERROR(LEFT(J5408,FIND(",",J5408)-1),J5408)</f>
        <v>Dramas</v>
      </c>
      <c r="N5408" s="7" t="n">
        <f aca="false">IF(B5408="Movie",IFERROR(VALUE(LEFT(I5408,FIND(" ",I5408)-1)),""),"")</f>
        <v>119</v>
      </c>
      <c r="O5408" s="7" t="str">
        <f aca="false">IF(B5408="TV Show",IFERROR(VALUE(LEFT(I5408,FIND(" ",I5408)-1)),""),"")</f>
        <v/>
      </c>
      <c r="P5408" s="7" t="n">
        <f aca="false">IF(K5408="","",K5408-G5408)</f>
        <v>1</v>
      </c>
    </row>
    <row r="5409" customFormat="false" ht="15" hidden="false" customHeight="false" outlineLevel="0" collapsed="false">
      <c r="A5409" s="7" t="n">
        <v>70027133</v>
      </c>
      <c r="B5409" s="7" t="s">
        <v>68</v>
      </c>
      <c r="C5409" s="7" t="s">
        <v>10831</v>
      </c>
      <c r="D5409" s="7" t="s">
        <v>2556</v>
      </c>
      <c r="E5409" s="7" t="s">
        <v>27</v>
      </c>
      <c r="F5409" s="7" t="s">
        <v>10821</v>
      </c>
      <c r="G5409" s="7" t="n">
        <v>2005</v>
      </c>
      <c r="H5409" s="7" t="s">
        <v>49</v>
      </c>
      <c r="I5409" s="7" t="s">
        <v>216</v>
      </c>
      <c r="J5409" s="7" t="s">
        <v>240</v>
      </c>
      <c r="K5409" s="7" t="n">
        <f aca="false">IFERROR(VALUE(RIGHT(TRIM(F5409),4)),"")</f>
        <v>2019</v>
      </c>
      <c r="L5409" s="7" t="str">
        <f aca="false">IF(TRIM(E5409)="","Unknown",IFERROR(LEFT(TRIM(E5409),FIND(",",TRIM(E5409))-1),TRIM(E5409)))</f>
        <v>India</v>
      </c>
      <c r="M5409" s="7" t="str">
        <f aca="false">IFERROR(LEFT(J5409,FIND(",",J5409)-1),J5409)</f>
        <v>Dramas</v>
      </c>
      <c r="N5409" s="7" t="n">
        <f aca="false">IF(B5409="Movie",IFERROR(VALUE(LEFT(I5409,FIND(" ",I5409)-1)),""),"")</f>
        <v>146</v>
      </c>
      <c r="O5409" s="7" t="str">
        <f aca="false">IF(B5409="TV Show",IFERROR(VALUE(LEFT(I5409,FIND(" ",I5409)-1)),""),"")</f>
        <v/>
      </c>
      <c r="P5409" s="7" t="n">
        <f aca="false">IF(K5409="","",K5409-G5409)</f>
        <v>14</v>
      </c>
    </row>
    <row r="5410" customFormat="false" ht="15" hidden="false" customHeight="false" outlineLevel="0" collapsed="false">
      <c r="A5410" s="7" t="n">
        <v>81086640</v>
      </c>
      <c r="B5410" s="7" t="s">
        <v>68</v>
      </c>
      <c r="C5410" s="7" t="s">
        <v>10832</v>
      </c>
      <c r="D5410" s="7" t="s">
        <v>10833</v>
      </c>
      <c r="E5410" s="7" t="s">
        <v>27</v>
      </c>
      <c r="F5410" s="7" t="s">
        <v>10821</v>
      </c>
      <c r="G5410" s="7" t="n">
        <v>2016</v>
      </c>
      <c r="H5410" s="7" t="s">
        <v>50</v>
      </c>
      <c r="I5410" s="7" t="s">
        <v>512</v>
      </c>
      <c r="J5410" s="7" t="s">
        <v>4035</v>
      </c>
      <c r="K5410" s="7" t="n">
        <f aca="false">IFERROR(VALUE(RIGHT(TRIM(F5410),4)),"")</f>
        <v>2019</v>
      </c>
      <c r="L5410" s="7" t="str">
        <f aca="false">IF(TRIM(E5410)="","Unknown",IFERROR(LEFT(TRIM(E5410),FIND(",",TRIM(E5410))-1),TRIM(E5410)))</f>
        <v>India</v>
      </c>
      <c r="M5410" s="7" t="str">
        <f aca="false">IFERROR(LEFT(J5410,FIND(",",J5410)-1),J5410)</f>
        <v>Action &amp; Adventure</v>
      </c>
      <c r="N5410" s="7" t="n">
        <f aca="false">IF(B5410="Movie",IFERROR(VALUE(LEFT(I5410,FIND(" ",I5410)-1)),""),"")</f>
        <v>101</v>
      </c>
      <c r="O5410" s="7" t="str">
        <f aca="false">IF(B5410="TV Show",IFERROR(VALUE(LEFT(I5410,FIND(" ",I5410)-1)),""),"")</f>
        <v/>
      </c>
      <c r="P5410" s="7" t="n">
        <f aca="false">IF(K5410="","",K5410-G5410)</f>
        <v>3</v>
      </c>
    </row>
    <row r="5411" customFormat="false" ht="15" hidden="false" customHeight="false" outlineLevel="0" collapsed="false">
      <c r="A5411" s="7" t="n">
        <v>81009808</v>
      </c>
      <c r="B5411" s="7" t="s">
        <v>68</v>
      </c>
      <c r="C5411" s="7" t="s">
        <v>10834</v>
      </c>
      <c r="D5411" s="7" t="s">
        <v>10835</v>
      </c>
      <c r="E5411" s="7" t="s">
        <v>29</v>
      </c>
      <c r="F5411" s="7" t="s">
        <v>10821</v>
      </c>
      <c r="G5411" s="7" t="n">
        <v>2018</v>
      </c>
      <c r="H5411" s="7" t="s">
        <v>48</v>
      </c>
      <c r="I5411" s="7" t="s">
        <v>437</v>
      </c>
      <c r="J5411" s="7" t="s">
        <v>135</v>
      </c>
      <c r="K5411" s="7" t="n">
        <f aca="false">IFERROR(VALUE(RIGHT(TRIM(F5411),4)),"")</f>
        <v>2019</v>
      </c>
      <c r="L5411" s="7" t="str">
        <f aca="false">IF(TRIM(E5411)="","Unknown",IFERROR(LEFT(TRIM(E5411),FIND(",",TRIM(E5411))-1),TRIM(E5411)))</f>
        <v>Canada</v>
      </c>
      <c r="M5411" s="7" t="str">
        <f aca="false">IFERROR(LEFT(J5411,FIND(",",J5411)-1),J5411)</f>
        <v>Comedies</v>
      </c>
      <c r="N5411" s="7" t="n">
        <f aca="false">IF(B5411="Movie",IFERROR(VALUE(LEFT(I5411,FIND(" ",I5411)-1)),""),"")</f>
        <v>82</v>
      </c>
      <c r="O5411" s="7" t="str">
        <f aca="false">IF(B5411="TV Show",IFERROR(VALUE(LEFT(I5411,FIND(" ",I5411)-1)),""),"")</f>
        <v/>
      </c>
      <c r="P5411" s="7" t="n">
        <f aca="false">IF(K5411="","",K5411-G5411)</f>
        <v>1</v>
      </c>
    </row>
    <row r="5412" customFormat="false" ht="15" hidden="false" customHeight="false" outlineLevel="0" collapsed="false">
      <c r="A5412" s="7" t="n">
        <v>80189853</v>
      </c>
      <c r="B5412" s="7" t="s">
        <v>68</v>
      </c>
      <c r="C5412" s="7" t="s">
        <v>10836</v>
      </c>
      <c r="D5412" s="7" t="s">
        <v>10837</v>
      </c>
      <c r="E5412" s="7" t="s">
        <v>10838</v>
      </c>
      <c r="F5412" s="7" t="s">
        <v>10839</v>
      </c>
      <c r="G5412" s="7" t="n">
        <v>2017</v>
      </c>
      <c r="H5412" s="7" t="s">
        <v>51</v>
      </c>
      <c r="I5412" s="7" t="s">
        <v>294</v>
      </c>
      <c r="J5412" s="7" t="s">
        <v>276</v>
      </c>
      <c r="K5412" s="7" t="n">
        <f aca="false">IFERROR(VALUE(RIGHT(TRIM(F5412),4)),"")</f>
        <v>2018</v>
      </c>
      <c r="L5412" s="7" t="str">
        <f aca="false">IF(TRIM(E5412)="","Unknown",IFERROR(LEFT(TRIM(E5412),FIND(",",TRIM(E5412))-1),TRIM(E5412)))</f>
        <v>United Kingdom</v>
      </c>
      <c r="M5412" s="7" t="str">
        <f aca="false">IFERROR(LEFT(J5412,FIND(",",J5412)-1),J5412)</f>
        <v>Action &amp; Adventure</v>
      </c>
      <c r="N5412" s="7" t="n">
        <f aca="false">IF(B5412="Movie",IFERROR(VALUE(LEFT(I5412,FIND(" ",I5412)-1)),""),"")</f>
        <v>107</v>
      </c>
      <c r="O5412" s="7" t="str">
        <f aca="false">IF(B5412="TV Show",IFERROR(VALUE(LEFT(I5412,FIND(" ",I5412)-1)),""),"")</f>
        <v/>
      </c>
      <c r="P5412" s="7" t="n">
        <f aca="false">IF(K5412="","",K5412-G5412)</f>
        <v>1</v>
      </c>
    </row>
    <row r="5413" customFormat="false" ht="15" hidden="false" customHeight="false" outlineLevel="0" collapsed="false">
      <c r="A5413" s="7" t="n">
        <v>70059700</v>
      </c>
      <c r="B5413" s="7" t="s">
        <v>68</v>
      </c>
      <c r="C5413" s="7" t="s">
        <v>10840</v>
      </c>
      <c r="D5413" s="7" t="s">
        <v>10841</v>
      </c>
      <c r="E5413" s="7" t="s">
        <v>26</v>
      </c>
      <c r="F5413" s="7" t="s">
        <v>10839</v>
      </c>
      <c r="G5413" s="7" t="n">
        <v>1983</v>
      </c>
      <c r="H5413" s="7" t="s">
        <v>53</v>
      </c>
      <c r="I5413" s="7" t="s">
        <v>628</v>
      </c>
      <c r="J5413" s="7" t="s">
        <v>45</v>
      </c>
      <c r="K5413" s="7" t="n">
        <f aca="false">IFERROR(VALUE(RIGHT(TRIM(F5413),4)),"")</f>
        <v>2018</v>
      </c>
      <c r="L5413" s="7" t="str">
        <f aca="false">IF(TRIM(E5413)="","Unknown",IFERROR(LEFT(TRIM(E5413),FIND(",",TRIM(E5413))-1),TRIM(E5413)))</f>
        <v>United States</v>
      </c>
      <c r="M5413" s="7" t="str">
        <f aca="false">IFERROR(LEFT(J5413,FIND(",",J5413)-1),J5413)</f>
        <v>Stand-Up Comedy</v>
      </c>
      <c r="N5413" s="7" t="n">
        <f aca="false">IF(B5413="Movie",IFERROR(VALUE(LEFT(I5413,FIND(" ",I5413)-1)),""),"")</f>
        <v>69</v>
      </c>
      <c r="O5413" s="7" t="str">
        <f aca="false">IF(B5413="TV Show",IFERROR(VALUE(LEFT(I5413,FIND(" ",I5413)-1)),""),"")</f>
        <v/>
      </c>
      <c r="P5413" s="7" t="n">
        <f aca="false">IF(K5413="","",K5413-G5413)</f>
        <v>35</v>
      </c>
    </row>
    <row r="5414" customFormat="false" ht="15" hidden="false" customHeight="false" outlineLevel="0" collapsed="false">
      <c r="A5414" s="7" t="n">
        <v>70142918</v>
      </c>
      <c r="B5414" s="7" t="s">
        <v>68</v>
      </c>
      <c r="C5414" s="7" t="s">
        <v>10842</v>
      </c>
      <c r="D5414" s="7" t="s">
        <v>8928</v>
      </c>
      <c r="E5414" s="7" t="s">
        <v>230</v>
      </c>
      <c r="F5414" s="7" t="s">
        <v>10839</v>
      </c>
      <c r="G5414" s="7" t="n">
        <v>2010</v>
      </c>
      <c r="H5414" s="7" t="s">
        <v>226</v>
      </c>
      <c r="I5414" s="7" t="s">
        <v>494</v>
      </c>
      <c r="J5414" s="7" t="s">
        <v>74</v>
      </c>
      <c r="K5414" s="7" t="n">
        <f aca="false">IFERROR(VALUE(RIGHT(TRIM(F5414),4)),"")</f>
        <v>2018</v>
      </c>
      <c r="L5414" s="7" t="str">
        <f aca="false">IF(TRIM(E5414)="","Unknown",IFERROR(LEFT(TRIM(E5414),FIND(",",TRIM(E5414))-1),TRIM(E5414)))</f>
        <v>United States</v>
      </c>
      <c r="M5414" s="7" t="str">
        <f aca="false">IFERROR(LEFT(J5414,FIND(",",J5414)-1),J5414)</f>
        <v>Children &amp; Family Movies</v>
      </c>
      <c r="N5414" s="7" t="n">
        <f aca="false">IF(B5414="Movie",IFERROR(VALUE(LEFT(I5414,FIND(" ",I5414)-1)),""),"")</f>
        <v>87</v>
      </c>
      <c r="O5414" s="7" t="str">
        <f aca="false">IF(B5414="TV Show",IFERROR(VALUE(LEFT(I5414,FIND(" ",I5414)-1)),""),"")</f>
        <v/>
      </c>
      <c r="P5414" s="7" t="n">
        <f aca="false">IF(K5414="","",K5414-G5414)</f>
        <v>8</v>
      </c>
    </row>
    <row r="5415" customFormat="false" ht="15" hidden="false" customHeight="false" outlineLevel="0" collapsed="false">
      <c r="A5415" s="7" t="n">
        <v>80992231</v>
      </c>
      <c r="B5415" s="7" t="s">
        <v>68</v>
      </c>
      <c r="C5415" s="7" t="s">
        <v>10843</v>
      </c>
      <c r="D5415" s="7" t="s">
        <v>10844</v>
      </c>
      <c r="E5415" s="7" t="s">
        <v>855</v>
      </c>
      <c r="F5415" s="7" t="s">
        <v>10839</v>
      </c>
      <c r="G5415" s="7" t="n">
        <v>2015</v>
      </c>
      <c r="H5415" s="7" t="s">
        <v>48</v>
      </c>
      <c r="I5415" s="7" t="s">
        <v>470</v>
      </c>
      <c r="J5415" s="7" t="s">
        <v>699</v>
      </c>
      <c r="K5415" s="7" t="n">
        <f aca="false">IFERROR(VALUE(RIGHT(TRIM(F5415),4)),"")</f>
        <v>2018</v>
      </c>
      <c r="L5415" s="7" t="str">
        <f aca="false">IF(TRIM(E5415)="","Unknown",IFERROR(LEFT(TRIM(E5415),FIND(",",TRIM(E5415))-1),TRIM(E5415)))</f>
        <v>Italy</v>
      </c>
      <c r="M5415" s="7" t="str">
        <f aca="false">IFERROR(LEFT(J5415,FIND(",",J5415)-1),J5415)</f>
        <v>Documentaries</v>
      </c>
      <c r="N5415" s="7" t="n">
        <f aca="false">IF(B5415="Movie",IFERROR(VALUE(LEFT(I5415,FIND(" ",I5415)-1)),""),"")</f>
        <v>91</v>
      </c>
      <c r="O5415" s="7" t="str">
        <f aca="false">IF(B5415="TV Show",IFERROR(VALUE(LEFT(I5415,FIND(" ",I5415)-1)),""),"")</f>
        <v/>
      </c>
      <c r="P5415" s="7" t="n">
        <f aca="false">IF(K5415="","",K5415-G5415)</f>
        <v>3</v>
      </c>
    </row>
    <row r="5416" customFormat="false" ht="15" hidden="false" customHeight="false" outlineLevel="0" collapsed="false">
      <c r="A5416" s="7" t="n">
        <v>80081790</v>
      </c>
      <c r="B5416" s="7" t="s">
        <v>68</v>
      </c>
      <c r="C5416" s="7" t="s">
        <v>10845</v>
      </c>
      <c r="D5416" s="7" t="s">
        <v>10846</v>
      </c>
      <c r="E5416" s="7" t="s">
        <v>28</v>
      </c>
      <c r="F5416" s="7" t="s">
        <v>10847</v>
      </c>
      <c r="G5416" s="7" t="n">
        <v>2015</v>
      </c>
      <c r="H5416" s="7" t="s">
        <v>48</v>
      </c>
      <c r="I5416" s="7" t="s">
        <v>311</v>
      </c>
      <c r="J5416" s="7" t="s">
        <v>597</v>
      </c>
      <c r="K5416" s="7" t="n">
        <f aca="false">IFERROR(VALUE(RIGHT(TRIM(F5416),4)),"")</f>
        <v>2017</v>
      </c>
      <c r="L5416" s="7" t="str">
        <f aca="false">IF(TRIM(E5416)="","Unknown",IFERROR(LEFT(TRIM(E5416),FIND(",",TRIM(E5416))-1),TRIM(E5416)))</f>
        <v>United Kingdom</v>
      </c>
      <c r="M5416" s="7" t="str">
        <f aca="false">IFERROR(LEFT(J5416,FIND(",",J5416)-1),J5416)</f>
        <v>Dramas</v>
      </c>
      <c r="N5416" s="7" t="n">
        <f aca="false">IF(B5416="Movie",IFERROR(VALUE(LEFT(I5416,FIND(" ",I5416)-1)),""),"")</f>
        <v>92</v>
      </c>
      <c r="O5416" s="7" t="str">
        <f aca="false">IF(B5416="TV Show",IFERROR(VALUE(LEFT(I5416,FIND(" ",I5416)-1)),""),"")</f>
        <v/>
      </c>
      <c r="P5416" s="7" t="n">
        <f aca="false">IF(K5416="","",K5416-G5416)</f>
        <v>2</v>
      </c>
    </row>
    <row r="5417" customFormat="false" ht="15" hidden="false" customHeight="false" outlineLevel="0" collapsed="false">
      <c r="A5417" s="7" t="n">
        <v>80122232</v>
      </c>
      <c r="B5417" s="7" t="s">
        <v>78</v>
      </c>
      <c r="C5417" s="7" t="s">
        <v>10848</v>
      </c>
      <c r="E5417" s="7" t="s">
        <v>27</v>
      </c>
      <c r="F5417" s="7" t="s">
        <v>10847</v>
      </c>
      <c r="G5417" s="7" t="n">
        <v>2015</v>
      </c>
      <c r="H5417" s="7" t="s">
        <v>49</v>
      </c>
      <c r="I5417" s="7" t="s">
        <v>82</v>
      </c>
      <c r="J5417" s="7" t="s">
        <v>588</v>
      </c>
      <c r="K5417" s="7" t="n">
        <f aca="false">IFERROR(VALUE(RIGHT(TRIM(F5417),4)),"")</f>
        <v>2017</v>
      </c>
      <c r="L5417" s="7" t="str">
        <f aca="false">IF(TRIM(E5417)="","Unknown",IFERROR(LEFT(TRIM(E5417),FIND(",",TRIM(E5417))-1),TRIM(E5417)))</f>
        <v>India</v>
      </c>
      <c r="M5417" s="7" t="str">
        <f aca="false">IFERROR(LEFT(J5417,FIND(",",J5417)-1),J5417)</f>
        <v>Crime TV Shows</v>
      </c>
      <c r="N5417" s="7" t="str">
        <f aca="false">IF(B5417="Movie",IFERROR(VALUE(LEFT(I5417,FIND(" ",I5417)-1)),""),"")</f>
        <v/>
      </c>
      <c r="O5417" s="7" t="n">
        <f aca="false">IF(B5417="TV Show",IFERROR(VALUE(LEFT(I5417,FIND(" ",I5417)-1)),""),"")</f>
        <v>1</v>
      </c>
      <c r="P5417" s="7" t="n">
        <f aca="false">IF(K5417="","",K5417-G5417)</f>
        <v>2</v>
      </c>
    </row>
    <row r="5418" customFormat="false" ht="15" hidden="false" customHeight="false" outlineLevel="0" collapsed="false">
      <c r="A5418" s="7" t="n">
        <v>80122192</v>
      </c>
      <c r="B5418" s="7" t="s">
        <v>78</v>
      </c>
      <c r="C5418" s="7" t="s">
        <v>10849</v>
      </c>
      <c r="E5418" s="7" t="s">
        <v>27</v>
      </c>
      <c r="F5418" s="7" t="s">
        <v>10847</v>
      </c>
      <c r="G5418" s="7" t="n">
        <v>2015</v>
      </c>
      <c r="H5418" s="7" t="s">
        <v>49</v>
      </c>
      <c r="I5418" s="7" t="s">
        <v>82</v>
      </c>
      <c r="J5418" s="7" t="s">
        <v>314</v>
      </c>
      <c r="K5418" s="7" t="n">
        <f aca="false">IFERROR(VALUE(RIGHT(TRIM(F5418),4)),"")</f>
        <v>2017</v>
      </c>
      <c r="L5418" s="7" t="str">
        <f aca="false">IF(TRIM(E5418)="","Unknown",IFERROR(LEFT(TRIM(E5418),FIND(",",TRIM(E5418))-1),TRIM(E5418)))</f>
        <v>India</v>
      </c>
      <c r="M5418" s="7" t="str">
        <f aca="false">IFERROR(LEFT(J5418,FIND(",",J5418)-1),J5418)</f>
        <v>International TV Shows</v>
      </c>
      <c r="N5418" s="7" t="str">
        <f aca="false">IF(B5418="Movie",IFERROR(VALUE(LEFT(I5418,FIND(" ",I5418)-1)),""),"")</f>
        <v/>
      </c>
      <c r="O5418" s="7" t="n">
        <f aca="false">IF(B5418="TV Show",IFERROR(VALUE(LEFT(I5418,FIND(" ",I5418)-1)),""),"")</f>
        <v>1</v>
      </c>
      <c r="P5418" s="7" t="n">
        <f aca="false">IF(K5418="","",K5418-G5418)</f>
        <v>2</v>
      </c>
    </row>
    <row r="5419" customFormat="false" ht="15" hidden="false" customHeight="false" outlineLevel="0" collapsed="false">
      <c r="A5419" s="7" t="n">
        <v>80015280</v>
      </c>
      <c r="B5419" s="7" t="s">
        <v>68</v>
      </c>
      <c r="C5419" s="7" t="s">
        <v>10850</v>
      </c>
      <c r="D5419" s="7" t="s">
        <v>8885</v>
      </c>
      <c r="E5419" s="7" t="s">
        <v>1081</v>
      </c>
      <c r="F5419" s="7" t="s">
        <v>10847</v>
      </c>
      <c r="G5419" s="7" t="n">
        <v>2014</v>
      </c>
      <c r="H5419" s="7" t="s">
        <v>50</v>
      </c>
      <c r="I5419" s="7" t="s">
        <v>451</v>
      </c>
      <c r="J5419" s="7" t="s">
        <v>349</v>
      </c>
      <c r="K5419" s="7" t="n">
        <f aca="false">IFERROR(VALUE(RIGHT(TRIM(F5419),4)),"")</f>
        <v>2017</v>
      </c>
      <c r="L5419" s="7" t="str">
        <f aca="false">IF(TRIM(E5419)="","Unknown",IFERROR(LEFT(TRIM(E5419),FIND(",",TRIM(E5419))-1),TRIM(E5419)))</f>
        <v>Germany</v>
      </c>
      <c r="M5419" s="7" t="str">
        <f aca="false">IFERROR(LEFT(J5419,FIND(",",J5419)-1),J5419)</f>
        <v>Children &amp; Family Movies</v>
      </c>
      <c r="N5419" s="7" t="n">
        <f aca="false">IF(B5419="Movie",IFERROR(VALUE(LEFT(I5419,FIND(" ",I5419)-1)),""),"")</f>
        <v>97</v>
      </c>
      <c r="O5419" s="7" t="str">
        <f aca="false">IF(B5419="TV Show",IFERROR(VALUE(LEFT(I5419,FIND(" ",I5419)-1)),""),"")</f>
        <v/>
      </c>
      <c r="P5419" s="7" t="n">
        <f aca="false">IF(K5419="","",K5419-G5419)</f>
        <v>3</v>
      </c>
    </row>
    <row r="5420" customFormat="false" ht="15" hidden="false" customHeight="false" outlineLevel="0" collapsed="false">
      <c r="A5420" s="7" t="n">
        <v>80141253</v>
      </c>
      <c r="B5420" s="7" t="s">
        <v>68</v>
      </c>
      <c r="C5420" s="7" t="s">
        <v>10851</v>
      </c>
      <c r="D5420" s="7" t="s">
        <v>8885</v>
      </c>
      <c r="E5420" s="7" t="s">
        <v>1081</v>
      </c>
      <c r="F5420" s="7" t="s">
        <v>10847</v>
      </c>
      <c r="G5420" s="7" t="n">
        <v>2014</v>
      </c>
      <c r="H5420" s="7" t="s">
        <v>49</v>
      </c>
      <c r="I5420" s="7" t="s">
        <v>820</v>
      </c>
      <c r="J5420" s="7" t="s">
        <v>349</v>
      </c>
      <c r="K5420" s="7" t="n">
        <f aca="false">IFERROR(VALUE(RIGHT(TRIM(F5420),4)),"")</f>
        <v>2017</v>
      </c>
      <c r="L5420" s="7" t="str">
        <f aca="false">IF(TRIM(E5420)="","Unknown",IFERROR(LEFT(TRIM(E5420),FIND(",",TRIM(E5420))-1),TRIM(E5420)))</f>
        <v>Germany</v>
      </c>
      <c r="M5420" s="7" t="str">
        <f aca="false">IFERROR(LEFT(J5420,FIND(",",J5420)-1),J5420)</f>
        <v>Children &amp; Family Movies</v>
      </c>
      <c r="N5420" s="7" t="n">
        <f aca="false">IF(B5420="Movie",IFERROR(VALUE(LEFT(I5420,FIND(" ",I5420)-1)),""),"")</f>
        <v>105</v>
      </c>
      <c r="O5420" s="7" t="str">
        <f aca="false">IF(B5420="TV Show",IFERROR(VALUE(LEFT(I5420,FIND(" ",I5420)-1)),""),"")</f>
        <v/>
      </c>
      <c r="P5420" s="7" t="n">
        <f aca="false">IF(K5420="","",K5420-G5420)</f>
        <v>3</v>
      </c>
    </row>
    <row r="5421" customFormat="false" ht="15" hidden="false" customHeight="false" outlineLevel="0" collapsed="false">
      <c r="A5421" s="7" t="n">
        <v>80141254</v>
      </c>
      <c r="B5421" s="7" t="s">
        <v>68</v>
      </c>
      <c r="C5421" s="7" t="s">
        <v>10852</v>
      </c>
      <c r="D5421" s="7" t="s">
        <v>8885</v>
      </c>
      <c r="E5421" s="7" t="s">
        <v>1081</v>
      </c>
      <c r="F5421" s="7" t="s">
        <v>10847</v>
      </c>
      <c r="G5421" s="7" t="n">
        <v>2016</v>
      </c>
      <c r="H5421" s="7" t="s">
        <v>49</v>
      </c>
      <c r="I5421" s="7" t="s">
        <v>294</v>
      </c>
      <c r="J5421" s="7" t="s">
        <v>349</v>
      </c>
      <c r="K5421" s="7" t="n">
        <f aca="false">IFERROR(VALUE(RIGHT(TRIM(F5421),4)),"")</f>
        <v>2017</v>
      </c>
      <c r="L5421" s="7" t="str">
        <f aca="false">IF(TRIM(E5421)="","Unknown",IFERROR(LEFT(TRIM(E5421),FIND(",",TRIM(E5421))-1),TRIM(E5421)))</f>
        <v>Germany</v>
      </c>
      <c r="M5421" s="7" t="str">
        <f aca="false">IFERROR(LEFT(J5421,FIND(",",J5421)-1),J5421)</f>
        <v>Children &amp; Family Movies</v>
      </c>
      <c r="N5421" s="7" t="n">
        <f aca="false">IF(B5421="Movie",IFERROR(VALUE(LEFT(I5421,FIND(" ",I5421)-1)),""),"")</f>
        <v>107</v>
      </c>
      <c r="O5421" s="7" t="str">
        <f aca="false">IF(B5421="TV Show",IFERROR(VALUE(LEFT(I5421,FIND(" ",I5421)-1)),""),"")</f>
        <v/>
      </c>
      <c r="P5421" s="7" t="n">
        <f aca="false">IF(K5421="","",K5421-G5421)</f>
        <v>1</v>
      </c>
    </row>
    <row r="5422" customFormat="false" ht="15" hidden="false" customHeight="false" outlineLevel="0" collapsed="false">
      <c r="A5422" s="7" t="n">
        <v>80122235</v>
      </c>
      <c r="B5422" s="7" t="s">
        <v>78</v>
      </c>
      <c r="C5422" s="7" t="s">
        <v>10853</v>
      </c>
      <c r="E5422" s="7" t="s">
        <v>27</v>
      </c>
      <c r="F5422" s="7" t="s">
        <v>10847</v>
      </c>
      <c r="G5422" s="7" t="n">
        <v>2014</v>
      </c>
      <c r="H5422" s="7" t="s">
        <v>50</v>
      </c>
      <c r="I5422" s="7" t="s">
        <v>82</v>
      </c>
      <c r="J5422" s="7" t="s">
        <v>2601</v>
      </c>
      <c r="K5422" s="7" t="n">
        <f aca="false">IFERROR(VALUE(RIGHT(TRIM(F5422),4)),"")</f>
        <v>2017</v>
      </c>
      <c r="L5422" s="7" t="str">
        <f aca="false">IF(TRIM(E5422)="","Unknown",IFERROR(LEFT(TRIM(E5422),FIND(",",TRIM(E5422))-1),TRIM(E5422)))</f>
        <v>India</v>
      </c>
      <c r="M5422" s="7" t="str">
        <f aca="false">IFERROR(LEFT(J5422,FIND(",",J5422)-1),J5422)</f>
        <v>International TV Shows</v>
      </c>
      <c r="N5422" s="7" t="str">
        <f aca="false">IF(B5422="Movie",IFERROR(VALUE(LEFT(I5422,FIND(" ",I5422)-1)),""),"")</f>
        <v/>
      </c>
      <c r="O5422" s="7" t="n">
        <f aca="false">IF(B5422="TV Show",IFERROR(VALUE(LEFT(I5422,FIND(" ",I5422)-1)),""),"")</f>
        <v>1</v>
      </c>
      <c r="P5422" s="7" t="n">
        <f aca="false">IF(K5422="","",K5422-G5422)</f>
        <v>3</v>
      </c>
    </row>
    <row r="5423" customFormat="false" ht="15" hidden="false" customHeight="false" outlineLevel="0" collapsed="false">
      <c r="A5423" s="7" t="n">
        <v>80122191</v>
      </c>
      <c r="B5423" s="7" t="s">
        <v>78</v>
      </c>
      <c r="C5423" s="7" t="s">
        <v>10854</v>
      </c>
      <c r="E5423" s="7" t="s">
        <v>27</v>
      </c>
      <c r="F5423" s="7" t="s">
        <v>10847</v>
      </c>
      <c r="G5423" s="7" t="n">
        <v>2015</v>
      </c>
      <c r="H5423" s="7" t="s">
        <v>49</v>
      </c>
      <c r="I5423" s="7" t="s">
        <v>82</v>
      </c>
      <c r="J5423" s="7" t="s">
        <v>6429</v>
      </c>
      <c r="K5423" s="7" t="n">
        <f aca="false">IFERROR(VALUE(RIGHT(TRIM(F5423),4)),"")</f>
        <v>2017</v>
      </c>
      <c r="L5423" s="7" t="str">
        <f aca="false">IF(TRIM(E5423)="","Unknown",IFERROR(LEFT(TRIM(E5423),FIND(",",TRIM(E5423))-1),TRIM(E5423)))</f>
        <v>India</v>
      </c>
      <c r="M5423" s="7" t="str">
        <f aca="false">IFERROR(LEFT(J5423,FIND(",",J5423)-1),J5423)</f>
        <v>International TV Shows</v>
      </c>
      <c r="N5423" s="7" t="str">
        <f aca="false">IF(B5423="Movie",IFERROR(VALUE(LEFT(I5423,FIND(" ",I5423)-1)),""),"")</f>
        <v/>
      </c>
      <c r="O5423" s="7" t="n">
        <f aca="false">IF(B5423="TV Show",IFERROR(VALUE(LEFT(I5423,FIND(" ",I5423)-1)),""),"")</f>
        <v>1</v>
      </c>
      <c r="P5423" s="7" t="n">
        <f aca="false">IF(K5423="","",K5423-G5423)</f>
        <v>2</v>
      </c>
    </row>
    <row r="5424" customFormat="false" ht="15" hidden="false" customHeight="false" outlineLevel="0" collapsed="false">
      <c r="A5424" s="7" t="n">
        <v>80176265</v>
      </c>
      <c r="B5424" s="7" t="s">
        <v>78</v>
      </c>
      <c r="C5424" s="7" t="s">
        <v>10855</v>
      </c>
      <c r="E5424" s="7" t="s">
        <v>10856</v>
      </c>
      <c r="F5424" s="7" t="s">
        <v>10847</v>
      </c>
      <c r="G5424" s="7" t="n">
        <v>2017</v>
      </c>
      <c r="H5424" s="7" t="s">
        <v>119</v>
      </c>
      <c r="I5424" s="7" t="s">
        <v>82</v>
      </c>
      <c r="J5424" s="7" t="s">
        <v>191</v>
      </c>
      <c r="K5424" s="7" t="n">
        <f aca="false">IFERROR(VALUE(RIGHT(TRIM(F5424),4)),"")</f>
        <v>2017</v>
      </c>
      <c r="L5424" s="7" t="str">
        <f aca="false">IF(TRIM(E5424)="","Unknown",IFERROR(LEFT(TRIM(E5424),FIND(",",TRIM(E5424))-1),TRIM(E5424)))</f>
        <v>United Kingdom</v>
      </c>
      <c r="M5424" s="7" t="str">
        <f aca="false">IFERROR(LEFT(J5424,FIND(",",J5424)-1),J5424)</f>
        <v>Kids' TV</v>
      </c>
      <c r="N5424" s="7" t="str">
        <f aca="false">IF(B5424="Movie",IFERROR(VALUE(LEFT(I5424,FIND(" ",I5424)-1)),""),"")</f>
        <v/>
      </c>
      <c r="O5424" s="7" t="n">
        <f aca="false">IF(B5424="TV Show",IFERROR(VALUE(LEFT(I5424,FIND(" ",I5424)-1)),""),"")</f>
        <v>1</v>
      </c>
      <c r="P5424" s="7" t="n">
        <f aca="false">IF(K5424="","",K5424-G5424)</f>
        <v>0</v>
      </c>
    </row>
    <row r="5425" customFormat="false" ht="15" hidden="false" customHeight="false" outlineLevel="0" collapsed="false">
      <c r="A5425" s="7" t="n">
        <v>70205713</v>
      </c>
      <c r="B5425" s="7" t="s">
        <v>78</v>
      </c>
      <c r="C5425" s="7" t="s">
        <v>10857</v>
      </c>
      <c r="E5425" s="7" t="s">
        <v>1397</v>
      </c>
      <c r="F5425" s="7" t="s">
        <v>10847</v>
      </c>
      <c r="G5425" s="7" t="n">
        <v>2010</v>
      </c>
      <c r="H5425" s="7" t="s">
        <v>49</v>
      </c>
      <c r="I5425" s="7" t="s">
        <v>82</v>
      </c>
      <c r="J5425" s="7" t="s">
        <v>89</v>
      </c>
      <c r="K5425" s="7" t="n">
        <f aca="false">IFERROR(VALUE(RIGHT(TRIM(F5425),4)),"")</f>
        <v>2017</v>
      </c>
      <c r="L5425" s="7" t="str">
        <f aca="false">IF(TRIM(E5425)="","Unknown",IFERROR(LEFT(TRIM(E5425),FIND(",",TRIM(E5425))-1),TRIM(E5425)))</f>
        <v>Colombia</v>
      </c>
      <c r="M5425" s="7" t="str">
        <f aca="false">IFERROR(LEFT(J5425,FIND(",",J5425)-1),J5425)</f>
        <v>Crime TV Shows</v>
      </c>
      <c r="N5425" s="7" t="str">
        <f aca="false">IF(B5425="Movie",IFERROR(VALUE(LEFT(I5425,FIND(" ",I5425)-1)),""),"")</f>
        <v/>
      </c>
      <c r="O5425" s="7" t="n">
        <f aca="false">IF(B5425="TV Show",IFERROR(VALUE(LEFT(I5425,FIND(" ",I5425)-1)),""),"")</f>
        <v>1</v>
      </c>
      <c r="P5425" s="7" t="n">
        <f aca="false">IF(K5425="","",K5425-G5425)</f>
        <v>7</v>
      </c>
    </row>
    <row r="5426" customFormat="false" ht="15" hidden="false" customHeight="false" outlineLevel="0" collapsed="false">
      <c r="A5426" s="7" t="n">
        <v>80160081</v>
      </c>
      <c r="B5426" s="7" t="s">
        <v>68</v>
      </c>
      <c r="C5426" s="7" t="s">
        <v>10858</v>
      </c>
      <c r="D5426" s="7" t="s">
        <v>10859</v>
      </c>
      <c r="E5426" s="7" t="s">
        <v>855</v>
      </c>
      <c r="F5426" s="7" t="s">
        <v>10847</v>
      </c>
      <c r="G5426" s="7" t="n">
        <v>2017</v>
      </c>
      <c r="H5426" s="7" t="s">
        <v>48</v>
      </c>
      <c r="I5426" s="7" t="s">
        <v>87</v>
      </c>
      <c r="J5426" s="7" t="s">
        <v>217</v>
      </c>
      <c r="K5426" s="7" t="n">
        <f aca="false">IFERROR(VALUE(RIGHT(TRIM(F5426),4)),"")</f>
        <v>2017</v>
      </c>
      <c r="L5426" s="7" t="str">
        <f aca="false">IF(TRIM(E5426)="","Unknown",IFERROR(LEFT(TRIM(E5426),FIND(",",TRIM(E5426))-1),TRIM(E5426)))</f>
        <v>Italy</v>
      </c>
      <c r="M5426" s="7" t="str">
        <f aca="false">IFERROR(LEFT(J5426,FIND(",",J5426)-1),J5426)</f>
        <v>Comedies</v>
      </c>
      <c r="N5426" s="7" t="n">
        <f aca="false">IF(B5426="Movie",IFERROR(VALUE(LEFT(I5426,FIND(" ",I5426)-1)),""),"")</f>
        <v>99</v>
      </c>
      <c r="O5426" s="7" t="str">
        <f aca="false">IF(B5426="TV Show",IFERROR(VALUE(LEFT(I5426,FIND(" ",I5426)-1)),""),"")</f>
        <v/>
      </c>
      <c r="P5426" s="7" t="n">
        <f aca="false">IF(K5426="","",K5426-G5426)</f>
        <v>0</v>
      </c>
    </row>
    <row r="5427" customFormat="false" ht="15" hidden="false" customHeight="false" outlineLevel="0" collapsed="false">
      <c r="A5427" s="7" t="n">
        <v>80168301</v>
      </c>
      <c r="B5427" s="7" t="s">
        <v>68</v>
      </c>
      <c r="C5427" s="7" t="s">
        <v>10860</v>
      </c>
      <c r="D5427" s="7" t="s">
        <v>526</v>
      </c>
      <c r="E5427" s="7" t="s">
        <v>527</v>
      </c>
      <c r="F5427" s="7" t="s">
        <v>10847</v>
      </c>
      <c r="G5427" s="7" t="n">
        <v>2016</v>
      </c>
      <c r="H5427" s="7" t="s">
        <v>49</v>
      </c>
      <c r="I5427" s="7" t="s">
        <v>512</v>
      </c>
      <c r="J5427" s="7" t="s">
        <v>217</v>
      </c>
      <c r="K5427" s="7" t="n">
        <f aca="false">IFERROR(VALUE(RIGHT(TRIM(F5427),4)),"")</f>
        <v>2017</v>
      </c>
      <c r="L5427" s="7" t="str">
        <f aca="false">IF(TRIM(E5427)="","Unknown",IFERROR(LEFT(TRIM(E5427),FIND(",",TRIM(E5427))-1),TRIM(E5427)))</f>
        <v>Nigeria</v>
      </c>
      <c r="M5427" s="7" t="str">
        <f aca="false">IFERROR(LEFT(J5427,FIND(",",J5427)-1),J5427)</f>
        <v>Comedies</v>
      </c>
      <c r="N5427" s="7" t="n">
        <f aca="false">IF(B5427="Movie",IFERROR(VALUE(LEFT(I5427,FIND(" ",I5427)-1)),""),"")</f>
        <v>101</v>
      </c>
      <c r="O5427" s="7" t="str">
        <f aca="false">IF(B5427="TV Show",IFERROR(VALUE(LEFT(I5427,FIND(" ",I5427)-1)),""),"")</f>
        <v/>
      </c>
      <c r="P5427" s="7" t="n">
        <f aca="false">IF(K5427="","",K5427-G5427)</f>
        <v>1</v>
      </c>
    </row>
    <row r="5428" customFormat="false" ht="15" hidden="false" customHeight="false" outlineLevel="0" collapsed="false">
      <c r="A5428" s="7" t="n">
        <v>80064273</v>
      </c>
      <c r="B5428" s="7" t="s">
        <v>68</v>
      </c>
      <c r="C5428" s="7" t="s">
        <v>10861</v>
      </c>
      <c r="D5428" s="7" t="s">
        <v>10862</v>
      </c>
      <c r="E5428" s="7" t="s">
        <v>26</v>
      </c>
      <c r="F5428" s="7" t="s">
        <v>10863</v>
      </c>
      <c r="G5428" s="7" t="n">
        <v>2015</v>
      </c>
      <c r="H5428" s="7" t="s">
        <v>53</v>
      </c>
      <c r="I5428" s="7" t="s">
        <v>111</v>
      </c>
      <c r="J5428" s="7" t="s">
        <v>213</v>
      </c>
      <c r="K5428" s="7" t="n">
        <f aca="false">IFERROR(VALUE(RIGHT(TRIM(F5428),4)),"")</f>
        <v>2016</v>
      </c>
      <c r="L5428" s="7" t="str">
        <f aca="false">IF(TRIM(E5428)="","Unknown",IFERROR(LEFT(TRIM(E5428),FIND(",",TRIM(E5428))-1),TRIM(E5428)))</f>
        <v>United States</v>
      </c>
      <c r="M5428" s="7" t="str">
        <f aca="false">IFERROR(LEFT(J5428,FIND(",",J5428)-1),J5428)</f>
        <v>Action &amp; Adventure</v>
      </c>
      <c r="N5428" s="7" t="n">
        <f aca="false">IF(B5428="Movie",IFERROR(VALUE(LEFT(I5428,FIND(" ",I5428)-1)),""),"")</f>
        <v>95</v>
      </c>
      <c r="O5428" s="7" t="str">
        <f aca="false">IF(B5428="TV Show",IFERROR(VALUE(LEFT(I5428,FIND(" ",I5428)-1)),""),"")</f>
        <v/>
      </c>
      <c r="P5428" s="7" t="n">
        <f aca="false">IF(K5428="","",K5428-G5428)</f>
        <v>1</v>
      </c>
    </row>
    <row r="5429" customFormat="false" ht="15" hidden="false" customHeight="false" outlineLevel="0" collapsed="false">
      <c r="A5429" s="7" t="n">
        <v>80098475</v>
      </c>
      <c r="B5429" s="7" t="s">
        <v>68</v>
      </c>
      <c r="C5429" s="7" t="s">
        <v>10864</v>
      </c>
      <c r="D5429" s="7" t="s">
        <v>10865</v>
      </c>
      <c r="E5429" s="7" t="s">
        <v>185</v>
      </c>
      <c r="F5429" s="7" t="s">
        <v>10863</v>
      </c>
      <c r="G5429" s="7" t="n">
        <v>2016</v>
      </c>
      <c r="H5429" s="7" t="s">
        <v>53</v>
      </c>
      <c r="I5429" s="7" t="s">
        <v>378</v>
      </c>
      <c r="J5429" s="7" t="s">
        <v>304</v>
      </c>
      <c r="K5429" s="7" t="n">
        <f aca="false">IFERROR(VALUE(RIGHT(TRIM(F5429),4)),"")</f>
        <v>2016</v>
      </c>
      <c r="L5429" s="7" t="str">
        <f aca="false">IF(TRIM(E5429)="","Unknown",IFERROR(LEFT(TRIM(E5429),FIND(",",TRIM(E5429))-1),TRIM(E5429)))</f>
        <v>Belgium</v>
      </c>
      <c r="M5429" s="7" t="str">
        <f aca="false">IFERROR(LEFT(J5429,FIND(",",J5429)-1),J5429)</f>
        <v>Dramas</v>
      </c>
      <c r="N5429" s="7" t="n">
        <f aca="false">IF(B5429="Movie",IFERROR(VALUE(LEFT(I5429,FIND(" ",I5429)-1)),""),"")</f>
        <v>127</v>
      </c>
      <c r="O5429" s="7" t="str">
        <f aca="false">IF(B5429="TV Show",IFERROR(VALUE(LEFT(I5429,FIND(" ",I5429)-1)),""),"")</f>
        <v/>
      </c>
      <c r="P5429" s="7" t="n">
        <f aca="false">IF(K5429="","",K5429-G5429)</f>
        <v>0</v>
      </c>
    </row>
    <row r="5430" customFormat="false" ht="15" hidden="false" customHeight="false" outlineLevel="0" collapsed="false">
      <c r="A5430" s="7" t="n">
        <v>80058247</v>
      </c>
      <c r="B5430" s="7" t="s">
        <v>68</v>
      </c>
      <c r="C5430" s="7" t="s">
        <v>10866</v>
      </c>
      <c r="D5430" s="7" t="s">
        <v>10867</v>
      </c>
      <c r="E5430" s="7" t="s">
        <v>26</v>
      </c>
      <c r="F5430" s="7" t="s">
        <v>10863</v>
      </c>
      <c r="G5430" s="7" t="n">
        <v>2015</v>
      </c>
      <c r="H5430" s="7" t="s">
        <v>53</v>
      </c>
      <c r="I5430" s="7" t="s">
        <v>212</v>
      </c>
      <c r="J5430" s="7" t="s">
        <v>39</v>
      </c>
      <c r="K5430" s="7" t="n">
        <f aca="false">IFERROR(VALUE(RIGHT(TRIM(F5430),4)),"")</f>
        <v>2016</v>
      </c>
      <c r="L5430" s="7" t="str">
        <f aca="false">IF(TRIM(E5430)="","Unknown",IFERROR(LEFT(TRIM(E5430),FIND(",",TRIM(E5430))-1),TRIM(E5430)))</f>
        <v>United States</v>
      </c>
      <c r="M5430" s="7" t="str">
        <f aca="false">IFERROR(LEFT(J5430,FIND(",",J5430)-1),J5430)</f>
        <v>Documentaries</v>
      </c>
      <c r="N5430" s="7" t="n">
        <f aca="false">IF(B5430="Movie",IFERROR(VALUE(LEFT(I5430,FIND(" ",I5430)-1)),""),"")</f>
        <v>86</v>
      </c>
      <c r="O5430" s="7" t="str">
        <f aca="false">IF(B5430="TV Show",IFERROR(VALUE(LEFT(I5430,FIND(" ",I5430)-1)),""),"")</f>
        <v/>
      </c>
      <c r="P5430" s="7" t="n">
        <f aca="false">IF(K5430="","",K5430-G5430)</f>
        <v>1</v>
      </c>
    </row>
    <row r="5431" customFormat="false" ht="15" hidden="false" customHeight="false" outlineLevel="0" collapsed="false">
      <c r="A5431" s="7" t="n">
        <v>70302184</v>
      </c>
      <c r="B5431" s="7" t="s">
        <v>68</v>
      </c>
      <c r="C5431" s="7" t="s">
        <v>10868</v>
      </c>
      <c r="D5431" s="7" t="s">
        <v>1350</v>
      </c>
      <c r="E5431" s="7" t="s">
        <v>26</v>
      </c>
      <c r="F5431" s="7" t="s">
        <v>10869</v>
      </c>
      <c r="G5431" s="7" t="n">
        <v>2013</v>
      </c>
      <c r="H5431" s="7" t="s">
        <v>53</v>
      </c>
      <c r="I5431" s="7" t="s">
        <v>9372</v>
      </c>
      <c r="J5431" s="7" t="s">
        <v>39</v>
      </c>
      <c r="K5431" s="7" t="n">
        <f aca="false">IFERROR(VALUE(RIGHT(TRIM(F5431),4)),"")</f>
        <v>2014</v>
      </c>
      <c r="L5431" s="7" t="str">
        <f aca="false">IF(TRIM(E5431)="","Unknown",IFERROR(LEFT(TRIM(E5431),FIND(",",TRIM(E5431))-1),TRIM(E5431)))</f>
        <v>United States</v>
      </c>
      <c r="M5431" s="7" t="str">
        <f aca="false">IFERROR(LEFT(J5431,FIND(",",J5431)-1),J5431)</f>
        <v>Documentaries</v>
      </c>
      <c r="N5431" s="7" t="n">
        <f aca="false">IF(B5431="Movie",IFERROR(VALUE(LEFT(I5431,FIND(" ",I5431)-1)),""),"")</f>
        <v>35</v>
      </c>
      <c r="O5431" s="7" t="str">
        <f aca="false">IF(B5431="TV Show",IFERROR(VALUE(LEFT(I5431,FIND(" ",I5431)-1)),""),"")</f>
        <v/>
      </c>
      <c r="P5431" s="7" t="n">
        <f aca="false">IF(K5431="","",K5431-G5431)</f>
        <v>1</v>
      </c>
    </row>
    <row r="5432" customFormat="false" ht="15" hidden="false" customHeight="false" outlineLevel="0" collapsed="false">
      <c r="A5432" s="7" t="n">
        <v>81060043</v>
      </c>
      <c r="B5432" s="7" t="s">
        <v>68</v>
      </c>
      <c r="C5432" s="7" t="s">
        <v>10870</v>
      </c>
      <c r="D5432" s="7" t="s">
        <v>10871</v>
      </c>
      <c r="E5432" s="7" t="s">
        <v>26</v>
      </c>
      <c r="F5432" s="7" t="s">
        <v>10872</v>
      </c>
      <c r="G5432" s="7" t="n">
        <v>2018</v>
      </c>
      <c r="H5432" s="7" t="s">
        <v>49</v>
      </c>
      <c r="I5432" s="7" t="s">
        <v>73</v>
      </c>
      <c r="J5432" s="7" t="s">
        <v>4357</v>
      </c>
      <c r="K5432" s="7" t="n">
        <f aca="false">IFERROR(VALUE(RIGHT(TRIM(F5432),4)),"")</f>
        <v>2019</v>
      </c>
      <c r="L5432" s="7" t="str">
        <f aca="false">IF(TRIM(E5432)="","Unknown",IFERROR(LEFT(TRIM(E5432),FIND(",",TRIM(E5432))-1),TRIM(E5432)))</f>
        <v>United States</v>
      </c>
      <c r="M5432" s="7" t="str">
        <f aca="false">IFERROR(LEFT(J5432,FIND(",",J5432)-1),J5432)</f>
        <v>Action &amp; Adventure</v>
      </c>
      <c r="N5432" s="7" t="n">
        <f aca="false">IF(B5432="Movie",IFERROR(VALUE(LEFT(I5432,FIND(" ",I5432)-1)),""),"")</f>
        <v>90</v>
      </c>
      <c r="O5432" s="7" t="str">
        <f aca="false">IF(B5432="TV Show",IFERROR(VALUE(LEFT(I5432,FIND(" ",I5432)-1)),""),"")</f>
        <v/>
      </c>
      <c r="P5432" s="7" t="n">
        <f aca="false">IF(K5432="","",K5432-G5432)</f>
        <v>1</v>
      </c>
    </row>
    <row r="5433" customFormat="false" ht="15" hidden="false" customHeight="false" outlineLevel="0" collapsed="false">
      <c r="A5433" s="7" t="n">
        <v>81024557</v>
      </c>
      <c r="B5433" s="7" t="s">
        <v>68</v>
      </c>
      <c r="C5433" s="7" t="s">
        <v>10873</v>
      </c>
      <c r="D5433" s="7" t="s">
        <v>10874</v>
      </c>
      <c r="E5433" s="7" t="s">
        <v>26</v>
      </c>
      <c r="F5433" s="7" t="s">
        <v>10872</v>
      </c>
      <c r="G5433" s="7" t="n">
        <v>2018</v>
      </c>
      <c r="H5433" s="7" t="s">
        <v>48</v>
      </c>
      <c r="I5433" s="7" t="s">
        <v>494</v>
      </c>
      <c r="J5433" s="7" t="s">
        <v>265</v>
      </c>
      <c r="K5433" s="7" t="n">
        <f aca="false">IFERROR(VALUE(RIGHT(TRIM(F5433),4)),"")</f>
        <v>2019</v>
      </c>
      <c r="L5433" s="7" t="str">
        <f aca="false">IF(TRIM(E5433)="","Unknown",IFERROR(LEFT(TRIM(E5433),FIND(",",TRIM(E5433))-1),TRIM(E5433)))</f>
        <v>United States</v>
      </c>
      <c r="M5433" s="7" t="str">
        <f aca="false">IFERROR(LEFT(J5433,FIND(",",J5433)-1),J5433)</f>
        <v>Horror Movies</v>
      </c>
      <c r="N5433" s="7" t="n">
        <f aca="false">IF(B5433="Movie",IFERROR(VALUE(LEFT(I5433,FIND(" ",I5433)-1)),""),"")</f>
        <v>87</v>
      </c>
      <c r="O5433" s="7" t="str">
        <f aca="false">IF(B5433="TV Show",IFERROR(VALUE(LEFT(I5433,FIND(" ",I5433)-1)),""),"")</f>
        <v/>
      </c>
      <c r="P5433" s="7" t="n">
        <f aca="false">IF(K5433="","",K5433-G5433)</f>
        <v>1</v>
      </c>
    </row>
    <row r="5434" customFormat="false" ht="15" hidden="false" customHeight="false" outlineLevel="0" collapsed="false">
      <c r="A5434" s="7" t="n">
        <v>70124562</v>
      </c>
      <c r="B5434" s="7" t="s">
        <v>68</v>
      </c>
      <c r="C5434" s="7" t="s">
        <v>10875</v>
      </c>
      <c r="D5434" s="7" t="s">
        <v>10876</v>
      </c>
      <c r="E5434" s="7" t="s">
        <v>7787</v>
      </c>
      <c r="F5434" s="7" t="s">
        <v>10877</v>
      </c>
      <c r="G5434" s="7" t="n">
        <v>2009</v>
      </c>
      <c r="H5434" s="7" t="s">
        <v>51</v>
      </c>
      <c r="I5434" s="7" t="s">
        <v>87</v>
      </c>
      <c r="J5434" s="7" t="s">
        <v>37</v>
      </c>
      <c r="K5434" s="7" t="n">
        <f aca="false">IFERROR(VALUE(RIGHT(TRIM(F5434),4)),"")</f>
        <v>2018</v>
      </c>
      <c r="L5434" s="7" t="str">
        <f aca="false">IF(TRIM(E5434)="","Unknown",IFERROR(LEFT(TRIM(E5434),FIND(",",TRIM(E5434))-1),TRIM(E5434)))</f>
        <v>United Kingdom</v>
      </c>
      <c r="M5434" s="7" t="str">
        <f aca="false">IFERROR(LEFT(J5434,FIND(",",J5434)-1),J5434)</f>
        <v>Dramas</v>
      </c>
      <c r="N5434" s="7" t="n">
        <f aca="false">IF(B5434="Movie",IFERROR(VALUE(LEFT(I5434,FIND(" ",I5434)-1)),""),"")</f>
        <v>99</v>
      </c>
      <c r="O5434" s="7" t="str">
        <f aca="false">IF(B5434="TV Show",IFERROR(VALUE(LEFT(I5434,FIND(" ",I5434)-1)),""),"")</f>
        <v/>
      </c>
      <c r="P5434" s="7" t="n">
        <f aca="false">IF(K5434="","",K5434-G5434)</f>
        <v>9</v>
      </c>
    </row>
    <row r="5435" customFormat="false" ht="15" hidden="false" customHeight="false" outlineLevel="0" collapsed="false">
      <c r="A5435" s="7" t="n">
        <v>80156683</v>
      </c>
      <c r="B5435" s="7" t="s">
        <v>68</v>
      </c>
      <c r="C5435" s="7" t="s">
        <v>10878</v>
      </c>
      <c r="D5435" s="7" t="s">
        <v>10879</v>
      </c>
      <c r="E5435" s="7" t="s">
        <v>129</v>
      </c>
      <c r="F5435" s="7" t="s">
        <v>10880</v>
      </c>
      <c r="G5435" s="7" t="n">
        <v>2016</v>
      </c>
      <c r="H5435" s="7" t="s">
        <v>49</v>
      </c>
      <c r="I5435" s="7" t="s">
        <v>467</v>
      </c>
      <c r="J5435" s="7" t="s">
        <v>240</v>
      </c>
      <c r="K5435" s="7" t="n">
        <f aca="false">IFERROR(VALUE(RIGHT(TRIM(F5435),4)),"")</f>
        <v>2017</v>
      </c>
      <c r="L5435" s="7" t="str">
        <f aca="false">IF(TRIM(E5435)="","Unknown",IFERROR(LEFT(TRIM(E5435),FIND(",",TRIM(E5435))-1),TRIM(E5435)))</f>
        <v>France</v>
      </c>
      <c r="M5435" s="7" t="str">
        <f aca="false">IFERROR(LEFT(J5435,FIND(",",J5435)-1),J5435)</f>
        <v>Dramas</v>
      </c>
      <c r="N5435" s="7" t="n">
        <f aca="false">IF(B5435="Movie",IFERROR(VALUE(LEFT(I5435,FIND(" ",I5435)-1)),""),"")</f>
        <v>81</v>
      </c>
      <c r="O5435" s="7" t="str">
        <f aca="false">IF(B5435="TV Show",IFERROR(VALUE(LEFT(I5435,FIND(" ",I5435)-1)),""),"")</f>
        <v/>
      </c>
      <c r="P5435" s="7" t="n">
        <f aca="false">IF(K5435="","",K5435-G5435)</f>
        <v>1</v>
      </c>
    </row>
    <row r="5436" customFormat="false" ht="15" hidden="false" customHeight="false" outlineLevel="0" collapsed="false">
      <c r="A5436" s="7" t="n">
        <v>80141185</v>
      </c>
      <c r="B5436" s="7" t="s">
        <v>68</v>
      </c>
      <c r="C5436" s="7" t="s">
        <v>10881</v>
      </c>
      <c r="D5436" s="7" t="s">
        <v>10882</v>
      </c>
      <c r="E5436" s="7" t="s">
        <v>33</v>
      </c>
      <c r="F5436" s="7" t="s">
        <v>10880</v>
      </c>
      <c r="G5436" s="7" t="n">
        <v>2016</v>
      </c>
      <c r="H5436" s="7" t="s">
        <v>48</v>
      </c>
      <c r="I5436" s="7" t="s">
        <v>311</v>
      </c>
      <c r="J5436" s="7" t="s">
        <v>217</v>
      </c>
      <c r="K5436" s="7" t="n">
        <f aca="false">IFERROR(VALUE(RIGHT(TRIM(F5436),4)),"")</f>
        <v>2017</v>
      </c>
      <c r="L5436" s="7" t="str">
        <f aca="false">IF(TRIM(E5436)="","Unknown",IFERROR(LEFT(TRIM(E5436),FIND(",",TRIM(E5436))-1),TRIM(E5436)))</f>
        <v>Spain</v>
      </c>
      <c r="M5436" s="7" t="str">
        <f aca="false">IFERROR(LEFT(J5436,FIND(",",J5436)-1),J5436)</f>
        <v>Comedies</v>
      </c>
      <c r="N5436" s="7" t="n">
        <f aca="false">IF(B5436="Movie",IFERROR(VALUE(LEFT(I5436,FIND(" ",I5436)-1)),""),"")</f>
        <v>92</v>
      </c>
      <c r="O5436" s="7" t="str">
        <f aca="false">IF(B5436="TV Show",IFERROR(VALUE(LEFT(I5436,FIND(" ",I5436)-1)),""),"")</f>
        <v/>
      </c>
      <c r="P5436" s="7" t="n">
        <f aca="false">IF(K5436="","",K5436-G5436)</f>
        <v>1</v>
      </c>
    </row>
    <row r="5437" customFormat="false" ht="15" hidden="false" customHeight="false" outlineLevel="0" collapsed="false">
      <c r="A5437" s="7" t="n">
        <v>80126569</v>
      </c>
      <c r="B5437" s="7" t="s">
        <v>68</v>
      </c>
      <c r="C5437" s="7" t="s">
        <v>10883</v>
      </c>
      <c r="D5437" s="7" t="s">
        <v>3719</v>
      </c>
      <c r="E5437" s="7" t="s">
        <v>26</v>
      </c>
      <c r="F5437" s="7" t="s">
        <v>10880</v>
      </c>
      <c r="G5437" s="7" t="n">
        <v>2017</v>
      </c>
      <c r="H5437" s="7" t="s">
        <v>49</v>
      </c>
      <c r="I5437" s="7" t="s">
        <v>1707</v>
      </c>
      <c r="J5437" s="7" t="s">
        <v>38</v>
      </c>
      <c r="K5437" s="7" t="n">
        <f aca="false">IFERROR(VALUE(RIGHT(TRIM(F5437),4)),"")</f>
        <v>2017</v>
      </c>
      <c r="L5437" s="7" t="str">
        <f aca="false">IF(TRIM(E5437)="","Unknown",IFERROR(LEFT(TRIM(E5437),FIND(",",TRIM(E5437))-1),TRIM(E5437)))</f>
        <v>United States</v>
      </c>
      <c r="M5437" s="7" t="str">
        <f aca="false">IFERROR(LEFT(J5437,FIND(",",J5437)-1),J5437)</f>
        <v>Comedies</v>
      </c>
      <c r="N5437" s="7" t="n">
        <f aca="false">IF(B5437="Movie",IFERROR(VALUE(LEFT(I5437,FIND(" ",I5437)-1)),""),"")</f>
        <v>131</v>
      </c>
      <c r="O5437" s="7" t="str">
        <f aca="false">IF(B5437="TV Show",IFERROR(VALUE(LEFT(I5437,FIND(" ",I5437)-1)),""),"")</f>
        <v/>
      </c>
      <c r="P5437" s="7" t="n">
        <f aca="false">IF(K5437="","",K5437-G5437)</f>
        <v>0</v>
      </c>
    </row>
    <row r="5438" customFormat="false" ht="15" hidden="false" customHeight="false" outlineLevel="0" collapsed="false">
      <c r="A5438" s="7" t="n">
        <v>80171982</v>
      </c>
      <c r="B5438" s="7" t="s">
        <v>68</v>
      </c>
      <c r="C5438" s="7" t="s">
        <v>10884</v>
      </c>
      <c r="D5438" s="7" t="s">
        <v>10885</v>
      </c>
      <c r="E5438" s="7" t="s">
        <v>10033</v>
      </c>
      <c r="F5438" s="7" t="s">
        <v>10880</v>
      </c>
      <c r="G5438" s="7" t="n">
        <v>2016</v>
      </c>
      <c r="H5438" s="7" t="s">
        <v>49</v>
      </c>
      <c r="I5438" s="7" t="s">
        <v>326</v>
      </c>
      <c r="J5438" s="7" t="s">
        <v>182</v>
      </c>
      <c r="K5438" s="7" t="n">
        <f aca="false">IFERROR(VALUE(RIGHT(TRIM(F5438),4)),"")</f>
        <v>2017</v>
      </c>
      <c r="L5438" s="7" t="str">
        <f aca="false">IF(TRIM(E5438)="","Unknown",IFERROR(LEFT(TRIM(E5438),FIND(",",TRIM(E5438))-1),TRIM(E5438)))</f>
        <v>Spain</v>
      </c>
      <c r="M5438" s="7" t="str">
        <f aca="false">IFERROR(LEFT(J5438,FIND(",",J5438)-1),J5438)</f>
        <v>Dramas</v>
      </c>
      <c r="N5438" s="7" t="n">
        <f aca="false">IF(B5438="Movie",IFERROR(VALUE(LEFT(I5438,FIND(" ",I5438)-1)),""),"")</f>
        <v>111</v>
      </c>
      <c r="O5438" s="7" t="str">
        <f aca="false">IF(B5438="TV Show",IFERROR(VALUE(LEFT(I5438,FIND(" ",I5438)-1)),""),"")</f>
        <v/>
      </c>
      <c r="P5438" s="7" t="n">
        <f aca="false">IF(K5438="","",K5438-G5438)</f>
        <v>1</v>
      </c>
    </row>
    <row r="5439" customFormat="false" ht="15" hidden="false" customHeight="false" outlineLevel="0" collapsed="false">
      <c r="A5439" s="7" t="n">
        <v>80035467</v>
      </c>
      <c r="B5439" s="7" t="s">
        <v>68</v>
      </c>
      <c r="C5439" s="7" t="s">
        <v>10886</v>
      </c>
      <c r="D5439" s="7" t="s">
        <v>10887</v>
      </c>
      <c r="E5439" s="7" t="s">
        <v>26</v>
      </c>
      <c r="F5439" s="7" t="s">
        <v>10880</v>
      </c>
      <c r="G5439" s="7" t="n">
        <v>2014</v>
      </c>
      <c r="H5439" s="7" t="s">
        <v>51</v>
      </c>
      <c r="I5439" s="7" t="s">
        <v>417</v>
      </c>
      <c r="J5439" s="7" t="s">
        <v>39</v>
      </c>
      <c r="K5439" s="7" t="n">
        <f aca="false">IFERROR(VALUE(RIGHT(TRIM(F5439),4)),"")</f>
        <v>2017</v>
      </c>
      <c r="L5439" s="7" t="str">
        <f aca="false">IF(TRIM(E5439)="","Unknown",IFERROR(LEFT(TRIM(E5439),FIND(",",TRIM(E5439))-1),TRIM(E5439)))</f>
        <v>United States</v>
      </c>
      <c r="M5439" s="7" t="str">
        <f aca="false">IFERROR(LEFT(J5439,FIND(",",J5439)-1),J5439)</f>
        <v>Documentaries</v>
      </c>
      <c r="N5439" s="7" t="n">
        <f aca="false">IF(B5439="Movie",IFERROR(VALUE(LEFT(I5439,FIND(" ",I5439)-1)),""),"")</f>
        <v>104</v>
      </c>
      <c r="O5439" s="7" t="str">
        <f aca="false">IF(B5439="TV Show",IFERROR(VALUE(LEFT(I5439,FIND(" ",I5439)-1)),""),"")</f>
        <v/>
      </c>
      <c r="P5439" s="7" t="n">
        <f aca="false">IF(K5439="","",K5439-G5439)</f>
        <v>3</v>
      </c>
    </row>
    <row r="5440" customFormat="false" ht="15" hidden="false" customHeight="false" outlineLevel="0" collapsed="false">
      <c r="A5440" s="7" t="n">
        <v>80156856</v>
      </c>
      <c r="B5440" s="7" t="s">
        <v>68</v>
      </c>
      <c r="C5440" s="7" t="s">
        <v>2247</v>
      </c>
      <c r="D5440" s="7" t="s">
        <v>10888</v>
      </c>
      <c r="E5440" s="7" t="s">
        <v>129</v>
      </c>
      <c r="F5440" s="7" t="s">
        <v>10880</v>
      </c>
      <c r="G5440" s="7" t="n">
        <v>2016</v>
      </c>
      <c r="H5440" s="7" t="s">
        <v>48</v>
      </c>
      <c r="I5440" s="7" t="s">
        <v>87</v>
      </c>
      <c r="J5440" s="7" t="s">
        <v>202</v>
      </c>
      <c r="K5440" s="7" t="n">
        <f aca="false">IFERROR(VALUE(RIGHT(TRIM(F5440),4)),"")</f>
        <v>2017</v>
      </c>
      <c r="L5440" s="7" t="str">
        <f aca="false">IF(TRIM(E5440)="","Unknown",IFERROR(LEFT(TRIM(E5440),FIND(",",TRIM(E5440))-1),TRIM(E5440)))</f>
        <v>France</v>
      </c>
      <c r="M5440" s="7" t="str">
        <f aca="false">IFERROR(LEFT(J5440,FIND(",",J5440)-1),J5440)</f>
        <v>Comedies</v>
      </c>
      <c r="N5440" s="7" t="n">
        <f aca="false">IF(B5440="Movie",IFERROR(VALUE(LEFT(I5440,FIND(" ",I5440)-1)),""),"")</f>
        <v>99</v>
      </c>
      <c r="O5440" s="7" t="str">
        <f aca="false">IF(B5440="TV Show",IFERROR(VALUE(LEFT(I5440,FIND(" ",I5440)-1)),""),"")</f>
        <v/>
      </c>
      <c r="P5440" s="7" t="n">
        <f aca="false">IF(K5440="","",K5440-G5440)</f>
        <v>1</v>
      </c>
    </row>
    <row r="5441" customFormat="false" ht="15" hidden="false" customHeight="false" outlineLevel="0" collapsed="false">
      <c r="A5441" s="7" t="n">
        <v>81041391</v>
      </c>
      <c r="B5441" s="7" t="s">
        <v>68</v>
      </c>
      <c r="C5441" s="7" t="s">
        <v>10889</v>
      </c>
      <c r="D5441" s="7" t="s">
        <v>10890</v>
      </c>
      <c r="E5441" s="7" t="s">
        <v>10891</v>
      </c>
      <c r="F5441" s="7" t="s">
        <v>10892</v>
      </c>
      <c r="G5441" s="7" t="n">
        <v>2019</v>
      </c>
      <c r="H5441" s="7" t="s">
        <v>48</v>
      </c>
      <c r="I5441" s="7" t="s">
        <v>111</v>
      </c>
      <c r="J5441" s="7" t="s">
        <v>304</v>
      </c>
      <c r="K5441" s="7" t="n">
        <f aca="false">IFERROR(VALUE(RIGHT(TRIM(F5441),4)),"")</f>
        <v>2019</v>
      </c>
      <c r="L5441" s="7" t="str">
        <f aca="false">IF(TRIM(E5441)="","Unknown",IFERROR(LEFT(TRIM(E5441),FIND(",",TRIM(E5441))-1),TRIM(E5441)))</f>
        <v>France</v>
      </c>
      <c r="M5441" s="7" t="str">
        <f aca="false">IFERROR(LEFT(J5441,FIND(",",J5441)-1),J5441)</f>
        <v>Dramas</v>
      </c>
      <c r="N5441" s="7" t="n">
        <f aca="false">IF(B5441="Movie",IFERROR(VALUE(LEFT(I5441,FIND(" ",I5441)-1)),""),"")</f>
        <v>95</v>
      </c>
      <c r="O5441" s="7" t="str">
        <f aca="false">IF(B5441="TV Show",IFERROR(VALUE(LEFT(I5441,FIND(" ",I5441)-1)),""),"")</f>
        <v/>
      </c>
      <c r="P5441" s="7" t="n">
        <f aca="false">IF(K5441="","",K5441-G5441)</f>
        <v>0</v>
      </c>
    </row>
    <row r="5442" customFormat="false" ht="15" hidden="false" customHeight="false" outlineLevel="0" collapsed="false">
      <c r="A5442" s="7" t="n">
        <v>81018120</v>
      </c>
      <c r="B5442" s="7" t="s">
        <v>68</v>
      </c>
      <c r="C5442" s="7" t="s">
        <v>10893</v>
      </c>
      <c r="D5442" s="7" t="s">
        <v>9757</v>
      </c>
      <c r="E5442" s="7" t="s">
        <v>33</v>
      </c>
      <c r="F5442" s="7" t="s">
        <v>10892</v>
      </c>
      <c r="G5442" s="7" t="n">
        <v>2019</v>
      </c>
      <c r="H5442" s="7" t="s">
        <v>48</v>
      </c>
      <c r="I5442" s="7" t="s">
        <v>77</v>
      </c>
      <c r="J5442" s="7" t="s">
        <v>304</v>
      </c>
      <c r="K5442" s="7" t="n">
        <f aca="false">IFERROR(VALUE(RIGHT(TRIM(F5442),4)),"")</f>
        <v>2019</v>
      </c>
      <c r="L5442" s="7" t="str">
        <f aca="false">IF(TRIM(E5442)="","Unknown",IFERROR(LEFT(TRIM(E5442),FIND(",",TRIM(E5442))-1),TRIM(E5442)))</f>
        <v>Spain</v>
      </c>
      <c r="M5442" s="7" t="str">
        <f aca="false">IFERROR(LEFT(J5442,FIND(",",J5442)-1),J5442)</f>
        <v>Dramas</v>
      </c>
      <c r="N5442" s="7" t="n">
        <f aca="false">IF(B5442="Movie",IFERROR(VALUE(LEFT(I5442,FIND(" ",I5442)-1)),""),"")</f>
        <v>94</v>
      </c>
      <c r="O5442" s="7" t="str">
        <f aca="false">IF(B5442="TV Show",IFERROR(VALUE(LEFT(I5442,FIND(" ",I5442)-1)),""),"")</f>
        <v/>
      </c>
      <c r="P5442" s="7" t="n">
        <f aca="false">IF(K5442="","",K5442-G5442)</f>
        <v>0</v>
      </c>
    </row>
    <row r="5443" customFormat="false" ht="15" hidden="false" customHeight="false" outlineLevel="0" collapsed="false">
      <c r="A5443" s="7" t="n">
        <v>80240213</v>
      </c>
      <c r="B5443" s="7" t="s">
        <v>78</v>
      </c>
      <c r="C5443" s="7" t="s">
        <v>10894</v>
      </c>
      <c r="F5443" s="7" t="s">
        <v>10895</v>
      </c>
      <c r="G5443" s="7" t="n">
        <v>2016</v>
      </c>
      <c r="H5443" s="7" t="s">
        <v>48</v>
      </c>
      <c r="I5443" s="7" t="s">
        <v>82</v>
      </c>
      <c r="J5443" s="7" t="s">
        <v>158</v>
      </c>
      <c r="K5443" s="7" t="n">
        <f aca="false">IFERROR(VALUE(RIGHT(TRIM(F5443),4)),"")</f>
        <v>2018</v>
      </c>
      <c r="L5443" s="7" t="str">
        <f aca="false">IF(TRIM(E5443)="","Unknown",IFERROR(LEFT(TRIM(E5443),FIND(",",TRIM(E5443))-1),TRIM(E5443)))</f>
        <v>Unknown</v>
      </c>
      <c r="M5443" s="7" t="str">
        <f aca="false">IFERROR(LEFT(J5443,FIND(",",J5443)-1),J5443)</f>
        <v>International TV Shows</v>
      </c>
      <c r="N5443" s="7" t="str">
        <f aca="false">IF(B5443="Movie",IFERROR(VALUE(LEFT(I5443,FIND(" ",I5443)-1)),""),"")</f>
        <v/>
      </c>
      <c r="O5443" s="7" t="n">
        <f aca="false">IF(B5443="TV Show",IFERROR(VALUE(LEFT(I5443,FIND(" ",I5443)-1)),""),"")</f>
        <v>1</v>
      </c>
      <c r="P5443" s="7" t="n">
        <f aca="false">IF(K5443="","",K5443-G5443)</f>
        <v>2</v>
      </c>
    </row>
    <row r="5444" customFormat="false" ht="15" hidden="false" customHeight="false" outlineLevel="0" collapsed="false">
      <c r="A5444" s="7" t="n">
        <v>80152625</v>
      </c>
      <c r="B5444" s="7" t="s">
        <v>68</v>
      </c>
      <c r="C5444" s="7" t="s">
        <v>10896</v>
      </c>
      <c r="D5444" s="7" t="s">
        <v>10897</v>
      </c>
      <c r="E5444" s="7" t="s">
        <v>26</v>
      </c>
      <c r="F5444" s="7" t="s">
        <v>10895</v>
      </c>
      <c r="G5444" s="7" t="n">
        <v>2018</v>
      </c>
      <c r="H5444" s="7" t="s">
        <v>49</v>
      </c>
      <c r="I5444" s="7" t="s">
        <v>820</v>
      </c>
      <c r="J5444" s="7" t="s">
        <v>10898</v>
      </c>
      <c r="K5444" s="7" t="n">
        <f aca="false">IFERROR(VALUE(RIGHT(TRIM(F5444),4)),"")</f>
        <v>2018</v>
      </c>
      <c r="L5444" s="7" t="str">
        <f aca="false">IF(TRIM(E5444)="","Unknown",IFERROR(LEFT(TRIM(E5444),FIND(",",TRIM(E5444))-1),TRIM(E5444)))</f>
        <v>United States</v>
      </c>
      <c r="M5444" s="7" t="str">
        <f aca="false">IFERROR(LEFT(J5444,FIND(",",J5444)-1),J5444)</f>
        <v>Dramas</v>
      </c>
      <c r="N5444" s="7" t="n">
        <f aca="false">IF(B5444="Movie",IFERROR(VALUE(LEFT(I5444,FIND(" ",I5444)-1)),""),"")</f>
        <v>105</v>
      </c>
      <c r="O5444" s="7" t="str">
        <f aca="false">IF(B5444="TV Show",IFERROR(VALUE(LEFT(I5444,FIND(" ",I5444)-1)),""),"")</f>
        <v/>
      </c>
      <c r="P5444" s="7" t="n">
        <f aca="false">IF(K5444="","",K5444-G5444)</f>
        <v>0</v>
      </c>
    </row>
    <row r="5445" customFormat="false" ht="15" hidden="false" customHeight="false" outlineLevel="0" collapsed="false">
      <c r="A5445" s="7" t="n">
        <v>80175421</v>
      </c>
      <c r="B5445" s="7" t="s">
        <v>68</v>
      </c>
      <c r="C5445" s="7" t="s">
        <v>10899</v>
      </c>
      <c r="D5445" s="7" t="s">
        <v>10900</v>
      </c>
      <c r="E5445" s="7" t="s">
        <v>31</v>
      </c>
      <c r="F5445" s="7" t="s">
        <v>10895</v>
      </c>
      <c r="G5445" s="7" t="n">
        <v>2018</v>
      </c>
      <c r="H5445" s="7" t="s">
        <v>48</v>
      </c>
      <c r="I5445" s="7" t="s">
        <v>87</v>
      </c>
      <c r="J5445" s="7" t="s">
        <v>206</v>
      </c>
      <c r="K5445" s="7" t="n">
        <f aca="false">IFERROR(VALUE(RIGHT(TRIM(F5445),4)),"")</f>
        <v>2018</v>
      </c>
      <c r="L5445" s="7" t="str">
        <f aca="false">IF(TRIM(E5445)="","Unknown",IFERROR(LEFT(TRIM(E5445),FIND(",",TRIM(E5445))-1),TRIM(E5445)))</f>
        <v>France</v>
      </c>
      <c r="M5445" s="7" t="str">
        <f aca="false">IFERROR(LEFT(J5445,FIND(",",J5445)-1),J5445)</f>
        <v>Comedies</v>
      </c>
      <c r="N5445" s="7" t="n">
        <f aca="false">IF(B5445="Movie",IFERROR(VALUE(LEFT(I5445,FIND(" ",I5445)-1)),""),"")</f>
        <v>99</v>
      </c>
      <c r="O5445" s="7" t="str">
        <f aca="false">IF(B5445="TV Show",IFERROR(VALUE(LEFT(I5445,FIND(" ",I5445)-1)),""),"")</f>
        <v/>
      </c>
      <c r="P5445" s="7" t="n">
        <f aca="false">IF(K5445="","",K5445-G5445)</f>
        <v>0</v>
      </c>
    </row>
    <row r="5446" customFormat="false" ht="15" hidden="false" customHeight="false" outlineLevel="0" collapsed="false">
      <c r="A5446" s="7" t="n">
        <v>80104198</v>
      </c>
      <c r="B5446" s="7" t="s">
        <v>78</v>
      </c>
      <c r="C5446" s="7" t="s">
        <v>10901</v>
      </c>
      <c r="E5446" s="7" t="s">
        <v>26</v>
      </c>
      <c r="F5446" s="7" t="s">
        <v>10895</v>
      </c>
      <c r="G5446" s="7" t="n">
        <v>2018</v>
      </c>
      <c r="H5446" s="7" t="s">
        <v>50</v>
      </c>
      <c r="I5446" s="7" t="s">
        <v>82</v>
      </c>
      <c r="J5446" s="7" t="s">
        <v>846</v>
      </c>
      <c r="K5446" s="7" t="n">
        <f aca="false">IFERROR(VALUE(RIGHT(TRIM(F5446),4)),"")</f>
        <v>2018</v>
      </c>
      <c r="L5446" s="7" t="str">
        <f aca="false">IF(TRIM(E5446)="","Unknown",IFERROR(LEFT(TRIM(E5446),FIND(",",TRIM(E5446))-1),TRIM(E5446)))</f>
        <v>United States</v>
      </c>
      <c r="M5446" s="7" t="str">
        <f aca="false">IFERROR(LEFT(J5446,FIND(",",J5446)-1),J5446)</f>
        <v>TV Action &amp; Adventure</v>
      </c>
      <c r="N5446" s="7" t="str">
        <f aca="false">IF(B5446="Movie",IFERROR(VALUE(LEFT(I5446,FIND(" ",I5446)-1)),""),"")</f>
        <v/>
      </c>
      <c r="O5446" s="7" t="n">
        <f aca="false">IF(B5446="TV Show",IFERROR(VALUE(LEFT(I5446,FIND(" ",I5446)-1)),""),"")</f>
        <v>1</v>
      </c>
      <c r="P5446" s="7" t="n">
        <f aca="false">IF(K5446="","",K5446-G5446)</f>
        <v>0</v>
      </c>
    </row>
    <row r="5447" customFormat="false" ht="15" hidden="false" customHeight="false" outlineLevel="0" collapsed="false">
      <c r="A5447" s="7" t="n">
        <v>80239864</v>
      </c>
      <c r="B5447" s="7" t="s">
        <v>78</v>
      </c>
      <c r="C5447" s="7" t="s">
        <v>10902</v>
      </c>
      <c r="F5447" s="7" t="s">
        <v>10895</v>
      </c>
      <c r="G5447" s="7" t="n">
        <v>2016</v>
      </c>
      <c r="H5447" s="7" t="s">
        <v>48</v>
      </c>
      <c r="I5447" s="7" t="s">
        <v>82</v>
      </c>
      <c r="J5447" s="7" t="s">
        <v>314</v>
      </c>
      <c r="K5447" s="7" t="n">
        <f aca="false">IFERROR(VALUE(RIGHT(TRIM(F5447),4)),"")</f>
        <v>2018</v>
      </c>
      <c r="L5447" s="7" t="str">
        <f aca="false">IF(TRIM(E5447)="","Unknown",IFERROR(LEFT(TRIM(E5447),FIND(",",TRIM(E5447))-1),TRIM(E5447)))</f>
        <v>Unknown</v>
      </c>
      <c r="M5447" s="7" t="str">
        <f aca="false">IFERROR(LEFT(J5447,FIND(",",J5447)-1),J5447)</f>
        <v>International TV Shows</v>
      </c>
      <c r="N5447" s="7" t="str">
        <f aca="false">IF(B5447="Movie",IFERROR(VALUE(LEFT(I5447,FIND(" ",I5447)-1)),""),"")</f>
        <v/>
      </c>
      <c r="O5447" s="7" t="n">
        <f aca="false">IF(B5447="TV Show",IFERROR(VALUE(LEFT(I5447,FIND(" ",I5447)-1)),""),"")</f>
        <v>1</v>
      </c>
      <c r="P5447" s="7" t="n">
        <f aca="false">IF(K5447="","",K5447-G5447)</f>
        <v>2</v>
      </c>
    </row>
    <row r="5448" customFormat="false" ht="15" hidden="false" customHeight="false" outlineLevel="0" collapsed="false">
      <c r="A5448" s="7" t="n">
        <v>80108518</v>
      </c>
      <c r="B5448" s="7" t="s">
        <v>68</v>
      </c>
      <c r="C5448" s="7" t="s">
        <v>10903</v>
      </c>
      <c r="D5448" s="7" t="s">
        <v>4205</v>
      </c>
      <c r="E5448" s="7" t="s">
        <v>27</v>
      </c>
      <c r="F5448" s="7" t="s">
        <v>10904</v>
      </c>
      <c r="G5448" s="7" t="n">
        <v>2016</v>
      </c>
      <c r="H5448" s="7" t="s">
        <v>50</v>
      </c>
      <c r="I5448" s="7" t="s">
        <v>2053</v>
      </c>
      <c r="J5448" s="7" t="s">
        <v>1003</v>
      </c>
      <c r="K5448" s="7" t="n">
        <f aca="false">IFERROR(VALUE(RIGHT(TRIM(F5448),4)),"")</f>
        <v>2019</v>
      </c>
      <c r="L5448" s="7" t="str">
        <f aca="false">IF(TRIM(E5448)="","Unknown",IFERROR(LEFT(TRIM(E5448),FIND(",",TRIM(E5448))-1),TRIM(E5448)))</f>
        <v>India</v>
      </c>
      <c r="M5448" s="7" t="str">
        <f aca="false">IFERROR(LEFT(J5448,FIND(",",J5448)-1),J5448)</f>
        <v>Dramas</v>
      </c>
      <c r="N5448" s="7" t="n">
        <f aca="false">IF(B5448="Movie",IFERROR(VALUE(LEFT(I5448,FIND(" ",I5448)-1)),""),"")</f>
        <v>129</v>
      </c>
      <c r="O5448" s="7" t="str">
        <f aca="false">IF(B5448="TV Show",IFERROR(VALUE(LEFT(I5448,FIND(" ",I5448)-1)),""),"")</f>
        <v/>
      </c>
      <c r="P5448" s="7" t="n">
        <f aca="false">IF(K5448="","",K5448-G5448)</f>
        <v>3</v>
      </c>
    </row>
    <row r="5449" customFormat="false" ht="15" hidden="false" customHeight="false" outlineLevel="0" collapsed="false">
      <c r="A5449" s="7" t="n">
        <v>80172002</v>
      </c>
      <c r="B5449" s="7" t="s">
        <v>68</v>
      </c>
      <c r="C5449" s="7" t="s">
        <v>10905</v>
      </c>
      <c r="D5449" s="7" t="s">
        <v>10906</v>
      </c>
      <c r="E5449" s="7" t="s">
        <v>26</v>
      </c>
      <c r="F5449" s="7" t="s">
        <v>10904</v>
      </c>
      <c r="G5449" s="7" t="n">
        <v>2017</v>
      </c>
      <c r="H5449" s="7" t="s">
        <v>51</v>
      </c>
      <c r="I5449" s="7" t="s">
        <v>77</v>
      </c>
      <c r="J5449" s="7" t="s">
        <v>198</v>
      </c>
      <c r="K5449" s="7" t="n">
        <f aca="false">IFERROR(VALUE(RIGHT(TRIM(F5449),4)),"")</f>
        <v>2019</v>
      </c>
      <c r="L5449" s="7" t="str">
        <f aca="false">IF(TRIM(E5449)="","Unknown",IFERROR(LEFT(TRIM(E5449),FIND(",",TRIM(E5449))-1),TRIM(E5449)))</f>
        <v>United States</v>
      </c>
      <c r="M5449" s="7" t="str">
        <f aca="false">IFERROR(LEFT(J5449,FIND(",",J5449)-1),J5449)</f>
        <v>Comedies</v>
      </c>
      <c r="N5449" s="7" t="n">
        <f aca="false">IF(B5449="Movie",IFERROR(VALUE(LEFT(I5449,FIND(" ",I5449)-1)),""),"")</f>
        <v>94</v>
      </c>
      <c r="O5449" s="7" t="str">
        <f aca="false">IF(B5449="TV Show",IFERROR(VALUE(LEFT(I5449,FIND(" ",I5449)-1)),""),"")</f>
        <v/>
      </c>
      <c r="P5449" s="7" t="n">
        <f aca="false">IF(K5449="","",K5449-G5449)</f>
        <v>2</v>
      </c>
    </row>
    <row r="5450" customFormat="false" ht="15" hidden="false" customHeight="false" outlineLevel="0" collapsed="false">
      <c r="A5450" s="7" t="n">
        <v>81019144</v>
      </c>
      <c r="B5450" s="7" t="s">
        <v>68</v>
      </c>
      <c r="C5450" s="7" t="s">
        <v>10907</v>
      </c>
      <c r="D5450" s="7" t="s">
        <v>10908</v>
      </c>
      <c r="E5450" s="7" t="s">
        <v>6900</v>
      </c>
      <c r="F5450" s="7" t="s">
        <v>10904</v>
      </c>
      <c r="G5450" s="7" t="n">
        <v>2018</v>
      </c>
      <c r="H5450" s="7" t="s">
        <v>48</v>
      </c>
      <c r="I5450" s="7" t="s">
        <v>330</v>
      </c>
      <c r="J5450" s="7" t="s">
        <v>322</v>
      </c>
      <c r="K5450" s="7" t="n">
        <f aca="false">IFERROR(VALUE(RIGHT(TRIM(F5450),4)),"")</f>
        <v>2019</v>
      </c>
      <c r="L5450" s="7" t="str">
        <f aca="false">IF(TRIM(E5450)="","Unknown",IFERROR(LEFT(TRIM(E5450),FIND(",",TRIM(E5450))-1),TRIM(E5450)))</f>
        <v>Indonesia</v>
      </c>
      <c r="M5450" s="7" t="str">
        <f aca="false">IFERROR(LEFT(J5450,FIND(",",J5450)-1),J5450)</f>
        <v>Action &amp; Adventure</v>
      </c>
      <c r="N5450" s="7" t="n">
        <f aca="false">IF(B5450="Movie",IFERROR(VALUE(LEFT(I5450,FIND(" ",I5450)-1)),""),"")</f>
        <v>103</v>
      </c>
      <c r="O5450" s="7" t="str">
        <f aca="false">IF(B5450="TV Show",IFERROR(VALUE(LEFT(I5450,FIND(" ",I5450)-1)),""),"")</f>
        <v/>
      </c>
      <c r="P5450" s="7" t="n">
        <f aca="false">IF(K5450="","",K5450-G5450)</f>
        <v>1</v>
      </c>
    </row>
    <row r="5451" customFormat="false" ht="15" hidden="false" customHeight="false" outlineLevel="0" collapsed="false">
      <c r="A5451" s="7" t="n">
        <v>81043540</v>
      </c>
      <c r="B5451" s="7" t="s">
        <v>68</v>
      </c>
      <c r="C5451" s="7" t="s">
        <v>10909</v>
      </c>
      <c r="D5451" s="7" t="s">
        <v>10781</v>
      </c>
      <c r="E5451" s="7" t="s">
        <v>396</v>
      </c>
      <c r="F5451" s="7" t="s">
        <v>10904</v>
      </c>
      <c r="G5451" s="7" t="n">
        <v>2014</v>
      </c>
      <c r="H5451" s="7" t="s">
        <v>48</v>
      </c>
      <c r="I5451" s="7" t="s">
        <v>201</v>
      </c>
      <c r="J5451" s="7" t="s">
        <v>169</v>
      </c>
      <c r="K5451" s="7" t="n">
        <f aca="false">IFERROR(VALUE(RIGHT(TRIM(F5451),4)),"")</f>
        <v>2019</v>
      </c>
      <c r="L5451" s="7" t="str">
        <f aca="false">IF(TRIM(E5451)="","Unknown",IFERROR(LEFT(TRIM(E5451),FIND(",",TRIM(E5451))-1),TRIM(E5451)))</f>
        <v>Turkey</v>
      </c>
      <c r="M5451" s="7" t="str">
        <f aca="false">IFERROR(LEFT(J5451,FIND(",",J5451)-1),J5451)</f>
        <v>Horror Movies</v>
      </c>
      <c r="N5451" s="7" t="n">
        <f aca="false">IF(B5451="Movie",IFERROR(VALUE(LEFT(I5451,FIND(" ",I5451)-1)),""),"")</f>
        <v>133</v>
      </c>
      <c r="O5451" s="7" t="str">
        <f aca="false">IF(B5451="TV Show",IFERROR(VALUE(LEFT(I5451,FIND(" ",I5451)-1)),""),"")</f>
        <v/>
      </c>
      <c r="P5451" s="7" t="n">
        <f aca="false">IF(K5451="","",K5451-G5451)</f>
        <v>5</v>
      </c>
    </row>
    <row r="5452" customFormat="false" ht="15" hidden="false" customHeight="false" outlineLevel="0" collapsed="false">
      <c r="A5452" s="7" t="n">
        <v>81043541</v>
      </c>
      <c r="B5452" s="7" t="s">
        <v>68</v>
      </c>
      <c r="C5452" s="7" t="s">
        <v>10910</v>
      </c>
      <c r="D5452" s="7" t="s">
        <v>10781</v>
      </c>
      <c r="E5452" s="7" t="s">
        <v>396</v>
      </c>
      <c r="F5452" s="7" t="s">
        <v>10904</v>
      </c>
      <c r="G5452" s="7" t="n">
        <v>2013</v>
      </c>
      <c r="H5452" s="7" t="s">
        <v>48</v>
      </c>
      <c r="I5452" s="7" t="s">
        <v>130</v>
      </c>
      <c r="J5452" s="7" t="s">
        <v>169</v>
      </c>
      <c r="K5452" s="7" t="n">
        <f aca="false">IFERROR(VALUE(RIGHT(TRIM(F5452),4)),"")</f>
        <v>2019</v>
      </c>
      <c r="L5452" s="7" t="str">
        <f aca="false">IF(TRIM(E5452)="","Unknown",IFERROR(LEFT(TRIM(E5452),FIND(",",TRIM(E5452))-1),TRIM(E5452)))</f>
        <v>Turkey</v>
      </c>
      <c r="M5452" s="7" t="str">
        <f aca="false">IFERROR(LEFT(J5452,FIND(",",J5452)-1),J5452)</f>
        <v>Horror Movies</v>
      </c>
      <c r="N5452" s="7" t="n">
        <f aca="false">IF(B5452="Movie",IFERROR(VALUE(LEFT(I5452,FIND(" ",I5452)-1)),""),"")</f>
        <v>135</v>
      </c>
      <c r="O5452" s="7" t="str">
        <f aca="false">IF(B5452="TV Show",IFERROR(VALUE(LEFT(I5452,FIND(" ",I5452)-1)),""),"")</f>
        <v/>
      </c>
      <c r="P5452" s="7" t="n">
        <f aca="false">IF(K5452="","",K5452-G5452)</f>
        <v>6</v>
      </c>
    </row>
    <row r="5453" customFormat="false" ht="15" hidden="false" customHeight="false" outlineLevel="0" collapsed="false">
      <c r="A5453" s="7" t="n">
        <v>81041272</v>
      </c>
      <c r="B5453" s="7" t="s">
        <v>68</v>
      </c>
      <c r="C5453" s="7" t="s">
        <v>10911</v>
      </c>
      <c r="E5453" s="7" t="s">
        <v>855</v>
      </c>
      <c r="F5453" s="7" t="s">
        <v>10904</v>
      </c>
      <c r="G5453" s="7" t="n">
        <v>2019</v>
      </c>
      <c r="H5453" s="7" t="s">
        <v>48</v>
      </c>
      <c r="I5453" s="7" t="s">
        <v>123</v>
      </c>
      <c r="J5453" s="7" t="s">
        <v>45</v>
      </c>
      <c r="K5453" s="7" t="n">
        <f aca="false">IFERROR(VALUE(RIGHT(TRIM(F5453),4)),"")</f>
        <v>2019</v>
      </c>
      <c r="L5453" s="7" t="str">
        <f aca="false">IF(TRIM(E5453)="","Unknown",IFERROR(LEFT(TRIM(E5453),FIND(",",TRIM(E5453))-1),TRIM(E5453)))</f>
        <v>Italy</v>
      </c>
      <c r="M5453" s="7" t="str">
        <f aca="false">IFERROR(LEFT(J5453,FIND(",",J5453)-1),J5453)</f>
        <v>Stand-Up Comedy</v>
      </c>
      <c r="N5453" s="7" t="n">
        <f aca="false">IF(B5453="Movie",IFERROR(VALUE(LEFT(I5453,FIND(" ",I5453)-1)),""),"")</f>
        <v>61</v>
      </c>
      <c r="O5453" s="7" t="str">
        <f aca="false">IF(B5453="TV Show",IFERROR(VALUE(LEFT(I5453,FIND(" ",I5453)-1)),""),"")</f>
        <v/>
      </c>
      <c r="P5453" s="7" t="n">
        <f aca="false">IF(K5453="","",K5453-G5453)</f>
        <v>0</v>
      </c>
    </row>
    <row r="5454" customFormat="false" ht="15" hidden="false" customHeight="false" outlineLevel="0" collapsed="false">
      <c r="A5454" s="7" t="n">
        <v>80170483</v>
      </c>
      <c r="B5454" s="7" t="s">
        <v>68</v>
      </c>
      <c r="C5454" s="7" t="s">
        <v>10912</v>
      </c>
      <c r="D5454" s="7" t="s">
        <v>10913</v>
      </c>
      <c r="E5454" s="7" t="s">
        <v>27</v>
      </c>
      <c r="F5454" s="7" t="s">
        <v>10904</v>
      </c>
      <c r="G5454" s="7" t="n">
        <v>2013</v>
      </c>
      <c r="H5454" s="7" t="s">
        <v>48</v>
      </c>
      <c r="I5454" s="7" t="s">
        <v>340</v>
      </c>
      <c r="J5454" s="7" t="s">
        <v>169</v>
      </c>
      <c r="K5454" s="7" t="n">
        <f aca="false">IFERROR(VALUE(RIGHT(TRIM(F5454),4)),"")</f>
        <v>2019</v>
      </c>
      <c r="L5454" s="7" t="str">
        <f aca="false">IF(TRIM(E5454)="","Unknown",IFERROR(LEFT(TRIM(E5454),FIND(",",TRIM(E5454))-1),TRIM(E5454)))</f>
        <v>India</v>
      </c>
      <c r="M5454" s="7" t="str">
        <f aca="false">IFERROR(LEFT(J5454,FIND(",",J5454)-1),J5454)</f>
        <v>Horror Movies</v>
      </c>
      <c r="N5454" s="7" t="n">
        <f aca="false">IF(B5454="Movie",IFERROR(VALUE(LEFT(I5454,FIND(" ",I5454)-1)),""),"")</f>
        <v>85</v>
      </c>
      <c r="O5454" s="7" t="str">
        <f aca="false">IF(B5454="TV Show",IFERROR(VALUE(LEFT(I5454,FIND(" ",I5454)-1)),""),"")</f>
        <v/>
      </c>
      <c r="P5454" s="7" t="n">
        <f aca="false">IF(K5454="","",K5454-G5454)</f>
        <v>6</v>
      </c>
    </row>
    <row r="5455" customFormat="false" ht="15" hidden="false" customHeight="false" outlineLevel="0" collapsed="false">
      <c r="A5455" s="7" t="n">
        <v>80211621</v>
      </c>
      <c r="B5455" s="7" t="s">
        <v>78</v>
      </c>
      <c r="C5455" s="7" t="s">
        <v>10914</v>
      </c>
      <c r="E5455" s="7" t="s">
        <v>26</v>
      </c>
      <c r="F5455" s="7" t="s">
        <v>10904</v>
      </c>
      <c r="G5455" s="7" t="n">
        <v>2019</v>
      </c>
      <c r="H5455" s="7" t="s">
        <v>48</v>
      </c>
      <c r="I5455" s="7" t="s">
        <v>82</v>
      </c>
      <c r="J5455" s="7" t="s">
        <v>289</v>
      </c>
      <c r="K5455" s="7" t="n">
        <f aca="false">IFERROR(VALUE(RIGHT(TRIM(F5455),4)),"")</f>
        <v>2019</v>
      </c>
      <c r="L5455" s="7" t="str">
        <f aca="false">IF(TRIM(E5455)="","Unknown",IFERROR(LEFT(TRIM(E5455),FIND(",",TRIM(E5455))-1),TRIM(E5455)))</f>
        <v>United States</v>
      </c>
      <c r="M5455" s="7" t="str">
        <f aca="false">IFERROR(LEFT(J5455,FIND(",",J5455)-1),J5455)</f>
        <v>TV Comedies</v>
      </c>
      <c r="N5455" s="7" t="str">
        <f aca="false">IF(B5455="Movie",IFERROR(VALUE(LEFT(I5455,FIND(" ",I5455)-1)),""),"")</f>
        <v/>
      </c>
      <c r="O5455" s="7" t="n">
        <f aca="false">IF(B5455="TV Show",IFERROR(VALUE(LEFT(I5455,FIND(" ",I5455)-1)),""),"")</f>
        <v>1</v>
      </c>
      <c r="P5455" s="7" t="n">
        <f aca="false">IF(K5455="","",K5455-G5455)</f>
        <v>0</v>
      </c>
    </row>
    <row r="5456" customFormat="false" ht="15" hidden="false" customHeight="false" outlineLevel="0" collapsed="false">
      <c r="A5456" s="7" t="n">
        <v>80987458</v>
      </c>
      <c r="B5456" s="7" t="s">
        <v>78</v>
      </c>
      <c r="C5456" s="7" t="s">
        <v>10915</v>
      </c>
      <c r="E5456" s="7" t="s">
        <v>26</v>
      </c>
      <c r="F5456" s="7" t="s">
        <v>10904</v>
      </c>
      <c r="G5456" s="7" t="n">
        <v>2019</v>
      </c>
      <c r="H5456" s="7" t="s">
        <v>48</v>
      </c>
      <c r="I5456" s="7" t="s">
        <v>82</v>
      </c>
      <c r="J5456" s="7" t="s">
        <v>289</v>
      </c>
      <c r="K5456" s="7" t="n">
        <f aca="false">IFERROR(VALUE(RIGHT(TRIM(F5456),4)),"")</f>
        <v>2019</v>
      </c>
      <c r="L5456" s="7" t="str">
        <f aca="false">IF(TRIM(E5456)="","Unknown",IFERROR(LEFT(TRIM(E5456),FIND(",",TRIM(E5456))-1),TRIM(E5456)))</f>
        <v>United States</v>
      </c>
      <c r="M5456" s="7" t="str">
        <f aca="false">IFERROR(LEFT(J5456,FIND(",",J5456)-1),J5456)</f>
        <v>TV Comedies</v>
      </c>
      <c r="N5456" s="7" t="str">
        <f aca="false">IF(B5456="Movie",IFERROR(VALUE(LEFT(I5456,FIND(" ",I5456)-1)),""),"")</f>
        <v/>
      </c>
      <c r="O5456" s="7" t="n">
        <f aca="false">IF(B5456="TV Show",IFERROR(VALUE(LEFT(I5456,FIND(" ",I5456)-1)),""),"")</f>
        <v>1</v>
      </c>
      <c r="P5456" s="7" t="n">
        <f aca="false">IF(K5456="","",K5456-G5456)</f>
        <v>0</v>
      </c>
    </row>
    <row r="5457" customFormat="false" ht="15" hidden="false" customHeight="false" outlineLevel="0" collapsed="false">
      <c r="A5457" s="7" t="n">
        <v>81019888</v>
      </c>
      <c r="B5457" s="7" t="s">
        <v>68</v>
      </c>
      <c r="C5457" s="7" t="s">
        <v>10916</v>
      </c>
      <c r="D5457" s="7" t="s">
        <v>10917</v>
      </c>
      <c r="E5457" s="7" t="s">
        <v>26</v>
      </c>
      <c r="F5457" s="7" t="s">
        <v>10904</v>
      </c>
      <c r="G5457" s="7" t="n">
        <v>2019</v>
      </c>
      <c r="H5457" s="7" t="s">
        <v>49</v>
      </c>
      <c r="I5457" s="7" t="s">
        <v>470</v>
      </c>
      <c r="J5457" s="7" t="s">
        <v>177</v>
      </c>
      <c r="K5457" s="7" t="n">
        <f aca="false">IFERROR(VALUE(RIGHT(TRIM(F5457),4)),"")</f>
        <v>2019</v>
      </c>
      <c r="L5457" s="7" t="str">
        <f aca="false">IF(TRIM(E5457)="","Unknown",IFERROR(LEFT(TRIM(E5457),FIND(",",TRIM(E5457))-1),TRIM(E5457)))</f>
        <v>United States</v>
      </c>
      <c r="M5457" s="7" t="str">
        <f aca="false">IFERROR(LEFT(J5457,FIND(",",J5457)-1),J5457)</f>
        <v>Comedies</v>
      </c>
      <c r="N5457" s="7" t="n">
        <f aca="false">IF(B5457="Movie",IFERROR(VALUE(LEFT(I5457,FIND(" ",I5457)-1)),""),"")</f>
        <v>91</v>
      </c>
      <c r="O5457" s="7" t="str">
        <f aca="false">IF(B5457="TV Show",IFERROR(VALUE(LEFT(I5457,FIND(" ",I5457)-1)),""),"")</f>
        <v/>
      </c>
      <c r="P5457" s="7" t="n">
        <f aca="false">IF(K5457="","",K5457-G5457)</f>
        <v>0</v>
      </c>
    </row>
    <row r="5458" customFormat="false" ht="15" hidden="false" customHeight="false" outlineLevel="0" collapsed="false">
      <c r="A5458" s="7" t="n">
        <v>80133153</v>
      </c>
      <c r="B5458" s="7" t="s">
        <v>68</v>
      </c>
      <c r="C5458" s="7" t="s">
        <v>10918</v>
      </c>
      <c r="D5458" s="7" t="s">
        <v>10919</v>
      </c>
      <c r="E5458" s="7" t="s">
        <v>1397</v>
      </c>
      <c r="F5458" s="7" t="s">
        <v>10920</v>
      </c>
      <c r="G5458" s="7" t="n">
        <v>2017</v>
      </c>
      <c r="H5458" s="7" t="s">
        <v>48</v>
      </c>
      <c r="I5458" s="7" t="s">
        <v>268</v>
      </c>
      <c r="J5458" s="7" t="s">
        <v>188</v>
      </c>
      <c r="K5458" s="7" t="n">
        <f aca="false">IFERROR(VALUE(RIGHT(TRIM(F5458),4)),"")</f>
        <v>2018</v>
      </c>
      <c r="L5458" s="7" t="str">
        <f aca="false">IF(TRIM(E5458)="","Unknown",IFERROR(LEFT(TRIM(E5458),FIND(",",TRIM(E5458))-1),TRIM(E5458)))</f>
        <v>Colombia</v>
      </c>
      <c r="M5458" s="7" t="str">
        <f aca="false">IFERROR(LEFT(J5458,FIND(",",J5458)-1),J5458)</f>
        <v>Dramas</v>
      </c>
      <c r="N5458" s="7" t="n">
        <f aca="false">IF(B5458="Movie",IFERROR(VALUE(LEFT(I5458,FIND(" ",I5458)-1)),""),"")</f>
        <v>108</v>
      </c>
      <c r="O5458" s="7" t="str">
        <f aca="false">IF(B5458="TV Show",IFERROR(VALUE(LEFT(I5458,FIND(" ",I5458)-1)),""),"")</f>
        <v/>
      </c>
      <c r="P5458" s="7" t="n">
        <f aca="false">IF(K5458="","",K5458-G5458)</f>
        <v>1</v>
      </c>
    </row>
    <row r="5459" customFormat="false" ht="15" hidden="false" customHeight="false" outlineLevel="0" collapsed="false">
      <c r="A5459" s="7" t="n">
        <v>80149145</v>
      </c>
      <c r="B5459" s="7" t="s">
        <v>68</v>
      </c>
      <c r="C5459" s="7" t="s">
        <v>10921</v>
      </c>
      <c r="D5459" s="7" t="s">
        <v>9298</v>
      </c>
      <c r="E5459" s="7" t="s">
        <v>34</v>
      </c>
      <c r="F5459" s="7" t="s">
        <v>10922</v>
      </c>
      <c r="G5459" s="7" t="n">
        <v>2016</v>
      </c>
      <c r="H5459" s="7" t="s">
        <v>48</v>
      </c>
      <c r="I5459" s="7" t="s">
        <v>512</v>
      </c>
      <c r="J5459" s="7" t="s">
        <v>2869</v>
      </c>
      <c r="K5459" s="7" t="n">
        <f aca="false">IFERROR(VALUE(RIGHT(TRIM(F5459),4)),"")</f>
        <v>2017</v>
      </c>
      <c r="L5459" s="7" t="str">
        <f aca="false">IF(TRIM(E5459)="","Unknown",IFERROR(LEFT(TRIM(E5459),FIND(",",TRIM(E5459))-1),TRIM(E5459)))</f>
        <v>Mexico</v>
      </c>
      <c r="M5459" s="7" t="str">
        <f aca="false">IFERROR(LEFT(J5459,FIND(",",J5459)-1),J5459)</f>
        <v>Comedies</v>
      </c>
      <c r="N5459" s="7" t="n">
        <f aca="false">IF(B5459="Movie",IFERROR(VALUE(LEFT(I5459,FIND(" ",I5459)-1)),""),"")</f>
        <v>101</v>
      </c>
      <c r="O5459" s="7" t="str">
        <f aca="false">IF(B5459="TV Show",IFERROR(VALUE(LEFT(I5459,FIND(" ",I5459)-1)),""),"")</f>
        <v/>
      </c>
      <c r="P5459" s="7" t="n">
        <f aca="false">IF(K5459="","",K5459-G5459)</f>
        <v>1</v>
      </c>
    </row>
    <row r="5460" customFormat="false" ht="15" hidden="false" customHeight="false" outlineLevel="0" collapsed="false">
      <c r="A5460" s="7" t="n">
        <v>80164207</v>
      </c>
      <c r="B5460" s="7" t="s">
        <v>68</v>
      </c>
      <c r="C5460" s="7" t="s">
        <v>10923</v>
      </c>
      <c r="D5460" s="7" t="s">
        <v>10924</v>
      </c>
      <c r="E5460" s="7" t="s">
        <v>325</v>
      </c>
      <c r="F5460" s="7" t="s">
        <v>10922</v>
      </c>
      <c r="G5460" s="7" t="n">
        <v>2013</v>
      </c>
      <c r="H5460" s="7" t="s">
        <v>48</v>
      </c>
      <c r="I5460" s="7" t="s">
        <v>861</v>
      </c>
      <c r="J5460" s="7" t="s">
        <v>974</v>
      </c>
      <c r="K5460" s="7" t="n">
        <f aca="false">IFERROR(VALUE(RIGHT(TRIM(F5460),4)),"")</f>
        <v>2017</v>
      </c>
      <c r="L5460" s="7" t="str">
        <f aca="false">IF(TRIM(E5460)="","Unknown",IFERROR(LEFT(TRIM(E5460),FIND(",",TRIM(E5460))-1),TRIM(E5460)))</f>
        <v>Brazil</v>
      </c>
      <c r="M5460" s="7" t="str">
        <f aca="false">IFERROR(LEFT(J5460,FIND(",",J5460)-1),J5460)</f>
        <v>Documentaries</v>
      </c>
      <c r="N5460" s="7" t="n">
        <f aca="false">IF(B5460="Movie",IFERROR(VALUE(LEFT(I5460,FIND(" ",I5460)-1)),""),"")</f>
        <v>71</v>
      </c>
      <c r="O5460" s="7" t="str">
        <f aca="false">IF(B5460="TV Show",IFERROR(VALUE(LEFT(I5460,FIND(" ",I5460)-1)),""),"")</f>
        <v/>
      </c>
      <c r="P5460" s="7" t="n">
        <f aca="false">IF(K5460="","",K5460-G5460)</f>
        <v>4</v>
      </c>
    </row>
    <row r="5461" customFormat="false" ht="15" hidden="false" customHeight="false" outlineLevel="0" collapsed="false">
      <c r="A5461" s="7" t="n">
        <v>80198988</v>
      </c>
      <c r="B5461" s="7" t="s">
        <v>78</v>
      </c>
      <c r="C5461" s="7" t="s">
        <v>10925</v>
      </c>
      <c r="E5461" s="7" t="s">
        <v>619</v>
      </c>
      <c r="F5461" s="7" t="s">
        <v>10926</v>
      </c>
      <c r="G5461" s="7" t="n">
        <v>2019</v>
      </c>
      <c r="H5461" s="7" t="s">
        <v>48</v>
      </c>
      <c r="I5461" s="7" t="s">
        <v>82</v>
      </c>
      <c r="J5461" s="7" t="s">
        <v>8564</v>
      </c>
      <c r="K5461" s="7" t="n">
        <f aca="false">IFERROR(VALUE(RIGHT(TRIM(F5461),4)),"")</f>
        <v>2019</v>
      </c>
      <c r="L5461" s="7" t="str">
        <f aca="false">IF(TRIM(E5461)="","Unknown",IFERROR(LEFT(TRIM(E5461),FIND(",",TRIM(E5461))-1),TRIM(E5461)))</f>
        <v>Canada</v>
      </c>
      <c r="M5461" s="7" t="str">
        <f aca="false">IFERROR(LEFT(J5461,FIND(",",J5461)-1),J5461)</f>
        <v>TV Action &amp; Adventure</v>
      </c>
      <c r="N5461" s="7" t="str">
        <f aca="false">IF(B5461="Movie",IFERROR(VALUE(LEFT(I5461,FIND(" ",I5461)-1)),""),"")</f>
        <v/>
      </c>
      <c r="O5461" s="7" t="n">
        <f aca="false">IF(B5461="TV Show",IFERROR(VALUE(LEFT(I5461,FIND(" ",I5461)-1)),""),"")</f>
        <v>1</v>
      </c>
      <c r="P5461" s="7" t="n">
        <f aca="false">IF(K5461="","",K5461-G5461)</f>
        <v>0</v>
      </c>
    </row>
    <row r="5462" customFormat="false" ht="15" hidden="false" customHeight="false" outlineLevel="0" collapsed="false">
      <c r="A5462" s="7" t="n">
        <v>81044884</v>
      </c>
      <c r="B5462" s="7" t="s">
        <v>78</v>
      </c>
      <c r="C5462" s="7" t="s">
        <v>10148</v>
      </c>
      <c r="D5462" s="7" t="s">
        <v>10927</v>
      </c>
      <c r="E5462" s="7" t="s">
        <v>32</v>
      </c>
      <c r="F5462" s="7" t="s">
        <v>10926</v>
      </c>
      <c r="G5462" s="7" t="n">
        <v>2019</v>
      </c>
      <c r="H5462" s="7" t="s">
        <v>48</v>
      </c>
      <c r="I5462" s="7" t="s">
        <v>82</v>
      </c>
      <c r="J5462" s="7" t="s">
        <v>852</v>
      </c>
      <c r="K5462" s="7" t="n">
        <f aca="false">IFERROR(VALUE(RIGHT(TRIM(F5462),4)),"")</f>
        <v>2019</v>
      </c>
      <c r="L5462" s="7" t="str">
        <f aca="false">IF(TRIM(E5462)="","Unknown",IFERROR(LEFT(TRIM(E5462),FIND(",",TRIM(E5462))-1),TRIM(E5462)))</f>
        <v>South Korea</v>
      </c>
      <c r="M5462" s="7" t="str">
        <f aca="false">IFERROR(LEFT(J5462,FIND(",",J5462)-1),J5462)</f>
        <v>International TV Shows</v>
      </c>
      <c r="N5462" s="7" t="str">
        <f aca="false">IF(B5462="Movie",IFERROR(VALUE(LEFT(I5462,FIND(" ",I5462)-1)),""),"")</f>
        <v/>
      </c>
      <c r="O5462" s="7" t="n">
        <f aca="false">IF(B5462="TV Show",IFERROR(VALUE(LEFT(I5462,FIND(" ",I5462)-1)),""),"")</f>
        <v>1</v>
      </c>
      <c r="P5462" s="7" t="n">
        <f aca="false">IF(K5462="","",K5462-G5462)</f>
        <v>0</v>
      </c>
    </row>
    <row r="5463" customFormat="false" ht="15" hidden="false" customHeight="false" outlineLevel="0" collapsed="false">
      <c r="A5463" s="7" t="n">
        <v>80106743</v>
      </c>
      <c r="B5463" s="7" t="s">
        <v>68</v>
      </c>
      <c r="C5463" s="7" t="s">
        <v>10928</v>
      </c>
      <c r="D5463" s="7" t="s">
        <v>2490</v>
      </c>
      <c r="E5463" s="7" t="s">
        <v>26</v>
      </c>
      <c r="F5463" s="7" t="s">
        <v>10929</v>
      </c>
      <c r="G5463" s="7" t="n">
        <v>2016</v>
      </c>
      <c r="H5463" s="7" t="s">
        <v>51</v>
      </c>
      <c r="I5463" s="7" t="s">
        <v>138</v>
      </c>
      <c r="J5463" s="7" t="s">
        <v>45</v>
      </c>
      <c r="K5463" s="7" t="n">
        <f aca="false">IFERROR(VALUE(RIGHT(TRIM(F5463),4)),"")</f>
        <v>2017</v>
      </c>
      <c r="L5463" s="7" t="str">
        <f aca="false">IF(TRIM(E5463)="","Unknown",IFERROR(LEFT(TRIM(E5463),FIND(",",TRIM(E5463))-1),TRIM(E5463)))</f>
        <v>United States</v>
      </c>
      <c r="M5463" s="7" t="str">
        <f aca="false">IFERROR(LEFT(J5463,FIND(",",J5463)-1),J5463)</f>
        <v>Stand-Up Comedy</v>
      </c>
      <c r="N5463" s="7" t="n">
        <f aca="false">IF(B5463="Movie",IFERROR(VALUE(LEFT(I5463,FIND(" ",I5463)-1)),""),"")</f>
        <v>96</v>
      </c>
      <c r="O5463" s="7" t="str">
        <f aca="false">IF(B5463="TV Show",IFERROR(VALUE(LEFT(I5463,FIND(" ",I5463)-1)),""),"")</f>
        <v/>
      </c>
      <c r="P5463" s="7" t="n">
        <f aca="false">IF(K5463="","",K5463-G5463)</f>
        <v>1</v>
      </c>
    </row>
    <row r="5464" customFormat="false" ht="15" hidden="false" customHeight="false" outlineLevel="0" collapsed="false">
      <c r="A5464" s="7" t="n">
        <v>81087095</v>
      </c>
      <c r="B5464" s="7" t="s">
        <v>68</v>
      </c>
      <c r="C5464" s="7" t="s">
        <v>10930</v>
      </c>
      <c r="D5464" s="7" t="s">
        <v>10931</v>
      </c>
      <c r="E5464" s="7" t="s">
        <v>29</v>
      </c>
      <c r="F5464" s="7" t="s">
        <v>10932</v>
      </c>
      <c r="G5464" s="7" t="n">
        <v>2018</v>
      </c>
      <c r="H5464" s="7" t="s">
        <v>49</v>
      </c>
      <c r="I5464" s="7" t="s">
        <v>820</v>
      </c>
      <c r="J5464" s="7" t="s">
        <v>177</v>
      </c>
      <c r="K5464" s="7" t="n">
        <f aca="false">IFERROR(VALUE(RIGHT(TRIM(F5464),4)),"")</f>
        <v>2019</v>
      </c>
      <c r="L5464" s="7" t="str">
        <f aca="false">IF(TRIM(E5464)="","Unknown",IFERROR(LEFT(TRIM(E5464),FIND(",",TRIM(E5464))-1),TRIM(E5464)))</f>
        <v>Canada</v>
      </c>
      <c r="M5464" s="7" t="str">
        <f aca="false">IFERROR(LEFT(J5464,FIND(",",J5464)-1),J5464)</f>
        <v>Comedies</v>
      </c>
      <c r="N5464" s="7" t="n">
        <f aca="false">IF(B5464="Movie",IFERROR(VALUE(LEFT(I5464,FIND(" ",I5464)-1)),""),"")</f>
        <v>105</v>
      </c>
      <c r="O5464" s="7" t="str">
        <f aca="false">IF(B5464="TV Show",IFERROR(VALUE(LEFT(I5464,FIND(" ",I5464)-1)),""),"")</f>
        <v/>
      </c>
      <c r="P5464" s="7" t="n">
        <f aca="false">IF(K5464="","",K5464-G5464)</f>
        <v>1</v>
      </c>
    </row>
    <row r="5465" customFormat="false" ht="15" hidden="false" customHeight="false" outlineLevel="0" collapsed="false">
      <c r="A5465" s="7" t="n">
        <v>81026007</v>
      </c>
      <c r="B5465" s="7" t="s">
        <v>68</v>
      </c>
      <c r="C5465" s="7" t="s">
        <v>10933</v>
      </c>
      <c r="D5465" s="7" t="s">
        <v>3695</v>
      </c>
      <c r="E5465" s="7" t="s">
        <v>325</v>
      </c>
      <c r="F5465" s="7" t="s">
        <v>10932</v>
      </c>
      <c r="G5465" s="7" t="n">
        <v>2019</v>
      </c>
      <c r="H5465" s="7" t="s">
        <v>49</v>
      </c>
      <c r="I5465" s="7" t="s">
        <v>1757</v>
      </c>
      <c r="J5465" s="7" t="s">
        <v>45</v>
      </c>
      <c r="K5465" s="7" t="n">
        <f aca="false">IFERROR(VALUE(RIGHT(TRIM(F5465),4)),"")</f>
        <v>2019</v>
      </c>
      <c r="L5465" s="7" t="str">
        <f aca="false">IF(TRIM(E5465)="","Unknown",IFERROR(LEFT(TRIM(E5465),FIND(",",TRIM(E5465))-1),TRIM(E5465)))</f>
        <v>Brazil</v>
      </c>
      <c r="M5465" s="7" t="str">
        <f aca="false">IFERROR(LEFT(J5465,FIND(",",J5465)-1),J5465)</f>
        <v>Stand-Up Comedy</v>
      </c>
      <c r="N5465" s="7" t="n">
        <f aca="false">IF(B5465="Movie",IFERROR(VALUE(LEFT(I5465,FIND(" ",I5465)-1)),""),"")</f>
        <v>59</v>
      </c>
      <c r="O5465" s="7" t="str">
        <f aca="false">IF(B5465="TV Show",IFERROR(VALUE(LEFT(I5465,FIND(" ",I5465)-1)),""),"")</f>
        <v/>
      </c>
      <c r="P5465" s="7" t="n">
        <f aca="false">IF(K5465="","",K5465-G5465)</f>
        <v>0</v>
      </c>
    </row>
    <row r="5466" customFormat="false" ht="15" hidden="false" customHeight="false" outlineLevel="0" collapsed="false">
      <c r="A5466" s="7" t="n">
        <v>81021447</v>
      </c>
      <c r="B5466" s="7" t="s">
        <v>68</v>
      </c>
      <c r="C5466" s="7" t="s">
        <v>5177</v>
      </c>
      <c r="D5466" s="7" t="s">
        <v>10934</v>
      </c>
      <c r="E5466" s="7" t="s">
        <v>1081</v>
      </c>
      <c r="F5466" s="7" t="s">
        <v>10932</v>
      </c>
      <c r="G5466" s="7" t="n">
        <v>2019</v>
      </c>
      <c r="H5466" s="7" t="s">
        <v>49</v>
      </c>
      <c r="I5466" s="7" t="s">
        <v>470</v>
      </c>
      <c r="J5466" s="7" t="s">
        <v>147</v>
      </c>
      <c r="K5466" s="7" t="n">
        <f aca="false">IFERROR(VALUE(RIGHT(TRIM(F5466),4)),"")</f>
        <v>2019</v>
      </c>
      <c r="L5466" s="7" t="str">
        <f aca="false">IF(TRIM(E5466)="","Unknown",IFERROR(LEFT(TRIM(E5466),FIND(",",TRIM(E5466))-1),TRIM(E5466)))</f>
        <v>Germany</v>
      </c>
      <c r="M5466" s="7" t="str">
        <f aca="false">IFERROR(LEFT(J5466,FIND(",",J5466)-1),J5466)</f>
        <v>Horror Movies</v>
      </c>
      <c r="N5466" s="7" t="n">
        <f aca="false">IF(B5466="Movie",IFERROR(VALUE(LEFT(I5466,FIND(" ",I5466)-1)),""),"")</f>
        <v>91</v>
      </c>
      <c r="O5466" s="7" t="str">
        <f aca="false">IF(B5466="TV Show",IFERROR(VALUE(LEFT(I5466,FIND(" ",I5466)-1)),""),"")</f>
        <v/>
      </c>
      <c r="P5466" s="7" t="n">
        <f aca="false">IF(K5466="","",K5466-G5466)</f>
        <v>0</v>
      </c>
    </row>
    <row r="5467" customFormat="false" ht="15" hidden="false" customHeight="false" outlineLevel="0" collapsed="false">
      <c r="A5467" s="7" t="n">
        <v>80227574</v>
      </c>
      <c r="B5467" s="7" t="s">
        <v>78</v>
      </c>
      <c r="C5467" s="7" t="s">
        <v>10935</v>
      </c>
      <c r="E5467" s="7" t="s">
        <v>26</v>
      </c>
      <c r="F5467" s="7" t="s">
        <v>10932</v>
      </c>
      <c r="G5467" s="7" t="n">
        <v>2019</v>
      </c>
      <c r="H5467" s="7" t="s">
        <v>50</v>
      </c>
      <c r="I5467" s="7" t="s">
        <v>82</v>
      </c>
      <c r="J5467" s="7" t="s">
        <v>10936</v>
      </c>
      <c r="K5467" s="7" t="n">
        <f aca="false">IFERROR(VALUE(RIGHT(TRIM(F5467),4)),"")</f>
        <v>2019</v>
      </c>
      <c r="L5467" s="7" t="str">
        <f aca="false">IF(TRIM(E5467)="","Unknown",IFERROR(LEFT(TRIM(E5467),FIND(",",TRIM(E5467))-1),TRIM(E5467)))</f>
        <v>United States</v>
      </c>
      <c r="M5467" s="7" t="str">
        <f aca="false">IFERROR(LEFT(J5467,FIND(",",J5467)-1),J5467)</f>
        <v>Kids' TV</v>
      </c>
      <c r="N5467" s="7" t="str">
        <f aca="false">IF(B5467="Movie",IFERROR(VALUE(LEFT(I5467,FIND(" ",I5467)-1)),""),"")</f>
        <v/>
      </c>
      <c r="O5467" s="7" t="n">
        <f aca="false">IF(B5467="TV Show",IFERROR(VALUE(LEFT(I5467,FIND(" ",I5467)-1)),""),"")</f>
        <v>1</v>
      </c>
      <c r="P5467" s="7" t="n">
        <f aca="false">IF(K5467="","",K5467-G5467)</f>
        <v>0</v>
      </c>
    </row>
    <row r="5468" customFormat="false" ht="15" hidden="false" customHeight="false" outlineLevel="0" collapsed="false">
      <c r="A5468" s="7" t="n">
        <v>80158875</v>
      </c>
      <c r="B5468" s="7" t="s">
        <v>68</v>
      </c>
      <c r="C5468" s="7" t="s">
        <v>10937</v>
      </c>
      <c r="D5468" s="7" t="s">
        <v>9107</v>
      </c>
      <c r="E5468" s="7" t="s">
        <v>28</v>
      </c>
      <c r="F5468" s="7" t="s">
        <v>10938</v>
      </c>
      <c r="G5468" s="7" t="n">
        <v>2018</v>
      </c>
      <c r="H5468" s="7" t="s">
        <v>48</v>
      </c>
      <c r="I5468" s="7" t="s">
        <v>1317</v>
      </c>
      <c r="J5468" s="7" t="s">
        <v>45</v>
      </c>
      <c r="K5468" s="7" t="n">
        <f aca="false">IFERROR(VALUE(RIGHT(TRIM(F5468),4)),"")</f>
        <v>2018</v>
      </c>
      <c r="L5468" s="7" t="str">
        <f aca="false">IF(TRIM(E5468)="","Unknown",IFERROR(LEFT(TRIM(E5468),FIND(",",TRIM(E5468))-1),TRIM(E5468)))</f>
        <v>United Kingdom</v>
      </c>
      <c r="M5468" s="7" t="str">
        <f aca="false">IFERROR(LEFT(J5468,FIND(",",J5468)-1),J5468)</f>
        <v>Stand-Up Comedy</v>
      </c>
      <c r="N5468" s="7" t="n">
        <f aca="false">IF(B5468="Movie",IFERROR(VALUE(LEFT(I5468,FIND(" ",I5468)-1)),""),"")</f>
        <v>66</v>
      </c>
      <c r="O5468" s="7" t="str">
        <f aca="false">IF(B5468="TV Show",IFERROR(VALUE(LEFT(I5468,FIND(" ",I5468)-1)),""),"")</f>
        <v/>
      </c>
      <c r="P5468" s="7" t="n">
        <f aca="false">IF(K5468="","",K5468-G5468)</f>
        <v>0</v>
      </c>
    </row>
    <row r="5469" customFormat="false" ht="15" hidden="false" customHeight="false" outlineLevel="0" collapsed="false">
      <c r="A5469" s="7" t="n">
        <v>80142474</v>
      </c>
      <c r="B5469" s="7" t="s">
        <v>68</v>
      </c>
      <c r="C5469" s="7" t="s">
        <v>10939</v>
      </c>
      <c r="D5469" s="7" t="s">
        <v>10940</v>
      </c>
      <c r="E5469" s="7" t="s">
        <v>26</v>
      </c>
      <c r="F5469" s="7" t="s">
        <v>10941</v>
      </c>
      <c r="G5469" s="7" t="n">
        <v>2017</v>
      </c>
      <c r="H5469" s="7" t="s">
        <v>48</v>
      </c>
      <c r="I5469" s="7" t="s">
        <v>340</v>
      </c>
      <c r="J5469" s="7" t="s">
        <v>38</v>
      </c>
      <c r="K5469" s="7" t="n">
        <f aca="false">IFERROR(VALUE(RIGHT(TRIM(F5469),4)),"")</f>
        <v>2017</v>
      </c>
      <c r="L5469" s="7" t="str">
        <f aca="false">IF(TRIM(E5469)="","Unknown",IFERROR(LEFT(TRIM(E5469),FIND(",",TRIM(E5469))-1),TRIM(E5469)))</f>
        <v>United States</v>
      </c>
      <c r="M5469" s="7" t="str">
        <f aca="false">IFERROR(LEFT(J5469,FIND(",",J5469)-1),J5469)</f>
        <v>Comedies</v>
      </c>
      <c r="N5469" s="7" t="n">
        <f aca="false">IF(B5469="Movie",IFERROR(VALUE(LEFT(I5469,FIND(" ",I5469)-1)),""),"")</f>
        <v>85</v>
      </c>
      <c r="O5469" s="7" t="str">
        <f aca="false">IF(B5469="TV Show",IFERROR(VALUE(LEFT(I5469,FIND(" ",I5469)-1)),""),"")</f>
        <v/>
      </c>
      <c r="P5469" s="7" t="n">
        <f aca="false">IF(K5469="","",K5469-G5469)</f>
        <v>0</v>
      </c>
    </row>
    <row r="5470" customFormat="false" ht="15" hidden="false" customHeight="false" outlineLevel="0" collapsed="false">
      <c r="A5470" s="7" t="n">
        <v>80170688</v>
      </c>
      <c r="B5470" s="7" t="s">
        <v>78</v>
      </c>
      <c r="C5470" s="7" t="s">
        <v>10942</v>
      </c>
      <c r="E5470" s="7" t="s">
        <v>32</v>
      </c>
      <c r="F5470" s="7" t="s">
        <v>10941</v>
      </c>
      <c r="G5470" s="7" t="n">
        <v>2016</v>
      </c>
      <c r="H5470" s="7" t="s">
        <v>49</v>
      </c>
      <c r="I5470" s="7" t="s">
        <v>82</v>
      </c>
      <c r="J5470" s="7" t="s">
        <v>852</v>
      </c>
      <c r="K5470" s="7" t="n">
        <f aca="false">IFERROR(VALUE(RIGHT(TRIM(F5470),4)),"")</f>
        <v>2017</v>
      </c>
      <c r="L5470" s="7" t="str">
        <f aca="false">IF(TRIM(E5470)="","Unknown",IFERROR(LEFT(TRIM(E5470),FIND(",",TRIM(E5470))-1),TRIM(E5470)))</f>
        <v>South Korea</v>
      </c>
      <c r="M5470" s="7" t="str">
        <f aca="false">IFERROR(LEFT(J5470,FIND(",",J5470)-1),J5470)</f>
        <v>International TV Shows</v>
      </c>
      <c r="N5470" s="7" t="str">
        <f aca="false">IF(B5470="Movie",IFERROR(VALUE(LEFT(I5470,FIND(" ",I5470)-1)),""),"")</f>
        <v/>
      </c>
      <c r="O5470" s="7" t="n">
        <f aca="false">IF(B5470="TV Show",IFERROR(VALUE(LEFT(I5470,FIND(" ",I5470)-1)),""),"")</f>
        <v>1</v>
      </c>
      <c r="P5470" s="7" t="n">
        <f aca="false">IF(K5470="","",K5470-G5470)</f>
        <v>1</v>
      </c>
    </row>
    <row r="5471" customFormat="false" ht="15" hidden="false" customHeight="false" outlineLevel="0" collapsed="false">
      <c r="A5471" s="7" t="n">
        <v>81086434</v>
      </c>
      <c r="B5471" s="7" t="s">
        <v>68</v>
      </c>
      <c r="C5471" s="7" t="s">
        <v>10943</v>
      </c>
      <c r="D5471" s="7" t="s">
        <v>10944</v>
      </c>
      <c r="E5471" s="7" t="s">
        <v>27</v>
      </c>
      <c r="F5471" s="7" t="s">
        <v>10945</v>
      </c>
      <c r="G5471" s="7" t="n">
        <v>2019</v>
      </c>
      <c r="H5471" s="7" t="s">
        <v>49</v>
      </c>
      <c r="I5471" s="7" t="s">
        <v>1270</v>
      </c>
      <c r="J5471" s="7" t="s">
        <v>169</v>
      </c>
      <c r="K5471" s="7" t="n">
        <f aca="false">IFERROR(VALUE(RIGHT(TRIM(F5471),4)),"")</f>
        <v>2019</v>
      </c>
      <c r="L5471" s="7" t="str">
        <f aca="false">IF(TRIM(E5471)="","Unknown",IFERROR(LEFT(TRIM(E5471),FIND(",",TRIM(E5471))-1),TRIM(E5471)))</f>
        <v>India</v>
      </c>
      <c r="M5471" s="7" t="str">
        <f aca="false">IFERROR(LEFT(J5471,FIND(",",J5471)-1),J5471)</f>
        <v>Horror Movies</v>
      </c>
      <c r="N5471" s="7" t="n">
        <f aca="false">IF(B5471="Movie",IFERROR(VALUE(LEFT(I5471,FIND(" ",I5471)-1)),""),"")</f>
        <v>118</v>
      </c>
      <c r="O5471" s="7" t="str">
        <f aca="false">IF(B5471="TV Show",IFERROR(VALUE(LEFT(I5471,FIND(" ",I5471)-1)),""),"")</f>
        <v/>
      </c>
      <c r="P5471" s="7" t="n">
        <f aca="false">IF(K5471="","",K5471-G5471)</f>
        <v>0</v>
      </c>
    </row>
    <row r="5472" customFormat="false" ht="15" hidden="false" customHeight="false" outlineLevel="0" collapsed="false">
      <c r="A5472" s="7" t="n">
        <v>81083791</v>
      </c>
      <c r="B5472" s="7" t="s">
        <v>68</v>
      </c>
      <c r="C5472" s="7" t="s">
        <v>10946</v>
      </c>
      <c r="D5472" s="7" t="s">
        <v>10947</v>
      </c>
      <c r="E5472" s="7" t="s">
        <v>29</v>
      </c>
      <c r="F5472" s="7" t="s">
        <v>10945</v>
      </c>
      <c r="G5472" s="7" t="n">
        <v>2015</v>
      </c>
      <c r="H5472" s="7" t="s">
        <v>48</v>
      </c>
      <c r="I5472" s="7" t="s">
        <v>264</v>
      </c>
      <c r="J5472" s="7" t="s">
        <v>1383</v>
      </c>
      <c r="K5472" s="7" t="n">
        <f aca="false">IFERROR(VALUE(RIGHT(TRIM(F5472),4)),"")</f>
        <v>2019</v>
      </c>
      <c r="L5472" s="7" t="str">
        <f aca="false">IF(TRIM(E5472)="","Unknown",IFERROR(LEFT(TRIM(E5472),FIND(",",TRIM(E5472))-1),TRIM(E5472)))</f>
        <v>Canada</v>
      </c>
      <c r="M5472" s="7" t="str">
        <f aca="false">IFERROR(LEFT(J5472,FIND(",",J5472)-1),J5472)</f>
        <v>Dramas</v>
      </c>
      <c r="N5472" s="7" t="n">
        <f aca="false">IF(B5472="Movie",IFERROR(VALUE(LEFT(I5472,FIND(" ",I5472)-1)),""),"")</f>
        <v>88</v>
      </c>
      <c r="O5472" s="7" t="str">
        <f aca="false">IF(B5472="TV Show",IFERROR(VALUE(LEFT(I5472,FIND(" ",I5472)-1)),""),"")</f>
        <v/>
      </c>
      <c r="P5472" s="7" t="n">
        <f aca="false">IF(K5472="","",K5472-G5472)</f>
        <v>4</v>
      </c>
    </row>
    <row r="5473" customFormat="false" ht="15" hidden="false" customHeight="false" outlineLevel="0" collapsed="false">
      <c r="A5473" s="7" t="n">
        <v>81088282</v>
      </c>
      <c r="B5473" s="7" t="s">
        <v>68</v>
      </c>
      <c r="C5473" s="7" t="s">
        <v>10948</v>
      </c>
      <c r="D5473" s="7" t="s">
        <v>10949</v>
      </c>
      <c r="E5473" s="7" t="s">
        <v>26</v>
      </c>
      <c r="F5473" s="7" t="s">
        <v>10945</v>
      </c>
      <c r="G5473" s="7" t="n">
        <v>2018</v>
      </c>
      <c r="H5473" s="7" t="s">
        <v>48</v>
      </c>
      <c r="I5473" s="7" t="s">
        <v>1595</v>
      </c>
      <c r="J5473" s="7" t="s">
        <v>1085</v>
      </c>
      <c r="K5473" s="7" t="n">
        <f aca="false">IFERROR(VALUE(RIGHT(TRIM(F5473),4)),"")</f>
        <v>2019</v>
      </c>
      <c r="L5473" s="7" t="str">
        <f aca="false">IF(TRIM(E5473)="","Unknown",IFERROR(LEFT(TRIM(E5473),FIND(",",TRIM(E5473))-1),TRIM(E5473)))</f>
        <v>United States</v>
      </c>
      <c r="M5473" s="7" t="str">
        <f aca="false">IFERROR(LEFT(J5473,FIND(",",J5473)-1),J5473)</f>
        <v>Documentaries</v>
      </c>
      <c r="N5473" s="7" t="n">
        <f aca="false">IF(B5473="Movie",IFERROR(VALUE(LEFT(I5473,FIND(" ",I5473)-1)),""),"")</f>
        <v>55</v>
      </c>
      <c r="O5473" s="7" t="str">
        <f aca="false">IF(B5473="TV Show",IFERROR(VALUE(LEFT(I5473,FIND(" ",I5473)-1)),""),"")</f>
        <v/>
      </c>
      <c r="P5473" s="7" t="n">
        <f aca="false">IF(K5473="","",K5473-G5473)</f>
        <v>1</v>
      </c>
    </row>
    <row r="5474" customFormat="false" ht="15" hidden="false" customHeight="false" outlineLevel="0" collapsed="false">
      <c r="A5474" s="7" t="n">
        <v>70167072</v>
      </c>
      <c r="B5474" s="7" t="s">
        <v>68</v>
      </c>
      <c r="C5474" s="7" t="s">
        <v>10950</v>
      </c>
      <c r="D5474" s="7" t="s">
        <v>10951</v>
      </c>
      <c r="E5474" s="7" t="s">
        <v>26</v>
      </c>
      <c r="F5474" s="7" t="s">
        <v>10945</v>
      </c>
      <c r="G5474" s="7" t="n">
        <v>2011</v>
      </c>
      <c r="H5474" s="7" t="s">
        <v>52</v>
      </c>
      <c r="I5474" s="7" t="s">
        <v>93</v>
      </c>
      <c r="J5474" s="7" t="s">
        <v>177</v>
      </c>
      <c r="K5474" s="7" t="n">
        <f aca="false">IFERROR(VALUE(RIGHT(TRIM(F5474),4)),"")</f>
        <v>2019</v>
      </c>
      <c r="L5474" s="7" t="str">
        <f aca="false">IF(TRIM(E5474)="","Unknown",IFERROR(LEFT(TRIM(E5474),FIND(",",TRIM(E5474))-1),TRIM(E5474)))</f>
        <v>United States</v>
      </c>
      <c r="M5474" s="7" t="str">
        <f aca="false">IFERROR(LEFT(J5474,FIND(",",J5474)-1),J5474)</f>
        <v>Comedies</v>
      </c>
      <c r="N5474" s="7" t="n">
        <f aca="false">IF(B5474="Movie",IFERROR(VALUE(LEFT(I5474,FIND(" ",I5474)-1)),""),"")</f>
        <v>110</v>
      </c>
      <c r="O5474" s="7" t="str">
        <f aca="false">IF(B5474="TV Show",IFERROR(VALUE(LEFT(I5474,FIND(" ",I5474)-1)),""),"")</f>
        <v/>
      </c>
      <c r="P5474" s="7" t="n">
        <f aca="false">IF(K5474="","",K5474-G5474)</f>
        <v>8</v>
      </c>
    </row>
    <row r="5475" customFormat="false" ht="15" hidden="false" customHeight="false" outlineLevel="0" collapsed="false">
      <c r="A5475" s="7" t="n">
        <v>70058016</v>
      </c>
      <c r="B5475" s="7" t="s">
        <v>68</v>
      </c>
      <c r="C5475" s="7" t="s">
        <v>10952</v>
      </c>
      <c r="D5475" s="7" t="s">
        <v>3179</v>
      </c>
      <c r="E5475" s="7" t="s">
        <v>1996</v>
      </c>
      <c r="F5475" s="7" t="s">
        <v>10945</v>
      </c>
      <c r="G5475" s="7" t="n">
        <v>2007</v>
      </c>
      <c r="H5475" s="7" t="s">
        <v>51</v>
      </c>
      <c r="I5475" s="7" t="s">
        <v>146</v>
      </c>
      <c r="J5475" s="7" t="s">
        <v>597</v>
      </c>
      <c r="K5475" s="7" t="n">
        <f aca="false">IFERROR(VALUE(RIGHT(TRIM(F5475),4)),"")</f>
        <v>2019</v>
      </c>
      <c r="L5475" s="7" t="str">
        <f aca="false">IF(TRIM(E5475)="","Unknown",IFERROR(LEFT(TRIM(E5475),FIND(",",TRIM(E5475))-1),TRIM(E5475)))</f>
        <v>United States</v>
      </c>
      <c r="M5475" s="7" t="str">
        <f aca="false">IFERROR(LEFT(J5475,FIND(",",J5475)-1),J5475)</f>
        <v>Dramas</v>
      </c>
      <c r="N5475" s="7" t="n">
        <f aca="false">IF(B5475="Movie",IFERROR(VALUE(LEFT(I5475,FIND(" ",I5475)-1)),""),"")</f>
        <v>113</v>
      </c>
      <c r="O5475" s="7" t="str">
        <f aca="false">IF(B5475="TV Show",IFERROR(VALUE(LEFT(I5475,FIND(" ",I5475)-1)),""),"")</f>
        <v/>
      </c>
      <c r="P5475" s="7" t="n">
        <f aca="false">IF(K5475="","",K5475-G5475)</f>
        <v>12</v>
      </c>
    </row>
    <row r="5476" customFormat="false" ht="15" hidden="false" customHeight="false" outlineLevel="0" collapsed="false">
      <c r="A5476" s="7" t="n">
        <v>70077557</v>
      </c>
      <c r="B5476" s="7" t="s">
        <v>68</v>
      </c>
      <c r="C5476" s="7" t="s">
        <v>10953</v>
      </c>
      <c r="D5476" s="7" t="s">
        <v>3142</v>
      </c>
      <c r="E5476" s="7" t="s">
        <v>26</v>
      </c>
      <c r="F5476" s="7" t="s">
        <v>10945</v>
      </c>
      <c r="G5476" s="7" t="n">
        <v>2008</v>
      </c>
      <c r="H5476" s="7" t="s">
        <v>52</v>
      </c>
      <c r="I5476" s="7" t="s">
        <v>93</v>
      </c>
      <c r="J5476" s="7" t="s">
        <v>967</v>
      </c>
      <c r="K5476" s="7" t="n">
        <f aca="false">IFERROR(VALUE(RIGHT(TRIM(F5476),4)),"")</f>
        <v>2019</v>
      </c>
      <c r="L5476" s="7" t="str">
        <f aca="false">IF(TRIM(E5476)="","Unknown",IFERROR(LEFT(TRIM(E5476),FIND(",",TRIM(E5476))-1),TRIM(E5476)))</f>
        <v>United States</v>
      </c>
      <c r="M5476" s="7" t="str">
        <f aca="false">IFERROR(LEFT(J5476,FIND(",",J5476)-1),J5476)</f>
        <v>Action &amp; Adventure</v>
      </c>
      <c r="N5476" s="7" t="n">
        <f aca="false">IF(B5476="Movie",IFERROR(VALUE(LEFT(I5476,FIND(" ",I5476)-1)),""),"")</f>
        <v>110</v>
      </c>
      <c r="O5476" s="7" t="str">
        <f aca="false">IF(B5476="TV Show",IFERROR(VALUE(LEFT(I5476,FIND(" ",I5476)-1)),""),"")</f>
        <v/>
      </c>
      <c r="P5476" s="7" t="n">
        <f aca="false">IF(K5476="","",K5476-G5476)</f>
        <v>11</v>
      </c>
    </row>
    <row r="5477" customFormat="false" ht="15" hidden="false" customHeight="false" outlineLevel="0" collapsed="false">
      <c r="A5477" s="7" t="n">
        <v>80233085</v>
      </c>
      <c r="B5477" s="7" t="s">
        <v>68</v>
      </c>
      <c r="C5477" s="7" t="s">
        <v>10954</v>
      </c>
      <c r="D5477" s="7" t="s">
        <v>10955</v>
      </c>
      <c r="E5477" s="7" t="s">
        <v>1714</v>
      </c>
      <c r="F5477" s="7" t="s">
        <v>10945</v>
      </c>
      <c r="G5477" s="7" t="n">
        <v>2016</v>
      </c>
      <c r="H5477" s="7" t="s">
        <v>54</v>
      </c>
      <c r="I5477" s="7" t="s">
        <v>77</v>
      </c>
      <c r="J5477" s="7" t="s">
        <v>42</v>
      </c>
      <c r="K5477" s="7" t="n">
        <f aca="false">IFERROR(VALUE(RIGHT(TRIM(F5477),4)),"")</f>
        <v>2019</v>
      </c>
      <c r="L5477" s="7" t="str">
        <f aca="false">IF(TRIM(E5477)="","Unknown",IFERROR(LEFT(TRIM(E5477),FIND(",",TRIM(E5477))-1),TRIM(E5477)))</f>
        <v>United States</v>
      </c>
      <c r="M5477" s="7" t="str">
        <f aca="false">IFERROR(LEFT(J5477,FIND(",",J5477)-1),J5477)</f>
        <v>Children &amp; Family Movies</v>
      </c>
      <c r="N5477" s="7" t="n">
        <f aca="false">IF(B5477="Movie",IFERROR(VALUE(LEFT(I5477,FIND(" ",I5477)-1)),""),"")</f>
        <v>94</v>
      </c>
      <c r="O5477" s="7" t="str">
        <f aca="false">IF(B5477="TV Show",IFERROR(VALUE(LEFT(I5477,FIND(" ",I5477)-1)),""),"")</f>
        <v/>
      </c>
      <c r="P5477" s="7" t="n">
        <f aca="false">IF(K5477="","",K5477-G5477)</f>
        <v>3</v>
      </c>
    </row>
    <row r="5478" customFormat="false" ht="15" hidden="false" customHeight="false" outlineLevel="0" collapsed="false">
      <c r="A5478" s="7" t="n">
        <v>80210602</v>
      </c>
      <c r="B5478" s="7" t="s">
        <v>68</v>
      </c>
      <c r="C5478" s="7" t="s">
        <v>10956</v>
      </c>
      <c r="D5478" s="7" t="s">
        <v>10957</v>
      </c>
      <c r="E5478" s="7" t="s">
        <v>26</v>
      </c>
      <c r="F5478" s="7" t="s">
        <v>10945</v>
      </c>
      <c r="G5478" s="7" t="n">
        <v>2018</v>
      </c>
      <c r="H5478" s="7" t="s">
        <v>49</v>
      </c>
      <c r="I5478" s="7" t="s">
        <v>1028</v>
      </c>
      <c r="J5478" s="7" t="s">
        <v>39</v>
      </c>
      <c r="K5478" s="7" t="n">
        <f aca="false">IFERROR(VALUE(RIGHT(TRIM(F5478),4)),"")</f>
        <v>2019</v>
      </c>
      <c r="L5478" s="7" t="str">
        <f aca="false">IF(TRIM(E5478)="","Unknown",IFERROR(LEFT(TRIM(E5478),FIND(",",TRIM(E5478))-1),TRIM(E5478)))</f>
        <v>United States</v>
      </c>
      <c r="M5478" s="7" t="str">
        <f aca="false">IFERROR(LEFT(J5478,FIND(",",J5478)-1),J5478)</f>
        <v>Documentaries</v>
      </c>
      <c r="N5478" s="7" t="n">
        <f aca="false">IF(B5478="Movie",IFERROR(VALUE(LEFT(I5478,FIND(" ",I5478)-1)),""),"")</f>
        <v>54</v>
      </c>
      <c r="O5478" s="7" t="str">
        <f aca="false">IF(B5478="TV Show",IFERROR(VALUE(LEFT(I5478,FIND(" ",I5478)-1)),""),"")</f>
        <v/>
      </c>
      <c r="P5478" s="7" t="n">
        <f aca="false">IF(K5478="","",K5478-G5478)</f>
        <v>1</v>
      </c>
    </row>
    <row r="5479" customFormat="false" ht="15" hidden="false" customHeight="false" outlineLevel="0" collapsed="false">
      <c r="A5479" s="7" t="n">
        <v>81088283</v>
      </c>
      <c r="B5479" s="7" t="s">
        <v>68</v>
      </c>
      <c r="C5479" s="7" t="s">
        <v>10958</v>
      </c>
      <c r="D5479" s="7" t="s">
        <v>10959</v>
      </c>
      <c r="E5479" s="7" t="s">
        <v>10960</v>
      </c>
      <c r="F5479" s="7" t="s">
        <v>10945</v>
      </c>
      <c r="G5479" s="7" t="n">
        <v>2018</v>
      </c>
      <c r="H5479" s="7" t="s">
        <v>49</v>
      </c>
      <c r="I5479" s="7" t="s">
        <v>3882</v>
      </c>
      <c r="J5479" s="7" t="s">
        <v>5516</v>
      </c>
      <c r="K5479" s="7" t="n">
        <f aca="false">IFERROR(VALUE(RIGHT(TRIM(F5479),4)),"")</f>
        <v>2019</v>
      </c>
      <c r="L5479" s="7" t="str">
        <f aca="false">IF(TRIM(E5479)="","Unknown",IFERROR(LEFT(TRIM(E5479),FIND(",",TRIM(E5479))-1),TRIM(E5479)))</f>
        <v>Ireland</v>
      </c>
      <c r="M5479" s="7" t="str">
        <f aca="false">IFERROR(LEFT(J5479,FIND(",",J5479)-1),J5479)</f>
        <v>Documentaries</v>
      </c>
      <c r="N5479" s="7" t="n">
        <f aca="false">IF(B5479="Movie",IFERROR(VALUE(LEFT(I5479,FIND(" ",I5479)-1)),""),"")</f>
        <v>53</v>
      </c>
      <c r="O5479" s="7" t="str">
        <f aca="false">IF(B5479="TV Show",IFERROR(VALUE(LEFT(I5479,FIND(" ",I5479)-1)),""),"")</f>
        <v/>
      </c>
      <c r="P5479" s="7" t="n">
        <f aca="false">IF(K5479="","",K5479-G5479)</f>
        <v>1</v>
      </c>
    </row>
    <row r="5480" customFormat="false" ht="15" hidden="false" customHeight="false" outlineLevel="0" collapsed="false">
      <c r="A5480" s="7" t="n">
        <v>81072430</v>
      </c>
      <c r="B5480" s="7" t="s">
        <v>78</v>
      </c>
      <c r="C5480" s="7" t="s">
        <v>10961</v>
      </c>
      <c r="F5480" s="7" t="s">
        <v>10945</v>
      </c>
      <c r="G5480" s="7" t="n">
        <v>2017</v>
      </c>
      <c r="H5480" s="7" t="s">
        <v>55</v>
      </c>
      <c r="I5480" s="7" t="s">
        <v>82</v>
      </c>
      <c r="J5480" s="7" t="s">
        <v>44</v>
      </c>
      <c r="K5480" s="7" t="n">
        <f aca="false">IFERROR(VALUE(RIGHT(TRIM(F5480),4)),"")</f>
        <v>2019</v>
      </c>
      <c r="L5480" s="7" t="str">
        <f aca="false">IF(TRIM(E5480)="","Unknown",IFERROR(LEFT(TRIM(E5480),FIND(",",TRIM(E5480))-1),TRIM(E5480)))</f>
        <v>Unknown</v>
      </c>
      <c r="M5480" s="7" t="str">
        <f aca="false">IFERROR(LEFT(J5480,FIND(",",J5480)-1),J5480)</f>
        <v>Kids' TV</v>
      </c>
      <c r="N5480" s="7" t="str">
        <f aca="false">IF(B5480="Movie",IFERROR(VALUE(LEFT(I5480,FIND(" ",I5480)-1)),""),"")</f>
        <v/>
      </c>
      <c r="O5480" s="7" t="n">
        <f aca="false">IF(B5480="TV Show",IFERROR(VALUE(LEFT(I5480,FIND(" ",I5480)-1)),""),"")</f>
        <v>1</v>
      </c>
      <c r="P5480" s="7" t="n">
        <f aca="false">IF(K5480="","",K5480-G5480)</f>
        <v>2</v>
      </c>
    </row>
    <row r="5481" customFormat="false" ht="15" hidden="false" customHeight="false" outlineLevel="0" collapsed="false">
      <c r="A5481" s="7" t="n">
        <v>81039073</v>
      </c>
      <c r="B5481" s="7" t="s">
        <v>78</v>
      </c>
      <c r="C5481" s="7" t="s">
        <v>10962</v>
      </c>
      <c r="F5481" s="7" t="s">
        <v>10945</v>
      </c>
      <c r="G5481" s="7" t="n">
        <v>2018</v>
      </c>
      <c r="H5481" s="7" t="s">
        <v>81</v>
      </c>
      <c r="I5481" s="7" t="s">
        <v>82</v>
      </c>
      <c r="J5481" s="7" t="s">
        <v>191</v>
      </c>
      <c r="K5481" s="7" t="n">
        <f aca="false">IFERROR(VALUE(RIGHT(TRIM(F5481),4)),"")</f>
        <v>2019</v>
      </c>
      <c r="L5481" s="7" t="str">
        <f aca="false">IF(TRIM(E5481)="","Unknown",IFERROR(LEFT(TRIM(E5481),FIND(",",TRIM(E5481))-1),TRIM(E5481)))</f>
        <v>Unknown</v>
      </c>
      <c r="M5481" s="7" t="str">
        <f aca="false">IFERROR(LEFT(J5481,FIND(",",J5481)-1),J5481)</f>
        <v>Kids' TV</v>
      </c>
      <c r="N5481" s="7" t="str">
        <f aca="false">IF(B5481="Movie",IFERROR(VALUE(LEFT(I5481,FIND(" ",I5481)-1)),""),"")</f>
        <v/>
      </c>
      <c r="O5481" s="7" t="n">
        <f aca="false">IF(B5481="TV Show",IFERROR(VALUE(LEFT(I5481,FIND(" ",I5481)-1)),""),"")</f>
        <v>1</v>
      </c>
      <c r="P5481" s="7" t="n">
        <f aca="false">IF(K5481="","",K5481-G5481)</f>
        <v>1</v>
      </c>
    </row>
    <row r="5482" customFormat="false" ht="15" hidden="false" customHeight="false" outlineLevel="0" collapsed="false">
      <c r="A5482" s="7" t="n">
        <v>80141156</v>
      </c>
      <c r="B5482" s="7" t="s">
        <v>68</v>
      </c>
      <c r="C5482" s="7" t="s">
        <v>2410</v>
      </c>
      <c r="D5482" s="7" t="s">
        <v>10963</v>
      </c>
      <c r="E5482" s="7" t="s">
        <v>366</v>
      </c>
      <c r="F5482" s="7" t="s">
        <v>10945</v>
      </c>
      <c r="G5482" s="7" t="n">
        <v>2016</v>
      </c>
      <c r="H5482" s="7" t="s">
        <v>49</v>
      </c>
      <c r="I5482" s="7" t="s">
        <v>330</v>
      </c>
      <c r="J5482" s="7" t="s">
        <v>10964</v>
      </c>
      <c r="K5482" s="7" t="n">
        <f aca="false">IFERROR(VALUE(RIGHT(TRIM(F5482),4)),"")</f>
        <v>2019</v>
      </c>
      <c r="L5482" s="7" t="str">
        <f aca="false">IF(TRIM(E5482)="","Unknown",IFERROR(LEFT(TRIM(E5482),FIND(",",TRIM(E5482))-1),TRIM(E5482)))</f>
        <v>China</v>
      </c>
      <c r="M5482" s="7" t="str">
        <f aca="false">IFERROR(LEFT(J5482,FIND(",",J5482)-1),J5482)</f>
        <v>International Movies</v>
      </c>
      <c r="N5482" s="7" t="n">
        <f aca="false">IF(B5482="Movie",IFERROR(VALUE(LEFT(I5482,FIND(" ",I5482)-1)),""),"")</f>
        <v>103</v>
      </c>
      <c r="O5482" s="7" t="str">
        <f aca="false">IF(B5482="TV Show",IFERROR(VALUE(LEFT(I5482,FIND(" ",I5482)-1)),""),"")</f>
        <v/>
      </c>
      <c r="P5482" s="7" t="n">
        <f aca="false">IF(K5482="","",K5482-G5482)</f>
        <v>3</v>
      </c>
    </row>
    <row r="5483" customFormat="false" ht="15" hidden="false" customHeight="false" outlineLevel="0" collapsed="false">
      <c r="A5483" s="7" t="n">
        <v>81066709</v>
      </c>
      <c r="B5483" s="7" t="s">
        <v>78</v>
      </c>
      <c r="C5483" s="7" t="s">
        <v>10965</v>
      </c>
      <c r="E5483" s="7" t="s">
        <v>27</v>
      </c>
      <c r="F5483" s="7" t="s">
        <v>10945</v>
      </c>
      <c r="G5483" s="7" t="n">
        <v>2018</v>
      </c>
      <c r="H5483" s="7" t="s">
        <v>49</v>
      </c>
      <c r="I5483" s="7" t="s">
        <v>82</v>
      </c>
      <c r="J5483" s="7" t="s">
        <v>1357</v>
      </c>
      <c r="K5483" s="7" t="n">
        <f aca="false">IFERROR(VALUE(RIGHT(TRIM(F5483),4)),"")</f>
        <v>2019</v>
      </c>
      <c r="L5483" s="7" t="str">
        <f aca="false">IF(TRIM(E5483)="","Unknown",IFERROR(LEFT(TRIM(E5483),FIND(",",TRIM(E5483))-1),TRIM(E5483)))</f>
        <v>India</v>
      </c>
      <c r="M5483" s="7" t="str">
        <f aca="false">IFERROR(LEFT(J5483,FIND(",",J5483)-1),J5483)</f>
        <v>International TV Shows</v>
      </c>
      <c r="N5483" s="7" t="str">
        <f aca="false">IF(B5483="Movie",IFERROR(VALUE(LEFT(I5483,FIND(" ",I5483)-1)),""),"")</f>
        <v/>
      </c>
      <c r="O5483" s="7" t="n">
        <f aca="false">IF(B5483="TV Show",IFERROR(VALUE(LEFT(I5483,FIND(" ",I5483)-1)),""),"")</f>
        <v>1</v>
      </c>
      <c r="P5483" s="7" t="n">
        <f aca="false">IF(K5483="","",K5483-G5483)</f>
        <v>1</v>
      </c>
    </row>
    <row r="5484" customFormat="false" ht="15" hidden="false" customHeight="false" outlineLevel="0" collapsed="false">
      <c r="A5484" s="7" t="n">
        <v>70077546</v>
      </c>
      <c r="B5484" s="7" t="s">
        <v>68</v>
      </c>
      <c r="C5484" s="7" t="s">
        <v>10966</v>
      </c>
      <c r="D5484" s="7" t="s">
        <v>10967</v>
      </c>
      <c r="E5484" s="7" t="s">
        <v>26</v>
      </c>
      <c r="F5484" s="7" t="s">
        <v>10945</v>
      </c>
      <c r="G5484" s="7" t="n">
        <v>2007</v>
      </c>
      <c r="H5484" s="7" t="s">
        <v>52</v>
      </c>
      <c r="I5484" s="7" t="s">
        <v>235</v>
      </c>
      <c r="J5484" s="7" t="s">
        <v>269</v>
      </c>
      <c r="K5484" s="7" t="n">
        <f aca="false">IFERROR(VALUE(RIGHT(TRIM(F5484),4)),"")</f>
        <v>2019</v>
      </c>
      <c r="L5484" s="7" t="str">
        <f aca="false">IF(TRIM(E5484)="","Unknown",IFERROR(LEFT(TRIM(E5484),FIND(",",TRIM(E5484))-1),TRIM(E5484)))</f>
        <v>United States</v>
      </c>
      <c r="M5484" s="7" t="str">
        <f aca="false">IFERROR(LEFT(J5484,FIND(",",J5484)-1),J5484)</f>
        <v>Dramas</v>
      </c>
      <c r="N5484" s="7" t="n">
        <f aca="false">IF(B5484="Movie",IFERROR(VALUE(LEFT(I5484,FIND(" ",I5484)-1)),""),"")</f>
        <v>126</v>
      </c>
      <c r="O5484" s="7" t="str">
        <f aca="false">IF(B5484="TV Show",IFERROR(VALUE(LEFT(I5484,FIND(" ",I5484)-1)),""),"")</f>
        <v/>
      </c>
      <c r="P5484" s="7" t="n">
        <f aca="false">IF(K5484="","",K5484-G5484)</f>
        <v>12</v>
      </c>
    </row>
    <row r="5485" customFormat="false" ht="15" hidden="false" customHeight="false" outlineLevel="0" collapsed="false">
      <c r="A5485" s="7" t="n">
        <v>81049612</v>
      </c>
      <c r="B5485" s="7" t="s">
        <v>78</v>
      </c>
      <c r="C5485" s="7" t="s">
        <v>10968</v>
      </c>
      <c r="E5485" s="7" t="s">
        <v>711</v>
      </c>
      <c r="F5485" s="7" t="s">
        <v>10945</v>
      </c>
      <c r="G5485" s="7" t="n">
        <v>2018</v>
      </c>
      <c r="H5485" s="7" t="s">
        <v>48</v>
      </c>
      <c r="I5485" s="7" t="s">
        <v>82</v>
      </c>
      <c r="J5485" s="7" t="s">
        <v>344</v>
      </c>
      <c r="K5485" s="7" t="n">
        <f aca="false">IFERROR(VALUE(RIGHT(TRIM(F5485),4)),"")</f>
        <v>2019</v>
      </c>
      <c r="L5485" s="7" t="str">
        <f aca="false">IF(TRIM(E5485)="","Unknown",IFERROR(LEFT(TRIM(E5485),FIND(",",TRIM(E5485))-1),TRIM(E5485)))</f>
        <v>Lebanon</v>
      </c>
      <c r="M5485" s="7" t="str">
        <f aca="false">IFERROR(LEFT(J5485,FIND(",",J5485)-1),J5485)</f>
        <v>International TV Shows</v>
      </c>
      <c r="N5485" s="7" t="str">
        <f aca="false">IF(B5485="Movie",IFERROR(VALUE(LEFT(I5485,FIND(" ",I5485)-1)),""),"")</f>
        <v/>
      </c>
      <c r="O5485" s="7" t="n">
        <f aca="false">IF(B5485="TV Show",IFERROR(VALUE(LEFT(I5485,FIND(" ",I5485)-1)),""),"")</f>
        <v>1</v>
      </c>
      <c r="P5485" s="7" t="n">
        <f aca="false">IF(K5485="","",K5485-G5485)</f>
        <v>1</v>
      </c>
    </row>
    <row r="5486" customFormat="false" ht="15" hidden="false" customHeight="false" outlineLevel="0" collapsed="false">
      <c r="A5486" s="7" t="n">
        <v>70063591</v>
      </c>
      <c r="B5486" s="7" t="s">
        <v>68</v>
      </c>
      <c r="C5486" s="7" t="s">
        <v>10969</v>
      </c>
      <c r="D5486" s="7" t="s">
        <v>10970</v>
      </c>
      <c r="E5486" s="7" t="s">
        <v>317</v>
      </c>
      <c r="F5486" s="7" t="s">
        <v>10945</v>
      </c>
      <c r="G5486" s="7" t="n">
        <v>2006</v>
      </c>
      <c r="H5486" s="7" t="s">
        <v>54</v>
      </c>
      <c r="I5486" s="7" t="s">
        <v>357</v>
      </c>
      <c r="J5486" s="7" t="s">
        <v>829</v>
      </c>
      <c r="K5486" s="7" t="n">
        <f aca="false">IFERROR(VALUE(RIGHT(TRIM(F5486),4)),"")</f>
        <v>2019</v>
      </c>
      <c r="L5486" s="7" t="str">
        <f aca="false">IF(TRIM(E5486)="","Unknown",IFERROR(LEFT(TRIM(E5486),FIND(",",TRIM(E5486))-1),TRIM(E5486)))</f>
        <v>United Kingdom</v>
      </c>
      <c r="M5486" s="7" t="str">
        <f aca="false">IFERROR(LEFT(J5486,FIND(",",J5486)-1),J5486)</f>
        <v>Children &amp; Family Movies</v>
      </c>
      <c r="N5486" s="7" t="n">
        <f aca="false">IF(B5486="Movie",IFERROR(VALUE(LEFT(I5486,FIND(" ",I5486)-1)),""),"")</f>
        <v>89</v>
      </c>
      <c r="O5486" s="7" t="str">
        <f aca="false">IF(B5486="TV Show",IFERROR(VALUE(LEFT(I5486,FIND(" ",I5486)-1)),""),"")</f>
        <v/>
      </c>
      <c r="P5486" s="7" t="n">
        <f aca="false">IF(K5486="","",K5486-G5486)</f>
        <v>13</v>
      </c>
    </row>
    <row r="5487" customFormat="false" ht="15" hidden="false" customHeight="false" outlineLevel="0" collapsed="false">
      <c r="A5487" s="7" t="n">
        <v>81052280</v>
      </c>
      <c r="B5487" s="7" t="s">
        <v>68</v>
      </c>
      <c r="C5487" s="7" t="s">
        <v>10971</v>
      </c>
      <c r="D5487" s="7" t="s">
        <v>10972</v>
      </c>
      <c r="E5487" s="7" t="s">
        <v>10973</v>
      </c>
      <c r="F5487" s="7" t="s">
        <v>10945</v>
      </c>
      <c r="G5487" s="7" t="n">
        <v>2018</v>
      </c>
      <c r="H5487" s="7" t="s">
        <v>49</v>
      </c>
      <c r="I5487" s="7" t="s">
        <v>549</v>
      </c>
      <c r="J5487" s="7" t="s">
        <v>188</v>
      </c>
      <c r="K5487" s="7" t="n">
        <f aca="false">IFERROR(VALUE(RIGHT(TRIM(F5487),4)),"")</f>
        <v>2019</v>
      </c>
      <c r="L5487" s="7" t="str">
        <f aca="false">IF(TRIM(E5487)="","Unknown",IFERROR(LEFT(TRIM(E5487),FIND(",",TRIM(E5487))-1),TRIM(E5487)))</f>
        <v>Pakistan</v>
      </c>
      <c r="M5487" s="7" t="str">
        <f aca="false">IFERROR(LEFT(J5487,FIND(",",J5487)-1),J5487)</f>
        <v>Dramas</v>
      </c>
      <c r="N5487" s="7" t="n">
        <f aca="false">IF(B5487="Movie",IFERROR(VALUE(LEFT(I5487,FIND(" ",I5487)-1)),""),"")</f>
        <v>124</v>
      </c>
      <c r="O5487" s="7" t="str">
        <f aca="false">IF(B5487="TV Show",IFERROR(VALUE(LEFT(I5487,FIND(" ",I5487)-1)),""),"")</f>
        <v/>
      </c>
      <c r="P5487" s="7" t="n">
        <f aca="false">IF(K5487="","",K5487-G5487)</f>
        <v>1</v>
      </c>
    </row>
    <row r="5488" customFormat="false" ht="15" hidden="false" customHeight="false" outlineLevel="0" collapsed="false">
      <c r="A5488" s="7" t="n">
        <v>80095866</v>
      </c>
      <c r="B5488" s="7" t="s">
        <v>78</v>
      </c>
      <c r="C5488" s="7" t="s">
        <v>10974</v>
      </c>
      <c r="E5488" s="7" t="s">
        <v>28</v>
      </c>
      <c r="F5488" s="7" t="s">
        <v>10945</v>
      </c>
      <c r="G5488" s="7" t="n">
        <v>2016</v>
      </c>
      <c r="H5488" s="7" t="s">
        <v>50</v>
      </c>
      <c r="I5488" s="7" t="s">
        <v>82</v>
      </c>
      <c r="J5488" s="7" t="s">
        <v>306</v>
      </c>
      <c r="K5488" s="7" t="n">
        <f aca="false">IFERROR(VALUE(RIGHT(TRIM(F5488),4)),"")</f>
        <v>2019</v>
      </c>
      <c r="L5488" s="7" t="str">
        <f aca="false">IF(TRIM(E5488)="","Unknown",IFERROR(LEFT(TRIM(E5488),FIND(",",TRIM(E5488))-1),TRIM(E5488)))</f>
        <v>United Kingdom</v>
      </c>
      <c r="M5488" s="7" t="str">
        <f aca="false">IFERROR(LEFT(J5488,FIND(",",J5488)-1),J5488)</f>
        <v>British TV Shows</v>
      </c>
      <c r="N5488" s="7" t="str">
        <f aca="false">IF(B5488="Movie",IFERROR(VALUE(LEFT(I5488,FIND(" ",I5488)-1)),""),"")</f>
        <v/>
      </c>
      <c r="O5488" s="7" t="n">
        <f aca="false">IF(B5488="TV Show",IFERROR(VALUE(LEFT(I5488,FIND(" ",I5488)-1)),""),"")</f>
        <v>1</v>
      </c>
      <c r="P5488" s="7" t="n">
        <f aca="false">IF(K5488="","",K5488-G5488)</f>
        <v>3</v>
      </c>
    </row>
    <row r="5489" customFormat="false" ht="15" hidden="false" customHeight="false" outlineLevel="0" collapsed="false">
      <c r="A5489" s="7" t="n">
        <v>70110558</v>
      </c>
      <c r="B5489" s="7" t="s">
        <v>68</v>
      </c>
      <c r="C5489" s="7" t="s">
        <v>10975</v>
      </c>
      <c r="D5489" s="7" t="s">
        <v>7576</v>
      </c>
      <c r="E5489" s="7" t="s">
        <v>7482</v>
      </c>
      <c r="F5489" s="7" t="s">
        <v>10945</v>
      </c>
      <c r="G5489" s="7" t="n">
        <v>2009</v>
      </c>
      <c r="H5489" s="7" t="s">
        <v>52</v>
      </c>
      <c r="I5489" s="7" t="s">
        <v>261</v>
      </c>
      <c r="J5489" s="7" t="s">
        <v>967</v>
      </c>
      <c r="K5489" s="7" t="n">
        <f aca="false">IFERROR(VALUE(RIGHT(TRIM(F5489),4)),"")</f>
        <v>2019</v>
      </c>
      <c r="L5489" s="7" t="str">
        <f aca="false">IF(TRIM(E5489)="","Unknown",IFERROR(LEFT(TRIM(E5489),FIND(",",TRIM(E5489))-1),TRIM(E5489)))</f>
        <v>United States</v>
      </c>
      <c r="M5489" s="7" t="str">
        <f aca="false">IFERROR(LEFT(J5489,FIND(",",J5489)-1),J5489)</f>
        <v>Action &amp; Adventure</v>
      </c>
      <c r="N5489" s="7" t="n">
        <f aca="false">IF(B5489="Movie",IFERROR(VALUE(LEFT(I5489,FIND(" ",I5489)-1)),""),"")</f>
        <v>128</v>
      </c>
      <c r="O5489" s="7" t="str">
        <f aca="false">IF(B5489="TV Show",IFERROR(VALUE(LEFT(I5489,FIND(" ",I5489)-1)),""),"")</f>
        <v/>
      </c>
      <c r="P5489" s="7" t="n">
        <f aca="false">IF(K5489="","",K5489-G5489)</f>
        <v>10</v>
      </c>
    </row>
    <row r="5490" customFormat="false" ht="15" hidden="false" customHeight="false" outlineLevel="0" collapsed="false">
      <c r="A5490" s="7" t="n">
        <v>60020916</v>
      </c>
      <c r="B5490" s="7" t="s">
        <v>68</v>
      </c>
      <c r="C5490" s="7" t="s">
        <v>10976</v>
      </c>
      <c r="D5490" s="7" t="s">
        <v>4325</v>
      </c>
      <c r="E5490" s="7" t="s">
        <v>26</v>
      </c>
      <c r="F5490" s="7" t="s">
        <v>10945</v>
      </c>
      <c r="G5490" s="7" t="n">
        <v>2001</v>
      </c>
      <c r="H5490" s="7" t="s">
        <v>54</v>
      </c>
      <c r="I5490" s="7" t="s">
        <v>264</v>
      </c>
      <c r="J5490" s="7" t="s">
        <v>74</v>
      </c>
      <c r="K5490" s="7" t="n">
        <f aca="false">IFERROR(VALUE(RIGHT(TRIM(F5490),4)),"")</f>
        <v>2019</v>
      </c>
      <c r="L5490" s="7" t="str">
        <f aca="false">IF(TRIM(E5490)="","Unknown",IFERROR(LEFT(TRIM(E5490),FIND(",",TRIM(E5490))-1),TRIM(E5490)))</f>
        <v>United States</v>
      </c>
      <c r="M5490" s="7" t="str">
        <f aca="false">IFERROR(LEFT(J5490,FIND(",",J5490)-1),J5490)</f>
        <v>Children &amp; Family Movies</v>
      </c>
      <c r="N5490" s="7" t="n">
        <f aca="false">IF(B5490="Movie",IFERROR(VALUE(LEFT(I5490,FIND(" ",I5490)-1)),""),"")</f>
        <v>88</v>
      </c>
      <c r="O5490" s="7" t="str">
        <f aca="false">IF(B5490="TV Show",IFERROR(VALUE(LEFT(I5490,FIND(" ",I5490)-1)),""),"")</f>
        <v/>
      </c>
      <c r="P5490" s="7" t="n">
        <f aca="false">IF(K5490="","",K5490-G5490)</f>
        <v>18</v>
      </c>
    </row>
    <row r="5491" customFormat="false" ht="15" hidden="false" customHeight="false" outlineLevel="0" collapsed="false">
      <c r="A5491" s="7" t="n">
        <v>60029178</v>
      </c>
      <c r="B5491" s="7" t="s">
        <v>68</v>
      </c>
      <c r="C5491" s="7" t="s">
        <v>10977</v>
      </c>
      <c r="D5491" s="7" t="s">
        <v>4325</v>
      </c>
      <c r="E5491" s="7" t="s">
        <v>26</v>
      </c>
      <c r="F5491" s="7" t="s">
        <v>10945</v>
      </c>
      <c r="G5491" s="7" t="n">
        <v>2003</v>
      </c>
      <c r="H5491" s="7" t="s">
        <v>54</v>
      </c>
      <c r="I5491" s="7" t="s">
        <v>524</v>
      </c>
      <c r="J5491" s="7" t="s">
        <v>74</v>
      </c>
      <c r="K5491" s="7" t="n">
        <f aca="false">IFERROR(VALUE(RIGHT(TRIM(F5491),4)),"")</f>
        <v>2019</v>
      </c>
      <c r="L5491" s="7" t="str">
        <f aca="false">IF(TRIM(E5491)="","Unknown",IFERROR(LEFT(TRIM(E5491),FIND(",",TRIM(E5491))-1),TRIM(E5491)))</f>
        <v>United States</v>
      </c>
      <c r="M5491" s="7" t="str">
        <f aca="false">IFERROR(LEFT(J5491,FIND(",",J5491)-1),J5491)</f>
        <v>Children &amp; Family Movies</v>
      </c>
      <c r="N5491" s="7" t="n">
        <f aca="false">IF(B5491="Movie",IFERROR(VALUE(LEFT(I5491,FIND(" ",I5491)-1)),""),"")</f>
        <v>83</v>
      </c>
      <c r="O5491" s="7" t="str">
        <f aca="false">IF(B5491="TV Show",IFERROR(VALUE(LEFT(I5491,FIND(" ",I5491)-1)),""),"")</f>
        <v/>
      </c>
      <c r="P5491" s="7" t="n">
        <f aca="false">IF(K5491="","",K5491-G5491)</f>
        <v>16</v>
      </c>
    </row>
    <row r="5492" customFormat="false" ht="15" hidden="false" customHeight="false" outlineLevel="0" collapsed="false">
      <c r="A5492" s="7" t="n">
        <v>70296735</v>
      </c>
      <c r="B5492" s="7" t="s">
        <v>78</v>
      </c>
      <c r="C5492" s="7" t="s">
        <v>10978</v>
      </c>
      <c r="E5492" s="7" t="s">
        <v>32</v>
      </c>
      <c r="F5492" s="7" t="s">
        <v>10945</v>
      </c>
      <c r="G5492" s="7" t="n">
        <v>2013</v>
      </c>
      <c r="H5492" s="7" t="s">
        <v>49</v>
      </c>
      <c r="I5492" s="7" t="s">
        <v>82</v>
      </c>
      <c r="J5492" s="7" t="s">
        <v>637</v>
      </c>
      <c r="K5492" s="7" t="n">
        <f aca="false">IFERROR(VALUE(RIGHT(TRIM(F5492),4)),"")</f>
        <v>2019</v>
      </c>
      <c r="L5492" s="7" t="str">
        <f aca="false">IF(TRIM(E5492)="","Unknown",IFERROR(LEFT(TRIM(E5492),FIND(",",TRIM(E5492))-1),TRIM(E5492)))</f>
        <v>South Korea</v>
      </c>
      <c r="M5492" s="7" t="str">
        <f aca="false">IFERROR(LEFT(J5492,FIND(",",J5492)-1),J5492)</f>
        <v>International TV Shows</v>
      </c>
      <c r="N5492" s="7" t="str">
        <f aca="false">IF(B5492="Movie",IFERROR(VALUE(LEFT(I5492,FIND(" ",I5492)-1)),""),"")</f>
        <v/>
      </c>
      <c r="O5492" s="7" t="n">
        <f aca="false">IF(B5492="TV Show",IFERROR(VALUE(LEFT(I5492,FIND(" ",I5492)-1)),""),"")</f>
        <v>1</v>
      </c>
      <c r="P5492" s="7" t="n">
        <f aca="false">IF(K5492="","",K5492-G5492)</f>
        <v>6</v>
      </c>
    </row>
    <row r="5493" customFormat="false" ht="15" hidden="false" customHeight="false" outlineLevel="0" collapsed="false">
      <c r="A5493" s="7" t="n">
        <v>80103336</v>
      </c>
      <c r="B5493" s="7" t="s">
        <v>68</v>
      </c>
      <c r="C5493" s="7" t="s">
        <v>10979</v>
      </c>
      <c r="D5493" s="7" t="s">
        <v>10980</v>
      </c>
      <c r="E5493" s="7" t="s">
        <v>1714</v>
      </c>
      <c r="F5493" s="7" t="s">
        <v>10945</v>
      </c>
      <c r="G5493" s="7" t="n">
        <v>2017</v>
      </c>
      <c r="H5493" s="7" t="s">
        <v>52</v>
      </c>
      <c r="I5493" s="7" t="s">
        <v>138</v>
      </c>
      <c r="J5493" s="7" t="s">
        <v>147</v>
      </c>
      <c r="K5493" s="7" t="n">
        <f aca="false">IFERROR(VALUE(RIGHT(TRIM(F5493),4)),"")</f>
        <v>2019</v>
      </c>
      <c r="L5493" s="7" t="str">
        <f aca="false">IF(TRIM(E5493)="","Unknown",IFERROR(LEFT(TRIM(E5493),FIND(",",TRIM(E5493))-1),TRIM(E5493)))</f>
        <v>United States</v>
      </c>
      <c r="M5493" s="7" t="str">
        <f aca="false">IFERROR(LEFT(J5493,FIND(",",J5493)-1),J5493)</f>
        <v>Horror Movies</v>
      </c>
      <c r="N5493" s="7" t="n">
        <f aca="false">IF(B5493="Movie",IFERROR(VALUE(LEFT(I5493,FIND(" ",I5493)-1)),""),"")</f>
        <v>96</v>
      </c>
      <c r="O5493" s="7" t="str">
        <f aca="false">IF(B5493="TV Show",IFERROR(VALUE(LEFT(I5493,FIND(" ",I5493)-1)),""),"")</f>
        <v/>
      </c>
      <c r="P5493" s="7" t="n">
        <f aca="false">IF(K5493="","",K5493-G5493)</f>
        <v>2</v>
      </c>
    </row>
    <row r="5494" customFormat="false" ht="15" hidden="false" customHeight="false" outlineLevel="0" collapsed="false">
      <c r="A5494" s="7" t="n">
        <v>81066723</v>
      </c>
      <c r="B5494" s="7" t="s">
        <v>78</v>
      </c>
      <c r="C5494" s="7" t="s">
        <v>10981</v>
      </c>
      <c r="D5494" s="7" t="s">
        <v>10982</v>
      </c>
      <c r="E5494" s="7" t="s">
        <v>27</v>
      </c>
      <c r="F5494" s="7" t="s">
        <v>10945</v>
      </c>
      <c r="G5494" s="7" t="n">
        <v>2018</v>
      </c>
      <c r="H5494" s="7" t="s">
        <v>48</v>
      </c>
      <c r="I5494" s="7" t="s">
        <v>82</v>
      </c>
      <c r="J5494" s="7" t="s">
        <v>884</v>
      </c>
      <c r="K5494" s="7" t="n">
        <f aca="false">IFERROR(VALUE(RIGHT(TRIM(F5494),4)),"")</f>
        <v>2019</v>
      </c>
      <c r="L5494" s="7" t="str">
        <f aca="false">IF(TRIM(E5494)="","Unknown",IFERROR(LEFT(TRIM(E5494),FIND(",",TRIM(E5494))-1),TRIM(E5494)))</f>
        <v>India</v>
      </c>
      <c r="M5494" s="7" t="str">
        <f aca="false">IFERROR(LEFT(J5494,FIND(",",J5494)-1),J5494)</f>
        <v>International TV Shows</v>
      </c>
      <c r="N5494" s="7" t="str">
        <f aca="false">IF(B5494="Movie",IFERROR(VALUE(LEFT(I5494,FIND(" ",I5494)-1)),""),"")</f>
        <v/>
      </c>
      <c r="O5494" s="7" t="n">
        <f aca="false">IF(B5494="TV Show",IFERROR(VALUE(LEFT(I5494,FIND(" ",I5494)-1)),""),"")</f>
        <v>1</v>
      </c>
      <c r="P5494" s="7" t="n">
        <f aca="false">IF(K5494="","",K5494-G5494)</f>
        <v>1</v>
      </c>
    </row>
    <row r="5495" customFormat="false" ht="15" hidden="false" customHeight="false" outlineLevel="0" collapsed="false">
      <c r="A5495" s="7" t="n">
        <v>80006149</v>
      </c>
      <c r="B5495" s="7" t="s">
        <v>78</v>
      </c>
      <c r="C5495" s="7" t="s">
        <v>10983</v>
      </c>
      <c r="E5495" s="7" t="s">
        <v>30</v>
      </c>
      <c r="F5495" s="7" t="s">
        <v>10945</v>
      </c>
      <c r="G5495" s="7" t="n">
        <v>2013</v>
      </c>
      <c r="H5495" s="7" t="s">
        <v>49</v>
      </c>
      <c r="I5495" s="7" t="s">
        <v>82</v>
      </c>
      <c r="J5495" s="7" t="s">
        <v>2368</v>
      </c>
      <c r="K5495" s="7" t="n">
        <f aca="false">IFERROR(VALUE(RIGHT(TRIM(F5495),4)),"")</f>
        <v>2019</v>
      </c>
      <c r="L5495" s="7" t="str">
        <f aca="false">IF(TRIM(E5495)="","Unknown",IFERROR(LEFT(TRIM(E5495),FIND(",",TRIM(E5495))-1),TRIM(E5495)))</f>
        <v>Japan</v>
      </c>
      <c r="M5495" s="7" t="str">
        <f aca="false">IFERROR(LEFT(J5495,FIND(",",J5495)-1),J5495)</f>
        <v>Anime Series</v>
      </c>
      <c r="N5495" s="7" t="str">
        <f aca="false">IF(B5495="Movie",IFERROR(VALUE(LEFT(I5495,FIND(" ",I5495)-1)),""),"")</f>
        <v/>
      </c>
      <c r="O5495" s="7" t="n">
        <f aca="false">IF(B5495="TV Show",IFERROR(VALUE(LEFT(I5495,FIND(" ",I5495)-1)),""),"")</f>
        <v>1</v>
      </c>
      <c r="P5495" s="7" t="n">
        <f aca="false">IF(K5495="","",K5495-G5495)</f>
        <v>6</v>
      </c>
    </row>
    <row r="5496" customFormat="false" ht="15" hidden="false" customHeight="false" outlineLevel="0" collapsed="false">
      <c r="A5496" s="7" t="n">
        <v>80207445</v>
      </c>
      <c r="B5496" s="7" t="s">
        <v>68</v>
      </c>
      <c r="C5496" s="7" t="s">
        <v>10984</v>
      </c>
      <c r="D5496" s="7" t="s">
        <v>8609</v>
      </c>
      <c r="E5496" s="7" t="s">
        <v>27</v>
      </c>
      <c r="F5496" s="7" t="s">
        <v>10945</v>
      </c>
      <c r="G5496" s="7" t="n">
        <v>2016</v>
      </c>
      <c r="H5496" s="7" t="s">
        <v>50</v>
      </c>
      <c r="I5496" s="7" t="s">
        <v>1270</v>
      </c>
      <c r="J5496" s="7" t="s">
        <v>217</v>
      </c>
      <c r="K5496" s="7" t="n">
        <f aca="false">IFERROR(VALUE(RIGHT(TRIM(F5496),4)),"")</f>
        <v>2019</v>
      </c>
      <c r="L5496" s="7" t="str">
        <f aca="false">IF(TRIM(E5496)="","Unknown",IFERROR(LEFT(TRIM(E5496),FIND(",",TRIM(E5496))-1),TRIM(E5496)))</f>
        <v>India</v>
      </c>
      <c r="M5496" s="7" t="str">
        <f aca="false">IFERROR(LEFT(J5496,FIND(",",J5496)-1),J5496)</f>
        <v>Comedies</v>
      </c>
      <c r="N5496" s="7" t="n">
        <f aca="false">IF(B5496="Movie",IFERROR(VALUE(LEFT(I5496,FIND(" ",I5496)-1)),""),"")</f>
        <v>118</v>
      </c>
      <c r="O5496" s="7" t="str">
        <f aca="false">IF(B5496="TV Show",IFERROR(VALUE(LEFT(I5496,FIND(" ",I5496)-1)),""),"")</f>
        <v/>
      </c>
      <c r="P5496" s="7" t="n">
        <f aca="false">IF(K5496="","",K5496-G5496)</f>
        <v>3</v>
      </c>
    </row>
    <row r="5497" customFormat="false" ht="15" hidden="false" customHeight="false" outlineLevel="0" collapsed="false">
      <c r="A5497" s="7" t="n">
        <v>80209751</v>
      </c>
      <c r="B5497" s="7" t="s">
        <v>68</v>
      </c>
      <c r="C5497" s="7" t="s">
        <v>10985</v>
      </c>
      <c r="D5497" s="7" t="s">
        <v>10986</v>
      </c>
      <c r="E5497" s="7" t="s">
        <v>26</v>
      </c>
      <c r="F5497" s="7" t="s">
        <v>10945</v>
      </c>
      <c r="G5497" s="7" t="n">
        <v>2017</v>
      </c>
      <c r="H5497" s="7" t="s">
        <v>48</v>
      </c>
      <c r="I5497" s="7" t="s">
        <v>470</v>
      </c>
      <c r="J5497" s="7" t="s">
        <v>38</v>
      </c>
      <c r="K5497" s="7" t="n">
        <f aca="false">IFERROR(VALUE(RIGHT(TRIM(F5497),4)),"")</f>
        <v>2019</v>
      </c>
      <c r="L5497" s="7" t="str">
        <f aca="false">IF(TRIM(E5497)="","Unknown",IFERROR(LEFT(TRIM(E5497),FIND(",",TRIM(E5497))-1),TRIM(E5497)))</f>
        <v>United States</v>
      </c>
      <c r="M5497" s="7" t="str">
        <f aca="false">IFERROR(LEFT(J5497,FIND(",",J5497)-1),J5497)</f>
        <v>Comedies</v>
      </c>
      <c r="N5497" s="7" t="n">
        <f aca="false">IF(B5497="Movie",IFERROR(VALUE(LEFT(I5497,FIND(" ",I5497)-1)),""),"")</f>
        <v>91</v>
      </c>
      <c r="O5497" s="7" t="str">
        <f aca="false">IF(B5497="TV Show",IFERROR(VALUE(LEFT(I5497,FIND(" ",I5497)-1)),""),"")</f>
        <v/>
      </c>
      <c r="P5497" s="7" t="n">
        <f aca="false">IF(K5497="","",K5497-G5497)</f>
        <v>2</v>
      </c>
    </row>
    <row r="5498" customFormat="false" ht="15" hidden="false" customHeight="false" outlineLevel="0" collapsed="false">
      <c r="A5498" s="7" t="n">
        <v>80063773</v>
      </c>
      <c r="B5498" s="7" t="s">
        <v>68</v>
      </c>
      <c r="C5498" s="7" t="s">
        <v>10987</v>
      </c>
      <c r="D5498" s="7" t="s">
        <v>10988</v>
      </c>
      <c r="E5498" s="7" t="s">
        <v>26</v>
      </c>
      <c r="F5498" s="7" t="s">
        <v>10945</v>
      </c>
      <c r="G5498" s="7" t="n">
        <v>2015</v>
      </c>
      <c r="H5498" s="7" t="s">
        <v>51</v>
      </c>
      <c r="I5498" s="7" t="s">
        <v>470</v>
      </c>
      <c r="J5498" s="7" t="s">
        <v>811</v>
      </c>
      <c r="K5498" s="7" t="n">
        <f aca="false">IFERROR(VALUE(RIGHT(TRIM(F5498),4)),"")</f>
        <v>2019</v>
      </c>
      <c r="L5498" s="7" t="str">
        <f aca="false">IF(TRIM(E5498)="","Unknown",IFERROR(LEFT(TRIM(E5498),FIND(",",TRIM(E5498))-1),TRIM(E5498)))</f>
        <v>United States</v>
      </c>
      <c r="M5498" s="7" t="str">
        <f aca="false">IFERROR(LEFT(J5498,FIND(",",J5498)-1),J5498)</f>
        <v>Thrillers</v>
      </c>
      <c r="N5498" s="7" t="n">
        <f aca="false">IF(B5498="Movie",IFERROR(VALUE(LEFT(I5498,FIND(" ",I5498)-1)),""),"")</f>
        <v>91</v>
      </c>
      <c r="O5498" s="7" t="str">
        <f aca="false">IF(B5498="TV Show",IFERROR(VALUE(LEFT(I5498,FIND(" ",I5498)-1)),""),"")</f>
        <v/>
      </c>
      <c r="P5498" s="7" t="n">
        <f aca="false">IF(K5498="","",K5498-G5498)</f>
        <v>4</v>
      </c>
    </row>
    <row r="5499" customFormat="false" ht="15" hidden="false" customHeight="false" outlineLevel="0" collapsed="false">
      <c r="A5499" s="7" t="n">
        <v>81088284</v>
      </c>
      <c r="B5499" s="7" t="s">
        <v>68</v>
      </c>
      <c r="C5499" s="7" t="s">
        <v>10989</v>
      </c>
      <c r="D5499" s="7" t="s">
        <v>10990</v>
      </c>
      <c r="E5499" s="7" t="s">
        <v>28</v>
      </c>
      <c r="F5499" s="7" t="s">
        <v>10945</v>
      </c>
      <c r="G5499" s="7" t="n">
        <v>2018</v>
      </c>
      <c r="H5499" s="7" t="s">
        <v>50</v>
      </c>
      <c r="I5499" s="7" t="s">
        <v>3882</v>
      </c>
      <c r="J5499" s="7" t="s">
        <v>39</v>
      </c>
      <c r="K5499" s="7" t="n">
        <f aca="false">IFERROR(VALUE(RIGHT(TRIM(F5499),4)),"")</f>
        <v>2019</v>
      </c>
      <c r="L5499" s="7" t="str">
        <f aca="false">IF(TRIM(E5499)="","Unknown",IFERROR(LEFT(TRIM(E5499),FIND(",",TRIM(E5499))-1),TRIM(E5499)))</f>
        <v>United Kingdom</v>
      </c>
      <c r="M5499" s="7" t="str">
        <f aca="false">IFERROR(LEFT(J5499,FIND(",",J5499)-1),J5499)</f>
        <v>Documentaries</v>
      </c>
      <c r="N5499" s="7" t="n">
        <f aca="false">IF(B5499="Movie",IFERROR(VALUE(LEFT(I5499,FIND(" ",I5499)-1)),""),"")</f>
        <v>53</v>
      </c>
      <c r="O5499" s="7" t="str">
        <f aca="false">IF(B5499="TV Show",IFERROR(VALUE(LEFT(I5499,FIND(" ",I5499)-1)),""),"")</f>
        <v/>
      </c>
      <c r="P5499" s="7" t="n">
        <f aca="false">IF(K5499="","",K5499-G5499)</f>
        <v>1</v>
      </c>
    </row>
    <row r="5500" customFormat="false" ht="15" hidden="false" customHeight="false" outlineLevel="0" collapsed="false">
      <c r="A5500" s="7" t="n">
        <v>80231373</v>
      </c>
      <c r="B5500" s="7" t="s">
        <v>78</v>
      </c>
      <c r="C5500" s="7" t="s">
        <v>10991</v>
      </c>
      <c r="E5500" s="7" t="s">
        <v>2367</v>
      </c>
      <c r="F5500" s="7" t="s">
        <v>10945</v>
      </c>
      <c r="G5500" s="7" t="n">
        <v>2019</v>
      </c>
      <c r="H5500" s="7" t="s">
        <v>49</v>
      </c>
      <c r="I5500" s="7" t="s">
        <v>82</v>
      </c>
      <c r="J5500" s="7" t="s">
        <v>542</v>
      </c>
      <c r="K5500" s="7" t="n">
        <f aca="false">IFERROR(VALUE(RIGHT(TRIM(F5500),4)),"")</f>
        <v>2019</v>
      </c>
      <c r="L5500" s="7" t="str">
        <f aca="false">IF(TRIM(E5500)="","Unknown",IFERROR(LEFT(TRIM(E5500),FIND(",",TRIM(E5500))-1),TRIM(E5500)))</f>
        <v>United States</v>
      </c>
      <c r="M5500" s="7" t="str">
        <f aca="false">IFERROR(LEFT(J5500,FIND(",",J5500)-1),J5500)</f>
        <v>Anime Series</v>
      </c>
      <c r="N5500" s="7" t="str">
        <f aca="false">IF(B5500="Movie",IFERROR(VALUE(LEFT(I5500,FIND(" ",I5500)-1)),""),"")</f>
        <v/>
      </c>
      <c r="O5500" s="7" t="n">
        <f aca="false">IF(B5500="TV Show",IFERROR(VALUE(LEFT(I5500,FIND(" ",I5500)-1)),""),"")</f>
        <v>1</v>
      </c>
      <c r="P5500" s="7" t="n">
        <f aca="false">IF(K5500="","",K5500-G5500)</f>
        <v>0</v>
      </c>
    </row>
    <row r="5501" customFormat="false" ht="15" hidden="false" customHeight="false" outlineLevel="0" collapsed="false">
      <c r="A5501" s="7" t="n">
        <v>70061480</v>
      </c>
      <c r="B5501" s="7" t="s">
        <v>68</v>
      </c>
      <c r="C5501" s="7" t="s">
        <v>10992</v>
      </c>
      <c r="D5501" s="7" t="s">
        <v>10993</v>
      </c>
      <c r="E5501" s="7" t="s">
        <v>230</v>
      </c>
      <c r="F5501" s="7" t="s">
        <v>10945</v>
      </c>
      <c r="G5501" s="7" t="n">
        <v>2007</v>
      </c>
      <c r="H5501" s="7" t="s">
        <v>51</v>
      </c>
      <c r="I5501" s="7" t="s">
        <v>330</v>
      </c>
      <c r="J5501" s="7" t="s">
        <v>40</v>
      </c>
      <c r="K5501" s="7" t="n">
        <f aca="false">IFERROR(VALUE(RIGHT(TRIM(F5501),4)),"")</f>
        <v>2019</v>
      </c>
      <c r="L5501" s="7" t="str">
        <f aca="false">IF(TRIM(E5501)="","Unknown",IFERROR(LEFT(TRIM(E5501),FIND(",",TRIM(E5501))-1),TRIM(E5501)))</f>
        <v>United States</v>
      </c>
      <c r="M5501" s="7" t="str">
        <f aca="false">IFERROR(LEFT(J5501,FIND(",",J5501)-1),J5501)</f>
        <v>Action &amp; Adventure</v>
      </c>
      <c r="N5501" s="7" t="n">
        <f aca="false">IF(B5501="Movie",IFERROR(VALUE(LEFT(I5501,FIND(" ",I5501)-1)),""),"")</f>
        <v>103</v>
      </c>
      <c r="O5501" s="7" t="str">
        <f aca="false">IF(B5501="TV Show",IFERROR(VALUE(LEFT(I5501,FIND(" ",I5501)-1)),""),"")</f>
        <v/>
      </c>
      <c r="P5501" s="7" t="n">
        <f aca="false">IF(K5501="","",K5501-G5501)</f>
        <v>12</v>
      </c>
    </row>
    <row r="5502" customFormat="false" ht="15" hidden="false" customHeight="false" outlineLevel="0" collapsed="false">
      <c r="A5502" s="7" t="n">
        <v>80987611</v>
      </c>
      <c r="B5502" s="7" t="s">
        <v>68</v>
      </c>
      <c r="C5502" s="7" t="s">
        <v>10994</v>
      </c>
      <c r="D5502" s="7" t="s">
        <v>10995</v>
      </c>
      <c r="E5502" s="7" t="s">
        <v>27</v>
      </c>
      <c r="F5502" s="7" t="s">
        <v>10996</v>
      </c>
      <c r="G5502" s="7" t="n">
        <v>2016</v>
      </c>
      <c r="H5502" s="7" t="s">
        <v>50</v>
      </c>
      <c r="I5502" s="7" t="s">
        <v>417</v>
      </c>
      <c r="J5502" s="7" t="s">
        <v>188</v>
      </c>
      <c r="K5502" s="7" t="n">
        <f aca="false">IFERROR(VALUE(RIGHT(TRIM(F5502),4)),"")</f>
        <v>2018</v>
      </c>
      <c r="L5502" s="7" t="str">
        <f aca="false">IF(TRIM(E5502)="","Unknown",IFERROR(LEFT(TRIM(E5502),FIND(",",TRIM(E5502))-1),TRIM(E5502)))</f>
        <v>India</v>
      </c>
      <c r="M5502" s="7" t="str">
        <f aca="false">IFERROR(LEFT(J5502,FIND(",",J5502)-1),J5502)</f>
        <v>Dramas</v>
      </c>
      <c r="N5502" s="7" t="n">
        <f aca="false">IF(B5502="Movie",IFERROR(VALUE(LEFT(I5502,FIND(" ",I5502)-1)),""),"")</f>
        <v>104</v>
      </c>
      <c r="O5502" s="7" t="str">
        <f aca="false">IF(B5502="TV Show",IFERROR(VALUE(LEFT(I5502,FIND(" ",I5502)-1)),""),"")</f>
        <v/>
      </c>
      <c r="P5502" s="7" t="n">
        <f aca="false">IF(K5502="","",K5502-G5502)</f>
        <v>2</v>
      </c>
    </row>
    <row r="5503" customFormat="false" ht="15" hidden="false" customHeight="false" outlineLevel="0" collapsed="false">
      <c r="A5503" s="7" t="n">
        <v>70060380</v>
      </c>
      <c r="B5503" s="7" t="s">
        <v>68</v>
      </c>
      <c r="C5503" s="7" t="s">
        <v>10997</v>
      </c>
      <c r="D5503" s="7" t="s">
        <v>10998</v>
      </c>
      <c r="E5503" s="7" t="s">
        <v>26</v>
      </c>
      <c r="F5503" s="7" t="s">
        <v>10996</v>
      </c>
      <c r="G5503" s="7" t="n">
        <v>1993</v>
      </c>
      <c r="H5503" s="7" t="s">
        <v>51</v>
      </c>
      <c r="I5503" s="7" t="s">
        <v>512</v>
      </c>
      <c r="J5503" s="7" t="s">
        <v>269</v>
      </c>
      <c r="K5503" s="7" t="n">
        <f aca="false">IFERROR(VALUE(RIGHT(TRIM(F5503),4)),"")</f>
        <v>2018</v>
      </c>
      <c r="L5503" s="7" t="str">
        <f aca="false">IF(TRIM(E5503)="","Unknown",IFERROR(LEFT(TRIM(E5503),FIND(",",TRIM(E5503))-1),TRIM(E5503)))</f>
        <v>United States</v>
      </c>
      <c r="M5503" s="7" t="str">
        <f aca="false">IFERROR(LEFT(J5503,FIND(",",J5503)-1),J5503)</f>
        <v>Dramas</v>
      </c>
      <c r="N5503" s="7" t="n">
        <f aca="false">IF(B5503="Movie",IFERROR(VALUE(LEFT(I5503,FIND(" ",I5503)-1)),""),"")</f>
        <v>101</v>
      </c>
      <c r="O5503" s="7" t="str">
        <f aca="false">IF(B5503="TV Show",IFERROR(VALUE(LEFT(I5503,FIND(" ",I5503)-1)),""),"")</f>
        <v/>
      </c>
      <c r="P5503" s="7" t="n">
        <f aca="false">IF(K5503="","",K5503-G5503)</f>
        <v>25</v>
      </c>
    </row>
    <row r="5504" customFormat="false" ht="15" hidden="false" customHeight="false" outlineLevel="0" collapsed="false">
      <c r="A5504" s="7" t="n">
        <v>80202808</v>
      </c>
      <c r="B5504" s="7" t="s">
        <v>68</v>
      </c>
      <c r="C5504" s="7" t="s">
        <v>10999</v>
      </c>
      <c r="D5504" s="7" t="s">
        <v>11000</v>
      </c>
      <c r="E5504" s="7" t="s">
        <v>11001</v>
      </c>
      <c r="F5504" s="7" t="s">
        <v>10996</v>
      </c>
      <c r="G5504" s="7" t="n">
        <v>2017</v>
      </c>
      <c r="H5504" s="7" t="s">
        <v>49</v>
      </c>
      <c r="I5504" s="7" t="s">
        <v>138</v>
      </c>
      <c r="J5504" s="7" t="s">
        <v>182</v>
      </c>
      <c r="K5504" s="7" t="n">
        <f aca="false">IFERROR(VALUE(RIGHT(TRIM(F5504),4)),"")</f>
        <v>2018</v>
      </c>
      <c r="L5504" s="7" t="str">
        <f aca="false">IF(TRIM(E5504)="","Unknown",IFERROR(LEFT(TRIM(E5504),FIND(",",TRIM(E5504))-1),TRIM(E5504)))</f>
        <v>Argentina</v>
      </c>
      <c r="M5504" s="7" t="str">
        <f aca="false">IFERROR(LEFT(J5504,FIND(",",J5504)-1),J5504)</f>
        <v>Dramas</v>
      </c>
      <c r="N5504" s="7" t="n">
        <f aca="false">IF(B5504="Movie",IFERROR(VALUE(LEFT(I5504,FIND(" ",I5504)-1)),""),"")</f>
        <v>96</v>
      </c>
      <c r="O5504" s="7" t="str">
        <f aca="false">IF(B5504="TV Show",IFERROR(VALUE(LEFT(I5504,FIND(" ",I5504)-1)),""),"")</f>
        <v/>
      </c>
      <c r="P5504" s="7" t="n">
        <f aca="false">IF(K5504="","",K5504-G5504)</f>
        <v>1</v>
      </c>
    </row>
    <row r="5505" customFormat="false" ht="15" hidden="false" customHeight="false" outlineLevel="0" collapsed="false">
      <c r="A5505" s="7" t="n">
        <v>60010082</v>
      </c>
      <c r="B5505" s="7" t="s">
        <v>68</v>
      </c>
      <c r="C5505" s="7" t="s">
        <v>11002</v>
      </c>
      <c r="D5505" s="7" t="s">
        <v>11003</v>
      </c>
      <c r="E5505" s="7" t="s">
        <v>26</v>
      </c>
      <c r="F5505" s="7" t="s">
        <v>10996</v>
      </c>
      <c r="G5505" s="7" t="n">
        <v>1986</v>
      </c>
      <c r="H5505" s="7" t="s">
        <v>612</v>
      </c>
      <c r="I5505" s="7" t="s">
        <v>154</v>
      </c>
      <c r="J5505" s="7" t="s">
        <v>42</v>
      </c>
      <c r="K5505" s="7" t="n">
        <f aca="false">IFERROR(VALUE(RIGHT(TRIM(F5505),4)),"")</f>
        <v>2018</v>
      </c>
      <c r="L5505" s="7" t="str">
        <f aca="false">IF(TRIM(E5505)="","Unknown",IFERROR(LEFT(TRIM(E5505),FIND(",",TRIM(E5505))-1),TRIM(E5505)))</f>
        <v>United States</v>
      </c>
      <c r="M5505" s="7" t="str">
        <f aca="false">IFERROR(LEFT(J5505,FIND(",",J5505)-1),J5505)</f>
        <v>Children &amp; Family Movies</v>
      </c>
      <c r="N5505" s="7" t="n">
        <f aca="false">IF(B5505="Movie",IFERROR(VALUE(LEFT(I5505,FIND(" ",I5505)-1)),""),"")</f>
        <v>80</v>
      </c>
      <c r="O5505" s="7" t="str">
        <f aca="false">IF(B5505="TV Show",IFERROR(VALUE(LEFT(I5505,FIND(" ",I5505)-1)),""),"")</f>
        <v/>
      </c>
      <c r="P5505" s="7" t="n">
        <f aca="false">IF(K5505="","",K5505-G5505)</f>
        <v>32</v>
      </c>
    </row>
    <row r="5506" customFormat="false" ht="15" hidden="false" customHeight="false" outlineLevel="0" collapsed="false">
      <c r="A5506" s="7" t="n">
        <v>60033788</v>
      </c>
      <c r="B5506" s="7" t="s">
        <v>68</v>
      </c>
      <c r="C5506" s="7" t="s">
        <v>11004</v>
      </c>
      <c r="D5506" s="7" t="s">
        <v>11005</v>
      </c>
      <c r="E5506" s="7" t="s">
        <v>26</v>
      </c>
      <c r="F5506" s="7" t="s">
        <v>10996</v>
      </c>
      <c r="G5506" s="7" t="n">
        <v>1991</v>
      </c>
      <c r="H5506" s="7" t="s">
        <v>612</v>
      </c>
      <c r="I5506" s="7" t="s">
        <v>421</v>
      </c>
      <c r="J5506" s="7" t="s">
        <v>42</v>
      </c>
      <c r="K5506" s="7" t="n">
        <f aca="false">IFERROR(VALUE(RIGHT(TRIM(F5506),4)),"")</f>
        <v>2018</v>
      </c>
      <c r="L5506" s="7" t="str">
        <f aca="false">IF(TRIM(E5506)="","Unknown",IFERROR(LEFT(TRIM(E5506),FIND(",",TRIM(E5506))-1),TRIM(E5506)))</f>
        <v>United States</v>
      </c>
      <c r="M5506" s="7" t="str">
        <f aca="false">IFERROR(LEFT(J5506,FIND(",",J5506)-1),J5506)</f>
        <v>Children &amp; Family Movies</v>
      </c>
      <c r="N5506" s="7" t="n">
        <f aca="false">IF(B5506="Movie",IFERROR(VALUE(LEFT(I5506,FIND(" ",I5506)-1)),""),"")</f>
        <v>75</v>
      </c>
      <c r="O5506" s="7" t="str">
        <f aca="false">IF(B5506="TV Show",IFERROR(VALUE(LEFT(I5506,FIND(" ",I5506)-1)),""),"")</f>
        <v/>
      </c>
      <c r="P5506" s="7" t="n">
        <f aca="false">IF(K5506="","",K5506-G5506)</f>
        <v>27</v>
      </c>
    </row>
    <row r="5507" customFormat="false" ht="15" hidden="false" customHeight="false" outlineLevel="0" collapsed="false">
      <c r="A5507" s="7" t="n">
        <v>60033786</v>
      </c>
      <c r="B5507" s="7" t="s">
        <v>68</v>
      </c>
      <c r="C5507" s="7" t="s">
        <v>11006</v>
      </c>
      <c r="D5507" s="7" t="s">
        <v>11007</v>
      </c>
      <c r="E5507" s="7" t="s">
        <v>26</v>
      </c>
      <c r="F5507" s="7" t="s">
        <v>10996</v>
      </c>
      <c r="G5507" s="7" t="n">
        <v>1999</v>
      </c>
      <c r="H5507" s="7" t="s">
        <v>612</v>
      </c>
      <c r="I5507" s="7" t="s">
        <v>421</v>
      </c>
      <c r="J5507" s="7" t="s">
        <v>42</v>
      </c>
      <c r="K5507" s="7" t="n">
        <f aca="false">IFERROR(VALUE(RIGHT(TRIM(F5507),4)),"")</f>
        <v>2018</v>
      </c>
      <c r="L5507" s="7" t="str">
        <f aca="false">IF(TRIM(E5507)="","Unknown",IFERROR(LEFT(TRIM(E5507),FIND(",",TRIM(E5507))-1),TRIM(E5507)))</f>
        <v>United States</v>
      </c>
      <c r="M5507" s="7" t="str">
        <f aca="false">IFERROR(LEFT(J5507,FIND(",",J5507)-1),J5507)</f>
        <v>Children &amp; Family Movies</v>
      </c>
      <c r="N5507" s="7" t="n">
        <f aca="false">IF(B5507="Movie",IFERROR(VALUE(LEFT(I5507,FIND(" ",I5507)-1)),""),"")</f>
        <v>75</v>
      </c>
      <c r="O5507" s="7" t="str">
        <f aca="false">IF(B5507="TV Show",IFERROR(VALUE(LEFT(I5507,FIND(" ",I5507)-1)),""),"")</f>
        <v/>
      </c>
      <c r="P5507" s="7" t="n">
        <f aca="false">IF(K5507="","",K5507-G5507)</f>
        <v>19</v>
      </c>
    </row>
    <row r="5508" customFormat="false" ht="15" hidden="false" customHeight="false" outlineLevel="0" collapsed="false">
      <c r="A5508" s="7" t="n">
        <v>60033787</v>
      </c>
      <c r="B5508" s="7" t="s">
        <v>68</v>
      </c>
      <c r="C5508" s="7" t="s">
        <v>11008</v>
      </c>
      <c r="D5508" s="7" t="s">
        <v>11007</v>
      </c>
      <c r="E5508" s="7" t="s">
        <v>26</v>
      </c>
      <c r="F5508" s="7" t="s">
        <v>10996</v>
      </c>
      <c r="G5508" s="7" t="n">
        <v>2000</v>
      </c>
      <c r="H5508" s="7" t="s">
        <v>612</v>
      </c>
      <c r="I5508" s="7" t="s">
        <v>143</v>
      </c>
      <c r="J5508" s="7" t="s">
        <v>42</v>
      </c>
      <c r="K5508" s="7" t="n">
        <f aca="false">IFERROR(VALUE(RIGHT(TRIM(F5508),4)),"")</f>
        <v>2018</v>
      </c>
      <c r="L5508" s="7" t="str">
        <f aca="false">IF(TRIM(E5508)="","Unknown",IFERROR(LEFT(TRIM(E5508),FIND(",",TRIM(E5508))-1),TRIM(E5508)))</f>
        <v>United States</v>
      </c>
      <c r="M5508" s="7" t="str">
        <f aca="false">IFERROR(LEFT(J5508,FIND(",",J5508)-1),J5508)</f>
        <v>Children &amp; Family Movies</v>
      </c>
      <c r="N5508" s="7" t="n">
        <f aca="false">IF(B5508="Movie",IFERROR(VALUE(LEFT(I5508,FIND(" ",I5508)-1)),""),"")</f>
        <v>79</v>
      </c>
      <c r="O5508" s="7" t="str">
        <f aca="false">IF(B5508="TV Show",IFERROR(VALUE(LEFT(I5508,FIND(" ",I5508)-1)),""),"")</f>
        <v/>
      </c>
      <c r="P5508" s="7" t="n">
        <f aca="false">IF(K5508="","",K5508-G5508)</f>
        <v>18</v>
      </c>
    </row>
    <row r="5509" customFormat="false" ht="15" hidden="false" customHeight="false" outlineLevel="0" collapsed="false">
      <c r="A5509" s="7" t="n">
        <v>60022255</v>
      </c>
      <c r="B5509" s="7" t="s">
        <v>68</v>
      </c>
      <c r="C5509" s="7" t="s">
        <v>11009</v>
      </c>
      <c r="D5509" s="7" t="s">
        <v>2689</v>
      </c>
      <c r="E5509" s="7" t="s">
        <v>26</v>
      </c>
      <c r="F5509" s="7" t="s">
        <v>10996</v>
      </c>
      <c r="G5509" s="7" t="n">
        <v>1995</v>
      </c>
      <c r="H5509" s="7" t="s">
        <v>612</v>
      </c>
      <c r="I5509" s="7" t="s">
        <v>107</v>
      </c>
      <c r="J5509" s="7" t="s">
        <v>295</v>
      </c>
      <c r="K5509" s="7" t="n">
        <f aca="false">IFERROR(VALUE(RIGHT(TRIM(F5509),4)),"")</f>
        <v>2018</v>
      </c>
      <c r="L5509" s="7" t="str">
        <f aca="false">IF(TRIM(E5509)="","Unknown",IFERROR(LEFT(TRIM(E5509),FIND(",",TRIM(E5509))-1),TRIM(E5509)))</f>
        <v>United States</v>
      </c>
      <c r="M5509" s="7" t="str">
        <f aca="false">IFERROR(LEFT(J5509,FIND(",",J5509)-1),J5509)</f>
        <v>Children &amp; Family Movies</v>
      </c>
      <c r="N5509" s="7" t="n">
        <f aca="false">IF(B5509="Movie",IFERROR(VALUE(LEFT(I5509,FIND(" ",I5509)-1)),""),"")</f>
        <v>78</v>
      </c>
      <c r="O5509" s="7" t="str">
        <f aca="false">IF(B5509="TV Show",IFERROR(VALUE(LEFT(I5509,FIND(" ",I5509)-1)),""),"")</f>
        <v/>
      </c>
      <c r="P5509" s="7" t="n">
        <f aca="false">IF(K5509="","",K5509-G5509)</f>
        <v>23</v>
      </c>
    </row>
    <row r="5510" customFormat="false" ht="15" hidden="false" customHeight="false" outlineLevel="0" collapsed="false">
      <c r="A5510" s="7" t="n">
        <v>60022254</v>
      </c>
      <c r="B5510" s="7" t="s">
        <v>68</v>
      </c>
      <c r="C5510" s="7" t="s">
        <v>11010</v>
      </c>
      <c r="D5510" s="7" t="s">
        <v>11011</v>
      </c>
      <c r="E5510" s="7" t="s">
        <v>26</v>
      </c>
      <c r="F5510" s="7" t="s">
        <v>10996</v>
      </c>
      <c r="G5510" s="7" t="n">
        <v>2001</v>
      </c>
      <c r="H5510" s="7" t="s">
        <v>612</v>
      </c>
      <c r="I5510" s="7" t="s">
        <v>421</v>
      </c>
      <c r="J5510" s="7" t="s">
        <v>42</v>
      </c>
      <c r="K5510" s="7" t="n">
        <f aca="false">IFERROR(VALUE(RIGHT(TRIM(F5510),4)),"")</f>
        <v>2018</v>
      </c>
      <c r="L5510" s="7" t="str">
        <f aca="false">IF(TRIM(E5510)="","Unknown",IFERROR(LEFT(TRIM(E5510),FIND(",",TRIM(E5510))-1),TRIM(E5510)))</f>
        <v>United States</v>
      </c>
      <c r="M5510" s="7" t="str">
        <f aca="false">IFERROR(LEFT(J5510,FIND(",",J5510)-1),J5510)</f>
        <v>Children &amp; Family Movies</v>
      </c>
      <c r="N5510" s="7" t="n">
        <f aca="false">IF(B5510="Movie",IFERROR(VALUE(LEFT(I5510,FIND(" ",I5510)-1)),""),"")</f>
        <v>75</v>
      </c>
      <c r="O5510" s="7" t="str">
        <f aca="false">IF(B5510="TV Show",IFERROR(VALUE(LEFT(I5510,FIND(" ",I5510)-1)),""),"")</f>
        <v/>
      </c>
      <c r="P5510" s="7" t="n">
        <f aca="false">IF(K5510="","",K5510-G5510)</f>
        <v>17</v>
      </c>
    </row>
    <row r="5511" customFormat="false" ht="15" hidden="false" customHeight="false" outlineLevel="0" collapsed="false">
      <c r="A5511" s="7" t="n">
        <v>70020048</v>
      </c>
      <c r="B5511" s="7" t="s">
        <v>68</v>
      </c>
      <c r="C5511" s="7" t="s">
        <v>11012</v>
      </c>
      <c r="D5511" s="7" t="s">
        <v>11011</v>
      </c>
      <c r="E5511" s="7" t="s">
        <v>26</v>
      </c>
      <c r="F5511" s="7" t="s">
        <v>10996</v>
      </c>
      <c r="G5511" s="7" t="n">
        <v>2004</v>
      </c>
      <c r="H5511" s="7" t="s">
        <v>612</v>
      </c>
      <c r="I5511" s="7" t="s">
        <v>107</v>
      </c>
      <c r="J5511" s="7" t="s">
        <v>42</v>
      </c>
      <c r="K5511" s="7" t="n">
        <f aca="false">IFERROR(VALUE(RIGHT(TRIM(F5511),4)),"")</f>
        <v>2018</v>
      </c>
      <c r="L5511" s="7" t="str">
        <f aca="false">IF(TRIM(E5511)="","Unknown",IFERROR(LEFT(TRIM(E5511),FIND(",",TRIM(E5511))-1),TRIM(E5511)))</f>
        <v>United States</v>
      </c>
      <c r="M5511" s="7" t="str">
        <f aca="false">IFERROR(LEFT(J5511,FIND(",",J5511)-1),J5511)</f>
        <v>Children &amp; Family Movies</v>
      </c>
      <c r="N5511" s="7" t="n">
        <f aca="false">IF(B5511="Movie",IFERROR(VALUE(LEFT(I5511,FIND(" ",I5511)-1)),""),"")</f>
        <v>78</v>
      </c>
      <c r="O5511" s="7" t="str">
        <f aca="false">IF(B5511="TV Show",IFERROR(VALUE(LEFT(I5511,FIND(" ",I5511)-1)),""),"")</f>
        <v/>
      </c>
      <c r="P5511" s="7" t="n">
        <f aca="false">IF(K5511="","",K5511-G5511)</f>
        <v>14</v>
      </c>
    </row>
    <row r="5512" customFormat="false" ht="15" hidden="false" customHeight="false" outlineLevel="0" collapsed="false">
      <c r="A5512" s="7" t="n">
        <v>284890</v>
      </c>
      <c r="B5512" s="7" t="s">
        <v>68</v>
      </c>
      <c r="C5512" s="7" t="s">
        <v>11013</v>
      </c>
      <c r="D5512" s="7" t="s">
        <v>3920</v>
      </c>
      <c r="E5512" s="7" t="s">
        <v>27</v>
      </c>
      <c r="F5512" s="7" t="s">
        <v>10996</v>
      </c>
      <c r="G5512" s="7" t="n">
        <v>1995</v>
      </c>
      <c r="H5512" s="7" t="s">
        <v>50</v>
      </c>
      <c r="I5512" s="7" t="s">
        <v>2794</v>
      </c>
      <c r="J5512" s="7" t="s">
        <v>2221</v>
      </c>
      <c r="K5512" s="7" t="n">
        <f aca="false">IFERROR(VALUE(RIGHT(TRIM(F5512),4)),"")</f>
        <v>2018</v>
      </c>
      <c r="L5512" s="7" t="str">
        <f aca="false">IF(TRIM(E5512)="","Unknown",IFERROR(LEFT(TRIM(E5512),FIND(",",TRIM(E5512))-1),TRIM(E5512)))</f>
        <v>India</v>
      </c>
      <c r="M5512" s="7" t="str">
        <f aca="false">IFERROR(LEFT(J5512,FIND(",",J5512)-1),J5512)</f>
        <v>Action &amp; Adventure</v>
      </c>
      <c r="N5512" s="7" t="n">
        <f aca="false">IF(B5512="Movie",IFERROR(VALUE(LEFT(I5512,FIND(" ",I5512)-1)),""),"")</f>
        <v>166</v>
      </c>
      <c r="O5512" s="7" t="str">
        <f aca="false">IF(B5512="TV Show",IFERROR(VALUE(LEFT(I5512,FIND(" ",I5512)-1)),""),"")</f>
        <v/>
      </c>
      <c r="P5512" s="7" t="n">
        <f aca="false">IF(K5512="","",K5512-G5512)</f>
        <v>23</v>
      </c>
    </row>
    <row r="5513" customFormat="false" ht="15" hidden="false" customHeight="false" outlineLevel="0" collapsed="false">
      <c r="A5513" s="7" t="n">
        <v>80122234</v>
      </c>
      <c r="B5513" s="7" t="s">
        <v>78</v>
      </c>
      <c r="C5513" s="7" t="s">
        <v>11014</v>
      </c>
      <c r="E5513" s="7" t="s">
        <v>27</v>
      </c>
      <c r="F5513" s="7" t="s">
        <v>10996</v>
      </c>
      <c r="G5513" s="7" t="n">
        <v>2013</v>
      </c>
      <c r="H5513" s="7" t="s">
        <v>50</v>
      </c>
      <c r="I5513" s="7" t="s">
        <v>82</v>
      </c>
      <c r="J5513" s="7" t="s">
        <v>1357</v>
      </c>
      <c r="K5513" s="7" t="n">
        <f aca="false">IFERROR(VALUE(RIGHT(TRIM(F5513),4)),"")</f>
        <v>2018</v>
      </c>
      <c r="L5513" s="7" t="str">
        <f aca="false">IF(TRIM(E5513)="","Unknown",IFERROR(LEFT(TRIM(E5513),FIND(",",TRIM(E5513))-1),TRIM(E5513)))</f>
        <v>India</v>
      </c>
      <c r="M5513" s="7" t="str">
        <f aca="false">IFERROR(LEFT(J5513,FIND(",",J5513)-1),J5513)</f>
        <v>International TV Shows</v>
      </c>
      <c r="N5513" s="7" t="str">
        <f aca="false">IF(B5513="Movie",IFERROR(VALUE(LEFT(I5513,FIND(" ",I5513)-1)),""),"")</f>
        <v/>
      </c>
      <c r="O5513" s="7" t="n">
        <f aca="false">IF(B5513="TV Show",IFERROR(VALUE(LEFT(I5513,FIND(" ",I5513)-1)),""),"")</f>
        <v>1</v>
      </c>
      <c r="P5513" s="7" t="n">
        <f aca="false">IF(K5513="","",K5513-G5513)</f>
        <v>5</v>
      </c>
    </row>
    <row r="5514" customFormat="false" ht="15" hidden="false" customHeight="false" outlineLevel="0" collapsed="false">
      <c r="A5514" s="7" t="n">
        <v>80226076</v>
      </c>
      <c r="B5514" s="7" t="s">
        <v>68</v>
      </c>
      <c r="C5514" s="7" t="s">
        <v>11015</v>
      </c>
      <c r="D5514" s="7" t="s">
        <v>11016</v>
      </c>
      <c r="E5514" s="7" t="s">
        <v>3075</v>
      </c>
      <c r="F5514" s="7" t="s">
        <v>10996</v>
      </c>
      <c r="G5514" s="7" t="n">
        <v>2017</v>
      </c>
      <c r="H5514" s="7" t="s">
        <v>48</v>
      </c>
      <c r="I5514" s="7" t="s">
        <v>73</v>
      </c>
      <c r="J5514" s="7" t="s">
        <v>39</v>
      </c>
      <c r="K5514" s="7" t="n">
        <f aca="false">IFERROR(VALUE(RIGHT(TRIM(F5514),4)),"")</f>
        <v>2018</v>
      </c>
      <c r="L5514" s="7" t="str">
        <f aca="false">IF(TRIM(E5514)="","Unknown",IFERROR(LEFT(TRIM(E5514),FIND(",",TRIM(E5514))-1),TRIM(E5514)))</f>
        <v>Denmark</v>
      </c>
      <c r="M5514" s="7" t="str">
        <f aca="false">IFERROR(LEFT(J5514,FIND(",",J5514)-1),J5514)</f>
        <v>Documentaries</v>
      </c>
      <c r="N5514" s="7" t="n">
        <f aca="false">IF(B5514="Movie",IFERROR(VALUE(LEFT(I5514,FIND(" ",I5514)-1)),""),"")</f>
        <v>90</v>
      </c>
      <c r="O5514" s="7" t="str">
        <f aca="false">IF(B5514="TV Show",IFERROR(VALUE(LEFT(I5514,FIND(" ",I5514)-1)),""),"")</f>
        <v/>
      </c>
      <c r="P5514" s="7" t="n">
        <f aca="false">IF(K5514="","",K5514-G5514)</f>
        <v>1</v>
      </c>
    </row>
    <row r="5515" customFormat="false" ht="15" hidden="false" customHeight="false" outlineLevel="0" collapsed="false">
      <c r="A5515" s="7" t="n">
        <v>70115621</v>
      </c>
      <c r="B5515" s="7" t="s">
        <v>68</v>
      </c>
      <c r="C5515" s="7" t="s">
        <v>11017</v>
      </c>
      <c r="D5515" s="7" t="s">
        <v>1517</v>
      </c>
      <c r="E5515" s="7" t="s">
        <v>27</v>
      </c>
      <c r="F5515" s="7" t="s">
        <v>10996</v>
      </c>
      <c r="G5515" s="7" t="n">
        <v>2009</v>
      </c>
      <c r="H5515" s="7" t="s">
        <v>50</v>
      </c>
      <c r="I5515" s="7" t="s">
        <v>755</v>
      </c>
      <c r="J5515" s="7" t="s">
        <v>304</v>
      </c>
      <c r="K5515" s="7" t="n">
        <f aca="false">IFERROR(VALUE(RIGHT(TRIM(F5515),4)),"")</f>
        <v>2018</v>
      </c>
      <c r="L5515" s="7" t="str">
        <f aca="false">IF(TRIM(E5515)="","Unknown",IFERROR(LEFT(TRIM(E5515),FIND(",",TRIM(E5515))-1),TRIM(E5515)))</f>
        <v>India</v>
      </c>
      <c r="M5515" s="7" t="str">
        <f aca="false">IFERROR(LEFT(J5515,FIND(",",J5515)-1),J5515)</f>
        <v>Dramas</v>
      </c>
      <c r="N5515" s="7" t="n">
        <f aca="false">IF(B5515="Movie",IFERROR(VALUE(LEFT(I5515,FIND(" ",I5515)-1)),""),"")</f>
        <v>132</v>
      </c>
      <c r="O5515" s="7" t="str">
        <f aca="false">IF(B5515="TV Show",IFERROR(VALUE(LEFT(I5515,FIND(" ",I5515)-1)),""),"")</f>
        <v/>
      </c>
      <c r="P5515" s="7" t="n">
        <f aca="false">IF(K5515="","",K5515-G5515)</f>
        <v>9</v>
      </c>
    </row>
    <row r="5516" customFormat="false" ht="15" hidden="false" customHeight="false" outlineLevel="0" collapsed="false">
      <c r="A5516" s="7" t="n">
        <v>80122188</v>
      </c>
      <c r="B5516" s="7" t="s">
        <v>78</v>
      </c>
      <c r="C5516" s="7" t="s">
        <v>11018</v>
      </c>
      <c r="F5516" s="7" t="s">
        <v>10996</v>
      </c>
      <c r="G5516" s="7" t="n">
        <v>2013</v>
      </c>
      <c r="H5516" s="7" t="s">
        <v>50</v>
      </c>
      <c r="I5516" s="7" t="s">
        <v>82</v>
      </c>
      <c r="J5516" s="7" t="s">
        <v>344</v>
      </c>
      <c r="K5516" s="7" t="n">
        <f aca="false">IFERROR(VALUE(RIGHT(TRIM(F5516),4)),"")</f>
        <v>2018</v>
      </c>
      <c r="L5516" s="7" t="str">
        <f aca="false">IF(TRIM(E5516)="","Unknown",IFERROR(LEFT(TRIM(E5516),FIND(",",TRIM(E5516))-1),TRIM(E5516)))</f>
        <v>Unknown</v>
      </c>
      <c r="M5516" s="7" t="str">
        <f aca="false">IFERROR(LEFT(J5516,FIND(",",J5516)-1),J5516)</f>
        <v>International TV Shows</v>
      </c>
      <c r="N5516" s="7" t="str">
        <f aca="false">IF(B5516="Movie",IFERROR(VALUE(LEFT(I5516,FIND(" ",I5516)-1)),""),"")</f>
        <v/>
      </c>
      <c r="O5516" s="7" t="n">
        <f aca="false">IF(B5516="TV Show",IFERROR(VALUE(LEFT(I5516,FIND(" ",I5516)-1)),""),"")</f>
        <v>1</v>
      </c>
      <c r="P5516" s="7" t="n">
        <f aca="false">IF(K5516="","",K5516-G5516)</f>
        <v>5</v>
      </c>
    </row>
    <row r="5517" customFormat="false" ht="15" hidden="false" customHeight="false" outlineLevel="0" collapsed="false">
      <c r="A5517" s="7" t="n">
        <v>80103383</v>
      </c>
      <c r="B5517" s="7" t="s">
        <v>68</v>
      </c>
      <c r="C5517" s="7" t="s">
        <v>11019</v>
      </c>
      <c r="D5517" s="7" t="s">
        <v>3179</v>
      </c>
      <c r="E5517" s="7" t="s">
        <v>26</v>
      </c>
      <c r="F5517" s="7" t="s">
        <v>10996</v>
      </c>
      <c r="G5517" s="7" t="n">
        <v>1993</v>
      </c>
      <c r="H5517" s="7" t="s">
        <v>50</v>
      </c>
      <c r="I5517" s="7" t="s">
        <v>470</v>
      </c>
      <c r="J5517" s="7" t="s">
        <v>37</v>
      </c>
      <c r="K5517" s="7" t="n">
        <f aca="false">IFERROR(VALUE(RIGHT(TRIM(F5517),4)),"")</f>
        <v>2018</v>
      </c>
      <c r="L5517" s="7" t="str">
        <f aca="false">IF(TRIM(E5517)="","Unknown",IFERROR(LEFT(TRIM(E5517),FIND(",",TRIM(E5517))-1),TRIM(E5517)))</f>
        <v>United States</v>
      </c>
      <c r="M5517" s="7" t="str">
        <f aca="false">IFERROR(LEFT(J5517,FIND(",",J5517)-1),J5517)</f>
        <v>Dramas</v>
      </c>
      <c r="N5517" s="7" t="n">
        <f aca="false">IF(B5517="Movie",IFERROR(VALUE(LEFT(I5517,FIND(" ",I5517)-1)),""),"")</f>
        <v>91</v>
      </c>
      <c r="O5517" s="7" t="str">
        <f aca="false">IF(B5517="TV Show",IFERROR(VALUE(LEFT(I5517,FIND(" ",I5517)-1)),""),"")</f>
        <v/>
      </c>
      <c r="P5517" s="7" t="n">
        <f aca="false">IF(K5517="","",K5517-G5517)</f>
        <v>25</v>
      </c>
    </row>
    <row r="5518" customFormat="false" ht="15" hidden="false" customHeight="false" outlineLevel="0" collapsed="false">
      <c r="A5518" s="7" t="n">
        <v>60011619</v>
      </c>
      <c r="B5518" s="7" t="s">
        <v>68</v>
      </c>
      <c r="C5518" s="7" t="s">
        <v>11020</v>
      </c>
      <c r="D5518" s="7" t="s">
        <v>11021</v>
      </c>
      <c r="E5518" s="7" t="s">
        <v>26</v>
      </c>
      <c r="F5518" s="7" t="s">
        <v>10996</v>
      </c>
      <c r="G5518" s="7" t="n">
        <v>1989</v>
      </c>
      <c r="H5518" s="7" t="s">
        <v>54</v>
      </c>
      <c r="I5518" s="7" t="s">
        <v>386</v>
      </c>
      <c r="J5518" s="7" t="s">
        <v>37</v>
      </c>
      <c r="K5518" s="7" t="n">
        <f aca="false">IFERROR(VALUE(RIGHT(TRIM(F5518),4)),"")</f>
        <v>2018</v>
      </c>
      <c r="L5518" s="7" t="str">
        <f aca="false">IF(TRIM(E5518)="","Unknown",IFERROR(LEFT(TRIM(E5518),FIND(",",TRIM(E5518))-1),TRIM(E5518)))</f>
        <v>United States</v>
      </c>
      <c r="M5518" s="7" t="str">
        <f aca="false">IFERROR(LEFT(J5518,FIND(",",J5518)-1),J5518)</f>
        <v>Dramas</v>
      </c>
      <c r="N5518" s="7" t="n">
        <f aca="false">IF(B5518="Movie",IFERROR(VALUE(LEFT(I5518,FIND(" ",I5518)-1)),""),"")</f>
        <v>117</v>
      </c>
      <c r="O5518" s="7" t="str">
        <f aca="false">IF(B5518="TV Show",IFERROR(VALUE(LEFT(I5518,FIND(" ",I5518)-1)),""),"")</f>
        <v/>
      </c>
      <c r="P5518" s="7" t="n">
        <f aca="false">IF(K5518="","",K5518-G5518)</f>
        <v>29</v>
      </c>
    </row>
    <row r="5519" customFormat="false" ht="15" hidden="false" customHeight="false" outlineLevel="0" collapsed="false">
      <c r="A5519" s="7" t="n">
        <v>80041337</v>
      </c>
      <c r="B5519" s="7" t="s">
        <v>68</v>
      </c>
      <c r="C5519" s="7" t="s">
        <v>11022</v>
      </c>
      <c r="D5519" s="7" t="s">
        <v>11023</v>
      </c>
      <c r="E5519" s="7" t="s">
        <v>3581</v>
      </c>
      <c r="F5519" s="7" t="s">
        <v>10996</v>
      </c>
      <c r="G5519" s="7" t="n">
        <v>2015</v>
      </c>
      <c r="H5519" s="7" t="s">
        <v>48</v>
      </c>
      <c r="I5519" s="7" t="s">
        <v>330</v>
      </c>
      <c r="J5519" s="7" t="s">
        <v>188</v>
      </c>
      <c r="K5519" s="7" t="n">
        <f aca="false">IFERROR(VALUE(RIGHT(TRIM(F5519),4)),"")</f>
        <v>2018</v>
      </c>
      <c r="L5519" s="7" t="str">
        <f aca="false">IF(TRIM(E5519)="","Unknown",IFERROR(LEFT(TRIM(E5519),FIND(",",TRIM(E5519))-1),TRIM(E5519)))</f>
        <v>United States</v>
      </c>
      <c r="M5519" s="7" t="str">
        <f aca="false">IFERROR(LEFT(J5519,FIND(",",J5519)-1),J5519)</f>
        <v>Dramas</v>
      </c>
      <c r="N5519" s="7" t="n">
        <f aca="false">IF(B5519="Movie",IFERROR(VALUE(LEFT(I5519,FIND(" ",I5519)-1)),""),"")</f>
        <v>103</v>
      </c>
      <c r="O5519" s="7" t="str">
        <f aca="false">IF(B5519="TV Show",IFERROR(VALUE(LEFT(I5519,FIND(" ",I5519)-1)),""),"")</f>
        <v/>
      </c>
      <c r="P5519" s="7" t="n">
        <f aca="false">IF(K5519="","",K5519-G5519)</f>
        <v>3</v>
      </c>
    </row>
    <row r="5520" customFormat="false" ht="15" hidden="false" customHeight="false" outlineLevel="0" collapsed="false">
      <c r="A5520" s="7" t="n">
        <v>80209356</v>
      </c>
      <c r="B5520" s="7" t="s">
        <v>68</v>
      </c>
      <c r="C5520" s="7" t="s">
        <v>11024</v>
      </c>
      <c r="E5520" s="7" t="s">
        <v>719</v>
      </c>
      <c r="F5520" s="7" t="s">
        <v>10996</v>
      </c>
      <c r="G5520" s="7" t="n">
        <v>2015</v>
      </c>
      <c r="H5520" s="7" t="s">
        <v>50</v>
      </c>
      <c r="I5520" s="7" t="s">
        <v>205</v>
      </c>
      <c r="J5520" s="7" t="s">
        <v>155</v>
      </c>
      <c r="K5520" s="7" t="n">
        <f aca="false">IFERROR(VALUE(RIGHT(TRIM(F5520),4)),"")</f>
        <v>2018</v>
      </c>
      <c r="L5520" s="7" t="str">
        <f aca="false">IF(TRIM(E5520)="","Unknown",IFERROR(LEFT(TRIM(E5520),FIND(",",TRIM(E5520))-1),TRIM(E5520)))</f>
        <v>Ireland</v>
      </c>
      <c r="M5520" s="7" t="str">
        <f aca="false">IFERROR(LEFT(J5520,FIND(",",J5520)-1),J5520)</f>
        <v>Dramas</v>
      </c>
      <c r="N5520" s="7" t="n">
        <f aca="false">IF(B5520="Movie",IFERROR(VALUE(LEFT(I5520,FIND(" ",I5520)-1)),""),"")</f>
        <v>100</v>
      </c>
      <c r="O5520" s="7" t="str">
        <f aca="false">IF(B5520="TV Show",IFERROR(VALUE(LEFT(I5520,FIND(" ",I5520)-1)),""),"")</f>
        <v/>
      </c>
      <c r="P5520" s="7" t="n">
        <f aca="false">IF(K5520="","",K5520-G5520)</f>
        <v>3</v>
      </c>
    </row>
    <row r="5521" customFormat="false" ht="15" hidden="false" customHeight="false" outlineLevel="0" collapsed="false">
      <c r="A5521" s="7" t="n">
        <v>60033223</v>
      </c>
      <c r="B5521" s="7" t="s">
        <v>68</v>
      </c>
      <c r="C5521" s="7" t="s">
        <v>11025</v>
      </c>
      <c r="D5521" s="7" t="s">
        <v>3976</v>
      </c>
      <c r="E5521" s="7" t="s">
        <v>27</v>
      </c>
      <c r="F5521" s="7" t="s">
        <v>10996</v>
      </c>
      <c r="G5521" s="7" t="n">
        <v>2002</v>
      </c>
      <c r="H5521" s="7" t="s">
        <v>49</v>
      </c>
      <c r="I5521" s="7" t="s">
        <v>5403</v>
      </c>
      <c r="J5521" s="7" t="s">
        <v>1042</v>
      </c>
      <c r="K5521" s="7" t="n">
        <f aca="false">IFERROR(VALUE(RIGHT(TRIM(F5521),4)),"")</f>
        <v>2018</v>
      </c>
      <c r="L5521" s="7" t="str">
        <f aca="false">IF(TRIM(E5521)="","Unknown",IFERROR(LEFT(TRIM(E5521),FIND(",",TRIM(E5521))-1),TRIM(E5521)))</f>
        <v>India</v>
      </c>
      <c r="M5521" s="7" t="str">
        <f aca="false">IFERROR(LEFT(J5521,FIND(",",J5521)-1),J5521)</f>
        <v>Dramas</v>
      </c>
      <c r="N5521" s="7" t="n">
        <f aca="false">IF(B5521="Movie",IFERROR(VALUE(LEFT(I5521,FIND(" ",I5521)-1)),""),"")</f>
        <v>176</v>
      </c>
      <c r="O5521" s="7" t="str">
        <f aca="false">IF(B5521="TV Show",IFERROR(VALUE(LEFT(I5521,FIND(" ",I5521)-1)),""),"")</f>
        <v/>
      </c>
      <c r="P5521" s="7" t="n">
        <f aca="false">IF(K5521="","",K5521-G5521)</f>
        <v>16</v>
      </c>
    </row>
    <row r="5522" customFormat="false" ht="15" hidden="false" customHeight="false" outlineLevel="0" collapsed="false">
      <c r="A5522" s="7" t="n">
        <v>80244992</v>
      </c>
      <c r="B5522" s="7" t="s">
        <v>68</v>
      </c>
      <c r="C5522" s="7" t="s">
        <v>11026</v>
      </c>
      <c r="E5522" s="7" t="s">
        <v>27</v>
      </c>
      <c r="F5522" s="7" t="s">
        <v>10996</v>
      </c>
      <c r="G5522" s="7" t="n">
        <v>2018</v>
      </c>
      <c r="H5522" s="7" t="s">
        <v>49</v>
      </c>
      <c r="I5522" s="7" t="s">
        <v>470</v>
      </c>
      <c r="J5522" s="7" t="s">
        <v>5464</v>
      </c>
      <c r="K5522" s="7" t="n">
        <f aca="false">IFERROR(VALUE(RIGHT(TRIM(F5522),4)),"")</f>
        <v>2018</v>
      </c>
      <c r="L5522" s="7" t="str">
        <f aca="false">IF(TRIM(E5522)="","Unknown",IFERROR(LEFT(TRIM(E5522),FIND(",",TRIM(E5522))-1),TRIM(E5522)))</f>
        <v>India</v>
      </c>
      <c r="M5522" s="7" t="str">
        <f aca="false">IFERROR(LEFT(J5522,FIND(",",J5522)-1),J5522)</f>
        <v>International Movies</v>
      </c>
      <c r="N5522" s="7" t="n">
        <f aca="false">IF(B5522="Movie",IFERROR(VALUE(LEFT(I5522,FIND(" ",I5522)-1)),""),"")</f>
        <v>91</v>
      </c>
      <c r="O5522" s="7" t="str">
        <f aca="false">IF(B5522="TV Show",IFERROR(VALUE(LEFT(I5522,FIND(" ",I5522)-1)),""),"")</f>
        <v/>
      </c>
      <c r="P5522" s="7" t="n">
        <f aca="false">IF(K5522="","",K5522-G5522)</f>
        <v>0</v>
      </c>
    </row>
    <row r="5523" customFormat="false" ht="15" hidden="false" customHeight="false" outlineLevel="0" collapsed="false">
      <c r="A5523" s="7" t="n">
        <v>80208373</v>
      </c>
      <c r="B5523" s="7" t="s">
        <v>78</v>
      </c>
      <c r="C5523" s="7" t="s">
        <v>11027</v>
      </c>
      <c r="E5523" s="7" t="s">
        <v>4839</v>
      </c>
      <c r="F5523" s="7" t="s">
        <v>10996</v>
      </c>
      <c r="G5523" s="7" t="n">
        <v>2017</v>
      </c>
      <c r="H5523" s="7" t="s">
        <v>48</v>
      </c>
      <c r="I5523" s="7" t="s">
        <v>82</v>
      </c>
      <c r="J5523" s="7" t="s">
        <v>3638</v>
      </c>
      <c r="K5523" s="7" t="n">
        <f aca="false">IFERROR(VALUE(RIGHT(TRIM(F5523),4)),"")</f>
        <v>2018</v>
      </c>
      <c r="L5523" s="7" t="str">
        <f aca="false">IF(TRIM(E5523)="","Unknown",IFERROR(LEFT(TRIM(E5523),FIND(",",TRIM(E5523))-1),TRIM(E5523)))</f>
        <v>Sweden</v>
      </c>
      <c r="M5523" s="7" t="str">
        <f aca="false">IFERROR(LEFT(J5523,FIND(",",J5523)-1),J5523)</f>
        <v>Crime TV Shows</v>
      </c>
      <c r="N5523" s="7" t="str">
        <f aca="false">IF(B5523="Movie",IFERROR(VALUE(LEFT(I5523,FIND(" ",I5523)-1)),""),"")</f>
        <v/>
      </c>
      <c r="O5523" s="7" t="n">
        <f aca="false">IF(B5523="TV Show",IFERROR(VALUE(LEFT(I5523,FIND(" ",I5523)-1)),""),"")</f>
        <v>1</v>
      </c>
      <c r="P5523" s="7" t="n">
        <f aca="false">IF(K5523="","",K5523-G5523)</f>
        <v>1</v>
      </c>
    </row>
    <row r="5524" customFormat="false" ht="15" hidden="false" customHeight="false" outlineLevel="0" collapsed="false">
      <c r="A5524" s="7" t="n">
        <v>80196139</v>
      </c>
      <c r="B5524" s="7" t="s">
        <v>68</v>
      </c>
      <c r="C5524" s="7" t="s">
        <v>11028</v>
      </c>
      <c r="D5524" s="7" t="s">
        <v>11029</v>
      </c>
      <c r="F5524" s="7" t="s">
        <v>10996</v>
      </c>
      <c r="G5524" s="7" t="n">
        <v>2017</v>
      </c>
      <c r="H5524" s="7" t="s">
        <v>49</v>
      </c>
      <c r="I5524" s="7" t="s">
        <v>5456</v>
      </c>
      <c r="J5524" s="7" t="s">
        <v>1085</v>
      </c>
      <c r="K5524" s="7" t="n">
        <f aca="false">IFERROR(VALUE(RIGHT(TRIM(F5524),4)),"")</f>
        <v>2018</v>
      </c>
      <c r="L5524" s="7" t="str">
        <f aca="false">IF(TRIM(E5524)="","Unknown",IFERROR(LEFT(TRIM(E5524),FIND(",",TRIM(E5524))-1),TRIM(E5524)))</f>
        <v>Unknown</v>
      </c>
      <c r="M5524" s="7" t="str">
        <f aca="false">IFERROR(LEFT(J5524,FIND(",",J5524)-1),J5524)</f>
        <v>Documentaries</v>
      </c>
      <c r="N5524" s="7" t="n">
        <f aca="false">IF(B5524="Movie",IFERROR(VALUE(LEFT(I5524,FIND(" ",I5524)-1)),""),"")</f>
        <v>49</v>
      </c>
      <c r="O5524" s="7" t="str">
        <f aca="false">IF(B5524="TV Show",IFERROR(VALUE(LEFT(I5524,FIND(" ",I5524)-1)),""),"")</f>
        <v/>
      </c>
      <c r="P5524" s="7" t="n">
        <f aca="false">IF(K5524="","",K5524-G5524)</f>
        <v>1</v>
      </c>
    </row>
    <row r="5525" customFormat="false" ht="15" hidden="false" customHeight="false" outlineLevel="0" collapsed="false">
      <c r="A5525" s="7" t="n">
        <v>80148180</v>
      </c>
      <c r="B5525" s="7" t="s">
        <v>68</v>
      </c>
      <c r="C5525" s="7" t="s">
        <v>11030</v>
      </c>
      <c r="D5525" s="7" t="s">
        <v>11031</v>
      </c>
      <c r="E5525" s="7" t="s">
        <v>26</v>
      </c>
      <c r="F5525" s="7" t="s">
        <v>10996</v>
      </c>
      <c r="G5525" s="7" t="n">
        <v>2016</v>
      </c>
      <c r="H5525" s="7" t="s">
        <v>48</v>
      </c>
      <c r="I5525" s="7" t="s">
        <v>451</v>
      </c>
      <c r="J5525" s="7" t="s">
        <v>39</v>
      </c>
      <c r="K5525" s="7" t="n">
        <f aca="false">IFERROR(VALUE(RIGHT(TRIM(F5525),4)),"")</f>
        <v>2018</v>
      </c>
      <c r="L5525" s="7" t="str">
        <f aca="false">IF(TRIM(E5525)="","Unknown",IFERROR(LEFT(TRIM(E5525),FIND(",",TRIM(E5525))-1),TRIM(E5525)))</f>
        <v>United States</v>
      </c>
      <c r="M5525" s="7" t="str">
        <f aca="false">IFERROR(LEFT(J5525,FIND(",",J5525)-1),J5525)</f>
        <v>Documentaries</v>
      </c>
      <c r="N5525" s="7" t="n">
        <f aca="false">IF(B5525="Movie",IFERROR(VALUE(LEFT(I5525,FIND(" ",I5525)-1)),""),"")</f>
        <v>97</v>
      </c>
      <c r="O5525" s="7" t="str">
        <f aca="false">IF(B5525="TV Show",IFERROR(VALUE(LEFT(I5525,FIND(" ",I5525)-1)),""),"")</f>
        <v/>
      </c>
      <c r="P5525" s="7" t="n">
        <f aca="false">IF(K5525="","",K5525-G5525)</f>
        <v>2</v>
      </c>
    </row>
    <row r="5526" customFormat="false" ht="15" hidden="false" customHeight="false" outlineLevel="0" collapsed="false">
      <c r="A5526" s="7" t="n">
        <v>607931</v>
      </c>
      <c r="B5526" s="7" t="s">
        <v>68</v>
      </c>
      <c r="C5526" s="7" t="s">
        <v>11032</v>
      </c>
      <c r="D5526" s="7" t="s">
        <v>11033</v>
      </c>
      <c r="E5526" s="7" t="s">
        <v>26</v>
      </c>
      <c r="F5526" s="7" t="s">
        <v>10996</v>
      </c>
      <c r="G5526" s="7" t="n">
        <v>1995</v>
      </c>
      <c r="H5526" s="7" t="s">
        <v>52</v>
      </c>
      <c r="I5526" s="7" t="s">
        <v>237</v>
      </c>
      <c r="J5526" s="7" t="s">
        <v>269</v>
      </c>
      <c r="K5526" s="7" t="n">
        <f aca="false">IFERROR(VALUE(RIGHT(TRIM(F5526),4)),"")</f>
        <v>2018</v>
      </c>
      <c r="L5526" s="7" t="str">
        <f aca="false">IF(TRIM(E5526)="","Unknown",IFERROR(LEFT(TRIM(E5526),FIND(",",TRIM(E5526))-1),TRIM(E5526)))</f>
        <v>United States</v>
      </c>
      <c r="M5526" s="7" t="str">
        <f aca="false">IFERROR(LEFT(J5526,FIND(",",J5526)-1),J5526)</f>
        <v>Dramas</v>
      </c>
      <c r="N5526" s="7" t="n">
        <f aca="false">IF(B5526="Movie",IFERROR(VALUE(LEFT(I5526,FIND(" ",I5526)-1)),""),"")</f>
        <v>116</v>
      </c>
      <c r="O5526" s="7" t="str">
        <f aca="false">IF(B5526="TV Show",IFERROR(VALUE(LEFT(I5526,FIND(" ",I5526)-1)),""),"")</f>
        <v/>
      </c>
      <c r="P5526" s="7" t="n">
        <f aca="false">IF(K5526="","",K5526-G5526)</f>
        <v>23</v>
      </c>
    </row>
    <row r="5527" customFormat="false" ht="15" hidden="false" customHeight="false" outlineLevel="0" collapsed="false">
      <c r="A5527" s="7" t="n">
        <v>80225907</v>
      </c>
      <c r="B5527" s="7" t="s">
        <v>68</v>
      </c>
      <c r="C5527" s="7" t="s">
        <v>11034</v>
      </c>
      <c r="D5527" s="7" t="s">
        <v>11035</v>
      </c>
      <c r="E5527" s="7" t="s">
        <v>28</v>
      </c>
      <c r="F5527" s="7" t="s">
        <v>10996</v>
      </c>
      <c r="G5527" s="7" t="n">
        <v>2016</v>
      </c>
      <c r="H5527" s="7" t="s">
        <v>50</v>
      </c>
      <c r="I5527" s="7" t="s">
        <v>73</v>
      </c>
      <c r="J5527" s="7" t="s">
        <v>341</v>
      </c>
      <c r="K5527" s="7" t="n">
        <f aca="false">IFERROR(VALUE(RIGHT(TRIM(F5527),4)),"")</f>
        <v>2018</v>
      </c>
      <c r="L5527" s="7" t="str">
        <f aca="false">IF(TRIM(E5527)="","Unknown",IFERROR(LEFT(TRIM(E5527),FIND(",",TRIM(E5527))-1),TRIM(E5527)))</f>
        <v>United Kingdom</v>
      </c>
      <c r="M5527" s="7" t="str">
        <f aca="false">IFERROR(LEFT(J5527,FIND(",",J5527)-1),J5527)</f>
        <v>Documentaries</v>
      </c>
      <c r="N5527" s="7" t="n">
        <f aca="false">IF(B5527="Movie",IFERROR(VALUE(LEFT(I5527,FIND(" ",I5527)-1)),""),"")</f>
        <v>90</v>
      </c>
      <c r="O5527" s="7" t="str">
        <f aca="false">IF(B5527="TV Show",IFERROR(VALUE(LEFT(I5527,FIND(" ",I5527)-1)),""),"")</f>
        <v/>
      </c>
      <c r="P5527" s="7" t="n">
        <f aca="false">IF(K5527="","",K5527-G5527)</f>
        <v>2</v>
      </c>
    </row>
    <row r="5528" customFormat="false" ht="15" hidden="false" customHeight="false" outlineLevel="0" collapsed="false">
      <c r="A5528" s="7" t="n">
        <v>70298251</v>
      </c>
      <c r="B5528" s="7" t="s">
        <v>68</v>
      </c>
      <c r="C5528" s="7" t="s">
        <v>11036</v>
      </c>
      <c r="D5528" s="7" t="s">
        <v>1172</v>
      </c>
      <c r="E5528" s="7" t="s">
        <v>26</v>
      </c>
      <c r="F5528" s="7" t="s">
        <v>10996</v>
      </c>
      <c r="G5528" s="7" t="n">
        <v>2012</v>
      </c>
      <c r="H5528" s="7" t="s">
        <v>53</v>
      </c>
      <c r="I5528" s="7" t="s">
        <v>98</v>
      </c>
      <c r="J5528" s="7" t="s">
        <v>45</v>
      </c>
      <c r="K5528" s="7" t="n">
        <f aca="false">IFERROR(VALUE(RIGHT(TRIM(F5528),4)),"")</f>
        <v>2018</v>
      </c>
      <c r="L5528" s="7" t="str">
        <f aca="false">IF(TRIM(E5528)="","Unknown",IFERROR(LEFT(TRIM(E5528),FIND(",",TRIM(E5528))-1),TRIM(E5528)))</f>
        <v>United States</v>
      </c>
      <c r="M5528" s="7" t="str">
        <f aca="false">IFERROR(LEFT(J5528,FIND(",",J5528)-1),J5528)</f>
        <v>Stand-Up Comedy</v>
      </c>
      <c r="N5528" s="7" t="n">
        <f aca="false">IF(B5528="Movie",IFERROR(VALUE(LEFT(I5528,FIND(" ",I5528)-1)),""),"")</f>
        <v>60</v>
      </c>
      <c r="O5528" s="7" t="str">
        <f aca="false">IF(B5528="TV Show",IFERROR(VALUE(LEFT(I5528,FIND(" ",I5528)-1)),""),"")</f>
        <v/>
      </c>
      <c r="P5528" s="7" t="n">
        <f aca="false">IF(K5528="","",K5528-G5528)</f>
        <v>6</v>
      </c>
    </row>
    <row r="5529" customFormat="false" ht="15" hidden="false" customHeight="false" outlineLevel="0" collapsed="false">
      <c r="A5529" s="7" t="n">
        <v>60002111</v>
      </c>
      <c r="B5529" s="7" t="s">
        <v>68</v>
      </c>
      <c r="C5529" s="7" t="s">
        <v>11037</v>
      </c>
      <c r="D5529" s="7" t="s">
        <v>3976</v>
      </c>
      <c r="E5529" s="7" t="s">
        <v>27</v>
      </c>
      <c r="F5529" s="7" t="s">
        <v>10996</v>
      </c>
      <c r="G5529" s="7" t="n">
        <v>2000</v>
      </c>
      <c r="H5529" s="7" t="s">
        <v>50</v>
      </c>
      <c r="I5529" s="7" t="s">
        <v>921</v>
      </c>
      <c r="J5529" s="7" t="s">
        <v>240</v>
      </c>
      <c r="K5529" s="7" t="n">
        <f aca="false">IFERROR(VALUE(RIGHT(TRIM(F5529),4)),"")</f>
        <v>2018</v>
      </c>
      <c r="L5529" s="7" t="str">
        <f aca="false">IF(TRIM(E5529)="","Unknown",IFERROR(LEFT(TRIM(E5529),FIND(",",TRIM(E5529))-1),TRIM(E5529)))</f>
        <v>India</v>
      </c>
      <c r="M5529" s="7" t="str">
        <f aca="false">IFERROR(LEFT(J5529,FIND(",",J5529)-1),J5529)</f>
        <v>Dramas</v>
      </c>
      <c r="N5529" s="7" t="n">
        <f aca="false">IF(B5529="Movie",IFERROR(VALUE(LEFT(I5529,FIND(" ",I5529)-1)),""),"")</f>
        <v>149</v>
      </c>
      <c r="O5529" s="7" t="str">
        <f aca="false">IF(B5529="TV Show",IFERROR(VALUE(LEFT(I5529,FIND(" ",I5529)-1)),""),"")</f>
        <v/>
      </c>
      <c r="P5529" s="7" t="n">
        <f aca="false">IF(K5529="","",K5529-G5529)</f>
        <v>18</v>
      </c>
    </row>
    <row r="5530" customFormat="false" ht="15" hidden="false" customHeight="false" outlineLevel="0" collapsed="false">
      <c r="A5530" s="7" t="n">
        <v>80036662</v>
      </c>
      <c r="B5530" s="7" t="s">
        <v>78</v>
      </c>
      <c r="C5530" s="7" t="s">
        <v>11038</v>
      </c>
      <c r="E5530" s="7" t="s">
        <v>1397</v>
      </c>
      <c r="F5530" s="7" t="s">
        <v>10996</v>
      </c>
      <c r="G5530" s="7" t="n">
        <v>2015</v>
      </c>
      <c r="H5530" s="7" t="s">
        <v>49</v>
      </c>
      <c r="I5530" s="7" t="s">
        <v>82</v>
      </c>
      <c r="J5530" s="7" t="s">
        <v>824</v>
      </c>
      <c r="K5530" s="7" t="n">
        <f aca="false">IFERROR(VALUE(RIGHT(TRIM(F5530),4)),"")</f>
        <v>2018</v>
      </c>
      <c r="L5530" s="7" t="str">
        <f aca="false">IF(TRIM(E5530)="","Unknown",IFERROR(LEFT(TRIM(E5530),FIND(",",TRIM(E5530))-1),TRIM(E5530)))</f>
        <v>Colombia</v>
      </c>
      <c r="M5530" s="7" t="str">
        <f aca="false">IFERROR(LEFT(J5530,FIND(",",J5530)-1),J5530)</f>
        <v>International TV Shows</v>
      </c>
      <c r="N5530" s="7" t="str">
        <f aca="false">IF(B5530="Movie",IFERROR(VALUE(LEFT(I5530,FIND(" ",I5530)-1)),""),"")</f>
        <v/>
      </c>
      <c r="O5530" s="7" t="n">
        <f aca="false">IF(B5530="TV Show",IFERROR(VALUE(LEFT(I5530,FIND(" ",I5530)-1)),""),"")</f>
        <v>1</v>
      </c>
      <c r="P5530" s="7" t="n">
        <f aca="false">IF(K5530="","",K5530-G5530)</f>
        <v>3</v>
      </c>
    </row>
    <row r="5531" customFormat="false" ht="15" hidden="false" customHeight="false" outlineLevel="0" collapsed="false">
      <c r="A5531" s="7" t="n">
        <v>80174145</v>
      </c>
      <c r="B5531" s="7" t="s">
        <v>78</v>
      </c>
      <c r="C5531" s="7" t="s">
        <v>11039</v>
      </c>
      <c r="E5531" s="7" t="s">
        <v>28</v>
      </c>
      <c r="F5531" s="7" t="s">
        <v>10996</v>
      </c>
      <c r="G5531" s="7" t="n">
        <v>2017</v>
      </c>
      <c r="H5531" s="7" t="s">
        <v>49</v>
      </c>
      <c r="I5531" s="7" t="s">
        <v>82</v>
      </c>
      <c r="J5531" s="7" t="s">
        <v>4309</v>
      </c>
      <c r="K5531" s="7" t="n">
        <f aca="false">IFERROR(VALUE(RIGHT(TRIM(F5531),4)),"")</f>
        <v>2018</v>
      </c>
      <c r="L5531" s="7" t="str">
        <f aca="false">IF(TRIM(E5531)="","Unknown",IFERROR(LEFT(TRIM(E5531),FIND(",",TRIM(E5531))-1),TRIM(E5531)))</f>
        <v>United Kingdom</v>
      </c>
      <c r="M5531" s="7" t="str">
        <f aca="false">IFERROR(LEFT(J5531,FIND(",",J5531)-1),J5531)</f>
        <v>British TV Shows</v>
      </c>
      <c r="N5531" s="7" t="str">
        <f aca="false">IF(B5531="Movie",IFERROR(VALUE(LEFT(I5531,FIND(" ",I5531)-1)),""),"")</f>
        <v/>
      </c>
      <c r="O5531" s="7" t="n">
        <f aca="false">IF(B5531="TV Show",IFERROR(VALUE(LEFT(I5531,FIND(" ",I5531)-1)),""),"")</f>
        <v>1</v>
      </c>
      <c r="P5531" s="7" t="n">
        <f aca="false">IF(K5531="","",K5531-G5531)</f>
        <v>1</v>
      </c>
    </row>
    <row r="5532" customFormat="false" ht="15" hidden="false" customHeight="false" outlineLevel="0" collapsed="false">
      <c r="A5532" s="7" t="n">
        <v>80190215</v>
      </c>
      <c r="B5532" s="7" t="s">
        <v>68</v>
      </c>
      <c r="C5532" s="7" t="s">
        <v>11040</v>
      </c>
      <c r="D5532" s="7" t="s">
        <v>11041</v>
      </c>
      <c r="E5532" s="7" t="s">
        <v>26</v>
      </c>
      <c r="F5532" s="7" t="s">
        <v>10996</v>
      </c>
      <c r="G5532" s="7" t="n">
        <v>2017</v>
      </c>
      <c r="H5532" s="7" t="s">
        <v>48</v>
      </c>
      <c r="I5532" s="7" t="s">
        <v>212</v>
      </c>
      <c r="J5532" s="7" t="s">
        <v>2939</v>
      </c>
      <c r="K5532" s="7" t="n">
        <f aca="false">IFERROR(VALUE(RIGHT(TRIM(F5532),4)),"")</f>
        <v>2018</v>
      </c>
      <c r="L5532" s="7" t="str">
        <f aca="false">IF(TRIM(E5532)="","Unknown",IFERROR(LEFT(TRIM(E5532),FIND(",",TRIM(E5532))-1),TRIM(E5532)))</f>
        <v>United States</v>
      </c>
      <c r="M5532" s="7" t="str">
        <f aca="false">IFERROR(LEFT(J5532,FIND(",",J5532)-1),J5532)</f>
        <v>Action &amp; Adventure</v>
      </c>
      <c r="N5532" s="7" t="n">
        <f aca="false">IF(B5532="Movie",IFERROR(VALUE(LEFT(I5532,FIND(" ",I5532)-1)),""),"")</f>
        <v>86</v>
      </c>
      <c r="O5532" s="7" t="str">
        <f aca="false">IF(B5532="TV Show",IFERROR(VALUE(LEFT(I5532,FIND(" ",I5532)-1)),""),"")</f>
        <v/>
      </c>
      <c r="P5532" s="7" t="n">
        <f aca="false">IF(K5532="","",K5532-G5532)</f>
        <v>1</v>
      </c>
    </row>
    <row r="5533" customFormat="false" ht="15" hidden="false" customHeight="false" outlineLevel="0" collapsed="false">
      <c r="A5533" s="7" t="n">
        <v>70000196</v>
      </c>
      <c r="B5533" s="7" t="s">
        <v>68</v>
      </c>
      <c r="C5533" s="7" t="s">
        <v>11042</v>
      </c>
      <c r="D5533" s="7" t="s">
        <v>8407</v>
      </c>
      <c r="E5533" s="7" t="s">
        <v>27</v>
      </c>
      <c r="F5533" s="7" t="s">
        <v>10996</v>
      </c>
      <c r="G5533" s="7" t="n">
        <v>2004</v>
      </c>
      <c r="H5533" s="7" t="s">
        <v>49</v>
      </c>
      <c r="I5533" s="7" t="s">
        <v>608</v>
      </c>
      <c r="J5533" s="7" t="s">
        <v>4035</v>
      </c>
      <c r="K5533" s="7" t="n">
        <f aca="false">IFERROR(VALUE(RIGHT(TRIM(F5533),4)),"")</f>
        <v>2018</v>
      </c>
      <c r="L5533" s="7" t="str">
        <f aca="false">IF(TRIM(E5533)="","Unknown",IFERROR(LEFT(TRIM(E5533),FIND(",",TRIM(E5533))-1),TRIM(E5533)))</f>
        <v>India</v>
      </c>
      <c r="M5533" s="7" t="str">
        <f aca="false">IFERROR(LEFT(J5533,FIND(",",J5533)-1),J5533)</f>
        <v>Action &amp; Adventure</v>
      </c>
      <c r="N5533" s="7" t="n">
        <f aca="false">IF(B5533="Movie",IFERROR(VALUE(LEFT(I5533,FIND(" ",I5533)-1)),""),"")</f>
        <v>171</v>
      </c>
      <c r="O5533" s="7" t="str">
        <f aca="false">IF(B5533="TV Show",IFERROR(VALUE(LEFT(I5533,FIND(" ",I5533)-1)),""),"")</f>
        <v/>
      </c>
      <c r="P5533" s="7" t="n">
        <f aca="false">IF(K5533="","",K5533-G5533)</f>
        <v>14</v>
      </c>
    </row>
    <row r="5534" customFormat="false" ht="15" hidden="false" customHeight="false" outlineLevel="0" collapsed="false">
      <c r="A5534" s="7" t="n">
        <v>80245519</v>
      </c>
      <c r="B5534" s="7" t="s">
        <v>68</v>
      </c>
      <c r="C5534" s="7" t="s">
        <v>11043</v>
      </c>
      <c r="D5534" s="7" t="s">
        <v>11044</v>
      </c>
      <c r="E5534" s="7" t="s">
        <v>27</v>
      </c>
      <c r="F5534" s="7" t="s">
        <v>10996</v>
      </c>
      <c r="G5534" s="7" t="n">
        <v>2017</v>
      </c>
      <c r="H5534" s="7" t="s">
        <v>49</v>
      </c>
      <c r="I5534" s="7" t="s">
        <v>330</v>
      </c>
      <c r="J5534" s="7" t="s">
        <v>240</v>
      </c>
      <c r="K5534" s="7" t="n">
        <f aca="false">IFERROR(VALUE(RIGHT(TRIM(F5534),4)),"")</f>
        <v>2018</v>
      </c>
      <c r="L5534" s="7" t="str">
        <f aca="false">IF(TRIM(E5534)="","Unknown",IFERROR(LEFT(TRIM(E5534),FIND(",",TRIM(E5534))-1),TRIM(E5534)))</f>
        <v>India</v>
      </c>
      <c r="M5534" s="7" t="str">
        <f aca="false">IFERROR(LEFT(J5534,FIND(",",J5534)-1),J5534)</f>
        <v>Dramas</v>
      </c>
      <c r="N5534" s="7" t="n">
        <f aca="false">IF(B5534="Movie",IFERROR(VALUE(LEFT(I5534,FIND(" ",I5534)-1)),""),"")</f>
        <v>103</v>
      </c>
      <c r="O5534" s="7" t="str">
        <f aca="false">IF(B5534="TV Show",IFERROR(VALUE(LEFT(I5534,FIND(" ",I5534)-1)),""),"")</f>
        <v/>
      </c>
      <c r="P5534" s="7" t="n">
        <f aca="false">IF(K5534="","",K5534-G5534)</f>
        <v>1</v>
      </c>
    </row>
    <row r="5535" customFormat="false" ht="15" hidden="false" customHeight="false" outlineLevel="0" collapsed="false">
      <c r="A5535" s="7" t="n">
        <v>80245329</v>
      </c>
      <c r="B5535" s="7" t="s">
        <v>68</v>
      </c>
      <c r="C5535" s="7" t="s">
        <v>11045</v>
      </c>
      <c r="D5535" s="7" t="s">
        <v>11046</v>
      </c>
      <c r="E5535" s="7" t="s">
        <v>27</v>
      </c>
      <c r="F5535" s="7" t="s">
        <v>10996</v>
      </c>
      <c r="G5535" s="7" t="n">
        <v>2016</v>
      </c>
      <c r="H5535" s="7" t="s">
        <v>49</v>
      </c>
      <c r="I5535" s="7" t="s">
        <v>237</v>
      </c>
      <c r="J5535" s="7" t="s">
        <v>182</v>
      </c>
      <c r="K5535" s="7" t="n">
        <f aca="false">IFERROR(VALUE(RIGHT(TRIM(F5535),4)),"")</f>
        <v>2018</v>
      </c>
      <c r="L5535" s="7" t="str">
        <f aca="false">IF(TRIM(E5535)="","Unknown",IFERROR(LEFT(TRIM(E5535),FIND(",",TRIM(E5535))-1),TRIM(E5535)))</f>
        <v>India</v>
      </c>
      <c r="M5535" s="7" t="str">
        <f aca="false">IFERROR(LEFT(J5535,FIND(",",J5535)-1),J5535)</f>
        <v>Dramas</v>
      </c>
      <c r="N5535" s="7" t="n">
        <f aca="false">IF(B5535="Movie",IFERROR(VALUE(LEFT(I5535,FIND(" ",I5535)-1)),""),"")</f>
        <v>116</v>
      </c>
      <c r="O5535" s="7" t="str">
        <f aca="false">IF(B5535="TV Show",IFERROR(VALUE(LEFT(I5535,FIND(" ",I5535)-1)),""),"")</f>
        <v/>
      </c>
      <c r="P5535" s="7" t="n">
        <f aca="false">IF(K5535="","",K5535-G5535)</f>
        <v>2</v>
      </c>
    </row>
    <row r="5536" customFormat="false" ht="15" hidden="false" customHeight="false" outlineLevel="0" collapsed="false">
      <c r="A5536" s="7" t="n">
        <v>70083535</v>
      </c>
      <c r="B5536" s="7" t="s">
        <v>68</v>
      </c>
      <c r="C5536" s="7" t="s">
        <v>11047</v>
      </c>
      <c r="D5536" s="7" t="s">
        <v>8407</v>
      </c>
      <c r="E5536" s="7" t="s">
        <v>27</v>
      </c>
      <c r="F5536" s="7" t="s">
        <v>10996</v>
      </c>
      <c r="G5536" s="7" t="n">
        <v>2007</v>
      </c>
      <c r="H5536" s="7" t="s">
        <v>49</v>
      </c>
      <c r="I5536" s="7" t="s">
        <v>9206</v>
      </c>
      <c r="J5536" s="7" t="s">
        <v>217</v>
      </c>
      <c r="K5536" s="7" t="n">
        <f aca="false">IFERROR(VALUE(RIGHT(TRIM(F5536),4)),"")</f>
        <v>2018</v>
      </c>
      <c r="L5536" s="7" t="str">
        <f aca="false">IF(TRIM(E5536)="","Unknown",IFERROR(LEFT(TRIM(E5536),FIND(",",TRIM(E5536))-1),TRIM(E5536)))</f>
        <v>India</v>
      </c>
      <c r="M5536" s="7" t="str">
        <f aca="false">IFERROR(LEFT(J5536,FIND(",",J5536)-1),J5536)</f>
        <v>Comedies</v>
      </c>
      <c r="N5536" s="7" t="n">
        <f aca="false">IF(B5536="Movie",IFERROR(VALUE(LEFT(I5536,FIND(" ",I5536)-1)),""),"")</f>
        <v>169</v>
      </c>
      <c r="O5536" s="7" t="str">
        <f aca="false">IF(B5536="TV Show",IFERROR(VALUE(LEFT(I5536,FIND(" ",I5536)-1)),""),"")</f>
        <v/>
      </c>
      <c r="P5536" s="7" t="n">
        <f aca="false">IF(K5536="","",K5536-G5536)</f>
        <v>11</v>
      </c>
    </row>
    <row r="5537" customFormat="false" ht="15" hidden="false" customHeight="false" outlineLevel="0" collapsed="false">
      <c r="A5537" s="7" t="n">
        <v>70039405</v>
      </c>
      <c r="B5537" s="7" t="s">
        <v>68</v>
      </c>
      <c r="C5537" s="7" t="s">
        <v>11048</v>
      </c>
      <c r="D5537" s="7" t="s">
        <v>11049</v>
      </c>
      <c r="E5537" s="7" t="s">
        <v>27</v>
      </c>
      <c r="F5537" s="7" t="s">
        <v>10996</v>
      </c>
      <c r="G5537" s="7" t="n">
        <v>2005</v>
      </c>
      <c r="H5537" s="7" t="s">
        <v>50</v>
      </c>
      <c r="I5537" s="7" t="s">
        <v>2192</v>
      </c>
      <c r="J5537" s="7" t="s">
        <v>240</v>
      </c>
      <c r="K5537" s="7" t="n">
        <f aca="false">IFERROR(VALUE(RIGHT(TRIM(F5537),4)),"")</f>
        <v>2018</v>
      </c>
      <c r="L5537" s="7" t="str">
        <f aca="false">IF(TRIM(E5537)="","Unknown",IFERROR(LEFT(TRIM(E5537),FIND(",",TRIM(E5537))-1),TRIM(E5537)))</f>
        <v>India</v>
      </c>
      <c r="M5537" s="7" t="str">
        <f aca="false">IFERROR(LEFT(J5537,FIND(",",J5537)-1),J5537)</f>
        <v>Dramas</v>
      </c>
      <c r="N5537" s="7" t="n">
        <f aca="false">IF(B5537="Movie",IFERROR(VALUE(LEFT(I5537,FIND(" ",I5537)-1)),""),"")</f>
        <v>134</v>
      </c>
      <c r="O5537" s="7" t="str">
        <f aca="false">IF(B5537="TV Show",IFERROR(VALUE(LEFT(I5537,FIND(" ",I5537)-1)),""),"")</f>
        <v/>
      </c>
      <c r="P5537" s="7" t="n">
        <f aca="false">IF(K5537="","",K5537-G5537)</f>
        <v>13</v>
      </c>
    </row>
    <row r="5538" customFormat="false" ht="15" hidden="false" customHeight="false" outlineLevel="0" collapsed="false">
      <c r="A5538" s="7" t="n">
        <v>60000722</v>
      </c>
      <c r="B5538" s="7" t="s">
        <v>68</v>
      </c>
      <c r="C5538" s="7" t="s">
        <v>11050</v>
      </c>
      <c r="D5538" s="7" t="s">
        <v>2172</v>
      </c>
      <c r="E5538" s="7" t="s">
        <v>27</v>
      </c>
      <c r="F5538" s="7" t="s">
        <v>10996</v>
      </c>
      <c r="G5538" s="7" t="n">
        <v>2000</v>
      </c>
      <c r="H5538" s="7" t="s">
        <v>50</v>
      </c>
      <c r="I5538" s="7" t="s">
        <v>1779</v>
      </c>
      <c r="J5538" s="7" t="s">
        <v>217</v>
      </c>
      <c r="K5538" s="7" t="n">
        <f aca="false">IFERROR(VALUE(RIGHT(TRIM(F5538),4)),"")</f>
        <v>2018</v>
      </c>
      <c r="L5538" s="7" t="str">
        <f aca="false">IF(TRIM(E5538)="","Unknown",IFERROR(LEFT(TRIM(E5538),FIND(",",TRIM(E5538))-1),TRIM(E5538)))</f>
        <v>India</v>
      </c>
      <c r="M5538" s="7" t="str">
        <f aca="false">IFERROR(LEFT(J5538,FIND(",",J5538)-1),J5538)</f>
        <v>Comedies</v>
      </c>
      <c r="N5538" s="7" t="n">
        <f aca="false">IF(B5538="Movie",IFERROR(VALUE(LEFT(I5538,FIND(" ",I5538)-1)),""),"")</f>
        <v>159</v>
      </c>
      <c r="O5538" s="7" t="str">
        <f aca="false">IF(B5538="TV Show",IFERROR(VALUE(LEFT(I5538,FIND(" ",I5538)-1)),""),"")</f>
        <v/>
      </c>
      <c r="P5538" s="7" t="n">
        <f aca="false">IF(K5538="","",K5538-G5538)</f>
        <v>18</v>
      </c>
    </row>
    <row r="5539" customFormat="false" ht="15" hidden="false" customHeight="false" outlineLevel="0" collapsed="false">
      <c r="A5539" s="7" t="n">
        <v>70134539</v>
      </c>
      <c r="B5539" s="7" t="s">
        <v>68</v>
      </c>
      <c r="C5539" s="7" t="s">
        <v>5900</v>
      </c>
      <c r="D5539" s="7" t="s">
        <v>11051</v>
      </c>
      <c r="E5539" s="7" t="s">
        <v>27</v>
      </c>
      <c r="F5539" s="7" t="s">
        <v>10996</v>
      </c>
      <c r="G5539" s="7" t="n">
        <v>2010</v>
      </c>
      <c r="H5539" s="7" t="s">
        <v>49</v>
      </c>
      <c r="I5539" s="7" t="s">
        <v>247</v>
      </c>
      <c r="J5539" s="7" t="s">
        <v>322</v>
      </c>
      <c r="K5539" s="7" t="n">
        <f aca="false">IFERROR(VALUE(RIGHT(TRIM(F5539),4)),"")</f>
        <v>2018</v>
      </c>
      <c r="L5539" s="7" t="str">
        <f aca="false">IF(TRIM(E5539)="","Unknown",IFERROR(LEFT(TRIM(E5539),FIND(",",TRIM(E5539))-1),TRIM(E5539)))</f>
        <v>India</v>
      </c>
      <c r="M5539" s="7" t="str">
        <f aca="false">IFERROR(LEFT(J5539,FIND(",",J5539)-1),J5539)</f>
        <v>Action &amp; Adventure</v>
      </c>
      <c r="N5539" s="7" t="n">
        <f aca="false">IF(B5539="Movie",IFERROR(VALUE(LEFT(I5539,FIND(" ",I5539)-1)),""),"")</f>
        <v>130</v>
      </c>
      <c r="O5539" s="7" t="str">
        <f aca="false">IF(B5539="TV Show",IFERROR(VALUE(LEFT(I5539,FIND(" ",I5539)-1)),""),"")</f>
        <v/>
      </c>
      <c r="P5539" s="7" t="n">
        <f aca="false">IF(K5539="","",K5539-G5539)</f>
        <v>8</v>
      </c>
    </row>
    <row r="5540" customFormat="false" ht="15" hidden="false" customHeight="false" outlineLevel="0" collapsed="false">
      <c r="A5540" s="7" t="n">
        <v>80122233</v>
      </c>
      <c r="B5540" s="7" t="s">
        <v>78</v>
      </c>
      <c r="C5540" s="7" t="s">
        <v>11052</v>
      </c>
      <c r="E5540" s="7" t="s">
        <v>27</v>
      </c>
      <c r="F5540" s="7" t="s">
        <v>10996</v>
      </c>
      <c r="G5540" s="7" t="n">
        <v>2012</v>
      </c>
      <c r="H5540" s="7" t="s">
        <v>49</v>
      </c>
      <c r="I5540" s="7" t="s">
        <v>82</v>
      </c>
      <c r="J5540" s="7" t="s">
        <v>344</v>
      </c>
      <c r="K5540" s="7" t="n">
        <f aca="false">IFERROR(VALUE(RIGHT(TRIM(F5540),4)),"")</f>
        <v>2018</v>
      </c>
      <c r="L5540" s="7" t="str">
        <f aca="false">IF(TRIM(E5540)="","Unknown",IFERROR(LEFT(TRIM(E5540),FIND(",",TRIM(E5540))-1),TRIM(E5540)))</f>
        <v>India</v>
      </c>
      <c r="M5540" s="7" t="str">
        <f aca="false">IFERROR(LEFT(J5540,FIND(",",J5540)-1),J5540)</f>
        <v>International TV Shows</v>
      </c>
      <c r="N5540" s="7" t="str">
        <f aca="false">IF(B5540="Movie",IFERROR(VALUE(LEFT(I5540,FIND(" ",I5540)-1)),""),"")</f>
        <v/>
      </c>
      <c r="O5540" s="7" t="n">
        <f aca="false">IF(B5540="TV Show",IFERROR(VALUE(LEFT(I5540,FIND(" ",I5540)-1)),""),"")</f>
        <v>1</v>
      </c>
      <c r="P5540" s="7" t="n">
        <f aca="false">IF(K5540="","",K5540-G5540)</f>
        <v>6</v>
      </c>
    </row>
    <row r="5541" customFormat="false" ht="15" hidden="false" customHeight="false" outlineLevel="0" collapsed="false">
      <c r="A5541" s="7" t="n">
        <v>80245518</v>
      </c>
      <c r="B5541" s="7" t="s">
        <v>68</v>
      </c>
      <c r="C5541" s="7" t="s">
        <v>11053</v>
      </c>
      <c r="D5541" s="7" t="s">
        <v>11054</v>
      </c>
      <c r="E5541" s="7" t="s">
        <v>27</v>
      </c>
      <c r="F5541" s="7" t="s">
        <v>10996</v>
      </c>
      <c r="G5541" s="7" t="n">
        <v>2017</v>
      </c>
      <c r="H5541" s="7" t="s">
        <v>48</v>
      </c>
      <c r="I5541" s="7" t="s">
        <v>330</v>
      </c>
      <c r="J5541" s="7" t="s">
        <v>188</v>
      </c>
      <c r="K5541" s="7" t="n">
        <f aca="false">IFERROR(VALUE(RIGHT(TRIM(F5541),4)),"")</f>
        <v>2018</v>
      </c>
      <c r="L5541" s="7" t="str">
        <f aca="false">IF(TRIM(E5541)="","Unknown",IFERROR(LEFT(TRIM(E5541),FIND(",",TRIM(E5541))-1),TRIM(E5541)))</f>
        <v>India</v>
      </c>
      <c r="M5541" s="7" t="str">
        <f aca="false">IFERROR(LEFT(J5541,FIND(",",J5541)-1),J5541)</f>
        <v>Dramas</v>
      </c>
      <c r="N5541" s="7" t="n">
        <f aca="false">IF(B5541="Movie",IFERROR(VALUE(LEFT(I5541,FIND(" ",I5541)-1)),""),"")</f>
        <v>103</v>
      </c>
      <c r="O5541" s="7" t="str">
        <f aca="false">IF(B5541="TV Show",IFERROR(VALUE(LEFT(I5541,FIND(" ",I5541)-1)),""),"")</f>
        <v/>
      </c>
      <c r="P5541" s="7" t="n">
        <f aca="false">IF(K5541="","",K5541-G5541)</f>
        <v>1</v>
      </c>
    </row>
    <row r="5542" customFormat="false" ht="15" hidden="false" customHeight="false" outlineLevel="0" collapsed="false">
      <c r="A5542" s="7" t="n">
        <v>80124313</v>
      </c>
      <c r="B5542" s="7" t="s">
        <v>68</v>
      </c>
      <c r="C5542" s="7" t="s">
        <v>11055</v>
      </c>
      <c r="D5542" s="7" t="s">
        <v>7628</v>
      </c>
      <c r="E5542" s="7" t="s">
        <v>27</v>
      </c>
      <c r="F5542" s="7" t="s">
        <v>10996</v>
      </c>
      <c r="G5542" s="7" t="n">
        <v>2016</v>
      </c>
      <c r="H5542" s="7" t="s">
        <v>49</v>
      </c>
      <c r="I5542" s="7" t="s">
        <v>5186</v>
      </c>
      <c r="J5542" s="7" t="s">
        <v>240</v>
      </c>
      <c r="K5542" s="7" t="n">
        <f aca="false">IFERROR(VALUE(RIGHT(TRIM(F5542),4)),"")</f>
        <v>2018</v>
      </c>
      <c r="L5542" s="7" t="str">
        <f aca="false">IF(TRIM(E5542)="","Unknown",IFERROR(LEFT(TRIM(E5542),FIND(",",TRIM(E5542))-1),TRIM(E5542)))</f>
        <v>India</v>
      </c>
      <c r="M5542" s="7" t="str">
        <f aca="false">IFERROR(LEFT(J5542,FIND(",",J5542)-1),J5542)</f>
        <v>Dramas</v>
      </c>
      <c r="N5542" s="7" t="n">
        <f aca="false">IF(B5542="Movie",IFERROR(VALUE(LEFT(I5542,FIND(" ",I5542)-1)),""),"")</f>
        <v>173</v>
      </c>
      <c r="O5542" s="7" t="str">
        <f aca="false">IF(B5542="TV Show",IFERROR(VALUE(LEFT(I5542,FIND(" ",I5542)-1)),""),"")</f>
        <v/>
      </c>
      <c r="P5542" s="7" t="n">
        <f aca="false">IF(K5542="","",K5542-G5542)</f>
        <v>2</v>
      </c>
    </row>
    <row r="5543" customFormat="false" ht="15" hidden="false" customHeight="false" outlineLevel="0" collapsed="false">
      <c r="A5543" s="7" t="n">
        <v>60036359</v>
      </c>
      <c r="B5543" s="7" t="s">
        <v>68</v>
      </c>
      <c r="C5543" s="7" t="s">
        <v>11056</v>
      </c>
      <c r="D5543" s="7" t="s">
        <v>2801</v>
      </c>
      <c r="E5543" s="7" t="s">
        <v>26</v>
      </c>
      <c r="F5543" s="7" t="s">
        <v>10996</v>
      </c>
      <c r="G5543" s="7" t="n">
        <v>1993</v>
      </c>
      <c r="H5543" s="7" t="s">
        <v>51</v>
      </c>
      <c r="I5543" s="7" t="s">
        <v>11057</v>
      </c>
      <c r="J5543" s="7" t="s">
        <v>3151</v>
      </c>
      <c r="K5543" s="7" t="n">
        <f aca="false">IFERROR(VALUE(RIGHT(TRIM(F5543),4)),"")</f>
        <v>2018</v>
      </c>
      <c r="L5543" s="7" t="str">
        <f aca="false">IF(TRIM(E5543)="","Unknown",IFERROR(LEFT(TRIM(E5543),FIND(",",TRIM(E5543))-1),TRIM(E5543)))</f>
        <v>United States</v>
      </c>
      <c r="M5543" s="7" t="str">
        <f aca="false">IFERROR(LEFT(J5543,FIND(",",J5543)-1),J5543)</f>
        <v>Classic Movies</v>
      </c>
      <c r="N5543" s="7" t="n">
        <f aca="false">IF(B5543="Movie",IFERROR(VALUE(LEFT(I5543,FIND(" ",I5543)-1)),""),"")</f>
        <v>195</v>
      </c>
      <c r="O5543" s="7" t="str">
        <f aca="false">IF(B5543="TV Show",IFERROR(VALUE(LEFT(I5543,FIND(" ",I5543)-1)),""),"")</f>
        <v/>
      </c>
      <c r="P5543" s="7" t="n">
        <f aca="false">IF(K5543="","",K5543-G5543)</f>
        <v>25</v>
      </c>
    </row>
    <row r="5544" customFormat="false" ht="15" hidden="false" customHeight="false" outlineLevel="0" collapsed="false">
      <c r="A5544" s="7" t="n">
        <v>80049281</v>
      </c>
      <c r="B5544" s="7" t="s">
        <v>68</v>
      </c>
      <c r="C5544" s="7" t="s">
        <v>11058</v>
      </c>
      <c r="D5544" s="7" t="s">
        <v>11059</v>
      </c>
      <c r="E5544" s="7" t="s">
        <v>11060</v>
      </c>
      <c r="F5544" s="7" t="s">
        <v>10996</v>
      </c>
      <c r="G5544" s="7" t="n">
        <v>2015</v>
      </c>
      <c r="H5544" s="7" t="s">
        <v>52</v>
      </c>
      <c r="I5544" s="7" t="s">
        <v>326</v>
      </c>
      <c r="J5544" s="7" t="s">
        <v>597</v>
      </c>
      <c r="K5544" s="7" t="n">
        <f aca="false">IFERROR(VALUE(RIGHT(TRIM(F5544),4)),"")</f>
        <v>2018</v>
      </c>
      <c r="L5544" s="7" t="str">
        <f aca="false">IF(TRIM(E5544)="","Unknown",IFERROR(LEFT(TRIM(E5544),FIND(",",TRIM(E5544))-1),TRIM(E5544)))</f>
        <v>United States</v>
      </c>
      <c r="M5544" s="7" t="str">
        <f aca="false">IFERROR(LEFT(J5544,FIND(",",J5544)-1),J5544)</f>
        <v>Dramas</v>
      </c>
      <c r="N5544" s="7" t="n">
        <f aca="false">IF(B5544="Movie",IFERROR(VALUE(LEFT(I5544,FIND(" ",I5544)-1)),""),"")</f>
        <v>111</v>
      </c>
      <c r="O5544" s="7" t="str">
        <f aca="false">IF(B5544="TV Show",IFERROR(VALUE(LEFT(I5544,FIND(" ",I5544)-1)),""),"")</f>
        <v/>
      </c>
      <c r="P5544" s="7" t="n">
        <f aca="false">IF(K5544="","",K5544-G5544)</f>
        <v>3</v>
      </c>
    </row>
    <row r="5545" customFormat="false" ht="15" hidden="false" customHeight="false" outlineLevel="0" collapsed="false">
      <c r="A5545" s="7" t="n">
        <v>70084328</v>
      </c>
      <c r="B5545" s="7" t="s">
        <v>68</v>
      </c>
      <c r="C5545" s="7" t="s">
        <v>11061</v>
      </c>
      <c r="D5545" s="7" t="s">
        <v>11062</v>
      </c>
      <c r="E5545" s="7" t="s">
        <v>1113</v>
      </c>
      <c r="F5545" s="7" t="s">
        <v>10996</v>
      </c>
      <c r="G5545" s="7" t="n">
        <v>2007</v>
      </c>
      <c r="H5545" s="7" t="s">
        <v>48</v>
      </c>
      <c r="I5545" s="7" t="s">
        <v>87</v>
      </c>
      <c r="J5545" s="7" t="s">
        <v>2458</v>
      </c>
      <c r="K5545" s="7" t="n">
        <f aca="false">IFERROR(VALUE(RIGHT(TRIM(F5545),4)),"")</f>
        <v>2018</v>
      </c>
      <c r="L5545" s="7" t="str">
        <f aca="false">IF(TRIM(E5545)="","Unknown",IFERROR(LEFT(TRIM(E5545),FIND(",",TRIM(E5545))-1),TRIM(E5545)))</f>
        <v>Argentina</v>
      </c>
      <c r="M5545" s="7" t="str">
        <f aca="false">IFERROR(LEFT(J5545,FIND(",",J5545)-1),J5545)</f>
        <v>Dramas</v>
      </c>
      <c r="N5545" s="7" t="n">
        <f aca="false">IF(B5545="Movie",IFERROR(VALUE(LEFT(I5545,FIND(" ",I5545)-1)),""),"")</f>
        <v>99</v>
      </c>
      <c r="O5545" s="7" t="str">
        <f aca="false">IF(B5545="TV Show",IFERROR(VALUE(LEFT(I5545,FIND(" ",I5545)-1)),""),"")</f>
        <v/>
      </c>
      <c r="P5545" s="7" t="n">
        <f aca="false">IF(K5545="","",K5545-G5545)</f>
        <v>11</v>
      </c>
    </row>
    <row r="5546" customFormat="false" ht="15" hidden="false" customHeight="false" outlineLevel="0" collapsed="false">
      <c r="A5546" s="7" t="n">
        <v>70099610</v>
      </c>
      <c r="B5546" s="7" t="s">
        <v>68</v>
      </c>
      <c r="C5546" s="7" t="s">
        <v>11063</v>
      </c>
      <c r="D5546" s="7" t="s">
        <v>5335</v>
      </c>
      <c r="E5546" s="7" t="s">
        <v>11064</v>
      </c>
      <c r="F5546" s="7" t="s">
        <v>10996</v>
      </c>
      <c r="G5546" s="7" t="n">
        <v>2008</v>
      </c>
      <c r="H5546" s="7" t="s">
        <v>52</v>
      </c>
      <c r="I5546" s="7" t="s">
        <v>93</v>
      </c>
      <c r="J5546" s="7" t="s">
        <v>240</v>
      </c>
      <c r="K5546" s="7" t="n">
        <f aca="false">IFERROR(VALUE(RIGHT(TRIM(F5546),4)),"")</f>
        <v>2018</v>
      </c>
      <c r="L5546" s="7" t="str">
        <f aca="false">IF(TRIM(E5546)="","Unknown",IFERROR(LEFT(TRIM(E5546),FIND(",",TRIM(E5546))-1),TRIM(E5546)))</f>
        <v>United Kingdom</v>
      </c>
      <c r="M5546" s="7" t="str">
        <f aca="false">IFERROR(LEFT(J5546,FIND(",",J5546)-1),J5546)</f>
        <v>Dramas</v>
      </c>
      <c r="N5546" s="7" t="n">
        <f aca="false">IF(B5546="Movie",IFERROR(VALUE(LEFT(I5546,FIND(" ",I5546)-1)),""),"")</f>
        <v>110</v>
      </c>
      <c r="O5546" s="7" t="str">
        <f aca="false">IF(B5546="TV Show",IFERROR(VALUE(LEFT(I5546,FIND(" ",I5546)-1)),""),"")</f>
        <v/>
      </c>
      <c r="P5546" s="7" t="n">
        <f aca="false">IF(K5546="","",K5546-G5546)</f>
        <v>10</v>
      </c>
    </row>
    <row r="5547" customFormat="false" ht="15" hidden="false" customHeight="false" outlineLevel="0" collapsed="false">
      <c r="A5547" s="7" t="n">
        <v>80217041</v>
      </c>
      <c r="B5547" s="7" t="s">
        <v>68</v>
      </c>
      <c r="C5547" s="7" t="s">
        <v>11065</v>
      </c>
      <c r="D5547" s="7" t="s">
        <v>11066</v>
      </c>
      <c r="E5547" s="7" t="s">
        <v>26</v>
      </c>
      <c r="F5547" s="7" t="s">
        <v>10996</v>
      </c>
      <c r="G5547" s="7" t="n">
        <v>2016</v>
      </c>
      <c r="H5547" s="7" t="s">
        <v>226</v>
      </c>
      <c r="I5547" s="7" t="s">
        <v>4461</v>
      </c>
      <c r="J5547" s="7" t="s">
        <v>39</v>
      </c>
      <c r="K5547" s="7" t="n">
        <f aca="false">IFERROR(VALUE(RIGHT(TRIM(F5547),4)),"")</f>
        <v>2018</v>
      </c>
      <c r="L5547" s="7" t="str">
        <f aca="false">IF(TRIM(E5547)="","Unknown",IFERROR(LEFT(TRIM(E5547),FIND(",",TRIM(E5547))-1),TRIM(E5547)))</f>
        <v>United States</v>
      </c>
      <c r="M5547" s="7" t="str">
        <f aca="false">IFERROR(LEFT(J5547,FIND(",",J5547)-1),J5547)</f>
        <v>Documentaries</v>
      </c>
      <c r="N5547" s="7" t="n">
        <f aca="false">IF(B5547="Movie",IFERROR(VALUE(LEFT(I5547,FIND(" ",I5547)-1)),""),"")</f>
        <v>32</v>
      </c>
      <c r="O5547" s="7" t="str">
        <f aca="false">IF(B5547="TV Show",IFERROR(VALUE(LEFT(I5547,FIND(" ",I5547)-1)),""),"")</f>
        <v/>
      </c>
      <c r="P5547" s="7" t="n">
        <f aca="false">IF(K5547="","",K5547-G5547)</f>
        <v>2</v>
      </c>
    </row>
    <row r="5548" customFormat="false" ht="15" hidden="false" customHeight="false" outlineLevel="0" collapsed="false">
      <c r="A5548" s="7" t="n">
        <v>80156408</v>
      </c>
      <c r="B5548" s="7" t="s">
        <v>68</v>
      </c>
      <c r="C5548" s="7" t="s">
        <v>11067</v>
      </c>
      <c r="D5548" s="7" t="s">
        <v>11068</v>
      </c>
      <c r="E5548" s="7" t="s">
        <v>544</v>
      </c>
      <c r="F5548" s="7" t="s">
        <v>10996</v>
      </c>
      <c r="G5548" s="7" t="n">
        <v>2016</v>
      </c>
      <c r="H5548" s="7" t="s">
        <v>51</v>
      </c>
      <c r="I5548" s="7" t="s">
        <v>77</v>
      </c>
      <c r="J5548" s="7" t="s">
        <v>304</v>
      </c>
      <c r="K5548" s="7" t="n">
        <f aca="false">IFERROR(VALUE(RIGHT(TRIM(F5548),4)),"")</f>
        <v>2018</v>
      </c>
      <c r="L5548" s="7" t="str">
        <f aca="false">IF(TRIM(E5548)="","Unknown",IFERROR(LEFT(TRIM(E5548),FIND(",",TRIM(E5548))-1),TRIM(E5548)))</f>
        <v>United Kingdom</v>
      </c>
      <c r="M5548" s="7" t="str">
        <f aca="false">IFERROR(LEFT(J5548,FIND(",",J5548)-1),J5548)</f>
        <v>Dramas</v>
      </c>
      <c r="N5548" s="7" t="n">
        <f aca="false">IF(B5548="Movie",IFERROR(VALUE(LEFT(I5548,FIND(" ",I5548)-1)),""),"")</f>
        <v>94</v>
      </c>
      <c r="O5548" s="7" t="str">
        <f aca="false">IF(B5548="TV Show",IFERROR(VALUE(LEFT(I5548,FIND(" ",I5548)-1)),""),"")</f>
        <v/>
      </c>
      <c r="P5548" s="7" t="n">
        <f aca="false">IF(K5548="","",K5548-G5548)</f>
        <v>2</v>
      </c>
    </row>
    <row r="5549" customFormat="false" ht="15" hidden="false" customHeight="false" outlineLevel="0" collapsed="false">
      <c r="A5549" s="7" t="n">
        <v>80122193</v>
      </c>
      <c r="B5549" s="7" t="s">
        <v>78</v>
      </c>
      <c r="C5549" s="7" t="s">
        <v>11069</v>
      </c>
      <c r="E5549" s="7" t="s">
        <v>27</v>
      </c>
      <c r="F5549" s="7" t="s">
        <v>11070</v>
      </c>
      <c r="G5549" s="7" t="n">
        <v>2013</v>
      </c>
      <c r="H5549" s="7" t="s">
        <v>49</v>
      </c>
      <c r="I5549" s="7" t="s">
        <v>82</v>
      </c>
      <c r="J5549" s="7" t="s">
        <v>344</v>
      </c>
      <c r="K5549" s="7" t="n">
        <f aca="false">IFERROR(VALUE(RIGHT(TRIM(F5549),4)),"")</f>
        <v>2017</v>
      </c>
      <c r="L5549" s="7" t="str">
        <f aca="false">IF(TRIM(E5549)="","Unknown",IFERROR(LEFT(TRIM(E5549),FIND(",",TRIM(E5549))-1),TRIM(E5549)))</f>
        <v>India</v>
      </c>
      <c r="M5549" s="7" t="str">
        <f aca="false">IFERROR(LEFT(J5549,FIND(",",J5549)-1),J5549)</f>
        <v>International TV Shows</v>
      </c>
      <c r="N5549" s="7" t="str">
        <f aca="false">IF(B5549="Movie",IFERROR(VALUE(LEFT(I5549,FIND(" ",I5549)-1)),""),"")</f>
        <v/>
      </c>
      <c r="O5549" s="7" t="n">
        <f aca="false">IF(B5549="TV Show",IFERROR(VALUE(LEFT(I5549,FIND(" ",I5549)-1)),""),"")</f>
        <v>1</v>
      </c>
      <c r="P5549" s="7" t="n">
        <f aca="false">IF(K5549="","",K5549-G5549)</f>
        <v>4</v>
      </c>
    </row>
    <row r="5550" customFormat="false" ht="15" hidden="false" customHeight="false" outlineLevel="0" collapsed="false">
      <c r="A5550" s="7" t="n">
        <v>80159714</v>
      </c>
      <c r="B5550" s="7" t="s">
        <v>78</v>
      </c>
      <c r="C5550" s="7" t="s">
        <v>11071</v>
      </c>
      <c r="E5550" s="7" t="s">
        <v>97</v>
      </c>
      <c r="F5550" s="7" t="s">
        <v>11070</v>
      </c>
      <c r="G5550" s="7" t="n">
        <v>2016</v>
      </c>
      <c r="H5550" s="7" t="s">
        <v>48</v>
      </c>
      <c r="I5550" s="7" t="s">
        <v>82</v>
      </c>
      <c r="J5550" s="7" t="s">
        <v>824</v>
      </c>
      <c r="K5550" s="7" t="n">
        <f aca="false">IFERROR(VALUE(RIGHT(TRIM(F5550),4)),"")</f>
        <v>2017</v>
      </c>
      <c r="L5550" s="7" t="str">
        <f aca="false">IF(TRIM(E5550)="","Unknown",IFERROR(LEFT(TRIM(E5550),FIND(",",TRIM(E5550))-1),TRIM(E5550)))</f>
        <v>Chile</v>
      </c>
      <c r="M5550" s="7" t="str">
        <f aca="false">IFERROR(LEFT(J5550,FIND(",",J5550)-1),J5550)</f>
        <v>International TV Shows</v>
      </c>
      <c r="N5550" s="7" t="str">
        <f aca="false">IF(B5550="Movie",IFERROR(VALUE(LEFT(I5550,FIND(" ",I5550)-1)),""),"")</f>
        <v/>
      </c>
      <c r="O5550" s="7" t="n">
        <f aca="false">IF(B5550="TV Show",IFERROR(VALUE(LEFT(I5550,FIND(" ",I5550)-1)),""),"")</f>
        <v>1</v>
      </c>
      <c r="P5550" s="7" t="n">
        <f aca="false">IF(K5550="","",K5550-G5550)</f>
        <v>1</v>
      </c>
    </row>
    <row r="5551" customFormat="false" ht="15" hidden="false" customHeight="false" outlineLevel="0" collapsed="false">
      <c r="A5551" s="7" t="n">
        <v>80172938</v>
      </c>
      <c r="B5551" s="7" t="s">
        <v>68</v>
      </c>
      <c r="C5551" s="7" t="s">
        <v>11072</v>
      </c>
      <c r="D5551" s="7" t="s">
        <v>11073</v>
      </c>
      <c r="E5551" s="7" t="s">
        <v>3581</v>
      </c>
      <c r="F5551" s="7" t="s">
        <v>11070</v>
      </c>
      <c r="G5551" s="7" t="n">
        <v>2013</v>
      </c>
      <c r="H5551" s="7" t="s">
        <v>49</v>
      </c>
      <c r="I5551" s="7" t="s">
        <v>134</v>
      </c>
      <c r="J5551" s="7" t="s">
        <v>974</v>
      </c>
      <c r="K5551" s="7" t="n">
        <f aca="false">IFERROR(VALUE(RIGHT(TRIM(F5551),4)),"")</f>
        <v>2017</v>
      </c>
      <c r="L5551" s="7" t="str">
        <f aca="false">IF(TRIM(E5551)="","Unknown",IFERROR(LEFT(TRIM(E5551),FIND(",",TRIM(E5551))-1),TRIM(E5551)))</f>
        <v>United States</v>
      </c>
      <c r="M5551" s="7" t="str">
        <f aca="false">IFERROR(LEFT(J5551,FIND(",",J5551)-1),J5551)</f>
        <v>Documentaries</v>
      </c>
      <c r="N5551" s="7" t="n">
        <f aca="false">IF(B5551="Movie",IFERROR(VALUE(LEFT(I5551,FIND(" ",I5551)-1)),""),"")</f>
        <v>98</v>
      </c>
      <c r="O5551" s="7" t="str">
        <f aca="false">IF(B5551="TV Show",IFERROR(VALUE(LEFT(I5551,FIND(" ",I5551)-1)),""),"")</f>
        <v/>
      </c>
      <c r="P5551" s="7" t="n">
        <f aca="false">IF(K5551="","",K5551-G5551)</f>
        <v>4</v>
      </c>
    </row>
    <row r="5552" customFormat="false" ht="15" hidden="false" customHeight="false" outlineLevel="0" collapsed="false">
      <c r="A5552" s="7" t="n">
        <v>80131414</v>
      </c>
      <c r="B5552" s="7" t="s">
        <v>68</v>
      </c>
      <c r="C5552" s="7" t="s">
        <v>11074</v>
      </c>
      <c r="D5552" s="7" t="s">
        <v>11075</v>
      </c>
      <c r="E5552" s="7" t="s">
        <v>11076</v>
      </c>
      <c r="F5552" s="7" t="s">
        <v>11070</v>
      </c>
      <c r="G5552" s="7" t="n">
        <v>2016</v>
      </c>
      <c r="H5552" s="7" t="s">
        <v>49</v>
      </c>
      <c r="I5552" s="7" t="s">
        <v>1221</v>
      </c>
      <c r="J5552" s="7" t="s">
        <v>341</v>
      </c>
      <c r="K5552" s="7" t="n">
        <f aca="false">IFERROR(VALUE(RIGHT(TRIM(F5552),4)),"")</f>
        <v>2017</v>
      </c>
      <c r="L5552" s="7" t="str">
        <f aca="false">IF(TRIM(E5552)="","Unknown",IFERROR(LEFT(TRIM(E5552),FIND(",",TRIM(E5552))-1),TRIM(E5552)))</f>
        <v>United Kingdom</v>
      </c>
      <c r="M5552" s="7" t="str">
        <f aca="false">IFERROR(LEFT(J5552,FIND(",",J5552)-1),J5552)</f>
        <v>Documentaries</v>
      </c>
      <c r="N5552" s="7" t="n">
        <f aca="false">IF(B5552="Movie",IFERROR(VALUE(LEFT(I5552,FIND(" ",I5552)-1)),""),"")</f>
        <v>74</v>
      </c>
      <c r="O5552" s="7" t="str">
        <f aca="false">IF(B5552="TV Show",IFERROR(VALUE(LEFT(I5552,FIND(" ",I5552)-1)),""),"")</f>
        <v/>
      </c>
      <c r="P5552" s="7" t="n">
        <f aca="false">IF(K5552="","",K5552-G5552)</f>
        <v>1</v>
      </c>
    </row>
    <row r="5553" customFormat="false" ht="15" hidden="false" customHeight="false" outlineLevel="0" collapsed="false">
      <c r="A5553" s="7" t="n">
        <v>80123567</v>
      </c>
      <c r="B5553" s="7" t="s">
        <v>78</v>
      </c>
      <c r="C5553" s="7" t="s">
        <v>11077</v>
      </c>
      <c r="E5553" s="7" t="s">
        <v>396</v>
      </c>
      <c r="F5553" s="7" t="s">
        <v>11070</v>
      </c>
      <c r="G5553" s="7" t="n">
        <v>2005</v>
      </c>
      <c r="H5553" s="7" t="s">
        <v>49</v>
      </c>
      <c r="I5553" s="7" t="s">
        <v>82</v>
      </c>
      <c r="J5553" s="7" t="s">
        <v>344</v>
      </c>
      <c r="K5553" s="7" t="n">
        <f aca="false">IFERROR(VALUE(RIGHT(TRIM(F5553),4)),"")</f>
        <v>2017</v>
      </c>
      <c r="L5553" s="7" t="str">
        <f aca="false">IF(TRIM(E5553)="","Unknown",IFERROR(LEFT(TRIM(E5553),FIND(",",TRIM(E5553))-1),TRIM(E5553)))</f>
        <v>Turkey</v>
      </c>
      <c r="M5553" s="7" t="str">
        <f aca="false">IFERROR(LEFT(J5553,FIND(",",J5553)-1),J5553)</f>
        <v>International TV Shows</v>
      </c>
      <c r="N5553" s="7" t="str">
        <f aca="false">IF(B5553="Movie",IFERROR(VALUE(LEFT(I5553,FIND(" ",I5553)-1)),""),"")</f>
        <v/>
      </c>
      <c r="O5553" s="7" t="n">
        <f aca="false">IF(B5553="TV Show",IFERROR(VALUE(LEFT(I5553,FIND(" ",I5553)-1)),""),"")</f>
        <v>1</v>
      </c>
      <c r="P5553" s="7" t="n">
        <f aca="false">IF(K5553="","",K5553-G5553)</f>
        <v>12</v>
      </c>
    </row>
    <row r="5554" customFormat="false" ht="15" hidden="false" customHeight="false" outlineLevel="0" collapsed="false">
      <c r="A5554" s="7" t="n">
        <v>80170612</v>
      </c>
      <c r="B5554" s="7" t="s">
        <v>68</v>
      </c>
      <c r="C5554" s="7" t="s">
        <v>11078</v>
      </c>
      <c r="D5554" s="7" t="s">
        <v>11079</v>
      </c>
      <c r="E5554" s="7" t="s">
        <v>27</v>
      </c>
      <c r="F5554" s="7" t="s">
        <v>11070</v>
      </c>
      <c r="G5554" s="7" t="n">
        <v>2012</v>
      </c>
      <c r="H5554" s="7" t="s">
        <v>50</v>
      </c>
      <c r="I5554" s="7" t="s">
        <v>2231</v>
      </c>
      <c r="J5554" s="7" t="s">
        <v>341</v>
      </c>
      <c r="K5554" s="7" t="n">
        <f aca="false">IFERROR(VALUE(RIGHT(TRIM(F5554),4)),"")</f>
        <v>2017</v>
      </c>
      <c r="L5554" s="7" t="str">
        <f aca="false">IF(TRIM(E5554)="","Unknown",IFERROR(LEFT(TRIM(E5554),FIND(",",TRIM(E5554))-1),TRIM(E5554)))</f>
        <v>India</v>
      </c>
      <c r="M5554" s="7" t="str">
        <f aca="false">IFERROR(LEFT(J5554,FIND(",",J5554)-1),J5554)</f>
        <v>Documentaries</v>
      </c>
      <c r="N5554" s="7" t="n">
        <f aca="false">IF(B5554="Movie",IFERROR(VALUE(LEFT(I5554,FIND(" ",I5554)-1)),""),"")</f>
        <v>156</v>
      </c>
      <c r="O5554" s="7" t="str">
        <f aca="false">IF(B5554="TV Show",IFERROR(VALUE(LEFT(I5554,FIND(" ",I5554)-1)),""),"")</f>
        <v/>
      </c>
      <c r="P5554" s="7" t="n">
        <f aca="false">IF(K5554="","",K5554-G5554)</f>
        <v>5</v>
      </c>
    </row>
    <row r="5555" customFormat="false" ht="15" hidden="false" customHeight="false" outlineLevel="0" collapsed="false">
      <c r="A5555" s="7" t="n">
        <v>80144890</v>
      </c>
      <c r="B5555" s="7" t="s">
        <v>68</v>
      </c>
      <c r="C5555" s="7" t="s">
        <v>11080</v>
      </c>
      <c r="D5555" s="7" t="s">
        <v>11081</v>
      </c>
      <c r="E5555" s="7" t="s">
        <v>325</v>
      </c>
      <c r="F5555" s="7" t="s">
        <v>11070</v>
      </c>
      <c r="G5555" s="7" t="n">
        <v>2016</v>
      </c>
      <c r="H5555" s="7" t="s">
        <v>48</v>
      </c>
      <c r="I5555" s="7" t="s">
        <v>264</v>
      </c>
      <c r="J5555" s="7" t="s">
        <v>217</v>
      </c>
      <c r="K5555" s="7" t="n">
        <f aca="false">IFERROR(VALUE(RIGHT(TRIM(F5555),4)),"")</f>
        <v>2017</v>
      </c>
      <c r="L5555" s="7" t="str">
        <f aca="false">IF(TRIM(E5555)="","Unknown",IFERROR(LEFT(TRIM(E5555),FIND(",",TRIM(E5555))-1),TRIM(E5555)))</f>
        <v>Brazil</v>
      </c>
      <c r="M5555" s="7" t="str">
        <f aca="false">IFERROR(LEFT(J5555,FIND(",",J5555)-1),J5555)</f>
        <v>Comedies</v>
      </c>
      <c r="N5555" s="7" t="n">
        <f aca="false">IF(B5555="Movie",IFERROR(VALUE(LEFT(I5555,FIND(" ",I5555)-1)),""),"")</f>
        <v>88</v>
      </c>
      <c r="O5555" s="7" t="str">
        <f aca="false">IF(B5555="TV Show",IFERROR(VALUE(LEFT(I5555,FIND(" ",I5555)-1)),""),"")</f>
        <v/>
      </c>
      <c r="P5555" s="7" t="n">
        <f aca="false">IF(K5555="","",K5555-G5555)</f>
        <v>1</v>
      </c>
    </row>
    <row r="5556" customFormat="false" ht="15" hidden="false" customHeight="false" outlineLevel="0" collapsed="false">
      <c r="A5556" s="7" t="n">
        <v>80106786</v>
      </c>
      <c r="B5556" s="7" t="s">
        <v>68</v>
      </c>
      <c r="C5556" s="7" t="s">
        <v>11082</v>
      </c>
      <c r="D5556" s="7" t="s">
        <v>11083</v>
      </c>
      <c r="E5556" s="7" t="s">
        <v>1081</v>
      </c>
      <c r="F5556" s="7" t="s">
        <v>11070</v>
      </c>
      <c r="G5556" s="7" t="n">
        <v>2016</v>
      </c>
      <c r="H5556" s="7" t="s">
        <v>48</v>
      </c>
      <c r="I5556" s="7" t="s">
        <v>254</v>
      </c>
      <c r="J5556" s="7" t="s">
        <v>188</v>
      </c>
      <c r="K5556" s="7" t="n">
        <f aca="false">IFERROR(VALUE(RIGHT(TRIM(F5556),4)),"")</f>
        <v>2017</v>
      </c>
      <c r="L5556" s="7" t="str">
        <f aca="false">IF(TRIM(E5556)="","Unknown",IFERROR(LEFT(TRIM(E5556),FIND(",",TRIM(E5556))-1),TRIM(E5556)))</f>
        <v>Germany</v>
      </c>
      <c r="M5556" s="7" t="str">
        <f aca="false">IFERROR(LEFT(J5556,FIND(",",J5556)-1),J5556)</f>
        <v>Dramas</v>
      </c>
      <c r="N5556" s="7" t="n">
        <f aca="false">IF(B5556="Movie",IFERROR(VALUE(LEFT(I5556,FIND(" ",I5556)-1)),""),"")</f>
        <v>70</v>
      </c>
      <c r="O5556" s="7" t="str">
        <f aca="false">IF(B5556="TV Show",IFERROR(VALUE(LEFT(I5556,FIND(" ",I5556)-1)),""),"")</f>
        <v/>
      </c>
      <c r="P5556" s="7" t="n">
        <f aca="false">IF(K5556="","",K5556-G5556)</f>
        <v>1</v>
      </c>
    </row>
    <row r="5557" customFormat="false" ht="15" hidden="false" customHeight="false" outlineLevel="0" collapsed="false">
      <c r="A5557" s="7" t="n">
        <v>80115101</v>
      </c>
      <c r="B5557" s="7" t="s">
        <v>68</v>
      </c>
      <c r="C5557" s="7" t="s">
        <v>11084</v>
      </c>
      <c r="D5557" s="7" t="s">
        <v>11085</v>
      </c>
      <c r="E5557" s="7" t="s">
        <v>26</v>
      </c>
      <c r="F5557" s="7" t="s">
        <v>11070</v>
      </c>
      <c r="G5557" s="7" t="n">
        <v>2016</v>
      </c>
      <c r="H5557" s="7" t="s">
        <v>48</v>
      </c>
      <c r="I5557" s="7" t="s">
        <v>264</v>
      </c>
      <c r="J5557" s="7" t="s">
        <v>37</v>
      </c>
      <c r="K5557" s="7" t="n">
        <f aca="false">IFERROR(VALUE(RIGHT(TRIM(F5557),4)),"")</f>
        <v>2017</v>
      </c>
      <c r="L5557" s="7" t="str">
        <f aca="false">IF(TRIM(E5557)="","Unknown",IFERROR(LEFT(TRIM(E5557),FIND(",",TRIM(E5557))-1),TRIM(E5557)))</f>
        <v>United States</v>
      </c>
      <c r="M5557" s="7" t="str">
        <f aca="false">IFERROR(LEFT(J5557,FIND(",",J5557)-1),J5557)</f>
        <v>Dramas</v>
      </c>
      <c r="N5557" s="7" t="n">
        <f aca="false">IF(B5557="Movie",IFERROR(VALUE(LEFT(I5557,FIND(" ",I5557)-1)),""),"")</f>
        <v>88</v>
      </c>
      <c r="O5557" s="7" t="str">
        <f aca="false">IF(B5557="TV Show",IFERROR(VALUE(LEFT(I5557,FIND(" ",I5557)-1)),""),"")</f>
        <v/>
      </c>
      <c r="P5557" s="7" t="n">
        <f aca="false">IF(K5557="","",K5557-G5557)</f>
        <v>1</v>
      </c>
    </row>
    <row r="5558" customFormat="false" ht="15" hidden="false" customHeight="false" outlineLevel="0" collapsed="false">
      <c r="A5558" s="7" t="n">
        <v>80141261</v>
      </c>
      <c r="B5558" s="7" t="s">
        <v>68</v>
      </c>
      <c r="C5558" s="7" t="s">
        <v>11086</v>
      </c>
      <c r="D5558" s="7" t="s">
        <v>11087</v>
      </c>
      <c r="E5558" s="7" t="s">
        <v>28</v>
      </c>
      <c r="F5558" s="7" t="s">
        <v>11070</v>
      </c>
      <c r="G5558" s="7" t="n">
        <v>2016</v>
      </c>
      <c r="H5558" s="7" t="s">
        <v>48</v>
      </c>
      <c r="I5558" s="7" t="s">
        <v>272</v>
      </c>
      <c r="J5558" s="7" t="s">
        <v>341</v>
      </c>
      <c r="K5558" s="7" t="n">
        <f aca="false">IFERROR(VALUE(RIGHT(TRIM(F5558),4)),"")</f>
        <v>2017</v>
      </c>
      <c r="L5558" s="7" t="str">
        <f aca="false">IF(TRIM(E5558)="","Unknown",IFERROR(LEFT(TRIM(E5558),FIND(",",TRIM(E5558))-1),TRIM(E5558)))</f>
        <v>United Kingdom</v>
      </c>
      <c r="M5558" s="7" t="str">
        <f aca="false">IFERROR(LEFT(J5558,FIND(",",J5558)-1),J5558)</f>
        <v>Documentaries</v>
      </c>
      <c r="N5558" s="7" t="n">
        <f aca="false">IF(B5558="Movie",IFERROR(VALUE(LEFT(I5558,FIND(" ",I5558)-1)),""),"")</f>
        <v>93</v>
      </c>
      <c r="O5558" s="7" t="str">
        <f aca="false">IF(B5558="TV Show",IFERROR(VALUE(LEFT(I5558,FIND(" ",I5558)-1)),""),"")</f>
        <v/>
      </c>
      <c r="P5558" s="7" t="n">
        <f aca="false">IF(K5558="","",K5558-G5558)</f>
        <v>1</v>
      </c>
    </row>
    <row r="5559" customFormat="false" ht="15" hidden="false" customHeight="false" outlineLevel="0" collapsed="false">
      <c r="A5559" s="7" t="n">
        <v>80158482</v>
      </c>
      <c r="B5559" s="7" t="s">
        <v>68</v>
      </c>
      <c r="C5559" s="7" t="s">
        <v>11088</v>
      </c>
      <c r="D5559" s="7" t="s">
        <v>11089</v>
      </c>
      <c r="E5559" s="7" t="s">
        <v>27</v>
      </c>
      <c r="F5559" s="7" t="s">
        <v>11070</v>
      </c>
      <c r="G5559" s="7" t="n">
        <v>1971</v>
      </c>
      <c r="H5559" s="7" t="s">
        <v>50</v>
      </c>
      <c r="I5559" s="7" t="s">
        <v>1832</v>
      </c>
      <c r="J5559" s="7" t="s">
        <v>4109</v>
      </c>
      <c r="K5559" s="7" t="n">
        <f aca="false">IFERROR(VALUE(RIGHT(TRIM(F5559),4)),"")</f>
        <v>2017</v>
      </c>
      <c r="L5559" s="7" t="str">
        <f aca="false">IF(TRIM(E5559)="","Unknown",IFERROR(LEFT(TRIM(E5559),FIND(",",TRIM(E5559))-1),TRIM(E5559)))</f>
        <v>India</v>
      </c>
      <c r="M5559" s="7" t="str">
        <f aca="false">IFERROR(LEFT(J5559,FIND(",",J5559)-1),J5559)</f>
        <v>Action &amp; Adventure</v>
      </c>
      <c r="N5559" s="7" t="n">
        <f aca="false">IF(B5559="Movie",IFERROR(VALUE(LEFT(I5559,FIND(" ",I5559)-1)),""),"")</f>
        <v>143</v>
      </c>
      <c r="O5559" s="7" t="str">
        <f aca="false">IF(B5559="TV Show",IFERROR(VALUE(LEFT(I5559,FIND(" ",I5559)-1)),""),"")</f>
        <v/>
      </c>
      <c r="P5559" s="7" t="n">
        <f aca="false">IF(K5559="","",K5559-G5559)</f>
        <v>46</v>
      </c>
    </row>
    <row r="5560" customFormat="false" ht="15" hidden="false" customHeight="false" outlineLevel="0" collapsed="false">
      <c r="A5560" s="7" t="n">
        <v>70266998</v>
      </c>
      <c r="B5560" s="7" t="s">
        <v>78</v>
      </c>
      <c r="C5560" s="7" t="s">
        <v>11090</v>
      </c>
      <c r="E5560" s="7" t="s">
        <v>30</v>
      </c>
      <c r="F5560" s="7" t="s">
        <v>11070</v>
      </c>
      <c r="G5560" s="7" t="n">
        <v>2010</v>
      </c>
      <c r="H5560" s="7" t="s">
        <v>49</v>
      </c>
      <c r="I5560" s="7" t="s">
        <v>82</v>
      </c>
      <c r="J5560" s="7" t="s">
        <v>542</v>
      </c>
      <c r="K5560" s="7" t="n">
        <f aca="false">IFERROR(VALUE(RIGHT(TRIM(F5560),4)),"")</f>
        <v>2017</v>
      </c>
      <c r="L5560" s="7" t="str">
        <f aca="false">IF(TRIM(E5560)="","Unknown",IFERROR(LEFT(TRIM(E5560),FIND(",",TRIM(E5560))-1),TRIM(E5560)))</f>
        <v>Japan</v>
      </c>
      <c r="M5560" s="7" t="str">
        <f aca="false">IFERROR(LEFT(J5560,FIND(",",J5560)-1),J5560)</f>
        <v>Anime Series</v>
      </c>
      <c r="N5560" s="7" t="str">
        <f aca="false">IF(B5560="Movie",IFERROR(VALUE(LEFT(I5560,FIND(" ",I5560)-1)),""),"")</f>
        <v/>
      </c>
      <c r="O5560" s="7" t="n">
        <f aca="false">IF(B5560="TV Show",IFERROR(VALUE(LEFT(I5560,FIND(" ",I5560)-1)),""),"")</f>
        <v>1</v>
      </c>
      <c r="P5560" s="7" t="n">
        <f aca="false">IF(K5560="","",K5560-G5560)</f>
        <v>7</v>
      </c>
    </row>
    <row r="5561" customFormat="false" ht="15" hidden="false" customHeight="false" outlineLevel="0" collapsed="false">
      <c r="A5561" s="7" t="n">
        <v>80081955</v>
      </c>
      <c r="B5561" s="7" t="s">
        <v>68</v>
      </c>
      <c r="C5561" s="7" t="s">
        <v>11091</v>
      </c>
      <c r="D5561" s="7" t="s">
        <v>11092</v>
      </c>
      <c r="E5561" s="7" t="s">
        <v>26</v>
      </c>
      <c r="F5561" s="7" t="s">
        <v>11070</v>
      </c>
      <c r="G5561" s="7" t="n">
        <v>2015</v>
      </c>
      <c r="H5561" s="7" t="s">
        <v>49</v>
      </c>
      <c r="I5561" s="7" t="s">
        <v>524</v>
      </c>
      <c r="J5561" s="7" t="s">
        <v>150</v>
      </c>
      <c r="K5561" s="7" t="n">
        <f aca="false">IFERROR(VALUE(RIGHT(TRIM(F5561),4)),"")</f>
        <v>2017</v>
      </c>
      <c r="L5561" s="7" t="str">
        <f aca="false">IF(TRIM(E5561)="","Unknown",IFERROR(LEFT(TRIM(E5561),FIND(",",TRIM(E5561))-1),TRIM(E5561)))</f>
        <v>United States</v>
      </c>
      <c r="M5561" s="7" t="str">
        <f aca="false">IFERROR(LEFT(J5561,FIND(",",J5561)-1),J5561)</f>
        <v>Dramas</v>
      </c>
      <c r="N5561" s="7" t="n">
        <f aca="false">IF(B5561="Movie",IFERROR(VALUE(LEFT(I5561,FIND(" ",I5561)-1)),""),"")</f>
        <v>83</v>
      </c>
      <c r="O5561" s="7" t="str">
        <f aca="false">IF(B5561="TV Show",IFERROR(VALUE(LEFT(I5561,FIND(" ",I5561)-1)),""),"")</f>
        <v/>
      </c>
      <c r="P5561" s="7" t="n">
        <f aca="false">IF(K5561="","",K5561-G5561)</f>
        <v>2</v>
      </c>
    </row>
    <row r="5562" customFormat="false" ht="15" hidden="false" customHeight="false" outlineLevel="0" collapsed="false">
      <c r="A5562" s="7" t="n">
        <v>80164112</v>
      </c>
      <c r="B5562" s="7" t="s">
        <v>68</v>
      </c>
      <c r="C5562" s="7" t="s">
        <v>11093</v>
      </c>
      <c r="D5562" s="7" t="s">
        <v>11094</v>
      </c>
      <c r="E5562" s="7" t="s">
        <v>28</v>
      </c>
      <c r="F5562" s="7" t="s">
        <v>11070</v>
      </c>
      <c r="G5562" s="7" t="n">
        <v>2017</v>
      </c>
      <c r="H5562" s="7" t="s">
        <v>49</v>
      </c>
      <c r="I5562" s="7" t="s">
        <v>73</v>
      </c>
      <c r="J5562" s="7" t="s">
        <v>699</v>
      </c>
      <c r="K5562" s="7" t="n">
        <f aca="false">IFERROR(VALUE(RIGHT(TRIM(F5562),4)),"")</f>
        <v>2017</v>
      </c>
      <c r="L5562" s="7" t="str">
        <f aca="false">IF(TRIM(E5562)="","Unknown",IFERROR(LEFT(TRIM(E5562),FIND(",",TRIM(E5562))-1),TRIM(E5562)))</f>
        <v>United Kingdom</v>
      </c>
      <c r="M5562" s="7" t="str">
        <f aca="false">IFERROR(LEFT(J5562,FIND(",",J5562)-1),J5562)</f>
        <v>Documentaries</v>
      </c>
      <c r="N5562" s="7" t="n">
        <f aca="false">IF(B5562="Movie",IFERROR(VALUE(LEFT(I5562,FIND(" ",I5562)-1)),""),"")</f>
        <v>90</v>
      </c>
      <c r="O5562" s="7" t="str">
        <f aca="false">IF(B5562="TV Show",IFERROR(VALUE(LEFT(I5562,FIND(" ",I5562)-1)),""),"")</f>
        <v/>
      </c>
      <c r="P5562" s="7" t="n">
        <f aca="false">IF(K5562="","",K5562-G5562)</f>
        <v>0</v>
      </c>
    </row>
    <row r="5563" customFormat="false" ht="15" hidden="false" customHeight="false" outlineLevel="0" collapsed="false">
      <c r="A5563" s="7" t="n">
        <v>80122240</v>
      </c>
      <c r="B5563" s="7" t="s">
        <v>78</v>
      </c>
      <c r="C5563" s="7" t="s">
        <v>11095</v>
      </c>
      <c r="E5563" s="7" t="s">
        <v>27</v>
      </c>
      <c r="F5563" s="7" t="s">
        <v>11070</v>
      </c>
      <c r="G5563" s="7" t="n">
        <v>2013</v>
      </c>
      <c r="H5563" s="7" t="s">
        <v>49</v>
      </c>
      <c r="I5563" s="7" t="s">
        <v>82</v>
      </c>
      <c r="J5563" s="7" t="s">
        <v>344</v>
      </c>
      <c r="K5563" s="7" t="n">
        <f aca="false">IFERROR(VALUE(RIGHT(TRIM(F5563),4)),"")</f>
        <v>2017</v>
      </c>
      <c r="L5563" s="7" t="str">
        <f aca="false">IF(TRIM(E5563)="","Unknown",IFERROR(LEFT(TRIM(E5563),FIND(",",TRIM(E5563))-1),TRIM(E5563)))</f>
        <v>India</v>
      </c>
      <c r="M5563" s="7" t="str">
        <f aca="false">IFERROR(LEFT(J5563,FIND(",",J5563)-1),J5563)</f>
        <v>International TV Shows</v>
      </c>
      <c r="N5563" s="7" t="str">
        <f aca="false">IF(B5563="Movie",IFERROR(VALUE(LEFT(I5563,FIND(" ",I5563)-1)),""),"")</f>
        <v/>
      </c>
      <c r="O5563" s="7" t="n">
        <f aca="false">IF(B5563="TV Show",IFERROR(VALUE(LEFT(I5563,FIND(" ",I5563)-1)),""),"")</f>
        <v>1</v>
      </c>
      <c r="P5563" s="7" t="n">
        <f aca="false">IF(K5563="","",K5563-G5563)</f>
        <v>4</v>
      </c>
    </row>
    <row r="5564" customFormat="false" ht="15" hidden="false" customHeight="false" outlineLevel="0" collapsed="false">
      <c r="A5564" s="7" t="n">
        <v>70302835</v>
      </c>
      <c r="B5564" s="7" t="s">
        <v>68</v>
      </c>
      <c r="C5564" s="7" t="s">
        <v>11096</v>
      </c>
      <c r="D5564" s="7" t="s">
        <v>11097</v>
      </c>
      <c r="E5564" s="7" t="s">
        <v>27</v>
      </c>
      <c r="F5564" s="7" t="s">
        <v>11070</v>
      </c>
      <c r="G5564" s="7" t="n">
        <v>2014</v>
      </c>
      <c r="H5564" s="7" t="s">
        <v>49</v>
      </c>
      <c r="I5564" s="7" t="s">
        <v>294</v>
      </c>
      <c r="J5564" s="7" t="s">
        <v>304</v>
      </c>
      <c r="K5564" s="7" t="n">
        <f aca="false">IFERROR(VALUE(RIGHT(TRIM(F5564),4)),"")</f>
        <v>2017</v>
      </c>
      <c r="L5564" s="7" t="str">
        <f aca="false">IF(TRIM(E5564)="","Unknown",IFERROR(LEFT(TRIM(E5564),FIND(",",TRIM(E5564))-1),TRIM(E5564)))</f>
        <v>India</v>
      </c>
      <c r="M5564" s="7" t="str">
        <f aca="false">IFERROR(LEFT(J5564,FIND(",",J5564)-1),J5564)</f>
        <v>Dramas</v>
      </c>
      <c r="N5564" s="7" t="n">
        <f aca="false">IF(B5564="Movie",IFERROR(VALUE(LEFT(I5564,FIND(" ",I5564)-1)),""),"")</f>
        <v>107</v>
      </c>
      <c r="O5564" s="7" t="str">
        <f aca="false">IF(B5564="TV Show",IFERROR(VALUE(LEFT(I5564,FIND(" ",I5564)-1)),""),"")</f>
        <v/>
      </c>
      <c r="P5564" s="7" t="n">
        <f aca="false">IF(K5564="","",K5564-G5564)</f>
        <v>3</v>
      </c>
    </row>
    <row r="5565" customFormat="false" ht="15" hidden="false" customHeight="false" outlineLevel="0" collapsed="false">
      <c r="A5565" s="7" t="n">
        <v>80125512</v>
      </c>
      <c r="B5565" s="7" t="s">
        <v>68</v>
      </c>
      <c r="C5565" s="7" t="s">
        <v>7147</v>
      </c>
      <c r="D5565" s="7" t="s">
        <v>11098</v>
      </c>
      <c r="E5565" s="7" t="s">
        <v>619</v>
      </c>
      <c r="F5565" s="7" t="s">
        <v>11070</v>
      </c>
      <c r="G5565" s="7" t="n">
        <v>2016</v>
      </c>
      <c r="H5565" s="7" t="s">
        <v>53</v>
      </c>
      <c r="I5565" s="7" t="s">
        <v>272</v>
      </c>
      <c r="J5565" s="7" t="s">
        <v>182</v>
      </c>
      <c r="K5565" s="7" t="n">
        <f aca="false">IFERROR(VALUE(RIGHT(TRIM(F5565),4)),"")</f>
        <v>2017</v>
      </c>
      <c r="L5565" s="7" t="str">
        <f aca="false">IF(TRIM(E5565)="","Unknown",IFERROR(LEFT(TRIM(E5565),FIND(",",TRIM(E5565))-1),TRIM(E5565)))</f>
        <v>Canada</v>
      </c>
      <c r="M5565" s="7" t="str">
        <f aca="false">IFERROR(LEFT(J5565,FIND(",",J5565)-1),J5565)</f>
        <v>Dramas</v>
      </c>
      <c r="N5565" s="7" t="n">
        <f aca="false">IF(B5565="Movie",IFERROR(VALUE(LEFT(I5565,FIND(" ",I5565)-1)),""),"")</f>
        <v>93</v>
      </c>
      <c r="O5565" s="7" t="str">
        <f aca="false">IF(B5565="TV Show",IFERROR(VALUE(LEFT(I5565,FIND(" ",I5565)-1)),""),"")</f>
        <v/>
      </c>
      <c r="P5565" s="7" t="n">
        <f aca="false">IF(K5565="","",K5565-G5565)</f>
        <v>1</v>
      </c>
    </row>
    <row r="5566" customFormat="false" ht="15" hidden="false" customHeight="false" outlineLevel="0" collapsed="false">
      <c r="A5566" s="7" t="n">
        <v>70129457</v>
      </c>
      <c r="B5566" s="7" t="s">
        <v>68</v>
      </c>
      <c r="C5566" s="7" t="s">
        <v>11099</v>
      </c>
      <c r="D5566" s="7" t="s">
        <v>11100</v>
      </c>
      <c r="E5566" s="7" t="s">
        <v>26</v>
      </c>
      <c r="F5566" s="7" t="s">
        <v>11070</v>
      </c>
      <c r="G5566" s="7" t="n">
        <v>2010</v>
      </c>
      <c r="H5566" s="7" t="s">
        <v>53</v>
      </c>
      <c r="I5566" s="7" t="s">
        <v>87</v>
      </c>
      <c r="J5566" s="7" t="s">
        <v>39</v>
      </c>
      <c r="K5566" s="7" t="n">
        <f aca="false">IFERROR(VALUE(RIGHT(TRIM(F5566),4)),"")</f>
        <v>2017</v>
      </c>
      <c r="L5566" s="7" t="str">
        <f aca="false">IF(TRIM(E5566)="","Unknown",IFERROR(LEFT(TRIM(E5566),FIND(",",TRIM(E5566))-1),TRIM(E5566)))</f>
        <v>United States</v>
      </c>
      <c r="M5566" s="7" t="str">
        <f aca="false">IFERROR(LEFT(J5566,FIND(",",J5566)-1),J5566)</f>
        <v>Documentaries</v>
      </c>
      <c r="N5566" s="7" t="n">
        <f aca="false">IF(B5566="Movie",IFERROR(VALUE(LEFT(I5566,FIND(" ",I5566)-1)),""),"")</f>
        <v>99</v>
      </c>
      <c r="O5566" s="7" t="str">
        <f aca="false">IF(B5566="TV Show",IFERROR(VALUE(LEFT(I5566,FIND(" ",I5566)-1)),""),"")</f>
        <v/>
      </c>
      <c r="P5566" s="7" t="n">
        <f aca="false">IF(K5566="","",K5566-G5566)</f>
        <v>7</v>
      </c>
    </row>
    <row r="5567" customFormat="false" ht="15" hidden="false" customHeight="false" outlineLevel="0" collapsed="false">
      <c r="A5567" s="7" t="n">
        <v>80121873</v>
      </c>
      <c r="B5567" s="7" t="s">
        <v>78</v>
      </c>
      <c r="C5567" s="7" t="s">
        <v>11101</v>
      </c>
      <c r="E5567" s="7" t="s">
        <v>27</v>
      </c>
      <c r="F5567" s="7" t="s">
        <v>11070</v>
      </c>
      <c r="G5567" s="7" t="n">
        <v>2014</v>
      </c>
      <c r="H5567" s="7" t="s">
        <v>49</v>
      </c>
      <c r="I5567" s="7" t="s">
        <v>82</v>
      </c>
      <c r="J5567" s="7" t="s">
        <v>6429</v>
      </c>
      <c r="K5567" s="7" t="n">
        <f aca="false">IFERROR(VALUE(RIGHT(TRIM(F5567),4)),"")</f>
        <v>2017</v>
      </c>
      <c r="L5567" s="7" t="str">
        <f aca="false">IF(TRIM(E5567)="","Unknown",IFERROR(LEFT(TRIM(E5567),FIND(",",TRIM(E5567))-1),TRIM(E5567)))</f>
        <v>India</v>
      </c>
      <c r="M5567" s="7" t="str">
        <f aca="false">IFERROR(LEFT(J5567,FIND(",",J5567)-1),J5567)</f>
        <v>International TV Shows</v>
      </c>
      <c r="N5567" s="7" t="str">
        <f aca="false">IF(B5567="Movie",IFERROR(VALUE(LEFT(I5567,FIND(" ",I5567)-1)),""),"")</f>
        <v/>
      </c>
      <c r="O5567" s="7" t="n">
        <f aca="false">IF(B5567="TV Show",IFERROR(VALUE(LEFT(I5567,FIND(" ",I5567)-1)),""),"")</f>
        <v>1</v>
      </c>
      <c r="P5567" s="7" t="n">
        <f aca="false">IF(K5567="","",K5567-G5567)</f>
        <v>3</v>
      </c>
    </row>
    <row r="5568" customFormat="false" ht="15" hidden="false" customHeight="false" outlineLevel="0" collapsed="false">
      <c r="A5568" s="7" t="n">
        <v>70205014</v>
      </c>
      <c r="B5568" s="7" t="s">
        <v>78</v>
      </c>
      <c r="C5568" s="7" t="s">
        <v>11102</v>
      </c>
      <c r="D5568" s="7" t="s">
        <v>11103</v>
      </c>
      <c r="E5568" s="7" t="s">
        <v>30</v>
      </c>
      <c r="F5568" s="7" t="s">
        <v>11070</v>
      </c>
      <c r="G5568" s="7" t="n">
        <v>2006</v>
      </c>
      <c r="H5568" s="7" t="s">
        <v>49</v>
      </c>
      <c r="I5568" s="7" t="s">
        <v>82</v>
      </c>
      <c r="J5568" s="7" t="s">
        <v>11104</v>
      </c>
      <c r="K5568" s="7" t="n">
        <f aca="false">IFERROR(VALUE(RIGHT(TRIM(F5568),4)),"")</f>
        <v>2017</v>
      </c>
      <c r="L5568" s="7" t="str">
        <f aca="false">IF(TRIM(E5568)="","Unknown",IFERROR(LEFT(TRIM(E5568),FIND(",",TRIM(E5568))-1),TRIM(E5568)))</f>
        <v>Japan</v>
      </c>
      <c r="M5568" s="7" t="str">
        <f aca="false">IFERROR(LEFT(J5568,FIND(",",J5568)-1),J5568)</f>
        <v>Anime Series</v>
      </c>
      <c r="N5568" s="7" t="str">
        <f aca="false">IF(B5568="Movie",IFERROR(VALUE(LEFT(I5568,FIND(" ",I5568)-1)),""),"")</f>
        <v/>
      </c>
      <c r="O5568" s="7" t="n">
        <f aca="false">IF(B5568="TV Show",IFERROR(VALUE(LEFT(I5568,FIND(" ",I5568)-1)),""),"")</f>
        <v>1</v>
      </c>
      <c r="P5568" s="7" t="n">
        <f aca="false">IF(K5568="","",K5568-G5568)</f>
        <v>11</v>
      </c>
    </row>
    <row r="5569" customFormat="false" ht="15" hidden="false" customHeight="false" outlineLevel="0" collapsed="false">
      <c r="A5569" s="7" t="n">
        <v>80122186</v>
      </c>
      <c r="B5569" s="7" t="s">
        <v>78</v>
      </c>
      <c r="C5569" s="7" t="s">
        <v>11105</v>
      </c>
      <c r="E5569" s="7" t="s">
        <v>27</v>
      </c>
      <c r="F5569" s="7" t="s">
        <v>11070</v>
      </c>
      <c r="G5569" s="7" t="n">
        <v>2015</v>
      </c>
      <c r="H5569" s="7" t="s">
        <v>49</v>
      </c>
      <c r="I5569" s="7" t="s">
        <v>82</v>
      </c>
      <c r="J5569" s="7" t="s">
        <v>314</v>
      </c>
      <c r="K5569" s="7" t="n">
        <f aca="false">IFERROR(VALUE(RIGHT(TRIM(F5569),4)),"")</f>
        <v>2017</v>
      </c>
      <c r="L5569" s="7" t="str">
        <f aca="false">IF(TRIM(E5569)="","Unknown",IFERROR(LEFT(TRIM(E5569),FIND(",",TRIM(E5569))-1),TRIM(E5569)))</f>
        <v>India</v>
      </c>
      <c r="M5569" s="7" t="str">
        <f aca="false">IFERROR(LEFT(J5569,FIND(",",J5569)-1),J5569)</f>
        <v>International TV Shows</v>
      </c>
      <c r="N5569" s="7" t="str">
        <f aca="false">IF(B5569="Movie",IFERROR(VALUE(LEFT(I5569,FIND(" ",I5569)-1)),""),"")</f>
        <v/>
      </c>
      <c r="O5569" s="7" t="n">
        <f aca="false">IF(B5569="TV Show",IFERROR(VALUE(LEFT(I5569,FIND(" ",I5569)-1)),""),"")</f>
        <v>1</v>
      </c>
      <c r="P5569" s="7" t="n">
        <f aca="false">IF(K5569="","",K5569-G5569)</f>
        <v>2</v>
      </c>
    </row>
    <row r="5570" customFormat="false" ht="15" hidden="false" customHeight="false" outlineLevel="0" collapsed="false">
      <c r="A5570" s="7" t="n">
        <v>80158479</v>
      </c>
      <c r="B5570" s="7" t="s">
        <v>68</v>
      </c>
      <c r="C5570" s="7" t="s">
        <v>11106</v>
      </c>
      <c r="D5570" s="7" t="s">
        <v>11107</v>
      </c>
      <c r="E5570" s="7" t="s">
        <v>27</v>
      </c>
      <c r="F5570" s="7" t="s">
        <v>11070</v>
      </c>
      <c r="G5570" s="7" t="n">
        <v>1975</v>
      </c>
      <c r="H5570" s="7" t="s">
        <v>49</v>
      </c>
      <c r="I5570" s="7" t="s">
        <v>2192</v>
      </c>
      <c r="J5570" s="7" t="s">
        <v>2221</v>
      </c>
      <c r="K5570" s="7" t="n">
        <f aca="false">IFERROR(VALUE(RIGHT(TRIM(F5570),4)),"")</f>
        <v>2017</v>
      </c>
      <c r="L5570" s="7" t="str">
        <f aca="false">IF(TRIM(E5570)="","Unknown",IFERROR(LEFT(TRIM(E5570),FIND(",",TRIM(E5570))-1),TRIM(E5570)))</f>
        <v>India</v>
      </c>
      <c r="M5570" s="7" t="str">
        <f aca="false">IFERROR(LEFT(J5570,FIND(",",J5570)-1),J5570)</f>
        <v>Action &amp; Adventure</v>
      </c>
      <c r="N5570" s="7" t="n">
        <f aca="false">IF(B5570="Movie",IFERROR(VALUE(LEFT(I5570,FIND(" ",I5570)-1)),""),"")</f>
        <v>134</v>
      </c>
      <c r="O5570" s="7" t="str">
        <f aca="false">IF(B5570="TV Show",IFERROR(VALUE(LEFT(I5570,FIND(" ",I5570)-1)),""),"")</f>
        <v/>
      </c>
      <c r="P5570" s="7" t="n">
        <f aca="false">IF(K5570="","",K5570-G5570)</f>
        <v>42</v>
      </c>
    </row>
    <row r="5571" customFormat="false" ht="15" hidden="false" customHeight="false" outlineLevel="0" collapsed="false">
      <c r="A5571" s="7" t="n">
        <v>80122190</v>
      </c>
      <c r="B5571" s="7" t="s">
        <v>78</v>
      </c>
      <c r="C5571" s="7" t="s">
        <v>11108</v>
      </c>
      <c r="F5571" s="7" t="s">
        <v>11070</v>
      </c>
      <c r="G5571" s="7" t="n">
        <v>2014</v>
      </c>
      <c r="H5571" s="7" t="s">
        <v>50</v>
      </c>
      <c r="I5571" s="7" t="s">
        <v>82</v>
      </c>
      <c r="J5571" s="7" t="s">
        <v>773</v>
      </c>
      <c r="K5571" s="7" t="n">
        <f aca="false">IFERROR(VALUE(RIGHT(TRIM(F5571),4)),"")</f>
        <v>2017</v>
      </c>
      <c r="L5571" s="7" t="str">
        <f aca="false">IF(TRIM(E5571)="","Unknown",IFERROR(LEFT(TRIM(E5571),FIND(",",TRIM(E5571))-1),TRIM(E5571)))</f>
        <v>Unknown</v>
      </c>
      <c r="M5571" s="7" t="str">
        <f aca="false">IFERROR(LEFT(J5571,FIND(",",J5571)-1),J5571)</f>
        <v>Docuseries</v>
      </c>
      <c r="N5571" s="7" t="str">
        <f aca="false">IF(B5571="Movie",IFERROR(VALUE(LEFT(I5571,FIND(" ",I5571)-1)),""),"")</f>
        <v/>
      </c>
      <c r="O5571" s="7" t="n">
        <f aca="false">IF(B5571="TV Show",IFERROR(VALUE(LEFT(I5571,FIND(" ",I5571)-1)),""),"")</f>
        <v>1</v>
      </c>
      <c r="P5571" s="7" t="n">
        <f aca="false">IF(K5571="","",K5571-G5571)</f>
        <v>3</v>
      </c>
    </row>
    <row r="5572" customFormat="false" ht="15" hidden="false" customHeight="false" outlineLevel="0" collapsed="false">
      <c r="A5572" s="7" t="n">
        <v>80104318</v>
      </c>
      <c r="B5572" s="7" t="s">
        <v>68</v>
      </c>
      <c r="C5572" s="7" t="s">
        <v>11109</v>
      </c>
      <c r="D5572" s="7" t="s">
        <v>11110</v>
      </c>
      <c r="E5572" s="7" t="s">
        <v>26</v>
      </c>
      <c r="F5572" s="7" t="s">
        <v>11070</v>
      </c>
      <c r="G5572" s="7" t="n">
        <v>2016</v>
      </c>
      <c r="H5572" s="7" t="s">
        <v>50</v>
      </c>
      <c r="I5572" s="7" t="s">
        <v>162</v>
      </c>
      <c r="J5572" s="7" t="s">
        <v>39</v>
      </c>
      <c r="K5572" s="7" t="n">
        <f aca="false">IFERROR(VALUE(RIGHT(TRIM(F5572),4)),"")</f>
        <v>2017</v>
      </c>
      <c r="L5572" s="7" t="str">
        <f aca="false">IF(TRIM(E5572)="","Unknown",IFERROR(LEFT(TRIM(E5572),FIND(",",TRIM(E5572))-1),TRIM(E5572)))</f>
        <v>United States</v>
      </c>
      <c r="M5572" s="7" t="str">
        <f aca="false">IFERROR(LEFT(J5572,FIND(",",J5572)-1),J5572)</f>
        <v>Documentaries</v>
      </c>
      <c r="N5572" s="7" t="n">
        <f aca="false">IF(B5572="Movie",IFERROR(VALUE(LEFT(I5572,FIND(" ",I5572)-1)),""),"")</f>
        <v>77</v>
      </c>
      <c r="O5572" s="7" t="str">
        <f aca="false">IF(B5572="TV Show",IFERROR(VALUE(LEFT(I5572,FIND(" ",I5572)-1)),""),"")</f>
        <v/>
      </c>
      <c r="P5572" s="7" t="n">
        <f aca="false">IF(K5572="","",K5572-G5572)</f>
        <v>1</v>
      </c>
    </row>
    <row r="5573" customFormat="false" ht="15" hidden="false" customHeight="false" outlineLevel="0" collapsed="false">
      <c r="A5573" s="7" t="n">
        <v>80100054</v>
      </c>
      <c r="B5573" s="7" t="s">
        <v>68</v>
      </c>
      <c r="C5573" s="7" t="s">
        <v>11111</v>
      </c>
      <c r="D5573" s="7" t="s">
        <v>11112</v>
      </c>
      <c r="E5573" s="7" t="s">
        <v>33</v>
      </c>
      <c r="F5573" s="7" t="s">
        <v>11070</v>
      </c>
      <c r="G5573" s="7" t="n">
        <v>2017</v>
      </c>
      <c r="H5573" s="7" t="s">
        <v>48</v>
      </c>
      <c r="I5573" s="7" t="s">
        <v>107</v>
      </c>
      <c r="J5573" s="7" t="s">
        <v>304</v>
      </c>
      <c r="K5573" s="7" t="n">
        <f aca="false">IFERROR(VALUE(RIGHT(TRIM(F5573),4)),"")</f>
        <v>2017</v>
      </c>
      <c r="L5573" s="7" t="str">
        <f aca="false">IF(TRIM(E5573)="","Unknown",IFERROR(LEFT(TRIM(E5573),FIND(",",TRIM(E5573))-1),TRIM(E5573)))</f>
        <v>Spain</v>
      </c>
      <c r="M5573" s="7" t="str">
        <f aca="false">IFERROR(LEFT(J5573,FIND(",",J5573)-1),J5573)</f>
        <v>Dramas</v>
      </c>
      <c r="N5573" s="7" t="n">
        <f aca="false">IF(B5573="Movie",IFERROR(VALUE(LEFT(I5573,FIND(" ",I5573)-1)),""),"")</f>
        <v>78</v>
      </c>
      <c r="O5573" s="7" t="str">
        <f aca="false">IF(B5573="TV Show",IFERROR(VALUE(LEFT(I5573,FIND(" ",I5573)-1)),""),"")</f>
        <v/>
      </c>
      <c r="P5573" s="7" t="n">
        <f aca="false">IF(K5573="","",K5573-G5573)</f>
        <v>0</v>
      </c>
    </row>
    <row r="5574" customFormat="false" ht="15" hidden="false" customHeight="false" outlineLevel="0" collapsed="false">
      <c r="A5574" s="7" t="n">
        <v>80097468</v>
      </c>
      <c r="B5574" s="7" t="s">
        <v>68</v>
      </c>
      <c r="C5574" s="7" t="s">
        <v>11113</v>
      </c>
      <c r="D5574" s="7" t="s">
        <v>11114</v>
      </c>
      <c r="E5574" s="7" t="s">
        <v>26</v>
      </c>
      <c r="F5574" s="7" t="s">
        <v>11070</v>
      </c>
      <c r="G5574" s="7" t="n">
        <v>2016</v>
      </c>
      <c r="H5574" s="7" t="s">
        <v>48</v>
      </c>
      <c r="I5574" s="7" t="s">
        <v>512</v>
      </c>
      <c r="J5574" s="7" t="s">
        <v>39</v>
      </c>
      <c r="K5574" s="7" t="n">
        <f aca="false">IFERROR(VALUE(RIGHT(TRIM(F5574),4)),"")</f>
        <v>2017</v>
      </c>
      <c r="L5574" s="7" t="str">
        <f aca="false">IF(TRIM(E5574)="","Unknown",IFERROR(LEFT(TRIM(E5574),FIND(",",TRIM(E5574))-1),TRIM(E5574)))</f>
        <v>United States</v>
      </c>
      <c r="M5574" s="7" t="str">
        <f aca="false">IFERROR(LEFT(J5574,FIND(",",J5574)-1),J5574)</f>
        <v>Documentaries</v>
      </c>
      <c r="N5574" s="7" t="n">
        <f aca="false">IF(B5574="Movie",IFERROR(VALUE(LEFT(I5574,FIND(" ",I5574)-1)),""),"")</f>
        <v>101</v>
      </c>
      <c r="O5574" s="7" t="str">
        <f aca="false">IF(B5574="TV Show",IFERROR(VALUE(LEFT(I5574,FIND(" ",I5574)-1)),""),"")</f>
        <v/>
      </c>
      <c r="P5574" s="7" t="n">
        <f aca="false">IF(K5574="","",K5574-G5574)</f>
        <v>1</v>
      </c>
    </row>
    <row r="5575" customFormat="false" ht="15" hidden="false" customHeight="false" outlineLevel="0" collapsed="false">
      <c r="A5575" s="7" t="n">
        <v>80171439</v>
      </c>
      <c r="B5575" s="7" t="s">
        <v>68</v>
      </c>
      <c r="C5575" s="7" t="s">
        <v>11115</v>
      </c>
      <c r="D5575" s="7" t="s">
        <v>11116</v>
      </c>
      <c r="E5575" s="7" t="s">
        <v>27</v>
      </c>
      <c r="F5575" s="7" t="s">
        <v>11070</v>
      </c>
      <c r="G5575" s="7" t="n">
        <v>2013</v>
      </c>
      <c r="H5575" s="7" t="s">
        <v>50</v>
      </c>
      <c r="I5575" s="7" t="s">
        <v>3882</v>
      </c>
      <c r="J5575" s="7" t="s">
        <v>699</v>
      </c>
      <c r="K5575" s="7" t="n">
        <f aca="false">IFERROR(VALUE(RIGHT(TRIM(F5575),4)),"")</f>
        <v>2017</v>
      </c>
      <c r="L5575" s="7" t="str">
        <f aca="false">IF(TRIM(E5575)="","Unknown",IFERROR(LEFT(TRIM(E5575),FIND(",",TRIM(E5575))-1),TRIM(E5575)))</f>
        <v>India</v>
      </c>
      <c r="M5575" s="7" t="str">
        <f aca="false">IFERROR(LEFT(J5575,FIND(",",J5575)-1),J5575)</f>
        <v>Documentaries</v>
      </c>
      <c r="N5575" s="7" t="n">
        <f aca="false">IF(B5575="Movie",IFERROR(VALUE(LEFT(I5575,FIND(" ",I5575)-1)),""),"")</f>
        <v>53</v>
      </c>
      <c r="O5575" s="7" t="str">
        <f aca="false">IF(B5575="TV Show",IFERROR(VALUE(LEFT(I5575,FIND(" ",I5575)-1)),""),"")</f>
        <v/>
      </c>
      <c r="P5575" s="7" t="n">
        <f aca="false">IF(K5575="","",K5575-G5575)</f>
        <v>4</v>
      </c>
    </row>
    <row r="5576" customFormat="false" ht="15" hidden="false" customHeight="false" outlineLevel="0" collapsed="false">
      <c r="A5576" s="7" t="n">
        <v>80104237</v>
      </c>
      <c r="B5576" s="7" t="s">
        <v>68</v>
      </c>
      <c r="C5576" s="7" t="s">
        <v>11117</v>
      </c>
      <c r="D5576" s="7" t="s">
        <v>11118</v>
      </c>
      <c r="E5576" s="7" t="s">
        <v>1113</v>
      </c>
      <c r="F5576" s="7" t="s">
        <v>11070</v>
      </c>
      <c r="G5576" s="7" t="n">
        <v>2016</v>
      </c>
      <c r="H5576" s="7" t="s">
        <v>48</v>
      </c>
      <c r="I5576" s="7" t="s">
        <v>467</v>
      </c>
      <c r="J5576" s="7" t="s">
        <v>304</v>
      </c>
      <c r="K5576" s="7" t="n">
        <f aca="false">IFERROR(VALUE(RIGHT(TRIM(F5576),4)),"")</f>
        <v>2017</v>
      </c>
      <c r="L5576" s="7" t="str">
        <f aca="false">IF(TRIM(E5576)="","Unknown",IFERROR(LEFT(TRIM(E5576),FIND(",",TRIM(E5576))-1),TRIM(E5576)))</f>
        <v>Argentina</v>
      </c>
      <c r="M5576" s="7" t="str">
        <f aca="false">IFERROR(LEFT(J5576,FIND(",",J5576)-1),J5576)</f>
        <v>Dramas</v>
      </c>
      <c r="N5576" s="7" t="n">
        <f aca="false">IF(B5576="Movie",IFERROR(VALUE(LEFT(I5576,FIND(" ",I5576)-1)),""),"")</f>
        <v>81</v>
      </c>
      <c r="O5576" s="7" t="str">
        <f aca="false">IF(B5576="TV Show",IFERROR(VALUE(LEFT(I5576,FIND(" ",I5576)-1)),""),"")</f>
        <v/>
      </c>
      <c r="P5576" s="7" t="n">
        <f aca="false">IF(K5576="","",K5576-G5576)</f>
        <v>1</v>
      </c>
    </row>
    <row r="5577" customFormat="false" ht="15" hidden="false" customHeight="false" outlineLevel="0" collapsed="false">
      <c r="A5577" s="7" t="n">
        <v>80093107</v>
      </c>
      <c r="B5577" s="7" t="s">
        <v>68</v>
      </c>
      <c r="C5577" s="7" t="s">
        <v>11119</v>
      </c>
      <c r="D5577" s="7" t="s">
        <v>11120</v>
      </c>
      <c r="E5577" s="7" t="s">
        <v>33</v>
      </c>
      <c r="F5577" s="7" t="s">
        <v>11070</v>
      </c>
      <c r="G5577" s="7" t="n">
        <v>2016</v>
      </c>
      <c r="H5577" s="7" t="s">
        <v>53</v>
      </c>
      <c r="I5577" s="7" t="s">
        <v>173</v>
      </c>
      <c r="J5577" s="7" t="s">
        <v>182</v>
      </c>
      <c r="K5577" s="7" t="n">
        <f aca="false">IFERROR(VALUE(RIGHT(TRIM(F5577),4)),"")</f>
        <v>2017</v>
      </c>
      <c r="L5577" s="7" t="str">
        <f aca="false">IF(TRIM(E5577)="","Unknown",IFERROR(LEFT(TRIM(E5577),FIND(",",TRIM(E5577))-1),TRIM(E5577)))</f>
        <v>Spain</v>
      </c>
      <c r="M5577" s="7" t="str">
        <f aca="false">IFERROR(LEFT(J5577,FIND(",",J5577)-1),J5577)</f>
        <v>Dramas</v>
      </c>
      <c r="N5577" s="7" t="n">
        <f aca="false">IF(B5577="Movie",IFERROR(VALUE(LEFT(I5577,FIND(" ",I5577)-1)),""),"")</f>
        <v>106</v>
      </c>
      <c r="O5577" s="7" t="str">
        <f aca="false">IF(B5577="TV Show",IFERROR(VALUE(LEFT(I5577,FIND(" ",I5577)-1)),""),"")</f>
        <v/>
      </c>
      <c r="P5577" s="7" t="n">
        <f aca="false">IF(K5577="","",K5577-G5577)</f>
        <v>1</v>
      </c>
    </row>
    <row r="5578" customFormat="false" ht="15" hidden="false" customHeight="false" outlineLevel="0" collapsed="false">
      <c r="A5578" s="7" t="n">
        <v>80094557</v>
      </c>
      <c r="B5578" s="7" t="s">
        <v>78</v>
      </c>
      <c r="C5578" s="7" t="s">
        <v>11121</v>
      </c>
      <c r="E5578" s="7" t="s">
        <v>30</v>
      </c>
      <c r="F5578" s="7" t="s">
        <v>11122</v>
      </c>
      <c r="G5578" s="7" t="n">
        <v>2015</v>
      </c>
      <c r="H5578" s="7" t="s">
        <v>49</v>
      </c>
      <c r="I5578" s="7" t="s">
        <v>82</v>
      </c>
      <c r="J5578" s="7" t="s">
        <v>542</v>
      </c>
      <c r="K5578" s="7" t="n">
        <f aca="false">IFERROR(VALUE(RIGHT(TRIM(F5578),4)),"")</f>
        <v>2016</v>
      </c>
      <c r="L5578" s="7" t="str">
        <f aca="false">IF(TRIM(E5578)="","Unknown",IFERROR(LEFT(TRIM(E5578),FIND(",",TRIM(E5578))-1),TRIM(E5578)))</f>
        <v>Japan</v>
      </c>
      <c r="M5578" s="7" t="str">
        <f aca="false">IFERROR(LEFT(J5578,FIND(",",J5578)-1),J5578)</f>
        <v>Anime Series</v>
      </c>
      <c r="N5578" s="7" t="str">
        <f aca="false">IF(B5578="Movie",IFERROR(VALUE(LEFT(I5578,FIND(" ",I5578)-1)),""),"")</f>
        <v/>
      </c>
      <c r="O5578" s="7" t="n">
        <f aca="false">IF(B5578="TV Show",IFERROR(VALUE(LEFT(I5578,FIND(" ",I5578)-1)),""),"")</f>
        <v>1</v>
      </c>
      <c r="P5578" s="7" t="n">
        <f aca="false">IF(K5578="","",K5578-G5578)</f>
        <v>1</v>
      </c>
    </row>
    <row r="5579" customFormat="false" ht="15" hidden="false" customHeight="false" outlineLevel="0" collapsed="false">
      <c r="A5579" s="7" t="n">
        <v>80085438</v>
      </c>
      <c r="B5579" s="7" t="s">
        <v>68</v>
      </c>
      <c r="C5579" s="7" t="s">
        <v>11123</v>
      </c>
      <c r="D5579" s="7" t="s">
        <v>7076</v>
      </c>
      <c r="E5579" s="7" t="s">
        <v>26</v>
      </c>
      <c r="F5579" s="7" t="s">
        <v>11122</v>
      </c>
      <c r="G5579" s="7" t="n">
        <v>2007</v>
      </c>
      <c r="H5579" s="7" t="s">
        <v>48</v>
      </c>
      <c r="I5579" s="7" t="s">
        <v>254</v>
      </c>
      <c r="J5579" s="7" t="s">
        <v>39</v>
      </c>
      <c r="K5579" s="7" t="n">
        <f aca="false">IFERROR(VALUE(RIGHT(TRIM(F5579),4)),"")</f>
        <v>2016</v>
      </c>
      <c r="L5579" s="7" t="str">
        <f aca="false">IF(TRIM(E5579)="","Unknown",IFERROR(LEFT(TRIM(E5579),FIND(",",TRIM(E5579))-1),TRIM(E5579)))</f>
        <v>United States</v>
      </c>
      <c r="M5579" s="7" t="str">
        <f aca="false">IFERROR(LEFT(J5579,FIND(",",J5579)-1),J5579)</f>
        <v>Documentaries</v>
      </c>
      <c r="N5579" s="7" t="n">
        <f aca="false">IF(B5579="Movie",IFERROR(VALUE(LEFT(I5579,FIND(" ",I5579)-1)),""),"")</f>
        <v>70</v>
      </c>
      <c r="O5579" s="7" t="str">
        <f aca="false">IF(B5579="TV Show",IFERROR(VALUE(LEFT(I5579,FIND(" ",I5579)-1)),""),"")</f>
        <v/>
      </c>
      <c r="P5579" s="7" t="n">
        <f aca="false">IF(K5579="","",K5579-G5579)</f>
        <v>9</v>
      </c>
    </row>
    <row r="5580" customFormat="false" ht="15" hidden="false" customHeight="false" outlineLevel="0" collapsed="false">
      <c r="A5580" s="7" t="n">
        <v>80085439</v>
      </c>
      <c r="B5580" s="7" t="s">
        <v>68</v>
      </c>
      <c r="C5580" s="7" t="s">
        <v>11123</v>
      </c>
      <c r="D5580" s="7" t="s">
        <v>7076</v>
      </c>
      <c r="E5580" s="7" t="s">
        <v>26</v>
      </c>
      <c r="F5580" s="7" t="s">
        <v>11122</v>
      </c>
      <c r="G5580" s="7" t="n">
        <v>2015</v>
      </c>
      <c r="H5580" s="7" t="s">
        <v>51</v>
      </c>
      <c r="I5580" s="7" t="s">
        <v>181</v>
      </c>
      <c r="J5580" s="7" t="s">
        <v>198</v>
      </c>
      <c r="K5580" s="7" t="n">
        <f aca="false">IFERROR(VALUE(RIGHT(TRIM(F5580),4)),"")</f>
        <v>2016</v>
      </c>
      <c r="L5580" s="7" t="str">
        <f aca="false">IF(TRIM(E5580)="","Unknown",IFERROR(LEFT(TRIM(E5580),FIND(",",TRIM(E5580))-1),TRIM(E5580)))</f>
        <v>United States</v>
      </c>
      <c r="M5580" s="7" t="str">
        <f aca="false">IFERROR(LEFT(J5580,FIND(",",J5580)-1),J5580)</f>
        <v>Comedies</v>
      </c>
      <c r="N5580" s="7" t="n">
        <f aca="false">IF(B5580="Movie",IFERROR(VALUE(LEFT(I5580,FIND(" ",I5580)-1)),""),"")</f>
        <v>102</v>
      </c>
      <c r="O5580" s="7" t="str">
        <f aca="false">IF(B5580="TV Show",IFERROR(VALUE(LEFT(I5580,FIND(" ",I5580)-1)),""),"")</f>
        <v/>
      </c>
      <c r="P5580" s="7" t="n">
        <f aca="false">IF(K5580="","",K5580-G5580)</f>
        <v>1</v>
      </c>
    </row>
    <row r="5581" customFormat="false" ht="15" hidden="false" customHeight="false" outlineLevel="0" collapsed="false">
      <c r="A5581" s="7" t="n">
        <v>80011846</v>
      </c>
      <c r="B5581" s="7" t="s">
        <v>68</v>
      </c>
      <c r="C5581" s="7" t="s">
        <v>11124</v>
      </c>
      <c r="D5581" s="7" t="s">
        <v>11125</v>
      </c>
      <c r="E5581" s="7" t="s">
        <v>26</v>
      </c>
      <c r="F5581" s="7" t="s">
        <v>11122</v>
      </c>
      <c r="G5581" s="7" t="n">
        <v>2014</v>
      </c>
      <c r="H5581" s="7" t="s">
        <v>53</v>
      </c>
      <c r="I5581" s="7" t="s">
        <v>264</v>
      </c>
      <c r="J5581" s="7" t="s">
        <v>1085</v>
      </c>
      <c r="K5581" s="7" t="n">
        <f aca="false">IFERROR(VALUE(RIGHT(TRIM(F5581),4)),"")</f>
        <v>2016</v>
      </c>
      <c r="L5581" s="7" t="str">
        <f aca="false">IF(TRIM(E5581)="","Unknown",IFERROR(LEFT(TRIM(E5581),FIND(",",TRIM(E5581))-1),TRIM(E5581)))</f>
        <v>United States</v>
      </c>
      <c r="M5581" s="7" t="str">
        <f aca="false">IFERROR(LEFT(J5581,FIND(",",J5581)-1),J5581)</f>
        <v>Documentaries</v>
      </c>
      <c r="N5581" s="7" t="n">
        <f aca="false">IF(B5581="Movie",IFERROR(VALUE(LEFT(I5581,FIND(" ",I5581)-1)),""),"")</f>
        <v>88</v>
      </c>
      <c r="O5581" s="7" t="str">
        <f aca="false">IF(B5581="TV Show",IFERROR(VALUE(LEFT(I5581,FIND(" ",I5581)-1)),""),"")</f>
        <v/>
      </c>
      <c r="P5581" s="7" t="n">
        <f aca="false">IF(K5581="","",K5581-G5581)</f>
        <v>2</v>
      </c>
    </row>
    <row r="5582" customFormat="false" ht="15" hidden="false" customHeight="false" outlineLevel="0" collapsed="false">
      <c r="A5582" s="7" t="n">
        <v>80064521</v>
      </c>
      <c r="B5582" s="7" t="s">
        <v>68</v>
      </c>
      <c r="C5582" s="7" t="s">
        <v>11126</v>
      </c>
      <c r="D5582" s="7" t="s">
        <v>1442</v>
      </c>
      <c r="E5582" s="7" t="s">
        <v>26</v>
      </c>
      <c r="F5582" s="7" t="s">
        <v>11122</v>
      </c>
      <c r="G5582" s="7" t="n">
        <v>2015</v>
      </c>
      <c r="H5582" s="7" t="s">
        <v>52</v>
      </c>
      <c r="I5582" s="7" t="s">
        <v>790</v>
      </c>
      <c r="J5582" s="7" t="s">
        <v>39</v>
      </c>
      <c r="K5582" s="7" t="n">
        <f aca="false">IFERROR(VALUE(RIGHT(TRIM(F5582),4)),"")</f>
        <v>2016</v>
      </c>
      <c r="L5582" s="7" t="str">
        <f aca="false">IF(TRIM(E5582)="","Unknown",IFERROR(LEFT(TRIM(E5582),FIND(",",TRIM(E5582))-1),TRIM(E5582)))</f>
        <v>United States</v>
      </c>
      <c r="M5582" s="7" t="str">
        <f aca="false">IFERROR(LEFT(J5582,FIND(",",J5582)-1),J5582)</f>
        <v>Documentaries</v>
      </c>
      <c r="N5582" s="7" t="n">
        <f aca="false">IF(B5582="Movie",IFERROR(VALUE(LEFT(I5582,FIND(" ",I5582)-1)),""),"")</f>
        <v>109</v>
      </c>
      <c r="O5582" s="7" t="str">
        <f aca="false">IF(B5582="TV Show",IFERROR(VALUE(LEFT(I5582,FIND(" ",I5582)-1)),""),"")</f>
        <v/>
      </c>
      <c r="P5582" s="7" t="n">
        <f aca="false">IF(K5582="","",K5582-G5582)</f>
        <v>1</v>
      </c>
    </row>
    <row r="5583" customFormat="false" ht="15" hidden="false" customHeight="false" outlineLevel="0" collapsed="false">
      <c r="A5583" s="7" t="n">
        <v>80106136</v>
      </c>
      <c r="B5583" s="7" t="s">
        <v>78</v>
      </c>
      <c r="C5583" s="7" t="s">
        <v>11127</v>
      </c>
      <c r="E5583" s="7" t="s">
        <v>26</v>
      </c>
      <c r="F5583" s="7" t="s">
        <v>11122</v>
      </c>
      <c r="G5583" s="7" t="n">
        <v>2015</v>
      </c>
      <c r="H5583" s="7" t="s">
        <v>55</v>
      </c>
      <c r="I5583" s="7" t="s">
        <v>82</v>
      </c>
      <c r="J5583" s="7" t="s">
        <v>694</v>
      </c>
      <c r="K5583" s="7" t="n">
        <f aca="false">IFERROR(VALUE(RIGHT(TRIM(F5583),4)),"")</f>
        <v>2016</v>
      </c>
      <c r="L5583" s="7" t="str">
        <f aca="false">IF(TRIM(E5583)="","Unknown",IFERROR(LEFT(TRIM(E5583),FIND(",",TRIM(E5583))-1),TRIM(E5583)))</f>
        <v>United States</v>
      </c>
      <c r="M5583" s="7" t="str">
        <f aca="false">IFERROR(LEFT(J5583,FIND(",",J5583)-1),J5583)</f>
        <v>Anime Series</v>
      </c>
      <c r="N5583" s="7" t="str">
        <f aca="false">IF(B5583="Movie",IFERROR(VALUE(LEFT(I5583,FIND(" ",I5583)-1)),""),"")</f>
        <v/>
      </c>
      <c r="O5583" s="7" t="n">
        <f aca="false">IF(B5583="TV Show",IFERROR(VALUE(LEFT(I5583,FIND(" ",I5583)-1)),""),"")</f>
        <v>1</v>
      </c>
      <c r="P5583" s="7" t="n">
        <f aca="false">IF(K5583="","",K5583-G5583)</f>
        <v>1</v>
      </c>
    </row>
    <row r="5584" customFormat="false" ht="15" hidden="false" customHeight="false" outlineLevel="0" collapsed="false">
      <c r="A5584" s="7" t="n">
        <v>70259784</v>
      </c>
      <c r="B5584" s="7" t="s">
        <v>78</v>
      </c>
      <c r="C5584" s="7" t="s">
        <v>11128</v>
      </c>
      <c r="E5584" s="7" t="s">
        <v>26</v>
      </c>
      <c r="F5584" s="7" t="s">
        <v>11129</v>
      </c>
      <c r="G5584" s="7" t="n">
        <v>2005</v>
      </c>
      <c r="H5584" s="7" t="s">
        <v>50</v>
      </c>
      <c r="I5584" s="7" t="s">
        <v>82</v>
      </c>
      <c r="J5584" s="7" t="s">
        <v>191</v>
      </c>
      <c r="K5584" s="7" t="n">
        <f aca="false">IFERROR(VALUE(RIGHT(TRIM(F5584),4)),"")</f>
        <v>2013</v>
      </c>
      <c r="L5584" s="7" t="str">
        <f aca="false">IF(TRIM(E5584)="","Unknown",IFERROR(LEFT(TRIM(E5584),FIND(",",TRIM(E5584))-1),TRIM(E5584)))</f>
        <v>United States</v>
      </c>
      <c r="M5584" s="7" t="str">
        <f aca="false">IFERROR(LEFT(J5584,FIND(",",J5584)-1),J5584)</f>
        <v>Kids' TV</v>
      </c>
      <c r="N5584" s="7" t="str">
        <f aca="false">IF(B5584="Movie",IFERROR(VALUE(LEFT(I5584,FIND(" ",I5584)-1)),""),"")</f>
        <v/>
      </c>
      <c r="O5584" s="7" t="n">
        <f aca="false">IF(B5584="TV Show",IFERROR(VALUE(LEFT(I5584,FIND(" ",I5584)-1)),""),"")</f>
        <v>1</v>
      </c>
      <c r="P5584" s="7" t="n">
        <f aca="false">IF(K5584="","",K5584-G5584)</f>
        <v>8</v>
      </c>
    </row>
    <row r="5585" customFormat="false" ht="15" hidden="false" customHeight="false" outlineLevel="0" collapsed="false">
      <c r="A5585" s="7" t="n">
        <v>80136796</v>
      </c>
      <c r="B5585" s="7" t="s">
        <v>78</v>
      </c>
      <c r="C5585" s="7" t="s">
        <v>11130</v>
      </c>
      <c r="F5585" s="7" t="s">
        <v>11131</v>
      </c>
      <c r="G5585" s="7" t="n">
        <v>2004</v>
      </c>
      <c r="H5585" s="7" t="s">
        <v>49</v>
      </c>
      <c r="I5585" s="7" t="s">
        <v>11132</v>
      </c>
      <c r="J5585" s="7" t="s">
        <v>1357</v>
      </c>
      <c r="K5585" s="7" t="n">
        <f aca="false">IFERROR(VALUE(RIGHT(TRIM(F5585),4)),"")</f>
        <v>2018</v>
      </c>
      <c r="L5585" s="7" t="str">
        <f aca="false">IF(TRIM(E5585)="","Unknown",IFERROR(LEFT(TRIM(E5585),FIND(",",TRIM(E5585))-1),TRIM(E5585)))</f>
        <v>Unknown</v>
      </c>
      <c r="M5585" s="7" t="str">
        <f aca="false">IFERROR(LEFT(J5585,FIND(",",J5585)-1),J5585)</f>
        <v>International TV Shows</v>
      </c>
      <c r="N5585" s="7" t="str">
        <f aca="false">IF(B5585="Movie",IFERROR(VALUE(LEFT(I5585,FIND(" ",I5585)-1)),""),"")</f>
        <v/>
      </c>
      <c r="O5585" s="7" t="n">
        <f aca="false">IF(B5585="TV Show",IFERROR(VALUE(LEFT(I5585,FIND(" ",I5585)-1)),""),"")</f>
        <v>2</v>
      </c>
      <c r="P5585" s="7" t="n">
        <f aca="false">IF(K5585="","",K5585-G5585)</f>
        <v>14</v>
      </c>
    </row>
    <row r="5586" customFormat="false" ht="15" hidden="false" customHeight="false" outlineLevel="0" collapsed="false">
      <c r="A5586" s="7" t="n">
        <v>70270745</v>
      </c>
      <c r="B5586" s="7" t="s">
        <v>78</v>
      </c>
      <c r="C5586" s="7" t="s">
        <v>11133</v>
      </c>
      <c r="E5586" s="7" t="s">
        <v>7256</v>
      </c>
      <c r="F5586" s="7" t="s">
        <v>11134</v>
      </c>
      <c r="G5586" s="7" t="n">
        <v>2017</v>
      </c>
      <c r="H5586" s="7" t="s">
        <v>48</v>
      </c>
      <c r="I5586" s="7" t="s">
        <v>11135</v>
      </c>
      <c r="J5586" s="7" t="s">
        <v>765</v>
      </c>
      <c r="K5586" s="7" t="n">
        <f aca="false">IFERROR(VALUE(RIGHT(TRIM(F5586),4)),"")</f>
        <v>2017</v>
      </c>
      <c r="L5586" s="7" t="str">
        <f aca="false">IF(TRIM(E5586)="","Unknown",IFERROR(LEFT(TRIM(E5586),FIND(",",TRIM(E5586))-1),TRIM(E5586)))</f>
        <v>United Kingdom</v>
      </c>
      <c r="M5586" s="7" t="str">
        <f aca="false">IFERROR(LEFT(J5586,FIND(",",J5586)-1),J5586)</f>
        <v>British TV Shows</v>
      </c>
      <c r="N5586" s="7" t="str">
        <f aca="false">IF(B5586="Movie",IFERROR(VALUE(LEFT(I5586,FIND(" ",I5586)-1)),""),"")</f>
        <v/>
      </c>
      <c r="O5586" s="7" t="n">
        <f aca="false">IF(B5586="TV Show",IFERROR(VALUE(LEFT(I5586,FIND(" ",I5586)-1)),""),"")</f>
        <v>5</v>
      </c>
      <c r="P5586" s="7" t="n">
        <f aca="false">IF(K5586="","",K5586-G5586)</f>
        <v>0</v>
      </c>
    </row>
    <row r="5587" customFormat="false" ht="15" hidden="false" customHeight="false" outlineLevel="0" collapsed="false">
      <c r="A5587" s="7" t="n">
        <v>70177067</v>
      </c>
      <c r="B5587" s="7" t="s">
        <v>78</v>
      </c>
      <c r="C5587" s="7" t="s">
        <v>11136</v>
      </c>
      <c r="E5587" s="7" t="s">
        <v>619</v>
      </c>
      <c r="F5587" s="7" t="s">
        <v>11137</v>
      </c>
      <c r="G5587" s="7" t="n">
        <v>2015</v>
      </c>
      <c r="H5587" s="7" t="s">
        <v>49</v>
      </c>
      <c r="I5587" s="7" t="s">
        <v>11135</v>
      </c>
      <c r="J5587" s="7" t="s">
        <v>11138</v>
      </c>
      <c r="K5587" s="7" t="n">
        <f aca="false">IFERROR(VALUE(RIGHT(TRIM(F5587),4)),"")</f>
        <v>2015</v>
      </c>
      <c r="L5587" s="7" t="str">
        <f aca="false">IF(TRIM(E5587)="","Unknown",IFERROR(LEFT(TRIM(E5587),FIND(",",TRIM(E5587))-1),TRIM(E5587)))</f>
        <v>Canada</v>
      </c>
      <c r="M5587" s="7" t="str">
        <f aca="false">IFERROR(LEFT(J5587,FIND(",",J5587)-1),J5587)</f>
        <v>Classic &amp; Cult TV</v>
      </c>
      <c r="N5587" s="7" t="str">
        <f aca="false">IF(B5587="Movie",IFERROR(VALUE(LEFT(I5587,FIND(" ",I5587)-1)),""),"")</f>
        <v/>
      </c>
      <c r="O5587" s="7" t="n">
        <f aca="false">IF(B5587="TV Show",IFERROR(VALUE(LEFT(I5587,FIND(" ",I5587)-1)),""),"")</f>
        <v>5</v>
      </c>
      <c r="P5587" s="7" t="n">
        <f aca="false">IF(K5587="","",K5587-G5587)</f>
        <v>0</v>
      </c>
    </row>
    <row r="5588" customFormat="false" ht="15" hidden="false" customHeight="false" outlineLevel="0" collapsed="false">
      <c r="A5588" s="7" t="n">
        <v>80002612</v>
      </c>
      <c r="B5588" s="7" t="s">
        <v>78</v>
      </c>
      <c r="C5588" s="7" t="s">
        <v>11139</v>
      </c>
      <c r="E5588" s="7" t="s">
        <v>26</v>
      </c>
      <c r="F5588" s="7" t="s">
        <v>11140</v>
      </c>
      <c r="G5588" s="7" t="n">
        <v>2018</v>
      </c>
      <c r="H5588" s="7" t="s">
        <v>48</v>
      </c>
      <c r="I5588" s="7" t="s">
        <v>11132</v>
      </c>
      <c r="J5588" s="7" t="s">
        <v>2958</v>
      </c>
      <c r="K5588" s="7" t="n">
        <f aca="false">IFERROR(VALUE(RIGHT(TRIM(F5588),4)),"")</f>
        <v>2018</v>
      </c>
      <c r="L5588" s="7" t="str">
        <f aca="false">IF(TRIM(E5588)="","Unknown",IFERROR(LEFT(TRIM(E5588),FIND(",",TRIM(E5588))-1),TRIM(E5588)))</f>
        <v>United States</v>
      </c>
      <c r="M5588" s="7" t="str">
        <f aca="false">IFERROR(LEFT(J5588,FIND(",",J5588)-1),J5588)</f>
        <v>Crime TV Shows</v>
      </c>
      <c r="N5588" s="7" t="str">
        <f aca="false">IF(B5588="Movie",IFERROR(VALUE(LEFT(I5588,FIND(" ",I5588)-1)),""),"")</f>
        <v/>
      </c>
      <c r="O5588" s="7" t="n">
        <f aca="false">IF(B5588="TV Show",IFERROR(VALUE(LEFT(I5588,FIND(" ",I5588)-1)),""),"")</f>
        <v>2</v>
      </c>
      <c r="P5588" s="7" t="n">
        <f aca="false">IF(K5588="","",K5588-G5588)</f>
        <v>0</v>
      </c>
    </row>
    <row r="5589" customFormat="false" ht="15" hidden="false" customHeight="false" outlineLevel="0" collapsed="false">
      <c r="A5589" s="7" t="n">
        <v>80095988</v>
      </c>
      <c r="B5589" s="7" t="s">
        <v>78</v>
      </c>
      <c r="C5589" s="7" t="s">
        <v>11141</v>
      </c>
      <c r="E5589" s="7" t="s">
        <v>26</v>
      </c>
      <c r="F5589" s="7" t="s">
        <v>11140</v>
      </c>
      <c r="G5589" s="7" t="n">
        <v>2018</v>
      </c>
      <c r="H5589" s="7" t="s">
        <v>81</v>
      </c>
      <c r="I5589" s="7" t="s">
        <v>11132</v>
      </c>
      <c r="J5589" s="7" t="s">
        <v>44</v>
      </c>
      <c r="K5589" s="7" t="n">
        <f aca="false">IFERROR(VALUE(RIGHT(TRIM(F5589),4)),"")</f>
        <v>2018</v>
      </c>
      <c r="L5589" s="7" t="str">
        <f aca="false">IF(TRIM(E5589)="","Unknown",IFERROR(LEFT(TRIM(E5589),FIND(",",TRIM(E5589))-1),TRIM(E5589)))</f>
        <v>United States</v>
      </c>
      <c r="M5589" s="7" t="str">
        <f aca="false">IFERROR(LEFT(J5589,FIND(",",J5589)-1),J5589)</f>
        <v>Kids' TV</v>
      </c>
      <c r="N5589" s="7" t="str">
        <f aca="false">IF(B5589="Movie",IFERROR(VALUE(LEFT(I5589,FIND(" ",I5589)-1)),""),"")</f>
        <v/>
      </c>
      <c r="O5589" s="7" t="n">
        <f aca="false">IF(B5589="TV Show",IFERROR(VALUE(LEFT(I5589,FIND(" ",I5589)-1)),""),"")</f>
        <v>2</v>
      </c>
      <c r="P5589" s="7" t="n">
        <f aca="false">IF(K5589="","",K5589-G5589)</f>
        <v>0</v>
      </c>
    </row>
    <row r="5590" customFormat="false" ht="15" hidden="false" customHeight="false" outlineLevel="0" collapsed="false">
      <c r="A5590" s="7" t="n">
        <v>80024113</v>
      </c>
      <c r="B5590" s="7" t="s">
        <v>78</v>
      </c>
      <c r="C5590" s="7" t="s">
        <v>11142</v>
      </c>
      <c r="E5590" s="7" t="s">
        <v>26</v>
      </c>
      <c r="F5590" s="7" t="s">
        <v>11143</v>
      </c>
      <c r="G5590" s="7" t="n">
        <v>2016</v>
      </c>
      <c r="H5590" s="7" t="s">
        <v>50</v>
      </c>
      <c r="I5590" s="7" t="s">
        <v>11132</v>
      </c>
      <c r="J5590" s="7" t="s">
        <v>11144</v>
      </c>
      <c r="K5590" s="7" t="n">
        <f aca="false">IFERROR(VALUE(RIGHT(TRIM(F5590),4)),"")</f>
        <v>2016</v>
      </c>
      <c r="L5590" s="7" t="str">
        <f aca="false">IF(TRIM(E5590)="","Unknown",IFERROR(LEFT(TRIM(E5590),FIND(",",TRIM(E5590))-1),TRIM(E5590)))</f>
        <v>United States</v>
      </c>
      <c r="M5590" s="7" t="str">
        <f aca="false">IFERROR(LEFT(J5590,FIND(",",J5590)-1),J5590)</f>
        <v>TV Action &amp; Adventure</v>
      </c>
      <c r="N5590" s="7" t="str">
        <f aca="false">IF(B5590="Movie",IFERROR(VALUE(LEFT(I5590,FIND(" ",I5590)-1)),""),"")</f>
        <v/>
      </c>
      <c r="O5590" s="7" t="n">
        <f aca="false">IF(B5590="TV Show",IFERROR(VALUE(LEFT(I5590,FIND(" ",I5590)-1)),""),"")</f>
        <v>2</v>
      </c>
      <c r="P5590" s="7" t="n">
        <f aca="false">IF(K5590="","",K5590-G5590)</f>
        <v>0</v>
      </c>
    </row>
    <row r="5591" customFormat="false" ht="15" hidden="false" customHeight="false" outlineLevel="0" collapsed="false">
      <c r="A5591" s="7" t="n">
        <v>80200942</v>
      </c>
      <c r="B5591" s="7" t="s">
        <v>78</v>
      </c>
      <c r="C5591" s="7" t="s">
        <v>11145</v>
      </c>
      <c r="E5591" s="7" t="s">
        <v>33</v>
      </c>
      <c r="F5591" s="7" t="s">
        <v>11146</v>
      </c>
      <c r="G5591" s="7" t="n">
        <v>2019</v>
      </c>
      <c r="H5591" s="7" t="s">
        <v>48</v>
      </c>
      <c r="I5591" s="7" t="s">
        <v>11132</v>
      </c>
      <c r="J5591" s="7" t="s">
        <v>89</v>
      </c>
      <c r="K5591" s="7" t="n">
        <f aca="false">IFERROR(VALUE(RIGHT(TRIM(F5591),4)),"")</f>
        <v>2019</v>
      </c>
      <c r="L5591" s="7" t="str">
        <f aca="false">IF(TRIM(E5591)="","Unknown",IFERROR(LEFT(TRIM(E5591),FIND(",",TRIM(E5591))-1),TRIM(E5591)))</f>
        <v>Spain</v>
      </c>
      <c r="M5591" s="7" t="str">
        <f aca="false">IFERROR(LEFT(J5591,FIND(",",J5591)-1),J5591)</f>
        <v>Crime TV Shows</v>
      </c>
      <c r="N5591" s="7" t="str">
        <f aca="false">IF(B5591="Movie",IFERROR(VALUE(LEFT(I5591,FIND(" ",I5591)-1)),""),"")</f>
        <v/>
      </c>
      <c r="O5591" s="7" t="n">
        <f aca="false">IF(B5591="TV Show",IFERROR(VALUE(LEFT(I5591,FIND(" ",I5591)-1)),""),"")</f>
        <v>2</v>
      </c>
      <c r="P5591" s="7" t="n">
        <f aca="false">IF(K5591="","",K5591-G5591)</f>
        <v>0</v>
      </c>
    </row>
    <row r="5592" customFormat="false" ht="15" hidden="false" customHeight="false" outlineLevel="0" collapsed="false">
      <c r="A5592" s="7" t="n">
        <v>80186848</v>
      </c>
      <c r="B5592" s="7" t="s">
        <v>78</v>
      </c>
      <c r="C5592" s="7" t="s">
        <v>11147</v>
      </c>
      <c r="E5592" s="7" t="s">
        <v>28</v>
      </c>
      <c r="F5592" s="7" t="s">
        <v>11146</v>
      </c>
      <c r="G5592" s="7" t="n">
        <v>2019</v>
      </c>
      <c r="H5592" s="7" t="s">
        <v>48</v>
      </c>
      <c r="I5592" s="7" t="s">
        <v>11148</v>
      </c>
      <c r="J5592" s="7" t="s">
        <v>306</v>
      </c>
      <c r="K5592" s="7" t="n">
        <f aca="false">IFERROR(VALUE(RIGHT(TRIM(F5592),4)),"")</f>
        <v>2019</v>
      </c>
      <c r="L5592" s="7" t="str">
        <f aca="false">IF(TRIM(E5592)="","Unknown",IFERROR(LEFT(TRIM(E5592),FIND(",",TRIM(E5592))-1),TRIM(E5592)))</f>
        <v>United Kingdom</v>
      </c>
      <c r="M5592" s="7" t="str">
        <f aca="false">IFERROR(LEFT(J5592,FIND(",",J5592)-1),J5592)</f>
        <v>British TV Shows</v>
      </c>
      <c r="N5592" s="7" t="str">
        <f aca="false">IF(B5592="Movie",IFERROR(VALUE(LEFT(I5592,FIND(" ",I5592)-1)),""),"")</f>
        <v/>
      </c>
      <c r="O5592" s="7" t="n">
        <f aca="false">IF(B5592="TV Show",IFERROR(VALUE(LEFT(I5592,FIND(" ",I5592)-1)),""),"")</f>
        <v>3</v>
      </c>
      <c r="P5592" s="7" t="n">
        <f aca="false">IF(K5592="","",K5592-G5592)</f>
        <v>0</v>
      </c>
    </row>
    <row r="5593" customFormat="false" ht="15" hidden="false" customHeight="false" outlineLevel="0" collapsed="false">
      <c r="A5593" s="7" t="n">
        <v>70197049</v>
      </c>
      <c r="B5593" s="7" t="s">
        <v>78</v>
      </c>
      <c r="C5593" s="7" t="s">
        <v>11149</v>
      </c>
      <c r="D5593" s="7" t="s">
        <v>11150</v>
      </c>
      <c r="E5593" s="7" t="s">
        <v>26</v>
      </c>
      <c r="F5593" s="7" t="s">
        <v>11151</v>
      </c>
      <c r="G5593" s="7" t="n">
        <v>2018</v>
      </c>
      <c r="H5593" s="7" t="s">
        <v>50</v>
      </c>
      <c r="I5593" s="7" t="s">
        <v>11152</v>
      </c>
      <c r="J5593" s="7" t="s">
        <v>3714</v>
      </c>
      <c r="K5593" s="7" t="n">
        <f aca="false">IFERROR(VALUE(RIGHT(TRIM(F5593),4)),"")</f>
        <v>2018</v>
      </c>
      <c r="L5593" s="7" t="str">
        <f aca="false">IF(TRIM(E5593)="","Unknown",IFERROR(LEFT(TRIM(E5593),FIND(",",TRIM(E5593))-1),TRIM(E5593)))</f>
        <v>United States</v>
      </c>
      <c r="M5593" s="7" t="str">
        <f aca="false">IFERROR(LEFT(J5593,FIND(",",J5593)-1),J5593)</f>
        <v>TV Dramas</v>
      </c>
      <c r="N5593" s="7" t="str">
        <f aca="false">IF(B5593="Movie",IFERROR(VALUE(LEFT(I5593,FIND(" ",I5593)-1)),""),"")</f>
        <v/>
      </c>
      <c r="O5593" s="7" t="n">
        <f aca="false">IF(B5593="TV Show",IFERROR(VALUE(LEFT(I5593,FIND(" ",I5593)-1)),""),"")</f>
        <v>7</v>
      </c>
      <c r="P5593" s="7" t="n">
        <f aca="false">IF(K5593="","",K5593-G5593)</f>
        <v>0</v>
      </c>
    </row>
    <row r="5594" customFormat="false" ht="15" hidden="false" customHeight="false" outlineLevel="0" collapsed="false">
      <c r="A5594" s="7" t="n">
        <v>70283260</v>
      </c>
      <c r="B5594" s="7" t="s">
        <v>78</v>
      </c>
      <c r="C5594" s="7" t="s">
        <v>11153</v>
      </c>
      <c r="E5594" s="7" t="s">
        <v>26</v>
      </c>
      <c r="F5594" s="7" t="s">
        <v>11154</v>
      </c>
      <c r="G5594" s="7" t="n">
        <v>2017</v>
      </c>
      <c r="H5594" s="7" t="s">
        <v>49</v>
      </c>
      <c r="I5594" s="7" t="s">
        <v>11155</v>
      </c>
      <c r="J5594" s="7" t="s">
        <v>2704</v>
      </c>
      <c r="K5594" s="7" t="n">
        <f aca="false">IFERROR(VALUE(RIGHT(TRIM(F5594),4)),"")</f>
        <v>2017</v>
      </c>
      <c r="L5594" s="7" t="str">
        <f aca="false">IF(TRIM(E5594)="","Unknown",IFERROR(LEFT(TRIM(E5594),FIND(",",TRIM(E5594))-1),TRIM(E5594)))</f>
        <v>United States</v>
      </c>
      <c r="M5594" s="7" t="str">
        <f aca="false">IFERROR(LEFT(J5594,FIND(",",J5594)-1),J5594)</f>
        <v>TV Dramas</v>
      </c>
      <c r="N5594" s="7" t="str">
        <f aca="false">IF(B5594="Movie",IFERROR(VALUE(LEFT(I5594,FIND(" ",I5594)-1)),""),"")</f>
        <v/>
      </c>
      <c r="O5594" s="7" t="n">
        <f aca="false">IF(B5594="TV Show",IFERROR(VALUE(LEFT(I5594,FIND(" ",I5594)-1)),""),"")</f>
        <v>4</v>
      </c>
      <c r="P5594" s="7" t="n">
        <f aca="false">IF(K5594="","",K5594-G5594)</f>
        <v>0</v>
      </c>
    </row>
    <row r="5595" customFormat="false" ht="15" hidden="false" customHeight="false" outlineLevel="0" collapsed="false">
      <c r="A5595" s="7" t="n">
        <v>70143860</v>
      </c>
      <c r="B5595" s="7" t="s">
        <v>78</v>
      </c>
      <c r="C5595" s="7" t="s">
        <v>11156</v>
      </c>
      <c r="E5595" s="7" t="s">
        <v>26</v>
      </c>
      <c r="F5595" s="7" t="s">
        <v>11157</v>
      </c>
      <c r="G5595" s="7" t="n">
        <v>2017</v>
      </c>
      <c r="H5595" s="7" t="s">
        <v>49</v>
      </c>
      <c r="I5595" s="7" t="s">
        <v>11158</v>
      </c>
      <c r="J5595" s="7" t="s">
        <v>10792</v>
      </c>
      <c r="K5595" s="7" t="n">
        <f aca="false">IFERROR(VALUE(RIGHT(TRIM(F5595),4)),"")</f>
        <v>2017</v>
      </c>
      <c r="L5595" s="7" t="str">
        <f aca="false">IF(TRIM(E5595)="","Unknown",IFERROR(LEFT(TRIM(E5595),FIND(",",TRIM(E5595))-1),TRIM(E5595)))</f>
        <v>United States</v>
      </c>
      <c r="M5595" s="7" t="str">
        <f aca="false">IFERROR(LEFT(J5595,FIND(",",J5595)-1),J5595)</f>
        <v>TV Dramas</v>
      </c>
      <c r="N5595" s="7" t="str">
        <f aca="false">IF(B5595="Movie",IFERROR(VALUE(LEFT(I5595,FIND(" ",I5595)-1)),""),"")</f>
        <v/>
      </c>
      <c r="O5595" s="7" t="n">
        <f aca="false">IF(B5595="TV Show",IFERROR(VALUE(LEFT(I5595,FIND(" ",I5595)-1)),""),"")</f>
        <v>8</v>
      </c>
      <c r="P5595" s="7" t="n">
        <f aca="false">IF(K5595="","",K5595-G5595)</f>
        <v>0</v>
      </c>
    </row>
    <row r="5596" customFormat="false" ht="15" hidden="false" customHeight="false" outlineLevel="0" collapsed="false">
      <c r="A5596" s="7" t="n">
        <v>80020542</v>
      </c>
      <c r="B5596" s="7" t="s">
        <v>78</v>
      </c>
      <c r="C5596" s="7" t="s">
        <v>11159</v>
      </c>
      <c r="D5596" s="7" t="s">
        <v>11160</v>
      </c>
      <c r="E5596" s="7" t="s">
        <v>26</v>
      </c>
      <c r="F5596" s="7" t="s">
        <v>11161</v>
      </c>
      <c r="G5596" s="7" t="n">
        <v>2019</v>
      </c>
      <c r="H5596" s="7" t="s">
        <v>49</v>
      </c>
      <c r="I5596" s="7" t="s">
        <v>11135</v>
      </c>
      <c r="J5596" s="7" t="s">
        <v>2958</v>
      </c>
      <c r="K5596" s="7" t="n">
        <f aca="false">IFERROR(VALUE(RIGHT(TRIM(F5596),4)),"")</f>
        <v>2019</v>
      </c>
      <c r="L5596" s="7" t="str">
        <f aca="false">IF(TRIM(E5596)="","Unknown",IFERROR(LEFT(TRIM(E5596),FIND(",",TRIM(E5596))-1),TRIM(E5596)))</f>
        <v>United States</v>
      </c>
      <c r="M5596" s="7" t="str">
        <f aca="false">IFERROR(LEFT(J5596,FIND(",",J5596)-1),J5596)</f>
        <v>Crime TV Shows</v>
      </c>
      <c r="N5596" s="7" t="str">
        <f aca="false">IF(B5596="Movie",IFERROR(VALUE(LEFT(I5596,FIND(" ",I5596)-1)),""),"")</f>
        <v/>
      </c>
      <c r="O5596" s="7" t="n">
        <f aca="false">IF(B5596="TV Show",IFERROR(VALUE(LEFT(I5596,FIND(" ",I5596)-1)),""),"")</f>
        <v>5</v>
      </c>
      <c r="P5596" s="7" t="n">
        <f aca="false">IF(K5596="","",K5596-G5596)</f>
        <v>0</v>
      </c>
    </row>
    <row r="5597" customFormat="false" ht="15" hidden="false" customHeight="false" outlineLevel="0" collapsed="false">
      <c r="A5597" s="7" t="n">
        <v>80074503</v>
      </c>
      <c r="B5597" s="7" t="s">
        <v>78</v>
      </c>
      <c r="C5597" s="7" t="s">
        <v>11162</v>
      </c>
      <c r="E5597" s="7" t="s">
        <v>26</v>
      </c>
      <c r="F5597" s="7" t="s">
        <v>11163</v>
      </c>
      <c r="G5597" s="7" t="n">
        <v>2017</v>
      </c>
      <c r="H5597" s="7" t="s">
        <v>48</v>
      </c>
      <c r="I5597" s="7" t="s">
        <v>11132</v>
      </c>
      <c r="J5597" s="7" t="s">
        <v>289</v>
      </c>
      <c r="K5597" s="7" t="n">
        <f aca="false">IFERROR(VALUE(RIGHT(TRIM(F5597),4)),"")</f>
        <v>2017</v>
      </c>
      <c r="L5597" s="7" t="str">
        <f aca="false">IF(TRIM(E5597)="","Unknown",IFERROR(LEFT(TRIM(E5597),FIND(",",TRIM(E5597))-1),TRIM(E5597)))</f>
        <v>United States</v>
      </c>
      <c r="M5597" s="7" t="str">
        <f aca="false">IFERROR(LEFT(J5597,FIND(",",J5597)-1),J5597)</f>
        <v>TV Comedies</v>
      </c>
      <c r="N5597" s="7" t="str">
        <f aca="false">IF(B5597="Movie",IFERROR(VALUE(LEFT(I5597,FIND(" ",I5597)-1)),""),"")</f>
        <v/>
      </c>
      <c r="O5597" s="7" t="n">
        <f aca="false">IF(B5597="TV Show",IFERROR(VALUE(LEFT(I5597,FIND(" ",I5597)-1)),""),"")</f>
        <v>2</v>
      </c>
      <c r="P5597" s="7" t="n">
        <f aca="false">IF(K5597="","",K5597-G5597)</f>
        <v>0</v>
      </c>
    </row>
    <row r="5598" customFormat="false" ht="15" hidden="false" customHeight="false" outlineLevel="0" collapsed="false">
      <c r="A5598" s="7" t="n">
        <v>80217957</v>
      </c>
      <c r="B5598" s="7" t="s">
        <v>78</v>
      </c>
      <c r="C5598" s="7" t="s">
        <v>11164</v>
      </c>
      <c r="E5598" s="7" t="s">
        <v>29</v>
      </c>
      <c r="F5598" s="7" t="s">
        <v>11165</v>
      </c>
      <c r="G5598" s="7" t="n">
        <v>2018</v>
      </c>
      <c r="H5598" s="7" t="s">
        <v>81</v>
      </c>
      <c r="I5598" s="7" t="s">
        <v>11132</v>
      </c>
      <c r="J5598" s="7" t="s">
        <v>44</v>
      </c>
      <c r="K5598" s="7" t="n">
        <f aca="false">IFERROR(VALUE(RIGHT(TRIM(F5598),4)),"")</f>
        <v>2018</v>
      </c>
      <c r="L5598" s="7" t="str">
        <f aca="false">IF(TRIM(E5598)="","Unknown",IFERROR(LEFT(TRIM(E5598),FIND(",",TRIM(E5598))-1),TRIM(E5598)))</f>
        <v>Canada</v>
      </c>
      <c r="M5598" s="7" t="str">
        <f aca="false">IFERROR(LEFT(J5598,FIND(",",J5598)-1),J5598)</f>
        <v>Kids' TV</v>
      </c>
      <c r="N5598" s="7" t="str">
        <f aca="false">IF(B5598="Movie",IFERROR(VALUE(LEFT(I5598,FIND(" ",I5598)-1)),""),"")</f>
        <v/>
      </c>
      <c r="O5598" s="7" t="n">
        <f aca="false">IF(B5598="TV Show",IFERROR(VALUE(LEFT(I5598,FIND(" ",I5598)-1)),""),"")</f>
        <v>2</v>
      </c>
      <c r="P5598" s="7" t="n">
        <f aca="false">IF(K5598="","",K5598-G5598)</f>
        <v>0</v>
      </c>
    </row>
    <row r="5599" customFormat="false" ht="15" hidden="false" customHeight="false" outlineLevel="0" collapsed="false">
      <c r="A5599" s="7" t="n">
        <v>80113201</v>
      </c>
      <c r="B5599" s="7" t="s">
        <v>78</v>
      </c>
      <c r="C5599" s="7" t="s">
        <v>11166</v>
      </c>
      <c r="E5599" s="7" t="s">
        <v>5443</v>
      </c>
      <c r="F5599" s="7" t="s">
        <v>11165</v>
      </c>
      <c r="G5599" s="7" t="n">
        <v>2018</v>
      </c>
      <c r="H5599" s="7" t="s">
        <v>55</v>
      </c>
      <c r="I5599" s="7" t="s">
        <v>11148</v>
      </c>
      <c r="J5599" s="7" t="s">
        <v>191</v>
      </c>
      <c r="K5599" s="7" t="n">
        <f aca="false">IFERROR(VALUE(RIGHT(TRIM(F5599),4)),"")</f>
        <v>2018</v>
      </c>
      <c r="L5599" s="7" t="str">
        <f aca="false">IF(TRIM(E5599)="","Unknown",IFERROR(LEFT(TRIM(E5599),FIND(",",TRIM(E5599))-1),TRIM(E5599)))</f>
        <v>South Korea</v>
      </c>
      <c r="M5599" s="7" t="str">
        <f aca="false">IFERROR(LEFT(J5599,FIND(",",J5599)-1),J5599)</f>
        <v>Kids' TV</v>
      </c>
      <c r="N5599" s="7" t="str">
        <f aca="false">IF(B5599="Movie",IFERROR(VALUE(LEFT(I5599,FIND(" ",I5599)-1)),""),"")</f>
        <v/>
      </c>
      <c r="O5599" s="7" t="n">
        <f aca="false">IF(B5599="TV Show",IFERROR(VALUE(LEFT(I5599,FIND(" ",I5599)-1)),""),"")</f>
        <v>3</v>
      </c>
      <c r="P5599" s="7" t="n">
        <f aca="false">IF(K5599="","",K5599-G5599)</f>
        <v>0</v>
      </c>
    </row>
    <row r="5600" customFormat="false" ht="15" hidden="false" customHeight="false" outlineLevel="0" collapsed="false">
      <c r="A5600" s="7" t="n">
        <v>80115297</v>
      </c>
      <c r="B5600" s="7" t="s">
        <v>78</v>
      </c>
      <c r="C5600" s="7" t="s">
        <v>11167</v>
      </c>
      <c r="E5600" s="7" t="s">
        <v>1113</v>
      </c>
      <c r="F5600" s="7" t="s">
        <v>11168</v>
      </c>
      <c r="G5600" s="7" t="n">
        <v>2019</v>
      </c>
      <c r="H5600" s="7" t="s">
        <v>48</v>
      </c>
      <c r="I5600" s="7" t="s">
        <v>11148</v>
      </c>
      <c r="J5600" s="7" t="s">
        <v>89</v>
      </c>
      <c r="K5600" s="7" t="n">
        <f aca="false">IFERROR(VALUE(RIGHT(TRIM(F5600),4)),"")</f>
        <v>2019</v>
      </c>
      <c r="L5600" s="7" t="str">
        <f aca="false">IF(TRIM(E5600)="","Unknown",IFERROR(LEFT(TRIM(E5600),FIND(",",TRIM(E5600))-1),TRIM(E5600)))</f>
        <v>Argentina</v>
      </c>
      <c r="M5600" s="7" t="str">
        <f aca="false">IFERROR(LEFT(J5600,FIND(",",J5600)-1),J5600)</f>
        <v>Crime TV Shows</v>
      </c>
      <c r="N5600" s="7" t="str">
        <f aca="false">IF(B5600="Movie",IFERROR(VALUE(LEFT(I5600,FIND(" ",I5600)-1)),""),"")</f>
        <v/>
      </c>
      <c r="O5600" s="7" t="n">
        <f aca="false">IF(B5600="TV Show",IFERROR(VALUE(LEFT(I5600,FIND(" ",I5600)-1)),""),"")</f>
        <v>3</v>
      </c>
      <c r="P5600" s="7" t="n">
        <f aca="false">IF(K5600="","",K5600-G5600)</f>
        <v>0</v>
      </c>
    </row>
    <row r="5601" customFormat="false" ht="15" hidden="false" customHeight="false" outlineLevel="0" collapsed="false">
      <c r="A5601" s="7" t="n">
        <v>80216752</v>
      </c>
      <c r="B5601" s="7" t="s">
        <v>78</v>
      </c>
      <c r="C5601" s="7" t="s">
        <v>11169</v>
      </c>
      <c r="E5601" s="7" t="s">
        <v>26</v>
      </c>
      <c r="F5601" s="7" t="s">
        <v>11170</v>
      </c>
      <c r="G5601" s="7" t="n">
        <v>2019</v>
      </c>
      <c r="H5601" s="7" t="s">
        <v>49</v>
      </c>
      <c r="I5601" s="7" t="s">
        <v>11132</v>
      </c>
      <c r="J5601" s="7" t="s">
        <v>164</v>
      </c>
      <c r="K5601" s="7" t="n">
        <f aca="false">IFERROR(VALUE(RIGHT(TRIM(F5601),4)),"")</f>
        <v>2019</v>
      </c>
      <c r="L5601" s="7" t="str">
        <f aca="false">IF(TRIM(E5601)="","Unknown",IFERROR(LEFT(TRIM(E5601),FIND(",",TRIM(E5601))-1),TRIM(E5601)))</f>
        <v>United States</v>
      </c>
      <c r="M5601" s="7" t="str">
        <f aca="false">IFERROR(LEFT(J5601,FIND(",",J5601)-1),J5601)</f>
        <v>Docuseries</v>
      </c>
      <c r="N5601" s="7" t="str">
        <f aca="false">IF(B5601="Movie",IFERROR(VALUE(LEFT(I5601,FIND(" ",I5601)-1)),""),"")</f>
        <v/>
      </c>
      <c r="O5601" s="7" t="n">
        <f aca="false">IF(B5601="TV Show",IFERROR(VALUE(LEFT(I5601,FIND(" ",I5601)-1)),""),"")</f>
        <v>2</v>
      </c>
      <c r="P5601" s="7" t="n">
        <f aca="false">IF(K5601="","",K5601-G5601)</f>
        <v>0</v>
      </c>
    </row>
    <row r="5602" customFormat="false" ht="15" hidden="false" customHeight="false" outlineLevel="0" collapsed="false">
      <c r="A5602" s="7" t="n">
        <v>80180182</v>
      </c>
      <c r="B5602" s="7" t="s">
        <v>78</v>
      </c>
      <c r="C5602" s="7" t="s">
        <v>11171</v>
      </c>
      <c r="E5602" s="7" t="s">
        <v>1063</v>
      </c>
      <c r="F5602" s="7" t="s">
        <v>11172</v>
      </c>
      <c r="G5602" s="7" t="n">
        <v>2018</v>
      </c>
      <c r="H5602" s="7" t="s">
        <v>48</v>
      </c>
      <c r="I5602" s="7" t="s">
        <v>11132</v>
      </c>
      <c r="J5602" s="7" t="s">
        <v>1357</v>
      </c>
      <c r="K5602" s="7" t="n">
        <f aca="false">IFERROR(VALUE(RIGHT(TRIM(F5602),4)),"")</f>
        <v>2018</v>
      </c>
      <c r="L5602" s="7" t="str">
        <f aca="false">IF(TRIM(E5602)="","Unknown",IFERROR(LEFT(TRIM(E5602),FIND(",",TRIM(E5602))-1),TRIM(E5602)))</f>
        <v>Norway</v>
      </c>
      <c r="M5602" s="7" t="str">
        <f aca="false">IFERROR(LEFT(J5602,FIND(",",J5602)-1),J5602)</f>
        <v>International TV Shows</v>
      </c>
      <c r="N5602" s="7" t="str">
        <f aca="false">IF(B5602="Movie",IFERROR(VALUE(LEFT(I5602,FIND(" ",I5602)-1)),""),"")</f>
        <v/>
      </c>
      <c r="O5602" s="7" t="n">
        <f aca="false">IF(B5602="TV Show",IFERROR(VALUE(LEFT(I5602,FIND(" ",I5602)-1)),""),"")</f>
        <v>2</v>
      </c>
      <c r="P5602" s="7" t="n">
        <f aca="false">IF(K5602="","",K5602-G5602)</f>
        <v>0</v>
      </c>
    </row>
    <row r="5603" customFormat="false" ht="15" hidden="false" customHeight="false" outlineLevel="0" collapsed="false">
      <c r="A5603" s="7" t="n">
        <v>80131479</v>
      </c>
      <c r="B5603" s="7" t="s">
        <v>78</v>
      </c>
      <c r="C5603" s="7" t="s">
        <v>11173</v>
      </c>
      <c r="E5603" s="7" t="s">
        <v>2367</v>
      </c>
      <c r="F5603" s="7" t="s">
        <v>11174</v>
      </c>
      <c r="G5603" s="7" t="n">
        <v>2017</v>
      </c>
      <c r="H5603" s="7" t="s">
        <v>49</v>
      </c>
      <c r="I5603" s="7" t="s">
        <v>11155</v>
      </c>
      <c r="J5603" s="7" t="s">
        <v>884</v>
      </c>
      <c r="K5603" s="7" t="n">
        <f aca="false">IFERROR(VALUE(RIGHT(TRIM(F5603),4)),"")</f>
        <v>2017</v>
      </c>
      <c r="L5603" s="7" t="str">
        <f aca="false">IF(TRIM(E5603)="","Unknown",IFERROR(LEFT(TRIM(E5603),FIND(",",TRIM(E5603))-1),TRIM(E5603)))</f>
        <v>United States</v>
      </c>
      <c r="M5603" s="7" t="str">
        <f aca="false">IFERROR(LEFT(J5603,FIND(",",J5603)-1),J5603)</f>
        <v>International TV Shows</v>
      </c>
      <c r="N5603" s="7" t="str">
        <f aca="false">IF(B5603="Movie",IFERROR(VALUE(LEFT(I5603,FIND(" ",I5603)-1)),""),"")</f>
        <v/>
      </c>
      <c r="O5603" s="7" t="n">
        <f aca="false">IF(B5603="TV Show",IFERROR(VALUE(LEFT(I5603,FIND(" ",I5603)-1)),""),"")</f>
        <v>4</v>
      </c>
      <c r="P5603" s="7" t="n">
        <f aca="false">IF(K5603="","",K5603-G5603)</f>
        <v>0</v>
      </c>
    </row>
    <row r="5604" customFormat="false" ht="15" hidden="false" customHeight="false" outlineLevel="0" collapsed="false">
      <c r="A5604" s="7" t="n">
        <v>80057883</v>
      </c>
      <c r="B5604" s="7" t="s">
        <v>78</v>
      </c>
      <c r="C5604" s="7" t="s">
        <v>11175</v>
      </c>
      <c r="E5604" s="7" t="s">
        <v>26</v>
      </c>
      <c r="F5604" s="7" t="s">
        <v>11176</v>
      </c>
      <c r="G5604" s="7" t="n">
        <v>2019</v>
      </c>
      <c r="H5604" s="7" t="s">
        <v>49</v>
      </c>
      <c r="I5604" s="7" t="s">
        <v>11132</v>
      </c>
      <c r="J5604" s="7" t="s">
        <v>164</v>
      </c>
      <c r="K5604" s="7" t="n">
        <f aca="false">IFERROR(VALUE(RIGHT(TRIM(F5604),4)),"")</f>
        <v>2019</v>
      </c>
      <c r="L5604" s="7" t="str">
        <f aca="false">IF(TRIM(E5604)="","Unknown",IFERROR(LEFT(TRIM(E5604),FIND(",",TRIM(E5604))-1),TRIM(E5604)))</f>
        <v>United States</v>
      </c>
      <c r="M5604" s="7" t="str">
        <f aca="false">IFERROR(LEFT(J5604,FIND(",",J5604)-1),J5604)</f>
        <v>Docuseries</v>
      </c>
      <c r="N5604" s="7" t="str">
        <f aca="false">IF(B5604="Movie",IFERROR(VALUE(LEFT(I5604,FIND(" ",I5604)-1)),""),"")</f>
        <v/>
      </c>
      <c r="O5604" s="7" t="n">
        <f aca="false">IF(B5604="TV Show",IFERROR(VALUE(LEFT(I5604,FIND(" ",I5604)-1)),""),"")</f>
        <v>2</v>
      </c>
      <c r="P5604" s="7" t="n">
        <f aca="false">IF(K5604="","",K5604-G5604)</f>
        <v>0</v>
      </c>
    </row>
    <row r="5605" customFormat="false" ht="15" hidden="false" customHeight="false" outlineLevel="0" collapsed="false">
      <c r="A5605" s="7" t="n">
        <v>80108495</v>
      </c>
      <c r="B5605" s="7" t="s">
        <v>78</v>
      </c>
      <c r="C5605" s="7" t="s">
        <v>11177</v>
      </c>
      <c r="E5605" s="7" t="s">
        <v>35</v>
      </c>
      <c r="F5605" s="7" t="s">
        <v>11176</v>
      </c>
      <c r="G5605" s="7" t="n">
        <v>2019</v>
      </c>
      <c r="H5605" s="7" t="s">
        <v>48</v>
      </c>
      <c r="I5605" s="7" t="s">
        <v>11148</v>
      </c>
      <c r="J5605" s="7" t="s">
        <v>822</v>
      </c>
      <c r="K5605" s="7" t="n">
        <f aca="false">IFERROR(VALUE(RIGHT(TRIM(F5605),4)),"")</f>
        <v>2019</v>
      </c>
      <c r="L5605" s="7" t="str">
        <f aca="false">IF(TRIM(E5605)="","Unknown",IFERROR(LEFT(TRIM(E5605),FIND(",",TRIM(E5605))-1),TRIM(E5605)))</f>
        <v>Australia</v>
      </c>
      <c r="M5605" s="7" t="str">
        <f aca="false">IFERROR(LEFT(J5605,FIND(",",J5605)-1),J5605)</f>
        <v>International TV Shows</v>
      </c>
      <c r="N5605" s="7" t="str">
        <f aca="false">IF(B5605="Movie",IFERROR(VALUE(LEFT(I5605,FIND(" ",I5605)-1)),""),"")</f>
        <v/>
      </c>
      <c r="O5605" s="7" t="n">
        <f aca="false">IF(B5605="TV Show",IFERROR(VALUE(LEFT(I5605,FIND(" ",I5605)-1)),""),"")</f>
        <v>3</v>
      </c>
      <c r="P5605" s="7" t="n">
        <f aca="false">IF(K5605="","",K5605-G5605)</f>
        <v>0</v>
      </c>
    </row>
    <row r="5606" customFormat="false" ht="15" hidden="false" customHeight="false" outlineLevel="0" collapsed="false">
      <c r="A5606" s="7" t="n">
        <v>80059465</v>
      </c>
      <c r="B5606" s="7" t="s">
        <v>78</v>
      </c>
      <c r="C5606" s="7" t="s">
        <v>11040</v>
      </c>
      <c r="E5606" s="7" t="s">
        <v>33</v>
      </c>
      <c r="F5606" s="7" t="s">
        <v>11176</v>
      </c>
      <c r="G5606" s="7" t="n">
        <v>2019</v>
      </c>
      <c r="H5606" s="7" t="s">
        <v>48</v>
      </c>
      <c r="I5606" s="7" t="s">
        <v>11155</v>
      </c>
      <c r="J5606" s="7" t="s">
        <v>89</v>
      </c>
      <c r="K5606" s="7" t="n">
        <f aca="false">IFERROR(VALUE(RIGHT(TRIM(F5606),4)),"")</f>
        <v>2019</v>
      </c>
      <c r="L5606" s="7" t="str">
        <f aca="false">IF(TRIM(E5606)="","Unknown",IFERROR(LEFT(TRIM(E5606),FIND(",",TRIM(E5606))-1),TRIM(E5606)))</f>
        <v>Spain</v>
      </c>
      <c r="M5606" s="7" t="str">
        <f aca="false">IFERROR(LEFT(J5606,FIND(",",J5606)-1),J5606)</f>
        <v>Crime TV Shows</v>
      </c>
      <c r="N5606" s="7" t="str">
        <f aca="false">IF(B5606="Movie",IFERROR(VALUE(LEFT(I5606,FIND(" ",I5606)-1)),""),"")</f>
        <v/>
      </c>
      <c r="O5606" s="7" t="n">
        <f aca="false">IF(B5606="TV Show",IFERROR(VALUE(LEFT(I5606,FIND(" ",I5606)-1)),""),"")</f>
        <v>4</v>
      </c>
      <c r="P5606" s="7" t="n">
        <f aca="false">IF(K5606="","",K5606-G5606)</f>
        <v>0</v>
      </c>
    </row>
    <row r="5607" customFormat="false" ht="15" hidden="false" customHeight="false" outlineLevel="0" collapsed="false">
      <c r="A5607" s="7" t="n">
        <v>70185015</v>
      </c>
      <c r="B5607" s="7" t="s">
        <v>78</v>
      </c>
      <c r="C5607" s="7" t="s">
        <v>11178</v>
      </c>
      <c r="E5607" s="7" t="s">
        <v>26</v>
      </c>
      <c r="F5607" s="7" t="s">
        <v>11176</v>
      </c>
      <c r="G5607" s="7" t="n">
        <v>2018</v>
      </c>
      <c r="H5607" s="7" t="s">
        <v>49</v>
      </c>
      <c r="I5607" s="7" t="s">
        <v>11158</v>
      </c>
      <c r="J5607" s="7" t="s">
        <v>289</v>
      </c>
      <c r="K5607" s="7" t="n">
        <f aca="false">IFERROR(VALUE(RIGHT(TRIM(F5607),4)),"")</f>
        <v>2019</v>
      </c>
      <c r="L5607" s="7" t="str">
        <f aca="false">IF(TRIM(E5607)="","Unknown",IFERROR(LEFT(TRIM(E5607),FIND(",",TRIM(E5607))-1),TRIM(E5607)))</f>
        <v>United States</v>
      </c>
      <c r="M5607" s="7" t="str">
        <f aca="false">IFERROR(LEFT(J5607,FIND(",",J5607)-1),J5607)</f>
        <v>TV Comedies</v>
      </c>
      <c r="N5607" s="7" t="str">
        <f aca="false">IF(B5607="Movie",IFERROR(VALUE(LEFT(I5607,FIND(" ",I5607)-1)),""),"")</f>
        <v/>
      </c>
      <c r="O5607" s="7" t="n">
        <f aca="false">IF(B5607="TV Show",IFERROR(VALUE(LEFT(I5607,FIND(" ",I5607)-1)),""),"")</f>
        <v>8</v>
      </c>
      <c r="P5607" s="7" t="n">
        <f aca="false">IF(K5607="","",K5607-G5607)</f>
        <v>1</v>
      </c>
    </row>
    <row r="5608" customFormat="false" ht="15" hidden="false" customHeight="false" outlineLevel="0" collapsed="false">
      <c r="A5608" s="7" t="n">
        <v>80023289</v>
      </c>
      <c r="B5608" s="7" t="s">
        <v>78</v>
      </c>
      <c r="C5608" s="7" t="s">
        <v>11179</v>
      </c>
      <c r="E5608" s="7" t="s">
        <v>29</v>
      </c>
      <c r="F5608" s="7" t="s">
        <v>11180</v>
      </c>
      <c r="G5608" s="7" t="n">
        <v>2017</v>
      </c>
      <c r="H5608" s="7" t="s">
        <v>49</v>
      </c>
      <c r="I5608" s="7" t="s">
        <v>11148</v>
      </c>
      <c r="J5608" s="7" t="s">
        <v>11181</v>
      </c>
      <c r="K5608" s="7" t="n">
        <f aca="false">IFERROR(VALUE(RIGHT(TRIM(F5608),4)),"")</f>
        <v>2017</v>
      </c>
      <c r="L5608" s="7" t="str">
        <f aca="false">IF(TRIM(E5608)="","Unknown",IFERROR(LEFT(TRIM(E5608),FIND(",",TRIM(E5608))-1),TRIM(E5608)))</f>
        <v>Canada</v>
      </c>
      <c r="M5608" s="7" t="str">
        <f aca="false">IFERROR(LEFT(J5608,FIND(",",J5608)-1),J5608)</f>
        <v>TV Sci-Fi &amp; Fantasy</v>
      </c>
      <c r="N5608" s="7" t="str">
        <f aca="false">IF(B5608="Movie",IFERROR(VALUE(LEFT(I5608,FIND(" ",I5608)-1)),""),"")</f>
        <v/>
      </c>
      <c r="O5608" s="7" t="n">
        <f aca="false">IF(B5608="TV Show",IFERROR(VALUE(LEFT(I5608,FIND(" ",I5608)-1)),""),"")</f>
        <v>3</v>
      </c>
      <c r="P5608" s="7" t="n">
        <f aca="false">IF(K5608="","",K5608-G5608)</f>
        <v>0</v>
      </c>
    </row>
    <row r="5609" customFormat="false" ht="15" hidden="false" customHeight="false" outlineLevel="0" collapsed="false">
      <c r="A5609" s="7" t="n">
        <v>70210884</v>
      </c>
      <c r="B5609" s="7" t="s">
        <v>78</v>
      </c>
      <c r="C5609" s="7" t="s">
        <v>11182</v>
      </c>
      <c r="E5609" s="7" t="s">
        <v>26</v>
      </c>
      <c r="F5609" s="7" t="s">
        <v>11183</v>
      </c>
      <c r="G5609" s="7" t="n">
        <v>2018</v>
      </c>
      <c r="H5609" s="7" t="s">
        <v>48</v>
      </c>
      <c r="I5609" s="7" t="s">
        <v>11158</v>
      </c>
      <c r="J5609" s="7" t="s">
        <v>11184</v>
      </c>
      <c r="K5609" s="7" t="n">
        <f aca="false">IFERROR(VALUE(RIGHT(TRIM(F5609),4)),"")</f>
        <v>2019</v>
      </c>
      <c r="L5609" s="7" t="str">
        <f aca="false">IF(TRIM(E5609)="","Unknown",IFERROR(LEFT(TRIM(E5609),FIND(",",TRIM(E5609))-1),TRIM(E5609)))</f>
        <v>United States</v>
      </c>
      <c r="M5609" s="7" t="str">
        <f aca="false">IFERROR(LEFT(J5609,FIND(",",J5609)-1),J5609)</f>
        <v>TV Horror</v>
      </c>
      <c r="N5609" s="7" t="str">
        <f aca="false">IF(B5609="Movie",IFERROR(VALUE(LEFT(I5609,FIND(" ",I5609)-1)),""),"")</f>
        <v/>
      </c>
      <c r="O5609" s="7" t="n">
        <f aca="false">IF(B5609="TV Show",IFERROR(VALUE(LEFT(I5609,FIND(" ",I5609)-1)),""),"")</f>
        <v>8</v>
      </c>
      <c r="P5609" s="7" t="n">
        <f aca="false">IF(K5609="","",K5609-G5609)</f>
        <v>1</v>
      </c>
    </row>
    <row r="5610" customFormat="false" ht="15" hidden="false" customHeight="false" outlineLevel="0" collapsed="false">
      <c r="A5610" s="7" t="n">
        <v>80127001</v>
      </c>
      <c r="B5610" s="7" t="s">
        <v>78</v>
      </c>
      <c r="C5610" s="7" t="s">
        <v>11185</v>
      </c>
      <c r="E5610" s="7" t="s">
        <v>396</v>
      </c>
      <c r="F5610" s="7" t="s">
        <v>11183</v>
      </c>
      <c r="G5610" s="7" t="n">
        <v>2018</v>
      </c>
      <c r="H5610" s="7" t="s">
        <v>49</v>
      </c>
      <c r="I5610" s="7" t="s">
        <v>11135</v>
      </c>
      <c r="J5610" s="7" t="s">
        <v>393</v>
      </c>
      <c r="K5610" s="7" t="n">
        <f aca="false">IFERROR(VALUE(RIGHT(TRIM(F5610),4)),"")</f>
        <v>2019</v>
      </c>
      <c r="L5610" s="7" t="str">
        <f aca="false">IF(TRIM(E5610)="","Unknown",IFERROR(LEFT(TRIM(E5610),FIND(",",TRIM(E5610))-1),TRIM(E5610)))</f>
        <v>Turkey</v>
      </c>
      <c r="M5610" s="7" t="str">
        <f aca="false">IFERROR(LEFT(J5610,FIND(",",J5610)-1),J5610)</f>
        <v>International TV Shows</v>
      </c>
      <c r="N5610" s="7" t="str">
        <f aca="false">IF(B5610="Movie",IFERROR(VALUE(LEFT(I5610,FIND(" ",I5610)-1)),""),"")</f>
        <v/>
      </c>
      <c r="O5610" s="7" t="n">
        <f aca="false">IF(B5610="TV Show",IFERROR(VALUE(LEFT(I5610,FIND(" ",I5610)-1)),""),"")</f>
        <v>5</v>
      </c>
      <c r="P5610" s="7" t="n">
        <f aca="false">IF(K5610="","",K5610-G5610)</f>
        <v>1</v>
      </c>
    </row>
    <row r="5611" customFormat="false" ht="15" hidden="false" customHeight="false" outlineLevel="0" collapsed="false">
      <c r="A5611" s="7" t="n">
        <v>80011539</v>
      </c>
      <c r="B5611" s="7" t="s">
        <v>78</v>
      </c>
      <c r="C5611" s="7" t="s">
        <v>11186</v>
      </c>
      <c r="E5611" s="7" t="s">
        <v>26</v>
      </c>
      <c r="F5611" s="7" t="s">
        <v>11187</v>
      </c>
      <c r="G5611" s="7" t="n">
        <v>2016</v>
      </c>
      <c r="H5611" s="7" t="s">
        <v>119</v>
      </c>
      <c r="I5611" s="7" t="s">
        <v>11155</v>
      </c>
      <c r="J5611" s="7" t="s">
        <v>44</v>
      </c>
      <c r="K5611" s="7" t="n">
        <f aca="false">IFERROR(VALUE(RIGHT(TRIM(F5611),4)),"")</f>
        <v>2016</v>
      </c>
      <c r="L5611" s="7" t="str">
        <f aca="false">IF(TRIM(E5611)="","Unknown",IFERROR(LEFT(TRIM(E5611),FIND(",",TRIM(E5611))-1),TRIM(E5611)))</f>
        <v>United States</v>
      </c>
      <c r="M5611" s="7" t="str">
        <f aca="false">IFERROR(LEFT(J5611,FIND(",",J5611)-1),J5611)</f>
        <v>Kids' TV</v>
      </c>
      <c r="N5611" s="7" t="str">
        <f aca="false">IF(B5611="Movie",IFERROR(VALUE(LEFT(I5611,FIND(" ",I5611)-1)),""),"")</f>
        <v/>
      </c>
      <c r="O5611" s="7" t="n">
        <f aca="false">IF(B5611="TV Show",IFERROR(VALUE(LEFT(I5611,FIND(" ",I5611)-1)),""),"")</f>
        <v>4</v>
      </c>
      <c r="P5611" s="7" t="n">
        <f aca="false">IF(K5611="","",K5611-G5611)</f>
        <v>0</v>
      </c>
    </row>
    <row r="5612" customFormat="false" ht="15" hidden="false" customHeight="false" outlineLevel="0" collapsed="false">
      <c r="A5612" s="7" t="n">
        <v>70197042</v>
      </c>
      <c r="B5612" s="7" t="s">
        <v>78</v>
      </c>
      <c r="C5612" s="7" t="s">
        <v>11188</v>
      </c>
      <c r="E5612" s="7" t="s">
        <v>26</v>
      </c>
      <c r="F5612" s="7" t="s">
        <v>11189</v>
      </c>
      <c r="G5612" s="7" t="n">
        <v>2016</v>
      </c>
      <c r="H5612" s="7" t="s">
        <v>49</v>
      </c>
      <c r="I5612" s="7" t="s">
        <v>11135</v>
      </c>
      <c r="J5612" s="7" t="s">
        <v>2958</v>
      </c>
      <c r="K5612" s="7" t="n">
        <f aca="false">IFERROR(VALUE(RIGHT(TRIM(F5612),4)),"")</f>
        <v>2016</v>
      </c>
      <c r="L5612" s="7" t="str">
        <f aca="false">IF(TRIM(E5612)="","Unknown",IFERROR(LEFT(TRIM(E5612),FIND(",",TRIM(E5612))-1),TRIM(E5612)))</f>
        <v>United States</v>
      </c>
      <c r="M5612" s="7" t="str">
        <f aca="false">IFERROR(LEFT(J5612,FIND(",",J5612)-1),J5612)</f>
        <v>Crime TV Shows</v>
      </c>
      <c r="N5612" s="7" t="str">
        <f aca="false">IF(B5612="Movie",IFERROR(VALUE(LEFT(I5612,FIND(" ",I5612)-1)),""),"")</f>
        <v/>
      </c>
      <c r="O5612" s="7" t="n">
        <f aca="false">IF(B5612="TV Show",IFERROR(VALUE(LEFT(I5612,FIND(" ",I5612)-1)),""),"")</f>
        <v>5</v>
      </c>
      <c r="P5612" s="7" t="n">
        <f aca="false">IF(K5612="","",K5612-G5612)</f>
        <v>0</v>
      </c>
    </row>
    <row r="5613" customFormat="false" ht="15" hidden="false" customHeight="false" outlineLevel="0" collapsed="false">
      <c r="A5613" s="7" t="n">
        <v>80095697</v>
      </c>
      <c r="B5613" s="7" t="s">
        <v>78</v>
      </c>
      <c r="C5613" s="7" t="s">
        <v>11190</v>
      </c>
      <c r="E5613" s="7" t="s">
        <v>26</v>
      </c>
      <c r="F5613" s="7" t="s">
        <v>11191</v>
      </c>
      <c r="G5613" s="7" t="n">
        <v>2019</v>
      </c>
      <c r="H5613" s="7" t="s">
        <v>49</v>
      </c>
      <c r="I5613" s="7" t="s">
        <v>11132</v>
      </c>
      <c r="J5613" s="7" t="s">
        <v>11192</v>
      </c>
      <c r="K5613" s="7" t="n">
        <f aca="false">IFERROR(VALUE(RIGHT(TRIM(F5613),4)),"")</f>
        <v>2019</v>
      </c>
      <c r="L5613" s="7" t="str">
        <f aca="false">IF(TRIM(E5613)="","Unknown",IFERROR(LEFT(TRIM(E5613),FIND(",",TRIM(E5613))-1),TRIM(E5613)))</f>
        <v>United States</v>
      </c>
      <c r="M5613" s="7" t="str">
        <f aca="false">IFERROR(LEFT(J5613,FIND(",",J5613)-1),J5613)</f>
        <v>TV Action &amp; Adventure</v>
      </c>
      <c r="N5613" s="7" t="str">
        <f aca="false">IF(B5613="Movie",IFERROR(VALUE(LEFT(I5613,FIND(" ",I5613)-1)),""),"")</f>
        <v/>
      </c>
      <c r="O5613" s="7" t="n">
        <f aca="false">IF(B5613="TV Show",IFERROR(VALUE(LEFT(I5613,FIND(" ",I5613)-1)),""),"")</f>
        <v>2</v>
      </c>
      <c r="P5613" s="7" t="n">
        <f aca="false">IF(K5613="","",K5613-G5613)</f>
        <v>0</v>
      </c>
    </row>
    <row r="5614" customFormat="false" ht="15" hidden="false" customHeight="false" outlineLevel="0" collapsed="false">
      <c r="A5614" s="7" t="n">
        <v>80190009</v>
      </c>
      <c r="B5614" s="7" t="s">
        <v>78</v>
      </c>
      <c r="C5614" s="7" t="s">
        <v>11193</v>
      </c>
      <c r="E5614" s="7" t="s">
        <v>26</v>
      </c>
      <c r="F5614" s="7" t="s">
        <v>11191</v>
      </c>
      <c r="G5614" s="7" t="n">
        <v>2019</v>
      </c>
      <c r="H5614" s="7" t="s">
        <v>48</v>
      </c>
      <c r="I5614" s="7" t="s">
        <v>11132</v>
      </c>
      <c r="J5614" s="7" t="s">
        <v>701</v>
      </c>
      <c r="K5614" s="7" t="n">
        <f aca="false">IFERROR(VALUE(RIGHT(TRIM(F5614),4)),"")</f>
        <v>2019</v>
      </c>
      <c r="L5614" s="7" t="str">
        <f aca="false">IF(TRIM(E5614)="","Unknown",IFERROR(LEFT(TRIM(E5614),FIND(",",TRIM(E5614))-1),TRIM(E5614)))</f>
        <v>United States</v>
      </c>
      <c r="M5614" s="7" t="str">
        <f aca="false">IFERROR(LEFT(J5614,FIND(",",J5614)-1),J5614)</f>
        <v>Reality TV</v>
      </c>
      <c r="N5614" s="7" t="str">
        <f aca="false">IF(B5614="Movie",IFERROR(VALUE(LEFT(I5614,FIND(" ",I5614)-1)),""),"")</f>
        <v/>
      </c>
      <c r="O5614" s="7" t="n">
        <f aca="false">IF(B5614="TV Show",IFERROR(VALUE(LEFT(I5614,FIND(" ",I5614)-1)),""),"")</f>
        <v>2</v>
      </c>
      <c r="P5614" s="7" t="n">
        <f aca="false">IF(K5614="","",K5614-G5614)</f>
        <v>0</v>
      </c>
    </row>
    <row r="5615" customFormat="false" ht="15" hidden="false" customHeight="false" outlineLevel="0" collapsed="false">
      <c r="A5615" s="7" t="n">
        <v>80063740</v>
      </c>
      <c r="B5615" s="7" t="s">
        <v>78</v>
      </c>
      <c r="C5615" s="7" t="s">
        <v>11194</v>
      </c>
      <c r="E5615" s="7" t="s">
        <v>26</v>
      </c>
      <c r="F5615" s="7" t="s">
        <v>11195</v>
      </c>
      <c r="G5615" s="7" t="n">
        <v>2018</v>
      </c>
      <c r="H5615" s="7" t="s">
        <v>49</v>
      </c>
      <c r="I5615" s="7" t="s">
        <v>11148</v>
      </c>
      <c r="J5615" s="7" t="s">
        <v>282</v>
      </c>
      <c r="K5615" s="7" t="n">
        <f aca="false">IFERROR(VALUE(RIGHT(TRIM(F5615),4)),"")</f>
        <v>2018</v>
      </c>
      <c r="L5615" s="7" t="str">
        <f aca="false">IF(TRIM(E5615)="","Unknown",IFERROR(LEFT(TRIM(E5615),FIND(",",TRIM(E5615))-1),TRIM(E5615)))</f>
        <v>United States</v>
      </c>
      <c r="M5615" s="7" t="str">
        <f aca="false">IFERROR(LEFT(J5615,FIND(",",J5615)-1),J5615)</f>
        <v>Crime TV Shows</v>
      </c>
      <c r="N5615" s="7" t="str">
        <f aca="false">IF(B5615="Movie",IFERROR(VALUE(LEFT(I5615,FIND(" ",I5615)-1)),""),"")</f>
        <v/>
      </c>
      <c r="O5615" s="7" t="n">
        <f aca="false">IF(B5615="TV Show",IFERROR(VALUE(LEFT(I5615,FIND(" ",I5615)-1)),""),"")</f>
        <v>3</v>
      </c>
      <c r="P5615" s="7" t="n">
        <f aca="false">IF(K5615="","",K5615-G5615)</f>
        <v>0</v>
      </c>
    </row>
    <row r="5616" customFormat="false" ht="15" hidden="false" customHeight="false" outlineLevel="0" collapsed="false">
      <c r="A5616" s="7" t="n">
        <v>70281312</v>
      </c>
      <c r="B5616" s="7" t="s">
        <v>78</v>
      </c>
      <c r="C5616" s="7" t="s">
        <v>11196</v>
      </c>
      <c r="E5616" s="7" t="s">
        <v>26</v>
      </c>
      <c r="F5616" s="7" t="s">
        <v>11197</v>
      </c>
      <c r="G5616" s="7" t="n">
        <v>2019</v>
      </c>
      <c r="H5616" s="7" t="s">
        <v>49</v>
      </c>
      <c r="I5616" s="7" t="s">
        <v>11198</v>
      </c>
      <c r="J5616" s="7" t="s">
        <v>4370</v>
      </c>
      <c r="K5616" s="7" t="n">
        <f aca="false">IFERROR(VALUE(RIGHT(TRIM(F5616),4)),"")</f>
        <v>2019</v>
      </c>
      <c r="L5616" s="7" t="str">
        <f aca="false">IF(TRIM(E5616)="","Unknown",IFERROR(LEFT(TRIM(E5616),FIND(",",TRIM(E5616))-1),TRIM(E5616)))</f>
        <v>United States</v>
      </c>
      <c r="M5616" s="7" t="str">
        <f aca="false">IFERROR(LEFT(J5616,FIND(",",J5616)-1),J5616)</f>
        <v>Crime TV Shows</v>
      </c>
      <c r="N5616" s="7" t="str">
        <f aca="false">IF(B5616="Movie",IFERROR(VALUE(LEFT(I5616,FIND(" ",I5616)-1)),""),"")</f>
        <v/>
      </c>
      <c r="O5616" s="7" t="n">
        <f aca="false">IF(B5616="TV Show",IFERROR(VALUE(LEFT(I5616,FIND(" ",I5616)-1)),""),"")</f>
        <v>6</v>
      </c>
      <c r="P5616" s="7" t="n">
        <f aca="false">IF(K5616="","",K5616-G5616)</f>
        <v>0</v>
      </c>
    </row>
    <row r="5617" customFormat="false" ht="15" hidden="false" customHeight="false" outlineLevel="0" collapsed="false">
      <c r="A5617" s="7" t="n">
        <v>70242079</v>
      </c>
      <c r="B5617" s="7" t="s">
        <v>78</v>
      </c>
      <c r="C5617" s="7" t="s">
        <v>11199</v>
      </c>
      <c r="E5617" s="7" t="s">
        <v>29</v>
      </c>
      <c r="F5617" s="7" t="s">
        <v>11200</v>
      </c>
      <c r="G5617" s="7" t="n">
        <v>2016</v>
      </c>
      <c r="H5617" s="7" t="s">
        <v>49</v>
      </c>
      <c r="I5617" s="7" t="s">
        <v>11155</v>
      </c>
      <c r="J5617" s="7" t="s">
        <v>8905</v>
      </c>
      <c r="K5617" s="7" t="n">
        <f aca="false">IFERROR(VALUE(RIGHT(TRIM(F5617),4)),"")</f>
        <v>2016</v>
      </c>
      <c r="L5617" s="7" t="str">
        <f aca="false">IF(TRIM(E5617)="","Unknown",IFERROR(LEFT(TRIM(E5617),FIND(",",TRIM(E5617))-1),TRIM(E5617)))</f>
        <v>Canada</v>
      </c>
      <c r="M5617" s="7" t="str">
        <f aca="false">IFERROR(LEFT(J5617,FIND(",",J5617)-1),J5617)</f>
        <v>Crime TV Shows</v>
      </c>
      <c r="N5617" s="7" t="str">
        <f aca="false">IF(B5617="Movie",IFERROR(VALUE(LEFT(I5617,FIND(" ",I5617)-1)),""),"")</f>
        <v/>
      </c>
      <c r="O5617" s="7" t="n">
        <f aca="false">IF(B5617="TV Show",IFERROR(VALUE(LEFT(I5617,FIND(" ",I5617)-1)),""),"")</f>
        <v>4</v>
      </c>
      <c r="P5617" s="7" t="n">
        <f aca="false">IF(K5617="","",K5617-G5617)</f>
        <v>0</v>
      </c>
    </row>
    <row r="5618" customFormat="false" ht="15" hidden="false" customHeight="false" outlineLevel="0" collapsed="false">
      <c r="A5618" s="7" t="n">
        <v>80136784</v>
      </c>
      <c r="B5618" s="7" t="s">
        <v>78</v>
      </c>
      <c r="C5618" s="7" t="s">
        <v>11201</v>
      </c>
      <c r="F5618" s="7" t="s">
        <v>11202</v>
      </c>
      <c r="G5618" s="7" t="n">
        <v>2010</v>
      </c>
      <c r="H5618" s="7" t="s">
        <v>49</v>
      </c>
      <c r="I5618" s="7" t="s">
        <v>11132</v>
      </c>
      <c r="J5618" s="7" t="s">
        <v>344</v>
      </c>
      <c r="K5618" s="7" t="n">
        <f aca="false">IFERROR(VALUE(RIGHT(TRIM(F5618),4)),"")</f>
        <v>2017</v>
      </c>
      <c r="L5618" s="7" t="str">
        <f aca="false">IF(TRIM(E5618)="","Unknown",IFERROR(LEFT(TRIM(E5618),FIND(",",TRIM(E5618))-1),TRIM(E5618)))</f>
        <v>Unknown</v>
      </c>
      <c r="M5618" s="7" t="str">
        <f aca="false">IFERROR(LEFT(J5618,FIND(",",J5618)-1),J5618)</f>
        <v>International TV Shows</v>
      </c>
      <c r="N5618" s="7" t="str">
        <f aca="false">IF(B5618="Movie",IFERROR(VALUE(LEFT(I5618,FIND(" ",I5618)-1)),""),"")</f>
        <v/>
      </c>
      <c r="O5618" s="7" t="n">
        <f aca="false">IF(B5618="TV Show",IFERROR(VALUE(LEFT(I5618,FIND(" ",I5618)-1)),""),"")</f>
        <v>2</v>
      </c>
      <c r="P5618" s="7" t="n">
        <f aca="false">IF(K5618="","",K5618-G5618)</f>
        <v>7</v>
      </c>
    </row>
    <row r="5619" customFormat="false" ht="15" hidden="false" customHeight="false" outlineLevel="0" collapsed="false">
      <c r="A5619" s="7" t="n">
        <v>70295760</v>
      </c>
      <c r="B5619" s="7" t="s">
        <v>78</v>
      </c>
      <c r="C5619" s="7" t="s">
        <v>11203</v>
      </c>
      <c r="E5619" s="7" t="s">
        <v>8963</v>
      </c>
      <c r="F5619" s="7" t="s">
        <v>11204</v>
      </c>
      <c r="G5619" s="7" t="n">
        <v>2016</v>
      </c>
      <c r="H5619" s="7" t="s">
        <v>48</v>
      </c>
      <c r="I5619" s="7" t="s">
        <v>11148</v>
      </c>
      <c r="J5619" s="7" t="s">
        <v>1469</v>
      </c>
      <c r="K5619" s="7" t="n">
        <f aca="false">IFERROR(VALUE(RIGHT(TRIM(F5619),4)),"")</f>
        <v>2016</v>
      </c>
      <c r="L5619" s="7" t="str">
        <f aca="false">IF(TRIM(E5619)="","Unknown",IFERROR(LEFT(TRIM(E5619),FIND(",",TRIM(E5619))-1),TRIM(E5619)))</f>
        <v>Ireland</v>
      </c>
      <c r="M5619" s="7" t="str">
        <f aca="false">IFERROR(LEFT(J5619,FIND(",",J5619)-1),J5619)</f>
        <v>TV Dramas</v>
      </c>
      <c r="N5619" s="7" t="str">
        <f aca="false">IF(B5619="Movie",IFERROR(VALUE(LEFT(I5619,FIND(" ",I5619)-1)),""),"")</f>
        <v/>
      </c>
      <c r="O5619" s="7" t="n">
        <f aca="false">IF(B5619="TV Show",IFERROR(VALUE(LEFT(I5619,FIND(" ",I5619)-1)),""),"")</f>
        <v>3</v>
      </c>
      <c r="P5619" s="7" t="n">
        <f aca="false">IF(K5619="","",K5619-G5619)</f>
        <v>0</v>
      </c>
    </row>
    <row r="5620" customFormat="false" ht="15" hidden="false" customHeight="false" outlineLevel="0" collapsed="false">
      <c r="A5620" s="7" t="n">
        <v>81013148</v>
      </c>
      <c r="B5620" s="7" t="s">
        <v>78</v>
      </c>
      <c r="C5620" s="7" t="s">
        <v>11205</v>
      </c>
      <c r="E5620" s="7" t="s">
        <v>31</v>
      </c>
      <c r="F5620" s="7" t="s">
        <v>11206</v>
      </c>
      <c r="G5620" s="7" t="n">
        <v>2014</v>
      </c>
      <c r="H5620" s="7" t="s">
        <v>226</v>
      </c>
      <c r="I5620" s="7" t="s">
        <v>11132</v>
      </c>
      <c r="J5620" s="7" t="s">
        <v>44</v>
      </c>
      <c r="K5620" s="7" t="n">
        <f aca="false">IFERROR(VALUE(RIGHT(TRIM(F5620),4)),"")</f>
        <v>2018</v>
      </c>
      <c r="L5620" s="7" t="str">
        <f aca="false">IF(TRIM(E5620)="","Unknown",IFERROR(LEFT(TRIM(E5620),FIND(",",TRIM(E5620))-1),TRIM(E5620)))</f>
        <v>France</v>
      </c>
      <c r="M5620" s="7" t="str">
        <f aca="false">IFERROR(LEFT(J5620,FIND(",",J5620)-1),J5620)</f>
        <v>Kids' TV</v>
      </c>
      <c r="N5620" s="7" t="str">
        <f aca="false">IF(B5620="Movie",IFERROR(VALUE(LEFT(I5620,FIND(" ",I5620)-1)),""),"")</f>
        <v/>
      </c>
      <c r="O5620" s="7" t="n">
        <f aca="false">IF(B5620="TV Show",IFERROR(VALUE(LEFT(I5620,FIND(" ",I5620)-1)),""),"")</f>
        <v>2</v>
      </c>
      <c r="P5620" s="7" t="n">
        <f aca="false">IF(K5620="","",K5620-G5620)</f>
        <v>4</v>
      </c>
    </row>
    <row r="5621" customFormat="false" ht="15" hidden="false" customHeight="false" outlineLevel="0" collapsed="false">
      <c r="A5621" s="7" t="n">
        <v>80119379</v>
      </c>
      <c r="B5621" s="7" t="s">
        <v>78</v>
      </c>
      <c r="C5621" s="7" t="s">
        <v>11207</v>
      </c>
      <c r="E5621" s="7" t="s">
        <v>752</v>
      </c>
      <c r="F5621" s="7" t="s">
        <v>11208</v>
      </c>
      <c r="G5621" s="7" t="n">
        <v>2015</v>
      </c>
      <c r="H5621" s="7" t="s">
        <v>49</v>
      </c>
      <c r="I5621" s="7" t="s">
        <v>11132</v>
      </c>
      <c r="J5621" s="7" t="s">
        <v>588</v>
      </c>
      <c r="K5621" s="7" t="n">
        <f aca="false">IFERROR(VALUE(RIGHT(TRIM(F5621),4)),"")</f>
        <v>2017</v>
      </c>
      <c r="L5621" s="7" t="str">
        <f aca="false">IF(TRIM(E5621)="","Unknown",IFERROR(LEFT(TRIM(E5621),FIND(",",TRIM(E5621))-1),TRIM(E5621)))</f>
        <v>Russia</v>
      </c>
      <c r="M5621" s="7" t="str">
        <f aca="false">IFERROR(LEFT(J5621,FIND(",",J5621)-1),J5621)</f>
        <v>Crime TV Shows</v>
      </c>
      <c r="N5621" s="7" t="str">
        <f aca="false">IF(B5621="Movie",IFERROR(VALUE(LEFT(I5621,FIND(" ",I5621)-1)),""),"")</f>
        <v/>
      </c>
      <c r="O5621" s="7" t="n">
        <f aca="false">IF(B5621="TV Show",IFERROR(VALUE(LEFT(I5621,FIND(" ",I5621)-1)),""),"")</f>
        <v>2</v>
      </c>
      <c r="P5621" s="7" t="n">
        <f aca="false">IF(K5621="","",K5621-G5621)</f>
        <v>2</v>
      </c>
    </row>
    <row r="5622" customFormat="false" ht="15" hidden="false" customHeight="false" outlineLevel="0" collapsed="false">
      <c r="A5622" s="7" t="n">
        <v>80119145</v>
      </c>
      <c r="B5622" s="7" t="s">
        <v>78</v>
      </c>
      <c r="C5622" s="7" t="s">
        <v>11209</v>
      </c>
      <c r="E5622" s="7" t="s">
        <v>26</v>
      </c>
      <c r="F5622" s="7" t="s">
        <v>11208</v>
      </c>
      <c r="G5622" s="7" t="n">
        <v>2017</v>
      </c>
      <c r="H5622" s="7" t="s">
        <v>119</v>
      </c>
      <c r="I5622" s="7" t="s">
        <v>11132</v>
      </c>
      <c r="J5622" s="7" t="s">
        <v>44</v>
      </c>
      <c r="K5622" s="7" t="n">
        <f aca="false">IFERROR(VALUE(RIGHT(TRIM(F5622),4)),"")</f>
        <v>2017</v>
      </c>
      <c r="L5622" s="7" t="str">
        <f aca="false">IF(TRIM(E5622)="","Unknown",IFERROR(LEFT(TRIM(E5622),FIND(",",TRIM(E5622))-1),TRIM(E5622)))</f>
        <v>United States</v>
      </c>
      <c r="M5622" s="7" t="str">
        <f aca="false">IFERROR(LEFT(J5622,FIND(",",J5622)-1),J5622)</f>
        <v>Kids' TV</v>
      </c>
      <c r="N5622" s="7" t="str">
        <f aca="false">IF(B5622="Movie",IFERROR(VALUE(LEFT(I5622,FIND(" ",I5622)-1)),""),"")</f>
        <v/>
      </c>
      <c r="O5622" s="7" t="n">
        <f aca="false">IF(B5622="TV Show",IFERROR(VALUE(LEFT(I5622,FIND(" ",I5622)-1)),""),"")</f>
        <v>2</v>
      </c>
      <c r="P5622" s="7" t="n">
        <f aca="false">IF(K5622="","",K5622-G5622)</f>
        <v>0</v>
      </c>
    </row>
    <row r="5623" customFormat="false" ht="15" hidden="false" customHeight="false" outlineLevel="0" collapsed="false">
      <c r="A5623" s="7" t="n">
        <v>80117545</v>
      </c>
      <c r="B5623" s="7" t="s">
        <v>78</v>
      </c>
      <c r="C5623" s="7" t="s">
        <v>11210</v>
      </c>
      <c r="E5623" s="7" t="s">
        <v>26</v>
      </c>
      <c r="F5623" s="7" t="s">
        <v>11211</v>
      </c>
      <c r="G5623" s="7" t="n">
        <v>2018</v>
      </c>
      <c r="H5623" s="7" t="s">
        <v>48</v>
      </c>
      <c r="I5623" s="7" t="s">
        <v>11132</v>
      </c>
      <c r="J5623" s="7" t="s">
        <v>11212</v>
      </c>
      <c r="K5623" s="7" t="n">
        <f aca="false">IFERROR(VALUE(RIGHT(TRIM(F5623),4)),"")</f>
        <v>2018</v>
      </c>
      <c r="L5623" s="7" t="str">
        <f aca="false">IF(TRIM(E5623)="","Unknown",IFERROR(LEFT(TRIM(E5623),FIND(",",TRIM(E5623))-1),TRIM(E5623)))</f>
        <v>United States</v>
      </c>
      <c r="M5623" s="7" t="str">
        <f aca="false">IFERROR(LEFT(J5623,FIND(",",J5623)-1),J5623)</f>
        <v>Crime TV Shows</v>
      </c>
      <c r="N5623" s="7" t="str">
        <f aca="false">IF(B5623="Movie",IFERROR(VALUE(LEFT(I5623,FIND(" ",I5623)-1)),""),"")</f>
        <v/>
      </c>
      <c r="O5623" s="7" t="n">
        <f aca="false">IF(B5623="TV Show",IFERROR(VALUE(LEFT(I5623,FIND(" ",I5623)-1)),""),"")</f>
        <v>2</v>
      </c>
      <c r="P5623" s="7" t="n">
        <f aca="false">IF(K5623="","",K5623-G5623)</f>
        <v>0</v>
      </c>
    </row>
    <row r="5624" customFormat="false" ht="15" hidden="false" customHeight="false" outlineLevel="0" collapsed="false">
      <c r="A5624" s="7" t="n">
        <v>80066429</v>
      </c>
      <c r="B5624" s="7" t="s">
        <v>78</v>
      </c>
      <c r="C5624" s="7" t="s">
        <v>11213</v>
      </c>
      <c r="E5624" s="7" t="s">
        <v>34</v>
      </c>
      <c r="F5624" s="7" t="s">
        <v>11211</v>
      </c>
      <c r="G5624" s="7" t="n">
        <v>2018</v>
      </c>
      <c r="H5624" s="7" t="s">
        <v>48</v>
      </c>
      <c r="I5624" s="7" t="s">
        <v>11132</v>
      </c>
      <c r="J5624" s="7" t="s">
        <v>89</v>
      </c>
      <c r="K5624" s="7" t="n">
        <f aca="false">IFERROR(VALUE(RIGHT(TRIM(F5624),4)),"")</f>
        <v>2018</v>
      </c>
      <c r="L5624" s="7" t="str">
        <f aca="false">IF(TRIM(E5624)="","Unknown",IFERROR(LEFT(TRIM(E5624),FIND(",",TRIM(E5624))-1),TRIM(E5624)))</f>
        <v>Mexico</v>
      </c>
      <c r="M5624" s="7" t="str">
        <f aca="false">IFERROR(LEFT(J5624,FIND(",",J5624)-1),J5624)</f>
        <v>Crime TV Shows</v>
      </c>
      <c r="N5624" s="7" t="str">
        <f aca="false">IF(B5624="Movie",IFERROR(VALUE(LEFT(I5624,FIND(" ",I5624)-1)),""),"")</f>
        <v/>
      </c>
      <c r="O5624" s="7" t="n">
        <f aca="false">IF(B5624="TV Show",IFERROR(VALUE(LEFT(I5624,FIND(" ",I5624)-1)),""),"")</f>
        <v>2</v>
      </c>
      <c r="P5624" s="7" t="n">
        <f aca="false">IF(K5624="","",K5624-G5624)</f>
        <v>0</v>
      </c>
    </row>
    <row r="5625" customFormat="false" ht="15" hidden="false" customHeight="false" outlineLevel="0" collapsed="false">
      <c r="A5625" s="7" t="n">
        <v>80171611</v>
      </c>
      <c r="B5625" s="7" t="s">
        <v>78</v>
      </c>
      <c r="C5625" s="7" t="s">
        <v>11214</v>
      </c>
      <c r="E5625" s="7" t="s">
        <v>26</v>
      </c>
      <c r="F5625" s="7" t="s">
        <v>11215</v>
      </c>
      <c r="G5625" s="7" t="n">
        <v>2019</v>
      </c>
      <c r="H5625" s="7" t="s">
        <v>48</v>
      </c>
      <c r="I5625" s="7" t="s">
        <v>11132</v>
      </c>
      <c r="J5625" s="7" t="s">
        <v>289</v>
      </c>
      <c r="K5625" s="7" t="n">
        <f aca="false">IFERROR(VALUE(RIGHT(TRIM(F5625),4)),"")</f>
        <v>2019</v>
      </c>
      <c r="L5625" s="7" t="str">
        <f aca="false">IF(TRIM(E5625)="","Unknown",IFERROR(LEFT(TRIM(E5625),FIND(",",TRIM(E5625))-1),TRIM(E5625)))</f>
        <v>United States</v>
      </c>
      <c r="M5625" s="7" t="str">
        <f aca="false">IFERROR(LEFT(J5625,FIND(",",J5625)-1),J5625)</f>
        <v>TV Comedies</v>
      </c>
      <c r="N5625" s="7" t="str">
        <f aca="false">IF(B5625="Movie",IFERROR(VALUE(LEFT(I5625,FIND(" ",I5625)-1)),""),"")</f>
        <v/>
      </c>
      <c r="O5625" s="7" t="n">
        <f aca="false">IF(B5625="TV Show",IFERROR(VALUE(LEFT(I5625,FIND(" ",I5625)-1)),""),"")</f>
        <v>2</v>
      </c>
      <c r="P5625" s="7" t="n">
        <f aca="false">IF(K5625="","",K5625-G5625)</f>
        <v>0</v>
      </c>
    </row>
    <row r="5626" customFormat="false" ht="15" hidden="false" customHeight="false" outlineLevel="0" collapsed="false">
      <c r="A5626" s="7" t="n">
        <v>81028317</v>
      </c>
      <c r="B5626" s="7" t="s">
        <v>78</v>
      </c>
      <c r="C5626" s="7" t="s">
        <v>11216</v>
      </c>
      <c r="E5626" s="7" t="s">
        <v>26</v>
      </c>
      <c r="F5626" s="7" t="s">
        <v>11215</v>
      </c>
      <c r="G5626" s="7" t="n">
        <v>2019</v>
      </c>
      <c r="H5626" s="7" t="s">
        <v>48</v>
      </c>
      <c r="I5626" s="7" t="s">
        <v>11132</v>
      </c>
      <c r="J5626" s="7" t="s">
        <v>164</v>
      </c>
      <c r="K5626" s="7" t="n">
        <f aca="false">IFERROR(VALUE(RIGHT(TRIM(F5626),4)),"")</f>
        <v>2019</v>
      </c>
      <c r="L5626" s="7" t="str">
        <f aca="false">IF(TRIM(E5626)="","Unknown",IFERROR(LEFT(TRIM(E5626),FIND(",",TRIM(E5626))-1),TRIM(E5626)))</f>
        <v>United States</v>
      </c>
      <c r="M5626" s="7" t="str">
        <f aca="false">IFERROR(LEFT(J5626,FIND(",",J5626)-1),J5626)</f>
        <v>Docuseries</v>
      </c>
      <c r="N5626" s="7" t="str">
        <f aca="false">IF(B5626="Movie",IFERROR(VALUE(LEFT(I5626,FIND(" ",I5626)-1)),""),"")</f>
        <v/>
      </c>
      <c r="O5626" s="7" t="n">
        <f aca="false">IF(B5626="TV Show",IFERROR(VALUE(LEFT(I5626,FIND(" ",I5626)-1)),""),"")</f>
        <v>2</v>
      </c>
      <c r="P5626" s="7" t="n">
        <f aca="false">IF(K5626="","",K5626-G5626)</f>
        <v>0</v>
      </c>
    </row>
    <row r="5627" customFormat="false" ht="15" hidden="false" customHeight="false" outlineLevel="0" collapsed="false">
      <c r="A5627" s="7" t="n">
        <v>80077977</v>
      </c>
      <c r="B5627" s="7" t="s">
        <v>78</v>
      </c>
      <c r="C5627" s="7" t="s">
        <v>11217</v>
      </c>
      <c r="E5627" s="7" t="s">
        <v>26</v>
      </c>
      <c r="F5627" s="7" t="s">
        <v>11215</v>
      </c>
      <c r="G5627" s="7" t="n">
        <v>2019</v>
      </c>
      <c r="H5627" s="7" t="s">
        <v>48</v>
      </c>
      <c r="I5627" s="7" t="s">
        <v>11152</v>
      </c>
      <c r="J5627" s="7" t="s">
        <v>289</v>
      </c>
      <c r="K5627" s="7" t="n">
        <f aca="false">IFERROR(VALUE(RIGHT(TRIM(F5627),4)),"")</f>
        <v>2019</v>
      </c>
      <c r="L5627" s="7" t="str">
        <f aca="false">IF(TRIM(E5627)="","Unknown",IFERROR(LEFT(TRIM(E5627),FIND(",",TRIM(E5627))-1),TRIM(E5627)))</f>
        <v>United States</v>
      </c>
      <c r="M5627" s="7" t="str">
        <f aca="false">IFERROR(LEFT(J5627,FIND(",",J5627)-1),J5627)</f>
        <v>TV Comedies</v>
      </c>
      <c r="N5627" s="7" t="str">
        <f aca="false">IF(B5627="Movie",IFERROR(VALUE(LEFT(I5627,FIND(" ",I5627)-1)),""),"")</f>
        <v/>
      </c>
      <c r="O5627" s="7" t="n">
        <f aca="false">IF(B5627="TV Show",IFERROR(VALUE(LEFT(I5627,FIND(" ",I5627)-1)),""),"")</f>
        <v>7</v>
      </c>
      <c r="P5627" s="7" t="n">
        <f aca="false">IF(K5627="","",K5627-G5627)</f>
        <v>0</v>
      </c>
    </row>
    <row r="5628" customFormat="false" ht="15" hidden="false" customHeight="false" outlineLevel="0" collapsed="false">
      <c r="A5628" s="7" t="n">
        <v>80166239</v>
      </c>
      <c r="B5628" s="7" t="s">
        <v>78</v>
      </c>
      <c r="C5628" s="7" t="s">
        <v>11218</v>
      </c>
      <c r="E5628" s="7" t="s">
        <v>11219</v>
      </c>
      <c r="F5628" s="7" t="s">
        <v>11220</v>
      </c>
      <c r="G5628" s="7" t="n">
        <v>2016</v>
      </c>
      <c r="H5628" s="7" t="s">
        <v>81</v>
      </c>
      <c r="I5628" s="7" t="s">
        <v>11148</v>
      </c>
      <c r="J5628" s="7" t="s">
        <v>44</v>
      </c>
      <c r="K5628" s="7" t="n">
        <f aca="false">IFERROR(VALUE(RIGHT(TRIM(F5628),4)),"")</f>
        <v>2018</v>
      </c>
      <c r="L5628" s="7" t="str">
        <f aca="false">IF(TRIM(E5628)="","Unknown",IFERROR(LEFT(TRIM(E5628),FIND(",",TRIM(E5628))-1),TRIM(E5628)))</f>
        <v>United States</v>
      </c>
      <c r="M5628" s="7" t="str">
        <f aca="false">IFERROR(LEFT(J5628,FIND(",",J5628)-1),J5628)</f>
        <v>Kids' TV</v>
      </c>
      <c r="N5628" s="7" t="str">
        <f aca="false">IF(B5628="Movie",IFERROR(VALUE(LEFT(I5628,FIND(" ",I5628)-1)),""),"")</f>
        <v/>
      </c>
      <c r="O5628" s="7" t="n">
        <f aca="false">IF(B5628="TV Show",IFERROR(VALUE(LEFT(I5628,FIND(" ",I5628)-1)),""),"")</f>
        <v>3</v>
      </c>
      <c r="P5628" s="7" t="n">
        <f aca="false">IF(K5628="","",K5628-G5628)</f>
        <v>2</v>
      </c>
    </row>
    <row r="5629" customFormat="false" ht="15" hidden="false" customHeight="false" outlineLevel="0" collapsed="false">
      <c r="A5629" s="7" t="n">
        <v>80118289</v>
      </c>
      <c r="B5629" s="7" t="s">
        <v>78</v>
      </c>
      <c r="C5629" s="7" t="s">
        <v>11221</v>
      </c>
      <c r="E5629" s="7" t="s">
        <v>35</v>
      </c>
      <c r="F5629" s="7" t="s">
        <v>11222</v>
      </c>
      <c r="G5629" s="7" t="n">
        <v>2017</v>
      </c>
      <c r="H5629" s="7" t="s">
        <v>48</v>
      </c>
      <c r="I5629" s="7" t="s">
        <v>11152</v>
      </c>
      <c r="J5629" s="7" t="s">
        <v>502</v>
      </c>
      <c r="K5629" s="7" t="n">
        <f aca="false">IFERROR(VALUE(RIGHT(TRIM(F5629),4)),"")</f>
        <v>2017</v>
      </c>
      <c r="L5629" s="7" t="str">
        <f aca="false">IF(TRIM(E5629)="","Unknown",IFERROR(LEFT(TRIM(E5629),FIND(",",TRIM(E5629))-1),TRIM(E5629)))</f>
        <v>Australia</v>
      </c>
      <c r="M5629" s="7" t="str">
        <f aca="false">IFERROR(LEFT(J5629,FIND(",",J5629)-1),J5629)</f>
        <v>TV Comedies</v>
      </c>
      <c r="N5629" s="7" t="str">
        <f aca="false">IF(B5629="Movie",IFERROR(VALUE(LEFT(I5629,FIND(" ",I5629)-1)),""),"")</f>
        <v/>
      </c>
      <c r="O5629" s="7" t="n">
        <f aca="false">IF(B5629="TV Show",IFERROR(VALUE(LEFT(I5629,FIND(" ",I5629)-1)),""),"")</f>
        <v>7</v>
      </c>
      <c r="P5629" s="7" t="n">
        <f aca="false">IF(K5629="","",K5629-G5629)</f>
        <v>0</v>
      </c>
    </row>
    <row r="5630" customFormat="false" ht="15" hidden="false" customHeight="false" outlineLevel="0" collapsed="false">
      <c r="A5630" s="7" t="n">
        <v>81072571</v>
      </c>
      <c r="B5630" s="7" t="s">
        <v>78</v>
      </c>
      <c r="C5630" s="7" t="s">
        <v>11223</v>
      </c>
      <c r="E5630" s="7" t="s">
        <v>29</v>
      </c>
      <c r="F5630" s="7" t="s">
        <v>11224</v>
      </c>
      <c r="G5630" s="7" t="n">
        <v>2018</v>
      </c>
      <c r="H5630" s="7" t="s">
        <v>81</v>
      </c>
      <c r="I5630" s="7" t="s">
        <v>11132</v>
      </c>
      <c r="J5630" s="7" t="s">
        <v>1686</v>
      </c>
      <c r="K5630" s="7" t="n">
        <f aca="false">IFERROR(VALUE(RIGHT(TRIM(F5630),4)),"")</f>
        <v>2019</v>
      </c>
      <c r="L5630" s="7" t="str">
        <f aca="false">IF(TRIM(E5630)="","Unknown",IFERROR(LEFT(TRIM(E5630),FIND(",",TRIM(E5630))-1),TRIM(E5630)))</f>
        <v>Canada</v>
      </c>
      <c r="M5630" s="7" t="str">
        <f aca="false">IFERROR(LEFT(J5630,FIND(",",J5630)-1),J5630)</f>
        <v>Kids' TV</v>
      </c>
      <c r="N5630" s="7" t="str">
        <f aca="false">IF(B5630="Movie",IFERROR(VALUE(LEFT(I5630,FIND(" ",I5630)-1)),""),"")</f>
        <v/>
      </c>
      <c r="O5630" s="7" t="n">
        <f aca="false">IF(B5630="TV Show",IFERROR(VALUE(LEFT(I5630,FIND(" ",I5630)-1)),""),"")</f>
        <v>2</v>
      </c>
      <c r="P5630" s="7" t="n">
        <f aca="false">IF(K5630="","",K5630-G5630)</f>
        <v>1</v>
      </c>
    </row>
    <row r="5631" customFormat="false" ht="15" hidden="false" customHeight="false" outlineLevel="0" collapsed="false">
      <c r="A5631" s="7" t="n">
        <v>70184207</v>
      </c>
      <c r="B5631" s="7" t="s">
        <v>78</v>
      </c>
      <c r="C5631" s="7" t="s">
        <v>11225</v>
      </c>
      <c r="E5631" s="7" t="s">
        <v>26</v>
      </c>
      <c r="F5631" s="7" t="s">
        <v>11226</v>
      </c>
      <c r="G5631" s="7" t="n">
        <v>2018</v>
      </c>
      <c r="H5631" s="7" t="s">
        <v>48</v>
      </c>
      <c r="I5631" s="7" t="s">
        <v>11227</v>
      </c>
      <c r="J5631" s="7" t="s">
        <v>502</v>
      </c>
      <c r="K5631" s="7" t="n">
        <f aca="false">IFERROR(VALUE(RIGHT(TRIM(F5631),4)),"")</f>
        <v>2019</v>
      </c>
      <c r="L5631" s="7" t="str">
        <f aca="false">IF(TRIM(E5631)="","Unknown",IFERROR(LEFT(TRIM(E5631),FIND(",",TRIM(E5631))-1),TRIM(E5631)))</f>
        <v>United States</v>
      </c>
      <c r="M5631" s="7" t="str">
        <f aca="false">IFERROR(LEFT(J5631,FIND(",",J5631)-1),J5631)</f>
        <v>TV Comedies</v>
      </c>
      <c r="N5631" s="7" t="str">
        <f aca="false">IF(B5631="Movie",IFERROR(VALUE(LEFT(I5631,FIND(" ",I5631)-1)),""),"")</f>
        <v/>
      </c>
      <c r="O5631" s="7" t="n">
        <f aca="false">IF(B5631="TV Show",IFERROR(VALUE(LEFT(I5631,FIND(" ",I5631)-1)),""),"")</f>
        <v>9</v>
      </c>
      <c r="P5631" s="7" t="n">
        <f aca="false">IF(K5631="","",K5631-G5631)</f>
        <v>1</v>
      </c>
    </row>
    <row r="5632" customFormat="false" ht="15" hidden="false" customHeight="false" outlineLevel="0" collapsed="false">
      <c r="A5632" s="7" t="n">
        <v>70302573</v>
      </c>
      <c r="B5632" s="7" t="s">
        <v>78</v>
      </c>
      <c r="C5632" s="7" t="s">
        <v>11228</v>
      </c>
      <c r="E5632" s="7" t="s">
        <v>30</v>
      </c>
      <c r="F5632" s="7" t="s">
        <v>11226</v>
      </c>
      <c r="G5632" s="7" t="n">
        <v>2014</v>
      </c>
      <c r="H5632" s="7" t="s">
        <v>49</v>
      </c>
      <c r="I5632" s="7" t="s">
        <v>11132</v>
      </c>
      <c r="J5632" s="7" t="s">
        <v>542</v>
      </c>
      <c r="K5632" s="7" t="n">
        <f aca="false">IFERROR(VALUE(RIGHT(TRIM(F5632),4)),"")</f>
        <v>2019</v>
      </c>
      <c r="L5632" s="7" t="str">
        <f aca="false">IF(TRIM(E5632)="","Unknown",IFERROR(LEFT(TRIM(E5632),FIND(",",TRIM(E5632))-1),TRIM(E5632)))</f>
        <v>Japan</v>
      </c>
      <c r="M5632" s="7" t="str">
        <f aca="false">IFERROR(LEFT(J5632,FIND(",",J5632)-1),J5632)</f>
        <v>Anime Series</v>
      </c>
      <c r="N5632" s="7" t="str">
        <f aca="false">IF(B5632="Movie",IFERROR(VALUE(LEFT(I5632,FIND(" ",I5632)-1)),""),"")</f>
        <v/>
      </c>
      <c r="O5632" s="7" t="n">
        <f aca="false">IF(B5632="TV Show",IFERROR(VALUE(LEFT(I5632,FIND(" ",I5632)-1)),""),"")</f>
        <v>2</v>
      </c>
      <c r="P5632" s="7" t="n">
        <f aca="false">IF(K5632="","",K5632-G5632)</f>
        <v>5</v>
      </c>
    </row>
    <row r="5633" customFormat="false" ht="15" hidden="false" customHeight="false" outlineLevel="0" collapsed="false">
      <c r="A5633" s="7" t="n">
        <v>70279852</v>
      </c>
      <c r="B5633" s="7" t="s">
        <v>78</v>
      </c>
      <c r="C5633" s="7" t="s">
        <v>11229</v>
      </c>
      <c r="E5633" s="7" t="s">
        <v>26</v>
      </c>
      <c r="F5633" s="7" t="s">
        <v>11230</v>
      </c>
      <c r="G5633" s="7" t="n">
        <v>2019</v>
      </c>
      <c r="H5633" s="7" t="s">
        <v>50</v>
      </c>
      <c r="I5633" s="7" t="s">
        <v>11198</v>
      </c>
      <c r="J5633" s="7" t="s">
        <v>9649</v>
      </c>
      <c r="K5633" s="7" t="n">
        <f aca="false">IFERROR(VALUE(RIGHT(TRIM(F5633),4)),"")</f>
        <v>2019</v>
      </c>
      <c r="L5633" s="7" t="str">
        <f aca="false">IF(TRIM(E5633)="","Unknown",IFERROR(LEFT(TRIM(E5633),FIND(",",TRIM(E5633))-1),TRIM(E5633)))</f>
        <v>United States</v>
      </c>
      <c r="M5633" s="7" t="str">
        <f aca="false">IFERROR(LEFT(J5633,FIND(",",J5633)-1),J5633)</f>
        <v>TV Action &amp; Adventure</v>
      </c>
      <c r="N5633" s="7" t="str">
        <f aca="false">IF(B5633="Movie",IFERROR(VALUE(LEFT(I5633,FIND(" ",I5633)-1)),""),"")</f>
        <v/>
      </c>
      <c r="O5633" s="7" t="n">
        <f aca="false">IF(B5633="TV Show",IFERROR(VALUE(LEFT(I5633,FIND(" ",I5633)-1)),""),"")</f>
        <v>6</v>
      </c>
      <c r="P5633" s="7" t="n">
        <f aca="false">IF(K5633="","",K5633-G5633)</f>
        <v>0</v>
      </c>
    </row>
    <row r="5634" customFormat="false" ht="15" hidden="false" customHeight="false" outlineLevel="0" collapsed="false">
      <c r="A5634" s="7" t="n">
        <v>80174902</v>
      </c>
      <c r="B5634" s="7" t="s">
        <v>78</v>
      </c>
      <c r="C5634" s="7" t="s">
        <v>11231</v>
      </c>
      <c r="E5634" s="7" t="s">
        <v>26</v>
      </c>
      <c r="F5634" s="7" t="s">
        <v>11230</v>
      </c>
      <c r="G5634" s="7" t="n">
        <v>2018</v>
      </c>
      <c r="H5634" s="7" t="s">
        <v>226</v>
      </c>
      <c r="I5634" s="7" t="s">
        <v>11148</v>
      </c>
      <c r="J5634" s="7" t="s">
        <v>100</v>
      </c>
      <c r="K5634" s="7" t="n">
        <f aca="false">IFERROR(VALUE(RIGHT(TRIM(F5634),4)),"")</f>
        <v>2019</v>
      </c>
      <c r="L5634" s="7" t="str">
        <f aca="false">IF(TRIM(E5634)="","Unknown",IFERROR(LEFT(TRIM(E5634),FIND(",",TRIM(E5634))-1),TRIM(E5634)))</f>
        <v>United States</v>
      </c>
      <c r="M5634" s="7" t="str">
        <f aca="false">IFERROR(LEFT(J5634,FIND(",",J5634)-1),J5634)</f>
        <v>Docuseries</v>
      </c>
      <c r="N5634" s="7" t="str">
        <f aca="false">IF(B5634="Movie",IFERROR(VALUE(LEFT(I5634,FIND(" ",I5634)-1)),""),"")</f>
        <v/>
      </c>
      <c r="O5634" s="7" t="n">
        <f aca="false">IF(B5634="TV Show",IFERROR(VALUE(LEFT(I5634,FIND(" ",I5634)-1)),""),"")</f>
        <v>3</v>
      </c>
      <c r="P5634" s="7" t="n">
        <f aca="false">IF(K5634="","",K5634-G5634)</f>
        <v>1</v>
      </c>
    </row>
    <row r="5635" customFormat="false" ht="15" hidden="false" customHeight="false" outlineLevel="0" collapsed="false">
      <c r="A5635" s="7" t="n">
        <v>70205012</v>
      </c>
      <c r="B5635" s="7" t="s">
        <v>78</v>
      </c>
      <c r="C5635" s="7" t="s">
        <v>11232</v>
      </c>
      <c r="D5635" s="7" t="s">
        <v>11233</v>
      </c>
      <c r="E5635" s="7" t="s">
        <v>30</v>
      </c>
      <c r="F5635" s="7" t="s">
        <v>11230</v>
      </c>
      <c r="G5635" s="7" t="n">
        <v>2008</v>
      </c>
      <c r="H5635" s="7" t="s">
        <v>50</v>
      </c>
      <c r="I5635" s="7" t="s">
        <v>11227</v>
      </c>
      <c r="J5635" s="7" t="s">
        <v>542</v>
      </c>
      <c r="K5635" s="7" t="n">
        <f aca="false">IFERROR(VALUE(RIGHT(TRIM(F5635),4)),"")</f>
        <v>2019</v>
      </c>
      <c r="L5635" s="7" t="str">
        <f aca="false">IF(TRIM(E5635)="","Unknown",IFERROR(LEFT(TRIM(E5635),FIND(",",TRIM(E5635))-1),TRIM(E5635)))</f>
        <v>Japan</v>
      </c>
      <c r="M5635" s="7" t="str">
        <f aca="false">IFERROR(LEFT(J5635,FIND(",",J5635)-1),J5635)</f>
        <v>Anime Series</v>
      </c>
      <c r="N5635" s="7" t="str">
        <f aca="false">IF(B5635="Movie",IFERROR(VALUE(LEFT(I5635,FIND(" ",I5635)-1)),""),"")</f>
        <v/>
      </c>
      <c r="O5635" s="7" t="n">
        <f aca="false">IF(B5635="TV Show",IFERROR(VALUE(LEFT(I5635,FIND(" ",I5635)-1)),""),"")</f>
        <v>9</v>
      </c>
      <c r="P5635" s="7" t="n">
        <f aca="false">IF(K5635="","",K5635-G5635)</f>
        <v>11</v>
      </c>
    </row>
    <row r="5636" customFormat="false" ht="15" hidden="false" customHeight="false" outlineLevel="0" collapsed="false">
      <c r="A5636" s="7" t="n">
        <v>80036427</v>
      </c>
      <c r="B5636" s="7" t="s">
        <v>78</v>
      </c>
      <c r="C5636" s="7" t="s">
        <v>11234</v>
      </c>
      <c r="E5636" s="7" t="s">
        <v>28</v>
      </c>
      <c r="F5636" s="7" t="s">
        <v>11230</v>
      </c>
      <c r="G5636" s="7" t="n">
        <v>2015</v>
      </c>
      <c r="H5636" s="7" t="s">
        <v>50</v>
      </c>
      <c r="I5636" s="7" t="s">
        <v>11148</v>
      </c>
      <c r="J5636" s="7" t="s">
        <v>1969</v>
      </c>
      <c r="K5636" s="7" t="n">
        <f aca="false">IFERROR(VALUE(RIGHT(TRIM(F5636),4)),"")</f>
        <v>2019</v>
      </c>
      <c r="L5636" s="7" t="str">
        <f aca="false">IF(TRIM(E5636)="","Unknown",IFERROR(LEFT(TRIM(E5636),FIND(",",TRIM(E5636))-1),TRIM(E5636)))</f>
        <v>United Kingdom</v>
      </c>
      <c r="M5636" s="7" t="str">
        <f aca="false">IFERROR(LEFT(J5636,FIND(",",J5636)-1),J5636)</f>
        <v>British TV Shows</v>
      </c>
      <c r="N5636" s="7" t="str">
        <f aca="false">IF(B5636="Movie",IFERROR(VALUE(LEFT(I5636,FIND(" ",I5636)-1)),""),"")</f>
        <v/>
      </c>
      <c r="O5636" s="7" t="n">
        <f aca="false">IF(B5636="TV Show",IFERROR(VALUE(LEFT(I5636,FIND(" ",I5636)-1)),""),"")</f>
        <v>3</v>
      </c>
      <c r="P5636" s="7" t="n">
        <f aca="false">IF(K5636="","",K5636-G5636)</f>
        <v>4</v>
      </c>
    </row>
    <row r="5637" customFormat="false" ht="15" hidden="false" customHeight="false" outlineLevel="0" collapsed="false">
      <c r="A5637" s="7" t="n">
        <v>80053653</v>
      </c>
      <c r="B5637" s="7" t="s">
        <v>78</v>
      </c>
      <c r="C5637" s="7" t="s">
        <v>11235</v>
      </c>
      <c r="E5637" s="7" t="s">
        <v>26</v>
      </c>
      <c r="F5637" s="7" t="s">
        <v>11230</v>
      </c>
      <c r="G5637" s="7" t="n">
        <v>2019</v>
      </c>
      <c r="H5637" s="7" t="s">
        <v>49</v>
      </c>
      <c r="I5637" s="7" t="s">
        <v>11148</v>
      </c>
      <c r="J5637" s="7" t="s">
        <v>11236</v>
      </c>
      <c r="K5637" s="7" t="n">
        <f aca="false">IFERROR(VALUE(RIGHT(TRIM(F5637),4)),"")</f>
        <v>2019</v>
      </c>
      <c r="L5637" s="7" t="str">
        <f aca="false">IF(TRIM(E5637)="","Unknown",IFERROR(LEFT(TRIM(E5637),FIND(",",TRIM(E5637))-1),TRIM(E5637)))</f>
        <v>United States</v>
      </c>
      <c r="M5637" s="7" t="str">
        <f aca="false">IFERROR(LEFT(J5637,FIND(",",J5637)-1),J5637)</f>
        <v>Crime TV Shows</v>
      </c>
      <c r="N5637" s="7" t="str">
        <f aca="false">IF(B5637="Movie",IFERROR(VALUE(LEFT(I5637,FIND(" ",I5637)-1)),""),"")</f>
        <v/>
      </c>
      <c r="O5637" s="7" t="n">
        <f aca="false">IF(B5637="TV Show",IFERROR(VALUE(LEFT(I5637,FIND(" ",I5637)-1)),""),"")</f>
        <v>3</v>
      </c>
      <c r="P5637" s="7" t="n">
        <f aca="false">IF(K5637="","",K5637-G5637)</f>
        <v>0</v>
      </c>
    </row>
    <row r="5638" customFormat="false" ht="15" hidden="false" customHeight="false" outlineLevel="0" collapsed="false">
      <c r="A5638" s="7" t="n">
        <v>70177057</v>
      </c>
      <c r="B5638" s="7" t="s">
        <v>78</v>
      </c>
      <c r="C5638" s="7" t="s">
        <v>11237</v>
      </c>
      <c r="E5638" s="7" t="s">
        <v>26</v>
      </c>
      <c r="F5638" s="7" t="s">
        <v>11230</v>
      </c>
      <c r="G5638" s="7" t="n">
        <v>2018</v>
      </c>
      <c r="H5638" s="7" t="s">
        <v>48</v>
      </c>
      <c r="I5638" s="7" t="s">
        <v>11227</v>
      </c>
      <c r="J5638" s="7" t="s">
        <v>11238</v>
      </c>
      <c r="K5638" s="7" t="n">
        <f aca="false">IFERROR(VALUE(RIGHT(TRIM(F5638),4)),"")</f>
        <v>2019</v>
      </c>
      <c r="L5638" s="7" t="str">
        <f aca="false">IF(TRIM(E5638)="","Unknown",IFERROR(LEFT(TRIM(E5638),FIND(",",TRIM(E5638))-1),TRIM(E5638)))</f>
        <v>United States</v>
      </c>
      <c r="M5638" s="7" t="str">
        <f aca="false">IFERROR(LEFT(J5638,FIND(",",J5638)-1),J5638)</f>
        <v>Classic &amp; Cult TV</v>
      </c>
      <c r="N5638" s="7" t="str">
        <f aca="false">IF(B5638="Movie",IFERROR(VALUE(LEFT(I5638,FIND(" ",I5638)-1)),""),"")</f>
        <v/>
      </c>
      <c r="O5638" s="7" t="n">
        <f aca="false">IF(B5638="TV Show",IFERROR(VALUE(LEFT(I5638,FIND(" ",I5638)-1)),""),"")</f>
        <v>9</v>
      </c>
      <c r="P5638" s="7" t="n">
        <f aca="false">IF(K5638="","",K5638-G5638)</f>
        <v>1</v>
      </c>
    </row>
    <row r="5639" customFormat="false" ht="15" hidden="false" customHeight="false" outlineLevel="0" collapsed="false">
      <c r="A5639" s="7" t="n">
        <v>80025172</v>
      </c>
      <c r="B5639" s="7" t="s">
        <v>78</v>
      </c>
      <c r="C5639" s="7" t="s">
        <v>11239</v>
      </c>
      <c r="E5639" s="7" t="s">
        <v>11240</v>
      </c>
      <c r="F5639" s="7" t="s">
        <v>11241</v>
      </c>
      <c r="G5639" s="7" t="n">
        <v>2017</v>
      </c>
      <c r="H5639" s="7" t="s">
        <v>48</v>
      </c>
      <c r="I5639" s="7" t="s">
        <v>11148</v>
      </c>
      <c r="J5639" s="7" t="s">
        <v>2958</v>
      </c>
      <c r="K5639" s="7" t="n">
        <f aca="false">IFERROR(VALUE(RIGHT(TRIM(F5639),4)),"")</f>
        <v>2017</v>
      </c>
      <c r="L5639" s="7" t="str">
        <f aca="false">IF(TRIM(E5639)="","Unknown",IFERROR(LEFT(TRIM(E5639),FIND(",",TRIM(E5639))-1),TRIM(E5639)))</f>
        <v>United States</v>
      </c>
      <c r="M5639" s="7" t="str">
        <f aca="false">IFERROR(LEFT(J5639,FIND(",",J5639)-1),J5639)</f>
        <v>Crime TV Shows</v>
      </c>
      <c r="N5639" s="7" t="str">
        <f aca="false">IF(B5639="Movie",IFERROR(VALUE(LEFT(I5639,FIND(" ",I5639)-1)),""),"")</f>
        <v/>
      </c>
      <c r="O5639" s="7" t="n">
        <f aca="false">IF(B5639="TV Show",IFERROR(VALUE(LEFT(I5639,FIND(" ",I5639)-1)),""),"")</f>
        <v>3</v>
      </c>
      <c r="P5639" s="7" t="n">
        <f aca="false">IF(K5639="","",K5639-G5639)</f>
        <v>0</v>
      </c>
    </row>
    <row r="5640" customFormat="false" ht="15" hidden="false" customHeight="false" outlineLevel="0" collapsed="false">
      <c r="A5640" s="7" t="n">
        <v>80059047</v>
      </c>
      <c r="B5640" s="7" t="s">
        <v>78</v>
      </c>
      <c r="C5640" s="7" t="s">
        <v>11242</v>
      </c>
      <c r="E5640" s="7" t="s">
        <v>32</v>
      </c>
      <c r="F5640" s="7" t="s">
        <v>11241</v>
      </c>
      <c r="G5640" s="7" t="n">
        <v>2015</v>
      </c>
      <c r="H5640" s="7" t="s">
        <v>119</v>
      </c>
      <c r="I5640" s="7" t="s">
        <v>11155</v>
      </c>
      <c r="J5640" s="7" t="s">
        <v>1686</v>
      </c>
      <c r="K5640" s="7" t="n">
        <f aca="false">IFERROR(VALUE(RIGHT(TRIM(F5640),4)),"")</f>
        <v>2017</v>
      </c>
      <c r="L5640" s="7" t="str">
        <f aca="false">IF(TRIM(E5640)="","Unknown",IFERROR(LEFT(TRIM(E5640),FIND(",",TRIM(E5640))-1),TRIM(E5640)))</f>
        <v>South Korea</v>
      </c>
      <c r="M5640" s="7" t="str">
        <f aca="false">IFERROR(LEFT(J5640,FIND(",",J5640)-1),J5640)</f>
        <v>Kids' TV</v>
      </c>
      <c r="N5640" s="7" t="str">
        <f aca="false">IF(B5640="Movie",IFERROR(VALUE(LEFT(I5640,FIND(" ",I5640)-1)),""),"")</f>
        <v/>
      </c>
      <c r="O5640" s="7" t="n">
        <f aca="false">IF(B5640="TV Show",IFERROR(VALUE(LEFT(I5640,FIND(" ",I5640)-1)),""),"")</f>
        <v>4</v>
      </c>
      <c r="P5640" s="7" t="n">
        <f aca="false">IF(K5640="","",K5640-G5640)</f>
        <v>2</v>
      </c>
    </row>
    <row r="5641" customFormat="false" ht="15" hidden="false" customHeight="false" outlineLevel="0" collapsed="false">
      <c r="A5641" s="7" t="n">
        <v>80108561</v>
      </c>
      <c r="B5641" s="7" t="s">
        <v>78</v>
      </c>
      <c r="C5641" s="7" t="s">
        <v>11243</v>
      </c>
      <c r="D5641" s="7" t="s">
        <v>11244</v>
      </c>
      <c r="E5641" s="7" t="s">
        <v>28</v>
      </c>
      <c r="F5641" s="7" t="s">
        <v>11241</v>
      </c>
      <c r="G5641" s="7" t="n">
        <v>2015</v>
      </c>
      <c r="H5641" s="7" t="s">
        <v>48</v>
      </c>
      <c r="I5641" s="7" t="s">
        <v>11148</v>
      </c>
      <c r="J5641" s="7" t="s">
        <v>11245</v>
      </c>
      <c r="K5641" s="7" t="n">
        <f aca="false">IFERROR(VALUE(RIGHT(TRIM(F5641),4)),"")</f>
        <v>2017</v>
      </c>
      <c r="L5641" s="7" t="str">
        <f aca="false">IF(TRIM(E5641)="","Unknown",IFERROR(LEFT(TRIM(E5641),FIND(",",TRIM(E5641))-1),TRIM(E5641)))</f>
        <v>United Kingdom</v>
      </c>
      <c r="M5641" s="7" t="str">
        <f aca="false">IFERROR(LEFT(J5641,FIND(",",J5641)-1),J5641)</f>
        <v>British TV Shows</v>
      </c>
      <c r="N5641" s="7" t="str">
        <f aca="false">IF(B5641="Movie",IFERROR(VALUE(LEFT(I5641,FIND(" ",I5641)-1)),""),"")</f>
        <v/>
      </c>
      <c r="O5641" s="7" t="n">
        <f aca="false">IF(B5641="TV Show",IFERROR(VALUE(LEFT(I5641,FIND(" ",I5641)-1)),""),"")</f>
        <v>3</v>
      </c>
      <c r="P5641" s="7" t="n">
        <f aca="false">IF(K5641="","",K5641-G5641)</f>
        <v>2</v>
      </c>
    </row>
    <row r="5642" customFormat="false" ht="15" hidden="false" customHeight="false" outlineLevel="0" collapsed="false">
      <c r="A5642" s="7" t="n">
        <v>70198116</v>
      </c>
      <c r="B5642" s="7" t="s">
        <v>78</v>
      </c>
      <c r="C5642" s="7" t="s">
        <v>11246</v>
      </c>
      <c r="E5642" s="7" t="s">
        <v>26</v>
      </c>
      <c r="F5642" s="7" t="s">
        <v>11247</v>
      </c>
      <c r="G5642" s="7" t="n">
        <v>2011</v>
      </c>
      <c r="H5642" s="7" t="s">
        <v>49</v>
      </c>
      <c r="I5642" s="7" t="s">
        <v>11227</v>
      </c>
      <c r="J5642" s="7" t="s">
        <v>5429</v>
      </c>
      <c r="K5642" s="7" t="n">
        <f aca="false">IFERROR(VALUE(RIGHT(TRIM(F5642),4)),"")</f>
        <v>2016</v>
      </c>
      <c r="L5642" s="7" t="str">
        <f aca="false">IF(TRIM(E5642)="","Unknown",IFERROR(LEFT(TRIM(E5642),FIND(",",TRIM(E5642))-1),TRIM(E5642)))</f>
        <v>United States</v>
      </c>
      <c r="M5642" s="7" t="str">
        <f aca="false">IFERROR(LEFT(J5642,FIND(",",J5642)-1),J5642)</f>
        <v>Crime TV Shows</v>
      </c>
      <c r="N5642" s="7" t="str">
        <f aca="false">IF(B5642="Movie",IFERROR(VALUE(LEFT(I5642,FIND(" ",I5642)-1)),""),"")</f>
        <v/>
      </c>
      <c r="O5642" s="7" t="n">
        <f aca="false">IF(B5642="TV Show",IFERROR(VALUE(LEFT(I5642,FIND(" ",I5642)-1)),""),"")</f>
        <v>9</v>
      </c>
      <c r="P5642" s="7" t="n">
        <f aca="false">IF(K5642="","",K5642-G5642)</f>
        <v>5</v>
      </c>
    </row>
    <row r="5643" customFormat="false" ht="15" hidden="false" customHeight="false" outlineLevel="0" collapsed="false">
      <c r="A5643" s="7" t="n">
        <v>70157231</v>
      </c>
      <c r="B5643" s="7" t="s">
        <v>78</v>
      </c>
      <c r="C5643" s="7" t="s">
        <v>11248</v>
      </c>
      <c r="E5643" s="7" t="s">
        <v>293</v>
      </c>
      <c r="F5643" s="7" t="s">
        <v>11249</v>
      </c>
      <c r="G5643" s="7" t="n">
        <v>2007</v>
      </c>
      <c r="H5643" s="7" t="s">
        <v>49</v>
      </c>
      <c r="I5643" s="7" t="s">
        <v>11155</v>
      </c>
      <c r="J5643" s="7" t="s">
        <v>10792</v>
      </c>
      <c r="K5643" s="7" t="n">
        <f aca="false">IFERROR(VALUE(RIGHT(TRIM(F5643),4)),"")</f>
        <v>2013</v>
      </c>
      <c r="L5643" s="7" t="str">
        <f aca="false">IF(TRIM(E5643)="","Unknown",IFERROR(LEFT(TRIM(E5643),FIND(",",TRIM(E5643))-1),TRIM(E5643)))</f>
        <v>United States</v>
      </c>
      <c r="M5643" s="7" t="str">
        <f aca="false">IFERROR(LEFT(J5643,FIND(",",J5643)-1),J5643)</f>
        <v>TV Dramas</v>
      </c>
      <c r="N5643" s="7" t="str">
        <f aca="false">IF(B5643="Movie",IFERROR(VALUE(LEFT(I5643,FIND(" ",I5643)-1)),""),"")</f>
        <v/>
      </c>
      <c r="O5643" s="7" t="n">
        <f aca="false">IF(B5643="TV Show",IFERROR(VALUE(LEFT(I5643,FIND(" ",I5643)-1)),""),"")</f>
        <v>4</v>
      </c>
      <c r="P5643" s="7" t="n">
        <f aca="false">IF(K5643="","",K5643-G5643)</f>
        <v>6</v>
      </c>
    </row>
    <row r="5644" customFormat="false" ht="15" hidden="false" customHeight="false" outlineLevel="0" collapsed="false">
      <c r="A5644" s="7" t="n">
        <v>70293622</v>
      </c>
      <c r="B5644" s="7" t="s">
        <v>78</v>
      </c>
      <c r="C5644" s="7" t="s">
        <v>11250</v>
      </c>
      <c r="E5644" s="7" t="s">
        <v>26</v>
      </c>
      <c r="F5644" s="7" t="s">
        <v>11251</v>
      </c>
      <c r="G5644" s="7" t="n">
        <v>2017</v>
      </c>
      <c r="H5644" s="7" t="s">
        <v>119</v>
      </c>
      <c r="I5644" s="7" t="s">
        <v>11155</v>
      </c>
      <c r="J5644" s="7" t="s">
        <v>44</v>
      </c>
      <c r="K5644" s="7" t="n">
        <f aca="false">IFERROR(VALUE(RIGHT(TRIM(F5644),4)),"")</f>
        <v>2018</v>
      </c>
      <c r="L5644" s="7" t="str">
        <f aca="false">IF(TRIM(E5644)="","Unknown",IFERROR(LEFT(TRIM(E5644),FIND(",",TRIM(E5644))-1),TRIM(E5644)))</f>
        <v>United States</v>
      </c>
      <c r="M5644" s="7" t="str">
        <f aca="false">IFERROR(LEFT(J5644,FIND(",",J5644)-1),J5644)</f>
        <v>Kids' TV</v>
      </c>
      <c r="N5644" s="7" t="str">
        <f aca="false">IF(B5644="Movie",IFERROR(VALUE(LEFT(I5644,FIND(" ",I5644)-1)),""),"")</f>
        <v/>
      </c>
      <c r="O5644" s="7" t="n">
        <f aca="false">IF(B5644="TV Show",IFERROR(VALUE(LEFT(I5644,FIND(" ",I5644)-1)),""),"")</f>
        <v>4</v>
      </c>
      <c r="P5644" s="7" t="n">
        <f aca="false">IF(K5644="","",K5644-G5644)</f>
        <v>1</v>
      </c>
    </row>
    <row r="5645" customFormat="false" ht="15" hidden="false" customHeight="false" outlineLevel="0" collapsed="false">
      <c r="A5645" s="7" t="n">
        <v>70143811</v>
      </c>
      <c r="B5645" s="7" t="s">
        <v>78</v>
      </c>
      <c r="C5645" s="7" t="s">
        <v>11252</v>
      </c>
      <c r="E5645" s="7" t="s">
        <v>26</v>
      </c>
      <c r="F5645" s="7" t="s">
        <v>11253</v>
      </c>
      <c r="G5645" s="7" t="n">
        <v>2012</v>
      </c>
      <c r="H5645" s="7" t="s">
        <v>49</v>
      </c>
      <c r="I5645" s="7" t="s">
        <v>11198</v>
      </c>
      <c r="J5645" s="7" t="s">
        <v>4059</v>
      </c>
      <c r="K5645" s="7" t="n">
        <f aca="false">IFERROR(VALUE(RIGHT(TRIM(F5645),4)),"")</f>
        <v>2013</v>
      </c>
      <c r="L5645" s="7" t="str">
        <f aca="false">IF(TRIM(E5645)="","Unknown",IFERROR(LEFT(TRIM(E5645),FIND(",",TRIM(E5645))-1),TRIM(E5645)))</f>
        <v>United States</v>
      </c>
      <c r="M5645" s="7" t="str">
        <f aca="false">IFERROR(LEFT(J5645,FIND(",",J5645)-1),J5645)</f>
        <v>TV Dramas</v>
      </c>
      <c r="N5645" s="7" t="str">
        <f aca="false">IF(B5645="Movie",IFERROR(VALUE(LEFT(I5645,FIND(" ",I5645)-1)),""),"")</f>
        <v/>
      </c>
      <c r="O5645" s="7" t="n">
        <f aca="false">IF(B5645="TV Show",IFERROR(VALUE(LEFT(I5645,FIND(" ",I5645)-1)),""),"")</f>
        <v>6</v>
      </c>
      <c r="P5645" s="7" t="n">
        <f aca="false">IF(K5645="","",K5645-G5645)</f>
        <v>1</v>
      </c>
    </row>
    <row r="5646" customFormat="false" ht="15" hidden="false" customHeight="false" outlineLevel="0" collapsed="false">
      <c r="A5646" s="7" t="n">
        <v>80109399</v>
      </c>
      <c r="B5646" s="7" t="s">
        <v>78</v>
      </c>
      <c r="C5646" s="7" t="s">
        <v>11254</v>
      </c>
      <c r="E5646" s="7" t="s">
        <v>366</v>
      </c>
      <c r="F5646" s="7" t="s">
        <v>11255</v>
      </c>
      <c r="G5646" s="7" t="n">
        <v>2017</v>
      </c>
      <c r="H5646" s="7" t="s">
        <v>55</v>
      </c>
      <c r="I5646" s="7" t="s">
        <v>11132</v>
      </c>
      <c r="J5646" s="7" t="s">
        <v>44</v>
      </c>
      <c r="K5646" s="7" t="n">
        <f aca="false">IFERROR(VALUE(RIGHT(TRIM(F5646),4)),"")</f>
        <v>2017</v>
      </c>
      <c r="L5646" s="7" t="str">
        <f aca="false">IF(TRIM(E5646)="","Unknown",IFERROR(LEFT(TRIM(E5646),FIND(",",TRIM(E5646))-1),TRIM(E5646)))</f>
        <v>China</v>
      </c>
      <c r="M5646" s="7" t="str">
        <f aca="false">IFERROR(LEFT(J5646,FIND(",",J5646)-1),J5646)</f>
        <v>Kids' TV</v>
      </c>
      <c r="N5646" s="7" t="str">
        <f aca="false">IF(B5646="Movie",IFERROR(VALUE(LEFT(I5646,FIND(" ",I5646)-1)),""),"")</f>
        <v/>
      </c>
      <c r="O5646" s="7" t="n">
        <f aca="false">IF(B5646="TV Show",IFERROR(VALUE(LEFT(I5646,FIND(" ",I5646)-1)),""),"")</f>
        <v>2</v>
      </c>
      <c r="P5646" s="7" t="n">
        <f aca="false">IF(K5646="","",K5646-G5646)</f>
        <v>0</v>
      </c>
    </row>
    <row r="5647" customFormat="false" ht="15" hidden="false" customHeight="false" outlineLevel="0" collapsed="false">
      <c r="A5647" s="7" t="n">
        <v>80063705</v>
      </c>
      <c r="B5647" s="7" t="s">
        <v>78</v>
      </c>
      <c r="C5647" s="7" t="s">
        <v>11256</v>
      </c>
      <c r="E5647" s="7" t="s">
        <v>26</v>
      </c>
      <c r="F5647" s="7" t="s">
        <v>11255</v>
      </c>
      <c r="G5647" s="7" t="n">
        <v>2017</v>
      </c>
      <c r="H5647" s="7" t="s">
        <v>119</v>
      </c>
      <c r="I5647" s="7" t="s">
        <v>11148</v>
      </c>
      <c r="J5647" s="7" t="s">
        <v>44</v>
      </c>
      <c r="K5647" s="7" t="n">
        <f aca="false">IFERROR(VALUE(RIGHT(TRIM(F5647),4)),"")</f>
        <v>2017</v>
      </c>
      <c r="L5647" s="7" t="str">
        <f aca="false">IF(TRIM(E5647)="","Unknown",IFERROR(LEFT(TRIM(E5647),FIND(",",TRIM(E5647))-1),TRIM(E5647)))</f>
        <v>United States</v>
      </c>
      <c r="M5647" s="7" t="str">
        <f aca="false">IFERROR(LEFT(J5647,FIND(",",J5647)-1),J5647)</f>
        <v>Kids' TV</v>
      </c>
      <c r="N5647" s="7" t="str">
        <f aca="false">IF(B5647="Movie",IFERROR(VALUE(LEFT(I5647,FIND(" ",I5647)-1)),""),"")</f>
        <v/>
      </c>
      <c r="O5647" s="7" t="n">
        <f aca="false">IF(B5647="TV Show",IFERROR(VALUE(LEFT(I5647,FIND(" ",I5647)-1)),""),"")</f>
        <v>3</v>
      </c>
      <c r="P5647" s="7" t="n">
        <f aca="false">IF(K5647="","",K5647-G5647)</f>
        <v>0</v>
      </c>
    </row>
    <row r="5648" customFormat="false" ht="15" hidden="false" customHeight="false" outlineLevel="0" collapsed="false">
      <c r="A5648" s="7" t="n">
        <v>70281526</v>
      </c>
      <c r="B5648" s="7" t="s">
        <v>78</v>
      </c>
      <c r="C5648" s="7" t="s">
        <v>11257</v>
      </c>
      <c r="E5648" s="7" t="s">
        <v>26</v>
      </c>
      <c r="F5648" s="7" t="s">
        <v>11258</v>
      </c>
      <c r="G5648" s="7" t="n">
        <v>2017</v>
      </c>
      <c r="H5648" s="7" t="s">
        <v>49</v>
      </c>
      <c r="I5648" s="7" t="s">
        <v>11135</v>
      </c>
      <c r="J5648" s="7" t="s">
        <v>2704</v>
      </c>
      <c r="K5648" s="7" t="n">
        <f aca="false">IFERROR(VALUE(RIGHT(TRIM(F5648),4)),"")</f>
        <v>2017</v>
      </c>
      <c r="L5648" s="7" t="str">
        <f aca="false">IF(TRIM(E5648)="","Unknown",IFERROR(LEFT(TRIM(E5648),FIND(",",TRIM(E5648))-1),TRIM(E5648)))</f>
        <v>United States</v>
      </c>
      <c r="M5648" s="7" t="str">
        <f aca="false">IFERROR(LEFT(J5648,FIND(",",J5648)-1),J5648)</f>
        <v>TV Dramas</v>
      </c>
      <c r="N5648" s="7" t="str">
        <f aca="false">IF(B5648="Movie",IFERROR(VALUE(LEFT(I5648,FIND(" ",I5648)-1)),""),"")</f>
        <v/>
      </c>
      <c r="O5648" s="7" t="n">
        <f aca="false">IF(B5648="TV Show",IFERROR(VALUE(LEFT(I5648,FIND(" ",I5648)-1)),""),"")</f>
        <v>5</v>
      </c>
      <c r="P5648" s="7" t="n">
        <f aca="false">IF(K5648="","",K5648-G5648)</f>
        <v>0</v>
      </c>
    </row>
    <row r="5649" customFormat="false" ht="15" hidden="false" customHeight="false" outlineLevel="0" collapsed="false">
      <c r="A5649" s="7" t="n">
        <v>80214792</v>
      </c>
      <c r="B5649" s="7" t="s">
        <v>78</v>
      </c>
      <c r="C5649" s="7" t="s">
        <v>11259</v>
      </c>
      <c r="E5649" s="7" t="s">
        <v>7787</v>
      </c>
      <c r="F5649" s="7" t="s">
        <v>11260</v>
      </c>
      <c r="G5649" s="7" t="n">
        <v>2019</v>
      </c>
      <c r="H5649" s="7" t="s">
        <v>55</v>
      </c>
      <c r="I5649" s="7" t="s">
        <v>11132</v>
      </c>
      <c r="J5649" s="7" t="s">
        <v>11261</v>
      </c>
      <c r="K5649" s="7" t="n">
        <f aca="false">IFERROR(VALUE(RIGHT(TRIM(F5649),4)),"")</f>
        <v>2019</v>
      </c>
      <c r="L5649" s="7" t="str">
        <f aca="false">IF(TRIM(E5649)="","Unknown",IFERROR(LEFT(TRIM(E5649),FIND(",",TRIM(E5649))-1),TRIM(E5649)))</f>
        <v>United Kingdom</v>
      </c>
      <c r="M5649" s="7" t="str">
        <f aca="false">IFERROR(LEFT(J5649,FIND(",",J5649)-1),J5649)</f>
        <v>British TV Shows</v>
      </c>
      <c r="N5649" s="7" t="str">
        <f aca="false">IF(B5649="Movie",IFERROR(VALUE(LEFT(I5649,FIND(" ",I5649)-1)),""),"")</f>
        <v/>
      </c>
      <c r="O5649" s="7" t="n">
        <f aca="false">IF(B5649="TV Show",IFERROR(VALUE(LEFT(I5649,FIND(" ",I5649)-1)),""),"")</f>
        <v>2</v>
      </c>
      <c r="P5649" s="7" t="n">
        <f aca="false">IF(K5649="","",K5649-G5649)</f>
        <v>0</v>
      </c>
    </row>
    <row r="5650" customFormat="false" ht="15" hidden="false" customHeight="false" outlineLevel="0" collapsed="false">
      <c r="A5650" s="7" t="n">
        <v>80002479</v>
      </c>
      <c r="B5650" s="7" t="s">
        <v>78</v>
      </c>
      <c r="C5650" s="7" t="s">
        <v>11262</v>
      </c>
      <c r="E5650" s="7" t="s">
        <v>28</v>
      </c>
      <c r="F5650" s="7" t="s">
        <v>11260</v>
      </c>
      <c r="G5650" s="7" t="n">
        <v>2019</v>
      </c>
      <c r="H5650" s="7" t="s">
        <v>48</v>
      </c>
      <c r="I5650" s="7" t="s">
        <v>11135</v>
      </c>
      <c r="J5650" s="7" t="s">
        <v>563</v>
      </c>
      <c r="K5650" s="7" t="n">
        <f aca="false">IFERROR(VALUE(RIGHT(TRIM(F5650),4)),"")</f>
        <v>2019</v>
      </c>
      <c r="L5650" s="7" t="str">
        <f aca="false">IF(TRIM(E5650)="","Unknown",IFERROR(LEFT(TRIM(E5650),FIND(",",TRIM(E5650))-1),TRIM(E5650)))</f>
        <v>United Kingdom</v>
      </c>
      <c r="M5650" s="7" t="str">
        <f aca="false">IFERROR(LEFT(J5650,FIND(",",J5650)-1),J5650)</f>
        <v>British TV Shows</v>
      </c>
      <c r="N5650" s="7" t="str">
        <f aca="false">IF(B5650="Movie",IFERROR(VALUE(LEFT(I5650,FIND(" ",I5650)-1)),""),"")</f>
        <v/>
      </c>
      <c r="O5650" s="7" t="n">
        <f aca="false">IF(B5650="TV Show",IFERROR(VALUE(LEFT(I5650,FIND(" ",I5650)-1)),""),"")</f>
        <v>5</v>
      </c>
      <c r="P5650" s="7" t="n">
        <f aca="false">IF(K5650="","",K5650-G5650)</f>
        <v>0</v>
      </c>
    </row>
    <row r="5651" customFormat="false" ht="15" hidden="false" customHeight="false" outlineLevel="0" collapsed="false">
      <c r="A5651" s="7" t="n">
        <v>80146284</v>
      </c>
      <c r="B5651" s="7" t="s">
        <v>78</v>
      </c>
      <c r="C5651" s="7" t="s">
        <v>11263</v>
      </c>
      <c r="E5651" s="7" t="s">
        <v>26</v>
      </c>
      <c r="F5651" s="7" t="s">
        <v>11260</v>
      </c>
      <c r="G5651" s="7" t="n">
        <v>2019</v>
      </c>
      <c r="H5651" s="7" t="s">
        <v>48</v>
      </c>
      <c r="I5651" s="7" t="s">
        <v>11132</v>
      </c>
      <c r="J5651" s="7" t="s">
        <v>100</v>
      </c>
      <c r="K5651" s="7" t="n">
        <f aca="false">IFERROR(VALUE(RIGHT(TRIM(F5651),4)),"")</f>
        <v>2019</v>
      </c>
      <c r="L5651" s="7" t="str">
        <f aca="false">IF(TRIM(E5651)="","Unknown",IFERROR(LEFT(TRIM(E5651),FIND(",",TRIM(E5651))-1),TRIM(E5651)))</f>
        <v>United States</v>
      </c>
      <c r="M5651" s="7" t="str">
        <f aca="false">IFERROR(LEFT(J5651,FIND(",",J5651)-1),J5651)</f>
        <v>Docuseries</v>
      </c>
      <c r="N5651" s="7" t="str">
        <f aca="false">IF(B5651="Movie",IFERROR(VALUE(LEFT(I5651,FIND(" ",I5651)-1)),""),"")</f>
        <v/>
      </c>
      <c r="O5651" s="7" t="n">
        <f aca="false">IF(B5651="TV Show",IFERROR(VALUE(LEFT(I5651,FIND(" ",I5651)-1)),""),"")</f>
        <v>2</v>
      </c>
      <c r="P5651" s="7" t="n">
        <f aca="false">IF(K5651="","",K5651-G5651)</f>
        <v>0</v>
      </c>
    </row>
    <row r="5652" customFormat="false" ht="15" hidden="false" customHeight="false" outlineLevel="0" collapsed="false">
      <c r="A5652" s="7" t="n">
        <v>80124711</v>
      </c>
      <c r="B5652" s="7" t="s">
        <v>78</v>
      </c>
      <c r="C5652" s="7" t="s">
        <v>11264</v>
      </c>
      <c r="F5652" s="7" t="s">
        <v>11260</v>
      </c>
      <c r="G5652" s="7" t="n">
        <v>2019</v>
      </c>
      <c r="H5652" s="7" t="s">
        <v>119</v>
      </c>
      <c r="I5652" s="7" t="s">
        <v>11148</v>
      </c>
      <c r="J5652" s="7" t="s">
        <v>44</v>
      </c>
      <c r="K5652" s="7" t="n">
        <f aca="false">IFERROR(VALUE(RIGHT(TRIM(F5652),4)),"")</f>
        <v>2019</v>
      </c>
      <c r="L5652" s="7" t="str">
        <f aca="false">IF(TRIM(E5652)="","Unknown",IFERROR(LEFT(TRIM(E5652),FIND(",",TRIM(E5652))-1),TRIM(E5652)))</f>
        <v>Unknown</v>
      </c>
      <c r="M5652" s="7" t="str">
        <f aca="false">IFERROR(LEFT(J5652,FIND(",",J5652)-1),J5652)</f>
        <v>Kids' TV</v>
      </c>
      <c r="N5652" s="7" t="str">
        <f aca="false">IF(B5652="Movie",IFERROR(VALUE(LEFT(I5652,FIND(" ",I5652)-1)),""),"")</f>
        <v/>
      </c>
      <c r="O5652" s="7" t="n">
        <f aca="false">IF(B5652="TV Show",IFERROR(VALUE(LEFT(I5652,FIND(" ",I5652)-1)),""),"")</f>
        <v>3</v>
      </c>
      <c r="P5652" s="7" t="n">
        <f aca="false">IF(K5652="","",K5652-G5652)</f>
        <v>0</v>
      </c>
    </row>
    <row r="5653" customFormat="false" ht="15" hidden="false" customHeight="false" outlineLevel="0" collapsed="false">
      <c r="A5653" s="7" t="n">
        <v>80992228</v>
      </c>
      <c r="B5653" s="7" t="s">
        <v>78</v>
      </c>
      <c r="C5653" s="7" t="s">
        <v>11265</v>
      </c>
      <c r="E5653" s="7" t="s">
        <v>2367</v>
      </c>
      <c r="F5653" s="7" t="s">
        <v>11266</v>
      </c>
      <c r="G5653" s="7" t="n">
        <v>2019</v>
      </c>
      <c r="H5653" s="7" t="s">
        <v>48</v>
      </c>
      <c r="I5653" s="7" t="s">
        <v>11132</v>
      </c>
      <c r="J5653" s="7" t="s">
        <v>542</v>
      </c>
      <c r="K5653" s="7" t="n">
        <f aca="false">IFERROR(VALUE(RIGHT(TRIM(F5653),4)),"")</f>
        <v>2019</v>
      </c>
      <c r="L5653" s="7" t="str">
        <f aca="false">IF(TRIM(E5653)="","Unknown",IFERROR(LEFT(TRIM(E5653),FIND(",",TRIM(E5653))-1),TRIM(E5653)))</f>
        <v>United States</v>
      </c>
      <c r="M5653" s="7" t="str">
        <f aca="false">IFERROR(LEFT(J5653,FIND(",",J5653)-1),J5653)</f>
        <v>Anime Series</v>
      </c>
      <c r="N5653" s="7" t="str">
        <f aca="false">IF(B5653="Movie",IFERROR(VALUE(LEFT(I5653,FIND(" ",I5653)-1)),""),"")</f>
        <v/>
      </c>
      <c r="O5653" s="7" t="n">
        <f aca="false">IF(B5653="TV Show",IFERROR(VALUE(LEFT(I5653,FIND(" ",I5653)-1)),""),"")</f>
        <v>2</v>
      </c>
      <c r="P5653" s="7" t="n">
        <f aca="false">IF(K5653="","",K5653-G5653)</f>
        <v>0</v>
      </c>
    </row>
    <row r="5654" customFormat="false" ht="15" hidden="false" customHeight="false" outlineLevel="0" collapsed="false">
      <c r="A5654" s="7" t="n">
        <v>80113037</v>
      </c>
      <c r="B5654" s="7" t="s">
        <v>78</v>
      </c>
      <c r="C5654" s="7" t="s">
        <v>11267</v>
      </c>
      <c r="E5654" s="7" t="s">
        <v>30</v>
      </c>
      <c r="F5654" s="7" t="s">
        <v>11266</v>
      </c>
      <c r="G5654" s="7" t="n">
        <v>2019</v>
      </c>
      <c r="H5654" s="7" t="s">
        <v>49</v>
      </c>
      <c r="I5654" s="7" t="s">
        <v>11132</v>
      </c>
      <c r="J5654" s="7" t="s">
        <v>344</v>
      </c>
      <c r="K5654" s="7" t="n">
        <f aca="false">IFERROR(VALUE(RIGHT(TRIM(F5654),4)),"")</f>
        <v>2019</v>
      </c>
      <c r="L5654" s="7" t="str">
        <f aca="false">IF(TRIM(E5654)="","Unknown",IFERROR(LEFT(TRIM(E5654),FIND(",",TRIM(E5654))-1),TRIM(E5654)))</f>
        <v>Japan</v>
      </c>
      <c r="M5654" s="7" t="str">
        <f aca="false">IFERROR(LEFT(J5654,FIND(",",J5654)-1),J5654)</f>
        <v>International TV Shows</v>
      </c>
      <c r="N5654" s="7" t="str">
        <f aca="false">IF(B5654="Movie",IFERROR(VALUE(LEFT(I5654,FIND(" ",I5654)-1)),""),"")</f>
        <v/>
      </c>
      <c r="O5654" s="7" t="n">
        <f aca="false">IF(B5654="TV Show",IFERROR(VALUE(LEFT(I5654,FIND(" ",I5654)-1)),""),"")</f>
        <v>2</v>
      </c>
      <c r="P5654" s="7" t="n">
        <f aca="false">IF(K5654="","",K5654-G5654)</f>
        <v>0</v>
      </c>
    </row>
    <row r="5655" customFormat="false" ht="15" hidden="false" customHeight="false" outlineLevel="0" collapsed="false">
      <c r="A5655" s="7" t="n">
        <v>80113304</v>
      </c>
      <c r="B5655" s="7" t="s">
        <v>78</v>
      </c>
      <c r="C5655" s="7" t="s">
        <v>11268</v>
      </c>
      <c r="E5655" s="7" t="s">
        <v>26</v>
      </c>
      <c r="F5655" s="7" t="s">
        <v>11269</v>
      </c>
      <c r="G5655" s="7" t="n">
        <v>2017</v>
      </c>
      <c r="H5655" s="7" t="s">
        <v>119</v>
      </c>
      <c r="I5655" s="7" t="s">
        <v>11132</v>
      </c>
      <c r="J5655" s="7" t="s">
        <v>44</v>
      </c>
      <c r="K5655" s="7" t="n">
        <f aca="false">IFERROR(VALUE(RIGHT(TRIM(F5655),4)),"")</f>
        <v>2018</v>
      </c>
      <c r="L5655" s="7" t="str">
        <f aca="false">IF(TRIM(E5655)="","Unknown",IFERROR(LEFT(TRIM(E5655),FIND(",",TRIM(E5655))-1),TRIM(E5655)))</f>
        <v>United States</v>
      </c>
      <c r="M5655" s="7" t="str">
        <f aca="false">IFERROR(LEFT(J5655,FIND(",",J5655)-1),J5655)</f>
        <v>Kids' TV</v>
      </c>
      <c r="N5655" s="7" t="str">
        <f aca="false">IF(B5655="Movie",IFERROR(VALUE(LEFT(I5655,FIND(" ",I5655)-1)),""),"")</f>
        <v/>
      </c>
      <c r="O5655" s="7" t="n">
        <f aca="false">IF(B5655="TV Show",IFERROR(VALUE(LEFT(I5655,FIND(" ",I5655)-1)),""),"")</f>
        <v>2</v>
      </c>
      <c r="P5655" s="7" t="n">
        <f aca="false">IF(K5655="","",K5655-G5655)</f>
        <v>1</v>
      </c>
    </row>
    <row r="5656" customFormat="false" ht="15" hidden="false" customHeight="false" outlineLevel="0" collapsed="false">
      <c r="A5656" s="7" t="n">
        <v>80991060</v>
      </c>
      <c r="B5656" s="7" t="s">
        <v>78</v>
      </c>
      <c r="C5656" s="7" t="s">
        <v>11270</v>
      </c>
      <c r="E5656" s="7" t="s">
        <v>366</v>
      </c>
      <c r="F5656" s="7" t="s">
        <v>11271</v>
      </c>
      <c r="G5656" s="7" t="n">
        <v>2019</v>
      </c>
      <c r="H5656" s="7" t="s">
        <v>226</v>
      </c>
      <c r="I5656" s="7" t="s">
        <v>11132</v>
      </c>
      <c r="J5656" s="7" t="s">
        <v>773</v>
      </c>
      <c r="K5656" s="7" t="n">
        <f aca="false">IFERROR(VALUE(RIGHT(TRIM(F5656),4)),"")</f>
        <v>2019</v>
      </c>
      <c r="L5656" s="7" t="str">
        <f aca="false">IF(TRIM(E5656)="","Unknown",IFERROR(LEFT(TRIM(E5656),FIND(",",TRIM(E5656))-1),TRIM(E5656)))</f>
        <v>China</v>
      </c>
      <c r="M5656" s="7" t="str">
        <f aca="false">IFERROR(LEFT(J5656,FIND(",",J5656)-1),J5656)</f>
        <v>Docuseries</v>
      </c>
      <c r="N5656" s="7" t="str">
        <f aca="false">IF(B5656="Movie",IFERROR(VALUE(LEFT(I5656,FIND(" ",I5656)-1)),""),"")</f>
        <v/>
      </c>
      <c r="O5656" s="7" t="n">
        <f aca="false">IF(B5656="TV Show",IFERROR(VALUE(LEFT(I5656,FIND(" ",I5656)-1)),""),"")</f>
        <v>2</v>
      </c>
      <c r="P5656" s="7" t="n">
        <f aca="false">IF(K5656="","",K5656-G5656)</f>
        <v>0</v>
      </c>
    </row>
    <row r="5657" customFormat="false" ht="15" hidden="false" customHeight="false" outlineLevel="0" collapsed="false">
      <c r="A5657" s="7" t="n">
        <v>80185145</v>
      </c>
      <c r="B5657" s="7" t="s">
        <v>78</v>
      </c>
      <c r="C5657" s="7" t="s">
        <v>11272</v>
      </c>
      <c r="E5657" s="7" t="s">
        <v>30</v>
      </c>
      <c r="F5657" s="7" t="s">
        <v>11273</v>
      </c>
      <c r="G5657" s="7" t="n">
        <v>2018</v>
      </c>
      <c r="H5657" s="7" t="s">
        <v>48</v>
      </c>
      <c r="I5657" s="7" t="s">
        <v>11132</v>
      </c>
      <c r="J5657" s="7" t="s">
        <v>542</v>
      </c>
      <c r="K5657" s="7" t="n">
        <f aca="false">IFERROR(VALUE(RIGHT(TRIM(F5657),4)),"")</f>
        <v>2018</v>
      </c>
      <c r="L5657" s="7" t="str">
        <f aca="false">IF(TRIM(E5657)="","Unknown",IFERROR(LEFT(TRIM(E5657),FIND(",",TRIM(E5657))-1),TRIM(E5657)))</f>
        <v>Japan</v>
      </c>
      <c r="M5657" s="7" t="str">
        <f aca="false">IFERROR(LEFT(J5657,FIND(",",J5657)-1),J5657)</f>
        <v>Anime Series</v>
      </c>
      <c r="N5657" s="7" t="str">
        <f aca="false">IF(B5657="Movie",IFERROR(VALUE(LEFT(I5657,FIND(" ",I5657)-1)),""),"")</f>
        <v/>
      </c>
      <c r="O5657" s="7" t="n">
        <f aca="false">IF(B5657="TV Show",IFERROR(VALUE(LEFT(I5657,FIND(" ",I5657)-1)),""),"")</f>
        <v>2</v>
      </c>
      <c r="P5657" s="7" t="n">
        <f aca="false">IF(K5657="","",K5657-G5657)</f>
        <v>0</v>
      </c>
    </row>
    <row r="5658" customFormat="false" ht="15" hidden="false" customHeight="false" outlineLevel="0" collapsed="false">
      <c r="A5658" s="7" t="n">
        <v>80011206</v>
      </c>
      <c r="B5658" s="7" t="s">
        <v>78</v>
      </c>
      <c r="C5658" s="7" t="s">
        <v>6639</v>
      </c>
      <c r="E5658" s="7" t="s">
        <v>26</v>
      </c>
      <c r="F5658" s="7" t="s">
        <v>11274</v>
      </c>
      <c r="G5658" s="7" t="n">
        <v>2017</v>
      </c>
      <c r="H5658" s="7" t="s">
        <v>49</v>
      </c>
      <c r="I5658" s="7" t="s">
        <v>11148</v>
      </c>
      <c r="J5658" s="7" t="s">
        <v>10792</v>
      </c>
      <c r="K5658" s="7" t="n">
        <f aca="false">IFERROR(VALUE(RIGHT(TRIM(F5658),4)),"")</f>
        <v>2017</v>
      </c>
      <c r="L5658" s="7" t="str">
        <f aca="false">IF(TRIM(E5658)="","Unknown",IFERROR(LEFT(TRIM(E5658),FIND(",",TRIM(E5658))-1),TRIM(E5658)))</f>
        <v>United States</v>
      </c>
      <c r="M5658" s="7" t="str">
        <f aca="false">IFERROR(LEFT(J5658,FIND(",",J5658)-1),J5658)</f>
        <v>TV Dramas</v>
      </c>
      <c r="N5658" s="7" t="str">
        <f aca="false">IF(B5658="Movie",IFERROR(VALUE(LEFT(I5658,FIND(" ",I5658)-1)),""),"")</f>
        <v/>
      </c>
      <c r="O5658" s="7" t="n">
        <f aca="false">IF(B5658="TV Show",IFERROR(VALUE(LEFT(I5658,FIND(" ",I5658)-1)),""),"")</f>
        <v>3</v>
      </c>
      <c r="P5658" s="7" t="n">
        <f aca="false">IF(K5658="","",K5658-G5658)</f>
        <v>0</v>
      </c>
    </row>
    <row r="5659" customFormat="false" ht="15" hidden="false" customHeight="false" outlineLevel="0" collapsed="false">
      <c r="A5659" s="7" t="n">
        <v>81034099</v>
      </c>
      <c r="B5659" s="7" t="s">
        <v>78</v>
      </c>
      <c r="C5659" s="7" t="s">
        <v>11275</v>
      </c>
      <c r="E5659" s="7" t="s">
        <v>26</v>
      </c>
      <c r="F5659" s="7" t="s">
        <v>11276</v>
      </c>
      <c r="G5659" s="7" t="n">
        <v>2019</v>
      </c>
      <c r="H5659" s="7" t="s">
        <v>226</v>
      </c>
      <c r="I5659" s="7" t="s">
        <v>11135</v>
      </c>
      <c r="J5659" s="7" t="s">
        <v>701</v>
      </c>
      <c r="K5659" s="7" t="n">
        <f aca="false">IFERROR(VALUE(RIGHT(TRIM(F5659),4)),"")</f>
        <v>2019</v>
      </c>
      <c r="L5659" s="7" t="str">
        <f aca="false">IF(TRIM(E5659)="","Unknown",IFERROR(LEFT(TRIM(E5659),FIND(",",TRIM(E5659))-1),TRIM(E5659)))</f>
        <v>United States</v>
      </c>
      <c r="M5659" s="7" t="str">
        <f aca="false">IFERROR(LEFT(J5659,FIND(",",J5659)-1),J5659)</f>
        <v>Reality TV</v>
      </c>
      <c r="N5659" s="7" t="str">
        <f aca="false">IF(B5659="Movie",IFERROR(VALUE(LEFT(I5659,FIND(" ",I5659)-1)),""),"")</f>
        <v/>
      </c>
      <c r="O5659" s="7" t="n">
        <f aca="false">IF(B5659="TV Show",IFERROR(VALUE(LEFT(I5659,FIND(" ",I5659)-1)),""),"")</f>
        <v>5</v>
      </c>
      <c r="P5659" s="7" t="n">
        <f aca="false">IF(K5659="","",K5659-G5659)</f>
        <v>0</v>
      </c>
    </row>
    <row r="5660" customFormat="false" ht="15" hidden="false" customHeight="false" outlineLevel="0" collapsed="false">
      <c r="A5660" s="7" t="n">
        <v>80095241</v>
      </c>
      <c r="B5660" s="7" t="s">
        <v>78</v>
      </c>
      <c r="C5660" s="7" t="s">
        <v>11277</v>
      </c>
      <c r="E5660" s="7" t="s">
        <v>26</v>
      </c>
      <c r="F5660" s="7" t="s">
        <v>11278</v>
      </c>
      <c r="G5660" s="7" t="n">
        <v>2018</v>
      </c>
      <c r="H5660" s="7" t="s">
        <v>48</v>
      </c>
      <c r="I5660" s="7" t="s">
        <v>11132</v>
      </c>
      <c r="J5660" s="7" t="s">
        <v>11279</v>
      </c>
      <c r="K5660" s="7" t="n">
        <f aca="false">IFERROR(VALUE(RIGHT(TRIM(F5660),4)),"")</f>
        <v>2018</v>
      </c>
      <c r="L5660" s="7" t="str">
        <f aca="false">IF(TRIM(E5660)="","Unknown",IFERROR(LEFT(TRIM(E5660),FIND(",",TRIM(E5660))-1),TRIM(E5660)))</f>
        <v>United States</v>
      </c>
      <c r="M5660" s="7" t="str">
        <f aca="false">IFERROR(LEFT(J5660,FIND(",",J5660)-1),J5660)</f>
        <v>Anime Series</v>
      </c>
      <c r="N5660" s="7" t="str">
        <f aca="false">IF(B5660="Movie",IFERROR(VALUE(LEFT(I5660,FIND(" ",I5660)-1)),""),"")</f>
        <v/>
      </c>
      <c r="O5660" s="7" t="n">
        <f aca="false">IF(B5660="TV Show",IFERROR(VALUE(LEFT(I5660,FIND(" ",I5660)-1)),""),"")</f>
        <v>2</v>
      </c>
      <c r="P5660" s="7" t="n">
        <f aca="false">IF(K5660="","",K5660-G5660)</f>
        <v>0</v>
      </c>
    </row>
    <row r="5661" customFormat="false" ht="15" hidden="false" customHeight="false" outlineLevel="0" collapsed="false">
      <c r="A5661" s="7" t="n">
        <v>70300800</v>
      </c>
      <c r="B5661" s="7" t="s">
        <v>78</v>
      </c>
      <c r="C5661" s="7" t="s">
        <v>11280</v>
      </c>
      <c r="E5661" s="7" t="s">
        <v>26</v>
      </c>
      <c r="F5661" s="7" t="s">
        <v>11281</v>
      </c>
      <c r="G5661" s="7" t="n">
        <v>2019</v>
      </c>
      <c r="H5661" s="7" t="s">
        <v>48</v>
      </c>
      <c r="I5661" s="7" t="s">
        <v>11198</v>
      </c>
      <c r="J5661" s="7" t="s">
        <v>289</v>
      </c>
      <c r="K5661" s="7" t="n">
        <f aca="false">IFERROR(VALUE(RIGHT(TRIM(F5661),4)),"")</f>
        <v>2019</v>
      </c>
      <c r="L5661" s="7" t="str">
        <f aca="false">IF(TRIM(E5661)="","Unknown",IFERROR(LEFT(TRIM(E5661),FIND(",",TRIM(E5661))-1),TRIM(E5661)))</f>
        <v>United States</v>
      </c>
      <c r="M5661" s="7" t="str">
        <f aca="false">IFERROR(LEFT(J5661,FIND(",",J5661)-1),J5661)</f>
        <v>TV Comedies</v>
      </c>
      <c r="N5661" s="7" t="str">
        <f aca="false">IF(B5661="Movie",IFERROR(VALUE(LEFT(I5661,FIND(" ",I5661)-1)),""),"")</f>
        <v/>
      </c>
      <c r="O5661" s="7" t="n">
        <f aca="false">IF(B5661="TV Show",IFERROR(VALUE(LEFT(I5661,FIND(" ",I5661)-1)),""),"")</f>
        <v>6</v>
      </c>
      <c r="P5661" s="7" t="n">
        <f aca="false">IF(K5661="","",K5661-G5661)</f>
        <v>0</v>
      </c>
    </row>
    <row r="5662" customFormat="false" ht="15" hidden="false" customHeight="false" outlineLevel="0" collapsed="false">
      <c r="A5662" s="7" t="n">
        <v>81192130</v>
      </c>
      <c r="B5662" s="7" t="s">
        <v>78</v>
      </c>
      <c r="C5662" s="7" t="s">
        <v>11282</v>
      </c>
      <c r="F5662" s="7" t="s">
        <v>11281</v>
      </c>
      <c r="G5662" s="7" t="n">
        <v>2019</v>
      </c>
      <c r="H5662" s="7" t="s">
        <v>119</v>
      </c>
      <c r="I5662" s="7" t="s">
        <v>11132</v>
      </c>
      <c r="J5662" s="7" t="s">
        <v>44</v>
      </c>
      <c r="K5662" s="7" t="n">
        <f aca="false">IFERROR(VALUE(RIGHT(TRIM(F5662),4)),"")</f>
        <v>2019</v>
      </c>
      <c r="L5662" s="7" t="str">
        <f aca="false">IF(TRIM(E5662)="","Unknown",IFERROR(LEFT(TRIM(E5662),FIND(",",TRIM(E5662))-1),TRIM(E5662)))</f>
        <v>Unknown</v>
      </c>
      <c r="M5662" s="7" t="str">
        <f aca="false">IFERROR(LEFT(J5662,FIND(",",J5662)-1),J5662)</f>
        <v>Kids' TV</v>
      </c>
      <c r="N5662" s="7" t="str">
        <f aca="false">IF(B5662="Movie",IFERROR(VALUE(LEFT(I5662,FIND(" ",I5662)-1)),""),"")</f>
        <v/>
      </c>
      <c r="O5662" s="7" t="n">
        <f aca="false">IF(B5662="TV Show",IFERROR(VALUE(LEFT(I5662,FIND(" ",I5662)-1)),""),"")</f>
        <v>2</v>
      </c>
      <c r="P5662" s="7" t="n">
        <f aca="false">IF(K5662="","",K5662-G5662)</f>
        <v>0</v>
      </c>
    </row>
    <row r="5663" customFormat="false" ht="15" hidden="false" customHeight="false" outlineLevel="0" collapsed="false">
      <c r="A5663" s="7" t="n">
        <v>80095435</v>
      </c>
      <c r="B5663" s="7" t="s">
        <v>78</v>
      </c>
      <c r="C5663" s="7" t="s">
        <v>11283</v>
      </c>
      <c r="E5663" s="7" t="s">
        <v>26</v>
      </c>
      <c r="F5663" s="7" t="s">
        <v>11281</v>
      </c>
      <c r="G5663" s="7" t="n">
        <v>2019</v>
      </c>
      <c r="H5663" s="7" t="s">
        <v>50</v>
      </c>
      <c r="I5663" s="7" t="s">
        <v>11148</v>
      </c>
      <c r="J5663" s="7" t="s">
        <v>11284</v>
      </c>
      <c r="K5663" s="7" t="n">
        <f aca="false">IFERROR(VALUE(RIGHT(TRIM(F5663),4)),"")</f>
        <v>2019</v>
      </c>
      <c r="L5663" s="7" t="str">
        <f aca="false">IF(TRIM(E5663)="","Unknown",IFERROR(LEFT(TRIM(E5663),FIND(",",TRIM(E5663))-1),TRIM(E5663)))</f>
        <v>United States</v>
      </c>
      <c r="M5663" s="7" t="str">
        <f aca="false">IFERROR(LEFT(J5663,FIND(",",J5663)-1),J5663)</f>
        <v>Kids' TV</v>
      </c>
      <c r="N5663" s="7" t="str">
        <f aca="false">IF(B5663="Movie",IFERROR(VALUE(LEFT(I5663,FIND(" ",I5663)-1)),""),"")</f>
        <v/>
      </c>
      <c r="O5663" s="7" t="n">
        <f aca="false">IF(B5663="TV Show",IFERROR(VALUE(LEFT(I5663,FIND(" ",I5663)-1)),""),"")</f>
        <v>3</v>
      </c>
      <c r="P5663" s="7" t="n">
        <f aca="false">IF(K5663="","",K5663-G5663)</f>
        <v>0</v>
      </c>
    </row>
    <row r="5664" customFormat="false" ht="15" hidden="false" customHeight="false" outlineLevel="0" collapsed="false">
      <c r="A5664" s="7" t="n">
        <v>80201680</v>
      </c>
      <c r="B5664" s="7" t="s">
        <v>78</v>
      </c>
      <c r="C5664" s="7" t="s">
        <v>11285</v>
      </c>
      <c r="E5664" s="7" t="s">
        <v>26</v>
      </c>
      <c r="F5664" s="7" t="s">
        <v>11281</v>
      </c>
      <c r="G5664" s="7" t="n">
        <v>2019</v>
      </c>
      <c r="H5664" s="7" t="s">
        <v>48</v>
      </c>
      <c r="I5664" s="7" t="s">
        <v>11132</v>
      </c>
      <c r="J5664" s="7" t="s">
        <v>502</v>
      </c>
      <c r="K5664" s="7" t="n">
        <f aca="false">IFERROR(VALUE(RIGHT(TRIM(F5664),4)),"")</f>
        <v>2019</v>
      </c>
      <c r="L5664" s="7" t="str">
        <f aca="false">IF(TRIM(E5664)="","Unknown",IFERROR(LEFT(TRIM(E5664),FIND(",",TRIM(E5664))-1),TRIM(E5664)))</f>
        <v>United States</v>
      </c>
      <c r="M5664" s="7" t="str">
        <f aca="false">IFERROR(LEFT(J5664,FIND(",",J5664)-1),J5664)</f>
        <v>TV Comedies</v>
      </c>
      <c r="N5664" s="7" t="str">
        <f aca="false">IF(B5664="Movie",IFERROR(VALUE(LEFT(I5664,FIND(" ",I5664)-1)),""),"")</f>
        <v/>
      </c>
      <c r="O5664" s="7" t="n">
        <f aca="false">IF(B5664="TV Show",IFERROR(VALUE(LEFT(I5664,FIND(" ",I5664)-1)),""),"")</f>
        <v>2</v>
      </c>
      <c r="P5664" s="7" t="n">
        <f aca="false">IF(K5664="","",K5664-G5664)</f>
        <v>0</v>
      </c>
    </row>
    <row r="5665" customFormat="false" ht="15" hidden="false" customHeight="false" outlineLevel="0" collapsed="false">
      <c r="A5665" s="7" t="n">
        <v>80158516</v>
      </c>
      <c r="B5665" s="7" t="s">
        <v>78</v>
      </c>
      <c r="C5665" s="7" t="s">
        <v>11286</v>
      </c>
      <c r="E5665" s="7" t="s">
        <v>26</v>
      </c>
      <c r="F5665" s="7" t="s">
        <v>11287</v>
      </c>
      <c r="G5665" s="7" t="n">
        <v>2018</v>
      </c>
      <c r="H5665" s="7" t="s">
        <v>49</v>
      </c>
      <c r="I5665" s="7" t="s">
        <v>11132</v>
      </c>
      <c r="J5665" s="7" t="s">
        <v>289</v>
      </c>
      <c r="K5665" s="7" t="n">
        <f aca="false">IFERROR(VALUE(RIGHT(TRIM(F5665),4)),"")</f>
        <v>2018</v>
      </c>
      <c r="L5665" s="7" t="str">
        <f aca="false">IF(TRIM(E5665)="","Unknown",IFERROR(LEFT(TRIM(E5665),FIND(",",TRIM(E5665))-1),TRIM(E5665)))</f>
        <v>United States</v>
      </c>
      <c r="M5665" s="7" t="str">
        <f aca="false">IFERROR(LEFT(J5665,FIND(",",J5665)-1),J5665)</f>
        <v>TV Comedies</v>
      </c>
      <c r="N5665" s="7" t="str">
        <f aca="false">IF(B5665="Movie",IFERROR(VALUE(LEFT(I5665,FIND(" ",I5665)-1)),""),"")</f>
        <v/>
      </c>
      <c r="O5665" s="7" t="n">
        <f aca="false">IF(B5665="TV Show",IFERROR(VALUE(LEFT(I5665,FIND(" ",I5665)-1)),""),"")</f>
        <v>2</v>
      </c>
      <c r="P5665" s="7" t="n">
        <f aca="false">IF(K5665="","",K5665-G5665)</f>
        <v>0</v>
      </c>
    </row>
    <row r="5666" customFormat="false" ht="15" hidden="false" customHeight="false" outlineLevel="0" collapsed="false">
      <c r="A5666" s="7" t="n">
        <v>80068326</v>
      </c>
      <c r="B5666" s="7" t="s">
        <v>78</v>
      </c>
      <c r="C5666" s="7" t="s">
        <v>11288</v>
      </c>
      <c r="E5666" s="7" t="s">
        <v>28</v>
      </c>
      <c r="F5666" s="7" t="s">
        <v>11289</v>
      </c>
      <c r="G5666" s="7" t="n">
        <v>2017</v>
      </c>
      <c r="H5666" s="7" t="s">
        <v>48</v>
      </c>
      <c r="I5666" s="7" t="s">
        <v>11148</v>
      </c>
      <c r="J5666" s="7" t="s">
        <v>1612</v>
      </c>
      <c r="K5666" s="7" t="n">
        <f aca="false">IFERROR(VALUE(RIGHT(TRIM(F5666),4)),"")</f>
        <v>2017</v>
      </c>
      <c r="L5666" s="7" t="str">
        <f aca="false">IF(TRIM(E5666)="","Unknown",IFERROR(LEFT(TRIM(E5666),FIND(",",TRIM(E5666))-1),TRIM(E5666)))</f>
        <v>United Kingdom</v>
      </c>
      <c r="M5666" s="7" t="str">
        <f aca="false">IFERROR(LEFT(J5666,FIND(",",J5666)-1),J5666)</f>
        <v>British TV Shows</v>
      </c>
      <c r="N5666" s="7" t="str">
        <f aca="false">IF(B5666="Movie",IFERROR(VALUE(LEFT(I5666,FIND(" ",I5666)-1)),""),"")</f>
        <v/>
      </c>
      <c r="O5666" s="7" t="n">
        <f aca="false">IF(B5666="TV Show",IFERROR(VALUE(LEFT(I5666,FIND(" ",I5666)-1)),""),"")</f>
        <v>3</v>
      </c>
      <c r="P5666" s="7" t="n">
        <f aca="false">IF(K5666="","",K5666-G5666)</f>
        <v>0</v>
      </c>
    </row>
    <row r="5667" customFormat="false" ht="15" hidden="false" customHeight="false" outlineLevel="0" collapsed="false">
      <c r="A5667" s="7" t="n">
        <v>80142390</v>
      </c>
      <c r="B5667" s="7" t="s">
        <v>78</v>
      </c>
      <c r="C5667" s="7" t="s">
        <v>11290</v>
      </c>
      <c r="E5667" s="7" t="s">
        <v>26</v>
      </c>
      <c r="F5667" s="7" t="s">
        <v>11291</v>
      </c>
      <c r="G5667" s="7" t="n">
        <v>2017</v>
      </c>
      <c r="H5667" s="7" t="s">
        <v>50</v>
      </c>
      <c r="I5667" s="7" t="s">
        <v>11148</v>
      </c>
      <c r="J5667" s="7" t="s">
        <v>6274</v>
      </c>
      <c r="K5667" s="7" t="n">
        <f aca="false">IFERROR(VALUE(RIGHT(TRIM(F5667),4)),"")</f>
        <v>2018</v>
      </c>
      <c r="L5667" s="7" t="str">
        <f aca="false">IF(TRIM(E5667)="","Unknown",IFERROR(LEFT(TRIM(E5667),FIND(",",TRIM(E5667))-1),TRIM(E5667)))</f>
        <v>United States</v>
      </c>
      <c r="M5667" s="7" t="str">
        <f aca="false">IFERROR(LEFT(J5667,FIND(",",J5667)-1),J5667)</f>
        <v>Stand-Up Comedy &amp; Talk Shows</v>
      </c>
      <c r="N5667" s="7" t="str">
        <f aca="false">IF(B5667="Movie",IFERROR(VALUE(LEFT(I5667,FIND(" ",I5667)-1)),""),"")</f>
        <v/>
      </c>
      <c r="O5667" s="7" t="n">
        <f aca="false">IF(B5667="TV Show",IFERROR(VALUE(LEFT(I5667,FIND(" ",I5667)-1)),""),"")</f>
        <v>3</v>
      </c>
      <c r="P5667" s="7" t="n">
        <f aca="false">IF(K5667="","",K5667-G5667)</f>
        <v>1</v>
      </c>
    </row>
    <row r="5668" customFormat="false" ht="15" hidden="false" customHeight="false" outlineLevel="0" collapsed="false">
      <c r="A5668" s="7" t="n">
        <v>70242310</v>
      </c>
      <c r="B5668" s="7" t="s">
        <v>78</v>
      </c>
      <c r="C5668" s="7" t="s">
        <v>11292</v>
      </c>
      <c r="D5668" s="7" t="s">
        <v>2948</v>
      </c>
      <c r="E5668" s="7" t="s">
        <v>26</v>
      </c>
      <c r="F5668" s="7" t="s">
        <v>11293</v>
      </c>
      <c r="G5668" s="7" t="n">
        <v>2015</v>
      </c>
      <c r="H5668" s="7" t="s">
        <v>48</v>
      </c>
      <c r="I5668" s="7" t="s">
        <v>11148</v>
      </c>
      <c r="J5668" s="7" t="s">
        <v>11184</v>
      </c>
      <c r="K5668" s="7" t="n">
        <f aca="false">IFERROR(VALUE(RIGHT(TRIM(F5668),4)),"")</f>
        <v>2015</v>
      </c>
      <c r="L5668" s="7" t="str">
        <f aca="false">IF(TRIM(E5668)="","Unknown",IFERROR(LEFT(TRIM(E5668),FIND(",",TRIM(E5668))-1),TRIM(E5668)))</f>
        <v>United States</v>
      </c>
      <c r="M5668" s="7" t="str">
        <f aca="false">IFERROR(LEFT(J5668,FIND(",",J5668)-1),J5668)</f>
        <v>TV Horror</v>
      </c>
      <c r="N5668" s="7" t="str">
        <f aca="false">IF(B5668="Movie",IFERROR(VALUE(LEFT(I5668,FIND(" ",I5668)-1)),""),"")</f>
        <v/>
      </c>
      <c r="O5668" s="7" t="n">
        <f aca="false">IF(B5668="TV Show",IFERROR(VALUE(LEFT(I5668,FIND(" ",I5668)-1)),""),"")</f>
        <v>3</v>
      </c>
      <c r="P5668" s="7" t="n">
        <f aca="false">IF(K5668="","",K5668-G5668)</f>
        <v>0</v>
      </c>
    </row>
    <row r="5669" customFormat="false" ht="15" hidden="false" customHeight="false" outlineLevel="0" collapsed="false">
      <c r="A5669" s="7" t="n">
        <v>80072207</v>
      </c>
      <c r="B5669" s="7" t="s">
        <v>78</v>
      </c>
      <c r="C5669" s="7" t="s">
        <v>11294</v>
      </c>
      <c r="E5669" s="7" t="s">
        <v>26</v>
      </c>
      <c r="F5669" s="7" t="s">
        <v>11295</v>
      </c>
      <c r="G5669" s="7" t="n">
        <v>2018</v>
      </c>
      <c r="H5669" s="7" t="s">
        <v>226</v>
      </c>
      <c r="I5669" s="7" t="s">
        <v>11148</v>
      </c>
      <c r="J5669" s="7" t="s">
        <v>191</v>
      </c>
      <c r="K5669" s="7" t="n">
        <f aca="false">IFERROR(VALUE(RIGHT(TRIM(F5669),4)),"")</f>
        <v>2018</v>
      </c>
      <c r="L5669" s="7" t="str">
        <f aca="false">IF(TRIM(E5669)="","Unknown",IFERROR(LEFT(TRIM(E5669),FIND(",",TRIM(E5669))-1),TRIM(E5669)))</f>
        <v>United States</v>
      </c>
      <c r="M5669" s="7" t="str">
        <f aca="false">IFERROR(LEFT(J5669,FIND(",",J5669)-1),J5669)</f>
        <v>Kids' TV</v>
      </c>
      <c r="N5669" s="7" t="str">
        <f aca="false">IF(B5669="Movie",IFERROR(VALUE(LEFT(I5669,FIND(" ",I5669)-1)),""),"")</f>
        <v/>
      </c>
      <c r="O5669" s="7" t="n">
        <f aca="false">IF(B5669="TV Show",IFERROR(VALUE(LEFT(I5669,FIND(" ",I5669)-1)),""),"")</f>
        <v>3</v>
      </c>
      <c r="P5669" s="7" t="n">
        <f aca="false">IF(K5669="","",K5669-G5669)</f>
        <v>0</v>
      </c>
    </row>
    <row r="5670" customFormat="false" ht="15" hidden="false" customHeight="false" outlineLevel="0" collapsed="false">
      <c r="A5670" s="7" t="n">
        <v>80095900</v>
      </c>
      <c r="B5670" s="7" t="s">
        <v>78</v>
      </c>
      <c r="C5670" s="7" t="s">
        <v>11296</v>
      </c>
      <c r="E5670" s="7" t="s">
        <v>26</v>
      </c>
      <c r="F5670" s="7" t="s">
        <v>11297</v>
      </c>
      <c r="G5670" s="7" t="n">
        <v>2017</v>
      </c>
      <c r="H5670" s="7" t="s">
        <v>50</v>
      </c>
      <c r="I5670" s="7" t="s">
        <v>11132</v>
      </c>
      <c r="J5670" s="7" t="s">
        <v>11298</v>
      </c>
      <c r="K5670" s="7" t="n">
        <f aca="false">IFERROR(VALUE(RIGHT(TRIM(F5670),4)),"")</f>
        <v>2017</v>
      </c>
      <c r="L5670" s="7" t="str">
        <f aca="false">IF(TRIM(E5670)="","Unknown",IFERROR(LEFT(TRIM(E5670),FIND(",",TRIM(E5670))-1),TRIM(E5670)))</f>
        <v>United States</v>
      </c>
      <c r="M5670" s="7" t="str">
        <f aca="false">IFERROR(LEFT(J5670,FIND(",",J5670)-1),J5670)</f>
        <v>TV Comedies</v>
      </c>
      <c r="N5670" s="7" t="str">
        <f aca="false">IF(B5670="Movie",IFERROR(VALUE(LEFT(I5670,FIND(" ",I5670)-1)),""),"")</f>
        <v/>
      </c>
      <c r="O5670" s="7" t="n">
        <f aca="false">IF(B5670="TV Show",IFERROR(VALUE(LEFT(I5670,FIND(" ",I5670)-1)),""),"")</f>
        <v>2</v>
      </c>
      <c r="P5670" s="7" t="n">
        <f aca="false">IF(K5670="","",K5670-G5670)</f>
        <v>0</v>
      </c>
    </row>
    <row r="5671" customFormat="false" ht="15" hidden="false" customHeight="false" outlineLevel="0" collapsed="false">
      <c r="A5671" s="7" t="n">
        <v>70213238</v>
      </c>
      <c r="B5671" s="7" t="s">
        <v>78</v>
      </c>
      <c r="C5671" s="7" t="s">
        <v>11299</v>
      </c>
      <c r="E5671" s="7" t="s">
        <v>28</v>
      </c>
      <c r="F5671" s="7" t="s">
        <v>11300</v>
      </c>
      <c r="G5671" s="7" t="n">
        <v>1974</v>
      </c>
      <c r="H5671" s="7" t="s">
        <v>53</v>
      </c>
      <c r="I5671" s="7" t="s">
        <v>11155</v>
      </c>
      <c r="J5671" s="7" t="s">
        <v>11301</v>
      </c>
      <c r="K5671" s="7" t="n">
        <f aca="false">IFERROR(VALUE(RIGHT(TRIM(F5671),4)),"")</f>
        <v>2018</v>
      </c>
      <c r="L5671" s="7" t="str">
        <f aca="false">IF(TRIM(E5671)="","Unknown",IFERROR(LEFT(TRIM(E5671),FIND(",",TRIM(E5671))-1),TRIM(E5671)))</f>
        <v>United Kingdom</v>
      </c>
      <c r="M5671" s="7" t="str">
        <f aca="false">IFERROR(LEFT(J5671,FIND(",",J5671)-1),J5671)</f>
        <v>British TV Shows</v>
      </c>
      <c r="N5671" s="7" t="str">
        <f aca="false">IF(B5671="Movie",IFERROR(VALUE(LEFT(I5671,FIND(" ",I5671)-1)),""),"")</f>
        <v/>
      </c>
      <c r="O5671" s="7" t="n">
        <f aca="false">IF(B5671="TV Show",IFERROR(VALUE(LEFT(I5671,FIND(" ",I5671)-1)),""),"")</f>
        <v>4</v>
      </c>
      <c r="P5671" s="7" t="n">
        <f aca="false">IF(K5671="","",K5671-G5671)</f>
        <v>44</v>
      </c>
    </row>
    <row r="5672" customFormat="false" ht="15" hidden="false" customHeight="false" outlineLevel="0" collapsed="false">
      <c r="A5672" s="7" t="n">
        <v>80000770</v>
      </c>
      <c r="B5672" s="7" t="s">
        <v>78</v>
      </c>
      <c r="C5672" s="7" t="s">
        <v>11302</v>
      </c>
      <c r="E5672" s="7" t="s">
        <v>26</v>
      </c>
      <c r="F5672" s="7" t="s">
        <v>11303</v>
      </c>
      <c r="G5672" s="7" t="n">
        <v>2018</v>
      </c>
      <c r="H5672" s="7" t="s">
        <v>49</v>
      </c>
      <c r="I5672" s="7" t="s">
        <v>11132</v>
      </c>
      <c r="J5672" s="7" t="s">
        <v>696</v>
      </c>
      <c r="K5672" s="7" t="n">
        <f aca="false">IFERROR(VALUE(RIGHT(TRIM(F5672),4)),"")</f>
        <v>2018</v>
      </c>
      <c r="L5672" s="7" t="str">
        <f aca="false">IF(TRIM(E5672)="","Unknown",IFERROR(LEFT(TRIM(E5672),FIND(",",TRIM(E5672))-1),TRIM(E5672)))</f>
        <v>United States</v>
      </c>
      <c r="M5672" s="7" t="str">
        <f aca="false">IFERROR(LEFT(J5672,FIND(",",J5672)-1),J5672)</f>
        <v>Crime TV Shows</v>
      </c>
      <c r="N5672" s="7" t="str">
        <f aca="false">IF(B5672="Movie",IFERROR(VALUE(LEFT(I5672,FIND(" ",I5672)-1)),""),"")</f>
        <v/>
      </c>
      <c r="O5672" s="7" t="n">
        <f aca="false">IF(B5672="TV Show",IFERROR(VALUE(LEFT(I5672,FIND(" ",I5672)-1)),""),"")</f>
        <v>2</v>
      </c>
      <c r="P5672" s="7" t="n">
        <f aca="false">IF(K5672="","",K5672-G5672)</f>
        <v>0</v>
      </c>
    </row>
    <row r="5673" customFormat="false" ht="15" hidden="false" customHeight="false" outlineLevel="0" collapsed="false">
      <c r="A5673" s="7" t="n">
        <v>80018294</v>
      </c>
      <c r="B5673" s="7" t="s">
        <v>78</v>
      </c>
      <c r="C5673" s="7" t="s">
        <v>11304</v>
      </c>
      <c r="E5673" s="7" t="s">
        <v>26</v>
      </c>
      <c r="F5673" s="7" t="s">
        <v>11303</v>
      </c>
      <c r="G5673" s="7" t="n">
        <v>2018</v>
      </c>
      <c r="H5673" s="7" t="s">
        <v>48</v>
      </c>
      <c r="I5673" s="7" t="s">
        <v>11148</v>
      </c>
      <c r="J5673" s="7" t="s">
        <v>11305</v>
      </c>
      <c r="K5673" s="7" t="n">
        <f aca="false">IFERROR(VALUE(RIGHT(TRIM(F5673),4)),"")</f>
        <v>2018</v>
      </c>
      <c r="L5673" s="7" t="str">
        <f aca="false">IF(TRIM(E5673)="","Unknown",IFERROR(LEFT(TRIM(E5673),FIND(",",TRIM(E5673))-1),TRIM(E5673)))</f>
        <v>United States</v>
      </c>
      <c r="M5673" s="7" t="str">
        <f aca="false">IFERROR(LEFT(J5673,FIND(",",J5673)-1),J5673)</f>
        <v>Crime TV Shows</v>
      </c>
      <c r="N5673" s="7" t="str">
        <f aca="false">IF(B5673="Movie",IFERROR(VALUE(LEFT(I5673,FIND(" ",I5673)-1)),""),"")</f>
        <v/>
      </c>
      <c r="O5673" s="7" t="n">
        <f aca="false">IF(B5673="TV Show",IFERROR(VALUE(LEFT(I5673,FIND(" ",I5673)-1)),""),"")</f>
        <v>3</v>
      </c>
      <c r="P5673" s="7" t="n">
        <f aca="false">IF(K5673="","",K5673-G5673)</f>
        <v>0</v>
      </c>
    </row>
    <row r="5674" customFormat="false" ht="15" hidden="false" customHeight="false" outlineLevel="0" collapsed="false">
      <c r="A5674" s="7" t="n">
        <v>80994754</v>
      </c>
      <c r="B5674" s="7" t="s">
        <v>78</v>
      </c>
      <c r="C5674" s="7" t="s">
        <v>11306</v>
      </c>
      <c r="E5674" s="7" t="s">
        <v>167</v>
      </c>
      <c r="F5674" s="7" t="s">
        <v>11303</v>
      </c>
      <c r="G5674" s="7" t="n">
        <v>2017</v>
      </c>
      <c r="H5674" s="7" t="s">
        <v>49</v>
      </c>
      <c r="I5674" s="7" t="s">
        <v>11155</v>
      </c>
      <c r="J5674" s="7" t="s">
        <v>2916</v>
      </c>
      <c r="K5674" s="7" t="n">
        <f aca="false">IFERROR(VALUE(RIGHT(TRIM(F5674),4)),"")</f>
        <v>2018</v>
      </c>
      <c r="L5674" s="7" t="str">
        <f aca="false">IF(TRIM(E5674)="","Unknown",IFERROR(LEFT(TRIM(E5674),FIND(",",TRIM(E5674))-1),TRIM(E5674)))</f>
        <v>Thailand</v>
      </c>
      <c r="M5674" s="7" t="str">
        <f aca="false">IFERROR(LEFT(J5674,FIND(",",J5674)-1),J5674)</f>
        <v>International TV Shows</v>
      </c>
      <c r="N5674" s="7" t="str">
        <f aca="false">IF(B5674="Movie",IFERROR(VALUE(LEFT(I5674,FIND(" ",I5674)-1)),""),"")</f>
        <v/>
      </c>
      <c r="O5674" s="7" t="n">
        <f aca="false">IF(B5674="TV Show",IFERROR(VALUE(LEFT(I5674,FIND(" ",I5674)-1)),""),"")</f>
        <v>4</v>
      </c>
      <c r="P5674" s="7" t="n">
        <f aca="false">IF(K5674="","",K5674-G5674)</f>
        <v>1</v>
      </c>
    </row>
    <row r="5675" customFormat="false" ht="15" hidden="false" customHeight="false" outlineLevel="0" collapsed="false">
      <c r="A5675" s="7" t="n">
        <v>80211634</v>
      </c>
      <c r="B5675" s="7" t="s">
        <v>78</v>
      </c>
      <c r="C5675" s="7" t="s">
        <v>11307</v>
      </c>
      <c r="E5675" s="7" t="s">
        <v>855</v>
      </c>
      <c r="F5675" s="7" t="s">
        <v>11308</v>
      </c>
      <c r="G5675" s="7" t="n">
        <v>2019</v>
      </c>
      <c r="H5675" s="7" t="s">
        <v>48</v>
      </c>
      <c r="I5675" s="7" t="s">
        <v>11132</v>
      </c>
      <c r="J5675" s="7" t="s">
        <v>2916</v>
      </c>
      <c r="K5675" s="7" t="n">
        <f aca="false">IFERROR(VALUE(RIGHT(TRIM(F5675),4)),"")</f>
        <v>2019</v>
      </c>
      <c r="L5675" s="7" t="str">
        <f aca="false">IF(TRIM(E5675)="","Unknown",IFERROR(LEFT(TRIM(E5675),FIND(",",TRIM(E5675))-1),TRIM(E5675)))</f>
        <v>Italy</v>
      </c>
      <c r="M5675" s="7" t="str">
        <f aca="false">IFERROR(LEFT(J5675,FIND(",",J5675)-1),J5675)</f>
        <v>International TV Shows</v>
      </c>
      <c r="N5675" s="7" t="str">
        <f aca="false">IF(B5675="Movie",IFERROR(VALUE(LEFT(I5675,FIND(" ",I5675)-1)),""),"")</f>
        <v/>
      </c>
      <c r="O5675" s="7" t="n">
        <f aca="false">IF(B5675="TV Show",IFERROR(VALUE(LEFT(I5675,FIND(" ",I5675)-1)),""),"")</f>
        <v>2</v>
      </c>
      <c r="P5675" s="7" t="n">
        <f aca="false">IF(K5675="","",K5675-G5675)</f>
        <v>0</v>
      </c>
    </row>
    <row r="5676" customFormat="false" ht="15" hidden="false" customHeight="false" outlineLevel="0" collapsed="false">
      <c r="A5676" s="7" t="n">
        <v>80176872</v>
      </c>
      <c r="B5676" s="7" t="s">
        <v>78</v>
      </c>
      <c r="C5676" s="7" t="s">
        <v>11309</v>
      </c>
      <c r="F5676" s="7" t="s">
        <v>11308</v>
      </c>
      <c r="G5676" s="7" t="n">
        <v>2019</v>
      </c>
      <c r="H5676" s="7" t="s">
        <v>119</v>
      </c>
      <c r="I5676" s="7" t="s">
        <v>11132</v>
      </c>
      <c r="J5676" s="7" t="s">
        <v>4493</v>
      </c>
      <c r="K5676" s="7" t="n">
        <f aca="false">IFERROR(VALUE(RIGHT(TRIM(F5676),4)),"")</f>
        <v>2019</v>
      </c>
      <c r="L5676" s="7" t="str">
        <f aca="false">IF(TRIM(E5676)="","Unknown",IFERROR(LEFT(TRIM(E5676),FIND(",",TRIM(E5676))-1),TRIM(E5676)))</f>
        <v>Unknown</v>
      </c>
      <c r="M5676" s="7" t="str">
        <f aca="false">IFERROR(LEFT(J5676,FIND(",",J5676)-1),J5676)</f>
        <v>British TV Shows</v>
      </c>
      <c r="N5676" s="7" t="str">
        <f aca="false">IF(B5676="Movie",IFERROR(VALUE(LEFT(I5676,FIND(" ",I5676)-1)),""),"")</f>
        <v/>
      </c>
      <c r="O5676" s="7" t="n">
        <f aca="false">IF(B5676="TV Show",IFERROR(VALUE(LEFT(I5676,FIND(" ",I5676)-1)),""),"")</f>
        <v>2</v>
      </c>
      <c r="P5676" s="7" t="n">
        <f aca="false">IF(K5676="","",K5676-G5676)</f>
        <v>0</v>
      </c>
    </row>
    <row r="5677" customFormat="false" ht="15" hidden="false" customHeight="false" outlineLevel="0" collapsed="false">
      <c r="A5677" s="7" t="n">
        <v>80126646</v>
      </c>
      <c r="B5677" s="7" t="s">
        <v>78</v>
      </c>
      <c r="C5677" s="7" t="s">
        <v>11310</v>
      </c>
      <c r="E5677" s="7" t="s">
        <v>26</v>
      </c>
      <c r="F5677" s="7" t="s">
        <v>11308</v>
      </c>
      <c r="G5677" s="7" t="n">
        <v>2019</v>
      </c>
      <c r="H5677" s="7" t="s">
        <v>49</v>
      </c>
      <c r="I5677" s="7" t="s">
        <v>11155</v>
      </c>
      <c r="J5677" s="7" t="s">
        <v>11311</v>
      </c>
      <c r="K5677" s="7" t="n">
        <f aca="false">IFERROR(VALUE(RIGHT(TRIM(F5677),4)),"")</f>
        <v>2019</v>
      </c>
      <c r="L5677" s="7" t="str">
        <f aca="false">IF(TRIM(E5677)="","Unknown",IFERROR(LEFT(TRIM(E5677),FIND(",",TRIM(E5677))-1),TRIM(E5677)))</f>
        <v>United States</v>
      </c>
      <c r="M5677" s="7" t="str">
        <f aca="false">IFERROR(LEFT(J5677,FIND(",",J5677)-1),J5677)</f>
        <v>Docuseries</v>
      </c>
      <c r="N5677" s="7" t="str">
        <f aca="false">IF(B5677="Movie",IFERROR(VALUE(LEFT(I5677,FIND(" ",I5677)-1)),""),"")</f>
        <v/>
      </c>
      <c r="O5677" s="7" t="n">
        <f aca="false">IF(B5677="TV Show",IFERROR(VALUE(LEFT(I5677,FIND(" ",I5677)-1)),""),"")</f>
        <v>4</v>
      </c>
      <c r="P5677" s="7" t="n">
        <f aca="false">IF(K5677="","",K5677-G5677)</f>
        <v>0</v>
      </c>
    </row>
    <row r="5678" customFormat="false" ht="15" hidden="false" customHeight="false" outlineLevel="0" collapsed="false">
      <c r="A5678" s="7" t="n">
        <v>81094271</v>
      </c>
      <c r="B5678" s="7" t="s">
        <v>78</v>
      </c>
      <c r="C5678" s="7" t="s">
        <v>11312</v>
      </c>
      <c r="E5678" s="7" t="s">
        <v>26</v>
      </c>
      <c r="F5678" s="7" t="s">
        <v>11308</v>
      </c>
      <c r="G5678" s="7" t="n">
        <v>2019</v>
      </c>
      <c r="H5678" s="7" t="s">
        <v>119</v>
      </c>
      <c r="I5678" s="7" t="s">
        <v>11132</v>
      </c>
      <c r="J5678" s="7" t="s">
        <v>44</v>
      </c>
      <c r="K5678" s="7" t="n">
        <f aca="false">IFERROR(VALUE(RIGHT(TRIM(F5678),4)),"")</f>
        <v>2019</v>
      </c>
      <c r="L5678" s="7" t="str">
        <f aca="false">IF(TRIM(E5678)="","Unknown",IFERROR(LEFT(TRIM(E5678),FIND(",",TRIM(E5678))-1),TRIM(E5678)))</f>
        <v>United States</v>
      </c>
      <c r="M5678" s="7" t="str">
        <f aca="false">IFERROR(LEFT(J5678,FIND(",",J5678)-1),J5678)</f>
        <v>Kids' TV</v>
      </c>
      <c r="N5678" s="7" t="str">
        <f aca="false">IF(B5678="Movie",IFERROR(VALUE(LEFT(I5678,FIND(" ",I5678)-1)),""),"")</f>
        <v/>
      </c>
      <c r="O5678" s="7" t="n">
        <f aca="false">IF(B5678="TV Show",IFERROR(VALUE(LEFT(I5678,FIND(" ",I5678)-1)),""),"")</f>
        <v>2</v>
      </c>
      <c r="P5678" s="7" t="n">
        <f aca="false">IF(K5678="","",K5678-G5678)</f>
        <v>0</v>
      </c>
    </row>
    <row r="5679" customFormat="false" ht="15" hidden="false" customHeight="false" outlineLevel="0" collapsed="false">
      <c r="A5679" s="7" t="n">
        <v>80160935</v>
      </c>
      <c r="B5679" s="7" t="s">
        <v>78</v>
      </c>
      <c r="C5679" s="7" t="s">
        <v>11313</v>
      </c>
      <c r="E5679" s="7" t="s">
        <v>34</v>
      </c>
      <c r="F5679" s="7" t="s">
        <v>11308</v>
      </c>
      <c r="G5679" s="7" t="n">
        <v>2019</v>
      </c>
      <c r="H5679" s="7" t="s">
        <v>48</v>
      </c>
      <c r="I5679" s="7" t="s">
        <v>11132</v>
      </c>
      <c r="J5679" s="7" t="s">
        <v>4526</v>
      </c>
      <c r="K5679" s="7" t="n">
        <f aca="false">IFERROR(VALUE(RIGHT(TRIM(F5679),4)),"")</f>
        <v>2019</v>
      </c>
      <c r="L5679" s="7" t="str">
        <f aca="false">IF(TRIM(E5679)="","Unknown",IFERROR(LEFT(TRIM(E5679),FIND(",",TRIM(E5679))-1),TRIM(E5679)))</f>
        <v>Mexico</v>
      </c>
      <c r="M5679" s="7" t="str">
        <f aca="false">IFERROR(LEFT(J5679,FIND(",",J5679)-1),J5679)</f>
        <v>International TV Shows</v>
      </c>
      <c r="N5679" s="7" t="str">
        <f aca="false">IF(B5679="Movie",IFERROR(VALUE(LEFT(I5679,FIND(" ",I5679)-1)),""),"")</f>
        <v/>
      </c>
      <c r="O5679" s="7" t="n">
        <f aca="false">IF(B5679="TV Show",IFERROR(VALUE(LEFT(I5679,FIND(" ",I5679)-1)),""),"")</f>
        <v>2</v>
      </c>
      <c r="P5679" s="7" t="n">
        <f aca="false">IF(K5679="","",K5679-G5679)</f>
        <v>0</v>
      </c>
    </row>
    <row r="5680" customFormat="false" ht="15" hidden="false" customHeight="false" outlineLevel="0" collapsed="false">
      <c r="A5680" s="7" t="n">
        <v>81064730</v>
      </c>
      <c r="B5680" s="7" t="s">
        <v>78</v>
      </c>
      <c r="C5680" s="7" t="s">
        <v>11314</v>
      </c>
      <c r="E5680" s="7" t="s">
        <v>868</v>
      </c>
      <c r="F5680" s="7" t="s">
        <v>11308</v>
      </c>
      <c r="G5680" s="7" t="n">
        <v>2017</v>
      </c>
      <c r="H5680" s="7" t="s">
        <v>48</v>
      </c>
      <c r="I5680" s="7" t="s">
        <v>11132</v>
      </c>
      <c r="J5680" s="7" t="s">
        <v>1357</v>
      </c>
      <c r="K5680" s="7" t="n">
        <f aca="false">IFERROR(VALUE(RIGHT(TRIM(F5680),4)),"")</f>
        <v>2019</v>
      </c>
      <c r="L5680" s="7" t="str">
        <f aca="false">IF(TRIM(E5680)="","Unknown",IFERROR(LEFT(TRIM(E5680),FIND(",",TRIM(E5680))-1),TRIM(E5680)))</f>
        <v>Netherlands</v>
      </c>
      <c r="M5680" s="7" t="str">
        <f aca="false">IFERROR(LEFT(J5680,FIND(",",J5680)-1),J5680)</f>
        <v>International TV Shows</v>
      </c>
      <c r="N5680" s="7" t="str">
        <f aca="false">IF(B5680="Movie",IFERROR(VALUE(LEFT(I5680,FIND(" ",I5680)-1)),""),"")</f>
        <v/>
      </c>
      <c r="O5680" s="7" t="n">
        <f aca="false">IF(B5680="TV Show",IFERROR(VALUE(LEFT(I5680,FIND(" ",I5680)-1)),""),"")</f>
        <v>2</v>
      </c>
      <c r="P5680" s="7" t="n">
        <f aca="false">IF(K5680="","",K5680-G5680)</f>
        <v>2</v>
      </c>
    </row>
    <row r="5681" customFormat="false" ht="15" hidden="false" customHeight="false" outlineLevel="0" collapsed="false">
      <c r="A5681" s="7" t="n">
        <v>80227516</v>
      </c>
      <c r="B5681" s="7" t="s">
        <v>78</v>
      </c>
      <c r="C5681" s="7" t="s">
        <v>11315</v>
      </c>
      <c r="E5681" s="7" t="s">
        <v>366</v>
      </c>
      <c r="F5681" s="7" t="s">
        <v>11316</v>
      </c>
      <c r="G5681" s="7" t="n">
        <v>2019</v>
      </c>
      <c r="H5681" s="7" t="s">
        <v>48</v>
      </c>
      <c r="I5681" s="7" t="s">
        <v>11132</v>
      </c>
      <c r="J5681" s="7" t="s">
        <v>588</v>
      </c>
      <c r="K5681" s="7" t="n">
        <f aca="false">IFERROR(VALUE(RIGHT(TRIM(F5681),4)),"")</f>
        <v>2019</v>
      </c>
      <c r="L5681" s="7" t="str">
        <f aca="false">IF(TRIM(E5681)="","Unknown",IFERROR(LEFT(TRIM(E5681),FIND(",",TRIM(E5681))-1),TRIM(E5681)))</f>
        <v>China</v>
      </c>
      <c r="M5681" s="7" t="str">
        <f aca="false">IFERROR(LEFT(J5681,FIND(",",J5681)-1),J5681)</f>
        <v>Crime TV Shows</v>
      </c>
      <c r="N5681" s="7" t="str">
        <f aca="false">IF(B5681="Movie",IFERROR(VALUE(LEFT(I5681,FIND(" ",I5681)-1)),""),"")</f>
        <v/>
      </c>
      <c r="O5681" s="7" t="n">
        <f aca="false">IF(B5681="TV Show",IFERROR(VALUE(LEFT(I5681,FIND(" ",I5681)-1)),""),"")</f>
        <v>2</v>
      </c>
      <c r="P5681" s="7" t="n">
        <f aca="false">IF(K5681="","",K5681-G5681)</f>
        <v>0</v>
      </c>
    </row>
    <row r="5682" customFormat="false" ht="15" hidden="false" customHeight="false" outlineLevel="0" collapsed="false">
      <c r="A5682" s="7" t="n">
        <v>70235760</v>
      </c>
      <c r="B5682" s="7" t="s">
        <v>78</v>
      </c>
      <c r="C5682" s="7" t="s">
        <v>11317</v>
      </c>
      <c r="E5682" s="7" t="s">
        <v>29</v>
      </c>
      <c r="F5682" s="7" t="s">
        <v>11318</v>
      </c>
      <c r="G5682" s="7" t="n">
        <v>2012</v>
      </c>
      <c r="H5682" s="7" t="s">
        <v>50</v>
      </c>
      <c r="I5682" s="7" t="s">
        <v>11132</v>
      </c>
      <c r="J5682" s="7" t="s">
        <v>191</v>
      </c>
      <c r="K5682" s="7" t="n">
        <f aca="false">IFERROR(VALUE(RIGHT(TRIM(F5682),4)),"")</f>
        <v>2018</v>
      </c>
      <c r="L5682" s="7" t="str">
        <f aca="false">IF(TRIM(E5682)="","Unknown",IFERROR(LEFT(TRIM(E5682),FIND(",",TRIM(E5682))-1),TRIM(E5682)))</f>
        <v>Canada</v>
      </c>
      <c r="M5682" s="7" t="str">
        <f aca="false">IFERROR(LEFT(J5682,FIND(",",J5682)-1),J5682)</f>
        <v>Kids' TV</v>
      </c>
      <c r="N5682" s="7" t="str">
        <f aca="false">IF(B5682="Movie",IFERROR(VALUE(LEFT(I5682,FIND(" ",I5682)-1)),""),"")</f>
        <v/>
      </c>
      <c r="O5682" s="7" t="n">
        <f aca="false">IF(B5682="TV Show",IFERROR(VALUE(LEFT(I5682,FIND(" ",I5682)-1)),""),"")</f>
        <v>2</v>
      </c>
      <c r="P5682" s="7" t="n">
        <f aca="false">IF(K5682="","",K5682-G5682)</f>
        <v>6</v>
      </c>
    </row>
    <row r="5683" customFormat="false" ht="15" hidden="false" customHeight="false" outlineLevel="0" collapsed="false">
      <c r="A5683" s="7" t="n">
        <v>70301553</v>
      </c>
      <c r="B5683" s="7" t="s">
        <v>78</v>
      </c>
      <c r="C5683" s="7" t="s">
        <v>11319</v>
      </c>
      <c r="E5683" s="7" t="s">
        <v>35</v>
      </c>
      <c r="F5683" s="7" t="s">
        <v>11320</v>
      </c>
      <c r="G5683" s="7" t="n">
        <v>2018</v>
      </c>
      <c r="H5683" s="7" t="s">
        <v>53</v>
      </c>
      <c r="I5683" s="7" t="s">
        <v>11135</v>
      </c>
      <c r="J5683" s="7" t="s">
        <v>3638</v>
      </c>
      <c r="K5683" s="7" t="n">
        <f aca="false">IFERROR(VALUE(RIGHT(TRIM(F5683),4)),"")</f>
        <v>2018</v>
      </c>
      <c r="L5683" s="7" t="str">
        <f aca="false">IF(TRIM(E5683)="","Unknown",IFERROR(LEFT(TRIM(E5683),FIND(",",TRIM(E5683))-1),TRIM(E5683)))</f>
        <v>Australia</v>
      </c>
      <c r="M5683" s="7" t="str">
        <f aca="false">IFERROR(LEFT(J5683,FIND(",",J5683)-1),J5683)</f>
        <v>Crime TV Shows</v>
      </c>
      <c r="N5683" s="7" t="str">
        <f aca="false">IF(B5683="Movie",IFERROR(VALUE(LEFT(I5683,FIND(" ",I5683)-1)),""),"")</f>
        <v/>
      </c>
      <c r="O5683" s="7" t="n">
        <f aca="false">IF(B5683="TV Show",IFERROR(VALUE(LEFT(I5683,FIND(" ",I5683)-1)),""),"")</f>
        <v>5</v>
      </c>
      <c r="P5683" s="7" t="n">
        <f aca="false">IF(K5683="","",K5683-G5683)</f>
        <v>0</v>
      </c>
    </row>
    <row r="5684" customFormat="false" ht="15" hidden="false" customHeight="false" outlineLevel="0" collapsed="false">
      <c r="A5684" s="7" t="n">
        <v>80042307</v>
      </c>
      <c r="B5684" s="7" t="s">
        <v>78</v>
      </c>
      <c r="C5684" s="7" t="s">
        <v>11321</v>
      </c>
      <c r="E5684" s="7" t="s">
        <v>29</v>
      </c>
      <c r="F5684" s="7" t="s">
        <v>11322</v>
      </c>
      <c r="G5684" s="7" t="n">
        <v>2015</v>
      </c>
      <c r="H5684" s="7" t="s">
        <v>226</v>
      </c>
      <c r="I5684" s="7" t="s">
        <v>11132</v>
      </c>
      <c r="J5684" s="7" t="s">
        <v>191</v>
      </c>
      <c r="K5684" s="7" t="n">
        <f aca="false">IFERROR(VALUE(RIGHT(TRIM(F5684),4)),"")</f>
        <v>2015</v>
      </c>
      <c r="L5684" s="7" t="str">
        <f aca="false">IF(TRIM(E5684)="","Unknown",IFERROR(LEFT(TRIM(E5684),FIND(",",TRIM(E5684))-1),TRIM(E5684)))</f>
        <v>Canada</v>
      </c>
      <c r="M5684" s="7" t="str">
        <f aca="false">IFERROR(LEFT(J5684,FIND(",",J5684)-1),J5684)</f>
        <v>Kids' TV</v>
      </c>
      <c r="N5684" s="7" t="str">
        <f aca="false">IF(B5684="Movie",IFERROR(VALUE(LEFT(I5684,FIND(" ",I5684)-1)),""),"")</f>
        <v/>
      </c>
      <c r="O5684" s="7" t="n">
        <f aca="false">IF(B5684="TV Show",IFERROR(VALUE(LEFT(I5684,FIND(" ",I5684)-1)),""),"")</f>
        <v>2</v>
      </c>
      <c r="P5684" s="7" t="n">
        <f aca="false">IF(K5684="","",K5684-G5684)</f>
        <v>0</v>
      </c>
    </row>
    <row r="5685" customFormat="false" ht="15" hidden="false" customHeight="false" outlineLevel="0" collapsed="false">
      <c r="A5685" s="7" t="n">
        <v>80020935</v>
      </c>
      <c r="B5685" s="7" t="s">
        <v>78</v>
      </c>
      <c r="C5685" s="7" t="s">
        <v>11323</v>
      </c>
      <c r="E5685" s="7" t="s">
        <v>11324</v>
      </c>
      <c r="F5685" s="7" t="s">
        <v>11325</v>
      </c>
      <c r="G5685" s="7" t="n">
        <v>2015</v>
      </c>
      <c r="H5685" s="7" t="s">
        <v>119</v>
      </c>
      <c r="I5685" s="7" t="s">
        <v>11155</v>
      </c>
      <c r="J5685" s="7" t="s">
        <v>4493</v>
      </c>
      <c r="K5685" s="7" t="n">
        <f aca="false">IFERROR(VALUE(RIGHT(TRIM(F5685),4)),"")</f>
        <v>2018</v>
      </c>
      <c r="L5685" s="7" t="str">
        <f aca="false">IF(TRIM(E5685)="","Unknown",IFERROR(LEFT(TRIM(E5685),FIND(",",TRIM(E5685))-1),TRIM(E5685)))</f>
        <v>United States</v>
      </c>
      <c r="M5685" s="7" t="str">
        <f aca="false">IFERROR(LEFT(J5685,FIND(",",J5685)-1),J5685)</f>
        <v>British TV Shows</v>
      </c>
      <c r="N5685" s="7" t="str">
        <f aca="false">IF(B5685="Movie",IFERROR(VALUE(LEFT(I5685,FIND(" ",I5685)-1)),""),"")</f>
        <v/>
      </c>
      <c r="O5685" s="7" t="n">
        <f aca="false">IF(B5685="TV Show",IFERROR(VALUE(LEFT(I5685,FIND(" ",I5685)-1)),""),"")</f>
        <v>4</v>
      </c>
      <c r="P5685" s="7" t="n">
        <f aca="false">IF(K5685="","",K5685-G5685)</f>
        <v>3</v>
      </c>
    </row>
    <row r="5686" customFormat="false" ht="15" hidden="false" customHeight="false" outlineLevel="0" collapsed="false">
      <c r="A5686" s="7" t="n">
        <v>80176076</v>
      </c>
      <c r="B5686" s="7" t="s">
        <v>78</v>
      </c>
      <c r="C5686" s="7" t="s">
        <v>11326</v>
      </c>
      <c r="E5686" s="7" t="s">
        <v>26</v>
      </c>
      <c r="F5686" s="7" t="s">
        <v>11325</v>
      </c>
      <c r="G5686" s="7" t="n">
        <v>2018</v>
      </c>
      <c r="H5686" s="7" t="s">
        <v>81</v>
      </c>
      <c r="I5686" s="7" t="s">
        <v>11132</v>
      </c>
      <c r="J5686" s="7" t="s">
        <v>44</v>
      </c>
      <c r="K5686" s="7" t="n">
        <f aca="false">IFERROR(VALUE(RIGHT(TRIM(F5686),4)),"")</f>
        <v>2018</v>
      </c>
      <c r="L5686" s="7" t="str">
        <f aca="false">IF(TRIM(E5686)="","Unknown",IFERROR(LEFT(TRIM(E5686),FIND(",",TRIM(E5686))-1),TRIM(E5686)))</f>
        <v>United States</v>
      </c>
      <c r="M5686" s="7" t="str">
        <f aca="false">IFERROR(LEFT(J5686,FIND(",",J5686)-1),J5686)</f>
        <v>Kids' TV</v>
      </c>
      <c r="N5686" s="7" t="str">
        <f aca="false">IF(B5686="Movie",IFERROR(VALUE(LEFT(I5686,FIND(" ",I5686)-1)),""),"")</f>
        <v/>
      </c>
      <c r="O5686" s="7" t="n">
        <f aca="false">IF(B5686="TV Show",IFERROR(VALUE(LEFT(I5686,FIND(" ",I5686)-1)),""),"")</f>
        <v>2</v>
      </c>
      <c r="P5686" s="7" t="n">
        <f aca="false">IF(K5686="","",K5686-G5686)</f>
        <v>0</v>
      </c>
    </row>
    <row r="5687" customFormat="false" ht="15" hidden="false" customHeight="false" outlineLevel="0" collapsed="false">
      <c r="A5687" s="7" t="n">
        <v>80050063</v>
      </c>
      <c r="B5687" s="7" t="s">
        <v>78</v>
      </c>
      <c r="C5687" s="7" t="s">
        <v>11327</v>
      </c>
      <c r="E5687" s="7" t="s">
        <v>30</v>
      </c>
      <c r="F5687" s="7" t="s">
        <v>11325</v>
      </c>
      <c r="G5687" s="7" t="n">
        <v>2018</v>
      </c>
      <c r="H5687" s="7" t="s">
        <v>49</v>
      </c>
      <c r="I5687" s="7" t="s">
        <v>11148</v>
      </c>
      <c r="J5687" s="7" t="s">
        <v>542</v>
      </c>
      <c r="K5687" s="7" t="n">
        <f aca="false">IFERROR(VALUE(RIGHT(TRIM(F5687),4)),"")</f>
        <v>2018</v>
      </c>
      <c r="L5687" s="7" t="str">
        <f aca="false">IF(TRIM(E5687)="","Unknown",IFERROR(LEFT(TRIM(E5687),FIND(",",TRIM(E5687))-1),TRIM(E5687)))</f>
        <v>Japan</v>
      </c>
      <c r="M5687" s="7" t="str">
        <f aca="false">IFERROR(LEFT(J5687,FIND(",",J5687)-1),J5687)</f>
        <v>Anime Series</v>
      </c>
      <c r="N5687" s="7" t="str">
        <f aca="false">IF(B5687="Movie",IFERROR(VALUE(LEFT(I5687,FIND(" ",I5687)-1)),""),"")</f>
        <v/>
      </c>
      <c r="O5687" s="7" t="n">
        <f aca="false">IF(B5687="TV Show",IFERROR(VALUE(LEFT(I5687,FIND(" ",I5687)-1)),""),"")</f>
        <v>3</v>
      </c>
      <c r="P5687" s="7" t="n">
        <f aca="false">IF(K5687="","",K5687-G5687)</f>
        <v>0</v>
      </c>
    </row>
    <row r="5688" customFormat="false" ht="15" hidden="false" customHeight="false" outlineLevel="0" collapsed="false">
      <c r="A5688" s="7" t="n">
        <v>80135640</v>
      </c>
      <c r="B5688" s="7" t="s">
        <v>78</v>
      </c>
      <c r="C5688" s="7" t="s">
        <v>11328</v>
      </c>
      <c r="E5688" s="7" t="s">
        <v>26</v>
      </c>
      <c r="F5688" s="7" t="s">
        <v>11329</v>
      </c>
      <c r="G5688" s="7" t="n">
        <v>2015</v>
      </c>
      <c r="H5688" s="7" t="s">
        <v>226</v>
      </c>
      <c r="I5688" s="7" t="s">
        <v>11198</v>
      </c>
      <c r="J5688" s="7" t="s">
        <v>1046</v>
      </c>
      <c r="K5688" s="7" t="n">
        <f aca="false">IFERROR(VALUE(RIGHT(TRIM(F5688),4)),"")</f>
        <v>2017</v>
      </c>
      <c r="L5688" s="7" t="str">
        <f aca="false">IF(TRIM(E5688)="","Unknown",IFERROR(LEFT(TRIM(E5688),FIND(",",TRIM(E5688))-1),TRIM(E5688)))</f>
        <v>United States</v>
      </c>
      <c r="M5688" s="7" t="str">
        <f aca="false">IFERROR(LEFT(J5688,FIND(",",J5688)-1),J5688)</f>
        <v>Docuseries</v>
      </c>
      <c r="N5688" s="7" t="str">
        <f aca="false">IF(B5688="Movie",IFERROR(VALUE(LEFT(I5688,FIND(" ",I5688)-1)),""),"")</f>
        <v/>
      </c>
      <c r="O5688" s="7" t="n">
        <f aca="false">IF(B5688="TV Show",IFERROR(VALUE(LEFT(I5688,FIND(" ",I5688)-1)),""),"")</f>
        <v>6</v>
      </c>
      <c r="P5688" s="7" t="n">
        <f aca="false">IF(K5688="","",K5688-G5688)</f>
        <v>2</v>
      </c>
    </row>
    <row r="5689" customFormat="false" ht="15" hidden="false" customHeight="false" outlineLevel="0" collapsed="false">
      <c r="A5689" s="7" t="n">
        <v>70309457</v>
      </c>
      <c r="B5689" s="7" t="s">
        <v>78</v>
      </c>
      <c r="C5689" s="7" t="s">
        <v>11330</v>
      </c>
      <c r="E5689" s="7" t="s">
        <v>30</v>
      </c>
      <c r="F5689" s="7" t="s">
        <v>11331</v>
      </c>
      <c r="G5689" s="7" t="n">
        <v>2008</v>
      </c>
      <c r="H5689" s="7" t="s">
        <v>49</v>
      </c>
      <c r="I5689" s="7" t="s">
        <v>11132</v>
      </c>
      <c r="J5689" s="7" t="s">
        <v>1253</v>
      </c>
      <c r="K5689" s="7" t="n">
        <f aca="false">IFERROR(VALUE(RIGHT(TRIM(F5689),4)),"")</f>
        <v>2016</v>
      </c>
      <c r="L5689" s="7" t="str">
        <f aca="false">IF(TRIM(E5689)="","Unknown",IFERROR(LEFT(TRIM(E5689),FIND(",",TRIM(E5689))-1),TRIM(E5689)))</f>
        <v>Japan</v>
      </c>
      <c r="M5689" s="7" t="str">
        <f aca="false">IFERROR(LEFT(J5689,FIND(",",J5689)-1),J5689)</f>
        <v>Anime Series</v>
      </c>
      <c r="N5689" s="7" t="str">
        <f aca="false">IF(B5689="Movie",IFERROR(VALUE(LEFT(I5689,FIND(" ",I5689)-1)),""),"")</f>
        <v/>
      </c>
      <c r="O5689" s="7" t="n">
        <f aca="false">IF(B5689="TV Show",IFERROR(VALUE(LEFT(I5689,FIND(" ",I5689)-1)),""),"")</f>
        <v>2</v>
      </c>
      <c r="P5689" s="7" t="n">
        <f aca="false">IF(K5689="","",K5689-G5689)</f>
        <v>8</v>
      </c>
    </row>
    <row r="5690" customFormat="false" ht="15" hidden="false" customHeight="false" outlineLevel="0" collapsed="false">
      <c r="A5690" s="7" t="n">
        <v>80057506</v>
      </c>
      <c r="B5690" s="7" t="s">
        <v>78</v>
      </c>
      <c r="C5690" s="7" t="s">
        <v>11332</v>
      </c>
      <c r="F5690" s="7" t="s">
        <v>11333</v>
      </c>
      <c r="G5690" s="7" t="n">
        <v>2018</v>
      </c>
      <c r="H5690" s="7" t="s">
        <v>81</v>
      </c>
      <c r="I5690" s="7" t="s">
        <v>11132</v>
      </c>
      <c r="J5690" s="7" t="s">
        <v>11334</v>
      </c>
      <c r="K5690" s="7" t="n">
        <f aca="false">IFERROR(VALUE(RIGHT(TRIM(F5690),4)),"")</f>
        <v>2018</v>
      </c>
      <c r="L5690" s="7" t="str">
        <f aca="false">IF(TRIM(E5690)="","Unknown",IFERROR(LEFT(TRIM(E5690),FIND(",",TRIM(E5690))-1),TRIM(E5690)))</f>
        <v>Unknown</v>
      </c>
      <c r="M5690" s="7" t="str">
        <f aca="false">IFERROR(LEFT(J5690,FIND(",",J5690)-1),J5690)</f>
        <v>Crime TV Shows</v>
      </c>
      <c r="N5690" s="7" t="str">
        <f aca="false">IF(B5690="Movie",IFERROR(VALUE(LEFT(I5690,FIND(" ",I5690)-1)),""),"")</f>
        <v/>
      </c>
      <c r="O5690" s="7" t="n">
        <f aca="false">IF(B5690="TV Show",IFERROR(VALUE(LEFT(I5690,FIND(" ",I5690)-1)),""),"")</f>
        <v>2</v>
      </c>
      <c r="P5690" s="7" t="n">
        <f aca="false">IF(K5690="","",K5690-G5690)</f>
        <v>0</v>
      </c>
    </row>
    <row r="5691" customFormat="false" ht="15" hidden="false" customHeight="false" outlineLevel="0" collapsed="false">
      <c r="A5691" s="7" t="n">
        <v>80178943</v>
      </c>
      <c r="B5691" s="7" t="s">
        <v>78</v>
      </c>
      <c r="C5691" s="7" t="s">
        <v>11335</v>
      </c>
      <c r="E5691" s="7" t="s">
        <v>26</v>
      </c>
      <c r="F5691" s="7" t="s">
        <v>11333</v>
      </c>
      <c r="G5691" s="7" t="n">
        <v>2018</v>
      </c>
      <c r="H5691" s="7" t="s">
        <v>55</v>
      </c>
      <c r="I5691" s="7" t="s">
        <v>11132</v>
      </c>
      <c r="J5691" s="7" t="s">
        <v>191</v>
      </c>
      <c r="K5691" s="7" t="n">
        <f aca="false">IFERROR(VALUE(RIGHT(TRIM(F5691),4)),"")</f>
        <v>2018</v>
      </c>
      <c r="L5691" s="7" t="str">
        <f aca="false">IF(TRIM(E5691)="","Unknown",IFERROR(LEFT(TRIM(E5691),FIND(",",TRIM(E5691))-1),TRIM(E5691)))</f>
        <v>United States</v>
      </c>
      <c r="M5691" s="7" t="str">
        <f aca="false">IFERROR(LEFT(J5691,FIND(",",J5691)-1),J5691)</f>
        <v>Kids' TV</v>
      </c>
      <c r="N5691" s="7" t="str">
        <f aca="false">IF(B5691="Movie",IFERROR(VALUE(LEFT(I5691,FIND(" ",I5691)-1)),""),"")</f>
        <v/>
      </c>
      <c r="O5691" s="7" t="n">
        <f aca="false">IF(B5691="TV Show",IFERROR(VALUE(LEFT(I5691,FIND(" ",I5691)-1)),""),"")</f>
        <v>2</v>
      </c>
      <c r="P5691" s="7" t="n">
        <f aca="false">IF(K5691="","",K5691-G5691)</f>
        <v>0</v>
      </c>
    </row>
    <row r="5692" customFormat="false" ht="15" hidden="false" customHeight="false" outlineLevel="0" collapsed="false">
      <c r="A5692" s="7" t="n">
        <v>80195378</v>
      </c>
      <c r="B5692" s="7" t="s">
        <v>78</v>
      </c>
      <c r="C5692" s="7" t="s">
        <v>11336</v>
      </c>
      <c r="E5692" s="7" t="s">
        <v>1401</v>
      </c>
      <c r="F5692" s="7" t="s">
        <v>11337</v>
      </c>
      <c r="G5692" s="7" t="n">
        <v>2019</v>
      </c>
      <c r="H5692" s="7" t="s">
        <v>48</v>
      </c>
      <c r="I5692" s="7" t="s">
        <v>11132</v>
      </c>
      <c r="J5692" s="7" t="s">
        <v>11338</v>
      </c>
      <c r="K5692" s="7" t="n">
        <f aca="false">IFERROR(VALUE(RIGHT(TRIM(F5692),4)),"")</f>
        <v>2019</v>
      </c>
      <c r="L5692" s="7" t="str">
        <f aca="false">IF(TRIM(E5692)="","Unknown",IFERROR(LEFT(TRIM(E5692),FIND(",",TRIM(E5692))-1),TRIM(E5692)))</f>
        <v>United States</v>
      </c>
      <c r="M5692" s="7" t="str">
        <f aca="false">IFERROR(LEFT(J5692,FIND(",",J5692)-1),J5692)</f>
        <v>Reality TV</v>
      </c>
      <c r="N5692" s="7" t="str">
        <f aca="false">IF(B5692="Movie",IFERROR(VALUE(LEFT(I5692,FIND(" ",I5692)-1)),""),"")</f>
        <v/>
      </c>
      <c r="O5692" s="7" t="n">
        <f aca="false">IF(B5692="TV Show",IFERROR(VALUE(LEFT(I5692,FIND(" ",I5692)-1)),""),"")</f>
        <v>2</v>
      </c>
      <c r="P5692" s="7" t="n">
        <f aca="false">IF(K5692="","",K5692-G5692)</f>
        <v>0</v>
      </c>
    </row>
    <row r="5693" customFormat="false" ht="15" hidden="false" customHeight="false" outlineLevel="0" collapsed="false">
      <c r="A5693" s="7" t="n">
        <v>80179905</v>
      </c>
      <c r="B5693" s="7" t="s">
        <v>78</v>
      </c>
      <c r="C5693" s="7" t="s">
        <v>11339</v>
      </c>
      <c r="E5693" s="7" t="s">
        <v>26</v>
      </c>
      <c r="F5693" s="7" t="s">
        <v>11337</v>
      </c>
      <c r="G5693" s="7" t="n">
        <v>2019</v>
      </c>
      <c r="H5693" s="7" t="s">
        <v>48</v>
      </c>
      <c r="I5693" s="7" t="s">
        <v>11132</v>
      </c>
      <c r="J5693" s="7" t="s">
        <v>408</v>
      </c>
      <c r="K5693" s="7" t="n">
        <f aca="false">IFERROR(VALUE(RIGHT(TRIM(F5693),4)),"")</f>
        <v>2019</v>
      </c>
      <c r="L5693" s="7" t="str">
        <f aca="false">IF(TRIM(E5693)="","Unknown",IFERROR(LEFT(TRIM(E5693),FIND(",",TRIM(E5693))-1),TRIM(E5693)))</f>
        <v>United States</v>
      </c>
      <c r="M5693" s="7" t="str">
        <f aca="false">IFERROR(LEFT(J5693,FIND(",",J5693)-1),J5693)</f>
        <v>TV Comedies</v>
      </c>
      <c r="N5693" s="7" t="str">
        <f aca="false">IF(B5693="Movie",IFERROR(VALUE(LEFT(I5693,FIND(" ",I5693)-1)),""),"")</f>
        <v/>
      </c>
      <c r="O5693" s="7" t="n">
        <f aca="false">IF(B5693="TV Show",IFERROR(VALUE(LEFT(I5693,FIND(" ",I5693)-1)),""),"")</f>
        <v>2</v>
      </c>
      <c r="P5693" s="7" t="n">
        <f aca="false">IF(K5693="","",K5693-G5693)</f>
        <v>0</v>
      </c>
    </row>
    <row r="5694" customFormat="false" ht="15" hidden="false" customHeight="false" outlineLevel="0" collapsed="false">
      <c r="A5694" s="7" t="n">
        <v>80190086</v>
      </c>
      <c r="B5694" s="7" t="s">
        <v>78</v>
      </c>
      <c r="C5694" s="7" t="s">
        <v>11340</v>
      </c>
      <c r="E5694" s="7" t="s">
        <v>31</v>
      </c>
      <c r="F5694" s="7" t="s">
        <v>11337</v>
      </c>
      <c r="G5694" s="7" t="n">
        <v>2019</v>
      </c>
      <c r="H5694" s="7" t="s">
        <v>49</v>
      </c>
      <c r="I5694" s="7" t="s">
        <v>11132</v>
      </c>
      <c r="J5694" s="7" t="s">
        <v>158</v>
      </c>
      <c r="K5694" s="7" t="n">
        <f aca="false">IFERROR(VALUE(RIGHT(TRIM(F5694),4)),"")</f>
        <v>2019</v>
      </c>
      <c r="L5694" s="7" t="str">
        <f aca="false">IF(TRIM(E5694)="","Unknown",IFERROR(LEFT(TRIM(E5694),FIND(",",TRIM(E5694))-1),TRIM(E5694)))</f>
        <v>France</v>
      </c>
      <c r="M5694" s="7" t="str">
        <f aca="false">IFERROR(LEFT(J5694,FIND(",",J5694)-1),J5694)</f>
        <v>International TV Shows</v>
      </c>
      <c r="N5694" s="7" t="str">
        <f aca="false">IF(B5694="Movie",IFERROR(VALUE(LEFT(I5694,FIND(" ",I5694)-1)),""),"")</f>
        <v/>
      </c>
      <c r="O5694" s="7" t="n">
        <f aca="false">IF(B5694="TV Show",IFERROR(VALUE(LEFT(I5694,FIND(" ",I5694)-1)),""),"")</f>
        <v>2</v>
      </c>
      <c r="P5694" s="7" t="n">
        <f aca="false">IF(K5694="","",K5694-G5694)</f>
        <v>0</v>
      </c>
    </row>
    <row r="5695" customFormat="false" ht="15" hidden="false" customHeight="false" outlineLevel="0" collapsed="false">
      <c r="A5695" s="7" t="n">
        <v>80212481</v>
      </c>
      <c r="B5695" s="7" t="s">
        <v>78</v>
      </c>
      <c r="C5695" s="7" t="s">
        <v>11341</v>
      </c>
      <c r="E5695" s="7" t="s">
        <v>32</v>
      </c>
      <c r="F5695" s="7" t="s">
        <v>11337</v>
      </c>
      <c r="G5695" s="7" t="n">
        <v>2019</v>
      </c>
      <c r="H5695" s="7" t="s">
        <v>119</v>
      </c>
      <c r="I5695" s="7" t="s">
        <v>11132</v>
      </c>
      <c r="J5695" s="7" t="s">
        <v>1686</v>
      </c>
      <c r="K5695" s="7" t="n">
        <f aca="false">IFERROR(VALUE(RIGHT(TRIM(F5695),4)),"")</f>
        <v>2019</v>
      </c>
      <c r="L5695" s="7" t="str">
        <f aca="false">IF(TRIM(E5695)="","Unknown",IFERROR(LEFT(TRIM(E5695),FIND(",",TRIM(E5695))-1),TRIM(E5695)))</f>
        <v>South Korea</v>
      </c>
      <c r="M5695" s="7" t="str">
        <f aca="false">IFERROR(LEFT(J5695,FIND(",",J5695)-1),J5695)</f>
        <v>Kids' TV</v>
      </c>
      <c r="N5695" s="7" t="str">
        <f aca="false">IF(B5695="Movie",IFERROR(VALUE(LEFT(I5695,FIND(" ",I5695)-1)),""),"")</f>
        <v/>
      </c>
      <c r="O5695" s="7" t="n">
        <f aca="false">IF(B5695="TV Show",IFERROR(VALUE(LEFT(I5695,FIND(" ",I5695)-1)),""),"")</f>
        <v>2</v>
      </c>
      <c r="P5695" s="7" t="n">
        <f aca="false">IF(K5695="","",K5695-G5695)</f>
        <v>0</v>
      </c>
    </row>
    <row r="5696" customFormat="false" ht="15" hidden="false" customHeight="false" outlineLevel="0" collapsed="false">
      <c r="A5696" s="7" t="n">
        <v>80036165</v>
      </c>
      <c r="B5696" s="7" t="s">
        <v>78</v>
      </c>
      <c r="C5696" s="7" t="s">
        <v>11342</v>
      </c>
      <c r="E5696" s="7" t="s">
        <v>619</v>
      </c>
      <c r="F5696" s="7" t="s">
        <v>11343</v>
      </c>
      <c r="G5696" s="7" t="n">
        <v>2019</v>
      </c>
      <c r="H5696" s="7" t="s">
        <v>49</v>
      </c>
      <c r="I5696" s="7" t="s">
        <v>11135</v>
      </c>
      <c r="J5696" s="7" t="s">
        <v>289</v>
      </c>
      <c r="K5696" s="7" t="n">
        <f aca="false">IFERROR(VALUE(RIGHT(TRIM(F5696),4)),"")</f>
        <v>2019</v>
      </c>
      <c r="L5696" s="7" t="str">
        <f aca="false">IF(TRIM(E5696)="","Unknown",IFERROR(LEFT(TRIM(E5696),FIND(",",TRIM(E5696))-1),TRIM(E5696)))</f>
        <v>Canada</v>
      </c>
      <c r="M5696" s="7" t="str">
        <f aca="false">IFERROR(LEFT(J5696,FIND(",",J5696)-1),J5696)</f>
        <v>TV Comedies</v>
      </c>
      <c r="N5696" s="7" t="str">
        <f aca="false">IF(B5696="Movie",IFERROR(VALUE(LEFT(I5696,FIND(" ",I5696)-1)),""),"")</f>
        <v/>
      </c>
      <c r="O5696" s="7" t="n">
        <f aca="false">IF(B5696="TV Show",IFERROR(VALUE(LEFT(I5696,FIND(" ",I5696)-1)),""),"")</f>
        <v>5</v>
      </c>
      <c r="P5696" s="7" t="n">
        <f aca="false">IF(K5696="","",K5696-G5696)</f>
        <v>0</v>
      </c>
    </row>
    <row r="5697" customFormat="false" ht="15" hidden="false" customHeight="false" outlineLevel="0" collapsed="false">
      <c r="A5697" s="7" t="n">
        <v>80083261</v>
      </c>
      <c r="B5697" s="7" t="s">
        <v>78</v>
      </c>
      <c r="C5697" s="7" t="s">
        <v>11344</v>
      </c>
      <c r="E5697" s="7" t="s">
        <v>28</v>
      </c>
      <c r="F5697" s="7" t="s">
        <v>11345</v>
      </c>
      <c r="G5697" s="7" t="n">
        <v>2012</v>
      </c>
      <c r="H5697" s="7" t="s">
        <v>48</v>
      </c>
      <c r="I5697" s="7" t="s">
        <v>11132</v>
      </c>
      <c r="J5697" s="7" t="s">
        <v>1612</v>
      </c>
      <c r="K5697" s="7" t="n">
        <f aca="false">IFERROR(VALUE(RIGHT(TRIM(F5697),4)),"")</f>
        <v>2019</v>
      </c>
      <c r="L5697" s="7" t="str">
        <f aca="false">IF(TRIM(E5697)="","Unknown",IFERROR(LEFT(TRIM(E5697),FIND(",",TRIM(E5697))-1),TRIM(E5697)))</f>
        <v>United Kingdom</v>
      </c>
      <c r="M5697" s="7" t="str">
        <f aca="false">IFERROR(LEFT(J5697,FIND(",",J5697)-1),J5697)</f>
        <v>British TV Shows</v>
      </c>
      <c r="N5697" s="7" t="str">
        <f aca="false">IF(B5697="Movie",IFERROR(VALUE(LEFT(I5697,FIND(" ",I5697)-1)),""),"")</f>
        <v/>
      </c>
      <c r="O5697" s="7" t="n">
        <f aca="false">IF(B5697="TV Show",IFERROR(VALUE(LEFT(I5697,FIND(" ",I5697)-1)),""),"")</f>
        <v>2</v>
      </c>
      <c r="P5697" s="7" t="n">
        <f aca="false">IF(K5697="","",K5697-G5697)</f>
        <v>7</v>
      </c>
    </row>
    <row r="5698" customFormat="false" ht="15" hidden="false" customHeight="false" outlineLevel="0" collapsed="false">
      <c r="A5698" s="7" t="n">
        <v>80167821</v>
      </c>
      <c r="B5698" s="7" t="s">
        <v>78</v>
      </c>
      <c r="C5698" s="7" t="s">
        <v>11346</v>
      </c>
      <c r="E5698" s="7" t="s">
        <v>26</v>
      </c>
      <c r="F5698" s="7" t="s">
        <v>11345</v>
      </c>
      <c r="G5698" s="7" t="n">
        <v>2019</v>
      </c>
      <c r="H5698" s="7" t="s">
        <v>81</v>
      </c>
      <c r="I5698" s="7" t="s">
        <v>11132</v>
      </c>
      <c r="J5698" s="7" t="s">
        <v>1717</v>
      </c>
      <c r="K5698" s="7" t="n">
        <f aca="false">IFERROR(VALUE(RIGHT(TRIM(F5698),4)),"")</f>
        <v>2019</v>
      </c>
      <c r="L5698" s="7" t="str">
        <f aca="false">IF(TRIM(E5698)="","Unknown",IFERROR(LEFT(TRIM(E5698),FIND(",",TRIM(E5698))-1),TRIM(E5698)))</f>
        <v>United States</v>
      </c>
      <c r="M5698" s="7" t="str">
        <f aca="false">IFERROR(LEFT(J5698,FIND(",",J5698)-1),J5698)</f>
        <v>Kids' TV</v>
      </c>
      <c r="N5698" s="7" t="str">
        <f aca="false">IF(B5698="Movie",IFERROR(VALUE(LEFT(I5698,FIND(" ",I5698)-1)),""),"")</f>
        <v/>
      </c>
      <c r="O5698" s="7" t="n">
        <f aca="false">IF(B5698="TV Show",IFERROR(VALUE(LEFT(I5698,FIND(" ",I5698)-1)),""),"")</f>
        <v>2</v>
      </c>
      <c r="P5698" s="7" t="n">
        <f aca="false">IF(K5698="","",K5698-G5698)</f>
        <v>0</v>
      </c>
    </row>
    <row r="5699" customFormat="false" ht="15" hidden="false" customHeight="false" outlineLevel="0" collapsed="false">
      <c r="A5699" s="7" t="n">
        <v>80083330</v>
      </c>
      <c r="B5699" s="7" t="s">
        <v>78</v>
      </c>
      <c r="C5699" s="7" t="s">
        <v>11347</v>
      </c>
      <c r="E5699" s="7" t="s">
        <v>28</v>
      </c>
      <c r="F5699" s="7" t="s">
        <v>11345</v>
      </c>
      <c r="G5699" s="7" t="n">
        <v>2012</v>
      </c>
      <c r="H5699" s="7" t="s">
        <v>48</v>
      </c>
      <c r="I5699" s="7" t="s">
        <v>11132</v>
      </c>
      <c r="J5699" s="7" t="s">
        <v>1612</v>
      </c>
      <c r="K5699" s="7" t="n">
        <f aca="false">IFERROR(VALUE(RIGHT(TRIM(F5699),4)),"")</f>
        <v>2019</v>
      </c>
      <c r="L5699" s="7" t="str">
        <f aca="false">IF(TRIM(E5699)="","Unknown",IFERROR(LEFT(TRIM(E5699),FIND(",",TRIM(E5699))-1),TRIM(E5699)))</f>
        <v>United Kingdom</v>
      </c>
      <c r="M5699" s="7" t="str">
        <f aca="false">IFERROR(LEFT(J5699,FIND(",",J5699)-1),J5699)</f>
        <v>British TV Shows</v>
      </c>
      <c r="N5699" s="7" t="str">
        <f aca="false">IF(B5699="Movie",IFERROR(VALUE(LEFT(I5699,FIND(" ",I5699)-1)),""),"")</f>
        <v/>
      </c>
      <c r="O5699" s="7" t="n">
        <f aca="false">IF(B5699="TV Show",IFERROR(VALUE(LEFT(I5699,FIND(" ",I5699)-1)),""),"")</f>
        <v>2</v>
      </c>
      <c r="P5699" s="7" t="n">
        <f aca="false">IF(K5699="","",K5699-G5699)</f>
        <v>7</v>
      </c>
    </row>
    <row r="5700" customFormat="false" ht="15" hidden="false" customHeight="false" outlineLevel="0" collapsed="false">
      <c r="A5700" s="7" t="n">
        <v>80116762</v>
      </c>
      <c r="B5700" s="7" t="s">
        <v>78</v>
      </c>
      <c r="C5700" s="7" t="s">
        <v>11348</v>
      </c>
      <c r="E5700" s="7" t="s">
        <v>28</v>
      </c>
      <c r="F5700" s="7" t="s">
        <v>11349</v>
      </c>
      <c r="G5700" s="7" t="n">
        <v>2017</v>
      </c>
      <c r="H5700" s="7" t="s">
        <v>48</v>
      </c>
      <c r="I5700" s="7" t="s">
        <v>11132</v>
      </c>
      <c r="J5700" s="7" t="s">
        <v>668</v>
      </c>
      <c r="K5700" s="7" t="n">
        <f aca="false">IFERROR(VALUE(RIGHT(TRIM(F5700),4)),"")</f>
        <v>2018</v>
      </c>
      <c r="L5700" s="7" t="str">
        <f aca="false">IF(TRIM(E5700)="","Unknown",IFERROR(LEFT(TRIM(E5700),FIND(",",TRIM(E5700))-1),TRIM(E5700)))</f>
        <v>United Kingdom</v>
      </c>
      <c r="M5700" s="7" t="str">
        <f aca="false">IFERROR(LEFT(J5700,FIND(",",J5700)-1),J5700)</f>
        <v>British TV Shows</v>
      </c>
      <c r="N5700" s="7" t="str">
        <f aca="false">IF(B5700="Movie",IFERROR(VALUE(LEFT(I5700,FIND(" ",I5700)-1)),""),"")</f>
        <v/>
      </c>
      <c r="O5700" s="7" t="n">
        <f aca="false">IF(B5700="TV Show",IFERROR(VALUE(LEFT(I5700,FIND(" ",I5700)-1)),""),"")</f>
        <v>2</v>
      </c>
      <c r="P5700" s="7" t="n">
        <f aca="false">IF(K5700="","",K5700-G5700)</f>
        <v>1</v>
      </c>
    </row>
    <row r="5701" customFormat="false" ht="15" hidden="false" customHeight="false" outlineLevel="0" collapsed="false">
      <c r="A5701" s="7" t="n">
        <v>80073432</v>
      </c>
      <c r="B5701" s="7" t="s">
        <v>78</v>
      </c>
      <c r="C5701" s="7" t="s">
        <v>11350</v>
      </c>
      <c r="E5701" s="7" t="s">
        <v>28</v>
      </c>
      <c r="F5701" s="7" t="s">
        <v>11349</v>
      </c>
      <c r="G5701" s="7" t="n">
        <v>2016</v>
      </c>
      <c r="H5701" s="7" t="s">
        <v>49</v>
      </c>
      <c r="I5701" s="7" t="s">
        <v>11152</v>
      </c>
      <c r="J5701" s="7" t="s">
        <v>11245</v>
      </c>
      <c r="K5701" s="7" t="n">
        <f aca="false">IFERROR(VALUE(RIGHT(TRIM(F5701),4)),"")</f>
        <v>2018</v>
      </c>
      <c r="L5701" s="7" t="str">
        <f aca="false">IF(TRIM(E5701)="","Unknown",IFERROR(LEFT(TRIM(E5701),FIND(",",TRIM(E5701))-1),TRIM(E5701)))</f>
        <v>United Kingdom</v>
      </c>
      <c r="M5701" s="7" t="str">
        <f aca="false">IFERROR(LEFT(J5701,FIND(",",J5701)-1),J5701)</f>
        <v>British TV Shows</v>
      </c>
      <c r="N5701" s="7" t="str">
        <f aca="false">IF(B5701="Movie",IFERROR(VALUE(LEFT(I5701,FIND(" ",I5701)-1)),""),"")</f>
        <v/>
      </c>
      <c r="O5701" s="7" t="n">
        <f aca="false">IF(B5701="TV Show",IFERROR(VALUE(LEFT(I5701,FIND(" ",I5701)-1)),""),"")</f>
        <v>7</v>
      </c>
      <c r="P5701" s="7" t="n">
        <f aca="false">IF(K5701="","",K5701-G5701)</f>
        <v>2</v>
      </c>
    </row>
    <row r="5702" customFormat="false" ht="15" hidden="false" customHeight="false" outlineLevel="0" collapsed="false">
      <c r="A5702" s="7" t="n">
        <v>70155629</v>
      </c>
      <c r="B5702" s="7" t="s">
        <v>78</v>
      </c>
      <c r="C5702" s="7" t="s">
        <v>3713</v>
      </c>
      <c r="E5702" s="7" t="s">
        <v>26</v>
      </c>
      <c r="F5702" s="7" t="s">
        <v>11351</v>
      </c>
      <c r="G5702" s="7" t="n">
        <v>2005</v>
      </c>
      <c r="H5702" s="7" t="s">
        <v>50</v>
      </c>
      <c r="I5702" s="7" t="s">
        <v>11158</v>
      </c>
      <c r="J5702" s="7" t="s">
        <v>256</v>
      </c>
      <c r="K5702" s="7" t="n">
        <f aca="false">IFERROR(VALUE(RIGHT(TRIM(F5702),4)),"")</f>
        <v>2017</v>
      </c>
      <c r="L5702" s="7" t="str">
        <f aca="false">IF(TRIM(E5702)="","Unknown",IFERROR(LEFT(TRIM(E5702),FIND(",",TRIM(E5702))-1),TRIM(E5702)))</f>
        <v>United States</v>
      </c>
      <c r="M5702" s="7" t="str">
        <f aca="false">IFERROR(LEFT(J5702,FIND(",",J5702)-1),J5702)</f>
        <v>Romantic TV Shows</v>
      </c>
      <c r="N5702" s="7" t="str">
        <f aca="false">IF(B5702="Movie",IFERROR(VALUE(LEFT(I5702,FIND(" ",I5702)-1)),""),"")</f>
        <v/>
      </c>
      <c r="O5702" s="7" t="n">
        <f aca="false">IF(B5702="TV Show",IFERROR(VALUE(LEFT(I5702,FIND(" ",I5702)-1)),""),"")</f>
        <v>8</v>
      </c>
      <c r="P5702" s="7" t="n">
        <f aca="false">IF(K5702="","",K5702-G5702)</f>
        <v>12</v>
      </c>
    </row>
    <row r="5703" customFormat="false" ht="15" hidden="false" customHeight="false" outlineLevel="0" collapsed="false">
      <c r="A5703" s="7" t="n">
        <v>80107077</v>
      </c>
      <c r="B5703" s="7" t="s">
        <v>78</v>
      </c>
      <c r="C5703" s="7" t="s">
        <v>11352</v>
      </c>
      <c r="E5703" s="7" t="s">
        <v>11353</v>
      </c>
      <c r="F5703" s="7" t="s">
        <v>11351</v>
      </c>
      <c r="G5703" s="7" t="n">
        <v>2017</v>
      </c>
      <c r="H5703" s="7" t="s">
        <v>48</v>
      </c>
      <c r="I5703" s="7" t="s">
        <v>11132</v>
      </c>
      <c r="J5703" s="7" t="s">
        <v>11354</v>
      </c>
      <c r="K5703" s="7" t="n">
        <f aca="false">IFERROR(VALUE(RIGHT(TRIM(F5703),4)),"")</f>
        <v>2017</v>
      </c>
      <c r="L5703" s="7" t="str">
        <f aca="false">IF(TRIM(E5703)="","Unknown",IFERROR(LEFT(TRIM(E5703),FIND(",",TRIM(E5703))-1),TRIM(E5703)))</f>
        <v>Australia</v>
      </c>
      <c r="M5703" s="7" t="str">
        <f aca="false">IFERROR(LEFT(J5703,FIND(",",J5703)-1),J5703)</f>
        <v>TV Dramas</v>
      </c>
      <c r="N5703" s="7" t="str">
        <f aca="false">IF(B5703="Movie",IFERROR(VALUE(LEFT(I5703,FIND(" ",I5703)-1)),""),"")</f>
        <v/>
      </c>
      <c r="O5703" s="7" t="n">
        <f aca="false">IF(B5703="TV Show",IFERROR(VALUE(LEFT(I5703,FIND(" ",I5703)-1)),""),"")</f>
        <v>2</v>
      </c>
      <c r="P5703" s="7" t="n">
        <f aca="false">IF(K5703="","",K5703-G5703)</f>
        <v>0</v>
      </c>
    </row>
    <row r="5704" customFormat="false" ht="15" hidden="false" customHeight="false" outlineLevel="0" collapsed="false">
      <c r="A5704" s="7" t="n">
        <v>70155618</v>
      </c>
      <c r="B5704" s="7" t="s">
        <v>78</v>
      </c>
      <c r="C5704" s="7" t="s">
        <v>11355</v>
      </c>
      <c r="E5704" s="7" t="s">
        <v>26</v>
      </c>
      <c r="F5704" s="7" t="s">
        <v>11351</v>
      </c>
      <c r="G5704" s="7" t="n">
        <v>2006</v>
      </c>
      <c r="H5704" s="7" t="s">
        <v>49</v>
      </c>
      <c r="I5704" s="7" t="s">
        <v>11152</v>
      </c>
      <c r="J5704" s="7" t="s">
        <v>256</v>
      </c>
      <c r="K5704" s="7" t="n">
        <f aca="false">IFERROR(VALUE(RIGHT(TRIM(F5704),4)),"")</f>
        <v>2017</v>
      </c>
      <c r="L5704" s="7" t="str">
        <f aca="false">IF(TRIM(E5704)="","Unknown",IFERROR(LEFT(TRIM(E5704),FIND(",",TRIM(E5704))-1),TRIM(E5704)))</f>
        <v>United States</v>
      </c>
      <c r="M5704" s="7" t="str">
        <f aca="false">IFERROR(LEFT(J5704,FIND(",",J5704)-1),J5704)</f>
        <v>Romantic TV Shows</v>
      </c>
      <c r="N5704" s="7" t="str">
        <f aca="false">IF(B5704="Movie",IFERROR(VALUE(LEFT(I5704,FIND(" ",I5704)-1)),""),"")</f>
        <v/>
      </c>
      <c r="O5704" s="7" t="n">
        <f aca="false">IF(B5704="TV Show",IFERROR(VALUE(LEFT(I5704,FIND(" ",I5704)-1)),""),"")</f>
        <v>7</v>
      </c>
      <c r="P5704" s="7" t="n">
        <f aca="false">IF(K5704="","",K5704-G5704)</f>
        <v>11</v>
      </c>
    </row>
    <row r="5705" customFormat="false" ht="15" hidden="false" customHeight="false" outlineLevel="0" collapsed="false">
      <c r="A5705" s="7" t="n">
        <v>80171004</v>
      </c>
      <c r="B5705" s="7" t="s">
        <v>78</v>
      </c>
      <c r="C5705" s="7" t="s">
        <v>11356</v>
      </c>
      <c r="E5705" s="7" t="s">
        <v>11357</v>
      </c>
      <c r="F5705" s="7" t="s">
        <v>11351</v>
      </c>
      <c r="G5705" s="7" t="n">
        <v>2016</v>
      </c>
      <c r="H5705" s="7" t="s">
        <v>119</v>
      </c>
      <c r="I5705" s="7" t="s">
        <v>11132</v>
      </c>
      <c r="J5705" s="7" t="s">
        <v>44</v>
      </c>
      <c r="K5705" s="7" t="n">
        <f aca="false">IFERROR(VALUE(RIGHT(TRIM(F5705),4)),"")</f>
        <v>2017</v>
      </c>
      <c r="L5705" s="7" t="str">
        <f aca="false">IF(TRIM(E5705)="","Unknown",IFERROR(LEFT(TRIM(E5705),FIND(",",TRIM(E5705))-1),TRIM(E5705)))</f>
        <v>France</v>
      </c>
      <c r="M5705" s="7" t="str">
        <f aca="false">IFERROR(LEFT(J5705,FIND(",",J5705)-1),J5705)</f>
        <v>Kids' TV</v>
      </c>
      <c r="N5705" s="7" t="str">
        <f aca="false">IF(B5705="Movie",IFERROR(VALUE(LEFT(I5705,FIND(" ",I5705)-1)),""),"")</f>
        <v/>
      </c>
      <c r="O5705" s="7" t="n">
        <f aca="false">IF(B5705="TV Show",IFERROR(VALUE(LEFT(I5705,FIND(" ",I5705)-1)),""),"")</f>
        <v>2</v>
      </c>
      <c r="P5705" s="7" t="n">
        <f aca="false">IF(K5705="","",K5705-G5705)</f>
        <v>1</v>
      </c>
    </row>
    <row r="5706" customFormat="false" ht="15" hidden="false" customHeight="false" outlineLevel="0" collapsed="false">
      <c r="A5706" s="7" t="n">
        <v>70136140</v>
      </c>
      <c r="B5706" s="7" t="s">
        <v>78</v>
      </c>
      <c r="C5706" s="7" t="s">
        <v>11358</v>
      </c>
      <c r="E5706" s="7" t="s">
        <v>26</v>
      </c>
      <c r="F5706" s="7" t="s">
        <v>11351</v>
      </c>
      <c r="G5706" s="7" t="n">
        <v>1968</v>
      </c>
      <c r="H5706" s="7" t="s">
        <v>50</v>
      </c>
      <c r="I5706" s="7" t="s">
        <v>11148</v>
      </c>
      <c r="J5706" s="7" t="s">
        <v>11359</v>
      </c>
      <c r="K5706" s="7" t="n">
        <f aca="false">IFERROR(VALUE(RIGHT(TRIM(F5706),4)),"")</f>
        <v>2017</v>
      </c>
      <c r="L5706" s="7" t="str">
        <f aca="false">IF(TRIM(E5706)="","Unknown",IFERROR(LEFT(TRIM(E5706),FIND(",",TRIM(E5706))-1),TRIM(E5706)))</f>
        <v>United States</v>
      </c>
      <c r="M5706" s="7" t="str">
        <f aca="false">IFERROR(LEFT(J5706,FIND(",",J5706)-1),J5706)</f>
        <v>Classic &amp; Cult TV</v>
      </c>
      <c r="N5706" s="7" t="str">
        <f aca="false">IF(B5706="Movie",IFERROR(VALUE(LEFT(I5706,FIND(" ",I5706)-1)),""),"")</f>
        <v/>
      </c>
      <c r="O5706" s="7" t="n">
        <f aca="false">IF(B5706="TV Show",IFERROR(VALUE(LEFT(I5706,FIND(" ",I5706)-1)),""),"")</f>
        <v>3</v>
      </c>
      <c r="P5706" s="7" t="n">
        <f aca="false">IF(K5706="","",K5706-G5706)</f>
        <v>49</v>
      </c>
    </row>
    <row r="5707" customFormat="false" ht="15" hidden="false" customHeight="false" outlineLevel="0" collapsed="false">
      <c r="A5707" s="7" t="n">
        <v>70158332</v>
      </c>
      <c r="B5707" s="7" t="s">
        <v>78</v>
      </c>
      <c r="C5707" s="7" t="s">
        <v>11360</v>
      </c>
      <c r="E5707" s="7" t="s">
        <v>26</v>
      </c>
      <c r="F5707" s="7" t="s">
        <v>11351</v>
      </c>
      <c r="G5707" s="7" t="n">
        <v>2004</v>
      </c>
      <c r="H5707" s="7" t="s">
        <v>50</v>
      </c>
      <c r="I5707" s="7" t="s">
        <v>11155</v>
      </c>
      <c r="J5707" s="7" t="s">
        <v>11359</v>
      </c>
      <c r="K5707" s="7" t="n">
        <f aca="false">IFERROR(VALUE(RIGHT(TRIM(F5707),4)),"")</f>
        <v>2017</v>
      </c>
      <c r="L5707" s="7" t="str">
        <f aca="false">IF(TRIM(E5707)="","Unknown",IFERROR(LEFT(TRIM(E5707),FIND(",",TRIM(E5707))-1),TRIM(E5707)))</f>
        <v>United States</v>
      </c>
      <c r="M5707" s="7" t="str">
        <f aca="false">IFERROR(LEFT(J5707,FIND(",",J5707)-1),J5707)</f>
        <v>Classic &amp; Cult TV</v>
      </c>
      <c r="N5707" s="7" t="str">
        <f aca="false">IF(B5707="Movie",IFERROR(VALUE(LEFT(I5707,FIND(" ",I5707)-1)),""),"")</f>
        <v/>
      </c>
      <c r="O5707" s="7" t="n">
        <f aca="false">IF(B5707="TV Show",IFERROR(VALUE(LEFT(I5707,FIND(" ",I5707)-1)),""),"")</f>
        <v>4</v>
      </c>
      <c r="P5707" s="7" t="n">
        <f aca="false">IF(K5707="","",K5707-G5707)</f>
        <v>13</v>
      </c>
    </row>
    <row r="5708" customFormat="false" ht="15" hidden="false" customHeight="false" outlineLevel="0" collapsed="false">
      <c r="A5708" s="7" t="n">
        <v>70158331</v>
      </c>
      <c r="B5708" s="7" t="s">
        <v>78</v>
      </c>
      <c r="C5708" s="7" t="s">
        <v>11361</v>
      </c>
      <c r="E5708" s="7" t="s">
        <v>26</v>
      </c>
      <c r="F5708" s="7" t="s">
        <v>11351</v>
      </c>
      <c r="G5708" s="7" t="n">
        <v>2000</v>
      </c>
      <c r="H5708" s="7" t="s">
        <v>50</v>
      </c>
      <c r="I5708" s="7" t="s">
        <v>11152</v>
      </c>
      <c r="J5708" s="7" t="s">
        <v>9649</v>
      </c>
      <c r="K5708" s="7" t="n">
        <f aca="false">IFERROR(VALUE(RIGHT(TRIM(F5708),4)),"")</f>
        <v>2017</v>
      </c>
      <c r="L5708" s="7" t="str">
        <f aca="false">IF(TRIM(E5708)="","Unknown",IFERROR(LEFT(TRIM(E5708),FIND(",",TRIM(E5708))-1),TRIM(E5708)))</f>
        <v>United States</v>
      </c>
      <c r="M5708" s="7" t="str">
        <f aca="false">IFERROR(LEFT(J5708,FIND(",",J5708)-1),J5708)</f>
        <v>TV Action &amp; Adventure</v>
      </c>
      <c r="N5708" s="7" t="str">
        <f aca="false">IF(B5708="Movie",IFERROR(VALUE(LEFT(I5708,FIND(" ",I5708)-1)),""),"")</f>
        <v/>
      </c>
      <c r="O5708" s="7" t="n">
        <f aca="false">IF(B5708="TV Show",IFERROR(VALUE(LEFT(I5708,FIND(" ",I5708)-1)),""),"")</f>
        <v>7</v>
      </c>
      <c r="P5708" s="7" t="n">
        <f aca="false">IF(K5708="","",K5708-G5708)</f>
        <v>17</v>
      </c>
    </row>
    <row r="5709" customFormat="false" ht="15" hidden="false" customHeight="false" outlineLevel="0" collapsed="false">
      <c r="A5709" s="7" t="n">
        <v>80109536</v>
      </c>
      <c r="B5709" s="7" t="s">
        <v>78</v>
      </c>
      <c r="C5709" s="7" t="s">
        <v>11362</v>
      </c>
      <c r="E5709" s="7" t="s">
        <v>26</v>
      </c>
      <c r="F5709" s="7" t="s">
        <v>11363</v>
      </c>
      <c r="G5709" s="7" t="n">
        <v>2016</v>
      </c>
      <c r="H5709" s="7" t="s">
        <v>49</v>
      </c>
      <c r="I5709" s="7" t="s">
        <v>11148</v>
      </c>
      <c r="J5709" s="7" t="s">
        <v>701</v>
      </c>
      <c r="K5709" s="7" t="n">
        <f aca="false">IFERROR(VALUE(RIGHT(TRIM(F5709),4)),"")</f>
        <v>2016</v>
      </c>
      <c r="L5709" s="7" t="str">
        <f aca="false">IF(TRIM(E5709)="","Unknown",IFERROR(LEFT(TRIM(E5709),FIND(",",TRIM(E5709))-1),TRIM(E5709)))</f>
        <v>United States</v>
      </c>
      <c r="M5709" s="7" t="str">
        <f aca="false">IFERROR(LEFT(J5709,FIND(",",J5709)-1),J5709)</f>
        <v>Reality TV</v>
      </c>
      <c r="N5709" s="7" t="str">
        <f aca="false">IF(B5709="Movie",IFERROR(VALUE(LEFT(I5709,FIND(" ",I5709)-1)),""),"")</f>
        <v/>
      </c>
      <c r="O5709" s="7" t="n">
        <f aca="false">IF(B5709="TV Show",IFERROR(VALUE(LEFT(I5709,FIND(" ",I5709)-1)),""),"")</f>
        <v>3</v>
      </c>
      <c r="P5709" s="7" t="n">
        <f aca="false">IF(K5709="","",K5709-G5709)</f>
        <v>0</v>
      </c>
    </row>
    <row r="5710" customFormat="false" ht="15" hidden="false" customHeight="false" outlineLevel="0" collapsed="false">
      <c r="A5710" s="7" t="n">
        <v>81011159</v>
      </c>
      <c r="B5710" s="7" t="s">
        <v>78</v>
      </c>
      <c r="C5710" s="7" t="s">
        <v>11364</v>
      </c>
      <c r="E5710" s="7" t="s">
        <v>27</v>
      </c>
      <c r="F5710" s="7" t="s">
        <v>11365</v>
      </c>
      <c r="G5710" s="7" t="n">
        <v>2019</v>
      </c>
      <c r="H5710" s="7" t="s">
        <v>48</v>
      </c>
      <c r="I5710" s="7" t="s">
        <v>11148</v>
      </c>
      <c r="J5710" s="7" t="s">
        <v>158</v>
      </c>
      <c r="K5710" s="7" t="n">
        <f aca="false">IFERROR(VALUE(RIGHT(TRIM(F5710),4)),"")</f>
        <v>2019</v>
      </c>
      <c r="L5710" s="7" t="str">
        <f aca="false">IF(TRIM(E5710)="","Unknown",IFERROR(LEFT(TRIM(E5710),FIND(",",TRIM(E5710))-1),TRIM(E5710)))</f>
        <v>India</v>
      </c>
      <c r="M5710" s="7" t="str">
        <f aca="false">IFERROR(LEFT(J5710,FIND(",",J5710)-1),J5710)</f>
        <v>International TV Shows</v>
      </c>
      <c r="N5710" s="7" t="str">
        <f aca="false">IF(B5710="Movie",IFERROR(VALUE(LEFT(I5710,FIND(" ",I5710)-1)),""),"")</f>
        <v/>
      </c>
      <c r="O5710" s="7" t="n">
        <f aca="false">IF(B5710="TV Show",IFERROR(VALUE(LEFT(I5710,FIND(" ",I5710)-1)),""),"")</f>
        <v>3</v>
      </c>
      <c r="P5710" s="7" t="n">
        <f aca="false">IF(K5710="","",K5710-G5710)</f>
        <v>0</v>
      </c>
    </row>
    <row r="5711" customFormat="false" ht="15" hidden="false" customHeight="false" outlineLevel="0" collapsed="false">
      <c r="A5711" s="7" t="n">
        <v>80147923</v>
      </c>
      <c r="B5711" s="7" t="s">
        <v>78</v>
      </c>
      <c r="C5711" s="7" t="s">
        <v>11366</v>
      </c>
      <c r="E5711" s="7" t="s">
        <v>5443</v>
      </c>
      <c r="F5711" s="7" t="s">
        <v>11367</v>
      </c>
      <c r="G5711" s="7" t="n">
        <v>2018</v>
      </c>
      <c r="H5711" s="7" t="s">
        <v>119</v>
      </c>
      <c r="I5711" s="7" t="s">
        <v>11132</v>
      </c>
      <c r="J5711" s="7" t="s">
        <v>1717</v>
      </c>
      <c r="K5711" s="7" t="n">
        <f aca="false">IFERROR(VALUE(RIGHT(TRIM(F5711),4)),"")</f>
        <v>2018</v>
      </c>
      <c r="L5711" s="7" t="str">
        <f aca="false">IF(TRIM(E5711)="","Unknown",IFERROR(LEFT(TRIM(E5711),FIND(",",TRIM(E5711))-1),TRIM(E5711)))</f>
        <v>South Korea</v>
      </c>
      <c r="M5711" s="7" t="str">
        <f aca="false">IFERROR(LEFT(J5711,FIND(",",J5711)-1),J5711)</f>
        <v>Kids' TV</v>
      </c>
      <c r="N5711" s="7" t="str">
        <f aca="false">IF(B5711="Movie",IFERROR(VALUE(LEFT(I5711,FIND(" ",I5711)-1)),""),"")</f>
        <v/>
      </c>
      <c r="O5711" s="7" t="n">
        <f aca="false">IF(B5711="TV Show",IFERROR(VALUE(LEFT(I5711,FIND(" ",I5711)-1)),""),"")</f>
        <v>2</v>
      </c>
      <c r="P5711" s="7" t="n">
        <f aca="false">IF(K5711="","",K5711-G5711)</f>
        <v>0</v>
      </c>
    </row>
    <row r="5712" customFormat="false" ht="15" hidden="false" customHeight="false" outlineLevel="0" collapsed="false">
      <c r="A5712" s="7" t="n">
        <v>80045820</v>
      </c>
      <c r="B5712" s="7" t="s">
        <v>78</v>
      </c>
      <c r="C5712" s="7" t="s">
        <v>11368</v>
      </c>
      <c r="E5712" s="7" t="s">
        <v>28</v>
      </c>
      <c r="F5712" s="7" t="s">
        <v>11369</v>
      </c>
      <c r="G5712" s="7" t="n">
        <v>2016</v>
      </c>
      <c r="H5712" s="7" t="s">
        <v>55</v>
      </c>
      <c r="I5712" s="7" t="s">
        <v>11132</v>
      </c>
      <c r="J5712" s="7" t="s">
        <v>4493</v>
      </c>
      <c r="K5712" s="7" t="n">
        <f aca="false">IFERROR(VALUE(RIGHT(TRIM(F5712),4)),"")</f>
        <v>2016</v>
      </c>
      <c r="L5712" s="7" t="str">
        <f aca="false">IF(TRIM(E5712)="","Unknown",IFERROR(LEFT(TRIM(E5712),FIND(",",TRIM(E5712))-1),TRIM(E5712)))</f>
        <v>United Kingdom</v>
      </c>
      <c r="M5712" s="7" t="str">
        <f aca="false">IFERROR(LEFT(J5712,FIND(",",J5712)-1),J5712)</f>
        <v>British TV Shows</v>
      </c>
      <c r="N5712" s="7" t="str">
        <f aca="false">IF(B5712="Movie",IFERROR(VALUE(LEFT(I5712,FIND(" ",I5712)-1)),""),"")</f>
        <v/>
      </c>
      <c r="O5712" s="7" t="n">
        <f aca="false">IF(B5712="TV Show",IFERROR(VALUE(LEFT(I5712,FIND(" ",I5712)-1)),""),"")</f>
        <v>2</v>
      </c>
      <c r="P5712" s="7" t="n">
        <f aca="false">IF(K5712="","",K5712-G5712)</f>
        <v>0</v>
      </c>
    </row>
    <row r="5713" customFormat="false" ht="15" hidden="false" customHeight="false" outlineLevel="0" collapsed="false">
      <c r="A5713" s="7" t="n">
        <v>80209553</v>
      </c>
      <c r="B5713" s="7" t="s">
        <v>78</v>
      </c>
      <c r="C5713" s="7" t="s">
        <v>11370</v>
      </c>
      <c r="E5713" s="7" t="s">
        <v>32</v>
      </c>
      <c r="F5713" s="7" t="s">
        <v>11371</v>
      </c>
      <c r="G5713" s="7" t="n">
        <v>2019</v>
      </c>
      <c r="H5713" s="7" t="s">
        <v>49</v>
      </c>
      <c r="I5713" s="7" t="s">
        <v>11132</v>
      </c>
      <c r="J5713" s="7" t="s">
        <v>8099</v>
      </c>
      <c r="K5713" s="7" t="n">
        <f aca="false">IFERROR(VALUE(RIGHT(TRIM(F5713),4)),"")</f>
        <v>2019</v>
      </c>
      <c r="L5713" s="7" t="str">
        <f aca="false">IF(TRIM(E5713)="","Unknown",IFERROR(LEFT(TRIM(E5713),FIND(",",TRIM(E5713))-1),TRIM(E5713)))</f>
        <v>South Korea</v>
      </c>
      <c r="M5713" s="7" t="str">
        <f aca="false">IFERROR(LEFT(J5713,FIND(",",J5713)-1),J5713)</f>
        <v>International TV Shows</v>
      </c>
      <c r="N5713" s="7" t="str">
        <f aca="false">IF(B5713="Movie",IFERROR(VALUE(LEFT(I5713,FIND(" ",I5713)-1)),""),"")</f>
        <v/>
      </c>
      <c r="O5713" s="7" t="n">
        <f aca="false">IF(B5713="TV Show",IFERROR(VALUE(LEFT(I5713,FIND(" ",I5713)-1)),""),"")</f>
        <v>2</v>
      </c>
      <c r="P5713" s="7" t="n">
        <f aca="false">IF(K5713="","",K5713-G5713)</f>
        <v>0</v>
      </c>
    </row>
    <row r="5714" customFormat="false" ht="15" hidden="false" customHeight="false" outlineLevel="0" collapsed="false">
      <c r="A5714" s="7" t="n">
        <v>81013505</v>
      </c>
      <c r="B5714" s="7" t="s">
        <v>78</v>
      </c>
      <c r="C5714" s="7" t="s">
        <v>11372</v>
      </c>
      <c r="F5714" s="7" t="s">
        <v>11371</v>
      </c>
      <c r="G5714" s="7" t="n">
        <v>2019</v>
      </c>
      <c r="H5714" s="7" t="s">
        <v>50</v>
      </c>
      <c r="I5714" s="7" t="s">
        <v>11132</v>
      </c>
      <c r="J5714" s="7" t="s">
        <v>1574</v>
      </c>
      <c r="K5714" s="7" t="n">
        <f aca="false">IFERROR(VALUE(RIGHT(TRIM(F5714),4)),"")</f>
        <v>2019</v>
      </c>
      <c r="L5714" s="7" t="str">
        <f aca="false">IF(TRIM(E5714)="","Unknown",IFERROR(LEFT(TRIM(E5714),FIND(",",TRIM(E5714))-1),TRIM(E5714)))</f>
        <v>Unknown</v>
      </c>
      <c r="M5714" s="7" t="str">
        <f aca="false">IFERROR(LEFT(J5714,FIND(",",J5714)-1),J5714)</f>
        <v>British TV Shows</v>
      </c>
      <c r="N5714" s="7" t="str">
        <f aca="false">IF(B5714="Movie",IFERROR(VALUE(LEFT(I5714,FIND(" ",I5714)-1)),""),"")</f>
        <v/>
      </c>
      <c r="O5714" s="7" t="n">
        <f aca="false">IF(B5714="TV Show",IFERROR(VALUE(LEFT(I5714,FIND(" ",I5714)-1)),""),"")</f>
        <v>2</v>
      </c>
      <c r="P5714" s="7" t="n">
        <f aca="false">IF(K5714="","",K5714-G5714)</f>
        <v>0</v>
      </c>
    </row>
    <row r="5715" customFormat="false" ht="15" hidden="false" customHeight="false" outlineLevel="0" collapsed="false">
      <c r="A5715" s="7" t="n">
        <v>80230435</v>
      </c>
      <c r="B5715" s="7" t="s">
        <v>78</v>
      </c>
      <c r="C5715" s="7" t="s">
        <v>11373</v>
      </c>
      <c r="E5715" s="7" t="s">
        <v>1397</v>
      </c>
      <c r="F5715" s="7" t="s">
        <v>11371</v>
      </c>
      <c r="G5715" s="7" t="n">
        <v>2019</v>
      </c>
      <c r="H5715" s="7" t="s">
        <v>48</v>
      </c>
      <c r="I5715" s="7" t="s">
        <v>11132</v>
      </c>
      <c r="J5715" s="7" t="s">
        <v>89</v>
      </c>
      <c r="K5715" s="7" t="n">
        <f aca="false">IFERROR(VALUE(RIGHT(TRIM(F5715),4)),"")</f>
        <v>2019</v>
      </c>
      <c r="L5715" s="7" t="str">
        <f aca="false">IF(TRIM(E5715)="","Unknown",IFERROR(LEFT(TRIM(E5715),FIND(",",TRIM(E5715))-1),TRIM(E5715)))</f>
        <v>Colombia</v>
      </c>
      <c r="M5715" s="7" t="str">
        <f aca="false">IFERROR(LEFT(J5715,FIND(",",J5715)-1),J5715)</f>
        <v>Crime TV Shows</v>
      </c>
      <c r="N5715" s="7" t="str">
        <f aca="false">IF(B5715="Movie",IFERROR(VALUE(LEFT(I5715,FIND(" ",I5715)-1)),""),"")</f>
        <v/>
      </c>
      <c r="O5715" s="7" t="n">
        <f aca="false">IF(B5715="TV Show",IFERROR(VALUE(LEFT(I5715,FIND(" ",I5715)-1)),""),"")</f>
        <v>2</v>
      </c>
      <c r="P5715" s="7" t="n">
        <f aca="false">IF(K5715="","",K5715-G5715)</f>
        <v>0</v>
      </c>
    </row>
    <row r="5716" customFormat="false" ht="15" hidden="false" customHeight="false" outlineLevel="0" collapsed="false">
      <c r="A5716" s="7" t="n">
        <v>80180849</v>
      </c>
      <c r="B5716" s="7" t="s">
        <v>78</v>
      </c>
      <c r="C5716" s="7" t="s">
        <v>11374</v>
      </c>
      <c r="E5716" s="7" t="s">
        <v>30</v>
      </c>
      <c r="F5716" s="7" t="s">
        <v>11375</v>
      </c>
      <c r="G5716" s="7" t="n">
        <v>2017</v>
      </c>
      <c r="H5716" s="7" t="s">
        <v>48</v>
      </c>
      <c r="I5716" s="7" t="s">
        <v>11132</v>
      </c>
      <c r="J5716" s="7" t="s">
        <v>542</v>
      </c>
      <c r="K5716" s="7" t="n">
        <f aca="false">IFERROR(VALUE(RIGHT(TRIM(F5716),4)),"")</f>
        <v>2017</v>
      </c>
      <c r="L5716" s="7" t="str">
        <f aca="false">IF(TRIM(E5716)="","Unknown",IFERROR(LEFT(TRIM(E5716),FIND(",",TRIM(E5716))-1),TRIM(E5716)))</f>
        <v>Japan</v>
      </c>
      <c r="M5716" s="7" t="str">
        <f aca="false">IFERROR(LEFT(J5716,FIND(",",J5716)-1),J5716)</f>
        <v>Anime Series</v>
      </c>
      <c r="N5716" s="7" t="str">
        <f aca="false">IF(B5716="Movie",IFERROR(VALUE(LEFT(I5716,FIND(" ",I5716)-1)),""),"")</f>
        <v/>
      </c>
      <c r="O5716" s="7" t="n">
        <f aca="false">IF(B5716="TV Show",IFERROR(VALUE(LEFT(I5716,FIND(" ",I5716)-1)),""),"")</f>
        <v>2</v>
      </c>
      <c r="P5716" s="7" t="n">
        <f aca="false">IF(K5716="","",K5716-G5716)</f>
        <v>0</v>
      </c>
    </row>
    <row r="5717" customFormat="false" ht="15" hidden="false" customHeight="false" outlineLevel="0" collapsed="false">
      <c r="A5717" s="7" t="n">
        <v>80058852</v>
      </c>
      <c r="B5717" s="7" t="s">
        <v>78</v>
      </c>
      <c r="C5717" s="7" t="s">
        <v>11376</v>
      </c>
      <c r="E5717" s="7" t="s">
        <v>26</v>
      </c>
      <c r="F5717" s="7" t="s">
        <v>11375</v>
      </c>
      <c r="G5717" s="7" t="n">
        <v>2017</v>
      </c>
      <c r="H5717" s="7" t="s">
        <v>55</v>
      </c>
      <c r="I5717" s="7" t="s">
        <v>11198</v>
      </c>
      <c r="J5717" s="7" t="s">
        <v>44</v>
      </c>
      <c r="K5717" s="7" t="n">
        <f aca="false">IFERROR(VALUE(RIGHT(TRIM(F5717),4)),"")</f>
        <v>2017</v>
      </c>
      <c r="L5717" s="7" t="str">
        <f aca="false">IF(TRIM(E5717)="","Unknown",IFERROR(LEFT(TRIM(E5717),FIND(",",TRIM(E5717))-1),TRIM(E5717)))</f>
        <v>United States</v>
      </c>
      <c r="M5717" s="7" t="str">
        <f aca="false">IFERROR(LEFT(J5717,FIND(",",J5717)-1),J5717)</f>
        <v>Kids' TV</v>
      </c>
      <c r="N5717" s="7" t="str">
        <f aca="false">IF(B5717="Movie",IFERROR(VALUE(LEFT(I5717,FIND(" ",I5717)-1)),""),"")</f>
        <v/>
      </c>
      <c r="O5717" s="7" t="n">
        <f aca="false">IF(B5717="TV Show",IFERROR(VALUE(LEFT(I5717,FIND(" ",I5717)-1)),""),"")</f>
        <v>6</v>
      </c>
      <c r="P5717" s="7" t="n">
        <f aca="false">IF(K5717="","",K5717-G5717)</f>
        <v>0</v>
      </c>
    </row>
    <row r="5718" customFormat="false" ht="15" hidden="false" customHeight="false" outlineLevel="0" collapsed="false">
      <c r="A5718" s="7" t="n">
        <v>81042948</v>
      </c>
      <c r="B5718" s="7" t="s">
        <v>78</v>
      </c>
      <c r="C5718" s="7" t="s">
        <v>11377</v>
      </c>
      <c r="E5718" s="7" t="s">
        <v>1113</v>
      </c>
      <c r="F5718" s="7" t="s">
        <v>11378</v>
      </c>
      <c r="G5718" s="7" t="n">
        <v>2019</v>
      </c>
      <c r="H5718" s="7" t="s">
        <v>48</v>
      </c>
      <c r="I5718" s="7" t="s">
        <v>11132</v>
      </c>
      <c r="J5718" s="7" t="s">
        <v>2521</v>
      </c>
      <c r="K5718" s="7" t="n">
        <f aca="false">IFERROR(VALUE(RIGHT(TRIM(F5718),4)),"")</f>
        <v>2019</v>
      </c>
      <c r="L5718" s="7" t="str">
        <f aca="false">IF(TRIM(E5718)="","Unknown",IFERROR(LEFT(TRIM(E5718),FIND(",",TRIM(E5718))-1),TRIM(E5718)))</f>
        <v>Argentina</v>
      </c>
      <c r="M5718" s="7" t="str">
        <f aca="false">IFERROR(LEFT(J5718,FIND(",",J5718)-1),J5718)</f>
        <v>International TV Shows</v>
      </c>
      <c r="N5718" s="7" t="str">
        <f aca="false">IF(B5718="Movie",IFERROR(VALUE(LEFT(I5718,FIND(" ",I5718)-1)),""),"")</f>
        <v/>
      </c>
      <c r="O5718" s="7" t="n">
        <f aca="false">IF(B5718="TV Show",IFERROR(VALUE(LEFT(I5718,FIND(" ",I5718)-1)),""),"")</f>
        <v>2</v>
      </c>
      <c r="P5718" s="7" t="n">
        <f aca="false">IF(K5718="","",K5718-G5718)</f>
        <v>0</v>
      </c>
    </row>
    <row r="5719" customFormat="false" ht="15" hidden="false" customHeight="false" outlineLevel="0" collapsed="false">
      <c r="A5719" s="7" t="n">
        <v>80027564</v>
      </c>
      <c r="B5719" s="7" t="s">
        <v>78</v>
      </c>
      <c r="C5719" s="7" t="s">
        <v>11379</v>
      </c>
      <c r="E5719" s="7" t="s">
        <v>26</v>
      </c>
      <c r="F5719" s="7" t="s">
        <v>11378</v>
      </c>
      <c r="G5719" s="7" t="n">
        <v>2014</v>
      </c>
      <c r="H5719" s="7" t="s">
        <v>50</v>
      </c>
      <c r="I5719" s="7" t="s">
        <v>11132</v>
      </c>
      <c r="J5719" s="7" t="s">
        <v>191</v>
      </c>
      <c r="K5719" s="7" t="n">
        <f aca="false">IFERROR(VALUE(RIGHT(TRIM(F5719),4)),"")</f>
        <v>2019</v>
      </c>
      <c r="L5719" s="7" t="str">
        <f aca="false">IF(TRIM(E5719)="","Unknown",IFERROR(LEFT(TRIM(E5719),FIND(",",TRIM(E5719))-1),TRIM(E5719)))</f>
        <v>United States</v>
      </c>
      <c r="M5719" s="7" t="str">
        <f aca="false">IFERROR(LEFT(J5719,FIND(",",J5719)-1),J5719)</f>
        <v>Kids' TV</v>
      </c>
      <c r="N5719" s="7" t="str">
        <f aca="false">IF(B5719="Movie",IFERROR(VALUE(LEFT(I5719,FIND(" ",I5719)-1)),""),"")</f>
        <v/>
      </c>
      <c r="O5719" s="7" t="n">
        <f aca="false">IF(B5719="TV Show",IFERROR(VALUE(LEFT(I5719,FIND(" ",I5719)-1)),""),"")</f>
        <v>2</v>
      </c>
      <c r="P5719" s="7" t="n">
        <f aca="false">IF(K5719="","",K5719-G5719)</f>
        <v>5</v>
      </c>
    </row>
    <row r="5720" customFormat="false" ht="15" hidden="false" customHeight="false" outlineLevel="0" collapsed="false">
      <c r="A5720" s="7" t="n">
        <v>80179762</v>
      </c>
      <c r="B5720" s="7" t="s">
        <v>78</v>
      </c>
      <c r="C5720" s="7" t="s">
        <v>11380</v>
      </c>
      <c r="E5720" s="7" t="s">
        <v>26</v>
      </c>
      <c r="F5720" s="7" t="s">
        <v>11378</v>
      </c>
      <c r="G5720" s="7" t="n">
        <v>2019</v>
      </c>
      <c r="H5720" s="7" t="s">
        <v>81</v>
      </c>
      <c r="I5720" s="7" t="s">
        <v>11155</v>
      </c>
      <c r="J5720" s="7" t="s">
        <v>6220</v>
      </c>
      <c r="K5720" s="7" t="n">
        <f aca="false">IFERROR(VALUE(RIGHT(TRIM(F5720),4)),"")</f>
        <v>2019</v>
      </c>
      <c r="L5720" s="7" t="str">
        <f aca="false">IF(TRIM(E5720)="","Unknown",IFERROR(LEFT(TRIM(E5720),FIND(",",TRIM(E5720))-1),TRIM(E5720)))</f>
        <v>United States</v>
      </c>
      <c r="M5720" s="7" t="str">
        <f aca="false">IFERROR(LEFT(J5720,FIND(",",J5720)-1),J5720)</f>
        <v>Kids' TV</v>
      </c>
      <c r="N5720" s="7" t="str">
        <f aca="false">IF(B5720="Movie",IFERROR(VALUE(LEFT(I5720,FIND(" ",I5720)-1)),""),"")</f>
        <v/>
      </c>
      <c r="O5720" s="7" t="n">
        <f aca="false">IF(B5720="TV Show",IFERROR(VALUE(LEFT(I5720,FIND(" ",I5720)-1)),""),"")</f>
        <v>4</v>
      </c>
      <c r="P5720" s="7" t="n">
        <f aca="false">IF(K5720="","",K5720-G5720)</f>
        <v>0</v>
      </c>
    </row>
    <row r="5721" customFormat="false" ht="15" hidden="false" customHeight="false" outlineLevel="0" collapsed="false">
      <c r="A5721" s="7" t="n">
        <v>80175722</v>
      </c>
      <c r="B5721" s="7" t="s">
        <v>78</v>
      </c>
      <c r="C5721" s="7" t="s">
        <v>11381</v>
      </c>
      <c r="E5721" s="7" t="s">
        <v>28</v>
      </c>
      <c r="F5721" s="7" t="s">
        <v>11378</v>
      </c>
      <c r="G5721" s="7" t="n">
        <v>2019</v>
      </c>
      <c r="H5721" s="7" t="s">
        <v>48</v>
      </c>
      <c r="I5721" s="7" t="s">
        <v>11132</v>
      </c>
      <c r="J5721" s="7" t="s">
        <v>4309</v>
      </c>
      <c r="K5721" s="7" t="n">
        <f aca="false">IFERROR(VALUE(RIGHT(TRIM(F5721),4)),"")</f>
        <v>2019</v>
      </c>
      <c r="L5721" s="7" t="str">
        <f aca="false">IF(TRIM(E5721)="","Unknown",IFERROR(LEFT(TRIM(E5721),FIND(",",TRIM(E5721))-1),TRIM(E5721)))</f>
        <v>United Kingdom</v>
      </c>
      <c r="M5721" s="7" t="str">
        <f aca="false">IFERROR(LEFT(J5721,FIND(",",J5721)-1),J5721)</f>
        <v>British TV Shows</v>
      </c>
      <c r="N5721" s="7" t="str">
        <f aca="false">IF(B5721="Movie",IFERROR(VALUE(LEFT(I5721,FIND(" ",I5721)-1)),""),"")</f>
        <v/>
      </c>
      <c r="O5721" s="7" t="n">
        <f aca="false">IF(B5721="TV Show",IFERROR(VALUE(LEFT(I5721,FIND(" ",I5721)-1)),""),"")</f>
        <v>2</v>
      </c>
      <c r="P5721" s="7" t="n">
        <f aca="false">IF(K5721="","",K5721-G5721)</f>
        <v>0</v>
      </c>
    </row>
    <row r="5722" customFormat="false" ht="15" hidden="false" customHeight="false" outlineLevel="0" collapsed="false">
      <c r="A5722" s="7" t="n">
        <v>81200716</v>
      </c>
      <c r="B5722" s="7" t="s">
        <v>78</v>
      </c>
      <c r="C5722" s="7" t="s">
        <v>11382</v>
      </c>
      <c r="E5722" s="7" t="s">
        <v>28</v>
      </c>
      <c r="F5722" s="7" t="s">
        <v>11383</v>
      </c>
      <c r="G5722" s="7" t="n">
        <v>2016</v>
      </c>
      <c r="H5722" s="7" t="s">
        <v>50</v>
      </c>
      <c r="I5722" s="7" t="s">
        <v>11148</v>
      </c>
      <c r="J5722" s="7" t="s">
        <v>1612</v>
      </c>
      <c r="K5722" s="7" t="n">
        <f aca="false">IFERROR(VALUE(RIGHT(TRIM(F5722),4)),"")</f>
        <v>2019</v>
      </c>
      <c r="L5722" s="7" t="str">
        <f aca="false">IF(TRIM(E5722)="","Unknown",IFERROR(LEFT(TRIM(E5722),FIND(",",TRIM(E5722))-1),TRIM(E5722)))</f>
        <v>United Kingdom</v>
      </c>
      <c r="M5722" s="7" t="str">
        <f aca="false">IFERROR(LEFT(J5722,FIND(",",J5722)-1),J5722)</f>
        <v>British TV Shows</v>
      </c>
      <c r="N5722" s="7" t="str">
        <f aca="false">IF(B5722="Movie",IFERROR(VALUE(LEFT(I5722,FIND(" ",I5722)-1)),""),"")</f>
        <v/>
      </c>
      <c r="O5722" s="7" t="n">
        <f aca="false">IF(B5722="TV Show",IFERROR(VALUE(LEFT(I5722,FIND(" ",I5722)-1)),""),"")</f>
        <v>3</v>
      </c>
      <c r="P5722" s="7" t="n">
        <f aca="false">IF(K5722="","",K5722-G5722)</f>
        <v>3</v>
      </c>
    </row>
    <row r="5723" customFormat="false" ht="15" hidden="false" customHeight="false" outlineLevel="0" collapsed="false">
      <c r="A5723" s="7" t="n">
        <v>80028732</v>
      </c>
      <c r="B5723" s="7" t="s">
        <v>78</v>
      </c>
      <c r="C5723" s="7" t="s">
        <v>11384</v>
      </c>
      <c r="E5723" s="7" t="s">
        <v>11385</v>
      </c>
      <c r="F5723" s="7" t="s">
        <v>11386</v>
      </c>
      <c r="G5723" s="7" t="n">
        <v>2018</v>
      </c>
      <c r="H5723" s="7" t="s">
        <v>48</v>
      </c>
      <c r="I5723" s="7" t="s">
        <v>11148</v>
      </c>
      <c r="J5723" s="7" t="s">
        <v>289</v>
      </c>
      <c r="K5723" s="7" t="n">
        <f aca="false">IFERROR(VALUE(RIGHT(TRIM(F5723),4)),"")</f>
        <v>2018</v>
      </c>
      <c r="L5723" s="7" t="str">
        <f aca="false">IF(TRIM(E5723)="","Unknown",IFERROR(LEFT(TRIM(E5723),FIND(",",TRIM(E5723))-1),TRIM(E5723)))</f>
        <v>United States</v>
      </c>
      <c r="M5723" s="7" t="str">
        <f aca="false">IFERROR(LEFT(J5723,FIND(",",J5723)-1),J5723)</f>
        <v>TV Comedies</v>
      </c>
      <c r="N5723" s="7" t="str">
        <f aca="false">IF(B5723="Movie",IFERROR(VALUE(LEFT(I5723,FIND(" ",I5723)-1)),""),"")</f>
        <v/>
      </c>
      <c r="O5723" s="7" t="n">
        <f aca="false">IF(B5723="TV Show",IFERROR(VALUE(LEFT(I5723,FIND(" ",I5723)-1)),""),"")</f>
        <v>3</v>
      </c>
      <c r="P5723" s="7" t="n">
        <f aca="false">IF(K5723="","",K5723-G5723)</f>
        <v>0</v>
      </c>
    </row>
    <row r="5724" customFormat="false" ht="15" hidden="false" customHeight="false" outlineLevel="0" collapsed="false">
      <c r="A5724" s="7" t="n">
        <v>80115341</v>
      </c>
      <c r="B5724" s="7" t="s">
        <v>78</v>
      </c>
      <c r="C5724" s="7" t="s">
        <v>11387</v>
      </c>
      <c r="E5724" s="7" t="s">
        <v>230</v>
      </c>
      <c r="F5724" s="7" t="s">
        <v>11386</v>
      </c>
      <c r="G5724" s="7" t="n">
        <v>2018</v>
      </c>
      <c r="H5724" s="7" t="s">
        <v>81</v>
      </c>
      <c r="I5724" s="7" t="s">
        <v>11132</v>
      </c>
      <c r="J5724" s="7" t="s">
        <v>44</v>
      </c>
      <c r="K5724" s="7" t="n">
        <f aca="false">IFERROR(VALUE(RIGHT(TRIM(F5724),4)),"")</f>
        <v>2018</v>
      </c>
      <c r="L5724" s="7" t="str">
        <f aca="false">IF(TRIM(E5724)="","Unknown",IFERROR(LEFT(TRIM(E5724),FIND(",",TRIM(E5724))-1),TRIM(E5724)))</f>
        <v>United States</v>
      </c>
      <c r="M5724" s="7" t="str">
        <f aca="false">IFERROR(LEFT(J5724,FIND(",",J5724)-1),J5724)</f>
        <v>Kids' TV</v>
      </c>
      <c r="N5724" s="7" t="str">
        <f aca="false">IF(B5724="Movie",IFERROR(VALUE(LEFT(I5724,FIND(" ",I5724)-1)),""),"")</f>
        <v/>
      </c>
      <c r="O5724" s="7" t="n">
        <f aca="false">IF(B5724="TV Show",IFERROR(VALUE(LEFT(I5724,FIND(" ",I5724)-1)),""),"")</f>
        <v>2</v>
      </c>
      <c r="P5724" s="7" t="n">
        <f aca="false">IF(K5724="","",K5724-G5724)</f>
        <v>0</v>
      </c>
    </row>
    <row r="5725" customFormat="false" ht="15" hidden="false" customHeight="false" outlineLevel="0" collapsed="false">
      <c r="A5725" s="7" t="n">
        <v>80221261</v>
      </c>
      <c r="B5725" s="7" t="s">
        <v>78</v>
      </c>
      <c r="C5725" s="7" t="s">
        <v>11388</v>
      </c>
      <c r="E5725" s="7" t="s">
        <v>28</v>
      </c>
      <c r="F5725" s="7" t="s">
        <v>11389</v>
      </c>
      <c r="G5725" s="7" t="n">
        <v>2017</v>
      </c>
      <c r="H5725" s="7" t="s">
        <v>48</v>
      </c>
      <c r="I5725" s="7" t="s">
        <v>11155</v>
      </c>
      <c r="J5725" s="7" t="s">
        <v>1612</v>
      </c>
      <c r="K5725" s="7" t="n">
        <f aca="false">IFERROR(VALUE(RIGHT(TRIM(F5725),4)),"")</f>
        <v>2017</v>
      </c>
      <c r="L5725" s="7" t="str">
        <f aca="false">IF(TRIM(E5725)="","Unknown",IFERROR(LEFT(TRIM(E5725),FIND(",",TRIM(E5725))-1),TRIM(E5725)))</f>
        <v>United Kingdom</v>
      </c>
      <c r="M5725" s="7" t="str">
        <f aca="false">IFERROR(LEFT(J5725,FIND(",",J5725)-1),J5725)</f>
        <v>British TV Shows</v>
      </c>
      <c r="N5725" s="7" t="str">
        <f aca="false">IF(B5725="Movie",IFERROR(VALUE(LEFT(I5725,FIND(" ",I5725)-1)),""),"")</f>
        <v/>
      </c>
      <c r="O5725" s="7" t="n">
        <f aca="false">IF(B5725="TV Show",IFERROR(VALUE(LEFT(I5725,FIND(" ",I5725)-1)),""),"")</f>
        <v>4</v>
      </c>
      <c r="P5725" s="7" t="n">
        <f aca="false">IF(K5725="","",K5725-G5725)</f>
        <v>0</v>
      </c>
    </row>
    <row r="5726" customFormat="false" ht="15" hidden="false" customHeight="false" outlineLevel="0" collapsed="false">
      <c r="A5726" s="7" t="n">
        <v>70204957</v>
      </c>
      <c r="B5726" s="7" t="s">
        <v>78</v>
      </c>
      <c r="C5726" s="7" t="s">
        <v>788</v>
      </c>
      <c r="E5726" s="7" t="s">
        <v>30</v>
      </c>
      <c r="F5726" s="7" t="s">
        <v>11390</v>
      </c>
      <c r="G5726" s="7" t="n">
        <v>2006</v>
      </c>
      <c r="H5726" s="7" t="s">
        <v>49</v>
      </c>
      <c r="I5726" s="7" t="s">
        <v>11148</v>
      </c>
      <c r="J5726" s="7" t="s">
        <v>542</v>
      </c>
      <c r="K5726" s="7" t="n">
        <f aca="false">IFERROR(VALUE(RIGHT(TRIM(F5726),4)),"")</f>
        <v>2018</v>
      </c>
      <c r="L5726" s="7" t="str">
        <f aca="false">IF(TRIM(E5726)="","Unknown",IFERROR(LEFT(TRIM(E5726),FIND(",",TRIM(E5726))-1),TRIM(E5726)))</f>
        <v>Japan</v>
      </c>
      <c r="M5726" s="7" t="str">
        <f aca="false">IFERROR(LEFT(J5726,FIND(",",J5726)-1),J5726)</f>
        <v>Anime Series</v>
      </c>
      <c r="N5726" s="7" t="str">
        <f aca="false">IF(B5726="Movie",IFERROR(VALUE(LEFT(I5726,FIND(" ",I5726)-1)),""),"")</f>
        <v/>
      </c>
      <c r="O5726" s="7" t="n">
        <f aca="false">IF(B5726="TV Show",IFERROR(VALUE(LEFT(I5726,FIND(" ",I5726)-1)),""),"")</f>
        <v>3</v>
      </c>
      <c r="P5726" s="7" t="n">
        <f aca="false">IF(K5726="","",K5726-G5726)</f>
        <v>12</v>
      </c>
    </row>
    <row r="5727" customFormat="false" ht="15" hidden="false" customHeight="false" outlineLevel="0" collapsed="false">
      <c r="A5727" s="7" t="n">
        <v>80136795</v>
      </c>
      <c r="B5727" s="7" t="s">
        <v>78</v>
      </c>
      <c r="C5727" s="7" t="s">
        <v>11391</v>
      </c>
      <c r="E5727" s="7" t="s">
        <v>1178</v>
      </c>
      <c r="F5727" s="7" t="s">
        <v>11390</v>
      </c>
      <c r="G5727" s="7" t="n">
        <v>2003</v>
      </c>
      <c r="H5727" s="7" t="s">
        <v>49</v>
      </c>
      <c r="I5727" s="7" t="s">
        <v>11152</v>
      </c>
      <c r="J5727" s="7" t="s">
        <v>1357</v>
      </c>
      <c r="K5727" s="7" t="n">
        <f aca="false">IFERROR(VALUE(RIGHT(TRIM(F5727),4)),"")</f>
        <v>2018</v>
      </c>
      <c r="L5727" s="7" t="str">
        <f aca="false">IF(TRIM(E5727)="","Unknown",IFERROR(LEFT(TRIM(E5727),FIND(",",TRIM(E5727))-1),TRIM(E5727)))</f>
        <v>Malaysia</v>
      </c>
      <c r="M5727" s="7" t="str">
        <f aca="false">IFERROR(LEFT(J5727,FIND(",",J5727)-1),J5727)</f>
        <v>International TV Shows</v>
      </c>
      <c r="N5727" s="7" t="str">
        <f aca="false">IF(B5727="Movie",IFERROR(VALUE(LEFT(I5727,FIND(" ",I5727)-1)),""),"")</f>
        <v/>
      </c>
      <c r="O5727" s="7" t="n">
        <f aca="false">IF(B5727="TV Show",IFERROR(VALUE(LEFT(I5727,FIND(" ",I5727)-1)),""),"")</f>
        <v>7</v>
      </c>
      <c r="P5727" s="7" t="n">
        <f aca="false">IF(K5727="","",K5727-G5727)</f>
        <v>15</v>
      </c>
    </row>
    <row r="5728" customFormat="false" ht="15" hidden="false" customHeight="false" outlineLevel="0" collapsed="false">
      <c r="A5728" s="7" t="n">
        <v>70279188</v>
      </c>
      <c r="B5728" s="7" t="s">
        <v>78</v>
      </c>
      <c r="C5728" s="7" t="s">
        <v>11392</v>
      </c>
      <c r="E5728" s="7" t="s">
        <v>26</v>
      </c>
      <c r="F5728" s="7" t="s">
        <v>11393</v>
      </c>
      <c r="G5728" s="7" t="n">
        <v>2014</v>
      </c>
      <c r="H5728" s="7" t="s">
        <v>119</v>
      </c>
      <c r="I5728" s="7" t="s">
        <v>11132</v>
      </c>
      <c r="J5728" s="7" t="s">
        <v>44</v>
      </c>
      <c r="K5728" s="7" t="n">
        <f aca="false">IFERROR(VALUE(RIGHT(TRIM(F5728),4)),"")</f>
        <v>2015</v>
      </c>
      <c r="L5728" s="7" t="str">
        <f aca="false">IF(TRIM(E5728)="","Unknown",IFERROR(LEFT(TRIM(E5728),FIND(",",TRIM(E5728))-1),TRIM(E5728)))</f>
        <v>United States</v>
      </c>
      <c r="M5728" s="7" t="str">
        <f aca="false">IFERROR(LEFT(J5728,FIND(",",J5728)-1),J5728)</f>
        <v>Kids' TV</v>
      </c>
      <c r="N5728" s="7" t="str">
        <f aca="false">IF(B5728="Movie",IFERROR(VALUE(LEFT(I5728,FIND(" ",I5728)-1)),""),"")</f>
        <v/>
      </c>
      <c r="O5728" s="7" t="n">
        <f aca="false">IF(B5728="TV Show",IFERROR(VALUE(LEFT(I5728,FIND(" ",I5728)-1)),""),"")</f>
        <v>2</v>
      </c>
      <c r="P5728" s="7" t="n">
        <f aca="false">IF(K5728="","",K5728-G5728)</f>
        <v>1</v>
      </c>
    </row>
    <row r="5729" customFormat="false" ht="15" hidden="false" customHeight="false" outlineLevel="0" collapsed="false">
      <c r="A5729" s="7" t="n">
        <v>80213643</v>
      </c>
      <c r="B5729" s="7" t="s">
        <v>78</v>
      </c>
      <c r="C5729" s="7" t="s">
        <v>11394</v>
      </c>
      <c r="E5729" s="7" t="s">
        <v>11395</v>
      </c>
      <c r="F5729" s="7" t="s">
        <v>11396</v>
      </c>
      <c r="G5729" s="7" t="n">
        <v>2019</v>
      </c>
      <c r="H5729" s="7" t="s">
        <v>119</v>
      </c>
      <c r="I5729" s="7" t="s">
        <v>11132</v>
      </c>
      <c r="J5729" s="7" t="s">
        <v>44</v>
      </c>
      <c r="K5729" s="7" t="n">
        <f aca="false">IFERROR(VALUE(RIGHT(TRIM(F5729),4)),"")</f>
        <v>2019</v>
      </c>
      <c r="L5729" s="7" t="str">
        <f aca="false">IF(TRIM(E5729)="","Unknown",IFERROR(LEFT(TRIM(E5729),FIND(",",TRIM(E5729))-1),TRIM(E5729)))</f>
        <v>Canada</v>
      </c>
      <c r="M5729" s="7" t="str">
        <f aca="false">IFERROR(LEFT(J5729,FIND(",",J5729)-1),J5729)</f>
        <v>Kids' TV</v>
      </c>
      <c r="N5729" s="7" t="str">
        <f aca="false">IF(B5729="Movie",IFERROR(VALUE(LEFT(I5729,FIND(" ",I5729)-1)),""),"")</f>
        <v/>
      </c>
      <c r="O5729" s="7" t="n">
        <f aca="false">IF(B5729="TV Show",IFERROR(VALUE(LEFT(I5729,FIND(" ",I5729)-1)),""),"")</f>
        <v>2</v>
      </c>
      <c r="P5729" s="7" t="n">
        <f aca="false">IF(K5729="","",K5729-G5729)</f>
        <v>0</v>
      </c>
    </row>
    <row r="5730" customFormat="false" ht="15" hidden="false" customHeight="false" outlineLevel="0" collapsed="false">
      <c r="A5730" s="7" t="n">
        <v>70205672</v>
      </c>
      <c r="B5730" s="7" t="s">
        <v>78</v>
      </c>
      <c r="C5730" s="7" t="s">
        <v>11397</v>
      </c>
      <c r="E5730" s="7" t="s">
        <v>11398</v>
      </c>
      <c r="F5730" s="7" t="s">
        <v>11396</v>
      </c>
      <c r="G5730" s="7" t="n">
        <v>2019</v>
      </c>
      <c r="H5730" s="7" t="s">
        <v>49</v>
      </c>
      <c r="I5730" s="7" t="s">
        <v>11132</v>
      </c>
      <c r="J5730" s="7" t="s">
        <v>89</v>
      </c>
      <c r="K5730" s="7" t="n">
        <f aca="false">IFERROR(VALUE(RIGHT(TRIM(F5730),4)),"")</f>
        <v>2019</v>
      </c>
      <c r="L5730" s="7" t="str">
        <f aca="false">IF(TRIM(E5730)="","Unknown",IFERROR(LEFT(TRIM(E5730),FIND(",",TRIM(E5730))-1),TRIM(E5730)))</f>
        <v>United States</v>
      </c>
      <c r="M5730" s="7" t="str">
        <f aca="false">IFERROR(LEFT(J5730,FIND(",",J5730)-1),J5730)</f>
        <v>Crime TV Shows</v>
      </c>
      <c r="N5730" s="7" t="str">
        <f aca="false">IF(B5730="Movie",IFERROR(VALUE(LEFT(I5730,FIND(" ",I5730)-1)),""),"")</f>
        <v/>
      </c>
      <c r="O5730" s="7" t="n">
        <f aca="false">IF(B5730="TV Show",IFERROR(VALUE(LEFT(I5730,FIND(" ",I5730)-1)),""),"")</f>
        <v>2</v>
      </c>
      <c r="P5730" s="7" t="n">
        <f aca="false">IF(K5730="","",K5730-G5730)</f>
        <v>0</v>
      </c>
    </row>
    <row r="5731" customFormat="false" ht="15" hidden="false" customHeight="false" outlineLevel="0" collapsed="false">
      <c r="A5731" s="7" t="n">
        <v>80092878</v>
      </c>
      <c r="B5731" s="7" t="s">
        <v>78</v>
      </c>
      <c r="C5731" s="7" t="s">
        <v>11399</v>
      </c>
      <c r="E5731" s="7" t="s">
        <v>30</v>
      </c>
      <c r="F5731" s="7" t="s">
        <v>11400</v>
      </c>
      <c r="G5731" s="7" t="n">
        <v>2017</v>
      </c>
      <c r="H5731" s="7" t="s">
        <v>49</v>
      </c>
      <c r="I5731" s="7" t="s">
        <v>11132</v>
      </c>
      <c r="J5731" s="7" t="s">
        <v>158</v>
      </c>
      <c r="K5731" s="7" t="n">
        <f aca="false">IFERROR(VALUE(RIGHT(TRIM(F5731),4)),"")</f>
        <v>2017</v>
      </c>
      <c r="L5731" s="7" t="str">
        <f aca="false">IF(TRIM(E5731)="","Unknown",IFERROR(LEFT(TRIM(E5731),FIND(",",TRIM(E5731))-1),TRIM(E5731)))</f>
        <v>Japan</v>
      </c>
      <c r="M5731" s="7" t="str">
        <f aca="false">IFERROR(LEFT(J5731,FIND(",",J5731)-1),J5731)</f>
        <v>International TV Shows</v>
      </c>
      <c r="N5731" s="7" t="str">
        <f aca="false">IF(B5731="Movie",IFERROR(VALUE(LEFT(I5731,FIND(" ",I5731)-1)),""),"")</f>
        <v/>
      </c>
      <c r="O5731" s="7" t="n">
        <f aca="false">IF(B5731="TV Show",IFERROR(VALUE(LEFT(I5731,FIND(" ",I5731)-1)),""),"")</f>
        <v>2</v>
      </c>
      <c r="P5731" s="7" t="n">
        <f aca="false">IF(K5731="","",K5731-G5731)</f>
        <v>0</v>
      </c>
    </row>
    <row r="5732" customFormat="false" ht="15" hidden="false" customHeight="false" outlineLevel="0" collapsed="false">
      <c r="A5732" s="7" t="n">
        <v>70302484</v>
      </c>
      <c r="B5732" s="7" t="s">
        <v>78</v>
      </c>
      <c r="C5732" s="7" t="s">
        <v>11401</v>
      </c>
      <c r="E5732" s="7" t="s">
        <v>28</v>
      </c>
      <c r="F5732" s="7" t="s">
        <v>11402</v>
      </c>
      <c r="G5732" s="7" t="n">
        <v>2017</v>
      </c>
      <c r="H5732" s="7" t="s">
        <v>49</v>
      </c>
      <c r="I5732" s="7" t="s">
        <v>11148</v>
      </c>
      <c r="J5732" s="7" t="s">
        <v>563</v>
      </c>
      <c r="K5732" s="7" t="n">
        <f aca="false">IFERROR(VALUE(RIGHT(TRIM(F5732),4)),"")</f>
        <v>2017</v>
      </c>
      <c r="L5732" s="7" t="str">
        <f aca="false">IF(TRIM(E5732)="","Unknown",IFERROR(LEFT(TRIM(E5732),FIND(",",TRIM(E5732))-1),TRIM(E5732)))</f>
        <v>United Kingdom</v>
      </c>
      <c r="M5732" s="7" t="str">
        <f aca="false">IFERROR(LEFT(J5732,FIND(",",J5732)-1),J5732)</f>
        <v>British TV Shows</v>
      </c>
      <c r="N5732" s="7" t="str">
        <f aca="false">IF(B5732="Movie",IFERROR(VALUE(LEFT(I5732,FIND(" ",I5732)-1)),""),"")</f>
        <v/>
      </c>
      <c r="O5732" s="7" t="n">
        <f aca="false">IF(B5732="TV Show",IFERROR(VALUE(LEFT(I5732,FIND(" ",I5732)-1)),""),"")</f>
        <v>3</v>
      </c>
      <c r="P5732" s="7" t="n">
        <f aca="false">IF(K5732="","",K5732-G5732)</f>
        <v>0</v>
      </c>
    </row>
    <row r="5733" customFormat="false" ht="15" hidden="false" customHeight="false" outlineLevel="0" collapsed="false">
      <c r="A5733" s="7" t="n">
        <v>81204911</v>
      </c>
      <c r="B5733" s="7" t="s">
        <v>78</v>
      </c>
      <c r="C5733" s="7" t="s">
        <v>11403</v>
      </c>
      <c r="E5733" s="7" t="s">
        <v>772</v>
      </c>
      <c r="F5733" s="7" t="s">
        <v>11404</v>
      </c>
      <c r="G5733" s="7" t="n">
        <v>2015</v>
      </c>
      <c r="H5733" s="7" t="s">
        <v>49</v>
      </c>
      <c r="I5733" s="7" t="s">
        <v>11132</v>
      </c>
      <c r="J5733" s="7" t="s">
        <v>402</v>
      </c>
      <c r="K5733" s="7" t="n">
        <f aca="false">IFERROR(VALUE(RIGHT(TRIM(F5733),4)),"")</f>
        <v>2019</v>
      </c>
      <c r="L5733" s="7" t="str">
        <f aca="false">IF(TRIM(E5733)="","Unknown",IFERROR(LEFT(TRIM(E5733),FIND(",",TRIM(E5733))-1),TRIM(E5733)))</f>
        <v>Poland</v>
      </c>
      <c r="M5733" s="7" t="str">
        <f aca="false">IFERROR(LEFT(J5733,FIND(",",J5733)-1),J5733)</f>
        <v>Crime TV Shows</v>
      </c>
      <c r="N5733" s="7" t="str">
        <f aca="false">IF(B5733="Movie",IFERROR(VALUE(LEFT(I5733,FIND(" ",I5733)-1)),""),"")</f>
        <v/>
      </c>
      <c r="O5733" s="7" t="n">
        <f aca="false">IF(B5733="TV Show",IFERROR(VALUE(LEFT(I5733,FIND(" ",I5733)-1)),""),"")</f>
        <v>2</v>
      </c>
      <c r="P5733" s="7" t="n">
        <f aca="false">IF(K5733="","",K5733-G5733)</f>
        <v>4</v>
      </c>
    </row>
    <row r="5734" customFormat="false" ht="15" hidden="false" customHeight="false" outlineLevel="0" collapsed="false">
      <c r="A5734" s="7" t="n">
        <v>80099656</v>
      </c>
      <c r="B5734" s="7" t="s">
        <v>78</v>
      </c>
      <c r="C5734" s="7" t="s">
        <v>11405</v>
      </c>
      <c r="E5734" s="7" t="s">
        <v>29</v>
      </c>
      <c r="F5734" s="7" t="s">
        <v>11406</v>
      </c>
      <c r="G5734" s="7" t="n">
        <v>2018</v>
      </c>
      <c r="H5734" s="7" t="s">
        <v>48</v>
      </c>
      <c r="I5734" s="7" t="s">
        <v>11148</v>
      </c>
      <c r="J5734" s="7" t="s">
        <v>393</v>
      </c>
      <c r="K5734" s="7" t="n">
        <f aca="false">IFERROR(VALUE(RIGHT(TRIM(F5734),4)),"")</f>
        <v>2018</v>
      </c>
      <c r="L5734" s="7" t="str">
        <f aca="false">IF(TRIM(E5734)="","Unknown",IFERROR(LEFT(TRIM(E5734),FIND(",",TRIM(E5734))-1),TRIM(E5734)))</f>
        <v>Canada</v>
      </c>
      <c r="M5734" s="7" t="str">
        <f aca="false">IFERROR(LEFT(J5734,FIND(",",J5734)-1),J5734)</f>
        <v>International TV Shows</v>
      </c>
      <c r="N5734" s="7" t="str">
        <f aca="false">IF(B5734="Movie",IFERROR(VALUE(LEFT(I5734,FIND(" ",I5734)-1)),""),"")</f>
        <v/>
      </c>
      <c r="O5734" s="7" t="n">
        <f aca="false">IF(B5734="TV Show",IFERROR(VALUE(LEFT(I5734,FIND(" ",I5734)-1)),""),"")</f>
        <v>3</v>
      </c>
      <c r="P5734" s="7" t="n">
        <f aca="false">IF(K5734="","",K5734-G5734)</f>
        <v>0</v>
      </c>
    </row>
    <row r="5735" customFormat="false" ht="15" hidden="false" customHeight="false" outlineLevel="0" collapsed="false">
      <c r="A5735" s="7" t="n">
        <v>80998905</v>
      </c>
      <c r="B5735" s="7" t="s">
        <v>78</v>
      </c>
      <c r="C5735" s="7" t="s">
        <v>11407</v>
      </c>
      <c r="E5735" s="7" t="s">
        <v>28</v>
      </c>
      <c r="F5735" s="7" t="s">
        <v>11406</v>
      </c>
      <c r="G5735" s="7" t="n">
        <v>2018</v>
      </c>
      <c r="H5735" s="7" t="s">
        <v>48</v>
      </c>
      <c r="I5735" s="7" t="s">
        <v>11132</v>
      </c>
      <c r="J5735" s="7" t="s">
        <v>4309</v>
      </c>
      <c r="K5735" s="7" t="n">
        <f aca="false">IFERROR(VALUE(RIGHT(TRIM(F5735),4)),"")</f>
        <v>2018</v>
      </c>
      <c r="L5735" s="7" t="str">
        <f aca="false">IF(TRIM(E5735)="","Unknown",IFERROR(LEFT(TRIM(E5735),FIND(",",TRIM(E5735))-1),TRIM(E5735)))</f>
        <v>United Kingdom</v>
      </c>
      <c r="M5735" s="7" t="str">
        <f aca="false">IFERROR(LEFT(J5735,FIND(",",J5735)-1),J5735)</f>
        <v>British TV Shows</v>
      </c>
      <c r="N5735" s="7" t="str">
        <f aca="false">IF(B5735="Movie",IFERROR(VALUE(LEFT(I5735,FIND(" ",I5735)-1)),""),"")</f>
        <v/>
      </c>
      <c r="O5735" s="7" t="n">
        <f aca="false">IF(B5735="TV Show",IFERROR(VALUE(LEFT(I5735,FIND(" ",I5735)-1)),""),"")</f>
        <v>2</v>
      </c>
      <c r="P5735" s="7" t="n">
        <f aca="false">IF(K5735="","",K5735-G5735)</f>
        <v>0</v>
      </c>
    </row>
    <row r="5736" customFormat="false" ht="15" hidden="false" customHeight="false" outlineLevel="0" collapsed="false">
      <c r="A5736" s="7" t="n">
        <v>80233258</v>
      </c>
      <c r="B5736" s="7" t="s">
        <v>78</v>
      </c>
      <c r="C5736" s="7" t="s">
        <v>11408</v>
      </c>
      <c r="E5736" s="7" t="s">
        <v>33</v>
      </c>
      <c r="F5736" s="7" t="s">
        <v>11409</v>
      </c>
      <c r="G5736" s="7" t="n">
        <v>2019</v>
      </c>
      <c r="H5736" s="7" t="s">
        <v>48</v>
      </c>
      <c r="I5736" s="7" t="s">
        <v>11132</v>
      </c>
      <c r="J5736" s="7" t="s">
        <v>89</v>
      </c>
      <c r="K5736" s="7" t="n">
        <f aca="false">IFERROR(VALUE(RIGHT(TRIM(F5736),4)),"")</f>
        <v>2019</v>
      </c>
      <c r="L5736" s="7" t="str">
        <f aca="false">IF(TRIM(E5736)="","Unknown",IFERROR(LEFT(TRIM(E5736),FIND(",",TRIM(E5736))-1),TRIM(E5736)))</f>
        <v>Spain</v>
      </c>
      <c r="M5736" s="7" t="str">
        <f aca="false">IFERROR(LEFT(J5736,FIND(",",J5736)-1),J5736)</f>
        <v>Crime TV Shows</v>
      </c>
      <c r="N5736" s="7" t="str">
        <f aca="false">IF(B5736="Movie",IFERROR(VALUE(LEFT(I5736,FIND(" ",I5736)-1)),""),"")</f>
        <v/>
      </c>
      <c r="O5736" s="7" t="n">
        <f aca="false">IF(B5736="TV Show",IFERROR(VALUE(LEFT(I5736,FIND(" ",I5736)-1)),""),"")</f>
        <v>2</v>
      </c>
      <c r="P5736" s="7" t="n">
        <f aca="false">IF(K5736="","",K5736-G5736)</f>
        <v>0</v>
      </c>
    </row>
    <row r="5737" customFormat="false" ht="15" hidden="false" customHeight="false" outlineLevel="0" collapsed="false">
      <c r="A5737" s="7" t="n">
        <v>81019894</v>
      </c>
      <c r="B5737" s="7" t="s">
        <v>78</v>
      </c>
      <c r="C5737" s="7" t="s">
        <v>11410</v>
      </c>
      <c r="E5737" s="7" t="s">
        <v>26</v>
      </c>
      <c r="F5737" s="7" t="s">
        <v>11409</v>
      </c>
      <c r="G5737" s="7" t="n">
        <v>2019</v>
      </c>
      <c r="H5737" s="7" t="s">
        <v>50</v>
      </c>
      <c r="I5737" s="7" t="s">
        <v>11132</v>
      </c>
      <c r="J5737" s="7" t="s">
        <v>701</v>
      </c>
      <c r="K5737" s="7" t="n">
        <f aca="false">IFERROR(VALUE(RIGHT(TRIM(F5737),4)),"")</f>
        <v>2019</v>
      </c>
      <c r="L5737" s="7" t="str">
        <f aca="false">IF(TRIM(E5737)="","Unknown",IFERROR(LEFT(TRIM(E5737),FIND(",",TRIM(E5737))-1),TRIM(E5737)))</f>
        <v>United States</v>
      </c>
      <c r="M5737" s="7" t="str">
        <f aca="false">IFERROR(LEFT(J5737,FIND(",",J5737)-1),J5737)</f>
        <v>Reality TV</v>
      </c>
      <c r="N5737" s="7" t="str">
        <f aca="false">IF(B5737="Movie",IFERROR(VALUE(LEFT(I5737,FIND(" ",I5737)-1)),""),"")</f>
        <v/>
      </c>
      <c r="O5737" s="7" t="n">
        <f aca="false">IF(B5737="TV Show",IFERROR(VALUE(LEFT(I5737,FIND(" ",I5737)-1)),""),"")</f>
        <v>2</v>
      </c>
      <c r="P5737" s="7" t="n">
        <f aca="false">IF(K5737="","",K5737-G5737)</f>
        <v>0</v>
      </c>
    </row>
    <row r="5738" customFormat="false" ht="15" hidden="false" customHeight="false" outlineLevel="0" collapsed="false">
      <c r="A5738" s="7" t="n">
        <v>80212245</v>
      </c>
      <c r="B5738" s="7" t="s">
        <v>78</v>
      </c>
      <c r="C5738" s="7" t="s">
        <v>11411</v>
      </c>
      <c r="E5738" s="7" t="s">
        <v>230</v>
      </c>
      <c r="F5738" s="7" t="s">
        <v>11409</v>
      </c>
      <c r="G5738" s="7" t="n">
        <v>2019</v>
      </c>
      <c r="H5738" s="7" t="s">
        <v>81</v>
      </c>
      <c r="I5738" s="7" t="s">
        <v>11148</v>
      </c>
      <c r="J5738" s="7" t="s">
        <v>6220</v>
      </c>
      <c r="K5738" s="7" t="n">
        <f aca="false">IFERROR(VALUE(RIGHT(TRIM(F5738),4)),"")</f>
        <v>2019</v>
      </c>
      <c r="L5738" s="7" t="str">
        <f aca="false">IF(TRIM(E5738)="","Unknown",IFERROR(LEFT(TRIM(E5738),FIND(",",TRIM(E5738))-1),TRIM(E5738)))</f>
        <v>United States</v>
      </c>
      <c r="M5738" s="7" t="str">
        <f aca="false">IFERROR(LEFT(J5738,FIND(",",J5738)-1),J5738)</f>
        <v>Kids' TV</v>
      </c>
      <c r="N5738" s="7" t="str">
        <f aca="false">IF(B5738="Movie",IFERROR(VALUE(LEFT(I5738,FIND(" ",I5738)-1)),""),"")</f>
        <v/>
      </c>
      <c r="O5738" s="7" t="n">
        <f aca="false">IF(B5738="TV Show",IFERROR(VALUE(LEFT(I5738,FIND(" ",I5738)-1)),""),"")</f>
        <v>3</v>
      </c>
      <c r="P5738" s="7" t="n">
        <f aca="false">IF(K5738="","",K5738-G5738)</f>
        <v>0</v>
      </c>
    </row>
    <row r="5739" customFormat="false" ht="15" hidden="false" customHeight="false" outlineLevel="0" collapsed="false">
      <c r="A5739" s="7" t="n">
        <v>80117560</v>
      </c>
      <c r="B5739" s="7" t="s">
        <v>78</v>
      </c>
      <c r="C5739" s="7" t="s">
        <v>11412</v>
      </c>
      <c r="E5739" s="7" t="s">
        <v>26</v>
      </c>
      <c r="F5739" s="7" t="s">
        <v>11409</v>
      </c>
      <c r="G5739" s="7" t="n">
        <v>2019</v>
      </c>
      <c r="H5739" s="7" t="s">
        <v>226</v>
      </c>
      <c r="I5739" s="7" t="s">
        <v>11158</v>
      </c>
      <c r="J5739" s="7" t="s">
        <v>191</v>
      </c>
      <c r="K5739" s="7" t="n">
        <f aca="false">IFERROR(VALUE(RIGHT(TRIM(F5739),4)),"")</f>
        <v>2019</v>
      </c>
      <c r="L5739" s="7" t="str">
        <f aca="false">IF(TRIM(E5739)="","Unknown",IFERROR(LEFT(TRIM(E5739),FIND(",",TRIM(E5739))-1),TRIM(E5739)))</f>
        <v>United States</v>
      </c>
      <c r="M5739" s="7" t="str">
        <f aca="false">IFERROR(LEFT(J5739,FIND(",",J5739)-1),J5739)</f>
        <v>Kids' TV</v>
      </c>
      <c r="N5739" s="7" t="str">
        <f aca="false">IF(B5739="Movie",IFERROR(VALUE(LEFT(I5739,FIND(" ",I5739)-1)),""),"")</f>
        <v/>
      </c>
      <c r="O5739" s="7" t="n">
        <f aca="false">IF(B5739="TV Show",IFERROR(VALUE(LEFT(I5739,FIND(" ",I5739)-1)),""),"")</f>
        <v>8</v>
      </c>
      <c r="P5739" s="7" t="n">
        <f aca="false">IF(K5739="","",K5739-G5739)</f>
        <v>0</v>
      </c>
    </row>
    <row r="5740" customFormat="false" ht="15" hidden="false" customHeight="false" outlineLevel="0" collapsed="false">
      <c r="A5740" s="7" t="n">
        <v>80128275</v>
      </c>
      <c r="B5740" s="7" t="s">
        <v>78</v>
      </c>
      <c r="C5740" s="7" t="s">
        <v>11413</v>
      </c>
      <c r="E5740" s="7" t="s">
        <v>26</v>
      </c>
      <c r="F5740" s="7" t="s">
        <v>11414</v>
      </c>
      <c r="G5740" s="7" t="n">
        <v>2018</v>
      </c>
      <c r="H5740" s="7" t="s">
        <v>49</v>
      </c>
      <c r="I5740" s="7" t="s">
        <v>11132</v>
      </c>
      <c r="J5740" s="7" t="s">
        <v>4855</v>
      </c>
      <c r="K5740" s="7" t="n">
        <f aca="false">IFERROR(VALUE(RIGHT(TRIM(F5740),4)),"")</f>
        <v>2018</v>
      </c>
      <c r="L5740" s="7" t="str">
        <f aca="false">IF(TRIM(E5740)="","Unknown",IFERROR(LEFT(TRIM(E5740),FIND(",",TRIM(E5740))-1),TRIM(E5740)))</f>
        <v>United States</v>
      </c>
      <c r="M5740" s="7" t="str">
        <f aca="false">IFERROR(LEFT(J5740,FIND(",",J5740)-1),J5740)</f>
        <v>TV Comedies</v>
      </c>
      <c r="N5740" s="7" t="str">
        <f aca="false">IF(B5740="Movie",IFERROR(VALUE(LEFT(I5740,FIND(" ",I5740)-1)),""),"")</f>
        <v/>
      </c>
      <c r="O5740" s="7" t="n">
        <f aca="false">IF(B5740="TV Show",IFERROR(VALUE(LEFT(I5740,FIND(" ",I5740)-1)),""),"")</f>
        <v>2</v>
      </c>
      <c r="P5740" s="7" t="n">
        <f aca="false">IF(K5740="","",K5740-G5740)</f>
        <v>0</v>
      </c>
    </row>
    <row r="5741" customFormat="false" ht="15" hidden="false" customHeight="false" outlineLevel="0" collapsed="false">
      <c r="A5741" s="7" t="n">
        <v>70221438</v>
      </c>
      <c r="B5741" s="7" t="s">
        <v>78</v>
      </c>
      <c r="C5741" s="7" t="s">
        <v>11415</v>
      </c>
      <c r="E5741" s="7" t="s">
        <v>11416</v>
      </c>
      <c r="F5741" s="7" t="s">
        <v>11417</v>
      </c>
      <c r="G5741" s="7" t="n">
        <v>2014</v>
      </c>
      <c r="H5741" s="7" t="s">
        <v>48</v>
      </c>
      <c r="I5741" s="7" t="s">
        <v>11148</v>
      </c>
      <c r="J5741" s="7" t="s">
        <v>553</v>
      </c>
      <c r="K5741" s="7" t="n">
        <f aca="false">IFERROR(VALUE(RIGHT(TRIM(F5741),4)),"")</f>
        <v>2014</v>
      </c>
      <c r="L5741" s="7" t="str">
        <f aca="false">IF(TRIM(E5741)="","Unknown",IFERROR(LEFT(TRIM(E5741),FIND(",",TRIM(E5741))-1),TRIM(E5741)))</f>
        <v>Norway</v>
      </c>
      <c r="M5741" s="7" t="str">
        <f aca="false">IFERROR(LEFT(J5741,FIND(",",J5741)-1),J5741)</f>
        <v>Crime TV Shows</v>
      </c>
      <c r="N5741" s="7" t="str">
        <f aca="false">IF(B5741="Movie",IFERROR(VALUE(LEFT(I5741,FIND(" ",I5741)-1)),""),"")</f>
        <v/>
      </c>
      <c r="O5741" s="7" t="n">
        <f aca="false">IF(B5741="TV Show",IFERROR(VALUE(LEFT(I5741,FIND(" ",I5741)-1)),""),"")</f>
        <v>3</v>
      </c>
      <c r="P5741" s="7" t="n">
        <f aca="false">IF(K5741="","",K5741-G5741)</f>
        <v>0</v>
      </c>
    </row>
    <row r="5742" customFormat="false" ht="15" hidden="false" customHeight="false" outlineLevel="0" collapsed="false">
      <c r="A5742" s="7" t="n">
        <v>70172485</v>
      </c>
      <c r="B5742" s="7" t="s">
        <v>78</v>
      </c>
      <c r="C5742" s="7" t="s">
        <v>11418</v>
      </c>
      <c r="E5742" s="7" t="s">
        <v>26</v>
      </c>
      <c r="F5742" s="7" t="s">
        <v>11419</v>
      </c>
      <c r="G5742" s="7" t="n">
        <v>2013</v>
      </c>
      <c r="H5742" s="7" t="s">
        <v>226</v>
      </c>
      <c r="I5742" s="7" t="s">
        <v>11148</v>
      </c>
      <c r="J5742" s="7" t="s">
        <v>191</v>
      </c>
      <c r="K5742" s="7" t="n">
        <f aca="false">IFERROR(VALUE(RIGHT(TRIM(F5742),4)),"")</f>
        <v>2019</v>
      </c>
      <c r="L5742" s="7" t="str">
        <f aca="false">IF(TRIM(E5742)="","Unknown",IFERROR(LEFT(TRIM(E5742),FIND(",",TRIM(E5742))-1),TRIM(E5742)))</f>
        <v>United States</v>
      </c>
      <c r="M5742" s="7" t="str">
        <f aca="false">IFERROR(LEFT(J5742,FIND(",",J5742)-1),J5742)</f>
        <v>Kids' TV</v>
      </c>
      <c r="N5742" s="7" t="str">
        <f aca="false">IF(B5742="Movie",IFERROR(VALUE(LEFT(I5742,FIND(" ",I5742)-1)),""),"")</f>
        <v/>
      </c>
      <c r="O5742" s="7" t="n">
        <f aca="false">IF(B5742="TV Show",IFERROR(VALUE(LEFT(I5742,FIND(" ",I5742)-1)),""),"")</f>
        <v>3</v>
      </c>
      <c r="P5742" s="7" t="n">
        <f aca="false">IF(K5742="","",K5742-G5742)</f>
        <v>6</v>
      </c>
    </row>
    <row r="5743" customFormat="false" ht="15" hidden="false" customHeight="false" outlineLevel="0" collapsed="false">
      <c r="A5743" s="7" t="n">
        <v>70178217</v>
      </c>
      <c r="B5743" s="7" t="s">
        <v>78</v>
      </c>
      <c r="C5743" s="7" t="s">
        <v>11420</v>
      </c>
      <c r="E5743" s="7" t="s">
        <v>26</v>
      </c>
      <c r="F5743" s="7" t="s">
        <v>11421</v>
      </c>
      <c r="G5743" s="7" t="n">
        <v>2018</v>
      </c>
      <c r="H5743" s="7" t="s">
        <v>48</v>
      </c>
      <c r="I5743" s="7" t="s">
        <v>11198</v>
      </c>
      <c r="J5743" s="7" t="s">
        <v>1544</v>
      </c>
      <c r="K5743" s="7" t="n">
        <f aca="false">IFERROR(VALUE(RIGHT(TRIM(F5743),4)),"")</f>
        <v>2018</v>
      </c>
      <c r="L5743" s="7" t="str">
        <f aca="false">IF(TRIM(E5743)="","Unknown",IFERROR(LEFT(TRIM(E5743),FIND(",",TRIM(E5743))-1),TRIM(E5743)))</f>
        <v>United States</v>
      </c>
      <c r="M5743" s="7" t="str">
        <f aca="false">IFERROR(LEFT(J5743,FIND(",",J5743)-1),J5743)</f>
        <v>TV Dramas</v>
      </c>
      <c r="N5743" s="7" t="str">
        <f aca="false">IF(B5743="Movie",IFERROR(VALUE(LEFT(I5743,FIND(" ",I5743)-1)),""),"")</f>
        <v/>
      </c>
      <c r="O5743" s="7" t="n">
        <f aca="false">IF(B5743="TV Show",IFERROR(VALUE(LEFT(I5743,FIND(" ",I5743)-1)),""),"")</f>
        <v>6</v>
      </c>
      <c r="P5743" s="7" t="n">
        <f aca="false">IF(K5743="","",K5743-G5743)</f>
        <v>0</v>
      </c>
    </row>
    <row r="5744" customFormat="false" ht="15" hidden="false" customHeight="false" outlineLevel="0" collapsed="false">
      <c r="A5744" s="7" t="n">
        <v>80074249</v>
      </c>
      <c r="B5744" s="7" t="s">
        <v>78</v>
      </c>
      <c r="C5744" s="7" t="s">
        <v>11422</v>
      </c>
      <c r="E5744" s="7" t="s">
        <v>28</v>
      </c>
      <c r="F5744" s="7" t="s">
        <v>11423</v>
      </c>
      <c r="G5744" s="7" t="n">
        <v>2018</v>
      </c>
      <c r="H5744" s="7" t="s">
        <v>48</v>
      </c>
      <c r="I5744" s="7" t="s">
        <v>11148</v>
      </c>
      <c r="J5744" s="7" t="s">
        <v>8964</v>
      </c>
      <c r="K5744" s="7" t="n">
        <f aca="false">IFERROR(VALUE(RIGHT(TRIM(F5744),4)),"")</f>
        <v>2018</v>
      </c>
      <c r="L5744" s="7" t="str">
        <f aca="false">IF(TRIM(E5744)="","Unknown",IFERROR(LEFT(TRIM(E5744),FIND(",",TRIM(E5744))-1),TRIM(E5744)))</f>
        <v>United Kingdom</v>
      </c>
      <c r="M5744" s="7" t="str">
        <f aca="false">IFERROR(LEFT(J5744,FIND(",",J5744)-1),J5744)</f>
        <v>British TV Shows</v>
      </c>
      <c r="N5744" s="7" t="str">
        <f aca="false">IF(B5744="Movie",IFERROR(VALUE(LEFT(I5744,FIND(" ",I5744)-1)),""),"")</f>
        <v/>
      </c>
      <c r="O5744" s="7" t="n">
        <f aca="false">IF(B5744="TV Show",IFERROR(VALUE(LEFT(I5744,FIND(" ",I5744)-1)),""),"")</f>
        <v>3</v>
      </c>
      <c r="P5744" s="7" t="n">
        <f aca="false">IF(K5744="","",K5744-G5744)</f>
        <v>0</v>
      </c>
    </row>
    <row r="5745" customFormat="false" ht="15" hidden="false" customHeight="false" outlineLevel="0" collapsed="false">
      <c r="A5745" s="7" t="n">
        <v>70264616</v>
      </c>
      <c r="B5745" s="7" t="s">
        <v>78</v>
      </c>
      <c r="C5745" s="7" t="s">
        <v>11424</v>
      </c>
      <c r="E5745" s="7" t="s">
        <v>29</v>
      </c>
      <c r="F5745" s="7" t="s">
        <v>11425</v>
      </c>
      <c r="G5745" s="7" t="n">
        <v>1998</v>
      </c>
      <c r="H5745" s="7" t="s">
        <v>55</v>
      </c>
      <c r="I5745" s="7" t="s">
        <v>11135</v>
      </c>
      <c r="J5745" s="7" t="s">
        <v>1717</v>
      </c>
      <c r="K5745" s="7" t="n">
        <f aca="false">IFERROR(VALUE(RIGHT(TRIM(F5745),4)),"")</f>
        <v>2014</v>
      </c>
      <c r="L5745" s="7" t="str">
        <f aca="false">IF(TRIM(E5745)="","Unknown",IFERROR(LEFT(TRIM(E5745),FIND(",",TRIM(E5745))-1),TRIM(E5745)))</f>
        <v>Canada</v>
      </c>
      <c r="M5745" s="7" t="str">
        <f aca="false">IFERROR(LEFT(J5745,FIND(",",J5745)-1),J5745)</f>
        <v>Kids' TV</v>
      </c>
      <c r="N5745" s="7" t="str">
        <f aca="false">IF(B5745="Movie",IFERROR(VALUE(LEFT(I5745,FIND(" ",I5745)-1)),""),"")</f>
        <v/>
      </c>
      <c r="O5745" s="7" t="n">
        <f aca="false">IF(B5745="TV Show",IFERROR(VALUE(LEFT(I5745,FIND(" ",I5745)-1)),""),"")</f>
        <v>5</v>
      </c>
      <c r="P5745" s="7" t="n">
        <f aca="false">IF(K5745="","",K5745-G5745)</f>
        <v>16</v>
      </c>
    </row>
    <row r="5746" customFormat="false" ht="15" hidden="false" customHeight="false" outlineLevel="0" collapsed="false">
      <c r="A5746" s="7" t="n">
        <v>70264612</v>
      </c>
      <c r="B5746" s="7" t="s">
        <v>78</v>
      </c>
      <c r="C5746" s="7" t="s">
        <v>11426</v>
      </c>
      <c r="E5746" s="7" t="s">
        <v>619</v>
      </c>
      <c r="F5746" s="7" t="s">
        <v>11425</v>
      </c>
      <c r="G5746" s="7" t="n">
        <v>1997</v>
      </c>
      <c r="H5746" s="7" t="s">
        <v>119</v>
      </c>
      <c r="I5746" s="7" t="s">
        <v>11155</v>
      </c>
      <c r="J5746" s="7" t="s">
        <v>44</v>
      </c>
      <c r="K5746" s="7" t="n">
        <f aca="false">IFERROR(VALUE(RIGHT(TRIM(F5746),4)),"")</f>
        <v>2014</v>
      </c>
      <c r="L5746" s="7" t="str">
        <f aca="false">IF(TRIM(E5746)="","Unknown",IFERROR(LEFT(TRIM(E5746),FIND(",",TRIM(E5746))-1),TRIM(E5746)))</f>
        <v>Canada</v>
      </c>
      <c r="M5746" s="7" t="str">
        <f aca="false">IFERROR(LEFT(J5746,FIND(",",J5746)-1),J5746)</f>
        <v>Kids' TV</v>
      </c>
      <c r="N5746" s="7" t="str">
        <f aca="false">IF(B5746="Movie",IFERROR(VALUE(LEFT(I5746,FIND(" ",I5746)-1)),""),"")</f>
        <v/>
      </c>
      <c r="O5746" s="7" t="n">
        <f aca="false">IF(B5746="TV Show",IFERROR(VALUE(LEFT(I5746,FIND(" ",I5746)-1)),""),"")</f>
        <v>4</v>
      </c>
      <c r="P5746" s="7" t="n">
        <f aca="false">IF(K5746="","",K5746-G5746)</f>
        <v>17</v>
      </c>
    </row>
    <row r="5747" customFormat="false" ht="15" hidden="false" customHeight="false" outlineLevel="0" collapsed="false">
      <c r="A5747" s="7" t="n">
        <v>80025678</v>
      </c>
      <c r="B5747" s="7" t="s">
        <v>78</v>
      </c>
      <c r="C5747" s="7" t="s">
        <v>11427</v>
      </c>
      <c r="E5747" s="7" t="s">
        <v>317</v>
      </c>
      <c r="F5747" s="7" t="s">
        <v>11428</v>
      </c>
      <c r="G5747" s="7" t="n">
        <v>2019</v>
      </c>
      <c r="H5747" s="7" t="s">
        <v>48</v>
      </c>
      <c r="I5747" s="7" t="s">
        <v>11148</v>
      </c>
      <c r="J5747" s="7" t="s">
        <v>4544</v>
      </c>
      <c r="K5747" s="7" t="n">
        <f aca="false">IFERROR(VALUE(RIGHT(TRIM(F5747),4)),"")</f>
        <v>2019</v>
      </c>
      <c r="L5747" s="7" t="str">
        <f aca="false">IF(TRIM(E5747)="","Unknown",IFERROR(LEFT(TRIM(E5747),FIND(",",TRIM(E5747))-1),TRIM(E5747)))</f>
        <v>United Kingdom</v>
      </c>
      <c r="M5747" s="7" t="str">
        <f aca="false">IFERROR(LEFT(J5747,FIND(",",J5747)-1),J5747)</f>
        <v>British TV Shows</v>
      </c>
      <c r="N5747" s="7" t="str">
        <f aca="false">IF(B5747="Movie",IFERROR(VALUE(LEFT(I5747,FIND(" ",I5747)-1)),""),"")</f>
        <v/>
      </c>
      <c r="O5747" s="7" t="n">
        <f aca="false">IF(B5747="TV Show",IFERROR(VALUE(LEFT(I5747,FIND(" ",I5747)-1)),""),"")</f>
        <v>3</v>
      </c>
      <c r="P5747" s="7" t="n">
        <f aca="false">IF(K5747="","",K5747-G5747)</f>
        <v>0</v>
      </c>
    </row>
    <row r="5748" customFormat="false" ht="15" hidden="false" customHeight="false" outlineLevel="0" collapsed="false">
      <c r="A5748" s="7" t="n">
        <v>70269479</v>
      </c>
      <c r="B5748" s="7" t="s">
        <v>78</v>
      </c>
      <c r="C5748" s="7" t="s">
        <v>11429</v>
      </c>
      <c r="E5748" s="7" t="s">
        <v>26</v>
      </c>
      <c r="F5748" s="7" t="s">
        <v>11430</v>
      </c>
      <c r="G5748" s="7" t="n">
        <v>2017</v>
      </c>
      <c r="H5748" s="7" t="s">
        <v>49</v>
      </c>
      <c r="I5748" s="7" t="s">
        <v>11198</v>
      </c>
      <c r="J5748" s="7" t="s">
        <v>834</v>
      </c>
      <c r="K5748" s="7" t="n">
        <f aca="false">IFERROR(VALUE(RIGHT(TRIM(F5748),4)),"")</f>
        <v>2017</v>
      </c>
      <c r="L5748" s="7" t="str">
        <f aca="false">IF(TRIM(E5748)="","Unknown",IFERROR(LEFT(TRIM(E5748),FIND(",",TRIM(E5748))-1),TRIM(E5748)))</f>
        <v>United States</v>
      </c>
      <c r="M5748" s="7" t="str">
        <f aca="false">IFERROR(LEFT(J5748,FIND(",",J5748)-1),J5748)</f>
        <v>Crime TV Shows</v>
      </c>
      <c r="N5748" s="7" t="str">
        <f aca="false">IF(B5748="Movie",IFERROR(VALUE(LEFT(I5748,FIND(" ",I5748)-1)),""),"")</f>
        <v/>
      </c>
      <c r="O5748" s="7" t="n">
        <f aca="false">IF(B5748="TV Show",IFERROR(VALUE(LEFT(I5748,FIND(" ",I5748)-1)),""),"")</f>
        <v>6</v>
      </c>
      <c r="P5748" s="7" t="n">
        <f aca="false">IF(K5748="","",K5748-G5748)</f>
        <v>0</v>
      </c>
    </row>
    <row r="5749" customFormat="false" ht="15" hidden="false" customHeight="false" outlineLevel="0" collapsed="false">
      <c r="A5749" s="7" t="n">
        <v>80057171</v>
      </c>
      <c r="B5749" s="7" t="s">
        <v>78</v>
      </c>
      <c r="C5749" s="7" t="s">
        <v>11431</v>
      </c>
      <c r="E5749" s="7" t="s">
        <v>26</v>
      </c>
      <c r="F5749" s="7" t="s">
        <v>11430</v>
      </c>
      <c r="G5749" s="7" t="n">
        <v>2017</v>
      </c>
      <c r="H5749" s="7" t="s">
        <v>119</v>
      </c>
      <c r="I5749" s="7" t="s">
        <v>11148</v>
      </c>
      <c r="J5749" s="7" t="s">
        <v>44</v>
      </c>
      <c r="K5749" s="7" t="n">
        <f aca="false">IFERROR(VALUE(RIGHT(TRIM(F5749),4)),"")</f>
        <v>2017</v>
      </c>
      <c r="L5749" s="7" t="str">
        <f aca="false">IF(TRIM(E5749)="","Unknown",IFERROR(LEFT(TRIM(E5749),FIND(",",TRIM(E5749))-1),TRIM(E5749)))</f>
        <v>United States</v>
      </c>
      <c r="M5749" s="7" t="str">
        <f aca="false">IFERROR(LEFT(J5749,FIND(",",J5749)-1),J5749)</f>
        <v>Kids' TV</v>
      </c>
      <c r="N5749" s="7" t="str">
        <f aca="false">IF(B5749="Movie",IFERROR(VALUE(LEFT(I5749,FIND(" ",I5749)-1)),""),"")</f>
        <v/>
      </c>
      <c r="O5749" s="7" t="n">
        <f aca="false">IF(B5749="TV Show",IFERROR(VALUE(LEFT(I5749,FIND(" ",I5749)-1)),""),"")</f>
        <v>3</v>
      </c>
      <c r="P5749" s="7" t="n">
        <f aca="false">IF(K5749="","",K5749-G5749)</f>
        <v>0</v>
      </c>
    </row>
    <row r="5750" customFormat="false" ht="15" hidden="false" customHeight="false" outlineLevel="0" collapsed="false">
      <c r="A5750" s="7" t="n">
        <v>80245299</v>
      </c>
      <c r="B5750" s="7" t="s">
        <v>78</v>
      </c>
      <c r="C5750" s="7" t="s">
        <v>11432</v>
      </c>
      <c r="E5750" s="7" t="s">
        <v>29</v>
      </c>
      <c r="F5750" s="7" t="s">
        <v>11433</v>
      </c>
      <c r="G5750" s="7" t="n">
        <v>2018</v>
      </c>
      <c r="H5750" s="7" t="s">
        <v>55</v>
      </c>
      <c r="I5750" s="7" t="s">
        <v>11132</v>
      </c>
      <c r="J5750" s="7" t="s">
        <v>11434</v>
      </c>
      <c r="K5750" s="7" t="n">
        <f aca="false">IFERROR(VALUE(RIGHT(TRIM(F5750),4)),"")</f>
        <v>2018</v>
      </c>
      <c r="L5750" s="7" t="str">
        <f aca="false">IF(TRIM(E5750)="","Unknown",IFERROR(LEFT(TRIM(E5750),FIND(",",TRIM(E5750))-1),TRIM(E5750)))</f>
        <v>Canada</v>
      </c>
      <c r="M5750" s="7" t="str">
        <f aca="false">IFERROR(LEFT(J5750,FIND(",",J5750)-1),J5750)</f>
        <v>Kids' TV</v>
      </c>
      <c r="N5750" s="7" t="str">
        <f aca="false">IF(B5750="Movie",IFERROR(VALUE(LEFT(I5750,FIND(" ",I5750)-1)),""),"")</f>
        <v/>
      </c>
      <c r="O5750" s="7" t="n">
        <f aca="false">IF(B5750="TV Show",IFERROR(VALUE(LEFT(I5750,FIND(" ",I5750)-1)),""),"")</f>
        <v>2</v>
      </c>
      <c r="P5750" s="7" t="n">
        <f aca="false">IF(K5750="","",K5750-G5750)</f>
        <v>0</v>
      </c>
    </row>
    <row r="5751" customFormat="false" ht="15" hidden="false" customHeight="false" outlineLevel="0" collapsed="false">
      <c r="A5751" s="7" t="n">
        <v>80003477</v>
      </c>
      <c r="B5751" s="7" t="s">
        <v>78</v>
      </c>
      <c r="C5751" s="7" t="s">
        <v>11435</v>
      </c>
      <c r="E5751" s="7" t="s">
        <v>30</v>
      </c>
      <c r="F5751" s="7" t="s">
        <v>11436</v>
      </c>
      <c r="G5751" s="7" t="n">
        <v>2010</v>
      </c>
      <c r="H5751" s="7" t="s">
        <v>50</v>
      </c>
      <c r="I5751" s="7" t="s">
        <v>11132</v>
      </c>
      <c r="J5751" s="7" t="s">
        <v>7345</v>
      </c>
      <c r="K5751" s="7" t="n">
        <f aca="false">IFERROR(VALUE(RIGHT(TRIM(F5751),4)),"")</f>
        <v>2019</v>
      </c>
      <c r="L5751" s="7" t="str">
        <f aca="false">IF(TRIM(E5751)="","Unknown",IFERROR(LEFT(TRIM(E5751),FIND(",",TRIM(E5751))-1),TRIM(E5751)))</f>
        <v>Japan</v>
      </c>
      <c r="M5751" s="7" t="str">
        <f aca="false">IFERROR(LEFT(J5751,FIND(",",J5751)-1),J5751)</f>
        <v>Anime Series</v>
      </c>
      <c r="N5751" s="7" t="str">
        <f aca="false">IF(B5751="Movie",IFERROR(VALUE(LEFT(I5751,FIND(" ",I5751)-1)),""),"")</f>
        <v/>
      </c>
      <c r="O5751" s="7" t="n">
        <f aca="false">IF(B5751="TV Show",IFERROR(VALUE(LEFT(I5751,FIND(" ",I5751)-1)),""),"")</f>
        <v>2</v>
      </c>
      <c r="P5751" s="7" t="n">
        <f aca="false">IF(K5751="","",K5751-G5751)</f>
        <v>9</v>
      </c>
    </row>
    <row r="5752" customFormat="false" ht="15" hidden="false" customHeight="false" outlineLevel="0" collapsed="false">
      <c r="A5752" s="7" t="n">
        <v>80115338</v>
      </c>
      <c r="B5752" s="7" t="s">
        <v>78</v>
      </c>
      <c r="C5752" s="7" t="s">
        <v>11437</v>
      </c>
      <c r="E5752" s="7" t="s">
        <v>26</v>
      </c>
      <c r="F5752" s="7" t="s">
        <v>11436</v>
      </c>
      <c r="G5752" s="7" t="n">
        <v>2019</v>
      </c>
      <c r="H5752" s="7" t="s">
        <v>119</v>
      </c>
      <c r="I5752" s="7" t="s">
        <v>11132</v>
      </c>
      <c r="J5752" s="7" t="s">
        <v>44</v>
      </c>
      <c r="K5752" s="7" t="n">
        <f aca="false">IFERROR(VALUE(RIGHT(TRIM(F5752),4)),"")</f>
        <v>2019</v>
      </c>
      <c r="L5752" s="7" t="str">
        <f aca="false">IF(TRIM(E5752)="","Unknown",IFERROR(LEFT(TRIM(E5752),FIND(",",TRIM(E5752))-1),TRIM(E5752)))</f>
        <v>United States</v>
      </c>
      <c r="M5752" s="7" t="str">
        <f aca="false">IFERROR(LEFT(J5752,FIND(",",J5752)-1),J5752)</f>
        <v>Kids' TV</v>
      </c>
      <c r="N5752" s="7" t="str">
        <f aca="false">IF(B5752="Movie",IFERROR(VALUE(LEFT(I5752,FIND(" ",I5752)-1)),""),"")</f>
        <v/>
      </c>
      <c r="O5752" s="7" t="n">
        <f aca="false">IF(B5752="TV Show",IFERROR(VALUE(LEFT(I5752,FIND(" ",I5752)-1)),""),"")</f>
        <v>2</v>
      </c>
      <c r="P5752" s="7" t="n">
        <f aca="false">IF(K5752="","",K5752-G5752)</f>
        <v>0</v>
      </c>
    </row>
    <row r="5753" customFormat="false" ht="15" hidden="false" customHeight="false" outlineLevel="0" collapsed="false">
      <c r="A5753" s="7" t="n">
        <v>80161497</v>
      </c>
      <c r="B5753" s="7" t="s">
        <v>78</v>
      </c>
      <c r="C5753" s="7" t="s">
        <v>11438</v>
      </c>
      <c r="E5753" s="7" t="s">
        <v>26</v>
      </c>
      <c r="F5753" s="7" t="s">
        <v>11436</v>
      </c>
      <c r="G5753" s="7" t="n">
        <v>2019</v>
      </c>
      <c r="H5753" s="7" t="s">
        <v>49</v>
      </c>
      <c r="I5753" s="7" t="s">
        <v>11148</v>
      </c>
      <c r="J5753" s="7" t="s">
        <v>1046</v>
      </c>
      <c r="K5753" s="7" t="n">
        <f aca="false">IFERROR(VALUE(RIGHT(TRIM(F5753),4)),"")</f>
        <v>2019</v>
      </c>
      <c r="L5753" s="7" t="str">
        <f aca="false">IF(TRIM(E5753)="","Unknown",IFERROR(LEFT(TRIM(E5753),FIND(",",TRIM(E5753))-1),TRIM(E5753)))</f>
        <v>United States</v>
      </c>
      <c r="M5753" s="7" t="str">
        <f aca="false">IFERROR(LEFT(J5753,FIND(",",J5753)-1),J5753)</f>
        <v>Docuseries</v>
      </c>
      <c r="N5753" s="7" t="str">
        <f aca="false">IF(B5753="Movie",IFERROR(VALUE(LEFT(I5753,FIND(" ",I5753)-1)),""),"")</f>
        <v/>
      </c>
      <c r="O5753" s="7" t="n">
        <f aca="false">IF(B5753="TV Show",IFERROR(VALUE(LEFT(I5753,FIND(" ",I5753)-1)),""),"")</f>
        <v>3</v>
      </c>
      <c r="P5753" s="7" t="n">
        <f aca="false">IF(K5753="","",K5753-G5753)</f>
        <v>0</v>
      </c>
    </row>
    <row r="5754" customFormat="false" ht="15" hidden="false" customHeight="false" outlineLevel="0" collapsed="false">
      <c r="A5754" s="7" t="n">
        <v>81086462</v>
      </c>
      <c r="B5754" s="7" t="s">
        <v>78</v>
      </c>
      <c r="C5754" s="7" t="s">
        <v>11439</v>
      </c>
      <c r="E5754" s="7" t="s">
        <v>396</v>
      </c>
      <c r="F5754" s="7" t="s">
        <v>11436</v>
      </c>
      <c r="G5754" s="7" t="n">
        <v>2019</v>
      </c>
      <c r="H5754" s="7" t="s">
        <v>48</v>
      </c>
      <c r="I5754" s="7" t="s">
        <v>11132</v>
      </c>
      <c r="J5754" s="7" t="s">
        <v>402</v>
      </c>
      <c r="K5754" s="7" t="n">
        <f aca="false">IFERROR(VALUE(RIGHT(TRIM(F5754),4)),"")</f>
        <v>2019</v>
      </c>
      <c r="L5754" s="7" t="str">
        <f aca="false">IF(TRIM(E5754)="","Unknown",IFERROR(LEFT(TRIM(E5754),FIND(",",TRIM(E5754))-1),TRIM(E5754)))</f>
        <v>Turkey</v>
      </c>
      <c r="M5754" s="7" t="str">
        <f aca="false">IFERROR(LEFT(J5754,FIND(",",J5754)-1),J5754)</f>
        <v>Crime TV Shows</v>
      </c>
      <c r="N5754" s="7" t="str">
        <f aca="false">IF(B5754="Movie",IFERROR(VALUE(LEFT(I5754,FIND(" ",I5754)-1)),""),"")</f>
        <v/>
      </c>
      <c r="O5754" s="7" t="n">
        <f aca="false">IF(B5754="TV Show",IFERROR(VALUE(LEFT(I5754,FIND(" ",I5754)-1)),""),"")</f>
        <v>2</v>
      </c>
      <c r="P5754" s="7" t="n">
        <f aca="false">IF(K5754="","",K5754-G5754)</f>
        <v>0</v>
      </c>
    </row>
    <row r="5755" customFormat="false" ht="15" hidden="false" customHeight="false" outlineLevel="0" collapsed="false">
      <c r="A5755" s="7" t="n">
        <v>81070963</v>
      </c>
      <c r="B5755" s="7" t="s">
        <v>78</v>
      </c>
      <c r="C5755" s="7" t="s">
        <v>11440</v>
      </c>
      <c r="E5755" s="7" t="s">
        <v>32</v>
      </c>
      <c r="F5755" s="7" t="s">
        <v>11441</v>
      </c>
      <c r="G5755" s="7" t="n">
        <v>2019</v>
      </c>
      <c r="H5755" s="7" t="s">
        <v>49</v>
      </c>
      <c r="I5755" s="7" t="s">
        <v>11132</v>
      </c>
      <c r="J5755" s="7" t="s">
        <v>852</v>
      </c>
      <c r="K5755" s="7" t="n">
        <f aca="false">IFERROR(VALUE(RIGHT(TRIM(F5755),4)),"")</f>
        <v>2019</v>
      </c>
      <c r="L5755" s="7" t="str">
        <f aca="false">IF(TRIM(E5755)="","Unknown",IFERROR(LEFT(TRIM(E5755),FIND(",",TRIM(E5755))-1),TRIM(E5755)))</f>
        <v>South Korea</v>
      </c>
      <c r="M5755" s="7" t="str">
        <f aca="false">IFERROR(LEFT(J5755,FIND(",",J5755)-1),J5755)</f>
        <v>International TV Shows</v>
      </c>
      <c r="N5755" s="7" t="str">
        <f aca="false">IF(B5755="Movie",IFERROR(VALUE(LEFT(I5755,FIND(" ",I5755)-1)),""),"")</f>
        <v/>
      </c>
      <c r="O5755" s="7" t="n">
        <f aca="false">IF(B5755="TV Show",IFERROR(VALUE(LEFT(I5755,FIND(" ",I5755)-1)),""),"")</f>
        <v>2</v>
      </c>
      <c r="P5755" s="7" t="n">
        <f aca="false">IF(K5755="","",K5755-G5755)</f>
        <v>0</v>
      </c>
    </row>
    <row r="5756" customFormat="false" ht="15" hidden="false" customHeight="false" outlineLevel="0" collapsed="false">
      <c r="A5756" s="7" t="n">
        <v>70234440</v>
      </c>
      <c r="B5756" s="7" t="s">
        <v>78</v>
      </c>
      <c r="C5756" s="7" t="s">
        <v>11442</v>
      </c>
      <c r="E5756" s="7" t="s">
        <v>230</v>
      </c>
      <c r="F5756" s="7" t="s">
        <v>11443</v>
      </c>
      <c r="G5756" s="7" t="n">
        <v>2018</v>
      </c>
      <c r="H5756" s="7" t="s">
        <v>119</v>
      </c>
      <c r="I5756" s="7" t="s">
        <v>11158</v>
      </c>
      <c r="J5756" s="7" t="s">
        <v>44</v>
      </c>
      <c r="K5756" s="7" t="n">
        <f aca="false">IFERROR(VALUE(RIGHT(TRIM(F5756),4)),"")</f>
        <v>2018</v>
      </c>
      <c r="L5756" s="7" t="str">
        <f aca="false">IF(TRIM(E5756)="","Unknown",IFERROR(LEFT(TRIM(E5756),FIND(",",TRIM(E5756))-1),TRIM(E5756)))</f>
        <v>United States</v>
      </c>
      <c r="M5756" s="7" t="str">
        <f aca="false">IFERROR(LEFT(J5756,FIND(",",J5756)-1),J5756)</f>
        <v>Kids' TV</v>
      </c>
      <c r="N5756" s="7" t="str">
        <f aca="false">IF(B5756="Movie",IFERROR(VALUE(LEFT(I5756,FIND(" ",I5756)-1)),""),"")</f>
        <v/>
      </c>
      <c r="O5756" s="7" t="n">
        <f aca="false">IF(B5756="TV Show",IFERROR(VALUE(LEFT(I5756,FIND(" ",I5756)-1)),""),"")</f>
        <v>8</v>
      </c>
      <c r="P5756" s="7" t="n">
        <f aca="false">IF(K5756="","",K5756-G5756)</f>
        <v>0</v>
      </c>
    </row>
    <row r="5757" customFormat="false" ht="15" hidden="false" customHeight="false" outlineLevel="0" collapsed="false">
      <c r="A5757" s="7" t="n">
        <v>80239931</v>
      </c>
      <c r="B5757" s="7" t="s">
        <v>78</v>
      </c>
      <c r="C5757" s="7" t="s">
        <v>11444</v>
      </c>
      <c r="F5757" s="7" t="s">
        <v>11445</v>
      </c>
      <c r="G5757" s="7" t="n">
        <v>2019</v>
      </c>
      <c r="H5757" s="7" t="s">
        <v>48</v>
      </c>
      <c r="I5757" s="7" t="s">
        <v>11135</v>
      </c>
      <c r="J5757" s="7" t="s">
        <v>289</v>
      </c>
      <c r="K5757" s="7" t="n">
        <f aca="false">IFERROR(VALUE(RIGHT(TRIM(F5757),4)),"")</f>
        <v>2019</v>
      </c>
      <c r="L5757" s="7" t="str">
        <f aca="false">IF(TRIM(E5757)="","Unknown",IFERROR(LEFT(TRIM(E5757),FIND(",",TRIM(E5757))-1),TRIM(E5757)))</f>
        <v>Unknown</v>
      </c>
      <c r="M5757" s="7" t="str">
        <f aca="false">IFERROR(LEFT(J5757,FIND(",",J5757)-1),J5757)</f>
        <v>TV Comedies</v>
      </c>
      <c r="N5757" s="7" t="str">
        <f aca="false">IF(B5757="Movie",IFERROR(VALUE(LEFT(I5757,FIND(" ",I5757)-1)),""),"")</f>
        <v/>
      </c>
      <c r="O5757" s="7" t="n">
        <f aca="false">IF(B5757="TV Show",IFERROR(VALUE(LEFT(I5757,FIND(" ",I5757)-1)),""),"")</f>
        <v>5</v>
      </c>
      <c r="P5757" s="7" t="n">
        <f aca="false">IF(K5757="","",K5757-G5757)</f>
        <v>0</v>
      </c>
    </row>
    <row r="5758" customFormat="false" ht="15" hidden="false" customHeight="false" outlineLevel="0" collapsed="false">
      <c r="A5758" s="7" t="n">
        <v>80175619</v>
      </c>
      <c r="B5758" s="7" t="s">
        <v>78</v>
      </c>
      <c r="C5758" s="7" t="s">
        <v>11446</v>
      </c>
      <c r="D5758" s="7" t="s">
        <v>11447</v>
      </c>
      <c r="E5758" s="7" t="s">
        <v>30</v>
      </c>
      <c r="F5758" s="7" t="s">
        <v>11448</v>
      </c>
      <c r="G5758" s="7" t="n">
        <v>2017</v>
      </c>
      <c r="H5758" s="7" t="s">
        <v>55</v>
      </c>
      <c r="I5758" s="7" t="s">
        <v>11132</v>
      </c>
      <c r="J5758" s="7" t="s">
        <v>694</v>
      </c>
      <c r="K5758" s="7" t="n">
        <f aca="false">IFERROR(VALUE(RIGHT(TRIM(F5758),4)),"")</f>
        <v>2017</v>
      </c>
      <c r="L5758" s="7" t="str">
        <f aca="false">IF(TRIM(E5758)="","Unknown",IFERROR(LEFT(TRIM(E5758),FIND(",",TRIM(E5758))-1),TRIM(E5758)))</f>
        <v>Japan</v>
      </c>
      <c r="M5758" s="7" t="str">
        <f aca="false">IFERROR(LEFT(J5758,FIND(",",J5758)-1),J5758)</f>
        <v>Anime Series</v>
      </c>
      <c r="N5758" s="7" t="str">
        <f aca="false">IF(B5758="Movie",IFERROR(VALUE(LEFT(I5758,FIND(" ",I5758)-1)),""),"")</f>
        <v/>
      </c>
      <c r="O5758" s="7" t="n">
        <f aca="false">IF(B5758="TV Show",IFERROR(VALUE(LEFT(I5758,FIND(" ",I5758)-1)),""),"")</f>
        <v>2</v>
      </c>
      <c r="P5758" s="7" t="n">
        <f aca="false">IF(K5758="","",K5758-G5758)</f>
        <v>0</v>
      </c>
    </row>
    <row r="5759" customFormat="false" ht="15" hidden="false" customHeight="false" outlineLevel="0" collapsed="false">
      <c r="A5759" s="7" t="n">
        <v>80046193</v>
      </c>
      <c r="B5759" s="7" t="s">
        <v>78</v>
      </c>
      <c r="C5759" s="7" t="s">
        <v>11449</v>
      </c>
      <c r="E5759" s="7" t="s">
        <v>26</v>
      </c>
      <c r="F5759" s="7" t="s">
        <v>11448</v>
      </c>
      <c r="G5759" s="7" t="n">
        <v>2017</v>
      </c>
      <c r="H5759" s="7" t="s">
        <v>48</v>
      </c>
      <c r="I5759" s="7" t="s">
        <v>11132</v>
      </c>
      <c r="J5759" s="7" t="s">
        <v>289</v>
      </c>
      <c r="K5759" s="7" t="n">
        <f aca="false">IFERROR(VALUE(RIGHT(TRIM(F5759),4)),"")</f>
        <v>2017</v>
      </c>
      <c r="L5759" s="7" t="str">
        <f aca="false">IF(TRIM(E5759)="","Unknown",IFERROR(LEFT(TRIM(E5759),FIND(",",TRIM(E5759))-1),TRIM(E5759)))</f>
        <v>United States</v>
      </c>
      <c r="M5759" s="7" t="str">
        <f aca="false">IFERROR(LEFT(J5759,FIND(",",J5759)-1),J5759)</f>
        <v>TV Comedies</v>
      </c>
      <c r="N5759" s="7" t="str">
        <f aca="false">IF(B5759="Movie",IFERROR(VALUE(LEFT(I5759,FIND(" ",I5759)-1)),""),"")</f>
        <v/>
      </c>
      <c r="O5759" s="7" t="n">
        <f aca="false">IF(B5759="TV Show",IFERROR(VALUE(LEFT(I5759,FIND(" ",I5759)-1)),""),"")</f>
        <v>2</v>
      </c>
      <c r="P5759" s="7" t="n">
        <f aca="false">IF(K5759="","",K5759-G5759)</f>
        <v>0</v>
      </c>
    </row>
    <row r="5760" customFormat="false" ht="15" hidden="false" customHeight="false" outlineLevel="0" collapsed="false">
      <c r="A5760" s="7" t="n">
        <v>80117540</v>
      </c>
      <c r="B5760" s="7" t="s">
        <v>78</v>
      </c>
      <c r="C5760" s="7" t="s">
        <v>11450</v>
      </c>
      <c r="E5760" s="7" t="s">
        <v>26</v>
      </c>
      <c r="F5760" s="7" t="s">
        <v>11451</v>
      </c>
      <c r="G5760" s="7" t="n">
        <v>2019</v>
      </c>
      <c r="H5760" s="7" t="s">
        <v>48</v>
      </c>
      <c r="I5760" s="7" t="s">
        <v>11148</v>
      </c>
      <c r="J5760" s="7" t="s">
        <v>408</v>
      </c>
      <c r="K5760" s="7" t="n">
        <f aca="false">IFERROR(VALUE(RIGHT(TRIM(F5760),4)),"")</f>
        <v>2019</v>
      </c>
      <c r="L5760" s="7" t="str">
        <f aca="false">IF(TRIM(E5760)="","Unknown",IFERROR(LEFT(TRIM(E5760),FIND(",",TRIM(E5760))-1),TRIM(E5760)))</f>
        <v>United States</v>
      </c>
      <c r="M5760" s="7" t="str">
        <f aca="false">IFERROR(LEFT(J5760,FIND(",",J5760)-1),J5760)</f>
        <v>TV Comedies</v>
      </c>
      <c r="N5760" s="7" t="str">
        <f aca="false">IF(B5760="Movie",IFERROR(VALUE(LEFT(I5760,FIND(" ",I5760)-1)),""),"")</f>
        <v/>
      </c>
      <c r="O5760" s="7" t="n">
        <f aca="false">IF(B5760="TV Show",IFERROR(VALUE(LEFT(I5760,FIND(" ",I5760)-1)),""),"")</f>
        <v>3</v>
      </c>
      <c r="P5760" s="7" t="n">
        <f aca="false">IF(K5760="","",K5760-G5760)</f>
        <v>0</v>
      </c>
    </row>
    <row r="5761" customFormat="false" ht="15" hidden="false" customHeight="false" outlineLevel="0" collapsed="false">
      <c r="A5761" s="7" t="n">
        <v>81183624</v>
      </c>
      <c r="B5761" s="7" t="s">
        <v>78</v>
      </c>
      <c r="C5761" s="7" t="s">
        <v>11452</v>
      </c>
      <c r="E5761" s="7" t="s">
        <v>26</v>
      </c>
      <c r="F5761" s="7" t="s">
        <v>11451</v>
      </c>
      <c r="G5761" s="7" t="n">
        <v>2016</v>
      </c>
      <c r="H5761" s="7" t="s">
        <v>49</v>
      </c>
      <c r="I5761" s="7" t="s">
        <v>11155</v>
      </c>
      <c r="J5761" s="7" t="s">
        <v>7308</v>
      </c>
      <c r="K5761" s="7" t="n">
        <f aca="false">IFERROR(VALUE(RIGHT(TRIM(F5761),4)),"")</f>
        <v>2019</v>
      </c>
      <c r="L5761" s="7" t="str">
        <f aca="false">IF(TRIM(E5761)="","Unknown",IFERROR(LEFT(TRIM(E5761),FIND(",",TRIM(E5761))-1),TRIM(E5761)))</f>
        <v>United States</v>
      </c>
      <c r="M5761" s="7" t="str">
        <f aca="false">IFERROR(LEFT(J5761,FIND(",",J5761)-1),J5761)</f>
        <v>International TV Shows</v>
      </c>
      <c r="N5761" s="7" t="str">
        <f aca="false">IF(B5761="Movie",IFERROR(VALUE(LEFT(I5761,FIND(" ",I5761)-1)),""),"")</f>
        <v/>
      </c>
      <c r="O5761" s="7" t="n">
        <f aca="false">IF(B5761="TV Show",IFERROR(VALUE(LEFT(I5761,FIND(" ",I5761)-1)),""),"")</f>
        <v>4</v>
      </c>
      <c r="P5761" s="7" t="n">
        <f aca="false">IF(K5761="","",K5761-G5761)</f>
        <v>3</v>
      </c>
    </row>
    <row r="5762" customFormat="false" ht="15" hidden="false" customHeight="false" outlineLevel="0" collapsed="false">
      <c r="A5762" s="7" t="n">
        <v>80221999</v>
      </c>
      <c r="B5762" s="7" t="s">
        <v>78</v>
      </c>
      <c r="C5762" s="7" t="s">
        <v>11453</v>
      </c>
      <c r="E5762" s="7" t="s">
        <v>35</v>
      </c>
      <c r="F5762" s="7" t="s">
        <v>11451</v>
      </c>
      <c r="G5762" s="7" t="n">
        <v>2016</v>
      </c>
      <c r="H5762" s="7" t="s">
        <v>50</v>
      </c>
      <c r="I5762" s="7" t="s">
        <v>82</v>
      </c>
      <c r="J5762" s="7" t="s">
        <v>701</v>
      </c>
      <c r="K5762" s="7" t="n">
        <f aca="false">IFERROR(VALUE(RIGHT(TRIM(F5762),4)),"")</f>
        <v>2019</v>
      </c>
      <c r="L5762" s="7" t="str">
        <f aca="false">IF(TRIM(E5762)="","Unknown",IFERROR(LEFT(TRIM(E5762),FIND(",",TRIM(E5762))-1),TRIM(E5762)))</f>
        <v>Australia</v>
      </c>
      <c r="M5762" s="7" t="str">
        <f aca="false">IFERROR(LEFT(J5762,FIND(",",J5762)-1),J5762)</f>
        <v>Reality TV</v>
      </c>
      <c r="N5762" s="7" t="str">
        <f aca="false">IF(B5762="Movie",IFERROR(VALUE(LEFT(I5762,FIND(" ",I5762)-1)),""),"")</f>
        <v/>
      </c>
      <c r="O5762" s="7" t="n">
        <f aca="false">IF(B5762="TV Show",IFERROR(VALUE(LEFT(I5762,FIND(" ",I5762)-1)),""),"")</f>
        <v>1</v>
      </c>
      <c r="P5762" s="7" t="n">
        <f aca="false">IF(K5762="","",K5762-G5762)</f>
        <v>3</v>
      </c>
    </row>
    <row r="5763" customFormat="false" ht="15" hidden="false" customHeight="false" outlineLevel="0" collapsed="false">
      <c r="A5763" s="7" t="n">
        <v>70204963</v>
      </c>
      <c r="B5763" s="7" t="s">
        <v>78</v>
      </c>
      <c r="C5763" s="7" t="s">
        <v>11454</v>
      </c>
      <c r="E5763" s="7" t="s">
        <v>30</v>
      </c>
      <c r="F5763" s="7" t="s">
        <v>11451</v>
      </c>
      <c r="G5763" s="7" t="n">
        <v>2008</v>
      </c>
      <c r="H5763" s="7" t="s">
        <v>50</v>
      </c>
      <c r="I5763" s="7" t="s">
        <v>11132</v>
      </c>
      <c r="J5763" s="7" t="s">
        <v>7345</v>
      </c>
      <c r="K5763" s="7" t="n">
        <f aca="false">IFERROR(VALUE(RIGHT(TRIM(F5763),4)),"")</f>
        <v>2019</v>
      </c>
      <c r="L5763" s="7" t="str">
        <f aca="false">IF(TRIM(E5763)="","Unknown",IFERROR(LEFT(TRIM(E5763),FIND(",",TRIM(E5763))-1),TRIM(E5763)))</f>
        <v>Japan</v>
      </c>
      <c r="M5763" s="7" t="str">
        <f aca="false">IFERROR(LEFT(J5763,FIND(",",J5763)-1),J5763)</f>
        <v>Anime Series</v>
      </c>
      <c r="N5763" s="7" t="str">
        <f aca="false">IF(B5763="Movie",IFERROR(VALUE(LEFT(I5763,FIND(" ",I5763)-1)),""),"")</f>
        <v/>
      </c>
      <c r="O5763" s="7" t="n">
        <f aca="false">IF(B5763="TV Show",IFERROR(VALUE(LEFT(I5763,FIND(" ",I5763)-1)),""),"")</f>
        <v>2</v>
      </c>
      <c r="P5763" s="7" t="n">
        <f aca="false">IF(K5763="","",K5763-G5763)</f>
        <v>11</v>
      </c>
    </row>
    <row r="5764" customFormat="false" ht="15" hidden="false" customHeight="false" outlineLevel="0" collapsed="false">
      <c r="A5764" s="7" t="n">
        <v>80090673</v>
      </c>
      <c r="B5764" s="7" t="s">
        <v>78</v>
      </c>
      <c r="C5764" s="7" t="s">
        <v>11455</v>
      </c>
      <c r="E5764" s="7" t="s">
        <v>30</v>
      </c>
      <c r="F5764" s="7" t="s">
        <v>11451</v>
      </c>
      <c r="G5764" s="7" t="n">
        <v>2015</v>
      </c>
      <c r="H5764" s="7" t="s">
        <v>49</v>
      </c>
      <c r="I5764" s="7" t="s">
        <v>11132</v>
      </c>
      <c r="J5764" s="7" t="s">
        <v>3042</v>
      </c>
      <c r="K5764" s="7" t="n">
        <f aca="false">IFERROR(VALUE(RIGHT(TRIM(F5764),4)),"")</f>
        <v>2019</v>
      </c>
      <c r="L5764" s="7" t="str">
        <f aca="false">IF(TRIM(E5764)="","Unknown",IFERROR(LEFT(TRIM(E5764),FIND(",",TRIM(E5764))-1),TRIM(E5764)))</f>
        <v>Japan</v>
      </c>
      <c r="M5764" s="7" t="str">
        <f aca="false">IFERROR(LEFT(J5764,FIND(",",J5764)-1),J5764)</f>
        <v>Anime Series</v>
      </c>
      <c r="N5764" s="7" t="str">
        <f aca="false">IF(B5764="Movie",IFERROR(VALUE(LEFT(I5764,FIND(" ",I5764)-1)),""),"")</f>
        <v/>
      </c>
      <c r="O5764" s="7" t="n">
        <f aca="false">IF(B5764="TV Show",IFERROR(VALUE(LEFT(I5764,FIND(" ",I5764)-1)),""),"")</f>
        <v>2</v>
      </c>
      <c r="P5764" s="7" t="n">
        <f aca="false">IF(K5764="","",K5764-G5764)</f>
        <v>4</v>
      </c>
    </row>
    <row r="5765" customFormat="false" ht="15" hidden="false" customHeight="false" outlineLevel="0" collapsed="false">
      <c r="A5765" s="7" t="n">
        <v>80239860</v>
      </c>
      <c r="B5765" s="7" t="s">
        <v>78</v>
      </c>
      <c r="C5765" s="7" t="s">
        <v>11456</v>
      </c>
      <c r="E5765" s="7" t="s">
        <v>30</v>
      </c>
      <c r="F5765" s="7" t="s">
        <v>11451</v>
      </c>
      <c r="G5765" s="7" t="n">
        <v>2014</v>
      </c>
      <c r="H5765" s="7" t="s">
        <v>50</v>
      </c>
      <c r="I5765" s="7" t="s">
        <v>11132</v>
      </c>
      <c r="J5765" s="7" t="s">
        <v>11104</v>
      </c>
      <c r="K5765" s="7" t="n">
        <f aca="false">IFERROR(VALUE(RIGHT(TRIM(F5765),4)),"")</f>
        <v>2019</v>
      </c>
      <c r="L5765" s="7" t="str">
        <f aca="false">IF(TRIM(E5765)="","Unknown",IFERROR(LEFT(TRIM(E5765),FIND(",",TRIM(E5765))-1),TRIM(E5765)))</f>
        <v>Japan</v>
      </c>
      <c r="M5765" s="7" t="str">
        <f aca="false">IFERROR(LEFT(J5765,FIND(",",J5765)-1),J5765)</f>
        <v>Anime Series</v>
      </c>
      <c r="N5765" s="7" t="str">
        <f aca="false">IF(B5765="Movie",IFERROR(VALUE(LEFT(I5765,FIND(" ",I5765)-1)),""),"")</f>
        <v/>
      </c>
      <c r="O5765" s="7" t="n">
        <f aca="false">IF(B5765="TV Show",IFERROR(VALUE(LEFT(I5765,FIND(" ",I5765)-1)),""),"")</f>
        <v>2</v>
      </c>
      <c r="P5765" s="7" t="n">
        <f aca="false">IF(K5765="","",K5765-G5765)</f>
        <v>5</v>
      </c>
    </row>
    <row r="5766" customFormat="false" ht="15" hidden="false" customHeight="false" outlineLevel="0" collapsed="false">
      <c r="A5766" s="7" t="n">
        <v>80144355</v>
      </c>
      <c r="B5766" s="7" t="s">
        <v>78</v>
      </c>
      <c r="C5766" s="7" t="s">
        <v>11457</v>
      </c>
      <c r="D5766" s="7" t="s">
        <v>11458</v>
      </c>
      <c r="E5766" s="7" t="s">
        <v>26</v>
      </c>
      <c r="F5766" s="7" t="s">
        <v>11451</v>
      </c>
      <c r="G5766" s="7" t="n">
        <v>2018</v>
      </c>
      <c r="H5766" s="7" t="s">
        <v>50</v>
      </c>
      <c r="I5766" s="7" t="s">
        <v>11132</v>
      </c>
      <c r="J5766" s="7" t="s">
        <v>11459</v>
      </c>
      <c r="K5766" s="7" t="n">
        <f aca="false">IFERROR(VALUE(RIGHT(TRIM(F5766),4)),"")</f>
        <v>2019</v>
      </c>
      <c r="L5766" s="7" t="str">
        <f aca="false">IF(TRIM(E5766)="","Unknown",IFERROR(LEFT(TRIM(E5766),FIND(",",TRIM(E5766))-1),TRIM(E5766)))</f>
        <v>United States</v>
      </c>
      <c r="M5766" s="7" t="str">
        <f aca="false">IFERROR(LEFT(J5766,FIND(",",J5766)-1),J5766)</f>
        <v>Docuseries</v>
      </c>
      <c r="N5766" s="7" t="str">
        <f aca="false">IF(B5766="Movie",IFERROR(VALUE(LEFT(I5766,FIND(" ",I5766)-1)),""),"")</f>
        <v/>
      </c>
      <c r="O5766" s="7" t="n">
        <f aca="false">IF(B5766="TV Show",IFERROR(VALUE(LEFT(I5766,FIND(" ",I5766)-1)),""),"")</f>
        <v>2</v>
      </c>
      <c r="P5766" s="7" t="n">
        <f aca="false">IF(K5766="","",K5766-G5766)</f>
        <v>1</v>
      </c>
    </row>
    <row r="5767" customFormat="false" ht="15" hidden="false" customHeight="false" outlineLevel="0" collapsed="false">
      <c r="A5767" s="7" t="n">
        <v>80150290</v>
      </c>
      <c r="B5767" s="7" t="s">
        <v>78</v>
      </c>
      <c r="C5767" s="7" t="s">
        <v>11460</v>
      </c>
      <c r="F5767" s="7" t="s">
        <v>11451</v>
      </c>
      <c r="G5767" s="7" t="n">
        <v>2016</v>
      </c>
      <c r="H5767" s="7" t="s">
        <v>49</v>
      </c>
      <c r="I5767" s="7" t="s">
        <v>11132</v>
      </c>
      <c r="J5767" s="7" t="s">
        <v>542</v>
      </c>
      <c r="K5767" s="7" t="n">
        <f aca="false">IFERROR(VALUE(RIGHT(TRIM(F5767),4)),"")</f>
        <v>2019</v>
      </c>
      <c r="L5767" s="7" t="str">
        <f aca="false">IF(TRIM(E5767)="","Unknown",IFERROR(LEFT(TRIM(E5767),FIND(",",TRIM(E5767))-1),TRIM(E5767)))</f>
        <v>Unknown</v>
      </c>
      <c r="M5767" s="7" t="str">
        <f aca="false">IFERROR(LEFT(J5767,FIND(",",J5767)-1),J5767)</f>
        <v>Anime Series</v>
      </c>
      <c r="N5767" s="7" t="str">
        <f aca="false">IF(B5767="Movie",IFERROR(VALUE(LEFT(I5767,FIND(" ",I5767)-1)),""),"")</f>
        <v/>
      </c>
      <c r="O5767" s="7" t="n">
        <f aca="false">IF(B5767="TV Show",IFERROR(VALUE(LEFT(I5767,FIND(" ",I5767)-1)),""),"")</f>
        <v>2</v>
      </c>
      <c r="P5767" s="7" t="n">
        <f aca="false">IF(K5767="","",K5767-G5767)</f>
        <v>3</v>
      </c>
    </row>
    <row r="5768" customFormat="false" ht="15" hidden="false" customHeight="false" outlineLevel="0" collapsed="false">
      <c r="A5768" s="7" t="n">
        <v>81022003</v>
      </c>
      <c r="B5768" s="7" t="s">
        <v>78</v>
      </c>
      <c r="C5768" s="7" t="s">
        <v>11461</v>
      </c>
      <c r="E5768" s="7" t="s">
        <v>26</v>
      </c>
      <c r="F5768" s="7" t="s">
        <v>11451</v>
      </c>
      <c r="G5768" s="7" t="n">
        <v>2019</v>
      </c>
      <c r="H5768" s="7" t="s">
        <v>48</v>
      </c>
      <c r="I5768" s="7" t="s">
        <v>11132</v>
      </c>
      <c r="J5768" s="7" t="s">
        <v>701</v>
      </c>
      <c r="K5768" s="7" t="n">
        <f aca="false">IFERROR(VALUE(RIGHT(TRIM(F5768),4)),"")</f>
        <v>2019</v>
      </c>
      <c r="L5768" s="7" t="str">
        <f aca="false">IF(TRIM(E5768)="","Unknown",IFERROR(LEFT(TRIM(E5768),FIND(",",TRIM(E5768))-1),TRIM(E5768)))</f>
        <v>United States</v>
      </c>
      <c r="M5768" s="7" t="str">
        <f aca="false">IFERROR(LEFT(J5768,FIND(",",J5768)-1),J5768)</f>
        <v>Reality TV</v>
      </c>
      <c r="N5768" s="7" t="str">
        <f aca="false">IF(B5768="Movie",IFERROR(VALUE(LEFT(I5768,FIND(" ",I5768)-1)),""),"")</f>
        <v/>
      </c>
      <c r="O5768" s="7" t="n">
        <f aca="false">IF(B5768="TV Show",IFERROR(VALUE(LEFT(I5768,FIND(" ",I5768)-1)),""),"")</f>
        <v>2</v>
      </c>
      <c r="P5768" s="7" t="n">
        <f aca="false">IF(K5768="","",K5768-G5768)</f>
        <v>0</v>
      </c>
    </row>
    <row r="5769" customFormat="false" ht="15" hidden="false" customHeight="false" outlineLevel="0" collapsed="false">
      <c r="A5769" s="7" t="n">
        <v>80101401</v>
      </c>
      <c r="B5769" s="7" t="s">
        <v>78</v>
      </c>
      <c r="C5769" s="7" t="s">
        <v>11462</v>
      </c>
      <c r="E5769" s="7" t="s">
        <v>11463</v>
      </c>
      <c r="F5769" s="7" t="s">
        <v>11451</v>
      </c>
      <c r="G5769" s="7" t="n">
        <v>2019</v>
      </c>
      <c r="H5769" s="7" t="s">
        <v>55</v>
      </c>
      <c r="I5769" s="7" t="s">
        <v>11148</v>
      </c>
      <c r="J5769" s="7" t="s">
        <v>44</v>
      </c>
      <c r="K5769" s="7" t="n">
        <f aca="false">IFERROR(VALUE(RIGHT(TRIM(F5769),4)),"")</f>
        <v>2019</v>
      </c>
      <c r="L5769" s="7" t="str">
        <f aca="false">IF(TRIM(E5769)="","Unknown",IFERROR(LEFT(TRIM(E5769),FIND(",",TRIM(E5769))-1),TRIM(E5769)))</f>
        <v>Canada</v>
      </c>
      <c r="M5769" s="7" t="str">
        <f aca="false">IFERROR(LEFT(J5769,FIND(",",J5769)-1),J5769)</f>
        <v>Kids' TV</v>
      </c>
      <c r="N5769" s="7" t="str">
        <f aca="false">IF(B5769="Movie",IFERROR(VALUE(LEFT(I5769,FIND(" ",I5769)-1)),""),"")</f>
        <v/>
      </c>
      <c r="O5769" s="7" t="n">
        <f aca="false">IF(B5769="TV Show",IFERROR(VALUE(LEFT(I5769,FIND(" ",I5769)-1)),""),"")</f>
        <v>3</v>
      </c>
      <c r="P5769" s="7" t="n">
        <f aca="false">IF(K5769="","",K5769-G5769)</f>
        <v>0</v>
      </c>
    </row>
    <row r="5770" customFormat="false" ht="15" hidden="false" customHeight="false" outlineLevel="0" collapsed="false">
      <c r="A5770" s="7" t="n">
        <v>80087857</v>
      </c>
      <c r="B5770" s="7" t="s">
        <v>78</v>
      </c>
      <c r="C5770" s="7" t="s">
        <v>11464</v>
      </c>
      <c r="E5770" s="7" t="s">
        <v>1113</v>
      </c>
      <c r="F5770" s="7" t="s">
        <v>11465</v>
      </c>
      <c r="G5770" s="7" t="n">
        <v>2015</v>
      </c>
      <c r="H5770" s="7" t="s">
        <v>119</v>
      </c>
      <c r="I5770" s="7" t="s">
        <v>11132</v>
      </c>
      <c r="J5770" s="7" t="s">
        <v>3945</v>
      </c>
      <c r="K5770" s="7" t="n">
        <f aca="false">IFERROR(VALUE(RIGHT(TRIM(F5770),4)),"")</f>
        <v>2018</v>
      </c>
      <c r="L5770" s="7" t="str">
        <f aca="false">IF(TRIM(E5770)="","Unknown",IFERROR(LEFT(TRIM(E5770),FIND(",",TRIM(E5770))-1),TRIM(E5770)))</f>
        <v>Argentina</v>
      </c>
      <c r="M5770" s="7" t="str">
        <f aca="false">IFERROR(LEFT(J5770,FIND(",",J5770)-1),J5770)</f>
        <v>Kids' TV</v>
      </c>
      <c r="N5770" s="7" t="str">
        <f aca="false">IF(B5770="Movie",IFERROR(VALUE(LEFT(I5770,FIND(" ",I5770)-1)),""),"")</f>
        <v/>
      </c>
      <c r="O5770" s="7" t="n">
        <f aca="false">IF(B5770="TV Show",IFERROR(VALUE(LEFT(I5770,FIND(" ",I5770)-1)),""),"")</f>
        <v>2</v>
      </c>
      <c r="P5770" s="7" t="n">
        <f aca="false">IF(K5770="","",K5770-G5770)</f>
        <v>3</v>
      </c>
    </row>
    <row r="5771" customFormat="false" ht="15" hidden="false" customHeight="false" outlineLevel="0" collapsed="false">
      <c r="A5771" s="7" t="n">
        <v>80217889</v>
      </c>
      <c r="B5771" s="7" t="s">
        <v>78</v>
      </c>
      <c r="C5771" s="7" t="s">
        <v>11466</v>
      </c>
      <c r="E5771" s="7" t="s">
        <v>26</v>
      </c>
      <c r="F5771" s="7" t="s">
        <v>11465</v>
      </c>
      <c r="G5771" s="7" t="n">
        <v>2018</v>
      </c>
      <c r="H5771" s="7" t="s">
        <v>48</v>
      </c>
      <c r="I5771" s="7" t="s">
        <v>11148</v>
      </c>
      <c r="J5771" s="7" t="s">
        <v>164</v>
      </c>
      <c r="K5771" s="7" t="n">
        <f aca="false">IFERROR(VALUE(RIGHT(TRIM(F5771),4)),"")</f>
        <v>2018</v>
      </c>
      <c r="L5771" s="7" t="str">
        <f aca="false">IF(TRIM(E5771)="","Unknown",IFERROR(LEFT(TRIM(E5771),FIND(",",TRIM(E5771))-1),TRIM(E5771)))</f>
        <v>United States</v>
      </c>
      <c r="M5771" s="7" t="str">
        <f aca="false">IFERROR(LEFT(J5771,FIND(",",J5771)-1),J5771)</f>
        <v>Docuseries</v>
      </c>
      <c r="N5771" s="7" t="str">
        <f aca="false">IF(B5771="Movie",IFERROR(VALUE(LEFT(I5771,FIND(" ",I5771)-1)),""),"")</f>
        <v/>
      </c>
      <c r="O5771" s="7" t="n">
        <f aca="false">IF(B5771="TV Show",IFERROR(VALUE(LEFT(I5771,FIND(" ",I5771)-1)),""),"")</f>
        <v>3</v>
      </c>
      <c r="P5771" s="7" t="n">
        <f aca="false">IF(K5771="","",K5771-G5771)</f>
        <v>0</v>
      </c>
    </row>
    <row r="5772" customFormat="false" ht="15" hidden="false" customHeight="false" outlineLevel="0" collapsed="false">
      <c r="A5772" s="7" t="n">
        <v>70308105</v>
      </c>
      <c r="B5772" s="7" t="s">
        <v>78</v>
      </c>
      <c r="C5772" s="7" t="s">
        <v>11467</v>
      </c>
      <c r="E5772" s="7" t="s">
        <v>33</v>
      </c>
      <c r="F5772" s="7" t="s">
        <v>11468</v>
      </c>
      <c r="G5772" s="7" t="n">
        <v>2013</v>
      </c>
      <c r="H5772" s="7" t="s">
        <v>50</v>
      </c>
      <c r="I5772" s="7" t="s">
        <v>11148</v>
      </c>
      <c r="J5772" s="7" t="s">
        <v>2521</v>
      </c>
      <c r="K5772" s="7" t="n">
        <f aca="false">IFERROR(VALUE(RIGHT(TRIM(F5772),4)),"")</f>
        <v>2017</v>
      </c>
      <c r="L5772" s="7" t="str">
        <f aca="false">IF(TRIM(E5772)="","Unknown",IFERROR(LEFT(TRIM(E5772),FIND(",",TRIM(E5772))-1),TRIM(E5772)))</f>
        <v>Spain</v>
      </c>
      <c r="M5772" s="7" t="str">
        <f aca="false">IFERROR(LEFT(J5772,FIND(",",J5772)-1),J5772)</f>
        <v>International TV Shows</v>
      </c>
      <c r="N5772" s="7" t="str">
        <f aca="false">IF(B5772="Movie",IFERROR(VALUE(LEFT(I5772,FIND(" ",I5772)-1)),""),"")</f>
        <v/>
      </c>
      <c r="O5772" s="7" t="n">
        <f aca="false">IF(B5772="TV Show",IFERROR(VALUE(LEFT(I5772,FIND(" ",I5772)-1)),""),"")</f>
        <v>3</v>
      </c>
      <c r="P5772" s="7" t="n">
        <f aca="false">IF(K5772="","",K5772-G5772)</f>
        <v>4</v>
      </c>
    </row>
    <row r="5773" customFormat="false" ht="15" hidden="false" customHeight="false" outlineLevel="0" collapsed="false">
      <c r="A5773" s="7" t="n">
        <v>70155610</v>
      </c>
      <c r="B5773" s="7" t="s">
        <v>78</v>
      </c>
      <c r="C5773" s="7" t="s">
        <v>11469</v>
      </c>
      <c r="E5773" s="7" t="s">
        <v>26</v>
      </c>
      <c r="F5773" s="7" t="s">
        <v>11468</v>
      </c>
      <c r="G5773" s="7" t="n">
        <v>2005</v>
      </c>
      <c r="H5773" s="7" t="s">
        <v>49</v>
      </c>
      <c r="I5773" s="7" t="s">
        <v>11158</v>
      </c>
      <c r="J5773" s="7" t="s">
        <v>289</v>
      </c>
      <c r="K5773" s="7" t="n">
        <f aca="false">IFERROR(VALUE(RIGHT(TRIM(F5773),4)),"")</f>
        <v>2017</v>
      </c>
      <c r="L5773" s="7" t="str">
        <f aca="false">IF(TRIM(E5773)="","Unknown",IFERROR(LEFT(TRIM(E5773),FIND(",",TRIM(E5773))-1),TRIM(E5773)))</f>
        <v>United States</v>
      </c>
      <c r="M5773" s="7" t="str">
        <f aca="false">IFERROR(LEFT(J5773,FIND(",",J5773)-1),J5773)</f>
        <v>TV Comedies</v>
      </c>
      <c r="N5773" s="7" t="str">
        <f aca="false">IF(B5773="Movie",IFERROR(VALUE(LEFT(I5773,FIND(" ",I5773)-1)),""),"")</f>
        <v/>
      </c>
      <c r="O5773" s="7" t="n">
        <f aca="false">IF(B5773="TV Show",IFERROR(VALUE(LEFT(I5773,FIND(" ",I5773)-1)),""),"")</f>
        <v>8</v>
      </c>
      <c r="P5773" s="7" t="n">
        <f aca="false">IF(K5773="","",K5773-G5773)</f>
        <v>12</v>
      </c>
    </row>
    <row r="5774" customFormat="false" ht="15" hidden="false" customHeight="false" outlineLevel="0" collapsed="false">
      <c r="A5774" s="7" t="n">
        <v>70279656</v>
      </c>
      <c r="B5774" s="7" t="s">
        <v>78</v>
      </c>
      <c r="C5774" s="7" t="s">
        <v>11470</v>
      </c>
      <c r="E5774" s="7" t="s">
        <v>26</v>
      </c>
      <c r="F5774" s="7" t="s">
        <v>11468</v>
      </c>
      <c r="G5774" s="7" t="n">
        <v>2016</v>
      </c>
      <c r="H5774" s="7" t="s">
        <v>50</v>
      </c>
      <c r="I5774" s="7" t="s">
        <v>11135</v>
      </c>
      <c r="J5774" s="7" t="s">
        <v>164</v>
      </c>
      <c r="K5774" s="7" t="n">
        <f aca="false">IFERROR(VALUE(RIGHT(TRIM(F5774),4)),"")</f>
        <v>2017</v>
      </c>
      <c r="L5774" s="7" t="str">
        <f aca="false">IF(TRIM(E5774)="","Unknown",IFERROR(LEFT(TRIM(E5774),FIND(",",TRIM(E5774))-1),TRIM(E5774)))</f>
        <v>United States</v>
      </c>
      <c r="M5774" s="7" t="str">
        <f aca="false">IFERROR(LEFT(J5774,FIND(",",J5774)-1),J5774)</f>
        <v>Docuseries</v>
      </c>
      <c r="N5774" s="7" t="str">
        <f aca="false">IF(B5774="Movie",IFERROR(VALUE(LEFT(I5774,FIND(" ",I5774)-1)),""),"")</f>
        <v/>
      </c>
      <c r="O5774" s="7" t="n">
        <f aca="false">IF(B5774="TV Show",IFERROR(VALUE(LEFT(I5774,FIND(" ",I5774)-1)),""),"")</f>
        <v>5</v>
      </c>
      <c r="P5774" s="7" t="n">
        <f aca="false">IF(K5774="","",K5774-G5774)</f>
        <v>1</v>
      </c>
    </row>
    <row r="5775" customFormat="false" ht="15" hidden="false" customHeight="false" outlineLevel="0" collapsed="false">
      <c r="A5775" s="7" t="n">
        <v>70236561</v>
      </c>
      <c r="B5775" s="7" t="s">
        <v>78</v>
      </c>
      <c r="C5775" s="7" t="s">
        <v>832</v>
      </c>
      <c r="E5775" s="7" t="s">
        <v>28</v>
      </c>
      <c r="F5775" s="7" t="s">
        <v>11468</v>
      </c>
      <c r="G5775" s="7" t="n">
        <v>2011</v>
      </c>
      <c r="H5775" s="7" t="s">
        <v>48</v>
      </c>
      <c r="I5775" s="7" t="s">
        <v>11132</v>
      </c>
      <c r="J5775" s="7" t="s">
        <v>563</v>
      </c>
      <c r="K5775" s="7" t="n">
        <f aca="false">IFERROR(VALUE(RIGHT(TRIM(F5775),4)),"")</f>
        <v>2017</v>
      </c>
      <c r="L5775" s="7" t="str">
        <f aca="false">IF(TRIM(E5775)="","Unknown",IFERROR(LEFT(TRIM(E5775),FIND(",",TRIM(E5775))-1),TRIM(E5775)))</f>
        <v>United Kingdom</v>
      </c>
      <c r="M5775" s="7" t="str">
        <f aca="false">IFERROR(LEFT(J5775,FIND(",",J5775)-1),J5775)</f>
        <v>British TV Shows</v>
      </c>
      <c r="N5775" s="7" t="str">
        <f aca="false">IF(B5775="Movie",IFERROR(VALUE(LEFT(I5775,FIND(" ",I5775)-1)),""),"")</f>
        <v/>
      </c>
      <c r="O5775" s="7" t="n">
        <f aca="false">IF(B5775="TV Show",IFERROR(VALUE(LEFT(I5775,FIND(" ",I5775)-1)),""),"")</f>
        <v>2</v>
      </c>
      <c r="P5775" s="7" t="n">
        <f aca="false">IF(K5775="","",K5775-G5775)</f>
        <v>6</v>
      </c>
    </row>
    <row r="5776" customFormat="false" ht="15" hidden="false" customHeight="false" outlineLevel="0" collapsed="false">
      <c r="A5776" s="7" t="n">
        <v>70157402</v>
      </c>
      <c r="B5776" s="7" t="s">
        <v>78</v>
      </c>
      <c r="C5776" s="7" t="s">
        <v>11471</v>
      </c>
      <c r="E5776" s="7" t="s">
        <v>26</v>
      </c>
      <c r="F5776" s="7" t="s">
        <v>11472</v>
      </c>
      <c r="G5776" s="7" t="n">
        <v>1988</v>
      </c>
      <c r="H5776" s="7" t="s">
        <v>50</v>
      </c>
      <c r="I5776" s="7" t="s">
        <v>11135</v>
      </c>
      <c r="J5776" s="7" t="s">
        <v>2704</v>
      </c>
      <c r="K5776" s="7" t="n">
        <f aca="false">IFERROR(VALUE(RIGHT(TRIM(F5776),4)),"")</f>
        <v>2016</v>
      </c>
      <c r="L5776" s="7" t="str">
        <f aca="false">IF(TRIM(E5776)="","Unknown",IFERROR(LEFT(TRIM(E5776),FIND(",",TRIM(E5776))-1),TRIM(E5776)))</f>
        <v>United States</v>
      </c>
      <c r="M5776" s="7" t="str">
        <f aca="false">IFERROR(LEFT(J5776,FIND(",",J5776)-1),J5776)</f>
        <v>TV Dramas</v>
      </c>
      <c r="N5776" s="7" t="str">
        <f aca="false">IF(B5776="Movie",IFERROR(VALUE(LEFT(I5776,FIND(" ",I5776)-1)),""),"")</f>
        <v/>
      </c>
      <c r="O5776" s="7" t="n">
        <f aca="false">IF(B5776="TV Show",IFERROR(VALUE(LEFT(I5776,FIND(" ",I5776)-1)),""),"")</f>
        <v>5</v>
      </c>
      <c r="P5776" s="7" t="n">
        <f aca="false">IF(K5776="","",K5776-G5776)</f>
        <v>28</v>
      </c>
    </row>
    <row r="5777" customFormat="false" ht="15" hidden="false" customHeight="false" outlineLevel="0" collapsed="false">
      <c r="A5777" s="7" t="n">
        <v>80144588</v>
      </c>
      <c r="B5777" s="7" t="s">
        <v>78</v>
      </c>
      <c r="C5777" s="7" t="s">
        <v>11473</v>
      </c>
      <c r="E5777" s="7" t="s">
        <v>26</v>
      </c>
      <c r="F5777" s="7" t="s">
        <v>11472</v>
      </c>
      <c r="G5777" s="7" t="n">
        <v>2010</v>
      </c>
      <c r="H5777" s="7" t="s">
        <v>49</v>
      </c>
      <c r="I5777" s="7" t="s">
        <v>11148</v>
      </c>
      <c r="J5777" s="7" t="s">
        <v>696</v>
      </c>
      <c r="K5777" s="7" t="n">
        <f aca="false">IFERROR(VALUE(RIGHT(TRIM(F5777),4)),"")</f>
        <v>2016</v>
      </c>
      <c r="L5777" s="7" t="str">
        <f aca="false">IF(TRIM(E5777)="","Unknown",IFERROR(LEFT(TRIM(E5777),FIND(",",TRIM(E5777))-1),TRIM(E5777)))</f>
        <v>United States</v>
      </c>
      <c r="M5777" s="7" t="str">
        <f aca="false">IFERROR(LEFT(J5777,FIND(",",J5777)-1),J5777)</f>
        <v>Crime TV Shows</v>
      </c>
      <c r="N5777" s="7" t="str">
        <f aca="false">IF(B5777="Movie",IFERROR(VALUE(LEFT(I5777,FIND(" ",I5777)-1)),""),"")</f>
        <v/>
      </c>
      <c r="O5777" s="7" t="n">
        <f aca="false">IF(B5777="TV Show",IFERROR(VALUE(LEFT(I5777,FIND(" ",I5777)-1)),""),"")</f>
        <v>3</v>
      </c>
      <c r="P5777" s="7" t="n">
        <f aca="false">IF(K5777="","",K5777-G5777)</f>
        <v>6</v>
      </c>
    </row>
    <row r="5778" customFormat="false" ht="15" hidden="false" customHeight="false" outlineLevel="0" collapsed="false">
      <c r="A5778" s="7" t="n">
        <v>80057918</v>
      </c>
      <c r="B5778" s="7" t="s">
        <v>78</v>
      </c>
      <c r="C5778" s="7" t="s">
        <v>11474</v>
      </c>
      <c r="E5778" s="7" t="s">
        <v>26</v>
      </c>
      <c r="F5778" s="7" t="s">
        <v>11475</v>
      </c>
      <c r="G5778" s="7" t="n">
        <v>2019</v>
      </c>
      <c r="H5778" s="7" t="s">
        <v>49</v>
      </c>
      <c r="I5778" s="7" t="s">
        <v>11155</v>
      </c>
      <c r="J5778" s="7" t="s">
        <v>553</v>
      </c>
      <c r="K5778" s="7" t="n">
        <f aca="false">IFERROR(VALUE(RIGHT(TRIM(F5778),4)),"")</f>
        <v>2019</v>
      </c>
      <c r="L5778" s="7" t="str">
        <f aca="false">IF(TRIM(E5778)="","Unknown",IFERROR(LEFT(TRIM(E5778),FIND(",",TRIM(E5778))-1),TRIM(E5778)))</f>
        <v>United States</v>
      </c>
      <c r="M5778" s="7" t="str">
        <f aca="false">IFERROR(LEFT(J5778,FIND(",",J5778)-1),J5778)</f>
        <v>Crime TV Shows</v>
      </c>
      <c r="N5778" s="7" t="str">
        <f aca="false">IF(B5778="Movie",IFERROR(VALUE(LEFT(I5778,FIND(" ",I5778)-1)),""),"")</f>
        <v/>
      </c>
      <c r="O5778" s="7" t="n">
        <f aca="false">IF(B5778="TV Show",IFERROR(VALUE(LEFT(I5778,FIND(" ",I5778)-1)),""),"")</f>
        <v>4</v>
      </c>
      <c r="P5778" s="7" t="n">
        <f aca="false">IF(K5778="","",K5778-G5778)</f>
        <v>0</v>
      </c>
    </row>
    <row r="5779" customFormat="false" ht="15" hidden="false" customHeight="false" outlineLevel="0" collapsed="false">
      <c r="A5779" s="7" t="n">
        <v>80107369</v>
      </c>
      <c r="B5779" s="7" t="s">
        <v>78</v>
      </c>
      <c r="C5779" s="7" t="s">
        <v>11476</v>
      </c>
      <c r="E5779" s="7" t="s">
        <v>11477</v>
      </c>
      <c r="F5779" s="7" t="s">
        <v>11478</v>
      </c>
      <c r="G5779" s="7" t="n">
        <v>2018</v>
      </c>
      <c r="H5779" s="7" t="s">
        <v>49</v>
      </c>
      <c r="I5779" s="7" t="s">
        <v>11148</v>
      </c>
      <c r="J5779" s="7" t="s">
        <v>2958</v>
      </c>
      <c r="K5779" s="7" t="n">
        <f aca="false">IFERROR(VALUE(RIGHT(TRIM(F5779),4)),"")</f>
        <v>2019</v>
      </c>
      <c r="L5779" s="7" t="str">
        <f aca="false">IF(TRIM(E5779)="","Unknown",IFERROR(LEFT(TRIM(E5779),FIND(",",TRIM(E5779))-1),TRIM(E5779)))</f>
        <v>United States</v>
      </c>
      <c r="M5779" s="7" t="str">
        <f aca="false">IFERROR(LEFT(J5779,FIND(",",J5779)-1),J5779)</f>
        <v>Crime TV Shows</v>
      </c>
      <c r="N5779" s="7" t="str">
        <f aca="false">IF(B5779="Movie",IFERROR(VALUE(LEFT(I5779,FIND(" ",I5779)-1)),""),"")</f>
        <v/>
      </c>
      <c r="O5779" s="7" t="n">
        <f aca="false">IF(B5779="TV Show",IFERROR(VALUE(LEFT(I5779,FIND(" ",I5779)-1)),""),"")</f>
        <v>3</v>
      </c>
      <c r="P5779" s="7" t="n">
        <f aca="false">IF(K5779="","",K5779-G5779)</f>
        <v>1</v>
      </c>
    </row>
    <row r="5780" customFormat="false" ht="15" hidden="false" customHeight="false" outlineLevel="0" collapsed="false">
      <c r="A5780" s="7" t="n">
        <v>80208115</v>
      </c>
      <c r="B5780" s="7" t="s">
        <v>78</v>
      </c>
      <c r="C5780" s="7" t="s">
        <v>11479</v>
      </c>
      <c r="D5780" s="7" t="s">
        <v>11480</v>
      </c>
      <c r="F5780" s="7" t="s">
        <v>11481</v>
      </c>
      <c r="G5780" s="7" t="n">
        <v>2017</v>
      </c>
      <c r="H5780" s="7" t="s">
        <v>226</v>
      </c>
      <c r="I5780" s="7" t="s">
        <v>11132</v>
      </c>
      <c r="J5780" s="7" t="s">
        <v>191</v>
      </c>
      <c r="K5780" s="7" t="n">
        <f aca="false">IFERROR(VALUE(RIGHT(TRIM(F5780),4)),"")</f>
        <v>2018</v>
      </c>
      <c r="L5780" s="7" t="str">
        <f aca="false">IF(TRIM(E5780)="","Unknown",IFERROR(LEFT(TRIM(E5780),FIND(",",TRIM(E5780))-1),TRIM(E5780)))</f>
        <v>Unknown</v>
      </c>
      <c r="M5780" s="7" t="str">
        <f aca="false">IFERROR(LEFT(J5780,FIND(",",J5780)-1),J5780)</f>
        <v>Kids' TV</v>
      </c>
      <c r="N5780" s="7" t="str">
        <f aca="false">IF(B5780="Movie",IFERROR(VALUE(LEFT(I5780,FIND(" ",I5780)-1)),""),"")</f>
        <v/>
      </c>
      <c r="O5780" s="7" t="n">
        <f aca="false">IF(B5780="TV Show",IFERROR(VALUE(LEFT(I5780,FIND(" ",I5780)-1)),""),"")</f>
        <v>2</v>
      </c>
      <c r="P5780" s="7" t="n">
        <f aca="false">IF(K5780="","",K5780-G5780)</f>
        <v>1</v>
      </c>
    </row>
    <row r="5781" customFormat="false" ht="15" hidden="false" customHeight="false" outlineLevel="0" collapsed="false">
      <c r="A5781" s="7" t="n">
        <v>80057609</v>
      </c>
      <c r="B5781" s="7" t="s">
        <v>78</v>
      </c>
      <c r="C5781" s="7" t="s">
        <v>11482</v>
      </c>
      <c r="E5781" s="7" t="s">
        <v>35</v>
      </c>
      <c r="F5781" s="7" t="s">
        <v>11483</v>
      </c>
      <c r="G5781" s="7" t="n">
        <v>2017</v>
      </c>
      <c r="H5781" s="7" t="s">
        <v>119</v>
      </c>
      <c r="I5781" s="7" t="s">
        <v>11148</v>
      </c>
      <c r="J5781" s="7" t="s">
        <v>44</v>
      </c>
      <c r="K5781" s="7" t="n">
        <f aca="false">IFERROR(VALUE(RIGHT(TRIM(F5781),4)),"")</f>
        <v>2017</v>
      </c>
      <c r="L5781" s="7" t="str">
        <f aca="false">IF(TRIM(E5781)="","Unknown",IFERROR(LEFT(TRIM(E5781),FIND(",",TRIM(E5781))-1),TRIM(E5781)))</f>
        <v>Australia</v>
      </c>
      <c r="M5781" s="7" t="str">
        <f aca="false">IFERROR(LEFT(J5781,FIND(",",J5781)-1),J5781)</f>
        <v>Kids' TV</v>
      </c>
      <c r="N5781" s="7" t="str">
        <f aca="false">IF(B5781="Movie",IFERROR(VALUE(LEFT(I5781,FIND(" ",I5781)-1)),""),"")</f>
        <v/>
      </c>
      <c r="O5781" s="7" t="n">
        <f aca="false">IF(B5781="TV Show",IFERROR(VALUE(LEFT(I5781,FIND(" ",I5781)-1)),""),"")</f>
        <v>3</v>
      </c>
      <c r="P5781" s="7" t="n">
        <f aca="false">IF(K5781="","",K5781-G5781)</f>
        <v>0</v>
      </c>
    </row>
    <row r="5782" customFormat="false" ht="15" hidden="false" customHeight="false" outlineLevel="0" collapsed="false">
      <c r="A5782" s="7" t="n">
        <v>80023612</v>
      </c>
      <c r="B5782" s="7" t="s">
        <v>78</v>
      </c>
      <c r="C5782" s="7" t="s">
        <v>11484</v>
      </c>
      <c r="E5782" s="7" t="s">
        <v>11485</v>
      </c>
      <c r="F5782" s="7" t="s">
        <v>11486</v>
      </c>
      <c r="G5782" s="7" t="n">
        <v>2018</v>
      </c>
      <c r="H5782" s="7" t="s">
        <v>81</v>
      </c>
      <c r="I5782" s="7" t="s">
        <v>11132</v>
      </c>
      <c r="J5782" s="7" t="s">
        <v>44</v>
      </c>
      <c r="K5782" s="7" t="n">
        <f aca="false">IFERROR(VALUE(RIGHT(TRIM(F5782),4)),"")</f>
        <v>2018</v>
      </c>
      <c r="L5782" s="7" t="str">
        <f aca="false">IF(TRIM(E5782)="","Unknown",IFERROR(LEFT(TRIM(E5782),FIND(",",TRIM(E5782))-1),TRIM(E5782)))</f>
        <v>United States</v>
      </c>
      <c r="M5782" s="7" t="str">
        <f aca="false">IFERROR(LEFT(J5782,FIND(",",J5782)-1),J5782)</f>
        <v>Kids' TV</v>
      </c>
      <c r="N5782" s="7" t="str">
        <f aca="false">IF(B5782="Movie",IFERROR(VALUE(LEFT(I5782,FIND(" ",I5782)-1)),""),"")</f>
        <v/>
      </c>
      <c r="O5782" s="7" t="n">
        <f aca="false">IF(B5782="TV Show",IFERROR(VALUE(LEFT(I5782,FIND(" ",I5782)-1)),""),"")</f>
        <v>2</v>
      </c>
      <c r="P5782" s="7" t="n">
        <f aca="false">IF(K5782="","",K5782-G5782)</f>
        <v>0</v>
      </c>
    </row>
    <row r="5783" customFormat="false" ht="15" hidden="false" customHeight="false" outlineLevel="0" collapsed="false">
      <c r="A5783" s="7" t="n">
        <v>80221787</v>
      </c>
      <c r="B5783" s="7" t="s">
        <v>78</v>
      </c>
      <c r="C5783" s="7" t="s">
        <v>11487</v>
      </c>
      <c r="E5783" s="7" t="s">
        <v>29</v>
      </c>
      <c r="F5783" s="7" t="s">
        <v>11488</v>
      </c>
      <c r="G5783" s="7" t="n">
        <v>2019</v>
      </c>
      <c r="H5783" s="7" t="s">
        <v>48</v>
      </c>
      <c r="I5783" s="7" t="s">
        <v>11132</v>
      </c>
      <c r="J5783" s="7" t="s">
        <v>834</v>
      </c>
      <c r="K5783" s="7" t="n">
        <f aca="false">IFERROR(VALUE(RIGHT(TRIM(F5783),4)),"")</f>
        <v>2019</v>
      </c>
      <c r="L5783" s="7" t="str">
        <f aca="false">IF(TRIM(E5783)="","Unknown",IFERROR(LEFT(TRIM(E5783),FIND(",",TRIM(E5783))-1),TRIM(E5783)))</f>
        <v>Canada</v>
      </c>
      <c r="M5783" s="7" t="str">
        <f aca="false">IFERROR(LEFT(J5783,FIND(",",J5783)-1),J5783)</f>
        <v>Crime TV Shows</v>
      </c>
      <c r="N5783" s="7" t="str">
        <f aca="false">IF(B5783="Movie",IFERROR(VALUE(LEFT(I5783,FIND(" ",I5783)-1)),""),"")</f>
        <v/>
      </c>
      <c r="O5783" s="7" t="n">
        <f aca="false">IF(B5783="TV Show",IFERROR(VALUE(LEFT(I5783,FIND(" ",I5783)-1)),""),"")</f>
        <v>2</v>
      </c>
      <c r="P5783" s="7" t="n">
        <f aca="false">IF(K5783="","",K5783-G5783)</f>
        <v>0</v>
      </c>
    </row>
    <row r="5784" customFormat="false" ht="15" hidden="false" customHeight="false" outlineLevel="0" collapsed="false">
      <c r="A5784" s="7" t="n">
        <v>80209096</v>
      </c>
      <c r="B5784" s="7" t="s">
        <v>78</v>
      </c>
      <c r="C5784" s="7" t="s">
        <v>11489</v>
      </c>
      <c r="E5784" s="7" t="s">
        <v>26</v>
      </c>
      <c r="F5784" s="7" t="s">
        <v>11488</v>
      </c>
      <c r="G5784" s="7" t="n">
        <v>2019</v>
      </c>
      <c r="H5784" s="7" t="s">
        <v>48</v>
      </c>
      <c r="I5784" s="7" t="s">
        <v>11132</v>
      </c>
      <c r="J5784" s="7" t="s">
        <v>6274</v>
      </c>
      <c r="K5784" s="7" t="n">
        <f aca="false">IFERROR(VALUE(RIGHT(TRIM(F5784),4)),"")</f>
        <v>2019</v>
      </c>
      <c r="L5784" s="7" t="str">
        <f aca="false">IF(TRIM(E5784)="","Unknown",IFERROR(LEFT(TRIM(E5784),FIND(",",TRIM(E5784))-1),TRIM(E5784)))</f>
        <v>United States</v>
      </c>
      <c r="M5784" s="7" t="str">
        <f aca="false">IFERROR(LEFT(J5784,FIND(",",J5784)-1),J5784)</f>
        <v>Stand-Up Comedy &amp; Talk Shows</v>
      </c>
      <c r="N5784" s="7" t="str">
        <f aca="false">IF(B5784="Movie",IFERROR(VALUE(LEFT(I5784,FIND(" ",I5784)-1)),""),"")</f>
        <v/>
      </c>
      <c r="O5784" s="7" t="n">
        <f aca="false">IF(B5784="TV Show",IFERROR(VALUE(LEFT(I5784,FIND(" ",I5784)-1)),""),"")</f>
        <v>2</v>
      </c>
      <c r="P5784" s="7" t="n">
        <f aca="false">IF(K5784="","",K5784-G5784)</f>
        <v>0</v>
      </c>
    </row>
    <row r="5785" customFormat="false" ht="15" hidden="false" customHeight="false" outlineLevel="0" collapsed="false">
      <c r="A5785" s="7" t="n">
        <v>80027373</v>
      </c>
      <c r="B5785" s="7" t="s">
        <v>78</v>
      </c>
      <c r="C5785" s="7" t="s">
        <v>11490</v>
      </c>
      <c r="E5785" s="7" t="s">
        <v>29</v>
      </c>
      <c r="F5785" s="7" t="s">
        <v>11491</v>
      </c>
      <c r="G5785" s="7" t="n">
        <v>2014</v>
      </c>
      <c r="H5785" s="7" t="s">
        <v>81</v>
      </c>
      <c r="I5785" s="7" t="s">
        <v>11132</v>
      </c>
      <c r="J5785" s="7" t="s">
        <v>6220</v>
      </c>
      <c r="K5785" s="7" t="n">
        <f aca="false">IFERROR(VALUE(RIGHT(TRIM(F5785),4)),"")</f>
        <v>2015</v>
      </c>
      <c r="L5785" s="7" t="str">
        <f aca="false">IF(TRIM(E5785)="","Unknown",IFERROR(LEFT(TRIM(E5785),FIND(",",TRIM(E5785))-1),TRIM(E5785)))</f>
        <v>Canada</v>
      </c>
      <c r="M5785" s="7" t="str">
        <f aca="false">IFERROR(LEFT(J5785,FIND(",",J5785)-1),J5785)</f>
        <v>Kids' TV</v>
      </c>
      <c r="N5785" s="7" t="str">
        <f aca="false">IF(B5785="Movie",IFERROR(VALUE(LEFT(I5785,FIND(" ",I5785)-1)),""),"")</f>
        <v/>
      </c>
      <c r="O5785" s="7" t="n">
        <f aca="false">IF(B5785="TV Show",IFERROR(VALUE(LEFT(I5785,FIND(" ",I5785)-1)),""),"")</f>
        <v>2</v>
      </c>
      <c r="P5785" s="7" t="n">
        <f aca="false">IF(K5785="","",K5785-G5785)</f>
        <v>1</v>
      </c>
    </row>
    <row r="5786" customFormat="false" ht="15" hidden="false" customHeight="false" outlineLevel="0" collapsed="false">
      <c r="A5786" s="7" t="n">
        <v>80025384</v>
      </c>
      <c r="B5786" s="7" t="s">
        <v>78</v>
      </c>
      <c r="C5786" s="7" t="s">
        <v>11492</v>
      </c>
      <c r="E5786" s="7" t="s">
        <v>26</v>
      </c>
      <c r="F5786" s="7" t="s">
        <v>11493</v>
      </c>
      <c r="G5786" s="7" t="n">
        <v>2019</v>
      </c>
      <c r="H5786" s="7" t="s">
        <v>49</v>
      </c>
      <c r="I5786" s="7" t="s">
        <v>11155</v>
      </c>
      <c r="J5786" s="7" t="s">
        <v>289</v>
      </c>
      <c r="K5786" s="7" t="n">
        <f aca="false">IFERROR(VALUE(RIGHT(TRIM(F5786),4)),"")</f>
        <v>2018</v>
      </c>
      <c r="L5786" s="7" t="str">
        <f aca="false">IF(TRIM(E5786)="","Unknown",IFERROR(LEFT(TRIM(E5786),FIND(",",TRIM(E5786))-1),TRIM(E5786)))</f>
        <v>United States</v>
      </c>
      <c r="M5786" s="7" t="str">
        <f aca="false">IFERROR(LEFT(J5786,FIND(",",J5786)-1),J5786)</f>
        <v>TV Comedies</v>
      </c>
      <c r="N5786" s="7" t="str">
        <f aca="false">IF(B5786="Movie",IFERROR(VALUE(LEFT(I5786,FIND(" ",I5786)-1)),""),"")</f>
        <v/>
      </c>
      <c r="O5786" s="7" t="n">
        <f aca="false">IF(B5786="TV Show",IFERROR(VALUE(LEFT(I5786,FIND(" ",I5786)-1)),""),"")</f>
        <v>4</v>
      </c>
      <c r="P5786" s="7" t="n">
        <f aca="false">IF(K5786="","",K5786-G5786)</f>
        <v>-1</v>
      </c>
    </row>
    <row r="5787" customFormat="false" ht="15" hidden="false" customHeight="false" outlineLevel="0" collapsed="false">
      <c r="A5787" s="7" t="n">
        <v>80024103</v>
      </c>
      <c r="B5787" s="7" t="s">
        <v>78</v>
      </c>
      <c r="C5787" s="7" t="s">
        <v>11494</v>
      </c>
      <c r="E5787" s="7" t="s">
        <v>26</v>
      </c>
      <c r="F5787" s="7" t="s">
        <v>11495</v>
      </c>
      <c r="G5787" s="7" t="n">
        <v>2017</v>
      </c>
      <c r="H5787" s="7" t="s">
        <v>49</v>
      </c>
      <c r="I5787" s="7" t="s">
        <v>11148</v>
      </c>
      <c r="J5787" s="7" t="s">
        <v>834</v>
      </c>
      <c r="K5787" s="7" t="n">
        <f aca="false">IFERROR(VALUE(RIGHT(TRIM(F5787),4)),"")</f>
        <v>2017</v>
      </c>
      <c r="L5787" s="7" t="str">
        <f aca="false">IF(TRIM(E5787)="","Unknown",IFERROR(LEFT(TRIM(E5787),FIND(",",TRIM(E5787))-1),TRIM(E5787)))</f>
        <v>United States</v>
      </c>
      <c r="M5787" s="7" t="str">
        <f aca="false">IFERROR(LEFT(J5787,FIND(",",J5787)-1),J5787)</f>
        <v>Crime TV Shows</v>
      </c>
      <c r="N5787" s="7" t="str">
        <f aca="false">IF(B5787="Movie",IFERROR(VALUE(LEFT(I5787,FIND(" ",I5787)-1)),""),"")</f>
        <v/>
      </c>
      <c r="O5787" s="7" t="n">
        <f aca="false">IF(B5787="TV Show",IFERROR(VALUE(LEFT(I5787,FIND(" ",I5787)-1)),""),"")</f>
        <v>3</v>
      </c>
      <c r="P5787" s="7" t="n">
        <f aca="false">IF(K5787="","",K5787-G5787)</f>
        <v>0</v>
      </c>
    </row>
    <row r="5788" customFormat="false" ht="15" hidden="false" customHeight="false" outlineLevel="0" collapsed="false">
      <c r="A5788" s="7" t="n">
        <v>80198459</v>
      </c>
      <c r="B5788" s="7" t="s">
        <v>78</v>
      </c>
      <c r="C5788" s="7" t="s">
        <v>11496</v>
      </c>
      <c r="E5788" s="7" t="s">
        <v>11497</v>
      </c>
      <c r="F5788" s="7" t="s">
        <v>11498</v>
      </c>
      <c r="G5788" s="7" t="n">
        <v>2019</v>
      </c>
      <c r="H5788" s="7" t="s">
        <v>55</v>
      </c>
      <c r="I5788" s="7" t="s">
        <v>11132</v>
      </c>
      <c r="J5788" s="7" t="s">
        <v>191</v>
      </c>
      <c r="K5788" s="7" t="n">
        <f aca="false">IFERROR(VALUE(RIGHT(TRIM(F5788),4)),"")</f>
        <v>2019</v>
      </c>
      <c r="L5788" s="7" t="str">
        <f aca="false">IF(TRIM(E5788)="","Unknown",IFERROR(LEFT(TRIM(E5788),FIND(",",TRIM(E5788))-1),TRIM(E5788)))</f>
        <v>Canada</v>
      </c>
      <c r="M5788" s="7" t="str">
        <f aca="false">IFERROR(LEFT(J5788,FIND(",",J5788)-1),J5788)</f>
        <v>Kids' TV</v>
      </c>
      <c r="N5788" s="7" t="str">
        <f aca="false">IF(B5788="Movie",IFERROR(VALUE(LEFT(I5788,FIND(" ",I5788)-1)),""),"")</f>
        <v/>
      </c>
      <c r="O5788" s="7" t="n">
        <f aca="false">IF(B5788="TV Show",IFERROR(VALUE(LEFT(I5788,FIND(" ",I5788)-1)),""),"")</f>
        <v>2</v>
      </c>
      <c r="P5788" s="7" t="n">
        <f aca="false">IF(K5788="","",K5788-G5788)</f>
        <v>0</v>
      </c>
    </row>
    <row r="5789" customFormat="false" ht="15" hidden="false" customHeight="false" outlineLevel="0" collapsed="false">
      <c r="A5789" s="7" t="n">
        <v>70143825</v>
      </c>
      <c r="B5789" s="7" t="s">
        <v>78</v>
      </c>
      <c r="C5789" s="7" t="s">
        <v>11499</v>
      </c>
      <c r="D5789" s="7" t="s">
        <v>11500</v>
      </c>
      <c r="E5789" s="7" t="s">
        <v>26</v>
      </c>
      <c r="F5789" s="7" t="s">
        <v>11498</v>
      </c>
      <c r="G5789" s="7" t="n">
        <v>2019</v>
      </c>
      <c r="H5789" s="7" t="s">
        <v>49</v>
      </c>
      <c r="I5789" s="7" t="s">
        <v>11501</v>
      </c>
      <c r="J5789" s="7" t="s">
        <v>11502</v>
      </c>
      <c r="K5789" s="7" t="n">
        <f aca="false">IFERROR(VALUE(RIGHT(TRIM(F5789),4)),"")</f>
        <v>2019</v>
      </c>
      <c r="L5789" s="7" t="str">
        <f aca="false">IF(TRIM(E5789)="","Unknown",IFERROR(LEFT(TRIM(E5789),FIND(",",TRIM(E5789))-1),TRIM(E5789)))</f>
        <v>United States</v>
      </c>
      <c r="M5789" s="7" t="str">
        <f aca="false">IFERROR(LEFT(J5789,FIND(",",J5789)-1),J5789)</f>
        <v>Classic &amp; Cult TV</v>
      </c>
      <c r="N5789" s="7" t="str">
        <f aca="false">IF(B5789="Movie",IFERROR(VALUE(LEFT(I5789,FIND(" ",I5789)-1)),""),"")</f>
        <v/>
      </c>
      <c r="O5789" s="7" t="n">
        <f aca="false">IF(B5789="TV Show",IFERROR(VALUE(LEFT(I5789,FIND(" ",I5789)-1)),""),"")</f>
        <v>14</v>
      </c>
      <c r="P5789" s="7" t="n">
        <f aca="false">IF(K5789="","",K5789-G5789)</f>
        <v>0</v>
      </c>
    </row>
    <row r="5790" customFormat="false" ht="15" hidden="false" customHeight="false" outlineLevel="0" collapsed="false">
      <c r="A5790" s="7" t="n">
        <v>70252898</v>
      </c>
      <c r="B5790" s="7" t="s">
        <v>78</v>
      </c>
      <c r="C5790" s="7" t="s">
        <v>11503</v>
      </c>
      <c r="E5790" s="7" t="s">
        <v>11504</v>
      </c>
      <c r="F5790" s="7" t="s">
        <v>11505</v>
      </c>
      <c r="G5790" s="7" t="n">
        <v>2015</v>
      </c>
      <c r="H5790" s="7" t="s">
        <v>50</v>
      </c>
      <c r="I5790" s="7" t="s">
        <v>11135</v>
      </c>
      <c r="J5790" s="7" t="s">
        <v>191</v>
      </c>
      <c r="K5790" s="7" t="n">
        <f aca="false">IFERROR(VALUE(RIGHT(TRIM(F5790),4)),"")</f>
        <v>2018</v>
      </c>
      <c r="L5790" s="7" t="str">
        <f aca="false">IF(TRIM(E5790)="","Unknown",IFERROR(LEFT(TRIM(E5790),FIND(",",TRIM(E5790))-1),TRIM(E5790)))</f>
        <v>Canada</v>
      </c>
      <c r="M5790" s="7" t="str">
        <f aca="false">IFERROR(LEFT(J5790,FIND(",",J5790)-1),J5790)</f>
        <v>Kids' TV</v>
      </c>
      <c r="N5790" s="7" t="str">
        <f aca="false">IF(B5790="Movie",IFERROR(VALUE(LEFT(I5790,FIND(" ",I5790)-1)),""),"")</f>
        <v/>
      </c>
      <c r="O5790" s="7" t="n">
        <f aca="false">IF(B5790="TV Show",IFERROR(VALUE(LEFT(I5790,FIND(" ",I5790)-1)),""),"")</f>
        <v>5</v>
      </c>
      <c r="P5790" s="7" t="n">
        <f aca="false">IF(K5790="","",K5790-G5790)</f>
        <v>3</v>
      </c>
    </row>
    <row r="5791" customFormat="false" ht="15" hidden="false" customHeight="false" outlineLevel="0" collapsed="false">
      <c r="A5791" s="7" t="n">
        <v>70140358</v>
      </c>
      <c r="B5791" s="7" t="s">
        <v>78</v>
      </c>
      <c r="C5791" s="7" t="s">
        <v>11506</v>
      </c>
      <c r="E5791" s="7" t="s">
        <v>26</v>
      </c>
      <c r="F5791" s="7" t="s">
        <v>11507</v>
      </c>
      <c r="G5791" s="7" t="n">
        <v>2019</v>
      </c>
      <c r="H5791" s="7" t="s">
        <v>49</v>
      </c>
      <c r="I5791" s="7" t="s">
        <v>11135</v>
      </c>
      <c r="J5791" s="7" t="s">
        <v>289</v>
      </c>
      <c r="K5791" s="7" t="n">
        <f aca="false">IFERROR(VALUE(RIGHT(TRIM(F5791),4)),"")</f>
        <v>2018</v>
      </c>
      <c r="L5791" s="7" t="str">
        <f aca="false">IF(TRIM(E5791)="","Unknown",IFERROR(LEFT(TRIM(E5791),FIND(",",TRIM(E5791))-1),TRIM(E5791)))</f>
        <v>United States</v>
      </c>
      <c r="M5791" s="7" t="str">
        <f aca="false">IFERROR(LEFT(J5791,FIND(",",J5791)-1),J5791)</f>
        <v>TV Comedies</v>
      </c>
      <c r="N5791" s="7" t="str">
        <f aca="false">IF(B5791="Movie",IFERROR(VALUE(LEFT(I5791,FIND(" ",I5791)-1)),""),"")</f>
        <v/>
      </c>
      <c r="O5791" s="7" t="n">
        <f aca="false">IF(B5791="TV Show",IFERROR(VALUE(LEFT(I5791,FIND(" ",I5791)-1)),""),"")</f>
        <v>5</v>
      </c>
      <c r="P5791" s="7" t="n">
        <f aca="false">IF(K5791="","",K5791-G5791)</f>
        <v>-1</v>
      </c>
    </row>
    <row r="5792" customFormat="false" ht="15" hidden="false" customHeight="false" outlineLevel="0" collapsed="false">
      <c r="A5792" s="7" t="n">
        <v>80066080</v>
      </c>
      <c r="B5792" s="7" t="s">
        <v>78</v>
      </c>
      <c r="C5792" s="7" t="s">
        <v>11508</v>
      </c>
      <c r="D5792" s="7" t="s">
        <v>11509</v>
      </c>
      <c r="E5792" s="7" t="s">
        <v>26</v>
      </c>
      <c r="F5792" s="7" t="s">
        <v>11510</v>
      </c>
      <c r="G5792" s="7" t="n">
        <v>2018</v>
      </c>
      <c r="H5792" s="7" t="s">
        <v>49</v>
      </c>
      <c r="I5792" s="7" t="s">
        <v>11155</v>
      </c>
      <c r="J5792" s="7" t="s">
        <v>9649</v>
      </c>
      <c r="K5792" s="7" t="n">
        <f aca="false">IFERROR(VALUE(RIGHT(TRIM(F5792),4)),"")</f>
        <v>2019</v>
      </c>
      <c r="L5792" s="7" t="str">
        <f aca="false">IF(TRIM(E5792)="","Unknown",IFERROR(LEFT(TRIM(E5792),FIND(",",TRIM(E5792))-1),TRIM(E5792)))</f>
        <v>United States</v>
      </c>
      <c r="M5792" s="7" t="str">
        <f aca="false">IFERROR(LEFT(J5792,FIND(",",J5792)-1),J5792)</f>
        <v>TV Action &amp; Adventure</v>
      </c>
      <c r="N5792" s="7" t="str">
        <f aca="false">IF(B5792="Movie",IFERROR(VALUE(LEFT(I5792,FIND(" ",I5792)-1)),""),"")</f>
        <v/>
      </c>
      <c r="O5792" s="7" t="n">
        <f aca="false">IF(B5792="TV Show",IFERROR(VALUE(LEFT(I5792,FIND(" ",I5792)-1)),""),"")</f>
        <v>4</v>
      </c>
      <c r="P5792" s="7" t="n">
        <f aca="false">IF(K5792="","",K5792-G5792)</f>
        <v>1</v>
      </c>
    </row>
    <row r="5793" customFormat="false" ht="15" hidden="false" customHeight="false" outlineLevel="0" collapsed="false">
      <c r="A5793" s="7" t="n">
        <v>70210883</v>
      </c>
      <c r="B5793" s="7" t="s">
        <v>78</v>
      </c>
      <c r="C5793" s="7" t="s">
        <v>11511</v>
      </c>
      <c r="E5793" s="7" t="s">
        <v>11395</v>
      </c>
      <c r="F5793" s="7" t="s">
        <v>11512</v>
      </c>
      <c r="G5793" s="7" t="n">
        <v>2016</v>
      </c>
      <c r="H5793" s="7" t="s">
        <v>49</v>
      </c>
      <c r="I5793" s="7" t="s">
        <v>11135</v>
      </c>
      <c r="J5793" s="7" t="s">
        <v>11305</v>
      </c>
      <c r="K5793" s="7" t="n">
        <f aca="false">IFERROR(VALUE(RIGHT(TRIM(F5793),4)),"")</f>
        <v>2016</v>
      </c>
      <c r="L5793" s="7" t="str">
        <f aca="false">IF(TRIM(E5793)="","Unknown",IFERROR(LEFT(TRIM(E5793),FIND(",",TRIM(E5793))-1),TRIM(E5793)))</f>
        <v>Canada</v>
      </c>
      <c r="M5793" s="7" t="str">
        <f aca="false">IFERROR(LEFT(J5793,FIND(",",J5793)-1),J5793)</f>
        <v>Crime TV Shows</v>
      </c>
      <c r="N5793" s="7" t="str">
        <f aca="false">IF(B5793="Movie",IFERROR(VALUE(LEFT(I5793,FIND(" ",I5793)-1)),""),"")</f>
        <v/>
      </c>
      <c r="O5793" s="7" t="n">
        <f aca="false">IF(B5793="TV Show",IFERROR(VALUE(LEFT(I5793,FIND(" ",I5793)-1)),""),"")</f>
        <v>5</v>
      </c>
      <c r="P5793" s="7" t="n">
        <f aca="false">IF(K5793="","",K5793-G5793)</f>
        <v>0</v>
      </c>
    </row>
    <row r="5794" customFormat="false" ht="15" hidden="false" customHeight="false" outlineLevel="0" collapsed="false">
      <c r="A5794" s="7" t="n">
        <v>80065386</v>
      </c>
      <c r="B5794" s="7" t="s">
        <v>78</v>
      </c>
      <c r="C5794" s="7" t="s">
        <v>2068</v>
      </c>
      <c r="D5794" s="7" t="s">
        <v>11513</v>
      </c>
      <c r="E5794" s="7" t="s">
        <v>26</v>
      </c>
      <c r="F5794" s="7" t="s">
        <v>11514</v>
      </c>
      <c r="G5794" s="7" t="n">
        <v>2019</v>
      </c>
      <c r="H5794" s="7" t="s">
        <v>49</v>
      </c>
      <c r="I5794" s="7" t="s">
        <v>11155</v>
      </c>
      <c r="J5794" s="7" t="s">
        <v>9649</v>
      </c>
      <c r="K5794" s="7" t="n">
        <f aca="false">IFERROR(VALUE(RIGHT(TRIM(F5794),4)),"")</f>
        <v>2019</v>
      </c>
      <c r="L5794" s="7" t="str">
        <f aca="false">IF(TRIM(E5794)="","Unknown",IFERROR(LEFT(TRIM(E5794),FIND(",",TRIM(E5794))-1),TRIM(E5794)))</f>
        <v>United States</v>
      </c>
      <c r="M5794" s="7" t="str">
        <f aca="false">IFERROR(LEFT(J5794,FIND(",",J5794)-1),J5794)</f>
        <v>TV Action &amp; Adventure</v>
      </c>
      <c r="N5794" s="7" t="str">
        <f aca="false">IF(B5794="Movie",IFERROR(VALUE(LEFT(I5794,FIND(" ",I5794)-1)),""),"")</f>
        <v/>
      </c>
      <c r="O5794" s="7" t="n">
        <f aca="false">IF(B5794="TV Show",IFERROR(VALUE(LEFT(I5794,FIND(" ",I5794)-1)),""),"")</f>
        <v>4</v>
      </c>
      <c r="P5794" s="7" t="n">
        <f aca="false">IF(K5794="","",K5794-G5794)</f>
        <v>0</v>
      </c>
    </row>
    <row r="5795" customFormat="false" ht="15" hidden="false" customHeight="false" outlineLevel="0" collapsed="false">
      <c r="A5795" s="7" t="n">
        <v>70281343</v>
      </c>
      <c r="B5795" s="7" t="s">
        <v>78</v>
      </c>
      <c r="C5795" s="7" t="s">
        <v>11515</v>
      </c>
      <c r="E5795" s="7" t="s">
        <v>35</v>
      </c>
      <c r="F5795" s="7" t="s">
        <v>11516</v>
      </c>
      <c r="G5795" s="7" t="n">
        <v>2016</v>
      </c>
      <c r="H5795" s="7" t="s">
        <v>226</v>
      </c>
      <c r="I5795" s="7" t="s">
        <v>11155</v>
      </c>
      <c r="J5795" s="7" t="s">
        <v>191</v>
      </c>
      <c r="K5795" s="7" t="n">
        <f aca="false">IFERROR(VALUE(RIGHT(TRIM(F5795),4)),"")</f>
        <v>2016</v>
      </c>
      <c r="L5795" s="7" t="str">
        <f aca="false">IF(TRIM(E5795)="","Unknown",IFERROR(LEFT(TRIM(E5795),FIND(",",TRIM(E5795))-1),TRIM(E5795)))</f>
        <v>Australia</v>
      </c>
      <c r="M5795" s="7" t="str">
        <f aca="false">IFERROR(LEFT(J5795,FIND(",",J5795)-1),J5795)</f>
        <v>Kids' TV</v>
      </c>
      <c r="N5795" s="7" t="str">
        <f aca="false">IF(B5795="Movie",IFERROR(VALUE(LEFT(I5795,FIND(" ",I5795)-1)),""),"")</f>
        <v/>
      </c>
      <c r="O5795" s="7" t="n">
        <f aca="false">IF(B5795="TV Show",IFERROR(VALUE(LEFT(I5795,FIND(" ",I5795)-1)),""),"")</f>
        <v>4</v>
      </c>
      <c r="P5795" s="7" t="n">
        <f aca="false">IF(K5795="","",K5795-G5795)</f>
        <v>0</v>
      </c>
    </row>
    <row r="5796" customFormat="false" ht="15" hidden="false" customHeight="false" outlineLevel="0" collapsed="false">
      <c r="A5796" s="7" t="n">
        <v>80010655</v>
      </c>
      <c r="B5796" s="7" t="s">
        <v>78</v>
      </c>
      <c r="C5796" s="7" t="s">
        <v>11517</v>
      </c>
      <c r="E5796" s="7" t="s">
        <v>26</v>
      </c>
      <c r="F5796" s="7" t="s">
        <v>11518</v>
      </c>
      <c r="G5796" s="7" t="n">
        <v>2017</v>
      </c>
      <c r="H5796" s="7" t="s">
        <v>48</v>
      </c>
      <c r="I5796" s="7" t="s">
        <v>11148</v>
      </c>
      <c r="J5796" s="7" t="s">
        <v>11519</v>
      </c>
      <c r="K5796" s="7" t="n">
        <f aca="false">IFERROR(VALUE(RIGHT(TRIM(F5796),4)),"")</f>
        <v>2017</v>
      </c>
      <c r="L5796" s="7" t="str">
        <f aca="false">IF(TRIM(E5796)="","Unknown",IFERROR(LEFT(TRIM(E5796),FIND(",",TRIM(E5796))-1),TRIM(E5796)))</f>
        <v>United States</v>
      </c>
      <c r="M5796" s="7" t="str">
        <f aca="false">IFERROR(LEFT(J5796,FIND(",",J5796)-1),J5796)</f>
        <v>TV Dramas</v>
      </c>
      <c r="N5796" s="7" t="str">
        <f aca="false">IF(B5796="Movie",IFERROR(VALUE(LEFT(I5796,FIND(" ",I5796)-1)),""),"")</f>
        <v/>
      </c>
      <c r="O5796" s="7" t="n">
        <f aca="false">IF(B5796="TV Show",IFERROR(VALUE(LEFT(I5796,FIND(" ",I5796)-1)),""),"")</f>
        <v>3</v>
      </c>
      <c r="P5796" s="7" t="n">
        <f aca="false">IF(K5796="","",K5796-G5796)</f>
        <v>0</v>
      </c>
    </row>
    <row r="5797" customFormat="false" ht="15" hidden="false" customHeight="false" outlineLevel="0" collapsed="false">
      <c r="A5797" s="7" t="n">
        <v>70300066</v>
      </c>
      <c r="B5797" s="7" t="s">
        <v>78</v>
      </c>
      <c r="C5797" s="7" t="s">
        <v>11520</v>
      </c>
      <c r="E5797" s="7" t="s">
        <v>29</v>
      </c>
      <c r="F5797" s="7" t="s">
        <v>11521</v>
      </c>
      <c r="G5797" s="7" t="n">
        <v>2016</v>
      </c>
      <c r="H5797" s="7" t="s">
        <v>48</v>
      </c>
      <c r="I5797" s="7" t="s">
        <v>11148</v>
      </c>
      <c r="J5797" s="7" t="s">
        <v>822</v>
      </c>
      <c r="K5797" s="7" t="n">
        <f aca="false">IFERROR(VALUE(RIGHT(TRIM(F5797),4)),"")</f>
        <v>2016</v>
      </c>
      <c r="L5797" s="7" t="str">
        <f aca="false">IF(TRIM(E5797)="","Unknown",IFERROR(LEFT(TRIM(E5797),FIND(",",TRIM(E5797))-1),TRIM(E5797)))</f>
        <v>Canada</v>
      </c>
      <c r="M5797" s="7" t="str">
        <f aca="false">IFERROR(LEFT(J5797,FIND(",",J5797)-1),J5797)</f>
        <v>International TV Shows</v>
      </c>
      <c r="N5797" s="7" t="str">
        <f aca="false">IF(B5797="Movie",IFERROR(VALUE(LEFT(I5797,FIND(" ",I5797)-1)),""),"")</f>
        <v/>
      </c>
      <c r="O5797" s="7" t="n">
        <f aca="false">IF(B5797="TV Show",IFERROR(VALUE(LEFT(I5797,FIND(" ",I5797)-1)),""),"")</f>
        <v>3</v>
      </c>
      <c r="P5797" s="7" t="n">
        <f aca="false">IF(K5797="","",K5797-G5797)</f>
        <v>0</v>
      </c>
    </row>
    <row r="5798" customFormat="false" ht="15" hidden="false" customHeight="false" outlineLevel="0" collapsed="false">
      <c r="A5798" s="7" t="n">
        <v>80075820</v>
      </c>
      <c r="B5798" s="7" t="s">
        <v>78</v>
      </c>
      <c r="C5798" s="7" t="s">
        <v>11522</v>
      </c>
      <c r="E5798" s="7" t="s">
        <v>445</v>
      </c>
      <c r="F5798" s="7" t="s">
        <v>11523</v>
      </c>
      <c r="G5798" s="7" t="n">
        <v>2018</v>
      </c>
      <c r="H5798" s="7" t="s">
        <v>81</v>
      </c>
      <c r="I5798" s="7" t="s">
        <v>11148</v>
      </c>
      <c r="J5798" s="7" t="s">
        <v>6220</v>
      </c>
      <c r="K5798" s="7" t="n">
        <f aca="false">IFERROR(VALUE(RIGHT(TRIM(F5798),4)),"")</f>
        <v>2018</v>
      </c>
      <c r="L5798" s="7" t="str">
        <f aca="false">IF(TRIM(E5798)="","Unknown",IFERROR(LEFT(TRIM(E5798),FIND(",",TRIM(E5798))-1),TRIM(E5798)))</f>
        <v>United States</v>
      </c>
      <c r="M5798" s="7" t="str">
        <f aca="false">IFERROR(LEFT(J5798,FIND(",",J5798)-1),J5798)</f>
        <v>Kids' TV</v>
      </c>
      <c r="N5798" s="7" t="str">
        <f aca="false">IF(B5798="Movie",IFERROR(VALUE(LEFT(I5798,FIND(" ",I5798)-1)),""),"")</f>
        <v/>
      </c>
      <c r="O5798" s="7" t="n">
        <f aca="false">IF(B5798="TV Show",IFERROR(VALUE(LEFT(I5798,FIND(" ",I5798)-1)),""),"")</f>
        <v>3</v>
      </c>
      <c r="P5798" s="7" t="n">
        <f aca="false">IF(K5798="","",K5798-G5798)</f>
        <v>0</v>
      </c>
    </row>
    <row r="5799" customFormat="false" ht="15" hidden="false" customHeight="false" outlineLevel="0" collapsed="false">
      <c r="A5799" s="7" t="n">
        <v>80117554</v>
      </c>
      <c r="B5799" s="7" t="s">
        <v>78</v>
      </c>
      <c r="C5799" s="7" t="s">
        <v>1088</v>
      </c>
      <c r="E5799" s="7" t="s">
        <v>26</v>
      </c>
      <c r="F5799" s="7" t="s">
        <v>11524</v>
      </c>
      <c r="G5799" s="7" t="n">
        <v>2018</v>
      </c>
      <c r="H5799" s="7" t="s">
        <v>48</v>
      </c>
      <c r="I5799" s="7" t="s">
        <v>11132</v>
      </c>
      <c r="J5799" s="7" t="s">
        <v>256</v>
      </c>
      <c r="K5799" s="7" t="n">
        <f aca="false">IFERROR(VALUE(RIGHT(TRIM(F5799),4)),"")</f>
        <v>2019</v>
      </c>
      <c r="L5799" s="7" t="str">
        <f aca="false">IF(TRIM(E5799)="","Unknown",IFERROR(LEFT(TRIM(E5799),FIND(",",TRIM(E5799))-1),TRIM(E5799)))</f>
        <v>United States</v>
      </c>
      <c r="M5799" s="7" t="str">
        <f aca="false">IFERROR(LEFT(J5799,FIND(",",J5799)-1),J5799)</f>
        <v>Romantic TV Shows</v>
      </c>
      <c r="N5799" s="7" t="str">
        <f aca="false">IF(B5799="Movie",IFERROR(VALUE(LEFT(I5799,FIND(" ",I5799)-1)),""),"")</f>
        <v/>
      </c>
      <c r="O5799" s="7" t="n">
        <f aca="false">IF(B5799="TV Show",IFERROR(VALUE(LEFT(I5799,FIND(" ",I5799)-1)),""),"")</f>
        <v>2</v>
      </c>
      <c r="P5799" s="7" t="n">
        <f aca="false">IF(K5799="","",K5799-G5799)</f>
        <v>1</v>
      </c>
    </row>
    <row r="5800" customFormat="false" ht="15" hidden="false" customHeight="false" outlineLevel="0" collapsed="false">
      <c r="A5800" s="7" t="n">
        <v>80113612</v>
      </c>
      <c r="B5800" s="7" t="s">
        <v>78</v>
      </c>
      <c r="C5800" s="7" t="s">
        <v>11525</v>
      </c>
      <c r="E5800" s="7" t="s">
        <v>5469</v>
      </c>
      <c r="F5800" s="7" t="s">
        <v>11526</v>
      </c>
      <c r="G5800" s="7" t="n">
        <v>2018</v>
      </c>
      <c r="H5800" s="7" t="s">
        <v>48</v>
      </c>
      <c r="I5800" s="7" t="s">
        <v>11132</v>
      </c>
      <c r="J5800" s="7" t="s">
        <v>393</v>
      </c>
      <c r="K5800" s="7" t="n">
        <f aca="false">IFERROR(VALUE(RIGHT(TRIM(F5800),4)),"")</f>
        <v>2018</v>
      </c>
      <c r="L5800" s="7" t="str">
        <f aca="false">IF(TRIM(E5800)="","Unknown",IFERROR(LEFT(TRIM(E5800),FIND(",",TRIM(E5800))-1),TRIM(E5800)))</f>
        <v>Israel</v>
      </c>
      <c r="M5800" s="7" t="str">
        <f aca="false">IFERROR(LEFT(J5800,FIND(",",J5800)-1),J5800)</f>
        <v>International TV Shows</v>
      </c>
      <c r="N5800" s="7" t="str">
        <f aca="false">IF(B5800="Movie",IFERROR(VALUE(LEFT(I5800,FIND(" ",I5800)-1)),""),"")</f>
        <v/>
      </c>
      <c r="O5800" s="7" t="n">
        <f aca="false">IF(B5800="TV Show",IFERROR(VALUE(LEFT(I5800,FIND(" ",I5800)-1)),""),"")</f>
        <v>2</v>
      </c>
      <c r="P5800" s="7" t="n">
        <f aca="false">IF(K5800="","",K5800-G5800)</f>
        <v>0</v>
      </c>
    </row>
    <row r="5801" customFormat="false" ht="15" hidden="false" customHeight="false" outlineLevel="0" collapsed="false">
      <c r="A5801" s="7" t="n">
        <v>80133311</v>
      </c>
      <c r="B5801" s="7" t="s">
        <v>78</v>
      </c>
      <c r="C5801" s="7" t="s">
        <v>11527</v>
      </c>
      <c r="D5801" s="7" t="s">
        <v>11509</v>
      </c>
      <c r="E5801" s="7" t="s">
        <v>26</v>
      </c>
      <c r="F5801" s="7" t="s">
        <v>11528</v>
      </c>
      <c r="G5801" s="7" t="n">
        <v>2019</v>
      </c>
      <c r="H5801" s="7" t="s">
        <v>49</v>
      </c>
      <c r="I5801" s="7" t="s">
        <v>11148</v>
      </c>
      <c r="J5801" s="7" t="s">
        <v>282</v>
      </c>
      <c r="K5801" s="7" t="n">
        <f aca="false">IFERROR(VALUE(RIGHT(TRIM(F5801),4)),"")</f>
        <v>2019</v>
      </c>
      <c r="L5801" s="7" t="str">
        <f aca="false">IF(TRIM(E5801)="","Unknown",IFERROR(LEFT(TRIM(E5801),FIND(",",TRIM(E5801))-1),TRIM(E5801)))</f>
        <v>United States</v>
      </c>
      <c r="M5801" s="7" t="str">
        <f aca="false">IFERROR(LEFT(J5801,FIND(",",J5801)-1),J5801)</f>
        <v>Crime TV Shows</v>
      </c>
      <c r="N5801" s="7" t="str">
        <f aca="false">IF(B5801="Movie",IFERROR(VALUE(LEFT(I5801,FIND(" ",I5801)-1)),""),"")</f>
        <v/>
      </c>
      <c r="O5801" s="7" t="n">
        <f aca="false">IF(B5801="TV Show",IFERROR(VALUE(LEFT(I5801,FIND(" ",I5801)-1)),""),"")</f>
        <v>3</v>
      </c>
      <c r="P5801" s="7" t="n">
        <f aca="false">IF(K5801="","",K5801-G5801)</f>
        <v>0</v>
      </c>
    </row>
    <row r="5802" customFormat="false" ht="15" hidden="false" customHeight="false" outlineLevel="0" collapsed="false">
      <c r="A5802" s="7" t="n">
        <v>80027042</v>
      </c>
      <c r="B5802" s="7" t="s">
        <v>78</v>
      </c>
      <c r="C5802" s="7" t="s">
        <v>11529</v>
      </c>
      <c r="D5802" s="7" t="s">
        <v>11530</v>
      </c>
      <c r="E5802" s="7" t="s">
        <v>26</v>
      </c>
      <c r="F5802" s="7" t="s">
        <v>11531</v>
      </c>
      <c r="G5802" s="7" t="n">
        <v>2019</v>
      </c>
      <c r="H5802" s="7" t="s">
        <v>49</v>
      </c>
      <c r="I5802" s="7" t="s">
        <v>11135</v>
      </c>
      <c r="J5802" s="7" t="s">
        <v>11532</v>
      </c>
      <c r="K5802" s="7" t="n">
        <f aca="false">IFERROR(VALUE(RIGHT(TRIM(F5802),4)),"")</f>
        <v>2019</v>
      </c>
      <c r="L5802" s="7" t="str">
        <f aca="false">IF(TRIM(E5802)="","Unknown",IFERROR(LEFT(TRIM(E5802),FIND(",",TRIM(E5802))-1),TRIM(E5802)))</f>
        <v>United States</v>
      </c>
      <c r="M5802" s="7" t="str">
        <f aca="false">IFERROR(LEFT(J5802,FIND(",",J5802)-1),J5802)</f>
        <v>Crime TV Shows</v>
      </c>
      <c r="N5802" s="7" t="str">
        <f aca="false">IF(B5802="Movie",IFERROR(VALUE(LEFT(I5802,FIND(" ",I5802)-1)),""),"")</f>
        <v/>
      </c>
      <c r="O5802" s="7" t="n">
        <f aca="false">IF(B5802="TV Show",IFERROR(VALUE(LEFT(I5802,FIND(" ",I5802)-1)),""),"")</f>
        <v>5</v>
      </c>
      <c r="P5802" s="7" t="n">
        <f aca="false">IF(K5802="","",K5802-G5802)</f>
        <v>0</v>
      </c>
    </row>
    <row r="5803" customFormat="false" ht="15" hidden="false" customHeight="false" outlineLevel="0" collapsed="false">
      <c r="A5803" s="7" t="n">
        <v>80018046</v>
      </c>
      <c r="B5803" s="7" t="s">
        <v>78</v>
      </c>
      <c r="C5803" s="7" t="s">
        <v>11533</v>
      </c>
      <c r="D5803" s="7" t="s">
        <v>11534</v>
      </c>
      <c r="E5803" s="7" t="s">
        <v>33</v>
      </c>
      <c r="F5803" s="7" t="s">
        <v>11535</v>
      </c>
      <c r="G5803" s="7" t="n">
        <v>2016</v>
      </c>
      <c r="H5803" s="7" t="s">
        <v>49</v>
      </c>
      <c r="I5803" s="7" t="s">
        <v>11155</v>
      </c>
      <c r="J5803" s="7" t="s">
        <v>2521</v>
      </c>
      <c r="K5803" s="7" t="n">
        <f aca="false">IFERROR(VALUE(RIGHT(TRIM(F5803),4)),"")</f>
        <v>2017</v>
      </c>
      <c r="L5803" s="7" t="str">
        <f aca="false">IF(TRIM(E5803)="","Unknown",IFERROR(LEFT(TRIM(E5803),FIND(",",TRIM(E5803))-1),TRIM(E5803)))</f>
        <v>Spain</v>
      </c>
      <c r="M5803" s="7" t="str">
        <f aca="false">IFERROR(LEFT(J5803,FIND(",",J5803)-1),J5803)</f>
        <v>International TV Shows</v>
      </c>
      <c r="N5803" s="7" t="str">
        <f aca="false">IF(B5803="Movie",IFERROR(VALUE(LEFT(I5803,FIND(" ",I5803)-1)),""),"")</f>
        <v/>
      </c>
      <c r="O5803" s="7" t="n">
        <f aca="false">IF(B5803="TV Show",IFERROR(VALUE(LEFT(I5803,FIND(" ",I5803)-1)),""),"")</f>
        <v>4</v>
      </c>
      <c r="P5803" s="7" t="n">
        <f aca="false">IF(K5803="","",K5803-G5803)</f>
        <v>1</v>
      </c>
    </row>
    <row r="5804" customFormat="false" ht="15" hidden="false" customHeight="false" outlineLevel="0" collapsed="false">
      <c r="A5804" s="7" t="n">
        <v>80020540</v>
      </c>
      <c r="B5804" s="7" t="s">
        <v>78</v>
      </c>
      <c r="C5804" s="7" t="s">
        <v>11536</v>
      </c>
      <c r="E5804" s="7" t="s">
        <v>26</v>
      </c>
      <c r="F5804" s="7" t="s">
        <v>11537</v>
      </c>
      <c r="G5804" s="7" t="n">
        <v>2015</v>
      </c>
      <c r="H5804" s="7" t="s">
        <v>226</v>
      </c>
      <c r="I5804" s="7" t="s">
        <v>11132</v>
      </c>
      <c r="J5804" s="7" t="s">
        <v>191</v>
      </c>
      <c r="K5804" s="7" t="n">
        <f aca="false">IFERROR(VALUE(RIGHT(TRIM(F5804),4)),"")</f>
        <v>2015</v>
      </c>
      <c r="L5804" s="7" t="str">
        <f aca="false">IF(TRIM(E5804)="","Unknown",IFERROR(LEFT(TRIM(E5804),FIND(",",TRIM(E5804))-1),TRIM(E5804)))</f>
        <v>United States</v>
      </c>
      <c r="M5804" s="7" t="str">
        <f aca="false">IFERROR(LEFT(J5804,FIND(",",J5804)-1),J5804)</f>
        <v>Kids' TV</v>
      </c>
      <c r="N5804" s="7" t="str">
        <f aca="false">IF(B5804="Movie",IFERROR(VALUE(LEFT(I5804,FIND(" ",I5804)-1)),""),"")</f>
        <v/>
      </c>
      <c r="O5804" s="7" t="n">
        <f aca="false">IF(B5804="TV Show",IFERROR(VALUE(LEFT(I5804,FIND(" ",I5804)-1)),""),"")</f>
        <v>2</v>
      </c>
      <c r="P5804" s="7" t="n">
        <f aca="false">IF(K5804="","",K5804-G5804)</f>
        <v>0</v>
      </c>
    </row>
    <row r="5805" customFormat="false" ht="15" hidden="false" customHeight="false" outlineLevel="0" collapsed="false">
      <c r="A5805" s="7" t="n">
        <v>70242081</v>
      </c>
      <c r="B5805" s="7" t="s">
        <v>78</v>
      </c>
      <c r="C5805" s="7" t="s">
        <v>11538</v>
      </c>
      <c r="D5805" s="7" t="s">
        <v>11539</v>
      </c>
      <c r="E5805" s="7" t="s">
        <v>26</v>
      </c>
      <c r="F5805" s="7" t="s">
        <v>11540</v>
      </c>
      <c r="G5805" s="7" t="n">
        <v>2019</v>
      </c>
      <c r="H5805" s="7" t="s">
        <v>49</v>
      </c>
      <c r="I5805" s="7" t="s">
        <v>11152</v>
      </c>
      <c r="J5805" s="7" t="s">
        <v>11305</v>
      </c>
      <c r="K5805" s="7" t="n">
        <f aca="false">IFERROR(VALUE(RIGHT(TRIM(F5805),4)),"")</f>
        <v>2019</v>
      </c>
      <c r="L5805" s="7" t="str">
        <f aca="false">IF(TRIM(E5805)="","Unknown",IFERROR(LEFT(TRIM(E5805),FIND(",",TRIM(E5805))-1),TRIM(E5805)))</f>
        <v>United States</v>
      </c>
      <c r="M5805" s="7" t="str">
        <f aca="false">IFERROR(LEFT(J5805,FIND(",",J5805)-1),J5805)</f>
        <v>Crime TV Shows</v>
      </c>
      <c r="N5805" s="7" t="str">
        <f aca="false">IF(B5805="Movie",IFERROR(VALUE(LEFT(I5805,FIND(" ",I5805)-1)),""),"")</f>
        <v/>
      </c>
      <c r="O5805" s="7" t="n">
        <f aca="false">IF(B5805="TV Show",IFERROR(VALUE(LEFT(I5805,FIND(" ",I5805)-1)),""),"")</f>
        <v>7</v>
      </c>
      <c r="P5805" s="7" t="n">
        <f aca="false">IF(K5805="","",K5805-G5805)</f>
        <v>0</v>
      </c>
    </row>
    <row r="5806" customFormat="false" ht="15" hidden="false" customHeight="false" outlineLevel="0" collapsed="false">
      <c r="A5806" s="7" t="n">
        <v>80223556</v>
      </c>
      <c r="B5806" s="7" t="s">
        <v>78</v>
      </c>
      <c r="C5806" s="7" t="s">
        <v>11541</v>
      </c>
      <c r="E5806" s="7" t="s">
        <v>26</v>
      </c>
      <c r="F5806" s="7" t="s">
        <v>11542</v>
      </c>
      <c r="G5806" s="7" t="n">
        <v>2019</v>
      </c>
      <c r="H5806" s="7" t="s">
        <v>55</v>
      </c>
      <c r="I5806" s="7" t="s">
        <v>11132</v>
      </c>
      <c r="J5806" s="7" t="s">
        <v>191</v>
      </c>
      <c r="K5806" s="7" t="n">
        <f aca="false">IFERROR(VALUE(RIGHT(TRIM(F5806),4)),"")</f>
        <v>2019</v>
      </c>
      <c r="L5806" s="7" t="str">
        <f aca="false">IF(TRIM(E5806)="","Unknown",IFERROR(LEFT(TRIM(E5806),FIND(",",TRIM(E5806))-1),TRIM(E5806)))</f>
        <v>United States</v>
      </c>
      <c r="M5806" s="7" t="str">
        <f aca="false">IFERROR(LEFT(J5806,FIND(",",J5806)-1),J5806)</f>
        <v>Kids' TV</v>
      </c>
      <c r="N5806" s="7" t="str">
        <f aca="false">IF(B5806="Movie",IFERROR(VALUE(LEFT(I5806,FIND(" ",I5806)-1)),""),"")</f>
        <v/>
      </c>
      <c r="O5806" s="7" t="n">
        <f aca="false">IF(B5806="TV Show",IFERROR(VALUE(LEFT(I5806,FIND(" ",I5806)-1)),""),"")</f>
        <v>2</v>
      </c>
      <c r="P5806" s="7" t="n">
        <f aca="false">IF(K5806="","",K5806-G5806)</f>
        <v>0</v>
      </c>
    </row>
    <row r="5807" customFormat="false" ht="15" hidden="false" customHeight="false" outlineLevel="0" collapsed="false">
      <c r="A5807" s="7" t="n">
        <v>80170690</v>
      </c>
      <c r="B5807" s="7" t="s">
        <v>78</v>
      </c>
      <c r="C5807" s="7" t="s">
        <v>10857</v>
      </c>
      <c r="E5807" s="7" t="s">
        <v>34</v>
      </c>
      <c r="F5807" s="7" t="s">
        <v>11542</v>
      </c>
      <c r="G5807" s="7" t="n">
        <v>2018</v>
      </c>
      <c r="H5807" s="7" t="s">
        <v>48</v>
      </c>
      <c r="I5807" s="7" t="s">
        <v>11132</v>
      </c>
      <c r="J5807" s="7" t="s">
        <v>89</v>
      </c>
      <c r="K5807" s="7" t="n">
        <f aca="false">IFERROR(VALUE(RIGHT(TRIM(F5807),4)),"")</f>
        <v>2019</v>
      </c>
      <c r="L5807" s="7" t="str">
        <f aca="false">IF(TRIM(E5807)="","Unknown",IFERROR(LEFT(TRIM(E5807),FIND(",",TRIM(E5807))-1),TRIM(E5807)))</f>
        <v>Mexico</v>
      </c>
      <c r="M5807" s="7" t="str">
        <f aca="false">IFERROR(LEFT(J5807,FIND(",",J5807)-1),J5807)</f>
        <v>Crime TV Shows</v>
      </c>
      <c r="N5807" s="7" t="str">
        <f aca="false">IF(B5807="Movie",IFERROR(VALUE(LEFT(I5807,FIND(" ",I5807)-1)),""),"")</f>
        <v/>
      </c>
      <c r="O5807" s="7" t="n">
        <f aca="false">IF(B5807="TV Show",IFERROR(VALUE(LEFT(I5807,FIND(" ",I5807)-1)),""),"")</f>
        <v>2</v>
      </c>
      <c r="P5807" s="7" t="n">
        <f aca="false">IF(K5807="","",K5807-G5807)</f>
        <v>1</v>
      </c>
    </row>
    <row r="5808" customFormat="false" ht="15" hidden="false" customHeight="false" outlineLevel="0" collapsed="false">
      <c r="A5808" s="7" t="n">
        <v>80077417</v>
      </c>
      <c r="B5808" s="7" t="s">
        <v>78</v>
      </c>
      <c r="C5808" s="7" t="s">
        <v>11543</v>
      </c>
      <c r="E5808" s="7" t="s">
        <v>26</v>
      </c>
      <c r="F5808" s="7" t="s">
        <v>11544</v>
      </c>
      <c r="G5808" s="7" t="n">
        <v>2018</v>
      </c>
      <c r="H5808" s="7" t="s">
        <v>49</v>
      </c>
      <c r="I5808" s="7" t="s">
        <v>11148</v>
      </c>
      <c r="J5808" s="7" t="s">
        <v>846</v>
      </c>
      <c r="K5808" s="7" t="n">
        <f aca="false">IFERROR(VALUE(RIGHT(TRIM(F5808),4)),"")</f>
        <v>2019</v>
      </c>
      <c r="L5808" s="7" t="str">
        <f aca="false">IF(TRIM(E5808)="","Unknown",IFERROR(LEFT(TRIM(E5808),FIND(",",TRIM(E5808))-1),TRIM(E5808)))</f>
        <v>United States</v>
      </c>
      <c r="M5808" s="7" t="str">
        <f aca="false">IFERROR(LEFT(J5808,FIND(",",J5808)-1),J5808)</f>
        <v>TV Action &amp; Adventure</v>
      </c>
      <c r="N5808" s="7" t="str">
        <f aca="false">IF(B5808="Movie",IFERROR(VALUE(LEFT(I5808,FIND(" ",I5808)-1)),""),"")</f>
        <v/>
      </c>
      <c r="O5808" s="7" t="n">
        <f aca="false">IF(B5808="TV Show",IFERROR(VALUE(LEFT(I5808,FIND(" ",I5808)-1)),""),"")</f>
        <v>3</v>
      </c>
      <c r="P5808" s="7" t="n">
        <f aca="false">IF(K5808="","",K5808-G5808)</f>
        <v>1</v>
      </c>
    </row>
    <row r="5809" customFormat="false" ht="15" hidden="false" customHeight="false" outlineLevel="0" collapsed="false">
      <c r="A5809" s="7" t="n">
        <v>70197057</v>
      </c>
      <c r="B5809" s="7" t="s">
        <v>78</v>
      </c>
      <c r="C5809" s="7" t="s">
        <v>11545</v>
      </c>
      <c r="E5809" s="7" t="s">
        <v>26</v>
      </c>
      <c r="F5809" s="7" t="s">
        <v>11546</v>
      </c>
      <c r="G5809" s="7" t="n">
        <v>2018</v>
      </c>
      <c r="H5809" s="7" t="s">
        <v>49</v>
      </c>
      <c r="I5809" s="7" t="s">
        <v>11152</v>
      </c>
      <c r="J5809" s="7" t="s">
        <v>834</v>
      </c>
      <c r="K5809" s="7" t="n">
        <f aca="false">IFERROR(VALUE(RIGHT(TRIM(F5809),4)),"")</f>
        <v>2018</v>
      </c>
      <c r="L5809" s="7" t="str">
        <f aca="false">IF(TRIM(E5809)="","Unknown",IFERROR(LEFT(TRIM(E5809),FIND(",",TRIM(E5809))-1),TRIM(E5809)))</f>
        <v>United States</v>
      </c>
      <c r="M5809" s="7" t="str">
        <f aca="false">IFERROR(LEFT(J5809,FIND(",",J5809)-1),J5809)</f>
        <v>Crime TV Shows</v>
      </c>
      <c r="N5809" s="7" t="str">
        <f aca="false">IF(B5809="Movie",IFERROR(VALUE(LEFT(I5809,FIND(" ",I5809)-1)),""),"")</f>
        <v/>
      </c>
      <c r="O5809" s="7" t="n">
        <f aca="false">IF(B5809="TV Show",IFERROR(VALUE(LEFT(I5809,FIND(" ",I5809)-1)),""),"")</f>
        <v>7</v>
      </c>
      <c r="P5809" s="7" t="n">
        <f aca="false">IF(K5809="","",K5809-G5809)</f>
        <v>0</v>
      </c>
    </row>
    <row r="5810" customFormat="false" ht="15" hidden="false" customHeight="false" outlineLevel="0" collapsed="false">
      <c r="A5810" s="7" t="n">
        <v>80044908</v>
      </c>
      <c r="B5810" s="7" t="s">
        <v>78</v>
      </c>
      <c r="C5810" s="7" t="s">
        <v>11547</v>
      </c>
      <c r="E5810" s="7" t="s">
        <v>26</v>
      </c>
      <c r="F5810" s="7" t="s">
        <v>11548</v>
      </c>
      <c r="G5810" s="7" t="n">
        <v>2016</v>
      </c>
      <c r="H5810" s="7" t="s">
        <v>119</v>
      </c>
      <c r="I5810" s="7" t="s">
        <v>11132</v>
      </c>
      <c r="J5810" s="7" t="s">
        <v>44</v>
      </c>
      <c r="K5810" s="7" t="n">
        <f aca="false">IFERROR(VALUE(RIGHT(TRIM(F5810),4)),"")</f>
        <v>2017</v>
      </c>
      <c r="L5810" s="7" t="str">
        <f aca="false">IF(TRIM(E5810)="","Unknown",IFERROR(LEFT(TRIM(E5810),FIND(",",TRIM(E5810))-1),TRIM(E5810)))</f>
        <v>United States</v>
      </c>
      <c r="M5810" s="7" t="str">
        <f aca="false">IFERROR(LEFT(J5810,FIND(",",J5810)-1),J5810)</f>
        <v>Kids' TV</v>
      </c>
      <c r="N5810" s="7" t="str">
        <f aca="false">IF(B5810="Movie",IFERROR(VALUE(LEFT(I5810,FIND(" ",I5810)-1)),""),"")</f>
        <v/>
      </c>
      <c r="O5810" s="7" t="n">
        <f aca="false">IF(B5810="TV Show",IFERROR(VALUE(LEFT(I5810,FIND(" ",I5810)-1)),""),"")</f>
        <v>2</v>
      </c>
      <c r="P5810" s="7" t="n">
        <f aca="false">IF(K5810="","",K5810-G5810)</f>
        <v>1</v>
      </c>
    </row>
    <row r="5811" customFormat="false" ht="15" hidden="false" customHeight="false" outlineLevel="0" collapsed="false">
      <c r="A5811" s="7" t="n">
        <v>80025273</v>
      </c>
      <c r="B5811" s="7" t="s">
        <v>78</v>
      </c>
      <c r="C5811" s="7" t="s">
        <v>11549</v>
      </c>
      <c r="E5811" s="7" t="s">
        <v>619</v>
      </c>
      <c r="F5811" s="7" t="s">
        <v>11550</v>
      </c>
      <c r="G5811" s="7" t="n">
        <v>2017</v>
      </c>
      <c r="H5811" s="7" t="s">
        <v>55</v>
      </c>
      <c r="I5811" s="7" t="s">
        <v>11155</v>
      </c>
      <c r="J5811" s="7" t="s">
        <v>9526</v>
      </c>
      <c r="K5811" s="7" t="n">
        <f aca="false">IFERROR(VALUE(RIGHT(TRIM(F5811),4)),"")</f>
        <v>2018</v>
      </c>
      <c r="L5811" s="7" t="str">
        <f aca="false">IF(TRIM(E5811)="","Unknown",IFERROR(LEFT(TRIM(E5811),FIND(",",TRIM(E5811))-1),TRIM(E5811)))</f>
        <v>Canada</v>
      </c>
      <c r="M5811" s="7" t="str">
        <f aca="false">IFERROR(LEFT(J5811,FIND(",",J5811)-1),J5811)</f>
        <v>Crime TV Shows</v>
      </c>
      <c r="N5811" s="7" t="str">
        <f aca="false">IF(B5811="Movie",IFERROR(VALUE(LEFT(I5811,FIND(" ",I5811)-1)),""),"")</f>
        <v/>
      </c>
      <c r="O5811" s="7" t="n">
        <f aca="false">IF(B5811="TV Show",IFERROR(VALUE(LEFT(I5811,FIND(" ",I5811)-1)),""),"")</f>
        <v>4</v>
      </c>
      <c r="P5811" s="7" t="n">
        <f aca="false">IF(K5811="","",K5811-G5811)</f>
        <v>1</v>
      </c>
    </row>
    <row r="5812" customFormat="false" ht="15" hidden="false" customHeight="false" outlineLevel="0" collapsed="false">
      <c r="A5812" s="7" t="n">
        <v>70143864</v>
      </c>
      <c r="B5812" s="7" t="s">
        <v>78</v>
      </c>
      <c r="C5812" s="7" t="s">
        <v>11551</v>
      </c>
      <c r="D5812" s="7" t="s">
        <v>7493</v>
      </c>
      <c r="E5812" s="7" t="s">
        <v>26</v>
      </c>
      <c r="F5812" s="7" t="s">
        <v>11552</v>
      </c>
      <c r="G5812" s="7" t="n">
        <v>2016</v>
      </c>
      <c r="H5812" s="7" t="s">
        <v>50</v>
      </c>
      <c r="I5812" s="7" t="s">
        <v>11158</v>
      </c>
      <c r="J5812" s="7" t="s">
        <v>502</v>
      </c>
      <c r="K5812" s="7" t="n">
        <f aca="false">IFERROR(VALUE(RIGHT(TRIM(F5812),4)),"")</f>
        <v>2017</v>
      </c>
      <c r="L5812" s="7" t="str">
        <f aca="false">IF(TRIM(E5812)="","Unknown",IFERROR(LEFT(TRIM(E5812),FIND(",",TRIM(E5812))-1),TRIM(E5812)))</f>
        <v>United States</v>
      </c>
      <c r="M5812" s="7" t="str">
        <f aca="false">IFERROR(LEFT(J5812,FIND(",",J5812)-1),J5812)</f>
        <v>TV Comedies</v>
      </c>
      <c r="N5812" s="7" t="str">
        <f aca="false">IF(B5812="Movie",IFERROR(VALUE(LEFT(I5812,FIND(" ",I5812)-1)),""),"")</f>
        <v/>
      </c>
      <c r="O5812" s="7" t="n">
        <f aca="false">IF(B5812="TV Show",IFERROR(VALUE(LEFT(I5812,FIND(" ",I5812)-1)),""),"")</f>
        <v>8</v>
      </c>
      <c r="P5812" s="7" t="n">
        <f aca="false">IF(K5812="","",K5812-G5812)</f>
        <v>1</v>
      </c>
    </row>
    <row r="5813" customFormat="false" ht="15" hidden="false" customHeight="false" outlineLevel="0" collapsed="false">
      <c r="A5813" s="7" t="n">
        <v>80179138</v>
      </c>
      <c r="B5813" s="7" t="s">
        <v>78</v>
      </c>
      <c r="C5813" s="7" t="s">
        <v>11553</v>
      </c>
      <c r="E5813" s="7" t="s">
        <v>26</v>
      </c>
      <c r="F5813" s="7" t="s">
        <v>11554</v>
      </c>
      <c r="G5813" s="7" t="n">
        <v>2019</v>
      </c>
      <c r="H5813" s="7" t="s">
        <v>50</v>
      </c>
      <c r="I5813" s="7" t="s">
        <v>11148</v>
      </c>
      <c r="J5813" s="7" t="s">
        <v>701</v>
      </c>
      <c r="K5813" s="7" t="n">
        <f aca="false">IFERROR(VALUE(RIGHT(TRIM(F5813),4)),"")</f>
        <v>2019</v>
      </c>
      <c r="L5813" s="7" t="str">
        <f aca="false">IF(TRIM(E5813)="","Unknown",IFERROR(LEFT(TRIM(E5813),FIND(",",TRIM(E5813))-1),TRIM(E5813)))</f>
        <v>United States</v>
      </c>
      <c r="M5813" s="7" t="str">
        <f aca="false">IFERROR(LEFT(J5813,FIND(",",J5813)-1),J5813)</f>
        <v>Reality TV</v>
      </c>
      <c r="N5813" s="7" t="str">
        <f aca="false">IF(B5813="Movie",IFERROR(VALUE(LEFT(I5813,FIND(" ",I5813)-1)),""),"")</f>
        <v/>
      </c>
      <c r="O5813" s="7" t="n">
        <f aca="false">IF(B5813="TV Show",IFERROR(VALUE(LEFT(I5813,FIND(" ",I5813)-1)),""),"")</f>
        <v>3</v>
      </c>
      <c r="P5813" s="7" t="n">
        <f aca="false">IF(K5813="","",K5813-G5813)</f>
        <v>0</v>
      </c>
    </row>
    <row r="5814" customFormat="false" ht="15" hidden="false" customHeight="false" outlineLevel="0" collapsed="false">
      <c r="A5814" s="7" t="n">
        <v>80154610</v>
      </c>
      <c r="B5814" s="7" t="s">
        <v>78</v>
      </c>
      <c r="C5814" s="7" t="s">
        <v>11555</v>
      </c>
      <c r="E5814" s="7" t="s">
        <v>309</v>
      </c>
      <c r="F5814" s="7" t="s">
        <v>11554</v>
      </c>
      <c r="G5814" s="7" t="n">
        <v>2019</v>
      </c>
      <c r="H5814" s="7" t="s">
        <v>48</v>
      </c>
      <c r="I5814" s="7" t="s">
        <v>11132</v>
      </c>
      <c r="J5814" s="7" t="s">
        <v>3308</v>
      </c>
      <c r="K5814" s="7" t="n">
        <f aca="false">IFERROR(VALUE(RIGHT(TRIM(F5814),4)),"")</f>
        <v>2019</v>
      </c>
      <c r="L5814" s="7" t="str">
        <f aca="false">IF(TRIM(E5814)="","Unknown",IFERROR(LEFT(TRIM(E5814),FIND(",",TRIM(E5814))-1),TRIM(E5814)))</f>
        <v>Denmark</v>
      </c>
      <c r="M5814" s="7" t="str">
        <f aca="false">IFERROR(LEFT(J5814,FIND(",",J5814)-1),J5814)</f>
        <v>International TV Shows</v>
      </c>
      <c r="N5814" s="7" t="str">
        <f aca="false">IF(B5814="Movie",IFERROR(VALUE(LEFT(I5814,FIND(" ",I5814)-1)),""),"")</f>
        <v/>
      </c>
      <c r="O5814" s="7" t="n">
        <f aca="false">IF(B5814="TV Show",IFERROR(VALUE(LEFT(I5814,FIND(" ",I5814)-1)),""),"")</f>
        <v>2</v>
      </c>
      <c r="P5814" s="7" t="n">
        <f aca="false">IF(K5814="","",K5814-G5814)</f>
        <v>0</v>
      </c>
    </row>
    <row r="5815" customFormat="false" ht="15" hidden="false" customHeight="false" outlineLevel="0" collapsed="false">
      <c r="A5815" s="7" t="n">
        <v>80191680</v>
      </c>
      <c r="B5815" s="7" t="s">
        <v>78</v>
      </c>
      <c r="C5815" s="7" t="s">
        <v>11556</v>
      </c>
      <c r="E5815" s="7" t="s">
        <v>28</v>
      </c>
      <c r="F5815" s="7" t="s">
        <v>11554</v>
      </c>
      <c r="G5815" s="7" t="n">
        <v>2019</v>
      </c>
      <c r="H5815" s="7" t="s">
        <v>48</v>
      </c>
      <c r="I5815" s="7" t="s">
        <v>11132</v>
      </c>
      <c r="J5815" s="7" t="s">
        <v>4309</v>
      </c>
      <c r="K5815" s="7" t="n">
        <f aca="false">IFERROR(VALUE(RIGHT(TRIM(F5815),4)),"")</f>
        <v>2019</v>
      </c>
      <c r="L5815" s="7" t="str">
        <f aca="false">IF(TRIM(E5815)="","Unknown",IFERROR(LEFT(TRIM(E5815),FIND(",",TRIM(E5815))-1),TRIM(E5815)))</f>
        <v>United Kingdom</v>
      </c>
      <c r="M5815" s="7" t="str">
        <f aca="false">IFERROR(LEFT(J5815,FIND(",",J5815)-1),J5815)</f>
        <v>British TV Shows</v>
      </c>
      <c r="N5815" s="7" t="str">
        <f aca="false">IF(B5815="Movie",IFERROR(VALUE(LEFT(I5815,FIND(" ",I5815)-1)),""),"")</f>
        <v/>
      </c>
      <c r="O5815" s="7" t="n">
        <f aca="false">IF(B5815="TV Show",IFERROR(VALUE(LEFT(I5815,FIND(" ",I5815)-1)),""),"")</f>
        <v>2</v>
      </c>
      <c r="P5815" s="7" t="n">
        <f aca="false">IF(K5815="","",K5815-G5815)</f>
        <v>0</v>
      </c>
    </row>
    <row r="5816" customFormat="false" ht="15" hidden="false" customHeight="false" outlineLevel="0" collapsed="false">
      <c r="A5816" s="7" t="n">
        <v>70245163</v>
      </c>
      <c r="B5816" s="7" t="s">
        <v>78</v>
      </c>
      <c r="C5816" s="7" t="s">
        <v>11557</v>
      </c>
      <c r="D5816" s="7" t="s">
        <v>11558</v>
      </c>
      <c r="E5816" s="7" t="s">
        <v>28</v>
      </c>
      <c r="F5816" s="7" t="s">
        <v>11559</v>
      </c>
      <c r="G5816" s="7" t="n">
        <v>2018</v>
      </c>
      <c r="H5816" s="7" t="s">
        <v>49</v>
      </c>
      <c r="I5816" s="7" t="s">
        <v>11158</v>
      </c>
      <c r="J5816" s="7" t="s">
        <v>4544</v>
      </c>
      <c r="K5816" s="7" t="n">
        <f aca="false">IFERROR(VALUE(RIGHT(TRIM(F5816),4)),"")</f>
        <v>2019</v>
      </c>
      <c r="L5816" s="7" t="str">
        <f aca="false">IF(TRIM(E5816)="","Unknown",IFERROR(LEFT(TRIM(E5816),FIND(",",TRIM(E5816))-1),TRIM(E5816)))</f>
        <v>United Kingdom</v>
      </c>
      <c r="M5816" s="7" t="str">
        <f aca="false">IFERROR(LEFT(J5816,FIND(",",J5816)-1),J5816)</f>
        <v>British TV Shows</v>
      </c>
      <c r="N5816" s="7" t="str">
        <f aca="false">IF(B5816="Movie",IFERROR(VALUE(LEFT(I5816,FIND(" ",I5816)-1)),""),"")</f>
        <v/>
      </c>
      <c r="O5816" s="7" t="n">
        <f aca="false">IF(B5816="TV Show",IFERROR(VALUE(LEFT(I5816,FIND(" ",I5816)-1)),""),"")</f>
        <v>8</v>
      </c>
      <c r="P5816" s="7" t="n">
        <f aca="false">IF(K5816="","",K5816-G5816)</f>
        <v>1</v>
      </c>
    </row>
    <row r="5817" customFormat="false" ht="15" hidden="false" customHeight="false" outlineLevel="0" collapsed="false">
      <c r="A5817" s="7" t="n">
        <v>70202589</v>
      </c>
      <c r="B5817" s="7" t="s">
        <v>78</v>
      </c>
      <c r="C5817" s="7" t="s">
        <v>11560</v>
      </c>
      <c r="E5817" s="7" t="s">
        <v>317</v>
      </c>
      <c r="F5817" s="7" t="s">
        <v>11561</v>
      </c>
      <c r="G5817" s="7" t="n">
        <v>2017</v>
      </c>
      <c r="H5817" s="7" t="s">
        <v>49</v>
      </c>
      <c r="I5817" s="7" t="s">
        <v>11155</v>
      </c>
      <c r="J5817" s="7" t="s">
        <v>563</v>
      </c>
      <c r="K5817" s="7" t="n">
        <f aca="false">IFERROR(VALUE(RIGHT(TRIM(F5817),4)),"")</f>
        <v>2017</v>
      </c>
      <c r="L5817" s="7" t="str">
        <f aca="false">IF(TRIM(E5817)="","Unknown",IFERROR(LEFT(TRIM(E5817),FIND(",",TRIM(E5817))-1),TRIM(E5817)))</f>
        <v>United Kingdom</v>
      </c>
      <c r="M5817" s="7" t="str">
        <f aca="false">IFERROR(LEFT(J5817,FIND(",",J5817)-1),J5817)</f>
        <v>British TV Shows</v>
      </c>
      <c r="N5817" s="7" t="str">
        <f aca="false">IF(B5817="Movie",IFERROR(VALUE(LEFT(I5817,FIND(" ",I5817)-1)),""),"")</f>
        <v/>
      </c>
      <c r="O5817" s="7" t="n">
        <f aca="false">IF(B5817="TV Show",IFERROR(VALUE(LEFT(I5817,FIND(" ",I5817)-1)),""),"")</f>
        <v>4</v>
      </c>
      <c r="P5817" s="7" t="n">
        <f aca="false">IF(K5817="","",K5817-G5817)</f>
        <v>0</v>
      </c>
    </row>
    <row r="5818" customFormat="false" ht="15" hidden="false" customHeight="false" outlineLevel="0" collapsed="false">
      <c r="A5818" s="7" t="n">
        <v>80049714</v>
      </c>
      <c r="B5818" s="7" t="s">
        <v>78</v>
      </c>
      <c r="C5818" s="7" t="s">
        <v>11562</v>
      </c>
      <c r="E5818" s="7" t="s">
        <v>26</v>
      </c>
      <c r="F5818" s="7" t="s">
        <v>11563</v>
      </c>
      <c r="G5818" s="7" t="n">
        <v>2017</v>
      </c>
      <c r="H5818" s="7" t="s">
        <v>48</v>
      </c>
      <c r="I5818" s="7" t="s">
        <v>11132</v>
      </c>
      <c r="J5818" s="7" t="s">
        <v>289</v>
      </c>
      <c r="K5818" s="7" t="n">
        <f aca="false">IFERROR(VALUE(RIGHT(TRIM(F5818),4)),"")</f>
        <v>2017</v>
      </c>
      <c r="L5818" s="7" t="str">
        <f aca="false">IF(TRIM(E5818)="","Unknown",IFERROR(LEFT(TRIM(E5818),FIND(",",TRIM(E5818))-1),TRIM(E5818)))</f>
        <v>United States</v>
      </c>
      <c r="M5818" s="7" t="str">
        <f aca="false">IFERROR(LEFT(J5818,FIND(",",J5818)-1),J5818)</f>
        <v>TV Comedies</v>
      </c>
      <c r="N5818" s="7" t="str">
        <f aca="false">IF(B5818="Movie",IFERROR(VALUE(LEFT(I5818,FIND(" ",I5818)-1)),""),"")</f>
        <v/>
      </c>
      <c r="O5818" s="7" t="n">
        <f aca="false">IF(B5818="TV Show",IFERROR(VALUE(LEFT(I5818,FIND(" ",I5818)-1)),""),"")</f>
        <v>2</v>
      </c>
      <c r="P5818" s="7" t="n">
        <f aca="false">IF(K5818="","",K5818-G5818)</f>
        <v>0</v>
      </c>
    </row>
    <row r="5819" customFormat="false" ht="15" hidden="false" customHeight="false" outlineLevel="0" collapsed="false">
      <c r="A5819" s="7" t="n">
        <v>80117748</v>
      </c>
      <c r="B5819" s="7" t="s">
        <v>78</v>
      </c>
      <c r="C5819" s="7" t="s">
        <v>11564</v>
      </c>
      <c r="E5819" s="7" t="s">
        <v>26</v>
      </c>
      <c r="F5819" s="7" t="s">
        <v>11565</v>
      </c>
      <c r="G5819" s="7" t="n">
        <v>2018</v>
      </c>
      <c r="H5819" s="7" t="s">
        <v>49</v>
      </c>
      <c r="I5819" s="7" t="s">
        <v>11148</v>
      </c>
      <c r="J5819" s="7" t="s">
        <v>6274</v>
      </c>
      <c r="K5819" s="7" t="n">
        <f aca="false">IFERROR(VALUE(RIGHT(TRIM(F5819),4)),"")</f>
        <v>2018</v>
      </c>
      <c r="L5819" s="7" t="str">
        <f aca="false">IF(TRIM(E5819)="","Unknown",IFERROR(LEFT(TRIM(E5819),FIND(",",TRIM(E5819))-1),TRIM(E5819)))</f>
        <v>United States</v>
      </c>
      <c r="M5819" s="7" t="str">
        <f aca="false">IFERROR(LEFT(J5819,FIND(",",J5819)-1),J5819)</f>
        <v>Stand-Up Comedy &amp; Talk Shows</v>
      </c>
      <c r="N5819" s="7" t="str">
        <f aca="false">IF(B5819="Movie",IFERROR(VALUE(LEFT(I5819,FIND(" ",I5819)-1)),""),"")</f>
        <v/>
      </c>
      <c r="O5819" s="7" t="n">
        <f aca="false">IF(B5819="TV Show",IFERROR(VALUE(LEFT(I5819,FIND(" ",I5819)-1)),""),"")</f>
        <v>3</v>
      </c>
      <c r="P5819" s="7" t="n">
        <f aca="false">IF(K5819="","",K5819-G5819)</f>
        <v>0</v>
      </c>
    </row>
    <row r="5820" customFormat="false" ht="15" hidden="false" customHeight="false" outlineLevel="0" collapsed="false">
      <c r="A5820" s="7" t="n">
        <v>80184422</v>
      </c>
      <c r="B5820" s="7" t="s">
        <v>78</v>
      </c>
      <c r="C5820" s="7" t="s">
        <v>11566</v>
      </c>
      <c r="F5820" s="7" t="s">
        <v>11565</v>
      </c>
      <c r="G5820" s="7" t="n">
        <v>2016</v>
      </c>
      <c r="H5820" s="7" t="s">
        <v>49</v>
      </c>
      <c r="I5820" s="7" t="s">
        <v>11132</v>
      </c>
      <c r="J5820" s="7" t="s">
        <v>1357</v>
      </c>
      <c r="K5820" s="7" t="n">
        <f aca="false">IFERROR(VALUE(RIGHT(TRIM(F5820),4)),"")</f>
        <v>2018</v>
      </c>
      <c r="L5820" s="7" t="str">
        <f aca="false">IF(TRIM(E5820)="","Unknown",IFERROR(LEFT(TRIM(E5820),FIND(",",TRIM(E5820))-1),TRIM(E5820)))</f>
        <v>Unknown</v>
      </c>
      <c r="M5820" s="7" t="str">
        <f aca="false">IFERROR(LEFT(J5820,FIND(",",J5820)-1),J5820)</f>
        <v>International TV Shows</v>
      </c>
      <c r="N5820" s="7" t="str">
        <f aca="false">IF(B5820="Movie",IFERROR(VALUE(LEFT(I5820,FIND(" ",I5820)-1)),""),"")</f>
        <v/>
      </c>
      <c r="O5820" s="7" t="n">
        <f aca="false">IF(B5820="TV Show",IFERROR(VALUE(LEFT(I5820,FIND(" ",I5820)-1)),""),"")</f>
        <v>2</v>
      </c>
      <c r="P5820" s="7" t="n">
        <f aca="false">IF(K5820="","",K5820-G5820)</f>
        <v>2</v>
      </c>
    </row>
    <row r="5821" customFormat="false" ht="15" hidden="false" customHeight="false" outlineLevel="0" collapsed="false">
      <c r="A5821" s="7" t="n">
        <v>80095699</v>
      </c>
      <c r="B5821" s="7" t="s">
        <v>78</v>
      </c>
      <c r="C5821" s="7" t="s">
        <v>11567</v>
      </c>
      <c r="E5821" s="7" t="s">
        <v>26</v>
      </c>
      <c r="F5821" s="7" t="s">
        <v>11568</v>
      </c>
      <c r="G5821" s="7" t="n">
        <v>2019</v>
      </c>
      <c r="H5821" s="7" t="s">
        <v>48</v>
      </c>
      <c r="I5821" s="7" t="s">
        <v>11148</v>
      </c>
      <c r="J5821" s="7" t="s">
        <v>502</v>
      </c>
      <c r="K5821" s="7" t="n">
        <f aca="false">IFERROR(VALUE(RIGHT(TRIM(F5821),4)),"")</f>
        <v>2019</v>
      </c>
      <c r="L5821" s="7" t="str">
        <f aca="false">IF(TRIM(E5821)="","Unknown",IFERROR(LEFT(TRIM(E5821),FIND(",",TRIM(E5821))-1),TRIM(E5821)))</f>
        <v>United States</v>
      </c>
      <c r="M5821" s="7" t="str">
        <f aca="false">IFERROR(LEFT(J5821,FIND(",",J5821)-1),J5821)</f>
        <v>TV Comedies</v>
      </c>
      <c r="N5821" s="7" t="str">
        <f aca="false">IF(B5821="Movie",IFERROR(VALUE(LEFT(I5821,FIND(" ",I5821)-1)),""),"")</f>
        <v/>
      </c>
      <c r="O5821" s="7" t="n">
        <f aca="false">IF(B5821="TV Show",IFERROR(VALUE(LEFT(I5821,FIND(" ",I5821)-1)),""),"")</f>
        <v>3</v>
      </c>
      <c r="P5821" s="7" t="n">
        <f aca="false">IF(K5821="","",K5821-G5821)</f>
        <v>0</v>
      </c>
    </row>
    <row r="5822" customFormat="false" ht="15" hidden="false" customHeight="false" outlineLevel="0" collapsed="false">
      <c r="A5822" s="7" t="n">
        <v>80120485</v>
      </c>
      <c r="B5822" s="7" t="s">
        <v>78</v>
      </c>
      <c r="C5822" s="7" t="s">
        <v>11569</v>
      </c>
      <c r="E5822" s="7" t="s">
        <v>325</v>
      </c>
      <c r="F5822" s="7" t="s">
        <v>11568</v>
      </c>
      <c r="G5822" s="7" t="n">
        <v>2019</v>
      </c>
      <c r="H5822" s="7" t="s">
        <v>48</v>
      </c>
      <c r="I5822" s="7" t="s">
        <v>11132</v>
      </c>
      <c r="J5822" s="7" t="s">
        <v>402</v>
      </c>
      <c r="K5822" s="7" t="n">
        <f aca="false">IFERROR(VALUE(RIGHT(TRIM(F5822),4)),"")</f>
        <v>2019</v>
      </c>
      <c r="L5822" s="7" t="str">
        <f aca="false">IF(TRIM(E5822)="","Unknown",IFERROR(LEFT(TRIM(E5822),FIND(",",TRIM(E5822))-1),TRIM(E5822)))</f>
        <v>Brazil</v>
      </c>
      <c r="M5822" s="7" t="str">
        <f aca="false">IFERROR(LEFT(J5822,FIND(",",J5822)-1),J5822)</f>
        <v>Crime TV Shows</v>
      </c>
      <c r="N5822" s="7" t="str">
        <f aca="false">IF(B5822="Movie",IFERROR(VALUE(LEFT(I5822,FIND(" ",I5822)-1)),""),"")</f>
        <v/>
      </c>
      <c r="O5822" s="7" t="n">
        <f aca="false">IF(B5822="TV Show",IFERROR(VALUE(LEFT(I5822,FIND(" ",I5822)-1)),""),"")</f>
        <v>2</v>
      </c>
      <c r="P5822" s="7" t="n">
        <f aca="false">IF(K5822="","",K5822-G5822)</f>
        <v>0</v>
      </c>
    </row>
    <row r="5823" customFormat="false" ht="15" hidden="false" customHeight="false" outlineLevel="0" collapsed="false">
      <c r="A5823" s="7" t="n">
        <v>80065146</v>
      </c>
      <c r="B5823" s="7" t="s">
        <v>78</v>
      </c>
      <c r="C5823" s="7" t="s">
        <v>11570</v>
      </c>
      <c r="E5823" s="7" t="s">
        <v>30</v>
      </c>
      <c r="F5823" s="7" t="s">
        <v>11571</v>
      </c>
      <c r="G5823" s="7" t="n">
        <v>2008</v>
      </c>
      <c r="H5823" s="7" t="s">
        <v>49</v>
      </c>
      <c r="I5823" s="7" t="s">
        <v>11132</v>
      </c>
      <c r="J5823" s="7" t="s">
        <v>542</v>
      </c>
      <c r="K5823" s="7" t="n">
        <f aca="false">IFERROR(VALUE(RIGHT(TRIM(F5823),4)),"")</f>
        <v>2019</v>
      </c>
      <c r="L5823" s="7" t="str">
        <f aca="false">IF(TRIM(E5823)="","Unknown",IFERROR(LEFT(TRIM(E5823),FIND(",",TRIM(E5823))-1),TRIM(E5823)))</f>
        <v>Japan</v>
      </c>
      <c r="M5823" s="7" t="str">
        <f aca="false">IFERROR(LEFT(J5823,FIND(",",J5823)-1),J5823)</f>
        <v>Anime Series</v>
      </c>
      <c r="N5823" s="7" t="str">
        <f aca="false">IF(B5823="Movie",IFERROR(VALUE(LEFT(I5823,FIND(" ",I5823)-1)),""),"")</f>
        <v/>
      </c>
      <c r="O5823" s="7" t="n">
        <f aca="false">IF(B5823="TV Show",IFERROR(VALUE(LEFT(I5823,FIND(" ",I5823)-1)),""),"")</f>
        <v>2</v>
      </c>
      <c r="P5823" s="7" t="n">
        <f aca="false">IF(K5823="","",K5823-G5823)</f>
        <v>11</v>
      </c>
    </row>
    <row r="5824" customFormat="false" ht="15" hidden="false" customHeight="false" outlineLevel="0" collapsed="false">
      <c r="A5824" s="7" t="n">
        <v>80101826</v>
      </c>
      <c r="B5824" s="7" t="s">
        <v>78</v>
      </c>
      <c r="C5824" s="7" t="s">
        <v>11572</v>
      </c>
      <c r="E5824" s="7" t="s">
        <v>11573</v>
      </c>
      <c r="F5824" s="7" t="s">
        <v>11574</v>
      </c>
      <c r="G5824" s="7" t="n">
        <v>2016</v>
      </c>
      <c r="H5824" s="7" t="s">
        <v>119</v>
      </c>
      <c r="I5824" s="7" t="s">
        <v>11132</v>
      </c>
      <c r="J5824" s="7" t="s">
        <v>44</v>
      </c>
      <c r="K5824" s="7" t="n">
        <f aca="false">IFERROR(VALUE(RIGHT(TRIM(F5824),4)),"")</f>
        <v>2018</v>
      </c>
      <c r="L5824" s="7" t="str">
        <f aca="false">IF(TRIM(E5824)="","Unknown",IFERROR(LEFT(TRIM(E5824),FIND(",",TRIM(E5824))-1),TRIM(E5824)))</f>
        <v>South Korea</v>
      </c>
      <c r="M5824" s="7" t="str">
        <f aca="false">IFERROR(LEFT(J5824,FIND(",",J5824)-1),J5824)</f>
        <v>Kids' TV</v>
      </c>
      <c r="N5824" s="7" t="str">
        <f aca="false">IF(B5824="Movie",IFERROR(VALUE(LEFT(I5824,FIND(" ",I5824)-1)),""),"")</f>
        <v/>
      </c>
      <c r="O5824" s="7" t="n">
        <f aca="false">IF(B5824="TV Show",IFERROR(VALUE(LEFT(I5824,FIND(" ",I5824)-1)),""),"")</f>
        <v>2</v>
      </c>
      <c r="P5824" s="7" t="n">
        <f aca="false">IF(K5824="","",K5824-G5824)</f>
        <v>2</v>
      </c>
    </row>
    <row r="5825" customFormat="false" ht="15" hidden="false" customHeight="false" outlineLevel="0" collapsed="false">
      <c r="A5825" s="7" t="n">
        <v>80987906</v>
      </c>
      <c r="B5825" s="7" t="s">
        <v>78</v>
      </c>
      <c r="C5825" s="7" t="s">
        <v>11575</v>
      </c>
      <c r="E5825" s="7" t="s">
        <v>11576</v>
      </c>
      <c r="F5825" s="7" t="s">
        <v>11574</v>
      </c>
      <c r="G5825" s="7" t="n">
        <v>2015</v>
      </c>
      <c r="H5825" s="7" t="s">
        <v>55</v>
      </c>
      <c r="I5825" s="7" t="s">
        <v>11132</v>
      </c>
      <c r="J5825" s="7" t="s">
        <v>694</v>
      </c>
      <c r="K5825" s="7" t="n">
        <f aca="false">IFERROR(VALUE(RIGHT(TRIM(F5825),4)),"")</f>
        <v>2018</v>
      </c>
      <c r="L5825" s="7" t="str">
        <f aca="false">IF(TRIM(E5825)="","Unknown",IFERROR(LEFT(TRIM(E5825),FIND(",",TRIM(E5825))-1),TRIM(E5825)))</f>
        <v>Japan</v>
      </c>
      <c r="M5825" s="7" t="str">
        <f aca="false">IFERROR(LEFT(J5825,FIND(",",J5825)-1),J5825)</f>
        <v>Anime Series</v>
      </c>
      <c r="N5825" s="7" t="str">
        <f aca="false">IF(B5825="Movie",IFERROR(VALUE(LEFT(I5825,FIND(" ",I5825)-1)),""),"")</f>
        <v/>
      </c>
      <c r="O5825" s="7" t="n">
        <f aca="false">IF(B5825="TV Show",IFERROR(VALUE(LEFT(I5825,FIND(" ",I5825)-1)),""),"")</f>
        <v>2</v>
      </c>
      <c r="P5825" s="7" t="n">
        <f aca="false">IF(K5825="","",K5825-G5825)</f>
        <v>3</v>
      </c>
    </row>
    <row r="5826" customFormat="false" ht="15" hidden="false" customHeight="false" outlineLevel="0" collapsed="false">
      <c r="A5826" s="7" t="n">
        <v>80239796</v>
      </c>
      <c r="B5826" s="7" t="s">
        <v>78</v>
      </c>
      <c r="C5826" s="7" t="s">
        <v>11577</v>
      </c>
      <c r="F5826" s="7" t="s">
        <v>11578</v>
      </c>
      <c r="G5826" s="7" t="n">
        <v>2015</v>
      </c>
      <c r="H5826" s="7" t="s">
        <v>49</v>
      </c>
      <c r="I5826" s="7" t="s">
        <v>11227</v>
      </c>
      <c r="J5826" s="7" t="s">
        <v>314</v>
      </c>
      <c r="K5826" s="7" t="n">
        <f aca="false">IFERROR(VALUE(RIGHT(TRIM(F5826),4)),"")</f>
        <v>2019</v>
      </c>
      <c r="L5826" s="7" t="str">
        <f aca="false">IF(TRIM(E5826)="","Unknown",IFERROR(LEFT(TRIM(E5826),FIND(",",TRIM(E5826))-1),TRIM(E5826)))</f>
        <v>Unknown</v>
      </c>
      <c r="M5826" s="7" t="str">
        <f aca="false">IFERROR(LEFT(J5826,FIND(",",J5826)-1),J5826)</f>
        <v>International TV Shows</v>
      </c>
      <c r="N5826" s="7" t="str">
        <f aca="false">IF(B5826="Movie",IFERROR(VALUE(LEFT(I5826,FIND(" ",I5826)-1)),""),"")</f>
        <v/>
      </c>
      <c r="O5826" s="7" t="n">
        <f aca="false">IF(B5826="TV Show",IFERROR(VALUE(LEFT(I5826,FIND(" ",I5826)-1)),""),"")</f>
        <v>9</v>
      </c>
      <c r="P5826" s="7" t="n">
        <f aca="false">IF(K5826="","",K5826-G5826)</f>
        <v>4</v>
      </c>
    </row>
    <row r="5827" customFormat="false" ht="15" hidden="false" customHeight="false" outlineLevel="0" collapsed="false">
      <c r="A5827" s="7" t="n">
        <v>80026506</v>
      </c>
      <c r="B5827" s="7" t="s">
        <v>78</v>
      </c>
      <c r="C5827" s="7" t="s">
        <v>127</v>
      </c>
      <c r="E5827" s="7" t="s">
        <v>26</v>
      </c>
      <c r="F5827" s="7" t="s">
        <v>11579</v>
      </c>
      <c r="G5827" s="7" t="n">
        <v>2018</v>
      </c>
      <c r="H5827" s="7" t="s">
        <v>48</v>
      </c>
      <c r="I5827" s="7" t="s">
        <v>11148</v>
      </c>
      <c r="J5827" s="7" t="s">
        <v>256</v>
      </c>
      <c r="K5827" s="7" t="n">
        <f aca="false">IFERROR(VALUE(RIGHT(TRIM(F5827),4)),"")</f>
        <v>2018</v>
      </c>
      <c r="L5827" s="7" t="str">
        <f aca="false">IF(TRIM(E5827)="","Unknown",IFERROR(LEFT(TRIM(E5827),FIND(",",TRIM(E5827))-1),TRIM(E5827)))</f>
        <v>United States</v>
      </c>
      <c r="M5827" s="7" t="str">
        <f aca="false">IFERROR(LEFT(J5827,FIND(",",J5827)-1),J5827)</f>
        <v>Romantic TV Shows</v>
      </c>
      <c r="N5827" s="7" t="str">
        <f aca="false">IF(B5827="Movie",IFERROR(VALUE(LEFT(I5827,FIND(" ",I5827)-1)),""),"")</f>
        <v/>
      </c>
      <c r="O5827" s="7" t="n">
        <f aca="false">IF(B5827="TV Show",IFERROR(VALUE(LEFT(I5827,FIND(" ",I5827)-1)),""),"")</f>
        <v>3</v>
      </c>
      <c r="P5827" s="7" t="n">
        <f aca="false">IF(K5827="","",K5827-G5827)</f>
        <v>0</v>
      </c>
    </row>
    <row r="5828" customFormat="false" ht="15" hidden="false" customHeight="false" outlineLevel="0" collapsed="false">
      <c r="A5828" s="7" t="n">
        <v>70300472</v>
      </c>
      <c r="B5828" s="7" t="s">
        <v>78</v>
      </c>
      <c r="C5828" s="7" t="s">
        <v>11580</v>
      </c>
      <c r="E5828" s="7" t="s">
        <v>30</v>
      </c>
      <c r="F5828" s="7" t="s">
        <v>11581</v>
      </c>
      <c r="G5828" s="7" t="n">
        <v>2013</v>
      </c>
      <c r="H5828" s="7" t="s">
        <v>48</v>
      </c>
      <c r="I5828" s="7" t="s">
        <v>11148</v>
      </c>
      <c r="J5828" s="7" t="s">
        <v>542</v>
      </c>
      <c r="K5828" s="7" t="n">
        <f aca="false">IFERROR(VALUE(RIGHT(TRIM(F5828),4)),"")</f>
        <v>2019</v>
      </c>
      <c r="L5828" s="7" t="str">
        <f aca="false">IF(TRIM(E5828)="","Unknown",IFERROR(LEFT(TRIM(E5828),FIND(",",TRIM(E5828))-1),TRIM(E5828)))</f>
        <v>Japan</v>
      </c>
      <c r="M5828" s="7" t="str">
        <f aca="false">IFERROR(LEFT(J5828,FIND(",",J5828)-1),J5828)</f>
        <v>Anime Series</v>
      </c>
      <c r="N5828" s="7" t="str">
        <f aca="false">IF(B5828="Movie",IFERROR(VALUE(LEFT(I5828,FIND(" ",I5828)-1)),""),"")</f>
        <v/>
      </c>
      <c r="O5828" s="7" t="n">
        <f aca="false">IF(B5828="TV Show",IFERROR(VALUE(LEFT(I5828,FIND(" ",I5828)-1)),""),"")</f>
        <v>3</v>
      </c>
      <c r="P5828" s="7" t="n">
        <f aca="false">IF(K5828="","",K5828-G5828)</f>
        <v>6</v>
      </c>
    </row>
    <row r="5829" customFormat="false" ht="15" hidden="false" customHeight="false" outlineLevel="0" collapsed="false">
      <c r="A5829" s="7" t="n">
        <v>80032178</v>
      </c>
      <c r="B5829" s="7" t="s">
        <v>78</v>
      </c>
      <c r="C5829" s="7" t="s">
        <v>11582</v>
      </c>
      <c r="E5829" s="7" t="s">
        <v>26</v>
      </c>
      <c r="F5829" s="7" t="s">
        <v>11583</v>
      </c>
      <c r="G5829" s="7" t="n">
        <v>2018</v>
      </c>
      <c r="H5829" s="7" t="s">
        <v>48</v>
      </c>
      <c r="I5829" s="7" t="s">
        <v>11148</v>
      </c>
      <c r="J5829" s="7" t="s">
        <v>834</v>
      </c>
      <c r="K5829" s="7" t="n">
        <f aca="false">IFERROR(VALUE(RIGHT(TRIM(F5829),4)),"")</f>
        <v>2019</v>
      </c>
      <c r="L5829" s="7" t="str">
        <f aca="false">IF(TRIM(E5829)="","Unknown",IFERROR(LEFT(TRIM(E5829),FIND(",",TRIM(E5829))-1),TRIM(E5829)))</f>
        <v>United States</v>
      </c>
      <c r="M5829" s="7" t="str">
        <f aca="false">IFERROR(LEFT(J5829,FIND(",",J5829)-1),J5829)</f>
        <v>Crime TV Shows</v>
      </c>
      <c r="N5829" s="7" t="str">
        <f aca="false">IF(B5829="Movie",IFERROR(VALUE(LEFT(I5829,FIND(" ",I5829)-1)),""),"")</f>
        <v/>
      </c>
      <c r="O5829" s="7" t="n">
        <f aca="false">IF(B5829="TV Show",IFERROR(VALUE(LEFT(I5829,FIND(" ",I5829)-1)),""),"")</f>
        <v>3</v>
      </c>
      <c r="P5829" s="7" t="n">
        <f aca="false">IF(K5829="","",K5829-G5829)</f>
        <v>1</v>
      </c>
    </row>
    <row r="5830" customFormat="false" ht="15" hidden="false" customHeight="false" outlineLevel="0" collapsed="false">
      <c r="A5830" s="7" t="n">
        <v>80211136</v>
      </c>
      <c r="B5830" s="7" t="s">
        <v>78</v>
      </c>
      <c r="C5830" s="7" t="s">
        <v>11584</v>
      </c>
      <c r="E5830" s="7" t="s">
        <v>35</v>
      </c>
      <c r="F5830" s="7" t="s">
        <v>11583</v>
      </c>
      <c r="G5830" s="7" t="n">
        <v>2016</v>
      </c>
      <c r="H5830" s="7" t="s">
        <v>48</v>
      </c>
      <c r="I5830" s="7" t="s">
        <v>11132</v>
      </c>
      <c r="J5830" s="7" t="s">
        <v>3308</v>
      </c>
      <c r="K5830" s="7" t="n">
        <f aca="false">IFERROR(VALUE(RIGHT(TRIM(F5830),4)),"")</f>
        <v>2019</v>
      </c>
      <c r="L5830" s="7" t="str">
        <f aca="false">IF(TRIM(E5830)="","Unknown",IFERROR(LEFT(TRIM(E5830),FIND(",",TRIM(E5830))-1),TRIM(E5830)))</f>
        <v>Australia</v>
      </c>
      <c r="M5830" s="7" t="str">
        <f aca="false">IFERROR(LEFT(J5830,FIND(",",J5830)-1),J5830)</f>
        <v>International TV Shows</v>
      </c>
      <c r="N5830" s="7" t="str">
        <f aca="false">IF(B5830="Movie",IFERROR(VALUE(LEFT(I5830,FIND(" ",I5830)-1)),""),"")</f>
        <v/>
      </c>
      <c r="O5830" s="7" t="n">
        <f aca="false">IF(B5830="TV Show",IFERROR(VALUE(LEFT(I5830,FIND(" ",I5830)-1)),""),"")</f>
        <v>2</v>
      </c>
      <c r="P5830" s="7" t="n">
        <f aca="false">IF(K5830="","",K5830-G5830)</f>
        <v>3</v>
      </c>
    </row>
    <row r="5831" customFormat="false" ht="15" hidden="false" customHeight="false" outlineLevel="0" collapsed="false">
      <c r="A5831" s="7" t="n">
        <v>70260729</v>
      </c>
      <c r="B5831" s="7" t="s">
        <v>78</v>
      </c>
      <c r="C5831" s="7" t="s">
        <v>11585</v>
      </c>
      <c r="E5831" s="7" t="s">
        <v>26</v>
      </c>
      <c r="F5831" s="7" t="s">
        <v>11586</v>
      </c>
      <c r="G5831" s="7" t="n">
        <v>2016</v>
      </c>
      <c r="H5831" s="7" t="s">
        <v>49</v>
      </c>
      <c r="I5831" s="7" t="s">
        <v>11155</v>
      </c>
      <c r="J5831" s="7" t="s">
        <v>282</v>
      </c>
      <c r="K5831" s="7" t="n">
        <f aca="false">IFERROR(VALUE(RIGHT(TRIM(F5831),4)),"")</f>
        <v>2017</v>
      </c>
      <c r="L5831" s="7" t="str">
        <f aca="false">IF(TRIM(E5831)="","Unknown",IFERROR(LEFT(TRIM(E5831),FIND(",",TRIM(E5831))-1),TRIM(E5831)))</f>
        <v>United States</v>
      </c>
      <c r="M5831" s="7" t="str">
        <f aca="false">IFERROR(LEFT(J5831,FIND(",",J5831)-1),J5831)</f>
        <v>Crime TV Shows</v>
      </c>
      <c r="N5831" s="7" t="str">
        <f aca="false">IF(B5831="Movie",IFERROR(VALUE(LEFT(I5831,FIND(" ",I5831)-1)),""),"")</f>
        <v/>
      </c>
      <c r="O5831" s="7" t="n">
        <f aca="false">IF(B5831="TV Show",IFERROR(VALUE(LEFT(I5831,FIND(" ",I5831)-1)),""),"")</f>
        <v>4</v>
      </c>
      <c r="P5831" s="7" t="n">
        <f aca="false">IF(K5831="","",K5831-G5831)</f>
        <v>1</v>
      </c>
    </row>
    <row r="5832" customFormat="false" ht="15" hidden="false" customHeight="false" outlineLevel="0" collapsed="false">
      <c r="A5832" s="7" t="n">
        <v>80244567</v>
      </c>
      <c r="B5832" s="7" t="s">
        <v>78</v>
      </c>
      <c r="C5832" s="7" t="s">
        <v>11587</v>
      </c>
      <c r="E5832" s="7" t="s">
        <v>28</v>
      </c>
      <c r="F5832" s="7" t="s">
        <v>11588</v>
      </c>
      <c r="G5832" s="7" t="n">
        <v>1977</v>
      </c>
      <c r="H5832" s="7" t="s">
        <v>50</v>
      </c>
      <c r="I5832" s="7" t="s">
        <v>11589</v>
      </c>
      <c r="J5832" s="7" t="s">
        <v>11245</v>
      </c>
      <c r="K5832" s="7" t="n">
        <f aca="false">IFERROR(VALUE(RIGHT(TRIM(F5832),4)),"")</f>
        <v>2018</v>
      </c>
      <c r="L5832" s="7" t="str">
        <f aca="false">IF(TRIM(E5832)="","Unknown",IFERROR(LEFT(TRIM(E5832),FIND(",",TRIM(E5832))-1),TRIM(E5832)))</f>
        <v>United Kingdom</v>
      </c>
      <c r="M5832" s="7" t="str">
        <f aca="false">IFERROR(LEFT(J5832,FIND(",",J5832)-1),J5832)</f>
        <v>British TV Shows</v>
      </c>
      <c r="N5832" s="7" t="str">
        <f aca="false">IF(B5832="Movie",IFERROR(VALUE(LEFT(I5832,FIND(" ",I5832)-1)),""),"")</f>
        <v/>
      </c>
      <c r="O5832" s="7" t="n">
        <f aca="false">IF(B5832="TV Show",IFERROR(VALUE(LEFT(I5832,FIND(" ",I5832)-1)),""),"")</f>
        <v>10</v>
      </c>
      <c r="P5832" s="7" t="n">
        <f aca="false">IF(K5832="","",K5832-G5832)</f>
        <v>41</v>
      </c>
    </row>
    <row r="5833" customFormat="false" ht="15" hidden="false" customHeight="false" outlineLevel="0" collapsed="false">
      <c r="A5833" s="7" t="n">
        <v>80233664</v>
      </c>
      <c r="B5833" s="7" t="s">
        <v>78</v>
      </c>
      <c r="C5833" s="7" t="s">
        <v>11590</v>
      </c>
      <c r="E5833" s="7" t="s">
        <v>970</v>
      </c>
      <c r="F5833" s="7" t="s">
        <v>11588</v>
      </c>
      <c r="G5833" s="7" t="n">
        <v>2017</v>
      </c>
      <c r="H5833" s="7" t="s">
        <v>48</v>
      </c>
      <c r="I5833" s="7" t="s">
        <v>11132</v>
      </c>
      <c r="J5833" s="7" t="s">
        <v>344</v>
      </c>
      <c r="K5833" s="7" t="n">
        <f aca="false">IFERROR(VALUE(RIGHT(TRIM(F5833),4)),"")</f>
        <v>2018</v>
      </c>
      <c r="L5833" s="7" t="str">
        <f aca="false">IF(TRIM(E5833)="","Unknown",IFERROR(LEFT(TRIM(E5833),FIND(",",TRIM(E5833))-1),TRIM(E5833)))</f>
        <v>Taiwan</v>
      </c>
      <c r="M5833" s="7" t="str">
        <f aca="false">IFERROR(LEFT(J5833,FIND(",",J5833)-1),J5833)</f>
        <v>International TV Shows</v>
      </c>
      <c r="N5833" s="7" t="str">
        <f aca="false">IF(B5833="Movie",IFERROR(VALUE(LEFT(I5833,FIND(" ",I5833)-1)),""),"")</f>
        <v/>
      </c>
      <c r="O5833" s="7" t="n">
        <f aca="false">IF(B5833="TV Show",IFERROR(VALUE(LEFT(I5833,FIND(" ",I5833)-1)),""),"")</f>
        <v>2</v>
      </c>
      <c r="P5833" s="7" t="n">
        <f aca="false">IF(K5833="","",K5833-G5833)</f>
        <v>1</v>
      </c>
    </row>
    <row r="5834" customFormat="false" ht="15" hidden="false" customHeight="false" outlineLevel="0" collapsed="false">
      <c r="A5834" s="7" t="n">
        <v>80097034</v>
      </c>
      <c r="B5834" s="7" t="s">
        <v>78</v>
      </c>
      <c r="C5834" s="7" t="s">
        <v>11591</v>
      </c>
      <c r="E5834" s="7" t="s">
        <v>28</v>
      </c>
      <c r="F5834" s="7" t="s">
        <v>11588</v>
      </c>
      <c r="G5834" s="7" t="n">
        <v>2017</v>
      </c>
      <c r="H5834" s="7" t="s">
        <v>48</v>
      </c>
      <c r="I5834" s="7" t="s">
        <v>11132</v>
      </c>
      <c r="J5834" s="7" t="s">
        <v>1666</v>
      </c>
      <c r="K5834" s="7" t="n">
        <f aca="false">IFERROR(VALUE(RIGHT(TRIM(F5834),4)),"")</f>
        <v>2018</v>
      </c>
      <c r="L5834" s="7" t="str">
        <f aca="false">IF(TRIM(E5834)="","Unknown",IFERROR(LEFT(TRIM(E5834),FIND(",",TRIM(E5834))-1),TRIM(E5834)))</f>
        <v>United Kingdom</v>
      </c>
      <c r="M5834" s="7" t="str">
        <f aca="false">IFERROR(LEFT(J5834,FIND(",",J5834)-1),J5834)</f>
        <v>British TV Shows</v>
      </c>
      <c r="N5834" s="7" t="str">
        <f aca="false">IF(B5834="Movie",IFERROR(VALUE(LEFT(I5834,FIND(" ",I5834)-1)),""),"")</f>
        <v/>
      </c>
      <c r="O5834" s="7" t="n">
        <f aca="false">IF(B5834="TV Show",IFERROR(VALUE(LEFT(I5834,FIND(" ",I5834)-1)),""),"")</f>
        <v>2</v>
      </c>
      <c r="P5834" s="7" t="n">
        <f aca="false">IF(K5834="","",K5834-G5834)</f>
        <v>1</v>
      </c>
    </row>
    <row r="5835" customFormat="false" ht="15" hidden="false" customHeight="false" outlineLevel="0" collapsed="false">
      <c r="A5835" s="7" t="n">
        <v>80023644</v>
      </c>
      <c r="B5835" s="7" t="s">
        <v>78</v>
      </c>
      <c r="C5835" s="7" t="s">
        <v>11592</v>
      </c>
      <c r="D5835" s="7" t="s">
        <v>11593</v>
      </c>
      <c r="E5835" s="7" t="s">
        <v>28</v>
      </c>
      <c r="F5835" s="7" t="s">
        <v>11588</v>
      </c>
      <c r="G5835" s="7" t="n">
        <v>2017</v>
      </c>
      <c r="H5835" s="7" t="s">
        <v>49</v>
      </c>
      <c r="I5835" s="7" t="s">
        <v>11198</v>
      </c>
      <c r="J5835" s="7" t="s">
        <v>765</v>
      </c>
      <c r="K5835" s="7" t="n">
        <f aca="false">IFERROR(VALUE(RIGHT(TRIM(F5835),4)),"")</f>
        <v>2018</v>
      </c>
      <c r="L5835" s="7" t="str">
        <f aca="false">IF(TRIM(E5835)="","Unknown",IFERROR(LEFT(TRIM(E5835),FIND(",",TRIM(E5835))-1),TRIM(E5835)))</f>
        <v>United Kingdom</v>
      </c>
      <c r="M5835" s="7" t="str">
        <f aca="false">IFERROR(LEFT(J5835,FIND(",",J5835)-1),J5835)</f>
        <v>British TV Shows</v>
      </c>
      <c r="N5835" s="7" t="str">
        <f aca="false">IF(B5835="Movie",IFERROR(VALUE(LEFT(I5835,FIND(" ",I5835)-1)),""),"")</f>
        <v/>
      </c>
      <c r="O5835" s="7" t="n">
        <f aca="false">IF(B5835="TV Show",IFERROR(VALUE(LEFT(I5835,FIND(" ",I5835)-1)),""),"")</f>
        <v>6</v>
      </c>
      <c r="P5835" s="7" t="n">
        <f aca="false">IF(K5835="","",K5835-G5835)</f>
        <v>1</v>
      </c>
    </row>
    <row r="5836" customFormat="false" ht="15" hidden="false" customHeight="false" outlineLevel="0" collapsed="false">
      <c r="A5836" s="7" t="n">
        <v>80170186</v>
      </c>
      <c r="B5836" s="7" t="s">
        <v>78</v>
      </c>
      <c r="C5836" s="7" t="s">
        <v>11594</v>
      </c>
      <c r="F5836" s="7" t="s">
        <v>11588</v>
      </c>
      <c r="G5836" s="7" t="n">
        <v>2013</v>
      </c>
      <c r="H5836" s="7" t="s">
        <v>55</v>
      </c>
      <c r="I5836" s="7" t="s">
        <v>11132</v>
      </c>
      <c r="J5836" s="7" t="s">
        <v>44</v>
      </c>
      <c r="K5836" s="7" t="n">
        <f aca="false">IFERROR(VALUE(RIGHT(TRIM(F5836),4)),"")</f>
        <v>2018</v>
      </c>
      <c r="L5836" s="7" t="str">
        <f aca="false">IF(TRIM(E5836)="","Unknown",IFERROR(LEFT(TRIM(E5836),FIND(",",TRIM(E5836))-1),TRIM(E5836)))</f>
        <v>Unknown</v>
      </c>
      <c r="M5836" s="7" t="str">
        <f aca="false">IFERROR(LEFT(J5836,FIND(",",J5836)-1),J5836)</f>
        <v>Kids' TV</v>
      </c>
      <c r="N5836" s="7" t="str">
        <f aca="false">IF(B5836="Movie",IFERROR(VALUE(LEFT(I5836,FIND(" ",I5836)-1)),""),"")</f>
        <v/>
      </c>
      <c r="O5836" s="7" t="n">
        <f aca="false">IF(B5836="TV Show",IFERROR(VALUE(LEFT(I5836,FIND(" ",I5836)-1)),""),"")</f>
        <v>2</v>
      </c>
      <c r="P5836" s="7" t="n">
        <f aca="false">IF(K5836="","",K5836-G5836)</f>
        <v>5</v>
      </c>
    </row>
    <row r="5837" customFormat="false" ht="15" hidden="false" customHeight="false" outlineLevel="0" collapsed="false">
      <c r="A5837" s="7" t="n">
        <v>80233447</v>
      </c>
      <c r="B5837" s="7" t="s">
        <v>78</v>
      </c>
      <c r="C5837" s="7" t="s">
        <v>11595</v>
      </c>
      <c r="F5837" s="7" t="s">
        <v>11588</v>
      </c>
      <c r="G5837" s="7" t="n">
        <v>2017</v>
      </c>
      <c r="H5837" s="7" t="s">
        <v>49</v>
      </c>
      <c r="I5837" s="7" t="s">
        <v>11132</v>
      </c>
      <c r="J5837" s="7" t="s">
        <v>344</v>
      </c>
      <c r="K5837" s="7" t="n">
        <f aca="false">IFERROR(VALUE(RIGHT(TRIM(F5837),4)),"")</f>
        <v>2018</v>
      </c>
      <c r="L5837" s="7" t="str">
        <f aca="false">IF(TRIM(E5837)="","Unknown",IFERROR(LEFT(TRIM(E5837),FIND(",",TRIM(E5837))-1),TRIM(E5837)))</f>
        <v>Unknown</v>
      </c>
      <c r="M5837" s="7" t="str">
        <f aca="false">IFERROR(LEFT(J5837,FIND(",",J5837)-1),J5837)</f>
        <v>International TV Shows</v>
      </c>
      <c r="N5837" s="7" t="str">
        <f aca="false">IF(B5837="Movie",IFERROR(VALUE(LEFT(I5837,FIND(" ",I5837)-1)),""),"")</f>
        <v/>
      </c>
      <c r="O5837" s="7" t="n">
        <f aca="false">IF(B5837="TV Show",IFERROR(VALUE(LEFT(I5837,FIND(" ",I5837)-1)),""),"")</f>
        <v>2</v>
      </c>
      <c r="P5837" s="7" t="n">
        <f aca="false">IF(K5837="","",K5837-G5837)</f>
        <v>1</v>
      </c>
    </row>
    <row r="5838" customFormat="false" ht="15" hidden="false" customHeight="false" outlineLevel="0" collapsed="false">
      <c r="A5838" s="7" t="n">
        <v>70177034</v>
      </c>
      <c r="B5838" s="7" t="s">
        <v>78</v>
      </c>
      <c r="C5838" s="7" t="s">
        <v>11596</v>
      </c>
      <c r="E5838" s="7" t="s">
        <v>30</v>
      </c>
      <c r="F5838" s="7" t="s">
        <v>11588</v>
      </c>
      <c r="G5838" s="7" t="n">
        <v>2005</v>
      </c>
      <c r="H5838" s="7" t="s">
        <v>55</v>
      </c>
      <c r="I5838" s="7" t="s">
        <v>11135</v>
      </c>
      <c r="J5838" s="7" t="s">
        <v>694</v>
      </c>
      <c r="K5838" s="7" t="n">
        <f aca="false">IFERROR(VALUE(RIGHT(TRIM(F5838),4)),"")</f>
        <v>2018</v>
      </c>
      <c r="L5838" s="7" t="str">
        <f aca="false">IF(TRIM(E5838)="","Unknown",IFERROR(LEFT(TRIM(E5838),FIND(",",TRIM(E5838))-1),TRIM(E5838)))</f>
        <v>Japan</v>
      </c>
      <c r="M5838" s="7" t="str">
        <f aca="false">IFERROR(LEFT(J5838,FIND(",",J5838)-1),J5838)</f>
        <v>Anime Series</v>
      </c>
      <c r="N5838" s="7" t="str">
        <f aca="false">IF(B5838="Movie",IFERROR(VALUE(LEFT(I5838,FIND(" ",I5838)-1)),""),"")</f>
        <v/>
      </c>
      <c r="O5838" s="7" t="n">
        <f aca="false">IF(B5838="TV Show",IFERROR(VALUE(LEFT(I5838,FIND(" ",I5838)-1)),""),"")</f>
        <v>5</v>
      </c>
      <c r="P5838" s="7" t="n">
        <f aca="false">IF(K5838="","",K5838-G5838)</f>
        <v>13</v>
      </c>
    </row>
    <row r="5839" customFormat="false" ht="15" hidden="false" customHeight="false" outlineLevel="0" collapsed="false">
      <c r="A5839" s="7" t="n">
        <v>70157434</v>
      </c>
      <c r="B5839" s="7" t="s">
        <v>78</v>
      </c>
      <c r="C5839" s="7" t="s">
        <v>11597</v>
      </c>
      <c r="E5839" s="7" t="s">
        <v>317</v>
      </c>
      <c r="F5839" s="7" t="s">
        <v>11598</v>
      </c>
      <c r="G5839" s="7" t="n">
        <v>2006</v>
      </c>
      <c r="H5839" s="7" t="s">
        <v>48</v>
      </c>
      <c r="I5839" s="7" t="s">
        <v>11132</v>
      </c>
      <c r="J5839" s="7" t="s">
        <v>1612</v>
      </c>
      <c r="K5839" s="7" t="n">
        <f aca="false">IFERROR(VALUE(RIGHT(TRIM(F5839),4)),"")</f>
        <v>2017</v>
      </c>
      <c r="L5839" s="7" t="str">
        <f aca="false">IF(TRIM(E5839)="","Unknown",IFERROR(LEFT(TRIM(E5839),FIND(",",TRIM(E5839))-1),TRIM(E5839)))</f>
        <v>United Kingdom</v>
      </c>
      <c r="M5839" s="7" t="str">
        <f aca="false">IFERROR(LEFT(J5839,FIND(",",J5839)-1),J5839)</f>
        <v>British TV Shows</v>
      </c>
      <c r="N5839" s="7" t="str">
        <f aca="false">IF(B5839="Movie",IFERROR(VALUE(LEFT(I5839,FIND(" ",I5839)-1)),""),"")</f>
        <v/>
      </c>
      <c r="O5839" s="7" t="n">
        <f aca="false">IF(B5839="TV Show",IFERROR(VALUE(LEFT(I5839,FIND(" ",I5839)-1)),""),"")</f>
        <v>2</v>
      </c>
      <c r="P5839" s="7" t="n">
        <f aca="false">IF(K5839="","",K5839-G5839)</f>
        <v>11</v>
      </c>
    </row>
    <row r="5840" customFormat="false" ht="15" hidden="false" customHeight="false" outlineLevel="0" collapsed="false">
      <c r="A5840" s="7" t="n">
        <v>80179201</v>
      </c>
      <c r="B5840" s="7" t="s">
        <v>78</v>
      </c>
      <c r="C5840" s="7" t="s">
        <v>11599</v>
      </c>
      <c r="D5840" s="7" t="s">
        <v>11600</v>
      </c>
      <c r="E5840" s="7" t="s">
        <v>28</v>
      </c>
      <c r="F5840" s="7" t="s">
        <v>11598</v>
      </c>
      <c r="G5840" s="7" t="n">
        <v>2016</v>
      </c>
      <c r="H5840" s="7" t="s">
        <v>48</v>
      </c>
      <c r="I5840" s="7" t="s">
        <v>11132</v>
      </c>
      <c r="J5840" s="7" t="s">
        <v>1612</v>
      </c>
      <c r="K5840" s="7" t="n">
        <f aca="false">IFERROR(VALUE(RIGHT(TRIM(F5840),4)),"")</f>
        <v>2017</v>
      </c>
      <c r="L5840" s="7" t="str">
        <f aca="false">IF(TRIM(E5840)="","Unknown",IFERROR(LEFT(TRIM(E5840),FIND(",",TRIM(E5840))-1),TRIM(E5840)))</f>
        <v>United Kingdom</v>
      </c>
      <c r="M5840" s="7" t="str">
        <f aca="false">IFERROR(LEFT(J5840,FIND(",",J5840)-1),J5840)</f>
        <v>British TV Shows</v>
      </c>
      <c r="N5840" s="7" t="str">
        <f aca="false">IF(B5840="Movie",IFERROR(VALUE(LEFT(I5840,FIND(" ",I5840)-1)),""),"")</f>
        <v/>
      </c>
      <c r="O5840" s="7" t="n">
        <f aca="false">IF(B5840="TV Show",IFERROR(VALUE(LEFT(I5840,FIND(" ",I5840)-1)),""),"")</f>
        <v>2</v>
      </c>
      <c r="P5840" s="7" t="n">
        <f aca="false">IF(K5840="","",K5840-G5840)</f>
        <v>1</v>
      </c>
    </row>
    <row r="5841" customFormat="false" ht="15" hidden="false" customHeight="false" outlineLevel="0" collapsed="false">
      <c r="A5841" s="7" t="n">
        <v>80178836</v>
      </c>
      <c r="B5841" s="7" t="s">
        <v>78</v>
      </c>
      <c r="C5841" s="7" t="s">
        <v>11601</v>
      </c>
      <c r="E5841" s="7" t="s">
        <v>27</v>
      </c>
      <c r="F5841" s="7" t="s">
        <v>11598</v>
      </c>
      <c r="G5841" s="7" t="n">
        <v>2015</v>
      </c>
      <c r="H5841" s="7" t="s">
        <v>50</v>
      </c>
      <c r="I5841" s="7" t="s">
        <v>11148</v>
      </c>
      <c r="J5841" s="7" t="s">
        <v>884</v>
      </c>
      <c r="K5841" s="7" t="n">
        <f aca="false">IFERROR(VALUE(RIGHT(TRIM(F5841),4)),"")</f>
        <v>2017</v>
      </c>
      <c r="L5841" s="7" t="str">
        <f aca="false">IF(TRIM(E5841)="","Unknown",IFERROR(LEFT(TRIM(E5841),FIND(",",TRIM(E5841))-1),TRIM(E5841)))</f>
        <v>India</v>
      </c>
      <c r="M5841" s="7" t="str">
        <f aca="false">IFERROR(LEFT(J5841,FIND(",",J5841)-1),J5841)</f>
        <v>International TV Shows</v>
      </c>
      <c r="N5841" s="7" t="str">
        <f aca="false">IF(B5841="Movie",IFERROR(VALUE(LEFT(I5841,FIND(" ",I5841)-1)),""),"")</f>
        <v/>
      </c>
      <c r="O5841" s="7" t="n">
        <f aca="false">IF(B5841="TV Show",IFERROR(VALUE(LEFT(I5841,FIND(" ",I5841)-1)),""),"")</f>
        <v>3</v>
      </c>
      <c r="P5841" s="7" t="n">
        <f aca="false">IF(K5841="","",K5841-G5841)</f>
        <v>2</v>
      </c>
    </row>
    <row r="5842" customFormat="false" ht="15" hidden="false" customHeight="false" outlineLevel="0" collapsed="false">
      <c r="A5842" s="7" t="n">
        <v>80169785</v>
      </c>
      <c r="B5842" s="7" t="s">
        <v>78</v>
      </c>
      <c r="C5842" s="7" t="s">
        <v>11602</v>
      </c>
      <c r="E5842" s="7" t="s">
        <v>28</v>
      </c>
      <c r="F5842" s="7" t="s">
        <v>11598</v>
      </c>
      <c r="G5842" s="7" t="n">
        <v>2016</v>
      </c>
      <c r="H5842" s="7" t="s">
        <v>50</v>
      </c>
      <c r="I5842" s="7" t="s">
        <v>11132</v>
      </c>
      <c r="J5842" s="7" t="s">
        <v>1969</v>
      </c>
      <c r="K5842" s="7" t="n">
        <f aca="false">IFERROR(VALUE(RIGHT(TRIM(F5842),4)),"")</f>
        <v>2017</v>
      </c>
      <c r="L5842" s="7" t="str">
        <f aca="false">IF(TRIM(E5842)="","Unknown",IFERROR(LEFT(TRIM(E5842),FIND(",",TRIM(E5842))-1),TRIM(E5842)))</f>
        <v>United Kingdom</v>
      </c>
      <c r="M5842" s="7" t="str">
        <f aca="false">IFERROR(LEFT(J5842,FIND(",",J5842)-1),J5842)</f>
        <v>British TV Shows</v>
      </c>
      <c r="N5842" s="7" t="str">
        <f aca="false">IF(B5842="Movie",IFERROR(VALUE(LEFT(I5842,FIND(" ",I5842)-1)),""),"")</f>
        <v/>
      </c>
      <c r="O5842" s="7" t="n">
        <f aca="false">IF(B5842="TV Show",IFERROR(VALUE(LEFT(I5842,FIND(" ",I5842)-1)),""),"")</f>
        <v>2</v>
      </c>
      <c r="P5842" s="7" t="n">
        <f aca="false">IF(K5842="","",K5842-G5842)</f>
        <v>1</v>
      </c>
    </row>
    <row r="5843" customFormat="false" ht="15" hidden="false" customHeight="false" outlineLevel="0" collapsed="false">
      <c r="A5843" s="7" t="n">
        <v>70171957</v>
      </c>
      <c r="B5843" s="7" t="s">
        <v>78</v>
      </c>
      <c r="C5843" s="7" t="s">
        <v>11603</v>
      </c>
      <c r="E5843" s="7" t="s">
        <v>29</v>
      </c>
      <c r="F5843" s="7" t="s">
        <v>11604</v>
      </c>
      <c r="G5843" s="7" t="n">
        <v>2014</v>
      </c>
      <c r="H5843" s="7" t="s">
        <v>49</v>
      </c>
      <c r="I5843" s="7" t="s">
        <v>11198</v>
      </c>
      <c r="J5843" s="7" t="s">
        <v>553</v>
      </c>
      <c r="K5843" s="7" t="n">
        <f aca="false">IFERROR(VALUE(RIGHT(TRIM(F5843),4)),"")</f>
        <v>2016</v>
      </c>
      <c r="L5843" s="7" t="str">
        <f aca="false">IF(TRIM(E5843)="","Unknown",IFERROR(LEFT(TRIM(E5843),FIND(",",TRIM(E5843))-1),TRIM(E5843)))</f>
        <v>Canada</v>
      </c>
      <c r="M5843" s="7" t="str">
        <f aca="false">IFERROR(LEFT(J5843,FIND(",",J5843)-1),J5843)</f>
        <v>Crime TV Shows</v>
      </c>
      <c r="N5843" s="7" t="str">
        <f aca="false">IF(B5843="Movie",IFERROR(VALUE(LEFT(I5843,FIND(" ",I5843)-1)),""),"")</f>
        <v/>
      </c>
      <c r="O5843" s="7" t="n">
        <f aca="false">IF(B5843="TV Show",IFERROR(VALUE(LEFT(I5843,FIND(" ",I5843)-1)),""),"")</f>
        <v>6</v>
      </c>
      <c r="P5843" s="7" t="n">
        <f aca="false">IF(K5843="","",K5843-G5843)</f>
        <v>2</v>
      </c>
    </row>
    <row r="5844" customFormat="false" ht="15" hidden="false" customHeight="false" outlineLevel="0" collapsed="false">
      <c r="A5844" s="7" t="n">
        <v>80024057</v>
      </c>
      <c r="B5844" s="7" t="s">
        <v>78</v>
      </c>
      <c r="C5844" s="7" t="s">
        <v>11605</v>
      </c>
      <c r="E5844" s="7" t="s">
        <v>26</v>
      </c>
      <c r="F5844" s="7" t="s">
        <v>11606</v>
      </c>
      <c r="G5844" s="7" t="n">
        <v>2018</v>
      </c>
      <c r="H5844" s="7" t="s">
        <v>49</v>
      </c>
      <c r="I5844" s="7" t="s">
        <v>11135</v>
      </c>
      <c r="J5844" s="7" t="s">
        <v>282</v>
      </c>
      <c r="K5844" s="7" t="n">
        <f aca="false">IFERROR(VALUE(RIGHT(TRIM(F5844),4)),"")</f>
        <v>2019</v>
      </c>
      <c r="L5844" s="7" t="str">
        <f aca="false">IF(TRIM(E5844)="","Unknown",IFERROR(LEFT(TRIM(E5844),FIND(",",TRIM(E5844))-1),TRIM(E5844)))</f>
        <v>United States</v>
      </c>
      <c r="M5844" s="7" t="str">
        <f aca="false">IFERROR(LEFT(J5844,FIND(",",J5844)-1),J5844)</f>
        <v>Crime TV Shows</v>
      </c>
      <c r="N5844" s="7" t="str">
        <f aca="false">IF(B5844="Movie",IFERROR(VALUE(LEFT(I5844,FIND(" ",I5844)-1)),""),"")</f>
        <v/>
      </c>
      <c r="O5844" s="7" t="n">
        <f aca="false">IF(B5844="TV Show",IFERROR(VALUE(LEFT(I5844,FIND(" ",I5844)-1)),""),"")</f>
        <v>5</v>
      </c>
      <c r="P5844" s="7" t="n">
        <f aca="false">IF(K5844="","",K5844-G5844)</f>
        <v>1</v>
      </c>
    </row>
    <row r="5845" customFormat="false" ht="15" hidden="false" customHeight="false" outlineLevel="0" collapsed="false">
      <c r="A5845" s="7" t="n">
        <v>70153385</v>
      </c>
      <c r="B5845" s="7" t="s">
        <v>78</v>
      </c>
      <c r="C5845" s="7" t="s">
        <v>11607</v>
      </c>
      <c r="E5845" s="7" t="s">
        <v>29</v>
      </c>
      <c r="F5845" s="7" t="s">
        <v>11608</v>
      </c>
      <c r="G5845" s="7" t="n">
        <v>2018</v>
      </c>
      <c r="H5845" s="7" t="s">
        <v>48</v>
      </c>
      <c r="I5845" s="7" t="s">
        <v>11609</v>
      </c>
      <c r="J5845" s="7" t="s">
        <v>7144</v>
      </c>
      <c r="K5845" s="7" t="n">
        <f aca="false">IFERROR(VALUE(RIGHT(TRIM(F5845),4)),"")</f>
        <v>2018</v>
      </c>
      <c r="L5845" s="7" t="str">
        <f aca="false">IF(TRIM(E5845)="","Unknown",IFERROR(LEFT(TRIM(E5845),FIND(",",TRIM(E5845))-1),TRIM(E5845)))</f>
        <v>Canada</v>
      </c>
      <c r="M5845" s="7" t="str">
        <f aca="false">IFERROR(LEFT(J5845,FIND(",",J5845)-1),J5845)</f>
        <v>Classic &amp; Cult TV</v>
      </c>
      <c r="N5845" s="7" t="str">
        <f aca="false">IF(B5845="Movie",IFERROR(VALUE(LEFT(I5845,FIND(" ",I5845)-1)),""),"")</f>
        <v/>
      </c>
      <c r="O5845" s="7" t="n">
        <f aca="false">IF(B5845="TV Show",IFERROR(VALUE(LEFT(I5845,FIND(" ",I5845)-1)),""),"")</f>
        <v>12</v>
      </c>
      <c r="P5845" s="7" t="n">
        <f aca="false">IF(K5845="","",K5845-G5845)</f>
        <v>0</v>
      </c>
    </row>
    <row r="5846" customFormat="false" ht="15" hidden="false" customHeight="false" outlineLevel="0" collapsed="false">
      <c r="A5846" s="7" t="n">
        <v>80117809</v>
      </c>
      <c r="B5846" s="7" t="s">
        <v>78</v>
      </c>
      <c r="C5846" s="7" t="s">
        <v>11610</v>
      </c>
      <c r="E5846" s="7" t="s">
        <v>26</v>
      </c>
      <c r="F5846" s="7" t="s">
        <v>11611</v>
      </c>
      <c r="G5846" s="7" t="n">
        <v>2019</v>
      </c>
      <c r="H5846" s="7" t="s">
        <v>49</v>
      </c>
      <c r="I5846" s="7" t="s">
        <v>11132</v>
      </c>
      <c r="J5846" s="7" t="s">
        <v>256</v>
      </c>
      <c r="K5846" s="7" t="n">
        <f aca="false">IFERROR(VALUE(RIGHT(TRIM(F5846),4)),"")</f>
        <v>2019</v>
      </c>
      <c r="L5846" s="7" t="str">
        <f aca="false">IF(TRIM(E5846)="","Unknown",IFERROR(LEFT(TRIM(E5846),FIND(",",TRIM(E5846))-1),TRIM(E5846)))</f>
        <v>United States</v>
      </c>
      <c r="M5846" s="7" t="str">
        <f aca="false">IFERROR(LEFT(J5846,FIND(",",J5846)-1),J5846)</f>
        <v>Romantic TV Shows</v>
      </c>
      <c r="N5846" s="7" t="str">
        <f aca="false">IF(B5846="Movie",IFERROR(VALUE(LEFT(I5846,FIND(" ",I5846)-1)),""),"")</f>
        <v/>
      </c>
      <c r="O5846" s="7" t="n">
        <f aca="false">IF(B5846="TV Show",IFERROR(VALUE(LEFT(I5846,FIND(" ",I5846)-1)),""),"")</f>
        <v>2</v>
      </c>
      <c r="P5846" s="7" t="n">
        <f aca="false">IF(K5846="","",K5846-G5846)</f>
        <v>0</v>
      </c>
    </row>
    <row r="5847" customFormat="false" ht="15" hidden="false" customHeight="false" outlineLevel="0" collapsed="false">
      <c r="A5847" s="7" t="n">
        <v>80095815</v>
      </c>
      <c r="B5847" s="7" t="s">
        <v>78</v>
      </c>
      <c r="C5847" s="7" t="s">
        <v>11612</v>
      </c>
      <c r="E5847" s="7" t="s">
        <v>26</v>
      </c>
      <c r="F5847" s="7" t="s">
        <v>11611</v>
      </c>
      <c r="G5847" s="7" t="n">
        <v>2019</v>
      </c>
      <c r="H5847" s="7" t="s">
        <v>48</v>
      </c>
      <c r="I5847" s="7" t="s">
        <v>11148</v>
      </c>
      <c r="J5847" s="7" t="s">
        <v>11613</v>
      </c>
      <c r="K5847" s="7" t="n">
        <f aca="false">IFERROR(VALUE(RIGHT(TRIM(F5847),4)),"")</f>
        <v>2019</v>
      </c>
      <c r="L5847" s="7" t="str">
        <f aca="false">IF(TRIM(E5847)="","Unknown",IFERROR(LEFT(TRIM(E5847),FIND(",",TRIM(E5847))-1),TRIM(E5847)))</f>
        <v>United States</v>
      </c>
      <c r="M5847" s="7" t="str">
        <f aca="false">IFERROR(LEFT(J5847,FIND(",",J5847)-1),J5847)</f>
        <v>TV Comedies</v>
      </c>
      <c r="N5847" s="7" t="str">
        <f aca="false">IF(B5847="Movie",IFERROR(VALUE(LEFT(I5847,FIND(" ",I5847)-1)),""),"")</f>
        <v/>
      </c>
      <c r="O5847" s="7" t="n">
        <f aca="false">IF(B5847="TV Show",IFERROR(VALUE(LEFT(I5847,FIND(" ",I5847)-1)),""),"")</f>
        <v>3</v>
      </c>
      <c r="P5847" s="7" t="n">
        <f aca="false">IF(K5847="","",K5847-G5847)</f>
        <v>0</v>
      </c>
    </row>
    <row r="5848" customFormat="false" ht="15" hidden="false" customHeight="false" outlineLevel="0" collapsed="false">
      <c r="A5848" s="7" t="n">
        <v>80099753</v>
      </c>
      <c r="B5848" s="7" t="s">
        <v>78</v>
      </c>
      <c r="C5848" s="7" t="s">
        <v>11614</v>
      </c>
      <c r="E5848" s="7" t="s">
        <v>454</v>
      </c>
      <c r="F5848" s="7" t="s">
        <v>11611</v>
      </c>
      <c r="G5848" s="7" t="n">
        <v>2018</v>
      </c>
      <c r="H5848" s="7" t="s">
        <v>48</v>
      </c>
      <c r="I5848" s="7" t="s">
        <v>11148</v>
      </c>
      <c r="J5848" s="7" t="s">
        <v>344</v>
      </c>
      <c r="K5848" s="7" t="n">
        <f aca="false">IFERROR(VALUE(RIGHT(TRIM(F5848),4)),"")</f>
        <v>2019</v>
      </c>
      <c r="L5848" s="7" t="str">
        <f aca="false">IF(TRIM(E5848)="","Unknown",IFERROR(LEFT(TRIM(E5848),FIND(",",TRIM(E5848))-1),TRIM(E5848)))</f>
        <v>France</v>
      </c>
      <c r="M5848" s="7" t="str">
        <f aca="false">IFERROR(LEFT(J5848,FIND(",",J5848)-1),J5848)</f>
        <v>International TV Shows</v>
      </c>
      <c r="N5848" s="7" t="str">
        <f aca="false">IF(B5848="Movie",IFERROR(VALUE(LEFT(I5848,FIND(" ",I5848)-1)),""),"")</f>
        <v/>
      </c>
      <c r="O5848" s="7" t="n">
        <f aca="false">IF(B5848="TV Show",IFERROR(VALUE(LEFT(I5848,FIND(" ",I5848)-1)),""),"")</f>
        <v>3</v>
      </c>
      <c r="P5848" s="7" t="n">
        <f aca="false">IF(K5848="","",K5848-G5848)</f>
        <v>1</v>
      </c>
    </row>
    <row r="5849" customFormat="false" ht="15" hidden="false" customHeight="false" outlineLevel="0" collapsed="false">
      <c r="A5849" s="7" t="n">
        <v>80195839</v>
      </c>
      <c r="B5849" s="7" t="s">
        <v>78</v>
      </c>
      <c r="C5849" s="7" t="s">
        <v>11615</v>
      </c>
      <c r="F5849" s="7" t="s">
        <v>11616</v>
      </c>
      <c r="G5849" s="7" t="n">
        <v>2018</v>
      </c>
      <c r="H5849" s="7" t="s">
        <v>50</v>
      </c>
      <c r="I5849" s="7" t="s">
        <v>11132</v>
      </c>
      <c r="J5849" s="7" t="s">
        <v>3844</v>
      </c>
      <c r="K5849" s="7" t="n">
        <f aca="false">IFERROR(VALUE(RIGHT(TRIM(F5849),4)),"")</f>
        <v>2018</v>
      </c>
      <c r="L5849" s="7" t="str">
        <f aca="false">IF(TRIM(E5849)="","Unknown",IFERROR(LEFT(TRIM(E5849),FIND(",",TRIM(E5849))-1),TRIM(E5849)))</f>
        <v>Unknown</v>
      </c>
      <c r="M5849" s="7" t="str">
        <f aca="false">IFERROR(LEFT(J5849,FIND(",",J5849)-1),J5849)</f>
        <v>International TV Shows</v>
      </c>
      <c r="N5849" s="7" t="str">
        <f aca="false">IF(B5849="Movie",IFERROR(VALUE(LEFT(I5849,FIND(" ",I5849)-1)),""),"")</f>
        <v/>
      </c>
      <c r="O5849" s="7" t="n">
        <f aca="false">IF(B5849="TV Show",IFERROR(VALUE(LEFT(I5849,FIND(" ",I5849)-1)),""),"")</f>
        <v>2</v>
      </c>
      <c r="P5849" s="7" t="n">
        <f aca="false">IF(K5849="","",K5849-G5849)</f>
        <v>0</v>
      </c>
    </row>
    <row r="5850" customFormat="false" ht="15" hidden="false" customHeight="false" outlineLevel="0" collapsed="false">
      <c r="A5850" s="7" t="n">
        <v>80174280</v>
      </c>
      <c r="B5850" s="7" t="s">
        <v>78</v>
      </c>
      <c r="C5850" s="7" t="s">
        <v>11617</v>
      </c>
      <c r="E5850" s="7" t="s">
        <v>30</v>
      </c>
      <c r="F5850" s="7" t="s">
        <v>11618</v>
      </c>
      <c r="G5850" s="7" t="n">
        <v>2018</v>
      </c>
      <c r="H5850" s="7" t="s">
        <v>48</v>
      </c>
      <c r="I5850" s="7" t="s">
        <v>11132</v>
      </c>
      <c r="J5850" s="7" t="s">
        <v>7284</v>
      </c>
      <c r="K5850" s="7" t="n">
        <f aca="false">IFERROR(VALUE(RIGHT(TRIM(F5850),4)),"")</f>
        <v>2019</v>
      </c>
      <c r="L5850" s="7" t="str">
        <f aca="false">IF(TRIM(E5850)="","Unknown",IFERROR(LEFT(TRIM(E5850),FIND(",",TRIM(E5850))-1),TRIM(E5850)))</f>
        <v>Japan</v>
      </c>
      <c r="M5850" s="7" t="str">
        <f aca="false">IFERROR(LEFT(J5850,FIND(",",J5850)-1),J5850)</f>
        <v>International TV Shows</v>
      </c>
      <c r="N5850" s="7" t="str">
        <f aca="false">IF(B5850="Movie",IFERROR(VALUE(LEFT(I5850,FIND(" ",I5850)-1)),""),"")</f>
        <v/>
      </c>
      <c r="O5850" s="7" t="n">
        <f aca="false">IF(B5850="TV Show",IFERROR(VALUE(LEFT(I5850,FIND(" ",I5850)-1)),""),"")</f>
        <v>2</v>
      </c>
      <c r="P5850" s="7" t="n">
        <f aca="false">IF(K5850="","",K5850-G5850)</f>
        <v>1</v>
      </c>
    </row>
    <row r="5851" customFormat="false" ht="15" hidden="false" customHeight="false" outlineLevel="0" collapsed="false">
      <c r="A5851" s="7" t="n">
        <v>80178687</v>
      </c>
      <c r="B5851" s="7" t="s">
        <v>78</v>
      </c>
      <c r="C5851" s="7" t="s">
        <v>11619</v>
      </c>
      <c r="E5851" s="7" t="s">
        <v>26</v>
      </c>
      <c r="F5851" s="7" t="s">
        <v>11620</v>
      </c>
      <c r="G5851" s="7" t="n">
        <v>2019</v>
      </c>
      <c r="H5851" s="7" t="s">
        <v>49</v>
      </c>
      <c r="I5851" s="7" t="s">
        <v>11132</v>
      </c>
      <c r="J5851" s="7" t="s">
        <v>846</v>
      </c>
      <c r="K5851" s="7" t="n">
        <f aca="false">IFERROR(VALUE(RIGHT(TRIM(F5851),4)),"")</f>
        <v>2019</v>
      </c>
      <c r="L5851" s="7" t="str">
        <f aca="false">IF(TRIM(E5851)="","Unknown",IFERROR(LEFT(TRIM(E5851),FIND(",",TRIM(E5851))-1),TRIM(E5851)))</f>
        <v>United States</v>
      </c>
      <c r="M5851" s="7" t="str">
        <f aca="false">IFERROR(LEFT(J5851,FIND(",",J5851)-1),J5851)</f>
        <v>TV Action &amp; Adventure</v>
      </c>
      <c r="N5851" s="7" t="str">
        <f aca="false">IF(B5851="Movie",IFERROR(VALUE(LEFT(I5851,FIND(" ",I5851)-1)),""),"")</f>
        <v/>
      </c>
      <c r="O5851" s="7" t="n">
        <f aca="false">IF(B5851="TV Show",IFERROR(VALUE(LEFT(I5851,FIND(" ",I5851)-1)),""),"")</f>
        <v>2</v>
      </c>
      <c r="P5851" s="7" t="n">
        <f aca="false">IF(K5851="","",K5851-G5851)</f>
        <v>0</v>
      </c>
    </row>
    <row r="5852" customFormat="false" ht="15" hidden="false" customHeight="false" outlineLevel="0" collapsed="false">
      <c r="A5852" s="7" t="n">
        <v>80021955</v>
      </c>
      <c r="B5852" s="7" t="s">
        <v>78</v>
      </c>
      <c r="C5852" s="7" t="s">
        <v>11621</v>
      </c>
      <c r="E5852" s="7" t="s">
        <v>26</v>
      </c>
      <c r="F5852" s="7" t="s">
        <v>11622</v>
      </c>
      <c r="G5852" s="7" t="n">
        <v>2017</v>
      </c>
      <c r="H5852" s="7" t="s">
        <v>48</v>
      </c>
      <c r="I5852" s="7" t="s">
        <v>11148</v>
      </c>
      <c r="J5852" s="7" t="s">
        <v>553</v>
      </c>
      <c r="K5852" s="7" t="n">
        <f aca="false">IFERROR(VALUE(RIGHT(TRIM(F5852),4)),"")</f>
        <v>2018</v>
      </c>
      <c r="L5852" s="7" t="str">
        <f aca="false">IF(TRIM(E5852)="","Unknown",IFERROR(LEFT(TRIM(E5852),FIND(",",TRIM(E5852))-1),TRIM(E5852)))</f>
        <v>United States</v>
      </c>
      <c r="M5852" s="7" t="str">
        <f aca="false">IFERROR(LEFT(J5852,FIND(",",J5852)-1),J5852)</f>
        <v>Crime TV Shows</v>
      </c>
      <c r="N5852" s="7" t="str">
        <f aca="false">IF(B5852="Movie",IFERROR(VALUE(LEFT(I5852,FIND(" ",I5852)-1)),""),"")</f>
        <v/>
      </c>
      <c r="O5852" s="7" t="n">
        <f aca="false">IF(B5852="TV Show",IFERROR(VALUE(LEFT(I5852,FIND(" ",I5852)-1)),""),"")</f>
        <v>3</v>
      </c>
      <c r="P5852" s="7" t="n">
        <f aca="false">IF(K5852="","",K5852-G5852)</f>
        <v>1</v>
      </c>
    </row>
    <row r="5853" customFormat="false" ht="15" hidden="false" customHeight="false" outlineLevel="0" collapsed="false">
      <c r="A5853" s="7" t="n">
        <v>80022276</v>
      </c>
      <c r="B5853" s="7" t="s">
        <v>78</v>
      </c>
      <c r="C5853" s="7" t="s">
        <v>11623</v>
      </c>
      <c r="E5853" s="7" t="s">
        <v>2033</v>
      </c>
      <c r="F5853" s="7" t="s">
        <v>11624</v>
      </c>
      <c r="G5853" s="7" t="n">
        <v>2017</v>
      </c>
      <c r="H5853" s="7" t="s">
        <v>55</v>
      </c>
      <c r="I5853" s="7" t="s">
        <v>11132</v>
      </c>
      <c r="J5853" s="7" t="s">
        <v>4493</v>
      </c>
      <c r="K5853" s="7" t="n">
        <f aca="false">IFERROR(VALUE(RIGHT(TRIM(F5853),4)),"")</f>
        <v>2017</v>
      </c>
      <c r="L5853" s="7" t="str">
        <f aca="false">IF(TRIM(E5853)="","Unknown",IFERROR(LEFT(TRIM(E5853),FIND(",",TRIM(E5853))-1),TRIM(E5853)))</f>
        <v>United States</v>
      </c>
      <c r="M5853" s="7" t="str">
        <f aca="false">IFERROR(LEFT(J5853,FIND(",",J5853)-1),J5853)</f>
        <v>British TV Shows</v>
      </c>
      <c r="N5853" s="7" t="str">
        <f aca="false">IF(B5853="Movie",IFERROR(VALUE(LEFT(I5853,FIND(" ",I5853)-1)),""),"")</f>
        <v/>
      </c>
      <c r="O5853" s="7" t="n">
        <f aca="false">IF(B5853="TV Show",IFERROR(VALUE(LEFT(I5853,FIND(" ",I5853)-1)),""),"")</f>
        <v>2</v>
      </c>
      <c r="P5853" s="7" t="n">
        <f aca="false">IF(K5853="","",K5853-G5853)</f>
        <v>0</v>
      </c>
    </row>
    <row r="5854" customFormat="false" ht="15" hidden="false" customHeight="false" outlineLevel="0" collapsed="false">
      <c r="A5854" s="7" t="n">
        <v>80044950</v>
      </c>
      <c r="B5854" s="7" t="s">
        <v>78</v>
      </c>
      <c r="C5854" s="7" t="s">
        <v>11625</v>
      </c>
      <c r="E5854" s="7" t="s">
        <v>26</v>
      </c>
      <c r="F5854" s="7" t="s">
        <v>11626</v>
      </c>
      <c r="G5854" s="7" t="n">
        <v>2019</v>
      </c>
      <c r="H5854" s="7" t="s">
        <v>48</v>
      </c>
      <c r="I5854" s="7" t="s">
        <v>11132</v>
      </c>
      <c r="J5854" s="7" t="s">
        <v>10792</v>
      </c>
      <c r="K5854" s="7" t="n">
        <f aca="false">IFERROR(VALUE(RIGHT(TRIM(F5854),4)),"")</f>
        <v>2019</v>
      </c>
      <c r="L5854" s="7" t="str">
        <f aca="false">IF(TRIM(E5854)="","Unknown",IFERROR(LEFT(TRIM(E5854),FIND(",",TRIM(E5854))-1),TRIM(E5854)))</f>
        <v>United States</v>
      </c>
      <c r="M5854" s="7" t="str">
        <f aca="false">IFERROR(LEFT(J5854,FIND(",",J5854)-1),J5854)</f>
        <v>TV Dramas</v>
      </c>
      <c r="N5854" s="7" t="str">
        <f aca="false">IF(B5854="Movie",IFERROR(VALUE(LEFT(I5854,FIND(" ",I5854)-1)),""),"")</f>
        <v/>
      </c>
      <c r="O5854" s="7" t="n">
        <f aca="false">IF(B5854="TV Show",IFERROR(VALUE(LEFT(I5854,FIND(" ",I5854)-1)),""),"")</f>
        <v>2</v>
      </c>
      <c r="P5854" s="7" t="n">
        <f aca="false">IF(K5854="","",K5854-G5854)</f>
        <v>0</v>
      </c>
    </row>
    <row r="5855" customFormat="false" ht="15" hidden="false" customHeight="false" outlineLevel="0" collapsed="false">
      <c r="A5855" s="7" t="n">
        <v>70136135</v>
      </c>
      <c r="B5855" s="7" t="s">
        <v>78</v>
      </c>
      <c r="C5855" s="7" t="s">
        <v>11627</v>
      </c>
      <c r="E5855" s="7" t="s">
        <v>26</v>
      </c>
      <c r="F5855" s="7" t="s">
        <v>11628</v>
      </c>
      <c r="G5855" s="7" t="n">
        <v>2014</v>
      </c>
      <c r="H5855" s="7" t="s">
        <v>49</v>
      </c>
      <c r="I5855" s="7" t="s">
        <v>11152</v>
      </c>
      <c r="J5855" s="7" t="s">
        <v>2704</v>
      </c>
      <c r="K5855" s="7" t="n">
        <f aca="false">IFERROR(VALUE(RIGHT(TRIM(F5855),4)),"")</f>
        <v>2015</v>
      </c>
      <c r="L5855" s="7" t="str">
        <f aca="false">IF(TRIM(E5855)="","Unknown",IFERROR(LEFT(TRIM(E5855),FIND(",",TRIM(E5855))-1),TRIM(E5855)))</f>
        <v>United States</v>
      </c>
      <c r="M5855" s="7" t="str">
        <f aca="false">IFERROR(LEFT(J5855,FIND(",",J5855)-1),J5855)</f>
        <v>TV Dramas</v>
      </c>
      <c r="N5855" s="7" t="str">
        <f aca="false">IF(B5855="Movie",IFERROR(VALUE(LEFT(I5855,FIND(" ",I5855)-1)),""),"")</f>
        <v/>
      </c>
      <c r="O5855" s="7" t="n">
        <f aca="false">IF(B5855="TV Show",IFERROR(VALUE(LEFT(I5855,FIND(" ",I5855)-1)),""),"")</f>
        <v>7</v>
      </c>
      <c r="P5855" s="7" t="n">
        <f aca="false">IF(K5855="","",K5855-G5855)</f>
        <v>1</v>
      </c>
    </row>
    <row r="5856" customFormat="false" ht="15" hidden="false" customHeight="false" outlineLevel="0" collapsed="false">
      <c r="A5856" s="7" t="n">
        <v>70136114</v>
      </c>
      <c r="B5856" s="7" t="s">
        <v>78</v>
      </c>
      <c r="C5856" s="7" t="s">
        <v>11629</v>
      </c>
      <c r="E5856" s="7" t="s">
        <v>619</v>
      </c>
      <c r="F5856" s="7" t="s">
        <v>11630</v>
      </c>
      <c r="G5856" s="7" t="n">
        <v>2009</v>
      </c>
      <c r="H5856" s="7" t="s">
        <v>48</v>
      </c>
      <c r="I5856" s="7" t="s">
        <v>11198</v>
      </c>
      <c r="J5856" s="7" t="s">
        <v>8541</v>
      </c>
      <c r="K5856" s="7" t="n">
        <f aca="false">IFERROR(VALUE(RIGHT(TRIM(F5856),4)),"")</f>
        <v>2018</v>
      </c>
      <c r="L5856" s="7" t="str">
        <f aca="false">IF(TRIM(E5856)="","Unknown",IFERROR(LEFT(TRIM(E5856),FIND(",",TRIM(E5856))-1),TRIM(E5856)))</f>
        <v>Canada</v>
      </c>
      <c r="M5856" s="7" t="str">
        <f aca="false">IFERROR(LEFT(J5856,FIND(",",J5856)-1),J5856)</f>
        <v>Romantic TV Shows</v>
      </c>
      <c r="N5856" s="7" t="str">
        <f aca="false">IF(B5856="Movie",IFERROR(VALUE(LEFT(I5856,FIND(" ",I5856)-1)),""),"")</f>
        <v/>
      </c>
      <c r="O5856" s="7" t="n">
        <f aca="false">IF(B5856="TV Show",IFERROR(VALUE(LEFT(I5856,FIND(" ",I5856)-1)),""),"")</f>
        <v>6</v>
      </c>
      <c r="P5856" s="7" t="n">
        <f aca="false">IF(K5856="","",K5856-G5856)</f>
        <v>9</v>
      </c>
    </row>
    <row r="5857" customFormat="false" ht="15" hidden="false" customHeight="false" outlineLevel="0" collapsed="false">
      <c r="A5857" s="7" t="n">
        <v>80175685</v>
      </c>
      <c r="B5857" s="7" t="s">
        <v>78</v>
      </c>
      <c r="C5857" s="7" t="s">
        <v>11631</v>
      </c>
      <c r="E5857" s="7" t="s">
        <v>26</v>
      </c>
      <c r="F5857" s="7" t="s">
        <v>11630</v>
      </c>
      <c r="G5857" s="7" t="n">
        <v>2018</v>
      </c>
      <c r="H5857" s="7" t="s">
        <v>48</v>
      </c>
      <c r="I5857" s="7" t="s">
        <v>11132</v>
      </c>
      <c r="J5857" s="7" t="s">
        <v>795</v>
      </c>
      <c r="K5857" s="7" t="n">
        <f aca="false">IFERROR(VALUE(RIGHT(TRIM(F5857),4)),"")</f>
        <v>2018</v>
      </c>
      <c r="L5857" s="7" t="str">
        <f aca="false">IF(TRIM(E5857)="","Unknown",IFERROR(LEFT(TRIM(E5857),FIND(",",TRIM(E5857))-1),TRIM(E5857)))</f>
        <v>United States</v>
      </c>
      <c r="M5857" s="7" t="str">
        <f aca="false">IFERROR(LEFT(J5857,FIND(",",J5857)-1),J5857)</f>
        <v>Stand-Up Comedy &amp; Talk Shows</v>
      </c>
      <c r="N5857" s="7" t="str">
        <f aca="false">IF(B5857="Movie",IFERROR(VALUE(LEFT(I5857,FIND(" ",I5857)-1)),""),"")</f>
        <v/>
      </c>
      <c r="O5857" s="7" t="n">
        <f aca="false">IF(B5857="TV Show",IFERROR(VALUE(LEFT(I5857,FIND(" ",I5857)-1)),""),"")</f>
        <v>2</v>
      </c>
      <c r="P5857" s="7" t="n">
        <f aca="false">IF(K5857="","",K5857-G5857)</f>
        <v>0</v>
      </c>
    </row>
    <row r="5858" customFormat="false" ht="15" hidden="false" customHeight="false" outlineLevel="0" collapsed="false">
      <c r="A5858" s="7" t="n">
        <v>80170109</v>
      </c>
      <c r="B5858" s="7" t="s">
        <v>78</v>
      </c>
      <c r="C5858" s="7" t="s">
        <v>11632</v>
      </c>
      <c r="E5858" s="7" t="s">
        <v>97</v>
      </c>
      <c r="F5858" s="7" t="s">
        <v>11633</v>
      </c>
      <c r="G5858" s="7" t="n">
        <v>2013</v>
      </c>
      <c r="H5858" s="7" t="s">
        <v>48</v>
      </c>
      <c r="I5858" s="7" t="s">
        <v>11132</v>
      </c>
      <c r="J5858" s="7" t="s">
        <v>824</v>
      </c>
      <c r="K5858" s="7" t="n">
        <f aca="false">IFERROR(VALUE(RIGHT(TRIM(F5858),4)),"")</f>
        <v>2017</v>
      </c>
      <c r="L5858" s="7" t="str">
        <f aca="false">IF(TRIM(E5858)="","Unknown",IFERROR(LEFT(TRIM(E5858),FIND(",",TRIM(E5858))-1),TRIM(E5858)))</f>
        <v>Chile</v>
      </c>
      <c r="M5858" s="7" t="str">
        <f aca="false">IFERROR(LEFT(J5858,FIND(",",J5858)-1),J5858)</f>
        <v>International TV Shows</v>
      </c>
      <c r="N5858" s="7" t="str">
        <f aca="false">IF(B5858="Movie",IFERROR(VALUE(LEFT(I5858,FIND(" ",I5858)-1)),""),"")</f>
        <v/>
      </c>
      <c r="O5858" s="7" t="n">
        <f aca="false">IF(B5858="TV Show",IFERROR(VALUE(LEFT(I5858,FIND(" ",I5858)-1)),""),"")</f>
        <v>2</v>
      </c>
      <c r="P5858" s="7" t="n">
        <f aca="false">IF(K5858="","",K5858-G5858)</f>
        <v>4</v>
      </c>
    </row>
    <row r="5859" customFormat="false" ht="15" hidden="false" customHeight="false" outlineLevel="0" collapsed="false">
      <c r="A5859" s="7" t="n">
        <v>80156047</v>
      </c>
      <c r="B5859" s="7" t="s">
        <v>78</v>
      </c>
      <c r="C5859" s="7" t="s">
        <v>11634</v>
      </c>
      <c r="E5859" s="7" t="s">
        <v>35</v>
      </c>
      <c r="F5859" s="7" t="s">
        <v>11635</v>
      </c>
      <c r="G5859" s="7" t="n">
        <v>2015</v>
      </c>
      <c r="H5859" s="7" t="s">
        <v>49</v>
      </c>
      <c r="I5859" s="7" t="s">
        <v>11148</v>
      </c>
      <c r="J5859" s="7" t="s">
        <v>701</v>
      </c>
      <c r="K5859" s="7" t="n">
        <f aca="false">IFERROR(VALUE(RIGHT(TRIM(F5859),4)),"")</f>
        <v>2017</v>
      </c>
      <c r="L5859" s="7" t="str">
        <f aca="false">IF(TRIM(E5859)="","Unknown",IFERROR(LEFT(TRIM(E5859),FIND(",",TRIM(E5859))-1),TRIM(E5859)))</f>
        <v>Australia</v>
      </c>
      <c r="M5859" s="7" t="str">
        <f aca="false">IFERROR(LEFT(J5859,FIND(",",J5859)-1),J5859)</f>
        <v>Reality TV</v>
      </c>
      <c r="N5859" s="7" t="str">
        <f aca="false">IF(B5859="Movie",IFERROR(VALUE(LEFT(I5859,FIND(" ",I5859)-1)),""),"")</f>
        <v/>
      </c>
      <c r="O5859" s="7" t="n">
        <f aca="false">IF(B5859="TV Show",IFERROR(VALUE(LEFT(I5859,FIND(" ",I5859)-1)),""),"")</f>
        <v>3</v>
      </c>
      <c r="P5859" s="7" t="n">
        <f aca="false">IF(K5859="","",K5859-G5859)</f>
        <v>2</v>
      </c>
    </row>
    <row r="5860" customFormat="false" ht="15" hidden="false" customHeight="false" outlineLevel="0" collapsed="false">
      <c r="A5860" s="7" t="n">
        <v>80138030</v>
      </c>
      <c r="B5860" s="7" t="s">
        <v>78</v>
      </c>
      <c r="C5860" s="7" t="s">
        <v>11636</v>
      </c>
      <c r="E5860" s="7" t="s">
        <v>11637</v>
      </c>
      <c r="F5860" s="7" t="s">
        <v>11638</v>
      </c>
      <c r="G5860" s="7" t="n">
        <v>2018</v>
      </c>
      <c r="H5860" s="7" t="s">
        <v>226</v>
      </c>
      <c r="I5860" s="7" t="s">
        <v>11148</v>
      </c>
      <c r="J5860" s="7" t="s">
        <v>191</v>
      </c>
      <c r="K5860" s="7" t="n">
        <f aca="false">IFERROR(VALUE(RIGHT(TRIM(F5860),4)),"")</f>
        <v>2019</v>
      </c>
      <c r="L5860" s="7" t="str">
        <f aca="false">IF(TRIM(E5860)="","Unknown",IFERROR(LEFT(TRIM(E5860),FIND(",",TRIM(E5860))-1),TRIM(E5860)))</f>
        <v>Finland</v>
      </c>
      <c r="M5860" s="7" t="str">
        <f aca="false">IFERROR(LEFT(J5860,FIND(",",J5860)-1),J5860)</f>
        <v>Kids' TV</v>
      </c>
      <c r="N5860" s="7" t="str">
        <f aca="false">IF(B5860="Movie",IFERROR(VALUE(LEFT(I5860,FIND(" ",I5860)-1)),""),"")</f>
        <v/>
      </c>
      <c r="O5860" s="7" t="n">
        <f aca="false">IF(B5860="TV Show",IFERROR(VALUE(LEFT(I5860,FIND(" ",I5860)-1)),""),"")</f>
        <v>3</v>
      </c>
      <c r="P5860" s="7" t="n">
        <f aca="false">IF(K5860="","",K5860-G5860)</f>
        <v>1</v>
      </c>
    </row>
    <row r="5861" customFormat="false" ht="15" hidden="false" customHeight="false" outlineLevel="0" collapsed="false">
      <c r="A5861" s="7" t="n">
        <v>80007225</v>
      </c>
      <c r="B5861" s="7" t="s">
        <v>78</v>
      </c>
      <c r="C5861" s="7" t="s">
        <v>11639</v>
      </c>
      <c r="E5861" s="7" t="s">
        <v>28</v>
      </c>
      <c r="F5861" s="7" t="s">
        <v>11640</v>
      </c>
      <c r="G5861" s="7" t="n">
        <v>2016</v>
      </c>
      <c r="H5861" s="7" t="s">
        <v>48</v>
      </c>
      <c r="I5861" s="7" t="s">
        <v>11132</v>
      </c>
      <c r="J5861" s="7" t="s">
        <v>563</v>
      </c>
      <c r="K5861" s="7" t="n">
        <f aca="false">IFERROR(VALUE(RIGHT(TRIM(F5861),4)),"")</f>
        <v>2016</v>
      </c>
      <c r="L5861" s="7" t="str">
        <f aca="false">IF(TRIM(E5861)="","Unknown",IFERROR(LEFT(TRIM(E5861),FIND(",",TRIM(E5861))-1),TRIM(E5861)))</f>
        <v>United Kingdom</v>
      </c>
      <c r="M5861" s="7" t="str">
        <f aca="false">IFERROR(LEFT(J5861,FIND(",",J5861)-1),J5861)</f>
        <v>British TV Shows</v>
      </c>
      <c r="N5861" s="7" t="str">
        <f aca="false">IF(B5861="Movie",IFERROR(VALUE(LEFT(I5861,FIND(" ",I5861)-1)),""),"")</f>
        <v/>
      </c>
      <c r="O5861" s="7" t="n">
        <f aca="false">IF(B5861="TV Show",IFERROR(VALUE(LEFT(I5861,FIND(" ",I5861)-1)),""),"")</f>
        <v>2</v>
      </c>
      <c r="P5861" s="7" t="n">
        <f aca="false">IF(K5861="","",K5861-G5861)</f>
        <v>0</v>
      </c>
    </row>
    <row r="5862" customFormat="false" ht="15" hidden="false" customHeight="false" outlineLevel="0" collapsed="false">
      <c r="A5862" s="7" t="n">
        <v>80029103</v>
      </c>
      <c r="B5862" s="7" t="s">
        <v>78</v>
      </c>
      <c r="C5862" s="7" t="s">
        <v>11641</v>
      </c>
      <c r="E5862" s="7" t="s">
        <v>26</v>
      </c>
      <c r="F5862" s="7" t="s">
        <v>11642</v>
      </c>
      <c r="G5862" s="7" t="n">
        <v>2016</v>
      </c>
      <c r="H5862" s="7" t="s">
        <v>226</v>
      </c>
      <c r="I5862" s="7" t="s">
        <v>11148</v>
      </c>
      <c r="J5862" s="7" t="s">
        <v>100</v>
      </c>
      <c r="K5862" s="7" t="n">
        <f aca="false">IFERROR(VALUE(RIGHT(TRIM(F5862),4)),"")</f>
        <v>2019</v>
      </c>
      <c r="L5862" s="7" t="str">
        <f aca="false">IF(TRIM(E5862)="","Unknown",IFERROR(LEFT(TRIM(E5862),FIND(",",TRIM(E5862))-1),TRIM(E5862)))</f>
        <v>United States</v>
      </c>
      <c r="M5862" s="7" t="str">
        <f aca="false">IFERROR(LEFT(J5862,FIND(",",J5862)-1),J5862)</f>
        <v>Docuseries</v>
      </c>
      <c r="N5862" s="7" t="str">
        <f aca="false">IF(B5862="Movie",IFERROR(VALUE(LEFT(I5862,FIND(" ",I5862)-1)),""),"")</f>
        <v/>
      </c>
      <c r="O5862" s="7" t="n">
        <f aca="false">IF(B5862="TV Show",IFERROR(VALUE(LEFT(I5862,FIND(" ",I5862)-1)),""),"")</f>
        <v>3</v>
      </c>
      <c r="P5862" s="7" t="n">
        <f aca="false">IF(K5862="","",K5862-G5862)</f>
        <v>3</v>
      </c>
    </row>
    <row r="5863" customFormat="false" ht="15" hidden="false" customHeight="false" outlineLevel="0" collapsed="false">
      <c r="A5863" s="7" t="n">
        <v>80036140</v>
      </c>
      <c r="B5863" s="7" t="s">
        <v>78</v>
      </c>
      <c r="C5863" s="7" t="s">
        <v>11643</v>
      </c>
      <c r="E5863" s="7" t="s">
        <v>1397</v>
      </c>
      <c r="F5863" s="7" t="s">
        <v>11642</v>
      </c>
      <c r="G5863" s="7" t="n">
        <v>2018</v>
      </c>
      <c r="H5863" s="7" t="s">
        <v>49</v>
      </c>
      <c r="I5863" s="7" t="s">
        <v>11132</v>
      </c>
      <c r="J5863" s="7" t="s">
        <v>89</v>
      </c>
      <c r="K5863" s="7" t="n">
        <f aca="false">IFERROR(VALUE(RIGHT(TRIM(F5863),4)),"")</f>
        <v>2019</v>
      </c>
      <c r="L5863" s="7" t="str">
        <f aca="false">IF(TRIM(E5863)="","Unknown",IFERROR(LEFT(TRIM(E5863),FIND(",",TRIM(E5863))-1),TRIM(E5863)))</f>
        <v>Colombia</v>
      </c>
      <c r="M5863" s="7" t="str">
        <f aca="false">IFERROR(LEFT(J5863,FIND(",",J5863)-1),J5863)</f>
        <v>Crime TV Shows</v>
      </c>
      <c r="N5863" s="7" t="str">
        <f aca="false">IF(B5863="Movie",IFERROR(VALUE(LEFT(I5863,FIND(" ",I5863)-1)),""),"")</f>
        <v/>
      </c>
      <c r="O5863" s="7" t="n">
        <f aca="false">IF(B5863="TV Show",IFERROR(VALUE(LEFT(I5863,FIND(" ",I5863)-1)),""),"")</f>
        <v>2</v>
      </c>
      <c r="P5863" s="7" t="n">
        <f aca="false">IF(K5863="","",K5863-G5863)</f>
        <v>1</v>
      </c>
    </row>
    <row r="5864" customFormat="false" ht="15" hidden="false" customHeight="false" outlineLevel="0" collapsed="false">
      <c r="A5864" s="7" t="n">
        <v>80147920</v>
      </c>
      <c r="B5864" s="7" t="s">
        <v>78</v>
      </c>
      <c r="C5864" s="7" t="s">
        <v>11644</v>
      </c>
      <c r="E5864" s="7" t="s">
        <v>28</v>
      </c>
      <c r="F5864" s="7" t="s">
        <v>11642</v>
      </c>
      <c r="G5864" s="7" t="n">
        <v>2018</v>
      </c>
      <c r="H5864" s="7" t="s">
        <v>81</v>
      </c>
      <c r="I5864" s="7" t="s">
        <v>11132</v>
      </c>
      <c r="J5864" s="7" t="s">
        <v>4493</v>
      </c>
      <c r="K5864" s="7" t="n">
        <f aca="false">IFERROR(VALUE(RIGHT(TRIM(F5864),4)),"")</f>
        <v>2019</v>
      </c>
      <c r="L5864" s="7" t="str">
        <f aca="false">IF(TRIM(E5864)="","Unknown",IFERROR(LEFT(TRIM(E5864),FIND(",",TRIM(E5864))-1),TRIM(E5864)))</f>
        <v>United Kingdom</v>
      </c>
      <c r="M5864" s="7" t="str">
        <f aca="false">IFERROR(LEFT(J5864,FIND(",",J5864)-1),J5864)</f>
        <v>British TV Shows</v>
      </c>
      <c r="N5864" s="7" t="str">
        <f aca="false">IF(B5864="Movie",IFERROR(VALUE(LEFT(I5864,FIND(" ",I5864)-1)),""),"")</f>
        <v/>
      </c>
      <c r="O5864" s="7" t="n">
        <f aca="false">IF(B5864="TV Show",IFERROR(VALUE(LEFT(I5864,FIND(" ",I5864)-1)),""),"")</f>
        <v>2</v>
      </c>
      <c r="P5864" s="7" t="n">
        <f aca="false">IF(K5864="","",K5864-G5864)</f>
        <v>1</v>
      </c>
    </row>
    <row r="5865" customFormat="false" ht="15" hidden="false" customHeight="false" outlineLevel="0" collapsed="false">
      <c r="A5865" s="7" t="n">
        <v>80212301</v>
      </c>
      <c r="B5865" s="7" t="s">
        <v>78</v>
      </c>
      <c r="C5865" s="7" t="s">
        <v>11645</v>
      </c>
      <c r="E5865" s="7" t="s">
        <v>30</v>
      </c>
      <c r="F5865" s="7" t="s">
        <v>11646</v>
      </c>
      <c r="G5865" s="7" t="n">
        <v>2018</v>
      </c>
      <c r="H5865" s="7" t="s">
        <v>49</v>
      </c>
      <c r="I5865" s="7" t="s">
        <v>11198</v>
      </c>
      <c r="J5865" s="7" t="s">
        <v>884</v>
      </c>
      <c r="K5865" s="7" t="n">
        <f aca="false">IFERROR(VALUE(RIGHT(TRIM(F5865),4)),"")</f>
        <v>2019</v>
      </c>
      <c r="L5865" s="7" t="str">
        <f aca="false">IF(TRIM(E5865)="","Unknown",IFERROR(LEFT(TRIM(E5865),FIND(",",TRIM(E5865))-1),TRIM(E5865)))</f>
        <v>Japan</v>
      </c>
      <c r="M5865" s="7" t="str">
        <f aca="false">IFERROR(LEFT(J5865,FIND(",",J5865)-1),J5865)</f>
        <v>International TV Shows</v>
      </c>
      <c r="N5865" s="7" t="str">
        <f aca="false">IF(B5865="Movie",IFERROR(VALUE(LEFT(I5865,FIND(" ",I5865)-1)),""),"")</f>
        <v/>
      </c>
      <c r="O5865" s="7" t="n">
        <f aca="false">IF(B5865="TV Show",IFERROR(VALUE(LEFT(I5865,FIND(" ",I5865)-1)),""),"")</f>
        <v>6</v>
      </c>
      <c r="P5865" s="7" t="n">
        <f aca="false">IF(K5865="","",K5865-G5865)</f>
        <v>1</v>
      </c>
    </row>
    <row r="5866" customFormat="false" ht="15" hidden="false" customHeight="false" outlineLevel="0" collapsed="false">
      <c r="A5866" s="7" t="n">
        <v>80067617</v>
      </c>
      <c r="B5866" s="7" t="s">
        <v>78</v>
      </c>
      <c r="C5866" s="7" t="s">
        <v>11647</v>
      </c>
      <c r="E5866" s="7" t="s">
        <v>26</v>
      </c>
      <c r="F5866" s="7" t="s">
        <v>11648</v>
      </c>
      <c r="G5866" s="7" t="n">
        <v>2018</v>
      </c>
      <c r="H5866" s="7" t="s">
        <v>53</v>
      </c>
      <c r="I5866" s="7" t="s">
        <v>11148</v>
      </c>
      <c r="J5866" s="7" t="s">
        <v>11649</v>
      </c>
      <c r="K5866" s="7" t="n">
        <f aca="false">IFERROR(VALUE(RIGHT(TRIM(F5866),4)),"")</f>
        <v>2019</v>
      </c>
      <c r="L5866" s="7" t="str">
        <f aca="false">IF(TRIM(E5866)="","Unknown",IFERROR(LEFT(TRIM(E5866),FIND(",",TRIM(E5866))-1),TRIM(E5866)))</f>
        <v>United States</v>
      </c>
      <c r="M5866" s="7" t="str">
        <f aca="false">IFERROR(LEFT(J5866,FIND(",",J5866)-1),J5866)</f>
        <v>TV Action &amp; Adventure</v>
      </c>
      <c r="N5866" s="7" t="str">
        <f aca="false">IF(B5866="Movie",IFERROR(VALUE(LEFT(I5866,FIND(" ",I5866)-1)),""),"")</f>
        <v/>
      </c>
      <c r="O5866" s="7" t="n">
        <f aca="false">IF(B5866="TV Show",IFERROR(VALUE(LEFT(I5866,FIND(" ",I5866)-1)),""),"")</f>
        <v>3</v>
      </c>
      <c r="P5866" s="7" t="n">
        <f aca="false">IF(K5866="","",K5866-G5866)</f>
        <v>1</v>
      </c>
    </row>
    <row r="5867" customFormat="false" ht="15" hidden="false" customHeight="false" outlineLevel="0" collapsed="false">
      <c r="A5867" s="7" t="n">
        <v>80208052</v>
      </c>
      <c r="B5867" s="7" t="s">
        <v>78</v>
      </c>
      <c r="C5867" s="7" t="s">
        <v>11650</v>
      </c>
      <c r="F5867" s="7" t="s">
        <v>11651</v>
      </c>
      <c r="G5867" s="7" t="n">
        <v>2018</v>
      </c>
      <c r="H5867" s="7" t="s">
        <v>226</v>
      </c>
      <c r="I5867" s="7" t="s">
        <v>11148</v>
      </c>
      <c r="J5867" s="7" t="s">
        <v>191</v>
      </c>
      <c r="K5867" s="7" t="n">
        <f aca="false">IFERROR(VALUE(RIGHT(TRIM(F5867),4)),"")</f>
        <v>2019</v>
      </c>
      <c r="L5867" s="7" t="str">
        <f aca="false">IF(TRIM(E5867)="","Unknown",IFERROR(LEFT(TRIM(E5867),FIND(",",TRIM(E5867))-1),TRIM(E5867)))</f>
        <v>Unknown</v>
      </c>
      <c r="M5867" s="7" t="str">
        <f aca="false">IFERROR(LEFT(J5867,FIND(",",J5867)-1),J5867)</f>
        <v>Kids' TV</v>
      </c>
      <c r="N5867" s="7" t="str">
        <f aca="false">IF(B5867="Movie",IFERROR(VALUE(LEFT(I5867,FIND(" ",I5867)-1)),""),"")</f>
        <v/>
      </c>
      <c r="O5867" s="7" t="n">
        <f aca="false">IF(B5867="TV Show",IFERROR(VALUE(LEFT(I5867,FIND(" ",I5867)-1)),""),"")</f>
        <v>3</v>
      </c>
      <c r="P5867" s="7" t="n">
        <f aca="false">IF(K5867="","",K5867-G5867)</f>
        <v>1</v>
      </c>
    </row>
    <row r="5868" customFormat="false" ht="15" hidden="false" customHeight="false" outlineLevel="0" collapsed="false">
      <c r="A5868" s="7" t="n">
        <v>80991329</v>
      </c>
      <c r="B5868" s="7" t="s">
        <v>78</v>
      </c>
      <c r="C5868" s="7" t="s">
        <v>11652</v>
      </c>
      <c r="F5868" s="7" t="s">
        <v>11651</v>
      </c>
      <c r="G5868" s="7" t="n">
        <v>2019</v>
      </c>
      <c r="H5868" s="7" t="s">
        <v>55</v>
      </c>
      <c r="I5868" s="7" t="s">
        <v>11132</v>
      </c>
      <c r="J5868" s="7" t="s">
        <v>11653</v>
      </c>
      <c r="K5868" s="7" t="n">
        <f aca="false">IFERROR(VALUE(RIGHT(TRIM(F5868),4)),"")</f>
        <v>2019</v>
      </c>
      <c r="L5868" s="7" t="str">
        <f aca="false">IF(TRIM(E5868)="","Unknown",IFERROR(LEFT(TRIM(E5868),FIND(",",TRIM(E5868))-1),TRIM(E5868)))</f>
        <v>Unknown</v>
      </c>
      <c r="M5868" s="7" t="str">
        <f aca="false">IFERROR(LEFT(J5868,FIND(",",J5868)-1),J5868)</f>
        <v>Kids' TV</v>
      </c>
      <c r="N5868" s="7" t="str">
        <f aca="false">IF(B5868="Movie",IFERROR(VALUE(LEFT(I5868,FIND(" ",I5868)-1)),""),"")</f>
        <v/>
      </c>
      <c r="O5868" s="7" t="n">
        <f aca="false">IF(B5868="TV Show",IFERROR(VALUE(LEFT(I5868,FIND(" ",I5868)-1)),""),"")</f>
        <v>2</v>
      </c>
      <c r="P5868" s="7" t="n">
        <f aca="false">IF(K5868="","",K5868-G5868)</f>
        <v>0</v>
      </c>
    </row>
    <row r="5869" customFormat="false" ht="15" hidden="false" customHeight="false" outlineLevel="0" collapsed="false">
      <c r="A5869" s="7" t="n">
        <v>80207879</v>
      </c>
      <c r="B5869" s="7" t="s">
        <v>78</v>
      </c>
      <c r="C5869" s="7" t="s">
        <v>11654</v>
      </c>
      <c r="D5869" s="7" t="s">
        <v>11655</v>
      </c>
      <c r="E5869" s="7" t="s">
        <v>27</v>
      </c>
      <c r="F5869" s="7" t="s">
        <v>11651</v>
      </c>
      <c r="G5869" s="7" t="n">
        <v>2017</v>
      </c>
      <c r="H5869" s="7" t="s">
        <v>226</v>
      </c>
      <c r="I5869" s="7" t="s">
        <v>11155</v>
      </c>
      <c r="J5869" s="7" t="s">
        <v>191</v>
      </c>
      <c r="K5869" s="7" t="n">
        <f aca="false">IFERROR(VALUE(RIGHT(TRIM(F5869),4)),"")</f>
        <v>2019</v>
      </c>
      <c r="L5869" s="7" t="str">
        <f aca="false">IF(TRIM(E5869)="","Unknown",IFERROR(LEFT(TRIM(E5869),FIND(",",TRIM(E5869))-1),TRIM(E5869)))</f>
        <v>India</v>
      </c>
      <c r="M5869" s="7" t="str">
        <f aca="false">IFERROR(LEFT(J5869,FIND(",",J5869)-1),J5869)</f>
        <v>Kids' TV</v>
      </c>
      <c r="N5869" s="7" t="str">
        <f aca="false">IF(B5869="Movie",IFERROR(VALUE(LEFT(I5869,FIND(" ",I5869)-1)),""),"")</f>
        <v/>
      </c>
      <c r="O5869" s="7" t="n">
        <f aca="false">IF(B5869="TV Show",IFERROR(VALUE(LEFT(I5869,FIND(" ",I5869)-1)),""),"")</f>
        <v>4</v>
      </c>
      <c r="P5869" s="7" t="n">
        <f aca="false">IF(K5869="","",K5869-G5869)</f>
        <v>2</v>
      </c>
    </row>
    <row r="5870" customFormat="false" ht="15" hidden="false" customHeight="false" outlineLevel="0" collapsed="false">
      <c r="A5870" s="7" t="n">
        <v>80117781</v>
      </c>
      <c r="B5870" s="7" t="s">
        <v>78</v>
      </c>
      <c r="C5870" s="7" t="s">
        <v>11656</v>
      </c>
      <c r="E5870" s="7" t="s">
        <v>30</v>
      </c>
      <c r="F5870" s="7" t="s">
        <v>11651</v>
      </c>
      <c r="G5870" s="7" t="n">
        <v>2018</v>
      </c>
      <c r="H5870" s="7" t="s">
        <v>49</v>
      </c>
      <c r="I5870" s="7" t="s">
        <v>11148</v>
      </c>
      <c r="J5870" s="7" t="s">
        <v>3042</v>
      </c>
      <c r="K5870" s="7" t="n">
        <f aca="false">IFERROR(VALUE(RIGHT(TRIM(F5870),4)),"")</f>
        <v>2019</v>
      </c>
      <c r="L5870" s="7" t="str">
        <f aca="false">IF(TRIM(E5870)="","Unknown",IFERROR(LEFT(TRIM(E5870),FIND(",",TRIM(E5870))-1),TRIM(E5870)))</f>
        <v>Japan</v>
      </c>
      <c r="M5870" s="7" t="str">
        <f aca="false">IFERROR(LEFT(J5870,FIND(",",J5870)-1),J5870)</f>
        <v>Anime Series</v>
      </c>
      <c r="N5870" s="7" t="str">
        <f aca="false">IF(B5870="Movie",IFERROR(VALUE(LEFT(I5870,FIND(" ",I5870)-1)),""),"")</f>
        <v/>
      </c>
      <c r="O5870" s="7" t="n">
        <f aca="false">IF(B5870="TV Show",IFERROR(VALUE(LEFT(I5870,FIND(" ",I5870)-1)),""),"")</f>
        <v>3</v>
      </c>
      <c r="P5870" s="7" t="n">
        <f aca="false">IF(K5870="","",K5870-G5870)</f>
        <v>1</v>
      </c>
    </row>
    <row r="5871" customFormat="false" ht="15" hidden="false" customHeight="false" outlineLevel="0" collapsed="false">
      <c r="A5871" s="7" t="n">
        <v>80091689</v>
      </c>
      <c r="B5871" s="7" t="s">
        <v>78</v>
      </c>
      <c r="C5871" s="7" t="s">
        <v>11657</v>
      </c>
      <c r="E5871" s="7" t="s">
        <v>28</v>
      </c>
      <c r="F5871" s="7" t="s">
        <v>11658</v>
      </c>
      <c r="G5871" s="7" t="n">
        <v>2017</v>
      </c>
      <c r="H5871" s="7" t="s">
        <v>48</v>
      </c>
      <c r="I5871" s="7" t="s">
        <v>11148</v>
      </c>
      <c r="J5871" s="7" t="s">
        <v>668</v>
      </c>
      <c r="K5871" s="7" t="n">
        <f aca="false">IFERROR(VALUE(RIGHT(TRIM(F5871),4)),"")</f>
        <v>2018</v>
      </c>
      <c r="L5871" s="7" t="str">
        <f aca="false">IF(TRIM(E5871)="","Unknown",IFERROR(LEFT(TRIM(E5871),FIND(",",TRIM(E5871))-1),TRIM(E5871)))</f>
        <v>United Kingdom</v>
      </c>
      <c r="M5871" s="7" t="str">
        <f aca="false">IFERROR(LEFT(J5871,FIND(",",J5871)-1),J5871)</f>
        <v>British TV Shows</v>
      </c>
      <c r="N5871" s="7" t="str">
        <f aca="false">IF(B5871="Movie",IFERROR(VALUE(LEFT(I5871,FIND(" ",I5871)-1)),""),"")</f>
        <v/>
      </c>
      <c r="O5871" s="7" t="n">
        <f aca="false">IF(B5871="TV Show",IFERROR(VALUE(LEFT(I5871,FIND(" ",I5871)-1)),""),"")</f>
        <v>3</v>
      </c>
      <c r="P5871" s="7" t="n">
        <f aca="false">IF(K5871="","",K5871-G5871)</f>
        <v>1</v>
      </c>
    </row>
    <row r="5872" customFormat="false" ht="15" hidden="false" customHeight="false" outlineLevel="0" collapsed="false">
      <c r="A5872" s="7" t="n">
        <v>80003149</v>
      </c>
      <c r="B5872" s="7" t="s">
        <v>78</v>
      </c>
      <c r="C5872" s="7" t="s">
        <v>11659</v>
      </c>
      <c r="E5872" s="7" t="s">
        <v>26</v>
      </c>
      <c r="F5872" s="7" t="s">
        <v>11660</v>
      </c>
      <c r="G5872" s="7" t="n">
        <v>2016</v>
      </c>
      <c r="H5872" s="7" t="s">
        <v>50</v>
      </c>
      <c r="I5872" s="7" t="s">
        <v>11148</v>
      </c>
      <c r="J5872" s="7" t="s">
        <v>164</v>
      </c>
      <c r="K5872" s="7" t="n">
        <f aca="false">IFERROR(VALUE(RIGHT(TRIM(F5872),4)),"")</f>
        <v>2017</v>
      </c>
      <c r="L5872" s="7" t="str">
        <f aca="false">IF(TRIM(E5872)="","Unknown",IFERROR(LEFT(TRIM(E5872),FIND(",",TRIM(E5872))-1),TRIM(E5872)))</f>
        <v>United States</v>
      </c>
      <c r="M5872" s="7" t="str">
        <f aca="false">IFERROR(LEFT(J5872,FIND(",",J5872)-1),J5872)</f>
        <v>Docuseries</v>
      </c>
      <c r="N5872" s="7" t="str">
        <f aca="false">IF(B5872="Movie",IFERROR(VALUE(LEFT(I5872,FIND(" ",I5872)-1)),""),"")</f>
        <v/>
      </c>
      <c r="O5872" s="7" t="n">
        <f aca="false">IF(B5872="TV Show",IFERROR(VALUE(LEFT(I5872,FIND(" ",I5872)-1)),""),"")</f>
        <v>3</v>
      </c>
      <c r="P5872" s="7" t="n">
        <f aca="false">IF(K5872="","",K5872-G5872)</f>
        <v>1</v>
      </c>
    </row>
    <row r="5873" customFormat="false" ht="15" hidden="false" customHeight="false" outlineLevel="0" collapsed="false">
      <c r="A5873" s="7" t="n">
        <v>80094728</v>
      </c>
      <c r="B5873" s="7" t="s">
        <v>78</v>
      </c>
      <c r="C5873" s="7" t="s">
        <v>11661</v>
      </c>
      <c r="E5873" s="7" t="s">
        <v>28</v>
      </c>
      <c r="F5873" s="7" t="s">
        <v>11662</v>
      </c>
      <c r="G5873" s="7" t="n">
        <v>2017</v>
      </c>
      <c r="H5873" s="7" t="s">
        <v>48</v>
      </c>
      <c r="I5873" s="7" t="s">
        <v>11132</v>
      </c>
      <c r="J5873" s="7" t="s">
        <v>563</v>
      </c>
      <c r="K5873" s="7" t="n">
        <f aca="false">IFERROR(VALUE(RIGHT(TRIM(F5873),4)),"")</f>
        <v>2018</v>
      </c>
      <c r="L5873" s="7" t="str">
        <f aca="false">IF(TRIM(E5873)="","Unknown",IFERROR(LEFT(TRIM(E5873),FIND(",",TRIM(E5873))-1),TRIM(E5873)))</f>
        <v>United Kingdom</v>
      </c>
      <c r="M5873" s="7" t="str">
        <f aca="false">IFERROR(LEFT(J5873,FIND(",",J5873)-1),J5873)</f>
        <v>British TV Shows</v>
      </c>
      <c r="N5873" s="7" t="str">
        <f aca="false">IF(B5873="Movie",IFERROR(VALUE(LEFT(I5873,FIND(" ",I5873)-1)),""),"")</f>
        <v/>
      </c>
      <c r="O5873" s="7" t="n">
        <f aca="false">IF(B5873="TV Show",IFERROR(VALUE(LEFT(I5873,FIND(" ",I5873)-1)),""),"")</f>
        <v>2</v>
      </c>
      <c r="P5873" s="7" t="n">
        <f aca="false">IF(K5873="","",K5873-G5873)</f>
        <v>1</v>
      </c>
    </row>
    <row r="5874" customFormat="false" ht="15" hidden="false" customHeight="false" outlineLevel="0" collapsed="false">
      <c r="A5874" s="7" t="n">
        <v>80074220</v>
      </c>
      <c r="B5874" s="7" t="s">
        <v>78</v>
      </c>
      <c r="C5874" s="7" t="s">
        <v>11663</v>
      </c>
      <c r="E5874" s="7" t="s">
        <v>325</v>
      </c>
      <c r="F5874" s="7" t="s">
        <v>11664</v>
      </c>
      <c r="G5874" s="7" t="n">
        <v>2019</v>
      </c>
      <c r="H5874" s="7" t="s">
        <v>48</v>
      </c>
      <c r="I5874" s="7" t="s">
        <v>11148</v>
      </c>
      <c r="J5874" s="7" t="s">
        <v>3542</v>
      </c>
      <c r="K5874" s="7" t="n">
        <f aca="false">IFERROR(VALUE(RIGHT(TRIM(F5874),4)),"")</f>
        <v>2019</v>
      </c>
      <c r="L5874" s="7" t="str">
        <f aca="false">IF(TRIM(E5874)="","Unknown",IFERROR(LEFT(TRIM(E5874),FIND(",",TRIM(E5874))-1),TRIM(E5874)))</f>
        <v>Brazil</v>
      </c>
      <c r="M5874" s="7" t="str">
        <f aca="false">IFERROR(LEFT(J5874,FIND(",",J5874)-1),J5874)</f>
        <v>International TV Shows</v>
      </c>
      <c r="N5874" s="7" t="str">
        <f aca="false">IF(B5874="Movie",IFERROR(VALUE(LEFT(I5874,FIND(" ",I5874)-1)),""),"")</f>
        <v/>
      </c>
      <c r="O5874" s="7" t="n">
        <f aca="false">IF(B5874="TV Show",IFERROR(VALUE(LEFT(I5874,FIND(" ",I5874)-1)),""),"")</f>
        <v>3</v>
      </c>
      <c r="P5874" s="7" t="n">
        <f aca="false">IF(K5874="","",K5874-G5874)</f>
        <v>0</v>
      </c>
    </row>
    <row r="5875" customFormat="false" ht="15" hidden="false" customHeight="false" outlineLevel="0" collapsed="false">
      <c r="A5875" s="7" t="n">
        <v>80113647</v>
      </c>
      <c r="B5875" s="7" t="s">
        <v>78</v>
      </c>
      <c r="C5875" s="7" t="s">
        <v>11665</v>
      </c>
      <c r="E5875" s="7" t="s">
        <v>26</v>
      </c>
      <c r="F5875" s="7" t="s">
        <v>11664</v>
      </c>
      <c r="G5875" s="7" t="n">
        <v>2019</v>
      </c>
      <c r="H5875" s="7" t="s">
        <v>49</v>
      </c>
      <c r="I5875" s="7" t="s">
        <v>11148</v>
      </c>
      <c r="J5875" s="7" t="s">
        <v>4370</v>
      </c>
      <c r="K5875" s="7" t="n">
        <f aca="false">IFERROR(VALUE(RIGHT(TRIM(F5875),4)),"")</f>
        <v>2019</v>
      </c>
      <c r="L5875" s="7" t="str">
        <f aca="false">IF(TRIM(E5875)="","Unknown",IFERROR(LEFT(TRIM(E5875),FIND(",",TRIM(E5875))-1),TRIM(E5875)))</f>
        <v>United States</v>
      </c>
      <c r="M5875" s="7" t="str">
        <f aca="false">IFERROR(LEFT(J5875,FIND(",",J5875)-1),J5875)</f>
        <v>Crime TV Shows</v>
      </c>
      <c r="N5875" s="7" t="str">
        <f aca="false">IF(B5875="Movie",IFERROR(VALUE(LEFT(I5875,FIND(" ",I5875)-1)),""),"")</f>
        <v/>
      </c>
      <c r="O5875" s="7" t="n">
        <f aca="false">IF(B5875="TV Show",IFERROR(VALUE(LEFT(I5875,FIND(" ",I5875)-1)),""),"")</f>
        <v>3</v>
      </c>
      <c r="P5875" s="7" t="n">
        <f aca="false">IF(K5875="","",K5875-G5875)</f>
        <v>0</v>
      </c>
    </row>
    <row r="5876" customFormat="false" ht="15" hidden="false" customHeight="false" outlineLevel="0" collapsed="false">
      <c r="A5876" s="7" t="n">
        <v>70281323</v>
      </c>
      <c r="B5876" s="7" t="s">
        <v>78</v>
      </c>
      <c r="C5876" s="7" t="s">
        <v>11666</v>
      </c>
      <c r="E5876" s="7" t="s">
        <v>26</v>
      </c>
      <c r="F5876" s="7" t="s">
        <v>11667</v>
      </c>
      <c r="G5876" s="7" t="n">
        <v>2017</v>
      </c>
      <c r="H5876" s="7" t="s">
        <v>49</v>
      </c>
      <c r="I5876" s="7" t="s">
        <v>11155</v>
      </c>
      <c r="J5876" s="7" t="s">
        <v>2704</v>
      </c>
      <c r="K5876" s="7" t="n">
        <f aca="false">IFERROR(VALUE(RIGHT(TRIM(F5876),4)),"")</f>
        <v>2018</v>
      </c>
      <c r="L5876" s="7" t="str">
        <f aca="false">IF(TRIM(E5876)="","Unknown",IFERROR(LEFT(TRIM(E5876),FIND(",",TRIM(E5876))-1),TRIM(E5876)))</f>
        <v>United States</v>
      </c>
      <c r="M5876" s="7" t="str">
        <f aca="false">IFERROR(LEFT(J5876,FIND(",",J5876)-1),J5876)</f>
        <v>TV Dramas</v>
      </c>
      <c r="N5876" s="7" t="str">
        <f aca="false">IF(B5876="Movie",IFERROR(VALUE(LEFT(I5876,FIND(" ",I5876)-1)),""),"")</f>
        <v/>
      </c>
      <c r="O5876" s="7" t="n">
        <f aca="false">IF(B5876="TV Show",IFERROR(VALUE(LEFT(I5876,FIND(" ",I5876)-1)),""),"")</f>
        <v>4</v>
      </c>
      <c r="P5876" s="7" t="n">
        <f aca="false">IF(K5876="","",K5876-G5876)</f>
        <v>1</v>
      </c>
    </row>
    <row r="5877" customFormat="false" ht="15" hidden="false" customHeight="false" outlineLevel="0" collapsed="false">
      <c r="A5877" s="7" t="n">
        <v>70264888</v>
      </c>
      <c r="B5877" s="7" t="s">
        <v>78</v>
      </c>
      <c r="C5877" s="7" t="s">
        <v>11668</v>
      </c>
      <c r="E5877" s="7" t="s">
        <v>28</v>
      </c>
      <c r="F5877" s="7" t="s">
        <v>11669</v>
      </c>
      <c r="G5877" s="7" t="n">
        <v>2019</v>
      </c>
      <c r="H5877" s="7" t="s">
        <v>48</v>
      </c>
      <c r="I5877" s="7" t="s">
        <v>11135</v>
      </c>
      <c r="J5877" s="7" t="s">
        <v>4544</v>
      </c>
      <c r="K5877" s="7" t="n">
        <f aca="false">IFERROR(VALUE(RIGHT(TRIM(F5877),4)),"")</f>
        <v>2019</v>
      </c>
      <c r="L5877" s="7" t="str">
        <f aca="false">IF(TRIM(E5877)="","Unknown",IFERROR(LEFT(TRIM(E5877),FIND(",",TRIM(E5877))-1),TRIM(E5877)))</f>
        <v>United Kingdom</v>
      </c>
      <c r="M5877" s="7" t="str">
        <f aca="false">IFERROR(LEFT(J5877,FIND(",",J5877)-1),J5877)</f>
        <v>British TV Shows</v>
      </c>
      <c r="N5877" s="7" t="str">
        <f aca="false">IF(B5877="Movie",IFERROR(VALUE(LEFT(I5877,FIND(" ",I5877)-1)),""),"")</f>
        <v/>
      </c>
      <c r="O5877" s="7" t="n">
        <f aca="false">IF(B5877="TV Show",IFERROR(VALUE(LEFT(I5877,FIND(" ",I5877)-1)),""),"")</f>
        <v>5</v>
      </c>
      <c r="P5877" s="7" t="n">
        <f aca="false">IF(K5877="","",K5877-G5877)</f>
        <v>0</v>
      </c>
    </row>
    <row r="5878" customFormat="false" ht="15" hidden="false" customHeight="false" outlineLevel="0" collapsed="false">
      <c r="A5878" s="7" t="n">
        <v>80024232</v>
      </c>
      <c r="B5878" s="7" t="s">
        <v>78</v>
      </c>
      <c r="C5878" s="7" t="s">
        <v>11670</v>
      </c>
      <c r="E5878" s="7" t="s">
        <v>26</v>
      </c>
      <c r="F5878" s="7" t="s">
        <v>11671</v>
      </c>
      <c r="G5878" s="7" t="n">
        <v>2019</v>
      </c>
      <c r="H5878" s="7" t="s">
        <v>49</v>
      </c>
      <c r="I5878" s="7" t="s">
        <v>11135</v>
      </c>
      <c r="J5878" s="7" t="s">
        <v>2704</v>
      </c>
      <c r="K5878" s="7" t="n">
        <f aca="false">IFERROR(VALUE(RIGHT(TRIM(F5878),4)),"")</f>
        <v>2019</v>
      </c>
      <c r="L5878" s="7" t="str">
        <f aca="false">IF(TRIM(E5878)="","Unknown",IFERROR(LEFT(TRIM(E5878),FIND(",",TRIM(E5878))-1),TRIM(E5878)))</f>
        <v>United States</v>
      </c>
      <c r="M5878" s="7" t="str">
        <f aca="false">IFERROR(LEFT(J5878,FIND(",",J5878)-1),J5878)</f>
        <v>TV Dramas</v>
      </c>
      <c r="N5878" s="7" t="str">
        <f aca="false">IF(B5878="Movie",IFERROR(VALUE(LEFT(I5878,FIND(" ",I5878)-1)),""),"")</f>
        <v/>
      </c>
      <c r="O5878" s="7" t="n">
        <f aca="false">IF(B5878="TV Show",IFERROR(VALUE(LEFT(I5878,FIND(" ",I5878)-1)),""),"")</f>
        <v>5</v>
      </c>
      <c r="P5878" s="7" t="n">
        <f aca="false">IF(K5878="","",K5878-G5878)</f>
        <v>0</v>
      </c>
    </row>
    <row r="5879" customFormat="false" ht="15" hidden="false" customHeight="false" outlineLevel="0" collapsed="false">
      <c r="A5879" s="7" t="n">
        <v>70157266</v>
      </c>
      <c r="B5879" s="7" t="s">
        <v>78</v>
      </c>
      <c r="C5879" s="7" t="s">
        <v>11672</v>
      </c>
      <c r="E5879" s="7" t="s">
        <v>26</v>
      </c>
      <c r="F5879" s="7" t="s">
        <v>11671</v>
      </c>
      <c r="G5879" s="7" t="n">
        <v>2011</v>
      </c>
      <c r="H5879" s="7" t="s">
        <v>48</v>
      </c>
      <c r="I5879" s="7" t="s">
        <v>11132</v>
      </c>
      <c r="J5879" s="7" t="s">
        <v>1431</v>
      </c>
      <c r="K5879" s="7" t="n">
        <f aca="false">IFERROR(VALUE(RIGHT(TRIM(F5879),4)),"")</f>
        <v>2019</v>
      </c>
      <c r="L5879" s="7" t="str">
        <f aca="false">IF(TRIM(E5879)="","Unknown",IFERROR(LEFT(TRIM(E5879),FIND(",",TRIM(E5879))-1),TRIM(E5879)))</f>
        <v>United States</v>
      </c>
      <c r="M5879" s="7" t="str">
        <f aca="false">IFERROR(LEFT(J5879,FIND(",",J5879)-1),J5879)</f>
        <v>Reality TV</v>
      </c>
      <c r="N5879" s="7" t="str">
        <f aca="false">IF(B5879="Movie",IFERROR(VALUE(LEFT(I5879,FIND(" ",I5879)-1)),""),"")</f>
        <v/>
      </c>
      <c r="O5879" s="7" t="n">
        <f aca="false">IF(B5879="TV Show",IFERROR(VALUE(LEFT(I5879,FIND(" ",I5879)-1)),""),"")</f>
        <v>2</v>
      </c>
      <c r="P5879" s="7" t="n">
        <f aca="false">IF(K5879="","",K5879-G5879)</f>
        <v>8</v>
      </c>
    </row>
    <row r="5880" customFormat="false" ht="15" hidden="false" customHeight="false" outlineLevel="0" collapsed="false">
      <c r="A5880" s="7" t="n">
        <v>80210887</v>
      </c>
      <c r="B5880" s="7" t="s">
        <v>78</v>
      </c>
      <c r="C5880" s="7" t="s">
        <v>11673</v>
      </c>
      <c r="E5880" s="7" t="s">
        <v>167</v>
      </c>
      <c r="F5880" s="7" t="s">
        <v>11674</v>
      </c>
      <c r="G5880" s="7" t="n">
        <v>2015</v>
      </c>
      <c r="H5880" s="7" t="s">
        <v>49</v>
      </c>
      <c r="I5880" s="7" t="s">
        <v>11148</v>
      </c>
      <c r="J5880" s="7" t="s">
        <v>314</v>
      </c>
      <c r="K5880" s="7" t="n">
        <f aca="false">IFERROR(VALUE(RIGHT(TRIM(F5880),4)),"")</f>
        <v>2018</v>
      </c>
      <c r="L5880" s="7" t="str">
        <f aca="false">IF(TRIM(E5880)="","Unknown",IFERROR(LEFT(TRIM(E5880),FIND(",",TRIM(E5880))-1),TRIM(E5880)))</f>
        <v>Thailand</v>
      </c>
      <c r="M5880" s="7" t="str">
        <f aca="false">IFERROR(LEFT(J5880,FIND(",",J5880)-1),J5880)</f>
        <v>International TV Shows</v>
      </c>
      <c r="N5880" s="7" t="str">
        <f aca="false">IF(B5880="Movie",IFERROR(VALUE(LEFT(I5880,FIND(" ",I5880)-1)),""),"")</f>
        <v/>
      </c>
      <c r="O5880" s="7" t="n">
        <f aca="false">IF(B5880="TV Show",IFERROR(VALUE(LEFT(I5880,FIND(" ",I5880)-1)),""),"")</f>
        <v>3</v>
      </c>
      <c r="P5880" s="7" t="n">
        <f aca="false">IF(K5880="","",K5880-G5880)</f>
        <v>3</v>
      </c>
    </row>
    <row r="5881" customFormat="false" ht="15" hidden="false" customHeight="false" outlineLevel="0" collapsed="false">
      <c r="A5881" s="7" t="n">
        <v>70153390</v>
      </c>
      <c r="B5881" s="7" t="s">
        <v>78</v>
      </c>
      <c r="C5881" s="7" t="s">
        <v>11675</v>
      </c>
      <c r="E5881" s="7" t="s">
        <v>230</v>
      </c>
      <c r="F5881" s="7" t="s">
        <v>11676</v>
      </c>
      <c r="G5881" s="7" t="n">
        <v>2017</v>
      </c>
      <c r="H5881" s="7" t="s">
        <v>49</v>
      </c>
      <c r="I5881" s="7" t="s">
        <v>11609</v>
      </c>
      <c r="J5881" s="7" t="s">
        <v>282</v>
      </c>
      <c r="K5881" s="7" t="n">
        <f aca="false">IFERROR(VALUE(RIGHT(TRIM(F5881),4)),"")</f>
        <v>2017</v>
      </c>
      <c r="L5881" s="7" t="str">
        <f aca="false">IF(TRIM(E5881)="","Unknown",IFERROR(LEFT(TRIM(E5881),FIND(",",TRIM(E5881))-1),TRIM(E5881)))</f>
        <v>United States</v>
      </c>
      <c r="M5881" s="7" t="str">
        <f aca="false">IFERROR(LEFT(J5881,FIND(",",J5881)-1),J5881)</f>
        <v>Crime TV Shows</v>
      </c>
      <c r="N5881" s="7" t="str">
        <f aca="false">IF(B5881="Movie",IFERROR(VALUE(LEFT(I5881,FIND(" ",I5881)-1)),""),"")</f>
        <v/>
      </c>
      <c r="O5881" s="7" t="n">
        <f aca="false">IF(B5881="TV Show",IFERROR(VALUE(LEFT(I5881,FIND(" ",I5881)-1)),""),"")</f>
        <v>12</v>
      </c>
      <c r="P5881" s="7" t="n">
        <f aca="false">IF(K5881="","",K5881-G5881)</f>
        <v>0</v>
      </c>
    </row>
    <row r="5882" customFormat="false" ht="15" hidden="false" customHeight="false" outlineLevel="0" collapsed="false">
      <c r="A5882" s="7" t="n">
        <v>80156387</v>
      </c>
      <c r="B5882" s="7" t="s">
        <v>78</v>
      </c>
      <c r="C5882" s="7" t="s">
        <v>11677</v>
      </c>
      <c r="E5882" s="7" t="s">
        <v>30</v>
      </c>
      <c r="F5882" s="7" t="s">
        <v>11676</v>
      </c>
      <c r="G5882" s="7" t="n">
        <v>2017</v>
      </c>
      <c r="H5882" s="7" t="s">
        <v>55</v>
      </c>
      <c r="I5882" s="7" t="s">
        <v>11132</v>
      </c>
      <c r="J5882" s="7" t="s">
        <v>542</v>
      </c>
      <c r="K5882" s="7" t="n">
        <f aca="false">IFERROR(VALUE(RIGHT(TRIM(F5882),4)),"")</f>
        <v>2017</v>
      </c>
      <c r="L5882" s="7" t="str">
        <f aca="false">IF(TRIM(E5882)="","Unknown",IFERROR(LEFT(TRIM(E5882),FIND(",",TRIM(E5882))-1),TRIM(E5882)))</f>
        <v>Japan</v>
      </c>
      <c r="M5882" s="7" t="str">
        <f aca="false">IFERROR(LEFT(J5882,FIND(",",J5882)-1),J5882)</f>
        <v>Anime Series</v>
      </c>
      <c r="N5882" s="7" t="str">
        <f aca="false">IF(B5882="Movie",IFERROR(VALUE(LEFT(I5882,FIND(" ",I5882)-1)),""),"")</f>
        <v/>
      </c>
      <c r="O5882" s="7" t="n">
        <f aca="false">IF(B5882="TV Show",IFERROR(VALUE(LEFT(I5882,FIND(" ",I5882)-1)),""),"")</f>
        <v>2</v>
      </c>
      <c r="P5882" s="7" t="n">
        <f aca="false">IF(K5882="","",K5882-G5882)</f>
        <v>0</v>
      </c>
    </row>
    <row r="5883" customFormat="false" ht="15" hidden="false" customHeight="false" outlineLevel="0" collapsed="false">
      <c r="A5883" s="7" t="n">
        <v>80027772</v>
      </c>
      <c r="B5883" s="7" t="s">
        <v>78</v>
      </c>
      <c r="C5883" s="7" t="s">
        <v>11678</v>
      </c>
      <c r="E5883" s="7" t="s">
        <v>11463</v>
      </c>
      <c r="F5883" s="7" t="s">
        <v>11679</v>
      </c>
      <c r="G5883" s="7" t="n">
        <v>2015</v>
      </c>
      <c r="H5883" s="7" t="s">
        <v>55</v>
      </c>
      <c r="I5883" s="7" t="s">
        <v>11132</v>
      </c>
      <c r="J5883" s="7" t="s">
        <v>191</v>
      </c>
      <c r="K5883" s="7" t="n">
        <f aca="false">IFERROR(VALUE(RIGHT(TRIM(F5883),4)),"")</f>
        <v>2015</v>
      </c>
      <c r="L5883" s="7" t="str">
        <f aca="false">IF(TRIM(E5883)="","Unknown",IFERROR(LEFT(TRIM(E5883),FIND(",",TRIM(E5883))-1),TRIM(E5883)))</f>
        <v>Canada</v>
      </c>
      <c r="M5883" s="7" t="str">
        <f aca="false">IFERROR(LEFT(J5883,FIND(",",J5883)-1),J5883)</f>
        <v>Kids' TV</v>
      </c>
      <c r="N5883" s="7" t="str">
        <f aca="false">IF(B5883="Movie",IFERROR(VALUE(LEFT(I5883,FIND(" ",I5883)-1)),""),"")</f>
        <v/>
      </c>
      <c r="O5883" s="7" t="n">
        <f aca="false">IF(B5883="TV Show",IFERROR(VALUE(LEFT(I5883,FIND(" ",I5883)-1)),""),"")</f>
        <v>2</v>
      </c>
      <c r="P5883" s="7" t="n">
        <f aca="false">IF(K5883="","",K5883-G5883)</f>
        <v>0</v>
      </c>
    </row>
    <row r="5884" customFormat="false" ht="15" hidden="false" customHeight="false" outlineLevel="0" collapsed="false">
      <c r="A5884" s="7" t="n">
        <v>80010778</v>
      </c>
      <c r="B5884" s="7" t="s">
        <v>78</v>
      </c>
      <c r="C5884" s="7" t="s">
        <v>11680</v>
      </c>
      <c r="E5884" s="7" t="s">
        <v>26</v>
      </c>
      <c r="F5884" s="7" t="s">
        <v>11681</v>
      </c>
      <c r="G5884" s="7" t="n">
        <v>2019</v>
      </c>
      <c r="H5884" s="7" t="s">
        <v>49</v>
      </c>
      <c r="I5884" s="7" t="s">
        <v>11148</v>
      </c>
      <c r="J5884" s="7" t="s">
        <v>289</v>
      </c>
      <c r="K5884" s="7" t="n">
        <f aca="false">IFERROR(VALUE(RIGHT(TRIM(F5884),4)),"")</f>
        <v>2019</v>
      </c>
      <c r="L5884" s="7" t="str">
        <f aca="false">IF(TRIM(E5884)="","Unknown",IFERROR(LEFT(TRIM(E5884),FIND(",",TRIM(E5884))-1),TRIM(E5884)))</f>
        <v>United States</v>
      </c>
      <c r="M5884" s="7" t="str">
        <f aca="false">IFERROR(LEFT(J5884,FIND(",",J5884)-1),J5884)</f>
        <v>TV Comedies</v>
      </c>
      <c r="N5884" s="7" t="str">
        <f aca="false">IF(B5884="Movie",IFERROR(VALUE(LEFT(I5884,FIND(" ",I5884)-1)),""),"")</f>
        <v/>
      </c>
      <c r="O5884" s="7" t="n">
        <f aca="false">IF(B5884="TV Show",IFERROR(VALUE(LEFT(I5884,FIND(" ",I5884)-1)),""),"")</f>
        <v>3</v>
      </c>
      <c r="P5884" s="7" t="n">
        <f aca="false">IF(K5884="","",K5884-G5884)</f>
        <v>0</v>
      </c>
    </row>
    <row r="5885" customFormat="false" ht="15" hidden="false" customHeight="false" outlineLevel="0" collapsed="false">
      <c r="A5885" s="7" t="n">
        <v>80179394</v>
      </c>
      <c r="B5885" s="7" t="s">
        <v>78</v>
      </c>
      <c r="C5885" s="7" t="s">
        <v>11682</v>
      </c>
      <c r="E5885" s="7" t="s">
        <v>26</v>
      </c>
      <c r="F5885" s="7" t="s">
        <v>11681</v>
      </c>
      <c r="G5885" s="7" t="n">
        <v>2019</v>
      </c>
      <c r="H5885" s="7" t="s">
        <v>49</v>
      </c>
      <c r="I5885" s="7" t="s">
        <v>11132</v>
      </c>
      <c r="J5885" s="7" t="s">
        <v>2704</v>
      </c>
      <c r="K5885" s="7" t="n">
        <f aca="false">IFERROR(VALUE(RIGHT(TRIM(F5885),4)),"")</f>
        <v>2019</v>
      </c>
      <c r="L5885" s="7" t="str">
        <f aca="false">IF(TRIM(E5885)="","Unknown",IFERROR(LEFT(TRIM(E5885),FIND(",",TRIM(E5885))-1),TRIM(E5885)))</f>
        <v>United States</v>
      </c>
      <c r="M5885" s="7" t="str">
        <f aca="false">IFERROR(LEFT(J5885,FIND(",",J5885)-1),J5885)</f>
        <v>TV Dramas</v>
      </c>
      <c r="N5885" s="7" t="str">
        <f aca="false">IF(B5885="Movie",IFERROR(VALUE(LEFT(I5885,FIND(" ",I5885)-1)),""),"")</f>
        <v/>
      </c>
      <c r="O5885" s="7" t="n">
        <f aca="false">IF(B5885="TV Show",IFERROR(VALUE(LEFT(I5885,FIND(" ",I5885)-1)),""),"")</f>
        <v>2</v>
      </c>
      <c r="P5885" s="7" t="n">
        <f aca="false">IF(K5885="","",K5885-G5885)</f>
        <v>0</v>
      </c>
    </row>
    <row r="5886" customFormat="false" ht="15" hidden="false" customHeight="false" outlineLevel="0" collapsed="false">
      <c r="A5886" s="7" t="n">
        <v>80178726</v>
      </c>
      <c r="B5886" s="7" t="s">
        <v>78</v>
      </c>
      <c r="C5886" s="7" t="s">
        <v>11683</v>
      </c>
      <c r="E5886" s="7" t="s">
        <v>26</v>
      </c>
      <c r="F5886" s="7" t="s">
        <v>11684</v>
      </c>
      <c r="G5886" s="7" t="n">
        <v>2019</v>
      </c>
      <c r="H5886" s="7" t="s">
        <v>48</v>
      </c>
      <c r="I5886" s="7" t="s">
        <v>11148</v>
      </c>
      <c r="J5886" s="7" t="s">
        <v>696</v>
      </c>
      <c r="K5886" s="7" t="n">
        <f aca="false">IFERROR(VALUE(RIGHT(TRIM(F5886),4)),"")</f>
        <v>2019</v>
      </c>
      <c r="L5886" s="7" t="str">
        <f aca="false">IF(TRIM(E5886)="","Unknown",IFERROR(LEFT(TRIM(E5886),FIND(",",TRIM(E5886))-1),TRIM(E5886)))</f>
        <v>United States</v>
      </c>
      <c r="M5886" s="7" t="str">
        <f aca="false">IFERROR(LEFT(J5886,FIND(",",J5886)-1),J5886)</f>
        <v>Crime TV Shows</v>
      </c>
      <c r="N5886" s="7" t="str">
        <f aca="false">IF(B5886="Movie",IFERROR(VALUE(LEFT(I5886,FIND(" ",I5886)-1)),""),"")</f>
        <v/>
      </c>
      <c r="O5886" s="7" t="n">
        <f aca="false">IF(B5886="TV Show",IFERROR(VALUE(LEFT(I5886,FIND(" ",I5886)-1)),""),"")</f>
        <v>3</v>
      </c>
      <c r="P5886" s="7" t="n">
        <f aca="false">IF(K5886="","",K5886-G5886)</f>
        <v>0</v>
      </c>
    </row>
    <row r="5887" customFormat="false" ht="15" hidden="false" customHeight="false" outlineLevel="0" collapsed="false">
      <c r="A5887" s="7" t="n">
        <v>81023011</v>
      </c>
      <c r="B5887" s="7" t="s">
        <v>78</v>
      </c>
      <c r="C5887" s="7" t="s">
        <v>11685</v>
      </c>
      <c r="E5887" s="7" t="s">
        <v>35</v>
      </c>
      <c r="F5887" s="7" t="s">
        <v>11684</v>
      </c>
      <c r="G5887" s="7" t="n">
        <v>2019</v>
      </c>
      <c r="H5887" s="7" t="s">
        <v>48</v>
      </c>
      <c r="I5887" s="7" t="s">
        <v>11132</v>
      </c>
      <c r="J5887" s="7" t="s">
        <v>884</v>
      </c>
      <c r="K5887" s="7" t="n">
        <f aca="false">IFERROR(VALUE(RIGHT(TRIM(F5887),4)),"")</f>
        <v>2019</v>
      </c>
      <c r="L5887" s="7" t="str">
        <f aca="false">IF(TRIM(E5887)="","Unknown",IFERROR(LEFT(TRIM(E5887),FIND(",",TRIM(E5887))-1),TRIM(E5887)))</f>
        <v>Australia</v>
      </c>
      <c r="M5887" s="7" t="str">
        <f aca="false">IFERROR(LEFT(J5887,FIND(",",J5887)-1),J5887)</f>
        <v>International TV Shows</v>
      </c>
      <c r="N5887" s="7" t="str">
        <f aca="false">IF(B5887="Movie",IFERROR(VALUE(LEFT(I5887,FIND(" ",I5887)-1)),""),"")</f>
        <v/>
      </c>
      <c r="O5887" s="7" t="n">
        <f aca="false">IF(B5887="TV Show",IFERROR(VALUE(LEFT(I5887,FIND(" ",I5887)-1)),""),"")</f>
        <v>2</v>
      </c>
      <c r="P5887" s="7" t="n">
        <f aca="false">IF(K5887="","",K5887-G5887)</f>
        <v>0</v>
      </c>
    </row>
    <row r="5888" customFormat="false" ht="15" hidden="false" customHeight="false" outlineLevel="0" collapsed="false">
      <c r="A5888" s="7" t="n">
        <v>80134440</v>
      </c>
      <c r="B5888" s="7" t="s">
        <v>78</v>
      </c>
      <c r="C5888" s="7" t="s">
        <v>11686</v>
      </c>
      <c r="E5888" s="7" t="s">
        <v>1182</v>
      </c>
      <c r="F5888" s="7" t="s">
        <v>11684</v>
      </c>
      <c r="G5888" s="7" t="n">
        <v>2019</v>
      </c>
      <c r="H5888" s="7" t="s">
        <v>119</v>
      </c>
      <c r="I5888" s="7" t="s">
        <v>11132</v>
      </c>
      <c r="J5888" s="7" t="s">
        <v>44</v>
      </c>
      <c r="K5888" s="7" t="n">
        <f aca="false">IFERROR(VALUE(RIGHT(TRIM(F5888),4)),"")</f>
        <v>2019</v>
      </c>
      <c r="L5888" s="7" t="str">
        <f aca="false">IF(TRIM(E5888)="","Unknown",IFERROR(LEFT(TRIM(E5888),FIND(",",TRIM(E5888))-1),TRIM(E5888)))</f>
        <v>Australia</v>
      </c>
      <c r="M5888" s="7" t="str">
        <f aca="false">IFERROR(LEFT(J5888,FIND(",",J5888)-1),J5888)</f>
        <v>Kids' TV</v>
      </c>
      <c r="N5888" s="7" t="str">
        <f aca="false">IF(B5888="Movie",IFERROR(VALUE(LEFT(I5888,FIND(" ",I5888)-1)),""),"")</f>
        <v/>
      </c>
      <c r="O5888" s="7" t="n">
        <f aca="false">IF(B5888="TV Show",IFERROR(VALUE(LEFT(I5888,FIND(" ",I5888)-1)),""),"")</f>
        <v>2</v>
      </c>
      <c r="P5888" s="7" t="n">
        <f aca="false">IF(K5888="","",K5888-G5888)</f>
        <v>0</v>
      </c>
    </row>
    <row r="5889" customFormat="false" ht="15" hidden="false" customHeight="false" outlineLevel="0" collapsed="false">
      <c r="A5889" s="7" t="n">
        <v>80195828</v>
      </c>
      <c r="B5889" s="7" t="s">
        <v>78</v>
      </c>
      <c r="C5889" s="7" t="s">
        <v>11687</v>
      </c>
      <c r="E5889" s="7" t="s">
        <v>33</v>
      </c>
      <c r="F5889" s="7" t="s">
        <v>11684</v>
      </c>
      <c r="G5889" s="7" t="n">
        <v>2018</v>
      </c>
      <c r="H5889" s="7" t="s">
        <v>48</v>
      </c>
      <c r="I5889" s="7" t="s">
        <v>11148</v>
      </c>
      <c r="J5889" s="7" t="s">
        <v>4526</v>
      </c>
      <c r="K5889" s="7" t="n">
        <f aca="false">IFERROR(VALUE(RIGHT(TRIM(F5889),4)),"")</f>
        <v>2019</v>
      </c>
      <c r="L5889" s="7" t="str">
        <f aca="false">IF(TRIM(E5889)="","Unknown",IFERROR(LEFT(TRIM(E5889),FIND(",",TRIM(E5889))-1),TRIM(E5889)))</f>
        <v>Spain</v>
      </c>
      <c r="M5889" s="7" t="str">
        <f aca="false">IFERROR(LEFT(J5889,FIND(",",J5889)-1),J5889)</f>
        <v>International TV Shows</v>
      </c>
      <c r="N5889" s="7" t="str">
        <f aca="false">IF(B5889="Movie",IFERROR(VALUE(LEFT(I5889,FIND(" ",I5889)-1)),""),"")</f>
        <v/>
      </c>
      <c r="O5889" s="7" t="n">
        <f aca="false">IF(B5889="TV Show",IFERROR(VALUE(LEFT(I5889,FIND(" ",I5889)-1)),""),"")</f>
        <v>3</v>
      </c>
      <c r="P5889" s="7" t="n">
        <f aca="false">IF(K5889="","",K5889-G5889)</f>
        <v>1</v>
      </c>
    </row>
    <row r="5890" customFormat="false" ht="15" hidden="false" customHeight="false" outlineLevel="0" collapsed="false">
      <c r="A5890" s="7" t="n">
        <v>80105452</v>
      </c>
      <c r="B5890" s="7" t="s">
        <v>78</v>
      </c>
      <c r="C5890" s="7" t="s">
        <v>11688</v>
      </c>
      <c r="E5890" s="7" t="s">
        <v>10555</v>
      </c>
      <c r="F5890" s="7" t="s">
        <v>11689</v>
      </c>
      <c r="G5890" s="7" t="n">
        <v>2019</v>
      </c>
      <c r="H5890" s="7" t="s">
        <v>48</v>
      </c>
      <c r="I5890" s="7" t="s">
        <v>11148</v>
      </c>
      <c r="J5890" s="7" t="s">
        <v>11184</v>
      </c>
      <c r="K5890" s="7" t="n">
        <f aca="false">IFERROR(VALUE(RIGHT(TRIM(F5890),4)),"")</f>
        <v>2019</v>
      </c>
      <c r="L5890" s="7" t="str">
        <f aca="false">IF(TRIM(E5890)="","Unknown",IFERROR(LEFT(TRIM(E5890),FIND(",",TRIM(E5890))-1),TRIM(E5890)))</f>
        <v>Canada</v>
      </c>
      <c r="M5890" s="7" t="str">
        <f aca="false">IFERROR(LEFT(J5890,FIND(",",J5890)-1),J5890)</f>
        <v>TV Horror</v>
      </c>
      <c r="N5890" s="7" t="str">
        <f aca="false">IF(B5890="Movie",IFERROR(VALUE(LEFT(I5890,FIND(" ",I5890)-1)),""),"")</f>
        <v/>
      </c>
      <c r="O5890" s="7" t="n">
        <f aca="false">IF(B5890="TV Show",IFERROR(VALUE(LEFT(I5890,FIND(" ",I5890)-1)),""),"")</f>
        <v>3</v>
      </c>
      <c r="P5890" s="7" t="n">
        <f aca="false">IF(K5890="","",K5890-G5890)</f>
        <v>0</v>
      </c>
    </row>
    <row r="5891" customFormat="false" ht="15" hidden="false" customHeight="false" outlineLevel="0" collapsed="false">
      <c r="A5891" s="7" t="n">
        <v>80986797</v>
      </c>
      <c r="B5891" s="7" t="s">
        <v>78</v>
      </c>
      <c r="C5891" s="7" t="s">
        <v>11690</v>
      </c>
      <c r="E5891" s="7" t="s">
        <v>30</v>
      </c>
      <c r="F5891" s="7" t="s">
        <v>11691</v>
      </c>
      <c r="G5891" s="7" t="n">
        <v>2019</v>
      </c>
      <c r="H5891" s="7" t="s">
        <v>50</v>
      </c>
      <c r="I5891" s="7" t="s">
        <v>11132</v>
      </c>
      <c r="J5891" s="7" t="s">
        <v>542</v>
      </c>
      <c r="K5891" s="7" t="n">
        <f aca="false">IFERROR(VALUE(RIGHT(TRIM(F5891),4)),"")</f>
        <v>2019</v>
      </c>
      <c r="L5891" s="7" t="str">
        <f aca="false">IF(TRIM(E5891)="","Unknown",IFERROR(LEFT(TRIM(E5891),FIND(",",TRIM(E5891))-1),TRIM(E5891)))</f>
        <v>Japan</v>
      </c>
      <c r="M5891" s="7" t="str">
        <f aca="false">IFERROR(LEFT(J5891,FIND(",",J5891)-1),J5891)</f>
        <v>Anime Series</v>
      </c>
      <c r="N5891" s="7" t="str">
        <f aca="false">IF(B5891="Movie",IFERROR(VALUE(LEFT(I5891,FIND(" ",I5891)-1)),""),"")</f>
        <v/>
      </c>
      <c r="O5891" s="7" t="n">
        <f aca="false">IF(B5891="TV Show",IFERROR(VALUE(LEFT(I5891,FIND(" ",I5891)-1)),""),"")</f>
        <v>2</v>
      </c>
      <c r="P5891" s="7" t="n">
        <f aca="false">IF(K5891="","",K5891-G5891)</f>
        <v>0</v>
      </c>
    </row>
    <row r="5892" customFormat="false" ht="15" hidden="false" customHeight="false" outlineLevel="0" collapsed="false">
      <c r="A5892" s="7" t="n">
        <v>80185266</v>
      </c>
      <c r="B5892" s="7" t="s">
        <v>78</v>
      </c>
      <c r="C5892" s="7" t="s">
        <v>11692</v>
      </c>
      <c r="E5892" s="7" t="s">
        <v>29</v>
      </c>
      <c r="F5892" s="7" t="s">
        <v>11693</v>
      </c>
      <c r="G5892" s="7" t="n">
        <v>2018</v>
      </c>
      <c r="H5892" s="7" t="s">
        <v>48</v>
      </c>
      <c r="I5892" s="7" t="s">
        <v>11132</v>
      </c>
      <c r="J5892" s="7" t="s">
        <v>884</v>
      </c>
      <c r="K5892" s="7" t="n">
        <f aca="false">IFERROR(VALUE(RIGHT(TRIM(F5892),4)),"")</f>
        <v>2018</v>
      </c>
      <c r="L5892" s="7" t="str">
        <f aca="false">IF(TRIM(E5892)="","Unknown",IFERROR(LEFT(TRIM(E5892),FIND(",",TRIM(E5892))-1),TRIM(E5892)))</f>
        <v>Canada</v>
      </c>
      <c r="M5892" s="7" t="str">
        <f aca="false">IFERROR(LEFT(J5892,FIND(",",J5892)-1),J5892)</f>
        <v>International TV Shows</v>
      </c>
      <c r="N5892" s="7" t="str">
        <f aca="false">IF(B5892="Movie",IFERROR(VALUE(LEFT(I5892,FIND(" ",I5892)-1)),""),"")</f>
        <v/>
      </c>
      <c r="O5892" s="7" t="n">
        <f aca="false">IF(B5892="TV Show",IFERROR(VALUE(LEFT(I5892,FIND(" ",I5892)-1)),""),"")</f>
        <v>2</v>
      </c>
      <c r="P5892" s="7" t="n">
        <f aca="false">IF(K5892="","",K5892-G5892)</f>
        <v>0</v>
      </c>
    </row>
    <row r="5893" customFormat="false" ht="15" hidden="false" customHeight="false" outlineLevel="0" collapsed="false">
      <c r="A5893" s="7" t="n">
        <v>80002537</v>
      </c>
      <c r="B5893" s="7" t="s">
        <v>78</v>
      </c>
      <c r="C5893" s="7" t="s">
        <v>11694</v>
      </c>
      <c r="E5893" s="7" t="s">
        <v>26</v>
      </c>
      <c r="F5893" s="7" t="s">
        <v>11693</v>
      </c>
      <c r="G5893" s="7" t="n">
        <v>2018</v>
      </c>
      <c r="H5893" s="7" t="s">
        <v>48</v>
      </c>
      <c r="I5893" s="7" t="s">
        <v>11132</v>
      </c>
      <c r="J5893" s="7" t="s">
        <v>2958</v>
      </c>
      <c r="K5893" s="7" t="n">
        <f aca="false">IFERROR(VALUE(RIGHT(TRIM(F5893),4)),"")</f>
        <v>2018</v>
      </c>
      <c r="L5893" s="7" t="str">
        <f aca="false">IF(TRIM(E5893)="","Unknown",IFERROR(LEFT(TRIM(E5893),FIND(",",TRIM(E5893))-1),TRIM(E5893)))</f>
        <v>United States</v>
      </c>
      <c r="M5893" s="7" t="str">
        <f aca="false">IFERROR(LEFT(J5893,FIND(",",J5893)-1),J5893)</f>
        <v>Crime TV Shows</v>
      </c>
      <c r="N5893" s="7" t="str">
        <f aca="false">IF(B5893="Movie",IFERROR(VALUE(LEFT(I5893,FIND(" ",I5893)-1)),""),"")</f>
        <v/>
      </c>
      <c r="O5893" s="7" t="n">
        <f aca="false">IF(B5893="TV Show",IFERROR(VALUE(LEFT(I5893,FIND(" ",I5893)-1)),""),"")</f>
        <v>2</v>
      </c>
      <c r="P5893" s="7" t="n">
        <f aca="false">IF(K5893="","",K5893-G5893)</f>
        <v>0</v>
      </c>
    </row>
    <row r="5894" customFormat="false" ht="15" hidden="false" customHeight="false" outlineLevel="0" collapsed="false">
      <c r="A5894" s="7" t="n">
        <v>80100172</v>
      </c>
      <c r="B5894" s="7" t="s">
        <v>78</v>
      </c>
      <c r="C5894" s="7" t="s">
        <v>11695</v>
      </c>
      <c r="E5894" s="7" t="s">
        <v>2057</v>
      </c>
      <c r="F5894" s="7" t="s">
        <v>11696</v>
      </c>
      <c r="G5894" s="7" t="n">
        <v>2019</v>
      </c>
      <c r="H5894" s="7" t="s">
        <v>48</v>
      </c>
      <c r="I5894" s="7" t="s">
        <v>11132</v>
      </c>
      <c r="J5894" s="7" t="s">
        <v>402</v>
      </c>
      <c r="K5894" s="7" t="n">
        <f aca="false">IFERROR(VALUE(RIGHT(TRIM(F5894),4)),"")</f>
        <v>2019</v>
      </c>
      <c r="L5894" s="7" t="str">
        <f aca="false">IF(TRIM(E5894)="","Unknown",IFERROR(LEFT(TRIM(E5894),FIND(",",TRIM(E5894))-1),TRIM(E5894)))</f>
        <v>Germany</v>
      </c>
      <c r="M5894" s="7" t="str">
        <f aca="false">IFERROR(LEFT(J5894,FIND(",",J5894)-1),J5894)</f>
        <v>Crime TV Shows</v>
      </c>
      <c r="N5894" s="7" t="str">
        <f aca="false">IF(B5894="Movie",IFERROR(VALUE(LEFT(I5894,FIND(" ",I5894)-1)),""),"")</f>
        <v/>
      </c>
      <c r="O5894" s="7" t="n">
        <f aca="false">IF(B5894="TV Show",IFERROR(VALUE(LEFT(I5894,FIND(" ",I5894)-1)),""),"")</f>
        <v>2</v>
      </c>
      <c r="P5894" s="7" t="n">
        <f aca="false">IF(K5894="","",K5894-G5894)</f>
        <v>0</v>
      </c>
    </row>
    <row r="5895" customFormat="false" ht="15" hidden="false" customHeight="false" outlineLevel="0" collapsed="false">
      <c r="A5895" s="7" t="n">
        <v>80185178</v>
      </c>
      <c r="B5895" s="7" t="s">
        <v>78</v>
      </c>
      <c r="C5895" s="7" t="s">
        <v>11697</v>
      </c>
      <c r="E5895" s="7" t="s">
        <v>26</v>
      </c>
      <c r="F5895" s="7" t="s">
        <v>11696</v>
      </c>
      <c r="G5895" s="7" t="n">
        <v>2019</v>
      </c>
      <c r="H5895" s="7" t="s">
        <v>48</v>
      </c>
      <c r="I5895" s="7" t="s">
        <v>11132</v>
      </c>
      <c r="J5895" s="7" t="s">
        <v>1046</v>
      </c>
      <c r="K5895" s="7" t="n">
        <f aca="false">IFERROR(VALUE(RIGHT(TRIM(F5895),4)),"")</f>
        <v>2019</v>
      </c>
      <c r="L5895" s="7" t="str">
        <f aca="false">IF(TRIM(E5895)="","Unknown",IFERROR(LEFT(TRIM(E5895),FIND(",",TRIM(E5895))-1),TRIM(E5895)))</f>
        <v>United States</v>
      </c>
      <c r="M5895" s="7" t="str">
        <f aca="false">IFERROR(LEFT(J5895,FIND(",",J5895)-1),J5895)</f>
        <v>Docuseries</v>
      </c>
      <c r="N5895" s="7" t="str">
        <f aca="false">IF(B5895="Movie",IFERROR(VALUE(LEFT(I5895,FIND(" ",I5895)-1)),""),"")</f>
        <v/>
      </c>
      <c r="O5895" s="7" t="n">
        <f aca="false">IF(B5895="TV Show",IFERROR(VALUE(LEFT(I5895,FIND(" ",I5895)-1)),""),"")</f>
        <v>2</v>
      </c>
      <c r="P5895" s="7" t="n">
        <f aca="false">IF(K5895="","",K5895-G5895)</f>
        <v>0</v>
      </c>
    </row>
    <row r="5896" customFormat="false" ht="15" hidden="false" customHeight="false" outlineLevel="0" collapsed="false">
      <c r="A5896" s="7" t="n">
        <v>80220541</v>
      </c>
      <c r="B5896" s="7" t="s">
        <v>78</v>
      </c>
      <c r="C5896" s="7" t="s">
        <v>11698</v>
      </c>
      <c r="E5896" s="7" t="s">
        <v>1113</v>
      </c>
      <c r="F5896" s="7" t="s">
        <v>11696</v>
      </c>
      <c r="G5896" s="7" t="n">
        <v>2019</v>
      </c>
      <c r="H5896" s="7" t="s">
        <v>226</v>
      </c>
      <c r="I5896" s="7" t="s">
        <v>11132</v>
      </c>
      <c r="J5896" s="7" t="s">
        <v>11699</v>
      </c>
      <c r="K5896" s="7" t="n">
        <f aca="false">IFERROR(VALUE(RIGHT(TRIM(F5896),4)),"")</f>
        <v>2019</v>
      </c>
      <c r="L5896" s="7" t="str">
        <f aca="false">IF(TRIM(E5896)="","Unknown",IFERROR(LEFT(TRIM(E5896),FIND(",",TRIM(E5896))-1),TRIM(E5896)))</f>
        <v>Argentina</v>
      </c>
      <c r="M5896" s="7" t="str">
        <f aca="false">IFERROR(LEFT(J5896,FIND(",",J5896)-1),J5896)</f>
        <v>Kids' TV</v>
      </c>
      <c r="N5896" s="7" t="str">
        <f aca="false">IF(B5896="Movie",IFERROR(VALUE(LEFT(I5896,FIND(" ",I5896)-1)),""),"")</f>
        <v/>
      </c>
      <c r="O5896" s="7" t="n">
        <f aca="false">IF(B5896="TV Show",IFERROR(VALUE(LEFT(I5896,FIND(" ",I5896)-1)),""),"")</f>
        <v>2</v>
      </c>
      <c r="P5896" s="7" t="n">
        <f aca="false">IF(K5896="","",K5896-G5896)</f>
        <v>0</v>
      </c>
    </row>
    <row r="5897" customFormat="false" ht="15" hidden="false" customHeight="false" outlineLevel="0" collapsed="false">
      <c r="A5897" s="7" t="n">
        <v>80009097</v>
      </c>
      <c r="B5897" s="7" t="s">
        <v>78</v>
      </c>
      <c r="C5897" s="7" t="s">
        <v>11700</v>
      </c>
      <c r="E5897" s="7" t="s">
        <v>30</v>
      </c>
      <c r="F5897" s="7" t="s">
        <v>11696</v>
      </c>
      <c r="G5897" s="7" t="n">
        <v>2013</v>
      </c>
      <c r="H5897" s="7" t="s">
        <v>49</v>
      </c>
      <c r="I5897" s="7" t="s">
        <v>11132</v>
      </c>
      <c r="J5897" s="7" t="s">
        <v>542</v>
      </c>
      <c r="K5897" s="7" t="n">
        <f aca="false">IFERROR(VALUE(RIGHT(TRIM(F5897),4)),"")</f>
        <v>2019</v>
      </c>
      <c r="L5897" s="7" t="str">
        <f aca="false">IF(TRIM(E5897)="","Unknown",IFERROR(LEFT(TRIM(E5897),FIND(",",TRIM(E5897))-1),TRIM(E5897)))</f>
        <v>Japan</v>
      </c>
      <c r="M5897" s="7" t="str">
        <f aca="false">IFERROR(LEFT(J5897,FIND(",",J5897)-1),J5897)</f>
        <v>Anime Series</v>
      </c>
      <c r="N5897" s="7" t="str">
        <f aca="false">IF(B5897="Movie",IFERROR(VALUE(LEFT(I5897,FIND(" ",I5897)-1)),""),"")</f>
        <v/>
      </c>
      <c r="O5897" s="7" t="n">
        <f aca="false">IF(B5897="TV Show",IFERROR(VALUE(LEFT(I5897,FIND(" ",I5897)-1)),""),"")</f>
        <v>2</v>
      </c>
      <c r="P5897" s="7" t="n">
        <f aca="false">IF(K5897="","",K5897-G5897)</f>
        <v>6</v>
      </c>
    </row>
    <row r="5898" customFormat="false" ht="15" hidden="false" customHeight="false" outlineLevel="0" collapsed="false">
      <c r="A5898" s="7" t="n">
        <v>80993774</v>
      </c>
      <c r="B5898" s="7" t="s">
        <v>78</v>
      </c>
      <c r="C5898" s="7" t="s">
        <v>11701</v>
      </c>
      <c r="E5898" s="7" t="s">
        <v>167</v>
      </c>
      <c r="F5898" s="7" t="s">
        <v>11696</v>
      </c>
      <c r="G5898" s="7" t="n">
        <v>2016</v>
      </c>
      <c r="H5898" s="7" t="s">
        <v>50</v>
      </c>
      <c r="I5898" s="7" t="s">
        <v>11148</v>
      </c>
      <c r="J5898" s="7" t="s">
        <v>1362</v>
      </c>
      <c r="K5898" s="7" t="n">
        <f aca="false">IFERROR(VALUE(RIGHT(TRIM(F5898),4)),"")</f>
        <v>2019</v>
      </c>
      <c r="L5898" s="7" t="str">
        <f aca="false">IF(TRIM(E5898)="","Unknown",IFERROR(LEFT(TRIM(E5898),FIND(",",TRIM(E5898))-1),TRIM(E5898)))</f>
        <v>Thailand</v>
      </c>
      <c r="M5898" s="7" t="str">
        <f aca="false">IFERROR(LEFT(J5898,FIND(",",J5898)-1),J5898)</f>
        <v>International TV Shows</v>
      </c>
      <c r="N5898" s="7" t="str">
        <f aca="false">IF(B5898="Movie",IFERROR(VALUE(LEFT(I5898,FIND(" ",I5898)-1)),""),"")</f>
        <v/>
      </c>
      <c r="O5898" s="7" t="n">
        <f aca="false">IF(B5898="TV Show",IFERROR(VALUE(LEFT(I5898,FIND(" ",I5898)-1)),""),"")</f>
        <v>3</v>
      </c>
      <c r="P5898" s="7" t="n">
        <f aca="false">IF(K5898="","",K5898-G5898)</f>
        <v>3</v>
      </c>
    </row>
    <row r="5899" customFormat="false" ht="15" hidden="false" customHeight="false" outlineLevel="0" collapsed="false">
      <c r="A5899" s="7" t="n">
        <v>80109194</v>
      </c>
      <c r="B5899" s="7" t="s">
        <v>78</v>
      </c>
      <c r="C5899" s="7" t="s">
        <v>11702</v>
      </c>
      <c r="E5899" s="7" t="s">
        <v>26</v>
      </c>
      <c r="F5899" s="7" t="s">
        <v>11696</v>
      </c>
      <c r="G5899" s="7" t="n">
        <v>2018</v>
      </c>
      <c r="H5899" s="7" t="s">
        <v>48</v>
      </c>
      <c r="I5899" s="7" t="s">
        <v>11148</v>
      </c>
      <c r="J5899" s="7" t="s">
        <v>2958</v>
      </c>
      <c r="K5899" s="7" t="n">
        <f aca="false">IFERROR(VALUE(RIGHT(TRIM(F5899),4)),"")</f>
        <v>2019</v>
      </c>
      <c r="L5899" s="7" t="str">
        <f aca="false">IF(TRIM(E5899)="","Unknown",IFERROR(LEFT(TRIM(E5899),FIND(",",TRIM(E5899))-1),TRIM(E5899)))</f>
        <v>United States</v>
      </c>
      <c r="M5899" s="7" t="str">
        <f aca="false">IFERROR(LEFT(J5899,FIND(",",J5899)-1),J5899)</f>
        <v>Crime TV Shows</v>
      </c>
      <c r="N5899" s="7" t="str">
        <f aca="false">IF(B5899="Movie",IFERROR(VALUE(LEFT(I5899,FIND(" ",I5899)-1)),""),"")</f>
        <v/>
      </c>
      <c r="O5899" s="7" t="n">
        <f aca="false">IF(B5899="TV Show",IFERROR(VALUE(LEFT(I5899,FIND(" ",I5899)-1)),""),"")</f>
        <v>3</v>
      </c>
      <c r="P5899" s="7" t="n">
        <f aca="false">IF(K5899="","",K5899-G5899)</f>
        <v>1</v>
      </c>
    </row>
    <row r="5900" customFormat="false" ht="15" hidden="false" customHeight="false" outlineLevel="0" collapsed="false">
      <c r="A5900" s="7" t="n">
        <v>81023023</v>
      </c>
      <c r="B5900" s="7" t="s">
        <v>78</v>
      </c>
      <c r="C5900" s="7" t="s">
        <v>11703</v>
      </c>
      <c r="E5900" s="7" t="s">
        <v>1790</v>
      </c>
      <c r="F5900" s="7" t="s">
        <v>11696</v>
      </c>
      <c r="G5900" s="7" t="n">
        <v>2019</v>
      </c>
      <c r="H5900" s="7" t="s">
        <v>49</v>
      </c>
      <c r="I5900" s="7" t="s">
        <v>11132</v>
      </c>
      <c r="J5900" s="7" t="s">
        <v>884</v>
      </c>
      <c r="K5900" s="7" t="n">
        <f aca="false">IFERROR(VALUE(RIGHT(TRIM(F5900),4)),"")</f>
        <v>2019</v>
      </c>
      <c r="L5900" s="7" t="str">
        <f aca="false">IF(TRIM(E5900)="","Unknown",IFERROR(LEFT(TRIM(E5900),FIND(",",TRIM(E5900))-1),TRIM(E5900)))</f>
        <v>New Zealand</v>
      </c>
      <c r="M5900" s="7" t="str">
        <f aca="false">IFERROR(LEFT(J5900,FIND(",",J5900)-1),J5900)</f>
        <v>International TV Shows</v>
      </c>
      <c r="N5900" s="7" t="str">
        <f aca="false">IF(B5900="Movie",IFERROR(VALUE(LEFT(I5900,FIND(" ",I5900)-1)),""),"")</f>
        <v/>
      </c>
      <c r="O5900" s="7" t="n">
        <f aca="false">IF(B5900="TV Show",IFERROR(VALUE(LEFT(I5900,FIND(" ",I5900)-1)),""),"")</f>
        <v>2</v>
      </c>
      <c r="P5900" s="7" t="n">
        <f aca="false">IF(K5900="","",K5900-G5900)</f>
        <v>0</v>
      </c>
    </row>
    <row r="5901" customFormat="false" ht="15" hidden="false" customHeight="false" outlineLevel="0" collapsed="false">
      <c r="A5901" s="7" t="n">
        <v>80161702</v>
      </c>
      <c r="B5901" s="7" t="s">
        <v>78</v>
      </c>
      <c r="C5901" s="7" t="s">
        <v>11704</v>
      </c>
      <c r="E5901" s="7" t="s">
        <v>26</v>
      </c>
      <c r="F5901" s="7" t="s">
        <v>11696</v>
      </c>
      <c r="G5901" s="7" t="n">
        <v>2019</v>
      </c>
      <c r="H5901" s="7" t="s">
        <v>48</v>
      </c>
      <c r="I5901" s="7" t="s">
        <v>11132</v>
      </c>
      <c r="J5901" s="7" t="s">
        <v>696</v>
      </c>
      <c r="K5901" s="7" t="n">
        <f aca="false">IFERROR(VALUE(RIGHT(TRIM(F5901),4)),"")</f>
        <v>2019</v>
      </c>
      <c r="L5901" s="7" t="str">
        <f aca="false">IF(TRIM(E5901)="","Unknown",IFERROR(LEFT(TRIM(E5901),FIND(",",TRIM(E5901))-1),TRIM(E5901)))</f>
        <v>United States</v>
      </c>
      <c r="M5901" s="7" t="str">
        <f aca="false">IFERROR(LEFT(J5901,FIND(",",J5901)-1),J5901)</f>
        <v>Crime TV Shows</v>
      </c>
      <c r="N5901" s="7" t="str">
        <f aca="false">IF(B5901="Movie",IFERROR(VALUE(LEFT(I5901,FIND(" ",I5901)-1)),""),"")</f>
        <v/>
      </c>
      <c r="O5901" s="7" t="n">
        <f aca="false">IF(B5901="TV Show",IFERROR(VALUE(LEFT(I5901,FIND(" ",I5901)-1)),""),"")</f>
        <v>2</v>
      </c>
      <c r="P5901" s="7" t="n">
        <f aca="false">IF(K5901="","",K5901-G5901)</f>
        <v>0</v>
      </c>
    </row>
    <row r="5902" customFormat="false" ht="15" hidden="false" customHeight="false" outlineLevel="0" collapsed="false">
      <c r="A5902" s="7" t="n">
        <v>80031377</v>
      </c>
      <c r="B5902" s="7" t="s">
        <v>78</v>
      </c>
      <c r="C5902" s="7" t="s">
        <v>11705</v>
      </c>
      <c r="E5902" s="7" t="s">
        <v>26</v>
      </c>
      <c r="F5902" s="7" t="s">
        <v>11706</v>
      </c>
      <c r="G5902" s="7" t="n">
        <v>2017</v>
      </c>
      <c r="H5902" s="7" t="s">
        <v>49</v>
      </c>
      <c r="I5902" s="7" t="s">
        <v>11135</v>
      </c>
      <c r="J5902" s="7" t="s">
        <v>289</v>
      </c>
      <c r="K5902" s="7" t="n">
        <f aca="false">IFERROR(VALUE(RIGHT(TRIM(F5902),4)),"")</f>
        <v>2017</v>
      </c>
      <c r="L5902" s="7" t="str">
        <f aca="false">IF(TRIM(E5902)="","Unknown",IFERROR(LEFT(TRIM(E5902),FIND(",",TRIM(E5902))-1),TRIM(E5902)))</f>
        <v>United States</v>
      </c>
      <c r="M5902" s="7" t="str">
        <f aca="false">IFERROR(LEFT(J5902,FIND(",",J5902)-1),J5902)</f>
        <v>TV Comedies</v>
      </c>
      <c r="N5902" s="7" t="str">
        <f aca="false">IF(B5902="Movie",IFERROR(VALUE(LEFT(I5902,FIND(" ",I5902)-1)),""),"")</f>
        <v/>
      </c>
      <c r="O5902" s="7" t="n">
        <f aca="false">IF(B5902="TV Show",IFERROR(VALUE(LEFT(I5902,FIND(" ",I5902)-1)),""),"")</f>
        <v>5</v>
      </c>
      <c r="P5902" s="7" t="n">
        <f aca="false">IF(K5902="","",K5902-G5902)</f>
        <v>0</v>
      </c>
    </row>
    <row r="5903" customFormat="false" ht="15" hidden="false" customHeight="false" outlineLevel="0" collapsed="false">
      <c r="A5903" s="7" t="n">
        <v>80000139</v>
      </c>
      <c r="B5903" s="7" t="s">
        <v>78</v>
      </c>
      <c r="C5903" s="7" t="s">
        <v>11707</v>
      </c>
      <c r="E5903" s="7" t="s">
        <v>11485</v>
      </c>
      <c r="F5903" s="7" t="s">
        <v>11708</v>
      </c>
      <c r="G5903" s="7" t="n">
        <v>2014</v>
      </c>
      <c r="H5903" s="7" t="s">
        <v>55</v>
      </c>
      <c r="I5903" s="7" t="s">
        <v>11132</v>
      </c>
      <c r="J5903" s="7" t="s">
        <v>191</v>
      </c>
      <c r="K5903" s="7" t="n">
        <f aca="false">IFERROR(VALUE(RIGHT(TRIM(F5903),4)),"")</f>
        <v>2017</v>
      </c>
      <c r="L5903" s="7" t="str">
        <f aca="false">IF(TRIM(E5903)="","Unknown",IFERROR(LEFT(TRIM(E5903),FIND(",",TRIM(E5903))-1),TRIM(E5903)))</f>
        <v>United States</v>
      </c>
      <c r="M5903" s="7" t="str">
        <f aca="false">IFERROR(LEFT(J5903,FIND(",",J5903)-1),J5903)</f>
        <v>Kids' TV</v>
      </c>
      <c r="N5903" s="7" t="str">
        <f aca="false">IF(B5903="Movie",IFERROR(VALUE(LEFT(I5903,FIND(" ",I5903)-1)),""),"")</f>
        <v/>
      </c>
      <c r="O5903" s="7" t="n">
        <f aca="false">IF(B5903="TV Show",IFERROR(VALUE(LEFT(I5903,FIND(" ",I5903)-1)),""),"")</f>
        <v>2</v>
      </c>
      <c r="P5903" s="7" t="n">
        <f aca="false">IF(K5903="","",K5903-G5903)</f>
        <v>3</v>
      </c>
    </row>
    <row r="5904" customFormat="false" ht="15" hidden="false" customHeight="false" outlineLevel="0" collapsed="false">
      <c r="A5904" s="7" t="n">
        <v>80007912</v>
      </c>
      <c r="B5904" s="7" t="s">
        <v>78</v>
      </c>
      <c r="C5904" s="7" t="s">
        <v>11709</v>
      </c>
      <c r="E5904" s="7" t="s">
        <v>30</v>
      </c>
      <c r="F5904" s="7" t="s">
        <v>11710</v>
      </c>
      <c r="G5904" s="7" t="n">
        <v>2008</v>
      </c>
      <c r="H5904" s="7" t="s">
        <v>81</v>
      </c>
      <c r="I5904" s="7" t="s">
        <v>11132</v>
      </c>
      <c r="J5904" s="7" t="s">
        <v>694</v>
      </c>
      <c r="K5904" s="7" t="n">
        <f aca="false">IFERROR(VALUE(RIGHT(TRIM(F5904),4)),"")</f>
        <v>2018</v>
      </c>
      <c r="L5904" s="7" t="str">
        <f aca="false">IF(TRIM(E5904)="","Unknown",IFERROR(LEFT(TRIM(E5904),FIND(",",TRIM(E5904))-1),TRIM(E5904)))</f>
        <v>Japan</v>
      </c>
      <c r="M5904" s="7" t="str">
        <f aca="false">IFERROR(LEFT(J5904,FIND(",",J5904)-1),J5904)</f>
        <v>Anime Series</v>
      </c>
      <c r="N5904" s="7" t="str">
        <f aca="false">IF(B5904="Movie",IFERROR(VALUE(LEFT(I5904,FIND(" ",I5904)-1)),""),"")</f>
        <v/>
      </c>
      <c r="O5904" s="7" t="n">
        <f aca="false">IF(B5904="TV Show",IFERROR(VALUE(LEFT(I5904,FIND(" ",I5904)-1)),""),"")</f>
        <v>2</v>
      </c>
      <c r="P5904" s="7" t="n">
        <f aca="false">IF(K5904="","",K5904-G5904)</f>
        <v>10</v>
      </c>
    </row>
    <row r="5905" customFormat="false" ht="15" hidden="false" customHeight="false" outlineLevel="0" collapsed="false">
      <c r="A5905" s="7" t="n">
        <v>80046249</v>
      </c>
      <c r="B5905" s="7" t="s">
        <v>78</v>
      </c>
      <c r="C5905" s="7" t="s">
        <v>11711</v>
      </c>
      <c r="E5905" s="7" t="s">
        <v>26</v>
      </c>
      <c r="F5905" s="7" t="s">
        <v>11712</v>
      </c>
      <c r="G5905" s="7" t="n">
        <v>2017</v>
      </c>
      <c r="H5905" s="7" t="s">
        <v>48</v>
      </c>
      <c r="I5905" s="7" t="s">
        <v>11132</v>
      </c>
      <c r="J5905" s="7" t="s">
        <v>502</v>
      </c>
      <c r="K5905" s="7" t="n">
        <f aca="false">IFERROR(VALUE(RIGHT(TRIM(F5905),4)),"")</f>
        <v>2017</v>
      </c>
      <c r="L5905" s="7" t="str">
        <f aca="false">IF(TRIM(E5905)="","Unknown",IFERROR(LEFT(TRIM(E5905),FIND(",",TRIM(E5905))-1),TRIM(E5905)))</f>
        <v>United States</v>
      </c>
      <c r="M5905" s="7" t="str">
        <f aca="false">IFERROR(LEFT(J5905,FIND(",",J5905)-1),J5905)</f>
        <v>TV Comedies</v>
      </c>
      <c r="N5905" s="7" t="str">
        <f aca="false">IF(B5905="Movie",IFERROR(VALUE(LEFT(I5905,FIND(" ",I5905)-1)),""),"")</f>
        <v/>
      </c>
      <c r="O5905" s="7" t="n">
        <f aca="false">IF(B5905="TV Show",IFERROR(VALUE(LEFT(I5905,FIND(" ",I5905)-1)),""),"")</f>
        <v>2</v>
      </c>
      <c r="P5905" s="7" t="n">
        <f aca="false">IF(K5905="","",K5905-G5905)</f>
        <v>0</v>
      </c>
    </row>
    <row r="5906" customFormat="false" ht="15" hidden="false" customHeight="false" outlineLevel="0" collapsed="false">
      <c r="A5906" s="7" t="n">
        <v>80239797</v>
      </c>
      <c r="B5906" s="7" t="s">
        <v>78</v>
      </c>
      <c r="C5906" s="7" t="s">
        <v>11713</v>
      </c>
      <c r="F5906" s="7" t="s">
        <v>11714</v>
      </c>
      <c r="G5906" s="7" t="n">
        <v>2016</v>
      </c>
      <c r="H5906" s="7" t="s">
        <v>49</v>
      </c>
      <c r="I5906" s="7" t="s">
        <v>11152</v>
      </c>
      <c r="J5906" s="7" t="s">
        <v>314</v>
      </c>
      <c r="K5906" s="7" t="n">
        <f aca="false">IFERROR(VALUE(RIGHT(TRIM(F5906),4)),"")</f>
        <v>2018</v>
      </c>
      <c r="L5906" s="7" t="str">
        <f aca="false">IF(TRIM(E5906)="","Unknown",IFERROR(LEFT(TRIM(E5906),FIND(",",TRIM(E5906))-1),TRIM(E5906)))</f>
        <v>Unknown</v>
      </c>
      <c r="M5906" s="7" t="str">
        <f aca="false">IFERROR(LEFT(J5906,FIND(",",J5906)-1),J5906)</f>
        <v>International TV Shows</v>
      </c>
      <c r="N5906" s="7" t="str">
        <f aca="false">IF(B5906="Movie",IFERROR(VALUE(LEFT(I5906,FIND(" ",I5906)-1)),""),"")</f>
        <v/>
      </c>
      <c r="O5906" s="7" t="n">
        <f aca="false">IF(B5906="TV Show",IFERROR(VALUE(LEFT(I5906,FIND(" ",I5906)-1)),""),"")</f>
        <v>7</v>
      </c>
      <c r="P5906" s="7" t="n">
        <f aca="false">IF(K5906="","",K5906-G5906)</f>
        <v>2</v>
      </c>
    </row>
    <row r="5907" customFormat="false" ht="15" hidden="false" customHeight="false" outlineLevel="0" collapsed="false">
      <c r="A5907" s="7" t="n">
        <v>80026224</v>
      </c>
      <c r="B5907" s="7" t="s">
        <v>78</v>
      </c>
      <c r="C5907" s="7" t="s">
        <v>7242</v>
      </c>
      <c r="E5907" s="7" t="s">
        <v>26</v>
      </c>
      <c r="F5907" s="7" t="s">
        <v>11715</v>
      </c>
      <c r="G5907" s="7" t="n">
        <v>2016</v>
      </c>
      <c r="H5907" s="7" t="s">
        <v>48</v>
      </c>
      <c r="I5907" s="7" t="s">
        <v>11132</v>
      </c>
      <c r="J5907" s="7" t="s">
        <v>834</v>
      </c>
      <c r="K5907" s="7" t="n">
        <f aca="false">IFERROR(VALUE(RIGHT(TRIM(F5907),4)),"")</f>
        <v>2017</v>
      </c>
      <c r="L5907" s="7" t="str">
        <f aca="false">IF(TRIM(E5907)="","Unknown",IFERROR(LEFT(TRIM(E5907),FIND(",",TRIM(E5907))-1),TRIM(E5907)))</f>
        <v>United States</v>
      </c>
      <c r="M5907" s="7" t="str">
        <f aca="false">IFERROR(LEFT(J5907,FIND(",",J5907)-1),J5907)</f>
        <v>Crime TV Shows</v>
      </c>
      <c r="N5907" s="7" t="str">
        <f aca="false">IF(B5907="Movie",IFERROR(VALUE(LEFT(I5907,FIND(" ",I5907)-1)),""),"")</f>
        <v/>
      </c>
      <c r="O5907" s="7" t="n">
        <f aca="false">IF(B5907="TV Show",IFERROR(VALUE(LEFT(I5907,FIND(" ",I5907)-1)),""),"")</f>
        <v>2</v>
      </c>
      <c r="P5907" s="7" t="n">
        <f aca="false">IF(K5907="","",K5907-G5907)</f>
        <v>1</v>
      </c>
    </row>
    <row r="5908" customFormat="false" ht="15" hidden="false" customHeight="false" outlineLevel="0" collapsed="false">
      <c r="A5908" s="7" t="n">
        <v>80007778</v>
      </c>
      <c r="B5908" s="7" t="s">
        <v>78</v>
      </c>
      <c r="C5908" s="7" t="s">
        <v>11716</v>
      </c>
      <c r="D5908" s="7" t="s">
        <v>4419</v>
      </c>
      <c r="E5908" s="7" t="s">
        <v>2793</v>
      </c>
      <c r="F5908" s="7" t="s">
        <v>11715</v>
      </c>
      <c r="G5908" s="7" t="n">
        <v>2017</v>
      </c>
      <c r="H5908" s="7" t="s">
        <v>55</v>
      </c>
      <c r="I5908" s="7" t="s">
        <v>11132</v>
      </c>
      <c r="J5908" s="7" t="s">
        <v>44</v>
      </c>
      <c r="K5908" s="7" t="n">
        <f aca="false">IFERROR(VALUE(RIGHT(TRIM(F5908),4)),"")</f>
        <v>2017</v>
      </c>
      <c r="L5908" s="7" t="str">
        <f aca="false">IF(TRIM(E5908)="","Unknown",IFERROR(LEFT(TRIM(E5908),FIND(",",TRIM(E5908))-1),TRIM(E5908)))</f>
        <v>Italy</v>
      </c>
      <c r="M5908" s="7" t="str">
        <f aca="false">IFERROR(LEFT(J5908,FIND(",",J5908)-1),J5908)</f>
        <v>Kids' TV</v>
      </c>
      <c r="N5908" s="7" t="str">
        <f aca="false">IF(B5908="Movie",IFERROR(VALUE(LEFT(I5908,FIND(" ",I5908)-1)),""),"")</f>
        <v/>
      </c>
      <c r="O5908" s="7" t="n">
        <f aca="false">IF(B5908="TV Show",IFERROR(VALUE(LEFT(I5908,FIND(" ",I5908)-1)),""),"")</f>
        <v>2</v>
      </c>
      <c r="P5908" s="7" t="n">
        <f aca="false">IF(K5908="","",K5908-G5908)</f>
        <v>0</v>
      </c>
    </row>
    <row r="5909" customFormat="false" ht="15" hidden="false" customHeight="false" outlineLevel="0" collapsed="false">
      <c r="A5909" s="7" t="n">
        <v>70304256</v>
      </c>
      <c r="B5909" s="7" t="s">
        <v>78</v>
      </c>
      <c r="C5909" s="7" t="s">
        <v>11717</v>
      </c>
      <c r="E5909" s="7" t="s">
        <v>30</v>
      </c>
      <c r="F5909" s="7" t="s">
        <v>11718</v>
      </c>
      <c r="G5909" s="7" t="n">
        <v>2012</v>
      </c>
      <c r="H5909" s="7" t="s">
        <v>48</v>
      </c>
      <c r="I5909" s="7" t="s">
        <v>11132</v>
      </c>
      <c r="J5909" s="7" t="s">
        <v>542</v>
      </c>
      <c r="K5909" s="7" t="n">
        <f aca="false">IFERROR(VALUE(RIGHT(TRIM(F5909),4)),"")</f>
        <v>2019</v>
      </c>
      <c r="L5909" s="7" t="str">
        <f aca="false">IF(TRIM(E5909)="","Unknown",IFERROR(LEFT(TRIM(E5909),FIND(",",TRIM(E5909))-1),TRIM(E5909)))</f>
        <v>Japan</v>
      </c>
      <c r="M5909" s="7" t="str">
        <f aca="false">IFERROR(LEFT(J5909,FIND(",",J5909)-1),J5909)</f>
        <v>Anime Series</v>
      </c>
      <c r="N5909" s="7" t="str">
        <f aca="false">IF(B5909="Movie",IFERROR(VALUE(LEFT(I5909,FIND(" ",I5909)-1)),""),"")</f>
        <v/>
      </c>
      <c r="O5909" s="7" t="n">
        <f aca="false">IF(B5909="TV Show",IFERROR(VALUE(LEFT(I5909,FIND(" ",I5909)-1)),""),"")</f>
        <v>2</v>
      </c>
      <c r="P5909" s="7" t="n">
        <f aca="false">IF(K5909="","",K5909-G5909)</f>
        <v>7</v>
      </c>
    </row>
    <row r="5910" customFormat="false" ht="15" hidden="false" customHeight="false" outlineLevel="0" collapsed="false">
      <c r="A5910" s="7" t="n">
        <v>70140391</v>
      </c>
      <c r="B5910" s="7" t="s">
        <v>78</v>
      </c>
      <c r="C5910" s="7" t="s">
        <v>11719</v>
      </c>
      <c r="E5910" s="7" t="s">
        <v>26</v>
      </c>
      <c r="F5910" s="7" t="s">
        <v>11718</v>
      </c>
      <c r="G5910" s="7" t="n">
        <v>2018</v>
      </c>
      <c r="H5910" s="7" t="s">
        <v>49</v>
      </c>
      <c r="I5910" s="7" t="s">
        <v>11720</v>
      </c>
      <c r="J5910" s="7" t="s">
        <v>8541</v>
      </c>
      <c r="K5910" s="7" t="n">
        <f aca="false">IFERROR(VALUE(RIGHT(TRIM(F5910),4)),"")</f>
        <v>2019</v>
      </c>
      <c r="L5910" s="7" t="str">
        <f aca="false">IF(TRIM(E5910)="","Unknown",IFERROR(LEFT(TRIM(E5910),FIND(",",TRIM(E5910))-1),TRIM(E5910)))</f>
        <v>United States</v>
      </c>
      <c r="M5910" s="7" t="str">
        <f aca="false">IFERROR(LEFT(J5910,FIND(",",J5910)-1),J5910)</f>
        <v>Romantic TV Shows</v>
      </c>
      <c r="N5910" s="7" t="str">
        <f aca="false">IF(B5910="Movie",IFERROR(VALUE(LEFT(I5910,FIND(" ",I5910)-1)),""),"")</f>
        <v/>
      </c>
      <c r="O5910" s="7" t="n">
        <f aca="false">IF(B5910="TV Show",IFERROR(VALUE(LEFT(I5910,FIND(" ",I5910)-1)),""),"")</f>
        <v>15</v>
      </c>
      <c r="P5910" s="7" t="n">
        <f aca="false">IF(K5910="","",K5910-G5910)</f>
        <v>1</v>
      </c>
    </row>
    <row r="5911" customFormat="false" ht="15" hidden="false" customHeight="false" outlineLevel="0" collapsed="false">
      <c r="A5911" s="7" t="n">
        <v>70177040</v>
      </c>
      <c r="B5911" s="7" t="s">
        <v>78</v>
      </c>
      <c r="C5911" s="7" t="s">
        <v>11721</v>
      </c>
      <c r="E5911" s="7" t="s">
        <v>28</v>
      </c>
      <c r="F5911" s="7" t="s">
        <v>11722</v>
      </c>
      <c r="G5911" s="7" t="n">
        <v>1992</v>
      </c>
      <c r="H5911" s="7" t="s">
        <v>119</v>
      </c>
      <c r="I5911" s="7" t="s">
        <v>11589</v>
      </c>
      <c r="J5911" s="7" t="s">
        <v>3939</v>
      </c>
      <c r="K5911" s="7" t="n">
        <f aca="false">IFERROR(VALUE(RIGHT(TRIM(F5911),4)),"")</f>
        <v>2015</v>
      </c>
      <c r="L5911" s="7" t="str">
        <f aca="false">IF(TRIM(E5911)="","Unknown",IFERROR(LEFT(TRIM(E5911),FIND(",",TRIM(E5911))-1),TRIM(E5911)))</f>
        <v>United Kingdom</v>
      </c>
      <c r="M5911" s="7" t="str">
        <f aca="false">IFERROR(LEFT(J5911,FIND(",",J5911)-1),J5911)</f>
        <v>British TV Shows</v>
      </c>
      <c r="N5911" s="7" t="str">
        <f aca="false">IF(B5911="Movie",IFERROR(VALUE(LEFT(I5911,FIND(" ",I5911)-1)),""),"")</f>
        <v/>
      </c>
      <c r="O5911" s="7" t="n">
        <f aca="false">IF(B5911="TV Show",IFERROR(VALUE(LEFT(I5911,FIND(" ",I5911)-1)),""),"")</f>
        <v>10</v>
      </c>
      <c r="P5911" s="7" t="n">
        <f aca="false">IF(K5911="","",K5911-G5911)</f>
        <v>23</v>
      </c>
    </row>
    <row r="5912" customFormat="false" ht="15" hidden="false" customHeight="false" outlineLevel="0" collapsed="false">
      <c r="A5912" s="7" t="n">
        <v>80198505</v>
      </c>
      <c r="B5912" s="7" t="s">
        <v>78</v>
      </c>
      <c r="C5912" s="7" t="s">
        <v>11723</v>
      </c>
      <c r="E5912" s="7" t="s">
        <v>30</v>
      </c>
      <c r="F5912" s="7" t="s">
        <v>11724</v>
      </c>
      <c r="G5912" s="7" t="n">
        <v>2019</v>
      </c>
      <c r="H5912" s="7" t="s">
        <v>49</v>
      </c>
      <c r="I5912" s="7" t="s">
        <v>11132</v>
      </c>
      <c r="J5912" s="7" t="s">
        <v>542</v>
      </c>
      <c r="K5912" s="7" t="n">
        <f aca="false">IFERROR(VALUE(RIGHT(TRIM(F5912),4)),"")</f>
        <v>2019</v>
      </c>
      <c r="L5912" s="7" t="str">
        <f aca="false">IF(TRIM(E5912)="","Unknown",IFERROR(LEFT(TRIM(E5912),FIND(",",TRIM(E5912))-1),TRIM(E5912)))</f>
        <v>Japan</v>
      </c>
      <c r="M5912" s="7" t="str">
        <f aca="false">IFERROR(LEFT(J5912,FIND(",",J5912)-1),J5912)</f>
        <v>Anime Series</v>
      </c>
      <c r="N5912" s="7" t="str">
        <f aca="false">IF(B5912="Movie",IFERROR(VALUE(LEFT(I5912,FIND(" ",I5912)-1)),""),"")</f>
        <v/>
      </c>
      <c r="O5912" s="7" t="n">
        <f aca="false">IF(B5912="TV Show",IFERROR(VALUE(LEFT(I5912,FIND(" ",I5912)-1)),""),"")</f>
        <v>2</v>
      </c>
      <c r="P5912" s="7" t="n">
        <f aca="false">IF(K5912="","",K5912-G5912)</f>
        <v>0</v>
      </c>
    </row>
    <row r="5913" customFormat="false" ht="15" hidden="false" customHeight="false" outlineLevel="0" collapsed="false">
      <c r="A5913" s="7" t="n">
        <v>81079046</v>
      </c>
      <c r="B5913" s="7" t="s">
        <v>78</v>
      </c>
      <c r="C5913" s="7" t="s">
        <v>11725</v>
      </c>
      <c r="E5913" s="7" t="s">
        <v>129</v>
      </c>
      <c r="F5913" s="7" t="s">
        <v>11724</v>
      </c>
      <c r="G5913" s="7" t="n">
        <v>2019</v>
      </c>
      <c r="H5913" s="7" t="s">
        <v>48</v>
      </c>
      <c r="I5913" s="7" t="s">
        <v>11132</v>
      </c>
      <c r="J5913" s="7" t="s">
        <v>402</v>
      </c>
      <c r="K5913" s="7" t="n">
        <f aca="false">IFERROR(VALUE(RIGHT(TRIM(F5913),4)),"")</f>
        <v>2019</v>
      </c>
      <c r="L5913" s="7" t="str">
        <f aca="false">IF(TRIM(E5913)="","Unknown",IFERROR(LEFT(TRIM(E5913),FIND(",",TRIM(E5913))-1),TRIM(E5913)))</f>
        <v>France</v>
      </c>
      <c r="M5913" s="7" t="str">
        <f aca="false">IFERROR(LEFT(J5913,FIND(",",J5913)-1),J5913)</f>
        <v>Crime TV Shows</v>
      </c>
      <c r="N5913" s="7" t="str">
        <f aca="false">IF(B5913="Movie",IFERROR(VALUE(LEFT(I5913,FIND(" ",I5913)-1)),""),"")</f>
        <v/>
      </c>
      <c r="O5913" s="7" t="n">
        <f aca="false">IF(B5913="TV Show",IFERROR(VALUE(LEFT(I5913,FIND(" ",I5913)-1)),""),"")</f>
        <v>2</v>
      </c>
      <c r="P5913" s="7" t="n">
        <f aca="false">IF(K5913="","",K5913-G5913)</f>
        <v>0</v>
      </c>
    </row>
    <row r="5914" customFormat="false" ht="15" hidden="false" customHeight="false" outlineLevel="0" collapsed="false">
      <c r="A5914" s="7" t="n">
        <v>80227798</v>
      </c>
      <c r="B5914" s="7" t="s">
        <v>78</v>
      </c>
      <c r="C5914" s="7" t="s">
        <v>11726</v>
      </c>
      <c r="E5914" s="7" t="s">
        <v>33</v>
      </c>
      <c r="F5914" s="7" t="s">
        <v>11724</v>
      </c>
      <c r="G5914" s="7" t="n">
        <v>2019</v>
      </c>
      <c r="H5914" s="7" t="s">
        <v>48</v>
      </c>
      <c r="I5914" s="7" t="s">
        <v>11132</v>
      </c>
      <c r="J5914" s="7" t="s">
        <v>89</v>
      </c>
      <c r="K5914" s="7" t="n">
        <f aca="false">IFERROR(VALUE(RIGHT(TRIM(F5914),4)),"")</f>
        <v>2019</v>
      </c>
      <c r="L5914" s="7" t="str">
        <f aca="false">IF(TRIM(E5914)="","Unknown",IFERROR(LEFT(TRIM(E5914),FIND(",",TRIM(E5914))-1),TRIM(E5914)))</f>
        <v>Spain</v>
      </c>
      <c r="M5914" s="7" t="str">
        <f aca="false">IFERROR(LEFT(J5914,FIND(",",J5914)-1),J5914)</f>
        <v>Crime TV Shows</v>
      </c>
      <c r="N5914" s="7" t="str">
        <f aca="false">IF(B5914="Movie",IFERROR(VALUE(LEFT(I5914,FIND(" ",I5914)-1)),""),"")</f>
        <v/>
      </c>
      <c r="O5914" s="7" t="n">
        <f aca="false">IF(B5914="TV Show",IFERROR(VALUE(LEFT(I5914,FIND(" ",I5914)-1)),""),"")</f>
        <v>2</v>
      </c>
      <c r="P5914" s="7" t="n">
        <f aca="false">IF(K5914="","",K5914-G5914)</f>
        <v>0</v>
      </c>
    </row>
    <row r="5915" customFormat="false" ht="15" hidden="false" customHeight="false" outlineLevel="0" collapsed="false">
      <c r="A5915" s="7" t="n">
        <v>80029145</v>
      </c>
      <c r="B5915" s="7" t="s">
        <v>78</v>
      </c>
      <c r="C5915" s="7" t="s">
        <v>11727</v>
      </c>
      <c r="E5915" s="7" t="s">
        <v>26</v>
      </c>
      <c r="F5915" s="7" t="s">
        <v>11724</v>
      </c>
      <c r="G5915" s="7" t="n">
        <v>2019</v>
      </c>
      <c r="H5915" s="7" t="s">
        <v>49</v>
      </c>
      <c r="I5915" s="7" t="s">
        <v>11135</v>
      </c>
      <c r="J5915" s="7" t="s">
        <v>502</v>
      </c>
      <c r="K5915" s="7" t="n">
        <f aca="false">IFERROR(VALUE(RIGHT(TRIM(F5915),4)),"")</f>
        <v>2019</v>
      </c>
      <c r="L5915" s="7" t="str">
        <f aca="false">IF(TRIM(E5915)="","Unknown",IFERROR(LEFT(TRIM(E5915),FIND(",",TRIM(E5915))-1),TRIM(E5915)))</f>
        <v>United States</v>
      </c>
      <c r="M5915" s="7" t="str">
        <f aca="false">IFERROR(LEFT(J5915,FIND(",",J5915)-1),J5915)</f>
        <v>TV Comedies</v>
      </c>
      <c r="N5915" s="7" t="str">
        <f aca="false">IF(B5915="Movie",IFERROR(VALUE(LEFT(I5915,FIND(" ",I5915)-1)),""),"")</f>
        <v/>
      </c>
      <c r="O5915" s="7" t="n">
        <f aca="false">IF(B5915="TV Show",IFERROR(VALUE(LEFT(I5915,FIND(" ",I5915)-1)),""),"")</f>
        <v>5</v>
      </c>
      <c r="P5915" s="7" t="n">
        <f aca="false">IF(K5915="","",K5915-G5915)</f>
        <v>0</v>
      </c>
    </row>
    <row r="5916" customFormat="false" ht="15" hidden="false" customHeight="false" outlineLevel="0" collapsed="false">
      <c r="A5916" s="7" t="n">
        <v>80158515</v>
      </c>
      <c r="B5916" s="7" t="s">
        <v>78</v>
      </c>
      <c r="C5916" s="7" t="s">
        <v>11728</v>
      </c>
      <c r="E5916" s="7" t="s">
        <v>26</v>
      </c>
      <c r="F5916" s="7" t="s">
        <v>11724</v>
      </c>
      <c r="G5916" s="7" t="n">
        <v>2018</v>
      </c>
      <c r="H5916" s="7" t="s">
        <v>50</v>
      </c>
      <c r="I5916" s="7" t="s">
        <v>11132</v>
      </c>
      <c r="J5916" s="7" t="s">
        <v>289</v>
      </c>
      <c r="K5916" s="7" t="n">
        <f aca="false">IFERROR(VALUE(RIGHT(TRIM(F5916),4)),"")</f>
        <v>2019</v>
      </c>
      <c r="L5916" s="7" t="str">
        <f aca="false">IF(TRIM(E5916)="","Unknown",IFERROR(LEFT(TRIM(E5916),FIND(",",TRIM(E5916))-1),TRIM(E5916)))</f>
        <v>United States</v>
      </c>
      <c r="M5916" s="7" t="str">
        <f aca="false">IFERROR(LEFT(J5916,FIND(",",J5916)-1),J5916)</f>
        <v>TV Comedies</v>
      </c>
      <c r="N5916" s="7" t="str">
        <f aca="false">IF(B5916="Movie",IFERROR(VALUE(LEFT(I5916,FIND(" ",I5916)-1)),""),"")</f>
        <v/>
      </c>
      <c r="O5916" s="7" t="n">
        <f aca="false">IF(B5916="TV Show",IFERROR(VALUE(LEFT(I5916,FIND(" ",I5916)-1)),""),"")</f>
        <v>2</v>
      </c>
      <c r="P5916" s="7" t="n">
        <f aca="false">IF(K5916="","",K5916-G5916)</f>
        <v>1</v>
      </c>
    </row>
    <row r="5917" customFormat="false" ht="15" hidden="false" customHeight="false" outlineLevel="0" collapsed="false">
      <c r="A5917" s="7" t="n">
        <v>80002311</v>
      </c>
      <c r="B5917" s="7" t="s">
        <v>78</v>
      </c>
      <c r="C5917" s="7" t="s">
        <v>11729</v>
      </c>
      <c r="E5917" s="7" t="s">
        <v>26</v>
      </c>
      <c r="F5917" s="7" t="s">
        <v>11724</v>
      </c>
      <c r="G5917" s="7" t="n">
        <v>2019</v>
      </c>
      <c r="H5917" s="7" t="s">
        <v>48</v>
      </c>
      <c r="I5917" s="7" t="s">
        <v>11148</v>
      </c>
      <c r="J5917" s="7" t="s">
        <v>2958</v>
      </c>
      <c r="K5917" s="7" t="n">
        <f aca="false">IFERROR(VALUE(RIGHT(TRIM(F5917),4)),"")</f>
        <v>2019</v>
      </c>
      <c r="L5917" s="7" t="str">
        <f aca="false">IF(TRIM(E5917)="","Unknown",IFERROR(LEFT(TRIM(E5917),FIND(",",TRIM(E5917))-1),TRIM(E5917)))</f>
        <v>United States</v>
      </c>
      <c r="M5917" s="7" t="str">
        <f aca="false">IFERROR(LEFT(J5917,FIND(",",J5917)-1),J5917)</f>
        <v>Crime TV Shows</v>
      </c>
      <c r="N5917" s="7" t="str">
        <f aca="false">IF(B5917="Movie",IFERROR(VALUE(LEFT(I5917,FIND(" ",I5917)-1)),""),"")</f>
        <v/>
      </c>
      <c r="O5917" s="7" t="n">
        <f aca="false">IF(B5917="TV Show",IFERROR(VALUE(LEFT(I5917,FIND(" ",I5917)-1)),""),"")</f>
        <v>3</v>
      </c>
      <c r="P5917" s="7" t="n">
        <f aca="false">IF(K5917="","",K5917-G5917)</f>
        <v>0</v>
      </c>
    </row>
    <row r="5918" customFormat="false" ht="15" hidden="false" customHeight="false" outlineLevel="0" collapsed="false">
      <c r="A5918" s="7" t="n">
        <v>80175351</v>
      </c>
      <c r="B5918" s="7" t="s">
        <v>78</v>
      </c>
      <c r="C5918" s="7" t="s">
        <v>11730</v>
      </c>
      <c r="E5918" s="7" t="s">
        <v>30</v>
      </c>
      <c r="F5918" s="7" t="s">
        <v>11731</v>
      </c>
      <c r="G5918" s="7" t="n">
        <v>2019</v>
      </c>
      <c r="H5918" s="7" t="s">
        <v>49</v>
      </c>
      <c r="I5918" s="7" t="s">
        <v>11132</v>
      </c>
      <c r="J5918" s="7" t="s">
        <v>9007</v>
      </c>
      <c r="K5918" s="7" t="n">
        <f aca="false">IFERROR(VALUE(RIGHT(TRIM(F5918),4)),"")</f>
        <v>2019</v>
      </c>
      <c r="L5918" s="7" t="str">
        <f aca="false">IF(TRIM(E5918)="","Unknown",IFERROR(LEFT(TRIM(E5918),FIND(",",TRIM(E5918))-1),TRIM(E5918)))</f>
        <v>Japan</v>
      </c>
      <c r="M5918" s="7" t="str">
        <f aca="false">IFERROR(LEFT(J5918,FIND(",",J5918)-1),J5918)</f>
        <v>Anime Series</v>
      </c>
      <c r="N5918" s="7" t="str">
        <f aca="false">IF(B5918="Movie",IFERROR(VALUE(LEFT(I5918,FIND(" ",I5918)-1)),""),"")</f>
        <v/>
      </c>
      <c r="O5918" s="7" t="n">
        <f aca="false">IF(B5918="TV Show",IFERROR(VALUE(LEFT(I5918,FIND(" ",I5918)-1)),""),"")</f>
        <v>2</v>
      </c>
      <c r="P5918" s="7" t="n">
        <f aca="false">IF(K5918="","",K5918-G5918)</f>
        <v>0</v>
      </c>
    </row>
    <row r="5919" customFormat="false" ht="15" hidden="false" customHeight="false" outlineLevel="0" collapsed="false">
      <c r="A5919" s="7" t="n">
        <v>80058427</v>
      </c>
      <c r="B5919" s="7" t="s">
        <v>78</v>
      </c>
      <c r="C5919" s="7" t="s">
        <v>11732</v>
      </c>
      <c r="E5919" s="7" t="s">
        <v>3075</v>
      </c>
      <c r="F5919" s="7" t="s">
        <v>11733</v>
      </c>
      <c r="G5919" s="7" t="n">
        <v>2016</v>
      </c>
      <c r="H5919" s="7" t="s">
        <v>55</v>
      </c>
      <c r="I5919" s="7" t="s">
        <v>11132</v>
      </c>
      <c r="J5919" s="7" t="s">
        <v>44</v>
      </c>
      <c r="K5919" s="7" t="n">
        <f aca="false">IFERROR(VALUE(RIGHT(TRIM(F5919),4)),"")</f>
        <v>2016</v>
      </c>
      <c r="L5919" s="7" t="str">
        <f aca="false">IF(TRIM(E5919)="","Unknown",IFERROR(LEFT(TRIM(E5919),FIND(",",TRIM(E5919))-1),TRIM(E5919)))</f>
        <v>Denmark</v>
      </c>
      <c r="M5919" s="7" t="str">
        <f aca="false">IFERROR(LEFT(J5919,FIND(",",J5919)-1),J5919)</f>
        <v>Kids' TV</v>
      </c>
      <c r="N5919" s="7" t="str">
        <f aca="false">IF(B5919="Movie",IFERROR(VALUE(LEFT(I5919,FIND(" ",I5919)-1)),""),"")</f>
        <v/>
      </c>
      <c r="O5919" s="7" t="n">
        <f aca="false">IF(B5919="TV Show",IFERROR(VALUE(LEFT(I5919,FIND(" ",I5919)-1)),""),"")</f>
        <v>2</v>
      </c>
      <c r="P5919" s="7" t="n">
        <f aca="false">IF(K5919="","",K5919-G5919)</f>
        <v>0</v>
      </c>
    </row>
    <row r="5920" customFormat="false" ht="15" hidden="false" customHeight="false" outlineLevel="0" collapsed="false">
      <c r="A5920" s="7" t="n">
        <v>80202183</v>
      </c>
      <c r="B5920" s="7" t="s">
        <v>78</v>
      </c>
      <c r="C5920" s="7" t="s">
        <v>11734</v>
      </c>
      <c r="E5920" s="7" t="s">
        <v>3075</v>
      </c>
      <c r="F5920" s="7" t="s">
        <v>11735</v>
      </c>
      <c r="G5920" s="7" t="n">
        <v>2018</v>
      </c>
      <c r="H5920" s="7" t="s">
        <v>48</v>
      </c>
      <c r="I5920" s="7" t="s">
        <v>11132</v>
      </c>
      <c r="J5920" s="7" t="s">
        <v>344</v>
      </c>
      <c r="K5920" s="7" t="n">
        <f aca="false">IFERROR(VALUE(RIGHT(TRIM(F5920),4)),"")</f>
        <v>2019</v>
      </c>
      <c r="L5920" s="7" t="str">
        <f aca="false">IF(TRIM(E5920)="","Unknown",IFERROR(LEFT(TRIM(E5920),FIND(",",TRIM(E5920))-1),TRIM(E5920)))</f>
        <v>Denmark</v>
      </c>
      <c r="M5920" s="7" t="str">
        <f aca="false">IFERROR(LEFT(J5920,FIND(",",J5920)-1),J5920)</f>
        <v>International TV Shows</v>
      </c>
      <c r="N5920" s="7" t="str">
        <f aca="false">IF(B5920="Movie",IFERROR(VALUE(LEFT(I5920,FIND(" ",I5920)-1)),""),"")</f>
        <v/>
      </c>
      <c r="O5920" s="7" t="n">
        <f aca="false">IF(B5920="TV Show",IFERROR(VALUE(LEFT(I5920,FIND(" ",I5920)-1)),""),"")</f>
        <v>2</v>
      </c>
      <c r="P5920" s="7" t="n">
        <f aca="false">IF(K5920="","",K5920-G5920)</f>
        <v>1</v>
      </c>
    </row>
    <row r="5921" customFormat="false" ht="15" hidden="false" customHeight="false" outlineLevel="0" collapsed="false">
      <c r="A5921" s="7" t="n">
        <v>80196657</v>
      </c>
      <c r="B5921" s="7" t="s">
        <v>78</v>
      </c>
      <c r="C5921" s="7" t="s">
        <v>11736</v>
      </c>
      <c r="E5921" s="7" t="s">
        <v>30</v>
      </c>
      <c r="F5921" s="7" t="s">
        <v>11735</v>
      </c>
      <c r="G5921" s="7" t="n">
        <v>2017</v>
      </c>
      <c r="H5921" s="7" t="s">
        <v>49</v>
      </c>
      <c r="I5921" s="7" t="s">
        <v>11132</v>
      </c>
      <c r="J5921" s="7" t="s">
        <v>3042</v>
      </c>
      <c r="K5921" s="7" t="n">
        <f aca="false">IFERROR(VALUE(RIGHT(TRIM(F5921),4)),"")</f>
        <v>2019</v>
      </c>
      <c r="L5921" s="7" t="str">
        <f aca="false">IF(TRIM(E5921)="","Unknown",IFERROR(LEFT(TRIM(E5921),FIND(",",TRIM(E5921))-1),TRIM(E5921)))</f>
        <v>Japan</v>
      </c>
      <c r="M5921" s="7" t="str">
        <f aca="false">IFERROR(LEFT(J5921,FIND(",",J5921)-1),J5921)</f>
        <v>Anime Series</v>
      </c>
      <c r="N5921" s="7" t="str">
        <f aca="false">IF(B5921="Movie",IFERROR(VALUE(LEFT(I5921,FIND(" ",I5921)-1)),""),"")</f>
        <v/>
      </c>
      <c r="O5921" s="7" t="n">
        <f aca="false">IF(B5921="TV Show",IFERROR(VALUE(LEFT(I5921,FIND(" ",I5921)-1)),""),"")</f>
        <v>2</v>
      </c>
      <c r="P5921" s="7" t="n">
        <f aca="false">IF(K5921="","",K5921-G5921)</f>
        <v>2</v>
      </c>
    </row>
    <row r="5922" customFormat="false" ht="15" hidden="false" customHeight="false" outlineLevel="0" collapsed="false">
      <c r="A5922" s="7" t="n">
        <v>80148927</v>
      </c>
      <c r="B5922" s="7" t="s">
        <v>78</v>
      </c>
      <c r="C5922" s="7" t="s">
        <v>11737</v>
      </c>
      <c r="E5922" s="7" t="s">
        <v>5221</v>
      </c>
      <c r="F5922" s="7" t="s">
        <v>11738</v>
      </c>
      <c r="G5922" s="7" t="n">
        <v>2017</v>
      </c>
      <c r="H5922" s="7" t="s">
        <v>48</v>
      </c>
      <c r="I5922" s="7" t="s">
        <v>11148</v>
      </c>
      <c r="J5922" s="7" t="s">
        <v>402</v>
      </c>
      <c r="K5922" s="7" t="n">
        <f aca="false">IFERROR(VALUE(RIGHT(TRIM(F5922),4)),"")</f>
        <v>2018</v>
      </c>
      <c r="L5922" s="7" t="str">
        <f aca="false">IF(TRIM(E5922)="","Unknown",IFERROR(LEFT(TRIM(E5922),FIND(",",TRIM(E5922))-1),TRIM(E5922)))</f>
        <v>Ukraine</v>
      </c>
      <c r="M5922" s="7" t="str">
        <f aca="false">IFERROR(LEFT(J5922,FIND(",",J5922)-1),J5922)</f>
        <v>Crime TV Shows</v>
      </c>
      <c r="N5922" s="7" t="str">
        <f aca="false">IF(B5922="Movie",IFERROR(VALUE(LEFT(I5922,FIND(" ",I5922)-1)),""),"")</f>
        <v/>
      </c>
      <c r="O5922" s="7" t="n">
        <f aca="false">IF(B5922="TV Show",IFERROR(VALUE(LEFT(I5922,FIND(" ",I5922)-1)),""),"")</f>
        <v>3</v>
      </c>
      <c r="P5922" s="7" t="n">
        <f aca="false">IF(K5922="","",K5922-G5922)</f>
        <v>1</v>
      </c>
    </row>
    <row r="5923" customFormat="false" ht="15" hidden="false" customHeight="false" outlineLevel="0" collapsed="false">
      <c r="A5923" s="7" t="n">
        <v>80131505</v>
      </c>
      <c r="B5923" s="7" t="s">
        <v>78</v>
      </c>
      <c r="C5923" s="7" t="s">
        <v>11739</v>
      </c>
      <c r="E5923" s="7" t="s">
        <v>33</v>
      </c>
      <c r="F5923" s="7" t="s">
        <v>11740</v>
      </c>
      <c r="G5923" s="7" t="n">
        <v>2017</v>
      </c>
      <c r="H5923" s="7" t="s">
        <v>50</v>
      </c>
      <c r="I5923" s="7" t="s">
        <v>11132</v>
      </c>
      <c r="J5923" s="7" t="s">
        <v>191</v>
      </c>
      <c r="K5923" s="7" t="n">
        <f aca="false">IFERROR(VALUE(RIGHT(TRIM(F5923),4)),"")</f>
        <v>2017</v>
      </c>
      <c r="L5923" s="7" t="str">
        <f aca="false">IF(TRIM(E5923)="","Unknown",IFERROR(LEFT(TRIM(E5923),FIND(",",TRIM(E5923))-1),TRIM(E5923)))</f>
        <v>Spain</v>
      </c>
      <c r="M5923" s="7" t="str">
        <f aca="false">IFERROR(LEFT(J5923,FIND(",",J5923)-1),J5923)</f>
        <v>Kids' TV</v>
      </c>
      <c r="N5923" s="7" t="str">
        <f aca="false">IF(B5923="Movie",IFERROR(VALUE(LEFT(I5923,FIND(" ",I5923)-1)),""),"")</f>
        <v/>
      </c>
      <c r="O5923" s="7" t="n">
        <f aca="false">IF(B5923="TV Show",IFERROR(VALUE(LEFT(I5923,FIND(" ",I5923)-1)),""),"")</f>
        <v>2</v>
      </c>
      <c r="P5923" s="7" t="n">
        <f aca="false">IF(K5923="","",K5923-G5923)</f>
        <v>0</v>
      </c>
    </row>
    <row r="5924" customFormat="false" ht="15" hidden="false" customHeight="false" outlineLevel="0" collapsed="false">
      <c r="A5924" s="7" t="n">
        <v>80102549</v>
      </c>
      <c r="B5924" s="7" t="s">
        <v>78</v>
      </c>
      <c r="C5924" s="7" t="s">
        <v>11741</v>
      </c>
      <c r="E5924" s="7" t="s">
        <v>26</v>
      </c>
      <c r="F5924" s="7" t="s">
        <v>11740</v>
      </c>
      <c r="G5924" s="7" t="n">
        <v>2015</v>
      </c>
      <c r="H5924" s="7" t="s">
        <v>48</v>
      </c>
      <c r="I5924" s="7" t="s">
        <v>11148</v>
      </c>
      <c r="J5924" s="7" t="s">
        <v>6274</v>
      </c>
      <c r="K5924" s="7" t="n">
        <f aca="false">IFERROR(VALUE(RIGHT(TRIM(F5924),4)),"")</f>
        <v>2017</v>
      </c>
      <c r="L5924" s="7" t="str">
        <f aca="false">IF(TRIM(E5924)="","Unknown",IFERROR(LEFT(TRIM(E5924),FIND(",",TRIM(E5924))-1),TRIM(E5924)))</f>
        <v>United States</v>
      </c>
      <c r="M5924" s="7" t="str">
        <f aca="false">IFERROR(LEFT(J5924,FIND(",",J5924)-1),J5924)</f>
        <v>Stand-Up Comedy &amp; Talk Shows</v>
      </c>
      <c r="N5924" s="7" t="str">
        <f aca="false">IF(B5924="Movie",IFERROR(VALUE(LEFT(I5924,FIND(" ",I5924)-1)),""),"")</f>
        <v/>
      </c>
      <c r="O5924" s="7" t="n">
        <f aca="false">IF(B5924="TV Show",IFERROR(VALUE(LEFT(I5924,FIND(" ",I5924)-1)),""),"")</f>
        <v>3</v>
      </c>
      <c r="P5924" s="7" t="n">
        <f aca="false">IF(K5924="","",K5924-G5924)</f>
        <v>2</v>
      </c>
    </row>
    <row r="5925" customFormat="false" ht="15" hidden="false" customHeight="false" outlineLevel="0" collapsed="false">
      <c r="A5925" s="7" t="n">
        <v>80122239</v>
      </c>
      <c r="B5925" s="7" t="s">
        <v>78</v>
      </c>
      <c r="C5925" s="7" t="s">
        <v>11742</v>
      </c>
      <c r="E5925" s="7" t="s">
        <v>27</v>
      </c>
      <c r="F5925" s="7" t="s">
        <v>11740</v>
      </c>
      <c r="G5925" s="7" t="n">
        <v>2014</v>
      </c>
      <c r="H5925" s="7" t="s">
        <v>49</v>
      </c>
      <c r="I5925" s="7" t="s">
        <v>11148</v>
      </c>
      <c r="J5925" s="7" t="s">
        <v>314</v>
      </c>
      <c r="K5925" s="7" t="n">
        <f aca="false">IFERROR(VALUE(RIGHT(TRIM(F5925),4)),"")</f>
        <v>2017</v>
      </c>
      <c r="L5925" s="7" t="str">
        <f aca="false">IF(TRIM(E5925)="","Unknown",IFERROR(LEFT(TRIM(E5925),FIND(",",TRIM(E5925))-1),TRIM(E5925)))</f>
        <v>India</v>
      </c>
      <c r="M5925" s="7" t="str">
        <f aca="false">IFERROR(LEFT(J5925,FIND(",",J5925)-1),J5925)</f>
        <v>International TV Shows</v>
      </c>
      <c r="N5925" s="7" t="str">
        <f aca="false">IF(B5925="Movie",IFERROR(VALUE(LEFT(I5925,FIND(" ",I5925)-1)),""),"")</f>
        <v/>
      </c>
      <c r="O5925" s="7" t="n">
        <f aca="false">IF(B5925="TV Show",IFERROR(VALUE(LEFT(I5925,FIND(" ",I5925)-1)),""),"")</f>
        <v>3</v>
      </c>
      <c r="P5925" s="7" t="n">
        <f aca="false">IF(K5925="","",K5925-G5925)</f>
        <v>3</v>
      </c>
    </row>
    <row r="5926" customFormat="false" ht="15" hidden="false" customHeight="false" outlineLevel="0" collapsed="false">
      <c r="A5926" s="7" t="n">
        <v>70155579</v>
      </c>
      <c r="B5926" s="7" t="s">
        <v>78</v>
      </c>
      <c r="C5926" s="7" t="s">
        <v>11743</v>
      </c>
      <c r="E5926" s="7" t="s">
        <v>230</v>
      </c>
      <c r="F5926" s="7" t="s">
        <v>11744</v>
      </c>
      <c r="G5926" s="7" t="n">
        <v>2013</v>
      </c>
      <c r="H5926" s="7" t="s">
        <v>55</v>
      </c>
      <c r="I5926" s="7" t="s">
        <v>11198</v>
      </c>
      <c r="J5926" s="7" t="s">
        <v>44</v>
      </c>
      <c r="K5926" s="7" t="n">
        <f aca="false">IFERROR(VALUE(RIGHT(TRIM(F5926),4)),"")</f>
        <v>2015</v>
      </c>
      <c r="L5926" s="7" t="str">
        <f aca="false">IF(TRIM(E5926)="","Unknown",IFERROR(LEFT(TRIM(E5926),FIND(",",TRIM(E5926))-1),TRIM(E5926)))</f>
        <v>United States</v>
      </c>
      <c r="M5926" s="7" t="str">
        <f aca="false">IFERROR(LEFT(J5926,FIND(",",J5926)-1),J5926)</f>
        <v>Kids' TV</v>
      </c>
      <c r="N5926" s="7" t="str">
        <f aca="false">IF(B5926="Movie",IFERROR(VALUE(LEFT(I5926,FIND(" ",I5926)-1)),""),"")</f>
        <v/>
      </c>
      <c r="O5926" s="7" t="n">
        <f aca="false">IF(B5926="TV Show",IFERROR(VALUE(LEFT(I5926,FIND(" ",I5926)-1)),""),"")</f>
        <v>6</v>
      </c>
      <c r="P5926" s="7" t="n">
        <f aca="false">IF(K5926="","",K5926-G5926)</f>
        <v>2</v>
      </c>
    </row>
    <row r="5927" customFormat="false" ht="15" hidden="false" customHeight="false" outlineLevel="0" collapsed="false">
      <c r="A5927" s="7" t="n">
        <v>80049870</v>
      </c>
      <c r="B5927" s="7" t="s">
        <v>78</v>
      </c>
      <c r="C5927" s="7" t="s">
        <v>11745</v>
      </c>
      <c r="E5927" s="7" t="s">
        <v>26</v>
      </c>
      <c r="F5927" s="7" t="s">
        <v>11746</v>
      </c>
      <c r="G5927" s="7" t="n">
        <v>2017</v>
      </c>
      <c r="H5927" s="7" t="s">
        <v>55</v>
      </c>
      <c r="I5927" s="7" t="s">
        <v>11155</v>
      </c>
      <c r="J5927" s="7" t="s">
        <v>44</v>
      </c>
      <c r="K5927" s="7" t="n">
        <f aca="false">IFERROR(VALUE(RIGHT(TRIM(F5927),4)),"")</f>
        <v>2017</v>
      </c>
      <c r="L5927" s="7" t="str">
        <f aca="false">IF(TRIM(E5927)="","Unknown",IFERROR(LEFT(TRIM(E5927),FIND(",",TRIM(E5927))-1),TRIM(E5927)))</f>
        <v>United States</v>
      </c>
      <c r="M5927" s="7" t="str">
        <f aca="false">IFERROR(LEFT(J5927,FIND(",",J5927)-1),J5927)</f>
        <v>Kids' TV</v>
      </c>
      <c r="N5927" s="7" t="str">
        <f aca="false">IF(B5927="Movie",IFERROR(VALUE(LEFT(I5927,FIND(" ",I5927)-1)),""),"")</f>
        <v/>
      </c>
      <c r="O5927" s="7" t="n">
        <f aca="false">IF(B5927="TV Show",IFERROR(VALUE(LEFT(I5927,FIND(" ",I5927)-1)),""),"")</f>
        <v>4</v>
      </c>
      <c r="P5927" s="7" t="n">
        <f aca="false">IF(K5927="","",K5927-G5927)</f>
        <v>0</v>
      </c>
    </row>
    <row r="5928" customFormat="false" ht="15" hidden="false" customHeight="false" outlineLevel="0" collapsed="false">
      <c r="A5928" s="7" t="n">
        <v>80062047</v>
      </c>
      <c r="B5928" s="7" t="s">
        <v>78</v>
      </c>
      <c r="C5928" s="7" t="s">
        <v>11747</v>
      </c>
      <c r="D5928" s="7" t="s">
        <v>11748</v>
      </c>
      <c r="E5928" s="7" t="s">
        <v>29</v>
      </c>
      <c r="F5928" s="7" t="s">
        <v>11746</v>
      </c>
      <c r="G5928" s="7" t="n">
        <v>2017</v>
      </c>
      <c r="H5928" s="7" t="s">
        <v>49</v>
      </c>
      <c r="I5928" s="7" t="s">
        <v>11155</v>
      </c>
      <c r="J5928" s="7" t="s">
        <v>2916</v>
      </c>
      <c r="K5928" s="7" t="n">
        <f aca="false">IFERROR(VALUE(RIGHT(TRIM(F5928),4)),"")</f>
        <v>2017</v>
      </c>
      <c r="L5928" s="7" t="str">
        <f aca="false">IF(TRIM(E5928)="","Unknown",IFERROR(LEFT(TRIM(E5928),FIND(",",TRIM(E5928))-1),TRIM(E5928)))</f>
        <v>Canada</v>
      </c>
      <c r="M5928" s="7" t="str">
        <f aca="false">IFERROR(LEFT(J5928,FIND(",",J5928)-1),J5928)</f>
        <v>International TV Shows</v>
      </c>
      <c r="N5928" s="7" t="str">
        <f aca="false">IF(B5928="Movie",IFERROR(VALUE(LEFT(I5928,FIND(" ",I5928)-1)),""),"")</f>
        <v/>
      </c>
      <c r="O5928" s="7" t="n">
        <f aca="false">IF(B5928="TV Show",IFERROR(VALUE(LEFT(I5928,FIND(" ",I5928)-1)),""),"")</f>
        <v>4</v>
      </c>
      <c r="P5928" s="7" t="n">
        <f aca="false">IF(K5928="","",K5928-G5928)</f>
        <v>0</v>
      </c>
    </row>
    <row r="5929" customFormat="false" ht="15" hidden="false" customHeight="false" outlineLevel="0" collapsed="false">
      <c r="A5929" s="7" t="n">
        <v>80134695</v>
      </c>
      <c r="B5929" s="7" t="s">
        <v>78</v>
      </c>
      <c r="C5929" s="7" t="s">
        <v>11749</v>
      </c>
      <c r="E5929" s="7" t="s">
        <v>26</v>
      </c>
      <c r="F5929" s="7" t="s">
        <v>11750</v>
      </c>
      <c r="G5929" s="7" t="n">
        <v>2019</v>
      </c>
      <c r="H5929" s="7" t="s">
        <v>226</v>
      </c>
      <c r="I5929" s="7" t="s">
        <v>11148</v>
      </c>
      <c r="J5929" s="7" t="s">
        <v>11751</v>
      </c>
      <c r="K5929" s="7" t="n">
        <f aca="false">IFERROR(VALUE(RIGHT(TRIM(F5929),4)),"")</f>
        <v>2019</v>
      </c>
      <c r="L5929" s="7" t="str">
        <f aca="false">IF(TRIM(E5929)="","Unknown",IFERROR(LEFT(TRIM(E5929),FIND(",",TRIM(E5929))-1),TRIM(E5929)))</f>
        <v>United States</v>
      </c>
      <c r="M5929" s="7" t="str">
        <f aca="false">IFERROR(LEFT(J5929,FIND(",",J5929)-1),J5929)</f>
        <v>British TV Shows</v>
      </c>
      <c r="N5929" s="7" t="str">
        <f aca="false">IF(B5929="Movie",IFERROR(VALUE(LEFT(I5929,FIND(" ",I5929)-1)),""),"")</f>
        <v/>
      </c>
      <c r="O5929" s="7" t="n">
        <f aca="false">IF(B5929="TV Show",IFERROR(VALUE(LEFT(I5929,FIND(" ",I5929)-1)),""),"")</f>
        <v>3</v>
      </c>
      <c r="P5929" s="7" t="n">
        <f aca="false">IF(K5929="","",K5929-G5929)</f>
        <v>0</v>
      </c>
    </row>
    <row r="5930" customFormat="false" ht="15" hidden="false" customHeight="false" outlineLevel="0" collapsed="false">
      <c r="A5930" s="7" t="n">
        <v>80211576</v>
      </c>
      <c r="B5930" s="7" t="s">
        <v>78</v>
      </c>
      <c r="C5930" s="7" t="s">
        <v>11752</v>
      </c>
      <c r="E5930" s="7" t="s">
        <v>26</v>
      </c>
      <c r="F5930" s="7" t="s">
        <v>11753</v>
      </c>
      <c r="G5930" s="7" t="n">
        <v>2018</v>
      </c>
      <c r="H5930" s="7" t="s">
        <v>226</v>
      </c>
      <c r="I5930" s="7" t="s">
        <v>11132</v>
      </c>
      <c r="J5930" s="7" t="s">
        <v>773</v>
      </c>
      <c r="K5930" s="7" t="n">
        <f aca="false">IFERROR(VALUE(RIGHT(TRIM(F5930),4)),"")</f>
        <v>2018</v>
      </c>
      <c r="L5930" s="7" t="str">
        <f aca="false">IF(TRIM(E5930)="","Unknown",IFERROR(LEFT(TRIM(E5930),FIND(",",TRIM(E5930))-1),TRIM(E5930)))</f>
        <v>United States</v>
      </c>
      <c r="M5930" s="7" t="str">
        <f aca="false">IFERROR(LEFT(J5930,FIND(",",J5930)-1),J5930)</f>
        <v>Docuseries</v>
      </c>
      <c r="N5930" s="7" t="str">
        <f aca="false">IF(B5930="Movie",IFERROR(VALUE(LEFT(I5930,FIND(" ",I5930)-1)),""),"")</f>
        <v/>
      </c>
      <c r="O5930" s="7" t="n">
        <f aca="false">IF(B5930="TV Show",IFERROR(VALUE(LEFT(I5930,FIND(" ",I5930)-1)),""),"")</f>
        <v>2</v>
      </c>
      <c r="P5930" s="7" t="n">
        <f aca="false">IF(K5930="","",K5930-G5930)</f>
        <v>0</v>
      </c>
    </row>
    <row r="5931" customFormat="false" ht="15" hidden="false" customHeight="false" outlineLevel="0" collapsed="false">
      <c r="A5931" s="7" t="n">
        <v>80146601</v>
      </c>
      <c r="B5931" s="7" t="s">
        <v>78</v>
      </c>
      <c r="C5931" s="7" t="s">
        <v>11754</v>
      </c>
      <c r="E5931" s="7" t="s">
        <v>26</v>
      </c>
      <c r="F5931" s="7" t="s">
        <v>11753</v>
      </c>
      <c r="G5931" s="7" t="n">
        <v>2018</v>
      </c>
      <c r="H5931" s="7" t="s">
        <v>50</v>
      </c>
      <c r="I5931" s="7" t="s">
        <v>11132</v>
      </c>
      <c r="J5931" s="7" t="s">
        <v>164</v>
      </c>
      <c r="K5931" s="7" t="n">
        <f aca="false">IFERROR(VALUE(RIGHT(TRIM(F5931),4)),"")</f>
        <v>2018</v>
      </c>
      <c r="L5931" s="7" t="str">
        <f aca="false">IF(TRIM(E5931)="","Unknown",IFERROR(LEFT(TRIM(E5931),FIND(",",TRIM(E5931))-1),TRIM(E5931)))</f>
        <v>United States</v>
      </c>
      <c r="M5931" s="7" t="str">
        <f aca="false">IFERROR(LEFT(J5931,FIND(",",J5931)-1),J5931)</f>
        <v>Docuseries</v>
      </c>
      <c r="N5931" s="7" t="str">
        <f aca="false">IF(B5931="Movie",IFERROR(VALUE(LEFT(I5931,FIND(" ",I5931)-1)),""),"")</f>
        <v/>
      </c>
      <c r="O5931" s="7" t="n">
        <f aca="false">IF(B5931="TV Show",IFERROR(VALUE(LEFT(I5931,FIND(" ",I5931)-1)),""),"")</f>
        <v>2</v>
      </c>
      <c r="P5931" s="7" t="n">
        <f aca="false">IF(K5931="","",K5931-G5931)</f>
        <v>0</v>
      </c>
    </row>
    <row r="5932" customFormat="false" ht="15" hidden="false" customHeight="false" outlineLevel="0" collapsed="false">
      <c r="A5932" s="7" t="n">
        <v>80233218</v>
      </c>
      <c r="B5932" s="7" t="s">
        <v>78</v>
      </c>
      <c r="C5932" s="7" t="s">
        <v>11730</v>
      </c>
      <c r="E5932" s="7" t="s">
        <v>30</v>
      </c>
      <c r="F5932" s="7" t="s">
        <v>11755</v>
      </c>
      <c r="G5932" s="7" t="n">
        <v>2019</v>
      </c>
      <c r="H5932" s="7" t="s">
        <v>49</v>
      </c>
      <c r="I5932" s="7" t="s">
        <v>11132</v>
      </c>
      <c r="J5932" s="7" t="s">
        <v>208</v>
      </c>
      <c r="K5932" s="7" t="n">
        <f aca="false">IFERROR(VALUE(RIGHT(TRIM(F5932),4)),"")</f>
        <v>2019</v>
      </c>
      <c r="L5932" s="7" t="str">
        <f aca="false">IF(TRIM(E5932)="","Unknown",IFERROR(LEFT(TRIM(E5932),FIND(",",TRIM(E5932))-1),TRIM(E5932)))</f>
        <v>Japan</v>
      </c>
      <c r="M5932" s="7" t="str">
        <f aca="false">IFERROR(LEFT(J5932,FIND(",",J5932)-1),J5932)</f>
        <v>International TV Shows</v>
      </c>
      <c r="N5932" s="7" t="str">
        <f aca="false">IF(B5932="Movie",IFERROR(VALUE(LEFT(I5932,FIND(" ",I5932)-1)),""),"")</f>
        <v/>
      </c>
      <c r="O5932" s="7" t="n">
        <f aca="false">IF(B5932="TV Show",IFERROR(VALUE(LEFT(I5932,FIND(" ",I5932)-1)),""),"")</f>
        <v>2</v>
      </c>
      <c r="P5932" s="7" t="n">
        <f aca="false">IF(K5932="","",K5932-G5932)</f>
        <v>0</v>
      </c>
    </row>
    <row r="5933" customFormat="false" ht="15" hidden="false" customHeight="false" outlineLevel="0" collapsed="false">
      <c r="A5933" s="7" t="n">
        <v>80057281</v>
      </c>
      <c r="B5933" s="7" t="s">
        <v>78</v>
      </c>
      <c r="C5933" s="7" t="s">
        <v>11756</v>
      </c>
      <c r="E5933" s="7" t="s">
        <v>26</v>
      </c>
      <c r="F5933" s="7" t="s">
        <v>11755</v>
      </c>
      <c r="G5933" s="7" t="n">
        <v>2019</v>
      </c>
      <c r="H5933" s="7" t="s">
        <v>49</v>
      </c>
      <c r="I5933" s="7" t="s">
        <v>11148</v>
      </c>
      <c r="J5933" s="7" t="s">
        <v>3110</v>
      </c>
      <c r="K5933" s="7" t="n">
        <f aca="false">IFERROR(VALUE(RIGHT(TRIM(F5933),4)),"")</f>
        <v>2019</v>
      </c>
      <c r="L5933" s="7" t="str">
        <f aca="false">IF(TRIM(E5933)="","Unknown",IFERROR(LEFT(TRIM(E5933),FIND(",",TRIM(E5933))-1),TRIM(E5933)))</f>
        <v>United States</v>
      </c>
      <c r="M5933" s="7" t="str">
        <f aca="false">IFERROR(LEFT(J5933,FIND(",",J5933)-1),J5933)</f>
        <v>TV Horror</v>
      </c>
      <c r="N5933" s="7" t="str">
        <f aca="false">IF(B5933="Movie",IFERROR(VALUE(LEFT(I5933,FIND(" ",I5933)-1)),""),"")</f>
        <v/>
      </c>
      <c r="O5933" s="7" t="n">
        <f aca="false">IF(B5933="TV Show",IFERROR(VALUE(LEFT(I5933,FIND(" ",I5933)-1)),""),"")</f>
        <v>3</v>
      </c>
      <c r="P5933" s="7" t="n">
        <f aca="false">IF(K5933="","",K5933-G5933)</f>
        <v>0</v>
      </c>
    </row>
    <row r="5934" customFormat="false" ht="15" hidden="false" customHeight="false" outlineLevel="0" collapsed="false">
      <c r="A5934" s="7" t="n">
        <v>80103318</v>
      </c>
      <c r="B5934" s="7" t="s">
        <v>78</v>
      </c>
      <c r="C5934" s="7" t="s">
        <v>11757</v>
      </c>
      <c r="D5934" s="7" t="s">
        <v>1078</v>
      </c>
      <c r="E5934" s="7" t="s">
        <v>30</v>
      </c>
      <c r="F5934" s="7" t="s">
        <v>11758</v>
      </c>
      <c r="G5934" s="7" t="n">
        <v>2016</v>
      </c>
      <c r="H5934" s="7" t="s">
        <v>49</v>
      </c>
      <c r="I5934" s="7" t="s">
        <v>11132</v>
      </c>
      <c r="J5934" s="7" t="s">
        <v>542</v>
      </c>
      <c r="K5934" s="7" t="n">
        <f aca="false">IFERROR(VALUE(RIGHT(TRIM(F5934),4)),"")</f>
        <v>2016</v>
      </c>
      <c r="L5934" s="7" t="str">
        <f aca="false">IF(TRIM(E5934)="","Unknown",IFERROR(LEFT(TRIM(E5934),FIND(",",TRIM(E5934))-1),TRIM(E5934)))</f>
        <v>Japan</v>
      </c>
      <c r="M5934" s="7" t="str">
        <f aca="false">IFERROR(LEFT(J5934,FIND(",",J5934)-1),J5934)</f>
        <v>Anime Series</v>
      </c>
      <c r="N5934" s="7" t="str">
        <f aca="false">IF(B5934="Movie",IFERROR(VALUE(LEFT(I5934,FIND(" ",I5934)-1)),""),"")</f>
        <v/>
      </c>
      <c r="O5934" s="7" t="n">
        <f aca="false">IF(B5934="TV Show",IFERROR(VALUE(LEFT(I5934,FIND(" ",I5934)-1)),""),"")</f>
        <v>2</v>
      </c>
      <c r="P5934" s="7" t="n">
        <f aca="false">IF(K5934="","",K5934-G5934)</f>
        <v>0</v>
      </c>
    </row>
    <row r="5935" customFormat="false" ht="15" hidden="false" customHeight="false" outlineLevel="0" collapsed="false">
      <c r="A5935" s="7" t="n">
        <v>80198635</v>
      </c>
      <c r="B5935" s="7" t="s">
        <v>78</v>
      </c>
      <c r="C5935" s="7" t="s">
        <v>11759</v>
      </c>
      <c r="E5935" s="7" t="s">
        <v>35</v>
      </c>
      <c r="F5935" s="7" t="s">
        <v>11760</v>
      </c>
      <c r="G5935" s="7" t="n">
        <v>2019</v>
      </c>
      <c r="H5935" s="7" t="s">
        <v>48</v>
      </c>
      <c r="I5935" s="7" t="s">
        <v>11132</v>
      </c>
      <c r="J5935" s="7" t="s">
        <v>335</v>
      </c>
      <c r="K5935" s="7" t="n">
        <f aca="false">IFERROR(VALUE(RIGHT(TRIM(F5935),4)),"")</f>
        <v>2019</v>
      </c>
      <c r="L5935" s="7" t="str">
        <f aca="false">IF(TRIM(E5935)="","Unknown",IFERROR(LEFT(TRIM(E5935),FIND(",",TRIM(E5935))-1),TRIM(E5935)))</f>
        <v>Australia</v>
      </c>
      <c r="M5935" s="7" t="str">
        <f aca="false">IFERROR(LEFT(J5935,FIND(",",J5935)-1),J5935)</f>
        <v>International TV Shows</v>
      </c>
      <c r="N5935" s="7" t="str">
        <f aca="false">IF(B5935="Movie",IFERROR(VALUE(LEFT(I5935,FIND(" ",I5935)-1)),""),"")</f>
        <v/>
      </c>
      <c r="O5935" s="7" t="n">
        <f aca="false">IF(B5935="TV Show",IFERROR(VALUE(LEFT(I5935,FIND(" ",I5935)-1)),""),"")</f>
        <v>2</v>
      </c>
      <c r="P5935" s="7" t="n">
        <f aca="false">IF(K5935="","",K5935-G5935)</f>
        <v>0</v>
      </c>
    </row>
    <row r="5936" customFormat="false" ht="15" hidden="false" customHeight="false" outlineLevel="0" collapsed="false">
      <c r="A5936" s="7" t="n">
        <v>80097771</v>
      </c>
      <c r="B5936" s="7" t="s">
        <v>78</v>
      </c>
      <c r="C5936" s="7" t="s">
        <v>11761</v>
      </c>
      <c r="E5936" s="7" t="s">
        <v>31</v>
      </c>
      <c r="F5936" s="7" t="s">
        <v>11762</v>
      </c>
      <c r="G5936" s="7" t="n">
        <v>2018</v>
      </c>
      <c r="H5936" s="7" t="s">
        <v>49</v>
      </c>
      <c r="I5936" s="7" t="s">
        <v>11132</v>
      </c>
      <c r="J5936" s="7" t="s">
        <v>1357</v>
      </c>
      <c r="K5936" s="7" t="n">
        <f aca="false">IFERROR(VALUE(RIGHT(TRIM(F5936),4)),"")</f>
        <v>2018</v>
      </c>
      <c r="L5936" s="7" t="str">
        <f aca="false">IF(TRIM(E5936)="","Unknown",IFERROR(LEFT(TRIM(E5936),FIND(",",TRIM(E5936))-1),TRIM(E5936)))</f>
        <v>France</v>
      </c>
      <c r="M5936" s="7" t="str">
        <f aca="false">IFERROR(LEFT(J5936,FIND(",",J5936)-1),J5936)</f>
        <v>International TV Shows</v>
      </c>
      <c r="N5936" s="7" t="str">
        <f aca="false">IF(B5936="Movie",IFERROR(VALUE(LEFT(I5936,FIND(" ",I5936)-1)),""),"")</f>
        <v/>
      </c>
      <c r="O5936" s="7" t="n">
        <f aca="false">IF(B5936="TV Show",IFERROR(VALUE(LEFT(I5936,FIND(" ",I5936)-1)),""),"")</f>
        <v>2</v>
      </c>
      <c r="P5936" s="7" t="n">
        <f aca="false">IF(K5936="","",K5936-G5936)</f>
        <v>0</v>
      </c>
    </row>
    <row r="5937" customFormat="false" ht="15" hidden="false" customHeight="false" outlineLevel="0" collapsed="false">
      <c r="A5937" s="7" t="n">
        <v>80175350</v>
      </c>
      <c r="B5937" s="7" t="s">
        <v>78</v>
      </c>
      <c r="C5937" s="7" t="s">
        <v>11763</v>
      </c>
      <c r="E5937" s="7" t="s">
        <v>30</v>
      </c>
      <c r="F5937" s="7" t="s">
        <v>11762</v>
      </c>
      <c r="G5937" s="7" t="n">
        <v>2018</v>
      </c>
      <c r="H5937" s="7" t="s">
        <v>48</v>
      </c>
      <c r="I5937" s="7" t="s">
        <v>11132</v>
      </c>
      <c r="J5937" s="7" t="s">
        <v>542</v>
      </c>
      <c r="K5937" s="7" t="n">
        <f aca="false">IFERROR(VALUE(RIGHT(TRIM(F5937),4)),"")</f>
        <v>2018</v>
      </c>
      <c r="L5937" s="7" t="str">
        <f aca="false">IF(TRIM(E5937)="","Unknown",IFERROR(LEFT(TRIM(E5937),FIND(",",TRIM(E5937))-1),TRIM(E5937)))</f>
        <v>Japan</v>
      </c>
      <c r="M5937" s="7" t="str">
        <f aca="false">IFERROR(LEFT(J5937,FIND(",",J5937)-1),J5937)</f>
        <v>Anime Series</v>
      </c>
      <c r="N5937" s="7" t="str">
        <f aca="false">IF(B5937="Movie",IFERROR(VALUE(LEFT(I5937,FIND(" ",I5937)-1)),""),"")</f>
        <v/>
      </c>
      <c r="O5937" s="7" t="n">
        <f aca="false">IF(B5937="TV Show",IFERROR(VALUE(LEFT(I5937,FIND(" ",I5937)-1)),""),"")</f>
        <v>2</v>
      </c>
      <c r="P5937" s="7" t="n">
        <f aca="false">IF(K5937="","",K5937-G5937)</f>
        <v>0</v>
      </c>
    </row>
    <row r="5938" customFormat="false" ht="15" hidden="false" customHeight="false" outlineLevel="0" collapsed="false">
      <c r="A5938" s="7" t="n">
        <v>80217769</v>
      </c>
      <c r="B5938" s="7" t="s">
        <v>78</v>
      </c>
      <c r="C5938" s="7" t="s">
        <v>11764</v>
      </c>
      <c r="E5938" s="7" t="s">
        <v>35</v>
      </c>
      <c r="F5938" s="7" t="s">
        <v>11765</v>
      </c>
      <c r="G5938" s="7" t="n">
        <v>2019</v>
      </c>
      <c r="H5938" s="7" t="s">
        <v>49</v>
      </c>
      <c r="I5938" s="7" t="s">
        <v>11132</v>
      </c>
      <c r="J5938" s="7" t="s">
        <v>884</v>
      </c>
      <c r="K5938" s="7" t="n">
        <f aca="false">IFERROR(VALUE(RIGHT(TRIM(F5938),4)),"")</f>
        <v>2019</v>
      </c>
      <c r="L5938" s="7" t="str">
        <f aca="false">IF(TRIM(E5938)="","Unknown",IFERROR(LEFT(TRIM(E5938),FIND(",",TRIM(E5938))-1),TRIM(E5938)))</f>
        <v>Australia</v>
      </c>
      <c r="M5938" s="7" t="str">
        <f aca="false">IFERROR(LEFT(J5938,FIND(",",J5938)-1),J5938)</f>
        <v>International TV Shows</v>
      </c>
      <c r="N5938" s="7" t="str">
        <f aca="false">IF(B5938="Movie",IFERROR(VALUE(LEFT(I5938,FIND(" ",I5938)-1)),""),"")</f>
        <v/>
      </c>
      <c r="O5938" s="7" t="n">
        <f aca="false">IF(B5938="TV Show",IFERROR(VALUE(LEFT(I5938,FIND(" ",I5938)-1)),""),"")</f>
        <v>2</v>
      </c>
      <c r="P5938" s="7" t="n">
        <f aca="false">IF(K5938="","",K5938-G5938)</f>
        <v>0</v>
      </c>
    </row>
    <row r="5939" customFormat="false" ht="15" hidden="false" customHeight="false" outlineLevel="0" collapsed="false">
      <c r="A5939" s="7" t="n">
        <v>80062112</v>
      </c>
      <c r="B5939" s="7" t="s">
        <v>78</v>
      </c>
      <c r="C5939" s="7" t="s">
        <v>11766</v>
      </c>
      <c r="E5939" s="7" t="s">
        <v>26</v>
      </c>
      <c r="F5939" s="7" t="s">
        <v>11767</v>
      </c>
      <c r="G5939" s="7" t="n">
        <v>2016</v>
      </c>
      <c r="H5939" s="7" t="s">
        <v>81</v>
      </c>
      <c r="I5939" s="7" t="s">
        <v>11132</v>
      </c>
      <c r="J5939" s="7" t="s">
        <v>44</v>
      </c>
      <c r="K5939" s="7" t="n">
        <f aca="false">IFERROR(VALUE(RIGHT(TRIM(F5939),4)),"")</f>
        <v>2016</v>
      </c>
      <c r="L5939" s="7" t="str">
        <f aca="false">IF(TRIM(E5939)="","Unknown",IFERROR(LEFT(TRIM(E5939),FIND(",",TRIM(E5939))-1),TRIM(E5939)))</f>
        <v>United States</v>
      </c>
      <c r="M5939" s="7" t="str">
        <f aca="false">IFERROR(LEFT(J5939,FIND(",",J5939)-1),J5939)</f>
        <v>Kids' TV</v>
      </c>
      <c r="N5939" s="7" t="str">
        <f aca="false">IF(B5939="Movie",IFERROR(VALUE(LEFT(I5939,FIND(" ",I5939)-1)),""),"")</f>
        <v/>
      </c>
      <c r="O5939" s="7" t="n">
        <f aca="false">IF(B5939="TV Show",IFERROR(VALUE(LEFT(I5939,FIND(" ",I5939)-1)),""),"")</f>
        <v>2</v>
      </c>
      <c r="P5939" s="7" t="n">
        <f aca="false">IF(K5939="","",K5939-G5939)</f>
        <v>0</v>
      </c>
    </row>
    <row r="5940" customFormat="false" ht="15" hidden="false" customHeight="false" outlineLevel="0" collapsed="false">
      <c r="A5940" s="7" t="n">
        <v>81014647</v>
      </c>
      <c r="B5940" s="7" t="s">
        <v>78</v>
      </c>
      <c r="C5940" s="7" t="s">
        <v>11768</v>
      </c>
      <c r="E5940" s="7" t="s">
        <v>35</v>
      </c>
      <c r="F5940" s="7" t="s">
        <v>11769</v>
      </c>
      <c r="G5940" s="7" t="n">
        <v>2007</v>
      </c>
      <c r="H5940" s="7" t="s">
        <v>49</v>
      </c>
      <c r="I5940" s="7" t="s">
        <v>11198</v>
      </c>
      <c r="J5940" s="7" t="s">
        <v>289</v>
      </c>
      <c r="K5940" s="7" t="n">
        <f aca="false">IFERROR(VALUE(RIGHT(TRIM(F5940),4)),"")</f>
        <v>2018</v>
      </c>
      <c r="L5940" s="7" t="str">
        <f aca="false">IF(TRIM(E5940)="","Unknown",IFERROR(LEFT(TRIM(E5940),FIND(",",TRIM(E5940))-1),TRIM(E5940)))</f>
        <v>Australia</v>
      </c>
      <c r="M5940" s="7" t="str">
        <f aca="false">IFERROR(LEFT(J5940,FIND(",",J5940)-1),J5940)</f>
        <v>TV Comedies</v>
      </c>
      <c r="N5940" s="7" t="str">
        <f aca="false">IF(B5940="Movie",IFERROR(VALUE(LEFT(I5940,FIND(" ",I5940)-1)),""),"")</f>
        <v/>
      </c>
      <c r="O5940" s="7" t="n">
        <f aca="false">IF(B5940="TV Show",IFERROR(VALUE(LEFT(I5940,FIND(" ",I5940)-1)),""),"")</f>
        <v>6</v>
      </c>
      <c r="P5940" s="7" t="n">
        <f aca="false">IF(K5940="","",K5940-G5940)</f>
        <v>11</v>
      </c>
    </row>
    <row r="5941" customFormat="false" ht="15" hidden="false" customHeight="false" outlineLevel="0" collapsed="false">
      <c r="A5941" s="7" t="n">
        <v>80133042</v>
      </c>
      <c r="B5941" s="7" t="s">
        <v>78</v>
      </c>
      <c r="C5941" s="7" t="s">
        <v>11770</v>
      </c>
      <c r="E5941" s="7" t="s">
        <v>26</v>
      </c>
      <c r="F5941" s="7" t="s">
        <v>11771</v>
      </c>
      <c r="G5941" s="7" t="n">
        <v>2018</v>
      </c>
      <c r="H5941" s="7" t="s">
        <v>48</v>
      </c>
      <c r="I5941" s="7" t="s">
        <v>11148</v>
      </c>
      <c r="J5941" s="7" t="s">
        <v>11772</v>
      </c>
      <c r="K5941" s="7" t="n">
        <f aca="false">IFERROR(VALUE(RIGHT(TRIM(F5941),4)),"")</f>
        <v>2018</v>
      </c>
      <c r="L5941" s="7" t="str">
        <f aca="false">IF(TRIM(E5941)="","Unknown",IFERROR(LEFT(TRIM(E5941),FIND(",",TRIM(E5941))-1),TRIM(E5941)))</f>
        <v>United States</v>
      </c>
      <c r="M5941" s="7" t="str">
        <f aca="false">IFERROR(LEFT(J5941,FIND(",",J5941)-1),J5941)</f>
        <v>Crime TV Shows</v>
      </c>
      <c r="N5941" s="7" t="str">
        <f aca="false">IF(B5941="Movie",IFERROR(VALUE(LEFT(I5941,FIND(" ",I5941)-1)),""),"")</f>
        <v/>
      </c>
      <c r="O5941" s="7" t="n">
        <f aca="false">IF(B5941="TV Show",IFERROR(VALUE(LEFT(I5941,FIND(" ",I5941)-1)),""),"")</f>
        <v>3</v>
      </c>
      <c r="P5941" s="7" t="n">
        <f aca="false">IF(K5941="","",K5941-G5941)</f>
        <v>0</v>
      </c>
    </row>
    <row r="5942" customFormat="false" ht="15" hidden="false" customHeight="false" outlineLevel="0" collapsed="false">
      <c r="A5942" s="7" t="n">
        <v>80232852</v>
      </c>
      <c r="B5942" s="7" t="s">
        <v>78</v>
      </c>
      <c r="C5942" s="7" t="s">
        <v>11773</v>
      </c>
      <c r="E5942" s="7" t="s">
        <v>28</v>
      </c>
      <c r="F5942" s="7" t="s">
        <v>11774</v>
      </c>
      <c r="G5942" s="7" t="n">
        <v>2017</v>
      </c>
      <c r="H5942" s="7" t="s">
        <v>226</v>
      </c>
      <c r="I5942" s="7" t="s">
        <v>11148</v>
      </c>
      <c r="J5942" s="7" t="s">
        <v>716</v>
      </c>
      <c r="K5942" s="7" t="n">
        <f aca="false">IFERROR(VALUE(RIGHT(TRIM(F5942),4)),"")</f>
        <v>2019</v>
      </c>
      <c r="L5942" s="7" t="str">
        <f aca="false">IF(TRIM(E5942)="","Unknown",IFERROR(LEFT(TRIM(E5942),FIND(",",TRIM(E5942))-1),TRIM(E5942)))</f>
        <v>United Kingdom</v>
      </c>
      <c r="M5942" s="7" t="str">
        <f aca="false">IFERROR(LEFT(J5942,FIND(",",J5942)-1),J5942)</f>
        <v>British TV Shows</v>
      </c>
      <c r="N5942" s="7" t="str">
        <f aca="false">IF(B5942="Movie",IFERROR(VALUE(LEFT(I5942,FIND(" ",I5942)-1)),""),"")</f>
        <v/>
      </c>
      <c r="O5942" s="7" t="n">
        <f aca="false">IF(B5942="TV Show",IFERROR(VALUE(LEFT(I5942,FIND(" ",I5942)-1)),""),"")</f>
        <v>3</v>
      </c>
      <c r="P5942" s="7" t="n">
        <f aca="false">IF(K5942="","",K5942-G5942)</f>
        <v>2</v>
      </c>
    </row>
    <row r="5943" customFormat="false" ht="15" hidden="false" customHeight="false" outlineLevel="0" collapsed="false">
      <c r="A5943" s="7" t="n">
        <v>81026700</v>
      </c>
      <c r="B5943" s="7" t="s">
        <v>78</v>
      </c>
      <c r="C5943" s="7" t="s">
        <v>11775</v>
      </c>
      <c r="E5943" s="7" t="s">
        <v>32</v>
      </c>
      <c r="F5943" s="7" t="s">
        <v>11774</v>
      </c>
      <c r="G5943" s="7" t="n">
        <v>2019</v>
      </c>
      <c r="H5943" s="7" t="s">
        <v>50</v>
      </c>
      <c r="I5943" s="7" t="s">
        <v>11132</v>
      </c>
      <c r="J5943" s="7" t="s">
        <v>637</v>
      </c>
      <c r="K5943" s="7" t="n">
        <f aca="false">IFERROR(VALUE(RIGHT(TRIM(F5943),4)),"")</f>
        <v>2019</v>
      </c>
      <c r="L5943" s="7" t="str">
        <f aca="false">IF(TRIM(E5943)="","Unknown",IFERROR(LEFT(TRIM(E5943),FIND(",",TRIM(E5943))-1),TRIM(E5943)))</f>
        <v>South Korea</v>
      </c>
      <c r="M5943" s="7" t="str">
        <f aca="false">IFERROR(LEFT(J5943,FIND(",",J5943)-1),J5943)</f>
        <v>International TV Shows</v>
      </c>
      <c r="N5943" s="7" t="str">
        <f aca="false">IF(B5943="Movie",IFERROR(VALUE(LEFT(I5943,FIND(" ",I5943)-1)),""),"")</f>
        <v/>
      </c>
      <c r="O5943" s="7" t="n">
        <f aca="false">IF(B5943="TV Show",IFERROR(VALUE(LEFT(I5943,FIND(" ",I5943)-1)),""),"")</f>
        <v>2</v>
      </c>
      <c r="P5943" s="7" t="n">
        <f aca="false">IF(K5943="","",K5943-G5943)</f>
        <v>0</v>
      </c>
    </row>
    <row r="5944" customFormat="false" ht="15" hidden="false" customHeight="false" outlineLevel="0" collapsed="false">
      <c r="A5944" s="7" t="n">
        <v>70242311</v>
      </c>
      <c r="B5944" s="7" t="s">
        <v>78</v>
      </c>
      <c r="C5944" s="7" t="s">
        <v>11776</v>
      </c>
      <c r="E5944" s="7" t="s">
        <v>26</v>
      </c>
      <c r="F5944" s="7" t="s">
        <v>11774</v>
      </c>
      <c r="G5944" s="7" t="n">
        <v>2019</v>
      </c>
      <c r="H5944" s="7" t="s">
        <v>48</v>
      </c>
      <c r="I5944" s="7" t="s">
        <v>11152</v>
      </c>
      <c r="J5944" s="7" t="s">
        <v>502</v>
      </c>
      <c r="K5944" s="7" t="n">
        <f aca="false">IFERROR(VALUE(RIGHT(TRIM(F5944),4)),"")</f>
        <v>2019</v>
      </c>
      <c r="L5944" s="7" t="str">
        <f aca="false">IF(TRIM(E5944)="","Unknown",IFERROR(LEFT(TRIM(E5944),FIND(",",TRIM(E5944))-1),TRIM(E5944)))</f>
        <v>United States</v>
      </c>
      <c r="M5944" s="7" t="str">
        <f aca="false">IFERROR(LEFT(J5944,FIND(",",J5944)-1),J5944)</f>
        <v>TV Comedies</v>
      </c>
      <c r="N5944" s="7" t="str">
        <f aca="false">IF(B5944="Movie",IFERROR(VALUE(LEFT(I5944,FIND(" ",I5944)-1)),""),"")</f>
        <v/>
      </c>
      <c r="O5944" s="7" t="n">
        <f aca="false">IF(B5944="TV Show",IFERROR(VALUE(LEFT(I5944,FIND(" ",I5944)-1)),""),"")</f>
        <v>7</v>
      </c>
      <c r="P5944" s="7" t="n">
        <f aca="false">IF(K5944="","",K5944-G5944)</f>
        <v>0</v>
      </c>
    </row>
    <row r="5945" customFormat="false" ht="15" hidden="false" customHeight="false" outlineLevel="0" collapsed="false">
      <c r="A5945" s="7" t="n">
        <v>80201328</v>
      </c>
      <c r="B5945" s="7" t="s">
        <v>78</v>
      </c>
      <c r="C5945" s="7" t="s">
        <v>11777</v>
      </c>
      <c r="E5945" s="7" t="s">
        <v>26</v>
      </c>
      <c r="F5945" s="7" t="s">
        <v>11774</v>
      </c>
      <c r="G5945" s="7" t="n">
        <v>2019</v>
      </c>
      <c r="H5945" s="7" t="s">
        <v>50</v>
      </c>
      <c r="I5945" s="7" t="s">
        <v>11132</v>
      </c>
      <c r="J5945" s="7" t="s">
        <v>701</v>
      </c>
      <c r="K5945" s="7" t="n">
        <f aca="false">IFERROR(VALUE(RIGHT(TRIM(F5945),4)),"")</f>
        <v>2019</v>
      </c>
      <c r="L5945" s="7" t="str">
        <f aca="false">IF(TRIM(E5945)="","Unknown",IFERROR(LEFT(TRIM(E5945),FIND(",",TRIM(E5945))-1),TRIM(E5945)))</f>
        <v>United States</v>
      </c>
      <c r="M5945" s="7" t="str">
        <f aca="false">IFERROR(LEFT(J5945,FIND(",",J5945)-1),J5945)</f>
        <v>Reality TV</v>
      </c>
      <c r="N5945" s="7" t="str">
        <f aca="false">IF(B5945="Movie",IFERROR(VALUE(LEFT(I5945,FIND(" ",I5945)-1)),""),"")</f>
        <v/>
      </c>
      <c r="O5945" s="7" t="n">
        <f aca="false">IF(B5945="TV Show",IFERROR(VALUE(LEFT(I5945,FIND(" ",I5945)-1)),""),"")</f>
        <v>2</v>
      </c>
      <c r="P5945" s="7" t="n">
        <f aca="false">IF(K5945="","",K5945-G5945)</f>
        <v>0</v>
      </c>
    </row>
    <row r="5946" customFormat="false" ht="15" hidden="false" customHeight="false" outlineLevel="0" collapsed="false">
      <c r="A5946" s="7" t="n">
        <v>80130521</v>
      </c>
      <c r="B5946" s="7" t="s">
        <v>78</v>
      </c>
      <c r="C5946" s="7" t="s">
        <v>11778</v>
      </c>
      <c r="E5946" s="7" t="s">
        <v>6169</v>
      </c>
      <c r="F5946" s="7" t="s">
        <v>11774</v>
      </c>
      <c r="G5946" s="7" t="n">
        <v>2019</v>
      </c>
      <c r="H5946" s="7" t="s">
        <v>55</v>
      </c>
      <c r="I5946" s="7" t="s">
        <v>11148</v>
      </c>
      <c r="J5946" s="7" t="s">
        <v>4493</v>
      </c>
      <c r="K5946" s="7" t="n">
        <f aca="false">IFERROR(VALUE(RIGHT(TRIM(F5946),4)),"")</f>
        <v>2019</v>
      </c>
      <c r="L5946" s="7" t="str">
        <f aca="false">IF(TRIM(E5946)="","Unknown",IFERROR(LEFT(TRIM(E5946),FIND(",",TRIM(E5946))-1),TRIM(E5946)))</f>
        <v>United Kingdom</v>
      </c>
      <c r="M5946" s="7" t="str">
        <f aca="false">IFERROR(LEFT(J5946,FIND(",",J5946)-1),J5946)</f>
        <v>British TV Shows</v>
      </c>
      <c r="N5946" s="7" t="str">
        <f aca="false">IF(B5946="Movie",IFERROR(VALUE(LEFT(I5946,FIND(" ",I5946)-1)),""),"")</f>
        <v/>
      </c>
      <c r="O5946" s="7" t="n">
        <f aca="false">IF(B5946="TV Show",IFERROR(VALUE(LEFT(I5946,FIND(" ",I5946)-1)),""),"")</f>
        <v>3</v>
      </c>
      <c r="P5946" s="7" t="n">
        <f aca="false">IF(K5946="","",K5946-G5946)</f>
        <v>0</v>
      </c>
    </row>
    <row r="5947" customFormat="false" ht="15" hidden="false" customHeight="false" outlineLevel="0" collapsed="false">
      <c r="A5947" s="7" t="n">
        <v>80045811</v>
      </c>
      <c r="B5947" s="7" t="s">
        <v>78</v>
      </c>
      <c r="C5947" s="7" t="s">
        <v>11779</v>
      </c>
      <c r="E5947" s="7" t="s">
        <v>905</v>
      </c>
      <c r="F5947" s="7" t="s">
        <v>11780</v>
      </c>
      <c r="G5947" s="7" t="n">
        <v>2016</v>
      </c>
      <c r="H5947" s="7" t="s">
        <v>119</v>
      </c>
      <c r="I5947" s="7" t="s">
        <v>11148</v>
      </c>
      <c r="J5947" s="7" t="s">
        <v>44</v>
      </c>
      <c r="K5947" s="7" t="n">
        <f aca="false">IFERROR(VALUE(RIGHT(TRIM(F5947),4)),"")</f>
        <v>2016</v>
      </c>
      <c r="L5947" s="7" t="str">
        <f aca="false">IF(TRIM(E5947)="","Unknown",IFERROR(LEFT(TRIM(E5947),FIND(",",TRIM(E5947))-1),TRIM(E5947)))</f>
        <v>United States</v>
      </c>
      <c r="M5947" s="7" t="str">
        <f aca="false">IFERROR(LEFT(J5947,FIND(",",J5947)-1),J5947)</f>
        <v>Kids' TV</v>
      </c>
      <c r="N5947" s="7" t="str">
        <f aca="false">IF(B5947="Movie",IFERROR(VALUE(LEFT(I5947,FIND(" ",I5947)-1)),""),"")</f>
        <v/>
      </c>
      <c r="O5947" s="7" t="n">
        <f aca="false">IF(B5947="TV Show",IFERROR(VALUE(LEFT(I5947,FIND(" ",I5947)-1)),""),"")</f>
        <v>3</v>
      </c>
      <c r="P5947" s="7" t="n">
        <f aca="false">IF(K5947="","",K5947-G5947)</f>
        <v>0</v>
      </c>
    </row>
    <row r="5948" customFormat="false" ht="15" hidden="false" customHeight="false" outlineLevel="0" collapsed="false">
      <c r="A5948" s="7" t="n">
        <v>80057611</v>
      </c>
      <c r="B5948" s="7" t="s">
        <v>78</v>
      </c>
      <c r="C5948" s="7" t="s">
        <v>11781</v>
      </c>
      <c r="E5948" s="7" t="s">
        <v>2744</v>
      </c>
      <c r="F5948" s="7" t="s">
        <v>11782</v>
      </c>
      <c r="G5948" s="7" t="n">
        <v>2018</v>
      </c>
      <c r="H5948" s="7" t="s">
        <v>119</v>
      </c>
      <c r="I5948" s="7" t="s">
        <v>11148</v>
      </c>
      <c r="J5948" s="7" t="s">
        <v>44</v>
      </c>
      <c r="K5948" s="7" t="n">
        <f aca="false">IFERROR(VALUE(RIGHT(TRIM(F5948),4)),"")</f>
        <v>2019</v>
      </c>
      <c r="L5948" s="7" t="str">
        <f aca="false">IF(TRIM(E5948)="","Unknown",IFERROR(LEFT(TRIM(E5948),FIND(",",TRIM(E5948))-1),TRIM(E5948)))</f>
        <v>Australia</v>
      </c>
      <c r="M5948" s="7" t="str">
        <f aca="false">IFERROR(LEFT(J5948,FIND(",",J5948)-1),J5948)</f>
        <v>Kids' TV</v>
      </c>
      <c r="N5948" s="7" t="str">
        <f aca="false">IF(B5948="Movie",IFERROR(VALUE(LEFT(I5948,FIND(" ",I5948)-1)),""),"")</f>
        <v/>
      </c>
      <c r="O5948" s="7" t="n">
        <f aca="false">IF(B5948="TV Show",IFERROR(VALUE(LEFT(I5948,FIND(" ",I5948)-1)),""),"")</f>
        <v>3</v>
      </c>
      <c r="P5948" s="7" t="n">
        <f aca="false">IF(K5948="","",K5948-G5948)</f>
        <v>1</v>
      </c>
    </row>
    <row r="5949" customFormat="false" ht="15" hidden="false" customHeight="false" outlineLevel="0" collapsed="false">
      <c r="A5949" s="7" t="n">
        <v>80201750</v>
      </c>
      <c r="B5949" s="7" t="s">
        <v>78</v>
      </c>
      <c r="C5949" s="7" t="s">
        <v>11783</v>
      </c>
      <c r="E5949" s="7" t="s">
        <v>26</v>
      </c>
      <c r="F5949" s="7" t="s">
        <v>11784</v>
      </c>
      <c r="G5949" s="7" t="n">
        <v>2017</v>
      </c>
      <c r="H5949" s="7" t="s">
        <v>49</v>
      </c>
      <c r="I5949" s="7" t="s">
        <v>11148</v>
      </c>
      <c r="J5949" s="7" t="s">
        <v>696</v>
      </c>
      <c r="K5949" s="7" t="n">
        <f aca="false">IFERROR(VALUE(RIGHT(TRIM(F5949),4)),"")</f>
        <v>2018</v>
      </c>
      <c r="L5949" s="7" t="str">
        <f aca="false">IF(TRIM(E5949)="","Unknown",IFERROR(LEFT(TRIM(E5949),FIND(",",TRIM(E5949))-1),TRIM(E5949)))</f>
        <v>United States</v>
      </c>
      <c r="M5949" s="7" t="str">
        <f aca="false">IFERROR(LEFT(J5949,FIND(",",J5949)-1),J5949)</f>
        <v>Crime TV Shows</v>
      </c>
      <c r="N5949" s="7" t="str">
        <f aca="false">IF(B5949="Movie",IFERROR(VALUE(LEFT(I5949,FIND(" ",I5949)-1)),""),"")</f>
        <v/>
      </c>
      <c r="O5949" s="7" t="n">
        <f aca="false">IF(B5949="TV Show",IFERROR(VALUE(LEFT(I5949,FIND(" ",I5949)-1)),""),"")</f>
        <v>3</v>
      </c>
      <c r="P5949" s="7" t="n">
        <f aca="false">IF(K5949="","",K5949-G5949)</f>
        <v>1</v>
      </c>
    </row>
    <row r="5950" customFormat="false" ht="15" hidden="false" customHeight="false" outlineLevel="0" collapsed="false">
      <c r="A5950" s="7" t="n">
        <v>80205440</v>
      </c>
      <c r="B5950" s="7" t="s">
        <v>78</v>
      </c>
      <c r="C5950" s="7" t="s">
        <v>11785</v>
      </c>
      <c r="E5950" s="7" t="s">
        <v>26</v>
      </c>
      <c r="F5950" s="7" t="s">
        <v>11784</v>
      </c>
      <c r="G5950" s="7" t="n">
        <v>2014</v>
      </c>
      <c r="H5950" s="7" t="s">
        <v>226</v>
      </c>
      <c r="I5950" s="7" t="s">
        <v>11148</v>
      </c>
      <c r="J5950" s="7" t="s">
        <v>701</v>
      </c>
      <c r="K5950" s="7" t="n">
        <f aca="false">IFERROR(VALUE(RIGHT(TRIM(F5950),4)),"")</f>
        <v>2018</v>
      </c>
      <c r="L5950" s="7" t="str">
        <f aca="false">IF(TRIM(E5950)="","Unknown",IFERROR(LEFT(TRIM(E5950),FIND(",",TRIM(E5950))-1),TRIM(E5950)))</f>
        <v>United States</v>
      </c>
      <c r="M5950" s="7" t="str">
        <f aca="false">IFERROR(LEFT(J5950,FIND(",",J5950)-1),J5950)</f>
        <v>Reality TV</v>
      </c>
      <c r="N5950" s="7" t="str">
        <f aca="false">IF(B5950="Movie",IFERROR(VALUE(LEFT(I5950,FIND(" ",I5950)-1)),""),"")</f>
        <v/>
      </c>
      <c r="O5950" s="7" t="n">
        <f aca="false">IF(B5950="TV Show",IFERROR(VALUE(LEFT(I5950,FIND(" ",I5950)-1)),""),"")</f>
        <v>3</v>
      </c>
      <c r="P5950" s="7" t="n">
        <f aca="false">IF(K5950="","",K5950-G5950)</f>
        <v>4</v>
      </c>
    </row>
    <row r="5951" customFormat="false" ht="15" hidden="false" customHeight="false" outlineLevel="0" collapsed="false">
      <c r="A5951" s="7" t="n">
        <v>80089198</v>
      </c>
      <c r="B5951" s="7" t="s">
        <v>78</v>
      </c>
      <c r="C5951" s="7" t="s">
        <v>11786</v>
      </c>
      <c r="E5951" s="7" t="s">
        <v>26</v>
      </c>
      <c r="F5951" s="7" t="s">
        <v>11784</v>
      </c>
      <c r="G5951" s="7" t="n">
        <v>2018</v>
      </c>
      <c r="H5951" s="7" t="s">
        <v>55</v>
      </c>
      <c r="I5951" s="7" t="s">
        <v>11155</v>
      </c>
      <c r="J5951" s="7" t="s">
        <v>191</v>
      </c>
      <c r="K5951" s="7" t="n">
        <f aca="false">IFERROR(VALUE(RIGHT(TRIM(F5951),4)),"")</f>
        <v>2018</v>
      </c>
      <c r="L5951" s="7" t="str">
        <f aca="false">IF(TRIM(E5951)="","Unknown",IFERROR(LEFT(TRIM(E5951),FIND(",",TRIM(E5951))-1),TRIM(E5951)))</f>
        <v>United States</v>
      </c>
      <c r="M5951" s="7" t="str">
        <f aca="false">IFERROR(LEFT(J5951,FIND(",",J5951)-1),J5951)</f>
        <v>Kids' TV</v>
      </c>
      <c r="N5951" s="7" t="str">
        <f aca="false">IF(B5951="Movie",IFERROR(VALUE(LEFT(I5951,FIND(" ",I5951)-1)),""),"")</f>
        <v/>
      </c>
      <c r="O5951" s="7" t="n">
        <f aca="false">IF(B5951="TV Show",IFERROR(VALUE(LEFT(I5951,FIND(" ",I5951)-1)),""),"")</f>
        <v>4</v>
      </c>
      <c r="P5951" s="7" t="n">
        <f aca="false">IF(K5951="","",K5951-G5951)</f>
        <v>0</v>
      </c>
    </row>
    <row r="5952" customFormat="false" ht="15" hidden="false" customHeight="false" outlineLevel="0" collapsed="false">
      <c r="A5952" s="7" t="n">
        <v>80202146</v>
      </c>
      <c r="B5952" s="7" t="s">
        <v>78</v>
      </c>
      <c r="C5952" s="7" t="s">
        <v>11787</v>
      </c>
      <c r="E5952" s="7" t="s">
        <v>619</v>
      </c>
      <c r="F5952" s="7" t="s">
        <v>11784</v>
      </c>
      <c r="G5952" s="7" t="n">
        <v>2018</v>
      </c>
      <c r="H5952" s="7" t="s">
        <v>119</v>
      </c>
      <c r="I5952" s="7" t="s">
        <v>11132</v>
      </c>
      <c r="J5952" s="7" t="s">
        <v>44</v>
      </c>
      <c r="K5952" s="7" t="n">
        <f aca="false">IFERROR(VALUE(RIGHT(TRIM(F5952),4)),"")</f>
        <v>2018</v>
      </c>
      <c r="L5952" s="7" t="str">
        <f aca="false">IF(TRIM(E5952)="","Unknown",IFERROR(LEFT(TRIM(E5952),FIND(",",TRIM(E5952))-1),TRIM(E5952)))</f>
        <v>Canada</v>
      </c>
      <c r="M5952" s="7" t="str">
        <f aca="false">IFERROR(LEFT(J5952,FIND(",",J5952)-1),J5952)</f>
        <v>Kids' TV</v>
      </c>
      <c r="N5952" s="7" t="str">
        <f aca="false">IF(B5952="Movie",IFERROR(VALUE(LEFT(I5952,FIND(" ",I5952)-1)),""),"")</f>
        <v/>
      </c>
      <c r="O5952" s="7" t="n">
        <f aca="false">IF(B5952="TV Show",IFERROR(VALUE(LEFT(I5952,FIND(" ",I5952)-1)),""),"")</f>
        <v>2</v>
      </c>
      <c r="P5952" s="7" t="n">
        <f aca="false">IF(K5952="","",K5952-G5952)</f>
        <v>0</v>
      </c>
    </row>
    <row r="5953" customFormat="false" ht="15" hidden="false" customHeight="false" outlineLevel="0" collapsed="false">
      <c r="A5953" s="7" t="n">
        <v>80201773</v>
      </c>
      <c r="B5953" s="7" t="s">
        <v>78</v>
      </c>
      <c r="C5953" s="7" t="s">
        <v>11788</v>
      </c>
      <c r="D5953" s="7" t="s">
        <v>11789</v>
      </c>
      <c r="E5953" s="7" t="s">
        <v>26</v>
      </c>
      <c r="F5953" s="7" t="s">
        <v>11784</v>
      </c>
      <c r="G5953" s="7" t="n">
        <v>2018</v>
      </c>
      <c r="H5953" s="7" t="s">
        <v>50</v>
      </c>
      <c r="I5953" s="7" t="s">
        <v>11148</v>
      </c>
      <c r="J5953" s="7" t="s">
        <v>164</v>
      </c>
      <c r="K5953" s="7" t="n">
        <f aca="false">IFERROR(VALUE(RIGHT(TRIM(F5953),4)),"")</f>
        <v>2018</v>
      </c>
      <c r="L5953" s="7" t="str">
        <f aca="false">IF(TRIM(E5953)="","Unknown",IFERROR(LEFT(TRIM(E5953),FIND(",",TRIM(E5953))-1),TRIM(E5953)))</f>
        <v>United States</v>
      </c>
      <c r="M5953" s="7" t="str">
        <f aca="false">IFERROR(LEFT(J5953,FIND(",",J5953)-1),J5953)</f>
        <v>Docuseries</v>
      </c>
      <c r="N5953" s="7" t="str">
        <f aca="false">IF(B5953="Movie",IFERROR(VALUE(LEFT(I5953,FIND(" ",I5953)-1)),""),"")</f>
        <v/>
      </c>
      <c r="O5953" s="7" t="n">
        <f aca="false">IF(B5953="TV Show",IFERROR(VALUE(LEFT(I5953,FIND(" ",I5953)-1)),""),"")</f>
        <v>3</v>
      </c>
      <c r="P5953" s="7" t="n">
        <f aca="false">IF(K5953="","",K5953-G5953)</f>
        <v>0</v>
      </c>
    </row>
    <row r="5954" customFormat="false" ht="15" hidden="false" customHeight="false" outlineLevel="0" collapsed="false">
      <c r="A5954" s="7" t="n">
        <v>80036416</v>
      </c>
      <c r="B5954" s="7" t="s">
        <v>78</v>
      </c>
      <c r="C5954" s="7" t="s">
        <v>11790</v>
      </c>
      <c r="E5954" s="7" t="s">
        <v>230</v>
      </c>
      <c r="F5954" s="7" t="s">
        <v>11791</v>
      </c>
      <c r="G5954" s="7" t="n">
        <v>2018</v>
      </c>
      <c r="H5954" s="7" t="s">
        <v>50</v>
      </c>
      <c r="I5954" s="7" t="s">
        <v>11155</v>
      </c>
      <c r="J5954" s="7" t="s">
        <v>3714</v>
      </c>
      <c r="K5954" s="7" t="n">
        <f aca="false">IFERROR(VALUE(RIGHT(TRIM(F5954),4)),"")</f>
        <v>2019</v>
      </c>
      <c r="L5954" s="7" t="str">
        <f aca="false">IF(TRIM(E5954)="","Unknown",IFERROR(LEFT(TRIM(E5954),FIND(",",TRIM(E5954))-1),TRIM(E5954)))</f>
        <v>United States</v>
      </c>
      <c r="M5954" s="7" t="str">
        <f aca="false">IFERROR(LEFT(J5954,FIND(",",J5954)-1),J5954)</f>
        <v>TV Dramas</v>
      </c>
      <c r="N5954" s="7" t="str">
        <f aca="false">IF(B5954="Movie",IFERROR(VALUE(LEFT(I5954,FIND(" ",I5954)-1)),""),"")</f>
        <v/>
      </c>
      <c r="O5954" s="7" t="n">
        <f aca="false">IF(B5954="TV Show",IFERROR(VALUE(LEFT(I5954,FIND(" ",I5954)-1)),""),"")</f>
        <v>4</v>
      </c>
      <c r="P5954" s="7" t="n">
        <f aca="false">IF(K5954="","",K5954-G5954)</f>
        <v>1</v>
      </c>
    </row>
    <row r="5955" customFormat="false" ht="15" hidden="false" customHeight="false" outlineLevel="0" collapsed="false">
      <c r="A5955" s="7" t="n">
        <v>80171362</v>
      </c>
      <c r="B5955" s="7" t="s">
        <v>78</v>
      </c>
      <c r="C5955" s="7" t="s">
        <v>11792</v>
      </c>
      <c r="D5955" s="7" t="s">
        <v>2900</v>
      </c>
      <c r="E5955" s="7" t="s">
        <v>26</v>
      </c>
      <c r="F5955" s="7" t="s">
        <v>11793</v>
      </c>
      <c r="G5955" s="7" t="n">
        <v>2019</v>
      </c>
      <c r="H5955" s="7" t="s">
        <v>49</v>
      </c>
      <c r="I5955" s="7" t="s">
        <v>11198</v>
      </c>
      <c r="J5955" s="7" t="s">
        <v>795</v>
      </c>
      <c r="K5955" s="7" t="n">
        <f aca="false">IFERROR(VALUE(RIGHT(TRIM(F5955),4)),"")</f>
        <v>2019</v>
      </c>
      <c r="L5955" s="7" t="str">
        <f aca="false">IF(TRIM(E5955)="","Unknown",IFERROR(LEFT(TRIM(E5955),FIND(",",TRIM(E5955))-1),TRIM(E5955)))</f>
        <v>United States</v>
      </c>
      <c r="M5955" s="7" t="str">
        <f aca="false">IFERROR(LEFT(J5955,FIND(",",J5955)-1),J5955)</f>
        <v>Stand-Up Comedy &amp; Talk Shows</v>
      </c>
      <c r="N5955" s="7" t="str">
        <f aca="false">IF(B5955="Movie",IFERROR(VALUE(LEFT(I5955,FIND(" ",I5955)-1)),""),"")</f>
        <v/>
      </c>
      <c r="O5955" s="7" t="n">
        <f aca="false">IF(B5955="TV Show",IFERROR(VALUE(LEFT(I5955,FIND(" ",I5955)-1)),""),"")</f>
        <v>6</v>
      </c>
      <c r="P5955" s="7" t="n">
        <f aca="false">IF(K5955="","",K5955-G5955)</f>
        <v>0</v>
      </c>
    </row>
    <row r="5956" customFormat="false" ht="15" hidden="false" customHeight="false" outlineLevel="0" collapsed="false">
      <c r="A5956" s="7" t="n">
        <v>80192098</v>
      </c>
      <c r="B5956" s="7" t="s">
        <v>78</v>
      </c>
      <c r="C5956" s="7" t="s">
        <v>11794</v>
      </c>
      <c r="E5956" s="7" t="s">
        <v>33</v>
      </c>
      <c r="F5956" s="7" t="s">
        <v>11793</v>
      </c>
      <c r="G5956" s="7" t="n">
        <v>2019</v>
      </c>
      <c r="H5956" s="7" t="s">
        <v>48</v>
      </c>
      <c r="I5956" s="7" t="s">
        <v>11148</v>
      </c>
      <c r="J5956" s="7" t="s">
        <v>89</v>
      </c>
      <c r="K5956" s="7" t="n">
        <f aca="false">IFERROR(VALUE(RIGHT(TRIM(F5956),4)),"")</f>
        <v>2019</v>
      </c>
      <c r="L5956" s="7" t="str">
        <f aca="false">IF(TRIM(E5956)="","Unknown",IFERROR(LEFT(TRIM(E5956),FIND(",",TRIM(E5956))-1),TRIM(E5956)))</f>
        <v>Spain</v>
      </c>
      <c r="M5956" s="7" t="str">
        <f aca="false">IFERROR(LEFT(J5956,FIND(",",J5956)-1),J5956)</f>
        <v>Crime TV Shows</v>
      </c>
      <c r="N5956" s="7" t="str">
        <f aca="false">IF(B5956="Movie",IFERROR(VALUE(LEFT(I5956,FIND(" ",I5956)-1)),""),"")</f>
        <v/>
      </c>
      <c r="O5956" s="7" t="n">
        <f aca="false">IF(B5956="TV Show",IFERROR(VALUE(LEFT(I5956,FIND(" ",I5956)-1)),""),"")</f>
        <v>3</v>
      </c>
      <c r="P5956" s="7" t="n">
        <f aca="false">IF(K5956="","",K5956-G5956)</f>
        <v>0</v>
      </c>
    </row>
    <row r="5957" customFormat="false" ht="15" hidden="false" customHeight="false" outlineLevel="0" collapsed="false">
      <c r="A5957" s="7" t="n">
        <v>80091742</v>
      </c>
      <c r="B5957" s="7" t="s">
        <v>78</v>
      </c>
      <c r="C5957" s="7" t="s">
        <v>11795</v>
      </c>
      <c r="E5957" s="7" t="s">
        <v>26</v>
      </c>
      <c r="F5957" s="7" t="s">
        <v>11793</v>
      </c>
      <c r="G5957" s="7" t="n">
        <v>2019</v>
      </c>
      <c r="H5957" s="7" t="s">
        <v>48</v>
      </c>
      <c r="I5957" s="7" t="s">
        <v>11155</v>
      </c>
      <c r="J5957" s="7" t="s">
        <v>164</v>
      </c>
      <c r="K5957" s="7" t="n">
        <f aca="false">IFERROR(VALUE(RIGHT(TRIM(F5957),4)),"")</f>
        <v>2019</v>
      </c>
      <c r="L5957" s="7" t="str">
        <f aca="false">IF(TRIM(E5957)="","Unknown",IFERROR(LEFT(TRIM(E5957),FIND(",",TRIM(E5957))-1),TRIM(E5957)))</f>
        <v>United States</v>
      </c>
      <c r="M5957" s="7" t="str">
        <f aca="false">IFERROR(LEFT(J5957,FIND(",",J5957)-1),J5957)</f>
        <v>Docuseries</v>
      </c>
      <c r="N5957" s="7" t="str">
        <f aca="false">IF(B5957="Movie",IFERROR(VALUE(LEFT(I5957,FIND(" ",I5957)-1)),""),"")</f>
        <v/>
      </c>
      <c r="O5957" s="7" t="n">
        <f aca="false">IF(B5957="TV Show",IFERROR(VALUE(LEFT(I5957,FIND(" ",I5957)-1)),""),"")</f>
        <v>4</v>
      </c>
      <c r="P5957" s="7" t="n">
        <f aca="false">IF(K5957="","",K5957-G5957)</f>
        <v>0</v>
      </c>
    </row>
    <row r="5958" customFormat="false" ht="15" hidden="false" customHeight="false" outlineLevel="0" collapsed="false">
      <c r="A5958" s="7" t="n">
        <v>80160037</v>
      </c>
      <c r="B5958" s="7" t="s">
        <v>78</v>
      </c>
      <c r="C5958" s="7" t="s">
        <v>11796</v>
      </c>
      <c r="E5958" s="7" t="s">
        <v>26</v>
      </c>
      <c r="F5958" s="7" t="s">
        <v>11793</v>
      </c>
      <c r="G5958" s="7" t="n">
        <v>2019</v>
      </c>
      <c r="H5958" s="7" t="s">
        <v>49</v>
      </c>
      <c r="I5958" s="7" t="s">
        <v>11155</v>
      </c>
      <c r="J5958" s="7" t="s">
        <v>701</v>
      </c>
      <c r="K5958" s="7" t="n">
        <f aca="false">IFERROR(VALUE(RIGHT(TRIM(F5958),4)),"")</f>
        <v>2019</v>
      </c>
      <c r="L5958" s="7" t="str">
        <f aca="false">IF(TRIM(E5958)="","Unknown",IFERROR(LEFT(TRIM(E5958),FIND(",",TRIM(E5958))-1),TRIM(E5958)))</f>
        <v>United States</v>
      </c>
      <c r="M5958" s="7" t="str">
        <f aca="false">IFERROR(LEFT(J5958,FIND(",",J5958)-1),J5958)</f>
        <v>Reality TV</v>
      </c>
      <c r="N5958" s="7" t="str">
        <f aca="false">IF(B5958="Movie",IFERROR(VALUE(LEFT(I5958,FIND(" ",I5958)-1)),""),"")</f>
        <v/>
      </c>
      <c r="O5958" s="7" t="n">
        <f aca="false">IF(B5958="TV Show",IFERROR(VALUE(LEFT(I5958,FIND(" ",I5958)-1)),""),"")</f>
        <v>4</v>
      </c>
      <c r="P5958" s="7" t="n">
        <f aca="false">IF(K5958="","",K5958-G5958)</f>
        <v>0</v>
      </c>
    </row>
    <row r="5959" customFormat="false" ht="15" hidden="false" customHeight="false" outlineLevel="0" collapsed="false">
      <c r="A5959" s="7" t="n">
        <v>80179782</v>
      </c>
      <c r="B5959" s="7" t="s">
        <v>78</v>
      </c>
      <c r="C5959" s="7" t="s">
        <v>11797</v>
      </c>
      <c r="E5959" s="7" t="s">
        <v>26</v>
      </c>
      <c r="F5959" s="7" t="s">
        <v>11793</v>
      </c>
      <c r="G5959" s="7" t="n">
        <v>2019</v>
      </c>
      <c r="H5959" s="7" t="s">
        <v>55</v>
      </c>
      <c r="I5959" s="7" t="s">
        <v>11148</v>
      </c>
      <c r="J5959" s="7" t="s">
        <v>191</v>
      </c>
      <c r="K5959" s="7" t="n">
        <f aca="false">IFERROR(VALUE(RIGHT(TRIM(F5959),4)),"")</f>
        <v>2019</v>
      </c>
      <c r="L5959" s="7" t="str">
        <f aca="false">IF(TRIM(E5959)="","Unknown",IFERROR(LEFT(TRIM(E5959),FIND(",",TRIM(E5959))-1),TRIM(E5959)))</f>
        <v>United States</v>
      </c>
      <c r="M5959" s="7" t="str">
        <f aca="false">IFERROR(LEFT(J5959,FIND(",",J5959)-1),J5959)</f>
        <v>Kids' TV</v>
      </c>
      <c r="N5959" s="7" t="str">
        <f aca="false">IF(B5959="Movie",IFERROR(VALUE(LEFT(I5959,FIND(" ",I5959)-1)),""),"")</f>
        <v/>
      </c>
      <c r="O5959" s="7" t="n">
        <f aca="false">IF(B5959="TV Show",IFERROR(VALUE(LEFT(I5959,FIND(" ",I5959)-1)),""),"")</f>
        <v>3</v>
      </c>
      <c r="P5959" s="7" t="n">
        <f aca="false">IF(K5959="","",K5959-G5959)</f>
        <v>0</v>
      </c>
    </row>
    <row r="5960" customFormat="false" ht="15" hidden="false" customHeight="false" outlineLevel="0" collapsed="false">
      <c r="A5960" s="7" t="n">
        <v>80182950</v>
      </c>
      <c r="B5960" s="7" t="s">
        <v>78</v>
      </c>
      <c r="C5960" s="7" t="s">
        <v>11798</v>
      </c>
      <c r="E5960" s="7" t="s">
        <v>719</v>
      </c>
      <c r="F5960" s="7" t="s">
        <v>11799</v>
      </c>
      <c r="G5960" s="7" t="n">
        <v>2018</v>
      </c>
      <c r="H5960" s="7" t="s">
        <v>48</v>
      </c>
      <c r="I5960" s="7" t="s">
        <v>11132</v>
      </c>
      <c r="J5960" s="7" t="s">
        <v>502</v>
      </c>
      <c r="K5960" s="7" t="n">
        <f aca="false">IFERROR(VALUE(RIGHT(TRIM(F5960),4)),"")</f>
        <v>2018</v>
      </c>
      <c r="L5960" s="7" t="str">
        <f aca="false">IF(TRIM(E5960)="","Unknown",IFERROR(LEFT(TRIM(E5960),FIND(",",TRIM(E5960))-1),TRIM(E5960)))</f>
        <v>Ireland</v>
      </c>
      <c r="M5960" s="7" t="str">
        <f aca="false">IFERROR(LEFT(J5960,FIND(",",J5960)-1),J5960)</f>
        <v>TV Comedies</v>
      </c>
      <c r="N5960" s="7" t="str">
        <f aca="false">IF(B5960="Movie",IFERROR(VALUE(LEFT(I5960,FIND(" ",I5960)-1)),""),"")</f>
        <v/>
      </c>
      <c r="O5960" s="7" t="n">
        <f aca="false">IF(B5960="TV Show",IFERROR(VALUE(LEFT(I5960,FIND(" ",I5960)-1)),""),"")</f>
        <v>2</v>
      </c>
      <c r="P5960" s="7" t="n">
        <f aca="false">IF(K5960="","",K5960-G5960)</f>
        <v>0</v>
      </c>
    </row>
    <row r="5961" customFormat="false" ht="15" hidden="false" customHeight="false" outlineLevel="0" collapsed="false">
      <c r="A5961" s="7" t="n">
        <v>70153374</v>
      </c>
      <c r="B5961" s="7" t="s">
        <v>78</v>
      </c>
      <c r="C5961" s="7" t="s">
        <v>11800</v>
      </c>
      <c r="E5961" s="7" t="s">
        <v>29</v>
      </c>
      <c r="F5961" s="7" t="s">
        <v>11801</v>
      </c>
      <c r="G5961" s="7" t="n">
        <v>2007</v>
      </c>
      <c r="H5961" s="7" t="s">
        <v>49</v>
      </c>
      <c r="I5961" s="7" t="s">
        <v>11132</v>
      </c>
      <c r="J5961" s="7" t="s">
        <v>834</v>
      </c>
      <c r="K5961" s="7" t="n">
        <f aca="false">IFERROR(VALUE(RIGHT(TRIM(F5961),4)),"")</f>
        <v>2017</v>
      </c>
      <c r="L5961" s="7" t="str">
        <f aca="false">IF(TRIM(E5961)="","Unknown",IFERROR(LEFT(TRIM(E5961),FIND(",",TRIM(E5961))-1),TRIM(E5961)))</f>
        <v>Canada</v>
      </c>
      <c r="M5961" s="7" t="str">
        <f aca="false">IFERROR(LEFT(J5961,FIND(",",J5961)-1),J5961)</f>
        <v>Crime TV Shows</v>
      </c>
      <c r="N5961" s="7" t="str">
        <f aca="false">IF(B5961="Movie",IFERROR(VALUE(LEFT(I5961,FIND(" ",I5961)-1)),""),"")</f>
        <v/>
      </c>
      <c r="O5961" s="7" t="n">
        <f aca="false">IF(B5961="TV Show",IFERROR(VALUE(LEFT(I5961,FIND(" ",I5961)-1)),""),"")</f>
        <v>2</v>
      </c>
      <c r="P5961" s="7" t="n">
        <f aca="false">IF(K5961="","",K5961-G5961)</f>
        <v>10</v>
      </c>
    </row>
    <row r="5962" customFormat="false" ht="15" hidden="false" customHeight="false" outlineLevel="0" collapsed="false">
      <c r="A5962" s="7" t="n">
        <v>70143843</v>
      </c>
      <c r="B5962" s="7" t="s">
        <v>78</v>
      </c>
      <c r="C5962" s="7" t="s">
        <v>11802</v>
      </c>
      <c r="E5962" s="7" t="s">
        <v>26</v>
      </c>
      <c r="F5962" s="7" t="s">
        <v>11803</v>
      </c>
      <c r="G5962" s="7" t="n">
        <v>2015</v>
      </c>
      <c r="H5962" s="7" t="s">
        <v>50</v>
      </c>
      <c r="I5962" s="7" t="s">
        <v>11198</v>
      </c>
      <c r="J5962" s="7" t="s">
        <v>408</v>
      </c>
      <c r="K5962" s="7" t="n">
        <f aca="false">IFERROR(VALUE(RIGHT(TRIM(F5962),4)),"")</f>
        <v>2015</v>
      </c>
      <c r="L5962" s="7" t="str">
        <f aca="false">IF(TRIM(E5962)="","Unknown",IFERROR(LEFT(TRIM(E5962),FIND(",",TRIM(E5962))-1),TRIM(E5962)))</f>
        <v>United States</v>
      </c>
      <c r="M5962" s="7" t="str">
        <f aca="false">IFERROR(LEFT(J5962,FIND(",",J5962)-1),J5962)</f>
        <v>TV Comedies</v>
      </c>
      <c r="N5962" s="7" t="str">
        <f aca="false">IF(B5962="Movie",IFERROR(VALUE(LEFT(I5962,FIND(" ",I5962)-1)),""),"")</f>
        <v/>
      </c>
      <c r="O5962" s="7" t="n">
        <f aca="false">IF(B5962="TV Show",IFERROR(VALUE(LEFT(I5962,FIND(" ",I5962)-1)),""),"")</f>
        <v>6</v>
      </c>
      <c r="P5962" s="7" t="n">
        <f aca="false">IF(K5962="","",K5962-G5962)</f>
        <v>0</v>
      </c>
    </row>
    <row r="5963" customFormat="false" ht="15" hidden="false" customHeight="false" outlineLevel="0" collapsed="false">
      <c r="A5963" s="7" t="n">
        <v>80175934</v>
      </c>
      <c r="B5963" s="7" t="s">
        <v>78</v>
      </c>
      <c r="C5963" s="7" t="s">
        <v>11804</v>
      </c>
      <c r="E5963" s="7" t="s">
        <v>26</v>
      </c>
      <c r="F5963" s="7" t="s">
        <v>11805</v>
      </c>
      <c r="G5963" s="7" t="n">
        <v>2019</v>
      </c>
      <c r="H5963" s="7" t="s">
        <v>55</v>
      </c>
      <c r="I5963" s="7" t="s">
        <v>11148</v>
      </c>
      <c r="J5963" s="7" t="s">
        <v>191</v>
      </c>
      <c r="K5963" s="7" t="n">
        <f aca="false">IFERROR(VALUE(RIGHT(TRIM(F5963),4)),"")</f>
        <v>2019</v>
      </c>
      <c r="L5963" s="7" t="str">
        <f aca="false">IF(TRIM(E5963)="","Unknown",IFERROR(LEFT(TRIM(E5963),FIND(",",TRIM(E5963))-1),TRIM(E5963)))</f>
        <v>United States</v>
      </c>
      <c r="M5963" s="7" t="str">
        <f aca="false">IFERROR(LEFT(J5963,FIND(",",J5963)-1),J5963)</f>
        <v>Kids' TV</v>
      </c>
      <c r="N5963" s="7" t="str">
        <f aca="false">IF(B5963="Movie",IFERROR(VALUE(LEFT(I5963,FIND(" ",I5963)-1)),""),"")</f>
        <v/>
      </c>
      <c r="O5963" s="7" t="n">
        <f aca="false">IF(B5963="TV Show",IFERROR(VALUE(LEFT(I5963,FIND(" ",I5963)-1)),""),"")</f>
        <v>3</v>
      </c>
      <c r="P5963" s="7" t="n">
        <f aca="false">IF(K5963="","",K5963-G5963)</f>
        <v>0</v>
      </c>
    </row>
    <row r="5964" customFormat="false" ht="15" hidden="false" customHeight="false" outlineLevel="0" collapsed="false">
      <c r="A5964" s="7" t="n">
        <v>80100105</v>
      </c>
      <c r="B5964" s="7" t="s">
        <v>78</v>
      </c>
      <c r="C5964" s="7" t="s">
        <v>11806</v>
      </c>
      <c r="E5964" s="7" t="s">
        <v>619</v>
      </c>
      <c r="F5964" s="7" t="s">
        <v>11807</v>
      </c>
      <c r="G5964" s="7" t="n">
        <v>2018</v>
      </c>
      <c r="H5964" s="7" t="s">
        <v>49</v>
      </c>
      <c r="I5964" s="7" t="s">
        <v>11148</v>
      </c>
      <c r="J5964" s="7" t="s">
        <v>393</v>
      </c>
      <c r="K5964" s="7" t="n">
        <f aca="false">IFERROR(VALUE(RIGHT(TRIM(F5964),4)),"")</f>
        <v>2019</v>
      </c>
      <c r="L5964" s="7" t="str">
        <f aca="false">IF(TRIM(E5964)="","Unknown",IFERROR(LEFT(TRIM(E5964),FIND(",",TRIM(E5964))-1),TRIM(E5964)))</f>
        <v>Canada</v>
      </c>
      <c r="M5964" s="7" t="str">
        <f aca="false">IFERROR(LEFT(J5964,FIND(",",J5964)-1),J5964)</f>
        <v>International TV Shows</v>
      </c>
      <c r="N5964" s="7" t="str">
        <f aca="false">IF(B5964="Movie",IFERROR(VALUE(LEFT(I5964,FIND(" ",I5964)-1)),""),"")</f>
        <v/>
      </c>
      <c r="O5964" s="7" t="n">
        <f aca="false">IF(B5964="TV Show",IFERROR(VALUE(LEFT(I5964,FIND(" ",I5964)-1)),""),"")</f>
        <v>3</v>
      </c>
      <c r="P5964" s="7" t="n">
        <f aca="false">IF(K5964="","",K5964-G5964)</f>
        <v>1</v>
      </c>
    </row>
    <row r="5965" customFormat="false" ht="15" hidden="false" customHeight="false" outlineLevel="0" collapsed="false">
      <c r="A5965" s="7" t="n">
        <v>80211384</v>
      </c>
      <c r="B5965" s="7" t="s">
        <v>78</v>
      </c>
      <c r="C5965" s="7" t="s">
        <v>11808</v>
      </c>
      <c r="E5965" s="7" t="s">
        <v>26</v>
      </c>
      <c r="F5965" s="7" t="s">
        <v>11809</v>
      </c>
      <c r="G5965" s="7" t="n">
        <v>2018</v>
      </c>
      <c r="H5965" s="7" t="s">
        <v>48</v>
      </c>
      <c r="I5965" s="7" t="s">
        <v>11132</v>
      </c>
      <c r="J5965" s="7" t="s">
        <v>795</v>
      </c>
      <c r="K5965" s="7" t="n">
        <f aca="false">IFERROR(VALUE(RIGHT(TRIM(F5965),4)),"")</f>
        <v>2018</v>
      </c>
      <c r="L5965" s="7" t="str">
        <f aca="false">IF(TRIM(E5965)="","Unknown",IFERROR(LEFT(TRIM(E5965),FIND(",",TRIM(E5965))-1),TRIM(E5965)))</f>
        <v>United States</v>
      </c>
      <c r="M5965" s="7" t="str">
        <f aca="false">IFERROR(LEFT(J5965,FIND(",",J5965)-1),J5965)</f>
        <v>Stand-Up Comedy &amp; Talk Shows</v>
      </c>
      <c r="N5965" s="7" t="str">
        <f aca="false">IF(B5965="Movie",IFERROR(VALUE(LEFT(I5965,FIND(" ",I5965)-1)),""),"")</f>
        <v/>
      </c>
      <c r="O5965" s="7" t="n">
        <f aca="false">IF(B5965="TV Show",IFERROR(VALUE(LEFT(I5965,FIND(" ",I5965)-1)),""),"")</f>
        <v>2</v>
      </c>
      <c r="P5965" s="7" t="n">
        <f aca="false">IF(K5965="","",K5965-G5965)</f>
        <v>0</v>
      </c>
    </row>
    <row r="5966" customFormat="false" ht="15" hidden="false" customHeight="false" outlineLevel="0" collapsed="false">
      <c r="A5966" s="7" t="n">
        <v>80025553</v>
      </c>
      <c r="B5966" s="7" t="s">
        <v>78</v>
      </c>
      <c r="C5966" s="7" t="s">
        <v>11810</v>
      </c>
      <c r="E5966" s="7" t="s">
        <v>6226</v>
      </c>
      <c r="F5966" s="7" t="s">
        <v>11811</v>
      </c>
      <c r="G5966" s="7" t="n">
        <v>2015</v>
      </c>
      <c r="H5966" s="7" t="s">
        <v>55</v>
      </c>
      <c r="I5966" s="7" t="s">
        <v>11132</v>
      </c>
      <c r="J5966" s="7" t="s">
        <v>44</v>
      </c>
      <c r="K5966" s="7" t="n">
        <f aca="false">IFERROR(VALUE(RIGHT(TRIM(F5966),4)),"")</f>
        <v>2015</v>
      </c>
      <c r="L5966" s="7" t="str">
        <f aca="false">IF(TRIM(E5966)="","Unknown",IFERROR(LEFT(TRIM(E5966),FIND(",",TRIM(E5966))-1),TRIM(E5966)))</f>
        <v>Germany</v>
      </c>
      <c r="M5966" s="7" t="str">
        <f aca="false">IFERROR(LEFT(J5966,FIND(",",J5966)-1),J5966)</f>
        <v>Kids' TV</v>
      </c>
      <c r="N5966" s="7" t="str">
        <f aca="false">IF(B5966="Movie",IFERROR(VALUE(LEFT(I5966,FIND(" ",I5966)-1)),""),"")</f>
        <v/>
      </c>
      <c r="O5966" s="7" t="n">
        <f aca="false">IF(B5966="TV Show",IFERROR(VALUE(LEFT(I5966,FIND(" ",I5966)-1)),""),"")</f>
        <v>2</v>
      </c>
      <c r="P5966" s="7" t="n">
        <f aca="false">IF(K5966="","",K5966-G5966)</f>
        <v>0</v>
      </c>
    </row>
    <row r="5967" customFormat="false" ht="15" hidden="false" customHeight="false" outlineLevel="0" collapsed="false">
      <c r="A5967" s="7" t="n">
        <v>80179784</v>
      </c>
      <c r="B5967" s="7" t="s">
        <v>78</v>
      </c>
      <c r="C5967" s="7" t="s">
        <v>11812</v>
      </c>
      <c r="E5967" s="7" t="s">
        <v>26</v>
      </c>
      <c r="F5967" s="7" t="s">
        <v>11813</v>
      </c>
      <c r="G5967" s="7" t="n">
        <v>2019</v>
      </c>
      <c r="H5967" s="7" t="s">
        <v>81</v>
      </c>
      <c r="I5967" s="7" t="s">
        <v>11132</v>
      </c>
      <c r="J5967" s="7" t="s">
        <v>6220</v>
      </c>
      <c r="K5967" s="7" t="n">
        <f aca="false">IFERROR(VALUE(RIGHT(TRIM(F5967),4)),"")</f>
        <v>2019</v>
      </c>
      <c r="L5967" s="7" t="str">
        <f aca="false">IF(TRIM(E5967)="","Unknown",IFERROR(LEFT(TRIM(E5967),FIND(",",TRIM(E5967))-1),TRIM(E5967)))</f>
        <v>United States</v>
      </c>
      <c r="M5967" s="7" t="str">
        <f aca="false">IFERROR(LEFT(J5967,FIND(",",J5967)-1),J5967)</f>
        <v>Kids' TV</v>
      </c>
      <c r="N5967" s="7" t="str">
        <f aca="false">IF(B5967="Movie",IFERROR(VALUE(LEFT(I5967,FIND(" ",I5967)-1)),""),"")</f>
        <v/>
      </c>
      <c r="O5967" s="7" t="n">
        <f aca="false">IF(B5967="TV Show",IFERROR(VALUE(LEFT(I5967,FIND(" ",I5967)-1)),""),"")</f>
        <v>2</v>
      </c>
      <c r="P5967" s="7" t="n">
        <f aca="false">IF(K5967="","",K5967-G5967)</f>
        <v>0</v>
      </c>
    </row>
    <row r="5968" customFormat="false" ht="15" hidden="false" customHeight="false" outlineLevel="0" collapsed="false">
      <c r="A5968" s="7" t="n">
        <v>80141270</v>
      </c>
      <c r="B5968" s="7" t="s">
        <v>78</v>
      </c>
      <c r="C5968" s="7" t="s">
        <v>11814</v>
      </c>
      <c r="E5968" s="7" t="s">
        <v>4839</v>
      </c>
      <c r="F5968" s="7" t="s">
        <v>11813</v>
      </c>
      <c r="G5968" s="7" t="n">
        <v>2019</v>
      </c>
      <c r="H5968" s="7" t="s">
        <v>48</v>
      </c>
      <c r="I5968" s="7" t="s">
        <v>11148</v>
      </c>
      <c r="J5968" s="7" t="s">
        <v>344</v>
      </c>
      <c r="K5968" s="7" t="n">
        <f aca="false">IFERROR(VALUE(RIGHT(TRIM(F5968),4)),"")</f>
        <v>2019</v>
      </c>
      <c r="L5968" s="7" t="str">
        <f aca="false">IF(TRIM(E5968)="","Unknown",IFERROR(LEFT(TRIM(E5968),FIND(",",TRIM(E5968))-1),TRIM(E5968)))</f>
        <v>Sweden</v>
      </c>
      <c r="M5968" s="7" t="str">
        <f aca="false">IFERROR(LEFT(J5968,FIND(",",J5968)-1),J5968)</f>
        <v>International TV Shows</v>
      </c>
      <c r="N5968" s="7" t="str">
        <f aca="false">IF(B5968="Movie",IFERROR(VALUE(LEFT(I5968,FIND(" ",I5968)-1)),""),"")</f>
        <v/>
      </c>
      <c r="O5968" s="7" t="n">
        <f aca="false">IF(B5968="TV Show",IFERROR(VALUE(LEFT(I5968,FIND(" ",I5968)-1)),""),"")</f>
        <v>3</v>
      </c>
      <c r="P5968" s="7" t="n">
        <f aca="false">IF(K5968="","",K5968-G5968)</f>
        <v>0</v>
      </c>
    </row>
    <row r="5969" customFormat="false" ht="15" hidden="false" customHeight="false" outlineLevel="0" collapsed="false">
      <c r="A5969" s="7" t="n">
        <v>80224279</v>
      </c>
      <c r="B5969" s="7" t="s">
        <v>78</v>
      </c>
      <c r="C5969" s="7" t="s">
        <v>11815</v>
      </c>
      <c r="F5969" s="7" t="s">
        <v>11813</v>
      </c>
      <c r="G5969" s="7" t="n">
        <v>2016</v>
      </c>
      <c r="H5969" s="7" t="s">
        <v>48</v>
      </c>
      <c r="I5969" s="7" t="s">
        <v>11132</v>
      </c>
      <c r="J5969" s="7" t="s">
        <v>716</v>
      </c>
      <c r="K5969" s="7" t="n">
        <f aca="false">IFERROR(VALUE(RIGHT(TRIM(F5969),4)),"")</f>
        <v>2019</v>
      </c>
      <c r="L5969" s="7" t="str">
        <f aca="false">IF(TRIM(E5969)="","Unknown",IFERROR(LEFT(TRIM(E5969),FIND(",",TRIM(E5969))-1),TRIM(E5969)))</f>
        <v>Unknown</v>
      </c>
      <c r="M5969" s="7" t="str">
        <f aca="false">IFERROR(LEFT(J5969,FIND(",",J5969)-1),J5969)</f>
        <v>British TV Shows</v>
      </c>
      <c r="N5969" s="7" t="str">
        <f aca="false">IF(B5969="Movie",IFERROR(VALUE(LEFT(I5969,FIND(" ",I5969)-1)),""),"")</f>
        <v/>
      </c>
      <c r="O5969" s="7" t="n">
        <f aca="false">IF(B5969="TV Show",IFERROR(VALUE(LEFT(I5969,FIND(" ",I5969)-1)),""),"")</f>
        <v>2</v>
      </c>
      <c r="P5969" s="7" t="n">
        <f aca="false">IF(K5969="","",K5969-G5969)</f>
        <v>3</v>
      </c>
    </row>
    <row r="5970" customFormat="false" ht="15" hidden="false" customHeight="false" outlineLevel="0" collapsed="false">
      <c r="A5970" s="7" t="n">
        <v>80118092</v>
      </c>
      <c r="B5970" s="7" t="s">
        <v>78</v>
      </c>
      <c r="C5970" s="7" t="s">
        <v>11816</v>
      </c>
      <c r="E5970" s="7" t="s">
        <v>5469</v>
      </c>
      <c r="F5970" s="7" t="s">
        <v>11817</v>
      </c>
      <c r="G5970" s="7" t="n">
        <v>2017</v>
      </c>
      <c r="H5970" s="7" t="s">
        <v>49</v>
      </c>
      <c r="I5970" s="7" t="s">
        <v>11132</v>
      </c>
      <c r="J5970" s="7" t="s">
        <v>393</v>
      </c>
      <c r="K5970" s="7" t="n">
        <f aca="false">IFERROR(VALUE(RIGHT(TRIM(F5970),4)),"")</f>
        <v>2018</v>
      </c>
      <c r="L5970" s="7" t="str">
        <f aca="false">IF(TRIM(E5970)="","Unknown",IFERROR(LEFT(TRIM(E5970),FIND(",",TRIM(E5970))-1),TRIM(E5970)))</f>
        <v>Israel</v>
      </c>
      <c r="M5970" s="7" t="str">
        <f aca="false">IFERROR(LEFT(J5970,FIND(",",J5970)-1),J5970)</f>
        <v>International TV Shows</v>
      </c>
      <c r="N5970" s="7" t="str">
        <f aca="false">IF(B5970="Movie",IFERROR(VALUE(LEFT(I5970,FIND(" ",I5970)-1)),""),"")</f>
        <v/>
      </c>
      <c r="O5970" s="7" t="n">
        <f aca="false">IF(B5970="TV Show",IFERROR(VALUE(LEFT(I5970,FIND(" ",I5970)-1)),""),"")</f>
        <v>2</v>
      </c>
      <c r="P5970" s="7" t="n">
        <f aca="false">IF(K5970="","",K5970-G5970)</f>
        <v>1</v>
      </c>
    </row>
    <row r="5971" customFormat="false" ht="15" hidden="false" customHeight="false" outlineLevel="0" collapsed="false">
      <c r="A5971" s="7" t="n">
        <v>80217151</v>
      </c>
      <c r="B5971" s="7" t="s">
        <v>78</v>
      </c>
      <c r="C5971" s="7" t="s">
        <v>11818</v>
      </c>
      <c r="E5971" s="7" t="s">
        <v>28</v>
      </c>
      <c r="F5971" s="7" t="s">
        <v>11819</v>
      </c>
      <c r="G5971" s="7" t="n">
        <v>2018</v>
      </c>
      <c r="H5971" s="7" t="s">
        <v>49</v>
      </c>
      <c r="I5971" s="7" t="s">
        <v>11132</v>
      </c>
      <c r="J5971" s="7" t="s">
        <v>716</v>
      </c>
      <c r="K5971" s="7" t="n">
        <f aca="false">IFERROR(VALUE(RIGHT(TRIM(F5971),4)),"")</f>
        <v>2018</v>
      </c>
      <c r="L5971" s="7" t="str">
        <f aca="false">IF(TRIM(E5971)="","Unknown",IFERROR(LEFT(TRIM(E5971),FIND(",",TRIM(E5971))-1),TRIM(E5971)))</f>
        <v>United Kingdom</v>
      </c>
      <c r="M5971" s="7" t="str">
        <f aca="false">IFERROR(LEFT(J5971,FIND(",",J5971)-1),J5971)</f>
        <v>British TV Shows</v>
      </c>
      <c r="N5971" s="7" t="str">
        <f aca="false">IF(B5971="Movie",IFERROR(VALUE(LEFT(I5971,FIND(" ",I5971)-1)),""),"")</f>
        <v/>
      </c>
      <c r="O5971" s="7" t="n">
        <f aca="false">IF(B5971="TV Show",IFERROR(VALUE(LEFT(I5971,FIND(" ",I5971)-1)),""),"")</f>
        <v>2</v>
      </c>
      <c r="P5971" s="7" t="n">
        <f aca="false">IF(K5971="","",K5971-G5971)</f>
        <v>0</v>
      </c>
    </row>
    <row r="5972" customFormat="false" ht="15" hidden="false" customHeight="false" outlineLevel="0" collapsed="false">
      <c r="A5972" s="7" t="n">
        <v>80177803</v>
      </c>
      <c r="B5972" s="7" t="s">
        <v>78</v>
      </c>
      <c r="C5972" s="7" t="s">
        <v>11820</v>
      </c>
      <c r="E5972" s="7" t="s">
        <v>26</v>
      </c>
      <c r="F5972" s="7" t="s">
        <v>11819</v>
      </c>
      <c r="G5972" s="7" t="n">
        <v>2018</v>
      </c>
      <c r="H5972" s="7" t="s">
        <v>48</v>
      </c>
      <c r="I5972" s="7" t="s">
        <v>11132</v>
      </c>
      <c r="J5972" s="7" t="s">
        <v>696</v>
      </c>
      <c r="K5972" s="7" t="n">
        <f aca="false">IFERROR(VALUE(RIGHT(TRIM(F5972),4)),"")</f>
        <v>2018</v>
      </c>
      <c r="L5972" s="7" t="str">
        <f aca="false">IF(TRIM(E5972)="","Unknown",IFERROR(LEFT(TRIM(E5972),FIND(",",TRIM(E5972))-1),TRIM(E5972)))</f>
        <v>United States</v>
      </c>
      <c r="M5972" s="7" t="str">
        <f aca="false">IFERROR(LEFT(J5972,FIND(",",J5972)-1),J5972)</f>
        <v>Crime TV Shows</v>
      </c>
      <c r="N5972" s="7" t="str">
        <f aca="false">IF(B5972="Movie",IFERROR(VALUE(LEFT(I5972,FIND(" ",I5972)-1)),""),"")</f>
        <v/>
      </c>
      <c r="O5972" s="7" t="n">
        <f aca="false">IF(B5972="TV Show",IFERROR(VALUE(LEFT(I5972,FIND(" ",I5972)-1)),""),"")</f>
        <v>2</v>
      </c>
      <c r="P5972" s="7" t="n">
        <f aca="false">IF(K5972="","",K5972-G5972)</f>
        <v>0</v>
      </c>
    </row>
    <row r="5973" customFormat="false" ht="15" hidden="false" customHeight="false" outlineLevel="0" collapsed="false">
      <c r="A5973" s="7" t="n">
        <v>81064394</v>
      </c>
      <c r="B5973" s="7" t="s">
        <v>78</v>
      </c>
      <c r="C5973" s="7" t="s">
        <v>11821</v>
      </c>
      <c r="E5973" s="7" t="s">
        <v>26</v>
      </c>
      <c r="F5973" s="7" t="s">
        <v>11822</v>
      </c>
      <c r="G5973" s="7" t="n">
        <v>2018</v>
      </c>
      <c r="H5973" s="7" t="s">
        <v>119</v>
      </c>
      <c r="I5973" s="7" t="s">
        <v>11132</v>
      </c>
      <c r="J5973" s="7" t="s">
        <v>44</v>
      </c>
      <c r="K5973" s="7" t="n">
        <f aca="false">IFERROR(VALUE(RIGHT(TRIM(F5973),4)),"")</f>
        <v>2019</v>
      </c>
      <c r="L5973" s="7" t="str">
        <f aca="false">IF(TRIM(E5973)="","Unknown",IFERROR(LEFT(TRIM(E5973),FIND(",",TRIM(E5973))-1),TRIM(E5973)))</f>
        <v>United States</v>
      </c>
      <c r="M5973" s="7" t="str">
        <f aca="false">IFERROR(LEFT(J5973,FIND(",",J5973)-1),J5973)</f>
        <v>Kids' TV</v>
      </c>
      <c r="N5973" s="7" t="str">
        <f aca="false">IF(B5973="Movie",IFERROR(VALUE(LEFT(I5973,FIND(" ",I5973)-1)),""),"")</f>
        <v/>
      </c>
      <c r="O5973" s="7" t="n">
        <f aca="false">IF(B5973="TV Show",IFERROR(VALUE(LEFT(I5973,FIND(" ",I5973)-1)),""),"")</f>
        <v>2</v>
      </c>
      <c r="P5973" s="7" t="n">
        <f aca="false">IF(K5973="","",K5973-G5973)</f>
        <v>1</v>
      </c>
    </row>
    <row r="5974" customFormat="false" ht="15" hidden="false" customHeight="false" outlineLevel="0" collapsed="false">
      <c r="A5974" s="7" t="n">
        <v>80142000</v>
      </c>
      <c r="B5974" s="7" t="s">
        <v>78</v>
      </c>
      <c r="C5974" s="7" t="s">
        <v>11823</v>
      </c>
      <c r="E5974" s="7" t="s">
        <v>32</v>
      </c>
      <c r="F5974" s="7" t="s">
        <v>11822</v>
      </c>
      <c r="G5974" s="7" t="n">
        <v>2014</v>
      </c>
      <c r="H5974" s="7" t="s">
        <v>119</v>
      </c>
      <c r="I5974" s="7" t="s">
        <v>11132</v>
      </c>
      <c r="J5974" s="7" t="s">
        <v>1686</v>
      </c>
      <c r="K5974" s="7" t="n">
        <f aca="false">IFERROR(VALUE(RIGHT(TRIM(F5974),4)),"")</f>
        <v>2019</v>
      </c>
      <c r="L5974" s="7" t="str">
        <f aca="false">IF(TRIM(E5974)="","Unknown",IFERROR(LEFT(TRIM(E5974),FIND(",",TRIM(E5974))-1),TRIM(E5974)))</f>
        <v>South Korea</v>
      </c>
      <c r="M5974" s="7" t="str">
        <f aca="false">IFERROR(LEFT(J5974,FIND(",",J5974)-1),J5974)</f>
        <v>Kids' TV</v>
      </c>
      <c r="N5974" s="7" t="str">
        <f aca="false">IF(B5974="Movie",IFERROR(VALUE(LEFT(I5974,FIND(" ",I5974)-1)),""),"")</f>
        <v/>
      </c>
      <c r="O5974" s="7" t="n">
        <f aca="false">IF(B5974="TV Show",IFERROR(VALUE(LEFT(I5974,FIND(" ",I5974)-1)),""),"")</f>
        <v>2</v>
      </c>
      <c r="P5974" s="7" t="n">
        <f aca="false">IF(K5974="","",K5974-G5974)</f>
        <v>5</v>
      </c>
    </row>
    <row r="5975" customFormat="false" ht="15" hidden="false" customHeight="false" outlineLevel="0" collapsed="false">
      <c r="A5975" s="7" t="n">
        <v>81100135</v>
      </c>
      <c r="B5975" s="7" t="s">
        <v>78</v>
      </c>
      <c r="C5975" s="7" t="s">
        <v>11824</v>
      </c>
      <c r="F5975" s="7" t="s">
        <v>11822</v>
      </c>
      <c r="G5975" s="7" t="n">
        <v>2018</v>
      </c>
      <c r="H5975" s="7" t="s">
        <v>55</v>
      </c>
      <c r="I5975" s="7" t="s">
        <v>11132</v>
      </c>
      <c r="J5975" s="7" t="s">
        <v>11653</v>
      </c>
      <c r="K5975" s="7" t="n">
        <f aca="false">IFERROR(VALUE(RIGHT(TRIM(F5975),4)),"")</f>
        <v>2019</v>
      </c>
      <c r="L5975" s="7" t="str">
        <f aca="false">IF(TRIM(E5975)="","Unknown",IFERROR(LEFT(TRIM(E5975),FIND(",",TRIM(E5975))-1),TRIM(E5975)))</f>
        <v>Unknown</v>
      </c>
      <c r="M5975" s="7" t="str">
        <f aca="false">IFERROR(LEFT(J5975,FIND(",",J5975)-1),J5975)</f>
        <v>Kids' TV</v>
      </c>
      <c r="N5975" s="7" t="str">
        <f aca="false">IF(B5975="Movie",IFERROR(VALUE(LEFT(I5975,FIND(" ",I5975)-1)),""),"")</f>
        <v/>
      </c>
      <c r="O5975" s="7" t="n">
        <f aca="false">IF(B5975="TV Show",IFERROR(VALUE(LEFT(I5975,FIND(" ",I5975)-1)),""),"")</f>
        <v>2</v>
      </c>
      <c r="P5975" s="7" t="n">
        <f aca="false">IF(K5975="","",K5975-G5975)</f>
        <v>1</v>
      </c>
    </row>
    <row r="5976" customFormat="false" ht="15" hidden="false" customHeight="false" outlineLevel="0" collapsed="false">
      <c r="A5976" s="7" t="n">
        <v>70142386</v>
      </c>
      <c r="B5976" s="7" t="s">
        <v>78</v>
      </c>
      <c r="C5976" s="7" t="s">
        <v>11825</v>
      </c>
      <c r="E5976" s="7" t="s">
        <v>26</v>
      </c>
      <c r="F5976" s="7" t="s">
        <v>11826</v>
      </c>
      <c r="G5976" s="7" t="n">
        <v>2017</v>
      </c>
      <c r="H5976" s="7" t="s">
        <v>49</v>
      </c>
      <c r="I5976" s="7" t="s">
        <v>11720</v>
      </c>
      <c r="J5976" s="7" t="s">
        <v>282</v>
      </c>
      <c r="K5976" s="7" t="n">
        <f aca="false">IFERROR(VALUE(RIGHT(TRIM(F5976),4)),"")</f>
        <v>2018</v>
      </c>
      <c r="L5976" s="7" t="str">
        <f aca="false">IF(TRIM(E5976)="","Unknown",IFERROR(LEFT(TRIM(E5976),FIND(",",TRIM(E5976))-1),TRIM(E5976)))</f>
        <v>United States</v>
      </c>
      <c r="M5976" s="7" t="str">
        <f aca="false">IFERROR(LEFT(J5976,FIND(",",J5976)-1),J5976)</f>
        <v>Crime TV Shows</v>
      </c>
      <c r="N5976" s="7" t="str">
        <f aca="false">IF(B5976="Movie",IFERROR(VALUE(LEFT(I5976,FIND(" ",I5976)-1)),""),"")</f>
        <v/>
      </c>
      <c r="O5976" s="7" t="n">
        <f aca="false">IF(B5976="TV Show",IFERROR(VALUE(LEFT(I5976,FIND(" ",I5976)-1)),""),"")</f>
        <v>15</v>
      </c>
      <c r="P5976" s="7" t="n">
        <f aca="false">IF(K5976="","",K5976-G5976)</f>
        <v>1</v>
      </c>
    </row>
    <row r="5977" customFormat="false" ht="15" hidden="false" customHeight="false" outlineLevel="0" collapsed="false">
      <c r="A5977" s="7" t="n">
        <v>80004462</v>
      </c>
      <c r="B5977" s="7" t="s">
        <v>78</v>
      </c>
      <c r="C5977" s="7" t="s">
        <v>11827</v>
      </c>
      <c r="E5977" s="7" t="s">
        <v>26</v>
      </c>
      <c r="F5977" s="7" t="s">
        <v>11828</v>
      </c>
      <c r="G5977" s="7" t="n">
        <v>2016</v>
      </c>
      <c r="H5977" s="7" t="s">
        <v>49</v>
      </c>
      <c r="I5977" s="7" t="s">
        <v>11155</v>
      </c>
      <c r="J5977" s="7" t="s">
        <v>8541</v>
      </c>
      <c r="K5977" s="7" t="n">
        <f aca="false">IFERROR(VALUE(RIGHT(TRIM(F5977),4)),"")</f>
        <v>2017</v>
      </c>
      <c r="L5977" s="7" t="str">
        <f aca="false">IF(TRIM(E5977)="","Unknown",IFERROR(LEFT(TRIM(E5977),FIND(",",TRIM(E5977))-1),TRIM(E5977)))</f>
        <v>United States</v>
      </c>
      <c r="M5977" s="7" t="str">
        <f aca="false">IFERROR(LEFT(J5977,FIND(",",J5977)-1),J5977)</f>
        <v>Romantic TV Shows</v>
      </c>
      <c r="N5977" s="7" t="str">
        <f aca="false">IF(B5977="Movie",IFERROR(VALUE(LEFT(I5977,FIND(" ",I5977)-1)),""),"")</f>
        <v/>
      </c>
      <c r="O5977" s="7" t="n">
        <f aca="false">IF(B5977="TV Show",IFERROR(VALUE(LEFT(I5977,FIND(" ",I5977)-1)),""),"")</f>
        <v>4</v>
      </c>
      <c r="P5977" s="7" t="n">
        <f aca="false">IF(K5977="","",K5977-G5977)</f>
        <v>1</v>
      </c>
    </row>
    <row r="5978" customFormat="false" ht="15" hidden="false" customHeight="false" outlineLevel="0" collapsed="false">
      <c r="A5978" s="7" t="n">
        <v>70152640</v>
      </c>
      <c r="B5978" s="7" t="s">
        <v>78</v>
      </c>
      <c r="C5978" s="7" t="s">
        <v>11829</v>
      </c>
      <c r="E5978" s="7" t="s">
        <v>26</v>
      </c>
      <c r="F5978" s="7" t="s">
        <v>11828</v>
      </c>
      <c r="G5978" s="7" t="n">
        <v>1992</v>
      </c>
      <c r="H5978" s="7" t="s">
        <v>50</v>
      </c>
      <c r="I5978" s="7" t="s">
        <v>11830</v>
      </c>
      <c r="J5978" s="7" t="s">
        <v>11831</v>
      </c>
      <c r="K5978" s="7" t="n">
        <f aca="false">IFERROR(VALUE(RIGHT(TRIM(F5978),4)),"")</f>
        <v>2017</v>
      </c>
      <c r="L5978" s="7" t="str">
        <f aca="false">IF(TRIM(E5978)="","Unknown",IFERROR(LEFT(TRIM(E5978),FIND(",",TRIM(E5978))-1),TRIM(E5978)))</f>
        <v>United States</v>
      </c>
      <c r="M5978" s="7" t="str">
        <f aca="false">IFERROR(LEFT(J5978,FIND(",",J5978)-1),J5978)</f>
        <v>Classic &amp; Cult TV</v>
      </c>
      <c r="N5978" s="7" t="str">
        <f aca="false">IF(B5978="Movie",IFERROR(VALUE(LEFT(I5978,FIND(" ",I5978)-1)),""),"")</f>
        <v/>
      </c>
      <c r="O5978" s="7" t="n">
        <f aca="false">IF(B5978="TV Show",IFERROR(VALUE(LEFT(I5978,FIND(" ",I5978)-1)),""),"")</f>
        <v>11</v>
      </c>
      <c r="P5978" s="7" t="n">
        <f aca="false">IF(K5978="","",K5978-G5978)</f>
        <v>25</v>
      </c>
    </row>
    <row r="5979" customFormat="false" ht="15" hidden="false" customHeight="false" outlineLevel="0" collapsed="false">
      <c r="A5979" s="7" t="n">
        <v>80021966</v>
      </c>
      <c r="B5979" s="7" t="s">
        <v>78</v>
      </c>
      <c r="C5979" s="7" t="s">
        <v>11832</v>
      </c>
      <c r="E5979" s="7" t="s">
        <v>33</v>
      </c>
      <c r="F5979" s="7" t="s">
        <v>11828</v>
      </c>
      <c r="G5979" s="7" t="n">
        <v>2013</v>
      </c>
      <c r="H5979" s="7" t="s">
        <v>53</v>
      </c>
      <c r="I5979" s="7" t="s">
        <v>11148</v>
      </c>
      <c r="J5979" s="7" t="s">
        <v>2521</v>
      </c>
      <c r="K5979" s="7" t="n">
        <f aca="false">IFERROR(VALUE(RIGHT(TRIM(F5979),4)),"")</f>
        <v>2017</v>
      </c>
      <c r="L5979" s="7" t="str">
        <f aca="false">IF(TRIM(E5979)="","Unknown",IFERROR(LEFT(TRIM(E5979),FIND(",",TRIM(E5979))-1),TRIM(E5979)))</f>
        <v>Spain</v>
      </c>
      <c r="M5979" s="7" t="str">
        <f aca="false">IFERROR(LEFT(J5979,FIND(",",J5979)-1),J5979)</f>
        <v>International TV Shows</v>
      </c>
      <c r="N5979" s="7" t="str">
        <f aca="false">IF(B5979="Movie",IFERROR(VALUE(LEFT(I5979,FIND(" ",I5979)-1)),""),"")</f>
        <v/>
      </c>
      <c r="O5979" s="7" t="n">
        <f aca="false">IF(B5979="TV Show",IFERROR(VALUE(LEFT(I5979,FIND(" ",I5979)-1)),""),"")</f>
        <v>3</v>
      </c>
      <c r="P5979" s="7" t="n">
        <f aca="false">IF(K5979="","",K5979-G5979)</f>
        <v>4</v>
      </c>
    </row>
    <row r="5980" customFormat="false" ht="15" hidden="false" customHeight="false" outlineLevel="0" collapsed="false">
      <c r="A5980" s="7" t="n">
        <v>80103470</v>
      </c>
      <c r="B5980" s="7" t="s">
        <v>78</v>
      </c>
      <c r="C5980" s="7" t="s">
        <v>6888</v>
      </c>
      <c r="E5980" s="7" t="s">
        <v>5469</v>
      </c>
      <c r="F5980" s="7" t="s">
        <v>11828</v>
      </c>
      <c r="G5980" s="7" t="n">
        <v>2016</v>
      </c>
      <c r="H5980" s="7" t="s">
        <v>48</v>
      </c>
      <c r="I5980" s="7" t="s">
        <v>11132</v>
      </c>
      <c r="J5980" s="7" t="s">
        <v>402</v>
      </c>
      <c r="K5980" s="7" t="n">
        <f aca="false">IFERROR(VALUE(RIGHT(TRIM(F5980),4)),"")</f>
        <v>2017</v>
      </c>
      <c r="L5980" s="7" t="str">
        <f aca="false">IF(TRIM(E5980)="","Unknown",IFERROR(LEFT(TRIM(E5980),FIND(",",TRIM(E5980))-1),TRIM(E5980)))</f>
        <v>Israel</v>
      </c>
      <c r="M5980" s="7" t="str">
        <f aca="false">IFERROR(LEFT(J5980,FIND(",",J5980)-1),J5980)</f>
        <v>Crime TV Shows</v>
      </c>
      <c r="N5980" s="7" t="str">
        <f aca="false">IF(B5980="Movie",IFERROR(VALUE(LEFT(I5980,FIND(" ",I5980)-1)),""),"")</f>
        <v/>
      </c>
      <c r="O5980" s="7" t="n">
        <f aca="false">IF(B5980="TV Show",IFERROR(VALUE(LEFT(I5980,FIND(" ",I5980)-1)),""),"")</f>
        <v>2</v>
      </c>
      <c r="P5980" s="7" t="n">
        <f aca="false">IF(K5980="","",K5980-G5980)</f>
        <v>1</v>
      </c>
    </row>
    <row r="5981" customFormat="false" ht="15" hidden="false" customHeight="false" outlineLevel="0" collapsed="false">
      <c r="A5981" s="7" t="n">
        <v>80149594</v>
      </c>
      <c r="B5981" s="7" t="s">
        <v>78</v>
      </c>
      <c r="C5981" s="7" t="s">
        <v>11833</v>
      </c>
      <c r="E5981" s="7" t="s">
        <v>396</v>
      </c>
      <c r="F5981" s="7" t="s">
        <v>11828</v>
      </c>
      <c r="G5981" s="7" t="n">
        <v>2016</v>
      </c>
      <c r="H5981" s="7" t="s">
        <v>49</v>
      </c>
      <c r="I5981" s="7" t="s">
        <v>11148</v>
      </c>
      <c r="J5981" s="7" t="s">
        <v>314</v>
      </c>
      <c r="K5981" s="7" t="n">
        <f aca="false">IFERROR(VALUE(RIGHT(TRIM(F5981),4)),"")</f>
        <v>2017</v>
      </c>
      <c r="L5981" s="7" t="str">
        <f aca="false">IF(TRIM(E5981)="","Unknown",IFERROR(LEFT(TRIM(E5981),FIND(",",TRIM(E5981))-1),TRIM(E5981)))</f>
        <v>Turkey</v>
      </c>
      <c r="M5981" s="7" t="str">
        <f aca="false">IFERROR(LEFT(J5981,FIND(",",J5981)-1),J5981)</f>
        <v>International TV Shows</v>
      </c>
      <c r="N5981" s="7" t="str">
        <f aca="false">IF(B5981="Movie",IFERROR(VALUE(LEFT(I5981,FIND(" ",I5981)-1)),""),"")</f>
        <v/>
      </c>
      <c r="O5981" s="7" t="n">
        <f aca="false">IF(B5981="TV Show",IFERROR(VALUE(LEFT(I5981,FIND(" ",I5981)-1)),""),"")</f>
        <v>3</v>
      </c>
      <c r="P5981" s="7" t="n">
        <f aca="false">IF(K5981="","",K5981-G5981)</f>
        <v>1</v>
      </c>
    </row>
    <row r="5982" customFormat="false" ht="15" hidden="false" customHeight="false" outlineLevel="0" collapsed="false">
      <c r="A5982" s="7" t="n">
        <v>70155574</v>
      </c>
      <c r="B5982" s="7" t="s">
        <v>78</v>
      </c>
      <c r="C5982" s="7" t="s">
        <v>11834</v>
      </c>
      <c r="E5982" s="7" t="s">
        <v>26</v>
      </c>
      <c r="F5982" s="7" t="s">
        <v>11828</v>
      </c>
      <c r="G5982" s="7" t="n">
        <v>1967</v>
      </c>
      <c r="H5982" s="7" t="s">
        <v>226</v>
      </c>
      <c r="I5982" s="7" t="s">
        <v>11158</v>
      </c>
      <c r="J5982" s="7" t="s">
        <v>11831</v>
      </c>
      <c r="K5982" s="7" t="n">
        <f aca="false">IFERROR(VALUE(RIGHT(TRIM(F5982),4)),"")</f>
        <v>2017</v>
      </c>
      <c r="L5982" s="7" t="str">
        <f aca="false">IF(TRIM(E5982)="","Unknown",IFERROR(LEFT(TRIM(E5982),FIND(",",TRIM(E5982))-1),TRIM(E5982)))</f>
        <v>United States</v>
      </c>
      <c r="M5982" s="7" t="str">
        <f aca="false">IFERROR(LEFT(J5982,FIND(",",J5982)-1),J5982)</f>
        <v>Classic &amp; Cult TV</v>
      </c>
      <c r="N5982" s="7" t="str">
        <f aca="false">IF(B5982="Movie",IFERROR(VALUE(LEFT(I5982,FIND(" ",I5982)-1)),""),"")</f>
        <v/>
      </c>
      <c r="O5982" s="7" t="n">
        <f aca="false">IF(B5982="TV Show",IFERROR(VALUE(LEFT(I5982,FIND(" ",I5982)-1)),""),"")</f>
        <v>8</v>
      </c>
      <c r="P5982" s="7" t="n">
        <f aca="false">IF(K5982="","",K5982-G5982)</f>
        <v>50</v>
      </c>
    </row>
    <row r="5983" customFormat="false" ht="15" hidden="false" customHeight="false" outlineLevel="0" collapsed="false">
      <c r="A5983" s="7" t="n">
        <v>70172488</v>
      </c>
      <c r="B5983" s="7" t="s">
        <v>78</v>
      </c>
      <c r="C5983" s="7" t="s">
        <v>11835</v>
      </c>
      <c r="E5983" s="7" t="s">
        <v>26</v>
      </c>
      <c r="F5983" s="7" t="s">
        <v>11828</v>
      </c>
      <c r="G5983" s="7" t="n">
        <v>1963</v>
      </c>
      <c r="H5983" s="7" t="s">
        <v>50</v>
      </c>
      <c r="I5983" s="7" t="s">
        <v>11155</v>
      </c>
      <c r="J5983" s="7" t="s">
        <v>11836</v>
      </c>
      <c r="K5983" s="7" t="n">
        <f aca="false">IFERROR(VALUE(RIGHT(TRIM(F5983),4)),"")</f>
        <v>2017</v>
      </c>
      <c r="L5983" s="7" t="str">
        <f aca="false">IF(TRIM(E5983)="","Unknown",IFERROR(LEFT(TRIM(E5983),FIND(",",TRIM(E5983))-1),TRIM(E5983)))</f>
        <v>United States</v>
      </c>
      <c r="M5983" s="7" t="str">
        <f aca="false">IFERROR(LEFT(J5983,FIND(",",J5983)-1),J5983)</f>
        <v>Classic &amp; Cult TV</v>
      </c>
      <c r="N5983" s="7" t="str">
        <f aca="false">IF(B5983="Movie",IFERROR(VALUE(LEFT(I5983,FIND(" ",I5983)-1)),""),"")</f>
        <v/>
      </c>
      <c r="O5983" s="7" t="n">
        <f aca="false">IF(B5983="TV Show",IFERROR(VALUE(LEFT(I5983,FIND(" ",I5983)-1)),""),"")</f>
        <v>4</v>
      </c>
      <c r="P5983" s="7" t="n">
        <f aca="false">IF(K5983="","",K5983-G5983)</f>
        <v>54</v>
      </c>
    </row>
    <row r="5984" customFormat="false" ht="15" hidden="false" customHeight="false" outlineLevel="0" collapsed="false">
      <c r="A5984" s="7" t="n">
        <v>70153408</v>
      </c>
      <c r="B5984" s="7" t="s">
        <v>78</v>
      </c>
      <c r="C5984" s="7" t="s">
        <v>11837</v>
      </c>
      <c r="E5984" s="7" t="s">
        <v>26</v>
      </c>
      <c r="F5984" s="7" t="s">
        <v>11828</v>
      </c>
      <c r="G5984" s="7" t="n">
        <v>1990</v>
      </c>
      <c r="H5984" s="7" t="s">
        <v>48</v>
      </c>
      <c r="I5984" s="7" t="s">
        <v>11132</v>
      </c>
      <c r="J5984" s="7" t="s">
        <v>11838</v>
      </c>
      <c r="K5984" s="7" t="n">
        <f aca="false">IFERROR(VALUE(RIGHT(TRIM(F5984),4)),"")</f>
        <v>2017</v>
      </c>
      <c r="L5984" s="7" t="str">
        <f aca="false">IF(TRIM(E5984)="","Unknown",IFERROR(LEFT(TRIM(E5984),FIND(",",TRIM(E5984))-1),TRIM(E5984)))</f>
        <v>United States</v>
      </c>
      <c r="M5984" s="7" t="str">
        <f aca="false">IFERROR(LEFT(J5984,FIND(",",J5984)-1),J5984)</f>
        <v>Classic &amp; Cult TV</v>
      </c>
      <c r="N5984" s="7" t="str">
        <f aca="false">IF(B5984="Movie",IFERROR(VALUE(LEFT(I5984,FIND(" ",I5984)-1)),""),"")</f>
        <v/>
      </c>
      <c r="O5984" s="7" t="n">
        <f aca="false">IF(B5984="TV Show",IFERROR(VALUE(LEFT(I5984,FIND(" ",I5984)-1)),""),"")</f>
        <v>2</v>
      </c>
      <c r="P5984" s="7" t="n">
        <f aca="false">IF(K5984="","",K5984-G5984)</f>
        <v>27</v>
      </c>
    </row>
    <row r="5985" customFormat="false" ht="15" hidden="false" customHeight="false" outlineLevel="0" collapsed="false">
      <c r="A5985" s="7" t="n">
        <v>80157645</v>
      </c>
      <c r="B5985" s="7" t="s">
        <v>78</v>
      </c>
      <c r="C5985" s="7" t="s">
        <v>11839</v>
      </c>
      <c r="E5985" s="7" t="s">
        <v>1819</v>
      </c>
      <c r="F5985" s="7" t="s">
        <v>11828</v>
      </c>
      <c r="G5985" s="7" t="n">
        <v>2012</v>
      </c>
      <c r="H5985" s="7" t="s">
        <v>49</v>
      </c>
      <c r="I5985" s="7" t="s">
        <v>11132</v>
      </c>
      <c r="J5985" s="7" t="s">
        <v>402</v>
      </c>
      <c r="K5985" s="7" t="n">
        <f aca="false">IFERROR(VALUE(RIGHT(TRIM(F5985),4)),"")</f>
        <v>2017</v>
      </c>
      <c r="L5985" s="7" t="str">
        <f aca="false">IF(TRIM(E5985)="","Unknown",IFERROR(LEFT(TRIM(E5985),FIND(",",TRIM(E5985))-1),TRIM(E5985)))</f>
        <v>Singapore</v>
      </c>
      <c r="M5985" s="7" t="str">
        <f aca="false">IFERROR(LEFT(J5985,FIND(",",J5985)-1),J5985)</f>
        <v>Crime TV Shows</v>
      </c>
      <c r="N5985" s="7" t="str">
        <f aca="false">IF(B5985="Movie",IFERROR(VALUE(LEFT(I5985,FIND(" ",I5985)-1)),""),"")</f>
        <v/>
      </c>
      <c r="O5985" s="7" t="n">
        <f aca="false">IF(B5985="TV Show",IFERROR(VALUE(LEFT(I5985,FIND(" ",I5985)-1)),""),"")</f>
        <v>2</v>
      </c>
      <c r="P5985" s="7" t="n">
        <f aca="false">IF(K5985="","",K5985-G5985)</f>
        <v>5</v>
      </c>
    </row>
    <row r="5986" customFormat="false" ht="15" hidden="false" customHeight="false" outlineLevel="0" collapsed="false">
      <c r="A5986" s="7" t="n">
        <v>80022632</v>
      </c>
      <c r="B5986" s="7" t="s">
        <v>78</v>
      </c>
      <c r="C5986" s="7" t="s">
        <v>11840</v>
      </c>
      <c r="E5986" s="7" t="s">
        <v>29</v>
      </c>
      <c r="F5986" s="7" t="s">
        <v>11841</v>
      </c>
      <c r="G5986" s="7" t="n">
        <v>2016</v>
      </c>
      <c r="H5986" s="7" t="s">
        <v>49</v>
      </c>
      <c r="I5986" s="7" t="s">
        <v>11132</v>
      </c>
      <c r="J5986" s="7" t="s">
        <v>3308</v>
      </c>
      <c r="K5986" s="7" t="n">
        <f aca="false">IFERROR(VALUE(RIGHT(TRIM(F5986),4)),"")</f>
        <v>2016</v>
      </c>
      <c r="L5986" s="7" t="str">
        <f aca="false">IF(TRIM(E5986)="","Unknown",IFERROR(LEFT(TRIM(E5986),FIND(",",TRIM(E5986))-1),TRIM(E5986)))</f>
        <v>Canada</v>
      </c>
      <c r="M5986" s="7" t="str">
        <f aca="false">IFERROR(LEFT(J5986,FIND(",",J5986)-1),J5986)</f>
        <v>International TV Shows</v>
      </c>
      <c r="N5986" s="7" t="str">
        <f aca="false">IF(B5986="Movie",IFERROR(VALUE(LEFT(I5986,FIND(" ",I5986)-1)),""),"")</f>
        <v/>
      </c>
      <c r="O5986" s="7" t="n">
        <f aca="false">IF(B5986="TV Show",IFERROR(VALUE(LEFT(I5986,FIND(" ",I5986)-1)),""),"")</f>
        <v>2</v>
      </c>
      <c r="P5986" s="7" t="n">
        <f aca="false">IF(K5986="","",K5986-G5986)</f>
        <v>0</v>
      </c>
    </row>
    <row r="5987" customFormat="false" ht="15" hidden="false" customHeight="false" outlineLevel="0" collapsed="false">
      <c r="A5987" s="7" t="n">
        <v>70305883</v>
      </c>
      <c r="B5987" s="7" t="s">
        <v>78</v>
      </c>
      <c r="C5987" s="7" t="s">
        <v>11842</v>
      </c>
      <c r="E5987" s="7" t="s">
        <v>26</v>
      </c>
      <c r="F5987" s="7" t="s">
        <v>11841</v>
      </c>
      <c r="G5987" s="7" t="n">
        <v>2016</v>
      </c>
      <c r="H5987" s="7" t="s">
        <v>48</v>
      </c>
      <c r="I5987" s="7" t="s">
        <v>11132</v>
      </c>
      <c r="J5987" s="7" t="s">
        <v>7835</v>
      </c>
      <c r="K5987" s="7" t="n">
        <f aca="false">IFERROR(VALUE(RIGHT(TRIM(F5987),4)),"")</f>
        <v>2016</v>
      </c>
      <c r="L5987" s="7" t="str">
        <f aca="false">IF(TRIM(E5987)="","Unknown",IFERROR(LEFT(TRIM(E5987),FIND(",",TRIM(E5987))-1),TRIM(E5987)))</f>
        <v>United States</v>
      </c>
      <c r="M5987" s="7" t="str">
        <f aca="false">IFERROR(LEFT(J5987,FIND(",",J5987)-1),J5987)</f>
        <v>TV Action &amp; Adventure</v>
      </c>
      <c r="N5987" s="7" t="str">
        <f aca="false">IF(B5987="Movie",IFERROR(VALUE(LEFT(I5987,FIND(" ",I5987)-1)),""),"")</f>
        <v/>
      </c>
      <c r="O5987" s="7" t="n">
        <f aca="false">IF(B5987="TV Show",IFERROR(VALUE(LEFT(I5987,FIND(" ",I5987)-1)),""),"")</f>
        <v>2</v>
      </c>
      <c r="P5987" s="7" t="n">
        <f aca="false">IF(K5987="","",K5987-G5987)</f>
        <v>0</v>
      </c>
    </row>
    <row r="5988" customFormat="false" ht="15" hidden="false" customHeight="false" outlineLevel="0" collapsed="false">
      <c r="A5988" s="7" t="n">
        <v>70136129</v>
      </c>
      <c r="B5988" s="7" t="s">
        <v>78</v>
      </c>
      <c r="C5988" s="7" t="s">
        <v>11843</v>
      </c>
      <c r="E5988" s="7" t="s">
        <v>11844</v>
      </c>
      <c r="F5988" s="7" t="s">
        <v>11845</v>
      </c>
      <c r="G5988" s="7" t="n">
        <v>2010</v>
      </c>
      <c r="H5988" s="7" t="s">
        <v>48</v>
      </c>
      <c r="I5988" s="7" t="s">
        <v>11155</v>
      </c>
      <c r="J5988" s="7" t="s">
        <v>2704</v>
      </c>
      <c r="K5988" s="7" t="n">
        <f aca="false">IFERROR(VALUE(RIGHT(TRIM(F5988),4)),"")</f>
        <v>2018</v>
      </c>
      <c r="L5988" s="7" t="str">
        <f aca="false">IF(TRIM(E5988)="","Unknown",IFERROR(LEFT(TRIM(E5988),FIND(",",TRIM(E5988))-1),TRIM(E5988)))</f>
        <v>Ireland</v>
      </c>
      <c r="M5988" s="7" t="str">
        <f aca="false">IFERROR(LEFT(J5988,FIND(",",J5988)-1),J5988)</f>
        <v>TV Dramas</v>
      </c>
      <c r="N5988" s="7" t="str">
        <f aca="false">IF(B5988="Movie",IFERROR(VALUE(LEFT(I5988,FIND(" ",I5988)-1)),""),"")</f>
        <v/>
      </c>
      <c r="O5988" s="7" t="n">
        <f aca="false">IF(B5988="TV Show",IFERROR(VALUE(LEFT(I5988,FIND(" ",I5988)-1)),""),"")</f>
        <v>4</v>
      </c>
      <c r="P5988" s="7" t="n">
        <f aca="false">IF(K5988="","",K5988-G5988)</f>
        <v>8</v>
      </c>
    </row>
    <row r="5989" customFormat="false" ht="15" hidden="false" customHeight="false" outlineLevel="0" collapsed="false">
      <c r="A5989" s="7" t="n">
        <v>70175670</v>
      </c>
      <c r="B5989" s="7" t="s">
        <v>78</v>
      </c>
      <c r="C5989" s="7" t="s">
        <v>11846</v>
      </c>
      <c r="E5989" s="7" t="s">
        <v>293</v>
      </c>
      <c r="F5989" s="7" t="s">
        <v>11847</v>
      </c>
      <c r="G5989" s="7" t="n">
        <v>2017</v>
      </c>
      <c r="H5989" s="7" t="s">
        <v>48</v>
      </c>
      <c r="I5989" s="7" t="s">
        <v>11135</v>
      </c>
      <c r="J5989" s="7" t="s">
        <v>11831</v>
      </c>
      <c r="K5989" s="7" t="n">
        <f aca="false">IFERROR(VALUE(RIGHT(TRIM(F5989),4)),"")</f>
        <v>2018</v>
      </c>
      <c r="L5989" s="7" t="str">
        <f aca="false">IF(TRIM(E5989)="","Unknown",IFERROR(LEFT(TRIM(E5989),FIND(",",TRIM(E5989))-1),TRIM(E5989)))</f>
        <v>United States</v>
      </c>
      <c r="M5989" s="7" t="str">
        <f aca="false">IFERROR(LEFT(J5989,FIND(",",J5989)-1),J5989)</f>
        <v>Classic &amp; Cult TV</v>
      </c>
      <c r="N5989" s="7" t="str">
        <f aca="false">IF(B5989="Movie",IFERROR(VALUE(LEFT(I5989,FIND(" ",I5989)-1)),""),"")</f>
        <v/>
      </c>
      <c r="O5989" s="7" t="n">
        <f aca="false">IF(B5989="TV Show",IFERROR(VALUE(LEFT(I5989,FIND(" ",I5989)-1)),""),"")</f>
        <v>5</v>
      </c>
      <c r="P5989" s="7" t="n">
        <f aca="false">IF(K5989="","",K5989-G5989)</f>
        <v>1</v>
      </c>
    </row>
    <row r="5990" customFormat="false" ht="15" hidden="false" customHeight="false" outlineLevel="0" collapsed="false">
      <c r="A5990" s="7" t="n">
        <v>80133187</v>
      </c>
      <c r="B5990" s="7" t="s">
        <v>78</v>
      </c>
      <c r="C5990" s="7" t="s">
        <v>11848</v>
      </c>
      <c r="E5990" s="7" t="s">
        <v>35</v>
      </c>
      <c r="F5990" s="7" t="s">
        <v>11849</v>
      </c>
      <c r="G5990" s="7" t="n">
        <v>2018</v>
      </c>
      <c r="H5990" s="7" t="s">
        <v>50</v>
      </c>
      <c r="I5990" s="7" t="s">
        <v>11148</v>
      </c>
      <c r="J5990" s="7" t="s">
        <v>1637</v>
      </c>
      <c r="K5990" s="7" t="n">
        <f aca="false">IFERROR(VALUE(RIGHT(TRIM(F5990),4)),"")</f>
        <v>2019</v>
      </c>
      <c r="L5990" s="7" t="str">
        <f aca="false">IF(TRIM(E5990)="","Unknown",IFERROR(LEFT(TRIM(E5990),FIND(",",TRIM(E5990))-1),TRIM(E5990)))</f>
        <v>Australia</v>
      </c>
      <c r="M5990" s="7" t="str">
        <f aca="false">IFERROR(LEFT(J5990,FIND(",",J5990)-1),J5990)</f>
        <v>Docuseries</v>
      </c>
      <c r="N5990" s="7" t="str">
        <f aca="false">IF(B5990="Movie",IFERROR(VALUE(LEFT(I5990,FIND(" ",I5990)-1)),""),"")</f>
        <v/>
      </c>
      <c r="O5990" s="7" t="n">
        <f aca="false">IF(B5990="TV Show",IFERROR(VALUE(LEFT(I5990,FIND(" ",I5990)-1)),""),"")</f>
        <v>3</v>
      </c>
      <c r="P5990" s="7" t="n">
        <f aca="false">IF(K5990="","",K5990-G5990)</f>
        <v>1</v>
      </c>
    </row>
    <row r="5991" customFormat="false" ht="15" hidden="false" customHeight="false" outlineLevel="0" collapsed="false">
      <c r="A5991" s="7" t="n">
        <v>80133335</v>
      </c>
      <c r="B5991" s="7" t="s">
        <v>78</v>
      </c>
      <c r="C5991" s="7" t="s">
        <v>11850</v>
      </c>
      <c r="E5991" s="7" t="s">
        <v>31</v>
      </c>
      <c r="F5991" s="7" t="s">
        <v>11851</v>
      </c>
      <c r="G5991" s="7" t="n">
        <v>2018</v>
      </c>
      <c r="H5991" s="7" t="s">
        <v>48</v>
      </c>
      <c r="I5991" s="7" t="s">
        <v>11148</v>
      </c>
      <c r="J5991" s="7" t="s">
        <v>335</v>
      </c>
      <c r="K5991" s="7" t="n">
        <f aca="false">IFERROR(VALUE(RIGHT(TRIM(F5991),4)),"")</f>
        <v>2019</v>
      </c>
      <c r="L5991" s="7" t="str">
        <f aca="false">IF(TRIM(E5991)="","Unknown",IFERROR(LEFT(TRIM(E5991),FIND(",",TRIM(E5991))-1),TRIM(E5991)))</f>
        <v>France</v>
      </c>
      <c r="M5991" s="7" t="str">
        <f aca="false">IFERROR(LEFT(J5991,FIND(",",J5991)-1),J5991)</f>
        <v>International TV Shows</v>
      </c>
      <c r="N5991" s="7" t="str">
        <f aca="false">IF(B5991="Movie",IFERROR(VALUE(LEFT(I5991,FIND(" ",I5991)-1)),""),"")</f>
        <v/>
      </c>
      <c r="O5991" s="7" t="n">
        <f aca="false">IF(B5991="TV Show",IFERROR(VALUE(LEFT(I5991,FIND(" ",I5991)-1)),""),"")</f>
        <v>3</v>
      </c>
      <c r="P5991" s="7" t="n">
        <f aca="false">IF(K5991="","",K5991-G5991)</f>
        <v>1</v>
      </c>
    </row>
    <row r="5992" customFormat="false" ht="15" hidden="false" customHeight="false" outlineLevel="0" collapsed="false">
      <c r="A5992" s="7" t="n">
        <v>80136311</v>
      </c>
      <c r="B5992" s="7" t="s">
        <v>78</v>
      </c>
      <c r="C5992" s="7" t="s">
        <v>11852</v>
      </c>
      <c r="E5992" s="7" t="s">
        <v>29</v>
      </c>
      <c r="F5992" s="7" t="s">
        <v>11853</v>
      </c>
      <c r="G5992" s="7" t="n">
        <v>2018</v>
      </c>
      <c r="H5992" s="7" t="s">
        <v>50</v>
      </c>
      <c r="I5992" s="7" t="s">
        <v>11132</v>
      </c>
      <c r="J5992" s="7" t="s">
        <v>344</v>
      </c>
      <c r="K5992" s="7" t="n">
        <f aca="false">IFERROR(VALUE(RIGHT(TRIM(F5992),4)),"")</f>
        <v>2020</v>
      </c>
      <c r="L5992" s="7" t="str">
        <f aca="false">IF(TRIM(E5992)="","Unknown",IFERROR(LEFT(TRIM(E5992),FIND(",",TRIM(E5992))-1),TRIM(E5992)))</f>
        <v>Canada</v>
      </c>
      <c r="M5992" s="7" t="str">
        <f aca="false">IFERROR(LEFT(J5992,FIND(",",J5992)-1),J5992)</f>
        <v>International TV Shows</v>
      </c>
      <c r="N5992" s="7" t="str">
        <f aca="false">IF(B5992="Movie",IFERROR(VALUE(LEFT(I5992,FIND(" ",I5992)-1)),""),"")</f>
        <v/>
      </c>
      <c r="O5992" s="7" t="n">
        <f aca="false">IF(B5992="TV Show",IFERROR(VALUE(LEFT(I5992,FIND(" ",I5992)-1)),""),"")</f>
        <v>2</v>
      </c>
      <c r="P5992" s="7" t="n">
        <f aca="false">IF(K5992="","",K5992-G5992)</f>
        <v>2</v>
      </c>
    </row>
    <row r="5993" customFormat="false" ht="15" hidden="false" customHeight="false" outlineLevel="0" collapsed="false">
      <c r="A5993" s="7" t="n">
        <v>80064235</v>
      </c>
      <c r="B5993" s="7" t="s">
        <v>78</v>
      </c>
      <c r="C5993" s="7" t="s">
        <v>11854</v>
      </c>
      <c r="E5993" s="7" t="s">
        <v>33</v>
      </c>
      <c r="F5993" s="7" t="s">
        <v>11855</v>
      </c>
      <c r="G5993" s="7" t="n">
        <v>2017</v>
      </c>
      <c r="H5993" s="7" t="s">
        <v>48</v>
      </c>
      <c r="I5993" s="7" t="s">
        <v>11148</v>
      </c>
      <c r="J5993" s="7" t="s">
        <v>9001</v>
      </c>
      <c r="K5993" s="7" t="n">
        <f aca="false">IFERROR(VALUE(RIGHT(TRIM(F5993),4)),"")</f>
        <v>2018</v>
      </c>
      <c r="L5993" s="7" t="str">
        <f aca="false">IF(TRIM(E5993)="","Unknown",IFERROR(LEFT(TRIM(E5993),FIND(",",TRIM(E5993))-1),TRIM(E5993)))</f>
        <v>Spain</v>
      </c>
      <c r="M5993" s="7" t="str">
        <f aca="false">IFERROR(LEFT(J5993,FIND(",",J5993)-1),J5993)</f>
        <v>International TV Shows</v>
      </c>
      <c r="N5993" s="7" t="str">
        <f aca="false">IF(B5993="Movie",IFERROR(VALUE(LEFT(I5993,FIND(" ",I5993)-1)),""),"")</f>
        <v/>
      </c>
      <c r="O5993" s="7" t="n">
        <f aca="false">IF(B5993="TV Show",IFERROR(VALUE(LEFT(I5993,FIND(" ",I5993)-1)),""),"")</f>
        <v>3</v>
      </c>
      <c r="P5993" s="7" t="n">
        <f aca="false">IF(K5993="","",K5993-G5993)</f>
        <v>1</v>
      </c>
    </row>
    <row r="5994" customFormat="false" ht="15" hidden="false" customHeight="false" outlineLevel="0" collapsed="false">
      <c r="A5994" s="7" t="n">
        <v>80008434</v>
      </c>
      <c r="B5994" s="7" t="s">
        <v>78</v>
      </c>
      <c r="C5994" s="7" t="s">
        <v>11856</v>
      </c>
      <c r="E5994" s="7" t="s">
        <v>26</v>
      </c>
      <c r="F5994" s="7" t="s">
        <v>11857</v>
      </c>
      <c r="G5994" s="7" t="n">
        <v>2018</v>
      </c>
      <c r="H5994" s="7" t="s">
        <v>49</v>
      </c>
      <c r="I5994" s="7" t="s">
        <v>11135</v>
      </c>
      <c r="J5994" s="7" t="s">
        <v>1455</v>
      </c>
      <c r="K5994" s="7" t="n">
        <f aca="false">IFERROR(VALUE(RIGHT(TRIM(F5994),4)),"")</f>
        <v>2019</v>
      </c>
      <c r="L5994" s="7" t="str">
        <f aca="false">IF(TRIM(E5994)="","Unknown",IFERROR(LEFT(TRIM(E5994),FIND(",",TRIM(E5994))-1),TRIM(E5994)))</f>
        <v>United States</v>
      </c>
      <c r="M5994" s="7" t="str">
        <f aca="false">IFERROR(LEFT(J5994,FIND(",",J5994)-1),J5994)</f>
        <v>TV Action &amp; Adventure</v>
      </c>
      <c r="N5994" s="7" t="str">
        <f aca="false">IF(B5994="Movie",IFERROR(VALUE(LEFT(I5994,FIND(" ",I5994)-1)),""),"")</f>
        <v/>
      </c>
      <c r="O5994" s="7" t="n">
        <f aca="false">IF(B5994="TV Show",IFERROR(VALUE(LEFT(I5994,FIND(" ",I5994)-1)),""),"")</f>
        <v>5</v>
      </c>
      <c r="P5994" s="7" t="n">
        <f aca="false">IF(K5994="","",K5994-G5994)</f>
        <v>1</v>
      </c>
    </row>
    <row r="5995" customFormat="false" ht="15" hidden="false" customHeight="false" outlineLevel="0" collapsed="false">
      <c r="A5995" s="7" t="n">
        <v>80018988</v>
      </c>
      <c r="B5995" s="7" t="s">
        <v>78</v>
      </c>
      <c r="C5995" s="7" t="s">
        <v>11858</v>
      </c>
      <c r="E5995" s="7" t="s">
        <v>26</v>
      </c>
      <c r="F5995" s="7" t="s">
        <v>11859</v>
      </c>
      <c r="G5995" s="7" t="n">
        <v>2018</v>
      </c>
      <c r="H5995" s="7" t="s">
        <v>81</v>
      </c>
      <c r="I5995" s="7" t="s">
        <v>11198</v>
      </c>
      <c r="J5995" s="7" t="s">
        <v>191</v>
      </c>
      <c r="K5995" s="7" t="n">
        <f aca="false">IFERROR(VALUE(RIGHT(TRIM(F5995),4)),"")</f>
        <v>2018</v>
      </c>
      <c r="L5995" s="7" t="str">
        <f aca="false">IF(TRIM(E5995)="","Unknown",IFERROR(LEFT(TRIM(E5995),FIND(",",TRIM(E5995))-1),TRIM(E5995)))</f>
        <v>United States</v>
      </c>
      <c r="M5995" s="7" t="str">
        <f aca="false">IFERROR(LEFT(J5995,FIND(",",J5995)-1),J5995)</f>
        <v>Kids' TV</v>
      </c>
      <c r="N5995" s="7" t="str">
        <f aca="false">IF(B5995="Movie",IFERROR(VALUE(LEFT(I5995,FIND(" ",I5995)-1)),""),"")</f>
        <v/>
      </c>
      <c r="O5995" s="7" t="n">
        <f aca="false">IF(B5995="TV Show",IFERROR(VALUE(LEFT(I5995,FIND(" ",I5995)-1)),""),"")</f>
        <v>6</v>
      </c>
      <c r="P5995" s="7" t="n">
        <f aca="false">IF(K5995="","",K5995-G5995)</f>
        <v>0</v>
      </c>
    </row>
    <row r="5996" customFormat="false" ht="15" hidden="false" customHeight="false" outlineLevel="0" collapsed="false">
      <c r="A5996" s="7" t="n">
        <v>80030346</v>
      </c>
      <c r="B5996" s="7" t="s">
        <v>78</v>
      </c>
      <c r="C5996" s="7" t="s">
        <v>11860</v>
      </c>
      <c r="E5996" s="7" t="s">
        <v>34</v>
      </c>
      <c r="F5996" s="7" t="s">
        <v>11861</v>
      </c>
      <c r="G5996" s="7" t="n">
        <v>2019</v>
      </c>
      <c r="H5996" s="7" t="s">
        <v>48</v>
      </c>
      <c r="I5996" s="7" t="s">
        <v>11155</v>
      </c>
      <c r="J5996" s="7" t="s">
        <v>4526</v>
      </c>
      <c r="K5996" s="7" t="n">
        <f aca="false">IFERROR(VALUE(RIGHT(TRIM(F5996),4)),"")</f>
        <v>2019</v>
      </c>
      <c r="L5996" s="7" t="str">
        <f aca="false">IF(TRIM(E5996)="","Unknown",IFERROR(LEFT(TRIM(E5996),FIND(",",TRIM(E5996))-1),TRIM(E5996)))</f>
        <v>Mexico</v>
      </c>
      <c r="M5996" s="7" t="str">
        <f aca="false">IFERROR(LEFT(J5996,FIND(",",J5996)-1),J5996)</f>
        <v>International TV Shows</v>
      </c>
      <c r="N5996" s="7" t="str">
        <f aca="false">IF(B5996="Movie",IFERROR(VALUE(LEFT(I5996,FIND(" ",I5996)-1)),""),"")</f>
        <v/>
      </c>
      <c r="O5996" s="7" t="n">
        <f aca="false">IF(B5996="TV Show",IFERROR(VALUE(LEFT(I5996,FIND(" ",I5996)-1)),""),"")</f>
        <v>4</v>
      </c>
      <c r="P5996" s="7" t="n">
        <f aca="false">IF(K5996="","",K5996-G5996)</f>
        <v>0</v>
      </c>
    </row>
    <row r="5997" customFormat="false" ht="15" hidden="false" customHeight="false" outlineLevel="0" collapsed="false">
      <c r="A5997" s="7" t="n">
        <v>80152118</v>
      </c>
      <c r="B5997" s="7" t="s">
        <v>78</v>
      </c>
      <c r="C5997" s="7" t="s">
        <v>11862</v>
      </c>
      <c r="E5997" s="7" t="s">
        <v>11863</v>
      </c>
      <c r="F5997" s="7" t="s">
        <v>11861</v>
      </c>
      <c r="G5997" s="7" t="n">
        <v>2018</v>
      </c>
      <c r="H5997" s="7" t="s">
        <v>48</v>
      </c>
      <c r="I5997" s="7" t="s">
        <v>11132</v>
      </c>
      <c r="J5997" s="7" t="s">
        <v>344</v>
      </c>
      <c r="K5997" s="7" t="n">
        <f aca="false">IFERROR(VALUE(RIGHT(TRIM(F5997),4)),"")</f>
        <v>2019</v>
      </c>
      <c r="L5997" s="7" t="str">
        <f aca="false">IF(TRIM(E5997)="","Unknown",IFERROR(LEFT(TRIM(E5997),FIND(",",TRIM(E5997))-1),TRIM(E5997)))</f>
        <v>Italy</v>
      </c>
      <c r="M5997" s="7" t="str">
        <f aca="false">IFERROR(LEFT(J5997,FIND(",",J5997)-1),J5997)</f>
        <v>International TV Shows</v>
      </c>
      <c r="N5997" s="7" t="str">
        <f aca="false">IF(B5997="Movie",IFERROR(VALUE(LEFT(I5997,FIND(" ",I5997)-1)),""),"")</f>
        <v/>
      </c>
      <c r="O5997" s="7" t="n">
        <f aca="false">IF(B5997="TV Show",IFERROR(VALUE(LEFT(I5997,FIND(" ",I5997)-1)),""),"")</f>
        <v>2</v>
      </c>
      <c r="P5997" s="7" t="n">
        <f aca="false">IF(K5997="","",K5997-G5997)</f>
        <v>1</v>
      </c>
    </row>
    <row r="5998" customFormat="false" ht="15" hidden="false" customHeight="false" outlineLevel="0" collapsed="false">
      <c r="A5998" s="7" t="n">
        <v>80084164</v>
      </c>
      <c r="B5998" s="7" t="s">
        <v>78</v>
      </c>
      <c r="C5998" s="7" t="s">
        <v>11864</v>
      </c>
      <c r="E5998" s="7" t="s">
        <v>7749</v>
      </c>
      <c r="F5998" s="7" t="s">
        <v>11865</v>
      </c>
      <c r="G5998" s="7" t="n">
        <v>2018</v>
      </c>
      <c r="H5998" s="7" t="s">
        <v>49</v>
      </c>
      <c r="I5998" s="7" t="s">
        <v>11132</v>
      </c>
      <c r="J5998" s="7" t="s">
        <v>846</v>
      </c>
      <c r="K5998" s="7" t="n">
        <f aca="false">IFERROR(VALUE(RIGHT(TRIM(F5998),4)),"")</f>
        <v>2018</v>
      </c>
      <c r="L5998" s="7" t="str">
        <f aca="false">IF(TRIM(E5998)="","Unknown",IFERROR(LEFT(TRIM(E5998),FIND(",",TRIM(E5998))-1),TRIM(E5998)))</f>
        <v>United States</v>
      </c>
      <c r="M5998" s="7" t="str">
        <f aca="false">IFERROR(LEFT(J5998,FIND(",",J5998)-1),J5998)</f>
        <v>TV Action &amp; Adventure</v>
      </c>
      <c r="N5998" s="7" t="str">
        <f aca="false">IF(B5998="Movie",IFERROR(VALUE(LEFT(I5998,FIND(" ",I5998)-1)),""),"")</f>
        <v/>
      </c>
      <c r="O5998" s="7" t="n">
        <f aca="false">IF(B5998="TV Show",IFERROR(VALUE(LEFT(I5998,FIND(" ",I5998)-1)),""),"")</f>
        <v>2</v>
      </c>
      <c r="P5998" s="7" t="n">
        <f aca="false">IF(K5998="","",K5998-G5998)</f>
        <v>0</v>
      </c>
    </row>
    <row r="5999" customFormat="false" ht="15" hidden="false" customHeight="false" outlineLevel="0" collapsed="false">
      <c r="A5999" s="7" t="n">
        <v>80117498</v>
      </c>
      <c r="B5999" s="7" t="s">
        <v>78</v>
      </c>
      <c r="C5999" s="7" t="s">
        <v>11866</v>
      </c>
      <c r="E5999" s="7" t="s">
        <v>26</v>
      </c>
      <c r="F5999" s="7" t="s">
        <v>11867</v>
      </c>
      <c r="G5999" s="7" t="n">
        <v>2019</v>
      </c>
      <c r="H5999" s="7" t="s">
        <v>48</v>
      </c>
      <c r="I5999" s="7" t="s">
        <v>11132</v>
      </c>
      <c r="J5999" s="7" t="s">
        <v>11868</v>
      </c>
      <c r="K5999" s="7" t="n">
        <f aca="false">IFERROR(VALUE(RIGHT(TRIM(F5999),4)),"")</f>
        <v>2019</v>
      </c>
      <c r="L5999" s="7" t="str">
        <f aca="false">IF(TRIM(E5999)="","Unknown",IFERROR(LEFT(TRIM(E5999),FIND(",",TRIM(E5999))-1),TRIM(E5999)))</f>
        <v>United States</v>
      </c>
      <c r="M5999" s="7" t="str">
        <f aca="false">IFERROR(LEFT(J5999,FIND(",",J5999)-1),J5999)</f>
        <v>Crime TV Shows</v>
      </c>
      <c r="N5999" s="7" t="str">
        <f aca="false">IF(B5999="Movie",IFERROR(VALUE(LEFT(I5999,FIND(" ",I5999)-1)),""),"")</f>
        <v/>
      </c>
      <c r="O5999" s="7" t="n">
        <f aca="false">IF(B5999="TV Show",IFERROR(VALUE(LEFT(I5999,FIND(" ",I5999)-1)),""),"")</f>
        <v>2</v>
      </c>
      <c r="P5999" s="7" t="n">
        <f aca="false">IF(K5999="","",K5999-G5999)</f>
        <v>0</v>
      </c>
    </row>
    <row r="6000" customFormat="false" ht="15" hidden="false" customHeight="false" outlineLevel="0" collapsed="false">
      <c r="A6000" s="7" t="n">
        <v>80213025</v>
      </c>
      <c r="B6000" s="7" t="s">
        <v>78</v>
      </c>
      <c r="C6000" s="7" t="s">
        <v>11869</v>
      </c>
      <c r="E6000" s="7" t="s">
        <v>28</v>
      </c>
      <c r="F6000" s="7" t="s">
        <v>11867</v>
      </c>
      <c r="G6000" s="7" t="n">
        <v>2019</v>
      </c>
      <c r="H6000" s="7" t="s">
        <v>226</v>
      </c>
      <c r="I6000" s="7" t="s">
        <v>11148</v>
      </c>
      <c r="J6000" s="7" t="s">
        <v>306</v>
      </c>
      <c r="K6000" s="7" t="n">
        <f aca="false">IFERROR(VALUE(RIGHT(TRIM(F6000),4)),"")</f>
        <v>2019</v>
      </c>
      <c r="L6000" s="7" t="str">
        <f aca="false">IF(TRIM(E6000)="","Unknown",IFERROR(LEFT(TRIM(E6000),FIND(",",TRIM(E6000))-1),TRIM(E6000)))</f>
        <v>United Kingdom</v>
      </c>
      <c r="M6000" s="7" t="str">
        <f aca="false">IFERROR(LEFT(J6000,FIND(",",J6000)-1),J6000)</f>
        <v>British TV Shows</v>
      </c>
      <c r="N6000" s="7" t="str">
        <f aca="false">IF(B6000="Movie",IFERROR(VALUE(LEFT(I6000,FIND(" ",I6000)-1)),""),"")</f>
        <v/>
      </c>
      <c r="O6000" s="7" t="n">
        <f aca="false">IF(B6000="TV Show",IFERROR(VALUE(LEFT(I6000,FIND(" ",I6000)-1)),""),"")</f>
        <v>3</v>
      </c>
      <c r="P6000" s="7" t="n">
        <f aca="false">IF(K6000="","",K6000-G6000)</f>
        <v>0</v>
      </c>
    </row>
    <row r="6001" customFormat="false" ht="15" hidden="false" customHeight="false" outlineLevel="0" collapsed="false">
      <c r="A6001" s="7" t="n">
        <v>80141782</v>
      </c>
      <c r="B6001" s="7" t="s">
        <v>78</v>
      </c>
      <c r="C6001" s="7" t="s">
        <v>11870</v>
      </c>
      <c r="E6001" s="7" t="s">
        <v>29</v>
      </c>
      <c r="F6001" s="7" t="s">
        <v>11871</v>
      </c>
      <c r="G6001" s="7" t="n">
        <v>2019</v>
      </c>
      <c r="H6001" s="7" t="s">
        <v>48</v>
      </c>
      <c r="I6001" s="7" t="s">
        <v>11148</v>
      </c>
      <c r="J6001" s="7" t="s">
        <v>773</v>
      </c>
      <c r="K6001" s="7" t="n">
        <f aca="false">IFERROR(VALUE(RIGHT(TRIM(F6001),4)),"")</f>
        <v>2020</v>
      </c>
      <c r="L6001" s="7" t="str">
        <f aca="false">IF(TRIM(E6001)="","Unknown",IFERROR(LEFT(TRIM(E6001),FIND(",",TRIM(E6001))-1),TRIM(E6001)))</f>
        <v>Canada</v>
      </c>
      <c r="M6001" s="7" t="str">
        <f aca="false">IFERROR(LEFT(J6001,FIND(",",J6001)-1),J6001)</f>
        <v>Docuseries</v>
      </c>
      <c r="N6001" s="7" t="str">
        <f aca="false">IF(B6001="Movie",IFERROR(VALUE(LEFT(I6001,FIND(" ",I6001)-1)),""),"")</f>
        <v/>
      </c>
      <c r="O6001" s="7" t="n">
        <f aca="false">IF(B6001="TV Show",IFERROR(VALUE(LEFT(I6001,FIND(" ",I6001)-1)),""),"")</f>
        <v>3</v>
      </c>
      <c r="P6001" s="7" t="n">
        <f aca="false">IF(K6001="","",K6001-G6001)</f>
        <v>1</v>
      </c>
    </row>
    <row r="6002" customFormat="false" ht="15" hidden="false" customHeight="false" outlineLevel="0" collapsed="false">
      <c r="A6002" s="7" t="n">
        <v>80082647</v>
      </c>
      <c r="B6002" s="7" t="s">
        <v>78</v>
      </c>
      <c r="C6002" s="7" t="s">
        <v>11872</v>
      </c>
      <c r="E6002" s="7" t="s">
        <v>26</v>
      </c>
      <c r="F6002" s="7" t="s">
        <v>11873</v>
      </c>
      <c r="G6002" s="7" t="n">
        <v>2017</v>
      </c>
      <c r="H6002" s="7" t="s">
        <v>50</v>
      </c>
      <c r="I6002" s="7" t="s">
        <v>11155</v>
      </c>
      <c r="J6002" s="7" t="s">
        <v>1046</v>
      </c>
      <c r="K6002" s="7" t="n">
        <f aca="false">IFERROR(VALUE(RIGHT(TRIM(F6002),4)),"")</f>
        <v>2018</v>
      </c>
      <c r="L6002" s="7" t="str">
        <f aca="false">IF(TRIM(E6002)="","Unknown",IFERROR(LEFT(TRIM(E6002),FIND(",",TRIM(E6002))-1),TRIM(E6002)))</f>
        <v>United States</v>
      </c>
      <c r="M6002" s="7" t="str">
        <f aca="false">IFERROR(LEFT(J6002,FIND(",",J6002)-1),J6002)</f>
        <v>Docuseries</v>
      </c>
      <c r="N6002" s="7" t="str">
        <f aca="false">IF(B6002="Movie",IFERROR(VALUE(LEFT(I6002,FIND(" ",I6002)-1)),""),"")</f>
        <v/>
      </c>
      <c r="O6002" s="7" t="n">
        <f aca="false">IF(B6002="TV Show",IFERROR(VALUE(LEFT(I6002,FIND(" ",I6002)-1)),""),"")</f>
        <v>4</v>
      </c>
      <c r="P6002" s="7" t="n">
        <f aca="false">IF(K6002="","",K6002-G6002)</f>
        <v>1</v>
      </c>
    </row>
    <row r="6003" customFormat="false" ht="15" hidden="false" customHeight="false" outlineLevel="0" collapsed="false">
      <c r="A6003" s="7" t="n">
        <v>80126991</v>
      </c>
      <c r="B6003" s="7" t="s">
        <v>78</v>
      </c>
      <c r="C6003" s="7" t="s">
        <v>11874</v>
      </c>
      <c r="E6003" s="7" t="s">
        <v>396</v>
      </c>
      <c r="F6003" s="7" t="s">
        <v>11875</v>
      </c>
      <c r="G6003" s="7" t="n">
        <v>2016</v>
      </c>
      <c r="H6003" s="7" t="s">
        <v>50</v>
      </c>
      <c r="I6003" s="7" t="s">
        <v>11132</v>
      </c>
      <c r="J6003" s="7" t="s">
        <v>344</v>
      </c>
      <c r="K6003" s="7" t="n">
        <f aca="false">IFERROR(VALUE(RIGHT(TRIM(F6003),4)),"")</f>
        <v>2017</v>
      </c>
      <c r="L6003" s="7" t="str">
        <f aca="false">IF(TRIM(E6003)="","Unknown",IFERROR(LEFT(TRIM(E6003),FIND(",",TRIM(E6003))-1),TRIM(E6003)))</f>
        <v>Turkey</v>
      </c>
      <c r="M6003" s="7" t="str">
        <f aca="false">IFERROR(LEFT(J6003,FIND(",",J6003)-1),J6003)</f>
        <v>International TV Shows</v>
      </c>
      <c r="N6003" s="7" t="str">
        <f aca="false">IF(B6003="Movie",IFERROR(VALUE(LEFT(I6003,FIND(" ",I6003)-1)),""),"")</f>
        <v/>
      </c>
      <c r="O6003" s="7" t="n">
        <f aca="false">IF(B6003="TV Show",IFERROR(VALUE(LEFT(I6003,FIND(" ",I6003)-1)),""),"")</f>
        <v>2</v>
      </c>
      <c r="P6003" s="7" t="n">
        <f aca="false">IF(K6003="","",K6003-G6003)</f>
        <v>1</v>
      </c>
    </row>
    <row r="6004" customFormat="false" ht="15" hidden="false" customHeight="false" outlineLevel="0" collapsed="false">
      <c r="A6004" s="7" t="n">
        <v>81011059</v>
      </c>
      <c r="B6004" s="7" t="s">
        <v>78</v>
      </c>
      <c r="C6004" s="7" t="s">
        <v>11876</v>
      </c>
      <c r="E6004" s="7" t="s">
        <v>752</v>
      </c>
      <c r="F6004" s="7" t="s">
        <v>11877</v>
      </c>
      <c r="G6004" s="7" t="n">
        <v>2019</v>
      </c>
      <c r="H6004" s="7" t="s">
        <v>119</v>
      </c>
      <c r="I6004" s="7" t="s">
        <v>11148</v>
      </c>
      <c r="J6004" s="7" t="s">
        <v>191</v>
      </c>
      <c r="K6004" s="7" t="n">
        <f aca="false">IFERROR(VALUE(RIGHT(TRIM(F6004),4)),"")</f>
        <v>2020</v>
      </c>
      <c r="L6004" s="7" t="str">
        <f aca="false">IF(TRIM(E6004)="","Unknown",IFERROR(LEFT(TRIM(E6004),FIND(",",TRIM(E6004))-1),TRIM(E6004)))</f>
        <v>Russia</v>
      </c>
      <c r="M6004" s="7" t="str">
        <f aca="false">IFERROR(LEFT(J6004,FIND(",",J6004)-1),J6004)</f>
        <v>Kids' TV</v>
      </c>
      <c r="N6004" s="7" t="str">
        <f aca="false">IF(B6004="Movie",IFERROR(VALUE(LEFT(I6004,FIND(" ",I6004)-1)),""),"")</f>
        <v/>
      </c>
      <c r="O6004" s="7" t="n">
        <f aca="false">IF(B6004="TV Show",IFERROR(VALUE(LEFT(I6004,FIND(" ",I6004)-1)),""),"")</f>
        <v>3</v>
      </c>
      <c r="P6004" s="7" t="n">
        <f aca="false">IF(K6004="","",K6004-G6004)</f>
        <v>1</v>
      </c>
    </row>
    <row r="6005" customFormat="false" ht="15" hidden="false" customHeight="false" outlineLevel="0" collapsed="false">
      <c r="A6005" s="7" t="n">
        <v>70205024</v>
      </c>
      <c r="B6005" s="7" t="s">
        <v>78</v>
      </c>
      <c r="C6005" s="7" t="s">
        <v>11878</v>
      </c>
      <c r="E6005" s="7" t="s">
        <v>30</v>
      </c>
      <c r="F6005" s="7" t="s">
        <v>11877</v>
      </c>
      <c r="G6005" s="7" t="n">
        <v>2009</v>
      </c>
      <c r="H6005" s="7" t="s">
        <v>49</v>
      </c>
      <c r="I6005" s="7" t="s">
        <v>11155</v>
      </c>
      <c r="J6005" s="7" t="s">
        <v>542</v>
      </c>
      <c r="K6005" s="7" t="n">
        <f aca="false">IFERROR(VALUE(RIGHT(TRIM(F6005),4)),"")</f>
        <v>2020</v>
      </c>
      <c r="L6005" s="7" t="str">
        <f aca="false">IF(TRIM(E6005)="","Unknown",IFERROR(LEFT(TRIM(E6005),FIND(",",TRIM(E6005))-1),TRIM(E6005)))</f>
        <v>Japan</v>
      </c>
      <c r="M6005" s="7" t="str">
        <f aca="false">IFERROR(LEFT(J6005,FIND(",",J6005)-1),J6005)</f>
        <v>Anime Series</v>
      </c>
      <c r="N6005" s="7" t="str">
        <f aca="false">IF(B6005="Movie",IFERROR(VALUE(LEFT(I6005,FIND(" ",I6005)-1)),""),"")</f>
        <v/>
      </c>
      <c r="O6005" s="7" t="n">
        <f aca="false">IF(B6005="TV Show",IFERROR(VALUE(LEFT(I6005,FIND(" ",I6005)-1)),""),"")</f>
        <v>4</v>
      </c>
      <c r="P6005" s="7" t="n">
        <f aca="false">IF(K6005="","",K6005-G6005)</f>
        <v>11</v>
      </c>
    </row>
    <row r="6006" customFormat="false" ht="15" hidden="false" customHeight="false" outlineLevel="0" collapsed="false">
      <c r="A6006" s="7" t="n">
        <v>70285368</v>
      </c>
      <c r="B6006" s="7" t="s">
        <v>78</v>
      </c>
      <c r="C6006" s="7" t="s">
        <v>11879</v>
      </c>
      <c r="E6006" s="7" t="s">
        <v>3075</v>
      </c>
      <c r="F6006" s="7" t="s">
        <v>11880</v>
      </c>
      <c r="G6006" s="7" t="n">
        <v>2017</v>
      </c>
      <c r="H6006" s="7" t="s">
        <v>48</v>
      </c>
      <c r="I6006" s="7" t="s">
        <v>11155</v>
      </c>
      <c r="J6006" s="7" t="s">
        <v>335</v>
      </c>
      <c r="K6006" s="7" t="n">
        <f aca="false">IFERROR(VALUE(RIGHT(TRIM(F6006),4)),"")</f>
        <v>2018</v>
      </c>
      <c r="L6006" s="7" t="str">
        <f aca="false">IF(TRIM(E6006)="","Unknown",IFERROR(LEFT(TRIM(E6006),FIND(",",TRIM(E6006))-1),TRIM(E6006)))</f>
        <v>Denmark</v>
      </c>
      <c r="M6006" s="7" t="str">
        <f aca="false">IFERROR(LEFT(J6006,FIND(",",J6006)-1),J6006)</f>
        <v>International TV Shows</v>
      </c>
      <c r="N6006" s="7" t="str">
        <f aca="false">IF(B6006="Movie",IFERROR(VALUE(LEFT(I6006,FIND(" ",I6006)-1)),""),"")</f>
        <v/>
      </c>
      <c r="O6006" s="7" t="n">
        <f aca="false">IF(B6006="TV Show",IFERROR(VALUE(LEFT(I6006,FIND(" ",I6006)-1)),""),"")</f>
        <v>4</v>
      </c>
      <c r="P6006" s="7" t="n">
        <f aca="false">IF(K6006="","",K6006-G6006)</f>
        <v>1</v>
      </c>
    </row>
    <row r="6007" customFormat="false" ht="15" hidden="false" customHeight="false" outlineLevel="0" collapsed="false">
      <c r="A6007" s="7" t="n">
        <v>80017537</v>
      </c>
      <c r="B6007" s="7" t="s">
        <v>78</v>
      </c>
      <c r="C6007" s="7" t="s">
        <v>11881</v>
      </c>
      <c r="E6007" s="7" t="s">
        <v>26</v>
      </c>
      <c r="F6007" s="7" t="s">
        <v>11882</v>
      </c>
      <c r="G6007" s="7" t="n">
        <v>2019</v>
      </c>
      <c r="H6007" s="7" t="s">
        <v>48</v>
      </c>
      <c r="I6007" s="7" t="s">
        <v>11135</v>
      </c>
      <c r="J6007" s="7" t="s">
        <v>502</v>
      </c>
      <c r="K6007" s="7" t="n">
        <f aca="false">IFERROR(VALUE(RIGHT(TRIM(F6007),4)),"")</f>
        <v>2020</v>
      </c>
      <c r="L6007" s="7" t="str">
        <f aca="false">IF(TRIM(E6007)="","Unknown",IFERROR(LEFT(TRIM(E6007),FIND(",",TRIM(E6007))-1),TRIM(E6007)))</f>
        <v>United States</v>
      </c>
      <c r="M6007" s="7" t="str">
        <f aca="false">IFERROR(LEFT(J6007,FIND(",",J6007)-1),J6007)</f>
        <v>TV Comedies</v>
      </c>
      <c r="N6007" s="7" t="str">
        <f aca="false">IF(B6007="Movie",IFERROR(VALUE(LEFT(I6007,FIND(" ",I6007)-1)),""),"")</f>
        <v/>
      </c>
      <c r="O6007" s="7" t="n">
        <f aca="false">IF(B6007="TV Show",IFERROR(VALUE(LEFT(I6007,FIND(" ",I6007)-1)),""),"")</f>
        <v>5</v>
      </c>
      <c r="P6007" s="7" t="n">
        <f aca="false">IF(K6007="","",K6007-G6007)</f>
        <v>1</v>
      </c>
    </row>
    <row r="6008" customFormat="false" ht="15" hidden="false" customHeight="false" outlineLevel="0" collapsed="false">
      <c r="A6008" s="7" t="n">
        <v>70180293</v>
      </c>
      <c r="B6008" s="7" t="s">
        <v>78</v>
      </c>
      <c r="C6008" s="7" t="s">
        <v>11883</v>
      </c>
      <c r="D6008" s="7" t="s">
        <v>11884</v>
      </c>
      <c r="E6008" s="7" t="s">
        <v>10555</v>
      </c>
      <c r="F6008" s="7" t="s">
        <v>11885</v>
      </c>
      <c r="G6008" s="7" t="n">
        <v>2014</v>
      </c>
      <c r="H6008" s="7" t="s">
        <v>119</v>
      </c>
      <c r="I6008" s="7" t="s">
        <v>11132</v>
      </c>
      <c r="J6008" s="7" t="s">
        <v>44</v>
      </c>
      <c r="K6008" s="7" t="n">
        <f aca="false">IFERROR(VALUE(RIGHT(TRIM(F6008),4)),"")</f>
        <v>2017</v>
      </c>
      <c r="L6008" s="7" t="str">
        <f aca="false">IF(TRIM(E6008)="","Unknown",IFERROR(LEFT(TRIM(E6008),FIND(",",TRIM(E6008))-1),TRIM(E6008)))</f>
        <v>Canada</v>
      </c>
      <c r="M6008" s="7" t="str">
        <f aca="false">IFERROR(LEFT(J6008,FIND(",",J6008)-1),J6008)</f>
        <v>Kids' TV</v>
      </c>
      <c r="N6008" s="7" t="str">
        <f aca="false">IF(B6008="Movie",IFERROR(VALUE(LEFT(I6008,FIND(" ",I6008)-1)),""),"")</f>
        <v/>
      </c>
      <c r="O6008" s="7" t="n">
        <f aca="false">IF(B6008="TV Show",IFERROR(VALUE(LEFT(I6008,FIND(" ",I6008)-1)),""),"")</f>
        <v>2</v>
      </c>
      <c r="P6008" s="7" t="n">
        <f aca="false">IF(K6008="","",K6008-G6008)</f>
        <v>3</v>
      </c>
    </row>
    <row r="6009" customFormat="false" ht="15" hidden="false" customHeight="false" outlineLevel="0" collapsed="false">
      <c r="A6009" s="7" t="n">
        <v>70143842</v>
      </c>
      <c r="B6009" s="7" t="s">
        <v>78</v>
      </c>
      <c r="C6009" s="7" t="s">
        <v>11886</v>
      </c>
      <c r="E6009" s="7" t="s">
        <v>26</v>
      </c>
      <c r="F6009" s="7" t="s">
        <v>11887</v>
      </c>
      <c r="G6009" s="7" t="n">
        <v>2015</v>
      </c>
      <c r="H6009" s="7" t="s">
        <v>49</v>
      </c>
      <c r="I6009" s="7" t="s">
        <v>11152</v>
      </c>
      <c r="J6009" s="7" t="s">
        <v>289</v>
      </c>
      <c r="K6009" s="7" t="n">
        <f aca="false">IFERROR(VALUE(RIGHT(TRIM(F6009),4)),"")</f>
        <v>2016</v>
      </c>
      <c r="L6009" s="7" t="str">
        <f aca="false">IF(TRIM(E6009)="","Unknown",IFERROR(LEFT(TRIM(E6009),FIND(",",TRIM(E6009))-1),TRIM(E6009)))</f>
        <v>United States</v>
      </c>
      <c r="M6009" s="7" t="str">
        <f aca="false">IFERROR(LEFT(J6009,FIND(",",J6009)-1),J6009)</f>
        <v>TV Comedies</v>
      </c>
      <c r="N6009" s="7" t="str">
        <f aca="false">IF(B6009="Movie",IFERROR(VALUE(LEFT(I6009,FIND(" ",I6009)-1)),""),"")</f>
        <v/>
      </c>
      <c r="O6009" s="7" t="n">
        <f aca="false">IF(B6009="TV Show",IFERROR(VALUE(LEFT(I6009,FIND(" ",I6009)-1)),""),"")</f>
        <v>7</v>
      </c>
      <c r="P6009" s="7" t="n">
        <f aca="false">IF(K6009="","",K6009-G6009)</f>
        <v>1</v>
      </c>
    </row>
    <row r="6010" customFormat="false" ht="15" hidden="false" customHeight="false" outlineLevel="0" collapsed="false">
      <c r="A6010" s="7" t="n">
        <v>80158104</v>
      </c>
      <c r="B6010" s="7" t="s">
        <v>78</v>
      </c>
      <c r="C6010" s="7" t="s">
        <v>11888</v>
      </c>
      <c r="E6010" s="7" t="s">
        <v>949</v>
      </c>
      <c r="F6010" s="7" t="s">
        <v>11889</v>
      </c>
      <c r="G6010" s="7" t="n">
        <v>2018</v>
      </c>
      <c r="H6010" s="7" t="s">
        <v>49</v>
      </c>
      <c r="I6010" s="7" t="s">
        <v>11132</v>
      </c>
      <c r="J6010" s="7" t="s">
        <v>11868</v>
      </c>
      <c r="K6010" s="7" t="n">
        <f aca="false">IFERROR(VALUE(RIGHT(TRIM(F6010),4)),"")</f>
        <v>2019</v>
      </c>
      <c r="L6010" s="7" t="str">
        <f aca="false">IF(TRIM(E6010)="","Unknown",IFERROR(LEFT(TRIM(E6010),FIND(",",TRIM(E6010))-1),TRIM(E6010)))</f>
        <v>France</v>
      </c>
      <c r="M6010" s="7" t="str">
        <f aca="false">IFERROR(LEFT(J6010,FIND(",",J6010)-1),J6010)</f>
        <v>Crime TV Shows</v>
      </c>
      <c r="N6010" s="7" t="str">
        <f aca="false">IF(B6010="Movie",IFERROR(VALUE(LEFT(I6010,FIND(" ",I6010)-1)),""),"")</f>
        <v/>
      </c>
      <c r="O6010" s="7" t="n">
        <f aca="false">IF(B6010="TV Show",IFERROR(VALUE(LEFT(I6010,FIND(" ",I6010)-1)),""),"")</f>
        <v>2</v>
      </c>
      <c r="P6010" s="7" t="n">
        <f aca="false">IF(K6010="","",K6010-G6010)</f>
        <v>1</v>
      </c>
    </row>
    <row r="6011" customFormat="false" ht="15" hidden="false" customHeight="false" outlineLevel="0" collapsed="false">
      <c r="A6011" s="7" t="n">
        <v>80117694</v>
      </c>
      <c r="B6011" s="7" t="s">
        <v>78</v>
      </c>
      <c r="C6011" s="7" t="s">
        <v>11890</v>
      </c>
      <c r="E6011" s="7" t="s">
        <v>26</v>
      </c>
      <c r="F6011" s="7" t="s">
        <v>11891</v>
      </c>
      <c r="G6011" s="7" t="n">
        <v>2018</v>
      </c>
      <c r="H6011" s="7" t="s">
        <v>48</v>
      </c>
      <c r="I6011" s="7" t="s">
        <v>11132</v>
      </c>
      <c r="J6011" s="7" t="s">
        <v>289</v>
      </c>
      <c r="K6011" s="7" t="n">
        <f aca="false">IFERROR(VALUE(RIGHT(TRIM(F6011),4)),"")</f>
        <v>2018</v>
      </c>
      <c r="L6011" s="7" t="str">
        <f aca="false">IF(TRIM(E6011)="","Unknown",IFERROR(LEFT(TRIM(E6011),FIND(",",TRIM(E6011))-1),TRIM(E6011)))</f>
        <v>United States</v>
      </c>
      <c r="M6011" s="7" t="str">
        <f aca="false">IFERROR(LEFT(J6011,FIND(",",J6011)-1),J6011)</f>
        <v>TV Comedies</v>
      </c>
      <c r="N6011" s="7" t="str">
        <f aca="false">IF(B6011="Movie",IFERROR(VALUE(LEFT(I6011,FIND(" ",I6011)-1)),""),"")</f>
        <v/>
      </c>
      <c r="O6011" s="7" t="n">
        <f aca="false">IF(B6011="TV Show",IFERROR(VALUE(LEFT(I6011,FIND(" ",I6011)-1)),""),"")</f>
        <v>2</v>
      </c>
      <c r="P6011" s="7" t="n">
        <f aca="false">IF(K6011="","",K6011-G6011)</f>
        <v>0</v>
      </c>
    </row>
    <row r="6012" customFormat="false" ht="15" hidden="false" customHeight="false" outlineLevel="0" collapsed="false">
      <c r="A6012" s="7" t="n">
        <v>80117485</v>
      </c>
      <c r="B6012" s="7" t="s">
        <v>78</v>
      </c>
      <c r="C6012" s="7" t="s">
        <v>11892</v>
      </c>
      <c r="E6012" s="7" t="s">
        <v>26</v>
      </c>
      <c r="F6012" s="7" t="s">
        <v>11893</v>
      </c>
      <c r="G6012" s="7" t="n">
        <v>2019</v>
      </c>
      <c r="H6012" s="7" t="s">
        <v>48</v>
      </c>
      <c r="I6012" s="7" t="s">
        <v>11132</v>
      </c>
      <c r="J6012" s="7" t="s">
        <v>2149</v>
      </c>
      <c r="K6012" s="7" t="n">
        <f aca="false">IFERROR(VALUE(RIGHT(TRIM(F6012),4)),"")</f>
        <v>2019</v>
      </c>
      <c r="L6012" s="7" t="str">
        <f aca="false">IF(TRIM(E6012)="","Unknown",IFERROR(LEFT(TRIM(E6012),FIND(",",TRIM(E6012))-1),TRIM(E6012)))</f>
        <v>United States</v>
      </c>
      <c r="M6012" s="7" t="str">
        <f aca="false">IFERROR(LEFT(J6012,FIND(",",J6012)-1),J6012)</f>
        <v>Romantic TV Shows</v>
      </c>
      <c r="N6012" s="7" t="str">
        <f aca="false">IF(B6012="Movie",IFERROR(VALUE(LEFT(I6012,FIND(" ",I6012)-1)),""),"")</f>
        <v/>
      </c>
      <c r="O6012" s="7" t="n">
        <f aca="false">IF(B6012="TV Show",IFERROR(VALUE(LEFT(I6012,FIND(" ",I6012)-1)),""),"")</f>
        <v>2</v>
      </c>
      <c r="P6012" s="7" t="n">
        <f aca="false">IF(K6012="","",K6012-G6012)</f>
        <v>0</v>
      </c>
    </row>
    <row r="6013" customFormat="false" ht="15" hidden="false" customHeight="false" outlineLevel="0" collapsed="false">
      <c r="A6013" s="7" t="n">
        <v>81033895</v>
      </c>
      <c r="B6013" s="7" t="s">
        <v>78</v>
      </c>
      <c r="C6013" s="7" t="s">
        <v>11894</v>
      </c>
      <c r="E6013" s="7" t="s">
        <v>719</v>
      </c>
      <c r="F6013" s="7" t="s">
        <v>11893</v>
      </c>
      <c r="G6013" s="7" t="n">
        <v>2018</v>
      </c>
      <c r="H6013" s="7" t="s">
        <v>48</v>
      </c>
      <c r="I6013" s="7" t="s">
        <v>11155</v>
      </c>
      <c r="J6013" s="7" t="s">
        <v>289</v>
      </c>
      <c r="K6013" s="7" t="n">
        <f aca="false">IFERROR(VALUE(RIGHT(TRIM(F6013),4)),"")</f>
        <v>2019</v>
      </c>
      <c r="L6013" s="7" t="str">
        <f aca="false">IF(TRIM(E6013)="","Unknown",IFERROR(LEFT(TRIM(E6013),FIND(",",TRIM(E6013))-1),TRIM(E6013)))</f>
        <v>Ireland</v>
      </c>
      <c r="M6013" s="7" t="str">
        <f aca="false">IFERROR(LEFT(J6013,FIND(",",J6013)-1),J6013)</f>
        <v>TV Comedies</v>
      </c>
      <c r="N6013" s="7" t="str">
        <f aca="false">IF(B6013="Movie",IFERROR(VALUE(LEFT(I6013,FIND(" ",I6013)-1)),""),"")</f>
        <v/>
      </c>
      <c r="O6013" s="7" t="n">
        <f aca="false">IF(B6013="TV Show",IFERROR(VALUE(LEFT(I6013,FIND(" ",I6013)-1)),""),"")</f>
        <v>4</v>
      </c>
      <c r="P6013" s="7" t="n">
        <f aca="false">IF(K6013="","",K6013-G6013)</f>
        <v>1</v>
      </c>
    </row>
    <row r="6014" customFormat="false" ht="15" hidden="false" customHeight="false" outlineLevel="0" collapsed="false">
      <c r="A6014" s="7" t="n">
        <v>70301529</v>
      </c>
      <c r="B6014" s="7" t="s">
        <v>78</v>
      </c>
      <c r="C6014" s="7" t="s">
        <v>11895</v>
      </c>
      <c r="E6014" s="7" t="s">
        <v>28</v>
      </c>
      <c r="F6014" s="7" t="s">
        <v>11893</v>
      </c>
      <c r="G6014" s="7" t="n">
        <v>2019</v>
      </c>
      <c r="H6014" s="7" t="s">
        <v>226</v>
      </c>
      <c r="I6014" s="7" t="s">
        <v>11132</v>
      </c>
      <c r="J6014" s="7" t="s">
        <v>3939</v>
      </c>
      <c r="K6014" s="7" t="n">
        <f aca="false">IFERROR(VALUE(RIGHT(TRIM(F6014),4)),"")</f>
        <v>2019</v>
      </c>
      <c r="L6014" s="7" t="str">
        <f aca="false">IF(TRIM(E6014)="","Unknown",IFERROR(LEFT(TRIM(E6014),FIND(",",TRIM(E6014))-1),TRIM(E6014)))</f>
        <v>United Kingdom</v>
      </c>
      <c r="M6014" s="7" t="str">
        <f aca="false">IFERROR(LEFT(J6014,FIND(",",J6014)-1),J6014)</f>
        <v>British TV Shows</v>
      </c>
      <c r="N6014" s="7" t="str">
        <f aca="false">IF(B6014="Movie",IFERROR(VALUE(LEFT(I6014,FIND(" ",I6014)-1)),""),"")</f>
        <v/>
      </c>
      <c r="O6014" s="7" t="n">
        <f aca="false">IF(B6014="TV Show",IFERROR(VALUE(LEFT(I6014,FIND(" ",I6014)-1)),""),"")</f>
        <v>2</v>
      </c>
      <c r="P6014" s="7" t="n">
        <f aca="false">IF(K6014="","",K6014-G6014)</f>
        <v>0</v>
      </c>
    </row>
    <row r="6015" customFormat="false" ht="15" hidden="false" customHeight="false" outlineLevel="0" collapsed="false">
      <c r="A6015" s="7" t="n">
        <v>80153272</v>
      </c>
      <c r="B6015" s="7" t="s">
        <v>78</v>
      </c>
      <c r="C6015" s="7" t="s">
        <v>11896</v>
      </c>
      <c r="E6015" s="7" t="s">
        <v>11897</v>
      </c>
      <c r="F6015" s="7" t="s">
        <v>11893</v>
      </c>
      <c r="G6015" s="7" t="n">
        <v>2018</v>
      </c>
      <c r="H6015" s="7" t="s">
        <v>48</v>
      </c>
      <c r="I6015" s="7" t="s">
        <v>11148</v>
      </c>
      <c r="J6015" s="7" t="s">
        <v>824</v>
      </c>
      <c r="K6015" s="7" t="n">
        <f aca="false">IFERROR(VALUE(RIGHT(TRIM(F6015),4)),"")</f>
        <v>2019</v>
      </c>
      <c r="L6015" s="7" t="str">
        <f aca="false">IF(TRIM(E6015)="","Unknown",IFERROR(LEFT(TRIM(E6015),FIND(",",TRIM(E6015))-1),TRIM(E6015)))</f>
        <v>United States</v>
      </c>
      <c r="M6015" s="7" t="str">
        <f aca="false">IFERROR(LEFT(J6015,FIND(",",J6015)-1),J6015)</f>
        <v>International TV Shows</v>
      </c>
      <c r="N6015" s="7" t="str">
        <f aca="false">IF(B6015="Movie",IFERROR(VALUE(LEFT(I6015,FIND(" ",I6015)-1)),""),"")</f>
        <v/>
      </c>
      <c r="O6015" s="7" t="n">
        <f aca="false">IF(B6015="TV Show",IFERROR(VALUE(LEFT(I6015,FIND(" ",I6015)-1)),""),"")</f>
        <v>3</v>
      </c>
      <c r="P6015" s="7" t="n">
        <f aca="false">IF(K6015="","",K6015-G6015)</f>
        <v>1</v>
      </c>
    </row>
    <row r="6016" customFormat="false" ht="15" hidden="false" customHeight="false" outlineLevel="0" collapsed="false">
      <c r="A6016" s="7" t="n">
        <v>80178941</v>
      </c>
      <c r="B6016" s="7" t="s">
        <v>78</v>
      </c>
      <c r="C6016" s="7" t="s">
        <v>11898</v>
      </c>
      <c r="E6016" s="7" t="s">
        <v>26</v>
      </c>
      <c r="F6016" s="7" t="s">
        <v>11899</v>
      </c>
      <c r="G6016" s="7" t="n">
        <v>2019</v>
      </c>
      <c r="H6016" s="7" t="s">
        <v>55</v>
      </c>
      <c r="I6016" s="7" t="s">
        <v>11148</v>
      </c>
      <c r="J6016" s="7" t="s">
        <v>191</v>
      </c>
      <c r="K6016" s="7" t="n">
        <f aca="false">IFERROR(VALUE(RIGHT(TRIM(F6016),4)),"")</f>
        <v>2020</v>
      </c>
      <c r="L6016" s="7" t="str">
        <f aca="false">IF(TRIM(E6016)="","Unknown",IFERROR(LEFT(TRIM(E6016),FIND(",",TRIM(E6016))-1),TRIM(E6016)))</f>
        <v>United States</v>
      </c>
      <c r="M6016" s="7" t="str">
        <f aca="false">IFERROR(LEFT(J6016,FIND(",",J6016)-1),J6016)</f>
        <v>Kids' TV</v>
      </c>
      <c r="N6016" s="7" t="str">
        <f aca="false">IF(B6016="Movie",IFERROR(VALUE(LEFT(I6016,FIND(" ",I6016)-1)),""),"")</f>
        <v/>
      </c>
      <c r="O6016" s="7" t="n">
        <f aca="false">IF(B6016="TV Show",IFERROR(VALUE(LEFT(I6016,FIND(" ",I6016)-1)),""),"")</f>
        <v>3</v>
      </c>
      <c r="P6016" s="7" t="n">
        <f aca="false">IF(K6016="","",K6016-G6016)</f>
        <v>1</v>
      </c>
    </row>
    <row r="6017" customFormat="false" ht="15" hidden="false" customHeight="false" outlineLevel="0" collapsed="false">
      <c r="A6017" s="7" t="n">
        <v>70288470</v>
      </c>
      <c r="B6017" s="7" t="s">
        <v>78</v>
      </c>
      <c r="C6017" s="7" t="s">
        <v>11900</v>
      </c>
      <c r="E6017" s="7" t="s">
        <v>11901</v>
      </c>
      <c r="F6017" s="7" t="s">
        <v>11902</v>
      </c>
      <c r="G6017" s="7" t="n">
        <v>2017</v>
      </c>
      <c r="H6017" s="7" t="s">
        <v>119</v>
      </c>
      <c r="I6017" s="7" t="s">
        <v>11155</v>
      </c>
      <c r="J6017" s="7" t="s">
        <v>3945</v>
      </c>
      <c r="K6017" s="7" t="n">
        <f aca="false">IFERROR(VALUE(RIGHT(TRIM(F6017),4)),"")</f>
        <v>2019</v>
      </c>
      <c r="L6017" s="7" t="str">
        <f aca="false">IF(TRIM(E6017)="","Unknown",IFERROR(LEFT(TRIM(E6017),FIND(",",TRIM(E6017))-1),TRIM(E6017)))</f>
        <v>Spain</v>
      </c>
      <c r="M6017" s="7" t="str">
        <f aca="false">IFERROR(LEFT(J6017,FIND(",",J6017)-1),J6017)</f>
        <v>Kids' TV</v>
      </c>
      <c r="N6017" s="7" t="str">
        <f aca="false">IF(B6017="Movie",IFERROR(VALUE(LEFT(I6017,FIND(" ",I6017)-1)),""),"")</f>
        <v/>
      </c>
      <c r="O6017" s="7" t="n">
        <f aca="false">IF(B6017="TV Show",IFERROR(VALUE(LEFT(I6017,FIND(" ",I6017)-1)),""),"")</f>
        <v>4</v>
      </c>
      <c r="P6017" s="7" t="n">
        <f aca="false">IF(K6017="","",K6017-G6017)</f>
        <v>2</v>
      </c>
    </row>
    <row r="6018" customFormat="false" ht="15" hidden="false" customHeight="false" outlineLevel="0" collapsed="false">
      <c r="A6018" s="7" t="n">
        <v>70267476</v>
      </c>
      <c r="B6018" s="7" t="s">
        <v>78</v>
      </c>
      <c r="C6018" s="7" t="s">
        <v>11903</v>
      </c>
      <c r="E6018" s="7" t="s">
        <v>30</v>
      </c>
      <c r="F6018" s="7" t="s">
        <v>11904</v>
      </c>
      <c r="G6018" s="7" t="n">
        <v>1986</v>
      </c>
      <c r="H6018" s="7" t="s">
        <v>50</v>
      </c>
      <c r="I6018" s="7" t="s">
        <v>11148</v>
      </c>
      <c r="J6018" s="7" t="s">
        <v>2368</v>
      </c>
      <c r="K6018" s="7" t="n">
        <f aca="false">IFERROR(VALUE(RIGHT(TRIM(F6018),4)),"")</f>
        <v>2020</v>
      </c>
      <c r="L6018" s="7" t="str">
        <f aca="false">IF(TRIM(E6018)="","Unknown",IFERROR(LEFT(TRIM(E6018),FIND(",",TRIM(E6018))-1),TRIM(E6018)))</f>
        <v>Japan</v>
      </c>
      <c r="M6018" s="7" t="str">
        <f aca="false">IFERROR(LEFT(J6018,FIND(",",J6018)-1),J6018)</f>
        <v>Anime Series</v>
      </c>
      <c r="N6018" s="7" t="str">
        <f aca="false">IF(B6018="Movie",IFERROR(VALUE(LEFT(I6018,FIND(" ",I6018)-1)),""),"")</f>
        <v/>
      </c>
      <c r="O6018" s="7" t="n">
        <f aca="false">IF(B6018="TV Show",IFERROR(VALUE(LEFT(I6018,FIND(" ",I6018)-1)),""),"")</f>
        <v>3</v>
      </c>
      <c r="P6018" s="7" t="n">
        <f aca="false">IF(K6018="","",K6018-G6018)</f>
        <v>34</v>
      </c>
    </row>
    <row r="6019" customFormat="false" ht="15" hidden="false" customHeight="false" outlineLevel="0" collapsed="false">
      <c r="A6019" s="7" t="n">
        <v>80107514</v>
      </c>
      <c r="B6019" s="7" t="s">
        <v>78</v>
      </c>
      <c r="C6019" s="7" t="s">
        <v>11905</v>
      </c>
      <c r="E6019" s="7" t="s">
        <v>29</v>
      </c>
      <c r="F6019" s="7" t="s">
        <v>11904</v>
      </c>
      <c r="G6019" s="7" t="n">
        <v>2018</v>
      </c>
      <c r="H6019" s="7" t="s">
        <v>49</v>
      </c>
      <c r="I6019" s="7" t="s">
        <v>11132</v>
      </c>
      <c r="J6019" s="7" t="s">
        <v>11906</v>
      </c>
      <c r="K6019" s="7" t="n">
        <f aca="false">IFERROR(VALUE(RIGHT(TRIM(F6019),4)),"")</f>
        <v>2020</v>
      </c>
      <c r="L6019" s="7" t="str">
        <f aca="false">IF(TRIM(E6019)="","Unknown",IFERROR(LEFT(TRIM(E6019),FIND(",",TRIM(E6019))-1),TRIM(E6019)))</f>
        <v>Canada</v>
      </c>
      <c r="M6019" s="7" t="str">
        <f aca="false">IFERROR(LEFT(J6019,FIND(",",J6019)-1),J6019)</f>
        <v>Crime TV Shows</v>
      </c>
      <c r="N6019" s="7" t="str">
        <f aca="false">IF(B6019="Movie",IFERROR(VALUE(LEFT(I6019,FIND(" ",I6019)-1)),""),"")</f>
        <v/>
      </c>
      <c r="O6019" s="7" t="n">
        <f aca="false">IF(B6019="TV Show",IFERROR(VALUE(LEFT(I6019,FIND(" ",I6019)-1)),""),"")</f>
        <v>2</v>
      </c>
      <c r="P6019" s="7" t="n">
        <f aca="false">IF(K6019="","",K6019-G6019)</f>
        <v>2</v>
      </c>
    </row>
    <row r="6020" customFormat="false" ht="15" hidden="false" customHeight="false" outlineLevel="0" collapsed="false">
      <c r="A6020" s="7" t="n">
        <v>70302614</v>
      </c>
      <c r="B6020" s="7" t="s">
        <v>78</v>
      </c>
      <c r="C6020" s="7" t="s">
        <v>11907</v>
      </c>
      <c r="E6020" s="7" t="s">
        <v>11908</v>
      </c>
      <c r="F6020" s="7" t="s">
        <v>11904</v>
      </c>
      <c r="G6020" s="7" t="n">
        <v>2015</v>
      </c>
      <c r="H6020" s="7" t="s">
        <v>119</v>
      </c>
      <c r="I6020" s="7" t="s">
        <v>11132</v>
      </c>
      <c r="J6020" s="7" t="s">
        <v>44</v>
      </c>
      <c r="K6020" s="7" t="n">
        <f aca="false">IFERROR(VALUE(RIGHT(TRIM(F6020),4)),"")</f>
        <v>2020</v>
      </c>
      <c r="L6020" s="7" t="str">
        <f aca="false">IF(TRIM(E6020)="","Unknown",IFERROR(LEFT(TRIM(E6020),FIND(",",TRIM(E6020))-1),TRIM(E6020)))</f>
        <v>Netherlands</v>
      </c>
      <c r="M6020" s="7" t="str">
        <f aca="false">IFERROR(LEFT(J6020,FIND(",",J6020)-1),J6020)</f>
        <v>Kids' TV</v>
      </c>
      <c r="N6020" s="7" t="str">
        <f aca="false">IF(B6020="Movie",IFERROR(VALUE(LEFT(I6020,FIND(" ",I6020)-1)),""),"")</f>
        <v/>
      </c>
      <c r="O6020" s="7" t="n">
        <f aca="false">IF(B6020="TV Show",IFERROR(VALUE(LEFT(I6020,FIND(" ",I6020)-1)),""),"")</f>
        <v>2</v>
      </c>
      <c r="P6020" s="7" t="n">
        <f aca="false">IF(K6020="","",K6020-G6020)</f>
        <v>5</v>
      </c>
    </row>
    <row r="6021" customFormat="false" ht="15" hidden="false" customHeight="false" outlineLevel="0" collapsed="false">
      <c r="A6021" s="7" t="n">
        <v>80016571</v>
      </c>
      <c r="B6021" s="7" t="s">
        <v>78</v>
      </c>
      <c r="C6021" s="7" t="s">
        <v>11909</v>
      </c>
      <c r="E6021" s="7" t="s">
        <v>30</v>
      </c>
      <c r="F6021" s="7" t="s">
        <v>11904</v>
      </c>
      <c r="G6021" s="7" t="n">
        <v>1998</v>
      </c>
      <c r="H6021" s="7" t="s">
        <v>49</v>
      </c>
      <c r="I6021" s="7" t="s">
        <v>11148</v>
      </c>
      <c r="J6021" s="7" t="s">
        <v>542</v>
      </c>
      <c r="K6021" s="7" t="n">
        <f aca="false">IFERROR(VALUE(RIGHT(TRIM(F6021),4)),"")</f>
        <v>2020</v>
      </c>
      <c r="L6021" s="7" t="str">
        <f aca="false">IF(TRIM(E6021)="","Unknown",IFERROR(LEFT(TRIM(E6021),FIND(",",TRIM(E6021))-1),TRIM(E6021)))</f>
        <v>Japan</v>
      </c>
      <c r="M6021" s="7" t="str">
        <f aca="false">IFERROR(LEFT(J6021,FIND(",",J6021)-1),J6021)</f>
        <v>Anime Series</v>
      </c>
      <c r="N6021" s="7" t="str">
        <f aca="false">IF(B6021="Movie",IFERROR(VALUE(LEFT(I6021,FIND(" ",I6021)-1)),""),"")</f>
        <v/>
      </c>
      <c r="O6021" s="7" t="n">
        <f aca="false">IF(B6021="TV Show",IFERROR(VALUE(LEFT(I6021,FIND(" ",I6021)-1)),""),"")</f>
        <v>3</v>
      </c>
      <c r="P6021" s="7" t="n">
        <f aca="false">IF(K6021="","",K6021-G6021)</f>
        <v>22</v>
      </c>
    </row>
    <row r="6022" customFormat="false" ht="15" hidden="false" customHeight="false" outlineLevel="0" collapsed="false">
      <c r="A6022" s="7" t="n">
        <v>80050008</v>
      </c>
      <c r="B6022" s="7" t="s">
        <v>78</v>
      </c>
      <c r="C6022" s="7" t="s">
        <v>11910</v>
      </c>
      <c r="E6022" s="7" t="s">
        <v>26</v>
      </c>
      <c r="F6022" s="7" t="s">
        <v>11911</v>
      </c>
      <c r="G6022" s="7" t="n">
        <v>2019</v>
      </c>
      <c r="H6022" s="7" t="s">
        <v>50</v>
      </c>
      <c r="I6022" s="7" t="s">
        <v>11148</v>
      </c>
      <c r="J6022" s="7" t="s">
        <v>2425</v>
      </c>
      <c r="K6022" s="7" t="n">
        <f aca="false">IFERROR(VALUE(RIGHT(TRIM(F6022),4)),"")</f>
        <v>2019</v>
      </c>
      <c r="L6022" s="7" t="str">
        <f aca="false">IF(TRIM(E6022)="","Unknown",IFERROR(LEFT(TRIM(E6022),FIND(",",TRIM(E6022))-1),TRIM(E6022)))</f>
        <v>United States</v>
      </c>
      <c r="M6022" s="7" t="str">
        <f aca="false">IFERROR(LEFT(J6022,FIND(",",J6022)-1),J6022)</f>
        <v>Kids' TV</v>
      </c>
      <c r="N6022" s="7" t="str">
        <f aca="false">IF(B6022="Movie",IFERROR(VALUE(LEFT(I6022,FIND(" ",I6022)-1)),""),"")</f>
        <v/>
      </c>
      <c r="O6022" s="7" t="n">
        <f aca="false">IF(B6022="TV Show",IFERROR(VALUE(LEFT(I6022,FIND(" ",I6022)-1)),""),"")</f>
        <v>3</v>
      </c>
      <c r="P6022" s="7" t="n">
        <f aca="false">IF(K6022="","",K6022-G6022)</f>
        <v>0</v>
      </c>
    </row>
    <row r="6023" customFormat="false" ht="15" hidden="false" customHeight="false" outlineLevel="0" collapsed="false">
      <c r="A6023" s="7" t="n">
        <v>81008236</v>
      </c>
      <c r="B6023" s="7" t="s">
        <v>78</v>
      </c>
      <c r="C6023" s="7" t="s">
        <v>11912</v>
      </c>
      <c r="E6023" s="7" t="s">
        <v>26</v>
      </c>
      <c r="F6023" s="7" t="s">
        <v>11911</v>
      </c>
      <c r="G6023" s="7" t="n">
        <v>2019</v>
      </c>
      <c r="H6023" s="7" t="s">
        <v>48</v>
      </c>
      <c r="I6023" s="7" t="s">
        <v>11913</v>
      </c>
      <c r="J6023" s="7" t="s">
        <v>795</v>
      </c>
      <c r="K6023" s="7" t="n">
        <f aca="false">IFERROR(VALUE(RIGHT(TRIM(F6023),4)),"")</f>
        <v>2019</v>
      </c>
      <c r="L6023" s="7" t="str">
        <f aca="false">IF(TRIM(E6023)="","Unknown",IFERROR(LEFT(TRIM(E6023),FIND(",",TRIM(E6023))-1),TRIM(E6023)))</f>
        <v>United States</v>
      </c>
      <c r="M6023" s="7" t="str">
        <f aca="false">IFERROR(LEFT(J6023,FIND(",",J6023)-1),J6023)</f>
        <v>Stand-Up Comedy &amp; Talk Shows</v>
      </c>
      <c r="N6023" s="7" t="str">
        <f aca="false">IF(B6023="Movie",IFERROR(VALUE(LEFT(I6023,FIND(" ",I6023)-1)),""),"")</f>
        <v/>
      </c>
      <c r="O6023" s="7" t="n">
        <f aca="false">IF(B6023="TV Show",IFERROR(VALUE(LEFT(I6023,FIND(" ",I6023)-1)),""),"")</f>
        <v>13</v>
      </c>
      <c r="P6023" s="7" t="n">
        <f aca="false">IF(K6023="","",K6023-G6023)</f>
        <v>0</v>
      </c>
    </row>
    <row r="6024" customFormat="false" ht="15" hidden="false" customHeight="false" outlineLevel="0" collapsed="false">
      <c r="A6024" s="7" t="n">
        <v>80226864</v>
      </c>
      <c r="B6024" s="7" t="s">
        <v>78</v>
      </c>
      <c r="C6024" s="7" t="s">
        <v>11914</v>
      </c>
      <c r="E6024" s="7" t="s">
        <v>11915</v>
      </c>
      <c r="F6024" s="7" t="s">
        <v>11911</v>
      </c>
      <c r="G6024" s="7" t="n">
        <v>2018</v>
      </c>
      <c r="H6024" s="7" t="s">
        <v>48</v>
      </c>
      <c r="I6024" s="7" t="s">
        <v>11132</v>
      </c>
      <c r="J6024" s="7" t="s">
        <v>344</v>
      </c>
      <c r="K6024" s="7" t="n">
        <f aca="false">IFERROR(VALUE(RIGHT(TRIM(F6024),4)),"")</f>
        <v>2019</v>
      </c>
      <c r="L6024" s="7" t="str">
        <f aca="false">IF(TRIM(E6024)="","Unknown",IFERROR(LEFT(TRIM(E6024),FIND(",",TRIM(E6024))-1),TRIM(E6024)))</f>
        <v>Croatia</v>
      </c>
      <c r="M6024" s="7" t="str">
        <f aca="false">IFERROR(LEFT(J6024,FIND(",",J6024)-1),J6024)</f>
        <v>International TV Shows</v>
      </c>
      <c r="N6024" s="7" t="str">
        <f aca="false">IF(B6024="Movie",IFERROR(VALUE(LEFT(I6024,FIND(" ",I6024)-1)),""),"")</f>
        <v/>
      </c>
      <c r="O6024" s="7" t="n">
        <f aca="false">IF(B6024="TV Show",IFERROR(VALUE(LEFT(I6024,FIND(" ",I6024)-1)),""),"")</f>
        <v>2</v>
      </c>
      <c r="P6024" s="7" t="n">
        <f aca="false">IF(K6024="","",K6024-G6024)</f>
        <v>1</v>
      </c>
    </row>
    <row r="6025" customFormat="false" ht="15" hidden="false" customHeight="false" outlineLevel="0" collapsed="false">
      <c r="A6025" s="7" t="n">
        <v>70136126</v>
      </c>
      <c r="B6025" s="7" t="s">
        <v>78</v>
      </c>
      <c r="C6025" s="7" t="s">
        <v>11916</v>
      </c>
      <c r="E6025" s="7" t="s">
        <v>26</v>
      </c>
      <c r="F6025" s="7" t="s">
        <v>11917</v>
      </c>
      <c r="G6025" s="7" t="n">
        <v>2013</v>
      </c>
      <c r="H6025" s="7" t="s">
        <v>48</v>
      </c>
      <c r="I6025" s="7" t="s">
        <v>11158</v>
      </c>
      <c r="J6025" s="7" t="s">
        <v>282</v>
      </c>
      <c r="K6025" s="7" t="n">
        <f aca="false">IFERROR(VALUE(RIGHT(TRIM(F6025),4)),"")</f>
        <v>2018</v>
      </c>
      <c r="L6025" s="7" t="str">
        <f aca="false">IF(TRIM(E6025)="","Unknown",IFERROR(LEFT(TRIM(E6025),FIND(",",TRIM(E6025))-1),TRIM(E6025)))</f>
        <v>United States</v>
      </c>
      <c r="M6025" s="7" t="str">
        <f aca="false">IFERROR(LEFT(J6025,FIND(",",J6025)-1),J6025)</f>
        <v>Crime TV Shows</v>
      </c>
      <c r="N6025" s="7" t="str">
        <f aca="false">IF(B6025="Movie",IFERROR(VALUE(LEFT(I6025,FIND(" ",I6025)-1)),""),"")</f>
        <v/>
      </c>
      <c r="O6025" s="7" t="n">
        <f aca="false">IF(B6025="TV Show",IFERROR(VALUE(LEFT(I6025,FIND(" ",I6025)-1)),""),"")</f>
        <v>8</v>
      </c>
      <c r="P6025" s="7" t="n">
        <f aca="false">IF(K6025="","",K6025-G6025)</f>
        <v>5</v>
      </c>
    </row>
    <row r="6026" customFormat="false" ht="15" hidden="false" customHeight="false" outlineLevel="0" collapsed="false">
      <c r="A6026" s="7" t="n">
        <v>70204981</v>
      </c>
      <c r="B6026" s="7" t="s">
        <v>78</v>
      </c>
      <c r="C6026" s="7" t="s">
        <v>11918</v>
      </c>
      <c r="D6026" s="7" t="s">
        <v>11919</v>
      </c>
      <c r="E6026" s="7" t="s">
        <v>30</v>
      </c>
      <c r="F6026" s="7" t="s">
        <v>11917</v>
      </c>
      <c r="G6026" s="7" t="n">
        <v>2010</v>
      </c>
      <c r="H6026" s="7" t="s">
        <v>49</v>
      </c>
      <c r="I6026" s="7" t="s">
        <v>11135</v>
      </c>
      <c r="J6026" s="7" t="s">
        <v>542</v>
      </c>
      <c r="K6026" s="7" t="n">
        <f aca="false">IFERROR(VALUE(RIGHT(TRIM(F6026),4)),"")</f>
        <v>2018</v>
      </c>
      <c r="L6026" s="7" t="str">
        <f aca="false">IF(TRIM(E6026)="","Unknown",IFERROR(LEFT(TRIM(E6026),FIND(",",TRIM(E6026))-1),TRIM(E6026)))</f>
        <v>Japan</v>
      </c>
      <c r="M6026" s="7" t="str">
        <f aca="false">IFERROR(LEFT(J6026,FIND(",",J6026)-1),J6026)</f>
        <v>Anime Series</v>
      </c>
      <c r="N6026" s="7" t="str">
        <f aca="false">IF(B6026="Movie",IFERROR(VALUE(LEFT(I6026,FIND(" ",I6026)-1)),""),"")</f>
        <v/>
      </c>
      <c r="O6026" s="7" t="n">
        <f aca="false">IF(B6026="TV Show",IFERROR(VALUE(LEFT(I6026,FIND(" ",I6026)-1)),""),"")</f>
        <v>5</v>
      </c>
      <c r="P6026" s="7" t="n">
        <f aca="false">IF(K6026="","",K6026-G6026)</f>
        <v>8</v>
      </c>
    </row>
    <row r="6027" customFormat="false" ht="15" hidden="false" customHeight="false" outlineLevel="0" collapsed="false">
      <c r="A6027" s="7" t="n">
        <v>80020971</v>
      </c>
      <c r="B6027" s="7" t="s">
        <v>78</v>
      </c>
      <c r="C6027" s="7" t="s">
        <v>11920</v>
      </c>
      <c r="E6027" s="7" t="s">
        <v>2289</v>
      </c>
      <c r="F6027" s="7" t="s">
        <v>11917</v>
      </c>
      <c r="G6027" s="7" t="n">
        <v>2011</v>
      </c>
      <c r="H6027" s="7" t="s">
        <v>55</v>
      </c>
      <c r="I6027" s="7" t="s">
        <v>11132</v>
      </c>
      <c r="J6027" s="7" t="s">
        <v>44</v>
      </c>
      <c r="K6027" s="7" t="n">
        <f aca="false">IFERROR(VALUE(RIGHT(TRIM(F6027),4)),"")</f>
        <v>2018</v>
      </c>
      <c r="L6027" s="7" t="str">
        <f aca="false">IF(TRIM(E6027)="","Unknown",IFERROR(LEFT(TRIM(E6027),FIND(",",TRIM(E6027))-1),TRIM(E6027)))</f>
        <v>United States</v>
      </c>
      <c r="M6027" s="7" t="str">
        <f aca="false">IFERROR(LEFT(J6027,FIND(",",J6027)-1),J6027)</f>
        <v>Kids' TV</v>
      </c>
      <c r="N6027" s="7" t="str">
        <f aca="false">IF(B6027="Movie",IFERROR(VALUE(LEFT(I6027,FIND(" ",I6027)-1)),""),"")</f>
        <v/>
      </c>
      <c r="O6027" s="7" t="n">
        <f aca="false">IF(B6027="TV Show",IFERROR(VALUE(LEFT(I6027,FIND(" ",I6027)-1)),""),"")</f>
        <v>2</v>
      </c>
      <c r="P6027" s="7" t="n">
        <f aca="false">IF(K6027="","",K6027-G6027)</f>
        <v>7</v>
      </c>
    </row>
    <row r="6028" customFormat="false" ht="15" hidden="false" customHeight="false" outlineLevel="0" collapsed="false">
      <c r="A6028" s="7" t="n">
        <v>80041601</v>
      </c>
      <c r="B6028" s="7" t="s">
        <v>78</v>
      </c>
      <c r="C6028" s="7" t="s">
        <v>312</v>
      </c>
      <c r="E6028" s="7" t="s">
        <v>28</v>
      </c>
      <c r="F6028" s="7" t="s">
        <v>11917</v>
      </c>
      <c r="G6028" s="7" t="n">
        <v>2018</v>
      </c>
      <c r="H6028" s="7" t="s">
        <v>48</v>
      </c>
      <c r="I6028" s="7" t="s">
        <v>11148</v>
      </c>
      <c r="J6028" s="7" t="s">
        <v>1666</v>
      </c>
      <c r="K6028" s="7" t="n">
        <f aca="false">IFERROR(VALUE(RIGHT(TRIM(F6028),4)),"")</f>
        <v>2018</v>
      </c>
      <c r="L6028" s="7" t="str">
        <f aca="false">IF(TRIM(E6028)="","Unknown",IFERROR(LEFT(TRIM(E6028),FIND(",",TRIM(E6028))-1),TRIM(E6028)))</f>
        <v>United Kingdom</v>
      </c>
      <c r="M6028" s="7" t="str">
        <f aca="false">IFERROR(LEFT(J6028,FIND(",",J6028)-1),J6028)</f>
        <v>British TV Shows</v>
      </c>
      <c r="N6028" s="7" t="str">
        <f aca="false">IF(B6028="Movie",IFERROR(VALUE(LEFT(I6028,FIND(" ",I6028)-1)),""),"")</f>
        <v/>
      </c>
      <c r="O6028" s="7" t="n">
        <f aca="false">IF(B6028="TV Show",IFERROR(VALUE(LEFT(I6028,FIND(" ",I6028)-1)),""),"")</f>
        <v>3</v>
      </c>
      <c r="P6028" s="7" t="n">
        <f aca="false">IF(K6028="","",K6028-G6028)</f>
        <v>0</v>
      </c>
    </row>
    <row r="6029" customFormat="false" ht="15" hidden="false" customHeight="false" outlineLevel="0" collapsed="false">
      <c r="A6029" s="7" t="n">
        <v>70157196</v>
      </c>
      <c r="B6029" s="7" t="s">
        <v>78</v>
      </c>
      <c r="C6029" s="7" t="s">
        <v>11921</v>
      </c>
      <c r="E6029" s="7" t="s">
        <v>28</v>
      </c>
      <c r="F6029" s="7" t="s">
        <v>11917</v>
      </c>
      <c r="G6029" s="7" t="n">
        <v>2010</v>
      </c>
      <c r="H6029" s="7" t="s">
        <v>48</v>
      </c>
      <c r="I6029" s="7" t="s">
        <v>11148</v>
      </c>
      <c r="J6029" s="7" t="s">
        <v>1612</v>
      </c>
      <c r="K6029" s="7" t="n">
        <f aca="false">IFERROR(VALUE(RIGHT(TRIM(F6029),4)),"")</f>
        <v>2018</v>
      </c>
      <c r="L6029" s="7" t="str">
        <f aca="false">IF(TRIM(E6029)="","Unknown",IFERROR(LEFT(TRIM(E6029),FIND(",",TRIM(E6029))-1),TRIM(E6029)))</f>
        <v>United Kingdom</v>
      </c>
      <c r="M6029" s="7" t="str">
        <f aca="false">IFERROR(LEFT(J6029,FIND(",",J6029)-1),J6029)</f>
        <v>British TV Shows</v>
      </c>
      <c r="N6029" s="7" t="str">
        <f aca="false">IF(B6029="Movie",IFERROR(VALUE(LEFT(I6029,FIND(" ",I6029)-1)),""),"")</f>
        <v/>
      </c>
      <c r="O6029" s="7" t="n">
        <f aca="false">IF(B6029="TV Show",IFERROR(VALUE(LEFT(I6029,FIND(" ",I6029)-1)),""),"")</f>
        <v>3</v>
      </c>
      <c r="P6029" s="7" t="n">
        <f aca="false">IF(K6029="","",K6029-G6029)</f>
        <v>8</v>
      </c>
    </row>
    <row r="6030" customFormat="false" ht="15" hidden="false" customHeight="false" outlineLevel="0" collapsed="false">
      <c r="A6030" s="7" t="n">
        <v>70158330</v>
      </c>
      <c r="B6030" s="7" t="s">
        <v>78</v>
      </c>
      <c r="C6030" s="7" t="s">
        <v>11922</v>
      </c>
      <c r="E6030" s="7" t="s">
        <v>26</v>
      </c>
      <c r="F6030" s="7" t="s">
        <v>11923</v>
      </c>
      <c r="G6030" s="7" t="n">
        <v>1999</v>
      </c>
      <c r="H6030" s="7" t="s">
        <v>50</v>
      </c>
      <c r="I6030" s="7" t="s">
        <v>11152</v>
      </c>
      <c r="J6030" s="7" t="s">
        <v>9649</v>
      </c>
      <c r="K6030" s="7" t="n">
        <f aca="false">IFERROR(VALUE(RIGHT(TRIM(F6030),4)),"")</f>
        <v>2017</v>
      </c>
      <c r="L6030" s="7" t="str">
        <f aca="false">IF(TRIM(E6030)="","Unknown",IFERROR(LEFT(TRIM(E6030),FIND(",",TRIM(E6030))-1),TRIM(E6030)))</f>
        <v>United States</v>
      </c>
      <c r="M6030" s="7" t="str">
        <f aca="false">IFERROR(LEFT(J6030,FIND(",",J6030)-1),J6030)</f>
        <v>TV Action &amp; Adventure</v>
      </c>
      <c r="N6030" s="7" t="str">
        <f aca="false">IF(B6030="Movie",IFERROR(VALUE(LEFT(I6030,FIND(" ",I6030)-1)),""),"")</f>
        <v/>
      </c>
      <c r="O6030" s="7" t="n">
        <f aca="false">IF(B6030="TV Show",IFERROR(VALUE(LEFT(I6030,FIND(" ",I6030)-1)),""),"")</f>
        <v>7</v>
      </c>
      <c r="P6030" s="7" t="n">
        <f aca="false">IF(K6030="","",K6030-G6030)</f>
        <v>18</v>
      </c>
    </row>
    <row r="6031" customFormat="false" ht="15" hidden="false" customHeight="false" outlineLevel="0" collapsed="false">
      <c r="A6031" s="7" t="n">
        <v>70184127</v>
      </c>
      <c r="B6031" s="7" t="s">
        <v>78</v>
      </c>
      <c r="C6031" s="7" t="s">
        <v>11924</v>
      </c>
      <c r="E6031" s="7" t="s">
        <v>7743</v>
      </c>
      <c r="F6031" s="7" t="s">
        <v>11925</v>
      </c>
      <c r="G6031" s="7" t="n">
        <v>1997</v>
      </c>
      <c r="H6031" s="7" t="s">
        <v>81</v>
      </c>
      <c r="I6031" s="7" t="s">
        <v>11132</v>
      </c>
      <c r="J6031" s="7" t="s">
        <v>191</v>
      </c>
      <c r="K6031" s="7" t="n">
        <f aca="false">IFERROR(VALUE(RIGHT(TRIM(F6031),4)),"")</f>
        <v>2016</v>
      </c>
      <c r="L6031" s="7" t="str">
        <f aca="false">IF(TRIM(E6031)="","Unknown",IFERROR(LEFT(TRIM(E6031),FIND(",",TRIM(E6031))-1),TRIM(E6031)))</f>
        <v>United States</v>
      </c>
      <c r="M6031" s="7" t="str">
        <f aca="false">IFERROR(LEFT(J6031,FIND(",",J6031)-1),J6031)</f>
        <v>Kids' TV</v>
      </c>
      <c r="N6031" s="7" t="str">
        <f aca="false">IF(B6031="Movie",IFERROR(VALUE(LEFT(I6031,FIND(" ",I6031)-1)),""),"")</f>
        <v/>
      </c>
      <c r="O6031" s="7" t="n">
        <f aca="false">IF(B6031="TV Show",IFERROR(VALUE(LEFT(I6031,FIND(" ",I6031)-1)),""),"")</f>
        <v>2</v>
      </c>
      <c r="P6031" s="7" t="n">
        <f aca="false">IF(K6031="","",K6031-G6031)</f>
        <v>19</v>
      </c>
    </row>
    <row r="6032" customFormat="false" ht="15" hidden="false" customHeight="false" outlineLevel="0" collapsed="false">
      <c r="A6032" s="7" t="n">
        <v>70184128</v>
      </c>
      <c r="B6032" s="7" t="s">
        <v>78</v>
      </c>
      <c r="C6032" s="7" t="s">
        <v>11926</v>
      </c>
      <c r="E6032" s="7" t="s">
        <v>2367</v>
      </c>
      <c r="F6032" s="7" t="s">
        <v>11925</v>
      </c>
      <c r="G6032" s="7" t="n">
        <v>2010</v>
      </c>
      <c r="H6032" s="7" t="s">
        <v>81</v>
      </c>
      <c r="I6032" s="7" t="s">
        <v>11155</v>
      </c>
      <c r="J6032" s="7" t="s">
        <v>44</v>
      </c>
      <c r="K6032" s="7" t="n">
        <f aca="false">IFERROR(VALUE(RIGHT(TRIM(F6032),4)),"")</f>
        <v>2016</v>
      </c>
      <c r="L6032" s="7" t="str">
        <f aca="false">IF(TRIM(E6032)="","Unknown",IFERROR(LEFT(TRIM(E6032),FIND(",",TRIM(E6032))-1),TRIM(E6032)))</f>
        <v>United States</v>
      </c>
      <c r="M6032" s="7" t="str">
        <f aca="false">IFERROR(LEFT(J6032,FIND(",",J6032)-1),J6032)</f>
        <v>Kids' TV</v>
      </c>
      <c r="N6032" s="7" t="str">
        <f aca="false">IF(B6032="Movie",IFERROR(VALUE(LEFT(I6032,FIND(" ",I6032)-1)),""),"")</f>
        <v/>
      </c>
      <c r="O6032" s="7" t="n">
        <f aca="false">IF(B6032="TV Show",IFERROR(VALUE(LEFT(I6032,FIND(" ",I6032)-1)),""),"")</f>
        <v>4</v>
      </c>
      <c r="P6032" s="7" t="n">
        <f aca="false">IF(K6032="","",K6032-G6032)</f>
        <v>6</v>
      </c>
    </row>
    <row r="6033" customFormat="false" ht="15" hidden="false" customHeight="false" outlineLevel="0" collapsed="false">
      <c r="A6033" s="7" t="n">
        <v>70136120</v>
      </c>
      <c r="B6033" s="7" t="s">
        <v>78</v>
      </c>
      <c r="C6033" s="7" t="s">
        <v>11927</v>
      </c>
      <c r="E6033" s="7" t="s">
        <v>26</v>
      </c>
      <c r="F6033" s="7" t="s">
        <v>11925</v>
      </c>
      <c r="G6033" s="7" t="n">
        <v>2012</v>
      </c>
      <c r="H6033" s="7" t="s">
        <v>49</v>
      </c>
      <c r="I6033" s="7" t="s">
        <v>11227</v>
      </c>
      <c r="J6033" s="7" t="s">
        <v>289</v>
      </c>
      <c r="K6033" s="7" t="n">
        <f aca="false">IFERROR(VALUE(RIGHT(TRIM(F6033),4)),"")</f>
        <v>2016</v>
      </c>
      <c r="L6033" s="7" t="str">
        <f aca="false">IF(TRIM(E6033)="","Unknown",IFERROR(LEFT(TRIM(E6033),FIND(",",TRIM(E6033))-1),TRIM(E6033)))</f>
        <v>United States</v>
      </c>
      <c r="M6033" s="7" t="str">
        <f aca="false">IFERROR(LEFT(J6033,FIND(",",J6033)-1),J6033)</f>
        <v>TV Comedies</v>
      </c>
      <c r="N6033" s="7" t="str">
        <f aca="false">IF(B6033="Movie",IFERROR(VALUE(LEFT(I6033,FIND(" ",I6033)-1)),""),"")</f>
        <v/>
      </c>
      <c r="O6033" s="7" t="n">
        <f aca="false">IF(B6033="TV Show",IFERROR(VALUE(LEFT(I6033,FIND(" ",I6033)-1)),""),"")</f>
        <v>9</v>
      </c>
      <c r="P6033" s="7" t="n">
        <f aca="false">IF(K6033="","",K6033-G6033)</f>
        <v>4</v>
      </c>
    </row>
    <row r="6034" customFormat="false" ht="15" hidden="false" customHeight="false" outlineLevel="0" collapsed="false">
      <c r="A6034" s="7" t="n">
        <v>70184126</v>
      </c>
      <c r="B6034" s="7" t="s">
        <v>78</v>
      </c>
      <c r="C6034" s="7" t="s">
        <v>11928</v>
      </c>
      <c r="E6034" s="7" t="s">
        <v>26</v>
      </c>
      <c r="F6034" s="7" t="s">
        <v>11925</v>
      </c>
      <c r="G6034" s="7" t="n">
        <v>1995</v>
      </c>
      <c r="H6034" s="7" t="s">
        <v>81</v>
      </c>
      <c r="I6034" s="7" t="s">
        <v>11132</v>
      </c>
      <c r="J6034" s="7" t="s">
        <v>44</v>
      </c>
      <c r="K6034" s="7" t="n">
        <f aca="false">IFERROR(VALUE(RIGHT(TRIM(F6034),4)),"")</f>
        <v>2016</v>
      </c>
      <c r="L6034" s="7" t="str">
        <f aca="false">IF(TRIM(E6034)="","Unknown",IFERROR(LEFT(TRIM(E6034),FIND(",",TRIM(E6034))-1),TRIM(E6034)))</f>
        <v>United States</v>
      </c>
      <c r="M6034" s="7" t="str">
        <f aca="false">IFERROR(LEFT(J6034,FIND(",",J6034)-1),J6034)</f>
        <v>Kids' TV</v>
      </c>
      <c r="N6034" s="7" t="str">
        <f aca="false">IF(B6034="Movie",IFERROR(VALUE(LEFT(I6034,FIND(" ",I6034)-1)),""),"")</f>
        <v/>
      </c>
      <c r="O6034" s="7" t="n">
        <f aca="false">IF(B6034="TV Show",IFERROR(VALUE(LEFT(I6034,FIND(" ",I6034)-1)),""),"")</f>
        <v>2</v>
      </c>
      <c r="P6034" s="7" t="n">
        <f aca="false">IF(K6034="","",K6034-G6034)</f>
        <v>21</v>
      </c>
    </row>
    <row r="6035" customFormat="false" ht="15" hidden="false" customHeight="false" outlineLevel="0" collapsed="false">
      <c r="A6035" s="7" t="n">
        <v>80142550</v>
      </c>
      <c r="B6035" s="7" t="s">
        <v>78</v>
      </c>
      <c r="C6035" s="7" t="s">
        <v>11929</v>
      </c>
      <c r="E6035" s="7" t="s">
        <v>4776</v>
      </c>
      <c r="F6035" s="7" t="s">
        <v>11930</v>
      </c>
      <c r="G6035" s="7" t="n">
        <v>2018</v>
      </c>
      <c r="H6035" s="7" t="s">
        <v>48</v>
      </c>
      <c r="I6035" s="7" t="s">
        <v>11132</v>
      </c>
      <c r="J6035" s="7" t="s">
        <v>402</v>
      </c>
      <c r="K6035" s="7" t="n">
        <f aca="false">IFERROR(VALUE(RIGHT(TRIM(F6035),4)),"")</f>
        <v>2019</v>
      </c>
      <c r="L6035" s="7" t="str">
        <f aca="false">IF(TRIM(E6035)="","Unknown",IFERROR(LEFT(TRIM(E6035),FIND(",",TRIM(E6035))-1),TRIM(E6035)))</f>
        <v>Belgium</v>
      </c>
      <c r="M6035" s="7" t="str">
        <f aca="false">IFERROR(LEFT(J6035,FIND(",",J6035)-1),J6035)</f>
        <v>Crime TV Shows</v>
      </c>
      <c r="N6035" s="7" t="str">
        <f aca="false">IF(B6035="Movie",IFERROR(VALUE(LEFT(I6035,FIND(" ",I6035)-1)),""),"")</f>
        <v/>
      </c>
      <c r="O6035" s="7" t="n">
        <f aca="false">IF(B6035="TV Show",IFERROR(VALUE(LEFT(I6035,FIND(" ",I6035)-1)),""),"")</f>
        <v>2</v>
      </c>
      <c r="P6035" s="7" t="n">
        <f aca="false">IF(K6035="","",K6035-G6035)</f>
        <v>1</v>
      </c>
    </row>
    <row r="6036" customFormat="false" ht="15" hidden="false" customHeight="false" outlineLevel="0" collapsed="false">
      <c r="A6036" s="7" t="n">
        <v>80117038</v>
      </c>
      <c r="B6036" s="7" t="s">
        <v>78</v>
      </c>
      <c r="C6036" s="7" t="s">
        <v>11931</v>
      </c>
      <c r="E6036" s="7" t="s">
        <v>26</v>
      </c>
      <c r="F6036" s="7" t="s">
        <v>11932</v>
      </c>
      <c r="G6036" s="7" t="n">
        <v>2019</v>
      </c>
      <c r="H6036" s="7" t="s">
        <v>48</v>
      </c>
      <c r="I6036" s="7" t="s">
        <v>11148</v>
      </c>
      <c r="J6036" s="7" t="s">
        <v>289</v>
      </c>
      <c r="K6036" s="7" t="n">
        <f aca="false">IFERROR(VALUE(RIGHT(TRIM(F6036),4)),"")</f>
        <v>2019</v>
      </c>
      <c r="L6036" s="7" t="str">
        <f aca="false">IF(TRIM(E6036)="","Unknown",IFERROR(LEFT(TRIM(E6036),FIND(",",TRIM(E6036))-1),TRIM(E6036)))</f>
        <v>United States</v>
      </c>
      <c r="M6036" s="7" t="str">
        <f aca="false">IFERROR(LEFT(J6036,FIND(",",J6036)-1),J6036)</f>
        <v>TV Comedies</v>
      </c>
      <c r="N6036" s="7" t="str">
        <f aca="false">IF(B6036="Movie",IFERROR(VALUE(LEFT(I6036,FIND(" ",I6036)-1)),""),"")</f>
        <v/>
      </c>
      <c r="O6036" s="7" t="n">
        <f aca="false">IF(B6036="TV Show",IFERROR(VALUE(LEFT(I6036,FIND(" ",I6036)-1)),""),"")</f>
        <v>3</v>
      </c>
      <c r="P6036" s="7" t="n">
        <f aca="false">IF(K6036="","",K6036-G6036)</f>
        <v>0</v>
      </c>
    </row>
    <row r="6037" customFormat="false" ht="15" hidden="false" customHeight="false" outlineLevel="0" collapsed="false">
      <c r="A6037" s="7" t="n">
        <v>81031262</v>
      </c>
      <c r="B6037" s="7" t="s">
        <v>78</v>
      </c>
      <c r="C6037" s="7" t="s">
        <v>11933</v>
      </c>
      <c r="E6037" s="7" t="s">
        <v>28</v>
      </c>
      <c r="F6037" s="7" t="s">
        <v>11932</v>
      </c>
      <c r="G6037" s="7" t="n">
        <v>2019</v>
      </c>
      <c r="H6037" s="7" t="s">
        <v>48</v>
      </c>
      <c r="I6037" s="7" t="s">
        <v>11132</v>
      </c>
      <c r="J6037" s="7" t="s">
        <v>1612</v>
      </c>
      <c r="K6037" s="7" t="n">
        <f aca="false">IFERROR(VALUE(RIGHT(TRIM(F6037),4)),"")</f>
        <v>2019</v>
      </c>
      <c r="L6037" s="7" t="str">
        <f aca="false">IF(TRIM(E6037)="","Unknown",IFERROR(LEFT(TRIM(E6037),FIND(",",TRIM(E6037))-1),TRIM(E6037)))</f>
        <v>United Kingdom</v>
      </c>
      <c r="M6037" s="7" t="str">
        <f aca="false">IFERROR(LEFT(J6037,FIND(",",J6037)-1),J6037)</f>
        <v>British TV Shows</v>
      </c>
      <c r="N6037" s="7" t="str">
        <f aca="false">IF(B6037="Movie",IFERROR(VALUE(LEFT(I6037,FIND(" ",I6037)-1)),""),"")</f>
        <v/>
      </c>
      <c r="O6037" s="7" t="n">
        <f aca="false">IF(B6037="TV Show",IFERROR(VALUE(LEFT(I6037,FIND(" ",I6037)-1)),""),"")</f>
        <v>2</v>
      </c>
      <c r="P6037" s="7" t="n">
        <f aca="false">IF(K6037="","",K6037-G6037)</f>
        <v>0</v>
      </c>
    </row>
    <row r="6038" customFormat="false" ht="15" hidden="false" customHeight="false" outlineLevel="0" collapsed="false">
      <c r="A6038" s="7" t="n">
        <v>80095532</v>
      </c>
      <c r="B6038" s="7" t="s">
        <v>78</v>
      </c>
      <c r="C6038" s="7" t="s">
        <v>11934</v>
      </c>
      <c r="E6038" s="7" t="s">
        <v>26</v>
      </c>
      <c r="F6038" s="7" t="s">
        <v>11932</v>
      </c>
      <c r="G6038" s="7" t="n">
        <v>2019</v>
      </c>
      <c r="H6038" s="7" t="s">
        <v>50</v>
      </c>
      <c r="I6038" s="7" t="s">
        <v>11148</v>
      </c>
      <c r="J6038" s="7" t="s">
        <v>289</v>
      </c>
      <c r="K6038" s="7" t="n">
        <f aca="false">IFERROR(VALUE(RIGHT(TRIM(F6038),4)),"")</f>
        <v>2019</v>
      </c>
      <c r="L6038" s="7" t="str">
        <f aca="false">IF(TRIM(E6038)="","Unknown",IFERROR(LEFT(TRIM(E6038),FIND(",",TRIM(E6038))-1),TRIM(E6038)))</f>
        <v>United States</v>
      </c>
      <c r="M6038" s="7" t="str">
        <f aca="false">IFERROR(LEFT(J6038,FIND(",",J6038)-1),J6038)</f>
        <v>TV Comedies</v>
      </c>
      <c r="N6038" s="7" t="str">
        <f aca="false">IF(B6038="Movie",IFERROR(VALUE(LEFT(I6038,FIND(" ",I6038)-1)),""),"")</f>
        <v/>
      </c>
      <c r="O6038" s="7" t="n">
        <f aca="false">IF(B6038="TV Show",IFERROR(VALUE(LEFT(I6038,FIND(" ",I6038)-1)),""),"")</f>
        <v>3</v>
      </c>
      <c r="P6038" s="7" t="n">
        <f aca="false">IF(K6038="","",K6038-G6038)</f>
        <v>0</v>
      </c>
    </row>
    <row r="6039" customFormat="false" ht="15" hidden="false" customHeight="false" outlineLevel="0" collapsed="false">
      <c r="A6039" s="7" t="n">
        <v>70180051</v>
      </c>
      <c r="B6039" s="7" t="s">
        <v>78</v>
      </c>
      <c r="C6039" s="7" t="s">
        <v>11935</v>
      </c>
      <c r="E6039" s="7" t="s">
        <v>35</v>
      </c>
      <c r="F6039" s="7" t="s">
        <v>11936</v>
      </c>
      <c r="G6039" s="7" t="n">
        <v>2009</v>
      </c>
      <c r="H6039" s="7" t="s">
        <v>50</v>
      </c>
      <c r="I6039" s="7" t="s">
        <v>11148</v>
      </c>
      <c r="J6039" s="7" t="s">
        <v>11434</v>
      </c>
      <c r="K6039" s="7" t="n">
        <f aca="false">IFERROR(VALUE(RIGHT(TRIM(F6039),4)),"")</f>
        <v>2017</v>
      </c>
      <c r="L6039" s="7" t="str">
        <f aca="false">IF(TRIM(E6039)="","Unknown",IFERROR(LEFT(TRIM(E6039),FIND(",",TRIM(E6039))-1),TRIM(E6039)))</f>
        <v>Australia</v>
      </c>
      <c r="M6039" s="7" t="str">
        <f aca="false">IFERROR(LEFT(J6039,FIND(",",J6039)-1),J6039)</f>
        <v>Kids' TV</v>
      </c>
      <c r="N6039" s="7" t="str">
        <f aca="false">IF(B6039="Movie",IFERROR(VALUE(LEFT(I6039,FIND(" ",I6039)-1)),""),"")</f>
        <v/>
      </c>
      <c r="O6039" s="7" t="n">
        <f aca="false">IF(B6039="TV Show",IFERROR(VALUE(LEFT(I6039,FIND(" ",I6039)-1)),""),"")</f>
        <v>3</v>
      </c>
      <c r="P6039" s="7" t="n">
        <f aca="false">IF(K6039="","",K6039-G6039)</f>
        <v>8</v>
      </c>
    </row>
    <row r="6040" customFormat="false" ht="15" hidden="false" customHeight="false" outlineLevel="0" collapsed="false">
      <c r="A6040" s="7" t="n">
        <v>80046348</v>
      </c>
      <c r="B6040" s="7" t="s">
        <v>78</v>
      </c>
      <c r="C6040" s="7" t="s">
        <v>11937</v>
      </c>
      <c r="E6040" s="7" t="s">
        <v>26</v>
      </c>
      <c r="F6040" s="7" t="s">
        <v>11938</v>
      </c>
      <c r="G6040" s="7" t="n">
        <v>2016</v>
      </c>
      <c r="H6040" s="7" t="s">
        <v>119</v>
      </c>
      <c r="I6040" s="7" t="s">
        <v>11132</v>
      </c>
      <c r="J6040" s="7" t="s">
        <v>44</v>
      </c>
      <c r="K6040" s="7" t="n">
        <f aca="false">IFERROR(VALUE(RIGHT(TRIM(F6040),4)),"")</f>
        <v>2016</v>
      </c>
      <c r="L6040" s="7" t="str">
        <f aca="false">IF(TRIM(E6040)="","Unknown",IFERROR(LEFT(TRIM(E6040),FIND(",",TRIM(E6040))-1),TRIM(E6040)))</f>
        <v>United States</v>
      </c>
      <c r="M6040" s="7" t="str">
        <f aca="false">IFERROR(LEFT(J6040,FIND(",",J6040)-1),J6040)</f>
        <v>Kids' TV</v>
      </c>
      <c r="N6040" s="7" t="str">
        <f aca="false">IF(B6040="Movie",IFERROR(VALUE(LEFT(I6040,FIND(" ",I6040)-1)),""),"")</f>
        <v/>
      </c>
      <c r="O6040" s="7" t="n">
        <f aca="false">IF(B6040="TV Show",IFERROR(VALUE(LEFT(I6040,FIND(" ",I6040)-1)),""),"")</f>
        <v>2</v>
      </c>
      <c r="P6040" s="7" t="n">
        <f aca="false">IF(K6040="","",K6040-G6040)</f>
        <v>0</v>
      </c>
    </row>
    <row r="6041" customFormat="false" ht="15" hidden="false" customHeight="false" outlineLevel="0" collapsed="false">
      <c r="A6041" s="7" t="n">
        <v>70271773</v>
      </c>
      <c r="B6041" s="7" t="s">
        <v>78</v>
      </c>
      <c r="C6041" s="7" t="s">
        <v>11939</v>
      </c>
      <c r="E6041" s="7" t="s">
        <v>26</v>
      </c>
      <c r="F6041" s="7" t="s">
        <v>11938</v>
      </c>
      <c r="G6041" s="7" t="n">
        <v>2016</v>
      </c>
      <c r="H6041" s="7" t="s">
        <v>81</v>
      </c>
      <c r="I6041" s="7" t="s">
        <v>11148</v>
      </c>
      <c r="J6041" s="7" t="s">
        <v>44</v>
      </c>
      <c r="K6041" s="7" t="n">
        <f aca="false">IFERROR(VALUE(RIGHT(TRIM(F6041),4)),"")</f>
        <v>2016</v>
      </c>
      <c r="L6041" s="7" t="str">
        <f aca="false">IF(TRIM(E6041)="","Unknown",IFERROR(LEFT(TRIM(E6041),FIND(",",TRIM(E6041))-1),TRIM(E6041)))</f>
        <v>United States</v>
      </c>
      <c r="M6041" s="7" t="str">
        <f aca="false">IFERROR(LEFT(J6041,FIND(",",J6041)-1),J6041)</f>
        <v>Kids' TV</v>
      </c>
      <c r="N6041" s="7" t="str">
        <f aca="false">IF(B6041="Movie",IFERROR(VALUE(LEFT(I6041,FIND(" ",I6041)-1)),""),"")</f>
        <v/>
      </c>
      <c r="O6041" s="7" t="n">
        <f aca="false">IF(B6041="TV Show",IFERROR(VALUE(LEFT(I6041,FIND(" ",I6041)-1)),""),"")</f>
        <v>3</v>
      </c>
      <c r="P6041" s="7" t="n">
        <f aca="false">IF(K6041="","",K6041-G6041)</f>
        <v>0</v>
      </c>
    </row>
    <row r="6042" customFormat="false" ht="15" hidden="false" customHeight="false" outlineLevel="0" collapsed="false">
      <c r="A6042" s="7" t="n">
        <v>80108450</v>
      </c>
      <c r="B6042" s="7" t="s">
        <v>78</v>
      </c>
      <c r="C6042" s="7" t="s">
        <v>11940</v>
      </c>
      <c r="E6042" s="7" t="s">
        <v>26</v>
      </c>
      <c r="F6042" s="7" t="s">
        <v>11941</v>
      </c>
      <c r="G6042" s="7" t="n">
        <v>2017</v>
      </c>
      <c r="H6042" s="7" t="s">
        <v>48</v>
      </c>
      <c r="I6042" s="7" t="s">
        <v>11132</v>
      </c>
      <c r="J6042" s="7" t="s">
        <v>4526</v>
      </c>
      <c r="K6042" s="7" t="n">
        <f aca="false">IFERROR(VALUE(RIGHT(TRIM(F6042),4)),"")</f>
        <v>2018</v>
      </c>
      <c r="L6042" s="7" t="str">
        <f aca="false">IF(TRIM(E6042)="","Unknown",IFERROR(LEFT(TRIM(E6042),FIND(",",TRIM(E6042))-1),TRIM(E6042)))</f>
        <v>United States</v>
      </c>
      <c r="M6042" s="7" t="str">
        <f aca="false">IFERROR(LEFT(J6042,FIND(",",J6042)-1),J6042)</f>
        <v>International TV Shows</v>
      </c>
      <c r="N6042" s="7" t="str">
        <f aca="false">IF(B6042="Movie",IFERROR(VALUE(LEFT(I6042,FIND(" ",I6042)-1)),""),"")</f>
        <v/>
      </c>
      <c r="O6042" s="7" t="n">
        <f aca="false">IF(B6042="TV Show",IFERROR(VALUE(LEFT(I6042,FIND(" ",I6042)-1)),""),"")</f>
        <v>2</v>
      </c>
      <c r="P6042" s="7" t="n">
        <f aca="false">IF(K6042="","",K6042-G6042)</f>
        <v>1</v>
      </c>
    </row>
    <row r="6043" customFormat="false" ht="15" hidden="false" customHeight="false" outlineLevel="0" collapsed="false">
      <c r="A6043" s="7" t="n">
        <v>80136321</v>
      </c>
      <c r="B6043" s="7" t="s">
        <v>78</v>
      </c>
      <c r="C6043" s="7" t="s">
        <v>11942</v>
      </c>
      <c r="E6043" s="7" t="s">
        <v>1081</v>
      </c>
      <c r="F6043" s="7" t="s">
        <v>11943</v>
      </c>
      <c r="G6043" s="7" t="n">
        <v>2017</v>
      </c>
      <c r="H6043" s="7" t="s">
        <v>48</v>
      </c>
      <c r="I6043" s="7" t="s">
        <v>11132</v>
      </c>
      <c r="J6043" s="7" t="s">
        <v>402</v>
      </c>
      <c r="K6043" s="7" t="n">
        <f aca="false">IFERROR(VALUE(RIGHT(TRIM(F6043),4)),"")</f>
        <v>2019</v>
      </c>
      <c r="L6043" s="7" t="str">
        <f aca="false">IF(TRIM(E6043)="","Unknown",IFERROR(LEFT(TRIM(E6043),FIND(",",TRIM(E6043))-1),TRIM(E6043)))</f>
        <v>Germany</v>
      </c>
      <c r="M6043" s="7" t="str">
        <f aca="false">IFERROR(LEFT(J6043,FIND(",",J6043)-1),J6043)</f>
        <v>Crime TV Shows</v>
      </c>
      <c r="N6043" s="7" t="str">
        <f aca="false">IF(B6043="Movie",IFERROR(VALUE(LEFT(I6043,FIND(" ",I6043)-1)),""),"")</f>
        <v/>
      </c>
      <c r="O6043" s="7" t="n">
        <f aca="false">IF(B6043="TV Show",IFERROR(VALUE(LEFT(I6043,FIND(" ",I6043)-1)),""),"")</f>
        <v>2</v>
      </c>
      <c r="P6043" s="7" t="n">
        <f aca="false">IF(K6043="","",K6043-G6043)</f>
        <v>2</v>
      </c>
    </row>
    <row r="6044" customFormat="false" ht="15" hidden="false" customHeight="false" outlineLevel="0" collapsed="false">
      <c r="A6044" s="7" t="n">
        <v>80037278</v>
      </c>
      <c r="B6044" s="7" t="s">
        <v>78</v>
      </c>
      <c r="C6044" s="7" t="s">
        <v>11944</v>
      </c>
      <c r="E6044" s="7" t="s">
        <v>31</v>
      </c>
      <c r="F6044" s="7" t="s">
        <v>11945</v>
      </c>
      <c r="G6044" s="7" t="n">
        <v>2018</v>
      </c>
      <c r="H6044" s="7" t="s">
        <v>48</v>
      </c>
      <c r="I6044" s="7" t="s">
        <v>11132</v>
      </c>
      <c r="J6044" s="7" t="s">
        <v>208</v>
      </c>
      <c r="K6044" s="7" t="n">
        <f aca="false">IFERROR(VALUE(RIGHT(TRIM(F6044),4)),"")</f>
        <v>2018</v>
      </c>
      <c r="L6044" s="7" t="str">
        <f aca="false">IF(TRIM(E6044)="","Unknown",IFERROR(LEFT(TRIM(E6044),FIND(",",TRIM(E6044))-1),TRIM(E6044)))</f>
        <v>France</v>
      </c>
      <c r="M6044" s="7" t="str">
        <f aca="false">IFERROR(LEFT(J6044,FIND(",",J6044)-1),J6044)</f>
        <v>International TV Shows</v>
      </c>
      <c r="N6044" s="7" t="str">
        <f aca="false">IF(B6044="Movie",IFERROR(VALUE(LEFT(I6044,FIND(" ",I6044)-1)),""),"")</f>
        <v/>
      </c>
      <c r="O6044" s="7" t="n">
        <f aca="false">IF(B6044="TV Show",IFERROR(VALUE(LEFT(I6044,FIND(" ",I6044)-1)),""),"")</f>
        <v>2</v>
      </c>
      <c r="P6044" s="7" t="n">
        <f aca="false">IF(K6044="","",K6044-G6044)</f>
        <v>0</v>
      </c>
    </row>
    <row r="6045" customFormat="false" ht="15" hidden="false" customHeight="false" outlineLevel="0" collapsed="false">
      <c r="A6045" s="7" t="n">
        <v>80007945</v>
      </c>
      <c r="B6045" s="7" t="s">
        <v>78</v>
      </c>
      <c r="C6045" s="7" t="s">
        <v>11946</v>
      </c>
      <c r="E6045" s="7" t="s">
        <v>26</v>
      </c>
      <c r="F6045" s="7" t="s">
        <v>11947</v>
      </c>
      <c r="G6045" s="7" t="n">
        <v>2019</v>
      </c>
      <c r="H6045" s="7" t="s">
        <v>48</v>
      </c>
      <c r="I6045" s="7" t="s">
        <v>11198</v>
      </c>
      <c r="J6045" s="7" t="s">
        <v>1046</v>
      </c>
      <c r="K6045" s="7" t="n">
        <f aca="false">IFERROR(VALUE(RIGHT(TRIM(F6045),4)),"")</f>
        <v>2019</v>
      </c>
      <c r="L6045" s="7" t="str">
        <f aca="false">IF(TRIM(E6045)="","Unknown",IFERROR(LEFT(TRIM(E6045),FIND(",",TRIM(E6045))-1),TRIM(E6045)))</f>
        <v>United States</v>
      </c>
      <c r="M6045" s="7" t="str">
        <f aca="false">IFERROR(LEFT(J6045,FIND(",",J6045)-1),J6045)</f>
        <v>Docuseries</v>
      </c>
      <c r="N6045" s="7" t="str">
        <f aca="false">IF(B6045="Movie",IFERROR(VALUE(LEFT(I6045,FIND(" ",I6045)-1)),""),"")</f>
        <v/>
      </c>
      <c r="O6045" s="7" t="n">
        <f aca="false">IF(B6045="TV Show",IFERROR(VALUE(LEFT(I6045,FIND(" ",I6045)-1)),""),"")</f>
        <v>6</v>
      </c>
      <c r="P6045" s="7" t="n">
        <f aca="false">IF(K6045="","",K6045-G6045)</f>
        <v>0</v>
      </c>
    </row>
    <row r="6046" customFormat="false" ht="15" hidden="false" customHeight="false" outlineLevel="0" collapsed="false">
      <c r="A6046" s="7" t="n">
        <v>80094273</v>
      </c>
      <c r="B6046" s="7" t="s">
        <v>78</v>
      </c>
      <c r="C6046" s="7" t="s">
        <v>11948</v>
      </c>
      <c r="E6046" s="7" t="s">
        <v>719</v>
      </c>
      <c r="F6046" s="7" t="s">
        <v>11947</v>
      </c>
      <c r="G6046" s="7" t="n">
        <v>2016</v>
      </c>
      <c r="H6046" s="7" t="s">
        <v>48</v>
      </c>
      <c r="I6046" s="7" t="s">
        <v>11132</v>
      </c>
      <c r="J6046" s="7" t="s">
        <v>344</v>
      </c>
      <c r="K6046" s="7" t="n">
        <f aca="false">IFERROR(VALUE(RIGHT(TRIM(F6046),4)),"")</f>
        <v>2019</v>
      </c>
      <c r="L6046" s="7" t="str">
        <f aca="false">IF(TRIM(E6046)="","Unknown",IFERROR(LEFT(TRIM(E6046),FIND(",",TRIM(E6046))-1),TRIM(E6046)))</f>
        <v>Ireland</v>
      </c>
      <c r="M6046" s="7" t="str">
        <f aca="false">IFERROR(LEFT(J6046,FIND(",",J6046)-1),J6046)</f>
        <v>International TV Shows</v>
      </c>
      <c r="N6046" s="7" t="str">
        <f aca="false">IF(B6046="Movie",IFERROR(VALUE(LEFT(I6046,FIND(" ",I6046)-1)),""),"")</f>
        <v/>
      </c>
      <c r="O6046" s="7" t="n">
        <f aca="false">IF(B6046="TV Show",IFERROR(VALUE(LEFT(I6046,FIND(" ",I6046)-1)),""),"")</f>
        <v>2</v>
      </c>
      <c r="P6046" s="7" t="n">
        <f aca="false">IF(K6046="","",K6046-G6046)</f>
        <v>3</v>
      </c>
    </row>
    <row r="6047" customFormat="false" ht="15" hidden="false" customHeight="false" outlineLevel="0" collapsed="false">
      <c r="A6047" s="7" t="n">
        <v>80081537</v>
      </c>
      <c r="B6047" s="7" t="s">
        <v>78</v>
      </c>
      <c r="C6047" s="7" t="s">
        <v>11949</v>
      </c>
      <c r="E6047" s="7" t="s">
        <v>855</v>
      </c>
      <c r="F6047" s="7" t="s">
        <v>11947</v>
      </c>
      <c r="G6047" s="7" t="n">
        <v>2019</v>
      </c>
      <c r="H6047" s="7" t="s">
        <v>48</v>
      </c>
      <c r="I6047" s="7" t="s">
        <v>11132</v>
      </c>
      <c r="J6047" s="7" t="s">
        <v>402</v>
      </c>
      <c r="K6047" s="7" t="n">
        <f aca="false">IFERROR(VALUE(RIGHT(TRIM(F6047),4)),"")</f>
        <v>2019</v>
      </c>
      <c r="L6047" s="7" t="str">
        <f aca="false">IF(TRIM(E6047)="","Unknown",IFERROR(LEFT(TRIM(E6047),FIND(",",TRIM(E6047))-1),TRIM(E6047)))</f>
        <v>Italy</v>
      </c>
      <c r="M6047" s="7" t="str">
        <f aca="false">IFERROR(LEFT(J6047,FIND(",",J6047)-1),J6047)</f>
        <v>Crime TV Shows</v>
      </c>
      <c r="N6047" s="7" t="str">
        <f aca="false">IF(B6047="Movie",IFERROR(VALUE(LEFT(I6047,FIND(" ",I6047)-1)),""),"")</f>
        <v/>
      </c>
      <c r="O6047" s="7" t="n">
        <f aca="false">IF(B6047="TV Show",IFERROR(VALUE(LEFT(I6047,FIND(" ",I6047)-1)),""),"")</f>
        <v>2</v>
      </c>
      <c r="P6047" s="7" t="n">
        <f aca="false">IF(K6047="","",K6047-G6047)</f>
        <v>0</v>
      </c>
    </row>
    <row r="6048" customFormat="false" ht="15" hidden="false" customHeight="false" outlineLevel="0" collapsed="false">
      <c r="A6048" s="7" t="n">
        <v>80186090</v>
      </c>
      <c r="B6048" s="7" t="s">
        <v>78</v>
      </c>
      <c r="C6048" s="7" t="s">
        <v>11950</v>
      </c>
      <c r="E6048" s="7" t="s">
        <v>28</v>
      </c>
      <c r="F6048" s="7" t="s">
        <v>11947</v>
      </c>
      <c r="G6048" s="7" t="n">
        <v>2018</v>
      </c>
      <c r="H6048" s="7" t="s">
        <v>50</v>
      </c>
      <c r="I6048" s="7" t="s">
        <v>11132</v>
      </c>
      <c r="J6048" s="7" t="s">
        <v>716</v>
      </c>
      <c r="K6048" s="7" t="n">
        <f aca="false">IFERROR(VALUE(RIGHT(TRIM(F6048),4)),"")</f>
        <v>2019</v>
      </c>
      <c r="L6048" s="7" t="str">
        <f aca="false">IF(TRIM(E6048)="","Unknown",IFERROR(LEFT(TRIM(E6048),FIND(",",TRIM(E6048))-1),TRIM(E6048)))</f>
        <v>United Kingdom</v>
      </c>
      <c r="M6048" s="7" t="str">
        <f aca="false">IFERROR(LEFT(J6048,FIND(",",J6048)-1),J6048)</f>
        <v>British TV Shows</v>
      </c>
      <c r="N6048" s="7" t="str">
        <f aca="false">IF(B6048="Movie",IFERROR(VALUE(LEFT(I6048,FIND(" ",I6048)-1)),""),"")</f>
        <v/>
      </c>
      <c r="O6048" s="7" t="n">
        <f aca="false">IF(B6048="TV Show",IFERROR(VALUE(LEFT(I6048,FIND(" ",I6048)-1)),""),"")</f>
        <v>2</v>
      </c>
      <c r="P6048" s="7" t="n">
        <f aca="false">IF(K6048="","",K6048-G6048)</f>
        <v>1</v>
      </c>
    </row>
    <row r="6049" customFormat="false" ht="15" hidden="false" customHeight="false" outlineLevel="0" collapsed="false">
      <c r="A6049" s="7" t="n">
        <v>81041002</v>
      </c>
      <c r="B6049" s="7" t="s">
        <v>78</v>
      </c>
      <c r="C6049" s="7" t="s">
        <v>11951</v>
      </c>
      <c r="E6049" s="7" t="s">
        <v>325</v>
      </c>
      <c r="F6049" s="7" t="s">
        <v>11947</v>
      </c>
      <c r="G6049" s="7" t="n">
        <v>2018</v>
      </c>
      <c r="H6049" s="7" t="s">
        <v>50</v>
      </c>
      <c r="I6049" s="7" t="s">
        <v>11132</v>
      </c>
      <c r="J6049" s="7" t="s">
        <v>44</v>
      </c>
      <c r="K6049" s="7" t="n">
        <f aca="false">IFERROR(VALUE(RIGHT(TRIM(F6049),4)),"")</f>
        <v>2019</v>
      </c>
      <c r="L6049" s="7" t="str">
        <f aca="false">IF(TRIM(E6049)="","Unknown",IFERROR(LEFT(TRIM(E6049),FIND(",",TRIM(E6049))-1),TRIM(E6049)))</f>
        <v>Brazil</v>
      </c>
      <c r="M6049" s="7" t="str">
        <f aca="false">IFERROR(LEFT(J6049,FIND(",",J6049)-1),J6049)</f>
        <v>Kids' TV</v>
      </c>
      <c r="N6049" s="7" t="str">
        <f aca="false">IF(B6049="Movie",IFERROR(VALUE(LEFT(I6049,FIND(" ",I6049)-1)),""),"")</f>
        <v/>
      </c>
      <c r="O6049" s="7" t="n">
        <f aca="false">IF(B6049="TV Show",IFERROR(VALUE(LEFT(I6049,FIND(" ",I6049)-1)),""),"")</f>
        <v>2</v>
      </c>
      <c r="P6049" s="7" t="n">
        <f aca="false">IF(K6049="","",K6049-G6049)</f>
        <v>1</v>
      </c>
    </row>
    <row r="6050" customFormat="false" ht="15" hidden="false" customHeight="false" outlineLevel="0" collapsed="false">
      <c r="A6050" s="7" t="n">
        <v>80126684</v>
      </c>
      <c r="B6050" s="7" t="s">
        <v>78</v>
      </c>
      <c r="C6050" s="7" t="s">
        <v>11952</v>
      </c>
      <c r="F6050" s="7" t="s">
        <v>11953</v>
      </c>
      <c r="G6050" s="7" t="n">
        <v>2015</v>
      </c>
      <c r="H6050" s="7" t="s">
        <v>49</v>
      </c>
      <c r="I6050" s="7" t="s">
        <v>11148</v>
      </c>
      <c r="J6050" s="7" t="s">
        <v>158</v>
      </c>
      <c r="K6050" s="7" t="n">
        <f aca="false">IFERROR(VALUE(RIGHT(TRIM(F6050),4)),"")</f>
        <v>2017</v>
      </c>
      <c r="L6050" s="7" t="str">
        <f aca="false">IF(TRIM(E6050)="","Unknown",IFERROR(LEFT(TRIM(E6050),FIND(",",TRIM(E6050))-1),TRIM(E6050)))</f>
        <v>Unknown</v>
      </c>
      <c r="M6050" s="7" t="str">
        <f aca="false">IFERROR(LEFT(J6050,FIND(",",J6050)-1),J6050)</f>
        <v>International TV Shows</v>
      </c>
      <c r="N6050" s="7" t="str">
        <f aca="false">IF(B6050="Movie",IFERROR(VALUE(LEFT(I6050,FIND(" ",I6050)-1)),""),"")</f>
        <v/>
      </c>
      <c r="O6050" s="7" t="n">
        <f aca="false">IF(B6050="TV Show",IFERROR(VALUE(LEFT(I6050,FIND(" ",I6050)-1)),""),"")</f>
        <v>3</v>
      </c>
      <c r="P6050" s="7" t="n">
        <f aca="false">IF(K6050="","",K6050-G6050)</f>
        <v>2</v>
      </c>
    </row>
    <row r="6051" customFormat="false" ht="15" hidden="false" customHeight="false" outlineLevel="0" collapsed="false">
      <c r="A6051" s="7" t="n">
        <v>70272479</v>
      </c>
      <c r="B6051" s="7" t="s">
        <v>78</v>
      </c>
      <c r="C6051" s="7" t="s">
        <v>11954</v>
      </c>
      <c r="E6051" s="7" t="s">
        <v>26</v>
      </c>
      <c r="F6051" s="7" t="s">
        <v>11955</v>
      </c>
      <c r="G6051" s="7" t="n">
        <v>2017</v>
      </c>
      <c r="H6051" s="7" t="s">
        <v>49</v>
      </c>
      <c r="I6051" s="7" t="s">
        <v>11135</v>
      </c>
      <c r="J6051" s="7" t="s">
        <v>11956</v>
      </c>
      <c r="K6051" s="7" t="n">
        <f aca="false">IFERROR(VALUE(RIGHT(TRIM(F6051),4)),"")</f>
        <v>2018</v>
      </c>
      <c r="L6051" s="7" t="str">
        <f aca="false">IF(TRIM(E6051)="","Unknown",IFERROR(LEFT(TRIM(E6051),FIND(",",TRIM(E6051))-1),TRIM(E6051)))</f>
        <v>United States</v>
      </c>
      <c r="M6051" s="7" t="str">
        <f aca="false">IFERROR(LEFT(J6051,FIND(",",J6051)-1),J6051)</f>
        <v>Crime TV Shows</v>
      </c>
      <c r="N6051" s="7" t="str">
        <f aca="false">IF(B6051="Movie",IFERROR(VALUE(LEFT(I6051,FIND(" ",I6051)-1)),""),"")</f>
        <v/>
      </c>
      <c r="O6051" s="7" t="n">
        <f aca="false">IF(B6051="TV Show",IFERROR(VALUE(LEFT(I6051,FIND(" ",I6051)-1)),""),"")</f>
        <v>5</v>
      </c>
      <c r="P6051" s="7" t="n">
        <f aca="false">IF(K6051="","",K6051-G6051)</f>
        <v>1</v>
      </c>
    </row>
    <row r="6052" customFormat="false" ht="15" hidden="false" customHeight="false" outlineLevel="0" collapsed="false">
      <c r="A6052" s="7" t="n">
        <v>80161335</v>
      </c>
      <c r="B6052" s="7" t="s">
        <v>78</v>
      </c>
      <c r="C6052" s="7" t="s">
        <v>11957</v>
      </c>
      <c r="E6052" s="7" t="s">
        <v>28</v>
      </c>
      <c r="F6052" s="7" t="s">
        <v>11955</v>
      </c>
      <c r="G6052" s="7" t="n">
        <v>2017</v>
      </c>
      <c r="H6052" s="7" t="s">
        <v>48</v>
      </c>
      <c r="I6052" s="7" t="s">
        <v>11132</v>
      </c>
      <c r="J6052" s="7" t="s">
        <v>563</v>
      </c>
      <c r="K6052" s="7" t="n">
        <f aca="false">IFERROR(VALUE(RIGHT(TRIM(F6052),4)),"")</f>
        <v>2018</v>
      </c>
      <c r="L6052" s="7" t="str">
        <f aca="false">IF(TRIM(E6052)="","Unknown",IFERROR(LEFT(TRIM(E6052),FIND(",",TRIM(E6052))-1),TRIM(E6052)))</f>
        <v>United Kingdom</v>
      </c>
      <c r="M6052" s="7" t="str">
        <f aca="false">IFERROR(LEFT(J6052,FIND(",",J6052)-1),J6052)</f>
        <v>British TV Shows</v>
      </c>
      <c r="N6052" s="7" t="str">
        <f aca="false">IF(B6052="Movie",IFERROR(VALUE(LEFT(I6052,FIND(" ",I6052)-1)),""),"")</f>
        <v/>
      </c>
      <c r="O6052" s="7" t="n">
        <f aca="false">IF(B6052="TV Show",IFERROR(VALUE(LEFT(I6052,FIND(" ",I6052)-1)),""),"")</f>
        <v>2</v>
      </c>
      <c r="P6052" s="7" t="n">
        <f aca="false">IF(K6052="","",K6052-G6052)</f>
        <v>1</v>
      </c>
    </row>
    <row r="6053" customFormat="false" ht="15" hidden="false" customHeight="false" outlineLevel="0" collapsed="false">
      <c r="A6053" s="7" t="n">
        <v>80145143</v>
      </c>
      <c r="B6053" s="7" t="s">
        <v>78</v>
      </c>
      <c r="C6053" s="7" t="s">
        <v>11958</v>
      </c>
      <c r="E6053" s="7" t="s">
        <v>11959</v>
      </c>
      <c r="F6053" s="7" t="s">
        <v>11960</v>
      </c>
      <c r="G6053" s="7" t="n">
        <v>2018</v>
      </c>
      <c r="H6053" s="7" t="s">
        <v>48</v>
      </c>
      <c r="I6053" s="7" t="s">
        <v>11132</v>
      </c>
      <c r="J6053" s="7" t="s">
        <v>402</v>
      </c>
      <c r="K6053" s="7" t="n">
        <f aca="false">IFERROR(VALUE(RIGHT(TRIM(F6053),4)),"")</f>
        <v>2019</v>
      </c>
      <c r="L6053" s="7" t="str">
        <f aca="false">IF(TRIM(E6053)="","Unknown",IFERROR(LEFT(TRIM(E6053),FIND(",",TRIM(E6053))-1),TRIM(E6053)))</f>
        <v>Finland</v>
      </c>
      <c r="M6053" s="7" t="str">
        <f aca="false">IFERROR(LEFT(J6053,FIND(",",J6053)-1),J6053)</f>
        <v>Crime TV Shows</v>
      </c>
      <c r="N6053" s="7" t="str">
        <f aca="false">IF(B6053="Movie",IFERROR(VALUE(LEFT(I6053,FIND(" ",I6053)-1)),""),"")</f>
        <v/>
      </c>
      <c r="O6053" s="7" t="n">
        <f aca="false">IF(B6053="TV Show",IFERROR(VALUE(LEFT(I6053,FIND(" ",I6053)-1)),""),"")</f>
        <v>2</v>
      </c>
      <c r="P6053" s="7" t="n">
        <f aca="false">IF(K6053="","",K6053-G6053)</f>
        <v>1</v>
      </c>
    </row>
    <row r="6054" customFormat="false" ht="15" hidden="false" customHeight="false" outlineLevel="0" collapsed="false">
      <c r="A6054" s="7" t="n">
        <v>80239798</v>
      </c>
      <c r="B6054" s="7" t="s">
        <v>78</v>
      </c>
      <c r="C6054" s="7" t="s">
        <v>11961</v>
      </c>
      <c r="F6054" s="7" t="s">
        <v>11960</v>
      </c>
      <c r="G6054" s="7" t="n">
        <v>2017</v>
      </c>
      <c r="H6054" s="7" t="s">
        <v>49</v>
      </c>
      <c r="I6054" s="7" t="s">
        <v>11158</v>
      </c>
      <c r="J6054" s="7" t="s">
        <v>158</v>
      </c>
      <c r="K6054" s="7" t="n">
        <f aca="false">IFERROR(VALUE(RIGHT(TRIM(F6054),4)),"")</f>
        <v>2019</v>
      </c>
      <c r="L6054" s="7" t="str">
        <f aca="false">IF(TRIM(E6054)="","Unknown",IFERROR(LEFT(TRIM(E6054),FIND(",",TRIM(E6054))-1),TRIM(E6054)))</f>
        <v>Unknown</v>
      </c>
      <c r="M6054" s="7" t="str">
        <f aca="false">IFERROR(LEFT(J6054,FIND(",",J6054)-1),J6054)</f>
        <v>International TV Shows</v>
      </c>
      <c r="N6054" s="7" t="str">
        <f aca="false">IF(B6054="Movie",IFERROR(VALUE(LEFT(I6054,FIND(" ",I6054)-1)),""),"")</f>
        <v/>
      </c>
      <c r="O6054" s="7" t="n">
        <f aca="false">IF(B6054="TV Show",IFERROR(VALUE(LEFT(I6054,FIND(" ",I6054)-1)),""),"")</f>
        <v>8</v>
      </c>
      <c r="P6054" s="7" t="n">
        <f aca="false">IF(K6054="","",K6054-G6054)</f>
        <v>2</v>
      </c>
    </row>
    <row r="6055" customFormat="false" ht="15" hidden="false" customHeight="false" outlineLevel="0" collapsed="false">
      <c r="A6055" s="7" t="n">
        <v>80039394</v>
      </c>
      <c r="B6055" s="7" t="s">
        <v>78</v>
      </c>
      <c r="C6055" s="7" t="s">
        <v>11962</v>
      </c>
      <c r="E6055" s="7" t="s">
        <v>26</v>
      </c>
      <c r="F6055" s="7" t="s">
        <v>11963</v>
      </c>
      <c r="G6055" s="7" t="n">
        <v>2018</v>
      </c>
      <c r="H6055" s="7" t="s">
        <v>81</v>
      </c>
      <c r="I6055" s="7" t="s">
        <v>11198</v>
      </c>
      <c r="J6055" s="7" t="s">
        <v>11964</v>
      </c>
      <c r="K6055" s="7" t="n">
        <f aca="false">IFERROR(VALUE(RIGHT(TRIM(F6055),4)),"")</f>
        <v>2018</v>
      </c>
      <c r="L6055" s="7" t="str">
        <f aca="false">IF(TRIM(E6055)="","Unknown",IFERROR(LEFT(TRIM(E6055),FIND(",",TRIM(E6055))-1),TRIM(E6055)))</f>
        <v>United States</v>
      </c>
      <c r="M6055" s="7" t="str">
        <f aca="false">IFERROR(LEFT(J6055,FIND(",",J6055)-1),J6055)</f>
        <v>Kids' TV</v>
      </c>
      <c r="N6055" s="7" t="str">
        <f aca="false">IF(B6055="Movie",IFERROR(VALUE(LEFT(I6055,FIND(" ",I6055)-1)),""),"")</f>
        <v/>
      </c>
      <c r="O6055" s="7" t="n">
        <f aca="false">IF(B6055="TV Show",IFERROR(VALUE(LEFT(I6055,FIND(" ",I6055)-1)),""),"")</f>
        <v>6</v>
      </c>
      <c r="P6055" s="7" t="n">
        <f aca="false">IF(K6055="","",K6055-G6055)</f>
        <v>0</v>
      </c>
    </row>
    <row r="6056" customFormat="false" ht="15" hidden="false" customHeight="false" outlineLevel="0" collapsed="false">
      <c r="A6056" s="7" t="n">
        <v>80993816</v>
      </c>
      <c r="B6056" s="7" t="s">
        <v>78</v>
      </c>
      <c r="C6056" s="7" t="s">
        <v>11965</v>
      </c>
      <c r="E6056" s="7" t="s">
        <v>167</v>
      </c>
      <c r="F6056" s="7" t="s">
        <v>11966</v>
      </c>
      <c r="G6056" s="7" t="n">
        <v>2015</v>
      </c>
      <c r="H6056" s="7" t="s">
        <v>49</v>
      </c>
      <c r="I6056" s="7" t="s">
        <v>11155</v>
      </c>
      <c r="J6056" s="7" t="s">
        <v>314</v>
      </c>
      <c r="K6056" s="7" t="n">
        <f aca="false">IFERROR(VALUE(RIGHT(TRIM(F6056),4)),"")</f>
        <v>2019</v>
      </c>
      <c r="L6056" s="7" t="str">
        <f aca="false">IF(TRIM(E6056)="","Unknown",IFERROR(LEFT(TRIM(E6056),FIND(",",TRIM(E6056))-1),TRIM(E6056)))</f>
        <v>Thailand</v>
      </c>
      <c r="M6056" s="7" t="str">
        <f aca="false">IFERROR(LEFT(J6056,FIND(",",J6056)-1),J6056)</f>
        <v>International TV Shows</v>
      </c>
      <c r="N6056" s="7" t="str">
        <f aca="false">IF(B6056="Movie",IFERROR(VALUE(LEFT(I6056,FIND(" ",I6056)-1)),""),"")</f>
        <v/>
      </c>
      <c r="O6056" s="7" t="n">
        <f aca="false">IF(B6056="TV Show",IFERROR(VALUE(LEFT(I6056,FIND(" ",I6056)-1)),""),"")</f>
        <v>4</v>
      </c>
      <c r="P6056" s="7" t="n">
        <f aca="false">IF(K6056="","",K6056-G6056)</f>
        <v>4</v>
      </c>
    </row>
    <row r="6057" customFormat="false" ht="15" hidden="false" customHeight="false" outlineLevel="0" collapsed="false">
      <c r="A6057" s="7" t="n">
        <v>80192734</v>
      </c>
      <c r="B6057" s="7" t="s">
        <v>78</v>
      </c>
      <c r="C6057" s="7" t="s">
        <v>11967</v>
      </c>
      <c r="E6057" s="7" t="s">
        <v>26</v>
      </c>
      <c r="F6057" s="7" t="s">
        <v>11968</v>
      </c>
      <c r="G6057" s="7" t="n">
        <v>2018</v>
      </c>
      <c r="H6057" s="7" t="s">
        <v>119</v>
      </c>
      <c r="I6057" s="7" t="s">
        <v>11148</v>
      </c>
      <c r="J6057" s="7" t="s">
        <v>44</v>
      </c>
      <c r="K6057" s="7" t="n">
        <f aca="false">IFERROR(VALUE(RIGHT(TRIM(F6057),4)),"")</f>
        <v>2019</v>
      </c>
      <c r="L6057" s="7" t="str">
        <f aca="false">IF(TRIM(E6057)="","Unknown",IFERROR(LEFT(TRIM(E6057),FIND(",",TRIM(E6057))-1),TRIM(E6057)))</f>
        <v>United States</v>
      </c>
      <c r="M6057" s="7" t="str">
        <f aca="false">IFERROR(LEFT(J6057,FIND(",",J6057)-1),J6057)</f>
        <v>Kids' TV</v>
      </c>
      <c r="N6057" s="7" t="str">
        <f aca="false">IF(B6057="Movie",IFERROR(VALUE(LEFT(I6057,FIND(" ",I6057)-1)),""),"")</f>
        <v/>
      </c>
      <c r="O6057" s="7" t="n">
        <f aca="false">IF(B6057="TV Show",IFERROR(VALUE(LEFT(I6057,FIND(" ",I6057)-1)),""),"")</f>
        <v>3</v>
      </c>
      <c r="P6057" s="7" t="n">
        <f aca="false">IF(K6057="","",K6057-G6057)</f>
        <v>1</v>
      </c>
    </row>
    <row r="6058" customFormat="false" ht="15" hidden="false" customHeight="false" outlineLevel="0" collapsed="false">
      <c r="A6058" s="7" t="n">
        <v>80215507</v>
      </c>
      <c r="B6058" s="7" t="s">
        <v>78</v>
      </c>
      <c r="C6058" s="7" t="s">
        <v>11969</v>
      </c>
      <c r="E6058" s="7" t="s">
        <v>33</v>
      </c>
      <c r="F6058" s="7" t="s">
        <v>11968</v>
      </c>
      <c r="G6058" s="7" t="n">
        <v>2018</v>
      </c>
      <c r="H6058" s="7" t="s">
        <v>49</v>
      </c>
      <c r="I6058" s="7" t="s">
        <v>11132</v>
      </c>
      <c r="J6058" s="7" t="s">
        <v>2521</v>
      </c>
      <c r="K6058" s="7" t="n">
        <f aca="false">IFERROR(VALUE(RIGHT(TRIM(F6058),4)),"")</f>
        <v>2019</v>
      </c>
      <c r="L6058" s="7" t="str">
        <f aca="false">IF(TRIM(E6058)="","Unknown",IFERROR(LEFT(TRIM(E6058),FIND(",",TRIM(E6058))-1),TRIM(E6058)))</f>
        <v>Spain</v>
      </c>
      <c r="M6058" s="7" t="str">
        <f aca="false">IFERROR(LEFT(J6058,FIND(",",J6058)-1),J6058)</f>
        <v>International TV Shows</v>
      </c>
      <c r="N6058" s="7" t="str">
        <f aca="false">IF(B6058="Movie",IFERROR(VALUE(LEFT(I6058,FIND(" ",I6058)-1)),""),"")</f>
        <v/>
      </c>
      <c r="O6058" s="7" t="n">
        <f aca="false">IF(B6058="TV Show",IFERROR(VALUE(LEFT(I6058,FIND(" ",I6058)-1)),""),"")</f>
        <v>2</v>
      </c>
      <c r="P6058" s="7" t="n">
        <f aca="false">IF(K6058="","",K6058-G6058)</f>
        <v>1</v>
      </c>
    </row>
    <row r="6059" customFormat="false" ht="15" hidden="false" customHeight="false" outlineLevel="0" collapsed="false">
      <c r="A6059" s="7" t="n">
        <v>81059779</v>
      </c>
      <c r="B6059" s="7" t="s">
        <v>78</v>
      </c>
      <c r="C6059" s="7" t="s">
        <v>11970</v>
      </c>
      <c r="E6059" s="7" t="s">
        <v>28</v>
      </c>
      <c r="F6059" s="7" t="s">
        <v>11971</v>
      </c>
      <c r="G6059" s="7" t="n">
        <v>2012</v>
      </c>
      <c r="H6059" s="7" t="s">
        <v>48</v>
      </c>
      <c r="I6059" s="7" t="s">
        <v>11132</v>
      </c>
      <c r="J6059" s="7" t="s">
        <v>1122</v>
      </c>
      <c r="K6059" s="7" t="n">
        <f aca="false">IFERROR(VALUE(RIGHT(TRIM(F6059),4)),"")</f>
        <v>2019</v>
      </c>
      <c r="L6059" s="7" t="str">
        <f aca="false">IF(TRIM(E6059)="","Unknown",IFERROR(LEFT(TRIM(E6059),FIND(",",TRIM(E6059))-1),TRIM(E6059)))</f>
        <v>United Kingdom</v>
      </c>
      <c r="M6059" s="7" t="str">
        <f aca="false">IFERROR(LEFT(J6059,FIND(",",J6059)-1),J6059)</f>
        <v>British TV Shows</v>
      </c>
      <c r="N6059" s="7" t="str">
        <f aca="false">IF(B6059="Movie",IFERROR(VALUE(LEFT(I6059,FIND(" ",I6059)-1)),""),"")</f>
        <v/>
      </c>
      <c r="O6059" s="7" t="n">
        <f aca="false">IF(B6059="TV Show",IFERROR(VALUE(LEFT(I6059,FIND(" ",I6059)-1)),""),"")</f>
        <v>2</v>
      </c>
      <c r="P6059" s="7" t="n">
        <f aca="false">IF(K6059="","",K6059-G6059)</f>
        <v>7</v>
      </c>
    </row>
    <row r="6060" customFormat="false" ht="15" hidden="false" customHeight="false" outlineLevel="0" collapsed="false">
      <c r="A6060" s="7" t="n">
        <v>70304718</v>
      </c>
      <c r="B6060" s="7" t="s">
        <v>78</v>
      </c>
      <c r="C6060" s="7" t="s">
        <v>11972</v>
      </c>
      <c r="F6060" s="7" t="s">
        <v>11971</v>
      </c>
      <c r="G6060" s="7" t="n">
        <v>2017</v>
      </c>
      <c r="H6060" s="7" t="s">
        <v>226</v>
      </c>
      <c r="I6060" s="7" t="s">
        <v>11148</v>
      </c>
      <c r="J6060" s="7" t="s">
        <v>44</v>
      </c>
      <c r="K6060" s="7" t="n">
        <f aca="false">IFERROR(VALUE(RIGHT(TRIM(F6060),4)),"")</f>
        <v>2019</v>
      </c>
      <c r="L6060" s="7" t="str">
        <f aca="false">IF(TRIM(E6060)="","Unknown",IFERROR(LEFT(TRIM(E6060),FIND(",",TRIM(E6060))-1),TRIM(E6060)))</f>
        <v>Unknown</v>
      </c>
      <c r="M6060" s="7" t="str">
        <f aca="false">IFERROR(LEFT(J6060,FIND(",",J6060)-1),J6060)</f>
        <v>Kids' TV</v>
      </c>
      <c r="N6060" s="7" t="str">
        <f aca="false">IF(B6060="Movie",IFERROR(VALUE(LEFT(I6060,FIND(" ",I6060)-1)),""),"")</f>
        <v/>
      </c>
      <c r="O6060" s="7" t="n">
        <f aca="false">IF(B6060="TV Show",IFERROR(VALUE(LEFT(I6060,FIND(" ",I6060)-1)),""),"")</f>
        <v>3</v>
      </c>
      <c r="P6060" s="7" t="n">
        <f aca="false">IF(K6060="","",K6060-G6060)</f>
        <v>2</v>
      </c>
    </row>
    <row r="6061" customFormat="false" ht="15" hidden="false" customHeight="false" outlineLevel="0" collapsed="false">
      <c r="A6061" s="7" t="n">
        <v>70252973</v>
      </c>
      <c r="B6061" s="7" t="s">
        <v>78</v>
      </c>
      <c r="C6061" s="7" t="s">
        <v>11973</v>
      </c>
      <c r="E6061" s="7" t="s">
        <v>11974</v>
      </c>
      <c r="F6061" s="7" t="s">
        <v>11971</v>
      </c>
      <c r="G6061" s="7" t="n">
        <v>2018</v>
      </c>
      <c r="H6061" s="7" t="s">
        <v>81</v>
      </c>
      <c r="I6061" s="7" t="s">
        <v>11227</v>
      </c>
      <c r="J6061" s="7" t="s">
        <v>44</v>
      </c>
      <c r="K6061" s="7" t="n">
        <f aca="false">IFERROR(VALUE(RIGHT(TRIM(F6061),4)),"")</f>
        <v>2019</v>
      </c>
      <c r="L6061" s="7" t="str">
        <f aca="false">IF(TRIM(E6061)="","Unknown",IFERROR(LEFT(TRIM(E6061),FIND(",",TRIM(E6061))-1),TRIM(E6061)))</f>
        <v>Denmark</v>
      </c>
      <c r="M6061" s="7" t="str">
        <f aca="false">IFERROR(LEFT(J6061,FIND(",",J6061)-1),J6061)</f>
        <v>Kids' TV</v>
      </c>
      <c r="N6061" s="7" t="str">
        <f aca="false">IF(B6061="Movie",IFERROR(VALUE(LEFT(I6061,FIND(" ",I6061)-1)),""),"")</f>
        <v/>
      </c>
      <c r="O6061" s="7" t="n">
        <f aca="false">IF(B6061="TV Show",IFERROR(VALUE(LEFT(I6061,FIND(" ",I6061)-1)),""),"")</f>
        <v>9</v>
      </c>
      <c r="P6061" s="7" t="n">
        <f aca="false">IF(K6061="","",K6061-G6061)</f>
        <v>1</v>
      </c>
    </row>
    <row r="6062" customFormat="false" ht="15" hidden="false" customHeight="false" outlineLevel="0" collapsed="false">
      <c r="A6062" s="7" t="n">
        <v>81017061</v>
      </c>
      <c r="B6062" s="7" t="s">
        <v>78</v>
      </c>
      <c r="C6062" s="7" t="s">
        <v>11975</v>
      </c>
      <c r="E6062" s="7" t="s">
        <v>26</v>
      </c>
      <c r="F6062" s="7" t="s">
        <v>11971</v>
      </c>
      <c r="G6062" s="7" t="n">
        <v>2018</v>
      </c>
      <c r="H6062" s="7" t="s">
        <v>119</v>
      </c>
      <c r="I6062" s="7" t="s">
        <v>11132</v>
      </c>
      <c r="J6062" s="7" t="s">
        <v>44</v>
      </c>
      <c r="K6062" s="7" t="n">
        <f aca="false">IFERROR(VALUE(RIGHT(TRIM(F6062),4)),"")</f>
        <v>2019</v>
      </c>
      <c r="L6062" s="7" t="str">
        <f aca="false">IF(TRIM(E6062)="","Unknown",IFERROR(LEFT(TRIM(E6062),FIND(",",TRIM(E6062))-1),TRIM(E6062)))</f>
        <v>United States</v>
      </c>
      <c r="M6062" s="7" t="str">
        <f aca="false">IFERROR(LEFT(J6062,FIND(",",J6062)-1),J6062)</f>
        <v>Kids' TV</v>
      </c>
      <c r="N6062" s="7" t="str">
        <f aca="false">IF(B6062="Movie",IFERROR(VALUE(LEFT(I6062,FIND(" ",I6062)-1)),""),"")</f>
        <v/>
      </c>
      <c r="O6062" s="7" t="n">
        <f aca="false">IF(B6062="TV Show",IFERROR(VALUE(LEFT(I6062,FIND(" ",I6062)-1)),""),"")</f>
        <v>2</v>
      </c>
      <c r="P6062" s="7" t="n">
        <f aca="false">IF(K6062="","",K6062-G6062)</f>
        <v>1</v>
      </c>
    </row>
    <row r="6063" customFormat="false" ht="15" hidden="false" customHeight="false" outlineLevel="0" collapsed="false">
      <c r="A6063" s="7" t="n">
        <v>70180088</v>
      </c>
      <c r="B6063" s="7" t="s">
        <v>78</v>
      </c>
      <c r="C6063" s="7" t="s">
        <v>11976</v>
      </c>
      <c r="E6063" s="7" t="s">
        <v>949</v>
      </c>
      <c r="F6063" s="7" t="s">
        <v>11971</v>
      </c>
      <c r="G6063" s="7" t="n">
        <v>2018</v>
      </c>
      <c r="H6063" s="7" t="s">
        <v>55</v>
      </c>
      <c r="I6063" s="7" t="s">
        <v>11148</v>
      </c>
      <c r="J6063" s="7" t="s">
        <v>191</v>
      </c>
      <c r="K6063" s="7" t="n">
        <f aca="false">IFERROR(VALUE(RIGHT(TRIM(F6063),4)),"")</f>
        <v>2019</v>
      </c>
      <c r="L6063" s="7" t="str">
        <f aca="false">IF(TRIM(E6063)="","Unknown",IFERROR(LEFT(TRIM(E6063),FIND(",",TRIM(E6063))-1),TRIM(E6063)))</f>
        <v>France</v>
      </c>
      <c r="M6063" s="7" t="str">
        <f aca="false">IFERROR(LEFT(J6063,FIND(",",J6063)-1),J6063)</f>
        <v>Kids' TV</v>
      </c>
      <c r="N6063" s="7" t="str">
        <f aca="false">IF(B6063="Movie",IFERROR(VALUE(LEFT(I6063,FIND(" ",I6063)-1)),""),"")</f>
        <v/>
      </c>
      <c r="O6063" s="7" t="n">
        <f aca="false">IF(B6063="TV Show",IFERROR(VALUE(LEFT(I6063,FIND(" ",I6063)-1)),""),"")</f>
        <v>3</v>
      </c>
      <c r="P6063" s="7" t="n">
        <f aca="false">IF(K6063="","",K6063-G6063)</f>
        <v>1</v>
      </c>
    </row>
    <row r="6064" customFormat="false" ht="15" hidden="false" customHeight="false" outlineLevel="0" collapsed="false">
      <c r="A6064" s="7" t="n">
        <v>80178897</v>
      </c>
      <c r="B6064" s="7" t="s">
        <v>78</v>
      </c>
      <c r="C6064" s="7" t="s">
        <v>11977</v>
      </c>
      <c r="E6064" s="7" t="s">
        <v>26</v>
      </c>
      <c r="F6064" s="7" t="s">
        <v>11971</v>
      </c>
      <c r="G6064" s="7" t="n">
        <v>2017</v>
      </c>
      <c r="H6064" s="7" t="s">
        <v>49</v>
      </c>
      <c r="I6064" s="7" t="s">
        <v>11132</v>
      </c>
      <c r="J6064" s="7" t="s">
        <v>164</v>
      </c>
      <c r="K6064" s="7" t="n">
        <f aca="false">IFERROR(VALUE(RIGHT(TRIM(F6064),4)),"")</f>
        <v>2019</v>
      </c>
      <c r="L6064" s="7" t="str">
        <f aca="false">IF(TRIM(E6064)="","Unknown",IFERROR(LEFT(TRIM(E6064),FIND(",",TRIM(E6064))-1),TRIM(E6064)))</f>
        <v>United States</v>
      </c>
      <c r="M6064" s="7" t="str">
        <f aca="false">IFERROR(LEFT(J6064,FIND(",",J6064)-1),J6064)</f>
        <v>Docuseries</v>
      </c>
      <c r="N6064" s="7" t="str">
        <f aca="false">IF(B6064="Movie",IFERROR(VALUE(LEFT(I6064,FIND(" ",I6064)-1)),""),"")</f>
        <v/>
      </c>
      <c r="O6064" s="7" t="n">
        <f aca="false">IF(B6064="TV Show",IFERROR(VALUE(LEFT(I6064,FIND(" ",I6064)-1)),""),"")</f>
        <v>2</v>
      </c>
      <c r="P6064" s="7" t="n">
        <f aca="false">IF(K6064="","",K6064-G6064)</f>
        <v>2</v>
      </c>
    </row>
    <row r="6065" customFormat="false" ht="15" hidden="false" customHeight="false" outlineLevel="0" collapsed="false">
      <c r="A6065" s="7" t="n">
        <v>70286901</v>
      </c>
      <c r="B6065" s="7" t="s">
        <v>78</v>
      </c>
      <c r="C6065" s="7" t="s">
        <v>11978</v>
      </c>
      <c r="E6065" s="7" t="s">
        <v>752</v>
      </c>
      <c r="F6065" s="7" t="s">
        <v>11979</v>
      </c>
      <c r="G6065" s="7" t="n">
        <v>2018</v>
      </c>
      <c r="H6065" s="7" t="s">
        <v>119</v>
      </c>
      <c r="I6065" s="7" t="s">
        <v>11148</v>
      </c>
      <c r="J6065" s="7" t="s">
        <v>44</v>
      </c>
      <c r="K6065" s="7" t="n">
        <f aca="false">IFERROR(VALUE(RIGHT(TRIM(F6065),4)),"")</f>
        <v>2018</v>
      </c>
      <c r="L6065" s="7" t="str">
        <f aca="false">IF(TRIM(E6065)="","Unknown",IFERROR(LEFT(TRIM(E6065),FIND(",",TRIM(E6065))-1),TRIM(E6065)))</f>
        <v>Russia</v>
      </c>
      <c r="M6065" s="7" t="str">
        <f aca="false">IFERROR(LEFT(J6065,FIND(",",J6065)-1),J6065)</f>
        <v>Kids' TV</v>
      </c>
      <c r="N6065" s="7" t="str">
        <f aca="false">IF(B6065="Movie",IFERROR(VALUE(LEFT(I6065,FIND(" ",I6065)-1)),""),"")</f>
        <v/>
      </c>
      <c r="O6065" s="7" t="n">
        <f aca="false">IF(B6065="TV Show",IFERROR(VALUE(LEFT(I6065,FIND(" ",I6065)-1)),""),"")</f>
        <v>3</v>
      </c>
      <c r="P6065" s="7" t="n">
        <f aca="false">IF(K6065="","",K6065-G6065)</f>
        <v>0</v>
      </c>
    </row>
    <row r="6066" customFormat="false" ht="15" hidden="false" customHeight="false" outlineLevel="0" collapsed="false">
      <c r="A6066" s="7" t="n">
        <v>80080436</v>
      </c>
      <c r="B6066" s="7" t="s">
        <v>78</v>
      </c>
      <c r="C6066" s="7" t="s">
        <v>11980</v>
      </c>
      <c r="D6066" s="7" t="s">
        <v>770</v>
      </c>
      <c r="E6066" s="7" t="s">
        <v>26</v>
      </c>
      <c r="F6066" s="7" t="s">
        <v>11979</v>
      </c>
      <c r="G6066" s="7" t="n">
        <v>2016</v>
      </c>
      <c r="H6066" s="7" t="s">
        <v>48</v>
      </c>
      <c r="I6066" s="7" t="s">
        <v>11158</v>
      </c>
      <c r="J6066" s="7" t="s">
        <v>1402</v>
      </c>
      <c r="K6066" s="7" t="n">
        <f aca="false">IFERROR(VALUE(RIGHT(TRIM(F6066),4)),"")</f>
        <v>2018</v>
      </c>
      <c r="L6066" s="7" t="str">
        <f aca="false">IF(TRIM(E6066)="","Unknown",IFERROR(LEFT(TRIM(E6066),FIND(",",TRIM(E6066))-1),TRIM(E6066)))</f>
        <v>United States</v>
      </c>
      <c r="M6066" s="7" t="str">
        <f aca="false">IFERROR(LEFT(J6066,FIND(",",J6066)-1),J6066)</f>
        <v>Crime TV Shows</v>
      </c>
      <c r="N6066" s="7" t="str">
        <f aca="false">IF(B6066="Movie",IFERROR(VALUE(LEFT(I6066,FIND(" ",I6066)-1)),""),"")</f>
        <v/>
      </c>
      <c r="O6066" s="7" t="n">
        <f aca="false">IF(B6066="TV Show",IFERROR(VALUE(LEFT(I6066,FIND(" ",I6066)-1)),""),"")</f>
        <v>8</v>
      </c>
      <c r="P6066" s="7" t="n">
        <f aca="false">IF(K6066="","",K6066-G6066)</f>
        <v>2</v>
      </c>
    </row>
    <row r="6067" customFormat="false" ht="15" hidden="false" customHeight="false" outlineLevel="0" collapsed="false">
      <c r="A6067" s="7" t="n">
        <v>80112415</v>
      </c>
      <c r="B6067" s="7" t="s">
        <v>78</v>
      </c>
      <c r="C6067" s="7" t="s">
        <v>11981</v>
      </c>
      <c r="E6067" s="7" t="s">
        <v>317</v>
      </c>
      <c r="F6067" s="7" t="s">
        <v>11982</v>
      </c>
      <c r="G6067" s="7" t="n">
        <v>2015</v>
      </c>
      <c r="H6067" s="7" t="s">
        <v>119</v>
      </c>
      <c r="I6067" s="7" t="s">
        <v>11132</v>
      </c>
      <c r="J6067" s="7" t="s">
        <v>4493</v>
      </c>
      <c r="K6067" s="7" t="n">
        <f aca="false">IFERROR(VALUE(RIGHT(TRIM(F6067),4)),"")</f>
        <v>2017</v>
      </c>
      <c r="L6067" s="7" t="str">
        <f aca="false">IF(TRIM(E6067)="","Unknown",IFERROR(LEFT(TRIM(E6067),FIND(",",TRIM(E6067))-1),TRIM(E6067)))</f>
        <v>United Kingdom</v>
      </c>
      <c r="M6067" s="7" t="str">
        <f aca="false">IFERROR(LEFT(J6067,FIND(",",J6067)-1),J6067)</f>
        <v>British TV Shows</v>
      </c>
      <c r="N6067" s="7" t="str">
        <f aca="false">IF(B6067="Movie",IFERROR(VALUE(LEFT(I6067,FIND(" ",I6067)-1)),""),"")</f>
        <v/>
      </c>
      <c r="O6067" s="7" t="n">
        <f aca="false">IF(B6067="TV Show",IFERROR(VALUE(LEFT(I6067,FIND(" ",I6067)-1)),""),"")</f>
        <v>2</v>
      </c>
      <c r="P6067" s="7" t="n">
        <f aca="false">IF(K6067="","",K6067-G6067)</f>
        <v>2</v>
      </c>
    </row>
    <row r="6068" customFormat="false" ht="15" hidden="false" customHeight="false" outlineLevel="0" collapsed="false">
      <c r="A6068" s="7" t="n">
        <v>80008583</v>
      </c>
      <c r="B6068" s="7" t="s">
        <v>78</v>
      </c>
      <c r="C6068" s="7" t="s">
        <v>11983</v>
      </c>
      <c r="E6068" s="7" t="s">
        <v>752</v>
      </c>
      <c r="F6068" s="7" t="s">
        <v>11984</v>
      </c>
      <c r="G6068" s="7" t="n">
        <v>2015</v>
      </c>
      <c r="H6068" s="7" t="s">
        <v>226</v>
      </c>
      <c r="I6068" s="7" t="s">
        <v>11148</v>
      </c>
      <c r="J6068" s="7" t="s">
        <v>11653</v>
      </c>
      <c r="K6068" s="7" t="n">
        <f aca="false">IFERROR(VALUE(RIGHT(TRIM(F6068),4)),"")</f>
        <v>2016</v>
      </c>
      <c r="L6068" s="7" t="str">
        <f aca="false">IF(TRIM(E6068)="","Unknown",IFERROR(LEFT(TRIM(E6068),FIND(",",TRIM(E6068))-1),TRIM(E6068)))</f>
        <v>Russia</v>
      </c>
      <c r="M6068" s="7" t="str">
        <f aca="false">IFERROR(LEFT(J6068,FIND(",",J6068)-1),J6068)</f>
        <v>Kids' TV</v>
      </c>
      <c r="N6068" s="7" t="str">
        <f aca="false">IF(B6068="Movie",IFERROR(VALUE(LEFT(I6068,FIND(" ",I6068)-1)),""),"")</f>
        <v/>
      </c>
      <c r="O6068" s="7" t="n">
        <f aca="false">IF(B6068="TV Show",IFERROR(VALUE(LEFT(I6068,FIND(" ",I6068)-1)),""),"")</f>
        <v>3</v>
      </c>
      <c r="P6068" s="7" t="n">
        <f aca="false">IF(K6068="","",K6068-G6068)</f>
        <v>1</v>
      </c>
    </row>
    <row r="6069" customFormat="false" ht="15" hidden="false" customHeight="false" outlineLevel="0" collapsed="false">
      <c r="A6069" s="7" t="n">
        <v>70136152</v>
      </c>
      <c r="B6069" s="7" t="s">
        <v>78</v>
      </c>
      <c r="C6069" s="7" t="s">
        <v>11985</v>
      </c>
      <c r="E6069" s="7" t="s">
        <v>26</v>
      </c>
      <c r="F6069" s="7" t="s">
        <v>11986</v>
      </c>
      <c r="G6069" s="7" t="n">
        <v>2013</v>
      </c>
      <c r="H6069" s="7" t="s">
        <v>48</v>
      </c>
      <c r="I6069" s="7" t="s">
        <v>11155</v>
      </c>
      <c r="J6069" s="7" t="s">
        <v>7835</v>
      </c>
      <c r="K6069" s="7" t="n">
        <f aca="false">IFERROR(VALUE(RIGHT(TRIM(F6069),4)),"")</f>
        <v>2015</v>
      </c>
      <c r="L6069" s="7" t="str">
        <f aca="false">IF(TRIM(E6069)="","Unknown",IFERROR(LEFT(TRIM(E6069),FIND(",",TRIM(E6069))-1),TRIM(E6069)))</f>
        <v>United States</v>
      </c>
      <c r="M6069" s="7" t="str">
        <f aca="false">IFERROR(LEFT(J6069,FIND(",",J6069)-1),J6069)</f>
        <v>TV Action &amp; Adventure</v>
      </c>
      <c r="N6069" s="7" t="str">
        <f aca="false">IF(B6069="Movie",IFERROR(VALUE(LEFT(I6069,FIND(" ",I6069)-1)),""),"")</f>
        <v/>
      </c>
      <c r="O6069" s="7" t="n">
        <f aca="false">IF(B6069="TV Show",IFERROR(VALUE(LEFT(I6069,FIND(" ",I6069)-1)),""),"")</f>
        <v>4</v>
      </c>
      <c r="P6069" s="7" t="n">
        <f aca="false">IF(K6069="","",K6069-G6069)</f>
        <v>2</v>
      </c>
    </row>
    <row r="6070" customFormat="false" ht="15" hidden="false" customHeight="false" outlineLevel="0" collapsed="false">
      <c r="A6070" s="7" t="n">
        <v>70177084</v>
      </c>
      <c r="B6070" s="7" t="s">
        <v>78</v>
      </c>
      <c r="C6070" s="7" t="s">
        <v>11987</v>
      </c>
      <c r="E6070" s="7" t="s">
        <v>11988</v>
      </c>
      <c r="F6070" s="7" t="s">
        <v>11989</v>
      </c>
      <c r="G6070" s="7" t="n">
        <v>2013</v>
      </c>
      <c r="H6070" s="7" t="s">
        <v>48</v>
      </c>
      <c r="I6070" s="7" t="s">
        <v>11148</v>
      </c>
      <c r="J6070" s="7" t="s">
        <v>2704</v>
      </c>
      <c r="K6070" s="7" t="n">
        <f aca="false">IFERROR(VALUE(RIGHT(TRIM(F6070),4)),"")</f>
        <v>2014</v>
      </c>
      <c r="L6070" s="7" t="str">
        <f aca="false">IF(TRIM(E6070)="","Unknown",IFERROR(LEFT(TRIM(E6070),FIND(",",TRIM(E6070))-1),TRIM(E6070)))</f>
        <v>United States</v>
      </c>
      <c r="M6070" s="7" t="str">
        <f aca="false">IFERROR(LEFT(J6070,FIND(",",J6070)-1),J6070)</f>
        <v>TV Dramas</v>
      </c>
      <c r="N6070" s="7" t="str">
        <f aca="false">IF(B6070="Movie",IFERROR(VALUE(LEFT(I6070,FIND(" ",I6070)-1)),""),"")</f>
        <v/>
      </c>
      <c r="O6070" s="7" t="n">
        <f aca="false">IF(B6070="TV Show",IFERROR(VALUE(LEFT(I6070,FIND(" ",I6070)-1)),""),"")</f>
        <v>3</v>
      </c>
      <c r="P6070" s="7" t="n">
        <f aca="false">IF(K6070="","",K6070-G6070)</f>
        <v>1</v>
      </c>
    </row>
    <row r="6071" customFormat="false" ht="15" hidden="false" customHeight="false" outlineLevel="0" collapsed="false">
      <c r="A6071" s="7" t="n">
        <v>80152350</v>
      </c>
      <c r="B6071" s="7" t="s">
        <v>78</v>
      </c>
      <c r="C6071" s="7" t="s">
        <v>11990</v>
      </c>
      <c r="E6071" s="7" t="s">
        <v>26</v>
      </c>
      <c r="F6071" s="7" t="s">
        <v>11991</v>
      </c>
      <c r="G6071" s="7" t="n">
        <v>2018</v>
      </c>
      <c r="H6071" s="7" t="s">
        <v>48</v>
      </c>
      <c r="I6071" s="7" t="s">
        <v>11132</v>
      </c>
      <c r="J6071" s="7" t="s">
        <v>11992</v>
      </c>
      <c r="K6071" s="7" t="n">
        <f aca="false">IFERROR(VALUE(RIGHT(TRIM(F6071),4)),"")</f>
        <v>2018</v>
      </c>
      <c r="L6071" s="7" t="str">
        <f aca="false">IF(TRIM(E6071)="","Unknown",IFERROR(LEFT(TRIM(E6071),FIND(",",TRIM(E6071))-1),TRIM(E6071)))</f>
        <v>United States</v>
      </c>
      <c r="M6071" s="7" t="str">
        <f aca="false">IFERROR(LEFT(J6071,FIND(",",J6071)-1),J6071)</f>
        <v>TV Comedies</v>
      </c>
      <c r="N6071" s="7" t="str">
        <f aca="false">IF(B6071="Movie",IFERROR(VALUE(LEFT(I6071,FIND(" ",I6071)-1)),""),"")</f>
        <v/>
      </c>
      <c r="O6071" s="7" t="n">
        <f aca="false">IF(B6071="TV Show",IFERROR(VALUE(LEFT(I6071,FIND(" ",I6071)-1)),""),"")</f>
        <v>2</v>
      </c>
      <c r="P6071" s="7" t="n">
        <f aca="false">IF(K6071="","",K6071-G6071)</f>
        <v>0</v>
      </c>
    </row>
    <row r="6072" customFormat="false" ht="15" hidden="false" customHeight="false" outlineLevel="0" collapsed="false">
      <c r="A6072" s="7" t="n">
        <v>80051137</v>
      </c>
      <c r="B6072" s="7" t="s">
        <v>78</v>
      </c>
      <c r="C6072" s="7" t="s">
        <v>11993</v>
      </c>
      <c r="E6072" s="7" t="s">
        <v>26</v>
      </c>
      <c r="F6072" s="7" t="s">
        <v>11994</v>
      </c>
      <c r="G6072" s="7" t="n">
        <v>2018</v>
      </c>
      <c r="H6072" s="7" t="s">
        <v>55</v>
      </c>
      <c r="I6072" s="7" t="s">
        <v>11155</v>
      </c>
      <c r="J6072" s="7" t="s">
        <v>289</v>
      </c>
      <c r="K6072" s="7" t="n">
        <f aca="false">IFERROR(VALUE(RIGHT(TRIM(F6072),4)),"")</f>
        <v>2019</v>
      </c>
      <c r="L6072" s="7" t="str">
        <f aca="false">IF(TRIM(E6072)="","Unknown",IFERROR(LEFT(TRIM(E6072),FIND(",",TRIM(E6072))-1),TRIM(E6072)))</f>
        <v>United States</v>
      </c>
      <c r="M6072" s="7" t="str">
        <f aca="false">IFERROR(LEFT(J6072,FIND(",",J6072)-1),J6072)</f>
        <v>TV Comedies</v>
      </c>
      <c r="N6072" s="7" t="str">
        <f aca="false">IF(B6072="Movie",IFERROR(VALUE(LEFT(I6072,FIND(" ",I6072)-1)),""),"")</f>
        <v/>
      </c>
      <c r="O6072" s="7" t="n">
        <f aca="false">IF(B6072="TV Show",IFERROR(VALUE(LEFT(I6072,FIND(" ",I6072)-1)),""),"")</f>
        <v>4</v>
      </c>
      <c r="P6072" s="7" t="n">
        <f aca="false">IF(K6072="","",K6072-G6072)</f>
        <v>1</v>
      </c>
    </row>
    <row r="6073" customFormat="false" ht="15" hidden="false" customHeight="false" outlineLevel="0" collapsed="false">
      <c r="A6073" s="7" t="n">
        <v>80140955</v>
      </c>
      <c r="B6073" s="7" t="s">
        <v>78</v>
      </c>
      <c r="C6073" s="7" t="s">
        <v>11995</v>
      </c>
      <c r="E6073" s="7" t="s">
        <v>26</v>
      </c>
      <c r="F6073" s="7" t="s">
        <v>11996</v>
      </c>
      <c r="G6073" s="7" t="n">
        <v>2018</v>
      </c>
      <c r="H6073" s="7" t="s">
        <v>49</v>
      </c>
      <c r="I6073" s="7" t="s">
        <v>11148</v>
      </c>
      <c r="J6073" s="7" t="s">
        <v>2704</v>
      </c>
      <c r="K6073" s="7" t="n">
        <f aca="false">IFERROR(VALUE(RIGHT(TRIM(F6073),4)),"")</f>
        <v>2019</v>
      </c>
      <c r="L6073" s="7" t="str">
        <f aca="false">IF(TRIM(E6073)="","Unknown",IFERROR(LEFT(TRIM(E6073),FIND(",",TRIM(E6073))-1),TRIM(E6073)))</f>
        <v>United States</v>
      </c>
      <c r="M6073" s="7" t="str">
        <f aca="false">IFERROR(LEFT(J6073,FIND(",",J6073)-1),J6073)</f>
        <v>TV Dramas</v>
      </c>
      <c r="N6073" s="7" t="str">
        <f aca="false">IF(B6073="Movie",IFERROR(VALUE(LEFT(I6073,FIND(" ",I6073)-1)),""),"")</f>
        <v/>
      </c>
      <c r="O6073" s="7" t="n">
        <f aca="false">IF(B6073="TV Show",IFERROR(VALUE(LEFT(I6073,FIND(" ",I6073)-1)),""),"")</f>
        <v>3</v>
      </c>
      <c r="P6073" s="7" t="n">
        <f aca="false">IF(K6073="","",K6073-G6073)</f>
        <v>1</v>
      </c>
    </row>
    <row r="6074" customFormat="false" ht="15" hidden="false" customHeight="false" outlineLevel="0" collapsed="false">
      <c r="A6074" s="7" t="n">
        <v>70304245</v>
      </c>
      <c r="B6074" s="7" t="s">
        <v>78</v>
      </c>
      <c r="C6074" s="7" t="s">
        <v>11997</v>
      </c>
      <c r="E6074" s="7" t="s">
        <v>26</v>
      </c>
      <c r="F6074" s="7" t="s">
        <v>11998</v>
      </c>
      <c r="G6074" s="7" t="n">
        <v>2016</v>
      </c>
      <c r="H6074" s="7" t="s">
        <v>48</v>
      </c>
      <c r="I6074" s="7" t="s">
        <v>11148</v>
      </c>
      <c r="J6074" s="7" t="s">
        <v>11502</v>
      </c>
      <c r="K6074" s="7" t="n">
        <f aca="false">IFERROR(VALUE(RIGHT(TRIM(F6074),4)),"")</f>
        <v>2016</v>
      </c>
      <c r="L6074" s="7" t="str">
        <f aca="false">IF(TRIM(E6074)="","Unknown",IFERROR(LEFT(TRIM(E6074),FIND(",",TRIM(E6074))-1),TRIM(E6074)))</f>
        <v>United States</v>
      </c>
      <c r="M6074" s="7" t="str">
        <f aca="false">IFERROR(LEFT(J6074,FIND(",",J6074)-1),J6074)</f>
        <v>Classic &amp; Cult TV</v>
      </c>
      <c r="N6074" s="7" t="str">
        <f aca="false">IF(B6074="Movie",IFERROR(VALUE(LEFT(I6074,FIND(" ",I6074)-1)),""),"")</f>
        <v/>
      </c>
      <c r="O6074" s="7" t="n">
        <f aca="false">IF(B6074="TV Show",IFERROR(VALUE(LEFT(I6074,FIND(" ",I6074)-1)),""),"")</f>
        <v>3</v>
      </c>
      <c r="P6074" s="7" t="n">
        <f aca="false">IF(K6074="","",K6074-G6074)</f>
        <v>0</v>
      </c>
    </row>
    <row r="6075" customFormat="false" ht="15" hidden="false" customHeight="false" outlineLevel="0" collapsed="false">
      <c r="A6075" s="7" t="n">
        <v>81224868</v>
      </c>
      <c r="B6075" s="7" t="s">
        <v>78</v>
      </c>
      <c r="C6075" s="7" t="s">
        <v>11999</v>
      </c>
      <c r="E6075" s="7" t="s">
        <v>32</v>
      </c>
      <c r="F6075" s="7" t="s">
        <v>12000</v>
      </c>
      <c r="G6075" s="7" t="n">
        <v>2018</v>
      </c>
      <c r="H6075" s="7" t="s">
        <v>55</v>
      </c>
      <c r="I6075" s="7" t="s">
        <v>11132</v>
      </c>
      <c r="J6075" s="7" t="s">
        <v>1686</v>
      </c>
      <c r="K6075" s="7" t="n">
        <f aca="false">IFERROR(VALUE(RIGHT(TRIM(F6075),4)),"")</f>
        <v>2019</v>
      </c>
      <c r="L6075" s="7" t="str">
        <f aca="false">IF(TRIM(E6075)="","Unknown",IFERROR(LEFT(TRIM(E6075),FIND(",",TRIM(E6075))-1),TRIM(E6075)))</f>
        <v>South Korea</v>
      </c>
      <c r="M6075" s="7" t="str">
        <f aca="false">IFERROR(LEFT(J6075,FIND(",",J6075)-1),J6075)</f>
        <v>Kids' TV</v>
      </c>
      <c r="N6075" s="7" t="str">
        <f aca="false">IF(B6075="Movie",IFERROR(VALUE(LEFT(I6075,FIND(" ",I6075)-1)),""),"")</f>
        <v/>
      </c>
      <c r="O6075" s="7" t="n">
        <f aca="false">IF(B6075="TV Show",IFERROR(VALUE(LEFT(I6075,FIND(" ",I6075)-1)),""),"")</f>
        <v>2</v>
      </c>
      <c r="P6075" s="7" t="n">
        <f aca="false">IF(K6075="","",K6075-G6075)</f>
        <v>1</v>
      </c>
    </row>
    <row r="6076" customFormat="false" ht="15" hidden="false" customHeight="false" outlineLevel="0" collapsed="false">
      <c r="A6076" s="7" t="n">
        <v>80092654</v>
      </c>
      <c r="B6076" s="7" t="s">
        <v>78</v>
      </c>
      <c r="C6076" s="7" t="s">
        <v>12001</v>
      </c>
      <c r="E6076" s="7" t="s">
        <v>12002</v>
      </c>
      <c r="F6076" s="7" t="s">
        <v>12000</v>
      </c>
      <c r="G6076" s="7" t="n">
        <v>2017</v>
      </c>
      <c r="H6076" s="7" t="s">
        <v>48</v>
      </c>
      <c r="I6076" s="7" t="s">
        <v>11132</v>
      </c>
      <c r="J6076" s="7" t="s">
        <v>208</v>
      </c>
      <c r="K6076" s="7" t="n">
        <f aca="false">IFERROR(VALUE(RIGHT(TRIM(F6076),4)),"")</f>
        <v>2019</v>
      </c>
      <c r="L6076" s="7" t="str">
        <f aca="false">IF(TRIM(E6076)="","Unknown",IFERROR(LEFT(TRIM(E6076),FIND(",",TRIM(E6076))-1),TRIM(E6076)))</f>
        <v>Norway</v>
      </c>
      <c r="M6076" s="7" t="str">
        <f aca="false">IFERROR(LEFT(J6076,FIND(",",J6076)-1),J6076)</f>
        <v>International TV Shows</v>
      </c>
      <c r="N6076" s="7" t="str">
        <f aca="false">IF(B6076="Movie",IFERROR(VALUE(LEFT(I6076,FIND(" ",I6076)-1)),""),"")</f>
        <v/>
      </c>
      <c r="O6076" s="7" t="n">
        <f aca="false">IF(B6076="TV Show",IFERROR(VALUE(LEFT(I6076,FIND(" ",I6076)-1)),""),"")</f>
        <v>2</v>
      </c>
      <c r="P6076" s="7" t="n">
        <f aca="false">IF(K6076="","",K6076-G6076)</f>
        <v>2</v>
      </c>
    </row>
    <row r="6077" customFormat="false" ht="15" hidden="false" customHeight="false" outlineLevel="0" collapsed="false">
      <c r="A6077" s="7" t="n">
        <v>81029570</v>
      </c>
      <c r="B6077" s="7" t="s">
        <v>78</v>
      </c>
      <c r="C6077" s="7" t="s">
        <v>12003</v>
      </c>
      <c r="E6077" s="7" t="s">
        <v>26</v>
      </c>
      <c r="F6077" s="7" t="s">
        <v>12004</v>
      </c>
      <c r="G6077" s="7" t="n">
        <v>2018</v>
      </c>
      <c r="H6077" s="7" t="s">
        <v>49</v>
      </c>
      <c r="I6077" s="7" t="s">
        <v>11148</v>
      </c>
      <c r="J6077" s="7" t="s">
        <v>701</v>
      </c>
      <c r="K6077" s="7" t="n">
        <f aca="false">IFERROR(VALUE(RIGHT(TRIM(F6077),4)),"")</f>
        <v>2018</v>
      </c>
      <c r="L6077" s="7" t="str">
        <f aca="false">IF(TRIM(E6077)="","Unknown",IFERROR(LEFT(TRIM(E6077),FIND(",",TRIM(E6077))-1),TRIM(E6077)))</f>
        <v>United States</v>
      </c>
      <c r="M6077" s="7" t="str">
        <f aca="false">IFERROR(LEFT(J6077,FIND(",",J6077)-1),J6077)</f>
        <v>Reality TV</v>
      </c>
      <c r="N6077" s="7" t="str">
        <f aca="false">IF(B6077="Movie",IFERROR(VALUE(LEFT(I6077,FIND(" ",I6077)-1)),""),"")</f>
        <v/>
      </c>
      <c r="O6077" s="7" t="n">
        <f aca="false">IF(B6077="TV Show",IFERROR(VALUE(LEFT(I6077,FIND(" ",I6077)-1)),""),"")</f>
        <v>3</v>
      </c>
      <c r="P6077" s="7" t="n">
        <f aca="false">IF(K6077="","",K6077-G6077)</f>
        <v>0</v>
      </c>
    </row>
    <row r="6078" customFormat="false" ht="15" hidden="false" customHeight="false" outlineLevel="0" collapsed="false">
      <c r="A6078" s="7" t="n">
        <v>70142362</v>
      </c>
      <c r="B6078" s="7" t="s">
        <v>78</v>
      </c>
      <c r="C6078" s="7" t="s">
        <v>12005</v>
      </c>
      <c r="E6078" s="7" t="s">
        <v>26</v>
      </c>
      <c r="F6078" s="7" t="s">
        <v>12006</v>
      </c>
      <c r="G6078" s="7" t="n">
        <v>2015</v>
      </c>
      <c r="H6078" s="7" t="s">
        <v>48</v>
      </c>
      <c r="I6078" s="7" t="s">
        <v>11152</v>
      </c>
      <c r="J6078" s="7" t="s">
        <v>502</v>
      </c>
      <c r="K6078" s="7" t="n">
        <f aca="false">IFERROR(VALUE(RIGHT(TRIM(F6078),4)),"")</f>
        <v>2015</v>
      </c>
      <c r="L6078" s="7" t="str">
        <f aca="false">IF(TRIM(E6078)="","Unknown",IFERROR(LEFT(TRIM(E6078),FIND(",",TRIM(E6078))-1),TRIM(E6078)))</f>
        <v>United States</v>
      </c>
      <c r="M6078" s="7" t="str">
        <f aca="false">IFERROR(LEFT(J6078,FIND(",",J6078)-1),J6078)</f>
        <v>TV Comedies</v>
      </c>
      <c r="N6078" s="7" t="str">
        <f aca="false">IF(B6078="Movie",IFERROR(VALUE(LEFT(I6078,FIND(" ",I6078)-1)),""),"")</f>
        <v/>
      </c>
      <c r="O6078" s="7" t="n">
        <f aca="false">IF(B6078="TV Show",IFERROR(VALUE(LEFT(I6078,FIND(" ",I6078)-1)),""),"")</f>
        <v>7</v>
      </c>
      <c r="P6078" s="7" t="n">
        <f aca="false">IF(K6078="","",K6078-G6078)</f>
        <v>0</v>
      </c>
    </row>
    <row r="6079" customFormat="false" ht="15" hidden="false" customHeight="false" outlineLevel="0" collapsed="false">
      <c r="A6079" s="7" t="n">
        <v>80174285</v>
      </c>
      <c r="B6079" s="7" t="s">
        <v>78</v>
      </c>
      <c r="C6079" s="7" t="s">
        <v>12007</v>
      </c>
      <c r="E6079" s="7" t="s">
        <v>26</v>
      </c>
      <c r="F6079" s="7" t="s">
        <v>12008</v>
      </c>
      <c r="G6079" s="7" t="n">
        <v>2018</v>
      </c>
      <c r="H6079" s="7" t="s">
        <v>55</v>
      </c>
      <c r="I6079" s="7" t="s">
        <v>11132</v>
      </c>
      <c r="J6079" s="7" t="s">
        <v>191</v>
      </c>
      <c r="K6079" s="7" t="n">
        <f aca="false">IFERROR(VALUE(RIGHT(TRIM(F6079),4)),"")</f>
        <v>2019</v>
      </c>
      <c r="L6079" s="7" t="str">
        <f aca="false">IF(TRIM(E6079)="","Unknown",IFERROR(LEFT(TRIM(E6079),FIND(",",TRIM(E6079))-1),TRIM(E6079)))</f>
        <v>United States</v>
      </c>
      <c r="M6079" s="7" t="str">
        <f aca="false">IFERROR(LEFT(J6079,FIND(",",J6079)-1),J6079)</f>
        <v>Kids' TV</v>
      </c>
      <c r="N6079" s="7" t="str">
        <f aca="false">IF(B6079="Movie",IFERROR(VALUE(LEFT(I6079,FIND(" ",I6079)-1)),""),"")</f>
        <v/>
      </c>
      <c r="O6079" s="7" t="n">
        <f aca="false">IF(B6079="TV Show",IFERROR(VALUE(LEFT(I6079,FIND(" ",I6079)-1)),""),"")</f>
        <v>2</v>
      </c>
      <c r="P6079" s="7" t="n">
        <f aca="false">IF(K6079="","",K6079-G6079)</f>
        <v>1</v>
      </c>
    </row>
    <row r="6080" customFormat="false" ht="15" hidden="false" customHeight="false" outlineLevel="0" collapsed="false">
      <c r="A6080" s="7" t="n">
        <v>80094603</v>
      </c>
      <c r="B6080" s="7" t="s">
        <v>78</v>
      </c>
      <c r="C6080" s="7" t="s">
        <v>12009</v>
      </c>
      <c r="E6080" s="7" t="s">
        <v>29</v>
      </c>
      <c r="F6080" s="7" t="s">
        <v>12010</v>
      </c>
      <c r="G6080" s="7" t="n">
        <v>2016</v>
      </c>
      <c r="H6080" s="7" t="s">
        <v>50</v>
      </c>
      <c r="I6080" s="7" t="s">
        <v>11148</v>
      </c>
      <c r="J6080" s="7" t="s">
        <v>701</v>
      </c>
      <c r="K6080" s="7" t="n">
        <f aca="false">IFERROR(VALUE(RIGHT(TRIM(F6080),4)),"")</f>
        <v>2019</v>
      </c>
      <c r="L6080" s="7" t="str">
        <f aca="false">IF(TRIM(E6080)="","Unknown",IFERROR(LEFT(TRIM(E6080),FIND(",",TRIM(E6080))-1),TRIM(E6080)))</f>
        <v>Canada</v>
      </c>
      <c r="M6080" s="7" t="str">
        <f aca="false">IFERROR(LEFT(J6080,FIND(",",J6080)-1),J6080)</f>
        <v>Reality TV</v>
      </c>
      <c r="N6080" s="7" t="str">
        <f aca="false">IF(B6080="Movie",IFERROR(VALUE(LEFT(I6080,FIND(" ",I6080)-1)),""),"")</f>
        <v/>
      </c>
      <c r="O6080" s="7" t="n">
        <f aca="false">IF(B6080="TV Show",IFERROR(VALUE(LEFT(I6080,FIND(" ",I6080)-1)),""),"")</f>
        <v>3</v>
      </c>
      <c r="P6080" s="7" t="n">
        <f aca="false">IF(K6080="","",K6080-G6080)</f>
        <v>3</v>
      </c>
    </row>
    <row r="6081" customFormat="false" ht="15" hidden="false" customHeight="false" outlineLevel="0" collapsed="false">
      <c r="A6081" s="7" t="n">
        <v>81029884</v>
      </c>
      <c r="B6081" s="7" t="s">
        <v>78</v>
      </c>
      <c r="C6081" s="7" t="s">
        <v>12011</v>
      </c>
      <c r="E6081" s="7" t="s">
        <v>32</v>
      </c>
      <c r="F6081" s="7" t="s">
        <v>12012</v>
      </c>
      <c r="G6081" s="7" t="n">
        <v>2018</v>
      </c>
      <c r="H6081" s="7" t="s">
        <v>49</v>
      </c>
      <c r="I6081" s="7" t="s">
        <v>11132</v>
      </c>
      <c r="J6081" s="7" t="s">
        <v>1231</v>
      </c>
      <c r="K6081" s="7" t="n">
        <f aca="false">IFERROR(VALUE(RIGHT(TRIM(F6081),4)),"")</f>
        <v>2018</v>
      </c>
      <c r="L6081" s="7" t="str">
        <f aca="false">IF(TRIM(E6081)="","Unknown",IFERROR(LEFT(TRIM(E6081),FIND(",",TRIM(E6081))-1),TRIM(E6081)))</f>
        <v>South Korea</v>
      </c>
      <c r="M6081" s="7" t="str">
        <f aca="false">IFERROR(LEFT(J6081,FIND(",",J6081)-1),J6081)</f>
        <v>International TV Shows</v>
      </c>
      <c r="N6081" s="7" t="str">
        <f aca="false">IF(B6081="Movie",IFERROR(VALUE(LEFT(I6081,FIND(" ",I6081)-1)),""),"")</f>
        <v/>
      </c>
      <c r="O6081" s="7" t="n">
        <f aca="false">IF(B6081="TV Show",IFERROR(VALUE(LEFT(I6081,FIND(" ",I6081)-1)),""),"")</f>
        <v>2</v>
      </c>
      <c r="P6081" s="7" t="n">
        <f aca="false">IF(K6081="","",K6081-G6081)</f>
        <v>0</v>
      </c>
    </row>
    <row r="6082" customFormat="false" ht="15" hidden="false" customHeight="false" outlineLevel="0" collapsed="false">
      <c r="A6082" s="7" t="n">
        <v>80063989</v>
      </c>
      <c r="B6082" s="7" t="s">
        <v>78</v>
      </c>
      <c r="C6082" s="7" t="s">
        <v>12013</v>
      </c>
      <c r="E6082" s="7" t="s">
        <v>29</v>
      </c>
      <c r="F6082" s="7" t="s">
        <v>12014</v>
      </c>
      <c r="G6082" s="7" t="n">
        <v>2016</v>
      </c>
      <c r="H6082" s="7" t="s">
        <v>226</v>
      </c>
      <c r="I6082" s="7" t="s">
        <v>11132</v>
      </c>
      <c r="J6082" s="7" t="s">
        <v>7233</v>
      </c>
      <c r="K6082" s="7" t="n">
        <f aca="false">IFERROR(VALUE(RIGHT(TRIM(F6082),4)),"")</f>
        <v>2016</v>
      </c>
      <c r="L6082" s="7" t="str">
        <f aca="false">IF(TRIM(E6082)="","Unknown",IFERROR(LEFT(TRIM(E6082),FIND(",",TRIM(E6082))-1),TRIM(E6082)))</f>
        <v>Canada</v>
      </c>
      <c r="M6082" s="7" t="str">
        <f aca="false">IFERROR(LEFT(J6082,FIND(",",J6082)-1),J6082)</f>
        <v>Kids' TV</v>
      </c>
      <c r="N6082" s="7" t="str">
        <f aca="false">IF(B6082="Movie",IFERROR(VALUE(LEFT(I6082,FIND(" ",I6082)-1)),""),"")</f>
        <v/>
      </c>
      <c r="O6082" s="7" t="n">
        <f aca="false">IF(B6082="TV Show",IFERROR(VALUE(LEFT(I6082,FIND(" ",I6082)-1)),""),"")</f>
        <v>2</v>
      </c>
      <c r="P6082" s="7" t="n">
        <f aca="false">IF(K6082="","",K6082-G6082)</f>
        <v>0</v>
      </c>
    </row>
    <row r="6083" customFormat="false" ht="15" hidden="false" customHeight="false" outlineLevel="0" collapsed="false">
      <c r="A6083" s="7" t="n">
        <v>80036407</v>
      </c>
      <c r="B6083" s="7" t="s">
        <v>78</v>
      </c>
      <c r="C6083" s="7" t="s">
        <v>12015</v>
      </c>
      <c r="E6083" s="7" t="s">
        <v>26</v>
      </c>
      <c r="F6083" s="7" t="s">
        <v>12016</v>
      </c>
      <c r="G6083" s="7" t="n">
        <v>2017</v>
      </c>
      <c r="H6083" s="7" t="s">
        <v>226</v>
      </c>
      <c r="I6083" s="7" t="s">
        <v>11135</v>
      </c>
      <c r="J6083" s="7" t="s">
        <v>2704</v>
      </c>
      <c r="K6083" s="7" t="n">
        <f aca="false">IFERROR(VALUE(RIGHT(TRIM(F6083),4)),"")</f>
        <v>2018</v>
      </c>
      <c r="L6083" s="7" t="str">
        <f aca="false">IF(TRIM(E6083)="","Unknown",IFERROR(LEFT(TRIM(E6083),FIND(",",TRIM(E6083))-1),TRIM(E6083)))</f>
        <v>United States</v>
      </c>
      <c r="M6083" s="7" t="str">
        <f aca="false">IFERROR(LEFT(J6083,FIND(",",J6083)-1),J6083)</f>
        <v>TV Dramas</v>
      </c>
      <c r="N6083" s="7" t="str">
        <f aca="false">IF(B6083="Movie",IFERROR(VALUE(LEFT(I6083,FIND(" ",I6083)-1)),""),"")</f>
        <v/>
      </c>
      <c r="O6083" s="7" t="n">
        <f aca="false">IF(B6083="TV Show",IFERROR(VALUE(LEFT(I6083,FIND(" ",I6083)-1)),""),"")</f>
        <v>5</v>
      </c>
      <c r="P6083" s="7" t="n">
        <f aca="false">IF(K6083="","",K6083-G6083)</f>
        <v>1</v>
      </c>
    </row>
    <row r="6084" customFormat="false" ht="15" hidden="false" customHeight="false" outlineLevel="0" collapsed="false">
      <c r="A6084" s="7" t="n">
        <v>70269429</v>
      </c>
      <c r="B6084" s="7" t="s">
        <v>78</v>
      </c>
      <c r="C6084" s="7" t="s">
        <v>12017</v>
      </c>
      <c r="E6084" s="7" t="s">
        <v>26</v>
      </c>
      <c r="F6084" s="7" t="s">
        <v>12018</v>
      </c>
      <c r="G6084" s="7" t="n">
        <v>2016</v>
      </c>
      <c r="H6084" s="7" t="s">
        <v>49</v>
      </c>
      <c r="I6084" s="7" t="s">
        <v>11135</v>
      </c>
      <c r="J6084" s="7" t="s">
        <v>795</v>
      </c>
      <c r="K6084" s="7" t="n">
        <f aca="false">IFERROR(VALUE(RIGHT(TRIM(F6084),4)),"")</f>
        <v>2016</v>
      </c>
      <c r="L6084" s="7" t="str">
        <f aca="false">IF(TRIM(E6084)="","Unknown",IFERROR(LEFT(TRIM(E6084),FIND(",",TRIM(E6084))-1),TRIM(E6084)))</f>
        <v>United States</v>
      </c>
      <c r="M6084" s="7" t="str">
        <f aca="false">IFERROR(LEFT(J6084,FIND(",",J6084)-1),J6084)</f>
        <v>Stand-Up Comedy &amp; Talk Shows</v>
      </c>
      <c r="N6084" s="7" t="str">
        <f aca="false">IF(B6084="Movie",IFERROR(VALUE(LEFT(I6084,FIND(" ",I6084)-1)),""),"")</f>
        <v/>
      </c>
      <c r="O6084" s="7" t="n">
        <f aca="false">IF(B6084="TV Show",IFERROR(VALUE(LEFT(I6084,FIND(" ",I6084)-1)),""),"")</f>
        <v>5</v>
      </c>
      <c r="P6084" s="7" t="n">
        <f aca="false">IF(K6084="","",K6084-G6084)</f>
        <v>0</v>
      </c>
    </row>
    <row r="6085" customFormat="false" ht="15" hidden="false" customHeight="false" outlineLevel="0" collapsed="false">
      <c r="A6085" s="7" t="n">
        <v>80043576</v>
      </c>
      <c r="B6085" s="7" t="s">
        <v>78</v>
      </c>
      <c r="C6085" s="7" t="s">
        <v>12019</v>
      </c>
      <c r="E6085" s="7" t="s">
        <v>30</v>
      </c>
      <c r="F6085" s="7" t="s">
        <v>12020</v>
      </c>
      <c r="G6085" s="7" t="n">
        <v>2016</v>
      </c>
      <c r="H6085" s="7" t="s">
        <v>48</v>
      </c>
      <c r="I6085" s="7" t="s">
        <v>11132</v>
      </c>
      <c r="J6085" s="7" t="s">
        <v>542</v>
      </c>
      <c r="K6085" s="7" t="n">
        <f aca="false">IFERROR(VALUE(RIGHT(TRIM(F6085),4)),"")</f>
        <v>2016</v>
      </c>
      <c r="L6085" s="7" t="str">
        <f aca="false">IF(TRIM(E6085)="","Unknown",IFERROR(LEFT(TRIM(E6085),FIND(",",TRIM(E6085))-1),TRIM(E6085)))</f>
        <v>Japan</v>
      </c>
      <c r="M6085" s="7" t="str">
        <f aca="false">IFERROR(LEFT(J6085,FIND(",",J6085)-1),J6085)</f>
        <v>Anime Series</v>
      </c>
      <c r="N6085" s="7" t="str">
        <f aca="false">IF(B6085="Movie",IFERROR(VALUE(LEFT(I6085,FIND(" ",I6085)-1)),""),"")</f>
        <v/>
      </c>
      <c r="O6085" s="7" t="n">
        <f aca="false">IF(B6085="TV Show",IFERROR(VALUE(LEFT(I6085,FIND(" ",I6085)-1)),""),"")</f>
        <v>2</v>
      </c>
      <c r="P6085" s="7" t="n">
        <f aca="false">IF(K6085="","",K6085-G6085)</f>
        <v>0</v>
      </c>
    </row>
    <row r="6086" customFormat="false" ht="15" hidden="false" customHeight="false" outlineLevel="0" collapsed="false">
      <c r="A6086" s="7" t="n">
        <v>70157152</v>
      </c>
      <c r="B6086" s="7" t="s">
        <v>78</v>
      </c>
      <c r="C6086" s="7" t="s">
        <v>12021</v>
      </c>
      <c r="E6086" s="7" t="s">
        <v>26</v>
      </c>
      <c r="F6086" s="7" t="s">
        <v>12022</v>
      </c>
      <c r="G6086" s="7" t="n">
        <v>2005</v>
      </c>
      <c r="H6086" s="7" t="s">
        <v>49</v>
      </c>
      <c r="I6086" s="7" t="s">
        <v>11152</v>
      </c>
      <c r="J6086" s="7" t="s">
        <v>2704</v>
      </c>
      <c r="K6086" s="7" t="n">
        <f aca="false">IFERROR(VALUE(RIGHT(TRIM(F6086),4)),"")</f>
        <v>2015</v>
      </c>
      <c r="L6086" s="7" t="str">
        <f aca="false">IF(TRIM(E6086)="","Unknown",IFERROR(LEFT(TRIM(E6086),FIND(",",TRIM(E6086))-1),TRIM(E6086)))</f>
        <v>United States</v>
      </c>
      <c r="M6086" s="7" t="str">
        <f aca="false">IFERROR(LEFT(J6086,FIND(",",J6086)-1),J6086)</f>
        <v>TV Dramas</v>
      </c>
      <c r="N6086" s="7" t="str">
        <f aca="false">IF(B6086="Movie",IFERROR(VALUE(LEFT(I6086,FIND(" ",I6086)-1)),""),"")</f>
        <v/>
      </c>
      <c r="O6086" s="7" t="n">
        <f aca="false">IF(B6086="TV Show",IFERROR(VALUE(LEFT(I6086,FIND(" ",I6086)-1)),""),"")</f>
        <v>7</v>
      </c>
      <c r="P6086" s="7" t="n">
        <f aca="false">IF(K6086="","",K6086-G6086)</f>
        <v>10</v>
      </c>
    </row>
    <row r="6087" customFormat="false" ht="15" hidden="false" customHeight="false" outlineLevel="0" collapsed="false">
      <c r="A6087" s="7" t="n">
        <v>70296346</v>
      </c>
      <c r="B6087" s="7" t="s">
        <v>78</v>
      </c>
      <c r="C6087" s="7" t="s">
        <v>12023</v>
      </c>
      <c r="E6087" s="7" t="s">
        <v>12024</v>
      </c>
      <c r="F6087" s="7" t="s">
        <v>12025</v>
      </c>
      <c r="G6087" s="7" t="n">
        <v>2018</v>
      </c>
      <c r="H6087" s="7" t="s">
        <v>49</v>
      </c>
      <c r="I6087" s="7" t="s">
        <v>11198</v>
      </c>
      <c r="J6087" s="7" t="s">
        <v>11772</v>
      </c>
      <c r="K6087" s="7" t="n">
        <f aca="false">IFERROR(VALUE(RIGHT(TRIM(F6087),4)),"")</f>
        <v>2018</v>
      </c>
      <c r="L6087" s="7" t="str">
        <f aca="false">IF(TRIM(E6087)="","Unknown",IFERROR(LEFT(TRIM(E6087),FIND(",",TRIM(E6087))-1),TRIM(E6087)))</f>
        <v>United States</v>
      </c>
      <c r="M6087" s="7" t="str">
        <f aca="false">IFERROR(LEFT(J6087,FIND(",",J6087)-1),J6087)</f>
        <v>Crime TV Shows</v>
      </c>
      <c r="N6087" s="7" t="str">
        <f aca="false">IF(B6087="Movie",IFERROR(VALUE(LEFT(I6087,FIND(" ",I6087)-1)),""),"")</f>
        <v/>
      </c>
      <c r="O6087" s="7" t="n">
        <f aca="false">IF(B6087="TV Show",IFERROR(VALUE(LEFT(I6087,FIND(" ",I6087)-1)),""),"")</f>
        <v>6</v>
      </c>
      <c r="P6087" s="7" t="n">
        <f aca="false">IF(K6087="","",K6087-G6087)</f>
        <v>0</v>
      </c>
    </row>
    <row r="6088" customFormat="false" ht="15" hidden="false" customHeight="false" outlineLevel="0" collapsed="false">
      <c r="A6088" s="7" t="n">
        <v>80990464</v>
      </c>
      <c r="B6088" s="7" t="s">
        <v>78</v>
      </c>
      <c r="C6088" s="16" t="s">
        <v>12026</v>
      </c>
      <c r="E6088" s="7" t="s">
        <v>30</v>
      </c>
      <c r="F6088" s="7" t="s">
        <v>12025</v>
      </c>
      <c r="G6088" s="7" t="n">
        <v>2012</v>
      </c>
      <c r="H6088" s="7" t="s">
        <v>55</v>
      </c>
      <c r="I6088" s="7" t="s">
        <v>11132</v>
      </c>
      <c r="J6088" s="7" t="s">
        <v>694</v>
      </c>
      <c r="K6088" s="7" t="n">
        <f aca="false">IFERROR(VALUE(RIGHT(TRIM(F6088),4)),"")</f>
        <v>2018</v>
      </c>
      <c r="L6088" s="7" t="str">
        <f aca="false">IF(TRIM(E6088)="","Unknown",IFERROR(LEFT(TRIM(E6088),FIND(",",TRIM(E6088))-1),TRIM(E6088)))</f>
        <v>Japan</v>
      </c>
      <c r="M6088" s="7" t="str">
        <f aca="false">IFERROR(LEFT(J6088,FIND(",",J6088)-1),J6088)</f>
        <v>Anime Series</v>
      </c>
      <c r="N6088" s="7" t="str">
        <f aca="false">IF(B6088="Movie",IFERROR(VALUE(LEFT(I6088,FIND(" ",I6088)-1)),""),"")</f>
        <v/>
      </c>
      <c r="O6088" s="7" t="n">
        <f aca="false">IF(B6088="TV Show",IFERROR(VALUE(LEFT(I6088,FIND(" ",I6088)-1)),""),"")</f>
        <v>2</v>
      </c>
      <c r="P6088" s="7" t="n">
        <f aca="false">IF(K6088="","",K6088-G6088)</f>
        <v>6</v>
      </c>
    </row>
    <row r="6089" customFormat="false" ht="15" hidden="false" customHeight="false" outlineLevel="0" collapsed="false">
      <c r="A6089" s="7" t="n">
        <v>80025744</v>
      </c>
      <c r="B6089" s="7" t="s">
        <v>78</v>
      </c>
      <c r="C6089" s="7" t="s">
        <v>12027</v>
      </c>
      <c r="E6089" s="7" t="s">
        <v>26</v>
      </c>
      <c r="F6089" s="7" t="s">
        <v>12028</v>
      </c>
      <c r="G6089" s="7" t="n">
        <v>2018</v>
      </c>
      <c r="H6089" s="7" t="s">
        <v>48</v>
      </c>
      <c r="I6089" s="7" t="s">
        <v>11132</v>
      </c>
      <c r="J6089" s="7" t="s">
        <v>10792</v>
      </c>
      <c r="K6089" s="7" t="n">
        <f aca="false">IFERROR(VALUE(RIGHT(TRIM(F6089),4)),"")</f>
        <v>2016</v>
      </c>
      <c r="L6089" s="7" t="str">
        <f aca="false">IF(TRIM(E6089)="","Unknown",IFERROR(LEFT(TRIM(E6089),FIND(",",TRIM(E6089))-1),TRIM(E6089)))</f>
        <v>United States</v>
      </c>
      <c r="M6089" s="7" t="str">
        <f aca="false">IFERROR(LEFT(J6089,FIND(",",J6089)-1),J6089)</f>
        <v>TV Dramas</v>
      </c>
      <c r="N6089" s="7" t="str">
        <f aca="false">IF(B6089="Movie",IFERROR(VALUE(LEFT(I6089,FIND(" ",I6089)-1)),""),"")</f>
        <v/>
      </c>
      <c r="O6089" s="7" t="n">
        <f aca="false">IF(B6089="TV Show",IFERROR(VALUE(LEFT(I6089,FIND(" ",I6089)-1)),""),"")</f>
        <v>2</v>
      </c>
      <c r="P6089" s="7" t="n">
        <f aca="false">IF(K6089="","",K6089-G6089)</f>
        <v>-2</v>
      </c>
    </row>
    <row r="6090" customFormat="false" ht="15" hidden="false" customHeight="false" outlineLevel="0" collapsed="false">
      <c r="A6090" s="7" t="n">
        <v>70157294</v>
      </c>
      <c r="B6090" s="7" t="s">
        <v>78</v>
      </c>
      <c r="C6090" s="7" t="s">
        <v>12029</v>
      </c>
      <c r="E6090" s="7" t="s">
        <v>26</v>
      </c>
      <c r="F6090" s="7" t="s">
        <v>12030</v>
      </c>
      <c r="G6090" s="7" t="n">
        <v>2012</v>
      </c>
      <c r="H6090" s="7" t="s">
        <v>49</v>
      </c>
      <c r="I6090" s="7" t="s">
        <v>11198</v>
      </c>
      <c r="J6090" s="7" t="s">
        <v>502</v>
      </c>
      <c r="K6090" s="7" t="n">
        <f aca="false">IFERROR(VALUE(RIGHT(TRIM(F6090),4)),"")</f>
        <v>2019</v>
      </c>
      <c r="L6090" s="7" t="str">
        <f aca="false">IF(TRIM(E6090)="","Unknown",IFERROR(LEFT(TRIM(E6090),FIND(",",TRIM(E6090))-1),TRIM(E6090)))</f>
        <v>United States</v>
      </c>
      <c r="M6090" s="7" t="str">
        <f aca="false">IFERROR(LEFT(J6090,FIND(",",J6090)-1),J6090)</f>
        <v>TV Comedies</v>
      </c>
      <c r="N6090" s="7" t="str">
        <f aca="false">IF(B6090="Movie",IFERROR(VALUE(LEFT(I6090,FIND(" ",I6090)-1)),""),"")</f>
        <v/>
      </c>
      <c r="O6090" s="7" t="n">
        <f aca="false">IF(B6090="TV Show",IFERROR(VALUE(LEFT(I6090,FIND(" ",I6090)-1)),""),"")</f>
        <v>6</v>
      </c>
      <c r="P6090" s="7" t="n">
        <f aca="false">IF(K6090="","",K6090-G6090)</f>
        <v>7</v>
      </c>
    </row>
    <row r="6091" customFormat="false" ht="15" hidden="false" customHeight="false" outlineLevel="0" collapsed="false">
      <c r="A6091" s="7" t="n">
        <v>80125291</v>
      </c>
      <c r="B6091" s="7" t="s">
        <v>78</v>
      </c>
      <c r="C6091" s="7" t="s">
        <v>12031</v>
      </c>
      <c r="E6091" s="7" t="s">
        <v>28</v>
      </c>
      <c r="F6091" s="7" t="s">
        <v>12032</v>
      </c>
      <c r="G6091" s="7" t="n">
        <v>2018</v>
      </c>
      <c r="H6091" s="7" t="s">
        <v>48</v>
      </c>
      <c r="I6091" s="7" t="s">
        <v>11135</v>
      </c>
      <c r="J6091" s="7" t="s">
        <v>1612</v>
      </c>
      <c r="K6091" s="7" t="n">
        <f aca="false">IFERROR(VALUE(RIGHT(TRIM(F6091),4)),"")</f>
        <v>2018</v>
      </c>
      <c r="L6091" s="7" t="str">
        <f aca="false">IF(TRIM(E6091)="","Unknown",IFERROR(LEFT(TRIM(E6091),FIND(",",TRIM(E6091))-1),TRIM(E6091)))</f>
        <v>United Kingdom</v>
      </c>
      <c r="M6091" s="7" t="str">
        <f aca="false">IFERROR(LEFT(J6091,FIND(",",J6091)-1),J6091)</f>
        <v>British TV Shows</v>
      </c>
      <c r="N6091" s="7" t="str">
        <f aca="false">IF(B6091="Movie",IFERROR(VALUE(LEFT(I6091,FIND(" ",I6091)-1)),""),"")</f>
        <v/>
      </c>
      <c r="O6091" s="7" t="n">
        <f aca="false">IF(B6091="TV Show",IFERROR(VALUE(LEFT(I6091,FIND(" ",I6091)-1)),""),"")</f>
        <v>5</v>
      </c>
      <c r="P6091" s="7" t="n">
        <f aca="false">IF(K6091="","",K6091-G6091)</f>
        <v>0</v>
      </c>
    </row>
    <row r="6092" customFormat="false" ht="15" hidden="false" customHeight="false" outlineLevel="0" collapsed="false">
      <c r="A6092" s="7" t="n">
        <v>80221272</v>
      </c>
      <c r="B6092" s="7" t="s">
        <v>78</v>
      </c>
      <c r="C6092" s="7" t="s">
        <v>12033</v>
      </c>
      <c r="E6092" s="7" t="s">
        <v>30</v>
      </c>
      <c r="F6092" s="7" t="s">
        <v>12034</v>
      </c>
      <c r="G6092" s="7" t="n">
        <v>2018</v>
      </c>
      <c r="H6092" s="7" t="s">
        <v>49</v>
      </c>
      <c r="I6092" s="7" t="s">
        <v>11132</v>
      </c>
      <c r="J6092" s="7" t="s">
        <v>542</v>
      </c>
      <c r="K6092" s="7" t="n">
        <f aca="false">IFERROR(VALUE(RIGHT(TRIM(F6092),4)),"")</f>
        <v>2018</v>
      </c>
      <c r="L6092" s="7" t="str">
        <f aca="false">IF(TRIM(E6092)="","Unknown",IFERROR(LEFT(TRIM(E6092),FIND(",",TRIM(E6092))-1),TRIM(E6092)))</f>
        <v>Japan</v>
      </c>
      <c r="M6092" s="7" t="str">
        <f aca="false">IFERROR(LEFT(J6092,FIND(",",J6092)-1),J6092)</f>
        <v>Anime Series</v>
      </c>
      <c r="N6092" s="7" t="str">
        <f aca="false">IF(B6092="Movie",IFERROR(VALUE(LEFT(I6092,FIND(" ",I6092)-1)),""),"")</f>
        <v/>
      </c>
      <c r="O6092" s="7" t="n">
        <f aca="false">IF(B6092="TV Show",IFERROR(VALUE(LEFT(I6092,FIND(" ",I6092)-1)),""),"")</f>
        <v>2</v>
      </c>
      <c r="P6092" s="7" t="n">
        <f aca="false">IF(K6092="","",K6092-G6092)</f>
        <v>0</v>
      </c>
    </row>
    <row r="6093" customFormat="false" ht="15" hidden="false" customHeight="false" outlineLevel="0" collapsed="false">
      <c r="A6093" s="7" t="n">
        <v>80040330</v>
      </c>
      <c r="B6093" s="7" t="s">
        <v>78</v>
      </c>
      <c r="C6093" s="7" t="s">
        <v>12035</v>
      </c>
      <c r="E6093" s="7" t="s">
        <v>30</v>
      </c>
      <c r="F6093" s="7" t="s">
        <v>12036</v>
      </c>
      <c r="G6093" s="7" t="n">
        <v>2015</v>
      </c>
      <c r="H6093" s="7" t="s">
        <v>48</v>
      </c>
      <c r="I6093" s="7" t="s">
        <v>11132</v>
      </c>
      <c r="J6093" s="7" t="s">
        <v>542</v>
      </c>
      <c r="K6093" s="7" t="n">
        <f aca="false">IFERROR(VALUE(RIGHT(TRIM(F6093),4)),"")</f>
        <v>2018</v>
      </c>
      <c r="L6093" s="7" t="str">
        <f aca="false">IF(TRIM(E6093)="","Unknown",IFERROR(LEFT(TRIM(E6093),FIND(",",TRIM(E6093))-1),TRIM(E6093)))</f>
        <v>Japan</v>
      </c>
      <c r="M6093" s="7" t="str">
        <f aca="false">IFERROR(LEFT(J6093,FIND(",",J6093)-1),J6093)</f>
        <v>Anime Series</v>
      </c>
      <c r="N6093" s="7" t="str">
        <f aca="false">IF(B6093="Movie",IFERROR(VALUE(LEFT(I6093,FIND(" ",I6093)-1)),""),"")</f>
        <v/>
      </c>
      <c r="O6093" s="7" t="n">
        <f aca="false">IF(B6093="TV Show",IFERROR(VALUE(LEFT(I6093,FIND(" ",I6093)-1)),""),"")</f>
        <v>2</v>
      </c>
      <c r="P6093" s="7" t="n">
        <f aca="false">IF(K6093="","",K6093-G6093)</f>
        <v>3</v>
      </c>
    </row>
    <row r="6094" customFormat="false" ht="15" hidden="false" customHeight="false" outlineLevel="0" collapsed="false">
      <c r="A6094" s="7" t="n">
        <v>80157752</v>
      </c>
      <c r="B6094" s="7" t="s">
        <v>78</v>
      </c>
      <c r="C6094" s="7" t="s">
        <v>12037</v>
      </c>
      <c r="E6094" s="7" t="s">
        <v>28</v>
      </c>
      <c r="F6094" s="7" t="s">
        <v>12038</v>
      </c>
      <c r="G6094" s="7" t="n">
        <v>2017</v>
      </c>
      <c r="H6094" s="7" t="s">
        <v>49</v>
      </c>
      <c r="I6094" s="7" t="s">
        <v>11132</v>
      </c>
      <c r="J6094" s="7" t="s">
        <v>1612</v>
      </c>
      <c r="K6094" s="7" t="n">
        <f aca="false">IFERROR(VALUE(RIGHT(TRIM(F6094),4)),"")</f>
        <v>2017</v>
      </c>
      <c r="L6094" s="7" t="str">
        <f aca="false">IF(TRIM(E6094)="","Unknown",IFERROR(LEFT(TRIM(E6094),FIND(",",TRIM(E6094))-1),TRIM(E6094)))</f>
        <v>United Kingdom</v>
      </c>
      <c r="M6094" s="7" t="str">
        <f aca="false">IFERROR(LEFT(J6094,FIND(",",J6094)-1),J6094)</f>
        <v>British TV Shows</v>
      </c>
      <c r="N6094" s="7" t="str">
        <f aca="false">IF(B6094="Movie",IFERROR(VALUE(LEFT(I6094,FIND(" ",I6094)-1)),""),"")</f>
        <v/>
      </c>
      <c r="O6094" s="7" t="n">
        <f aca="false">IF(B6094="TV Show",IFERROR(VALUE(LEFT(I6094,FIND(" ",I6094)-1)),""),"")</f>
        <v>2</v>
      </c>
      <c r="P6094" s="7" t="n">
        <f aca="false">IF(K6094="","",K6094-G6094)</f>
        <v>0</v>
      </c>
    </row>
    <row r="6095" customFormat="false" ht="15" hidden="false" customHeight="false" outlineLevel="0" collapsed="false">
      <c r="A6095" s="7" t="n">
        <v>80128686</v>
      </c>
      <c r="B6095" s="7" t="s">
        <v>78</v>
      </c>
      <c r="C6095" s="7" t="s">
        <v>12039</v>
      </c>
      <c r="E6095" s="7" t="s">
        <v>32</v>
      </c>
      <c r="F6095" s="7" t="s">
        <v>12040</v>
      </c>
      <c r="G6095" s="7" t="n">
        <v>2017</v>
      </c>
      <c r="H6095" s="7" t="s">
        <v>49</v>
      </c>
      <c r="I6095" s="7" t="s">
        <v>11132</v>
      </c>
      <c r="J6095" s="7" t="s">
        <v>637</v>
      </c>
      <c r="K6095" s="7" t="n">
        <f aca="false">IFERROR(VALUE(RIGHT(TRIM(F6095),4)),"")</f>
        <v>2017</v>
      </c>
      <c r="L6095" s="7" t="str">
        <f aca="false">IF(TRIM(E6095)="","Unknown",IFERROR(LEFT(TRIM(E6095),FIND(",",TRIM(E6095))-1),TRIM(E6095)))</f>
        <v>South Korea</v>
      </c>
      <c r="M6095" s="7" t="str">
        <f aca="false">IFERROR(LEFT(J6095,FIND(",",J6095)-1),J6095)</f>
        <v>International TV Shows</v>
      </c>
      <c r="N6095" s="7" t="str">
        <f aca="false">IF(B6095="Movie",IFERROR(VALUE(LEFT(I6095,FIND(" ",I6095)-1)),""),"")</f>
        <v/>
      </c>
      <c r="O6095" s="7" t="n">
        <f aca="false">IF(B6095="TV Show",IFERROR(VALUE(LEFT(I6095,FIND(" ",I6095)-1)),""),"")</f>
        <v>2</v>
      </c>
      <c r="P6095" s="7" t="n">
        <f aca="false">IF(K6095="","",K6095-G6095)</f>
        <v>0</v>
      </c>
    </row>
    <row r="6096" customFormat="false" ht="15" hidden="false" customHeight="false" outlineLevel="0" collapsed="false">
      <c r="A6096" s="7" t="n">
        <v>80023876</v>
      </c>
      <c r="B6096" s="7" t="s">
        <v>78</v>
      </c>
      <c r="C6096" s="7" t="s">
        <v>12041</v>
      </c>
      <c r="E6096" s="7" t="s">
        <v>26</v>
      </c>
      <c r="F6096" s="7" t="s">
        <v>12042</v>
      </c>
      <c r="G6096" s="7" t="n">
        <v>1990</v>
      </c>
      <c r="H6096" s="7" t="s">
        <v>50</v>
      </c>
      <c r="I6096" s="7" t="s">
        <v>11135</v>
      </c>
      <c r="J6096" s="7" t="s">
        <v>12043</v>
      </c>
      <c r="K6096" s="7" t="n">
        <f aca="false">IFERROR(VALUE(RIGHT(TRIM(F6096),4)),"")</f>
        <v>2014</v>
      </c>
      <c r="L6096" s="7" t="str">
        <f aca="false">IF(TRIM(E6096)="","Unknown",IFERROR(LEFT(TRIM(E6096),FIND(",",TRIM(E6096))-1),TRIM(E6096)))</f>
        <v>United States</v>
      </c>
      <c r="M6096" s="7" t="str">
        <f aca="false">IFERROR(LEFT(J6096,FIND(",",J6096)-1),J6096)</f>
        <v>Classic &amp; Cult TV</v>
      </c>
      <c r="N6096" s="7" t="str">
        <f aca="false">IF(B6096="Movie",IFERROR(VALUE(LEFT(I6096,FIND(" ",I6096)-1)),""),"")</f>
        <v/>
      </c>
      <c r="O6096" s="7" t="n">
        <f aca="false">IF(B6096="TV Show",IFERROR(VALUE(LEFT(I6096,FIND(" ",I6096)-1)),""),"")</f>
        <v>5</v>
      </c>
      <c r="P6096" s="7" t="n">
        <f aca="false">IF(K6096="","",K6096-G6096)</f>
        <v>24</v>
      </c>
    </row>
    <row r="6097" customFormat="false" ht="15" hidden="false" customHeight="false" outlineLevel="0" collapsed="false">
      <c r="A6097" s="7" t="n">
        <v>80092801</v>
      </c>
      <c r="B6097" s="7" t="s">
        <v>78</v>
      </c>
      <c r="C6097" s="7" t="s">
        <v>12044</v>
      </c>
      <c r="E6097" s="7" t="s">
        <v>26</v>
      </c>
      <c r="F6097" s="7" t="s">
        <v>12045</v>
      </c>
      <c r="G6097" s="7" t="n">
        <v>2018</v>
      </c>
      <c r="H6097" s="7" t="s">
        <v>48</v>
      </c>
      <c r="I6097" s="7" t="s">
        <v>11148</v>
      </c>
      <c r="J6097" s="7" t="s">
        <v>3714</v>
      </c>
      <c r="K6097" s="7" t="n">
        <f aca="false">IFERROR(VALUE(RIGHT(TRIM(F6097),4)),"")</f>
        <v>2019</v>
      </c>
      <c r="L6097" s="7" t="str">
        <f aca="false">IF(TRIM(E6097)="","Unknown",IFERROR(LEFT(TRIM(E6097),FIND(",",TRIM(E6097))-1),TRIM(E6097)))</f>
        <v>United States</v>
      </c>
      <c r="M6097" s="7" t="str">
        <f aca="false">IFERROR(LEFT(J6097,FIND(",",J6097)-1),J6097)</f>
        <v>TV Dramas</v>
      </c>
      <c r="N6097" s="7" t="str">
        <f aca="false">IF(B6097="Movie",IFERROR(VALUE(LEFT(I6097,FIND(" ",I6097)-1)),""),"")</f>
        <v/>
      </c>
      <c r="O6097" s="7" t="n">
        <f aca="false">IF(B6097="TV Show",IFERROR(VALUE(LEFT(I6097,FIND(" ",I6097)-1)),""),"")</f>
        <v>3</v>
      </c>
      <c r="P6097" s="7" t="n">
        <f aca="false">IF(K6097="","",K6097-G6097)</f>
        <v>1</v>
      </c>
    </row>
    <row r="6098" customFormat="false" ht="15" hidden="false" customHeight="false" outlineLevel="0" collapsed="false">
      <c r="A6098" s="7" t="n">
        <v>81215567</v>
      </c>
      <c r="B6098" s="7" t="s">
        <v>78</v>
      </c>
      <c r="C6098" s="7" t="s">
        <v>12046</v>
      </c>
      <c r="F6098" s="7" t="s">
        <v>12047</v>
      </c>
      <c r="G6098" s="7" t="n">
        <v>2015</v>
      </c>
      <c r="H6098" s="7" t="s">
        <v>119</v>
      </c>
      <c r="I6098" s="7" t="s">
        <v>11132</v>
      </c>
      <c r="J6098" s="7" t="s">
        <v>1686</v>
      </c>
      <c r="K6098" s="7" t="n">
        <f aca="false">IFERROR(VALUE(RIGHT(TRIM(F6098),4)),"")</f>
        <v>2019</v>
      </c>
      <c r="L6098" s="7" t="str">
        <f aca="false">IF(TRIM(E6098)="","Unknown",IFERROR(LEFT(TRIM(E6098),FIND(",",TRIM(E6098))-1),TRIM(E6098)))</f>
        <v>Unknown</v>
      </c>
      <c r="M6098" s="7" t="str">
        <f aca="false">IFERROR(LEFT(J6098,FIND(",",J6098)-1),J6098)</f>
        <v>Kids' TV</v>
      </c>
      <c r="N6098" s="7" t="str">
        <f aca="false">IF(B6098="Movie",IFERROR(VALUE(LEFT(I6098,FIND(" ",I6098)-1)),""),"")</f>
        <v/>
      </c>
      <c r="O6098" s="7" t="n">
        <f aca="false">IF(B6098="TV Show",IFERROR(VALUE(LEFT(I6098,FIND(" ",I6098)-1)),""),"")</f>
        <v>2</v>
      </c>
      <c r="P6098" s="7" t="n">
        <f aca="false">IF(K6098="","",K6098-G6098)</f>
        <v>4</v>
      </c>
    </row>
    <row r="6099" customFormat="false" ht="15" hidden="false" customHeight="false" outlineLevel="0" collapsed="false">
      <c r="A6099" s="7" t="n">
        <v>70171947</v>
      </c>
      <c r="B6099" s="7" t="s">
        <v>78</v>
      </c>
      <c r="C6099" s="7" t="s">
        <v>12048</v>
      </c>
      <c r="F6099" s="7" t="s">
        <v>12047</v>
      </c>
      <c r="G6099" s="7" t="n">
        <v>2012</v>
      </c>
      <c r="H6099" s="7" t="s">
        <v>81</v>
      </c>
      <c r="I6099" s="7" t="s">
        <v>11132</v>
      </c>
      <c r="J6099" s="7" t="s">
        <v>44</v>
      </c>
      <c r="K6099" s="7" t="n">
        <f aca="false">IFERROR(VALUE(RIGHT(TRIM(F6099),4)),"")</f>
        <v>2019</v>
      </c>
      <c r="L6099" s="7" t="str">
        <f aca="false">IF(TRIM(E6099)="","Unknown",IFERROR(LEFT(TRIM(E6099),FIND(",",TRIM(E6099))-1),TRIM(E6099)))</f>
        <v>Unknown</v>
      </c>
      <c r="M6099" s="7" t="str">
        <f aca="false">IFERROR(LEFT(J6099,FIND(",",J6099)-1),J6099)</f>
        <v>Kids' TV</v>
      </c>
      <c r="N6099" s="7" t="str">
        <f aca="false">IF(B6099="Movie",IFERROR(VALUE(LEFT(I6099,FIND(" ",I6099)-1)),""),"")</f>
        <v/>
      </c>
      <c r="O6099" s="7" t="n">
        <f aca="false">IF(B6099="TV Show",IFERROR(VALUE(LEFT(I6099,FIND(" ",I6099)-1)),""),"")</f>
        <v>2</v>
      </c>
      <c r="P6099" s="7" t="n">
        <f aca="false">IF(K6099="","",K6099-G6099)</f>
        <v>7</v>
      </c>
    </row>
    <row r="6100" customFormat="false" ht="15" hidden="false" customHeight="false" outlineLevel="0" collapsed="false">
      <c r="A6100" s="7" t="n">
        <v>70308794</v>
      </c>
      <c r="B6100" s="7" t="s">
        <v>78</v>
      </c>
      <c r="C6100" s="7" t="s">
        <v>12049</v>
      </c>
      <c r="E6100" s="7" t="s">
        <v>26</v>
      </c>
      <c r="F6100" s="7" t="s">
        <v>12047</v>
      </c>
      <c r="G6100" s="7" t="n">
        <v>2005</v>
      </c>
      <c r="H6100" s="7" t="s">
        <v>55</v>
      </c>
      <c r="I6100" s="7" t="s">
        <v>11148</v>
      </c>
      <c r="J6100" s="7" t="s">
        <v>191</v>
      </c>
      <c r="K6100" s="7" t="n">
        <f aca="false">IFERROR(VALUE(RIGHT(TRIM(F6100),4)),"")</f>
        <v>2019</v>
      </c>
      <c r="L6100" s="7" t="str">
        <f aca="false">IF(TRIM(E6100)="","Unknown",IFERROR(LEFT(TRIM(E6100),FIND(",",TRIM(E6100))-1),TRIM(E6100)))</f>
        <v>United States</v>
      </c>
      <c r="M6100" s="7" t="str">
        <f aca="false">IFERROR(LEFT(J6100,FIND(",",J6100)-1),J6100)</f>
        <v>Kids' TV</v>
      </c>
      <c r="N6100" s="7" t="str">
        <f aca="false">IF(B6100="Movie",IFERROR(VALUE(LEFT(I6100,FIND(" ",I6100)-1)),""),"")</f>
        <v/>
      </c>
      <c r="O6100" s="7" t="n">
        <f aca="false">IF(B6100="TV Show",IFERROR(VALUE(LEFT(I6100,FIND(" ",I6100)-1)),""),"")</f>
        <v>3</v>
      </c>
      <c r="P6100" s="7" t="n">
        <f aca="false">IF(K6100="","",K6100-G6100)</f>
        <v>14</v>
      </c>
    </row>
    <row r="6101" customFormat="false" ht="15" hidden="false" customHeight="false" outlineLevel="0" collapsed="false">
      <c r="A6101" s="7" t="n">
        <v>80105030</v>
      </c>
      <c r="B6101" s="7" t="s">
        <v>78</v>
      </c>
      <c r="C6101" s="7" t="s">
        <v>12050</v>
      </c>
      <c r="E6101" s="7" t="s">
        <v>28</v>
      </c>
      <c r="F6101" s="7" t="s">
        <v>12051</v>
      </c>
      <c r="G6101" s="7" t="n">
        <v>2014</v>
      </c>
      <c r="H6101" s="7" t="s">
        <v>48</v>
      </c>
      <c r="I6101" s="7" t="s">
        <v>11148</v>
      </c>
      <c r="J6101" s="7" t="s">
        <v>1612</v>
      </c>
      <c r="K6101" s="7" t="n">
        <f aca="false">IFERROR(VALUE(RIGHT(TRIM(F6101),4)),"")</f>
        <v>2018</v>
      </c>
      <c r="L6101" s="7" t="str">
        <f aca="false">IF(TRIM(E6101)="","Unknown",IFERROR(LEFT(TRIM(E6101),FIND(",",TRIM(E6101))-1),TRIM(E6101)))</f>
        <v>United Kingdom</v>
      </c>
      <c r="M6101" s="7" t="str">
        <f aca="false">IFERROR(LEFT(J6101,FIND(",",J6101)-1),J6101)</f>
        <v>British TV Shows</v>
      </c>
      <c r="N6101" s="7" t="str">
        <f aca="false">IF(B6101="Movie",IFERROR(VALUE(LEFT(I6101,FIND(" ",I6101)-1)),""),"")</f>
        <v/>
      </c>
      <c r="O6101" s="7" t="n">
        <f aca="false">IF(B6101="TV Show",IFERROR(VALUE(LEFT(I6101,FIND(" ",I6101)-1)),""),"")</f>
        <v>3</v>
      </c>
      <c r="P6101" s="7" t="n">
        <f aca="false">IF(K6101="","",K6101-G6101)</f>
        <v>4</v>
      </c>
    </row>
    <row r="6102" customFormat="false" ht="15" hidden="false" customHeight="false" outlineLevel="0" collapsed="false">
      <c r="A6102" s="7" t="n">
        <v>81040405</v>
      </c>
      <c r="B6102" s="7" t="s">
        <v>78</v>
      </c>
      <c r="C6102" s="7" t="s">
        <v>12052</v>
      </c>
      <c r="E6102" s="7" t="s">
        <v>28</v>
      </c>
      <c r="F6102" s="7" t="s">
        <v>12051</v>
      </c>
      <c r="G6102" s="7" t="n">
        <v>2018</v>
      </c>
      <c r="H6102" s="7" t="s">
        <v>48</v>
      </c>
      <c r="I6102" s="7" t="s">
        <v>11132</v>
      </c>
      <c r="J6102" s="7" t="s">
        <v>12053</v>
      </c>
      <c r="K6102" s="7" t="n">
        <f aca="false">IFERROR(VALUE(RIGHT(TRIM(F6102),4)),"")</f>
        <v>2018</v>
      </c>
      <c r="L6102" s="7" t="str">
        <f aca="false">IF(TRIM(E6102)="","Unknown",IFERROR(LEFT(TRIM(E6102),FIND(",",TRIM(E6102))-1),TRIM(E6102)))</f>
        <v>United Kingdom</v>
      </c>
      <c r="M6102" s="7" t="str">
        <f aca="false">IFERROR(LEFT(J6102,FIND(",",J6102)-1),J6102)</f>
        <v>British TV Shows</v>
      </c>
      <c r="N6102" s="7" t="str">
        <f aca="false">IF(B6102="Movie",IFERROR(VALUE(LEFT(I6102,FIND(" ",I6102)-1)),""),"")</f>
        <v/>
      </c>
      <c r="O6102" s="7" t="n">
        <f aca="false">IF(B6102="TV Show",IFERROR(VALUE(LEFT(I6102,FIND(" ",I6102)-1)),""),"")</f>
        <v>2</v>
      </c>
      <c r="P6102" s="7" t="n">
        <f aca="false">IF(K6102="","",K6102-G6102)</f>
        <v>0</v>
      </c>
    </row>
    <row r="6103" customFormat="false" ht="15" hidden="false" customHeight="false" outlineLevel="0" collapsed="false">
      <c r="A6103" s="7" t="n">
        <v>81004164</v>
      </c>
      <c r="B6103" s="7" t="s">
        <v>78</v>
      </c>
      <c r="C6103" s="7" t="s">
        <v>12054</v>
      </c>
      <c r="E6103" s="7" t="s">
        <v>5469</v>
      </c>
      <c r="F6103" s="7" t="s">
        <v>12051</v>
      </c>
      <c r="G6103" s="7" t="n">
        <v>2015</v>
      </c>
      <c r="H6103" s="7" t="s">
        <v>50</v>
      </c>
      <c r="I6103" s="7" t="s">
        <v>11132</v>
      </c>
      <c r="J6103" s="7" t="s">
        <v>344</v>
      </c>
      <c r="K6103" s="7" t="n">
        <f aca="false">IFERROR(VALUE(RIGHT(TRIM(F6103),4)),"")</f>
        <v>2018</v>
      </c>
      <c r="L6103" s="7" t="str">
        <f aca="false">IF(TRIM(E6103)="","Unknown",IFERROR(LEFT(TRIM(E6103),FIND(",",TRIM(E6103))-1),TRIM(E6103)))</f>
        <v>Israel</v>
      </c>
      <c r="M6103" s="7" t="str">
        <f aca="false">IFERROR(LEFT(J6103,FIND(",",J6103)-1),J6103)</f>
        <v>International TV Shows</v>
      </c>
      <c r="N6103" s="7" t="str">
        <f aca="false">IF(B6103="Movie",IFERROR(VALUE(LEFT(I6103,FIND(" ",I6103)-1)),""),"")</f>
        <v/>
      </c>
      <c r="O6103" s="7" t="n">
        <f aca="false">IF(B6103="TV Show",IFERROR(VALUE(LEFT(I6103,FIND(" ",I6103)-1)),""),"")</f>
        <v>2</v>
      </c>
      <c r="P6103" s="7" t="n">
        <f aca="false">IF(K6103="","",K6103-G6103)</f>
        <v>3</v>
      </c>
    </row>
    <row r="6104" customFormat="false" ht="15" hidden="false" customHeight="false" outlineLevel="0" collapsed="false">
      <c r="A6104" s="7" t="n">
        <v>80092415</v>
      </c>
      <c r="B6104" s="7" t="s">
        <v>78</v>
      </c>
      <c r="C6104" s="7" t="s">
        <v>12055</v>
      </c>
      <c r="E6104" s="7" t="s">
        <v>29</v>
      </c>
      <c r="F6104" s="7" t="s">
        <v>12056</v>
      </c>
      <c r="G6104" s="7" t="n">
        <v>2016</v>
      </c>
      <c r="H6104" s="7" t="s">
        <v>50</v>
      </c>
      <c r="I6104" s="7" t="s">
        <v>11132</v>
      </c>
      <c r="J6104" s="7" t="s">
        <v>11311</v>
      </c>
      <c r="K6104" s="7" t="n">
        <f aca="false">IFERROR(VALUE(RIGHT(TRIM(F6104),4)),"")</f>
        <v>2017</v>
      </c>
      <c r="L6104" s="7" t="str">
        <f aca="false">IF(TRIM(E6104)="","Unknown",IFERROR(LEFT(TRIM(E6104),FIND(",",TRIM(E6104))-1),TRIM(E6104)))</f>
        <v>Canada</v>
      </c>
      <c r="M6104" s="7" t="str">
        <f aca="false">IFERROR(LEFT(J6104,FIND(",",J6104)-1),J6104)</f>
        <v>Docuseries</v>
      </c>
      <c r="N6104" s="7" t="str">
        <f aca="false">IF(B6104="Movie",IFERROR(VALUE(LEFT(I6104,FIND(" ",I6104)-1)),""),"")</f>
        <v/>
      </c>
      <c r="O6104" s="7" t="n">
        <f aca="false">IF(B6104="TV Show",IFERROR(VALUE(LEFT(I6104,FIND(" ",I6104)-1)),""),"")</f>
        <v>2</v>
      </c>
      <c r="P6104" s="7" t="n">
        <f aca="false">IF(K6104="","",K6104-G6104)</f>
        <v>1</v>
      </c>
    </row>
    <row r="6105" customFormat="false" ht="15" hidden="false" customHeight="false" outlineLevel="0" collapsed="false">
      <c r="A6105" s="7" t="n">
        <v>80191975</v>
      </c>
      <c r="B6105" s="7" t="s">
        <v>78</v>
      </c>
      <c r="C6105" s="7" t="s">
        <v>12057</v>
      </c>
      <c r="E6105" s="7" t="s">
        <v>28</v>
      </c>
      <c r="F6105" s="7" t="s">
        <v>12056</v>
      </c>
      <c r="G6105" s="7" t="n">
        <v>2017</v>
      </c>
      <c r="H6105" s="7" t="s">
        <v>48</v>
      </c>
      <c r="I6105" s="7" t="s">
        <v>11132</v>
      </c>
      <c r="J6105" s="7" t="s">
        <v>306</v>
      </c>
      <c r="K6105" s="7" t="n">
        <f aca="false">IFERROR(VALUE(RIGHT(TRIM(F6105),4)),"")</f>
        <v>2017</v>
      </c>
      <c r="L6105" s="7" t="str">
        <f aca="false">IF(TRIM(E6105)="","Unknown",IFERROR(LEFT(TRIM(E6105),FIND(",",TRIM(E6105))-1),TRIM(E6105)))</f>
        <v>United Kingdom</v>
      </c>
      <c r="M6105" s="7" t="str">
        <f aca="false">IFERROR(LEFT(J6105,FIND(",",J6105)-1),J6105)</f>
        <v>British TV Shows</v>
      </c>
      <c r="N6105" s="7" t="str">
        <f aca="false">IF(B6105="Movie",IFERROR(VALUE(LEFT(I6105,FIND(" ",I6105)-1)),""),"")</f>
        <v/>
      </c>
      <c r="O6105" s="7" t="n">
        <f aca="false">IF(B6105="TV Show",IFERROR(VALUE(LEFT(I6105,FIND(" ",I6105)-1)),""),"")</f>
        <v>2</v>
      </c>
      <c r="P6105" s="7" t="n">
        <f aca="false">IF(K6105="","",K6105-G6105)</f>
        <v>0</v>
      </c>
    </row>
    <row r="6106" customFormat="false" ht="15" hidden="false" customHeight="false" outlineLevel="0" collapsed="false">
      <c r="A6106" s="7" t="n">
        <v>80216651</v>
      </c>
      <c r="B6106" s="7" t="s">
        <v>78</v>
      </c>
      <c r="C6106" s="7" t="s">
        <v>12058</v>
      </c>
      <c r="E6106" s="7" t="s">
        <v>28</v>
      </c>
      <c r="F6106" s="7" t="s">
        <v>12056</v>
      </c>
      <c r="G6106" s="7" t="n">
        <v>2017</v>
      </c>
      <c r="H6106" s="7" t="s">
        <v>48</v>
      </c>
      <c r="I6106" s="7" t="s">
        <v>11132</v>
      </c>
      <c r="J6106" s="7" t="s">
        <v>4309</v>
      </c>
      <c r="K6106" s="7" t="n">
        <f aca="false">IFERROR(VALUE(RIGHT(TRIM(F6106),4)),"")</f>
        <v>2017</v>
      </c>
      <c r="L6106" s="7" t="str">
        <f aca="false">IF(TRIM(E6106)="","Unknown",IFERROR(LEFT(TRIM(E6106),FIND(",",TRIM(E6106))-1),TRIM(E6106)))</f>
        <v>United Kingdom</v>
      </c>
      <c r="M6106" s="7" t="str">
        <f aca="false">IFERROR(LEFT(J6106,FIND(",",J6106)-1),J6106)</f>
        <v>British TV Shows</v>
      </c>
      <c r="N6106" s="7" t="str">
        <f aca="false">IF(B6106="Movie",IFERROR(VALUE(LEFT(I6106,FIND(" ",I6106)-1)),""),"")</f>
        <v/>
      </c>
      <c r="O6106" s="7" t="n">
        <f aca="false">IF(B6106="TV Show",IFERROR(VALUE(LEFT(I6106,FIND(" ",I6106)-1)),""),"")</f>
        <v>2</v>
      </c>
      <c r="P6106" s="7" t="n">
        <f aca="false">IF(K6106="","",K6106-G6106)</f>
        <v>0</v>
      </c>
    </row>
    <row r="6107" customFormat="false" ht="15" hidden="false" customHeight="false" outlineLevel="0" collapsed="false">
      <c r="A6107" s="7" t="n">
        <v>70204995</v>
      </c>
      <c r="B6107" s="7" t="s">
        <v>78</v>
      </c>
      <c r="C6107" s="7" t="s">
        <v>12059</v>
      </c>
      <c r="E6107" s="7" t="s">
        <v>30</v>
      </c>
      <c r="F6107" s="7" t="s">
        <v>12060</v>
      </c>
      <c r="G6107" s="7" t="n">
        <v>2001</v>
      </c>
      <c r="H6107" s="7" t="s">
        <v>49</v>
      </c>
      <c r="I6107" s="7" t="s">
        <v>11132</v>
      </c>
      <c r="J6107" s="7" t="s">
        <v>542</v>
      </c>
      <c r="K6107" s="7" t="n">
        <f aca="false">IFERROR(VALUE(RIGHT(TRIM(F6107),4)),"")</f>
        <v>2016</v>
      </c>
      <c r="L6107" s="7" t="str">
        <f aca="false">IF(TRIM(E6107)="","Unknown",IFERROR(LEFT(TRIM(E6107),FIND(",",TRIM(E6107))-1),TRIM(E6107)))</f>
        <v>Japan</v>
      </c>
      <c r="M6107" s="7" t="str">
        <f aca="false">IFERROR(LEFT(J6107,FIND(",",J6107)-1),J6107)</f>
        <v>Anime Series</v>
      </c>
      <c r="N6107" s="7" t="str">
        <f aca="false">IF(B6107="Movie",IFERROR(VALUE(LEFT(I6107,FIND(" ",I6107)-1)),""),"")</f>
        <v/>
      </c>
      <c r="O6107" s="7" t="n">
        <f aca="false">IF(B6107="TV Show",IFERROR(VALUE(LEFT(I6107,FIND(" ",I6107)-1)),""),"")</f>
        <v>2</v>
      </c>
      <c r="P6107" s="7" t="n">
        <f aca="false">IF(K6107="","",K6107-G6107)</f>
        <v>15</v>
      </c>
    </row>
    <row r="6108" customFormat="false" ht="15" hidden="false" customHeight="false" outlineLevel="0" collapsed="false">
      <c r="A6108" s="7" t="n">
        <v>70142436</v>
      </c>
      <c r="B6108" s="7" t="s">
        <v>78</v>
      </c>
      <c r="C6108" s="7" t="s">
        <v>12061</v>
      </c>
      <c r="D6108" s="7" t="s">
        <v>12062</v>
      </c>
      <c r="E6108" s="7" t="s">
        <v>28</v>
      </c>
      <c r="F6108" s="7" t="s">
        <v>12060</v>
      </c>
      <c r="G6108" s="7" t="n">
        <v>2012</v>
      </c>
      <c r="H6108" s="7" t="s">
        <v>50</v>
      </c>
      <c r="I6108" s="7" t="s">
        <v>11135</v>
      </c>
      <c r="J6108" s="7" t="s">
        <v>8964</v>
      </c>
      <c r="K6108" s="7" t="n">
        <f aca="false">IFERROR(VALUE(RIGHT(TRIM(F6108),4)),"")</f>
        <v>2016</v>
      </c>
      <c r="L6108" s="7" t="str">
        <f aca="false">IF(TRIM(E6108)="","Unknown",IFERROR(LEFT(TRIM(E6108),FIND(",",TRIM(E6108))-1),TRIM(E6108)))</f>
        <v>United Kingdom</v>
      </c>
      <c r="M6108" s="7" t="str">
        <f aca="false">IFERROR(LEFT(J6108,FIND(",",J6108)-1),J6108)</f>
        <v>British TV Shows</v>
      </c>
      <c r="N6108" s="7" t="str">
        <f aca="false">IF(B6108="Movie",IFERROR(VALUE(LEFT(I6108,FIND(" ",I6108)-1)),""),"")</f>
        <v/>
      </c>
      <c r="O6108" s="7" t="n">
        <f aca="false">IF(B6108="TV Show",IFERROR(VALUE(LEFT(I6108,FIND(" ",I6108)-1)),""),"")</f>
        <v>5</v>
      </c>
      <c r="P6108" s="7" t="n">
        <f aca="false">IF(K6108="","",K6108-G6108)</f>
        <v>4</v>
      </c>
    </row>
    <row r="6109" customFormat="false" ht="15" hidden="false" customHeight="false" outlineLevel="0" collapsed="false">
      <c r="A6109" s="7" t="n">
        <v>70196150</v>
      </c>
      <c r="B6109" s="7" t="s">
        <v>78</v>
      </c>
      <c r="C6109" s="7" t="s">
        <v>12063</v>
      </c>
      <c r="E6109" s="7" t="s">
        <v>26</v>
      </c>
      <c r="F6109" s="7" t="s">
        <v>12064</v>
      </c>
      <c r="G6109" s="7" t="n">
        <v>2014</v>
      </c>
      <c r="H6109" s="7" t="s">
        <v>50</v>
      </c>
      <c r="I6109" s="7" t="s">
        <v>11155</v>
      </c>
      <c r="J6109" s="7" t="s">
        <v>502</v>
      </c>
      <c r="K6109" s="7" t="n">
        <f aca="false">IFERROR(VALUE(RIGHT(TRIM(F6109),4)),"")</f>
        <v>2015</v>
      </c>
      <c r="L6109" s="7" t="str">
        <f aca="false">IF(TRIM(E6109)="","Unknown",IFERROR(LEFT(TRIM(E6109),FIND(",",TRIM(E6109))-1),TRIM(E6109)))</f>
        <v>United States</v>
      </c>
      <c r="M6109" s="7" t="str">
        <f aca="false">IFERROR(LEFT(J6109,FIND(",",J6109)-1),J6109)</f>
        <v>TV Comedies</v>
      </c>
      <c r="N6109" s="7" t="str">
        <f aca="false">IF(B6109="Movie",IFERROR(VALUE(LEFT(I6109,FIND(" ",I6109)-1)),""),"")</f>
        <v/>
      </c>
      <c r="O6109" s="7" t="n">
        <f aca="false">IF(B6109="TV Show",IFERROR(VALUE(LEFT(I6109,FIND(" ",I6109)-1)),""),"")</f>
        <v>4</v>
      </c>
      <c r="P6109" s="7" t="n">
        <f aca="false">IF(K6109="","",K6109-G6109)</f>
        <v>1</v>
      </c>
    </row>
    <row r="6110" customFormat="false" ht="15" hidden="false" customHeight="false" outlineLevel="0" collapsed="false">
      <c r="A6110" s="7" t="n">
        <v>80989891</v>
      </c>
      <c r="B6110" s="7" t="s">
        <v>78</v>
      </c>
      <c r="C6110" s="7" t="s">
        <v>12065</v>
      </c>
      <c r="F6110" s="7" t="s">
        <v>12066</v>
      </c>
      <c r="G6110" s="7" t="n">
        <v>2015</v>
      </c>
      <c r="H6110" s="7" t="s">
        <v>49</v>
      </c>
      <c r="I6110" s="7" t="s">
        <v>11132</v>
      </c>
      <c r="J6110" s="7" t="s">
        <v>884</v>
      </c>
      <c r="K6110" s="7" t="n">
        <f aca="false">IFERROR(VALUE(RIGHT(TRIM(F6110),4)),"")</f>
        <v>2018</v>
      </c>
      <c r="L6110" s="7" t="str">
        <f aca="false">IF(TRIM(E6110)="","Unknown",IFERROR(LEFT(TRIM(E6110),FIND(",",TRIM(E6110))-1),TRIM(E6110)))</f>
        <v>Unknown</v>
      </c>
      <c r="M6110" s="7" t="str">
        <f aca="false">IFERROR(LEFT(J6110,FIND(",",J6110)-1),J6110)</f>
        <v>International TV Shows</v>
      </c>
      <c r="N6110" s="7" t="str">
        <f aca="false">IF(B6110="Movie",IFERROR(VALUE(LEFT(I6110,FIND(" ",I6110)-1)),""),"")</f>
        <v/>
      </c>
      <c r="O6110" s="7" t="n">
        <f aca="false">IF(B6110="TV Show",IFERROR(VALUE(LEFT(I6110,FIND(" ",I6110)-1)),""),"")</f>
        <v>2</v>
      </c>
      <c r="P6110" s="7" t="n">
        <f aca="false">IF(K6110="","",K6110-G6110)</f>
        <v>3</v>
      </c>
    </row>
    <row r="6111" customFormat="false" ht="15" hidden="false" customHeight="false" outlineLevel="0" collapsed="false">
      <c r="A6111" s="7" t="n">
        <v>80116922</v>
      </c>
      <c r="B6111" s="7" t="s">
        <v>78</v>
      </c>
      <c r="C6111" s="7" t="s">
        <v>12067</v>
      </c>
      <c r="E6111" s="7" t="s">
        <v>28</v>
      </c>
      <c r="F6111" s="7" t="s">
        <v>12066</v>
      </c>
      <c r="G6111" s="7" t="n">
        <v>2018</v>
      </c>
      <c r="H6111" s="7" t="s">
        <v>48</v>
      </c>
      <c r="I6111" s="7" t="s">
        <v>11148</v>
      </c>
      <c r="J6111" s="7" t="s">
        <v>668</v>
      </c>
      <c r="K6111" s="7" t="n">
        <f aca="false">IFERROR(VALUE(RIGHT(TRIM(F6111),4)),"")</f>
        <v>2018</v>
      </c>
      <c r="L6111" s="7" t="str">
        <f aca="false">IF(TRIM(E6111)="","Unknown",IFERROR(LEFT(TRIM(E6111),FIND(",",TRIM(E6111))-1),TRIM(E6111)))</f>
        <v>United Kingdom</v>
      </c>
      <c r="M6111" s="7" t="str">
        <f aca="false">IFERROR(LEFT(J6111,FIND(",",J6111)-1),J6111)</f>
        <v>British TV Shows</v>
      </c>
      <c r="N6111" s="7" t="str">
        <f aca="false">IF(B6111="Movie",IFERROR(VALUE(LEFT(I6111,FIND(" ",I6111)-1)),""),"")</f>
        <v/>
      </c>
      <c r="O6111" s="7" t="n">
        <f aca="false">IF(B6111="TV Show",IFERROR(VALUE(LEFT(I6111,FIND(" ",I6111)-1)),""),"")</f>
        <v>3</v>
      </c>
      <c r="P6111" s="7" t="n">
        <f aca="false">IF(K6111="","",K6111-G6111)</f>
        <v>0</v>
      </c>
    </row>
    <row r="6112" customFormat="false" ht="15" hidden="false" customHeight="false" outlineLevel="0" collapsed="false">
      <c r="A6112" s="7" t="n">
        <v>80989867</v>
      </c>
      <c r="B6112" s="7" t="s">
        <v>78</v>
      </c>
      <c r="C6112" s="7" t="s">
        <v>12068</v>
      </c>
      <c r="E6112" s="7" t="s">
        <v>1819</v>
      </c>
      <c r="F6112" s="7" t="s">
        <v>12066</v>
      </c>
      <c r="G6112" s="7" t="n">
        <v>2014</v>
      </c>
      <c r="H6112" s="7" t="s">
        <v>50</v>
      </c>
      <c r="I6112" s="7" t="s">
        <v>11132</v>
      </c>
      <c r="J6112" s="7" t="s">
        <v>884</v>
      </c>
      <c r="K6112" s="7" t="n">
        <f aca="false">IFERROR(VALUE(RIGHT(TRIM(F6112),4)),"")</f>
        <v>2018</v>
      </c>
      <c r="L6112" s="7" t="str">
        <f aca="false">IF(TRIM(E6112)="","Unknown",IFERROR(LEFT(TRIM(E6112),FIND(",",TRIM(E6112))-1),TRIM(E6112)))</f>
        <v>Singapore</v>
      </c>
      <c r="M6112" s="7" t="str">
        <f aca="false">IFERROR(LEFT(J6112,FIND(",",J6112)-1),J6112)</f>
        <v>International TV Shows</v>
      </c>
      <c r="N6112" s="7" t="str">
        <f aca="false">IF(B6112="Movie",IFERROR(VALUE(LEFT(I6112,FIND(" ",I6112)-1)),""),"")</f>
        <v/>
      </c>
      <c r="O6112" s="7" t="n">
        <f aca="false">IF(B6112="TV Show",IFERROR(VALUE(LEFT(I6112,FIND(" ",I6112)-1)),""),"")</f>
        <v>2</v>
      </c>
      <c r="P6112" s="7" t="n">
        <f aca="false">IF(K6112="","",K6112-G6112)</f>
        <v>4</v>
      </c>
    </row>
    <row r="6113" customFormat="false" ht="15" hidden="false" customHeight="false" outlineLevel="0" collapsed="false">
      <c r="A6113" s="7" t="n">
        <v>80105699</v>
      </c>
      <c r="B6113" s="7" t="s">
        <v>78</v>
      </c>
      <c r="C6113" s="7" t="s">
        <v>12069</v>
      </c>
      <c r="E6113" s="7" t="s">
        <v>619</v>
      </c>
      <c r="F6113" s="7" t="s">
        <v>12066</v>
      </c>
      <c r="G6113" s="7" t="n">
        <v>2018</v>
      </c>
      <c r="H6113" s="7" t="s">
        <v>48</v>
      </c>
      <c r="I6113" s="7" t="s">
        <v>11148</v>
      </c>
      <c r="J6113" s="7" t="s">
        <v>402</v>
      </c>
      <c r="K6113" s="7" t="n">
        <f aca="false">IFERROR(VALUE(RIGHT(TRIM(F6113),4)),"")</f>
        <v>2018</v>
      </c>
      <c r="L6113" s="7" t="str">
        <f aca="false">IF(TRIM(E6113)="","Unknown",IFERROR(LEFT(TRIM(E6113),FIND(",",TRIM(E6113))-1),TRIM(E6113)))</f>
        <v>Canada</v>
      </c>
      <c r="M6113" s="7" t="str">
        <f aca="false">IFERROR(LEFT(J6113,FIND(",",J6113)-1),J6113)</f>
        <v>Crime TV Shows</v>
      </c>
      <c r="N6113" s="7" t="str">
        <f aca="false">IF(B6113="Movie",IFERROR(VALUE(LEFT(I6113,FIND(" ",I6113)-1)),""),"")</f>
        <v/>
      </c>
      <c r="O6113" s="7" t="n">
        <f aca="false">IF(B6113="TV Show",IFERROR(VALUE(LEFT(I6113,FIND(" ",I6113)-1)),""),"")</f>
        <v>3</v>
      </c>
      <c r="P6113" s="7" t="n">
        <f aca="false">IF(K6113="","",K6113-G6113)</f>
        <v>0</v>
      </c>
    </row>
    <row r="6114" customFormat="false" ht="15" hidden="false" customHeight="false" outlineLevel="0" collapsed="false">
      <c r="A6114" s="7" t="n">
        <v>80075595</v>
      </c>
      <c r="B6114" s="7" t="s">
        <v>78</v>
      </c>
      <c r="C6114" s="7" t="s">
        <v>12070</v>
      </c>
      <c r="E6114" s="7" t="s">
        <v>26</v>
      </c>
      <c r="F6114" s="7" t="s">
        <v>12066</v>
      </c>
      <c r="G6114" s="7" t="n">
        <v>2018</v>
      </c>
      <c r="H6114" s="7" t="s">
        <v>81</v>
      </c>
      <c r="I6114" s="7" t="s">
        <v>11158</v>
      </c>
      <c r="J6114" s="7" t="s">
        <v>44</v>
      </c>
      <c r="K6114" s="7" t="n">
        <f aca="false">IFERROR(VALUE(RIGHT(TRIM(F6114),4)),"")</f>
        <v>2018</v>
      </c>
      <c r="L6114" s="7" t="str">
        <f aca="false">IF(TRIM(E6114)="","Unknown",IFERROR(LEFT(TRIM(E6114),FIND(",",TRIM(E6114))-1),TRIM(E6114)))</f>
        <v>United States</v>
      </c>
      <c r="M6114" s="7" t="str">
        <f aca="false">IFERROR(LEFT(J6114,FIND(",",J6114)-1),J6114)</f>
        <v>Kids' TV</v>
      </c>
      <c r="N6114" s="7" t="str">
        <f aca="false">IF(B6114="Movie",IFERROR(VALUE(LEFT(I6114,FIND(" ",I6114)-1)),""),"")</f>
        <v/>
      </c>
      <c r="O6114" s="7" t="n">
        <f aca="false">IF(B6114="TV Show",IFERROR(VALUE(LEFT(I6114,FIND(" ",I6114)-1)),""),"")</f>
        <v>8</v>
      </c>
      <c r="P6114" s="7" t="n">
        <f aca="false">IF(K6114="","",K6114-G6114)</f>
        <v>0</v>
      </c>
    </row>
    <row r="6115" customFormat="false" ht="15" hidden="false" customHeight="false" outlineLevel="0" collapsed="false">
      <c r="A6115" s="7" t="n">
        <v>70302182</v>
      </c>
      <c r="B6115" s="7" t="s">
        <v>78</v>
      </c>
      <c r="C6115" s="7" t="s">
        <v>12071</v>
      </c>
      <c r="E6115" s="7" t="s">
        <v>26</v>
      </c>
      <c r="F6115" s="7" t="s">
        <v>12072</v>
      </c>
      <c r="G6115" s="7" t="n">
        <v>2017</v>
      </c>
      <c r="H6115" s="7" t="s">
        <v>49</v>
      </c>
      <c r="I6115" s="7" t="s">
        <v>11155</v>
      </c>
      <c r="J6115" s="7" t="s">
        <v>2704</v>
      </c>
      <c r="K6115" s="7" t="n">
        <f aca="false">IFERROR(VALUE(RIGHT(TRIM(F6115),4)),"")</f>
        <v>2017</v>
      </c>
      <c r="L6115" s="7" t="str">
        <f aca="false">IF(TRIM(E6115)="","Unknown",IFERROR(LEFT(TRIM(E6115),FIND(",",TRIM(E6115))-1),TRIM(E6115)))</f>
        <v>United States</v>
      </c>
      <c r="M6115" s="7" t="str">
        <f aca="false">IFERROR(LEFT(J6115,FIND(",",J6115)-1),J6115)</f>
        <v>TV Dramas</v>
      </c>
      <c r="N6115" s="7" t="str">
        <f aca="false">IF(B6115="Movie",IFERROR(VALUE(LEFT(I6115,FIND(" ",I6115)-1)),""),"")</f>
        <v/>
      </c>
      <c r="O6115" s="7" t="n">
        <f aca="false">IF(B6115="TV Show",IFERROR(VALUE(LEFT(I6115,FIND(" ",I6115)-1)),""),"")</f>
        <v>4</v>
      </c>
      <c r="P6115" s="7" t="n">
        <f aca="false">IF(K6115="","",K6115-G6115)</f>
        <v>0</v>
      </c>
    </row>
    <row r="6116" customFormat="false" ht="15" hidden="false" customHeight="false" outlineLevel="0" collapsed="false">
      <c r="A6116" s="7" t="n">
        <v>80195522</v>
      </c>
      <c r="B6116" s="7" t="s">
        <v>78</v>
      </c>
      <c r="C6116" s="7" t="s">
        <v>12073</v>
      </c>
      <c r="E6116" s="7" t="s">
        <v>35</v>
      </c>
      <c r="F6116" s="7" t="s">
        <v>12074</v>
      </c>
      <c r="G6116" s="7" t="n">
        <v>2018</v>
      </c>
      <c r="H6116" s="7" t="s">
        <v>49</v>
      </c>
      <c r="I6116" s="7" t="s">
        <v>11148</v>
      </c>
      <c r="J6116" s="7" t="s">
        <v>402</v>
      </c>
      <c r="K6116" s="7" t="n">
        <f aca="false">IFERROR(VALUE(RIGHT(TRIM(F6116),4)),"")</f>
        <v>2018</v>
      </c>
      <c r="L6116" s="7" t="str">
        <f aca="false">IF(TRIM(E6116)="","Unknown",IFERROR(LEFT(TRIM(E6116),FIND(",",TRIM(E6116))-1),TRIM(E6116)))</f>
        <v>Australia</v>
      </c>
      <c r="M6116" s="7" t="str">
        <f aca="false">IFERROR(LEFT(J6116,FIND(",",J6116)-1),J6116)</f>
        <v>Crime TV Shows</v>
      </c>
      <c r="N6116" s="7" t="str">
        <f aca="false">IF(B6116="Movie",IFERROR(VALUE(LEFT(I6116,FIND(" ",I6116)-1)),""),"")</f>
        <v/>
      </c>
      <c r="O6116" s="7" t="n">
        <f aca="false">IF(B6116="TV Show",IFERROR(VALUE(LEFT(I6116,FIND(" ",I6116)-1)),""),"")</f>
        <v>3</v>
      </c>
      <c r="P6116" s="7" t="n">
        <f aca="false">IF(K6116="","",K6116-G6116)</f>
        <v>0</v>
      </c>
    </row>
    <row r="6117" customFormat="false" ht="15" hidden="false" customHeight="false" outlineLevel="0" collapsed="false">
      <c r="A6117" s="7" t="n">
        <v>70285581</v>
      </c>
      <c r="B6117" s="7" t="s">
        <v>78</v>
      </c>
      <c r="C6117" s="7" t="s">
        <v>12075</v>
      </c>
      <c r="E6117" s="7" t="s">
        <v>26</v>
      </c>
      <c r="F6117" s="7" t="s">
        <v>12076</v>
      </c>
      <c r="G6117" s="7" t="n">
        <v>2016</v>
      </c>
      <c r="H6117" s="7" t="s">
        <v>48</v>
      </c>
      <c r="I6117" s="7" t="s">
        <v>11132</v>
      </c>
      <c r="J6117" s="7" t="s">
        <v>12077</v>
      </c>
      <c r="K6117" s="7" t="n">
        <f aca="false">IFERROR(VALUE(RIGHT(TRIM(F6117),4)),"")</f>
        <v>2019</v>
      </c>
      <c r="L6117" s="7" t="str">
        <f aca="false">IF(TRIM(E6117)="","Unknown",IFERROR(LEFT(TRIM(E6117),FIND(",",TRIM(E6117))-1),TRIM(E6117)))</f>
        <v>United States</v>
      </c>
      <c r="M6117" s="7" t="str">
        <f aca="false">IFERROR(LEFT(J6117,FIND(",",J6117)-1),J6117)</f>
        <v>Romantic TV Shows</v>
      </c>
      <c r="N6117" s="7" t="str">
        <f aca="false">IF(B6117="Movie",IFERROR(VALUE(LEFT(I6117,FIND(" ",I6117)-1)),""),"")</f>
        <v/>
      </c>
      <c r="O6117" s="7" t="n">
        <f aca="false">IF(B6117="TV Show",IFERROR(VALUE(LEFT(I6117,FIND(" ",I6117)-1)),""),"")</f>
        <v>2</v>
      </c>
      <c r="P6117" s="7" t="n">
        <f aca="false">IF(K6117="","",K6117-G6117)</f>
        <v>3</v>
      </c>
    </row>
    <row r="6118" customFormat="false" ht="15" hidden="false" customHeight="false" outlineLevel="0" collapsed="false">
      <c r="A6118" s="7" t="n">
        <v>70301578</v>
      </c>
      <c r="B6118" s="7" t="s">
        <v>78</v>
      </c>
      <c r="C6118" s="7" t="s">
        <v>12078</v>
      </c>
      <c r="E6118" s="7" t="s">
        <v>30</v>
      </c>
      <c r="F6118" s="7" t="s">
        <v>12079</v>
      </c>
      <c r="G6118" s="7" t="n">
        <v>2015</v>
      </c>
      <c r="H6118" s="7" t="s">
        <v>48</v>
      </c>
      <c r="I6118" s="7" t="s">
        <v>11132</v>
      </c>
      <c r="J6118" s="7" t="s">
        <v>542</v>
      </c>
      <c r="K6118" s="7" t="n">
        <f aca="false">IFERROR(VALUE(RIGHT(TRIM(F6118),4)),"")</f>
        <v>2019</v>
      </c>
      <c r="L6118" s="7" t="str">
        <f aca="false">IF(TRIM(E6118)="","Unknown",IFERROR(LEFT(TRIM(E6118),FIND(",",TRIM(E6118))-1),TRIM(E6118)))</f>
        <v>Japan</v>
      </c>
      <c r="M6118" s="7" t="str">
        <f aca="false">IFERROR(LEFT(J6118,FIND(",",J6118)-1),J6118)</f>
        <v>Anime Series</v>
      </c>
      <c r="N6118" s="7" t="str">
        <f aca="false">IF(B6118="Movie",IFERROR(VALUE(LEFT(I6118,FIND(" ",I6118)-1)),""),"")</f>
        <v/>
      </c>
      <c r="O6118" s="7" t="n">
        <f aca="false">IF(B6118="TV Show",IFERROR(VALUE(LEFT(I6118,FIND(" ",I6118)-1)),""),"")</f>
        <v>2</v>
      </c>
      <c r="P6118" s="7" t="n">
        <f aca="false">IF(K6118="","",K6118-G6118)</f>
        <v>4</v>
      </c>
    </row>
    <row r="6119" customFormat="false" ht="15" hidden="false" customHeight="false" outlineLevel="0" collapsed="false">
      <c r="A6119" s="7" t="n">
        <v>60036794</v>
      </c>
      <c r="B6119" s="7" t="s">
        <v>78</v>
      </c>
      <c r="C6119" s="7" t="s">
        <v>12080</v>
      </c>
      <c r="E6119" s="7" t="s">
        <v>30</v>
      </c>
      <c r="F6119" s="7" t="s">
        <v>12079</v>
      </c>
      <c r="G6119" s="7" t="n">
        <v>2004</v>
      </c>
      <c r="H6119" s="7" t="s">
        <v>55</v>
      </c>
      <c r="I6119" s="7" t="s">
        <v>11155</v>
      </c>
      <c r="J6119" s="7" t="s">
        <v>694</v>
      </c>
      <c r="K6119" s="7" t="n">
        <f aca="false">IFERROR(VALUE(RIGHT(TRIM(F6119),4)),"")</f>
        <v>2019</v>
      </c>
      <c r="L6119" s="7" t="str">
        <f aca="false">IF(TRIM(E6119)="","Unknown",IFERROR(LEFT(TRIM(E6119),FIND(",",TRIM(E6119))-1),TRIM(E6119)))</f>
        <v>Japan</v>
      </c>
      <c r="M6119" s="7" t="str">
        <f aca="false">IFERROR(LEFT(J6119,FIND(",",J6119)-1),J6119)</f>
        <v>Anime Series</v>
      </c>
      <c r="N6119" s="7" t="str">
        <f aca="false">IF(B6119="Movie",IFERROR(VALUE(LEFT(I6119,FIND(" ",I6119)-1)),""),"")</f>
        <v/>
      </c>
      <c r="O6119" s="7" t="n">
        <f aca="false">IF(B6119="TV Show",IFERROR(VALUE(LEFT(I6119,FIND(" ",I6119)-1)),""),"")</f>
        <v>4</v>
      </c>
      <c r="P6119" s="7" t="n">
        <f aca="false">IF(K6119="","",K6119-G6119)</f>
        <v>15</v>
      </c>
    </row>
    <row r="6120" customFormat="false" ht="15" hidden="false" customHeight="false" outlineLevel="0" collapsed="false">
      <c r="A6120" s="7" t="n">
        <v>81210234</v>
      </c>
      <c r="B6120" s="7" t="s">
        <v>78</v>
      </c>
      <c r="C6120" s="7" t="s">
        <v>12081</v>
      </c>
      <c r="F6120" s="7" t="s">
        <v>12079</v>
      </c>
      <c r="G6120" s="7" t="n">
        <v>2016</v>
      </c>
      <c r="H6120" s="7" t="s">
        <v>55</v>
      </c>
      <c r="I6120" s="7" t="s">
        <v>11132</v>
      </c>
      <c r="J6120" s="7" t="s">
        <v>11653</v>
      </c>
      <c r="K6120" s="7" t="n">
        <f aca="false">IFERROR(VALUE(RIGHT(TRIM(F6120),4)),"")</f>
        <v>2019</v>
      </c>
      <c r="L6120" s="7" t="str">
        <f aca="false">IF(TRIM(E6120)="","Unknown",IFERROR(LEFT(TRIM(E6120),FIND(",",TRIM(E6120))-1),TRIM(E6120)))</f>
        <v>Unknown</v>
      </c>
      <c r="M6120" s="7" t="str">
        <f aca="false">IFERROR(LEFT(J6120,FIND(",",J6120)-1),J6120)</f>
        <v>Kids' TV</v>
      </c>
      <c r="N6120" s="7" t="str">
        <f aca="false">IF(B6120="Movie",IFERROR(VALUE(LEFT(I6120,FIND(" ",I6120)-1)),""),"")</f>
        <v/>
      </c>
      <c r="O6120" s="7" t="n">
        <f aca="false">IF(B6120="TV Show",IFERROR(VALUE(LEFT(I6120,FIND(" ",I6120)-1)),""),"")</f>
        <v>2</v>
      </c>
      <c r="P6120" s="7" t="n">
        <f aca="false">IF(K6120="","",K6120-G6120)</f>
        <v>3</v>
      </c>
    </row>
    <row r="6121" customFormat="false" ht="15" hidden="false" customHeight="false" outlineLevel="0" collapsed="false">
      <c r="A6121" s="7" t="n">
        <v>81224128</v>
      </c>
      <c r="B6121" s="7" t="s">
        <v>78</v>
      </c>
      <c r="C6121" s="7" t="s">
        <v>12082</v>
      </c>
      <c r="E6121" s="7" t="s">
        <v>28</v>
      </c>
      <c r="F6121" s="7" t="s">
        <v>12079</v>
      </c>
      <c r="G6121" s="7" t="n">
        <v>2018</v>
      </c>
      <c r="H6121" s="7" t="s">
        <v>54</v>
      </c>
      <c r="I6121" s="7" t="s">
        <v>11132</v>
      </c>
      <c r="J6121" s="7" t="s">
        <v>1574</v>
      </c>
      <c r="K6121" s="7" t="n">
        <f aca="false">IFERROR(VALUE(RIGHT(TRIM(F6121),4)),"")</f>
        <v>2019</v>
      </c>
      <c r="L6121" s="7" t="str">
        <f aca="false">IF(TRIM(E6121)="","Unknown",IFERROR(LEFT(TRIM(E6121),FIND(",",TRIM(E6121))-1),TRIM(E6121)))</f>
        <v>United Kingdom</v>
      </c>
      <c r="M6121" s="7" t="str">
        <f aca="false">IFERROR(LEFT(J6121,FIND(",",J6121)-1),J6121)</f>
        <v>British TV Shows</v>
      </c>
      <c r="N6121" s="7" t="str">
        <f aca="false">IF(B6121="Movie",IFERROR(VALUE(LEFT(I6121,FIND(" ",I6121)-1)),""),"")</f>
        <v/>
      </c>
      <c r="O6121" s="7" t="n">
        <f aca="false">IF(B6121="TV Show",IFERROR(VALUE(LEFT(I6121,FIND(" ",I6121)-1)),""),"")</f>
        <v>2</v>
      </c>
      <c r="P6121" s="7" t="n">
        <f aca="false">IF(K6121="","",K6121-G6121)</f>
        <v>1</v>
      </c>
    </row>
    <row r="6122" customFormat="false" ht="15" hidden="false" customHeight="false" outlineLevel="0" collapsed="false">
      <c r="A6122" s="7" t="n">
        <v>70304246</v>
      </c>
      <c r="B6122" s="7" t="s">
        <v>78</v>
      </c>
      <c r="C6122" s="7" t="s">
        <v>12083</v>
      </c>
      <c r="E6122" s="7" t="s">
        <v>26</v>
      </c>
      <c r="F6122" s="7" t="s">
        <v>12079</v>
      </c>
      <c r="G6122" s="7" t="n">
        <v>2018</v>
      </c>
      <c r="H6122" s="7" t="s">
        <v>48</v>
      </c>
      <c r="I6122" s="7" t="s">
        <v>11155</v>
      </c>
      <c r="J6122" s="7" t="s">
        <v>502</v>
      </c>
      <c r="K6122" s="7" t="n">
        <f aca="false">IFERROR(VALUE(RIGHT(TRIM(F6122),4)),"")</f>
        <v>2019</v>
      </c>
      <c r="L6122" s="7" t="str">
        <f aca="false">IF(TRIM(E6122)="","Unknown",IFERROR(LEFT(TRIM(E6122),FIND(",",TRIM(E6122))-1),TRIM(E6122)))</f>
        <v>United States</v>
      </c>
      <c r="M6122" s="7" t="str">
        <f aca="false">IFERROR(LEFT(J6122,FIND(",",J6122)-1),J6122)</f>
        <v>TV Comedies</v>
      </c>
      <c r="N6122" s="7" t="str">
        <f aca="false">IF(B6122="Movie",IFERROR(VALUE(LEFT(I6122,FIND(" ",I6122)-1)),""),"")</f>
        <v/>
      </c>
      <c r="O6122" s="7" t="n">
        <f aca="false">IF(B6122="TV Show",IFERROR(VALUE(LEFT(I6122,FIND(" ",I6122)-1)),""),"")</f>
        <v>4</v>
      </c>
      <c r="P6122" s="7" t="n">
        <f aca="false">IF(K6122="","",K6122-G6122)</f>
        <v>1</v>
      </c>
    </row>
    <row r="6123" customFormat="false" ht="15" hidden="false" customHeight="false" outlineLevel="0" collapsed="false">
      <c r="A6123" s="7" t="n">
        <v>80074152</v>
      </c>
      <c r="B6123" s="7" t="s">
        <v>78</v>
      </c>
      <c r="C6123" s="7" t="s">
        <v>12084</v>
      </c>
      <c r="E6123" s="7" t="s">
        <v>29</v>
      </c>
      <c r="F6123" s="7" t="s">
        <v>12079</v>
      </c>
      <c r="G6123" s="7" t="n">
        <v>2016</v>
      </c>
      <c r="H6123" s="7" t="s">
        <v>48</v>
      </c>
      <c r="I6123" s="7" t="s">
        <v>82</v>
      </c>
      <c r="J6123" s="7" t="s">
        <v>289</v>
      </c>
      <c r="K6123" s="7" t="n">
        <f aca="false">IFERROR(VALUE(RIGHT(TRIM(F6123),4)),"")</f>
        <v>2019</v>
      </c>
      <c r="L6123" s="7" t="str">
        <f aca="false">IF(TRIM(E6123)="","Unknown",IFERROR(LEFT(TRIM(E6123),FIND(",",TRIM(E6123))-1),TRIM(E6123)))</f>
        <v>Canada</v>
      </c>
      <c r="M6123" s="7" t="str">
        <f aca="false">IFERROR(LEFT(J6123,FIND(",",J6123)-1),J6123)</f>
        <v>TV Comedies</v>
      </c>
      <c r="N6123" s="7" t="str">
        <f aca="false">IF(B6123="Movie",IFERROR(VALUE(LEFT(I6123,FIND(" ",I6123)-1)),""),"")</f>
        <v/>
      </c>
      <c r="O6123" s="7" t="n">
        <f aca="false">IF(B6123="TV Show",IFERROR(VALUE(LEFT(I6123,FIND(" ",I6123)-1)),""),"")</f>
        <v>1</v>
      </c>
      <c r="P6123" s="7" t="n">
        <f aca="false">IF(K6123="","",K6123-G6123)</f>
        <v>3</v>
      </c>
    </row>
    <row r="6124" customFormat="false" ht="15" hidden="false" customHeight="false" outlineLevel="0" collapsed="false">
      <c r="A6124" s="7" t="n">
        <v>80227959</v>
      </c>
      <c r="B6124" s="7" t="s">
        <v>78</v>
      </c>
      <c r="C6124" s="7" t="s">
        <v>12085</v>
      </c>
      <c r="E6124" s="7" t="s">
        <v>28</v>
      </c>
      <c r="F6124" s="7" t="s">
        <v>12086</v>
      </c>
      <c r="G6124" s="7" t="n">
        <v>2016</v>
      </c>
      <c r="H6124" s="7" t="s">
        <v>50</v>
      </c>
      <c r="I6124" s="7" t="s">
        <v>11132</v>
      </c>
      <c r="J6124" s="7" t="s">
        <v>716</v>
      </c>
      <c r="K6124" s="7" t="n">
        <f aca="false">IFERROR(VALUE(RIGHT(TRIM(F6124),4)),"")</f>
        <v>2018</v>
      </c>
      <c r="L6124" s="7" t="str">
        <f aca="false">IF(TRIM(E6124)="","Unknown",IFERROR(LEFT(TRIM(E6124),FIND(",",TRIM(E6124))-1),TRIM(E6124)))</f>
        <v>United Kingdom</v>
      </c>
      <c r="M6124" s="7" t="str">
        <f aca="false">IFERROR(LEFT(J6124,FIND(",",J6124)-1),J6124)</f>
        <v>British TV Shows</v>
      </c>
      <c r="N6124" s="7" t="str">
        <f aca="false">IF(B6124="Movie",IFERROR(VALUE(LEFT(I6124,FIND(" ",I6124)-1)),""),"")</f>
        <v/>
      </c>
      <c r="O6124" s="7" t="n">
        <f aca="false">IF(B6124="TV Show",IFERROR(VALUE(LEFT(I6124,FIND(" ",I6124)-1)),""),"")</f>
        <v>2</v>
      </c>
      <c r="P6124" s="7" t="n">
        <f aca="false">IF(K6124="","",K6124-G6124)</f>
        <v>2</v>
      </c>
    </row>
    <row r="6125" customFormat="false" ht="15" hidden="false" customHeight="false" outlineLevel="0" collapsed="false">
      <c r="A6125" s="7" t="n">
        <v>80165085</v>
      </c>
      <c r="B6125" s="7" t="s">
        <v>78</v>
      </c>
      <c r="C6125" s="7" t="s">
        <v>12087</v>
      </c>
      <c r="E6125" s="7" t="s">
        <v>28</v>
      </c>
      <c r="F6125" s="7" t="s">
        <v>12086</v>
      </c>
      <c r="G6125" s="7" t="n">
        <v>2018</v>
      </c>
      <c r="H6125" s="7" t="s">
        <v>50</v>
      </c>
      <c r="I6125" s="7" t="s">
        <v>11155</v>
      </c>
      <c r="J6125" s="7" t="s">
        <v>1574</v>
      </c>
      <c r="K6125" s="7" t="n">
        <f aca="false">IFERROR(VALUE(RIGHT(TRIM(F6125),4)),"")</f>
        <v>2018</v>
      </c>
      <c r="L6125" s="7" t="str">
        <f aca="false">IF(TRIM(E6125)="","Unknown",IFERROR(LEFT(TRIM(E6125),FIND(",",TRIM(E6125))-1),TRIM(E6125)))</f>
        <v>United Kingdom</v>
      </c>
      <c r="M6125" s="7" t="str">
        <f aca="false">IFERROR(LEFT(J6125,FIND(",",J6125)-1),J6125)</f>
        <v>British TV Shows</v>
      </c>
      <c r="N6125" s="7" t="str">
        <f aca="false">IF(B6125="Movie",IFERROR(VALUE(LEFT(I6125,FIND(" ",I6125)-1)),""),"")</f>
        <v/>
      </c>
      <c r="O6125" s="7" t="n">
        <f aca="false">IF(B6125="TV Show",IFERROR(VALUE(LEFT(I6125,FIND(" ",I6125)-1)),""),"")</f>
        <v>4</v>
      </c>
      <c r="P6125" s="7" t="n">
        <f aca="false">IF(K6125="","",K6125-G6125)</f>
        <v>0</v>
      </c>
    </row>
    <row r="6126" customFormat="false" ht="15" hidden="false" customHeight="false" outlineLevel="0" collapsed="false">
      <c r="A6126" s="7" t="n">
        <v>80018987</v>
      </c>
      <c r="B6126" s="7" t="s">
        <v>78</v>
      </c>
      <c r="C6126" s="7" t="s">
        <v>12088</v>
      </c>
      <c r="E6126" s="7" t="s">
        <v>26</v>
      </c>
      <c r="F6126" s="7" t="s">
        <v>12089</v>
      </c>
      <c r="G6126" s="7" t="n">
        <v>2017</v>
      </c>
      <c r="H6126" s="7" t="s">
        <v>81</v>
      </c>
      <c r="I6126" s="7" t="s">
        <v>11135</v>
      </c>
      <c r="J6126" s="7" t="s">
        <v>191</v>
      </c>
      <c r="K6126" s="7" t="n">
        <f aca="false">IFERROR(VALUE(RIGHT(TRIM(F6126),4)),"")</f>
        <v>2017</v>
      </c>
      <c r="L6126" s="7" t="str">
        <f aca="false">IF(TRIM(E6126)="","Unknown",IFERROR(LEFT(TRIM(E6126),FIND(",",TRIM(E6126))-1),TRIM(E6126)))</f>
        <v>United States</v>
      </c>
      <c r="M6126" s="7" t="str">
        <f aca="false">IFERROR(LEFT(J6126,FIND(",",J6126)-1),J6126)</f>
        <v>Kids' TV</v>
      </c>
      <c r="N6126" s="7" t="str">
        <f aca="false">IF(B6126="Movie",IFERROR(VALUE(LEFT(I6126,FIND(" ",I6126)-1)),""),"")</f>
        <v/>
      </c>
      <c r="O6126" s="7" t="n">
        <f aca="false">IF(B6126="TV Show",IFERROR(VALUE(LEFT(I6126,FIND(" ",I6126)-1)),""),"")</f>
        <v>5</v>
      </c>
      <c r="P6126" s="7" t="n">
        <f aca="false">IF(K6126="","",K6126-G6126)</f>
        <v>0</v>
      </c>
    </row>
    <row r="6127" customFormat="false" ht="15" hidden="false" customHeight="false" outlineLevel="0" collapsed="false">
      <c r="A6127" s="7" t="n">
        <v>80196221</v>
      </c>
      <c r="B6127" s="7" t="s">
        <v>78</v>
      </c>
      <c r="C6127" s="7" t="s">
        <v>12090</v>
      </c>
      <c r="E6127" s="7" t="s">
        <v>3777</v>
      </c>
      <c r="F6127" s="7" t="s">
        <v>12089</v>
      </c>
      <c r="G6127" s="7" t="n">
        <v>2017</v>
      </c>
      <c r="H6127" s="7" t="s">
        <v>119</v>
      </c>
      <c r="I6127" s="7" t="s">
        <v>11132</v>
      </c>
      <c r="J6127" s="7" t="s">
        <v>1686</v>
      </c>
      <c r="K6127" s="7" t="n">
        <f aca="false">IFERROR(VALUE(RIGHT(TRIM(F6127),4)),"")</f>
        <v>2017</v>
      </c>
      <c r="L6127" s="7" t="str">
        <f aca="false">IF(TRIM(E6127)="","Unknown",IFERROR(LEFT(TRIM(E6127),FIND(",",TRIM(E6127))-1),TRIM(E6127)))</f>
        <v>United States</v>
      </c>
      <c r="M6127" s="7" t="str">
        <f aca="false">IFERROR(LEFT(J6127,FIND(",",J6127)-1),J6127)</f>
        <v>Kids' TV</v>
      </c>
      <c r="N6127" s="7" t="str">
        <f aca="false">IF(B6127="Movie",IFERROR(VALUE(LEFT(I6127,FIND(" ",I6127)-1)),""),"")</f>
        <v/>
      </c>
      <c r="O6127" s="7" t="n">
        <f aca="false">IF(B6127="TV Show",IFERROR(VALUE(LEFT(I6127,FIND(" ",I6127)-1)),""),"")</f>
        <v>2</v>
      </c>
      <c r="P6127" s="7" t="n">
        <f aca="false">IF(K6127="","",K6127-G6127)</f>
        <v>0</v>
      </c>
    </row>
    <row r="6128" customFormat="false" ht="15" hidden="false" customHeight="false" outlineLevel="0" collapsed="false">
      <c r="A6128" s="7" t="n">
        <v>70302007</v>
      </c>
      <c r="B6128" s="7" t="s">
        <v>78</v>
      </c>
      <c r="C6128" s="7" t="s">
        <v>12091</v>
      </c>
      <c r="E6128" s="7" t="s">
        <v>26</v>
      </c>
      <c r="F6128" s="7" t="s">
        <v>12089</v>
      </c>
      <c r="G6128" s="7" t="n">
        <v>2017</v>
      </c>
      <c r="H6128" s="7" t="s">
        <v>49</v>
      </c>
      <c r="I6128" s="7" t="s">
        <v>11155</v>
      </c>
      <c r="J6128" s="7" t="s">
        <v>2704</v>
      </c>
      <c r="K6128" s="7" t="n">
        <f aca="false">IFERROR(VALUE(RIGHT(TRIM(F6128),4)),"")</f>
        <v>2017</v>
      </c>
      <c r="L6128" s="7" t="str">
        <f aca="false">IF(TRIM(E6128)="","Unknown",IFERROR(LEFT(TRIM(E6128),FIND(",",TRIM(E6128))-1),TRIM(E6128)))</f>
        <v>United States</v>
      </c>
      <c r="M6128" s="7" t="str">
        <f aca="false">IFERROR(LEFT(J6128,FIND(",",J6128)-1),J6128)</f>
        <v>TV Dramas</v>
      </c>
      <c r="N6128" s="7" t="str">
        <f aca="false">IF(B6128="Movie",IFERROR(VALUE(LEFT(I6128,FIND(" ",I6128)-1)),""),"")</f>
        <v/>
      </c>
      <c r="O6128" s="7" t="n">
        <f aca="false">IF(B6128="TV Show",IFERROR(VALUE(LEFT(I6128,FIND(" ",I6128)-1)),""),"")</f>
        <v>4</v>
      </c>
      <c r="P6128" s="7" t="n">
        <f aca="false">IF(K6128="","",K6128-G6128)</f>
        <v>0</v>
      </c>
    </row>
    <row r="6129" customFormat="false" ht="15" hidden="false" customHeight="false" outlineLevel="0" collapsed="false">
      <c r="A6129" s="7" t="n">
        <v>80100929</v>
      </c>
      <c r="B6129" s="7" t="s">
        <v>78</v>
      </c>
      <c r="C6129" s="7" t="s">
        <v>12092</v>
      </c>
      <c r="E6129" s="7" t="s">
        <v>33</v>
      </c>
      <c r="F6129" s="7" t="s">
        <v>12093</v>
      </c>
      <c r="G6129" s="7" t="n">
        <v>2019</v>
      </c>
      <c r="H6129" s="7" t="s">
        <v>48</v>
      </c>
      <c r="I6129" s="7" t="s">
        <v>11155</v>
      </c>
      <c r="J6129" s="7" t="s">
        <v>2521</v>
      </c>
      <c r="K6129" s="7" t="n">
        <f aca="false">IFERROR(VALUE(RIGHT(TRIM(F6129),4)),"")</f>
        <v>2019</v>
      </c>
      <c r="L6129" s="7" t="str">
        <f aca="false">IF(TRIM(E6129)="","Unknown",IFERROR(LEFT(TRIM(E6129),FIND(",",TRIM(E6129))-1),TRIM(E6129)))</f>
        <v>Spain</v>
      </c>
      <c r="M6129" s="7" t="str">
        <f aca="false">IFERROR(LEFT(J6129,FIND(",",J6129)-1),J6129)</f>
        <v>International TV Shows</v>
      </c>
      <c r="N6129" s="7" t="str">
        <f aca="false">IF(B6129="Movie",IFERROR(VALUE(LEFT(I6129,FIND(" ",I6129)-1)),""),"")</f>
        <v/>
      </c>
      <c r="O6129" s="7" t="n">
        <f aca="false">IF(B6129="TV Show",IFERROR(VALUE(LEFT(I6129,FIND(" ",I6129)-1)),""),"")</f>
        <v>4</v>
      </c>
      <c r="P6129" s="7" t="n">
        <f aca="false">IF(K6129="","",K6129-G6129)</f>
        <v>0</v>
      </c>
    </row>
    <row r="6130" customFormat="false" ht="15" hidden="false" customHeight="false" outlineLevel="0" collapsed="false">
      <c r="A6130" s="7" t="n">
        <v>80114988</v>
      </c>
      <c r="B6130" s="7" t="s">
        <v>78</v>
      </c>
      <c r="C6130" s="7" t="s">
        <v>12094</v>
      </c>
      <c r="E6130" s="7" t="s">
        <v>26</v>
      </c>
      <c r="F6130" s="7" t="s">
        <v>12093</v>
      </c>
      <c r="G6130" s="7" t="n">
        <v>2019</v>
      </c>
      <c r="H6130" s="7" t="s">
        <v>48</v>
      </c>
      <c r="I6130" s="7" t="s">
        <v>11148</v>
      </c>
      <c r="J6130" s="7" t="s">
        <v>502</v>
      </c>
      <c r="K6130" s="7" t="n">
        <f aca="false">IFERROR(VALUE(RIGHT(TRIM(F6130),4)),"")</f>
        <v>2019</v>
      </c>
      <c r="L6130" s="7" t="str">
        <f aca="false">IF(TRIM(E6130)="","Unknown",IFERROR(LEFT(TRIM(E6130),FIND(",",TRIM(E6130))-1),TRIM(E6130)))</f>
        <v>United States</v>
      </c>
      <c r="M6130" s="7" t="str">
        <f aca="false">IFERROR(LEFT(J6130,FIND(",",J6130)-1),J6130)</f>
        <v>TV Comedies</v>
      </c>
      <c r="N6130" s="7" t="str">
        <f aca="false">IF(B6130="Movie",IFERROR(VALUE(LEFT(I6130,FIND(" ",I6130)-1)),""),"")</f>
        <v/>
      </c>
      <c r="O6130" s="7" t="n">
        <f aca="false">IF(B6130="TV Show",IFERROR(VALUE(LEFT(I6130,FIND(" ",I6130)-1)),""),"")</f>
        <v>3</v>
      </c>
      <c r="P6130" s="7" t="n">
        <f aca="false">IF(K6130="","",K6130-G6130)</f>
        <v>0</v>
      </c>
    </row>
    <row r="6131" customFormat="false" ht="15" hidden="false" customHeight="false" outlineLevel="0" collapsed="false">
      <c r="A6131" s="7" t="n">
        <v>80027159</v>
      </c>
      <c r="B6131" s="7" t="s">
        <v>78</v>
      </c>
      <c r="C6131" s="7" t="s">
        <v>12095</v>
      </c>
      <c r="E6131" s="7" t="s">
        <v>26</v>
      </c>
      <c r="F6131" s="7" t="s">
        <v>12093</v>
      </c>
      <c r="G6131" s="7" t="n">
        <v>2019</v>
      </c>
      <c r="H6131" s="7" t="s">
        <v>49</v>
      </c>
      <c r="I6131" s="7" t="s">
        <v>11135</v>
      </c>
      <c r="J6131" s="7" t="s">
        <v>12096</v>
      </c>
      <c r="K6131" s="7" t="n">
        <f aca="false">IFERROR(VALUE(RIGHT(TRIM(F6131),4)),"")</f>
        <v>2019</v>
      </c>
      <c r="L6131" s="7" t="str">
        <f aca="false">IF(TRIM(E6131)="","Unknown",IFERROR(LEFT(TRIM(E6131),FIND(",",TRIM(E6131))-1),TRIM(E6131)))</f>
        <v>United States</v>
      </c>
      <c r="M6131" s="7" t="str">
        <f aca="false">IFERROR(LEFT(J6131,FIND(",",J6131)-1),J6131)</f>
        <v>TV Comedies</v>
      </c>
      <c r="N6131" s="7" t="str">
        <f aca="false">IF(B6131="Movie",IFERROR(VALUE(LEFT(I6131,FIND(" ",I6131)-1)),""),"")</f>
        <v/>
      </c>
      <c r="O6131" s="7" t="n">
        <f aca="false">IF(B6131="TV Show",IFERROR(VALUE(LEFT(I6131,FIND(" ",I6131)-1)),""),"")</f>
        <v>5</v>
      </c>
      <c r="P6131" s="7" t="n">
        <f aca="false">IF(K6131="","",K6131-G6131)</f>
        <v>0</v>
      </c>
    </row>
    <row r="6132" customFormat="false" ht="15" hidden="false" customHeight="false" outlineLevel="0" collapsed="false">
      <c r="A6132" s="7" t="n">
        <v>70283261</v>
      </c>
      <c r="B6132" s="7" t="s">
        <v>78</v>
      </c>
      <c r="C6132" s="7" t="s">
        <v>12097</v>
      </c>
      <c r="E6132" s="7" t="s">
        <v>26</v>
      </c>
      <c r="F6132" s="7" t="s">
        <v>12098</v>
      </c>
      <c r="G6132" s="7" t="n">
        <v>2018</v>
      </c>
      <c r="H6132" s="7" t="s">
        <v>49</v>
      </c>
      <c r="I6132" s="7" t="s">
        <v>11135</v>
      </c>
      <c r="J6132" s="7" t="s">
        <v>1469</v>
      </c>
      <c r="K6132" s="7" t="n">
        <f aca="false">IFERROR(VALUE(RIGHT(TRIM(F6132),4)),"")</f>
        <v>2018</v>
      </c>
      <c r="L6132" s="7" t="str">
        <f aca="false">IF(TRIM(E6132)="","Unknown",IFERROR(LEFT(TRIM(E6132),FIND(",",TRIM(E6132))-1),TRIM(E6132)))</f>
        <v>United States</v>
      </c>
      <c r="M6132" s="7" t="str">
        <f aca="false">IFERROR(LEFT(J6132,FIND(",",J6132)-1),J6132)</f>
        <v>TV Dramas</v>
      </c>
      <c r="N6132" s="7" t="str">
        <f aca="false">IF(B6132="Movie",IFERROR(VALUE(LEFT(I6132,FIND(" ",I6132)-1)),""),"")</f>
        <v/>
      </c>
      <c r="O6132" s="7" t="n">
        <f aca="false">IF(B6132="TV Show",IFERROR(VALUE(LEFT(I6132,FIND(" ",I6132)-1)),""),"")</f>
        <v>5</v>
      </c>
      <c r="P6132" s="7" t="n">
        <f aca="false">IF(K6132="","",K6132-G6132)</f>
        <v>0</v>
      </c>
    </row>
    <row r="6133" customFormat="false" ht="15" hidden="false" customHeight="false" outlineLevel="0" collapsed="false">
      <c r="A6133" s="7" t="n">
        <v>80027158</v>
      </c>
      <c r="B6133" s="7" t="s">
        <v>78</v>
      </c>
      <c r="C6133" s="7" t="s">
        <v>12099</v>
      </c>
      <c r="E6133" s="7" t="s">
        <v>26</v>
      </c>
      <c r="F6133" s="7" t="s">
        <v>12100</v>
      </c>
      <c r="G6133" s="7" t="n">
        <v>2019</v>
      </c>
      <c r="H6133" s="7" t="s">
        <v>49</v>
      </c>
      <c r="I6133" s="7" t="s">
        <v>11135</v>
      </c>
      <c r="J6133" s="7" t="s">
        <v>256</v>
      </c>
      <c r="K6133" s="7" t="n">
        <f aca="false">IFERROR(VALUE(RIGHT(TRIM(F6133),4)),"")</f>
        <v>2019</v>
      </c>
      <c r="L6133" s="7" t="str">
        <f aca="false">IF(TRIM(E6133)="","Unknown",IFERROR(LEFT(TRIM(E6133),FIND(",",TRIM(E6133))-1),TRIM(E6133)))</f>
        <v>United States</v>
      </c>
      <c r="M6133" s="7" t="str">
        <f aca="false">IFERROR(LEFT(J6133,FIND(",",J6133)-1),J6133)</f>
        <v>Romantic TV Shows</v>
      </c>
      <c r="N6133" s="7" t="str">
        <f aca="false">IF(B6133="Movie",IFERROR(VALUE(LEFT(I6133,FIND(" ",I6133)-1)),""),"")</f>
        <v/>
      </c>
      <c r="O6133" s="7" t="n">
        <f aca="false">IF(B6133="TV Show",IFERROR(VALUE(LEFT(I6133,FIND(" ",I6133)-1)),""),"")</f>
        <v>5</v>
      </c>
      <c r="P6133" s="7" t="n">
        <f aca="false">IF(K6133="","",K6133-G6133)</f>
        <v>0</v>
      </c>
    </row>
    <row r="6134" customFormat="false" ht="15" hidden="false" customHeight="false" outlineLevel="0" collapsed="false">
      <c r="A6134" s="7" t="n">
        <v>80231658</v>
      </c>
      <c r="B6134" s="7" t="s">
        <v>78</v>
      </c>
      <c r="C6134" s="7" t="s">
        <v>12101</v>
      </c>
      <c r="E6134" s="7" t="s">
        <v>26</v>
      </c>
      <c r="F6134" s="7" t="s">
        <v>12102</v>
      </c>
      <c r="G6134" s="7" t="n">
        <v>2019</v>
      </c>
      <c r="H6134" s="7" t="s">
        <v>50</v>
      </c>
      <c r="I6134" s="7" t="s">
        <v>11132</v>
      </c>
      <c r="J6134" s="7" t="s">
        <v>7233</v>
      </c>
      <c r="K6134" s="7" t="n">
        <f aca="false">IFERROR(VALUE(RIGHT(TRIM(F6134),4)),"")</f>
        <v>2019</v>
      </c>
      <c r="L6134" s="7" t="str">
        <f aca="false">IF(TRIM(E6134)="","Unknown",IFERROR(LEFT(TRIM(E6134),FIND(",",TRIM(E6134))-1),TRIM(E6134)))</f>
        <v>United States</v>
      </c>
      <c r="M6134" s="7" t="str">
        <f aca="false">IFERROR(LEFT(J6134,FIND(",",J6134)-1),J6134)</f>
        <v>Kids' TV</v>
      </c>
      <c r="N6134" s="7" t="str">
        <f aca="false">IF(B6134="Movie",IFERROR(VALUE(LEFT(I6134,FIND(" ",I6134)-1)),""),"")</f>
        <v/>
      </c>
      <c r="O6134" s="7" t="n">
        <f aca="false">IF(B6134="TV Show",IFERROR(VALUE(LEFT(I6134,FIND(" ",I6134)-1)),""),"")</f>
        <v>2</v>
      </c>
      <c r="P6134" s="7" t="n">
        <f aca="false">IF(K6134="","",K6134-G6134)</f>
        <v>0</v>
      </c>
    </row>
    <row r="6135" customFormat="false" ht="15" hidden="false" customHeight="false" outlineLevel="0" collapsed="false">
      <c r="A6135" s="7" t="n">
        <v>70300626</v>
      </c>
      <c r="B6135" s="7" t="s">
        <v>78</v>
      </c>
      <c r="C6135" s="7" t="s">
        <v>12103</v>
      </c>
      <c r="E6135" s="7" t="s">
        <v>29</v>
      </c>
      <c r="F6135" s="7" t="s">
        <v>12104</v>
      </c>
      <c r="G6135" s="7" t="n">
        <v>2016</v>
      </c>
      <c r="H6135" s="7" t="s">
        <v>55</v>
      </c>
      <c r="I6135" s="7" t="s">
        <v>11135</v>
      </c>
      <c r="J6135" s="7" t="s">
        <v>44</v>
      </c>
      <c r="K6135" s="7" t="n">
        <f aca="false">IFERROR(VALUE(RIGHT(TRIM(F6135),4)),"")</f>
        <v>2016</v>
      </c>
      <c r="L6135" s="7" t="str">
        <f aca="false">IF(TRIM(E6135)="","Unknown",IFERROR(LEFT(TRIM(E6135),FIND(",",TRIM(E6135))-1),TRIM(E6135)))</f>
        <v>Canada</v>
      </c>
      <c r="M6135" s="7" t="str">
        <f aca="false">IFERROR(LEFT(J6135,FIND(",",J6135)-1),J6135)</f>
        <v>Kids' TV</v>
      </c>
      <c r="N6135" s="7" t="str">
        <f aca="false">IF(B6135="Movie",IFERROR(VALUE(LEFT(I6135,FIND(" ",I6135)-1)),""),"")</f>
        <v/>
      </c>
      <c r="O6135" s="7" t="n">
        <f aca="false">IF(B6135="TV Show",IFERROR(VALUE(LEFT(I6135,FIND(" ",I6135)-1)),""),"")</f>
        <v>5</v>
      </c>
      <c r="P6135" s="7" t="n">
        <f aca="false">IF(K6135="","",K6135-G6135)</f>
        <v>0</v>
      </c>
    </row>
    <row r="6136" customFormat="false" ht="15" hidden="false" customHeight="false" outlineLevel="0" collapsed="false">
      <c r="A6136" s="7" t="n">
        <v>80176929</v>
      </c>
      <c r="B6136" s="7" t="s">
        <v>78</v>
      </c>
      <c r="C6136" s="7" t="s">
        <v>12105</v>
      </c>
      <c r="D6136" s="7" t="s">
        <v>12106</v>
      </c>
      <c r="E6136" s="7" t="s">
        <v>32</v>
      </c>
      <c r="F6136" s="7" t="s">
        <v>12107</v>
      </c>
      <c r="G6136" s="7" t="n">
        <v>2017</v>
      </c>
      <c r="H6136" s="7" t="s">
        <v>50</v>
      </c>
      <c r="I6136" s="7" t="s">
        <v>11132</v>
      </c>
      <c r="J6136" s="7" t="s">
        <v>8099</v>
      </c>
      <c r="K6136" s="7" t="n">
        <f aca="false">IFERROR(VALUE(RIGHT(TRIM(F6136),4)),"")</f>
        <v>2017</v>
      </c>
      <c r="L6136" s="7" t="str">
        <f aca="false">IF(TRIM(E6136)="","Unknown",IFERROR(LEFT(TRIM(E6136),FIND(",",TRIM(E6136))-1),TRIM(E6136)))</f>
        <v>South Korea</v>
      </c>
      <c r="M6136" s="7" t="str">
        <f aca="false">IFERROR(LEFT(J6136,FIND(",",J6136)-1),J6136)</f>
        <v>International TV Shows</v>
      </c>
      <c r="N6136" s="7" t="str">
        <f aca="false">IF(B6136="Movie",IFERROR(VALUE(LEFT(I6136,FIND(" ",I6136)-1)),""),"")</f>
        <v/>
      </c>
      <c r="O6136" s="7" t="n">
        <f aca="false">IF(B6136="TV Show",IFERROR(VALUE(LEFT(I6136,FIND(" ",I6136)-1)),""),"")</f>
        <v>2</v>
      </c>
      <c r="P6136" s="7" t="n">
        <f aca="false">IF(K6136="","",K6136-G6136)</f>
        <v>0</v>
      </c>
    </row>
    <row r="6137" customFormat="false" ht="15" hidden="false" customHeight="false" outlineLevel="0" collapsed="false">
      <c r="A6137" s="7" t="n">
        <v>80176931</v>
      </c>
      <c r="B6137" s="7" t="s">
        <v>78</v>
      </c>
      <c r="C6137" s="7" t="s">
        <v>12108</v>
      </c>
      <c r="E6137" s="7" t="s">
        <v>32</v>
      </c>
      <c r="F6137" s="7" t="s">
        <v>12107</v>
      </c>
      <c r="G6137" s="7" t="n">
        <v>2017</v>
      </c>
      <c r="H6137" s="7" t="s">
        <v>50</v>
      </c>
      <c r="I6137" s="7" t="s">
        <v>11132</v>
      </c>
      <c r="J6137" s="7" t="s">
        <v>3844</v>
      </c>
      <c r="K6137" s="7" t="n">
        <f aca="false">IFERROR(VALUE(RIGHT(TRIM(F6137),4)),"")</f>
        <v>2017</v>
      </c>
      <c r="L6137" s="7" t="str">
        <f aca="false">IF(TRIM(E6137)="","Unknown",IFERROR(LEFT(TRIM(E6137),FIND(",",TRIM(E6137))-1),TRIM(E6137)))</f>
        <v>South Korea</v>
      </c>
      <c r="M6137" s="7" t="str">
        <f aca="false">IFERROR(LEFT(J6137,FIND(",",J6137)-1),J6137)</f>
        <v>International TV Shows</v>
      </c>
      <c r="N6137" s="7" t="str">
        <f aca="false">IF(B6137="Movie",IFERROR(VALUE(LEFT(I6137,FIND(" ",I6137)-1)),""),"")</f>
        <v/>
      </c>
      <c r="O6137" s="7" t="n">
        <f aca="false">IF(B6137="TV Show",IFERROR(VALUE(LEFT(I6137,FIND(" ",I6137)-1)),""),"")</f>
        <v>2</v>
      </c>
      <c r="P6137" s="7" t="n">
        <f aca="false">IF(K6137="","",K6137-G6137)</f>
        <v>0</v>
      </c>
    </row>
    <row r="6138" customFormat="false" ht="15" hidden="false" customHeight="false" outlineLevel="0" collapsed="false">
      <c r="A6138" s="7" t="n">
        <v>80194367</v>
      </c>
      <c r="B6138" s="7" t="s">
        <v>78</v>
      </c>
      <c r="C6138" s="7" t="s">
        <v>12109</v>
      </c>
      <c r="E6138" s="7" t="s">
        <v>29</v>
      </c>
      <c r="F6138" s="7" t="s">
        <v>12107</v>
      </c>
      <c r="G6138" s="7" t="n">
        <v>2016</v>
      </c>
      <c r="H6138" s="7" t="s">
        <v>49</v>
      </c>
      <c r="I6138" s="7" t="s">
        <v>11132</v>
      </c>
      <c r="J6138" s="7" t="s">
        <v>164</v>
      </c>
      <c r="K6138" s="7" t="n">
        <f aca="false">IFERROR(VALUE(RIGHT(TRIM(F6138),4)),"")</f>
        <v>2017</v>
      </c>
      <c r="L6138" s="7" t="str">
        <f aca="false">IF(TRIM(E6138)="","Unknown",IFERROR(LEFT(TRIM(E6138),FIND(",",TRIM(E6138))-1),TRIM(E6138)))</f>
        <v>Canada</v>
      </c>
      <c r="M6138" s="7" t="str">
        <f aca="false">IFERROR(LEFT(J6138,FIND(",",J6138)-1),J6138)</f>
        <v>Docuseries</v>
      </c>
      <c r="N6138" s="7" t="str">
        <f aca="false">IF(B6138="Movie",IFERROR(VALUE(LEFT(I6138,FIND(" ",I6138)-1)),""),"")</f>
        <v/>
      </c>
      <c r="O6138" s="7" t="n">
        <f aca="false">IF(B6138="TV Show",IFERROR(VALUE(LEFT(I6138,FIND(" ",I6138)-1)),""),"")</f>
        <v>2</v>
      </c>
      <c r="P6138" s="7" t="n">
        <f aca="false">IF(K6138="","",K6138-G6138)</f>
        <v>1</v>
      </c>
    </row>
    <row r="6139" customFormat="false" ht="15" hidden="false" customHeight="false" outlineLevel="0" collapsed="false">
      <c r="A6139" s="7" t="n">
        <v>80117552</v>
      </c>
      <c r="B6139" s="7" t="s">
        <v>78</v>
      </c>
      <c r="C6139" s="7" t="s">
        <v>12110</v>
      </c>
      <c r="E6139" s="7" t="s">
        <v>26</v>
      </c>
      <c r="F6139" s="7" t="s">
        <v>12111</v>
      </c>
      <c r="G6139" s="7" t="n">
        <v>2018</v>
      </c>
      <c r="H6139" s="7" t="s">
        <v>48</v>
      </c>
      <c r="I6139" s="7" t="s">
        <v>11132</v>
      </c>
      <c r="J6139" s="7" t="s">
        <v>4370</v>
      </c>
      <c r="K6139" s="7" t="n">
        <f aca="false">IFERROR(VALUE(RIGHT(TRIM(F6139),4)),"")</f>
        <v>2018</v>
      </c>
      <c r="L6139" s="7" t="str">
        <f aca="false">IF(TRIM(E6139)="","Unknown",IFERROR(LEFT(TRIM(E6139),FIND(",",TRIM(E6139))-1),TRIM(E6139)))</f>
        <v>United States</v>
      </c>
      <c r="M6139" s="7" t="str">
        <f aca="false">IFERROR(LEFT(J6139,FIND(",",J6139)-1),J6139)</f>
        <v>Crime TV Shows</v>
      </c>
      <c r="N6139" s="7" t="str">
        <f aca="false">IF(B6139="Movie",IFERROR(VALUE(LEFT(I6139,FIND(" ",I6139)-1)),""),"")</f>
        <v/>
      </c>
      <c r="O6139" s="7" t="n">
        <f aca="false">IF(B6139="TV Show",IFERROR(VALUE(LEFT(I6139,FIND(" ",I6139)-1)),""),"")</f>
        <v>2</v>
      </c>
      <c r="P6139" s="7" t="n">
        <f aca="false">IF(K6139="","",K6139-G6139)</f>
        <v>0</v>
      </c>
    </row>
    <row r="6140" customFormat="false" ht="15" hidden="false" customHeight="false" outlineLevel="0" collapsed="false">
      <c r="A6140" s="7" t="n">
        <v>80223138</v>
      </c>
      <c r="B6140" s="7" t="s">
        <v>78</v>
      </c>
      <c r="C6140" s="7" t="s">
        <v>12112</v>
      </c>
      <c r="E6140" s="7" t="s">
        <v>26</v>
      </c>
      <c r="F6140" s="7" t="s">
        <v>12111</v>
      </c>
      <c r="G6140" s="7" t="n">
        <v>2018</v>
      </c>
      <c r="H6140" s="7" t="s">
        <v>48</v>
      </c>
      <c r="I6140" s="7" t="s">
        <v>11132</v>
      </c>
      <c r="J6140" s="7" t="s">
        <v>795</v>
      </c>
      <c r="K6140" s="7" t="n">
        <f aca="false">IFERROR(VALUE(RIGHT(TRIM(F6140),4)),"")</f>
        <v>2018</v>
      </c>
      <c r="L6140" s="7" t="str">
        <f aca="false">IF(TRIM(E6140)="","Unknown",IFERROR(LEFT(TRIM(E6140),FIND(",",TRIM(E6140))-1),TRIM(E6140)))</f>
        <v>United States</v>
      </c>
      <c r="M6140" s="7" t="str">
        <f aca="false">IFERROR(LEFT(J6140,FIND(",",J6140)-1),J6140)</f>
        <v>Stand-Up Comedy &amp; Talk Shows</v>
      </c>
      <c r="N6140" s="7" t="str">
        <f aca="false">IF(B6140="Movie",IFERROR(VALUE(LEFT(I6140,FIND(" ",I6140)-1)),""),"")</f>
        <v/>
      </c>
      <c r="O6140" s="7" t="n">
        <f aca="false">IF(B6140="TV Show",IFERROR(VALUE(LEFT(I6140,FIND(" ",I6140)-1)),""),"")</f>
        <v>2</v>
      </c>
      <c r="P6140" s="7" t="n">
        <f aca="false">IF(K6140="","",K6140-G6140)</f>
        <v>0</v>
      </c>
    </row>
    <row r="6141" customFormat="false" ht="15" hidden="false" customHeight="false" outlineLevel="0" collapsed="false">
      <c r="A6141" s="7" t="n">
        <v>80095299</v>
      </c>
      <c r="B6141" s="7" t="s">
        <v>78</v>
      </c>
      <c r="C6141" s="7" t="s">
        <v>12113</v>
      </c>
      <c r="E6141" s="7" t="s">
        <v>12114</v>
      </c>
      <c r="F6141" s="7" t="s">
        <v>12111</v>
      </c>
      <c r="G6141" s="7" t="n">
        <v>2018</v>
      </c>
      <c r="H6141" s="7" t="s">
        <v>49</v>
      </c>
      <c r="I6141" s="7" t="s">
        <v>11148</v>
      </c>
      <c r="J6141" s="7" t="s">
        <v>701</v>
      </c>
      <c r="K6141" s="7" t="n">
        <f aca="false">IFERROR(VALUE(RIGHT(TRIM(F6141),4)),"")</f>
        <v>2018</v>
      </c>
      <c r="L6141" s="7" t="str">
        <f aca="false">IF(TRIM(E6141)="","Unknown",IFERROR(LEFT(TRIM(E6141),FIND(",",TRIM(E6141))-1),TRIM(E6141)))</f>
        <v>United States</v>
      </c>
      <c r="M6141" s="7" t="str">
        <f aca="false">IFERROR(LEFT(J6141,FIND(",",J6141)-1),J6141)</f>
        <v>Reality TV</v>
      </c>
      <c r="N6141" s="7" t="str">
        <f aca="false">IF(B6141="Movie",IFERROR(VALUE(LEFT(I6141,FIND(" ",I6141)-1)),""),"")</f>
        <v/>
      </c>
      <c r="O6141" s="7" t="n">
        <f aca="false">IF(B6141="TV Show",IFERROR(VALUE(LEFT(I6141,FIND(" ",I6141)-1)),""),"")</f>
        <v>3</v>
      </c>
      <c r="P6141" s="7" t="n">
        <f aca="false">IF(K6141="","",K6141-G6141)</f>
        <v>0</v>
      </c>
    </row>
    <row r="6142" customFormat="false" ht="15" hidden="false" customHeight="false" outlineLevel="0" collapsed="false">
      <c r="A6142" s="7" t="n">
        <v>80156006</v>
      </c>
      <c r="B6142" s="7" t="s">
        <v>78</v>
      </c>
      <c r="C6142" s="7" t="s">
        <v>12115</v>
      </c>
      <c r="E6142" s="7" t="s">
        <v>12114</v>
      </c>
      <c r="F6142" s="7" t="s">
        <v>12111</v>
      </c>
      <c r="G6142" s="7" t="n">
        <v>2018</v>
      </c>
      <c r="H6142" s="7" t="s">
        <v>49</v>
      </c>
      <c r="I6142" s="7" t="s">
        <v>11148</v>
      </c>
      <c r="J6142" s="7" t="s">
        <v>12116</v>
      </c>
      <c r="K6142" s="7" t="n">
        <f aca="false">IFERROR(VALUE(RIGHT(TRIM(F6142),4)),"")</f>
        <v>2018</v>
      </c>
      <c r="L6142" s="7" t="str">
        <f aca="false">IF(TRIM(E6142)="","Unknown",IFERROR(LEFT(TRIM(E6142),FIND(",",TRIM(E6142))-1),TRIM(E6142)))</f>
        <v>United States</v>
      </c>
      <c r="M6142" s="7" t="str">
        <f aca="false">IFERROR(LEFT(J6142,FIND(",",J6142)-1),J6142)</f>
        <v>Reality TV</v>
      </c>
      <c r="N6142" s="7" t="str">
        <f aca="false">IF(B6142="Movie",IFERROR(VALUE(LEFT(I6142,FIND(" ",I6142)-1)),""),"")</f>
        <v/>
      </c>
      <c r="O6142" s="7" t="n">
        <f aca="false">IF(B6142="TV Show",IFERROR(VALUE(LEFT(I6142,FIND(" ",I6142)-1)),""),"")</f>
        <v>3</v>
      </c>
      <c r="P6142" s="7" t="n">
        <f aca="false">IF(K6142="","",K6142-G6142)</f>
        <v>0</v>
      </c>
    </row>
    <row r="6143" customFormat="false" ht="15" hidden="false" customHeight="false" outlineLevel="0" collapsed="false">
      <c r="A6143" s="7" t="n">
        <v>80211492</v>
      </c>
      <c r="B6143" s="7" t="s">
        <v>78</v>
      </c>
      <c r="C6143" s="7" t="s">
        <v>12117</v>
      </c>
      <c r="F6143" s="7" t="s">
        <v>12118</v>
      </c>
      <c r="G6143" s="7" t="n">
        <v>2019</v>
      </c>
      <c r="H6143" s="7" t="s">
        <v>119</v>
      </c>
      <c r="I6143" s="7" t="s">
        <v>11132</v>
      </c>
      <c r="J6143" s="7" t="s">
        <v>191</v>
      </c>
      <c r="K6143" s="7" t="n">
        <f aca="false">IFERROR(VALUE(RIGHT(TRIM(F6143),4)),"")</f>
        <v>2019</v>
      </c>
      <c r="L6143" s="7" t="str">
        <f aca="false">IF(TRIM(E6143)="","Unknown",IFERROR(LEFT(TRIM(E6143),FIND(",",TRIM(E6143))-1),TRIM(E6143)))</f>
        <v>Unknown</v>
      </c>
      <c r="M6143" s="7" t="str">
        <f aca="false">IFERROR(LEFT(J6143,FIND(",",J6143)-1),J6143)</f>
        <v>Kids' TV</v>
      </c>
      <c r="N6143" s="7" t="str">
        <f aca="false">IF(B6143="Movie",IFERROR(VALUE(LEFT(I6143,FIND(" ",I6143)-1)),""),"")</f>
        <v/>
      </c>
      <c r="O6143" s="7" t="n">
        <f aca="false">IF(B6143="TV Show",IFERROR(VALUE(LEFT(I6143,FIND(" ",I6143)-1)),""),"")</f>
        <v>2</v>
      </c>
      <c r="P6143" s="7" t="n">
        <f aca="false">IF(K6143="","",K6143-G6143)</f>
        <v>0</v>
      </c>
    </row>
    <row r="6144" customFormat="false" ht="15" hidden="false" customHeight="false" outlineLevel="0" collapsed="false">
      <c r="A6144" s="7" t="n">
        <v>80063224</v>
      </c>
      <c r="B6144" s="7" t="s">
        <v>78</v>
      </c>
      <c r="C6144" s="7" t="s">
        <v>12119</v>
      </c>
      <c r="D6144" s="7" t="s">
        <v>12120</v>
      </c>
      <c r="E6144" s="7" t="s">
        <v>28</v>
      </c>
      <c r="F6144" s="7" t="s">
        <v>12118</v>
      </c>
      <c r="G6144" s="7" t="n">
        <v>2019</v>
      </c>
      <c r="H6144" s="7" t="s">
        <v>50</v>
      </c>
      <c r="I6144" s="7" t="s">
        <v>11152</v>
      </c>
      <c r="J6144" s="7" t="s">
        <v>1574</v>
      </c>
      <c r="K6144" s="7" t="n">
        <f aca="false">IFERROR(VALUE(RIGHT(TRIM(F6144),4)),"")</f>
        <v>2019</v>
      </c>
      <c r="L6144" s="7" t="str">
        <f aca="false">IF(TRIM(E6144)="","Unknown",IFERROR(LEFT(TRIM(E6144),FIND(",",TRIM(E6144))-1),TRIM(E6144)))</f>
        <v>United Kingdom</v>
      </c>
      <c r="M6144" s="7" t="str">
        <f aca="false">IFERROR(LEFT(J6144,FIND(",",J6144)-1),J6144)</f>
        <v>British TV Shows</v>
      </c>
      <c r="N6144" s="7" t="str">
        <f aca="false">IF(B6144="Movie",IFERROR(VALUE(LEFT(I6144,FIND(" ",I6144)-1)),""),"")</f>
        <v/>
      </c>
      <c r="O6144" s="7" t="n">
        <f aca="false">IF(B6144="TV Show",IFERROR(VALUE(LEFT(I6144,FIND(" ",I6144)-1)),""),"")</f>
        <v>7</v>
      </c>
      <c r="P6144" s="7" t="n">
        <f aca="false">IF(K6144="","",K6144-G6144)</f>
        <v>0</v>
      </c>
    </row>
    <row r="6145" customFormat="false" ht="15" hidden="false" customHeight="false" outlineLevel="0" collapsed="false">
      <c r="A6145" s="7" t="n">
        <v>80063599</v>
      </c>
      <c r="B6145" s="7" t="s">
        <v>78</v>
      </c>
      <c r="C6145" s="7" t="s">
        <v>12121</v>
      </c>
      <c r="E6145" s="7" t="s">
        <v>29</v>
      </c>
      <c r="F6145" s="7" t="s">
        <v>12118</v>
      </c>
      <c r="G6145" s="7" t="n">
        <v>2019</v>
      </c>
      <c r="H6145" s="7" t="s">
        <v>119</v>
      </c>
      <c r="I6145" s="7" t="s">
        <v>11148</v>
      </c>
      <c r="J6145" s="7" t="s">
        <v>44</v>
      </c>
      <c r="K6145" s="7" t="n">
        <f aca="false">IFERROR(VALUE(RIGHT(TRIM(F6145),4)),"")</f>
        <v>2019</v>
      </c>
      <c r="L6145" s="7" t="str">
        <f aca="false">IF(TRIM(E6145)="","Unknown",IFERROR(LEFT(TRIM(E6145),FIND(",",TRIM(E6145))-1),TRIM(E6145)))</f>
        <v>Canada</v>
      </c>
      <c r="M6145" s="7" t="str">
        <f aca="false">IFERROR(LEFT(J6145,FIND(",",J6145)-1),J6145)</f>
        <v>Kids' TV</v>
      </c>
      <c r="N6145" s="7" t="str">
        <f aca="false">IF(B6145="Movie",IFERROR(VALUE(LEFT(I6145,FIND(" ",I6145)-1)),""),"")</f>
        <v/>
      </c>
      <c r="O6145" s="7" t="n">
        <f aca="false">IF(B6145="TV Show",IFERROR(VALUE(LEFT(I6145,FIND(" ",I6145)-1)),""),"")</f>
        <v>3</v>
      </c>
      <c r="P6145" s="7" t="n">
        <f aca="false">IF(K6145="","",K6145-G6145)</f>
        <v>0</v>
      </c>
    </row>
    <row r="6146" customFormat="false" ht="15" hidden="false" customHeight="false" outlineLevel="0" collapsed="false">
      <c r="A6146" s="7" t="n">
        <v>80171452</v>
      </c>
      <c r="B6146" s="7" t="s">
        <v>78</v>
      </c>
      <c r="C6146" s="7" t="s">
        <v>12122</v>
      </c>
      <c r="E6146" s="7" t="s">
        <v>26</v>
      </c>
      <c r="F6146" s="7" t="s">
        <v>12123</v>
      </c>
      <c r="G6146" s="7" t="n">
        <v>2018</v>
      </c>
      <c r="H6146" s="7" t="s">
        <v>81</v>
      </c>
      <c r="I6146" s="7" t="s">
        <v>11148</v>
      </c>
      <c r="J6146" s="7" t="s">
        <v>44</v>
      </c>
      <c r="K6146" s="7" t="n">
        <f aca="false">IFERROR(VALUE(RIGHT(TRIM(F6146),4)),"")</f>
        <v>2018</v>
      </c>
      <c r="L6146" s="7" t="str">
        <f aca="false">IF(TRIM(E6146)="","Unknown",IFERROR(LEFT(TRIM(E6146),FIND(",",TRIM(E6146))-1),TRIM(E6146)))</f>
        <v>United States</v>
      </c>
      <c r="M6146" s="7" t="str">
        <f aca="false">IFERROR(LEFT(J6146,FIND(",",J6146)-1),J6146)</f>
        <v>Kids' TV</v>
      </c>
      <c r="N6146" s="7" t="str">
        <f aca="false">IF(B6146="Movie",IFERROR(VALUE(LEFT(I6146,FIND(" ",I6146)-1)),""),"")</f>
        <v/>
      </c>
      <c r="O6146" s="7" t="n">
        <f aca="false">IF(B6146="TV Show",IFERROR(VALUE(LEFT(I6146,FIND(" ",I6146)-1)),""),"")</f>
        <v>3</v>
      </c>
      <c r="P6146" s="7" t="n">
        <f aca="false">IF(K6146="","",K6146-G6146)</f>
        <v>0</v>
      </c>
    </row>
    <row r="6147" customFormat="false" ht="15" hidden="false" customHeight="false" outlineLevel="0" collapsed="false">
      <c r="A6147" s="7" t="n">
        <v>80198991</v>
      </c>
      <c r="B6147" s="7" t="s">
        <v>78</v>
      </c>
      <c r="C6147" s="7" t="s">
        <v>12124</v>
      </c>
      <c r="E6147" s="7" t="s">
        <v>29</v>
      </c>
      <c r="F6147" s="7" t="s">
        <v>12125</v>
      </c>
      <c r="G6147" s="7" t="n">
        <v>2019</v>
      </c>
      <c r="H6147" s="7" t="s">
        <v>48</v>
      </c>
      <c r="I6147" s="7" t="s">
        <v>11148</v>
      </c>
      <c r="J6147" s="7" t="s">
        <v>1357</v>
      </c>
      <c r="K6147" s="7" t="n">
        <f aca="false">IFERROR(VALUE(RIGHT(TRIM(F6147),4)),"")</f>
        <v>2019</v>
      </c>
      <c r="L6147" s="7" t="str">
        <f aca="false">IF(TRIM(E6147)="","Unknown",IFERROR(LEFT(TRIM(E6147),FIND(",",TRIM(E6147))-1),TRIM(E6147)))</f>
        <v>Canada</v>
      </c>
      <c r="M6147" s="7" t="str">
        <f aca="false">IFERROR(LEFT(J6147,FIND(",",J6147)-1),J6147)</f>
        <v>International TV Shows</v>
      </c>
      <c r="N6147" s="7" t="str">
        <f aca="false">IF(B6147="Movie",IFERROR(VALUE(LEFT(I6147,FIND(" ",I6147)-1)),""),"")</f>
        <v/>
      </c>
      <c r="O6147" s="7" t="n">
        <f aca="false">IF(B6147="TV Show",IFERROR(VALUE(LEFT(I6147,FIND(" ",I6147)-1)),""),"")</f>
        <v>3</v>
      </c>
      <c r="P6147" s="7" t="n">
        <f aca="false">IF(K6147="","",K6147-G6147)</f>
        <v>0</v>
      </c>
    </row>
    <row r="6148" customFormat="false" ht="15" hidden="false" customHeight="false" outlineLevel="0" collapsed="false">
      <c r="A6148" s="7" t="n">
        <v>81029611</v>
      </c>
      <c r="B6148" s="7" t="s">
        <v>78</v>
      </c>
      <c r="C6148" s="7" t="s">
        <v>12126</v>
      </c>
      <c r="E6148" s="7" t="s">
        <v>26</v>
      </c>
      <c r="F6148" s="7" t="s">
        <v>12127</v>
      </c>
      <c r="G6148" s="7" t="n">
        <v>2019</v>
      </c>
      <c r="H6148" s="7" t="s">
        <v>48</v>
      </c>
      <c r="I6148" s="7" t="s">
        <v>11132</v>
      </c>
      <c r="J6148" s="7" t="s">
        <v>701</v>
      </c>
      <c r="K6148" s="7" t="n">
        <f aca="false">IFERROR(VALUE(RIGHT(TRIM(F6148),4)),"")</f>
        <v>2019</v>
      </c>
      <c r="L6148" s="7" t="str">
        <f aca="false">IF(TRIM(E6148)="","Unknown",IFERROR(LEFT(TRIM(E6148),FIND(",",TRIM(E6148))-1),TRIM(E6148)))</f>
        <v>United States</v>
      </c>
      <c r="M6148" s="7" t="str">
        <f aca="false">IFERROR(LEFT(J6148,FIND(",",J6148)-1),J6148)</f>
        <v>Reality TV</v>
      </c>
      <c r="N6148" s="7" t="str">
        <f aca="false">IF(B6148="Movie",IFERROR(VALUE(LEFT(I6148,FIND(" ",I6148)-1)),""),"")</f>
        <v/>
      </c>
      <c r="O6148" s="7" t="n">
        <f aca="false">IF(B6148="TV Show",IFERROR(VALUE(LEFT(I6148,FIND(" ",I6148)-1)),""),"")</f>
        <v>2</v>
      </c>
      <c r="P6148" s="7" t="n">
        <f aca="false">IF(K6148="","",K6148-G6148)</f>
        <v>0</v>
      </c>
    </row>
    <row r="6149" customFormat="false" ht="15" hidden="false" customHeight="false" outlineLevel="0" collapsed="false">
      <c r="A6149" s="7" t="n">
        <v>80121349</v>
      </c>
      <c r="B6149" s="7" t="s">
        <v>78</v>
      </c>
      <c r="C6149" s="7" t="s">
        <v>12128</v>
      </c>
      <c r="E6149" s="7" t="s">
        <v>26</v>
      </c>
      <c r="F6149" s="7" t="s">
        <v>12127</v>
      </c>
      <c r="G6149" s="7" t="n">
        <v>2018</v>
      </c>
      <c r="H6149" s="7" t="s">
        <v>48</v>
      </c>
      <c r="I6149" s="7" t="s">
        <v>11148</v>
      </c>
      <c r="J6149" s="7" t="s">
        <v>393</v>
      </c>
      <c r="K6149" s="7" t="n">
        <f aca="false">IFERROR(VALUE(RIGHT(TRIM(F6149),4)),"")</f>
        <v>2019</v>
      </c>
      <c r="L6149" s="7" t="str">
        <f aca="false">IF(TRIM(E6149)="","Unknown",IFERROR(LEFT(TRIM(E6149),FIND(",",TRIM(E6149))-1),TRIM(E6149)))</f>
        <v>United States</v>
      </c>
      <c r="M6149" s="7" t="str">
        <f aca="false">IFERROR(LEFT(J6149,FIND(",",J6149)-1),J6149)</f>
        <v>International TV Shows</v>
      </c>
      <c r="N6149" s="7" t="str">
        <f aca="false">IF(B6149="Movie",IFERROR(VALUE(LEFT(I6149,FIND(" ",I6149)-1)),""),"")</f>
        <v/>
      </c>
      <c r="O6149" s="7" t="n">
        <f aca="false">IF(B6149="TV Show",IFERROR(VALUE(LEFT(I6149,FIND(" ",I6149)-1)),""),"")</f>
        <v>3</v>
      </c>
      <c r="P6149" s="7" t="n">
        <f aca="false">IF(K6149="","",K6149-G6149)</f>
        <v>1</v>
      </c>
    </row>
    <row r="6150" customFormat="false" ht="15" hidden="false" customHeight="false" outlineLevel="0" collapsed="false">
      <c r="A6150" s="7" t="n">
        <v>81004322</v>
      </c>
      <c r="B6150" s="7" t="s">
        <v>78</v>
      </c>
      <c r="C6150" s="7" t="s">
        <v>12129</v>
      </c>
      <c r="E6150" s="7" t="s">
        <v>28</v>
      </c>
      <c r="F6150" s="7" t="s">
        <v>12130</v>
      </c>
      <c r="G6150" s="7" t="n">
        <v>2019</v>
      </c>
      <c r="H6150" s="7" t="s">
        <v>48</v>
      </c>
      <c r="I6150" s="7" t="s">
        <v>11132</v>
      </c>
      <c r="J6150" s="7" t="s">
        <v>716</v>
      </c>
      <c r="K6150" s="7" t="n">
        <f aca="false">IFERROR(VALUE(RIGHT(TRIM(F6150),4)),"")</f>
        <v>2019</v>
      </c>
      <c r="L6150" s="7" t="str">
        <f aca="false">IF(TRIM(E6150)="","Unknown",IFERROR(LEFT(TRIM(E6150),FIND(",",TRIM(E6150))-1),TRIM(E6150)))</f>
        <v>United Kingdom</v>
      </c>
      <c r="M6150" s="7" t="str">
        <f aca="false">IFERROR(LEFT(J6150,FIND(",",J6150)-1),J6150)</f>
        <v>British TV Shows</v>
      </c>
      <c r="N6150" s="7" t="str">
        <f aca="false">IF(B6150="Movie",IFERROR(VALUE(LEFT(I6150,FIND(" ",I6150)-1)),""),"")</f>
        <v/>
      </c>
      <c r="O6150" s="7" t="n">
        <f aca="false">IF(B6150="TV Show",IFERROR(VALUE(LEFT(I6150,FIND(" ",I6150)-1)),""),"")</f>
        <v>2</v>
      </c>
      <c r="P6150" s="7" t="n">
        <f aca="false">IF(K6150="","",K6150-G6150)</f>
        <v>0</v>
      </c>
    </row>
    <row r="6151" customFormat="false" ht="15" hidden="false" customHeight="false" outlineLevel="0" collapsed="false">
      <c r="A6151" s="7" t="n">
        <v>80113701</v>
      </c>
      <c r="B6151" s="7" t="s">
        <v>78</v>
      </c>
      <c r="C6151" s="7" t="s">
        <v>12131</v>
      </c>
      <c r="E6151" s="7" t="s">
        <v>26</v>
      </c>
      <c r="F6151" s="7" t="s">
        <v>12130</v>
      </c>
      <c r="G6151" s="7" t="n">
        <v>2018</v>
      </c>
      <c r="H6151" s="7" t="s">
        <v>49</v>
      </c>
      <c r="I6151" s="7" t="s">
        <v>11148</v>
      </c>
      <c r="J6151" s="7" t="s">
        <v>289</v>
      </c>
      <c r="K6151" s="7" t="n">
        <f aca="false">IFERROR(VALUE(RIGHT(TRIM(F6151),4)),"")</f>
        <v>2019</v>
      </c>
      <c r="L6151" s="7" t="str">
        <f aca="false">IF(TRIM(E6151)="","Unknown",IFERROR(LEFT(TRIM(E6151),FIND(",",TRIM(E6151))-1),TRIM(E6151)))</f>
        <v>United States</v>
      </c>
      <c r="M6151" s="7" t="str">
        <f aca="false">IFERROR(LEFT(J6151,FIND(",",J6151)-1),J6151)</f>
        <v>TV Comedies</v>
      </c>
      <c r="N6151" s="7" t="str">
        <f aca="false">IF(B6151="Movie",IFERROR(VALUE(LEFT(I6151,FIND(" ",I6151)-1)),""),"")</f>
        <v/>
      </c>
      <c r="O6151" s="7" t="n">
        <f aca="false">IF(B6151="TV Show",IFERROR(VALUE(LEFT(I6151,FIND(" ",I6151)-1)),""),"")</f>
        <v>3</v>
      </c>
      <c r="P6151" s="7" t="n">
        <f aca="false">IF(K6151="","",K6151-G6151)</f>
        <v>1</v>
      </c>
    </row>
    <row r="6152" customFormat="false" ht="15" hidden="false" customHeight="false" outlineLevel="0" collapsed="false">
      <c r="A6152" s="7" t="n">
        <v>80057968</v>
      </c>
      <c r="B6152" s="7" t="s">
        <v>78</v>
      </c>
      <c r="C6152" s="7" t="s">
        <v>12132</v>
      </c>
      <c r="E6152" s="7" t="s">
        <v>30</v>
      </c>
      <c r="F6152" s="7" t="s">
        <v>12133</v>
      </c>
      <c r="G6152" s="7" t="n">
        <v>2016</v>
      </c>
      <c r="H6152" s="7" t="s">
        <v>55</v>
      </c>
      <c r="I6152" s="7" t="s">
        <v>11132</v>
      </c>
      <c r="J6152" s="7" t="s">
        <v>694</v>
      </c>
      <c r="K6152" s="7" t="n">
        <f aca="false">IFERROR(VALUE(RIGHT(TRIM(F6152),4)),"")</f>
        <v>2016</v>
      </c>
      <c r="L6152" s="7" t="str">
        <f aca="false">IF(TRIM(E6152)="","Unknown",IFERROR(LEFT(TRIM(E6152),FIND(",",TRIM(E6152))-1),TRIM(E6152)))</f>
        <v>Japan</v>
      </c>
      <c r="M6152" s="7" t="str">
        <f aca="false">IFERROR(LEFT(J6152,FIND(",",J6152)-1),J6152)</f>
        <v>Anime Series</v>
      </c>
      <c r="N6152" s="7" t="str">
        <f aca="false">IF(B6152="Movie",IFERROR(VALUE(LEFT(I6152,FIND(" ",I6152)-1)),""),"")</f>
        <v/>
      </c>
      <c r="O6152" s="7" t="n">
        <f aca="false">IF(B6152="TV Show",IFERROR(VALUE(LEFT(I6152,FIND(" ",I6152)-1)),""),"")</f>
        <v>2</v>
      </c>
      <c r="P6152" s="7" t="n">
        <f aca="false">IF(K6152="","",K6152-G6152)</f>
        <v>0</v>
      </c>
    </row>
    <row r="6153" customFormat="false" ht="15" hidden="false" customHeight="false" outlineLevel="0" collapsed="false">
      <c r="A6153" s="7" t="n">
        <v>80117470</v>
      </c>
      <c r="B6153" s="7" t="s">
        <v>78</v>
      </c>
      <c r="C6153" s="7" t="s">
        <v>12134</v>
      </c>
      <c r="E6153" s="7" t="s">
        <v>26</v>
      </c>
      <c r="F6153" s="7" t="s">
        <v>12135</v>
      </c>
      <c r="G6153" s="7" t="n">
        <v>2019</v>
      </c>
      <c r="H6153" s="7" t="s">
        <v>48</v>
      </c>
      <c r="I6153" s="7" t="s">
        <v>11148</v>
      </c>
      <c r="J6153" s="7" t="s">
        <v>282</v>
      </c>
      <c r="K6153" s="7" t="n">
        <f aca="false">IFERROR(VALUE(RIGHT(TRIM(F6153),4)),"")</f>
        <v>2019</v>
      </c>
      <c r="L6153" s="7" t="str">
        <f aca="false">IF(TRIM(E6153)="","Unknown",IFERROR(LEFT(TRIM(E6153),FIND(",",TRIM(E6153))-1),TRIM(E6153)))</f>
        <v>United States</v>
      </c>
      <c r="M6153" s="7" t="str">
        <f aca="false">IFERROR(LEFT(J6153,FIND(",",J6153)-1),J6153)</f>
        <v>Crime TV Shows</v>
      </c>
      <c r="N6153" s="7" t="str">
        <f aca="false">IF(B6153="Movie",IFERROR(VALUE(LEFT(I6153,FIND(" ",I6153)-1)),""),"")</f>
        <v/>
      </c>
      <c r="O6153" s="7" t="n">
        <f aca="false">IF(B6153="TV Show",IFERROR(VALUE(LEFT(I6153,FIND(" ",I6153)-1)),""),"")</f>
        <v>3</v>
      </c>
      <c r="P6153" s="7" t="n">
        <f aca="false">IF(K6153="","",K6153-G6153)</f>
        <v>0</v>
      </c>
    </row>
    <row r="6154" customFormat="false" ht="15" hidden="false" customHeight="false" outlineLevel="0" collapsed="false">
      <c r="A6154" s="7" t="n">
        <v>80996791</v>
      </c>
      <c r="B6154" s="7" t="s">
        <v>78</v>
      </c>
      <c r="C6154" s="7" t="s">
        <v>12136</v>
      </c>
      <c r="E6154" s="7" t="s">
        <v>26</v>
      </c>
      <c r="F6154" s="7" t="s">
        <v>12135</v>
      </c>
      <c r="G6154" s="7" t="n">
        <v>2019</v>
      </c>
      <c r="H6154" s="7" t="s">
        <v>48</v>
      </c>
      <c r="I6154" s="7" t="s">
        <v>11148</v>
      </c>
      <c r="J6154" s="7" t="s">
        <v>696</v>
      </c>
      <c r="K6154" s="7" t="n">
        <f aca="false">IFERROR(VALUE(RIGHT(TRIM(F6154),4)),"")</f>
        <v>2019</v>
      </c>
      <c r="L6154" s="7" t="str">
        <f aca="false">IF(TRIM(E6154)="","Unknown",IFERROR(LEFT(TRIM(E6154),FIND(",",TRIM(E6154))-1),TRIM(E6154)))</f>
        <v>United States</v>
      </c>
      <c r="M6154" s="7" t="str">
        <f aca="false">IFERROR(LEFT(J6154,FIND(",",J6154)-1),J6154)</f>
        <v>Crime TV Shows</v>
      </c>
      <c r="N6154" s="7" t="str">
        <f aca="false">IF(B6154="Movie",IFERROR(VALUE(LEFT(I6154,FIND(" ",I6154)-1)),""),"")</f>
        <v/>
      </c>
      <c r="O6154" s="7" t="n">
        <f aca="false">IF(B6154="TV Show",IFERROR(VALUE(LEFT(I6154,FIND(" ",I6154)-1)),""),"")</f>
        <v>3</v>
      </c>
      <c r="P6154" s="7" t="n">
        <f aca="false">IF(K6154="","",K6154-G6154)</f>
        <v>0</v>
      </c>
    </row>
    <row r="6155" customFormat="false" ht="15" hidden="false" customHeight="false" outlineLevel="0" collapsed="false">
      <c r="A6155" s="7" t="n">
        <v>80200027</v>
      </c>
      <c r="B6155" s="7" t="s">
        <v>78</v>
      </c>
      <c r="C6155" s="7" t="s">
        <v>12137</v>
      </c>
      <c r="F6155" s="7" t="s">
        <v>12135</v>
      </c>
      <c r="G6155" s="7" t="n">
        <v>2019</v>
      </c>
      <c r="H6155" s="7" t="s">
        <v>49</v>
      </c>
      <c r="I6155" s="7" t="s">
        <v>11132</v>
      </c>
      <c r="J6155" s="7" t="s">
        <v>1850</v>
      </c>
      <c r="K6155" s="7" t="n">
        <f aca="false">IFERROR(VALUE(RIGHT(TRIM(F6155),4)),"")</f>
        <v>2019</v>
      </c>
      <c r="L6155" s="7" t="str">
        <f aca="false">IF(TRIM(E6155)="","Unknown",IFERROR(LEFT(TRIM(E6155),FIND(",",TRIM(E6155))-1),TRIM(E6155)))</f>
        <v>Unknown</v>
      </c>
      <c r="M6155" s="7" t="str">
        <f aca="false">IFERROR(LEFT(J6155,FIND(",",J6155)-1),J6155)</f>
        <v>Anime Series</v>
      </c>
      <c r="N6155" s="7" t="str">
        <f aca="false">IF(B6155="Movie",IFERROR(VALUE(LEFT(I6155,FIND(" ",I6155)-1)),""),"")</f>
        <v/>
      </c>
      <c r="O6155" s="7" t="n">
        <f aca="false">IF(B6155="TV Show",IFERROR(VALUE(LEFT(I6155,FIND(" ",I6155)-1)),""),"")</f>
        <v>2</v>
      </c>
      <c r="P6155" s="7" t="n">
        <f aca="false">IF(K6155="","",K6155-G6155)</f>
        <v>0</v>
      </c>
    </row>
    <row r="6156" customFormat="false" ht="15" hidden="false" customHeight="false" outlineLevel="0" collapsed="false">
      <c r="A6156" s="7" t="n">
        <v>80079255</v>
      </c>
      <c r="B6156" s="7" t="s">
        <v>78</v>
      </c>
      <c r="C6156" s="7" t="s">
        <v>12138</v>
      </c>
      <c r="E6156" s="7" t="s">
        <v>12139</v>
      </c>
      <c r="F6156" s="7" t="s">
        <v>12140</v>
      </c>
      <c r="G6156" s="7" t="n">
        <v>2016</v>
      </c>
      <c r="H6156" s="7" t="s">
        <v>48</v>
      </c>
      <c r="I6156" s="7" t="s">
        <v>11132</v>
      </c>
      <c r="J6156" s="7" t="s">
        <v>402</v>
      </c>
      <c r="K6156" s="7" t="n">
        <f aca="false">IFERROR(VALUE(RIGHT(TRIM(F6156),4)),"")</f>
        <v>2017</v>
      </c>
      <c r="L6156" s="7" t="str">
        <f aca="false">IF(TRIM(E6156)="","Unknown",IFERROR(LEFT(TRIM(E6156),FIND(",",TRIM(E6156))-1),TRIM(E6156)))</f>
        <v>Italy</v>
      </c>
      <c r="M6156" s="7" t="str">
        <f aca="false">IFERROR(LEFT(J6156,FIND(",",J6156)-1),J6156)</f>
        <v>Crime TV Shows</v>
      </c>
      <c r="N6156" s="7" t="str">
        <f aca="false">IF(B6156="Movie",IFERROR(VALUE(LEFT(I6156,FIND(" ",I6156)-1)),""),"")</f>
        <v/>
      </c>
      <c r="O6156" s="7" t="n">
        <f aca="false">IF(B6156="TV Show",IFERROR(VALUE(LEFT(I6156,FIND(" ",I6156)-1)),""),"")</f>
        <v>2</v>
      </c>
      <c r="P6156" s="7" t="n">
        <f aca="false">IF(K6156="","",K6156-G6156)</f>
        <v>1</v>
      </c>
    </row>
    <row r="6157" customFormat="false" ht="15" hidden="false" customHeight="false" outlineLevel="0" collapsed="false">
      <c r="A6157" s="7" t="n">
        <v>80108159</v>
      </c>
      <c r="B6157" s="7" t="s">
        <v>78</v>
      </c>
      <c r="C6157" s="7" t="s">
        <v>12141</v>
      </c>
      <c r="E6157" s="7" t="s">
        <v>26</v>
      </c>
      <c r="F6157" s="7" t="s">
        <v>12142</v>
      </c>
      <c r="G6157" s="7" t="n">
        <v>2019</v>
      </c>
      <c r="H6157" s="7" t="s">
        <v>119</v>
      </c>
      <c r="I6157" s="7" t="s">
        <v>11148</v>
      </c>
      <c r="J6157" s="7" t="s">
        <v>44</v>
      </c>
      <c r="K6157" s="7" t="n">
        <f aca="false">IFERROR(VALUE(RIGHT(TRIM(F6157),4)),"")</f>
        <v>2019</v>
      </c>
      <c r="L6157" s="7" t="str">
        <f aca="false">IF(TRIM(E6157)="","Unknown",IFERROR(LEFT(TRIM(E6157),FIND(",",TRIM(E6157))-1),TRIM(E6157)))</f>
        <v>United States</v>
      </c>
      <c r="M6157" s="7" t="str">
        <f aca="false">IFERROR(LEFT(J6157,FIND(",",J6157)-1),J6157)</f>
        <v>Kids' TV</v>
      </c>
      <c r="N6157" s="7" t="str">
        <f aca="false">IF(B6157="Movie",IFERROR(VALUE(LEFT(I6157,FIND(" ",I6157)-1)),""),"")</f>
        <v/>
      </c>
      <c r="O6157" s="7" t="n">
        <f aca="false">IF(B6157="TV Show",IFERROR(VALUE(LEFT(I6157,FIND(" ",I6157)-1)),""),"")</f>
        <v>3</v>
      </c>
      <c r="P6157" s="7" t="n">
        <f aca="false">IF(K6157="","",K6157-G6157)</f>
        <v>0</v>
      </c>
    </row>
    <row r="6158" customFormat="false" ht="15" hidden="false" customHeight="false" outlineLevel="0" collapsed="false">
      <c r="A6158" s="7" t="n">
        <v>80095698</v>
      </c>
      <c r="B6158" s="7" t="s">
        <v>78</v>
      </c>
      <c r="C6158" s="7" t="s">
        <v>12143</v>
      </c>
      <c r="E6158" s="7" t="s">
        <v>26</v>
      </c>
      <c r="F6158" s="7" t="s">
        <v>12142</v>
      </c>
      <c r="G6158" s="7" t="n">
        <v>2019</v>
      </c>
      <c r="H6158" s="7" t="s">
        <v>48</v>
      </c>
      <c r="I6158" s="7" t="s">
        <v>11148</v>
      </c>
      <c r="J6158" s="7" t="s">
        <v>502</v>
      </c>
      <c r="K6158" s="7" t="n">
        <f aca="false">IFERROR(VALUE(RIGHT(TRIM(F6158),4)),"")</f>
        <v>2019</v>
      </c>
      <c r="L6158" s="7" t="str">
        <f aca="false">IF(TRIM(E6158)="","Unknown",IFERROR(LEFT(TRIM(E6158),FIND(",",TRIM(E6158))-1),TRIM(E6158)))</f>
        <v>United States</v>
      </c>
      <c r="M6158" s="7" t="str">
        <f aca="false">IFERROR(LEFT(J6158,FIND(",",J6158)-1),J6158)</f>
        <v>TV Comedies</v>
      </c>
      <c r="N6158" s="7" t="str">
        <f aca="false">IF(B6158="Movie",IFERROR(VALUE(LEFT(I6158,FIND(" ",I6158)-1)),""),"")</f>
        <v/>
      </c>
      <c r="O6158" s="7" t="n">
        <f aca="false">IF(B6158="TV Show",IFERROR(VALUE(LEFT(I6158,FIND(" ",I6158)-1)),""),"")</f>
        <v>3</v>
      </c>
      <c r="P6158" s="7" t="n">
        <f aca="false">IF(K6158="","",K6158-G6158)</f>
        <v>0</v>
      </c>
    </row>
    <row r="6159" customFormat="false" ht="15" hidden="false" customHeight="false" outlineLevel="0" collapsed="false">
      <c r="A6159" s="7" t="n">
        <v>80238565</v>
      </c>
      <c r="B6159" s="7" t="s">
        <v>78</v>
      </c>
      <c r="C6159" s="7" t="s">
        <v>12144</v>
      </c>
      <c r="E6159" s="7" t="s">
        <v>28</v>
      </c>
      <c r="F6159" s="7" t="s">
        <v>12142</v>
      </c>
      <c r="G6159" s="7" t="n">
        <v>2019</v>
      </c>
      <c r="H6159" s="7" t="s">
        <v>48</v>
      </c>
      <c r="I6159" s="7" t="s">
        <v>11132</v>
      </c>
      <c r="J6159" s="7" t="s">
        <v>4309</v>
      </c>
      <c r="K6159" s="7" t="n">
        <f aca="false">IFERROR(VALUE(RIGHT(TRIM(F6159),4)),"")</f>
        <v>2019</v>
      </c>
      <c r="L6159" s="7" t="str">
        <f aca="false">IF(TRIM(E6159)="","Unknown",IFERROR(LEFT(TRIM(E6159),FIND(",",TRIM(E6159))-1),TRIM(E6159)))</f>
        <v>United Kingdom</v>
      </c>
      <c r="M6159" s="7" t="str">
        <f aca="false">IFERROR(LEFT(J6159,FIND(",",J6159)-1),J6159)</f>
        <v>British TV Shows</v>
      </c>
      <c r="N6159" s="7" t="str">
        <f aca="false">IF(B6159="Movie",IFERROR(VALUE(LEFT(I6159,FIND(" ",I6159)-1)),""),"")</f>
        <v/>
      </c>
      <c r="O6159" s="7" t="n">
        <f aca="false">IF(B6159="TV Show",IFERROR(VALUE(LEFT(I6159,FIND(" ",I6159)-1)),""),"")</f>
        <v>2</v>
      </c>
      <c r="P6159" s="7" t="n">
        <f aca="false">IF(K6159="","",K6159-G6159)</f>
        <v>0</v>
      </c>
    </row>
    <row r="6160" customFormat="false" ht="15" hidden="false" customHeight="false" outlineLevel="0" collapsed="false">
      <c r="A6160" s="7" t="n">
        <v>80164216</v>
      </c>
      <c r="B6160" s="7" t="s">
        <v>78</v>
      </c>
      <c r="C6160" s="7" t="s">
        <v>12145</v>
      </c>
      <c r="D6160" s="7" t="s">
        <v>9058</v>
      </c>
      <c r="E6160" s="7" t="s">
        <v>9059</v>
      </c>
      <c r="F6160" s="7" t="s">
        <v>12142</v>
      </c>
      <c r="G6160" s="7" t="n">
        <v>2018</v>
      </c>
      <c r="H6160" s="7" t="s">
        <v>55</v>
      </c>
      <c r="I6160" s="7" t="s">
        <v>11155</v>
      </c>
      <c r="J6160" s="7" t="s">
        <v>11964</v>
      </c>
      <c r="K6160" s="7" t="n">
        <f aca="false">IFERROR(VALUE(RIGHT(TRIM(F6160),4)),"")</f>
        <v>2019</v>
      </c>
      <c r="L6160" s="7" t="str">
        <f aca="false">IF(TRIM(E6160)="","Unknown",IFERROR(LEFT(TRIM(E6160),FIND(",",TRIM(E6160))-1),TRIM(E6160)))</f>
        <v>France</v>
      </c>
      <c r="M6160" s="7" t="str">
        <f aca="false">IFERROR(LEFT(J6160,FIND(",",J6160)-1),J6160)</f>
        <v>Kids' TV</v>
      </c>
      <c r="N6160" s="7" t="str">
        <f aca="false">IF(B6160="Movie",IFERROR(VALUE(LEFT(I6160,FIND(" ",I6160)-1)),""),"")</f>
        <v/>
      </c>
      <c r="O6160" s="7" t="n">
        <f aca="false">IF(B6160="TV Show",IFERROR(VALUE(LEFT(I6160,FIND(" ",I6160)-1)),""),"")</f>
        <v>4</v>
      </c>
      <c r="P6160" s="7" t="n">
        <f aca="false">IF(K6160="","",K6160-G6160)</f>
        <v>1</v>
      </c>
    </row>
    <row r="6161" customFormat="false" ht="15" hidden="false" customHeight="false" outlineLevel="0" collapsed="false">
      <c r="A6161" s="7" t="n">
        <v>70140438</v>
      </c>
      <c r="B6161" s="7" t="s">
        <v>78</v>
      </c>
      <c r="C6161" s="7" t="s">
        <v>11111</v>
      </c>
      <c r="E6161" s="7" t="s">
        <v>28</v>
      </c>
      <c r="F6161" s="7" t="s">
        <v>12146</v>
      </c>
      <c r="G6161" s="7" t="n">
        <v>2013</v>
      </c>
      <c r="H6161" s="7" t="s">
        <v>48</v>
      </c>
      <c r="I6161" s="7" t="s">
        <v>11152</v>
      </c>
      <c r="J6161" s="7" t="s">
        <v>4544</v>
      </c>
      <c r="K6161" s="7" t="n">
        <f aca="false">IFERROR(VALUE(RIGHT(TRIM(F6161),4)),"")</f>
        <v>2017</v>
      </c>
      <c r="L6161" s="7" t="str">
        <f aca="false">IF(TRIM(E6161)="","Unknown",IFERROR(LEFT(TRIM(E6161),FIND(",",TRIM(E6161))-1),TRIM(E6161)))</f>
        <v>United Kingdom</v>
      </c>
      <c r="M6161" s="7" t="str">
        <f aca="false">IFERROR(LEFT(J6161,FIND(",",J6161)-1),J6161)</f>
        <v>British TV Shows</v>
      </c>
      <c r="N6161" s="7" t="str">
        <f aca="false">IF(B6161="Movie",IFERROR(VALUE(LEFT(I6161,FIND(" ",I6161)-1)),""),"")</f>
        <v/>
      </c>
      <c r="O6161" s="7" t="n">
        <f aca="false">IF(B6161="TV Show",IFERROR(VALUE(LEFT(I6161,FIND(" ",I6161)-1)),""),"")</f>
        <v>7</v>
      </c>
      <c r="P6161" s="7" t="n">
        <f aca="false">IF(K6161="","",K6161-G6161)</f>
        <v>4</v>
      </c>
    </row>
    <row r="6162" customFormat="false" ht="15" hidden="false" customHeight="false" outlineLevel="0" collapsed="false">
      <c r="A6162" s="7" t="n">
        <v>70143836</v>
      </c>
      <c r="B6162" s="7" t="s">
        <v>78</v>
      </c>
      <c r="C6162" s="7" t="s">
        <v>12147</v>
      </c>
      <c r="E6162" s="7" t="s">
        <v>26</v>
      </c>
      <c r="F6162" s="7" t="s">
        <v>12148</v>
      </c>
      <c r="G6162" s="7" t="n">
        <v>2013</v>
      </c>
      <c r="H6162" s="7" t="s">
        <v>48</v>
      </c>
      <c r="I6162" s="7" t="s">
        <v>11135</v>
      </c>
      <c r="J6162" s="7" t="s">
        <v>4370</v>
      </c>
      <c r="K6162" s="7" t="n">
        <f aca="false">IFERROR(VALUE(RIGHT(TRIM(F6162),4)),"")</f>
        <v>2013</v>
      </c>
      <c r="L6162" s="7" t="str">
        <f aca="false">IF(TRIM(E6162)="","Unknown",IFERROR(LEFT(TRIM(E6162),FIND(",",TRIM(E6162))-1),TRIM(E6162)))</f>
        <v>United States</v>
      </c>
      <c r="M6162" s="7" t="str">
        <f aca="false">IFERROR(LEFT(J6162,FIND(",",J6162)-1),J6162)</f>
        <v>Crime TV Shows</v>
      </c>
      <c r="N6162" s="7" t="str">
        <f aca="false">IF(B6162="Movie",IFERROR(VALUE(LEFT(I6162,FIND(" ",I6162)-1)),""),"")</f>
        <v/>
      </c>
      <c r="O6162" s="7" t="n">
        <f aca="false">IF(B6162="TV Show",IFERROR(VALUE(LEFT(I6162,FIND(" ",I6162)-1)),""),"")</f>
        <v>5</v>
      </c>
      <c r="P6162" s="7" t="n">
        <f aca="false">IF(K6162="","",K6162-G6162)</f>
        <v>0</v>
      </c>
    </row>
    <row r="6163" customFormat="false" ht="15" hidden="false" customHeight="false" outlineLevel="0" collapsed="false">
      <c r="A6163" s="7" t="n">
        <v>80144146</v>
      </c>
      <c r="B6163" s="7" t="s">
        <v>78</v>
      </c>
      <c r="C6163" s="7" t="s">
        <v>12149</v>
      </c>
      <c r="E6163" s="7" t="s">
        <v>28</v>
      </c>
      <c r="F6163" s="7" t="s">
        <v>12150</v>
      </c>
      <c r="G6163" s="7" t="n">
        <v>2018</v>
      </c>
      <c r="H6163" s="7" t="s">
        <v>49</v>
      </c>
      <c r="I6163" s="7" t="s">
        <v>11132</v>
      </c>
      <c r="J6163" s="7" t="s">
        <v>668</v>
      </c>
      <c r="K6163" s="7" t="n">
        <f aca="false">IFERROR(VALUE(RIGHT(TRIM(F6163),4)),"")</f>
        <v>2018</v>
      </c>
      <c r="L6163" s="7" t="str">
        <f aca="false">IF(TRIM(E6163)="","Unknown",IFERROR(LEFT(TRIM(E6163),FIND(",",TRIM(E6163))-1),TRIM(E6163)))</f>
        <v>United Kingdom</v>
      </c>
      <c r="M6163" s="7" t="str">
        <f aca="false">IFERROR(LEFT(J6163,FIND(",",J6163)-1),J6163)</f>
        <v>British TV Shows</v>
      </c>
      <c r="N6163" s="7" t="str">
        <f aca="false">IF(B6163="Movie",IFERROR(VALUE(LEFT(I6163,FIND(" ",I6163)-1)),""),"")</f>
        <v/>
      </c>
      <c r="O6163" s="7" t="n">
        <f aca="false">IF(B6163="TV Show",IFERROR(VALUE(LEFT(I6163,FIND(" ",I6163)-1)),""),"")</f>
        <v>2</v>
      </c>
      <c r="P6163" s="7" t="n">
        <f aca="false">IF(K6163="","",K6163-G6163)</f>
        <v>0</v>
      </c>
    </row>
    <row r="6164" customFormat="false" ht="15" hidden="false" customHeight="false" outlineLevel="0" collapsed="false">
      <c r="A6164" s="7" t="n">
        <v>80049903</v>
      </c>
      <c r="B6164" s="7" t="s">
        <v>78</v>
      </c>
      <c r="C6164" s="7" t="s">
        <v>12151</v>
      </c>
      <c r="E6164" s="7" t="s">
        <v>26</v>
      </c>
      <c r="F6164" s="7" t="s">
        <v>12152</v>
      </c>
      <c r="G6164" s="7" t="n">
        <v>2017</v>
      </c>
      <c r="H6164" s="7" t="s">
        <v>81</v>
      </c>
      <c r="I6164" s="7" t="s">
        <v>11135</v>
      </c>
      <c r="J6164" s="7" t="s">
        <v>44</v>
      </c>
      <c r="K6164" s="7" t="n">
        <f aca="false">IFERROR(VALUE(RIGHT(TRIM(F6164),4)),"")</f>
        <v>2017</v>
      </c>
      <c r="L6164" s="7" t="str">
        <f aca="false">IF(TRIM(E6164)="","Unknown",IFERROR(LEFT(TRIM(E6164),FIND(",",TRIM(E6164))-1),TRIM(E6164)))</f>
        <v>United States</v>
      </c>
      <c r="M6164" s="7" t="str">
        <f aca="false">IFERROR(LEFT(J6164,FIND(",",J6164)-1),J6164)</f>
        <v>Kids' TV</v>
      </c>
      <c r="N6164" s="7" t="str">
        <f aca="false">IF(B6164="Movie",IFERROR(VALUE(LEFT(I6164,FIND(" ",I6164)-1)),""),"")</f>
        <v/>
      </c>
      <c r="O6164" s="7" t="n">
        <f aca="false">IF(B6164="TV Show",IFERROR(VALUE(LEFT(I6164,FIND(" ",I6164)-1)),""),"")</f>
        <v>5</v>
      </c>
      <c r="P6164" s="7" t="n">
        <f aca="false">IF(K6164="","",K6164-G6164)</f>
        <v>0</v>
      </c>
    </row>
    <row r="6165" customFormat="false" ht="15" hidden="false" customHeight="false" outlineLevel="0" collapsed="false">
      <c r="A6165" s="7" t="n">
        <v>80044965</v>
      </c>
      <c r="B6165" s="7" t="s">
        <v>78</v>
      </c>
      <c r="C6165" s="7" t="s">
        <v>12153</v>
      </c>
      <c r="E6165" s="7" t="s">
        <v>719</v>
      </c>
      <c r="F6165" s="7" t="s">
        <v>12154</v>
      </c>
      <c r="G6165" s="7" t="n">
        <v>2016</v>
      </c>
      <c r="H6165" s="7" t="s">
        <v>119</v>
      </c>
      <c r="I6165" s="7" t="s">
        <v>11132</v>
      </c>
      <c r="J6165" s="7" t="s">
        <v>44</v>
      </c>
      <c r="K6165" s="7" t="n">
        <f aca="false">IFERROR(VALUE(RIGHT(TRIM(F6165),4)),"")</f>
        <v>2016</v>
      </c>
      <c r="L6165" s="7" t="str">
        <f aca="false">IF(TRIM(E6165)="","Unknown",IFERROR(LEFT(TRIM(E6165),FIND(",",TRIM(E6165))-1),TRIM(E6165)))</f>
        <v>Ireland</v>
      </c>
      <c r="M6165" s="7" t="str">
        <f aca="false">IFERROR(LEFT(J6165,FIND(",",J6165)-1),J6165)</f>
        <v>Kids' TV</v>
      </c>
      <c r="N6165" s="7" t="str">
        <f aca="false">IF(B6165="Movie",IFERROR(VALUE(LEFT(I6165,FIND(" ",I6165)-1)),""),"")</f>
        <v/>
      </c>
      <c r="O6165" s="7" t="n">
        <f aca="false">IF(B6165="TV Show",IFERROR(VALUE(LEFT(I6165,FIND(" ",I6165)-1)),""),"")</f>
        <v>2</v>
      </c>
      <c r="P6165" s="7" t="n">
        <f aca="false">IF(K6165="","",K6165-G6165)</f>
        <v>0</v>
      </c>
    </row>
    <row r="6166" customFormat="false" ht="15" hidden="false" customHeight="false" outlineLevel="0" collapsed="false">
      <c r="A6166" s="7" t="n">
        <v>80114855</v>
      </c>
      <c r="B6166" s="7" t="s">
        <v>78</v>
      </c>
      <c r="C6166" s="7" t="s">
        <v>12155</v>
      </c>
      <c r="E6166" s="7" t="s">
        <v>26</v>
      </c>
      <c r="F6166" s="7" t="s">
        <v>12156</v>
      </c>
      <c r="G6166" s="7" t="n">
        <v>2019</v>
      </c>
      <c r="H6166" s="7" t="s">
        <v>48</v>
      </c>
      <c r="I6166" s="7" t="s">
        <v>11132</v>
      </c>
      <c r="J6166" s="7" t="s">
        <v>282</v>
      </c>
      <c r="K6166" s="7" t="n">
        <f aca="false">IFERROR(VALUE(RIGHT(TRIM(F6166),4)),"")</f>
        <v>2019</v>
      </c>
      <c r="L6166" s="7" t="str">
        <f aca="false">IF(TRIM(E6166)="","Unknown",IFERROR(LEFT(TRIM(E6166),FIND(",",TRIM(E6166))-1),TRIM(E6166)))</f>
        <v>United States</v>
      </c>
      <c r="M6166" s="7" t="str">
        <f aca="false">IFERROR(LEFT(J6166,FIND(",",J6166)-1),J6166)</f>
        <v>Crime TV Shows</v>
      </c>
      <c r="N6166" s="7" t="str">
        <f aca="false">IF(B6166="Movie",IFERROR(VALUE(LEFT(I6166,FIND(" ",I6166)-1)),""),"")</f>
        <v/>
      </c>
      <c r="O6166" s="7" t="n">
        <f aca="false">IF(B6166="TV Show",IFERROR(VALUE(LEFT(I6166,FIND(" ",I6166)-1)),""),"")</f>
        <v>2</v>
      </c>
      <c r="P6166" s="7" t="n">
        <f aca="false">IF(K6166="","",K6166-G6166)</f>
        <v>0</v>
      </c>
    </row>
    <row r="6167" customFormat="false" ht="15" hidden="false" customHeight="false" outlineLevel="0" collapsed="false">
      <c r="A6167" s="7" t="n">
        <v>81003033</v>
      </c>
      <c r="B6167" s="7" t="s">
        <v>78</v>
      </c>
      <c r="C6167" s="7" t="s">
        <v>12157</v>
      </c>
      <c r="E6167" s="7" t="s">
        <v>26</v>
      </c>
      <c r="F6167" s="7" t="s">
        <v>12156</v>
      </c>
      <c r="G6167" s="7" t="n">
        <v>2019</v>
      </c>
      <c r="H6167" s="7" t="s">
        <v>49</v>
      </c>
      <c r="I6167" s="7" t="s">
        <v>11148</v>
      </c>
      <c r="J6167" s="7" t="s">
        <v>164</v>
      </c>
      <c r="K6167" s="7" t="n">
        <f aca="false">IFERROR(VALUE(RIGHT(TRIM(F6167),4)),"")</f>
        <v>2019</v>
      </c>
      <c r="L6167" s="7" t="str">
        <f aca="false">IF(TRIM(E6167)="","Unknown",IFERROR(LEFT(TRIM(E6167),FIND(",",TRIM(E6167))-1),TRIM(E6167)))</f>
        <v>United States</v>
      </c>
      <c r="M6167" s="7" t="str">
        <f aca="false">IFERROR(LEFT(J6167,FIND(",",J6167)-1),J6167)</f>
        <v>Docuseries</v>
      </c>
      <c r="N6167" s="7" t="str">
        <f aca="false">IF(B6167="Movie",IFERROR(VALUE(LEFT(I6167,FIND(" ",I6167)-1)),""),"")</f>
        <v/>
      </c>
      <c r="O6167" s="7" t="n">
        <f aca="false">IF(B6167="TV Show",IFERROR(VALUE(LEFT(I6167,FIND(" ",I6167)-1)),""),"")</f>
        <v>3</v>
      </c>
      <c r="P6167" s="7" t="n">
        <f aca="false">IF(K6167="","",K6167-G6167)</f>
        <v>0</v>
      </c>
    </row>
    <row r="6168" customFormat="false" ht="15" hidden="false" customHeight="false" outlineLevel="0" collapsed="false">
      <c r="A6168" s="7" t="n">
        <v>70142437</v>
      </c>
      <c r="B6168" s="7" t="s">
        <v>78</v>
      </c>
      <c r="C6168" s="7" t="s">
        <v>12158</v>
      </c>
      <c r="E6168" s="7" t="s">
        <v>26</v>
      </c>
      <c r="F6168" s="7" t="s">
        <v>12159</v>
      </c>
      <c r="G6168" s="7" t="n">
        <v>2008</v>
      </c>
      <c r="H6168" s="7" t="s">
        <v>49</v>
      </c>
      <c r="I6168" s="7" t="s">
        <v>11132</v>
      </c>
      <c r="J6168" s="7" t="s">
        <v>11238</v>
      </c>
      <c r="K6168" s="7" t="n">
        <f aca="false">IFERROR(VALUE(RIGHT(TRIM(F6168),4)),"")</f>
        <v>2017</v>
      </c>
      <c r="L6168" s="7" t="str">
        <f aca="false">IF(TRIM(E6168)="","Unknown",IFERROR(LEFT(TRIM(E6168),FIND(",",TRIM(E6168))-1),TRIM(E6168)))</f>
        <v>United States</v>
      </c>
      <c r="M6168" s="7" t="str">
        <f aca="false">IFERROR(LEFT(J6168,FIND(",",J6168)-1),J6168)</f>
        <v>Classic &amp; Cult TV</v>
      </c>
      <c r="N6168" s="7" t="str">
        <f aca="false">IF(B6168="Movie",IFERROR(VALUE(LEFT(I6168,FIND(" ",I6168)-1)),""),"")</f>
        <v/>
      </c>
      <c r="O6168" s="7" t="n">
        <f aca="false">IF(B6168="TV Show",IFERROR(VALUE(LEFT(I6168,FIND(" ",I6168)-1)),""),"")</f>
        <v>2</v>
      </c>
      <c r="P6168" s="7" t="n">
        <f aca="false">IF(K6168="","",K6168-G6168)</f>
        <v>9</v>
      </c>
    </row>
    <row r="6169" customFormat="false" ht="15" hidden="false" customHeight="false" outlineLevel="0" collapsed="false">
      <c r="A6169" s="7" t="n">
        <v>80115328</v>
      </c>
      <c r="B6169" s="7" t="s">
        <v>78</v>
      </c>
      <c r="C6169" s="7" t="s">
        <v>12160</v>
      </c>
      <c r="D6169" s="7" t="s">
        <v>12161</v>
      </c>
      <c r="E6169" s="7" t="s">
        <v>2212</v>
      </c>
      <c r="F6169" s="7" t="s">
        <v>12162</v>
      </c>
      <c r="G6169" s="7" t="n">
        <v>2019</v>
      </c>
      <c r="H6169" s="7" t="s">
        <v>48</v>
      </c>
      <c r="I6169" s="7" t="s">
        <v>11132</v>
      </c>
      <c r="J6169" s="7" t="s">
        <v>402</v>
      </c>
      <c r="K6169" s="7" t="n">
        <f aca="false">IFERROR(VALUE(RIGHT(TRIM(F6169),4)),"")</f>
        <v>2019</v>
      </c>
      <c r="L6169" s="7" t="str">
        <f aca="false">IF(TRIM(E6169)="","Unknown",IFERROR(LEFT(TRIM(E6169),FIND(",",TRIM(E6169))-1),TRIM(E6169)))</f>
        <v>India</v>
      </c>
      <c r="M6169" s="7" t="str">
        <f aca="false">IFERROR(LEFT(J6169,FIND(",",J6169)-1),J6169)</f>
        <v>Crime TV Shows</v>
      </c>
      <c r="N6169" s="7" t="str">
        <f aca="false">IF(B6169="Movie",IFERROR(VALUE(LEFT(I6169,FIND(" ",I6169)-1)),""),"")</f>
        <v/>
      </c>
      <c r="O6169" s="7" t="n">
        <f aca="false">IF(B6169="TV Show",IFERROR(VALUE(LEFT(I6169,FIND(" ",I6169)-1)),""),"")</f>
        <v>2</v>
      </c>
      <c r="P6169" s="7" t="n">
        <f aca="false">IF(K6169="","",K6169-G6169)</f>
        <v>0</v>
      </c>
    </row>
    <row r="6170" customFormat="false" ht="15" hidden="false" customHeight="false" outlineLevel="0" collapsed="false">
      <c r="A6170" s="7" t="n">
        <v>80108985</v>
      </c>
      <c r="B6170" s="7" t="s">
        <v>78</v>
      </c>
      <c r="C6170" s="7" t="s">
        <v>12163</v>
      </c>
      <c r="E6170" s="7" t="s">
        <v>28</v>
      </c>
      <c r="F6170" s="7" t="s">
        <v>12164</v>
      </c>
      <c r="G6170" s="7" t="n">
        <v>2015</v>
      </c>
      <c r="H6170" s="7" t="s">
        <v>49</v>
      </c>
      <c r="I6170" s="7" t="s">
        <v>11148</v>
      </c>
      <c r="J6170" s="7" t="s">
        <v>668</v>
      </c>
      <c r="K6170" s="7" t="n">
        <f aca="false">IFERROR(VALUE(RIGHT(TRIM(F6170),4)),"")</f>
        <v>2016</v>
      </c>
      <c r="L6170" s="7" t="str">
        <f aca="false">IF(TRIM(E6170)="","Unknown",IFERROR(LEFT(TRIM(E6170),FIND(",",TRIM(E6170))-1),TRIM(E6170)))</f>
        <v>United Kingdom</v>
      </c>
      <c r="M6170" s="7" t="str">
        <f aca="false">IFERROR(LEFT(J6170,FIND(",",J6170)-1),J6170)</f>
        <v>British TV Shows</v>
      </c>
      <c r="N6170" s="7" t="str">
        <f aca="false">IF(B6170="Movie",IFERROR(VALUE(LEFT(I6170,FIND(" ",I6170)-1)),""),"")</f>
        <v/>
      </c>
      <c r="O6170" s="7" t="n">
        <f aca="false">IF(B6170="TV Show",IFERROR(VALUE(LEFT(I6170,FIND(" ",I6170)-1)),""),"")</f>
        <v>3</v>
      </c>
      <c r="P6170" s="7" t="n">
        <f aca="false">IF(K6170="","",K6170-G6170)</f>
        <v>1</v>
      </c>
    </row>
    <row r="6171" customFormat="false" ht="15" hidden="false" customHeight="false" outlineLevel="0" collapsed="false">
      <c r="A6171" s="7" t="n">
        <v>70283264</v>
      </c>
      <c r="B6171" s="7" t="s">
        <v>78</v>
      </c>
      <c r="C6171" s="7" t="s">
        <v>12165</v>
      </c>
      <c r="E6171" s="7" t="s">
        <v>26</v>
      </c>
      <c r="F6171" s="7" t="s">
        <v>12166</v>
      </c>
      <c r="G6171" s="7" t="n">
        <v>2019</v>
      </c>
      <c r="H6171" s="7" t="s">
        <v>49</v>
      </c>
      <c r="I6171" s="7" t="s">
        <v>11198</v>
      </c>
      <c r="J6171" s="7" t="s">
        <v>846</v>
      </c>
      <c r="K6171" s="7" t="n">
        <f aca="false">IFERROR(VALUE(RIGHT(TRIM(F6171),4)),"")</f>
        <v>2019</v>
      </c>
      <c r="L6171" s="7" t="str">
        <f aca="false">IF(TRIM(E6171)="","Unknown",IFERROR(LEFT(TRIM(E6171),FIND(",",TRIM(E6171))-1),TRIM(E6171)))</f>
        <v>United States</v>
      </c>
      <c r="M6171" s="7" t="str">
        <f aca="false">IFERROR(LEFT(J6171,FIND(",",J6171)-1),J6171)</f>
        <v>TV Action &amp; Adventure</v>
      </c>
      <c r="N6171" s="7" t="str">
        <f aca="false">IF(B6171="Movie",IFERROR(VALUE(LEFT(I6171,FIND(" ",I6171)-1)),""),"")</f>
        <v/>
      </c>
      <c r="O6171" s="7" t="n">
        <f aca="false">IF(B6171="TV Show",IFERROR(VALUE(LEFT(I6171,FIND(" ",I6171)-1)),""),"")</f>
        <v>6</v>
      </c>
      <c r="P6171" s="7" t="n">
        <f aca="false">IF(K6171="","",K6171-G6171)</f>
        <v>0</v>
      </c>
    </row>
    <row r="6172" customFormat="false" ht="15" hidden="false" customHeight="false" outlineLevel="0" collapsed="false">
      <c r="A6172" s="7" t="n">
        <v>80136456</v>
      </c>
      <c r="B6172" s="7" t="s">
        <v>78</v>
      </c>
      <c r="C6172" s="7" t="s">
        <v>12167</v>
      </c>
      <c r="F6172" s="7" t="s">
        <v>12168</v>
      </c>
      <c r="G6172" s="7" t="n">
        <v>2010</v>
      </c>
      <c r="H6172" s="7" t="s">
        <v>50</v>
      </c>
      <c r="I6172" s="7" t="s">
        <v>11132</v>
      </c>
      <c r="J6172" s="7" t="s">
        <v>314</v>
      </c>
      <c r="K6172" s="7" t="n">
        <f aca="false">IFERROR(VALUE(RIGHT(TRIM(F6172),4)),"")</f>
        <v>2017</v>
      </c>
      <c r="L6172" s="7" t="str">
        <f aca="false">IF(TRIM(E6172)="","Unknown",IFERROR(LEFT(TRIM(E6172),FIND(",",TRIM(E6172))-1),TRIM(E6172)))</f>
        <v>Unknown</v>
      </c>
      <c r="M6172" s="7" t="str">
        <f aca="false">IFERROR(LEFT(J6172,FIND(",",J6172)-1),J6172)</f>
        <v>International TV Shows</v>
      </c>
      <c r="N6172" s="7" t="str">
        <f aca="false">IF(B6172="Movie",IFERROR(VALUE(LEFT(I6172,FIND(" ",I6172)-1)),""),"")</f>
        <v/>
      </c>
      <c r="O6172" s="7" t="n">
        <f aca="false">IF(B6172="TV Show",IFERROR(VALUE(LEFT(I6172,FIND(" ",I6172)-1)),""),"")</f>
        <v>2</v>
      </c>
      <c r="P6172" s="7" t="n">
        <f aca="false">IF(K6172="","",K6172-G6172)</f>
        <v>7</v>
      </c>
    </row>
    <row r="6173" customFormat="false" ht="15" hidden="false" customHeight="false" outlineLevel="0" collapsed="false">
      <c r="A6173" s="7" t="n">
        <v>80161728</v>
      </c>
      <c r="B6173" s="7" t="s">
        <v>78</v>
      </c>
      <c r="C6173" s="7" t="s">
        <v>12169</v>
      </c>
      <c r="E6173" s="7" t="s">
        <v>26</v>
      </c>
      <c r="F6173" s="7" t="s">
        <v>12170</v>
      </c>
      <c r="G6173" s="7" t="n">
        <v>2019</v>
      </c>
      <c r="H6173" s="7" t="s">
        <v>49</v>
      </c>
      <c r="I6173" s="7" t="s">
        <v>11132</v>
      </c>
      <c r="J6173" s="7" t="s">
        <v>2704</v>
      </c>
      <c r="K6173" s="7" t="n">
        <f aca="false">IFERROR(VALUE(RIGHT(TRIM(F6173),4)),"")</f>
        <v>2019</v>
      </c>
      <c r="L6173" s="7" t="str">
        <f aca="false">IF(TRIM(E6173)="","Unknown",IFERROR(LEFT(TRIM(E6173),FIND(",",TRIM(E6173))-1),TRIM(E6173)))</f>
        <v>United States</v>
      </c>
      <c r="M6173" s="7" t="str">
        <f aca="false">IFERROR(LEFT(J6173,FIND(",",J6173)-1),J6173)</f>
        <v>TV Dramas</v>
      </c>
      <c r="N6173" s="7" t="str">
        <f aca="false">IF(B6173="Movie",IFERROR(VALUE(LEFT(I6173,FIND(" ",I6173)-1)),""),"")</f>
        <v/>
      </c>
      <c r="O6173" s="7" t="n">
        <f aca="false">IF(B6173="TV Show",IFERROR(VALUE(LEFT(I6173,FIND(" ",I6173)-1)),""),"")</f>
        <v>2</v>
      </c>
      <c r="P6173" s="7" t="n">
        <f aca="false">IF(K6173="","",K6173-G6173)</f>
        <v>0</v>
      </c>
    </row>
    <row r="6174" customFormat="false" ht="15" hidden="false" customHeight="false" outlineLevel="0" collapsed="false">
      <c r="A6174" s="7" t="n">
        <v>80185074</v>
      </c>
      <c r="B6174" s="7" t="s">
        <v>78</v>
      </c>
      <c r="C6174" s="7" t="s">
        <v>12171</v>
      </c>
      <c r="E6174" s="7" t="s">
        <v>26</v>
      </c>
      <c r="F6174" s="7" t="s">
        <v>12172</v>
      </c>
      <c r="G6174" s="7" t="n">
        <v>2018</v>
      </c>
      <c r="H6174" s="7" t="s">
        <v>119</v>
      </c>
      <c r="I6174" s="7" t="s">
        <v>11132</v>
      </c>
      <c r="J6174" s="7" t="s">
        <v>44</v>
      </c>
      <c r="K6174" s="7" t="n">
        <f aca="false">IFERROR(VALUE(RIGHT(TRIM(F6174),4)),"")</f>
        <v>2018</v>
      </c>
      <c r="L6174" s="7" t="str">
        <f aca="false">IF(TRIM(E6174)="","Unknown",IFERROR(LEFT(TRIM(E6174),FIND(",",TRIM(E6174))-1),TRIM(E6174)))</f>
        <v>United States</v>
      </c>
      <c r="M6174" s="7" t="str">
        <f aca="false">IFERROR(LEFT(J6174,FIND(",",J6174)-1),J6174)</f>
        <v>Kids' TV</v>
      </c>
      <c r="N6174" s="7" t="str">
        <f aca="false">IF(B6174="Movie",IFERROR(VALUE(LEFT(I6174,FIND(" ",I6174)-1)),""),"")</f>
        <v/>
      </c>
      <c r="O6174" s="7" t="n">
        <f aca="false">IF(B6174="TV Show",IFERROR(VALUE(LEFT(I6174,FIND(" ",I6174)-1)),""),"")</f>
        <v>2</v>
      </c>
      <c r="P6174" s="7" t="n">
        <f aca="false">IF(K6174="","",K6174-G6174)</f>
        <v>0</v>
      </c>
    </row>
    <row r="6175" customFormat="false" ht="15" hidden="false" customHeight="false" outlineLevel="0" collapsed="false">
      <c r="A6175" s="7" t="n">
        <v>80160755</v>
      </c>
      <c r="B6175" s="7" t="s">
        <v>78</v>
      </c>
      <c r="C6175" s="7" t="s">
        <v>12173</v>
      </c>
      <c r="E6175" s="7" t="s">
        <v>28</v>
      </c>
      <c r="F6175" s="7" t="s">
        <v>12174</v>
      </c>
      <c r="G6175" s="7" t="n">
        <v>2017</v>
      </c>
      <c r="H6175" s="7" t="s">
        <v>49</v>
      </c>
      <c r="I6175" s="7" t="s">
        <v>11132</v>
      </c>
      <c r="J6175" s="7" t="s">
        <v>716</v>
      </c>
      <c r="K6175" s="7" t="n">
        <f aca="false">IFERROR(VALUE(RIGHT(TRIM(F6175),4)),"")</f>
        <v>2019</v>
      </c>
      <c r="L6175" s="7" t="str">
        <f aca="false">IF(TRIM(E6175)="","Unknown",IFERROR(LEFT(TRIM(E6175),FIND(",",TRIM(E6175))-1),TRIM(E6175)))</f>
        <v>United Kingdom</v>
      </c>
      <c r="M6175" s="7" t="str">
        <f aca="false">IFERROR(LEFT(J6175,FIND(",",J6175)-1),J6175)</f>
        <v>British TV Shows</v>
      </c>
      <c r="N6175" s="7" t="str">
        <f aca="false">IF(B6175="Movie",IFERROR(VALUE(LEFT(I6175,FIND(" ",I6175)-1)),""),"")</f>
        <v/>
      </c>
      <c r="O6175" s="7" t="n">
        <f aca="false">IF(B6175="TV Show",IFERROR(VALUE(LEFT(I6175,FIND(" ",I6175)-1)),""),"")</f>
        <v>2</v>
      </c>
      <c r="P6175" s="7" t="n">
        <f aca="false">IF(K6175="","",K6175-G6175)</f>
        <v>2</v>
      </c>
    </row>
    <row r="6176" customFormat="false" ht="15" hidden="false" customHeight="false" outlineLevel="0" collapsed="false">
      <c r="A6176" s="7" t="n">
        <v>70171946</v>
      </c>
      <c r="B6176" s="7" t="s">
        <v>78</v>
      </c>
      <c r="C6176" s="7" t="s">
        <v>12175</v>
      </c>
      <c r="E6176" s="7" t="s">
        <v>29</v>
      </c>
      <c r="F6176" s="7" t="s">
        <v>12174</v>
      </c>
      <c r="G6176" s="7" t="n">
        <v>2017</v>
      </c>
      <c r="H6176" s="7" t="s">
        <v>50</v>
      </c>
      <c r="I6176" s="7" t="s">
        <v>11830</v>
      </c>
      <c r="J6176" s="7" t="s">
        <v>2704</v>
      </c>
      <c r="K6176" s="7" t="n">
        <f aca="false">IFERROR(VALUE(RIGHT(TRIM(F6176),4)),"")</f>
        <v>2019</v>
      </c>
      <c r="L6176" s="7" t="str">
        <f aca="false">IF(TRIM(E6176)="","Unknown",IFERROR(LEFT(TRIM(E6176),FIND(",",TRIM(E6176))-1),TRIM(E6176)))</f>
        <v>Canada</v>
      </c>
      <c r="M6176" s="7" t="str">
        <f aca="false">IFERROR(LEFT(J6176,FIND(",",J6176)-1),J6176)</f>
        <v>TV Dramas</v>
      </c>
      <c r="N6176" s="7" t="str">
        <f aca="false">IF(B6176="Movie",IFERROR(VALUE(LEFT(I6176,FIND(" ",I6176)-1)),""),"")</f>
        <v/>
      </c>
      <c r="O6176" s="7" t="n">
        <f aca="false">IF(B6176="TV Show",IFERROR(VALUE(LEFT(I6176,FIND(" ",I6176)-1)),""),"")</f>
        <v>11</v>
      </c>
      <c r="P6176" s="7" t="n">
        <f aca="false">IF(K6176="","",K6176-G6176)</f>
        <v>2</v>
      </c>
    </row>
    <row r="6177" customFormat="false" ht="15" hidden="false" customHeight="false" outlineLevel="0" collapsed="false">
      <c r="A6177" s="7" t="n">
        <v>80175802</v>
      </c>
      <c r="B6177" s="7" t="s">
        <v>78</v>
      </c>
      <c r="C6177" s="7" t="s">
        <v>12176</v>
      </c>
      <c r="E6177" s="7" t="s">
        <v>26</v>
      </c>
      <c r="F6177" s="7" t="s">
        <v>12174</v>
      </c>
      <c r="G6177" s="7" t="n">
        <v>2018</v>
      </c>
      <c r="H6177" s="7" t="s">
        <v>53</v>
      </c>
      <c r="I6177" s="7" t="s">
        <v>11132</v>
      </c>
      <c r="J6177" s="7" t="s">
        <v>282</v>
      </c>
      <c r="K6177" s="7" t="n">
        <f aca="false">IFERROR(VALUE(RIGHT(TRIM(F6177),4)),"")</f>
        <v>2019</v>
      </c>
      <c r="L6177" s="7" t="str">
        <f aca="false">IF(TRIM(E6177)="","Unknown",IFERROR(LEFT(TRIM(E6177),FIND(",",TRIM(E6177))-1),TRIM(E6177)))</f>
        <v>United States</v>
      </c>
      <c r="M6177" s="7" t="str">
        <f aca="false">IFERROR(LEFT(J6177,FIND(",",J6177)-1),J6177)</f>
        <v>Crime TV Shows</v>
      </c>
      <c r="N6177" s="7" t="str">
        <f aca="false">IF(B6177="Movie",IFERROR(VALUE(LEFT(I6177,FIND(" ",I6177)-1)),""),"")</f>
        <v/>
      </c>
      <c r="O6177" s="7" t="n">
        <f aca="false">IF(B6177="TV Show",IFERROR(VALUE(LEFT(I6177,FIND(" ",I6177)-1)),""),"")</f>
        <v>2</v>
      </c>
      <c r="P6177" s="7" t="n">
        <f aca="false">IF(K6177="","",K6177-G6177)</f>
        <v>1</v>
      </c>
    </row>
    <row r="6178" customFormat="false" ht="15" hidden="false" customHeight="false" outlineLevel="0" collapsed="false">
      <c r="A6178" s="7" t="n">
        <v>80013249</v>
      </c>
      <c r="B6178" s="7" t="s">
        <v>78</v>
      </c>
      <c r="C6178" s="7" t="s">
        <v>12177</v>
      </c>
      <c r="E6178" s="7" t="s">
        <v>35</v>
      </c>
      <c r="F6178" s="7" t="s">
        <v>12174</v>
      </c>
      <c r="G6178" s="7" t="n">
        <v>2019</v>
      </c>
      <c r="H6178" s="7" t="s">
        <v>53</v>
      </c>
      <c r="I6178" s="7" t="s">
        <v>11152</v>
      </c>
      <c r="J6178" s="7" t="s">
        <v>834</v>
      </c>
      <c r="K6178" s="7" t="n">
        <f aca="false">IFERROR(VALUE(RIGHT(TRIM(F6178),4)),"")</f>
        <v>2019</v>
      </c>
      <c r="L6178" s="7" t="str">
        <f aca="false">IF(TRIM(E6178)="","Unknown",IFERROR(LEFT(TRIM(E6178),FIND(",",TRIM(E6178))-1),TRIM(E6178)))</f>
        <v>Australia</v>
      </c>
      <c r="M6178" s="7" t="str">
        <f aca="false">IFERROR(LEFT(J6178,FIND(",",J6178)-1),J6178)</f>
        <v>Crime TV Shows</v>
      </c>
      <c r="N6178" s="7" t="str">
        <f aca="false">IF(B6178="Movie",IFERROR(VALUE(LEFT(I6178,FIND(" ",I6178)-1)),""),"")</f>
        <v/>
      </c>
      <c r="O6178" s="7" t="n">
        <f aca="false">IF(B6178="TV Show",IFERROR(VALUE(LEFT(I6178,FIND(" ",I6178)-1)),""),"")</f>
        <v>7</v>
      </c>
      <c r="P6178" s="7" t="n">
        <f aca="false">IF(K6178="","",K6178-G6178)</f>
        <v>0</v>
      </c>
    </row>
    <row r="6179" customFormat="false" ht="15" hidden="false" customHeight="false" outlineLevel="0" collapsed="false">
      <c r="A6179" s="7" t="n">
        <v>70305043</v>
      </c>
      <c r="B6179" s="7" t="s">
        <v>78</v>
      </c>
      <c r="C6179" s="7" t="s">
        <v>12178</v>
      </c>
      <c r="E6179" s="7" t="s">
        <v>28</v>
      </c>
      <c r="F6179" s="7" t="s">
        <v>12179</v>
      </c>
      <c r="G6179" s="7" t="n">
        <v>2016</v>
      </c>
      <c r="H6179" s="7" t="s">
        <v>49</v>
      </c>
      <c r="I6179" s="7" t="s">
        <v>11148</v>
      </c>
      <c r="J6179" s="7" t="s">
        <v>563</v>
      </c>
      <c r="K6179" s="7" t="n">
        <f aca="false">IFERROR(VALUE(RIGHT(TRIM(F6179),4)),"")</f>
        <v>2017</v>
      </c>
      <c r="L6179" s="7" t="str">
        <f aca="false">IF(TRIM(E6179)="","Unknown",IFERROR(LEFT(TRIM(E6179),FIND(",",TRIM(E6179))-1),TRIM(E6179)))</f>
        <v>United Kingdom</v>
      </c>
      <c r="M6179" s="7" t="str">
        <f aca="false">IFERROR(LEFT(J6179,FIND(",",J6179)-1),J6179)</f>
        <v>British TV Shows</v>
      </c>
      <c r="N6179" s="7" t="str">
        <f aca="false">IF(B6179="Movie",IFERROR(VALUE(LEFT(I6179,FIND(" ",I6179)-1)),""),"")</f>
        <v/>
      </c>
      <c r="O6179" s="7" t="n">
        <f aca="false">IF(B6179="TV Show",IFERROR(VALUE(LEFT(I6179,FIND(" ",I6179)-1)),""),"")</f>
        <v>3</v>
      </c>
      <c r="P6179" s="7" t="n">
        <f aca="false">IF(K6179="","",K6179-G6179)</f>
        <v>1</v>
      </c>
    </row>
    <row r="6180" customFormat="false" ht="15" hidden="false" customHeight="false" outlineLevel="0" collapsed="false">
      <c r="A6180" s="7" t="n">
        <v>70221085</v>
      </c>
      <c r="B6180" s="7" t="s">
        <v>78</v>
      </c>
      <c r="C6180" s="7" t="s">
        <v>12180</v>
      </c>
      <c r="E6180" s="7" t="s">
        <v>28</v>
      </c>
      <c r="F6180" s="7" t="s">
        <v>12179</v>
      </c>
      <c r="G6180" s="7" t="n">
        <v>2011</v>
      </c>
      <c r="H6180" s="7" t="s">
        <v>50</v>
      </c>
      <c r="I6180" s="7" t="s">
        <v>11148</v>
      </c>
      <c r="J6180" s="7" t="s">
        <v>4544</v>
      </c>
      <c r="K6180" s="7" t="n">
        <f aca="false">IFERROR(VALUE(RIGHT(TRIM(F6180),4)),"")</f>
        <v>2017</v>
      </c>
      <c r="L6180" s="7" t="str">
        <f aca="false">IF(TRIM(E6180)="","Unknown",IFERROR(LEFT(TRIM(E6180),FIND(",",TRIM(E6180))-1),TRIM(E6180)))</f>
        <v>United Kingdom</v>
      </c>
      <c r="M6180" s="7" t="str">
        <f aca="false">IFERROR(LEFT(J6180,FIND(",",J6180)-1),J6180)</f>
        <v>British TV Shows</v>
      </c>
      <c r="N6180" s="7" t="str">
        <f aca="false">IF(B6180="Movie",IFERROR(VALUE(LEFT(I6180,FIND(" ",I6180)-1)),""),"")</f>
        <v/>
      </c>
      <c r="O6180" s="7" t="n">
        <f aca="false">IF(B6180="TV Show",IFERROR(VALUE(LEFT(I6180,FIND(" ",I6180)-1)),""),"")</f>
        <v>3</v>
      </c>
      <c r="P6180" s="7" t="n">
        <f aca="false">IF(K6180="","",K6180-G6180)</f>
        <v>6</v>
      </c>
    </row>
    <row r="6181" customFormat="false" ht="15" hidden="false" customHeight="false" outlineLevel="0" collapsed="false">
      <c r="A6181" s="7" t="n">
        <v>70140450</v>
      </c>
      <c r="B6181" s="7" t="s">
        <v>78</v>
      </c>
      <c r="C6181" s="7" t="s">
        <v>12181</v>
      </c>
      <c r="E6181" s="7" t="s">
        <v>28</v>
      </c>
      <c r="F6181" s="7" t="s">
        <v>12179</v>
      </c>
      <c r="G6181" s="7" t="n">
        <v>2013</v>
      </c>
      <c r="H6181" s="7" t="s">
        <v>48</v>
      </c>
      <c r="I6181" s="7" t="s">
        <v>11135</v>
      </c>
      <c r="J6181" s="7" t="s">
        <v>11301</v>
      </c>
      <c r="K6181" s="7" t="n">
        <f aca="false">IFERROR(VALUE(RIGHT(TRIM(F6181),4)),"")</f>
        <v>2017</v>
      </c>
      <c r="L6181" s="7" t="str">
        <f aca="false">IF(TRIM(E6181)="","Unknown",IFERROR(LEFT(TRIM(E6181),FIND(",",TRIM(E6181))-1),TRIM(E6181)))</f>
        <v>United Kingdom</v>
      </c>
      <c r="M6181" s="7" t="str">
        <f aca="false">IFERROR(LEFT(J6181,FIND(",",J6181)-1),J6181)</f>
        <v>British TV Shows</v>
      </c>
      <c r="N6181" s="7" t="str">
        <f aca="false">IF(B6181="Movie",IFERROR(VALUE(LEFT(I6181,FIND(" ",I6181)-1)),""),"")</f>
        <v/>
      </c>
      <c r="O6181" s="7" t="n">
        <f aca="false">IF(B6181="TV Show",IFERROR(VALUE(LEFT(I6181,FIND(" ",I6181)-1)),""),"")</f>
        <v>5</v>
      </c>
      <c r="P6181" s="7" t="n">
        <f aca="false">IF(K6181="","",K6181-G6181)</f>
        <v>4</v>
      </c>
    </row>
    <row r="6182" customFormat="false" ht="15" hidden="false" customHeight="false" outlineLevel="0" collapsed="false">
      <c r="A6182" s="7" t="n">
        <v>70250398</v>
      </c>
      <c r="B6182" s="7" t="s">
        <v>78</v>
      </c>
      <c r="C6182" s="7" t="s">
        <v>12182</v>
      </c>
      <c r="E6182" s="7" t="s">
        <v>28</v>
      </c>
      <c r="F6182" s="7" t="s">
        <v>12179</v>
      </c>
      <c r="G6182" s="7" t="n">
        <v>2012</v>
      </c>
      <c r="H6182" s="7" t="s">
        <v>48</v>
      </c>
      <c r="I6182" s="7" t="s">
        <v>11132</v>
      </c>
      <c r="J6182" s="7" t="s">
        <v>563</v>
      </c>
      <c r="K6182" s="7" t="n">
        <f aca="false">IFERROR(VALUE(RIGHT(TRIM(F6182),4)),"")</f>
        <v>2017</v>
      </c>
      <c r="L6182" s="7" t="str">
        <f aca="false">IF(TRIM(E6182)="","Unknown",IFERROR(LEFT(TRIM(E6182),FIND(",",TRIM(E6182))-1),TRIM(E6182)))</f>
        <v>United Kingdom</v>
      </c>
      <c r="M6182" s="7" t="str">
        <f aca="false">IFERROR(LEFT(J6182,FIND(",",J6182)-1),J6182)</f>
        <v>British TV Shows</v>
      </c>
      <c r="N6182" s="7" t="str">
        <f aca="false">IF(B6182="Movie",IFERROR(VALUE(LEFT(I6182,FIND(" ",I6182)-1)),""),"")</f>
        <v/>
      </c>
      <c r="O6182" s="7" t="n">
        <f aca="false">IF(B6182="TV Show",IFERROR(VALUE(LEFT(I6182,FIND(" ",I6182)-1)),""),"")</f>
        <v>2</v>
      </c>
      <c r="P6182" s="7" t="n">
        <f aca="false">IF(K6182="","",K6182-G6182)</f>
        <v>5</v>
      </c>
    </row>
    <row r="6183" customFormat="false" ht="15" hidden="false" customHeight="false" outlineLevel="0" collapsed="false">
      <c r="A6183" s="7" t="n">
        <v>80175275</v>
      </c>
      <c r="B6183" s="7" t="s">
        <v>78</v>
      </c>
      <c r="C6183" s="7" t="s">
        <v>12183</v>
      </c>
      <c r="E6183" s="7" t="s">
        <v>32</v>
      </c>
      <c r="F6183" s="7" t="s">
        <v>12179</v>
      </c>
      <c r="G6183" s="7" t="n">
        <v>2016</v>
      </c>
      <c r="H6183" s="7" t="s">
        <v>119</v>
      </c>
      <c r="I6183" s="7" t="s">
        <v>11148</v>
      </c>
      <c r="J6183" s="7" t="s">
        <v>1686</v>
      </c>
      <c r="K6183" s="7" t="n">
        <f aca="false">IFERROR(VALUE(RIGHT(TRIM(F6183),4)),"")</f>
        <v>2017</v>
      </c>
      <c r="L6183" s="7" t="str">
        <f aca="false">IF(TRIM(E6183)="","Unknown",IFERROR(LEFT(TRIM(E6183),FIND(",",TRIM(E6183))-1),TRIM(E6183)))</f>
        <v>South Korea</v>
      </c>
      <c r="M6183" s="7" t="str">
        <f aca="false">IFERROR(LEFT(J6183,FIND(",",J6183)-1),J6183)</f>
        <v>Kids' TV</v>
      </c>
      <c r="N6183" s="7" t="str">
        <f aca="false">IF(B6183="Movie",IFERROR(VALUE(LEFT(I6183,FIND(" ",I6183)-1)),""),"")</f>
        <v/>
      </c>
      <c r="O6183" s="7" t="n">
        <f aca="false">IF(B6183="TV Show",IFERROR(VALUE(LEFT(I6183,FIND(" ",I6183)-1)),""),"")</f>
        <v>3</v>
      </c>
      <c r="P6183" s="7" t="n">
        <f aca="false">IF(K6183="","",K6183-G6183)</f>
        <v>1</v>
      </c>
    </row>
    <row r="6184" customFormat="false" ht="15" hidden="false" customHeight="false" outlineLevel="0" collapsed="false">
      <c r="A6184" s="7" t="n">
        <v>80176842</v>
      </c>
      <c r="B6184" s="7" t="s">
        <v>78</v>
      </c>
      <c r="C6184" s="7" t="s">
        <v>12184</v>
      </c>
      <c r="D6184" s="7" t="s">
        <v>12185</v>
      </c>
      <c r="E6184" s="7" t="s">
        <v>32</v>
      </c>
      <c r="F6184" s="7" t="s">
        <v>12186</v>
      </c>
      <c r="G6184" s="7" t="n">
        <v>2019</v>
      </c>
      <c r="H6184" s="7" t="s">
        <v>49</v>
      </c>
      <c r="I6184" s="7" t="s">
        <v>11155</v>
      </c>
      <c r="J6184" s="7" t="s">
        <v>8099</v>
      </c>
      <c r="K6184" s="7" t="n">
        <f aca="false">IFERROR(VALUE(RIGHT(TRIM(F6184),4)),"")</f>
        <v>2019</v>
      </c>
      <c r="L6184" s="7" t="str">
        <f aca="false">IF(TRIM(E6184)="","Unknown",IFERROR(LEFT(TRIM(E6184),FIND(",",TRIM(E6184))-1),TRIM(E6184)))</f>
        <v>South Korea</v>
      </c>
      <c r="M6184" s="7" t="str">
        <f aca="false">IFERROR(LEFT(J6184,FIND(",",J6184)-1),J6184)</f>
        <v>International TV Shows</v>
      </c>
      <c r="N6184" s="7" t="str">
        <f aca="false">IF(B6184="Movie",IFERROR(VALUE(LEFT(I6184,FIND(" ",I6184)-1)),""),"")</f>
        <v/>
      </c>
      <c r="O6184" s="7" t="n">
        <f aca="false">IF(B6184="TV Show",IFERROR(VALUE(LEFT(I6184,FIND(" ",I6184)-1)),""),"")</f>
        <v>4</v>
      </c>
      <c r="P6184" s="7" t="n">
        <f aca="false">IF(K6184="","",K6184-G6184)</f>
        <v>0</v>
      </c>
    </row>
    <row r="6185" customFormat="false" ht="15" hidden="false" customHeight="false" outlineLevel="0" collapsed="false">
      <c r="A6185" s="7" t="n">
        <v>80025601</v>
      </c>
      <c r="B6185" s="7" t="s">
        <v>78</v>
      </c>
      <c r="C6185" s="7" t="s">
        <v>12187</v>
      </c>
      <c r="E6185" s="7" t="s">
        <v>26</v>
      </c>
      <c r="F6185" s="7" t="s">
        <v>12188</v>
      </c>
      <c r="G6185" s="7" t="n">
        <v>2017</v>
      </c>
      <c r="H6185" s="7" t="s">
        <v>48</v>
      </c>
      <c r="I6185" s="7" t="s">
        <v>11132</v>
      </c>
      <c r="J6185" s="7" t="s">
        <v>2704</v>
      </c>
      <c r="K6185" s="7" t="n">
        <f aca="false">IFERROR(VALUE(RIGHT(TRIM(F6185),4)),"")</f>
        <v>2017</v>
      </c>
      <c r="L6185" s="7" t="str">
        <f aca="false">IF(TRIM(E6185)="","Unknown",IFERROR(LEFT(TRIM(E6185),FIND(",",TRIM(E6185))-1),TRIM(E6185)))</f>
        <v>United States</v>
      </c>
      <c r="M6185" s="7" t="str">
        <f aca="false">IFERROR(LEFT(J6185,FIND(",",J6185)-1),J6185)</f>
        <v>TV Dramas</v>
      </c>
      <c r="N6185" s="7" t="str">
        <f aca="false">IF(B6185="Movie",IFERROR(VALUE(LEFT(I6185,FIND(" ",I6185)-1)),""),"")</f>
        <v/>
      </c>
      <c r="O6185" s="7" t="n">
        <f aca="false">IF(B6185="TV Show",IFERROR(VALUE(LEFT(I6185,FIND(" ",I6185)-1)),""),"")</f>
        <v>2</v>
      </c>
      <c r="P6185" s="7" t="n">
        <f aca="false">IF(K6185="","",K6185-G6185)</f>
        <v>0</v>
      </c>
    </row>
    <row r="6186" customFormat="false" ht="15" hidden="false" customHeight="false" outlineLevel="0" collapsed="false">
      <c r="A6186" s="7" t="n">
        <v>80003196</v>
      </c>
      <c r="B6186" s="7" t="s">
        <v>78</v>
      </c>
      <c r="C6186" s="7" t="s">
        <v>12189</v>
      </c>
      <c r="E6186" s="7" t="s">
        <v>31</v>
      </c>
      <c r="F6186" s="7" t="s">
        <v>12190</v>
      </c>
      <c r="G6186" s="7" t="n">
        <v>2017</v>
      </c>
      <c r="H6186" s="7" t="s">
        <v>81</v>
      </c>
      <c r="I6186" s="7" t="s">
        <v>11148</v>
      </c>
      <c r="J6186" s="7" t="s">
        <v>44</v>
      </c>
      <c r="K6186" s="7" t="n">
        <f aca="false">IFERROR(VALUE(RIGHT(TRIM(F6186),4)),"")</f>
        <v>2018</v>
      </c>
      <c r="L6186" s="7" t="str">
        <f aca="false">IF(TRIM(E6186)="","Unknown",IFERROR(LEFT(TRIM(E6186),FIND(",",TRIM(E6186))-1),TRIM(E6186)))</f>
        <v>France</v>
      </c>
      <c r="M6186" s="7" t="str">
        <f aca="false">IFERROR(LEFT(J6186,FIND(",",J6186)-1),J6186)</f>
        <v>Kids' TV</v>
      </c>
      <c r="N6186" s="7" t="str">
        <f aca="false">IF(B6186="Movie",IFERROR(VALUE(LEFT(I6186,FIND(" ",I6186)-1)),""),"")</f>
        <v/>
      </c>
      <c r="O6186" s="7" t="n">
        <f aca="false">IF(B6186="TV Show",IFERROR(VALUE(LEFT(I6186,FIND(" ",I6186)-1)),""),"")</f>
        <v>3</v>
      </c>
      <c r="P6186" s="7" t="n">
        <f aca="false">IF(K6186="","",K6186-G6186)</f>
        <v>1</v>
      </c>
    </row>
    <row r="6187" customFormat="false" ht="15" hidden="false" customHeight="false" outlineLevel="0" collapsed="false">
      <c r="A6187" s="7" t="n">
        <v>80223989</v>
      </c>
      <c r="B6187" s="7" t="s">
        <v>78</v>
      </c>
      <c r="C6187" s="7" t="s">
        <v>12191</v>
      </c>
      <c r="E6187" s="7" t="s">
        <v>26</v>
      </c>
      <c r="F6187" s="7" t="s">
        <v>12192</v>
      </c>
      <c r="G6187" s="7" t="n">
        <v>2019</v>
      </c>
      <c r="H6187" s="7" t="s">
        <v>49</v>
      </c>
      <c r="I6187" s="7" t="s">
        <v>11132</v>
      </c>
      <c r="J6187" s="7" t="s">
        <v>3110</v>
      </c>
      <c r="K6187" s="7" t="n">
        <f aca="false">IFERROR(VALUE(RIGHT(TRIM(F6187),4)),"")</f>
        <v>2019</v>
      </c>
      <c r="L6187" s="7" t="str">
        <f aca="false">IF(TRIM(E6187)="","Unknown",IFERROR(LEFT(TRIM(E6187),FIND(",",TRIM(E6187))-1),TRIM(E6187)))</f>
        <v>United States</v>
      </c>
      <c r="M6187" s="7" t="str">
        <f aca="false">IFERROR(LEFT(J6187,FIND(",",J6187)-1),J6187)</f>
        <v>TV Horror</v>
      </c>
      <c r="N6187" s="7" t="str">
        <f aca="false">IF(B6187="Movie",IFERROR(VALUE(LEFT(I6187,FIND(" ",I6187)-1)),""),"")</f>
        <v/>
      </c>
      <c r="O6187" s="7" t="n">
        <f aca="false">IF(B6187="TV Show",IFERROR(VALUE(LEFT(I6187,FIND(" ",I6187)-1)),""),"")</f>
        <v>2</v>
      </c>
      <c r="P6187" s="7" t="n">
        <f aca="false">IF(K6187="","",K6187-G6187)</f>
        <v>0</v>
      </c>
    </row>
    <row r="6188" customFormat="false" ht="15" hidden="false" customHeight="false" outlineLevel="0" collapsed="false">
      <c r="A6188" s="7" t="n">
        <v>70258489</v>
      </c>
      <c r="B6188" s="7" t="s">
        <v>78</v>
      </c>
      <c r="C6188" s="7" t="s">
        <v>12193</v>
      </c>
      <c r="E6188" s="7" t="s">
        <v>28</v>
      </c>
      <c r="F6188" s="7" t="s">
        <v>12192</v>
      </c>
      <c r="G6188" s="7" t="n">
        <v>2015</v>
      </c>
      <c r="H6188" s="7" t="s">
        <v>49</v>
      </c>
      <c r="I6188" s="7" t="s">
        <v>11148</v>
      </c>
      <c r="J6188" s="7" t="s">
        <v>4309</v>
      </c>
      <c r="K6188" s="7" t="n">
        <f aca="false">IFERROR(VALUE(RIGHT(TRIM(F6188),4)),"")</f>
        <v>2019</v>
      </c>
      <c r="L6188" s="7" t="str">
        <f aca="false">IF(TRIM(E6188)="","Unknown",IFERROR(LEFT(TRIM(E6188),FIND(",",TRIM(E6188))-1),TRIM(E6188)))</f>
        <v>United Kingdom</v>
      </c>
      <c r="M6188" s="7" t="str">
        <f aca="false">IFERROR(LEFT(J6188,FIND(",",J6188)-1),J6188)</f>
        <v>British TV Shows</v>
      </c>
      <c r="N6188" s="7" t="str">
        <f aca="false">IF(B6188="Movie",IFERROR(VALUE(LEFT(I6188,FIND(" ",I6188)-1)),""),"")</f>
        <v/>
      </c>
      <c r="O6188" s="7" t="n">
        <f aca="false">IF(B6188="TV Show",IFERROR(VALUE(LEFT(I6188,FIND(" ",I6188)-1)),""),"")</f>
        <v>3</v>
      </c>
      <c r="P6188" s="7" t="n">
        <f aca="false">IF(K6188="","",K6188-G6188)</f>
        <v>4</v>
      </c>
    </row>
    <row r="6189" customFormat="false" ht="15" hidden="false" customHeight="false" outlineLevel="0" collapsed="false">
      <c r="A6189" s="7" t="n">
        <v>80161628</v>
      </c>
      <c r="B6189" s="7" t="s">
        <v>78</v>
      </c>
      <c r="C6189" s="7" t="s">
        <v>12194</v>
      </c>
      <c r="E6189" s="7" t="s">
        <v>26</v>
      </c>
      <c r="F6189" s="7" t="s">
        <v>12192</v>
      </c>
      <c r="G6189" s="7" t="n">
        <v>2017</v>
      </c>
      <c r="H6189" s="7" t="s">
        <v>49</v>
      </c>
      <c r="I6189" s="7" t="s">
        <v>11132</v>
      </c>
      <c r="J6189" s="7" t="s">
        <v>3638</v>
      </c>
      <c r="K6189" s="7" t="n">
        <f aca="false">IFERROR(VALUE(RIGHT(TRIM(F6189),4)),"")</f>
        <v>2019</v>
      </c>
      <c r="L6189" s="7" t="str">
        <f aca="false">IF(TRIM(E6189)="","Unknown",IFERROR(LEFT(TRIM(E6189),FIND(",",TRIM(E6189))-1),TRIM(E6189)))</f>
        <v>United States</v>
      </c>
      <c r="M6189" s="7" t="str">
        <f aca="false">IFERROR(LEFT(J6189,FIND(",",J6189)-1),J6189)</f>
        <v>Crime TV Shows</v>
      </c>
      <c r="N6189" s="7" t="str">
        <f aca="false">IF(B6189="Movie",IFERROR(VALUE(LEFT(I6189,FIND(" ",I6189)-1)),""),"")</f>
        <v/>
      </c>
      <c r="O6189" s="7" t="n">
        <f aca="false">IF(B6189="TV Show",IFERROR(VALUE(LEFT(I6189,FIND(" ",I6189)-1)),""),"")</f>
        <v>2</v>
      </c>
      <c r="P6189" s="7" t="n">
        <f aca="false">IF(K6189="","",K6189-G6189)</f>
        <v>2</v>
      </c>
    </row>
    <row r="6190" customFormat="false" ht="15" hidden="false" customHeight="false" outlineLevel="0" collapsed="false">
      <c r="A6190" s="7" t="n">
        <v>80096545</v>
      </c>
      <c r="B6190" s="7" t="s">
        <v>78</v>
      </c>
      <c r="C6190" s="7" t="s">
        <v>12195</v>
      </c>
      <c r="E6190" s="7" t="s">
        <v>619</v>
      </c>
      <c r="F6190" s="7" t="s">
        <v>12192</v>
      </c>
      <c r="G6190" s="7" t="n">
        <v>2019</v>
      </c>
      <c r="H6190" s="7" t="s">
        <v>48</v>
      </c>
      <c r="I6190" s="7" t="s">
        <v>11148</v>
      </c>
      <c r="J6190" s="7" t="s">
        <v>164</v>
      </c>
      <c r="K6190" s="7" t="n">
        <f aca="false">IFERROR(VALUE(RIGHT(TRIM(F6190),4)),"")</f>
        <v>2019</v>
      </c>
      <c r="L6190" s="7" t="str">
        <f aca="false">IF(TRIM(E6190)="","Unknown",IFERROR(LEFT(TRIM(E6190),FIND(",",TRIM(E6190))-1),TRIM(E6190)))</f>
        <v>Canada</v>
      </c>
      <c r="M6190" s="7" t="str">
        <f aca="false">IFERROR(LEFT(J6190,FIND(",",J6190)-1),J6190)</f>
        <v>Docuseries</v>
      </c>
      <c r="N6190" s="7" t="str">
        <f aca="false">IF(B6190="Movie",IFERROR(VALUE(LEFT(I6190,FIND(" ",I6190)-1)),""),"")</f>
        <v/>
      </c>
      <c r="O6190" s="7" t="n">
        <f aca="false">IF(B6190="TV Show",IFERROR(VALUE(LEFT(I6190,FIND(" ",I6190)-1)),""),"")</f>
        <v>3</v>
      </c>
      <c r="P6190" s="7" t="n">
        <f aca="false">IF(K6190="","",K6190-G6190)</f>
        <v>0</v>
      </c>
    </row>
    <row r="6191" customFormat="false" ht="15" hidden="false" customHeight="false" outlineLevel="0" collapsed="false">
      <c r="A6191" s="7" t="n">
        <v>80115432</v>
      </c>
      <c r="B6191" s="7" t="s">
        <v>78</v>
      </c>
      <c r="C6191" s="7" t="s">
        <v>12196</v>
      </c>
      <c r="E6191" s="7" t="s">
        <v>26</v>
      </c>
      <c r="F6191" s="7" t="s">
        <v>12192</v>
      </c>
      <c r="G6191" s="7" t="n">
        <v>2019</v>
      </c>
      <c r="H6191" s="7" t="s">
        <v>55</v>
      </c>
      <c r="I6191" s="7" t="s">
        <v>11158</v>
      </c>
      <c r="J6191" s="7" t="s">
        <v>44</v>
      </c>
      <c r="K6191" s="7" t="n">
        <f aca="false">IFERROR(VALUE(RIGHT(TRIM(F6191),4)),"")</f>
        <v>2019</v>
      </c>
      <c r="L6191" s="7" t="str">
        <f aca="false">IF(TRIM(E6191)="","Unknown",IFERROR(LEFT(TRIM(E6191),FIND(",",TRIM(E6191))-1),TRIM(E6191)))</f>
        <v>United States</v>
      </c>
      <c r="M6191" s="7" t="str">
        <f aca="false">IFERROR(LEFT(J6191,FIND(",",J6191)-1),J6191)</f>
        <v>Kids' TV</v>
      </c>
      <c r="N6191" s="7" t="str">
        <f aca="false">IF(B6191="Movie",IFERROR(VALUE(LEFT(I6191,FIND(" ",I6191)-1)),""),"")</f>
        <v/>
      </c>
      <c r="O6191" s="7" t="n">
        <f aca="false">IF(B6191="TV Show",IFERROR(VALUE(LEFT(I6191,FIND(" ",I6191)-1)),""),"")</f>
        <v>8</v>
      </c>
      <c r="P6191" s="7" t="n">
        <f aca="false">IF(K6191="","",K6191-G6191)</f>
        <v>0</v>
      </c>
    </row>
    <row r="6192" customFormat="false" ht="15" hidden="false" customHeight="false" outlineLevel="0" collapsed="false">
      <c r="A6192" s="7" t="n">
        <v>80130911</v>
      </c>
      <c r="B6192" s="7" t="s">
        <v>78</v>
      </c>
      <c r="C6192" s="7" t="s">
        <v>12197</v>
      </c>
      <c r="E6192" s="7" t="s">
        <v>28</v>
      </c>
      <c r="F6192" s="7" t="s">
        <v>12198</v>
      </c>
      <c r="G6192" s="7" t="n">
        <v>2017</v>
      </c>
      <c r="H6192" s="7" t="s">
        <v>48</v>
      </c>
      <c r="I6192" s="7" t="s">
        <v>11132</v>
      </c>
      <c r="J6192" s="7" t="s">
        <v>1666</v>
      </c>
      <c r="K6192" s="7" t="n">
        <f aca="false">IFERROR(VALUE(RIGHT(TRIM(F6192),4)),"")</f>
        <v>2017</v>
      </c>
      <c r="L6192" s="7" t="str">
        <f aca="false">IF(TRIM(E6192)="","Unknown",IFERROR(LEFT(TRIM(E6192),FIND(",",TRIM(E6192))-1),TRIM(E6192)))</f>
        <v>United Kingdom</v>
      </c>
      <c r="M6192" s="7" t="str">
        <f aca="false">IFERROR(LEFT(J6192,FIND(",",J6192)-1),J6192)</f>
        <v>British TV Shows</v>
      </c>
      <c r="N6192" s="7" t="str">
        <f aca="false">IF(B6192="Movie",IFERROR(VALUE(LEFT(I6192,FIND(" ",I6192)-1)),""),"")</f>
        <v/>
      </c>
      <c r="O6192" s="7" t="n">
        <f aca="false">IF(B6192="TV Show",IFERROR(VALUE(LEFT(I6192,FIND(" ",I6192)-1)),""),"")</f>
        <v>2</v>
      </c>
      <c r="P6192" s="7" t="n">
        <f aca="false">IF(K6192="","",K6192-G6192)</f>
        <v>0</v>
      </c>
    </row>
    <row r="6193" customFormat="false" ht="15" hidden="false" customHeight="false" outlineLevel="0" collapsed="false">
      <c r="A6193" s="7" t="n">
        <v>80204451</v>
      </c>
      <c r="B6193" s="7" t="s">
        <v>78</v>
      </c>
      <c r="C6193" s="7" t="s">
        <v>12199</v>
      </c>
      <c r="E6193" s="7" t="s">
        <v>30</v>
      </c>
      <c r="F6193" s="7" t="s">
        <v>12200</v>
      </c>
      <c r="G6193" s="7" t="n">
        <v>2018</v>
      </c>
      <c r="H6193" s="7" t="s">
        <v>48</v>
      </c>
      <c r="I6193" s="7" t="s">
        <v>11132</v>
      </c>
      <c r="J6193" s="7" t="s">
        <v>542</v>
      </c>
      <c r="K6193" s="7" t="n">
        <f aca="false">IFERROR(VALUE(RIGHT(TRIM(F6193),4)),"")</f>
        <v>2019</v>
      </c>
      <c r="L6193" s="7" t="str">
        <f aca="false">IF(TRIM(E6193)="","Unknown",IFERROR(LEFT(TRIM(E6193),FIND(",",TRIM(E6193))-1),TRIM(E6193)))</f>
        <v>Japan</v>
      </c>
      <c r="M6193" s="7" t="str">
        <f aca="false">IFERROR(LEFT(J6193,FIND(",",J6193)-1),J6193)</f>
        <v>Anime Series</v>
      </c>
      <c r="N6193" s="7" t="str">
        <f aca="false">IF(B6193="Movie",IFERROR(VALUE(LEFT(I6193,FIND(" ",I6193)-1)),""),"")</f>
        <v/>
      </c>
      <c r="O6193" s="7" t="n">
        <f aca="false">IF(B6193="TV Show",IFERROR(VALUE(LEFT(I6193,FIND(" ",I6193)-1)),""),"")</f>
        <v>2</v>
      </c>
      <c r="P6193" s="7" t="n">
        <f aca="false">IF(K6193="","",K6193-G6193)</f>
        <v>1</v>
      </c>
    </row>
    <row r="6194" customFormat="false" ht="15" hidden="false" customHeight="false" outlineLevel="0" collapsed="false">
      <c r="A6194" s="7" t="n">
        <v>80199128</v>
      </c>
      <c r="B6194" s="7" t="s">
        <v>78</v>
      </c>
      <c r="C6194" s="7" t="s">
        <v>12201</v>
      </c>
      <c r="E6194" s="7" t="s">
        <v>29</v>
      </c>
      <c r="F6194" s="7" t="s">
        <v>12202</v>
      </c>
      <c r="G6194" s="7" t="n">
        <v>2019</v>
      </c>
      <c r="H6194" s="7" t="s">
        <v>49</v>
      </c>
      <c r="I6194" s="7" t="s">
        <v>11148</v>
      </c>
      <c r="J6194" s="7" t="s">
        <v>289</v>
      </c>
      <c r="K6194" s="7" t="n">
        <f aca="false">IFERROR(VALUE(RIGHT(TRIM(F6194),4)),"")</f>
        <v>2019</v>
      </c>
      <c r="L6194" s="7" t="str">
        <f aca="false">IF(TRIM(E6194)="","Unknown",IFERROR(LEFT(TRIM(E6194),FIND(",",TRIM(E6194))-1),TRIM(E6194)))</f>
        <v>Canada</v>
      </c>
      <c r="M6194" s="7" t="str">
        <f aca="false">IFERROR(LEFT(J6194,FIND(",",J6194)-1),J6194)</f>
        <v>TV Comedies</v>
      </c>
      <c r="N6194" s="7" t="str">
        <f aca="false">IF(B6194="Movie",IFERROR(VALUE(LEFT(I6194,FIND(" ",I6194)-1)),""),"")</f>
        <v/>
      </c>
      <c r="O6194" s="7" t="n">
        <f aca="false">IF(B6194="TV Show",IFERROR(VALUE(LEFT(I6194,FIND(" ",I6194)-1)),""),"")</f>
        <v>3</v>
      </c>
      <c r="P6194" s="7" t="n">
        <f aca="false">IF(K6194="","",K6194-G6194)</f>
        <v>0</v>
      </c>
    </row>
    <row r="6195" customFormat="false" ht="15" hidden="false" customHeight="false" outlineLevel="0" collapsed="false">
      <c r="A6195" s="7" t="n">
        <v>80049277</v>
      </c>
      <c r="B6195" s="7" t="s">
        <v>78</v>
      </c>
      <c r="C6195" s="7" t="s">
        <v>12203</v>
      </c>
      <c r="E6195" s="7" t="s">
        <v>26</v>
      </c>
      <c r="F6195" s="7" t="s">
        <v>12204</v>
      </c>
      <c r="G6195" s="7" t="n">
        <v>2018</v>
      </c>
      <c r="H6195" s="7" t="s">
        <v>48</v>
      </c>
      <c r="I6195" s="7" t="s">
        <v>11148</v>
      </c>
      <c r="J6195" s="7" t="s">
        <v>1455</v>
      </c>
      <c r="K6195" s="7" t="n">
        <f aca="false">IFERROR(VALUE(RIGHT(TRIM(F6195),4)),"")</f>
        <v>2019</v>
      </c>
      <c r="L6195" s="7" t="str">
        <f aca="false">IF(TRIM(E6195)="","Unknown",IFERROR(LEFT(TRIM(E6195),FIND(",",TRIM(E6195))-1),TRIM(E6195)))</f>
        <v>United States</v>
      </c>
      <c r="M6195" s="7" t="str">
        <f aca="false">IFERROR(LEFT(J6195,FIND(",",J6195)-1),J6195)</f>
        <v>TV Action &amp; Adventure</v>
      </c>
      <c r="N6195" s="7" t="str">
        <f aca="false">IF(B6195="Movie",IFERROR(VALUE(LEFT(I6195,FIND(" ",I6195)-1)),""),"")</f>
        <v/>
      </c>
      <c r="O6195" s="7" t="n">
        <f aca="false">IF(B6195="TV Show",IFERROR(VALUE(LEFT(I6195,FIND(" ",I6195)-1)),""),"")</f>
        <v>3</v>
      </c>
      <c r="P6195" s="7" t="n">
        <f aca="false">IF(K6195="","",K6195-G6195)</f>
        <v>1</v>
      </c>
    </row>
    <row r="6196" customFormat="false" ht="15" hidden="false" customHeight="false" outlineLevel="0" collapsed="false">
      <c r="A6196" s="7" t="n">
        <v>80046347</v>
      </c>
      <c r="B6196" s="7" t="s">
        <v>78</v>
      </c>
      <c r="C6196" s="7" t="s">
        <v>12205</v>
      </c>
      <c r="E6196" s="7" t="s">
        <v>1335</v>
      </c>
      <c r="F6196" s="7" t="s">
        <v>12206</v>
      </c>
      <c r="G6196" s="7" t="n">
        <v>2018</v>
      </c>
      <c r="H6196" s="7" t="s">
        <v>49</v>
      </c>
      <c r="I6196" s="7" t="s">
        <v>11135</v>
      </c>
      <c r="J6196" s="7" t="s">
        <v>89</v>
      </c>
      <c r="K6196" s="7" t="n">
        <f aca="false">IFERROR(VALUE(RIGHT(TRIM(F6196),4)),"")</f>
        <v>2019</v>
      </c>
      <c r="L6196" s="7" t="str">
        <f aca="false">IF(TRIM(E6196)="","Unknown",IFERROR(LEFT(TRIM(E6196),FIND(",",TRIM(E6196))-1),TRIM(E6196)))</f>
        <v>Mexico</v>
      </c>
      <c r="M6196" s="7" t="str">
        <f aca="false">IFERROR(LEFT(J6196,FIND(",",J6196)-1),J6196)</f>
        <v>Crime TV Shows</v>
      </c>
      <c r="N6196" s="7" t="str">
        <f aca="false">IF(B6196="Movie",IFERROR(VALUE(LEFT(I6196,FIND(" ",I6196)-1)),""),"")</f>
        <v/>
      </c>
      <c r="O6196" s="7" t="n">
        <f aca="false">IF(B6196="TV Show",IFERROR(VALUE(LEFT(I6196,FIND(" ",I6196)-1)),""),"")</f>
        <v>5</v>
      </c>
      <c r="P6196" s="7" t="n">
        <f aca="false">IF(K6196="","",K6196-G6196)</f>
        <v>1</v>
      </c>
    </row>
    <row r="6197" customFormat="false" ht="15" hidden="false" customHeight="false" outlineLevel="0" collapsed="false">
      <c r="A6197" s="7" t="n">
        <v>80136790</v>
      </c>
      <c r="B6197" s="7" t="s">
        <v>78</v>
      </c>
      <c r="C6197" s="7" t="s">
        <v>12207</v>
      </c>
      <c r="F6197" s="7" t="s">
        <v>12208</v>
      </c>
      <c r="G6197" s="7" t="n">
        <v>2016</v>
      </c>
      <c r="H6197" s="7" t="s">
        <v>49</v>
      </c>
      <c r="I6197" s="7" t="s">
        <v>11132</v>
      </c>
      <c r="J6197" s="7" t="s">
        <v>822</v>
      </c>
      <c r="K6197" s="7" t="n">
        <f aca="false">IFERROR(VALUE(RIGHT(TRIM(F6197),4)),"")</f>
        <v>2018</v>
      </c>
      <c r="L6197" s="7" t="str">
        <f aca="false">IF(TRIM(E6197)="","Unknown",IFERROR(LEFT(TRIM(E6197),FIND(",",TRIM(E6197))-1),TRIM(E6197)))</f>
        <v>Unknown</v>
      </c>
      <c r="M6197" s="7" t="str">
        <f aca="false">IFERROR(LEFT(J6197,FIND(",",J6197)-1),J6197)</f>
        <v>International TV Shows</v>
      </c>
      <c r="N6197" s="7" t="str">
        <f aca="false">IF(B6197="Movie",IFERROR(VALUE(LEFT(I6197,FIND(" ",I6197)-1)),""),"")</f>
        <v/>
      </c>
      <c r="O6197" s="7" t="n">
        <f aca="false">IF(B6197="TV Show",IFERROR(VALUE(LEFT(I6197,FIND(" ",I6197)-1)),""),"")</f>
        <v>2</v>
      </c>
      <c r="P6197" s="7" t="n">
        <f aca="false">IF(K6197="","",K6197-G6197)</f>
        <v>2</v>
      </c>
    </row>
    <row r="6198" customFormat="false" ht="15" hidden="false" customHeight="false" outlineLevel="0" collapsed="false">
      <c r="A6198" s="7" t="n">
        <v>80127464</v>
      </c>
      <c r="B6198" s="7" t="s">
        <v>78</v>
      </c>
      <c r="C6198" s="7" t="s">
        <v>12209</v>
      </c>
      <c r="E6198" s="7" t="s">
        <v>33</v>
      </c>
      <c r="F6198" s="7" t="s">
        <v>12210</v>
      </c>
      <c r="G6198" s="7" t="n">
        <v>2017</v>
      </c>
      <c r="H6198" s="7" t="s">
        <v>48</v>
      </c>
      <c r="I6198" s="7" t="s">
        <v>11132</v>
      </c>
      <c r="J6198" s="7" t="s">
        <v>89</v>
      </c>
      <c r="K6198" s="7" t="n">
        <f aca="false">IFERROR(VALUE(RIGHT(TRIM(F6198),4)),"")</f>
        <v>2017</v>
      </c>
      <c r="L6198" s="7" t="str">
        <f aca="false">IF(TRIM(E6198)="","Unknown",IFERROR(LEFT(TRIM(E6198),FIND(",",TRIM(E6198))-1),TRIM(E6198)))</f>
        <v>Spain</v>
      </c>
      <c r="M6198" s="7" t="str">
        <f aca="false">IFERROR(LEFT(J6198,FIND(",",J6198)-1),J6198)</f>
        <v>Crime TV Shows</v>
      </c>
      <c r="N6198" s="7" t="str">
        <f aca="false">IF(B6198="Movie",IFERROR(VALUE(LEFT(I6198,FIND(" ",I6198)-1)),""),"")</f>
        <v/>
      </c>
      <c r="O6198" s="7" t="n">
        <f aca="false">IF(B6198="TV Show",IFERROR(VALUE(LEFT(I6198,FIND(" ",I6198)-1)),""),"")</f>
        <v>2</v>
      </c>
      <c r="P6198" s="7" t="n">
        <f aca="false">IF(K6198="","",K6198-G6198)</f>
        <v>0</v>
      </c>
    </row>
    <row r="6199" customFormat="false" ht="15" hidden="false" customHeight="false" outlineLevel="0" collapsed="false">
      <c r="A6199" s="7" t="n">
        <v>80987209</v>
      </c>
      <c r="B6199" s="7" t="s">
        <v>78</v>
      </c>
      <c r="C6199" s="7" t="s">
        <v>12211</v>
      </c>
      <c r="E6199" s="7" t="s">
        <v>26</v>
      </c>
      <c r="F6199" s="7" t="s">
        <v>12212</v>
      </c>
      <c r="G6199" s="7" t="n">
        <v>2016</v>
      </c>
      <c r="H6199" s="7" t="s">
        <v>49</v>
      </c>
      <c r="I6199" s="7" t="s">
        <v>11155</v>
      </c>
      <c r="J6199" s="7" t="s">
        <v>375</v>
      </c>
      <c r="K6199" s="7" t="n">
        <f aca="false">IFERROR(VALUE(RIGHT(TRIM(F6199),4)),"")</f>
        <v>2019</v>
      </c>
      <c r="L6199" s="7" t="str">
        <f aca="false">IF(TRIM(E6199)="","Unknown",IFERROR(LEFT(TRIM(E6199),FIND(",",TRIM(E6199))-1),TRIM(E6199)))</f>
        <v>United States</v>
      </c>
      <c r="M6199" s="7" t="str">
        <f aca="false">IFERROR(LEFT(J6199,FIND(",",J6199)-1),J6199)</f>
        <v>International TV Shows</v>
      </c>
      <c r="N6199" s="7" t="str">
        <f aca="false">IF(B6199="Movie",IFERROR(VALUE(LEFT(I6199,FIND(" ",I6199)-1)),""),"")</f>
        <v/>
      </c>
      <c r="O6199" s="7" t="n">
        <f aca="false">IF(B6199="TV Show",IFERROR(VALUE(LEFT(I6199,FIND(" ",I6199)-1)),""),"")</f>
        <v>4</v>
      </c>
      <c r="P6199" s="7" t="n">
        <f aca="false">IF(K6199="","",K6199-G6199)</f>
        <v>3</v>
      </c>
    </row>
    <row r="6200" customFormat="false" ht="15" hidden="false" customHeight="false" outlineLevel="0" collapsed="false">
      <c r="A6200" s="7" t="n">
        <v>80189829</v>
      </c>
      <c r="B6200" s="7" t="s">
        <v>78</v>
      </c>
      <c r="C6200" s="7" t="s">
        <v>12213</v>
      </c>
      <c r="E6200" s="7" t="s">
        <v>396</v>
      </c>
      <c r="F6200" s="7" t="s">
        <v>12212</v>
      </c>
      <c r="G6200" s="7" t="n">
        <v>2019</v>
      </c>
      <c r="H6200" s="7" t="s">
        <v>48</v>
      </c>
      <c r="I6200" s="7" t="s">
        <v>11132</v>
      </c>
      <c r="J6200" s="7" t="s">
        <v>805</v>
      </c>
      <c r="K6200" s="7" t="n">
        <f aca="false">IFERROR(VALUE(RIGHT(TRIM(F6200),4)),"")</f>
        <v>2019</v>
      </c>
      <c r="L6200" s="7" t="str">
        <f aca="false">IF(TRIM(E6200)="","Unknown",IFERROR(LEFT(TRIM(E6200),FIND(",",TRIM(E6200))-1),TRIM(E6200)))</f>
        <v>Turkey</v>
      </c>
      <c r="M6200" s="7" t="str">
        <f aca="false">IFERROR(LEFT(J6200,FIND(",",J6200)-1),J6200)</f>
        <v>International TV Shows</v>
      </c>
      <c r="N6200" s="7" t="str">
        <f aca="false">IF(B6200="Movie",IFERROR(VALUE(LEFT(I6200,FIND(" ",I6200)-1)),""),"")</f>
        <v/>
      </c>
      <c r="O6200" s="7" t="n">
        <f aca="false">IF(B6200="TV Show",IFERROR(VALUE(LEFT(I6200,FIND(" ",I6200)-1)),""),"")</f>
        <v>2</v>
      </c>
      <c r="P6200" s="7" t="n">
        <f aca="false">IF(K6200="","",K6200-G6200)</f>
        <v>0</v>
      </c>
    </row>
    <row r="6201" customFormat="false" ht="15" hidden="false" customHeight="false" outlineLevel="0" collapsed="false">
      <c r="A6201" s="7" t="n">
        <v>80244228</v>
      </c>
      <c r="B6201" s="7" t="s">
        <v>78</v>
      </c>
      <c r="C6201" s="7" t="s">
        <v>12214</v>
      </c>
      <c r="F6201" s="7" t="s">
        <v>12215</v>
      </c>
      <c r="G6201" s="7" t="n">
        <v>2016</v>
      </c>
      <c r="H6201" s="7" t="s">
        <v>49</v>
      </c>
      <c r="I6201" s="7" t="s">
        <v>11132</v>
      </c>
      <c r="J6201" s="7" t="s">
        <v>158</v>
      </c>
      <c r="K6201" s="7" t="n">
        <f aca="false">IFERROR(VALUE(RIGHT(TRIM(F6201),4)),"")</f>
        <v>2019</v>
      </c>
      <c r="L6201" s="7" t="str">
        <f aca="false">IF(TRIM(E6201)="","Unknown",IFERROR(LEFT(TRIM(E6201),FIND(",",TRIM(E6201))-1),TRIM(E6201)))</f>
        <v>Unknown</v>
      </c>
      <c r="M6201" s="7" t="str">
        <f aca="false">IFERROR(LEFT(J6201,FIND(",",J6201)-1),J6201)</f>
        <v>International TV Shows</v>
      </c>
      <c r="N6201" s="7" t="str">
        <f aca="false">IF(B6201="Movie",IFERROR(VALUE(LEFT(I6201,FIND(" ",I6201)-1)),""),"")</f>
        <v/>
      </c>
      <c r="O6201" s="7" t="n">
        <f aca="false">IF(B6201="TV Show",IFERROR(VALUE(LEFT(I6201,FIND(" ",I6201)-1)),""),"")</f>
        <v>2</v>
      </c>
      <c r="P6201" s="7" t="n">
        <f aca="false">IF(K6201="","",K6201-G6201)</f>
        <v>3</v>
      </c>
    </row>
    <row r="6202" customFormat="false" ht="15" hidden="false" customHeight="false" outlineLevel="0" collapsed="false">
      <c r="A6202" s="7" t="n">
        <v>80018869</v>
      </c>
      <c r="B6202" s="7" t="s">
        <v>78</v>
      </c>
      <c r="C6202" s="7" t="s">
        <v>12216</v>
      </c>
      <c r="E6202" s="7" t="s">
        <v>26</v>
      </c>
      <c r="F6202" s="7" t="s">
        <v>12217</v>
      </c>
      <c r="G6202" s="7" t="n">
        <v>2017</v>
      </c>
      <c r="H6202" s="7" t="s">
        <v>226</v>
      </c>
      <c r="I6202" s="7" t="s">
        <v>11155</v>
      </c>
      <c r="J6202" s="7" t="s">
        <v>191</v>
      </c>
      <c r="K6202" s="7" t="n">
        <f aca="false">IFERROR(VALUE(RIGHT(TRIM(F6202),4)),"")</f>
        <v>2017</v>
      </c>
      <c r="L6202" s="7" t="str">
        <f aca="false">IF(TRIM(E6202)="","Unknown",IFERROR(LEFT(TRIM(E6202),FIND(",",TRIM(E6202))-1),TRIM(E6202)))</f>
        <v>United States</v>
      </c>
      <c r="M6202" s="7" t="str">
        <f aca="false">IFERROR(LEFT(J6202,FIND(",",J6202)-1),J6202)</f>
        <v>Kids' TV</v>
      </c>
      <c r="N6202" s="7" t="str">
        <f aca="false">IF(B6202="Movie",IFERROR(VALUE(LEFT(I6202,FIND(" ",I6202)-1)),""),"")</f>
        <v/>
      </c>
      <c r="O6202" s="7" t="n">
        <f aca="false">IF(B6202="TV Show",IFERROR(VALUE(LEFT(I6202,FIND(" ",I6202)-1)),""),"")</f>
        <v>4</v>
      </c>
      <c r="P6202" s="7" t="n">
        <f aca="false">IF(K6202="","",K6202-G6202)</f>
        <v>0</v>
      </c>
    </row>
    <row r="6203" customFormat="false" ht="15" hidden="false" customHeight="false" outlineLevel="0" collapsed="false">
      <c r="A6203" s="7" t="n">
        <v>80050007</v>
      </c>
      <c r="B6203" s="7" t="s">
        <v>78</v>
      </c>
      <c r="C6203" s="7" t="s">
        <v>12218</v>
      </c>
      <c r="E6203" s="7" t="s">
        <v>26</v>
      </c>
      <c r="F6203" s="7" t="s">
        <v>12219</v>
      </c>
      <c r="G6203" s="7" t="n">
        <v>2017</v>
      </c>
      <c r="H6203" s="7" t="s">
        <v>55</v>
      </c>
      <c r="I6203" s="7" t="s">
        <v>11155</v>
      </c>
      <c r="J6203" s="7" t="s">
        <v>191</v>
      </c>
      <c r="K6203" s="7" t="n">
        <f aca="false">IFERROR(VALUE(RIGHT(TRIM(F6203),4)),"")</f>
        <v>2017</v>
      </c>
      <c r="L6203" s="7" t="str">
        <f aca="false">IF(TRIM(E6203)="","Unknown",IFERROR(LEFT(TRIM(E6203),FIND(",",TRIM(E6203))-1),TRIM(E6203)))</f>
        <v>United States</v>
      </c>
      <c r="M6203" s="7" t="str">
        <f aca="false">IFERROR(LEFT(J6203,FIND(",",J6203)-1),J6203)</f>
        <v>Kids' TV</v>
      </c>
      <c r="N6203" s="7" t="str">
        <f aca="false">IF(B6203="Movie",IFERROR(VALUE(LEFT(I6203,FIND(" ",I6203)-1)),""),"")</f>
        <v/>
      </c>
      <c r="O6203" s="7" t="n">
        <f aca="false">IF(B6203="TV Show",IFERROR(VALUE(LEFT(I6203,FIND(" ",I6203)-1)),""),"")</f>
        <v>4</v>
      </c>
      <c r="P6203" s="7" t="n">
        <f aca="false">IF(K6203="","",K6203-G6203)</f>
        <v>0</v>
      </c>
    </row>
    <row r="6204" customFormat="false" ht="15" hidden="false" customHeight="false" outlineLevel="0" collapsed="false">
      <c r="A6204" s="7" t="n">
        <v>80116626</v>
      </c>
      <c r="B6204" s="7" t="s">
        <v>78</v>
      </c>
      <c r="C6204" s="7" t="s">
        <v>12220</v>
      </c>
      <c r="E6204" s="7" t="s">
        <v>32</v>
      </c>
      <c r="F6204" s="7" t="s">
        <v>12221</v>
      </c>
      <c r="G6204" s="7" t="n">
        <v>2016</v>
      </c>
      <c r="H6204" s="7" t="s">
        <v>49</v>
      </c>
      <c r="I6204" s="7" t="s">
        <v>11132</v>
      </c>
      <c r="J6204" s="7" t="s">
        <v>1231</v>
      </c>
      <c r="K6204" s="7" t="n">
        <f aca="false">IFERROR(VALUE(RIGHT(TRIM(F6204),4)),"")</f>
        <v>2017</v>
      </c>
      <c r="L6204" s="7" t="str">
        <f aca="false">IF(TRIM(E6204)="","Unknown",IFERROR(LEFT(TRIM(E6204),FIND(",",TRIM(E6204))-1),TRIM(E6204)))</f>
        <v>South Korea</v>
      </c>
      <c r="M6204" s="7" t="str">
        <f aca="false">IFERROR(LEFT(J6204,FIND(",",J6204)-1),J6204)</f>
        <v>International TV Shows</v>
      </c>
      <c r="N6204" s="7" t="str">
        <f aca="false">IF(B6204="Movie",IFERROR(VALUE(LEFT(I6204,FIND(" ",I6204)-1)),""),"")</f>
        <v/>
      </c>
      <c r="O6204" s="7" t="n">
        <f aca="false">IF(B6204="TV Show",IFERROR(VALUE(LEFT(I6204,FIND(" ",I6204)-1)),""),"")</f>
        <v>2</v>
      </c>
      <c r="P6204" s="7" t="n">
        <f aca="false">IF(K6204="","",K6204-G6204)</f>
        <v>1</v>
      </c>
    </row>
    <row r="6205" customFormat="false" ht="15" hidden="false" customHeight="false" outlineLevel="0" collapsed="false">
      <c r="A6205" s="7" t="n">
        <v>70158329</v>
      </c>
      <c r="B6205" s="7" t="s">
        <v>78</v>
      </c>
      <c r="C6205" s="7" t="s">
        <v>12222</v>
      </c>
      <c r="E6205" s="7" t="s">
        <v>26</v>
      </c>
      <c r="F6205" s="7" t="s">
        <v>12223</v>
      </c>
      <c r="G6205" s="7" t="n">
        <v>1993</v>
      </c>
      <c r="H6205" s="7" t="s">
        <v>50</v>
      </c>
      <c r="I6205" s="7" t="s">
        <v>11152</v>
      </c>
      <c r="J6205" s="7" t="s">
        <v>9649</v>
      </c>
      <c r="K6205" s="7" t="n">
        <f aca="false">IFERROR(VALUE(RIGHT(TRIM(F6205),4)),"")</f>
        <v>2018</v>
      </c>
      <c r="L6205" s="7" t="str">
        <f aca="false">IF(TRIM(E6205)="","Unknown",IFERROR(LEFT(TRIM(E6205),FIND(",",TRIM(E6205))-1),TRIM(E6205)))</f>
        <v>United States</v>
      </c>
      <c r="M6205" s="7" t="str">
        <f aca="false">IFERROR(LEFT(J6205,FIND(",",J6205)-1),J6205)</f>
        <v>TV Action &amp; Adventure</v>
      </c>
      <c r="N6205" s="7" t="str">
        <f aca="false">IF(B6205="Movie",IFERROR(VALUE(LEFT(I6205,FIND(" ",I6205)-1)),""),"")</f>
        <v/>
      </c>
      <c r="O6205" s="7" t="n">
        <f aca="false">IF(B6205="TV Show",IFERROR(VALUE(LEFT(I6205,FIND(" ",I6205)-1)),""),"")</f>
        <v>7</v>
      </c>
      <c r="P6205" s="7" t="n">
        <f aca="false">IF(K6205="","",K6205-G6205)</f>
        <v>25</v>
      </c>
    </row>
    <row r="6206" customFormat="false" ht="15" hidden="false" customHeight="false" outlineLevel="0" collapsed="false">
      <c r="A6206" s="7" t="n">
        <v>80091341</v>
      </c>
      <c r="B6206" s="7" t="s">
        <v>78</v>
      </c>
      <c r="C6206" s="7" t="s">
        <v>12224</v>
      </c>
      <c r="E6206" s="7" t="s">
        <v>28</v>
      </c>
      <c r="F6206" s="7" t="s">
        <v>12225</v>
      </c>
      <c r="G6206" s="7" t="n">
        <v>2019</v>
      </c>
      <c r="H6206" s="7" t="s">
        <v>49</v>
      </c>
      <c r="I6206" s="7" t="s">
        <v>11135</v>
      </c>
      <c r="J6206" s="7" t="s">
        <v>4309</v>
      </c>
      <c r="K6206" s="7" t="n">
        <f aca="false">IFERROR(VALUE(RIGHT(TRIM(F6206),4)),"")</f>
        <v>2019</v>
      </c>
      <c r="L6206" s="7" t="str">
        <f aca="false">IF(TRIM(E6206)="","Unknown",IFERROR(LEFT(TRIM(E6206),FIND(",",TRIM(E6206))-1),TRIM(E6206)))</f>
        <v>United Kingdom</v>
      </c>
      <c r="M6206" s="7" t="str">
        <f aca="false">IFERROR(LEFT(J6206,FIND(",",J6206)-1),J6206)</f>
        <v>British TV Shows</v>
      </c>
      <c r="N6206" s="7" t="str">
        <f aca="false">IF(B6206="Movie",IFERROR(VALUE(LEFT(I6206,FIND(" ",I6206)-1)),""),"")</f>
        <v/>
      </c>
      <c r="O6206" s="7" t="n">
        <f aca="false">IF(B6206="TV Show",IFERROR(VALUE(LEFT(I6206,FIND(" ",I6206)-1)),""),"")</f>
        <v>5</v>
      </c>
      <c r="P6206" s="7" t="n">
        <f aca="false">IF(K6206="","",K6206-G6206)</f>
        <v>0</v>
      </c>
    </row>
    <row r="6207" customFormat="false" ht="15" hidden="false" customHeight="false" outlineLevel="0" collapsed="false">
      <c r="A6207" s="7" t="n">
        <v>80036747</v>
      </c>
      <c r="B6207" s="7" t="s">
        <v>78</v>
      </c>
      <c r="C6207" s="7" t="s">
        <v>12226</v>
      </c>
      <c r="E6207" s="7" t="s">
        <v>32</v>
      </c>
      <c r="F6207" s="7" t="s">
        <v>12225</v>
      </c>
      <c r="G6207" s="7" t="n">
        <v>2013</v>
      </c>
      <c r="H6207" s="7" t="s">
        <v>119</v>
      </c>
      <c r="I6207" s="7" t="s">
        <v>11132</v>
      </c>
      <c r="J6207" s="7" t="s">
        <v>1686</v>
      </c>
      <c r="K6207" s="7" t="n">
        <f aca="false">IFERROR(VALUE(RIGHT(TRIM(F6207),4)),"")</f>
        <v>2019</v>
      </c>
      <c r="L6207" s="7" t="str">
        <f aca="false">IF(TRIM(E6207)="","Unknown",IFERROR(LEFT(TRIM(E6207),FIND(",",TRIM(E6207))-1),TRIM(E6207)))</f>
        <v>South Korea</v>
      </c>
      <c r="M6207" s="7" t="str">
        <f aca="false">IFERROR(LEFT(J6207,FIND(",",J6207)-1),J6207)</f>
        <v>Kids' TV</v>
      </c>
      <c r="N6207" s="7" t="str">
        <f aca="false">IF(B6207="Movie",IFERROR(VALUE(LEFT(I6207,FIND(" ",I6207)-1)),""),"")</f>
        <v/>
      </c>
      <c r="O6207" s="7" t="n">
        <f aca="false">IF(B6207="TV Show",IFERROR(VALUE(LEFT(I6207,FIND(" ",I6207)-1)),""),"")</f>
        <v>2</v>
      </c>
      <c r="P6207" s="7" t="n">
        <f aca="false">IF(K6207="","",K6207-G6207)</f>
        <v>6</v>
      </c>
    </row>
    <row r="6208" customFormat="false" ht="15" hidden="false" customHeight="false" outlineLevel="0" collapsed="false">
      <c r="A6208" s="7" t="n">
        <v>80173174</v>
      </c>
      <c r="B6208" s="7" t="s">
        <v>78</v>
      </c>
      <c r="C6208" s="7" t="s">
        <v>12227</v>
      </c>
      <c r="E6208" s="7" t="s">
        <v>325</v>
      </c>
      <c r="F6208" s="7" t="s">
        <v>12225</v>
      </c>
      <c r="G6208" s="7" t="n">
        <v>2019</v>
      </c>
      <c r="H6208" s="7" t="s">
        <v>48</v>
      </c>
      <c r="I6208" s="7" t="s">
        <v>11132</v>
      </c>
      <c r="J6208" s="7" t="s">
        <v>1357</v>
      </c>
      <c r="K6208" s="7" t="n">
        <f aca="false">IFERROR(VALUE(RIGHT(TRIM(F6208),4)),"")</f>
        <v>2019</v>
      </c>
      <c r="L6208" s="7" t="str">
        <f aca="false">IF(TRIM(E6208)="","Unknown",IFERROR(LEFT(TRIM(E6208),FIND(",",TRIM(E6208))-1),TRIM(E6208)))</f>
        <v>Brazil</v>
      </c>
      <c r="M6208" s="7" t="str">
        <f aca="false">IFERROR(LEFT(J6208,FIND(",",J6208)-1),J6208)</f>
        <v>International TV Shows</v>
      </c>
      <c r="N6208" s="7" t="str">
        <f aca="false">IF(B6208="Movie",IFERROR(VALUE(LEFT(I6208,FIND(" ",I6208)-1)),""),"")</f>
        <v/>
      </c>
      <c r="O6208" s="7" t="n">
        <f aca="false">IF(B6208="TV Show",IFERROR(VALUE(LEFT(I6208,FIND(" ",I6208)-1)),""),"")</f>
        <v>2</v>
      </c>
      <c r="P6208" s="7" t="n">
        <f aca="false">IF(K6208="","",K6208-G6208)</f>
        <v>0</v>
      </c>
    </row>
    <row r="6209" customFormat="false" ht="15" hidden="false" customHeight="false" outlineLevel="0" collapsed="false">
      <c r="A6209" s="7" t="n">
        <v>80190407</v>
      </c>
      <c r="B6209" s="7" t="s">
        <v>78</v>
      </c>
      <c r="C6209" s="7" t="s">
        <v>12228</v>
      </c>
      <c r="E6209" s="7" t="s">
        <v>26</v>
      </c>
      <c r="F6209" s="7" t="s">
        <v>12229</v>
      </c>
      <c r="G6209" s="7" t="n">
        <v>2017</v>
      </c>
      <c r="H6209" s="7" t="s">
        <v>49</v>
      </c>
      <c r="I6209" s="7" t="s">
        <v>11148</v>
      </c>
      <c r="J6209" s="7" t="s">
        <v>696</v>
      </c>
      <c r="K6209" s="7" t="n">
        <f aca="false">IFERROR(VALUE(RIGHT(TRIM(F6209),4)),"")</f>
        <v>2018</v>
      </c>
      <c r="L6209" s="7" t="str">
        <f aca="false">IF(TRIM(E6209)="","Unknown",IFERROR(LEFT(TRIM(E6209),FIND(",",TRIM(E6209))-1),TRIM(E6209)))</f>
        <v>United States</v>
      </c>
      <c r="M6209" s="7" t="str">
        <f aca="false">IFERROR(LEFT(J6209,FIND(",",J6209)-1),J6209)</f>
        <v>Crime TV Shows</v>
      </c>
      <c r="N6209" s="7" t="str">
        <f aca="false">IF(B6209="Movie",IFERROR(VALUE(LEFT(I6209,FIND(" ",I6209)-1)),""),"")</f>
        <v/>
      </c>
      <c r="O6209" s="7" t="n">
        <f aca="false">IF(B6209="TV Show",IFERROR(VALUE(LEFT(I6209,FIND(" ",I6209)-1)),""),"")</f>
        <v>3</v>
      </c>
      <c r="P6209" s="7" t="n">
        <f aca="false">IF(K6209="","",K6209-G6209)</f>
        <v>1</v>
      </c>
    </row>
    <row r="6210" customFormat="false" ht="15" hidden="false" customHeight="false" outlineLevel="0" collapsed="false">
      <c r="A6210" s="7" t="n">
        <v>70227189</v>
      </c>
      <c r="B6210" s="7" t="s">
        <v>78</v>
      </c>
      <c r="C6210" s="7" t="s">
        <v>12230</v>
      </c>
      <c r="E6210" s="7" t="s">
        <v>29</v>
      </c>
      <c r="F6210" s="7" t="s">
        <v>12231</v>
      </c>
      <c r="G6210" s="7" t="n">
        <v>2015</v>
      </c>
      <c r="H6210" s="7" t="s">
        <v>49</v>
      </c>
      <c r="I6210" s="7" t="s">
        <v>11135</v>
      </c>
      <c r="J6210" s="7" t="s">
        <v>1469</v>
      </c>
      <c r="K6210" s="7" t="n">
        <f aca="false">IFERROR(VALUE(RIGHT(TRIM(F6210),4)),"")</f>
        <v>2016</v>
      </c>
      <c r="L6210" s="7" t="str">
        <f aca="false">IF(TRIM(E6210)="","Unknown",IFERROR(LEFT(TRIM(E6210),FIND(",",TRIM(E6210))-1),TRIM(E6210)))</f>
        <v>Canada</v>
      </c>
      <c r="M6210" s="7" t="str">
        <f aca="false">IFERROR(LEFT(J6210,FIND(",",J6210)-1),J6210)</f>
        <v>TV Dramas</v>
      </c>
      <c r="N6210" s="7" t="str">
        <f aca="false">IF(B6210="Movie",IFERROR(VALUE(LEFT(I6210,FIND(" ",I6210)-1)),""),"")</f>
        <v/>
      </c>
      <c r="O6210" s="7" t="n">
        <f aca="false">IF(B6210="TV Show",IFERROR(VALUE(LEFT(I6210,FIND(" ",I6210)-1)),""),"")</f>
        <v>5</v>
      </c>
      <c r="P6210" s="7" t="n">
        <f aca="false">IF(K6210="","",K6210-G6210)</f>
        <v>1</v>
      </c>
    </row>
    <row r="6211" customFormat="false" ht="15" hidden="false" customHeight="false" outlineLevel="0" collapsed="false">
      <c r="A6211" s="7" t="n">
        <v>70264078</v>
      </c>
      <c r="B6211" s="7" t="s">
        <v>78</v>
      </c>
      <c r="C6211" s="7" t="s">
        <v>12232</v>
      </c>
      <c r="E6211" s="7" t="s">
        <v>29</v>
      </c>
      <c r="F6211" s="7" t="s">
        <v>12233</v>
      </c>
      <c r="G6211" s="7" t="n">
        <v>2013</v>
      </c>
      <c r="H6211" s="7" t="s">
        <v>226</v>
      </c>
      <c r="I6211" s="7" t="s">
        <v>11132</v>
      </c>
      <c r="J6211" s="7" t="s">
        <v>191</v>
      </c>
      <c r="K6211" s="7" t="n">
        <f aca="false">IFERROR(VALUE(RIGHT(TRIM(F6211),4)),"")</f>
        <v>2019</v>
      </c>
      <c r="L6211" s="7" t="str">
        <f aca="false">IF(TRIM(E6211)="","Unknown",IFERROR(LEFT(TRIM(E6211),FIND(",",TRIM(E6211))-1),TRIM(E6211)))</f>
        <v>Canada</v>
      </c>
      <c r="M6211" s="7" t="str">
        <f aca="false">IFERROR(LEFT(J6211,FIND(",",J6211)-1),J6211)</f>
        <v>Kids' TV</v>
      </c>
      <c r="N6211" s="7" t="str">
        <f aca="false">IF(B6211="Movie",IFERROR(VALUE(LEFT(I6211,FIND(" ",I6211)-1)),""),"")</f>
        <v/>
      </c>
      <c r="O6211" s="7" t="n">
        <f aca="false">IF(B6211="TV Show",IFERROR(VALUE(LEFT(I6211,FIND(" ",I6211)-1)),""),"")</f>
        <v>2</v>
      </c>
      <c r="P6211" s="7" t="n">
        <f aca="false">IF(K6211="","",K6211-G6211)</f>
        <v>6</v>
      </c>
    </row>
    <row r="6212" customFormat="false" ht="15" hidden="false" customHeight="false" outlineLevel="0" collapsed="false">
      <c r="A6212" s="7" t="n">
        <v>80239700</v>
      </c>
      <c r="B6212" s="7" t="s">
        <v>78</v>
      </c>
      <c r="C6212" s="7" t="s">
        <v>12234</v>
      </c>
      <c r="E6212" s="7" t="s">
        <v>1113</v>
      </c>
      <c r="F6212" s="7" t="s">
        <v>12235</v>
      </c>
      <c r="G6212" s="7" t="n">
        <v>2016</v>
      </c>
      <c r="H6212" s="7" t="s">
        <v>48</v>
      </c>
      <c r="I6212" s="7" t="s">
        <v>11132</v>
      </c>
      <c r="J6212" s="7" t="s">
        <v>4526</v>
      </c>
      <c r="K6212" s="7" t="n">
        <f aca="false">IFERROR(VALUE(RIGHT(TRIM(F6212),4)),"")</f>
        <v>2018</v>
      </c>
      <c r="L6212" s="7" t="str">
        <f aca="false">IF(TRIM(E6212)="","Unknown",IFERROR(LEFT(TRIM(E6212),FIND(",",TRIM(E6212))-1),TRIM(E6212)))</f>
        <v>Argentina</v>
      </c>
      <c r="M6212" s="7" t="str">
        <f aca="false">IFERROR(LEFT(J6212,FIND(",",J6212)-1),J6212)</f>
        <v>International TV Shows</v>
      </c>
      <c r="N6212" s="7" t="str">
        <f aca="false">IF(B6212="Movie",IFERROR(VALUE(LEFT(I6212,FIND(" ",I6212)-1)),""),"")</f>
        <v/>
      </c>
      <c r="O6212" s="7" t="n">
        <f aca="false">IF(B6212="TV Show",IFERROR(VALUE(LEFT(I6212,FIND(" ",I6212)-1)),""),"")</f>
        <v>2</v>
      </c>
      <c r="P6212" s="7" t="n">
        <f aca="false">IF(K6212="","",K6212-G6212)</f>
        <v>2</v>
      </c>
    </row>
    <row r="6213" customFormat="false" ht="15" hidden="false" customHeight="false" outlineLevel="0" collapsed="false">
      <c r="A6213" s="7" t="n">
        <v>80231523</v>
      </c>
      <c r="B6213" s="7" t="s">
        <v>78</v>
      </c>
      <c r="C6213" s="7" t="s">
        <v>12236</v>
      </c>
      <c r="E6213" s="7" t="s">
        <v>31</v>
      </c>
      <c r="F6213" s="7" t="s">
        <v>12235</v>
      </c>
      <c r="G6213" s="7" t="n">
        <v>2012</v>
      </c>
      <c r="H6213" s="7" t="s">
        <v>226</v>
      </c>
      <c r="I6213" s="7" t="s">
        <v>11132</v>
      </c>
      <c r="J6213" s="7" t="s">
        <v>191</v>
      </c>
      <c r="K6213" s="7" t="n">
        <f aca="false">IFERROR(VALUE(RIGHT(TRIM(F6213),4)),"")</f>
        <v>2018</v>
      </c>
      <c r="L6213" s="7" t="str">
        <f aca="false">IF(TRIM(E6213)="","Unknown",IFERROR(LEFT(TRIM(E6213),FIND(",",TRIM(E6213))-1),TRIM(E6213)))</f>
        <v>France</v>
      </c>
      <c r="M6213" s="7" t="str">
        <f aca="false">IFERROR(LEFT(J6213,FIND(",",J6213)-1),J6213)</f>
        <v>Kids' TV</v>
      </c>
      <c r="N6213" s="7" t="str">
        <f aca="false">IF(B6213="Movie",IFERROR(VALUE(LEFT(I6213,FIND(" ",I6213)-1)),""),"")</f>
        <v/>
      </c>
      <c r="O6213" s="7" t="n">
        <f aca="false">IF(B6213="TV Show",IFERROR(VALUE(LEFT(I6213,FIND(" ",I6213)-1)),""),"")</f>
        <v>2</v>
      </c>
      <c r="P6213" s="7" t="n">
        <f aca="false">IF(K6213="","",K6213-G6213)</f>
        <v>6</v>
      </c>
    </row>
    <row r="6214" customFormat="false" ht="15" hidden="false" customHeight="false" outlineLevel="0" collapsed="false">
      <c r="A6214" s="7" t="n">
        <v>80126877</v>
      </c>
      <c r="B6214" s="7" t="s">
        <v>78</v>
      </c>
      <c r="C6214" s="7" t="s">
        <v>12237</v>
      </c>
      <c r="E6214" s="7" t="s">
        <v>396</v>
      </c>
      <c r="F6214" s="7" t="s">
        <v>12238</v>
      </c>
      <c r="G6214" s="7" t="n">
        <v>2015</v>
      </c>
      <c r="H6214" s="7" t="s">
        <v>49</v>
      </c>
      <c r="I6214" s="7" t="s">
        <v>11132</v>
      </c>
      <c r="J6214" s="7" t="s">
        <v>588</v>
      </c>
      <c r="K6214" s="7" t="n">
        <f aca="false">IFERROR(VALUE(RIGHT(TRIM(F6214),4)),"")</f>
        <v>2017</v>
      </c>
      <c r="L6214" s="7" t="str">
        <f aca="false">IF(TRIM(E6214)="","Unknown",IFERROR(LEFT(TRIM(E6214),FIND(",",TRIM(E6214))-1),TRIM(E6214)))</f>
        <v>Turkey</v>
      </c>
      <c r="M6214" s="7" t="str">
        <f aca="false">IFERROR(LEFT(J6214,FIND(",",J6214)-1),J6214)</f>
        <v>Crime TV Shows</v>
      </c>
      <c r="N6214" s="7" t="str">
        <f aca="false">IF(B6214="Movie",IFERROR(VALUE(LEFT(I6214,FIND(" ",I6214)-1)),""),"")</f>
        <v/>
      </c>
      <c r="O6214" s="7" t="n">
        <f aca="false">IF(B6214="TV Show",IFERROR(VALUE(LEFT(I6214,FIND(" ",I6214)-1)),""),"")</f>
        <v>2</v>
      </c>
      <c r="P6214" s="7" t="n">
        <f aca="false">IF(K6214="","",K6214-G6214)</f>
        <v>2</v>
      </c>
    </row>
    <row r="6215" customFormat="false" ht="15" hidden="false" customHeight="false" outlineLevel="0" collapsed="false">
      <c r="A6215" s="7" t="n">
        <v>80126599</v>
      </c>
      <c r="B6215" s="7" t="s">
        <v>78</v>
      </c>
      <c r="C6215" s="7" t="s">
        <v>12239</v>
      </c>
      <c r="D6215" s="7" t="s">
        <v>12240</v>
      </c>
      <c r="E6215" s="7" t="s">
        <v>396</v>
      </c>
      <c r="F6215" s="7" t="s">
        <v>12238</v>
      </c>
      <c r="G6215" s="7" t="n">
        <v>2014</v>
      </c>
      <c r="H6215" s="7" t="s">
        <v>50</v>
      </c>
      <c r="I6215" s="7" t="s">
        <v>11148</v>
      </c>
      <c r="J6215" s="7" t="s">
        <v>158</v>
      </c>
      <c r="K6215" s="7" t="n">
        <f aca="false">IFERROR(VALUE(RIGHT(TRIM(F6215),4)),"")</f>
        <v>2017</v>
      </c>
      <c r="L6215" s="7" t="str">
        <f aca="false">IF(TRIM(E6215)="","Unknown",IFERROR(LEFT(TRIM(E6215),FIND(",",TRIM(E6215))-1),TRIM(E6215)))</f>
        <v>Turkey</v>
      </c>
      <c r="M6215" s="7" t="str">
        <f aca="false">IFERROR(LEFT(J6215,FIND(",",J6215)-1),J6215)</f>
        <v>International TV Shows</v>
      </c>
      <c r="N6215" s="7" t="str">
        <f aca="false">IF(B6215="Movie",IFERROR(VALUE(LEFT(I6215,FIND(" ",I6215)-1)),""),"")</f>
        <v/>
      </c>
      <c r="O6215" s="7" t="n">
        <f aca="false">IF(B6215="TV Show",IFERROR(VALUE(LEFT(I6215,FIND(" ",I6215)-1)),""),"")</f>
        <v>3</v>
      </c>
      <c r="P6215" s="7" t="n">
        <f aca="false">IF(K6215="","",K6215-G6215)</f>
        <v>3</v>
      </c>
    </row>
    <row r="6216" customFormat="false" ht="15" hidden="false" customHeight="false" outlineLevel="0" collapsed="false">
      <c r="A6216" s="7" t="n">
        <v>80049872</v>
      </c>
      <c r="B6216" s="7" t="s">
        <v>78</v>
      </c>
      <c r="C6216" s="7" t="s">
        <v>12241</v>
      </c>
      <c r="E6216" s="7" t="s">
        <v>26</v>
      </c>
      <c r="F6216" s="7" t="s">
        <v>12242</v>
      </c>
      <c r="G6216" s="7" t="n">
        <v>2017</v>
      </c>
      <c r="H6216" s="7" t="s">
        <v>48</v>
      </c>
      <c r="I6216" s="7" t="s">
        <v>11132</v>
      </c>
      <c r="J6216" s="7" t="s">
        <v>795</v>
      </c>
      <c r="K6216" s="7" t="n">
        <f aca="false">IFERROR(VALUE(RIGHT(TRIM(F6216),4)),"")</f>
        <v>2017</v>
      </c>
      <c r="L6216" s="7" t="str">
        <f aca="false">IF(TRIM(E6216)="","Unknown",IFERROR(LEFT(TRIM(E6216),FIND(",",TRIM(E6216))-1),TRIM(E6216)))</f>
        <v>United States</v>
      </c>
      <c r="M6216" s="7" t="str">
        <f aca="false">IFERROR(LEFT(J6216,FIND(",",J6216)-1),J6216)</f>
        <v>Stand-Up Comedy &amp; Talk Shows</v>
      </c>
      <c r="N6216" s="7" t="str">
        <f aca="false">IF(B6216="Movie",IFERROR(VALUE(LEFT(I6216,FIND(" ",I6216)-1)),""),"")</f>
        <v/>
      </c>
      <c r="O6216" s="7" t="n">
        <f aca="false">IF(B6216="TV Show",IFERROR(VALUE(LEFT(I6216,FIND(" ",I6216)-1)),""),"")</f>
        <v>2</v>
      </c>
      <c r="P6216" s="7" t="n">
        <f aca="false">IF(K6216="","",K6216-G6216)</f>
        <v>0</v>
      </c>
    </row>
    <row r="6217" customFormat="false" ht="15" hidden="false" customHeight="false" outlineLevel="0" collapsed="false">
      <c r="A6217" s="7" t="n">
        <v>80066227</v>
      </c>
      <c r="B6217" s="7" t="s">
        <v>78</v>
      </c>
      <c r="C6217" s="7" t="s">
        <v>12243</v>
      </c>
      <c r="E6217" s="7" t="s">
        <v>26</v>
      </c>
      <c r="F6217" s="7" t="s">
        <v>12244</v>
      </c>
      <c r="G6217" s="7" t="n">
        <v>2019</v>
      </c>
      <c r="H6217" s="7" t="s">
        <v>49</v>
      </c>
      <c r="I6217" s="7" t="s">
        <v>11155</v>
      </c>
      <c r="J6217" s="7" t="s">
        <v>2149</v>
      </c>
      <c r="K6217" s="7" t="n">
        <f aca="false">IFERROR(VALUE(RIGHT(TRIM(F6217),4)),"")</f>
        <v>2019</v>
      </c>
      <c r="L6217" s="7" t="str">
        <f aca="false">IF(TRIM(E6217)="","Unknown",IFERROR(LEFT(TRIM(E6217),FIND(",",TRIM(E6217))-1),TRIM(E6217)))</f>
        <v>United States</v>
      </c>
      <c r="M6217" s="7" t="str">
        <f aca="false">IFERROR(LEFT(J6217,FIND(",",J6217)-1),J6217)</f>
        <v>Romantic TV Shows</v>
      </c>
      <c r="N6217" s="7" t="str">
        <f aca="false">IF(B6217="Movie",IFERROR(VALUE(LEFT(I6217,FIND(" ",I6217)-1)),""),"")</f>
        <v/>
      </c>
      <c r="O6217" s="7" t="n">
        <f aca="false">IF(B6217="TV Show",IFERROR(VALUE(LEFT(I6217,FIND(" ",I6217)-1)),""),"")</f>
        <v>4</v>
      </c>
      <c r="P6217" s="7" t="n">
        <f aca="false">IF(K6217="","",K6217-G6217)</f>
        <v>0</v>
      </c>
    </row>
    <row r="6218" customFormat="false" ht="15" hidden="false" customHeight="false" outlineLevel="0" collapsed="false">
      <c r="A6218" s="7" t="n">
        <v>80108373</v>
      </c>
      <c r="B6218" s="7" t="s">
        <v>78</v>
      </c>
      <c r="C6218" s="7" t="s">
        <v>12245</v>
      </c>
      <c r="E6218" s="7" t="s">
        <v>26</v>
      </c>
      <c r="F6218" s="7" t="s">
        <v>12246</v>
      </c>
      <c r="G6218" s="7" t="n">
        <v>2018</v>
      </c>
      <c r="H6218" s="7" t="s">
        <v>119</v>
      </c>
      <c r="I6218" s="7" t="s">
        <v>11132</v>
      </c>
      <c r="J6218" s="7" t="s">
        <v>44</v>
      </c>
      <c r="K6218" s="7" t="n">
        <f aca="false">IFERROR(VALUE(RIGHT(TRIM(F6218),4)),"")</f>
        <v>2018</v>
      </c>
      <c r="L6218" s="7" t="str">
        <f aca="false">IF(TRIM(E6218)="","Unknown",IFERROR(LEFT(TRIM(E6218),FIND(",",TRIM(E6218))-1),TRIM(E6218)))</f>
        <v>United States</v>
      </c>
      <c r="M6218" s="7" t="str">
        <f aca="false">IFERROR(LEFT(J6218,FIND(",",J6218)-1),J6218)</f>
        <v>Kids' TV</v>
      </c>
      <c r="N6218" s="7" t="str">
        <f aca="false">IF(B6218="Movie",IFERROR(VALUE(LEFT(I6218,FIND(" ",I6218)-1)),""),"")</f>
        <v/>
      </c>
      <c r="O6218" s="7" t="n">
        <f aca="false">IF(B6218="TV Show",IFERROR(VALUE(LEFT(I6218,FIND(" ",I6218)-1)),""),"")</f>
        <v>2</v>
      </c>
      <c r="P6218" s="7" t="n">
        <f aca="false">IF(K6218="","",K6218-G6218)</f>
        <v>0</v>
      </c>
    </row>
    <row r="6219" customFormat="false" ht="15" hidden="false" customHeight="false" outlineLevel="0" collapsed="false">
      <c r="A6219" s="7" t="n">
        <v>70196145</v>
      </c>
      <c r="B6219" s="7" t="s">
        <v>78</v>
      </c>
      <c r="C6219" s="7" t="s">
        <v>12247</v>
      </c>
      <c r="E6219" s="7" t="s">
        <v>26</v>
      </c>
      <c r="F6219" s="7" t="s">
        <v>12248</v>
      </c>
      <c r="G6219" s="7" t="n">
        <v>2017</v>
      </c>
      <c r="H6219" s="7" t="s">
        <v>49</v>
      </c>
      <c r="I6219" s="7" t="s">
        <v>11152</v>
      </c>
      <c r="J6219" s="7" t="s">
        <v>2149</v>
      </c>
      <c r="K6219" s="7" t="n">
        <f aca="false">IFERROR(VALUE(RIGHT(TRIM(F6219),4)),"")</f>
        <v>2019</v>
      </c>
      <c r="L6219" s="7" t="str">
        <f aca="false">IF(TRIM(E6219)="","Unknown",IFERROR(LEFT(TRIM(E6219),FIND(",",TRIM(E6219))-1),TRIM(E6219)))</f>
        <v>United States</v>
      </c>
      <c r="M6219" s="7" t="str">
        <f aca="false">IFERROR(LEFT(J6219,FIND(",",J6219)-1),J6219)</f>
        <v>Romantic TV Shows</v>
      </c>
      <c r="N6219" s="7" t="str">
        <f aca="false">IF(B6219="Movie",IFERROR(VALUE(LEFT(I6219,FIND(" ",I6219)-1)),""),"")</f>
        <v/>
      </c>
      <c r="O6219" s="7" t="n">
        <f aca="false">IF(B6219="TV Show",IFERROR(VALUE(LEFT(I6219,FIND(" ",I6219)-1)),""),"")</f>
        <v>7</v>
      </c>
      <c r="P6219" s="7" t="n">
        <f aca="false">IF(K6219="","",K6219-G6219)</f>
        <v>2</v>
      </c>
    </row>
    <row r="6220" customFormat="false" ht="15" hidden="false" customHeight="false" outlineLevel="0" collapsed="false">
      <c r="A6220" s="7" t="n">
        <v>80162994</v>
      </c>
      <c r="B6220" s="7" t="s">
        <v>78</v>
      </c>
      <c r="C6220" s="7" t="s">
        <v>12249</v>
      </c>
      <c r="E6220" s="7" t="s">
        <v>12250</v>
      </c>
      <c r="F6220" s="7" t="s">
        <v>12251</v>
      </c>
      <c r="G6220" s="7" t="n">
        <v>2017</v>
      </c>
      <c r="H6220" s="7" t="s">
        <v>226</v>
      </c>
      <c r="I6220" s="7" t="s">
        <v>11132</v>
      </c>
      <c r="J6220" s="7" t="s">
        <v>191</v>
      </c>
      <c r="K6220" s="7" t="n">
        <f aca="false">IFERROR(VALUE(RIGHT(TRIM(F6220),4)),"")</f>
        <v>2019</v>
      </c>
      <c r="L6220" s="7" t="str">
        <f aca="false">IF(TRIM(E6220)="","Unknown",IFERROR(LEFT(TRIM(E6220),FIND(",",TRIM(E6220))-1),TRIM(E6220)))</f>
        <v>Cyprus</v>
      </c>
      <c r="M6220" s="7" t="str">
        <f aca="false">IFERROR(LEFT(J6220,FIND(",",J6220)-1),J6220)</f>
        <v>Kids' TV</v>
      </c>
      <c r="N6220" s="7" t="str">
        <f aca="false">IF(B6220="Movie",IFERROR(VALUE(LEFT(I6220,FIND(" ",I6220)-1)),""),"")</f>
        <v/>
      </c>
      <c r="O6220" s="7" t="n">
        <f aca="false">IF(B6220="TV Show",IFERROR(VALUE(LEFT(I6220,FIND(" ",I6220)-1)),""),"")</f>
        <v>2</v>
      </c>
      <c r="P6220" s="7" t="n">
        <f aca="false">IF(K6220="","",K6220-G6220)</f>
        <v>2</v>
      </c>
    </row>
    <row r="6221" customFormat="false" ht="15" hidden="false" customHeight="false" outlineLevel="0" collapsed="false">
      <c r="A6221" s="7" t="n">
        <v>80186475</v>
      </c>
      <c r="B6221" s="7" t="s">
        <v>78</v>
      </c>
      <c r="C6221" s="7" t="s">
        <v>12252</v>
      </c>
      <c r="E6221" s="7" t="s">
        <v>30</v>
      </c>
      <c r="F6221" s="7" t="s">
        <v>12253</v>
      </c>
      <c r="G6221" s="7" t="n">
        <v>2019</v>
      </c>
      <c r="H6221" s="7" t="s">
        <v>81</v>
      </c>
      <c r="I6221" s="7" t="s">
        <v>11132</v>
      </c>
      <c r="J6221" s="7" t="s">
        <v>694</v>
      </c>
      <c r="K6221" s="7" t="n">
        <f aca="false">IFERROR(VALUE(RIGHT(TRIM(F6221),4)),"")</f>
        <v>2019</v>
      </c>
      <c r="L6221" s="7" t="str">
        <f aca="false">IF(TRIM(E6221)="","Unknown",IFERROR(LEFT(TRIM(E6221),FIND(",",TRIM(E6221))-1),TRIM(E6221)))</f>
        <v>Japan</v>
      </c>
      <c r="M6221" s="7" t="str">
        <f aca="false">IFERROR(LEFT(J6221,FIND(",",J6221)-1),J6221)</f>
        <v>Anime Series</v>
      </c>
      <c r="N6221" s="7" t="str">
        <f aca="false">IF(B6221="Movie",IFERROR(VALUE(LEFT(I6221,FIND(" ",I6221)-1)),""),"")</f>
        <v/>
      </c>
      <c r="O6221" s="7" t="n">
        <f aca="false">IF(B6221="TV Show",IFERROR(VALUE(LEFT(I6221,FIND(" ",I6221)-1)),""),"")</f>
        <v>2</v>
      </c>
      <c r="P6221" s="7" t="n">
        <f aca="false">IF(K6221="","",K6221-G6221)</f>
        <v>0</v>
      </c>
    </row>
    <row r="6222" customFormat="false" ht="15" hidden="false" customHeight="false" outlineLevel="0" collapsed="false">
      <c r="A6222" s="7" t="n">
        <v>70272742</v>
      </c>
      <c r="B6222" s="7" t="s">
        <v>78</v>
      </c>
      <c r="C6222" s="7" t="s">
        <v>12254</v>
      </c>
      <c r="E6222" s="7" t="s">
        <v>29</v>
      </c>
      <c r="F6222" s="7" t="s">
        <v>12255</v>
      </c>
      <c r="G6222" s="7" t="n">
        <v>2012</v>
      </c>
      <c r="H6222" s="7" t="s">
        <v>119</v>
      </c>
      <c r="I6222" s="7" t="s">
        <v>11132</v>
      </c>
      <c r="J6222" s="7" t="s">
        <v>44</v>
      </c>
      <c r="K6222" s="7" t="n">
        <f aca="false">IFERROR(VALUE(RIGHT(TRIM(F6222),4)),"")</f>
        <v>2016</v>
      </c>
      <c r="L6222" s="7" t="str">
        <f aca="false">IF(TRIM(E6222)="","Unknown",IFERROR(LEFT(TRIM(E6222),FIND(",",TRIM(E6222))-1),TRIM(E6222)))</f>
        <v>Canada</v>
      </c>
      <c r="M6222" s="7" t="str">
        <f aca="false">IFERROR(LEFT(J6222,FIND(",",J6222)-1),J6222)</f>
        <v>Kids' TV</v>
      </c>
      <c r="N6222" s="7" t="str">
        <f aca="false">IF(B6222="Movie",IFERROR(VALUE(LEFT(I6222,FIND(" ",I6222)-1)),""),"")</f>
        <v/>
      </c>
      <c r="O6222" s="7" t="n">
        <f aca="false">IF(B6222="TV Show",IFERROR(VALUE(LEFT(I6222,FIND(" ",I6222)-1)),""),"")</f>
        <v>2</v>
      </c>
      <c r="P6222" s="7" t="n">
        <f aca="false">IF(K6222="","",K6222-G6222)</f>
        <v>4</v>
      </c>
    </row>
    <row r="6223" customFormat="false" ht="15" hidden="false" customHeight="false" outlineLevel="0" collapsed="false">
      <c r="A6223" s="7" t="n">
        <v>80067942</v>
      </c>
      <c r="B6223" s="7" t="s">
        <v>78</v>
      </c>
      <c r="C6223" s="7" t="s">
        <v>12256</v>
      </c>
      <c r="E6223" s="7" t="s">
        <v>30</v>
      </c>
      <c r="F6223" s="7" t="s">
        <v>12255</v>
      </c>
      <c r="G6223" s="7" t="n">
        <v>2016</v>
      </c>
      <c r="H6223" s="7" t="s">
        <v>49</v>
      </c>
      <c r="I6223" s="7" t="s">
        <v>11132</v>
      </c>
      <c r="J6223" s="7" t="s">
        <v>884</v>
      </c>
      <c r="K6223" s="7" t="n">
        <f aca="false">IFERROR(VALUE(RIGHT(TRIM(F6223),4)),"")</f>
        <v>2016</v>
      </c>
      <c r="L6223" s="7" t="str">
        <f aca="false">IF(TRIM(E6223)="","Unknown",IFERROR(LEFT(TRIM(E6223),FIND(",",TRIM(E6223))-1),TRIM(E6223)))</f>
        <v>Japan</v>
      </c>
      <c r="M6223" s="7" t="str">
        <f aca="false">IFERROR(LEFT(J6223,FIND(",",J6223)-1),J6223)</f>
        <v>International TV Shows</v>
      </c>
      <c r="N6223" s="7" t="str">
        <f aca="false">IF(B6223="Movie",IFERROR(VALUE(LEFT(I6223,FIND(" ",I6223)-1)),""),"")</f>
        <v/>
      </c>
      <c r="O6223" s="7" t="n">
        <f aca="false">IF(B6223="TV Show",IFERROR(VALUE(LEFT(I6223,FIND(" ",I6223)-1)),""),"")</f>
        <v>2</v>
      </c>
      <c r="P6223" s="7" t="n">
        <f aca="false">IF(K6223="","",K6223-G6223)</f>
        <v>0</v>
      </c>
    </row>
    <row r="6224" customFormat="false" ht="15" hidden="false" customHeight="false" outlineLevel="0" collapsed="false">
      <c r="A6224" s="7" t="n">
        <v>70136122</v>
      </c>
      <c r="B6224" s="7" t="s">
        <v>78</v>
      </c>
      <c r="C6224" s="7" t="s">
        <v>12257</v>
      </c>
      <c r="E6224" s="7" t="s">
        <v>26</v>
      </c>
      <c r="F6224" s="7" t="s">
        <v>12258</v>
      </c>
      <c r="G6224" s="7" t="n">
        <v>2012</v>
      </c>
      <c r="H6224" s="7" t="s">
        <v>48</v>
      </c>
      <c r="I6224" s="7" t="s">
        <v>11158</v>
      </c>
      <c r="J6224" s="7" t="s">
        <v>502</v>
      </c>
      <c r="K6224" s="7" t="n">
        <f aca="false">IFERROR(VALUE(RIGHT(TRIM(F6224),4)),"")</f>
        <v>2014</v>
      </c>
      <c r="L6224" s="7" t="str">
        <f aca="false">IF(TRIM(E6224)="","Unknown",IFERROR(LEFT(TRIM(E6224),FIND(",",TRIM(E6224))-1),TRIM(E6224)))</f>
        <v>United States</v>
      </c>
      <c r="M6224" s="7" t="str">
        <f aca="false">IFERROR(LEFT(J6224,FIND(",",J6224)-1),J6224)</f>
        <v>TV Comedies</v>
      </c>
      <c r="N6224" s="7" t="str">
        <f aca="false">IF(B6224="Movie",IFERROR(VALUE(LEFT(I6224,FIND(" ",I6224)-1)),""),"")</f>
        <v/>
      </c>
      <c r="O6224" s="7" t="n">
        <f aca="false">IF(B6224="TV Show",IFERROR(VALUE(LEFT(I6224,FIND(" ",I6224)-1)),""),"")</f>
        <v>8</v>
      </c>
      <c r="P6224" s="7" t="n">
        <f aca="false">IF(K6224="","",K6224-G6224)</f>
        <v>2</v>
      </c>
    </row>
    <row r="6225" customFormat="false" ht="15" hidden="false" customHeight="false" outlineLevel="0" collapsed="false">
      <c r="A6225" s="7" t="n">
        <v>70204989</v>
      </c>
      <c r="B6225" s="7" t="s">
        <v>78</v>
      </c>
      <c r="C6225" s="7" t="s">
        <v>12259</v>
      </c>
      <c r="E6225" s="7" t="s">
        <v>30</v>
      </c>
      <c r="G6225" s="7" t="n">
        <v>2008</v>
      </c>
      <c r="H6225" s="7" t="s">
        <v>49</v>
      </c>
      <c r="I6225" s="7" t="s">
        <v>11132</v>
      </c>
      <c r="J6225" s="7" t="s">
        <v>1303</v>
      </c>
      <c r="K6225" s="7" t="str">
        <f aca="false">IFERROR(VALUE(RIGHT(TRIM(F6225),4)),"")</f>
        <v/>
      </c>
      <c r="L6225" s="7" t="str">
        <f aca="false">IF(TRIM(E6225)="","Unknown",IFERROR(LEFT(TRIM(E6225),FIND(",",TRIM(E6225))-1),TRIM(E6225)))</f>
        <v>Japan</v>
      </c>
      <c r="M6225" s="7" t="str">
        <f aca="false">IFERROR(LEFT(J6225,FIND(",",J6225)-1),J6225)</f>
        <v>Anime Series</v>
      </c>
      <c r="N6225" s="7" t="str">
        <f aca="false">IF(B6225="Movie",IFERROR(VALUE(LEFT(I6225,FIND(" ",I6225)-1)),""),"")</f>
        <v/>
      </c>
      <c r="O6225" s="7" t="n">
        <f aca="false">IF(B6225="TV Show",IFERROR(VALUE(LEFT(I6225,FIND(" ",I6225)-1)),""),"")</f>
        <v>2</v>
      </c>
      <c r="P6225" s="7" t="str">
        <f aca="false">IF(K6225="","",K6225-G6225)</f>
        <v/>
      </c>
    </row>
    <row r="6226" customFormat="false" ht="15" hidden="false" customHeight="false" outlineLevel="0" collapsed="false">
      <c r="A6226" s="7" t="n">
        <v>70304979</v>
      </c>
      <c r="B6226" s="7" t="s">
        <v>78</v>
      </c>
      <c r="C6226" s="7" t="s">
        <v>12260</v>
      </c>
      <c r="E6226" s="7" t="s">
        <v>26</v>
      </c>
      <c r="G6226" s="7" t="n">
        <v>2018</v>
      </c>
      <c r="H6226" s="7" t="s">
        <v>50</v>
      </c>
      <c r="I6226" s="7" t="s">
        <v>11135</v>
      </c>
      <c r="J6226" s="7" t="s">
        <v>164</v>
      </c>
      <c r="K6226" s="7" t="str">
        <f aca="false">IFERROR(VALUE(RIGHT(TRIM(F6226),4)),"")</f>
        <v/>
      </c>
      <c r="L6226" s="7" t="str">
        <f aca="false">IF(TRIM(E6226)="","Unknown",IFERROR(LEFT(TRIM(E6226),FIND(",",TRIM(E6226))-1),TRIM(E6226)))</f>
        <v>United States</v>
      </c>
      <c r="M6226" s="7" t="str">
        <f aca="false">IFERROR(LEFT(J6226,FIND(",",J6226)-1),J6226)</f>
        <v>Docuseries</v>
      </c>
      <c r="N6226" s="7" t="str">
        <f aca="false">IF(B6226="Movie",IFERROR(VALUE(LEFT(I6226,FIND(" ",I6226)-1)),""),"")</f>
        <v/>
      </c>
      <c r="O6226" s="7" t="n">
        <f aca="false">IF(B6226="TV Show",IFERROR(VALUE(LEFT(I6226,FIND(" ",I6226)-1)),""),"")</f>
        <v>5</v>
      </c>
      <c r="P6226" s="7" t="str">
        <f aca="false">IF(K6226="","",K6226-G6226)</f>
        <v/>
      </c>
    </row>
    <row r="6227" customFormat="false" ht="15" hidden="false" customHeight="false" outlineLevel="0" collapsed="false">
      <c r="A6227" s="7" t="n">
        <v>70153412</v>
      </c>
      <c r="B6227" s="7" t="s">
        <v>78</v>
      </c>
      <c r="C6227" s="7" t="s">
        <v>12261</v>
      </c>
      <c r="E6227" s="7" t="s">
        <v>26</v>
      </c>
      <c r="G6227" s="7" t="n">
        <v>2003</v>
      </c>
      <c r="H6227" s="7" t="s">
        <v>50</v>
      </c>
      <c r="I6227" s="7" t="s">
        <v>11830</v>
      </c>
      <c r="J6227" s="7" t="s">
        <v>11831</v>
      </c>
      <c r="K6227" s="7" t="str">
        <f aca="false">IFERROR(VALUE(RIGHT(TRIM(F6227),4)),"")</f>
        <v/>
      </c>
      <c r="L6227" s="7" t="str">
        <f aca="false">IF(TRIM(E6227)="","Unknown",IFERROR(LEFT(TRIM(E6227),FIND(",",TRIM(E6227))-1),TRIM(E6227)))</f>
        <v>United States</v>
      </c>
      <c r="M6227" s="7" t="str">
        <f aca="false">IFERROR(LEFT(J6227,FIND(",",J6227)-1),J6227)</f>
        <v>Classic &amp; Cult TV</v>
      </c>
      <c r="N6227" s="7" t="str">
        <f aca="false">IF(B6227="Movie",IFERROR(VALUE(LEFT(I6227,FIND(" ",I6227)-1)),""),"")</f>
        <v/>
      </c>
      <c r="O6227" s="7" t="n">
        <f aca="false">IF(B6227="TV Show",IFERROR(VALUE(LEFT(I6227,FIND(" ",I6227)-1)),""),"")</f>
        <v>11</v>
      </c>
      <c r="P6227" s="7" t="str">
        <f aca="false">IF(K6227="","",K6227-G6227)</f>
        <v/>
      </c>
    </row>
    <row r="6228" customFormat="false" ht="15" hidden="false" customHeight="false" outlineLevel="0" collapsed="false">
      <c r="A6228" s="7" t="n">
        <v>70243132</v>
      </c>
      <c r="B6228" s="7" t="s">
        <v>78</v>
      </c>
      <c r="C6228" s="7" t="s">
        <v>12262</v>
      </c>
      <c r="E6228" s="7" t="s">
        <v>26</v>
      </c>
      <c r="G6228" s="7" t="n">
        <v>2012</v>
      </c>
      <c r="H6228" s="7" t="s">
        <v>49</v>
      </c>
      <c r="I6228" s="7" t="s">
        <v>11148</v>
      </c>
      <c r="J6228" s="7" t="s">
        <v>4526</v>
      </c>
      <c r="K6228" s="7" t="str">
        <f aca="false">IFERROR(VALUE(RIGHT(TRIM(F6228),4)),"")</f>
        <v/>
      </c>
      <c r="L6228" s="7" t="str">
        <f aca="false">IF(TRIM(E6228)="","Unknown",IFERROR(LEFT(TRIM(E6228),FIND(",",TRIM(E6228))-1),TRIM(E6228)))</f>
        <v>United States</v>
      </c>
      <c r="M6228" s="7" t="str">
        <f aca="false">IFERROR(LEFT(J6228,FIND(",",J6228)-1),J6228)</f>
        <v>International TV Shows</v>
      </c>
      <c r="N6228" s="7" t="str">
        <f aca="false">IF(B6228="Movie",IFERROR(VALUE(LEFT(I6228,FIND(" ",I6228)-1)),""),"")</f>
        <v/>
      </c>
      <c r="O6228" s="7" t="n">
        <f aca="false">IF(B6228="TV Show",IFERROR(VALUE(LEFT(I6228,FIND(" ",I6228)-1)),""),"")</f>
        <v>3</v>
      </c>
      <c r="P6228" s="7" t="str">
        <f aca="false">IF(K6228="","",K6228-G6228)</f>
        <v/>
      </c>
    </row>
    <row r="6229" customFormat="false" ht="15" hidden="false" customHeight="false" outlineLevel="0" collapsed="false">
      <c r="A6229" s="7" t="n">
        <v>80005756</v>
      </c>
      <c r="B6229" s="7" t="s">
        <v>78</v>
      </c>
      <c r="C6229" s="7" t="s">
        <v>12263</v>
      </c>
      <c r="E6229" s="7" t="s">
        <v>35</v>
      </c>
      <c r="G6229" s="7" t="n">
        <v>2015</v>
      </c>
      <c r="H6229" s="7" t="s">
        <v>55</v>
      </c>
      <c r="I6229" s="7" t="s">
        <v>11132</v>
      </c>
      <c r="J6229" s="7" t="s">
        <v>191</v>
      </c>
      <c r="K6229" s="7" t="str">
        <f aca="false">IFERROR(VALUE(RIGHT(TRIM(F6229),4)),"")</f>
        <v/>
      </c>
      <c r="L6229" s="7" t="str">
        <f aca="false">IF(TRIM(E6229)="","Unknown",IFERROR(LEFT(TRIM(E6229),FIND(",",TRIM(E6229))-1),TRIM(E6229)))</f>
        <v>Australia</v>
      </c>
      <c r="M6229" s="7" t="str">
        <f aca="false">IFERROR(LEFT(J6229,FIND(",",J6229)-1),J6229)</f>
        <v>Kids' TV</v>
      </c>
      <c r="N6229" s="7" t="str">
        <f aca="false">IF(B6229="Movie",IFERROR(VALUE(LEFT(I6229,FIND(" ",I6229)-1)),""),"")</f>
        <v/>
      </c>
      <c r="O6229" s="7" t="n">
        <f aca="false">IF(B6229="TV Show",IFERROR(VALUE(LEFT(I6229,FIND(" ",I6229)-1)),""),"")</f>
        <v>2</v>
      </c>
      <c r="P6229" s="7" t="str">
        <f aca="false">IF(K6229="","",K6229-G6229)</f>
        <v/>
      </c>
    </row>
    <row r="6230" customFormat="false" ht="15" hidden="false" customHeight="false" outlineLevel="0" collapsed="false">
      <c r="A6230" s="7" t="n">
        <v>80159925</v>
      </c>
      <c r="B6230" s="7" t="s">
        <v>78</v>
      </c>
      <c r="C6230" s="7" t="s">
        <v>12264</v>
      </c>
      <c r="G6230" s="7" t="n">
        <v>2010</v>
      </c>
      <c r="H6230" s="7" t="s">
        <v>119</v>
      </c>
      <c r="I6230" s="7" t="s">
        <v>11132</v>
      </c>
      <c r="J6230" s="7" t="s">
        <v>44</v>
      </c>
      <c r="K6230" s="7" t="str">
        <f aca="false">IFERROR(VALUE(RIGHT(TRIM(F6230),4)),"")</f>
        <v/>
      </c>
      <c r="L6230" s="7" t="str">
        <f aca="false">IF(TRIM(E6230)="","Unknown",IFERROR(LEFT(TRIM(E6230),FIND(",",TRIM(E6230))-1),TRIM(E6230)))</f>
        <v>Unknown</v>
      </c>
      <c r="M6230" s="7" t="str">
        <f aca="false">IFERROR(LEFT(J6230,FIND(",",J6230)-1),J6230)</f>
        <v>Kids' TV</v>
      </c>
      <c r="N6230" s="7" t="str">
        <f aca="false">IF(B6230="Movie",IFERROR(VALUE(LEFT(I6230,FIND(" ",I6230)-1)),""),"")</f>
        <v/>
      </c>
      <c r="O6230" s="7" t="n">
        <f aca="false">IF(B6230="TV Show",IFERROR(VALUE(LEFT(I6230,FIND(" ",I6230)-1)),""),"")</f>
        <v>2</v>
      </c>
      <c r="P6230" s="7" t="str">
        <f aca="false">IF(K6230="","",K6230-G6230)</f>
        <v/>
      </c>
    </row>
    <row r="6231" customFormat="false" ht="15" hidden="false" customHeight="false" outlineLevel="0" collapsed="false">
      <c r="A6231" s="7" t="n">
        <v>80000063</v>
      </c>
      <c r="B6231" s="7" t="s">
        <v>78</v>
      </c>
      <c r="C6231" s="7" t="s">
        <v>12265</v>
      </c>
      <c r="E6231" s="7" t="s">
        <v>26</v>
      </c>
      <c r="G6231" s="7" t="n">
        <v>2015</v>
      </c>
      <c r="H6231" s="7" t="s">
        <v>53</v>
      </c>
      <c r="I6231" s="7" t="s">
        <v>11913</v>
      </c>
      <c r="J6231" s="7" t="s">
        <v>11192</v>
      </c>
      <c r="K6231" s="7" t="str">
        <f aca="false">IFERROR(VALUE(RIGHT(TRIM(F6231),4)),"")</f>
        <v/>
      </c>
      <c r="L6231" s="7" t="str">
        <f aca="false">IF(TRIM(E6231)="","Unknown",IFERROR(LEFT(TRIM(E6231),FIND(",",TRIM(E6231))-1),TRIM(E6231)))</f>
        <v>United States</v>
      </c>
      <c r="M6231" s="7" t="str">
        <f aca="false">IFERROR(LEFT(J6231,FIND(",",J6231)-1),J6231)</f>
        <v>TV Action &amp; Adventure</v>
      </c>
      <c r="N6231" s="7" t="str">
        <f aca="false">IF(B6231="Movie",IFERROR(VALUE(LEFT(I6231,FIND(" ",I6231)-1)),""),"")</f>
        <v/>
      </c>
      <c r="O6231" s="7" t="n">
        <f aca="false">IF(B6231="TV Show",IFERROR(VALUE(LEFT(I6231,FIND(" ",I6231)-1)),""),"")</f>
        <v>13</v>
      </c>
      <c r="P6231" s="7" t="str">
        <f aca="false">IF(K6231="","",K6231-G6231)</f>
        <v/>
      </c>
    </row>
    <row r="6232" customFormat="false" ht="15" hidden="false" customHeight="false" outlineLevel="0" collapsed="false">
      <c r="A6232" s="7" t="n">
        <v>70286564</v>
      </c>
      <c r="B6232" s="7" t="s">
        <v>78</v>
      </c>
      <c r="C6232" s="7" t="s">
        <v>12266</v>
      </c>
      <c r="E6232" s="7" t="s">
        <v>26</v>
      </c>
      <c r="G6232" s="7" t="n">
        <v>2016</v>
      </c>
      <c r="H6232" s="7" t="s">
        <v>48</v>
      </c>
      <c r="I6232" s="7" t="s">
        <v>11155</v>
      </c>
      <c r="J6232" s="7" t="s">
        <v>289</v>
      </c>
      <c r="K6232" s="7" t="str">
        <f aca="false">IFERROR(VALUE(RIGHT(TRIM(F6232),4)),"")</f>
        <v/>
      </c>
      <c r="L6232" s="7" t="str">
        <f aca="false">IF(TRIM(E6232)="","Unknown",IFERROR(LEFT(TRIM(E6232),FIND(",",TRIM(E6232))-1),TRIM(E6232)))</f>
        <v>United States</v>
      </c>
      <c r="M6232" s="7" t="str">
        <f aca="false">IFERROR(LEFT(J6232,FIND(",",J6232)-1),J6232)</f>
        <v>TV Comedies</v>
      </c>
      <c r="N6232" s="7" t="str">
        <f aca="false">IF(B6232="Movie",IFERROR(VALUE(LEFT(I6232,FIND(" ",I6232)-1)),""),"")</f>
        <v/>
      </c>
      <c r="O6232" s="7" t="n">
        <f aca="false">IF(B6232="TV Show",IFERROR(VALUE(LEFT(I6232,FIND(" ",I6232)-1)),""),"")</f>
        <v>4</v>
      </c>
      <c r="P6232" s="7" t="str">
        <f aca="false">IF(K6232="","",K6232-G6232)</f>
        <v/>
      </c>
    </row>
    <row r="6233" customFormat="false" ht="15" hidden="false" customHeight="false" outlineLevel="0" collapsed="false">
      <c r="A6233" s="7" t="n">
        <v>80116008</v>
      </c>
      <c r="B6233" s="7" t="s">
        <v>68</v>
      </c>
      <c r="C6233" s="7" t="s">
        <v>11309</v>
      </c>
      <c r="G6233" s="7" t="n">
        <v>2016</v>
      </c>
      <c r="I6233" s="7" t="s">
        <v>98</v>
      </c>
      <c r="J6233" s="7" t="s">
        <v>10</v>
      </c>
      <c r="K6233" s="7" t="str">
        <f aca="false">IFERROR(VALUE(RIGHT(TRIM(F6233),4)),"")</f>
        <v/>
      </c>
      <c r="L6233" s="7" t="str">
        <f aca="false">IF(TRIM(E6233)="","Unknown",IFERROR(LEFT(TRIM(E6233),FIND(",",TRIM(E6233))-1),TRIM(E6233)))</f>
        <v>Unknown</v>
      </c>
      <c r="M6233" s="7" t="str">
        <f aca="false">IFERROR(LEFT(J6233,FIND(",",J6233)-1),J6233)</f>
        <v>Movies</v>
      </c>
      <c r="N6233" s="7" t="n">
        <f aca="false">IF(B6233="Movie",IFERROR(VALUE(LEFT(I6233,FIND(" ",I6233)-1)),""),"")</f>
        <v>60</v>
      </c>
      <c r="O6233" s="7" t="str">
        <f aca="false">IF(B6233="TV Show",IFERROR(VALUE(LEFT(I6233,FIND(" ",I6233)-1)),""),"")</f>
        <v/>
      </c>
      <c r="P6233" s="7" t="str">
        <f aca="false">IF(K6233="","",K6233-G6233)</f>
        <v/>
      </c>
    </row>
    <row r="6234" customFormat="false" ht="15" hidden="false" customHeight="false" outlineLevel="0" collapsed="false">
      <c r="A6234" s="7" t="n">
        <v>70281022</v>
      </c>
      <c r="B6234" s="7" t="s">
        <v>78</v>
      </c>
      <c r="C6234" s="7" t="s">
        <v>12267</v>
      </c>
      <c r="E6234" s="7" t="s">
        <v>28</v>
      </c>
      <c r="G6234" s="7" t="n">
        <v>2013</v>
      </c>
      <c r="H6234" s="7" t="s">
        <v>48</v>
      </c>
      <c r="I6234" s="7" t="s">
        <v>11132</v>
      </c>
      <c r="J6234" s="7" t="s">
        <v>12053</v>
      </c>
      <c r="K6234" s="7" t="str">
        <f aca="false">IFERROR(VALUE(RIGHT(TRIM(F6234),4)),"")</f>
        <v/>
      </c>
      <c r="L6234" s="7" t="str">
        <f aca="false">IF(TRIM(E6234)="","Unknown",IFERROR(LEFT(TRIM(E6234),FIND(",",TRIM(E6234))-1),TRIM(E6234)))</f>
        <v>United Kingdom</v>
      </c>
      <c r="M6234" s="7" t="str">
        <f aca="false">IFERROR(LEFT(J6234,FIND(",",J6234)-1),J6234)</f>
        <v>British TV Shows</v>
      </c>
      <c r="N6234" s="7" t="str">
        <f aca="false">IF(B6234="Movie",IFERROR(VALUE(LEFT(I6234,FIND(" ",I6234)-1)),""),"")</f>
        <v/>
      </c>
      <c r="O6234" s="7" t="n">
        <f aca="false">IF(B6234="TV Show",IFERROR(VALUE(LEFT(I6234,FIND(" ",I6234)-1)),""),"")</f>
        <v>2</v>
      </c>
      <c r="P6234" s="7" t="str">
        <f aca="false">IF(K6234="","",K6234-G6234)</f>
        <v/>
      </c>
    </row>
    <row r="6235" customFormat="false" ht="15" hidden="false" customHeight="false" outlineLevel="0" collapsed="false">
      <c r="A6235" s="7" t="n">
        <v>70153404</v>
      </c>
      <c r="B6235" s="7" t="s">
        <v>78</v>
      </c>
      <c r="C6235" s="7" t="s">
        <v>12268</v>
      </c>
      <c r="E6235" s="7" t="s">
        <v>26</v>
      </c>
      <c r="G6235" s="7" t="n">
        <v>2003</v>
      </c>
      <c r="H6235" s="7" t="s">
        <v>49</v>
      </c>
      <c r="I6235" s="7" t="s">
        <v>11589</v>
      </c>
      <c r="J6235" s="7" t="s">
        <v>11831</v>
      </c>
      <c r="K6235" s="7" t="str">
        <f aca="false">IFERROR(VALUE(RIGHT(TRIM(F6235),4)),"")</f>
        <v/>
      </c>
      <c r="L6235" s="7" t="str">
        <f aca="false">IF(TRIM(E6235)="","Unknown",IFERROR(LEFT(TRIM(E6235),FIND(",",TRIM(E6235))-1),TRIM(E6235)))</f>
        <v>United States</v>
      </c>
      <c r="M6235" s="7" t="str">
        <f aca="false">IFERROR(LEFT(J6235,FIND(",",J6235)-1),J6235)</f>
        <v>Classic &amp; Cult TV</v>
      </c>
      <c r="N6235" s="7" t="str">
        <f aca="false">IF(B6235="Movie",IFERROR(VALUE(LEFT(I6235,FIND(" ",I6235)-1)),""),"")</f>
        <v/>
      </c>
      <c r="O6235" s="7" t="n">
        <f aca="false">IF(B6235="TV Show",IFERROR(VALUE(LEFT(I6235,FIND(" ",I6235)-1)),""),"")</f>
        <v>10</v>
      </c>
      <c r="P6235" s="7" t="str">
        <f aca="false">IF(K6235="","",K6235-G6235)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2026-10-25T06:33:22Z</dcterms:created>
  <dc:creator>openpyxl</dc:creator>
  <dc:description/>
  <dc:language>en-US</dc:language>
  <cp:lastModifiedBy/>
  <dcterms:modified xsi:type="dcterms:W3CDTF">2026-10-25T06:33:29Z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